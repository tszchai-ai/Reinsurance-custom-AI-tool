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fung\Desktop\Research\CAS grant AI\sample templates\broker testing\"/>
    </mc:Choice>
  </mc:AlternateContent>
  <xr:revisionPtr revIDLastSave="0" documentId="13_ncr:1_{09B85973-C6E4-4FDC-BDA0-26FC8CFD3386}" xr6:coauthVersionLast="47" xr6:coauthVersionMax="47" xr10:uidLastSave="{00000000-0000-0000-0000-000000000000}"/>
  <bookViews>
    <workbookView xWindow="-120" yWindow="-120" windowWidth="29040" windowHeight="15720" tabRatio="846" firstSheet="4" activeTab="11" xr2:uid="{00000000-000D-0000-FFFF-FFFF00000000}"/>
  </bookViews>
  <sheets>
    <sheet name="Email" sheetId="1" r:id="rId1"/>
    <sheet name="Premium Information" sheetId="2" r:id="rId2"/>
    <sheet name="Premium Projection" sheetId="3" r:id="rId3"/>
    <sheet name="Limit Profile (Commercial)" sheetId="4" r:id="rId4"/>
    <sheet name="Limit Profile (Personal)" sheetId="11" r:id="rId5"/>
    <sheet name="Exposure Listing (Commercial)" sheetId="14" r:id="rId6"/>
    <sheet name="Exposure Listing (Personal)" sheetId="15" r:id="rId7"/>
    <sheet name="Claim (Non-Cat Commercial)" sheetId="7" r:id="rId8"/>
    <sheet name="Claim (Cat Commercial)" sheetId="8" r:id="rId9"/>
    <sheet name="Claim (Non-Cat Personal)" sheetId="12" r:id="rId10"/>
    <sheet name="Claim (Cat Personal)" sheetId="13" r:id="rId11"/>
    <sheet name="Rate Change" sheetId="10" r:id="rId12"/>
  </sheets>
  <definedNames>
    <definedName name="_xlnm._FilterDatabase" localSheetId="8" hidden="1">'Claim (Cat Commercial)'!$A$12:$P$97</definedName>
    <definedName name="_xlnm._FilterDatabase" localSheetId="7" hidden="1">'Claim (Non-Cat Commercial)'!$A$12:$P$420</definedName>
    <definedName name="_xlnm._FilterDatabase" localSheetId="5" hidden="1">'Exposure Listing (Commercial)'!$A$13:$K$2919</definedName>
    <definedName name="_xlnm._FilterDatabase" localSheetId="6" hidden="1">'Exposure Listing (Personal)'!$A$13:$K$2474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0" l="1"/>
  <c r="S24" i="10"/>
  <c r="S17" i="10"/>
  <c r="T17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I41" i="11"/>
  <c r="G41" i="11"/>
  <c r="E41" i="11"/>
  <c r="I23" i="11"/>
  <c r="G23" i="11"/>
  <c r="E23" i="11"/>
  <c r="J41" i="4"/>
  <c r="I41" i="4"/>
  <c r="H41" i="4"/>
  <c r="G41" i="4"/>
  <c r="F41" i="4"/>
  <c r="E41" i="4"/>
  <c r="F23" i="4"/>
  <c r="G23" i="4"/>
  <c r="H23" i="4"/>
  <c r="I23" i="4"/>
  <c r="J23" i="4"/>
  <c r="E23" i="4"/>
  <c r="R27" i="2"/>
  <c r="Q27" i="2"/>
  <c r="P27" i="2"/>
  <c r="O27" i="2"/>
  <c r="N27" i="2"/>
  <c r="M27" i="2"/>
  <c r="L27" i="2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B68" i="1"/>
  <c r="B66" i="1"/>
  <c r="B62" i="1"/>
  <c r="B10" i="1"/>
  <c r="B11" i="1" s="1"/>
  <c r="B3" i="10"/>
  <c r="B3" i="13"/>
  <c r="B3" i="12"/>
  <c r="B3" i="8"/>
  <c r="B3" i="7"/>
  <c r="B3" i="15"/>
  <c r="B3" i="14"/>
  <c r="B3" i="11"/>
  <c r="B3" i="4"/>
  <c r="B3" i="3"/>
  <c r="B8" i="15"/>
  <c r="A8" i="15"/>
  <c r="B7" i="15"/>
  <c r="B10" i="15" s="1"/>
  <c r="A7" i="15"/>
  <c r="A3" i="15"/>
  <c r="A2" i="15"/>
  <c r="A1" i="15"/>
  <c r="B8" i="14"/>
  <c r="A8" i="14"/>
  <c r="B7" i="14"/>
  <c r="B10" i="14" s="1"/>
  <c r="A7" i="14"/>
  <c r="A3" i="14"/>
  <c r="A2" i="14"/>
  <c r="A1" i="14"/>
  <c r="B8" i="13"/>
  <c r="A8" i="13"/>
  <c r="B7" i="13"/>
  <c r="A7" i="13"/>
  <c r="A3" i="13"/>
  <c r="A2" i="13"/>
  <c r="A1" i="13"/>
  <c r="B8" i="12"/>
  <c r="A8" i="12"/>
  <c r="B7" i="12"/>
  <c r="A7" i="12"/>
  <c r="A3" i="12"/>
  <c r="A2" i="12"/>
  <c r="A1" i="1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F11" i="10"/>
  <c r="G11" i="10" s="1"/>
  <c r="H11" i="10" s="1"/>
  <c r="I11" i="10" s="1"/>
  <c r="J11" i="10" s="1"/>
  <c r="K11" i="10" s="1"/>
  <c r="L11" i="10" s="1"/>
  <c r="M11" i="10" s="1"/>
  <c r="N11" i="10" s="1"/>
  <c r="O11" i="10" s="1"/>
  <c r="P11" i="10" s="1"/>
  <c r="Q11" i="10" s="1"/>
  <c r="R11" i="10" s="1"/>
  <c r="B8" i="10"/>
  <c r="B8" i="8"/>
  <c r="B8" i="7"/>
  <c r="B8" i="11"/>
  <c r="B8" i="4"/>
  <c r="B8" i="3"/>
  <c r="B25" i="11"/>
  <c r="D31" i="11"/>
  <c r="B31" i="11"/>
  <c r="D13" i="11"/>
  <c r="B13" i="11"/>
  <c r="A8" i="11"/>
  <c r="A26" i="11" s="1"/>
  <c r="B7" i="11"/>
  <c r="A7" i="11"/>
  <c r="A25" i="11" s="1"/>
  <c r="A3" i="11"/>
  <c r="A2" i="11"/>
  <c r="A1" i="11"/>
  <c r="F11" i="2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A8" i="10"/>
  <c r="B7" i="10"/>
  <c r="A7" i="10"/>
  <c r="A3" i="10"/>
  <c r="A2" i="10"/>
  <c r="A1" i="10"/>
  <c r="A8" i="8"/>
  <c r="B7" i="8"/>
  <c r="A7" i="8"/>
  <c r="A3" i="8"/>
  <c r="A2" i="8"/>
  <c r="A1" i="8"/>
  <c r="A8" i="7"/>
  <c r="B7" i="7"/>
  <c r="A7" i="7"/>
  <c r="A3" i="7"/>
  <c r="A2" i="7"/>
  <c r="A1" i="7"/>
  <c r="D31" i="4"/>
  <c r="B31" i="4"/>
  <c r="D13" i="4"/>
  <c r="B13" i="4"/>
  <c r="A8" i="4"/>
  <c r="A26" i="4" s="1"/>
  <c r="B7" i="4"/>
  <c r="A7" i="4"/>
  <c r="A25" i="4" s="1"/>
  <c r="A3" i="4"/>
  <c r="A2" i="4"/>
  <c r="A1" i="4"/>
  <c r="A8" i="3"/>
  <c r="B7" i="3"/>
  <c r="A7" i="3"/>
  <c r="A3" i="3"/>
  <c r="A2" i="3"/>
  <c r="A1" i="3"/>
  <c r="T26" i="2" l="1"/>
  <c r="R26" i="2"/>
  <c r="K26" i="2"/>
  <c r="E26" i="2"/>
  <c r="U26" i="2"/>
  <c r="B44" i="1" s="1"/>
  <c r="B46" i="1" s="1"/>
  <c r="Q26" i="2"/>
  <c r="L26" i="2"/>
  <c r="F26" i="2"/>
  <c r="F27" i="2" s="1"/>
  <c r="S26" i="2"/>
  <c r="P26" i="2"/>
  <c r="I26" i="2"/>
  <c r="I27" i="2" s="1"/>
  <c r="G26" i="2"/>
  <c r="G27" i="2" s="1"/>
  <c r="O26" i="2"/>
  <c r="N26" i="2"/>
  <c r="M26" i="2"/>
  <c r="J26" i="2"/>
  <c r="H26" i="2"/>
  <c r="H27" i="2" s="1"/>
  <c r="D32" i="11"/>
  <c r="B32" i="11"/>
  <c r="D14" i="11"/>
  <c r="B14" i="11"/>
  <c r="D32" i="4"/>
  <c r="B32" i="4"/>
  <c r="D14" i="4"/>
  <c r="B14" i="4"/>
  <c r="K27" i="2" l="1"/>
  <c r="J27" i="2"/>
  <c r="B48" i="1"/>
  <c r="B47" i="1"/>
  <c r="B33" i="11"/>
  <c r="D33" i="11"/>
  <c r="B15" i="11"/>
  <c r="D15" i="11"/>
  <c r="D33" i="4"/>
  <c r="B33" i="4"/>
  <c r="D15" i="4"/>
  <c r="B15" i="4"/>
  <c r="B34" i="11" l="1"/>
  <c r="D34" i="11"/>
  <c r="B16" i="11"/>
  <c r="D16" i="11"/>
  <c r="D34" i="4"/>
  <c r="B34" i="4"/>
  <c r="B16" i="4"/>
  <c r="D16" i="4"/>
  <c r="B35" i="11" l="1"/>
  <c r="D35" i="11"/>
  <c r="B17" i="11"/>
  <c r="D17" i="11"/>
  <c r="B35" i="4"/>
  <c r="D35" i="4"/>
  <c r="D17" i="4"/>
  <c r="B17" i="4"/>
  <c r="B36" i="11" l="1"/>
  <c r="D36" i="11"/>
  <c r="B18" i="11"/>
  <c r="D18" i="11"/>
  <c r="B36" i="4"/>
  <c r="D36" i="4"/>
  <c r="B18" i="4"/>
  <c r="D18" i="4"/>
  <c r="B37" i="11" l="1"/>
  <c r="D37" i="11"/>
  <c r="B19" i="11"/>
  <c r="D19" i="11"/>
  <c r="B37" i="4"/>
  <c r="D37" i="4"/>
  <c r="D19" i="4"/>
  <c r="B19" i="4"/>
  <c r="B38" i="11" l="1"/>
  <c r="D38" i="11"/>
  <c r="B20" i="11"/>
  <c r="D20" i="11"/>
  <c r="B38" i="4"/>
  <c r="D38" i="4"/>
  <c r="B20" i="4"/>
  <c r="D20" i="4"/>
  <c r="B39" i="11" l="1"/>
  <c r="D39" i="11"/>
  <c r="B40" i="11" s="1"/>
  <c r="B21" i="11"/>
  <c r="D21" i="11"/>
  <c r="B22" i="11" s="1"/>
  <c r="D39" i="4"/>
  <c r="B40" i="4" s="1"/>
  <c r="B39" i="4"/>
  <c r="D21" i="4"/>
  <c r="B22" i="4" s="1"/>
  <c r="B21" i="4"/>
</calcChain>
</file>

<file path=xl/sharedStrings.xml><?xml version="1.0" encoding="utf-8"?>
<sst xmlns="http://schemas.openxmlformats.org/spreadsheetml/2006/main" count="26530" uniqueCount="11817">
  <si>
    <t>Layer Status</t>
  </si>
  <si>
    <t>Authorization Requested</t>
  </si>
  <si>
    <t>Reinsurer Quote response</t>
  </si>
  <si>
    <t xml:space="preserve">Authorization Requested by Date </t>
  </si>
  <si>
    <t>Information</t>
  </si>
  <si>
    <t>Currency</t>
  </si>
  <si>
    <t xml:space="preserve">Coverage Effective Date </t>
  </si>
  <si>
    <t>Coverage Expiration Date</t>
  </si>
  <si>
    <t>Territorial Scope</t>
  </si>
  <si>
    <t>Treaty Basis</t>
  </si>
  <si>
    <t>Losses occurring or risk attaching</t>
  </si>
  <si>
    <t>Class Of Business</t>
  </si>
  <si>
    <t>Line Of Business</t>
  </si>
  <si>
    <t>Contract Nature</t>
  </si>
  <si>
    <t>non-proportional</t>
  </si>
  <si>
    <t>Coverage Type</t>
  </si>
  <si>
    <t>per risk excess of loss</t>
  </si>
  <si>
    <t xml:space="preserve">Basis of Lines </t>
  </si>
  <si>
    <t xml:space="preserve">Basis Of Lines </t>
  </si>
  <si>
    <t>Basis Of Lines Pot</t>
  </si>
  <si>
    <t xml:space="preserve">Coverage Details </t>
  </si>
  <si>
    <t>unlimited</t>
  </si>
  <si>
    <t>No</t>
  </si>
  <si>
    <t>Coverage Terms Currency</t>
  </si>
  <si>
    <t>Risk Definition</t>
  </si>
  <si>
    <t>per risk</t>
  </si>
  <si>
    <t>coverage limit</t>
  </si>
  <si>
    <t>coverage retention</t>
  </si>
  <si>
    <t>Other Contract Limits</t>
  </si>
  <si>
    <t>type</t>
  </si>
  <si>
    <t>other: description</t>
  </si>
  <si>
    <t>occurrence limit</t>
  </si>
  <si>
    <t>limit amount</t>
  </si>
  <si>
    <t>currency</t>
  </si>
  <si>
    <t>risk definition</t>
  </si>
  <si>
    <t>per occurrence per event</t>
  </si>
  <si>
    <t>description</t>
  </si>
  <si>
    <t>qualifying attachments</t>
  </si>
  <si>
    <t>annual aggregate deductible</t>
  </si>
  <si>
    <t>amount</t>
  </si>
  <si>
    <t>occurrence</t>
  </si>
  <si>
    <t>pricing</t>
  </si>
  <si>
    <t>adj rate</t>
  </si>
  <si>
    <t>adj rate %</t>
  </si>
  <si>
    <t>subject base type</t>
  </si>
  <si>
    <t>estimated gross net premium income</t>
  </si>
  <si>
    <t>subject base amount</t>
  </si>
  <si>
    <t>Premium</t>
  </si>
  <si>
    <t>contract premium</t>
  </si>
  <si>
    <t>deposit premium</t>
  </si>
  <si>
    <t>minimum premium</t>
  </si>
  <si>
    <t>minimum premium %</t>
  </si>
  <si>
    <t>deposit premium %</t>
  </si>
  <si>
    <t>Reinstatements</t>
  </si>
  <si>
    <t>number</t>
  </si>
  <si>
    <t>prepaid/free</t>
  </si>
  <si>
    <t>paid in currency</t>
  </si>
  <si>
    <t>conditions?</t>
  </si>
  <si>
    <t>none</t>
  </si>
  <si>
    <t>installments</t>
  </si>
  <si>
    <t>frequency</t>
  </si>
  <si>
    <t>details: installment 1</t>
  </si>
  <si>
    <t>installment date</t>
  </si>
  <si>
    <t>details: installment 2</t>
  </si>
  <si>
    <t>details: installment 3</t>
  </si>
  <si>
    <t xml:space="preserve">Brokerage </t>
  </si>
  <si>
    <t>Brokerage %</t>
  </si>
  <si>
    <t>Reinstatement Brokerage %</t>
  </si>
  <si>
    <t>Gross or Net</t>
  </si>
  <si>
    <t>Insurer We</t>
  </si>
  <si>
    <t>2025 Property Per risk Excess of Loss</t>
  </si>
  <si>
    <t>Premium Information - Gross Net Earned Premium Income</t>
  </si>
  <si>
    <t>Data as of:</t>
  </si>
  <si>
    <t>Currency:</t>
  </si>
  <si>
    <t>Gross net earned premium income</t>
  </si>
  <si>
    <t>2024 Projected</t>
  </si>
  <si>
    <t>2024 Revised</t>
  </si>
  <si>
    <t>2025 projected</t>
  </si>
  <si>
    <t>total subject GNEPI</t>
  </si>
  <si>
    <t>% change total</t>
  </si>
  <si>
    <t>Premium information - historical GNEPI projections</t>
  </si>
  <si>
    <t>original projection</t>
  </si>
  <si>
    <t>actual total GNEPI</t>
  </si>
  <si>
    <t>by policies</t>
  </si>
  <si>
    <t>by locations</t>
  </si>
  <si>
    <t>by buildings</t>
  </si>
  <si>
    <t>number of policies</t>
  </si>
  <si>
    <t>premiums</t>
  </si>
  <si>
    <t>number of locations</t>
  </si>
  <si>
    <t>number of buildings</t>
  </si>
  <si>
    <t>gross limits range</t>
  </si>
  <si>
    <t>to</t>
  </si>
  <si>
    <t>total</t>
  </si>
  <si>
    <t>restated loss on go forward basis</t>
  </si>
  <si>
    <t>historical actual GNEPI</t>
  </si>
  <si>
    <t>historical projected GNEPI</t>
  </si>
  <si>
    <t>Commercial Property</t>
  </si>
  <si>
    <t>Personal Property</t>
  </si>
  <si>
    <t>CA</t>
  </si>
  <si>
    <t>NY</t>
  </si>
  <si>
    <t>TX</t>
  </si>
  <si>
    <t>FL</t>
  </si>
  <si>
    <t>IL</t>
  </si>
  <si>
    <t>State</t>
  </si>
  <si>
    <t>Year</t>
  </si>
  <si>
    <t>State/ Year</t>
  </si>
  <si>
    <t>Class of business</t>
  </si>
  <si>
    <t>Exposure information - limits profile - Commercial Property</t>
  </si>
  <si>
    <t>Exposure information - limits profile - Personal Property</t>
  </si>
  <si>
    <t>comments - whether we would write again (yes/no)</t>
  </si>
  <si>
    <t>USD</t>
  </si>
  <si>
    <t>Experience information - Commercial Property - Non-Cat losses</t>
  </si>
  <si>
    <t>Experience information - Commercial Property - large losses from cat events</t>
  </si>
  <si>
    <t>Rate Change (%)</t>
  </si>
  <si>
    <t>2025 Projected</t>
  </si>
  <si>
    <t>LoB Total</t>
  </si>
  <si>
    <t>LoB Average</t>
  </si>
  <si>
    <t>Claim No.</t>
  </si>
  <si>
    <t>Open/Closed</t>
  </si>
  <si>
    <t>Effective Date</t>
  </si>
  <si>
    <t>Limit</t>
  </si>
  <si>
    <t>Policy Limit</t>
  </si>
  <si>
    <t>Loss Date</t>
  </si>
  <si>
    <t>Report Date</t>
  </si>
  <si>
    <t>AY</t>
  </si>
  <si>
    <t>Cat/Non-Cat</t>
  </si>
  <si>
    <t>Paid Loss</t>
  </si>
  <si>
    <t>Outstanding Loss</t>
  </si>
  <si>
    <t>Gross Incurred Loss</t>
  </si>
  <si>
    <t>Description</t>
  </si>
  <si>
    <t>Cat Type</t>
  </si>
  <si>
    <t>Risk Location</t>
  </si>
  <si>
    <t>Notes:</t>
  </si>
  <si>
    <t>Policy ID</t>
  </si>
  <si>
    <t>Insured ID</t>
  </si>
  <si>
    <t xml:space="preserve"> Policy Year</t>
  </si>
  <si>
    <t>Expiration Date</t>
  </si>
  <si>
    <t>New/Renewed</t>
  </si>
  <si>
    <t>Written Premium</t>
  </si>
  <si>
    <t>Exposure Listing - Commercial Property</t>
  </si>
  <si>
    <t># Locations</t>
  </si>
  <si>
    <t># Buildings</t>
  </si>
  <si>
    <t>Exposure Listing - Personal Property</t>
  </si>
  <si>
    <t>effective date:</t>
  </si>
  <si>
    <t>Commercial and Personal</t>
  </si>
  <si>
    <t>US (CA, NY, TX, FL, IL states)</t>
  </si>
  <si>
    <t>Property</t>
  </si>
  <si>
    <t>100% basis</t>
  </si>
  <si>
    <t>35% available</t>
  </si>
  <si>
    <t>layer 1: 4M xs 1M</t>
  </si>
  <si>
    <t>layer 2: 5M xs 5M</t>
  </si>
  <si>
    <t>layer 3: 10M xs 10M</t>
  </si>
  <si>
    <t>layer 1: 4M; layer 2: 5M; layer 3: 10M</t>
  </si>
  <si>
    <t>layer 1: 1M; layer 2: 5M; layer 3: 10M</t>
  </si>
  <si>
    <t>Occurrence limit</t>
  </si>
  <si>
    <t>One event involving multiple risks capped at $20,000,000</t>
  </si>
  <si>
    <t>Layer 1: 5.50%; Layer 2: 3.25%; Layer 3: 1.85%</t>
  </si>
  <si>
    <t>TBD</t>
  </si>
  <si>
    <t>1 paid reinstatement at 100% pro rata as to amount/time</t>
  </si>
  <si>
    <t>100% of original premium, pro rata as to amount/time</t>
  </si>
  <si>
    <t>Quarterly</t>
  </si>
  <si>
    <t>Gross</t>
  </si>
  <si>
    <t>C1-1051</t>
  </si>
  <si>
    <t>Closed</t>
  </si>
  <si>
    <t>Cat</t>
  </si>
  <si>
    <t>Wildfire destroyed multiple commercial buildings, with ember-driven roof ignition and heavy smoke contamination throughout the complex.</t>
  </si>
  <si>
    <t>wildfire</t>
  </si>
  <si>
    <t>yes</t>
  </si>
  <si>
    <t>C1-1069</t>
  </si>
  <si>
    <t>Wildfire heat and flying embers ignited the warehouse exterior, causing major fire loss and widespread stock damage.</t>
  </si>
  <si>
    <t>no</t>
  </si>
  <si>
    <t>C1-1107</t>
  </si>
  <si>
    <t>Mudflow after wildfire overwhelmed the commercial site, filling ground floors with debris and causing major property damage.</t>
  </si>
  <si>
    <t>mudflow</t>
  </si>
  <si>
    <t>C1-1119</t>
  </si>
  <si>
    <t>Earthquake shifted the foundation and fractured utility lines, leading to extensive structural and water damage.</t>
  </si>
  <si>
    <t>earthquake</t>
  </si>
  <si>
    <t>C1-1148</t>
  </si>
  <si>
    <t>Flood from intense rainfall submerged the shopping center, causing severe damage to tenant buildouts and equipment.</t>
  </si>
  <si>
    <t>flood</t>
  </si>
  <si>
    <t>Earthquake triggered partial facade collapse and extensive interior damage across several occupied commercial units.</t>
  </si>
  <si>
    <t>C1-1154</t>
  </si>
  <si>
    <t>C1-1178</t>
  </si>
  <si>
    <t>C1-1188</t>
  </si>
  <si>
    <t>C1-1190</t>
  </si>
  <si>
    <t>Wildfire smoke and suppression water rendered a hotel property heavily damaged and temporarily unusable.</t>
  </si>
  <si>
    <t>C1-1202</t>
  </si>
  <si>
    <t>C1-1203</t>
  </si>
  <si>
    <t>C1-1214</t>
  </si>
  <si>
    <t>Severe convective storm tore off roofing and allowed heavy rain intrusion, damaging inventory, ceilings, and electrical systems.</t>
  </si>
  <si>
    <t>convective storm</t>
  </si>
  <si>
    <t>C1-1228</t>
  </si>
  <si>
    <t>C1-1229</t>
  </si>
  <si>
    <t>Earthquake caused severe structural cracking, partial collapse, and major interior damage to a multi-tenant commercial property.</t>
  </si>
  <si>
    <t>C1-1247</t>
  </si>
  <si>
    <t>C1-1249</t>
  </si>
  <si>
    <t>C1-1259</t>
  </si>
  <si>
    <t>Atmospheric river flood inundated retail and office space, destroying interiors, equipment, and lower-level mechanical systems.</t>
  </si>
  <si>
    <t>C1-1266</t>
  </si>
  <si>
    <t>C1-1277</t>
  </si>
  <si>
    <t>C1-1286</t>
  </si>
  <si>
    <t>C1-1293</t>
  </si>
  <si>
    <t>C1-1296</t>
  </si>
  <si>
    <t>C1-1299</t>
  </si>
  <si>
    <t>C1-1313</t>
  </si>
  <si>
    <t>C1-1315</t>
  </si>
  <si>
    <t>C1-1321</t>
  </si>
  <si>
    <t>C1-1323</t>
  </si>
  <si>
    <t>C1-1339</t>
  </si>
  <si>
    <t>C1-1349</t>
  </si>
  <si>
    <t>C1-1371</t>
  </si>
  <si>
    <t>C1-1386</t>
  </si>
  <si>
    <t>C1-1401</t>
  </si>
  <si>
    <t>C1-1403</t>
  </si>
  <si>
    <t>C1-1416</t>
  </si>
  <si>
    <t>C1-1427</t>
  </si>
  <si>
    <t>C1-1429</t>
  </si>
  <si>
    <t>C1-1431</t>
  </si>
  <si>
    <t>C1-1432</t>
  </si>
  <si>
    <t>Open</t>
  </si>
  <si>
    <t>C1-1434</t>
  </si>
  <si>
    <t>C1-1440</t>
  </si>
  <si>
    <t>C1-1453</t>
  </si>
  <si>
    <t>C1-1466</t>
  </si>
  <si>
    <t>C1-1479</t>
  </si>
  <si>
    <t>C1-1491</t>
  </si>
  <si>
    <t>C1-1499</t>
  </si>
  <si>
    <t>C1-1511</t>
  </si>
  <si>
    <t>C1-1522</t>
  </si>
  <si>
    <t>C1-1538</t>
  </si>
  <si>
    <t>C1-1543</t>
  </si>
  <si>
    <t>C1-1544</t>
  </si>
  <si>
    <t>C1-1572</t>
  </si>
  <si>
    <t>C1-1583</t>
  </si>
  <si>
    <t>C1-1596</t>
  </si>
  <si>
    <t>C1-1603</t>
  </si>
  <si>
    <t>C1-1604</t>
  </si>
  <si>
    <t>C1-1618</t>
  </si>
  <si>
    <t>C1-1622</t>
  </si>
  <si>
    <t>C1-1627</t>
  </si>
  <si>
    <t>C1-1637</t>
  </si>
  <si>
    <t>C1-1648</t>
  </si>
  <si>
    <t>C1-1649</t>
  </si>
  <si>
    <t>C1-1655</t>
  </si>
  <si>
    <t>C1-1663</t>
  </si>
  <si>
    <t>C1-1678</t>
  </si>
  <si>
    <t>C1-1681</t>
  </si>
  <si>
    <t>C1-1684</t>
  </si>
  <si>
    <t>C1-1699</t>
  </si>
  <si>
    <t>C1-1704</t>
  </si>
  <si>
    <t>C1-1722</t>
  </si>
  <si>
    <t>C1-1726</t>
  </si>
  <si>
    <t>C1-1751</t>
  </si>
  <si>
    <t>C1-1756</t>
  </si>
  <si>
    <t>C1-1766</t>
  </si>
  <si>
    <t>C1-1767</t>
  </si>
  <si>
    <t>C1-1770</t>
  </si>
  <si>
    <t>C1-1776</t>
  </si>
  <si>
    <t>C1-1777</t>
  </si>
  <si>
    <t>C1-1793</t>
  </si>
  <si>
    <t>C1-1794</t>
  </si>
  <si>
    <t>C1-1818</t>
  </si>
  <si>
    <t>C1-1821</t>
  </si>
  <si>
    <t>C1-1822</t>
  </si>
  <si>
    <t>C1-1825</t>
  </si>
  <si>
    <t>C1-1847</t>
  </si>
  <si>
    <t>C1-1854</t>
  </si>
  <si>
    <t>C2-0364</t>
  </si>
  <si>
    <t>Non-Cat</t>
  </si>
  <si>
    <t>Major water intrusion damaged artwork, electronics, flooring, and luxury furnishings.</t>
  </si>
  <si>
    <t>C2-0365</t>
  </si>
  <si>
    <t>Second-floor plumbing failure soaked ceilings, walls, and furniture below.</t>
  </si>
  <si>
    <t>C2-0371</t>
  </si>
  <si>
    <t>Severe collapse and water intrusion destroyed interiors, contents, and built-ins.</t>
  </si>
  <si>
    <t>C2-0378</t>
  </si>
  <si>
    <t>Water intrusion through windows damaged upholstery, rugs, and wood flooring.</t>
  </si>
  <si>
    <t>C2-0380</t>
  </si>
  <si>
    <t>Burst pipe behind wall caused mold damage and demolition of finishes.</t>
  </si>
  <si>
    <t>C2-0381</t>
  </si>
  <si>
    <t>Kitchen fire spread into ceiling, damaging appliances, cabinets, and adjacent rooms.</t>
  </si>
  <si>
    <t>C2-0382</t>
  </si>
  <si>
    <t>Severe fire destroyed kitchen, living spaces, and most contents on one floor.</t>
  </si>
  <si>
    <t>C2-0385</t>
  </si>
  <si>
    <t>Attic fire caused heavy smoke damage and destruction of stored possessions.</t>
  </si>
  <si>
    <t>C2-0387</t>
  </si>
  <si>
    <t>Major plumbing failure caused widespread damage to interiors and valuable furnishings.</t>
  </si>
  <si>
    <t>C2-0390</t>
  </si>
  <si>
    <t>Localized fire in media room damaged electronics, seating, and wall finishes.</t>
  </si>
  <si>
    <t>C2-0391</t>
  </si>
  <si>
    <t>Burst pipe flooded several rooms, damaging wood floors and upholstered furniture.</t>
  </si>
  <si>
    <t>C2-0393</t>
  </si>
  <si>
    <t>C2-0396</t>
  </si>
  <si>
    <t>C2-0398</t>
  </si>
  <si>
    <t>C2-0399</t>
  </si>
  <si>
    <t>Chimney fire spread into walls, damaging several rooms and household property.</t>
  </si>
  <si>
    <t>C2-0400</t>
  </si>
  <si>
    <t>Partial kitchen fire damaged cabinets, appliances, flooring, and nearby furnishings.</t>
  </si>
  <si>
    <t>C2-0405</t>
  </si>
  <si>
    <t>Kitchen explosion damaged cabinets, appliances, walls, and nearby household furniture.</t>
  </si>
  <si>
    <t>C2-0407</t>
  </si>
  <si>
    <t>Fire in attached garage caused severe smoke and heat damage indoors.</t>
  </si>
  <si>
    <t>C2-0413</t>
  </si>
  <si>
    <t>Small explosion from gas appliance damaged kitchen and adjoining room contents.</t>
  </si>
  <si>
    <t>C2-0414</t>
  </si>
  <si>
    <t>Catastrophic fire loss consumed most rooms and nearly all household belongings.</t>
  </si>
  <si>
    <t>C2-0415</t>
  </si>
  <si>
    <t>Water heater rupture damaged built-ins, flooring, and multiple rooms of contents.</t>
  </si>
  <si>
    <t>C2-0418</t>
  </si>
  <si>
    <t>Major multi-room fire damaged structure and most personal property inside.</t>
  </si>
  <si>
    <t>C2-0422</t>
  </si>
  <si>
    <t>C2-0423</t>
  </si>
  <si>
    <t>Appliance malfunction caused smoke and soot damage across multiple rooms.</t>
  </si>
  <si>
    <t>C2-0424</t>
  </si>
  <si>
    <t>Washer hose failure flooded upper floor and ruined furniture below.</t>
  </si>
  <si>
    <t>C2-0425</t>
  </si>
  <si>
    <t>C2-0426</t>
  </si>
  <si>
    <t>Broken main line flooded lower floor, damaging contents and cabinetry throughout.</t>
  </si>
  <si>
    <t>C2-0427</t>
  </si>
  <si>
    <t>Garage fire spread into living area, damaging contents and structural finishes.</t>
  </si>
  <si>
    <t>C2-0428</t>
  </si>
  <si>
    <t>Major plumbing leak damaged flooring, drywall, cabinetry, and contents on two levels.</t>
  </si>
  <si>
    <t>C2-0430</t>
  </si>
  <si>
    <t>Catastrophic water damage affected most rooms, contents, and built-in cabinetry.</t>
  </si>
  <si>
    <t>C2-0431</t>
  </si>
  <si>
    <t>C2-0432</t>
  </si>
  <si>
    <t>Minor roof collapse over garage damaged stored property and interior finishes.</t>
  </si>
  <si>
    <t>C2-0433</t>
  </si>
  <si>
    <t>Large aquarium failure flooded lower level and damaged electronics and furnishings.</t>
  </si>
  <si>
    <t>C2-0434</t>
  </si>
  <si>
    <t>Electrical fire damaged primary bedroom suite and adjacent closet contents.</t>
  </si>
  <si>
    <t>C2-0438</t>
  </si>
  <si>
    <t>Leak above custom library damaged books, millwork, rugs, and furniture.</t>
  </si>
  <si>
    <t>C2-0439</t>
  </si>
  <si>
    <t>Leak from radiant heating system damaged flooring and built-in cabinetry.</t>
  </si>
  <si>
    <t>C2-0440</t>
  </si>
  <si>
    <t>C2-0441</t>
  </si>
  <si>
    <t>Water damage required replacement of flooring, cabinetry, and extensive personal property.</t>
  </si>
  <si>
    <t>C2-0442</t>
  </si>
  <si>
    <t>C2-0444</t>
  </si>
  <si>
    <t>C2-0450</t>
  </si>
  <si>
    <t>C2-0452</t>
  </si>
  <si>
    <t>C2-0453</t>
  </si>
  <si>
    <t>Roof leak damaged custom drapes, furniture, and hardwood flooring below.</t>
  </si>
  <si>
    <t>C2-0458</t>
  </si>
  <si>
    <t>Extensive roof failure allowed major water intrusion across multiple furnished rooms.</t>
  </si>
  <si>
    <t>C2-0461</t>
  </si>
  <si>
    <t>Fireplace malfunction caused fire damage to den furniture and built-in shelving.</t>
  </si>
  <si>
    <t>C2-0466</t>
  </si>
  <si>
    <t>C2-0471</t>
  </si>
  <si>
    <t>Large bathroom overflow damaged multiple rooms, ceilings, and high-end finishes.</t>
  </si>
  <si>
    <t>C2-0475</t>
  </si>
  <si>
    <t>Appliance fire damaged kitchen, dining room, and smoke-affected upper-level rooms.</t>
  </si>
  <si>
    <t>C2-0476</t>
  </si>
  <si>
    <t>C2-0477</t>
  </si>
  <si>
    <t>C2-0478</t>
  </si>
  <si>
    <t>C2-0482</t>
  </si>
  <si>
    <t>C2-0485</t>
  </si>
  <si>
    <t>Major collapse damaged interior rooms, furnishings, and stored belongings throughout.</t>
  </si>
  <si>
    <t>C2-0486</t>
  </si>
  <si>
    <t>Large interior leak damaged several levels and contents throughout the home.</t>
  </si>
  <si>
    <t>C2-0490</t>
  </si>
  <si>
    <t>C2-0491</t>
  </si>
  <si>
    <t>C2-0493</t>
  </si>
  <si>
    <t>Large roof leak caused widespread water damage to furnishings and finishes.</t>
  </si>
  <si>
    <t>C2-0495</t>
  </si>
  <si>
    <t>C2-0498</t>
  </si>
  <si>
    <t>C2-0499</t>
  </si>
  <si>
    <t>C2-0504</t>
  </si>
  <si>
    <t>Fire spread through walls, heavily damaging bedrooms, closets, and stored belongings.</t>
  </si>
  <si>
    <t>C2-0505</t>
  </si>
  <si>
    <t>Wind-driven rain entered home, damaging flooring, furniture, and interior finishes.</t>
  </si>
  <si>
    <t>C2-0506</t>
  </si>
  <si>
    <t>Roof collapse over bedroom damaged furnishings, clothing, and structural finishes.</t>
  </si>
  <si>
    <t>C2-0508</t>
  </si>
  <si>
    <t>Garage freezer failure leaked water, damaging flooring and stored household goods.</t>
  </si>
  <si>
    <t>C2-0509</t>
  </si>
  <si>
    <t>C2-0510</t>
  </si>
  <si>
    <t>Heavy smoke and soot damaged nearly all rooms and household contents.</t>
  </si>
  <si>
    <t>C2-0511</t>
  </si>
  <si>
    <t>C2-0512</t>
  </si>
  <si>
    <t>C2-0515</t>
  </si>
  <si>
    <t>Water line break damaged custom closets, clothing, and bedroom furniture.</t>
  </si>
  <si>
    <t>C2-0519</t>
  </si>
  <si>
    <t>C2-0520</t>
  </si>
  <si>
    <t>C2-0522</t>
  </si>
  <si>
    <t>C2-0523</t>
  </si>
  <si>
    <t>C2-0524</t>
  </si>
  <si>
    <t>C2-0528</t>
  </si>
  <si>
    <t>C2-0531</t>
  </si>
  <si>
    <t>Electrical arcing damaged built-in systems, kitchen equipment, and home office contents.</t>
  </si>
  <si>
    <t>C2-0534</t>
  </si>
  <si>
    <t>C2-0535</t>
  </si>
  <si>
    <t>C2-0536</t>
  </si>
  <si>
    <t>C2-0537</t>
  </si>
  <si>
    <t>C2-0539</t>
  </si>
  <si>
    <t>C2-0543</t>
  </si>
  <si>
    <t>C2-0545</t>
  </si>
  <si>
    <t>C2-0546</t>
  </si>
  <si>
    <t>C2-0547</t>
  </si>
  <si>
    <t>C2-0548</t>
  </si>
  <si>
    <t>Skylight failure allowed heavy rain damage to furniture and electronics.</t>
  </si>
  <si>
    <t>C2-0549</t>
  </si>
  <si>
    <t>Furnace malfunction caused smoke damage throughout house and heavy content cleaning.</t>
  </si>
  <si>
    <t>C2-0550</t>
  </si>
  <si>
    <t>Leak from second-floor bathroom damaged ceilings, walls, and living room contents.</t>
  </si>
  <si>
    <t>C2-0551</t>
  </si>
  <si>
    <t>C2-0552</t>
  </si>
  <si>
    <t>C2-0553</t>
  </si>
  <si>
    <t>Sewer backup affected basement and first floor, damaging contents and interiors.</t>
  </si>
  <si>
    <t>C2-0554</t>
  </si>
  <si>
    <t>C2-0555</t>
  </si>
  <si>
    <t>C2-0556</t>
  </si>
  <si>
    <t>C2-0557</t>
  </si>
  <si>
    <t>C2-0559</t>
  </si>
  <si>
    <t>Extensive water loss destroyed flooring, furniture, electronics, and luxury interior finishes.</t>
  </si>
  <si>
    <t>C2-0563</t>
  </si>
  <si>
    <t>C2-0565</t>
  </si>
  <si>
    <t>C2-0566</t>
  </si>
  <si>
    <t>C2-0567</t>
  </si>
  <si>
    <t>C2-0570</t>
  </si>
  <si>
    <t>C2-0572</t>
  </si>
  <si>
    <t>C2-0573</t>
  </si>
  <si>
    <t>C2-0574</t>
  </si>
  <si>
    <t>C2-0579</t>
  </si>
  <si>
    <t>C2-0580</t>
  </si>
  <si>
    <t>Electrical fire in utility room damaged systems and smoke-affected nearby rooms.</t>
  </si>
  <si>
    <t>C2-0581</t>
  </si>
  <si>
    <t>Large fire destroyed bedrooms, electronics, clothing, and custom interior finishes.</t>
  </si>
  <si>
    <t>C2-0582</t>
  </si>
  <si>
    <t>Sump pump failure flooded basement, damaging furniture, rugs, and appliances.</t>
  </si>
  <si>
    <t>C2-0583</t>
  </si>
  <si>
    <t>C2-0584</t>
  </si>
  <si>
    <t>C2-0589</t>
  </si>
  <si>
    <t>C2-0590</t>
  </si>
  <si>
    <t>C2-0591</t>
  </si>
  <si>
    <t>C2-0593</t>
  </si>
  <si>
    <t>Small attic fire caused smoke damage throughout upper-level rooms and contents.</t>
  </si>
  <si>
    <t>C2-0594</t>
  </si>
  <si>
    <t>Water intrusion damaged custom millwork, flooring, and high-value household contents.</t>
  </si>
  <si>
    <t>C2-0596</t>
  </si>
  <si>
    <t>C2-0598</t>
  </si>
  <si>
    <t>C2-0600</t>
  </si>
  <si>
    <t>Severe garage-to-house fire caused extensive structural and personal property loss.</t>
  </si>
  <si>
    <t>C2-0601</t>
  </si>
  <si>
    <t>C2-0602</t>
  </si>
  <si>
    <t>C2-0603</t>
  </si>
  <si>
    <t>C2-0604</t>
  </si>
  <si>
    <t>C2-0606</t>
  </si>
  <si>
    <t>C2-0612</t>
  </si>
  <si>
    <t>C2-0613</t>
  </si>
  <si>
    <t>C2-0620</t>
  </si>
  <si>
    <t>C2-0621</t>
  </si>
  <si>
    <t>C2-0623</t>
  </si>
  <si>
    <t>C2-0625</t>
  </si>
  <si>
    <t>Pipe break during vacancy caused extensive water damage to interiors and contents.</t>
  </si>
  <si>
    <t>C2-0627</t>
  </si>
  <si>
    <t>C2-0628</t>
  </si>
  <si>
    <t>C2-0629</t>
  </si>
  <si>
    <t>C2-0630</t>
  </si>
  <si>
    <t>C2-0631</t>
  </si>
  <si>
    <t>C2-0636</t>
  </si>
  <si>
    <t>C2-0639</t>
  </si>
  <si>
    <t>Broken upstairs pipe soaked ceilings, furniture, and flooring on two levels.</t>
  </si>
  <si>
    <t>C2-0640</t>
  </si>
  <si>
    <t>C2-0642</t>
  </si>
  <si>
    <t>C2-0651</t>
  </si>
  <si>
    <t>C2-0652</t>
  </si>
  <si>
    <t>C2-0653</t>
  </si>
  <si>
    <t>Near-total kitchen fire loss spread through main level and upper rooms.</t>
  </si>
  <si>
    <t>C2-0654</t>
  </si>
  <si>
    <t>C2-0658</t>
  </si>
  <si>
    <t>C2-0659</t>
  </si>
  <si>
    <t>C2-0662</t>
  </si>
  <si>
    <t>C2-0663</t>
  </si>
  <si>
    <t>C2-0666</t>
  </si>
  <si>
    <t>C2-0667</t>
  </si>
  <si>
    <t>C2-0669</t>
  </si>
  <si>
    <t>Massive smoke, heat, and water damage rendered the residence largely unsalvageable.</t>
  </si>
  <si>
    <t>C2-0671</t>
  </si>
  <si>
    <t>C2-0672</t>
  </si>
  <si>
    <t>C2-0673</t>
  </si>
  <si>
    <t>Widespread fire and smoke damage rendered most household contents unsalvageable.</t>
  </si>
  <si>
    <t>C2-0674</t>
  </si>
  <si>
    <t>C2-0675</t>
  </si>
  <si>
    <t>Near-total interior fire loss destroyed contents, finishes, and major household systems.</t>
  </si>
  <si>
    <t>C2-0677</t>
  </si>
  <si>
    <t>C2-0678</t>
  </si>
  <si>
    <t>C2-0680</t>
  </si>
  <si>
    <t>C2-0682</t>
  </si>
  <si>
    <t>C2-0684</t>
  </si>
  <si>
    <t>C2-0687</t>
  </si>
  <si>
    <t>C2-0688</t>
  </si>
  <si>
    <t>C2-0689</t>
  </si>
  <si>
    <t>C2-0691</t>
  </si>
  <si>
    <t>C2-0693</t>
  </si>
  <si>
    <t>C2-0694</t>
  </si>
  <si>
    <t>C2-0695</t>
  </si>
  <si>
    <t>C2-0696</t>
  </si>
  <si>
    <t>C2-0700</t>
  </si>
  <si>
    <t>C2-0701</t>
  </si>
  <si>
    <t>C2-0707</t>
  </si>
  <si>
    <t>C2-0708</t>
  </si>
  <si>
    <t>C2-0709</t>
  </si>
  <si>
    <t>C2-0710</t>
  </si>
  <si>
    <t>C2-0711</t>
  </si>
  <si>
    <t>C2-0712</t>
  </si>
  <si>
    <t>C2-0713</t>
  </si>
  <si>
    <t>C2-0715</t>
  </si>
  <si>
    <t>C2-0716</t>
  </si>
  <si>
    <t>C2-0717</t>
  </si>
  <si>
    <t>C2-0723</t>
  </si>
  <si>
    <t>C2-0727</t>
  </si>
  <si>
    <t>C2-0728</t>
  </si>
  <si>
    <t>C2-0729</t>
  </si>
  <si>
    <t>C2-0730</t>
  </si>
  <si>
    <t>C2-0731</t>
  </si>
  <si>
    <t>C2-0736</t>
  </si>
  <si>
    <t>C2-0742</t>
  </si>
  <si>
    <t>C2-0744</t>
  </si>
  <si>
    <t>C2-0745</t>
  </si>
  <si>
    <t>C2-0746</t>
  </si>
  <si>
    <t>C2-0747</t>
  </si>
  <si>
    <t>C2-0751</t>
  </si>
  <si>
    <t>C2-0753</t>
  </si>
  <si>
    <t>C2-0754</t>
  </si>
  <si>
    <t>C2-0757</t>
  </si>
  <si>
    <t>C2-0760</t>
  </si>
  <si>
    <t>C2-0761</t>
  </si>
  <si>
    <t>C2-0377</t>
  </si>
  <si>
    <t>Wildfire smoke and suppression water caused severe damage to interiors, appliances, and personal property.</t>
  </si>
  <si>
    <t>C2-0384</t>
  </si>
  <si>
    <t>Flood from atmospheric river inundated the home, destroying flooring, furnishings, and stored belongings.</t>
  </si>
  <si>
    <t>C2-0386</t>
  </si>
  <si>
    <t>C2-0392</t>
  </si>
  <si>
    <t>Severe convective storm tore off roofing, allowing major rain damage to furniture and household goods.</t>
  </si>
  <si>
    <t>C2-0404</t>
  </si>
  <si>
    <t>Wildfire destroyed the residence interior, with ember-driven ignition consuming furniture, clothing, and electronics.</t>
  </si>
  <si>
    <t>C2-0421</t>
  </si>
  <si>
    <t>Earthquake shifted the foundation, toppling furniture and shattering built-ins, electronics, and contents.</t>
  </si>
  <si>
    <t>C2-0446</t>
  </si>
  <si>
    <t>Earthquake triggered partial collapse, causing severe damage to interiors and nearly all personal belongings.</t>
  </si>
  <si>
    <t>C2-0451</t>
  </si>
  <si>
    <t>C2-0455</t>
  </si>
  <si>
    <t>C2-0469</t>
  </si>
  <si>
    <t>C2-0470</t>
  </si>
  <si>
    <t>C2-0474</t>
  </si>
  <si>
    <t>Earthquake caused severe structural cracking and collapse, crushing household contents throughout multiple rooms.</t>
  </si>
  <si>
    <t>C2-0483</t>
  </si>
  <si>
    <t>C2-0487</t>
  </si>
  <si>
    <t>C2-0488</t>
  </si>
  <si>
    <t>C2-0489</t>
  </si>
  <si>
    <t>Flood entered the residence and submerged most contents, including appliances, furniture, and clothing.</t>
  </si>
  <si>
    <t>C2-0492</t>
  </si>
  <si>
    <t>Mudflow after wildfire filled the lower level, severely damaging contents, flooring, and walls.</t>
  </si>
  <si>
    <t>C2-0494</t>
  </si>
  <si>
    <t>C2-0516</t>
  </si>
  <si>
    <t>C2-0517</t>
  </si>
  <si>
    <t>C2-0526</t>
  </si>
  <si>
    <t>C2-0530</t>
  </si>
  <si>
    <t>Wildfire heat shattered windows and ignited interior rooms, causing catastrophic content loss.</t>
  </si>
  <si>
    <t>C2-0532</t>
  </si>
  <si>
    <t>C2-0538</t>
  </si>
  <si>
    <t>C2-0544</t>
  </si>
  <si>
    <t>C2-0560</t>
  </si>
  <si>
    <t>C2-0564</t>
  </si>
  <si>
    <t>C2-0569</t>
  </si>
  <si>
    <t>C2-0576</t>
  </si>
  <si>
    <t>C2-0578</t>
  </si>
  <si>
    <t>C2-0586</t>
  </si>
  <si>
    <t>C2-0587</t>
  </si>
  <si>
    <t>C2-0588</t>
  </si>
  <si>
    <t>C2-0592</t>
  </si>
  <si>
    <t>C2-0597</t>
  </si>
  <si>
    <t>C2-0605</t>
  </si>
  <si>
    <t>C2-0607</t>
  </si>
  <si>
    <t>C2-0608</t>
  </si>
  <si>
    <t>C2-0610</t>
  </si>
  <si>
    <t>C2-0611</t>
  </si>
  <si>
    <t>C2-0615</t>
  </si>
  <si>
    <t>C2-0617</t>
  </si>
  <si>
    <t>C2-0618</t>
  </si>
  <si>
    <t>C2-0619</t>
  </si>
  <si>
    <t>C2-0622</t>
  </si>
  <si>
    <t>C2-0624</t>
  </si>
  <si>
    <t>C2-0634</t>
  </si>
  <si>
    <t>C2-0637</t>
  </si>
  <si>
    <t>C2-0638</t>
  </si>
  <si>
    <t>C2-0646</t>
  </si>
  <si>
    <t>C2-0647</t>
  </si>
  <si>
    <t>C2-0648</t>
  </si>
  <si>
    <t>C2-0650</t>
  </si>
  <si>
    <t>C2-0657</t>
  </si>
  <si>
    <t>C2-0668</t>
  </si>
  <si>
    <t>C2-0679</t>
  </si>
  <si>
    <t>C2-0681</t>
  </si>
  <si>
    <t>C2-0699</t>
  </si>
  <si>
    <t>C2-0705</t>
  </si>
  <si>
    <t>C2-0718</t>
  </si>
  <si>
    <t>C2-0721</t>
  </si>
  <si>
    <t>C2-0725</t>
  </si>
  <si>
    <t>C2-0732</t>
  </si>
  <si>
    <t>C2-0734</t>
  </si>
  <si>
    <t>C2-0737</t>
  </si>
  <si>
    <t>C2-0750</t>
  </si>
  <si>
    <t>C2-0752</t>
  </si>
  <si>
    <t>C2-0759</t>
  </si>
  <si>
    <t>P1-232999</t>
  </si>
  <si>
    <t>L1-230751</t>
  </si>
  <si>
    <t>New</t>
  </si>
  <si>
    <t>P1-233001</t>
  </si>
  <si>
    <t>L1-220367</t>
  </si>
  <si>
    <t>Renewed</t>
  </si>
  <si>
    <t>P1-233002</t>
  </si>
  <si>
    <t>L1-170674</t>
  </si>
  <si>
    <t>P1-233004</t>
  </si>
  <si>
    <t>L1-200762</t>
  </si>
  <si>
    <t>P1-233005</t>
  </si>
  <si>
    <t>L1-200763</t>
  </si>
  <si>
    <t>P1-233006</t>
  </si>
  <si>
    <t>L1-220369</t>
  </si>
  <si>
    <t>P1-233007</t>
  </si>
  <si>
    <t>L1-220368</t>
  </si>
  <si>
    <t>P1-233009</t>
  </si>
  <si>
    <t>L1-230754</t>
  </si>
  <si>
    <t>P1-233010</t>
  </si>
  <si>
    <t>L1-230755</t>
  </si>
  <si>
    <t>P1-233011</t>
  </si>
  <si>
    <t>L1-230756</t>
  </si>
  <si>
    <t>P1-233012</t>
  </si>
  <si>
    <t>L1-230757</t>
  </si>
  <si>
    <t>P1-233014</t>
  </si>
  <si>
    <t>L1-180420</t>
  </si>
  <si>
    <t>P1-233015</t>
  </si>
  <si>
    <t>L1-200764</t>
  </si>
  <si>
    <t>P1-233016</t>
  </si>
  <si>
    <t>L1-180419</t>
  </si>
  <si>
    <t>P1-233018</t>
  </si>
  <si>
    <t>L1-200765</t>
  </si>
  <si>
    <t>P1-233019</t>
  </si>
  <si>
    <t>L1-180418</t>
  </si>
  <si>
    <t>P1-233021</t>
  </si>
  <si>
    <t>L1-230760</t>
  </si>
  <si>
    <t>P1-233022</t>
  </si>
  <si>
    <t>L1-220371</t>
  </si>
  <si>
    <t>P1-233025</t>
  </si>
  <si>
    <t>L1-190249</t>
  </si>
  <si>
    <t>P1-233026</t>
  </si>
  <si>
    <t>L1-100918</t>
  </si>
  <si>
    <t>P1-233027</t>
  </si>
  <si>
    <t>L1-200766</t>
  </si>
  <si>
    <t>P1-233028</t>
  </si>
  <si>
    <t>L1-140376</t>
  </si>
  <si>
    <t>P1-233029</t>
  </si>
  <si>
    <t>L1-230761</t>
  </si>
  <si>
    <t>P1-233030</t>
  </si>
  <si>
    <t>L1-230762</t>
  </si>
  <si>
    <t>P1-233032</t>
  </si>
  <si>
    <t>L1-230764</t>
  </si>
  <si>
    <t>P1-233033</t>
  </si>
  <si>
    <t>L1-230765</t>
  </si>
  <si>
    <t>P1-233035</t>
  </si>
  <si>
    <t>L1-210416</t>
  </si>
  <si>
    <t>P1-233036</t>
  </si>
  <si>
    <t>L1-170681</t>
  </si>
  <si>
    <t>P1-233037</t>
  </si>
  <si>
    <t>L1-200768</t>
  </si>
  <si>
    <t>P1-233038</t>
  </si>
  <si>
    <t>L1-190255</t>
  </si>
  <si>
    <t>P1-233039</t>
  </si>
  <si>
    <t>L1-220373</t>
  </si>
  <si>
    <t>P1-233040</t>
  </si>
  <si>
    <t>L1-190254</t>
  </si>
  <si>
    <t>P1-233041</t>
  </si>
  <si>
    <t>L1-180423</t>
  </si>
  <si>
    <t>P1-233042</t>
  </si>
  <si>
    <t>L1-200769</t>
  </si>
  <si>
    <t>P1-233045</t>
  </si>
  <si>
    <t>L1-180425</t>
  </si>
  <si>
    <t>P1-233046</t>
  </si>
  <si>
    <t>L1-150316</t>
  </si>
  <si>
    <t>P1-233047</t>
  </si>
  <si>
    <t>L1-210419</t>
  </si>
  <si>
    <t>P1-233048</t>
  </si>
  <si>
    <t>L1-200771</t>
  </si>
  <si>
    <t>P1-233049</t>
  </si>
  <si>
    <t>L1-200770</t>
  </si>
  <si>
    <t>P1-233052</t>
  </si>
  <si>
    <t>L1-230768</t>
  </si>
  <si>
    <t>P1-233053</t>
  </si>
  <si>
    <t>L1-230769</t>
  </si>
  <si>
    <t>P1-233054</t>
  </si>
  <si>
    <t>L1-230770</t>
  </si>
  <si>
    <t>P1-233056</t>
  </si>
  <si>
    <t>L1-230772</t>
  </si>
  <si>
    <t>P1-233057</t>
  </si>
  <si>
    <t>L1-190256</t>
  </si>
  <si>
    <t>P1-233058</t>
  </si>
  <si>
    <t>L1-150317</t>
  </si>
  <si>
    <t>P1-233059</t>
  </si>
  <si>
    <t>L1-160365</t>
  </si>
  <si>
    <t>P1-233060</t>
  </si>
  <si>
    <t>L1-200772</t>
  </si>
  <si>
    <t>P1-233061</t>
  </si>
  <si>
    <t>L1-100927</t>
  </si>
  <si>
    <t>P1-233062</t>
  </si>
  <si>
    <t>L1-170684</t>
  </si>
  <si>
    <t>P1-233063</t>
  </si>
  <si>
    <t>L1-220374</t>
  </si>
  <si>
    <t>P1-233064</t>
  </si>
  <si>
    <t>L1-230773</t>
  </si>
  <si>
    <t>P1-233066</t>
  </si>
  <si>
    <t>L1-180428</t>
  </si>
  <si>
    <t>P1-233067</t>
  </si>
  <si>
    <t>L1-180429</t>
  </si>
  <si>
    <t>P1-233068</t>
  </si>
  <si>
    <t>L1-120376</t>
  </si>
  <si>
    <t>P1-233070</t>
  </si>
  <si>
    <t>L1-230775</t>
  </si>
  <si>
    <t>P1-233071</t>
  </si>
  <si>
    <t>L1-230776</t>
  </si>
  <si>
    <t>P1-233072</t>
  </si>
  <si>
    <t>L1-230777</t>
  </si>
  <si>
    <t>P1-233074</t>
  </si>
  <si>
    <t>L1-140381</t>
  </si>
  <si>
    <t>P1-233078</t>
  </si>
  <si>
    <t>L1-150323</t>
  </si>
  <si>
    <t>P1-233079</t>
  </si>
  <si>
    <t>L1-230779</t>
  </si>
  <si>
    <t>P1-233081</t>
  </si>
  <si>
    <t>L1-230781</t>
  </si>
  <si>
    <t>P1-233082</t>
  </si>
  <si>
    <t>L1-230782</t>
  </si>
  <si>
    <t>P1-233083</t>
  </si>
  <si>
    <t>L1-230783</t>
  </si>
  <si>
    <t>P1-233086</t>
  </si>
  <si>
    <t>L1-230786</t>
  </si>
  <si>
    <t>P1-233088</t>
  </si>
  <si>
    <t>L1-170692</t>
  </si>
  <si>
    <t>P1-233089</t>
  </si>
  <si>
    <t>L1-160372</t>
  </si>
  <si>
    <t>P1-233090</t>
  </si>
  <si>
    <t>L1-210423</t>
  </si>
  <si>
    <t>P1-233091</t>
  </si>
  <si>
    <t>L1-160369</t>
  </si>
  <si>
    <t>P1-233092</t>
  </si>
  <si>
    <t>L1-210424</t>
  </si>
  <si>
    <t>P1-233093</t>
  </si>
  <si>
    <t>L1-210425</t>
  </si>
  <si>
    <t>P1-233095</t>
  </si>
  <si>
    <t>L1-100937</t>
  </si>
  <si>
    <t>P1-233096</t>
  </si>
  <si>
    <t>L1-200779</t>
  </si>
  <si>
    <t>P1-233097</t>
  </si>
  <si>
    <t>L1-170691</t>
  </si>
  <si>
    <t>P1-233098</t>
  </si>
  <si>
    <t>L1-230787</t>
  </si>
  <si>
    <t>P1-233100</t>
  </si>
  <si>
    <t>L1-230789</t>
  </si>
  <si>
    <t>P1-233101</t>
  </si>
  <si>
    <t>L1-230790</t>
  </si>
  <si>
    <t>P1-233103</t>
  </si>
  <si>
    <t>L1-200783</t>
  </si>
  <si>
    <t>P1-233104</t>
  </si>
  <si>
    <t>L1-210426</t>
  </si>
  <si>
    <t>P1-233105</t>
  </si>
  <si>
    <t>L1-200782</t>
  </si>
  <si>
    <t>P1-233106</t>
  </si>
  <si>
    <t>L1-200781</t>
  </si>
  <si>
    <t>P1-233109</t>
  </si>
  <si>
    <t>L1-230791</t>
  </si>
  <si>
    <t>P1-233110</t>
  </si>
  <si>
    <t>L1-230792</t>
  </si>
  <si>
    <t>P1-233112</t>
  </si>
  <si>
    <t>L1-170699</t>
  </si>
  <si>
    <t>P1-233113</t>
  </si>
  <si>
    <t>L1-200785</t>
  </si>
  <si>
    <t>P1-233116</t>
  </si>
  <si>
    <t>L1-210429</t>
  </si>
  <si>
    <t>P1-233118</t>
  </si>
  <si>
    <t>L1-230793</t>
  </si>
  <si>
    <t>P1-233119</t>
  </si>
  <si>
    <t>L1-170701</t>
  </si>
  <si>
    <t>P1-233120</t>
  </si>
  <si>
    <t>L1-140387</t>
  </si>
  <si>
    <t>P1-233121</t>
  </si>
  <si>
    <t>L1-220377</t>
  </si>
  <si>
    <t>P1-233122</t>
  </si>
  <si>
    <t>L1-170702</t>
  </si>
  <si>
    <t>P1-233125</t>
  </si>
  <si>
    <t>L1-140388</t>
  </si>
  <si>
    <t>P1-233126</t>
  </si>
  <si>
    <t>L1-220379</t>
  </si>
  <si>
    <t>P1-233127</t>
  </si>
  <si>
    <t>L1-190261</t>
  </si>
  <si>
    <t>P1-233128</t>
  </si>
  <si>
    <t>L1-220378</t>
  </si>
  <si>
    <t>P1-233129</t>
  </si>
  <si>
    <t>L1-230794</t>
  </si>
  <si>
    <t>P1-233132</t>
  </si>
  <si>
    <t>L1-170703</t>
  </si>
  <si>
    <t>P1-233134</t>
  </si>
  <si>
    <t>L1-200787</t>
  </si>
  <si>
    <t>P1-233135</t>
  </si>
  <si>
    <t>L1-170707</t>
  </si>
  <si>
    <t>P1-233137</t>
  </si>
  <si>
    <t>L1-200791</t>
  </si>
  <si>
    <t>P1-233138</t>
  </si>
  <si>
    <t>L1-230797</t>
  </si>
  <si>
    <t>P1-233139</t>
  </si>
  <si>
    <t>L1-230798</t>
  </si>
  <si>
    <t>P1-233140</t>
  </si>
  <si>
    <t>L1-230799</t>
  </si>
  <si>
    <t>P1-233141</t>
  </si>
  <si>
    <t>L1-230800</t>
  </si>
  <si>
    <t>P1-233142</t>
  </si>
  <si>
    <t>L1-220381</t>
  </si>
  <si>
    <t>P1-233143</t>
  </si>
  <si>
    <t>L1-200794</t>
  </si>
  <si>
    <t>P1-233144</t>
  </si>
  <si>
    <t>L1-150325</t>
  </si>
  <si>
    <t>P1-233146</t>
  </si>
  <si>
    <t>L1-120390</t>
  </si>
  <si>
    <t>P1-233147</t>
  </si>
  <si>
    <t>L1-200792</t>
  </si>
  <si>
    <t>P1-233148</t>
  </si>
  <si>
    <t>L1-230801</t>
  </si>
  <si>
    <t>P1-233149</t>
  </si>
  <si>
    <t>L1-200800</t>
  </si>
  <si>
    <t>P1-233150</t>
  </si>
  <si>
    <t>L1-170717</t>
  </si>
  <si>
    <t>P1-233152</t>
  </si>
  <si>
    <t>L1-170718</t>
  </si>
  <si>
    <t>P1-233154</t>
  </si>
  <si>
    <t>L1-200799</t>
  </si>
  <si>
    <t>P1-233156</t>
  </si>
  <si>
    <t>L1-150327</t>
  </si>
  <si>
    <t>P1-233157</t>
  </si>
  <si>
    <t>L1-170715</t>
  </si>
  <si>
    <t>P1-233159</t>
  </si>
  <si>
    <t>L1-220382</t>
  </si>
  <si>
    <t>P1-233160</t>
  </si>
  <si>
    <t>L1-200797</t>
  </si>
  <si>
    <t>P1-233161</t>
  </si>
  <si>
    <t>L1-180437</t>
  </si>
  <si>
    <t>P1-233163</t>
  </si>
  <si>
    <t>L1-200796</t>
  </si>
  <si>
    <t>P1-233165</t>
  </si>
  <si>
    <t>L1-230802</t>
  </si>
  <si>
    <t>P1-233168</t>
  </si>
  <si>
    <t>L1-140394</t>
  </si>
  <si>
    <t>P1-233170</t>
  </si>
  <si>
    <t>L1-190265</t>
  </si>
  <si>
    <t>P1-233171</t>
  </si>
  <si>
    <t>L1-200803</t>
  </si>
  <si>
    <t>P1-233172</t>
  </si>
  <si>
    <t>L1-200805</t>
  </si>
  <si>
    <t>P1-233173</t>
  </si>
  <si>
    <t>L1-200804</t>
  </si>
  <si>
    <t>P1-233174</t>
  </si>
  <si>
    <t>L1-230804</t>
  </si>
  <si>
    <t>P1-233175</t>
  </si>
  <si>
    <t>L1-230805</t>
  </si>
  <si>
    <t>P1-233176</t>
  </si>
  <si>
    <t>L1-220385</t>
  </si>
  <si>
    <t>P1-233177</t>
  </si>
  <si>
    <t>L1-190268</t>
  </si>
  <si>
    <t>P1-233178</t>
  </si>
  <si>
    <t>L1-140396</t>
  </si>
  <si>
    <t>P1-233179</t>
  </si>
  <si>
    <t>L1-180441</t>
  </si>
  <si>
    <t>P1-233181</t>
  </si>
  <si>
    <t>L1-210438</t>
  </si>
  <si>
    <t>P1-233182</t>
  </si>
  <si>
    <t>L1-230806</t>
  </si>
  <si>
    <t>P1-233186</t>
  </si>
  <si>
    <t>L1-200808</t>
  </si>
  <si>
    <t>P1-233190</t>
  </si>
  <si>
    <t>L1-220386</t>
  </si>
  <si>
    <t>P1-233192</t>
  </si>
  <si>
    <t>L1-190269</t>
  </si>
  <si>
    <t>P1-233194</t>
  </si>
  <si>
    <t>L1-230809</t>
  </si>
  <si>
    <t>P1-233195</t>
  </si>
  <si>
    <t>L1-230810</t>
  </si>
  <si>
    <t>P1-233196</t>
  </si>
  <si>
    <t>L1-230811</t>
  </si>
  <si>
    <t>P1-233197</t>
  </si>
  <si>
    <t>L1-230812</t>
  </si>
  <si>
    <t>P1-233198</t>
  </si>
  <si>
    <t>L1-230813</t>
  </si>
  <si>
    <t>P1-233199</t>
  </si>
  <si>
    <t>L1-210440</t>
  </si>
  <si>
    <t>P1-233200</t>
  </si>
  <si>
    <t>L1-200812</t>
  </si>
  <si>
    <t>P1-233201</t>
  </si>
  <si>
    <t>L1-170725</t>
  </si>
  <si>
    <t>P1-233202</t>
  </si>
  <si>
    <t>L1-200813</t>
  </si>
  <si>
    <t>P1-233203</t>
  </si>
  <si>
    <t>L1-160382</t>
  </si>
  <si>
    <t>P1-233204</t>
  </si>
  <si>
    <t>L1-170727</t>
  </si>
  <si>
    <t>P1-233206</t>
  </si>
  <si>
    <t>L1-230815</t>
  </si>
  <si>
    <t>P1-233207</t>
  </si>
  <si>
    <t>L1-230816</t>
  </si>
  <si>
    <t>P1-233208</t>
  </si>
  <si>
    <t>L1-220389</t>
  </si>
  <si>
    <t>P1-233209</t>
  </si>
  <si>
    <t>L1-190270</t>
  </si>
  <si>
    <t>P1-233210</t>
  </si>
  <si>
    <t>L1-140401</t>
  </si>
  <si>
    <t>P1-233212</t>
  </si>
  <si>
    <t>L1-160385</t>
  </si>
  <si>
    <t>P1-233213</t>
  </si>
  <si>
    <t>L1-200818</t>
  </si>
  <si>
    <t>P1-233214</t>
  </si>
  <si>
    <t>L1-230817</t>
  </si>
  <si>
    <t>P1-233215</t>
  </si>
  <si>
    <t>L1-120398</t>
  </si>
  <si>
    <t>P1-233216</t>
  </si>
  <si>
    <t>L1-140402</t>
  </si>
  <si>
    <t>P1-233218</t>
  </si>
  <si>
    <t>L1-200825</t>
  </si>
  <si>
    <t>P1-233220</t>
  </si>
  <si>
    <t>L1-230818</t>
  </si>
  <si>
    <t>P1-233223</t>
  </si>
  <si>
    <t>L1-200826</t>
  </si>
  <si>
    <t>P1-233224</t>
  </si>
  <si>
    <t>L1-160388</t>
  </si>
  <si>
    <t>P1-233225</t>
  </si>
  <si>
    <t>L1-170732</t>
  </si>
  <si>
    <t>P1-233227</t>
  </si>
  <si>
    <t>L1-180450</t>
  </si>
  <si>
    <t>P1-233229</t>
  </si>
  <si>
    <t>L1-200829</t>
  </si>
  <si>
    <t>P1-233230</t>
  </si>
  <si>
    <t>L1-210443</t>
  </si>
  <si>
    <t>P1-233234</t>
  </si>
  <si>
    <t>L1-110456</t>
  </si>
  <si>
    <t>P1-233235</t>
  </si>
  <si>
    <t>L1-210444</t>
  </si>
  <si>
    <t>P1-233236</t>
  </si>
  <si>
    <t>L1-100971</t>
  </si>
  <si>
    <t>P1-233237</t>
  </si>
  <si>
    <t>L1-200831</t>
  </si>
  <si>
    <t>P1-233238</t>
  </si>
  <si>
    <t>L1-220390</t>
  </si>
  <si>
    <t>P1-233239</t>
  </si>
  <si>
    <t>L1-200833</t>
  </si>
  <si>
    <t>P1-233240</t>
  </si>
  <si>
    <t>L1-200832</t>
  </si>
  <si>
    <t>P1-233241</t>
  </si>
  <si>
    <t>L1-230822</t>
  </si>
  <si>
    <t>P1-233243</t>
  </si>
  <si>
    <t>L1-160391</t>
  </si>
  <si>
    <t>P1-233244</t>
  </si>
  <si>
    <t>L1-200836</t>
  </si>
  <si>
    <t>P1-233245</t>
  </si>
  <si>
    <t>L1-220391</t>
  </si>
  <si>
    <t>P1-233247</t>
  </si>
  <si>
    <t>L1-160392</t>
  </si>
  <si>
    <t>P1-233248</t>
  </si>
  <si>
    <t>L1-140407</t>
  </si>
  <si>
    <t>P1-233249</t>
  </si>
  <si>
    <t>L1-140406</t>
  </si>
  <si>
    <t>P1-233250</t>
  </si>
  <si>
    <t>L1-220392</t>
  </si>
  <si>
    <t>P1-233251</t>
  </si>
  <si>
    <t>L1-220393</t>
  </si>
  <si>
    <t>P1-233252</t>
  </si>
  <si>
    <t>L1-200835</t>
  </si>
  <si>
    <t>P1-233254</t>
  </si>
  <si>
    <t>L1-230825</t>
  </si>
  <si>
    <t>P1-233255</t>
  </si>
  <si>
    <t>L1-190276</t>
  </si>
  <si>
    <t>P1-233257</t>
  </si>
  <si>
    <t>L1-180456</t>
  </si>
  <si>
    <t>P1-233258</t>
  </si>
  <si>
    <t>L1-200839</t>
  </si>
  <si>
    <t>P1-233259</t>
  </si>
  <si>
    <t>L1-150334</t>
  </si>
  <si>
    <t>P1-233260</t>
  </si>
  <si>
    <t>L1-200837</t>
  </si>
  <si>
    <t>P1-233262</t>
  </si>
  <si>
    <t>L1-220394</t>
  </si>
  <si>
    <t>P1-233266</t>
  </si>
  <si>
    <t>L1-230829</t>
  </si>
  <si>
    <t>P1-233267</t>
  </si>
  <si>
    <t>L1-230830</t>
  </si>
  <si>
    <t>P1-233271</t>
  </si>
  <si>
    <t>L1-200842</t>
  </si>
  <si>
    <t>P1-233272</t>
  </si>
  <si>
    <t>L1-210446</t>
  </si>
  <si>
    <t>P1-233274</t>
  </si>
  <si>
    <t>L1-180457</t>
  </si>
  <si>
    <t>P1-233275</t>
  </si>
  <si>
    <t>L1-200840</t>
  </si>
  <si>
    <t>P1-233276</t>
  </si>
  <si>
    <t>L1-200843</t>
  </si>
  <si>
    <t>P1-233277</t>
  </si>
  <si>
    <t>L1-190277</t>
  </si>
  <si>
    <t>P1-233278</t>
  </si>
  <si>
    <t>L1-230832</t>
  </si>
  <si>
    <t>P1-233279</t>
  </si>
  <si>
    <t>L1-230833</t>
  </si>
  <si>
    <t>P1-233280</t>
  </si>
  <si>
    <t>L1-210448</t>
  </si>
  <si>
    <t>P1-233281</t>
  </si>
  <si>
    <t>L1-140412</t>
  </si>
  <si>
    <t>P1-233282</t>
  </si>
  <si>
    <t>L1-200846</t>
  </si>
  <si>
    <t>P1-233283</t>
  </si>
  <si>
    <t>L1-220396</t>
  </si>
  <si>
    <t>P1-233286</t>
  </si>
  <si>
    <t>L1-200845</t>
  </si>
  <si>
    <t>P1-233287</t>
  </si>
  <si>
    <t>L1-180461</t>
  </si>
  <si>
    <t>P1-233288</t>
  </si>
  <si>
    <t>L1-190278</t>
  </si>
  <si>
    <t>P1-233289</t>
  </si>
  <si>
    <t>L1-180460</t>
  </si>
  <si>
    <t>P1-233290</t>
  </si>
  <si>
    <t>L1-210447</t>
  </si>
  <si>
    <t>P1-233292</t>
  </si>
  <si>
    <t>L1-230834</t>
  </si>
  <si>
    <t>P1-233293</t>
  </si>
  <si>
    <t>L1-230835</t>
  </si>
  <si>
    <t>P1-233294</t>
  </si>
  <si>
    <t>L1-170747</t>
  </si>
  <si>
    <t>P1-233295</t>
  </si>
  <si>
    <t>L1-220397</t>
  </si>
  <si>
    <t>P1-233296</t>
  </si>
  <si>
    <t>L1-170745</t>
  </si>
  <si>
    <t>P1-233298</t>
  </si>
  <si>
    <t>L1-200848</t>
  </si>
  <si>
    <t>P1-233299</t>
  </si>
  <si>
    <t>L1-200847</t>
  </si>
  <si>
    <t>P1-233300</t>
  </si>
  <si>
    <t>L1-230836</t>
  </si>
  <si>
    <t>P1-233302</t>
  </si>
  <si>
    <t>L1-170748</t>
  </si>
  <si>
    <t>P1-233303</t>
  </si>
  <si>
    <t>L1-200851</t>
  </si>
  <si>
    <t>P1-233304</t>
  </si>
  <si>
    <t>L1-220398</t>
  </si>
  <si>
    <t>P1-233305</t>
  </si>
  <si>
    <t>L1-190281</t>
  </si>
  <si>
    <t>P1-233306</t>
  </si>
  <si>
    <t>L1-140414</t>
  </si>
  <si>
    <t>P1-233308</t>
  </si>
  <si>
    <t>L1-230838</t>
  </si>
  <si>
    <t>P1-233312</t>
  </si>
  <si>
    <t>L1-130360</t>
  </si>
  <si>
    <t>P1-233314</t>
  </si>
  <si>
    <t>L1-160401</t>
  </si>
  <si>
    <t>P1-233316</t>
  </si>
  <si>
    <t>L1-220399</t>
  </si>
  <si>
    <t>P1-233318</t>
  </si>
  <si>
    <t>L1-210450</t>
  </si>
  <si>
    <t>P1-233319</t>
  </si>
  <si>
    <t>L1-160400</t>
  </si>
  <si>
    <t>P1-233320</t>
  </si>
  <si>
    <t>L1-230840</t>
  </si>
  <si>
    <t>P1-233321</t>
  </si>
  <si>
    <t>L1-230841</t>
  </si>
  <si>
    <t>P1-233322</t>
  </si>
  <si>
    <t>L1-230842</t>
  </si>
  <si>
    <t>P1-233323</t>
  </si>
  <si>
    <t>L1-230843</t>
  </si>
  <si>
    <t>P1-233324</t>
  </si>
  <si>
    <t>L1-230844</t>
  </si>
  <si>
    <t>P1-233325</t>
  </si>
  <si>
    <t>L1-150339</t>
  </si>
  <si>
    <t>P1-233326</t>
  </si>
  <si>
    <t>L1-140415</t>
  </si>
  <si>
    <t>P1-233329</t>
  </si>
  <si>
    <t>L1-220402</t>
  </si>
  <si>
    <t>P1-233330</t>
  </si>
  <si>
    <t>L1-200853</t>
  </si>
  <si>
    <t>P1-233331</t>
  </si>
  <si>
    <t>L1-220400</t>
  </si>
  <si>
    <t>P1-233332</t>
  </si>
  <si>
    <t>L1-230845</t>
  </si>
  <si>
    <t>P1-233333</t>
  </si>
  <si>
    <t>L1-230846</t>
  </si>
  <si>
    <t>P1-233334</t>
  </si>
  <si>
    <t>L1-230847</t>
  </si>
  <si>
    <t>P1-233335</t>
  </si>
  <si>
    <t>L1-180469</t>
  </si>
  <si>
    <t>P1-233336</t>
  </si>
  <si>
    <t>L1-170750</t>
  </si>
  <si>
    <t>P1-233337</t>
  </si>
  <si>
    <t>L1-210452</t>
  </si>
  <si>
    <t>P1-233338</t>
  </si>
  <si>
    <t>L1-220403</t>
  </si>
  <si>
    <t>P1-233340</t>
  </si>
  <si>
    <t>L1-210454</t>
  </si>
  <si>
    <t>P1-233344</t>
  </si>
  <si>
    <t>L1-180470</t>
  </si>
  <si>
    <t>P1-233346</t>
  </si>
  <si>
    <t>L1-200857</t>
  </si>
  <si>
    <t>P1-233347</t>
  </si>
  <si>
    <t>L1-230848</t>
  </si>
  <si>
    <t>P1-233348</t>
  </si>
  <si>
    <t>L1-230849</t>
  </si>
  <si>
    <t>P1-233349</t>
  </si>
  <si>
    <t>L1-230850</t>
  </si>
  <si>
    <t>P1-233350</t>
  </si>
  <si>
    <t>L1-230851</t>
  </si>
  <si>
    <t>P1-233353</t>
  </si>
  <si>
    <t>L1-200861</t>
  </si>
  <si>
    <t>P1-233354</t>
  </si>
  <si>
    <t>L1-200866</t>
  </si>
  <si>
    <t>P1-233356</t>
  </si>
  <si>
    <t>L1-210455</t>
  </si>
  <si>
    <t>P1-233357</t>
  </si>
  <si>
    <t>L1-210458</t>
  </si>
  <si>
    <t>P1-233359</t>
  </si>
  <si>
    <t>L1-200863</t>
  </si>
  <si>
    <t>P1-233362</t>
  </si>
  <si>
    <t>L1-200862</t>
  </si>
  <si>
    <t>P1-233363</t>
  </si>
  <si>
    <t>L1-230852</t>
  </si>
  <si>
    <t>P1-233364</t>
  </si>
  <si>
    <t>L1-230853</t>
  </si>
  <si>
    <t>P1-233366</t>
  </si>
  <si>
    <t>L1-200867</t>
  </si>
  <si>
    <t>P1-233367</t>
  </si>
  <si>
    <t>L1-160408</t>
  </si>
  <si>
    <t>P1-233371</t>
  </si>
  <si>
    <t>L1-190285</t>
  </si>
  <si>
    <t>P1-233372</t>
  </si>
  <si>
    <t>L1-170756</t>
  </si>
  <si>
    <t>P1-233374</t>
  </si>
  <si>
    <t>L1-160405</t>
  </si>
  <si>
    <t>P1-233375</t>
  </si>
  <si>
    <t>L1-230855</t>
  </si>
  <si>
    <t>P1-233376</t>
  </si>
  <si>
    <t>L1-230856</t>
  </si>
  <si>
    <t>P1-233377</t>
  </si>
  <si>
    <t>L1-230857</t>
  </si>
  <si>
    <t>P1-233378</t>
  </si>
  <si>
    <t>L1-170757</t>
  </si>
  <si>
    <t>P1-233379</t>
  </si>
  <si>
    <t>L1-170758</t>
  </si>
  <si>
    <t>P1-233384</t>
  </si>
  <si>
    <t>L1-160413</t>
  </si>
  <si>
    <t>P1-233385</t>
  </si>
  <si>
    <t>L1-230858</t>
  </si>
  <si>
    <t>P1-233387</t>
  </si>
  <si>
    <t>L1-230860</t>
  </si>
  <si>
    <t>P1-233388</t>
  </si>
  <si>
    <t>L1-230861</t>
  </si>
  <si>
    <t>P1-233389</t>
  </si>
  <si>
    <t>L1-230862</t>
  </si>
  <si>
    <t>P1-233390</t>
  </si>
  <si>
    <t>L1-180474</t>
  </si>
  <si>
    <t>P1-233392</t>
  </si>
  <si>
    <t>L1-140425</t>
  </si>
  <si>
    <t>P1-233393</t>
  </si>
  <si>
    <t>L1-170759</t>
  </si>
  <si>
    <t>P1-233395</t>
  </si>
  <si>
    <t>L1-200874</t>
  </si>
  <si>
    <t>P1-233396</t>
  </si>
  <si>
    <t>L1-170760</t>
  </si>
  <si>
    <t>P1-233397</t>
  </si>
  <si>
    <t>L1-140428</t>
  </si>
  <si>
    <t>P1-233398</t>
  </si>
  <si>
    <t>L1-140426</t>
  </si>
  <si>
    <t>P1-233399</t>
  </si>
  <si>
    <t>L1-120417</t>
  </si>
  <si>
    <t>P1-233403</t>
  </si>
  <si>
    <t>L1-101027</t>
  </si>
  <si>
    <t>P1-233404</t>
  </si>
  <si>
    <t>L1-200875</t>
  </si>
  <si>
    <t>P1-233407</t>
  </si>
  <si>
    <t>L1-140429</t>
  </si>
  <si>
    <t>P1-233408</t>
  </si>
  <si>
    <t>L1-200876</t>
  </si>
  <si>
    <t>P1-233411</t>
  </si>
  <si>
    <t>L1-101025</t>
  </si>
  <si>
    <t>P1-233412</t>
  </si>
  <si>
    <t>L1-210463</t>
  </si>
  <si>
    <t>P1-233413</t>
  </si>
  <si>
    <t>L1-150342</t>
  </si>
  <si>
    <t>P1-233414</t>
  </si>
  <si>
    <t>L1-170766</t>
  </si>
  <si>
    <t>P1-233416</t>
  </si>
  <si>
    <t>L1-170762</t>
  </si>
  <si>
    <t>P1-233417</t>
  </si>
  <si>
    <t>L1-210466</t>
  </si>
  <si>
    <t>P1-233418</t>
  </si>
  <si>
    <t>L1-180477</t>
  </si>
  <si>
    <t>P1-233419</t>
  </si>
  <si>
    <t>L1-150344</t>
  </si>
  <si>
    <t>P1-233420</t>
  </si>
  <si>
    <t>L1-180478</t>
  </si>
  <si>
    <t>P1-233421</t>
  </si>
  <si>
    <t>L1-180476</t>
  </si>
  <si>
    <t>P1-233423</t>
  </si>
  <si>
    <t>L1-160416</t>
  </si>
  <si>
    <t>P1-233425</t>
  </si>
  <si>
    <t>L1-130370</t>
  </si>
  <si>
    <t>P1-233426</t>
  </si>
  <si>
    <t>L1-230864</t>
  </si>
  <si>
    <t>P1-233427</t>
  </si>
  <si>
    <t>L1-230865</t>
  </si>
  <si>
    <t>P1-233428</t>
  </si>
  <si>
    <t>L1-130372</t>
  </si>
  <si>
    <t>P1-233429</t>
  </si>
  <si>
    <t>L1-170770</t>
  </si>
  <si>
    <t>P1-233430</t>
  </si>
  <si>
    <t>L1-170769</t>
  </si>
  <si>
    <t>P1-233432</t>
  </si>
  <si>
    <t>L1-180479</t>
  </si>
  <si>
    <t>P1-233433</t>
  </si>
  <si>
    <t>L1-101039</t>
  </si>
  <si>
    <t>P1-233434</t>
  </si>
  <si>
    <t>L1-200880</t>
  </si>
  <si>
    <t>P1-233436</t>
  </si>
  <si>
    <t>L1-150345</t>
  </si>
  <si>
    <t>P1-233438</t>
  </si>
  <si>
    <t>L1-230867</t>
  </si>
  <si>
    <t>P1-233439</t>
  </si>
  <si>
    <t>L1-230868</t>
  </si>
  <si>
    <t>P1-233440</t>
  </si>
  <si>
    <t>L1-220409</t>
  </si>
  <si>
    <t>P1-233441</t>
  </si>
  <si>
    <t>L1-130373</t>
  </si>
  <si>
    <t>P1-233442</t>
  </si>
  <si>
    <t>L1-180481</t>
  </si>
  <si>
    <t>P1-233443</t>
  </si>
  <si>
    <t>L1-180482</t>
  </si>
  <si>
    <t>P1-233444</t>
  </si>
  <si>
    <t>L1-200885</t>
  </si>
  <si>
    <t>P1-233445</t>
  </si>
  <si>
    <t>L1-200883</t>
  </si>
  <si>
    <t>P1-233446</t>
  </si>
  <si>
    <t>L1-200881</t>
  </si>
  <si>
    <t>P1-233447</t>
  </si>
  <si>
    <t>L1-170773</t>
  </si>
  <si>
    <t>P1-233448</t>
  </si>
  <si>
    <t>L1-170774</t>
  </si>
  <si>
    <t>P1-233450</t>
  </si>
  <si>
    <t>L1-230869</t>
  </si>
  <si>
    <t>P1-233451</t>
  </si>
  <si>
    <t>L1-230870</t>
  </si>
  <si>
    <t>P1-233454</t>
  </si>
  <si>
    <t>L1-140436</t>
  </si>
  <si>
    <t>P1-233457</t>
  </si>
  <si>
    <t>L1-210469</t>
  </si>
  <si>
    <t>P1-233458</t>
  </si>
  <si>
    <t>L1-120422</t>
  </si>
  <si>
    <t>P1-233459</t>
  </si>
  <si>
    <t>L1-140435</t>
  </si>
  <si>
    <t>P1-233460</t>
  </si>
  <si>
    <t>L1-170776</t>
  </si>
  <si>
    <t>P1-233463</t>
  </si>
  <si>
    <t>L1-180483</t>
  </si>
  <si>
    <t>P1-233464</t>
  </si>
  <si>
    <t>L1-230872</t>
  </si>
  <si>
    <t>P1-233465</t>
  </si>
  <si>
    <t>L1-101049</t>
  </si>
  <si>
    <t>P1-233467</t>
  </si>
  <si>
    <t>L1-110481</t>
  </si>
  <si>
    <t>P1-233469</t>
  </si>
  <si>
    <t>L1-150349</t>
  </si>
  <si>
    <t>P1-233470</t>
  </si>
  <si>
    <t>L1-200887</t>
  </si>
  <si>
    <t>P1-233471</t>
  </si>
  <si>
    <t>L1-190289</t>
  </si>
  <si>
    <t>P1-233472</t>
  </si>
  <si>
    <t>L1-210474</t>
  </si>
  <si>
    <t>P1-233473</t>
  </si>
  <si>
    <t>L1-210471</t>
  </si>
  <si>
    <t>P1-233475</t>
  </si>
  <si>
    <t>L1-230873</t>
  </si>
  <si>
    <t>P1-233476</t>
  </si>
  <si>
    <t>L1-230874</t>
  </si>
  <si>
    <t>P1-233477</t>
  </si>
  <si>
    <t>L1-230875</t>
  </si>
  <si>
    <t>P1-233478</t>
  </si>
  <si>
    <t>L1-230876</t>
  </si>
  <si>
    <t>P1-233479</t>
  </si>
  <si>
    <t>L1-230877</t>
  </si>
  <si>
    <t>P1-233481</t>
  </si>
  <si>
    <t>L1-230879</t>
  </si>
  <si>
    <t>P1-233483</t>
  </si>
  <si>
    <t>L1-180485</t>
  </si>
  <si>
    <t>P1-233485</t>
  </si>
  <si>
    <t>L1-220413</t>
  </si>
  <si>
    <t>P1-233486</t>
  </si>
  <si>
    <t>L1-200891</t>
  </si>
  <si>
    <t>P1-233487</t>
  </si>
  <si>
    <t>L1-180486</t>
  </si>
  <si>
    <t>P1-233488</t>
  </si>
  <si>
    <t>L1-220412</t>
  </si>
  <si>
    <t>P1-233489</t>
  </si>
  <si>
    <t>L1-150350</t>
  </si>
  <si>
    <t>P1-233491</t>
  </si>
  <si>
    <t>L1-101052</t>
  </si>
  <si>
    <t>P1-233492</t>
  </si>
  <si>
    <t>L1-200894</t>
  </si>
  <si>
    <t>P1-233493</t>
  </si>
  <si>
    <t>L1-230881</t>
  </si>
  <si>
    <t>P1-233495</t>
  </si>
  <si>
    <t>L1-210475</t>
  </si>
  <si>
    <t>P1-233496</t>
  </si>
  <si>
    <t>L1-220415</t>
  </si>
  <si>
    <t>P1-233497</t>
  </si>
  <si>
    <t>L1-200896</t>
  </si>
  <si>
    <t>P1-233498</t>
  </si>
  <si>
    <t>L1-220414</t>
  </si>
  <si>
    <t>P1-233499</t>
  </si>
  <si>
    <t>L1-180488</t>
  </si>
  <si>
    <t>P1-233500</t>
  </si>
  <si>
    <t>L1-200898</t>
  </si>
  <si>
    <t>P1-233501</t>
  </si>
  <si>
    <t>L1-230882</t>
  </si>
  <si>
    <t>P1-233502</t>
  </si>
  <si>
    <t>L1-230883</t>
  </si>
  <si>
    <t>P1-233503</t>
  </si>
  <si>
    <t>L1-230884</t>
  </si>
  <si>
    <t>P1-233504</t>
  </si>
  <si>
    <t>L1-230885</t>
  </si>
  <si>
    <t>P1-233505</t>
  </si>
  <si>
    <t>L1-230886</t>
  </si>
  <si>
    <t>P1-233506</t>
  </si>
  <si>
    <t>L1-140441</t>
  </si>
  <si>
    <t>P1-233507</t>
  </si>
  <si>
    <t>L1-180489</t>
  </si>
  <si>
    <t>P1-233508</t>
  </si>
  <si>
    <t>L1-200900</t>
  </si>
  <si>
    <t>P1-233509</t>
  </si>
  <si>
    <t>L1-200904</t>
  </si>
  <si>
    <t>P1-233510</t>
  </si>
  <si>
    <t>L1-220417</t>
  </si>
  <si>
    <t>P1-233511</t>
  </si>
  <si>
    <t>L1-140439</t>
  </si>
  <si>
    <t>P1-233512</t>
  </si>
  <si>
    <t>L1-170783</t>
  </si>
  <si>
    <t>P1-233513</t>
  </si>
  <si>
    <t>L1-101056</t>
  </si>
  <si>
    <t>P1-233515</t>
  </si>
  <si>
    <t>L1-230887</t>
  </si>
  <si>
    <t>P1-233517</t>
  </si>
  <si>
    <t>L1-210476</t>
  </si>
  <si>
    <t>P1-233518</t>
  </si>
  <si>
    <t>L1-220420</t>
  </si>
  <si>
    <t>P1-233519</t>
  </si>
  <si>
    <t>L1-220418</t>
  </si>
  <si>
    <t>P1-233520</t>
  </si>
  <si>
    <t>L1-170785</t>
  </si>
  <si>
    <t>P1-233521</t>
  </si>
  <si>
    <t>L1-220419</t>
  </si>
  <si>
    <t>P1-233522</t>
  </si>
  <si>
    <t>L1-210477</t>
  </si>
  <si>
    <t>P1-233523</t>
  </si>
  <si>
    <t>L1-110486</t>
  </si>
  <si>
    <t>P1-233524</t>
  </si>
  <si>
    <t>L1-230889</t>
  </si>
  <si>
    <t>P1-233525</t>
  </si>
  <si>
    <t>L1-230890</t>
  </si>
  <si>
    <t>P1-233526</t>
  </si>
  <si>
    <t>L1-230891</t>
  </si>
  <si>
    <t>P1-233529</t>
  </si>
  <si>
    <t>L1-190292</t>
  </si>
  <si>
    <t>P1-233530</t>
  </si>
  <si>
    <t>L1-200905</t>
  </si>
  <si>
    <t>P1-233531</t>
  </si>
  <si>
    <t>L1-170788</t>
  </si>
  <si>
    <t>P1-233533</t>
  </si>
  <si>
    <t>L1-230893</t>
  </si>
  <si>
    <t>P1-233535</t>
  </si>
  <si>
    <t>L1-220422</t>
  </si>
  <si>
    <t>P1-233536</t>
  </si>
  <si>
    <t>L1-160428</t>
  </si>
  <si>
    <t>P1-233537</t>
  </si>
  <si>
    <t>L1-220421</t>
  </si>
  <si>
    <t>P1-233538</t>
  </si>
  <si>
    <t>L1-130382</t>
  </si>
  <si>
    <t>P1-233539</t>
  </si>
  <si>
    <t>L1-190293</t>
  </si>
  <si>
    <t>P1-233540</t>
  </si>
  <si>
    <t>L1-210482</t>
  </si>
  <si>
    <t>P1-233541</t>
  </si>
  <si>
    <t>L1-220423</t>
  </si>
  <si>
    <t>P1-233542</t>
  </si>
  <si>
    <t>L1-230894</t>
  </si>
  <si>
    <t>P1-233544</t>
  </si>
  <si>
    <t>L1-230896</t>
  </si>
  <si>
    <t>P1-233545</t>
  </si>
  <si>
    <t>L1-230897</t>
  </si>
  <si>
    <t>P1-233546</t>
  </si>
  <si>
    <t>L1-230898</t>
  </si>
  <si>
    <t>P1-233547</t>
  </si>
  <si>
    <t>L1-230899</t>
  </si>
  <si>
    <t>P1-233548</t>
  </si>
  <si>
    <t>L1-220427</t>
  </si>
  <si>
    <t>P1-233549</t>
  </si>
  <si>
    <t>L1-180496</t>
  </si>
  <si>
    <t>P1-233550</t>
  </si>
  <si>
    <t>L1-200912</t>
  </si>
  <si>
    <t>P1-233551</t>
  </si>
  <si>
    <t>L1-220425</t>
  </si>
  <si>
    <t>P1-233552</t>
  </si>
  <si>
    <t>L1-220424</t>
  </si>
  <si>
    <t>P1-233553</t>
  </si>
  <si>
    <t>L1-200910</t>
  </si>
  <si>
    <t>P1-233555</t>
  </si>
  <si>
    <t>L1-130383</t>
  </si>
  <si>
    <t>P1-233556</t>
  </si>
  <si>
    <t>L1-180494</t>
  </si>
  <si>
    <t>P1-233557</t>
  </si>
  <si>
    <t>L1-220426</t>
  </si>
  <si>
    <t>P1-233558</t>
  </si>
  <si>
    <t>L1-230900</t>
  </si>
  <si>
    <t>P1-233560</t>
  </si>
  <si>
    <t>L1-220429</t>
  </si>
  <si>
    <t>P1-233561</t>
  </si>
  <si>
    <t>L1-101078</t>
  </si>
  <si>
    <t>P1-233562</t>
  </si>
  <si>
    <t>L1-210483</t>
  </si>
  <si>
    <t>P1-233563</t>
  </si>
  <si>
    <t>L1-200916</t>
  </si>
  <si>
    <t>P1-233564</t>
  </si>
  <si>
    <t>L1-200915</t>
  </si>
  <si>
    <t>P1-233565</t>
  </si>
  <si>
    <t>L1-150360</t>
  </si>
  <si>
    <t>P1-233566</t>
  </si>
  <si>
    <t>L1-170791</t>
  </si>
  <si>
    <t>P1-233567</t>
  </si>
  <si>
    <t>L1-200914</t>
  </si>
  <si>
    <t>P1-233568</t>
  </si>
  <si>
    <t>L1-150359</t>
  </si>
  <si>
    <t>P1-233569</t>
  </si>
  <si>
    <t>L1-200913</t>
  </si>
  <si>
    <t>P1-233570</t>
  </si>
  <si>
    <t>L1-230902</t>
  </si>
  <si>
    <t>P1-233573</t>
  </si>
  <si>
    <t>L1-120433</t>
  </si>
  <si>
    <t>P1-233575</t>
  </si>
  <si>
    <t>L1-101082</t>
  </si>
  <si>
    <t>P1-233577</t>
  </si>
  <si>
    <t>L1-190294</t>
  </si>
  <si>
    <t>P1-233578</t>
  </si>
  <si>
    <t>L1-200918</t>
  </si>
  <si>
    <t>P1-233581</t>
  </si>
  <si>
    <t>L1-180501</t>
  </si>
  <si>
    <t>P1-233582</t>
  </si>
  <si>
    <t>L1-230903</t>
  </si>
  <si>
    <t>P1-233584</t>
  </si>
  <si>
    <t>L1-230905</t>
  </si>
  <si>
    <t>P1-233585</t>
  </si>
  <si>
    <t>L1-230906</t>
  </si>
  <si>
    <t>P1-233587</t>
  </si>
  <si>
    <t>L1-230908</t>
  </si>
  <si>
    <t>P1-233589</t>
  </si>
  <si>
    <t>L1-180503</t>
  </si>
  <si>
    <t>P1-233591</t>
  </si>
  <si>
    <t>L1-200921</t>
  </si>
  <si>
    <t>P1-233592</t>
  </si>
  <si>
    <t>L1-140450</t>
  </si>
  <si>
    <t>P1-233593</t>
  </si>
  <si>
    <t>L1-101085</t>
  </si>
  <si>
    <t>P1-233594</t>
  </si>
  <si>
    <t>L1-200920</t>
  </si>
  <si>
    <t>P1-233595</t>
  </si>
  <si>
    <t>L1-180502</t>
  </si>
  <si>
    <t>P1-233596</t>
  </si>
  <si>
    <t>L1-210489</t>
  </si>
  <si>
    <t>P1-233598</t>
  </si>
  <si>
    <t>L1-230910</t>
  </si>
  <si>
    <t>P1-233600</t>
  </si>
  <si>
    <t>L1-230912</t>
  </si>
  <si>
    <t>P1-233601</t>
  </si>
  <si>
    <t>L1-120437</t>
  </si>
  <si>
    <t>P1-233603</t>
  </si>
  <si>
    <t>L1-130391</t>
  </si>
  <si>
    <t>P1-233605</t>
  </si>
  <si>
    <t>L1-220433</t>
  </si>
  <si>
    <t>P1-233606</t>
  </si>
  <si>
    <t>L1-120436</t>
  </si>
  <si>
    <t>P1-233607</t>
  </si>
  <si>
    <t>L1-120439</t>
  </si>
  <si>
    <t>P1-233609</t>
  </si>
  <si>
    <t>L1-180508</t>
  </si>
  <si>
    <t>P1-233611</t>
  </si>
  <si>
    <t>L1-200928</t>
  </si>
  <si>
    <t>P1-233613</t>
  </si>
  <si>
    <t>L1-160431</t>
  </si>
  <si>
    <t>P1-233614</t>
  </si>
  <si>
    <t>L1-150366</t>
  </si>
  <si>
    <t>P1-233615</t>
  </si>
  <si>
    <t>L1-160432</t>
  </si>
  <si>
    <t>P1-233616</t>
  </si>
  <si>
    <t>L1-150365</t>
  </si>
  <si>
    <t>P1-233617</t>
  </si>
  <si>
    <t>L1-230913</t>
  </si>
  <si>
    <t>P1-233618</t>
  </si>
  <si>
    <t>L1-230914</t>
  </si>
  <si>
    <t>P1-233619</t>
  </si>
  <si>
    <t>L1-160434</t>
  </si>
  <si>
    <t>P1-233620</t>
  </si>
  <si>
    <t>L1-140456</t>
  </si>
  <si>
    <t>P1-233621</t>
  </si>
  <si>
    <t>L1-220436</t>
  </si>
  <si>
    <t>P1-233625</t>
  </si>
  <si>
    <t>L1-230917</t>
  </si>
  <si>
    <t>P1-233626</t>
  </si>
  <si>
    <t>L1-210491</t>
  </si>
  <si>
    <t>P1-233631</t>
  </si>
  <si>
    <t>L1-230919</t>
  </si>
  <si>
    <t>P1-233632</t>
  </si>
  <si>
    <t>L1-230920</t>
  </si>
  <si>
    <t>P1-233633</t>
  </si>
  <si>
    <t>L1-200934</t>
  </si>
  <si>
    <t>P1-233635</t>
  </si>
  <si>
    <t>L1-220438</t>
  </si>
  <si>
    <t>P1-233636</t>
  </si>
  <si>
    <t>L1-170805</t>
  </si>
  <si>
    <t>P1-233637</t>
  </si>
  <si>
    <t>L1-210494</t>
  </si>
  <si>
    <t>P1-233638</t>
  </si>
  <si>
    <t>L1-210496</t>
  </si>
  <si>
    <t>P1-233639</t>
  </si>
  <si>
    <t>L1-210497</t>
  </si>
  <si>
    <t>P1-233641</t>
  </si>
  <si>
    <t>L1-210495</t>
  </si>
  <si>
    <t>P1-233643</t>
  </si>
  <si>
    <t>L1-230921</t>
  </si>
  <si>
    <t>P1-233645</t>
  </si>
  <si>
    <t>L1-230923</t>
  </si>
  <si>
    <t>P1-233646</t>
  </si>
  <si>
    <t>L1-170809</t>
  </si>
  <si>
    <t>P1-233648</t>
  </si>
  <si>
    <t>L1-170806</t>
  </si>
  <si>
    <t>P1-233649</t>
  </si>
  <si>
    <t>L1-150371</t>
  </si>
  <si>
    <t>P1-233650</t>
  </si>
  <si>
    <t>L1-150368</t>
  </si>
  <si>
    <t>P1-233651</t>
  </si>
  <si>
    <t>L1-220440</t>
  </si>
  <si>
    <t>P1-233653</t>
  </si>
  <si>
    <t>L1-160442</t>
  </si>
  <si>
    <t>P1-233654</t>
  </si>
  <si>
    <t>L1-130398</t>
  </si>
  <si>
    <t>P1-233655</t>
  </si>
  <si>
    <t>L1-210498</t>
  </si>
  <si>
    <t>P1-233656</t>
  </si>
  <si>
    <t>L1-160438</t>
  </si>
  <si>
    <t>P1-233657</t>
  </si>
  <si>
    <t>L1-170810</t>
  </si>
  <si>
    <t>P1-233658</t>
  </si>
  <si>
    <t>L1-160443</t>
  </si>
  <si>
    <t>P1-233659</t>
  </si>
  <si>
    <t>L1-220439</t>
  </si>
  <si>
    <t>P1-233660</t>
  </si>
  <si>
    <t>L1-230924</t>
  </si>
  <si>
    <t>P1-233662</t>
  </si>
  <si>
    <t>L1-101111</t>
  </si>
  <si>
    <t>P1-233663</t>
  </si>
  <si>
    <t>L1-190302</t>
  </si>
  <si>
    <t>P1-233665</t>
  </si>
  <si>
    <t>L1-180515</t>
  </si>
  <si>
    <t>P1-233666</t>
  </si>
  <si>
    <t>L1-200939</t>
  </si>
  <si>
    <t>P1-233667</t>
  </si>
  <si>
    <t>L1-200941</t>
  </si>
  <si>
    <t>P1-233668</t>
  </si>
  <si>
    <t>L1-220441</t>
  </si>
  <si>
    <t>P1-233669</t>
  </si>
  <si>
    <t>L1-190304</t>
  </si>
  <si>
    <t>P1-233670</t>
  </si>
  <si>
    <t>L1-160444</t>
  </si>
  <si>
    <t>P1-233671</t>
  </si>
  <si>
    <t>L1-130399</t>
  </si>
  <si>
    <t>P1-233672</t>
  </si>
  <si>
    <t>L1-180517</t>
  </si>
  <si>
    <t>P1-233674</t>
  </si>
  <si>
    <t>L1-230927</t>
  </si>
  <si>
    <t>P1-233675</t>
  </si>
  <si>
    <t>L1-230928</t>
  </si>
  <si>
    <t>P1-233676</t>
  </si>
  <si>
    <t>L1-230929</t>
  </si>
  <si>
    <t>P1-233677</t>
  </si>
  <si>
    <t>L1-220442</t>
  </si>
  <si>
    <t>P1-233679</t>
  </si>
  <si>
    <t>L1-200944</t>
  </si>
  <si>
    <t>P1-233680</t>
  </si>
  <si>
    <t>L1-180520</t>
  </si>
  <si>
    <t>P1-233683</t>
  </si>
  <si>
    <t>L1-160445</t>
  </si>
  <si>
    <t>P1-233684</t>
  </si>
  <si>
    <t>L1-210500</t>
  </si>
  <si>
    <t>P1-233685</t>
  </si>
  <si>
    <t>L1-230930</t>
  </si>
  <si>
    <t>P1-233688</t>
  </si>
  <si>
    <t>L1-110507</t>
  </si>
  <si>
    <t>P1-233690</t>
  </si>
  <si>
    <t>L1-200947</t>
  </si>
  <si>
    <t>P1-233691</t>
  </si>
  <si>
    <t>L1-170826</t>
  </si>
  <si>
    <t>P1-233692</t>
  </si>
  <si>
    <t>L1-230931</t>
  </si>
  <si>
    <t>P1-233693</t>
  </si>
  <si>
    <t>L1-200949</t>
  </si>
  <si>
    <t>P1-233694</t>
  </si>
  <si>
    <t>L1-170828</t>
  </si>
  <si>
    <t>P1-233695</t>
  </si>
  <si>
    <t>L1-140464</t>
  </si>
  <si>
    <t>P1-233697</t>
  </si>
  <si>
    <t>L1-200950</t>
  </si>
  <si>
    <t>P1-233699</t>
  </si>
  <si>
    <t>L1-230933</t>
  </si>
  <si>
    <t>P1-233700</t>
  </si>
  <si>
    <t>L1-220444</t>
  </si>
  <si>
    <t>P1-233701</t>
  </si>
  <si>
    <t>L1-170835</t>
  </si>
  <si>
    <t>P1-233702</t>
  </si>
  <si>
    <t>L1-220445</t>
  </si>
  <si>
    <t>P1-233703</t>
  </si>
  <si>
    <t>L1-140466</t>
  </si>
  <si>
    <t>P1-233704</t>
  </si>
  <si>
    <t>L1-110514</t>
  </si>
  <si>
    <t>P1-233705</t>
  </si>
  <si>
    <t>L1-200951</t>
  </si>
  <si>
    <t>P1-233706</t>
  </si>
  <si>
    <t>L1-110512</t>
  </si>
  <si>
    <t>P1-233707</t>
  </si>
  <si>
    <t>L1-220446</t>
  </si>
  <si>
    <t>P1-233708</t>
  </si>
  <si>
    <t>L1-200953</t>
  </si>
  <si>
    <t>P1-233709</t>
  </si>
  <si>
    <t>L1-180525</t>
  </si>
  <si>
    <t>P1-233710</t>
  </si>
  <si>
    <t>L1-101123</t>
  </si>
  <si>
    <t>P1-233711</t>
  </si>
  <si>
    <t>L1-200956</t>
  </si>
  <si>
    <t>P1-233713</t>
  </si>
  <si>
    <t>L1-210502</t>
  </si>
  <si>
    <t>P1-233716</t>
  </si>
  <si>
    <t>L1-180523</t>
  </si>
  <si>
    <t>P1-233717</t>
  </si>
  <si>
    <t>L1-230934</t>
  </si>
  <si>
    <t>P1-233719</t>
  </si>
  <si>
    <t>L1-230936</t>
  </si>
  <si>
    <t>P1-233721</t>
  </si>
  <si>
    <t>L1-210504</t>
  </si>
  <si>
    <t>P1-233722</t>
  </si>
  <si>
    <t>L1-170836</t>
  </si>
  <si>
    <t>P1-233723</t>
  </si>
  <si>
    <t>L1-210503</t>
  </si>
  <si>
    <t>P1-233724</t>
  </si>
  <si>
    <t>L1-200958</t>
  </si>
  <si>
    <t>P1-233727</t>
  </si>
  <si>
    <t>L1-230939</t>
  </si>
  <si>
    <t>P1-233729</t>
  </si>
  <si>
    <t>L1-150376</t>
  </si>
  <si>
    <t>P1-233730</t>
  </si>
  <si>
    <t>L1-180528</t>
  </si>
  <si>
    <t>P1-233731</t>
  </si>
  <si>
    <t>L1-160456</t>
  </si>
  <si>
    <t>P1-233732</t>
  </si>
  <si>
    <t>L1-140471</t>
  </si>
  <si>
    <t>P1-233734</t>
  </si>
  <si>
    <t>L1-200961</t>
  </si>
  <si>
    <t>P1-233735</t>
  </si>
  <si>
    <t>L1-200963</t>
  </si>
  <si>
    <t>P1-233736</t>
  </si>
  <si>
    <t>L1-230940</t>
  </si>
  <si>
    <t>P1-233737</t>
  </si>
  <si>
    <t>L1-230941</t>
  </si>
  <si>
    <t>P1-233738</t>
  </si>
  <si>
    <t>L1-230942</t>
  </si>
  <si>
    <t>P1-233739</t>
  </si>
  <si>
    <t>L1-230943</t>
  </si>
  <si>
    <t>P1-233740</t>
  </si>
  <si>
    <t>L1-230944</t>
  </si>
  <si>
    <t>P1-233741</t>
  </si>
  <si>
    <t>L1-230945</t>
  </si>
  <si>
    <t>P1-233742</t>
  </si>
  <si>
    <t>L1-210507</t>
  </si>
  <si>
    <t>P1-233743</t>
  </si>
  <si>
    <t>L1-200967</t>
  </si>
  <si>
    <t>P1-233745</t>
  </si>
  <si>
    <t>L1-180529</t>
  </si>
  <si>
    <t>P1-233750</t>
  </si>
  <si>
    <t>L1-200965</t>
  </si>
  <si>
    <t>P1-233751</t>
  </si>
  <si>
    <t>L1-130405</t>
  </si>
  <si>
    <t>P1-233752</t>
  </si>
  <si>
    <t>L1-230946</t>
  </si>
  <si>
    <t>P1-233753</t>
  </si>
  <si>
    <t>L1-230947</t>
  </si>
  <si>
    <t>P1-233755</t>
  </si>
  <si>
    <t>L1-190310</t>
  </si>
  <si>
    <t>P1-233756</t>
  </si>
  <si>
    <t>L1-220450</t>
  </si>
  <si>
    <t>P1-233758</t>
  </si>
  <si>
    <t>L1-210508</t>
  </si>
  <si>
    <t>P1-233759</t>
  </si>
  <si>
    <t>L1-190311</t>
  </si>
  <si>
    <t>P1-233761</t>
  </si>
  <si>
    <t>L1-180531</t>
  </si>
  <si>
    <t>P1-233763</t>
  </si>
  <si>
    <t>L1-230949</t>
  </si>
  <si>
    <t>P1-233764</t>
  </si>
  <si>
    <t>L1-230950</t>
  </si>
  <si>
    <t>P1-233765</t>
  </si>
  <si>
    <t>L1-230951</t>
  </si>
  <si>
    <t>P1-233766</t>
  </si>
  <si>
    <t>L1-220451</t>
  </si>
  <si>
    <t>P1-233767</t>
  </si>
  <si>
    <t>L1-170846</t>
  </si>
  <si>
    <t>P1-233769</t>
  </si>
  <si>
    <t>L1-210511</t>
  </si>
  <si>
    <t>P1-233770</t>
  </si>
  <si>
    <t>L1-210509</t>
  </si>
  <si>
    <t>P1-233771</t>
  </si>
  <si>
    <t>L1-190312</t>
  </si>
  <si>
    <t>P1-233772</t>
  </si>
  <si>
    <t>L1-200971</t>
  </si>
  <si>
    <t>P1-233773</t>
  </si>
  <si>
    <t>L1-200973</t>
  </si>
  <si>
    <t>P1-233774</t>
  </si>
  <si>
    <t>L1-160462</t>
  </si>
  <si>
    <t>P1-233775</t>
  </si>
  <si>
    <t>L1-230952</t>
  </si>
  <si>
    <t>P1-233777</t>
  </si>
  <si>
    <t>L1-230954</t>
  </si>
  <si>
    <t>P1-233779</t>
  </si>
  <si>
    <t>L1-200974</t>
  </si>
  <si>
    <t>P1-233782</t>
  </si>
  <si>
    <t>L1-150383</t>
  </si>
  <si>
    <t>P1-233783</t>
  </si>
  <si>
    <t>L1-150382</t>
  </si>
  <si>
    <t>P1-233785</t>
  </si>
  <si>
    <t>L1-230955</t>
  </si>
  <si>
    <t>P1-233787</t>
  </si>
  <si>
    <t>L1-230957</t>
  </si>
  <si>
    <t>P1-233788</t>
  </si>
  <si>
    <t>L1-200977</t>
  </si>
  <si>
    <t>P1-233789</t>
  </si>
  <si>
    <t>L1-130411</t>
  </si>
  <si>
    <t>P1-233792</t>
  </si>
  <si>
    <t>L1-200981</t>
  </si>
  <si>
    <t>P1-233793</t>
  </si>
  <si>
    <t>L1-200976</t>
  </si>
  <si>
    <t>P1-233794</t>
  </si>
  <si>
    <t>L1-230958</t>
  </si>
  <si>
    <t>P1-233795</t>
  </si>
  <si>
    <t>L1-230959</t>
  </si>
  <si>
    <t>P1-233796</t>
  </si>
  <si>
    <t>L1-150386</t>
  </si>
  <si>
    <t>P1-233798</t>
  </si>
  <si>
    <t>L1-101156</t>
  </si>
  <si>
    <t>P1-233799</t>
  </si>
  <si>
    <t>L1-180533</t>
  </si>
  <si>
    <t>P1-233801</t>
  </si>
  <si>
    <t>L1-210512</t>
  </si>
  <si>
    <t>P1-233802</t>
  </si>
  <si>
    <t>L1-230960</t>
  </si>
  <si>
    <t>P1-233803</t>
  </si>
  <si>
    <t>L1-200982</t>
  </si>
  <si>
    <t>P1-233805</t>
  </si>
  <si>
    <t>L1-150387</t>
  </si>
  <si>
    <t>P1-233806</t>
  </si>
  <si>
    <t>L1-200983</t>
  </si>
  <si>
    <t>P1-233807</t>
  </si>
  <si>
    <t>L1-230961</t>
  </si>
  <si>
    <t>P1-233808</t>
  </si>
  <si>
    <t>L1-230962</t>
  </si>
  <si>
    <t>P1-233809</t>
  </si>
  <si>
    <t>L1-230963</t>
  </si>
  <si>
    <t>P1-233811</t>
  </si>
  <si>
    <t>L1-190318</t>
  </si>
  <si>
    <t>P1-233812</t>
  </si>
  <si>
    <t>L1-190319</t>
  </si>
  <si>
    <t>P1-233815</t>
  </si>
  <si>
    <t>L1-230966</t>
  </si>
  <si>
    <t>P1-233819</t>
  </si>
  <si>
    <t>L1-180535</t>
  </si>
  <si>
    <t>P1-233820</t>
  </si>
  <si>
    <t>L1-110533</t>
  </si>
  <si>
    <t>P1-233821</t>
  </si>
  <si>
    <t>L1-210515</t>
  </si>
  <si>
    <t>P1-233823</t>
  </si>
  <si>
    <t>L1-170859</t>
  </si>
  <si>
    <t>P1-233825</t>
  </si>
  <si>
    <t>L1-160464</t>
  </si>
  <si>
    <t>P1-233826</t>
  </si>
  <si>
    <t>L1-160466</t>
  </si>
  <si>
    <t>P1-233827</t>
  </si>
  <si>
    <t>L1-150390</t>
  </si>
  <si>
    <t>P1-233828</t>
  </si>
  <si>
    <t>L1-180536</t>
  </si>
  <si>
    <t>P1-233830</t>
  </si>
  <si>
    <t>L1-220455</t>
  </si>
  <si>
    <t>P1-233831</t>
  </si>
  <si>
    <t>L1-230969</t>
  </si>
  <si>
    <t>P1-233833</t>
  </si>
  <si>
    <t>L1-200989</t>
  </si>
  <si>
    <t>P1-233834</t>
  </si>
  <si>
    <t>L1-200991</t>
  </si>
  <si>
    <t>P1-233835</t>
  </si>
  <si>
    <t>L1-190323</t>
  </si>
  <si>
    <t>P1-233836</t>
  </si>
  <si>
    <t>L1-200992</t>
  </si>
  <si>
    <t>P1-233837</t>
  </si>
  <si>
    <t>L1-130416</t>
  </si>
  <si>
    <t>P1-233840</t>
  </si>
  <si>
    <t>L1-210516</t>
  </si>
  <si>
    <t>P1-233841</t>
  </si>
  <si>
    <t>L1-200990</t>
  </si>
  <si>
    <t>P1-233842</t>
  </si>
  <si>
    <t>L1-190324</t>
  </si>
  <si>
    <t>P1-233843</t>
  </si>
  <si>
    <t>L1-160469</t>
  </si>
  <si>
    <t>P1-233844</t>
  </si>
  <si>
    <t>L1-200993</t>
  </si>
  <si>
    <t>P1-233845</t>
  </si>
  <si>
    <t>L1-150392</t>
  </si>
  <si>
    <t>P1-233848</t>
  </si>
  <si>
    <t>L1-230972</t>
  </si>
  <si>
    <t>P1-233850</t>
  </si>
  <si>
    <t>L1-230974</t>
  </si>
  <si>
    <t>P1-233851</t>
  </si>
  <si>
    <t>L1-230975</t>
  </si>
  <si>
    <t>P1-233852</t>
  </si>
  <si>
    <t>L1-150396</t>
  </si>
  <si>
    <t>P1-233854</t>
  </si>
  <si>
    <t>L1-220458</t>
  </si>
  <si>
    <t>P1-233855</t>
  </si>
  <si>
    <t>L1-220459</t>
  </si>
  <si>
    <t>P1-233857</t>
  </si>
  <si>
    <t>L1-180538</t>
  </si>
  <si>
    <t>P1-233858</t>
  </si>
  <si>
    <t>L1-210519</t>
  </si>
  <si>
    <t>P1-233859</t>
  </si>
  <si>
    <t>L1-170863</t>
  </si>
  <si>
    <t>P1-233860</t>
  </si>
  <si>
    <t>L1-200994</t>
  </si>
  <si>
    <t>P1-233861</t>
  </si>
  <si>
    <t>L1-150394</t>
  </si>
  <si>
    <t>P1-233862</t>
  </si>
  <si>
    <t>L1-210517</t>
  </si>
  <si>
    <t>P1-233864</t>
  </si>
  <si>
    <t>L1-190325</t>
  </si>
  <si>
    <t>P1-233867</t>
  </si>
  <si>
    <t>L1-230978</t>
  </si>
  <si>
    <t>P1-233868</t>
  </si>
  <si>
    <t>L1-230979</t>
  </si>
  <si>
    <t>P1-233869</t>
  </si>
  <si>
    <t>L1-230980</t>
  </si>
  <si>
    <t>P1-233870</t>
  </si>
  <si>
    <t>L1-230981</t>
  </si>
  <si>
    <t>P1-233874</t>
  </si>
  <si>
    <t>L1-200999</t>
  </si>
  <si>
    <t>P1-233875</t>
  </si>
  <si>
    <t>L1-220460</t>
  </si>
  <si>
    <t>P1-233878</t>
  </si>
  <si>
    <t>L1-200997</t>
  </si>
  <si>
    <t>P1-233879</t>
  </si>
  <si>
    <t>L1-210522</t>
  </si>
  <si>
    <t>P1-233880</t>
  </si>
  <si>
    <t>L1-160473</t>
  </si>
  <si>
    <t>P1-233882</t>
  </si>
  <si>
    <t>L1-230983</t>
  </si>
  <si>
    <t>P1-233883</t>
  </si>
  <si>
    <t>L1-230984</t>
  </si>
  <si>
    <t>P1-233885</t>
  </si>
  <si>
    <t>L1-170864</t>
  </si>
  <si>
    <t>P1-233886</t>
  </si>
  <si>
    <t>L1-220462</t>
  </si>
  <si>
    <t>P1-233887</t>
  </si>
  <si>
    <t>L1-210523</t>
  </si>
  <si>
    <t>P1-233888</t>
  </si>
  <si>
    <t>L1-170865</t>
  </si>
  <si>
    <t>P1-233889</t>
  </si>
  <si>
    <t>L1-201001</t>
  </si>
  <si>
    <t>P1-233890</t>
  </si>
  <si>
    <t>L1-210524</t>
  </si>
  <si>
    <t>P1-233892</t>
  </si>
  <si>
    <t>L1-220461</t>
  </si>
  <si>
    <t>P1-233894</t>
  </si>
  <si>
    <t>L1-150397</t>
  </si>
  <si>
    <t>P1-233897</t>
  </si>
  <si>
    <t>L1-170870</t>
  </si>
  <si>
    <t>P1-233900</t>
  </si>
  <si>
    <t>L1-210526</t>
  </si>
  <si>
    <t>P1-233901</t>
  </si>
  <si>
    <t>L1-190326</t>
  </si>
  <si>
    <t>P1-233902</t>
  </si>
  <si>
    <t>L1-170868</t>
  </si>
  <si>
    <t>P1-233903</t>
  </si>
  <si>
    <t>L1-220463</t>
  </si>
  <si>
    <t>P1-233905</t>
  </si>
  <si>
    <t>L1-201003</t>
  </si>
  <si>
    <t>P1-233906</t>
  </si>
  <si>
    <t>L1-201004</t>
  </si>
  <si>
    <t>P1-233908</t>
  </si>
  <si>
    <t>L1-230987</t>
  </si>
  <si>
    <t>P1-233909</t>
  </si>
  <si>
    <t>L1-230988</t>
  </si>
  <si>
    <t>P1-233910</t>
  </si>
  <si>
    <t>L1-230989</t>
  </si>
  <si>
    <t>P1-233912</t>
  </si>
  <si>
    <t>L1-160475</t>
  </si>
  <si>
    <t>P1-233913</t>
  </si>
  <si>
    <t>L1-170876</t>
  </si>
  <si>
    <t>P1-233916</t>
  </si>
  <si>
    <t>L1-170873</t>
  </si>
  <si>
    <t>P1-233917</t>
  </si>
  <si>
    <t>L1-201008</t>
  </si>
  <si>
    <t>P1-233918</t>
  </si>
  <si>
    <t>L1-220465</t>
  </si>
  <si>
    <t>P1-233919</t>
  </si>
  <si>
    <t>L1-140485</t>
  </si>
  <si>
    <t>P1-233920</t>
  </si>
  <si>
    <t>L1-201009</t>
  </si>
  <si>
    <t>P1-233921</t>
  </si>
  <si>
    <t>L1-120477</t>
  </si>
  <si>
    <t>P1-233922</t>
  </si>
  <si>
    <t>L1-220464</t>
  </si>
  <si>
    <t>P1-233925</t>
  </si>
  <si>
    <t>L1-230992</t>
  </si>
  <si>
    <t>P1-233926</t>
  </si>
  <si>
    <t>L1-230993</t>
  </si>
  <si>
    <t>P1-233927</t>
  </si>
  <si>
    <t>L1-210529</t>
  </si>
  <si>
    <t>P1-233929</t>
  </si>
  <si>
    <t>L1-190329</t>
  </si>
  <si>
    <t>P1-233930</t>
  </si>
  <si>
    <t>L1-220466</t>
  </si>
  <si>
    <t>P1-233932</t>
  </si>
  <si>
    <t>L1-230995</t>
  </si>
  <si>
    <t>P1-233934</t>
  </si>
  <si>
    <t>L1-230997</t>
  </si>
  <si>
    <t>P1-233936</t>
  </si>
  <si>
    <t>L1-201014</t>
  </si>
  <si>
    <t>P1-233937</t>
  </si>
  <si>
    <t>L1-160479</t>
  </si>
  <si>
    <t>P1-233939</t>
  </si>
  <si>
    <t>L1-201015</t>
  </si>
  <si>
    <t>P1-233940</t>
  </si>
  <si>
    <t>L1-210532</t>
  </si>
  <si>
    <t>P1-233941</t>
  </si>
  <si>
    <t>L1-190331</t>
  </si>
  <si>
    <t>P1-233942</t>
  </si>
  <si>
    <t>L1-130423</t>
  </si>
  <si>
    <t>P1-233944</t>
  </si>
  <si>
    <t>L1-220467</t>
  </si>
  <si>
    <t>P1-233945</t>
  </si>
  <si>
    <t>L1-201017</t>
  </si>
  <si>
    <t>P1-233947</t>
  </si>
  <si>
    <t>L1-160480</t>
  </si>
  <si>
    <t>P1-233948</t>
  </si>
  <si>
    <t>L1-210534</t>
  </si>
  <si>
    <t>P1-233949</t>
  </si>
  <si>
    <t>L1-210535</t>
  </si>
  <si>
    <t>P1-233950</t>
  </si>
  <si>
    <t>L1-170883</t>
  </si>
  <si>
    <t>P1-233951</t>
  </si>
  <si>
    <t>L1-230998</t>
  </si>
  <si>
    <t>P1-233954</t>
  </si>
  <si>
    <t>L1-180549</t>
  </si>
  <si>
    <t>P1-233956</t>
  </si>
  <si>
    <t>L1-220468</t>
  </si>
  <si>
    <t>P1-233958</t>
  </si>
  <si>
    <t>L1-230999</t>
  </si>
  <si>
    <t>P1-233961</t>
  </si>
  <si>
    <t>L1-190335</t>
  </si>
  <si>
    <t>P1-233962</t>
  </si>
  <si>
    <t>L1-150409</t>
  </si>
  <si>
    <t>P1-233963</t>
  </si>
  <si>
    <t>L1-220471</t>
  </si>
  <si>
    <t>P1-233964</t>
  </si>
  <si>
    <t>L1-190332</t>
  </si>
  <si>
    <t>P1-233965</t>
  </si>
  <si>
    <t>L1-170888</t>
  </si>
  <si>
    <t>P1-233967</t>
  </si>
  <si>
    <t>L1-180551</t>
  </si>
  <si>
    <t>P1-233969</t>
  </si>
  <si>
    <t>L1-201023</t>
  </si>
  <si>
    <t>P1-233970</t>
  </si>
  <si>
    <t>L1-190334</t>
  </si>
  <si>
    <t>P1-233973</t>
  </si>
  <si>
    <t>L1-210539</t>
  </si>
  <si>
    <t>P1-233974</t>
  </si>
  <si>
    <t>L1-220473</t>
  </si>
  <si>
    <t>P1-233975</t>
  </si>
  <si>
    <t>L1-231001</t>
  </si>
  <si>
    <t>P1-233977</t>
  </si>
  <si>
    <t>L1-190336</t>
  </si>
  <si>
    <t>P1-233979</t>
  </si>
  <si>
    <t>L1-210540</t>
  </si>
  <si>
    <t>P1-233980</t>
  </si>
  <si>
    <t>L1-201025</t>
  </si>
  <si>
    <t>P1-233982</t>
  </si>
  <si>
    <t>L1-180553</t>
  </si>
  <si>
    <t>P1-233983</t>
  </si>
  <si>
    <t>L1-101209</t>
  </si>
  <si>
    <t>P1-233984</t>
  </si>
  <si>
    <t>L1-170894</t>
  </si>
  <si>
    <t>P1-233985</t>
  </si>
  <si>
    <t>L1-101210</t>
  </si>
  <si>
    <t>P1-233987</t>
  </si>
  <si>
    <t>L1-170893</t>
  </si>
  <si>
    <t>P1-233989</t>
  </si>
  <si>
    <t>L1-231003</t>
  </si>
  <si>
    <t>P1-233990</t>
  </si>
  <si>
    <t>L1-231004</t>
  </si>
  <si>
    <t>P1-233991</t>
  </si>
  <si>
    <t>L1-231005</t>
  </si>
  <si>
    <t>P1-233992</t>
  </si>
  <si>
    <t>L1-101213</t>
  </si>
  <si>
    <t>P1-233993</t>
  </si>
  <si>
    <t>L1-150411</t>
  </si>
  <si>
    <t>P1-233994</t>
  </si>
  <si>
    <t>L1-170896</t>
  </si>
  <si>
    <t>P1-233995</t>
  </si>
  <si>
    <t>L1-201027</t>
  </si>
  <si>
    <t>P1-233996</t>
  </si>
  <si>
    <t>L1-210541</t>
  </si>
  <si>
    <t>P1-233997</t>
  </si>
  <si>
    <t>L1-120486</t>
  </si>
  <si>
    <t>P1-233998</t>
  </si>
  <si>
    <t>L1-210542</t>
  </si>
  <si>
    <t>P1-234000</t>
  </si>
  <si>
    <t>L1-160485</t>
  </si>
  <si>
    <t>P1-234001</t>
  </si>
  <si>
    <t>L1-170898</t>
  </si>
  <si>
    <t>P1-234002</t>
  </si>
  <si>
    <t>L1-231006</t>
  </si>
  <si>
    <t>P1-234004</t>
  </si>
  <si>
    <t>L1-231008</t>
  </si>
  <si>
    <t>P1-234005</t>
  </si>
  <si>
    <t>L1-130431</t>
  </si>
  <si>
    <t>P1-234008</t>
  </si>
  <si>
    <t>L1-201033</t>
  </si>
  <si>
    <t>P1-234009</t>
  </si>
  <si>
    <t>L1-210544</t>
  </si>
  <si>
    <t>P1-234010</t>
  </si>
  <si>
    <t>L1-201034</t>
  </si>
  <si>
    <t>P1-234011</t>
  </si>
  <si>
    <t>L1-140493</t>
  </si>
  <si>
    <t>P1-234015</t>
  </si>
  <si>
    <t>L1-231011</t>
  </si>
  <si>
    <t>P1-234016</t>
  </si>
  <si>
    <t>L1-231012</t>
  </si>
  <si>
    <t>P1-234017</t>
  </si>
  <si>
    <t>L1-170910</t>
  </si>
  <si>
    <t>P1-234018</t>
  </si>
  <si>
    <t>L1-140494</t>
  </si>
  <si>
    <t>P1-234020</t>
  </si>
  <si>
    <t>L1-201037</t>
  </si>
  <si>
    <t>P1-234022</t>
  </si>
  <si>
    <t>L1-220477</t>
  </si>
  <si>
    <t>P1-234023</t>
  </si>
  <si>
    <t>L1-220480</t>
  </si>
  <si>
    <t>P1-234024</t>
  </si>
  <si>
    <t>L1-201035</t>
  </si>
  <si>
    <t>P1-234026</t>
  </si>
  <si>
    <t>L1-220478</t>
  </si>
  <si>
    <t>P1-234027</t>
  </si>
  <si>
    <t>L1-231013</t>
  </si>
  <si>
    <t>P1-234028</t>
  </si>
  <si>
    <t>L1-231014</t>
  </si>
  <si>
    <t>P1-234029</t>
  </si>
  <si>
    <t>L1-231015</t>
  </si>
  <si>
    <t>P1-234030</t>
  </si>
  <si>
    <t>L1-231016</t>
  </si>
  <si>
    <t>P1-234031</t>
  </si>
  <si>
    <t>L1-231017</t>
  </si>
  <si>
    <t>P1-234032</t>
  </si>
  <si>
    <t>L1-201041</t>
  </si>
  <si>
    <t>P1-234033</t>
  </si>
  <si>
    <t>L1-210549</t>
  </si>
  <si>
    <t>P1-234034</t>
  </si>
  <si>
    <t>L1-130433</t>
  </si>
  <si>
    <t>P1-234035</t>
  </si>
  <si>
    <t>L1-201042</t>
  </si>
  <si>
    <t>P1-234037</t>
  </si>
  <si>
    <t>L1-170911</t>
  </si>
  <si>
    <t>P1-234038</t>
  </si>
  <si>
    <t>L1-110554</t>
  </si>
  <si>
    <t>P1-240001</t>
  </si>
  <si>
    <t>L1-240001</t>
  </si>
  <si>
    <t>P1-240003</t>
  </si>
  <si>
    <t>L1-100003</t>
  </si>
  <si>
    <t>P1-240004</t>
  </si>
  <si>
    <t>L1-230002</t>
  </si>
  <si>
    <t>P1-240007</t>
  </si>
  <si>
    <t>L1-220001</t>
  </si>
  <si>
    <t>P1-240009</t>
  </si>
  <si>
    <t>L1-240004</t>
  </si>
  <si>
    <t>P1-240010</t>
  </si>
  <si>
    <t>L1-240005</t>
  </si>
  <si>
    <t>P1-240011</t>
  </si>
  <si>
    <t>L1-240006</t>
  </si>
  <si>
    <t>P1-240012</t>
  </si>
  <si>
    <t>L1-240007</t>
  </si>
  <si>
    <t>P1-240013</t>
  </si>
  <si>
    <t>L1-180005</t>
  </si>
  <si>
    <t>P1-240015</t>
  </si>
  <si>
    <t>L1-180006</t>
  </si>
  <si>
    <t>P1-240017</t>
  </si>
  <si>
    <t>L1-170007</t>
  </si>
  <si>
    <t>P1-240018</t>
  </si>
  <si>
    <t>L1-200011</t>
  </si>
  <si>
    <t>P1-240019</t>
  </si>
  <si>
    <t>L1-100006</t>
  </si>
  <si>
    <t>P1-240021</t>
  </si>
  <si>
    <t>L1-170005</t>
  </si>
  <si>
    <t>P1-240022</t>
  </si>
  <si>
    <t>L1-200009</t>
  </si>
  <si>
    <t>P1-240024</t>
  </si>
  <si>
    <t>L1-200004</t>
  </si>
  <si>
    <t>P1-240025</t>
  </si>
  <si>
    <t>L1-220003</t>
  </si>
  <si>
    <t>P1-240026</t>
  </si>
  <si>
    <t>L1-210004</t>
  </si>
  <si>
    <t>P1-240027</t>
  </si>
  <si>
    <t>L1-240008</t>
  </si>
  <si>
    <t>P1-240028</t>
  </si>
  <si>
    <t>L1-240009</t>
  </si>
  <si>
    <t>P1-240029</t>
  </si>
  <si>
    <t>L1-130006</t>
  </si>
  <si>
    <t>P1-240030</t>
  </si>
  <si>
    <t>L1-160004</t>
  </si>
  <si>
    <t>P1-240031</t>
  </si>
  <si>
    <t>L1-200012</t>
  </si>
  <si>
    <t>P1-240032</t>
  </si>
  <si>
    <t>L1-170008</t>
  </si>
  <si>
    <t>P1-240033</t>
  </si>
  <si>
    <t>L1-200014</t>
  </si>
  <si>
    <t>P1-240034</t>
  </si>
  <si>
    <t>L1-230005</t>
  </si>
  <si>
    <t>P1-240035</t>
  </si>
  <si>
    <t>L1-210005</t>
  </si>
  <si>
    <t>P1-240036</t>
  </si>
  <si>
    <t>L1-200015</t>
  </si>
  <si>
    <t>P1-240037</t>
  </si>
  <si>
    <t>L1-200013</t>
  </si>
  <si>
    <t>P1-240038</t>
  </si>
  <si>
    <t>L1-230004</t>
  </si>
  <si>
    <t>P1-240039</t>
  </si>
  <si>
    <t>L1-210007</t>
  </si>
  <si>
    <t>P1-240043</t>
  </si>
  <si>
    <t>L1-240013</t>
  </si>
  <si>
    <t>P1-240045</t>
  </si>
  <si>
    <t>L1-190006</t>
  </si>
  <si>
    <t>P1-240048</t>
  </si>
  <si>
    <t>L1-220005</t>
  </si>
  <si>
    <t>P1-240049</t>
  </si>
  <si>
    <t>L1-230007</t>
  </si>
  <si>
    <t>P1-240050</t>
  </si>
  <si>
    <t>L1-190005</t>
  </si>
  <si>
    <t>P1-240052</t>
  </si>
  <si>
    <t>L1-230006</t>
  </si>
  <si>
    <t>P1-240053</t>
  </si>
  <si>
    <t>L1-220006</t>
  </si>
  <si>
    <t>P1-240056</t>
  </si>
  <si>
    <t>L1-170011</t>
  </si>
  <si>
    <t>P1-240057</t>
  </si>
  <si>
    <t>L1-230009</t>
  </si>
  <si>
    <t>P1-240060</t>
  </si>
  <si>
    <t>L1-220009</t>
  </si>
  <si>
    <t>P1-240061</t>
  </si>
  <si>
    <t>L1-240014</t>
  </si>
  <si>
    <t>P1-240062</t>
  </si>
  <si>
    <t>L1-200022</t>
  </si>
  <si>
    <t>P1-240064</t>
  </si>
  <si>
    <t>L1-230011</t>
  </si>
  <si>
    <t>P1-240066</t>
  </si>
  <si>
    <t>L1-140008</t>
  </si>
  <si>
    <t>P1-240067</t>
  </si>
  <si>
    <t>L1-120005</t>
  </si>
  <si>
    <t>P1-240068</t>
  </si>
  <si>
    <t>L1-120006</t>
  </si>
  <si>
    <t>P1-240069</t>
  </si>
  <si>
    <t>L1-130012</t>
  </si>
  <si>
    <t>P1-240070</t>
  </si>
  <si>
    <t>L1-180012</t>
  </si>
  <si>
    <t>P1-240071</t>
  </si>
  <si>
    <t>L1-150002</t>
  </si>
  <si>
    <t>P1-240072</t>
  </si>
  <si>
    <t>L1-170013</t>
  </si>
  <si>
    <t>P1-240076</t>
  </si>
  <si>
    <t>L1-240017</t>
  </si>
  <si>
    <t>P1-240077</t>
  </si>
  <si>
    <t>L1-240018</t>
  </si>
  <si>
    <t>P1-240079</t>
  </si>
  <si>
    <t>L1-230012</t>
  </si>
  <si>
    <t>P1-240080</t>
  </si>
  <si>
    <t>L1-150007</t>
  </si>
  <si>
    <t>P1-240081</t>
  </si>
  <si>
    <t>L1-100020</t>
  </si>
  <si>
    <t>P1-240084</t>
  </si>
  <si>
    <t>L1-240020</t>
  </si>
  <si>
    <t>P1-240086</t>
  </si>
  <si>
    <t>L1-220011</t>
  </si>
  <si>
    <t>P1-240087</t>
  </si>
  <si>
    <t>L1-200026</t>
  </si>
  <si>
    <t>P1-240088</t>
  </si>
  <si>
    <t>L1-200029</t>
  </si>
  <si>
    <t>P1-240089</t>
  </si>
  <si>
    <t>L1-180015</t>
  </si>
  <si>
    <t>P1-240091</t>
  </si>
  <si>
    <t>L1-230014</t>
  </si>
  <si>
    <t>P1-240094</t>
  </si>
  <si>
    <t>L1-230016</t>
  </si>
  <si>
    <t>P1-240095</t>
  </si>
  <si>
    <t>L1-190008</t>
  </si>
  <si>
    <t>P1-240097</t>
  </si>
  <si>
    <t>L1-210015</t>
  </si>
  <si>
    <t>P1-240098</t>
  </si>
  <si>
    <t>L1-110016</t>
  </si>
  <si>
    <t>P1-240099</t>
  </si>
  <si>
    <t>L1-210014</t>
  </si>
  <si>
    <t>P1-240100</t>
  </si>
  <si>
    <t>L1-230015</t>
  </si>
  <si>
    <t>P1-240102</t>
  </si>
  <si>
    <t>L1-240023</t>
  </si>
  <si>
    <t>P1-240103</t>
  </si>
  <si>
    <t>L1-230018</t>
  </si>
  <si>
    <t>P1-240104</t>
  </si>
  <si>
    <t>L1-170021</t>
  </si>
  <si>
    <t>P1-240106</t>
  </si>
  <si>
    <t>L1-200033</t>
  </si>
  <si>
    <t>P1-240107</t>
  </si>
  <si>
    <t>L1-200032</t>
  </si>
  <si>
    <t>P1-240108</t>
  </si>
  <si>
    <t>L1-220013</t>
  </si>
  <si>
    <t>P1-240109</t>
  </si>
  <si>
    <t>L1-200031</t>
  </si>
  <si>
    <t>P1-240110</t>
  </si>
  <si>
    <t>L1-230017</t>
  </si>
  <si>
    <t>P1-240111</t>
  </si>
  <si>
    <t>L1-200034</t>
  </si>
  <si>
    <t>P1-240112</t>
  </si>
  <si>
    <t>L1-240024</t>
  </si>
  <si>
    <t>P1-240113</t>
  </si>
  <si>
    <t>L1-240025</t>
  </si>
  <si>
    <t>P1-240114</t>
  </si>
  <si>
    <t>L1-170023</t>
  </si>
  <si>
    <t>P1-240115</t>
  </si>
  <si>
    <t>L1-190010</t>
  </si>
  <si>
    <t>P1-240119</t>
  </si>
  <si>
    <t>L1-190011</t>
  </si>
  <si>
    <t>P1-240120</t>
  </si>
  <si>
    <t>L1-200036</t>
  </si>
  <si>
    <t>P1-240122</t>
  </si>
  <si>
    <t>L1-230020</t>
  </si>
  <si>
    <t>P1-240124</t>
  </si>
  <si>
    <t>L1-200037</t>
  </si>
  <si>
    <t>P1-240125</t>
  </si>
  <si>
    <t>L1-240026</t>
  </si>
  <si>
    <t>P1-240126</t>
  </si>
  <si>
    <t>L1-240027</t>
  </si>
  <si>
    <t>P1-240128</t>
  </si>
  <si>
    <t>L1-240029</t>
  </si>
  <si>
    <t>P1-240130</t>
  </si>
  <si>
    <t>L1-100036</t>
  </si>
  <si>
    <t>P1-240132</t>
  </si>
  <si>
    <t>L1-230023</t>
  </si>
  <si>
    <t>P1-240133</t>
  </si>
  <si>
    <t>L1-190013</t>
  </si>
  <si>
    <t>P1-240135</t>
  </si>
  <si>
    <t>L1-210016</t>
  </si>
  <si>
    <t>P1-240138</t>
  </si>
  <si>
    <t>L1-230025</t>
  </si>
  <si>
    <t>P1-240139</t>
  </si>
  <si>
    <t>L1-220015</t>
  </si>
  <si>
    <t>P1-240141</t>
  </si>
  <si>
    <t>L1-160013</t>
  </si>
  <si>
    <t>P1-240143</t>
  </si>
  <si>
    <t>L1-180027</t>
  </si>
  <si>
    <t>P1-240145</t>
  </si>
  <si>
    <t>L1-240031</t>
  </si>
  <si>
    <t>P1-240146</t>
  </si>
  <si>
    <t>L1-120016</t>
  </si>
  <si>
    <t>P1-240147</t>
  </si>
  <si>
    <t>L1-110023</t>
  </si>
  <si>
    <t>P1-240149</t>
  </si>
  <si>
    <t>L1-180030</t>
  </si>
  <si>
    <t>P1-240153</t>
  </si>
  <si>
    <t>L1-230027</t>
  </si>
  <si>
    <t>P1-240154</t>
  </si>
  <si>
    <t>L1-220020</t>
  </si>
  <si>
    <t>P1-240156</t>
  </si>
  <si>
    <t>L1-150016</t>
  </si>
  <si>
    <t>P1-240157</t>
  </si>
  <si>
    <t>L1-220018</t>
  </si>
  <si>
    <t>P1-240158</t>
  </si>
  <si>
    <t>L1-180031</t>
  </si>
  <si>
    <t>P1-240159</t>
  </si>
  <si>
    <t>L1-210020</t>
  </si>
  <si>
    <t>P1-240160</t>
  </si>
  <si>
    <t>L1-100039</t>
  </si>
  <si>
    <t>P1-240161</t>
  </si>
  <si>
    <t>L1-230026</t>
  </si>
  <si>
    <t>P1-240162</t>
  </si>
  <si>
    <t>L1-210021</t>
  </si>
  <si>
    <t>P1-240165</t>
  </si>
  <si>
    <t>L1-240033</t>
  </si>
  <si>
    <t>P1-240166</t>
  </si>
  <si>
    <t>L1-160017</t>
  </si>
  <si>
    <t>P1-240167</t>
  </si>
  <si>
    <t>L1-210024</t>
  </si>
  <si>
    <t>P1-240168</t>
  </si>
  <si>
    <t>L1-200047</t>
  </si>
  <si>
    <t>P1-240170</t>
  </si>
  <si>
    <t>L1-170028</t>
  </si>
  <si>
    <t>P1-240171</t>
  </si>
  <si>
    <t>L1-190015</t>
  </si>
  <si>
    <t>P1-240172</t>
  </si>
  <si>
    <t>L1-170029</t>
  </si>
  <si>
    <t>P1-240173</t>
  </si>
  <si>
    <t>L1-180032</t>
  </si>
  <si>
    <t>P1-240174</t>
  </si>
  <si>
    <t>L1-230029</t>
  </si>
  <si>
    <t>P1-240176</t>
  </si>
  <si>
    <t>L1-130025</t>
  </si>
  <si>
    <t>P1-240177</t>
  </si>
  <si>
    <t>L1-230032</t>
  </si>
  <si>
    <t>P1-240178</t>
  </si>
  <si>
    <t>L1-170032</t>
  </si>
  <si>
    <t>P1-240179</t>
  </si>
  <si>
    <t>L1-200054</t>
  </si>
  <si>
    <t>P1-240180</t>
  </si>
  <si>
    <t>L1-220022</t>
  </si>
  <si>
    <t>P1-240181</t>
  </si>
  <si>
    <t>L1-200052</t>
  </si>
  <si>
    <t>P1-240185</t>
  </si>
  <si>
    <t>L1-170031</t>
  </si>
  <si>
    <t>P1-240187</t>
  </si>
  <si>
    <t>L1-200049</t>
  </si>
  <si>
    <t>P1-240188</t>
  </si>
  <si>
    <t>L1-200051</t>
  </si>
  <si>
    <t>P1-240189</t>
  </si>
  <si>
    <t>L1-200055</t>
  </si>
  <si>
    <t>P1-240190</t>
  </si>
  <si>
    <t>L1-200056</t>
  </si>
  <si>
    <t>P1-240191</t>
  </si>
  <si>
    <t>L1-230034</t>
  </si>
  <si>
    <t>P1-240192</t>
  </si>
  <si>
    <t>L1-180034</t>
  </si>
  <si>
    <t>P1-240193</t>
  </si>
  <si>
    <t>L1-230033</t>
  </si>
  <si>
    <t>P1-240195</t>
  </si>
  <si>
    <t>L1-160019</t>
  </si>
  <si>
    <t>P1-240196</t>
  </si>
  <si>
    <t>L1-210027</t>
  </si>
  <si>
    <t>P1-240198</t>
  </si>
  <si>
    <t>L1-240035</t>
  </si>
  <si>
    <t>P1-240199</t>
  </si>
  <si>
    <t>L1-240036</t>
  </si>
  <si>
    <t>P1-240200</t>
  </si>
  <si>
    <t>L1-230037</t>
  </si>
  <si>
    <t>P1-240201</t>
  </si>
  <si>
    <t>L1-230035</t>
  </si>
  <si>
    <t>P1-240202</t>
  </si>
  <si>
    <t>L1-200058</t>
  </si>
  <si>
    <t>P1-240204</t>
  </si>
  <si>
    <t>L1-220023</t>
  </si>
  <si>
    <t>P1-240205</t>
  </si>
  <si>
    <t>L1-230036</t>
  </si>
  <si>
    <t>P1-240206</t>
  </si>
  <si>
    <t>L1-160023</t>
  </si>
  <si>
    <t>P1-240207</t>
  </si>
  <si>
    <t>L1-230042</t>
  </si>
  <si>
    <t>P1-240209</t>
  </si>
  <si>
    <t>L1-230039</t>
  </si>
  <si>
    <t>P1-240210</t>
  </si>
  <si>
    <t>L1-230040</t>
  </si>
  <si>
    <t>P1-240211</t>
  </si>
  <si>
    <t>L1-160027</t>
  </si>
  <si>
    <t>P1-240212</t>
  </si>
  <si>
    <t>L1-230038</t>
  </si>
  <si>
    <t>P1-240213</t>
  </si>
  <si>
    <t>L1-230041</t>
  </si>
  <si>
    <t>P1-240215</t>
  </si>
  <si>
    <t>L1-240038</t>
  </si>
  <si>
    <t>P1-240220</t>
  </si>
  <si>
    <t>L1-230043</t>
  </si>
  <si>
    <t>P1-240222</t>
  </si>
  <si>
    <t>L1-170039</t>
  </si>
  <si>
    <t>P1-240223</t>
  </si>
  <si>
    <t>L1-140032</t>
  </si>
  <si>
    <t>P1-240224</t>
  </si>
  <si>
    <t>L1-230044</t>
  </si>
  <si>
    <t>P1-240225</t>
  </si>
  <si>
    <t>L1-170040</t>
  </si>
  <si>
    <t>P1-240226</t>
  </si>
  <si>
    <t>L1-200060</t>
  </si>
  <si>
    <t>P1-240227</t>
  </si>
  <si>
    <t>L1-200059</t>
  </si>
  <si>
    <t>P1-240229</t>
  </si>
  <si>
    <t>L1-190018</t>
  </si>
  <si>
    <t>P1-240230</t>
  </si>
  <si>
    <t>L1-170043</t>
  </si>
  <si>
    <t>P1-240231</t>
  </si>
  <si>
    <t>L1-230047</t>
  </si>
  <si>
    <t>P1-240235</t>
  </si>
  <si>
    <t>L1-240041</t>
  </si>
  <si>
    <t>P1-240236</t>
  </si>
  <si>
    <t>L1-170044</t>
  </si>
  <si>
    <t>P1-240238</t>
  </si>
  <si>
    <t>L1-230049</t>
  </si>
  <si>
    <t>P1-240240</t>
  </si>
  <si>
    <t>L1-140037</t>
  </si>
  <si>
    <t>P1-240242</t>
  </si>
  <si>
    <t>L1-240042</t>
  </si>
  <si>
    <t>P1-240243</t>
  </si>
  <si>
    <t>L1-240043</t>
  </si>
  <si>
    <t>P1-240244</t>
  </si>
  <si>
    <t>L1-240044</t>
  </si>
  <si>
    <t>P1-240245</t>
  </si>
  <si>
    <t>L1-220028</t>
  </si>
  <si>
    <t>P1-240247</t>
  </si>
  <si>
    <t>L1-180038</t>
  </si>
  <si>
    <t>P1-240248</t>
  </si>
  <si>
    <t>L1-160031</t>
  </si>
  <si>
    <t>P1-240250</t>
  </si>
  <si>
    <t>L1-180039</t>
  </si>
  <si>
    <t>P1-240251</t>
  </si>
  <si>
    <t>L1-230051</t>
  </si>
  <si>
    <t>P1-240253</t>
  </si>
  <si>
    <t>L1-200065</t>
  </si>
  <si>
    <t>P1-240255</t>
  </si>
  <si>
    <t>L1-170046</t>
  </si>
  <si>
    <t>P1-240257</t>
  </si>
  <si>
    <t>L1-100068</t>
  </si>
  <si>
    <t>P1-240258</t>
  </si>
  <si>
    <t>L1-150024</t>
  </si>
  <si>
    <t>P1-240260</t>
  </si>
  <si>
    <t>L1-240045</t>
  </si>
  <si>
    <t>P1-240263</t>
  </si>
  <si>
    <t>L1-240048</t>
  </si>
  <si>
    <t>P1-240265</t>
  </si>
  <si>
    <t>L1-170048</t>
  </si>
  <si>
    <t>P1-240266</t>
  </si>
  <si>
    <t>L1-230052</t>
  </si>
  <si>
    <t>P1-240267</t>
  </si>
  <si>
    <t>L1-200066</t>
  </si>
  <si>
    <t>P1-240268</t>
  </si>
  <si>
    <t>L1-170047</t>
  </si>
  <si>
    <t>P1-240269</t>
  </si>
  <si>
    <t>L1-200067</t>
  </si>
  <si>
    <t>P1-240272</t>
  </si>
  <si>
    <t>L1-240049</t>
  </si>
  <si>
    <t>P1-240273</t>
  </si>
  <si>
    <t>L1-240050</t>
  </si>
  <si>
    <t>P1-240275</t>
  </si>
  <si>
    <t>L1-200068</t>
  </si>
  <si>
    <t>P1-240276</t>
  </si>
  <si>
    <t>L1-200070</t>
  </si>
  <si>
    <t>P1-240277</t>
  </si>
  <si>
    <t>L1-220031</t>
  </si>
  <si>
    <t>P1-240278</t>
  </si>
  <si>
    <t>L1-230055</t>
  </si>
  <si>
    <t>P1-240279</t>
  </si>
  <si>
    <t>L1-180042</t>
  </si>
  <si>
    <t>P1-240280</t>
  </si>
  <si>
    <t>L1-210036</t>
  </si>
  <si>
    <t>P1-240282</t>
  </si>
  <si>
    <t>L1-230053</t>
  </si>
  <si>
    <t>P1-240283</t>
  </si>
  <si>
    <t>L1-230054</t>
  </si>
  <si>
    <t>P1-240284</t>
  </si>
  <si>
    <t>L1-200069</t>
  </si>
  <si>
    <t>P1-240286</t>
  </si>
  <si>
    <t>L1-210039</t>
  </si>
  <si>
    <t>P1-240287</t>
  </si>
  <si>
    <t>L1-170051</t>
  </si>
  <si>
    <t>P1-240289</t>
  </si>
  <si>
    <t>L1-240053</t>
  </si>
  <si>
    <t>P1-240290</t>
  </si>
  <si>
    <t>L1-210040</t>
  </si>
  <si>
    <t>P1-240292</t>
  </si>
  <si>
    <t>L1-240054</t>
  </si>
  <si>
    <t>P1-240293</t>
  </si>
  <si>
    <t>L1-240055</t>
  </si>
  <si>
    <t>P1-240295</t>
  </si>
  <si>
    <t>L1-240057</t>
  </si>
  <si>
    <t>P1-240296</t>
  </si>
  <si>
    <t>L1-240058</t>
  </si>
  <si>
    <t>P1-240298</t>
  </si>
  <si>
    <t>L1-210045</t>
  </si>
  <si>
    <t>P1-240299</t>
  </si>
  <si>
    <t>L1-210044</t>
  </si>
  <si>
    <t>P1-240300</t>
  </si>
  <si>
    <t>L1-170052</t>
  </si>
  <si>
    <t>P1-240301</t>
  </si>
  <si>
    <t>L1-200075</t>
  </si>
  <si>
    <t>P1-240302</t>
  </si>
  <si>
    <t>L1-160037</t>
  </si>
  <si>
    <t>P1-240303</t>
  </si>
  <si>
    <t>L1-180044</t>
  </si>
  <si>
    <t>P1-240306</t>
  </si>
  <si>
    <t>L1-210043</t>
  </si>
  <si>
    <t>P1-240307</t>
  </si>
  <si>
    <t>L1-120030</t>
  </si>
  <si>
    <t>P1-240308</t>
  </si>
  <si>
    <t>L1-160035</t>
  </si>
  <si>
    <t>P1-240309</t>
  </si>
  <si>
    <t>L1-230058</t>
  </si>
  <si>
    <t>P1-240310</t>
  </si>
  <si>
    <t>L1-100079</t>
  </si>
  <si>
    <t>P1-240311</t>
  </si>
  <si>
    <t>L1-230057</t>
  </si>
  <si>
    <t>P1-240312</t>
  </si>
  <si>
    <t>L1-200074</t>
  </si>
  <si>
    <t>P1-240313</t>
  </si>
  <si>
    <t>L1-240059</t>
  </si>
  <si>
    <t>P1-240315</t>
  </si>
  <si>
    <t>L1-180047</t>
  </si>
  <si>
    <t>P1-240317</t>
  </si>
  <si>
    <t>L1-230061</t>
  </si>
  <si>
    <t>P1-240318</t>
  </si>
  <si>
    <t>L1-200080</t>
  </si>
  <si>
    <t>P1-240321</t>
  </si>
  <si>
    <t>L1-180048</t>
  </si>
  <si>
    <t>P1-240323</t>
  </si>
  <si>
    <t>L1-200078</t>
  </si>
  <si>
    <t>P1-240324</t>
  </si>
  <si>
    <t>L1-220034</t>
  </si>
  <si>
    <t>P1-240326</t>
  </si>
  <si>
    <t>L1-200079</t>
  </si>
  <si>
    <t>P1-240327</t>
  </si>
  <si>
    <t>L1-200082</t>
  </si>
  <si>
    <t>P1-240329</t>
  </si>
  <si>
    <t>L1-230064</t>
  </si>
  <si>
    <t>P1-240330</t>
  </si>
  <si>
    <t>L1-200083</t>
  </si>
  <si>
    <t>P1-240331</t>
  </si>
  <si>
    <t>L1-230062</t>
  </si>
  <si>
    <t>P1-240332</t>
  </si>
  <si>
    <t>L1-230065</t>
  </si>
  <si>
    <t>P1-240334</t>
  </si>
  <si>
    <t>L1-230066</t>
  </si>
  <si>
    <t>P1-240335</t>
  </si>
  <si>
    <t>L1-160038</t>
  </si>
  <si>
    <t>P1-240337</t>
  </si>
  <si>
    <t>L1-240061</t>
  </si>
  <si>
    <t>P1-240339</t>
  </si>
  <si>
    <t>L1-200086</t>
  </si>
  <si>
    <t>P1-240340</t>
  </si>
  <si>
    <t>L1-230068</t>
  </si>
  <si>
    <t>P1-240341</t>
  </si>
  <si>
    <t>L1-100096</t>
  </si>
  <si>
    <t>P1-240342</t>
  </si>
  <si>
    <t>L1-210050</t>
  </si>
  <si>
    <t>P1-240343</t>
  </si>
  <si>
    <t>L1-190022</t>
  </si>
  <si>
    <t>P1-240344</t>
  </si>
  <si>
    <t>L1-230067</t>
  </si>
  <si>
    <t>P1-240345</t>
  </si>
  <si>
    <t>L1-240062</t>
  </si>
  <si>
    <t>P1-240349</t>
  </si>
  <si>
    <t>L1-200088</t>
  </si>
  <si>
    <t>P1-240350</t>
  </si>
  <si>
    <t>L1-190024</t>
  </si>
  <si>
    <t>P1-240351</t>
  </si>
  <si>
    <t>L1-230070</t>
  </si>
  <si>
    <t>P1-240352</t>
  </si>
  <si>
    <t>L1-130037</t>
  </si>
  <si>
    <t>P1-240354</t>
  </si>
  <si>
    <t>L1-220036</t>
  </si>
  <si>
    <t>P1-240355</t>
  </si>
  <si>
    <t>L1-240063</t>
  </si>
  <si>
    <t>P1-240356</t>
  </si>
  <si>
    <t>L1-240064</t>
  </si>
  <si>
    <t>P1-240357</t>
  </si>
  <si>
    <t>L1-230075</t>
  </si>
  <si>
    <t>P1-240358</t>
  </si>
  <si>
    <t>L1-230072</t>
  </si>
  <si>
    <t>P1-240359</t>
  </si>
  <si>
    <t>L1-230073</t>
  </si>
  <si>
    <t>P1-240360</t>
  </si>
  <si>
    <t>L1-120039</t>
  </si>
  <si>
    <t>P1-240361</t>
  </si>
  <si>
    <t>L1-120038</t>
  </si>
  <si>
    <t>P1-240362</t>
  </si>
  <si>
    <t>L1-230074</t>
  </si>
  <si>
    <t>P1-240363</t>
  </si>
  <si>
    <t>L1-220038</t>
  </si>
  <si>
    <t>P1-240364</t>
  </si>
  <si>
    <t>L1-230071</t>
  </si>
  <si>
    <t>P1-240365</t>
  </si>
  <si>
    <t>L1-180052</t>
  </si>
  <si>
    <t>P1-240366</t>
  </si>
  <si>
    <t>L1-180053</t>
  </si>
  <si>
    <t>P1-240367</t>
  </si>
  <si>
    <t>L1-210051</t>
  </si>
  <si>
    <t>P1-240368</t>
  </si>
  <si>
    <t>L1-240065</t>
  </si>
  <si>
    <t>P1-240369</t>
  </si>
  <si>
    <t>L1-240066</t>
  </si>
  <si>
    <t>P1-240371</t>
  </si>
  <si>
    <t>L1-230076</t>
  </si>
  <si>
    <t>P1-240372</t>
  </si>
  <si>
    <t>L1-220040</t>
  </si>
  <si>
    <t>P1-240373</t>
  </si>
  <si>
    <t>L1-110048</t>
  </si>
  <si>
    <t>P1-240374</t>
  </si>
  <si>
    <t>L1-210053</t>
  </si>
  <si>
    <t>P1-240375</t>
  </si>
  <si>
    <t>L1-130038</t>
  </si>
  <si>
    <t>P1-240376</t>
  </si>
  <si>
    <t>L1-240067</t>
  </si>
  <si>
    <t>P1-240378</t>
  </si>
  <si>
    <t>L1-200095</t>
  </si>
  <si>
    <t>P1-240380</t>
  </si>
  <si>
    <t>L1-150035</t>
  </si>
  <si>
    <t>P1-240381</t>
  </si>
  <si>
    <t>L1-200094</t>
  </si>
  <si>
    <t>P1-240384</t>
  </si>
  <si>
    <t>L1-180058</t>
  </si>
  <si>
    <t>P1-240385</t>
  </si>
  <si>
    <t>L1-210056</t>
  </si>
  <si>
    <t>P1-240386</t>
  </si>
  <si>
    <t>L1-150037</t>
  </si>
  <si>
    <t>P1-240387</t>
  </si>
  <si>
    <t>L1-180057</t>
  </si>
  <si>
    <t>P1-240388</t>
  </si>
  <si>
    <t>L1-240069</t>
  </si>
  <si>
    <t>P1-240389</t>
  </si>
  <si>
    <t>L1-240070</t>
  </si>
  <si>
    <t>P1-240390</t>
  </si>
  <si>
    <t>L1-170066</t>
  </si>
  <si>
    <t>P1-240391</t>
  </si>
  <si>
    <t>L1-180060</t>
  </si>
  <si>
    <t>P1-240392</t>
  </si>
  <si>
    <t>L1-180059</t>
  </si>
  <si>
    <t>P1-240393</t>
  </si>
  <si>
    <t>L1-220042</t>
  </si>
  <si>
    <t>P1-240394</t>
  </si>
  <si>
    <t>L1-200097</t>
  </si>
  <si>
    <t>P1-240395</t>
  </si>
  <si>
    <t>L1-240071</t>
  </si>
  <si>
    <t>P1-240396</t>
  </si>
  <si>
    <t>L1-240072</t>
  </si>
  <si>
    <t>P1-240398</t>
  </si>
  <si>
    <t>L1-220044</t>
  </si>
  <si>
    <t>P1-240399</t>
  </si>
  <si>
    <t>L1-230081</t>
  </si>
  <si>
    <t>P1-240400</t>
  </si>
  <si>
    <t>L1-140048</t>
  </si>
  <si>
    <t>P1-240401</t>
  </si>
  <si>
    <t>L1-170069</t>
  </si>
  <si>
    <t>P1-240402</t>
  </si>
  <si>
    <t>L1-210058</t>
  </si>
  <si>
    <t>P1-240403</t>
  </si>
  <si>
    <t>L1-230078</t>
  </si>
  <si>
    <t>P1-240404</t>
  </si>
  <si>
    <t>L1-230079</t>
  </si>
  <si>
    <t>P1-240405</t>
  </si>
  <si>
    <t>L1-170068</t>
  </si>
  <si>
    <t>P1-240406</t>
  </si>
  <si>
    <t>L1-220046</t>
  </si>
  <si>
    <t>P1-240410</t>
  </si>
  <si>
    <t>L1-110054</t>
  </si>
  <si>
    <t>P1-240411</t>
  </si>
  <si>
    <t>L1-220047</t>
  </si>
  <si>
    <t>P1-240412</t>
  </si>
  <si>
    <t>L1-130046</t>
  </si>
  <si>
    <t>P1-240413</t>
  </si>
  <si>
    <t>L1-170072</t>
  </si>
  <si>
    <t>P1-240414</t>
  </si>
  <si>
    <t>L1-230083</t>
  </si>
  <si>
    <t>P1-240415</t>
  </si>
  <si>
    <t>L1-210060</t>
  </si>
  <si>
    <t>P1-240416</t>
  </si>
  <si>
    <t>L1-240073</t>
  </si>
  <si>
    <t>P1-240418</t>
  </si>
  <si>
    <t>L1-240075</t>
  </si>
  <si>
    <t>P1-240419</t>
  </si>
  <si>
    <t>L1-230087</t>
  </si>
  <si>
    <t>P1-240420</t>
  </si>
  <si>
    <t>L1-170075</t>
  </si>
  <si>
    <t>P1-240422</t>
  </si>
  <si>
    <t>L1-150045</t>
  </si>
  <si>
    <t>P1-240423</t>
  </si>
  <si>
    <t>L1-210061</t>
  </si>
  <si>
    <t>P1-240424</t>
  </si>
  <si>
    <t>L1-220048</t>
  </si>
  <si>
    <t>P1-240425</t>
  </si>
  <si>
    <t>L1-100119</t>
  </si>
  <si>
    <t>P1-240426</t>
  </si>
  <si>
    <t>L1-180064</t>
  </si>
  <si>
    <t>P1-240428</t>
  </si>
  <si>
    <t>L1-200102</t>
  </si>
  <si>
    <t>P1-240429</t>
  </si>
  <si>
    <t>L1-230084</t>
  </si>
  <si>
    <t>P1-240430</t>
  </si>
  <si>
    <t>L1-170074</t>
  </si>
  <si>
    <t>P1-240431</t>
  </si>
  <si>
    <t>L1-180065</t>
  </si>
  <si>
    <t>P1-240432</t>
  </si>
  <si>
    <t>L1-180063</t>
  </si>
  <si>
    <t>P1-240433</t>
  </si>
  <si>
    <t>L1-230086</t>
  </si>
  <si>
    <t>P1-240435</t>
  </si>
  <si>
    <t>L1-180066</t>
  </si>
  <si>
    <t>P1-240436</t>
  </si>
  <si>
    <t>L1-220050</t>
  </si>
  <si>
    <t>P1-240437</t>
  </si>
  <si>
    <t>L1-160052</t>
  </si>
  <si>
    <t>P1-240438</t>
  </si>
  <si>
    <t>L1-230088</t>
  </si>
  <si>
    <t>P1-240440</t>
  </si>
  <si>
    <t>L1-140050</t>
  </si>
  <si>
    <t>P1-240442</t>
  </si>
  <si>
    <t>L1-170077</t>
  </si>
  <si>
    <t>P1-240443</t>
  </si>
  <si>
    <t>L1-220049</t>
  </si>
  <si>
    <t>P1-240444</t>
  </si>
  <si>
    <t>L1-170078</t>
  </si>
  <si>
    <t>P1-240446</t>
  </si>
  <si>
    <t>L1-240077</t>
  </si>
  <si>
    <t>P1-240447</t>
  </si>
  <si>
    <t>L1-180067</t>
  </si>
  <si>
    <t>P1-240448</t>
  </si>
  <si>
    <t>L1-180068</t>
  </si>
  <si>
    <t>P1-240450</t>
  </si>
  <si>
    <t>L1-200109</t>
  </si>
  <si>
    <t>P1-240453</t>
  </si>
  <si>
    <t>L1-200106</t>
  </si>
  <si>
    <t>P1-240454</t>
  </si>
  <si>
    <t>L1-110060</t>
  </si>
  <si>
    <t>P1-240457</t>
  </si>
  <si>
    <t>L1-240078</t>
  </si>
  <si>
    <t>P1-240459</t>
  </si>
  <si>
    <t>L1-240080</t>
  </si>
  <si>
    <t>P1-240460</t>
  </si>
  <si>
    <t>L1-240081</t>
  </si>
  <si>
    <t>P1-240463</t>
  </si>
  <si>
    <t>L1-150049</t>
  </si>
  <si>
    <t>P1-240464</t>
  </si>
  <si>
    <t>L1-200110</t>
  </si>
  <si>
    <t>P1-240465</t>
  </si>
  <si>
    <t>L1-200112</t>
  </si>
  <si>
    <t>P1-240466</t>
  </si>
  <si>
    <t>L1-200111</t>
  </si>
  <si>
    <t>P1-240467</t>
  </si>
  <si>
    <t>L1-210064</t>
  </si>
  <si>
    <t>P1-240468</t>
  </si>
  <si>
    <t>L1-140053</t>
  </si>
  <si>
    <t>P1-240469</t>
  </si>
  <si>
    <t>L1-230095</t>
  </si>
  <si>
    <t>P1-240470</t>
  </si>
  <si>
    <t>L1-190029</t>
  </si>
  <si>
    <t>P1-240471</t>
  </si>
  <si>
    <t>L1-230092</t>
  </si>
  <si>
    <t>P1-240473</t>
  </si>
  <si>
    <t>L1-230093</t>
  </si>
  <si>
    <t>P1-240474</t>
  </si>
  <si>
    <t>L1-180069</t>
  </si>
  <si>
    <t>P1-240475</t>
  </si>
  <si>
    <t>L1-240082</t>
  </si>
  <si>
    <t>P1-240478</t>
  </si>
  <si>
    <t>L1-230100</t>
  </si>
  <si>
    <t>P1-240479</t>
  </si>
  <si>
    <t>L1-230099</t>
  </si>
  <si>
    <t>P1-240480</t>
  </si>
  <si>
    <t>L1-220052</t>
  </si>
  <si>
    <t>P1-240482</t>
  </si>
  <si>
    <t>L1-110062</t>
  </si>
  <si>
    <t>P1-240484</t>
  </si>
  <si>
    <t>L1-200117</t>
  </si>
  <si>
    <t>P1-240486</t>
  </si>
  <si>
    <t>L1-230098</t>
  </si>
  <si>
    <t>P1-240487</t>
  </si>
  <si>
    <t>L1-200116</t>
  </si>
  <si>
    <t>P1-240488</t>
  </si>
  <si>
    <t>L1-110061</t>
  </si>
  <si>
    <t>P1-240490</t>
  </si>
  <si>
    <t>L1-210067</t>
  </si>
  <si>
    <t>P1-240491</t>
  </si>
  <si>
    <t>L1-180074</t>
  </si>
  <si>
    <t>P1-240494</t>
  </si>
  <si>
    <t>L1-120051</t>
  </si>
  <si>
    <t>P1-240495</t>
  </si>
  <si>
    <t>L1-230102</t>
  </si>
  <si>
    <t>P1-240496</t>
  </si>
  <si>
    <t>L1-200122</t>
  </si>
  <si>
    <t>P1-240498</t>
  </si>
  <si>
    <t>L1-200120</t>
  </si>
  <si>
    <t>P1-240499</t>
  </si>
  <si>
    <t>L1-180073</t>
  </si>
  <si>
    <t>P1-240501</t>
  </si>
  <si>
    <t>L1-240083</t>
  </si>
  <si>
    <t>P1-240503</t>
  </si>
  <si>
    <t>L1-240085</t>
  </si>
  <si>
    <t>P1-240504</t>
  </si>
  <si>
    <t>L1-200125</t>
  </si>
  <si>
    <t>P1-240506</t>
  </si>
  <si>
    <t>L1-220053</t>
  </si>
  <si>
    <t>P1-240507</t>
  </si>
  <si>
    <t>L1-230105</t>
  </si>
  <si>
    <t>P1-240509</t>
  </si>
  <si>
    <t>L1-210068</t>
  </si>
  <si>
    <t>P1-240512</t>
  </si>
  <si>
    <t>L1-200128</t>
  </si>
  <si>
    <t>P1-240513</t>
  </si>
  <si>
    <t>L1-120052</t>
  </si>
  <si>
    <t>P1-240515</t>
  </si>
  <si>
    <t>L1-230107</t>
  </si>
  <si>
    <t>P1-240516</t>
  </si>
  <si>
    <t>L1-210072</t>
  </si>
  <si>
    <t>P1-240517</t>
  </si>
  <si>
    <t>L1-200130</t>
  </si>
  <si>
    <t>P1-240520</t>
  </si>
  <si>
    <t>L1-180075</t>
  </si>
  <si>
    <t>P1-240522</t>
  </si>
  <si>
    <t>L1-240089</t>
  </si>
  <si>
    <t>P1-240523</t>
  </si>
  <si>
    <t>L1-240090</t>
  </si>
  <si>
    <t>P1-240525</t>
  </si>
  <si>
    <t>L1-100134</t>
  </si>
  <si>
    <t>P1-240526</t>
  </si>
  <si>
    <t>L1-180079</t>
  </si>
  <si>
    <t>P1-240527</t>
  </si>
  <si>
    <t>L1-200133</t>
  </si>
  <si>
    <t>P1-240528</t>
  </si>
  <si>
    <t>L1-150056</t>
  </si>
  <si>
    <t>P1-240529</t>
  </si>
  <si>
    <t>L1-220054</t>
  </si>
  <si>
    <t>P1-240530</t>
  </si>
  <si>
    <t>L1-180076</t>
  </si>
  <si>
    <t>P1-240531</t>
  </si>
  <si>
    <t>L1-180077</t>
  </si>
  <si>
    <t>P1-240533</t>
  </si>
  <si>
    <t>L1-240092</t>
  </si>
  <si>
    <t>P1-240534</t>
  </si>
  <si>
    <t>L1-230109</t>
  </si>
  <si>
    <t>P1-240535</t>
  </si>
  <si>
    <t>L1-200135</t>
  </si>
  <si>
    <t>P1-240538</t>
  </si>
  <si>
    <t>L1-230111</t>
  </si>
  <si>
    <t>P1-240540</t>
  </si>
  <si>
    <t>L1-230112</t>
  </si>
  <si>
    <t>P1-240542</t>
  </si>
  <si>
    <t>L1-220055</t>
  </si>
  <si>
    <t>P1-240543</t>
  </si>
  <si>
    <t>L1-230113</t>
  </si>
  <si>
    <t>P1-240544</t>
  </si>
  <si>
    <t>L1-100139</t>
  </si>
  <si>
    <t>P1-240545</t>
  </si>
  <si>
    <t>L1-240093</t>
  </si>
  <si>
    <t>P1-240546</t>
  </si>
  <si>
    <t>L1-240094</t>
  </si>
  <si>
    <t>P1-240547</t>
  </si>
  <si>
    <t>L1-240095</t>
  </si>
  <si>
    <t>P1-240548</t>
  </si>
  <si>
    <t>L1-230119</t>
  </si>
  <si>
    <t>P1-240549</t>
  </si>
  <si>
    <t>L1-230118</t>
  </si>
  <si>
    <t>P1-240550</t>
  </si>
  <si>
    <t>L1-220056</t>
  </si>
  <si>
    <t>P1-240551</t>
  </si>
  <si>
    <t>L1-230116</t>
  </si>
  <si>
    <t>P1-240552</t>
  </si>
  <si>
    <t>L1-210076</t>
  </si>
  <si>
    <t>P1-240554</t>
  </si>
  <si>
    <t>L1-160064</t>
  </si>
  <si>
    <t>P1-240555</t>
  </si>
  <si>
    <t>L1-200136</t>
  </si>
  <si>
    <t>P1-240556</t>
  </si>
  <si>
    <t>L1-230114</t>
  </si>
  <si>
    <t>P1-240557</t>
  </si>
  <si>
    <t>L1-230117</t>
  </si>
  <si>
    <t>P1-240563</t>
  </si>
  <si>
    <t>L1-240099</t>
  </si>
  <si>
    <t>P1-240564</t>
  </si>
  <si>
    <t>L1-200139</t>
  </si>
  <si>
    <t>P1-240565</t>
  </si>
  <si>
    <t>L1-140061</t>
  </si>
  <si>
    <t>P1-240567</t>
  </si>
  <si>
    <t>L1-200138</t>
  </si>
  <si>
    <t>P1-240568</t>
  </si>
  <si>
    <t>L1-200141</t>
  </si>
  <si>
    <t>P1-240569</t>
  </si>
  <si>
    <t>L1-180084</t>
  </si>
  <si>
    <t>P1-240570</t>
  </si>
  <si>
    <t>L1-170096</t>
  </si>
  <si>
    <t>P1-240571</t>
  </si>
  <si>
    <t>L1-200140</t>
  </si>
  <si>
    <t>P1-240572</t>
  </si>
  <si>
    <t>L1-220058</t>
  </si>
  <si>
    <t>P1-240573</t>
  </si>
  <si>
    <t>L1-230120</t>
  </si>
  <si>
    <t>P1-240574</t>
  </si>
  <si>
    <t>L1-240100</t>
  </si>
  <si>
    <t>P1-240575</t>
  </si>
  <si>
    <t>L1-240101</t>
  </si>
  <si>
    <t>P1-240577</t>
  </si>
  <si>
    <t>L1-200145</t>
  </si>
  <si>
    <t>P1-240578</t>
  </si>
  <si>
    <t>L1-190036</t>
  </si>
  <si>
    <t>P1-240579</t>
  </si>
  <si>
    <t>L1-210079</t>
  </si>
  <si>
    <t>P1-240580</t>
  </si>
  <si>
    <t>L1-230121</t>
  </si>
  <si>
    <t>P1-240582</t>
  </si>
  <si>
    <t>L1-200146</t>
  </si>
  <si>
    <t>P1-240584</t>
  </si>
  <si>
    <t>L1-220059</t>
  </si>
  <si>
    <t>P1-240585</t>
  </si>
  <si>
    <t>L1-240102</t>
  </si>
  <si>
    <t>P1-240586</t>
  </si>
  <si>
    <t>L1-240103</t>
  </si>
  <si>
    <t>P1-240587</t>
  </si>
  <si>
    <t>L1-240104</t>
  </si>
  <si>
    <t>P1-240588</t>
  </si>
  <si>
    <t>L1-170099</t>
  </si>
  <si>
    <t>P1-240589</t>
  </si>
  <si>
    <t>L1-220062</t>
  </si>
  <si>
    <t>P1-240590</t>
  </si>
  <si>
    <t>L1-110073</t>
  </si>
  <si>
    <t>P1-240591</t>
  </si>
  <si>
    <t>L1-230125</t>
  </si>
  <si>
    <t>P1-240592</t>
  </si>
  <si>
    <t>L1-200148</t>
  </si>
  <si>
    <t>P1-240595</t>
  </si>
  <si>
    <t>L1-190037</t>
  </si>
  <si>
    <t>P1-240596</t>
  </si>
  <si>
    <t>L1-230124</t>
  </si>
  <si>
    <t>P1-240597</t>
  </si>
  <si>
    <t>L1-220061</t>
  </si>
  <si>
    <t>P1-240603</t>
  </si>
  <si>
    <t>L1-170105</t>
  </si>
  <si>
    <t>P1-240604</t>
  </si>
  <si>
    <t>L1-230129</t>
  </si>
  <si>
    <t>P1-240605</t>
  </si>
  <si>
    <t>L1-170104</t>
  </si>
  <si>
    <t>P1-240606</t>
  </si>
  <si>
    <t>L1-150062</t>
  </si>
  <si>
    <t>P1-240608</t>
  </si>
  <si>
    <t>L1-230131</t>
  </si>
  <si>
    <t>P1-240611</t>
  </si>
  <si>
    <t>L1-210082</t>
  </si>
  <si>
    <t>P1-240612</t>
  </si>
  <si>
    <t>L1-170103</t>
  </si>
  <si>
    <t>P1-240613</t>
  </si>
  <si>
    <t>L1-240108</t>
  </si>
  <si>
    <t>P1-240614</t>
  </si>
  <si>
    <t>L1-240109</t>
  </si>
  <si>
    <t>P1-240616</t>
  </si>
  <si>
    <t>L1-180088</t>
  </si>
  <si>
    <t>P1-240617</t>
  </si>
  <si>
    <t>L1-230134</t>
  </si>
  <si>
    <t>P1-240618</t>
  </si>
  <si>
    <t>L1-170107</t>
  </si>
  <si>
    <t>P1-240621</t>
  </si>
  <si>
    <t>L1-230133</t>
  </si>
  <si>
    <t>P1-240622</t>
  </si>
  <si>
    <t>L1-170109</t>
  </si>
  <si>
    <t>P1-240623</t>
  </si>
  <si>
    <t>L1-230136</t>
  </si>
  <si>
    <t>P1-240625</t>
  </si>
  <si>
    <t>L1-200156</t>
  </si>
  <si>
    <t>P1-240626</t>
  </si>
  <si>
    <t>L1-230138</t>
  </si>
  <si>
    <t>P1-240627</t>
  </si>
  <si>
    <t>L1-220065</t>
  </si>
  <si>
    <t>P1-240628</t>
  </si>
  <si>
    <t>L1-220064</t>
  </si>
  <si>
    <t>P1-240629</t>
  </si>
  <si>
    <t>L1-230137</t>
  </si>
  <si>
    <t>P1-240630</t>
  </si>
  <si>
    <t>L1-230139</t>
  </si>
  <si>
    <t>P1-240633</t>
  </si>
  <si>
    <t>L1-210084</t>
  </si>
  <si>
    <t>P1-240634</t>
  </si>
  <si>
    <t>L1-230140</t>
  </si>
  <si>
    <t>P1-240635</t>
  </si>
  <si>
    <t>L1-210083</t>
  </si>
  <si>
    <t>P1-240636</t>
  </si>
  <si>
    <t>L1-220066</t>
  </si>
  <si>
    <t>P1-240638</t>
  </si>
  <si>
    <t>L1-160071</t>
  </si>
  <si>
    <t>P1-240640</t>
  </si>
  <si>
    <t>L1-130067</t>
  </si>
  <si>
    <t>P1-240641</t>
  </si>
  <si>
    <t>L1-190039</t>
  </si>
  <si>
    <t>P1-240643</t>
  </si>
  <si>
    <t>L1-130069</t>
  </si>
  <si>
    <t>P1-240644</t>
  </si>
  <si>
    <t>L1-210085</t>
  </si>
  <si>
    <t>P1-240645</t>
  </si>
  <si>
    <t>L1-240113</t>
  </si>
  <si>
    <t>P1-240646</t>
  </si>
  <si>
    <t>L1-240114</t>
  </si>
  <si>
    <t>P1-240648</t>
  </si>
  <si>
    <t>L1-200164</t>
  </si>
  <si>
    <t>P1-240649</t>
  </si>
  <si>
    <t>L1-170115</t>
  </si>
  <si>
    <t>P1-240650</t>
  </si>
  <si>
    <t>L1-200166</t>
  </si>
  <si>
    <t>P1-240652</t>
  </si>
  <si>
    <t>L1-140071</t>
  </si>
  <si>
    <t>P1-240653</t>
  </si>
  <si>
    <t>L1-170118</t>
  </si>
  <si>
    <t>P1-240654</t>
  </si>
  <si>
    <t>L1-230143</t>
  </si>
  <si>
    <t>P1-240656</t>
  </si>
  <si>
    <t>L1-230145</t>
  </si>
  <si>
    <t>P1-240657</t>
  </si>
  <si>
    <t>L1-150065</t>
  </si>
  <si>
    <t>P1-240658</t>
  </si>
  <si>
    <t>L1-230144</t>
  </si>
  <si>
    <t>P1-240659</t>
  </si>
  <si>
    <t>L1-160074</t>
  </si>
  <si>
    <t>P1-240660</t>
  </si>
  <si>
    <t>L1-200167</t>
  </si>
  <si>
    <t>P1-240662</t>
  </si>
  <si>
    <t>L1-210087</t>
  </si>
  <si>
    <t>P1-240663</t>
  </si>
  <si>
    <t>L1-230149</t>
  </si>
  <si>
    <t>P1-240664</t>
  </si>
  <si>
    <t>L1-230150</t>
  </si>
  <si>
    <t>P1-240665</t>
  </si>
  <si>
    <t>L1-210089</t>
  </si>
  <si>
    <t>P1-240666</t>
  </si>
  <si>
    <t>L1-200169</t>
  </si>
  <si>
    <t>P1-240669</t>
  </si>
  <si>
    <t>L1-220070</t>
  </si>
  <si>
    <t>P1-240670</t>
  </si>
  <si>
    <t>L1-130074</t>
  </si>
  <si>
    <t>P1-240672</t>
  </si>
  <si>
    <t>L1-220069</t>
  </si>
  <si>
    <t>P1-240673</t>
  </si>
  <si>
    <t>L1-130072</t>
  </si>
  <si>
    <t>P1-240674</t>
  </si>
  <si>
    <t>L1-240116</t>
  </si>
  <si>
    <t>P1-240675</t>
  </si>
  <si>
    <t>L1-240117</t>
  </si>
  <si>
    <t>P1-240676</t>
  </si>
  <si>
    <t>L1-200173</t>
  </si>
  <si>
    <t>P1-240677</t>
  </si>
  <si>
    <t>L1-220074</t>
  </si>
  <si>
    <t>P1-240678</t>
  </si>
  <si>
    <t>L1-210090</t>
  </si>
  <si>
    <t>P1-240679</t>
  </si>
  <si>
    <t>L1-230154</t>
  </si>
  <si>
    <t>P1-240681</t>
  </si>
  <si>
    <t>L1-190041</t>
  </si>
  <si>
    <t>P1-240682</t>
  </si>
  <si>
    <t>L1-210091</t>
  </si>
  <si>
    <t>P1-240685</t>
  </si>
  <si>
    <t>L1-230153</t>
  </si>
  <si>
    <t>P1-240686</t>
  </si>
  <si>
    <t>L1-150067</t>
  </si>
  <si>
    <t>P1-240688</t>
  </si>
  <si>
    <t>L1-230152</t>
  </si>
  <si>
    <t>P1-240689</t>
  </si>
  <si>
    <t>L1-200174</t>
  </si>
  <si>
    <t>P1-240690</t>
  </si>
  <si>
    <t>L1-200176</t>
  </si>
  <si>
    <t>P1-240691</t>
  </si>
  <si>
    <t>L1-230155</t>
  </si>
  <si>
    <t>P1-240692</t>
  </si>
  <si>
    <t>L1-210093</t>
  </si>
  <si>
    <t>P1-240693</t>
  </si>
  <si>
    <t>L1-160082</t>
  </si>
  <si>
    <t>P1-240694</t>
  </si>
  <si>
    <t>L1-160083</t>
  </si>
  <si>
    <t>P1-240695</t>
  </si>
  <si>
    <t>L1-170127</t>
  </si>
  <si>
    <t>P1-240696</t>
  </si>
  <si>
    <t>L1-240118</t>
  </si>
  <si>
    <t>P1-240697</t>
  </si>
  <si>
    <t>L1-240119</t>
  </si>
  <si>
    <t>P1-240699</t>
  </si>
  <si>
    <t>L1-200182</t>
  </si>
  <si>
    <t>P1-240700</t>
  </si>
  <si>
    <t>L1-220076</t>
  </si>
  <si>
    <t>P1-240701</t>
  </si>
  <si>
    <t>L1-200179</t>
  </si>
  <si>
    <t>P1-240702</t>
  </si>
  <si>
    <t>L1-230159</t>
  </si>
  <si>
    <t>P1-240705</t>
  </si>
  <si>
    <t>L1-230156</t>
  </si>
  <si>
    <t>P1-240706</t>
  </si>
  <si>
    <t>L1-230158</t>
  </si>
  <si>
    <t>P1-240707</t>
  </si>
  <si>
    <t>L1-230157</t>
  </si>
  <si>
    <t>P1-240708</t>
  </si>
  <si>
    <t>L1-230160</t>
  </si>
  <si>
    <t>P1-240709</t>
  </si>
  <si>
    <t>L1-160084</t>
  </si>
  <si>
    <t>P1-240711</t>
  </si>
  <si>
    <t>L1-240121</t>
  </si>
  <si>
    <t>P1-240712</t>
  </si>
  <si>
    <t>L1-180106</t>
  </si>
  <si>
    <t>P1-240713</t>
  </si>
  <si>
    <t>L1-180104</t>
  </si>
  <si>
    <t>P1-240714</t>
  </si>
  <si>
    <t>L1-140080</t>
  </si>
  <si>
    <t>P1-240715</t>
  </si>
  <si>
    <t>L1-180105</t>
  </si>
  <si>
    <t>P1-240718</t>
  </si>
  <si>
    <t>L1-130078</t>
  </si>
  <si>
    <t>P1-240719</t>
  </si>
  <si>
    <t>L1-230161</t>
  </si>
  <si>
    <t>P1-240720</t>
  </si>
  <si>
    <t>L1-220077</t>
  </si>
  <si>
    <t>P1-240721</t>
  </si>
  <si>
    <t>L1-190042</t>
  </si>
  <si>
    <t>P1-240722</t>
  </si>
  <si>
    <t>L1-230163</t>
  </si>
  <si>
    <t>P1-240723</t>
  </si>
  <si>
    <t>L1-120081</t>
  </si>
  <si>
    <t>P1-240724</t>
  </si>
  <si>
    <t>L1-200183</t>
  </si>
  <si>
    <t>P1-240725</t>
  </si>
  <si>
    <t>L1-240122</t>
  </si>
  <si>
    <t>P1-240726</t>
  </si>
  <si>
    <t>L1-240123</t>
  </si>
  <si>
    <t>P1-240728</t>
  </si>
  <si>
    <t>L1-240125</t>
  </si>
  <si>
    <t>P1-240729</t>
  </si>
  <si>
    <t>L1-240126</t>
  </si>
  <si>
    <t>P1-240730</t>
  </si>
  <si>
    <t>L1-190043</t>
  </si>
  <si>
    <t>P1-240731</t>
  </si>
  <si>
    <t>L1-150072</t>
  </si>
  <si>
    <t>P1-240733</t>
  </si>
  <si>
    <t>L1-170130</t>
  </si>
  <si>
    <t>P1-240735</t>
  </si>
  <si>
    <t>L1-160087</t>
  </si>
  <si>
    <t>P1-240736</t>
  </si>
  <si>
    <t>L1-200189</t>
  </si>
  <si>
    <t>P1-240737</t>
  </si>
  <si>
    <t>L1-110081</t>
  </si>
  <si>
    <t>P1-240738</t>
  </si>
  <si>
    <t>L1-230170</t>
  </si>
  <si>
    <t>P1-240739</t>
  </si>
  <si>
    <t>L1-230169</t>
  </si>
  <si>
    <t>P1-240740</t>
  </si>
  <si>
    <t>L1-170133</t>
  </si>
  <si>
    <t>P1-240741</t>
  </si>
  <si>
    <t>L1-230166</t>
  </si>
  <si>
    <t>P1-240742</t>
  </si>
  <si>
    <t>L1-230167</t>
  </si>
  <si>
    <t>P1-240743</t>
  </si>
  <si>
    <t>L1-230168</t>
  </si>
  <si>
    <t>P1-240744</t>
  </si>
  <si>
    <t>L1-130082</t>
  </si>
  <si>
    <t>P1-240746</t>
  </si>
  <si>
    <t>L1-160088</t>
  </si>
  <si>
    <t>P1-240747</t>
  </si>
  <si>
    <t>L1-220078</t>
  </si>
  <si>
    <t>P1-240748</t>
  </si>
  <si>
    <t>L1-240127</t>
  </si>
  <si>
    <t>P1-240749</t>
  </si>
  <si>
    <t>L1-240128</t>
  </si>
  <si>
    <t>P1-240750</t>
  </si>
  <si>
    <t>L1-240129</t>
  </si>
  <si>
    <t>P1-240751</t>
  </si>
  <si>
    <t>L1-200191</t>
  </si>
  <si>
    <t>P1-240752</t>
  </si>
  <si>
    <t>L1-210095</t>
  </si>
  <si>
    <t>P1-240753</t>
  </si>
  <si>
    <t>L1-230171</t>
  </si>
  <si>
    <t>P1-240755</t>
  </si>
  <si>
    <t>L1-220079</t>
  </si>
  <si>
    <t>P1-240756</t>
  </si>
  <si>
    <t>L1-220080</t>
  </si>
  <si>
    <t>P1-240757</t>
  </si>
  <si>
    <t>L1-170134</t>
  </si>
  <si>
    <t>P1-240758</t>
  </si>
  <si>
    <t>L1-210098</t>
  </si>
  <si>
    <t>P1-240759</t>
  </si>
  <si>
    <t>L1-230172</t>
  </si>
  <si>
    <t>P1-240760</t>
  </si>
  <si>
    <t>L1-230173</t>
  </si>
  <si>
    <t>P1-240761</t>
  </si>
  <si>
    <t>L1-200190</t>
  </si>
  <si>
    <t>P1-240762</t>
  </si>
  <si>
    <t>L1-240130</t>
  </si>
  <si>
    <t>P1-240764</t>
  </si>
  <si>
    <t>L1-240132</t>
  </si>
  <si>
    <t>P1-240765</t>
  </si>
  <si>
    <t>L1-240133</t>
  </si>
  <si>
    <t>P1-240767</t>
  </si>
  <si>
    <t>L1-130086</t>
  </si>
  <si>
    <t>P1-240768</t>
  </si>
  <si>
    <t>L1-210101</t>
  </si>
  <si>
    <t>P1-240769</t>
  </si>
  <si>
    <t>L1-220081</t>
  </si>
  <si>
    <t>P1-240770</t>
  </si>
  <si>
    <t>L1-200192</t>
  </si>
  <si>
    <t>P1-240772</t>
  </si>
  <si>
    <t>L1-220082</t>
  </si>
  <si>
    <t>P1-240773</t>
  </si>
  <si>
    <t>L1-240135</t>
  </si>
  <si>
    <t>P1-240774</t>
  </si>
  <si>
    <t>L1-240136</t>
  </si>
  <si>
    <t>P1-240775</t>
  </si>
  <si>
    <t>L1-240137</t>
  </si>
  <si>
    <t>P1-240776</t>
  </si>
  <si>
    <t>L1-240138</t>
  </si>
  <si>
    <t>P1-240777</t>
  </si>
  <si>
    <t>L1-200197</t>
  </si>
  <si>
    <t>P1-240778</t>
  </si>
  <si>
    <t>L1-170136</t>
  </si>
  <si>
    <t>P1-240780</t>
  </si>
  <si>
    <t>L1-230176</t>
  </si>
  <si>
    <t>P1-240782</t>
  </si>
  <si>
    <t>L1-140088</t>
  </si>
  <si>
    <t>P1-240783</t>
  </si>
  <si>
    <t>L1-210105</t>
  </si>
  <si>
    <t>P1-240785</t>
  </si>
  <si>
    <t>L1-240139</t>
  </si>
  <si>
    <t>P1-240787</t>
  </si>
  <si>
    <t>L1-240141</t>
  </si>
  <si>
    <t>P1-240788</t>
  </si>
  <si>
    <t>L1-240142</t>
  </si>
  <si>
    <t>P1-240790</t>
  </si>
  <si>
    <t>L1-200201</t>
  </si>
  <si>
    <t>P1-240791</t>
  </si>
  <si>
    <t>L1-100209</t>
  </si>
  <si>
    <t>P1-240793</t>
  </si>
  <si>
    <t>L1-170141</t>
  </si>
  <si>
    <t>P1-240794</t>
  </si>
  <si>
    <t>L1-160095</t>
  </si>
  <si>
    <t>P1-240795</t>
  </si>
  <si>
    <t>L1-220086</t>
  </si>
  <si>
    <t>P1-240797</t>
  </si>
  <si>
    <t>L1-160094</t>
  </si>
  <si>
    <t>P1-240801</t>
  </si>
  <si>
    <t>L1-200200</t>
  </si>
  <si>
    <t>P1-240802</t>
  </si>
  <si>
    <t>L1-190047</t>
  </si>
  <si>
    <t>P1-240803</t>
  </si>
  <si>
    <t>L1-200202</t>
  </si>
  <si>
    <t>P1-240804</t>
  </si>
  <si>
    <t>L1-190046</t>
  </si>
  <si>
    <t>P1-240805</t>
  </si>
  <si>
    <t>L1-190045</t>
  </si>
  <si>
    <t>P1-240808</t>
  </si>
  <si>
    <t>L1-230181</t>
  </si>
  <si>
    <t>P1-240810</t>
  </si>
  <si>
    <t>L1-230180</t>
  </si>
  <si>
    <t>P1-240813</t>
  </si>
  <si>
    <t>L1-230179</t>
  </si>
  <si>
    <t>P1-240814</t>
  </si>
  <si>
    <t>L1-220087</t>
  </si>
  <si>
    <t>P1-240815</t>
  </si>
  <si>
    <t>L1-200203</t>
  </si>
  <si>
    <t>P1-240816</t>
  </si>
  <si>
    <t>L1-240145</t>
  </si>
  <si>
    <t>P1-240819</t>
  </si>
  <si>
    <t>L1-240148</t>
  </si>
  <si>
    <t>P1-240820</t>
  </si>
  <si>
    <t>L1-210106</t>
  </si>
  <si>
    <t>P1-240821</t>
  </si>
  <si>
    <t>L1-220089</t>
  </si>
  <si>
    <t>P1-240822</t>
  </si>
  <si>
    <t>L1-200205</t>
  </si>
  <si>
    <t>P1-240823</t>
  </si>
  <si>
    <t>L1-230184</t>
  </si>
  <si>
    <t>P1-240825</t>
  </si>
  <si>
    <t>L1-100215</t>
  </si>
  <si>
    <t>P1-240826</t>
  </si>
  <si>
    <t>L1-230183</t>
  </si>
  <si>
    <t>P1-240827</t>
  </si>
  <si>
    <t>L1-200204</t>
  </si>
  <si>
    <t>P1-240829</t>
  </si>
  <si>
    <t>L1-200207</t>
  </si>
  <si>
    <t>P1-240830</t>
  </si>
  <si>
    <t>L1-230186</t>
  </si>
  <si>
    <t>P1-240831</t>
  </si>
  <si>
    <t>L1-230185</t>
  </si>
  <si>
    <t>P1-240832</t>
  </si>
  <si>
    <t>L1-230187</t>
  </si>
  <si>
    <t>P1-240834</t>
  </si>
  <si>
    <t>L1-160098</t>
  </si>
  <si>
    <t>P1-240835</t>
  </si>
  <si>
    <t>L1-110089</t>
  </si>
  <si>
    <t>P1-240836</t>
  </si>
  <si>
    <t>L1-230189</t>
  </si>
  <si>
    <t>P1-240838</t>
  </si>
  <si>
    <t>L1-240151</t>
  </si>
  <si>
    <t>P1-240839</t>
  </si>
  <si>
    <t>L1-230191</t>
  </si>
  <si>
    <t>P1-240840</t>
  </si>
  <si>
    <t>L1-210108</t>
  </si>
  <si>
    <t>P1-240842</t>
  </si>
  <si>
    <t>L1-170151</t>
  </si>
  <si>
    <t>P1-240843</t>
  </si>
  <si>
    <t>L1-130090</t>
  </si>
  <si>
    <t>P1-240844</t>
  </si>
  <si>
    <t>L1-220091</t>
  </si>
  <si>
    <t>P1-240845</t>
  </si>
  <si>
    <t>L1-220092</t>
  </si>
  <si>
    <t>P1-240846</t>
  </si>
  <si>
    <t>L1-200210</t>
  </si>
  <si>
    <t>P1-240848</t>
  </si>
  <si>
    <t>L1-240152</t>
  </si>
  <si>
    <t>P1-240849</t>
  </si>
  <si>
    <t>L1-240153</t>
  </si>
  <si>
    <t>P1-240850</t>
  </si>
  <si>
    <t>L1-230193</t>
  </si>
  <si>
    <t>P1-240854</t>
  </si>
  <si>
    <t>L1-190054</t>
  </si>
  <si>
    <t>P1-240856</t>
  </si>
  <si>
    <t>L1-210112</t>
  </si>
  <si>
    <t>P1-240857</t>
  </si>
  <si>
    <t>L1-210111</t>
  </si>
  <si>
    <t>P1-240858</t>
  </si>
  <si>
    <t>L1-170155</t>
  </si>
  <si>
    <t>P1-240859</t>
  </si>
  <si>
    <t>L1-110090</t>
  </si>
  <si>
    <t>P1-240864</t>
  </si>
  <si>
    <t>L1-210113</t>
  </si>
  <si>
    <t>P1-240865</t>
  </si>
  <si>
    <t>L1-150077</t>
  </si>
  <si>
    <t>P1-240866</t>
  </si>
  <si>
    <t>L1-220094</t>
  </si>
  <si>
    <t>P1-240867</t>
  </si>
  <si>
    <t>L1-240155</t>
  </si>
  <si>
    <t>P1-240868</t>
  </si>
  <si>
    <t>L1-240156</t>
  </si>
  <si>
    <t>P1-240869</t>
  </si>
  <si>
    <t>L1-240157</t>
  </si>
  <si>
    <t>P1-240872</t>
  </si>
  <si>
    <t>L1-220096</t>
  </si>
  <si>
    <t>P1-240873</t>
  </si>
  <si>
    <t>L1-230198</t>
  </si>
  <si>
    <t>P1-240875</t>
  </si>
  <si>
    <t>L1-240158</t>
  </si>
  <si>
    <t>P1-240877</t>
  </si>
  <si>
    <t>L1-220098</t>
  </si>
  <si>
    <t>P1-240879</t>
  </si>
  <si>
    <t>L1-210114</t>
  </si>
  <si>
    <t>P1-240880</t>
  </si>
  <si>
    <t>L1-110098</t>
  </si>
  <si>
    <t>P1-240881</t>
  </si>
  <si>
    <t>L1-200218</t>
  </si>
  <si>
    <t>P1-240883</t>
  </si>
  <si>
    <t>L1-230199</t>
  </si>
  <si>
    <t>P1-240884</t>
  </si>
  <si>
    <t>L1-240159</t>
  </si>
  <si>
    <t>P1-240885</t>
  </si>
  <si>
    <t>L1-240160</t>
  </si>
  <si>
    <t>P1-240887</t>
  </si>
  <si>
    <t>L1-240162</t>
  </si>
  <si>
    <t>P1-240889</t>
  </si>
  <si>
    <t>L1-190060</t>
  </si>
  <si>
    <t>P1-240890</t>
  </si>
  <si>
    <t>L1-170163</t>
  </si>
  <si>
    <t>P1-240891</t>
  </si>
  <si>
    <t>L1-190059</t>
  </si>
  <si>
    <t>P1-240892</t>
  </si>
  <si>
    <t>L1-230205</t>
  </si>
  <si>
    <t>P1-240893</t>
  </si>
  <si>
    <t>L1-200222</t>
  </si>
  <si>
    <t>P1-240895</t>
  </si>
  <si>
    <t>L1-230203</t>
  </si>
  <si>
    <t>P1-240896</t>
  </si>
  <si>
    <t>L1-230204</t>
  </si>
  <si>
    <t>P1-240897</t>
  </si>
  <si>
    <t>L1-240163</t>
  </si>
  <si>
    <t>P1-240899</t>
  </si>
  <si>
    <t>L1-230208</t>
  </si>
  <si>
    <t>P1-240900</t>
  </si>
  <si>
    <t>L1-140100</t>
  </si>
  <si>
    <t>P1-240907</t>
  </si>
  <si>
    <t>L1-210116</t>
  </si>
  <si>
    <t>P1-240910</t>
  </si>
  <si>
    <t>L1-220104</t>
  </si>
  <si>
    <t>P1-240911</t>
  </si>
  <si>
    <t>L1-230212</t>
  </si>
  <si>
    <t>P1-240913</t>
  </si>
  <si>
    <t>L1-100245</t>
  </si>
  <si>
    <t>P1-240915</t>
  </si>
  <si>
    <t>L1-150080</t>
  </si>
  <si>
    <t>P1-240916</t>
  </si>
  <si>
    <t>L1-120113</t>
  </si>
  <si>
    <t>P1-240917</t>
  </si>
  <si>
    <t>L1-230213</t>
  </si>
  <si>
    <t>P1-240918</t>
  </si>
  <si>
    <t>L1-230210</t>
  </si>
  <si>
    <t>P1-240919</t>
  </si>
  <si>
    <t>L1-230211</t>
  </si>
  <si>
    <t>P1-240922</t>
  </si>
  <si>
    <t>L1-230217</t>
  </si>
  <si>
    <t>P1-240923</t>
  </si>
  <si>
    <t>L1-100246</t>
  </si>
  <si>
    <t>P1-240924</t>
  </si>
  <si>
    <t>L1-230218</t>
  </si>
  <si>
    <t>P1-240925</t>
  </si>
  <si>
    <t>L1-230215</t>
  </si>
  <si>
    <t>P1-240930</t>
  </si>
  <si>
    <t>L1-170172</t>
  </si>
  <si>
    <t>P1-240931</t>
  </si>
  <si>
    <t>L1-230216</t>
  </si>
  <si>
    <t>P1-240932</t>
  </si>
  <si>
    <t>L1-240166</t>
  </si>
  <si>
    <t>P1-240933</t>
  </si>
  <si>
    <t>L1-240167</t>
  </si>
  <si>
    <t>P1-240935</t>
  </si>
  <si>
    <t>L1-200229</t>
  </si>
  <si>
    <t>P1-240936</t>
  </si>
  <si>
    <t>L1-180125</t>
  </si>
  <si>
    <t>P1-240937</t>
  </si>
  <si>
    <t>L1-170175</t>
  </si>
  <si>
    <t>P1-240939</t>
  </si>
  <si>
    <t>L1-190062</t>
  </si>
  <si>
    <t>P1-240940</t>
  </si>
  <si>
    <t>L1-230219</t>
  </si>
  <si>
    <t>P1-240941</t>
  </si>
  <si>
    <t>L1-240169</t>
  </si>
  <si>
    <t>P1-240942</t>
  </si>
  <si>
    <t>L1-240170</t>
  </si>
  <si>
    <t>P1-240943</t>
  </si>
  <si>
    <t>L1-240171</t>
  </si>
  <si>
    <t>P1-240945</t>
  </si>
  <si>
    <t>L1-230223</t>
  </si>
  <si>
    <t>P1-240946</t>
  </si>
  <si>
    <t>L1-230222</t>
  </si>
  <si>
    <t>P1-240947</t>
  </si>
  <si>
    <t>L1-220108</t>
  </si>
  <si>
    <t>P1-240948</t>
  </si>
  <si>
    <t>L1-230225</t>
  </si>
  <si>
    <t>P1-240949</t>
  </si>
  <si>
    <t>L1-190063</t>
  </si>
  <si>
    <t>P1-240950</t>
  </si>
  <si>
    <t>L1-170180</t>
  </si>
  <si>
    <t>P1-240951</t>
  </si>
  <si>
    <t>L1-100252</t>
  </si>
  <si>
    <t>P1-240952</t>
  </si>
  <si>
    <t>L1-130094</t>
  </si>
  <si>
    <t>P1-240953</t>
  </si>
  <si>
    <t>L1-230224</t>
  </si>
  <si>
    <t>P1-240954</t>
  </si>
  <si>
    <t>L1-220110</t>
  </si>
  <si>
    <t>P1-240956</t>
  </si>
  <si>
    <t>L1-220109</t>
  </si>
  <si>
    <t>P1-240957</t>
  </si>
  <si>
    <t>L1-240172</t>
  </si>
  <si>
    <t>P1-240958</t>
  </si>
  <si>
    <t>L1-230226</t>
  </si>
  <si>
    <t>P1-240959</t>
  </si>
  <si>
    <t>L1-210128</t>
  </si>
  <si>
    <t>P1-240960</t>
  </si>
  <si>
    <t>L1-230227</t>
  </si>
  <si>
    <t>P1-240962</t>
  </si>
  <si>
    <t>L1-170182</t>
  </si>
  <si>
    <t>P1-240966</t>
  </si>
  <si>
    <t>L1-210125</t>
  </si>
  <si>
    <t>P1-240967</t>
  </si>
  <si>
    <t>L1-240173</t>
  </si>
  <si>
    <t>P1-240968</t>
  </si>
  <si>
    <t>L1-180130</t>
  </si>
  <si>
    <t>P1-240969</t>
  </si>
  <si>
    <t>L1-180128</t>
  </si>
  <si>
    <t>P1-240970</t>
  </si>
  <si>
    <t>L1-200236</t>
  </si>
  <si>
    <t>P1-240976</t>
  </si>
  <si>
    <t>L1-230231</t>
  </si>
  <si>
    <t>P1-240977</t>
  </si>
  <si>
    <t>L1-230230</t>
  </si>
  <si>
    <t>P1-240979</t>
  </si>
  <si>
    <t>L1-240175</t>
  </si>
  <si>
    <t>P1-240982</t>
  </si>
  <si>
    <t>L1-240178</t>
  </si>
  <si>
    <t>P1-240985</t>
  </si>
  <si>
    <t>L1-160107</t>
  </si>
  <si>
    <t>P1-240986</t>
  </si>
  <si>
    <t>L1-180131</t>
  </si>
  <si>
    <t>P1-240987</t>
  </si>
  <si>
    <t>L1-170191</t>
  </si>
  <si>
    <t>P1-240988</t>
  </si>
  <si>
    <t>L1-170193</t>
  </si>
  <si>
    <t>P1-240991</t>
  </si>
  <si>
    <t>L1-240179</t>
  </si>
  <si>
    <t>P1-240992</t>
  </si>
  <si>
    <t>L1-200238</t>
  </si>
  <si>
    <t>P1-240993</t>
  </si>
  <si>
    <t>L1-210130</t>
  </si>
  <si>
    <t>P1-240996</t>
  </si>
  <si>
    <t>L1-100271</t>
  </si>
  <si>
    <t>P1-240997</t>
  </si>
  <si>
    <t>L1-190068</t>
  </si>
  <si>
    <t>P1-241002</t>
  </si>
  <si>
    <t>L1-150090</t>
  </si>
  <si>
    <t>P1-241003</t>
  </si>
  <si>
    <t>L1-210131</t>
  </si>
  <si>
    <t>P1-241004</t>
  </si>
  <si>
    <t>L1-100272</t>
  </si>
  <si>
    <t>P1-241007</t>
  </si>
  <si>
    <t>L1-220116</t>
  </si>
  <si>
    <t>P1-241008</t>
  </si>
  <si>
    <t>L1-230235</t>
  </si>
  <si>
    <t>P1-241010</t>
  </si>
  <si>
    <t>L1-200240</t>
  </si>
  <si>
    <t>P1-241012</t>
  </si>
  <si>
    <t>L1-230237</t>
  </si>
  <si>
    <t>P1-241013</t>
  </si>
  <si>
    <t>L1-210134</t>
  </si>
  <si>
    <t>P1-241014</t>
  </si>
  <si>
    <t>L1-230238</t>
  </si>
  <si>
    <t>P1-241015</t>
  </si>
  <si>
    <t>L1-170199</t>
  </si>
  <si>
    <t>P1-241016</t>
  </si>
  <si>
    <t>L1-100276</t>
  </si>
  <si>
    <t>P1-241019</t>
  </si>
  <si>
    <t>L1-200244</t>
  </si>
  <si>
    <t>P1-241020</t>
  </si>
  <si>
    <t>L1-200245</t>
  </si>
  <si>
    <t>P1-241021</t>
  </si>
  <si>
    <t>L1-210132</t>
  </si>
  <si>
    <t>P1-241022</t>
  </si>
  <si>
    <t>L1-200242</t>
  </si>
  <si>
    <t>P1-241023</t>
  </si>
  <si>
    <t>L1-230239</t>
  </si>
  <si>
    <t>P1-241024</t>
  </si>
  <si>
    <t>L1-140118</t>
  </si>
  <si>
    <t>P1-241025</t>
  </si>
  <si>
    <t>L1-140116</t>
  </si>
  <si>
    <t>P1-241027</t>
  </si>
  <si>
    <t>L1-180137</t>
  </si>
  <si>
    <t>P1-241028</t>
  </si>
  <si>
    <t>L1-240182</t>
  </si>
  <si>
    <t>P1-241029</t>
  </si>
  <si>
    <t>L1-240183</t>
  </si>
  <si>
    <t>P1-241030</t>
  </si>
  <si>
    <t>L1-220118</t>
  </si>
  <si>
    <t>P1-241031</t>
  </si>
  <si>
    <t>L1-230241</t>
  </si>
  <si>
    <t>P1-241032</t>
  </si>
  <si>
    <t>L1-230242</t>
  </si>
  <si>
    <t>P1-241033</t>
  </si>
  <si>
    <t>L1-210136</t>
  </si>
  <si>
    <t>P1-241034</t>
  </si>
  <si>
    <t>L1-140119</t>
  </si>
  <si>
    <t>P1-241035</t>
  </si>
  <si>
    <t>L1-200247</t>
  </si>
  <si>
    <t>P1-241036</t>
  </si>
  <si>
    <t>L1-240184</t>
  </si>
  <si>
    <t>P1-241038</t>
  </si>
  <si>
    <t>L1-130101</t>
  </si>
  <si>
    <t>P1-241039</t>
  </si>
  <si>
    <t>L1-220119</t>
  </si>
  <si>
    <t>P1-241040</t>
  </si>
  <si>
    <t>L1-170205</t>
  </si>
  <si>
    <t>P1-241041</t>
  </si>
  <si>
    <t>L1-210141</t>
  </si>
  <si>
    <t>P1-241042</t>
  </si>
  <si>
    <t>L1-170206</t>
  </si>
  <si>
    <t>P1-241044</t>
  </si>
  <si>
    <t>L1-180139</t>
  </si>
  <si>
    <t>P1-241046</t>
  </si>
  <si>
    <t>L1-190071</t>
  </si>
  <si>
    <t>P1-241047</t>
  </si>
  <si>
    <t>L1-100286</t>
  </si>
  <si>
    <t>P1-241048</t>
  </si>
  <si>
    <t>L1-200251</t>
  </si>
  <si>
    <t>P1-241049</t>
  </si>
  <si>
    <t>L1-240186</t>
  </si>
  <si>
    <t>P1-241050</t>
  </si>
  <si>
    <t>L1-240187</t>
  </si>
  <si>
    <t>P1-241051</t>
  </si>
  <si>
    <t>L1-240188</t>
  </si>
  <si>
    <t>P1-241052</t>
  </si>
  <si>
    <t>L1-240189</t>
  </si>
  <si>
    <t>P1-241054</t>
  </si>
  <si>
    <t>L1-140125</t>
  </si>
  <si>
    <t>P1-241055</t>
  </si>
  <si>
    <t>L1-130105</t>
  </si>
  <si>
    <t>P1-241056</t>
  </si>
  <si>
    <t>L1-150092</t>
  </si>
  <si>
    <t>P1-241059</t>
  </si>
  <si>
    <t>L1-230244</t>
  </si>
  <si>
    <t>P1-241061</t>
  </si>
  <si>
    <t>L1-200254</t>
  </si>
  <si>
    <t>P1-241062</t>
  </si>
  <si>
    <t>L1-130106</t>
  </si>
  <si>
    <t>P1-241063</t>
  </si>
  <si>
    <t>L1-210143</t>
  </si>
  <si>
    <t>P1-241064</t>
  </si>
  <si>
    <t>L1-210144</t>
  </si>
  <si>
    <t>P1-241066</t>
  </si>
  <si>
    <t>L1-170215</t>
  </si>
  <si>
    <t>P1-241068</t>
  </si>
  <si>
    <t>L1-230248</t>
  </si>
  <si>
    <t>P1-241069</t>
  </si>
  <si>
    <t>L1-220120</t>
  </si>
  <si>
    <t>P1-241070</t>
  </si>
  <si>
    <t>L1-230250</t>
  </si>
  <si>
    <t>P1-241071</t>
  </si>
  <si>
    <t>L1-230246</t>
  </si>
  <si>
    <t>P1-241072</t>
  </si>
  <si>
    <t>L1-240190</t>
  </si>
  <si>
    <t>P1-241073</t>
  </si>
  <si>
    <t>L1-220121</t>
  </si>
  <si>
    <t>P1-241074</t>
  </si>
  <si>
    <t>L1-170220</t>
  </si>
  <si>
    <t>P1-241077</t>
  </si>
  <si>
    <t>L1-230253</t>
  </si>
  <si>
    <t>P1-241078</t>
  </si>
  <si>
    <t>L1-160111</t>
  </si>
  <si>
    <t>P1-241079</t>
  </si>
  <si>
    <t>L1-190075</t>
  </si>
  <si>
    <t>P1-241080</t>
  </si>
  <si>
    <t>L1-230251</t>
  </si>
  <si>
    <t>P1-241081</t>
  </si>
  <si>
    <t>L1-240191</t>
  </si>
  <si>
    <t>P1-241082</t>
  </si>
  <si>
    <t>L1-200258</t>
  </si>
  <si>
    <t>P1-241083</t>
  </si>
  <si>
    <t>L1-100295</t>
  </si>
  <si>
    <t>P1-241085</t>
  </si>
  <si>
    <t>L1-200260</t>
  </si>
  <si>
    <t>P1-241086</t>
  </si>
  <si>
    <t>L1-240192</t>
  </si>
  <si>
    <t>P1-241087</t>
  </si>
  <si>
    <t>L1-140131</t>
  </si>
  <si>
    <t>P1-241088</t>
  </si>
  <si>
    <t>L1-210149</t>
  </si>
  <si>
    <t>P1-241089</t>
  </si>
  <si>
    <t>L1-230256</t>
  </si>
  <si>
    <t>P1-241091</t>
  </si>
  <si>
    <t>L1-210150</t>
  </si>
  <si>
    <t>P1-241093</t>
  </si>
  <si>
    <t>L1-170225</t>
  </si>
  <si>
    <t>P1-241094</t>
  </si>
  <si>
    <t>L1-180144</t>
  </si>
  <si>
    <t>P1-241096</t>
  </si>
  <si>
    <t>L1-230254</t>
  </si>
  <si>
    <t>P1-241098</t>
  </si>
  <si>
    <t>L1-240194</t>
  </si>
  <si>
    <t>P1-241099</t>
  </si>
  <si>
    <t>L1-230260</t>
  </si>
  <si>
    <t>P1-241100</t>
  </si>
  <si>
    <t>L1-170227</t>
  </si>
  <si>
    <t>P1-241101</t>
  </si>
  <si>
    <t>L1-230259</t>
  </si>
  <si>
    <t>P1-241102</t>
  </si>
  <si>
    <t>L1-180146</t>
  </si>
  <si>
    <t>P1-241103</t>
  </si>
  <si>
    <t>L1-100305</t>
  </si>
  <si>
    <t>P1-241104</t>
  </si>
  <si>
    <t>L1-240195</t>
  </si>
  <si>
    <t>P1-241105</t>
  </si>
  <si>
    <t>L1-240196</t>
  </si>
  <si>
    <t>P1-241108</t>
  </si>
  <si>
    <t>L1-220125</t>
  </si>
  <si>
    <t>P1-241109</t>
  </si>
  <si>
    <t>L1-180148</t>
  </si>
  <si>
    <t>P1-241110</t>
  </si>
  <si>
    <t>L1-190078</t>
  </si>
  <si>
    <t>P1-241113</t>
  </si>
  <si>
    <t>L1-180149</t>
  </si>
  <si>
    <t>P1-241114</t>
  </si>
  <si>
    <t>L1-110128</t>
  </si>
  <si>
    <t>P1-241115</t>
  </si>
  <si>
    <t>L1-240198</t>
  </si>
  <si>
    <t>P1-241116</t>
  </si>
  <si>
    <t>L1-140139</t>
  </si>
  <si>
    <t>P1-241117</t>
  </si>
  <si>
    <t>L1-210153</t>
  </si>
  <si>
    <t>P1-241118</t>
  </si>
  <si>
    <t>L1-230266</t>
  </si>
  <si>
    <t>P1-241119</t>
  </si>
  <si>
    <t>L1-110130</t>
  </si>
  <si>
    <t>P1-241120</t>
  </si>
  <si>
    <t>L1-200268</t>
  </si>
  <si>
    <t>P1-241121</t>
  </si>
  <si>
    <t>L1-170230</t>
  </si>
  <si>
    <t>P1-241122</t>
  </si>
  <si>
    <t>L1-230264</t>
  </si>
  <si>
    <t>P1-241123</t>
  </si>
  <si>
    <t>L1-170232</t>
  </si>
  <si>
    <t>P1-241124</t>
  </si>
  <si>
    <t>L1-110131</t>
  </si>
  <si>
    <t>P1-241125</t>
  </si>
  <si>
    <t>L1-170231</t>
  </si>
  <si>
    <t>P1-241128</t>
  </si>
  <si>
    <t>L1-140138</t>
  </si>
  <si>
    <t>P1-241129</t>
  </si>
  <si>
    <t>L1-160119</t>
  </si>
  <si>
    <t>P1-241130</t>
  </si>
  <si>
    <t>L1-160118</t>
  </si>
  <si>
    <t>P1-241131</t>
  </si>
  <si>
    <t>L1-240199</t>
  </si>
  <si>
    <t>P1-241132</t>
  </si>
  <si>
    <t>L1-240200</t>
  </si>
  <si>
    <t>P1-241133</t>
  </si>
  <si>
    <t>L1-240201</t>
  </si>
  <si>
    <t>P1-241134</t>
  </si>
  <si>
    <t>L1-240202</t>
  </si>
  <si>
    <t>P1-241136</t>
  </si>
  <si>
    <t>L1-220129</t>
  </si>
  <si>
    <t>P1-241137</t>
  </si>
  <si>
    <t>L1-130119</t>
  </si>
  <si>
    <t>P1-241138</t>
  </si>
  <si>
    <t>L1-200270</t>
  </si>
  <si>
    <t>P1-241139</t>
  </si>
  <si>
    <t>L1-120136</t>
  </si>
  <si>
    <t>P1-241140</t>
  </si>
  <si>
    <t>L1-110134</t>
  </si>
  <si>
    <t>P1-241141</t>
  </si>
  <si>
    <t>L1-160120</t>
  </si>
  <si>
    <t>P1-241143</t>
  </si>
  <si>
    <t>L1-200271</t>
  </si>
  <si>
    <t>P1-241144</t>
  </si>
  <si>
    <t>L1-220130</t>
  </si>
  <si>
    <t>P1-241146</t>
  </si>
  <si>
    <t>L1-220128</t>
  </si>
  <si>
    <t>P1-241147</t>
  </si>
  <si>
    <t>L1-210156</t>
  </si>
  <si>
    <t>P1-241148</t>
  </si>
  <si>
    <t>L1-240203</t>
  </si>
  <si>
    <t>P1-241149</t>
  </si>
  <si>
    <t>L1-210157</t>
  </si>
  <si>
    <t>P1-241151</t>
  </si>
  <si>
    <t>L1-150105</t>
  </si>
  <si>
    <t>P1-241152</t>
  </si>
  <si>
    <t>L1-230268</t>
  </si>
  <si>
    <t>P1-241154</t>
  </si>
  <si>
    <t>L1-200276</t>
  </si>
  <si>
    <t>P1-241156</t>
  </si>
  <si>
    <t>L1-230272</t>
  </si>
  <si>
    <t>P1-241159</t>
  </si>
  <si>
    <t>L1-230273</t>
  </si>
  <si>
    <t>P1-241160</t>
  </si>
  <si>
    <t>L1-100314</t>
  </si>
  <si>
    <t>P1-241161</t>
  </si>
  <si>
    <t>L1-240204</t>
  </si>
  <si>
    <t>P1-241162</t>
  </si>
  <si>
    <t>L1-240205</t>
  </si>
  <si>
    <t>P1-241163</t>
  </si>
  <si>
    <t>L1-230274</t>
  </si>
  <si>
    <t>P1-241164</t>
  </si>
  <si>
    <t>L1-160126</t>
  </si>
  <si>
    <t>P1-241167</t>
  </si>
  <si>
    <t>L1-190079</t>
  </si>
  <si>
    <t>P1-241169</t>
  </si>
  <si>
    <t>L1-220134</t>
  </si>
  <si>
    <t>P1-241170</t>
  </si>
  <si>
    <t>L1-210159</t>
  </si>
  <si>
    <t>P1-241172</t>
  </si>
  <si>
    <t>L1-140143</t>
  </si>
  <si>
    <t>P1-241175</t>
  </si>
  <si>
    <t>L1-180154</t>
  </si>
  <si>
    <t>P1-241176</t>
  </si>
  <si>
    <t>L1-180153</t>
  </si>
  <si>
    <t>P1-241177</t>
  </si>
  <si>
    <t>L1-180156</t>
  </si>
  <si>
    <t>P1-241179</t>
  </si>
  <si>
    <t>L1-230276</t>
  </si>
  <si>
    <t>P1-241180</t>
  </si>
  <si>
    <t>L1-190080</t>
  </si>
  <si>
    <t>P1-241181</t>
  </si>
  <si>
    <t>L1-200281</t>
  </si>
  <si>
    <t>P1-241182</t>
  </si>
  <si>
    <t>L1-150108</t>
  </si>
  <si>
    <t>P1-241184</t>
  </si>
  <si>
    <t>L1-230277</t>
  </si>
  <si>
    <t>P1-241186</t>
  </si>
  <si>
    <t>L1-230278</t>
  </si>
  <si>
    <t>P1-241187</t>
  </si>
  <si>
    <t>L1-170241</t>
  </si>
  <si>
    <t>P1-241188</t>
  </si>
  <si>
    <t>L1-230275</t>
  </si>
  <si>
    <t>P1-241190</t>
  </si>
  <si>
    <t>L1-240207</t>
  </si>
  <si>
    <t>P1-241191</t>
  </si>
  <si>
    <t>L1-240208</t>
  </si>
  <si>
    <t>P1-241192</t>
  </si>
  <si>
    <t>L1-220136</t>
  </si>
  <si>
    <t>P1-241194</t>
  </si>
  <si>
    <t>L1-230279</t>
  </si>
  <si>
    <t>P1-241195</t>
  </si>
  <si>
    <t>L1-210160</t>
  </si>
  <si>
    <t>P1-241196</t>
  </si>
  <si>
    <t>L1-130125</t>
  </si>
  <si>
    <t>P1-241197</t>
  </si>
  <si>
    <t>L1-150109</t>
  </si>
  <si>
    <t>P1-241201</t>
  </si>
  <si>
    <t>L1-240211</t>
  </si>
  <si>
    <t>P1-241202</t>
  </si>
  <si>
    <t>L1-180158</t>
  </si>
  <si>
    <t>P1-241205</t>
  </si>
  <si>
    <t>L1-230280</t>
  </si>
  <si>
    <t>P1-241206</t>
  </si>
  <si>
    <t>L1-220137</t>
  </si>
  <si>
    <t>P1-241207</t>
  </si>
  <si>
    <t>L1-230281</t>
  </si>
  <si>
    <t>P1-241208</t>
  </si>
  <si>
    <t>L1-230283</t>
  </si>
  <si>
    <t>P1-241209</t>
  </si>
  <si>
    <t>L1-160130</t>
  </si>
  <si>
    <t>P1-241211</t>
  </si>
  <si>
    <t>L1-240213</t>
  </si>
  <si>
    <t>P1-241213</t>
  </si>
  <si>
    <t>L1-200287</t>
  </si>
  <si>
    <t>P1-241214</t>
  </si>
  <si>
    <t>L1-230285</t>
  </si>
  <si>
    <t>P1-241216</t>
  </si>
  <si>
    <t>L1-170250</t>
  </si>
  <si>
    <t>P1-241217</t>
  </si>
  <si>
    <t>L1-240214</t>
  </si>
  <si>
    <t>P1-241218</t>
  </si>
  <si>
    <t>L1-240215</t>
  </si>
  <si>
    <t>P1-241220</t>
  </si>
  <si>
    <t>L1-190083</t>
  </si>
  <si>
    <t>P1-241224</t>
  </si>
  <si>
    <t>L1-210164</t>
  </si>
  <si>
    <t>P1-241225</t>
  </si>
  <si>
    <t>L1-210163</t>
  </si>
  <si>
    <t>P1-241227</t>
  </si>
  <si>
    <t>L1-240216</t>
  </si>
  <si>
    <t>P1-241228</t>
  </si>
  <si>
    <t>L1-240217</t>
  </si>
  <si>
    <t>P1-241231</t>
  </si>
  <si>
    <t>L1-200291</t>
  </si>
  <si>
    <t>P1-241232</t>
  </si>
  <si>
    <t>L1-230287</t>
  </si>
  <si>
    <t>P1-241233</t>
  </si>
  <si>
    <t>L1-160134</t>
  </si>
  <si>
    <t>P1-241234</t>
  </si>
  <si>
    <t>L1-220138</t>
  </si>
  <si>
    <t>P1-241235</t>
  </si>
  <si>
    <t>L1-230290</t>
  </si>
  <si>
    <t>P1-241236</t>
  </si>
  <si>
    <t>L1-220139</t>
  </si>
  <si>
    <t>P1-241237</t>
  </si>
  <si>
    <t>L1-230288</t>
  </si>
  <si>
    <t>P1-241238</t>
  </si>
  <si>
    <t>L1-240219</t>
  </si>
  <si>
    <t>P1-241239</t>
  </si>
  <si>
    <t>L1-230294</t>
  </si>
  <si>
    <t>P1-241240</t>
  </si>
  <si>
    <t>L1-230292</t>
  </si>
  <si>
    <t>P1-241242</t>
  </si>
  <si>
    <t>L1-230293</t>
  </si>
  <si>
    <t>P1-241243</t>
  </si>
  <si>
    <t>L1-160135</t>
  </si>
  <si>
    <t>P1-241244</t>
  </si>
  <si>
    <t>L1-110142</t>
  </si>
  <si>
    <t>P1-241245</t>
  </si>
  <si>
    <t>L1-210167</t>
  </si>
  <si>
    <t>P1-241246</t>
  </si>
  <si>
    <t>L1-120146</t>
  </si>
  <si>
    <t>P1-241247</t>
  </si>
  <si>
    <t>L1-190085</t>
  </si>
  <si>
    <t>P1-241248</t>
  </si>
  <si>
    <t>L1-230291</t>
  </si>
  <si>
    <t>P1-241249</t>
  </si>
  <si>
    <t>L1-210168</t>
  </si>
  <si>
    <t>P1-241250</t>
  </si>
  <si>
    <t>L1-240220</t>
  </si>
  <si>
    <t>P1-241251</t>
  </si>
  <si>
    <t>L1-210171</t>
  </si>
  <si>
    <t>P1-241252</t>
  </si>
  <si>
    <t>L1-220141</t>
  </si>
  <si>
    <t>P1-241254</t>
  </si>
  <si>
    <t>L1-210170</t>
  </si>
  <si>
    <t>P1-241255</t>
  </si>
  <si>
    <t>L1-240221</t>
  </si>
  <si>
    <t>P1-241256</t>
  </si>
  <si>
    <t>L1-240222</t>
  </si>
  <si>
    <t>P1-241257</t>
  </si>
  <si>
    <t>L1-100341</t>
  </si>
  <si>
    <t>P1-241259</t>
  </si>
  <si>
    <t>L1-230297</t>
  </si>
  <si>
    <t>P1-241261</t>
  </si>
  <si>
    <t>L1-230296</t>
  </si>
  <si>
    <t>P1-241262</t>
  </si>
  <si>
    <t>L1-240223</t>
  </si>
  <si>
    <t>P1-241265</t>
  </si>
  <si>
    <t>L1-230298</t>
  </si>
  <si>
    <t>P1-241266</t>
  </si>
  <si>
    <t>L1-190088</t>
  </si>
  <si>
    <t>P1-241268</t>
  </si>
  <si>
    <t>L1-230299</t>
  </si>
  <si>
    <t>P1-241269</t>
  </si>
  <si>
    <t>L1-230300</t>
  </si>
  <si>
    <t>P1-241271</t>
  </si>
  <si>
    <t>L1-160140</t>
  </si>
  <si>
    <t>P1-241272</t>
  </si>
  <si>
    <t>L1-180173</t>
  </si>
  <si>
    <t>P1-241273</t>
  </si>
  <si>
    <t>L1-220145</t>
  </si>
  <si>
    <t>P1-241274</t>
  </si>
  <si>
    <t>L1-180172</t>
  </si>
  <si>
    <t>P1-241275</t>
  </si>
  <si>
    <t>L1-220146</t>
  </si>
  <si>
    <t>P1-241278</t>
  </si>
  <si>
    <t>L1-220148</t>
  </si>
  <si>
    <t>P1-241279</t>
  </si>
  <si>
    <t>L1-190090</t>
  </si>
  <si>
    <t>P1-241281</t>
  </si>
  <si>
    <t>L1-210175</t>
  </si>
  <si>
    <t>P1-241282</t>
  </si>
  <si>
    <t>L1-180175</t>
  </si>
  <si>
    <t>P1-241283</t>
  </si>
  <si>
    <t>L1-230302</t>
  </si>
  <si>
    <t>P1-241284</t>
  </si>
  <si>
    <t>L1-190089</t>
  </si>
  <si>
    <t>P1-241285</t>
  </si>
  <si>
    <t>L1-210176</t>
  </si>
  <si>
    <t>P1-241286</t>
  </si>
  <si>
    <t>L1-200301</t>
  </si>
  <si>
    <t>P1-241287</t>
  </si>
  <si>
    <t>L1-240226</t>
  </si>
  <si>
    <t>P1-241288</t>
  </si>
  <si>
    <t>L1-240227</t>
  </si>
  <si>
    <t>P1-241290</t>
  </si>
  <si>
    <t>L1-140154</t>
  </si>
  <si>
    <t>P1-241291</t>
  </si>
  <si>
    <t>L1-160142</t>
  </si>
  <si>
    <t>P1-241292</t>
  </si>
  <si>
    <t>L1-230306</t>
  </si>
  <si>
    <t>P1-241294</t>
  </si>
  <si>
    <t>L1-150126</t>
  </si>
  <si>
    <t>P1-241295</t>
  </si>
  <si>
    <t>L1-190091</t>
  </si>
  <si>
    <t>P1-241297</t>
  </si>
  <si>
    <t>L1-200305</t>
  </si>
  <si>
    <t>P1-241298</t>
  </si>
  <si>
    <t>L1-160144</t>
  </si>
  <si>
    <t>P1-241299</t>
  </si>
  <si>
    <t>L1-230307</t>
  </si>
  <si>
    <t>P1-241301</t>
  </si>
  <si>
    <t>L1-240228</t>
  </si>
  <si>
    <t>P1-241302</t>
  </si>
  <si>
    <t>L1-240229</t>
  </si>
  <si>
    <t>P1-241303</t>
  </si>
  <si>
    <t>L1-240230</t>
  </si>
  <si>
    <t>P1-241304</t>
  </si>
  <si>
    <t>L1-240231</t>
  </si>
  <si>
    <t>P1-241305</t>
  </si>
  <si>
    <t>L1-210178</t>
  </si>
  <si>
    <t>P1-241307</t>
  </si>
  <si>
    <t>L1-200307</t>
  </si>
  <si>
    <t>P1-241310</t>
  </si>
  <si>
    <t>L1-130134</t>
  </si>
  <si>
    <t>P1-241311</t>
  </si>
  <si>
    <t>L1-240232</t>
  </si>
  <si>
    <t>P1-241312</t>
  </si>
  <si>
    <t>L1-230311</t>
  </si>
  <si>
    <t>P1-241315</t>
  </si>
  <si>
    <t>L1-190095</t>
  </si>
  <si>
    <t>P1-241316</t>
  </si>
  <si>
    <t>L1-230310</t>
  </si>
  <si>
    <t>P1-241318</t>
  </si>
  <si>
    <t>L1-190096</t>
  </si>
  <si>
    <t>P1-241320</t>
  </si>
  <si>
    <t>L1-240234</t>
  </si>
  <si>
    <t>P1-241321</t>
  </si>
  <si>
    <t>L1-240235</t>
  </si>
  <si>
    <t>P1-241322</t>
  </si>
  <si>
    <t>L1-210182</t>
  </si>
  <si>
    <t>P1-241323</t>
  </si>
  <si>
    <t>L1-190097</t>
  </si>
  <si>
    <t>P1-241324</t>
  </si>
  <si>
    <t>L1-230316</t>
  </si>
  <si>
    <t>P1-241326</t>
  </si>
  <si>
    <t>L1-230314</t>
  </si>
  <si>
    <t>P1-241328</t>
  </si>
  <si>
    <t>L1-170272</t>
  </si>
  <si>
    <t>P1-241330</t>
  </si>
  <si>
    <t>L1-200314</t>
  </si>
  <si>
    <t>P1-241332</t>
  </si>
  <si>
    <t>L1-230317</t>
  </si>
  <si>
    <t>P1-241333</t>
  </si>
  <si>
    <t>L1-210181</t>
  </si>
  <si>
    <t>P1-241334</t>
  </si>
  <si>
    <t>L1-240236</t>
  </si>
  <si>
    <t>P1-241336</t>
  </si>
  <si>
    <t>L1-200317</t>
  </si>
  <si>
    <t>P1-241338</t>
  </si>
  <si>
    <t>L1-220151</t>
  </si>
  <si>
    <t>P1-241341</t>
  </si>
  <si>
    <t>L1-100364</t>
  </si>
  <si>
    <t>P1-241342</t>
  </si>
  <si>
    <t>L1-220153</t>
  </si>
  <si>
    <t>P1-241343</t>
  </si>
  <si>
    <t>L1-170278</t>
  </si>
  <si>
    <t>P1-241344</t>
  </si>
  <si>
    <t>L1-200320</t>
  </si>
  <si>
    <t>P1-241345</t>
  </si>
  <si>
    <t>L1-220150</t>
  </si>
  <si>
    <t>P1-241347</t>
  </si>
  <si>
    <t>L1-230322</t>
  </si>
  <si>
    <t>P1-241349</t>
  </si>
  <si>
    <t>L1-200319</t>
  </si>
  <si>
    <t>P1-241350</t>
  </si>
  <si>
    <t>L1-230320</t>
  </si>
  <si>
    <t>P1-241351</t>
  </si>
  <si>
    <t>L1-240238</t>
  </si>
  <si>
    <t>P1-241352</t>
  </si>
  <si>
    <t>L1-230326</t>
  </si>
  <si>
    <t>P1-241354</t>
  </si>
  <si>
    <t>L1-200324</t>
  </si>
  <si>
    <t>P1-241356</t>
  </si>
  <si>
    <t>L1-180179</t>
  </si>
  <si>
    <t>P1-241357</t>
  </si>
  <si>
    <t>L1-220154</t>
  </si>
  <si>
    <t>P1-241358</t>
  </si>
  <si>
    <t>L1-210185</t>
  </si>
  <si>
    <t>P1-241361</t>
  </si>
  <si>
    <t>L1-240239</t>
  </si>
  <si>
    <t>P1-241364</t>
  </si>
  <si>
    <t>L1-240242</t>
  </si>
  <si>
    <t>P1-241368</t>
  </si>
  <si>
    <t>L1-150131</t>
  </si>
  <si>
    <t>P1-241369</t>
  </si>
  <si>
    <t>L1-140165</t>
  </si>
  <si>
    <t>P1-241370</t>
  </si>
  <si>
    <t>L1-140161</t>
  </si>
  <si>
    <t>P1-241371</t>
  </si>
  <si>
    <t>L1-180180</t>
  </si>
  <si>
    <t>P1-241373</t>
  </si>
  <si>
    <t>L1-200326</t>
  </si>
  <si>
    <t>P1-241375</t>
  </si>
  <si>
    <t>L1-160151</t>
  </si>
  <si>
    <t>P1-241376</t>
  </si>
  <si>
    <t>L1-200325</t>
  </si>
  <si>
    <t>P1-241377</t>
  </si>
  <si>
    <t>L1-210187</t>
  </si>
  <si>
    <t>P1-241378</t>
  </si>
  <si>
    <t>L1-240244</t>
  </si>
  <si>
    <t>P1-241379</t>
  </si>
  <si>
    <t>L1-240245</t>
  </si>
  <si>
    <t>P1-241380</t>
  </si>
  <si>
    <t>L1-210189</t>
  </si>
  <si>
    <t>P1-241381</t>
  </si>
  <si>
    <t>L1-230330</t>
  </si>
  <si>
    <t>P1-241382</t>
  </si>
  <si>
    <t>L1-100372</t>
  </si>
  <si>
    <t>P1-241384</t>
  </si>
  <si>
    <t>L1-230329</t>
  </si>
  <si>
    <t>P1-241386</t>
  </si>
  <si>
    <t>L1-190104</t>
  </si>
  <si>
    <t>P1-241387</t>
  </si>
  <si>
    <t>L1-170284</t>
  </si>
  <si>
    <t>P1-241388</t>
  </si>
  <si>
    <t>L1-220158</t>
  </si>
  <si>
    <t>P1-241389</t>
  </si>
  <si>
    <t>L1-210190</t>
  </si>
  <si>
    <t>P1-241390</t>
  </si>
  <si>
    <t>L1-220157</t>
  </si>
  <si>
    <t>P1-241391</t>
  </si>
  <si>
    <t>L1-180183</t>
  </si>
  <si>
    <t>P1-241392</t>
  </si>
  <si>
    <t>L1-230333</t>
  </si>
  <si>
    <t>P1-241393</t>
  </si>
  <si>
    <t>L1-230332</t>
  </si>
  <si>
    <t>P1-241394</t>
  </si>
  <si>
    <t>L1-230334</t>
  </si>
  <si>
    <t>P1-241395</t>
  </si>
  <si>
    <t>L1-200334</t>
  </si>
  <si>
    <t>P1-241397</t>
  </si>
  <si>
    <t>L1-220159</t>
  </si>
  <si>
    <t>P1-241399</t>
  </si>
  <si>
    <t>L1-220161</t>
  </si>
  <si>
    <t>P1-241400</t>
  </si>
  <si>
    <t>L1-230335</t>
  </si>
  <si>
    <t>P1-241402</t>
  </si>
  <si>
    <t>L1-240246</t>
  </si>
  <si>
    <t>P1-241403</t>
  </si>
  <si>
    <t>L1-240247</t>
  </si>
  <si>
    <t>P1-241405</t>
  </si>
  <si>
    <t>L1-230336</t>
  </si>
  <si>
    <t>P1-241406</t>
  </si>
  <si>
    <t>L1-230337</t>
  </si>
  <si>
    <t>P1-241407</t>
  </si>
  <si>
    <t>L1-170286</t>
  </si>
  <si>
    <t>P1-241408</t>
  </si>
  <si>
    <t>L1-220162</t>
  </si>
  <si>
    <t>P1-241409</t>
  </si>
  <si>
    <t>L1-240248</t>
  </si>
  <si>
    <t>P1-241410</t>
  </si>
  <si>
    <t>L1-240249</t>
  </si>
  <si>
    <t>P1-241411</t>
  </si>
  <si>
    <t>L1-170289</t>
  </si>
  <si>
    <t>P1-241412</t>
  </si>
  <si>
    <t>L1-130145</t>
  </si>
  <si>
    <t>P1-241413</t>
  </si>
  <si>
    <t>L1-230338</t>
  </si>
  <si>
    <t>P1-241415</t>
  </si>
  <si>
    <t>L1-140168</t>
  </si>
  <si>
    <t>P1-241416</t>
  </si>
  <si>
    <t>L1-170292</t>
  </si>
  <si>
    <t>P1-241417</t>
  </si>
  <si>
    <t>L1-240250</t>
  </si>
  <si>
    <t>P1-241419</t>
  </si>
  <si>
    <t>L1-240252</t>
  </si>
  <si>
    <t>P1-241421</t>
  </si>
  <si>
    <t>L1-220164</t>
  </si>
  <si>
    <t>P1-241423</t>
  </si>
  <si>
    <t>L1-230342</t>
  </si>
  <si>
    <t>P1-241424</t>
  </si>
  <si>
    <t>L1-220163</t>
  </si>
  <si>
    <t>P1-241427</t>
  </si>
  <si>
    <t>L1-170293</t>
  </si>
  <si>
    <t>P1-241428</t>
  </si>
  <si>
    <t>L1-170296</t>
  </si>
  <si>
    <t>P1-241430</t>
  </si>
  <si>
    <t>L1-240254</t>
  </si>
  <si>
    <t>P1-241431</t>
  </si>
  <si>
    <t>L1-240255</t>
  </si>
  <si>
    <t>P1-241432</t>
  </si>
  <si>
    <t>L1-230345</t>
  </si>
  <si>
    <t>P1-241433</t>
  </si>
  <si>
    <t>L1-180193</t>
  </si>
  <si>
    <t>P1-241435</t>
  </si>
  <si>
    <t>L1-190105</t>
  </si>
  <si>
    <t>P1-241436</t>
  </si>
  <si>
    <t>L1-170299</t>
  </si>
  <si>
    <t>P1-241437</t>
  </si>
  <si>
    <t>L1-160159</t>
  </si>
  <si>
    <t>P1-241438</t>
  </si>
  <si>
    <t>L1-230346</t>
  </si>
  <si>
    <t>P1-241439</t>
  </si>
  <si>
    <t>L1-200342</t>
  </si>
  <si>
    <t>P1-241440</t>
  </si>
  <si>
    <t>L1-240256</t>
  </si>
  <si>
    <t>P1-241441</t>
  </si>
  <si>
    <t>L1-230349</t>
  </si>
  <si>
    <t>P1-241442</t>
  </si>
  <si>
    <t>L1-230347</t>
  </si>
  <si>
    <t>P1-241444</t>
  </si>
  <si>
    <t>L1-230348</t>
  </si>
  <si>
    <t>P1-241446</t>
  </si>
  <si>
    <t>L1-230350</t>
  </si>
  <si>
    <t>P1-241447</t>
  </si>
  <si>
    <t>L1-240257</t>
  </si>
  <si>
    <t>P1-241448</t>
  </si>
  <si>
    <t>L1-200346</t>
  </si>
  <si>
    <t>P1-241449</t>
  </si>
  <si>
    <t>L1-230351</t>
  </si>
  <si>
    <t>P1-241451</t>
  </si>
  <si>
    <t>L1-140172</t>
  </si>
  <si>
    <t>P1-241452</t>
  </si>
  <si>
    <t>L1-170306</t>
  </si>
  <si>
    <t>P1-241453</t>
  </si>
  <si>
    <t>L1-210197</t>
  </si>
  <si>
    <t>P1-241454</t>
  </si>
  <si>
    <t>L1-230357</t>
  </si>
  <si>
    <t>P1-241455</t>
  </si>
  <si>
    <t>L1-160161</t>
  </si>
  <si>
    <t>P1-241456</t>
  </si>
  <si>
    <t>L1-100398</t>
  </si>
  <si>
    <t>P1-241457</t>
  </si>
  <si>
    <t>L1-210196</t>
  </si>
  <si>
    <t>P1-241458</t>
  </si>
  <si>
    <t>L1-230353</t>
  </si>
  <si>
    <t>P1-241459</t>
  </si>
  <si>
    <t>L1-200347</t>
  </si>
  <si>
    <t>P1-241460</t>
  </si>
  <si>
    <t>L1-230356</t>
  </si>
  <si>
    <t>P1-241461</t>
  </si>
  <si>
    <t>L1-170305</t>
  </si>
  <si>
    <t>P1-241462</t>
  </si>
  <si>
    <t>L1-220168</t>
  </si>
  <si>
    <t>P1-241463</t>
  </si>
  <si>
    <t>L1-240259</t>
  </si>
  <si>
    <t>P1-241464</t>
  </si>
  <si>
    <t>L1-190109</t>
  </si>
  <si>
    <t>P1-241465</t>
  </si>
  <si>
    <t>L1-180198</t>
  </si>
  <si>
    <t>P1-241466</t>
  </si>
  <si>
    <t>L1-220169</t>
  </si>
  <si>
    <t>P1-241467</t>
  </si>
  <si>
    <t>L1-230359</t>
  </si>
  <si>
    <t>P1-241468</t>
  </si>
  <si>
    <t>L1-230360</t>
  </si>
  <si>
    <t>P1-241469</t>
  </si>
  <si>
    <t>L1-170308</t>
  </si>
  <si>
    <t>P1-241470</t>
  </si>
  <si>
    <t>L1-220170</t>
  </si>
  <si>
    <t>P1-241471</t>
  </si>
  <si>
    <t>L1-220171</t>
  </si>
  <si>
    <t>P1-241473</t>
  </si>
  <si>
    <t>L1-240260</t>
  </si>
  <si>
    <t>P1-241474</t>
  </si>
  <si>
    <t>L1-180202</t>
  </si>
  <si>
    <t>P1-241475</t>
  </si>
  <si>
    <t>L1-100410</t>
  </si>
  <si>
    <t>P1-241477</t>
  </si>
  <si>
    <t>L1-100408</t>
  </si>
  <si>
    <t>P1-241478</t>
  </si>
  <si>
    <t>L1-110186</t>
  </si>
  <si>
    <t>P1-241479</t>
  </si>
  <si>
    <t>L1-200351</t>
  </si>
  <si>
    <t>P1-241480</t>
  </si>
  <si>
    <t>L1-190110</t>
  </si>
  <si>
    <t>P1-241481</t>
  </si>
  <si>
    <t>L1-200354</t>
  </si>
  <si>
    <t>P1-241483</t>
  </si>
  <si>
    <t>L1-100406</t>
  </si>
  <si>
    <t>P1-241484</t>
  </si>
  <si>
    <t>L1-170312</t>
  </si>
  <si>
    <t>P1-241485</t>
  </si>
  <si>
    <t>L1-220173</t>
  </si>
  <si>
    <t>P1-241486</t>
  </si>
  <si>
    <t>L1-160164</t>
  </si>
  <si>
    <t>P1-241487</t>
  </si>
  <si>
    <t>L1-220172</t>
  </si>
  <si>
    <t>P1-241488</t>
  </si>
  <si>
    <t>L1-230361</t>
  </si>
  <si>
    <t>P1-241489</t>
  </si>
  <si>
    <t>L1-230365</t>
  </si>
  <si>
    <t>P1-241490</t>
  </si>
  <si>
    <t>L1-220174</t>
  </si>
  <si>
    <t>P1-241491</t>
  </si>
  <si>
    <t>L1-130152</t>
  </si>
  <si>
    <t>P1-241492</t>
  </si>
  <si>
    <t>L1-230363</t>
  </si>
  <si>
    <t>P1-241495</t>
  </si>
  <si>
    <t>L1-240261</t>
  </si>
  <si>
    <t>P1-241497</t>
  </si>
  <si>
    <t>L1-160168</t>
  </si>
  <si>
    <t>P1-241499</t>
  </si>
  <si>
    <t>L1-200357</t>
  </si>
  <si>
    <t>P1-241500</t>
  </si>
  <si>
    <t>L1-220175</t>
  </si>
  <si>
    <t>P1-241501</t>
  </si>
  <si>
    <t>L1-160167</t>
  </si>
  <si>
    <t>P1-241503</t>
  </si>
  <si>
    <t>L1-230366</t>
  </si>
  <si>
    <t>P1-241504</t>
  </si>
  <si>
    <t>L1-240263</t>
  </si>
  <si>
    <t>P1-241506</t>
  </si>
  <si>
    <t>L1-200359</t>
  </si>
  <si>
    <t>P1-241507</t>
  </si>
  <si>
    <t>L1-170316</t>
  </si>
  <si>
    <t>P1-241508</t>
  </si>
  <si>
    <t>L1-180209</t>
  </si>
  <si>
    <t>P1-241509</t>
  </si>
  <si>
    <t>L1-230367</t>
  </si>
  <si>
    <t>P1-241511</t>
  </si>
  <si>
    <t>L1-160170</t>
  </si>
  <si>
    <t>P1-241512</t>
  </si>
  <si>
    <t>L1-230369</t>
  </si>
  <si>
    <t>P1-241513</t>
  </si>
  <si>
    <t>L1-230370</t>
  </si>
  <si>
    <t>P1-241514</t>
  </si>
  <si>
    <t>L1-200360</t>
  </si>
  <si>
    <t>P1-241515</t>
  </si>
  <si>
    <t>L1-200358</t>
  </si>
  <si>
    <t>P1-241516</t>
  </si>
  <si>
    <t>L1-180207</t>
  </si>
  <si>
    <t>P1-241518</t>
  </si>
  <si>
    <t>L1-240265</t>
  </si>
  <si>
    <t>P1-241519</t>
  </si>
  <si>
    <t>L1-240266</t>
  </si>
  <si>
    <t>P1-241520</t>
  </si>
  <si>
    <t>L1-210202</t>
  </si>
  <si>
    <t>P1-241521</t>
  </si>
  <si>
    <t>L1-140181</t>
  </si>
  <si>
    <t>P1-241522</t>
  </si>
  <si>
    <t>L1-180210</t>
  </si>
  <si>
    <t>P1-241523</t>
  </si>
  <si>
    <t>L1-170318</t>
  </si>
  <si>
    <t>P1-241525</t>
  </si>
  <si>
    <t>L1-100419</t>
  </si>
  <si>
    <t>P1-241526</t>
  </si>
  <si>
    <t>L1-200363</t>
  </si>
  <si>
    <t>P1-241527</t>
  </si>
  <si>
    <t>L1-220177</t>
  </si>
  <si>
    <t>P1-241528</t>
  </si>
  <si>
    <t>L1-230371</t>
  </si>
  <si>
    <t>P1-241529</t>
  </si>
  <si>
    <t>L1-240267</t>
  </si>
  <si>
    <t>P1-241531</t>
  </si>
  <si>
    <t>L1-240269</t>
  </si>
  <si>
    <t>P1-241533</t>
  </si>
  <si>
    <t>L1-210205</t>
  </si>
  <si>
    <t>P1-241534</t>
  </si>
  <si>
    <t>L1-230373</t>
  </si>
  <si>
    <t>P1-241536</t>
  </si>
  <si>
    <t>L1-210208</t>
  </si>
  <si>
    <t>P1-241537</t>
  </si>
  <si>
    <t>L1-230372</t>
  </si>
  <si>
    <t>P1-241538</t>
  </si>
  <si>
    <t>L1-170323</t>
  </si>
  <si>
    <t>P1-241539</t>
  </si>
  <si>
    <t>L1-120181</t>
  </si>
  <si>
    <t>P1-241540</t>
  </si>
  <si>
    <t>L1-110193</t>
  </si>
  <si>
    <t>P1-241542</t>
  </si>
  <si>
    <t>L1-180215</t>
  </si>
  <si>
    <t>P1-241544</t>
  </si>
  <si>
    <t>L1-190113</t>
  </si>
  <si>
    <t>P1-241546</t>
  </si>
  <si>
    <t>L1-150153</t>
  </si>
  <si>
    <t>P1-241548</t>
  </si>
  <si>
    <t>L1-170324</t>
  </si>
  <si>
    <t>P1-241549</t>
  </si>
  <si>
    <t>L1-100428</t>
  </si>
  <si>
    <t>P1-241551</t>
  </si>
  <si>
    <t>L1-220179</t>
  </si>
  <si>
    <t>P1-241552</t>
  </si>
  <si>
    <t>L1-120184</t>
  </si>
  <si>
    <t>P1-241553</t>
  </si>
  <si>
    <t>L1-200368</t>
  </si>
  <si>
    <t>P1-241554</t>
  </si>
  <si>
    <t>L1-230375</t>
  </si>
  <si>
    <t>P1-241556</t>
  </si>
  <si>
    <t>L1-210210</t>
  </si>
  <si>
    <t>P1-241557</t>
  </si>
  <si>
    <t>L1-230374</t>
  </si>
  <si>
    <t>P1-241559</t>
  </si>
  <si>
    <t>L1-160178</t>
  </si>
  <si>
    <t>P1-241561</t>
  </si>
  <si>
    <t>L1-230376</t>
  </si>
  <si>
    <t>P1-241564</t>
  </si>
  <si>
    <t>L1-240272</t>
  </si>
  <si>
    <t>P1-241565</t>
  </si>
  <si>
    <t>L1-170328</t>
  </si>
  <si>
    <t>P1-241569</t>
  </si>
  <si>
    <t>L1-110200</t>
  </si>
  <si>
    <t>P1-241571</t>
  </si>
  <si>
    <t>L1-230377</t>
  </si>
  <si>
    <t>P1-241573</t>
  </si>
  <si>
    <t>L1-230379</t>
  </si>
  <si>
    <t>P1-241576</t>
  </si>
  <si>
    <t>L1-210212</t>
  </si>
  <si>
    <t>P1-241577</t>
  </si>
  <si>
    <t>L1-220181</t>
  </si>
  <si>
    <t>P1-241580</t>
  </si>
  <si>
    <t>L1-240273</t>
  </si>
  <si>
    <t>P1-241581</t>
  </si>
  <si>
    <t>L1-200381</t>
  </si>
  <si>
    <t>P1-241583</t>
  </si>
  <si>
    <t>L1-160181</t>
  </si>
  <si>
    <t>P1-241585</t>
  </si>
  <si>
    <t>L1-230381</t>
  </si>
  <si>
    <t>P1-241587</t>
  </si>
  <si>
    <t>L1-230382</t>
  </si>
  <si>
    <t>P1-241588</t>
  </si>
  <si>
    <t>L1-240274</t>
  </si>
  <si>
    <t>P1-241589</t>
  </si>
  <si>
    <t>L1-240275</t>
  </si>
  <si>
    <t>P1-241590</t>
  </si>
  <si>
    <t>L1-180221</t>
  </si>
  <si>
    <t>P1-241591</t>
  </si>
  <si>
    <t>L1-190121</t>
  </si>
  <si>
    <t>P1-241592</t>
  </si>
  <si>
    <t>L1-100444</t>
  </si>
  <si>
    <t>P1-241593</t>
  </si>
  <si>
    <t>L1-210213</t>
  </si>
  <si>
    <t>P1-241594</t>
  </si>
  <si>
    <t>L1-230386</t>
  </si>
  <si>
    <t>P1-241595</t>
  </si>
  <si>
    <t>L1-160182</t>
  </si>
  <si>
    <t>P1-241597</t>
  </si>
  <si>
    <t>L1-110206</t>
  </si>
  <si>
    <t>P1-241598</t>
  </si>
  <si>
    <t>L1-190120</t>
  </si>
  <si>
    <t>P1-241600</t>
  </si>
  <si>
    <t>L1-230383</t>
  </si>
  <si>
    <t>P1-241601</t>
  </si>
  <si>
    <t>L1-200383</t>
  </si>
  <si>
    <t>P1-241602</t>
  </si>
  <si>
    <t>L1-230384</t>
  </si>
  <si>
    <t>P1-241603</t>
  </si>
  <si>
    <t>L1-220184</t>
  </si>
  <si>
    <t>P1-241605</t>
  </si>
  <si>
    <t>L1-220185</t>
  </si>
  <si>
    <t>P1-241608</t>
  </si>
  <si>
    <t>L1-180222</t>
  </si>
  <si>
    <t>P1-241609</t>
  </si>
  <si>
    <t>L1-220187</t>
  </si>
  <si>
    <t>P1-241610</t>
  </si>
  <si>
    <t>L1-100448</t>
  </si>
  <si>
    <t>P1-241611</t>
  </si>
  <si>
    <t>L1-100447</t>
  </si>
  <si>
    <t>P1-241613</t>
  </si>
  <si>
    <t>L1-210214</t>
  </si>
  <si>
    <t>P1-241614</t>
  </si>
  <si>
    <t>L1-180223</t>
  </si>
  <si>
    <t>P1-241615</t>
  </si>
  <si>
    <t>L1-190122</t>
  </si>
  <si>
    <t>P1-241619</t>
  </si>
  <si>
    <t>L1-240278</t>
  </si>
  <si>
    <t>P1-241620</t>
  </si>
  <si>
    <t>L1-210216</t>
  </si>
  <si>
    <t>P1-241623</t>
  </si>
  <si>
    <t>L1-230390</t>
  </si>
  <si>
    <t>P1-241625</t>
  </si>
  <si>
    <t>L1-230393</t>
  </si>
  <si>
    <t>P1-241626</t>
  </si>
  <si>
    <t>L1-220193</t>
  </si>
  <si>
    <t>P1-241629</t>
  </si>
  <si>
    <t>L1-220192</t>
  </si>
  <si>
    <t>P1-241630</t>
  </si>
  <si>
    <t>L1-230395</t>
  </si>
  <si>
    <t>P1-241633</t>
  </si>
  <si>
    <t>L1-230389</t>
  </si>
  <si>
    <t>P1-241634</t>
  </si>
  <si>
    <t>L1-220189</t>
  </si>
  <si>
    <t>P1-241635</t>
  </si>
  <si>
    <t>L1-240279</t>
  </si>
  <si>
    <t>P1-241636</t>
  </si>
  <si>
    <t>L1-120194</t>
  </si>
  <si>
    <t>P1-241638</t>
  </si>
  <si>
    <t>L1-100461</t>
  </si>
  <si>
    <t>P1-241639</t>
  </si>
  <si>
    <t>L1-230396</t>
  </si>
  <si>
    <t>P1-241641</t>
  </si>
  <si>
    <t>L1-170344</t>
  </si>
  <si>
    <t>P1-241642</t>
  </si>
  <si>
    <t>L1-180224</t>
  </si>
  <si>
    <t>P1-241643</t>
  </si>
  <si>
    <t>L1-210217</t>
  </si>
  <si>
    <t>P1-241644</t>
  </si>
  <si>
    <t>L1-170343</t>
  </si>
  <si>
    <t>P1-241645</t>
  </si>
  <si>
    <t>L1-200392</t>
  </si>
  <si>
    <t>P1-241646</t>
  </si>
  <si>
    <t>L1-240280</t>
  </si>
  <si>
    <t>P1-241648</t>
  </si>
  <si>
    <t>L1-240282</t>
  </si>
  <si>
    <t>P1-241649</t>
  </si>
  <si>
    <t>L1-240283</t>
  </si>
  <si>
    <t>P1-241650</t>
  </si>
  <si>
    <t>L1-240284</t>
  </si>
  <si>
    <t>P1-241651</t>
  </si>
  <si>
    <t>L1-210219</t>
  </si>
  <si>
    <t>P1-241652</t>
  </si>
  <si>
    <t>L1-170347</t>
  </si>
  <si>
    <t>P1-241653</t>
  </si>
  <si>
    <t>L1-190125</t>
  </si>
  <si>
    <t>P1-241654</t>
  </si>
  <si>
    <t>L1-230397</t>
  </si>
  <si>
    <t>P1-241655</t>
  </si>
  <si>
    <t>L1-200396</t>
  </si>
  <si>
    <t>P1-241656</t>
  </si>
  <si>
    <t>L1-230398</t>
  </si>
  <si>
    <t>P1-241657</t>
  </si>
  <si>
    <t>L1-200394</t>
  </si>
  <si>
    <t>P1-241658</t>
  </si>
  <si>
    <t>L1-200395</t>
  </si>
  <si>
    <t>P1-241659</t>
  </si>
  <si>
    <t>L1-140198</t>
  </si>
  <si>
    <t>P1-241660</t>
  </si>
  <si>
    <t>L1-210220</t>
  </si>
  <si>
    <t>P1-241661</t>
  </si>
  <si>
    <t>L1-140200</t>
  </si>
  <si>
    <t>P1-241663</t>
  </si>
  <si>
    <t>L1-220194</t>
  </si>
  <si>
    <t>P1-241666</t>
  </si>
  <si>
    <t>L1-240287</t>
  </si>
  <si>
    <t>P1-241667</t>
  </si>
  <si>
    <t>L1-240288</t>
  </si>
  <si>
    <t>P1-241669</t>
  </si>
  <si>
    <t>L1-230399</t>
  </si>
  <si>
    <t>P1-241670</t>
  </si>
  <si>
    <t>L1-230401</t>
  </si>
  <si>
    <t>P1-241671</t>
  </si>
  <si>
    <t>L1-200399</t>
  </si>
  <si>
    <t>P1-241672</t>
  </si>
  <si>
    <t>L1-230404</t>
  </si>
  <si>
    <t>P1-241674</t>
  </si>
  <si>
    <t>L1-200402</t>
  </si>
  <si>
    <t>P1-241675</t>
  </si>
  <si>
    <t>L1-220196</t>
  </si>
  <si>
    <t>P1-241677</t>
  </si>
  <si>
    <t>L1-210222</t>
  </si>
  <si>
    <t>P1-241678</t>
  </si>
  <si>
    <t>L1-230403</t>
  </si>
  <si>
    <t>P1-241679</t>
  </si>
  <si>
    <t>L1-210223</t>
  </si>
  <si>
    <t>P1-241680</t>
  </si>
  <si>
    <t>L1-240289</t>
  </si>
  <si>
    <t>P1-241681</t>
  </si>
  <si>
    <t>L1-240290</t>
  </si>
  <si>
    <t>P1-241682</t>
  </si>
  <si>
    <t>L1-230406</t>
  </si>
  <si>
    <t>P1-241683</t>
  </si>
  <si>
    <t>L1-140203</t>
  </si>
  <si>
    <t>P1-241684</t>
  </si>
  <si>
    <t>L1-200406</t>
  </si>
  <si>
    <t>P1-241685</t>
  </si>
  <si>
    <t>L1-230405</t>
  </si>
  <si>
    <t>P1-241686</t>
  </si>
  <si>
    <t>L1-220198</t>
  </si>
  <si>
    <t>P1-241688</t>
  </si>
  <si>
    <t>L1-240292</t>
  </si>
  <si>
    <t>P1-241690</t>
  </si>
  <si>
    <t>L1-230407</t>
  </si>
  <si>
    <t>P1-241692</t>
  </si>
  <si>
    <t>L1-120201</t>
  </si>
  <si>
    <t>P1-241693</t>
  </si>
  <si>
    <t>L1-200410</t>
  </si>
  <si>
    <t>P1-241695</t>
  </si>
  <si>
    <t>L1-240293</t>
  </si>
  <si>
    <t>P1-241696</t>
  </si>
  <si>
    <t>L1-240294</t>
  </si>
  <si>
    <t>P1-241697</t>
  </si>
  <si>
    <t>L1-210226</t>
  </si>
  <si>
    <t>P1-241698</t>
  </si>
  <si>
    <t>L1-230408</t>
  </si>
  <si>
    <t>P1-241701</t>
  </si>
  <si>
    <t>L1-230410</t>
  </si>
  <si>
    <t>P1-241702</t>
  </si>
  <si>
    <t>L1-230409</t>
  </si>
  <si>
    <t>P1-241704</t>
  </si>
  <si>
    <t>L1-200418</t>
  </si>
  <si>
    <t>P1-241705</t>
  </si>
  <si>
    <t>L1-230413</t>
  </si>
  <si>
    <t>P1-241707</t>
  </si>
  <si>
    <t>L1-200415</t>
  </si>
  <si>
    <t>P1-241709</t>
  </si>
  <si>
    <t>L1-230415</t>
  </si>
  <si>
    <t>P1-241710</t>
  </si>
  <si>
    <t>L1-200416</t>
  </si>
  <si>
    <t>P1-241711</t>
  </si>
  <si>
    <t>L1-210228</t>
  </si>
  <si>
    <t>P1-241713</t>
  </si>
  <si>
    <t>L1-210227</t>
  </si>
  <si>
    <t>P1-241714</t>
  </si>
  <si>
    <t>L1-230414</t>
  </si>
  <si>
    <t>P1-241716</t>
  </si>
  <si>
    <t>L1-240297</t>
  </si>
  <si>
    <t>P1-241719</t>
  </si>
  <si>
    <t>L1-240300</t>
  </si>
  <si>
    <t>P1-241720</t>
  </si>
  <si>
    <t>L1-200421</t>
  </si>
  <si>
    <t>P1-241723</t>
  </si>
  <si>
    <t>L1-170358</t>
  </si>
  <si>
    <t>P1-241725</t>
  </si>
  <si>
    <t>L1-150165</t>
  </si>
  <si>
    <t>P1-241726</t>
  </si>
  <si>
    <t>L1-160196</t>
  </si>
  <si>
    <t>P1-241729</t>
  </si>
  <si>
    <t>L1-240301</t>
  </si>
  <si>
    <t>P1-241730</t>
  </si>
  <si>
    <t>L1-110226</t>
  </si>
  <si>
    <t>P1-241731</t>
  </si>
  <si>
    <t>L1-190129</t>
  </si>
  <si>
    <t>P1-241732</t>
  </si>
  <si>
    <t>L1-200422</t>
  </si>
  <si>
    <t>P1-241733</t>
  </si>
  <si>
    <t>L1-200423</t>
  </si>
  <si>
    <t>P1-241735</t>
  </si>
  <si>
    <t>L1-190130</t>
  </si>
  <si>
    <t>P1-241736</t>
  </si>
  <si>
    <t>L1-240302</t>
  </si>
  <si>
    <t>P1-241737</t>
  </si>
  <si>
    <t>L1-220201</t>
  </si>
  <si>
    <t>P1-241739</t>
  </si>
  <si>
    <t>L1-200426</t>
  </si>
  <si>
    <t>P1-241740</t>
  </si>
  <si>
    <t>L1-160203</t>
  </si>
  <si>
    <t>P1-241741</t>
  </si>
  <si>
    <t>L1-200425</t>
  </si>
  <si>
    <t>P1-241742</t>
  </si>
  <si>
    <t>L1-230420</t>
  </si>
  <si>
    <t>P1-241743</t>
  </si>
  <si>
    <t>L1-230422</t>
  </si>
  <si>
    <t>P1-241744</t>
  </si>
  <si>
    <t>L1-160202</t>
  </si>
  <si>
    <t>P1-241745</t>
  </si>
  <si>
    <t>L1-240303</t>
  </si>
  <si>
    <t>P1-241746</t>
  </si>
  <si>
    <t>L1-240304</t>
  </si>
  <si>
    <t>P1-241750</t>
  </si>
  <si>
    <t>L1-100495</t>
  </si>
  <si>
    <t>P1-241751</t>
  </si>
  <si>
    <t>L1-160204</t>
  </si>
  <si>
    <t>P1-241754</t>
  </si>
  <si>
    <t>L1-230424</t>
  </si>
  <si>
    <t>P1-241755</t>
  </si>
  <si>
    <t>L1-180241</t>
  </si>
  <si>
    <t>P1-241757</t>
  </si>
  <si>
    <t>L1-190131</t>
  </si>
  <si>
    <t>P1-241758</t>
  </si>
  <si>
    <t>L1-180240</t>
  </si>
  <si>
    <t>P1-241760</t>
  </si>
  <si>
    <t>L1-200430</t>
  </si>
  <si>
    <t>P1-241761</t>
  </si>
  <si>
    <t>L1-100496</t>
  </si>
  <si>
    <t>P1-241764</t>
  </si>
  <si>
    <t>L1-240306</t>
  </si>
  <si>
    <t>P1-241765</t>
  </si>
  <si>
    <t>L1-220204</t>
  </si>
  <si>
    <t>P1-241766</t>
  </si>
  <si>
    <t>L1-200434</t>
  </si>
  <si>
    <t>P1-241767</t>
  </si>
  <si>
    <t>L1-200432</t>
  </si>
  <si>
    <t>P1-241768</t>
  </si>
  <si>
    <t>L1-200433</t>
  </si>
  <si>
    <t>P1-241769</t>
  </si>
  <si>
    <t>L1-120212</t>
  </si>
  <si>
    <t>P1-241770</t>
  </si>
  <si>
    <t>L1-200437</t>
  </si>
  <si>
    <t>P1-241771</t>
  </si>
  <si>
    <t>L1-230425</t>
  </si>
  <si>
    <t>P1-241772</t>
  </si>
  <si>
    <t>L1-100500</t>
  </si>
  <si>
    <t>P1-241773</t>
  </si>
  <si>
    <t>L1-120210</t>
  </si>
  <si>
    <t>P1-241774</t>
  </si>
  <si>
    <t>L1-200436</t>
  </si>
  <si>
    <t>P1-241775</t>
  </si>
  <si>
    <t>L1-200435</t>
  </si>
  <si>
    <t>P1-241777</t>
  </si>
  <si>
    <t>L1-240307</t>
  </si>
  <si>
    <t>P1-241779</t>
  </si>
  <si>
    <t>L1-170366</t>
  </si>
  <si>
    <t>P1-241780</t>
  </si>
  <si>
    <t>L1-170368</t>
  </si>
  <si>
    <t>P1-241782</t>
  </si>
  <si>
    <t>L1-230429</t>
  </si>
  <si>
    <t>P1-241784</t>
  </si>
  <si>
    <t>L1-170369</t>
  </si>
  <si>
    <t>P1-241785</t>
  </si>
  <si>
    <t>L1-230427</t>
  </si>
  <si>
    <t>P1-241789</t>
  </si>
  <si>
    <t>L1-220206</t>
  </si>
  <si>
    <t>P1-241791</t>
  </si>
  <si>
    <t>L1-240308</t>
  </si>
  <si>
    <t>P1-241792</t>
  </si>
  <si>
    <t>L1-240309</t>
  </si>
  <si>
    <t>P1-241793</t>
  </si>
  <si>
    <t>L1-240310</t>
  </si>
  <si>
    <t>P1-241795</t>
  </si>
  <si>
    <t>L1-140214</t>
  </si>
  <si>
    <t>P1-241797</t>
  </si>
  <si>
    <t>L1-200443</t>
  </si>
  <si>
    <t>P1-241801</t>
  </si>
  <si>
    <t>L1-170371</t>
  </si>
  <si>
    <t>P1-241802</t>
  </si>
  <si>
    <t>L1-220209</t>
  </si>
  <si>
    <t>P1-241804</t>
  </si>
  <si>
    <t>L1-240312</t>
  </si>
  <si>
    <t>P1-241805</t>
  </si>
  <si>
    <t>L1-240313</t>
  </si>
  <si>
    <t>P1-241806</t>
  </si>
  <si>
    <t>L1-210242</t>
  </si>
  <si>
    <t>P1-241807</t>
  </si>
  <si>
    <t>L1-140218</t>
  </si>
  <si>
    <t>P1-241808</t>
  </si>
  <si>
    <t>L1-210241</t>
  </si>
  <si>
    <t>P1-241809</t>
  </si>
  <si>
    <t>L1-200448</t>
  </si>
  <si>
    <t>P1-241811</t>
  </si>
  <si>
    <t>L1-100508</t>
  </si>
  <si>
    <t>P1-241813</t>
  </si>
  <si>
    <t>L1-100511</t>
  </si>
  <si>
    <t>P1-241814</t>
  </si>
  <si>
    <t>L1-230437</t>
  </si>
  <si>
    <t>P1-241817</t>
  </si>
  <si>
    <t>L1-210243</t>
  </si>
  <si>
    <t>P1-241821</t>
  </si>
  <si>
    <t>L1-230439</t>
  </si>
  <si>
    <t>P1-241822</t>
  </si>
  <si>
    <t>L1-160209</t>
  </si>
  <si>
    <t>P1-241823</t>
  </si>
  <si>
    <t>L1-230438</t>
  </si>
  <si>
    <t>P1-241824</t>
  </si>
  <si>
    <t>L1-210247</t>
  </si>
  <si>
    <t>P1-241827</t>
  </si>
  <si>
    <t>L1-100517</t>
  </si>
  <si>
    <t>P1-241828</t>
  </si>
  <si>
    <t>L1-200450</t>
  </si>
  <si>
    <t>P1-241830</t>
  </si>
  <si>
    <t>L1-230440</t>
  </si>
  <si>
    <t>P1-241831</t>
  </si>
  <si>
    <t>L1-190144</t>
  </si>
  <si>
    <t>P1-241833</t>
  </si>
  <si>
    <t>L1-190143</t>
  </si>
  <si>
    <t>P1-241835</t>
  </si>
  <si>
    <t>L1-160211</t>
  </si>
  <si>
    <t>P1-241836</t>
  </si>
  <si>
    <t>L1-200449</t>
  </si>
  <si>
    <t>P1-241837</t>
  </si>
  <si>
    <t>L1-150181</t>
  </si>
  <si>
    <t>P1-241838</t>
  </si>
  <si>
    <t>L1-150180</t>
  </si>
  <si>
    <t>P1-241840</t>
  </si>
  <si>
    <t>L1-230443</t>
  </si>
  <si>
    <t>P1-241844</t>
  </si>
  <si>
    <t>L1-230447</t>
  </si>
  <si>
    <t>P1-241845</t>
  </si>
  <si>
    <t>L1-200453</t>
  </si>
  <si>
    <t>P1-241847</t>
  </si>
  <si>
    <t>L1-160213</t>
  </si>
  <si>
    <t>P1-241849</t>
  </si>
  <si>
    <t>L1-220213</t>
  </si>
  <si>
    <t>P1-241851</t>
  </si>
  <si>
    <t>L1-230449</t>
  </si>
  <si>
    <t>P1-241852</t>
  </si>
  <si>
    <t>L1-210251</t>
  </si>
  <si>
    <t>P1-241853</t>
  </si>
  <si>
    <t>L1-150184</t>
  </si>
  <si>
    <t>P1-241854</t>
  </si>
  <si>
    <t>L1-150183</t>
  </si>
  <si>
    <t>P1-241855</t>
  </si>
  <si>
    <t>L1-240317</t>
  </si>
  <si>
    <t>P1-241856</t>
  </si>
  <si>
    <t>L1-240318</t>
  </si>
  <si>
    <t>P1-241858</t>
  </si>
  <si>
    <t>L1-230450</t>
  </si>
  <si>
    <t>P1-241860</t>
  </si>
  <si>
    <t>L1-100529</t>
  </si>
  <si>
    <t>P1-241862</t>
  </si>
  <si>
    <t>L1-170385</t>
  </si>
  <si>
    <t>P1-241863</t>
  </si>
  <si>
    <t>L1-230452</t>
  </si>
  <si>
    <t>P1-241864</t>
  </si>
  <si>
    <t>L1-160217</t>
  </si>
  <si>
    <t>P1-241865</t>
  </si>
  <si>
    <t>L1-220214</t>
  </si>
  <si>
    <t>P1-241866</t>
  </si>
  <si>
    <t>L1-230453</t>
  </si>
  <si>
    <t>P1-241867</t>
  </si>
  <si>
    <t>L1-200463</t>
  </si>
  <si>
    <t>P1-241869</t>
  </si>
  <si>
    <t>L1-200465</t>
  </si>
  <si>
    <t>P1-241871</t>
  </si>
  <si>
    <t>L1-240319</t>
  </si>
  <si>
    <t>P1-241873</t>
  </si>
  <si>
    <t>L1-150186</t>
  </si>
  <si>
    <t>P1-241874</t>
  </si>
  <si>
    <t>L1-160220</t>
  </si>
  <si>
    <t>P1-241875</t>
  </si>
  <si>
    <t>L1-100536</t>
  </si>
  <si>
    <t>P1-241877</t>
  </si>
  <si>
    <t>L1-150187</t>
  </si>
  <si>
    <t>P1-241878</t>
  </si>
  <si>
    <t>L1-230454</t>
  </si>
  <si>
    <t>P1-241879</t>
  </si>
  <si>
    <t>L1-230458</t>
  </si>
  <si>
    <t>P1-241881</t>
  </si>
  <si>
    <t>L1-140227</t>
  </si>
  <si>
    <t>P1-241882</t>
  </si>
  <si>
    <t>L1-180258</t>
  </si>
  <si>
    <t>P1-241884</t>
  </si>
  <si>
    <t>L1-180261</t>
  </si>
  <si>
    <t>P1-241885</t>
  </si>
  <si>
    <t>L1-200467</t>
  </si>
  <si>
    <t>P1-241886</t>
  </si>
  <si>
    <t>L1-190147</t>
  </si>
  <si>
    <t>P1-241887</t>
  </si>
  <si>
    <t>L1-170390</t>
  </si>
  <si>
    <t>P1-241888</t>
  </si>
  <si>
    <t>L1-180262</t>
  </si>
  <si>
    <t>P1-241889</t>
  </si>
  <si>
    <t>L1-170391</t>
  </si>
  <si>
    <t>P1-241891</t>
  </si>
  <si>
    <t>L1-230460</t>
  </si>
  <si>
    <t>P1-241893</t>
  </si>
  <si>
    <t>L1-220216</t>
  </si>
  <si>
    <t>P1-241894</t>
  </si>
  <si>
    <t>L1-230459</t>
  </si>
  <si>
    <t>P1-241896</t>
  </si>
  <si>
    <t>L1-180260</t>
  </si>
  <si>
    <t>P1-241898</t>
  </si>
  <si>
    <t>L1-240322</t>
  </si>
  <si>
    <t>P1-241900</t>
  </si>
  <si>
    <t>L1-210254</t>
  </si>
  <si>
    <t>P1-241901</t>
  </si>
  <si>
    <t>L1-230462</t>
  </si>
  <si>
    <t>P1-241902</t>
  </si>
  <si>
    <t>L1-230461</t>
  </si>
  <si>
    <t>P1-241905</t>
  </si>
  <si>
    <t>L1-230463</t>
  </si>
  <si>
    <t>P1-241906</t>
  </si>
  <si>
    <t>L1-240324</t>
  </si>
  <si>
    <t>P1-241908</t>
  </si>
  <si>
    <t>L1-230465</t>
  </si>
  <si>
    <t>P1-241910</t>
  </si>
  <si>
    <t>L1-200474</t>
  </si>
  <si>
    <t>P1-241911</t>
  </si>
  <si>
    <t>L1-170393</t>
  </si>
  <si>
    <t>P1-241913</t>
  </si>
  <si>
    <t>L1-140235</t>
  </si>
  <si>
    <t>P1-241915</t>
  </si>
  <si>
    <t>L1-240327</t>
  </si>
  <si>
    <t>P1-241916</t>
  </si>
  <si>
    <t>L1-240328</t>
  </si>
  <si>
    <t>P1-241920</t>
  </si>
  <si>
    <t>L1-200478</t>
  </si>
  <si>
    <t>P1-241921</t>
  </si>
  <si>
    <t>L1-220217</t>
  </si>
  <si>
    <t>P1-241922</t>
  </si>
  <si>
    <t>L1-190150</t>
  </si>
  <si>
    <t>P1-241923</t>
  </si>
  <si>
    <t>L1-180267</t>
  </si>
  <si>
    <t>P1-241925</t>
  </si>
  <si>
    <t>L1-180265</t>
  </si>
  <si>
    <t>P1-241927</t>
  </si>
  <si>
    <t>L1-230469</t>
  </si>
  <si>
    <t>P1-241929</t>
  </si>
  <si>
    <t>L1-240331</t>
  </si>
  <si>
    <t>P1-241930</t>
  </si>
  <si>
    <t>L1-200481</t>
  </si>
  <si>
    <t>P1-241931</t>
  </si>
  <si>
    <t>L1-230472</t>
  </si>
  <si>
    <t>P1-241933</t>
  </si>
  <si>
    <t>L1-230471</t>
  </si>
  <si>
    <t>P1-241934</t>
  </si>
  <si>
    <t>L1-160225</t>
  </si>
  <si>
    <t>P1-241935</t>
  </si>
  <si>
    <t>L1-230473</t>
  </si>
  <si>
    <t>P1-241937</t>
  </si>
  <si>
    <t>L1-220219</t>
  </si>
  <si>
    <t>P1-241938</t>
  </si>
  <si>
    <t>L1-220220</t>
  </si>
  <si>
    <t>P1-241944</t>
  </si>
  <si>
    <t>L1-240333</t>
  </si>
  <si>
    <t>P1-241945</t>
  </si>
  <si>
    <t>L1-220222</t>
  </si>
  <si>
    <t>P1-241946</t>
  </si>
  <si>
    <t>L1-110256</t>
  </si>
  <si>
    <t>P1-241947</t>
  </si>
  <si>
    <t>L1-230477</t>
  </si>
  <si>
    <t>P1-241948</t>
  </si>
  <si>
    <t>L1-230475</t>
  </si>
  <si>
    <t>P1-241949</t>
  </si>
  <si>
    <t>L1-180271</t>
  </si>
  <si>
    <t>P1-241950</t>
  </si>
  <si>
    <t>L1-220221</t>
  </si>
  <si>
    <t>P1-241952</t>
  </si>
  <si>
    <t>L1-210259</t>
  </si>
  <si>
    <t>P1-241953</t>
  </si>
  <si>
    <t>L1-130191</t>
  </si>
  <si>
    <t>P1-241954</t>
  </si>
  <si>
    <t>L1-220223</t>
  </si>
  <si>
    <t>P1-241956</t>
  </si>
  <si>
    <t>L1-240334</t>
  </si>
  <si>
    <t>P1-241957</t>
  </si>
  <si>
    <t>L1-240335</t>
  </si>
  <si>
    <t>P1-241958</t>
  </si>
  <si>
    <t>L1-240336</t>
  </si>
  <si>
    <t>P1-241959</t>
  </si>
  <si>
    <t>L1-230478</t>
  </si>
  <si>
    <t>P1-241960</t>
  </si>
  <si>
    <t>L1-200486</t>
  </si>
  <si>
    <t>P1-241961</t>
  </si>
  <si>
    <t>L1-220225</t>
  </si>
  <si>
    <t>P1-241962</t>
  </si>
  <si>
    <t>L1-220224</t>
  </si>
  <si>
    <t>P1-241963</t>
  </si>
  <si>
    <t>L1-200485</t>
  </si>
  <si>
    <t>P1-241965</t>
  </si>
  <si>
    <t>L1-240337</t>
  </si>
  <si>
    <t>P1-241967</t>
  </si>
  <si>
    <t>L1-240339</t>
  </si>
  <si>
    <t>P1-241968</t>
  </si>
  <si>
    <t>L1-220227</t>
  </si>
  <si>
    <t>P1-241969</t>
  </si>
  <si>
    <t>L1-230483</t>
  </si>
  <si>
    <t>P1-241970</t>
  </si>
  <si>
    <t>L1-230481</t>
  </si>
  <si>
    <t>P1-241972</t>
  </si>
  <si>
    <t>L1-220228</t>
  </si>
  <si>
    <t>P1-241974</t>
  </si>
  <si>
    <t>L1-140241</t>
  </si>
  <si>
    <t>P1-241975</t>
  </si>
  <si>
    <t>L1-190153</t>
  </si>
  <si>
    <t>P1-241976</t>
  </si>
  <si>
    <t>L1-190155</t>
  </si>
  <si>
    <t>P1-241978</t>
  </si>
  <si>
    <t>L1-220226</t>
  </si>
  <si>
    <t>P1-241979</t>
  </si>
  <si>
    <t>L1-120234</t>
  </si>
  <si>
    <t>P1-241980</t>
  </si>
  <si>
    <t>L1-240340</t>
  </si>
  <si>
    <t>P1-241981</t>
  </si>
  <si>
    <t>L1-240341</t>
  </si>
  <si>
    <t>P1-241982</t>
  </si>
  <si>
    <t>L1-240342</t>
  </si>
  <si>
    <t>P1-241983</t>
  </si>
  <si>
    <t>L1-220229</t>
  </si>
  <si>
    <t>P1-241984</t>
  </si>
  <si>
    <t>L1-120237</t>
  </si>
  <si>
    <t>P1-241985</t>
  </si>
  <si>
    <t>L1-230484</t>
  </si>
  <si>
    <t>P1-241986</t>
  </si>
  <si>
    <t>L1-210262</t>
  </si>
  <si>
    <t>P1-241987</t>
  </si>
  <si>
    <t>L1-230485</t>
  </si>
  <si>
    <t>P1-241989</t>
  </si>
  <si>
    <t>L1-200494</t>
  </si>
  <si>
    <t>P1-241990</t>
  </si>
  <si>
    <t>L1-230487</t>
  </si>
  <si>
    <t>P1-241991</t>
  </si>
  <si>
    <t>L1-190156</t>
  </si>
  <si>
    <t>P1-241992</t>
  </si>
  <si>
    <t>L1-230489</t>
  </si>
  <si>
    <t>P1-241994</t>
  </si>
  <si>
    <t>L1-200496</t>
  </si>
  <si>
    <t>P1-241995</t>
  </si>
  <si>
    <t>L1-230488</t>
  </si>
  <si>
    <t>P1-241996</t>
  </si>
  <si>
    <t>L1-220231</t>
  </si>
  <si>
    <t>P1-241999</t>
  </si>
  <si>
    <t>L1-240344</t>
  </si>
  <si>
    <t>P1-242000</t>
  </si>
  <si>
    <t>L1-230493</t>
  </si>
  <si>
    <t>P1-242001</t>
  </si>
  <si>
    <t>L1-170408</t>
  </si>
  <si>
    <t>P1-242002</t>
  </si>
  <si>
    <t>L1-230491</t>
  </si>
  <si>
    <t>P1-242003</t>
  </si>
  <si>
    <t>L1-230492</t>
  </si>
  <si>
    <t>P1-242004</t>
  </si>
  <si>
    <t>L1-210263</t>
  </si>
  <si>
    <t>P1-242006</t>
  </si>
  <si>
    <t>L1-220232</t>
  </si>
  <si>
    <t>P1-242007</t>
  </si>
  <si>
    <t>L1-240345</t>
  </si>
  <si>
    <t>P1-242009</t>
  </si>
  <si>
    <t>L1-240347</t>
  </si>
  <si>
    <t>P1-242011</t>
  </si>
  <si>
    <t>L1-140249</t>
  </si>
  <si>
    <t>P1-242012</t>
  </si>
  <si>
    <t>L1-200503</t>
  </si>
  <si>
    <t>P1-242013</t>
  </si>
  <si>
    <t>L1-170413</t>
  </si>
  <si>
    <t>P1-242016</t>
  </si>
  <si>
    <t>L1-210265</t>
  </si>
  <si>
    <t>P1-242017</t>
  </si>
  <si>
    <t>L1-170409</t>
  </si>
  <si>
    <t>P1-242018</t>
  </si>
  <si>
    <t>L1-200504</t>
  </si>
  <si>
    <t>P1-242019</t>
  </si>
  <si>
    <t>L1-200505</t>
  </si>
  <si>
    <t>P1-242020</t>
  </si>
  <si>
    <t>L1-200502</t>
  </si>
  <si>
    <t>P1-242021</t>
  </si>
  <si>
    <t>L1-200499</t>
  </si>
  <si>
    <t>P1-242022</t>
  </si>
  <si>
    <t>L1-170412</t>
  </si>
  <si>
    <t>P1-242023</t>
  </si>
  <si>
    <t>L1-240348</t>
  </si>
  <si>
    <t>P1-242024</t>
  </si>
  <si>
    <t>L1-130199</t>
  </si>
  <si>
    <t>P1-242025</t>
  </si>
  <si>
    <t>L1-200506</t>
  </si>
  <si>
    <t>P1-242026</t>
  </si>
  <si>
    <t>L1-100581</t>
  </si>
  <si>
    <t>P1-242027</t>
  </si>
  <si>
    <t>L1-220233</t>
  </si>
  <si>
    <t>P1-242028</t>
  </si>
  <si>
    <t>L1-110271</t>
  </si>
  <si>
    <t>P1-242029</t>
  </si>
  <si>
    <t>L1-200508</t>
  </si>
  <si>
    <t>P1-242030</t>
  </si>
  <si>
    <t>L1-190157</t>
  </si>
  <si>
    <t>P1-242031</t>
  </si>
  <si>
    <t>L1-200507</t>
  </si>
  <si>
    <t>P1-242032</t>
  </si>
  <si>
    <t>L1-230496</t>
  </si>
  <si>
    <t>P1-242033</t>
  </si>
  <si>
    <t>L1-240349</t>
  </si>
  <si>
    <t>P1-242034</t>
  </si>
  <si>
    <t>L1-220237</t>
  </si>
  <si>
    <t>P1-242035</t>
  </si>
  <si>
    <t>L1-150197</t>
  </si>
  <si>
    <t>P1-242036</t>
  </si>
  <si>
    <t>L1-190158</t>
  </si>
  <si>
    <t>P1-242037</t>
  </si>
  <si>
    <t>L1-220234</t>
  </si>
  <si>
    <t>P1-242038</t>
  </si>
  <si>
    <t>L1-110274</t>
  </si>
  <si>
    <t>P1-242039</t>
  </si>
  <si>
    <t>L1-220235</t>
  </si>
  <si>
    <t>P1-242041</t>
  </si>
  <si>
    <t>L1-120240</t>
  </si>
  <si>
    <t>P1-242042</t>
  </si>
  <si>
    <t>L1-230499</t>
  </si>
  <si>
    <t>P1-242044</t>
  </si>
  <si>
    <t>L1-240351</t>
  </si>
  <si>
    <t>P1-242045</t>
  </si>
  <si>
    <t>L1-240352</t>
  </si>
  <si>
    <t>P1-242046</t>
  </si>
  <si>
    <t>L1-230500</t>
  </si>
  <si>
    <t>P1-242047</t>
  </si>
  <si>
    <t>L1-130202</t>
  </si>
  <si>
    <t>P1-242048</t>
  </si>
  <si>
    <t>L1-190159</t>
  </si>
  <si>
    <t>P1-242049</t>
  </si>
  <si>
    <t>L1-220238</t>
  </si>
  <si>
    <t>P1-242050</t>
  </si>
  <si>
    <t>L1-190160</t>
  </si>
  <si>
    <t>P1-242052</t>
  </si>
  <si>
    <t>L1-170417</t>
  </si>
  <si>
    <t>P1-242053</t>
  </si>
  <si>
    <t>L1-180282</t>
  </si>
  <si>
    <t>P1-242054</t>
  </si>
  <si>
    <t>L1-210266</t>
  </si>
  <si>
    <t>P1-242058</t>
  </si>
  <si>
    <t>L1-230502</t>
  </si>
  <si>
    <t>P1-242060</t>
  </si>
  <si>
    <t>L1-220239</t>
  </si>
  <si>
    <t>P1-242062</t>
  </si>
  <si>
    <t>L1-230501</t>
  </si>
  <si>
    <t>P1-242063</t>
  </si>
  <si>
    <t>L1-240353</t>
  </si>
  <si>
    <t>P1-242067</t>
  </si>
  <si>
    <t>L1-200518</t>
  </si>
  <si>
    <t>P1-242068</t>
  </si>
  <si>
    <t>L1-220241</t>
  </si>
  <si>
    <t>P1-242070</t>
  </si>
  <si>
    <t>L1-230507</t>
  </si>
  <si>
    <t>P1-242072</t>
  </si>
  <si>
    <t>L1-240354</t>
  </si>
  <si>
    <t>P1-242073</t>
  </si>
  <si>
    <t>L1-230510</t>
  </si>
  <si>
    <t>P1-242074</t>
  </si>
  <si>
    <t>L1-230512</t>
  </si>
  <si>
    <t>P1-242076</t>
  </si>
  <si>
    <t>L1-190164</t>
  </si>
  <si>
    <t>P1-242077</t>
  </si>
  <si>
    <t>L1-230508</t>
  </si>
  <si>
    <t>P1-242078</t>
  </si>
  <si>
    <t>L1-110278</t>
  </si>
  <si>
    <t>P1-242080</t>
  </si>
  <si>
    <t>L1-210268</t>
  </si>
  <si>
    <t>P1-242082</t>
  </si>
  <si>
    <t>L1-220245</t>
  </si>
  <si>
    <t>P1-242084</t>
  </si>
  <si>
    <t>L1-170429</t>
  </si>
  <si>
    <t>P1-242085</t>
  </si>
  <si>
    <t>L1-230514</t>
  </si>
  <si>
    <t>P1-242086</t>
  </si>
  <si>
    <t>L1-230513</t>
  </si>
  <si>
    <t>P1-242088</t>
  </si>
  <si>
    <t>L1-160245</t>
  </si>
  <si>
    <t>P1-242089</t>
  </si>
  <si>
    <t>L1-230516</t>
  </si>
  <si>
    <t>P1-242090</t>
  </si>
  <si>
    <t>L1-230515</t>
  </si>
  <si>
    <t>P1-242091</t>
  </si>
  <si>
    <t>L1-190165</t>
  </si>
  <si>
    <t>P1-242092</t>
  </si>
  <si>
    <t>L1-240356</t>
  </si>
  <si>
    <t>P1-242095</t>
  </si>
  <si>
    <t>L1-210272</t>
  </si>
  <si>
    <t>P1-242097</t>
  </si>
  <si>
    <t>L1-220246</t>
  </si>
  <si>
    <t>P1-242099</t>
  </si>
  <si>
    <t>L1-240357</t>
  </si>
  <si>
    <t>P1-242100</t>
  </si>
  <si>
    <t>L1-240358</t>
  </si>
  <si>
    <t>P1-242101</t>
  </si>
  <si>
    <t>L1-130211</t>
  </si>
  <si>
    <t>P1-242102</t>
  </si>
  <si>
    <t>L1-210276</t>
  </si>
  <si>
    <t>P1-242105</t>
  </si>
  <si>
    <t>L1-150204</t>
  </si>
  <si>
    <t>P1-242108</t>
  </si>
  <si>
    <t>L1-230519</t>
  </si>
  <si>
    <t>P1-242109</t>
  </si>
  <si>
    <t>L1-100610</t>
  </si>
  <si>
    <t>P1-242111</t>
  </si>
  <si>
    <t>L1-170434</t>
  </si>
  <si>
    <t>P1-242112</t>
  </si>
  <si>
    <t>L1-240359</t>
  </si>
  <si>
    <t>P1-242113</t>
  </si>
  <si>
    <t>L1-240360</t>
  </si>
  <si>
    <t>P1-242114</t>
  </si>
  <si>
    <t>L1-240361</t>
  </si>
  <si>
    <t>P1-242115</t>
  </si>
  <si>
    <t>L1-220250</t>
  </si>
  <si>
    <t>P1-242117</t>
  </si>
  <si>
    <t>L1-200525</t>
  </si>
  <si>
    <t>P1-242119</t>
  </si>
  <si>
    <t>L1-100617</t>
  </si>
  <si>
    <t>P1-242120</t>
  </si>
  <si>
    <t>L1-230521</t>
  </si>
  <si>
    <t>P1-242122</t>
  </si>
  <si>
    <t>L1-240363</t>
  </si>
  <si>
    <t>P1-242123</t>
  </si>
  <si>
    <t>L1-240364</t>
  </si>
  <si>
    <t>P1-242126</t>
  </si>
  <si>
    <t>L1-220251</t>
  </si>
  <si>
    <t>P1-242128</t>
  </si>
  <si>
    <t>L1-180287</t>
  </si>
  <si>
    <t>P1-242129</t>
  </si>
  <si>
    <t>L1-130213</t>
  </si>
  <si>
    <t>P1-242130</t>
  </si>
  <si>
    <t>L1-190170</t>
  </si>
  <si>
    <t>P1-242131</t>
  </si>
  <si>
    <t>L1-220253</t>
  </si>
  <si>
    <t>P1-242134</t>
  </si>
  <si>
    <t>L1-140267</t>
  </si>
  <si>
    <t>P1-242135</t>
  </si>
  <si>
    <t>L1-220252</t>
  </si>
  <si>
    <t>P1-242136</t>
  </si>
  <si>
    <t>L1-160250</t>
  </si>
  <si>
    <t>P1-242138</t>
  </si>
  <si>
    <t>L1-240365</t>
  </si>
  <si>
    <t>P1-242139</t>
  </si>
  <si>
    <t>L1-100624</t>
  </si>
  <si>
    <t>P1-242140</t>
  </si>
  <si>
    <t>L1-160253</t>
  </si>
  <si>
    <t>P1-242142</t>
  </si>
  <si>
    <t>L1-100625</t>
  </si>
  <si>
    <t>P1-242143</t>
  </si>
  <si>
    <t>L1-230524</t>
  </si>
  <si>
    <t>P1-242145</t>
  </si>
  <si>
    <t>L1-210279</t>
  </si>
  <si>
    <t>P1-242146</t>
  </si>
  <si>
    <t>L1-230525</t>
  </si>
  <si>
    <t>P1-242147</t>
  </si>
  <si>
    <t>L1-190171</t>
  </si>
  <si>
    <t>P1-242148</t>
  </si>
  <si>
    <t>L1-110291</t>
  </si>
  <si>
    <t>P1-242149</t>
  </si>
  <si>
    <t>L1-240366</t>
  </si>
  <si>
    <t>P1-242150</t>
  </si>
  <si>
    <t>L1-240367</t>
  </si>
  <si>
    <t>P1-242153</t>
  </si>
  <si>
    <t>L1-210280</t>
  </si>
  <si>
    <t>P1-242154</t>
  </si>
  <si>
    <t>L1-200534</t>
  </si>
  <si>
    <t>P1-242155</t>
  </si>
  <si>
    <t>L1-200531</t>
  </si>
  <si>
    <t>P1-242156</t>
  </si>
  <si>
    <t>L1-230526</t>
  </si>
  <si>
    <t>P1-242157</t>
  </si>
  <si>
    <t>L1-170447</t>
  </si>
  <si>
    <t>P1-242158</t>
  </si>
  <si>
    <t>L1-200533</t>
  </si>
  <si>
    <t>P1-242159</t>
  </si>
  <si>
    <t>L1-160256</t>
  </si>
  <si>
    <t>P1-242160</t>
  </si>
  <si>
    <t>L1-230528</t>
  </si>
  <si>
    <t>P1-242161</t>
  </si>
  <si>
    <t>L1-160255</t>
  </si>
  <si>
    <t>P1-242163</t>
  </si>
  <si>
    <t>L1-230529</t>
  </si>
  <si>
    <t>P1-242164</t>
  </si>
  <si>
    <t>L1-240370</t>
  </si>
  <si>
    <t>P1-242165</t>
  </si>
  <si>
    <t>L1-240371</t>
  </si>
  <si>
    <t>P1-242166</t>
  </si>
  <si>
    <t>L1-170450</t>
  </si>
  <si>
    <t>P1-242167</t>
  </si>
  <si>
    <t>L1-220254</t>
  </si>
  <si>
    <t>P1-242171</t>
  </si>
  <si>
    <t>L1-230532</t>
  </si>
  <si>
    <t>P1-242172</t>
  </si>
  <si>
    <t>L1-200537</t>
  </si>
  <si>
    <t>P1-242176</t>
  </si>
  <si>
    <t>L1-240373</t>
  </si>
  <si>
    <t>P1-242177</t>
  </si>
  <si>
    <t>L1-240374</t>
  </si>
  <si>
    <t>P1-242178</t>
  </si>
  <si>
    <t>L1-230536</t>
  </si>
  <si>
    <t>P1-242179</t>
  </si>
  <si>
    <t>L1-120255</t>
  </si>
  <si>
    <t>P1-242180</t>
  </si>
  <si>
    <t>L1-220257</t>
  </si>
  <si>
    <t>P1-242181</t>
  </si>
  <si>
    <t>L1-220256</t>
  </si>
  <si>
    <t>P1-242182</t>
  </si>
  <si>
    <t>L1-230535</t>
  </si>
  <si>
    <t>P1-242183</t>
  </si>
  <si>
    <t>L1-210281</t>
  </si>
  <si>
    <t>P1-242186</t>
  </si>
  <si>
    <t>L1-240376</t>
  </si>
  <si>
    <t>P1-242189</t>
  </si>
  <si>
    <t>L1-220258</t>
  </si>
  <si>
    <t>P1-242190</t>
  </si>
  <si>
    <t>L1-190172</t>
  </si>
  <si>
    <t>P1-242192</t>
  </si>
  <si>
    <t>L1-100640</t>
  </si>
  <si>
    <t>P1-242193</t>
  </si>
  <si>
    <t>L1-170453</t>
  </si>
  <si>
    <t>P1-242194</t>
  </si>
  <si>
    <t>L1-210285</t>
  </si>
  <si>
    <t>P1-242195</t>
  </si>
  <si>
    <t>L1-200540</t>
  </si>
  <si>
    <t>P1-242196</t>
  </si>
  <si>
    <t>L1-210282</t>
  </si>
  <si>
    <t>P1-242197</t>
  </si>
  <si>
    <t>L1-180292</t>
  </si>
  <si>
    <t>P1-242198</t>
  </si>
  <si>
    <t>L1-230539</t>
  </si>
  <si>
    <t>P1-242199</t>
  </si>
  <si>
    <t>L1-200539</t>
  </si>
  <si>
    <t>P1-242201</t>
  </si>
  <si>
    <t>L1-230538</t>
  </si>
  <si>
    <t>P1-242205</t>
  </si>
  <si>
    <t>L1-210286</t>
  </si>
  <si>
    <t>P1-242206</t>
  </si>
  <si>
    <t>L1-230541</t>
  </si>
  <si>
    <t>P1-242207</t>
  </si>
  <si>
    <t>L1-190173</t>
  </si>
  <si>
    <t>P1-242208</t>
  </si>
  <si>
    <t>L1-230542</t>
  </si>
  <si>
    <t>P1-242209</t>
  </si>
  <si>
    <t>L1-230540</t>
  </si>
  <si>
    <t>P1-242210</t>
  </si>
  <si>
    <t>L1-110298</t>
  </si>
  <si>
    <t>P1-242212</t>
  </si>
  <si>
    <t>L1-180295</t>
  </si>
  <si>
    <t>P1-242214</t>
  </si>
  <si>
    <t>L1-170456</t>
  </si>
  <si>
    <t>P1-242215</t>
  </si>
  <si>
    <t>L1-240381</t>
  </si>
  <si>
    <t>P1-242216</t>
  </si>
  <si>
    <t>L1-240382</t>
  </si>
  <si>
    <t>P1-242217</t>
  </si>
  <si>
    <t>L1-200545</t>
  </si>
  <si>
    <t>P1-242218</t>
  </si>
  <si>
    <t>L1-210287</t>
  </si>
  <si>
    <t>P1-242220</t>
  </si>
  <si>
    <t>L1-170460</t>
  </si>
  <si>
    <t>P1-242221</t>
  </si>
  <si>
    <t>L1-190174</t>
  </si>
  <si>
    <t>P1-242222</t>
  </si>
  <si>
    <t>L1-220260</t>
  </si>
  <si>
    <t>P1-242223</t>
  </si>
  <si>
    <t>L1-240383</t>
  </si>
  <si>
    <t>P1-242224</t>
  </si>
  <si>
    <t>L1-230545</t>
  </si>
  <si>
    <t>P1-242226</t>
  </si>
  <si>
    <t>L1-200550</t>
  </si>
  <si>
    <t>P1-242229</t>
  </si>
  <si>
    <t>L1-210288</t>
  </si>
  <si>
    <t>P1-242230</t>
  </si>
  <si>
    <t>L1-190175</t>
  </si>
  <si>
    <t>P1-242232</t>
  </si>
  <si>
    <t>L1-230549</t>
  </si>
  <si>
    <t>P1-242234</t>
  </si>
  <si>
    <t>L1-230550</t>
  </si>
  <si>
    <t>P1-242235</t>
  </si>
  <si>
    <t>L1-230548</t>
  </si>
  <si>
    <t>P1-242237</t>
  </si>
  <si>
    <t>L1-200552</t>
  </si>
  <si>
    <t>P1-242239</t>
  </si>
  <si>
    <t>L1-170463</t>
  </si>
  <si>
    <t>P1-242240</t>
  </si>
  <si>
    <t>L1-180297</t>
  </si>
  <si>
    <t>P1-242242</t>
  </si>
  <si>
    <t>L1-230552</t>
  </si>
  <si>
    <t>P1-242243</t>
  </si>
  <si>
    <t>L1-230547</t>
  </si>
  <si>
    <t>P1-242245</t>
  </si>
  <si>
    <t>L1-240386</t>
  </si>
  <si>
    <t>P1-242246</t>
  </si>
  <si>
    <t>L1-240387</t>
  </si>
  <si>
    <t>P1-242247</t>
  </si>
  <si>
    <t>L1-160267</t>
  </si>
  <si>
    <t>P1-242250</t>
  </si>
  <si>
    <t>L1-180298</t>
  </si>
  <si>
    <t>P1-242251</t>
  </si>
  <si>
    <t>L1-230554</t>
  </si>
  <si>
    <t>P1-242252</t>
  </si>
  <si>
    <t>L1-220266</t>
  </si>
  <si>
    <t>P1-242253</t>
  </si>
  <si>
    <t>L1-220264</t>
  </si>
  <si>
    <t>P1-242254</t>
  </si>
  <si>
    <t>L1-220265</t>
  </si>
  <si>
    <t>P1-242256</t>
  </si>
  <si>
    <t>L1-170464</t>
  </si>
  <si>
    <t>P1-242257</t>
  </si>
  <si>
    <t>L1-140278</t>
  </si>
  <si>
    <t>P1-242260</t>
  </si>
  <si>
    <t>L1-230557</t>
  </si>
  <si>
    <t>P1-242261</t>
  </si>
  <si>
    <t>L1-180300</t>
  </si>
  <si>
    <t>P1-242262</t>
  </si>
  <si>
    <t>L1-190177</t>
  </si>
  <si>
    <t>P1-242264</t>
  </si>
  <si>
    <t>L1-230555</t>
  </si>
  <si>
    <t>P1-242265</t>
  </si>
  <si>
    <t>L1-230558</t>
  </si>
  <si>
    <t>P1-242266</t>
  </si>
  <si>
    <t>L1-170466</t>
  </si>
  <si>
    <t>P1-242267</t>
  </si>
  <si>
    <t>L1-230559</t>
  </si>
  <si>
    <t>P1-242270</t>
  </si>
  <si>
    <t>L1-240389</t>
  </si>
  <si>
    <t>P1-242271</t>
  </si>
  <si>
    <t>L1-240390</t>
  </si>
  <si>
    <t>P1-242272</t>
  </si>
  <si>
    <t>L1-200559</t>
  </si>
  <si>
    <t>P1-242273</t>
  </si>
  <si>
    <t>L1-230562</t>
  </si>
  <si>
    <t>P1-242274</t>
  </si>
  <si>
    <t>L1-220267</t>
  </si>
  <si>
    <t>P1-242276</t>
  </si>
  <si>
    <t>L1-230561</t>
  </si>
  <si>
    <t>P1-242277</t>
  </si>
  <si>
    <t>L1-230563</t>
  </si>
  <si>
    <t>P1-242278</t>
  </si>
  <si>
    <t>L1-110307</t>
  </si>
  <si>
    <t>P1-242280</t>
  </si>
  <si>
    <t>L1-240392</t>
  </si>
  <si>
    <t>P1-242283</t>
  </si>
  <si>
    <t>L1-170476</t>
  </si>
  <si>
    <t>P1-242284</t>
  </si>
  <si>
    <t>L1-190179</t>
  </si>
  <si>
    <t>P1-242286</t>
  </si>
  <si>
    <t>L1-210291</t>
  </si>
  <si>
    <t>P1-242287</t>
  </si>
  <si>
    <t>L1-210292</t>
  </si>
  <si>
    <t>P1-242289</t>
  </si>
  <si>
    <t>L1-200562</t>
  </si>
  <si>
    <t>P1-242290</t>
  </si>
  <si>
    <t>L1-240393</t>
  </si>
  <si>
    <t>P1-242291</t>
  </si>
  <si>
    <t>L1-200564</t>
  </si>
  <si>
    <t>P1-242292</t>
  </si>
  <si>
    <t>L1-230565</t>
  </si>
  <si>
    <t>P1-242294</t>
  </si>
  <si>
    <t>L1-130235</t>
  </si>
  <si>
    <t>P1-242295</t>
  </si>
  <si>
    <t>L1-220270</t>
  </si>
  <si>
    <t>P1-242296</t>
  </si>
  <si>
    <t>L1-180304</t>
  </si>
  <si>
    <t>P1-242297</t>
  </si>
  <si>
    <t>L1-180303</t>
  </si>
  <si>
    <t>P1-242299</t>
  </si>
  <si>
    <t>L1-180305</t>
  </si>
  <si>
    <t>P1-242301</t>
  </si>
  <si>
    <t>L1-190182</t>
  </si>
  <si>
    <t>P1-242302</t>
  </si>
  <si>
    <t>L1-100677</t>
  </si>
  <si>
    <t>P1-242303</t>
  </si>
  <si>
    <t>L1-120270</t>
  </si>
  <si>
    <t>P1-242304</t>
  </si>
  <si>
    <t>L1-180306</t>
  </si>
  <si>
    <t>P1-242305</t>
  </si>
  <si>
    <t>L1-210294</t>
  </si>
  <si>
    <t>P1-242306</t>
  </si>
  <si>
    <t>L1-200566</t>
  </si>
  <si>
    <t>P1-242307</t>
  </si>
  <si>
    <t>L1-130242</t>
  </si>
  <si>
    <t>P1-242308</t>
  </si>
  <si>
    <t>L1-240394</t>
  </si>
  <si>
    <t>P1-242309</t>
  </si>
  <si>
    <t>L1-240395</t>
  </si>
  <si>
    <t>P1-242310</t>
  </si>
  <si>
    <t>L1-230570</t>
  </si>
  <si>
    <t>P1-242311</t>
  </si>
  <si>
    <t>L1-100680</t>
  </si>
  <si>
    <t>P1-242312</t>
  </si>
  <si>
    <t>L1-230569</t>
  </si>
  <si>
    <t>P1-242313</t>
  </si>
  <si>
    <t>L1-230568</t>
  </si>
  <si>
    <t>P1-242314</t>
  </si>
  <si>
    <t>L1-200570</t>
  </si>
  <si>
    <t>P1-242315</t>
  </si>
  <si>
    <t>L1-200568</t>
  </si>
  <si>
    <t>P1-242316</t>
  </si>
  <si>
    <t>L1-200569</t>
  </si>
  <si>
    <t>P1-242317</t>
  </si>
  <si>
    <t>L1-180308</t>
  </si>
  <si>
    <t>P1-242318</t>
  </si>
  <si>
    <t>L1-180310</t>
  </si>
  <si>
    <t>P1-242320</t>
  </si>
  <si>
    <t>L1-240396</t>
  </si>
  <si>
    <t>P1-242321</t>
  </si>
  <si>
    <t>L1-240397</t>
  </si>
  <si>
    <t>P1-242323</t>
  </si>
  <si>
    <t>L1-230571</t>
  </si>
  <si>
    <t>P1-242324</t>
  </si>
  <si>
    <t>L1-200572</t>
  </si>
  <si>
    <t>P1-242326</t>
  </si>
  <si>
    <t>L1-130243</t>
  </si>
  <si>
    <t>P1-242327</t>
  </si>
  <si>
    <t>L1-140289</t>
  </si>
  <si>
    <t>P1-242328</t>
  </si>
  <si>
    <t>L1-240398</t>
  </si>
  <si>
    <t>P1-242329</t>
  </si>
  <si>
    <t>L1-240399</t>
  </si>
  <si>
    <t>P1-242333</t>
  </si>
  <si>
    <t>L1-230573</t>
  </si>
  <si>
    <t>P1-242335</t>
  </si>
  <si>
    <t>L1-200575</t>
  </si>
  <si>
    <t>P1-242336</t>
  </si>
  <si>
    <t>L1-230575</t>
  </si>
  <si>
    <t>P1-242337</t>
  </si>
  <si>
    <t>L1-230572</t>
  </si>
  <si>
    <t>P1-242341</t>
  </si>
  <si>
    <t>L1-200580</t>
  </si>
  <si>
    <t>P1-242342</t>
  </si>
  <si>
    <t>L1-230577</t>
  </si>
  <si>
    <t>P1-242345</t>
  </si>
  <si>
    <t>L1-230579</t>
  </si>
  <si>
    <t>P1-242348</t>
  </si>
  <si>
    <t>L1-210298</t>
  </si>
  <si>
    <t>P1-242349</t>
  </si>
  <si>
    <t>L1-240401</t>
  </si>
  <si>
    <t>P1-242351</t>
  </si>
  <si>
    <t>L1-240403</t>
  </si>
  <si>
    <t>P1-242353</t>
  </si>
  <si>
    <t>L1-230584</t>
  </si>
  <si>
    <t>P1-242354</t>
  </si>
  <si>
    <t>L1-160277</t>
  </si>
  <si>
    <t>P1-242355</t>
  </si>
  <si>
    <t>L1-230582</t>
  </si>
  <si>
    <t>P1-242356</t>
  </si>
  <si>
    <t>L1-230581</t>
  </si>
  <si>
    <t>P1-242357</t>
  </si>
  <si>
    <t>L1-140294</t>
  </si>
  <si>
    <t>P1-242359</t>
  </si>
  <si>
    <t>L1-220275</t>
  </si>
  <si>
    <t>P1-242360</t>
  </si>
  <si>
    <t>L1-190188</t>
  </si>
  <si>
    <t>P1-242362</t>
  </si>
  <si>
    <t>L1-210301</t>
  </si>
  <si>
    <t>P1-242363</t>
  </si>
  <si>
    <t>L1-190189</t>
  </si>
  <si>
    <t>P1-242364</t>
  </si>
  <si>
    <t>L1-170494</t>
  </si>
  <si>
    <t>P1-242367</t>
  </si>
  <si>
    <t>L1-110315</t>
  </si>
  <si>
    <t>P1-242370</t>
  </si>
  <si>
    <t>L1-240406</t>
  </si>
  <si>
    <t>P1-242371</t>
  </si>
  <si>
    <t>L1-240407</t>
  </si>
  <si>
    <t>P1-242373</t>
  </si>
  <si>
    <t>L1-190191</t>
  </si>
  <si>
    <t>P1-242374</t>
  </si>
  <si>
    <t>L1-150239</t>
  </si>
  <si>
    <t>P1-242376</t>
  </si>
  <si>
    <t>L1-210303</t>
  </si>
  <si>
    <t>P1-242377</t>
  </si>
  <si>
    <t>L1-210305</t>
  </si>
  <si>
    <t>P1-242378</t>
  </si>
  <si>
    <t>L1-150240</t>
  </si>
  <si>
    <t>P1-242379</t>
  </si>
  <si>
    <t>L1-200581</t>
  </si>
  <si>
    <t>P1-242380</t>
  </si>
  <si>
    <t>L1-150243</t>
  </si>
  <si>
    <t>P1-242381</t>
  </si>
  <si>
    <t>L1-180316</t>
  </si>
  <si>
    <t>P1-242383</t>
  </si>
  <si>
    <t>L1-210306</t>
  </si>
  <si>
    <t>P1-242384</t>
  </si>
  <si>
    <t>L1-210304</t>
  </si>
  <si>
    <t>P1-242386</t>
  </si>
  <si>
    <t>L1-240409</t>
  </si>
  <si>
    <t>P1-242388</t>
  </si>
  <si>
    <t>L1-210309</t>
  </si>
  <si>
    <t>P1-242389</t>
  </si>
  <si>
    <t>L1-210308</t>
  </si>
  <si>
    <t>P1-242391</t>
  </si>
  <si>
    <t>L1-230586</t>
  </si>
  <si>
    <t>P1-242393</t>
  </si>
  <si>
    <t>L1-240412</t>
  </si>
  <si>
    <t>P1-242394</t>
  </si>
  <si>
    <t>L1-240413</t>
  </si>
  <si>
    <t>P1-242395</t>
  </si>
  <si>
    <t>L1-240414</t>
  </si>
  <si>
    <t>P1-242397</t>
  </si>
  <si>
    <t>L1-180319</t>
  </si>
  <si>
    <t>P1-242398</t>
  </si>
  <si>
    <t>L1-200583</t>
  </si>
  <si>
    <t>P1-242400</t>
  </si>
  <si>
    <t>L1-230588</t>
  </si>
  <si>
    <t>P1-242401</t>
  </si>
  <si>
    <t>L1-230589</t>
  </si>
  <si>
    <t>P1-242402</t>
  </si>
  <si>
    <t>L1-210310</t>
  </si>
  <si>
    <t>P1-242404</t>
  </si>
  <si>
    <t>L1-170503</t>
  </si>
  <si>
    <t>P1-242406</t>
  </si>
  <si>
    <t>L1-200591</t>
  </si>
  <si>
    <t>P1-242407</t>
  </si>
  <si>
    <t>L1-200586</t>
  </si>
  <si>
    <t>P1-242408</t>
  </si>
  <si>
    <t>L1-170505</t>
  </si>
  <si>
    <t>P1-242409</t>
  </si>
  <si>
    <t>L1-160282</t>
  </si>
  <si>
    <t>P1-242411</t>
  </si>
  <si>
    <t>L1-200589</t>
  </si>
  <si>
    <t>P1-242412</t>
  </si>
  <si>
    <t>L1-200584</t>
  </si>
  <si>
    <t>P1-242415</t>
  </si>
  <si>
    <t>L1-200588</t>
  </si>
  <si>
    <t>P1-242416</t>
  </si>
  <si>
    <t>L1-170511</t>
  </si>
  <si>
    <t>P1-242417</t>
  </si>
  <si>
    <t>L1-180320</t>
  </si>
  <si>
    <t>P1-242418</t>
  </si>
  <si>
    <t>L1-200595</t>
  </si>
  <si>
    <t>P1-242419</t>
  </si>
  <si>
    <t>L1-230594</t>
  </si>
  <si>
    <t>P1-242420</t>
  </si>
  <si>
    <t>L1-170507</t>
  </si>
  <si>
    <t>P1-242421</t>
  </si>
  <si>
    <t>L1-170508</t>
  </si>
  <si>
    <t>P1-242422</t>
  </si>
  <si>
    <t>L1-230593</t>
  </si>
  <si>
    <t>P1-242423</t>
  </si>
  <si>
    <t>L1-220279</t>
  </si>
  <si>
    <t>P1-242424</t>
  </si>
  <si>
    <t>L1-230592</t>
  </si>
  <si>
    <t>P1-242426</t>
  </si>
  <si>
    <t>L1-120289</t>
  </si>
  <si>
    <t>P1-242427</t>
  </si>
  <si>
    <t>L1-240417</t>
  </si>
  <si>
    <t>P1-242428</t>
  </si>
  <si>
    <t>L1-240418</t>
  </si>
  <si>
    <t>P1-242429</t>
  </si>
  <si>
    <t>L1-200600</t>
  </si>
  <si>
    <t>P1-242430</t>
  </si>
  <si>
    <t>L1-190193</t>
  </si>
  <si>
    <t>P1-242432</t>
  </si>
  <si>
    <t>L1-220283</t>
  </si>
  <si>
    <t>P1-242434</t>
  </si>
  <si>
    <t>L1-220282</t>
  </si>
  <si>
    <t>P1-242435</t>
  </si>
  <si>
    <t>L1-230599</t>
  </si>
  <si>
    <t>P1-242436</t>
  </si>
  <si>
    <t>L1-170513</t>
  </si>
  <si>
    <t>P1-242437</t>
  </si>
  <si>
    <t>L1-220285</t>
  </si>
  <si>
    <t>P1-242439</t>
  </si>
  <si>
    <t>L1-230596</t>
  </si>
  <si>
    <t>P1-242440</t>
  </si>
  <si>
    <t>L1-130253</t>
  </si>
  <si>
    <t>P1-242441</t>
  </si>
  <si>
    <t>L1-220284</t>
  </si>
  <si>
    <t>P1-242442</t>
  </si>
  <si>
    <t>L1-200608</t>
  </si>
  <si>
    <t>P1-242443</t>
  </si>
  <si>
    <t>L1-230597</t>
  </si>
  <si>
    <t>P1-242444</t>
  </si>
  <si>
    <t>L1-230598</t>
  </si>
  <si>
    <t>P1-242445</t>
  </si>
  <si>
    <t>L1-190195</t>
  </si>
  <si>
    <t>P1-242446</t>
  </si>
  <si>
    <t>L1-200607</t>
  </si>
  <si>
    <t>P1-242451</t>
  </si>
  <si>
    <t>L1-240420</t>
  </si>
  <si>
    <t>P1-242452</t>
  </si>
  <si>
    <t>L1-230600</t>
  </si>
  <si>
    <t>P1-242453</t>
  </si>
  <si>
    <t>L1-100709</t>
  </si>
  <si>
    <t>P1-242454</t>
  </si>
  <si>
    <t>L1-180325</t>
  </si>
  <si>
    <t>P1-242455</t>
  </si>
  <si>
    <t>L1-220286</t>
  </si>
  <si>
    <t>P1-242456</t>
  </si>
  <si>
    <t>L1-200609</t>
  </si>
  <si>
    <t>P1-242457</t>
  </si>
  <si>
    <t>L1-150248</t>
  </si>
  <si>
    <t>P1-242459</t>
  </si>
  <si>
    <t>L1-190197</t>
  </si>
  <si>
    <t>P1-242460</t>
  </si>
  <si>
    <t>L1-240421</t>
  </si>
  <si>
    <t>P1-242461</t>
  </si>
  <si>
    <t>L1-240422</t>
  </si>
  <si>
    <t>P1-242462</t>
  </si>
  <si>
    <t>L1-230604</t>
  </si>
  <si>
    <t>P1-242464</t>
  </si>
  <si>
    <t>L1-170519</t>
  </si>
  <si>
    <t>P1-242465</t>
  </si>
  <si>
    <t>L1-170520</t>
  </si>
  <si>
    <t>P1-242466</t>
  </si>
  <si>
    <t>L1-180327</t>
  </si>
  <si>
    <t>P1-242468</t>
  </si>
  <si>
    <t>L1-230603</t>
  </si>
  <si>
    <t>P1-242469</t>
  </si>
  <si>
    <t>L1-230606</t>
  </si>
  <si>
    <t>P1-242470</t>
  </si>
  <si>
    <t>L1-210317</t>
  </si>
  <si>
    <t>P1-242472</t>
  </si>
  <si>
    <t>L1-230602</t>
  </si>
  <si>
    <t>P1-242473</t>
  </si>
  <si>
    <t>L1-200611</t>
  </si>
  <si>
    <t>P1-242474</t>
  </si>
  <si>
    <t>L1-230607</t>
  </si>
  <si>
    <t>P1-242476</t>
  </si>
  <si>
    <t>L1-140300</t>
  </si>
  <si>
    <t>P1-242479</t>
  </si>
  <si>
    <t>L1-220287</t>
  </si>
  <si>
    <t>P1-242480</t>
  </si>
  <si>
    <t>L1-210319</t>
  </si>
  <si>
    <t>P1-242482</t>
  </si>
  <si>
    <t>L1-200616</t>
  </si>
  <si>
    <t>P1-242483</t>
  </si>
  <si>
    <t>L1-220288</t>
  </si>
  <si>
    <t>P1-242485</t>
  </si>
  <si>
    <t>L1-230608</t>
  </si>
  <si>
    <t>P1-242486</t>
  </si>
  <si>
    <t>L1-190198</t>
  </si>
  <si>
    <t>P1-242488</t>
  </si>
  <si>
    <t>L1-110331</t>
  </si>
  <si>
    <t>P1-242490</t>
  </si>
  <si>
    <t>L1-240425</t>
  </si>
  <si>
    <t>P1-242491</t>
  </si>
  <si>
    <t>L1-240426</t>
  </si>
  <si>
    <t>P1-242492</t>
  </si>
  <si>
    <t>L1-240427</t>
  </si>
  <si>
    <t>P1-242493</t>
  </si>
  <si>
    <t>L1-200619</t>
  </si>
  <si>
    <t>P1-242494</t>
  </si>
  <si>
    <t>L1-230610</t>
  </si>
  <si>
    <t>P1-242498</t>
  </si>
  <si>
    <t>L1-180332</t>
  </si>
  <si>
    <t>P1-242499</t>
  </si>
  <si>
    <t>L1-210322</t>
  </si>
  <si>
    <t>P1-242500</t>
  </si>
  <si>
    <t>L1-240428</t>
  </si>
  <si>
    <t>P1-242501</t>
  </si>
  <si>
    <t>L1-240429</t>
  </si>
  <si>
    <t>P1-242502</t>
  </si>
  <si>
    <t>L1-240430</t>
  </si>
  <si>
    <t>P1-242503</t>
  </si>
  <si>
    <t>L1-240431</t>
  </si>
  <si>
    <t>P1-242504</t>
  </si>
  <si>
    <t>L1-120299</t>
  </si>
  <si>
    <t>P1-242505</t>
  </si>
  <si>
    <t>L1-160292</t>
  </si>
  <si>
    <t>P1-242506</t>
  </si>
  <si>
    <t>L1-170529</t>
  </si>
  <si>
    <t>P1-242507</t>
  </si>
  <si>
    <t>L1-120297</t>
  </si>
  <si>
    <t>P1-242508</t>
  </si>
  <si>
    <t>L1-200622</t>
  </si>
  <si>
    <t>P1-242511</t>
  </si>
  <si>
    <t>L1-230611</t>
  </si>
  <si>
    <t>P1-242512</t>
  </si>
  <si>
    <t>L1-200621</t>
  </si>
  <si>
    <t>P1-242514</t>
  </si>
  <si>
    <t>L1-200623</t>
  </si>
  <si>
    <t>P1-242515</t>
  </si>
  <si>
    <t>L1-240432</t>
  </si>
  <si>
    <t>P1-242516</t>
  </si>
  <si>
    <t>L1-240433</t>
  </si>
  <si>
    <t>P1-242517</t>
  </si>
  <si>
    <t>L1-220290</t>
  </si>
  <si>
    <t>P1-242518</t>
  </si>
  <si>
    <t>L1-210325</t>
  </si>
  <si>
    <t>P1-242520</t>
  </si>
  <si>
    <t>L1-230613</t>
  </si>
  <si>
    <t>P1-242521</t>
  </si>
  <si>
    <t>L1-200627</t>
  </si>
  <si>
    <t>P1-242523</t>
  </si>
  <si>
    <t>L1-220291</t>
  </si>
  <si>
    <t>P1-242524</t>
  </si>
  <si>
    <t>L1-210326</t>
  </si>
  <si>
    <t>P1-242526</t>
  </si>
  <si>
    <t>L1-240435</t>
  </si>
  <si>
    <t>P1-242527</t>
  </si>
  <si>
    <t>L1-240436</t>
  </si>
  <si>
    <t>P1-242528</t>
  </si>
  <si>
    <t>L1-200629</t>
  </si>
  <si>
    <t>P1-242529</t>
  </si>
  <si>
    <t>L1-220294</t>
  </si>
  <si>
    <t>P1-242530</t>
  </si>
  <si>
    <t>L1-230614</t>
  </si>
  <si>
    <t>P1-242531</t>
  </si>
  <si>
    <t>L1-150260</t>
  </si>
  <si>
    <t>P1-242533</t>
  </si>
  <si>
    <t>L1-190201</t>
  </si>
  <si>
    <t>P1-242534</t>
  </si>
  <si>
    <t>L1-230615</t>
  </si>
  <si>
    <t>P1-242535</t>
  </si>
  <si>
    <t>L1-210330</t>
  </si>
  <si>
    <t>P1-242536</t>
  </si>
  <si>
    <t>L1-210329</t>
  </si>
  <si>
    <t>P1-242537</t>
  </si>
  <si>
    <t>L1-220293</t>
  </si>
  <si>
    <t>P1-242539</t>
  </si>
  <si>
    <t>L1-240437</t>
  </si>
  <si>
    <t>P1-242540</t>
  </si>
  <si>
    <t>L1-240438</t>
  </si>
  <si>
    <t>P1-242542</t>
  </si>
  <si>
    <t>L1-190202</t>
  </si>
  <si>
    <t>P1-242543</t>
  </si>
  <si>
    <t>L1-210334</t>
  </si>
  <si>
    <t>P1-242544</t>
  </si>
  <si>
    <t>L1-210331</t>
  </si>
  <si>
    <t>P1-242545</t>
  </si>
  <si>
    <t>L1-230616</t>
  </si>
  <si>
    <t>P1-242547</t>
  </si>
  <si>
    <t>L1-220295</t>
  </si>
  <si>
    <t>P1-242551</t>
  </si>
  <si>
    <t>L1-170539</t>
  </si>
  <si>
    <t>P1-242554</t>
  </si>
  <si>
    <t>L1-230622</t>
  </si>
  <si>
    <t>P1-242555</t>
  </si>
  <si>
    <t>L1-220300</t>
  </si>
  <si>
    <t>P1-242557</t>
  </si>
  <si>
    <t>L1-130259</t>
  </si>
  <si>
    <t>P1-242559</t>
  </si>
  <si>
    <t>L1-120306</t>
  </si>
  <si>
    <t>P1-242560</t>
  </si>
  <si>
    <t>L1-210335</t>
  </si>
  <si>
    <t>P1-242563</t>
  </si>
  <si>
    <t>L1-230620</t>
  </si>
  <si>
    <t>P1-242565</t>
  </si>
  <si>
    <t>L1-230618</t>
  </si>
  <si>
    <t>P1-242566</t>
  </si>
  <si>
    <t>L1-220299</t>
  </si>
  <si>
    <t>P1-242567</t>
  </si>
  <si>
    <t>L1-140307</t>
  </si>
  <si>
    <t>P1-242568</t>
  </si>
  <si>
    <t>L1-230619</t>
  </si>
  <si>
    <t>P1-242569</t>
  </si>
  <si>
    <t>L1-240440</t>
  </si>
  <si>
    <t>P1-242570</t>
  </si>
  <si>
    <t>L1-230624</t>
  </si>
  <si>
    <t>P1-242571</t>
  </si>
  <si>
    <t>L1-150265</t>
  </si>
  <si>
    <t>P1-242572</t>
  </si>
  <si>
    <t>L1-210336</t>
  </si>
  <si>
    <t>P1-242573</t>
  </si>
  <si>
    <t>L1-180342</t>
  </si>
  <si>
    <t>P1-242575</t>
  </si>
  <si>
    <t>L1-240441</t>
  </si>
  <si>
    <t>P1-242576</t>
  </si>
  <si>
    <t>L1-240442</t>
  </si>
  <si>
    <t>P1-242577</t>
  </si>
  <si>
    <t>L1-240443</t>
  </si>
  <si>
    <t>P1-242578</t>
  </si>
  <si>
    <t>L1-240444</t>
  </si>
  <si>
    <t>P1-242579</t>
  </si>
  <si>
    <t>L1-230626</t>
  </si>
  <si>
    <t>P1-242580</t>
  </si>
  <si>
    <t>L1-200637</t>
  </si>
  <si>
    <t>P1-242581</t>
  </si>
  <si>
    <t>L1-200638</t>
  </si>
  <si>
    <t>P1-242584</t>
  </si>
  <si>
    <t>L1-240446</t>
  </si>
  <si>
    <t>P1-242585</t>
  </si>
  <si>
    <t>L1-210338</t>
  </si>
  <si>
    <t>P1-242586</t>
  </si>
  <si>
    <t>L1-130262</t>
  </si>
  <si>
    <t>P1-242587</t>
  </si>
  <si>
    <t>L1-200639</t>
  </si>
  <si>
    <t>P1-242588</t>
  </si>
  <si>
    <t>L1-170553</t>
  </si>
  <si>
    <t>P1-242589</t>
  </si>
  <si>
    <t>L1-210337</t>
  </si>
  <si>
    <t>P1-242590</t>
  </si>
  <si>
    <t>L1-170555</t>
  </si>
  <si>
    <t>P1-242591</t>
  </si>
  <si>
    <t>L1-190204</t>
  </si>
  <si>
    <t>P1-242592</t>
  </si>
  <si>
    <t>L1-240447</t>
  </si>
  <si>
    <t>P1-242593</t>
  </si>
  <si>
    <t>L1-230629</t>
  </si>
  <si>
    <t>P1-242595</t>
  </si>
  <si>
    <t>L1-190205</t>
  </si>
  <si>
    <t>P1-242597</t>
  </si>
  <si>
    <t>L1-220302</t>
  </si>
  <si>
    <t>P1-242598</t>
  </si>
  <si>
    <t>L1-230630</t>
  </si>
  <si>
    <t>P1-242599</t>
  </si>
  <si>
    <t>L1-200641</t>
  </si>
  <si>
    <t>P1-242600</t>
  </si>
  <si>
    <t>L1-230628</t>
  </si>
  <si>
    <t>P1-242601</t>
  </si>
  <si>
    <t>L1-230631</t>
  </si>
  <si>
    <t>P1-242603</t>
  </si>
  <si>
    <t>L1-240448</t>
  </si>
  <si>
    <t>P1-242604</t>
  </si>
  <si>
    <t>L1-220303</t>
  </si>
  <si>
    <t>P1-242607</t>
  </si>
  <si>
    <t>L1-200646</t>
  </si>
  <si>
    <t>P1-242608</t>
  </si>
  <si>
    <t>L1-170559</t>
  </si>
  <si>
    <t>P1-242609</t>
  </si>
  <si>
    <t>L1-200643</t>
  </si>
  <si>
    <t>P1-242610</t>
  </si>
  <si>
    <t>L1-200645</t>
  </si>
  <si>
    <t>P1-242611</t>
  </si>
  <si>
    <t>L1-230632</t>
  </si>
  <si>
    <t>P1-242612</t>
  </si>
  <si>
    <t>L1-220304</t>
  </si>
  <si>
    <t>P1-242613</t>
  </si>
  <si>
    <t>L1-170562</t>
  </si>
  <si>
    <t>P1-242614</t>
  </si>
  <si>
    <t>L1-220305</t>
  </si>
  <si>
    <t>P1-242615</t>
  </si>
  <si>
    <t>L1-240449</t>
  </si>
  <si>
    <t>P1-242616</t>
  </si>
  <si>
    <t>L1-240450</t>
  </si>
  <si>
    <t>P1-242617</t>
  </si>
  <si>
    <t>L1-130269</t>
  </si>
  <si>
    <t>P1-242618</t>
  </si>
  <si>
    <t>L1-230634</t>
  </si>
  <si>
    <t>P1-242621</t>
  </si>
  <si>
    <t>L1-200651</t>
  </si>
  <si>
    <t>P1-242622</t>
  </si>
  <si>
    <t>L1-220309</t>
  </si>
  <si>
    <t>P1-242623</t>
  </si>
  <si>
    <t>L1-200648</t>
  </si>
  <si>
    <t>P1-242624</t>
  </si>
  <si>
    <t>L1-220308</t>
  </si>
  <si>
    <t>P1-242625</t>
  </si>
  <si>
    <t>L1-200647</t>
  </si>
  <si>
    <t>P1-242626</t>
  </si>
  <si>
    <t>L1-170567</t>
  </si>
  <si>
    <t>P1-242627</t>
  </si>
  <si>
    <t>L1-200650</t>
  </si>
  <si>
    <t>P1-242630</t>
  </si>
  <si>
    <t>L1-220310</t>
  </si>
  <si>
    <t>P1-242631</t>
  </si>
  <si>
    <t>L1-170570</t>
  </si>
  <si>
    <t>P1-242632</t>
  </si>
  <si>
    <t>L1-210346</t>
  </si>
  <si>
    <t>P1-242633</t>
  </si>
  <si>
    <t>L1-230637</t>
  </si>
  <si>
    <t>P1-242634</t>
  </si>
  <si>
    <t>L1-210347</t>
  </si>
  <si>
    <t>P1-242635</t>
  </si>
  <si>
    <t>L1-230635</t>
  </si>
  <si>
    <t>P1-242636</t>
  </si>
  <si>
    <t>L1-170569</t>
  </si>
  <si>
    <t>P1-242638</t>
  </si>
  <si>
    <t>L1-160306</t>
  </si>
  <si>
    <t>P1-242642</t>
  </si>
  <si>
    <t>L1-230636</t>
  </si>
  <si>
    <t>P1-242643</t>
  </si>
  <si>
    <t>L1-190207</t>
  </si>
  <si>
    <t>P1-242644</t>
  </si>
  <si>
    <t>L1-230638</t>
  </si>
  <si>
    <t>P1-242645</t>
  </si>
  <si>
    <t>L1-230639</t>
  </si>
  <si>
    <t>P1-242646</t>
  </si>
  <si>
    <t>L1-190209</t>
  </si>
  <si>
    <t>P1-242647</t>
  </si>
  <si>
    <t>L1-190208</t>
  </si>
  <si>
    <t>P1-242654</t>
  </si>
  <si>
    <t>L1-230643</t>
  </si>
  <si>
    <t>P1-242655</t>
  </si>
  <si>
    <t>L1-240451</t>
  </si>
  <si>
    <t>P1-242656</t>
  </si>
  <si>
    <t>L1-240452</t>
  </si>
  <si>
    <t>P1-242657</t>
  </si>
  <si>
    <t>L1-230645</t>
  </si>
  <si>
    <t>P1-242658</t>
  </si>
  <si>
    <t>L1-230647</t>
  </si>
  <si>
    <t>P1-242659</t>
  </si>
  <si>
    <t>L1-180353</t>
  </si>
  <si>
    <t>P1-242660</t>
  </si>
  <si>
    <t>L1-140317</t>
  </si>
  <si>
    <t>P1-242661</t>
  </si>
  <si>
    <t>L1-190211</t>
  </si>
  <si>
    <t>P1-242662</t>
  </si>
  <si>
    <t>L1-180351</t>
  </si>
  <si>
    <t>P1-242664</t>
  </si>
  <si>
    <t>L1-230648</t>
  </si>
  <si>
    <t>P1-242665</t>
  </si>
  <si>
    <t>L1-190213</t>
  </si>
  <si>
    <t>P1-242666</t>
  </si>
  <si>
    <t>L1-200662</t>
  </si>
  <si>
    <t>P1-242670</t>
  </si>
  <si>
    <t>L1-200663</t>
  </si>
  <si>
    <t>P1-242672</t>
  </si>
  <si>
    <t>L1-170579</t>
  </si>
  <si>
    <t>P1-242673</t>
  </si>
  <si>
    <t>L1-230649</t>
  </si>
  <si>
    <t>P1-242674</t>
  </si>
  <si>
    <t>L1-220317</t>
  </si>
  <si>
    <t>P1-242675</t>
  </si>
  <si>
    <t>L1-230651</t>
  </si>
  <si>
    <t>P1-242676</t>
  </si>
  <si>
    <t>L1-240453</t>
  </si>
  <si>
    <t>P1-242679</t>
  </si>
  <si>
    <t>L1-240456</t>
  </si>
  <si>
    <t>P1-242681</t>
  </si>
  <si>
    <t>L1-230652</t>
  </si>
  <si>
    <t>P1-242682</t>
  </si>
  <si>
    <t>L1-220318</t>
  </si>
  <si>
    <t>P1-242683</t>
  </si>
  <si>
    <t>L1-140320</t>
  </si>
  <si>
    <t>P1-242684</t>
  </si>
  <si>
    <t>L1-210353</t>
  </si>
  <si>
    <t>P1-242685</t>
  </si>
  <si>
    <t>L1-130278</t>
  </si>
  <si>
    <t>P1-242687</t>
  </si>
  <si>
    <t>L1-210352</t>
  </si>
  <si>
    <t>P1-242690</t>
  </si>
  <si>
    <t>L1-240459</t>
  </si>
  <si>
    <t>P1-242691</t>
  </si>
  <si>
    <t>L1-190214</t>
  </si>
  <si>
    <t>P1-242694</t>
  </si>
  <si>
    <t>L1-230654</t>
  </si>
  <si>
    <t>P1-242696</t>
  </si>
  <si>
    <t>L1-230657</t>
  </si>
  <si>
    <t>P1-242697</t>
  </si>
  <si>
    <t>L1-210354</t>
  </si>
  <si>
    <t>P1-242698</t>
  </si>
  <si>
    <t>L1-180364</t>
  </si>
  <si>
    <t>P1-242699</t>
  </si>
  <si>
    <t>L1-200671</t>
  </si>
  <si>
    <t>P1-242700</t>
  </si>
  <si>
    <t>L1-230659</t>
  </si>
  <si>
    <t>P1-242704</t>
  </si>
  <si>
    <t>L1-230661</t>
  </si>
  <si>
    <t>P1-242705</t>
  </si>
  <si>
    <t>L1-210355</t>
  </si>
  <si>
    <t>P1-242706</t>
  </si>
  <si>
    <t>L1-210357</t>
  </si>
  <si>
    <t>P1-242707</t>
  </si>
  <si>
    <t>L1-220321</t>
  </si>
  <si>
    <t>P1-242708</t>
  </si>
  <si>
    <t>L1-230660</t>
  </si>
  <si>
    <t>P1-242709</t>
  </si>
  <si>
    <t>L1-230662</t>
  </si>
  <si>
    <t>P1-242712</t>
  </si>
  <si>
    <t>L1-180366</t>
  </si>
  <si>
    <t>P1-242713</t>
  </si>
  <si>
    <t>L1-170591</t>
  </si>
  <si>
    <t>P1-242715</t>
  </si>
  <si>
    <t>L1-210359</t>
  </si>
  <si>
    <t>P1-242717</t>
  </si>
  <si>
    <t>L1-170593</t>
  </si>
  <si>
    <t>P1-242719</t>
  </si>
  <si>
    <t>L1-210360</t>
  </si>
  <si>
    <t>P1-242720</t>
  </si>
  <si>
    <t>L1-200676</t>
  </si>
  <si>
    <t>P1-242721</t>
  </si>
  <si>
    <t>L1-220322</t>
  </si>
  <si>
    <t>P1-242722</t>
  </si>
  <si>
    <t>L1-240463</t>
  </si>
  <si>
    <t>P1-242723</t>
  </si>
  <si>
    <t>L1-240464</t>
  </si>
  <si>
    <t>P1-242724</t>
  </si>
  <si>
    <t>L1-220325</t>
  </si>
  <si>
    <t>P1-242725</t>
  </si>
  <si>
    <t>L1-130286</t>
  </si>
  <si>
    <t>P1-242728</t>
  </si>
  <si>
    <t>L1-140325</t>
  </si>
  <si>
    <t>P1-242730</t>
  </si>
  <si>
    <t>L1-220324</t>
  </si>
  <si>
    <t>P1-242732</t>
  </si>
  <si>
    <t>L1-210362</t>
  </si>
  <si>
    <t>P1-242734</t>
  </si>
  <si>
    <t>L1-240465</t>
  </si>
  <si>
    <t>P1-242735</t>
  </si>
  <si>
    <t>L1-220327</t>
  </si>
  <si>
    <t>P1-242738</t>
  </si>
  <si>
    <t>L1-230664</t>
  </si>
  <si>
    <t>P1-242739</t>
  </si>
  <si>
    <t>L1-150284</t>
  </si>
  <si>
    <t>P1-242740</t>
  </si>
  <si>
    <t>L1-220326</t>
  </si>
  <si>
    <t>P1-242741</t>
  </si>
  <si>
    <t>L1-170597</t>
  </si>
  <si>
    <t>P1-242742</t>
  </si>
  <si>
    <t>L1-190221</t>
  </si>
  <si>
    <t>P1-242744</t>
  </si>
  <si>
    <t>L1-130292</t>
  </si>
  <si>
    <t>P1-242747</t>
  </si>
  <si>
    <t>L1-210364</t>
  </si>
  <si>
    <t>P1-242748</t>
  </si>
  <si>
    <t>L1-230666</t>
  </si>
  <si>
    <t>P1-242750</t>
  </si>
  <si>
    <t>L1-240468</t>
  </si>
  <si>
    <t>P1-242751</t>
  </si>
  <si>
    <t>L1-200687</t>
  </si>
  <si>
    <t>P1-242753</t>
  </si>
  <si>
    <t>L1-170600</t>
  </si>
  <si>
    <t>P1-242754</t>
  </si>
  <si>
    <t>L1-220330</t>
  </si>
  <si>
    <t>P1-242756</t>
  </si>
  <si>
    <t>L1-100799</t>
  </si>
  <si>
    <t>P1-242759</t>
  </si>
  <si>
    <t>L1-200686</t>
  </si>
  <si>
    <t>P1-242760</t>
  </si>
  <si>
    <t>L1-100796</t>
  </si>
  <si>
    <t>P1-242764</t>
  </si>
  <si>
    <t>L1-180370</t>
  </si>
  <si>
    <t>P1-242765</t>
  </si>
  <si>
    <t>L1-200685</t>
  </si>
  <si>
    <t>P1-242767</t>
  </si>
  <si>
    <t>L1-220329</t>
  </si>
  <si>
    <t>P1-242768</t>
  </si>
  <si>
    <t>L1-230670</t>
  </si>
  <si>
    <t>P1-242769</t>
  </si>
  <si>
    <t>L1-240469</t>
  </si>
  <si>
    <t>P1-242770</t>
  </si>
  <si>
    <t>L1-240470</t>
  </si>
  <si>
    <t>P1-242771</t>
  </si>
  <si>
    <t>L1-170608</t>
  </si>
  <si>
    <t>P1-242772</t>
  </si>
  <si>
    <t>L1-220331</t>
  </si>
  <si>
    <t>P1-242774</t>
  </si>
  <si>
    <t>L1-100812</t>
  </si>
  <si>
    <t>P1-242775</t>
  </si>
  <si>
    <t>L1-150290</t>
  </si>
  <si>
    <t>P1-242777</t>
  </si>
  <si>
    <t>L1-180371</t>
  </si>
  <si>
    <t>P1-242778</t>
  </si>
  <si>
    <t>L1-200688</t>
  </si>
  <si>
    <t>P1-242779</t>
  </si>
  <si>
    <t>L1-190225</t>
  </si>
  <si>
    <t>P1-242780</t>
  </si>
  <si>
    <t>L1-240471</t>
  </si>
  <si>
    <t>P1-242781</t>
  </si>
  <si>
    <t>L1-220332</t>
  </si>
  <si>
    <t>P1-242783</t>
  </si>
  <si>
    <t>L1-210371</t>
  </si>
  <si>
    <t>P1-242784</t>
  </si>
  <si>
    <t>L1-200691</t>
  </si>
  <si>
    <t>P1-242785</t>
  </si>
  <si>
    <t>L1-230672</t>
  </si>
  <si>
    <t>P1-242786</t>
  </si>
  <si>
    <t>L1-100817</t>
  </si>
  <si>
    <t>P1-242787</t>
  </si>
  <si>
    <t>L1-180374</t>
  </si>
  <si>
    <t>P1-242788</t>
  </si>
  <si>
    <t>L1-240472</t>
  </si>
  <si>
    <t>P1-242789</t>
  </si>
  <si>
    <t>L1-240473</t>
  </si>
  <si>
    <t>P1-242791</t>
  </si>
  <si>
    <t>L1-240475</t>
  </si>
  <si>
    <t>P1-242792</t>
  </si>
  <si>
    <t>L1-200692</t>
  </si>
  <si>
    <t>P1-242793</t>
  </si>
  <si>
    <t>L1-230674</t>
  </si>
  <si>
    <t>P1-242794</t>
  </si>
  <si>
    <t>L1-220333</t>
  </si>
  <si>
    <t>P1-242795</t>
  </si>
  <si>
    <t>L1-200694</t>
  </si>
  <si>
    <t>P1-242796</t>
  </si>
  <si>
    <t>L1-210372</t>
  </si>
  <si>
    <t>P1-242797</t>
  </si>
  <si>
    <t>L1-230676</t>
  </si>
  <si>
    <t>P1-242798</t>
  </si>
  <si>
    <t>L1-100824</t>
  </si>
  <si>
    <t>P1-242799</t>
  </si>
  <si>
    <t>L1-110376</t>
  </si>
  <si>
    <t>P1-242800</t>
  </si>
  <si>
    <t>L1-200696</t>
  </si>
  <si>
    <t>P1-242801</t>
  </si>
  <si>
    <t>L1-190228</t>
  </si>
  <si>
    <t>P1-242802</t>
  </si>
  <si>
    <t>L1-230675</t>
  </si>
  <si>
    <t>P1-242803</t>
  </si>
  <si>
    <t>L1-240476</t>
  </si>
  <si>
    <t>P1-242805</t>
  </si>
  <si>
    <t>L1-180376</t>
  </si>
  <si>
    <t>P1-242806</t>
  </si>
  <si>
    <t>L1-210375</t>
  </si>
  <si>
    <t>P1-242807</t>
  </si>
  <si>
    <t>L1-220334</t>
  </si>
  <si>
    <t>P1-242808</t>
  </si>
  <si>
    <t>L1-230678</t>
  </si>
  <si>
    <t>P1-242810</t>
  </si>
  <si>
    <t>L1-230679</t>
  </si>
  <si>
    <t>P1-242811</t>
  </si>
  <si>
    <t>L1-200700</t>
  </si>
  <si>
    <t>P1-242813</t>
  </si>
  <si>
    <t>L1-200702</t>
  </si>
  <si>
    <t>P1-242814</t>
  </si>
  <si>
    <t>L1-240477</t>
  </si>
  <si>
    <t>P1-242815</t>
  </si>
  <si>
    <t>L1-240478</t>
  </si>
  <si>
    <t>P1-242816</t>
  </si>
  <si>
    <t>L1-210377</t>
  </si>
  <si>
    <t>P1-242817</t>
  </si>
  <si>
    <t>L1-200706</t>
  </si>
  <si>
    <t>P1-242818</t>
  </si>
  <si>
    <t>L1-230680</t>
  </si>
  <si>
    <t>P1-242819</t>
  </si>
  <si>
    <t>L1-140339</t>
  </si>
  <si>
    <t>P1-242821</t>
  </si>
  <si>
    <t>L1-200705</t>
  </si>
  <si>
    <t>P1-242822</t>
  </si>
  <si>
    <t>L1-210376</t>
  </si>
  <si>
    <t>P1-242823</t>
  </si>
  <si>
    <t>L1-230682</t>
  </si>
  <si>
    <t>P1-242824</t>
  </si>
  <si>
    <t>L1-160325</t>
  </si>
  <si>
    <t>P1-242826</t>
  </si>
  <si>
    <t>L1-240480</t>
  </si>
  <si>
    <t>P1-242827</t>
  </si>
  <si>
    <t>L1-230684</t>
  </si>
  <si>
    <t>P1-242829</t>
  </si>
  <si>
    <t>L1-170616</t>
  </si>
  <si>
    <t>P1-242831</t>
  </si>
  <si>
    <t>L1-120341</t>
  </si>
  <si>
    <t>P1-242832</t>
  </si>
  <si>
    <t>L1-110381</t>
  </si>
  <si>
    <t>P1-242835</t>
  </si>
  <si>
    <t>L1-170617</t>
  </si>
  <si>
    <t>P1-242837</t>
  </si>
  <si>
    <t>L1-170619</t>
  </si>
  <si>
    <t>P1-242838</t>
  </si>
  <si>
    <t>L1-140346</t>
  </si>
  <si>
    <t>P1-242840</t>
  </si>
  <si>
    <t>L1-220341</t>
  </si>
  <si>
    <t>P1-242841</t>
  </si>
  <si>
    <t>L1-170621</t>
  </si>
  <si>
    <t>P1-242842</t>
  </si>
  <si>
    <t>L1-230689</t>
  </si>
  <si>
    <t>P1-242844</t>
  </si>
  <si>
    <t>L1-110384</t>
  </si>
  <si>
    <t>P1-242845</t>
  </si>
  <si>
    <t>L1-230687</t>
  </si>
  <si>
    <t>P1-242846</t>
  </si>
  <si>
    <t>L1-220340</t>
  </si>
  <si>
    <t>P1-242847</t>
  </si>
  <si>
    <t>L1-240481</t>
  </si>
  <si>
    <t>P1-242848</t>
  </si>
  <si>
    <t>L1-240482</t>
  </si>
  <si>
    <t>P1-242849</t>
  </si>
  <si>
    <t>L1-220342</t>
  </si>
  <si>
    <t>P1-242850</t>
  </si>
  <si>
    <t>L1-180381</t>
  </si>
  <si>
    <t>P1-242851</t>
  </si>
  <si>
    <t>L1-220343</t>
  </si>
  <si>
    <t>P1-242852</t>
  </si>
  <si>
    <t>L1-140349</t>
  </si>
  <si>
    <t>P1-242854</t>
  </si>
  <si>
    <t>L1-200708</t>
  </si>
  <si>
    <t>P1-242857</t>
  </si>
  <si>
    <t>L1-180379</t>
  </si>
  <si>
    <t>P1-242858</t>
  </si>
  <si>
    <t>L1-190232</t>
  </si>
  <si>
    <t>P1-242859</t>
  </si>
  <si>
    <t>L1-150298</t>
  </si>
  <si>
    <t>P1-242860</t>
  </si>
  <si>
    <t>L1-230690</t>
  </si>
  <si>
    <t>P1-242861</t>
  </si>
  <si>
    <t>L1-240483</t>
  </si>
  <si>
    <t>P1-242862</t>
  </si>
  <si>
    <t>L1-240484</t>
  </si>
  <si>
    <t>P1-242863</t>
  </si>
  <si>
    <t>L1-240485</t>
  </si>
  <si>
    <t>P1-242864</t>
  </si>
  <si>
    <t>L1-240486</t>
  </si>
  <si>
    <t>P1-242865</t>
  </si>
  <si>
    <t>L1-240487</t>
  </si>
  <si>
    <t>P1-242869</t>
  </si>
  <si>
    <t>L1-100843</t>
  </si>
  <si>
    <t>P1-242871</t>
  </si>
  <si>
    <t>L1-170627</t>
  </si>
  <si>
    <t>P1-242872</t>
  </si>
  <si>
    <t>L1-140350</t>
  </si>
  <si>
    <t>P1-242874</t>
  </si>
  <si>
    <t>L1-200713</t>
  </si>
  <si>
    <t>P1-242875</t>
  </si>
  <si>
    <t>L1-210385</t>
  </si>
  <si>
    <t>P1-242877</t>
  </si>
  <si>
    <t>L1-230694</t>
  </si>
  <si>
    <t>P1-242878</t>
  </si>
  <si>
    <t>L1-180384</t>
  </si>
  <si>
    <t>P1-242879</t>
  </si>
  <si>
    <t>L1-200712</t>
  </si>
  <si>
    <t>P1-242881</t>
  </si>
  <si>
    <t>L1-240489</t>
  </si>
  <si>
    <t>P1-242882</t>
  </si>
  <si>
    <t>L1-240490</t>
  </si>
  <si>
    <t>P1-242883</t>
  </si>
  <si>
    <t>L1-190233</t>
  </si>
  <si>
    <t>P1-242884</t>
  </si>
  <si>
    <t>L1-210387</t>
  </si>
  <si>
    <t>P1-242889</t>
  </si>
  <si>
    <t>L1-180386</t>
  </si>
  <si>
    <t>P1-242891</t>
  </si>
  <si>
    <t>L1-170633</t>
  </si>
  <si>
    <t>P1-242892</t>
  </si>
  <si>
    <t>L1-230697</t>
  </si>
  <si>
    <t>P1-242893</t>
  </si>
  <si>
    <t>L1-240491</t>
  </si>
  <si>
    <t>P1-242894</t>
  </si>
  <si>
    <t>L1-180387</t>
  </si>
  <si>
    <t>P1-242895</t>
  </si>
  <si>
    <t>L1-200720</t>
  </si>
  <si>
    <t>P1-242896</t>
  </si>
  <si>
    <t>L1-220349</t>
  </si>
  <si>
    <t>P1-242897</t>
  </si>
  <si>
    <t>L1-220348</t>
  </si>
  <si>
    <t>P1-242900</t>
  </si>
  <si>
    <t>L1-200718</t>
  </si>
  <si>
    <t>P1-242901</t>
  </si>
  <si>
    <t>L1-200719</t>
  </si>
  <si>
    <t>P1-242902</t>
  </si>
  <si>
    <t>L1-230701</t>
  </si>
  <si>
    <t>P1-242903</t>
  </si>
  <si>
    <t>L1-200721</t>
  </si>
  <si>
    <t>P1-242905</t>
  </si>
  <si>
    <t>L1-240493</t>
  </si>
  <si>
    <t>P1-242906</t>
  </si>
  <si>
    <t>L1-140357</t>
  </si>
  <si>
    <t>P1-242907</t>
  </si>
  <si>
    <t>L1-200722</t>
  </si>
  <si>
    <t>P1-242908</t>
  </si>
  <si>
    <t>L1-230703</t>
  </si>
  <si>
    <t>P1-242909</t>
  </si>
  <si>
    <t>L1-230702</t>
  </si>
  <si>
    <t>P1-242910</t>
  </si>
  <si>
    <t>L1-200723</t>
  </si>
  <si>
    <t>P1-242911</t>
  </si>
  <si>
    <t>L1-210389</t>
  </si>
  <si>
    <t>P1-242912</t>
  </si>
  <si>
    <t>L1-180389</t>
  </si>
  <si>
    <t>P1-242913</t>
  </si>
  <si>
    <t>L1-180388</t>
  </si>
  <si>
    <t>P1-242915</t>
  </si>
  <si>
    <t>L1-240494</t>
  </si>
  <si>
    <t>P1-242916</t>
  </si>
  <si>
    <t>L1-180390</t>
  </si>
  <si>
    <t>P1-242917</t>
  </si>
  <si>
    <t>L1-170639</t>
  </si>
  <si>
    <t>P1-242918</t>
  </si>
  <si>
    <t>L1-230704</t>
  </si>
  <si>
    <t>P1-242919</t>
  </si>
  <si>
    <t>L1-140359</t>
  </si>
  <si>
    <t>P1-242920</t>
  </si>
  <si>
    <t>L1-230706</t>
  </si>
  <si>
    <t>P1-242922</t>
  </si>
  <si>
    <t>L1-170638</t>
  </si>
  <si>
    <t>P1-242923</t>
  </si>
  <si>
    <t>L1-200726</t>
  </si>
  <si>
    <t>P1-242924</t>
  </si>
  <si>
    <t>L1-180391</t>
  </si>
  <si>
    <t>P1-242925</t>
  </si>
  <si>
    <t>L1-200728</t>
  </si>
  <si>
    <t>P1-242926</t>
  </si>
  <si>
    <t>L1-170641</t>
  </si>
  <si>
    <t>P1-242927</t>
  </si>
  <si>
    <t>L1-240495</t>
  </si>
  <si>
    <t>P1-242928</t>
  </si>
  <si>
    <t>L1-160337</t>
  </si>
  <si>
    <t>P1-242929</t>
  </si>
  <si>
    <t>L1-230707</t>
  </si>
  <si>
    <t>P1-242930</t>
  </si>
  <si>
    <t>L1-180394</t>
  </si>
  <si>
    <t>P1-242931</t>
  </si>
  <si>
    <t>L1-170645</t>
  </si>
  <si>
    <t>P1-242933</t>
  </si>
  <si>
    <t>L1-230710</t>
  </si>
  <si>
    <t>P1-242934</t>
  </si>
  <si>
    <t>L1-230708</t>
  </si>
  <si>
    <t>P1-242935</t>
  </si>
  <si>
    <t>L1-160338</t>
  </si>
  <si>
    <t>P1-242937</t>
  </si>
  <si>
    <t>L1-230712</t>
  </si>
  <si>
    <t>P1-242938</t>
  </si>
  <si>
    <t>L1-230711</t>
  </si>
  <si>
    <t>P1-242940</t>
  </si>
  <si>
    <t>L1-180396</t>
  </si>
  <si>
    <t>P1-242942</t>
  </si>
  <si>
    <t>L1-100868</t>
  </si>
  <si>
    <t>P1-242943</t>
  </si>
  <si>
    <t>L1-210392</t>
  </si>
  <si>
    <t>P1-242944</t>
  </si>
  <si>
    <t>L1-210393</t>
  </si>
  <si>
    <t>P1-242946</t>
  </si>
  <si>
    <t>L1-240496</t>
  </si>
  <si>
    <t>P1-242947</t>
  </si>
  <si>
    <t>L1-240497</t>
  </si>
  <si>
    <t>P1-242948</t>
  </si>
  <si>
    <t>L1-240498</t>
  </si>
  <si>
    <t>P1-242950</t>
  </si>
  <si>
    <t>L1-220352</t>
  </si>
  <si>
    <t>P1-242954</t>
  </si>
  <si>
    <t>L1-220353</t>
  </si>
  <si>
    <t>P1-242955</t>
  </si>
  <si>
    <t>L1-170648</t>
  </si>
  <si>
    <t>P1-242956</t>
  </si>
  <si>
    <t>L1-200737</t>
  </si>
  <si>
    <t>P1-242960</t>
  </si>
  <si>
    <t>L1-230716</t>
  </si>
  <si>
    <t>P1-242961</t>
  </si>
  <si>
    <t>L1-150306</t>
  </si>
  <si>
    <t>P1-242962</t>
  </si>
  <si>
    <t>L1-220354</t>
  </si>
  <si>
    <t>P1-242963</t>
  </si>
  <si>
    <t>L1-220355</t>
  </si>
  <si>
    <t>P1-242964</t>
  </si>
  <si>
    <t>L1-100875</t>
  </si>
  <si>
    <t>P1-242965</t>
  </si>
  <si>
    <t>L1-230717</t>
  </si>
  <si>
    <t>P1-242966</t>
  </si>
  <si>
    <t>L1-220356</t>
  </si>
  <si>
    <t>P1-242967</t>
  </si>
  <si>
    <t>L1-230718</t>
  </si>
  <si>
    <t>P1-242969</t>
  </si>
  <si>
    <t>L1-200739</t>
  </si>
  <si>
    <t>P1-242971</t>
  </si>
  <si>
    <t>L1-230719</t>
  </si>
  <si>
    <t>P1-242972</t>
  </si>
  <si>
    <t>L1-180401</t>
  </si>
  <si>
    <t>P1-242973</t>
  </si>
  <si>
    <t>L1-230720</t>
  </si>
  <si>
    <t>P1-242974</t>
  </si>
  <si>
    <t>L1-210396</t>
  </si>
  <si>
    <t>P1-242976</t>
  </si>
  <si>
    <t>L1-130317</t>
  </si>
  <si>
    <t>P1-242977</t>
  </si>
  <si>
    <t>L1-230721</t>
  </si>
  <si>
    <t>P1-242978</t>
  </si>
  <si>
    <t>L1-200741</t>
  </si>
  <si>
    <t>P1-242979</t>
  </si>
  <si>
    <t>L1-200742</t>
  </si>
  <si>
    <t>P1-242980</t>
  </si>
  <si>
    <t>L1-230722</t>
  </si>
  <si>
    <t>P1-242981</t>
  </si>
  <si>
    <t>L1-240502</t>
  </si>
  <si>
    <t>P1-242983</t>
  </si>
  <si>
    <t>L1-230726</t>
  </si>
  <si>
    <t>P1-242984</t>
  </si>
  <si>
    <t>L1-230729</t>
  </si>
  <si>
    <t>P1-242985</t>
  </si>
  <si>
    <t>L1-230727</t>
  </si>
  <si>
    <t>P1-242987</t>
  </si>
  <si>
    <t>L1-170650</t>
  </si>
  <si>
    <t>P1-242988</t>
  </si>
  <si>
    <t>L1-200744</t>
  </si>
  <si>
    <t>P1-242989</t>
  </si>
  <si>
    <t>L1-190236</t>
  </si>
  <si>
    <t>P1-242992</t>
  </si>
  <si>
    <t>L1-240503</t>
  </si>
  <si>
    <t>P1-242993</t>
  </si>
  <si>
    <t>L1-230732</t>
  </si>
  <si>
    <t>P1-242994</t>
  </si>
  <si>
    <t>L1-210398</t>
  </si>
  <si>
    <t>P1-242995</t>
  </si>
  <si>
    <t>L1-200745</t>
  </si>
  <si>
    <t>P1-242996</t>
  </si>
  <si>
    <t>L1-230730</t>
  </si>
  <si>
    <t>P1-242997</t>
  </si>
  <si>
    <t>L1-220357</t>
  </si>
  <si>
    <t>P1-243000</t>
  </si>
  <si>
    <t>L1-110402</t>
  </si>
  <si>
    <t>P1-243002</t>
  </si>
  <si>
    <t>L1-140368</t>
  </si>
  <si>
    <t>P1-243004</t>
  </si>
  <si>
    <t>L1-240505</t>
  </si>
  <si>
    <t>P1-243005</t>
  </si>
  <si>
    <t>L1-210400</t>
  </si>
  <si>
    <t>P1-243006</t>
  </si>
  <si>
    <t>L1-230734</t>
  </si>
  <si>
    <t>P1-243007</t>
  </si>
  <si>
    <t>L1-160351</t>
  </si>
  <si>
    <t>P1-243008</t>
  </si>
  <si>
    <t>L1-230737</t>
  </si>
  <si>
    <t>P1-243010</t>
  </si>
  <si>
    <t>L1-150309</t>
  </si>
  <si>
    <t>P1-243014</t>
  </si>
  <si>
    <t>L1-170657</t>
  </si>
  <si>
    <t>P1-243015</t>
  </si>
  <si>
    <t>L1-230736</t>
  </si>
  <si>
    <t>P1-243016</t>
  </si>
  <si>
    <t>L1-210399</t>
  </si>
  <si>
    <t>P1-243017</t>
  </si>
  <si>
    <t>L1-240506</t>
  </si>
  <si>
    <t>P1-243018</t>
  </si>
  <si>
    <t>L1-170663</t>
  </si>
  <si>
    <t>P1-243023</t>
  </si>
  <si>
    <t>L1-230738</t>
  </si>
  <si>
    <t>P1-243024</t>
  </si>
  <si>
    <t>L1-200749</t>
  </si>
  <si>
    <t>P1-243026</t>
  </si>
  <si>
    <t>L1-200752</t>
  </si>
  <si>
    <t>P1-243030</t>
  </si>
  <si>
    <t>L1-200754</t>
  </si>
  <si>
    <t>P1-243031</t>
  </si>
  <si>
    <t>L1-130322</t>
  </si>
  <si>
    <t>P1-243034</t>
  </si>
  <si>
    <t>L1-160355</t>
  </si>
  <si>
    <t>P1-243035</t>
  </si>
  <si>
    <t>L1-220361</t>
  </si>
  <si>
    <t>P1-243036</t>
  </si>
  <si>
    <t>L1-240508</t>
  </si>
  <si>
    <t>P1-243038</t>
  </si>
  <si>
    <t>L1-190241</t>
  </si>
  <si>
    <t>P1-243039</t>
  </si>
  <si>
    <t>L1-140371</t>
  </si>
  <si>
    <t>P1-243041</t>
  </si>
  <si>
    <t>L1-170667</t>
  </si>
  <si>
    <t>P1-243043</t>
  </si>
  <si>
    <t>L1-220362</t>
  </si>
  <si>
    <t>P1-243044</t>
  </si>
  <si>
    <t>L1-130325</t>
  </si>
  <si>
    <t>P1-243045</t>
  </si>
  <si>
    <t>L1-100902</t>
  </si>
  <si>
    <t>P1-243046</t>
  </si>
  <si>
    <t>L1-130327</t>
  </si>
  <si>
    <t>P1-243047</t>
  </si>
  <si>
    <t>L1-220364</t>
  </si>
  <si>
    <t>P1-243050</t>
  </si>
  <si>
    <t>L1-230743</t>
  </si>
  <si>
    <t>P1-243051</t>
  </si>
  <si>
    <t>L1-230745</t>
  </si>
  <si>
    <t>P1-243052</t>
  </si>
  <si>
    <t>L1-170669</t>
  </si>
  <si>
    <t>P1-243053</t>
  </si>
  <si>
    <t>L1-160357</t>
  </si>
  <si>
    <t>P1-243054</t>
  </si>
  <si>
    <t>L1-230744</t>
  </si>
  <si>
    <t>P1-243055</t>
  </si>
  <si>
    <t>L1-200758</t>
  </si>
  <si>
    <t>P1-243056</t>
  </si>
  <si>
    <t>L1-170668</t>
  </si>
  <si>
    <t>P1-243058</t>
  </si>
  <si>
    <t>L1-240510</t>
  </si>
  <si>
    <t>P1-243059</t>
  </si>
  <si>
    <t>L1-100908</t>
  </si>
  <si>
    <t>P1-243061</t>
  </si>
  <si>
    <t>L1-170670</t>
  </si>
  <si>
    <t>P1-243065</t>
  </si>
  <si>
    <t>L1-210411</t>
  </si>
  <si>
    <t>P1-243068</t>
  </si>
  <si>
    <t>L1-180416</t>
  </si>
  <si>
    <t>P1-243069</t>
  </si>
  <si>
    <t>L1-220366</t>
  </si>
  <si>
    <t>P1-243072</t>
  </si>
  <si>
    <t>L1-220365</t>
  </si>
  <si>
    <t>P1-243073</t>
  </si>
  <si>
    <t>L1-170672</t>
  </si>
  <si>
    <t>P1-243074</t>
  </si>
  <si>
    <t>L1-230749</t>
  </si>
  <si>
    <t>P2-232444</t>
  </si>
  <si>
    <t>L2-200508</t>
  </si>
  <si>
    <t>P2-232445</t>
  </si>
  <si>
    <t>L2-210269</t>
  </si>
  <si>
    <t>P2-232446</t>
  </si>
  <si>
    <t>L2-170480</t>
  </si>
  <si>
    <t>P2-232448</t>
  </si>
  <si>
    <t>L2-200509</t>
  </si>
  <si>
    <t>P2-232449</t>
  </si>
  <si>
    <t>L2-230423</t>
  </si>
  <si>
    <t>P2-232450</t>
  </si>
  <si>
    <t>L2-230424</t>
  </si>
  <si>
    <t>P2-232451</t>
  </si>
  <si>
    <t>L2-150340</t>
  </si>
  <si>
    <t>P2-232453</t>
  </si>
  <si>
    <t>L2-140284</t>
  </si>
  <si>
    <t>P2-232454</t>
  </si>
  <si>
    <t>L2-200510</t>
  </si>
  <si>
    <t>P2-232456</t>
  </si>
  <si>
    <t>L2-230426</t>
  </si>
  <si>
    <t>P2-232457</t>
  </si>
  <si>
    <t>L2-230427</t>
  </si>
  <si>
    <t>P2-232459</t>
  </si>
  <si>
    <t>L2-210270</t>
  </si>
  <si>
    <t>P2-232460</t>
  </si>
  <si>
    <t>L2-220530</t>
  </si>
  <si>
    <t>P2-232461</t>
  </si>
  <si>
    <t>L2-180493</t>
  </si>
  <si>
    <t>P2-232463</t>
  </si>
  <si>
    <t>L2-180494</t>
  </si>
  <si>
    <t>P2-232464</t>
  </si>
  <si>
    <t>L2-220528</t>
  </si>
  <si>
    <t>P2-232465</t>
  </si>
  <si>
    <t>L2-180495</t>
  </si>
  <si>
    <t>P2-232466</t>
  </si>
  <si>
    <t>L2-140285</t>
  </si>
  <si>
    <t>P2-232468</t>
  </si>
  <si>
    <t>L2-230429</t>
  </si>
  <si>
    <t>P2-232470</t>
  </si>
  <si>
    <t>L2-190390</t>
  </si>
  <si>
    <t>P2-232471</t>
  </si>
  <si>
    <t>L2-180496</t>
  </si>
  <si>
    <t>P2-232472</t>
  </si>
  <si>
    <t>L2-220532</t>
  </si>
  <si>
    <t>P2-232474</t>
  </si>
  <si>
    <t>L2-170485</t>
  </si>
  <si>
    <t>P2-232477</t>
  </si>
  <si>
    <t>L2-170487</t>
  </si>
  <si>
    <t>P2-232478</t>
  </si>
  <si>
    <t>L2-230430</t>
  </si>
  <si>
    <t>P2-232479</t>
  </si>
  <si>
    <t>L2-230431</t>
  </si>
  <si>
    <t>P2-232480</t>
  </si>
  <si>
    <t>L2-170488</t>
  </si>
  <si>
    <t>P2-232481</t>
  </si>
  <si>
    <t>L2-200515</t>
  </si>
  <si>
    <t>P2-232483</t>
  </si>
  <si>
    <t>L2-180499</t>
  </si>
  <si>
    <t>P2-232484</t>
  </si>
  <si>
    <t>L2-220533</t>
  </si>
  <si>
    <t>P2-232485</t>
  </si>
  <si>
    <t>L2-180498</t>
  </si>
  <si>
    <t>P2-232487</t>
  </si>
  <si>
    <t>L2-170489</t>
  </si>
  <si>
    <t>P2-232488</t>
  </si>
  <si>
    <t>L2-220534</t>
  </si>
  <si>
    <t>P2-232489</t>
  </si>
  <si>
    <t>L2-220536</t>
  </si>
  <si>
    <t>P2-232490</t>
  </si>
  <si>
    <t>L2-180500</t>
  </si>
  <si>
    <t>P2-232491</t>
  </si>
  <si>
    <t>L2-170492</t>
  </si>
  <si>
    <t>P2-232492</t>
  </si>
  <si>
    <t>L2-180502</t>
  </si>
  <si>
    <t>P2-232493</t>
  </si>
  <si>
    <t>L2-160659</t>
  </si>
  <si>
    <t>P2-232494</t>
  </si>
  <si>
    <t>L2-130119</t>
  </si>
  <si>
    <t>P2-232496</t>
  </si>
  <si>
    <t>L2-230433</t>
  </si>
  <si>
    <t>P2-232497</t>
  </si>
  <si>
    <t>L2-230434</t>
  </si>
  <si>
    <t>P2-232499</t>
  </si>
  <si>
    <t>L2-220537</t>
  </si>
  <si>
    <t>P2-232501</t>
  </si>
  <si>
    <t>L2-180503</t>
  </si>
  <si>
    <t>P2-232502</t>
  </si>
  <si>
    <t>L2-220538</t>
  </si>
  <si>
    <t>P2-232503</t>
  </si>
  <si>
    <t>L2-150353</t>
  </si>
  <si>
    <t>P2-232504</t>
  </si>
  <si>
    <t>L2-180505</t>
  </si>
  <si>
    <t>P2-232505</t>
  </si>
  <si>
    <t>L2-200521</t>
  </si>
  <si>
    <t>P2-232506</t>
  </si>
  <si>
    <t>L2-190391</t>
  </si>
  <si>
    <t>P2-232507</t>
  </si>
  <si>
    <t>L2-210274</t>
  </si>
  <si>
    <t>P2-232508</t>
  </si>
  <si>
    <t>L2-120198</t>
  </si>
  <si>
    <t>P2-232509</t>
  </si>
  <si>
    <t>L2-180504</t>
  </si>
  <si>
    <t>P2-232511</t>
  </si>
  <si>
    <t>L2-220540</t>
  </si>
  <si>
    <t>P2-232512</t>
  </si>
  <si>
    <t>L2-160662</t>
  </si>
  <si>
    <t>P2-232513</t>
  </si>
  <si>
    <t>L2-220539</t>
  </si>
  <si>
    <t>P2-232514</t>
  </si>
  <si>
    <t>L2-170495</t>
  </si>
  <si>
    <t>P2-232515</t>
  </si>
  <si>
    <t>L2-180506</t>
  </si>
  <si>
    <t>P2-232518</t>
  </si>
  <si>
    <t>L2-230435</t>
  </si>
  <si>
    <t>P2-232519</t>
  </si>
  <si>
    <t>L2-220541</t>
  </si>
  <si>
    <t>P2-232520</t>
  </si>
  <si>
    <t>L2-130121</t>
  </si>
  <si>
    <t>P2-232521</t>
  </si>
  <si>
    <t>L2-130120</t>
  </si>
  <si>
    <t>P2-232522</t>
  </si>
  <si>
    <t>L2-120200</t>
  </si>
  <si>
    <t>P2-232523</t>
  </si>
  <si>
    <t>L2-230436</t>
  </si>
  <si>
    <t>P2-232524</t>
  </si>
  <si>
    <t>L2-230437</t>
  </si>
  <si>
    <t>P2-232525</t>
  </si>
  <si>
    <t>L2-190395</t>
  </si>
  <si>
    <t>P2-232526</t>
  </si>
  <si>
    <t>L2-200523</t>
  </si>
  <si>
    <t>P2-232527</t>
  </si>
  <si>
    <t>L2-190393</t>
  </si>
  <si>
    <t>P2-232528</t>
  </si>
  <si>
    <t>L2-220542</t>
  </si>
  <si>
    <t>P2-232529</t>
  </si>
  <si>
    <t>L2-190394</t>
  </si>
  <si>
    <t>P2-232530</t>
  </si>
  <si>
    <t>L2-180507</t>
  </si>
  <si>
    <t>P2-232534</t>
  </si>
  <si>
    <t>L2-230441</t>
  </si>
  <si>
    <t>P2-232535</t>
  </si>
  <si>
    <t>L2-220544</t>
  </si>
  <si>
    <t>P2-232536</t>
  </si>
  <si>
    <t>L2-200525</t>
  </si>
  <si>
    <t>P2-232537</t>
  </si>
  <si>
    <t>L2-180509</t>
  </si>
  <si>
    <t>P2-232540</t>
  </si>
  <si>
    <t>L2-230442</t>
  </si>
  <si>
    <t>P2-232541</t>
  </si>
  <si>
    <t>L2-170503</t>
  </si>
  <si>
    <t>P2-232542</t>
  </si>
  <si>
    <t>L2-210276</t>
  </si>
  <si>
    <t>P2-232543</t>
  </si>
  <si>
    <t>L2-220546</t>
  </si>
  <si>
    <t>P2-232544</t>
  </si>
  <si>
    <t>L2-200528</t>
  </si>
  <si>
    <t>P2-232545</t>
  </si>
  <si>
    <t>L2-170502</t>
  </si>
  <si>
    <t>P2-232546</t>
  </si>
  <si>
    <t>L2-170501</t>
  </si>
  <si>
    <t>P2-232548</t>
  </si>
  <si>
    <t>L2-210278</t>
  </si>
  <si>
    <t>P2-232549</t>
  </si>
  <si>
    <t>L2-100293</t>
  </si>
  <si>
    <t>P2-232550</t>
  </si>
  <si>
    <t>L2-150363</t>
  </si>
  <si>
    <t>P2-232551</t>
  </si>
  <si>
    <t>L2-140296</t>
  </si>
  <si>
    <t>P2-232553</t>
  </si>
  <si>
    <t>L2-190398</t>
  </si>
  <si>
    <t>P2-232556</t>
  </si>
  <si>
    <t>L2-200531</t>
  </si>
  <si>
    <t>P2-232558</t>
  </si>
  <si>
    <t>L2-200530</t>
  </si>
  <si>
    <t>P2-232560</t>
  </si>
  <si>
    <t>L2-220548</t>
  </si>
  <si>
    <t>P2-232563</t>
  </si>
  <si>
    <t>L2-190401</t>
  </si>
  <si>
    <t>P2-232565</t>
  </si>
  <si>
    <t>L2-200533</t>
  </si>
  <si>
    <t>P2-232568</t>
  </si>
  <si>
    <t>L2-230444</t>
  </si>
  <si>
    <t>P2-232569</t>
  </si>
  <si>
    <t>L2-210282</t>
  </si>
  <si>
    <t>P2-232570</t>
  </si>
  <si>
    <t>L2-220550</t>
  </si>
  <si>
    <t>P2-232571</t>
  </si>
  <si>
    <t>L2-200536</t>
  </si>
  <si>
    <t>P2-232573</t>
  </si>
  <si>
    <t>L2-130124</t>
  </si>
  <si>
    <t>P2-232574</t>
  </si>
  <si>
    <t>L2-140299</t>
  </si>
  <si>
    <t>P2-232575</t>
  </si>
  <si>
    <t>L2-230445</t>
  </si>
  <si>
    <t>P2-232577</t>
  </si>
  <si>
    <t>L2-200537</t>
  </si>
  <si>
    <t>P2-232578</t>
  </si>
  <si>
    <t>L2-220551</t>
  </si>
  <si>
    <t>P2-232579</t>
  </si>
  <si>
    <t>L2-210283</t>
  </si>
  <si>
    <t>P2-232581</t>
  </si>
  <si>
    <t>L2-140300</t>
  </si>
  <si>
    <t>P2-232583</t>
  </si>
  <si>
    <t>L2-230446</t>
  </si>
  <si>
    <t>P2-232585</t>
  </si>
  <si>
    <t>L2-180513</t>
  </si>
  <si>
    <t>P2-232587</t>
  </si>
  <si>
    <t>L2-200540</t>
  </si>
  <si>
    <t>P2-232588</t>
  </si>
  <si>
    <t>L2-190405</t>
  </si>
  <si>
    <t>P2-232589</t>
  </si>
  <si>
    <t>L2-210284</t>
  </si>
  <si>
    <t>P2-232590</t>
  </si>
  <si>
    <t>L2-220555</t>
  </si>
  <si>
    <t>P2-232592</t>
  </si>
  <si>
    <t>L2-230449</t>
  </si>
  <si>
    <t>P2-232593</t>
  </si>
  <si>
    <t>L2-230450</t>
  </si>
  <si>
    <t>P2-232595</t>
  </si>
  <si>
    <t>L2-170510</t>
  </si>
  <si>
    <t>P2-232596</t>
  </si>
  <si>
    <t>L2-220556</t>
  </si>
  <si>
    <t>P2-232598</t>
  </si>
  <si>
    <t>L2-230451</t>
  </si>
  <si>
    <t>P2-232601</t>
  </si>
  <si>
    <t>L2-150367</t>
  </si>
  <si>
    <t>P2-232603</t>
  </si>
  <si>
    <t>L2-220557</t>
  </si>
  <si>
    <t>P2-232604</t>
  </si>
  <si>
    <t>L2-210285</t>
  </si>
  <si>
    <t>P2-232605</t>
  </si>
  <si>
    <t>L2-230452</t>
  </si>
  <si>
    <t>P2-232606</t>
  </si>
  <si>
    <t>L2-230453</t>
  </si>
  <si>
    <t>P2-232608</t>
  </si>
  <si>
    <t>L2-200549</t>
  </si>
  <si>
    <t>P2-232610</t>
  </si>
  <si>
    <t>L2-220559</t>
  </si>
  <si>
    <t>P2-232611</t>
  </si>
  <si>
    <t>L2-200555</t>
  </si>
  <si>
    <t>P2-232613</t>
  </si>
  <si>
    <t>L2-210286</t>
  </si>
  <si>
    <t>P2-232614</t>
  </si>
  <si>
    <t>L2-180517</t>
  </si>
  <si>
    <t>P2-232615</t>
  </si>
  <si>
    <t>L2-170515</t>
  </si>
  <si>
    <t>P2-232616</t>
  </si>
  <si>
    <t>L2-180516</t>
  </si>
  <si>
    <t>P2-232617</t>
  </si>
  <si>
    <t>L2-200554</t>
  </si>
  <si>
    <t>P2-232619</t>
  </si>
  <si>
    <t>L2-180521</t>
  </si>
  <si>
    <t>P2-232620</t>
  </si>
  <si>
    <t>L2-220561</t>
  </si>
  <si>
    <t>P2-232622</t>
  </si>
  <si>
    <t>L2-210287</t>
  </si>
  <si>
    <t>P2-232623</t>
  </si>
  <si>
    <t>L2-120206</t>
  </si>
  <si>
    <t>P2-232626</t>
  </si>
  <si>
    <t>L2-140308</t>
  </si>
  <si>
    <t>P2-232627</t>
  </si>
  <si>
    <t>L2-200557</t>
  </si>
  <si>
    <t>P2-232631</t>
  </si>
  <si>
    <t>L2-220564</t>
  </si>
  <si>
    <t>P2-232632</t>
  </si>
  <si>
    <t>L2-180523</t>
  </si>
  <si>
    <t>P2-232636</t>
  </si>
  <si>
    <t>L2-220566</t>
  </si>
  <si>
    <t>P2-232638</t>
  </si>
  <si>
    <t>L2-190409</t>
  </si>
  <si>
    <t>P2-232640</t>
  </si>
  <si>
    <t>L2-220568</t>
  </si>
  <si>
    <t>P2-232643</t>
  </si>
  <si>
    <t>L2-220572</t>
  </si>
  <si>
    <t>P2-232644</t>
  </si>
  <si>
    <t>L2-200561</t>
  </si>
  <si>
    <t>P2-232648</t>
  </si>
  <si>
    <t>L2-200559</t>
  </si>
  <si>
    <t>P2-232649</t>
  </si>
  <si>
    <t>L2-140312</t>
  </si>
  <si>
    <t>P2-232650</t>
  </si>
  <si>
    <t>L2-210290</t>
  </si>
  <si>
    <t>P2-232651</t>
  </si>
  <si>
    <t>L2-230456</t>
  </si>
  <si>
    <t>P2-232652</t>
  </si>
  <si>
    <t>L2-230457</t>
  </si>
  <si>
    <t>P2-232654</t>
  </si>
  <si>
    <t>L2-180526</t>
  </si>
  <si>
    <t>P2-232655</t>
  </si>
  <si>
    <t>L2-160695</t>
  </si>
  <si>
    <t>P2-232657</t>
  </si>
  <si>
    <t>L2-140315</t>
  </si>
  <si>
    <t>P2-232659</t>
  </si>
  <si>
    <t>L2-220574</t>
  </si>
  <si>
    <t>P2-232660</t>
  </si>
  <si>
    <t>L2-220573</t>
  </si>
  <si>
    <t>P2-232662</t>
  </si>
  <si>
    <t>L2-210292</t>
  </si>
  <si>
    <t>P2-232663</t>
  </si>
  <si>
    <t>L2-160696</t>
  </si>
  <si>
    <t>P2-232665</t>
  </si>
  <si>
    <t>L2-180530</t>
  </si>
  <si>
    <t>P2-232666</t>
  </si>
  <si>
    <t>L2-130128</t>
  </si>
  <si>
    <t>P2-232668</t>
  </si>
  <si>
    <t>L2-220576</t>
  </si>
  <si>
    <t>P2-232669</t>
  </si>
  <si>
    <t>L2-230459</t>
  </si>
  <si>
    <t>P2-232670</t>
  </si>
  <si>
    <t>L2-230460</t>
  </si>
  <si>
    <t>P2-232671</t>
  </si>
  <si>
    <t>L2-210293</t>
  </si>
  <si>
    <t>P2-232672</t>
  </si>
  <si>
    <t>L2-180531</t>
  </si>
  <si>
    <t>P2-232673</t>
  </si>
  <si>
    <t>L2-140317</t>
  </si>
  <si>
    <t>P2-232674</t>
  </si>
  <si>
    <t>L2-220577</t>
  </si>
  <si>
    <t>P2-232676</t>
  </si>
  <si>
    <t>L2-220578</t>
  </si>
  <si>
    <t>P2-232680</t>
  </si>
  <si>
    <t>L2-210294</t>
  </si>
  <si>
    <t>P2-232682</t>
  </si>
  <si>
    <t>L2-120211</t>
  </si>
  <si>
    <t>P2-232683</t>
  </si>
  <si>
    <t>L2-180533</t>
  </si>
  <si>
    <t>P2-232685</t>
  </si>
  <si>
    <t>L2-160703</t>
  </si>
  <si>
    <t>P2-232686</t>
  </si>
  <si>
    <t>L2-190415</t>
  </si>
  <si>
    <t>P2-232687</t>
  </si>
  <si>
    <t>L2-220579</t>
  </si>
  <si>
    <t>P2-232688</t>
  </si>
  <si>
    <t>L2-200568</t>
  </si>
  <si>
    <t>P2-232689</t>
  </si>
  <si>
    <t>L2-230462</t>
  </si>
  <si>
    <t>P2-232690</t>
  </si>
  <si>
    <t>L2-210295</t>
  </si>
  <si>
    <t>P2-232691</t>
  </si>
  <si>
    <t>L2-190417</t>
  </si>
  <si>
    <t>P2-232692</t>
  </si>
  <si>
    <t>L2-220582</t>
  </si>
  <si>
    <t>P2-232694</t>
  </si>
  <si>
    <t>L2-220581</t>
  </si>
  <si>
    <t>P2-232695</t>
  </si>
  <si>
    <t>L2-140319</t>
  </si>
  <si>
    <t>P2-232696</t>
  </si>
  <si>
    <t>L2-110146</t>
  </si>
  <si>
    <t>P2-232699</t>
  </si>
  <si>
    <t>L2-200570</t>
  </si>
  <si>
    <t>P2-232700</t>
  </si>
  <si>
    <t>L2-220583</t>
  </si>
  <si>
    <t>P2-232701</t>
  </si>
  <si>
    <t>L2-220584</t>
  </si>
  <si>
    <t>P2-232702</t>
  </si>
  <si>
    <t>L2-150382</t>
  </si>
  <si>
    <t>P2-232704</t>
  </si>
  <si>
    <t>L2-200572</t>
  </si>
  <si>
    <t>P2-232706</t>
  </si>
  <si>
    <t>L2-230463</t>
  </si>
  <si>
    <t>P2-232707</t>
  </si>
  <si>
    <t>L2-230464</t>
  </si>
  <si>
    <t>P2-232708</t>
  </si>
  <si>
    <t>L2-230465</t>
  </si>
  <si>
    <t>P2-232711</t>
  </si>
  <si>
    <t>L2-220586</t>
  </si>
  <si>
    <t>P2-232712</t>
  </si>
  <si>
    <t>L2-220587</t>
  </si>
  <si>
    <t>P2-232713</t>
  </si>
  <si>
    <t>L2-230467</t>
  </si>
  <si>
    <t>P2-232714</t>
  </si>
  <si>
    <t>L2-230468</t>
  </si>
  <si>
    <t>P2-232715</t>
  </si>
  <si>
    <t>L2-160713</t>
  </si>
  <si>
    <t>P2-232717</t>
  </si>
  <si>
    <t>L2-120215</t>
  </si>
  <si>
    <t>P2-232718</t>
  </si>
  <si>
    <t>L2-180537</t>
  </si>
  <si>
    <t>P2-232719</t>
  </si>
  <si>
    <t>L2-200574</t>
  </si>
  <si>
    <t>P2-232720</t>
  </si>
  <si>
    <t>L2-190422</t>
  </si>
  <si>
    <t>P2-232721</t>
  </si>
  <si>
    <t>L2-200577</t>
  </si>
  <si>
    <t>P2-232723</t>
  </si>
  <si>
    <t>L2-160714</t>
  </si>
  <si>
    <t>P2-232725</t>
  </si>
  <si>
    <t>L2-220588</t>
  </si>
  <si>
    <t>P2-232727</t>
  </si>
  <si>
    <t>L2-210299</t>
  </si>
  <si>
    <t>P2-232728</t>
  </si>
  <si>
    <t>L2-150386</t>
  </si>
  <si>
    <t>P2-232729</t>
  </si>
  <si>
    <t>L2-100312</t>
  </si>
  <si>
    <t>P2-232730</t>
  </si>
  <si>
    <t>L2-190423</t>
  </si>
  <si>
    <t>P2-232731</t>
  </si>
  <si>
    <t>L2-160716</t>
  </si>
  <si>
    <t>P2-232732</t>
  </si>
  <si>
    <t>L2-160717</t>
  </si>
  <si>
    <t>P2-232733</t>
  </si>
  <si>
    <t>L2-230469</t>
  </si>
  <si>
    <t>P2-232735</t>
  </si>
  <si>
    <t>L2-180540</t>
  </si>
  <si>
    <t>P2-232736</t>
  </si>
  <si>
    <t>L2-210303</t>
  </si>
  <si>
    <t>P2-232737</t>
  </si>
  <si>
    <t>L2-210301</t>
  </si>
  <si>
    <t>P2-232738</t>
  </si>
  <si>
    <t>L2-200579</t>
  </si>
  <si>
    <t>P2-232739</t>
  </si>
  <si>
    <t>L2-200580</t>
  </si>
  <si>
    <t>P2-232740</t>
  </si>
  <si>
    <t>L2-210300</t>
  </si>
  <si>
    <t>P2-232741</t>
  </si>
  <si>
    <t>L2-220589</t>
  </si>
  <si>
    <t>P2-232742</t>
  </si>
  <si>
    <t>L2-210302</t>
  </si>
  <si>
    <t>P2-232744</t>
  </si>
  <si>
    <t>L2-230471</t>
  </si>
  <si>
    <t>P2-232745</t>
  </si>
  <si>
    <t>L2-230472</t>
  </si>
  <si>
    <t>P2-232746</t>
  </si>
  <si>
    <t>L2-180542</t>
  </si>
  <si>
    <t>P2-232747</t>
  </si>
  <si>
    <t>L2-200583</t>
  </si>
  <si>
    <t>P2-232750</t>
  </si>
  <si>
    <t>L2-220590</t>
  </si>
  <si>
    <t>P2-232751</t>
  </si>
  <si>
    <t>L2-210305</t>
  </si>
  <si>
    <t>P2-232752</t>
  </si>
  <si>
    <t>L2-210304</t>
  </si>
  <si>
    <t>P2-232753</t>
  </si>
  <si>
    <t>L2-180543</t>
  </si>
  <si>
    <t>P2-232754</t>
  </si>
  <si>
    <t>L2-180541</t>
  </si>
  <si>
    <t>P2-232755</t>
  </si>
  <si>
    <t>L2-190428</t>
  </si>
  <si>
    <t>P2-232757</t>
  </si>
  <si>
    <t>L2-120219</t>
  </si>
  <si>
    <t>P2-232758</t>
  </si>
  <si>
    <t>L2-140328</t>
  </si>
  <si>
    <t>P2-232760</t>
  </si>
  <si>
    <t>L2-210306</t>
  </si>
  <si>
    <t>P2-232761</t>
  </si>
  <si>
    <t>L2-190430</t>
  </si>
  <si>
    <t>P2-232762</t>
  </si>
  <si>
    <t>L2-230474</t>
  </si>
  <si>
    <t>P2-232763</t>
  </si>
  <si>
    <t>L2-230475</t>
  </si>
  <si>
    <t>P2-232764</t>
  </si>
  <si>
    <t>L2-190432</t>
  </si>
  <si>
    <t>P2-232766</t>
  </si>
  <si>
    <t>L2-220593</t>
  </si>
  <si>
    <t>P2-232767</t>
  </si>
  <si>
    <t>L2-200587</t>
  </si>
  <si>
    <t>P2-232768</t>
  </si>
  <si>
    <t>L2-220594</t>
  </si>
  <si>
    <t>P2-232771</t>
  </si>
  <si>
    <t>L2-170536</t>
  </si>
  <si>
    <t>P2-232772</t>
  </si>
  <si>
    <t>L2-170535</t>
  </si>
  <si>
    <t>P2-232774</t>
  </si>
  <si>
    <t>L2-220595</t>
  </si>
  <si>
    <t>P2-232775</t>
  </si>
  <si>
    <t>L2-170538</t>
  </si>
  <si>
    <t>P2-232776</t>
  </si>
  <si>
    <t>L2-160725</t>
  </si>
  <si>
    <t>P2-232777</t>
  </si>
  <si>
    <t>L2-140329</t>
  </si>
  <si>
    <t>P2-232778</t>
  </si>
  <si>
    <t>L2-100315</t>
  </si>
  <si>
    <t>P2-232779</t>
  </si>
  <si>
    <t>L2-160726</t>
  </si>
  <si>
    <t>P2-232780</t>
  </si>
  <si>
    <t>L2-230476</t>
  </si>
  <si>
    <t>P2-232782</t>
  </si>
  <si>
    <t>L2-120224</t>
  </si>
  <si>
    <t>P2-232784</t>
  </si>
  <si>
    <t>L2-170540</t>
  </si>
  <si>
    <t>P2-232785</t>
  </si>
  <si>
    <t>L2-150390</t>
  </si>
  <si>
    <t>P2-232786</t>
  </si>
  <si>
    <t>L2-220596</t>
  </si>
  <si>
    <t>P2-232788</t>
  </si>
  <si>
    <t>L2-160732</t>
  </si>
  <si>
    <t>P2-232789</t>
  </si>
  <si>
    <t>L2-200590</t>
  </si>
  <si>
    <t>P2-232790</t>
  </si>
  <si>
    <t>L2-200589</t>
  </si>
  <si>
    <t>P2-232791</t>
  </si>
  <si>
    <t>L2-220597</t>
  </si>
  <si>
    <t>P2-232792</t>
  </si>
  <si>
    <t>L2-140332</t>
  </si>
  <si>
    <t>P2-232793</t>
  </si>
  <si>
    <t>L2-160735</t>
  </si>
  <si>
    <t>P2-232795</t>
  </si>
  <si>
    <t>L2-170541</t>
  </si>
  <si>
    <t>P2-232796</t>
  </si>
  <si>
    <t>L2-170544</t>
  </si>
  <si>
    <t>P2-232797</t>
  </si>
  <si>
    <t>L2-230477</t>
  </si>
  <si>
    <t>P2-232798</t>
  </si>
  <si>
    <t>L2-220598</t>
  </si>
  <si>
    <t>P2-232800</t>
  </si>
  <si>
    <t>L2-170545</t>
  </si>
  <si>
    <t>P2-232801</t>
  </si>
  <si>
    <t>L2-220599</t>
  </si>
  <si>
    <t>P2-232802</t>
  </si>
  <si>
    <t>L2-120226</t>
  </si>
  <si>
    <t>P2-232803</t>
  </si>
  <si>
    <t>L2-170548</t>
  </si>
  <si>
    <t>P2-232804</t>
  </si>
  <si>
    <t>L2-160737</t>
  </si>
  <si>
    <t>P2-232806</t>
  </si>
  <si>
    <t>L2-230479</t>
  </si>
  <si>
    <t>P2-232809</t>
  </si>
  <si>
    <t>L2-180551</t>
  </si>
  <si>
    <t>P2-232810</t>
  </si>
  <si>
    <t>L2-190439</t>
  </si>
  <si>
    <t>P2-232811</t>
  </si>
  <si>
    <t>L2-230480</t>
  </si>
  <si>
    <t>P2-232812</t>
  </si>
  <si>
    <t>L2-230481</t>
  </si>
  <si>
    <t>P2-232813</t>
  </si>
  <si>
    <t>L2-230482</t>
  </si>
  <si>
    <t>P2-232814</t>
  </si>
  <si>
    <t>L2-160739</t>
  </si>
  <si>
    <t>P2-232815</t>
  </si>
  <si>
    <t>L2-200596</t>
  </si>
  <si>
    <t>P2-232816</t>
  </si>
  <si>
    <t>L2-190440</t>
  </si>
  <si>
    <t>P2-232818</t>
  </si>
  <si>
    <t>L2-220602</t>
  </si>
  <si>
    <t>P2-232819</t>
  </si>
  <si>
    <t>L2-190442</t>
  </si>
  <si>
    <t>P2-232820</t>
  </si>
  <si>
    <t>L2-210314</t>
  </si>
  <si>
    <t>P2-232821</t>
  </si>
  <si>
    <t>L2-170552</t>
  </si>
  <si>
    <t>P2-232822</t>
  </si>
  <si>
    <t>L2-200597</t>
  </si>
  <si>
    <t>P2-232823</t>
  </si>
  <si>
    <t>L2-190443</t>
  </si>
  <si>
    <t>P2-232824</t>
  </si>
  <si>
    <t>L2-180557</t>
  </si>
  <si>
    <t>P2-232825</t>
  </si>
  <si>
    <t>L2-220604</t>
  </si>
  <si>
    <t>P2-232826</t>
  </si>
  <si>
    <t>L2-180559</t>
  </si>
  <si>
    <t>P2-232827</t>
  </si>
  <si>
    <t>L2-150398</t>
  </si>
  <si>
    <t>P2-232828</t>
  </si>
  <si>
    <t>L2-140336</t>
  </si>
  <si>
    <t>P2-232829</t>
  </si>
  <si>
    <t>L2-180558</t>
  </si>
  <si>
    <t>P2-232830</t>
  </si>
  <si>
    <t>L2-210315</t>
  </si>
  <si>
    <t>P2-232832</t>
  </si>
  <si>
    <t>L2-220606</t>
  </si>
  <si>
    <t>P2-232833</t>
  </si>
  <si>
    <t>L2-170556</t>
  </si>
  <si>
    <t>P2-232834</t>
  </si>
  <si>
    <t>L2-170557</t>
  </si>
  <si>
    <t>P2-232835</t>
  </si>
  <si>
    <t>L2-150400</t>
  </si>
  <si>
    <t>P2-232838</t>
  </si>
  <si>
    <t>L2-220605</t>
  </si>
  <si>
    <t>P2-232841</t>
  </si>
  <si>
    <t>L2-150406</t>
  </si>
  <si>
    <t>P2-232842</t>
  </si>
  <si>
    <t>L2-160748</t>
  </si>
  <si>
    <t>P2-232843</t>
  </si>
  <si>
    <t>L2-200601</t>
  </si>
  <si>
    <t>P2-232845</t>
  </si>
  <si>
    <t>L2-180565</t>
  </si>
  <si>
    <t>P2-232846</t>
  </si>
  <si>
    <t>L2-210316</t>
  </si>
  <si>
    <t>P2-232847</t>
  </si>
  <si>
    <t>L2-170558</t>
  </si>
  <si>
    <t>P2-232848</t>
  </si>
  <si>
    <t>L2-220608</t>
  </si>
  <si>
    <t>P2-232850</t>
  </si>
  <si>
    <t>L2-180566</t>
  </si>
  <si>
    <t>P2-232851</t>
  </si>
  <si>
    <t>L2-160750</t>
  </si>
  <si>
    <t>P2-232853</t>
  </si>
  <si>
    <t>L2-220611</t>
  </si>
  <si>
    <t>P2-232855</t>
  </si>
  <si>
    <t>L2-230484</t>
  </si>
  <si>
    <t>P2-232858</t>
  </si>
  <si>
    <t>L2-220615</t>
  </si>
  <si>
    <t>P2-232859</t>
  </si>
  <si>
    <t>L2-140338</t>
  </si>
  <si>
    <t>P2-232860</t>
  </si>
  <si>
    <t>L2-200603</t>
  </si>
  <si>
    <t>P2-232862</t>
  </si>
  <si>
    <t>L2-220616</t>
  </si>
  <si>
    <t>P2-232863</t>
  </si>
  <si>
    <t>L2-170563</t>
  </si>
  <si>
    <t>P2-232866</t>
  </si>
  <si>
    <t>L2-170566</t>
  </si>
  <si>
    <t>P2-232867</t>
  </si>
  <si>
    <t>L2-210320</t>
  </si>
  <si>
    <t>P2-232868</t>
  </si>
  <si>
    <t>L2-190449</t>
  </si>
  <si>
    <t>P2-232869</t>
  </si>
  <si>
    <t>L2-220618</t>
  </si>
  <si>
    <t>P2-232870</t>
  </si>
  <si>
    <t>L2-160752</t>
  </si>
  <si>
    <t>P2-232872</t>
  </si>
  <si>
    <t>L2-170568</t>
  </si>
  <si>
    <t>P2-232874</t>
  </si>
  <si>
    <t>L2-190450</t>
  </si>
  <si>
    <t>P2-232875</t>
  </si>
  <si>
    <t>L2-230487</t>
  </si>
  <si>
    <t>P2-232877</t>
  </si>
  <si>
    <t>L2-160755</t>
  </si>
  <si>
    <t>P2-232879</t>
  </si>
  <si>
    <t>L2-200607</t>
  </si>
  <si>
    <t>P2-232881</t>
  </si>
  <si>
    <t>L2-160756</t>
  </si>
  <si>
    <t>P2-232882</t>
  </si>
  <si>
    <t>L2-200606</t>
  </si>
  <si>
    <t>P2-232883</t>
  </si>
  <si>
    <t>L2-160757</t>
  </si>
  <si>
    <t>P2-232884</t>
  </si>
  <si>
    <t>L2-220621</t>
  </si>
  <si>
    <t>P2-232885</t>
  </si>
  <si>
    <t>L2-220622</t>
  </si>
  <si>
    <t>P2-232888</t>
  </si>
  <si>
    <t>L2-220624</t>
  </si>
  <si>
    <t>P2-232889</t>
  </si>
  <si>
    <t>L2-120238</t>
  </si>
  <si>
    <t>P2-232890</t>
  </si>
  <si>
    <t>L2-190452</t>
  </si>
  <si>
    <t>P2-232891</t>
  </si>
  <si>
    <t>L2-220625</t>
  </si>
  <si>
    <t>P2-232892</t>
  </si>
  <si>
    <t>L2-210321</t>
  </si>
  <si>
    <t>P2-232893</t>
  </si>
  <si>
    <t>L2-230488</t>
  </si>
  <si>
    <t>P2-232894</t>
  </si>
  <si>
    <t>L2-170571</t>
  </si>
  <si>
    <t>P2-232895</t>
  </si>
  <si>
    <t>L2-120239</t>
  </si>
  <si>
    <t>P2-232896</t>
  </si>
  <si>
    <t>L2-100333</t>
  </si>
  <si>
    <t>P2-232897</t>
  </si>
  <si>
    <t>L2-210324</t>
  </si>
  <si>
    <t>P2-232898</t>
  </si>
  <si>
    <t>L2-220626</t>
  </si>
  <si>
    <t>P2-232902</t>
  </si>
  <si>
    <t>L2-160761</t>
  </si>
  <si>
    <t>P2-232903</t>
  </si>
  <si>
    <t>L2-110159</t>
  </si>
  <si>
    <t>P2-232904</t>
  </si>
  <si>
    <t>L2-170574</t>
  </si>
  <si>
    <t>P2-232905</t>
  </si>
  <si>
    <t>L2-200610</t>
  </si>
  <si>
    <t>P2-232906</t>
  </si>
  <si>
    <t>L2-220627</t>
  </si>
  <si>
    <t>P2-232907</t>
  </si>
  <si>
    <t>L2-220628</t>
  </si>
  <si>
    <t>P2-232909</t>
  </si>
  <si>
    <t>L2-210327</t>
  </si>
  <si>
    <t>P2-232910</t>
  </si>
  <si>
    <t>L2-210325</t>
  </si>
  <si>
    <t>P2-232911</t>
  </si>
  <si>
    <t>L2-170573</t>
  </si>
  <si>
    <t>P2-232912</t>
  </si>
  <si>
    <t>L2-230490</t>
  </si>
  <si>
    <t>P2-232913</t>
  </si>
  <si>
    <t>L2-230491</t>
  </si>
  <si>
    <t>P2-232914</t>
  </si>
  <si>
    <t>L2-220630</t>
  </si>
  <si>
    <t>P2-232916</t>
  </si>
  <si>
    <t>L2-150420</t>
  </si>
  <si>
    <t>P2-232917</t>
  </si>
  <si>
    <t>L2-210328</t>
  </si>
  <si>
    <t>P2-232918</t>
  </si>
  <si>
    <t>L2-200615</t>
  </si>
  <si>
    <t>P2-232920</t>
  </si>
  <si>
    <t>L2-170577</t>
  </si>
  <si>
    <t>P2-232921</t>
  </si>
  <si>
    <t>L2-130144</t>
  </si>
  <si>
    <t>P2-232922</t>
  </si>
  <si>
    <t>L2-210332</t>
  </si>
  <si>
    <t>P2-232925</t>
  </si>
  <si>
    <t>L2-210330</t>
  </si>
  <si>
    <t>P2-232926</t>
  </si>
  <si>
    <t>L2-200614</t>
  </si>
  <si>
    <t>P2-232927</t>
  </si>
  <si>
    <t>L2-160767</t>
  </si>
  <si>
    <t>P2-232929</t>
  </si>
  <si>
    <t>L2-190465</t>
  </si>
  <si>
    <t>P2-232930</t>
  </si>
  <si>
    <t>L2-220632</t>
  </si>
  <si>
    <t>P2-232931</t>
  </si>
  <si>
    <t>L2-190461</t>
  </si>
  <si>
    <t>P2-232932</t>
  </si>
  <si>
    <t>L2-190464</t>
  </si>
  <si>
    <t>P2-232933</t>
  </si>
  <si>
    <t>L2-190466</t>
  </si>
  <si>
    <t>P2-232935</t>
  </si>
  <si>
    <t>L2-100340</t>
  </si>
  <si>
    <t>P2-232937</t>
  </si>
  <si>
    <t>L2-180580</t>
  </si>
  <si>
    <t>P2-232938</t>
  </si>
  <si>
    <t>L2-180579</t>
  </si>
  <si>
    <t>P2-232939</t>
  </si>
  <si>
    <t>L2-150425</t>
  </si>
  <si>
    <t>P2-232940</t>
  </si>
  <si>
    <t>L2-200618</t>
  </si>
  <si>
    <t>P2-232942</t>
  </si>
  <si>
    <t>L2-160773</t>
  </si>
  <si>
    <t>P2-232943</t>
  </si>
  <si>
    <t>L2-170582</t>
  </si>
  <si>
    <t>P2-232944</t>
  </si>
  <si>
    <t>L2-200620</t>
  </si>
  <si>
    <t>P2-232945</t>
  </si>
  <si>
    <t>L2-170583</t>
  </si>
  <si>
    <t>P2-232947</t>
  </si>
  <si>
    <t>L2-220635</t>
  </si>
  <si>
    <t>P2-232948</t>
  </si>
  <si>
    <t>L2-220638</t>
  </si>
  <si>
    <t>P2-232949</t>
  </si>
  <si>
    <t>L2-220636</t>
  </si>
  <si>
    <t>P2-232950</t>
  </si>
  <si>
    <t>L2-180583</t>
  </si>
  <si>
    <t>P2-232951</t>
  </si>
  <si>
    <t>L2-210335</t>
  </si>
  <si>
    <t>P2-232952</t>
  </si>
  <si>
    <t>L2-180581</t>
  </si>
  <si>
    <t>P2-232953</t>
  </si>
  <si>
    <t>L2-190469</t>
  </si>
  <si>
    <t>P2-232954</t>
  </si>
  <si>
    <t>L2-160777</t>
  </si>
  <si>
    <t>P2-232955</t>
  </si>
  <si>
    <t>L2-190470</t>
  </si>
  <si>
    <t>P2-232957</t>
  </si>
  <si>
    <t>L2-230493</t>
  </si>
  <si>
    <t>P2-232959</t>
  </si>
  <si>
    <t>L2-170584</t>
  </si>
  <si>
    <t>P2-232960</t>
  </si>
  <si>
    <t>L2-180585</t>
  </si>
  <si>
    <t>P2-232961</t>
  </si>
  <si>
    <t>L2-190471</t>
  </si>
  <si>
    <t>P2-232962</t>
  </si>
  <si>
    <t>L2-210336</t>
  </si>
  <si>
    <t>P2-232963</t>
  </si>
  <si>
    <t>L2-180586</t>
  </si>
  <si>
    <t>P2-232964</t>
  </si>
  <si>
    <t>L2-140347</t>
  </si>
  <si>
    <t>P2-232965</t>
  </si>
  <si>
    <t>L2-230495</t>
  </si>
  <si>
    <t>P2-232967</t>
  </si>
  <si>
    <t>L2-230497</t>
  </si>
  <si>
    <t>P2-232968</t>
  </si>
  <si>
    <t>L2-180587</t>
  </si>
  <si>
    <t>P2-232969</t>
  </si>
  <si>
    <t>L2-220639</t>
  </si>
  <si>
    <t>P2-232970</t>
  </si>
  <si>
    <t>L2-200622</t>
  </si>
  <si>
    <t>P2-232971</t>
  </si>
  <si>
    <t>L2-210337</t>
  </si>
  <si>
    <t>P2-232973</t>
  </si>
  <si>
    <t>L2-190473</t>
  </si>
  <si>
    <t>P2-232974</t>
  </si>
  <si>
    <t>L2-220641</t>
  </si>
  <si>
    <t>P2-232975</t>
  </si>
  <si>
    <t>L2-160780</t>
  </si>
  <si>
    <t>P2-232976</t>
  </si>
  <si>
    <t>L2-220640</t>
  </si>
  <si>
    <t>P2-232979</t>
  </si>
  <si>
    <t>L2-230498</t>
  </si>
  <si>
    <t>P2-232980</t>
  </si>
  <si>
    <t>L2-230499</t>
  </si>
  <si>
    <t>P2-232981</t>
  </si>
  <si>
    <t>L2-160784</t>
  </si>
  <si>
    <t>P2-232983</t>
  </si>
  <si>
    <t>L2-160786</t>
  </si>
  <si>
    <t>P2-232984</t>
  </si>
  <si>
    <t>L2-200625</t>
  </si>
  <si>
    <t>P2-232985</t>
  </si>
  <si>
    <t>L2-200624</t>
  </si>
  <si>
    <t>P2-232986</t>
  </si>
  <si>
    <t>L2-150431</t>
  </si>
  <si>
    <t>P2-232989</t>
  </si>
  <si>
    <t>L2-220643</t>
  </si>
  <si>
    <t>P2-232990</t>
  </si>
  <si>
    <t>L2-200626</t>
  </si>
  <si>
    <t>P2-232991</t>
  </si>
  <si>
    <t>L2-230500</t>
  </si>
  <si>
    <t>P2-232992</t>
  </si>
  <si>
    <t>L2-230501</t>
  </si>
  <si>
    <t>P2-232993</t>
  </si>
  <si>
    <t>L2-230502</t>
  </si>
  <si>
    <t>P2-232995</t>
  </si>
  <si>
    <t>L2-180590</t>
  </si>
  <si>
    <t>P2-232996</t>
  </si>
  <si>
    <t>L2-120247</t>
  </si>
  <si>
    <t>P2-232998</t>
  </si>
  <si>
    <t>L2-210342</t>
  </si>
  <si>
    <t>P2-232999</t>
  </si>
  <si>
    <t>L2-200630</t>
  </si>
  <si>
    <t>P2-233000</t>
  </si>
  <si>
    <t>L2-210341</t>
  </si>
  <si>
    <t>P2-233001</t>
  </si>
  <si>
    <t>L2-220645</t>
  </si>
  <si>
    <t>P2-233002</t>
  </si>
  <si>
    <t>L2-170588</t>
  </si>
  <si>
    <t>P2-233003</t>
  </si>
  <si>
    <t>L2-170589</t>
  </si>
  <si>
    <t>P2-233004</t>
  </si>
  <si>
    <t>L2-200629</t>
  </si>
  <si>
    <t>P2-233005</t>
  </si>
  <si>
    <t>L2-220644</t>
  </si>
  <si>
    <t>P2-233006</t>
  </si>
  <si>
    <t>L2-230504</t>
  </si>
  <si>
    <t>P2-233007</t>
  </si>
  <si>
    <t>L2-170591</t>
  </si>
  <si>
    <t>P2-233009</t>
  </si>
  <si>
    <t>L2-100353</t>
  </si>
  <si>
    <t>P2-233010</t>
  </si>
  <si>
    <t>L2-190481</t>
  </si>
  <si>
    <t>P2-233011</t>
  </si>
  <si>
    <t>L2-140350</t>
  </si>
  <si>
    <t>P2-233015</t>
  </si>
  <si>
    <t>L2-210344</t>
  </si>
  <si>
    <t>P2-233016</t>
  </si>
  <si>
    <t>L2-230505</t>
  </si>
  <si>
    <t>P2-233017</t>
  </si>
  <si>
    <t>L2-210345</t>
  </si>
  <si>
    <t>P2-233020</t>
  </si>
  <si>
    <t>L2-190483</t>
  </si>
  <si>
    <t>P2-233021</t>
  </si>
  <si>
    <t>L2-220648</t>
  </si>
  <si>
    <t>P2-233022</t>
  </si>
  <si>
    <t>L2-220647</t>
  </si>
  <si>
    <t>P2-233023</t>
  </si>
  <si>
    <t>L2-230506</t>
  </si>
  <si>
    <t>P2-233024</t>
  </si>
  <si>
    <t>L2-230507</t>
  </si>
  <si>
    <t>P2-233025</t>
  </si>
  <si>
    <t>L2-140354</t>
  </si>
  <si>
    <t>P2-233027</t>
  </si>
  <si>
    <t>L2-210346</t>
  </si>
  <si>
    <t>P2-233028</t>
  </si>
  <si>
    <t>L2-120251</t>
  </si>
  <si>
    <t>P2-233029</t>
  </si>
  <si>
    <t>L2-190486</t>
  </si>
  <si>
    <t>P2-233030</t>
  </si>
  <si>
    <t>L2-210347</t>
  </si>
  <si>
    <t>P2-233032</t>
  </si>
  <si>
    <t>L2-160790</t>
  </si>
  <si>
    <t>P2-233033</t>
  </si>
  <si>
    <t>L2-100355</t>
  </si>
  <si>
    <t>P2-233034</t>
  </si>
  <si>
    <t>L2-230508</t>
  </si>
  <si>
    <t>P2-233035</t>
  </si>
  <si>
    <t>L2-230509</t>
  </si>
  <si>
    <t>P2-233037</t>
  </si>
  <si>
    <t>L2-230511</t>
  </si>
  <si>
    <t>P2-233038</t>
  </si>
  <si>
    <t>L2-230512</t>
  </si>
  <si>
    <t>P2-233040</t>
  </si>
  <si>
    <t>L2-200633</t>
  </si>
  <si>
    <t>P2-233041</t>
  </si>
  <si>
    <t>L2-210349</t>
  </si>
  <si>
    <t>P2-233044</t>
  </si>
  <si>
    <t>L2-180594</t>
  </si>
  <si>
    <t>P2-233046</t>
  </si>
  <si>
    <t>L2-230513</t>
  </si>
  <si>
    <t>P2-233048</t>
  </si>
  <si>
    <t>L2-200635</t>
  </si>
  <si>
    <t>P2-233052</t>
  </si>
  <si>
    <t>L2-220651</t>
  </si>
  <si>
    <t>P2-233053</t>
  </si>
  <si>
    <t>L2-210351</t>
  </si>
  <si>
    <t>P2-233054</t>
  </si>
  <si>
    <t>L2-220655</t>
  </si>
  <si>
    <t>P2-233056</t>
  </si>
  <si>
    <t>L2-140361</t>
  </si>
  <si>
    <t>P2-233057</t>
  </si>
  <si>
    <t>L2-220653</t>
  </si>
  <si>
    <t>P2-233059</t>
  </si>
  <si>
    <t>L2-220656</t>
  </si>
  <si>
    <t>P2-233060</t>
  </si>
  <si>
    <t>L2-180597</t>
  </si>
  <si>
    <t>P2-233061</t>
  </si>
  <si>
    <t>L2-170597</t>
  </si>
  <si>
    <t>P2-233062</t>
  </si>
  <si>
    <t>L2-150437</t>
  </si>
  <si>
    <t>P2-233063</t>
  </si>
  <si>
    <t>L2-200637</t>
  </si>
  <si>
    <t>P2-233064</t>
  </si>
  <si>
    <t>L2-220657</t>
  </si>
  <si>
    <t>P2-233065</t>
  </si>
  <si>
    <t>L2-180598</t>
  </si>
  <si>
    <t>P2-233066</t>
  </si>
  <si>
    <t>L2-230514</t>
  </si>
  <si>
    <t>P2-233067</t>
  </si>
  <si>
    <t>L2-200638</t>
  </si>
  <si>
    <t>P2-233068</t>
  </si>
  <si>
    <t>L2-180600</t>
  </si>
  <si>
    <t>P2-233071</t>
  </si>
  <si>
    <t>L2-190493</t>
  </si>
  <si>
    <t>P2-233073</t>
  </si>
  <si>
    <t>L2-210354</t>
  </si>
  <si>
    <t>P2-233074</t>
  </si>
  <si>
    <t>L2-150439</t>
  </si>
  <si>
    <t>P2-233075</t>
  </si>
  <si>
    <t>L2-230515</t>
  </si>
  <si>
    <t>P2-233076</t>
  </si>
  <si>
    <t>L2-210355</t>
  </si>
  <si>
    <t>P2-233078</t>
  </si>
  <si>
    <t>L2-140362</t>
  </si>
  <si>
    <t>P2-233080</t>
  </si>
  <si>
    <t>L2-170601</t>
  </si>
  <si>
    <t>P2-233081</t>
  </si>
  <si>
    <t>L2-220662</t>
  </si>
  <si>
    <t>P2-233083</t>
  </si>
  <si>
    <t>L2-230516</t>
  </si>
  <si>
    <t>P2-233085</t>
  </si>
  <si>
    <t>L2-220665</t>
  </si>
  <si>
    <t>P2-233086</t>
  </si>
  <si>
    <t>L2-160806</t>
  </si>
  <si>
    <t>P2-233087</t>
  </si>
  <si>
    <t>L2-220666</t>
  </si>
  <si>
    <t>P2-233088</t>
  </si>
  <si>
    <t>L2-180602</t>
  </si>
  <si>
    <t>P2-233091</t>
  </si>
  <si>
    <t>L2-160809</t>
  </si>
  <si>
    <t>P2-233094</t>
  </si>
  <si>
    <t>L2-230517</t>
  </si>
  <si>
    <t>P2-233097</t>
  </si>
  <si>
    <t>L2-100361</t>
  </si>
  <si>
    <t>P2-233098</t>
  </si>
  <si>
    <t>L2-220667</t>
  </si>
  <si>
    <t>P2-233099</t>
  </si>
  <si>
    <t>L2-210357</t>
  </si>
  <si>
    <t>P2-233102</t>
  </si>
  <si>
    <t>L2-230520</t>
  </si>
  <si>
    <t>P2-233106</t>
  </si>
  <si>
    <t>L2-210361</t>
  </si>
  <si>
    <t>P2-233107</t>
  </si>
  <si>
    <t>L2-160813</t>
  </si>
  <si>
    <t>P2-233108</t>
  </si>
  <si>
    <t>L2-200646</t>
  </si>
  <si>
    <t>P2-233109</t>
  </si>
  <si>
    <t>L2-220669</t>
  </si>
  <si>
    <t>P2-233112</t>
  </si>
  <si>
    <t>L2-230522</t>
  </si>
  <si>
    <t>P2-233113</t>
  </si>
  <si>
    <t>L2-230523</t>
  </si>
  <si>
    <t>P2-233114</t>
  </si>
  <si>
    <t>L2-200650</t>
  </si>
  <si>
    <t>P2-233115</t>
  </si>
  <si>
    <t>L2-150445</t>
  </si>
  <si>
    <t>P2-233117</t>
  </si>
  <si>
    <t>L2-200649</t>
  </si>
  <si>
    <t>P2-233118</t>
  </si>
  <si>
    <t>L2-220670</t>
  </si>
  <si>
    <t>P2-233119</t>
  </si>
  <si>
    <t>L2-180606</t>
  </si>
  <si>
    <t>P2-233120</t>
  </si>
  <si>
    <t>L2-220671</t>
  </si>
  <si>
    <t>P2-233122</t>
  </si>
  <si>
    <t>L2-230525</t>
  </si>
  <si>
    <t>P2-233123</t>
  </si>
  <si>
    <t>L2-130150</t>
  </si>
  <si>
    <t>P2-233124</t>
  </si>
  <si>
    <t>L2-170606</t>
  </si>
  <si>
    <t>P2-233125</t>
  </si>
  <si>
    <t>L2-220673</t>
  </si>
  <si>
    <t>P2-233127</t>
  </si>
  <si>
    <t>L2-210363</t>
  </si>
  <si>
    <t>P2-233128</t>
  </si>
  <si>
    <t>L2-160818</t>
  </si>
  <si>
    <t>P2-233129</t>
  </si>
  <si>
    <t>L2-210365</t>
  </si>
  <si>
    <t>P2-233130</t>
  </si>
  <si>
    <t>L2-170608</t>
  </si>
  <si>
    <t>P2-233131</t>
  </si>
  <si>
    <t>L2-220675</t>
  </si>
  <si>
    <t>P2-233132</t>
  </si>
  <si>
    <t>L2-190501</t>
  </si>
  <si>
    <t>P2-233134</t>
  </si>
  <si>
    <t>L2-220674</t>
  </si>
  <si>
    <t>P2-233135</t>
  </si>
  <si>
    <t>L2-220672</t>
  </si>
  <si>
    <t>P2-233136</t>
  </si>
  <si>
    <t>L2-230526</t>
  </si>
  <si>
    <t>P2-233137</t>
  </si>
  <si>
    <t>L2-230527</t>
  </si>
  <si>
    <t>P2-233138</t>
  </si>
  <si>
    <t>L2-210366</t>
  </si>
  <si>
    <t>P2-233139</t>
  </si>
  <si>
    <t>L2-170609</t>
  </si>
  <si>
    <t>P2-233140</t>
  </si>
  <si>
    <t>L2-170610</t>
  </si>
  <si>
    <t>P2-233141</t>
  </si>
  <si>
    <t>L2-220676</t>
  </si>
  <si>
    <t>P2-233142</t>
  </si>
  <si>
    <t>L2-220679</t>
  </si>
  <si>
    <t>P2-233144</t>
  </si>
  <si>
    <t>L2-200656</t>
  </si>
  <si>
    <t>P2-233145</t>
  </si>
  <si>
    <t>L2-220678</t>
  </si>
  <si>
    <t>P2-233146</t>
  </si>
  <si>
    <t>L2-180609</t>
  </si>
  <si>
    <t>P2-233147</t>
  </si>
  <si>
    <t>L2-200655</t>
  </si>
  <si>
    <t>P2-233148</t>
  </si>
  <si>
    <t>L2-230528</t>
  </si>
  <si>
    <t>P2-233149</t>
  </si>
  <si>
    <t>L2-220680</t>
  </si>
  <si>
    <t>P2-233150</t>
  </si>
  <si>
    <t>L2-190504</t>
  </si>
  <si>
    <t>P2-233152</t>
  </si>
  <si>
    <t>L2-220681</t>
  </si>
  <si>
    <t>P2-233153</t>
  </si>
  <si>
    <t>L2-160820</t>
  </si>
  <si>
    <t>P2-233154</t>
  </si>
  <si>
    <t>L2-230529</t>
  </si>
  <si>
    <t>P2-233155</t>
  </si>
  <si>
    <t>L2-230530</t>
  </si>
  <si>
    <t>P2-233159</t>
  </si>
  <si>
    <t>L2-220683</t>
  </si>
  <si>
    <t>P2-233160</t>
  </si>
  <si>
    <t>L2-220684</t>
  </si>
  <si>
    <t>P2-233161</t>
  </si>
  <si>
    <t>L2-230533</t>
  </si>
  <si>
    <t>P2-233162</t>
  </si>
  <si>
    <t>L2-220685</t>
  </si>
  <si>
    <t>P2-233163</t>
  </si>
  <si>
    <t>L2-210367</t>
  </si>
  <si>
    <t>P2-233165</t>
  </si>
  <si>
    <t>L2-220686</t>
  </si>
  <si>
    <t>P2-233166</t>
  </si>
  <si>
    <t>L2-210370</t>
  </si>
  <si>
    <t>P2-233168</t>
  </si>
  <si>
    <t>L2-170621</t>
  </si>
  <si>
    <t>P2-233169</t>
  </si>
  <si>
    <t>L2-210368</t>
  </si>
  <si>
    <t>P2-233172</t>
  </si>
  <si>
    <t>L2-170622</t>
  </si>
  <si>
    <t>P2-233173</t>
  </si>
  <si>
    <t>L2-150449</t>
  </si>
  <si>
    <t>P2-233174</t>
  </si>
  <si>
    <t>L2-220688</t>
  </si>
  <si>
    <t>P2-233175</t>
  </si>
  <si>
    <t>L2-170623</t>
  </si>
  <si>
    <t>P2-233178</t>
  </si>
  <si>
    <t>L2-190508</t>
  </si>
  <si>
    <t>P2-233179</t>
  </si>
  <si>
    <t>L2-150452</t>
  </si>
  <si>
    <t>P2-233180</t>
  </si>
  <si>
    <t>L2-220689</t>
  </si>
  <si>
    <t>P2-233182</t>
  </si>
  <si>
    <t>L2-180617</t>
  </si>
  <si>
    <t>P2-233183</t>
  </si>
  <si>
    <t>L2-220691</t>
  </si>
  <si>
    <t>P2-233184</t>
  </si>
  <si>
    <t>L2-230535</t>
  </si>
  <si>
    <t>P2-233185</t>
  </si>
  <si>
    <t>L2-200662</t>
  </si>
  <si>
    <t>P2-233186</t>
  </si>
  <si>
    <t>L2-170627</t>
  </si>
  <si>
    <t>P2-233187</t>
  </si>
  <si>
    <t>L2-190511</t>
  </si>
  <si>
    <t>P2-233188</t>
  </si>
  <si>
    <t>L2-200661</t>
  </si>
  <si>
    <t>P2-233189</t>
  </si>
  <si>
    <t>L2-190509</t>
  </si>
  <si>
    <t>P2-233190</t>
  </si>
  <si>
    <t>L2-190512</t>
  </si>
  <si>
    <t>P2-233192</t>
  </si>
  <si>
    <t>L2-110171</t>
  </si>
  <si>
    <t>P2-233193</t>
  </si>
  <si>
    <t>L2-230536</t>
  </si>
  <si>
    <t>P2-233194</t>
  </si>
  <si>
    <t>L2-230537</t>
  </si>
  <si>
    <t>P2-233195</t>
  </si>
  <si>
    <t>L2-230538</t>
  </si>
  <si>
    <t>P2-233196</t>
  </si>
  <si>
    <t>L2-200664</t>
  </si>
  <si>
    <t>P2-233197</t>
  </si>
  <si>
    <t>L2-140380</t>
  </si>
  <si>
    <t>P2-233198</t>
  </si>
  <si>
    <t>L2-220692</t>
  </si>
  <si>
    <t>P2-233200</t>
  </si>
  <si>
    <t>L2-190517</t>
  </si>
  <si>
    <t>P2-233201</t>
  </si>
  <si>
    <t>L2-220694</t>
  </si>
  <si>
    <t>P2-233203</t>
  </si>
  <si>
    <t>L2-200666</t>
  </si>
  <si>
    <t>P2-233204</t>
  </si>
  <si>
    <t>L2-160834</t>
  </si>
  <si>
    <t>P2-233206</t>
  </si>
  <si>
    <t>L2-160835</t>
  </si>
  <si>
    <t>P2-233208</t>
  </si>
  <si>
    <t>L2-190514</t>
  </si>
  <si>
    <t>P2-233210</t>
  </si>
  <si>
    <t>L2-180619</t>
  </si>
  <si>
    <t>P2-233212</t>
  </si>
  <si>
    <t>L2-220695</t>
  </si>
  <si>
    <t>P2-233214</t>
  </si>
  <si>
    <t>L2-230540</t>
  </si>
  <si>
    <t>P2-233216</t>
  </si>
  <si>
    <t>L2-160837</t>
  </si>
  <si>
    <t>P2-233218</t>
  </si>
  <si>
    <t>L2-180621</t>
  </si>
  <si>
    <t>P2-233219</t>
  </si>
  <si>
    <t>L2-220696</t>
  </si>
  <si>
    <t>P2-233220</t>
  </si>
  <si>
    <t>L2-210372</t>
  </si>
  <si>
    <t>P2-233222</t>
  </si>
  <si>
    <t>L2-180620</t>
  </si>
  <si>
    <t>P2-233223</t>
  </si>
  <si>
    <t>L2-220698</t>
  </si>
  <si>
    <t>P2-233224</t>
  </si>
  <si>
    <t>L2-200669</t>
  </si>
  <si>
    <t>P2-233225</t>
  </si>
  <si>
    <t>L2-190519</t>
  </si>
  <si>
    <t>P2-233226</t>
  </si>
  <si>
    <t>L2-230541</t>
  </si>
  <si>
    <t>P2-233227</t>
  </si>
  <si>
    <t>L2-230542</t>
  </si>
  <si>
    <t>P2-233228</t>
  </si>
  <si>
    <t>L2-190520</t>
  </si>
  <si>
    <t>P2-233231</t>
  </si>
  <si>
    <t>L2-210378</t>
  </si>
  <si>
    <t>P2-233232</t>
  </si>
  <si>
    <t>L2-160840</t>
  </si>
  <si>
    <t>P2-233233</t>
  </si>
  <si>
    <t>L2-200674</t>
  </si>
  <si>
    <t>P2-233234</t>
  </si>
  <si>
    <t>L2-160842</t>
  </si>
  <si>
    <t>P2-233235</t>
  </si>
  <si>
    <t>L2-130156</t>
  </si>
  <si>
    <t>P2-233236</t>
  </si>
  <si>
    <t>L2-170633</t>
  </si>
  <si>
    <t>P2-233237</t>
  </si>
  <si>
    <t>L2-210377</t>
  </si>
  <si>
    <t>P2-233238</t>
  </si>
  <si>
    <t>L2-210376</t>
  </si>
  <si>
    <t>P2-233239</t>
  </si>
  <si>
    <t>L2-230543</t>
  </si>
  <si>
    <t>P2-233240</t>
  </si>
  <si>
    <t>L2-230544</t>
  </si>
  <si>
    <t>P2-233243</t>
  </si>
  <si>
    <t>L2-180625</t>
  </si>
  <si>
    <t>P2-233244</t>
  </si>
  <si>
    <t>L2-180624</t>
  </si>
  <si>
    <t>P2-233245</t>
  </si>
  <si>
    <t>L2-220699</t>
  </si>
  <si>
    <t>P2-240001</t>
  </si>
  <si>
    <t>L2-240001</t>
  </si>
  <si>
    <t>P2-240002</t>
  </si>
  <si>
    <t>L2-180004</t>
  </si>
  <si>
    <t>P2-240003</t>
  </si>
  <si>
    <t>L2-130001</t>
  </si>
  <si>
    <t>P2-240004</t>
  </si>
  <si>
    <t>L2-210001</t>
  </si>
  <si>
    <t>P2-240005</t>
  </si>
  <si>
    <t>L2-180003</t>
  </si>
  <si>
    <t>P2-240006</t>
  </si>
  <si>
    <t>L2-240002</t>
  </si>
  <si>
    <t>P2-240007</t>
  </si>
  <si>
    <t>L2-240003</t>
  </si>
  <si>
    <t>P2-240008</t>
  </si>
  <si>
    <t>L2-180007</t>
  </si>
  <si>
    <t>P2-240009</t>
  </si>
  <si>
    <t>L2-180006</t>
  </si>
  <si>
    <t>P2-240011</t>
  </si>
  <si>
    <t>L2-160005</t>
  </si>
  <si>
    <t>P2-240012</t>
  </si>
  <si>
    <t>L2-160008</t>
  </si>
  <si>
    <t>P2-240013</t>
  </si>
  <si>
    <t>L2-230001</t>
  </si>
  <si>
    <t>P2-240014</t>
  </si>
  <si>
    <t>L2-160006</t>
  </si>
  <si>
    <t>P2-240016</t>
  </si>
  <si>
    <t>L2-240004</t>
  </si>
  <si>
    <t>P2-240018</t>
  </si>
  <si>
    <t>L2-220005</t>
  </si>
  <si>
    <t>P2-240019</t>
  </si>
  <si>
    <t>L2-100002</t>
  </si>
  <si>
    <t>P2-240020</t>
  </si>
  <si>
    <t>L2-160011</t>
  </si>
  <si>
    <t>P2-240021</t>
  </si>
  <si>
    <t>L2-220007</t>
  </si>
  <si>
    <t>P2-240022</t>
  </si>
  <si>
    <t>L2-230002</t>
  </si>
  <si>
    <t>P2-240023</t>
  </si>
  <si>
    <t>L2-170004</t>
  </si>
  <si>
    <t>P2-240024</t>
  </si>
  <si>
    <t>L2-220006</t>
  </si>
  <si>
    <t>P2-240025</t>
  </si>
  <si>
    <t>L2-210004</t>
  </si>
  <si>
    <t>P2-240026</t>
  </si>
  <si>
    <t>L2-180009</t>
  </si>
  <si>
    <t>P2-240027</t>
  </si>
  <si>
    <t>L2-240006</t>
  </si>
  <si>
    <t>P2-240028</t>
  </si>
  <si>
    <t>L2-240007</t>
  </si>
  <si>
    <t>P2-240029</t>
  </si>
  <si>
    <t>L2-240008</t>
  </si>
  <si>
    <t>P2-240030</t>
  </si>
  <si>
    <t>L2-240009</t>
  </si>
  <si>
    <t>P2-240031</t>
  </si>
  <si>
    <t>L2-240010</t>
  </si>
  <si>
    <t>P2-240032</t>
  </si>
  <si>
    <t>L2-110002</t>
  </si>
  <si>
    <t>P2-240033</t>
  </si>
  <si>
    <t>L2-200007</t>
  </si>
  <si>
    <t>P2-240034</t>
  </si>
  <si>
    <t>L2-230003</t>
  </si>
  <si>
    <t>P2-240035</t>
  </si>
  <si>
    <t>L2-180010</t>
  </si>
  <si>
    <t>P2-240036</t>
  </si>
  <si>
    <t>L2-170008</t>
  </si>
  <si>
    <t>P2-240037</t>
  </si>
  <si>
    <t>L2-210005</t>
  </si>
  <si>
    <t>P2-240039</t>
  </si>
  <si>
    <t>L2-240011</t>
  </si>
  <si>
    <t>P2-240040</t>
  </si>
  <si>
    <t>L2-240012</t>
  </si>
  <si>
    <t>P2-240041</t>
  </si>
  <si>
    <t>L2-240013</t>
  </si>
  <si>
    <t>P2-240042</t>
  </si>
  <si>
    <t>L2-200008</t>
  </si>
  <si>
    <t>P2-240046</t>
  </si>
  <si>
    <t>L2-210009</t>
  </si>
  <si>
    <t>P2-240048</t>
  </si>
  <si>
    <t>L2-210007</t>
  </si>
  <si>
    <t>P2-240049</t>
  </si>
  <si>
    <t>L2-230004</t>
  </si>
  <si>
    <t>P2-240050</t>
  </si>
  <si>
    <t>L2-180011</t>
  </si>
  <si>
    <t>P2-240051</t>
  </si>
  <si>
    <t>L2-170009</t>
  </si>
  <si>
    <t>P2-240052</t>
  </si>
  <si>
    <t>L2-210008</t>
  </si>
  <si>
    <t>P2-240055</t>
  </si>
  <si>
    <t>L2-240016</t>
  </si>
  <si>
    <t>P2-240056</t>
  </si>
  <si>
    <t>L2-240017</t>
  </si>
  <si>
    <t>P2-240058</t>
  </si>
  <si>
    <t>L2-210011</t>
  </si>
  <si>
    <t>P2-240059</t>
  </si>
  <si>
    <t>L2-150005</t>
  </si>
  <si>
    <t>P2-240060</t>
  </si>
  <si>
    <t>L2-220010</t>
  </si>
  <si>
    <t>P2-240064</t>
  </si>
  <si>
    <t>L2-240020</t>
  </si>
  <si>
    <t>P2-240065</t>
  </si>
  <si>
    <t>L2-230006</t>
  </si>
  <si>
    <t>P2-240066</t>
  </si>
  <si>
    <t>L2-160018</t>
  </si>
  <si>
    <t>P2-240067</t>
  </si>
  <si>
    <t>L2-160017</t>
  </si>
  <si>
    <t>P2-240068</t>
  </si>
  <si>
    <t>L2-200012</t>
  </si>
  <si>
    <t>P2-240069</t>
  </si>
  <si>
    <t>L2-200014</t>
  </si>
  <si>
    <t>P2-240070</t>
  </si>
  <si>
    <t>L2-220013</t>
  </si>
  <si>
    <t>P2-240071</t>
  </si>
  <si>
    <t>L2-200016</t>
  </si>
  <si>
    <t>P2-240072</t>
  </si>
  <si>
    <t>L2-220011</t>
  </si>
  <si>
    <t>P2-240073</t>
  </si>
  <si>
    <t>L2-200013</t>
  </si>
  <si>
    <t>P2-240074</t>
  </si>
  <si>
    <t>L2-200015</t>
  </si>
  <si>
    <t>P2-240076</t>
  </si>
  <si>
    <t>L2-240022</t>
  </si>
  <si>
    <t>P2-240077</t>
  </si>
  <si>
    <t>L2-240023</t>
  </si>
  <si>
    <t>P2-240078</t>
  </si>
  <si>
    <t>L2-190008</t>
  </si>
  <si>
    <t>P2-240081</t>
  </si>
  <si>
    <t>L2-220016</t>
  </si>
  <si>
    <t>P2-240082</t>
  </si>
  <si>
    <t>L2-160022</t>
  </si>
  <si>
    <t>P2-240083</t>
  </si>
  <si>
    <t>L2-220017</t>
  </si>
  <si>
    <t>P2-240085</t>
  </si>
  <si>
    <t>L2-190006</t>
  </si>
  <si>
    <t>P2-240086</t>
  </si>
  <si>
    <t>L2-180015</t>
  </si>
  <si>
    <t>P2-240087</t>
  </si>
  <si>
    <t>L2-220015</t>
  </si>
  <si>
    <t>P2-240088</t>
  </si>
  <si>
    <t>L2-190009</t>
  </si>
  <si>
    <t>P2-240089</t>
  </si>
  <si>
    <t>L2-240024</t>
  </si>
  <si>
    <t>P2-240090</t>
  </si>
  <si>
    <t>L2-240025</t>
  </si>
  <si>
    <t>P2-240091</t>
  </si>
  <si>
    <t>L2-160027</t>
  </si>
  <si>
    <t>P2-240095</t>
  </si>
  <si>
    <t>L2-110008</t>
  </si>
  <si>
    <t>P2-240096</t>
  </si>
  <si>
    <t>L2-160024</t>
  </si>
  <si>
    <t>P2-240097</t>
  </si>
  <si>
    <t>L2-160025</t>
  </si>
  <si>
    <t>P2-240101</t>
  </si>
  <si>
    <t>L2-190013</t>
  </si>
  <si>
    <t>P2-240103</t>
  </si>
  <si>
    <t>L2-170020</t>
  </si>
  <si>
    <t>P2-240104</t>
  </si>
  <si>
    <t>L2-190012</t>
  </si>
  <si>
    <t>P2-240105</t>
  </si>
  <si>
    <t>L2-170021</t>
  </si>
  <si>
    <t>P2-240106</t>
  </si>
  <si>
    <t>L2-170025</t>
  </si>
  <si>
    <t>P2-240109</t>
  </si>
  <si>
    <t>L2-220019</t>
  </si>
  <si>
    <t>P2-240110</t>
  </si>
  <si>
    <t>L2-240028</t>
  </si>
  <si>
    <t>P2-240111</t>
  </si>
  <si>
    <t>L2-240029</t>
  </si>
  <si>
    <t>P2-240112</t>
  </si>
  <si>
    <t>L2-240030</t>
  </si>
  <si>
    <t>P2-240113</t>
  </si>
  <si>
    <t>L2-170026</t>
  </si>
  <si>
    <t>P2-240114</t>
  </si>
  <si>
    <t>L2-200020</t>
  </si>
  <si>
    <t>P2-240115</t>
  </si>
  <si>
    <t>L2-220022</t>
  </si>
  <si>
    <t>P2-240116</t>
  </si>
  <si>
    <t>L2-190015</t>
  </si>
  <si>
    <t>P2-240117</t>
  </si>
  <si>
    <t>L2-210013</t>
  </si>
  <si>
    <t>P2-240120</t>
  </si>
  <si>
    <t>L2-240031</t>
  </si>
  <si>
    <t>P2-240124</t>
  </si>
  <si>
    <t>L2-160033</t>
  </si>
  <si>
    <t>P2-240125</t>
  </si>
  <si>
    <t>L2-220025</t>
  </si>
  <si>
    <t>P2-240126</t>
  </si>
  <si>
    <t>L2-230010</t>
  </si>
  <si>
    <t>P2-240127</t>
  </si>
  <si>
    <t>L2-230009</t>
  </si>
  <si>
    <t>P2-240128</t>
  </si>
  <si>
    <t>L2-220027</t>
  </si>
  <si>
    <t>P2-240130</t>
  </si>
  <si>
    <t>L2-160031</t>
  </si>
  <si>
    <t>P2-240131</t>
  </si>
  <si>
    <t>L2-240035</t>
  </si>
  <si>
    <t>P2-240132</t>
  </si>
  <si>
    <t>L2-240036</t>
  </si>
  <si>
    <t>P2-240135</t>
  </si>
  <si>
    <t>L2-200021</t>
  </si>
  <si>
    <t>P2-240136</t>
  </si>
  <si>
    <t>L2-220029</t>
  </si>
  <si>
    <t>P2-240137</t>
  </si>
  <si>
    <t>L2-190016</t>
  </si>
  <si>
    <t>P2-240138</t>
  </si>
  <si>
    <t>L2-170028</t>
  </si>
  <si>
    <t>P2-240139</t>
  </si>
  <si>
    <t>L2-170027</t>
  </si>
  <si>
    <t>P2-240140</t>
  </si>
  <si>
    <t>L2-210015</t>
  </si>
  <si>
    <t>P2-240141</t>
  </si>
  <si>
    <t>L2-130006</t>
  </si>
  <si>
    <t>P2-240142</t>
  </si>
  <si>
    <t>L2-240038</t>
  </si>
  <si>
    <t>P2-240144</t>
  </si>
  <si>
    <t>L2-190020</t>
  </si>
  <si>
    <t>P2-240146</t>
  </si>
  <si>
    <t>L2-210018</t>
  </si>
  <si>
    <t>P2-240147</t>
  </si>
  <si>
    <t>L2-140010</t>
  </si>
  <si>
    <t>P2-240149</t>
  </si>
  <si>
    <t>L2-200023</t>
  </si>
  <si>
    <t>P2-240150</t>
  </si>
  <si>
    <t>L2-230011</t>
  </si>
  <si>
    <t>P2-240151</t>
  </si>
  <si>
    <t>L2-190021</t>
  </si>
  <si>
    <t>P2-240153</t>
  </si>
  <si>
    <t>L2-160036</t>
  </si>
  <si>
    <t>P2-240154</t>
  </si>
  <si>
    <t>L2-230012</t>
  </si>
  <si>
    <t>P2-240155</t>
  </si>
  <si>
    <t>L2-240040</t>
  </si>
  <si>
    <t>P2-240156</t>
  </si>
  <si>
    <t>L2-240041</t>
  </si>
  <si>
    <t>P2-240157</t>
  </si>
  <si>
    <t>L2-240042</t>
  </si>
  <si>
    <t>P2-240158</t>
  </si>
  <si>
    <t>L2-200025</t>
  </si>
  <si>
    <t>P2-240159</t>
  </si>
  <si>
    <t>L2-230013</t>
  </si>
  <si>
    <t>P2-240162</t>
  </si>
  <si>
    <t>L2-190023</t>
  </si>
  <si>
    <t>P2-240165</t>
  </si>
  <si>
    <t>L2-180025</t>
  </si>
  <si>
    <t>P2-240168</t>
  </si>
  <si>
    <t>L2-240043</t>
  </si>
  <si>
    <t>P2-240169</t>
  </si>
  <si>
    <t>L2-230016</t>
  </si>
  <si>
    <t>P2-240171</t>
  </si>
  <si>
    <t>L2-100021</t>
  </si>
  <si>
    <t>P2-240172</t>
  </si>
  <si>
    <t>L2-170036</t>
  </si>
  <si>
    <t>P2-240173</t>
  </si>
  <si>
    <t>L2-210022</t>
  </si>
  <si>
    <t>P2-240174</t>
  </si>
  <si>
    <t>L2-230015</t>
  </si>
  <si>
    <t>P2-240175</t>
  </si>
  <si>
    <t>L2-220033</t>
  </si>
  <si>
    <t>P2-240177</t>
  </si>
  <si>
    <t>L2-170035</t>
  </si>
  <si>
    <t>P2-240178</t>
  </si>
  <si>
    <t>L2-240044</t>
  </si>
  <si>
    <t>P2-240182</t>
  </si>
  <si>
    <t>L2-210025</t>
  </si>
  <si>
    <t>P2-240184</t>
  </si>
  <si>
    <t>L2-230018</t>
  </si>
  <si>
    <t>P2-240186</t>
  </si>
  <si>
    <t>L2-190027</t>
  </si>
  <si>
    <t>P2-240188</t>
  </si>
  <si>
    <t>L2-240047</t>
  </si>
  <si>
    <t>P2-240189</t>
  </si>
  <si>
    <t>L2-230019</t>
  </si>
  <si>
    <t>P2-240191</t>
  </si>
  <si>
    <t>L2-210026</t>
  </si>
  <si>
    <t>P2-240193</t>
  </si>
  <si>
    <t>L2-230021</t>
  </si>
  <si>
    <t>P2-240194</t>
  </si>
  <si>
    <t>L2-130011</t>
  </si>
  <si>
    <t>P2-240195</t>
  </si>
  <si>
    <t>L2-190028</t>
  </si>
  <si>
    <t>P2-240196</t>
  </si>
  <si>
    <t>L2-220040</t>
  </si>
  <si>
    <t>P2-240198</t>
  </si>
  <si>
    <t>L2-240048</t>
  </si>
  <si>
    <t>P2-240199</t>
  </si>
  <si>
    <t>L2-240049</t>
  </si>
  <si>
    <t>P2-240203</t>
  </si>
  <si>
    <t>L2-160044</t>
  </si>
  <si>
    <t>P2-240205</t>
  </si>
  <si>
    <t>L2-210028</t>
  </si>
  <si>
    <t>P2-240206</t>
  </si>
  <si>
    <t>L2-230023</t>
  </si>
  <si>
    <t>P2-240207</t>
  </si>
  <si>
    <t>L2-220042</t>
  </si>
  <si>
    <t>P2-240210</t>
  </si>
  <si>
    <t>L2-180036</t>
  </si>
  <si>
    <t>P2-240211</t>
  </si>
  <si>
    <t>L2-190034</t>
  </si>
  <si>
    <t>P2-240212</t>
  </si>
  <si>
    <t>L2-100024</t>
  </si>
  <si>
    <t>P2-240213</t>
  </si>
  <si>
    <t>L2-190031</t>
  </si>
  <si>
    <t>P2-240214</t>
  </si>
  <si>
    <t>L2-210029</t>
  </si>
  <si>
    <t>P2-240215</t>
  </si>
  <si>
    <t>L2-160048</t>
  </si>
  <si>
    <t>P2-240216</t>
  </si>
  <si>
    <t>L2-240050</t>
  </si>
  <si>
    <t>P2-240217</t>
  </si>
  <si>
    <t>L2-220044</t>
  </si>
  <si>
    <t>P2-240219</t>
  </si>
  <si>
    <t>L2-200033</t>
  </si>
  <si>
    <t>P2-240220</t>
  </si>
  <si>
    <t>L2-210030</t>
  </si>
  <si>
    <t>P2-240221</t>
  </si>
  <si>
    <t>L2-240051</t>
  </si>
  <si>
    <t>P2-240222</t>
  </si>
  <si>
    <t>L2-240052</t>
  </si>
  <si>
    <t>P2-240224</t>
  </si>
  <si>
    <t>L2-160050</t>
  </si>
  <si>
    <t>P2-240225</t>
  </si>
  <si>
    <t>L2-190037</t>
  </si>
  <si>
    <t>P2-240226</t>
  </si>
  <si>
    <t>L2-170047</t>
  </si>
  <si>
    <t>P2-240228</t>
  </si>
  <si>
    <t>L2-200037</t>
  </si>
  <si>
    <t>P2-240229</t>
  </si>
  <si>
    <t>L2-200035</t>
  </si>
  <si>
    <t>P2-240230</t>
  </si>
  <si>
    <t>L2-140019</t>
  </si>
  <si>
    <t>P2-240231</t>
  </si>
  <si>
    <t>L2-240053</t>
  </si>
  <si>
    <t>P2-240235</t>
  </si>
  <si>
    <t>L2-190040</t>
  </si>
  <si>
    <t>P2-240236</t>
  </si>
  <si>
    <t>L2-180038</t>
  </si>
  <si>
    <t>P2-240237</t>
  </si>
  <si>
    <t>L2-200038</t>
  </si>
  <si>
    <t>P2-240238</t>
  </si>
  <si>
    <t>L2-220050</t>
  </si>
  <si>
    <t>P2-240239</t>
  </si>
  <si>
    <t>L2-220048</t>
  </si>
  <si>
    <t>P2-240242</t>
  </si>
  <si>
    <t>L2-230027</t>
  </si>
  <si>
    <t>P2-240243</t>
  </si>
  <si>
    <t>L2-210031</t>
  </si>
  <si>
    <t>P2-240244</t>
  </si>
  <si>
    <t>L2-200040</t>
  </si>
  <si>
    <t>P2-240247</t>
  </si>
  <si>
    <t>L2-240054</t>
  </si>
  <si>
    <t>P2-240248</t>
  </si>
  <si>
    <t>L2-240055</t>
  </si>
  <si>
    <t>P2-240250</t>
  </si>
  <si>
    <t>L2-200041</t>
  </si>
  <si>
    <t>P2-240251</t>
  </si>
  <si>
    <t>L2-230029</t>
  </si>
  <si>
    <t>P2-240252</t>
  </si>
  <si>
    <t>L2-130016</t>
  </si>
  <si>
    <t>P2-240253</t>
  </si>
  <si>
    <t>L2-240057</t>
  </si>
  <si>
    <t>P2-240255</t>
  </si>
  <si>
    <t>L2-240059</t>
  </si>
  <si>
    <t>P2-240256</t>
  </si>
  <si>
    <t>L2-240060</t>
  </si>
  <si>
    <t>P2-240257</t>
  </si>
  <si>
    <t>L2-220054</t>
  </si>
  <si>
    <t>P2-240258</t>
  </si>
  <si>
    <t>L2-200043</t>
  </si>
  <si>
    <t>P2-240260</t>
  </si>
  <si>
    <t>L2-180044</t>
  </si>
  <si>
    <t>P2-240261</t>
  </si>
  <si>
    <t>L2-220053</t>
  </si>
  <si>
    <t>P2-240263</t>
  </si>
  <si>
    <t>L2-150037</t>
  </si>
  <si>
    <t>P2-240264</t>
  </si>
  <si>
    <t>L2-180045</t>
  </si>
  <si>
    <t>P2-240265</t>
  </si>
  <si>
    <t>L2-200044</t>
  </si>
  <si>
    <t>P2-240266</t>
  </si>
  <si>
    <t>L2-220056</t>
  </si>
  <si>
    <t>P2-240267</t>
  </si>
  <si>
    <t>L2-230030</t>
  </si>
  <si>
    <t>P2-240268</t>
  </si>
  <si>
    <t>L2-240062</t>
  </si>
  <si>
    <t>P2-240271</t>
  </si>
  <si>
    <t>L2-240065</t>
  </si>
  <si>
    <t>P2-240272</t>
  </si>
  <si>
    <t>L2-240066</t>
  </si>
  <si>
    <t>P2-240273</t>
  </si>
  <si>
    <t>L2-240067</t>
  </si>
  <si>
    <t>P2-240275</t>
  </si>
  <si>
    <t>L2-190042</t>
  </si>
  <si>
    <t>P2-240276</t>
  </si>
  <si>
    <t>L2-230031</t>
  </si>
  <si>
    <t>P2-240277</t>
  </si>
  <si>
    <t>L2-230032</t>
  </si>
  <si>
    <t>P2-240280</t>
  </si>
  <si>
    <t>L2-200045</t>
  </si>
  <si>
    <t>P2-240281</t>
  </si>
  <si>
    <t>L2-240069</t>
  </si>
  <si>
    <t>P2-240282</t>
  </si>
  <si>
    <t>L2-240070</t>
  </si>
  <si>
    <t>P2-240283</t>
  </si>
  <si>
    <t>L2-240071</t>
  </si>
  <si>
    <t>P2-240284</t>
  </si>
  <si>
    <t>L2-240072</t>
  </si>
  <si>
    <t>P2-240286</t>
  </si>
  <si>
    <t>L2-180048</t>
  </si>
  <si>
    <t>P2-240287</t>
  </si>
  <si>
    <t>L2-220057</t>
  </si>
  <si>
    <t>P2-240289</t>
  </si>
  <si>
    <t>L2-200047</t>
  </si>
  <si>
    <t>P2-240290</t>
  </si>
  <si>
    <t>L2-180047</t>
  </si>
  <si>
    <t>P2-240291</t>
  </si>
  <si>
    <t>L2-230034</t>
  </si>
  <si>
    <t>P2-240292</t>
  </si>
  <si>
    <t>L2-240073</t>
  </si>
  <si>
    <t>P2-240294</t>
  </si>
  <si>
    <t>L2-170064</t>
  </si>
  <si>
    <t>P2-240296</t>
  </si>
  <si>
    <t>L2-230035</t>
  </si>
  <si>
    <t>P2-240297</t>
  </si>
  <si>
    <t>L2-220062</t>
  </si>
  <si>
    <t>P2-240298</t>
  </si>
  <si>
    <t>L2-220060</t>
  </si>
  <si>
    <t>P2-240299</t>
  </si>
  <si>
    <t>L2-220061</t>
  </si>
  <si>
    <t>P2-240300</t>
  </si>
  <si>
    <t>L2-230036</t>
  </si>
  <si>
    <t>P2-240303</t>
  </si>
  <si>
    <t>L2-240075</t>
  </si>
  <si>
    <t>P2-240305</t>
  </si>
  <si>
    <t>L2-240077</t>
  </si>
  <si>
    <t>P2-240306</t>
  </si>
  <si>
    <t>L2-240078</t>
  </si>
  <si>
    <t>P2-240310</t>
  </si>
  <si>
    <t>L2-170069</t>
  </si>
  <si>
    <t>P2-240312</t>
  </si>
  <si>
    <t>L2-170067</t>
  </si>
  <si>
    <t>P2-240313</t>
  </si>
  <si>
    <t>L2-160060</t>
  </si>
  <si>
    <t>P2-240316</t>
  </si>
  <si>
    <t>L2-220063</t>
  </si>
  <si>
    <t>P2-240317</t>
  </si>
  <si>
    <t>L2-220064</t>
  </si>
  <si>
    <t>P2-240318</t>
  </si>
  <si>
    <t>L2-170068</t>
  </si>
  <si>
    <t>P2-240319</t>
  </si>
  <si>
    <t>L2-170070</t>
  </si>
  <si>
    <t>P2-240320</t>
  </si>
  <si>
    <t>L2-240080</t>
  </si>
  <si>
    <t>P2-240321</t>
  </si>
  <si>
    <t>L2-240081</t>
  </si>
  <si>
    <t>P2-240322</t>
  </si>
  <si>
    <t>L2-240082</t>
  </si>
  <si>
    <t>P2-240324</t>
  </si>
  <si>
    <t>L2-180052</t>
  </si>
  <si>
    <t>P2-240325</t>
  </si>
  <si>
    <t>L2-230041</t>
  </si>
  <si>
    <t>P2-240327</t>
  </si>
  <si>
    <t>L2-200051</t>
  </si>
  <si>
    <t>P2-240329</t>
  </si>
  <si>
    <t>L2-140027</t>
  </si>
  <si>
    <t>P2-240331</t>
  </si>
  <si>
    <t>L2-170071</t>
  </si>
  <si>
    <t>P2-240333</t>
  </si>
  <si>
    <t>L2-200054</t>
  </si>
  <si>
    <t>P2-240334</t>
  </si>
  <si>
    <t>L2-220066</t>
  </si>
  <si>
    <t>P2-240336</t>
  </si>
  <si>
    <t>L2-120021</t>
  </si>
  <si>
    <t>P2-240340</t>
  </si>
  <si>
    <t>L2-190048</t>
  </si>
  <si>
    <t>P2-240341</t>
  </si>
  <si>
    <t>L2-200055</t>
  </si>
  <si>
    <t>P2-240342</t>
  </si>
  <si>
    <t>L2-170073</t>
  </si>
  <si>
    <t>P2-240343</t>
  </si>
  <si>
    <t>L2-240084</t>
  </si>
  <si>
    <t>P2-240344</t>
  </si>
  <si>
    <t>L2-240085</t>
  </si>
  <si>
    <t>P2-240345</t>
  </si>
  <si>
    <t>L2-240086</t>
  </si>
  <si>
    <t>P2-240346</t>
  </si>
  <si>
    <t>L2-220069</t>
  </si>
  <si>
    <t>P2-240348</t>
  </si>
  <si>
    <t>L2-240087</t>
  </si>
  <si>
    <t>P2-240351</t>
  </si>
  <si>
    <t>L2-190053</t>
  </si>
  <si>
    <t>P2-240353</t>
  </si>
  <si>
    <t>L2-210037</t>
  </si>
  <si>
    <t>P2-240354</t>
  </si>
  <si>
    <t>L2-230042</t>
  </si>
  <si>
    <t>P2-240355</t>
  </si>
  <si>
    <t>L2-180059</t>
  </si>
  <si>
    <t>P2-240356</t>
  </si>
  <si>
    <t>L2-170075</t>
  </si>
  <si>
    <t>P2-240357</t>
  </si>
  <si>
    <t>L2-240088</t>
  </si>
  <si>
    <t>P2-240358</t>
  </si>
  <si>
    <t>L2-240089</t>
  </si>
  <si>
    <t>P2-240359</t>
  </si>
  <si>
    <t>L2-240090</t>
  </si>
  <si>
    <t>P2-240360</t>
  </si>
  <si>
    <t>L2-150050</t>
  </si>
  <si>
    <t>P2-240361</t>
  </si>
  <si>
    <t>L2-220071</t>
  </si>
  <si>
    <t>P2-240362</t>
  </si>
  <si>
    <t>L2-240091</t>
  </si>
  <si>
    <t>P2-240363</t>
  </si>
  <si>
    <t>L2-220074</t>
  </si>
  <si>
    <t>P2-240365</t>
  </si>
  <si>
    <t>L2-220072</t>
  </si>
  <si>
    <t>P2-240366</t>
  </si>
  <si>
    <t>L2-160069</t>
  </si>
  <si>
    <t>P2-240368</t>
  </si>
  <si>
    <t>L2-240092</t>
  </si>
  <si>
    <t>P2-240369</t>
  </si>
  <si>
    <t>L2-220076</t>
  </si>
  <si>
    <t>P2-240370</t>
  </si>
  <si>
    <t>L2-200058</t>
  </si>
  <si>
    <t>P2-240371</t>
  </si>
  <si>
    <t>L2-230046</t>
  </si>
  <si>
    <t>P2-240373</t>
  </si>
  <si>
    <t>L2-230045</t>
  </si>
  <si>
    <t>P2-240374</t>
  </si>
  <si>
    <t>L2-230047</t>
  </si>
  <si>
    <t>P2-240376</t>
  </si>
  <si>
    <t>L2-240094</t>
  </si>
  <si>
    <t>P2-240377</t>
  </si>
  <si>
    <t>L2-230050</t>
  </si>
  <si>
    <t>P2-240378</t>
  </si>
  <si>
    <t>L2-220079</t>
  </si>
  <si>
    <t>P2-240379</t>
  </si>
  <si>
    <t>L2-210039</t>
  </si>
  <si>
    <t>P2-240380</t>
  </si>
  <si>
    <t>L2-150054</t>
  </si>
  <si>
    <t>P2-240382</t>
  </si>
  <si>
    <t>L2-230049</t>
  </si>
  <si>
    <t>P2-240383</t>
  </si>
  <si>
    <t>L2-180070</t>
  </si>
  <si>
    <t>P2-240386</t>
  </si>
  <si>
    <t>L2-200062</t>
  </si>
  <si>
    <t>P2-240387</t>
  </si>
  <si>
    <t>L2-230054</t>
  </si>
  <si>
    <t>P2-240388</t>
  </si>
  <si>
    <t>L2-180073</t>
  </si>
  <si>
    <t>P2-240389</t>
  </si>
  <si>
    <t>L2-140035</t>
  </si>
  <si>
    <t>P2-240390</t>
  </si>
  <si>
    <t>L2-220081</t>
  </si>
  <si>
    <t>P2-240393</t>
  </si>
  <si>
    <t>L2-180074</t>
  </si>
  <si>
    <t>P2-240394</t>
  </si>
  <si>
    <t>L2-170084</t>
  </si>
  <si>
    <t>P2-240396</t>
  </si>
  <si>
    <t>L2-220082</t>
  </si>
  <si>
    <t>P2-240397</t>
  </si>
  <si>
    <t>L2-170086</t>
  </si>
  <si>
    <t>P2-240398</t>
  </si>
  <si>
    <t>L2-180079</t>
  </si>
  <si>
    <t>P2-240400</t>
  </si>
  <si>
    <t>L2-180077</t>
  </si>
  <si>
    <t>P2-240401</t>
  </si>
  <si>
    <t>L2-190060</t>
  </si>
  <si>
    <t>P2-240407</t>
  </si>
  <si>
    <t>L2-170090</t>
  </si>
  <si>
    <t>P2-240411</t>
  </si>
  <si>
    <t>L2-240096</t>
  </si>
  <si>
    <t>P2-240412</t>
  </si>
  <si>
    <t>L2-240097</t>
  </si>
  <si>
    <t>P2-240414</t>
  </si>
  <si>
    <t>L2-230060</t>
  </si>
  <si>
    <t>P2-240415</t>
  </si>
  <si>
    <t>L2-200066</t>
  </si>
  <si>
    <t>P2-240416</t>
  </si>
  <si>
    <t>L2-140039</t>
  </si>
  <si>
    <t>P2-240418</t>
  </si>
  <si>
    <t>L2-210041</t>
  </si>
  <si>
    <t>P2-240419</t>
  </si>
  <si>
    <t>L2-240098</t>
  </si>
  <si>
    <t>P2-240420</t>
  </si>
  <si>
    <t>L2-240099</t>
  </si>
  <si>
    <t>P2-240422</t>
  </si>
  <si>
    <t>L2-240101</t>
  </si>
  <si>
    <t>P2-240424</t>
  </si>
  <si>
    <t>L2-110033</t>
  </si>
  <si>
    <t>P2-240425</t>
  </si>
  <si>
    <t>L2-150063</t>
  </si>
  <si>
    <t>P2-240427</t>
  </si>
  <si>
    <t>L2-190062</t>
  </si>
  <si>
    <t>P2-240429</t>
  </si>
  <si>
    <t>L2-200068</t>
  </si>
  <si>
    <t>P2-240430</t>
  </si>
  <si>
    <t>L2-180084</t>
  </si>
  <si>
    <t>P2-240431</t>
  </si>
  <si>
    <t>L2-240102</t>
  </si>
  <si>
    <t>P2-240432</t>
  </si>
  <si>
    <t>L2-130027</t>
  </si>
  <si>
    <t>P2-240433</t>
  </si>
  <si>
    <t>L2-120025</t>
  </si>
  <si>
    <t>P2-240434</t>
  </si>
  <si>
    <t>L2-100049</t>
  </si>
  <si>
    <t>P2-240435</t>
  </si>
  <si>
    <t>L2-220085</t>
  </si>
  <si>
    <t>P2-240436</t>
  </si>
  <si>
    <t>L2-190063</t>
  </si>
  <si>
    <t>P2-240437</t>
  </si>
  <si>
    <t>L2-230061</t>
  </si>
  <si>
    <t>P2-240439</t>
  </si>
  <si>
    <t>L2-180087</t>
  </si>
  <si>
    <t>P2-240440</t>
  </si>
  <si>
    <t>L2-210043</t>
  </si>
  <si>
    <t>P2-240442</t>
  </si>
  <si>
    <t>L2-240103</t>
  </si>
  <si>
    <t>P2-240443</t>
  </si>
  <si>
    <t>L2-110037</t>
  </si>
  <si>
    <t>P2-240444</t>
  </si>
  <si>
    <t>L2-230063</t>
  </si>
  <si>
    <t>P2-240446</t>
  </si>
  <si>
    <t>L2-230065</t>
  </si>
  <si>
    <t>P2-240447</t>
  </si>
  <si>
    <t>L2-170098</t>
  </si>
  <si>
    <t>P2-240448</t>
  </si>
  <si>
    <t>L2-230064</t>
  </si>
  <si>
    <t>P2-240449</t>
  </si>
  <si>
    <t>L2-190064</t>
  </si>
  <si>
    <t>P2-240450</t>
  </si>
  <si>
    <t>L2-220086</t>
  </si>
  <si>
    <t>P2-240451</t>
  </si>
  <si>
    <t>L2-210044</t>
  </si>
  <si>
    <t>P2-240452</t>
  </si>
  <si>
    <t>L2-230067</t>
  </si>
  <si>
    <t>P2-240453</t>
  </si>
  <si>
    <t>L2-230068</t>
  </si>
  <si>
    <t>P2-240454</t>
  </si>
  <si>
    <t>L2-200070</t>
  </si>
  <si>
    <t>P2-240457</t>
  </si>
  <si>
    <t>L2-170100</t>
  </si>
  <si>
    <t>P2-240458</t>
  </si>
  <si>
    <t>L2-100051</t>
  </si>
  <si>
    <t>P2-240459</t>
  </si>
  <si>
    <t>L2-240104</t>
  </si>
  <si>
    <t>P2-240460</t>
  </si>
  <si>
    <t>L2-240105</t>
  </si>
  <si>
    <t>P2-240461</t>
  </si>
  <si>
    <t>L2-240106</t>
  </si>
  <si>
    <t>P2-240463</t>
  </si>
  <si>
    <t>L2-190066</t>
  </si>
  <si>
    <t>P2-240464</t>
  </si>
  <si>
    <t>L2-160096</t>
  </si>
  <si>
    <t>P2-240465</t>
  </si>
  <si>
    <t>L2-230069</t>
  </si>
  <si>
    <t>P2-240466</t>
  </si>
  <si>
    <t>L2-200071</t>
  </si>
  <si>
    <t>P2-240467</t>
  </si>
  <si>
    <t>L2-210046</t>
  </si>
  <si>
    <t>P2-240469</t>
  </si>
  <si>
    <t>L2-180090</t>
  </si>
  <si>
    <t>P2-240470</t>
  </si>
  <si>
    <t>L2-190067</t>
  </si>
  <si>
    <t>P2-240472</t>
  </si>
  <si>
    <t>L2-210045</t>
  </si>
  <si>
    <t>P2-240473</t>
  </si>
  <si>
    <t>L2-240108</t>
  </si>
  <si>
    <t>P2-240476</t>
  </si>
  <si>
    <t>L2-200074</t>
  </si>
  <si>
    <t>P2-240477</t>
  </si>
  <si>
    <t>L2-230071</t>
  </si>
  <si>
    <t>P2-240478</t>
  </si>
  <si>
    <t>L2-200076</t>
  </si>
  <si>
    <t>P2-240479</t>
  </si>
  <si>
    <t>L2-200073</t>
  </si>
  <si>
    <t>P2-240480</t>
  </si>
  <si>
    <t>L2-210048</t>
  </si>
  <si>
    <t>P2-240483</t>
  </si>
  <si>
    <t>L2-240112</t>
  </si>
  <si>
    <t>P2-240484</t>
  </si>
  <si>
    <t>L2-240113</t>
  </si>
  <si>
    <t>P2-240485</t>
  </si>
  <si>
    <t>L2-200078</t>
  </si>
  <si>
    <t>P2-240486</t>
  </si>
  <si>
    <t>L2-220090</t>
  </si>
  <si>
    <t>P2-240487</t>
  </si>
  <si>
    <t>L2-130030</t>
  </si>
  <si>
    <t>P2-240489</t>
  </si>
  <si>
    <t>L2-170102</t>
  </si>
  <si>
    <t>P2-240490</t>
  </si>
  <si>
    <t>L2-240114</t>
  </si>
  <si>
    <t>P2-240491</t>
  </si>
  <si>
    <t>L2-240115</t>
  </si>
  <si>
    <t>P2-240492</t>
  </si>
  <si>
    <t>L2-180095</t>
  </si>
  <si>
    <t>P2-240494</t>
  </si>
  <si>
    <t>L2-180094</t>
  </si>
  <si>
    <t>P2-240497</t>
  </si>
  <si>
    <t>L2-220091</t>
  </si>
  <si>
    <t>P2-240498</t>
  </si>
  <si>
    <t>L2-160103</t>
  </si>
  <si>
    <t>P2-240499</t>
  </si>
  <si>
    <t>L2-230073</t>
  </si>
  <si>
    <t>P2-240500</t>
  </si>
  <si>
    <t>L2-240116</t>
  </si>
  <si>
    <t>P2-240502</t>
  </si>
  <si>
    <t>L2-190071</t>
  </si>
  <si>
    <t>P2-240503</t>
  </si>
  <si>
    <t>L2-230075</t>
  </si>
  <si>
    <t>P2-240504</t>
  </si>
  <si>
    <t>L2-210049</t>
  </si>
  <si>
    <t>P2-240505</t>
  </si>
  <si>
    <t>L2-180096</t>
  </si>
  <si>
    <t>P2-240506</t>
  </si>
  <si>
    <t>L2-200082</t>
  </si>
  <si>
    <t>P2-240507</t>
  </si>
  <si>
    <t>L2-220093</t>
  </si>
  <si>
    <t>P2-240508</t>
  </si>
  <si>
    <t>L2-230076</t>
  </si>
  <si>
    <t>P2-240509</t>
  </si>
  <si>
    <t>L2-240118</t>
  </si>
  <si>
    <t>P2-240511</t>
  </si>
  <si>
    <t>L2-220095</t>
  </si>
  <si>
    <t>P2-240514</t>
  </si>
  <si>
    <t>L2-200083</t>
  </si>
  <si>
    <t>P2-240515</t>
  </si>
  <si>
    <t>L2-200084</t>
  </si>
  <si>
    <t>P2-240516</t>
  </si>
  <si>
    <t>L2-220096</t>
  </si>
  <si>
    <t>P2-240517</t>
  </si>
  <si>
    <t>L2-210051</t>
  </si>
  <si>
    <t>P2-240519</t>
  </si>
  <si>
    <t>L2-230077</t>
  </si>
  <si>
    <t>P2-240520</t>
  </si>
  <si>
    <t>L2-160110</t>
  </si>
  <si>
    <t>P2-240521</t>
  </si>
  <si>
    <t>L2-240120</t>
  </si>
  <si>
    <t>P2-240522</t>
  </si>
  <si>
    <t>L2-240121</t>
  </si>
  <si>
    <t>P2-240525</t>
  </si>
  <si>
    <t>L2-180102</t>
  </si>
  <si>
    <t>P2-240526</t>
  </si>
  <si>
    <t>L2-180101</t>
  </si>
  <si>
    <t>P2-240527</t>
  </si>
  <si>
    <t>L2-150073</t>
  </si>
  <si>
    <t>P2-240528</t>
  </si>
  <si>
    <t>L2-220097</t>
  </si>
  <si>
    <t>P2-240529</t>
  </si>
  <si>
    <t>L2-210053</t>
  </si>
  <si>
    <t>P2-240530</t>
  </si>
  <si>
    <t>L2-190074</t>
  </si>
  <si>
    <t>P2-240531</t>
  </si>
  <si>
    <t>L2-160112</t>
  </si>
  <si>
    <t>P2-240532</t>
  </si>
  <si>
    <t>L2-230078</t>
  </si>
  <si>
    <t>P2-240534</t>
  </si>
  <si>
    <t>L2-220100</t>
  </si>
  <si>
    <t>P2-240535</t>
  </si>
  <si>
    <t>L2-220103</t>
  </si>
  <si>
    <t>P2-240536</t>
  </si>
  <si>
    <t>L2-220102</t>
  </si>
  <si>
    <t>P2-240537</t>
  </si>
  <si>
    <t>L2-200088</t>
  </si>
  <si>
    <t>P2-240539</t>
  </si>
  <si>
    <t>L2-180105</t>
  </si>
  <si>
    <t>P2-240541</t>
  </si>
  <si>
    <t>L2-190076</t>
  </si>
  <si>
    <t>P2-240542</t>
  </si>
  <si>
    <t>L2-200087</t>
  </si>
  <si>
    <t>P2-240543</t>
  </si>
  <si>
    <t>L2-190077</t>
  </si>
  <si>
    <t>P2-240544</t>
  </si>
  <si>
    <t>L2-220098</t>
  </si>
  <si>
    <t>P2-240545</t>
  </si>
  <si>
    <t>L2-160114</t>
  </si>
  <si>
    <t>P2-240546</t>
  </si>
  <si>
    <t>L2-220101</t>
  </si>
  <si>
    <t>P2-240547</t>
  </si>
  <si>
    <t>L2-240124</t>
  </si>
  <si>
    <t>P2-240548</t>
  </si>
  <si>
    <t>L2-240125</t>
  </si>
  <si>
    <t>P2-240553</t>
  </si>
  <si>
    <t>L2-240127</t>
  </si>
  <si>
    <t>P2-240554</t>
  </si>
  <si>
    <t>L2-220105</t>
  </si>
  <si>
    <t>P2-240556</t>
  </si>
  <si>
    <t>L2-170112</t>
  </si>
  <si>
    <t>P2-240557</t>
  </si>
  <si>
    <t>L2-230081</t>
  </si>
  <si>
    <t>P2-240559</t>
  </si>
  <si>
    <t>L2-240128</t>
  </si>
  <si>
    <t>P2-240560</t>
  </si>
  <si>
    <t>L2-210056</t>
  </si>
  <si>
    <t>P2-240562</t>
  </si>
  <si>
    <t>L2-150084</t>
  </si>
  <si>
    <t>P2-240564</t>
  </si>
  <si>
    <t>L2-210057</t>
  </si>
  <si>
    <t>P2-240565</t>
  </si>
  <si>
    <t>L2-220107</t>
  </si>
  <si>
    <t>P2-240566</t>
  </si>
  <si>
    <t>L2-200095</t>
  </si>
  <si>
    <t>P2-240567</t>
  </si>
  <si>
    <t>L2-200096</t>
  </si>
  <si>
    <t>P2-240568</t>
  </si>
  <si>
    <t>L2-170114</t>
  </si>
  <si>
    <t>P2-240570</t>
  </si>
  <si>
    <t>L2-220106</t>
  </si>
  <si>
    <t>P2-240572</t>
  </si>
  <si>
    <t>L2-240130</t>
  </si>
  <si>
    <t>P2-240574</t>
  </si>
  <si>
    <t>L2-240132</t>
  </si>
  <si>
    <t>P2-240576</t>
  </si>
  <si>
    <t>L2-180111</t>
  </si>
  <si>
    <t>P2-240577</t>
  </si>
  <si>
    <t>L2-200097</t>
  </si>
  <si>
    <t>P2-240578</t>
  </si>
  <si>
    <t>L2-230083</t>
  </si>
  <si>
    <t>P2-240580</t>
  </si>
  <si>
    <t>L2-230082</t>
  </si>
  <si>
    <t>P2-240581</t>
  </si>
  <si>
    <t>L2-220109</t>
  </si>
  <si>
    <t>P2-240583</t>
  </si>
  <si>
    <t>L2-220110</t>
  </si>
  <si>
    <t>P2-240584</t>
  </si>
  <si>
    <t>L2-160124</t>
  </si>
  <si>
    <t>P2-240586</t>
  </si>
  <si>
    <t>L2-180112</t>
  </si>
  <si>
    <t>P2-240587</t>
  </si>
  <si>
    <t>L2-240134</t>
  </si>
  <si>
    <t>P2-240588</t>
  </si>
  <si>
    <t>L2-240135</t>
  </si>
  <si>
    <t>P2-240589</t>
  </si>
  <si>
    <t>L2-240136</t>
  </si>
  <si>
    <t>P2-240590</t>
  </si>
  <si>
    <t>L2-240137</t>
  </si>
  <si>
    <t>P2-240592</t>
  </si>
  <si>
    <t>L2-240139</t>
  </si>
  <si>
    <t>P2-240595</t>
  </si>
  <si>
    <t>L2-190082</t>
  </si>
  <si>
    <t>P2-240597</t>
  </si>
  <si>
    <t>L2-180115</t>
  </si>
  <si>
    <t>P2-240598</t>
  </si>
  <si>
    <t>L2-190083</t>
  </si>
  <si>
    <t>P2-240599</t>
  </si>
  <si>
    <t>L2-210059</t>
  </si>
  <si>
    <t>P2-240601</t>
  </si>
  <si>
    <t>L2-110042</t>
  </si>
  <si>
    <t>P2-240602</t>
  </si>
  <si>
    <t>L2-210060</t>
  </si>
  <si>
    <t>P2-240603</t>
  </si>
  <si>
    <t>L2-200100</t>
  </si>
  <si>
    <t>P2-240605</t>
  </si>
  <si>
    <t>L2-240142</t>
  </si>
  <si>
    <t>P2-240606</t>
  </si>
  <si>
    <t>L2-170118</t>
  </si>
  <si>
    <t>P2-240607</t>
  </si>
  <si>
    <t>L2-160133</t>
  </si>
  <si>
    <t>P2-240608</t>
  </si>
  <si>
    <t>L2-200102</t>
  </si>
  <si>
    <t>P2-240610</t>
  </si>
  <si>
    <t>L2-240144</t>
  </si>
  <si>
    <t>P2-240611</t>
  </si>
  <si>
    <t>L2-240145</t>
  </si>
  <si>
    <t>P2-240612</t>
  </si>
  <si>
    <t>L2-240146</t>
  </si>
  <si>
    <t>P2-240613</t>
  </si>
  <si>
    <t>L2-230085</t>
  </si>
  <si>
    <t>P2-240614</t>
  </si>
  <si>
    <t>L2-160135</t>
  </si>
  <si>
    <t>P2-240616</t>
  </si>
  <si>
    <t>L2-190085</t>
  </si>
  <si>
    <t>P2-240617</t>
  </si>
  <si>
    <t>L2-180116</t>
  </si>
  <si>
    <t>P2-240618</t>
  </si>
  <si>
    <t>L2-210061</t>
  </si>
  <si>
    <t>P2-240619</t>
  </si>
  <si>
    <t>L2-240147</t>
  </si>
  <si>
    <t>P2-240622</t>
  </si>
  <si>
    <t>L2-220111</t>
  </si>
  <si>
    <t>P2-240623</t>
  </si>
  <si>
    <t>L2-160140</t>
  </si>
  <si>
    <t>P2-240624</t>
  </si>
  <si>
    <t>L2-180119</t>
  </si>
  <si>
    <t>P2-240625</t>
  </si>
  <si>
    <t>L2-180117</t>
  </si>
  <si>
    <t>P2-240626</t>
  </si>
  <si>
    <t>L2-190087</t>
  </si>
  <si>
    <t>P2-240627</t>
  </si>
  <si>
    <t>L2-180118</t>
  </si>
  <si>
    <t>P2-240628</t>
  </si>
  <si>
    <t>L2-240150</t>
  </si>
  <si>
    <t>P2-240629</t>
  </si>
  <si>
    <t>L2-240151</t>
  </si>
  <si>
    <t>P2-240630</t>
  </si>
  <si>
    <t>L2-240152</t>
  </si>
  <si>
    <t>P2-240632</t>
  </si>
  <si>
    <t>L2-240154</t>
  </si>
  <si>
    <t>P2-240633</t>
  </si>
  <si>
    <t>L2-240155</t>
  </si>
  <si>
    <t>P2-240636</t>
  </si>
  <si>
    <t>L2-220112</t>
  </si>
  <si>
    <t>P2-240637</t>
  </si>
  <si>
    <t>L2-170120</t>
  </si>
  <si>
    <t>P2-240638</t>
  </si>
  <si>
    <t>L2-200105</t>
  </si>
  <si>
    <t>P2-240639</t>
  </si>
  <si>
    <t>L2-230087</t>
  </si>
  <si>
    <t>P2-240640</t>
  </si>
  <si>
    <t>L2-190088</t>
  </si>
  <si>
    <t>P2-240641</t>
  </si>
  <si>
    <t>L2-160145</t>
  </si>
  <si>
    <t>P2-240642</t>
  </si>
  <si>
    <t>L2-240156</t>
  </si>
  <si>
    <t>P2-240643</t>
  </si>
  <si>
    <t>L2-240157</t>
  </si>
  <si>
    <t>P2-240645</t>
  </si>
  <si>
    <t>L2-140058</t>
  </si>
  <si>
    <t>P2-240646</t>
  </si>
  <si>
    <t>L2-140059</t>
  </si>
  <si>
    <t>P2-240647</t>
  </si>
  <si>
    <t>L2-210063</t>
  </si>
  <si>
    <t>P2-240648</t>
  </si>
  <si>
    <t>L2-160148</t>
  </si>
  <si>
    <t>P2-240651</t>
  </si>
  <si>
    <t>L2-220114</t>
  </si>
  <si>
    <t>P2-240652</t>
  </si>
  <si>
    <t>L2-140060</t>
  </si>
  <si>
    <t>P2-240654</t>
  </si>
  <si>
    <t>L2-190089</t>
  </si>
  <si>
    <t>P2-240655</t>
  </si>
  <si>
    <t>L2-210062</t>
  </si>
  <si>
    <t>P2-240656</t>
  </si>
  <si>
    <t>L2-220115</t>
  </si>
  <si>
    <t>P2-240657</t>
  </si>
  <si>
    <t>L2-160147</t>
  </si>
  <si>
    <t>P2-240659</t>
  </si>
  <si>
    <t>L2-240160</t>
  </si>
  <si>
    <t>P2-240660</t>
  </si>
  <si>
    <t>L2-240161</t>
  </si>
  <si>
    <t>P2-240661</t>
  </si>
  <si>
    <t>L2-240162</t>
  </si>
  <si>
    <t>P2-240662</t>
  </si>
  <si>
    <t>L2-230089</t>
  </si>
  <si>
    <t>P2-240663</t>
  </si>
  <si>
    <t>L2-190092</t>
  </si>
  <si>
    <t>P2-240664</t>
  </si>
  <si>
    <t>L2-220116</t>
  </si>
  <si>
    <t>P2-240666</t>
  </si>
  <si>
    <t>L2-200109</t>
  </si>
  <si>
    <t>P2-240667</t>
  </si>
  <si>
    <t>L2-220118</t>
  </si>
  <si>
    <t>P2-240668</t>
  </si>
  <si>
    <t>L2-140062</t>
  </si>
  <si>
    <t>P2-240669</t>
  </si>
  <si>
    <t>L2-180122</t>
  </si>
  <si>
    <t>P2-240670</t>
  </si>
  <si>
    <t>L2-180123</t>
  </si>
  <si>
    <t>P2-240671</t>
  </si>
  <si>
    <t>L2-170123</t>
  </si>
  <si>
    <t>P2-240673</t>
  </si>
  <si>
    <t>L2-240164</t>
  </si>
  <si>
    <t>P2-240674</t>
  </si>
  <si>
    <t>L2-240165</t>
  </si>
  <si>
    <t>P2-240675</t>
  </si>
  <si>
    <t>L2-240166</t>
  </si>
  <si>
    <t>P2-240676</t>
  </si>
  <si>
    <t>L2-240167</t>
  </si>
  <si>
    <t>P2-240677</t>
  </si>
  <si>
    <t>L2-230090</t>
  </si>
  <si>
    <t>P2-240678</t>
  </si>
  <si>
    <t>L2-190094</t>
  </si>
  <si>
    <t>P2-240679</t>
  </si>
  <si>
    <t>L2-220120</t>
  </si>
  <si>
    <t>P2-240680</t>
  </si>
  <si>
    <t>L2-190095</t>
  </si>
  <si>
    <t>P2-240681</t>
  </si>
  <si>
    <t>L2-230092</t>
  </si>
  <si>
    <t>P2-240683</t>
  </si>
  <si>
    <t>L2-200110</t>
  </si>
  <si>
    <t>P2-240685</t>
  </si>
  <si>
    <t>L2-240169</t>
  </si>
  <si>
    <t>P2-240686</t>
  </si>
  <si>
    <t>L2-240170</t>
  </si>
  <si>
    <t>P2-240687</t>
  </si>
  <si>
    <t>L2-230094</t>
  </si>
  <si>
    <t>P2-240689</t>
  </si>
  <si>
    <t>L2-170126</t>
  </si>
  <si>
    <t>P2-240690</t>
  </si>
  <si>
    <t>L2-210065</t>
  </si>
  <si>
    <t>P2-240691</t>
  </si>
  <si>
    <t>L2-220121</t>
  </si>
  <si>
    <t>P2-240693</t>
  </si>
  <si>
    <t>L2-230095</t>
  </si>
  <si>
    <t>P2-240696</t>
  </si>
  <si>
    <t>L2-230093</t>
  </si>
  <si>
    <t>P2-240697</t>
  </si>
  <si>
    <t>L2-180125</t>
  </si>
  <si>
    <t>P2-240699</t>
  </si>
  <si>
    <t>L2-160161</t>
  </si>
  <si>
    <t>P2-240700</t>
  </si>
  <si>
    <t>L2-240171</t>
  </si>
  <si>
    <t>P2-240701</t>
  </si>
  <si>
    <t>L2-180128</t>
  </si>
  <si>
    <t>P2-240702</t>
  </si>
  <si>
    <t>L2-120038</t>
  </si>
  <si>
    <t>P2-240703</t>
  </si>
  <si>
    <t>L2-200114</t>
  </si>
  <si>
    <t>P2-240704</t>
  </si>
  <si>
    <t>L2-210067</t>
  </si>
  <si>
    <t>P2-240705</t>
  </si>
  <si>
    <t>L2-170129</t>
  </si>
  <si>
    <t>P2-240706</t>
  </si>
  <si>
    <t>L2-220123</t>
  </si>
  <si>
    <t>P2-240708</t>
  </si>
  <si>
    <t>L2-170130</t>
  </si>
  <si>
    <t>P2-240710</t>
  </si>
  <si>
    <t>L2-240172</t>
  </si>
  <si>
    <t>P2-240711</t>
  </si>
  <si>
    <t>L2-210068</t>
  </si>
  <si>
    <t>P2-240712</t>
  </si>
  <si>
    <t>L2-230099</t>
  </si>
  <si>
    <t>P2-240713</t>
  </si>
  <si>
    <t>L2-220126</t>
  </si>
  <si>
    <t>P2-240714</t>
  </si>
  <si>
    <t>L2-160168</t>
  </si>
  <si>
    <t>P2-240715</t>
  </si>
  <si>
    <t>L2-230098</t>
  </si>
  <si>
    <t>P2-240718</t>
  </si>
  <si>
    <t>L2-180130</t>
  </si>
  <si>
    <t>P2-240720</t>
  </si>
  <si>
    <t>L2-200116</t>
  </si>
  <si>
    <t>P2-240721</t>
  </si>
  <si>
    <t>L2-240173</t>
  </si>
  <si>
    <t>P2-240722</t>
  </si>
  <si>
    <t>L2-220128</t>
  </si>
  <si>
    <t>P2-240723</t>
  </si>
  <si>
    <t>L2-170133</t>
  </si>
  <si>
    <t>P2-240724</t>
  </si>
  <si>
    <t>L2-220129</t>
  </si>
  <si>
    <t>P2-240725</t>
  </si>
  <si>
    <t>L2-160173</t>
  </si>
  <si>
    <t>P2-240726</t>
  </si>
  <si>
    <t>L2-180131</t>
  </si>
  <si>
    <t>P2-240729</t>
  </si>
  <si>
    <t>L2-210070</t>
  </si>
  <si>
    <t>P2-240730</t>
  </si>
  <si>
    <t>L2-210069</t>
  </si>
  <si>
    <t>P2-240731</t>
  </si>
  <si>
    <t>L2-230100</t>
  </si>
  <si>
    <t>P2-240733</t>
  </si>
  <si>
    <t>L2-240175</t>
  </si>
  <si>
    <t>P2-240734</t>
  </si>
  <si>
    <t>L2-240176</t>
  </si>
  <si>
    <t>P2-240735</t>
  </si>
  <si>
    <t>L2-220132</t>
  </si>
  <si>
    <t>P2-240739</t>
  </si>
  <si>
    <t>L2-220131</t>
  </si>
  <si>
    <t>P2-240741</t>
  </si>
  <si>
    <t>L2-230101</t>
  </si>
  <si>
    <t>P2-240742</t>
  </si>
  <si>
    <t>L2-240177</t>
  </si>
  <si>
    <t>P2-240743</t>
  </si>
  <si>
    <t>L2-240178</t>
  </si>
  <si>
    <t>P2-240746</t>
  </si>
  <si>
    <t>L2-230104</t>
  </si>
  <si>
    <t>P2-240747</t>
  </si>
  <si>
    <t>L2-150105</t>
  </si>
  <si>
    <t>P2-240748</t>
  </si>
  <si>
    <t>L2-150104</t>
  </si>
  <si>
    <t>P2-240749</t>
  </si>
  <si>
    <t>L2-150107</t>
  </si>
  <si>
    <t>P2-240750</t>
  </si>
  <si>
    <t>L2-100085</t>
  </si>
  <si>
    <t>P2-240751</t>
  </si>
  <si>
    <t>L2-230106</t>
  </si>
  <si>
    <t>P2-240753</t>
  </si>
  <si>
    <t>L2-190102</t>
  </si>
  <si>
    <t>P2-240756</t>
  </si>
  <si>
    <t>L2-160178</t>
  </si>
  <si>
    <t>P2-240758</t>
  </si>
  <si>
    <t>L2-100088</t>
  </si>
  <si>
    <t>P2-240759</t>
  </si>
  <si>
    <t>L2-210071</t>
  </si>
  <si>
    <t>P2-240761</t>
  </si>
  <si>
    <t>L2-180138</t>
  </si>
  <si>
    <t>P2-240762</t>
  </si>
  <si>
    <t>L2-240182</t>
  </si>
  <si>
    <t>P2-240763</t>
  </si>
  <si>
    <t>L2-240183</t>
  </si>
  <si>
    <t>P2-240764</t>
  </si>
  <si>
    <t>L2-240184</t>
  </si>
  <si>
    <t>P2-240765</t>
  </si>
  <si>
    <t>L2-150110</t>
  </si>
  <si>
    <t>P2-240767</t>
  </si>
  <si>
    <t>L2-120040</t>
  </si>
  <si>
    <t>P2-240768</t>
  </si>
  <si>
    <t>L2-160182</t>
  </si>
  <si>
    <t>P2-240769</t>
  </si>
  <si>
    <t>L2-190104</t>
  </si>
  <si>
    <t>P2-240770</t>
  </si>
  <si>
    <t>L2-100089</t>
  </si>
  <si>
    <t>P2-240771</t>
  </si>
  <si>
    <t>L2-220137</t>
  </si>
  <si>
    <t>P2-240772</t>
  </si>
  <si>
    <t>L2-160183</t>
  </si>
  <si>
    <t>P2-240773</t>
  </si>
  <si>
    <t>L2-240185</t>
  </si>
  <si>
    <t>P2-240775</t>
  </si>
  <si>
    <t>L2-200121</t>
  </si>
  <si>
    <t>P2-240776</t>
  </si>
  <si>
    <t>L2-220140</t>
  </si>
  <si>
    <t>P2-240777</t>
  </si>
  <si>
    <t>L2-240186</t>
  </si>
  <si>
    <t>P2-240779</t>
  </si>
  <si>
    <t>L2-240188</t>
  </si>
  <si>
    <t>P2-240780</t>
  </si>
  <si>
    <t>L2-150114</t>
  </si>
  <si>
    <t>P2-240781</t>
  </si>
  <si>
    <t>L2-220143</t>
  </si>
  <si>
    <t>P2-240783</t>
  </si>
  <si>
    <t>L2-230109</t>
  </si>
  <si>
    <t>P2-240784</t>
  </si>
  <si>
    <t>L2-160189</t>
  </si>
  <si>
    <t>P2-240785</t>
  </si>
  <si>
    <t>L2-160188</t>
  </si>
  <si>
    <t>P2-240786</t>
  </si>
  <si>
    <t>L2-190108</t>
  </si>
  <si>
    <t>P2-240787</t>
  </si>
  <si>
    <t>L2-220142</t>
  </si>
  <si>
    <t>P2-240789</t>
  </si>
  <si>
    <t>L2-240189</t>
  </si>
  <si>
    <t>P2-240790</t>
  </si>
  <si>
    <t>L2-180145</t>
  </si>
  <si>
    <t>P2-240791</t>
  </si>
  <si>
    <t>L2-200127</t>
  </si>
  <si>
    <t>P2-240792</t>
  </si>
  <si>
    <t>L2-210075</t>
  </si>
  <si>
    <t>P2-240793</t>
  </si>
  <si>
    <t>L2-200128</t>
  </si>
  <si>
    <t>P2-240794</t>
  </si>
  <si>
    <t>L2-190110</t>
  </si>
  <si>
    <t>P2-240795</t>
  </si>
  <si>
    <t>L2-160191</t>
  </si>
  <si>
    <t>P2-240798</t>
  </si>
  <si>
    <t>L2-150115</t>
  </si>
  <si>
    <t>P2-240799</t>
  </si>
  <si>
    <t>L2-120042</t>
  </si>
  <si>
    <t>P2-240800</t>
  </si>
  <si>
    <t>L2-240190</t>
  </si>
  <si>
    <t>P2-240801</t>
  </si>
  <si>
    <t>L2-240191</t>
  </si>
  <si>
    <t>P2-240803</t>
  </si>
  <si>
    <t>L2-140077</t>
  </si>
  <si>
    <t>P2-240804</t>
  </si>
  <si>
    <t>L2-230111</t>
  </si>
  <si>
    <t>P2-240805</t>
  </si>
  <si>
    <t>L2-190111</t>
  </si>
  <si>
    <t>P2-240806</t>
  </si>
  <si>
    <t>L2-180147</t>
  </si>
  <si>
    <t>P2-240807</t>
  </si>
  <si>
    <t>L2-150117</t>
  </si>
  <si>
    <t>P2-240808</t>
  </si>
  <si>
    <t>L2-240193</t>
  </si>
  <si>
    <t>P2-240811</t>
  </si>
  <si>
    <t>L2-210077</t>
  </si>
  <si>
    <t>P2-240813</t>
  </si>
  <si>
    <t>L2-230115</t>
  </si>
  <si>
    <t>P2-240814</t>
  </si>
  <si>
    <t>L2-230112</t>
  </si>
  <si>
    <t>P2-240816</t>
  </si>
  <si>
    <t>L2-220145</t>
  </si>
  <si>
    <t>P2-240817</t>
  </si>
  <si>
    <t>L2-210076</t>
  </si>
  <si>
    <t>P2-240818</t>
  </si>
  <si>
    <t>L2-240194</t>
  </si>
  <si>
    <t>P2-240819</t>
  </si>
  <si>
    <t>L2-240195</t>
  </si>
  <si>
    <t>P2-240820</t>
  </si>
  <si>
    <t>L2-240196</t>
  </si>
  <si>
    <t>P2-240821</t>
  </si>
  <si>
    <t>L2-240197</t>
  </si>
  <si>
    <t>P2-240824</t>
  </si>
  <si>
    <t>L2-160195</t>
  </si>
  <si>
    <t>P2-240827</t>
  </si>
  <si>
    <t>L2-220146</t>
  </si>
  <si>
    <t>P2-240829</t>
  </si>
  <si>
    <t>L2-190114</t>
  </si>
  <si>
    <t>P2-240830</t>
  </si>
  <si>
    <t>L2-240198</t>
  </si>
  <si>
    <t>P2-240831</t>
  </si>
  <si>
    <t>L2-240199</t>
  </si>
  <si>
    <t>P2-240832</t>
  </si>
  <si>
    <t>L2-140081</t>
  </si>
  <si>
    <t>P2-240833</t>
  </si>
  <si>
    <t>L2-230118</t>
  </si>
  <si>
    <t>P2-240834</t>
  </si>
  <si>
    <t>L2-230119</t>
  </si>
  <si>
    <t>P2-240835</t>
  </si>
  <si>
    <t>L2-170145</t>
  </si>
  <si>
    <t>P2-240836</t>
  </si>
  <si>
    <t>L2-220147</t>
  </si>
  <si>
    <t>P2-240837</t>
  </si>
  <si>
    <t>L2-180157</t>
  </si>
  <si>
    <t>P2-240839</t>
  </si>
  <si>
    <t>L2-220149</t>
  </si>
  <si>
    <t>P2-240840</t>
  </si>
  <si>
    <t>L2-180154</t>
  </si>
  <si>
    <t>P2-240841</t>
  </si>
  <si>
    <t>L2-230120</t>
  </si>
  <si>
    <t>P2-240842</t>
  </si>
  <si>
    <t>L2-240200</t>
  </si>
  <si>
    <t>P2-240844</t>
  </si>
  <si>
    <t>L2-190116</t>
  </si>
  <si>
    <t>P2-240845</t>
  </si>
  <si>
    <t>L2-170147</t>
  </si>
  <si>
    <t>P2-240846</t>
  </si>
  <si>
    <t>L2-210080</t>
  </si>
  <si>
    <t>P2-240847</t>
  </si>
  <si>
    <t>L2-220150</t>
  </si>
  <si>
    <t>P2-240848</t>
  </si>
  <si>
    <t>L2-170146</t>
  </si>
  <si>
    <t>P2-240850</t>
  </si>
  <si>
    <t>L2-230121</t>
  </si>
  <si>
    <t>P2-240852</t>
  </si>
  <si>
    <t>L2-200137</t>
  </si>
  <si>
    <t>P2-240854</t>
  </si>
  <si>
    <t>L2-220151</t>
  </si>
  <si>
    <t>P2-240856</t>
  </si>
  <si>
    <t>L2-130045</t>
  </si>
  <si>
    <t>P2-240857</t>
  </si>
  <si>
    <t>L2-210082</t>
  </si>
  <si>
    <t>P2-240858</t>
  </si>
  <si>
    <t>L2-140087</t>
  </si>
  <si>
    <t>P2-240859</t>
  </si>
  <si>
    <t>L2-230123</t>
  </si>
  <si>
    <t>P2-240862</t>
  </si>
  <si>
    <t>L2-180161</t>
  </si>
  <si>
    <t>P2-240864</t>
  </si>
  <si>
    <t>L2-220154</t>
  </si>
  <si>
    <t>P2-240865</t>
  </si>
  <si>
    <t>L2-210083</t>
  </si>
  <si>
    <t>P2-240866</t>
  </si>
  <si>
    <t>L2-210084</t>
  </si>
  <si>
    <t>P2-240867</t>
  </si>
  <si>
    <t>L2-220155</t>
  </si>
  <si>
    <t>P2-240868</t>
  </si>
  <si>
    <t>L2-200140</t>
  </si>
  <si>
    <t>P2-240869</t>
  </si>
  <si>
    <t>L2-140088</t>
  </si>
  <si>
    <t>P2-240870</t>
  </si>
  <si>
    <t>L2-230126</t>
  </si>
  <si>
    <t>P2-240871</t>
  </si>
  <si>
    <t>L2-240203</t>
  </si>
  <si>
    <t>P2-240872</t>
  </si>
  <si>
    <t>L2-200144</t>
  </si>
  <si>
    <t>P2-240875</t>
  </si>
  <si>
    <t>L2-230127</t>
  </si>
  <si>
    <t>P2-240876</t>
  </si>
  <si>
    <t>L2-130047</t>
  </si>
  <si>
    <t>P2-240877</t>
  </si>
  <si>
    <t>L2-160204</t>
  </si>
  <si>
    <t>P2-240878</t>
  </si>
  <si>
    <t>L2-160206</t>
  </si>
  <si>
    <t>P2-240879</t>
  </si>
  <si>
    <t>L2-210085</t>
  </si>
  <si>
    <t>P2-240880</t>
  </si>
  <si>
    <t>L2-220157</t>
  </si>
  <si>
    <t>P2-240884</t>
  </si>
  <si>
    <t>L2-240205</t>
  </si>
  <si>
    <t>P2-240885</t>
  </si>
  <si>
    <t>L2-240206</t>
  </si>
  <si>
    <t>P2-240886</t>
  </si>
  <si>
    <t>L2-240207</t>
  </si>
  <si>
    <t>P2-240887</t>
  </si>
  <si>
    <t>L2-240208</t>
  </si>
  <si>
    <t>P2-240888</t>
  </si>
  <si>
    <t>L2-230129</t>
  </si>
  <si>
    <t>P2-240889</t>
  </si>
  <si>
    <t>L2-110050</t>
  </si>
  <si>
    <t>P2-240890</t>
  </si>
  <si>
    <t>L2-190126</t>
  </si>
  <si>
    <t>P2-240891</t>
  </si>
  <si>
    <t>L2-190125</t>
  </si>
  <si>
    <t>P2-240892</t>
  </si>
  <si>
    <t>L2-200149</t>
  </si>
  <si>
    <t>P2-240893</t>
  </si>
  <si>
    <t>L2-160208</t>
  </si>
  <si>
    <t>P2-240894</t>
  </si>
  <si>
    <t>L2-200150</t>
  </si>
  <si>
    <t>P2-240898</t>
  </si>
  <si>
    <t>L2-210087</t>
  </si>
  <si>
    <t>P2-240901</t>
  </si>
  <si>
    <t>L2-200148</t>
  </si>
  <si>
    <t>P2-240902</t>
  </si>
  <si>
    <t>L2-220159</t>
  </si>
  <si>
    <t>P2-240903</t>
  </si>
  <si>
    <t>L2-230132</t>
  </si>
  <si>
    <t>P2-240904</t>
  </si>
  <si>
    <t>L2-240209</t>
  </si>
  <si>
    <t>P2-240905</t>
  </si>
  <si>
    <t>L2-240210</t>
  </si>
  <si>
    <t>P2-240906</t>
  </si>
  <si>
    <t>L2-240211</t>
  </si>
  <si>
    <t>P2-240908</t>
  </si>
  <si>
    <t>L2-240213</t>
  </si>
  <si>
    <t>P2-240909</t>
  </si>
  <si>
    <t>L2-170152</t>
  </si>
  <si>
    <t>P2-240911</t>
  </si>
  <si>
    <t>L2-150125</t>
  </si>
  <si>
    <t>P2-240912</t>
  </si>
  <si>
    <t>L2-110051</t>
  </si>
  <si>
    <t>P2-240913</t>
  </si>
  <si>
    <t>L2-220162</t>
  </si>
  <si>
    <t>P2-240914</t>
  </si>
  <si>
    <t>L2-160209</t>
  </si>
  <si>
    <t>P2-240916</t>
  </si>
  <si>
    <t>L2-240214</t>
  </si>
  <si>
    <t>P2-240918</t>
  </si>
  <si>
    <t>L2-230133</t>
  </si>
  <si>
    <t>P2-240920</t>
  </si>
  <si>
    <t>L2-160211</t>
  </si>
  <si>
    <t>P2-240921</t>
  </si>
  <si>
    <t>L2-120051</t>
  </si>
  <si>
    <t>P2-240922</t>
  </si>
  <si>
    <t>L2-220164</t>
  </si>
  <si>
    <t>P2-240924</t>
  </si>
  <si>
    <t>L2-220163</t>
  </si>
  <si>
    <t>P2-240925</t>
  </si>
  <si>
    <t>L2-240215</t>
  </si>
  <si>
    <t>P2-240926</t>
  </si>
  <si>
    <t>L2-240216</t>
  </si>
  <si>
    <t>P2-240927</t>
  </si>
  <si>
    <t>L2-240217</t>
  </si>
  <si>
    <t>P2-240929</t>
  </si>
  <si>
    <t>L2-230134</t>
  </si>
  <si>
    <t>P2-240930</t>
  </si>
  <si>
    <t>L2-230137</t>
  </si>
  <si>
    <t>P2-240931</t>
  </si>
  <si>
    <t>L2-180170</t>
  </si>
  <si>
    <t>P2-240932</t>
  </si>
  <si>
    <t>L2-230135</t>
  </si>
  <si>
    <t>P2-240933</t>
  </si>
  <si>
    <t>L2-230136</t>
  </si>
  <si>
    <t>P2-240934</t>
  </si>
  <si>
    <t>L2-160212</t>
  </si>
  <si>
    <t>P2-240935</t>
  </si>
  <si>
    <t>L2-200152</t>
  </si>
  <si>
    <t>P2-240936</t>
  </si>
  <si>
    <t>L2-240218</t>
  </si>
  <si>
    <t>P2-240937</t>
  </si>
  <si>
    <t>L2-230138</t>
  </si>
  <si>
    <t>P2-240938</t>
  </si>
  <si>
    <t>L2-110053</t>
  </si>
  <si>
    <t>P2-240939</t>
  </si>
  <si>
    <t>L2-160213</t>
  </si>
  <si>
    <t>P2-240941</t>
  </si>
  <si>
    <t>L2-210090</t>
  </si>
  <si>
    <t>P2-240942</t>
  </si>
  <si>
    <t>L2-220166</t>
  </si>
  <si>
    <t>P2-240943</t>
  </si>
  <si>
    <t>L2-220167</t>
  </si>
  <si>
    <t>P2-240944</t>
  </si>
  <si>
    <t>L2-220168</t>
  </si>
  <si>
    <t>P2-240945</t>
  </si>
  <si>
    <t>L2-200153</t>
  </si>
  <si>
    <t>P2-240948</t>
  </si>
  <si>
    <t>L2-190134</t>
  </si>
  <si>
    <t>P2-240949</t>
  </si>
  <si>
    <t>L2-230139</t>
  </si>
  <si>
    <t>P2-240950</t>
  </si>
  <si>
    <t>L2-230140</t>
  </si>
  <si>
    <t>P2-240951</t>
  </si>
  <si>
    <t>L2-230143</t>
  </si>
  <si>
    <t>P2-240953</t>
  </si>
  <si>
    <t>L2-170165</t>
  </si>
  <si>
    <t>P2-240954</t>
  </si>
  <si>
    <t>L2-240219</t>
  </si>
  <si>
    <t>P2-240956</t>
  </si>
  <si>
    <t>L2-170168</t>
  </si>
  <si>
    <t>P2-240957</t>
  </si>
  <si>
    <t>L2-200157</t>
  </si>
  <si>
    <t>P2-240958</t>
  </si>
  <si>
    <t>L2-220170</t>
  </si>
  <si>
    <t>P2-240961</t>
  </si>
  <si>
    <t>L2-230144</t>
  </si>
  <si>
    <t>P2-240963</t>
  </si>
  <si>
    <t>L2-190138</t>
  </si>
  <si>
    <t>P2-240965</t>
  </si>
  <si>
    <t>L2-220172</t>
  </si>
  <si>
    <t>P2-240966</t>
  </si>
  <si>
    <t>L2-160223</t>
  </si>
  <si>
    <t>P2-240967</t>
  </si>
  <si>
    <t>L2-210093</t>
  </si>
  <si>
    <t>P2-240968</t>
  </si>
  <si>
    <t>L2-180177</t>
  </si>
  <si>
    <t>P2-240970</t>
  </si>
  <si>
    <t>L2-220175</t>
  </si>
  <si>
    <t>P2-240972</t>
  </si>
  <si>
    <t>L2-240222</t>
  </si>
  <si>
    <t>P2-240973</t>
  </si>
  <si>
    <t>L2-150135</t>
  </si>
  <si>
    <t>P2-240975</t>
  </si>
  <si>
    <t>L2-160225</t>
  </si>
  <si>
    <t>P2-240977</t>
  </si>
  <si>
    <t>L2-180178</t>
  </si>
  <si>
    <t>P2-240978</t>
  </si>
  <si>
    <t>L2-160228</t>
  </si>
  <si>
    <t>P2-240980</t>
  </si>
  <si>
    <t>L2-240223</t>
  </si>
  <si>
    <t>P2-240982</t>
  </si>
  <si>
    <t>L2-240225</t>
  </si>
  <si>
    <t>P2-240983</t>
  </si>
  <si>
    <t>L2-240226</t>
  </si>
  <si>
    <t>P2-240985</t>
  </si>
  <si>
    <t>L2-200159</t>
  </si>
  <si>
    <t>P2-240986</t>
  </si>
  <si>
    <t>L2-210096</t>
  </si>
  <si>
    <t>P2-240989</t>
  </si>
  <si>
    <t>L2-190141</t>
  </si>
  <si>
    <t>P2-240990</t>
  </si>
  <si>
    <t>L2-220180</t>
  </si>
  <si>
    <t>P2-240992</t>
  </si>
  <si>
    <t>L2-240228</t>
  </si>
  <si>
    <t>P2-240995</t>
  </si>
  <si>
    <t>L2-200161</t>
  </si>
  <si>
    <t>P2-240996</t>
  </si>
  <si>
    <t>L2-160237</t>
  </si>
  <si>
    <t>P2-240997</t>
  </si>
  <si>
    <t>L2-200164</t>
  </si>
  <si>
    <t>P2-241000</t>
  </si>
  <si>
    <t>L2-190142</t>
  </si>
  <si>
    <t>P2-241002</t>
  </si>
  <si>
    <t>L2-200163</t>
  </si>
  <si>
    <t>P2-241003</t>
  </si>
  <si>
    <t>L2-160235</t>
  </si>
  <si>
    <t>P2-241004</t>
  </si>
  <si>
    <t>L2-230147</t>
  </si>
  <si>
    <t>P2-241005</t>
  </si>
  <si>
    <t>L2-240231</t>
  </si>
  <si>
    <t>P2-241007</t>
  </si>
  <si>
    <t>L2-240233</t>
  </si>
  <si>
    <t>P2-241009</t>
  </si>
  <si>
    <t>L2-180182</t>
  </si>
  <si>
    <t>P2-241010</t>
  </si>
  <si>
    <t>L2-220182</t>
  </si>
  <si>
    <t>P2-241011</t>
  </si>
  <si>
    <t>L2-240234</t>
  </si>
  <si>
    <t>P2-241012</t>
  </si>
  <si>
    <t>L2-160243</t>
  </si>
  <si>
    <t>P2-241013</t>
  </si>
  <si>
    <t>L2-160239</t>
  </si>
  <si>
    <t>P2-241019</t>
  </si>
  <si>
    <t>L2-240237</t>
  </si>
  <si>
    <t>P2-241020</t>
  </si>
  <si>
    <t>L2-230151</t>
  </si>
  <si>
    <t>P2-241021</t>
  </si>
  <si>
    <t>L2-200168</t>
  </si>
  <si>
    <t>P2-241022</t>
  </si>
  <si>
    <t>L2-230150</t>
  </si>
  <si>
    <t>P2-241024</t>
  </si>
  <si>
    <t>L2-230152</t>
  </si>
  <si>
    <t>P2-241026</t>
  </si>
  <si>
    <t>L2-200170</t>
  </si>
  <si>
    <t>P2-241027</t>
  </si>
  <si>
    <t>L2-210098</t>
  </si>
  <si>
    <t>P2-241029</t>
  </si>
  <si>
    <t>L2-240238</t>
  </si>
  <si>
    <t>P2-241031</t>
  </si>
  <si>
    <t>L2-230154</t>
  </si>
  <si>
    <t>P2-241032</t>
  </si>
  <si>
    <t>L2-150144</t>
  </si>
  <si>
    <t>P2-241033</t>
  </si>
  <si>
    <t>L2-220185</t>
  </si>
  <si>
    <t>P2-241034</t>
  </si>
  <si>
    <t>L2-200172</t>
  </si>
  <si>
    <t>P2-241035</t>
  </si>
  <si>
    <t>L2-100116</t>
  </si>
  <si>
    <t>P2-241036</t>
  </si>
  <si>
    <t>L2-220184</t>
  </si>
  <si>
    <t>P2-241038</t>
  </si>
  <si>
    <t>L2-230153</t>
  </si>
  <si>
    <t>P2-241039</t>
  </si>
  <si>
    <t>L2-180184</t>
  </si>
  <si>
    <t>P2-241040</t>
  </si>
  <si>
    <t>L2-240240</t>
  </si>
  <si>
    <t>P2-241041</t>
  </si>
  <si>
    <t>L2-240241</t>
  </si>
  <si>
    <t>P2-241042</t>
  </si>
  <si>
    <t>L2-240242</t>
  </si>
  <si>
    <t>P2-241043</t>
  </si>
  <si>
    <t>L2-240243</t>
  </si>
  <si>
    <t>P2-241046</t>
  </si>
  <si>
    <t>L2-230155</t>
  </si>
  <si>
    <t>P2-241047</t>
  </si>
  <si>
    <t>L2-220186</t>
  </si>
  <si>
    <t>P2-241050</t>
  </si>
  <si>
    <t>L2-220187</t>
  </si>
  <si>
    <t>P2-241051</t>
  </si>
  <si>
    <t>L2-160249</t>
  </si>
  <si>
    <t>P2-241052</t>
  </si>
  <si>
    <t>L2-220188</t>
  </si>
  <si>
    <t>P2-241053</t>
  </si>
  <si>
    <t>L2-200175</t>
  </si>
  <si>
    <t>P2-241054</t>
  </si>
  <si>
    <t>L2-220191</t>
  </si>
  <si>
    <t>P2-241057</t>
  </si>
  <si>
    <t>L2-220190</t>
  </si>
  <si>
    <t>P2-241058</t>
  </si>
  <si>
    <t>L2-220189</t>
  </si>
  <si>
    <t>P2-241060</t>
  </si>
  <si>
    <t>L2-160262</t>
  </si>
  <si>
    <t>P2-241061</t>
  </si>
  <si>
    <t>L2-200176</t>
  </si>
  <si>
    <t>P2-241062</t>
  </si>
  <si>
    <t>L2-190147</t>
  </si>
  <si>
    <t>P2-241063</t>
  </si>
  <si>
    <t>L2-220195</t>
  </si>
  <si>
    <t>P2-241064</t>
  </si>
  <si>
    <t>L2-150149</t>
  </si>
  <si>
    <t>P2-241065</t>
  </si>
  <si>
    <t>L2-170187</t>
  </si>
  <si>
    <t>P2-241068</t>
  </si>
  <si>
    <t>L2-200177</t>
  </si>
  <si>
    <t>P2-241071</t>
  </si>
  <si>
    <t>L2-240246</t>
  </si>
  <si>
    <t>P2-241072</t>
  </si>
  <si>
    <t>L2-200180</t>
  </si>
  <si>
    <t>P2-241073</t>
  </si>
  <si>
    <t>L2-220196</t>
  </si>
  <si>
    <t>P2-241074</t>
  </si>
  <si>
    <t>L2-230158</t>
  </si>
  <si>
    <t>P2-241077</t>
  </si>
  <si>
    <t>L2-140110</t>
  </si>
  <si>
    <t>P2-241078</t>
  </si>
  <si>
    <t>L2-240247</t>
  </si>
  <si>
    <t>P2-241080</t>
  </si>
  <si>
    <t>L2-210106</t>
  </si>
  <si>
    <t>P2-241081</t>
  </si>
  <si>
    <t>L2-200185</t>
  </si>
  <si>
    <t>P2-241082</t>
  </si>
  <si>
    <t>L2-180188</t>
  </si>
  <si>
    <t>P2-241083</t>
  </si>
  <si>
    <t>L2-220198</t>
  </si>
  <si>
    <t>P2-241084</t>
  </si>
  <si>
    <t>L2-230160</t>
  </si>
  <si>
    <t>P2-241085</t>
  </si>
  <si>
    <t>L2-150151</t>
  </si>
  <si>
    <t>P2-241087</t>
  </si>
  <si>
    <t>L2-220200</t>
  </si>
  <si>
    <t>P2-241088</t>
  </si>
  <si>
    <t>L2-180192</t>
  </si>
  <si>
    <t>P2-241090</t>
  </si>
  <si>
    <t>L2-170192</t>
  </si>
  <si>
    <t>P2-241091</t>
  </si>
  <si>
    <t>L2-230161</t>
  </si>
  <si>
    <t>P2-241092</t>
  </si>
  <si>
    <t>L2-200187</t>
  </si>
  <si>
    <t>P2-241094</t>
  </si>
  <si>
    <t>L2-240250</t>
  </si>
  <si>
    <t>P2-241097</t>
  </si>
  <si>
    <t>L2-230162</t>
  </si>
  <si>
    <t>P2-241098</t>
  </si>
  <si>
    <t>L2-220203</t>
  </si>
  <si>
    <t>P2-241099</t>
  </si>
  <si>
    <t>L2-200189</t>
  </si>
  <si>
    <t>P2-241100</t>
  </si>
  <si>
    <t>L2-230163</t>
  </si>
  <si>
    <t>P2-241102</t>
  </si>
  <si>
    <t>L2-240251</t>
  </si>
  <si>
    <t>P2-241104</t>
  </si>
  <si>
    <t>L2-190150</t>
  </si>
  <si>
    <t>P2-241105</t>
  </si>
  <si>
    <t>L2-120069</t>
  </si>
  <si>
    <t>P2-241107</t>
  </si>
  <si>
    <t>L2-180193</t>
  </si>
  <si>
    <t>P2-241109</t>
  </si>
  <si>
    <t>L2-200193</t>
  </si>
  <si>
    <t>P2-241110</t>
  </si>
  <si>
    <t>L2-200192</t>
  </si>
  <si>
    <t>P2-241112</t>
  </si>
  <si>
    <t>L2-240254</t>
  </si>
  <si>
    <t>P2-241113</t>
  </si>
  <si>
    <t>L2-230165</t>
  </si>
  <si>
    <t>P2-241114</t>
  </si>
  <si>
    <t>L2-230166</t>
  </si>
  <si>
    <t>P2-241115</t>
  </si>
  <si>
    <t>L2-160275</t>
  </si>
  <si>
    <t>P2-241116</t>
  </si>
  <si>
    <t>L2-170199</t>
  </si>
  <si>
    <t>P2-241117</t>
  </si>
  <si>
    <t>L2-150157</t>
  </si>
  <si>
    <t>P2-241119</t>
  </si>
  <si>
    <t>L2-220207</t>
  </si>
  <si>
    <t>P2-241120</t>
  </si>
  <si>
    <t>L2-230167</t>
  </si>
  <si>
    <t>P2-241123</t>
  </si>
  <si>
    <t>L2-170203</t>
  </si>
  <si>
    <t>P2-241124</t>
  </si>
  <si>
    <t>L2-170204</t>
  </si>
  <si>
    <t>P2-241125</t>
  </si>
  <si>
    <t>L2-200198</t>
  </si>
  <si>
    <t>P2-241126</t>
  </si>
  <si>
    <t>L2-180199</t>
  </si>
  <si>
    <t>P2-241127</t>
  </si>
  <si>
    <t>L2-220208</t>
  </si>
  <si>
    <t>P2-241128</t>
  </si>
  <si>
    <t>L2-240255</t>
  </si>
  <si>
    <t>P2-241129</t>
  </si>
  <si>
    <t>L2-240256</t>
  </si>
  <si>
    <t>P2-241130</t>
  </si>
  <si>
    <t>L2-240257</t>
  </si>
  <si>
    <t>P2-241131</t>
  </si>
  <si>
    <t>L2-240258</t>
  </si>
  <si>
    <t>P2-241134</t>
  </si>
  <si>
    <t>L2-220211</t>
  </si>
  <si>
    <t>P2-241135</t>
  </si>
  <si>
    <t>L2-230171</t>
  </si>
  <si>
    <t>P2-241136</t>
  </si>
  <si>
    <t>L2-150160</t>
  </si>
  <si>
    <t>P2-241137</t>
  </si>
  <si>
    <t>L2-180202</t>
  </si>
  <si>
    <t>P2-241139</t>
  </si>
  <si>
    <t>L2-240260</t>
  </si>
  <si>
    <t>P2-241140</t>
  </si>
  <si>
    <t>L2-220212</t>
  </si>
  <si>
    <t>P2-241142</t>
  </si>
  <si>
    <t>L2-230173</t>
  </si>
  <si>
    <t>P2-241143</t>
  </si>
  <si>
    <t>L2-180203</t>
  </si>
  <si>
    <t>P2-241144</t>
  </si>
  <si>
    <t>L2-230174</t>
  </si>
  <si>
    <t>P2-241145</t>
  </si>
  <si>
    <t>L2-230175</t>
  </si>
  <si>
    <t>P2-241146</t>
  </si>
  <si>
    <t>L2-210109</t>
  </si>
  <si>
    <t>P2-241147</t>
  </si>
  <si>
    <t>L2-200202</t>
  </si>
  <si>
    <t>P2-241149</t>
  </si>
  <si>
    <t>L2-240261</t>
  </si>
  <si>
    <t>P2-241151</t>
  </si>
  <si>
    <t>L2-240263</t>
  </si>
  <si>
    <t>P2-241152</t>
  </si>
  <si>
    <t>L2-220218</t>
  </si>
  <si>
    <t>P2-241154</t>
  </si>
  <si>
    <t>L2-220214</t>
  </si>
  <si>
    <t>P2-241155</t>
  </si>
  <si>
    <t>L2-110064</t>
  </si>
  <si>
    <t>P2-241157</t>
  </si>
  <si>
    <t>L2-220215</t>
  </si>
  <si>
    <t>P2-241158</t>
  </si>
  <si>
    <t>L2-200203</t>
  </si>
  <si>
    <t>P2-241159</t>
  </si>
  <si>
    <t>L2-210110</t>
  </si>
  <si>
    <t>P2-241160</t>
  </si>
  <si>
    <t>L2-220216</t>
  </si>
  <si>
    <t>P2-241162</t>
  </si>
  <si>
    <t>L2-180208</t>
  </si>
  <si>
    <t>P2-241163</t>
  </si>
  <si>
    <t>L2-230181</t>
  </si>
  <si>
    <t>P2-241164</t>
  </si>
  <si>
    <t>L2-230179</t>
  </si>
  <si>
    <t>P2-241166</t>
  </si>
  <si>
    <t>L2-230177</t>
  </si>
  <si>
    <t>P2-241168</t>
  </si>
  <si>
    <t>L2-160283</t>
  </si>
  <si>
    <t>P2-241169</t>
  </si>
  <si>
    <t>L2-220220</t>
  </si>
  <si>
    <t>P2-241170</t>
  </si>
  <si>
    <t>L2-220219</t>
  </si>
  <si>
    <t>P2-241172</t>
  </si>
  <si>
    <t>L2-150162</t>
  </si>
  <si>
    <t>P2-241173</t>
  </si>
  <si>
    <t>L2-230178</t>
  </si>
  <si>
    <t>P2-241175</t>
  </si>
  <si>
    <t>L2-240265</t>
  </si>
  <si>
    <t>P2-241176</t>
  </si>
  <si>
    <t>L2-230182</t>
  </si>
  <si>
    <t>P2-241177</t>
  </si>
  <si>
    <t>L2-200208</t>
  </si>
  <si>
    <t>P2-241178</t>
  </si>
  <si>
    <t>L2-150163</t>
  </si>
  <si>
    <t>P2-241179</t>
  </si>
  <si>
    <t>L2-190160</t>
  </si>
  <si>
    <t>P2-241180</t>
  </si>
  <si>
    <t>L2-240266</t>
  </si>
  <si>
    <t>P2-241181</t>
  </si>
  <si>
    <t>L2-240267</t>
  </si>
  <si>
    <t>P2-241184</t>
  </si>
  <si>
    <t>L2-200209</t>
  </si>
  <si>
    <t>P2-241185</t>
  </si>
  <si>
    <t>L2-180213</t>
  </si>
  <si>
    <t>P2-241186</t>
  </si>
  <si>
    <t>L2-230184</t>
  </si>
  <si>
    <t>P2-241188</t>
  </si>
  <si>
    <t>L2-160288</t>
  </si>
  <si>
    <t>P2-241189</t>
  </si>
  <si>
    <t>L2-100132</t>
  </si>
  <si>
    <t>P2-241190</t>
  </si>
  <si>
    <t>L2-230185</t>
  </si>
  <si>
    <t>P2-241191</t>
  </si>
  <si>
    <t>L2-190161</t>
  </si>
  <si>
    <t>P2-241192</t>
  </si>
  <si>
    <t>L2-230183</t>
  </si>
  <si>
    <t>P2-241194</t>
  </si>
  <si>
    <t>L2-220223</t>
  </si>
  <si>
    <t>P2-241195</t>
  </si>
  <si>
    <t>L2-210112</t>
  </si>
  <si>
    <t>P2-241200</t>
  </si>
  <si>
    <t>L2-120079</t>
  </si>
  <si>
    <t>P2-241202</t>
  </si>
  <si>
    <t>L2-180216</t>
  </si>
  <si>
    <t>P2-241203</t>
  </si>
  <si>
    <t>L2-240269</t>
  </si>
  <si>
    <t>P2-241204</t>
  </si>
  <si>
    <t>L2-240270</t>
  </si>
  <si>
    <t>P2-241205</t>
  </si>
  <si>
    <t>L2-190164</t>
  </si>
  <si>
    <t>P2-241207</t>
  </si>
  <si>
    <t>L2-170217</t>
  </si>
  <si>
    <t>P2-241208</t>
  </si>
  <si>
    <t>L2-220231</t>
  </si>
  <si>
    <t>P2-241209</t>
  </si>
  <si>
    <t>L2-220229</t>
  </si>
  <si>
    <t>P2-241210</t>
  </si>
  <si>
    <t>L2-220228</t>
  </si>
  <si>
    <t>P2-241211</t>
  </si>
  <si>
    <t>L2-180219</t>
  </si>
  <si>
    <t>P2-241214</t>
  </si>
  <si>
    <t>L2-240271</t>
  </si>
  <si>
    <t>P2-241216</t>
  </si>
  <si>
    <t>L2-120081</t>
  </si>
  <si>
    <t>P2-241219</t>
  </si>
  <si>
    <t>L2-170219</t>
  </si>
  <si>
    <t>P2-241220</t>
  </si>
  <si>
    <t>L2-220232</t>
  </si>
  <si>
    <t>P2-241221</t>
  </si>
  <si>
    <t>L2-220234</t>
  </si>
  <si>
    <t>P2-241224</t>
  </si>
  <si>
    <t>L2-240273</t>
  </si>
  <si>
    <t>P2-241227</t>
  </si>
  <si>
    <t>L2-180224</t>
  </si>
  <si>
    <t>P2-241228</t>
  </si>
  <si>
    <t>L2-170221</t>
  </si>
  <si>
    <t>P2-241231</t>
  </si>
  <si>
    <t>L2-190167</t>
  </si>
  <si>
    <t>P2-241233</t>
  </si>
  <si>
    <t>L2-240277</t>
  </si>
  <si>
    <t>P2-241236</t>
  </si>
  <si>
    <t>L2-160303</t>
  </si>
  <si>
    <t>P2-241238</t>
  </si>
  <si>
    <t>L2-190169</t>
  </si>
  <si>
    <t>P2-241240</t>
  </si>
  <si>
    <t>L2-240279</t>
  </si>
  <si>
    <t>P2-241241</t>
  </si>
  <si>
    <t>L2-170226</t>
  </si>
  <si>
    <t>P2-241242</t>
  </si>
  <si>
    <t>L2-230191</t>
  </si>
  <si>
    <t>P2-241243</t>
  </si>
  <si>
    <t>L2-140122</t>
  </si>
  <si>
    <t>P2-241245</t>
  </si>
  <si>
    <t>L2-220235</t>
  </si>
  <si>
    <t>P2-241246</t>
  </si>
  <si>
    <t>L2-190170</t>
  </si>
  <si>
    <t>P2-241247</t>
  </si>
  <si>
    <t>L2-230192</t>
  </si>
  <si>
    <t>P2-241249</t>
  </si>
  <si>
    <t>L2-240280</t>
  </si>
  <si>
    <t>P2-241250</t>
  </si>
  <si>
    <t>L2-240281</t>
  </si>
  <si>
    <t>P2-241253</t>
  </si>
  <si>
    <t>L2-230194</t>
  </si>
  <si>
    <t>P2-241254</t>
  </si>
  <si>
    <t>L2-220239</t>
  </si>
  <si>
    <t>P2-241255</t>
  </si>
  <si>
    <t>L2-220238</t>
  </si>
  <si>
    <t>P2-241259</t>
  </si>
  <si>
    <t>L2-100139</t>
  </si>
  <si>
    <t>P2-241260</t>
  </si>
  <si>
    <t>L2-220240</t>
  </si>
  <si>
    <t>P2-241263</t>
  </si>
  <si>
    <t>L2-190173</t>
  </si>
  <si>
    <t>P2-241264</t>
  </si>
  <si>
    <t>L2-240283</t>
  </si>
  <si>
    <t>P2-241265</t>
  </si>
  <si>
    <t>L2-240284</t>
  </si>
  <si>
    <t>P2-241268</t>
  </si>
  <si>
    <t>L2-230195</t>
  </si>
  <si>
    <t>P2-241272</t>
  </si>
  <si>
    <t>L2-200217</t>
  </si>
  <si>
    <t>P2-241273</t>
  </si>
  <si>
    <t>L2-180227</t>
  </si>
  <si>
    <t>P2-241274</t>
  </si>
  <si>
    <t>L2-240285</t>
  </si>
  <si>
    <t>P2-241276</t>
  </si>
  <si>
    <t>L2-240287</t>
  </si>
  <si>
    <t>P2-241277</t>
  </si>
  <si>
    <t>L2-240288</t>
  </si>
  <si>
    <t>P2-241278</t>
  </si>
  <si>
    <t>L2-240289</t>
  </si>
  <si>
    <t>P2-241279</t>
  </si>
  <si>
    <t>L2-230199</t>
  </si>
  <si>
    <t>P2-241280</t>
  </si>
  <si>
    <t>L2-220242</t>
  </si>
  <si>
    <t>P2-241281</t>
  </si>
  <si>
    <t>L2-190176</t>
  </si>
  <si>
    <t>P2-241284</t>
  </si>
  <si>
    <t>L2-160317</t>
  </si>
  <si>
    <t>P2-241286</t>
  </si>
  <si>
    <t>L2-210117</t>
  </si>
  <si>
    <t>P2-241287</t>
  </si>
  <si>
    <t>L2-240290</t>
  </si>
  <si>
    <t>P2-241288</t>
  </si>
  <si>
    <t>L2-210120</t>
  </si>
  <si>
    <t>P2-241289</t>
  </si>
  <si>
    <t>L2-220247</t>
  </si>
  <si>
    <t>P2-241293</t>
  </si>
  <si>
    <t>L2-220243</t>
  </si>
  <si>
    <t>P2-241295</t>
  </si>
  <si>
    <t>L2-170233</t>
  </si>
  <si>
    <t>P2-241296</t>
  </si>
  <si>
    <t>L2-220245</t>
  </si>
  <si>
    <t>P2-241298</t>
  </si>
  <si>
    <t>L2-220248</t>
  </si>
  <si>
    <t>P2-241299</t>
  </si>
  <si>
    <t>L2-230201</t>
  </si>
  <si>
    <t>P2-241301</t>
  </si>
  <si>
    <t>L2-240292</t>
  </si>
  <si>
    <t>P2-241302</t>
  </si>
  <si>
    <t>L2-150175</t>
  </si>
  <si>
    <t>P2-241303</t>
  </si>
  <si>
    <t>L2-220249</t>
  </si>
  <si>
    <t>P2-241305</t>
  </si>
  <si>
    <t>L2-240293</t>
  </si>
  <si>
    <t>P2-241306</t>
  </si>
  <si>
    <t>L2-240294</t>
  </si>
  <si>
    <t>P2-241307</t>
  </si>
  <si>
    <t>L2-180230</t>
  </si>
  <si>
    <t>P2-241308</t>
  </si>
  <si>
    <t>L2-140135</t>
  </si>
  <si>
    <t>P2-241310</t>
  </si>
  <si>
    <t>L2-180229</t>
  </si>
  <si>
    <t>P2-241311</t>
  </si>
  <si>
    <t>L2-170234</t>
  </si>
  <si>
    <t>P2-241312</t>
  </si>
  <si>
    <t>L2-150177</t>
  </si>
  <si>
    <t>P2-241313</t>
  </si>
  <si>
    <t>L2-220250</t>
  </si>
  <si>
    <t>P2-241314</t>
  </si>
  <si>
    <t>L2-170235</t>
  </si>
  <si>
    <t>P2-241316</t>
  </si>
  <si>
    <t>L2-220251</t>
  </si>
  <si>
    <t>P2-241317</t>
  </si>
  <si>
    <t>L2-240295</t>
  </si>
  <si>
    <t>P2-241321</t>
  </si>
  <si>
    <t>L2-200226</t>
  </si>
  <si>
    <t>P2-241322</t>
  </si>
  <si>
    <t>L2-160328</t>
  </si>
  <si>
    <t>P2-241323</t>
  </si>
  <si>
    <t>L2-200228</t>
  </si>
  <si>
    <t>P2-241324</t>
  </si>
  <si>
    <t>L2-230206</t>
  </si>
  <si>
    <t>P2-241325</t>
  </si>
  <si>
    <t>L2-240296</t>
  </si>
  <si>
    <t>P2-241328</t>
  </si>
  <si>
    <t>L2-200229</t>
  </si>
  <si>
    <t>P2-241329</t>
  </si>
  <si>
    <t>L2-200230</t>
  </si>
  <si>
    <t>P2-241330</t>
  </si>
  <si>
    <t>L2-200231</t>
  </si>
  <si>
    <t>P2-241331</t>
  </si>
  <si>
    <t>L2-160331</t>
  </si>
  <si>
    <t>P2-241332</t>
  </si>
  <si>
    <t>L2-170241</t>
  </si>
  <si>
    <t>P2-241333</t>
  </si>
  <si>
    <t>L2-240297</t>
  </si>
  <si>
    <t>P2-241335</t>
  </si>
  <si>
    <t>L2-240299</t>
  </si>
  <si>
    <t>P2-241336</t>
  </si>
  <si>
    <t>L2-240300</t>
  </si>
  <si>
    <t>P2-241337</t>
  </si>
  <si>
    <t>L2-240301</t>
  </si>
  <si>
    <t>P2-241340</t>
  </si>
  <si>
    <t>L2-200234</t>
  </si>
  <si>
    <t>P2-241342</t>
  </si>
  <si>
    <t>L2-210124</t>
  </si>
  <si>
    <t>P2-241349</t>
  </si>
  <si>
    <t>L2-140138</t>
  </si>
  <si>
    <t>P2-241350</t>
  </si>
  <si>
    <t>L2-160334</t>
  </si>
  <si>
    <t>P2-241352</t>
  </si>
  <si>
    <t>L2-140139</t>
  </si>
  <si>
    <t>P2-241355</t>
  </si>
  <si>
    <t>L2-120090</t>
  </si>
  <si>
    <t>P2-241356</t>
  </si>
  <si>
    <t>L2-240303</t>
  </si>
  <si>
    <t>P2-241359</t>
  </si>
  <si>
    <t>L2-200238</t>
  </si>
  <si>
    <t>P2-241360</t>
  </si>
  <si>
    <t>L2-180240</t>
  </si>
  <si>
    <t>P2-241361</t>
  </si>
  <si>
    <t>L2-190185</t>
  </si>
  <si>
    <t>P2-241362</t>
  </si>
  <si>
    <t>L2-230211</t>
  </si>
  <si>
    <t>P2-241363</t>
  </si>
  <si>
    <t>L2-240306</t>
  </si>
  <si>
    <t>P2-241364</t>
  </si>
  <si>
    <t>L2-230213</t>
  </si>
  <si>
    <t>P2-241365</t>
  </si>
  <si>
    <t>L2-230214</t>
  </si>
  <si>
    <t>P2-241366</t>
  </si>
  <si>
    <t>L2-210130</t>
  </si>
  <si>
    <t>P2-241367</t>
  </si>
  <si>
    <t>L2-230212</t>
  </si>
  <si>
    <t>P2-241372</t>
  </si>
  <si>
    <t>L2-170246</t>
  </si>
  <si>
    <t>P2-241375</t>
  </si>
  <si>
    <t>L2-120095</t>
  </si>
  <si>
    <t>P2-241377</t>
  </si>
  <si>
    <t>L2-240310</t>
  </si>
  <si>
    <t>P2-241378</t>
  </si>
  <si>
    <t>L2-220259</t>
  </si>
  <si>
    <t>P2-241380</t>
  </si>
  <si>
    <t>L2-170247</t>
  </si>
  <si>
    <t>P2-241381</t>
  </si>
  <si>
    <t>L2-230219</t>
  </si>
  <si>
    <t>P2-241382</t>
  </si>
  <si>
    <t>L2-230218</t>
  </si>
  <si>
    <t>P2-241383</t>
  </si>
  <si>
    <t>L2-200240</t>
  </si>
  <si>
    <t>P2-241385</t>
  </si>
  <si>
    <t>L2-240312</t>
  </si>
  <si>
    <t>P2-241386</t>
  </si>
  <si>
    <t>L2-240313</t>
  </si>
  <si>
    <t>P2-241387</t>
  </si>
  <si>
    <t>L2-170250</t>
  </si>
  <si>
    <t>P2-241388</t>
  </si>
  <si>
    <t>L2-210134</t>
  </si>
  <si>
    <t>P2-241390</t>
  </si>
  <si>
    <t>L2-200241</t>
  </si>
  <si>
    <t>P2-241391</t>
  </si>
  <si>
    <t>L2-210135</t>
  </si>
  <si>
    <t>P2-241392</t>
  </si>
  <si>
    <t>L2-210133</t>
  </si>
  <si>
    <t>P2-241393</t>
  </si>
  <si>
    <t>L2-240314</t>
  </si>
  <si>
    <t>P2-241394</t>
  </si>
  <si>
    <t>L2-240315</t>
  </si>
  <si>
    <t>P2-241395</t>
  </si>
  <si>
    <t>L2-160348</t>
  </si>
  <si>
    <t>P2-241397</t>
  </si>
  <si>
    <t>L2-170251</t>
  </si>
  <si>
    <t>P2-241399</t>
  </si>
  <si>
    <t>L2-220261</t>
  </si>
  <si>
    <t>P2-241400</t>
  </si>
  <si>
    <t>L2-160355</t>
  </si>
  <si>
    <t>P2-241402</t>
  </si>
  <si>
    <t>L2-160353</t>
  </si>
  <si>
    <t>P2-241405</t>
  </si>
  <si>
    <t>L2-230221</t>
  </si>
  <si>
    <t>P2-241406</t>
  </si>
  <si>
    <t>L2-220262</t>
  </si>
  <si>
    <t>P2-241408</t>
  </si>
  <si>
    <t>L2-220263</t>
  </si>
  <si>
    <t>P2-241412</t>
  </si>
  <si>
    <t>L2-240318</t>
  </si>
  <si>
    <t>P2-241414</t>
  </si>
  <si>
    <t>L2-240320</t>
  </si>
  <si>
    <t>P2-241415</t>
  </si>
  <si>
    <t>L2-230223</t>
  </si>
  <si>
    <t>P2-241418</t>
  </si>
  <si>
    <t>L2-240321</t>
  </si>
  <si>
    <t>P2-241420</t>
  </si>
  <si>
    <t>L2-240323</t>
  </si>
  <si>
    <t>P2-241422</t>
  </si>
  <si>
    <t>L2-240325</t>
  </si>
  <si>
    <t>P2-241423</t>
  </si>
  <si>
    <t>L2-160365</t>
  </si>
  <si>
    <t>P2-241424</t>
  </si>
  <si>
    <t>L2-180253</t>
  </si>
  <si>
    <t>P2-241425</t>
  </si>
  <si>
    <t>L2-180254</t>
  </si>
  <si>
    <t>P2-241428</t>
  </si>
  <si>
    <t>L2-220270</t>
  </si>
  <si>
    <t>P2-241429</t>
  </si>
  <si>
    <t>L2-200248</t>
  </si>
  <si>
    <t>P2-241430</t>
  </si>
  <si>
    <t>L2-170256</t>
  </si>
  <si>
    <t>P2-241431</t>
  </si>
  <si>
    <t>L2-160367</t>
  </si>
  <si>
    <t>P2-241432</t>
  </si>
  <si>
    <t>L2-220268</t>
  </si>
  <si>
    <t>P2-241433</t>
  </si>
  <si>
    <t>L2-230225</t>
  </si>
  <si>
    <t>P2-241434</t>
  </si>
  <si>
    <t>L2-180257</t>
  </si>
  <si>
    <t>P2-241435</t>
  </si>
  <si>
    <t>L2-170257</t>
  </si>
  <si>
    <t>P2-241436</t>
  </si>
  <si>
    <t>L2-200249</t>
  </si>
  <si>
    <t>P2-241437</t>
  </si>
  <si>
    <t>L2-240327</t>
  </si>
  <si>
    <t>P2-241438</t>
  </si>
  <si>
    <t>L2-240328</t>
  </si>
  <si>
    <t>P2-241439</t>
  </si>
  <si>
    <t>L2-160369</t>
  </si>
  <si>
    <t>P2-241440</t>
  </si>
  <si>
    <t>L2-180260</t>
  </si>
  <si>
    <t>P2-241441</t>
  </si>
  <si>
    <t>L2-220271</t>
  </si>
  <si>
    <t>P2-241446</t>
  </si>
  <si>
    <t>L2-240331</t>
  </si>
  <si>
    <t>P2-241447</t>
  </si>
  <si>
    <t>L2-220274</t>
  </si>
  <si>
    <t>P2-241449</t>
  </si>
  <si>
    <t>L2-160376</t>
  </si>
  <si>
    <t>P2-241451</t>
  </si>
  <si>
    <t>L2-200250</t>
  </si>
  <si>
    <t>P2-241452</t>
  </si>
  <si>
    <t>L2-220272</t>
  </si>
  <si>
    <t>P2-241453</t>
  </si>
  <si>
    <t>L2-220273</t>
  </si>
  <si>
    <t>P2-241454</t>
  </si>
  <si>
    <t>L2-230226</t>
  </si>
  <si>
    <t>P2-241455</t>
  </si>
  <si>
    <t>L2-240332</t>
  </si>
  <si>
    <t>P2-241456</t>
  </si>
  <si>
    <t>L2-240333</t>
  </si>
  <si>
    <t>P2-241458</t>
  </si>
  <si>
    <t>L2-240335</t>
  </si>
  <si>
    <t>P2-241459</t>
  </si>
  <si>
    <t>L2-150194</t>
  </si>
  <si>
    <t>P2-241460</t>
  </si>
  <si>
    <t>L2-120099</t>
  </si>
  <si>
    <t>P2-241461</t>
  </si>
  <si>
    <t>L2-200252</t>
  </si>
  <si>
    <t>P2-241463</t>
  </si>
  <si>
    <t>L2-200253</t>
  </si>
  <si>
    <t>P2-241464</t>
  </si>
  <si>
    <t>L2-220275</t>
  </si>
  <si>
    <t>P2-241465</t>
  </si>
  <si>
    <t>L2-210141</t>
  </si>
  <si>
    <t>P2-241466</t>
  </si>
  <si>
    <t>L2-180262</t>
  </si>
  <si>
    <t>P2-241467</t>
  </si>
  <si>
    <t>L2-200255</t>
  </si>
  <si>
    <t>P2-241470</t>
  </si>
  <si>
    <t>L2-170263</t>
  </si>
  <si>
    <t>P2-241472</t>
  </si>
  <si>
    <t>L2-180263</t>
  </si>
  <si>
    <t>P2-241473</t>
  </si>
  <si>
    <t>L2-180264</t>
  </si>
  <si>
    <t>P2-241474</t>
  </si>
  <si>
    <t>L2-140156</t>
  </si>
  <si>
    <t>P2-241477</t>
  </si>
  <si>
    <t>L2-240337</t>
  </si>
  <si>
    <t>P2-241478</t>
  </si>
  <si>
    <t>L2-240338</t>
  </si>
  <si>
    <t>P2-241479</t>
  </si>
  <si>
    <t>L2-240339</t>
  </si>
  <si>
    <t>P2-241480</t>
  </si>
  <si>
    <t>L2-230231</t>
  </si>
  <si>
    <t>P2-241481</t>
  </si>
  <si>
    <t>L2-200258</t>
  </si>
  <si>
    <t>P2-241482</t>
  </si>
  <si>
    <t>L2-230230</t>
  </si>
  <si>
    <t>P2-241483</t>
  </si>
  <si>
    <t>L2-160384</t>
  </si>
  <si>
    <t>P2-241484</t>
  </si>
  <si>
    <t>L2-200260</t>
  </si>
  <si>
    <t>P2-241486</t>
  </si>
  <si>
    <t>L2-190203</t>
  </si>
  <si>
    <t>P2-241488</t>
  </si>
  <si>
    <t>L2-230232</t>
  </si>
  <si>
    <t>P2-241489</t>
  </si>
  <si>
    <t>L2-240340</t>
  </si>
  <si>
    <t>P2-241493</t>
  </si>
  <si>
    <t>L2-160386</t>
  </si>
  <si>
    <t>P2-241495</t>
  </si>
  <si>
    <t>L2-220279</t>
  </si>
  <si>
    <t>P2-241498</t>
  </si>
  <si>
    <t>L2-160387</t>
  </si>
  <si>
    <t>P2-241499</t>
  </si>
  <si>
    <t>L2-170267</t>
  </si>
  <si>
    <t>P2-241500</t>
  </si>
  <si>
    <t>L2-240343</t>
  </si>
  <si>
    <t>P2-241502</t>
  </si>
  <si>
    <t>L2-120106</t>
  </si>
  <si>
    <t>P2-241503</t>
  </si>
  <si>
    <t>L2-200267</t>
  </si>
  <si>
    <t>P2-241504</t>
  </si>
  <si>
    <t>L2-200268</t>
  </si>
  <si>
    <t>P2-241506</t>
  </si>
  <si>
    <t>L2-170270</t>
  </si>
  <si>
    <t>P2-241507</t>
  </si>
  <si>
    <t>L2-230234</t>
  </si>
  <si>
    <t>P2-241508</t>
  </si>
  <si>
    <t>L2-130067</t>
  </si>
  <si>
    <t>P2-241510</t>
  </si>
  <si>
    <t>L2-190206</t>
  </si>
  <si>
    <t>P2-241511</t>
  </si>
  <si>
    <t>L2-200264</t>
  </si>
  <si>
    <t>P2-241512</t>
  </si>
  <si>
    <t>L2-230235</t>
  </si>
  <si>
    <t>P2-241513</t>
  </si>
  <si>
    <t>L2-210147</t>
  </si>
  <si>
    <t>P2-241515</t>
  </si>
  <si>
    <t>L2-240345</t>
  </si>
  <si>
    <t>P2-241517</t>
  </si>
  <si>
    <t>L2-230236</t>
  </si>
  <si>
    <t>P2-241519</t>
  </si>
  <si>
    <t>L2-200269</t>
  </si>
  <si>
    <t>P2-241522</t>
  </si>
  <si>
    <t>L2-200270</t>
  </si>
  <si>
    <t>P2-241524</t>
  </si>
  <si>
    <t>L2-200271</t>
  </si>
  <si>
    <t>P2-241525</t>
  </si>
  <si>
    <t>L2-240346</t>
  </si>
  <si>
    <t>P2-241526</t>
  </si>
  <si>
    <t>L2-240347</t>
  </si>
  <si>
    <t>P2-241527</t>
  </si>
  <si>
    <t>L2-240348</t>
  </si>
  <si>
    <t>P2-241528</t>
  </si>
  <si>
    <t>L2-240349</t>
  </si>
  <si>
    <t>P2-241529</t>
  </si>
  <si>
    <t>L2-240350</t>
  </si>
  <si>
    <t>P2-241532</t>
  </si>
  <si>
    <t>L2-220288</t>
  </si>
  <si>
    <t>P2-241534</t>
  </si>
  <si>
    <t>L2-230238</t>
  </si>
  <si>
    <t>P2-241535</t>
  </si>
  <si>
    <t>L2-200272</t>
  </si>
  <si>
    <t>P2-241539</t>
  </si>
  <si>
    <t>L2-170273</t>
  </si>
  <si>
    <t>P2-241540</t>
  </si>
  <si>
    <t>L2-240351</t>
  </si>
  <si>
    <t>P2-241542</t>
  </si>
  <si>
    <t>L2-220289</t>
  </si>
  <si>
    <t>P2-241543</t>
  </si>
  <si>
    <t>L2-230239</t>
  </si>
  <si>
    <t>P2-241544</t>
  </si>
  <si>
    <t>L2-180271</t>
  </si>
  <si>
    <t>P2-241545</t>
  </si>
  <si>
    <t>L2-170277</t>
  </si>
  <si>
    <t>P2-241547</t>
  </si>
  <si>
    <t>L2-140164</t>
  </si>
  <si>
    <t>P2-241548</t>
  </si>
  <si>
    <t>L2-230240</t>
  </si>
  <si>
    <t>P2-241552</t>
  </si>
  <si>
    <t>L2-230244</t>
  </si>
  <si>
    <t>P2-241553</t>
  </si>
  <si>
    <t>L2-200273</t>
  </si>
  <si>
    <t>P2-241554</t>
  </si>
  <si>
    <t>L2-180274</t>
  </si>
  <si>
    <t>P2-241557</t>
  </si>
  <si>
    <t>L2-170280</t>
  </si>
  <si>
    <t>P2-241559</t>
  </si>
  <si>
    <t>L2-210150</t>
  </si>
  <si>
    <t>P2-241561</t>
  </si>
  <si>
    <t>L2-240352</t>
  </si>
  <si>
    <t>P2-241563</t>
  </si>
  <si>
    <t>L2-150206</t>
  </si>
  <si>
    <t>P2-241566</t>
  </si>
  <si>
    <t>L2-220292</t>
  </si>
  <si>
    <t>P2-241567</t>
  </si>
  <si>
    <t>L2-150204</t>
  </si>
  <si>
    <t>P2-241568</t>
  </si>
  <si>
    <t>L2-230247</t>
  </si>
  <si>
    <t>P2-241569</t>
  </si>
  <si>
    <t>L2-140166</t>
  </si>
  <si>
    <t>P2-241570</t>
  </si>
  <si>
    <t>L2-220291</t>
  </si>
  <si>
    <t>P2-241572</t>
  </si>
  <si>
    <t>L2-200276</t>
  </si>
  <si>
    <t>P2-241573</t>
  </si>
  <si>
    <t>L2-240354</t>
  </si>
  <si>
    <t>P2-241574</t>
  </si>
  <si>
    <t>L2-240355</t>
  </si>
  <si>
    <t>P2-241575</t>
  </si>
  <si>
    <t>L2-220296</t>
  </si>
  <si>
    <t>P2-241576</t>
  </si>
  <si>
    <t>L2-210153</t>
  </si>
  <si>
    <t>P2-241577</t>
  </si>
  <si>
    <t>L2-230249</t>
  </si>
  <si>
    <t>P2-241579</t>
  </si>
  <si>
    <t>L2-180279</t>
  </si>
  <si>
    <t>P2-241581</t>
  </si>
  <si>
    <t>L2-220297</t>
  </si>
  <si>
    <t>P2-241582</t>
  </si>
  <si>
    <t>L2-210154</t>
  </si>
  <si>
    <t>P2-241583</t>
  </si>
  <si>
    <t>L2-230250</t>
  </si>
  <si>
    <t>P2-241584</t>
  </si>
  <si>
    <t>L2-230252</t>
  </si>
  <si>
    <t>P2-241585</t>
  </si>
  <si>
    <t>L2-160400</t>
  </si>
  <si>
    <t>P2-241586</t>
  </si>
  <si>
    <t>L2-180280</t>
  </si>
  <si>
    <t>P2-241588</t>
  </si>
  <si>
    <t>L2-240357</t>
  </si>
  <si>
    <t>P2-241589</t>
  </si>
  <si>
    <t>L2-240358</t>
  </si>
  <si>
    <t>P2-241592</t>
  </si>
  <si>
    <t>L2-190216</t>
  </si>
  <si>
    <t>P2-241593</t>
  </si>
  <si>
    <t>L2-210156</t>
  </si>
  <si>
    <t>P2-241594</t>
  </si>
  <si>
    <t>L2-140168</t>
  </si>
  <si>
    <t>P2-241596</t>
  </si>
  <si>
    <t>L2-220299</t>
  </si>
  <si>
    <t>P2-241597</t>
  </si>
  <si>
    <t>L2-210155</t>
  </si>
  <si>
    <t>P2-241598</t>
  </si>
  <si>
    <t>L2-240360</t>
  </si>
  <si>
    <t>P2-241600</t>
  </si>
  <si>
    <t>L2-240362</t>
  </si>
  <si>
    <t>P2-241604</t>
  </si>
  <si>
    <t>L2-140169</t>
  </si>
  <si>
    <t>P2-241605</t>
  </si>
  <si>
    <t>L2-230256</t>
  </si>
  <si>
    <t>P2-241606</t>
  </si>
  <si>
    <t>L2-220301</t>
  </si>
  <si>
    <t>P2-241607</t>
  </si>
  <si>
    <t>L2-240363</t>
  </si>
  <si>
    <t>P2-241608</t>
  </si>
  <si>
    <t>L2-240364</t>
  </si>
  <si>
    <t>P2-241609</t>
  </si>
  <si>
    <t>L2-220303</t>
  </si>
  <si>
    <t>P2-241610</t>
  </si>
  <si>
    <t>L2-230259</t>
  </si>
  <si>
    <t>P2-241615</t>
  </si>
  <si>
    <t>L2-230257</t>
  </si>
  <si>
    <t>P2-241617</t>
  </si>
  <si>
    <t>L2-230260</t>
  </si>
  <si>
    <t>P2-241619</t>
  </si>
  <si>
    <t>L2-180285</t>
  </si>
  <si>
    <t>P2-241620</t>
  </si>
  <si>
    <t>L2-220304</t>
  </si>
  <si>
    <t>P2-241621</t>
  </si>
  <si>
    <t>L2-160405</t>
  </si>
  <si>
    <t>P2-241622</t>
  </si>
  <si>
    <t>L2-190221</t>
  </si>
  <si>
    <t>P2-241623</t>
  </si>
  <si>
    <t>L2-120112</t>
  </si>
  <si>
    <t>P2-241625</t>
  </si>
  <si>
    <t>L2-230262</t>
  </si>
  <si>
    <t>P2-241626</t>
  </si>
  <si>
    <t>L2-170293</t>
  </si>
  <si>
    <t>P2-241627</t>
  </si>
  <si>
    <t>L2-170291</t>
  </si>
  <si>
    <t>P2-241628</t>
  </si>
  <si>
    <t>L2-200288</t>
  </si>
  <si>
    <t>P2-241629</t>
  </si>
  <si>
    <t>L2-200289</t>
  </si>
  <si>
    <t>P2-241630</t>
  </si>
  <si>
    <t>L2-180287</t>
  </si>
  <si>
    <t>P2-241631</t>
  </si>
  <si>
    <t>L2-180286</t>
  </si>
  <si>
    <t>P2-241632</t>
  </si>
  <si>
    <t>L2-190226</t>
  </si>
  <si>
    <t>P2-241633</t>
  </si>
  <si>
    <t>L2-230261</t>
  </si>
  <si>
    <t>P2-241636</t>
  </si>
  <si>
    <t>L2-160411</t>
  </si>
  <si>
    <t>P2-241637</t>
  </si>
  <si>
    <t>L2-230264</t>
  </si>
  <si>
    <t>P2-241638</t>
  </si>
  <si>
    <t>L2-170296</t>
  </si>
  <si>
    <t>P2-241639</t>
  </si>
  <si>
    <t>L2-180289</t>
  </si>
  <si>
    <t>P2-241640</t>
  </si>
  <si>
    <t>L2-160414</t>
  </si>
  <si>
    <t>P2-241641</t>
  </si>
  <si>
    <t>L2-230263</t>
  </si>
  <si>
    <t>P2-241643</t>
  </si>
  <si>
    <t>L2-160415</t>
  </si>
  <si>
    <t>P2-241645</t>
  </si>
  <si>
    <t>L2-220307</t>
  </si>
  <si>
    <t>P2-241646</t>
  </si>
  <si>
    <t>L2-210161</t>
  </si>
  <si>
    <t>P2-241649</t>
  </si>
  <si>
    <t>L2-180291</t>
  </si>
  <si>
    <t>P2-241650</t>
  </si>
  <si>
    <t>L2-200293</t>
  </si>
  <si>
    <t>P2-241651</t>
  </si>
  <si>
    <t>L2-130072</t>
  </si>
  <si>
    <t>P2-241652</t>
  </si>
  <si>
    <t>L2-140172</t>
  </si>
  <si>
    <t>P2-241653</t>
  </si>
  <si>
    <t>L2-240366</t>
  </si>
  <si>
    <t>P2-241654</t>
  </si>
  <si>
    <t>L2-240367</t>
  </si>
  <si>
    <t>P2-241656</t>
  </si>
  <si>
    <t>L2-120115</t>
  </si>
  <si>
    <t>P2-241657</t>
  </si>
  <si>
    <t>L2-230269</t>
  </si>
  <si>
    <t>P2-241658</t>
  </si>
  <si>
    <t>L2-200295</t>
  </si>
  <si>
    <t>P2-241659</t>
  </si>
  <si>
    <t>L2-230266</t>
  </si>
  <si>
    <t>P2-241660</t>
  </si>
  <si>
    <t>L2-210163</t>
  </si>
  <si>
    <t>P2-241661</t>
  </si>
  <si>
    <t>L2-230267</t>
  </si>
  <si>
    <t>P2-241662</t>
  </si>
  <si>
    <t>L2-170298</t>
  </si>
  <si>
    <t>P2-241664</t>
  </si>
  <si>
    <t>L2-230268</t>
  </si>
  <si>
    <t>P2-241665</t>
  </si>
  <si>
    <t>L2-240369</t>
  </si>
  <si>
    <t>P2-241666</t>
  </si>
  <si>
    <t>L2-240370</t>
  </si>
  <si>
    <t>P2-241668</t>
  </si>
  <si>
    <t>L2-240372</t>
  </si>
  <si>
    <t>P2-241670</t>
  </si>
  <si>
    <t>L2-120119</t>
  </si>
  <si>
    <t>P2-241671</t>
  </si>
  <si>
    <t>L2-220311</t>
  </si>
  <si>
    <t>P2-241674</t>
  </si>
  <si>
    <t>L2-230271</t>
  </si>
  <si>
    <t>P2-241675</t>
  </si>
  <si>
    <t>L2-170303</t>
  </si>
  <si>
    <t>P2-241676</t>
  </si>
  <si>
    <t>L2-200298</t>
  </si>
  <si>
    <t>P2-241677</t>
  </si>
  <si>
    <t>L2-160422</t>
  </si>
  <si>
    <t>P2-241678</t>
  </si>
  <si>
    <t>L2-180294</t>
  </si>
  <si>
    <t>P2-241680</t>
  </si>
  <si>
    <t>L2-100186</t>
  </si>
  <si>
    <t>P2-241681</t>
  </si>
  <si>
    <t>L2-230273</t>
  </si>
  <si>
    <t>P2-241683</t>
  </si>
  <si>
    <t>L2-140176</t>
  </si>
  <si>
    <t>P2-241686</t>
  </si>
  <si>
    <t>L2-220313</t>
  </si>
  <si>
    <t>P2-241687</t>
  </si>
  <si>
    <t>L2-240374</t>
  </si>
  <si>
    <t>P2-241689</t>
  </si>
  <si>
    <t>L2-240376</t>
  </si>
  <si>
    <t>P2-241690</t>
  </si>
  <si>
    <t>L2-240377</t>
  </si>
  <si>
    <t>P2-241691</t>
  </si>
  <si>
    <t>L2-210167</t>
  </si>
  <si>
    <t>P2-241692</t>
  </si>
  <si>
    <t>L2-200304</t>
  </si>
  <si>
    <t>P2-241693</t>
  </si>
  <si>
    <t>L2-210169</t>
  </si>
  <si>
    <t>P2-241695</t>
  </si>
  <si>
    <t>L2-230274</t>
  </si>
  <si>
    <t>P2-241697</t>
  </si>
  <si>
    <t>L2-230275</t>
  </si>
  <si>
    <t>P2-241698</t>
  </si>
  <si>
    <t>L2-240378</t>
  </si>
  <si>
    <t>P2-241700</t>
  </si>
  <si>
    <t>L2-240380</t>
  </si>
  <si>
    <t>P2-241701</t>
  </si>
  <si>
    <t>L2-210170</t>
  </si>
  <si>
    <t>P2-241702</t>
  </si>
  <si>
    <t>L2-220315</t>
  </si>
  <si>
    <t>P2-241703</t>
  </si>
  <si>
    <t>L2-230276</t>
  </si>
  <si>
    <t>P2-241705</t>
  </si>
  <si>
    <t>L2-230277</t>
  </si>
  <si>
    <t>P2-241706</t>
  </si>
  <si>
    <t>L2-150213</t>
  </si>
  <si>
    <t>P2-241707</t>
  </si>
  <si>
    <t>L2-240381</t>
  </si>
  <si>
    <t>P2-241708</t>
  </si>
  <si>
    <t>L2-230278</t>
  </si>
  <si>
    <t>P2-241709</t>
  </si>
  <si>
    <t>L2-200305</t>
  </si>
  <si>
    <t>P2-241710</t>
  </si>
  <si>
    <t>L2-220318</t>
  </si>
  <si>
    <t>P2-241711</t>
  </si>
  <si>
    <t>L2-240382</t>
  </si>
  <si>
    <t>P2-241712</t>
  </si>
  <si>
    <t>L2-240383</t>
  </si>
  <si>
    <t>P2-241714</t>
  </si>
  <si>
    <t>L2-240385</t>
  </si>
  <si>
    <t>P2-241716</t>
  </si>
  <si>
    <t>L2-160434</t>
  </si>
  <si>
    <t>P2-241717</t>
  </si>
  <si>
    <t>L2-230279</t>
  </si>
  <si>
    <t>P2-241718</t>
  </si>
  <si>
    <t>L2-210172</t>
  </si>
  <si>
    <t>P2-241719</t>
  </si>
  <si>
    <t>L2-180299</t>
  </si>
  <si>
    <t>P2-241720</t>
  </si>
  <si>
    <t>L2-220321</t>
  </si>
  <si>
    <t>P2-241721</t>
  </si>
  <si>
    <t>L2-150216</t>
  </si>
  <si>
    <t>P2-241722</t>
  </si>
  <si>
    <t>L2-240386</t>
  </si>
  <si>
    <t>P2-241725</t>
  </si>
  <si>
    <t>L2-160436</t>
  </si>
  <si>
    <t>P2-241726</t>
  </si>
  <si>
    <t>L2-220322</t>
  </si>
  <si>
    <t>P2-241728</t>
  </si>
  <si>
    <t>L2-190234</t>
  </si>
  <si>
    <t>P2-241730</t>
  </si>
  <si>
    <t>L2-150218</t>
  </si>
  <si>
    <t>P2-241731</t>
  </si>
  <si>
    <t>L2-240388</t>
  </si>
  <si>
    <t>P2-241734</t>
  </si>
  <si>
    <t>L2-210177</t>
  </si>
  <si>
    <t>P2-241735</t>
  </si>
  <si>
    <t>L2-180301</t>
  </si>
  <si>
    <t>P2-241736</t>
  </si>
  <si>
    <t>L2-220324</t>
  </si>
  <si>
    <t>P2-241737</t>
  </si>
  <si>
    <t>L2-230282</t>
  </si>
  <si>
    <t>P2-241738</t>
  </si>
  <si>
    <t>L2-230280</t>
  </si>
  <si>
    <t>P2-241741</t>
  </si>
  <si>
    <t>L2-240391</t>
  </si>
  <si>
    <t>P2-241742</t>
  </si>
  <si>
    <t>L2-240392</t>
  </si>
  <si>
    <t>P2-241743</t>
  </si>
  <si>
    <t>L2-200311</t>
  </si>
  <si>
    <t>P2-241744</t>
  </si>
  <si>
    <t>L2-160442</t>
  </si>
  <si>
    <t>P2-241745</t>
  </si>
  <si>
    <t>L2-180302</t>
  </si>
  <si>
    <t>P2-241746</t>
  </si>
  <si>
    <t>L2-120126</t>
  </si>
  <si>
    <t>P2-241749</t>
  </si>
  <si>
    <t>L2-210178</t>
  </si>
  <si>
    <t>P2-241750</t>
  </si>
  <si>
    <t>L2-160440</t>
  </si>
  <si>
    <t>P2-241751</t>
  </si>
  <si>
    <t>L2-240393</t>
  </si>
  <si>
    <t>P2-241752</t>
  </si>
  <si>
    <t>L2-240394</t>
  </si>
  <si>
    <t>P2-241754</t>
  </si>
  <si>
    <t>L2-170317</t>
  </si>
  <si>
    <t>P2-241755</t>
  </si>
  <si>
    <t>L2-220327</t>
  </si>
  <si>
    <t>P2-241756</t>
  </si>
  <si>
    <t>L2-230286</t>
  </si>
  <si>
    <t>P2-241757</t>
  </si>
  <si>
    <t>L2-180303</t>
  </si>
  <si>
    <t>P2-241758</t>
  </si>
  <si>
    <t>L2-200316</t>
  </si>
  <si>
    <t>P2-241761</t>
  </si>
  <si>
    <t>L2-240395</t>
  </si>
  <si>
    <t>P2-241762</t>
  </si>
  <si>
    <t>L2-240396</t>
  </si>
  <si>
    <t>P2-241763</t>
  </si>
  <si>
    <t>L2-240397</t>
  </si>
  <si>
    <t>P2-241764</t>
  </si>
  <si>
    <t>L2-220329</t>
  </si>
  <si>
    <t>P2-241765</t>
  </si>
  <si>
    <t>L2-160447</t>
  </si>
  <si>
    <t>P2-241766</t>
  </si>
  <si>
    <t>L2-180308</t>
  </si>
  <si>
    <t>P2-241767</t>
  </si>
  <si>
    <t>L2-210179</t>
  </si>
  <si>
    <t>P2-241768</t>
  </si>
  <si>
    <t>L2-230287</t>
  </si>
  <si>
    <t>P2-241769</t>
  </si>
  <si>
    <t>L2-200319</t>
  </si>
  <si>
    <t>P2-241771</t>
  </si>
  <si>
    <t>L2-240398</t>
  </si>
  <si>
    <t>P2-241773</t>
  </si>
  <si>
    <t>L2-180311</t>
  </si>
  <si>
    <t>P2-241774</t>
  </si>
  <si>
    <t>L2-220332</t>
  </si>
  <si>
    <t>P2-241775</t>
  </si>
  <si>
    <t>L2-220331</t>
  </si>
  <si>
    <t>P2-241776</t>
  </si>
  <si>
    <t>L2-230288</t>
  </si>
  <si>
    <t>P2-241780</t>
  </si>
  <si>
    <t>L2-230289</t>
  </si>
  <si>
    <t>P2-241781</t>
  </si>
  <si>
    <t>L2-160450</t>
  </si>
  <si>
    <t>P2-241782</t>
  </si>
  <si>
    <t>L2-200321</t>
  </si>
  <si>
    <t>P2-241783</t>
  </si>
  <si>
    <t>L2-180310</t>
  </si>
  <si>
    <t>P2-241784</t>
  </si>
  <si>
    <t>L2-240400</t>
  </si>
  <si>
    <t>P2-241785</t>
  </si>
  <si>
    <t>L2-240401</t>
  </si>
  <si>
    <t>P2-241786</t>
  </si>
  <si>
    <t>L2-240402</t>
  </si>
  <si>
    <t>P2-241787</t>
  </si>
  <si>
    <t>L2-240403</t>
  </si>
  <si>
    <t>P2-241788</t>
  </si>
  <si>
    <t>L2-140188</t>
  </si>
  <si>
    <t>P2-241789</t>
  </si>
  <si>
    <t>L2-210181</t>
  </si>
  <si>
    <t>P2-241790</t>
  </si>
  <si>
    <t>L2-190244</t>
  </si>
  <si>
    <t>P2-241791</t>
  </si>
  <si>
    <t>L2-190245</t>
  </si>
  <si>
    <t>P2-241792</t>
  </si>
  <si>
    <t>L2-220333</t>
  </si>
  <si>
    <t>P2-241794</t>
  </si>
  <si>
    <t>L2-140187</t>
  </si>
  <si>
    <t>P2-241795</t>
  </si>
  <si>
    <t>L2-200323</t>
  </si>
  <si>
    <t>P2-241796</t>
  </si>
  <si>
    <t>L2-160452</t>
  </si>
  <si>
    <t>P2-241799</t>
  </si>
  <si>
    <t>L2-240406</t>
  </si>
  <si>
    <t>P2-241800</t>
  </si>
  <si>
    <t>L2-240407</t>
  </si>
  <si>
    <t>P2-241801</t>
  </si>
  <si>
    <t>L2-240408</t>
  </si>
  <si>
    <t>P2-241802</t>
  </si>
  <si>
    <t>L2-240409</t>
  </si>
  <si>
    <t>P2-241804</t>
  </si>
  <si>
    <t>L2-220334</t>
  </si>
  <si>
    <t>P2-241807</t>
  </si>
  <si>
    <t>L2-140190</t>
  </si>
  <si>
    <t>P2-241808</t>
  </si>
  <si>
    <t>L2-240410</t>
  </si>
  <si>
    <t>P2-241809</t>
  </si>
  <si>
    <t>L2-240411</t>
  </si>
  <si>
    <t>P2-241810</t>
  </si>
  <si>
    <t>L2-200326</t>
  </si>
  <si>
    <t>P2-241811</t>
  </si>
  <si>
    <t>L2-190247</t>
  </si>
  <si>
    <t>P2-241816</t>
  </si>
  <si>
    <t>L2-240413</t>
  </si>
  <si>
    <t>P2-241817</t>
  </si>
  <si>
    <t>L2-240414</t>
  </si>
  <si>
    <t>P2-241818</t>
  </si>
  <si>
    <t>L2-240415</t>
  </si>
  <si>
    <t>P2-241819</t>
  </si>
  <si>
    <t>L2-200331</t>
  </si>
  <si>
    <t>P2-241822</t>
  </si>
  <si>
    <t>L2-220338</t>
  </si>
  <si>
    <t>P2-241823</t>
  </si>
  <si>
    <t>L2-220337</t>
  </si>
  <si>
    <t>P2-241824</t>
  </si>
  <si>
    <t>L2-240416</t>
  </si>
  <si>
    <t>P2-241826</t>
  </si>
  <si>
    <t>L2-240418</t>
  </si>
  <si>
    <t>P2-241827</t>
  </si>
  <si>
    <t>L2-240419</t>
  </si>
  <si>
    <t>P2-241828</t>
  </si>
  <si>
    <t>L2-240420</t>
  </si>
  <si>
    <t>P2-241830</t>
  </si>
  <si>
    <t>L2-220340</t>
  </si>
  <si>
    <t>P2-241831</t>
  </si>
  <si>
    <t>L2-220339</t>
  </si>
  <si>
    <t>P2-241832</t>
  </si>
  <si>
    <t>L2-200337</t>
  </si>
  <si>
    <t>P2-241833</t>
  </si>
  <si>
    <t>L2-160461</t>
  </si>
  <si>
    <t>P2-241836</t>
  </si>
  <si>
    <t>L2-130080</t>
  </si>
  <si>
    <t>P2-241837</t>
  </si>
  <si>
    <t>L2-240421</t>
  </si>
  <si>
    <t>P2-241839</t>
  </si>
  <si>
    <t>L2-240422</t>
  </si>
  <si>
    <t>P2-241840</t>
  </si>
  <si>
    <t>L2-240423</t>
  </si>
  <si>
    <t>P2-241841</t>
  </si>
  <si>
    <t>L2-200342</t>
  </si>
  <si>
    <t>P2-241842</t>
  </si>
  <si>
    <t>L2-200340</t>
  </si>
  <si>
    <t>P2-241844</t>
  </si>
  <si>
    <t>L2-210184</t>
  </si>
  <si>
    <t>P2-241847</t>
  </si>
  <si>
    <t>L2-210185</t>
  </si>
  <si>
    <t>P2-241848</t>
  </si>
  <si>
    <t>L2-200343</t>
  </si>
  <si>
    <t>P2-241849</t>
  </si>
  <si>
    <t>L2-230293</t>
  </si>
  <si>
    <t>P2-241851</t>
  </si>
  <si>
    <t>L2-210186</t>
  </si>
  <si>
    <t>P2-241852</t>
  </si>
  <si>
    <t>L2-240425</t>
  </si>
  <si>
    <t>P2-241854</t>
  </si>
  <si>
    <t>L2-200344</t>
  </si>
  <si>
    <t>P2-241855</t>
  </si>
  <si>
    <t>L2-230295</t>
  </si>
  <si>
    <t>P2-241856</t>
  </si>
  <si>
    <t>L2-220352</t>
  </si>
  <si>
    <t>P2-241857</t>
  </si>
  <si>
    <t>L2-220349</t>
  </si>
  <si>
    <t>P2-241859</t>
  </si>
  <si>
    <t>L2-210188</t>
  </si>
  <si>
    <t>P2-241860</t>
  </si>
  <si>
    <t>L2-220350</t>
  </si>
  <si>
    <t>P2-241861</t>
  </si>
  <si>
    <t>L2-230294</t>
  </si>
  <si>
    <t>P2-241867</t>
  </si>
  <si>
    <t>L2-180326</t>
  </si>
  <si>
    <t>P2-241868</t>
  </si>
  <si>
    <t>L2-150231</t>
  </si>
  <si>
    <t>P2-241869</t>
  </si>
  <si>
    <t>L2-210190</t>
  </si>
  <si>
    <t>P2-241870</t>
  </si>
  <si>
    <t>L2-220354</t>
  </si>
  <si>
    <t>P2-241871</t>
  </si>
  <si>
    <t>L2-220353</t>
  </si>
  <si>
    <t>P2-241873</t>
  </si>
  <si>
    <t>L2-150230</t>
  </si>
  <si>
    <t>P2-241875</t>
  </si>
  <si>
    <t>L2-240426</t>
  </si>
  <si>
    <t>P2-241877</t>
  </si>
  <si>
    <t>L2-170340</t>
  </si>
  <si>
    <t>P2-241878</t>
  </si>
  <si>
    <t>L2-200347</t>
  </si>
  <si>
    <t>P2-241879</t>
  </si>
  <si>
    <t>L2-220356</t>
  </si>
  <si>
    <t>P2-241880</t>
  </si>
  <si>
    <t>L2-240427</t>
  </si>
  <si>
    <t>P2-241881</t>
  </si>
  <si>
    <t>L2-240428</t>
  </si>
  <si>
    <t>P2-241882</t>
  </si>
  <si>
    <t>L2-220358</t>
  </si>
  <si>
    <t>P2-241883</t>
  </si>
  <si>
    <t>L2-120133</t>
  </si>
  <si>
    <t>P2-241885</t>
  </si>
  <si>
    <t>L2-210191</t>
  </si>
  <si>
    <t>P2-241886</t>
  </si>
  <si>
    <t>L2-200348</t>
  </si>
  <si>
    <t>P2-241889</t>
  </si>
  <si>
    <t>L2-220361</t>
  </si>
  <si>
    <t>P2-241890</t>
  </si>
  <si>
    <t>L2-200352</t>
  </si>
  <si>
    <t>P2-241891</t>
  </si>
  <si>
    <t>L2-170346</t>
  </si>
  <si>
    <t>P2-241892</t>
  </si>
  <si>
    <t>L2-230296</t>
  </si>
  <si>
    <t>P2-241893</t>
  </si>
  <si>
    <t>L2-140201</t>
  </si>
  <si>
    <t>P2-241894</t>
  </si>
  <si>
    <t>L2-230297</t>
  </si>
  <si>
    <t>P2-241896</t>
  </si>
  <si>
    <t>L2-220360</t>
  </si>
  <si>
    <t>P2-241897</t>
  </si>
  <si>
    <t>L2-240430</t>
  </si>
  <si>
    <t>P2-241899</t>
  </si>
  <si>
    <t>L2-240432</t>
  </si>
  <si>
    <t>P2-241900</t>
  </si>
  <si>
    <t>L2-200356</t>
  </si>
  <si>
    <t>P2-241902</t>
  </si>
  <si>
    <t>L2-200355</t>
  </si>
  <si>
    <t>P2-241903</t>
  </si>
  <si>
    <t>L2-140202</t>
  </si>
  <si>
    <t>P2-241904</t>
  </si>
  <si>
    <t>L2-220362</t>
  </si>
  <si>
    <t>P2-241905</t>
  </si>
  <si>
    <t>L2-240433</t>
  </si>
  <si>
    <t>P2-241906</t>
  </si>
  <si>
    <t>L2-240434</t>
  </si>
  <si>
    <t>P2-241908</t>
  </si>
  <si>
    <t>L2-240436</t>
  </si>
  <si>
    <t>P2-241909</t>
  </si>
  <si>
    <t>L2-170349</t>
  </si>
  <si>
    <t>P2-241910</t>
  </si>
  <si>
    <t>L2-220364</t>
  </si>
  <si>
    <t>P2-241912</t>
  </si>
  <si>
    <t>L2-180333</t>
  </si>
  <si>
    <t>P2-241913</t>
  </si>
  <si>
    <t>L2-190265</t>
  </si>
  <si>
    <t>P2-241914</t>
  </si>
  <si>
    <t>L2-110091</t>
  </si>
  <si>
    <t>P2-241915</t>
  </si>
  <si>
    <t>L2-200357</t>
  </si>
  <si>
    <t>P2-241917</t>
  </si>
  <si>
    <t>L2-240437</t>
  </si>
  <si>
    <t>P2-241919</t>
  </si>
  <si>
    <t>L2-240439</t>
  </si>
  <si>
    <t>P2-241920</t>
  </si>
  <si>
    <t>L2-220365</t>
  </si>
  <si>
    <t>P2-241921</t>
  </si>
  <si>
    <t>L2-160486</t>
  </si>
  <si>
    <t>P2-241926</t>
  </si>
  <si>
    <t>L2-210192</t>
  </si>
  <si>
    <t>P2-241927</t>
  </si>
  <si>
    <t>L2-130082</t>
  </si>
  <si>
    <t>P2-241929</t>
  </si>
  <si>
    <t>L2-240441</t>
  </si>
  <si>
    <t>P2-241932</t>
  </si>
  <si>
    <t>L2-170352</t>
  </si>
  <si>
    <t>P2-241933</t>
  </si>
  <si>
    <t>L2-200359</t>
  </si>
  <si>
    <t>P2-241934</t>
  </si>
  <si>
    <t>L2-220370</t>
  </si>
  <si>
    <t>P2-241935</t>
  </si>
  <si>
    <t>L2-220371</t>
  </si>
  <si>
    <t>P2-241937</t>
  </si>
  <si>
    <t>L2-240443</t>
  </si>
  <si>
    <t>P2-241938</t>
  </si>
  <si>
    <t>L2-160492</t>
  </si>
  <si>
    <t>P2-241939</t>
  </si>
  <si>
    <t>L2-220373</t>
  </si>
  <si>
    <t>P2-241940</t>
  </si>
  <si>
    <t>L2-180337</t>
  </si>
  <si>
    <t>P2-241942</t>
  </si>
  <si>
    <t>L2-160490</t>
  </si>
  <si>
    <t>P2-241943</t>
  </si>
  <si>
    <t>L2-200360</t>
  </si>
  <si>
    <t>P2-241948</t>
  </si>
  <si>
    <t>L2-230301</t>
  </si>
  <si>
    <t>P2-241949</t>
  </si>
  <si>
    <t>L2-240444</t>
  </si>
  <si>
    <t>P2-241951</t>
  </si>
  <si>
    <t>L2-130083</t>
  </si>
  <si>
    <t>P2-241952</t>
  </si>
  <si>
    <t>L2-190269</t>
  </si>
  <si>
    <t>P2-241953</t>
  </si>
  <si>
    <t>L2-210198</t>
  </si>
  <si>
    <t>P2-241956</t>
  </si>
  <si>
    <t>L2-230302</t>
  </si>
  <si>
    <t>P2-241957</t>
  </si>
  <si>
    <t>L2-200363</t>
  </si>
  <si>
    <t>P2-241958</t>
  </si>
  <si>
    <t>L2-200362</t>
  </si>
  <si>
    <t>P2-241961</t>
  </si>
  <si>
    <t>L2-240447</t>
  </si>
  <si>
    <t>P2-241963</t>
  </si>
  <si>
    <t>L2-230305</t>
  </si>
  <si>
    <t>P2-241965</t>
  </si>
  <si>
    <t>L2-230303</t>
  </si>
  <si>
    <t>P2-241966</t>
  </si>
  <si>
    <t>L2-220377</t>
  </si>
  <si>
    <t>P2-241967</t>
  </si>
  <si>
    <t>L2-160500</t>
  </si>
  <si>
    <t>P2-241969</t>
  </si>
  <si>
    <t>L2-190270</t>
  </si>
  <si>
    <t>P2-241970</t>
  </si>
  <si>
    <t>L2-240448</t>
  </si>
  <si>
    <t>P2-241971</t>
  </si>
  <si>
    <t>L2-230307</t>
  </si>
  <si>
    <t>P2-241972</t>
  </si>
  <si>
    <t>L2-160502</t>
  </si>
  <si>
    <t>P2-241973</t>
  </si>
  <si>
    <t>L2-220378</t>
  </si>
  <si>
    <t>P2-241974</t>
  </si>
  <si>
    <t>L2-190271</t>
  </si>
  <si>
    <t>P2-241975</t>
  </si>
  <si>
    <t>L2-210199</t>
  </si>
  <si>
    <t>P2-241976</t>
  </si>
  <si>
    <t>L2-230309</t>
  </si>
  <si>
    <t>P2-241977</t>
  </si>
  <si>
    <t>L2-100211</t>
  </si>
  <si>
    <t>P2-241980</t>
  </si>
  <si>
    <t>L2-200367</t>
  </si>
  <si>
    <t>P2-241981</t>
  </si>
  <si>
    <t>L2-220380</t>
  </si>
  <si>
    <t>P2-241983</t>
  </si>
  <si>
    <t>L2-220379</t>
  </si>
  <si>
    <t>P2-241984</t>
  </si>
  <si>
    <t>L2-240449</t>
  </si>
  <si>
    <t>P2-241985</t>
  </si>
  <si>
    <t>L2-240450</t>
  </si>
  <si>
    <t>P2-241986</t>
  </si>
  <si>
    <t>L2-200371</t>
  </si>
  <si>
    <t>P2-241987</t>
  </si>
  <si>
    <t>L2-220381</t>
  </si>
  <si>
    <t>P2-241988</t>
  </si>
  <si>
    <t>L2-190272</t>
  </si>
  <si>
    <t>P2-241989</t>
  </si>
  <si>
    <t>L2-220383</t>
  </si>
  <si>
    <t>P2-241990</t>
  </si>
  <si>
    <t>L2-220382</t>
  </si>
  <si>
    <t>P2-241991</t>
  </si>
  <si>
    <t>L2-240451</t>
  </si>
  <si>
    <t>P2-241992</t>
  </si>
  <si>
    <t>L2-160506</t>
  </si>
  <si>
    <t>P2-241993</t>
  </si>
  <si>
    <t>L2-140212</t>
  </si>
  <si>
    <t>P2-241994</t>
  </si>
  <si>
    <t>L2-220385</t>
  </si>
  <si>
    <t>P2-241997</t>
  </si>
  <si>
    <t>L2-240452</t>
  </si>
  <si>
    <t>P2-241998</t>
  </si>
  <si>
    <t>L2-240453</t>
  </si>
  <si>
    <t>P2-242000</t>
  </si>
  <si>
    <t>L2-240455</t>
  </si>
  <si>
    <t>P2-242001</t>
  </si>
  <si>
    <t>L2-210202</t>
  </si>
  <si>
    <t>P2-242002</t>
  </si>
  <si>
    <t>L2-220389</t>
  </si>
  <si>
    <t>P2-242003</t>
  </si>
  <si>
    <t>L2-220387</t>
  </si>
  <si>
    <t>P2-242004</t>
  </si>
  <si>
    <t>L2-220388</t>
  </si>
  <si>
    <t>P2-242005</t>
  </si>
  <si>
    <t>L2-220386</t>
  </si>
  <si>
    <t>P2-242009</t>
  </si>
  <si>
    <t>L2-240457</t>
  </si>
  <si>
    <t>P2-242010</t>
  </si>
  <si>
    <t>L2-240458</t>
  </si>
  <si>
    <t>P2-242012</t>
  </si>
  <si>
    <t>L2-240460</t>
  </si>
  <si>
    <t>P2-242013</t>
  </si>
  <si>
    <t>L2-190275</t>
  </si>
  <si>
    <t>P2-242014</t>
  </si>
  <si>
    <t>L2-150241</t>
  </si>
  <si>
    <t>P2-242015</t>
  </si>
  <si>
    <t>L2-200374</t>
  </si>
  <si>
    <t>P2-242019</t>
  </si>
  <si>
    <t>L2-170363</t>
  </si>
  <si>
    <t>P2-242020</t>
  </si>
  <si>
    <t>L2-240461</t>
  </si>
  <si>
    <t>P2-242021</t>
  </si>
  <si>
    <t>L2-240462</t>
  </si>
  <si>
    <t>P2-242023</t>
  </si>
  <si>
    <t>L2-240463</t>
  </si>
  <si>
    <t>P2-242024</t>
  </si>
  <si>
    <t>L2-210204</t>
  </si>
  <si>
    <t>P2-242025</t>
  </si>
  <si>
    <t>L2-170367</t>
  </si>
  <si>
    <t>P2-242027</t>
  </si>
  <si>
    <t>L2-220392</t>
  </si>
  <si>
    <t>P2-242028</t>
  </si>
  <si>
    <t>L2-170366</t>
  </si>
  <si>
    <t>P2-242029</t>
  </si>
  <si>
    <t>L2-200375</t>
  </si>
  <si>
    <t>P2-242030</t>
  </si>
  <si>
    <t>L2-210205</t>
  </si>
  <si>
    <t>P2-242031</t>
  </si>
  <si>
    <t>L2-170365</t>
  </si>
  <si>
    <t>P2-242032</t>
  </si>
  <si>
    <t>L2-210206</t>
  </si>
  <si>
    <t>P2-242033</t>
  </si>
  <si>
    <t>L2-160511</t>
  </si>
  <si>
    <t>P2-242034</t>
  </si>
  <si>
    <t>L2-220391</t>
  </si>
  <si>
    <t>P2-242035</t>
  </si>
  <si>
    <t>L2-140217</t>
  </si>
  <si>
    <t>P2-242036</t>
  </si>
  <si>
    <t>L2-140218</t>
  </si>
  <si>
    <t>P2-242037</t>
  </si>
  <si>
    <t>L2-160509</t>
  </si>
  <si>
    <t>P2-242038</t>
  </si>
  <si>
    <t>L2-230315</t>
  </si>
  <si>
    <t>P2-242040</t>
  </si>
  <si>
    <t>L2-190280</t>
  </si>
  <si>
    <t>P2-242041</t>
  </si>
  <si>
    <t>L2-140219</t>
  </si>
  <si>
    <t>P2-242042</t>
  </si>
  <si>
    <t>L2-230316</t>
  </si>
  <si>
    <t>P2-242043</t>
  </si>
  <si>
    <t>L2-220394</t>
  </si>
  <si>
    <t>P2-242045</t>
  </si>
  <si>
    <t>L2-170369</t>
  </si>
  <si>
    <t>P2-242046</t>
  </si>
  <si>
    <t>L2-220393</t>
  </si>
  <si>
    <t>P2-242048</t>
  </si>
  <si>
    <t>L2-200379</t>
  </si>
  <si>
    <t>P2-242050</t>
  </si>
  <si>
    <t>L2-230319</t>
  </si>
  <si>
    <t>P2-242051</t>
  </si>
  <si>
    <t>L2-160515</t>
  </si>
  <si>
    <t>P2-242052</t>
  </si>
  <si>
    <t>L2-230318</t>
  </si>
  <si>
    <t>P2-242053</t>
  </si>
  <si>
    <t>L2-210210</t>
  </si>
  <si>
    <t>P2-242055</t>
  </si>
  <si>
    <t>L2-220396</t>
  </si>
  <si>
    <t>P2-242056</t>
  </si>
  <si>
    <t>L2-240465</t>
  </si>
  <si>
    <t>P2-242057</t>
  </si>
  <si>
    <t>L2-190285</t>
  </si>
  <si>
    <t>P2-242059</t>
  </si>
  <si>
    <t>L2-230322</t>
  </si>
  <si>
    <t>P2-242061</t>
  </si>
  <si>
    <t>L2-200384</t>
  </si>
  <si>
    <t>P2-242064</t>
  </si>
  <si>
    <t>L2-230326</t>
  </si>
  <si>
    <t>P2-242065</t>
  </si>
  <si>
    <t>L2-120142</t>
  </si>
  <si>
    <t>P2-242066</t>
  </si>
  <si>
    <t>L2-190287</t>
  </si>
  <si>
    <t>P2-242068</t>
  </si>
  <si>
    <t>L2-220400</t>
  </si>
  <si>
    <t>P2-242069</t>
  </si>
  <si>
    <t>L2-230323</t>
  </si>
  <si>
    <t>P2-242071</t>
  </si>
  <si>
    <t>L2-240466</t>
  </si>
  <si>
    <t>P2-242072</t>
  </si>
  <si>
    <t>L2-160522</t>
  </si>
  <si>
    <t>P2-242073</t>
  </si>
  <si>
    <t>L2-140221</t>
  </si>
  <si>
    <t>P2-242074</t>
  </si>
  <si>
    <t>L2-150248</t>
  </si>
  <si>
    <t>P2-242075</t>
  </si>
  <si>
    <t>L2-170374</t>
  </si>
  <si>
    <t>P2-242078</t>
  </si>
  <si>
    <t>L2-240469</t>
  </si>
  <si>
    <t>P2-242079</t>
  </si>
  <si>
    <t>L2-240470</t>
  </si>
  <si>
    <t>P2-242080</t>
  </si>
  <si>
    <t>L2-220401</t>
  </si>
  <si>
    <t>P2-242081</t>
  </si>
  <si>
    <t>L2-200387</t>
  </si>
  <si>
    <t>P2-242082</t>
  </si>
  <si>
    <t>L2-170376</t>
  </si>
  <si>
    <t>P2-242083</t>
  </si>
  <si>
    <t>L2-160523</t>
  </si>
  <si>
    <t>P2-242084</t>
  </si>
  <si>
    <t>L2-160524</t>
  </si>
  <si>
    <t>P2-242086</t>
  </si>
  <si>
    <t>L2-240472</t>
  </si>
  <si>
    <t>P2-242087</t>
  </si>
  <si>
    <t>L2-200389</t>
  </si>
  <si>
    <t>P2-242088</t>
  </si>
  <si>
    <t>L2-220404</t>
  </si>
  <si>
    <t>P2-242089</t>
  </si>
  <si>
    <t>L2-190290</t>
  </si>
  <si>
    <t>P2-242090</t>
  </si>
  <si>
    <t>L2-210213</t>
  </si>
  <si>
    <t>P2-242091</t>
  </si>
  <si>
    <t>L2-200390</t>
  </si>
  <si>
    <t>P2-242092</t>
  </si>
  <si>
    <t>L2-160525</t>
  </si>
  <si>
    <t>P2-242094</t>
  </si>
  <si>
    <t>L2-150250</t>
  </si>
  <si>
    <t>P2-242096</t>
  </si>
  <si>
    <t>L2-170377</t>
  </si>
  <si>
    <t>P2-242097</t>
  </si>
  <si>
    <t>L2-240473</t>
  </si>
  <si>
    <t>P2-242098</t>
  </si>
  <si>
    <t>L2-240474</t>
  </si>
  <si>
    <t>P2-242100</t>
  </si>
  <si>
    <t>L2-230327</t>
  </si>
  <si>
    <t>P2-242103</t>
  </si>
  <si>
    <t>L2-220407</t>
  </si>
  <si>
    <t>P2-242104</t>
  </si>
  <si>
    <t>L2-160528</t>
  </si>
  <si>
    <t>P2-242105</t>
  </si>
  <si>
    <t>L2-210214</t>
  </si>
  <si>
    <t>P2-242107</t>
  </si>
  <si>
    <t>L2-150251</t>
  </si>
  <si>
    <t>P2-242109</t>
  </si>
  <si>
    <t>L2-160530</t>
  </si>
  <si>
    <t>P2-242110</t>
  </si>
  <si>
    <t>L2-220408</t>
  </si>
  <si>
    <t>P2-242111</t>
  </si>
  <si>
    <t>L2-230329</t>
  </si>
  <si>
    <t>P2-242113</t>
  </si>
  <si>
    <t>L2-240476</t>
  </si>
  <si>
    <t>P2-242114</t>
  </si>
  <si>
    <t>L2-240477</t>
  </si>
  <si>
    <t>P2-242116</t>
  </si>
  <si>
    <t>L2-220411</t>
  </si>
  <si>
    <t>P2-242118</t>
  </si>
  <si>
    <t>L2-220413</t>
  </si>
  <si>
    <t>P2-242119</t>
  </si>
  <si>
    <t>L2-160533</t>
  </si>
  <si>
    <t>P2-242120</t>
  </si>
  <si>
    <t>L2-240478</t>
  </si>
  <si>
    <t>P2-242125</t>
  </si>
  <si>
    <t>L2-180372</t>
  </si>
  <si>
    <t>P2-242126</t>
  </si>
  <si>
    <t>L2-160535</t>
  </si>
  <si>
    <t>P2-242129</t>
  </si>
  <si>
    <t>L2-240482</t>
  </si>
  <si>
    <t>P2-242131</t>
  </si>
  <si>
    <t>L2-240484</t>
  </si>
  <si>
    <t>P2-242133</t>
  </si>
  <si>
    <t>L2-180373</t>
  </si>
  <si>
    <t>P2-242134</t>
  </si>
  <si>
    <t>L2-230334</t>
  </si>
  <si>
    <t>P2-242137</t>
  </si>
  <si>
    <t>L2-230331</t>
  </si>
  <si>
    <t>P2-242138</t>
  </si>
  <si>
    <t>L2-160536</t>
  </si>
  <si>
    <t>P2-242140</t>
  </si>
  <si>
    <t>L2-230332</t>
  </si>
  <si>
    <t>P2-242141</t>
  </si>
  <si>
    <t>L2-140228</t>
  </si>
  <si>
    <t>P2-242142</t>
  </si>
  <si>
    <t>L2-200397</t>
  </si>
  <si>
    <t>P2-242143</t>
  </si>
  <si>
    <t>L2-240486</t>
  </si>
  <si>
    <t>P2-242144</t>
  </si>
  <si>
    <t>L2-240487</t>
  </si>
  <si>
    <t>P2-242145</t>
  </si>
  <si>
    <t>L2-230337</t>
  </si>
  <si>
    <t>P2-242147</t>
  </si>
  <si>
    <t>L2-220417</t>
  </si>
  <si>
    <t>P2-242148</t>
  </si>
  <si>
    <t>L2-230336</t>
  </si>
  <si>
    <t>P2-242150</t>
  </si>
  <si>
    <t>L2-220420</t>
  </si>
  <si>
    <t>P2-242152</t>
  </si>
  <si>
    <t>L2-240488</t>
  </si>
  <si>
    <t>P2-242153</t>
  </si>
  <si>
    <t>L2-240489</t>
  </si>
  <si>
    <t>P2-242156</t>
  </si>
  <si>
    <t>L2-210218</t>
  </si>
  <si>
    <t>P2-242157</t>
  </si>
  <si>
    <t>L2-180374</t>
  </si>
  <si>
    <t>P2-242159</t>
  </si>
  <si>
    <t>L2-190293</t>
  </si>
  <si>
    <t>P2-242162</t>
  </si>
  <si>
    <t>L2-150261</t>
  </si>
  <si>
    <t>P2-242163</t>
  </si>
  <si>
    <t>L2-220421</t>
  </si>
  <si>
    <t>P2-242164</t>
  </si>
  <si>
    <t>L2-170383</t>
  </si>
  <si>
    <t>P2-242165</t>
  </si>
  <si>
    <t>L2-230338</t>
  </si>
  <si>
    <t>P2-242168</t>
  </si>
  <si>
    <t>L2-150260</t>
  </si>
  <si>
    <t>P2-242169</t>
  </si>
  <si>
    <t>L2-210217</t>
  </si>
  <si>
    <t>P2-242170</t>
  </si>
  <si>
    <t>L2-100230</t>
  </si>
  <si>
    <t>P2-242171</t>
  </si>
  <si>
    <t>L2-240492</t>
  </si>
  <si>
    <t>P2-242172</t>
  </si>
  <si>
    <t>L2-240493</t>
  </si>
  <si>
    <t>P2-242173</t>
  </si>
  <si>
    <t>L2-240494</t>
  </si>
  <si>
    <t>P2-242174</t>
  </si>
  <si>
    <t>L2-240495</t>
  </si>
  <si>
    <t>P2-242177</t>
  </si>
  <si>
    <t>L2-230342</t>
  </si>
  <si>
    <t>P2-242178</t>
  </si>
  <si>
    <t>L2-150263</t>
  </si>
  <si>
    <t>P2-242179</t>
  </si>
  <si>
    <t>L2-180376</t>
  </si>
  <si>
    <t>P2-242182</t>
  </si>
  <si>
    <t>L2-180377</t>
  </si>
  <si>
    <t>P2-242184</t>
  </si>
  <si>
    <t>L2-230339</t>
  </si>
  <si>
    <t>P2-242185</t>
  </si>
  <si>
    <t>L2-100231</t>
  </si>
  <si>
    <t>P2-242186</t>
  </si>
  <si>
    <t>L2-230340</t>
  </si>
  <si>
    <t>P2-242187</t>
  </si>
  <si>
    <t>L2-240496</t>
  </si>
  <si>
    <t>P2-242188</t>
  </si>
  <si>
    <t>L2-240497</t>
  </si>
  <si>
    <t>P2-242190</t>
  </si>
  <si>
    <t>L2-240499</t>
  </si>
  <si>
    <t>P2-242193</t>
  </si>
  <si>
    <t>L2-230343</t>
  </si>
  <si>
    <t>P2-242194</t>
  </si>
  <si>
    <t>L2-220424</t>
  </si>
  <si>
    <t>P2-242195</t>
  </si>
  <si>
    <t>L2-240500</t>
  </si>
  <si>
    <t>P2-242197</t>
  </si>
  <si>
    <t>L2-220425</t>
  </si>
  <si>
    <t>P2-242198</t>
  </si>
  <si>
    <t>L2-200408</t>
  </si>
  <si>
    <t>P2-242200</t>
  </si>
  <si>
    <t>L2-160552</t>
  </si>
  <si>
    <t>P2-242201</t>
  </si>
  <si>
    <t>L2-230344</t>
  </si>
  <si>
    <t>P2-242202</t>
  </si>
  <si>
    <t>L2-210221</t>
  </si>
  <si>
    <t>P2-242203</t>
  </si>
  <si>
    <t>L2-210223</t>
  </si>
  <si>
    <t>P2-242204</t>
  </si>
  <si>
    <t>L2-170389</t>
  </si>
  <si>
    <t>P2-242205</t>
  </si>
  <si>
    <t>L2-200407</t>
  </si>
  <si>
    <t>P2-242206</t>
  </si>
  <si>
    <t>L2-240502</t>
  </si>
  <si>
    <t>P2-242207</t>
  </si>
  <si>
    <t>L2-240503</t>
  </si>
  <si>
    <t>P2-242208</t>
  </si>
  <si>
    <t>L2-240504</t>
  </si>
  <si>
    <t>P2-242209</t>
  </si>
  <si>
    <t>L2-240505</t>
  </si>
  <si>
    <t>P2-242210</t>
  </si>
  <si>
    <t>L2-190297</t>
  </si>
  <si>
    <t>P2-242211</t>
  </si>
  <si>
    <t>L2-230345</t>
  </si>
  <si>
    <t>P2-242212</t>
  </si>
  <si>
    <t>L2-220426</t>
  </si>
  <si>
    <t>P2-242215</t>
  </si>
  <si>
    <t>L2-240507</t>
  </si>
  <si>
    <t>P2-242217</t>
  </si>
  <si>
    <t>L2-230347</t>
  </si>
  <si>
    <t>P2-242218</t>
  </si>
  <si>
    <t>L2-210224</t>
  </si>
  <si>
    <t>P2-242219</t>
  </si>
  <si>
    <t>L2-170392</t>
  </si>
  <si>
    <t>P2-242223</t>
  </si>
  <si>
    <t>L2-200413</t>
  </si>
  <si>
    <t>P2-242224</t>
  </si>
  <si>
    <t>L2-220428</t>
  </si>
  <si>
    <t>P2-242226</t>
  </si>
  <si>
    <t>L2-190301</t>
  </si>
  <si>
    <t>P2-242227</t>
  </si>
  <si>
    <t>L2-200412</t>
  </si>
  <si>
    <t>P2-242228</t>
  </si>
  <si>
    <t>L2-230348</t>
  </si>
  <si>
    <t>P2-242231</t>
  </si>
  <si>
    <t>L2-240511</t>
  </si>
  <si>
    <t>P2-242232</t>
  </si>
  <si>
    <t>L2-140239</t>
  </si>
  <si>
    <t>P2-242233</t>
  </si>
  <si>
    <t>L2-160561</t>
  </si>
  <si>
    <t>P2-242234</t>
  </si>
  <si>
    <t>L2-220429</t>
  </si>
  <si>
    <t>P2-242235</t>
  </si>
  <si>
    <t>L2-200415</t>
  </si>
  <si>
    <t>P2-242236</t>
  </si>
  <si>
    <t>L2-170395</t>
  </si>
  <si>
    <t>P2-242237</t>
  </si>
  <si>
    <t>L2-180384</t>
  </si>
  <si>
    <t>P2-242238</t>
  </si>
  <si>
    <t>L2-240512</t>
  </si>
  <si>
    <t>P2-242239</t>
  </si>
  <si>
    <t>L2-240513</t>
  </si>
  <si>
    <t>P2-242241</t>
  </si>
  <si>
    <t>L2-240515</t>
  </si>
  <si>
    <t>P2-242243</t>
  </si>
  <si>
    <t>L2-230349</t>
  </si>
  <si>
    <t>P2-242245</t>
  </si>
  <si>
    <t>L2-230350</t>
  </si>
  <si>
    <t>P2-242246</t>
  </si>
  <si>
    <t>L2-160566</t>
  </si>
  <si>
    <t>P2-242249</t>
  </si>
  <si>
    <t>L2-170396</t>
  </si>
  <si>
    <t>P2-242250</t>
  </si>
  <si>
    <t>L2-190302</t>
  </si>
  <si>
    <t>P2-242251</t>
  </si>
  <si>
    <t>L2-150277</t>
  </si>
  <si>
    <t>P2-242254</t>
  </si>
  <si>
    <t>L2-240518</t>
  </si>
  <si>
    <t>P2-242255</t>
  </si>
  <si>
    <t>L2-230354</t>
  </si>
  <si>
    <t>P2-242257</t>
  </si>
  <si>
    <t>L2-210226</t>
  </si>
  <si>
    <t>P2-242263</t>
  </si>
  <si>
    <t>L2-150279</t>
  </si>
  <si>
    <t>P2-242264</t>
  </si>
  <si>
    <t>L2-240519</t>
  </si>
  <si>
    <t>P2-242265</t>
  </si>
  <si>
    <t>L2-240520</t>
  </si>
  <si>
    <t>P2-242266</t>
  </si>
  <si>
    <t>L2-240521</t>
  </si>
  <si>
    <t>P2-242268</t>
  </si>
  <si>
    <t>L2-220435</t>
  </si>
  <si>
    <t>P2-242269</t>
  </si>
  <si>
    <t>L2-220434</t>
  </si>
  <si>
    <t>P2-242271</t>
  </si>
  <si>
    <t>L2-160571</t>
  </si>
  <si>
    <t>P2-242272</t>
  </si>
  <si>
    <t>L2-150281</t>
  </si>
  <si>
    <t>P2-242273</t>
  </si>
  <si>
    <t>L2-240522</t>
  </si>
  <si>
    <t>P2-242274</t>
  </si>
  <si>
    <t>L2-240523</t>
  </si>
  <si>
    <t>P2-242276</t>
  </si>
  <si>
    <t>L2-190306</t>
  </si>
  <si>
    <t>P2-242279</t>
  </si>
  <si>
    <t>L2-160575</t>
  </si>
  <si>
    <t>P2-242280</t>
  </si>
  <si>
    <t>L2-150282</t>
  </si>
  <si>
    <t>P2-242281</t>
  </si>
  <si>
    <t>L2-240524</t>
  </si>
  <si>
    <t>P2-242284</t>
  </si>
  <si>
    <t>L2-170405</t>
  </si>
  <si>
    <t>P2-242287</t>
  </si>
  <si>
    <t>L2-190308</t>
  </si>
  <si>
    <t>P2-242288</t>
  </si>
  <si>
    <t>L2-140244</t>
  </si>
  <si>
    <t>P2-242289</t>
  </si>
  <si>
    <t>L2-220438</t>
  </si>
  <si>
    <t>P2-242290</t>
  </si>
  <si>
    <t>L2-180389</t>
  </si>
  <si>
    <t>P2-242291</t>
  </si>
  <si>
    <t>L2-240527</t>
  </si>
  <si>
    <t>P2-242292</t>
  </si>
  <si>
    <t>L2-240528</t>
  </si>
  <si>
    <t>P2-242293</t>
  </si>
  <si>
    <t>L2-240529</t>
  </si>
  <si>
    <t>P2-242294</t>
  </si>
  <si>
    <t>L2-240530</t>
  </si>
  <si>
    <t>P2-242296</t>
  </si>
  <si>
    <t>L2-230358</t>
  </si>
  <si>
    <t>P2-242297</t>
  </si>
  <si>
    <t>L2-220439</t>
  </si>
  <si>
    <t>P2-242298</t>
  </si>
  <si>
    <t>L2-210229</t>
  </si>
  <si>
    <t>P2-242299</t>
  </si>
  <si>
    <t>L2-210230</t>
  </si>
  <si>
    <t>P2-242301</t>
  </si>
  <si>
    <t>L2-200424</t>
  </si>
  <si>
    <t>P2-242302</t>
  </si>
  <si>
    <t>L2-180391</t>
  </si>
  <si>
    <t>P2-242303</t>
  </si>
  <si>
    <t>L2-230359</t>
  </si>
  <si>
    <t>P2-242305</t>
  </si>
  <si>
    <t>L2-200429</t>
  </si>
  <si>
    <t>P2-242307</t>
  </si>
  <si>
    <t>L2-200430</t>
  </si>
  <si>
    <t>P2-242308</t>
  </si>
  <si>
    <t>L2-220441</t>
  </si>
  <si>
    <t>P2-242309</t>
  </si>
  <si>
    <t>L2-200425</t>
  </si>
  <si>
    <t>P2-242310</t>
  </si>
  <si>
    <t>L2-130100</t>
  </si>
  <si>
    <t>P2-242312</t>
  </si>
  <si>
    <t>L2-240532</t>
  </si>
  <si>
    <t>P2-242313</t>
  </si>
  <si>
    <t>L2-180393</t>
  </si>
  <si>
    <t>P2-242314</t>
  </si>
  <si>
    <t>L2-220443</t>
  </si>
  <si>
    <t>P2-242317</t>
  </si>
  <si>
    <t>L2-220445</t>
  </si>
  <si>
    <t>P2-242318</t>
  </si>
  <si>
    <t>L2-180394</t>
  </si>
  <si>
    <t>P2-242319</t>
  </si>
  <si>
    <t>L2-200431</t>
  </si>
  <si>
    <t>P2-242320</t>
  </si>
  <si>
    <t>L2-230360</t>
  </si>
  <si>
    <t>P2-242321</t>
  </si>
  <si>
    <t>L2-240533</t>
  </si>
  <si>
    <t>P2-242325</t>
  </si>
  <si>
    <t>L2-140252</t>
  </si>
  <si>
    <t>P2-242326</t>
  </si>
  <si>
    <t>L2-230362</t>
  </si>
  <si>
    <t>P2-242329</t>
  </si>
  <si>
    <t>L2-240535</t>
  </si>
  <si>
    <t>P2-242330</t>
  </si>
  <si>
    <t>L2-220451</t>
  </si>
  <si>
    <t>P2-242331</t>
  </si>
  <si>
    <t>L2-230363</t>
  </si>
  <si>
    <t>P2-242332</t>
  </si>
  <si>
    <t>L2-220449</t>
  </si>
  <si>
    <t>P2-242333</t>
  </si>
  <si>
    <t>L2-210235</t>
  </si>
  <si>
    <t>P2-242334</t>
  </si>
  <si>
    <t>L2-200432</t>
  </si>
  <si>
    <t>P2-242335</t>
  </si>
  <si>
    <t>L2-190315</t>
  </si>
  <si>
    <t>P2-242336</t>
  </si>
  <si>
    <t>L2-220452</t>
  </si>
  <si>
    <t>P2-242338</t>
  </si>
  <si>
    <t>L2-220450</t>
  </si>
  <si>
    <t>P2-242341</t>
  </si>
  <si>
    <t>L2-240537</t>
  </si>
  <si>
    <t>P2-242344</t>
  </si>
  <si>
    <t>L2-240540</t>
  </si>
  <si>
    <t>P2-242347</t>
  </si>
  <si>
    <t>L2-200433</t>
  </si>
  <si>
    <t>P2-242351</t>
  </si>
  <si>
    <t>L2-160585</t>
  </si>
  <si>
    <t>P2-242352</t>
  </si>
  <si>
    <t>L2-220454</t>
  </si>
  <si>
    <t>P2-242353</t>
  </si>
  <si>
    <t>L2-230365</t>
  </si>
  <si>
    <t>P2-242354</t>
  </si>
  <si>
    <t>L2-230367</t>
  </si>
  <si>
    <t>P2-242355</t>
  </si>
  <si>
    <t>L2-220455</t>
  </si>
  <si>
    <t>P2-242356</t>
  </si>
  <si>
    <t>L2-240543</t>
  </si>
  <si>
    <t>P2-242358</t>
  </si>
  <si>
    <t>L2-220459</t>
  </si>
  <si>
    <t>P2-242359</t>
  </si>
  <si>
    <t>L2-220457</t>
  </si>
  <si>
    <t>P2-242360</t>
  </si>
  <si>
    <t>L2-200438</t>
  </si>
  <si>
    <t>P2-242361</t>
  </si>
  <si>
    <t>L2-210236</t>
  </si>
  <si>
    <t>P2-242363</t>
  </si>
  <si>
    <t>L2-190320</t>
  </si>
  <si>
    <t>P2-242364</t>
  </si>
  <si>
    <t>L2-180401</t>
  </si>
  <si>
    <t>P2-242365</t>
  </si>
  <si>
    <t>L2-200437</t>
  </si>
  <si>
    <t>P2-242366</t>
  </si>
  <si>
    <t>L2-130103</t>
  </si>
  <si>
    <t>P2-242368</t>
  </si>
  <si>
    <t>L2-190321</t>
  </si>
  <si>
    <t>P2-242369</t>
  </si>
  <si>
    <t>L2-220461</t>
  </si>
  <si>
    <t>P2-242371</t>
  </si>
  <si>
    <t>L2-190322</t>
  </si>
  <si>
    <t>P2-242372</t>
  </si>
  <si>
    <t>L2-230370</t>
  </si>
  <si>
    <t>P2-242374</t>
  </si>
  <si>
    <t>L2-210239</t>
  </si>
  <si>
    <t>P2-242375</t>
  </si>
  <si>
    <t>L2-200441</t>
  </si>
  <si>
    <t>P2-242377</t>
  </si>
  <si>
    <t>L2-230371</t>
  </si>
  <si>
    <t>P2-242378</t>
  </si>
  <si>
    <t>L2-230369</t>
  </si>
  <si>
    <t>P2-242380</t>
  </si>
  <si>
    <t>L2-240547</t>
  </si>
  <si>
    <t>P2-242381</t>
  </si>
  <si>
    <t>L2-200444</t>
  </si>
  <si>
    <t>P2-242382</t>
  </si>
  <si>
    <t>L2-230373</t>
  </si>
  <si>
    <t>P2-242383</t>
  </si>
  <si>
    <t>L2-180407</t>
  </si>
  <si>
    <t>P2-242386</t>
  </si>
  <si>
    <t>L2-230372</t>
  </si>
  <si>
    <t>P2-242387</t>
  </si>
  <si>
    <t>L2-240548</t>
  </si>
  <si>
    <t>P2-242388</t>
  </si>
  <si>
    <t>L2-240549</t>
  </si>
  <si>
    <t>P2-242389</t>
  </si>
  <si>
    <t>L2-240550</t>
  </si>
  <si>
    <t>P2-242390</t>
  </si>
  <si>
    <t>L2-240551</t>
  </si>
  <si>
    <t>P2-242391</t>
  </si>
  <si>
    <t>L2-240552</t>
  </si>
  <si>
    <t>P2-242392</t>
  </si>
  <si>
    <t>L2-170422</t>
  </si>
  <si>
    <t>P2-242393</t>
  </si>
  <si>
    <t>L2-180410</t>
  </si>
  <si>
    <t>P2-242394</t>
  </si>
  <si>
    <t>L2-190326</t>
  </si>
  <si>
    <t>P2-242395</t>
  </si>
  <si>
    <t>L2-230375</t>
  </si>
  <si>
    <t>P2-242398</t>
  </si>
  <si>
    <t>L2-240553</t>
  </si>
  <si>
    <t>P2-242399</t>
  </si>
  <si>
    <t>L2-240554</t>
  </si>
  <si>
    <t>P2-242402</t>
  </si>
  <si>
    <t>L2-170427</t>
  </si>
  <si>
    <t>P2-242404</t>
  </si>
  <si>
    <t>L2-230376</t>
  </si>
  <si>
    <t>P2-242405</t>
  </si>
  <si>
    <t>L2-200446</t>
  </si>
  <si>
    <t>P2-242406</t>
  </si>
  <si>
    <t>L2-160592</t>
  </si>
  <si>
    <t>P2-242408</t>
  </si>
  <si>
    <t>L2-230377</t>
  </si>
  <si>
    <t>P2-242410</t>
  </si>
  <si>
    <t>L2-240555</t>
  </si>
  <si>
    <t>P2-242412</t>
  </si>
  <si>
    <t>L2-240557</t>
  </si>
  <si>
    <t>P2-242413</t>
  </si>
  <si>
    <t>L2-240558</t>
  </si>
  <si>
    <t>P2-242415</t>
  </si>
  <si>
    <t>L2-230380</t>
  </si>
  <si>
    <t>P2-242416</t>
  </si>
  <si>
    <t>L2-160595</t>
  </si>
  <si>
    <t>P2-242419</t>
  </si>
  <si>
    <t>L2-180419</t>
  </si>
  <si>
    <t>P2-242421</t>
  </si>
  <si>
    <t>L2-220467</t>
  </si>
  <si>
    <t>P2-242422</t>
  </si>
  <si>
    <t>L2-170428</t>
  </si>
  <si>
    <t>P2-242425</t>
  </si>
  <si>
    <t>L2-240559</t>
  </si>
  <si>
    <t>P2-242426</t>
  </si>
  <si>
    <t>L2-240560</t>
  </si>
  <si>
    <t>P2-242427</t>
  </si>
  <si>
    <t>L2-150295</t>
  </si>
  <si>
    <t>P2-242431</t>
  </si>
  <si>
    <t>L2-220468</t>
  </si>
  <si>
    <t>P2-242432</t>
  </si>
  <si>
    <t>L2-170429</t>
  </si>
  <si>
    <t>P2-242433</t>
  </si>
  <si>
    <t>L2-240561</t>
  </si>
  <si>
    <t>P2-242434</t>
  </si>
  <si>
    <t>L2-190331</t>
  </si>
  <si>
    <t>P2-242435</t>
  </si>
  <si>
    <t>L2-220473</t>
  </si>
  <si>
    <t>P2-242436</t>
  </si>
  <si>
    <t>L2-180424</t>
  </si>
  <si>
    <t>P2-242437</t>
  </si>
  <si>
    <t>L2-160601</t>
  </si>
  <si>
    <t>P2-242438</t>
  </si>
  <si>
    <t>L2-160602</t>
  </si>
  <si>
    <t>P2-242439</t>
  </si>
  <si>
    <t>L2-190332</t>
  </si>
  <si>
    <t>P2-242440</t>
  </si>
  <si>
    <t>L2-200452</t>
  </si>
  <si>
    <t>P2-242441</t>
  </si>
  <si>
    <t>L2-220471</t>
  </si>
  <si>
    <t>P2-242442</t>
  </si>
  <si>
    <t>L2-220472</t>
  </si>
  <si>
    <t>P2-242443</t>
  </si>
  <si>
    <t>L2-220470</t>
  </si>
  <si>
    <t>P2-242445</t>
  </si>
  <si>
    <t>L2-240563</t>
  </si>
  <si>
    <t>P2-242446</t>
  </si>
  <si>
    <t>L2-240564</t>
  </si>
  <si>
    <t>P2-242448</t>
  </si>
  <si>
    <t>L2-210248</t>
  </si>
  <si>
    <t>P2-242449</t>
  </si>
  <si>
    <t>L2-230383</t>
  </si>
  <si>
    <t>P2-242450</t>
  </si>
  <si>
    <t>L2-210245</t>
  </si>
  <si>
    <t>P2-242451</t>
  </si>
  <si>
    <t>L2-230382</t>
  </si>
  <si>
    <t>P2-242452</t>
  </si>
  <si>
    <t>L2-210247</t>
  </si>
  <si>
    <t>P2-242453</t>
  </si>
  <si>
    <t>L2-180427</t>
  </si>
  <si>
    <t>P2-242454</t>
  </si>
  <si>
    <t>L2-240566</t>
  </si>
  <si>
    <t>P2-242456</t>
  </si>
  <si>
    <t>L2-220476</t>
  </si>
  <si>
    <t>P2-242457</t>
  </si>
  <si>
    <t>L2-230385</t>
  </si>
  <si>
    <t>P2-242458</t>
  </si>
  <si>
    <t>L2-140261</t>
  </si>
  <si>
    <t>P2-242459</t>
  </si>
  <si>
    <t>L2-220475</t>
  </si>
  <si>
    <t>P2-242460</t>
  </si>
  <si>
    <t>L2-190333</t>
  </si>
  <si>
    <t>P2-242462</t>
  </si>
  <si>
    <t>L2-200456</t>
  </si>
  <si>
    <t>P2-242464</t>
  </si>
  <si>
    <t>L2-160606</t>
  </si>
  <si>
    <t>P2-242465</t>
  </si>
  <si>
    <t>L2-220478</t>
  </si>
  <si>
    <t>P2-242466</t>
  </si>
  <si>
    <t>L2-200457</t>
  </si>
  <si>
    <t>P2-242467</t>
  </si>
  <si>
    <t>L2-240567</t>
  </si>
  <si>
    <t>P2-242471</t>
  </si>
  <si>
    <t>L2-240571</t>
  </si>
  <si>
    <t>P2-242472</t>
  </si>
  <si>
    <t>L2-240572</t>
  </si>
  <si>
    <t>P2-242473</t>
  </si>
  <si>
    <t>L2-200459</t>
  </si>
  <si>
    <t>P2-242474</t>
  </si>
  <si>
    <t>L2-230387</t>
  </si>
  <si>
    <t>P2-242475</t>
  </si>
  <si>
    <t>L2-150300</t>
  </si>
  <si>
    <t>P2-242476</t>
  </si>
  <si>
    <t>L2-220482</t>
  </si>
  <si>
    <t>P2-242477</t>
  </si>
  <si>
    <t>L2-190339</t>
  </si>
  <si>
    <t>P2-242478</t>
  </si>
  <si>
    <t>L2-200458</t>
  </si>
  <si>
    <t>P2-242479</t>
  </si>
  <si>
    <t>L2-180430</t>
  </si>
  <si>
    <t>P2-242480</t>
  </si>
  <si>
    <t>L2-210250</t>
  </si>
  <si>
    <t>P2-242483</t>
  </si>
  <si>
    <t>L2-240573</t>
  </si>
  <si>
    <t>P2-242484</t>
  </si>
  <si>
    <t>L2-240574</t>
  </si>
  <si>
    <t>P2-242486</t>
  </si>
  <si>
    <t>L2-150303</t>
  </si>
  <si>
    <t>P2-242487</t>
  </si>
  <si>
    <t>L2-220483</t>
  </si>
  <si>
    <t>P2-242489</t>
  </si>
  <si>
    <t>L2-180431</t>
  </si>
  <si>
    <t>P2-242492</t>
  </si>
  <si>
    <t>L2-240575</t>
  </si>
  <si>
    <t>P2-242493</t>
  </si>
  <si>
    <t>L2-210251</t>
  </si>
  <si>
    <t>P2-242494</t>
  </si>
  <si>
    <t>L2-170441</t>
  </si>
  <si>
    <t>P2-242495</t>
  </si>
  <si>
    <t>L2-190343</t>
  </si>
  <si>
    <t>P2-242496</t>
  </si>
  <si>
    <t>L2-220486</t>
  </si>
  <si>
    <t>P2-242497</t>
  </si>
  <si>
    <t>L2-110119</t>
  </si>
  <si>
    <t>P2-242498</t>
  </si>
  <si>
    <t>L2-240576</t>
  </si>
  <si>
    <t>P2-242501</t>
  </si>
  <si>
    <t>L2-220491</t>
  </si>
  <si>
    <t>P2-242502</t>
  </si>
  <si>
    <t>L2-190346</t>
  </si>
  <si>
    <t>P2-242503</t>
  </si>
  <si>
    <t>L2-220490</t>
  </si>
  <si>
    <t>P2-242504</t>
  </si>
  <si>
    <t>L2-230390</t>
  </si>
  <si>
    <t>P2-242505</t>
  </si>
  <si>
    <t>L2-140267</t>
  </si>
  <si>
    <t>P2-242506</t>
  </si>
  <si>
    <t>L2-220489</t>
  </si>
  <si>
    <t>P2-242507</t>
  </si>
  <si>
    <t>L2-200462</t>
  </si>
  <si>
    <t>P2-242508</t>
  </si>
  <si>
    <t>L2-180439</t>
  </si>
  <si>
    <t>P2-242509</t>
  </si>
  <si>
    <t>L2-150304</t>
  </si>
  <si>
    <t>P2-242510</t>
  </si>
  <si>
    <t>L2-150305</t>
  </si>
  <si>
    <t>P2-242511</t>
  </si>
  <si>
    <t>L2-220487</t>
  </si>
  <si>
    <t>P2-242512</t>
  </si>
  <si>
    <t>L2-240579</t>
  </si>
  <si>
    <t>P2-242513</t>
  </si>
  <si>
    <t>L2-240580</t>
  </si>
  <si>
    <t>P2-242514</t>
  </si>
  <si>
    <t>L2-160613</t>
  </si>
  <si>
    <t>P2-242515</t>
  </si>
  <si>
    <t>L2-220493</t>
  </si>
  <si>
    <t>P2-242516</t>
  </si>
  <si>
    <t>L2-220492</t>
  </si>
  <si>
    <t>P2-242518</t>
  </si>
  <si>
    <t>L2-200464</t>
  </si>
  <si>
    <t>P2-242519</t>
  </si>
  <si>
    <t>L2-240581</t>
  </si>
  <si>
    <t>P2-242520</t>
  </si>
  <si>
    <t>L2-240582</t>
  </si>
  <si>
    <t>P2-242521</t>
  </si>
  <si>
    <t>L2-240583</t>
  </si>
  <si>
    <t>P2-242524</t>
  </si>
  <si>
    <t>L2-240586</t>
  </si>
  <si>
    <t>P2-242525</t>
  </si>
  <si>
    <t>L2-240587</t>
  </si>
  <si>
    <t>P2-242527</t>
  </si>
  <si>
    <t>L2-220495</t>
  </si>
  <si>
    <t>P2-242528</t>
  </si>
  <si>
    <t>L2-200467</t>
  </si>
  <si>
    <t>P2-242529</t>
  </si>
  <si>
    <t>L2-230391</t>
  </si>
  <si>
    <t>P2-242530</t>
  </si>
  <si>
    <t>L2-240588</t>
  </si>
  <si>
    <t>P2-242533</t>
  </si>
  <si>
    <t>L2-180446</t>
  </si>
  <si>
    <t>P2-242537</t>
  </si>
  <si>
    <t>L2-240589</t>
  </si>
  <si>
    <t>P2-242538</t>
  </si>
  <si>
    <t>L2-240590</t>
  </si>
  <si>
    <t>P2-242539</t>
  </si>
  <si>
    <t>L2-190350</t>
  </si>
  <si>
    <t>P2-242540</t>
  </si>
  <si>
    <t>L2-140270</t>
  </si>
  <si>
    <t>P2-242542</t>
  </si>
  <si>
    <t>L2-160617</t>
  </si>
  <si>
    <t>P2-242544</t>
  </si>
  <si>
    <t>L2-150310</t>
  </si>
  <si>
    <t>P2-242545</t>
  </si>
  <si>
    <t>L2-240591</t>
  </si>
  <si>
    <t>P2-242546</t>
  </si>
  <si>
    <t>L2-200476</t>
  </si>
  <si>
    <t>P2-242548</t>
  </si>
  <si>
    <t>L2-230396</t>
  </si>
  <si>
    <t>P2-242550</t>
  </si>
  <si>
    <t>L2-230398</t>
  </si>
  <si>
    <t>P2-242552</t>
  </si>
  <si>
    <t>L2-200474</t>
  </si>
  <si>
    <t>P2-242554</t>
  </si>
  <si>
    <t>L2-160618</t>
  </si>
  <si>
    <t>P2-242555</t>
  </si>
  <si>
    <t>L2-240592</t>
  </si>
  <si>
    <t>P2-242558</t>
  </si>
  <si>
    <t>L2-230401</t>
  </si>
  <si>
    <t>P2-242560</t>
  </si>
  <si>
    <t>L2-150314</t>
  </si>
  <si>
    <t>P2-242562</t>
  </si>
  <si>
    <t>L2-200479</t>
  </si>
  <si>
    <t>P2-242564</t>
  </si>
  <si>
    <t>L2-230402</t>
  </si>
  <si>
    <t>P2-242565</t>
  </si>
  <si>
    <t>L2-180451</t>
  </si>
  <si>
    <t>P2-242566</t>
  </si>
  <si>
    <t>L2-220499</t>
  </si>
  <si>
    <t>P2-242567</t>
  </si>
  <si>
    <t>L2-170456</t>
  </si>
  <si>
    <t>P2-242568</t>
  </si>
  <si>
    <t>L2-220500</t>
  </si>
  <si>
    <t>P2-242569</t>
  </si>
  <si>
    <t>L2-200481</t>
  </si>
  <si>
    <t>P2-242571</t>
  </si>
  <si>
    <t>L2-170455</t>
  </si>
  <si>
    <t>P2-242573</t>
  </si>
  <si>
    <t>L2-240594</t>
  </si>
  <si>
    <t>P2-242576</t>
  </si>
  <si>
    <t>L2-210256</t>
  </si>
  <si>
    <t>P2-242577</t>
  </si>
  <si>
    <t>L2-230404</t>
  </si>
  <si>
    <t>P2-242579</t>
  </si>
  <si>
    <t>L2-170457</t>
  </si>
  <si>
    <t>P2-242580</t>
  </si>
  <si>
    <t>L2-200483</t>
  </si>
  <si>
    <t>P2-242581</t>
  </si>
  <si>
    <t>L2-210254</t>
  </si>
  <si>
    <t>P2-242582</t>
  </si>
  <si>
    <t>L2-220505</t>
  </si>
  <si>
    <t>P2-242583</t>
  </si>
  <si>
    <t>L2-220503</t>
  </si>
  <si>
    <t>P2-242585</t>
  </si>
  <si>
    <t>L2-190355</t>
  </si>
  <si>
    <t>P2-242587</t>
  </si>
  <si>
    <t>L2-220504</t>
  </si>
  <si>
    <t>P2-242588</t>
  </si>
  <si>
    <t>L2-240597</t>
  </si>
  <si>
    <t>P2-242589</t>
  </si>
  <si>
    <t>L2-240598</t>
  </si>
  <si>
    <t>P2-242590</t>
  </si>
  <si>
    <t>L2-240599</t>
  </si>
  <si>
    <t>P2-242591</t>
  </si>
  <si>
    <t>L2-240600</t>
  </si>
  <si>
    <t>P2-242592</t>
  </si>
  <si>
    <t>L2-240601</t>
  </si>
  <si>
    <t>P2-242593</t>
  </si>
  <si>
    <t>L2-150318</t>
  </si>
  <si>
    <t>P2-242595</t>
  </si>
  <si>
    <t>L2-210259</t>
  </si>
  <si>
    <t>P2-242596</t>
  </si>
  <si>
    <t>L2-180459</t>
  </si>
  <si>
    <t>P2-242598</t>
  </si>
  <si>
    <t>L2-180458</t>
  </si>
  <si>
    <t>P2-242599</t>
  </si>
  <si>
    <t>L2-210260</t>
  </si>
  <si>
    <t>P2-242601</t>
  </si>
  <si>
    <t>L2-230405</t>
  </si>
  <si>
    <t>P2-242602</t>
  </si>
  <si>
    <t>L2-150316</t>
  </si>
  <si>
    <t>P2-242603</t>
  </si>
  <si>
    <t>L2-240602</t>
  </si>
  <si>
    <t>P2-242604</t>
  </si>
  <si>
    <t>L2-180462</t>
  </si>
  <si>
    <t>P2-242605</t>
  </si>
  <si>
    <t>L2-220509</t>
  </si>
  <si>
    <t>P2-242607</t>
  </si>
  <si>
    <t>L2-180461</t>
  </si>
  <si>
    <t>P2-242608</t>
  </si>
  <si>
    <t>L2-210261</t>
  </si>
  <si>
    <t>P2-242609</t>
  </si>
  <si>
    <t>L2-240603</t>
  </si>
  <si>
    <t>P2-242610</t>
  </si>
  <si>
    <t>L2-240604</t>
  </si>
  <si>
    <t>P2-242611</t>
  </si>
  <si>
    <t>L2-240605</t>
  </si>
  <si>
    <t>P2-242612</t>
  </si>
  <si>
    <t>L2-240606</t>
  </si>
  <si>
    <t>P2-242618</t>
  </si>
  <si>
    <t>L2-240608</t>
  </si>
  <si>
    <t>P2-242619</t>
  </si>
  <si>
    <t>L2-240609</t>
  </si>
  <si>
    <t>P2-242620</t>
  </si>
  <si>
    <t>L2-230407</t>
  </si>
  <si>
    <t>P2-242621</t>
  </si>
  <si>
    <t>L2-220512</t>
  </si>
  <si>
    <t>P2-242622</t>
  </si>
  <si>
    <t>L2-220513</t>
  </si>
  <si>
    <t>P2-242623</t>
  </si>
  <si>
    <t>L2-230408</t>
  </si>
  <si>
    <t>P2-242626</t>
  </si>
  <si>
    <t>L2-240610</t>
  </si>
  <si>
    <t>P2-242627</t>
  </si>
  <si>
    <t>L2-220516</t>
  </si>
  <si>
    <t>P2-242628</t>
  </si>
  <si>
    <t>L2-180467</t>
  </si>
  <si>
    <t>P2-242630</t>
  </si>
  <si>
    <t>L2-160634</t>
  </si>
  <si>
    <t>P2-242632</t>
  </si>
  <si>
    <t>L2-200489</t>
  </si>
  <si>
    <t>P2-242635</t>
  </si>
  <si>
    <t>L2-180471</t>
  </si>
  <si>
    <t>P2-242637</t>
  </si>
  <si>
    <t>L2-180469</t>
  </si>
  <si>
    <t>P2-242638</t>
  </si>
  <si>
    <t>L2-170467</t>
  </si>
  <si>
    <t>P2-242639</t>
  </si>
  <si>
    <t>L2-160635</t>
  </si>
  <si>
    <t>P2-242640</t>
  </si>
  <si>
    <t>L2-170468</t>
  </si>
  <si>
    <t>P2-242641</t>
  </si>
  <si>
    <t>L2-220518</t>
  </si>
  <si>
    <t>P2-242642</t>
  </si>
  <si>
    <t>L2-200491</t>
  </si>
  <si>
    <t>P2-242643</t>
  </si>
  <si>
    <t>L2-190369</t>
  </si>
  <si>
    <t>P2-242644</t>
  </si>
  <si>
    <t>L2-150327</t>
  </si>
  <si>
    <t>P2-242645</t>
  </si>
  <si>
    <t>L2-220517</t>
  </si>
  <si>
    <t>P2-242648</t>
  </si>
  <si>
    <t>L2-210264</t>
  </si>
  <si>
    <t>P2-242649</t>
  </si>
  <si>
    <t>L2-230409</t>
  </si>
  <si>
    <t>P2-242650</t>
  </si>
  <si>
    <t>L2-230410</t>
  </si>
  <si>
    <t>P2-242652</t>
  </si>
  <si>
    <t>L2-190371</t>
  </si>
  <si>
    <t>P2-242653</t>
  </si>
  <si>
    <t>L2-180473</t>
  </si>
  <si>
    <t>P2-242654</t>
  </si>
  <si>
    <t>L2-240612</t>
  </si>
  <si>
    <t>P2-242658</t>
  </si>
  <si>
    <t>L2-200498</t>
  </si>
  <si>
    <t>P2-242659</t>
  </si>
  <si>
    <t>L2-230412</t>
  </si>
  <si>
    <t>P2-242661</t>
  </si>
  <si>
    <t>L2-240615</t>
  </si>
  <si>
    <t>P2-242662</t>
  </si>
  <si>
    <t>L2-200501</t>
  </si>
  <si>
    <t>P2-242664</t>
  </si>
  <si>
    <t>L2-200500</t>
  </si>
  <si>
    <t>P2-242665</t>
  </si>
  <si>
    <t>L2-150331</t>
  </si>
  <si>
    <t>P2-242666</t>
  </si>
  <si>
    <t>L2-230414</t>
  </si>
  <si>
    <t>P2-242667</t>
  </si>
  <si>
    <t>L2-190374</t>
  </si>
  <si>
    <t>P2-242669</t>
  </si>
  <si>
    <t>L2-230413</t>
  </si>
  <si>
    <t>P2-242671</t>
  </si>
  <si>
    <t>L2-240616</t>
  </si>
  <si>
    <t>P2-242673</t>
  </si>
  <si>
    <t>L2-240618</t>
  </si>
  <si>
    <t>P2-242674</t>
  </si>
  <si>
    <t>L2-240619</t>
  </si>
  <si>
    <t>P2-242675</t>
  </si>
  <si>
    <t>L2-240620</t>
  </si>
  <si>
    <t>P2-242676</t>
  </si>
  <si>
    <t>L2-240621</t>
  </si>
  <si>
    <t>P2-242677</t>
  </si>
  <si>
    <t>L2-200504</t>
  </si>
  <si>
    <t>P2-242679</t>
  </si>
  <si>
    <t>L2-190376</t>
  </si>
  <si>
    <t>P2-242681</t>
  </si>
  <si>
    <t>L2-180477</t>
  </si>
  <si>
    <t>P2-242683</t>
  </si>
  <si>
    <t>L2-190382</t>
  </si>
  <si>
    <t>P2-242684</t>
  </si>
  <si>
    <t>L2-230416</t>
  </si>
  <si>
    <t>P2-242685</t>
  </si>
  <si>
    <t>L2-120188</t>
  </si>
  <si>
    <t>P2-242687</t>
  </si>
  <si>
    <t>L2-200505</t>
  </si>
  <si>
    <t>P2-242688</t>
  </si>
  <si>
    <t>L2-210266</t>
  </si>
  <si>
    <t>P2-242689</t>
  </si>
  <si>
    <t>L2-150335</t>
  </si>
  <si>
    <t>P2-242691</t>
  </si>
  <si>
    <t>L2-240623</t>
  </si>
  <si>
    <t>P2-242692</t>
  </si>
  <si>
    <t>L2-240624</t>
  </si>
  <si>
    <t>P2-242695</t>
  </si>
  <si>
    <t>L2-230418</t>
  </si>
  <si>
    <t>P2-242696</t>
  </si>
  <si>
    <t>L2-190384</t>
  </si>
  <si>
    <t>P2-242697</t>
  </si>
  <si>
    <t>L2-230421</t>
  </si>
  <si>
    <t>P2-242698</t>
  </si>
  <si>
    <t>L2-220524</t>
  </si>
  <si>
    <t>P2-242699</t>
  </si>
  <si>
    <t>L2-160647</t>
  </si>
  <si>
    <t>P2-242700</t>
  </si>
  <si>
    <t>L2-230419</t>
  </si>
  <si>
    <t>P2-242701</t>
  </si>
  <si>
    <t>L2-190383</t>
  </si>
  <si>
    <t>P2-242702</t>
  </si>
  <si>
    <t>L2-170476</t>
  </si>
  <si>
    <t>P2-242703</t>
  </si>
  <si>
    <t>L2-220523</t>
  </si>
  <si>
    <t>P2-242705</t>
  </si>
  <si>
    <t>L2-240627</t>
  </si>
  <si>
    <t>P2-242707</t>
  </si>
  <si>
    <t>L2-150338</t>
  </si>
  <si>
    <t>P2-242708</t>
  </si>
  <si>
    <t>L2-190386</t>
  </si>
  <si>
    <t>P2-242709</t>
  </si>
  <si>
    <t>L2-220526</t>
  </si>
  <si>
    <t>P2-242710</t>
  </si>
  <si>
    <t>L2-220525</t>
  </si>
  <si>
    <t>P2-242711</t>
  </si>
  <si>
    <t>L2-180489</t>
  </si>
  <si>
    <t>P2-242712</t>
  </si>
  <si>
    <t>L2-170478</t>
  </si>
  <si>
    <t>P2-242713</t>
  </si>
  <si>
    <t>L2-190387</t>
  </si>
  <si>
    <t>P2-242715</t>
  </si>
  <si>
    <t>L2-120191</t>
  </si>
  <si>
    <t>P2-242716</t>
  </si>
  <si>
    <t>L2-180488</t>
  </si>
  <si>
    <t>P2-242718</t>
  </si>
  <si>
    <t>L2-180487</t>
  </si>
  <si>
    <t>C1-1037</t>
  </si>
  <si>
    <t>Main electrical bus failure caused heavy smoke, heat damage, and prolonged shutdown.</t>
  </si>
  <si>
    <t>C1-1046</t>
  </si>
  <si>
    <t>Sprinkler head impact flooded archive room, destroying paper files and finishes.</t>
  </si>
  <si>
    <t>C1-1055</t>
  </si>
  <si>
    <t>Pump failure flooded basement storage, electrical rooms, and lower mechanical systems.</t>
  </si>
  <si>
    <t>C1-1064</t>
  </si>
  <si>
    <t>Large fire in packaging area destroyed stock and heavily damaged warehouse interior.</t>
  </si>
  <si>
    <t>C1-1065</t>
  </si>
  <si>
    <t>Tenant improvement fire damaged corridor finishes and multiple suite entrances.</t>
  </si>
  <si>
    <t>C1-1067</t>
  </si>
  <si>
    <t>Large kitchen fire spread through multiple tenant spaces and roof assembly.</t>
  </si>
  <si>
    <t>C1-1068</t>
  </si>
  <si>
    <t>Facade seal failure allowed persistent water infiltration into upper-floor offices.</t>
  </si>
  <si>
    <t>C1-1070</t>
  </si>
  <si>
    <t>Roof drain blockage led to widespread ponding, interior leaks, and ceiling failures.</t>
  </si>
  <si>
    <t>C1-1071</t>
  </si>
  <si>
    <t>Large ductwork fire spread smoke throughout hotel tower and common areas.</t>
  </si>
  <si>
    <t>C1-1079</t>
  </si>
  <si>
    <t>C1-1087</t>
  </si>
  <si>
    <t>C1-1089</t>
  </si>
  <si>
    <t>C1-1091</t>
  </si>
  <si>
    <t>Extensive water loss from failed riser damaged multiple floors and vertical shafts.</t>
  </si>
  <si>
    <t>C1-1092</t>
  </si>
  <si>
    <t>Warehouse fire damaged roof structure, inventory, and material-handling equipment.</t>
  </si>
  <si>
    <t>C1-1093</t>
  </si>
  <si>
    <t>Mechanical failure toppled shelving, damaging stock and interior partition walls.</t>
  </si>
  <si>
    <t>C1-1096</t>
  </si>
  <si>
    <t>Fire in laundry area spread smoke and heat damage through several floors.</t>
  </si>
  <si>
    <t>C1-1098</t>
  </si>
  <si>
    <t>Production line fire damaged structure, controls, and finished goods inventory.</t>
  </si>
  <si>
    <t>C1-1099</t>
  </si>
  <si>
    <t>Cold storage equipment fire damaged insulated panels and high-value perishable inventory.</t>
  </si>
  <si>
    <t>C1-1103</t>
  </si>
  <si>
    <t>Partial ceiling collapse damaged furniture showroom inventory and decorative fixtures.</t>
  </si>
  <si>
    <t>C1-1111</t>
  </si>
  <si>
    <t>Collapsing mezzanine section damaged machinery, stock, and lower-level workstations.</t>
  </si>
  <si>
    <t>C1-1117</t>
  </si>
  <si>
    <t>Electrical arcing in switchgear room damaged distribution equipment and nearby structure.</t>
  </si>
  <si>
    <t>C1-1120</t>
  </si>
  <si>
    <t>C1-1123</t>
  </si>
  <si>
    <t>C1-1125</t>
  </si>
  <si>
    <t>Warehouse roof leak damaged stacked inventory and caused partial business interruption.</t>
  </si>
  <si>
    <t>C1-1127</t>
  </si>
  <si>
    <t>C1-1128</t>
  </si>
  <si>
    <t>Elevator equipment room fire caused smoke damage and building service interruption.</t>
  </si>
  <si>
    <t>C1-1129</t>
  </si>
  <si>
    <t>Chiller breakdown caused humidity damage to pharmaceuticals and temperature-sensitive contents.</t>
  </si>
  <si>
    <t>C1-1134</t>
  </si>
  <si>
    <t>Power surge damaged switchboards, elevators, tenant equipment, and building automation systems.</t>
  </si>
  <si>
    <t>C1-1135</t>
  </si>
  <si>
    <t>Main break beneath slab caused settlement, cracking, and interior finish damage.</t>
  </si>
  <si>
    <t>C1-1136</t>
  </si>
  <si>
    <t>Vehicle crashed through entrance, damaging structure, storefront, and interior buildout.</t>
  </si>
  <si>
    <t>C1-1138</t>
  </si>
  <si>
    <t>Failed drain line saturated insulation and drywall across a large retail footprint.</t>
  </si>
  <si>
    <t>C1-1140</t>
  </si>
  <si>
    <t>Suppression system discharge contaminated packaged goods and damaged labeling equipment.</t>
  </si>
  <si>
    <t>C1-1144</t>
  </si>
  <si>
    <t>High-rise sprinkler failure caused cascading water damage across numerous occupied floors.</t>
  </si>
  <si>
    <t>C1-1146</t>
  </si>
  <si>
    <t>C1-1147</t>
  </si>
  <si>
    <t>C1-1149</t>
  </si>
  <si>
    <t>Major roof collapse over retail anchor space crushed stock and critical systems.</t>
  </si>
  <si>
    <t>C1-1151</t>
  </si>
  <si>
    <t>C1-1153</t>
  </si>
  <si>
    <t>Extensive fire destroyed production equipment, inventory, and interior improvements facility-wide.</t>
  </si>
  <si>
    <t>C1-1155</t>
  </si>
  <si>
    <t>C1-1157</t>
  </si>
  <si>
    <t>Large refrigeration leak shut operations and damaged stock, controls, and interiors.</t>
  </si>
  <si>
    <t>C1-1158</t>
  </si>
  <si>
    <t>Large plumbing failure flooded hotel guest rooms, corridors, and service areas.</t>
  </si>
  <si>
    <t>C1-1160</t>
  </si>
  <si>
    <t>C1-1161</t>
  </si>
  <si>
    <t>C1-1163</t>
  </si>
  <si>
    <t>C1-1164</t>
  </si>
  <si>
    <t>C1-1166</t>
  </si>
  <si>
    <t>C1-1168</t>
  </si>
  <si>
    <t>Sustained water intrusion required gut renovation of several commercial condominium units.</t>
  </si>
  <si>
    <t>C1-1169</t>
  </si>
  <si>
    <t>Suppression release and smoke contamination damaged high-value electronics inventory and fixtures.</t>
  </si>
  <si>
    <t>C1-1171</t>
  </si>
  <si>
    <t>Major collapse of racking system damaged inventory, conveyors, and warehouse structure.</t>
  </si>
  <si>
    <t>C1-1172</t>
  </si>
  <si>
    <t>Water discharge from fire suppression system damaged stored electronics and packaging.</t>
  </si>
  <si>
    <t>C1-1175</t>
  </si>
  <si>
    <t>C1-1176</t>
  </si>
  <si>
    <t>Electrical room explosion caused severe structural damage and complete service interruption.</t>
  </si>
  <si>
    <t>C1-1177</t>
  </si>
  <si>
    <t>Pipe leak behind wall spread mold requiring remediation and buildback in several rooms.</t>
  </si>
  <si>
    <t>C1-1180</t>
  </si>
  <si>
    <t>C1-1181</t>
  </si>
  <si>
    <t>Storm-related water entry damaged common areas, fitness room, and leasing office.</t>
  </si>
  <si>
    <t>C1-1183</t>
  </si>
  <si>
    <t>Restaurant fire spread through exhaust system into roof and adjacent occupancies.</t>
  </si>
  <si>
    <t>C1-1184</t>
  </si>
  <si>
    <t>C1-1185</t>
  </si>
  <si>
    <t>C1-1187</t>
  </si>
  <si>
    <t>C1-1192</t>
  </si>
  <si>
    <t>C1-1194</t>
  </si>
  <si>
    <t>C1-1197</t>
  </si>
  <si>
    <t>C1-1198</t>
  </si>
  <si>
    <t>Pipe rupture above data room damaged network hardware and raised flooring.</t>
  </si>
  <si>
    <t>C1-1200</t>
  </si>
  <si>
    <t>C1-1201</t>
  </si>
  <si>
    <t>C1-1205</t>
  </si>
  <si>
    <t>Fire and smoke contamination rendered large hotel wing temporarily unusable.</t>
  </si>
  <si>
    <t>C1-1206</t>
  </si>
  <si>
    <t>C1-1208</t>
  </si>
  <si>
    <t>Structural beam damage from equipment impact required shoring and major repairs.</t>
  </si>
  <si>
    <t>C1-1209</t>
  </si>
  <si>
    <t>C1-1211</t>
  </si>
  <si>
    <t>C1-1213</t>
  </si>
  <si>
    <t>C1-1215</t>
  </si>
  <si>
    <t>C1-1216</t>
  </si>
  <si>
    <t>C1-1219</t>
  </si>
  <si>
    <t>C1-1220</t>
  </si>
  <si>
    <t>Subfloor moisture intrusion buckled flooring throughout occupied medical office space.</t>
  </si>
  <si>
    <t>C1-1221</t>
  </si>
  <si>
    <t>C1-1222</t>
  </si>
  <si>
    <t>C1-1225</t>
  </si>
  <si>
    <t>C1-1227</t>
  </si>
  <si>
    <t>Major utility failure caused fire, smoke, and catastrophic damage to core systems.</t>
  </si>
  <si>
    <t>C1-1230</t>
  </si>
  <si>
    <t>C1-1231</t>
  </si>
  <si>
    <t>Commercial oven fire spread into wall cavity and damaged adjacent suites.</t>
  </si>
  <si>
    <t>C1-1233</t>
  </si>
  <si>
    <t>C1-1236</t>
  </si>
  <si>
    <t>C1-1239</t>
  </si>
  <si>
    <t>C1-1240</t>
  </si>
  <si>
    <t>C1-1243</t>
  </si>
  <si>
    <t>Severe structural fire damaged multiple floors, requiring major reconstruction and tenant relocation.</t>
  </si>
  <si>
    <t>C1-1244</t>
  </si>
  <si>
    <t>C1-1248</t>
  </si>
  <si>
    <t>C1-1252</t>
  </si>
  <si>
    <t>Partial parapet failure damaged roof membrane and caused broad interior water intrusion.</t>
  </si>
  <si>
    <t>C1-1253</t>
  </si>
  <si>
    <t>C1-1254</t>
  </si>
  <si>
    <t>Widespread flood from broken main damaged finishes, elevators, and mechanical infrastructure.</t>
  </si>
  <si>
    <t>C1-1257</t>
  </si>
  <si>
    <t>Partial roof collapse over manufacturing area crushed equipment and stored materials.</t>
  </si>
  <si>
    <t>C1-1260</t>
  </si>
  <si>
    <t>C1-1261</t>
  </si>
  <si>
    <t>Extensive collapse of warehouse section destroyed inventory, machinery, and loading operations.</t>
  </si>
  <si>
    <t>C1-1262</t>
  </si>
  <si>
    <t>Significant freezer failure spoiled inventory and damaged specialty processing equipment.</t>
  </si>
  <si>
    <t>C1-1263</t>
  </si>
  <si>
    <t>C1-1267</t>
  </si>
  <si>
    <t>C1-1269</t>
  </si>
  <si>
    <t>C1-1272</t>
  </si>
  <si>
    <t>C1-1273</t>
  </si>
  <si>
    <t>Improper roof repairs failed, causing extensive interior water damage over multiple floors.</t>
  </si>
  <si>
    <t>C1-1274</t>
  </si>
  <si>
    <t>C1-1278</t>
  </si>
  <si>
    <t>Cooling tower failure flooded mechanical plant and disrupted core building systems.</t>
  </si>
  <si>
    <t>C1-1281</t>
  </si>
  <si>
    <t>C1-1282</t>
  </si>
  <si>
    <t>C1-1284</t>
  </si>
  <si>
    <t>C1-1287</t>
  </si>
  <si>
    <t>C1-1288</t>
  </si>
  <si>
    <t>C1-1289</t>
  </si>
  <si>
    <t>C1-1290</t>
  </si>
  <si>
    <t>Massive interior fire rendered office tower uninhabitable and destroyed tenant improvements.</t>
  </si>
  <si>
    <t>C1-1291</t>
  </si>
  <si>
    <t>C1-1298</t>
  </si>
  <si>
    <t>C1-1300</t>
  </si>
  <si>
    <t>Battery charging station fire damaged adjacent stock, racks, and electrical feeds.</t>
  </si>
  <si>
    <t>C1-1302</t>
  </si>
  <si>
    <t>C1-1303</t>
  </si>
  <si>
    <t>Explosion in utility room damaged structure, glazing, and several tenant suites.</t>
  </si>
  <si>
    <t>C1-1305</t>
  </si>
  <si>
    <t>C1-1306</t>
  </si>
  <si>
    <t>C1-1307</t>
  </si>
  <si>
    <t>C1-1308</t>
  </si>
  <si>
    <t>C1-1309</t>
  </si>
  <si>
    <t>C1-1311</t>
  </si>
  <si>
    <t>C1-1312</t>
  </si>
  <si>
    <t>C1-1314</t>
  </si>
  <si>
    <t>C1-1322</t>
  </si>
  <si>
    <t>C1-1324</t>
  </si>
  <si>
    <t>C1-1325</t>
  </si>
  <si>
    <t>C1-1329</t>
  </si>
  <si>
    <t>C1-1330</t>
  </si>
  <si>
    <t>C1-1331</t>
  </si>
  <si>
    <t>Water intrusion damaged MRI support areas, millwork, and sensitive medical systems.</t>
  </si>
  <si>
    <t>C1-1332</t>
  </si>
  <si>
    <t>C1-1336</t>
  </si>
  <si>
    <t>C1-1337</t>
  </si>
  <si>
    <t>C1-1341</t>
  </si>
  <si>
    <t>C1-1343</t>
  </si>
  <si>
    <t>C1-1344</t>
  </si>
  <si>
    <t>C1-1347</t>
  </si>
  <si>
    <t>C1-1348</t>
  </si>
  <si>
    <t>C1-1351</t>
  </si>
  <si>
    <t>C1-1353</t>
  </si>
  <si>
    <t>C1-1354</t>
  </si>
  <si>
    <t>C1-1358</t>
  </si>
  <si>
    <t>C1-1359</t>
  </si>
  <si>
    <t>C1-1361</t>
  </si>
  <si>
    <t>C1-1364</t>
  </si>
  <si>
    <t>C1-1365</t>
  </si>
  <si>
    <t>C1-1366</t>
  </si>
  <si>
    <t>C1-1368</t>
  </si>
  <si>
    <t>C1-1370</t>
  </si>
  <si>
    <t>C1-1372</t>
  </si>
  <si>
    <t>C1-1375</t>
  </si>
  <si>
    <t>C1-1376</t>
  </si>
  <si>
    <t>C1-1378</t>
  </si>
  <si>
    <t>C1-1379</t>
  </si>
  <si>
    <t>C1-1382</t>
  </si>
  <si>
    <t>C1-1383</t>
  </si>
  <si>
    <t>C1-1384</t>
  </si>
  <si>
    <t>Conveyor jam overheated motor and ignited nearby packaging materials in storage.</t>
  </si>
  <si>
    <t>C1-1389</t>
  </si>
  <si>
    <t>C1-1390</t>
  </si>
  <si>
    <t>C1-1391</t>
  </si>
  <si>
    <t>C1-1392</t>
  </si>
  <si>
    <t>C1-1393</t>
  </si>
  <si>
    <t>C1-1394</t>
  </si>
  <si>
    <t>Large explosion and ensuing fire gutted distribution center and contents.</t>
  </si>
  <si>
    <t>C1-1397</t>
  </si>
  <si>
    <t>C1-1399</t>
  </si>
  <si>
    <t>C1-1400</t>
  </si>
  <si>
    <t>C1-1402</t>
  </si>
  <si>
    <t>C1-1406</t>
  </si>
  <si>
    <t>C1-1407</t>
  </si>
  <si>
    <t>C1-1408</t>
  </si>
  <si>
    <t>C1-1412</t>
  </si>
  <si>
    <t>C1-1413</t>
  </si>
  <si>
    <t>C1-1414</t>
  </si>
  <si>
    <t>C1-1417</t>
  </si>
  <si>
    <t>C1-1418</t>
  </si>
  <si>
    <t>C1-1420</t>
  </si>
  <si>
    <t>C1-1422</t>
  </si>
  <si>
    <t>C1-1423</t>
  </si>
  <si>
    <t>Facade failure allowed sustained water entry across several tenant floors.</t>
  </si>
  <si>
    <t>C1-1424</t>
  </si>
  <si>
    <t>C1-1425</t>
  </si>
  <si>
    <t>C1-1428</t>
  </si>
  <si>
    <t>C1-1430</t>
  </si>
  <si>
    <t>C1-1438</t>
  </si>
  <si>
    <t>C1-1439</t>
  </si>
  <si>
    <t>C1-1441</t>
  </si>
  <si>
    <t>C1-1442</t>
  </si>
  <si>
    <t>C1-1443</t>
  </si>
  <si>
    <t>C1-1444</t>
  </si>
  <si>
    <t>C1-1445</t>
  </si>
  <si>
    <t>C1-1446</t>
  </si>
  <si>
    <t>C1-1448</t>
  </si>
  <si>
    <t>C1-1449</t>
  </si>
  <si>
    <t>C1-1450</t>
  </si>
  <si>
    <t>C1-1451</t>
  </si>
  <si>
    <t>Undetected leak compromised drywall, cabinetry, and flooring in numerous occupied units.</t>
  </si>
  <si>
    <t>C1-1452</t>
  </si>
  <si>
    <t>C1-1455</t>
  </si>
  <si>
    <t>C1-1458</t>
  </si>
  <si>
    <t>C1-1459</t>
  </si>
  <si>
    <t>C1-1462</t>
  </si>
  <si>
    <t>C1-1463</t>
  </si>
  <si>
    <t>C1-1464</t>
  </si>
  <si>
    <t>C1-1465</t>
  </si>
  <si>
    <t>C1-1467</t>
  </si>
  <si>
    <t>C1-1469</t>
  </si>
  <si>
    <t>C1-1470</t>
  </si>
  <si>
    <t>C1-1471</t>
  </si>
  <si>
    <t>C1-1472</t>
  </si>
  <si>
    <t>C1-1473</t>
  </si>
  <si>
    <t>C1-1474</t>
  </si>
  <si>
    <t>C1-1475</t>
  </si>
  <si>
    <t>C1-1477</t>
  </si>
  <si>
    <t>C1-1478</t>
  </si>
  <si>
    <t>C1-1480</t>
  </si>
  <si>
    <t>C1-1481</t>
  </si>
  <si>
    <t>C1-1482</t>
  </si>
  <si>
    <t>C1-1484</t>
  </si>
  <si>
    <t>C1-1485</t>
  </si>
  <si>
    <t>C1-1486</t>
  </si>
  <si>
    <t>C1-1488</t>
  </si>
  <si>
    <t>C1-1490</t>
  </si>
  <si>
    <t>C1-1492</t>
  </si>
  <si>
    <t>C1-1493</t>
  </si>
  <si>
    <t>C1-1494</t>
  </si>
  <si>
    <t>C1-1498</t>
  </si>
  <si>
    <t>C1-1501</t>
  </si>
  <si>
    <t>C1-1504</t>
  </si>
  <si>
    <t>C1-1505</t>
  </si>
  <si>
    <t>C1-1506</t>
  </si>
  <si>
    <t>C1-1507</t>
  </si>
  <si>
    <t>C1-1509</t>
  </si>
  <si>
    <t>C1-1510</t>
  </si>
  <si>
    <t>C1-1512</t>
  </si>
  <si>
    <t>C1-1513</t>
  </si>
  <si>
    <t>C1-1514</t>
  </si>
  <si>
    <t>C1-1515</t>
  </si>
  <si>
    <t>C1-1517</t>
  </si>
  <si>
    <t>C1-1518</t>
  </si>
  <si>
    <t>C1-1520</t>
  </si>
  <si>
    <t>C1-1521</t>
  </si>
  <si>
    <t>C1-1526</t>
  </si>
  <si>
    <t>C1-1529</t>
  </si>
  <si>
    <t>C1-1536</t>
  </si>
  <si>
    <t>C1-1537</t>
  </si>
  <si>
    <t>C1-1539</t>
  </si>
  <si>
    <t>Catastrophic explosion destroyed manufacturing building and heavily damaged adjacent structures.</t>
  </si>
  <si>
    <t>C1-1540</t>
  </si>
  <si>
    <t>C1-1541</t>
  </si>
  <si>
    <t>C1-1542</t>
  </si>
  <si>
    <t>C1-1545</t>
  </si>
  <si>
    <t>C1-1546</t>
  </si>
  <si>
    <t>C1-1547</t>
  </si>
  <si>
    <t>C1-1550</t>
  </si>
  <si>
    <t>C1-1551</t>
  </si>
  <si>
    <t>C1-1552</t>
  </si>
  <si>
    <t>C1-1553</t>
  </si>
  <si>
    <t>C1-1554</t>
  </si>
  <si>
    <t>C1-1555</t>
  </si>
  <si>
    <t>C1-1556</t>
  </si>
  <si>
    <t>C1-1557</t>
  </si>
  <si>
    <t>C1-1558</t>
  </si>
  <si>
    <t>C1-1560</t>
  </si>
  <si>
    <t>C1-1561</t>
  </si>
  <si>
    <t>C1-1562</t>
  </si>
  <si>
    <t>C1-1563</t>
  </si>
  <si>
    <t>C1-1566</t>
  </si>
  <si>
    <t>C1-1567</t>
  </si>
  <si>
    <t>C1-1568</t>
  </si>
  <si>
    <t>C1-1569</t>
  </si>
  <si>
    <t>C1-1570</t>
  </si>
  <si>
    <t>C1-1573</t>
  </si>
  <si>
    <t>C1-1575</t>
  </si>
  <si>
    <t>C1-1579</t>
  </si>
  <si>
    <t>C1-1581</t>
  </si>
  <si>
    <t>C1-1582</t>
  </si>
  <si>
    <t>C1-1584</t>
  </si>
  <si>
    <t>C1-1585</t>
  </si>
  <si>
    <t>C1-1586</t>
  </si>
  <si>
    <t>C1-1587</t>
  </si>
  <si>
    <t>C1-1588</t>
  </si>
  <si>
    <t>C1-1589</t>
  </si>
  <si>
    <t>C1-1591</t>
  </si>
  <si>
    <t>C1-1592</t>
  </si>
  <si>
    <t>C1-1594</t>
  </si>
  <si>
    <t>C1-1597</t>
  </si>
  <si>
    <t>C1-1599</t>
  </si>
  <si>
    <t>C1-1600</t>
  </si>
  <si>
    <t>C1-1602</t>
  </si>
  <si>
    <t>C1-1607</t>
  </si>
  <si>
    <t>C1-1608</t>
  </si>
  <si>
    <t>C1-1611</t>
  </si>
  <si>
    <t>C1-1615</t>
  </si>
  <si>
    <t>C1-1616</t>
  </si>
  <si>
    <t>C1-1617</t>
  </si>
  <si>
    <t>C1-1623</t>
  </si>
  <si>
    <t>C1-1630</t>
  </si>
  <si>
    <t>C1-1631</t>
  </si>
  <si>
    <t>C1-1633</t>
  </si>
  <si>
    <t>C1-1634</t>
  </si>
  <si>
    <t>C1-1635</t>
  </si>
  <si>
    <t>C1-1636</t>
  </si>
  <si>
    <t>C1-1638</t>
  </si>
  <si>
    <t>C1-1639</t>
  </si>
  <si>
    <t>C1-1641</t>
  </si>
  <si>
    <t>C1-1642</t>
  </si>
  <si>
    <t>C1-1644</t>
  </si>
  <si>
    <t>C1-1645</t>
  </si>
  <si>
    <t>C1-1646</t>
  </si>
  <si>
    <t>C1-1651</t>
  </si>
  <si>
    <t>C1-1652</t>
  </si>
  <si>
    <t>C1-1653</t>
  </si>
  <si>
    <t>C1-1658</t>
  </si>
  <si>
    <t>C1-1659</t>
  </si>
  <si>
    <t>C1-1661</t>
  </si>
  <si>
    <t>C1-1662</t>
  </si>
  <si>
    <t>C1-1664</t>
  </si>
  <si>
    <t>C1-1666</t>
  </si>
  <si>
    <t>C1-1667</t>
  </si>
  <si>
    <t>C1-1668</t>
  </si>
  <si>
    <t>C1-1669</t>
  </si>
  <si>
    <t>C1-1672</t>
  </si>
  <si>
    <t>C1-1676</t>
  </si>
  <si>
    <t>C1-1679</t>
  </si>
  <si>
    <t>C1-1682</t>
  </si>
  <si>
    <t>C1-1683</t>
  </si>
  <si>
    <t>C1-1685</t>
  </si>
  <si>
    <t>C1-1686</t>
  </si>
  <si>
    <t>C1-1689</t>
  </si>
  <si>
    <t>C1-1690</t>
  </si>
  <si>
    <t>C1-1691</t>
  </si>
  <si>
    <t>C1-1692</t>
  </si>
  <si>
    <t>C1-1693</t>
  </si>
  <si>
    <t>C1-1695</t>
  </si>
  <si>
    <t>C1-1696</t>
  </si>
  <si>
    <t>C1-1700</t>
  </si>
  <si>
    <t>C1-1701</t>
  </si>
  <si>
    <t>C1-1702</t>
  </si>
  <si>
    <t>C1-1703</t>
  </si>
  <si>
    <t>C1-1705</t>
  </si>
  <si>
    <t>C1-1707</t>
  </si>
  <si>
    <t>C1-1710</t>
  </si>
  <si>
    <t>C1-1712</t>
  </si>
  <si>
    <t>C1-1713</t>
  </si>
  <si>
    <t>C1-1716</t>
  </si>
  <si>
    <t>C1-1717</t>
  </si>
  <si>
    <t>C1-1723</t>
  </si>
  <si>
    <t>C1-1728</t>
  </si>
  <si>
    <t>C1-1729</t>
  </si>
  <si>
    <t>C1-1730</t>
  </si>
  <si>
    <t>C1-1731</t>
  </si>
  <si>
    <t>C1-1732</t>
  </si>
  <si>
    <t>C1-1733</t>
  </si>
  <si>
    <t>C1-1734</t>
  </si>
  <si>
    <t>C1-1735</t>
  </si>
  <si>
    <t>C1-1737</t>
  </si>
  <si>
    <t>C1-1739</t>
  </si>
  <si>
    <t>C1-1741</t>
  </si>
  <si>
    <t>C1-1742</t>
  </si>
  <si>
    <t>C1-1743</t>
  </si>
  <si>
    <t>C1-1744</t>
  </si>
  <si>
    <t>C1-1748</t>
  </si>
  <si>
    <t>C1-1749</t>
  </si>
  <si>
    <t>C1-1750</t>
  </si>
  <si>
    <t>C1-1752</t>
  </si>
  <si>
    <t>C1-1754</t>
  </si>
  <si>
    <t>C1-1755</t>
  </si>
  <si>
    <t>C1-1758</t>
  </si>
  <si>
    <t>C1-1759</t>
  </si>
  <si>
    <t>C1-1760</t>
  </si>
  <si>
    <t>C1-1769</t>
  </si>
  <si>
    <t>C1-1771</t>
  </si>
  <si>
    <t>C1-1772</t>
  </si>
  <si>
    <t>C1-1773</t>
  </si>
  <si>
    <t>C1-1774</t>
  </si>
  <si>
    <t>C1-1778</t>
  </si>
  <si>
    <t>C1-1779</t>
  </si>
  <si>
    <t>C1-1781</t>
  </si>
  <si>
    <t>C1-1782</t>
  </si>
  <si>
    <t>C1-1783</t>
  </si>
  <si>
    <t>C1-1784</t>
  </si>
  <si>
    <t>C1-1785</t>
  </si>
  <si>
    <t>C1-1786</t>
  </si>
  <si>
    <t>C1-1787</t>
  </si>
  <si>
    <t>C1-1789</t>
  </si>
  <si>
    <t>C1-1797</t>
  </si>
  <si>
    <t>C1-1798</t>
  </si>
  <si>
    <t>C1-1799</t>
  </si>
  <si>
    <t>C1-1807</t>
  </si>
  <si>
    <t>C1-1809</t>
  </si>
  <si>
    <t>C1-1810</t>
  </si>
  <si>
    <t>C1-1811</t>
  </si>
  <si>
    <t>C1-1812</t>
  </si>
  <si>
    <t>C1-1815</t>
  </si>
  <si>
    <t>C1-1816</t>
  </si>
  <si>
    <t>C1-1819</t>
  </si>
  <si>
    <t>C1-1820</t>
  </si>
  <si>
    <t>C1-1824</t>
  </si>
  <si>
    <t>C1-1827</t>
  </si>
  <si>
    <t>C1-1828</t>
  </si>
  <si>
    <t>C1-1830</t>
  </si>
  <si>
    <t>C1-1832</t>
  </si>
  <si>
    <t>C1-1833</t>
  </si>
  <si>
    <t>C1-1834</t>
  </si>
  <si>
    <t>C1-1835</t>
  </si>
  <si>
    <t>C1-1836</t>
  </si>
  <si>
    <t>C1-1838</t>
  </si>
  <si>
    <t>C1-1840</t>
  </si>
  <si>
    <t>C1-1841</t>
  </si>
  <si>
    <t>C1-1842</t>
  </si>
  <si>
    <t>C1-1846</t>
  </si>
  <si>
    <t>C1-1848</t>
  </si>
  <si>
    <t>C1-1852</t>
  </si>
  <si>
    <t>exposure information - rate changes</t>
  </si>
  <si>
    <t>NA</t>
  </si>
  <si>
    <t>Notes: gross incurred losses greater than $250000 for large catastrophe only (from AY 2020 to 2024); paid/outstanding/gross incurred losses include expense and can be greater than policy limit</t>
  </si>
  <si>
    <t>Notes: gross incurred losses greater than $50000 excluding large catastrophe (from AY 2020 to 2024); paid/outstanding/gross incurred losses include expense and can be greater than policy limit</t>
  </si>
  <si>
    <t>Small fire damaged kitchen with no injuries.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</si>
</sst>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Times New Roman"/>
    </font>
    <font>
      <sz val="10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3" fillId="0" borderId="0" xfId="0" applyFont="1"/>
    <xf numFmtId="0" fontId="3" fillId="3" borderId="0" xfId="0" applyFont="1" applyFill="1"/>
    <xf numFmtId="0" fontId="2" fillId="3" borderId="0" xfId="0" applyFont="1" applyFill="1"/>
    <xf numFmtId="0" fontId="3" fillId="2" borderId="0" xfId="0" applyFont="1" applyFill="1"/>
    <xf numFmtId="0" fontId="2" fillId="2" borderId="0" xfId="0" applyFont="1" applyFill="1"/>
    <xf numFmtId="0" fontId="3" fillId="4" borderId="0" xfId="0" applyFont="1" applyFill="1"/>
    <xf numFmtId="0" fontId="2" fillId="4" borderId="0" xfId="0" applyFont="1" applyFill="1"/>
    <xf numFmtId="14" fontId="1" fillId="0" borderId="0" xfId="0" applyNumberFormat="1" applyFont="1"/>
    <xf numFmtId="0" fontId="1" fillId="0" borderId="2" xfId="0" applyFont="1" applyBorder="1"/>
    <xf numFmtId="0" fontId="1" fillId="0" borderId="3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14" fontId="0" fillId="0" borderId="0" xfId="0" applyNumberFormat="1"/>
    <xf numFmtId="0" fontId="5" fillId="0" borderId="0" xfId="0" applyFont="1"/>
    <xf numFmtId="14" fontId="2" fillId="0" borderId="0" xfId="0" applyNumberFormat="1" applyFont="1"/>
    <xf numFmtId="0" fontId="5" fillId="3" borderId="0" xfId="0" applyFont="1" applyFill="1"/>
    <xf numFmtId="6" fontId="2" fillId="3" borderId="0" xfId="0" applyNumberFormat="1" applyFont="1" applyFill="1"/>
    <xf numFmtId="6" fontId="2" fillId="4" borderId="0" xfId="0" applyNumberFormat="1" applyFont="1" applyFill="1"/>
    <xf numFmtId="0" fontId="5" fillId="4" borderId="0" xfId="0" applyFont="1" applyFill="1"/>
    <xf numFmtId="9" fontId="2" fillId="0" borderId="0" xfId="0" applyNumberFormat="1" applyFont="1"/>
    <xf numFmtId="14" fontId="5" fillId="0" borderId="0" xfId="0" applyNumberFormat="1" applyFont="1"/>
    <xf numFmtId="43" fontId="0" fillId="0" borderId="0" xfId="1" applyFont="1"/>
    <xf numFmtId="43" fontId="1" fillId="0" borderId="2" xfId="1" applyFont="1" applyBorder="1"/>
    <xf numFmtId="9" fontId="1" fillId="0" borderId="3" xfId="2" applyFont="1" applyBorder="1"/>
    <xf numFmtId="164" fontId="0" fillId="0" borderId="0" xfId="1" applyNumberFormat="1" applyFont="1"/>
    <xf numFmtId="164" fontId="1" fillId="0" borderId="2" xfId="1" applyNumberFormat="1" applyFont="1" applyBorder="1"/>
    <xf numFmtId="43" fontId="1" fillId="0" borderId="0" xfId="1" applyFont="1"/>
    <xf numFmtId="43" fontId="7" fillId="0" borderId="0" xfId="1" applyFont="1"/>
    <xf numFmtId="165" fontId="0" fillId="0" borderId="0" xfId="0" applyNumberFormat="1"/>
    <xf numFmtId="0" fontId="7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1" fillId="0" borderId="2" xfId="0" applyFont="1" applyBorder="1"/>
    <xf numFmtId="0" fontId="4" fillId="0" borderId="2" xfId="0" applyFont="1" applyBorder="1"/>
    <xf numFmtId="0" fontId="6" fillId="0" borderId="0" xfId="0" applyFont="1" applyAlignment="1">
      <alignment horizontal="center"/>
    </xf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4:Z73"/>
  <sheetViews>
    <sheetView workbookViewId="0">
      <selection activeCell="D31" sqref="D31"/>
    </sheetView>
  </sheetViews>
  <sheetFormatPr defaultColWidth="12.5703125" defaultRowHeight="15.75" customHeight="1" x14ac:dyDescent="0.2"/>
  <cols>
    <col min="1" max="1" width="28.5703125" customWidth="1"/>
  </cols>
  <sheetData>
    <row r="4" spans="1:26" ht="12.75" x14ac:dyDescent="0.2">
      <c r="B4" s="16" t="s">
        <v>149</v>
      </c>
      <c r="C4" s="16" t="s">
        <v>150</v>
      </c>
      <c r="D4" s="16" t="s">
        <v>151</v>
      </c>
    </row>
    <row r="5" spans="1:26" ht="12.75" x14ac:dyDescent="0.2">
      <c r="A5" s="2" t="s">
        <v>0</v>
      </c>
      <c r="B5" s="2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x14ac:dyDescent="0.2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x14ac:dyDescent="0.2">
      <c r="A7" s="2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4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5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5" t="s">
        <v>6</v>
      </c>
      <c r="B10" s="20">
        <f>'Premium Information'!B3</f>
        <v>45689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5" t="s">
        <v>7</v>
      </c>
      <c r="B11" s="20">
        <f>B10+365-1</f>
        <v>46053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x14ac:dyDescent="0.2">
      <c r="A12" s="2" t="s">
        <v>8</v>
      </c>
      <c r="B12" s="19" t="s">
        <v>145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x14ac:dyDescent="0.2">
      <c r="A13" s="2" t="s">
        <v>9</v>
      </c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x14ac:dyDescent="0.2">
      <c r="A14" s="2" t="s">
        <v>11</v>
      </c>
      <c r="B14" s="19" t="s">
        <v>146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x14ac:dyDescent="0.2">
      <c r="A15" s="2" t="s">
        <v>12</v>
      </c>
      <c r="B15" s="19" t="s">
        <v>144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x14ac:dyDescent="0.2">
      <c r="A16" s="2" t="s">
        <v>13</v>
      </c>
      <c r="B16" s="2" t="s">
        <v>14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x14ac:dyDescent="0.2">
      <c r="A17" s="2" t="s">
        <v>15</v>
      </c>
      <c r="B17" s="2" t="s">
        <v>16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4" t="s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5" t="s">
        <v>18</v>
      </c>
      <c r="B20" s="19" t="s">
        <v>147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5" t="s">
        <v>19</v>
      </c>
      <c r="B21" s="19" t="s">
        <v>148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5" t="s">
        <v>21</v>
      </c>
      <c r="B23" s="2" t="s">
        <v>22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23</v>
      </c>
      <c r="B24" s="19" t="s">
        <v>110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5" t="s">
        <v>24</v>
      </c>
      <c r="B25" s="2" t="s">
        <v>25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5" t="s">
        <v>26</v>
      </c>
      <c r="B26" s="19" t="s">
        <v>152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5" t="s">
        <v>27</v>
      </c>
      <c r="B27" s="19" t="s">
        <v>153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4" t="s">
        <v>28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6" t="s">
        <v>29</v>
      </c>
      <c r="B29" s="21" t="s">
        <v>154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5">
      <c r="A30" s="6" t="s">
        <v>30</v>
      </c>
      <c r="B30" s="21" t="s">
        <v>155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5">
      <c r="A31" s="6" t="s">
        <v>32</v>
      </c>
      <c r="B31" s="22">
        <v>20000000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5">
      <c r="A32" s="6" t="s">
        <v>33</v>
      </c>
      <c r="B32" s="21" t="s">
        <v>110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5">
      <c r="A33" s="6" t="s">
        <v>34</v>
      </c>
      <c r="B33" s="7" t="s">
        <v>35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5">
      <c r="A34" s="6" t="s">
        <v>36</v>
      </c>
      <c r="B34" s="7" t="s">
        <v>31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5">
      <c r="A35" s="8" t="s">
        <v>37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5">
      <c r="A36" s="10" t="s">
        <v>29</v>
      </c>
      <c r="B36" s="11" t="s">
        <v>38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10" t="s">
        <v>39</v>
      </c>
      <c r="B37" s="23">
        <v>1000000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10" t="s">
        <v>33</v>
      </c>
      <c r="B38" s="24" t="s">
        <v>110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10" t="s">
        <v>34</v>
      </c>
      <c r="B39" s="11" t="s">
        <v>40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8" t="s">
        <v>41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5">
      <c r="A41" s="10" t="s">
        <v>29</v>
      </c>
      <c r="B41" s="11" t="s">
        <v>42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10" t="s">
        <v>43</v>
      </c>
      <c r="B42" s="24" t="s">
        <v>156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10" t="s">
        <v>44</v>
      </c>
      <c r="B43" s="11" t="s">
        <v>45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10" t="s">
        <v>46</v>
      </c>
      <c r="B44" s="11">
        <f>'Premium Information'!U26</f>
        <v>319121000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4" t="s">
        <v>47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x14ac:dyDescent="0.2">
      <c r="A46" s="2" t="s">
        <v>48</v>
      </c>
      <c r="B46" s="23">
        <f>B44*(5.5%+3.25%+1.85%)</f>
        <v>33826826</v>
      </c>
      <c r="C46" s="19" t="s">
        <v>157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2" t="s">
        <v>49</v>
      </c>
      <c r="B47" s="23">
        <f>B46*B51</f>
        <v>27061460.800000001</v>
      </c>
      <c r="C47" s="19" t="s">
        <v>157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2" t="s">
        <v>50</v>
      </c>
      <c r="B48" s="23">
        <f>B46*B49</f>
        <v>21987436.900000002</v>
      </c>
      <c r="C48" s="19" t="s">
        <v>157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2" t="s">
        <v>51</v>
      </c>
      <c r="B49" s="25">
        <v>0.65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2" t="s">
        <v>33</v>
      </c>
      <c r="B50" s="19" t="s">
        <v>110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2" t="s">
        <v>52</v>
      </c>
      <c r="B51" s="25">
        <v>0.8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4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5" t="s">
        <v>36</v>
      </c>
      <c r="B53" s="19" t="s">
        <v>158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5" t="s">
        <v>54</v>
      </c>
      <c r="B54" s="2">
        <v>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5" t="s">
        <v>21</v>
      </c>
      <c r="B55" s="19" t="s">
        <v>22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5" t="s">
        <v>55</v>
      </c>
      <c r="B56" s="19" t="s">
        <v>22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5" t="s">
        <v>56</v>
      </c>
      <c r="B57" s="19" t="s">
        <v>159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5" t="s">
        <v>57</v>
      </c>
      <c r="B58" s="2" t="s">
        <v>58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4" t="s">
        <v>59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5" t="s">
        <v>60</v>
      </c>
      <c r="B60" s="26" t="s">
        <v>160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5" t="s">
        <v>61</v>
      </c>
      <c r="B61" s="1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5" t="s">
        <v>62</v>
      </c>
      <c r="B62" s="20">
        <f>$B$10-16</f>
        <v>45673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5" t="s">
        <v>39</v>
      </c>
      <c r="B63" s="19" t="s">
        <v>157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5" t="s">
        <v>63</v>
      </c>
      <c r="B64" s="1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5" t="s">
        <v>62</v>
      </c>
      <c r="B65" s="19" t="s">
        <v>157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5" t="s">
        <v>39</v>
      </c>
      <c r="B66" s="20">
        <f>EOMONTH($B$10-16,3)</f>
        <v>45777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5" t="s">
        <v>64</v>
      </c>
      <c r="B67" s="1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5" t="s">
        <v>62</v>
      </c>
      <c r="B68" s="20">
        <f>EOMONTH($B$10-16,6)</f>
        <v>45869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5" t="s">
        <v>39</v>
      </c>
      <c r="B69" s="15" t="s">
        <v>157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4" t="s">
        <v>65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x14ac:dyDescent="0.2">
      <c r="A71" s="2" t="s">
        <v>66</v>
      </c>
      <c r="B71" s="25">
        <v>0.1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2" t="s">
        <v>67</v>
      </c>
      <c r="B72" s="25">
        <v>0.1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5" t="s">
        <v>68</v>
      </c>
      <c r="B73" s="19" t="s">
        <v>161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31"/>
  <sheetViews>
    <sheetView topLeftCell="D1" workbookViewId="0">
      <selection activeCell="U13" sqref="U13"/>
    </sheetView>
  </sheetViews>
  <sheetFormatPr defaultColWidth="12.5703125" defaultRowHeight="15.75" customHeight="1" x14ac:dyDescent="0.2"/>
  <cols>
    <col min="5" max="8" width="13.5703125" bestFit="1" customWidth="1"/>
    <col min="9" max="21" width="14.5703125" bestFit="1" customWidth="1"/>
  </cols>
  <sheetData>
    <row r="1" spans="1:21" ht="12.75" x14ac:dyDescent="0.2">
      <c r="A1" s="1" t="s">
        <v>69</v>
      </c>
    </row>
    <row r="2" spans="1:21" ht="12.75" x14ac:dyDescent="0.2">
      <c r="A2" s="1" t="s">
        <v>70</v>
      </c>
    </row>
    <row r="3" spans="1:21" ht="12.75" x14ac:dyDescent="0.2">
      <c r="A3" s="16" t="s">
        <v>143</v>
      </c>
      <c r="B3" s="18">
        <v>45689</v>
      </c>
    </row>
    <row r="5" spans="1:21" ht="12.75" x14ac:dyDescent="0.2">
      <c r="A5" s="1" t="s">
        <v>71</v>
      </c>
    </row>
    <row r="7" spans="1:21" ht="12.75" x14ac:dyDescent="0.2">
      <c r="A7" s="1" t="s">
        <v>72</v>
      </c>
      <c r="B7" s="12">
        <v>45565</v>
      </c>
    </row>
    <row r="8" spans="1:21" ht="12.75" x14ac:dyDescent="0.2">
      <c r="A8" s="1" t="s">
        <v>73</v>
      </c>
      <c r="B8" s="15" t="s">
        <v>110</v>
      </c>
    </row>
    <row r="10" spans="1:21" ht="12.75" x14ac:dyDescent="0.2">
      <c r="B10" s="35" t="s">
        <v>74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</row>
    <row r="11" spans="1:21" ht="12.75" x14ac:dyDescent="0.2">
      <c r="B11" s="16" t="s">
        <v>106</v>
      </c>
      <c r="C11" s="1"/>
      <c r="D11" s="16" t="s">
        <v>105</v>
      </c>
      <c r="E11" s="1">
        <v>2010</v>
      </c>
      <c r="F11" s="1">
        <f t="shared" ref="F11:R11" si="0">E11+1</f>
        <v>2011</v>
      </c>
      <c r="G11" s="1">
        <f t="shared" si="0"/>
        <v>2012</v>
      </c>
      <c r="H11" s="1">
        <f t="shared" si="0"/>
        <v>2013</v>
      </c>
      <c r="I11" s="1">
        <f t="shared" si="0"/>
        <v>2014</v>
      </c>
      <c r="J11" s="1">
        <f t="shared" si="0"/>
        <v>2015</v>
      </c>
      <c r="K11" s="1">
        <f t="shared" si="0"/>
        <v>2016</v>
      </c>
      <c r="L11" s="1">
        <f t="shared" si="0"/>
        <v>2017</v>
      </c>
      <c r="M11" s="1">
        <f t="shared" si="0"/>
        <v>2018</v>
      </c>
      <c r="N11" s="1">
        <f t="shared" si="0"/>
        <v>2019</v>
      </c>
      <c r="O11" s="1">
        <f t="shared" si="0"/>
        <v>2020</v>
      </c>
      <c r="P11" s="1">
        <f t="shared" si="0"/>
        <v>2021</v>
      </c>
      <c r="Q11" s="1">
        <f t="shared" si="0"/>
        <v>2022</v>
      </c>
      <c r="R11" s="1">
        <f t="shared" si="0"/>
        <v>2023</v>
      </c>
      <c r="S11" s="1" t="s">
        <v>75</v>
      </c>
      <c r="T11" s="1" t="s">
        <v>76</v>
      </c>
      <c r="U11" s="1" t="s">
        <v>77</v>
      </c>
    </row>
    <row r="12" spans="1:21" ht="12.75" x14ac:dyDescent="0.2">
      <c r="B12" s="16" t="s">
        <v>96</v>
      </c>
      <c r="D12" s="15" t="s">
        <v>98</v>
      </c>
      <c r="E12" s="27">
        <v>11250523.970000001</v>
      </c>
      <c r="F12" s="27">
        <v>13804805.6</v>
      </c>
      <c r="G12" s="27">
        <v>16886487.510000002</v>
      </c>
      <c r="H12" s="27">
        <v>19350410.77</v>
      </c>
      <c r="I12" s="27">
        <v>22280986.25</v>
      </c>
      <c r="J12" s="27">
        <v>24722005.02</v>
      </c>
      <c r="K12" s="27">
        <v>27042922.890000001</v>
      </c>
      <c r="L12" s="27">
        <v>34435636.560000002</v>
      </c>
      <c r="M12" s="27">
        <v>36203453.130000003</v>
      </c>
      <c r="N12" s="27">
        <v>36140698.990000002</v>
      </c>
      <c r="O12" s="27">
        <v>45597539.57</v>
      </c>
      <c r="P12" s="27">
        <v>45830021.450000003</v>
      </c>
      <c r="Q12" s="27">
        <v>46724284.740000002</v>
      </c>
      <c r="R12" s="27">
        <v>53036945.270000003</v>
      </c>
      <c r="S12" s="27">
        <v>54870000</v>
      </c>
      <c r="T12" s="27">
        <v>5800000</v>
      </c>
      <c r="U12" s="27">
        <v>1000</v>
      </c>
    </row>
    <row r="13" spans="1:21" ht="12.75" x14ac:dyDescent="0.2">
      <c r="B13" s="1"/>
      <c r="D13" s="15" t="s">
        <v>101</v>
      </c>
      <c r="E13" s="27">
        <v>10003210.880000001</v>
      </c>
      <c r="F13" s="27">
        <v>13877409.130000001</v>
      </c>
      <c r="G13" s="27">
        <v>16642161.310000001</v>
      </c>
      <c r="H13" s="27">
        <v>18116913</v>
      </c>
      <c r="I13" s="27">
        <v>21627839.210000001</v>
      </c>
      <c r="J13" s="27">
        <v>22133483.940000001</v>
      </c>
      <c r="K13" s="27">
        <v>24101982.350000001</v>
      </c>
      <c r="L13" s="27">
        <v>29799347.210000001</v>
      </c>
      <c r="M13" s="27">
        <v>31533403.41</v>
      </c>
      <c r="N13" s="27">
        <v>32949772.199999999</v>
      </c>
      <c r="O13" s="27">
        <v>45003587.780000001</v>
      </c>
      <c r="P13" s="27">
        <v>47716871.899999999</v>
      </c>
      <c r="Q13" s="27">
        <v>50262815.359999999</v>
      </c>
      <c r="R13" s="27">
        <v>58925026.369999997</v>
      </c>
      <c r="S13" s="27">
        <v>58410000</v>
      </c>
      <c r="T13" s="27">
        <v>6360000</v>
      </c>
      <c r="U13" s="27">
        <v>59180000</v>
      </c>
    </row>
    <row r="14" spans="1:21" ht="12.75" x14ac:dyDescent="0.2">
      <c r="D14" s="15" t="s">
        <v>102</v>
      </c>
      <c r="E14" s="27">
        <v>1826059.54</v>
      </c>
      <c r="F14" s="27">
        <v>2575252.15</v>
      </c>
      <c r="G14" s="27">
        <v>3636778.82</v>
      </c>
      <c r="H14" s="27">
        <v>4315221.5199999996</v>
      </c>
      <c r="I14" s="27">
        <v>4882427.67</v>
      </c>
      <c r="J14" s="27">
        <v>5118916.3899999997</v>
      </c>
      <c r="K14" s="27">
        <v>5738344.9199999999</v>
      </c>
      <c r="L14" s="27">
        <v>6822095.9400000004</v>
      </c>
      <c r="M14" s="27">
        <v>7631426.2199999997</v>
      </c>
      <c r="N14" s="27">
        <v>7766717.8099999996</v>
      </c>
      <c r="O14" s="27">
        <v>10504058.859999999</v>
      </c>
      <c r="P14" s="27">
        <v>10309699.25</v>
      </c>
      <c r="Q14" s="27">
        <v>10911181.289999999</v>
      </c>
      <c r="R14" s="27">
        <v>12108593.16</v>
      </c>
      <c r="S14" s="27">
        <v>12700000</v>
      </c>
      <c r="T14" s="27">
        <v>3110000</v>
      </c>
      <c r="U14" s="27">
        <v>13770000</v>
      </c>
    </row>
    <row r="15" spans="1:21" ht="12.75" x14ac:dyDescent="0.2">
      <c r="D15" s="15" t="s">
        <v>99</v>
      </c>
      <c r="E15" s="27">
        <v>4855881.4000000004</v>
      </c>
      <c r="F15" s="27">
        <v>7317284.5</v>
      </c>
      <c r="G15" s="27">
        <v>9382592.8200000003</v>
      </c>
      <c r="H15" s="27">
        <v>10444961.890000001</v>
      </c>
      <c r="I15" s="27">
        <v>12526645.779999999</v>
      </c>
      <c r="J15" s="27">
        <v>12732735.060000001</v>
      </c>
      <c r="K15" s="27">
        <v>14407142.84</v>
      </c>
      <c r="L15" s="27">
        <v>18371311.600000001</v>
      </c>
      <c r="M15" s="27">
        <v>18134106.170000002</v>
      </c>
      <c r="N15" s="27">
        <v>18710417.91</v>
      </c>
      <c r="O15" s="27">
        <v>23625161.219999999</v>
      </c>
      <c r="P15" s="27">
        <v>24394073.98</v>
      </c>
      <c r="Q15" s="27">
        <v>24982873.23</v>
      </c>
      <c r="R15" s="27">
        <v>29316658.010000002</v>
      </c>
      <c r="S15" s="27">
        <v>30660000</v>
      </c>
      <c r="T15" s="27">
        <v>9480000</v>
      </c>
      <c r="U15" s="27">
        <v>30950000</v>
      </c>
    </row>
    <row r="16" spans="1:21" ht="12.75" x14ac:dyDescent="0.2">
      <c r="D16" s="15" t="s">
        <v>100</v>
      </c>
      <c r="E16" s="27">
        <v>8810428.6600000001</v>
      </c>
      <c r="F16" s="27">
        <v>11660528.949999999</v>
      </c>
      <c r="G16" s="27">
        <v>13657298.35</v>
      </c>
      <c r="H16" s="27">
        <v>15699794.189999999</v>
      </c>
      <c r="I16" s="27">
        <v>19136046.859999999</v>
      </c>
      <c r="J16" s="27">
        <v>19624876.859999999</v>
      </c>
      <c r="K16" s="27">
        <v>21959862.07</v>
      </c>
      <c r="L16" s="27">
        <v>26852373.829999998</v>
      </c>
      <c r="M16" s="27">
        <v>28458130.859999999</v>
      </c>
      <c r="N16" s="27">
        <v>28244333.600000001</v>
      </c>
      <c r="O16" s="27">
        <v>35411276.420000002</v>
      </c>
      <c r="P16" s="27">
        <v>36864621.490000002</v>
      </c>
      <c r="Q16" s="27">
        <v>36679256.609999999</v>
      </c>
      <c r="R16" s="27">
        <v>43408872.990000002</v>
      </c>
      <c r="S16" s="27">
        <v>46760000</v>
      </c>
      <c r="T16" s="27">
        <v>5040000</v>
      </c>
      <c r="U16" s="27">
        <v>47290000</v>
      </c>
    </row>
    <row r="17" spans="2:21" ht="12.75" x14ac:dyDescent="0.2">
      <c r="D17" s="15" t="s">
        <v>115</v>
      </c>
      <c r="E17" s="27">
        <f t="shared" ref="E17:U17" si="1">SUM(E12:E16)</f>
        <v>36746104.450000003</v>
      </c>
      <c r="F17" s="27">
        <f t="shared" si="1"/>
        <v>49235280.329999998</v>
      </c>
      <c r="G17" s="27">
        <f t="shared" si="1"/>
        <v>60205318.810000002</v>
      </c>
      <c r="H17" s="27">
        <f t="shared" si="1"/>
        <v>67927301.36999999</v>
      </c>
      <c r="I17" s="27">
        <f t="shared" si="1"/>
        <v>80453945.770000011</v>
      </c>
      <c r="J17" s="27">
        <f t="shared" si="1"/>
        <v>84332017.270000011</v>
      </c>
      <c r="K17" s="27">
        <f t="shared" si="1"/>
        <v>93250255.069999993</v>
      </c>
      <c r="L17" s="27">
        <f t="shared" si="1"/>
        <v>116280765.14</v>
      </c>
      <c r="M17" s="27">
        <f t="shared" si="1"/>
        <v>121960519.79000001</v>
      </c>
      <c r="N17" s="27">
        <f t="shared" si="1"/>
        <v>123811940.50999999</v>
      </c>
      <c r="O17" s="27">
        <f t="shared" si="1"/>
        <v>160141623.84999999</v>
      </c>
      <c r="P17" s="27">
        <f t="shared" si="1"/>
        <v>165115288.06999999</v>
      </c>
      <c r="Q17" s="27">
        <f t="shared" si="1"/>
        <v>169560411.22999999</v>
      </c>
      <c r="R17" s="27">
        <f t="shared" si="1"/>
        <v>196796095.80000001</v>
      </c>
      <c r="S17" s="27">
        <f t="shared" si="1"/>
        <v>203400000</v>
      </c>
      <c r="T17" s="27">
        <f t="shared" si="1"/>
        <v>29790000</v>
      </c>
      <c r="U17" s="27">
        <f t="shared" si="1"/>
        <v>151191000</v>
      </c>
    </row>
    <row r="18" spans="2:21" ht="15.75" customHeight="1" x14ac:dyDescent="0.2"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</row>
    <row r="19" spans="2:21" ht="15.75" customHeight="1" x14ac:dyDescent="0.2">
      <c r="B19" s="15" t="s">
        <v>97</v>
      </c>
      <c r="D19" s="15" t="s">
        <v>98</v>
      </c>
      <c r="E19" s="27">
        <v>1670258.1120028859</v>
      </c>
      <c r="F19" s="27">
        <v>2351547.1288291146</v>
      </c>
      <c r="G19" s="27">
        <v>3052862.8909654804</v>
      </c>
      <c r="H19" s="27">
        <v>4301219.8771878891</v>
      </c>
      <c r="I19" s="27">
        <v>6227373.42097749</v>
      </c>
      <c r="J19" s="27">
        <v>7766690.3360998463</v>
      </c>
      <c r="K19" s="27">
        <v>11992876.130000001</v>
      </c>
      <c r="L19" s="27">
        <v>14895546.119999999</v>
      </c>
      <c r="M19" s="27">
        <v>19973554.309999999</v>
      </c>
      <c r="N19" s="27">
        <v>23226845.43</v>
      </c>
      <c r="O19" s="27">
        <v>29120289.289999999</v>
      </c>
      <c r="P19" s="27">
        <v>31951142.600000001</v>
      </c>
      <c r="Q19" s="27">
        <v>40568604.950000003</v>
      </c>
      <c r="R19" s="27">
        <v>42522608.920000002</v>
      </c>
      <c r="S19" s="27">
        <v>45770000</v>
      </c>
      <c r="T19" s="27">
        <v>4960000</v>
      </c>
      <c r="U19" s="27">
        <v>57710000</v>
      </c>
    </row>
    <row r="20" spans="2:21" ht="15.75" customHeight="1" x14ac:dyDescent="0.2">
      <c r="D20" s="15" t="s">
        <v>101</v>
      </c>
      <c r="E20" s="27">
        <v>1801618.5742555761</v>
      </c>
      <c r="F20" s="27">
        <v>2240008.753443676</v>
      </c>
      <c r="G20" s="27">
        <v>3198506.0116888992</v>
      </c>
      <c r="H20" s="27">
        <v>3533289.744390707</v>
      </c>
      <c r="I20" s="27">
        <v>5650778.9988871785</v>
      </c>
      <c r="J20" s="27">
        <v>7653707.4872634904</v>
      </c>
      <c r="K20" s="27">
        <v>11338597.029999999</v>
      </c>
      <c r="L20" s="27">
        <v>13722266.09</v>
      </c>
      <c r="M20" s="27">
        <v>17812098.879999999</v>
      </c>
      <c r="N20" s="27">
        <v>20207799.48</v>
      </c>
      <c r="O20" s="27">
        <v>23485455.18</v>
      </c>
      <c r="P20" s="27">
        <v>26447557.449999999</v>
      </c>
      <c r="Q20" s="27">
        <v>32327075.199999999</v>
      </c>
      <c r="R20" s="27">
        <v>34708771.880000003</v>
      </c>
      <c r="S20" s="27">
        <v>37080000</v>
      </c>
      <c r="T20" s="27">
        <v>3360000</v>
      </c>
      <c r="U20" s="27">
        <v>45530000</v>
      </c>
    </row>
    <row r="21" spans="2:21" ht="15.75" customHeight="1" x14ac:dyDescent="0.2">
      <c r="D21" s="15" t="s">
        <v>102</v>
      </c>
      <c r="E21" s="27">
        <v>369793.93</v>
      </c>
      <c r="F21" s="27">
        <v>488267.87</v>
      </c>
      <c r="G21" s="27">
        <v>688829.01</v>
      </c>
      <c r="H21" s="27">
        <v>879509.38</v>
      </c>
      <c r="I21" s="27">
        <v>1348693.6</v>
      </c>
      <c r="J21" s="27">
        <v>2104141.7799999998</v>
      </c>
      <c r="K21" s="27">
        <v>2902114.51</v>
      </c>
      <c r="L21" s="27">
        <v>3942396.36</v>
      </c>
      <c r="M21" s="27">
        <v>4935939.84</v>
      </c>
      <c r="N21" s="27">
        <v>5418757.8899999997</v>
      </c>
      <c r="O21" s="27">
        <v>6157252.8600000003</v>
      </c>
      <c r="P21" s="27">
        <v>6467371.5999999996</v>
      </c>
      <c r="Q21" s="27">
        <v>8536367.1400000006</v>
      </c>
      <c r="R21" s="27">
        <v>8821811.6799999997</v>
      </c>
      <c r="S21" s="27">
        <v>8990000</v>
      </c>
      <c r="T21" s="27">
        <v>1100000</v>
      </c>
      <c r="U21" s="27">
        <v>11660000</v>
      </c>
    </row>
    <row r="22" spans="2:21" ht="15.75" customHeight="1" x14ac:dyDescent="0.2">
      <c r="D22" s="15" t="s">
        <v>99</v>
      </c>
      <c r="E22" s="27">
        <v>1032137.58</v>
      </c>
      <c r="F22" s="27">
        <v>1123487.1599999999</v>
      </c>
      <c r="G22" s="27">
        <v>1687781.4</v>
      </c>
      <c r="H22" s="27">
        <v>2048319.72</v>
      </c>
      <c r="I22" s="27">
        <v>3204112.12</v>
      </c>
      <c r="J22" s="27">
        <v>3876605.74</v>
      </c>
      <c r="K22" s="27">
        <v>5566843.1900000004</v>
      </c>
      <c r="L22" s="27">
        <v>6942297.2300000004</v>
      </c>
      <c r="M22" s="27">
        <v>9286256.1300000008</v>
      </c>
      <c r="N22" s="27">
        <v>10276960.550000001</v>
      </c>
      <c r="O22" s="27">
        <v>13092986.699999999</v>
      </c>
      <c r="P22" s="27">
        <v>13293964.84</v>
      </c>
      <c r="Q22" s="27">
        <v>16331648.539999999</v>
      </c>
      <c r="R22" s="27">
        <v>16084928.130000001</v>
      </c>
      <c r="S22" s="27">
        <v>16560000</v>
      </c>
      <c r="T22" s="27">
        <v>340000</v>
      </c>
      <c r="U22" s="27">
        <v>21360000</v>
      </c>
    </row>
    <row r="23" spans="2:21" ht="15.75" customHeight="1" x14ac:dyDescent="0.2">
      <c r="D23" s="15" t="s">
        <v>100</v>
      </c>
      <c r="E23" s="27">
        <v>1500410.5</v>
      </c>
      <c r="F23" s="27">
        <v>1677754.56</v>
      </c>
      <c r="G23" s="27">
        <v>2470750.9</v>
      </c>
      <c r="H23" s="27">
        <v>3318160.77</v>
      </c>
      <c r="I23" s="27">
        <v>4998552.57</v>
      </c>
      <c r="J23" s="27">
        <v>6611475.46</v>
      </c>
      <c r="K23" s="27">
        <v>9720822.8900000006</v>
      </c>
      <c r="L23" s="27">
        <v>11254544.359999999</v>
      </c>
      <c r="M23" s="27">
        <v>13400884.619999999</v>
      </c>
      <c r="N23" s="27">
        <v>15104883.689999999</v>
      </c>
      <c r="O23" s="27">
        <v>17492500.739999998</v>
      </c>
      <c r="P23" s="27">
        <v>19449097.850000001</v>
      </c>
      <c r="Q23" s="27">
        <v>25463471.82</v>
      </c>
      <c r="R23" s="27">
        <v>24728748.82</v>
      </c>
      <c r="S23" s="27">
        <v>25230000</v>
      </c>
      <c r="T23" s="27">
        <v>160000</v>
      </c>
      <c r="U23" s="27">
        <v>31670000</v>
      </c>
    </row>
    <row r="24" spans="2:21" ht="15.75" customHeight="1" x14ac:dyDescent="0.2">
      <c r="D24" s="15" t="s">
        <v>115</v>
      </c>
      <c r="E24" s="27">
        <f>SUM(E19:E23)</f>
        <v>6374218.696258462</v>
      </c>
      <c r="F24" s="27">
        <f t="shared" ref="F24:U24" si="2">SUM(F19:F23)</f>
        <v>7881065.472272791</v>
      </c>
      <c r="G24" s="27">
        <f t="shared" si="2"/>
        <v>11098730.21265438</v>
      </c>
      <c r="H24" s="27">
        <f t="shared" si="2"/>
        <v>14080499.491578598</v>
      </c>
      <c r="I24" s="27">
        <f t="shared" si="2"/>
        <v>21429510.709864669</v>
      </c>
      <c r="J24" s="27">
        <f t="shared" si="2"/>
        <v>28012620.803363338</v>
      </c>
      <c r="K24" s="27">
        <f t="shared" si="2"/>
        <v>41521253.75</v>
      </c>
      <c r="L24" s="27">
        <f t="shared" si="2"/>
        <v>50757050.159999996</v>
      </c>
      <c r="M24" s="27">
        <f t="shared" si="2"/>
        <v>65408733.780000001</v>
      </c>
      <c r="N24" s="27">
        <f t="shared" si="2"/>
        <v>74235247.039999992</v>
      </c>
      <c r="O24" s="27">
        <f t="shared" si="2"/>
        <v>89348484.769999996</v>
      </c>
      <c r="P24" s="27">
        <f t="shared" si="2"/>
        <v>97609134.340000004</v>
      </c>
      <c r="Q24" s="27">
        <f t="shared" si="2"/>
        <v>123227167.65000001</v>
      </c>
      <c r="R24" s="27">
        <f t="shared" si="2"/>
        <v>126866869.43000001</v>
      </c>
      <c r="S24" s="27">
        <f t="shared" si="2"/>
        <v>133630000</v>
      </c>
      <c r="T24" s="27">
        <f t="shared" si="2"/>
        <v>9920000</v>
      </c>
      <c r="U24" s="27">
        <f t="shared" si="2"/>
        <v>167930000</v>
      </c>
    </row>
    <row r="25" spans="2:21" ht="15.75" customHeight="1" x14ac:dyDescent="0.2">
      <c r="B25" s="1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</row>
    <row r="26" spans="2:21" ht="15.75" customHeight="1" x14ac:dyDescent="0.2">
      <c r="B26" s="13" t="s">
        <v>78</v>
      </c>
      <c r="C26" s="13"/>
      <c r="D26" s="13"/>
      <c r="E26" s="28">
        <f>E17+E24</f>
        <v>43120323.146258466</v>
      </c>
      <c r="F26" s="28">
        <f t="shared" ref="F26:U26" si="3">F17+F24</f>
        <v>57116345.802272789</v>
      </c>
      <c r="G26" s="28">
        <f t="shared" si="3"/>
        <v>71304049.022654384</v>
      </c>
      <c r="H26" s="28">
        <f t="shared" si="3"/>
        <v>82007800.861578584</v>
      </c>
      <c r="I26" s="28">
        <f t="shared" si="3"/>
        <v>101883456.47986469</v>
      </c>
      <c r="J26" s="28">
        <f t="shared" si="3"/>
        <v>112344638.07336335</v>
      </c>
      <c r="K26" s="28">
        <f t="shared" si="3"/>
        <v>134771508.81999999</v>
      </c>
      <c r="L26" s="28">
        <f t="shared" si="3"/>
        <v>167037815.30000001</v>
      </c>
      <c r="M26" s="28">
        <f t="shared" si="3"/>
        <v>187369253.56999999</v>
      </c>
      <c r="N26" s="28">
        <f t="shared" si="3"/>
        <v>198047187.54999998</v>
      </c>
      <c r="O26" s="28">
        <f t="shared" si="3"/>
        <v>249490108.62</v>
      </c>
      <c r="P26" s="28">
        <f t="shared" si="3"/>
        <v>262724422.41</v>
      </c>
      <c r="Q26" s="28">
        <f t="shared" si="3"/>
        <v>292787578.88</v>
      </c>
      <c r="R26" s="28">
        <f t="shared" si="3"/>
        <v>323662965.23000002</v>
      </c>
      <c r="S26" s="28">
        <f t="shared" si="3"/>
        <v>337030000</v>
      </c>
      <c r="T26" s="28">
        <f t="shared" si="3"/>
        <v>39710000</v>
      </c>
      <c r="U26" s="28">
        <f t="shared" si="3"/>
        <v>319121000</v>
      </c>
    </row>
    <row r="27" spans="2:21" ht="15.75" customHeight="1" x14ac:dyDescent="0.2">
      <c r="B27" s="14" t="s">
        <v>79</v>
      </c>
      <c r="C27" s="14"/>
      <c r="D27" s="14"/>
      <c r="E27" s="14"/>
      <c r="F27" s="29">
        <f>F26/E26-1</f>
        <v>0.32458065326972751</v>
      </c>
      <c r="G27" s="29">
        <f t="shared" ref="G27:R27" si="4">G26/F26-1</f>
        <v>0.24840005117794206</v>
      </c>
      <c r="H27" s="29">
        <f t="shared" si="4"/>
        <v>0.15011422192200419</v>
      </c>
      <c r="I27" s="29">
        <f t="shared" si="4"/>
        <v>0.24236298753864083</v>
      </c>
      <c r="J27" s="29">
        <f t="shared" si="4"/>
        <v>0.10267792196043235</v>
      </c>
      <c r="K27" s="29">
        <f t="shared" si="4"/>
        <v>0.19962564418954676</v>
      </c>
      <c r="L27" s="29">
        <f t="shared" si="4"/>
        <v>0.2394148938637668</v>
      </c>
      <c r="M27" s="29">
        <f t="shared" si="4"/>
        <v>0.12171757774420544</v>
      </c>
      <c r="N27" s="29">
        <f t="shared" si="4"/>
        <v>5.698872027587365E-2</v>
      </c>
      <c r="O27" s="29">
        <f t="shared" si="4"/>
        <v>0.25975082861003762</v>
      </c>
      <c r="P27" s="29">
        <f t="shared" si="4"/>
        <v>5.3045444820248422E-2</v>
      </c>
      <c r="Q27" s="29">
        <f t="shared" si="4"/>
        <v>0.11442848058900412</v>
      </c>
      <c r="R27" s="29">
        <f t="shared" si="4"/>
        <v>0.10545319739350822</v>
      </c>
      <c r="S27" s="14"/>
      <c r="T27" s="14"/>
      <c r="U27" s="29"/>
    </row>
    <row r="30" spans="2:21" ht="15.75" customHeight="1" x14ac:dyDescent="0.2">
      <c r="E30" s="41"/>
      <c r="F30" s="41"/>
      <c r="G30" s="41"/>
      <c r="H30" s="41"/>
      <c r="I30" s="41"/>
      <c r="J30" s="41"/>
    </row>
    <row r="31" spans="2:21" ht="15.75" customHeight="1" x14ac:dyDescent="0.2">
      <c r="E31" s="41"/>
      <c r="F31" s="41"/>
      <c r="G31" s="41"/>
      <c r="H31" s="41"/>
      <c r="I31" s="41"/>
      <c r="J31" s="41"/>
    </row>
  </sheetData>
  <mergeCells count="1">
    <mergeCell ref="B10:U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26"/>
  <sheetViews>
    <sheetView workbookViewId="0">
      <selection activeCell="M35" sqref="M35"/>
    </sheetView>
  </sheetViews>
  <sheetFormatPr defaultColWidth="12.5703125" defaultRowHeight="15.75" customHeight="1" x14ac:dyDescent="0.2"/>
  <cols>
    <col min="3" max="3" width="17.85546875" bestFit="1" customWidth="1"/>
    <col min="4" max="7" width="13.5703125" bestFit="1" customWidth="1"/>
    <col min="8" max="8" width="3.28515625" customWidth="1"/>
    <col min="9" max="10" width="13.5703125" bestFit="1" customWidth="1"/>
    <col min="11" max="11" width="12.7109375" bestFit="1" customWidth="1"/>
    <col min="12" max="13" width="13.5703125" bestFit="1" customWidth="1"/>
    <col min="14" max="14" width="2.5703125" customWidth="1"/>
    <col min="15" max="15" width="17" bestFit="1" customWidth="1"/>
    <col min="16" max="16" width="24" bestFit="1" customWidth="1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2025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45689</v>
      </c>
    </row>
    <row r="5" spans="1:16" ht="12.75" x14ac:dyDescent="0.2">
      <c r="A5" s="1" t="s">
        <v>80</v>
      </c>
    </row>
    <row r="7" spans="1:16" ht="12.75" x14ac:dyDescent="0.2">
      <c r="A7" s="1" t="str">
        <f>'Premium Information'!A7</f>
        <v>Data as of:</v>
      </c>
      <c r="B7" s="12">
        <f>'Premium Information'!B7</f>
        <v>45565</v>
      </c>
    </row>
    <row r="8" spans="1:16" ht="12.75" x14ac:dyDescent="0.2">
      <c r="A8" s="1" t="str">
        <f>'Premium Information'!A8</f>
        <v>Currency:</v>
      </c>
      <c r="B8" s="15" t="str">
        <f>'Premium Information'!B8</f>
        <v>USD</v>
      </c>
    </row>
    <row r="10" spans="1:16" ht="12.75" x14ac:dyDescent="0.2">
      <c r="B10" s="1" t="s">
        <v>94</v>
      </c>
      <c r="P10" t="s">
        <v>95</v>
      </c>
    </row>
    <row r="11" spans="1:16" ht="12.75" x14ac:dyDescent="0.2">
      <c r="C11" s="1" t="s">
        <v>96</v>
      </c>
      <c r="D11" s="1"/>
      <c r="H11" s="1"/>
      <c r="I11" s="1" t="s">
        <v>97</v>
      </c>
      <c r="K11" s="1"/>
      <c r="M11" s="1"/>
      <c r="O11" s="1" t="s">
        <v>82</v>
      </c>
      <c r="P11" s="1" t="s">
        <v>81</v>
      </c>
    </row>
    <row r="12" spans="1:16" ht="15.75" customHeight="1" x14ac:dyDescent="0.2">
      <c r="B12" s="15" t="s">
        <v>103</v>
      </c>
      <c r="C12" t="s">
        <v>98</v>
      </c>
      <c r="D12" t="s">
        <v>101</v>
      </c>
      <c r="E12" s="15" t="s">
        <v>102</v>
      </c>
      <c r="F12" s="15" t="s">
        <v>99</v>
      </c>
      <c r="G12" s="15" t="s">
        <v>100</v>
      </c>
      <c r="I12" t="s">
        <v>98</v>
      </c>
      <c r="J12" t="s">
        <v>101</v>
      </c>
      <c r="K12" s="15" t="s">
        <v>102</v>
      </c>
      <c r="L12" s="15" t="s">
        <v>99</v>
      </c>
      <c r="M12" s="15" t="s">
        <v>100</v>
      </c>
    </row>
    <row r="13" spans="1:16" ht="15.75" customHeight="1" x14ac:dyDescent="0.2">
      <c r="A13" s="16" t="s">
        <v>104</v>
      </c>
      <c r="B13">
        <v>2010</v>
      </c>
      <c r="C13" s="27">
        <v>11250523.970000001</v>
      </c>
      <c r="D13" s="27">
        <v>10003210.880000001</v>
      </c>
      <c r="E13" s="27">
        <v>1826059.54</v>
      </c>
      <c r="F13" s="27">
        <v>4855881.4000000004</v>
      </c>
      <c r="G13" s="27">
        <v>8810428.6600000001</v>
      </c>
      <c r="H13" s="27"/>
      <c r="I13" s="27">
        <v>1670258.1120028859</v>
      </c>
      <c r="J13" s="27">
        <v>1801618.5742555761</v>
      </c>
      <c r="K13" s="27">
        <v>369793.93</v>
      </c>
      <c r="L13" s="27">
        <v>1032137.58</v>
      </c>
      <c r="M13" s="27">
        <v>1500410.5</v>
      </c>
      <c r="N13" s="27"/>
      <c r="O13" s="27">
        <f>SUM(C13:M13)</f>
        <v>43120323.146258466</v>
      </c>
      <c r="P13" s="27">
        <v>40680000</v>
      </c>
    </row>
    <row r="14" spans="1:16" ht="15.75" customHeight="1" x14ac:dyDescent="0.2">
      <c r="B14">
        <v>2011</v>
      </c>
      <c r="C14" s="27">
        <v>13804805.6</v>
      </c>
      <c r="D14" s="27">
        <v>13877409.130000001</v>
      </c>
      <c r="E14" s="27">
        <v>2575252.15</v>
      </c>
      <c r="F14" s="27">
        <v>7317284.5</v>
      </c>
      <c r="G14" s="27">
        <v>11660528.949999999</v>
      </c>
      <c r="H14" s="27"/>
      <c r="I14" s="27">
        <v>2351547.1288291146</v>
      </c>
      <c r="J14" s="27">
        <v>2240008.753443676</v>
      </c>
      <c r="K14" s="27">
        <v>488267.87</v>
      </c>
      <c r="L14" s="27">
        <v>1123487.1599999999</v>
      </c>
      <c r="M14" s="27">
        <v>1677754.56</v>
      </c>
      <c r="N14" s="27"/>
      <c r="O14" s="27">
        <f t="shared" ref="O14:O26" si="0">SUM(C14:M14)</f>
        <v>57116345.802272782</v>
      </c>
      <c r="P14" s="27">
        <v>56190000</v>
      </c>
    </row>
    <row r="15" spans="1:16" ht="15.75" customHeight="1" x14ac:dyDescent="0.2">
      <c r="B15">
        <v>2012</v>
      </c>
      <c r="C15" s="27">
        <v>16886487.510000002</v>
      </c>
      <c r="D15" s="27">
        <v>16642161.310000001</v>
      </c>
      <c r="E15" s="27">
        <v>3636778.82</v>
      </c>
      <c r="F15" s="27">
        <v>9382592.8200000003</v>
      </c>
      <c r="G15" s="27">
        <v>13657298.35</v>
      </c>
      <c r="H15" s="27"/>
      <c r="I15" s="27">
        <v>3052862.8909654804</v>
      </c>
      <c r="J15" s="27">
        <v>3198506.0116888992</v>
      </c>
      <c r="K15" s="27">
        <v>688829.01</v>
      </c>
      <c r="L15" s="27">
        <v>1687781.4</v>
      </c>
      <c r="M15" s="27">
        <v>2470750.9</v>
      </c>
      <c r="N15" s="27"/>
      <c r="O15" s="27">
        <f t="shared" si="0"/>
        <v>71304049.022654399</v>
      </c>
      <c r="P15" s="27">
        <v>73750000</v>
      </c>
    </row>
    <row r="16" spans="1:16" ht="15.75" customHeight="1" x14ac:dyDescent="0.2">
      <c r="B16">
        <v>2013</v>
      </c>
      <c r="C16" s="27">
        <v>19350410.77</v>
      </c>
      <c r="D16" s="27">
        <v>18116913</v>
      </c>
      <c r="E16" s="27">
        <v>4315221.5199999996</v>
      </c>
      <c r="F16" s="27">
        <v>10444961.890000001</v>
      </c>
      <c r="G16" s="27">
        <v>15699794.189999999</v>
      </c>
      <c r="H16" s="27"/>
      <c r="I16" s="27">
        <v>4301219.8771878891</v>
      </c>
      <c r="J16" s="27">
        <v>3533289.744390707</v>
      </c>
      <c r="K16" s="27">
        <v>879509.38</v>
      </c>
      <c r="L16" s="27">
        <v>2048319.72</v>
      </c>
      <c r="M16" s="27">
        <v>3318160.77</v>
      </c>
      <c r="N16" s="27"/>
      <c r="O16" s="27">
        <f t="shared" si="0"/>
        <v>82007800.861578584</v>
      </c>
      <c r="P16" s="27">
        <v>81580000</v>
      </c>
    </row>
    <row r="17" spans="2:16" ht="15.75" customHeight="1" x14ac:dyDescent="0.2">
      <c r="B17">
        <v>2014</v>
      </c>
      <c r="C17" s="27">
        <v>22280986.25</v>
      </c>
      <c r="D17" s="27">
        <v>21627839.210000001</v>
      </c>
      <c r="E17" s="27">
        <v>4882427.67</v>
      </c>
      <c r="F17" s="27">
        <v>12526645.779999999</v>
      </c>
      <c r="G17" s="27">
        <v>19136046.859999999</v>
      </c>
      <c r="H17" s="27"/>
      <c r="I17" s="27">
        <v>6227373.42097749</v>
      </c>
      <c r="J17" s="27">
        <v>5650778.9988871785</v>
      </c>
      <c r="K17" s="27">
        <v>1348693.6</v>
      </c>
      <c r="L17" s="27">
        <v>3204112.12</v>
      </c>
      <c r="M17" s="27">
        <v>4998552.57</v>
      </c>
      <c r="N17" s="27"/>
      <c r="O17" s="27">
        <f t="shared" si="0"/>
        <v>101883456.47986469</v>
      </c>
      <c r="P17" s="27">
        <v>114920000</v>
      </c>
    </row>
    <row r="18" spans="2:16" ht="15.75" customHeight="1" x14ac:dyDescent="0.2">
      <c r="B18">
        <v>2015</v>
      </c>
      <c r="C18" s="27">
        <v>24722005.02</v>
      </c>
      <c r="D18" s="27">
        <v>22133483.940000001</v>
      </c>
      <c r="E18" s="27">
        <v>5118916.3899999997</v>
      </c>
      <c r="F18" s="27">
        <v>12732735.060000001</v>
      </c>
      <c r="G18" s="27">
        <v>19624876.859999999</v>
      </c>
      <c r="H18" s="27"/>
      <c r="I18" s="27">
        <v>7766690.3360998463</v>
      </c>
      <c r="J18" s="27">
        <v>7653707.4872634904</v>
      </c>
      <c r="K18" s="27">
        <v>2104141.7799999998</v>
      </c>
      <c r="L18" s="27">
        <v>3876605.74</v>
      </c>
      <c r="M18" s="27">
        <v>6611475.46</v>
      </c>
      <c r="N18" s="27"/>
      <c r="O18" s="27">
        <f t="shared" si="0"/>
        <v>112344638.07336333</v>
      </c>
      <c r="P18" s="27">
        <v>119270000</v>
      </c>
    </row>
    <row r="19" spans="2:16" ht="15.75" customHeight="1" x14ac:dyDescent="0.2">
      <c r="B19">
        <v>2016</v>
      </c>
      <c r="C19" s="27">
        <v>27042922.890000001</v>
      </c>
      <c r="D19" s="27">
        <v>24101982.350000001</v>
      </c>
      <c r="E19" s="27">
        <v>5738344.9199999999</v>
      </c>
      <c r="F19" s="27">
        <v>14407142.84</v>
      </c>
      <c r="G19" s="27">
        <v>21959862.07</v>
      </c>
      <c r="H19" s="27"/>
      <c r="I19" s="27">
        <v>11992876.130000001</v>
      </c>
      <c r="J19" s="27">
        <v>11338597.029999999</v>
      </c>
      <c r="K19" s="27">
        <v>2902114.51</v>
      </c>
      <c r="L19" s="27">
        <v>5566843.1900000004</v>
      </c>
      <c r="M19" s="27">
        <v>9720822.8900000006</v>
      </c>
      <c r="N19" s="27"/>
      <c r="O19" s="27">
        <f t="shared" si="0"/>
        <v>134771508.81999999</v>
      </c>
      <c r="P19" s="27">
        <v>125340000</v>
      </c>
    </row>
    <row r="20" spans="2:16" ht="15.75" customHeight="1" x14ac:dyDescent="0.2">
      <c r="B20">
        <v>2017</v>
      </c>
      <c r="C20" s="27">
        <v>34435636.560000002</v>
      </c>
      <c r="D20" s="27">
        <v>29799347.210000001</v>
      </c>
      <c r="E20" s="27">
        <v>6822095.9400000004</v>
      </c>
      <c r="F20" s="27">
        <v>18371311.600000001</v>
      </c>
      <c r="G20" s="27">
        <v>26852373.829999998</v>
      </c>
      <c r="H20" s="27"/>
      <c r="I20" s="27">
        <v>14895546.119999999</v>
      </c>
      <c r="J20" s="27">
        <v>13722266.09</v>
      </c>
      <c r="K20" s="27">
        <v>3942396.36</v>
      </c>
      <c r="L20" s="27">
        <v>6942297.2300000004</v>
      </c>
      <c r="M20" s="27">
        <v>11254544.359999999</v>
      </c>
      <c r="N20" s="27"/>
      <c r="O20" s="27">
        <f t="shared" si="0"/>
        <v>167037815.30000001</v>
      </c>
      <c r="P20" s="27">
        <v>168710000</v>
      </c>
    </row>
    <row r="21" spans="2:16" ht="15.75" customHeight="1" x14ac:dyDescent="0.2">
      <c r="B21">
        <v>2018</v>
      </c>
      <c r="C21" s="27">
        <v>36203453.130000003</v>
      </c>
      <c r="D21" s="27">
        <v>31533403.41</v>
      </c>
      <c r="E21" s="27">
        <v>7631426.2199999997</v>
      </c>
      <c r="F21" s="27">
        <v>18134106.170000002</v>
      </c>
      <c r="G21" s="27">
        <v>28458130.859999999</v>
      </c>
      <c r="H21" s="27"/>
      <c r="I21" s="27">
        <v>19973554.309999999</v>
      </c>
      <c r="J21" s="27">
        <v>17812098.879999999</v>
      </c>
      <c r="K21" s="27">
        <v>4935939.84</v>
      </c>
      <c r="L21" s="27">
        <v>9286256.1300000008</v>
      </c>
      <c r="M21" s="27">
        <v>13400884.619999999</v>
      </c>
      <c r="N21" s="27"/>
      <c r="O21" s="27">
        <f t="shared" si="0"/>
        <v>187369253.56999999</v>
      </c>
      <c r="P21" s="27">
        <v>194860000</v>
      </c>
    </row>
    <row r="22" spans="2:16" ht="15.75" customHeight="1" x14ac:dyDescent="0.2">
      <c r="B22">
        <v>2019</v>
      </c>
      <c r="C22" s="27">
        <v>36140698.990000002</v>
      </c>
      <c r="D22" s="27">
        <v>32949772.199999999</v>
      </c>
      <c r="E22" s="27">
        <v>7766717.8099999996</v>
      </c>
      <c r="F22" s="27">
        <v>18710417.91</v>
      </c>
      <c r="G22" s="27">
        <v>28244333.600000001</v>
      </c>
      <c r="H22" s="27"/>
      <c r="I22" s="27">
        <v>23226845.43</v>
      </c>
      <c r="J22" s="27">
        <v>20207799.48</v>
      </c>
      <c r="K22" s="27">
        <v>5418757.8899999997</v>
      </c>
      <c r="L22" s="27">
        <v>10276960.550000001</v>
      </c>
      <c r="M22" s="27">
        <v>15104883.689999999</v>
      </c>
      <c r="N22" s="27"/>
      <c r="O22" s="27">
        <f t="shared" si="0"/>
        <v>198047187.54999998</v>
      </c>
      <c r="P22" s="27">
        <v>176260000</v>
      </c>
    </row>
    <row r="23" spans="2:16" ht="15.75" customHeight="1" x14ac:dyDescent="0.2">
      <c r="B23">
        <v>2020</v>
      </c>
      <c r="C23" s="27">
        <v>45597539.57</v>
      </c>
      <c r="D23" s="27">
        <v>45003587.780000001</v>
      </c>
      <c r="E23" s="27">
        <v>10504058.859999999</v>
      </c>
      <c r="F23" s="27">
        <v>23625161.219999999</v>
      </c>
      <c r="G23" s="27">
        <v>35411276.420000002</v>
      </c>
      <c r="H23" s="27"/>
      <c r="I23" s="27">
        <v>29120289.289999999</v>
      </c>
      <c r="J23" s="27">
        <v>23485455.18</v>
      </c>
      <c r="K23" s="27">
        <v>6157252.8600000003</v>
      </c>
      <c r="L23" s="27">
        <v>13092986.699999999</v>
      </c>
      <c r="M23" s="27">
        <v>17492500.739999998</v>
      </c>
      <c r="N23" s="27"/>
      <c r="O23" s="27">
        <f t="shared" si="0"/>
        <v>249490108.62</v>
      </c>
      <c r="P23" s="27">
        <v>237020000</v>
      </c>
    </row>
    <row r="24" spans="2:16" ht="15.75" customHeight="1" x14ac:dyDescent="0.2">
      <c r="B24">
        <v>2021</v>
      </c>
      <c r="C24" s="27">
        <v>45830021.450000003</v>
      </c>
      <c r="D24" s="27">
        <v>47716871.899999999</v>
      </c>
      <c r="E24" s="27">
        <v>10309699.25</v>
      </c>
      <c r="F24" s="27">
        <v>24394073.98</v>
      </c>
      <c r="G24" s="27">
        <v>36864621.490000002</v>
      </c>
      <c r="H24" s="27"/>
      <c r="I24" s="27">
        <v>31951142.600000001</v>
      </c>
      <c r="J24" s="27">
        <v>26447557.449999999</v>
      </c>
      <c r="K24" s="27">
        <v>6467371.5999999996</v>
      </c>
      <c r="L24" s="27">
        <v>13293964.84</v>
      </c>
      <c r="M24" s="27">
        <v>19449097.850000001</v>
      </c>
      <c r="N24" s="27"/>
      <c r="O24" s="27">
        <f t="shared" si="0"/>
        <v>262724422.40999997</v>
      </c>
      <c r="P24" s="27">
        <v>286370000</v>
      </c>
    </row>
    <row r="25" spans="2:16" ht="15.75" customHeight="1" x14ac:dyDescent="0.2">
      <c r="B25">
        <v>2022</v>
      </c>
      <c r="C25" s="27">
        <v>46724284.740000002</v>
      </c>
      <c r="D25" s="27">
        <v>50262815.359999999</v>
      </c>
      <c r="E25" s="27">
        <v>10911181.289999999</v>
      </c>
      <c r="F25" s="27">
        <v>24982873.23</v>
      </c>
      <c r="G25" s="27">
        <v>36679256.609999999</v>
      </c>
      <c r="H25" s="27"/>
      <c r="I25" s="27">
        <v>40568604.950000003</v>
      </c>
      <c r="J25" s="27">
        <v>32327075.199999999</v>
      </c>
      <c r="K25" s="27">
        <v>8536367.1400000006</v>
      </c>
      <c r="L25" s="27">
        <v>16331648.539999999</v>
      </c>
      <c r="M25" s="27">
        <v>25463471.82</v>
      </c>
      <c r="N25" s="27"/>
      <c r="O25" s="27">
        <f t="shared" si="0"/>
        <v>292787578.88</v>
      </c>
      <c r="P25" s="27">
        <v>304500000</v>
      </c>
    </row>
    <row r="26" spans="2:16" ht="15.75" customHeight="1" x14ac:dyDescent="0.2">
      <c r="B26">
        <v>2023</v>
      </c>
      <c r="C26" s="27">
        <v>53036945.270000003</v>
      </c>
      <c r="D26" s="27">
        <v>58925026.369999997</v>
      </c>
      <c r="E26" s="27">
        <v>12108593.16</v>
      </c>
      <c r="F26" s="27">
        <v>29316658.010000002</v>
      </c>
      <c r="G26" s="27">
        <v>43408872.990000002</v>
      </c>
      <c r="H26" s="27"/>
      <c r="I26" s="27">
        <v>42522608.920000002</v>
      </c>
      <c r="J26" s="27">
        <v>34708771.880000003</v>
      </c>
      <c r="K26" s="27">
        <v>8821811.6799999997</v>
      </c>
      <c r="L26" s="27">
        <v>16084928.130000001</v>
      </c>
      <c r="M26" s="27">
        <v>24728748.82</v>
      </c>
      <c r="N26" s="27"/>
      <c r="O26" s="27">
        <f t="shared" si="0"/>
        <v>323662965.23000002</v>
      </c>
      <c r="P26" s="27">
        <v>322070000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41"/>
  <sheetViews>
    <sheetView workbookViewId="0">
      <selection activeCell="F23" sqref="F23"/>
    </sheetView>
  </sheetViews>
  <sheetFormatPr defaultColWidth="12.5703125" defaultRowHeight="15.75" customHeight="1" x14ac:dyDescent="0.2"/>
  <cols>
    <col min="5" max="6" width="16.140625" bestFit="1" customWidth="1"/>
    <col min="7" max="8" width="17.42578125" bestFit="1" customWidth="1"/>
    <col min="9" max="10" width="17.28515625" bestFit="1" customWidth="1"/>
  </cols>
  <sheetData>
    <row r="1" spans="1:10" ht="15.75" customHeight="1" x14ac:dyDescent="0.2">
      <c r="A1" s="1" t="str">
        <f>'Premium Information'!A1</f>
        <v>Insurer We</v>
      </c>
    </row>
    <row r="2" spans="1:10" ht="15.75" customHeight="1" x14ac:dyDescent="0.2">
      <c r="A2" s="1" t="str">
        <f>'Premium Information'!A2</f>
        <v>2025 Property Per risk Excess of Loss</v>
      </c>
    </row>
    <row r="3" spans="1:10" ht="15.75" customHeight="1" x14ac:dyDescent="0.2">
      <c r="A3" s="1" t="str">
        <f>'Premium Information'!A3</f>
        <v>effective date:</v>
      </c>
      <c r="B3" s="18">
        <f>'Premium Information'!B3</f>
        <v>45689</v>
      </c>
    </row>
    <row r="5" spans="1:10" ht="15.75" customHeight="1" x14ac:dyDescent="0.2">
      <c r="A5" s="16" t="s">
        <v>107</v>
      </c>
    </row>
    <row r="7" spans="1:10" ht="15.75" customHeight="1" x14ac:dyDescent="0.2">
      <c r="A7" s="1" t="str">
        <f>'Premium Information'!A7</f>
        <v>Data as of:</v>
      </c>
      <c r="B7" s="12">
        <f>'Premium Information'!B7</f>
        <v>45565</v>
      </c>
    </row>
    <row r="8" spans="1:10" ht="15.75" customHeight="1" x14ac:dyDescent="0.2">
      <c r="A8" s="1" t="str">
        <f>'Premium Information'!A8</f>
        <v>Currency:</v>
      </c>
      <c r="B8" t="str">
        <f>'Premium Information'!B8</f>
        <v>USD</v>
      </c>
    </row>
    <row r="9" spans="1:10" ht="15.75" customHeight="1" x14ac:dyDescent="0.2">
      <c r="C9" s="1"/>
      <c r="D9" s="1"/>
      <c r="E9" s="37" t="s">
        <v>83</v>
      </c>
      <c r="F9" s="36"/>
      <c r="G9" s="37" t="s">
        <v>84</v>
      </c>
      <c r="H9" s="36"/>
      <c r="I9" s="37" t="s">
        <v>85</v>
      </c>
      <c r="J9" s="36"/>
    </row>
    <row r="10" spans="1:10" ht="15.75" customHeight="1" x14ac:dyDescent="0.2">
      <c r="C10" s="1"/>
      <c r="D10" s="1"/>
      <c r="E10" s="1" t="s">
        <v>87</v>
      </c>
      <c r="F10" s="1" t="s">
        <v>86</v>
      </c>
      <c r="G10" s="1" t="s">
        <v>87</v>
      </c>
      <c r="H10" s="1" t="s">
        <v>88</v>
      </c>
      <c r="I10" s="1" t="s">
        <v>87</v>
      </c>
      <c r="J10" s="1" t="s">
        <v>89</v>
      </c>
    </row>
    <row r="11" spans="1:10" ht="15.75" customHeight="1" x14ac:dyDescent="0.2">
      <c r="B11" s="37" t="s">
        <v>90</v>
      </c>
      <c r="C11" s="36"/>
      <c r="D11" s="36"/>
      <c r="E11" s="1"/>
      <c r="G11" s="1"/>
      <c r="I11" s="1"/>
    </row>
    <row r="12" spans="1:10" ht="15.75" customHeight="1" x14ac:dyDescent="0.2">
      <c r="B12" s="1">
        <v>1</v>
      </c>
      <c r="C12" s="1" t="s">
        <v>91</v>
      </c>
      <c r="D12" s="1">
        <v>500000</v>
      </c>
      <c r="E12" s="27">
        <v>1237688.97</v>
      </c>
      <c r="F12" s="30">
        <v>224</v>
      </c>
      <c r="G12" s="27">
        <v>4012798.97</v>
      </c>
      <c r="H12" s="30">
        <v>958</v>
      </c>
      <c r="I12" s="27">
        <v>9033534.7899999991</v>
      </c>
      <c r="J12" s="30">
        <v>2369</v>
      </c>
    </row>
    <row r="13" spans="1:10" ht="15.75" customHeight="1" x14ac:dyDescent="0.2">
      <c r="B13" s="1">
        <f t="shared" ref="B13:B21" si="0">D12+1</f>
        <v>500001</v>
      </c>
      <c r="C13" s="1" t="s">
        <v>91</v>
      </c>
      <c r="D13" s="1">
        <f t="shared" ref="D13:D21" si="1">D12+500000</f>
        <v>1000000</v>
      </c>
      <c r="E13" s="27">
        <v>4204553.47</v>
      </c>
      <c r="F13" s="30">
        <v>367</v>
      </c>
      <c r="G13" s="27">
        <v>12581540.789999999</v>
      </c>
      <c r="H13" s="30">
        <v>1269</v>
      </c>
      <c r="I13" s="27">
        <v>22257593.920000002</v>
      </c>
      <c r="J13" s="30">
        <v>2365</v>
      </c>
    </row>
    <row r="14" spans="1:10" ht="15.75" customHeight="1" x14ac:dyDescent="0.2">
      <c r="B14" s="1">
        <f t="shared" si="0"/>
        <v>1000001</v>
      </c>
      <c r="C14" s="1" t="s">
        <v>91</v>
      </c>
      <c r="D14" s="1">
        <f t="shared" si="1"/>
        <v>1500000</v>
      </c>
      <c r="E14" s="27">
        <v>3424164.84</v>
      </c>
      <c r="F14" s="30">
        <v>205</v>
      </c>
      <c r="G14" s="27">
        <v>13500660.17</v>
      </c>
      <c r="H14" s="30">
        <v>866</v>
      </c>
      <c r="I14" s="27">
        <v>15952366.51</v>
      </c>
      <c r="J14" s="30">
        <v>1070</v>
      </c>
    </row>
    <row r="15" spans="1:10" ht="15.75" customHeight="1" x14ac:dyDescent="0.2">
      <c r="B15" s="1">
        <f t="shared" si="0"/>
        <v>1500001</v>
      </c>
      <c r="C15" s="1" t="s">
        <v>91</v>
      </c>
      <c r="D15" s="1">
        <f t="shared" si="1"/>
        <v>2000000</v>
      </c>
      <c r="E15" s="27">
        <v>13852210.060000001</v>
      </c>
      <c r="F15" s="30">
        <v>612</v>
      </c>
      <c r="G15" s="27">
        <v>21806557.949999999</v>
      </c>
      <c r="H15" s="30">
        <v>1047</v>
      </c>
      <c r="I15" s="27">
        <v>24425340.140000001</v>
      </c>
      <c r="J15" s="30">
        <v>1201</v>
      </c>
    </row>
    <row r="16" spans="1:10" ht="15.75" customHeight="1" x14ac:dyDescent="0.2">
      <c r="B16" s="1">
        <f t="shared" si="0"/>
        <v>2000001</v>
      </c>
      <c r="C16" s="1" t="s">
        <v>91</v>
      </c>
      <c r="D16" s="1">
        <f t="shared" si="1"/>
        <v>2500000</v>
      </c>
      <c r="E16" s="27">
        <v>6036346.25</v>
      </c>
      <c r="F16" s="30">
        <v>212</v>
      </c>
      <c r="G16" s="27">
        <v>16297728.359999999</v>
      </c>
      <c r="H16" s="30">
        <v>599</v>
      </c>
      <c r="I16" s="27">
        <v>29883491.780000001</v>
      </c>
      <c r="J16" s="30">
        <v>1091</v>
      </c>
    </row>
    <row r="17" spans="1:10" ht="15.75" customHeight="1" x14ac:dyDescent="0.2">
      <c r="B17" s="1">
        <f t="shared" si="0"/>
        <v>2500001</v>
      </c>
      <c r="C17" s="1" t="s">
        <v>91</v>
      </c>
      <c r="D17" s="1">
        <f t="shared" si="1"/>
        <v>3000000</v>
      </c>
      <c r="E17" s="27">
        <v>6710788.9900000002</v>
      </c>
      <c r="F17" s="30">
        <v>201</v>
      </c>
      <c r="G17" s="27">
        <v>3297635.83</v>
      </c>
      <c r="H17" s="30">
        <v>97</v>
      </c>
      <c r="I17" s="27">
        <v>1829365.17</v>
      </c>
      <c r="J17" s="30">
        <v>54</v>
      </c>
    </row>
    <row r="18" spans="1:10" ht="15.75" customHeight="1" x14ac:dyDescent="0.2">
      <c r="B18" s="1">
        <f t="shared" si="0"/>
        <v>3000001</v>
      </c>
      <c r="C18" s="1" t="s">
        <v>91</v>
      </c>
      <c r="D18" s="1">
        <f t="shared" si="1"/>
        <v>3500000</v>
      </c>
      <c r="E18" s="27">
        <v>7464312.75</v>
      </c>
      <c r="F18" s="30">
        <v>189</v>
      </c>
      <c r="G18" s="27">
        <v>21741254.800000001</v>
      </c>
      <c r="H18" s="30">
        <v>581</v>
      </c>
      <c r="I18" s="27">
        <v>14054213.26</v>
      </c>
      <c r="J18" s="30">
        <v>372</v>
      </c>
    </row>
    <row r="19" spans="1:10" ht="15.75" customHeight="1" x14ac:dyDescent="0.2">
      <c r="B19" s="1">
        <f t="shared" si="0"/>
        <v>3500001</v>
      </c>
      <c r="C19" s="1" t="s">
        <v>91</v>
      </c>
      <c r="D19" s="1">
        <f t="shared" si="1"/>
        <v>4000000</v>
      </c>
      <c r="E19" s="27">
        <v>19026305.449999999</v>
      </c>
      <c r="F19" s="30">
        <v>427</v>
      </c>
      <c r="G19" s="27">
        <v>9948990.9100000001</v>
      </c>
      <c r="H19" s="30">
        <v>222</v>
      </c>
      <c r="I19" s="27">
        <v>5897072.54</v>
      </c>
      <c r="J19" s="30">
        <v>132</v>
      </c>
    </row>
    <row r="20" spans="1:10" ht="15.75" customHeight="1" x14ac:dyDescent="0.2">
      <c r="B20" s="1">
        <f t="shared" si="0"/>
        <v>4000001</v>
      </c>
      <c r="C20" s="1" t="s">
        <v>91</v>
      </c>
      <c r="D20" s="1">
        <f t="shared" si="1"/>
        <v>4500000</v>
      </c>
      <c r="E20" s="27">
        <v>11980814.720000001</v>
      </c>
      <c r="F20" s="30">
        <v>231</v>
      </c>
      <c r="G20" s="27">
        <v>5636881.3099999996</v>
      </c>
      <c r="H20" s="30">
        <v>108</v>
      </c>
      <c r="I20" s="27">
        <v>3452695.35</v>
      </c>
      <c r="J20" s="30">
        <v>65</v>
      </c>
    </row>
    <row r="21" spans="1:10" ht="15.75" customHeight="1" x14ac:dyDescent="0.2">
      <c r="B21" s="1">
        <f t="shared" si="0"/>
        <v>4500001</v>
      </c>
      <c r="C21" s="1" t="s">
        <v>91</v>
      </c>
      <c r="D21" s="1">
        <f t="shared" si="1"/>
        <v>5000000</v>
      </c>
      <c r="E21" s="27">
        <v>34939166.799999997</v>
      </c>
      <c r="F21" s="30">
        <v>627</v>
      </c>
      <c r="G21" s="27">
        <v>45415200.659999996</v>
      </c>
      <c r="H21" s="30">
        <v>802</v>
      </c>
      <c r="I21" s="27">
        <v>46178162.07</v>
      </c>
      <c r="J21" s="30">
        <v>816</v>
      </c>
    </row>
    <row r="22" spans="1:10" ht="15.75" customHeight="1" x14ac:dyDescent="0.2">
      <c r="B22" s="37" t="str">
        <f>"greater than "&amp;D21</f>
        <v>greater than 5000000</v>
      </c>
      <c r="C22" s="36"/>
      <c r="D22" s="36"/>
      <c r="E22" s="27">
        <v>92457311.090000004</v>
      </c>
      <c r="F22" s="30">
        <v>820</v>
      </c>
      <c r="G22" s="27">
        <v>47094413.640000001</v>
      </c>
      <c r="H22" s="30">
        <v>418</v>
      </c>
      <c r="I22" s="27">
        <v>28369827.859999999</v>
      </c>
      <c r="J22" s="30">
        <v>250</v>
      </c>
    </row>
    <row r="23" spans="1:10" ht="15.75" customHeight="1" x14ac:dyDescent="0.2">
      <c r="B23" s="38" t="s">
        <v>92</v>
      </c>
      <c r="C23" s="39"/>
      <c r="D23" s="39"/>
      <c r="E23" s="28">
        <f>SUM(E12:E22)</f>
        <v>201333663.38999999</v>
      </c>
      <c r="F23" s="31">
        <f t="shared" ref="F23:J23" si="2">SUM(F12:F22)</f>
        <v>4115</v>
      </c>
      <c r="G23" s="28">
        <f t="shared" si="2"/>
        <v>201333663.38999999</v>
      </c>
      <c r="H23" s="31">
        <f t="shared" si="2"/>
        <v>6967</v>
      </c>
      <c r="I23" s="28">
        <f t="shared" si="2"/>
        <v>201333663.38999999</v>
      </c>
      <c r="J23" s="31">
        <f t="shared" si="2"/>
        <v>9785</v>
      </c>
    </row>
    <row r="25" spans="1:10" ht="15.75" customHeight="1" x14ac:dyDescent="0.2">
      <c r="A25" s="1" t="str">
        <f t="shared" ref="A25:A26" si="3">A7</f>
        <v>Data as of:</v>
      </c>
      <c r="B25" s="12">
        <v>45199</v>
      </c>
    </row>
    <row r="26" spans="1:10" ht="15.75" customHeight="1" x14ac:dyDescent="0.2">
      <c r="A26" s="1" t="str">
        <f t="shared" si="3"/>
        <v>Currency:</v>
      </c>
    </row>
    <row r="27" spans="1:10" ht="15.75" customHeight="1" x14ac:dyDescent="0.2">
      <c r="C27" s="1"/>
      <c r="D27" s="1"/>
      <c r="E27" s="37" t="s">
        <v>83</v>
      </c>
      <c r="F27" s="36"/>
      <c r="G27" s="37" t="s">
        <v>84</v>
      </c>
      <c r="H27" s="36"/>
      <c r="I27" s="37" t="s">
        <v>85</v>
      </c>
      <c r="J27" s="36"/>
    </row>
    <row r="28" spans="1:10" ht="12.75" x14ac:dyDescent="0.2">
      <c r="C28" s="1"/>
      <c r="D28" s="1"/>
      <c r="E28" s="1" t="s">
        <v>87</v>
      </c>
      <c r="F28" s="1" t="s">
        <v>86</v>
      </c>
      <c r="G28" s="1" t="s">
        <v>87</v>
      </c>
      <c r="H28" s="1" t="s">
        <v>88</v>
      </c>
      <c r="I28" s="1" t="s">
        <v>87</v>
      </c>
      <c r="J28" s="1" t="s">
        <v>89</v>
      </c>
    </row>
    <row r="29" spans="1:10" ht="12.75" x14ac:dyDescent="0.2">
      <c r="B29" s="37" t="s">
        <v>90</v>
      </c>
      <c r="C29" s="36"/>
      <c r="D29" s="36"/>
    </row>
    <row r="30" spans="1:10" ht="12.75" x14ac:dyDescent="0.2">
      <c r="B30" s="1">
        <v>1</v>
      </c>
      <c r="C30" s="1" t="s">
        <v>91</v>
      </c>
      <c r="D30" s="1">
        <v>500000</v>
      </c>
      <c r="E30" s="27">
        <v>1192867.6399999999</v>
      </c>
      <c r="F30" s="30">
        <v>219</v>
      </c>
      <c r="G30" s="27">
        <v>3714631.26</v>
      </c>
      <c r="H30" s="30">
        <v>905</v>
      </c>
      <c r="I30" s="27">
        <v>8205905.2199999997</v>
      </c>
      <c r="J30" s="30">
        <v>2197</v>
      </c>
    </row>
    <row r="31" spans="1:10" ht="12.75" x14ac:dyDescent="0.2">
      <c r="B31" s="1">
        <f t="shared" ref="B31:B39" si="4">D30+1</f>
        <v>500001</v>
      </c>
      <c r="C31" s="1" t="s">
        <v>91</v>
      </c>
      <c r="D31" s="1">
        <f t="shared" ref="D31:D39" si="5">D30+500000</f>
        <v>1000000</v>
      </c>
      <c r="E31" s="27">
        <v>3927267.5</v>
      </c>
      <c r="F31" s="30">
        <v>348</v>
      </c>
      <c r="G31" s="27">
        <v>11752925.949999999</v>
      </c>
      <c r="H31" s="30">
        <v>1204</v>
      </c>
      <c r="I31" s="27">
        <v>20667698.850000001</v>
      </c>
      <c r="J31" s="30">
        <v>2204</v>
      </c>
    </row>
    <row r="32" spans="1:10" ht="12.75" x14ac:dyDescent="0.2">
      <c r="B32" s="1">
        <f t="shared" si="4"/>
        <v>1000001</v>
      </c>
      <c r="C32" s="1" t="s">
        <v>91</v>
      </c>
      <c r="D32" s="1">
        <f t="shared" si="5"/>
        <v>1500000</v>
      </c>
      <c r="E32" s="27">
        <v>3242939.76</v>
      </c>
      <c r="F32" s="30">
        <v>195</v>
      </c>
      <c r="G32" s="27">
        <v>12573142.119999999</v>
      </c>
      <c r="H32" s="30">
        <v>820</v>
      </c>
      <c r="I32" s="27">
        <v>15106708.85</v>
      </c>
      <c r="J32" s="30">
        <v>1023</v>
      </c>
    </row>
    <row r="33" spans="2:10" ht="12.75" x14ac:dyDescent="0.2">
      <c r="B33" s="1">
        <f t="shared" si="4"/>
        <v>1500001</v>
      </c>
      <c r="C33" s="1" t="s">
        <v>91</v>
      </c>
      <c r="D33" s="1">
        <f t="shared" si="5"/>
        <v>2000000</v>
      </c>
      <c r="E33" s="27">
        <v>12841137.93</v>
      </c>
      <c r="F33" s="30">
        <v>573</v>
      </c>
      <c r="G33" s="27">
        <v>21049889.16</v>
      </c>
      <c r="H33" s="30">
        <v>1016</v>
      </c>
      <c r="I33" s="27">
        <v>24135310.18</v>
      </c>
      <c r="J33" s="30">
        <v>1196</v>
      </c>
    </row>
    <row r="34" spans="2:10" ht="12.75" x14ac:dyDescent="0.2">
      <c r="B34" s="1">
        <f t="shared" si="4"/>
        <v>2000001</v>
      </c>
      <c r="C34" s="1" t="s">
        <v>91</v>
      </c>
      <c r="D34" s="1">
        <f t="shared" si="5"/>
        <v>2500000</v>
      </c>
      <c r="E34" s="27">
        <v>5633239.4000000004</v>
      </c>
      <c r="F34" s="30">
        <v>198</v>
      </c>
      <c r="G34" s="27">
        <v>15027486.619999999</v>
      </c>
      <c r="H34" s="30">
        <v>557</v>
      </c>
      <c r="I34" s="27">
        <v>28596668.809999999</v>
      </c>
      <c r="J34" s="30">
        <v>1055</v>
      </c>
    </row>
    <row r="35" spans="2:10" ht="12.75" x14ac:dyDescent="0.2">
      <c r="B35" s="1">
        <f t="shared" si="4"/>
        <v>2500001</v>
      </c>
      <c r="C35" s="1" t="s">
        <v>91</v>
      </c>
      <c r="D35" s="1">
        <f t="shared" si="5"/>
        <v>3000000</v>
      </c>
      <c r="E35" s="27">
        <v>6149789.2400000002</v>
      </c>
      <c r="F35" s="30">
        <v>188</v>
      </c>
      <c r="G35" s="27">
        <v>2741082.66</v>
      </c>
      <c r="H35" s="30">
        <v>82</v>
      </c>
      <c r="I35" s="27">
        <v>1728285.41</v>
      </c>
      <c r="J35" s="30">
        <v>52</v>
      </c>
    </row>
    <row r="36" spans="2:10" ht="12.75" x14ac:dyDescent="0.2">
      <c r="B36" s="1">
        <f t="shared" si="4"/>
        <v>3000001</v>
      </c>
      <c r="C36" s="1" t="s">
        <v>91</v>
      </c>
      <c r="D36" s="1">
        <f t="shared" si="5"/>
        <v>3500000</v>
      </c>
      <c r="E36" s="27">
        <v>7313415.2599999998</v>
      </c>
      <c r="F36" s="30">
        <v>187</v>
      </c>
      <c r="G36" s="27">
        <v>20506987.620000001</v>
      </c>
      <c r="H36" s="30">
        <v>552</v>
      </c>
      <c r="I36" s="27">
        <v>12430871.57</v>
      </c>
      <c r="J36" s="30">
        <v>334</v>
      </c>
    </row>
    <row r="37" spans="2:10" ht="12.75" x14ac:dyDescent="0.2">
      <c r="B37" s="1">
        <f t="shared" si="4"/>
        <v>3500001</v>
      </c>
      <c r="C37" s="1" t="s">
        <v>91</v>
      </c>
      <c r="D37" s="1">
        <f t="shared" si="5"/>
        <v>4000000</v>
      </c>
      <c r="E37" s="27">
        <v>17749807.629999999</v>
      </c>
      <c r="F37" s="30">
        <v>405</v>
      </c>
      <c r="G37" s="27">
        <v>8989162.0099999998</v>
      </c>
      <c r="H37" s="30">
        <v>203</v>
      </c>
      <c r="I37" s="27">
        <v>5428739.2999999998</v>
      </c>
      <c r="J37" s="30">
        <v>125</v>
      </c>
    </row>
    <row r="38" spans="2:10" ht="12.75" x14ac:dyDescent="0.2">
      <c r="B38" s="1">
        <f t="shared" si="4"/>
        <v>4000001</v>
      </c>
      <c r="C38" s="1" t="s">
        <v>91</v>
      </c>
      <c r="D38" s="1">
        <f t="shared" si="5"/>
        <v>4500000</v>
      </c>
      <c r="E38" s="27">
        <v>11040092.41</v>
      </c>
      <c r="F38" s="30">
        <v>214</v>
      </c>
      <c r="G38" s="27">
        <v>5163090.04</v>
      </c>
      <c r="H38" s="30">
        <v>99</v>
      </c>
      <c r="I38" s="27">
        <v>3077835.47</v>
      </c>
      <c r="J38" s="30">
        <v>58</v>
      </c>
    </row>
    <row r="39" spans="2:10" ht="12.75" x14ac:dyDescent="0.2">
      <c r="B39" s="1">
        <f t="shared" si="4"/>
        <v>4500001</v>
      </c>
      <c r="C39" s="1" t="s">
        <v>91</v>
      </c>
      <c r="D39" s="1">
        <f t="shared" si="5"/>
        <v>5000000</v>
      </c>
      <c r="E39" s="27">
        <v>32755668.399999999</v>
      </c>
      <c r="F39" s="30">
        <v>592</v>
      </c>
      <c r="G39" s="27">
        <v>43469681.289999999</v>
      </c>
      <c r="H39" s="30">
        <v>778</v>
      </c>
      <c r="I39" s="27">
        <v>43583320.07</v>
      </c>
      <c r="J39" s="30">
        <v>779</v>
      </c>
    </row>
    <row r="40" spans="2:10" ht="12.75" x14ac:dyDescent="0.2">
      <c r="B40" s="37" t="str">
        <f>"greater than "&amp;D39</f>
        <v>greater than 5000000</v>
      </c>
      <c r="C40" s="36"/>
      <c r="D40" s="36"/>
      <c r="E40" s="27">
        <v>87733329.640000001</v>
      </c>
      <c r="F40" s="30">
        <v>784</v>
      </c>
      <c r="G40" s="27">
        <v>44591476.079999998</v>
      </c>
      <c r="H40" s="30">
        <v>397</v>
      </c>
      <c r="I40" s="27">
        <v>26618211.079999998</v>
      </c>
      <c r="J40" s="30">
        <v>235</v>
      </c>
    </row>
    <row r="41" spans="2:10" ht="12.75" x14ac:dyDescent="0.2">
      <c r="B41" s="38" t="s">
        <v>92</v>
      </c>
      <c r="C41" s="39"/>
      <c r="D41" s="39"/>
      <c r="E41" s="28">
        <f>SUM(E30:E40)</f>
        <v>189579554.81</v>
      </c>
      <c r="F41" s="31">
        <f t="shared" ref="F41" si="6">SUM(F30:F40)</f>
        <v>3903</v>
      </c>
      <c r="G41" s="28">
        <f t="shared" ref="G41" si="7">SUM(G30:G40)</f>
        <v>189579554.81</v>
      </c>
      <c r="H41" s="31">
        <f t="shared" ref="H41" si="8">SUM(H30:H40)</f>
        <v>6613</v>
      </c>
      <c r="I41" s="28">
        <f t="shared" ref="I41" si="9">SUM(I30:I40)</f>
        <v>189579554.81</v>
      </c>
      <c r="J41" s="31">
        <f t="shared" ref="J41" si="10">SUM(J30:J40)</f>
        <v>9258</v>
      </c>
    </row>
  </sheetData>
  <mergeCells count="12">
    <mergeCell ref="B11:D11"/>
    <mergeCell ref="B22:D22"/>
    <mergeCell ref="B29:D29"/>
    <mergeCell ref="B40:D40"/>
    <mergeCell ref="B41:D41"/>
    <mergeCell ref="B23:D23"/>
    <mergeCell ref="E9:F9"/>
    <mergeCell ref="G9:H9"/>
    <mergeCell ref="I9:J9"/>
    <mergeCell ref="E27:F27"/>
    <mergeCell ref="G27:H27"/>
    <mergeCell ref="I27:J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F604-567C-4708-BE35-422CA59D6EAE}">
  <sheetPr>
    <outlinePr summaryBelow="0" summaryRight="0"/>
  </sheetPr>
  <dimension ref="A1:J41"/>
  <sheetViews>
    <sheetView topLeftCell="A7" workbookViewId="0">
      <selection activeCell="J41" sqref="J41"/>
    </sheetView>
  </sheetViews>
  <sheetFormatPr defaultColWidth="12.5703125" defaultRowHeight="15.75" customHeight="1" x14ac:dyDescent="0.2"/>
  <cols>
    <col min="5" max="6" width="16.140625" bestFit="1" customWidth="1"/>
    <col min="7" max="8" width="17.42578125" bestFit="1" customWidth="1"/>
    <col min="9" max="10" width="17.28515625" bestFit="1" customWidth="1"/>
  </cols>
  <sheetData>
    <row r="1" spans="1:10" ht="15.75" customHeight="1" x14ac:dyDescent="0.2">
      <c r="A1" s="1" t="str">
        <f>'Premium Information'!A1</f>
        <v>Insurer We</v>
      </c>
    </row>
    <row r="2" spans="1:10" ht="15.75" customHeight="1" x14ac:dyDescent="0.2">
      <c r="A2" s="1" t="str">
        <f>'Premium Information'!A2</f>
        <v>2025 Property Per risk Excess of Loss</v>
      </c>
    </row>
    <row r="3" spans="1:10" ht="15.75" customHeight="1" x14ac:dyDescent="0.2">
      <c r="A3" s="1" t="str">
        <f>'Premium Information'!A3</f>
        <v>effective date:</v>
      </c>
      <c r="B3" s="18">
        <f>'Premium Information'!B3</f>
        <v>45689</v>
      </c>
    </row>
    <row r="5" spans="1:10" ht="15.75" customHeight="1" x14ac:dyDescent="0.2">
      <c r="A5" s="16" t="s">
        <v>108</v>
      </c>
    </row>
    <row r="7" spans="1:10" ht="15.75" customHeight="1" x14ac:dyDescent="0.2">
      <c r="A7" s="1" t="str">
        <f>'Premium Information'!A7</f>
        <v>Data as of:</v>
      </c>
      <c r="B7" s="12">
        <f>'Premium Information'!B7</f>
        <v>45565</v>
      </c>
    </row>
    <row r="8" spans="1:10" ht="15.75" customHeight="1" x14ac:dyDescent="0.2">
      <c r="A8" s="1" t="str">
        <f>'Premium Information'!A8</f>
        <v>Currency:</v>
      </c>
      <c r="B8" t="str">
        <f>'Premium Information'!B8</f>
        <v>USD</v>
      </c>
    </row>
    <row r="9" spans="1:10" ht="15.75" customHeight="1" x14ac:dyDescent="0.2">
      <c r="C9" s="1"/>
      <c r="D9" s="1"/>
      <c r="E9" s="37" t="s">
        <v>83</v>
      </c>
      <c r="F9" s="36"/>
      <c r="G9" s="37" t="s">
        <v>84</v>
      </c>
      <c r="H9" s="36"/>
      <c r="I9" s="37" t="s">
        <v>85</v>
      </c>
      <c r="J9" s="36"/>
    </row>
    <row r="10" spans="1:10" ht="15.75" customHeight="1" x14ac:dyDescent="0.2">
      <c r="C10" s="1"/>
      <c r="D10" s="1"/>
      <c r="E10" s="1" t="s">
        <v>87</v>
      </c>
      <c r="F10" s="1" t="s">
        <v>86</v>
      </c>
      <c r="G10" s="1" t="s">
        <v>87</v>
      </c>
      <c r="H10" s="1" t="s">
        <v>88</v>
      </c>
      <c r="I10" s="1" t="s">
        <v>87</v>
      </c>
      <c r="J10" s="1" t="s">
        <v>89</v>
      </c>
    </row>
    <row r="11" spans="1:10" ht="15.75" customHeight="1" x14ac:dyDescent="0.2">
      <c r="B11" s="37" t="s">
        <v>90</v>
      </c>
      <c r="C11" s="36"/>
      <c r="D11" s="36"/>
      <c r="E11" s="1"/>
      <c r="G11" s="1"/>
      <c r="I11" s="1"/>
    </row>
    <row r="12" spans="1:10" ht="15.75" customHeight="1" x14ac:dyDescent="0.2">
      <c r="B12" s="1">
        <v>1</v>
      </c>
      <c r="C12" s="1" t="s">
        <v>91</v>
      </c>
      <c r="D12" s="1">
        <v>500000</v>
      </c>
      <c r="E12" s="27">
        <v>1107141.6599999999</v>
      </c>
      <c r="F12" s="30">
        <v>177</v>
      </c>
      <c r="G12" s="27">
        <v>5345387.07</v>
      </c>
      <c r="H12" s="30">
        <v>1085</v>
      </c>
      <c r="I12" s="27">
        <v>11587809.24</v>
      </c>
      <c r="J12" s="30">
        <v>2574</v>
      </c>
    </row>
    <row r="13" spans="1:10" ht="15.75" customHeight="1" x14ac:dyDescent="0.2">
      <c r="B13" s="1">
        <f t="shared" ref="B13:B21" si="0">D12+1</f>
        <v>500001</v>
      </c>
      <c r="C13" s="1" t="s">
        <v>91</v>
      </c>
      <c r="D13" s="1">
        <f t="shared" ref="D13:D21" si="1">D12+500000</f>
        <v>1000000</v>
      </c>
      <c r="E13" s="27">
        <v>6567207.2000000002</v>
      </c>
      <c r="F13" s="30">
        <v>518</v>
      </c>
      <c r="G13" s="27">
        <v>16116671.25</v>
      </c>
      <c r="H13" s="30">
        <v>1429</v>
      </c>
      <c r="I13" s="27">
        <v>25014562.82</v>
      </c>
      <c r="J13" s="30">
        <v>2370</v>
      </c>
    </row>
    <row r="14" spans="1:10" ht="15.75" customHeight="1" x14ac:dyDescent="0.2">
      <c r="B14" s="1">
        <f t="shared" si="0"/>
        <v>1000001</v>
      </c>
      <c r="C14" s="1" t="s">
        <v>91</v>
      </c>
      <c r="D14" s="1">
        <f t="shared" si="1"/>
        <v>1500000</v>
      </c>
      <c r="E14" s="27">
        <v>2974656.91</v>
      </c>
      <c r="F14" s="30">
        <v>159</v>
      </c>
      <c r="G14" s="27">
        <v>15746729.27</v>
      </c>
      <c r="H14" s="30">
        <v>901</v>
      </c>
      <c r="I14" s="27">
        <v>16959250.210000001</v>
      </c>
      <c r="J14" s="30">
        <v>987</v>
      </c>
    </row>
    <row r="15" spans="1:10" ht="15.75" customHeight="1" x14ac:dyDescent="0.2">
      <c r="B15" s="1">
        <f t="shared" si="0"/>
        <v>1500001</v>
      </c>
      <c r="C15" s="1" t="s">
        <v>91</v>
      </c>
      <c r="D15" s="1">
        <f t="shared" si="1"/>
        <v>2000000</v>
      </c>
      <c r="E15" s="27">
        <v>16873364.129999999</v>
      </c>
      <c r="F15" s="30">
        <v>670</v>
      </c>
      <c r="G15" s="27">
        <v>20024368.050000001</v>
      </c>
      <c r="H15" s="30">
        <v>855</v>
      </c>
      <c r="I15" s="27">
        <v>18863845.41</v>
      </c>
      <c r="J15" s="30">
        <v>810</v>
      </c>
    </row>
    <row r="16" spans="1:10" ht="15.75" customHeight="1" x14ac:dyDescent="0.2">
      <c r="B16" s="1">
        <f t="shared" si="0"/>
        <v>2000001</v>
      </c>
      <c r="C16" s="1" t="s">
        <v>91</v>
      </c>
      <c r="D16" s="1">
        <f t="shared" si="1"/>
        <v>2500000</v>
      </c>
      <c r="E16" s="27">
        <v>5984854.6900000004</v>
      </c>
      <c r="F16" s="30">
        <v>190</v>
      </c>
      <c r="G16" s="27">
        <v>14515775.210000001</v>
      </c>
      <c r="H16" s="30">
        <v>455</v>
      </c>
      <c r="I16" s="27">
        <v>21402730.5</v>
      </c>
      <c r="J16" s="30">
        <v>674</v>
      </c>
    </row>
    <row r="17" spans="1:10" ht="15.75" customHeight="1" x14ac:dyDescent="0.2">
      <c r="B17" s="1">
        <f t="shared" si="0"/>
        <v>2500001</v>
      </c>
      <c r="C17" s="1" t="s">
        <v>91</v>
      </c>
      <c r="D17" s="1">
        <f t="shared" si="1"/>
        <v>3000000</v>
      </c>
      <c r="E17" s="27">
        <v>13778412.210000001</v>
      </c>
      <c r="F17" s="30">
        <v>364</v>
      </c>
      <c r="G17" s="27">
        <v>6049924.21</v>
      </c>
      <c r="H17" s="30">
        <v>160</v>
      </c>
      <c r="I17" s="27">
        <v>3716769.76</v>
      </c>
      <c r="J17" s="30">
        <v>100</v>
      </c>
    </row>
    <row r="18" spans="1:10" ht="15.75" customHeight="1" x14ac:dyDescent="0.2">
      <c r="B18" s="1">
        <f t="shared" si="0"/>
        <v>3000001</v>
      </c>
      <c r="C18" s="1" t="s">
        <v>91</v>
      </c>
      <c r="D18" s="1">
        <f t="shared" si="1"/>
        <v>3500000</v>
      </c>
      <c r="E18" s="27">
        <v>7833344.1799999997</v>
      </c>
      <c r="F18" s="30">
        <v>176</v>
      </c>
      <c r="G18" s="27">
        <v>13031706.15</v>
      </c>
      <c r="H18" s="30">
        <v>306</v>
      </c>
      <c r="I18" s="27">
        <v>9004202.1199999992</v>
      </c>
      <c r="J18" s="30">
        <v>215</v>
      </c>
    </row>
    <row r="19" spans="1:10" ht="15.75" customHeight="1" x14ac:dyDescent="0.2">
      <c r="B19" s="1">
        <f t="shared" si="0"/>
        <v>3500001</v>
      </c>
      <c r="C19" s="1" t="s">
        <v>91</v>
      </c>
      <c r="D19" s="1">
        <f t="shared" si="1"/>
        <v>4000000</v>
      </c>
      <c r="E19" s="27">
        <v>18113588.920000002</v>
      </c>
      <c r="F19" s="30">
        <v>365</v>
      </c>
      <c r="G19" s="27">
        <v>8807810.8000000007</v>
      </c>
      <c r="H19" s="30">
        <v>178</v>
      </c>
      <c r="I19" s="27">
        <v>5319095.3499999996</v>
      </c>
      <c r="J19" s="30">
        <v>106</v>
      </c>
    </row>
    <row r="20" spans="1:10" ht="15.75" customHeight="1" x14ac:dyDescent="0.2">
      <c r="B20" s="1">
        <f t="shared" si="0"/>
        <v>4000001</v>
      </c>
      <c r="C20" s="1" t="s">
        <v>91</v>
      </c>
      <c r="D20" s="1">
        <f t="shared" si="1"/>
        <v>4500000</v>
      </c>
      <c r="E20" s="27">
        <v>9794055.9800000004</v>
      </c>
      <c r="F20" s="30">
        <v>169</v>
      </c>
      <c r="G20" s="27">
        <v>4500043.67</v>
      </c>
      <c r="H20" s="30">
        <v>78</v>
      </c>
      <c r="I20" s="27">
        <v>2671520.14</v>
      </c>
      <c r="J20" s="30">
        <v>48</v>
      </c>
    </row>
    <row r="21" spans="1:10" ht="15.75" customHeight="1" x14ac:dyDescent="0.2">
      <c r="B21" s="1">
        <f t="shared" si="0"/>
        <v>4500001</v>
      </c>
      <c r="C21" s="1" t="s">
        <v>91</v>
      </c>
      <c r="D21" s="1">
        <f t="shared" si="1"/>
        <v>5000000</v>
      </c>
      <c r="E21" s="27">
        <v>23763939.449999999</v>
      </c>
      <c r="F21" s="30">
        <v>370</v>
      </c>
      <c r="G21" s="27">
        <v>24356744.109999999</v>
      </c>
      <c r="H21" s="30">
        <v>385</v>
      </c>
      <c r="I21" s="27">
        <v>22963305.48</v>
      </c>
      <c r="J21" s="30">
        <v>367</v>
      </c>
    </row>
    <row r="22" spans="1:10" ht="15.75" customHeight="1" x14ac:dyDescent="0.2">
      <c r="B22" s="37" t="str">
        <f>"greater than "&amp;D21</f>
        <v>greater than 5000000</v>
      </c>
      <c r="C22" s="36"/>
      <c r="D22" s="36"/>
      <c r="E22" s="27">
        <v>44570200.600000001</v>
      </c>
      <c r="F22" s="30">
        <v>362</v>
      </c>
      <c r="G22" s="27">
        <v>22865606.140000001</v>
      </c>
      <c r="H22" s="30">
        <v>188</v>
      </c>
      <c r="I22" s="27">
        <v>13857674.9</v>
      </c>
      <c r="J22" s="30">
        <v>115</v>
      </c>
    </row>
    <row r="23" spans="1:10" ht="15.75" customHeight="1" x14ac:dyDescent="0.2">
      <c r="B23" s="38" t="s">
        <v>92</v>
      </c>
      <c r="C23" s="39"/>
      <c r="D23" s="39"/>
      <c r="E23" s="28">
        <f t="shared" ref="E23:J23" si="2">SUM(E12:E22)</f>
        <v>151360765.93000001</v>
      </c>
      <c r="F23" s="31">
        <v>3376</v>
      </c>
      <c r="G23" s="28">
        <f t="shared" si="2"/>
        <v>151360765.93000001</v>
      </c>
      <c r="H23" s="31">
        <v>5842</v>
      </c>
      <c r="I23" s="28">
        <f t="shared" si="2"/>
        <v>151360765.93000001</v>
      </c>
      <c r="J23" s="31">
        <v>8156</v>
      </c>
    </row>
    <row r="25" spans="1:10" ht="15.75" customHeight="1" x14ac:dyDescent="0.2">
      <c r="A25" s="1" t="str">
        <f t="shared" ref="A25:A26" si="3">A7</f>
        <v>Data as of:</v>
      </c>
      <c r="B25" s="12">
        <f>'Limit Profile (Commercial)'!B25</f>
        <v>45199</v>
      </c>
    </row>
    <row r="26" spans="1:10" ht="15.75" customHeight="1" x14ac:dyDescent="0.2">
      <c r="A26" s="1" t="str">
        <f t="shared" si="3"/>
        <v>Currency:</v>
      </c>
    </row>
    <row r="27" spans="1:10" ht="15.75" customHeight="1" x14ac:dyDescent="0.2">
      <c r="C27" s="1"/>
      <c r="D27" s="1"/>
      <c r="E27" s="37" t="s">
        <v>83</v>
      </c>
      <c r="F27" s="36"/>
      <c r="G27" s="37" t="s">
        <v>84</v>
      </c>
      <c r="H27" s="36"/>
      <c r="I27" s="37" t="s">
        <v>85</v>
      </c>
      <c r="J27" s="36"/>
    </row>
    <row r="28" spans="1:10" ht="12.75" x14ac:dyDescent="0.2">
      <c r="C28" s="1"/>
      <c r="D28" s="1"/>
      <c r="E28" s="1" t="s">
        <v>87</v>
      </c>
      <c r="F28" s="1" t="s">
        <v>86</v>
      </c>
      <c r="G28" s="1" t="s">
        <v>87</v>
      </c>
      <c r="H28" s="1" t="s">
        <v>88</v>
      </c>
      <c r="I28" s="1" t="s">
        <v>87</v>
      </c>
      <c r="J28" s="1" t="s">
        <v>89</v>
      </c>
    </row>
    <row r="29" spans="1:10" ht="12.75" x14ac:dyDescent="0.2">
      <c r="B29" s="37" t="s">
        <v>90</v>
      </c>
      <c r="C29" s="36"/>
      <c r="D29" s="36"/>
    </row>
    <row r="30" spans="1:10" ht="12.75" x14ac:dyDescent="0.2">
      <c r="B30" s="1">
        <v>1</v>
      </c>
      <c r="C30" s="1" t="s">
        <v>91</v>
      </c>
      <c r="D30" s="1">
        <v>500000</v>
      </c>
      <c r="E30" s="27">
        <v>970205.12</v>
      </c>
      <c r="F30" s="30">
        <v>171</v>
      </c>
      <c r="G30" s="27">
        <v>4461097.51</v>
      </c>
      <c r="H30" s="30">
        <v>1000</v>
      </c>
      <c r="I30" s="27">
        <v>9889446.8100000005</v>
      </c>
      <c r="J30" s="30">
        <v>2438</v>
      </c>
    </row>
    <row r="31" spans="1:10" ht="12.75" x14ac:dyDescent="0.2">
      <c r="B31" s="1">
        <f t="shared" ref="B31:B39" si="4">D30+1</f>
        <v>500001</v>
      </c>
      <c r="C31" s="1" t="s">
        <v>91</v>
      </c>
      <c r="D31" s="1">
        <f t="shared" ref="D31:D39" si="5">D30+500000</f>
        <v>1000000</v>
      </c>
      <c r="E31" s="27">
        <v>5432464.6299999999</v>
      </c>
      <c r="F31" s="30">
        <v>471</v>
      </c>
      <c r="G31" s="27">
        <v>13737011.609999999</v>
      </c>
      <c r="H31" s="30">
        <v>1354</v>
      </c>
      <c r="I31" s="27">
        <v>20653030.640000001</v>
      </c>
      <c r="J31" s="30">
        <v>2168</v>
      </c>
    </row>
    <row r="32" spans="1:10" ht="12.75" x14ac:dyDescent="0.2">
      <c r="B32" s="1">
        <f t="shared" si="4"/>
        <v>1000001</v>
      </c>
      <c r="C32" s="1" t="s">
        <v>91</v>
      </c>
      <c r="D32" s="1">
        <f t="shared" si="5"/>
        <v>1500000</v>
      </c>
      <c r="E32" s="27">
        <v>2487065.7999999998</v>
      </c>
      <c r="F32" s="30">
        <v>147</v>
      </c>
      <c r="G32" s="27">
        <v>12556560.189999999</v>
      </c>
      <c r="H32" s="30">
        <v>803</v>
      </c>
      <c r="I32" s="27">
        <v>13744918.27</v>
      </c>
      <c r="J32" s="30">
        <v>897</v>
      </c>
    </row>
    <row r="33" spans="2:10" ht="12.75" x14ac:dyDescent="0.2">
      <c r="B33" s="1">
        <f t="shared" si="4"/>
        <v>1500001</v>
      </c>
      <c r="C33" s="1" t="s">
        <v>91</v>
      </c>
      <c r="D33" s="1">
        <f t="shared" si="5"/>
        <v>2000000</v>
      </c>
      <c r="E33" s="27">
        <v>13939436.880000001</v>
      </c>
      <c r="F33" s="30">
        <v>614</v>
      </c>
      <c r="G33" s="27">
        <v>16654364.84</v>
      </c>
      <c r="H33" s="30">
        <v>792</v>
      </c>
      <c r="I33" s="27">
        <v>16682662.119999999</v>
      </c>
      <c r="J33" s="30">
        <v>794</v>
      </c>
    </row>
    <row r="34" spans="2:10" ht="12.75" x14ac:dyDescent="0.2">
      <c r="B34" s="1">
        <f t="shared" si="4"/>
        <v>2000001</v>
      </c>
      <c r="C34" s="1" t="s">
        <v>91</v>
      </c>
      <c r="D34" s="1">
        <f t="shared" si="5"/>
        <v>2500000</v>
      </c>
      <c r="E34" s="27">
        <v>4972632.04</v>
      </c>
      <c r="F34" s="30">
        <v>178</v>
      </c>
      <c r="G34" s="27">
        <v>12274154.48</v>
      </c>
      <c r="H34" s="30">
        <v>427</v>
      </c>
      <c r="I34" s="27">
        <v>17862843.109999999</v>
      </c>
      <c r="J34" s="30">
        <v>623</v>
      </c>
    </row>
    <row r="35" spans="2:10" ht="12.75" x14ac:dyDescent="0.2">
      <c r="B35" s="1">
        <f t="shared" si="4"/>
        <v>2500001</v>
      </c>
      <c r="C35" s="1" t="s">
        <v>91</v>
      </c>
      <c r="D35" s="1">
        <f t="shared" si="5"/>
        <v>3000000</v>
      </c>
      <c r="E35" s="27">
        <v>11890611.82</v>
      </c>
      <c r="F35" s="30">
        <v>350</v>
      </c>
      <c r="G35" s="27">
        <v>5388311.1900000004</v>
      </c>
      <c r="H35" s="30">
        <v>158</v>
      </c>
      <c r="I35" s="27">
        <v>3297655.33</v>
      </c>
      <c r="J35" s="30">
        <v>97</v>
      </c>
    </row>
    <row r="36" spans="2:10" ht="12.75" x14ac:dyDescent="0.2">
      <c r="B36" s="1">
        <f t="shared" si="4"/>
        <v>3000001</v>
      </c>
      <c r="C36" s="1" t="s">
        <v>91</v>
      </c>
      <c r="D36" s="1">
        <f t="shared" si="5"/>
        <v>3500000</v>
      </c>
      <c r="E36" s="27">
        <v>6845718.8799999999</v>
      </c>
      <c r="F36" s="30">
        <v>167</v>
      </c>
      <c r="G36" s="27">
        <v>11672354.16</v>
      </c>
      <c r="H36" s="30">
        <v>300</v>
      </c>
      <c r="I36" s="27">
        <v>7837651.3799999999</v>
      </c>
      <c r="J36" s="30">
        <v>205</v>
      </c>
    </row>
    <row r="37" spans="2:10" ht="12.75" x14ac:dyDescent="0.2">
      <c r="B37" s="1">
        <f t="shared" si="4"/>
        <v>3500001</v>
      </c>
      <c r="C37" s="1" t="s">
        <v>91</v>
      </c>
      <c r="D37" s="1">
        <f t="shared" si="5"/>
        <v>4000000</v>
      </c>
      <c r="E37" s="27">
        <v>14537319.17</v>
      </c>
      <c r="F37" s="30">
        <v>329</v>
      </c>
      <c r="G37" s="27">
        <v>6898733.8799999999</v>
      </c>
      <c r="H37" s="30">
        <v>156</v>
      </c>
      <c r="I37" s="27">
        <v>3766364.04</v>
      </c>
      <c r="J37" s="30">
        <v>86</v>
      </c>
    </row>
    <row r="38" spans="2:10" ht="12.75" x14ac:dyDescent="0.2">
      <c r="B38" s="1">
        <f t="shared" si="4"/>
        <v>4000001</v>
      </c>
      <c r="C38" s="1" t="s">
        <v>91</v>
      </c>
      <c r="D38" s="1">
        <f t="shared" si="5"/>
        <v>4500000</v>
      </c>
      <c r="E38" s="27">
        <v>8070321.04</v>
      </c>
      <c r="F38" s="30">
        <v>152</v>
      </c>
      <c r="G38" s="27">
        <v>3634772.6</v>
      </c>
      <c r="H38" s="30">
        <v>69</v>
      </c>
      <c r="I38" s="27">
        <v>1983192.99</v>
      </c>
      <c r="J38" s="30">
        <v>39</v>
      </c>
    </row>
    <row r="39" spans="2:10" ht="12.75" x14ac:dyDescent="0.2">
      <c r="B39" s="1">
        <f t="shared" si="4"/>
        <v>4500001</v>
      </c>
      <c r="C39" s="1" t="s">
        <v>91</v>
      </c>
      <c r="D39" s="1">
        <f t="shared" si="5"/>
        <v>5000000</v>
      </c>
      <c r="E39" s="27">
        <v>19283709.09</v>
      </c>
      <c r="F39" s="30">
        <v>335</v>
      </c>
      <c r="G39" s="27">
        <v>20393178.579999998</v>
      </c>
      <c r="H39" s="30">
        <v>357</v>
      </c>
      <c r="I39" s="27">
        <v>19240650.399999999</v>
      </c>
      <c r="J39" s="30">
        <v>338</v>
      </c>
    </row>
    <row r="40" spans="2:10" ht="12.75" x14ac:dyDescent="0.2">
      <c r="B40" s="37" t="str">
        <f>"greater than "&amp;D39</f>
        <v>greater than 5000000</v>
      </c>
      <c r="C40" s="36"/>
      <c r="D40" s="36"/>
      <c r="E40" s="27">
        <v>37626065.899999999</v>
      </c>
      <c r="F40" s="30">
        <v>335</v>
      </c>
      <c r="G40" s="27">
        <v>18385011.329999998</v>
      </c>
      <c r="H40" s="30">
        <v>166</v>
      </c>
      <c r="I40" s="27">
        <v>11097135.279999999</v>
      </c>
      <c r="J40" s="30">
        <v>102</v>
      </c>
    </row>
    <row r="41" spans="2:10" ht="12.75" x14ac:dyDescent="0.2">
      <c r="B41" s="38" t="s">
        <v>92</v>
      </c>
      <c r="C41" s="39"/>
      <c r="D41" s="39"/>
      <c r="E41" s="28">
        <f t="shared" ref="E41:J41" si="6">SUM(E30:E40)</f>
        <v>126055550.37</v>
      </c>
      <c r="F41" s="31">
        <v>3107</v>
      </c>
      <c r="G41" s="28">
        <f t="shared" si="6"/>
        <v>126055550.36999997</v>
      </c>
      <c r="H41" s="31">
        <v>5421</v>
      </c>
      <c r="I41" s="28">
        <f t="shared" si="6"/>
        <v>126055550.36999997</v>
      </c>
      <c r="J41" s="31">
        <v>7487</v>
      </c>
    </row>
  </sheetData>
  <mergeCells count="12">
    <mergeCell ref="B41:D41"/>
    <mergeCell ref="E9:F9"/>
    <mergeCell ref="G9:H9"/>
    <mergeCell ref="I9:J9"/>
    <mergeCell ref="B11:D11"/>
    <mergeCell ref="B22:D22"/>
    <mergeCell ref="B23:D23"/>
    <mergeCell ref="E27:F27"/>
    <mergeCell ref="G27:H27"/>
    <mergeCell ref="I27:J27"/>
    <mergeCell ref="B29:D29"/>
    <mergeCell ref="B40:D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2BAA-F10D-4DF2-9CDE-D60F9B651A37}">
  <dimension ref="A1:L21101"/>
  <sheetViews>
    <sheetView topLeftCell="A10" workbookViewId="0">
      <selection activeCell="A13" sqref="A13"/>
    </sheetView>
  </sheetViews>
  <sheetFormatPr defaultColWidth="12.5703125" defaultRowHeight="12.75" x14ac:dyDescent="0.2"/>
  <cols>
    <col min="1" max="9" width="11.42578125" customWidth="1"/>
    <col min="10" max="10" width="14.28515625" bestFit="1" customWidth="1"/>
    <col min="11" max="11" width="13.5703125" bestFit="1" customWidth="1"/>
    <col min="12" max="25" width="11.42578125" customWidth="1"/>
  </cols>
  <sheetData>
    <row r="1" spans="1:12" ht="12.75" customHeight="1" x14ac:dyDescent="0.2">
      <c r="A1" s="1" t="str">
        <f>'Premium Information'!A1</f>
        <v>Insurer We</v>
      </c>
    </row>
    <row r="2" spans="1:12" ht="12.75" customHeight="1" x14ac:dyDescent="0.2">
      <c r="A2" s="1" t="str">
        <f>'Premium Information'!A2</f>
        <v>2025 Property Per risk Excess of Loss</v>
      </c>
    </row>
    <row r="3" spans="1:12" ht="12.75" customHeight="1" x14ac:dyDescent="0.2">
      <c r="A3" s="1" t="str">
        <f>'Premium Information'!A3</f>
        <v>effective date:</v>
      </c>
      <c r="B3" s="18">
        <f>'Premium Information'!B3</f>
        <v>45689</v>
      </c>
    </row>
    <row r="4" spans="1:12" ht="12.75" customHeight="1" x14ac:dyDescent="0.2"/>
    <row r="5" spans="1:12" ht="12.75" customHeight="1" x14ac:dyDescent="0.2">
      <c r="A5" s="16" t="s">
        <v>139</v>
      </c>
    </row>
    <row r="6" spans="1:12" ht="12.75" customHeight="1" x14ac:dyDescent="0.2"/>
    <row r="7" spans="1:12" ht="12.75" customHeight="1" x14ac:dyDescent="0.2">
      <c r="A7" s="1" t="str">
        <f>'Premium Information'!A7</f>
        <v>Data as of:</v>
      </c>
      <c r="B7" s="12">
        <f>'Premium Information'!B7</f>
        <v>45565</v>
      </c>
    </row>
    <row r="8" spans="1:12" ht="12.75" customHeight="1" x14ac:dyDescent="0.2">
      <c r="A8" s="1" t="str">
        <f>'Premium Information'!A8</f>
        <v>Currency:</v>
      </c>
      <c r="B8" t="str">
        <f>'Premium Information'!B8</f>
        <v>USD</v>
      </c>
    </row>
    <row r="9" spans="1:12" ht="12.75" customHeight="1" x14ac:dyDescent="0.2">
      <c r="A9" s="17"/>
    </row>
    <row r="10" spans="1:12" ht="12.75" customHeight="1" x14ac:dyDescent="0.2">
      <c r="A10" s="16" t="s">
        <v>132</v>
      </c>
      <c r="B10" t="str">
        <f>"Policies incepting between "&amp;TEXT(EOMONTH(B7,-12)+1,"Mmmm dd, yyyy")&amp;" and "&amp;TEXT(B7,"Mmmm dd, yyyy")</f>
        <v>Policies incepting between October 01, 2023 and September 30, 2024</v>
      </c>
    </row>
    <row r="11" spans="1:12" ht="12.75" customHeight="1" x14ac:dyDescent="0.2">
      <c r="A11" s="16"/>
    </row>
    <row r="12" spans="1:12" ht="12.75" customHeight="1" x14ac:dyDescent="0.2"/>
    <row r="13" spans="1:12" ht="12.75" customHeight="1" x14ac:dyDescent="0.2">
      <c r="A13" s="16" t="s">
        <v>133</v>
      </c>
      <c r="B13" s="16" t="s">
        <v>134</v>
      </c>
      <c r="C13" s="16" t="s">
        <v>135</v>
      </c>
      <c r="D13" s="16" t="s">
        <v>119</v>
      </c>
      <c r="E13" s="16" t="s">
        <v>136</v>
      </c>
      <c r="F13" s="16" t="s">
        <v>137</v>
      </c>
      <c r="G13" s="16" t="s">
        <v>103</v>
      </c>
      <c r="H13" s="16" t="s">
        <v>140</v>
      </c>
      <c r="I13" s="16" t="s">
        <v>141</v>
      </c>
      <c r="J13" s="16" t="s">
        <v>138</v>
      </c>
      <c r="K13" s="16" t="s">
        <v>120</v>
      </c>
      <c r="L13" s="16"/>
    </row>
    <row r="14" spans="1:12" ht="12.75" customHeight="1" x14ac:dyDescent="0.2">
      <c r="A14" t="s">
        <v>606</v>
      </c>
      <c r="B14" t="s">
        <v>607</v>
      </c>
      <c r="C14">
        <v>2023</v>
      </c>
      <c r="D14" s="18">
        <v>45200</v>
      </c>
      <c r="E14" s="18">
        <v>45565</v>
      </c>
      <c r="F14" s="18" t="s">
        <v>608</v>
      </c>
      <c r="G14" t="s">
        <v>99</v>
      </c>
      <c r="H14">
        <v>3</v>
      </c>
      <c r="I14">
        <v>6</v>
      </c>
      <c r="J14" s="27">
        <v>8380.52</v>
      </c>
      <c r="K14" s="27"/>
    </row>
    <row r="15" spans="1:12" ht="12.75" customHeight="1" x14ac:dyDescent="0.2">
      <c r="A15" t="s">
        <v>609</v>
      </c>
      <c r="B15" t="s">
        <v>610</v>
      </c>
      <c r="C15">
        <v>2023</v>
      </c>
      <c r="D15" s="18">
        <v>45200</v>
      </c>
      <c r="E15" s="18">
        <v>45565</v>
      </c>
      <c r="F15" s="18" t="s">
        <v>611</v>
      </c>
      <c r="G15" t="s">
        <v>101</v>
      </c>
      <c r="H15">
        <v>1</v>
      </c>
      <c r="I15">
        <v>1</v>
      </c>
      <c r="J15" s="27">
        <v>30637.5</v>
      </c>
      <c r="K15" s="27">
        <v>2000000</v>
      </c>
    </row>
    <row r="16" spans="1:12" ht="12.75" customHeight="1" x14ac:dyDescent="0.2">
      <c r="A16" t="s">
        <v>612</v>
      </c>
      <c r="B16" t="s">
        <v>613</v>
      </c>
      <c r="C16">
        <v>2023</v>
      </c>
      <c r="D16" s="18">
        <v>45200</v>
      </c>
      <c r="E16" s="18">
        <v>45565</v>
      </c>
      <c r="F16" s="18" t="s">
        <v>611</v>
      </c>
      <c r="G16" t="s">
        <v>99</v>
      </c>
      <c r="H16">
        <v>1</v>
      </c>
      <c r="I16">
        <v>1</v>
      </c>
      <c r="J16" s="27">
        <v>21771.01</v>
      </c>
      <c r="K16" s="27">
        <v>2500000</v>
      </c>
    </row>
    <row r="17" spans="1:11" ht="12.75" customHeight="1" x14ac:dyDescent="0.2">
      <c r="A17" t="s">
        <v>614</v>
      </c>
      <c r="B17" t="s">
        <v>615</v>
      </c>
      <c r="C17">
        <v>2023</v>
      </c>
      <c r="D17" s="18">
        <v>45200</v>
      </c>
      <c r="E17" s="18">
        <v>45565</v>
      </c>
      <c r="F17" s="18" t="s">
        <v>611</v>
      </c>
      <c r="G17" t="s">
        <v>101</v>
      </c>
      <c r="H17">
        <v>1</v>
      </c>
      <c r="I17">
        <v>1</v>
      </c>
      <c r="J17" s="27">
        <v>30565.18</v>
      </c>
      <c r="K17" s="27">
        <v>2000000</v>
      </c>
    </row>
    <row r="18" spans="1:11" ht="12.75" customHeight="1" x14ac:dyDescent="0.2">
      <c r="A18" t="s">
        <v>616</v>
      </c>
      <c r="B18" t="s">
        <v>617</v>
      </c>
      <c r="C18">
        <v>2023</v>
      </c>
      <c r="D18" s="18">
        <v>45200</v>
      </c>
      <c r="E18" s="18">
        <v>45565</v>
      </c>
      <c r="F18" s="18" t="s">
        <v>611</v>
      </c>
      <c r="G18" t="s">
        <v>99</v>
      </c>
      <c r="H18">
        <v>2</v>
      </c>
      <c r="I18">
        <v>2</v>
      </c>
      <c r="J18" s="27">
        <v>82948.710000000006</v>
      </c>
      <c r="K18" s="27">
        <v>10000000</v>
      </c>
    </row>
    <row r="19" spans="1:11" ht="12.75" customHeight="1" x14ac:dyDescent="0.2">
      <c r="A19" t="s">
        <v>618</v>
      </c>
      <c r="B19" t="s">
        <v>619</v>
      </c>
      <c r="C19">
        <v>2023</v>
      </c>
      <c r="D19" s="18">
        <v>45200</v>
      </c>
      <c r="E19" s="18">
        <v>45565</v>
      </c>
      <c r="F19" s="18" t="s">
        <v>611</v>
      </c>
      <c r="G19" t="s">
        <v>102</v>
      </c>
      <c r="H19">
        <v>2</v>
      </c>
      <c r="I19">
        <v>2</v>
      </c>
      <c r="J19" s="27">
        <v>23089.46</v>
      </c>
      <c r="K19" s="27">
        <v>3000000</v>
      </c>
    </row>
    <row r="20" spans="1:11" ht="12.75" customHeight="1" x14ac:dyDescent="0.2">
      <c r="A20" t="s">
        <v>620</v>
      </c>
      <c r="B20" t="s">
        <v>621</v>
      </c>
      <c r="C20">
        <v>2023</v>
      </c>
      <c r="D20" s="18">
        <v>45200</v>
      </c>
      <c r="E20" s="18">
        <v>45565</v>
      </c>
      <c r="F20" s="18" t="s">
        <v>611</v>
      </c>
      <c r="G20" t="s">
        <v>100</v>
      </c>
      <c r="H20">
        <v>1</v>
      </c>
      <c r="I20">
        <v>2</v>
      </c>
      <c r="J20" s="27">
        <v>62320.35</v>
      </c>
      <c r="K20" s="27">
        <v>5000000</v>
      </c>
    </row>
    <row r="21" spans="1:11" ht="12.75" customHeight="1" x14ac:dyDescent="0.2">
      <c r="A21" t="s">
        <v>622</v>
      </c>
      <c r="B21" t="s">
        <v>623</v>
      </c>
      <c r="C21">
        <v>2023</v>
      </c>
      <c r="D21" s="18">
        <v>45201</v>
      </c>
      <c r="E21" s="18">
        <v>45566</v>
      </c>
      <c r="F21" s="18" t="s">
        <v>608</v>
      </c>
      <c r="G21" t="s">
        <v>99</v>
      </c>
      <c r="H21">
        <v>1</v>
      </c>
      <c r="I21">
        <v>2</v>
      </c>
      <c r="J21" s="27">
        <v>16374.1</v>
      </c>
      <c r="K21" s="27">
        <v>2000000</v>
      </c>
    </row>
    <row r="22" spans="1:11" ht="12.75" customHeight="1" x14ac:dyDescent="0.2">
      <c r="A22" t="s">
        <v>624</v>
      </c>
      <c r="B22" t="s">
        <v>625</v>
      </c>
      <c r="C22">
        <v>2023</v>
      </c>
      <c r="D22" s="18">
        <v>45201</v>
      </c>
      <c r="E22" s="18">
        <v>45566</v>
      </c>
      <c r="F22" s="18" t="s">
        <v>608</v>
      </c>
      <c r="G22" t="s">
        <v>101</v>
      </c>
      <c r="H22">
        <v>1</v>
      </c>
      <c r="I22">
        <v>1</v>
      </c>
      <c r="J22" s="27">
        <v>44612.23</v>
      </c>
      <c r="K22" s="27">
        <v>3000000</v>
      </c>
    </row>
    <row r="23" spans="1:11" ht="12.75" customHeight="1" x14ac:dyDescent="0.2">
      <c r="A23" t="s">
        <v>626</v>
      </c>
      <c r="B23" t="s">
        <v>627</v>
      </c>
      <c r="C23">
        <v>2023</v>
      </c>
      <c r="D23" s="18">
        <v>45201</v>
      </c>
      <c r="E23" s="18">
        <v>45566</v>
      </c>
      <c r="F23" s="18" t="s">
        <v>608</v>
      </c>
      <c r="G23" t="s">
        <v>102</v>
      </c>
      <c r="H23">
        <v>3</v>
      </c>
      <c r="I23">
        <v>6</v>
      </c>
      <c r="J23" s="27">
        <v>33704.03</v>
      </c>
      <c r="K23" s="27">
        <v>4500000</v>
      </c>
    </row>
    <row r="24" spans="1:11" ht="12.75" customHeight="1" x14ac:dyDescent="0.2">
      <c r="A24" t="s">
        <v>628</v>
      </c>
      <c r="B24" t="s">
        <v>629</v>
      </c>
      <c r="C24">
        <v>2023</v>
      </c>
      <c r="D24" s="18">
        <v>45201</v>
      </c>
      <c r="E24" s="18">
        <v>45566</v>
      </c>
      <c r="F24" s="18" t="s">
        <v>608</v>
      </c>
      <c r="G24" t="s">
        <v>102</v>
      </c>
      <c r="H24">
        <v>1</v>
      </c>
      <c r="I24">
        <v>1</v>
      </c>
      <c r="J24" s="27">
        <v>10350.030000000001</v>
      </c>
      <c r="K24" s="27">
        <v>1500000</v>
      </c>
    </row>
    <row r="25" spans="1:11" ht="12.75" customHeight="1" x14ac:dyDescent="0.2">
      <c r="A25" t="s">
        <v>630</v>
      </c>
      <c r="B25" t="s">
        <v>631</v>
      </c>
      <c r="C25">
        <v>2023</v>
      </c>
      <c r="D25" s="18">
        <v>45201</v>
      </c>
      <c r="E25" s="18">
        <v>45566</v>
      </c>
      <c r="F25" s="18" t="s">
        <v>611</v>
      </c>
      <c r="G25" t="s">
        <v>101</v>
      </c>
      <c r="H25">
        <v>2</v>
      </c>
      <c r="I25">
        <v>4</v>
      </c>
      <c r="J25" s="27">
        <v>33672.379999999997</v>
      </c>
      <c r="K25" s="27">
        <v>2000000</v>
      </c>
    </row>
    <row r="26" spans="1:11" ht="12.75" customHeight="1" x14ac:dyDescent="0.2">
      <c r="A26" t="s">
        <v>632</v>
      </c>
      <c r="B26" t="s">
        <v>633</v>
      </c>
      <c r="C26">
        <v>2023</v>
      </c>
      <c r="D26" s="18">
        <v>45201</v>
      </c>
      <c r="E26" s="18">
        <v>45566</v>
      </c>
      <c r="F26" s="18" t="s">
        <v>611</v>
      </c>
      <c r="G26" t="s">
        <v>102</v>
      </c>
      <c r="H26">
        <v>2</v>
      </c>
      <c r="I26">
        <v>2</v>
      </c>
      <c r="J26" s="27">
        <v>25906.46</v>
      </c>
      <c r="K26" s="27">
        <v>3500000</v>
      </c>
    </row>
    <row r="27" spans="1:11" ht="12.75" customHeight="1" x14ac:dyDescent="0.2">
      <c r="A27" t="s">
        <v>634</v>
      </c>
      <c r="B27" t="s">
        <v>635</v>
      </c>
      <c r="C27">
        <v>2023</v>
      </c>
      <c r="D27" s="18">
        <v>45201</v>
      </c>
      <c r="E27" s="18">
        <v>45566</v>
      </c>
      <c r="F27" s="18" t="s">
        <v>611</v>
      </c>
      <c r="G27" t="s">
        <v>102</v>
      </c>
      <c r="H27">
        <v>1</v>
      </c>
      <c r="I27">
        <v>1</v>
      </c>
      <c r="J27" s="27">
        <v>29142.5</v>
      </c>
      <c r="K27" s="27">
        <v>4000000</v>
      </c>
    </row>
    <row r="28" spans="1:11" ht="12.75" customHeight="1" x14ac:dyDescent="0.2">
      <c r="A28" t="s">
        <v>636</v>
      </c>
      <c r="B28" t="s">
        <v>637</v>
      </c>
      <c r="C28">
        <v>2023</v>
      </c>
      <c r="D28" s="18">
        <v>45201</v>
      </c>
      <c r="E28" s="18">
        <v>45566</v>
      </c>
      <c r="F28" s="18" t="s">
        <v>611</v>
      </c>
      <c r="G28" t="s">
        <v>102</v>
      </c>
      <c r="H28">
        <v>1</v>
      </c>
      <c r="I28">
        <v>1</v>
      </c>
      <c r="J28" s="27">
        <v>21710.560000000001</v>
      </c>
      <c r="K28" s="27">
        <v>3000000</v>
      </c>
    </row>
    <row r="29" spans="1:11" ht="12.75" customHeight="1" x14ac:dyDescent="0.2">
      <c r="A29" t="s">
        <v>638</v>
      </c>
      <c r="B29" t="s">
        <v>639</v>
      </c>
      <c r="C29">
        <v>2023</v>
      </c>
      <c r="D29" s="18">
        <v>45201</v>
      </c>
      <c r="E29" s="18">
        <v>45566</v>
      </c>
      <c r="F29" s="18" t="s">
        <v>611</v>
      </c>
      <c r="G29" t="s">
        <v>101</v>
      </c>
      <c r="H29">
        <v>3</v>
      </c>
      <c r="I29">
        <v>3</v>
      </c>
      <c r="J29" s="27">
        <v>68194.63</v>
      </c>
      <c r="K29" s="27">
        <v>4000000</v>
      </c>
    </row>
    <row r="30" spans="1:11" ht="12.75" customHeight="1" x14ac:dyDescent="0.2">
      <c r="A30" t="s">
        <v>640</v>
      </c>
      <c r="B30" t="s">
        <v>641</v>
      </c>
      <c r="C30">
        <v>2023</v>
      </c>
      <c r="D30" s="18">
        <v>45202</v>
      </c>
      <c r="E30" s="18">
        <v>45567</v>
      </c>
      <c r="F30" s="18" t="s">
        <v>608</v>
      </c>
      <c r="G30" t="s">
        <v>101</v>
      </c>
      <c r="H30">
        <v>1</v>
      </c>
      <c r="I30">
        <v>1</v>
      </c>
      <c r="J30" s="27">
        <v>144479.49</v>
      </c>
      <c r="K30" s="27">
        <v>10000000</v>
      </c>
    </row>
    <row r="31" spans="1:11" ht="12.75" customHeight="1" x14ac:dyDescent="0.2">
      <c r="A31" t="s">
        <v>642</v>
      </c>
      <c r="B31" t="s">
        <v>643</v>
      </c>
      <c r="C31">
        <v>2023</v>
      </c>
      <c r="D31" s="18">
        <v>45202</v>
      </c>
      <c r="E31" s="18">
        <v>45567</v>
      </c>
      <c r="F31" s="18" t="s">
        <v>611</v>
      </c>
      <c r="G31" t="s">
        <v>101</v>
      </c>
      <c r="H31">
        <v>1</v>
      </c>
      <c r="I31">
        <v>2</v>
      </c>
      <c r="J31" s="27">
        <v>16078.67</v>
      </c>
      <c r="K31" s="27">
        <v>1000000</v>
      </c>
    </row>
    <row r="32" spans="1:11" ht="12.75" customHeight="1" x14ac:dyDescent="0.2">
      <c r="A32" t="s">
        <v>644</v>
      </c>
      <c r="B32" t="s">
        <v>645</v>
      </c>
      <c r="C32">
        <v>2023</v>
      </c>
      <c r="D32" s="18">
        <v>45202</v>
      </c>
      <c r="E32" s="18">
        <v>45567</v>
      </c>
      <c r="F32" s="18" t="s">
        <v>611</v>
      </c>
      <c r="G32" t="s">
        <v>99</v>
      </c>
      <c r="H32">
        <v>2</v>
      </c>
      <c r="I32">
        <v>2</v>
      </c>
      <c r="J32" s="27">
        <v>84774.080000000002</v>
      </c>
      <c r="K32" s="27">
        <v>10000000</v>
      </c>
    </row>
    <row r="33" spans="1:11" ht="12.75" customHeight="1" x14ac:dyDescent="0.2">
      <c r="A33" t="s">
        <v>646</v>
      </c>
      <c r="B33" t="s">
        <v>647</v>
      </c>
      <c r="C33">
        <v>2023</v>
      </c>
      <c r="D33" s="18">
        <v>45202</v>
      </c>
      <c r="E33" s="18">
        <v>45567</v>
      </c>
      <c r="F33" s="18" t="s">
        <v>611</v>
      </c>
      <c r="G33" t="s">
        <v>99</v>
      </c>
      <c r="H33">
        <v>1</v>
      </c>
      <c r="I33">
        <v>2</v>
      </c>
      <c r="J33" s="27">
        <v>86656.02</v>
      </c>
      <c r="K33" s="27">
        <v>10000000</v>
      </c>
    </row>
    <row r="34" spans="1:11" ht="12.75" customHeight="1" x14ac:dyDescent="0.2">
      <c r="A34" t="s">
        <v>648</v>
      </c>
      <c r="B34" t="s">
        <v>649</v>
      </c>
      <c r="C34">
        <v>2023</v>
      </c>
      <c r="D34" s="18">
        <v>45202</v>
      </c>
      <c r="E34" s="18">
        <v>45567</v>
      </c>
      <c r="F34" s="18" t="s">
        <v>611</v>
      </c>
      <c r="G34" t="s">
        <v>100</v>
      </c>
      <c r="H34">
        <v>1</v>
      </c>
      <c r="I34">
        <v>2</v>
      </c>
      <c r="J34" s="27">
        <v>121485.03</v>
      </c>
      <c r="K34" s="27">
        <v>10000000</v>
      </c>
    </row>
    <row r="35" spans="1:11" ht="12.75" customHeight="1" x14ac:dyDescent="0.2">
      <c r="A35" t="s">
        <v>650</v>
      </c>
      <c r="B35" t="s">
        <v>651</v>
      </c>
      <c r="C35">
        <v>2023</v>
      </c>
      <c r="D35" s="18">
        <v>45202</v>
      </c>
      <c r="E35" s="18">
        <v>45567</v>
      </c>
      <c r="F35" s="18" t="s">
        <v>611</v>
      </c>
      <c r="G35" t="s">
        <v>101</v>
      </c>
      <c r="H35">
        <v>1</v>
      </c>
      <c r="I35">
        <v>1</v>
      </c>
      <c r="J35" s="27">
        <v>156992.23000000001</v>
      </c>
      <c r="K35" s="27">
        <v>10000000</v>
      </c>
    </row>
    <row r="36" spans="1:11" ht="12.75" customHeight="1" x14ac:dyDescent="0.2">
      <c r="A36" t="s">
        <v>652</v>
      </c>
      <c r="B36" t="s">
        <v>653</v>
      </c>
      <c r="C36">
        <v>2023</v>
      </c>
      <c r="D36" s="18">
        <v>45203</v>
      </c>
      <c r="E36" s="18">
        <v>45568</v>
      </c>
      <c r="F36" s="18" t="s">
        <v>608</v>
      </c>
      <c r="G36" t="s">
        <v>100</v>
      </c>
      <c r="H36">
        <v>3</v>
      </c>
      <c r="I36">
        <v>6</v>
      </c>
      <c r="J36" s="27">
        <v>12275.87</v>
      </c>
      <c r="K36" s="27">
        <v>1000000</v>
      </c>
    </row>
    <row r="37" spans="1:11" ht="12.75" customHeight="1" x14ac:dyDescent="0.2">
      <c r="A37" t="s">
        <v>654</v>
      </c>
      <c r="B37" t="s">
        <v>655</v>
      </c>
      <c r="C37">
        <v>2023</v>
      </c>
      <c r="D37" s="18">
        <v>45203</v>
      </c>
      <c r="E37" s="18">
        <v>45568</v>
      </c>
      <c r="F37" s="18" t="s">
        <v>608</v>
      </c>
      <c r="G37" t="s">
        <v>99</v>
      </c>
      <c r="H37">
        <v>3</v>
      </c>
      <c r="I37">
        <v>6</v>
      </c>
      <c r="J37" s="27">
        <v>42877.98</v>
      </c>
      <c r="K37" s="27">
        <v>5000000</v>
      </c>
    </row>
    <row r="38" spans="1:11" ht="12.75" customHeight="1" x14ac:dyDescent="0.2">
      <c r="A38" t="s">
        <v>656</v>
      </c>
      <c r="B38" t="s">
        <v>657</v>
      </c>
      <c r="C38">
        <v>2023</v>
      </c>
      <c r="D38" s="18">
        <v>45203</v>
      </c>
      <c r="E38" s="18">
        <v>45568</v>
      </c>
      <c r="F38" s="18" t="s">
        <v>608</v>
      </c>
      <c r="G38" t="s">
        <v>101</v>
      </c>
      <c r="H38">
        <v>1</v>
      </c>
      <c r="I38">
        <v>1</v>
      </c>
      <c r="J38" s="27">
        <v>30640.59</v>
      </c>
      <c r="K38" s="27">
        <v>2000000</v>
      </c>
    </row>
    <row r="39" spans="1:11" ht="12.75" customHeight="1" x14ac:dyDescent="0.2">
      <c r="A39" t="s">
        <v>658</v>
      </c>
      <c r="B39" t="s">
        <v>659</v>
      </c>
      <c r="C39">
        <v>2023</v>
      </c>
      <c r="D39" s="18">
        <v>45203</v>
      </c>
      <c r="E39" s="18">
        <v>45568</v>
      </c>
      <c r="F39" s="18" t="s">
        <v>608</v>
      </c>
      <c r="G39" t="s">
        <v>100</v>
      </c>
      <c r="H39">
        <v>3</v>
      </c>
      <c r="I39">
        <v>3</v>
      </c>
      <c r="J39" s="27">
        <v>63988.95</v>
      </c>
      <c r="K39" s="27">
        <v>5000000</v>
      </c>
    </row>
    <row r="40" spans="1:11" ht="12.75" customHeight="1" x14ac:dyDescent="0.2">
      <c r="A40" t="s">
        <v>660</v>
      </c>
      <c r="B40" t="s">
        <v>661</v>
      </c>
      <c r="C40">
        <v>2023</v>
      </c>
      <c r="D40" s="18">
        <v>45203</v>
      </c>
      <c r="E40" s="18">
        <v>45568</v>
      </c>
      <c r="F40" s="18" t="s">
        <v>611</v>
      </c>
      <c r="G40" t="s">
        <v>100</v>
      </c>
      <c r="H40">
        <v>1</v>
      </c>
      <c r="I40">
        <v>2</v>
      </c>
      <c r="J40" s="27">
        <v>39981.4</v>
      </c>
      <c r="K40" s="27">
        <v>3500000</v>
      </c>
    </row>
    <row r="41" spans="1:11" ht="12.75" customHeight="1" x14ac:dyDescent="0.2">
      <c r="A41" t="s">
        <v>662</v>
      </c>
      <c r="B41" t="s">
        <v>663</v>
      </c>
      <c r="C41">
        <v>2023</v>
      </c>
      <c r="D41" s="18">
        <v>45203</v>
      </c>
      <c r="E41" s="18">
        <v>45568</v>
      </c>
      <c r="F41" s="18" t="s">
        <v>611</v>
      </c>
      <c r="G41" t="s">
        <v>100</v>
      </c>
      <c r="H41">
        <v>1</v>
      </c>
      <c r="I41">
        <v>1</v>
      </c>
      <c r="J41" s="27">
        <v>37313.339999999997</v>
      </c>
      <c r="K41" s="27">
        <v>3000000</v>
      </c>
    </row>
    <row r="42" spans="1:11" ht="12.75" customHeight="1" x14ac:dyDescent="0.2">
      <c r="A42" t="s">
        <v>664</v>
      </c>
      <c r="B42" t="s">
        <v>665</v>
      </c>
      <c r="C42">
        <v>2023</v>
      </c>
      <c r="D42" s="18">
        <v>45203</v>
      </c>
      <c r="E42" s="18">
        <v>45568</v>
      </c>
      <c r="F42" s="18" t="s">
        <v>611</v>
      </c>
      <c r="G42" t="s">
        <v>101</v>
      </c>
      <c r="H42">
        <v>3</v>
      </c>
      <c r="I42">
        <v>3</v>
      </c>
      <c r="J42" s="27">
        <v>48213.87</v>
      </c>
      <c r="K42" s="27">
        <v>3000000</v>
      </c>
    </row>
    <row r="43" spans="1:11" ht="12.75" customHeight="1" x14ac:dyDescent="0.2">
      <c r="A43" t="s">
        <v>666</v>
      </c>
      <c r="B43" t="s">
        <v>667</v>
      </c>
      <c r="C43">
        <v>2023</v>
      </c>
      <c r="D43" s="18">
        <v>45203</v>
      </c>
      <c r="E43" s="18">
        <v>45568</v>
      </c>
      <c r="F43" s="18" t="s">
        <v>611</v>
      </c>
      <c r="G43" t="s">
        <v>99</v>
      </c>
      <c r="H43">
        <v>1</v>
      </c>
      <c r="I43">
        <v>2</v>
      </c>
      <c r="J43" s="27">
        <v>34544.29</v>
      </c>
      <c r="K43" s="27">
        <v>4000000</v>
      </c>
    </row>
    <row r="44" spans="1:11" ht="12.75" customHeight="1" x14ac:dyDescent="0.2">
      <c r="A44" t="s">
        <v>668</v>
      </c>
      <c r="B44" t="s">
        <v>669</v>
      </c>
      <c r="C44">
        <v>2023</v>
      </c>
      <c r="D44" s="18">
        <v>45203</v>
      </c>
      <c r="E44" s="18">
        <v>45568</v>
      </c>
      <c r="F44" s="18" t="s">
        <v>611</v>
      </c>
      <c r="G44" t="s">
        <v>101</v>
      </c>
      <c r="H44">
        <v>1</v>
      </c>
      <c r="I44">
        <v>1</v>
      </c>
      <c r="J44" s="27">
        <v>163405.78</v>
      </c>
      <c r="K44" s="27">
        <v>10000000</v>
      </c>
    </row>
    <row r="45" spans="1:11" ht="12.75" customHeight="1" x14ac:dyDescent="0.2">
      <c r="A45" t="s">
        <v>670</v>
      </c>
      <c r="B45" t="s">
        <v>671</v>
      </c>
      <c r="C45">
        <v>2023</v>
      </c>
      <c r="D45" s="18">
        <v>45203</v>
      </c>
      <c r="E45" s="18">
        <v>45568</v>
      </c>
      <c r="F45" s="18" t="s">
        <v>611</v>
      </c>
      <c r="G45" t="s">
        <v>101</v>
      </c>
      <c r="H45">
        <v>3</v>
      </c>
      <c r="I45">
        <v>6</v>
      </c>
      <c r="J45" s="27">
        <v>28992.99</v>
      </c>
      <c r="K45" s="27">
        <v>2000000</v>
      </c>
    </row>
    <row r="46" spans="1:11" ht="12.75" customHeight="1" x14ac:dyDescent="0.2">
      <c r="A46" t="s">
        <v>672</v>
      </c>
      <c r="B46" t="s">
        <v>673</v>
      </c>
      <c r="C46">
        <v>2023</v>
      </c>
      <c r="D46" s="18">
        <v>45203</v>
      </c>
      <c r="E46" s="18">
        <v>45568</v>
      </c>
      <c r="F46" s="18" t="s">
        <v>611</v>
      </c>
      <c r="G46" t="s">
        <v>100</v>
      </c>
      <c r="H46">
        <v>1</v>
      </c>
      <c r="I46">
        <v>2</v>
      </c>
      <c r="J46" s="27">
        <v>11221.79</v>
      </c>
      <c r="K46" s="27">
        <v>1000000</v>
      </c>
    </row>
    <row r="47" spans="1:11" ht="12.75" customHeight="1" x14ac:dyDescent="0.2">
      <c r="A47" t="s">
        <v>674</v>
      </c>
      <c r="B47" t="s">
        <v>675</v>
      </c>
      <c r="C47">
        <v>2023</v>
      </c>
      <c r="D47" s="18">
        <v>45203</v>
      </c>
      <c r="E47" s="18">
        <v>45568</v>
      </c>
      <c r="F47" s="18" t="s">
        <v>611</v>
      </c>
      <c r="G47" t="s">
        <v>99</v>
      </c>
      <c r="H47">
        <v>2</v>
      </c>
      <c r="I47">
        <v>4</v>
      </c>
      <c r="J47" s="27">
        <v>15986.26</v>
      </c>
      <c r="K47" s="27">
        <v>2000000</v>
      </c>
    </row>
    <row r="48" spans="1:11" ht="12.75" customHeight="1" x14ac:dyDescent="0.2">
      <c r="A48" t="s">
        <v>676</v>
      </c>
      <c r="B48" t="s">
        <v>677</v>
      </c>
      <c r="C48">
        <v>2023</v>
      </c>
      <c r="D48" s="18">
        <v>45204</v>
      </c>
      <c r="E48" s="18">
        <v>45569</v>
      </c>
      <c r="F48" s="18" t="s">
        <v>611</v>
      </c>
      <c r="G48" t="s">
        <v>101</v>
      </c>
      <c r="H48">
        <v>2</v>
      </c>
      <c r="I48">
        <v>2</v>
      </c>
      <c r="J48" s="27">
        <v>29089.79</v>
      </c>
      <c r="K48" s="27">
        <v>2000000</v>
      </c>
    </row>
    <row r="49" spans="1:11" ht="12.75" customHeight="1" x14ac:dyDescent="0.2">
      <c r="A49" t="s">
        <v>678</v>
      </c>
      <c r="B49" t="s">
        <v>679</v>
      </c>
      <c r="C49">
        <v>2023</v>
      </c>
      <c r="D49" s="18">
        <v>45204</v>
      </c>
      <c r="E49" s="18">
        <v>45569</v>
      </c>
      <c r="F49" s="18" t="s">
        <v>611</v>
      </c>
      <c r="G49" t="s">
        <v>99</v>
      </c>
      <c r="H49">
        <v>1</v>
      </c>
      <c r="I49">
        <v>2</v>
      </c>
      <c r="J49" s="27">
        <v>39503.199999999997</v>
      </c>
      <c r="K49" s="27">
        <v>5000000</v>
      </c>
    </row>
    <row r="50" spans="1:11" ht="12.75" customHeight="1" x14ac:dyDescent="0.2">
      <c r="A50" t="s">
        <v>680</v>
      </c>
      <c r="B50" t="s">
        <v>681</v>
      </c>
      <c r="C50">
        <v>2023</v>
      </c>
      <c r="D50" s="18">
        <v>45204</v>
      </c>
      <c r="E50" s="18">
        <v>45569</v>
      </c>
      <c r="F50" s="18" t="s">
        <v>611</v>
      </c>
      <c r="G50" t="s">
        <v>100</v>
      </c>
      <c r="H50">
        <v>1</v>
      </c>
      <c r="I50">
        <v>1</v>
      </c>
      <c r="J50" s="27">
        <v>45616.99</v>
      </c>
      <c r="K50" s="27">
        <v>4000000</v>
      </c>
    </row>
    <row r="51" spans="1:11" ht="12.75" customHeight="1" x14ac:dyDescent="0.2">
      <c r="A51" t="s">
        <v>682</v>
      </c>
      <c r="B51" t="s">
        <v>683</v>
      </c>
      <c r="C51">
        <v>2023</v>
      </c>
      <c r="D51" s="18">
        <v>45204</v>
      </c>
      <c r="E51" s="18">
        <v>45569</v>
      </c>
      <c r="F51" s="18" t="s">
        <v>611</v>
      </c>
      <c r="G51" t="s">
        <v>101</v>
      </c>
      <c r="H51">
        <v>1</v>
      </c>
      <c r="I51">
        <v>2</v>
      </c>
      <c r="J51" s="27">
        <v>30083.93</v>
      </c>
      <c r="K51" s="27">
        <v>2000000</v>
      </c>
    </row>
    <row r="52" spans="1:11" ht="12.75" customHeight="1" x14ac:dyDescent="0.2">
      <c r="A52" t="s">
        <v>684</v>
      </c>
      <c r="B52" t="s">
        <v>685</v>
      </c>
      <c r="C52">
        <v>2023</v>
      </c>
      <c r="D52" s="18">
        <v>45204</v>
      </c>
      <c r="E52" s="18">
        <v>45569</v>
      </c>
      <c r="F52" s="18" t="s">
        <v>611</v>
      </c>
      <c r="G52" t="s">
        <v>100</v>
      </c>
      <c r="H52">
        <v>1</v>
      </c>
      <c r="I52">
        <v>2</v>
      </c>
      <c r="J52" s="27">
        <v>6318.08</v>
      </c>
      <c r="K52" s="27">
        <v>500000</v>
      </c>
    </row>
    <row r="53" spans="1:11" ht="12.75" customHeight="1" x14ac:dyDescent="0.2">
      <c r="A53" t="s">
        <v>686</v>
      </c>
      <c r="B53" t="s">
        <v>687</v>
      </c>
      <c r="C53">
        <v>2023</v>
      </c>
      <c r="D53" s="18">
        <v>45205</v>
      </c>
      <c r="E53" s="18">
        <v>45570</v>
      </c>
      <c r="F53" s="18" t="s">
        <v>608</v>
      </c>
      <c r="G53" t="s">
        <v>102</v>
      </c>
      <c r="H53">
        <v>1</v>
      </c>
      <c r="I53">
        <v>2</v>
      </c>
      <c r="J53" s="27">
        <v>26291.48</v>
      </c>
      <c r="K53" s="27">
        <v>4000000</v>
      </c>
    </row>
    <row r="54" spans="1:11" ht="12.75" customHeight="1" x14ac:dyDescent="0.2">
      <c r="A54" t="s">
        <v>688</v>
      </c>
      <c r="B54" t="s">
        <v>689</v>
      </c>
      <c r="C54">
        <v>2023</v>
      </c>
      <c r="D54" s="18">
        <v>45205</v>
      </c>
      <c r="E54" s="18">
        <v>45570</v>
      </c>
      <c r="F54" s="18" t="s">
        <v>608</v>
      </c>
      <c r="G54" t="s">
        <v>100</v>
      </c>
      <c r="H54">
        <v>2</v>
      </c>
      <c r="I54">
        <v>2</v>
      </c>
      <c r="J54" s="27">
        <v>126715.24</v>
      </c>
      <c r="K54" s="27">
        <v>10000000</v>
      </c>
    </row>
    <row r="55" spans="1:11" ht="12.75" customHeight="1" x14ac:dyDescent="0.2">
      <c r="A55" t="s">
        <v>690</v>
      </c>
      <c r="B55" t="s">
        <v>691</v>
      </c>
      <c r="C55">
        <v>2023</v>
      </c>
      <c r="D55" s="18">
        <v>45205</v>
      </c>
      <c r="E55" s="18">
        <v>45570</v>
      </c>
      <c r="F55" s="18" t="s">
        <v>608</v>
      </c>
      <c r="G55" t="s">
        <v>100</v>
      </c>
      <c r="H55">
        <v>3</v>
      </c>
      <c r="I55">
        <v>6</v>
      </c>
      <c r="J55" s="27">
        <v>58951.49</v>
      </c>
      <c r="K55" s="27">
        <v>5000000</v>
      </c>
    </row>
    <row r="56" spans="1:11" ht="12.75" customHeight="1" x14ac:dyDescent="0.2">
      <c r="A56" t="s">
        <v>692</v>
      </c>
      <c r="B56" t="s">
        <v>693</v>
      </c>
      <c r="C56">
        <v>2023</v>
      </c>
      <c r="D56" s="18">
        <v>45205</v>
      </c>
      <c r="E56" s="18">
        <v>45570</v>
      </c>
      <c r="F56" s="18" t="s">
        <v>608</v>
      </c>
      <c r="G56" t="s">
        <v>102</v>
      </c>
      <c r="H56">
        <v>2</v>
      </c>
      <c r="I56">
        <v>2</v>
      </c>
      <c r="J56" s="27">
        <v>21397.919999999998</v>
      </c>
      <c r="K56" s="27">
        <v>3000000</v>
      </c>
    </row>
    <row r="57" spans="1:11" ht="12.75" customHeight="1" x14ac:dyDescent="0.2">
      <c r="A57" t="s">
        <v>694</v>
      </c>
      <c r="B57" t="s">
        <v>695</v>
      </c>
      <c r="C57">
        <v>2023</v>
      </c>
      <c r="D57" s="18">
        <v>45205</v>
      </c>
      <c r="E57" s="18">
        <v>45570</v>
      </c>
      <c r="F57" s="18" t="s">
        <v>611</v>
      </c>
      <c r="G57" t="s">
        <v>99</v>
      </c>
      <c r="H57">
        <v>3</v>
      </c>
      <c r="I57">
        <v>6</v>
      </c>
      <c r="J57" s="27">
        <v>38335.03</v>
      </c>
      <c r="K57" s="27">
        <v>5000000</v>
      </c>
    </row>
    <row r="58" spans="1:11" ht="12.75" customHeight="1" x14ac:dyDescent="0.2">
      <c r="A58" t="s">
        <v>696</v>
      </c>
      <c r="B58" t="s">
        <v>697</v>
      </c>
      <c r="C58">
        <v>2023</v>
      </c>
      <c r="D58" s="18">
        <v>45205</v>
      </c>
      <c r="E58" s="18">
        <v>45570</v>
      </c>
      <c r="F58" s="18" t="s">
        <v>611</v>
      </c>
      <c r="G58" t="s">
        <v>102</v>
      </c>
      <c r="H58">
        <v>2</v>
      </c>
      <c r="I58">
        <v>4</v>
      </c>
      <c r="J58" s="27">
        <v>67378.41</v>
      </c>
      <c r="K58" s="27">
        <v>10000000</v>
      </c>
    </row>
    <row r="59" spans="1:11" ht="12.75" customHeight="1" x14ac:dyDescent="0.2">
      <c r="A59" t="s">
        <v>698</v>
      </c>
      <c r="B59" t="s">
        <v>699</v>
      </c>
      <c r="C59">
        <v>2023</v>
      </c>
      <c r="D59" s="18">
        <v>45205</v>
      </c>
      <c r="E59" s="18">
        <v>45570</v>
      </c>
      <c r="F59" s="18" t="s">
        <v>611</v>
      </c>
      <c r="G59" t="s">
        <v>102</v>
      </c>
      <c r="H59">
        <v>3</v>
      </c>
      <c r="I59">
        <v>3</v>
      </c>
      <c r="J59" s="27">
        <v>77442.759999999995</v>
      </c>
      <c r="K59" s="27">
        <v>10000000</v>
      </c>
    </row>
    <row r="60" spans="1:11" ht="12.75" customHeight="1" x14ac:dyDescent="0.2">
      <c r="A60" t="s">
        <v>700</v>
      </c>
      <c r="B60" t="s">
        <v>701</v>
      </c>
      <c r="C60">
        <v>2023</v>
      </c>
      <c r="D60" s="18">
        <v>45205</v>
      </c>
      <c r="E60" s="18">
        <v>45570</v>
      </c>
      <c r="F60" s="18" t="s">
        <v>611</v>
      </c>
      <c r="G60" t="s">
        <v>101</v>
      </c>
      <c r="H60">
        <v>1</v>
      </c>
      <c r="I60">
        <v>2</v>
      </c>
      <c r="J60" s="27">
        <v>61617.7</v>
      </c>
      <c r="K60" s="27">
        <v>4000000</v>
      </c>
    </row>
    <row r="61" spans="1:11" ht="12.75" customHeight="1" x14ac:dyDescent="0.2">
      <c r="A61" t="s">
        <v>702</v>
      </c>
      <c r="B61" t="s">
        <v>703</v>
      </c>
      <c r="C61">
        <v>2023</v>
      </c>
      <c r="D61" s="18">
        <v>45205</v>
      </c>
      <c r="E61" s="18">
        <v>45570</v>
      </c>
      <c r="F61" s="18" t="s">
        <v>611</v>
      </c>
      <c r="G61" t="s">
        <v>101</v>
      </c>
      <c r="H61">
        <v>1</v>
      </c>
      <c r="I61">
        <v>1</v>
      </c>
      <c r="J61" s="27">
        <v>28558.74</v>
      </c>
      <c r="K61" s="27">
        <v>2000000</v>
      </c>
    </row>
    <row r="62" spans="1:11" ht="12.75" customHeight="1" x14ac:dyDescent="0.2">
      <c r="A62" t="s">
        <v>704</v>
      </c>
      <c r="B62" t="s">
        <v>705</v>
      </c>
      <c r="C62">
        <v>2023</v>
      </c>
      <c r="D62" s="18">
        <v>45205</v>
      </c>
      <c r="E62" s="18">
        <v>45570</v>
      </c>
      <c r="F62" s="18" t="s">
        <v>611</v>
      </c>
      <c r="G62" t="s">
        <v>100</v>
      </c>
      <c r="H62">
        <v>1</v>
      </c>
      <c r="I62">
        <v>1</v>
      </c>
      <c r="J62" s="27">
        <v>37053.74</v>
      </c>
      <c r="K62" s="27">
        <v>3000000</v>
      </c>
    </row>
    <row r="63" spans="1:11" ht="12.75" customHeight="1" x14ac:dyDescent="0.2">
      <c r="A63" t="s">
        <v>706</v>
      </c>
      <c r="B63" t="s">
        <v>707</v>
      </c>
      <c r="C63">
        <v>2023</v>
      </c>
      <c r="D63" s="18">
        <v>45205</v>
      </c>
      <c r="E63" s="18">
        <v>45570</v>
      </c>
      <c r="F63" s="18" t="s">
        <v>611</v>
      </c>
      <c r="G63" t="s">
        <v>99</v>
      </c>
      <c r="H63">
        <v>1</v>
      </c>
      <c r="I63">
        <v>1</v>
      </c>
      <c r="J63" s="27">
        <v>44852.7</v>
      </c>
      <c r="K63" s="27">
        <v>5000000</v>
      </c>
    </row>
    <row r="64" spans="1:11" ht="12.75" customHeight="1" x14ac:dyDescent="0.2">
      <c r="A64" t="s">
        <v>708</v>
      </c>
      <c r="B64" t="s">
        <v>709</v>
      </c>
      <c r="C64">
        <v>2023</v>
      </c>
      <c r="D64" s="18">
        <v>45206</v>
      </c>
      <c r="E64" s="18">
        <v>45571</v>
      </c>
      <c r="F64" s="18" t="s">
        <v>608</v>
      </c>
      <c r="G64" t="s">
        <v>101</v>
      </c>
      <c r="H64">
        <v>1</v>
      </c>
      <c r="I64">
        <v>2</v>
      </c>
      <c r="J64" s="27">
        <v>151424.78</v>
      </c>
      <c r="K64" s="27">
        <v>10000000</v>
      </c>
    </row>
    <row r="65" spans="1:11" ht="12.75" customHeight="1" x14ac:dyDescent="0.2">
      <c r="A65" t="s">
        <v>710</v>
      </c>
      <c r="B65" t="s">
        <v>711</v>
      </c>
      <c r="C65">
        <v>2023</v>
      </c>
      <c r="D65" s="18">
        <v>45206</v>
      </c>
      <c r="E65" s="18">
        <v>45571</v>
      </c>
      <c r="F65" s="18" t="s">
        <v>611</v>
      </c>
      <c r="G65" t="s">
        <v>100</v>
      </c>
      <c r="H65">
        <v>3</v>
      </c>
      <c r="I65">
        <v>3</v>
      </c>
      <c r="J65" s="27">
        <v>121365.28</v>
      </c>
      <c r="K65" s="27">
        <v>10000000</v>
      </c>
    </row>
    <row r="66" spans="1:11" ht="12.75" customHeight="1" x14ac:dyDescent="0.2">
      <c r="A66" t="s">
        <v>712</v>
      </c>
      <c r="B66" t="s">
        <v>713</v>
      </c>
      <c r="C66">
        <v>2023</v>
      </c>
      <c r="D66" s="18">
        <v>45206</v>
      </c>
      <c r="E66" s="18">
        <v>45571</v>
      </c>
      <c r="F66" s="18" t="s">
        <v>611</v>
      </c>
      <c r="G66" t="s">
        <v>100</v>
      </c>
      <c r="H66">
        <v>3</v>
      </c>
      <c r="I66">
        <v>3</v>
      </c>
      <c r="J66" s="27">
        <v>59859.92</v>
      </c>
      <c r="K66" s="27">
        <v>4500000</v>
      </c>
    </row>
    <row r="67" spans="1:11" ht="12.75" customHeight="1" x14ac:dyDescent="0.2">
      <c r="A67" t="s">
        <v>714</v>
      </c>
      <c r="B67" t="s">
        <v>715</v>
      </c>
      <c r="C67">
        <v>2023</v>
      </c>
      <c r="D67" s="18">
        <v>45206</v>
      </c>
      <c r="E67" s="18">
        <v>45571</v>
      </c>
      <c r="F67" s="18" t="s">
        <v>611</v>
      </c>
      <c r="G67" t="s">
        <v>101</v>
      </c>
      <c r="H67">
        <v>3</v>
      </c>
      <c r="I67">
        <v>6</v>
      </c>
      <c r="J67" s="27">
        <v>7773.42</v>
      </c>
      <c r="K67" s="27">
        <v>500000</v>
      </c>
    </row>
    <row r="68" spans="1:11" ht="12.75" customHeight="1" x14ac:dyDescent="0.2">
      <c r="A68" t="s">
        <v>716</v>
      </c>
      <c r="B68" t="s">
        <v>717</v>
      </c>
      <c r="C68">
        <v>2023</v>
      </c>
      <c r="D68" s="18">
        <v>45207</v>
      </c>
      <c r="E68" s="18">
        <v>45572</v>
      </c>
      <c r="F68" s="18" t="s">
        <v>608</v>
      </c>
      <c r="G68" t="s">
        <v>99</v>
      </c>
      <c r="H68">
        <v>2</v>
      </c>
      <c r="I68">
        <v>2</v>
      </c>
      <c r="J68" s="27">
        <v>11340.46</v>
      </c>
      <c r="K68" s="27">
        <v>1500000</v>
      </c>
    </row>
    <row r="69" spans="1:11" ht="12.75" customHeight="1" x14ac:dyDescent="0.2">
      <c r="A69" t="s">
        <v>718</v>
      </c>
      <c r="B69" t="s">
        <v>719</v>
      </c>
      <c r="C69">
        <v>2023</v>
      </c>
      <c r="D69" s="18">
        <v>45207</v>
      </c>
      <c r="E69" s="18">
        <v>45572</v>
      </c>
      <c r="F69" s="18" t="s">
        <v>608</v>
      </c>
      <c r="G69" t="s">
        <v>100</v>
      </c>
      <c r="H69">
        <v>1</v>
      </c>
      <c r="I69">
        <v>2</v>
      </c>
      <c r="J69" s="27">
        <v>23890.15</v>
      </c>
      <c r="K69" s="27">
        <v>2000000</v>
      </c>
    </row>
    <row r="70" spans="1:11" ht="12.75" customHeight="1" x14ac:dyDescent="0.2">
      <c r="A70" t="s">
        <v>720</v>
      </c>
      <c r="B70" t="s">
        <v>721</v>
      </c>
      <c r="C70">
        <v>2023</v>
      </c>
      <c r="D70" s="18">
        <v>45207</v>
      </c>
      <c r="E70" s="18">
        <v>45572</v>
      </c>
      <c r="F70" s="18" t="s">
        <v>608</v>
      </c>
      <c r="G70" t="s">
        <v>99</v>
      </c>
      <c r="H70">
        <v>3</v>
      </c>
      <c r="I70">
        <v>3</v>
      </c>
      <c r="J70" s="27">
        <v>37670.01</v>
      </c>
      <c r="K70" s="27">
        <v>5000000</v>
      </c>
    </row>
    <row r="71" spans="1:11" ht="12.75" customHeight="1" x14ac:dyDescent="0.2">
      <c r="A71" t="s">
        <v>722</v>
      </c>
      <c r="B71" t="s">
        <v>723</v>
      </c>
      <c r="C71">
        <v>2023</v>
      </c>
      <c r="D71" s="18">
        <v>45207</v>
      </c>
      <c r="E71" s="18">
        <v>45572</v>
      </c>
      <c r="F71" s="18" t="s">
        <v>611</v>
      </c>
      <c r="G71" t="s">
        <v>99</v>
      </c>
      <c r="H71">
        <v>1</v>
      </c>
      <c r="I71">
        <v>1</v>
      </c>
      <c r="J71" s="27">
        <v>36766.26</v>
      </c>
      <c r="K71" s="27">
        <v>4500000</v>
      </c>
    </row>
    <row r="72" spans="1:11" ht="12.75" customHeight="1" x14ac:dyDescent="0.2">
      <c r="A72" t="s">
        <v>724</v>
      </c>
      <c r="B72" t="s">
        <v>725</v>
      </c>
      <c r="C72">
        <v>2023</v>
      </c>
      <c r="D72" s="18">
        <v>45207</v>
      </c>
      <c r="E72" s="18">
        <v>45572</v>
      </c>
      <c r="F72" s="18" t="s">
        <v>611</v>
      </c>
      <c r="G72" t="s">
        <v>99</v>
      </c>
      <c r="H72">
        <v>1</v>
      </c>
      <c r="I72">
        <v>2</v>
      </c>
      <c r="J72" s="27">
        <v>11573.15</v>
      </c>
      <c r="K72" s="27">
        <v>1500000</v>
      </c>
    </row>
    <row r="73" spans="1:11" ht="12.75" customHeight="1" x14ac:dyDescent="0.2">
      <c r="A73" t="s">
        <v>726</v>
      </c>
      <c r="B73" t="s">
        <v>727</v>
      </c>
      <c r="C73">
        <v>2023</v>
      </c>
      <c r="D73" s="18">
        <v>45208</v>
      </c>
      <c r="E73" s="18">
        <v>45573</v>
      </c>
      <c r="F73" s="18" t="s">
        <v>608</v>
      </c>
      <c r="G73" t="s">
        <v>100</v>
      </c>
      <c r="H73">
        <v>1</v>
      </c>
      <c r="I73">
        <v>1</v>
      </c>
      <c r="J73" s="27">
        <v>114816.36</v>
      </c>
      <c r="K73" s="27">
        <v>10000000</v>
      </c>
    </row>
    <row r="74" spans="1:11" ht="12.75" customHeight="1" x14ac:dyDescent="0.2">
      <c r="A74" t="s">
        <v>728</v>
      </c>
      <c r="B74" t="s">
        <v>729</v>
      </c>
      <c r="C74">
        <v>2023</v>
      </c>
      <c r="D74" s="18">
        <v>45208</v>
      </c>
      <c r="E74" s="18">
        <v>45573</v>
      </c>
      <c r="F74" s="18" t="s">
        <v>608</v>
      </c>
      <c r="G74" t="s">
        <v>102</v>
      </c>
      <c r="H74">
        <v>2</v>
      </c>
      <c r="I74">
        <v>4</v>
      </c>
      <c r="J74" s="27">
        <v>10323.48</v>
      </c>
      <c r="K74" s="27">
        <v>1500000</v>
      </c>
    </row>
    <row r="75" spans="1:11" ht="12.75" customHeight="1" x14ac:dyDescent="0.2">
      <c r="A75" t="s">
        <v>730</v>
      </c>
      <c r="B75" t="s">
        <v>731</v>
      </c>
      <c r="C75">
        <v>2023</v>
      </c>
      <c r="D75" s="18">
        <v>45208</v>
      </c>
      <c r="E75" s="18">
        <v>45573</v>
      </c>
      <c r="F75" s="18" t="s">
        <v>608</v>
      </c>
      <c r="G75" t="s">
        <v>101</v>
      </c>
      <c r="H75">
        <v>3</v>
      </c>
      <c r="I75">
        <v>3</v>
      </c>
      <c r="J75" s="27">
        <v>8003.33</v>
      </c>
      <c r="K75" s="27">
        <v>500000</v>
      </c>
    </row>
    <row r="76" spans="1:11" ht="12.75" customHeight="1" x14ac:dyDescent="0.2">
      <c r="A76" t="s">
        <v>732</v>
      </c>
      <c r="B76" t="s">
        <v>733</v>
      </c>
      <c r="C76">
        <v>2023</v>
      </c>
      <c r="D76" s="18">
        <v>45208</v>
      </c>
      <c r="E76" s="18">
        <v>45573</v>
      </c>
      <c r="F76" s="18" t="s">
        <v>608</v>
      </c>
      <c r="G76" t="s">
        <v>99</v>
      </c>
      <c r="H76">
        <v>2</v>
      </c>
      <c r="I76">
        <v>2</v>
      </c>
      <c r="J76" s="27">
        <v>41640.720000000001</v>
      </c>
      <c r="K76" s="27">
        <v>5000000</v>
      </c>
    </row>
    <row r="77" spans="1:11" ht="12.75" customHeight="1" x14ac:dyDescent="0.2">
      <c r="A77" t="s">
        <v>734</v>
      </c>
      <c r="B77" t="s">
        <v>735</v>
      </c>
      <c r="C77">
        <v>2023</v>
      </c>
      <c r="D77" s="18">
        <v>45208</v>
      </c>
      <c r="E77" s="18">
        <v>45573</v>
      </c>
      <c r="F77" s="18" t="s">
        <v>608</v>
      </c>
      <c r="G77" t="s">
        <v>101</v>
      </c>
      <c r="H77">
        <v>1</v>
      </c>
      <c r="I77">
        <v>2</v>
      </c>
      <c r="J77" s="27">
        <v>144453.51999999999</v>
      </c>
      <c r="K77" s="27">
        <v>10000000</v>
      </c>
    </row>
    <row r="78" spans="1:11" ht="12.75" customHeight="1" x14ac:dyDescent="0.2">
      <c r="A78" t="s">
        <v>736</v>
      </c>
      <c r="B78" t="s">
        <v>737</v>
      </c>
      <c r="C78">
        <v>2023</v>
      </c>
      <c r="D78" s="18">
        <v>45208</v>
      </c>
      <c r="E78" s="18">
        <v>45573</v>
      </c>
      <c r="F78" s="18" t="s">
        <v>611</v>
      </c>
      <c r="G78" t="s">
        <v>101</v>
      </c>
      <c r="H78">
        <v>3</v>
      </c>
      <c r="I78">
        <v>6</v>
      </c>
      <c r="J78" s="27">
        <v>50988.17</v>
      </c>
      <c r="K78" s="27">
        <v>3500000</v>
      </c>
    </row>
    <row r="79" spans="1:11" ht="12.75" customHeight="1" x14ac:dyDescent="0.2">
      <c r="A79" t="s">
        <v>738</v>
      </c>
      <c r="B79" t="s">
        <v>739</v>
      </c>
      <c r="C79">
        <v>2023</v>
      </c>
      <c r="D79" s="18">
        <v>45208</v>
      </c>
      <c r="E79" s="18">
        <v>45573</v>
      </c>
      <c r="F79" s="18" t="s">
        <v>611</v>
      </c>
      <c r="G79" t="s">
        <v>99</v>
      </c>
      <c r="H79">
        <v>3</v>
      </c>
      <c r="I79">
        <v>3</v>
      </c>
      <c r="J79" s="27">
        <v>31586.68</v>
      </c>
      <c r="K79" s="27">
        <v>4000000</v>
      </c>
    </row>
    <row r="80" spans="1:11" ht="12.75" customHeight="1" x14ac:dyDescent="0.2">
      <c r="A80" t="s">
        <v>740</v>
      </c>
      <c r="B80" t="s">
        <v>741</v>
      </c>
      <c r="C80">
        <v>2023</v>
      </c>
      <c r="D80" s="18">
        <v>45208</v>
      </c>
      <c r="E80" s="18">
        <v>45573</v>
      </c>
      <c r="F80" s="18" t="s">
        <v>611</v>
      </c>
      <c r="G80" t="s">
        <v>100</v>
      </c>
      <c r="H80">
        <v>1</v>
      </c>
      <c r="I80">
        <v>1</v>
      </c>
      <c r="J80" s="27">
        <v>51291.040000000001</v>
      </c>
      <c r="K80" s="27">
        <v>4000000</v>
      </c>
    </row>
    <row r="81" spans="1:11" ht="12.75" customHeight="1" x14ac:dyDescent="0.2">
      <c r="A81" t="s">
        <v>742</v>
      </c>
      <c r="B81" t="s">
        <v>743</v>
      </c>
      <c r="C81">
        <v>2023</v>
      </c>
      <c r="D81" s="18">
        <v>45208</v>
      </c>
      <c r="E81" s="18">
        <v>45573</v>
      </c>
      <c r="F81" s="18" t="s">
        <v>611</v>
      </c>
      <c r="G81" t="s">
        <v>99</v>
      </c>
      <c r="H81">
        <v>1</v>
      </c>
      <c r="I81">
        <v>1</v>
      </c>
      <c r="J81" s="27">
        <v>81544.41</v>
      </c>
      <c r="K81" s="27">
        <v>10000000</v>
      </c>
    </row>
    <row r="82" spans="1:11" ht="12.75" customHeight="1" x14ac:dyDescent="0.2">
      <c r="A82" t="s">
        <v>744</v>
      </c>
      <c r="B82" t="s">
        <v>745</v>
      </c>
      <c r="C82">
        <v>2023</v>
      </c>
      <c r="D82" s="18">
        <v>45208</v>
      </c>
      <c r="E82" s="18">
        <v>45573</v>
      </c>
      <c r="F82" s="18" t="s">
        <v>611</v>
      </c>
      <c r="G82" t="s">
        <v>100</v>
      </c>
      <c r="H82">
        <v>1</v>
      </c>
      <c r="I82">
        <v>2</v>
      </c>
      <c r="J82" s="27">
        <v>64805.24</v>
      </c>
      <c r="K82" s="27">
        <v>5000000</v>
      </c>
    </row>
    <row r="83" spans="1:11" ht="12.75" customHeight="1" x14ac:dyDescent="0.2">
      <c r="A83" t="s">
        <v>746</v>
      </c>
      <c r="B83" t="s">
        <v>747</v>
      </c>
      <c r="C83">
        <v>2023</v>
      </c>
      <c r="D83" s="18">
        <v>45208</v>
      </c>
      <c r="E83" s="18">
        <v>45573</v>
      </c>
      <c r="F83" s="18" t="s">
        <v>611</v>
      </c>
      <c r="G83" t="s">
        <v>101</v>
      </c>
      <c r="H83">
        <v>1</v>
      </c>
      <c r="I83">
        <v>1</v>
      </c>
      <c r="J83" s="27">
        <v>25053.3</v>
      </c>
      <c r="K83" s="27">
        <v>1500000</v>
      </c>
    </row>
    <row r="84" spans="1:11" ht="12.75" customHeight="1" x14ac:dyDescent="0.2">
      <c r="A84" t="s">
        <v>748</v>
      </c>
      <c r="B84" t="s">
        <v>749</v>
      </c>
      <c r="C84">
        <v>2023</v>
      </c>
      <c r="D84" s="18">
        <v>45208</v>
      </c>
      <c r="E84" s="18">
        <v>45573</v>
      </c>
      <c r="F84" s="18" t="s">
        <v>611</v>
      </c>
      <c r="G84" t="s">
        <v>99</v>
      </c>
      <c r="H84">
        <v>2</v>
      </c>
      <c r="I84">
        <v>4</v>
      </c>
      <c r="J84" s="27">
        <v>82989.13</v>
      </c>
      <c r="K84" s="27">
        <v>10000000</v>
      </c>
    </row>
    <row r="85" spans="1:11" ht="12.75" customHeight="1" x14ac:dyDescent="0.2">
      <c r="A85" t="s">
        <v>750</v>
      </c>
      <c r="B85" t="s">
        <v>751</v>
      </c>
      <c r="C85">
        <v>2023</v>
      </c>
      <c r="D85" s="18">
        <v>45208</v>
      </c>
      <c r="E85" s="18">
        <v>45573</v>
      </c>
      <c r="F85" s="18" t="s">
        <v>611</v>
      </c>
      <c r="G85" t="s">
        <v>99</v>
      </c>
      <c r="H85">
        <v>3</v>
      </c>
      <c r="I85">
        <v>6</v>
      </c>
      <c r="J85" s="27">
        <v>37949.620000000003</v>
      </c>
      <c r="K85" s="27">
        <v>5000000</v>
      </c>
    </row>
    <row r="86" spans="1:11" ht="12.75" customHeight="1" x14ac:dyDescent="0.2">
      <c r="A86" t="s">
        <v>752</v>
      </c>
      <c r="B86" t="s">
        <v>753</v>
      </c>
      <c r="C86">
        <v>2023</v>
      </c>
      <c r="D86" s="18">
        <v>45208</v>
      </c>
      <c r="E86" s="18">
        <v>45573</v>
      </c>
      <c r="F86" s="18" t="s">
        <v>611</v>
      </c>
      <c r="G86" t="s">
        <v>99</v>
      </c>
      <c r="H86">
        <v>2</v>
      </c>
      <c r="I86">
        <v>2</v>
      </c>
      <c r="J86" s="27">
        <v>17578.88</v>
      </c>
      <c r="K86" s="27">
        <v>2000000</v>
      </c>
    </row>
    <row r="87" spans="1:11" ht="12.75" customHeight="1" x14ac:dyDescent="0.2">
      <c r="A87" t="s">
        <v>754</v>
      </c>
      <c r="B87" t="s">
        <v>755</v>
      </c>
      <c r="C87">
        <v>2023</v>
      </c>
      <c r="D87" s="18">
        <v>45209</v>
      </c>
      <c r="E87" s="18">
        <v>45574</v>
      </c>
      <c r="F87" s="18" t="s">
        <v>608</v>
      </c>
      <c r="G87" t="s">
        <v>100</v>
      </c>
      <c r="H87">
        <v>2</v>
      </c>
      <c r="I87">
        <v>4</v>
      </c>
      <c r="J87" s="27">
        <v>65552.7</v>
      </c>
      <c r="K87" s="27">
        <v>5000000</v>
      </c>
    </row>
    <row r="88" spans="1:11" ht="12.75" customHeight="1" x14ac:dyDescent="0.2">
      <c r="A88" t="s">
        <v>756</v>
      </c>
      <c r="B88" t="s">
        <v>757</v>
      </c>
      <c r="C88">
        <v>2023</v>
      </c>
      <c r="D88" s="18">
        <v>45209</v>
      </c>
      <c r="E88" s="18">
        <v>45574</v>
      </c>
      <c r="F88" s="18" t="s">
        <v>608</v>
      </c>
      <c r="G88" t="s">
        <v>100</v>
      </c>
      <c r="H88">
        <v>3</v>
      </c>
      <c r="I88">
        <v>6</v>
      </c>
      <c r="J88" s="27">
        <v>40049.910000000003</v>
      </c>
      <c r="K88" s="27">
        <v>3500000</v>
      </c>
    </row>
    <row r="89" spans="1:11" ht="12.75" customHeight="1" x14ac:dyDescent="0.2">
      <c r="A89" t="s">
        <v>758</v>
      </c>
      <c r="B89" t="s">
        <v>759</v>
      </c>
      <c r="C89">
        <v>2023</v>
      </c>
      <c r="D89" s="18">
        <v>45209</v>
      </c>
      <c r="E89" s="18">
        <v>45574</v>
      </c>
      <c r="F89" s="18" t="s">
        <v>608</v>
      </c>
      <c r="G89" t="s">
        <v>101</v>
      </c>
      <c r="H89">
        <v>1</v>
      </c>
      <c r="I89">
        <v>1</v>
      </c>
      <c r="J89" s="27">
        <v>166278.25</v>
      </c>
      <c r="K89" s="27">
        <v>10000000</v>
      </c>
    </row>
    <row r="90" spans="1:11" ht="12.75" customHeight="1" x14ac:dyDescent="0.2">
      <c r="A90" t="s">
        <v>760</v>
      </c>
      <c r="B90" t="s">
        <v>761</v>
      </c>
      <c r="C90">
        <v>2023</v>
      </c>
      <c r="D90" s="18">
        <v>45209</v>
      </c>
      <c r="E90" s="18">
        <v>45574</v>
      </c>
      <c r="F90" s="18" t="s">
        <v>611</v>
      </c>
      <c r="G90" t="s">
        <v>100</v>
      </c>
      <c r="H90">
        <v>1</v>
      </c>
      <c r="I90">
        <v>1</v>
      </c>
      <c r="J90" s="27">
        <v>12849.44</v>
      </c>
      <c r="K90" s="27">
        <v>1000000</v>
      </c>
    </row>
    <row r="91" spans="1:11" ht="12.75" customHeight="1" x14ac:dyDescent="0.2">
      <c r="A91" t="s">
        <v>762</v>
      </c>
      <c r="B91" t="s">
        <v>763</v>
      </c>
      <c r="C91">
        <v>2023</v>
      </c>
      <c r="D91" s="18">
        <v>45209</v>
      </c>
      <c r="E91" s="18">
        <v>45574</v>
      </c>
      <c r="F91" s="18" t="s">
        <v>611</v>
      </c>
      <c r="G91" t="s">
        <v>102</v>
      </c>
      <c r="H91">
        <v>1</v>
      </c>
      <c r="I91">
        <v>2</v>
      </c>
      <c r="J91" s="27">
        <v>77587.92</v>
      </c>
      <c r="K91" s="27">
        <v>10000000</v>
      </c>
    </row>
    <row r="92" spans="1:11" ht="12.75" customHeight="1" x14ac:dyDescent="0.2">
      <c r="A92" t="s">
        <v>764</v>
      </c>
      <c r="B92" t="s">
        <v>765</v>
      </c>
      <c r="C92">
        <v>2023</v>
      </c>
      <c r="D92" s="18">
        <v>45209</v>
      </c>
      <c r="E92" s="18">
        <v>45574</v>
      </c>
      <c r="F92" s="18" t="s">
        <v>611</v>
      </c>
      <c r="G92" t="s">
        <v>100</v>
      </c>
      <c r="H92">
        <v>1</v>
      </c>
      <c r="I92">
        <v>1</v>
      </c>
      <c r="J92" s="27">
        <v>48062</v>
      </c>
      <c r="K92" s="27">
        <v>4000000</v>
      </c>
    </row>
    <row r="93" spans="1:11" ht="12.75" customHeight="1" x14ac:dyDescent="0.2">
      <c r="A93" t="s">
        <v>766</v>
      </c>
      <c r="B93" t="s">
        <v>767</v>
      </c>
      <c r="C93">
        <v>2023</v>
      </c>
      <c r="D93" s="18">
        <v>45209</v>
      </c>
      <c r="E93" s="18">
        <v>45574</v>
      </c>
      <c r="F93" s="18" t="s">
        <v>611</v>
      </c>
      <c r="G93" t="s">
        <v>99</v>
      </c>
      <c r="H93">
        <v>1</v>
      </c>
      <c r="I93">
        <v>2</v>
      </c>
      <c r="J93" s="27">
        <v>12309.6</v>
      </c>
      <c r="K93" s="27">
        <v>1500000</v>
      </c>
    </row>
    <row r="94" spans="1:11" ht="12.75" customHeight="1" x14ac:dyDescent="0.2">
      <c r="A94" t="s">
        <v>768</v>
      </c>
      <c r="B94" t="s">
        <v>769</v>
      </c>
      <c r="C94">
        <v>2023</v>
      </c>
      <c r="D94" s="18">
        <v>45210</v>
      </c>
      <c r="E94" s="18">
        <v>45575</v>
      </c>
      <c r="F94" s="18" t="s">
        <v>608</v>
      </c>
      <c r="G94" t="s">
        <v>102</v>
      </c>
      <c r="H94">
        <v>3</v>
      </c>
      <c r="I94">
        <v>3</v>
      </c>
      <c r="J94" s="27">
        <v>67947.38</v>
      </c>
      <c r="K94" s="27">
        <v>10000000</v>
      </c>
    </row>
    <row r="95" spans="1:11" ht="12.75" customHeight="1" x14ac:dyDescent="0.2">
      <c r="A95" t="s">
        <v>770</v>
      </c>
      <c r="B95" t="s">
        <v>771</v>
      </c>
      <c r="C95">
        <v>2023</v>
      </c>
      <c r="D95" s="18">
        <v>45210</v>
      </c>
      <c r="E95" s="18">
        <v>45575</v>
      </c>
      <c r="F95" s="18" t="s">
        <v>608</v>
      </c>
      <c r="G95" t="s">
        <v>101</v>
      </c>
      <c r="H95">
        <v>1</v>
      </c>
      <c r="I95">
        <v>1</v>
      </c>
      <c r="J95" s="27">
        <v>33016.67</v>
      </c>
      <c r="K95" s="27">
        <v>2000000</v>
      </c>
    </row>
    <row r="96" spans="1:11" ht="12.75" customHeight="1" x14ac:dyDescent="0.2">
      <c r="A96" t="s">
        <v>772</v>
      </c>
      <c r="B96" t="s">
        <v>773</v>
      </c>
      <c r="C96">
        <v>2023</v>
      </c>
      <c r="D96" s="18">
        <v>45210</v>
      </c>
      <c r="E96" s="18">
        <v>45575</v>
      </c>
      <c r="F96" s="18" t="s">
        <v>611</v>
      </c>
      <c r="G96" t="s">
        <v>99</v>
      </c>
      <c r="H96">
        <v>2</v>
      </c>
      <c r="I96">
        <v>2</v>
      </c>
      <c r="J96" s="27">
        <v>43097.2</v>
      </c>
      <c r="K96" s="27">
        <v>5000000</v>
      </c>
    </row>
    <row r="97" spans="1:11" ht="12.75" customHeight="1" x14ac:dyDescent="0.2">
      <c r="A97" t="s">
        <v>774</v>
      </c>
      <c r="B97" t="s">
        <v>775</v>
      </c>
      <c r="C97">
        <v>2023</v>
      </c>
      <c r="D97" s="18">
        <v>45210</v>
      </c>
      <c r="E97" s="18">
        <v>45575</v>
      </c>
      <c r="F97" s="18" t="s">
        <v>611</v>
      </c>
      <c r="G97" t="s">
        <v>101</v>
      </c>
      <c r="H97">
        <v>1</v>
      </c>
      <c r="I97">
        <v>1</v>
      </c>
      <c r="J97" s="27">
        <v>147348.46</v>
      </c>
      <c r="K97" s="27">
        <v>10000000</v>
      </c>
    </row>
    <row r="98" spans="1:11" ht="12.75" customHeight="1" x14ac:dyDescent="0.2">
      <c r="A98" t="s">
        <v>776</v>
      </c>
      <c r="B98" t="s">
        <v>777</v>
      </c>
      <c r="C98">
        <v>2023</v>
      </c>
      <c r="D98" s="18">
        <v>45210</v>
      </c>
      <c r="E98" s="18">
        <v>45575</v>
      </c>
      <c r="F98" s="18" t="s">
        <v>611</v>
      </c>
      <c r="G98" t="s">
        <v>100</v>
      </c>
      <c r="H98">
        <v>3</v>
      </c>
      <c r="I98">
        <v>3</v>
      </c>
      <c r="J98" s="27">
        <v>12073.53</v>
      </c>
      <c r="K98" s="27">
        <v>1000000</v>
      </c>
    </row>
    <row r="99" spans="1:11" ht="12.75" customHeight="1" x14ac:dyDescent="0.2">
      <c r="A99" t="s">
        <v>778</v>
      </c>
      <c r="B99" t="s">
        <v>779</v>
      </c>
      <c r="C99">
        <v>2023</v>
      </c>
      <c r="D99" s="18">
        <v>45211</v>
      </c>
      <c r="E99" s="18">
        <v>45576</v>
      </c>
      <c r="F99" s="18" t="s">
        <v>608</v>
      </c>
      <c r="G99" t="s">
        <v>99</v>
      </c>
      <c r="H99">
        <v>3</v>
      </c>
      <c r="I99">
        <v>3</v>
      </c>
      <c r="J99" s="27">
        <v>88871.18</v>
      </c>
      <c r="K99" s="27">
        <v>10000000</v>
      </c>
    </row>
    <row r="100" spans="1:11" ht="12.75" customHeight="1" x14ac:dyDescent="0.2">
      <c r="A100" t="s">
        <v>780</v>
      </c>
      <c r="B100" t="s">
        <v>781</v>
      </c>
      <c r="C100">
        <v>2023</v>
      </c>
      <c r="D100" s="18">
        <v>45211</v>
      </c>
      <c r="E100" s="18">
        <v>45576</v>
      </c>
      <c r="F100" s="18" t="s">
        <v>611</v>
      </c>
      <c r="G100" t="s">
        <v>102</v>
      </c>
      <c r="H100">
        <v>3</v>
      </c>
      <c r="I100">
        <v>3</v>
      </c>
      <c r="J100" s="27">
        <v>34552.68</v>
      </c>
      <c r="K100" s="27">
        <v>5000000</v>
      </c>
    </row>
    <row r="101" spans="1:11" ht="12.75" customHeight="1" x14ac:dyDescent="0.2">
      <c r="A101" t="s">
        <v>782</v>
      </c>
      <c r="B101" t="s">
        <v>783</v>
      </c>
      <c r="C101">
        <v>2023</v>
      </c>
      <c r="D101" s="18">
        <v>45211</v>
      </c>
      <c r="E101" s="18">
        <v>45576</v>
      </c>
      <c r="F101" s="18" t="s">
        <v>611</v>
      </c>
      <c r="G101" t="s">
        <v>99</v>
      </c>
      <c r="H101">
        <v>1</v>
      </c>
      <c r="I101">
        <v>1</v>
      </c>
      <c r="J101" s="27">
        <v>22796.19</v>
      </c>
      <c r="K101" s="27">
        <v>3000000</v>
      </c>
    </row>
    <row r="102" spans="1:11" ht="12.75" customHeight="1" x14ac:dyDescent="0.2">
      <c r="A102" t="s">
        <v>784</v>
      </c>
      <c r="B102" t="s">
        <v>785</v>
      </c>
      <c r="C102">
        <v>2023</v>
      </c>
      <c r="D102" s="18">
        <v>45211</v>
      </c>
      <c r="E102" s="18">
        <v>45576</v>
      </c>
      <c r="F102" s="18" t="s">
        <v>611</v>
      </c>
      <c r="G102" t="s">
        <v>100</v>
      </c>
      <c r="H102">
        <v>1</v>
      </c>
      <c r="I102">
        <v>2</v>
      </c>
      <c r="J102" s="27">
        <v>22677.68</v>
      </c>
      <c r="K102" s="27">
        <v>2000000</v>
      </c>
    </row>
    <row r="103" spans="1:11" ht="12.75" customHeight="1" x14ac:dyDescent="0.2">
      <c r="A103" t="s">
        <v>786</v>
      </c>
      <c r="B103" t="s">
        <v>787</v>
      </c>
      <c r="C103">
        <v>2023</v>
      </c>
      <c r="D103" s="18">
        <v>45211</v>
      </c>
      <c r="E103" s="18">
        <v>45576</v>
      </c>
      <c r="F103" s="18" t="s">
        <v>611</v>
      </c>
      <c r="G103" t="s">
        <v>102</v>
      </c>
      <c r="H103">
        <v>3</v>
      </c>
      <c r="I103">
        <v>3</v>
      </c>
      <c r="J103" s="27">
        <v>6733.05</v>
      </c>
      <c r="K103" s="27">
        <v>1000000</v>
      </c>
    </row>
    <row r="104" spans="1:11" ht="12.75" customHeight="1" x14ac:dyDescent="0.2">
      <c r="A104" t="s">
        <v>788</v>
      </c>
      <c r="B104" t="s">
        <v>789</v>
      </c>
      <c r="C104">
        <v>2023</v>
      </c>
      <c r="D104" s="18">
        <v>45211</v>
      </c>
      <c r="E104" s="18">
        <v>45576</v>
      </c>
      <c r="F104" s="18" t="s">
        <v>611</v>
      </c>
      <c r="G104" t="s">
        <v>100</v>
      </c>
      <c r="H104">
        <v>1</v>
      </c>
      <c r="I104">
        <v>1</v>
      </c>
      <c r="J104" s="27">
        <v>120485.63</v>
      </c>
      <c r="K104" s="27">
        <v>10000000</v>
      </c>
    </row>
    <row r="105" spans="1:11" ht="12.75" customHeight="1" x14ac:dyDescent="0.2">
      <c r="A105" t="s">
        <v>790</v>
      </c>
      <c r="B105" t="s">
        <v>791</v>
      </c>
      <c r="C105">
        <v>2023</v>
      </c>
      <c r="D105" s="18">
        <v>45211</v>
      </c>
      <c r="E105" s="18">
        <v>45576</v>
      </c>
      <c r="F105" s="18" t="s">
        <v>611</v>
      </c>
      <c r="G105" t="s">
        <v>101</v>
      </c>
      <c r="H105">
        <v>1</v>
      </c>
      <c r="I105">
        <v>2</v>
      </c>
      <c r="J105" s="27">
        <v>74148.87</v>
      </c>
      <c r="K105" s="27">
        <v>4500000</v>
      </c>
    </row>
    <row r="106" spans="1:11" ht="12.75" customHeight="1" x14ac:dyDescent="0.2">
      <c r="A106" t="s">
        <v>792</v>
      </c>
      <c r="B106" t="s">
        <v>793</v>
      </c>
      <c r="C106">
        <v>2023</v>
      </c>
      <c r="D106" s="18">
        <v>45211</v>
      </c>
      <c r="E106" s="18">
        <v>45576</v>
      </c>
      <c r="F106" s="18" t="s">
        <v>611</v>
      </c>
      <c r="G106" t="s">
        <v>101</v>
      </c>
      <c r="H106">
        <v>1</v>
      </c>
      <c r="I106">
        <v>2</v>
      </c>
      <c r="J106" s="27">
        <v>152306.51</v>
      </c>
      <c r="K106" s="27">
        <v>10000000</v>
      </c>
    </row>
    <row r="107" spans="1:11" ht="12.75" customHeight="1" x14ac:dyDescent="0.2">
      <c r="A107" t="s">
        <v>794</v>
      </c>
      <c r="B107" t="s">
        <v>795</v>
      </c>
      <c r="C107">
        <v>2023</v>
      </c>
      <c r="D107" s="18">
        <v>45211</v>
      </c>
      <c r="E107" s="18">
        <v>45576</v>
      </c>
      <c r="F107" s="18" t="s">
        <v>611</v>
      </c>
      <c r="G107" t="s">
        <v>100</v>
      </c>
      <c r="H107">
        <v>1</v>
      </c>
      <c r="I107">
        <v>2</v>
      </c>
      <c r="J107" s="27">
        <v>16772.18</v>
      </c>
      <c r="K107" s="27">
        <v>1500000</v>
      </c>
    </row>
    <row r="108" spans="1:11" ht="12.75" customHeight="1" x14ac:dyDescent="0.2">
      <c r="A108" t="s">
        <v>796</v>
      </c>
      <c r="B108" t="s">
        <v>797</v>
      </c>
      <c r="C108">
        <v>2023</v>
      </c>
      <c r="D108" s="18">
        <v>45212</v>
      </c>
      <c r="E108" s="18">
        <v>45577</v>
      </c>
      <c r="F108" s="18" t="s">
        <v>608</v>
      </c>
      <c r="G108" t="s">
        <v>101</v>
      </c>
      <c r="H108">
        <v>1</v>
      </c>
      <c r="I108">
        <v>1</v>
      </c>
      <c r="J108" s="27">
        <v>74490.52</v>
      </c>
      <c r="K108" s="27">
        <v>5000000</v>
      </c>
    </row>
    <row r="109" spans="1:11" ht="12.75" customHeight="1" x14ac:dyDescent="0.2">
      <c r="A109" t="s">
        <v>798</v>
      </c>
      <c r="B109" t="s">
        <v>799</v>
      </c>
      <c r="C109">
        <v>2023</v>
      </c>
      <c r="D109" s="18">
        <v>45212</v>
      </c>
      <c r="E109" s="18">
        <v>45577</v>
      </c>
      <c r="F109" s="18" t="s">
        <v>611</v>
      </c>
      <c r="G109" t="s">
        <v>100</v>
      </c>
      <c r="H109">
        <v>2</v>
      </c>
      <c r="I109">
        <v>4</v>
      </c>
      <c r="J109" s="27">
        <v>120131.46</v>
      </c>
      <c r="K109" s="27">
        <v>10000000</v>
      </c>
    </row>
    <row r="110" spans="1:11" ht="12.75" customHeight="1" x14ac:dyDescent="0.2">
      <c r="A110" t="s">
        <v>800</v>
      </c>
      <c r="B110" t="s">
        <v>801</v>
      </c>
      <c r="C110">
        <v>2023</v>
      </c>
      <c r="D110" s="18">
        <v>45212</v>
      </c>
      <c r="E110" s="18">
        <v>45577</v>
      </c>
      <c r="F110" s="18" t="s">
        <v>611</v>
      </c>
      <c r="G110" t="s">
        <v>99</v>
      </c>
      <c r="H110">
        <v>2</v>
      </c>
      <c r="I110">
        <v>4</v>
      </c>
      <c r="J110" s="27">
        <v>45379.34</v>
      </c>
      <c r="K110" s="27">
        <v>5000000</v>
      </c>
    </row>
    <row r="111" spans="1:11" ht="12.75" customHeight="1" x14ac:dyDescent="0.2">
      <c r="A111" t="s">
        <v>802</v>
      </c>
      <c r="B111" t="s">
        <v>803</v>
      </c>
      <c r="C111">
        <v>2023</v>
      </c>
      <c r="D111" s="18">
        <v>45212</v>
      </c>
      <c r="E111" s="18">
        <v>45577</v>
      </c>
      <c r="F111" s="18" t="s">
        <v>611</v>
      </c>
      <c r="G111" t="s">
        <v>101</v>
      </c>
      <c r="H111">
        <v>1</v>
      </c>
      <c r="I111">
        <v>1</v>
      </c>
      <c r="J111" s="27">
        <v>28331.45</v>
      </c>
      <c r="K111" s="27">
        <v>2000000</v>
      </c>
    </row>
    <row r="112" spans="1:11" ht="12.75" customHeight="1" x14ac:dyDescent="0.2">
      <c r="A112" t="s">
        <v>804</v>
      </c>
      <c r="B112" t="s">
        <v>805</v>
      </c>
      <c r="C112">
        <v>2023</v>
      </c>
      <c r="D112" s="18">
        <v>45212</v>
      </c>
      <c r="E112" s="18">
        <v>45577</v>
      </c>
      <c r="F112" s="18" t="s">
        <v>611</v>
      </c>
      <c r="G112" t="s">
        <v>102</v>
      </c>
      <c r="H112">
        <v>1</v>
      </c>
      <c r="I112">
        <v>2</v>
      </c>
      <c r="J112" s="27">
        <v>67449.259999999995</v>
      </c>
      <c r="K112" s="27">
        <v>10000000</v>
      </c>
    </row>
    <row r="113" spans="1:11" ht="12.75" customHeight="1" x14ac:dyDescent="0.2">
      <c r="A113" t="s">
        <v>806</v>
      </c>
      <c r="B113" t="s">
        <v>807</v>
      </c>
      <c r="C113">
        <v>2023</v>
      </c>
      <c r="D113" s="18">
        <v>45213</v>
      </c>
      <c r="E113" s="18">
        <v>45578</v>
      </c>
      <c r="F113" s="18" t="s">
        <v>608</v>
      </c>
      <c r="G113" t="s">
        <v>101</v>
      </c>
      <c r="H113">
        <v>1</v>
      </c>
      <c r="I113">
        <v>1</v>
      </c>
      <c r="J113" s="27">
        <v>31490.99</v>
      </c>
      <c r="K113" s="27">
        <v>2000000</v>
      </c>
    </row>
    <row r="114" spans="1:11" ht="12.75" customHeight="1" x14ac:dyDescent="0.2">
      <c r="A114" t="s">
        <v>808</v>
      </c>
      <c r="B114" t="s">
        <v>809</v>
      </c>
      <c r="C114">
        <v>2023</v>
      </c>
      <c r="D114" s="18">
        <v>45213</v>
      </c>
      <c r="E114" s="18">
        <v>45578</v>
      </c>
      <c r="F114" s="18" t="s">
        <v>608</v>
      </c>
      <c r="G114" t="s">
        <v>100</v>
      </c>
      <c r="H114">
        <v>1</v>
      </c>
      <c r="I114">
        <v>1</v>
      </c>
      <c r="J114" s="27">
        <v>54089.64</v>
      </c>
      <c r="K114" s="27">
        <v>4500000</v>
      </c>
    </row>
    <row r="115" spans="1:11" ht="12.75" customHeight="1" x14ac:dyDescent="0.2">
      <c r="A115" t="s">
        <v>810</v>
      </c>
      <c r="B115" t="s">
        <v>811</v>
      </c>
      <c r="C115">
        <v>2023</v>
      </c>
      <c r="D115" s="18">
        <v>45213</v>
      </c>
      <c r="E115" s="18">
        <v>45578</v>
      </c>
      <c r="F115" s="18" t="s">
        <v>608</v>
      </c>
      <c r="G115" t="s">
        <v>100</v>
      </c>
      <c r="H115">
        <v>1</v>
      </c>
      <c r="I115">
        <v>2</v>
      </c>
      <c r="J115" s="27">
        <v>32607.34</v>
      </c>
      <c r="K115" s="27">
        <v>2500000</v>
      </c>
    </row>
    <row r="116" spans="1:11" ht="12.75" customHeight="1" x14ac:dyDescent="0.2">
      <c r="A116" t="s">
        <v>812</v>
      </c>
      <c r="B116" t="s">
        <v>813</v>
      </c>
      <c r="C116">
        <v>2023</v>
      </c>
      <c r="D116" s="18">
        <v>45213</v>
      </c>
      <c r="E116" s="18">
        <v>45578</v>
      </c>
      <c r="F116" s="18" t="s">
        <v>608</v>
      </c>
      <c r="G116" t="s">
        <v>99</v>
      </c>
      <c r="H116">
        <v>1</v>
      </c>
      <c r="I116">
        <v>2</v>
      </c>
      <c r="J116" s="27">
        <v>32976.21</v>
      </c>
      <c r="K116" s="27">
        <v>4000000</v>
      </c>
    </row>
    <row r="117" spans="1:11" ht="12.75" customHeight="1" x14ac:dyDescent="0.2">
      <c r="A117" t="s">
        <v>814</v>
      </c>
      <c r="B117" t="s">
        <v>815</v>
      </c>
      <c r="C117">
        <v>2023</v>
      </c>
      <c r="D117" s="18">
        <v>45213</v>
      </c>
      <c r="E117" s="18">
        <v>45578</v>
      </c>
      <c r="F117" s="18" t="s">
        <v>611</v>
      </c>
      <c r="G117" t="s">
        <v>101</v>
      </c>
      <c r="H117">
        <v>3</v>
      </c>
      <c r="I117">
        <v>6</v>
      </c>
      <c r="J117" s="27">
        <v>78419.09</v>
      </c>
      <c r="K117" s="27">
        <v>5000000</v>
      </c>
    </row>
    <row r="118" spans="1:11" ht="12.75" customHeight="1" x14ac:dyDescent="0.2">
      <c r="A118" t="s">
        <v>816</v>
      </c>
      <c r="B118" t="s">
        <v>817</v>
      </c>
      <c r="C118">
        <v>2023</v>
      </c>
      <c r="D118" s="18">
        <v>45213</v>
      </c>
      <c r="E118" s="18">
        <v>45578</v>
      </c>
      <c r="F118" s="18" t="s">
        <v>611</v>
      </c>
      <c r="G118" t="s">
        <v>101</v>
      </c>
      <c r="H118">
        <v>1</v>
      </c>
      <c r="I118">
        <v>2</v>
      </c>
      <c r="J118" s="27">
        <v>32869.339999999997</v>
      </c>
      <c r="K118" s="27">
        <v>2000000</v>
      </c>
    </row>
    <row r="119" spans="1:11" ht="12.75" customHeight="1" x14ac:dyDescent="0.2">
      <c r="A119" t="s">
        <v>818</v>
      </c>
      <c r="B119" t="s">
        <v>819</v>
      </c>
      <c r="C119">
        <v>2023</v>
      </c>
      <c r="D119" s="18">
        <v>45213</v>
      </c>
      <c r="E119" s="18">
        <v>45578</v>
      </c>
      <c r="F119" s="18" t="s">
        <v>611</v>
      </c>
      <c r="G119" t="s">
        <v>99</v>
      </c>
      <c r="H119">
        <v>3</v>
      </c>
      <c r="I119">
        <v>6</v>
      </c>
      <c r="J119" s="27">
        <v>17148.21</v>
      </c>
      <c r="K119" s="27">
        <v>2000000</v>
      </c>
    </row>
    <row r="120" spans="1:11" ht="12.75" customHeight="1" x14ac:dyDescent="0.2">
      <c r="A120" t="s">
        <v>820</v>
      </c>
      <c r="B120" t="s">
        <v>821</v>
      </c>
      <c r="C120">
        <v>2023</v>
      </c>
      <c r="D120" s="18">
        <v>45213</v>
      </c>
      <c r="E120" s="18">
        <v>45578</v>
      </c>
      <c r="F120" s="18" t="s">
        <v>611</v>
      </c>
      <c r="G120" t="s">
        <v>102</v>
      </c>
      <c r="H120">
        <v>2</v>
      </c>
      <c r="I120">
        <v>2</v>
      </c>
      <c r="J120" s="27">
        <v>13774.09</v>
      </c>
      <c r="K120" s="27">
        <v>2000000</v>
      </c>
    </row>
    <row r="121" spans="1:11" ht="12.75" customHeight="1" x14ac:dyDescent="0.2">
      <c r="A121" t="s">
        <v>822</v>
      </c>
      <c r="B121" t="s">
        <v>823</v>
      </c>
      <c r="C121">
        <v>2023</v>
      </c>
      <c r="D121" s="18">
        <v>45213</v>
      </c>
      <c r="E121" s="18">
        <v>45578</v>
      </c>
      <c r="F121" s="18" t="s">
        <v>611</v>
      </c>
      <c r="G121" t="s">
        <v>102</v>
      </c>
      <c r="H121">
        <v>2</v>
      </c>
      <c r="I121">
        <v>2</v>
      </c>
      <c r="J121" s="27">
        <v>11643.62</v>
      </c>
      <c r="K121" s="27">
        <v>1500000</v>
      </c>
    </row>
    <row r="122" spans="1:11" ht="12.75" customHeight="1" x14ac:dyDescent="0.2">
      <c r="A122" t="s">
        <v>824</v>
      </c>
      <c r="B122" t="s">
        <v>825</v>
      </c>
      <c r="C122">
        <v>2023</v>
      </c>
      <c r="D122" s="18">
        <v>45214</v>
      </c>
      <c r="E122" s="18">
        <v>45579</v>
      </c>
      <c r="F122" s="18" t="s">
        <v>608</v>
      </c>
      <c r="G122" t="s">
        <v>99</v>
      </c>
      <c r="H122">
        <v>2</v>
      </c>
      <c r="I122">
        <v>2</v>
      </c>
      <c r="J122" s="27">
        <v>31581.63</v>
      </c>
      <c r="K122" s="27">
        <v>4000000</v>
      </c>
    </row>
    <row r="123" spans="1:11" ht="12.75" customHeight="1" x14ac:dyDescent="0.2">
      <c r="A123" t="s">
        <v>826</v>
      </c>
      <c r="B123" t="s">
        <v>827</v>
      </c>
      <c r="C123">
        <v>2023</v>
      </c>
      <c r="D123" s="18">
        <v>45214</v>
      </c>
      <c r="E123" s="18">
        <v>45579</v>
      </c>
      <c r="F123" s="18" t="s">
        <v>611</v>
      </c>
      <c r="G123" t="s">
        <v>100</v>
      </c>
      <c r="H123">
        <v>2</v>
      </c>
      <c r="I123">
        <v>4</v>
      </c>
      <c r="J123" s="27">
        <v>44329.54</v>
      </c>
      <c r="K123" s="27">
        <v>4000000</v>
      </c>
    </row>
    <row r="124" spans="1:11" ht="12.75" customHeight="1" x14ac:dyDescent="0.2">
      <c r="A124" t="s">
        <v>828</v>
      </c>
      <c r="B124" t="s">
        <v>829</v>
      </c>
      <c r="C124">
        <v>2023</v>
      </c>
      <c r="D124" s="18">
        <v>45214</v>
      </c>
      <c r="E124" s="18">
        <v>45579</v>
      </c>
      <c r="F124" s="18" t="s">
        <v>611</v>
      </c>
      <c r="G124" t="s">
        <v>99</v>
      </c>
      <c r="H124">
        <v>3</v>
      </c>
      <c r="I124">
        <v>3</v>
      </c>
      <c r="J124" s="27">
        <v>90303.47</v>
      </c>
      <c r="K124" s="27">
        <v>10000000</v>
      </c>
    </row>
    <row r="125" spans="1:11" ht="12.75" customHeight="1" x14ac:dyDescent="0.2">
      <c r="A125" t="s">
        <v>830</v>
      </c>
      <c r="B125" t="s">
        <v>831</v>
      </c>
      <c r="C125">
        <v>2023</v>
      </c>
      <c r="D125" s="18">
        <v>45214</v>
      </c>
      <c r="E125" s="18">
        <v>45579</v>
      </c>
      <c r="F125" s="18" t="s">
        <v>611</v>
      </c>
      <c r="G125" t="s">
        <v>100</v>
      </c>
      <c r="H125">
        <v>1</v>
      </c>
      <c r="I125">
        <v>1</v>
      </c>
      <c r="J125" s="27">
        <v>5808.51</v>
      </c>
      <c r="K125" s="27"/>
    </row>
    <row r="126" spans="1:11" ht="12.75" customHeight="1" x14ac:dyDescent="0.2">
      <c r="A126" t="s">
        <v>832</v>
      </c>
      <c r="B126" t="s">
        <v>833</v>
      </c>
      <c r="C126">
        <v>2023</v>
      </c>
      <c r="D126" s="18">
        <v>45214</v>
      </c>
      <c r="E126" s="18">
        <v>45579</v>
      </c>
      <c r="F126" s="18" t="s">
        <v>611</v>
      </c>
      <c r="G126" t="s">
        <v>101</v>
      </c>
      <c r="H126">
        <v>3</v>
      </c>
      <c r="I126">
        <v>3</v>
      </c>
      <c r="J126" s="27">
        <v>76653.69</v>
      </c>
      <c r="K126" s="27">
        <v>5000000</v>
      </c>
    </row>
    <row r="127" spans="1:11" ht="12.75" customHeight="1" x14ac:dyDescent="0.2">
      <c r="A127" t="s">
        <v>834</v>
      </c>
      <c r="B127" t="s">
        <v>835</v>
      </c>
      <c r="C127">
        <v>2023</v>
      </c>
      <c r="D127" s="18">
        <v>45214</v>
      </c>
      <c r="E127" s="18">
        <v>45579</v>
      </c>
      <c r="F127" s="18" t="s">
        <v>611</v>
      </c>
      <c r="G127" t="s">
        <v>101</v>
      </c>
      <c r="H127">
        <v>2</v>
      </c>
      <c r="I127">
        <v>2</v>
      </c>
      <c r="J127" s="27">
        <v>153742.13</v>
      </c>
      <c r="K127" s="27">
        <v>10000000</v>
      </c>
    </row>
    <row r="128" spans="1:11" ht="12.75" customHeight="1" x14ac:dyDescent="0.2">
      <c r="A128" t="s">
        <v>836</v>
      </c>
      <c r="B128" t="s">
        <v>837</v>
      </c>
      <c r="C128">
        <v>2023</v>
      </c>
      <c r="D128" s="18">
        <v>45214</v>
      </c>
      <c r="E128" s="18">
        <v>45579</v>
      </c>
      <c r="F128" s="18" t="s">
        <v>611</v>
      </c>
      <c r="G128" t="s">
        <v>101</v>
      </c>
      <c r="H128">
        <v>1</v>
      </c>
      <c r="I128">
        <v>2</v>
      </c>
      <c r="J128" s="27">
        <v>58061.83</v>
      </c>
      <c r="K128" s="27">
        <v>4000000</v>
      </c>
    </row>
    <row r="129" spans="1:11" ht="12.75" customHeight="1" x14ac:dyDescent="0.2">
      <c r="A129" t="s">
        <v>838</v>
      </c>
      <c r="B129" t="s">
        <v>839</v>
      </c>
      <c r="C129">
        <v>2023</v>
      </c>
      <c r="D129" s="18">
        <v>45214</v>
      </c>
      <c r="E129" s="18">
        <v>45579</v>
      </c>
      <c r="F129" s="18" t="s">
        <v>611</v>
      </c>
      <c r="G129" t="s">
        <v>100</v>
      </c>
      <c r="H129">
        <v>2</v>
      </c>
      <c r="I129">
        <v>2</v>
      </c>
      <c r="J129" s="27">
        <v>50220.480000000003</v>
      </c>
      <c r="K129" s="27">
        <v>4500000</v>
      </c>
    </row>
    <row r="130" spans="1:11" ht="12.75" customHeight="1" x14ac:dyDescent="0.2">
      <c r="A130" t="s">
        <v>840</v>
      </c>
      <c r="B130" t="s">
        <v>841</v>
      </c>
      <c r="C130">
        <v>2023</v>
      </c>
      <c r="D130" s="18">
        <v>45214</v>
      </c>
      <c r="E130" s="18">
        <v>45579</v>
      </c>
      <c r="F130" s="18" t="s">
        <v>611</v>
      </c>
      <c r="G130" t="s">
        <v>100</v>
      </c>
      <c r="H130">
        <v>2</v>
      </c>
      <c r="I130">
        <v>2</v>
      </c>
      <c r="J130" s="27">
        <v>37003.449999999997</v>
      </c>
      <c r="K130" s="27">
        <v>3000000</v>
      </c>
    </row>
    <row r="131" spans="1:11" ht="12.75" customHeight="1" x14ac:dyDescent="0.2">
      <c r="A131" t="s">
        <v>842</v>
      </c>
      <c r="B131" t="s">
        <v>843</v>
      </c>
      <c r="C131">
        <v>2023</v>
      </c>
      <c r="D131" s="18">
        <v>45214</v>
      </c>
      <c r="E131" s="18">
        <v>45579</v>
      </c>
      <c r="F131" s="18" t="s">
        <v>611</v>
      </c>
      <c r="G131" t="s">
        <v>102</v>
      </c>
      <c r="H131">
        <v>1</v>
      </c>
      <c r="I131">
        <v>1</v>
      </c>
      <c r="J131" s="27">
        <v>35044.22</v>
      </c>
      <c r="K131" s="27">
        <v>5000000</v>
      </c>
    </row>
    <row r="132" spans="1:11" ht="12.75" customHeight="1" x14ac:dyDescent="0.2">
      <c r="A132" t="s">
        <v>844</v>
      </c>
      <c r="B132" t="s">
        <v>845</v>
      </c>
      <c r="C132">
        <v>2023</v>
      </c>
      <c r="D132" s="18">
        <v>45214</v>
      </c>
      <c r="E132" s="18">
        <v>45579</v>
      </c>
      <c r="F132" s="18" t="s">
        <v>611</v>
      </c>
      <c r="G132" t="s">
        <v>100</v>
      </c>
      <c r="H132">
        <v>1</v>
      </c>
      <c r="I132">
        <v>2</v>
      </c>
      <c r="J132" s="27">
        <v>59680.59</v>
      </c>
      <c r="K132" s="27">
        <v>4500000</v>
      </c>
    </row>
    <row r="133" spans="1:11" ht="12.75" customHeight="1" x14ac:dyDescent="0.2">
      <c r="A133" t="s">
        <v>846</v>
      </c>
      <c r="B133" t="s">
        <v>847</v>
      </c>
      <c r="C133">
        <v>2023</v>
      </c>
      <c r="D133" s="18">
        <v>45215</v>
      </c>
      <c r="E133" s="18">
        <v>45580</v>
      </c>
      <c r="F133" s="18" t="s">
        <v>608</v>
      </c>
      <c r="G133" t="s">
        <v>102</v>
      </c>
      <c r="H133">
        <v>2</v>
      </c>
      <c r="I133">
        <v>2</v>
      </c>
      <c r="J133" s="27">
        <v>38415.33</v>
      </c>
      <c r="K133" s="27">
        <v>5000000</v>
      </c>
    </row>
    <row r="134" spans="1:11" ht="12.75" customHeight="1" x14ac:dyDescent="0.2">
      <c r="A134" t="s">
        <v>848</v>
      </c>
      <c r="B134" t="s">
        <v>849</v>
      </c>
      <c r="C134">
        <v>2023</v>
      </c>
      <c r="D134" s="18">
        <v>45215</v>
      </c>
      <c r="E134" s="18">
        <v>45580</v>
      </c>
      <c r="F134" s="18" t="s">
        <v>611</v>
      </c>
      <c r="G134" t="s">
        <v>99</v>
      </c>
      <c r="H134">
        <v>1</v>
      </c>
      <c r="I134">
        <v>1</v>
      </c>
      <c r="J134" s="27">
        <v>39631.03</v>
      </c>
      <c r="K134" s="27">
        <v>5000000</v>
      </c>
    </row>
    <row r="135" spans="1:11" ht="12.75" customHeight="1" x14ac:dyDescent="0.2">
      <c r="A135" t="s">
        <v>850</v>
      </c>
      <c r="B135" t="s">
        <v>851</v>
      </c>
      <c r="C135">
        <v>2023</v>
      </c>
      <c r="D135" s="18">
        <v>45215</v>
      </c>
      <c r="E135" s="18">
        <v>45580</v>
      </c>
      <c r="F135" s="18" t="s">
        <v>611</v>
      </c>
      <c r="G135" t="s">
        <v>101</v>
      </c>
      <c r="H135">
        <v>1</v>
      </c>
      <c r="I135">
        <v>2</v>
      </c>
      <c r="J135" s="27">
        <v>52518.25</v>
      </c>
      <c r="K135" s="27">
        <v>3500000</v>
      </c>
    </row>
    <row r="136" spans="1:11" ht="12.75" customHeight="1" x14ac:dyDescent="0.2">
      <c r="A136" t="s">
        <v>852</v>
      </c>
      <c r="B136" t="s">
        <v>853</v>
      </c>
      <c r="C136">
        <v>2023</v>
      </c>
      <c r="D136" s="18">
        <v>45215</v>
      </c>
      <c r="E136" s="18">
        <v>45580</v>
      </c>
      <c r="F136" s="18" t="s">
        <v>611</v>
      </c>
      <c r="G136" t="s">
        <v>99</v>
      </c>
      <c r="H136">
        <v>3</v>
      </c>
      <c r="I136">
        <v>3</v>
      </c>
      <c r="J136" s="27">
        <v>32377.21</v>
      </c>
      <c r="K136" s="27">
        <v>4000000</v>
      </c>
    </row>
    <row r="137" spans="1:11" ht="12.75" customHeight="1" x14ac:dyDescent="0.2">
      <c r="A137" t="s">
        <v>854</v>
      </c>
      <c r="B137" t="s">
        <v>855</v>
      </c>
      <c r="C137">
        <v>2023</v>
      </c>
      <c r="D137" s="18">
        <v>45215</v>
      </c>
      <c r="E137" s="18">
        <v>45580</v>
      </c>
      <c r="F137" s="18" t="s">
        <v>611</v>
      </c>
      <c r="G137" t="s">
        <v>101</v>
      </c>
      <c r="H137">
        <v>3</v>
      </c>
      <c r="I137">
        <v>6</v>
      </c>
      <c r="J137" s="27">
        <v>68374.83</v>
      </c>
      <c r="K137" s="27">
        <v>4000000</v>
      </c>
    </row>
    <row r="138" spans="1:11" ht="12.75" customHeight="1" x14ac:dyDescent="0.2">
      <c r="A138" t="s">
        <v>856</v>
      </c>
      <c r="B138" t="s">
        <v>857</v>
      </c>
      <c r="C138">
        <v>2023</v>
      </c>
      <c r="D138" s="18">
        <v>45215</v>
      </c>
      <c r="E138" s="18">
        <v>45580</v>
      </c>
      <c r="F138" s="18" t="s">
        <v>611</v>
      </c>
      <c r="G138" t="s">
        <v>100</v>
      </c>
      <c r="H138">
        <v>1</v>
      </c>
      <c r="I138">
        <v>1</v>
      </c>
      <c r="J138" s="27">
        <v>17009.919999999998</v>
      </c>
      <c r="K138" s="27">
        <v>1500000</v>
      </c>
    </row>
    <row r="139" spans="1:11" ht="12.75" customHeight="1" x14ac:dyDescent="0.2">
      <c r="A139" t="s">
        <v>858</v>
      </c>
      <c r="B139" t="s">
        <v>859</v>
      </c>
      <c r="C139">
        <v>2023</v>
      </c>
      <c r="D139" s="18">
        <v>45216</v>
      </c>
      <c r="E139" s="18">
        <v>45581</v>
      </c>
      <c r="F139" s="18" t="s">
        <v>608</v>
      </c>
      <c r="G139" t="s">
        <v>101</v>
      </c>
      <c r="H139">
        <v>2</v>
      </c>
      <c r="I139">
        <v>2</v>
      </c>
      <c r="J139" s="27">
        <v>16998.560000000001</v>
      </c>
      <c r="K139" s="27">
        <v>1000000</v>
      </c>
    </row>
    <row r="140" spans="1:11" ht="12.75" customHeight="1" x14ac:dyDescent="0.2">
      <c r="A140" t="s">
        <v>860</v>
      </c>
      <c r="B140" t="s">
        <v>861</v>
      </c>
      <c r="C140">
        <v>2023</v>
      </c>
      <c r="D140" s="18">
        <v>45216</v>
      </c>
      <c r="E140" s="18">
        <v>45581</v>
      </c>
      <c r="F140" s="18" t="s">
        <v>608</v>
      </c>
      <c r="G140" t="s">
        <v>101</v>
      </c>
      <c r="H140">
        <v>1</v>
      </c>
      <c r="I140">
        <v>1</v>
      </c>
      <c r="J140" s="27">
        <v>57033.19</v>
      </c>
      <c r="K140" s="27">
        <v>3500000</v>
      </c>
    </row>
    <row r="141" spans="1:11" ht="12.75" customHeight="1" x14ac:dyDescent="0.2">
      <c r="A141" t="s">
        <v>862</v>
      </c>
      <c r="B141" t="s">
        <v>863</v>
      </c>
      <c r="C141">
        <v>2023</v>
      </c>
      <c r="D141" s="18">
        <v>45216</v>
      </c>
      <c r="E141" s="18">
        <v>45581</v>
      </c>
      <c r="F141" s="18" t="s">
        <v>611</v>
      </c>
      <c r="G141" t="s">
        <v>99</v>
      </c>
      <c r="H141">
        <v>1</v>
      </c>
      <c r="I141">
        <v>1</v>
      </c>
      <c r="J141" s="27">
        <v>23958.6</v>
      </c>
      <c r="K141" s="27">
        <v>3000000</v>
      </c>
    </row>
    <row r="142" spans="1:11" ht="12.75" customHeight="1" x14ac:dyDescent="0.2">
      <c r="A142" t="s">
        <v>864</v>
      </c>
      <c r="B142" t="s">
        <v>865</v>
      </c>
      <c r="C142">
        <v>2023</v>
      </c>
      <c r="D142" s="18">
        <v>45216</v>
      </c>
      <c r="E142" s="18">
        <v>45581</v>
      </c>
      <c r="F142" s="18" t="s">
        <v>611</v>
      </c>
      <c r="G142" t="s">
        <v>101</v>
      </c>
      <c r="H142">
        <v>2</v>
      </c>
      <c r="I142">
        <v>4</v>
      </c>
      <c r="J142" s="27">
        <v>48066.11</v>
      </c>
      <c r="K142" s="27">
        <v>3000000</v>
      </c>
    </row>
    <row r="143" spans="1:11" ht="12.75" customHeight="1" x14ac:dyDescent="0.2">
      <c r="A143" t="s">
        <v>866</v>
      </c>
      <c r="B143" t="s">
        <v>867</v>
      </c>
      <c r="C143">
        <v>2023</v>
      </c>
      <c r="D143" s="18">
        <v>45216</v>
      </c>
      <c r="E143" s="18">
        <v>45581</v>
      </c>
      <c r="F143" s="18" t="s">
        <v>611</v>
      </c>
      <c r="G143" t="s">
        <v>100</v>
      </c>
      <c r="H143">
        <v>3</v>
      </c>
      <c r="I143">
        <v>6</v>
      </c>
      <c r="J143" s="27">
        <v>26664.45</v>
      </c>
      <c r="K143" s="27">
        <v>2000000</v>
      </c>
    </row>
    <row r="144" spans="1:11" ht="12.75" customHeight="1" x14ac:dyDescent="0.2">
      <c r="A144" t="s">
        <v>868</v>
      </c>
      <c r="B144" t="s">
        <v>869</v>
      </c>
      <c r="C144">
        <v>2023</v>
      </c>
      <c r="D144" s="18">
        <v>45216</v>
      </c>
      <c r="E144" s="18">
        <v>45581</v>
      </c>
      <c r="F144" s="18" t="s">
        <v>611</v>
      </c>
      <c r="G144" t="s">
        <v>100</v>
      </c>
      <c r="H144">
        <v>2</v>
      </c>
      <c r="I144">
        <v>4</v>
      </c>
      <c r="J144" s="27">
        <v>55703.25</v>
      </c>
      <c r="K144" s="27">
        <v>4500000</v>
      </c>
    </row>
    <row r="145" spans="1:11" ht="12.75" customHeight="1" x14ac:dyDescent="0.2">
      <c r="A145" t="s">
        <v>870</v>
      </c>
      <c r="B145" t="s">
        <v>871</v>
      </c>
      <c r="C145">
        <v>2023</v>
      </c>
      <c r="D145" s="18">
        <v>45216</v>
      </c>
      <c r="E145" s="18">
        <v>45581</v>
      </c>
      <c r="F145" s="18" t="s">
        <v>611</v>
      </c>
      <c r="G145" t="s">
        <v>102</v>
      </c>
      <c r="H145">
        <v>2</v>
      </c>
      <c r="I145">
        <v>2</v>
      </c>
      <c r="J145" s="27">
        <v>27734.23</v>
      </c>
      <c r="K145" s="27">
        <v>4000000</v>
      </c>
    </row>
    <row r="146" spans="1:11" ht="12.75" customHeight="1" x14ac:dyDescent="0.2">
      <c r="A146" t="s">
        <v>872</v>
      </c>
      <c r="B146" t="s">
        <v>873</v>
      </c>
      <c r="C146">
        <v>2023</v>
      </c>
      <c r="D146" s="18">
        <v>45217</v>
      </c>
      <c r="E146" s="18">
        <v>45582</v>
      </c>
      <c r="F146" s="18" t="s">
        <v>608</v>
      </c>
      <c r="G146" t="s">
        <v>100</v>
      </c>
      <c r="H146">
        <v>1</v>
      </c>
      <c r="I146">
        <v>1</v>
      </c>
      <c r="J146" s="27">
        <v>13152.56</v>
      </c>
      <c r="K146" s="27">
        <v>1000000</v>
      </c>
    </row>
    <row r="147" spans="1:11" ht="12.75" customHeight="1" x14ac:dyDescent="0.2">
      <c r="A147" t="s">
        <v>874</v>
      </c>
      <c r="B147" t="s">
        <v>875</v>
      </c>
      <c r="C147">
        <v>2023</v>
      </c>
      <c r="D147" s="18">
        <v>45217</v>
      </c>
      <c r="E147" s="18">
        <v>45582</v>
      </c>
      <c r="F147" s="18" t="s">
        <v>611</v>
      </c>
      <c r="G147" t="s">
        <v>101</v>
      </c>
      <c r="H147">
        <v>3</v>
      </c>
      <c r="I147">
        <v>3</v>
      </c>
      <c r="J147" s="27">
        <v>167499.1</v>
      </c>
      <c r="K147" s="27">
        <v>10000000</v>
      </c>
    </row>
    <row r="148" spans="1:11" ht="12.75" customHeight="1" x14ac:dyDescent="0.2">
      <c r="A148" t="s">
        <v>876</v>
      </c>
      <c r="B148" t="s">
        <v>877</v>
      </c>
      <c r="C148">
        <v>2023</v>
      </c>
      <c r="D148" s="18">
        <v>45217</v>
      </c>
      <c r="E148" s="18">
        <v>45582</v>
      </c>
      <c r="F148" s="18" t="s">
        <v>611</v>
      </c>
      <c r="G148" t="s">
        <v>102</v>
      </c>
      <c r="H148">
        <v>2</v>
      </c>
      <c r="I148">
        <v>4</v>
      </c>
      <c r="J148" s="27">
        <v>38932.71</v>
      </c>
      <c r="K148" s="27">
        <v>5000000</v>
      </c>
    </row>
    <row r="149" spans="1:11" ht="12.75" customHeight="1" x14ac:dyDescent="0.2">
      <c r="A149" t="s">
        <v>878</v>
      </c>
      <c r="B149" t="s">
        <v>879</v>
      </c>
      <c r="C149">
        <v>2023</v>
      </c>
      <c r="D149" s="18">
        <v>45217</v>
      </c>
      <c r="E149" s="18">
        <v>45582</v>
      </c>
      <c r="F149" s="18" t="s">
        <v>611</v>
      </c>
      <c r="G149" t="s">
        <v>100</v>
      </c>
      <c r="H149">
        <v>1</v>
      </c>
      <c r="I149">
        <v>2</v>
      </c>
      <c r="J149" s="27">
        <v>63744.6</v>
      </c>
      <c r="K149" s="27">
        <v>5000000</v>
      </c>
    </row>
    <row r="150" spans="1:11" ht="12.75" customHeight="1" x14ac:dyDescent="0.2">
      <c r="A150" t="s">
        <v>880</v>
      </c>
      <c r="B150" t="s">
        <v>881</v>
      </c>
      <c r="C150">
        <v>2023</v>
      </c>
      <c r="D150" s="18">
        <v>45218</v>
      </c>
      <c r="E150" s="18">
        <v>45583</v>
      </c>
      <c r="F150" s="18" t="s">
        <v>608</v>
      </c>
      <c r="G150" t="s">
        <v>102</v>
      </c>
      <c r="H150">
        <v>1</v>
      </c>
      <c r="I150">
        <v>2</v>
      </c>
      <c r="J150" s="27">
        <v>69813.47</v>
      </c>
      <c r="K150" s="27">
        <v>10000000</v>
      </c>
    </row>
    <row r="151" spans="1:11" ht="12.75" customHeight="1" x14ac:dyDescent="0.2">
      <c r="A151" t="s">
        <v>882</v>
      </c>
      <c r="B151" t="s">
        <v>883</v>
      </c>
      <c r="C151">
        <v>2023</v>
      </c>
      <c r="D151" s="18">
        <v>45218</v>
      </c>
      <c r="E151" s="18">
        <v>45583</v>
      </c>
      <c r="F151" s="18" t="s">
        <v>608</v>
      </c>
      <c r="G151" t="s">
        <v>100</v>
      </c>
      <c r="H151">
        <v>1</v>
      </c>
      <c r="I151">
        <v>1</v>
      </c>
      <c r="J151" s="27">
        <v>49685.56</v>
      </c>
      <c r="K151" s="27">
        <v>4000000</v>
      </c>
    </row>
    <row r="152" spans="1:11" ht="12.75" customHeight="1" x14ac:dyDescent="0.2">
      <c r="A152" t="s">
        <v>884</v>
      </c>
      <c r="B152" t="s">
        <v>885</v>
      </c>
      <c r="C152">
        <v>2023</v>
      </c>
      <c r="D152" s="18">
        <v>45218</v>
      </c>
      <c r="E152" s="18">
        <v>45583</v>
      </c>
      <c r="F152" s="18" t="s">
        <v>608</v>
      </c>
      <c r="G152" t="s">
        <v>99</v>
      </c>
      <c r="H152">
        <v>1</v>
      </c>
      <c r="I152">
        <v>2</v>
      </c>
      <c r="J152" s="27">
        <v>14980.15</v>
      </c>
      <c r="K152" s="27">
        <v>2000000</v>
      </c>
    </row>
    <row r="153" spans="1:11" ht="12.75" customHeight="1" x14ac:dyDescent="0.2">
      <c r="A153" t="s">
        <v>886</v>
      </c>
      <c r="B153" t="s">
        <v>887</v>
      </c>
      <c r="C153">
        <v>2023</v>
      </c>
      <c r="D153" s="18">
        <v>45218</v>
      </c>
      <c r="E153" s="18">
        <v>45583</v>
      </c>
      <c r="F153" s="18" t="s">
        <v>608</v>
      </c>
      <c r="G153" t="s">
        <v>101</v>
      </c>
      <c r="H153">
        <v>1</v>
      </c>
      <c r="I153">
        <v>1</v>
      </c>
      <c r="J153" s="27">
        <v>149969.62</v>
      </c>
      <c r="K153" s="27">
        <v>10000000</v>
      </c>
    </row>
    <row r="154" spans="1:11" ht="12.75" customHeight="1" x14ac:dyDescent="0.2">
      <c r="A154" t="s">
        <v>888</v>
      </c>
      <c r="B154" t="s">
        <v>889</v>
      </c>
      <c r="C154">
        <v>2023</v>
      </c>
      <c r="D154" s="18">
        <v>45218</v>
      </c>
      <c r="E154" s="18">
        <v>45583</v>
      </c>
      <c r="F154" s="18" t="s">
        <v>608</v>
      </c>
      <c r="G154" t="s">
        <v>101</v>
      </c>
      <c r="H154">
        <v>3</v>
      </c>
      <c r="I154">
        <v>3</v>
      </c>
      <c r="J154" s="27">
        <v>15160.03</v>
      </c>
      <c r="K154" s="27">
        <v>1000000</v>
      </c>
    </row>
    <row r="155" spans="1:11" ht="12.75" customHeight="1" x14ac:dyDescent="0.2">
      <c r="A155" t="s">
        <v>890</v>
      </c>
      <c r="B155" t="s">
        <v>891</v>
      </c>
      <c r="C155">
        <v>2023</v>
      </c>
      <c r="D155" s="18">
        <v>45218</v>
      </c>
      <c r="E155" s="18">
        <v>45583</v>
      </c>
      <c r="F155" s="18" t="s">
        <v>611</v>
      </c>
      <c r="G155" t="s">
        <v>100</v>
      </c>
      <c r="H155">
        <v>1</v>
      </c>
      <c r="I155">
        <v>1</v>
      </c>
      <c r="J155" s="27">
        <v>5906.34</v>
      </c>
      <c r="K155" s="27">
        <v>500000</v>
      </c>
    </row>
    <row r="156" spans="1:11" ht="12.75" customHeight="1" x14ac:dyDescent="0.2">
      <c r="A156" t="s">
        <v>892</v>
      </c>
      <c r="B156" t="s">
        <v>893</v>
      </c>
      <c r="C156">
        <v>2023</v>
      </c>
      <c r="D156" s="18">
        <v>45218</v>
      </c>
      <c r="E156" s="18">
        <v>45583</v>
      </c>
      <c r="F156" s="18" t="s">
        <v>611</v>
      </c>
      <c r="G156" t="s">
        <v>100</v>
      </c>
      <c r="H156">
        <v>1</v>
      </c>
      <c r="I156">
        <v>2</v>
      </c>
      <c r="J156" s="27">
        <v>120827.73</v>
      </c>
      <c r="K156" s="27">
        <v>10000000</v>
      </c>
    </row>
    <row r="157" spans="1:11" ht="12.75" customHeight="1" x14ac:dyDescent="0.2">
      <c r="A157" t="s">
        <v>894</v>
      </c>
      <c r="B157" t="s">
        <v>895</v>
      </c>
      <c r="C157">
        <v>2023</v>
      </c>
      <c r="D157" s="18">
        <v>45218</v>
      </c>
      <c r="E157" s="18">
        <v>45583</v>
      </c>
      <c r="F157" s="18" t="s">
        <v>611</v>
      </c>
      <c r="G157" t="s">
        <v>101</v>
      </c>
      <c r="H157">
        <v>1</v>
      </c>
      <c r="I157">
        <v>1</v>
      </c>
      <c r="J157" s="27">
        <v>14809.88</v>
      </c>
      <c r="K157" s="27">
        <v>1000000</v>
      </c>
    </row>
    <row r="158" spans="1:11" ht="12.75" customHeight="1" x14ac:dyDescent="0.2">
      <c r="A158" t="s">
        <v>896</v>
      </c>
      <c r="B158" t="s">
        <v>897</v>
      </c>
      <c r="C158">
        <v>2023</v>
      </c>
      <c r="D158" s="18">
        <v>45218</v>
      </c>
      <c r="E158" s="18">
        <v>45583</v>
      </c>
      <c r="F158" s="18" t="s">
        <v>611</v>
      </c>
      <c r="G158" t="s">
        <v>102</v>
      </c>
      <c r="H158">
        <v>1</v>
      </c>
      <c r="I158">
        <v>2</v>
      </c>
      <c r="J158" s="27">
        <v>68580.539999999994</v>
      </c>
      <c r="K158" s="27">
        <v>10000000</v>
      </c>
    </row>
    <row r="159" spans="1:11" ht="12.75" customHeight="1" x14ac:dyDescent="0.2">
      <c r="A159" t="s">
        <v>898</v>
      </c>
      <c r="B159" t="s">
        <v>899</v>
      </c>
      <c r="C159">
        <v>2023</v>
      </c>
      <c r="D159" s="18">
        <v>45218</v>
      </c>
      <c r="E159" s="18">
        <v>45583</v>
      </c>
      <c r="F159" s="18" t="s">
        <v>611</v>
      </c>
      <c r="G159" t="s">
        <v>102</v>
      </c>
      <c r="H159">
        <v>1</v>
      </c>
      <c r="I159">
        <v>2</v>
      </c>
      <c r="J159" s="27">
        <v>6496.32</v>
      </c>
      <c r="K159" s="27">
        <v>1000000</v>
      </c>
    </row>
    <row r="160" spans="1:11" ht="12.75" customHeight="1" x14ac:dyDescent="0.2">
      <c r="A160" t="s">
        <v>900</v>
      </c>
      <c r="B160" t="s">
        <v>901</v>
      </c>
      <c r="C160">
        <v>2023</v>
      </c>
      <c r="D160" s="18">
        <v>45218</v>
      </c>
      <c r="E160" s="18">
        <v>45583</v>
      </c>
      <c r="F160" s="18" t="s">
        <v>611</v>
      </c>
      <c r="G160" t="s">
        <v>101</v>
      </c>
      <c r="H160">
        <v>2</v>
      </c>
      <c r="I160">
        <v>2</v>
      </c>
      <c r="J160" s="27">
        <v>33911.74</v>
      </c>
      <c r="K160" s="27">
        <v>2000000</v>
      </c>
    </row>
    <row r="161" spans="1:11" ht="12.75" customHeight="1" x14ac:dyDescent="0.2">
      <c r="A161" t="s">
        <v>902</v>
      </c>
      <c r="B161" t="s">
        <v>903</v>
      </c>
      <c r="C161">
        <v>2023</v>
      </c>
      <c r="D161" s="18">
        <v>45219</v>
      </c>
      <c r="E161" s="18">
        <v>45584</v>
      </c>
      <c r="F161" s="18" t="s">
        <v>608</v>
      </c>
      <c r="G161" t="s">
        <v>99</v>
      </c>
      <c r="H161">
        <v>2</v>
      </c>
      <c r="I161">
        <v>2</v>
      </c>
      <c r="J161" s="27">
        <v>8118.08</v>
      </c>
      <c r="K161" s="27">
        <v>1000000</v>
      </c>
    </row>
    <row r="162" spans="1:11" ht="12.75" customHeight="1" x14ac:dyDescent="0.2">
      <c r="A162" t="s">
        <v>904</v>
      </c>
      <c r="B162" t="s">
        <v>905</v>
      </c>
      <c r="C162">
        <v>2023</v>
      </c>
      <c r="D162" s="18">
        <v>45219</v>
      </c>
      <c r="E162" s="18">
        <v>45584</v>
      </c>
      <c r="F162" s="18" t="s">
        <v>608</v>
      </c>
      <c r="G162" t="s">
        <v>101</v>
      </c>
      <c r="H162">
        <v>1</v>
      </c>
      <c r="I162">
        <v>1</v>
      </c>
      <c r="J162" s="27">
        <v>58019.12</v>
      </c>
      <c r="K162" s="27">
        <v>4000000</v>
      </c>
    </row>
    <row r="163" spans="1:11" ht="12.75" customHeight="1" x14ac:dyDescent="0.2">
      <c r="A163" t="s">
        <v>906</v>
      </c>
      <c r="B163" t="s">
        <v>907</v>
      </c>
      <c r="C163">
        <v>2023</v>
      </c>
      <c r="D163" s="18">
        <v>45219</v>
      </c>
      <c r="E163" s="18">
        <v>45584</v>
      </c>
      <c r="F163" s="18" t="s">
        <v>611</v>
      </c>
      <c r="G163" t="s">
        <v>100</v>
      </c>
      <c r="H163">
        <v>3</v>
      </c>
      <c r="I163">
        <v>3</v>
      </c>
      <c r="J163" s="27">
        <v>43924.89</v>
      </c>
      <c r="K163" s="27">
        <v>3500000</v>
      </c>
    </row>
    <row r="164" spans="1:11" ht="12.75" customHeight="1" x14ac:dyDescent="0.2">
      <c r="A164" t="s">
        <v>908</v>
      </c>
      <c r="B164" t="s">
        <v>909</v>
      </c>
      <c r="C164">
        <v>2023</v>
      </c>
      <c r="D164" s="18">
        <v>45219</v>
      </c>
      <c r="E164" s="18">
        <v>45584</v>
      </c>
      <c r="F164" s="18" t="s">
        <v>611</v>
      </c>
      <c r="G164" t="s">
        <v>101</v>
      </c>
      <c r="H164">
        <v>2</v>
      </c>
      <c r="I164">
        <v>4</v>
      </c>
      <c r="J164" s="27">
        <v>65506.38</v>
      </c>
      <c r="K164" s="27">
        <v>4000000</v>
      </c>
    </row>
    <row r="165" spans="1:11" ht="12.75" customHeight="1" x14ac:dyDescent="0.2">
      <c r="A165" t="s">
        <v>910</v>
      </c>
      <c r="B165" t="s">
        <v>911</v>
      </c>
      <c r="C165">
        <v>2023</v>
      </c>
      <c r="D165" s="18">
        <v>45219</v>
      </c>
      <c r="E165" s="18">
        <v>45584</v>
      </c>
      <c r="F165" s="18" t="s">
        <v>611</v>
      </c>
      <c r="G165" t="s">
        <v>100</v>
      </c>
      <c r="H165">
        <v>2</v>
      </c>
      <c r="I165">
        <v>4</v>
      </c>
      <c r="J165" s="27">
        <v>57540.08</v>
      </c>
      <c r="K165" s="27">
        <v>5000000</v>
      </c>
    </row>
    <row r="166" spans="1:11" ht="12.75" customHeight="1" x14ac:dyDescent="0.2">
      <c r="A166" t="s">
        <v>912</v>
      </c>
      <c r="B166" t="s">
        <v>913</v>
      </c>
      <c r="C166">
        <v>2023</v>
      </c>
      <c r="D166" s="18">
        <v>45219</v>
      </c>
      <c r="E166" s="18">
        <v>45584</v>
      </c>
      <c r="F166" s="18" t="s">
        <v>611</v>
      </c>
      <c r="G166" t="s">
        <v>102</v>
      </c>
      <c r="H166">
        <v>1</v>
      </c>
      <c r="I166">
        <v>1</v>
      </c>
      <c r="J166" s="27">
        <v>24583.63</v>
      </c>
      <c r="K166" s="27">
        <v>3500000</v>
      </c>
    </row>
    <row r="167" spans="1:11" ht="12.75" customHeight="1" x14ac:dyDescent="0.2">
      <c r="A167" t="s">
        <v>914</v>
      </c>
      <c r="B167" t="s">
        <v>915</v>
      </c>
      <c r="C167">
        <v>2023</v>
      </c>
      <c r="D167" s="18">
        <v>45219</v>
      </c>
      <c r="E167" s="18">
        <v>45584</v>
      </c>
      <c r="F167" s="18" t="s">
        <v>611</v>
      </c>
      <c r="G167" t="s">
        <v>101</v>
      </c>
      <c r="H167">
        <v>2</v>
      </c>
      <c r="I167">
        <v>2</v>
      </c>
      <c r="J167" s="27">
        <v>168353.23</v>
      </c>
      <c r="K167" s="27">
        <v>10000000</v>
      </c>
    </row>
    <row r="168" spans="1:11" ht="12.75" customHeight="1" x14ac:dyDescent="0.2">
      <c r="A168" t="s">
        <v>916</v>
      </c>
      <c r="B168" t="s">
        <v>917</v>
      </c>
      <c r="C168">
        <v>2023</v>
      </c>
      <c r="D168" s="18">
        <v>45220</v>
      </c>
      <c r="E168" s="18">
        <v>45585</v>
      </c>
      <c r="F168" s="18" t="s">
        <v>608</v>
      </c>
      <c r="G168" t="s">
        <v>100</v>
      </c>
      <c r="H168">
        <v>3</v>
      </c>
      <c r="I168">
        <v>6</v>
      </c>
      <c r="J168" s="27">
        <v>125027.73</v>
      </c>
      <c r="K168" s="27">
        <v>10000000</v>
      </c>
    </row>
    <row r="169" spans="1:11" ht="12.75" customHeight="1" x14ac:dyDescent="0.2">
      <c r="A169" t="s">
        <v>918</v>
      </c>
      <c r="B169" t="s">
        <v>919</v>
      </c>
      <c r="C169">
        <v>2023</v>
      </c>
      <c r="D169" s="18">
        <v>45220</v>
      </c>
      <c r="E169" s="18">
        <v>45585</v>
      </c>
      <c r="F169" s="18" t="s">
        <v>611</v>
      </c>
      <c r="G169" t="s">
        <v>101</v>
      </c>
      <c r="H169">
        <v>1</v>
      </c>
      <c r="I169">
        <v>2</v>
      </c>
      <c r="J169" s="27">
        <v>56479.360000000001</v>
      </c>
      <c r="K169" s="27">
        <v>3500000</v>
      </c>
    </row>
    <row r="170" spans="1:11" ht="12.75" customHeight="1" x14ac:dyDescent="0.2">
      <c r="A170" t="s">
        <v>920</v>
      </c>
      <c r="B170" t="s">
        <v>921</v>
      </c>
      <c r="C170">
        <v>2023</v>
      </c>
      <c r="D170" s="18">
        <v>45220</v>
      </c>
      <c r="E170" s="18">
        <v>45585</v>
      </c>
      <c r="F170" s="18" t="s">
        <v>611</v>
      </c>
      <c r="G170" t="s">
        <v>99</v>
      </c>
      <c r="H170">
        <v>1</v>
      </c>
      <c r="I170">
        <v>1</v>
      </c>
      <c r="J170" s="27">
        <v>42256.3</v>
      </c>
      <c r="K170" s="27">
        <v>5000000</v>
      </c>
    </row>
    <row r="171" spans="1:11" ht="12.75" customHeight="1" x14ac:dyDescent="0.2">
      <c r="A171" t="s">
        <v>922</v>
      </c>
      <c r="B171" t="s">
        <v>923</v>
      </c>
      <c r="C171">
        <v>2023</v>
      </c>
      <c r="D171" s="18">
        <v>45220</v>
      </c>
      <c r="E171" s="18">
        <v>45585</v>
      </c>
      <c r="F171" s="18" t="s">
        <v>611</v>
      </c>
      <c r="G171" t="s">
        <v>102</v>
      </c>
      <c r="H171">
        <v>1</v>
      </c>
      <c r="I171">
        <v>1</v>
      </c>
      <c r="J171" s="27">
        <v>7258.99</v>
      </c>
      <c r="K171" s="27">
        <v>1000000</v>
      </c>
    </row>
    <row r="172" spans="1:11" ht="12.75" customHeight="1" x14ac:dyDescent="0.2">
      <c r="A172" t="s">
        <v>924</v>
      </c>
      <c r="B172" t="s">
        <v>925</v>
      </c>
      <c r="C172">
        <v>2023</v>
      </c>
      <c r="D172" s="18">
        <v>45221</v>
      </c>
      <c r="E172" s="18">
        <v>45586</v>
      </c>
      <c r="F172" s="18" t="s">
        <v>608</v>
      </c>
      <c r="G172" t="s">
        <v>99</v>
      </c>
      <c r="H172">
        <v>1</v>
      </c>
      <c r="I172">
        <v>2</v>
      </c>
      <c r="J172" s="27">
        <v>33210.949999999997</v>
      </c>
      <c r="K172" s="27">
        <v>4000000</v>
      </c>
    </row>
    <row r="173" spans="1:11" ht="12.75" customHeight="1" x14ac:dyDescent="0.2">
      <c r="A173" t="s">
        <v>926</v>
      </c>
      <c r="B173" t="s">
        <v>927</v>
      </c>
      <c r="C173">
        <v>2023</v>
      </c>
      <c r="D173" s="18">
        <v>45221</v>
      </c>
      <c r="E173" s="18">
        <v>45586</v>
      </c>
      <c r="F173" s="18" t="s">
        <v>611</v>
      </c>
      <c r="G173" t="s">
        <v>99</v>
      </c>
      <c r="H173">
        <v>1</v>
      </c>
      <c r="I173">
        <v>1</v>
      </c>
      <c r="J173" s="27">
        <v>15185</v>
      </c>
      <c r="K173" s="27">
        <v>2000000</v>
      </c>
    </row>
    <row r="174" spans="1:11" ht="12.75" customHeight="1" x14ac:dyDescent="0.2">
      <c r="A174" t="s">
        <v>928</v>
      </c>
      <c r="B174" t="s">
        <v>929</v>
      </c>
      <c r="C174">
        <v>2023</v>
      </c>
      <c r="D174" s="18">
        <v>45221</v>
      </c>
      <c r="E174" s="18">
        <v>45586</v>
      </c>
      <c r="F174" s="18" t="s">
        <v>611</v>
      </c>
      <c r="G174" t="s">
        <v>102</v>
      </c>
      <c r="H174">
        <v>2</v>
      </c>
      <c r="I174">
        <v>4</v>
      </c>
      <c r="J174" s="27">
        <v>25460.7</v>
      </c>
      <c r="K174" s="27">
        <v>3500000</v>
      </c>
    </row>
    <row r="175" spans="1:11" ht="12.75" customHeight="1" x14ac:dyDescent="0.2">
      <c r="A175" t="s">
        <v>930</v>
      </c>
      <c r="B175" t="s">
        <v>931</v>
      </c>
      <c r="C175">
        <v>2023</v>
      </c>
      <c r="D175" s="18">
        <v>45221</v>
      </c>
      <c r="E175" s="18">
        <v>45586</v>
      </c>
      <c r="F175" s="18" t="s">
        <v>611</v>
      </c>
      <c r="G175" t="s">
        <v>101</v>
      </c>
      <c r="H175">
        <v>3</v>
      </c>
      <c r="I175">
        <v>3</v>
      </c>
      <c r="J175" s="27">
        <v>45142.73</v>
      </c>
      <c r="K175" s="27">
        <v>3000000</v>
      </c>
    </row>
    <row r="176" spans="1:11" ht="12.75" customHeight="1" x14ac:dyDescent="0.2">
      <c r="A176" t="s">
        <v>932</v>
      </c>
      <c r="B176" t="s">
        <v>933</v>
      </c>
      <c r="C176">
        <v>2023</v>
      </c>
      <c r="D176" s="18">
        <v>45221</v>
      </c>
      <c r="E176" s="18">
        <v>45586</v>
      </c>
      <c r="F176" s="18" t="s">
        <v>611</v>
      </c>
      <c r="G176" t="s">
        <v>101</v>
      </c>
      <c r="H176">
        <v>1</v>
      </c>
      <c r="I176">
        <v>2</v>
      </c>
      <c r="J176" s="27">
        <v>62573.45</v>
      </c>
      <c r="K176" s="27">
        <v>4000000</v>
      </c>
    </row>
    <row r="177" spans="1:11" ht="12.75" customHeight="1" x14ac:dyDescent="0.2">
      <c r="A177" t="s">
        <v>934</v>
      </c>
      <c r="B177" t="s">
        <v>935</v>
      </c>
      <c r="C177">
        <v>2023</v>
      </c>
      <c r="D177" s="18">
        <v>45221</v>
      </c>
      <c r="E177" s="18">
        <v>45586</v>
      </c>
      <c r="F177" s="18" t="s">
        <v>611</v>
      </c>
      <c r="G177" t="s">
        <v>101</v>
      </c>
      <c r="H177">
        <v>3</v>
      </c>
      <c r="I177">
        <v>6</v>
      </c>
      <c r="J177" s="27">
        <v>140909.46</v>
      </c>
      <c r="K177" s="27">
        <v>10000000</v>
      </c>
    </row>
    <row r="178" spans="1:11" ht="12.75" customHeight="1" x14ac:dyDescent="0.2">
      <c r="A178" t="s">
        <v>936</v>
      </c>
      <c r="B178" t="s">
        <v>937</v>
      </c>
      <c r="C178">
        <v>2023</v>
      </c>
      <c r="D178" s="18">
        <v>45221</v>
      </c>
      <c r="E178" s="18">
        <v>45586</v>
      </c>
      <c r="F178" s="18" t="s">
        <v>611</v>
      </c>
      <c r="G178" t="s">
        <v>99</v>
      </c>
      <c r="H178">
        <v>2</v>
      </c>
      <c r="I178">
        <v>4</v>
      </c>
      <c r="J178" s="27">
        <v>35997.040000000001</v>
      </c>
      <c r="K178" s="27">
        <v>4000000</v>
      </c>
    </row>
    <row r="179" spans="1:11" ht="12.75" customHeight="1" x14ac:dyDescent="0.2">
      <c r="A179" t="s">
        <v>938</v>
      </c>
      <c r="B179" t="s">
        <v>939</v>
      </c>
      <c r="C179">
        <v>2023</v>
      </c>
      <c r="D179" s="18">
        <v>45222</v>
      </c>
      <c r="E179" s="18">
        <v>45587</v>
      </c>
      <c r="F179" s="18" t="s">
        <v>611</v>
      </c>
      <c r="G179" t="s">
        <v>99</v>
      </c>
      <c r="H179">
        <v>3</v>
      </c>
      <c r="I179">
        <v>6</v>
      </c>
      <c r="J179" s="27">
        <v>8053.13</v>
      </c>
      <c r="K179" s="27">
        <v>1000000</v>
      </c>
    </row>
    <row r="180" spans="1:11" ht="12.75" customHeight="1" x14ac:dyDescent="0.2">
      <c r="A180" t="s">
        <v>940</v>
      </c>
      <c r="B180" t="s">
        <v>941</v>
      </c>
      <c r="C180">
        <v>2023</v>
      </c>
      <c r="D180" s="18">
        <v>45222</v>
      </c>
      <c r="E180" s="18">
        <v>45587</v>
      </c>
      <c r="F180" s="18" t="s">
        <v>611</v>
      </c>
      <c r="G180" t="s">
        <v>101</v>
      </c>
      <c r="H180">
        <v>1</v>
      </c>
      <c r="I180">
        <v>1</v>
      </c>
      <c r="J180" s="27">
        <v>147660.49</v>
      </c>
      <c r="K180" s="27">
        <v>10000000</v>
      </c>
    </row>
    <row r="181" spans="1:11" ht="12.75" customHeight="1" x14ac:dyDescent="0.2">
      <c r="A181" t="s">
        <v>942</v>
      </c>
      <c r="B181" t="s">
        <v>943</v>
      </c>
      <c r="C181">
        <v>2023</v>
      </c>
      <c r="D181" s="18">
        <v>45222</v>
      </c>
      <c r="E181" s="18">
        <v>45587</v>
      </c>
      <c r="F181" s="18" t="s">
        <v>611</v>
      </c>
      <c r="G181" t="s">
        <v>100</v>
      </c>
      <c r="H181">
        <v>2</v>
      </c>
      <c r="I181">
        <v>2</v>
      </c>
      <c r="J181" s="27">
        <v>6559.74</v>
      </c>
      <c r="K181" s="27">
        <v>500000</v>
      </c>
    </row>
    <row r="182" spans="1:11" ht="12.75" customHeight="1" x14ac:dyDescent="0.2">
      <c r="A182" t="s">
        <v>944</v>
      </c>
      <c r="B182" t="s">
        <v>945</v>
      </c>
      <c r="C182">
        <v>2023</v>
      </c>
      <c r="D182" s="18">
        <v>45222</v>
      </c>
      <c r="E182" s="18">
        <v>45587</v>
      </c>
      <c r="F182" s="18" t="s">
        <v>611</v>
      </c>
      <c r="G182" t="s">
        <v>101</v>
      </c>
      <c r="H182">
        <v>1</v>
      </c>
      <c r="I182">
        <v>1</v>
      </c>
      <c r="J182" s="27">
        <v>28211.97</v>
      </c>
      <c r="K182" s="27">
        <v>2000000</v>
      </c>
    </row>
    <row r="183" spans="1:11" ht="12.75" customHeight="1" x14ac:dyDescent="0.2">
      <c r="A183" t="s">
        <v>946</v>
      </c>
      <c r="B183" t="s">
        <v>947</v>
      </c>
      <c r="C183">
        <v>2023</v>
      </c>
      <c r="D183" s="18">
        <v>45222</v>
      </c>
      <c r="E183" s="18">
        <v>45587</v>
      </c>
      <c r="F183" s="18" t="s">
        <v>611</v>
      </c>
      <c r="G183" t="s">
        <v>101</v>
      </c>
      <c r="H183">
        <v>1</v>
      </c>
      <c r="I183">
        <v>1</v>
      </c>
      <c r="J183" s="27">
        <v>33682.21</v>
      </c>
      <c r="K183" s="27">
        <v>2000000</v>
      </c>
    </row>
    <row r="184" spans="1:11" ht="12.75" customHeight="1" x14ac:dyDescent="0.2">
      <c r="A184" t="s">
        <v>948</v>
      </c>
      <c r="B184" t="s">
        <v>949</v>
      </c>
      <c r="C184">
        <v>2023</v>
      </c>
      <c r="D184" s="18">
        <v>45222</v>
      </c>
      <c r="E184" s="18">
        <v>45587</v>
      </c>
      <c r="F184" s="18" t="s">
        <v>611</v>
      </c>
      <c r="G184" t="s">
        <v>100</v>
      </c>
      <c r="H184">
        <v>1</v>
      </c>
      <c r="I184">
        <v>1</v>
      </c>
      <c r="J184" s="27">
        <v>24039.68</v>
      </c>
      <c r="K184" s="27">
        <v>2000000</v>
      </c>
    </row>
    <row r="185" spans="1:11" ht="12.75" customHeight="1" x14ac:dyDescent="0.2">
      <c r="A185" t="s">
        <v>950</v>
      </c>
      <c r="B185" t="s">
        <v>951</v>
      </c>
      <c r="C185">
        <v>2023</v>
      </c>
      <c r="D185" s="18">
        <v>45222</v>
      </c>
      <c r="E185" s="18">
        <v>45587</v>
      </c>
      <c r="F185" s="18" t="s">
        <v>611</v>
      </c>
      <c r="G185" t="s">
        <v>101</v>
      </c>
      <c r="H185">
        <v>1</v>
      </c>
      <c r="I185">
        <v>1</v>
      </c>
      <c r="J185" s="27">
        <v>162409.15</v>
      </c>
      <c r="K185" s="27">
        <v>10000000</v>
      </c>
    </row>
    <row r="186" spans="1:11" ht="12.75" customHeight="1" x14ac:dyDescent="0.2">
      <c r="A186" t="s">
        <v>952</v>
      </c>
      <c r="B186" t="s">
        <v>953</v>
      </c>
      <c r="C186">
        <v>2023</v>
      </c>
      <c r="D186" s="18">
        <v>45223</v>
      </c>
      <c r="E186" s="18">
        <v>45588</v>
      </c>
      <c r="F186" s="18" t="s">
        <v>608</v>
      </c>
      <c r="G186" t="s">
        <v>100</v>
      </c>
      <c r="H186">
        <v>1</v>
      </c>
      <c r="I186">
        <v>2</v>
      </c>
      <c r="J186" s="27">
        <v>44149.1</v>
      </c>
      <c r="K186" s="27">
        <v>3500000</v>
      </c>
    </row>
    <row r="187" spans="1:11" ht="12.75" customHeight="1" x14ac:dyDescent="0.2">
      <c r="A187" t="s">
        <v>954</v>
      </c>
      <c r="B187" t="s">
        <v>955</v>
      </c>
      <c r="C187">
        <v>2023</v>
      </c>
      <c r="D187" s="18">
        <v>45223</v>
      </c>
      <c r="E187" s="18">
        <v>45588</v>
      </c>
      <c r="F187" s="18" t="s">
        <v>611</v>
      </c>
      <c r="G187" t="s">
        <v>99</v>
      </c>
      <c r="H187">
        <v>2</v>
      </c>
      <c r="I187">
        <v>4</v>
      </c>
      <c r="J187" s="27">
        <v>26302.09</v>
      </c>
      <c r="K187" s="27">
        <v>3000000</v>
      </c>
    </row>
    <row r="188" spans="1:11" ht="12.75" customHeight="1" x14ac:dyDescent="0.2">
      <c r="A188" t="s">
        <v>956</v>
      </c>
      <c r="B188" t="s">
        <v>957</v>
      </c>
      <c r="C188">
        <v>2023</v>
      </c>
      <c r="D188" s="18">
        <v>45223</v>
      </c>
      <c r="E188" s="18">
        <v>45588</v>
      </c>
      <c r="F188" s="18" t="s">
        <v>611</v>
      </c>
      <c r="G188" t="s">
        <v>99</v>
      </c>
      <c r="H188">
        <v>1</v>
      </c>
      <c r="I188">
        <v>1</v>
      </c>
      <c r="J188" s="27">
        <v>34795.9</v>
      </c>
      <c r="K188" s="27">
        <v>4000000</v>
      </c>
    </row>
    <row r="189" spans="1:11" ht="12.75" customHeight="1" x14ac:dyDescent="0.2">
      <c r="A189" t="s">
        <v>958</v>
      </c>
      <c r="B189" t="s">
        <v>959</v>
      </c>
      <c r="C189">
        <v>2023</v>
      </c>
      <c r="D189" s="18">
        <v>45223</v>
      </c>
      <c r="E189" s="18">
        <v>45588</v>
      </c>
      <c r="F189" s="18" t="s">
        <v>611</v>
      </c>
      <c r="G189" t="s">
        <v>99</v>
      </c>
      <c r="H189">
        <v>2</v>
      </c>
      <c r="I189">
        <v>4</v>
      </c>
      <c r="J189" s="27">
        <v>86882.84</v>
      </c>
      <c r="K189" s="27">
        <v>10000000</v>
      </c>
    </row>
    <row r="190" spans="1:11" ht="12.75" customHeight="1" x14ac:dyDescent="0.2">
      <c r="A190" t="s">
        <v>960</v>
      </c>
      <c r="B190" t="s">
        <v>961</v>
      </c>
      <c r="C190">
        <v>2023</v>
      </c>
      <c r="D190" s="18">
        <v>45223</v>
      </c>
      <c r="E190" s="18">
        <v>45588</v>
      </c>
      <c r="F190" s="18" t="s">
        <v>611</v>
      </c>
      <c r="G190" t="s">
        <v>100</v>
      </c>
      <c r="H190">
        <v>1</v>
      </c>
      <c r="I190">
        <v>1</v>
      </c>
      <c r="J190" s="27">
        <v>66167.08</v>
      </c>
      <c r="K190" s="27">
        <v>5000000</v>
      </c>
    </row>
    <row r="191" spans="1:11" ht="12.75" customHeight="1" x14ac:dyDescent="0.2">
      <c r="A191" t="s">
        <v>962</v>
      </c>
      <c r="B191" t="s">
        <v>963</v>
      </c>
      <c r="C191">
        <v>2023</v>
      </c>
      <c r="D191" s="18">
        <v>45223</v>
      </c>
      <c r="E191" s="18">
        <v>45588</v>
      </c>
      <c r="F191" s="18" t="s">
        <v>611</v>
      </c>
      <c r="G191" t="s">
        <v>101</v>
      </c>
      <c r="H191">
        <v>3</v>
      </c>
      <c r="I191">
        <v>3</v>
      </c>
      <c r="J191" s="27">
        <v>38260.339999999997</v>
      </c>
      <c r="K191" s="27">
        <v>2500000</v>
      </c>
    </row>
    <row r="192" spans="1:11" ht="12.75" customHeight="1" x14ac:dyDescent="0.2">
      <c r="A192" t="s">
        <v>964</v>
      </c>
      <c r="B192" t="s">
        <v>965</v>
      </c>
      <c r="C192">
        <v>2023</v>
      </c>
      <c r="D192" s="18">
        <v>45223</v>
      </c>
      <c r="E192" s="18">
        <v>45588</v>
      </c>
      <c r="F192" s="18" t="s">
        <v>611</v>
      </c>
      <c r="G192" t="s">
        <v>99</v>
      </c>
      <c r="H192">
        <v>1</v>
      </c>
      <c r="I192">
        <v>2</v>
      </c>
      <c r="J192" s="27">
        <v>3878.32</v>
      </c>
      <c r="K192" s="27">
        <v>500000</v>
      </c>
    </row>
    <row r="193" spans="1:11" ht="12.75" customHeight="1" x14ac:dyDescent="0.2">
      <c r="A193" t="s">
        <v>966</v>
      </c>
      <c r="B193" t="s">
        <v>967</v>
      </c>
      <c r="C193">
        <v>2023</v>
      </c>
      <c r="D193" s="18">
        <v>45223</v>
      </c>
      <c r="E193" s="18">
        <v>45588</v>
      </c>
      <c r="F193" s="18" t="s">
        <v>611</v>
      </c>
      <c r="G193" t="s">
        <v>101</v>
      </c>
      <c r="H193">
        <v>2</v>
      </c>
      <c r="I193">
        <v>4</v>
      </c>
      <c r="J193" s="27">
        <v>31414.18</v>
      </c>
      <c r="K193" s="27">
        <v>2000000</v>
      </c>
    </row>
    <row r="194" spans="1:11" ht="12.75" customHeight="1" x14ac:dyDescent="0.2">
      <c r="A194" t="s">
        <v>968</v>
      </c>
      <c r="B194" t="s">
        <v>969</v>
      </c>
      <c r="C194">
        <v>2023</v>
      </c>
      <c r="D194" s="18">
        <v>45223</v>
      </c>
      <c r="E194" s="18">
        <v>45588</v>
      </c>
      <c r="F194" s="18" t="s">
        <v>611</v>
      </c>
      <c r="G194" t="s">
        <v>100</v>
      </c>
      <c r="H194">
        <v>1</v>
      </c>
      <c r="I194">
        <v>1</v>
      </c>
      <c r="J194" s="27">
        <v>125844.02</v>
      </c>
      <c r="K194" s="27">
        <v>10000000</v>
      </c>
    </row>
    <row r="195" spans="1:11" ht="12.75" customHeight="1" x14ac:dyDescent="0.2">
      <c r="A195" t="s">
        <v>970</v>
      </c>
      <c r="B195" t="s">
        <v>971</v>
      </c>
      <c r="C195">
        <v>2023</v>
      </c>
      <c r="D195" s="18">
        <v>45223</v>
      </c>
      <c r="E195" s="18">
        <v>45588</v>
      </c>
      <c r="F195" s="18" t="s">
        <v>611</v>
      </c>
      <c r="G195" t="s">
        <v>100</v>
      </c>
      <c r="H195">
        <v>2</v>
      </c>
      <c r="I195">
        <v>2</v>
      </c>
      <c r="J195" s="27">
        <v>56346.080000000002</v>
      </c>
      <c r="K195" s="27">
        <v>5000000</v>
      </c>
    </row>
    <row r="196" spans="1:11" ht="12.75" customHeight="1" x14ac:dyDescent="0.2">
      <c r="A196" t="s">
        <v>972</v>
      </c>
      <c r="B196" t="s">
        <v>973</v>
      </c>
      <c r="C196">
        <v>2023</v>
      </c>
      <c r="D196" s="18">
        <v>45224</v>
      </c>
      <c r="E196" s="18">
        <v>45589</v>
      </c>
      <c r="F196" s="18" t="s">
        <v>608</v>
      </c>
      <c r="G196" t="s">
        <v>101</v>
      </c>
      <c r="H196">
        <v>1</v>
      </c>
      <c r="I196">
        <v>2</v>
      </c>
      <c r="J196" s="27">
        <v>24765.31</v>
      </c>
      <c r="K196" s="27">
        <v>1500000</v>
      </c>
    </row>
    <row r="197" spans="1:11" ht="12.75" customHeight="1" x14ac:dyDescent="0.2">
      <c r="A197" t="s">
        <v>974</v>
      </c>
      <c r="B197" t="s">
        <v>975</v>
      </c>
      <c r="C197">
        <v>2023</v>
      </c>
      <c r="D197" s="18">
        <v>45224</v>
      </c>
      <c r="E197" s="18">
        <v>45589</v>
      </c>
      <c r="F197" s="18" t="s">
        <v>611</v>
      </c>
      <c r="G197" t="s">
        <v>99</v>
      </c>
      <c r="H197">
        <v>1</v>
      </c>
      <c r="I197">
        <v>2</v>
      </c>
      <c r="J197" s="27">
        <v>13526.65</v>
      </c>
      <c r="K197" s="27">
        <v>1500000</v>
      </c>
    </row>
    <row r="198" spans="1:11" ht="12.75" customHeight="1" x14ac:dyDescent="0.2">
      <c r="A198" t="s">
        <v>976</v>
      </c>
      <c r="B198" t="s">
        <v>977</v>
      </c>
      <c r="C198">
        <v>2023</v>
      </c>
      <c r="D198" s="18">
        <v>45224</v>
      </c>
      <c r="E198" s="18">
        <v>45589</v>
      </c>
      <c r="F198" s="18" t="s">
        <v>611</v>
      </c>
      <c r="G198" t="s">
        <v>99</v>
      </c>
      <c r="H198">
        <v>1</v>
      </c>
      <c r="I198">
        <v>1</v>
      </c>
      <c r="J198" s="27">
        <v>21434.84</v>
      </c>
      <c r="K198" s="27">
        <v>2500000</v>
      </c>
    </row>
    <row r="199" spans="1:11" ht="12.75" customHeight="1" x14ac:dyDescent="0.2">
      <c r="A199" t="s">
        <v>978</v>
      </c>
      <c r="B199" t="s">
        <v>979</v>
      </c>
      <c r="C199">
        <v>2023</v>
      </c>
      <c r="D199" s="18">
        <v>45224</v>
      </c>
      <c r="E199" s="18">
        <v>45589</v>
      </c>
      <c r="F199" s="18" t="s">
        <v>611</v>
      </c>
      <c r="G199" t="s">
        <v>101</v>
      </c>
      <c r="H199">
        <v>1</v>
      </c>
      <c r="I199">
        <v>2</v>
      </c>
      <c r="J199" s="27">
        <v>159003.49</v>
      </c>
      <c r="K199" s="27">
        <v>10000000</v>
      </c>
    </row>
    <row r="200" spans="1:11" ht="12.75" customHeight="1" x14ac:dyDescent="0.2">
      <c r="A200" t="s">
        <v>980</v>
      </c>
      <c r="B200" t="s">
        <v>981</v>
      </c>
      <c r="C200">
        <v>2023</v>
      </c>
      <c r="D200" s="18">
        <v>45224</v>
      </c>
      <c r="E200" s="18">
        <v>45589</v>
      </c>
      <c r="F200" s="18" t="s">
        <v>611</v>
      </c>
      <c r="G200" t="s">
        <v>101</v>
      </c>
      <c r="H200">
        <v>2</v>
      </c>
      <c r="I200">
        <v>2</v>
      </c>
      <c r="J200" s="27">
        <v>58178</v>
      </c>
      <c r="K200" s="27">
        <v>4000000</v>
      </c>
    </row>
    <row r="201" spans="1:11" ht="12.75" customHeight="1" x14ac:dyDescent="0.2">
      <c r="A201" t="s">
        <v>982</v>
      </c>
      <c r="B201" t="s">
        <v>983</v>
      </c>
      <c r="C201">
        <v>2023</v>
      </c>
      <c r="D201" s="18">
        <v>45224</v>
      </c>
      <c r="E201" s="18">
        <v>45589</v>
      </c>
      <c r="F201" s="18" t="s">
        <v>611</v>
      </c>
      <c r="G201" t="s">
        <v>100</v>
      </c>
      <c r="H201">
        <v>2</v>
      </c>
      <c r="I201">
        <v>2</v>
      </c>
      <c r="J201" s="27">
        <v>55861.09</v>
      </c>
      <c r="K201" s="27">
        <v>5000000</v>
      </c>
    </row>
    <row r="202" spans="1:11" ht="12.75" customHeight="1" x14ac:dyDescent="0.2">
      <c r="A202" t="s">
        <v>984</v>
      </c>
      <c r="B202" t="s">
        <v>985</v>
      </c>
      <c r="C202">
        <v>2023</v>
      </c>
      <c r="D202" s="18">
        <v>45224</v>
      </c>
      <c r="E202" s="18">
        <v>45589</v>
      </c>
      <c r="F202" s="18" t="s">
        <v>611</v>
      </c>
      <c r="G202" t="s">
        <v>101</v>
      </c>
      <c r="H202">
        <v>2</v>
      </c>
      <c r="I202">
        <v>4</v>
      </c>
      <c r="J202" s="27">
        <v>28717.9</v>
      </c>
      <c r="K202" s="27">
        <v>2000000</v>
      </c>
    </row>
    <row r="203" spans="1:11" ht="12.75" customHeight="1" x14ac:dyDescent="0.2">
      <c r="A203" t="s">
        <v>986</v>
      </c>
      <c r="B203" t="s">
        <v>987</v>
      </c>
      <c r="C203">
        <v>2023</v>
      </c>
      <c r="D203" s="18">
        <v>45225</v>
      </c>
      <c r="E203" s="18">
        <v>45590</v>
      </c>
      <c r="F203" s="18" t="s">
        <v>608</v>
      </c>
      <c r="G203" t="s">
        <v>102</v>
      </c>
      <c r="H203">
        <v>3</v>
      </c>
      <c r="I203">
        <v>6</v>
      </c>
      <c r="J203" s="27">
        <v>31324.89</v>
      </c>
      <c r="K203" s="27">
        <v>4000000</v>
      </c>
    </row>
    <row r="204" spans="1:11" ht="12.75" customHeight="1" x14ac:dyDescent="0.2">
      <c r="A204" t="s">
        <v>988</v>
      </c>
      <c r="B204" t="s">
        <v>989</v>
      </c>
      <c r="C204">
        <v>2023</v>
      </c>
      <c r="D204" s="18">
        <v>45225</v>
      </c>
      <c r="E204" s="18">
        <v>45590</v>
      </c>
      <c r="F204" s="18" t="s">
        <v>608</v>
      </c>
      <c r="G204" t="s">
        <v>99</v>
      </c>
      <c r="H204">
        <v>1</v>
      </c>
      <c r="I204">
        <v>1</v>
      </c>
      <c r="J204" s="27">
        <v>4352.84</v>
      </c>
      <c r="K204" s="27"/>
    </row>
    <row r="205" spans="1:11" ht="12.75" customHeight="1" x14ac:dyDescent="0.2">
      <c r="A205" t="s">
        <v>990</v>
      </c>
      <c r="B205" t="s">
        <v>991</v>
      </c>
      <c r="C205">
        <v>2023</v>
      </c>
      <c r="D205" s="18">
        <v>45225</v>
      </c>
      <c r="E205" s="18">
        <v>45590</v>
      </c>
      <c r="F205" s="18" t="s">
        <v>611</v>
      </c>
      <c r="G205" t="s">
        <v>100</v>
      </c>
      <c r="H205">
        <v>3</v>
      </c>
      <c r="I205">
        <v>3</v>
      </c>
      <c r="J205" s="27">
        <v>63345.59</v>
      </c>
      <c r="K205" s="27">
        <v>5000000</v>
      </c>
    </row>
    <row r="206" spans="1:11" ht="12.75" customHeight="1" x14ac:dyDescent="0.2">
      <c r="A206" t="s">
        <v>992</v>
      </c>
      <c r="B206" t="s">
        <v>993</v>
      </c>
      <c r="C206">
        <v>2023</v>
      </c>
      <c r="D206" s="18">
        <v>45225</v>
      </c>
      <c r="E206" s="18">
        <v>45590</v>
      </c>
      <c r="F206" s="18" t="s">
        <v>611</v>
      </c>
      <c r="G206" t="s">
        <v>101</v>
      </c>
      <c r="H206">
        <v>1</v>
      </c>
      <c r="I206">
        <v>2</v>
      </c>
      <c r="J206" s="27">
        <v>7593.81</v>
      </c>
      <c r="K206" s="27">
        <v>500000</v>
      </c>
    </row>
    <row r="207" spans="1:11" ht="12.75" customHeight="1" x14ac:dyDescent="0.2">
      <c r="A207" t="s">
        <v>994</v>
      </c>
      <c r="B207" t="s">
        <v>995</v>
      </c>
      <c r="C207">
        <v>2023</v>
      </c>
      <c r="D207" s="18">
        <v>45225</v>
      </c>
      <c r="E207" s="18">
        <v>45590</v>
      </c>
      <c r="F207" s="18" t="s">
        <v>611</v>
      </c>
      <c r="G207" t="s">
        <v>100</v>
      </c>
      <c r="H207">
        <v>1</v>
      </c>
      <c r="I207">
        <v>2</v>
      </c>
      <c r="J207" s="27">
        <v>119711.81</v>
      </c>
      <c r="K207" s="27">
        <v>10000000</v>
      </c>
    </row>
    <row r="208" spans="1:11" ht="12.75" customHeight="1" x14ac:dyDescent="0.2">
      <c r="A208" t="s">
        <v>996</v>
      </c>
      <c r="B208" t="s">
        <v>997</v>
      </c>
      <c r="C208">
        <v>2023</v>
      </c>
      <c r="D208" s="18">
        <v>45225</v>
      </c>
      <c r="E208" s="18">
        <v>45590</v>
      </c>
      <c r="F208" s="18" t="s">
        <v>611</v>
      </c>
      <c r="G208" t="s">
        <v>101</v>
      </c>
      <c r="H208">
        <v>3</v>
      </c>
      <c r="I208">
        <v>6</v>
      </c>
      <c r="J208" s="27">
        <v>56940.62</v>
      </c>
      <c r="K208" s="27">
        <v>4000000</v>
      </c>
    </row>
    <row r="209" spans="1:11" ht="12.75" customHeight="1" x14ac:dyDescent="0.2">
      <c r="A209" t="s">
        <v>998</v>
      </c>
      <c r="B209" t="s">
        <v>999</v>
      </c>
      <c r="C209">
        <v>2023</v>
      </c>
      <c r="D209" s="18">
        <v>45225</v>
      </c>
      <c r="E209" s="18">
        <v>45590</v>
      </c>
      <c r="F209" s="18" t="s">
        <v>611</v>
      </c>
      <c r="G209" t="s">
        <v>100</v>
      </c>
      <c r="H209">
        <v>3</v>
      </c>
      <c r="I209">
        <v>3</v>
      </c>
      <c r="J209" s="27">
        <v>57986.61</v>
      </c>
      <c r="K209" s="27">
        <v>5000000</v>
      </c>
    </row>
    <row r="210" spans="1:11" ht="12.75" customHeight="1" x14ac:dyDescent="0.2">
      <c r="A210" t="s">
        <v>1000</v>
      </c>
      <c r="B210" t="s">
        <v>1001</v>
      </c>
      <c r="C210">
        <v>2023</v>
      </c>
      <c r="D210" s="18">
        <v>45225</v>
      </c>
      <c r="E210" s="18">
        <v>45590</v>
      </c>
      <c r="F210" s="18" t="s">
        <v>611</v>
      </c>
      <c r="G210" t="s">
        <v>102</v>
      </c>
      <c r="H210">
        <v>1</v>
      </c>
      <c r="I210">
        <v>1</v>
      </c>
      <c r="J210" s="27">
        <v>28853.42</v>
      </c>
      <c r="K210" s="27">
        <v>4000000</v>
      </c>
    </row>
    <row r="211" spans="1:11" ht="12.75" customHeight="1" x14ac:dyDescent="0.2">
      <c r="A211" t="s">
        <v>1002</v>
      </c>
      <c r="B211" t="s">
        <v>1003</v>
      </c>
      <c r="C211">
        <v>2023</v>
      </c>
      <c r="D211" s="18">
        <v>45226</v>
      </c>
      <c r="E211" s="18">
        <v>45591</v>
      </c>
      <c r="F211" s="18" t="s">
        <v>608</v>
      </c>
      <c r="G211" t="s">
        <v>100</v>
      </c>
      <c r="H211">
        <v>1</v>
      </c>
      <c r="I211">
        <v>1</v>
      </c>
      <c r="J211" s="27">
        <v>26353.24</v>
      </c>
      <c r="K211" s="27">
        <v>2000000</v>
      </c>
    </row>
    <row r="212" spans="1:11" ht="12.75" customHeight="1" x14ac:dyDescent="0.2">
      <c r="A212" t="s">
        <v>1004</v>
      </c>
      <c r="B212" t="s">
        <v>1005</v>
      </c>
      <c r="C212">
        <v>2023</v>
      </c>
      <c r="D212" s="18">
        <v>45226</v>
      </c>
      <c r="E212" s="18">
        <v>45591</v>
      </c>
      <c r="F212" s="18" t="s">
        <v>608</v>
      </c>
      <c r="G212" t="s">
        <v>100</v>
      </c>
      <c r="H212">
        <v>1</v>
      </c>
      <c r="I212">
        <v>1</v>
      </c>
      <c r="J212" s="27">
        <v>57908.800000000003</v>
      </c>
      <c r="K212" s="27">
        <v>5000000</v>
      </c>
    </row>
    <row r="213" spans="1:11" ht="12.75" customHeight="1" x14ac:dyDescent="0.2">
      <c r="A213" t="s">
        <v>1006</v>
      </c>
      <c r="B213" t="s">
        <v>1007</v>
      </c>
      <c r="C213">
        <v>2023</v>
      </c>
      <c r="D213" s="18">
        <v>45226</v>
      </c>
      <c r="E213" s="18">
        <v>45591</v>
      </c>
      <c r="F213" s="18" t="s">
        <v>611</v>
      </c>
      <c r="G213" t="s">
        <v>101</v>
      </c>
      <c r="H213">
        <v>1</v>
      </c>
      <c r="I213">
        <v>1</v>
      </c>
      <c r="J213" s="27">
        <v>14334.33</v>
      </c>
      <c r="K213" s="27">
        <v>1000000</v>
      </c>
    </row>
    <row r="214" spans="1:11" ht="12.75" customHeight="1" x14ac:dyDescent="0.2">
      <c r="A214" t="s">
        <v>1008</v>
      </c>
      <c r="B214" t="s">
        <v>1009</v>
      </c>
      <c r="C214">
        <v>2023</v>
      </c>
      <c r="D214" s="18">
        <v>45226</v>
      </c>
      <c r="E214" s="18">
        <v>45591</v>
      </c>
      <c r="F214" s="18" t="s">
        <v>611</v>
      </c>
      <c r="G214" t="s">
        <v>101</v>
      </c>
      <c r="H214">
        <v>1</v>
      </c>
      <c r="I214">
        <v>1</v>
      </c>
      <c r="J214" s="27">
        <v>30412.69</v>
      </c>
      <c r="K214" s="27">
        <v>2000000</v>
      </c>
    </row>
    <row r="215" spans="1:11" ht="12.75" customHeight="1" x14ac:dyDescent="0.2">
      <c r="A215" t="s">
        <v>1010</v>
      </c>
      <c r="B215" t="s">
        <v>1011</v>
      </c>
      <c r="C215">
        <v>2023</v>
      </c>
      <c r="D215" s="18">
        <v>45226</v>
      </c>
      <c r="E215" s="18">
        <v>45591</v>
      </c>
      <c r="F215" s="18" t="s">
        <v>611</v>
      </c>
      <c r="G215" t="s">
        <v>100</v>
      </c>
      <c r="H215">
        <v>3</v>
      </c>
      <c r="I215">
        <v>6</v>
      </c>
      <c r="J215" s="27">
        <v>63301.760000000002</v>
      </c>
      <c r="K215" s="27">
        <v>5000000</v>
      </c>
    </row>
    <row r="216" spans="1:11" ht="12.75" customHeight="1" x14ac:dyDescent="0.2">
      <c r="A216" t="s">
        <v>1012</v>
      </c>
      <c r="B216" t="s">
        <v>1013</v>
      </c>
      <c r="C216">
        <v>2023</v>
      </c>
      <c r="D216" s="18">
        <v>45226</v>
      </c>
      <c r="E216" s="18">
        <v>45591</v>
      </c>
      <c r="F216" s="18" t="s">
        <v>611</v>
      </c>
      <c r="G216" t="s">
        <v>101</v>
      </c>
      <c r="H216">
        <v>2</v>
      </c>
      <c r="I216">
        <v>4</v>
      </c>
      <c r="J216" s="27">
        <v>149302.28</v>
      </c>
      <c r="K216" s="27">
        <v>10000000</v>
      </c>
    </row>
    <row r="217" spans="1:11" ht="12.75" customHeight="1" x14ac:dyDescent="0.2">
      <c r="A217" t="s">
        <v>1014</v>
      </c>
      <c r="B217" t="s">
        <v>1015</v>
      </c>
      <c r="C217">
        <v>2023</v>
      </c>
      <c r="D217" s="18">
        <v>45226</v>
      </c>
      <c r="E217" s="18">
        <v>45591</v>
      </c>
      <c r="F217" s="18" t="s">
        <v>611</v>
      </c>
      <c r="G217" t="s">
        <v>99</v>
      </c>
      <c r="H217">
        <v>3</v>
      </c>
      <c r="I217">
        <v>3</v>
      </c>
      <c r="J217" s="27">
        <v>21011.84</v>
      </c>
      <c r="K217" s="27">
        <v>2500000</v>
      </c>
    </row>
    <row r="218" spans="1:11" ht="12.75" customHeight="1" x14ac:dyDescent="0.2">
      <c r="A218" t="s">
        <v>1016</v>
      </c>
      <c r="B218" t="s">
        <v>1017</v>
      </c>
      <c r="C218">
        <v>2023</v>
      </c>
      <c r="D218" s="18">
        <v>45226</v>
      </c>
      <c r="E218" s="18">
        <v>45591</v>
      </c>
      <c r="F218" s="18" t="s">
        <v>611</v>
      </c>
      <c r="G218" t="s">
        <v>100</v>
      </c>
      <c r="H218">
        <v>3</v>
      </c>
      <c r="I218">
        <v>6</v>
      </c>
      <c r="J218" s="27">
        <v>25135.73</v>
      </c>
      <c r="K218" s="27">
        <v>2000000</v>
      </c>
    </row>
    <row r="219" spans="1:11" ht="12.75" customHeight="1" x14ac:dyDescent="0.2">
      <c r="A219" t="s">
        <v>1018</v>
      </c>
      <c r="B219" t="s">
        <v>1019</v>
      </c>
      <c r="C219">
        <v>2023</v>
      </c>
      <c r="D219" s="18">
        <v>45226</v>
      </c>
      <c r="E219" s="18">
        <v>45591</v>
      </c>
      <c r="F219" s="18" t="s">
        <v>611</v>
      </c>
      <c r="G219" t="s">
        <v>101</v>
      </c>
      <c r="H219">
        <v>1</v>
      </c>
      <c r="I219">
        <v>1</v>
      </c>
      <c r="J219" s="27">
        <v>163597.92000000001</v>
      </c>
      <c r="K219" s="27">
        <v>10000000</v>
      </c>
    </row>
    <row r="220" spans="1:11" ht="12.75" customHeight="1" x14ac:dyDescent="0.2">
      <c r="A220" t="s">
        <v>1020</v>
      </c>
      <c r="B220" t="s">
        <v>1021</v>
      </c>
      <c r="C220">
        <v>2023</v>
      </c>
      <c r="D220" s="18">
        <v>45226</v>
      </c>
      <c r="E220" s="18">
        <v>45591</v>
      </c>
      <c r="F220" s="18" t="s">
        <v>611</v>
      </c>
      <c r="G220" t="s">
        <v>101</v>
      </c>
      <c r="H220">
        <v>3</v>
      </c>
      <c r="I220">
        <v>3</v>
      </c>
      <c r="J220" s="27">
        <v>160714.14000000001</v>
      </c>
      <c r="K220" s="27">
        <v>10000000</v>
      </c>
    </row>
    <row r="221" spans="1:11" ht="12.75" customHeight="1" x14ac:dyDescent="0.2">
      <c r="A221" t="s">
        <v>1022</v>
      </c>
      <c r="B221" t="s">
        <v>1023</v>
      </c>
      <c r="C221">
        <v>2023</v>
      </c>
      <c r="D221" s="18">
        <v>45226</v>
      </c>
      <c r="E221" s="18">
        <v>45591</v>
      </c>
      <c r="F221" s="18" t="s">
        <v>611</v>
      </c>
      <c r="G221" t="s">
        <v>100</v>
      </c>
      <c r="H221">
        <v>2</v>
      </c>
      <c r="I221">
        <v>2</v>
      </c>
      <c r="J221" s="27">
        <v>60673.29</v>
      </c>
      <c r="K221" s="27">
        <v>5000000</v>
      </c>
    </row>
    <row r="222" spans="1:11" ht="12.75" customHeight="1" x14ac:dyDescent="0.2">
      <c r="A222" t="s">
        <v>1024</v>
      </c>
      <c r="B222" t="s">
        <v>1025</v>
      </c>
      <c r="C222">
        <v>2023</v>
      </c>
      <c r="D222" s="18">
        <v>45227</v>
      </c>
      <c r="E222" s="18">
        <v>45592</v>
      </c>
      <c r="F222" s="18" t="s">
        <v>608</v>
      </c>
      <c r="G222" t="s">
        <v>100</v>
      </c>
      <c r="H222">
        <v>1</v>
      </c>
      <c r="I222">
        <v>1</v>
      </c>
      <c r="J222" s="27">
        <v>55629.3</v>
      </c>
      <c r="K222" s="27">
        <v>5000000</v>
      </c>
    </row>
    <row r="223" spans="1:11" ht="12.75" customHeight="1" x14ac:dyDescent="0.2">
      <c r="A223" t="s">
        <v>1026</v>
      </c>
      <c r="B223" t="s">
        <v>1027</v>
      </c>
      <c r="C223">
        <v>2023</v>
      </c>
      <c r="D223" s="18">
        <v>45227</v>
      </c>
      <c r="E223" s="18">
        <v>45592</v>
      </c>
      <c r="F223" s="18" t="s">
        <v>608</v>
      </c>
      <c r="G223" t="s">
        <v>99</v>
      </c>
      <c r="H223">
        <v>2</v>
      </c>
      <c r="I223">
        <v>2</v>
      </c>
      <c r="J223" s="27">
        <v>24451.63</v>
      </c>
      <c r="K223" s="27">
        <v>3000000</v>
      </c>
    </row>
    <row r="224" spans="1:11" ht="12.75" customHeight="1" x14ac:dyDescent="0.2">
      <c r="A224" t="s">
        <v>1028</v>
      </c>
      <c r="B224" t="s">
        <v>1029</v>
      </c>
      <c r="C224">
        <v>2023</v>
      </c>
      <c r="D224" s="18">
        <v>45227</v>
      </c>
      <c r="E224" s="18">
        <v>45592</v>
      </c>
      <c r="F224" s="18" t="s">
        <v>611</v>
      </c>
      <c r="G224" t="s">
        <v>101</v>
      </c>
      <c r="H224">
        <v>1</v>
      </c>
      <c r="I224">
        <v>2</v>
      </c>
      <c r="J224" s="27">
        <v>29052.3</v>
      </c>
      <c r="K224" s="27">
        <v>2000000</v>
      </c>
    </row>
    <row r="225" spans="1:11" ht="12.75" customHeight="1" x14ac:dyDescent="0.2">
      <c r="A225" t="s">
        <v>1030</v>
      </c>
      <c r="B225" t="s">
        <v>1031</v>
      </c>
      <c r="C225">
        <v>2023</v>
      </c>
      <c r="D225" s="18">
        <v>45227</v>
      </c>
      <c r="E225" s="18">
        <v>45592</v>
      </c>
      <c r="F225" s="18" t="s">
        <v>611</v>
      </c>
      <c r="G225" t="s">
        <v>101</v>
      </c>
      <c r="H225">
        <v>3</v>
      </c>
      <c r="I225">
        <v>3</v>
      </c>
      <c r="J225" s="27">
        <v>58092.37</v>
      </c>
      <c r="K225" s="27">
        <v>4000000</v>
      </c>
    </row>
    <row r="226" spans="1:11" ht="12.75" customHeight="1" x14ac:dyDescent="0.2">
      <c r="A226" t="s">
        <v>1032</v>
      </c>
      <c r="B226" t="s">
        <v>1033</v>
      </c>
      <c r="C226">
        <v>2023</v>
      </c>
      <c r="D226" s="18">
        <v>45227</v>
      </c>
      <c r="E226" s="18">
        <v>45592</v>
      </c>
      <c r="F226" s="18" t="s">
        <v>611</v>
      </c>
      <c r="G226" t="s">
        <v>100</v>
      </c>
      <c r="H226">
        <v>2</v>
      </c>
      <c r="I226">
        <v>2</v>
      </c>
      <c r="J226" s="27">
        <v>16877.09</v>
      </c>
      <c r="K226" s="27">
        <v>1500000</v>
      </c>
    </row>
    <row r="227" spans="1:11" ht="12.75" customHeight="1" x14ac:dyDescent="0.2">
      <c r="A227" t="s">
        <v>1034</v>
      </c>
      <c r="B227" t="s">
        <v>1035</v>
      </c>
      <c r="C227">
        <v>2023</v>
      </c>
      <c r="D227" s="18">
        <v>45227</v>
      </c>
      <c r="E227" s="18">
        <v>45592</v>
      </c>
      <c r="F227" s="18" t="s">
        <v>611</v>
      </c>
      <c r="G227" t="s">
        <v>100</v>
      </c>
      <c r="H227">
        <v>1</v>
      </c>
      <c r="I227">
        <v>1</v>
      </c>
      <c r="J227" s="27">
        <v>47718.85</v>
      </c>
      <c r="K227" s="27">
        <v>4000000</v>
      </c>
    </row>
    <row r="228" spans="1:11" ht="12.75" customHeight="1" x14ac:dyDescent="0.2">
      <c r="A228" t="s">
        <v>1036</v>
      </c>
      <c r="B228" t="s">
        <v>1037</v>
      </c>
      <c r="C228">
        <v>2023</v>
      </c>
      <c r="D228" s="18">
        <v>45227</v>
      </c>
      <c r="E228" s="18">
        <v>45592</v>
      </c>
      <c r="F228" s="18" t="s">
        <v>611</v>
      </c>
      <c r="G228" t="s">
        <v>102</v>
      </c>
      <c r="H228">
        <v>1</v>
      </c>
      <c r="I228">
        <v>1</v>
      </c>
      <c r="J228" s="27">
        <v>13581.98</v>
      </c>
      <c r="K228" s="27">
        <v>2000000</v>
      </c>
    </row>
    <row r="229" spans="1:11" ht="12.75" customHeight="1" x14ac:dyDescent="0.2">
      <c r="A229" t="s">
        <v>1038</v>
      </c>
      <c r="B229" t="s">
        <v>1039</v>
      </c>
      <c r="C229">
        <v>2023</v>
      </c>
      <c r="D229" s="18">
        <v>45228</v>
      </c>
      <c r="E229" s="18">
        <v>45593</v>
      </c>
      <c r="F229" s="18" t="s">
        <v>608</v>
      </c>
      <c r="G229" t="s">
        <v>102</v>
      </c>
      <c r="H229">
        <v>2</v>
      </c>
      <c r="I229">
        <v>4</v>
      </c>
      <c r="J229" s="27">
        <v>22911.56</v>
      </c>
      <c r="K229" s="27">
        <v>3000000</v>
      </c>
    </row>
    <row r="230" spans="1:11" ht="12.75" customHeight="1" x14ac:dyDescent="0.2">
      <c r="A230" t="s">
        <v>1040</v>
      </c>
      <c r="B230" t="s">
        <v>1041</v>
      </c>
      <c r="C230">
        <v>2023</v>
      </c>
      <c r="D230" s="18">
        <v>45228</v>
      </c>
      <c r="E230" s="18">
        <v>45593</v>
      </c>
      <c r="F230" s="18" t="s">
        <v>611</v>
      </c>
      <c r="G230" t="s">
        <v>101</v>
      </c>
      <c r="H230">
        <v>3</v>
      </c>
      <c r="I230">
        <v>6</v>
      </c>
      <c r="J230" s="27">
        <v>76693.45</v>
      </c>
      <c r="K230" s="27">
        <v>5000000</v>
      </c>
    </row>
    <row r="231" spans="1:11" ht="12.75" customHeight="1" x14ac:dyDescent="0.2">
      <c r="A231" t="s">
        <v>1042</v>
      </c>
      <c r="B231" t="s">
        <v>1043</v>
      </c>
      <c r="C231">
        <v>2023</v>
      </c>
      <c r="D231" s="18">
        <v>45228</v>
      </c>
      <c r="E231" s="18">
        <v>45593</v>
      </c>
      <c r="F231" s="18" t="s">
        <v>611</v>
      </c>
      <c r="G231" t="s">
        <v>100</v>
      </c>
      <c r="H231">
        <v>1</v>
      </c>
      <c r="I231">
        <v>1</v>
      </c>
      <c r="J231" s="27">
        <v>51627.17</v>
      </c>
      <c r="K231" s="27">
        <v>4000000</v>
      </c>
    </row>
    <row r="232" spans="1:11" ht="12.75" customHeight="1" x14ac:dyDescent="0.2">
      <c r="A232" t="s">
        <v>1044</v>
      </c>
      <c r="B232" t="s">
        <v>1045</v>
      </c>
      <c r="C232">
        <v>2023</v>
      </c>
      <c r="D232" s="18">
        <v>45228</v>
      </c>
      <c r="E232" s="18">
        <v>45593</v>
      </c>
      <c r="F232" s="18" t="s">
        <v>611</v>
      </c>
      <c r="G232" t="s">
        <v>101</v>
      </c>
      <c r="H232">
        <v>2</v>
      </c>
      <c r="I232">
        <v>2</v>
      </c>
      <c r="J232" s="27">
        <v>152723.32</v>
      </c>
      <c r="K232" s="27">
        <v>10000000</v>
      </c>
    </row>
    <row r="233" spans="1:11" ht="12.75" customHeight="1" x14ac:dyDescent="0.2">
      <c r="A233" t="s">
        <v>1046</v>
      </c>
      <c r="B233" t="s">
        <v>1047</v>
      </c>
      <c r="C233">
        <v>2023</v>
      </c>
      <c r="D233" s="18">
        <v>45228</v>
      </c>
      <c r="E233" s="18">
        <v>45593</v>
      </c>
      <c r="F233" s="18" t="s">
        <v>611</v>
      </c>
      <c r="G233" t="s">
        <v>101</v>
      </c>
      <c r="H233">
        <v>2</v>
      </c>
      <c r="I233">
        <v>4</v>
      </c>
      <c r="J233" s="27">
        <v>7023.04</v>
      </c>
      <c r="K233" s="27">
        <v>500000</v>
      </c>
    </row>
    <row r="234" spans="1:11" ht="12.75" customHeight="1" x14ac:dyDescent="0.2">
      <c r="A234" t="s">
        <v>1048</v>
      </c>
      <c r="B234" t="s">
        <v>1049</v>
      </c>
      <c r="C234">
        <v>2023</v>
      </c>
      <c r="D234" s="18">
        <v>45228</v>
      </c>
      <c r="E234" s="18">
        <v>45593</v>
      </c>
      <c r="F234" s="18" t="s">
        <v>611</v>
      </c>
      <c r="G234" t="s">
        <v>100</v>
      </c>
      <c r="H234">
        <v>2</v>
      </c>
      <c r="I234">
        <v>2</v>
      </c>
      <c r="J234" s="27">
        <v>13390.28</v>
      </c>
      <c r="K234" s="27">
        <v>1000000</v>
      </c>
    </row>
    <row r="235" spans="1:11" ht="12.75" customHeight="1" x14ac:dyDescent="0.2">
      <c r="A235" t="s">
        <v>1050</v>
      </c>
      <c r="B235" t="s">
        <v>1051</v>
      </c>
      <c r="C235">
        <v>2023</v>
      </c>
      <c r="D235" s="18">
        <v>45229</v>
      </c>
      <c r="E235" s="18">
        <v>45594</v>
      </c>
      <c r="F235" s="18" t="s">
        <v>608</v>
      </c>
      <c r="G235" t="s">
        <v>101</v>
      </c>
      <c r="H235">
        <v>3</v>
      </c>
      <c r="I235">
        <v>6</v>
      </c>
      <c r="J235" s="27">
        <v>32284.01</v>
      </c>
      <c r="K235" s="27">
        <v>2000000</v>
      </c>
    </row>
    <row r="236" spans="1:11" ht="12.75" customHeight="1" x14ac:dyDescent="0.2">
      <c r="A236" t="s">
        <v>1052</v>
      </c>
      <c r="B236" t="s">
        <v>1053</v>
      </c>
      <c r="C236">
        <v>2023</v>
      </c>
      <c r="D236" s="18">
        <v>45229</v>
      </c>
      <c r="E236" s="18">
        <v>45594</v>
      </c>
      <c r="F236" s="18" t="s">
        <v>611</v>
      </c>
      <c r="G236" t="s">
        <v>101</v>
      </c>
      <c r="H236">
        <v>1</v>
      </c>
      <c r="I236">
        <v>1</v>
      </c>
      <c r="J236" s="27">
        <v>22613.919999999998</v>
      </c>
      <c r="K236" s="27">
        <v>1500000</v>
      </c>
    </row>
    <row r="237" spans="1:11" ht="12.75" customHeight="1" x14ac:dyDescent="0.2">
      <c r="A237" t="s">
        <v>1054</v>
      </c>
      <c r="B237" t="s">
        <v>1055</v>
      </c>
      <c r="C237">
        <v>2023</v>
      </c>
      <c r="D237" s="18">
        <v>45229</v>
      </c>
      <c r="E237" s="18">
        <v>45594</v>
      </c>
      <c r="F237" s="18" t="s">
        <v>611</v>
      </c>
      <c r="G237" t="s">
        <v>101</v>
      </c>
      <c r="H237">
        <v>1</v>
      </c>
      <c r="I237">
        <v>1</v>
      </c>
      <c r="J237" s="27">
        <v>65194.91</v>
      </c>
      <c r="K237" s="27">
        <v>4000000</v>
      </c>
    </row>
    <row r="238" spans="1:11" ht="12.75" customHeight="1" x14ac:dyDescent="0.2">
      <c r="A238" t="s">
        <v>1056</v>
      </c>
      <c r="B238" t="s">
        <v>1057</v>
      </c>
      <c r="C238">
        <v>2023</v>
      </c>
      <c r="D238" s="18">
        <v>45229</v>
      </c>
      <c r="E238" s="18">
        <v>45594</v>
      </c>
      <c r="F238" s="18" t="s">
        <v>611</v>
      </c>
      <c r="G238" t="s">
        <v>102</v>
      </c>
      <c r="H238">
        <v>1</v>
      </c>
      <c r="I238">
        <v>2</v>
      </c>
      <c r="J238" s="27">
        <v>28525.61</v>
      </c>
      <c r="K238" s="27">
        <v>4000000</v>
      </c>
    </row>
    <row r="239" spans="1:11" ht="12.75" customHeight="1" x14ac:dyDescent="0.2">
      <c r="A239" t="s">
        <v>1058</v>
      </c>
      <c r="B239" t="s">
        <v>1059</v>
      </c>
      <c r="C239">
        <v>2023</v>
      </c>
      <c r="D239" s="18">
        <v>45229</v>
      </c>
      <c r="E239" s="18">
        <v>45594</v>
      </c>
      <c r="F239" s="18" t="s">
        <v>611</v>
      </c>
      <c r="G239" t="s">
        <v>102</v>
      </c>
      <c r="H239">
        <v>3</v>
      </c>
      <c r="I239">
        <v>3</v>
      </c>
      <c r="J239" s="27">
        <v>68078.27</v>
      </c>
      <c r="K239" s="27">
        <v>10000000</v>
      </c>
    </row>
    <row r="240" spans="1:11" ht="12.75" customHeight="1" x14ac:dyDescent="0.2">
      <c r="A240" t="s">
        <v>1060</v>
      </c>
      <c r="B240" t="s">
        <v>1061</v>
      </c>
      <c r="C240">
        <v>2023</v>
      </c>
      <c r="D240" s="18">
        <v>45229</v>
      </c>
      <c r="E240" s="18">
        <v>45594</v>
      </c>
      <c r="F240" s="18" t="s">
        <v>611</v>
      </c>
      <c r="G240" t="s">
        <v>102</v>
      </c>
      <c r="H240">
        <v>1</v>
      </c>
      <c r="I240">
        <v>1</v>
      </c>
      <c r="J240" s="27">
        <v>71031.94</v>
      </c>
      <c r="K240" s="27">
        <v>10000000</v>
      </c>
    </row>
    <row r="241" spans="1:11" ht="12.75" customHeight="1" x14ac:dyDescent="0.2">
      <c r="A241" t="s">
        <v>1062</v>
      </c>
      <c r="B241" t="s">
        <v>1063</v>
      </c>
      <c r="C241">
        <v>2023</v>
      </c>
      <c r="D241" s="18">
        <v>45230</v>
      </c>
      <c r="E241" s="18">
        <v>45595</v>
      </c>
      <c r="F241" s="18" t="s">
        <v>608</v>
      </c>
      <c r="G241" t="s">
        <v>100</v>
      </c>
      <c r="H241">
        <v>1</v>
      </c>
      <c r="I241">
        <v>1</v>
      </c>
      <c r="J241" s="27">
        <v>22893.74</v>
      </c>
      <c r="K241" s="27">
        <v>2000000</v>
      </c>
    </row>
    <row r="242" spans="1:11" ht="12.75" customHeight="1" x14ac:dyDescent="0.2">
      <c r="A242" t="s">
        <v>1064</v>
      </c>
      <c r="B242" t="s">
        <v>1065</v>
      </c>
      <c r="C242">
        <v>2023</v>
      </c>
      <c r="D242" s="18">
        <v>45230</v>
      </c>
      <c r="E242" s="18">
        <v>45595</v>
      </c>
      <c r="F242" s="18" t="s">
        <v>608</v>
      </c>
      <c r="G242" t="s">
        <v>99</v>
      </c>
      <c r="H242">
        <v>2</v>
      </c>
      <c r="I242">
        <v>2</v>
      </c>
      <c r="J242" s="27">
        <v>15534.86</v>
      </c>
      <c r="K242" s="27">
        <v>2000000</v>
      </c>
    </row>
    <row r="243" spans="1:11" ht="12.75" customHeight="1" x14ac:dyDescent="0.2">
      <c r="A243" t="s">
        <v>1066</v>
      </c>
      <c r="B243" t="s">
        <v>1067</v>
      </c>
      <c r="C243">
        <v>2023</v>
      </c>
      <c r="D243" s="18">
        <v>45230</v>
      </c>
      <c r="E243" s="18">
        <v>45595</v>
      </c>
      <c r="F243" s="18" t="s">
        <v>608</v>
      </c>
      <c r="G243" t="s">
        <v>99</v>
      </c>
      <c r="H243">
        <v>1</v>
      </c>
      <c r="I243">
        <v>2</v>
      </c>
      <c r="J243" s="27">
        <v>28606.86</v>
      </c>
      <c r="K243" s="27">
        <v>3500000</v>
      </c>
    </row>
    <row r="244" spans="1:11" ht="12.75" customHeight="1" x14ac:dyDescent="0.2">
      <c r="A244" t="s">
        <v>1068</v>
      </c>
      <c r="B244" t="s">
        <v>1069</v>
      </c>
      <c r="C244">
        <v>2023</v>
      </c>
      <c r="D244" s="18">
        <v>45230</v>
      </c>
      <c r="E244" s="18">
        <v>45595</v>
      </c>
      <c r="F244" s="18" t="s">
        <v>608</v>
      </c>
      <c r="G244" t="s">
        <v>99</v>
      </c>
      <c r="H244">
        <v>2</v>
      </c>
      <c r="I244">
        <v>4</v>
      </c>
      <c r="J244" s="27">
        <v>90887.25</v>
      </c>
      <c r="K244" s="27">
        <v>10000000</v>
      </c>
    </row>
    <row r="245" spans="1:11" ht="12.75" customHeight="1" x14ac:dyDescent="0.2">
      <c r="A245" t="s">
        <v>1070</v>
      </c>
      <c r="B245" t="s">
        <v>1071</v>
      </c>
      <c r="C245">
        <v>2023</v>
      </c>
      <c r="D245" s="18">
        <v>45230</v>
      </c>
      <c r="E245" s="18">
        <v>45595</v>
      </c>
      <c r="F245" s="18" t="s">
        <v>608</v>
      </c>
      <c r="G245" t="s">
        <v>100</v>
      </c>
      <c r="H245">
        <v>2</v>
      </c>
      <c r="I245">
        <v>4</v>
      </c>
      <c r="J245" s="27">
        <v>23711.26</v>
      </c>
      <c r="K245" s="27">
        <v>2000000</v>
      </c>
    </row>
    <row r="246" spans="1:11" ht="12.75" customHeight="1" x14ac:dyDescent="0.2">
      <c r="A246" t="s">
        <v>1072</v>
      </c>
      <c r="B246" t="s">
        <v>1073</v>
      </c>
      <c r="C246">
        <v>2023</v>
      </c>
      <c r="D246" s="18">
        <v>45230</v>
      </c>
      <c r="E246" s="18">
        <v>45595</v>
      </c>
      <c r="F246" s="18" t="s">
        <v>611</v>
      </c>
      <c r="G246" t="s">
        <v>101</v>
      </c>
      <c r="H246">
        <v>2</v>
      </c>
      <c r="I246">
        <v>4</v>
      </c>
      <c r="J246" s="27">
        <v>171087.13</v>
      </c>
      <c r="K246" s="27">
        <v>10000000</v>
      </c>
    </row>
    <row r="247" spans="1:11" ht="12.75" customHeight="1" x14ac:dyDescent="0.2">
      <c r="A247" t="s">
        <v>1074</v>
      </c>
      <c r="B247" t="s">
        <v>1075</v>
      </c>
      <c r="C247">
        <v>2023</v>
      </c>
      <c r="D247" s="18">
        <v>45230</v>
      </c>
      <c r="E247" s="18">
        <v>45595</v>
      </c>
      <c r="F247" s="18" t="s">
        <v>611</v>
      </c>
      <c r="G247" t="s">
        <v>99</v>
      </c>
      <c r="H247">
        <v>1</v>
      </c>
      <c r="I247">
        <v>1</v>
      </c>
      <c r="J247" s="27">
        <v>37864.21</v>
      </c>
      <c r="K247" s="27">
        <v>5000000</v>
      </c>
    </row>
    <row r="248" spans="1:11" ht="12.75" customHeight="1" x14ac:dyDescent="0.2">
      <c r="A248" t="s">
        <v>1076</v>
      </c>
      <c r="B248" t="s">
        <v>1077</v>
      </c>
      <c r="C248">
        <v>2023</v>
      </c>
      <c r="D248" s="18">
        <v>45230</v>
      </c>
      <c r="E248" s="18">
        <v>45595</v>
      </c>
      <c r="F248" s="18" t="s">
        <v>611</v>
      </c>
      <c r="G248" t="s">
        <v>99</v>
      </c>
      <c r="H248">
        <v>2</v>
      </c>
      <c r="I248">
        <v>2</v>
      </c>
      <c r="J248" s="27">
        <v>16489.05</v>
      </c>
      <c r="K248" s="27">
        <v>2000000</v>
      </c>
    </row>
    <row r="249" spans="1:11" ht="12.75" customHeight="1" x14ac:dyDescent="0.2">
      <c r="A249" t="s">
        <v>1078</v>
      </c>
      <c r="B249" t="s">
        <v>1079</v>
      </c>
      <c r="C249">
        <v>2023</v>
      </c>
      <c r="D249" s="18">
        <v>45230</v>
      </c>
      <c r="E249" s="18">
        <v>45595</v>
      </c>
      <c r="F249" s="18" t="s">
        <v>611</v>
      </c>
      <c r="G249" t="s">
        <v>100</v>
      </c>
      <c r="H249">
        <v>2</v>
      </c>
      <c r="I249">
        <v>4</v>
      </c>
      <c r="J249" s="27">
        <v>5964.26</v>
      </c>
      <c r="K249" s="27">
        <v>500000</v>
      </c>
    </row>
    <row r="250" spans="1:11" ht="12.75" customHeight="1" x14ac:dyDescent="0.2">
      <c r="A250" t="s">
        <v>1080</v>
      </c>
      <c r="B250" t="s">
        <v>1081</v>
      </c>
      <c r="C250">
        <v>2023</v>
      </c>
      <c r="D250" s="18">
        <v>45230</v>
      </c>
      <c r="E250" s="18">
        <v>45595</v>
      </c>
      <c r="F250" s="18" t="s">
        <v>611</v>
      </c>
      <c r="G250" t="s">
        <v>99</v>
      </c>
      <c r="H250">
        <v>1</v>
      </c>
      <c r="I250">
        <v>1</v>
      </c>
      <c r="J250" s="27">
        <v>22574.78</v>
      </c>
      <c r="K250" s="27">
        <v>3000000</v>
      </c>
    </row>
    <row r="251" spans="1:11" ht="12.75" customHeight="1" x14ac:dyDescent="0.2">
      <c r="A251" t="s">
        <v>1082</v>
      </c>
      <c r="B251" t="s">
        <v>1083</v>
      </c>
      <c r="C251">
        <v>2023</v>
      </c>
      <c r="D251" s="18">
        <v>45231</v>
      </c>
      <c r="E251" s="18">
        <v>45596</v>
      </c>
      <c r="F251" s="18" t="s">
        <v>608</v>
      </c>
      <c r="G251" t="s">
        <v>101</v>
      </c>
      <c r="H251">
        <v>1</v>
      </c>
      <c r="I251">
        <v>1</v>
      </c>
      <c r="J251" s="27">
        <v>44573.32</v>
      </c>
      <c r="K251" s="27">
        <v>3000000</v>
      </c>
    </row>
    <row r="252" spans="1:11" ht="12.75" customHeight="1" x14ac:dyDescent="0.2">
      <c r="A252" t="s">
        <v>1084</v>
      </c>
      <c r="B252" t="s">
        <v>1085</v>
      </c>
      <c r="C252">
        <v>2023</v>
      </c>
      <c r="D252" s="18">
        <v>45231</v>
      </c>
      <c r="E252" s="18">
        <v>45596</v>
      </c>
      <c r="F252" s="18" t="s">
        <v>608</v>
      </c>
      <c r="G252" t="s">
        <v>101</v>
      </c>
      <c r="H252">
        <v>2</v>
      </c>
      <c r="I252">
        <v>4</v>
      </c>
      <c r="J252" s="27">
        <v>15973.27</v>
      </c>
      <c r="K252" s="27">
        <v>1000000</v>
      </c>
    </row>
    <row r="253" spans="1:11" ht="12.75" customHeight="1" x14ac:dyDescent="0.2">
      <c r="A253" t="s">
        <v>1086</v>
      </c>
      <c r="B253" t="s">
        <v>1087</v>
      </c>
      <c r="C253">
        <v>2023</v>
      </c>
      <c r="D253" s="18">
        <v>45231</v>
      </c>
      <c r="E253" s="18">
        <v>45596</v>
      </c>
      <c r="F253" s="18" t="s">
        <v>608</v>
      </c>
      <c r="G253" t="s">
        <v>100</v>
      </c>
      <c r="H253">
        <v>1</v>
      </c>
      <c r="I253">
        <v>1</v>
      </c>
      <c r="J253" s="27">
        <v>33989.65</v>
      </c>
      <c r="K253" s="27">
        <v>3000000</v>
      </c>
    </row>
    <row r="254" spans="1:11" ht="12.75" customHeight="1" x14ac:dyDescent="0.2">
      <c r="A254" t="s">
        <v>1088</v>
      </c>
      <c r="B254" t="s">
        <v>1089</v>
      </c>
      <c r="C254">
        <v>2023</v>
      </c>
      <c r="D254" s="18">
        <v>45231</v>
      </c>
      <c r="E254" s="18">
        <v>45596</v>
      </c>
      <c r="F254" s="18" t="s">
        <v>611</v>
      </c>
      <c r="G254" t="s">
        <v>99</v>
      </c>
      <c r="H254">
        <v>2</v>
      </c>
      <c r="I254">
        <v>2</v>
      </c>
      <c r="J254" s="27">
        <v>15322.48</v>
      </c>
      <c r="K254" s="27">
        <v>2000000</v>
      </c>
    </row>
    <row r="255" spans="1:11" ht="12.75" customHeight="1" x14ac:dyDescent="0.2">
      <c r="A255" t="s">
        <v>1090</v>
      </c>
      <c r="B255" t="s">
        <v>1091</v>
      </c>
      <c r="C255">
        <v>2023</v>
      </c>
      <c r="D255" s="18">
        <v>45231</v>
      </c>
      <c r="E255" s="18">
        <v>45596</v>
      </c>
      <c r="F255" s="18" t="s">
        <v>611</v>
      </c>
      <c r="G255" t="s">
        <v>102</v>
      </c>
      <c r="H255">
        <v>1</v>
      </c>
      <c r="I255">
        <v>1</v>
      </c>
      <c r="J255" s="27">
        <v>15278.45</v>
      </c>
      <c r="K255" s="27">
        <v>2000000</v>
      </c>
    </row>
    <row r="256" spans="1:11" ht="12.75" customHeight="1" x14ac:dyDescent="0.2">
      <c r="A256" t="s">
        <v>1092</v>
      </c>
      <c r="B256" t="s">
        <v>1093</v>
      </c>
      <c r="C256">
        <v>2023</v>
      </c>
      <c r="D256" s="18">
        <v>45231</v>
      </c>
      <c r="E256" s="18">
        <v>45596</v>
      </c>
      <c r="F256" s="18" t="s">
        <v>611</v>
      </c>
      <c r="G256" t="s">
        <v>100</v>
      </c>
      <c r="H256">
        <v>1</v>
      </c>
      <c r="I256">
        <v>1</v>
      </c>
      <c r="J256" s="27">
        <v>12200.34</v>
      </c>
      <c r="K256" s="27">
        <v>1000000</v>
      </c>
    </row>
    <row r="257" spans="1:11" ht="12.75" customHeight="1" x14ac:dyDescent="0.2">
      <c r="A257" t="s">
        <v>1094</v>
      </c>
      <c r="B257" t="s">
        <v>1095</v>
      </c>
      <c r="C257">
        <v>2023</v>
      </c>
      <c r="D257" s="18">
        <v>45231</v>
      </c>
      <c r="E257" s="18">
        <v>45596</v>
      </c>
      <c r="F257" s="18" t="s">
        <v>611</v>
      </c>
      <c r="G257" t="s">
        <v>99</v>
      </c>
      <c r="H257">
        <v>1</v>
      </c>
      <c r="I257">
        <v>2</v>
      </c>
      <c r="J257" s="27">
        <v>40377.82</v>
      </c>
      <c r="K257" s="27">
        <v>5000000</v>
      </c>
    </row>
    <row r="258" spans="1:11" ht="12.75" customHeight="1" x14ac:dyDescent="0.2">
      <c r="A258" t="s">
        <v>1096</v>
      </c>
      <c r="B258" t="s">
        <v>1097</v>
      </c>
      <c r="C258">
        <v>2023</v>
      </c>
      <c r="D258" s="18">
        <v>45231</v>
      </c>
      <c r="E258" s="18">
        <v>45596</v>
      </c>
      <c r="F258" s="18" t="s">
        <v>611</v>
      </c>
      <c r="G258" t="s">
        <v>100</v>
      </c>
      <c r="H258">
        <v>2</v>
      </c>
      <c r="I258">
        <v>4</v>
      </c>
      <c r="J258" s="27">
        <v>117004.63</v>
      </c>
      <c r="K258" s="27">
        <v>10000000</v>
      </c>
    </row>
    <row r="259" spans="1:11" ht="12.75" customHeight="1" x14ac:dyDescent="0.2">
      <c r="A259" t="s">
        <v>1098</v>
      </c>
      <c r="B259" t="s">
        <v>1099</v>
      </c>
      <c r="C259">
        <v>2023</v>
      </c>
      <c r="D259" s="18">
        <v>45231</v>
      </c>
      <c r="E259" s="18">
        <v>45596</v>
      </c>
      <c r="F259" s="18" t="s">
        <v>611</v>
      </c>
      <c r="G259" t="s">
        <v>101</v>
      </c>
      <c r="H259">
        <v>1</v>
      </c>
      <c r="I259">
        <v>1</v>
      </c>
      <c r="J259" s="27">
        <v>33704.15</v>
      </c>
      <c r="K259" s="27">
        <v>2000000</v>
      </c>
    </row>
    <row r="260" spans="1:11" ht="12.75" customHeight="1" x14ac:dyDescent="0.2">
      <c r="A260" t="s">
        <v>1100</v>
      </c>
      <c r="B260" t="s">
        <v>1101</v>
      </c>
      <c r="C260">
        <v>2023</v>
      </c>
      <c r="D260" s="18">
        <v>45231</v>
      </c>
      <c r="E260" s="18">
        <v>45596</v>
      </c>
      <c r="F260" s="18" t="s">
        <v>611</v>
      </c>
      <c r="G260" t="s">
        <v>100</v>
      </c>
      <c r="H260">
        <v>3</v>
      </c>
      <c r="I260">
        <v>6</v>
      </c>
      <c r="J260" s="27">
        <v>6099.05</v>
      </c>
      <c r="K260" s="27">
        <v>500000</v>
      </c>
    </row>
    <row r="261" spans="1:11" ht="12.75" customHeight="1" x14ac:dyDescent="0.2">
      <c r="A261" t="s">
        <v>1102</v>
      </c>
      <c r="B261" t="s">
        <v>1103</v>
      </c>
      <c r="C261">
        <v>2023</v>
      </c>
      <c r="D261" s="18">
        <v>45232</v>
      </c>
      <c r="E261" s="18">
        <v>45597</v>
      </c>
      <c r="F261" s="18" t="s">
        <v>608</v>
      </c>
      <c r="G261" t="s">
        <v>99</v>
      </c>
      <c r="H261">
        <v>1</v>
      </c>
      <c r="I261">
        <v>1</v>
      </c>
      <c r="J261" s="27">
        <v>22589.040000000001</v>
      </c>
      <c r="K261" s="27">
        <v>3000000</v>
      </c>
    </row>
    <row r="262" spans="1:11" ht="12.75" customHeight="1" x14ac:dyDescent="0.2">
      <c r="A262" t="s">
        <v>1104</v>
      </c>
      <c r="B262" t="s">
        <v>1105</v>
      </c>
      <c r="C262">
        <v>2023</v>
      </c>
      <c r="D262" s="18">
        <v>45232</v>
      </c>
      <c r="E262" s="18">
        <v>45597</v>
      </c>
      <c r="F262" s="18" t="s">
        <v>608</v>
      </c>
      <c r="G262" t="s">
        <v>99</v>
      </c>
      <c r="H262">
        <v>1</v>
      </c>
      <c r="I262">
        <v>1</v>
      </c>
      <c r="J262" s="27">
        <v>44963.13</v>
      </c>
      <c r="K262" s="27">
        <v>5000000</v>
      </c>
    </row>
    <row r="263" spans="1:11" ht="12.75" customHeight="1" x14ac:dyDescent="0.2">
      <c r="A263" t="s">
        <v>1106</v>
      </c>
      <c r="B263" t="s">
        <v>1107</v>
      </c>
      <c r="C263">
        <v>2023</v>
      </c>
      <c r="D263" s="18">
        <v>45232</v>
      </c>
      <c r="E263" s="18">
        <v>45597</v>
      </c>
      <c r="F263" s="18" t="s">
        <v>608</v>
      </c>
      <c r="G263" t="s">
        <v>100</v>
      </c>
      <c r="H263">
        <v>1</v>
      </c>
      <c r="I263">
        <v>1</v>
      </c>
      <c r="J263" s="27">
        <v>126543.65</v>
      </c>
      <c r="K263" s="27">
        <v>10000000</v>
      </c>
    </row>
    <row r="264" spans="1:11" ht="12.75" customHeight="1" x14ac:dyDescent="0.2">
      <c r="A264" t="s">
        <v>1108</v>
      </c>
      <c r="B264" t="s">
        <v>1109</v>
      </c>
      <c r="C264">
        <v>2023</v>
      </c>
      <c r="D264" s="18">
        <v>45232</v>
      </c>
      <c r="E264" s="18">
        <v>45597</v>
      </c>
      <c r="F264" s="18" t="s">
        <v>608</v>
      </c>
      <c r="G264" t="s">
        <v>100</v>
      </c>
      <c r="H264">
        <v>2</v>
      </c>
      <c r="I264">
        <v>4</v>
      </c>
      <c r="J264" s="27">
        <v>53459.41</v>
      </c>
      <c r="K264" s="27">
        <v>4500000</v>
      </c>
    </row>
    <row r="265" spans="1:11" ht="12.75" customHeight="1" x14ac:dyDescent="0.2">
      <c r="A265" t="s">
        <v>1110</v>
      </c>
      <c r="B265" t="s">
        <v>1111</v>
      </c>
      <c r="C265">
        <v>2023</v>
      </c>
      <c r="D265" s="18">
        <v>45232</v>
      </c>
      <c r="E265" s="18">
        <v>45597</v>
      </c>
      <c r="F265" s="18" t="s">
        <v>611</v>
      </c>
      <c r="G265" t="s">
        <v>100</v>
      </c>
      <c r="H265">
        <v>2</v>
      </c>
      <c r="I265">
        <v>4</v>
      </c>
      <c r="J265" s="27">
        <v>32162.560000000001</v>
      </c>
      <c r="K265" s="27">
        <v>2500000</v>
      </c>
    </row>
    <row r="266" spans="1:11" ht="12.75" customHeight="1" x14ac:dyDescent="0.2">
      <c r="A266" t="s">
        <v>1112</v>
      </c>
      <c r="B266" t="s">
        <v>1113</v>
      </c>
      <c r="C266">
        <v>2023</v>
      </c>
      <c r="D266" s="18">
        <v>45232</v>
      </c>
      <c r="E266" s="18">
        <v>45597</v>
      </c>
      <c r="F266" s="18" t="s">
        <v>611</v>
      </c>
      <c r="G266" t="s">
        <v>101</v>
      </c>
      <c r="H266">
        <v>1</v>
      </c>
      <c r="I266">
        <v>2</v>
      </c>
      <c r="J266" s="27">
        <v>8030</v>
      </c>
      <c r="K266" s="27">
        <v>500000</v>
      </c>
    </row>
    <row r="267" spans="1:11" ht="12.75" customHeight="1" x14ac:dyDescent="0.2">
      <c r="A267" t="s">
        <v>1114</v>
      </c>
      <c r="B267" t="s">
        <v>1115</v>
      </c>
      <c r="C267">
        <v>2023</v>
      </c>
      <c r="D267" s="18">
        <v>45232</v>
      </c>
      <c r="E267" s="18">
        <v>45597</v>
      </c>
      <c r="F267" s="18" t="s">
        <v>611</v>
      </c>
      <c r="G267" t="s">
        <v>101</v>
      </c>
      <c r="H267">
        <v>1</v>
      </c>
      <c r="I267">
        <v>1</v>
      </c>
      <c r="J267" s="27">
        <v>52809.07</v>
      </c>
      <c r="K267" s="27">
        <v>3500000</v>
      </c>
    </row>
    <row r="268" spans="1:11" ht="12.75" customHeight="1" x14ac:dyDescent="0.2">
      <c r="A268" t="s">
        <v>1116</v>
      </c>
      <c r="B268" t="s">
        <v>1117</v>
      </c>
      <c r="C268">
        <v>2023</v>
      </c>
      <c r="D268" s="18">
        <v>45232</v>
      </c>
      <c r="E268" s="18">
        <v>45597</v>
      </c>
      <c r="F268" s="18" t="s">
        <v>611</v>
      </c>
      <c r="G268" t="s">
        <v>101</v>
      </c>
      <c r="H268">
        <v>1</v>
      </c>
      <c r="I268">
        <v>1</v>
      </c>
      <c r="J268" s="27">
        <v>153428.60999999999</v>
      </c>
      <c r="K268" s="27">
        <v>10000000</v>
      </c>
    </row>
    <row r="269" spans="1:11" ht="12.75" customHeight="1" x14ac:dyDescent="0.2">
      <c r="A269" t="s">
        <v>1118</v>
      </c>
      <c r="B269" t="s">
        <v>1119</v>
      </c>
      <c r="C269">
        <v>2023</v>
      </c>
      <c r="D269" s="18">
        <v>45232</v>
      </c>
      <c r="E269" s="18">
        <v>45597</v>
      </c>
      <c r="F269" s="18" t="s">
        <v>611</v>
      </c>
      <c r="G269" t="s">
        <v>102</v>
      </c>
      <c r="H269">
        <v>3</v>
      </c>
      <c r="I269">
        <v>3</v>
      </c>
      <c r="J269" s="27">
        <v>67544.56</v>
      </c>
      <c r="K269" s="27">
        <v>10000000</v>
      </c>
    </row>
    <row r="270" spans="1:11" ht="12.75" customHeight="1" x14ac:dyDescent="0.2">
      <c r="A270" t="s">
        <v>1120</v>
      </c>
      <c r="B270" t="s">
        <v>1121</v>
      </c>
      <c r="C270">
        <v>2023</v>
      </c>
      <c r="D270" s="18">
        <v>45232</v>
      </c>
      <c r="E270" s="18">
        <v>45597</v>
      </c>
      <c r="F270" s="18" t="s">
        <v>611</v>
      </c>
      <c r="G270" t="s">
        <v>101</v>
      </c>
      <c r="H270">
        <v>1</v>
      </c>
      <c r="I270">
        <v>1</v>
      </c>
      <c r="J270" s="27">
        <v>85113.22</v>
      </c>
      <c r="K270" s="27">
        <v>5000000</v>
      </c>
    </row>
    <row r="271" spans="1:11" ht="12.75" customHeight="1" x14ac:dyDescent="0.2">
      <c r="A271" t="s">
        <v>1122</v>
      </c>
      <c r="B271" t="s">
        <v>1123</v>
      </c>
      <c r="C271">
        <v>2023</v>
      </c>
      <c r="D271" s="18">
        <v>45233</v>
      </c>
      <c r="E271" s="18">
        <v>45598</v>
      </c>
      <c r="F271" s="18" t="s">
        <v>608</v>
      </c>
      <c r="G271" t="s">
        <v>99</v>
      </c>
      <c r="H271">
        <v>1</v>
      </c>
      <c r="I271">
        <v>1</v>
      </c>
      <c r="J271" s="27">
        <v>39863.96</v>
      </c>
      <c r="K271" s="27">
        <v>5000000</v>
      </c>
    </row>
    <row r="272" spans="1:11" ht="12.75" customHeight="1" x14ac:dyDescent="0.2">
      <c r="A272" t="s">
        <v>1124</v>
      </c>
      <c r="B272" t="s">
        <v>1125</v>
      </c>
      <c r="C272">
        <v>2023</v>
      </c>
      <c r="D272" s="18">
        <v>45233</v>
      </c>
      <c r="E272" s="18">
        <v>45598</v>
      </c>
      <c r="F272" s="18" t="s">
        <v>608</v>
      </c>
      <c r="G272" t="s">
        <v>100</v>
      </c>
      <c r="H272">
        <v>3</v>
      </c>
      <c r="I272">
        <v>3</v>
      </c>
      <c r="J272" s="27">
        <v>35472.910000000003</v>
      </c>
      <c r="K272" s="27">
        <v>3000000</v>
      </c>
    </row>
    <row r="273" spans="1:11" ht="12.75" customHeight="1" x14ac:dyDescent="0.2">
      <c r="A273" t="s">
        <v>1126</v>
      </c>
      <c r="B273" t="s">
        <v>1127</v>
      </c>
      <c r="C273">
        <v>2023</v>
      </c>
      <c r="D273" s="18">
        <v>45233</v>
      </c>
      <c r="E273" s="18">
        <v>45598</v>
      </c>
      <c r="F273" s="18" t="s">
        <v>611</v>
      </c>
      <c r="G273" t="s">
        <v>101</v>
      </c>
      <c r="H273">
        <v>1</v>
      </c>
      <c r="I273">
        <v>1</v>
      </c>
      <c r="J273" s="27">
        <v>160539.68</v>
      </c>
      <c r="K273" s="27">
        <v>10000000</v>
      </c>
    </row>
    <row r="274" spans="1:11" ht="12.75" customHeight="1" x14ac:dyDescent="0.2">
      <c r="A274" t="s">
        <v>1128</v>
      </c>
      <c r="B274" t="s">
        <v>1129</v>
      </c>
      <c r="C274">
        <v>2023</v>
      </c>
      <c r="D274" s="18">
        <v>45233</v>
      </c>
      <c r="E274" s="18">
        <v>45598</v>
      </c>
      <c r="F274" s="18" t="s">
        <v>611</v>
      </c>
      <c r="G274" t="s">
        <v>101</v>
      </c>
      <c r="H274">
        <v>1</v>
      </c>
      <c r="I274">
        <v>1</v>
      </c>
      <c r="J274" s="27">
        <v>169944.5</v>
      </c>
      <c r="K274" s="27">
        <v>10000000</v>
      </c>
    </row>
    <row r="275" spans="1:11" ht="12.75" customHeight="1" x14ac:dyDescent="0.2">
      <c r="A275" t="s">
        <v>1130</v>
      </c>
      <c r="B275" t="s">
        <v>1131</v>
      </c>
      <c r="C275">
        <v>2023</v>
      </c>
      <c r="D275" s="18">
        <v>45233</v>
      </c>
      <c r="E275" s="18">
        <v>45598</v>
      </c>
      <c r="F275" s="18" t="s">
        <v>611</v>
      </c>
      <c r="G275" t="s">
        <v>102</v>
      </c>
      <c r="H275">
        <v>1</v>
      </c>
      <c r="I275">
        <v>1</v>
      </c>
      <c r="J275" s="27">
        <v>3572.39</v>
      </c>
      <c r="K275" s="27">
        <v>500000</v>
      </c>
    </row>
    <row r="276" spans="1:11" ht="12.75" customHeight="1" x14ac:dyDescent="0.2">
      <c r="A276" t="s">
        <v>1132</v>
      </c>
      <c r="B276" t="s">
        <v>1133</v>
      </c>
      <c r="C276">
        <v>2023</v>
      </c>
      <c r="D276" s="18">
        <v>45233</v>
      </c>
      <c r="E276" s="18">
        <v>45598</v>
      </c>
      <c r="F276" s="18" t="s">
        <v>611</v>
      </c>
      <c r="G276" t="s">
        <v>102</v>
      </c>
      <c r="H276">
        <v>1</v>
      </c>
      <c r="I276">
        <v>1</v>
      </c>
      <c r="J276" s="27">
        <v>12965.63</v>
      </c>
      <c r="K276" s="27">
        <v>2000000</v>
      </c>
    </row>
    <row r="277" spans="1:11" ht="12.75" customHeight="1" x14ac:dyDescent="0.2">
      <c r="A277" t="s">
        <v>1134</v>
      </c>
      <c r="B277" t="s">
        <v>1135</v>
      </c>
      <c r="C277">
        <v>2023</v>
      </c>
      <c r="D277" s="18">
        <v>45233</v>
      </c>
      <c r="E277" s="18">
        <v>45598</v>
      </c>
      <c r="F277" s="18" t="s">
        <v>611</v>
      </c>
      <c r="G277" t="s">
        <v>100</v>
      </c>
      <c r="H277">
        <v>1</v>
      </c>
      <c r="I277">
        <v>1</v>
      </c>
      <c r="J277" s="27">
        <v>46374.11</v>
      </c>
      <c r="K277" s="27">
        <v>3500000</v>
      </c>
    </row>
    <row r="278" spans="1:11" ht="12.75" customHeight="1" x14ac:dyDescent="0.2">
      <c r="A278" t="s">
        <v>1136</v>
      </c>
      <c r="B278" t="s">
        <v>1137</v>
      </c>
      <c r="C278">
        <v>2023</v>
      </c>
      <c r="D278" s="18">
        <v>45234</v>
      </c>
      <c r="E278" s="18">
        <v>45599</v>
      </c>
      <c r="F278" s="18" t="s">
        <v>608</v>
      </c>
      <c r="G278" t="s">
        <v>101</v>
      </c>
      <c r="H278">
        <v>1</v>
      </c>
      <c r="I278">
        <v>1</v>
      </c>
      <c r="J278" s="27">
        <v>76806.080000000002</v>
      </c>
      <c r="K278" s="27">
        <v>5000000</v>
      </c>
    </row>
    <row r="279" spans="1:11" ht="12.75" customHeight="1" x14ac:dyDescent="0.2">
      <c r="A279" t="s">
        <v>1138</v>
      </c>
      <c r="B279" t="s">
        <v>1139</v>
      </c>
      <c r="C279">
        <v>2023</v>
      </c>
      <c r="D279" s="18">
        <v>45234</v>
      </c>
      <c r="E279" s="18">
        <v>45599</v>
      </c>
      <c r="F279" s="18" t="s">
        <v>608</v>
      </c>
      <c r="G279" t="s">
        <v>102</v>
      </c>
      <c r="H279">
        <v>3</v>
      </c>
      <c r="I279">
        <v>6</v>
      </c>
      <c r="J279" s="27">
        <v>35598.519999999997</v>
      </c>
      <c r="K279" s="27">
        <v>5000000</v>
      </c>
    </row>
    <row r="280" spans="1:11" ht="12.75" customHeight="1" x14ac:dyDescent="0.2">
      <c r="A280" t="s">
        <v>1140</v>
      </c>
      <c r="B280" t="s">
        <v>1141</v>
      </c>
      <c r="C280">
        <v>2023</v>
      </c>
      <c r="D280" s="18">
        <v>45234</v>
      </c>
      <c r="E280" s="18">
        <v>45599</v>
      </c>
      <c r="F280" s="18" t="s">
        <v>608</v>
      </c>
      <c r="G280" t="s">
        <v>101</v>
      </c>
      <c r="H280">
        <v>3</v>
      </c>
      <c r="I280">
        <v>6</v>
      </c>
      <c r="J280" s="27">
        <v>17035.95</v>
      </c>
      <c r="K280" s="27">
        <v>1000000</v>
      </c>
    </row>
    <row r="281" spans="1:11" ht="12.75" customHeight="1" x14ac:dyDescent="0.2">
      <c r="A281" t="s">
        <v>1142</v>
      </c>
      <c r="B281" t="s">
        <v>1143</v>
      </c>
      <c r="C281">
        <v>2023</v>
      </c>
      <c r="D281" s="18">
        <v>45234</v>
      </c>
      <c r="E281" s="18">
        <v>45599</v>
      </c>
      <c r="F281" s="18" t="s">
        <v>611</v>
      </c>
      <c r="G281" t="s">
        <v>101</v>
      </c>
      <c r="H281">
        <v>1</v>
      </c>
      <c r="I281">
        <v>2</v>
      </c>
      <c r="J281" s="27">
        <v>16035.57</v>
      </c>
      <c r="K281" s="27">
        <v>1000000</v>
      </c>
    </row>
    <row r="282" spans="1:11" ht="12.75" customHeight="1" x14ac:dyDescent="0.2">
      <c r="A282" t="s">
        <v>1144</v>
      </c>
      <c r="B282" t="s">
        <v>1145</v>
      </c>
      <c r="C282">
        <v>2023</v>
      </c>
      <c r="D282" s="18">
        <v>45234</v>
      </c>
      <c r="E282" s="18">
        <v>45599</v>
      </c>
      <c r="F282" s="18" t="s">
        <v>611</v>
      </c>
      <c r="G282" t="s">
        <v>101</v>
      </c>
      <c r="H282">
        <v>1</v>
      </c>
      <c r="I282">
        <v>2</v>
      </c>
      <c r="J282" s="27">
        <v>152260.87</v>
      </c>
      <c r="K282" s="27">
        <v>10000000</v>
      </c>
    </row>
    <row r="283" spans="1:11" ht="12.75" customHeight="1" x14ac:dyDescent="0.2">
      <c r="A283" t="s">
        <v>1146</v>
      </c>
      <c r="B283" t="s">
        <v>1147</v>
      </c>
      <c r="C283">
        <v>2023</v>
      </c>
      <c r="D283" s="18">
        <v>45234</v>
      </c>
      <c r="E283" s="18">
        <v>45599</v>
      </c>
      <c r="F283" s="18" t="s">
        <v>611</v>
      </c>
      <c r="G283" t="s">
        <v>99</v>
      </c>
      <c r="H283">
        <v>2</v>
      </c>
      <c r="I283">
        <v>2</v>
      </c>
      <c r="J283" s="27">
        <v>34273.51</v>
      </c>
      <c r="K283" s="27">
        <v>4000000</v>
      </c>
    </row>
    <row r="284" spans="1:11" ht="12.75" customHeight="1" x14ac:dyDescent="0.2">
      <c r="A284" t="s">
        <v>1148</v>
      </c>
      <c r="B284" t="s">
        <v>1149</v>
      </c>
      <c r="C284">
        <v>2023</v>
      </c>
      <c r="D284" s="18">
        <v>45235</v>
      </c>
      <c r="E284" s="18">
        <v>45600</v>
      </c>
      <c r="F284" s="18" t="s">
        <v>608</v>
      </c>
      <c r="G284" t="s">
        <v>101</v>
      </c>
      <c r="H284">
        <v>3</v>
      </c>
      <c r="I284">
        <v>3</v>
      </c>
      <c r="J284" s="27">
        <v>78634.11</v>
      </c>
      <c r="K284" s="27">
        <v>5000000</v>
      </c>
    </row>
    <row r="285" spans="1:11" ht="12.75" customHeight="1" x14ac:dyDescent="0.2">
      <c r="A285" t="s">
        <v>1150</v>
      </c>
      <c r="B285" t="s">
        <v>1151</v>
      </c>
      <c r="C285">
        <v>2023</v>
      </c>
      <c r="D285" s="18">
        <v>45235</v>
      </c>
      <c r="E285" s="18">
        <v>45600</v>
      </c>
      <c r="F285" s="18" t="s">
        <v>608</v>
      </c>
      <c r="G285" t="s">
        <v>101</v>
      </c>
      <c r="H285">
        <v>3</v>
      </c>
      <c r="I285">
        <v>3</v>
      </c>
      <c r="J285" s="27">
        <v>42404.18</v>
      </c>
      <c r="K285" s="27">
        <v>3000000</v>
      </c>
    </row>
    <row r="286" spans="1:11" ht="12.75" customHeight="1" x14ac:dyDescent="0.2">
      <c r="A286" t="s">
        <v>1152</v>
      </c>
      <c r="B286" t="s">
        <v>1153</v>
      </c>
      <c r="C286">
        <v>2023</v>
      </c>
      <c r="D286" s="18">
        <v>45235</v>
      </c>
      <c r="E286" s="18">
        <v>45600</v>
      </c>
      <c r="F286" s="18" t="s">
        <v>608</v>
      </c>
      <c r="G286" t="s">
        <v>102</v>
      </c>
      <c r="H286">
        <v>2</v>
      </c>
      <c r="I286">
        <v>4</v>
      </c>
      <c r="J286" s="27">
        <v>13640.96</v>
      </c>
      <c r="K286" s="27">
        <v>2000000</v>
      </c>
    </row>
    <row r="287" spans="1:11" ht="12.75" customHeight="1" x14ac:dyDescent="0.2">
      <c r="A287" t="s">
        <v>1154</v>
      </c>
      <c r="B287" t="s">
        <v>1155</v>
      </c>
      <c r="C287">
        <v>2023</v>
      </c>
      <c r="D287" s="18">
        <v>45235</v>
      </c>
      <c r="E287" s="18">
        <v>45600</v>
      </c>
      <c r="F287" s="18" t="s">
        <v>608</v>
      </c>
      <c r="G287" t="s">
        <v>100</v>
      </c>
      <c r="H287">
        <v>2</v>
      </c>
      <c r="I287">
        <v>4</v>
      </c>
      <c r="J287" s="27">
        <v>134007.06</v>
      </c>
      <c r="K287" s="27">
        <v>10000000</v>
      </c>
    </row>
    <row r="288" spans="1:11" ht="12.75" customHeight="1" x14ac:dyDescent="0.2">
      <c r="A288" t="s">
        <v>1156</v>
      </c>
      <c r="B288" t="s">
        <v>1157</v>
      </c>
      <c r="C288">
        <v>2023</v>
      </c>
      <c r="D288" s="18">
        <v>45235</v>
      </c>
      <c r="E288" s="18">
        <v>45600</v>
      </c>
      <c r="F288" s="18" t="s">
        <v>611</v>
      </c>
      <c r="G288" t="s">
        <v>99</v>
      </c>
      <c r="H288">
        <v>1</v>
      </c>
      <c r="I288">
        <v>1</v>
      </c>
      <c r="J288" s="27">
        <v>26657.68</v>
      </c>
      <c r="K288" s="27">
        <v>3000000</v>
      </c>
    </row>
    <row r="289" spans="1:11" ht="12.75" customHeight="1" x14ac:dyDescent="0.2">
      <c r="A289" t="s">
        <v>1158</v>
      </c>
      <c r="B289" t="s">
        <v>1159</v>
      </c>
      <c r="C289">
        <v>2023</v>
      </c>
      <c r="D289" s="18">
        <v>45235</v>
      </c>
      <c r="E289" s="18">
        <v>45600</v>
      </c>
      <c r="F289" s="18" t="s">
        <v>611</v>
      </c>
      <c r="G289" t="s">
        <v>100</v>
      </c>
      <c r="H289">
        <v>1</v>
      </c>
      <c r="I289">
        <v>1</v>
      </c>
      <c r="J289" s="27">
        <v>126935.24</v>
      </c>
      <c r="K289" s="27">
        <v>10000000</v>
      </c>
    </row>
    <row r="290" spans="1:11" ht="12.75" customHeight="1" x14ac:dyDescent="0.2">
      <c r="A290" t="s">
        <v>1160</v>
      </c>
      <c r="B290" t="s">
        <v>1161</v>
      </c>
      <c r="C290">
        <v>2023</v>
      </c>
      <c r="D290" s="18">
        <v>45235</v>
      </c>
      <c r="E290" s="18">
        <v>45600</v>
      </c>
      <c r="F290" s="18" t="s">
        <v>611</v>
      </c>
      <c r="G290" t="s">
        <v>101</v>
      </c>
      <c r="H290">
        <v>1</v>
      </c>
      <c r="I290">
        <v>2</v>
      </c>
      <c r="J290" s="27">
        <v>30061.07</v>
      </c>
      <c r="K290" s="27">
        <v>2000000</v>
      </c>
    </row>
    <row r="291" spans="1:11" ht="12.75" customHeight="1" x14ac:dyDescent="0.2">
      <c r="A291" t="s">
        <v>1162</v>
      </c>
      <c r="B291" t="s">
        <v>1163</v>
      </c>
      <c r="C291">
        <v>2023</v>
      </c>
      <c r="D291" s="18">
        <v>45235</v>
      </c>
      <c r="E291" s="18">
        <v>45600</v>
      </c>
      <c r="F291" s="18" t="s">
        <v>611</v>
      </c>
      <c r="G291" t="s">
        <v>101</v>
      </c>
      <c r="H291">
        <v>3</v>
      </c>
      <c r="I291">
        <v>6</v>
      </c>
      <c r="J291" s="27">
        <v>82115.520000000004</v>
      </c>
      <c r="K291" s="27">
        <v>5000000</v>
      </c>
    </row>
    <row r="292" spans="1:11" ht="12.75" customHeight="1" x14ac:dyDescent="0.2">
      <c r="A292" t="s">
        <v>1164</v>
      </c>
      <c r="B292" t="s">
        <v>1165</v>
      </c>
      <c r="C292">
        <v>2023</v>
      </c>
      <c r="D292" s="18">
        <v>45235</v>
      </c>
      <c r="E292" s="18">
        <v>45600</v>
      </c>
      <c r="F292" s="18" t="s">
        <v>611</v>
      </c>
      <c r="G292" t="s">
        <v>100</v>
      </c>
      <c r="H292">
        <v>1</v>
      </c>
      <c r="I292">
        <v>1</v>
      </c>
      <c r="J292" s="27">
        <v>44891.199999999997</v>
      </c>
      <c r="K292" s="27">
        <v>4000000</v>
      </c>
    </row>
    <row r="293" spans="1:11" ht="12.75" customHeight="1" x14ac:dyDescent="0.2">
      <c r="A293" t="s">
        <v>1166</v>
      </c>
      <c r="B293" t="s">
        <v>1167</v>
      </c>
      <c r="C293">
        <v>2023</v>
      </c>
      <c r="D293" s="18">
        <v>45235</v>
      </c>
      <c r="E293" s="18">
        <v>45600</v>
      </c>
      <c r="F293" s="18" t="s">
        <v>611</v>
      </c>
      <c r="G293" t="s">
        <v>99</v>
      </c>
      <c r="H293">
        <v>1</v>
      </c>
      <c r="I293">
        <v>1</v>
      </c>
      <c r="J293" s="27">
        <v>12741.7</v>
      </c>
      <c r="K293" s="27">
        <v>1500000</v>
      </c>
    </row>
    <row r="294" spans="1:11" ht="12.75" customHeight="1" x14ac:dyDescent="0.2">
      <c r="A294" t="s">
        <v>1168</v>
      </c>
      <c r="B294" t="s">
        <v>1169</v>
      </c>
      <c r="C294">
        <v>2023</v>
      </c>
      <c r="D294" s="18">
        <v>45235</v>
      </c>
      <c r="E294" s="18">
        <v>45600</v>
      </c>
      <c r="F294" s="18" t="s">
        <v>611</v>
      </c>
      <c r="G294" t="s">
        <v>99</v>
      </c>
      <c r="H294">
        <v>1</v>
      </c>
      <c r="I294">
        <v>1</v>
      </c>
      <c r="J294" s="27">
        <v>8921.42</v>
      </c>
      <c r="K294" s="27">
        <v>0</v>
      </c>
    </row>
    <row r="295" spans="1:11" ht="12.75" customHeight="1" x14ac:dyDescent="0.2">
      <c r="A295" t="s">
        <v>1170</v>
      </c>
      <c r="B295" t="s">
        <v>1171</v>
      </c>
      <c r="C295">
        <v>2023</v>
      </c>
      <c r="D295" s="18">
        <v>45235</v>
      </c>
      <c r="E295" s="18">
        <v>45600</v>
      </c>
      <c r="F295" s="18" t="s">
        <v>611</v>
      </c>
      <c r="G295" t="s">
        <v>99</v>
      </c>
      <c r="H295">
        <v>1</v>
      </c>
      <c r="I295">
        <v>1</v>
      </c>
      <c r="J295" s="27">
        <v>43728.73</v>
      </c>
      <c r="K295" s="27">
        <v>5000000</v>
      </c>
    </row>
    <row r="296" spans="1:11" ht="12.75" customHeight="1" x14ac:dyDescent="0.2">
      <c r="A296" t="s">
        <v>1172</v>
      </c>
      <c r="B296" t="s">
        <v>1173</v>
      </c>
      <c r="C296">
        <v>2023</v>
      </c>
      <c r="D296" s="18">
        <v>45236</v>
      </c>
      <c r="E296" s="18">
        <v>45601</v>
      </c>
      <c r="F296" s="18" t="s">
        <v>611</v>
      </c>
      <c r="G296" t="s">
        <v>99</v>
      </c>
      <c r="H296">
        <v>2</v>
      </c>
      <c r="I296">
        <v>2</v>
      </c>
      <c r="J296" s="27">
        <v>25098.45</v>
      </c>
      <c r="K296" s="27">
        <v>3000000</v>
      </c>
    </row>
    <row r="297" spans="1:11" ht="12.75" customHeight="1" x14ac:dyDescent="0.2">
      <c r="A297" t="s">
        <v>1174</v>
      </c>
      <c r="B297" t="s">
        <v>1175</v>
      </c>
      <c r="C297">
        <v>2023</v>
      </c>
      <c r="D297" s="18">
        <v>45236</v>
      </c>
      <c r="E297" s="18">
        <v>45601</v>
      </c>
      <c r="F297" s="18" t="s">
        <v>611</v>
      </c>
      <c r="G297" t="s">
        <v>99</v>
      </c>
      <c r="H297">
        <v>2</v>
      </c>
      <c r="I297">
        <v>2</v>
      </c>
      <c r="J297" s="27">
        <v>81684.53</v>
      </c>
      <c r="K297" s="27">
        <v>10000000</v>
      </c>
    </row>
    <row r="298" spans="1:11" ht="12.75" customHeight="1" x14ac:dyDescent="0.2">
      <c r="A298" t="s">
        <v>1176</v>
      </c>
      <c r="B298" t="s">
        <v>1177</v>
      </c>
      <c r="C298">
        <v>2023</v>
      </c>
      <c r="D298" s="18">
        <v>45236</v>
      </c>
      <c r="E298" s="18">
        <v>45601</v>
      </c>
      <c r="F298" s="18" t="s">
        <v>611</v>
      </c>
      <c r="G298" t="s">
        <v>100</v>
      </c>
      <c r="H298">
        <v>1</v>
      </c>
      <c r="I298">
        <v>1</v>
      </c>
      <c r="J298" s="27">
        <v>57334.38</v>
      </c>
      <c r="K298" s="27">
        <v>5000000</v>
      </c>
    </row>
    <row r="299" spans="1:11" ht="12.75" customHeight="1" x14ac:dyDescent="0.2">
      <c r="A299" t="s">
        <v>1178</v>
      </c>
      <c r="B299" t="s">
        <v>1179</v>
      </c>
      <c r="C299">
        <v>2023</v>
      </c>
      <c r="D299" s="18">
        <v>45236</v>
      </c>
      <c r="E299" s="18">
        <v>45601</v>
      </c>
      <c r="F299" s="18" t="s">
        <v>611</v>
      </c>
      <c r="G299" t="s">
        <v>99</v>
      </c>
      <c r="H299">
        <v>1</v>
      </c>
      <c r="I299">
        <v>2</v>
      </c>
      <c r="J299" s="27">
        <v>78030.03</v>
      </c>
      <c r="K299" s="27">
        <v>10000000</v>
      </c>
    </row>
    <row r="300" spans="1:11" ht="12.75" customHeight="1" x14ac:dyDescent="0.2">
      <c r="A300" t="s">
        <v>1180</v>
      </c>
      <c r="B300" t="s">
        <v>1181</v>
      </c>
      <c r="C300">
        <v>2023</v>
      </c>
      <c r="D300" s="18">
        <v>45236</v>
      </c>
      <c r="E300" s="18">
        <v>45601</v>
      </c>
      <c r="F300" s="18" t="s">
        <v>611</v>
      </c>
      <c r="G300" t="s">
        <v>99</v>
      </c>
      <c r="H300">
        <v>3</v>
      </c>
      <c r="I300">
        <v>3</v>
      </c>
      <c r="J300" s="27">
        <v>40544.47</v>
      </c>
      <c r="K300" s="27">
        <v>4500000</v>
      </c>
    </row>
    <row r="301" spans="1:11" ht="12.75" customHeight="1" x14ac:dyDescent="0.2">
      <c r="A301" t="s">
        <v>1182</v>
      </c>
      <c r="B301" t="s">
        <v>1183</v>
      </c>
      <c r="C301">
        <v>2023</v>
      </c>
      <c r="D301" s="18">
        <v>45236</v>
      </c>
      <c r="E301" s="18">
        <v>45601</v>
      </c>
      <c r="F301" s="18" t="s">
        <v>611</v>
      </c>
      <c r="G301" t="s">
        <v>101</v>
      </c>
      <c r="H301">
        <v>2</v>
      </c>
      <c r="I301">
        <v>4</v>
      </c>
      <c r="J301" s="27">
        <v>22570.58</v>
      </c>
      <c r="K301" s="27">
        <v>1500000</v>
      </c>
    </row>
    <row r="302" spans="1:11" ht="12.75" customHeight="1" x14ac:dyDescent="0.2">
      <c r="A302" t="s">
        <v>1184</v>
      </c>
      <c r="B302" t="s">
        <v>1185</v>
      </c>
      <c r="C302">
        <v>2023</v>
      </c>
      <c r="D302" s="18">
        <v>45236</v>
      </c>
      <c r="E302" s="18">
        <v>45601</v>
      </c>
      <c r="F302" s="18" t="s">
        <v>611</v>
      </c>
      <c r="G302" t="s">
        <v>102</v>
      </c>
      <c r="H302">
        <v>1</v>
      </c>
      <c r="I302">
        <v>2</v>
      </c>
      <c r="J302" s="27">
        <v>19520.55</v>
      </c>
      <c r="K302" s="27">
        <v>2500000</v>
      </c>
    </row>
    <row r="303" spans="1:11" ht="12.75" customHeight="1" x14ac:dyDescent="0.2">
      <c r="A303" t="s">
        <v>1186</v>
      </c>
      <c r="B303" t="s">
        <v>1187</v>
      </c>
      <c r="C303">
        <v>2023</v>
      </c>
      <c r="D303" s="18">
        <v>45237</v>
      </c>
      <c r="E303" s="18">
        <v>45602</v>
      </c>
      <c r="F303" s="18" t="s">
        <v>611</v>
      </c>
      <c r="G303" t="s">
        <v>100</v>
      </c>
      <c r="H303">
        <v>2</v>
      </c>
      <c r="I303">
        <v>2</v>
      </c>
      <c r="J303" s="27">
        <v>126644.69</v>
      </c>
      <c r="K303" s="27">
        <v>10000000</v>
      </c>
    </row>
    <row r="304" spans="1:11" ht="12.75" customHeight="1" x14ac:dyDescent="0.2">
      <c r="A304" t="s">
        <v>1188</v>
      </c>
      <c r="B304" t="s">
        <v>1189</v>
      </c>
      <c r="C304">
        <v>2023</v>
      </c>
      <c r="D304" s="18">
        <v>45237</v>
      </c>
      <c r="E304" s="18">
        <v>45602</v>
      </c>
      <c r="F304" s="18" t="s">
        <v>611</v>
      </c>
      <c r="G304" t="s">
        <v>99</v>
      </c>
      <c r="H304">
        <v>1</v>
      </c>
      <c r="I304">
        <v>1</v>
      </c>
      <c r="J304" s="27">
        <v>83477.53</v>
      </c>
      <c r="K304" s="27">
        <v>10000000</v>
      </c>
    </row>
    <row r="305" spans="1:11" ht="12.75" customHeight="1" x14ac:dyDescent="0.2">
      <c r="A305" t="s">
        <v>1190</v>
      </c>
      <c r="B305" t="s">
        <v>1191</v>
      </c>
      <c r="C305">
        <v>2023</v>
      </c>
      <c r="D305" s="18">
        <v>45237</v>
      </c>
      <c r="E305" s="18">
        <v>45602</v>
      </c>
      <c r="F305" s="18" t="s">
        <v>611</v>
      </c>
      <c r="G305" t="s">
        <v>102</v>
      </c>
      <c r="H305">
        <v>2</v>
      </c>
      <c r="I305">
        <v>2</v>
      </c>
      <c r="J305" s="27">
        <v>21064.67</v>
      </c>
      <c r="K305" s="27">
        <v>3000000</v>
      </c>
    </row>
    <row r="306" spans="1:11" ht="12.75" customHeight="1" x14ac:dyDescent="0.2">
      <c r="A306" t="s">
        <v>1192</v>
      </c>
      <c r="B306" t="s">
        <v>1193</v>
      </c>
      <c r="C306">
        <v>2023</v>
      </c>
      <c r="D306" s="18">
        <v>45237</v>
      </c>
      <c r="E306" s="18">
        <v>45602</v>
      </c>
      <c r="F306" s="18" t="s">
        <v>611</v>
      </c>
      <c r="G306" t="s">
        <v>101</v>
      </c>
      <c r="H306">
        <v>1</v>
      </c>
      <c r="I306">
        <v>1</v>
      </c>
      <c r="J306" s="27">
        <v>16007.65</v>
      </c>
      <c r="K306" s="27">
        <v>1000000</v>
      </c>
    </row>
    <row r="307" spans="1:11" ht="12.75" customHeight="1" x14ac:dyDescent="0.2">
      <c r="A307" t="s">
        <v>1194</v>
      </c>
      <c r="B307" t="s">
        <v>1195</v>
      </c>
      <c r="C307">
        <v>2023</v>
      </c>
      <c r="D307" s="18">
        <v>45237</v>
      </c>
      <c r="E307" s="18">
        <v>45602</v>
      </c>
      <c r="F307" s="18" t="s">
        <v>611</v>
      </c>
      <c r="G307" t="s">
        <v>101</v>
      </c>
      <c r="H307">
        <v>1</v>
      </c>
      <c r="I307">
        <v>2</v>
      </c>
      <c r="J307" s="27">
        <v>71124.73</v>
      </c>
      <c r="K307" s="27">
        <v>5000000</v>
      </c>
    </row>
    <row r="308" spans="1:11" ht="12.75" customHeight="1" x14ac:dyDescent="0.2">
      <c r="A308" t="s">
        <v>1196</v>
      </c>
      <c r="B308" t="s">
        <v>1197</v>
      </c>
      <c r="C308">
        <v>2023</v>
      </c>
      <c r="D308" s="18">
        <v>45237</v>
      </c>
      <c r="E308" s="18">
        <v>45602</v>
      </c>
      <c r="F308" s="18" t="s">
        <v>611</v>
      </c>
      <c r="G308" t="s">
        <v>99</v>
      </c>
      <c r="H308">
        <v>2</v>
      </c>
      <c r="I308">
        <v>4</v>
      </c>
      <c r="J308" s="27">
        <v>79075.11</v>
      </c>
      <c r="K308" s="27">
        <v>10000000</v>
      </c>
    </row>
    <row r="309" spans="1:11" ht="12.75" customHeight="1" x14ac:dyDescent="0.2">
      <c r="A309" t="s">
        <v>1198</v>
      </c>
      <c r="B309" t="s">
        <v>1199</v>
      </c>
      <c r="C309">
        <v>2023</v>
      </c>
      <c r="D309" s="18">
        <v>45237</v>
      </c>
      <c r="E309" s="18">
        <v>45602</v>
      </c>
      <c r="F309" s="18" t="s">
        <v>611</v>
      </c>
      <c r="G309" t="s">
        <v>99</v>
      </c>
      <c r="H309">
        <v>3</v>
      </c>
      <c r="I309">
        <v>3</v>
      </c>
      <c r="J309" s="27">
        <v>90547.35</v>
      </c>
      <c r="K309" s="27">
        <v>10000000</v>
      </c>
    </row>
    <row r="310" spans="1:11" ht="12.75" customHeight="1" x14ac:dyDescent="0.2">
      <c r="A310" t="s">
        <v>1200</v>
      </c>
      <c r="B310" t="s">
        <v>1201</v>
      </c>
      <c r="C310">
        <v>2023</v>
      </c>
      <c r="D310" s="18">
        <v>45237</v>
      </c>
      <c r="E310" s="18">
        <v>45602</v>
      </c>
      <c r="F310" s="18" t="s">
        <v>611</v>
      </c>
      <c r="G310" t="s">
        <v>99</v>
      </c>
      <c r="H310">
        <v>3</v>
      </c>
      <c r="I310">
        <v>6</v>
      </c>
      <c r="J310" s="27">
        <v>44716.9</v>
      </c>
      <c r="K310" s="27">
        <v>5000000</v>
      </c>
    </row>
    <row r="311" spans="1:11" ht="12.75" customHeight="1" x14ac:dyDescent="0.2">
      <c r="A311" t="s">
        <v>1202</v>
      </c>
      <c r="B311" t="s">
        <v>1203</v>
      </c>
      <c r="C311">
        <v>2023</v>
      </c>
      <c r="D311" s="18">
        <v>45237</v>
      </c>
      <c r="E311" s="18">
        <v>45602</v>
      </c>
      <c r="F311" s="18" t="s">
        <v>611</v>
      </c>
      <c r="G311" t="s">
        <v>101</v>
      </c>
      <c r="H311">
        <v>1</v>
      </c>
      <c r="I311">
        <v>1</v>
      </c>
      <c r="J311" s="27">
        <v>78105.88</v>
      </c>
      <c r="K311" s="27">
        <v>5000000</v>
      </c>
    </row>
    <row r="312" spans="1:11" ht="12.75" customHeight="1" x14ac:dyDescent="0.2">
      <c r="A312" t="s">
        <v>1204</v>
      </c>
      <c r="B312" t="s">
        <v>1205</v>
      </c>
      <c r="C312">
        <v>2023</v>
      </c>
      <c r="D312" s="18">
        <v>45238</v>
      </c>
      <c r="E312" s="18">
        <v>45603</v>
      </c>
      <c r="F312" s="18" t="s">
        <v>608</v>
      </c>
      <c r="G312" t="s">
        <v>101</v>
      </c>
      <c r="H312">
        <v>3</v>
      </c>
      <c r="I312">
        <v>3</v>
      </c>
      <c r="J312" s="27">
        <v>23630.54</v>
      </c>
      <c r="K312" s="27">
        <v>1500000</v>
      </c>
    </row>
    <row r="313" spans="1:11" ht="12.75" customHeight="1" x14ac:dyDescent="0.2">
      <c r="A313" t="s">
        <v>1206</v>
      </c>
      <c r="B313" t="s">
        <v>1207</v>
      </c>
      <c r="C313">
        <v>2023</v>
      </c>
      <c r="D313" s="18">
        <v>45238</v>
      </c>
      <c r="E313" s="18">
        <v>45603</v>
      </c>
      <c r="F313" s="18" t="s">
        <v>608</v>
      </c>
      <c r="G313" t="s">
        <v>101</v>
      </c>
      <c r="H313">
        <v>1</v>
      </c>
      <c r="I313">
        <v>1</v>
      </c>
      <c r="J313" s="27">
        <v>59543.98</v>
      </c>
      <c r="K313" s="27">
        <v>4000000</v>
      </c>
    </row>
    <row r="314" spans="1:11" ht="12.75" customHeight="1" x14ac:dyDescent="0.2">
      <c r="A314" t="s">
        <v>1208</v>
      </c>
      <c r="B314" t="s">
        <v>1209</v>
      </c>
      <c r="C314">
        <v>2023</v>
      </c>
      <c r="D314" s="18">
        <v>45238</v>
      </c>
      <c r="E314" s="18">
        <v>45603</v>
      </c>
      <c r="F314" s="18" t="s">
        <v>611</v>
      </c>
      <c r="G314" t="s">
        <v>101</v>
      </c>
      <c r="H314">
        <v>1</v>
      </c>
      <c r="I314">
        <v>2</v>
      </c>
      <c r="J314" s="27">
        <v>70544.67</v>
      </c>
      <c r="K314" s="27">
        <v>5000000</v>
      </c>
    </row>
    <row r="315" spans="1:11" ht="12.75" customHeight="1" x14ac:dyDescent="0.2">
      <c r="A315" t="s">
        <v>1210</v>
      </c>
      <c r="B315" t="s">
        <v>1211</v>
      </c>
      <c r="C315">
        <v>2023</v>
      </c>
      <c r="D315" s="18">
        <v>45238</v>
      </c>
      <c r="E315" s="18">
        <v>45603</v>
      </c>
      <c r="F315" s="18" t="s">
        <v>611</v>
      </c>
      <c r="G315" t="s">
        <v>102</v>
      </c>
      <c r="H315">
        <v>2</v>
      </c>
      <c r="I315">
        <v>4</v>
      </c>
      <c r="J315" s="27">
        <v>34719.160000000003</v>
      </c>
      <c r="K315" s="27">
        <v>5000000</v>
      </c>
    </row>
    <row r="316" spans="1:11" ht="12.75" customHeight="1" x14ac:dyDescent="0.2">
      <c r="A316" t="s">
        <v>1212</v>
      </c>
      <c r="B316" t="s">
        <v>1213</v>
      </c>
      <c r="C316">
        <v>2023</v>
      </c>
      <c r="D316" s="18">
        <v>45238</v>
      </c>
      <c r="E316" s="18">
        <v>45603</v>
      </c>
      <c r="F316" s="18" t="s">
        <v>611</v>
      </c>
      <c r="G316" t="s">
        <v>101</v>
      </c>
      <c r="H316">
        <v>2</v>
      </c>
      <c r="I316">
        <v>2</v>
      </c>
      <c r="J316" s="27">
        <v>14619.62</v>
      </c>
      <c r="K316" s="27">
        <v>1000000</v>
      </c>
    </row>
    <row r="317" spans="1:11" ht="12.75" customHeight="1" x14ac:dyDescent="0.2">
      <c r="A317" t="s">
        <v>1214</v>
      </c>
      <c r="B317" t="s">
        <v>1215</v>
      </c>
      <c r="C317">
        <v>2023</v>
      </c>
      <c r="D317" s="18">
        <v>45238</v>
      </c>
      <c r="E317" s="18">
        <v>45603</v>
      </c>
      <c r="F317" s="18" t="s">
        <v>611</v>
      </c>
      <c r="G317" t="s">
        <v>101</v>
      </c>
      <c r="H317">
        <v>2</v>
      </c>
      <c r="I317">
        <v>4</v>
      </c>
      <c r="J317" s="27">
        <v>84275.39</v>
      </c>
      <c r="K317" s="27">
        <v>5000000</v>
      </c>
    </row>
    <row r="318" spans="1:11" ht="12.75" customHeight="1" x14ac:dyDescent="0.2">
      <c r="A318" t="s">
        <v>1216</v>
      </c>
      <c r="B318" t="s">
        <v>1217</v>
      </c>
      <c r="C318">
        <v>2023</v>
      </c>
      <c r="D318" s="18">
        <v>45238</v>
      </c>
      <c r="E318" s="18">
        <v>45603</v>
      </c>
      <c r="F318" s="18" t="s">
        <v>611</v>
      </c>
      <c r="G318" t="s">
        <v>102</v>
      </c>
      <c r="H318">
        <v>1</v>
      </c>
      <c r="I318">
        <v>1</v>
      </c>
      <c r="J318" s="27">
        <v>13352.71</v>
      </c>
      <c r="K318" s="27">
        <v>2000000</v>
      </c>
    </row>
    <row r="319" spans="1:11" ht="12.75" customHeight="1" x14ac:dyDescent="0.2">
      <c r="A319" t="s">
        <v>1218</v>
      </c>
      <c r="B319" t="s">
        <v>1219</v>
      </c>
      <c r="C319">
        <v>2023</v>
      </c>
      <c r="D319" s="18">
        <v>45238</v>
      </c>
      <c r="E319" s="18">
        <v>45603</v>
      </c>
      <c r="F319" s="18" t="s">
        <v>611</v>
      </c>
      <c r="G319" t="s">
        <v>101</v>
      </c>
      <c r="H319">
        <v>1</v>
      </c>
      <c r="I319">
        <v>1</v>
      </c>
      <c r="J319" s="27">
        <v>60870.17</v>
      </c>
      <c r="K319" s="27">
        <v>4000000</v>
      </c>
    </row>
    <row r="320" spans="1:11" ht="12.75" customHeight="1" x14ac:dyDescent="0.2">
      <c r="A320" t="s">
        <v>1220</v>
      </c>
      <c r="B320" t="s">
        <v>1221</v>
      </c>
      <c r="C320">
        <v>2023</v>
      </c>
      <c r="D320" s="18">
        <v>45238</v>
      </c>
      <c r="E320" s="18">
        <v>45603</v>
      </c>
      <c r="F320" s="18" t="s">
        <v>611</v>
      </c>
      <c r="G320" t="s">
        <v>99</v>
      </c>
      <c r="H320">
        <v>2</v>
      </c>
      <c r="I320">
        <v>4</v>
      </c>
      <c r="J320" s="27">
        <v>30921.759999999998</v>
      </c>
      <c r="K320" s="27">
        <v>3500000</v>
      </c>
    </row>
    <row r="321" spans="1:11" ht="12.75" customHeight="1" x14ac:dyDescent="0.2">
      <c r="A321" t="s">
        <v>1222</v>
      </c>
      <c r="B321" t="s">
        <v>1223</v>
      </c>
      <c r="C321">
        <v>2023</v>
      </c>
      <c r="D321" s="18">
        <v>45239</v>
      </c>
      <c r="E321" s="18">
        <v>45604</v>
      </c>
      <c r="F321" s="18" t="s">
        <v>608</v>
      </c>
      <c r="G321" t="s">
        <v>100</v>
      </c>
      <c r="H321">
        <v>3</v>
      </c>
      <c r="I321">
        <v>6</v>
      </c>
      <c r="J321" s="27">
        <v>6236.66</v>
      </c>
      <c r="K321" s="27">
        <v>500000</v>
      </c>
    </row>
    <row r="322" spans="1:11" ht="12.75" customHeight="1" x14ac:dyDescent="0.2">
      <c r="A322" t="s">
        <v>1224</v>
      </c>
      <c r="B322" t="s">
        <v>1225</v>
      </c>
      <c r="C322">
        <v>2023</v>
      </c>
      <c r="D322" s="18">
        <v>45239</v>
      </c>
      <c r="E322" s="18">
        <v>45604</v>
      </c>
      <c r="F322" s="18" t="s">
        <v>608</v>
      </c>
      <c r="G322" t="s">
        <v>100</v>
      </c>
      <c r="H322">
        <v>1</v>
      </c>
      <c r="I322">
        <v>2</v>
      </c>
      <c r="J322" s="27">
        <v>39548.22</v>
      </c>
      <c r="K322" s="27">
        <v>3000000</v>
      </c>
    </row>
    <row r="323" spans="1:11" ht="12.75" customHeight="1" x14ac:dyDescent="0.2">
      <c r="A323" t="s">
        <v>1226</v>
      </c>
      <c r="B323" t="s">
        <v>1227</v>
      </c>
      <c r="C323">
        <v>2023</v>
      </c>
      <c r="D323" s="18">
        <v>45239</v>
      </c>
      <c r="E323" s="18">
        <v>45604</v>
      </c>
      <c r="F323" s="18" t="s">
        <v>611</v>
      </c>
      <c r="G323" t="s">
        <v>99</v>
      </c>
      <c r="H323">
        <v>2</v>
      </c>
      <c r="I323">
        <v>2</v>
      </c>
      <c r="J323" s="27">
        <v>31129.38</v>
      </c>
      <c r="K323" s="27">
        <v>4000000</v>
      </c>
    </row>
    <row r="324" spans="1:11" ht="12.75" customHeight="1" x14ac:dyDescent="0.2">
      <c r="A324" t="s">
        <v>1228</v>
      </c>
      <c r="B324" t="s">
        <v>1229</v>
      </c>
      <c r="C324">
        <v>2023</v>
      </c>
      <c r="D324" s="18">
        <v>45239</v>
      </c>
      <c r="E324" s="18">
        <v>45604</v>
      </c>
      <c r="F324" s="18" t="s">
        <v>611</v>
      </c>
      <c r="G324" t="s">
        <v>102</v>
      </c>
      <c r="H324">
        <v>2</v>
      </c>
      <c r="I324">
        <v>4</v>
      </c>
      <c r="J324" s="27">
        <v>16888.689999999999</v>
      </c>
      <c r="K324" s="27">
        <v>2500000</v>
      </c>
    </row>
    <row r="325" spans="1:11" ht="12.75" customHeight="1" x14ac:dyDescent="0.2">
      <c r="A325" t="s">
        <v>1230</v>
      </c>
      <c r="B325" t="s">
        <v>1231</v>
      </c>
      <c r="C325">
        <v>2023</v>
      </c>
      <c r="D325" s="18">
        <v>45239</v>
      </c>
      <c r="E325" s="18">
        <v>45604</v>
      </c>
      <c r="F325" s="18" t="s">
        <v>611</v>
      </c>
      <c r="G325" t="s">
        <v>101</v>
      </c>
      <c r="H325">
        <v>1</v>
      </c>
      <c r="I325">
        <v>1</v>
      </c>
      <c r="J325" s="27">
        <v>140979.07999999999</v>
      </c>
      <c r="K325" s="27">
        <v>10000000</v>
      </c>
    </row>
    <row r="326" spans="1:11" ht="12.75" customHeight="1" x14ac:dyDescent="0.2">
      <c r="A326" t="s">
        <v>1232</v>
      </c>
      <c r="B326" t="s">
        <v>1233</v>
      </c>
      <c r="C326">
        <v>2023</v>
      </c>
      <c r="D326" s="18">
        <v>45239</v>
      </c>
      <c r="E326" s="18">
        <v>45604</v>
      </c>
      <c r="F326" s="18" t="s">
        <v>611</v>
      </c>
      <c r="G326" t="s">
        <v>100</v>
      </c>
      <c r="H326">
        <v>1</v>
      </c>
      <c r="I326">
        <v>1</v>
      </c>
      <c r="J326" s="27">
        <v>24932.78</v>
      </c>
      <c r="K326" s="27">
        <v>2000000</v>
      </c>
    </row>
    <row r="327" spans="1:11" ht="12.75" customHeight="1" x14ac:dyDescent="0.2">
      <c r="A327" t="s">
        <v>1234</v>
      </c>
      <c r="B327" t="s">
        <v>1235</v>
      </c>
      <c r="C327">
        <v>2023</v>
      </c>
      <c r="D327" s="18">
        <v>45239</v>
      </c>
      <c r="E327" s="18">
        <v>45604</v>
      </c>
      <c r="F327" s="18" t="s">
        <v>611</v>
      </c>
      <c r="G327" t="s">
        <v>101</v>
      </c>
      <c r="H327">
        <v>1</v>
      </c>
      <c r="I327">
        <v>2</v>
      </c>
      <c r="J327" s="27">
        <v>69041.52</v>
      </c>
      <c r="K327" s="27">
        <v>4500000</v>
      </c>
    </row>
    <row r="328" spans="1:11" ht="12.75" customHeight="1" x14ac:dyDescent="0.2">
      <c r="A328" t="s">
        <v>1236</v>
      </c>
      <c r="B328" t="s">
        <v>1237</v>
      </c>
      <c r="C328">
        <v>2023</v>
      </c>
      <c r="D328" s="18">
        <v>45239</v>
      </c>
      <c r="E328" s="18">
        <v>45604</v>
      </c>
      <c r="F328" s="18" t="s">
        <v>611</v>
      </c>
      <c r="G328" t="s">
        <v>99</v>
      </c>
      <c r="H328">
        <v>2</v>
      </c>
      <c r="I328">
        <v>2</v>
      </c>
      <c r="J328" s="27">
        <v>24630.93</v>
      </c>
      <c r="K328" s="27">
        <v>3000000</v>
      </c>
    </row>
    <row r="329" spans="1:11" ht="12.75" customHeight="1" x14ac:dyDescent="0.2">
      <c r="A329" t="s">
        <v>1238</v>
      </c>
      <c r="B329" t="s">
        <v>1239</v>
      </c>
      <c r="C329">
        <v>2023</v>
      </c>
      <c r="D329" s="18">
        <v>45239</v>
      </c>
      <c r="E329" s="18">
        <v>45604</v>
      </c>
      <c r="F329" s="18" t="s">
        <v>611</v>
      </c>
      <c r="G329" t="s">
        <v>101</v>
      </c>
      <c r="H329">
        <v>1</v>
      </c>
      <c r="I329">
        <v>2</v>
      </c>
      <c r="J329" s="27">
        <v>29848.14</v>
      </c>
      <c r="K329" s="27">
        <v>2000000</v>
      </c>
    </row>
    <row r="330" spans="1:11" ht="12.75" customHeight="1" x14ac:dyDescent="0.2">
      <c r="A330" t="s">
        <v>1240</v>
      </c>
      <c r="B330" t="s">
        <v>1241</v>
      </c>
      <c r="C330">
        <v>2023</v>
      </c>
      <c r="D330" s="18">
        <v>45239</v>
      </c>
      <c r="E330" s="18">
        <v>45604</v>
      </c>
      <c r="F330" s="18" t="s">
        <v>611</v>
      </c>
      <c r="G330" t="s">
        <v>99</v>
      </c>
      <c r="H330">
        <v>1</v>
      </c>
      <c r="I330">
        <v>2</v>
      </c>
      <c r="J330" s="27">
        <v>27126.720000000001</v>
      </c>
      <c r="K330" s="27">
        <v>3000000</v>
      </c>
    </row>
    <row r="331" spans="1:11" ht="12.75" customHeight="1" x14ac:dyDescent="0.2">
      <c r="A331" t="s">
        <v>1242</v>
      </c>
      <c r="B331" t="s">
        <v>1243</v>
      </c>
      <c r="C331">
        <v>2023</v>
      </c>
      <c r="D331" s="18">
        <v>45239</v>
      </c>
      <c r="E331" s="18">
        <v>45604</v>
      </c>
      <c r="F331" s="18" t="s">
        <v>611</v>
      </c>
      <c r="G331" t="s">
        <v>101</v>
      </c>
      <c r="H331">
        <v>3</v>
      </c>
      <c r="I331">
        <v>3</v>
      </c>
      <c r="J331" s="27">
        <v>80782.67</v>
      </c>
      <c r="K331" s="27">
        <v>5000000</v>
      </c>
    </row>
    <row r="332" spans="1:11" ht="12.75" customHeight="1" x14ac:dyDescent="0.2">
      <c r="A332" t="s">
        <v>1244</v>
      </c>
      <c r="B332" t="s">
        <v>1245</v>
      </c>
      <c r="C332">
        <v>2023</v>
      </c>
      <c r="D332" s="18">
        <v>45240</v>
      </c>
      <c r="E332" s="18">
        <v>45605</v>
      </c>
      <c r="F332" s="18" t="s">
        <v>608</v>
      </c>
      <c r="G332" t="s">
        <v>101</v>
      </c>
      <c r="H332">
        <v>1</v>
      </c>
      <c r="I332">
        <v>1</v>
      </c>
      <c r="J332" s="27">
        <v>31404.25</v>
      </c>
      <c r="K332" s="27">
        <v>2000000</v>
      </c>
    </row>
    <row r="333" spans="1:11" ht="12.75" customHeight="1" x14ac:dyDescent="0.2">
      <c r="A333" t="s">
        <v>1246</v>
      </c>
      <c r="B333" t="s">
        <v>1247</v>
      </c>
      <c r="C333">
        <v>2023</v>
      </c>
      <c r="D333" s="18">
        <v>45240</v>
      </c>
      <c r="E333" s="18">
        <v>45605</v>
      </c>
      <c r="F333" s="18" t="s">
        <v>608</v>
      </c>
      <c r="G333" t="s">
        <v>99</v>
      </c>
      <c r="H333">
        <v>1</v>
      </c>
      <c r="I333">
        <v>1</v>
      </c>
      <c r="J333" s="27">
        <v>20455.080000000002</v>
      </c>
      <c r="K333" s="27">
        <v>2500000</v>
      </c>
    </row>
    <row r="334" spans="1:11" ht="12.75" customHeight="1" x14ac:dyDescent="0.2">
      <c r="A334" t="s">
        <v>1248</v>
      </c>
      <c r="B334" t="s">
        <v>1249</v>
      </c>
      <c r="C334">
        <v>2023</v>
      </c>
      <c r="D334" s="18">
        <v>45240</v>
      </c>
      <c r="E334" s="18">
        <v>45605</v>
      </c>
      <c r="F334" s="18" t="s">
        <v>611</v>
      </c>
      <c r="G334" t="s">
        <v>100</v>
      </c>
      <c r="H334">
        <v>1</v>
      </c>
      <c r="I334">
        <v>1</v>
      </c>
      <c r="J334" s="27">
        <v>118105.2</v>
      </c>
      <c r="K334" s="27">
        <v>10000000</v>
      </c>
    </row>
    <row r="335" spans="1:11" ht="12.75" customHeight="1" x14ac:dyDescent="0.2">
      <c r="A335" t="s">
        <v>1250</v>
      </c>
      <c r="B335" t="s">
        <v>1251</v>
      </c>
      <c r="C335">
        <v>2023</v>
      </c>
      <c r="D335" s="18">
        <v>45240</v>
      </c>
      <c r="E335" s="18">
        <v>45605</v>
      </c>
      <c r="F335" s="18" t="s">
        <v>611</v>
      </c>
      <c r="G335" t="s">
        <v>100</v>
      </c>
      <c r="H335">
        <v>2</v>
      </c>
      <c r="I335">
        <v>2</v>
      </c>
      <c r="J335" s="27">
        <v>22114.32</v>
      </c>
      <c r="K335" s="27">
        <v>2000000</v>
      </c>
    </row>
    <row r="336" spans="1:11" ht="12.75" customHeight="1" x14ac:dyDescent="0.2">
      <c r="A336" t="s">
        <v>1252</v>
      </c>
      <c r="B336" t="s">
        <v>1253</v>
      </c>
      <c r="C336">
        <v>2023</v>
      </c>
      <c r="D336" s="18">
        <v>45240</v>
      </c>
      <c r="E336" s="18">
        <v>45605</v>
      </c>
      <c r="F336" s="18" t="s">
        <v>611</v>
      </c>
      <c r="G336" t="s">
        <v>99</v>
      </c>
      <c r="H336">
        <v>1</v>
      </c>
      <c r="I336">
        <v>1</v>
      </c>
      <c r="J336" s="27">
        <v>39432.879999999997</v>
      </c>
      <c r="K336" s="27">
        <v>5000000</v>
      </c>
    </row>
    <row r="337" spans="1:11" ht="12.75" customHeight="1" x14ac:dyDescent="0.2">
      <c r="A337" t="s">
        <v>1254</v>
      </c>
      <c r="B337" t="s">
        <v>1255</v>
      </c>
      <c r="C337">
        <v>2023</v>
      </c>
      <c r="D337" s="18">
        <v>45240</v>
      </c>
      <c r="E337" s="18">
        <v>45605</v>
      </c>
      <c r="F337" s="18" t="s">
        <v>611</v>
      </c>
      <c r="G337" t="s">
        <v>99</v>
      </c>
      <c r="H337">
        <v>1</v>
      </c>
      <c r="I337">
        <v>1</v>
      </c>
      <c r="J337" s="27">
        <v>3818.4</v>
      </c>
      <c r="K337" s="27">
        <v>500000</v>
      </c>
    </row>
    <row r="338" spans="1:11" ht="12.75" customHeight="1" x14ac:dyDescent="0.2">
      <c r="A338" t="s">
        <v>1256</v>
      </c>
      <c r="B338" t="s">
        <v>1257</v>
      </c>
      <c r="C338">
        <v>2023</v>
      </c>
      <c r="D338" s="18">
        <v>45240</v>
      </c>
      <c r="E338" s="18">
        <v>45605</v>
      </c>
      <c r="F338" s="18" t="s">
        <v>611</v>
      </c>
      <c r="G338" t="s">
        <v>99</v>
      </c>
      <c r="H338">
        <v>1</v>
      </c>
      <c r="I338">
        <v>2</v>
      </c>
      <c r="J338" s="27">
        <v>45440.35</v>
      </c>
      <c r="K338" s="27">
        <v>5000000</v>
      </c>
    </row>
    <row r="339" spans="1:11" ht="12.75" customHeight="1" x14ac:dyDescent="0.2">
      <c r="A339" t="s">
        <v>1258</v>
      </c>
      <c r="B339" t="s">
        <v>1259</v>
      </c>
      <c r="C339">
        <v>2023</v>
      </c>
      <c r="D339" s="18">
        <v>45240</v>
      </c>
      <c r="E339" s="18">
        <v>45605</v>
      </c>
      <c r="F339" s="18" t="s">
        <v>611</v>
      </c>
      <c r="G339" t="s">
        <v>99</v>
      </c>
      <c r="H339">
        <v>2</v>
      </c>
      <c r="I339">
        <v>2</v>
      </c>
      <c r="J339" s="27">
        <v>22151.7</v>
      </c>
      <c r="K339" s="27">
        <v>2500000</v>
      </c>
    </row>
    <row r="340" spans="1:11" ht="12.75" customHeight="1" x14ac:dyDescent="0.2">
      <c r="A340" t="s">
        <v>1260</v>
      </c>
      <c r="B340" t="s">
        <v>1261</v>
      </c>
      <c r="C340">
        <v>2023</v>
      </c>
      <c r="D340" s="18">
        <v>45241</v>
      </c>
      <c r="E340" s="18">
        <v>45606</v>
      </c>
      <c r="F340" s="18" t="s">
        <v>608</v>
      </c>
      <c r="G340" t="s">
        <v>99</v>
      </c>
      <c r="H340">
        <v>3</v>
      </c>
      <c r="I340">
        <v>3</v>
      </c>
      <c r="J340" s="27">
        <v>40747.25</v>
      </c>
      <c r="K340" s="27">
        <v>4500000</v>
      </c>
    </row>
    <row r="341" spans="1:11" ht="12.75" customHeight="1" x14ac:dyDescent="0.2">
      <c r="A341" t="s">
        <v>1262</v>
      </c>
      <c r="B341" t="s">
        <v>1263</v>
      </c>
      <c r="C341">
        <v>2023</v>
      </c>
      <c r="D341" s="18">
        <v>45241</v>
      </c>
      <c r="E341" s="18">
        <v>45606</v>
      </c>
      <c r="F341" s="18" t="s">
        <v>611</v>
      </c>
      <c r="G341" t="s">
        <v>99</v>
      </c>
      <c r="H341">
        <v>2</v>
      </c>
      <c r="I341">
        <v>4</v>
      </c>
      <c r="J341" s="27">
        <v>90183.91</v>
      </c>
      <c r="K341" s="27">
        <v>10000000</v>
      </c>
    </row>
    <row r="342" spans="1:11" ht="12.75" customHeight="1" x14ac:dyDescent="0.2">
      <c r="A342" t="s">
        <v>1264</v>
      </c>
      <c r="B342" t="s">
        <v>1265</v>
      </c>
      <c r="C342">
        <v>2023</v>
      </c>
      <c r="D342" s="18">
        <v>45241</v>
      </c>
      <c r="E342" s="18">
        <v>45606</v>
      </c>
      <c r="F342" s="18" t="s">
        <v>611</v>
      </c>
      <c r="G342" t="s">
        <v>99</v>
      </c>
      <c r="H342">
        <v>1</v>
      </c>
      <c r="I342">
        <v>1</v>
      </c>
      <c r="J342" s="27">
        <v>87860.86</v>
      </c>
      <c r="K342" s="27">
        <v>10000000</v>
      </c>
    </row>
    <row r="343" spans="1:11" ht="12.75" customHeight="1" x14ac:dyDescent="0.2">
      <c r="A343" t="s">
        <v>1266</v>
      </c>
      <c r="B343" t="s">
        <v>1267</v>
      </c>
      <c r="C343">
        <v>2023</v>
      </c>
      <c r="D343" s="18">
        <v>45241</v>
      </c>
      <c r="E343" s="18">
        <v>45606</v>
      </c>
      <c r="F343" s="18" t="s">
        <v>611</v>
      </c>
      <c r="G343" t="s">
        <v>101</v>
      </c>
      <c r="H343">
        <v>3</v>
      </c>
      <c r="I343">
        <v>3</v>
      </c>
      <c r="J343" s="27">
        <v>141894.93</v>
      </c>
      <c r="K343" s="27">
        <v>10000000</v>
      </c>
    </row>
    <row r="344" spans="1:11" ht="12.75" customHeight="1" x14ac:dyDescent="0.2">
      <c r="A344" t="s">
        <v>1268</v>
      </c>
      <c r="B344" t="s">
        <v>1269</v>
      </c>
      <c r="C344">
        <v>2023</v>
      </c>
      <c r="D344" s="18">
        <v>45241</v>
      </c>
      <c r="E344" s="18">
        <v>45606</v>
      </c>
      <c r="F344" s="18" t="s">
        <v>611</v>
      </c>
      <c r="G344" t="s">
        <v>99</v>
      </c>
      <c r="H344">
        <v>1</v>
      </c>
      <c r="I344">
        <v>1</v>
      </c>
      <c r="J344" s="27">
        <v>84688.37</v>
      </c>
      <c r="K344" s="27">
        <v>10000000</v>
      </c>
    </row>
    <row r="345" spans="1:11" ht="12.75" customHeight="1" x14ac:dyDescent="0.2">
      <c r="A345" t="s">
        <v>1270</v>
      </c>
      <c r="B345" t="s">
        <v>1271</v>
      </c>
      <c r="C345">
        <v>2023</v>
      </c>
      <c r="D345" s="18">
        <v>45241</v>
      </c>
      <c r="E345" s="18">
        <v>45606</v>
      </c>
      <c r="F345" s="18" t="s">
        <v>611</v>
      </c>
      <c r="G345" t="s">
        <v>100</v>
      </c>
      <c r="H345">
        <v>1</v>
      </c>
      <c r="I345">
        <v>1</v>
      </c>
      <c r="J345" s="27">
        <v>66384.38</v>
      </c>
      <c r="K345" s="27">
        <v>5000000</v>
      </c>
    </row>
    <row r="346" spans="1:11" ht="12.75" customHeight="1" x14ac:dyDescent="0.2">
      <c r="A346" t="s">
        <v>1272</v>
      </c>
      <c r="B346" t="s">
        <v>1273</v>
      </c>
      <c r="C346">
        <v>2023</v>
      </c>
      <c r="D346" s="18">
        <v>45241</v>
      </c>
      <c r="E346" s="18">
        <v>45606</v>
      </c>
      <c r="F346" s="18" t="s">
        <v>611</v>
      </c>
      <c r="G346" t="s">
        <v>101</v>
      </c>
      <c r="H346">
        <v>2</v>
      </c>
      <c r="I346">
        <v>2</v>
      </c>
      <c r="J346" s="27">
        <v>78220.929999999993</v>
      </c>
      <c r="K346" s="27">
        <v>5000000</v>
      </c>
    </row>
    <row r="347" spans="1:11" ht="12.75" customHeight="1" x14ac:dyDescent="0.2">
      <c r="A347" t="s">
        <v>1274</v>
      </c>
      <c r="B347" t="s">
        <v>1275</v>
      </c>
      <c r="C347">
        <v>2023</v>
      </c>
      <c r="D347" s="18">
        <v>45241</v>
      </c>
      <c r="E347" s="18">
        <v>45606</v>
      </c>
      <c r="F347" s="18" t="s">
        <v>611</v>
      </c>
      <c r="G347" t="s">
        <v>101</v>
      </c>
      <c r="H347">
        <v>3</v>
      </c>
      <c r="I347">
        <v>3</v>
      </c>
      <c r="J347" s="27">
        <v>34107.97</v>
      </c>
      <c r="K347" s="27">
        <v>2000000</v>
      </c>
    </row>
    <row r="348" spans="1:11" ht="12.75" customHeight="1" x14ac:dyDescent="0.2">
      <c r="A348" t="s">
        <v>1276</v>
      </c>
      <c r="B348" t="s">
        <v>1277</v>
      </c>
      <c r="C348">
        <v>2023</v>
      </c>
      <c r="D348" s="18">
        <v>45242</v>
      </c>
      <c r="E348" s="18">
        <v>45607</v>
      </c>
      <c r="F348" s="18" t="s">
        <v>608</v>
      </c>
      <c r="G348" t="s">
        <v>100</v>
      </c>
      <c r="H348">
        <v>1</v>
      </c>
      <c r="I348">
        <v>2</v>
      </c>
      <c r="J348" s="27">
        <v>39532.949999999997</v>
      </c>
      <c r="K348" s="27">
        <v>3000000</v>
      </c>
    </row>
    <row r="349" spans="1:11" ht="12.75" customHeight="1" x14ac:dyDescent="0.2">
      <c r="A349" t="s">
        <v>1278</v>
      </c>
      <c r="B349" t="s">
        <v>1279</v>
      </c>
      <c r="C349">
        <v>2023</v>
      </c>
      <c r="D349" s="18">
        <v>45242</v>
      </c>
      <c r="E349" s="18">
        <v>45607</v>
      </c>
      <c r="F349" s="18" t="s">
        <v>608</v>
      </c>
      <c r="G349" t="s">
        <v>99</v>
      </c>
      <c r="H349">
        <v>2</v>
      </c>
      <c r="I349">
        <v>2</v>
      </c>
      <c r="J349" s="27">
        <v>19857.62</v>
      </c>
      <c r="K349" s="27">
        <v>2500000</v>
      </c>
    </row>
    <row r="350" spans="1:11" ht="12.75" customHeight="1" x14ac:dyDescent="0.2">
      <c r="A350" t="s">
        <v>1280</v>
      </c>
      <c r="B350" t="s">
        <v>1281</v>
      </c>
      <c r="C350">
        <v>2023</v>
      </c>
      <c r="D350" s="18">
        <v>45242</v>
      </c>
      <c r="E350" s="18">
        <v>45607</v>
      </c>
      <c r="F350" s="18" t="s">
        <v>608</v>
      </c>
      <c r="G350" t="s">
        <v>101</v>
      </c>
      <c r="H350">
        <v>1</v>
      </c>
      <c r="I350">
        <v>2</v>
      </c>
      <c r="J350" s="27">
        <v>58879.09</v>
      </c>
      <c r="K350" s="27">
        <v>4000000</v>
      </c>
    </row>
    <row r="351" spans="1:11" ht="12.75" customHeight="1" x14ac:dyDescent="0.2">
      <c r="A351" t="s">
        <v>1282</v>
      </c>
      <c r="B351" t="s">
        <v>1283</v>
      </c>
      <c r="C351">
        <v>2023</v>
      </c>
      <c r="D351" s="18">
        <v>45242</v>
      </c>
      <c r="E351" s="18">
        <v>45607</v>
      </c>
      <c r="F351" s="18" t="s">
        <v>608</v>
      </c>
      <c r="G351" t="s">
        <v>101</v>
      </c>
      <c r="H351">
        <v>1</v>
      </c>
      <c r="I351">
        <v>1</v>
      </c>
      <c r="J351" s="27">
        <v>81893.740000000005</v>
      </c>
      <c r="K351" s="27">
        <v>5000000</v>
      </c>
    </row>
    <row r="352" spans="1:11" ht="12.75" customHeight="1" x14ac:dyDescent="0.2">
      <c r="A352" t="s">
        <v>1284</v>
      </c>
      <c r="B352" t="s">
        <v>1285</v>
      </c>
      <c r="C352">
        <v>2023</v>
      </c>
      <c r="D352" s="18">
        <v>45242</v>
      </c>
      <c r="E352" s="18">
        <v>45607</v>
      </c>
      <c r="F352" s="18" t="s">
        <v>608</v>
      </c>
      <c r="G352" t="s">
        <v>101</v>
      </c>
      <c r="H352">
        <v>3</v>
      </c>
      <c r="I352">
        <v>6</v>
      </c>
      <c r="J352" s="27">
        <v>29664.54</v>
      </c>
      <c r="K352" s="27">
        <v>2000000</v>
      </c>
    </row>
    <row r="353" spans="1:11" ht="12.75" customHeight="1" x14ac:dyDescent="0.2">
      <c r="A353" t="s">
        <v>1286</v>
      </c>
      <c r="B353" t="s">
        <v>1287</v>
      </c>
      <c r="C353">
        <v>2023</v>
      </c>
      <c r="D353" s="18">
        <v>45242</v>
      </c>
      <c r="E353" s="18">
        <v>45607</v>
      </c>
      <c r="F353" s="18" t="s">
        <v>608</v>
      </c>
      <c r="G353" t="s">
        <v>101</v>
      </c>
      <c r="H353">
        <v>1</v>
      </c>
      <c r="I353">
        <v>1</v>
      </c>
      <c r="J353" s="27">
        <v>32269.17</v>
      </c>
      <c r="K353" s="27">
        <v>2000000</v>
      </c>
    </row>
    <row r="354" spans="1:11" ht="12.75" customHeight="1" x14ac:dyDescent="0.2">
      <c r="A354" t="s">
        <v>1288</v>
      </c>
      <c r="B354" t="s">
        <v>1289</v>
      </c>
      <c r="C354">
        <v>2023</v>
      </c>
      <c r="D354" s="18">
        <v>45242</v>
      </c>
      <c r="E354" s="18">
        <v>45607</v>
      </c>
      <c r="F354" s="18" t="s">
        <v>611</v>
      </c>
      <c r="G354" t="s">
        <v>100</v>
      </c>
      <c r="H354">
        <v>1</v>
      </c>
      <c r="I354">
        <v>1</v>
      </c>
      <c r="J354" s="27">
        <v>57655.1</v>
      </c>
      <c r="K354" s="27">
        <v>4500000</v>
      </c>
    </row>
    <row r="355" spans="1:11" ht="12.75" customHeight="1" x14ac:dyDescent="0.2">
      <c r="A355" t="s">
        <v>1290</v>
      </c>
      <c r="B355" t="s">
        <v>1291</v>
      </c>
      <c r="C355">
        <v>2023</v>
      </c>
      <c r="D355" s="18">
        <v>45242</v>
      </c>
      <c r="E355" s="18">
        <v>45607</v>
      </c>
      <c r="F355" s="18" t="s">
        <v>611</v>
      </c>
      <c r="G355" t="s">
        <v>100</v>
      </c>
      <c r="H355">
        <v>2</v>
      </c>
      <c r="I355">
        <v>4</v>
      </c>
      <c r="J355" s="27">
        <v>129123.05</v>
      </c>
      <c r="K355" s="27">
        <v>10000000</v>
      </c>
    </row>
    <row r="356" spans="1:11" ht="12.75" customHeight="1" x14ac:dyDescent="0.2">
      <c r="A356" t="s">
        <v>1292</v>
      </c>
      <c r="B356" t="s">
        <v>1293</v>
      </c>
      <c r="C356">
        <v>2023</v>
      </c>
      <c r="D356" s="18">
        <v>45242</v>
      </c>
      <c r="E356" s="18">
        <v>45607</v>
      </c>
      <c r="F356" s="18" t="s">
        <v>611</v>
      </c>
      <c r="G356" t="s">
        <v>101</v>
      </c>
      <c r="H356">
        <v>1</v>
      </c>
      <c r="I356">
        <v>2</v>
      </c>
      <c r="J356" s="27">
        <v>32919.49</v>
      </c>
      <c r="K356" s="27">
        <v>2000000</v>
      </c>
    </row>
    <row r="357" spans="1:11" ht="12.75" customHeight="1" x14ac:dyDescent="0.2">
      <c r="A357" t="s">
        <v>1294</v>
      </c>
      <c r="B357" t="s">
        <v>1295</v>
      </c>
      <c r="C357">
        <v>2023</v>
      </c>
      <c r="D357" s="18">
        <v>45242</v>
      </c>
      <c r="E357" s="18">
        <v>45607</v>
      </c>
      <c r="F357" s="18" t="s">
        <v>611</v>
      </c>
      <c r="G357" t="s">
        <v>101</v>
      </c>
      <c r="H357">
        <v>3</v>
      </c>
      <c r="I357">
        <v>3</v>
      </c>
      <c r="J357" s="27">
        <v>16636.52</v>
      </c>
      <c r="K357" s="27">
        <v>1000000</v>
      </c>
    </row>
    <row r="358" spans="1:11" ht="12.75" customHeight="1" x14ac:dyDescent="0.2">
      <c r="A358" t="s">
        <v>1296</v>
      </c>
      <c r="B358" t="s">
        <v>1297</v>
      </c>
      <c r="C358">
        <v>2023</v>
      </c>
      <c r="D358" s="18">
        <v>45242</v>
      </c>
      <c r="E358" s="18">
        <v>45607</v>
      </c>
      <c r="F358" s="18" t="s">
        <v>611</v>
      </c>
      <c r="G358" t="s">
        <v>101</v>
      </c>
      <c r="H358">
        <v>1</v>
      </c>
      <c r="I358">
        <v>1</v>
      </c>
      <c r="J358" s="27">
        <v>66623.22</v>
      </c>
      <c r="K358" s="27">
        <v>4000000</v>
      </c>
    </row>
    <row r="359" spans="1:11" ht="12.75" customHeight="1" x14ac:dyDescent="0.2">
      <c r="A359" t="s">
        <v>1298</v>
      </c>
      <c r="B359" t="s">
        <v>1299</v>
      </c>
      <c r="C359">
        <v>2023</v>
      </c>
      <c r="D359" s="18">
        <v>45242</v>
      </c>
      <c r="E359" s="18">
        <v>45607</v>
      </c>
      <c r="F359" s="18" t="s">
        <v>611</v>
      </c>
      <c r="G359" t="s">
        <v>99</v>
      </c>
      <c r="H359">
        <v>3</v>
      </c>
      <c r="I359">
        <v>3</v>
      </c>
      <c r="J359" s="27">
        <v>15318.83</v>
      </c>
      <c r="K359" s="27">
        <v>2000000</v>
      </c>
    </row>
    <row r="360" spans="1:11" ht="12.75" customHeight="1" x14ac:dyDescent="0.2">
      <c r="A360" t="s">
        <v>1300</v>
      </c>
      <c r="B360" t="s">
        <v>1301</v>
      </c>
      <c r="C360">
        <v>2023</v>
      </c>
      <c r="D360" s="18">
        <v>45242</v>
      </c>
      <c r="E360" s="18">
        <v>45607</v>
      </c>
      <c r="F360" s="18" t="s">
        <v>611</v>
      </c>
      <c r="G360" t="s">
        <v>100</v>
      </c>
      <c r="H360">
        <v>1</v>
      </c>
      <c r="I360">
        <v>2</v>
      </c>
      <c r="J360" s="27">
        <v>64506.7</v>
      </c>
      <c r="K360" s="27">
        <v>5000000</v>
      </c>
    </row>
    <row r="361" spans="1:11" ht="12.75" customHeight="1" x14ac:dyDescent="0.2">
      <c r="A361" t="s">
        <v>1302</v>
      </c>
      <c r="B361" t="s">
        <v>1303</v>
      </c>
      <c r="C361">
        <v>2023</v>
      </c>
      <c r="D361" s="18">
        <v>45242</v>
      </c>
      <c r="E361" s="18">
        <v>45607</v>
      </c>
      <c r="F361" s="18" t="s">
        <v>611</v>
      </c>
      <c r="G361" t="s">
        <v>99</v>
      </c>
      <c r="H361">
        <v>2</v>
      </c>
      <c r="I361">
        <v>4</v>
      </c>
      <c r="J361" s="27">
        <v>30552.02</v>
      </c>
      <c r="K361" s="27">
        <v>4000000</v>
      </c>
    </row>
    <row r="362" spans="1:11" ht="12.75" customHeight="1" x14ac:dyDescent="0.2">
      <c r="A362" t="s">
        <v>1304</v>
      </c>
      <c r="B362" t="s">
        <v>1305</v>
      </c>
      <c r="C362">
        <v>2023</v>
      </c>
      <c r="D362" s="18">
        <v>45243</v>
      </c>
      <c r="E362" s="18">
        <v>45608</v>
      </c>
      <c r="F362" s="18" t="s">
        <v>608</v>
      </c>
      <c r="G362" t="s">
        <v>100</v>
      </c>
      <c r="H362">
        <v>1</v>
      </c>
      <c r="I362">
        <v>2</v>
      </c>
      <c r="J362" s="27">
        <v>64757.96</v>
      </c>
      <c r="K362" s="27">
        <v>5000000</v>
      </c>
    </row>
    <row r="363" spans="1:11" ht="12.75" customHeight="1" x14ac:dyDescent="0.2">
      <c r="A363" t="s">
        <v>1306</v>
      </c>
      <c r="B363" t="s">
        <v>1307</v>
      </c>
      <c r="C363">
        <v>2023</v>
      </c>
      <c r="D363" s="18">
        <v>45243</v>
      </c>
      <c r="E363" s="18">
        <v>45608</v>
      </c>
      <c r="F363" s="18" t="s">
        <v>611</v>
      </c>
      <c r="G363" t="s">
        <v>99</v>
      </c>
      <c r="H363">
        <v>1</v>
      </c>
      <c r="I363">
        <v>2</v>
      </c>
      <c r="J363" s="27">
        <v>86458.68</v>
      </c>
      <c r="K363" s="27">
        <v>10000000</v>
      </c>
    </row>
    <row r="364" spans="1:11" ht="12.75" customHeight="1" x14ac:dyDescent="0.2">
      <c r="A364" t="s">
        <v>1308</v>
      </c>
      <c r="B364" t="s">
        <v>1309</v>
      </c>
      <c r="C364">
        <v>2023</v>
      </c>
      <c r="D364" s="18">
        <v>45243</v>
      </c>
      <c r="E364" s="18">
        <v>45608</v>
      </c>
      <c r="F364" s="18" t="s">
        <v>611</v>
      </c>
      <c r="G364" t="s">
        <v>102</v>
      </c>
      <c r="H364">
        <v>1</v>
      </c>
      <c r="I364">
        <v>1</v>
      </c>
      <c r="J364" s="27">
        <v>22716.44</v>
      </c>
      <c r="K364" s="27">
        <v>3500000</v>
      </c>
    </row>
    <row r="365" spans="1:11" ht="12.75" customHeight="1" x14ac:dyDescent="0.2">
      <c r="A365" t="s">
        <v>1310</v>
      </c>
      <c r="B365" t="s">
        <v>1311</v>
      </c>
      <c r="C365">
        <v>2023</v>
      </c>
      <c r="D365" s="18">
        <v>45243</v>
      </c>
      <c r="E365" s="18">
        <v>45608</v>
      </c>
      <c r="F365" s="18" t="s">
        <v>611</v>
      </c>
      <c r="G365" t="s">
        <v>101</v>
      </c>
      <c r="H365">
        <v>3</v>
      </c>
      <c r="I365">
        <v>3</v>
      </c>
      <c r="J365" s="27">
        <v>170176.34</v>
      </c>
      <c r="K365" s="27">
        <v>10000000</v>
      </c>
    </row>
    <row r="366" spans="1:11" ht="12.75" customHeight="1" x14ac:dyDescent="0.2">
      <c r="A366" t="s">
        <v>1312</v>
      </c>
      <c r="B366" t="s">
        <v>1313</v>
      </c>
      <c r="C366">
        <v>2023</v>
      </c>
      <c r="D366" s="18">
        <v>45243</v>
      </c>
      <c r="E366" s="18">
        <v>45608</v>
      </c>
      <c r="F366" s="18" t="s">
        <v>611</v>
      </c>
      <c r="G366" t="s">
        <v>100</v>
      </c>
      <c r="H366">
        <v>1</v>
      </c>
      <c r="I366">
        <v>2</v>
      </c>
      <c r="J366" s="27">
        <v>62562.42</v>
      </c>
      <c r="K366" s="27">
        <v>5000000</v>
      </c>
    </row>
    <row r="367" spans="1:11" ht="12.75" customHeight="1" x14ac:dyDescent="0.2">
      <c r="A367" t="s">
        <v>1314</v>
      </c>
      <c r="B367" t="s">
        <v>1315</v>
      </c>
      <c r="C367">
        <v>2023</v>
      </c>
      <c r="D367" s="18">
        <v>45243</v>
      </c>
      <c r="E367" s="18">
        <v>45608</v>
      </c>
      <c r="F367" s="18" t="s">
        <v>611</v>
      </c>
      <c r="G367" t="s">
        <v>99</v>
      </c>
      <c r="H367">
        <v>2</v>
      </c>
      <c r="I367">
        <v>2</v>
      </c>
      <c r="J367" s="27">
        <v>15667.32</v>
      </c>
      <c r="K367" s="27">
        <v>2000000</v>
      </c>
    </row>
    <row r="368" spans="1:11" ht="12.75" customHeight="1" x14ac:dyDescent="0.2">
      <c r="A368" t="s">
        <v>1316</v>
      </c>
      <c r="B368" t="s">
        <v>1317</v>
      </c>
      <c r="C368">
        <v>2023</v>
      </c>
      <c r="D368" s="18">
        <v>45243</v>
      </c>
      <c r="E368" s="18">
        <v>45608</v>
      </c>
      <c r="F368" s="18" t="s">
        <v>611</v>
      </c>
      <c r="G368" t="s">
        <v>102</v>
      </c>
      <c r="H368">
        <v>2</v>
      </c>
      <c r="I368">
        <v>4</v>
      </c>
      <c r="J368" s="27">
        <v>35878.839999999997</v>
      </c>
      <c r="K368" s="27">
        <v>5000000</v>
      </c>
    </row>
    <row r="369" spans="1:11" ht="12.75" customHeight="1" x14ac:dyDescent="0.2">
      <c r="A369" t="s">
        <v>1318</v>
      </c>
      <c r="B369" t="s">
        <v>1319</v>
      </c>
      <c r="C369">
        <v>2023</v>
      </c>
      <c r="D369" s="18">
        <v>45244</v>
      </c>
      <c r="E369" s="18">
        <v>45609</v>
      </c>
      <c r="F369" s="18" t="s">
        <v>608</v>
      </c>
      <c r="G369" t="s">
        <v>101</v>
      </c>
      <c r="H369">
        <v>3</v>
      </c>
      <c r="I369">
        <v>3</v>
      </c>
      <c r="J369" s="27">
        <v>16562.47</v>
      </c>
      <c r="K369" s="27">
        <v>1000000</v>
      </c>
    </row>
    <row r="370" spans="1:11" ht="12.75" customHeight="1" x14ac:dyDescent="0.2">
      <c r="A370" t="s">
        <v>1320</v>
      </c>
      <c r="B370" t="s">
        <v>1321</v>
      </c>
      <c r="C370">
        <v>2023</v>
      </c>
      <c r="D370" s="18">
        <v>45244</v>
      </c>
      <c r="E370" s="18">
        <v>45609</v>
      </c>
      <c r="F370" s="18" t="s">
        <v>608</v>
      </c>
      <c r="G370" t="s">
        <v>99</v>
      </c>
      <c r="H370">
        <v>2</v>
      </c>
      <c r="I370">
        <v>4</v>
      </c>
      <c r="J370" s="27">
        <v>42094.04</v>
      </c>
      <c r="K370" s="27">
        <v>5000000</v>
      </c>
    </row>
    <row r="371" spans="1:11" ht="12.75" customHeight="1" x14ac:dyDescent="0.2">
      <c r="A371" t="s">
        <v>1322</v>
      </c>
      <c r="B371" t="s">
        <v>1323</v>
      </c>
      <c r="C371">
        <v>2023</v>
      </c>
      <c r="D371" s="18">
        <v>45244</v>
      </c>
      <c r="E371" s="18">
        <v>45609</v>
      </c>
      <c r="F371" s="18" t="s">
        <v>608</v>
      </c>
      <c r="G371" t="s">
        <v>101</v>
      </c>
      <c r="H371">
        <v>2</v>
      </c>
      <c r="I371">
        <v>4</v>
      </c>
      <c r="J371" s="27">
        <v>32671.85</v>
      </c>
      <c r="K371" s="27">
        <v>2000000</v>
      </c>
    </row>
    <row r="372" spans="1:11" ht="12.75" customHeight="1" x14ac:dyDescent="0.2">
      <c r="A372" t="s">
        <v>1324</v>
      </c>
      <c r="B372" t="s">
        <v>1325</v>
      </c>
      <c r="C372">
        <v>2023</v>
      </c>
      <c r="D372" s="18">
        <v>45244</v>
      </c>
      <c r="E372" s="18">
        <v>45609</v>
      </c>
      <c r="F372" s="18" t="s">
        <v>608</v>
      </c>
      <c r="G372" t="s">
        <v>99</v>
      </c>
      <c r="H372">
        <v>1</v>
      </c>
      <c r="I372">
        <v>2</v>
      </c>
      <c r="J372" s="27">
        <v>17121.34</v>
      </c>
      <c r="K372" s="27">
        <v>2000000</v>
      </c>
    </row>
    <row r="373" spans="1:11" ht="12.75" customHeight="1" x14ac:dyDescent="0.2">
      <c r="A373" t="s">
        <v>1326</v>
      </c>
      <c r="B373" t="s">
        <v>1327</v>
      </c>
      <c r="C373">
        <v>2023</v>
      </c>
      <c r="D373" s="18">
        <v>45244</v>
      </c>
      <c r="E373" s="18">
        <v>45609</v>
      </c>
      <c r="F373" s="18" t="s">
        <v>608</v>
      </c>
      <c r="G373" t="s">
        <v>100</v>
      </c>
      <c r="H373">
        <v>1</v>
      </c>
      <c r="I373">
        <v>2</v>
      </c>
      <c r="J373" s="27">
        <v>35547.11</v>
      </c>
      <c r="K373" s="27">
        <v>3000000</v>
      </c>
    </row>
    <row r="374" spans="1:11" ht="12.75" customHeight="1" x14ac:dyDescent="0.2">
      <c r="A374" t="s">
        <v>1328</v>
      </c>
      <c r="B374" t="s">
        <v>1329</v>
      </c>
      <c r="C374">
        <v>2023</v>
      </c>
      <c r="D374" s="18">
        <v>45244</v>
      </c>
      <c r="E374" s="18">
        <v>45609</v>
      </c>
      <c r="F374" s="18" t="s">
        <v>611</v>
      </c>
      <c r="G374" t="s">
        <v>99</v>
      </c>
      <c r="H374">
        <v>3</v>
      </c>
      <c r="I374">
        <v>3</v>
      </c>
      <c r="J374" s="27">
        <v>3870.86</v>
      </c>
      <c r="K374" s="27">
        <v>500000</v>
      </c>
    </row>
    <row r="375" spans="1:11" ht="12.75" customHeight="1" x14ac:dyDescent="0.2">
      <c r="A375" t="s">
        <v>1330</v>
      </c>
      <c r="B375" t="s">
        <v>1331</v>
      </c>
      <c r="C375">
        <v>2023</v>
      </c>
      <c r="D375" s="18">
        <v>45244</v>
      </c>
      <c r="E375" s="18">
        <v>45609</v>
      </c>
      <c r="F375" s="18" t="s">
        <v>611</v>
      </c>
      <c r="G375" t="s">
        <v>101</v>
      </c>
      <c r="H375">
        <v>2</v>
      </c>
      <c r="I375">
        <v>2</v>
      </c>
      <c r="J375" s="27">
        <v>58056.53</v>
      </c>
      <c r="K375" s="27">
        <v>4000000</v>
      </c>
    </row>
    <row r="376" spans="1:11" ht="12.75" customHeight="1" x14ac:dyDescent="0.2">
      <c r="A376" t="s">
        <v>1332</v>
      </c>
      <c r="B376" t="s">
        <v>1333</v>
      </c>
      <c r="C376">
        <v>2023</v>
      </c>
      <c r="D376" s="18">
        <v>45244</v>
      </c>
      <c r="E376" s="18">
        <v>45609</v>
      </c>
      <c r="F376" s="18" t="s">
        <v>611</v>
      </c>
      <c r="G376" t="s">
        <v>100</v>
      </c>
      <c r="H376">
        <v>1</v>
      </c>
      <c r="I376">
        <v>2</v>
      </c>
      <c r="J376" s="27">
        <v>23047.11</v>
      </c>
      <c r="K376" s="27">
        <v>2000000</v>
      </c>
    </row>
    <row r="377" spans="1:11" ht="12.75" customHeight="1" x14ac:dyDescent="0.2">
      <c r="A377" t="s">
        <v>1334</v>
      </c>
      <c r="B377" t="s">
        <v>1335</v>
      </c>
      <c r="C377">
        <v>2023</v>
      </c>
      <c r="D377" s="18">
        <v>45244</v>
      </c>
      <c r="E377" s="18">
        <v>45609</v>
      </c>
      <c r="F377" s="18" t="s">
        <v>611</v>
      </c>
      <c r="G377" t="s">
        <v>100</v>
      </c>
      <c r="H377">
        <v>1</v>
      </c>
      <c r="I377">
        <v>1</v>
      </c>
      <c r="J377" s="27">
        <v>53479.77</v>
      </c>
      <c r="K377" s="27">
        <v>4500000</v>
      </c>
    </row>
    <row r="378" spans="1:11" ht="12.75" customHeight="1" x14ac:dyDescent="0.2">
      <c r="A378" t="s">
        <v>1336</v>
      </c>
      <c r="B378" t="s">
        <v>1337</v>
      </c>
      <c r="C378">
        <v>2023</v>
      </c>
      <c r="D378" s="18">
        <v>45244</v>
      </c>
      <c r="E378" s="18">
        <v>45609</v>
      </c>
      <c r="F378" s="18" t="s">
        <v>611</v>
      </c>
      <c r="G378" t="s">
        <v>101</v>
      </c>
      <c r="H378">
        <v>1</v>
      </c>
      <c r="I378">
        <v>2</v>
      </c>
      <c r="J378" s="27">
        <v>28301.7</v>
      </c>
      <c r="K378" s="27">
        <v>2000000</v>
      </c>
    </row>
    <row r="379" spans="1:11" ht="12.75" customHeight="1" x14ac:dyDescent="0.2">
      <c r="A379" t="s">
        <v>1338</v>
      </c>
      <c r="B379" t="s">
        <v>1339</v>
      </c>
      <c r="C379">
        <v>2023</v>
      </c>
      <c r="D379" s="18">
        <v>45244</v>
      </c>
      <c r="E379" s="18">
        <v>45609</v>
      </c>
      <c r="F379" s="18" t="s">
        <v>611</v>
      </c>
      <c r="G379" t="s">
        <v>100</v>
      </c>
      <c r="H379">
        <v>1</v>
      </c>
      <c r="I379">
        <v>1</v>
      </c>
      <c r="J379" s="27">
        <v>126605.41</v>
      </c>
      <c r="K379" s="27">
        <v>10000000</v>
      </c>
    </row>
    <row r="380" spans="1:11" ht="12.75" customHeight="1" x14ac:dyDescent="0.2">
      <c r="A380" t="s">
        <v>1340</v>
      </c>
      <c r="B380" t="s">
        <v>1341</v>
      </c>
      <c r="C380">
        <v>2023</v>
      </c>
      <c r="D380" s="18">
        <v>45244</v>
      </c>
      <c r="E380" s="18">
        <v>45609</v>
      </c>
      <c r="F380" s="18" t="s">
        <v>611</v>
      </c>
      <c r="G380" t="s">
        <v>99</v>
      </c>
      <c r="H380">
        <v>2</v>
      </c>
      <c r="I380">
        <v>4</v>
      </c>
      <c r="J380" s="27">
        <v>19200.560000000001</v>
      </c>
      <c r="K380" s="27">
        <v>2500000</v>
      </c>
    </row>
    <row r="381" spans="1:11" ht="12.75" customHeight="1" x14ac:dyDescent="0.2">
      <c r="A381" t="s">
        <v>1342</v>
      </c>
      <c r="B381" t="s">
        <v>1343</v>
      </c>
      <c r="C381">
        <v>2023</v>
      </c>
      <c r="D381" s="18">
        <v>45244</v>
      </c>
      <c r="E381" s="18">
        <v>45609</v>
      </c>
      <c r="F381" s="18" t="s">
        <v>611</v>
      </c>
      <c r="G381" t="s">
        <v>100</v>
      </c>
      <c r="H381">
        <v>3</v>
      </c>
      <c r="I381">
        <v>6</v>
      </c>
      <c r="J381" s="27">
        <v>19543.98</v>
      </c>
      <c r="K381" s="27">
        <v>1500000</v>
      </c>
    </row>
    <row r="382" spans="1:11" ht="12.75" customHeight="1" x14ac:dyDescent="0.2">
      <c r="A382" t="s">
        <v>1344</v>
      </c>
      <c r="B382" t="s">
        <v>1345</v>
      </c>
      <c r="C382">
        <v>2023</v>
      </c>
      <c r="D382" s="18">
        <v>45245</v>
      </c>
      <c r="E382" s="18">
        <v>45610</v>
      </c>
      <c r="F382" s="18" t="s">
        <v>608</v>
      </c>
      <c r="G382" t="s">
        <v>100</v>
      </c>
      <c r="H382">
        <v>3</v>
      </c>
      <c r="I382">
        <v>6</v>
      </c>
      <c r="J382" s="27">
        <v>58160.86</v>
      </c>
      <c r="K382" s="27">
        <v>4500000</v>
      </c>
    </row>
    <row r="383" spans="1:11" ht="12.75" customHeight="1" x14ac:dyDescent="0.2">
      <c r="A383" t="s">
        <v>1346</v>
      </c>
      <c r="B383" t="s">
        <v>1347</v>
      </c>
      <c r="C383">
        <v>2023</v>
      </c>
      <c r="D383" s="18">
        <v>45245</v>
      </c>
      <c r="E383" s="18">
        <v>45610</v>
      </c>
      <c r="F383" s="18" t="s">
        <v>611</v>
      </c>
      <c r="G383" t="s">
        <v>100</v>
      </c>
      <c r="H383">
        <v>2</v>
      </c>
      <c r="I383">
        <v>2</v>
      </c>
      <c r="J383" s="27">
        <v>113530.33</v>
      </c>
      <c r="K383" s="27">
        <v>10000000</v>
      </c>
    </row>
    <row r="384" spans="1:11" ht="12.75" customHeight="1" x14ac:dyDescent="0.2">
      <c r="A384" t="s">
        <v>1348</v>
      </c>
      <c r="B384" t="s">
        <v>1349</v>
      </c>
      <c r="C384">
        <v>2023</v>
      </c>
      <c r="D384" s="18">
        <v>45245</v>
      </c>
      <c r="E384" s="18">
        <v>45610</v>
      </c>
      <c r="F384" s="18" t="s">
        <v>611</v>
      </c>
      <c r="G384" t="s">
        <v>99</v>
      </c>
      <c r="H384">
        <v>2</v>
      </c>
      <c r="I384">
        <v>2</v>
      </c>
      <c r="J384" s="27">
        <v>31292.75</v>
      </c>
      <c r="K384" s="27">
        <v>3500000</v>
      </c>
    </row>
    <row r="385" spans="1:11" ht="12.75" customHeight="1" x14ac:dyDescent="0.2">
      <c r="A385" t="s">
        <v>1350</v>
      </c>
      <c r="B385" t="s">
        <v>1351</v>
      </c>
      <c r="C385">
        <v>2023</v>
      </c>
      <c r="D385" s="18">
        <v>45245</v>
      </c>
      <c r="E385" s="18">
        <v>45610</v>
      </c>
      <c r="F385" s="18" t="s">
        <v>611</v>
      </c>
      <c r="G385" t="s">
        <v>101</v>
      </c>
      <c r="H385">
        <v>1</v>
      </c>
      <c r="I385">
        <v>2</v>
      </c>
      <c r="J385" s="27">
        <v>159985.19</v>
      </c>
      <c r="K385" s="27">
        <v>10000000</v>
      </c>
    </row>
    <row r="386" spans="1:11" ht="12.75" customHeight="1" x14ac:dyDescent="0.2">
      <c r="A386" t="s">
        <v>1352</v>
      </c>
      <c r="B386" t="s">
        <v>1353</v>
      </c>
      <c r="C386">
        <v>2023</v>
      </c>
      <c r="D386" s="18">
        <v>45245</v>
      </c>
      <c r="E386" s="18">
        <v>45610</v>
      </c>
      <c r="F386" s="18" t="s">
        <v>611</v>
      </c>
      <c r="G386" t="s">
        <v>100</v>
      </c>
      <c r="H386">
        <v>1</v>
      </c>
      <c r="I386">
        <v>1</v>
      </c>
      <c r="J386" s="27">
        <v>24746.09</v>
      </c>
      <c r="K386" s="27">
        <v>2000000</v>
      </c>
    </row>
    <row r="387" spans="1:11" ht="12.75" customHeight="1" x14ac:dyDescent="0.2">
      <c r="A387" t="s">
        <v>1354</v>
      </c>
      <c r="B387" t="s">
        <v>1355</v>
      </c>
      <c r="C387">
        <v>2023</v>
      </c>
      <c r="D387" s="18">
        <v>45245</v>
      </c>
      <c r="E387" s="18">
        <v>45610</v>
      </c>
      <c r="F387" s="18" t="s">
        <v>611</v>
      </c>
      <c r="G387" t="s">
        <v>99</v>
      </c>
      <c r="H387">
        <v>2</v>
      </c>
      <c r="I387">
        <v>2</v>
      </c>
      <c r="J387" s="27">
        <v>88378.64</v>
      </c>
      <c r="K387" s="27">
        <v>10000000</v>
      </c>
    </row>
    <row r="388" spans="1:11" ht="12.75" customHeight="1" x14ac:dyDescent="0.2">
      <c r="A388" t="s">
        <v>1356</v>
      </c>
      <c r="B388" t="s">
        <v>1357</v>
      </c>
      <c r="C388">
        <v>2023</v>
      </c>
      <c r="D388" s="18">
        <v>45245</v>
      </c>
      <c r="E388" s="18">
        <v>45610</v>
      </c>
      <c r="F388" s="18" t="s">
        <v>611</v>
      </c>
      <c r="G388" t="s">
        <v>101</v>
      </c>
      <c r="H388">
        <v>1</v>
      </c>
      <c r="I388">
        <v>1</v>
      </c>
      <c r="J388" s="27">
        <v>75641.039999999994</v>
      </c>
      <c r="K388" s="27">
        <v>4500000</v>
      </c>
    </row>
    <row r="389" spans="1:11" ht="12.75" customHeight="1" x14ac:dyDescent="0.2">
      <c r="A389" t="s">
        <v>1358</v>
      </c>
      <c r="B389" t="s">
        <v>1359</v>
      </c>
      <c r="C389">
        <v>2023</v>
      </c>
      <c r="D389" s="18">
        <v>45245</v>
      </c>
      <c r="E389" s="18">
        <v>45610</v>
      </c>
      <c r="F389" s="18" t="s">
        <v>611</v>
      </c>
      <c r="G389" t="s">
        <v>100</v>
      </c>
      <c r="H389">
        <v>1</v>
      </c>
      <c r="I389">
        <v>1</v>
      </c>
      <c r="J389" s="27">
        <v>13303.09</v>
      </c>
      <c r="K389" s="27">
        <v>1000000</v>
      </c>
    </row>
    <row r="390" spans="1:11" ht="12.75" customHeight="1" x14ac:dyDescent="0.2">
      <c r="A390" t="s">
        <v>1360</v>
      </c>
      <c r="B390" t="s">
        <v>1361</v>
      </c>
      <c r="C390">
        <v>2023</v>
      </c>
      <c r="D390" s="18">
        <v>45246</v>
      </c>
      <c r="E390" s="18">
        <v>45611</v>
      </c>
      <c r="F390" s="18" t="s">
        <v>608</v>
      </c>
      <c r="G390" t="s">
        <v>100</v>
      </c>
      <c r="H390">
        <v>1</v>
      </c>
      <c r="I390">
        <v>1</v>
      </c>
      <c r="J390" s="27">
        <v>51064.13</v>
      </c>
      <c r="K390" s="27">
        <v>4000000</v>
      </c>
    </row>
    <row r="391" spans="1:11" ht="12.75" customHeight="1" x14ac:dyDescent="0.2">
      <c r="A391" t="s">
        <v>1362</v>
      </c>
      <c r="B391" t="s">
        <v>1363</v>
      </c>
      <c r="C391">
        <v>2023</v>
      </c>
      <c r="D391" s="18">
        <v>45246</v>
      </c>
      <c r="E391" s="18">
        <v>45611</v>
      </c>
      <c r="F391" s="18" t="s">
        <v>608</v>
      </c>
      <c r="G391" t="s">
        <v>100</v>
      </c>
      <c r="H391">
        <v>2</v>
      </c>
      <c r="I391">
        <v>2</v>
      </c>
      <c r="J391" s="27">
        <v>12054.36</v>
      </c>
      <c r="K391" s="27">
        <v>1000000</v>
      </c>
    </row>
    <row r="392" spans="1:11" ht="12.75" customHeight="1" x14ac:dyDescent="0.2">
      <c r="A392" t="s">
        <v>1364</v>
      </c>
      <c r="B392" t="s">
        <v>1365</v>
      </c>
      <c r="C392">
        <v>2023</v>
      </c>
      <c r="D392" s="18">
        <v>45246</v>
      </c>
      <c r="E392" s="18">
        <v>45611</v>
      </c>
      <c r="F392" s="18" t="s">
        <v>608</v>
      </c>
      <c r="G392" t="s">
        <v>99</v>
      </c>
      <c r="H392">
        <v>3</v>
      </c>
      <c r="I392">
        <v>3</v>
      </c>
      <c r="J392" s="27">
        <v>22173.68</v>
      </c>
      <c r="K392" s="27">
        <v>2500000</v>
      </c>
    </row>
    <row r="393" spans="1:11" ht="12.75" customHeight="1" x14ac:dyDescent="0.2">
      <c r="A393" t="s">
        <v>1366</v>
      </c>
      <c r="B393" t="s">
        <v>1367</v>
      </c>
      <c r="C393">
        <v>2023</v>
      </c>
      <c r="D393" s="18">
        <v>45246</v>
      </c>
      <c r="E393" s="18">
        <v>45611</v>
      </c>
      <c r="F393" s="18" t="s">
        <v>611</v>
      </c>
      <c r="G393" t="s">
        <v>101</v>
      </c>
      <c r="H393">
        <v>2</v>
      </c>
      <c r="I393">
        <v>4</v>
      </c>
      <c r="J393" s="27">
        <v>33122.54</v>
      </c>
      <c r="K393" s="27">
        <v>2000000</v>
      </c>
    </row>
    <row r="394" spans="1:11" ht="12.75" customHeight="1" x14ac:dyDescent="0.2">
      <c r="A394" t="s">
        <v>1368</v>
      </c>
      <c r="B394" t="s">
        <v>1369</v>
      </c>
      <c r="C394">
        <v>2023</v>
      </c>
      <c r="D394" s="18">
        <v>45246</v>
      </c>
      <c r="E394" s="18">
        <v>45611</v>
      </c>
      <c r="F394" s="18" t="s">
        <v>611</v>
      </c>
      <c r="G394" t="s">
        <v>101</v>
      </c>
      <c r="H394">
        <v>2</v>
      </c>
      <c r="I394">
        <v>4</v>
      </c>
      <c r="J394" s="27">
        <v>28465.91</v>
      </c>
      <c r="K394" s="27">
        <v>2000000</v>
      </c>
    </row>
    <row r="395" spans="1:11" ht="12.75" customHeight="1" x14ac:dyDescent="0.2">
      <c r="A395" t="s">
        <v>1370</v>
      </c>
      <c r="B395" t="s">
        <v>1371</v>
      </c>
      <c r="C395">
        <v>2023</v>
      </c>
      <c r="D395" s="18">
        <v>45246</v>
      </c>
      <c r="E395" s="18">
        <v>45611</v>
      </c>
      <c r="F395" s="18" t="s">
        <v>611</v>
      </c>
      <c r="G395" t="s">
        <v>102</v>
      </c>
      <c r="H395">
        <v>1</v>
      </c>
      <c r="I395">
        <v>2</v>
      </c>
      <c r="J395" s="27">
        <v>27033.69</v>
      </c>
      <c r="K395" s="27">
        <v>3500000</v>
      </c>
    </row>
    <row r="396" spans="1:11" ht="12.75" customHeight="1" x14ac:dyDescent="0.2">
      <c r="A396" t="s">
        <v>1372</v>
      </c>
      <c r="B396" t="s">
        <v>1373</v>
      </c>
      <c r="C396">
        <v>2023</v>
      </c>
      <c r="D396" s="18">
        <v>45247</v>
      </c>
      <c r="E396" s="18">
        <v>45612</v>
      </c>
      <c r="F396" s="18" t="s">
        <v>608</v>
      </c>
      <c r="G396" t="s">
        <v>101</v>
      </c>
      <c r="H396">
        <v>1</v>
      </c>
      <c r="I396">
        <v>1</v>
      </c>
      <c r="J396" s="27">
        <v>60057.93</v>
      </c>
      <c r="K396" s="27">
        <v>4000000</v>
      </c>
    </row>
    <row r="397" spans="1:11" ht="12.75" customHeight="1" x14ac:dyDescent="0.2">
      <c r="A397" t="s">
        <v>1374</v>
      </c>
      <c r="B397" t="s">
        <v>1375</v>
      </c>
      <c r="C397">
        <v>2023</v>
      </c>
      <c r="D397" s="18">
        <v>45247</v>
      </c>
      <c r="E397" s="18">
        <v>45612</v>
      </c>
      <c r="F397" s="18" t="s">
        <v>611</v>
      </c>
      <c r="G397" t="s">
        <v>101</v>
      </c>
      <c r="H397">
        <v>1</v>
      </c>
      <c r="I397">
        <v>1</v>
      </c>
      <c r="J397" s="27">
        <v>7293.58</v>
      </c>
      <c r="K397" s="27">
        <v>500000</v>
      </c>
    </row>
    <row r="398" spans="1:11" ht="12.75" customHeight="1" x14ac:dyDescent="0.2">
      <c r="A398" t="s">
        <v>1376</v>
      </c>
      <c r="B398" t="s">
        <v>1377</v>
      </c>
      <c r="C398">
        <v>2023</v>
      </c>
      <c r="D398" s="18">
        <v>45247</v>
      </c>
      <c r="E398" s="18">
        <v>45612</v>
      </c>
      <c r="F398" s="18" t="s">
        <v>611</v>
      </c>
      <c r="G398" t="s">
        <v>101</v>
      </c>
      <c r="H398">
        <v>1</v>
      </c>
      <c r="I398">
        <v>1</v>
      </c>
      <c r="J398" s="27">
        <v>160922.20000000001</v>
      </c>
      <c r="K398" s="27">
        <v>10000000</v>
      </c>
    </row>
    <row r="399" spans="1:11" ht="12.75" customHeight="1" x14ac:dyDescent="0.2">
      <c r="A399" t="s">
        <v>1378</v>
      </c>
      <c r="B399" t="s">
        <v>1379</v>
      </c>
      <c r="C399">
        <v>2023</v>
      </c>
      <c r="D399" s="18">
        <v>45247</v>
      </c>
      <c r="E399" s="18">
        <v>45612</v>
      </c>
      <c r="F399" s="18" t="s">
        <v>611</v>
      </c>
      <c r="G399" t="s">
        <v>99</v>
      </c>
      <c r="H399">
        <v>2</v>
      </c>
      <c r="I399">
        <v>2</v>
      </c>
      <c r="J399" s="27">
        <v>3737.24</v>
      </c>
      <c r="K399" s="27">
        <v>500000</v>
      </c>
    </row>
    <row r="400" spans="1:11" ht="12.75" customHeight="1" x14ac:dyDescent="0.2">
      <c r="A400" t="s">
        <v>1380</v>
      </c>
      <c r="B400" t="s">
        <v>1381</v>
      </c>
      <c r="C400">
        <v>2023</v>
      </c>
      <c r="D400" s="18">
        <v>45247</v>
      </c>
      <c r="E400" s="18">
        <v>45612</v>
      </c>
      <c r="F400" s="18" t="s">
        <v>611</v>
      </c>
      <c r="G400" t="s">
        <v>101</v>
      </c>
      <c r="H400">
        <v>2</v>
      </c>
      <c r="I400">
        <v>4</v>
      </c>
      <c r="J400" s="27">
        <v>153790.97</v>
      </c>
      <c r="K400" s="27">
        <v>10000000</v>
      </c>
    </row>
    <row r="401" spans="1:11" ht="12.75" customHeight="1" x14ac:dyDescent="0.2">
      <c r="A401" t="s">
        <v>1382</v>
      </c>
      <c r="B401" t="s">
        <v>1383</v>
      </c>
      <c r="C401">
        <v>2023</v>
      </c>
      <c r="D401" s="18">
        <v>45247</v>
      </c>
      <c r="E401" s="18">
        <v>45612</v>
      </c>
      <c r="F401" s="18" t="s">
        <v>611</v>
      </c>
      <c r="G401" t="s">
        <v>102</v>
      </c>
      <c r="H401">
        <v>1</v>
      </c>
      <c r="I401">
        <v>2</v>
      </c>
      <c r="J401" s="27">
        <v>71776.59</v>
      </c>
      <c r="K401" s="27">
        <v>10000000</v>
      </c>
    </row>
    <row r="402" spans="1:11" ht="12.75" customHeight="1" x14ac:dyDescent="0.2">
      <c r="A402" t="s">
        <v>1384</v>
      </c>
      <c r="B402" t="s">
        <v>1385</v>
      </c>
      <c r="C402">
        <v>2023</v>
      </c>
      <c r="D402" s="18">
        <v>45247</v>
      </c>
      <c r="E402" s="18">
        <v>45612</v>
      </c>
      <c r="F402" s="18" t="s">
        <v>611</v>
      </c>
      <c r="G402" t="s">
        <v>101</v>
      </c>
      <c r="H402">
        <v>1</v>
      </c>
      <c r="I402">
        <v>1</v>
      </c>
      <c r="J402" s="27">
        <v>35408.99</v>
      </c>
      <c r="K402" s="27">
        <v>2500000</v>
      </c>
    </row>
    <row r="403" spans="1:11" ht="12.75" customHeight="1" x14ac:dyDescent="0.2">
      <c r="A403" t="s">
        <v>1386</v>
      </c>
      <c r="B403" t="s">
        <v>1387</v>
      </c>
      <c r="C403">
        <v>2023</v>
      </c>
      <c r="D403" s="18">
        <v>45247</v>
      </c>
      <c r="E403" s="18">
        <v>45612</v>
      </c>
      <c r="F403" s="18" t="s">
        <v>611</v>
      </c>
      <c r="G403" t="s">
        <v>100</v>
      </c>
      <c r="H403">
        <v>1</v>
      </c>
      <c r="I403">
        <v>1</v>
      </c>
      <c r="J403" s="27">
        <v>23213.13</v>
      </c>
      <c r="K403" s="27">
        <v>2000000</v>
      </c>
    </row>
    <row r="404" spans="1:11" ht="12.75" customHeight="1" x14ac:dyDescent="0.2">
      <c r="A404" t="s">
        <v>1388</v>
      </c>
      <c r="B404" t="s">
        <v>1389</v>
      </c>
      <c r="C404">
        <v>2023</v>
      </c>
      <c r="D404" s="18">
        <v>45248</v>
      </c>
      <c r="E404" s="18">
        <v>45613</v>
      </c>
      <c r="F404" s="18" t="s">
        <v>608</v>
      </c>
      <c r="G404" t="s">
        <v>101</v>
      </c>
      <c r="H404">
        <v>1</v>
      </c>
      <c r="I404">
        <v>1</v>
      </c>
      <c r="J404" s="27">
        <v>66452.7</v>
      </c>
      <c r="K404" s="27">
        <v>4500000</v>
      </c>
    </row>
    <row r="405" spans="1:11" ht="12.75" customHeight="1" x14ac:dyDescent="0.2">
      <c r="A405" t="s">
        <v>1390</v>
      </c>
      <c r="B405" t="s">
        <v>1391</v>
      </c>
      <c r="C405">
        <v>2023</v>
      </c>
      <c r="D405" s="18">
        <v>45248</v>
      </c>
      <c r="E405" s="18">
        <v>45613</v>
      </c>
      <c r="F405" s="18" t="s">
        <v>608</v>
      </c>
      <c r="G405" t="s">
        <v>99</v>
      </c>
      <c r="H405">
        <v>1</v>
      </c>
      <c r="I405">
        <v>2</v>
      </c>
      <c r="J405" s="27">
        <v>30198.11</v>
      </c>
      <c r="K405" s="27">
        <v>4000000</v>
      </c>
    </row>
    <row r="406" spans="1:11" ht="12.75" customHeight="1" x14ac:dyDescent="0.2">
      <c r="A406" t="s">
        <v>1392</v>
      </c>
      <c r="B406" t="s">
        <v>1393</v>
      </c>
      <c r="C406">
        <v>2023</v>
      </c>
      <c r="D406" s="18">
        <v>45248</v>
      </c>
      <c r="E406" s="18">
        <v>45613</v>
      </c>
      <c r="F406" s="18" t="s">
        <v>608</v>
      </c>
      <c r="G406" t="s">
        <v>99</v>
      </c>
      <c r="H406">
        <v>2</v>
      </c>
      <c r="I406">
        <v>2</v>
      </c>
      <c r="J406" s="27">
        <v>20222.599999999999</v>
      </c>
      <c r="K406" s="27">
        <v>2500000</v>
      </c>
    </row>
    <row r="407" spans="1:11" ht="12.75" customHeight="1" x14ac:dyDescent="0.2">
      <c r="A407" t="s">
        <v>1394</v>
      </c>
      <c r="B407" t="s">
        <v>1395</v>
      </c>
      <c r="C407">
        <v>2023</v>
      </c>
      <c r="D407" s="18">
        <v>45248</v>
      </c>
      <c r="E407" s="18">
        <v>45613</v>
      </c>
      <c r="F407" s="18" t="s">
        <v>608</v>
      </c>
      <c r="G407" t="s">
        <v>102</v>
      </c>
      <c r="H407">
        <v>1</v>
      </c>
      <c r="I407">
        <v>1</v>
      </c>
      <c r="J407" s="27">
        <v>32779.08</v>
      </c>
      <c r="K407" s="27">
        <v>5000000</v>
      </c>
    </row>
    <row r="408" spans="1:11" ht="12.75" customHeight="1" x14ac:dyDescent="0.2">
      <c r="A408" t="s">
        <v>1396</v>
      </c>
      <c r="B408" t="s">
        <v>1397</v>
      </c>
      <c r="C408">
        <v>2023</v>
      </c>
      <c r="D408" s="18">
        <v>45248</v>
      </c>
      <c r="E408" s="18">
        <v>45613</v>
      </c>
      <c r="F408" s="18" t="s">
        <v>608</v>
      </c>
      <c r="G408" t="s">
        <v>102</v>
      </c>
      <c r="H408">
        <v>2</v>
      </c>
      <c r="I408">
        <v>2</v>
      </c>
      <c r="J408" s="27">
        <v>3803.4</v>
      </c>
      <c r="K408" s="27">
        <v>500000</v>
      </c>
    </row>
    <row r="409" spans="1:11" ht="12.75" customHeight="1" x14ac:dyDescent="0.2">
      <c r="A409" t="s">
        <v>1398</v>
      </c>
      <c r="B409" t="s">
        <v>1399</v>
      </c>
      <c r="C409">
        <v>2023</v>
      </c>
      <c r="D409" s="18">
        <v>45248</v>
      </c>
      <c r="E409" s="18">
        <v>45613</v>
      </c>
      <c r="F409" s="18" t="s">
        <v>611</v>
      </c>
      <c r="G409" t="s">
        <v>101</v>
      </c>
      <c r="H409">
        <v>2</v>
      </c>
      <c r="I409">
        <v>2</v>
      </c>
      <c r="J409" s="27">
        <v>155765.62</v>
      </c>
      <c r="K409" s="27">
        <v>10000000</v>
      </c>
    </row>
    <row r="410" spans="1:11" ht="12.75" customHeight="1" x14ac:dyDescent="0.2">
      <c r="A410" t="s">
        <v>1400</v>
      </c>
      <c r="B410" t="s">
        <v>1401</v>
      </c>
      <c r="C410">
        <v>2023</v>
      </c>
      <c r="D410" s="18">
        <v>45248</v>
      </c>
      <c r="E410" s="18">
        <v>45613</v>
      </c>
      <c r="F410" s="18" t="s">
        <v>611</v>
      </c>
      <c r="G410" t="s">
        <v>101</v>
      </c>
      <c r="H410">
        <v>1</v>
      </c>
      <c r="I410">
        <v>1</v>
      </c>
      <c r="J410" s="27">
        <v>24681.08</v>
      </c>
      <c r="K410" s="27">
        <v>1500000</v>
      </c>
    </row>
    <row r="411" spans="1:11" ht="12.75" customHeight="1" x14ac:dyDescent="0.2">
      <c r="A411" t="s">
        <v>1402</v>
      </c>
      <c r="B411" t="s">
        <v>1403</v>
      </c>
      <c r="C411">
        <v>2023</v>
      </c>
      <c r="D411" s="18">
        <v>45248</v>
      </c>
      <c r="E411" s="18">
        <v>45613</v>
      </c>
      <c r="F411" s="18" t="s">
        <v>611</v>
      </c>
      <c r="G411" t="s">
        <v>100</v>
      </c>
      <c r="H411">
        <v>3</v>
      </c>
      <c r="I411">
        <v>6</v>
      </c>
      <c r="J411" s="27">
        <v>128007.18</v>
      </c>
      <c r="K411" s="27">
        <v>10000000</v>
      </c>
    </row>
    <row r="412" spans="1:11" ht="12.75" customHeight="1" x14ac:dyDescent="0.2">
      <c r="A412" t="s">
        <v>1404</v>
      </c>
      <c r="B412" t="s">
        <v>1405</v>
      </c>
      <c r="C412">
        <v>2023</v>
      </c>
      <c r="D412" s="18">
        <v>45248</v>
      </c>
      <c r="E412" s="18">
        <v>45613</v>
      </c>
      <c r="F412" s="18" t="s">
        <v>611</v>
      </c>
      <c r="G412" t="s">
        <v>99</v>
      </c>
      <c r="H412">
        <v>1</v>
      </c>
      <c r="I412">
        <v>1</v>
      </c>
      <c r="J412" s="27">
        <v>38285.919999999998</v>
      </c>
      <c r="K412" s="27">
        <v>5000000</v>
      </c>
    </row>
    <row r="413" spans="1:11" ht="12.75" customHeight="1" x14ac:dyDescent="0.2">
      <c r="A413" t="s">
        <v>1406</v>
      </c>
      <c r="B413" t="s">
        <v>1407</v>
      </c>
      <c r="C413">
        <v>2023</v>
      </c>
      <c r="D413" s="18">
        <v>45248</v>
      </c>
      <c r="E413" s="18">
        <v>45613</v>
      </c>
      <c r="F413" s="18" t="s">
        <v>611</v>
      </c>
      <c r="G413" t="s">
        <v>99</v>
      </c>
      <c r="H413">
        <v>1</v>
      </c>
      <c r="I413">
        <v>1</v>
      </c>
      <c r="J413" s="27">
        <v>17990.37</v>
      </c>
      <c r="K413" s="27">
        <v>2000000</v>
      </c>
    </row>
    <row r="414" spans="1:11" ht="12.75" customHeight="1" x14ac:dyDescent="0.2">
      <c r="A414" t="s">
        <v>1408</v>
      </c>
      <c r="B414" t="s">
        <v>1409</v>
      </c>
      <c r="C414">
        <v>2023</v>
      </c>
      <c r="D414" s="18">
        <v>45248</v>
      </c>
      <c r="E414" s="18">
        <v>45613</v>
      </c>
      <c r="F414" s="18" t="s">
        <v>611</v>
      </c>
      <c r="G414" t="s">
        <v>101</v>
      </c>
      <c r="H414">
        <v>1</v>
      </c>
      <c r="I414">
        <v>2</v>
      </c>
      <c r="J414" s="27">
        <v>8090.4</v>
      </c>
      <c r="K414" s="27">
        <v>500000</v>
      </c>
    </row>
    <row r="415" spans="1:11" ht="12.75" customHeight="1" x14ac:dyDescent="0.2">
      <c r="A415" t="s">
        <v>1410</v>
      </c>
      <c r="B415" t="s">
        <v>1411</v>
      </c>
      <c r="C415">
        <v>2023</v>
      </c>
      <c r="D415" s="18">
        <v>45248</v>
      </c>
      <c r="E415" s="18">
        <v>45613</v>
      </c>
      <c r="F415" s="18" t="s">
        <v>611</v>
      </c>
      <c r="G415" t="s">
        <v>101</v>
      </c>
      <c r="H415">
        <v>2</v>
      </c>
      <c r="I415">
        <v>4</v>
      </c>
      <c r="J415" s="27">
        <v>158365.17000000001</v>
      </c>
      <c r="K415" s="27">
        <v>10000000</v>
      </c>
    </row>
    <row r="416" spans="1:11" ht="12.75" customHeight="1" x14ac:dyDescent="0.2">
      <c r="A416" t="s">
        <v>1412</v>
      </c>
      <c r="B416" t="s">
        <v>1413</v>
      </c>
      <c r="C416">
        <v>2023</v>
      </c>
      <c r="D416" s="18">
        <v>45248</v>
      </c>
      <c r="E416" s="18">
        <v>45613</v>
      </c>
      <c r="F416" s="18" t="s">
        <v>611</v>
      </c>
      <c r="G416" t="s">
        <v>99</v>
      </c>
      <c r="H416">
        <v>1</v>
      </c>
      <c r="I416">
        <v>2</v>
      </c>
      <c r="J416" s="27">
        <v>17260.060000000001</v>
      </c>
      <c r="K416" s="27">
        <v>2000000</v>
      </c>
    </row>
    <row r="417" spans="1:11" ht="12.75" customHeight="1" x14ac:dyDescent="0.2">
      <c r="A417" t="s">
        <v>1414</v>
      </c>
      <c r="B417" t="s">
        <v>1415</v>
      </c>
      <c r="C417">
        <v>2023</v>
      </c>
      <c r="D417" s="18">
        <v>45248</v>
      </c>
      <c r="E417" s="18">
        <v>45613</v>
      </c>
      <c r="F417" s="18" t="s">
        <v>611</v>
      </c>
      <c r="G417" t="s">
        <v>99</v>
      </c>
      <c r="H417">
        <v>1</v>
      </c>
      <c r="I417">
        <v>2</v>
      </c>
      <c r="J417" s="27">
        <v>40949.85</v>
      </c>
      <c r="K417" s="27">
        <v>5000000</v>
      </c>
    </row>
    <row r="418" spans="1:11" ht="12.75" customHeight="1" x14ac:dyDescent="0.2">
      <c r="A418" t="s">
        <v>1416</v>
      </c>
      <c r="B418" t="s">
        <v>1417</v>
      </c>
      <c r="C418">
        <v>2023</v>
      </c>
      <c r="D418" s="18">
        <v>45249</v>
      </c>
      <c r="E418" s="18">
        <v>45614</v>
      </c>
      <c r="F418" s="18" t="s">
        <v>608</v>
      </c>
      <c r="G418" t="s">
        <v>100</v>
      </c>
      <c r="H418">
        <v>1</v>
      </c>
      <c r="I418">
        <v>1</v>
      </c>
      <c r="J418" s="27">
        <v>20012.97</v>
      </c>
      <c r="K418" s="27">
        <v>1500000</v>
      </c>
    </row>
    <row r="419" spans="1:11" ht="12.75" customHeight="1" x14ac:dyDescent="0.2">
      <c r="A419" t="s">
        <v>1418</v>
      </c>
      <c r="B419" t="s">
        <v>1419</v>
      </c>
      <c r="C419">
        <v>2023</v>
      </c>
      <c r="D419" s="18">
        <v>45249</v>
      </c>
      <c r="E419" s="18">
        <v>45614</v>
      </c>
      <c r="F419" s="18" t="s">
        <v>611</v>
      </c>
      <c r="G419" t="s">
        <v>100</v>
      </c>
      <c r="H419">
        <v>1</v>
      </c>
      <c r="I419">
        <v>1</v>
      </c>
      <c r="J419" s="27">
        <v>63429.39</v>
      </c>
      <c r="K419" s="27">
        <v>5000000</v>
      </c>
    </row>
    <row r="420" spans="1:11" ht="12.75" customHeight="1" x14ac:dyDescent="0.2">
      <c r="A420" t="s">
        <v>1420</v>
      </c>
      <c r="B420" t="s">
        <v>1421</v>
      </c>
      <c r="C420">
        <v>2023</v>
      </c>
      <c r="D420" s="18">
        <v>45249</v>
      </c>
      <c r="E420" s="18">
        <v>45614</v>
      </c>
      <c r="F420" s="18" t="s">
        <v>611</v>
      </c>
      <c r="G420" t="s">
        <v>102</v>
      </c>
      <c r="H420">
        <v>1</v>
      </c>
      <c r="I420">
        <v>1</v>
      </c>
      <c r="J420" s="27">
        <v>15064.52</v>
      </c>
      <c r="K420" s="27">
        <v>2000000</v>
      </c>
    </row>
    <row r="421" spans="1:11" ht="12.75" customHeight="1" x14ac:dyDescent="0.2">
      <c r="A421" t="s">
        <v>1422</v>
      </c>
      <c r="B421" t="s">
        <v>1423</v>
      </c>
      <c r="C421">
        <v>2023</v>
      </c>
      <c r="D421" s="18">
        <v>45249</v>
      </c>
      <c r="E421" s="18">
        <v>45614</v>
      </c>
      <c r="F421" s="18" t="s">
        <v>611</v>
      </c>
      <c r="G421" t="s">
        <v>100</v>
      </c>
      <c r="H421">
        <v>2</v>
      </c>
      <c r="I421">
        <v>4</v>
      </c>
      <c r="J421" s="27">
        <v>38851.589999999997</v>
      </c>
      <c r="K421" s="27">
        <v>3000000</v>
      </c>
    </row>
    <row r="422" spans="1:11" ht="12.75" customHeight="1" x14ac:dyDescent="0.2">
      <c r="A422" t="s">
        <v>1424</v>
      </c>
      <c r="B422" t="s">
        <v>1425</v>
      </c>
      <c r="C422">
        <v>2023</v>
      </c>
      <c r="D422" s="18">
        <v>45249</v>
      </c>
      <c r="E422" s="18">
        <v>45614</v>
      </c>
      <c r="F422" s="18" t="s">
        <v>611</v>
      </c>
      <c r="G422" t="s">
        <v>101</v>
      </c>
      <c r="H422">
        <v>1</v>
      </c>
      <c r="I422">
        <v>1</v>
      </c>
      <c r="J422" s="27">
        <v>164447.70000000001</v>
      </c>
      <c r="K422" s="27">
        <v>10000000</v>
      </c>
    </row>
    <row r="423" spans="1:11" ht="12.75" customHeight="1" x14ac:dyDescent="0.2">
      <c r="A423" t="s">
        <v>1426</v>
      </c>
      <c r="B423" t="s">
        <v>1427</v>
      </c>
      <c r="C423">
        <v>2023</v>
      </c>
      <c r="D423" s="18">
        <v>45249</v>
      </c>
      <c r="E423" s="18">
        <v>45614</v>
      </c>
      <c r="F423" s="18" t="s">
        <v>611</v>
      </c>
      <c r="G423" t="s">
        <v>101</v>
      </c>
      <c r="H423">
        <v>1</v>
      </c>
      <c r="I423">
        <v>1</v>
      </c>
      <c r="J423" s="27">
        <v>162891.44</v>
      </c>
      <c r="K423" s="27">
        <v>10000000</v>
      </c>
    </row>
    <row r="424" spans="1:11" ht="12.75" customHeight="1" x14ac:dyDescent="0.2">
      <c r="A424" t="s">
        <v>1428</v>
      </c>
      <c r="B424" t="s">
        <v>1429</v>
      </c>
      <c r="C424">
        <v>2023</v>
      </c>
      <c r="D424" s="18">
        <v>45249</v>
      </c>
      <c r="E424" s="18">
        <v>45614</v>
      </c>
      <c r="F424" s="18" t="s">
        <v>611</v>
      </c>
      <c r="G424" t="s">
        <v>102</v>
      </c>
      <c r="H424">
        <v>1</v>
      </c>
      <c r="I424">
        <v>1</v>
      </c>
      <c r="J424" s="27">
        <v>13777.33</v>
      </c>
      <c r="K424" s="27">
        <v>2000000</v>
      </c>
    </row>
    <row r="425" spans="1:11" ht="12.75" customHeight="1" x14ac:dyDescent="0.2">
      <c r="A425" t="s">
        <v>1430</v>
      </c>
      <c r="B425" t="s">
        <v>1431</v>
      </c>
      <c r="C425">
        <v>2023</v>
      </c>
      <c r="D425" s="18">
        <v>45249</v>
      </c>
      <c r="E425" s="18">
        <v>45614</v>
      </c>
      <c r="F425" s="18" t="s">
        <v>611</v>
      </c>
      <c r="G425" t="s">
        <v>100</v>
      </c>
      <c r="H425">
        <v>2</v>
      </c>
      <c r="I425">
        <v>4</v>
      </c>
      <c r="J425" s="27">
        <v>118596.31</v>
      </c>
      <c r="K425" s="27">
        <v>10000000</v>
      </c>
    </row>
    <row r="426" spans="1:11" ht="12.75" customHeight="1" x14ac:dyDescent="0.2">
      <c r="A426" t="s">
        <v>1432</v>
      </c>
      <c r="B426" t="s">
        <v>1433</v>
      </c>
      <c r="C426">
        <v>2023</v>
      </c>
      <c r="D426" s="18">
        <v>45249</v>
      </c>
      <c r="E426" s="18">
        <v>45614</v>
      </c>
      <c r="F426" s="18" t="s">
        <v>611</v>
      </c>
      <c r="G426" t="s">
        <v>100</v>
      </c>
      <c r="H426">
        <v>3</v>
      </c>
      <c r="I426">
        <v>3</v>
      </c>
      <c r="J426" s="27">
        <v>23516.15</v>
      </c>
      <c r="K426" s="27">
        <v>2000000</v>
      </c>
    </row>
    <row r="427" spans="1:11" ht="12.75" customHeight="1" x14ac:dyDescent="0.2">
      <c r="A427" t="s">
        <v>1434</v>
      </c>
      <c r="B427" t="s">
        <v>1435</v>
      </c>
      <c r="C427">
        <v>2023</v>
      </c>
      <c r="D427" s="18">
        <v>45249</v>
      </c>
      <c r="E427" s="18">
        <v>45614</v>
      </c>
      <c r="F427" s="18" t="s">
        <v>611</v>
      </c>
      <c r="G427" t="s">
        <v>100</v>
      </c>
      <c r="H427">
        <v>2</v>
      </c>
      <c r="I427">
        <v>2</v>
      </c>
      <c r="J427" s="27">
        <v>56366.66</v>
      </c>
      <c r="K427" s="27">
        <v>5000000</v>
      </c>
    </row>
    <row r="428" spans="1:11" ht="12.75" customHeight="1" x14ac:dyDescent="0.2">
      <c r="A428" t="s">
        <v>1436</v>
      </c>
      <c r="B428" t="s">
        <v>1437</v>
      </c>
      <c r="C428">
        <v>2023</v>
      </c>
      <c r="D428" s="18">
        <v>45249</v>
      </c>
      <c r="E428" s="18">
        <v>45614</v>
      </c>
      <c r="F428" s="18" t="s">
        <v>611</v>
      </c>
      <c r="G428" t="s">
        <v>102</v>
      </c>
      <c r="H428">
        <v>2</v>
      </c>
      <c r="I428">
        <v>2</v>
      </c>
      <c r="J428" s="27">
        <v>78741.03</v>
      </c>
      <c r="K428" s="27">
        <v>10000000</v>
      </c>
    </row>
    <row r="429" spans="1:11" ht="12.75" customHeight="1" x14ac:dyDescent="0.2">
      <c r="A429" t="s">
        <v>1438</v>
      </c>
      <c r="B429" t="s">
        <v>1439</v>
      </c>
      <c r="C429">
        <v>2023</v>
      </c>
      <c r="D429" s="18">
        <v>45250</v>
      </c>
      <c r="E429" s="18">
        <v>45615</v>
      </c>
      <c r="F429" s="18" t="s">
        <v>608</v>
      </c>
      <c r="G429" t="s">
        <v>102</v>
      </c>
      <c r="H429">
        <v>2</v>
      </c>
      <c r="I429">
        <v>2</v>
      </c>
      <c r="J429" s="27">
        <v>26317.79</v>
      </c>
      <c r="K429" s="27">
        <v>4000000</v>
      </c>
    </row>
    <row r="430" spans="1:11" ht="12.75" customHeight="1" x14ac:dyDescent="0.2">
      <c r="A430" t="s">
        <v>1440</v>
      </c>
      <c r="B430" t="s">
        <v>1441</v>
      </c>
      <c r="C430">
        <v>2023</v>
      </c>
      <c r="D430" s="18">
        <v>45250</v>
      </c>
      <c r="E430" s="18">
        <v>45615</v>
      </c>
      <c r="F430" s="18" t="s">
        <v>611</v>
      </c>
      <c r="G430" t="s">
        <v>100</v>
      </c>
      <c r="H430">
        <v>3</v>
      </c>
      <c r="I430">
        <v>3</v>
      </c>
      <c r="J430" s="27">
        <v>17404.599999999999</v>
      </c>
      <c r="K430" s="27">
        <v>1500000</v>
      </c>
    </row>
    <row r="431" spans="1:11" ht="12.75" customHeight="1" x14ac:dyDescent="0.2">
      <c r="A431" t="s">
        <v>1442</v>
      </c>
      <c r="B431" t="s">
        <v>1443</v>
      </c>
      <c r="C431">
        <v>2023</v>
      </c>
      <c r="D431" s="18">
        <v>45250</v>
      </c>
      <c r="E431" s="18">
        <v>45615</v>
      </c>
      <c r="F431" s="18" t="s">
        <v>611</v>
      </c>
      <c r="G431" t="s">
        <v>101</v>
      </c>
      <c r="H431">
        <v>1</v>
      </c>
      <c r="I431">
        <v>2</v>
      </c>
      <c r="J431" s="27">
        <v>54672.71</v>
      </c>
      <c r="K431" s="27">
        <v>3500000</v>
      </c>
    </row>
    <row r="432" spans="1:11" ht="12.75" customHeight="1" x14ac:dyDescent="0.2">
      <c r="A432" t="s">
        <v>1444</v>
      </c>
      <c r="B432" t="s">
        <v>1445</v>
      </c>
      <c r="C432">
        <v>2023</v>
      </c>
      <c r="D432" s="18">
        <v>45250</v>
      </c>
      <c r="E432" s="18">
        <v>45615</v>
      </c>
      <c r="F432" s="18" t="s">
        <v>611</v>
      </c>
      <c r="G432" t="s">
        <v>100</v>
      </c>
      <c r="H432">
        <v>2</v>
      </c>
      <c r="I432">
        <v>4</v>
      </c>
      <c r="J432" s="27">
        <v>13028.58</v>
      </c>
      <c r="K432" s="27">
        <v>1000000</v>
      </c>
    </row>
    <row r="433" spans="1:11" ht="12.75" customHeight="1" x14ac:dyDescent="0.2">
      <c r="A433" t="s">
        <v>1446</v>
      </c>
      <c r="B433" t="s">
        <v>1447</v>
      </c>
      <c r="C433">
        <v>2023</v>
      </c>
      <c r="D433" s="18">
        <v>45250</v>
      </c>
      <c r="E433" s="18">
        <v>45615</v>
      </c>
      <c r="F433" s="18" t="s">
        <v>611</v>
      </c>
      <c r="G433" t="s">
        <v>100</v>
      </c>
      <c r="H433">
        <v>2</v>
      </c>
      <c r="I433">
        <v>4</v>
      </c>
      <c r="J433" s="27">
        <v>127606.97</v>
      </c>
      <c r="K433" s="27">
        <v>10000000</v>
      </c>
    </row>
    <row r="434" spans="1:11" ht="12.75" customHeight="1" x14ac:dyDescent="0.2">
      <c r="A434" t="s">
        <v>1448</v>
      </c>
      <c r="B434" t="s">
        <v>1449</v>
      </c>
      <c r="C434">
        <v>2023</v>
      </c>
      <c r="D434" s="18">
        <v>45250</v>
      </c>
      <c r="E434" s="18">
        <v>45615</v>
      </c>
      <c r="F434" s="18" t="s">
        <v>611</v>
      </c>
      <c r="G434" t="s">
        <v>101</v>
      </c>
      <c r="H434">
        <v>3</v>
      </c>
      <c r="I434">
        <v>3</v>
      </c>
      <c r="J434" s="27">
        <v>85581.91</v>
      </c>
      <c r="K434" s="27">
        <v>5000000</v>
      </c>
    </row>
    <row r="435" spans="1:11" ht="12.75" customHeight="1" x14ac:dyDescent="0.2">
      <c r="A435" t="s">
        <v>1450</v>
      </c>
      <c r="B435" t="s">
        <v>1451</v>
      </c>
      <c r="C435">
        <v>2023</v>
      </c>
      <c r="D435" s="18">
        <v>45251</v>
      </c>
      <c r="E435" s="18">
        <v>45616</v>
      </c>
      <c r="F435" s="18" t="s">
        <v>608</v>
      </c>
      <c r="G435" t="s">
        <v>100</v>
      </c>
      <c r="H435">
        <v>1</v>
      </c>
      <c r="I435">
        <v>2</v>
      </c>
      <c r="J435" s="27">
        <v>113133.72</v>
      </c>
      <c r="K435" s="27">
        <v>10000000</v>
      </c>
    </row>
    <row r="436" spans="1:11" ht="12.75" customHeight="1" x14ac:dyDescent="0.2">
      <c r="A436" t="s">
        <v>1452</v>
      </c>
      <c r="B436" t="s">
        <v>1453</v>
      </c>
      <c r="C436">
        <v>2023</v>
      </c>
      <c r="D436" s="18">
        <v>45251</v>
      </c>
      <c r="E436" s="18">
        <v>45616</v>
      </c>
      <c r="F436" s="18" t="s">
        <v>608</v>
      </c>
      <c r="G436" t="s">
        <v>100</v>
      </c>
      <c r="H436">
        <v>3</v>
      </c>
      <c r="I436">
        <v>3</v>
      </c>
      <c r="J436" s="27">
        <v>23155.52</v>
      </c>
      <c r="K436" s="27">
        <v>2000000</v>
      </c>
    </row>
    <row r="437" spans="1:11" ht="12.75" customHeight="1" x14ac:dyDescent="0.2">
      <c r="A437" t="s">
        <v>1454</v>
      </c>
      <c r="B437" t="s">
        <v>1455</v>
      </c>
      <c r="C437">
        <v>2023</v>
      </c>
      <c r="D437" s="18">
        <v>45251</v>
      </c>
      <c r="E437" s="18">
        <v>45616</v>
      </c>
      <c r="F437" s="18" t="s">
        <v>608</v>
      </c>
      <c r="G437" t="s">
        <v>102</v>
      </c>
      <c r="H437">
        <v>3</v>
      </c>
      <c r="I437">
        <v>6</v>
      </c>
      <c r="J437" s="27">
        <v>28082.46</v>
      </c>
      <c r="K437" s="27">
        <v>4000000</v>
      </c>
    </row>
    <row r="438" spans="1:11" ht="12.75" customHeight="1" x14ac:dyDescent="0.2">
      <c r="A438" t="s">
        <v>1456</v>
      </c>
      <c r="B438" t="s">
        <v>1457</v>
      </c>
      <c r="C438">
        <v>2023</v>
      </c>
      <c r="D438" s="18">
        <v>45251</v>
      </c>
      <c r="E438" s="18">
        <v>45616</v>
      </c>
      <c r="F438" s="18" t="s">
        <v>608</v>
      </c>
      <c r="G438" t="s">
        <v>99</v>
      </c>
      <c r="H438">
        <v>1</v>
      </c>
      <c r="I438">
        <v>1</v>
      </c>
      <c r="J438" s="27">
        <v>40501.370000000003</v>
      </c>
      <c r="K438" s="27">
        <v>5000000</v>
      </c>
    </row>
    <row r="439" spans="1:11" ht="12.75" customHeight="1" x14ac:dyDescent="0.2">
      <c r="A439" t="s">
        <v>1458</v>
      </c>
      <c r="B439" t="s">
        <v>1459</v>
      </c>
      <c r="C439">
        <v>2023</v>
      </c>
      <c r="D439" s="18">
        <v>45251</v>
      </c>
      <c r="E439" s="18">
        <v>45616</v>
      </c>
      <c r="F439" s="18" t="s">
        <v>611</v>
      </c>
      <c r="G439" t="s">
        <v>102</v>
      </c>
      <c r="H439">
        <v>3</v>
      </c>
      <c r="I439">
        <v>3</v>
      </c>
      <c r="J439" s="27">
        <v>76339.08</v>
      </c>
      <c r="K439" s="27">
        <v>10000000</v>
      </c>
    </row>
    <row r="440" spans="1:11" ht="12.75" customHeight="1" x14ac:dyDescent="0.2">
      <c r="A440" t="s">
        <v>1460</v>
      </c>
      <c r="B440" t="s">
        <v>1461</v>
      </c>
      <c r="C440">
        <v>2023</v>
      </c>
      <c r="D440" s="18">
        <v>45251</v>
      </c>
      <c r="E440" s="18">
        <v>45616</v>
      </c>
      <c r="F440" s="18" t="s">
        <v>611</v>
      </c>
      <c r="G440" t="s">
        <v>100</v>
      </c>
      <c r="H440">
        <v>2</v>
      </c>
      <c r="I440">
        <v>2</v>
      </c>
      <c r="J440" s="27">
        <v>53581.3</v>
      </c>
      <c r="K440" s="27">
        <v>4500000</v>
      </c>
    </row>
    <row r="441" spans="1:11" ht="12.75" customHeight="1" x14ac:dyDescent="0.2">
      <c r="A441" t="s">
        <v>1462</v>
      </c>
      <c r="B441" t="s">
        <v>1463</v>
      </c>
      <c r="C441">
        <v>2023</v>
      </c>
      <c r="D441" s="18">
        <v>45251</v>
      </c>
      <c r="E441" s="18">
        <v>45616</v>
      </c>
      <c r="F441" s="18" t="s">
        <v>611</v>
      </c>
      <c r="G441" t="s">
        <v>101</v>
      </c>
      <c r="H441">
        <v>2</v>
      </c>
      <c r="I441">
        <v>4</v>
      </c>
      <c r="J441" s="27">
        <v>7174.61</v>
      </c>
      <c r="K441" s="27">
        <v>500000</v>
      </c>
    </row>
    <row r="442" spans="1:11" ht="12.75" customHeight="1" x14ac:dyDescent="0.2">
      <c r="A442" t="s">
        <v>1464</v>
      </c>
      <c r="B442" t="s">
        <v>1465</v>
      </c>
      <c r="C442">
        <v>2023</v>
      </c>
      <c r="D442" s="18">
        <v>45251</v>
      </c>
      <c r="E442" s="18">
        <v>45616</v>
      </c>
      <c r="F442" s="18" t="s">
        <v>611</v>
      </c>
      <c r="G442" t="s">
        <v>101</v>
      </c>
      <c r="H442">
        <v>1</v>
      </c>
      <c r="I442">
        <v>1</v>
      </c>
      <c r="J442" s="27">
        <v>169486.95</v>
      </c>
      <c r="K442" s="27">
        <v>10000000</v>
      </c>
    </row>
    <row r="443" spans="1:11" ht="12.75" customHeight="1" x14ac:dyDescent="0.2">
      <c r="A443" t="s">
        <v>1466</v>
      </c>
      <c r="B443" t="s">
        <v>1467</v>
      </c>
      <c r="C443">
        <v>2023</v>
      </c>
      <c r="D443" s="18">
        <v>45251</v>
      </c>
      <c r="E443" s="18">
        <v>45616</v>
      </c>
      <c r="F443" s="18" t="s">
        <v>611</v>
      </c>
      <c r="G443" t="s">
        <v>99</v>
      </c>
      <c r="H443">
        <v>1</v>
      </c>
      <c r="I443">
        <v>1</v>
      </c>
      <c r="J443" s="27">
        <v>79802.02</v>
      </c>
      <c r="K443" s="27">
        <v>10000000</v>
      </c>
    </row>
    <row r="444" spans="1:11" ht="12.75" customHeight="1" x14ac:dyDescent="0.2">
      <c r="A444" t="s">
        <v>1468</v>
      </c>
      <c r="B444" t="s">
        <v>1469</v>
      </c>
      <c r="C444">
        <v>2023</v>
      </c>
      <c r="D444" s="18">
        <v>45251</v>
      </c>
      <c r="E444" s="18">
        <v>45616</v>
      </c>
      <c r="F444" s="18" t="s">
        <v>611</v>
      </c>
      <c r="G444" t="s">
        <v>100</v>
      </c>
      <c r="H444">
        <v>2</v>
      </c>
      <c r="I444">
        <v>2</v>
      </c>
      <c r="J444" s="27">
        <v>134035.17000000001</v>
      </c>
      <c r="K444" s="27">
        <v>10000000</v>
      </c>
    </row>
    <row r="445" spans="1:11" ht="12.75" customHeight="1" x14ac:dyDescent="0.2">
      <c r="A445" t="s">
        <v>1470</v>
      </c>
      <c r="B445" t="s">
        <v>1471</v>
      </c>
      <c r="C445">
        <v>2023</v>
      </c>
      <c r="D445" s="18">
        <v>45251</v>
      </c>
      <c r="E445" s="18">
        <v>45616</v>
      </c>
      <c r="F445" s="18" t="s">
        <v>611</v>
      </c>
      <c r="G445" t="s">
        <v>102</v>
      </c>
      <c r="H445">
        <v>2</v>
      </c>
      <c r="I445">
        <v>2</v>
      </c>
      <c r="J445" s="27">
        <v>71619.66</v>
      </c>
      <c r="K445" s="27">
        <v>10000000</v>
      </c>
    </row>
    <row r="446" spans="1:11" ht="12.75" customHeight="1" x14ac:dyDescent="0.2">
      <c r="A446" t="s">
        <v>1472</v>
      </c>
      <c r="B446" t="s">
        <v>1473</v>
      </c>
      <c r="C446">
        <v>2023</v>
      </c>
      <c r="D446" s="18">
        <v>45252</v>
      </c>
      <c r="E446" s="18">
        <v>45617</v>
      </c>
      <c r="F446" s="18" t="s">
        <v>608</v>
      </c>
      <c r="G446" t="s">
        <v>99</v>
      </c>
      <c r="H446">
        <v>1</v>
      </c>
      <c r="I446">
        <v>1</v>
      </c>
      <c r="J446" s="27">
        <v>43472.22</v>
      </c>
      <c r="K446" s="27">
        <v>5000000</v>
      </c>
    </row>
    <row r="447" spans="1:11" ht="12.75" customHeight="1" x14ac:dyDescent="0.2">
      <c r="A447" t="s">
        <v>1474</v>
      </c>
      <c r="B447" t="s">
        <v>1475</v>
      </c>
      <c r="C447">
        <v>2023</v>
      </c>
      <c r="D447" s="18">
        <v>45252</v>
      </c>
      <c r="E447" s="18">
        <v>45617</v>
      </c>
      <c r="F447" s="18" t="s">
        <v>608</v>
      </c>
      <c r="G447" t="s">
        <v>99</v>
      </c>
      <c r="H447">
        <v>2</v>
      </c>
      <c r="I447">
        <v>2</v>
      </c>
      <c r="J447" s="27">
        <v>16752.759999999998</v>
      </c>
      <c r="K447" s="27">
        <v>2000000</v>
      </c>
    </row>
    <row r="448" spans="1:11" ht="12.75" customHeight="1" x14ac:dyDescent="0.2">
      <c r="A448" t="s">
        <v>1476</v>
      </c>
      <c r="B448" t="s">
        <v>1477</v>
      </c>
      <c r="C448">
        <v>2023</v>
      </c>
      <c r="D448" s="18">
        <v>45252</v>
      </c>
      <c r="E448" s="18">
        <v>45617</v>
      </c>
      <c r="F448" s="18" t="s">
        <v>611</v>
      </c>
      <c r="G448" t="s">
        <v>101</v>
      </c>
      <c r="H448">
        <v>3</v>
      </c>
      <c r="I448">
        <v>3</v>
      </c>
      <c r="J448" s="27">
        <v>57238.92</v>
      </c>
      <c r="K448" s="27">
        <v>4000000</v>
      </c>
    </row>
    <row r="449" spans="1:11" ht="12.75" customHeight="1" x14ac:dyDescent="0.2">
      <c r="A449" t="s">
        <v>1478</v>
      </c>
      <c r="B449" t="s">
        <v>1479</v>
      </c>
      <c r="C449">
        <v>2023</v>
      </c>
      <c r="D449" s="18">
        <v>45252</v>
      </c>
      <c r="E449" s="18">
        <v>45617</v>
      </c>
      <c r="F449" s="18" t="s">
        <v>611</v>
      </c>
      <c r="G449" t="s">
        <v>100</v>
      </c>
      <c r="H449">
        <v>2</v>
      </c>
      <c r="I449">
        <v>4</v>
      </c>
      <c r="J449" s="27">
        <v>64118.23</v>
      </c>
      <c r="K449" s="27">
        <v>5000000</v>
      </c>
    </row>
    <row r="450" spans="1:11" ht="12.75" customHeight="1" x14ac:dyDescent="0.2">
      <c r="A450" t="s">
        <v>1480</v>
      </c>
      <c r="B450" t="s">
        <v>1481</v>
      </c>
      <c r="C450">
        <v>2023</v>
      </c>
      <c r="D450" s="18">
        <v>45252</v>
      </c>
      <c r="E450" s="18">
        <v>45617</v>
      </c>
      <c r="F450" s="18" t="s">
        <v>611</v>
      </c>
      <c r="G450" t="s">
        <v>99</v>
      </c>
      <c r="H450">
        <v>2</v>
      </c>
      <c r="I450">
        <v>2</v>
      </c>
      <c r="J450" s="27">
        <v>34667.1</v>
      </c>
      <c r="K450" s="27">
        <v>4500000</v>
      </c>
    </row>
    <row r="451" spans="1:11" ht="12.75" customHeight="1" x14ac:dyDescent="0.2">
      <c r="A451" t="s">
        <v>1482</v>
      </c>
      <c r="B451" t="s">
        <v>1483</v>
      </c>
      <c r="C451">
        <v>2023</v>
      </c>
      <c r="D451" s="18">
        <v>45252</v>
      </c>
      <c r="E451" s="18">
        <v>45617</v>
      </c>
      <c r="F451" s="18" t="s">
        <v>611</v>
      </c>
      <c r="G451" t="s">
        <v>99</v>
      </c>
      <c r="H451">
        <v>2</v>
      </c>
      <c r="I451">
        <v>4</v>
      </c>
      <c r="J451" s="27">
        <v>25268.52</v>
      </c>
      <c r="K451" s="27">
        <v>3000000</v>
      </c>
    </row>
    <row r="452" spans="1:11" ht="12.75" customHeight="1" x14ac:dyDescent="0.2">
      <c r="A452" t="s">
        <v>1484</v>
      </c>
      <c r="B452" t="s">
        <v>1485</v>
      </c>
      <c r="C452">
        <v>2023</v>
      </c>
      <c r="D452" s="18">
        <v>45253</v>
      </c>
      <c r="E452" s="18">
        <v>45618</v>
      </c>
      <c r="F452" s="18" t="s">
        <v>611</v>
      </c>
      <c r="G452" t="s">
        <v>99</v>
      </c>
      <c r="H452">
        <v>1</v>
      </c>
      <c r="I452">
        <v>1</v>
      </c>
      <c r="J452" s="27">
        <v>89444.26</v>
      </c>
      <c r="K452" s="27">
        <v>10000000</v>
      </c>
    </row>
    <row r="453" spans="1:11" ht="12.75" customHeight="1" x14ac:dyDescent="0.2">
      <c r="A453" t="s">
        <v>1486</v>
      </c>
      <c r="B453" t="s">
        <v>1487</v>
      </c>
      <c r="C453">
        <v>2023</v>
      </c>
      <c r="D453" s="18">
        <v>45253</v>
      </c>
      <c r="E453" s="18">
        <v>45618</v>
      </c>
      <c r="F453" s="18" t="s">
        <v>611</v>
      </c>
      <c r="G453" t="s">
        <v>101</v>
      </c>
      <c r="H453">
        <v>3</v>
      </c>
      <c r="I453">
        <v>3</v>
      </c>
      <c r="J453" s="27">
        <v>160335.4</v>
      </c>
      <c r="K453" s="27">
        <v>10000000</v>
      </c>
    </row>
    <row r="454" spans="1:11" ht="12.75" customHeight="1" x14ac:dyDescent="0.2">
      <c r="A454" t="s">
        <v>1488</v>
      </c>
      <c r="B454" t="s">
        <v>1489</v>
      </c>
      <c r="C454">
        <v>2023</v>
      </c>
      <c r="D454" s="18">
        <v>45253</v>
      </c>
      <c r="E454" s="18">
        <v>45618</v>
      </c>
      <c r="F454" s="18" t="s">
        <v>611</v>
      </c>
      <c r="G454" t="s">
        <v>100</v>
      </c>
      <c r="H454">
        <v>1</v>
      </c>
      <c r="I454">
        <v>2</v>
      </c>
      <c r="J454" s="27">
        <v>19591.39</v>
      </c>
      <c r="K454" s="27">
        <v>1500000</v>
      </c>
    </row>
    <row r="455" spans="1:11" ht="12.75" customHeight="1" x14ac:dyDescent="0.2">
      <c r="A455" t="s">
        <v>1490</v>
      </c>
      <c r="B455" t="s">
        <v>1491</v>
      </c>
      <c r="C455">
        <v>2023</v>
      </c>
      <c r="D455" s="18">
        <v>45253</v>
      </c>
      <c r="E455" s="18">
        <v>45618</v>
      </c>
      <c r="F455" s="18" t="s">
        <v>611</v>
      </c>
      <c r="G455" t="s">
        <v>99</v>
      </c>
      <c r="H455">
        <v>1</v>
      </c>
      <c r="I455">
        <v>1</v>
      </c>
      <c r="J455" s="27">
        <v>78361.41</v>
      </c>
      <c r="K455" s="27">
        <v>10000000</v>
      </c>
    </row>
    <row r="456" spans="1:11" ht="12.75" customHeight="1" x14ac:dyDescent="0.2">
      <c r="A456" t="s">
        <v>1492</v>
      </c>
      <c r="B456" t="s">
        <v>1493</v>
      </c>
      <c r="C456">
        <v>2023</v>
      </c>
      <c r="D456" s="18">
        <v>45253</v>
      </c>
      <c r="E456" s="18">
        <v>45618</v>
      </c>
      <c r="F456" s="18" t="s">
        <v>611</v>
      </c>
      <c r="G456" t="s">
        <v>99</v>
      </c>
      <c r="H456">
        <v>1</v>
      </c>
      <c r="I456">
        <v>2</v>
      </c>
      <c r="J456" s="27">
        <v>84538.9</v>
      </c>
      <c r="K456" s="27">
        <v>10000000</v>
      </c>
    </row>
    <row r="457" spans="1:11" ht="12.75" customHeight="1" x14ac:dyDescent="0.2">
      <c r="A457" t="s">
        <v>1494</v>
      </c>
      <c r="B457" t="s">
        <v>1495</v>
      </c>
      <c r="C457">
        <v>2023</v>
      </c>
      <c r="D457" s="18">
        <v>45253</v>
      </c>
      <c r="E457" s="18">
        <v>45618</v>
      </c>
      <c r="F457" s="18" t="s">
        <v>611</v>
      </c>
      <c r="G457" t="s">
        <v>100</v>
      </c>
      <c r="H457">
        <v>2</v>
      </c>
      <c r="I457">
        <v>2</v>
      </c>
      <c r="J457" s="27">
        <v>45507.53</v>
      </c>
      <c r="K457" s="27">
        <v>4000000</v>
      </c>
    </row>
    <row r="458" spans="1:11" ht="12.75" customHeight="1" x14ac:dyDescent="0.2">
      <c r="A458" t="s">
        <v>1496</v>
      </c>
      <c r="B458" t="s">
        <v>1497</v>
      </c>
      <c r="C458">
        <v>2023</v>
      </c>
      <c r="D458" s="18">
        <v>45253</v>
      </c>
      <c r="E458" s="18">
        <v>45618</v>
      </c>
      <c r="F458" s="18" t="s">
        <v>611</v>
      </c>
      <c r="G458" t="s">
        <v>101</v>
      </c>
      <c r="H458">
        <v>1</v>
      </c>
      <c r="I458">
        <v>2</v>
      </c>
      <c r="J458" s="27">
        <v>81916.02</v>
      </c>
      <c r="K458" s="27">
        <v>5000000</v>
      </c>
    </row>
    <row r="459" spans="1:11" ht="12.75" customHeight="1" x14ac:dyDescent="0.2">
      <c r="A459" t="s">
        <v>1498</v>
      </c>
      <c r="B459" t="s">
        <v>1499</v>
      </c>
      <c r="C459">
        <v>2023</v>
      </c>
      <c r="D459" s="18">
        <v>45254</v>
      </c>
      <c r="E459" s="18">
        <v>45619</v>
      </c>
      <c r="F459" s="18" t="s">
        <v>608</v>
      </c>
      <c r="G459" t="s">
        <v>102</v>
      </c>
      <c r="H459">
        <v>1</v>
      </c>
      <c r="I459">
        <v>1</v>
      </c>
      <c r="J459" s="27">
        <v>67792.06</v>
      </c>
      <c r="K459" s="27">
        <v>10000000</v>
      </c>
    </row>
    <row r="460" spans="1:11" ht="12.75" customHeight="1" x14ac:dyDescent="0.2">
      <c r="A460" t="s">
        <v>1500</v>
      </c>
      <c r="B460" t="s">
        <v>1501</v>
      </c>
      <c r="C460">
        <v>2023</v>
      </c>
      <c r="D460" s="18">
        <v>45254</v>
      </c>
      <c r="E460" s="18">
        <v>45619</v>
      </c>
      <c r="F460" s="18" t="s">
        <v>608</v>
      </c>
      <c r="G460" t="s">
        <v>100</v>
      </c>
      <c r="H460">
        <v>2</v>
      </c>
      <c r="I460">
        <v>4</v>
      </c>
      <c r="J460" s="27">
        <v>63091.46</v>
      </c>
      <c r="K460" s="27">
        <v>5000000</v>
      </c>
    </row>
    <row r="461" spans="1:11" ht="12.75" customHeight="1" x14ac:dyDescent="0.2">
      <c r="A461" t="s">
        <v>1502</v>
      </c>
      <c r="B461" t="s">
        <v>1503</v>
      </c>
      <c r="C461">
        <v>2023</v>
      </c>
      <c r="D461" s="18">
        <v>45254</v>
      </c>
      <c r="E461" s="18">
        <v>45619</v>
      </c>
      <c r="F461" s="18" t="s">
        <v>611</v>
      </c>
      <c r="G461" t="s">
        <v>100</v>
      </c>
      <c r="H461">
        <v>1</v>
      </c>
      <c r="I461">
        <v>1</v>
      </c>
      <c r="J461" s="27">
        <v>11150.79</v>
      </c>
      <c r="K461" s="27">
        <v>1000000</v>
      </c>
    </row>
    <row r="462" spans="1:11" ht="12.75" customHeight="1" x14ac:dyDescent="0.2">
      <c r="A462" t="s">
        <v>1504</v>
      </c>
      <c r="B462" t="s">
        <v>1505</v>
      </c>
      <c r="C462">
        <v>2023</v>
      </c>
      <c r="D462" s="18">
        <v>45254</v>
      </c>
      <c r="E462" s="18">
        <v>45619</v>
      </c>
      <c r="F462" s="18" t="s">
        <v>611</v>
      </c>
      <c r="G462" t="s">
        <v>99</v>
      </c>
      <c r="H462">
        <v>3</v>
      </c>
      <c r="I462">
        <v>6</v>
      </c>
      <c r="J462" s="27">
        <v>8962.6200000000008</v>
      </c>
      <c r="K462" s="27">
        <v>1000000</v>
      </c>
    </row>
    <row r="463" spans="1:11" ht="12.75" customHeight="1" x14ac:dyDescent="0.2">
      <c r="A463" t="s">
        <v>1506</v>
      </c>
      <c r="B463" t="s">
        <v>1507</v>
      </c>
      <c r="C463">
        <v>2023</v>
      </c>
      <c r="D463" s="18">
        <v>45254</v>
      </c>
      <c r="E463" s="18">
        <v>45619</v>
      </c>
      <c r="F463" s="18" t="s">
        <v>611</v>
      </c>
      <c r="G463" t="s">
        <v>101</v>
      </c>
      <c r="H463">
        <v>3</v>
      </c>
      <c r="I463">
        <v>6</v>
      </c>
      <c r="J463" s="27">
        <v>83342</v>
      </c>
      <c r="K463" s="27">
        <v>5000000</v>
      </c>
    </row>
    <row r="464" spans="1:11" ht="12.75" customHeight="1" x14ac:dyDescent="0.2">
      <c r="A464" t="s">
        <v>1508</v>
      </c>
      <c r="B464" t="s">
        <v>1509</v>
      </c>
      <c r="C464">
        <v>2023</v>
      </c>
      <c r="D464" s="18">
        <v>45255</v>
      </c>
      <c r="E464" s="18">
        <v>45620</v>
      </c>
      <c r="F464" s="18" t="s">
        <v>608</v>
      </c>
      <c r="G464" t="s">
        <v>102</v>
      </c>
      <c r="H464">
        <v>3</v>
      </c>
      <c r="I464">
        <v>3</v>
      </c>
      <c r="J464" s="27">
        <v>71175.66</v>
      </c>
      <c r="K464" s="27">
        <v>10000000</v>
      </c>
    </row>
    <row r="465" spans="1:11" ht="12.75" customHeight="1" x14ac:dyDescent="0.2">
      <c r="A465" t="s">
        <v>1510</v>
      </c>
      <c r="B465" t="s">
        <v>1511</v>
      </c>
      <c r="C465">
        <v>2023</v>
      </c>
      <c r="D465" s="18">
        <v>45255</v>
      </c>
      <c r="E465" s="18">
        <v>45620</v>
      </c>
      <c r="F465" s="18" t="s">
        <v>611</v>
      </c>
      <c r="G465" t="s">
        <v>99</v>
      </c>
      <c r="H465">
        <v>1</v>
      </c>
      <c r="I465">
        <v>1</v>
      </c>
      <c r="J465" s="27">
        <v>17036.150000000001</v>
      </c>
      <c r="K465" s="27">
        <v>2000000</v>
      </c>
    </row>
    <row r="466" spans="1:11" ht="12.75" customHeight="1" x14ac:dyDescent="0.2">
      <c r="A466" t="s">
        <v>1512</v>
      </c>
      <c r="B466" t="s">
        <v>1513</v>
      </c>
      <c r="C466">
        <v>2023</v>
      </c>
      <c r="D466" s="18">
        <v>45256</v>
      </c>
      <c r="E466" s="18">
        <v>45621</v>
      </c>
      <c r="F466" s="18" t="s">
        <v>608</v>
      </c>
      <c r="G466" t="s">
        <v>102</v>
      </c>
      <c r="H466">
        <v>1</v>
      </c>
      <c r="I466">
        <v>1</v>
      </c>
      <c r="J466" s="27">
        <v>30500.25</v>
      </c>
      <c r="K466" s="27">
        <v>4000000</v>
      </c>
    </row>
    <row r="467" spans="1:11" ht="12.75" customHeight="1" x14ac:dyDescent="0.2">
      <c r="A467" t="s">
        <v>1514</v>
      </c>
      <c r="B467" t="s">
        <v>1515</v>
      </c>
      <c r="C467">
        <v>2023</v>
      </c>
      <c r="D467" s="18">
        <v>45256</v>
      </c>
      <c r="E467" s="18">
        <v>45621</v>
      </c>
      <c r="F467" s="18" t="s">
        <v>608</v>
      </c>
      <c r="G467" t="s">
        <v>99</v>
      </c>
      <c r="H467">
        <v>2</v>
      </c>
      <c r="I467">
        <v>2</v>
      </c>
      <c r="J467" s="27">
        <v>81017.8</v>
      </c>
      <c r="K467" s="27">
        <v>10000000</v>
      </c>
    </row>
    <row r="468" spans="1:11" ht="12.75" customHeight="1" x14ac:dyDescent="0.2">
      <c r="A468" t="s">
        <v>1516</v>
      </c>
      <c r="B468" t="s">
        <v>1517</v>
      </c>
      <c r="C468">
        <v>2023</v>
      </c>
      <c r="D468" s="18">
        <v>45256</v>
      </c>
      <c r="E468" s="18">
        <v>45621</v>
      </c>
      <c r="F468" s="18" t="s">
        <v>611</v>
      </c>
      <c r="G468" t="s">
        <v>99</v>
      </c>
      <c r="H468">
        <v>3</v>
      </c>
      <c r="I468">
        <v>6</v>
      </c>
      <c r="J468" s="27">
        <v>17131.57</v>
      </c>
      <c r="K468" s="27">
        <v>2000000</v>
      </c>
    </row>
    <row r="469" spans="1:11" ht="12.75" customHeight="1" x14ac:dyDescent="0.2">
      <c r="A469" t="s">
        <v>1518</v>
      </c>
      <c r="B469" t="s">
        <v>1519</v>
      </c>
      <c r="C469">
        <v>2023</v>
      </c>
      <c r="D469" s="18">
        <v>45256</v>
      </c>
      <c r="E469" s="18">
        <v>45621</v>
      </c>
      <c r="F469" s="18" t="s">
        <v>611</v>
      </c>
      <c r="G469" t="s">
        <v>101</v>
      </c>
      <c r="H469">
        <v>1</v>
      </c>
      <c r="I469">
        <v>1</v>
      </c>
      <c r="J469" s="27">
        <v>17016.78</v>
      </c>
      <c r="K469" s="27">
        <v>1000000</v>
      </c>
    </row>
    <row r="470" spans="1:11" ht="12.75" customHeight="1" x14ac:dyDescent="0.2">
      <c r="A470" t="s">
        <v>1520</v>
      </c>
      <c r="B470" t="s">
        <v>1521</v>
      </c>
      <c r="C470">
        <v>2023</v>
      </c>
      <c r="D470" s="18">
        <v>45256</v>
      </c>
      <c r="E470" s="18">
        <v>45621</v>
      </c>
      <c r="F470" s="18" t="s">
        <v>611</v>
      </c>
      <c r="G470" t="s">
        <v>101</v>
      </c>
      <c r="H470">
        <v>2</v>
      </c>
      <c r="I470">
        <v>2</v>
      </c>
      <c r="J470" s="27">
        <v>46263.18</v>
      </c>
      <c r="K470" s="27">
        <v>3000000</v>
      </c>
    </row>
    <row r="471" spans="1:11" ht="12.75" customHeight="1" x14ac:dyDescent="0.2">
      <c r="A471" t="s">
        <v>1522</v>
      </c>
      <c r="B471" t="s">
        <v>1523</v>
      </c>
      <c r="C471">
        <v>2023</v>
      </c>
      <c r="D471" s="18">
        <v>45256</v>
      </c>
      <c r="E471" s="18">
        <v>45621</v>
      </c>
      <c r="F471" s="18" t="s">
        <v>611</v>
      </c>
      <c r="G471" t="s">
        <v>100</v>
      </c>
      <c r="H471">
        <v>2</v>
      </c>
      <c r="I471">
        <v>2</v>
      </c>
      <c r="J471" s="27">
        <v>6487.66</v>
      </c>
      <c r="K471" s="27">
        <v>500000</v>
      </c>
    </row>
    <row r="472" spans="1:11" ht="12.75" customHeight="1" x14ac:dyDescent="0.2">
      <c r="A472" t="s">
        <v>1524</v>
      </c>
      <c r="B472" t="s">
        <v>1525</v>
      </c>
      <c r="C472">
        <v>2023</v>
      </c>
      <c r="D472" s="18">
        <v>45256</v>
      </c>
      <c r="E472" s="18">
        <v>45621</v>
      </c>
      <c r="F472" s="18" t="s">
        <v>611</v>
      </c>
      <c r="G472" t="s">
        <v>100</v>
      </c>
      <c r="H472">
        <v>3</v>
      </c>
      <c r="I472">
        <v>6</v>
      </c>
      <c r="J472" s="27">
        <v>11047.71</v>
      </c>
      <c r="K472" s="27">
        <v>1000000</v>
      </c>
    </row>
    <row r="473" spans="1:11" ht="12.75" customHeight="1" x14ac:dyDescent="0.2">
      <c r="A473" t="s">
        <v>1526</v>
      </c>
      <c r="B473" t="s">
        <v>1527</v>
      </c>
      <c r="C473">
        <v>2023</v>
      </c>
      <c r="D473" s="18">
        <v>45256</v>
      </c>
      <c r="E473" s="18">
        <v>45621</v>
      </c>
      <c r="F473" s="18" t="s">
        <v>611</v>
      </c>
      <c r="G473" t="s">
        <v>101</v>
      </c>
      <c r="H473">
        <v>1</v>
      </c>
      <c r="I473">
        <v>2</v>
      </c>
      <c r="J473" s="27">
        <v>158676.38</v>
      </c>
      <c r="K473" s="27">
        <v>10000000</v>
      </c>
    </row>
    <row r="474" spans="1:11" ht="12.75" customHeight="1" x14ac:dyDescent="0.2">
      <c r="A474" t="s">
        <v>1528</v>
      </c>
      <c r="B474" t="s">
        <v>1529</v>
      </c>
      <c r="C474">
        <v>2023</v>
      </c>
      <c r="D474" s="18">
        <v>45256</v>
      </c>
      <c r="E474" s="18">
        <v>45621</v>
      </c>
      <c r="F474" s="18" t="s">
        <v>611</v>
      </c>
      <c r="G474" t="s">
        <v>100</v>
      </c>
      <c r="H474">
        <v>3</v>
      </c>
      <c r="I474">
        <v>3</v>
      </c>
      <c r="J474" s="27">
        <v>24932.79</v>
      </c>
      <c r="K474" s="27">
        <v>2000000</v>
      </c>
    </row>
    <row r="475" spans="1:11" ht="12.75" customHeight="1" x14ac:dyDescent="0.2">
      <c r="A475" t="s">
        <v>1530</v>
      </c>
      <c r="B475" t="s">
        <v>1531</v>
      </c>
      <c r="C475">
        <v>2023</v>
      </c>
      <c r="D475" s="18">
        <v>45257</v>
      </c>
      <c r="E475" s="18">
        <v>45622</v>
      </c>
      <c r="F475" s="18" t="s">
        <v>608</v>
      </c>
      <c r="G475" t="s">
        <v>101</v>
      </c>
      <c r="H475">
        <v>1</v>
      </c>
      <c r="I475">
        <v>2</v>
      </c>
      <c r="J475" s="27">
        <v>80903.58</v>
      </c>
      <c r="K475" s="27">
        <v>5000000</v>
      </c>
    </row>
    <row r="476" spans="1:11" ht="12.75" customHeight="1" x14ac:dyDescent="0.2">
      <c r="A476" t="s">
        <v>1532</v>
      </c>
      <c r="B476" t="s">
        <v>1533</v>
      </c>
      <c r="C476">
        <v>2023</v>
      </c>
      <c r="D476" s="18">
        <v>45257</v>
      </c>
      <c r="E476" s="18">
        <v>45622</v>
      </c>
      <c r="F476" s="18" t="s">
        <v>608</v>
      </c>
      <c r="G476" t="s">
        <v>102</v>
      </c>
      <c r="H476">
        <v>1</v>
      </c>
      <c r="I476">
        <v>2</v>
      </c>
      <c r="J476" s="27">
        <v>26726.87</v>
      </c>
      <c r="K476" s="27">
        <v>4000000</v>
      </c>
    </row>
    <row r="477" spans="1:11" ht="12.75" customHeight="1" x14ac:dyDescent="0.2">
      <c r="A477" t="s">
        <v>1534</v>
      </c>
      <c r="B477" t="s">
        <v>1535</v>
      </c>
      <c r="C477">
        <v>2023</v>
      </c>
      <c r="D477" s="18">
        <v>45257</v>
      </c>
      <c r="E477" s="18">
        <v>45622</v>
      </c>
      <c r="F477" s="18" t="s">
        <v>611</v>
      </c>
      <c r="G477" t="s">
        <v>101</v>
      </c>
      <c r="H477">
        <v>3</v>
      </c>
      <c r="I477">
        <v>3</v>
      </c>
      <c r="J477" s="27">
        <v>72469.94</v>
      </c>
      <c r="K477" s="27">
        <v>5000000</v>
      </c>
    </row>
    <row r="478" spans="1:11" ht="12.75" customHeight="1" x14ac:dyDescent="0.2">
      <c r="A478" t="s">
        <v>1536</v>
      </c>
      <c r="B478" t="s">
        <v>1537</v>
      </c>
      <c r="C478">
        <v>2023</v>
      </c>
      <c r="D478" s="18">
        <v>45257</v>
      </c>
      <c r="E478" s="18">
        <v>45622</v>
      </c>
      <c r="F478" s="18" t="s">
        <v>611</v>
      </c>
      <c r="G478" t="s">
        <v>101</v>
      </c>
      <c r="H478">
        <v>1</v>
      </c>
      <c r="I478">
        <v>2</v>
      </c>
      <c r="J478" s="27">
        <v>43028.21</v>
      </c>
      <c r="K478" s="27">
        <v>3000000</v>
      </c>
    </row>
    <row r="479" spans="1:11" ht="12.75" customHeight="1" x14ac:dyDescent="0.2">
      <c r="A479" t="s">
        <v>1538</v>
      </c>
      <c r="B479" t="s">
        <v>1539</v>
      </c>
      <c r="C479">
        <v>2023</v>
      </c>
      <c r="D479" s="18">
        <v>45257</v>
      </c>
      <c r="E479" s="18">
        <v>45622</v>
      </c>
      <c r="F479" s="18" t="s">
        <v>611</v>
      </c>
      <c r="G479" t="s">
        <v>99</v>
      </c>
      <c r="H479">
        <v>1</v>
      </c>
      <c r="I479">
        <v>2</v>
      </c>
      <c r="J479" s="27">
        <v>42982.87</v>
      </c>
      <c r="K479" s="27">
        <v>5000000</v>
      </c>
    </row>
    <row r="480" spans="1:11" ht="12.75" customHeight="1" x14ac:dyDescent="0.2">
      <c r="A480" t="s">
        <v>1540</v>
      </c>
      <c r="B480" t="s">
        <v>1541</v>
      </c>
      <c r="C480">
        <v>2023</v>
      </c>
      <c r="D480" s="18">
        <v>45257</v>
      </c>
      <c r="E480" s="18">
        <v>45622</v>
      </c>
      <c r="F480" s="18" t="s">
        <v>611</v>
      </c>
      <c r="G480" t="s">
        <v>101</v>
      </c>
      <c r="H480">
        <v>1</v>
      </c>
      <c r="I480">
        <v>1</v>
      </c>
      <c r="J480" s="27">
        <v>83559.53</v>
      </c>
      <c r="K480" s="27">
        <v>5000000</v>
      </c>
    </row>
    <row r="481" spans="1:11" ht="12.75" customHeight="1" x14ac:dyDescent="0.2">
      <c r="A481" t="s">
        <v>1542</v>
      </c>
      <c r="B481" t="s">
        <v>1543</v>
      </c>
      <c r="C481">
        <v>2023</v>
      </c>
      <c r="D481" s="18">
        <v>45257</v>
      </c>
      <c r="E481" s="18">
        <v>45622</v>
      </c>
      <c r="F481" s="18" t="s">
        <v>611</v>
      </c>
      <c r="G481" t="s">
        <v>102</v>
      </c>
      <c r="H481">
        <v>1</v>
      </c>
      <c r="I481">
        <v>1</v>
      </c>
      <c r="J481" s="27">
        <v>14006.4</v>
      </c>
      <c r="K481" s="27">
        <v>2000000</v>
      </c>
    </row>
    <row r="482" spans="1:11" ht="12.75" customHeight="1" x14ac:dyDescent="0.2">
      <c r="A482" t="s">
        <v>1544</v>
      </c>
      <c r="B482" t="s">
        <v>1545</v>
      </c>
      <c r="C482">
        <v>2023</v>
      </c>
      <c r="D482" s="18">
        <v>45257</v>
      </c>
      <c r="E482" s="18">
        <v>45622</v>
      </c>
      <c r="F482" s="18" t="s">
        <v>611</v>
      </c>
      <c r="G482" t="s">
        <v>100</v>
      </c>
      <c r="H482">
        <v>1</v>
      </c>
      <c r="I482">
        <v>1</v>
      </c>
      <c r="J482" s="27">
        <v>23072.12</v>
      </c>
      <c r="K482" s="27">
        <v>2000000</v>
      </c>
    </row>
    <row r="483" spans="1:11" ht="12.75" customHeight="1" x14ac:dyDescent="0.2">
      <c r="A483" t="s">
        <v>1546</v>
      </c>
      <c r="B483" t="s">
        <v>1547</v>
      </c>
      <c r="C483">
        <v>2023</v>
      </c>
      <c r="D483" s="18">
        <v>45257</v>
      </c>
      <c r="E483" s="18">
        <v>45622</v>
      </c>
      <c r="F483" s="18" t="s">
        <v>611</v>
      </c>
      <c r="G483" t="s">
        <v>100</v>
      </c>
      <c r="H483">
        <v>1</v>
      </c>
      <c r="I483">
        <v>1</v>
      </c>
      <c r="J483" s="27">
        <v>113817.41</v>
      </c>
      <c r="K483" s="27">
        <v>10000000</v>
      </c>
    </row>
    <row r="484" spans="1:11" ht="12.75" customHeight="1" x14ac:dyDescent="0.2">
      <c r="A484" t="s">
        <v>1548</v>
      </c>
      <c r="B484" t="s">
        <v>1549</v>
      </c>
      <c r="C484">
        <v>2023</v>
      </c>
      <c r="D484" s="18">
        <v>45257</v>
      </c>
      <c r="E484" s="18">
        <v>45622</v>
      </c>
      <c r="F484" s="18" t="s">
        <v>611</v>
      </c>
      <c r="G484" t="s">
        <v>99</v>
      </c>
      <c r="H484">
        <v>1</v>
      </c>
      <c r="I484">
        <v>2</v>
      </c>
      <c r="J484" s="27">
        <v>81695.87</v>
      </c>
      <c r="K484" s="27">
        <v>10000000</v>
      </c>
    </row>
    <row r="485" spans="1:11" ht="12.75" customHeight="1" x14ac:dyDescent="0.2">
      <c r="A485" t="s">
        <v>1550</v>
      </c>
      <c r="B485" t="s">
        <v>1551</v>
      </c>
      <c r="C485">
        <v>2023</v>
      </c>
      <c r="D485" s="18">
        <v>45257</v>
      </c>
      <c r="E485" s="18">
        <v>45622</v>
      </c>
      <c r="F485" s="18" t="s">
        <v>611</v>
      </c>
      <c r="G485" t="s">
        <v>100</v>
      </c>
      <c r="H485">
        <v>3</v>
      </c>
      <c r="I485">
        <v>3</v>
      </c>
      <c r="J485" s="27">
        <v>112352.58</v>
      </c>
      <c r="K485" s="27">
        <v>10000000</v>
      </c>
    </row>
    <row r="486" spans="1:11" ht="12.75" customHeight="1" x14ac:dyDescent="0.2">
      <c r="A486" t="s">
        <v>1552</v>
      </c>
      <c r="B486" t="s">
        <v>1553</v>
      </c>
      <c r="C486">
        <v>2023</v>
      </c>
      <c r="D486" s="18">
        <v>45257</v>
      </c>
      <c r="E486" s="18">
        <v>45622</v>
      </c>
      <c r="F486" s="18" t="s">
        <v>611</v>
      </c>
      <c r="G486" t="s">
        <v>100</v>
      </c>
      <c r="H486">
        <v>1</v>
      </c>
      <c r="I486">
        <v>1</v>
      </c>
      <c r="J486" s="27">
        <v>44960.07</v>
      </c>
      <c r="K486" s="27">
        <v>4000000</v>
      </c>
    </row>
    <row r="487" spans="1:11" ht="12.75" customHeight="1" x14ac:dyDescent="0.2">
      <c r="A487" t="s">
        <v>1554</v>
      </c>
      <c r="B487" t="s">
        <v>1555</v>
      </c>
      <c r="C487">
        <v>2023</v>
      </c>
      <c r="D487" s="18">
        <v>45257</v>
      </c>
      <c r="E487" s="18">
        <v>45622</v>
      </c>
      <c r="F487" s="18" t="s">
        <v>611</v>
      </c>
      <c r="G487" t="s">
        <v>99</v>
      </c>
      <c r="H487">
        <v>1</v>
      </c>
      <c r="I487">
        <v>1</v>
      </c>
      <c r="J487" s="27">
        <v>3889.32</v>
      </c>
      <c r="K487" s="27">
        <v>500000</v>
      </c>
    </row>
    <row r="488" spans="1:11" ht="12.75" customHeight="1" x14ac:dyDescent="0.2">
      <c r="A488" t="s">
        <v>1556</v>
      </c>
      <c r="B488" t="s">
        <v>1557</v>
      </c>
      <c r="C488">
        <v>2023</v>
      </c>
      <c r="D488" s="18">
        <v>45257</v>
      </c>
      <c r="E488" s="18">
        <v>45622</v>
      </c>
      <c r="F488" s="18" t="s">
        <v>611</v>
      </c>
      <c r="G488" t="s">
        <v>100</v>
      </c>
      <c r="H488">
        <v>2</v>
      </c>
      <c r="I488">
        <v>2</v>
      </c>
      <c r="J488" s="27">
        <v>11723.46</v>
      </c>
      <c r="K488" s="27">
        <v>1000000</v>
      </c>
    </row>
    <row r="489" spans="1:11" ht="12.75" customHeight="1" x14ac:dyDescent="0.2">
      <c r="A489" t="s">
        <v>1558</v>
      </c>
      <c r="B489" t="s">
        <v>1559</v>
      </c>
      <c r="C489">
        <v>2023</v>
      </c>
      <c r="D489" s="18">
        <v>45258</v>
      </c>
      <c r="E489" s="18">
        <v>45623</v>
      </c>
      <c r="F489" s="18" t="s">
        <v>608</v>
      </c>
      <c r="G489" t="s">
        <v>99</v>
      </c>
      <c r="H489">
        <v>1</v>
      </c>
      <c r="I489">
        <v>1</v>
      </c>
      <c r="J489" s="27">
        <v>16509.79</v>
      </c>
      <c r="K489" s="27">
        <v>2000000</v>
      </c>
    </row>
    <row r="490" spans="1:11" ht="12.75" customHeight="1" x14ac:dyDescent="0.2">
      <c r="A490" t="s">
        <v>1560</v>
      </c>
      <c r="B490" t="s">
        <v>1561</v>
      </c>
      <c r="C490">
        <v>2023</v>
      </c>
      <c r="D490" s="18">
        <v>45258</v>
      </c>
      <c r="E490" s="18">
        <v>45623</v>
      </c>
      <c r="F490" s="18" t="s">
        <v>611</v>
      </c>
      <c r="G490" t="s">
        <v>102</v>
      </c>
      <c r="H490">
        <v>2</v>
      </c>
      <c r="I490">
        <v>4</v>
      </c>
      <c r="J490" s="27">
        <v>36157.129999999997</v>
      </c>
      <c r="K490" s="27">
        <v>5000000</v>
      </c>
    </row>
    <row r="491" spans="1:11" ht="12.75" customHeight="1" x14ac:dyDescent="0.2">
      <c r="A491" t="s">
        <v>1562</v>
      </c>
      <c r="B491" t="s">
        <v>1563</v>
      </c>
      <c r="C491">
        <v>2023</v>
      </c>
      <c r="D491" s="18">
        <v>45258</v>
      </c>
      <c r="E491" s="18">
        <v>45623</v>
      </c>
      <c r="F491" s="18" t="s">
        <v>611</v>
      </c>
      <c r="G491" t="s">
        <v>99</v>
      </c>
      <c r="H491">
        <v>1</v>
      </c>
      <c r="I491">
        <v>2</v>
      </c>
      <c r="J491" s="27">
        <v>23458.03</v>
      </c>
      <c r="K491" s="27">
        <v>3000000</v>
      </c>
    </row>
    <row r="492" spans="1:11" ht="12.75" customHeight="1" x14ac:dyDescent="0.2">
      <c r="A492" t="s">
        <v>1564</v>
      </c>
      <c r="B492" t="s">
        <v>1565</v>
      </c>
      <c r="C492">
        <v>2023</v>
      </c>
      <c r="D492" s="18">
        <v>45258</v>
      </c>
      <c r="E492" s="18">
        <v>45623</v>
      </c>
      <c r="F492" s="18" t="s">
        <v>611</v>
      </c>
      <c r="G492" t="s">
        <v>99</v>
      </c>
      <c r="H492">
        <v>1</v>
      </c>
      <c r="I492">
        <v>1</v>
      </c>
      <c r="J492" s="27">
        <v>8233.4699999999993</v>
      </c>
      <c r="K492" s="27">
        <v>1000000</v>
      </c>
    </row>
    <row r="493" spans="1:11" ht="12.75" customHeight="1" x14ac:dyDescent="0.2">
      <c r="A493" t="s">
        <v>1566</v>
      </c>
      <c r="B493" t="s">
        <v>1567</v>
      </c>
      <c r="C493">
        <v>2023</v>
      </c>
      <c r="D493" s="18">
        <v>45259</v>
      </c>
      <c r="E493" s="18">
        <v>45624</v>
      </c>
      <c r="F493" s="18" t="s">
        <v>611</v>
      </c>
      <c r="G493" t="s">
        <v>100</v>
      </c>
      <c r="H493">
        <v>2</v>
      </c>
      <c r="I493">
        <v>4</v>
      </c>
      <c r="J493" s="27">
        <v>23446.73</v>
      </c>
      <c r="K493" s="27">
        <v>2000000</v>
      </c>
    </row>
    <row r="494" spans="1:11" ht="12.75" customHeight="1" x14ac:dyDescent="0.2">
      <c r="A494" t="s">
        <v>1568</v>
      </c>
      <c r="B494" t="s">
        <v>1569</v>
      </c>
      <c r="C494">
        <v>2023</v>
      </c>
      <c r="D494" s="18">
        <v>45259</v>
      </c>
      <c r="E494" s="18">
        <v>45624</v>
      </c>
      <c r="F494" s="18" t="s">
        <v>611</v>
      </c>
      <c r="G494" t="s">
        <v>101</v>
      </c>
      <c r="H494">
        <v>3</v>
      </c>
      <c r="I494">
        <v>3</v>
      </c>
      <c r="J494" s="27">
        <v>29194.49</v>
      </c>
      <c r="K494" s="27">
        <v>2000000</v>
      </c>
    </row>
    <row r="495" spans="1:11" ht="12.75" customHeight="1" x14ac:dyDescent="0.2">
      <c r="A495" t="s">
        <v>1570</v>
      </c>
      <c r="B495" t="s">
        <v>1571</v>
      </c>
      <c r="C495">
        <v>2023</v>
      </c>
      <c r="D495" s="18">
        <v>45259</v>
      </c>
      <c r="E495" s="18">
        <v>45624</v>
      </c>
      <c r="F495" s="18" t="s">
        <v>611</v>
      </c>
      <c r="G495" t="s">
        <v>100</v>
      </c>
      <c r="H495">
        <v>1</v>
      </c>
      <c r="I495">
        <v>1</v>
      </c>
      <c r="J495" s="27">
        <v>39170.46</v>
      </c>
      <c r="K495" s="27">
        <v>3500000</v>
      </c>
    </row>
    <row r="496" spans="1:11" ht="12.75" customHeight="1" x14ac:dyDescent="0.2">
      <c r="A496" t="s">
        <v>1572</v>
      </c>
      <c r="B496" t="s">
        <v>1573</v>
      </c>
      <c r="C496">
        <v>2023</v>
      </c>
      <c r="D496" s="18">
        <v>45259</v>
      </c>
      <c r="E496" s="18">
        <v>45624</v>
      </c>
      <c r="F496" s="18" t="s">
        <v>611</v>
      </c>
      <c r="G496" t="s">
        <v>99</v>
      </c>
      <c r="H496">
        <v>1</v>
      </c>
      <c r="I496">
        <v>2</v>
      </c>
      <c r="J496" s="27">
        <v>15896.05</v>
      </c>
      <c r="K496" s="27">
        <v>2000000</v>
      </c>
    </row>
    <row r="497" spans="1:11" ht="12.75" customHeight="1" x14ac:dyDescent="0.2">
      <c r="A497" t="s">
        <v>1574</v>
      </c>
      <c r="B497" t="s">
        <v>1575</v>
      </c>
      <c r="C497">
        <v>2023</v>
      </c>
      <c r="D497" s="18">
        <v>45259</v>
      </c>
      <c r="E497" s="18">
        <v>45624</v>
      </c>
      <c r="F497" s="18" t="s">
        <v>611</v>
      </c>
      <c r="G497" t="s">
        <v>99</v>
      </c>
      <c r="H497">
        <v>1</v>
      </c>
      <c r="I497">
        <v>1</v>
      </c>
      <c r="J497" s="27">
        <v>75367.929999999993</v>
      </c>
      <c r="K497" s="27">
        <v>10000000</v>
      </c>
    </row>
    <row r="498" spans="1:11" ht="12.75" customHeight="1" x14ac:dyDescent="0.2">
      <c r="A498" t="s">
        <v>1576</v>
      </c>
      <c r="B498" t="s">
        <v>1577</v>
      </c>
      <c r="C498">
        <v>2023</v>
      </c>
      <c r="D498" s="18">
        <v>45259</v>
      </c>
      <c r="E498" s="18">
        <v>45624</v>
      </c>
      <c r="F498" s="18" t="s">
        <v>611</v>
      </c>
      <c r="G498" t="s">
        <v>100</v>
      </c>
      <c r="H498">
        <v>1</v>
      </c>
      <c r="I498">
        <v>2</v>
      </c>
      <c r="J498" s="27">
        <v>57621.61</v>
      </c>
      <c r="K498" s="27">
        <v>5000000</v>
      </c>
    </row>
    <row r="499" spans="1:11" ht="12.75" customHeight="1" x14ac:dyDescent="0.2">
      <c r="A499" t="s">
        <v>1578</v>
      </c>
      <c r="B499" t="s">
        <v>1579</v>
      </c>
      <c r="C499">
        <v>2023</v>
      </c>
      <c r="D499" s="18">
        <v>45259</v>
      </c>
      <c r="E499" s="18">
        <v>45624</v>
      </c>
      <c r="F499" s="18" t="s">
        <v>611</v>
      </c>
      <c r="G499" t="s">
        <v>99</v>
      </c>
      <c r="H499">
        <v>2</v>
      </c>
      <c r="I499">
        <v>2</v>
      </c>
      <c r="J499" s="27">
        <v>76563.649999999994</v>
      </c>
      <c r="K499" s="27">
        <v>10000000</v>
      </c>
    </row>
    <row r="500" spans="1:11" ht="12.75" customHeight="1" x14ac:dyDescent="0.2">
      <c r="A500" t="s">
        <v>1580</v>
      </c>
      <c r="B500" t="s">
        <v>1581</v>
      </c>
      <c r="C500">
        <v>2023</v>
      </c>
      <c r="D500" s="18">
        <v>45260</v>
      </c>
      <c r="E500" s="18">
        <v>45625</v>
      </c>
      <c r="F500" s="18" t="s">
        <v>608</v>
      </c>
      <c r="G500" t="s">
        <v>100</v>
      </c>
      <c r="H500">
        <v>1</v>
      </c>
      <c r="I500">
        <v>1</v>
      </c>
      <c r="J500" s="27">
        <v>24963.05</v>
      </c>
      <c r="K500" s="27">
        <v>2000000</v>
      </c>
    </row>
    <row r="501" spans="1:11" ht="12.75" customHeight="1" x14ac:dyDescent="0.2">
      <c r="A501" t="s">
        <v>1582</v>
      </c>
      <c r="B501" t="s">
        <v>1583</v>
      </c>
      <c r="C501">
        <v>2023</v>
      </c>
      <c r="D501" s="18">
        <v>45260</v>
      </c>
      <c r="E501" s="18">
        <v>45625</v>
      </c>
      <c r="F501" s="18" t="s">
        <v>608</v>
      </c>
      <c r="G501" t="s">
        <v>102</v>
      </c>
      <c r="H501">
        <v>3</v>
      </c>
      <c r="I501">
        <v>3</v>
      </c>
      <c r="J501" s="27">
        <v>7874.93</v>
      </c>
      <c r="K501" s="27">
        <v>1000000</v>
      </c>
    </row>
    <row r="502" spans="1:11" ht="12.75" customHeight="1" x14ac:dyDescent="0.2">
      <c r="A502" t="s">
        <v>1584</v>
      </c>
      <c r="B502" t="s">
        <v>1585</v>
      </c>
      <c r="C502">
        <v>2023</v>
      </c>
      <c r="D502" s="18">
        <v>45260</v>
      </c>
      <c r="E502" s="18">
        <v>45625</v>
      </c>
      <c r="F502" s="18" t="s">
        <v>608</v>
      </c>
      <c r="G502" t="s">
        <v>99</v>
      </c>
      <c r="H502">
        <v>1</v>
      </c>
      <c r="I502">
        <v>1</v>
      </c>
      <c r="J502" s="27">
        <v>44739.92</v>
      </c>
      <c r="K502" s="27">
        <v>5000000</v>
      </c>
    </row>
    <row r="503" spans="1:11" ht="12.75" customHeight="1" x14ac:dyDescent="0.2">
      <c r="A503" t="s">
        <v>1586</v>
      </c>
      <c r="B503" t="s">
        <v>1587</v>
      </c>
      <c r="C503">
        <v>2023</v>
      </c>
      <c r="D503" s="18">
        <v>45260</v>
      </c>
      <c r="E503" s="18">
        <v>45625</v>
      </c>
      <c r="F503" s="18" t="s">
        <v>611</v>
      </c>
      <c r="G503" t="s">
        <v>100</v>
      </c>
      <c r="H503">
        <v>2</v>
      </c>
      <c r="I503">
        <v>4</v>
      </c>
      <c r="J503" s="27">
        <v>45453.56</v>
      </c>
      <c r="K503" s="27">
        <v>3500000</v>
      </c>
    </row>
    <row r="504" spans="1:11" ht="12.75" customHeight="1" x14ac:dyDescent="0.2">
      <c r="A504" t="s">
        <v>1588</v>
      </c>
      <c r="B504" t="s">
        <v>1589</v>
      </c>
      <c r="C504">
        <v>2023</v>
      </c>
      <c r="D504" s="18">
        <v>45260</v>
      </c>
      <c r="E504" s="18">
        <v>45625</v>
      </c>
      <c r="F504" s="18" t="s">
        <v>611</v>
      </c>
      <c r="G504" t="s">
        <v>99</v>
      </c>
      <c r="H504">
        <v>1</v>
      </c>
      <c r="I504">
        <v>1</v>
      </c>
      <c r="J504" s="27">
        <v>39490.71</v>
      </c>
      <c r="K504" s="27">
        <v>5000000</v>
      </c>
    </row>
    <row r="505" spans="1:11" ht="12.75" customHeight="1" x14ac:dyDescent="0.2">
      <c r="A505" t="s">
        <v>1590</v>
      </c>
      <c r="B505" t="s">
        <v>1591</v>
      </c>
      <c r="C505">
        <v>2023</v>
      </c>
      <c r="D505" s="18">
        <v>45260</v>
      </c>
      <c r="E505" s="18">
        <v>45625</v>
      </c>
      <c r="F505" s="18" t="s">
        <v>611</v>
      </c>
      <c r="G505" t="s">
        <v>99</v>
      </c>
      <c r="H505">
        <v>2</v>
      </c>
      <c r="I505">
        <v>4</v>
      </c>
      <c r="J505" s="27">
        <v>82171.88</v>
      </c>
      <c r="K505" s="27">
        <v>10000000</v>
      </c>
    </row>
    <row r="506" spans="1:11" ht="12.75" customHeight="1" x14ac:dyDescent="0.2">
      <c r="A506" t="s">
        <v>1592</v>
      </c>
      <c r="B506" t="s">
        <v>1593</v>
      </c>
      <c r="C506">
        <v>2023</v>
      </c>
      <c r="D506" s="18">
        <v>45260</v>
      </c>
      <c r="E506" s="18">
        <v>45625</v>
      </c>
      <c r="F506" s="18" t="s">
        <v>611</v>
      </c>
      <c r="G506" t="s">
        <v>101</v>
      </c>
      <c r="H506">
        <v>2</v>
      </c>
      <c r="I506">
        <v>2</v>
      </c>
      <c r="J506" s="27">
        <v>148676.25</v>
      </c>
      <c r="K506" s="27">
        <v>10000000</v>
      </c>
    </row>
    <row r="507" spans="1:11" ht="12.75" customHeight="1" x14ac:dyDescent="0.2">
      <c r="A507" t="s">
        <v>1594</v>
      </c>
      <c r="B507" t="s">
        <v>1595</v>
      </c>
      <c r="C507">
        <v>2023</v>
      </c>
      <c r="D507" s="18">
        <v>45260</v>
      </c>
      <c r="E507" s="18">
        <v>45625</v>
      </c>
      <c r="F507" s="18" t="s">
        <v>611</v>
      </c>
      <c r="G507" t="s">
        <v>100</v>
      </c>
      <c r="H507">
        <v>1</v>
      </c>
      <c r="I507">
        <v>2</v>
      </c>
      <c r="J507" s="27">
        <v>25676.959999999999</v>
      </c>
      <c r="K507" s="27">
        <v>2000000</v>
      </c>
    </row>
    <row r="508" spans="1:11" ht="12.75" customHeight="1" x14ac:dyDescent="0.2">
      <c r="A508" t="s">
        <v>1596</v>
      </c>
      <c r="B508" t="s">
        <v>1597</v>
      </c>
      <c r="C508">
        <v>2023</v>
      </c>
      <c r="D508" s="18">
        <v>45261</v>
      </c>
      <c r="E508" s="18">
        <v>45626</v>
      </c>
      <c r="F508" s="18" t="s">
        <v>608</v>
      </c>
      <c r="G508" t="s">
        <v>99</v>
      </c>
      <c r="H508">
        <v>1</v>
      </c>
      <c r="I508">
        <v>1</v>
      </c>
      <c r="J508" s="27">
        <v>3788.72</v>
      </c>
      <c r="K508" s="27">
        <v>500000</v>
      </c>
    </row>
    <row r="509" spans="1:11" ht="12.75" customHeight="1" x14ac:dyDescent="0.2">
      <c r="A509" t="s">
        <v>1598</v>
      </c>
      <c r="B509" t="s">
        <v>1599</v>
      </c>
      <c r="C509">
        <v>2023</v>
      </c>
      <c r="D509" s="18">
        <v>45261</v>
      </c>
      <c r="E509" s="18">
        <v>45626</v>
      </c>
      <c r="F509" s="18" t="s">
        <v>611</v>
      </c>
      <c r="G509" t="s">
        <v>101</v>
      </c>
      <c r="H509">
        <v>1</v>
      </c>
      <c r="I509">
        <v>2</v>
      </c>
      <c r="J509" s="27">
        <v>29209.3</v>
      </c>
      <c r="K509" s="27">
        <v>2000000</v>
      </c>
    </row>
    <row r="510" spans="1:11" ht="12.75" customHeight="1" x14ac:dyDescent="0.2">
      <c r="A510" t="s">
        <v>1600</v>
      </c>
      <c r="B510" t="s">
        <v>1601</v>
      </c>
      <c r="C510">
        <v>2023</v>
      </c>
      <c r="D510" s="18">
        <v>45261</v>
      </c>
      <c r="E510" s="18">
        <v>45626</v>
      </c>
      <c r="F510" s="18" t="s">
        <v>611</v>
      </c>
      <c r="G510" t="s">
        <v>102</v>
      </c>
      <c r="H510">
        <v>1</v>
      </c>
      <c r="I510">
        <v>2</v>
      </c>
      <c r="J510" s="27">
        <v>13509.69</v>
      </c>
      <c r="K510" s="27">
        <v>2000000</v>
      </c>
    </row>
    <row r="511" spans="1:11" ht="12.75" customHeight="1" x14ac:dyDescent="0.2">
      <c r="A511" t="s">
        <v>1602</v>
      </c>
      <c r="B511" t="s">
        <v>1603</v>
      </c>
      <c r="C511">
        <v>2023</v>
      </c>
      <c r="D511" s="18">
        <v>45261</v>
      </c>
      <c r="E511" s="18">
        <v>45626</v>
      </c>
      <c r="F511" s="18" t="s">
        <v>611</v>
      </c>
      <c r="G511" t="s">
        <v>99</v>
      </c>
      <c r="H511">
        <v>1</v>
      </c>
      <c r="I511">
        <v>1</v>
      </c>
      <c r="J511" s="27">
        <v>34744.449999999997</v>
      </c>
      <c r="K511" s="27">
        <v>4500000</v>
      </c>
    </row>
    <row r="512" spans="1:11" ht="12.75" customHeight="1" x14ac:dyDescent="0.2">
      <c r="A512" t="s">
        <v>1604</v>
      </c>
      <c r="B512" t="s">
        <v>1605</v>
      </c>
      <c r="C512">
        <v>2023</v>
      </c>
      <c r="D512" s="18">
        <v>45262</v>
      </c>
      <c r="E512" s="18">
        <v>45627</v>
      </c>
      <c r="F512" s="18" t="s">
        <v>608</v>
      </c>
      <c r="G512" t="s">
        <v>101</v>
      </c>
      <c r="H512">
        <v>1</v>
      </c>
      <c r="I512">
        <v>1</v>
      </c>
      <c r="J512" s="27">
        <v>154977.70000000001</v>
      </c>
      <c r="K512" s="27">
        <v>10000000</v>
      </c>
    </row>
    <row r="513" spans="1:11" ht="12.75" customHeight="1" x14ac:dyDescent="0.2">
      <c r="A513" t="s">
        <v>1606</v>
      </c>
      <c r="B513" t="s">
        <v>1607</v>
      </c>
      <c r="C513">
        <v>2023</v>
      </c>
      <c r="D513" s="18">
        <v>45262</v>
      </c>
      <c r="E513" s="18">
        <v>45627</v>
      </c>
      <c r="F513" s="18" t="s">
        <v>611</v>
      </c>
      <c r="G513" t="s">
        <v>102</v>
      </c>
      <c r="H513">
        <v>3</v>
      </c>
      <c r="I513">
        <v>3</v>
      </c>
      <c r="J513" s="27">
        <v>29191.27</v>
      </c>
      <c r="K513" s="27">
        <v>4000000</v>
      </c>
    </row>
    <row r="514" spans="1:11" ht="12.75" customHeight="1" x14ac:dyDescent="0.2">
      <c r="A514" t="s">
        <v>1608</v>
      </c>
      <c r="B514" t="s">
        <v>1609</v>
      </c>
      <c r="C514">
        <v>2023</v>
      </c>
      <c r="D514" s="18">
        <v>45262</v>
      </c>
      <c r="E514" s="18">
        <v>45627</v>
      </c>
      <c r="F514" s="18" t="s">
        <v>611</v>
      </c>
      <c r="G514" t="s">
        <v>99</v>
      </c>
      <c r="H514">
        <v>1</v>
      </c>
      <c r="I514">
        <v>1</v>
      </c>
      <c r="J514" s="27">
        <v>31478.27</v>
      </c>
      <c r="K514" s="27">
        <v>4000000</v>
      </c>
    </row>
    <row r="515" spans="1:11" ht="12.75" customHeight="1" x14ac:dyDescent="0.2">
      <c r="A515" t="s">
        <v>1610</v>
      </c>
      <c r="B515" t="s">
        <v>1611</v>
      </c>
      <c r="C515">
        <v>2023</v>
      </c>
      <c r="D515" s="18">
        <v>45262</v>
      </c>
      <c r="E515" s="18">
        <v>45627</v>
      </c>
      <c r="F515" s="18" t="s">
        <v>611</v>
      </c>
      <c r="G515" t="s">
        <v>99</v>
      </c>
      <c r="H515">
        <v>3</v>
      </c>
      <c r="I515">
        <v>3</v>
      </c>
      <c r="J515" s="27">
        <v>77494.080000000002</v>
      </c>
      <c r="K515" s="27">
        <v>10000000</v>
      </c>
    </row>
    <row r="516" spans="1:11" ht="12.75" customHeight="1" x14ac:dyDescent="0.2">
      <c r="A516" t="s">
        <v>1612</v>
      </c>
      <c r="B516" t="s">
        <v>1613</v>
      </c>
      <c r="C516">
        <v>2023</v>
      </c>
      <c r="D516" s="18">
        <v>45262</v>
      </c>
      <c r="E516" s="18">
        <v>45627</v>
      </c>
      <c r="F516" s="18" t="s">
        <v>611</v>
      </c>
      <c r="G516" t="s">
        <v>99</v>
      </c>
      <c r="H516">
        <v>1</v>
      </c>
      <c r="I516">
        <v>1</v>
      </c>
      <c r="J516" s="27">
        <v>45367.81</v>
      </c>
      <c r="K516" s="27">
        <v>5000000</v>
      </c>
    </row>
    <row r="517" spans="1:11" ht="12.75" customHeight="1" x14ac:dyDescent="0.2">
      <c r="A517" t="s">
        <v>1614</v>
      </c>
      <c r="B517" t="s">
        <v>1615</v>
      </c>
      <c r="C517">
        <v>2023</v>
      </c>
      <c r="D517" s="18">
        <v>45263</v>
      </c>
      <c r="E517" s="18">
        <v>45628</v>
      </c>
      <c r="F517" s="18" t="s">
        <v>608</v>
      </c>
      <c r="G517" t="s">
        <v>99</v>
      </c>
      <c r="H517">
        <v>2</v>
      </c>
      <c r="I517">
        <v>2</v>
      </c>
      <c r="J517" s="27">
        <v>38826.51</v>
      </c>
      <c r="K517" s="27">
        <v>5000000</v>
      </c>
    </row>
    <row r="518" spans="1:11" ht="12.75" customHeight="1" x14ac:dyDescent="0.2">
      <c r="A518" t="s">
        <v>1616</v>
      </c>
      <c r="B518" t="s">
        <v>1617</v>
      </c>
      <c r="C518">
        <v>2023</v>
      </c>
      <c r="D518" s="18">
        <v>45263</v>
      </c>
      <c r="E518" s="18">
        <v>45628</v>
      </c>
      <c r="F518" s="18" t="s">
        <v>611</v>
      </c>
      <c r="G518" t="s">
        <v>100</v>
      </c>
      <c r="H518">
        <v>2</v>
      </c>
      <c r="I518">
        <v>2</v>
      </c>
      <c r="J518" s="27">
        <v>48352.36</v>
      </c>
      <c r="K518" s="27">
        <v>4000000</v>
      </c>
    </row>
    <row r="519" spans="1:11" ht="12.75" customHeight="1" x14ac:dyDescent="0.2">
      <c r="A519" t="s">
        <v>1618</v>
      </c>
      <c r="B519" t="s">
        <v>1619</v>
      </c>
      <c r="C519">
        <v>2023</v>
      </c>
      <c r="D519" s="18">
        <v>45263</v>
      </c>
      <c r="E519" s="18">
        <v>45628</v>
      </c>
      <c r="F519" s="18" t="s">
        <v>611</v>
      </c>
      <c r="G519" t="s">
        <v>99</v>
      </c>
      <c r="H519">
        <v>2</v>
      </c>
      <c r="I519">
        <v>2</v>
      </c>
      <c r="J519" s="27">
        <v>35143.449999999997</v>
      </c>
      <c r="K519" s="27">
        <v>4000000</v>
      </c>
    </row>
    <row r="520" spans="1:11" ht="12.75" customHeight="1" x14ac:dyDescent="0.2">
      <c r="A520" t="s">
        <v>1620</v>
      </c>
      <c r="B520" t="s">
        <v>1621</v>
      </c>
      <c r="C520">
        <v>2023</v>
      </c>
      <c r="D520" s="18">
        <v>45263</v>
      </c>
      <c r="E520" s="18">
        <v>45628</v>
      </c>
      <c r="F520" s="18" t="s">
        <v>611</v>
      </c>
      <c r="G520" t="s">
        <v>99</v>
      </c>
      <c r="H520">
        <v>3</v>
      </c>
      <c r="I520">
        <v>3</v>
      </c>
      <c r="J520" s="27">
        <v>29453.17</v>
      </c>
      <c r="K520" s="27">
        <v>3500000</v>
      </c>
    </row>
    <row r="521" spans="1:11" ht="12.75" customHeight="1" x14ac:dyDescent="0.2">
      <c r="A521" t="s">
        <v>1622</v>
      </c>
      <c r="B521" t="s">
        <v>1623</v>
      </c>
      <c r="C521">
        <v>2023</v>
      </c>
      <c r="D521" s="18">
        <v>45263</v>
      </c>
      <c r="E521" s="18">
        <v>45628</v>
      </c>
      <c r="F521" s="18" t="s">
        <v>611</v>
      </c>
      <c r="G521" t="s">
        <v>101</v>
      </c>
      <c r="H521">
        <v>1</v>
      </c>
      <c r="I521">
        <v>1</v>
      </c>
      <c r="J521" s="27">
        <v>141224.09</v>
      </c>
      <c r="K521" s="27">
        <v>10000000</v>
      </c>
    </row>
    <row r="522" spans="1:11" ht="12.75" customHeight="1" x14ac:dyDescent="0.2">
      <c r="A522" t="s">
        <v>1624</v>
      </c>
      <c r="B522" t="s">
        <v>1625</v>
      </c>
      <c r="C522">
        <v>2023</v>
      </c>
      <c r="D522" s="18">
        <v>45263</v>
      </c>
      <c r="E522" s="18">
        <v>45628</v>
      </c>
      <c r="F522" s="18" t="s">
        <v>611</v>
      </c>
      <c r="G522" t="s">
        <v>99</v>
      </c>
      <c r="H522">
        <v>3</v>
      </c>
      <c r="I522">
        <v>3</v>
      </c>
      <c r="J522" s="27">
        <v>17570.75</v>
      </c>
      <c r="K522" s="27">
        <v>2000000</v>
      </c>
    </row>
    <row r="523" spans="1:11" ht="12.75" customHeight="1" x14ac:dyDescent="0.2">
      <c r="A523" t="s">
        <v>1626</v>
      </c>
      <c r="B523" t="s">
        <v>1627</v>
      </c>
      <c r="C523">
        <v>2023</v>
      </c>
      <c r="D523" s="18">
        <v>45263</v>
      </c>
      <c r="E523" s="18">
        <v>45628</v>
      </c>
      <c r="F523" s="18" t="s">
        <v>611</v>
      </c>
      <c r="G523" t="s">
        <v>100</v>
      </c>
      <c r="H523">
        <v>1</v>
      </c>
      <c r="I523">
        <v>1</v>
      </c>
      <c r="J523" s="27">
        <v>30018.04</v>
      </c>
      <c r="K523" s="27">
        <v>2500000</v>
      </c>
    </row>
    <row r="524" spans="1:11" ht="12.75" customHeight="1" x14ac:dyDescent="0.2">
      <c r="A524" t="s">
        <v>1628</v>
      </c>
      <c r="B524" t="s">
        <v>1629</v>
      </c>
      <c r="C524">
        <v>2023</v>
      </c>
      <c r="D524" s="18">
        <v>45263</v>
      </c>
      <c r="E524" s="18">
        <v>45628</v>
      </c>
      <c r="F524" s="18" t="s">
        <v>611</v>
      </c>
      <c r="G524" t="s">
        <v>101</v>
      </c>
      <c r="H524">
        <v>1</v>
      </c>
      <c r="I524">
        <v>1</v>
      </c>
      <c r="J524" s="27">
        <v>61084.1</v>
      </c>
      <c r="K524" s="27">
        <v>4000000</v>
      </c>
    </row>
    <row r="525" spans="1:11" ht="12.75" customHeight="1" x14ac:dyDescent="0.2">
      <c r="A525" t="s">
        <v>1630</v>
      </c>
      <c r="B525" t="s">
        <v>1631</v>
      </c>
      <c r="C525">
        <v>2023</v>
      </c>
      <c r="D525" s="18">
        <v>45263</v>
      </c>
      <c r="E525" s="18">
        <v>45628</v>
      </c>
      <c r="F525" s="18" t="s">
        <v>611</v>
      </c>
      <c r="G525" t="s">
        <v>100</v>
      </c>
      <c r="H525">
        <v>2</v>
      </c>
      <c r="I525">
        <v>4</v>
      </c>
      <c r="J525" s="27">
        <v>56414.63</v>
      </c>
      <c r="K525" s="27">
        <v>5000000</v>
      </c>
    </row>
    <row r="526" spans="1:11" ht="12.75" customHeight="1" x14ac:dyDescent="0.2">
      <c r="A526" t="s">
        <v>1632</v>
      </c>
      <c r="B526" t="s">
        <v>1633</v>
      </c>
      <c r="C526">
        <v>2023</v>
      </c>
      <c r="D526" s="18">
        <v>45263</v>
      </c>
      <c r="E526" s="18">
        <v>45628</v>
      </c>
      <c r="F526" s="18" t="s">
        <v>611</v>
      </c>
      <c r="G526" t="s">
        <v>99</v>
      </c>
      <c r="H526">
        <v>2</v>
      </c>
      <c r="I526">
        <v>4</v>
      </c>
      <c r="J526" s="27">
        <v>75171.600000000006</v>
      </c>
      <c r="K526" s="27">
        <v>10000000</v>
      </c>
    </row>
    <row r="527" spans="1:11" ht="12.75" customHeight="1" x14ac:dyDescent="0.2">
      <c r="A527" t="s">
        <v>1634</v>
      </c>
      <c r="B527" t="s">
        <v>1635</v>
      </c>
      <c r="C527">
        <v>2023</v>
      </c>
      <c r="D527" s="18">
        <v>45263</v>
      </c>
      <c r="E527" s="18">
        <v>45628</v>
      </c>
      <c r="F527" s="18" t="s">
        <v>611</v>
      </c>
      <c r="G527" t="s">
        <v>100</v>
      </c>
      <c r="H527">
        <v>3</v>
      </c>
      <c r="I527">
        <v>3</v>
      </c>
      <c r="J527" s="27">
        <v>30350.45</v>
      </c>
      <c r="K527" s="27">
        <v>2500000</v>
      </c>
    </row>
    <row r="528" spans="1:11" ht="12.75" customHeight="1" x14ac:dyDescent="0.2">
      <c r="A528" t="s">
        <v>1636</v>
      </c>
      <c r="B528" t="s">
        <v>1637</v>
      </c>
      <c r="C528">
        <v>2023</v>
      </c>
      <c r="D528" s="18">
        <v>45263</v>
      </c>
      <c r="E528" s="18">
        <v>45628</v>
      </c>
      <c r="F528" s="18" t="s">
        <v>611</v>
      </c>
      <c r="G528" t="s">
        <v>99</v>
      </c>
      <c r="H528">
        <v>1</v>
      </c>
      <c r="I528">
        <v>1</v>
      </c>
      <c r="J528" s="27">
        <v>4091.98</v>
      </c>
      <c r="K528" s="27">
        <v>500000</v>
      </c>
    </row>
    <row r="529" spans="1:11" ht="12.75" customHeight="1" x14ac:dyDescent="0.2">
      <c r="A529" t="s">
        <v>1638</v>
      </c>
      <c r="B529" t="s">
        <v>1639</v>
      </c>
      <c r="C529">
        <v>2023</v>
      </c>
      <c r="D529" s="18">
        <v>45263</v>
      </c>
      <c r="E529" s="18">
        <v>45628</v>
      </c>
      <c r="F529" s="18" t="s">
        <v>611</v>
      </c>
      <c r="G529" t="s">
        <v>101</v>
      </c>
      <c r="H529">
        <v>3</v>
      </c>
      <c r="I529">
        <v>6</v>
      </c>
      <c r="J529" s="27">
        <v>7451.13</v>
      </c>
      <c r="K529" s="27">
        <v>500000</v>
      </c>
    </row>
    <row r="530" spans="1:11" ht="12.75" customHeight="1" x14ac:dyDescent="0.2">
      <c r="A530" t="s">
        <v>1640</v>
      </c>
      <c r="B530" t="s">
        <v>1641</v>
      </c>
      <c r="C530">
        <v>2023</v>
      </c>
      <c r="D530" s="18">
        <v>45263</v>
      </c>
      <c r="E530" s="18">
        <v>45628</v>
      </c>
      <c r="F530" s="18" t="s">
        <v>611</v>
      </c>
      <c r="G530" t="s">
        <v>100</v>
      </c>
      <c r="H530">
        <v>1</v>
      </c>
      <c r="I530">
        <v>2</v>
      </c>
      <c r="J530" s="27">
        <v>26095.59</v>
      </c>
      <c r="K530" s="27">
        <v>2000000</v>
      </c>
    </row>
    <row r="531" spans="1:11" ht="12.75" customHeight="1" x14ac:dyDescent="0.2">
      <c r="A531" t="s">
        <v>1642</v>
      </c>
      <c r="B531" t="s">
        <v>1643</v>
      </c>
      <c r="C531">
        <v>2023</v>
      </c>
      <c r="D531" s="18">
        <v>45263</v>
      </c>
      <c r="E531" s="18">
        <v>45628</v>
      </c>
      <c r="F531" s="18" t="s">
        <v>611</v>
      </c>
      <c r="G531" t="s">
        <v>101</v>
      </c>
      <c r="H531">
        <v>1</v>
      </c>
      <c r="I531">
        <v>2</v>
      </c>
      <c r="J531" s="27">
        <v>50276.15</v>
      </c>
      <c r="K531" s="27">
        <v>3500000</v>
      </c>
    </row>
    <row r="532" spans="1:11" ht="12.75" customHeight="1" x14ac:dyDescent="0.2">
      <c r="A532" t="s">
        <v>1644</v>
      </c>
      <c r="B532" t="s">
        <v>1645</v>
      </c>
      <c r="C532">
        <v>2023</v>
      </c>
      <c r="D532" s="18">
        <v>45264</v>
      </c>
      <c r="E532" s="18">
        <v>45629</v>
      </c>
      <c r="F532" s="18" t="s">
        <v>608</v>
      </c>
      <c r="G532" t="s">
        <v>99</v>
      </c>
      <c r="H532">
        <v>2</v>
      </c>
      <c r="I532">
        <v>2</v>
      </c>
      <c r="J532" s="27">
        <v>15983.08</v>
      </c>
      <c r="K532" s="27">
        <v>2000000</v>
      </c>
    </row>
    <row r="533" spans="1:11" ht="12.75" customHeight="1" x14ac:dyDescent="0.2">
      <c r="A533" t="s">
        <v>1646</v>
      </c>
      <c r="B533" t="s">
        <v>1647</v>
      </c>
      <c r="C533">
        <v>2023</v>
      </c>
      <c r="D533" s="18">
        <v>45264</v>
      </c>
      <c r="E533" s="18">
        <v>45629</v>
      </c>
      <c r="F533" s="18" t="s">
        <v>608</v>
      </c>
      <c r="G533" t="s">
        <v>101</v>
      </c>
      <c r="H533">
        <v>1</v>
      </c>
      <c r="I533">
        <v>1</v>
      </c>
      <c r="J533" s="27">
        <v>23245.59</v>
      </c>
      <c r="K533" s="27">
        <v>1500000</v>
      </c>
    </row>
    <row r="534" spans="1:11" ht="12.75" customHeight="1" x14ac:dyDescent="0.2">
      <c r="A534" t="s">
        <v>1648</v>
      </c>
      <c r="B534" t="s">
        <v>1649</v>
      </c>
      <c r="C534">
        <v>2023</v>
      </c>
      <c r="D534" s="18">
        <v>45264</v>
      </c>
      <c r="E534" s="18">
        <v>45629</v>
      </c>
      <c r="F534" s="18" t="s">
        <v>611</v>
      </c>
      <c r="G534" t="s">
        <v>102</v>
      </c>
      <c r="H534">
        <v>2</v>
      </c>
      <c r="I534">
        <v>2</v>
      </c>
      <c r="J534" s="27">
        <v>7610.15</v>
      </c>
      <c r="K534" s="27">
        <v>1000000</v>
      </c>
    </row>
    <row r="535" spans="1:11" ht="12.75" customHeight="1" x14ac:dyDescent="0.2">
      <c r="A535" t="s">
        <v>1650</v>
      </c>
      <c r="B535" t="s">
        <v>1651</v>
      </c>
      <c r="C535">
        <v>2023</v>
      </c>
      <c r="D535" s="18">
        <v>45264</v>
      </c>
      <c r="E535" s="18">
        <v>45629</v>
      </c>
      <c r="F535" s="18" t="s">
        <v>611</v>
      </c>
      <c r="G535" t="s">
        <v>102</v>
      </c>
      <c r="H535">
        <v>1</v>
      </c>
      <c r="I535">
        <v>1</v>
      </c>
      <c r="J535" s="27">
        <v>3279.16</v>
      </c>
      <c r="K535" s="27">
        <v>500000</v>
      </c>
    </row>
    <row r="536" spans="1:11" ht="12.75" customHeight="1" x14ac:dyDescent="0.2">
      <c r="A536" t="s">
        <v>1652</v>
      </c>
      <c r="B536" t="s">
        <v>1653</v>
      </c>
      <c r="C536">
        <v>2023</v>
      </c>
      <c r="D536" s="18">
        <v>45264</v>
      </c>
      <c r="E536" s="18">
        <v>45629</v>
      </c>
      <c r="F536" s="18" t="s">
        <v>611</v>
      </c>
      <c r="G536" t="s">
        <v>99</v>
      </c>
      <c r="H536">
        <v>2</v>
      </c>
      <c r="I536">
        <v>2</v>
      </c>
      <c r="J536" s="27">
        <v>4395.5</v>
      </c>
      <c r="K536" s="27">
        <v>500000</v>
      </c>
    </row>
    <row r="537" spans="1:11" ht="12.75" customHeight="1" x14ac:dyDescent="0.2">
      <c r="A537" t="s">
        <v>1654</v>
      </c>
      <c r="B537" t="s">
        <v>1655</v>
      </c>
      <c r="C537">
        <v>2023</v>
      </c>
      <c r="D537" s="18">
        <v>45264</v>
      </c>
      <c r="E537" s="18">
        <v>45629</v>
      </c>
      <c r="F537" s="18" t="s">
        <v>611</v>
      </c>
      <c r="G537" t="s">
        <v>101</v>
      </c>
      <c r="H537">
        <v>1</v>
      </c>
      <c r="I537">
        <v>1</v>
      </c>
      <c r="J537" s="27">
        <v>50860.800000000003</v>
      </c>
      <c r="K537" s="27">
        <v>3500000</v>
      </c>
    </row>
    <row r="538" spans="1:11" ht="12.75" customHeight="1" x14ac:dyDescent="0.2">
      <c r="A538" t="s">
        <v>1656</v>
      </c>
      <c r="B538" t="s">
        <v>1657</v>
      </c>
      <c r="C538">
        <v>2023</v>
      </c>
      <c r="D538" s="18">
        <v>45265</v>
      </c>
      <c r="E538" s="18">
        <v>45630</v>
      </c>
      <c r="F538" s="18" t="s">
        <v>608</v>
      </c>
      <c r="G538" t="s">
        <v>100</v>
      </c>
      <c r="H538">
        <v>2</v>
      </c>
      <c r="I538">
        <v>2</v>
      </c>
      <c r="J538" s="27">
        <v>13013.45</v>
      </c>
      <c r="K538" s="27">
        <v>1000000</v>
      </c>
    </row>
    <row r="539" spans="1:11" ht="12.75" customHeight="1" x14ac:dyDescent="0.2">
      <c r="A539" t="s">
        <v>1658</v>
      </c>
      <c r="B539" t="s">
        <v>1659</v>
      </c>
      <c r="C539">
        <v>2023</v>
      </c>
      <c r="D539" s="18">
        <v>45265</v>
      </c>
      <c r="E539" s="18">
        <v>45630</v>
      </c>
      <c r="F539" s="18" t="s">
        <v>611</v>
      </c>
      <c r="G539" t="s">
        <v>100</v>
      </c>
      <c r="H539">
        <v>3</v>
      </c>
      <c r="I539">
        <v>3</v>
      </c>
      <c r="J539" s="27">
        <v>12952.43</v>
      </c>
      <c r="K539" s="27">
        <v>1000000</v>
      </c>
    </row>
    <row r="540" spans="1:11" ht="12.75" customHeight="1" x14ac:dyDescent="0.2">
      <c r="A540" t="s">
        <v>1660</v>
      </c>
      <c r="B540" t="s">
        <v>1661</v>
      </c>
      <c r="C540">
        <v>2023</v>
      </c>
      <c r="D540" s="18">
        <v>45265</v>
      </c>
      <c r="E540" s="18">
        <v>45630</v>
      </c>
      <c r="F540" s="18" t="s">
        <v>611</v>
      </c>
      <c r="G540" t="s">
        <v>101</v>
      </c>
      <c r="H540">
        <v>2</v>
      </c>
      <c r="I540">
        <v>2</v>
      </c>
      <c r="J540" s="27">
        <v>54368.52</v>
      </c>
      <c r="K540" s="27">
        <v>3500000</v>
      </c>
    </row>
    <row r="541" spans="1:11" ht="12.75" customHeight="1" x14ac:dyDescent="0.2">
      <c r="A541" t="s">
        <v>1662</v>
      </c>
      <c r="B541" t="s">
        <v>1663</v>
      </c>
      <c r="C541">
        <v>2023</v>
      </c>
      <c r="D541" s="18">
        <v>45265</v>
      </c>
      <c r="E541" s="18">
        <v>45630</v>
      </c>
      <c r="F541" s="18" t="s">
        <v>611</v>
      </c>
      <c r="G541" t="s">
        <v>100</v>
      </c>
      <c r="H541">
        <v>2</v>
      </c>
      <c r="I541">
        <v>4</v>
      </c>
      <c r="J541" s="27">
        <v>11760.7</v>
      </c>
      <c r="K541" s="27">
        <v>1000000</v>
      </c>
    </row>
    <row r="542" spans="1:11" ht="12.75" customHeight="1" x14ac:dyDescent="0.2">
      <c r="A542" t="s">
        <v>1664</v>
      </c>
      <c r="B542" t="s">
        <v>1665</v>
      </c>
      <c r="C542">
        <v>2023</v>
      </c>
      <c r="D542" s="18">
        <v>45265</v>
      </c>
      <c r="E542" s="18">
        <v>45630</v>
      </c>
      <c r="F542" s="18" t="s">
        <v>611</v>
      </c>
      <c r="G542" t="s">
        <v>100</v>
      </c>
      <c r="H542">
        <v>2</v>
      </c>
      <c r="I542">
        <v>2</v>
      </c>
      <c r="J542" s="27">
        <v>30766.71</v>
      </c>
      <c r="K542" s="27">
        <v>2500000</v>
      </c>
    </row>
    <row r="543" spans="1:11" ht="12.75" customHeight="1" x14ac:dyDescent="0.2">
      <c r="A543" t="s">
        <v>1666</v>
      </c>
      <c r="B543" t="s">
        <v>1667</v>
      </c>
      <c r="C543">
        <v>2023</v>
      </c>
      <c r="D543" s="18">
        <v>45265</v>
      </c>
      <c r="E543" s="18">
        <v>45630</v>
      </c>
      <c r="F543" s="18" t="s">
        <v>611</v>
      </c>
      <c r="G543" t="s">
        <v>99</v>
      </c>
      <c r="H543">
        <v>3</v>
      </c>
      <c r="I543">
        <v>3</v>
      </c>
      <c r="J543" s="27">
        <v>35392.99</v>
      </c>
      <c r="K543" s="27">
        <v>4000000</v>
      </c>
    </row>
    <row r="544" spans="1:11" ht="12.75" customHeight="1" x14ac:dyDescent="0.2">
      <c r="A544" t="s">
        <v>1668</v>
      </c>
      <c r="B544" t="s">
        <v>1669</v>
      </c>
      <c r="C544">
        <v>2023</v>
      </c>
      <c r="D544" s="18">
        <v>45265</v>
      </c>
      <c r="E544" s="18">
        <v>45630</v>
      </c>
      <c r="F544" s="18" t="s">
        <v>611</v>
      </c>
      <c r="G544" t="s">
        <v>102</v>
      </c>
      <c r="H544">
        <v>1</v>
      </c>
      <c r="I544">
        <v>1</v>
      </c>
      <c r="J544" s="27">
        <v>17213.509999999998</v>
      </c>
      <c r="K544" s="27">
        <v>2500000</v>
      </c>
    </row>
    <row r="545" spans="1:11" ht="12.75" customHeight="1" x14ac:dyDescent="0.2">
      <c r="A545" t="s">
        <v>1670</v>
      </c>
      <c r="B545" t="s">
        <v>1671</v>
      </c>
      <c r="C545">
        <v>2023</v>
      </c>
      <c r="D545" s="18">
        <v>45266</v>
      </c>
      <c r="E545" s="18">
        <v>45631</v>
      </c>
      <c r="F545" s="18" t="s">
        <v>608</v>
      </c>
      <c r="G545" t="s">
        <v>100</v>
      </c>
      <c r="H545">
        <v>3</v>
      </c>
      <c r="I545">
        <v>3</v>
      </c>
      <c r="J545" s="27">
        <v>12658.09</v>
      </c>
      <c r="K545" s="27">
        <v>1000000</v>
      </c>
    </row>
    <row r="546" spans="1:11" ht="12.75" customHeight="1" x14ac:dyDescent="0.2">
      <c r="A546" t="s">
        <v>1672</v>
      </c>
      <c r="B546" t="s">
        <v>1673</v>
      </c>
      <c r="C546">
        <v>2023</v>
      </c>
      <c r="D546" s="18">
        <v>45266</v>
      </c>
      <c r="E546" s="18">
        <v>45631</v>
      </c>
      <c r="F546" s="18" t="s">
        <v>608</v>
      </c>
      <c r="G546" t="s">
        <v>101</v>
      </c>
      <c r="H546">
        <v>1</v>
      </c>
      <c r="I546">
        <v>2</v>
      </c>
      <c r="J546" s="27">
        <v>14821.4</v>
      </c>
      <c r="K546" s="27">
        <v>1000000</v>
      </c>
    </row>
    <row r="547" spans="1:11" ht="12.75" customHeight="1" x14ac:dyDescent="0.2">
      <c r="A547" t="s">
        <v>1674</v>
      </c>
      <c r="B547" t="s">
        <v>1675</v>
      </c>
      <c r="C547">
        <v>2023</v>
      </c>
      <c r="D547" s="18">
        <v>45266</v>
      </c>
      <c r="E547" s="18">
        <v>45631</v>
      </c>
      <c r="F547" s="18" t="s">
        <v>608</v>
      </c>
      <c r="G547" t="s">
        <v>102</v>
      </c>
      <c r="H547">
        <v>2</v>
      </c>
      <c r="I547">
        <v>4</v>
      </c>
      <c r="J547" s="27">
        <v>15313.6</v>
      </c>
      <c r="K547" s="27">
        <v>2000000</v>
      </c>
    </row>
    <row r="548" spans="1:11" ht="12.75" customHeight="1" x14ac:dyDescent="0.2">
      <c r="A548" t="s">
        <v>1676</v>
      </c>
      <c r="B548" t="s">
        <v>1677</v>
      </c>
      <c r="C548">
        <v>2023</v>
      </c>
      <c r="D548" s="18">
        <v>45266</v>
      </c>
      <c r="E548" s="18">
        <v>45631</v>
      </c>
      <c r="F548" s="18" t="s">
        <v>608</v>
      </c>
      <c r="G548" t="s">
        <v>100</v>
      </c>
      <c r="H548">
        <v>1</v>
      </c>
      <c r="I548">
        <v>1</v>
      </c>
      <c r="J548" s="27">
        <v>24936.16</v>
      </c>
      <c r="K548" s="27">
        <v>2000000</v>
      </c>
    </row>
    <row r="549" spans="1:11" ht="12.75" customHeight="1" x14ac:dyDescent="0.2">
      <c r="A549" t="s">
        <v>1678</v>
      </c>
      <c r="B549" t="s">
        <v>1679</v>
      </c>
      <c r="C549">
        <v>2023</v>
      </c>
      <c r="D549" s="18">
        <v>45266</v>
      </c>
      <c r="E549" s="18">
        <v>45631</v>
      </c>
      <c r="F549" s="18" t="s">
        <v>608</v>
      </c>
      <c r="G549" t="s">
        <v>99</v>
      </c>
      <c r="H549">
        <v>1</v>
      </c>
      <c r="I549">
        <v>1</v>
      </c>
      <c r="J549" s="27">
        <v>36225</v>
      </c>
      <c r="K549" s="27">
        <v>4500000</v>
      </c>
    </row>
    <row r="550" spans="1:11" ht="12.75" customHeight="1" x14ac:dyDescent="0.2">
      <c r="A550" t="s">
        <v>1680</v>
      </c>
      <c r="B550" t="s">
        <v>1681</v>
      </c>
      <c r="C550">
        <v>2023</v>
      </c>
      <c r="D550" s="18">
        <v>45266</v>
      </c>
      <c r="E550" s="18">
        <v>45631</v>
      </c>
      <c r="F550" s="18" t="s">
        <v>608</v>
      </c>
      <c r="G550" t="s">
        <v>101</v>
      </c>
      <c r="H550">
        <v>2</v>
      </c>
      <c r="I550">
        <v>2</v>
      </c>
      <c r="J550" s="27">
        <v>79313.399999999994</v>
      </c>
      <c r="K550" s="27">
        <v>5000000</v>
      </c>
    </row>
    <row r="551" spans="1:11" ht="12.75" customHeight="1" x14ac:dyDescent="0.2">
      <c r="A551" t="s">
        <v>1682</v>
      </c>
      <c r="B551" t="s">
        <v>1683</v>
      </c>
      <c r="C551">
        <v>2023</v>
      </c>
      <c r="D551" s="18">
        <v>45266</v>
      </c>
      <c r="E551" s="18">
        <v>45631</v>
      </c>
      <c r="F551" s="18" t="s">
        <v>611</v>
      </c>
      <c r="G551" t="s">
        <v>99</v>
      </c>
      <c r="H551">
        <v>1</v>
      </c>
      <c r="I551">
        <v>2</v>
      </c>
      <c r="J551" s="27">
        <v>82090.06</v>
      </c>
      <c r="K551" s="27">
        <v>10000000</v>
      </c>
    </row>
    <row r="552" spans="1:11" ht="12.75" customHeight="1" x14ac:dyDescent="0.2">
      <c r="A552" t="s">
        <v>1684</v>
      </c>
      <c r="B552" t="s">
        <v>1685</v>
      </c>
      <c r="C552">
        <v>2023</v>
      </c>
      <c r="D552" s="18">
        <v>45266</v>
      </c>
      <c r="E552" s="18">
        <v>45631</v>
      </c>
      <c r="F552" s="18" t="s">
        <v>611</v>
      </c>
      <c r="G552" t="s">
        <v>101</v>
      </c>
      <c r="H552">
        <v>1</v>
      </c>
      <c r="I552">
        <v>1</v>
      </c>
      <c r="J552" s="27">
        <v>65117.58</v>
      </c>
      <c r="K552" s="27">
        <v>4000000</v>
      </c>
    </row>
    <row r="553" spans="1:11" ht="12.75" customHeight="1" x14ac:dyDescent="0.2">
      <c r="A553" t="s">
        <v>1686</v>
      </c>
      <c r="B553" t="s">
        <v>1687</v>
      </c>
      <c r="C553">
        <v>2023</v>
      </c>
      <c r="D553" s="18">
        <v>45266</v>
      </c>
      <c r="E553" s="18">
        <v>45631</v>
      </c>
      <c r="F553" s="18" t="s">
        <v>611</v>
      </c>
      <c r="G553" t="s">
        <v>99</v>
      </c>
      <c r="H553">
        <v>1</v>
      </c>
      <c r="I553">
        <v>2</v>
      </c>
      <c r="J553" s="27">
        <v>16269.59</v>
      </c>
      <c r="K553" s="27">
        <v>2000000</v>
      </c>
    </row>
    <row r="554" spans="1:11" ht="12.75" customHeight="1" x14ac:dyDescent="0.2">
      <c r="A554" t="s">
        <v>1688</v>
      </c>
      <c r="B554" t="s">
        <v>1689</v>
      </c>
      <c r="C554">
        <v>2023</v>
      </c>
      <c r="D554" s="18">
        <v>45266</v>
      </c>
      <c r="E554" s="18">
        <v>45631</v>
      </c>
      <c r="F554" s="18" t="s">
        <v>611</v>
      </c>
      <c r="G554" t="s">
        <v>101</v>
      </c>
      <c r="H554">
        <v>2</v>
      </c>
      <c r="I554">
        <v>2</v>
      </c>
      <c r="J554" s="27">
        <v>67923.23</v>
      </c>
      <c r="K554" s="27">
        <v>4000000</v>
      </c>
    </row>
    <row r="555" spans="1:11" ht="12.75" customHeight="1" x14ac:dyDescent="0.2">
      <c r="A555" t="s">
        <v>1690</v>
      </c>
      <c r="B555" t="s">
        <v>1691</v>
      </c>
      <c r="C555">
        <v>2023</v>
      </c>
      <c r="D555" s="18">
        <v>45266</v>
      </c>
      <c r="E555" s="18">
        <v>45631</v>
      </c>
      <c r="F555" s="18" t="s">
        <v>611</v>
      </c>
      <c r="G555" t="s">
        <v>100</v>
      </c>
      <c r="H555">
        <v>1</v>
      </c>
      <c r="I555">
        <v>2</v>
      </c>
      <c r="J555" s="27">
        <v>11390.82</v>
      </c>
      <c r="K555" s="27">
        <v>1000000</v>
      </c>
    </row>
    <row r="556" spans="1:11" ht="12.75" customHeight="1" x14ac:dyDescent="0.2">
      <c r="A556" t="s">
        <v>1692</v>
      </c>
      <c r="B556" t="s">
        <v>1693</v>
      </c>
      <c r="C556">
        <v>2023</v>
      </c>
      <c r="D556" s="18">
        <v>45267</v>
      </c>
      <c r="E556" s="18">
        <v>45632</v>
      </c>
      <c r="F556" s="18" t="s">
        <v>608</v>
      </c>
      <c r="G556" t="s">
        <v>100</v>
      </c>
      <c r="H556">
        <v>3</v>
      </c>
      <c r="I556">
        <v>3</v>
      </c>
      <c r="J556" s="27">
        <v>129171.7</v>
      </c>
      <c r="K556" s="27">
        <v>10000000</v>
      </c>
    </row>
    <row r="557" spans="1:11" ht="12.75" customHeight="1" x14ac:dyDescent="0.2">
      <c r="A557" t="s">
        <v>1694</v>
      </c>
      <c r="B557" t="s">
        <v>1695</v>
      </c>
      <c r="C557">
        <v>2023</v>
      </c>
      <c r="D557" s="18">
        <v>45267</v>
      </c>
      <c r="E557" s="18">
        <v>45632</v>
      </c>
      <c r="F557" s="18" t="s">
        <v>608</v>
      </c>
      <c r="G557" t="s">
        <v>100</v>
      </c>
      <c r="H557">
        <v>2</v>
      </c>
      <c r="I557">
        <v>2</v>
      </c>
      <c r="J557" s="27">
        <v>33308.14</v>
      </c>
      <c r="K557" s="27">
        <v>2500000</v>
      </c>
    </row>
    <row r="558" spans="1:11" ht="12.75" customHeight="1" x14ac:dyDescent="0.2">
      <c r="A558" t="s">
        <v>1696</v>
      </c>
      <c r="B558" t="s">
        <v>1697</v>
      </c>
      <c r="C558">
        <v>2023</v>
      </c>
      <c r="D558" s="18">
        <v>45267</v>
      </c>
      <c r="E558" s="18">
        <v>45632</v>
      </c>
      <c r="F558" s="18" t="s">
        <v>611</v>
      </c>
      <c r="G558" t="s">
        <v>99</v>
      </c>
      <c r="H558">
        <v>1</v>
      </c>
      <c r="I558">
        <v>1</v>
      </c>
      <c r="J558" s="27">
        <v>18015.7</v>
      </c>
      <c r="K558" s="27">
        <v>2000000</v>
      </c>
    </row>
    <row r="559" spans="1:11" ht="12.75" customHeight="1" x14ac:dyDescent="0.2">
      <c r="A559" t="s">
        <v>1698</v>
      </c>
      <c r="B559" t="s">
        <v>1699</v>
      </c>
      <c r="C559">
        <v>2023</v>
      </c>
      <c r="D559" s="18">
        <v>45267</v>
      </c>
      <c r="E559" s="18">
        <v>45632</v>
      </c>
      <c r="F559" s="18" t="s">
        <v>611</v>
      </c>
      <c r="G559" t="s">
        <v>101</v>
      </c>
      <c r="H559">
        <v>2</v>
      </c>
      <c r="I559">
        <v>2</v>
      </c>
      <c r="J559" s="27">
        <v>14252.82</v>
      </c>
      <c r="K559" s="27">
        <v>1000000</v>
      </c>
    </row>
    <row r="560" spans="1:11" ht="12.75" customHeight="1" x14ac:dyDescent="0.2">
      <c r="A560" t="s">
        <v>1700</v>
      </c>
      <c r="B560" t="s">
        <v>1701</v>
      </c>
      <c r="C560">
        <v>2023</v>
      </c>
      <c r="D560" s="18">
        <v>45267</v>
      </c>
      <c r="E560" s="18">
        <v>45632</v>
      </c>
      <c r="F560" s="18" t="s">
        <v>611</v>
      </c>
      <c r="G560" t="s">
        <v>101</v>
      </c>
      <c r="H560">
        <v>1</v>
      </c>
      <c r="I560">
        <v>2</v>
      </c>
      <c r="J560" s="27">
        <v>71004.100000000006</v>
      </c>
      <c r="K560" s="27">
        <v>5000000</v>
      </c>
    </row>
    <row r="561" spans="1:11" ht="12.75" customHeight="1" x14ac:dyDescent="0.2">
      <c r="A561" t="s">
        <v>1702</v>
      </c>
      <c r="B561" t="s">
        <v>1703</v>
      </c>
      <c r="C561">
        <v>2023</v>
      </c>
      <c r="D561" s="18">
        <v>45267</v>
      </c>
      <c r="E561" s="18">
        <v>45632</v>
      </c>
      <c r="F561" s="18" t="s">
        <v>611</v>
      </c>
      <c r="G561" t="s">
        <v>99</v>
      </c>
      <c r="H561">
        <v>2</v>
      </c>
      <c r="I561">
        <v>4</v>
      </c>
      <c r="J561" s="27">
        <v>25478.81</v>
      </c>
      <c r="K561" s="27">
        <v>3000000</v>
      </c>
    </row>
    <row r="562" spans="1:11" ht="12.75" customHeight="1" x14ac:dyDescent="0.2">
      <c r="A562" t="s">
        <v>1704</v>
      </c>
      <c r="B562" t="s">
        <v>1705</v>
      </c>
      <c r="C562">
        <v>2023</v>
      </c>
      <c r="D562" s="18">
        <v>45267</v>
      </c>
      <c r="E562" s="18">
        <v>45632</v>
      </c>
      <c r="F562" s="18" t="s">
        <v>611</v>
      </c>
      <c r="G562" t="s">
        <v>100</v>
      </c>
      <c r="H562">
        <v>1</v>
      </c>
      <c r="I562">
        <v>2</v>
      </c>
      <c r="J562" s="27">
        <v>33297.370000000003</v>
      </c>
      <c r="K562" s="27">
        <v>2500000</v>
      </c>
    </row>
    <row r="563" spans="1:11" ht="12.75" customHeight="1" x14ac:dyDescent="0.2">
      <c r="A563" t="s">
        <v>1706</v>
      </c>
      <c r="B563" t="s">
        <v>1707</v>
      </c>
      <c r="C563">
        <v>2023</v>
      </c>
      <c r="D563" s="18">
        <v>45268</v>
      </c>
      <c r="E563" s="18">
        <v>45633</v>
      </c>
      <c r="F563" s="18" t="s">
        <v>608</v>
      </c>
      <c r="G563" t="s">
        <v>102</v>
      </c>
      <c r="H563">
        <v>1</v>
      </c>
      <c r="I563">
        <v>2</v>
      </c>
      <c r="J563" s="27">
        <v>26728.81</v>
      </c>
      <c r="K563" s="27">
        <v>4000000</v>
      </c>
    </row>
    <row r="564" spans="1:11" ht="12.75" customHeight="1" x14ac:dyDescent="0.2">
      <c r="A564" t="s">
        <v>1708</v>
      </c>
      <c r="B564" t="s">
        <v>1709</v>
      </c>
      <c r="C564">
        <v>2023</v>
      </c>
      <c r="D564" s="18">
        <v>45268</v>
      </c>
      <c r="E564" s="18">
        <v>45633</v>
      </c>
      <c r="F564" s="18" t="s">
        <v>608</v>
      </c>
      <c r="G564" t="s">
        <v>101</v>
      </c>
      <c r="H564">
        <v>1</v>
      </c>
      <c r="I564">
        <v>2</v>
      </c>
      <c r="J564" s="27">
        <v>45169.29</v>
      </c>
      <c r="K564" s="27">
        <v>3000000</v>
      </c>
    </row>
    <row r="565" spans="1:11" ht="12.75" customHeight="1" x14ac:dyDescent="0.2">
      <c r="A565" t="s">
        <v>1710</v>
      </c>
      <c r="B565" t="s">
        <v>1711</v>
      </c>
      <c r="C565">
        <v>2023</v>
      </c>
      <c r="D565" s="18">
        <v>45268</v>
      </c>
      <c r="E565" s="18">
        <v>45633</v>
      </c>
      <c r="F565" s="18" t="s">
        <v>608</v>
      </c>
      <c r="G565" t="s">
        <v>101</v>
      </c>
      <c r="H565">
        <v>1</v>
      </c>
      <c r="I565">
        <v>2</v>
      </c>
      <c r="J565" s="27">
        <v>30872.67</v>
      </c>
      <c r="K565" s="27">
        <v>2000000</v>
      </c>
    </row>
    <row r="566" spans="1:11" ht="12.75" customHeight="1" x14ac:dyDescent="0.2">
      <c r="A566" t="s">
        <v>1712</v>
      </c>
      <c r="B566" t="s">
        <v>1713</v>
      </c>
      <c r="C566">
        <v>2023</v>
      </c>
      <c r="D566" s="18">
        <v>45268</v>
      </c>
      <c r="E566" s="18">
        <v>45633</v>
      </c>
      <c r="F566" s="18" t="s">
        <v>611</v>
      </c>
      <c r="G566" t="s">
        <v>101</v>
      </c>
      <c r="H566">
        <v>1</v>
      </c>
      <c r="I566">
        <v>2</v>
      </c>
      <c r="J566" s="27">
        <v>76120.179999999993</v>
      </c>
      <c r="K566" s="27">
        <v>4500000</v>
      </c>
    </row>
    <row r="567" spans="1:11" ht="12.75" customHeight="1" x14ac:dyDescent="0.2">
      <c r="A567" t="s">
        <v>1714</v>
      </c>
      <c r="B567" t="s">
        <v>1715</v>
      </c>
      <c r="C567">
        <v>2023</v>
      </c>
      <c r="D567" s="18">
        <v>45268</v>
      </c>
      <c r="E567" s="18">
        <v>45633</v>
      </c>
      <c r="F567" s="18" t="s">
        <v>611</v>
      </c>
      <c r="G567" t="s">
        <v>99</v>
      </c>
      <c r="H567">
        <v>1</v>
      </c>
      <c r="I567">
        <v>1</v>
      </c>
      <c r="J567" s="27">
        <v>88489.45</v>
      </c>
      <c r="K567" s="27">
        <v>10000000</v>
      </c>
    </row>
    <row r="568" spans="1:11" ht="12.75" customHeight="1" x14ac:dyDescent="0.2">
      <c r="A568" t="s">
        <v>1716</v>
      </c>
      <c r="B568" t="s">
        <v>1717</v>
      </c>
      <c r="C568">
        <v>2023</v>
      </c>
      <c r="D568" s="18">
        <v>45268</v>
      </c>
      <c r="E568" s="18">
        <v>45633</v>
      </c>
      <c r="F568" s="18" t="s">
        <v>611</v>
      </c>
      <c r="G568" t="s">
        <v>101</v>
      </c>
      <c r="H568">
        <v>3</v>
      </c>
      <c r="I568">
        <v>3</v>
      </c>
      <c r="J568" s="27">
        <v>25323.55</v>
      </c>
      <c r="K568" s="27">
        <v>1500000</v>
      </c>
    </row>
    <row r="569" spans="1:11" ht="12.75" customHeight="1" x14ac:dyDescent="0.2">
      <c r="A569" t="s">
        <v>1718</v>
      </c>
      <c r="B569" t="s">
        <v>1719</v>
      </c>
      <c r="C569">
        <v>2023</v>
      </c>
      <c r="D569" s="18">
        <v>45268</v>
      </c>
      <c r="E569" s="18">
        <v>45633</v>
      </c>
      <c r="F569" s="18" t="s">
        <v>611</v>
      </c>
      <c r="G569" t="s">
        <v>100</v>
      </c>
      <c r="H569">
        <v>3</v>
      </c>
      <c r="I569">
        <v>3</v>
      </c>
      <c r="J569" s="27">
        <v>44152.81</v>
      </c>
      <c r="K569" s="27">
        <v>4000000</v>
      </c>
    </row>
    <row r="570" spans="1:11" ht="12.75" customHeight="1" x14ac:dyDescent="0.2">
      <c r="A570" t="s">
        <v>1720</v>
      </c>
      <c r="B570" t="s">
        <v>1721</v>
      </c>
      <c r="C570">
        <v>2023</v>
      </c>
      <c r="D570" s="18">
        <v>45268</v>
      </c>
      <c r="E570" s="18">
        <v>45633</v>
      </c>
      <c r="F570" s="18" t="s">
        <v>611</v>
      </c>
      <c r="G570" t="s">
        <v>102</v>
      </c>
      <c r="H570">
        <v>1</v>
      </c>
      <c r="I570">
        <v>2</v>
      </c>
      <c r="J570" s="27">
        <v>31522.27</v>
      </c>
      <c r="K570" s="27">
        <v>4000000</v>
      </c>
    </row>
    <row r="571" spans="1:11" ht="12.75" customHeight="1" x14ac:dyDescent="0.2">
      <c r="A571" t="s">
        <v>1722</v>
      </c>
      <c r="B571" t="s">
        <v>1723</v>
      </c>
      <c r="C571">
        <v>2023</v>
      </c>
      <c r="D571" s="18">
        <v>45268</v>
      </c>
      <c r="E571" s="18">
        <v>45633</v>
      </c>
      <c r="F571" s="18" t="s">
        <v>611</v>
      </c>
      <c r="G571" t="s">
        <v>99</v>
      </c>
      <c r="H571">
        <v>2</v>
      </c>
      <c r="I571">
        <v>4</v>
      </c>
      <c r="J571" s="27">
        <v>30818.880000000001</v>
      </c>
      <c r="K571" s="27">
        <v>3500000</v>
      </c>
    </row>
    <row r="572" spans="1:11" ht="12.75" customHeight="1" x14ac:dyDescent="0.2">
      <c r="A572" t="s">
        <v>1724</v>
      </c>
      <c r="B572" t="s">
        <v>1725</v>
      </c>
      <c r="C572">
        <v>2023</v>
      </c>
      <c r="D572" s="18">
        <v>45268</v>
      </c>
      <c r="E572" s="18">
        <v>45633</v>
      </c>
      <c r="F572" s="18" t="s">
        <v>611</v>
      </c>
      <c r="G572" t="s">
        <v>102</v>
      </c>
      <c r="H572">
        <v>2</v>
      </c>
      <c r="I572">
        <v>2</v>
      </c>
      <c r="J572" s="27">
        <v>34422.11</v>
      </c>
      <c r="K572" s="27">
        <v>5000000</v>
      </c>
    </row>
    <row r="573" spans="1:11" ht="12.75" customHeight="1" x14ac:dyDescent="0.2">
      <c r="A573" t="s">
        <v>1726</v>
      </c>
      <c r="B573" t="s">
        <v>1727</v>
      </c>
      <c r="C573">
        <v>2023</v>
      </c>
      <c r="D573" s="18">
        <v>45268</v>
      </c>
      <c r="E573" s="18">
        <v>45633</v>
      </c>
      <c r="F573" s="18" t="s">
        <v>611</v>
      </c>
      <c r="G573" t="s">
        <v>100</v>
      </c>
      <c r="H573">
        <v>1</v>
      </c>
      <c r="I573">
        <v>1</v>
      </c>
      <c r="J573" s="27">
        <v>18464.12</v>
      </c>
      <c r="K573" s="27">
        <v>1500000</v>
      </c>
    </row>
    <row r="574" spans="1:11" ht="12.75" customHeight="1" x14ac:dyDescent="0.2">
      <c r="A574" t="s">
        <v>1728</v>
      </c>
      <c r="B574" t="s">
        <v>1729</v>
      </c>
      <c r="C574">
        <v>2023</v>
      </c>
      <c r="D574" s="18">
        <v>45269</v>
      </c>
      <c r="E574" s="18">
        <v>45634</v>
      </c>
      <c r="F574" s="18" t="s">
        <v>608</v>
      </c>
      <c r="G574" t="s">
        <v>100</v>
      </c>
      <c r="H574">
        <v>1</v>
      </c>
      <c r="I574">
        <v>2</v>
      </c>
      <c r="J574" s="27">
        <v>29055.97</v>
      </c>
      <c r="K574" s="27">
        <v>2500000</v>
      </c>
    </row>
    <row r="575" spans="1:11" ht="12.75" customHeight="1" x14ac:dyDescent="0.2">
      <c r="A575" t="s">
        <v>1730</v>
      </c>
      <c r="B575" t="s">
        <v>1731</v>
      </c>
      <c r="C575">
        <v>2023</v>
      </c>
      <c r="D575" s="18">
        <v>45269</v>
      </c>
      <c r="E575" s="18">
        <v>45634</v>
      </c>
      <c r="F575" s="18" t="s">
        <v>608</v>
      </c>
      <c r="G575" t="s">
        <v>99</v>
      </c>
      <c r="H575">
        <v>3</v>
      </c>
      <c r="I575">
        <v>6</v>
      </c>
      <c r="J575" s="27">
        <v>43671.65</v>
      </c>
      <c r="K575" s="27">
        <v>5000000</v>
      </c>
    </row>
    <row r="576" spans="1:11" ht="12.75" customHeight="1" x14ac:dyDescent="0.2">
      <c r="A576" t="s">
        <v>1732</v>
      </c>
      <c r="B576" t="s">
        <v>1733</v>
      </c>
      <c r="C576">
        <v>2023</v>
      </c>
      <c r="D576" s="18">
        <v>45269</v>
      </c>
      <c r="E576" s="18">
        <v>45634</v>
      </c>
      <c r="F576" s="18" t="s">
        <v>611</v>
      </c>
      <c r="G576" t="s">
        <v>99</v>
      </c>
      <c r="H576">
        <v>2</v>
      </c>
      <c r="I576">
        <v>2</v>
      </c>
      <c r="J576" s="27">
        <v>3753.56</v>
      </c>
      <c r="K576" s="27">
        <v>500000</v>
      </c>
    </row>
    <row r="577" spans="1:11" ht="12.75" customHeight="1" x14ac:dyDescent="0.2">
      <c r="A577" t="s">
        <v>1734</v>
      </c>
      <c r="B577" t="s">
        <v>1735</v>
      </c>
      <c r="C577">
        <v>2023</v>
      </c>
      <c r="D577" s="18">
        <v>45269</v>
      </c>
      <c r="E577" s="18">
        <v>45634</v>
      </c>
      <c r="F577" s="18" t="s">
        <v>611</v>
      </c>
      <c r="G577" t="s">
        <v>101</v>
      </c>
      <c r="H577">
        <v>1</v>
      </c>
      <c r="I577">
        <v>1</v>
      </c>
      <c r="J577" s="27">
        <v>17062.599999999999</v>
      </c>
      <c r="K577" s="27">
        <v>1000000</v>
      </c>
    </row>
    <row r="578" spans="1:11" ht="12.75" customHeight="1" x14ac:dyDescent="0.2">
      <c r="A578" t="s">
        <v>1736</v>
      </c>
      <c r="B578" t="s">
        <v>1737</v>
      </c>
      <c r="C578">
        <v>2023</v>
      </c>
      <c r="D578" s="18">
        <v>45269</v>
      </c>
      <c r="E578" s="18">
        <v>45634</v>
      </c>
      <c r="F578" s="18" t="s">
        <v>611</v>
      </c>
      <c r="G578" t="s">
        <v>99</v>
      </c>
      <c r="H578">
        <v>1</v>
      </c>
      <c r="I578">
        <v>1</v>
      </c>
      <c r="J578" s="27">
        <v>15813.76</v>
      </c>
      <c r="K578" s="27">
        <v>2000000</v>
      </c>
    </row>
    <row r="579" spans="1:11" ht="12.75" customHeight="1" x14ac:dyDescent="0.2">
      <c r="A579" t="s">
        <v>1738</v>
      </c>
      <c r="B579" t="s">
        <v>1739</v>
      </c>
      <c r="C579">
        <v>2023</v>
      </c>
      <c r="D579" s="18">
        <v>45270</v>
      </c>
      <c r="E579" s="18">
        <v>45635</v>
      </c>
      <c r="F579" s="18" t="s">
        <v>608</v>
      </c>
      <c r="G579" t="s">
        <v>99</v>
      </c>
      <c r="H579">
        <v>3</v>
      </c>
      <c r="I579">
        <v>6</v>
      </c>
      <c r="J579" s="27">
        <v>79661.350000000006</v>
      </c>
      <c r="K579" s="27">
        <v>10000000</v>
      </c>
    </row>
    <row r="580" spans="1:11" ht="12.75" customHeight="1" x14ac:dyDescent="0.2">
      <c r="A580" t="s">
        <v>1740</v>
      </c>
      <c r="B580" t="s">
        <v>1741</v>
      </c>
      <c r="C580">
        <v>2023</v>
      </c>
      <c r="D580" s="18">
        <v>45270</v>
      </c>
      <c r="E580" s="18">
        <v>45635</v>
      </c>
      <c r="F580" s="18" t="s">
        <v>608</v>
      </c>
      <c r="G580" t="s">
        <v>101</v>
      </c>
      <c r="H580">
        <v>3</v>
      </c>
      <c r="I580">
        <v>6</v>
      </c>
      <c r="J580" s="27">
        <v>170003.21</v>
      </c>
      <c r="K580" s="27">
        <v>10000000</v>
      </c>
    </row>
    <row r="581" spans="1:11" ht="12.75" customHeight="1" x14ac:dyDescent="0.2">
      <c r="A581" t="s">
        <v>1742</v>
      </c>
      <c r="B581" t="s">
        <v>1743</v>
      </c>
      <c r="C581">
        <v>2023</v>
      </c>
      <c r="D581" s="18">
        <v>45270</v>
      </c>
      <c r="E581" s="18">
        <v>45635</v>
      </c>
      <c r="F581" s="18" t="s">
        <v>611</v>
      </c>
      <c r="G581" t="s">
        <v>101</v>
      </c>
      <c r="H581">
        <v>2</v>
      </c>
      <c r="I581">
        <v>4</v>
      </c>
      <c r="J581" s="27">
        <v>150085.24</v>
      </c>
      <c r="K581" s="27">
        <v>10000000</v>
      </c>
    </row>
    <row r="582" spans="1:11" ht="12.75" customHeight="1" x14ac:dyDescent="0.2">
      <c r="A582" t="s">
        <v>1744</v>
      </c>
      <c r="B582" t="s">
        <v>1745</v>
      </c>
      <c r="C582">
        <v>2023</v>
      </c>
      <c r="D582" s="18">
        <v>45270</v>
      </c>
      <c r="E582" s="18">
        <v>45635</v>
      </c>
      <c r="F582" s="18" t="s">
        <v>611</v>
      </c>
      <c r="G582" t="s">
        <v>100</v>
      </c>
      <c r="H582">
        <v>3</v>
      </c>
      <c r="I582">
        <v>6</v>
      </c>
      <c r="J582" s="27">
        <v>57484.47</v>
      </c>
      <c r="K582" s="27">
        <v>4500000</v>
      </c>
    </row>
    <row r="583" spans="1:11" ht="12.75" customHeight="1" x14ac:dyDescent="0.2">
      <c r="A583" t="s">
        <v>1746</v>
      </c>
      <c r="B583" t="s">
        <v>1747</v>
      </c>
      <c r="C583">
        <v>2023</v>
      </c>
      <c r="D583" s="18">
        <v>45270</v>
      </c>
      <c r="E583" s="18">
        <v>45635</v>
      </c>
      <c r="F583" s="18" t="s">
        <v>611</v>
      </c>
      <c r="G583" t="s">
        <v>100</v>
      </c>
      <c r="H583">
        <v>2</v>
      </c>
      <c r="I583">
        <v>4</v>
      </c>
      <c r="J583" s="27">
        <v>12062.03</v>
      </c>
      <c r="K583" s="27">
        <v>1000000</v>
      </c>
    </row>
    <row r="584" spans="1:11" ht="12.75" customHeight="1" x14ac:dyDescent="0.2">
      <c r="A584" t="s">
        <v>1748</v>
      </c>
      <c r="B584" t="s">
        <v>1749</v>
      </c>
      <c r="C584">
        <v>2023</v>
      </c>
      <c r="D584" s="18">
        <v>45270</v>
      </c>
      <c r="E584" s="18">
        <v>45635</v>
      </c>
      <c r="F584" s="18" t="s">
        <v>611</v>
      </c>
      <c r="G584" t="s">
        <v>101</v>
      </c>
      <c r="H584">
        <v>2</v>
      </c>
      <c r="I584">
        <v>2</v>
      </c>
      <c r="J584" s="27">
        <v>45911.77</v>
      </c>
      <c r="K584" s="27">
        <v>3000000</v>
      </c>
    </row>
    <row r="585" spans="1:11" ht="12.75" customHeight="1" x14ac:dyDescent="0.2">
      <c r="A585" t="s">
        <v>1750</v>
      </c>
      <c r="B585" t="s">
        <v>1751</v>
      </c>
      <c r="C585">
        <v>2023</v>
      </c>
      <c r="D585" s="18">
        <v>45271</v>
      </c>
      <c r="E585" s="18">
        <v>45636</v>
      </c>
      <c r="F585" s="18" t="s">
        <v>608</v>
      </c>
      <c r="G585" t="s">
        <v>101</v>
      </c>
      <c r="H585">
        <v>2</v>
      </c>
      <c r="I585">
        <v>4</v>
      </c>
      <c r="J585" s="27">
        <v>85217.17</v>
      </c>
      <c r="K585" s="27">
        <v>5000000</v>
      </c>
    </row>
    <row r="586" spans="1:11" ht="12.75" customHeight="1" x14ac:dyDescent="0.2">
      <c r="A586" t="s">
        <v>1752</v>
      </c>
      <c r="B586" t="s">
        <v>1753</v>
      </c>
      <c r="C586">
        <v>2023</v>
      </c>
      <c r="D586" s="18">
        <v>45271</v>
      </c>
      <c r="E586" s="18">
        <v>45636</v>
      </c>
      <c r="F586" s="18" t="s">
        <v>608</v>
      </c>
      <c r="G586" t="s">
        <v>100</v>
      </c>
      <c r="H586">
        <v>3</v>
      </c>
      <c r="I586">
        <v>6</v>
      </c>
      <c r="J586" s="27">
        <v>24092.560000000001</v>
      </c>
      <c r="K586" s="27">
        <v>2000000</v>
      </c>
    </row>
    <row r="587" spans="1:11" ht="12.75" customHeight="1" x14ac:dyDescent="0.2">
      <c r="A587" t="s">
        <v>1754</v>
      </c>
      <c r="B587" t="s">
        <v>1755</v>
      </c>
      <c r="C587">
        <v>2023</v>
      </c>
      <c r="D587" s="18">
        <v>45271</v>
      </c>
      <c r="E587" s="18">
        <v>45636</v>
      </c>
      <c r="F587" s="18" t="s">
        <v>611</v>
      </c>
      <c r="G587" t="s">
        <v>99</v>
      </c>
      <c r="H587">
        <v>2</v>
      </c>
      <c r="I587">
        <v>2</v>
      </c>
      <c r="J587" s="27">
        <v>89600.72</v>
      </c>
      <c r="K587" s="27">
        <v>10000000</v>
      </c>
    </row>
    <row r="588" spans="1:11" ht="12.75" customHeight="1" x14ac:dyDescent="0.2">
      <c r="A588" t="s">
        <v>1756</v>
      </c>
      <c r="B588" t="s">
        <v>1757</v>
      </c>
      <c r="C588">
        <v>2023</v>
      </c>
      <c r="D588" s="18">
        <v>45271</v>
      </c>
      <c r="E588" s="18">
        <v>45636</v>
      </c>
      <c r="F588" s="18" t="s">
        <v>611</v>
      </c>
      <c r="G588" t="s">
        <v>100</v>
      </c>
      <c r="H588">
        <v>1</v>
      </c>
      <c r="I588">
        <v>1</v>
      </c>
      <c r="J588" s="27">
        <v>12142.38</v>
      </c>
      <c r="K588" s="27">
        <v>1000000</v>
      </c>
    </row>
    <row r="589" spans="1:11" ht="12.75" customHeight="1" x14ac:dyDescent="0.2">
      <c r="A589" t="s">
        <v>1758</v>
      </c>
      <c r="B589" t="s">
        <v>1759</v>
      </c>
      <c r="C589">
        <v>2023</v>
      </c>
      <c r="D589" s="18">
        <v>45271</v>
      </c>
      <c r="E589" s="18">
        <v>45636</v>
      </c>
      <c r="F589" s="18" t="s">
        <v>611</v>
      </c>
      <c r="G589" t="s">
        <v>101</v>
      </c>
      <c r="H589">
        <v>3</v>
      </c>
      <c r="I589">
        <v>6</v>
      </c>
      <c r="J589" s="27">
        <v>38240.83</v>
      </c>
      <c r="K589" s="27">
        <v>2500000</v>
      </c>
    </row>
    <row r="590" spans="1:11" ht="12.75" customHeight="1" x14ac:dyDescent="0.2">
      <c r="A590" t="s">
        <v>1760</v>
      </c>
      <c r="B590" t="s">
        <v>1761</v>
      </c>
      <c r="C590">
        <v>2023</v>
      </c>
      <c r="D590" s="18">
        <v>45271</v>
      </c>
      <c r="E590" s="18">
        <v>45636</v>
      </c>
      <c r="F590" s="18" t="s">
        <v>611</v>
      </c>
      <c r="G590" t="s">
        <v>99</v>
      </c>
      <c r="H590">
        <v>1</v>
      </c>
      <c r="I590">
        <v>2</v>
      </c>
      <c r="J590" s="27">
        <v>37495.32</v>
      </c>
      <c r="K590" s="27">
        <v>5000000</v>
      </c>
    </row>
    <row r="591" spans="1:11" ht="12.75" customHeight="1" x14ac:dyDescent="0.2">
      <c r="A591" t="s">
        <v>1762</v>
      </c>
      <c r="B591" t="s">
        <v>1763</v>
      </c>
      <c r="C591">
        <v>2023</v>
      </c>
      <c r="D591" s="18">
        <v>45272</v>
      </c>
      <c r="E591" s="18">
        <v>45637</v>
      </c>
      <c r="F591" s="18" t="s">
        <v>608</v>
      </c>
      <c r="G591" t="s">
        <v>99</v>
      </c>
      <c r="H591">
        <v>2</v>
      </c>
      <c r="I591">
        <v>2</v>
      </c>
      <c r="J591" s="27">
        <v>13464.3</v>
      </c>
      <c r="K591" s="27">
        <v>1500000</v>
      </c>
    </row>
    <row r="592" spans="1:11" ht="12.75" customHeight="1" x14ac:dyDescent="0.2">
      <c r="A592" t="s">
        <v>1764</v>
      </c>
      <c r="B592" t="s">
        <v>1765</v>
      </c>
      <c r="C592">
        <v>2023</v>
      </c>
      <c r="D592" s="18">
        <v>45272</v>
      </c>
      <c r="E592" s="18">
        <v>45637</v>
      </c>
      <c r="F592" s="18" t="s">
        <v>611</v>
      </c>
      <c r="G592" t="s">
        <v>99</v>
      </c>
      <c r="H592">
        <v>2</v>
      </c>
      <c r="I592">
        <v>4</v>
      </c>
      <c r="J592" s="27">
        <v>77794.740000000005</v>
      </c>
      <c r="K592" s="27">
        <v>10000000</v>
      </c>
    </row>
    <row r="593" spans="1:11" ht="12.75" customHeight="1" x14ac:dyDescent="0.2">
      <c r="A593" t="s">
        <v>1766</v>
      </c>
      <c r="B593" t="s">
        <v>1767</v>
      </c>
      <c r="C593">
        <v>2023</v>
      </c>
      <c r="D593" s="18">
        <v>45272</v>
      </c>
      <c r="E593" s="18">
        <v>45637</v>
      </c>
      <c r="F593" s="18" t="s">
        <v>611</v>
      </c>
      <c r="G593" t="s">
        <v>100</v>
      </c>
      <c r="H593">
        <v>1</v>
      </c>
      <c r="I593">
        <v>2</v>
      </c>
      <c r="J593" s="27">
        <v>40277.629999999997</v>
      </c>
      <c r="K593" s="27">
        <v>3000000</v>
      </c>
    </row>
    <row r="594" spans="1:11" ht="12.75" customHeight="1" x14ac:dyDescent="0.2">
      <c r="A594" t="s">
        <v>1768</v>
      </c>
      <c r="B594" t="s">
        <v>1769</v>
      </c>
      <c r="C594">
        <v>2023</v>
      </c>
      <c r="D594" s="18">
        <v>45272</v>
      </c>
      <c r="E594" s="18">
        <v>45637</v>
      </c>
      <c r="F594" s="18" t="s">
        <v>611</v>
      </c>
      <c r="G594" t="s">
        <v>99</v>
      </c>
      <c r="H594">
        <v>2</v>
      </c>
      <c r="I594">
        <v>2</v>
      </c>
      <c r="J594" s="27">
        <v>90442.65</v>
      </c>
      <c r="K594" s="27">
        <v>10000000</v>
      </c>
    </row>
    <row r="595" spans="1:11" ht="12.75" customHeight="1" x14ac:dyDescent="0.2">
      <c r="A595" t="s">
        <v>1770</v>
      </c>
      <c r="B595" t="s">
        <v>1771</v>
      </c>
      <c r="C595">
        <v>2023</v>
      </c>
      <c r="D595" s="18">
        <v>45273</v>
      </c>
      <c r="E595" s="18">
        <v>45638</v>
      </c>
      <c r="F595" s="18" t="s">
        <v>608</v>
      </c>
      <c r="G595" t="s">
        <v>101</v>
      </c>
      <c r="H595">
        <v>3</v>
      </c>
      <c r="I595">
        <v>3</v>
      </c>
      <c r="J595" s="27">
        <v>64042.35</v>
      </c>
      <c r="K595" s="27">
        <v>4000000</v>
      </c>
    </row>
    <row r="596" spans="1:11" ht="12.75" customHeight="1" x14ac:dyDescent="0.2">
      <c r="A596" t="s">
        <v>1772</v>
      </c>
      <c r="B596" t="s">
        <v>1773</v>
      </c>
      <c r="C596">
        <v>2023</v>
      </c>
      <c r="D596" s="18">
        <v>45273</v>
      </c>
      <c r="E596" s="18">
        <v>45638</v>
      </c>
      <c r="F596" s="18" t="s">
        <v>608</v>
      </c>
      <c r="G596" t="s">
        <v>99</v>
      </c>
      <c r="H596">
        <v>1</v>
      </c>
      <c r="I596">
        <v>1</v>
      </c>
      <c r="J596" s="27">
        <v>15274.87</v>
      </c>
      <c r="K596" s="27">
        <v>2000000</v>
      </c>
    </row>
    <row r="597" spans="1:11" ht="12.75" customHeight="1" x14ac:dyDescent="0.2">
      <c r="A597" t="s">
        <v>1774</v>
      </c>
      <c r="B597" t="s">
        <v>1775</v>
      </c>
      <c r="C597">
        <v>2023</v>
      </c>
      <c r="D597" s="18">
        <v>45273</v>
      </c>
      <c r="E597" s="18">
        <v>45638</v>
      </c>
      <c r="F597" s="18" t="s">
        <v>608</v>
      </c>
      <c r="G597" t="s">
        <v>100</v>
      </c>
      <c r="H597">
        <v>2</v>
      </c>
      <c r="I597">
        <v>4</v>
      </c>
      <c r="J597" s="27">
        <v>51459.86</v>
      </c>
      <c r="K597" s="27">
        <v>4000000</v>
      </c>
    </row>
    <row r="598" spans="1:11" ht="12.75" customHeight="1" x14ac:dyDescent="0.2">
      <c r="A598" t="s">
        <v>1776</v>
      </c>
      <c r="B598" t="s">
        <v>1777</v>
      </c>
      <c r="C598">
        <v>2023</v>
      </c>
      <c r="D598" s="18">
        <v>45273</v>
      </c>
      <c r="E598" s="18">
        <v>45638</v>
      </c>
      <c r="F598" s="18" t="s">
        <v>611</v>
      </c>
      <c r="G598" t="s">
        <v>102</v>
      </c>
      <c r="H598">
        <v>1</v>
      </c>
      <c r="I598">
        <v>1</v>
      </c>
      <c r="J598" s="27">
        <v>64969.63</v>
      </c>
      <c r="K598" s="27">
        <v>10000000</v>
      </c>
    </row>
    <row r="599" spans="1:11" ht="12.75" customHeight="1" x14ac:dyDescent="0.2">
      <c r="A599" t="s">
        <v>1778</v>
      </c>
      <c r="B599" t="s">
        <v>1779</v>
      </c>
      <c r="C599">
        <v>2023</v>
      </c>
      <c r="D599" s="18">
        <v>45273</v>
      </c>
      <c r="E599" s="18">
        <v>45638</v>
      </c>
      <c r="F599" s="18" t="s">
        <v>611</v>
      </c>
      <c r="G599" t="s">
        <v>101</v>
      </c>
      <c r="H599">
        <v>1</v>
      </c>
      <c r="I599">
        <v>2</v>
      </c>
      <c r="J599" s="27">
        <v>16371.02</v>
      </c>
      <c r="K599" s="27">
        <v>1000000</v>
      </c>
    </row>
    <row r="600" spans="1:11" ht="12.75" customHeight="1" x14ac:dyDescent="0.2">
      <c r="A600" t="s">
        <v>1780</v>
      </c>
      <c r="B600" t="s">
        <v>1781</v>
      </c>
      <c r="C600">
        <v>2023</v>
      </c>
      <c r="D600" s="18">
        <v>45274</v>
      </c>
      <c r="E600" s="18">
        <v>45639</v>
      </c>
      <c r="F600" s="18" t="s">
        <v>608</v>
      </c>
      <c r="G600" t="s">
        <v>101</v>
      </c>
      <c r="H600">
        <v>1</v>
      </c>
      <c r="I600">
        <v>2</v>
      </c>
      <c r="J600" s="27">
        <v>144088.56</v>
      </c>
      <c r="K600" s="27">
        <v>10000000</v>
      </c>
    </row>
    <row r="601" spans="1:11" ht="12.75" customHeight="1" x14ac:dyDescent="0.2">
      <c r="A601" t="s">
        <v>1782</v>
      </c>
      <c r="B601" t="s">
        <v>1783</v>
      </c>
      <c r="C601">
        <v>2023</v>
      </c>
      <c r="D601" s="18">
        <v>45274</v>
      </c>
      <c r="E601" s="18">
        <v>45639</v>
      </c>
      <c r="F601" s="18" t="s">
        <v>611</v>
      </c>
      <c r="G601" t="s">
        <v>99</v>
      </c>
      <c r="H601">
        <v>2</v>
      </c>
      <c r="I601">
        <v>4</v>
      </c>
      <c r="J601" s="27">
        <v>38290.559999999998</v>
      </c>
      <c r="K601" s="27">
        <v>5000000</v>
      </c>
    </row>
    <row r="602" spans="1:11" ht="12.75" customHeight="1" x14ac:dyDescent="0.2">
      <c r="A602" t="s">
        <v>1784</v>
      </c>
      <c r="B602" t="s">
        <v>1785</v>
      </c>
      <c r="C602">
        <v>2023</v>
      </c>
      <c r="D602" s="18">
        <v>45274</v>
      </c>
      <c r="E602" s="18">
        <v>45639</v>
      </c>
      <c r="F602" s="18" t="s">
        <v>611</v>
      </c>
      <c r="G602" t="s">
        <v>100</v>
      </c>
      <c r="H602">
        <v>3</v>
      </c>
      <c r="I602">
        <v>3</v>
      </c>
      <c r="J602" s="27">
        <v>28558.880000000001</v>
      </c>
      <c r="K602" s="27">
        <v>2500000</v>
      </c>
    </row>
    <row r="603" spans="1:11" ht="12.75" customHeight="1" x14ac:dyDescent="0.2">
      <c r="A603" t="s">
        <v>1786</v>
      </c>
      <c r="B603" t="s">
        <v>1787</v>
      </c>
      <c r="C603">
        <v>2023</v>
      </c>
      <c r="D603" s="18">
        <v>45274</v>
      </c>
      <c r="E603" s="18">
        <v>45639</v>
      </c>
      <c r="F603" s="18" t="s">
        <v>611</v>
      </c>
      <c r="G603" t="s">
        <v>100</v>
      </c>
      <c r="H603">
        <v>1</v>
      </c>
      <c r="I603">
        <v>1</v>
      </c>
      <c r="J603" s="27">
        <v>28801.25</v>
      </c>
      <c r="K603" s="27">
        <v>2500000</v>
      </c>
    </row>
    <row r="604" spans="1:11" ht="12.75" customHeight="1" x14ac:dyDescent="0.2">
      <c r="A604" t="s">
        <v>1788</v>
      </c>
      <c r="B604" t="s">
        <v>1789</v>
      </c>
      <c r="C604">
        <v>2023</v>
      </c>
      <c r="D604" s="18">
        <v>45274</v>
      </c>
      <c r="E604" s="18">
        <v>45639</v>
      </c>
      <c r="F604" s="18" t="s">
        <v>611</v>
      </c>
      <c r="G604" t="s">
        <v>100</v>
      </c>
      <c r="H604">
        <v>1</v>
      </c>
      <c r="I604">
        <v>2</v>
      </c>
      <c r="J604" s="27">
        <v>60541.04</v>
      </c>
      <c r="K604" s="27">
        <v>5000000</v>
      </c>
    </row>
    <row r="605" spans="1:11" ht="12.75" customHeight="1" x14ac:dyDescent="0.2">
      <c r="A605" t="s">
        <v>1790</v>
      </c>
      <c r="B605" t="s">
        <v>1791</v>
      </c>
      <c r="C605">
        <v>2023</v>
      </c>
      <c r="D605" s="18">
        <v>45274</v>
      </c>
      <c r="E605" s="18">
        <v>45639</v>
      </c>
      <c r="F605" s="18" t="s">
        <v>611</v>
      </c>
      <c r="G605" t="s">
        <v>100</v>
      </c>
      <c r="H605">
        <v>1</v>
      </c>
      <c r="I605">
        <v>1</v>
      </c>
      <c r="J605" s="27">
        <v>44917.599999999999</v>
      </c>
      <c r="K605" s="27">
        <v>4000000</v>
      </c>
    </row>
    <row r="606" spans="1:11" ht="12.75" customHeight="1" x14ac:dyDescent="0.2">
      <c r="A606" t="s">
        <v>1792</v>
      </c>
      <c r="B606" t="s">
        <v>1793</v>
      </c>
      <c r="C606">
        <v>2023</v>
      </c>
      <c r="D606" s="18">
        <v>45274</v>
      </c>
      <c r="E606" s="18">
        <v>45639</v>
      </c>
      <c r="F606" s="18" t="s">
        <v>611</v>
      </c>
      <c r="G606" t="s">
        <v>99</v>
      </c>
      <c r="H606">
        <v>2</v>
      </c>
      <c r="I606">
        <v>2</v>
      </c>
      <c r="J606" s="27">
        <v>42163.59</v>
      </c>
      <c r="K606" s="27">
        <v>5000000</v>
      </c>
    </row>
    <row r="607" spans="1:11" ht="12.75" customHeight="1" x14ac:dyDescent="0.2">
      <c r="A607" t="s">
        <v>1794</v>
      </c>
      <c r="B607" t="s">
        <v>1795</v>
      </c>
      <c r="C607">
        <v>2023</v>
      </c>
      <c r="D607" s="18">
        <v>45274</v>
      </c>
      <c r="E607" s="18">
        <v>45639</v>
      </c>
      <c r="F607" s="18" t="s">
        <v>611</v>
      </c>
      <c r="G607" t="s">
        <v>101</v>
      </c>
      <c r="H607">
        <v>1</v>
      </c>
      <c r="I607">
        <v>1</v>
      </c>
      <c r="J607" s="27">
        <v>38624.1</v>
      </c>
      <c r="K607" s="27">
        <v>2500000</v>
      </c>
    </row>
    <row r="608" spans="1:11" ht="12.75" customHeight="1" x14ac:dyDescent="0.2">
      <c r="A608" t="s">
        <v>1796</v>
      </c>
      <c r="B608" t="s">
        <v>1797</v>
      </c>
      <c r="C608">
        <v>2023</v>
      </c>
      <c r="D608" s="18">
        <v>45274</v>
      </c>
      <c r="E608" s="18">
        <v>45639</v>
      </c>
      <c r="F608" s="18" t="s">
        <v>611</v>
      </c>
      <c r="G608" t="s">
        <v>101</v>
      </c>
      <c r="H608">
        <v>1</v>
      </c>
      <c r="I608">
        <v>1</v>
      </c>
      <c r="J608" s="27">
        <v>160749.34</v>
      </c>
      <c r="K608" s="27">
        <v>10000000</v>
      </c>
    </row>
    <row r="609" spans="1:11" ht="12.75" customHeight="1" x14ac:dyDescent="0.2">
      <c r="A609" t="s">
        <v>1798</v>
      </c>
      <c r="B609" t="s">
        <v>1799</v>
      </c>
      <c r="C609">
        <v>2023</v>
      </c>
      <c r="D609" s="18">
        <v>45274</v>
      </c>
      <c r="E609" s="18">
        <v>45639</v>
      </c>
      <c r="F609" s="18" t="s">
        <v>611</v>
      </c>
      <c r="G609" t="s">
        <v>100</v>
      </c>
      <c r="H609">
        <v>1</v>
      </c>
      <c r="I609">
        <v>1</v>
      </c>
      <c r="J609" s="27">
        <v>52477.42</v>
      </c>
      <c r="K609" s="27">
        <v>4000000</v>
      </c>
    </row>
    <row r="610" spans="1:11" ht="12.75" customHeight="1" x14ac:dyDescent="0.2">
      <c r="A610" t="s">
        <v>1800</v>
      </c>
      <c r="B610" t="s">
        <v>1801</v>
      </c>
      <c r="C610">
        <v>2023</v>
      </c>
      <c r="D610" s="18">
        <v>45275</v>
      </c>
      <c r="E610" s="18">
        <v>45640</v>
      </c>
      <c r="F610" s="18" t="s">
        <v>608</v>
      </c>
      <c r="G610" t="s">
        <v>100</v>
      </c>
      <c r="H610">
        <v>2</v>
      </c>
      <c r="I610">
        <v>2</v>
      </c>
      <c r="J610" s="27">
        <v>123285.75999999999</v>
      </c>
      <c r="K610" s="27">
        <v>10000000</v>
      </c>
    </row>
    <row r="611" spans="1:11" ht="12.75" customHeight="1" x14ac:dyDescent="0.2">
      <c r="A611" t="s">
        <v>1802</v>
      </c>
      <c r="B611" t="s">
        <v>1803</v>
      </c>
      <c r="C611">
        <v>2023</v>
      </c>
      <c r="D611" s="18">
        <v>45275</v>
      </c>
      <c r="E611" s="18">
        <v>45640</v>
      </c>
      <c r="F611" s="18" t="s">
        <v>611</v>
      </c>
      <c r="G611" t="s">
        <v>102</v>
      </c>
      <c r="H611">
        <v>3</v>
      </c>
      <c r="I611">
        <v>3</v>
      </c>
      <c r="J611" s="27">
        <v>31151.360000000001</v>
      </c>
      <c r="K611" s="27">
        <v>4000000</v>
      </c>
    </row>
    <row r="612" spans="1:11" ht="12.75" customHeight="1" x14ac:dyDescent="0.2">
      <c r="A612" t="s">
        <v>1804</v>
      </c>
      <c r="B612" t="s">
        <v>1805</v>
      </c>
      <c r="C612">
        <v>2023</v>
      </c>
      <c r="D612" s="18">
        <v>45275</v>
      </c>
      <c r="E612" s="18">
        <v>45640</v>
      </c>
      <c r="F612" s="18" t="s">
        <v>611</v>
      </c>
      <c r="G612" t="s">
        <v>101</v>
      </c>
      <c r="H612">
        <v>1</v>
      </c>
      <c r="I612">
        <v>2</v>
      </c>
      <c r="J612" s="27">
        <v>14085.3</v>
      </c>
      <c r="K612" s="27">
        <v>1000000</v>
      </c>
    </row>
    <row r="613" spans="1:11" ht="12.75" customHeight="1" x14ac:dyDescent="0.2">
      <c r="A613" t="s">
        <v>1806</v>
      </c>
      <c r="B613" t="s">
        <v>1807</v>
      </c>
      <c r="C613">
        <v>2023</v>
      </c>
      <c r="D613" s="18">
        <v>45275</v>
      </c>
      <c r="E613" s="18">
        <v>45640</v>
      </c>
      <c r="F613" s="18" t="s">
        <v>611</v>
      </c>
      <c r="G613" t="s">
        <v>100</v>
      </c>
      <c r="H613">
        <v>1</v>
      </c>
      <c r="I613">
        <v>2</v>
      </c>
      <c r="J613" s="27">
        <v>23780.43</v>
      </c>
      <c r="K613" s="27">
        <v>2000000</v>
      </c>
    </row>
    <row r="614" spans="1:11" ht="12.75" customHeight="1" x14ac:dyDescent="0.2">
      <c r="A614" t="s">
        <v>1808</v>
      </c>
      <c r="B614" t="s">
        <v>1809</v>
      </c>
      <c r="C614">
        <v>2023</v>
      </c>
      <c r="D614" s="18">
        <v>45275</v>
      </c>
      <c r="E614" s="18">
        <v>45640</v>
      </c>
      <c r="F614" s="18" t="s">
        <v>611</v>
      </c>
      <c r="G614" t="s">
        <v>101</v>
      </c>
      <c r="H614">
        <v>1</v>
      </c>
      <c r="I614">
        <v>1</v>
      </c>
      <c r="J614" s="27">
        <v>65096.78</v>
      </c>
      <c r="K614" s="27">
        <v>4000000</v>
      </c>
    </row>
    <row r="615" spans="1:11" ht="12.75" customHeight="1" x14ac:dyDescent="0.2">
      <c r="A615" t="s">
        <v>1810</v>
      </c>
      <c r="B615" t="s">
        <v>1811</v>
      </c>
      <c r="C615">
        <v>2023</v>
      </c>
      <c r="D615" s="18">
        <v>45275</v>
      </c>
      <c r="E615" s="18">
        <v>45640</v>
      </c>
      <c r="F615" s="18" t="s">
        <v>611</v>
      </c>
      <c r="G615" t="s">
        <v>99</v>
      </c>
      <c r="H615">
        <v>1</v>
      </c>
      <c r="I615">
        <v>1</v>
      </c>
      <c r="J615" s="27">
        <v>8717.57</v>
      </c>
      <c r="K615" s="27">
        <v>1000000</v>
      </c>
    </row>
    <row r="616" spans="1:11" ht="12.75" customHeight="1" x14ac:dyDescent="0.2">
      <c r="A616" t="s">
        <v>1812</v>
      </c>
      <c r="B616" t="s">
        <v>1813</v>
      </c>
      <c r="C616">
        <v>2023</v>
      </c>
      <c r="D616" s="18">
        <v>45275</v>
      </c>
      <c r="E616" s="18">
        <v>45640</v>
      </c>
      <c r="F616" s="18" t="s">
        <v>611</v>
      </c>
      <c r="G616" t="s">
        <v>100</v>
      </c>
      <c r="H616">
        <v>3</v>
      </c>
      <c r="I616">
        <v>3</v>
      </c>
      <c r="J616" s="27">
        <v>6274.36</v>
      </c>
      <c r="K616" s="27">
        <v>500000</v>
      </c>
    </row>
    <row r="617" spans="1:11" ht="12.75" customHeight="1" x14ac:dyDescent="0.2">
      <c r="A617" t="s">
        <v>1814</v>
      </c>
      <c r="B617" t="s">
        <v>1815</v>
      </c>
      <c r="C617">
        <v>2023</v>
      </c>
      <c r="D617" s="18">
        <v>45275</v>
      </c>
      <c r="E617" s="18">
        <v>45640</v>
      </c>
      <c r="F617" s="18" t="s">
        <v>611</v>
      </c>
      <c r="G617" t="s">
        <v>102</v>
      </c>
      <c r="H617">
        <v>2</v>
      </c>
      <c r="I617">
        <v>4</v>
      </c>
      <c r="J617" s="27">
        <v>15498.96</v>
      </c>
      <c r="K617" s="27">
        <v>2000000</v>
      </c>
    </row>
    <row r="618" spans="1:11" ht="12.75" customHeight="1" x14ac:dyDescent="0.2">
      <c r="A618" t="s">
        <v>1816</v>
      </c>
      <c r="B618" t="s">
        <v>1817</v>
      </c>
      <c r="C618">
        <v>2023</v>
      </c>
      <c r="D618" s="18">
        <v>45275</v>
      </c>
      <c r="E618" s="18">
        <v>45640</v>
      </c>
      <c r="F618" s="18" t="s">
        <v>611</v>
      </c>
      <c r="G618" t="s">
        <v>101</v>
      </c>
      <c r="H618">
        <v>1</v>
      </c>
      <c r="I618">
        <v>1</v>
      </c>
      <c r="J618" s="27">
        <v>71677.850000000006</v>
      </c>
      <c r="K618" s="27">
        <v>5000000</v>
      </c>
    </row>
    <row r="619" spans="1:11" ht="12.75" customHeight="1" x14ac:dyDescent="0.2">
      <c r="A619" t="s">
        <v>1818</v>
      </c>
      <c r="B619" t="s">
        <v>1819</v>
      </c>
      <c r="C619">
        <v>2023</v>
      </c>
      <c r="D619" s="18">
        <v>45275</v>
      </c>
      <c r="E619" s="18">
        <v>45640</v>
      </c>
      <c r="F619" s="18" t="s">
        <v>611</v>
      </c>
      <c r="G619" t="s">
        <v>99</v>
      </c>
      <c r="H619">
        <v>1</v>
      </c>
      <c r="I619">
        <v>2</v>
      </c>
      <c r="J619" s="27">
        <v>79940.62</v>
      </c>
      <c r="K619" s="27">
        <v>10000000</v>
      </c>
    </row>
    <row r="620" spans="1:11" ht="12.75" customHeight="1" x14ac:dyDescent="0.2">
      <c r="A620" t="s">
        <v>1820</v>
      </c>
      <c r="B620" t="s">
        <v>1821</v>
      </c>
      <c r="C620">
        <v>2023</v>
      </c>
      <c r="D620" s="18">
        <v>45275</v>
      </c>
      <c r="E620" s="18">
        <v>45640</v>
      </c>
      <c r="F620" s="18" t="s">
        <v>611</v>
      </c>
      <c r="G620" t="s">
        <v>100</v>
      </c>
      <c r="H620">
        <v>3</v>
      </c>
      <c r="I620">
        <v>6</v>
      </c>
      <c r="J620" s="27">
        <v>51666.99</v>
      </c>
      <c r="K620" s="27">
        <v>4000000</v>
      </c>
    </row>
    <row r="621" spans="1:11" ht="12.75" customHeight="1" x14ac:dyDescent="0.2">
      <c r="A621" t="s">
        <v>1822</v>
      </c>
      <c r="B621" t="s">
        <v>1823</v>
      </c>
      <c r="C621">
        <v>2023</v>
      </c>
      <c r="D621" s="18">
        <v>45275</v>
      </c>
      <c r="E621" s="18">
        <v>45640</v>
      </c>
      <c r="F621" s="18" t="s">
        <v>611</v>
      </c>
      <c r="G621" t="s">
        <v>99</v>
      </c>
      <c r="H621">
        <v>2</v>
      </c>
      <c r="I621">
        <v>2</v>
      </c>
      <c r="J621" s="27">
        <v>16505.79</v>
      </c>
      <c r="K621" s="27">
        <v>2000000</v>
      </c>
    </row>
    <row r="622" spans="1:11" ht="12.75" customHeight="1" x14ac:dyDescent="0.2">
      <c r="A622" t="s">
        <v>1824</v>
      </c>
      <c r="B622" t="s">
        <v>1825</v>
      </c>
      <c r="C622">
        <v>2023</v>
      </c>
      <c r="D622" s="18">
        <v>45276</v>
      </c>
      <c r="E622" s="18">
        <v>45641</v>
      </c>
      <c r="F622" s="18" t="s">
        <v>608</v>
      </c>
      <c r="G622" t="s">
        <v>101</v>
      </c>
      <c r="H622">
        <v>2</v>
      </c>
      <c r="I622">
        <v>4</v>
      </c>
      <c r="J622" s="27">
        <v>65863.86</v>
      </c>
      <c r="K622" s="27">
        <v>4500000</v>
      </c>
    </row>
    <row r="623" spans="1:11" ht="12.75" customHeight="1" x14ac:dyDescent="0.2">
      <c r="A623" t="s">
        <v>1826</v>
      </c>
      <c r="B623" t="s">
        <v>1827</v>
      </c>
      <c r="C623">
        <v>2023</v>
      </c>
      <c r="D623" s="18">
        <v>45276</v>
      </c>
      <c r="E623" s="18">
        <v>45641</v>
      </c>
      <c r="F623" s="18" t="s">
        <v>608</v>
      </c>
      <c r="G623" t="s">
        <v>100</v>
      </c>
      <c r="H623">
        <v>3</v>
      </c>
      <c r="I623">
        <v>3</v>
      </c>
      <c r="J623" s="27">
        <v>124978.73</v>
      </c>
      <c r="K623" s="27">
        <v>10000000</v>
      </c>
    </row>
    <row r="624" spans="1:11" ht="12.75" customHeight="1" x14ac:dyDescent="0.2">
      <c r="A624" t="s">
        <v>1828</v>
      </c>
      <c r="B624" t="s">
        <v>1829</v>
      </c>
      <c r="C624">
        <v>2023</v>
      </c>
      <c r="D624" s="18">
        <v>45276</v>
      </c>
      <c r="E624" s="18">
        <v>45641</v>
      </c>
      <c r="F624" s="18" t="s">
        <v>608</v>
      </c>
      <c r="G624" t="s">
        <v>99</v>
      </c>
      <c r="H624">
        <v>1</v>
      </c>
      <c r="I624">
        <v>1</v>
      </c>
      <c r="J624" s="27">
        <v>77355.42</v>
      </c>
      <c r="K624" s="27">
        <v>10000000</v>
      </c>
    </row>
    <row r="625" spans="1:11" ht="12.75" customHeight="1" x14ac:dyDescent="0.2">
      <c r="A625" t="s">
        <v>1830</v>
      </c>
      <c r="B625" t="s">
        <v>1831</v>
      </c>
      <c r="C625">
        <v>2023</v>
      </c>
      <c r="D625" s="18">
        <v>45276</v>
      </c>
      <c r="E625" s="18">
        <v>45641</v>
      </c>
      <c r="F625" s="18" t="s">
        <v>611</v>
      </c>
      <c r="G625" t="s">
        <v>99</v>
      </c>
      <c r="H625">
        <v>2</v>
      </c>
      <c r="I625">
        <v>2</v>
      </c>
      <c r="J625" s="27">
        <v>44421.52</v>
      </c>
      <c r="K625" s="27">
        <v>5000000</v>
      </c>
    </row>
    <row r="626" spans="1:11" ht="12.75" customHeight="1" x14ac:dyDescent="0.2">
      <c r="A626" t="s">
        <v>1832</v>
      </c>
      <c r="B626" t="s">
        <v>1833</v>
      </c>
      <c r="C626">
        <v>2023</v>
      </c>
      <c r="D626" s="18">
        <v>45276</v>
      </c>
      <c r="E626" s="18">
        <v>45641</v>
      </c>
      <c r="F626" s="18" t="s">
        <v>611</v>
      </c>
      <c r="G626" t="s">
        <v>99</v>
      </c>
      <c r="H626">
        <v>2</v>
      </c>
      <c r="I626">
        <v>2</v>
      </c>
      <c r="J626" s="27">
        <v>38021.39</v>
      </c>
      <c r="K626" s="27">
        <v>5000000</v>
      </c>
    </row>
    <row r="627" spans="1:11" ht="12.75" customHeight="1" x14ac:dyDescent="0.2">
      <c r="A627" t="s">
        <v>1834</v>
      </c>
      <c r="B627" t="s">
        <v>1835</v>
      </c>
      <c r="C627">
        <v>2023</v>
      </c>
      <c r="D627" s="18">
        <v>45276</v>
      </c>
      <c r="E627" s="18">
        <v>45641</v>
      </c>
      <c r="F627" s="18" t="s">
        <v>611</v>
      </c>
      <c r="G627" t="s">
        <v>99</v>
      </c>
      <c r="H627">
        <v>2</v>
      </c>
      <c r="I627">
        <v>2</v>
      </c>
      <c r="J627" s="27">
        <v>15994.75</v>
      </c>
      <c r="K627" s="27">
        <v>2000000</v>
      </c>
    </row>
    <row r="628" spans="1:11" ht="12.75" customHeight="1" x14ac:dyDescent="0.2">
      <c r="A628" t="s">
        <v>1836</v>
      </c>
      <c r="B628" t="s">
        <v>1837</v>
      </c>
      <c r="C628">
        <v>2023</v>
      </c>
      <c r="D628" s="18">
        <v>45276</v>
      </c>
      <c r="E628" s="18">
        <v>45641</v>
      </c>
      <c r="F628" s="18" t="s">
        <v>611</v>
      </c>
      <c r="G628" t="s">
        <v>99</v>
      </c>
      <c r="H628">
        <v>1</v>
      </c>
      <c r="I628">
        <v>2</v>
      </c>
      <c r="J628" s="27">
        <v>34134.660000000003</v>
      </c>
      <c r="K628" s="27">
        <v>4500000</v>
      </c>
    </row>
    <row r="629" spans="1:11" ht="12.75" customHeight="1" x14ac:dyDescent="0.2">
      <c r="A629" t="s">
        <v>1838</v>
      </c>
      <c r="B629" t="s">
        <v>1839</v>
      </c>
      <c r="C629">
        <v>2023</v>
      </c>
      <c r="D629" s="18">
        <v>45276</v>
      </c>
      <c r="E629" s="18">
        <v>45641</v>
      </c>
      <c r="F629" s="18" t="s">
        <v>611</v>
      </c>
      <c r="G629" t="s">
        <v>101</v>
      </c>
      <c r="H629">
        <v>2</v>
      </c>
      <c r="I629">
        <v>2</v>
      </c>
      <c r="J629" s="27">
        <v>39028.230000000003</v>
      </c>
      <c r="K629" s="27">
        <v>2500000</v>
      </c>
    </row>
    <row r="630" spans="1:11" ht="12.75" customHeight="1" x14ac:dyDescent="0.2">
      <c r="A630" t="s">
        <v>1840</v>
      </c>
      <c r="B630" t="s">
        <v>1841</v>
      </c>
      <c r="C630">
        <v>2023</v>
      </c>
      <c r="D630" s="18">
        <v>45276</v>
      </c>
      <c r="E630" s="18">
        <v>45641</v>
      </c>
      <c r="F630" s="18" t="s">
        <v>611</v>
      </c>
      <c r="G630" t="s">
        <v>99</v>
      </c>
      <c r="H630">
        <v>2</v>
      </c>
      <c r="I630">
        <v>2</v>
      </c>
      <c r="J630" s="27">
        <v>20145.53</v>
      </c>
      <c r="K630" s="27">
        <v>2500000</v>
      </c>
    </row>
    <row r="631" spans="1:11" ht="12.75" customHeight="1" x14ac:dyDescent="0.2">
      <c r="A631" t="s">
        <v>1842</v>
      </c>
      <c r="B631" t="s">
        <v>1843</v>
      </c>
      <c r="C631">
        <v>2023</v>
      </c>
      <c r="D631" s="18">
        <v>45276</v>
      </c>
      <c r="E631" s="18">
        <v>45641</v>
      </c>
      <c r="F631" s="18" t="s">
        <v>611</v>
      </c>
      <c r="G631" t="s">
        <v>101</v>
      </c>
      <c r="H631">
        <v>2</v>
      </c>
      <c r="I631">
        <v>2</v>
      </c>
      <c r="J631" s="27">
        <v>75947.08</v>
      </c>
      <c r="K631" s="27">
        <v>5000000</v>
      </c>
    </row>
    <row r="632" spans="1:11" ht="12.75" customHeight="1" x14ac:dyDescent="0.2">
      <c r="A632" t="s">
        <v>1844</v>
      </c>
      <c r="B632" t="s">
        <v>1845</v>
      </c>
      <c r="C632">
        <v>2023</v>
      </c>
      <c r="D632" s="18">
        <v>45276</v>
      </c>
      <c r="E632" s="18">
        <v>45641</v>
      </c>
      <c r="F632" s="18" t="s">
        <v>611</v>
      </c>
      <c r="G632" t="s">
        <v>100</v>
      </c>
      <c r="H632">
        <v>2</v>
      </c>
      <c r="I632">
        <v>2</v>
      </c>
      <c r="J632" s="27">
        <v>6432.74</v>
      </c>
      <c r="K632" s="27">
        <v>500000</v>
      </c>
    </row>
    <row r="633" spans="1:11" ht="12.75" customHeight="1" x14ac:dyDescent="0.2">
      <c r="A633" t="s">
        <v>1846</v>
      </c>
      <c r="B633" t="s">
        <v>1847</v>
      </c>
      <c r="C633">
        <v>2023</v>
      </c>
      <c r="D633" s="18">
        <v>45276</v>
      </c>
      <c r="E633" s="18">
        <v>45641</v>
      </c>
      <c r="F633" s="18" t="s">
        <v>611</v>
      </c>
      <c r="G633" t="s">
        <v>102</v>
      </c>
      <c r="H633">
        <v>1</v>
      </c>
      <c r="I633">
        <v>1</v>
      </c>
      <c r="J633" s="27">
        <v>13573.72</v>
      </c>
      <c r="K633" s="27">
        <v>2000000</v>
      </c>
    </row>
    <row r="634" spans="1:11" ht="12.75" customHeight="1" x14ac:dyDescent="0.2">
      <c r="A634" t="s">
        <v>1848</v>
      </c>
      <c r="B634" t="s">
        <v>1849</v>
      </c>
      <c r="C634">
        <v>2023</v>
      </c>
      <c r="D634" s="18">
        <v>45276</v>
      </c>
      <c r="E634" s="18">
        <v>45641</v>
      </c>
      <c r="F634" s="18" t="s">
        <v>611</v>
      </c>
      <c r="G634" t="s">
        <v>99</v>
      </c>
      <c r="H634">
        <v>2</v>
      </c>
      <c r="I634">
        <v>4</v>
      </c>
      <c r="J634" s="27">
        <v>37184.160000000003</v>
      </c>
      <c r="K634" s="27">
        <v>4500000</v>
      </c>
    </row>
    <row r="635" spans="1:11" ht="12.75" customHeight="1" x14ac:dyDescent="0.2">
      <c r="A635" t="s">
        <v>1850</v>
      </c>
      <c r="B635" t="s">
        <v>1851</v>
      </c>
      <c r="C635">
        <v>2023</v>
      </c>
      <c r="D635" s="18">
        <v>45277</v>
      </c>
      <c r="E635" s="18">
        <v>45642</v>
      </c>
      <c r="F635" s="18" t="s">
        <v>608</v>
      </c>
      <c r="G635" t="s">
        <v>101</v>
      </c>
      <c r="H635">
        <v>1</v>
      </c>
      <c r="I635">
        <v>2</v>
      </c>
      <c r="J635" s="27">
        <v>53872.34</v>
      </c>
      <c r="K635" s="27">
        <v>3500000</v>
      </c>
    </row>
    <row r="636" spans="1:11" ht="12.75" customHeight="1" x14ac:dyDescent="0.2">
      <c r="A636" t="s">
        <v>1852</v>
      </c>
      <c r="B636" t="s">
        <v>1853</v>
      </c>
      <c r="C636">
        <v>2023</v>
      </c>
      <c r="D636" s="18">
        <v>45277</v>
      </c>
      <c r="E636" s="18">
        <v>45642</v>
      </c>
      <c r="F636" s="18" t="s">
        <v>608</v>
      </c>
      <c r="G636" t="s">
        <v>101</v>
      </c>
      <c r="H636">
        <v>1</v>
      </c>
      <c r="I636">
        <v>2</v>
      </c>
      <c r="J636" s="27">
        <v>45847.71</v>
      </c>
      <c r="K636" s="27">
        <v>3000000</v>
      </c>
    </row>
    <row r="637" spans="1:11" ht="12.75" customHeight="1" x14ac:dyDescent="0.2">
      <c r="A637" t="s">
        <v>1854</v>
      </c>
      <c r="B637" t="s">
        <v>1855</v>
      </c>
      <c r="C637">
        <v>2023</v>
      </c>
      <c r="D637" s="18">
        <v>45277</v>
      </c>
      <c r="E637" s="18">
        <v>45642</v>
      </c>
      <c r="F637" s="18" t="s">
        <v>608</v>
      </c>
      <c r="G637" t="s">
        <v>99</v>
      </c>
      <c r="H637">
        <v>3</v>
      </c>
      <c r="I637">
        <v>6</v>
      </c>
      <c r="J637" s="27">
        <v>11522.58</v>
      </c>
      <c r="K637" s="27">
        <v>1500000</v>
      </c>
    </row>
    <row r="638" spans="1:11" ht="12.75" customHeight="1" x14ac:dyDescent="0.2">
      <c r="A638" t="s">
        <v>1856</v>
      </c>
      <c r="B638" t="s">
        <v>1857</v>
      </c>
      <c r="C638">
        <v>2023</v>
      </c>
      <c r="D638" s="18">
        <v>45277</v>
      </c>
      <c r="E638" s="18">
        <v>45642</v>
      </c>
      <c r="F638" s="18" t="s">
        <v>608</v>
      </c>
      <c r="G638" t="s">
        <v>100</v>
      </c>
      <c r="H638">
        <v>1</v>
      </c>
      <c r="I638">
        <v>1</v>
      </c>
      <c r="J638" s="27">
        <v>13326.05</v>
      </c>
      <c r="K638" s="27">
        <v>1000000</v>
      </c>
    </row>
    <row r="639" spans="1:11" ht="12.75" customHeight="1" x14ac:dyDescent="0.2">
      <c r="A639" t="s">
        <v>1858</v>
      </c>
      <c r="B639" t="s">
        <v>1859</v>
      </c>
      <c r="C639">
        <v>2023</v>
      </c>
      <c r="D639" s="18">
        <v>45277</v>
      </c>
      <c r="E639" s="18">
        <v>45642</v>
      </c>
      <c r="F639" s="18" t="s">
        <v>611</v>
      </c>
      <c r="G639" t="s">
        <v>101</v>
      </c>
      <c r="H639">
        <v>1</v>
      </c>
      <c r="I639">
        <v>2</v>
      </c>
      <c r="J639" s="27">
        <v>16608.150000000001</v>
      </c>
      <c r="K639" s="27">
        <v>1000000</v>
      </c>
    </row>
    <row r="640" spans="1:11" ht="12.75" customHeight="1" x14ac:dyDescent="0.2">
      <c r="A640" t="s">
        <v>1860</v>
      </c>
      <c r="B640" t="s">
        <v>1861</v>
      </c>
      <c r="C640">
        <v>2023</v>
      </c>
      <c r="D640" s="18">
        <v>45277</v>
      </c>
      <c r="E640" s="18">
        <v>45642</v>
      </c>
      <c r="F640" s="18" t="s">
        <v>611</v>
      </c>
      <c r="G640" t="s">
        <v>101</v>
      </c>
      <c r="H640">
        <v>2</v>
      </c>
      <c r="I640">
        <v>2</v>
      </c>
      <c r="J640" s="27">
        <v>28932.560000000001</v>
      </c>
      <c r="K640" s="27">
        <v>2000000</v>
      </c>
    </row>
    <row r="641" spans="1:11" ht="12.75" customHeight="1" x14ac:dyDescent="0.2">
      <c r="A641" t="s">
        <v>1862</v>
      </c>
      <c r="B641" t="s">
        <v>1863</v>
      </c>
      <c r="C641">
        <v>2023</v>
      </c>
      <c r="D641" s="18">
        <v>45277</v>
      </c>
      <c r="E641" s="18">
        <v>45642</v>
      </c>
      <c r="F641" s="18" t="s">
        <v>611</v>
      </c>
      <c r="G641" t="s">
        <v>102</v>
      </c>
      <c r="H641">
        <v>2</v>
      </c>
      <c r="I641">
        <v>4</v>
      </c>
      <c r="J641" s="27">
        <v>39252.46</v>
      </c>
      <c r="K641" s="27">
        <v>5000000</v>
      </c>
    </row>
    <row r="642" spans="1:11" ht="12.75" customHeight="1" x14ac:dyDescent="0.2">
      <c r="A642" t="s">
        <v>1864</v>
      </c>
      <c r="B642" t="s">
        <v>1865</v>
      </c>
      <c r="C642">
        <v>2023</v>
      </c>
      <c r="D642" s="18">
        <v>45277</v>
      </c>
      <c r="E642" s="18">
        <v>45642</v>
      </c>
      <c r="F642" s="18" t="s">
        <v>611</v>
      </c>
      <c r="G642" t="s">
        <v>100</v>
      </c>
      <c r="H642">
        <v>2</v>
      </c>
      <c r="I642">
        <v>2</v>
      </c>
      <c r="J642" s="27">
        <v>56370.33</v>
      </c>
      <c r="K642" s="27">
        <v>5000000</v>
      </c>
    </row>
    <row r="643" spans="1:11" ht="12.75" customHeight="1" x14ac:dyDescent="0.2">
      <c r="A643" t="s">
        <v>1866</v>
      </c>
      <c r="B643" t="s">
        <v>1867</v>
      </c>
      <c r="C643">
        <v>2023</v>
      </c>
      <c r="D643" s="18">
        <v>45277</v>
      </c>
      <c r="E643" s="18">
        <v>45642</v>
      </c>
      <c r="F643" s="18" t="s">
        <v>611</v>
      </c>
      <c r="G643" t="s">
        <v>100</v>
      </c>
      <c r="H643">
        <v>1</v>
      </c>
      <c r="I643">
        <v>2</v>
      </c>
      <c r="J643" s="27">
        <v>26201.93</v>
      </c>
      <c r="K643" s="27">
        <v>2000000</v>
      </c>
    </row>
    <row r="644" spans="1:11" ht="12.75" customHeight="1" x14ac:dyDescent="0.2">
      <c r="A644" t="s">
        <v>1868</v>
      </c>
      <c r="B644" t="s">
        <v>1869</v>
      </c>
      <c r="C644">
        <v>2023</v>
      </c>
      <c r="D644" s="18">
        <v>45278</v>
      </c>
      <c r="E644" s="18">
        <v>45643</v>
      </c>
      <c r="F644" s="18" t="s">
        <v>608</v>
      </c>
      <c r="G644" t="s">
        <v>100</v>
      </c>
      <c r="H644">
        <v>1</v>
      </c>
      <c r="I644">
        <v>2</v>
      </c>
      <c r="J644" s="27">
        <v>48429.279999999999</v>
      </c>
      <c r="K644" s="27">
        <v>4000000</v>
      </c>
    </row>
    <row r="645" spans="1:11" ht="12.75" customHeight="1" x14ac:dyDescent="0.2">
      <c r="A645" t="s">
        <v>1870</v>
      </c>
      <c r="B645" t="s">
        <v>1871</v>
      </c>
      <c r="C645">
        <v>2023</v>
      </c>
      <c r="D645" s="18">
        <v>45278</v>
      </c>
      <c r="E645" s="18">
        <v>45643</v>
      </c>
      <c r="F645" s="18" t="s">
        <v>608</v>
      </c>
      <c r="G645" t="s">
        <v>100</v>
      </c>
      <c r="H645">
        <v>2</v>
      </c>
      <c r="I645">
        <v>4</v>
      </c>
      <c r="J645" s="27">
        <v>22749.05</v>
      </c>
      <c r="K645" s="27">
        <v>2000000</v>
      </c>
    </row>
    <row r="646" spans="1:11" ht="12.75" customHeight="1" x14ac:dyDescent="0.2">
      <c r="A646" t="s">
        <v>1872</v>
      </c>
      <c r="B646" t="s">
        <v>1873</v>
      </c>
      <c r="C646">
        <v>2023</v>
      </c>
      <c r="D646" s="18">
        <v>45278</v>
      </c>
      <c r="E646" s="18">
        <v>45643</v>
      </c>
      <c r="F646" s="18" t="s">
        <v>611</v>
      </c>
      <c r="G646" t="s">
        <v>99</v>
      </c>
      <c r="H646">
        <v>1</v>
      </c>
      <c r="I646">
        <v>1</v>
      </c>
      <c r="J646" s="27">
        <v>11641.02</v>
      </c>
      <c r="K646" s="27">
        <v>1500000</v>
      </c>
    </row>
    <row r="647" spans="1:11" ht="12.75" customHeight="1" x14ac:dyDescent="0.2">
      <c r="A647" t="s">
        <v>1874</v>
      </c>
      <c r="B647" t="s">
        <v>1875</v>
      </c>
      <c r="C647">
        <v>2023</v>
      </c>
      <c r="D647" s="18">
        <v>45278</v>
      </c>
      <c r="E647" s="18">
        <v>45643</v>
      </c>
      <c r="F647" s="18" t="s">
        <v>611</v>
      </c>
      <c r="G647" t="s">
        <v>100</v>
      </c>
      <c r="H647">
        <v>1</v>
      </c>
      <c r="I647">
        <v>2</v>
      </c>
      <c r="J647" s="27">
        <v>23082.19</v>
      </c>
      <c r="K647" s="27">
        <v>2000000</v>
      </c>
    </row>
    <row r="648" spans="1:11" ht="12.75" customHeight="1" x14ac:dyDescent="0.2">
      <c r="A648" t="s">
        <v>1876</v>
      </c>
      <c r="B648" t="s">
        <v>1877</v>
      </c>
      <c r="C648">
        <v>2023</v>
      </c>
      <c r="D648" s="18">
        <v>45278</v>
      </c>
      <c r="E648" s="18">
        <v>45643</v>
      </c>
      <c r="F648" s="18" t="s">
        <v>611</v>
      </c>
      <c r="G648" t="s">
        <v>101</v>
      </c>
      <c r="H648">
        <v>1</v>
      </c>
      <c r="I648">
        <v>1</v>
      </c>
      <c r="J648" s="27">
        <v>56741.48</v>
      </c>
      <c r="K648" s="27">
        <v>4000000</v>
      </c>
    </row>
    <row r="649" spans="1:11" ht="12.75" customHeight="1" x14ac:dyDescent="0.2">
      <c r="A649" t="s">
        <v>1878</v>
      </c>
      <c r="B649" t="s">
        <v>1879</v>
      </c>
      <c r="C649">
        <v>2023</v>
      </c>
      <c r="D649" s="18">
        <v>45278</v>
      </c>
      <c r="E649" s="18">
        <v>45643</v>
      </c>
      <c r="F649" s="18" t="s">
        <v>611</v>
      </c>
      <c r="G649" t="s">
        <v>101</v>
      </c>
      <c r="H649">
        <v>1</v>
      </c>
      <c r="I649">
        <v>1</v>
      </c>
      <c r="J649" s="27">
        <v>77298.45</v>
      </c>
      <c r="K649" s="27">
        <v>5000000</v>
      </c>
    </row>
    <row r="650" spans="1:11" ht="12.75" customHeight="1" x14ac:dyDescent="0.2">
      <c r="A650" t="s">
        <v>1880</v>
      </c>
      <c r="B650" t="s">
        <v>1881</v>
      </c>
      <c r="C650">
        <v>2023</v>
      </c>
      <c r="D650" s="18">
        <v>45278</v>
      </c>
      <c r="E650" s="18">
        <v>45643</v>
      </c>
      <c r="F650" s="18" t="s">
        <v>611</v>
      </c>
      <c r="G650" t="s">
        <v>102</v>
      </c>
      <c r="H650">
        <v>3</v>
      </c>
      <c r="I650">
        <v>6</v>
      </c>
      <c r="J650" s="27">
        <v>71270.17</v>
      </c>
      <c r="K650" s="27">
        <v>10000000</v>
      </c>
    </row>
    <row r="651" spans="1:11" ht="12.75" customHeight="1" x14ac:dyDescent="0.2">
      <c r="A651" t="s">
        <v>1882</v>
      </c>
      <c r="B651" t="s">
        <v>1883</v>
      </c>
      <c r="C651">
        <v>2023</v>
      </c>
      <c r="D651" s="18">
        <v>45278</v>
      </c>
      <c r="E651" s="18">
        <v>45643</v>
      </c>
      <c r="F651" s="18" t="s">
        <v>611</v>
      </c>
      <c r="G651" t="s">
        <v>101</v>
      </c>
      <c r="H651">
        <v>1</v>
      </c>
      <c r="I651">
        <v>1</v>
      </c>
      <c r="J651" s="27">
        <v>30242.97</v>
      </c>
      <c r="K651" s="27">
        <v>2000000</v>
      </c>
    </row>
    <row r="652" spans="1:11" ht="12.75" customHeight="1" x14ac:dyDescent="0.2">
      <c r="A652" t="s">
        <v>1884</v>
      </c>
      <c r="B652" t="s">
        <v>1885</v>
      </c>
      <c r="C652">
        <v>2023</v>
      </c>
      <c r="D652" s="18">
        <v>45278</v>
      </c>
      <c r="E652" s="18">
        <v>45643</v>
      </c>
      <c r="F652" s="18" t="s">
        <v>611</v>
      </c>
      <c r="G652" t="s">
        <v>101</v>
      </c>
      <c r="H652">
        <v>3</v>
      </c>
      <c r="I652">
        <v>3</v>
      </c>
      <c r="J652" s="27">
        <v>45439.67</v>
      </c>
      <c r="K652" s="27">
        <v>3000000</v>
      </c>
    </row>
    <row r="653" spans="1:11" ht="12.75" customHeight="1" x14ac:dyDescent="0.2">
      <c r="A653" t="s">
        <v>1886</v>
      </c>
      <c r="B653" t="s">
        <v>1887</v>
      </c>
      <c r="C653">
        <v>2023</v>
      </c>
      <c r="D653" s="18">
        <v>45278</v>
      </c>
      <c r="E653" s="18">
        <v>45643</v>
      </c>
      <c r="F653" s="18" t="s">
        <v>611</v>
      </c>
      <c r="G653" t="s">
        <v>101</v>
      </c>
      <c r="H653">
        <v>2</v>
      </c>
      <c r="I653">
        <v>4</v>
      </c>
      <c r="J653" s="27">
        <v>150302.39000000001</v>
      </c>
      <c r="K653" s="27">
        <v>10000000</v>
      </c>
    </row>
    <row r="654" spans="1:11" ht="12.75" customHeight="1" x14ac:dyDescent="0.2">
      <c r="A654" t="s">
        <v>1888</v>
      </c>
      <c r="B654" t="s">
        <v>1889</v>
      </c>
      <c r="C654">
        <v>2023</v>
      </c>
      <c r="D654" s="18">
        <v>45279</v>
      </c>
      <c r="E654" s="18">
        <v>45644</v>
      </c>
      <c r="F654" s="18" t="s">
        <v>611</v>
      </c>
      <c r="G654" t="s">
        <v>101</v>
      </c>
      <c r="H654">
        <v>1</v>
      </c>
      <c r="I654">
        <v>2</v>
      </c>
      <c r="J654" s="27">
        <v>16085.49</v>
      </c>
      <c r="K654" s="27">
        <v>1000000</v>
      </c>
    </row>
    <row r="655" spans="1:11" ht="12.75" customHeight="1" x14ac:dyDescent="0.2">
      <c r="A655" t="s">
        <v>1890</v>
      </c>
      <c r="B655" t="s">
        <v>1891</v>
      </c>
      <c r="C655">
        <v>2023</v>
      </c>
      <c r="D655" s="18">
        <v>45279</v>
      </c>
      <c r="E655" s="18">
        <v>45644</v>
      </c>
      <c r="F655" s="18" t="s">
        <v>611</v>
      </c>
      <c r="G655" t="s">
        <v>101</v>
      </c>
      <c r="H655">
        <v>1</v>
      </c>
      <c r="I655">
        <v>1</v>
      </c>
      <c r="J655" s="27">
        <v>159966.76999999999</v>
      </c>
      <c r="K655" s="27">
        <v>10000000</v>
      </c>
    </row>
    <row r="656" spans="1:11" ht="12.75" customHeight="1" x14ac:dyDescent="0.2">
      <c r="A656" t="s">
        <v>1892</v>
      </c>
      <c r="B656" t="s">
        <v>1893</v>
      </c>
      <c r="C656">
        <v>2023</v>
      </c>
      <c r="D656" s="18">
        <v>45279</v>
      </c>
      <c r="E656" s="18">
        <v>45644</v>
      </c>
      <c r="F656" s="18" t="s">
        <v>611</v>
      </c>
      <c r="G656" t="s">
        <v>100</v>
      </c>
      <c r="H656">
        <v>1</v>
      </c>
      <c r="I656">
        <v>2</v>
      </c>
      <c r="J656" s="27">
        <v>29252.1</v>
      </c>
      <c r="K656" s="27">
        <v>2500000</v>
      </c>
    </row>
    <row r="657" spans="1:11" ht="12.75" customHeight="1" x14ac:dyDescent="0.2">
      <c r="A657" t="s">
        <v>1894</v>
      </c>
      <c r="B657" t="s">
        <v>1895</v>
      </c>
      <c r="C657">
        <v>2023</v>
      </c>
      <c r="D657" s="18">
        <v>45279</v>
      </c>
      <c r="E657" s="18">
        <v>45644</v>
      </c>
      <c r="F657" s="18" t="s">
        <v>611</v>
      </c>
      <c r="G657" t="s">
        <v>101</v>
      </c>
      <c r="H657">
        <v>1</v>
      </c>
      <c r="I657">
        <v>1</v>
      </c>
      <c r="J657" s="27">
        <v>39262.660000000003</v>
      </c>
      <c r="K657" s="27">
        <v>2500000</v>
      </c>
    </row>
    <row r="658" spans="1:11" ht="12.75" customHeight="1" x14ac:dyDescent="0.2">
      <c r="A658" t="s">
        <v>1896</v>
      </c>
      <c r="B658" t="s">
        <v>1897</v>
      </c>
      <c r="C658">
        <v>2023</v>
      </c>
      <c r="D658" s="18">
        <v>45279</v>
      </c>
      <c r="E658" s="18">
        <v>45644</v>
      </c>
      <c r="F658" s="18" t="s">
        <v>611</v>
      </c>
      <c r="G658" t="s">
        <v>99</v>
      </c>
      <c r="H658">
        <v>2</v>
      </c>
      <c r="I658">
        <v>4</v>
      </c>
      <c r="J658" s="27">
        <v>75814.61</v>
      </c>
      <c r="K658" s="27">
        <v>10000000</v>
      </c>
    </row>
    <row r="659" spans="1:11" ht="12.75" customHeight="1" x14ac:dyDescent="0.2">
      <c r="A659" t="s">
        <v>1898</v>
      </c>
      <c r="B659" t="s">
        <v>1899</v>
      </c>
      <c r="C659">
        <v>2023</v>
      </c>
      <c r="D659" s="18">
        <v>45279</v>
      </c>
      <c r="E659" s="18">
        <v>45644</v>
      </c>
      <c r="F659" s="18" t="s">
        <v>611</v>
      </c>
      <c r="G659" t="s">
        <v>101</v>
      </c>
      <c r="H659">
        <v>3</v>
      </c>
      <c r="I659">
        <v>6</v>
      </c>
      <c r="J659" s="27">
        <v>42079.14</v>
      </c>
      <c r="K659" s="27">
        <v>2500000</v>
      </c>
    </row>
    <row r="660" spans="1:11" ht="12.75" customHeight="1" x14ac:dyDescent="0.2">
      <c r="A660" t="s">
        <v>1900</v>
      </c>
      <c r="B660" t="s">
        <v>1901</v>
      </c>
      <c r="C660">
        <v>2023</v>
      </c>
      <c r="D660" s="18">
        <v>45279</v>
      </c>
      <c r="E660" s="18">
        <v>45644</v>
      </c>
      <c r="F660" s="18" t="s">
        <v>611</v>
      </c>
      <c r="G660" t="s">
        <v>102</v>
      </c>
      <c r="H660">
        <v>1</v>
      </c>
      <c r="I660">
        <v>1</v>
      </c>
      <c r="J660" s="27">
        <v>19343.759999999998</v>
      </c>
      <c r="K660" s="27">
        <v>2500000</v>
      </c>
    </row>
    <row r="661" spans="1:11" ht="12.75" customHeight="1" x14ac:dyDescent="0.2">
      <c r="A661" t="s">
        <v>1902</v>
      </c>
      <c r="B661" t="s">
        <v>1903</v>
      </c>
      <c r="C661">
        <v>2023</v>
      </c>
      <c r="D661" s="18">
        <v>45280</v>
      </c>
      <c r="E661" s="18">
        <v>45645</v>
      </c>
      <c r="F661" s="18" t="s">
        <v>608</v>
      </c>
      <c r="G661" t="s">
        <v>101</v>
      </c>
      <c r="H661">
        <v>2</v>
      </c>
      <c r="I661">
        <v>2</v>
      </c>
      <c r="J661" s="27">
        <v>79037.149999999994</v>
      </c>
      <c r="K661" s="27">
        <v>5000000</v>
      </c>
    </row>
    <row r="662" spans="1:11" ht="12.75" customHeight="1" x14ac:dyDescent="0.2">
      <c r="A662" t="s">
        <v>1904</v>
      </c>
      <c r="B662" t="s">
        <v>1905</v>
      </c>
      <c r="C662">
        <v>2023</v>
      </c>
      <c r="D662" s="18">
        <v>45280</v>
      </c>
      <c r="E662" s="18">
        <v>45645</v>
      </c>
      <c r="F662" s="18" t="s">
        <v>608</v>
      </c>
      <c r="G662" t="s">
        <v>101</v>
      </c>
      <c r="H662">
        <v>1</v>
      </c>
      <c r="I662">
        <v>2</v>
      </c>
      <c r="J662" s="27">
        <v>82767.64</v>
      </c>
      <c r="K662" s="27">
        <v>5000000</v>
      </c>
    </row>
    <row r="663" spans="1:11" ht="12.75" customHeight="1" x14ac:dyDescent="0.2">
      <c r="A663" t="s">
        <v>1906</v>
      </c>
      <c r="B663" t="s">
        <v>1907</v>
      </c>
      <c r="C663">
        <v>2023</v>
      </c>
      <c r="D663" s="18">
        <v>45280</v>
      </c>
      <c r="E663" s="18">
        <v>45645</v>
      </c>
      <c r="F663" s="18" t="s">
        <v>608</v>
      </c>
      <c r="G663" t="s">
        <v>102</v>
      </c>
      <c r="H663">
        <v>3</v>
      </c>
      <c r="I663">
        <v>6</v>
      </c>
      <c r="J663" s="27">
        <v>65050.34</v>
      </c>
      <c r="K663" s="27">
        <v>10000000</v>
      </c>
    </row>
    <row r="664" spans="1:11" ht="12.75" customHeight="1" x14ac:dyDescent="0.2">
      <c r="A664" t="s">
        <v>1908</v>
      </c>
      <c r="B664" t="s">
        <v>1909</v>
      </c>
      <c r="C664">
        <v>2023</v>
      </c>
      <c r="D664" s="18">
        <v>45280</v>
      </c>
      <c r="E664" s="18">
        <v>45645</v>
      </c>
      <c r="F664" s="18" t="s">
        <v>611</v>
      </c>
      <c r="G664" t="s">
        <v>101</v>
      </c>
      <c r="H664">
        <v>1</v>
      </c>
      <c r="I664">
        <v>1</v>
      </c>
      <c r="J664" s="27">
        <v>32202.11</v>
      </c>
      <c r="K664" s="27">
        <v>2000000</v>
      </c>
    </row>
    <row r="665" spans="1:11" ht="12.75" customHeight="1" x14ac:dyDescent="0.2">
      <c r="A665" t="s">
        <v>1910</v>
      </c>
      <c r="B665" t="s">
        <v>1911</v>
      </c>
      <c r="C665">
        <v>2023</v>
      </c>
      <c r="D665" s="18">
        <v>45280</v>
      </c>
      <c r="E665" s="18">
        <v>45645</v>
      </c>
      <c r="F665" s="18" t="s">
        <v>611</v>
      </c>
      <c r="G665" t="s">
        <v>101</v>
      </c>
      <c r="H665">
        <v>1</v>
      </c>
      <c r="I665">
        <v>2</v>
      </c>
      <c r="J665" s="27">
        <v>80127.58</v>
      </c>
      <c r="K665" s="27">
        <v>5000000</v>
      </c>
    </row>
    <row r="666" spans="1:11" ht="12.75" customHeight="1" x14ac:dyDescent="0.2">
      <c r="A666" t="s">
        <v>1912</v>
      </c>
      <c r="B666" t="s">
        <v>1913</v>
      </c>
      <c r="C666">
        <v>2023</v>
      </c>
      <c r="D666" s="18">
        <v>45280</v>
      </c>
      <c r="E666" s="18">
        <v>45645</v>
      </c>
      <c r="F666" s="18" t="s">
        <v>611</v>
      </c>
      <c r="G666" t="s">
        <v>100</v>
      </c>
      <c r="H666">
        <v>1</v>
      </c>
      <c r="I666">
        <v>1</v>
      </c>
      <c r="J666" s="27">
        <v>45596.72</v>
      </c>
      <c r="K666" s="27">
        <v>4000000</v>
      </c>
    </row>
    <row r="667" spans="1:11" ht="12.75" customHeight="1" x14ac:dyDescent="0.2">
      <c r="A667" t="s">
        <v>1914</v>
      </c>
      <c r="B667" t="s">
        <v>1915</v>
      </c>
      <c r="C667">
        <v>2023</v>
      </c>
      <c r="D667" s="18">
        <v>45280</v>
      </c>
      <c r="E667" s="18">
        <v>45645</v>
      </c>
      <c r="F667" s="18" t="s">
        <v>611</v>
      </c>
      <c r="G667" t="s">
        <v>101</v>
      </c>
      <c r="H667">
        <v>2</v>
      </c>
      <c r="I667">
        <v>2</v>
      </c>
      <c r="J667" s="27">
        <v>76060.14</v>
      </c>
      <c r="K667" s="27">
        <v>4500000</v>
      </c>
    </row>
    <row r="668" spans="1:11" ht="12.75" customHeight="1" x14ac:dyDescent="0.2">
      <c r="A668" t="s">
        <v>1916</v>
      </c>
      <c r="B668" t="s">
        <v>1917</v>
      </c>
      <c r="C668">
        <v>2023</v>
      </c>
      <c r="D668" s="18">
        <v>45280</v>
      </c>
      <c r="E668" s="18">
        <v>45645</v>
      </c>
      <c r="F668" s="18" t="s">
        <v>611</v>
      </c>
      <c r="G668" t="s">
        <v>102</v>
      </c>
      <c r="H668">
        <v>2</v>
      </c>
      <c r="I668">
        <v>4</v>
      </c>
      <c r="J668" s="27">
        <v>7801.46</v>
      </c>
      <c r="K668" s="27">
        <v>1000000</v>
      </c>
    </row>
    <row r="669" spans="1:11" ht="12.75" customHeight="1" x14ac:dyDescent="0.2">
      <c r="A669" t="s">
        <v>1918</v>
      </c>
      <c r="B669" t="s">
        <v>1919</v>
      </c>
      <c r="C669">
        <v>2023</v>
      </c>
      <c r="D669" s="18">
        <v>45280</v>
      </c>
      <c r="E669" s="18">
        <v>45645</v>
      </c>
      <c r="F669" s="18" t="s">
        <v>611</v>
      </c>
      <c r="G669" t="s">
        <v>100</v>
      </c>
      <c r="H669">
        <v>1</v>
      </c>
      <c r="I669">
        <v>1</v>
      </c>
      <c r="J669" s="27">
        <v>29433.26</v>
      </c>
      <c r="K669" s="27">
        <v>2500000</v>
      </c>
    </row>
    <row r="670" spans="1:11" ht="12.75" customHeight="1" x14ac:dyDescent="0.2">
      <c r="A670" t="s">
        <v>1920</v>
      </c>
      <c r="B670" t="s">
        <v>1921</v>
      </c>
      <c r="C670">
        <v>2023</v>
      </c>
      <c r="D670" s="18">
        <v>45280</v>
      </c>
      <c r="E670" s="18">
        <v>45645</v>
      </c>
      <c r="F670" s="18" t="s">
        <v>611</v>
      </c>
      <c r="G670" t="s">
        <v>99</v>
      </c>
      <c r="H670">
        <v>1</v>
      </c>
      <c r="I670">
        <v>2</v>
      </c>
      <c r="J670" s="27">
        <v>24642.61</v>
      </c>
      <c r="K670" s="27">
        <v>3000000</v>
      </c>
    </row>
    <row r="671" spans="1:11" ht="12.75" customHeight="1" x14ac:dyDescent="0.2">
      <c r="A671" t="s">
        <v>1922</v>
      </c>
      <c r="B671" t="s">
        <v>1923</v>
      </c>
      <c r="C671">
        <v>2023</v>
      </c>
      <c r="D671" s="18">
        <v>45280</v>
      </c>
      <c r="E671" s="18">
        <v>45645</v>
      </c>
      <c r="F671" s="18" t="s">
        <v>611</v>
      </c>
      <c r="G671" t="s">
        <v>100</v>
      </c>
      <c r="H671">
        <v>1</v>
      </c>
      <c r="I671">
        <v>1</v>
      </c>
      <c r="J671" s="27">
        <v>12970.38</v>
      </c>
      <c r="K671" s="27">
        <v>1000000</v>
      </c>
    </row>
    <row r="672" spans="1:11" ht="12.75" customHeight="1" x14ac:dyDescent="0.2">
      <c r="A672" t="s">
        <v>1924</v>
      </c>
      <c r="B672" t="s">
        <v>1925</v>
      </c>
      <c r="C672">
        <v>2023</v>
      </c>
      <c r="D672" s="18">
        <v>45280</v>
      </c>
      <c r="E672" s="18">
        <v>45645</v>
      </c>
      <c r="F672" s="18" t="s">
        <v>611</v>
      </c>
      <c r="G672" t="s">
        <v>100</v>
      </c>
      <c r="H672">
        <v>1</v>
      </c>
      <c r="I672">
        <v>1</v>
      </c>
      <c r="J672" s="27">
        <v>42818.85</v>
      </c>
      <c r="K672" s="27">
        <v>3500000</v>
      </c>
    </row>
    <row r="673" spans="1:11" ht="12.75" customHeight="1" x14ac:dyDescent="0.2">
      <c r="A673" t="s">
        <v>1926</v>
      </c>
      <c r="B673" t="s">
        <v>1927</v>
      </c>
      <c r="C673">
        <v>2023</v>
      </c>
      <c r="D673" s="18">
        <v>45281</v>
      </c>
      <c r="E673" s="18">
        <v>45646</v>
      </c>
      <c r="F673" s="18" t="s">
        <v>608</v>
      </c>
      <c r="G673" t="s">
        <v>100</v>
      </c>
      <c r="H673">
        <v>1</v>
      </c>
      <c r="I673">
        <v>1</v>
      </c>
      <c r="J673" s="27">
        <v>18064.07</v>
      </c>
      <c r="K673" s="27">
        <v>1500000</v>
      </c>
    </row>
    <row r="674" spans="1:11" ht="12.75" customHeight="1" x14ac:dyDescent="0.2">
      <c r="A674" t="s">
        <v>1928</v>
      </c>
      <c r="B674" t="s">
        <v>1929</v>
      </c>
      <c r="C674">
        <v>2023</v>
      </c>
      <c r="D674" s="18">
        <v>45281</v>
      </c>
      <c r="E674" s="18">
        <v>45646</v>
      </c>
      <c r="F674" s="18" t="s">
        <v>608</v>
      </c>
      <c r="G674" t="s">
        <v>100</v>
      </c>
      <c r="H674">
        <v>1</v>
      </c>
      <c r="I674">
        <v>1</v>
      </c>
      <c r="J674" s="27">
        <v>12300.63</v>
      </c>
      <c r="K674" s="27">
        <v>1000000</v>
      </c>
    </row>
    <row r="675" spans="1:11" ht="12.75" customHeight="1" x14ac:dyDescent="0.2">
      <c r="A675" t="s">
        <v>1930</v>
      </c>
      <c r="B675" t="s">
        <v>1931</v>
      </c>
      <c r="C675">
        <v>2023</v>
      </c>
      <c r="D675" s="18">
        <v>45281</v>
      </c>
      <c r="E675" s="18">
        <v>45646</v>
      </c>
      <c r="F675" s="18" t="s">
        <v>611</v>
      </c>
      <c r="G675" t="s">
        <v>101</v>
      </c>
      <c r="H675">
        <v>1</v>
      </c>
      <c r="I675">
        <v>2</v>
      </c>
      <c r="J675" s="27">
        <v>14106.08</v>
      </c>
      <c r="K675" s="27">
        <v>1000000</v>
      </c>
    </row>
    <row r="676" spans="1:11" ht="12.75" customHeight="1" x14ac:dyDescent="0.2">
      <c r="A676" t="s">
        <v>1932</v>
      </c>
      <c r="B676" t="s">
        <v>1933</v>
      </c>
      <c r="C676">
        <v>2023</v>
      </c>
      <c r="D676" s="18">
        <v>45281</v>
      </c>
      <c r="E676" s="18">
        <v>45646</v>
      </c>
      <c r="F676" s="18" t="s">
        <v>611</v>
      </c>
      <c r="G676" t="s">
        <v>102</v>
      </c>
      <c r="H676">
        <v>1</v>
      </c>
      <c r="I676">
        <v>2</v>
      </c>
      <c r="J676" s="27">
        <v>33191.269999999997</v>
      </c>
      <c r="K676" s="27">
        <v>5000000</v>
      </c>
    </row>
    <row r="677" spans="1:11" ht="12.75" customHeight="1" x14ac:dyDescent="0.2">
      <c r="A677" t="s">
        <v>1934</v>
      </c>
      <c r="B677" t="s">
        <v>1935</v>
      </c>
      <c r="C677">
        <v>2023</v>
      </c>
      <c r="D677" s="18">
        <v>45281</v>
      </c>
      <c r="E677" s="18">
        <v>45646</v>
      </c>
      <c r="F677" s="18" t="s">
        <v>611</v>
      </c>
      <c r="G677" t="s">
        <v>101</v>
      </c>
      <c r="H677">
        <v>1</v>
      </c>
      <c r="I677">
        <v>1</v>
      </c>
      <c r="J677" s="27">
        <v>63214.1</v>
      </c>
      <c r="K677" s="27">
        <v>4000000</v>
      </c>
    </row>
    <row r="678" spans="1:11" ht="12.75" customHeight="1" x14ac:dyDescent="0.2">
      <c r="A678" t="s">
        <v>1936</v>
      </c>
      <c r="B678" t="s">
        <v>1937</v>
      </c>
      <c r="C678">
        <v>2023</v>
      </c>
      <c r="D678" s="18">
        <v>45282</v>
      </c>
      <c r="E678" s="18">
        <v>45647</v>
      </c>
      <c r="F678" s="18" t="s">
        <v>608</v>
      </c>
      <c r="G678" t="s">
        <v>101</v>
      </c>
      <c r="H678">
        <v>2</v>
      </c>
      <c r="I678">
        <v>2</v>
      </c>
      <c r="J678" s="27">
        <v>158027.01999999999</v>
      </c>
      <c r="K678" s="27">
        <v>10000000</v>
      </c>
    </row>
    <row r="679" spans="1:11" ht="12.75" customHeight="1" x14ac:dyDescent="0.2">
      <c r="A679" t="s">
        <v>1938</v>
      </c>
      <c r="B679" t="s">
        <v>1939</v>
      </c>
      <c r="C679">
        <v>2023</v>
      </c>
      <c r="D679" s="18">
        <v>45282</v>
      </c>
      <c r="E679" s="18">
        <v>45647</v>
      </c>
      <c r="F679" s="18" t="s">
        <v>608</v>
      </c>
      <c r="G679" t="s">
        <v>102</v>
      </c>
      <c r="H679">
        <v>1</v>
      </c>
      <c r="I679">
        <v>2</v>
      </c>
      <c r="J679" s="27">
        <v>6600.72</v>
      </c>
      <c r="K679" s="27">
        <v>1000000</v>
      </c>
    </row>
    <row r="680" spans="1:11" ht="12.75" customHeight="1" x14ac:dyDescent="0.2">
      <c r="A680" t="s">
        <v>1940</v>
      </c>
      <c r="B680" t="s">
        <v>1941</v>
      </c>
      <c r="C680">
        <v>2023</v>
      </c>
      <c r="D680" s="18">
        <v>45282</v>
      </c>
      <c r="E680" s="18">
        <v>45647</v>
      </c>
      <c r="F680" s="18" t="s">
        <v>611</v>
      </c>
      <c r="G680" t="s">
        <v>102</v>
      </c>
      <c r="H680">
        <v>2</v>
      </c>
      <c r="I680">
        <v>2</v>
      </c>
      <c r="J680" s="27">
        <v>32663.200000000001</v>
      </c>
      <c r="K680" s="27">
        <v>4500000</v>
      </c>
    </row>
    <row r="681" spans="1:11" ht="12.75" customHeight="1" x14ac:dyDescent="0.2">
      <c r="A681" t="s">
        <v>1942</v>
      </c>
      <c r="B681" t="s">
        <v>1943</v>
      </c>
      <c r="C681">
        <v>2023</v>
      </c>
      <c r="D681" s="18">
        <v>45282</v>
      </c>
      <c r="E681" s="18">
        <v>45647</v>
      </c>
      <c r="F681" s="18" t="s">
        <v>611</v>
      </c>
      <c r="G681" t="s">
        <v>100</v>
      </c>
      <c r="H681">
        <v>1</v>
      </c>
      <c r="I681">
        <v>1</v>
      </c>
      <c r="J681" s="27">
        <v>5588.84</v>
      </c>
      <c r="K681" s="27">
        <v>500000</v>
      </c>
    </row>
    <row r="682" spans="1:11" ht="12.75" customHeight="1" x14ac:dyDescent="0.2">
      <c r="A682" t="s">
        <v>1944</v>
      </c>
      <c r="B682" t="s">
        <v>1945</v>
      </c>
      <c r="C682">
        <v>2023</v>
      </c>
      <c r="D682" s="18">
        <v>45282</v>
      </c>
      <c r="E682" s="18">
        <v>45647</v>
      </c>
      <c r="F682" s="18" t="s">
        <v>611</v>
      </c>
      <c r="G682" t="s">
        <v>101</v>
      </c>
      <c r="H682">
        <v>3</v>
      </c>
      <c r="I682">
        <v>3</v>
      </c>
      <c r="J682" s="27">
        <v>154764.59</v>
      </c>
      <c r="K682" s="27">
        <v>10000000</v>
      </c>
    </row>
    <row r="683" spans="1:11" ht="12.75" customHeight="1" x14ac:dyDescent="0.2">
      <c r="A683" t="s">
        <v>1946</v>
      </c>
      <c r="B683" t="s">
        <v>1947</v>
      </c>
      <c r="C683">
        <v>2023</v>
      </c>
      <c r="D683" s="18">
        <v>45282</v>
      </c>
      <c r="E683" s="18">
        <v>45647</v>
      </c>
      <c r="F683" s="18" t="s">
        <v>611</v>
      </c>
      <c r="G683" t="s">
        <v>101</v>
      </c>
      <c r="H683">
        <v>2</v>
      </c>
      <c r="I683">
        <v>4</v>
      </c>
      <c r="J683" s="27">
        <v>52889.68</v>
      </c>
      <c r="K683" s="27">
        <v>3500000</v>
      </c>
    </row>
    <row r="684" spans="1:11" ht="12.75" customHeight="1" x14ac:dyDescent="0.2">
      <c r="A684" t="s">
        <v>1948</v>
      </c>
      <c r="B684" t="s">
        <v>1949</v>
      </c>
      <c r="C684">
        <v>2023</v>
      </c>
      <c r="D684" s="18">
        <v>45282</v>
      </c>
      <c r="E684" s="18">
        <v>45647</v>
      </c>
      <c r="F684" s="18" t="s">
        <v>611</v>
      </c>
      <c r="G684" t="s">
        <v>99</v>
      </c>
      <c r="H684">
        <v>1</v>
      </c>
      <c r="I684">
        <v>1</v>
      </c>
      <c r="J684" s="27">
        <v>33616.6</v>
      </c>
      <c r="K684" s="27">
        <v>4000000</v>
      </c>
    </row>
    <row r="685" spans="1:11" ht="12.75" customHeight="1" x14ac:dyDescent="0.2">
      <c r="A685" t="s">
        <v>1950</v>
      </c>
      <c r="B685" t="s">
        <v>1951</v>
      </c>
      <c r="C685">
        <v>2023</v>
      </c>
      <c r="D685" s="18">
        <v>45283</v>
      </c>
      <c r="E685" s="18">
        <v>45648</v>
      </c>
      <c r="F685" s="18" t="s">
        <v>611</v>
      </c>
      <c r="G685" t="s">
        <v>100</v>
      </c>
      <c r="H685">
        <v>3</v>
      </c>
      <c r="I685">
        <v>3</v>
      </c>
      <c r="J685" s="27">
        <v>58264.03</v>
      </c>
      <c r="K685" s="27">
        <v>4500000</v>
      </c>
    </row>
    <row r="686" spans="1:11" ht="12.75" customHeight="1" x14ac:dyDescent="0.2">
      <c r="A686" t="s">
        <v>1952</v>
      </c>
      <c r="B686" t="s">
        <v>1953</v>
      </c>
      <c r="C686">
        <v>2023</v>
      </c>
      <c r="D686" s="18">
        <v>45283</v>
      </c>
      <c r="E686" s="18">
        <v>45648</v>
      </c>
      <c r="F686" s="18" t="s">
        <v>611</v>
      </c>
      <c r="G686" t="s">
        <v>101</v>
      </c>
      <c r="H686">
        <v>1</v>
      </c>
      <c r="I686">
        <v>2</v>
      </c>
      <c r="J686" s="27">
        <v>143619.5</v>
      </c>
      <c r="K686" s="27">
        <v>10000000</v>
      </c>
    </row>
    <row r="687" spans="1:11" ht="12.75" customHeight="1" x14ac:dyDescent="0.2">
      <c r="A687" t="s">
        <v>1954</v>
      </c>
      <c r="B687" t="s">
        <v>1955</v>
      </c>
      <c r="C687">
        <v>2023</v>
      </c>
      <c r="D687" s="18">
        <v>45283</v>
      </c>
      <c r="E687" s="18">
        <v>45648</v>
      </c>
      <c r="F687" s="18" t="s">
        <v>611</v>
      </c>
      <c r="G687" t="s">
        <v>99</v>
      </c>
      <c r="H687">
        <v>1</v>
      </c>
      <c r="I687">
        <v>1</v>
      </c>
      <c r="J687" s="27">
        <v>15923.06</v>
      </c>
      <c r="K687" s="27">
        <v>2000000</v>
      </c>
    </row>
    <row r="688" spans="1:11" ht="12.75" customHeight="1" x14ac:dyDescent="0.2">
      <c r="A688" t="s">
        <v>1956</v>
      </c>
      <c r="B688" t="s">
        <v>1957</v>
      </c>
      <c r="C688">
        <v>2023</v>
      </c>
      <c r="D688" s="18">
        <v>45283</v>
      </c>
      <c r="E688" s="18">
        <v>45648</v>
      </c>
      <c r="F688" s="18" t="s">
        <v>611</v>
      </c>
      <c r="G688" t="s">
        <v>101</v>
      </c>
      <c r="H688">
        <v>3</v>
      </c>
      <c r="I688">
        <v>3</v>
      </c>
      <c r="J688" s="27">
        <v>155300.45000000001</v>
      </c>
      <c r="K688" s="27">
        <v>10000000</v>
      </c>
    </row>
    <row r="689" spans="1:11" ht="12.75" customHeight="1" x14ac:dyDescent="0.2">
      <c r="A689" t="s">
        <v>1958</v>
      </c>
      <c r="B689" t="s">
        <v>1959</v>
      </c>
      <c r="C689">
        <v>2023</v>
      </c>
      <c r="D689" s="18">
        <v>45283</v>
      </c>
      <c r="E689" s="18">
        <v>45648</v>
      </c>
      <c r="F689" s="18" t="s">
        <v>611</v>
      </c>
      <c r="G689" t="s">
        <v>99</v>
      </c>
      <c r="H689">
        <v>1</v>
      </c>
      <c r="I689">
        <v>2</v>
      </c>
      <c r="J689" s="27">
        <v>7612.92</v>
      </c>
      <c r="K689" s="27">
        <v>1000000</v>
      </c>
    </row>
    <row r="690" spans="1:11" ht="12.75" customHeight="1" x14ac:dyDescent="0.2">
      <c r="A690" t="s">
        <v>1960</v>
      </c>
      <c r="B690" t="s">
        <v>1961</v>
      </c>
      <c r="C690">
        <v>2023</v>
      </c>
      <c r="D690" s="18">
        <v>45283</v>
      </c>
      <c r="E690" s="18">
        <v>45648</v>
      </c>
      <c r="F690" s="18" t="s">
        <v>611</v>
      </c>
      <c r="G690" t="s">
        <v>100</v>
      </c>
      <c r="H690">
        <v>2</v>
      </c>
      <c r="I690">
        <v>4</v>
      </c>
      <c r="J690" s="27">
        <v>50315.03</v>
      </c>
      <c r="K690" s="27">
        <v>4500000</v>
      </c>
    </row>
    <row r="691" spans="1:11" ht="12.75" customHeight="1" x14ac:dyDescent="0.2">
      <c r="A691" t="s">
        <v>1962</v>
      </c>
      <c r="B691" t="s">
        <v>1963</v>
      </c>
      <c r="C691">
        <v>2023</v>
      </c>
      <c r="D691" s="18">
        <v>45283</v>
      </c>
      <c r="E691" s="18">
        <v>45648</v>
      </c>
      <c r="F691" s="18" t="s">
        <v>611</v>
      </c>
      <c r="G691" t="s">
        <v>101</v>
      </c>
      <c r="H691">
        <v>2</v>
      </c>
      <c r="I691">
        <v>2</v>
      </c>
      <c r="J691" s="27">
        <v>152897.07999999999</v>
      </c>
      <c r="K691" s="27">
        <v>10000000</v>
      </c>
    </row>
    <row r="692" spans="1:11" ht="12.75" customHeight="1" x14ac:dyDescent="0.2">
      <c r="A692" t="s">
        <v>1964</v>
      </c>
      <c r="B692" t="s">
        <v>1965</v>
      </c>
      <c r="C692">
        <v>2023</v>
      </c>
      <c r="D692" s="18">
        <v>45284</v>
      </c>
      <c r="E692" s="18">
        <v>45649</v>
      </c>
      <c r="F692" s="18" t="s">
        <v>608</v>
      </c>
      <c r="G692" t="s">
        <v>101</v>
      </c>
      <c r="H692">
        <v>1</v>
      </c>
      <c r="I692">
        <v>2</v>
      </c>
      <c r="J692" s="27">
        <v>49509.440000000002</v>
      </c>
      <c r="K692" s="27">
        <v>3000000</v>
      </c>
    </row>
    <row r="693" spans="1:11" ht="12.75" customHeight="1" x14ac:dyDescent="0.2">
      <c r="A693" t="s">
        <v>1966</v>
      </c>
      <c r="B693" t="s">
        <v>1967</v>
      </c>
      <c r="C693">
        <v>2023</v>
      </c>
      <c r="D693" s="18">
        <v>45284</v>
      </c>
      <c r="E693" s="18">
        <v>45649</v>
      </c>
      <c r="F693" s="18" t="s">
        <v>611</v>
      </c>
      <c r="G693" t="s">
        <v>101</v>
      </c>
      <c r="H693">
        <v>3</v>
      </c>
      <c r="I693">
        <v>3</v>
      </c>
      <c r="J693" s="27">
        <v>157612.26</v>
      </c>
      <c r="K693" s="27">
        <v>10000000</v>
      </c>
    </row>
    <row r="694" spans="1:11" ht="12.75" customHeight="1" x14ac:dyDescent="0.2">
      <c r="A694" t="s">
        <v>1968</v>
      </c>
      <c r="B694" t="s">
        <v>1969</v>
      </c>
      <c r="C694">
        <v>2023</v>
      </c>
      <c r="D694" s="18">
        <v>45284</v>
      </c>
      <c r="E694" s="18">
        <v>45649</v>
      </c>
      <c r="F694" s="18" t="s">
        <v>611</v>
      </c>
      <c r="G694" t="s">
        <v>101</v>
      </c>
      <c r="H694">
        <v>2</v>
      </c>
      <c r="I694">
        <v>4</v>
      </c>
      <c r="J694" s="27">
        <v>57504.41</v>
      </c>
      <c r="K694" s="27">
        <v>4000000</v>
      </c>
    </row>
    <row r="695" spans="1:11" ht="12.75" customHeight="1" x14ac:dyDescent="0.2">
      <c r="A695" t="s">
        <v>1970</v>
      </c>
      <c r="B695" t="s">
        <v>1971</v>
      </c>
      <c r="C695">
        <v>2023</v>
      </c>
      <c r="D695" s="18">
        <v>45285</v>
      </c>
      <c r="E695" s="18">
        <v>45650</v>
      </c>
      <c r="F695" s="18" t="s">
        <v>608</v>
      </c>
      <c r="G695" t="s">
        <v>100</v>
      </c>
      <c r="H695">
        <v>3</v>
      </c>
      <c r="I695">
        <v>6</v>
      </c>
      <c r="J695" s="27">
        <v>6084.63</v>
      </c>
      <c r="K695" s="27">
        <v>500000</v>
      </c>
    </row>
    <row r="696" spans="1:11" ht="12.75" customHeight="1" x14ac:dyDescent="0.2">
      <c r="A696" t="s">
        <v>1972</v>
      </c>
      <c r="B696" t="s">
        <v>1973</v>
      </c>
      <c r="C696">
        <v>2023</v>
      </c>
      <c r="D696" s="18">
        <v>45285</v>
      </c>
      <c r="E696" s="18">
        <v>45650</v>
      </c>
      <c r="F696" s="18" t="s">
        <v>611</v>
      </c>
      <c r="G696" t="s">
        <v>102</v>
      </c>
      <c r="H696">
        <v>3</v>
      </c>
      <c r="I696">
        <v>6</v>
      </c>
      <c r="J696" s="27">
        <v>7330.44</v>
      </c>
      <c r="K696" s="27">
        <v>1000000</v>
      </c>
    </row>
    <row r="697" spans="1:11" ht="12.75" customHeight="1" x14ac:dyDescent="0.2">
      <c r="A697" t="s">
        <v>1974</v>
      </c>
      <c r="B697" t="s">
        <v>1975</v>
      </c>
      <c r="C697">
        <v>2023</v>
      </c>
      <c r="D697" s="18">
        <v>45285</v>
      </c>
      <c r="E697" s="18">
        <v>45650</v>
      </c>
      <c r="F697" s="18" t="s">
        <v>611</v>
      </c>
      <c r="G697" t="s">
        <v>99</v>
      </c>
      <c r="H697">
        <v>2</v>
      </c>
      <c r="I697">
        <v>2</v>
      </c>
      <c r="J697" s="27">
        <v>45216.51</v>
      </c>
      <c r="K697" s="27">
        <v>5000000</v>
      </c>
    </row>
    <row r="698" spans="1:11" ht="12.75" customHeight="1" x14ac:dyDescent="0.2">
      <c r="A698" t="s">
        <v>1976</v>
      </c>
      <c r="B698" t="s">
        <v>1977</v>
      </c>
      <c r="C698">
        <v>2023</v>
      </c>
      <c r="D698" s="18">
        <v>45285</v>
      </c>
      <c r="E698" s="18">
        <v>45650</v>
      </c>
      <c r="F698" s="18" t="s">
        <v>611</v>
      </c>
      <c r="G698" t="s">
        <v>100</v>
      </c>
      <c r="H698">
        <v>1</v>
      </c>
      <c r="I698">
        <v>1</v>
      </c>
      <c r="J698" s="27">
        <v>24067.01</v>
      </c>
      <c r="K698" s="27">
        <v>2000000</v>
      </c>
    </row>
    <row r="699" spans="1:11" ht="12.75" customHeight="1" x14ac:dyDescent="0.2">
      <c r="A699" t="s">
        <v>1978</v>
      </c>
      <c r="B699" t="s">
        <v>1979</v>
      </c>
      <c r="C699">
        <v>2023</v>
      </c>
      <c r="D699" s="18">
        <v>45285</v>
      </c>
      <c r="E699" s="18">
        <v>45650</v>
      </c>
      <c r="F699" s="18" t="s">
        <v>611</v>
      </c>
      <c r="G699" t="s">
        <v>99</v>
      </c>
      <c r="H699">
        <v>1</v>
      </c>
      <c r="I699">
        <v>1</v>
      </c>
      <c r="J699" s="27">
        <v>3825.24</v>
      </c>
      <c r="K699" s="27">
        <v>500000</v>
      </c>
    </row>
    <row r="700" spans="1:11" ht="12.75" customHeight="1" x14ac:dyDescent="0.2">
      <c r="A700" t="s">
        <v>1980</v>
      </c>
      <c r="B700" t="s">
        <v>1981</v>
      </c>
      <c r="C700">
        <v>2023</v>
      </c>
      <c r="D700" s="18">
        <v>45285</v>
      </c>
      <c r="E700" s="18">
        <v>45650</v>
      </c>
      <c r="F700" s="18" t="s">
        <v>611</v>
      </c>
      <c r="G700" t="s">
        <v>100</v>
      </c>
      <c r="H700">
        <v>3</v>
      </c>
      <c r="I700">
        <v>3</v>
      </c>
      <c r="J700" s="27">
        <v>24375.18</v>
      </c>
      <c r="K700" s="27">
        <v>2000000</v>
      </c>
    </row>
    <row r="701" spans="1:11" ht="12.75" customHeight="1" x14ac:dyDescent="0.2">
      <c r="A701" t="s">
        <v>1982</v>
      </c>
      <c r="B701" t="s">
        <v>1983</v>
      </c>
      <c r="C701">
        <v>2023</v>
      </c>
      <c r="D701" s="18">
        <v>45285</v>
      </c>
      <c r="E701" s="18">
        <v>45650</v>
      </c>
      <c r="F701" s="18" t="s">
        <v>611</v>
      </c>
      <c r="G701" t="s">
        <v>102</v>
      </c>
      <c r="H701">
        <v>1</v>
      </c>
      <c r="I701">
        <v>1</v>
      </c>
      <c r="J701" s="27">
        <v>26329.32</v>
      </c>
      <c r="K701" s="27">
        <v>3500000</v>
      </c>
    </row>
    <row r="702" spans="1:11" ht="15" customHeight="1" x14ac:dyDescent="0.2">
      <c r="A702" t="s">
        <v>1984</v>
      </c>
      <c r="B702" t="s">
        <v>1985</v>
      </c>
      <c r="C702">
        <v>2023</v>
      </c>
      <c r="D702" s="18">
        <v>45285</v>
      </c>
      <c r="E702" s="18">
        <v>45650</v>
      </c>
      <c r="F702" s="18" t="s">
        <v>611</v>
      </c>
      <c r="G702" t="s">
        <v>102</v>
      </c>
      <c r="H702">
        <v>1</v>
      </c>
      <c r="I702">
        <v>2</v>
      </c>
      <c r="J702" s="27">
        <v>73808.67</v>
      </c>
      <c r="K702" s="27">
        <v>10000000</v>
      </c>
    </row>
    <row r="703" spans="1:11" ht="15" customHeight="1" x14ac:dyDescent="0.2">
      <c r="A703" t="s">
        <v>1986</v>
      </c>
      <c r="B703" t="s">
        <v>1987</v>
      </c>
      <c r="C703">
        <v>2023</v>
      </c>
      <c r="D703" s="18">
        <v>45285</v>
      </c>
      <c r="E703" s="18">
        <v>45650</v>
      </c>
      <c r="F703" s="18" t="s">
        <v>611</v>
      </c>
      <c r="G703" t="s">
        <v>101</v>
      </c>
      <c r="H703">
        <v>3</v>
      </c>
      <c r="I703">
        <v>3</v>
      </c>
      <c r="J703" s="27">
        <v>55613.63</v>
      </c>
      <c r="K703" s="27">
        <v>3500000</v>
      </c>
    </row>
    <row r="704" spans="1:11" ht="15" customHeight="1" x14ac:dyDescent="0.2">
      <c r="A704" t="s">
        <v>1988</v>
      </c>
      <c r="B704" t="s">
        <v>1989</v>
      </c>
      <c r="C704">
        <v>2023</v>
      </c>
      <c r="D704" s="18">
        <v>45286</v>
      </c>
      <c r="E704" s="18">
        <v>45651</v>
      </c>
      <c r="F704" s="18" t="s">
        <v>611</v>
      </c>
      <c r="G704" t="s">
        <v>100</v>
      </c>
      <c r="H704">
        <v>1</v>
      </c>
      <c r="I704">
        <v>1</v>
      </c>
      <c r="J704" s="27">
        <v>63065.72</v>
      </c>
      <c r="K704" s="27">
        <v>5000000</v>
      </c>
    </row>
    <row r="705" spans="1:11" ht="15" customHeight="1" x14ac:dyDescent="0.2">
      <c r="A705" t="s">
        <v>1990</v>
      </c>
      <c r="B705" t="s">
        <v>1991</v>
      </c>
      <c r="C705">
        <v>2023</v>
      </c>
      <c r="D705" s="18">
        <v>45286</v>
      </c>
      <c r="E705" s="18">
        <v>45651</v>
      </c>
      <c r="F705" s="18" t="s">
        <v>611</v>
      </c>
      <c r="G705" t="s">
        <v>101</v>
      </c>
      <c r="H705">
        <v>1</v>
      </c>
      <c r="I705">
        <v>1</v>
      </c>
      <c r="J705" s="27">
        <v>70721.960000000006</v>
      </c>
      <c r="K705" s="27">
        <v>5000000</v>
      </c>
    </row>
    <row r="706" spans="1:11" ht="15" customHeight="1" x14ac:dyDescent="0.2">
      <c r="A706" t="s">
        <v>1992</v>
      </c>
      <c r="B706" t="s">
        <v>1993</v>
      </c>
      <c r="C706">
        <v>2023</v>
      </c>
      <c r="D706" s="18">
        <v>45287</v>
      </c>
      <c r="E706" s="18">
        <v>45652</v>
      </c>
      <c r="F706" s="18" t="s">
        <v>608</v>
      </c>
      <c r="G706" t="s">
        <v>101</v>
      </c>
      <c r="H706">
        <v>1</v>
      </c>
      <c r="I706">
        <v>1</v>
      </c>
      <c r="J706" s="27">
        <v>28502.33</v>
      </c>
      <c r="K706" s="27">
        <v>2000000</v>
      </c>
    </row>
    <row r="707" spans="1:11" ht="15" customHeight="1" x14ac:dyDescent="0.2">
      <c r="A707" t="s">
        <v>1994</v>
      </c>
      <c r="B707" t="s">
        <v>1995</v>
      </c>
      <c r="C707">
        <v>2023</v>
      </c>
      <c r="D707" s="18">
        <v>45287</v>
      </c>
      <c r="E707" s="18">
        <v>45652</v>
      </c>
      <c r="F707" s="18" t="s">
        <v>611</v>
      </c>
      <c r="G707" t="s">
        <v>102</v>
      </c>
      <c r="H707">
        <v>2</v>
      </c>
      <c r="I707">
        <v>4</v>
      </c>
      <c r="J707" s="27">
        <v>13358.54</v>
      </c>
      <c r="K707" s="27">
        <v>2000000</v>
      </c>
    </row>
    <row r="708" spans="1:11" ht="15" customHeight="1" x14ac:dyDescent="0.2">
      <c r="A708" t="s">
        <v>1996</v>
      </c>
      <c r="B708" t="s">
        <v>1997</v>
      </c>
      <c r="C708">
        <v>2023</v>
      </c>
      <c r="D708" s="18">
        <v>45287</v>
      </c>
      <c r="E708" s="18">
        <v>45652</v>
      </c>
      <c r="F708" s="18" t="s">
        <v>611</v>
      </c>
      <c r="G708" t="s">
        <v>101</v>
      </c>
      <c r="H708">
        <v>1</v>
      </c>
      <c r="I708">
        <v>2</v>
      </c>
      <c r="J708" s="27">
        <v>24350.17</v>
      </c>
      <c r="K708" s="27">
        <v>1500000</v>
      </c>
    </row>
    <row r="709" spans="1:11" ht="15" customHeight="1" x14ac:dyDescent="0.2">
      <c r="A709" t="s">
        <v>1998</v>
      </c>
      <c r="B709" t="s">
        <v>1999</v>
      </c>
      <c r="C709">
        <v>2023</v>
      </c>
      <c r="D709" s="18">
        <v>45287</v>
      </c>
      <c r="E709" s="18">
        <v>45652</v>
      </c>
      <c r="F709" s="18" t="s">
        <v>611</v>
      </c>
      <c r="G709" t="s">
        <v>100</v>
      </c>
      <c r="H709">
        <v>2</v>
      </c>
      <c r="I709">
        <v>2</v>
      </c>
      <c r="J709" s="27">
        <v>128275.24</v>
      </c>
      <c r="K709" s="27">
        <v>10000000</v>
      </c>
    </row>
    <row r="710" spans="1:11" ht="15" customHeight="1" x14ac:dyDescent="0.2">
      <c r="A710" t="s">
        <v>2000</v>
      </c>
      <c r="B710" t="s">
        <v>2001</v>
      </c>
      <c r="C710">
        <v>2023</v>
      </c>
      <c r="D710" s="18">
        <v>45287</v>
      </c>
      <c r="E710" s="18">
        <v>45652</v>
      </c>
      <c r="F710" s="18" t="s">
        <v>611</v>
      </c>
      <c r="G710" t="s">
        <v>99</v>
      </c>
      <c r="H710">
        <v>3</v>
      </c>
      <c r="I710">
        <v>3</v>
      </c>
      <c r="J710" s="27">
        <v>81555.259999999995</v>
      </c>
      <c r="K710" s="27">
        <v>10000000</v>
      </c>
    </row>
    <row r="711" spans="1:11" ht="15" customHeight="1" x14ac:dyDescent="0.2">
      <c r="A711" t="s">
        <v>2002</v>
      </c>
      <c r="B711" t="s">
        <v>2003</v>
      </c>
      <c r="C711">
        <v>2023</v>
      </c>
      <c r="D711" s="18">
        <v>45287</v>
      </c>
      <c r="E711" s="18">
        <v>45652</v>
      </c>
      <c r="F711" s="18" t="s">
        <v>611</v>
      </c>
      <c r="G711" t="s">
        <v>101</v>
      </c>
      <c r="H711">
        <v>1</v>
      </c>
      <c r="I711">
        <v>1</v>
      </c>
      <c r="J711" s="27">
        <v>24546.95</v>
      </c>
      <c r="K711" s="27">
        <v>1500000</v>
      </c>
    </row>
    <row r="712" spans="1:11" ht="15" customHeight="1" x14ac:dyDescent="0.2">
      <c r="A712" t="s">
        <v>2004</v>
      </c>
      <c r="B712" t="s">
        <v>2005</v>
      </c>
      <c r="C712">
        <v>2023</v>
      </c>
      <c r="D712" s="18">
        <v>45287</v>
      </c>
      <c r="E712" s="18">
        <v>45652</v>
      </c>
      <c r="F712" s="18" t="s">
        <v>611</v>
      </c>
      <c r="G712" t="s">
        <v>100</v>
      </c>
      <c r="H712">
        <v>2</v>
      </c>
      <c r="I712">
        <v>2</v>
      </c>
      <c r="J712" s="27">
        <v>128670.73</v>
      </c>
      <c r="K712" s="27">
        <v>10000000</v>
      </c>
    </row>
    <row r="713" spans="1:11" ht="15" customHeight="1" x14ac:dyDescent="0.2">
      <c r="A713" t="s">
        <v>2006</v>
      </c>
      <c r="B713" t="s">
        <v>2007</v>
      </c>
      <c r="C713">
        <v>2023</v>
      </c>
      <c r="D713" s="18">
        <v>45287</v>
      </c>
      <c r="E713" s="18">
        <v>45652</v>
      </c>
      <c r="F713" s="18" t="s">
        <v>611</v>
      </c>
      <c r="G713" t="s">
        <v>101</v>
      </c>
      <c r="H713">
        <v>1</v>
      </c>
      <c r="I713">
        <v>2</v>
      </c>
      <c r="J713" s="27">
        <v>59210.49</v>
      </c>
      <c r="K713" s="27">
        <v>4000000</v>
      </c>
    </row>
    <row r="714" spans="1:11" ht="15" customHeight="1" x14ac:dyDescent="0.2">
      <c r="A714" t="s">
        <v>2008</v>
      </c>
      <c r="B714" t="s">
        <v>2009</v>
      </c>
      <c r="C714">
        <v>2023</v>
      </c>
      <c r="D714" s="18">
        <v>45287</v>
      </c>
      <c r="E714" s="18">
        <v>45652</v>
      </c>
      <c r="F714" s="18" t="s">
        <v>611</v>
      </c>
      <c r="G714" t="s">
        <v>99</v>
      </c>
      <c r="H714">
        <v>1</v>
      </c>
      <c r="I714">
        <v>2</v>
      </c>
      <c r="J714" s="27">
        <v>13351.52</v>
      </c>
      <c r="K714" s="27">
        <v>1500000</v>
      </c>
    </row>
    <row r="715" spans="1:11" ht="15" customHeight="1" x14ac:dyDescent="0.2">
      <c r="A715" t="s">
        <v>2010</v>
      </c>
      <c r="B715" t="s">
        <v>2011</v>
      </c>
      <c r="C715">
        <v>2023</v>
      </c>
      <c r="D715" s="18">
        <v>45288</v>
      </c>
      <c r="E715" s="18">
        <v>45653</v>
      </c>
      <c r="F715" s="18" t="s">
        <v>608</v>
      </c>
      <c r="G715" t="s">
        <v>102</v>
      </c>
      <c r="H715">
        <v>1</v>
      </c>
      <c r="I715">
        <v>1</v>
      </c>
      <c r="J715" s="27">
        <v>34519.35</v>
      </c>
      <c r="K715" s="27">
        <v>5000000</v>
      </c>
    </row>
    <row r="716" spans="1:11" ht="15" customHeight="1" x14ac:dyDescent="0.2">
      <c r="A716" t="s">
        <v>2012</v>
      </c>
      <c r="B716" t="s">
        <v>2013</v>
      </c>
      <c r="C716">
        <v>2023</v>
      </c>
      <c r="D716" s="18">
        <v>45288</v>
      </c>
      <c r="E716" s="18">
        <v>45653</v>
      </c>
      <c r="F716" s="18" t="s">
        <v>608</v>
      </c>
      <c r="G716" t="s">
        <v>100</v>
      </c>
      <c r="H716">
        <v>1</v>
      </c>
      <c r="I716">
        <v>1</v>
      </c>
      <c r="J716" s="27">
        <v>11654.26</v>
      </c>
      <c r="K716" s="27">
        <v>1000000</v>
      </c>
    </row>
    <row r="717" spans="1:11" ht="15" customHeight="1" x14ac:dyDescent="0.2">
      <c r="A717" t="s">
        <v>2014</v>
      </c>
      <c r="B717" t="s">
        <v>2015</v>
      </c>
      <c r="C717">
        <v>2023</v>
      </c>
      <c r="D717" s="18">
        <v>45288</v>
      </c>
      <c r="E717" s="18">
        <v>45653</v>
      </c>
      <c r="F717" s="18" t="s">
        <v>608</v>
      </c>
      <c r="G717" t="s">
        <v>99</v>
      </c>
      <c r="H717">
        <v>1</v>
      </c>
      <c r="I717">
        <v>2</v>
      </c>
      <c r="J717" s="27">
        <v>34740.730000000003</v>
      </c>
      <c r="K717" s="27">
        <v>4500000</v>
      </c>
    </row>
    <row r="718" spans="1:11" ht="15" customHeight="1" x14ac:dyDescent="0.2">
      <c r="A718" t="s">
        <v>2016</v>
      </c>
      <c r="B718" t="s">
        <v>2017</v>
      </c>
      <c r="C718">
        <v>2023</v>
      </c>
      <c r="D718" s="18">
        <v>45288</v>
      </c>
      <c r="E718" s="18">
        <v>45653</v>
      </c>
      <c r="F718" s="18" t="s">
        <v>611</v>
      </c>
      <c r="G718" t="s">
        <v>101</v>
      </c>
      <c r="H718">
        <v>1</v>
      </c>
      <c r="I718">
        <v>1</v>
      </c>
      <c r="J718" s="27">
        <v>8329.41</v>
      </c>
      <c r="K718" s="27">
        <v>500000</v>
      </c>
    </row>
    <row r="719" spans="1:11" ht="15" customHeight="1" x14ac:dyDescent="0.2">
      <c r="A719" t="s">
        <v>2018</v>
      </c>
      <c r="B719" t="s">
        <v>2019</v>
      </c>
      <c r="C719">
        <v>2023</v>
      </c>
      <c r="D719" s="18">
        <v>45288</v>
      </c>
      <c r="E719" s="18">
        <v>45653</v>
      </c>
      <c r="F719" s="18" t="s">
        <v>611</v>
      </c>
      <c r="G719" t="s">
        <v>101</v>
      </c>
      <c r="H719">
        <v>3</v>
      </c>
      <c r="I719">
        <v>3</v>
      </c>
      <c r="J719" s="27">
        <v>152459.91</v>
      </c>
      <c r="K719" s="27">
        <v>10000000</v>
      </c>
    </row>
    <row r="720" spans="1:11" ht="15" customHeight="1" x14ac:dyDescent="0.2">
      <c r="A720" t="s">
        <v>2020</v>
      </c>
      <c r="B720" t="s">
        <v>2021</v>
      </c>
      <c r="C720">
        <v>2023</v>
      </c>
      <c r="D720" s="18">
        <v>45288</v>
      </c>
      <c r="E720" s="18">
        <v>45653</v>
      </c>
      <c r="F720" s="18" t="s">
        <v>611</v>
      </c>
      <c r="G720" t="s">
        <v>100</v>
      </c>
      <c r="H720">
        <v>1</v>
      </c>
      <c r="I720">
        <v>1</v>
      </c>
      <c r="J720" s="27">
        <v>131127.29</v>
      </c>
      <c r="K720" s="27">
        <v>10000000</v>
      </c>
    </row>
    <row r="721" spans="1:11" ht="15" customHeight="1" x14ac:dyDescent="0.2">
      <c r="A721" t="s">
        <v>2022</v>
      </c>
      <c r="B721" t="s">
        <v>2023</v>
      </c>
      <c r="C721">
        <v>2023</v>
      </c>
      <c r="D721" s="18">
        <v>45288</v>
      </c>
      <c r="E721" s="18">
        <v>45653</v>
      </c>
      <c r="F721" s="18" t="s">
        <v>611</v>
      </c>
      <c r="G721" t="s">
        <v>100</v>
      </c>
      <c r="H721">
        <v>2</v>
      </c>
      <c r="I721">
        <v>4</v>
      </c>
      <c r="J721" s="27">
        <v>26446.67</v>
      </c>
      <c r="K721" s="27">
        <v>2000000</v>
      </c>
    </row>
    <row r="722" spans="1:11" ht="15" customHeight="1" x14ac:dyDescent="0.2">
      <c r="A722" t="s">
        <v>2024</v>
      </c>
      <c r="B722" t="s">
        <v>2025</v>
      </c>
      <c r="C722">
        <v>2023</v>
      </c>
      <c r="D722" s="18">
        <v>45288</v>
      </c>
      <c r="E722" s="18">
        <v>45653</v>
      </c>
      <c r="F722" s="18" t="s">
        <v>611</v>
      </c>
      <c r="G722" t="s">
        <v>101</v>
      </c>
      <c r="H722">
        <v>1</v>
      </c>
      <c r="I722">
        <v>1</v>
      </c>
      <c r="J722" s="27">
        <v>21400.67</v>
      </c>
      <c r="K722" s="27">
        <v>1500000</v>
      </c>
    </row>
    <row r="723" spans="1:11" ht="15" customHeight="1" x14ac:dyDescent="0.2">
      <c r="A723" t="s">
        <v>2026</v>
      </c>
      <c r="B723" t="s">
        <v>2027</v>
      </c>
      <c r="C723">
        <v>2023</v>
      </c>
      <c r="D723" s="18">
        <v>45288</v>
      </c>
      <c r="E723" s="18">
        <v>45653</v>
      </c>
      <c r="F723" s="18" t="s">
        <v>611</v>
      </c>
      <c r="G723" t="s">
        <v>100</v>
      </c>
      <c r="H723">
        <v>1</v>
      </c>
      <c r="I723">
        <v>1</v>
      </c>
      <c r="J723" s="27">
        <v>53581.02</v>
      </c>
      <c r="K723" s="27">
        <v>4000000</v>
      </c>
    </row>
    <row r="724" spans="1:11" ht="15" customHeight="1" x14ac:dyDescent="0.2">
      <c r="A724" t="s">
        <v>2028</v>
      </c>
      <c r="B724" t="s">
        <v>2029</v>
      </c>
      <c r="C724">
        <v>2023</v>
      </c>
      <c r="D724" s="18">
        <v>45288</v>
      </c>
      <c r="E724" s="18">
        <v>45653</v>
      </c>
      <c r="F724" s="18" t="s">
        <v>611</v>
      </c>
      <c r="G724" t="s">
        <v>99</v>
      </c>
      <c r="H724">
        <v>1</v>
      </c>
      <c r="I724">
        <v>2</v>
      </c>
      <c r="J724" s="27">
        <v>32788.78</v>
      </c>
      <c r="K724" s="27">
        <v>4000000</v>
      </c>
    </row>
    <row r="725" spans="1:11" ht="15" customHeight="1" x14ac:dyDescent="0.2">
      <c r="A725" t="s">
        <v>2030</v>
      </c>
      <c r="B725" t="s">
        <v>2031</v>
      </c>
      <c r="C725">
        <v>2023</v>
      </c>
      <c r="D725" s="18">
        <v>45288</v>
      </c>
      <c r="E725" s="18">
        <v>45653</v>
      </c>
      <c r="F725" s="18" t="s">
        <v>611</v>
      </c>
      <c r="G725" t="s">
        <v>99</v>
      </c>
      <c r="H725">
        <v>3</v>
      </c>
      <c r="I725">
        <v>6</v>
      </c>
      <c r="J725" s="27">
        <v>4162.1400000000003</v>
      </c>
      <c r="K725" s="27">
        <v>500000</v>
      </c>
    </row>
    <row r="726" spans="1:11" ht="15" customHeight="1" x14ac:dyDescent="0.2">
      <c r="A726" t="s">
        <v>2032</v>
      </c>
      <c r="B726" t="s">
        <v>2033</v>
      </c>
      <c r="C726">
        <v>2023</v>
      </c>
      <c r="D726" s="18">
        <v>45288</v>
      </c>
      <c r="E726" s="18">
        <v>45653</v>
      </c>
      <c r="F726" s="18" t="s">
        <v>611</v>
      </c>
      <c r="G726" t="s">
        <v>99</v>
      </c>
      <c r="H726">
        <v>2</v>
      </c>
      <c r="I726">
        <v>2</v>
      </c>
      <c r="J726" s="27">
        <v>35847.480000000003</v>
      </c>
      <c r="K726" s="27">
        <v>4500000</v>
      </c>
    </row>
    <row r="727" spans="1:11" ht="15" customHeight="1" x14ac:dyDescent="0.2">
      <c r="A727" t="s">
        <v>2034</v>
      </c>
      <c r="B727" t="s">
        <v>2035</v>
      </c>
      <c r="C727">
        <v>2023</v>
      </c>
      <c r="D727" s="18">
        <v>45289</v>
      </c>
      <c r="E727" s="18">
        <v>45654</v>
      </c>
      <c r="F727" s="18" t="s">
        <v>608</v>
      </c>
      <c r="G727" t="s">
        <v>100</v>
      </c>
      <c r="H727">
        <v>3</v>
      </c>
      <c r="I727">
        <v>6</v>
      </c>
      <c r="J727" s="27">
        <v>32814.76</v>
      </c>
      <c r="K727" s="27">
        <v>2500000</v>
      </c>
    </row>
    <row r="728" spans="1:11" ht="15" customHeight="1" x14ac:dyDescent="0.2">
      <c r="A728" t="s">
        <v>2036</v>
      </c>
      <c r="B728" t="s">
        <v>2037</v>
      </c>
      <c r="C728">
        <v>2023</v>
      </c>
      <c r="D728" s="18">
        <v>45289</v>
      </c>
      <c r="E728" s="18">
        <v>45654</v>
      </c>
      <c r="F728" s="18" t="s">
        <v>608</v>
      </c>
      <c r="G728" t="s">
        <v>101</v>
      </c>
      <c r="H728">
        <v>1</v>
      </c>
      <c r="I728">
        <v>1</v>
      </c>
      <c r="J728" s="27">
        <v>68697.63</v>
      </c>
      <c r="K728" s="27">
        <v>4500000</v>
      </c>
    </row>
    <row r="729" spans="1:11" ht="15" customHeight="1" x14ac:dyDescent="0.2">
      <c r="A729" t="s">
        <v>2038</v>
      </c>
      <c r="B729" t="s">
        <v>2039</v>
      </c>
      <c r="C729">
        <v>2023</v>
      </c>
      <c r="D729" s="18">
        <v>45289</v>
      </c>
      <c r="E729" s="18">
        <v>45654</v>
      </c>
      <c r="F729" s="18" t="s">
        <v>611</v>
      </c>
      <c r="G729" t="s">
        <v>101</v>
      </c>
      <c r="H729">
        <v>1</v>
      </c>
      <c r="I729">
        <v>1</v>
      </c>
      <c r="J729" s="27">
        <v>15368.33</v>
      </c>
      <c r="K729" s="27">
        <v>1000000</v>
      </c>
    </row>
    <row r="730" spans="1:11" ht="15" customHeight="1" x14ac:dyDescent="0.2">
      <c r="A730" t="s">
        <v>2040</v>
      </c>
      <c r="B730" t="s">
        <v>2041</v>
      </c>
      <c r="C730">
        <v>2023</v>
      </c>
      <c r="D730" s="18">
        <v>45289</v>
      </c>
      <c r="E730" s="18">
        <v>45654</v>
      </c>
      <c r="F730" s="18" t="s">
        <v>611</v>
      </c>
      <c r="G730" t="s">
        <v>101</v>
      </c>
      <c r="H730">
        <v>3</v>
      </c>
      <c r="I730">
        <v>3</v>
      </c>
      <c r="J730" s="27">
        <v>156297.07</v>
      </c>
      <c r="K730" s="27">
        <v>10000000</v>
      </c>
    </row>
    <row r="731" spans="1:11" ht="15" customHeight="1" x14ac:dyDescent="0.2">
      <c r="A731" t="s">
        <v>2042</v>
      </c>
      <c r="B731" t="s">
        <v>2043</v>
      </c>
      <c r="C731">
        <v>2023</v>
      </c>
      <c r="D731" s="18">
        <v>45289</v>
      </c>
      <c r="E731" s="18">
        <v>45654</v>
      </c>
      <c r="F731" s="18" t="s">
        <v>611</v>
      </c>
      <c r="G731" t="s">
        <v>101</v>
      </c>
      <c r="H731">
        <v>1</v>
      </c>
      <c r="I731">
        <v>1</v>
      </c>
      <c r="J731" s="27">
        <v>33591.67</v>
      </c>
      <c r="K731" s="27">
        <v>2000000</v>
      </c>
    </row>
    <row r="732" spans="1:11" ht="15" customHeight="1" x14ac:dyDescent="0.2">
      <c r="A732" t="s">
        <v>2044</v>
      </c>
      <c r="B732" t="s">
        <v>2045</v>
      </c>
      <c r="C732">
        <v>2023</v>
      </c>
      <c r="D732" s="18">
        <v>45289</v>
      </c>
      <c r="E732" s="18">
        <v>45654</v>
      </c>
      <c r="F732" s="18" t="s">
        <v>611</v>
      </c>
      <c r="G732" t="s">
        <v>100</v>
      </c>
      <c r="H732">
        <v>3</v>
      </c>
      <c r="I732">
        <v>6</v>
      </c>
      <c r="J732" s="27">
        <v>37997.870000000003</v>
      </c>
      <c r="K732" s="27">
        <v>3000000</v>
      </c>
    </row>
    <row r="733" spans="1:11" ht="15" customHeight="1" x14ac:dyDescent="0.2">
      <c r="A733" t="s">
        <v>2046</v>
      </c>
      <c r="B733" t="s">
        <v>2047</v>
      </c>
      <c r="C733">
        <v>2023</v>
      </c>
      <c r="D733" s="18">
        <v>45289</v>
      </c>
      <c r="E733" s="18">
        <v>45654</v>
      </c>
      <c r="F733" s="18" t="s">
        <v>611</v>
      </c>
      <c r="G733" t="s">
        <v>99</v>
      </c>
      <c r="H733">
        <v>2</v>
      </c>
      <c r="I733">
        <v>4</v>
      </c>
      <c r="J733" s="27">
        <v>40009.870000000003</v>
      </c>
      <c r="K733" s="27">
        <v>5000000</v>
      </c>
    </row>
    <row r="734" spans="1:11" ht="15" customHeight="1" x14ac:dyDescent="0.2">
      <c r="A734" t="s">
        <v>2048</v>
      </c>
      <c r="B734" t="s">
        <v>2049</v>
      </c>
      <c r="C734">
        <v>2023</v>
      </c>
      <c r="D734" s="18">
        <v>45290</v>
      </c>
      <c r="E734" s="18">
        <v>45655</v>
      </c>
      <c r="F734" s="18" t="s">
        <v>608</v>
      </c>
      <c r="G734" t="s">
        <v>101</v>
      </c>
      <c r="H734">
        <v>1</v>
      </c>
      <c r="I734">
        <v>1</v>
      </c>
      <c r="J734" s="27">
        <v>74084.08</v>
      </c>
      <c r="K734" s="27">
        <v>5000000</v>
      </c>
    </row>
    <row r="735" spans="1:11" ht="15" customHeight="1" x14ac:dyDescent="0.2">
      <c r="A735" t="s">
        <v>2050</v>
      </c>
      <c r="B735" t="s">
        <v>2051</v>
      </c>
      <c r="C735">
        <v>2023</v>
      </c>
      <c r="D735" s="18">
        <v>45290</v>
      </c>
      <c r="E735" s="18">
        <v>45655</v>
      </c>
      <c r="F735" s="18" t="s">
        <v>608</v>
      </c>
      <c r="G735" t="s">
        <v>99</v>
      </c>
      <c r="H735">
        <v>1</v>
      </c>
      <c r="I735">
        <v>2</v>
      </c>
      <c r="J735" s="27">
        <v>25426.57</v>
      </c>
      <c r="K735" s="27">
        <v>3000000</v>
      </c>
    </row>
    <row r="736" spans="1:11" ht="15" customHeight="1" x14ac:dyDescent="0.2">
      <c r="A736" t="s">
        <v>2052</v>
      </c>
      <c r="B736" t="s">
        <v>2053</v>
      </c>
      <c r="C736">
        <v>2023</v>
      </c>
      <c r="D736" s="18">
        <v>45290</v>
      </c>
      <c r="E736" s="18">
        <v>45655</v>
      </c>
      <c r="F736" s="18" t="s">
        <v>611</v>
      </c>
      <c r="G736" t="s">
        <v>99</v>
      </c>
      <c r="H736">
        <v>3</v>
      </c>
      <c r="I736">
        <v>3</v>
      </c>
      <c r="J736" s="27">
        <v>80003.25</v>
      </c>
      <c r="K736" s="27">
        <v>10000000</v>
      </c>
    </row>
    <row r="737" spans="1:11" ht="15" customHeight="1" x14ac:dyDescent="0.2">
      <c r="A737" t="s">
        <v>2054</v>
      </c>
      <c r="B737" t="s">
        <v>2055</v>
      </c>
      <c r="C737">
        <v>2023</v>
      </c>
      <c r="D737" s="18">
        <v>45290</v>
      </c>
      <c r="E737" s="18">
        <v>45655</v>
      </c>
      <c r="F737" s="18" t="s">
        <v>611</v>
      </c>
      <c r="G737" t="s">
        <v>100</v>
      </c>
      <c r="H737">
        <v>1</v>
      </c>
      <c r="I737">
        <v>1</v>
      </c>
      <c r="J737" s="27">
        <v>55777.4</v>
      </c>
      <c r="K737" s="27">
        <v>4500000</v>
      </c>
    </row>
    <row r="738" spans="1:11" ht="15" customHeight="1" x14ac:dyDescent="0.2">
      <c r="A738" t="s">
        <v>2056</v>
      </c>
      <c r="B738" t="s">
        <v>2057</v>
      </c>
      <c r="C738">
        <v>2023</v>
      </c>
      <c r="D738" s="18">
        <v>45290</v>
      </c>
      <c r="E738" s="18">
        <v>45655</v>
      </c>
      <c r="F738" s="18" t="s">
        <v>611</v>
      </c>
      <c r="G738" t="s">
        <v>101</v>
      </c>
      <c r="H738">
        <v>3</v>
      </c>
      <c r="I738">
        <v>3</v>
      </c>
      <c r="J738" s="27">
        <v>74805.460000000006</v>
      </c>
      <c r="K738" s="27">
        <v>5000000</v>
      </c>
    </row>
    <row r="739" spans="1:11" ht="15" customHeight="1" x14ac:dyDescent="0.2">
      <c r="A739" t="s">
        <v>2058</v>
      </c>
      <c r="B739" t="s">
        <v>2059</v>
      </c>
      <c r="C739">
        <v>2023</v>
      </c>
      <c r="D739" s="18">
        <v>45290</v>
      </c>
      <c r="E739" s="18">
        <v>45655</v>
      </c>
      <c r="F739" s="18" t="s">
        <v>611</v>
      </c>
      <c r="G739" t="s">
        <v>99</v>
      </c>
      <c r="H739">
        <v>2</v>
      </c>
      <c r="I739">
        <v>4</v>
      </c>
      <c r="J739" s="27">
        <v>27249.47</v>
      </c>
      <c r="K739" s="27">
        <v>3000000</v>
      </c>
    </row>
    <row r="740" spans="1:11" ht="15" customHeight="1" x14ac:dyDescent="0.2">
      <c r="A740" t="s">
        <v>2060</v>
      </c>
      <c r="B740" t="s">
        <v>2061</v>
      </c>
      <c r="C740">
        <v>2023</v>
      </c>
      <c r="D740" s="18">
        <v>45290</v>
      </c>
      <c r="E740" s="18">
        <v>45655</v>
      </c>
      <c r="F740" s="18" t="s">
        <v>611</v>
      </c>
      <c r="G740" t="s">
        <v>100</v>
      </c>
      <c r="H740">
        <v>2</v>
      </c>
      <c r="I740">
        <v>4</v>
      </c>
      <c r="J740" s="27">
        <v>12305.63</v>
      </c>
      <c r="K740" s="27">
        <v>1000000</v>
      </c>
    </row>
    <row r="741" spans="1:11" ht="15" customHeight="1" x14ac:dyDescent="0.2">
      <c r="A741" t="s">
        <v>2062</v>
      </c>
      <c r="B741" t="s">
        <v>2063</v>
      </c>
      <c r="C741">
        <v>2023</v>
      </c>
      <c r="D741" s="18">
        <v>45290</v>
      </c>
      <c r="E741" s="18">
        <v>45655</v>
      </c>
      <c r="F741" s="18" t="s">
        <v>611</v>
      </c>
      <c r="G741" t="s">
        <v>101</v>
      </c>
      <c r="H741">
        <v>1</v>
      </c>
      <c r="I741">
        <v>2</v>
      </c>
      <c r="J741" s="27">
        <v>40117.620000000003</v>
      </c>
      <c r="K741" s="27">
        <v>2500000</v>
      </c>
    </row>
    <row r="742" spans="1:11" ht="15" customHeight="1" x14ac:dyDescent="0.2">
      <c r="A742" t="s">
        <v>2064</v>
      </c>
      <c r="B742" t="s">
        <v>2065</v>
      </c>
      <c r="C742">
        <v>2023</v>
      </c>
      <c r="D742" s="18">
        <v>45290</v>
      </c>
      <c r="E742" s="18">
        <v>45655</v>
      </c>
      <c r="F742" s="18" t="s">
        <v>611</v>
      </c>
      <c r="G742" t="s">
        <v>101</v>
      </c>
      <c r="H742">
        <v>3</v>
      </c>
      <c r="I742">
        <v>3</v>
      </c>
      <c r="J742" s="27">
        <v>156680.32999999999</v>
      </c>
      <c r="K742" s="27">
        <v>10000000</v>
      </c>
    </row>
    <row r="743" spans="1:11" ht="15" customHeight="1" x14ac:dyDescent="0.2">
      <c r="A743" t="s">
        <v>2066</v>
      </c>
      <c r="B743" t="s">
        <v>2067</v>
      </c>
      <c r="C743">
        <v>2023</v>
      </c>
      <c r="D743" s="18">
        <v>45291</v>
      </c>
      <c r="E743" s="18">
        <v>45656</v>
      </c>
      <c r="F743" s="18" t="s">
        <v>608</v>
      </c>
      <c r="G743" t="s">
        <v>102</v>
      </c>
      <c r="H743">
        <v>1</v>
      </c>
      <c r="I743">
        <v>1</v>
      </c>
      <c r="J743" s="27">
        <v>26070.31</v>
      </c>
      <c r="K743" s="27">
        <v>3500000</v>
      </c>
    </row>
    <row r="744" spans="1:11" ht="15" customHeight="1" x14ac:dyDescent="0.2">
      <c r="A744" t="s">
        <v>2068</v>
      </c>
      <c r="B744" t="s">
        <v>2069</v>
      </c>
      <c r="C744">
        <v>2023</v>
      </c>
      <c r="D744" s="18">
        <v>45291</v>
      </c>
      <c r="E744" s="18">
        <v>45656</v>
      </c>
      <c r="F744" s="18" t="s">
        <v>608</v>
      </c>
      <c r="G744" t="s">
        <v>101</v>
      </c>
      <c r="H744">
        <v>1</v>
      </c>
      <c r="I744">
        <v>2</v>
      </c>
      <c r="J744" s="27">
        <v>32901.86</v>
      </c>
      <c r="K744" s="27">
        <v>2000000</v>
      </c>
    </row>
    <row r="745" spans="1:11" ht="15" customHeight="1" x14ac:dyDescent="0.2">
      <c r="A745" t="s">
        <v>2070</v>
      </c>
      <c r="B745" t="s">
        <v>2071</v>
      </c>
      <c r="C745">
        <v>2023</v>
      </c>
      <c r="D745" s="18">
        <v>45291</v>
      </c>
      <c r="E745" s="18">
        <v>45656</v>
      </c>
      <c r="F745" s="18" t="s">
        <v>608</v>
      </c>
      <c r="G745" t="s">
        <v>101</v>
      </c>
      <c r="H745">
        <v>2</v>
      </c>
      <c r="I745">
        <v>2</v>
      </c>
      <c r="J745" s="27">
        <v>75025.94</v>
      </c>
      <c r="K745" s="27">
        <v>4500000</v>
      </c>
    </row>
    <row r="746" spans="1:11" ht="15" customHeight="1" x14ac:dyDescent="0.2">
      <c r="A746" t="s">
        <v>2072</v>
      </c>
      <c r="B746" t="s">
        <v>2073</v>
      </c>
      <c r="C746">
        <v>2023</v>
      </c>
      <c r="D746" s="18">
        <v>45291</v>
      </c>
      <c r="E746" s="18">
        <v>45656</v>
      </c>
      <c r="F746" s="18" t="s">
        <v>608</v>
      </c>
      <c r="G746" t="s">
        <v>99</v>
      </c>
      <c r="H746">
        <v>1</v>
      </c>
      <c r="I746">
        <v>2</v>
      </c>
      <c r="J746" s="27">
        <v>24533.5</v>
      </c>
      <c r="K746" s="27">
        <v>3000000</v>
      </c>
    </row>
    <row r="747" spans="1:11" ht="15" customHeight="1" x14ac:dyDescent="0.2">
      <c r="A747" t="s">
        <v>2074</v>
      </c>
      <c r="B747" t="s">
        <v>2075</v>
      </c>
      <c r="C747">
        <v>2023</v>
      </c>
      <c r="D747" s="18">
        <v>45291</v>
      </c>
      <c r="E747" s="18">
        <v>45656</v>
      </c>
      <c r="F747" s="18" t="s">
        <v>608</v>
      </c>
      <c r="G747" t="s">
        <v>102</v>
      </c>
      <c r="H747">
        <v>2</v>
      </c>
      <c r="I747">
        <v>4</v>
      </c>
      <c r="J747" s="27">
        <v>27789.81</v>
      </c>
      <c r="K747" s="27">
        <v>4000000</v>
      </c>
    </row>
    <row r="748" spans="1:11" ht="15" customHeight="1" x14ac:dyDescent="0.2">
      <c r="A748" t="s">
        <v>2076</v>
      </c>
      <c r="B748" t="s">
        <v>2077</v>
      </c>
      <c r="C748">
        <v>2023</v>
      </c>
      <c r="D748" s="18">
        <v>45291</v>
      </c>
      <c r="E748" s="18">
        <v>45656</v>
      </c>
      <c r="F748" s="18" t="s">
        <v>611</v>
      </c>
      <c r="G748" t="s">
        <v>100</v>
      </c>
      <c r="H748">
        <v>1</v>
      </c>
      <c r="I748">
        <v>2</v>
      </c>
      <c r="J748" s="27">
        <v>51099.24</v>
      </c>
      <c r="K748" s="27">
        <v>4000000</v>
      </c>
    </row>
    <row r="749" spans="1:11" ht="15" customHeight="1" x14ac:dyDescent="0.2">
      <c r="A749" t="s">
        <v>2078</v>
      </c>
      <c r="B749" t="s">
        <v>2079</v>
      </c>
      <c r="C749">
        <v>2023</v>
      </c>
      <c r="D749" s="18">
        <v>45291</v>
      </c>
      <c r="E749" s="18">
        <v>45656</v>
      </c>
      <c r="F749" s="18" t="s">
        <v>611</v>
      </c>
      <c r="G749" t="s">
        <v>101</v>
      </c>
      <c r="H749">
        <v>1</v>
      </c>
      <c r="I749">
        <v>2</v>
      </c>
      <c r="J749" s="27">
        <v>71575.91</v>
      </c>
      <c r="K749" s="27">
        <v>5000000</v>
      </c>
    </row>
    <row r="750" spans="1:11" ht="15" customHeight="1" x14ac:dyDescent="0.2">
      <c r="A750" t="s">
        <v>2080</v>
      </c>
      <c r="B750" t="s">
        <v>2081</v>
      </c>
      <c r="C750">
        <v>2023</v>
      </c>
      <c r="D750" s="18">
        <v>45291</v>
      </c>
      <c r="E750" s="18">
        <v>45656</v>
      </c>
      <c r="F750" s="18" t="s">
        <v>611</v>
      </c>
      <c r="G750" t="s">
        <v>99</v>
      </c>
      <c r="H750">
        <v>2</v>
      </c>
      <c r="I750">
        <v>2</v>
      </c>
      <c r="J750" s="27">
        <v>4249.99</v>
      </c>
      <c r="K750" s="27">
        <v>500000</v>
      </c>
    </row>
    <row r="751" spans="1:11" ht="15" customHeight="1" x14ac:dyDescent="0.2">
      <c r="A751" t="s">
        <v>2082</v>
      </c>
      <c r="B751" t="s">
        <v>2083</v>
      </c>
      <c r="C751">
        <v>2023</v>
      </c>
      <c r="D751" s="18">
        <v>45291</v>
      </c>
      <c r="E751" s="18">
        <v>45656</v>
      </c>
      <c r="F751" s="18" t="s">
        <v>611</v>
      </c>
      <c r="G751" t="s">
        <v>99</v>
      </c>
      <c r="H751">
        <v>2</v>
      </c>
      <c r="I751">
        <v>4</v>
      </c>
      <c r="J751" s="27">
        <v>26186.37</v>
      </c>
      <c r="K751" s="27">
        <v>3000000</v>
      </c>
    </row>
    <row r="752" spans="1:11" ht="15" customHeight="1" x14ac:dyDescent="0.2">
      <c r="A752" t="s">
        <v>2084</v>
      </c>
      <c r="B752" t="s">
        <v>2085</v>
      </c>
      <c r="C752">
        <v>2023</v>
      </c>
      <c r="D752" s="18">
        <v>45291</v>
      </c>
      <c r="E752" s="18">
        <v>45656</v>
      </c>
      <c r="F752" s="18" t="s">
        <v>611</v>
      </c>
      <c r="G752" t="s">
        <v>100</v>
      </c>
      <c r="H752">
        <v>3</v>
      </c>
      <c r="I752">
        <v>3</v>
      </c>
      <c r="J752" s="27">
        <v>6646.16</v>
      </c>
      <c r="K752" s="27">
        <v>500000</v>
      </c>
    </row>
    <row r="753" spans="1:11" ht="15" customHeight="1" x14ac:dyDescent="0.2">
      <c r="A753" t="s">
        <v>2086</v>
      </c>
      <c r="B753" t="s">
        <v>2087</v>
      </c>
      <c r="C753">
        <v>2023</v>
      </c>
      <c r="D753" s="18">
        <v>45291</v>
      </c>
      <c r="E753" s="18">
        <v>45656</v>
      </c>
      <c r="F753" s="18" t="s">
        <v>611</v>
      </c>
      <c r="G753" t="s">
        <v>99</v>
      </c>
      <c r="H753">
        <v>1</v>
      </c>
      <c r="I753">
        <v>2</v>
      </c>
      <c r="J753" s="27">
        <v>45640.78</v>
      </c>
      <c r="K753" s="27">
        <v>5000000</v>
      </c>
    </row>
    <row r="754" spans="1:11" ht="15" customHeight="1" x14ac:dyDescent="0.2">
      <c r="A754" t="s">
        <v>2088</v>
      </c>
      <c r="B754" t="s">
        <v>2089</v>
      </c>
      <c r="C754">
        <v>2024</v>
      </c>
      <c r="D754" s="18">
        <v>45292</v>
      </c>
      <c r="E754" s="18">
        <v>45657</v>
      </c>
      <c r="F754" s="18" t="s">
        <v>608</v>
      </c>
      <c r="G754" t="s">
        <v>101</v>
      </c>
      <c r="H754">
        <v>1</v>
      </c>
      <c r="I754">
        <v>1</v>
      </c>
      <c r="J754" s="27">
        <v>31744.01</v>
      </c>
      <c r="K754" s="27">
        <v>2000000</v>
      </c>
    </row>
    <row r="755" spans="1:11" ht="15" customHeight="1" x14ac:dyDescent="0.2">
      <c r="A755" t="s">
        <v>2090</v>
      </c>
      <c r="B755" t="s">
        <v>2091</v>
      </c>
      <c r="C755">
        <v>2024</v>
      </c>
      <c r="D755" s="18">
        <v>45292</v>
      </c>
      <c r="E755" s="18">
        <v>45657</v>
      </c>
      <c r="F755" s="18" t="s">
        <v>611</v>
      </c>
      <c r="G755" t="s">
        <v>99</v>
      </c>
      <c r="H755">
        <v>1</v>
      </c>
      <c r="I755">
        <v>1</v>
      </c>
      <c r="J755" s="27">
        <v>31862.63</v>
      </c>
      <c r="K755" s="27">
        <v>4000000</v>
      </c>
    </row>
    <row r="756" spans="1:11" ht="15" customHeight="1" x14ac:dyDescent="0.2">
      <c r="A756" t="s">
        <v>2092</v>
      </c>
      <c r="B756" t="s">
        <v>2093</v>
      </c>
      <c r="C756">
        <v>2024</v>
      </c>
      <c r="D756" s="18">
        <v>45292</v>
      </c>
      <c r="E756" s="18">
        <v>45657</v>
      </c>
      <c r="F756" s="18" t="s">
        <v>611</v>
      </c>
      <c r="G756" t="s">
        <v>99</v>
      </c>
      <c r="H756">
        <v>3</v>
      </c>
      <c r="I756">
        <v>3</v>
      </c>
      <c r="J756" s="27">
        <v>8793.9500000000007</v>
      </c>
      <c r="K756" s="27">
        <v>1000000</v>
      </c>
    </row>
    <row r="757" spans="1:11" ht="15" customHeight="1" x14ac:dyDescent="0.2">
      <c r="A757" t="s">
        <v>2094</v>
      </c>
      <c r="B757" t="s">
        <v>2095</v>
      </c>
      <c r="C757">
        <v>2024</v>
      </c>
      <c r="D757" s="18">
        <v>45292</v>
      </c>
      <c r="E757" s="18">
        <v>45657</v>
      </c>
      <c r="F757" s="18" t="s">
        <v>611</v>
      </c>
      <c r="G757" t="s">
        <v>99</v>
      </c>
      <c r="H757">
        <v>2</v>
      </c>
      <c r="I757">
        <v>4</v>
      </c>
      <c r="J757" s="27">
        <v>13646.03</v>
      </c>
      <c r="K757" s="27">
        <v>1500000</v>
      </c>
    </row>
    <row r="758" spans="1:11" ht="15" customHeight="1" x14ac:dyDescent="0.2">
      <c r="A758" t="s">
        <v>2096</v>
      </c>
      <c r="B758" t="s">
        <v>2097</v>
      </c>
      <c r="C758">
        <v>2024</v>
      </c>
      <c r="D758" s="18">
        <v>45293</v>
      </c>
      <c r="E758" s="18">
        <v>45658</v>
      </c>
      <c r="F758" s="18" t="s">
        <v>608</v>
      </c>
      <c r="G758" t="s">
        <v>102</v>
      </c>
      <c r="H758">
        <v>2</v>
      </c>
      <c r="I758">
        <v>4</v>
      </c>
      <c r="J758" s="27">
        <v>37351.199999999997</v>
      </c>
      <c r="K758" s="27">
        <v>5000000</v>
      </c>
    </row>
    <row r="759" spans="1:11" ht="15" customHeight="1" x14ac:dyDescent="0.2">
      <c r="A759" t="s">
        <v>2098</v>
      </c>
      <c r="B759" t="s">
        <v>2099</v>
      </c>
      <c r="C759">
        <v>2024</v>
      </c>
      <c r="D759" s="18">
        <v>45293</v>
      </c>
      <c r="E759" s="18">
        <v>45658</v>
      </c>
      <c r="F759" s="18" t="s">
        <v>608</v>
      </c>
      <c r="G759" t="s">
        <v>99</v>
      </c>
      <c r="H759">
        <v>1</v>
      </c>
      <c r="I759">
        <v>1</v>
      </c>
      <c r="J759" s="27">
        <v>17611</v>
      </c>
      <c r="K759" s="27">
        <v>2000000</v>
      </c>
    </row>
    <row r="760" spans="1:11" ht="15" customHeight="1" x14ac:dyDescent="0.2">
      <c r="A760" t="s">
        <v>2100</v>
      </c>
      <c r="B760" t="s">
        <v>2101</v>
      </c>
      <c r="C760">
        <v>2024</v>
      </c>
      <c r="D760" s="18">
        <v>45293</v>
      </c>
      <c r="E760" s="18">
        <v>45658</v>
      </c>
      <c r="F760" s="18" t="s">
        <v>608</v>
      </c>
      <c r="G760" t="s">
        <v>100</v>
      </c>
      <c r="H760">
        <v>3</v>
      </c>
      <c r="I760">
        <v>3</v>
      </c>
      <c r="J760" s="27">
        <v>11575.97</v>
      </c>
      <c r="K760" s="27">
        <v>1000000</v>
      </c>
    </row>
    <row r="761" spans="1:11" ht="15" customHeight="1" x14ac:dyDescent="0.2">
      <c r="A761" t="s">
        <v>2102</v>
      </c>
      <c r="B761" t="s">
        <v>2103</v>
      </c>
      <c r="C761">
        <v>2024</v>
      </c>
      <c r="D761" s="18">
        <v>45293</v>
      </c>
      <c r="E761" s="18">
        <v>45658</v>
      </c>
      <c r="F761" s="18" t="s">
        <v>608</v>
      </c>
      <c r="G761" t="s">
        <v>100</v>
      </c>
      <c r="H761">
        <v>1</v>
      </c>
      <c r="I761">
        <v>2</v>
      </c>
      <c r="J761" s="27">
        <v>13460.74</v>
      </c>
      <c r="K761" s="27">
        <v>1000000</v>
      </c>
    </row>
    <row r="762" spans="1:11" ht="15" customHeight="1" x14ac:dyDescent="0.2">
      <c r="A762" t="s">
        <v>2104</v>
      </c>
      <c r="B762" t="s">
        <v>2105</v>
      </c>
      <c r="C762">
        <v>2024</v>
      </c>
      <c r="D762" s="18">
        <v>45293</v>
      </c>
      <c r="E762" s="18">
        <v>45658</v>
      </c>
      <c r="F762" s="18" t="s">
        <v>611</v>
      </c>
      <c r="G762" t="s">
        <v>101</v>
      </c>
      <c r="H762">
        <v>1</v>
      </c>
      <c r="I762">
        <v>2</v>
      </c>
      <c r="J762" s="27">
        <v>32417.39</v>
      </c>
      <c r="K762" s="27">
        <v>2000000</v>
      </c>
    </row>
    <row r="763" spans="1:11" ht="15" customHeight="1" x14ac:dyDescent="0.2">
      <c r="A763" t="s">
        <v>2106</v>
      </c>
      <c r="B763" t="s">
        <v>2107</v>
      </c>
      <c r="C763">
        <v>2024</v>
      </c>
      <c r="D763" s="18">
        <v>45293</v>
      </c>
      <c r="E763" s="18">
        <v>45658</v>
      </c>
      <c r="F763" s="18" t="s">
        <v>611</v>
      </c>
      <c r="G763" t="s">
        <v>100</v>
      </c>
      <c r="H763">
        <v>2</v>
      </c>
      <c r="I763">
        <v>4</v>
      </c>
      <c r="J763" s="27">
        <v>41229.870000000003</v>
      </c>
      <c r="K763" s="27">
        <v>3500000</v>
      </c>
    </row>
    <row r="764" spans="1:11" ht="15" customHeight="1" x14ac:dyDescent="0.2">
      <c r="A764" t="s">
        <v>2108</v>
      </c>
      <c r="B764" t="s">
        <v>2109</v>
      </c>
      <c r="C764">
        <v>2024</v>
      </c>
      <c r="D764" s="18">
        <v>45293</v>
      </c>
      <c r="E764" s="18">
        <v>45658</v>
      </c>
      <c r="F764" s="18" t="s">
        <v>611</v>
      </c>
      <c r="G764" t="s">
        <v>101</v>
      </c>
      <c r="H764">
        <v>1</v>
      </c>
      <c r="I764">
        <v>1</v>
      </c>
      <c r="J764" s="27">
        <v>24274.13</v>
      </c>
      <c r="K764" s="27">
        <v>1500000</v>
      </c>
    </row>
    <row r="765" spans="1:11" ht="15" customHeight="1" x14ac:dyDescent="0.2">
      <c r="A765" t="s">
        <v>2110</v>
      </c>
      <c r="B765" t="s">
        <v>2111</v>
      </c>
      <c r="C765">
        <v>2024</v>
      </c>
      <c r="D765" s="18">
        <v>45293</v>
      </c>
      <c r="E765" s="18">
        <v>45658</v>
      </c>
      <c r="F765" s="18" t="s">
        <v>611</v>
      </c>
      <c r="G765" t="s">
        <v>100</v>
      </c>
      <c r="H765">
        <v>1</v>
      </c>
      <c r="I765">
        <v>2</v>
      </c>
      <c r="J765" s="27">
        <v>25828.2</v>
      </c>
      <c r="K765" s="27">
        <v>2000000</v>
      </c>
    </row>
    <row r="766" spans="1:11" ht="15" customHeight="1" x14ac:dyDescent="0.2">
      <c r="A766" t="s">
        <v>2112</v>
      </c>
      <c r="B766" t="s">
        <v>2113</v>
      </c>
      <c r="C766">
        <v>2024</v>
      </c>
      <c r="D766" s="18">
        <v>45293</v>
      </c>
      <c r="E766" s="18">
        <v>45658</v>
      </c>
      <c r="F766" s="18" t="s">
        <v>611</v>
      </c>
      <c r="G766" t="s">
        <v>102</v>
      </c>
      <c r="H766">
        <v>2</v>
      </c>
      <c r="I766">
        <v>4</v>
      </c>
      <c r="J766" s="27">
        <v>3409.55</v>
      </c>
      <c r="K766" s="27">
        <v>500000</v>
      </c>
    </row>
    <row r="767" spans="1:11" ht="15" customHeight="1" x14ac:dyDescent="0.2">
      <c r="A767" t="s">
        <v>2114</v>
      </c>
      <c r="B767" t="s">
        <v>2115</v>
      </c>
      <c r="C767">
        <v>2024</v>
      </c>
      <c r="D767" s="18">
        <v>45293</v>
      </c>
      <c r="E767" s="18">
        <v>45658</v>
      </c>
      <c r="F767" s="18" t="s">
        <v>611</v>
      </c>
      <c r="G767" t="s">
        <v>102</v>
      </c>
      <c r="H767">
        <v>2</v>
      </c>
      <c r="I767">
        <v>2</v>
      </c>
      <c r="J767" s="27">
        <v>37316.14</v>
      </c>
      <c r="K767" s="27">
        <v>5000000</v>
      </c>
    </row>
    <row r="768" spans="1:11" ht="15" customHeight="1" x14ac:dyDescent="0.2">
      <c r="A768" t="s">
        <v>2116</v>
      </c>
      <c r="B768" t="s">
        <v>2117</v>
      </c>
      <c r="C768">
        <v>2024</v>
      </c>
      <c r="D768" s="18">
        <v>45293</v>
      </c>
      <c r="E768" s="18">
        <v>45658</v>
      </c>
      <c r="F768" s="18" t="s">
        <v>611</v>
      </c>
      <c r="G768" t="s">
        <v>99</v>
      </c>
      <c r="H768">
        <v>2</v>
      </c>
      <c r="I768">
        <v>2</v>
      </c>
      <c r="J768" s="27">
        <v>12514.86</v>
      </c>
      <c r="K768" s="27">
        <v>1500000</v>
      </c>
    </row>
    <row r="769" spans="1:11" ht="15" customHeight="1" x14ac:dyDescent="0.2">
      <c r="A769" t="s">
        <v>2118</v>
      </c>
      <c r="B769" t="s">
        <v>2119</v>
      </c>
      <c r="C769">
        <v>2024</v>
      </c>
      <c r="D769" s="18">
        <v>45293</v>
      </c>
      <c r="E769" s="18">
        <v>45658</v>
      </c>
      <c r="F769" s="18" t="s">
        <v>611</v>
      </c>
      <c r="G769" t="s">
        <v>99</v>
      </c>
      <c r="H769">
        <v>1</v>
      </c>
      <c r="I769">
        <v>1</v>
      </c>
      <c r="J769" s="27">
        <v>4545.74</v>
      </c>
      <c r="K769" s="27">
        <v>500000</v>
      </c>
    </row>
    <row r="770" spans="1:11" ht="15" customHeight="1" x14ac:dyDescent="0.2">
      <c r="A770" t="s">
        <v>2120</v>
      </c>
      <c r="B770" t="s">
        <v>2121</v>
      </c>
      <c r="C770">
        <v>2024</v>
      </c>
      <c r="D770" s="18">
        <v>45293</v>
      </c>
      <c r="E770" s="18">
        <v>45658</v>
      </c>
      <c r="F770" s="18" t="s">
        <v>611</v>
      </c>
      <c r="G770" t="s">
        <v>101</v>
      </c>
      <c r="H770">
        <v>3</v>
      </c>
      <c r="I770">
        <v>3</v>
      </c>
      <c r="J770" s="27">
        <v>60574.12</v>
      </c>
      <c r="K770" s="27">
        <v>4000000</v>
      </c>
    </row>
    <row r="771" spans="1:11" ht="15" customHeight="1" x14ac:dyDescent="0.2">
      <c r="A771" t="s">
        <v>2122</v>
      </c>
      <c r="B771" t="s">
        <v>2123</v>
      </c>
      <c r="C771">
        <v>2024</v>
      </c>
      <c r="D771" s="18">
        <v>45293</v>
      </c>
      <c r="E771" s="18">
        <v>45658</v>
      </c>
      <c r="F771" s="18" t="s">
        <v>611</v>
      </c>
      <c r="G771" t="s">
        <v>99</v>
      </c>
      <c r="H771">
        <v>2</v>
      </c>
      <c r="I771">
        <v>2</v>
      </c>
      <c r="J771" s="27">
        <v>31621.27</v>
      </c>
      <c r="K771" s="27">
        <v>3500000</v>
      </c>
    </row>
    <row r="772" spans="1:11" ht="15" customHeight="1" x14ac:dyDescent="0.2">
      <c r="A772" t="s">
        <v>2124</v>
      </c>
      <c r="B772" t="s">
        <v>2125</v>
      </c>
      <c r="C772">
        <v>2024</v>
      </c>
      <c r="D772" s="18">
        <v>45294</v>
      </c>
      <c r="E772" s="18">
        <v>45659</v>
      </c>
      <c r="F772" s="18" t="s">
        <v>608</v>
      </c>
      <c r="G772" t="s">
        <v>100</v>
      </c>
      <c r="H772">
        <v>1</v>
      </c>
      <c r="I772">
        <v>2</v>
      </c>
      <c r="J772" s="27">
        <v>13442.41</v>
      </c>
      <c r="K772" s="27">
        <v>1000000</v>
      </c>
    </row>
    <row r="773" spans="1:11" ht="15" customHeight="1" x14ac:dyDescent="0.2">
      <c r="A773" t="s">
        <v>2126</v>
      </c>
      <c r="B773" t="s">
        <v>2127</v>
      </c>
      <c r="C773">
        <v>2024</v>
      </c>
      <c r="D773" s="18">
        <v>45294</v>
      </c>
      <c r="E773" s="18">
        <v>45659</v>
      </c>
      <c r="F773" s="18" t="s">
        <v>608</v>
      </c>
      <c r="G773" t="s">
        <v>99</v>
      </c>
      <c r="H773">
        <v>2</v>
      </c>
      <c r="I773">
        <v>4</v>
      </c>
      <c r="J773" s="27">
        <v>83575.259999999995</v>
      </c>
      <c r="K773" s="27">
        <v>10000000</v>
      </c>
    </row>
    <row r="774" spans="1:11" ht="15" customHeight="1" x14ac:dyDescent="0.2">
      <c r="A774" t="s">
        <v>2128</v>
      </c>
      <c r="B774" t="s">
        <v>2129</v>
      </c>
      <c r="C774">
        <v>2024</v>
      </c>
      <c r="D774" s="18">
        <v>45294</v>
      </c>
      <c r="E774" s="18">
        <v>45659</v>
      </c>
      <c r="F774" s="18" t="s">
        <v>611</v>
      </c>
      <c r="G774" t="s">
        <v>100</v>
      </c>
      <c r="H774">
        <v>3</v>
      </c>
      <c r="I774">
        <v>3</v>
      </c>
      <c r="J774" s="27">
        <v>12858.94</v>
      </c>
      <c r="K774" s="27">
        <v>1000000</v>
      </c>
    </row>
    <row r="775" spans="1:11" ht="15" customHeight="1" x14ac:dyDescent="0.2">
      <c r="A775" t="s">
        <v>2130</v>
      </c>
      <c r="B775" t="s">
        <v>2131</v>
      </c>
      <c r="C775">
        <v>2024</v>
      </c>
      <c r="D775" s="18">
        <v>45294</v>
      </c>
      <c r="E775" s="18">
        <v>45659</v>
      </c>
      <c r="F775" s="18" t="s">
        <v>611</v>
      </c>
      <c r="G775" t="s">
        <v>99</v>
      </c>
      <c r="H775">
        <v>2</v>
      </c>
      <c r="I775">
        <v>4</v>
      </c>
      <c r="J775" s="27">
        <v>75629.02</v>
      </c>
      <c r="K775" s="27">
        <v>10000000</v>
      </c>
    </row>
    <row r="776" spans="1:11" ht="15" customHeight="1" x14ac:dyDescent="0.2">
      <c r="A776" t="s">
        <v>2132</v>
      </c>
      <c r="B776" t="s">
        <v>2133</v>
      </c>
      <c r="C776">
        <v>2024</v>
      </c>
      <c r="D776" s="18">
        <v>45294</v>
      </c>
      <c r="E776" s="18">
        <v>45659</v>
      </c>
      <c r="F776" s="18" t="s">
        <v>611</v>
      </c>
      <c r="G776" t="s">
        <v>99</v>
      </c>
      <c r="H776">
        <v>1</v>
      </c>
      <c r="I776">
        <v>2</v>
      </c>
      <c r="J776" s="27">
        <v>42504.86</v>
      </c>
      <c r="K776" s="27">
        <v>5000000</v>
      </c>
    </row>
    <row r="777" spans="1:11" ht="15" customHeight="1" x14ac:dyDescent="0.2">
      <c r="A777" t="s">
        <v>2134</v>
      </c>
      <c r="B777" t="s">
        <v>2135</v>
      </c>
      <c r="C777">
        <v>2024</v>
      </c>
      <c r="D777" s="18">
        <v>45294</v>
      </c>
      <c r="E777" s="18">
        <v>45659</v>
      </c>
      <c r="F777" s="18" t="s">
        <v>611</v>
      </c>
      <c r="G777" t="s">
        <v>102</v>
      </c>
      <c r="H777">
        <v>2</v>
      </c>
      <c r="I777">
        <v>4</v>
      </c>
      <c r="J777" s="27">
        <v>21212.54</v>
      </c>
      <c r="K777" s="27">
        <v>3000000</v>
      </c>
    </row>
    <row r="778" spans="1:11" ht="15" customHeight="1" x14ac:dyDescent="0.2">
      <c r="A778" t="s">
        <v>2136</v>
      </c>
      <c r="B778" t="s">
        <v>2137</v>
      </c>
      <c r="C778">
        <v>2024</v>
      </c>
      <c r="D778" s="18">
        <v>45294</v>
      </c>
      <c r="E778" s="18">
        <v>45659</v>
      </c>
      <c r="F778" s="18" t="s">
        <v>611</v>
      </c>
      <c r="G778" t="s">
        <v>102</v>
      </c>
      <c r="H778">
        <v>1</v>
      </c>
      <c r="I778">
        <v>1</v>
      </c>
      <c r="J778" s="27">
        <v>3366.36</v>
      </c>
      <c r="K778" s="27">
        <v>500000</v>
      </c>
    </row>
    <row r="779" spans="1:11" ht="15" customHeight="1" x14ac:dyDescent="0.2">
      <c r="A779" t="s">
        <v>2138</v>
      </c>
      <c r="B779" t="s">
        <v>2139</v>
      </c>
      <c r="C779">
        <v>2024</v>
      </c>
      <c r="D779" s="18">
        <v>45294</v>
      </c>
      <c r="E779" s="18">
        <v>45659</v>
      </c>
      <c r="F779" s="18" t="s">
        <v>611</v>
      </c>
      <c r="G779" t="s">
        <v>99</v>
      </c>
      <c r="H779">
        <v>1</v>
      </c>
      <c r="I779">
        <v>1</v>
      </c>
      <c r="J779" s="27">
        <v>16872.099999999999</v>
      </c>
      <c r="K779" s="27">
        <v>2000000</v>
      </c>
    </row>
    <row r="780" spans="1:11" ht="15" customHeight="1" x14ac:dyDescent="0.2">
      <c r="A780" t="s">
        <v>2140</v>
      </c>
      <c r="B780" t="s">
        <v>2141</v>
      </c>
      <c r="C780">
        <v>2024</v>
      </c>
      <c r="D780" s="18">
        <v>45294</v>
      </c>
      <c r="E780" s="18">
        <v>45659</v>
      </c>
      <c r="F780" s="18" t="s">
        <v>611</v>
      </c>
      <c r="G780" t="s">
        <v>99</v>
      </c>
      <c r="H780">
        <v>3</v>
      </c>
      <c r="I780">
        <v>3</v>
      </c>
      <c r="J780" s="27">
        <v>45508.94</v>
      </c>
      <c r="K780" s="27">
        <v>5000000</v>
      </c>
    </row>
    <row r="781" spans="1:11" ht="15" customHeight="1" x14ac:dyDescent="0.2">
      <c r="A781" t="s">
        <v>2142</v>
      </c>
      <c r="B781" t="s">
        <v>2143</v>
      </c>
      <c r="C781">
        <v>2024</v>
      </c>
      <c r="D781" s="18">
        <v>45294</v>
      </c>
      <c r="E781" s="18">
        <v>45659</v>
      </c>
      <c r="F781" s="18" t="s">
        <v>611</v>
      </c>
      <c r="G781" t="s">
        <v>102</v>
      </c>
      <c r="H781">
        <v>2</v>
      </c>
      <c r="I781">
        <v>4</v>
      </c>
      <c r="J781" s="27">
        <v>15638.95</v>
      </c>
      <c r="K781" s="27">
        <v>2000000</v>
      </c>
    </row>
    <row r="782" spans="1:11" ht="15" customHeight="1" x14ac:dyDescent="0.2">
      <c r="A782" t="s">
        <v>2144</v>
      </c>
      <c r="B782" t="s">
        <v>2145</v>
      </c>
      <c r="C782">
        <v>2024</v>
      </c>
      <c r="D782" s="18">
        <v>45294</v>
      </c>
      <c r="E782" s="18">
        <v>45659</v>
      </c>
      <c r="F782" s="18" t="s">
        <v>611</v>
      </c>
      <c r="G782" t="s">
        <v>102</v>
      </c>
      <c r="H782">
        <v>3</v>
      </c>
      <c r="I782">
        <v>3</v>
      </c>
      <c r="J782" s="27">
        <v>68036.899999999994</v>
      </c>
      <c r="K782" s="27">
        <v>10000000</v>
      </c>
    </row>
    <row r="783" spans="1:11" ht="15" customHeight="1" x14ac:dyDescent="0.2">
      <c r="A783" t="s">
        <v>2146</v>
      </c>
      <c r="B783" t="s">
        <v>2147</v>
      </c>
      <c r="C783">
        <v>2024</v>
      </c>
      <c r="D783" s="18">
        <v>45294</v>
      </c>
      <c r="E783" s="18">
        <v>45659</v>
      </c>
      <c r="F783" s="18" t="s">
        <v>611</v>
      </c>
      <c r="G783" t="s">
        <v>99</v>
      </c>
      <c r="H783">
        <v>1</v>
      </c>
      <c r="I783">
        <v>1</v>
      </c>
      <c r="J783" s="27">
        <v>20327.57</v>
      </c>
      <c r="K783" s="27">
        <v>2500000</v>
      </c>
    </row>
    <row r="784" spans="1:11" ht="15" customHeight="1" x14ac:dyDescent="0.2">
      <c r="A784" t="s">
        <v>2148</v>
      </c>
      <c r="B784" t="s">
        <v>2149</v>
      </c>
      <c r="C784">
        <v>2024</v>
      </c>
      <c r="D784" s="18">
        <v>45294</v>
      </c>
      <c r="E784" s="18">
        <v>45659</v>
      </c>
      <c r="F784" s="18" t="s">
        <v>611</v>
      </c>
      <c r="G784" t="s">
        <v>100</v>
      </c>
      <c r="H784">
        <v>1</v>
      </c>
      <c r="I784">
        <v>2</v>
      </c>
      <c r="J784" s="27">
        <v>23722.58</v>
      </c>
      <c r="K784" s="27">
        <v>2000000</v>
      </c>
    </row>
    <row r="785" spans="1:11" ht="15" customHeight="1" x14ac:dyDescent="0.2">
      <c r="A785" t="s">
        <v>2150</v>
      </c>
      <c r="B785" t="s">
        <v>2151</v>
      </c>
      <c r="C785">
        <v>2024</v>
      </c>
      <c r="D785" s="18">
        <v>45295</v>
      </c>
      <c r="E785" s="18">
        <v>45660</v>
      </c>
      <c r="F785" s="18" t="s">
        <v>608</v>
      </c>
      <c r="G785" t="s">
        <v>102</v>
      </c>
      <c r="H785">
        <v>2</v>
      </c>
      <c r="I785">
        <v>4</v>
      </c>
      <c r="J785" s="27">
        <v>78922.75</v>
      </c>
      <c r="K785" s="27">
        <v>10000000</v>
      </c>
    </row>
    <row r="786" spans="1:11" ht="15" customHeight="1" x14ac:dyDescent="0.2">
      <c r="A786" t="s">
        <v>2152</v>
      </c>
      <c r="B786" t="s">
        <v>2153</v>
      </c>
      <c r="C786">
        <v>2024</v>
      </c>
      <c r="D786" s="18">
        <v>45295</v>
      </c>
      <c r="E786" s="18">
        <v>45660</v>
      </c>
      <c r="F786" s="18" t="s">
        <v>611</v>
      </c>
      <c r="G786" t="s">
        <v>100</v>
      </c>
      <c r="H786">
        <v>1</v>
      </c>
      <c r="I786">
        <v>2</v>
      </c>
      <c r="J786" s="27">
        <v>11885.06</v>
      </c>
      <c r="K786" s="27">
        <v>1000000</v>
      </c>
    </row>
    <row r="787" spans="1:11" ht="15" customHeight="1" x14ac:dyDescent="0.2">
      <c r="A787" t="s">
        <v>2154</v>
      </c>
      <c r="B787" t="s">
        <v>2155</v>
      </c>
      <c r="C787">
        <v>2024</v>
      </c>
      <c r="D787" s="18">
        <v>45295</v>
      </c>
      <c r="E787" s="18">
        <v>45660</v>
      </c>
      <c r="F787" s="18" t="s">
        <v>611</v>
      </c>
      <c r="G787" t="s">
        <v>100</v>
      </c>
      <c r="H787">
        <v>3</v>
      </c>
      <c r="I787">
        <v>6</v>
      </c>
      <c r="J787" s="27">
        <v>25113.51</v>
      </c>
      <c r="K787" s="27">
        <v>2000000</v>
      </c>
    </row>
    <row r="788" spans="1:11" ht="15" customHeight="1" x14ac:dyDescent="0.2">
      <c r="A788" t="s">
        <v>2156</v>
      </c>
      <c r="B788" t="s">
        <v>2157</v>
      </c>
      <c r="C788">
        <v>2024</v>
      </c>
      <c r="D788" s="18">
        <v>45295</v>
      </c>
      <c r="E788" s="18">
        <v>45660</v>
      </c>
      <c r="F788" s="18" t="s">
        <v>611</v>
      </c>
      <c r="G788" t="s">
        <v>100</v>
      </c>
      <c r="H788">
        <v>2</v>
      </c>
      <c r="I788">
        <v>2</v>
      </c>
      <c r="J788" s="27">
        <v>132490.75</v>
      </c>
      <c r="K788" s="27">
        <v>10000000</v>
      </c>
    </row>
    <row r="789" spans="1:11" ht="15" customHeight="1" x14ac:dyDescent="0.2">
      <c r="A789" t="s">
        <v>2158</v>
      </c>
      <c r="B789" t="s">
        <v>2159</v>
      </c>
      <c r="C789">
        <v>2024</v>
      </c>
      <c r="D789" s="18">
        <v>45295</v>
      </c>
      <c r="E789" s="18">
        <v>45660</v>
      </c>
      <c r="F789" s="18" t="s">
        <v>611</v>
      </c>
      <c r="G789" t="s">
        <v>100</v>
      </c>
      <c r="H789">
        <v>1</v>
      </c>
      <c r="I789">
        <v>2</v>
      </c>
      <c r="J789" s="27">
        <v>47736.09</v>
      </c>
      <c r="K789" s="27">
        <v>4000000</v>
      </c>
    </row>
    <row r="790" spans="1:11" ht="15" customHeight="1" x14ac:dyDescent="0.2">
      <c r="A790" t="s">
        <v>2160</v>
      </c>
      <c r="B790" t="s">
        <v>2161</v>
      </c>
      <c r="C790">
        <v>2024</v>
      </c>
      <c r="D790" s="18">
        <v>45295</v>
      </c>
      <c r="E790" s="18">
        <v>45660</v>
      </c>
      <c r="F790" s="18" t="s">
        <v>611</v>
      </c>
      <c r="G790" t="s">
        <v>101</v>
      </c>
      <c r="H790">
        <v>1</v>
      </c>
      <c r="I790">
        <v>1</v>
      </c>
      <c r="J790" s="27">
        <v>57000.43</v>
      </c>
      <c r="K790" s="27">
        <v>3500000</v>
      </c>
    </row>
    <row r="791" spans="1:11" ht="15" customHeight="1" x14ac:dyDescent="0.2">
      <c r="A791" t="s">
        <v>2162</v>
      </c>
      <c r="B791" t="s">
        <v>2163</v>
      </c>
      <c r="C791">
        <v>2024</v>
      </c>
      <c r="D791" s="18">
        <v>45295</v>
      </c>
      <c r="E791" s="18">
        <v>45660</v>
      </c>
      <c r="F791" s="18" t="s">
        <v>611</v>
      </c>
      <c r="G791" t="s">
        <v>99</v>
      </c>
      <c r="H791">
        <v>1</v>
      </c>
      <c r="I791">
        <v>2</v>
      </c>
      <c r="J791" s="27">
        <v>82435.789999999994</v>
      </c>
      <c r="K791" s="27">
        <v>10000000</v>
      </c>
    </row>
    <row r="792" spans="1:11" ht="15" customHeight="1" x14ac:dyDescent="0.2">
      <c r="A792" t="s">
        <v>2164</v>
      </c>
      <c r="B792" t="s">
        <v>2165</v>
      </c>
      <c r="C792">
        <v>2024</v>
      </c>
      <c r="D792" s="18">
        <v>45296</v>
      </c>
      <c r="E792" s="18">
        <v>45661</v>
      </c>
      <c r="F792" s="18" t="s">
        <v>611</v>
      </c>
      <c r="G792" t="s">
        <v>102</v>
      </c>
      <c r="H792">
        <v>1</v>
      </c>
      <c r="I792">
        <v>2</v>
      </c>
      <c r="J792" s="27">
        <v>34400.269999999997</v>
      </c>
      <c r="K792" s="27">
        <v>5000000</v>
      </c>
    </row>
    <row r="793" spans="1:11" ht="15" customHeight="1" x14ac:dyDescent="0.2">
      <c r="A793" t="s">
        <v>2166</v>
      </c>
      <c r="B793" t="s">
        <v>2167</v>
      </c>
      <c r="C793">
        <v>2024</v>
      </c>
      <c r="D793" s="18">
        <v>45296</v>
      </c>
      <c r="E793" s="18">
        <v>45661</v>
      </c>
      <c r="F793" s="18" t="s">
        <v>611</v>
      </c>
      <c r="G793" t="s">
        <v>101</v>
      </c>
      <c r="H793">
        <v>2</v>
      </c>
      <c r="I793">
        <v>2</v>
      </c>
      <c r="J793" s="27">
        <v>63863.61</v>
      </c>
      <c r="K793" s="27">
        <v>4000000</v>
      </c>
    </row>
    <row r="794" spans="1:11" ht="15" customHeight="1" x14ac:dyDescent="0.2">
      <c r="A794" t="s">
        <v>2168</v>
      </c>
      <c r="B794" t="s">
        <v>2169</v>
      </c>
      <c r="C794">
        <v>2024</v>
      </c>
      <c r="D794" s="18">
        <v>45296</v>
      </c>
      <c r="E794" s="18">
        <v>45661</v>
      </c>
      <c r="F794" s="18" t="s">
        <v>611</v>
      </c>
      <c r="G794" t="s">
        <v>100</v>
      </c>
      <c r="H794">
        <v>2</v>
      </c>
      <c r="I794">
        <v>4</v>
      </c>
      <c r="J794" s="27">
        <v>115294.9</v>
      </c>
      <c r="K794" s="27">
        <v>10000000</v>
      </c>
    </row>
    <row r="795" spans="1:11" ht="15" customHeight="1" x14ac:dyDescent="0.2">
      <c r="A795" t="s">
        <v>2170</v>
      </c>
      <c r="B795" t="s">
        <v>2171</v>
      </c>
      <c r="C795">
        <v>2024</v>
      </c>
      <c r="D795" s="18">
        <v>45297</v>
      </c>
      <c r="E795" s="18">
        <v>45662</v>
      </c>
      <c r="F795" s="18" t="s">
        <v>608</v>
      </c>
      <c r="G795" t="s">
        <v>101</v>
      </c>
      <c r="H795">
        <v>1</v>
      </c>
      <c r="I795">
        <v>1</v>
      </c>
      <c r="J795" s="27">
        <v>72536.44</v>
      </c>
      <c r="K795" s="27">
        <v>5000000</v>
      </c>
    </row>
    <row r="796" spans="1:11" ht="15" customHeight="1" x14ac:dyDescent="0.2">
      <c r="A796" t="s">
        <v>2172</v>
      </c>
      <c r="B796" t="s">
        <v>2173</v>
      </c>
      <c r="C796">
        <v>2024</v>
      </c>
      <c r="D796" s="18">
        <v>45297</v>
      </c>
      <c r="E796" s="18">
        <v>45662</v>
      </c>
      <c r="F796" s="18" t="s">
        <v>611</v>
      </c>
      <c r="G796" t="s">
        <v>101</v>
      </c>
      <c r="H796">
        <v>1</v>
      </c>
      <c r="I796">
        <v>1</v>
      </c>
      <c r="J796" s="27">
        <v>29402.21</v>
      </c>
      <c r="K796" s="27">
        <v>2000000</v>
      </c>
    </row>
    <row r="797" spans="1:11" ht="15" customHeight="1" x14ac:dyDescent="0.2">
      <c r="A797" t="s">
        <v>2174</v>
      </c>
      <c r="B797" t="s">
        <v>2175</v>
      </c>
      <c r="C797">
        <v>2024</v>
      </c>
      <c r="D797" s="18">
        <v>45297</v>
      </c>
      <c r="E797" s="18">
        <v>45662</v>
      </c>
      <c r="F797" s="18" t="s">
        <v>611</v>
      </c>
      <c r="G797" t="s">
        <v>99</v>
      </c>
      <c r="H797">
        <v>3</v>
      </c>
      <c r="I797">
        <v>3</v>
      </c>
      <c r="J797" s="27">
        <v>16223.16</v>
      </c>
      <c r="K797" s="27">
        <v>2000000</v>
      </c>
    </row>
    <row r="798" spans="1:11" ht="15" customHeight="1" x14ac:dyDescent="0.2">
      <c r="A798" t="s">
        <v>2176</v>
      </c>
      <c r="B798" t="s">
        <v>2177</v>
      </c>
      <c r="C798">
        <v>2024</v>
      </c>
      <c r="D798" s="18">
        <v>45297</v>
      </c>
      <c r="E798" s="18">
        <v>45662</v>
      </c>
      <c r="F798" s="18" t="s">
        <v>611</v>
      </c>
      <c r="G798" t="s">
        <v>102</v>
      </c>
      <c r="H798">
        <v>1</v>
      </c>
      <c r="I798">
        <v>2</v>
      </c>
      <c r="J798" s="27">
        <v>34181.78</v>
      </c>
      <c r="K798" s="27">
        <v>4500000</v>
      </c>
    </row>
    <row r="799" spans="1:11" ht="15" customHeight="1" x14ac:dyDescent="0.2">
      <c r="A799" t="s">
        <v>2178</v>
      </c>
      <c r="B799" t="s">
        <v>2179</v>
      </c>
      <c r="C799">
        <v>2024</v>
      </c>
      <c r="D799" s="18">
        <v>45297</v>
      </c>
      <c r="E799" s="18">
        <v>45662</v>
      </c>
      <c r="F799" s="18" t="s">
        <v>611</v>
      </c>
      <c r="G799" t="s">
        <v>99</v>
      </c>
      <c r="H799">
        <v>2</v>
      </c>
      <c r="I799">
        <v>2</v>
      </c>
      <c r="J799" s="27">
        <v>43281.74</v>
      </c>
      <c r="K799" s="27">
        <v>5000000</v>
      </c>
    </row>
    <row r="800" spans="1:11" ht="15" customHeight="1" x14ac:dyDescent="0.2">
      <c r="A800" t="s">
        <v>2180</v>
      </c>
      <c r="B800" t="s">
        <v>2181</v>
      </c>
      <c r="C800">
        <v>2024</v>
      </c>
      <c r="D800" s="18">
        <v>45297</v>
      </c>
      <c r="E800" s="18">
        <v>45662</v>
      </c>
      <c r="F800" s="18" t="s">
        <v>611</v>
      </c>
      <c r="G800" t="s">
        <v>99</v>
      </c>
      <c r="H800">
        <v>2</v>
      </c>
      <c r="I800">
        <v>2</v>
      </c>
      <c r="J800" s="27">
        <v>34352.18</v>
      </c>
      <c r="K800" s="27">
        <v>4000000</v>
      </c>
    </row>
    <row r="801" spans="1:11" ht="15" customHeight="1" x14ac:dyDescent="0.2">
      <c r="A801" t="s">
        <v>2182</v>
      </c>
      <c r="B801" t="s">
        <v>2183</v>
      </c>
      <c r="C801">
        <v>2024</v>
      </c>
      <c r="D801" s="18">
        <v>45297</v>
      </c>
      <c r="E801" s="18">
        <v>45662</v>
      </c>
      <c r="F801" s="18" t="s">
        <v>611</v>
      </c>
      <c r="G801" t="s">
        <v>101</v>
      </c>
      <c r="H801">
        <v>2</v>
      </c>
      <c r="I801">
        <v>4</v>
      </c>
      <c r="J801" s="27">
        <v>78837.039999999994</v>
      </c>
      <c r="K801" s="27">
        <v>5000000</v>
      </c>
    </row>
    <row r="802" spans="1:11" ht="15" customHeight="1" x14ac:dyDescent="0.2">
      <c r="A802" t="s">
        <v>2184</v>
      </c>
      <c r="B802" t="s">
        <v>2185</v>
      </c>
      <c r="C802">
        <v>2024</v>
      </c>
      <c r="D802" s="18">
        <v>45297</v>
      </c>
      <c r="E802" s="18">
        <v>45662</v>
      </c>
      <c r="F802" s="18" t="s">
        <v>611</v>
      </c>
      <c r="G802" t="s">
        <v>100</v>
      </c>
      <c r="H802">
        <v>3</v>
      </c>
      <c r="I802">
        <v>3</v>
      </c>
      <c r="J802" s="27">
        <v>65926.490000000005</v>
      </c>
      <c r="K802" s="27">
        <v>5000000</v>
      </c>
    </row>
    <row r="803" spans="1:11" ht="15" customHeight="1" x14ac:dyDescent="0.2">
      <c r="A803" t="s">
        <v>2186</v>
      </c>
      <c r="B803" t="s">
        <v>2187</v>
      </c>
      <c r="C803">
        <v>2024</v>
      </c>
      <c r="D803" s="18">
        <v>45297</v>
      </c>
      <c r="E803" s="18">
        <v>45662</v>
      </c>
      <c r="F803" s="18" t="s">
        <v>611</v>
      </c>
      <c r="G803" t="s">
        <v>100</v>
      </c>
      <c r="H803">
        <v>3</v>
      </c>
      <c r="I803">
        <v>3</v>
      </c>
      <c r="J803" s="27">
        <v>22723.52</v>
      </c>
      <c r="K803" s="27">
        <v>2000000</v>
      </c>
    </row>
    <row r="804" spans="1:11" ht="15" customHeight="1" x14ac:dyDescent="0.2">
      <c r="A804" t="s">
        <v>2188</v>
      </c>
      <c r="B804" t="s">
        <v>2189</v>
      </c>
      <c r="C804">
        <v>2024</v>
      </c>
      <c r="D804" s="18">
        <v>45297</v>
      </c>
      <c r="E804" s="18">
        <v>45662</v>
      </c>
      <c r="F804" s="18" t="s">
        <v>611</v>
      </c>
      <c r="G804" t="s">
        <v>101</v>
      </c>
      <c r="H804">
        <v>1</v>
      </c>
      <c r="I804">
        <v>1</v>
      </c>
      <c r="J804" s="27">
        <v>65858.81</v>
      </c>
      <c r="K804" s="27">
        <v>4000000</v>
      </c>
    </row>
    <row r="805" spans="1:11" ht="15" customHeight="1" x14ac:dyDescent="0.2">
      <c r="A805" t="s">
        <v>2190</v>
      </c>
      <c r="B805" t="s">
        <v>2191</v>
      </c>
      <c r="C805">
        <v>2024</v>
      </c>
      <c r="D805" s="18">
        <v>45298</v>
      </c>
      <c r="E805" s="18">
        <v>45663</v>
      </c>
      <c r="F805" s="18" t="s">
        <v>608</v>
      </c>
      <c r="G805" t="s">
        <v>100</v>
      </c>
      <c r="H805">
        <v>2</v>
      </c>
      <c r="I805">
        <v>4</v>
      </c>
      <c r="J805" s="27">
        <v>50845.77</v>
      </c>
      <c r="K805" s="27">
        <v>4000000</v>
      </c>
    </row>
    <row r="806" spans="1:11" ht="15" customHeight="1" x14ac:dyDescent="0.2">
      <c r="A806" t="s">
        <v>2192</v>
      </c>
      <c r="B806" t="s">
        <v>2193</v>
      </c>
      <c r="C806">
        <v>2024</v>
      </c>
      <c r="D806" s="18">
        <v>45298</v>
      </c>
      <c r="E806" s="18">
        <v>45663</v>
      </c>
      <c r="F806" s="18" t="s">
        <v>608</v>
      </c>
      <c r="G806" t="s">
        <v>100</v>
      </c>
      <c r="H806">
        <v>2</v>
      </c>
      <c r="I806">
        <v>2</v>
      </c>
      <c r="J806" s="27">
        <v>11326.43</v>
      </c>
      <c r="K806" s="27">
        <v>1000000</v>
      </c>
    </row>
    <row r="807" spans="1:11" ht="15" customHeight="1" x14ac:dyDescent="0.2">
      <c r="A807" t="s">
        <v>2194</v>
      </c>
      <c r="B807" t="s">
        <v>2195</v>
      </c>
      <c r="C807">
        <v>2024</v>
      </c>
      <c r="D807" s="18">
        <v>45298</v>
      </c>
      <c r="E807" s="18">
        <v>45663</v>
      </c>
      <c r="F807" s="18" t="s">
        <v>611</v>
      </c>
      <c r="G807" t="s">
        <v>99</v>
      </c>
      <c r="H807">
        <v>3</v>
      </c>
      <c r="I807">
        <v>3</v>
      </c>
      <c r="J807" s="27">
        <v>34483.730000000003</v>
      </c>
      <c r="K807" s="27">
        <v>4500000</v>
      </c>
    </row>
    <row r="808" spans="1:11" ht="15" customHeight="1" x14ac:dyDescent="0.2">
      <c r="A808" t="s">
        <v>2196</v>
      </c>
      <c r="B808" t="s">
        <v>2197</v>
      </c>
      <c r="C808">
        <v>2024</v>
      </c>
      <c r="D808" s="18">
        <v>45298</v>
      </c>
      <c r="E808" s="18">
        <v>45663</v>
      </c>
      <c r="F808" s="18" t="s">
        <v>611</v>
      </c>
      <c r="G808" t="s">
        <v>100</v>
      </c>
      <c r="H808">
        <v>3</v>
      </c>
      <c r="I808">
        <v>3</v>
      </c>
      <c r="J808" s="27">
        <v>29522.43</v>
      </c>
      <c r="K808" s="27">
        <v>2500000</v>
      </c>
    </row>
    <row r="809" spans="1:11" ht="15" customHeight="1" x14ac:dyDescent="0.2">
      <c r="A809" t="s">
        <v>2198</v>
      </c>
      <c r="B809" t="s">
        <v>2199</v>
      </c>
      <c r="C809">
        <v>2024</v>
      </c>
      <c r="D809" s="18">
        <v>45298</v>
      </c>
      <c r="E809" s="18">
        <v>45663</v>
      </c>
      <c r="F809" s="18" t="s">
        <v>611</v>
      </c>
      <c r="G809" t="s">
        <v>99</v>
      </c>
      <c r="H809">
        <v>1</v>
      </c>
      <c r="I809">
        <v>2</v>
      </c>
      <c r="J809" s="27">
        <v>80506.38</v>
      </c>
      <c r="K809" s="27">
        <v>10000000</v>
      </c>
    </row>
    <row r="810" spans="1:11" ht="15" customHeight="1" x14ac:dyDescent="0.2">
      <c r="A810" t="s">
        <v>2200</v>
      </c>
      <c r="B810" t="s">
        <v>2201</v>
      </c>
      <c r="C810">
        <v>2024</v>
      </c>
      <c r="D810" s="18">
        <v>45299</v>
      </c>
      <c r="E810" s="18">
        <v>45664</v>
      </c>
      <c r="F810" s="18" t="s">
        <v>608</v>
      </c>
      <c r="G810" t="s">
        <v>101</v>
      </c>
      <c r="H810">
        <v>2</v>
      </c>
      <c r="I810">
        <v>4</v>
      </c>
      <c r="J810" s="27">
        <v>71698.350000000006</v>
      </c>
      <c r="K810" s="27">
        <v>5000000</v>
      </c>
    </row>
    <row r="811" spans="1:11" ht="15" customHeight="1" x14ac:dyDescent="0.2">
      <c r="A811" t="s">
        <v>2202</v>
      </c>
      <c r="B811" t="s">
        <v>2203</v>
      </c>
      <c r="C811">
        <v>2024</v>
      </c>
      <c r="D811" s="18">
        <v>45299</v>
      </c>
      <c r="E811" s="18">
        <v>45664</v>
      </c>
      <c r="F811" s="18" t="s">
        <v>611</v>
      </c>
      <c r="G811" t="s">
        <v>99</v>
      </c>
      <c r="H811">
        <v>2</v>
      </c>
      <c r="I811">
        <v>2</v>
      </c>
      <c r="J811" s="27">
        <v>8927.51</v>
      </c>
      <c r="K811" s="27">
        <v>1000000</v>
      </c>
    </row>
    <row r="812" spans="1:11" ht="15" customHeight="1" x14ac:dyDescent="0.2">
      <c r="A812" t="s">
        <v>2204</v>
      </c>
      <c r="B812" t="s">
        <v>2205</v>
      </c>
      <c r="C812">
        <v>2024</v>
      </c>
      <c r="D812" s="18">
        <v>45299</v>
      </c>
      <c r="E812" s="18">
        <v>45664</v>
      </c>
      <c r="F812" s="18" t="s">
        <v>611</v>
      </c>
      <c r="G812" t="s">
        <v>100</v>
      </c>
      <c r="H812">
        <v>3</v>
      </c>
      <c r="I812">
        <v>6</v>
      </c>
      <c r="J812" s="27">
        <v>60168.83</v>
      </c>
      <c r="K812" s="27">
        <v>5000000</v>
      </c>
    </row>
    <row r="813" spans="1:11" ht="15" customHeight="1" x14ac:dyDescent="0.2">
      <c r="A813" t="s">
        <v>2206</v>
      </c>
      <c r="B813" t="s">
        <v>2207</v>
      </c>
      <c r="C813">
        <v>2024</v>
      </c>
      <c r="D813" s="18">
        <v>45299</v>
      </c>
      <c r="E813" s="18">
        <v>45664</v>
      </c>
      <c r="F813" s="18" t="s">
        <v>611</v>
      </c>
      <c r="G813" t="s">
        <v>99</v>
      </c>
      <c r="H813">
        <v>1</v>
      </c>
      <c r="I813">
        <v>2</v>
      </c>
      <c r="J813" s="27">
        <v>12700.67</v>
      </c>
      <c r="K813" s="27">
        <v>1500000</v>
      </c>
    </row>
    <row r="814" spans="1:11" ht="15" customHeight="1" x14ac:dyDescent="0.2">
      <c r="A814" t="s">
        <v>2208</v>
      </c>
      <c r="B814" t="s">
        <v>2209</v>
      </c>
      <c r="C814">
        <v>2024</v>
      </c>
      <c r="D814" s="18">
        <v>45299</v>
      </c>
      <c r="E814" s="18">
        <v>45664</v>
      </c>
      <c r="F814" s="18" t="s">
        <v>611</v>
      </c>
      <c r="G814" t="s">
        <v>100</v>
      </c>
      <c r="H814">
        <v>2</v>
      </c>
      <c r="I814">
        <v>4</v>
      </c>
      <c r="J814" s="27">
        <v>120293.48</v>
      </c>
      <c r="K814" s="27">
        <v>10000000</v>
      </c>
    </row>
    <row r="815" spans="1:11" ht="15" customHeight="1" x14ac:dyDescent="0.2">
      <c r="A815" t="s">
        <v>2210</v>
      </c>
      <c r="B815" t="s">
        <v>2211</v>
      </c>
      <c r="C815">
        <v>2024</v>
      </c>
      <c r="D815" s="18">
        <v>45299</v>
      </c>
      <c r="E815" s="18">
        <v>45664</v>
      </c>
      <c r="F815" s="18" t="s">
        <v>611</v>
      </c>
      <c r="G815" t="s">
        <v>99</v>
      </c>
      <c r="H815">
        <v>1</v>
      </c>
      <c r="I815">
        <v>1</v>
      </c>
      <c r="J815" s="27">
        <v>8440.08</v>
      </c>
      <c r="K815" s="27">
        <v>1000000</v>
      </c>
    </row>
    <row r="816" spans="1:11" ht="15" customHeight="1" x14ac:dyDescent="0.2">
      <c r="A816" t="s">
        <v>2212</v>
      </c>
      <c r="B816" t="s">
        <v>2213</v>
      </c>
      <c r="C816">
        <v>2024</v>
      </c>
      <c r="D816" s="18">
        <v>45300</v>
      </c>
      <c r="E816" s="18">
        <v>45665</v>
      </c>
      <c r="F816" s="18" t="s">
        <v>611</v>
      </c>
      <c r="G816" t="s">
        <v>100</v>
      </c>
      <c r="H816">
        <v>1</v>
      </c>
      <c r="I816">
        <v>1</v>
      </c>
      <c r="J816" s="27">
        <v>57365.2</v>
      </c>
      <c r="K816" s="27">
        <v>5000000</v>
      </c>
    </row>
    <row r="817" spans="1:11" ht="15" customHeight="1" x14ac:dyDescent="0.2">
      <c r="A817" t="s">
        <v>2214</v>
      </c>
      <c r="B817" t="s">
        <v>2215</v>
      </c>
      <c r="C817">
        <v>2024</v>
      </c>
      <c r="D817" s="18">
        <v>45300</v>
      </c>
      <c r="E817" s="18">
        <v>45665</v>
      </c>
      <c r="F817" s="18" t="s">
        <v>611</v>
      </c>
      <c r="G817" t="s">
        <v>99</v>
      </c>
      <c r="H817">
        <v>1</v>
      </c>
      <c r="I817">
        <v>1</v>
      </c>
      <c r="J817" s="27">
        <v>90628.75</v>
      </c>
      <c r="K817" s="27">
        <v>10000000</v>
      </c>
    </row>
    <row r="818" spans="1:11" ht="15" customHeight="1" x14ac:dyDescent="0.2">
      <c r="A818" t="s">
        <v>2216</v>
      </c>
      <c r="B818" t="s">
        <v>2217</v>
      </c>
      <c r="C818">
        <v>2024</v>
      </c>
      <c r="D818" s="18">
        <v>45300</v>
      </c>
      <c r="E818" s="18">
        <v>45665</v>
      </c>
      <c r="F818" s="18" t="s">
        <v>611</v>
      </c>
      <c r="G818" t="s">
        <v>100</v>
      </c>
      <c r="H818">
        <v>1</v>
      </c>
      <c r="I818">
        <v>1</v>
      </c>
      <c r="J818" s="27">
        <v>57807.95</v>
      </c>
      <c r="K818" s="27">
        <v>4500000</v>
      </c>
    </row>
    <row r="819" spans="1:11" ht="15" customHeight="1" x14ac:dyDescent="0.2">
      <c r="A819" t="s">
        <v>2218</v>
      </c>
      <c r="B819" t="s">
        <v>2219</v>
      </c>
      <c r="C819">
        <v>2024</v>
      </c>
      <c r="D819" s="18">
        <v>45300</v>
      </c>
      <c r="E819" s="18">
        <v>45665</v>
      </c>
      <c r="F819" s="18" t="s">
        <v>611</v>
      </c>
      <c r="G819" t="s">
        <v>99</v>
      </c>
      <c r="H819">
        <v>1</v>
      </c>
      <c r="I819">
        <v>1</v>
      </c>
      <c r="J819" s="27">
        <v>30811</v>
      </c>
      <c r="K819" s="27">
        <v>4000000</v>
      </c>
    </row>
    <row r="820" spans="1:11" ht="15" customHeight="1" x14ac:dyDescent="0.2">
      <c r="A820" t="s">
        <v>2220</v>
      </c>
      <c r="B820" t="s">
        <v>2221</v>
      </c>
      <c r="C820">
        <v>2024</v>
      </c>
      <c r="D820" s="18">
        <v>45300</v>
      </c>
      <c r="E820" s="18">
        <v>45665</v>
      </c>
      <c r="F820" s="18" t="s">
        <v>611</v>
      </c>
      <c r="G820" t="s">
        <v>101</v>
      </c>
      <c r="H820">
        <v>3</v>
      </c>
      <c r="I820">
        <v>6</v>
      </c>
      <c r="J820" s="27">
        <v>64504.03</v>
      </c>
      <c r="K820" s="27">
        <v>4500000</v>
      </c>
    </row>
    <row r="821" spans="1:11" ht="15" customHeight="1" x14ac:dyDescent="0.2">
      <c r="A821" t="s">
        <v>2222</v>
      </c>
      <c r="B821" t="s">
        <v>2223</v>
      </c>
      <c r="C821">
        <v>2024</v>
      </c>
      <c r="D821" s="18">
        <v>45300</v>
      </c>
      <c r="E821" s="18">
        <v>45665</v>
      </c>
      <c r="F821" s="18" t="s">
        <v>611</v>
      </c>
      <c r="G821" t="s">
        <v>102</v>
      </c>
      <c r="H821">
        <v>1</v>
      </c>
      <c r="I821">
        <v>2</v>
      </c>
      <c r="J821" s="27">
        <v>24835.73</v>
      </c>
      <c r="K821" s="27">
        <v>3500000</v>
      </c>
    </row>
    <row r="822" spans="1:11" ht="15" customHeight="1" x14ac:dyDescent="0.2">
      <c r="A822" t="s">
        <v>2224</v>
      </c>
      <c r="B822" t="s">
        <v>2225</v>
      </c>
      <c r="C822">
        <v>2024</v>
      </c>
      <c r="D822" s="18">
        <v>45301</v>
      </c>
      <c r="E822" s="18">
        <v>45666</v>
      </c>
      <c r="F822" s="18" t="s">
        <v>608</v>
      </c>
      <c r="G822" t="s">
        <v>102</v>
      </c>
      <c r="H822">
        <v>2</v>
      </c>
      <c r="I822">
        <v>4</v>
      </c>
      <c r="J822" s="27">
        <v>27536.240000000002</v>
      </c>
      <c r="K822" s="27">
        <v>3500000</v>
      </c>
    </row>
    <row r="823" spans="1:11" ht="15" customHeight="1" x14ac:dyDescent="0.2">
      <c r="A823" t="s">
        <v>2226</v>
      </c>
      <c r="B823" t="s">
        <v>2227</v>
      </c>
      <c r="C823">
        <v>2024</v>
      </c>
      <c r="D823" s="18">
        <v>45301</v>
      </c>
      <c r="E823" s="18">
        <v>45666</v>
      </c>
      <c r="F823" s="18" t="s">
        <v>611</v>
      </c>
      <c r="G823" t="s">
        <v>99</v>
      </c>
      <c r="H823">
        <v>3</v>
      </c>
      <c r="I823">
        <v>6</v>
      </c>
      <c r="J823" s="27">
        <v>18413.91</v>
      </c>
      <c r="K823" s="27">
        <v>2000000</v>
      </c>
    </row>
    <row r="824" spans="1:11" ht="15" customHeight="1" x14ac:dyDescent="0.2">
      <c r="A824" t="s">
        <v>2228</v>
      </c>
      <c r="B824" t="s">
        <v>2229</v>
      </c>
      <c r="C824">
        <v>2024</v>
      </c>
      <c r="D824" s="18">
        <v>45301</v>
      </c>
      <c r="E824" s="18">
        <v>45666</v>
      </c>
      <c r="F824" s="18" t="s">
        <v>611</v>
      </c>
      <c r="G824" t="s">
        <v>102</v>
      </c>
      <c r="H824">
        <v>1</v>
      </c>
      <c r="I824">
        <v>2</v>
      </c>
      <c r="J824" s="27">
        <v>15647.65</v>
      </c>
      <c r="K824" s="27">
        <v>2000000</v>
      </c>
    </row>
    <row r="825" spans="1:11" ht="15" customHeight="1" x14ac:dyDescent="0.2">
      <c r="A825" t="s">
        <v>2230</v>
      </c>
      <c r="B825" t="s">
        <v>2231</v>
      </c>
      <c r="C825">
        <v>2024</v>
      </c>
      <c r="D825" s="18">
        <v>45301</v>
      </c>
      <c r="E825" s="18">
        <v>45666</v>
      </c>
      <c r="F825" s="18" t="s">
        <v>611</v>
      </c>
      <c r="G825" t="s">
        <v>101</v>
      </c>
      <c r="H825">
        <v>1</v>
      </c>
      <c r="I825">
        <v>1</v>
      </c>
      <c r="J825" s="27">
        <v>8540.41</v>
      </c>
      <c r="K825" s="27">
        <v>500000</v>
      </c>
    </row>
    <row r="826" spans="1:11" ht="15" customHeight="1" x14ac:dyDescent="0.2">
      <c r="A826" t="s">
        <v>2232</v>
      </c>
      <c r="B826" t="s">
        <v>2233</v>
      </c>
      <c r="C826">
        <v>2024</v>
      </c>
      <c r="D826" s="18">
        <v>45301</v>
      </c>
      <c r="E826" s="18">
        <v>45666</v>
      </c>
      <c r="F826" s="18" t="s">
        <v>611</v>
      </c>
      <c r="G826" t="s">
        <v>102</v>
      </c>
      <c r="H826">
        <v>2</v>
      </c>
      <c r="I826">
        <v>4</v>
      </c>
      <c r="J826" s="27">
        <v>69279.05</v>
      </c>
      <c r="K826" s="27">
        <v>10000000</v>
      </c>
    </row>
    <row r="827" spans="1:11" ht="15" customHeight="1" x14ac:dyDescent="0.2">
      <c r="A827" t="s">
        <v>2234</v>
      </c>
      <c r="B827" t="s">
        <v>2235</v>
      </c>
      <c r="C827">
        <v>2024</v>
      </c>
      <c r="D827" s="18">
        <v>45301</v>
      </c>
      <c r="E827" s="18">
        <v>45666</v>
      </c>
      <c r="F827" s="18" t="s">
        <v>611</v>
      </c>
      <c r="G827" t="s">
        <v>102</v>
      </c>
      <c r="H827">
        <v>1</v>
      </c>
      <c r="I827">
        <v>1</v>
      </c>
      <c r="J827" s="27">
        <v>20749.560000000001</v>
      </c>
      <c r="K827" s="27">
        <v>3000000</v>
      </c>
    </row>
    <row r="828" spans="1:11" ht="15" customHeight="1" x14ac:dyDescent="0.2">
      <c r="A828" t="s">
        <v>2236</v>
      </c>
      <c r="B828" t="s">
        <v>2237</v>
      </c>
      <c r="C828">
        <v>2024</v>
      </c>
      <c r="D828" s="18">
        <v>45301</v>
      </c>
      <c r="E828" s="18">
        <v>45666</v>
      </c>
      <c r="F828" s="18" t="s">
        <v>611</v>
      </c>
      <c r="G828" t="s">
        <v>100</v>
      </c>
      <c r="H828">
        <v>1</v>
      </c>
      <c r="I828">
        <v>1</v>
      </c>
      <c r="J828" s="27">
        <v>23878.89</v>
      </c>
      <c r="K828" s="27">
        <v>2000000</v>
      </c>
    </row>
    <row r="829" spans="1:11" ht="15" customHeight="1" x14ac:dyDescent="0.2">
      <c r="A829" t="s">
        <v>2238</v>
      </c>
      <c r="B829" t="s">
        <v>2239</v>
      </c>
      <c r="C829">
        <v>2024</v>
      </c>
      <c r="D829" s="18">
        <v>45301</v>
      </c>
      <c r="E829" s="18">
        <v>45666</v>
      </c>
      <c r="F829" s="18" t="s">
        <v>611</v>
      </c>
      <c r="G829" t="s">
        <v>101</v>
      </c>
      <c r="H829">
        <v>1</v>
      </c>
      <c r="I829">
        <v>2</v>
      </c>
      <c r="J829" s="27">
        <v>75198.149999999994</v>
      </c>
      <c r="K829" s="27">
        <v>5000000</v>
      </c>
    </row>
    <row r="830" spans="1:11" ht="15" customHeight="1" x14ac:dyDescent="0.2">
      <c r="A830" t="s">
        <v>2240</v>
      </c>
      <c r="B830" t="s">
        <v>2241</v>
      </c>
      <c r="C830">
        <v>2024</v>
      </c>
      <c r="D830" s="18">
        <v>45301</v>
      </c>
      <c r="E830" s="18">
        <v>45666</v>
      </c>
      <c r="F830" s="18" t="s">
        <v>611</v>
      </c>
      <c r="G830" t="s">
        <v>100</v>
      </c>
      <c r="H830">
        <v>1</v>
      </c>
      <c r="I830">
        <v>1</v>
      </c>
      <c r="J830" s="27">
        <v>47145.31</v>
      </c>
      <c r="K830" s="27">
        <v>4000000</v>
      </c>
    </row>
    <row r="831" spans="1:11" ht="15" customHeight="1" x14ac:dyDescent="0.2">
      <c r="A831" t="s">
        <v>2242</v>
      </c>
      <c r="B831" t="s">
        <v>2243</v>
      </c>
      <c r="C831">
        <v>2024</v>
      </c>
      <c r="D831" s="18">
        <v>45302</v>
      </c>
      <c r="E831" s="18">
        <v>45667</v>
      </c>
      <c r="F831" s="18" t="s">
        <v>608</v>
      </c>
      <c r="G831" t="s">
        <v>101</v>
      </c>
      <c r="H831">
        <v>1</v>
      </c>
      <c r="I831">
        <v>2</v>
      </c>
      <c r="J831" s="27">
        <v>83239.09</v>
      </c>
      <c r="K831" s="27">
        <v>5000000</v>
      </c>
    </row>
    <row r="832" spans="1:11" ht="15" customHeight="1" x14ac:dyDescent="0.2">
      <c r="A832" t="s">
        <v>2244</v>
      </c>
      <c r="B832" t="s">
        <v>2245</v>
      </c>
      <c r="C832">
        <v>2024</v>
      </c>
      <c r="D832" s="18">
        <v>45302</v>
      </c>
      <c r="E832" s="18">
        <v>45667</v>
      </c>
      <c r="F832" s="18" t="s">
        <v>608</v>
      </c>
      <c r="G832" t="s">
        <v>101</v>
      </c>
      <c r="H832">
        <v>2</v>
      </c>
      <c r="I832">
        <v>4</v>
      </c>
      <c r="J832" s="27">
        <v>66055.62</v>
      </c>
      <c r="K832" s="27">
        <v>4500000</v>
      </c>
    </row>
    <row r="833" spans="1:11" ht="15" customHeight="1" x14ac:dyDescent="0.2">
      <c r="A833" t="s">
        <v>2246</v>
      </c>
      <c r="B833" t="s">
        <v>2247</v>
      </c>
      <c r="C833">
        <v>2024</v>
      </c>
      <c r="D833" s="18">
        <v>45302</v>
      </c>
      <c r="E833" s="18">
        <v>45667</v>
      </c>
      <c r="F833" s="18" t="s">
        <v>611</v>
      </c>
      <c r="G833" t="s">
        <v>101</v>
      </c>
      <c r="H833">
        <v>2</v>
      </c>
      <c r="I833">
        <v>4</v>
      </c>
      <c r="J833" s="27">
        <v>65127.21</v>
      </c>
      <c r="K833" s="27">
        <v>4000000</v>
      </c>
    </row>
    <row r="834" spans="1:11" ht="15" customHeight="1" x14ac:dyDescent="0.2">
      <c r="A834" t="s">
        <v>2248</v>
      </c>
      <c r="B834" t="s">
        <v>2249</v>
      </c>
      <c r="C834">
        <v>2024</v>
      </c>
      <c r="D834" s="18">
        <v>45302</v>
      </c>
      <c r="E834" s="18">
        <v>45667</v>
      </c>
      <c r="F834" s="18" t="s">
        <v>611</v>
      </c>
      <c r="G834" t="s">
        <v>101</v>
      </c>
      <c r="H834">
        <v>3</v>
      </c>
      <c r="I834">
        <v>6</v>
      </c>
      <c r="J834" s="27">
        <v>22741.41</v>
      </c>
      <c r="K834" s="27">
        <v>1500000</v>
      </c>
    </row>
    <row r="835" spans="1:11" ht="15" customHeight="1" x14ac:dyDescent="0.2">
      <c r="A835" t="s">
        <v>2250</v>
      </c>
      <c r="B835" t="s">
        <v>2251</v>
      </c>
      <c r="C835">
        <v>2024</v>
      </c>
      <c r="D835" s="18">
        <v>45302</v>
      </c>
      <c r="E835" s="18">
        <v>45667</v>
      </c>
      <c r="F835" s="18" t="s">
        <v>611</v>
      </c>
      <c r="G835" t="s">
        <v>100</v>
      </c>
      <c r="H835">
        <v>3</v>
      </c>
      <c r="I835">
        <v>6</v>
      </c>
      <c r="J835" s="27">
        <v>39159.82</v>
      </c>
      <c r="K835" s="27">
        <v>3000000</v>
      </c>
    </row>
    <row r="836" spans="1:11" ht="15" customHeight="1" x14ac:dyDescent="0.2">
      <c r="A836" t="s">
        <v>2252</v>
      </c>
      <c r="B836" t="s">
        <v>2253</v>
      </c>
      <c r="C836">
        <v>2024</v>
      </c>
      <c r="D836" s="18">
        <v>45302</v>
      </c>
      <c r="E836" s="18">
        <v>45667</v>
      </c>
      <c r="F836" s="18" t="s">
        <v>611</v>
      </c>
      <c r="G836" t="s">
        <v>100</v>
      </c>
      <c r="H836">
        <v>2</v>
      </c>
      <c r="I836">
        <v>4</v>
      </c>
      <c r="J836" s="27">
        <v>40998.07</v>
      </c>
      <c r="K836" s="27">
        <v>3500000</v>
      </c>
    </row>
    <row r="837" spans="1:11" ht="15" customHeight="1" x14ac:dyDescent="0.2">
      <c r="A837" t="s">
        <v>2254</v>
      </c>
      <c r="B837" t="s">
        <v>2255</v>
      </c>
      <c r="C837">
        <v>2024</v>
      </c>
      <c r="D837" s="18">
        <v>45302</v>
      </c>
      <c r="E837" s="18">
        <v>45667</v>
      </c>
      <c r="F837" s="18" t="s">
        <v>611</v>
      </c>
      <c r="G837" t="s">
        <v>99</v>
      </c>
      <c r="H837">
        <v>1</v>
      </c>
      <c r="I837">
        <v>2</v>
      </c>
      <c r="J837" s="27">
        <v>28867.919999999998</v>
      </c>
      <c r="K837" s="27">
        <v>3500000</v>
      </c>
    </row>
    <row r="838" spans="1:11" ht="15" customHeight="1" x14ac:dyDescent="0.2">
      <c r="A838" t="s">
        <v>2256</v>
      </c>
      <c r="B838" t="s">
        <v>2257</v>
      </c>
      <c r="C838">
        <v>2024</v>
      </c>
      <c r="D838" s="18">
        <v>45302</v>
      </c>
      <c r="E838" s="18">
        <v>45667</v>
      </c>
      <c r="F838" s="18" t="s">
        <v>611</v>
      </c>
      <c r="G838" t="s">
        <v>101</v>
      </c>
      <c r="H838">
        <v>1</v>
      </c>
      <c r="I838">
        <v>1</v>
      </c>
      <c r="J838" s="27">
        <v>80580.31</v>
      </c>
      <c r="K838" s="27">
        <v>5000000</v>
      </c>
    </row>
    <row r="839" spans="1:11" ht="15" customHeight="1" x14ac:dyDescent="0.2">
      <c r="A839" t="s">
        <v>2258</v>
      </c>
      <c r="B839" t="s">
        <v>2259</v>
      </c>
      <c r="C839">
        <v>2024</v>
      </c>
      <c r="D839" s="18">
        <v>45303</v>
      </c>
      <c r="E839" s="18">
        <v>45668</v>
      </c>
      <c r="F839" s="18" t="s">
        <v>608</v>
      </c>
      <c r="G839" t="s">
        <v>101</v>
      </c>
      <c r="H839">
        <v>3</v>
      </c>
      <c r="I839">
        <v>3</v>
      </c>
      <c r="J839" s="27">
        <v>8034.86</v>
      </c>
      <c r="K839" s="27">
        <v>500000</v>
      </c>
    </row>
    <row r="840" spans="1:11" ht="15" customHeight="1" x14ac:dyDescent="0.2">
      <c r="A840" t="s">
        <v>2260</v>
      </c>
      <c r="B840" t="s">
        <v>2261</v>
      </c>
      <c r="C840">
        <v>2024</v>
      </c>
      <c r="D840" s="18">
        <v>45303</v>
      </c>
      <c r="E840" s="18">
        <v>45668</v>
      </c>
      <c r="F840" s="18" t="s">
        <v>608</v>
      </c>
      <c r="G840" t="s">
        <v>102</v>
      </c>
      <c r="H840">
        <v>1</v>
      </c>
      <c r="I840">
        <v>1</v>
      </c>
      <c r="J840" s="27">
        <v>69254.64</v>
      </c>
      <c r="K840" s="27">
        <v>10000000</v>
      </c>
    </row>
    <row r="841" spans="1:11" ht="15" customHeight="1" x14ac:dyDescent="0.2">
      <c r="A841" t="s">
        <v>2262</v>
      </c>
      <c r="B841" t="s">
        <v>2263</v>
      </c>
      <c r="C841">
        <v>2024</v>
      </c>
      <c r="D841" s="18">
        <v>45303</v>
      </c>
      <c r="E841" s="18">
        <v>45668</v>
      </c>
      <c r="F841" s="18" t="s">
        <v>608</v>
      </c>
      <c r="G841" t="s">
        <v>100</v>
      </c>
      <c r="H841">
        <v>3</v>
      </c>
      <c r="I841">
        <v>6</v>
      </c>
      <c r="J841" s="27">
        <v>48608.53</v>
      </c>
      <c r="K841" s="27">
        <v>4000000</v>
      </c>
    </row>
    <row r="842" spans="1:11" ht="15" customHeight="1" x14ac:dyDescent="0.2">
      <c r="A842" t="s">
        <v>2264</v>
      </c>
      <c r="B842" t="s">
        <v>2265</v>
      </c>
      <c r="C842">
        <v>2024</v>
      </c>
      <c r="D842" s="18">
        <v>45303</v>
      </c>
      <c r="E842" s="18">
        <v>45668</v>
      </c>
      <c r="F842" s="18" t="s">
        <v>611</v>
      </c>
      <c r="G842" t="s">
        <v>99</v>
      </c>
      <c r="H842">
        <v>3</v>
      </c>
      <c r="I842">
        <v>6</v>
      </c>
      <c r="J842" s="27">
        <v>7657.99</v>
      </c>
      <c r="K842" s="27">
        <v>1000000</v>
      </c>
    </row>
    <row r="843" spans="1:11" ht="15" customHeight="1" x14ac:dyDescent="0.2">
      <c r="A843" t="s">
        <v>2266</v>
      </c>
      <c r="B843" t="s">
        <v>2267</v>
      </c>
      <c r="C843">
        <v>2024</v>
      </c>
      <c r="D843" s="18">
        <v>45303</v>
      </c>
      <c r="E843" s="18">
        <v>45668</v>
      </c>
      <c r="F843" s="18" t="s">
        <v>611</v>
      </c>
      <c r="G843" t="s">
        <v>101</v>
      </c>
      <c r="H843">
        <v>1</v>
      </c>
      <c r="I843">
        <v>1</v>
      </c>
      <c r="J843" s="27">
        <v>81678.67</v>
      </c>
      <c r="K843" s="27">
        <v>5000000</v>
      </c>
    </row>
    <row r="844" spans="1:11" ht="15" customHeight="1" x14ac:dyDescent="0.2">
      <c r="A844" t="s">
        <v>2268</v>
      </c>
      <c r="B844" t="s">
        <v>2269</v>
      </c>
      <c r="C844">
        <v>2024</v>
      </c>
      <c r="D844" s="18">
        <v>45303</v>
      </c>
      <c r="E844" s="18">
        <v>45668</v>
      </c>
      <c r="F844" s="18" t="s">
        <v>611</v>
      </c>
      <c r="G844" t="s">
        <v>101</v>
      </c>
      <c r="H844">
        <v>2</v>
      </c>
      <c r="I844">
        <v>4</v>
      </c>
      <c r="J844" s="27">
        <v>60757.13</v>
      </c>
      <c r="K844" s="27">
        <v>4000000</v>
      </c>
    </row>
    <row r="845" spans="1:11" ht="15" customHeight="1" x14ac:dyDescent="0.2">
      <c r="A845" t="s">
        <v>2270</v>
      </c>
      <c r="B845" t="s">
        <v>2271</v>
      </c>
      <c r="C845">
        <v>2024</v>
      </c>
      <c r="D845" s="18">
        <v>45303</v>
      </c>
      <c r="E845" s="18">
        <v>45668</v>
      </c>
      <c r="F845" s="18" t="s">
        <v>611</v>
      </c>
      <c r="G845" t="s">
        <v>101</v>
      </c>
      <c r="H845">
        <v>1</v>
      </c>
      <c r="I845">
        <v>1</v>
      </c>
      <c r="J845" s="27">
        <v>63695.7</v>
      </c>
      <c r="K845" s="27">
        <v>4500000</v>
      </c>
    </row>
    <row r="846" spans="1:11" ht="15" customHeight="1" x14ac:dyDescent="0.2">
      <c r="A846" t="s">
        <v>2272</v>
      </c>
      <c r="B846" t="s">
        <v>2273</v>
      </c>
      <c r="C846">
        <v>2024</v>
      </c>
      <c r="D846" s="18">
        <v>45304</v>
      </c>
      <c r="E846" s="18">
        <v>45669</v>
      </c>
      <c r="F846" s="18" t="s">
        <v>611</v>
      </c>
      <c r="G846" t="s">
        <v>100</v>
      </c>
      <c r="H846">
        <v>3</v>
      </c>
      <c r="I846">
        <v>3</v>
      </c>
      <c r="J846" s="27">
        <v>26434.7</v>
      </c>
      <c r="K846" s="27">
        <v>2000000</v>
      </c>
    </row>
    <row r="847" spans="1:11" ht="15" customHeight="1" x14ac:dyDescent="0.2">
      <c r="A847" t="s">
        <v>2274</v>
      </c>
      <c r="B847" t="s">
        <v>2275</v>
      </c>
      <c r="C847">
        <v>2024</v>
      </c>
      <c r="D847" s="18">
        <v>45304</v>
      </c>
      <c r="E847" s="18">
        <v>45669</v>
      </c>
      <c r="F847" s="18" t="s">
        <v>611</v>
      </c>
      <c r="G847" t="s">
        <v>99</v>
      </c>
      <c r="H847">
        <v>3</v>
      </c>
      <c r="I847">
        <v>3</v>
      </c>
      <c r="J847" s="27">
        <v>22285.32</v>
      </c>
      <c r="K847" s="27">
        <v>2500000</v>
      </c>
    </row>
    <row r="848" spans="1:11" ht="15" customHeight="1" x14ac:dyDescent="0.2">
      <c r="A848" t="s">
        <v>2276</v>
      </c>
      <c r="B848" t="s">
        <v>2277</v>
      </c>
      <c r="C848">
        <v>2024</v>
      </c>
      <c r="D848" s="18">
        <v>45304</v>
      </c>
      <c r="E848" s="18">
        <v>45669</v>
      </c>
      <c r="F848" s="18" t="s">
        <v>611</v>
      </c>
      <c r="G848" t="s">
        <v>102</v>
      </c>
      <c r="H848">
        <v>1</v>
      </c>
      <c r="I848">
        <v>1</v>
      </c>
      <c r="J848" s="27">
        <v>14946.99</v>
      </c>
      <c r="K848" s="27">
        <v>2000000</v>
      </c>
    </row>
    <row r="849" spans="1:11" ht="15" customHeight="1" x14ac:dyDescent="0.2">
      <c r="A849" t="s">
        <v>2278</v>
      </c>
      <c r="B849" t="s">
        <v>2279</v>
      </c>
      <c r="C849">
        <v>2024</v>
      </c>
      <c r="D849" s="18">
        <v>45304</v>
      </c>
      <c r="E849" s="18">
        <v>45669</v>
      </c>
      <c r="F849" s="18" t="s">
        <v>611</v>
      </c>
      <c r="G849" t="s">
        <v>102</v>
      </c>
      <c r="H849">
        <v>3</v>
      </c>
      <c r="I849">
        <v>6</v>
      </c>
      <c r="J849" s="27">
        <v>78227.88</v>
      </c>
      <c r="K849" s="27">
        <v>10000000</v>
      </c>
    </row>
    <row r="850" spans="1:11" ht="15" customHeight="1" x14ac:dyDescent="0.2">
      <c r="A850" t="s">
        <v>2280</v>
      </c>
      <c r="B850" t="s">
        <v>2281</v>
      </c>
      <c r="C850">
        <v>2024</v>
      </c>
      <c r="D850" s="18">
        <v>45305</v>
      </c>
      <c r="E850" s="18">
        <v>45670</v>
      </c>
      <c r="F850" s="18" t="s">
        <v>608</v>
      </c>
      <c r="G850" t="s">
        <v>102</v>
      </c>
      <c r="H850">
        <v>3</v>
      </c>
      <c r="I850">
        <v>3</v>
      </c>
      <c r="J850" s="27">
        <v>11399.37</v>
      </c>
      <c r="K850" s="27">
        <v>1500000</v>
      </c>
    </row>
    <row r="851" spans="1:11" ht="15" customHeight="1" x14ac:dyDescent="0.2">
      <c r="A851" t="s">
        <v>2282</v>
      </c>
      <c r="B851" t="s">
        <v>2283</v>
      </c>
      <c r="C851">
        <v>2024</v>
      </c>
      <c r="D851" s="18">
        <v>45305</v>
      </c>
      <c r="E851" s="18">
        <v>45670</v>
      </c>
      <c r="F851" s="18" t="s">
        <v>611</v>
      </c>
      <c r="G851" t="s">
        <v>99</v>
      </c>
      <c r="H851">
        <v>1</v>
      </c>
      <c r="I851">
        <v>1</v>
      </c>
      <c r="J851" s="27">
        <v>4221.37</v>
      </c>
      <c r="K851" s="27">
        <v>500000</v>
      </c>
    </row>
    <row r="852" spans="1:11" ht="15" customHeight="1" x14ac:dyDescent="0.2">
      <c r="A852" t="s">
        <v>2284</v>
      </c>
      <c r="B852" t="s">
        <v>2285</v>
      </c>
      <c r="C852">
        <v>2024</v>
      </c>
      <c r="D852" s="18">
        <v>45305</v>
      </c>
      <c r="E852" s="18">
        <v>45670</v>
      </c>
      <c r="F852" s="18" t="s">
        <v>611</v>
      </c>
      <c r="G852" t="s">
        <v>101</v>
      </c>
      <c r="H852">
        <v>1</v>
      </c>
      <c r="I852">
        <v>1</v>
      </c>
      <c r="J852" s="27">
        <v>141488.88</v>
      </c>
      <c r="K852" s="27">
        <v>10000000</v>
      </c>
    </row>
    <row r="853" spans="1:11" ht="15" customHeight="1" x14ac:dyDescent="0.2">
      <c r="A853" t="s">
        <v>2286</v>
      </c>
      <c r="B853" t="s">
        <v>2287</v>
      </c>
      <c r="C853">
        <v>2024</v>
      </c>
      <c r="D853" s="18">
        <v>45305</v>
      </c>
      <c r="E853" s="18">
        <v>45670</v>
      </c>
      <c r="F853" s="18" t="s">
        <v>611</v>
      </c>
      <c r="G853" t="s">
        <v>99</v>
      </c>
      <c r="H853">
        <v>2</v>
      </c>
      <c r="I853">
        <v>2</v>
      </c>
      <c r="J853" s="27">
        <v>37852.11</v>
      </c>
      <c r="K853" s="27">
        <v>5000000</v>
      </c>
    </row>
    <row r="854" spans="1:11" ht="15" customHeight="1" x14ac:dyDescent="0.2">
      <c r="A854" t="s">
        <v>2288</v>
      </c>
      <c r="B854" t="s">
        <v>2289</v>
      </c>
      <c r="C854">
        <v>2024</v>
      </c>
      <c r="D854" s="18">
        <v>45305</v>
      </c>
      <c r="E854" s="18">
        <v>45670</v>
      </c>
      <c r="F854" s="18" t="s">
        <v>611</v>
      </c>
      <c r="G854" t="s">
        <v>99</v>
      </c>
      <c r="H854">
        <v>1</v>
      </c>
      <c r="I854">
        <v>1</v>
      </c>
      <c r="J854" s="27">
        <v>8836.69</v>
      </c>
      <c r="K854" s="27">
        <v>1000000</v>
      </c>
    </row>
    <row r="855" spans="1:11" ht="15" customHeight="1" x14ac:dyDescent="0.2">
      <c r="A855" t="s">
        <v>2290</v>
      </c>
      <c r="B855" t="s">
        <v>2291</v>
      </c>
      <c r="C855">
        <v>2024</v>
      </c>
      <c r="D855" s="18">
        <v>45305</v>
      </c>
      <c r="E855" s="18">
        <v>45670</v>
      </c>
      <c r="F855" s="18" t="s">
        <v>611</v>
      </c>
      <c r="G855" t="s">
        <v>101</v>
      </c>
      <c r="H855">
        <v>1</v>
      </c>
      <c r="I855">
        <v>1</v>
      </c>
      <c r="J855" s="27">
        <v>59110.13</v>
      </c>
      <c r="K855" s="27">
        <v>4000000</v>
      </c>
    </row>
    <row r="856" spans="1:11" ht="15" customHeight="1" x14ac:dyDescent="0.2">
      <c r="A856" t="s">
        <v>2292</v>
      </c>
      <c r="B856" t="s">
        <v>2293</v>
      </c>
      <c r="C856">
        <v>2024</v>
      </c>
      <c r="D856" s="18">
        <v>45305</v>
      </c>
      <c r="E856" s="18">
        <v>45670</v>
      </c>
      <c r="F856" s="18" t="s">
        <v>611</v>
      </c>
      <c r="G856" t="s">
        <v>100</v>
      </c>
      <c r="H856">
        <v>3</v>
      </c>
      <c r="I856">
        <v>3</v>
      </c>
      <c r="J856" s="27">
        <v>40704.15</v>
      </c>
      <c r="K856" s="27">
        <v>3500000</v>
      </c>
    </row>
    <row r="857" spans="1:11" ht="15" customHeight="1" x14ac:dyDescent="0.2">
      <c r="A857" t="s">
        <v>2294</v>
      </c>
      <c r="B857" t="s">
        <v>2295</v>
      </c>
      <c r="C857">
        <v>2024</v>
      </c>
      <c r="D857" s="18">
        <v>45305</v>
      </c>
      <c r="E857" s="18">
        <v>45670</v>
      </c>
      <c r="F857" s="18" t="s">
        <v>611</v>
      </c>
      <c r="G857" t="s">
        <v>101</v>
      </c>
      <c r="H857">
        <v>2</v>
      </c>
      <c r="I857">
        <v>2</v>
      </c>
      <c r="J857" s="27">
        <v>30808.560000000001</v>
      </c>
      <c r="K857" s="27">
        <v>2000000</v>
      </c>
    </row>
    <row r="858" spans="1:11" ht="15" customHeight="1" x14ac:dyDescent="0.2">
      <c r="A858" t="s">
        <v>2296</v>
      </c>
      <c r="B858" t="s">
        <v>2297</v>
      </c>
      <c r="C858">
        <v>2024</v>
      </c>
      <c r="D858" s="18">
        <v>45305</v>
      </c>
      <c r="E858" s="18">
        <v>45670</v>
      </c>
      <c r="F858" s="18" t="s">
        <v>611</v>
      </c>
      <c r="G858" t="s">
        <v>99</v>
      </c>
      <c r="H858">
        <v>2</v>
      </c>
      <c r="I858">
        <v>4</v>
      </c>
      <c r="J858" s="27">
        <v>40760.86</v>
      </c>
      <c r="K858" s="27">
        <v>5000000</v>
      </c>
    </row>
    <row r="859" spans="1:11" ht="15" customHeight="1" x14ac:dyDescent="0.2">
      <c r="A859" t="s">
        <v>2298</v>
      </c>
      <c r="B859" t="s">
        <v>2299</v>
      </c>
      <c r="C859">
        <v>2024</v>
      </c>
      <c r="D859" s="18">
        <v>45305</v>
      </c>
      <c r="E859" s="18">
        <v>45670</v>
      </c>
      <c r="F859" s="18" t="s">
        <v>611</v>
      </c>
      <c r="G859" t="s">
        <v>99</v>
      </c>
      <c r="H859">
        <v>3</v>
      </c>
      <c r="I859">
        <v>3</v>
      </c>
      <c r="J859" s="27">
        <v>34942.75</v>
      </c>
      <c r="K859" s="27">
        <v>4000000</v>
      </c>
    </row>
    <row r="860" spans="1:11" ht="15" customHeight="1" x14ac:dyDescent="0.2">
      <c r="A860" t="s">
        <v>2300</v>
      </c>
      <c r="B860" t="s">
        <v>2301</v>
      </c>
      <c r="C860">
        <v>2024</v>
      </c>
      <c r="D860" s="18">
        <v>45305</v>
      </c>
      <c r="E860" s="18">
        <v>45670</v>
      </c>
      <c r="F860" s="18" t="s">
        <v>611</v>
      </c>
      <c r="G860" t="s">
        <v>99</v>
      </c>
      <c r="H860">
        <v>1</v>
      </c>
      <c r="I860">
        <v>2</v>
      </c>
      <c r="J860" s="27">
        <v>39973.99</v>
      </c>
      <c r="K860" s="27">
        <v>5000000</v>
      </c>
    </row>
    <row r="861" spans="1:11" ht="15" customHeight="1" x14ac:dyDescent="0.2">
      <c r="A861" t="s">
        <v>2302</v>
      </c>
      <c r="B861" t="s">
        <v>2303</v>
      </c>
      <c r="C861">
        <v>2024</v>
      </c>
      <c r="D861" s="18">
        <v>45305</v>
      </c>
      <c r="E861" s="18">
        <v>45670</v>
      </c>
      <c r="F861" s="18" t="s">
        <v>611</v>
      </c>
      <c r="G861" t="s">
        <v>100</v>
      </c>
      <c r="H861">
        <v>2</v>
      </c>
      <c r="I861">
        <v>2</v>
      </c>
      <c r="J861" s="27">
        <v>120206.58</v>
      </c>
      <c r="K861" s="27">
        <v>10000000</v>
      </c>
    </row>
    <row r="862" spans="1:11" ht="15" customHeight="1" x14ac:dyDescent="0.2">
      <c r="A862" t="s">
        <v>2304</v>
      </c>
      <c r="B862" t="s">
        <v>2305</v>
      </c>
      <c r="C862">
        <v>2024</v>
      </c>
      <c r="D862" s="18">
        <v>45305</v>
      </c>
      <c r="E862" s="18">
        <v>45670</v>
      </c>
      <c r="F862" s="18" t="s">
        <v>611</v>
      </c>
      <c r="G862" t="s">
        <v>102</v>
      </c>
      <c r="H862">
        <v>1</v>
      </c>
      <c r="I862">
        <v>2</v>
      </c>
      <c r="J862" s="27">
        <v>79596.320000000007</v>
      </c>
      <c r="K862" s="27">
        <v>10000000</v>
      </c>
    </row>
    <row r="863" spans="1:11" ht="15" customHeight="1" x14ac:dyDescent="0.2">
      <c r="A863" t="s">
        <v>2306</v>
      </c>
      <c r="B863" t="s">
        <v>2307</v>
      </c>
      <c r="C863">
        <v>2024</v>
      </c>
      <c r="D863" s="18">
        <v>45306</v>
      </c>
      <c r="E863" s="18">
        <v>45671</v>
      </c>
      <c r="F863" s="18" t="s">
        <v>608</v>
      </c>
      <c r="G863" t="s">
        <v>99</v>
      </c>
      <c r="H863">
        <v>1</v>
      </c>
      <c r="I863">
        <v>2</v>
      </c>
      <c r="J863" s="27">
        <v>25905.07</v>
      </c>
      <c r="K863" s="27">
        <v>3000000</v>
      </c>
    </row>
    <row r="864" spans="1:11" ht="15" customHeight="1" x14ac:dyDescent="0.2">
      <c r="A864" t="s">
        <v>2308</v>
      </c>
      <c r="B864" t="s">
        <v>2309</v>
      </c>
      <c r="C864">
        <v>2024</v>
      </c>
      <c r="D864" s="18">
        <v>45306</v>
      </c>
      <c r="E864" s="18">
        <v>45671</v>
      </c>
      <c r="F864" s="18" t="s">
        <v>611</v>
      </c>
      <c r="G864" t="s">
        <v>99</v>
      </c>
      <c r="H864">
        <v>3</v>
      </c>
      <c r="I864">
        <v>3</v>
      </c>
      <c r="J864" s="27">
        <v>37776.019999999997</v>
      </c>
      <c r="K864" s="27">
        <v>5000000</v>
      </c>
    </row>
    <row r="865" spans="1:11" ht="15" customHeight="1" x14ac:dyDescent="0.2">
      <c r="A865" t="s">
        <v>2310</v>
      </c>
      <c r="B865" t="s">
        <v>2311</v>
      </c>
      <c r="C865">
        <v>2024</v>
      </c>
      <c r="D865" s="18">
        <v>45306</v>
      </c>
      <c r="E865" s="18">
        <v>45671</v>
      </c>
      <c r="F865" s="18" t="s">
        <v>611</v>
      </c>
      <c r="G865" t="s">
        <v>101</v>
      </c>
      <c r="H865">
        <v>3</v>
      </c>
      <c r="I865">
        <v>3</v>
      </c>
      <c r="J865" s="27">
        <v>8302.01</v>
      </c>
      <c r="K865" s="27">
        <v>500000</v>
      </c>
    </row>
    <row r="866" spans="1:11" ht="15" customHeight="1" x14ac:dyDescent="0.2">
      <c r="A866" t="s">
        <v>2312</v>
      </c>
      <c r="B866" t="s">
        <v>2313</v>
      </c>
      <c r="C866">
        <v>2024</v>
      </c>
      <c r="D866" s="18">
        <v>45306</v>
      </c>
      <c r="E866" s="18">
        <v>45671</v>
      </c>
      <c r="F866" s="18" t="s">
        <v>611</v>
      </c>
      <c r="G866" t="s">
        <v>100</v>
      </c>
      <c r="H866">
        <v>1</v>
      </c>
      <c r="I866">
        <v>1</v>
      </c>
      <c r="J866" s="27">
        <v>19137.349999999999</v>
      </c>
      <c r="K866" s="27">
        <v>1500000</v>
      </c>
    </row>
    <row r="867" spans="1:11" ht="15" customHeight="1" x14ac:dyDescent="0.2">
      <c r="A867" t="s">
        <v>2314</v>
      </c>
      <c r="B867" t="s">
        <v>2315</v>
      </c>
      <c r="C867">
        <v>2024</v>
      </c>
      <c r="D867" s="18">
        <v>45306</v>
      </c>
      <c r="E867" s="18">
        <v>45671</v>
      </c>
      <c r="F867" s="18" t="s">
        <v>611</v>
      </c>
      <c r="G867" t="s">
        <v>101</v>
      </c>
      <c r="H867">
        <v>3</v>
      </c>
      <c r="I867">
        <v>3</v>
      </c>
      <c r="J867" s="27">
        <v>149234.63</v>
      </c>
      <c r="K867" s="27">
        <v>10000000</v>
      </c>
    </row>
    <row r="868" spans="1:11" ht="15" customHeight="1" x14ac:dyDescent="0.2">
      <c r="A868" t="s">
        <v>2316</v>
      </c>
      <c r="B868" t="s">
        <v>2317</v>
      </c>
      <c r="C868">
        <v>2024</v>
      </c>
      <c r="D868" s="18">
        <v>45306</v>
      </c>
      <c r="E868" s="18">
        <v>45671</v>
      </c>
      <c r="F868" s="18" t="s">
        <v>611</v>
      </c>
      <c r="G868" t="s">
        <v>100</v>
      </c>
      <c r="H868">
        <v>1</v>
      </c>
      <c r="I868">
        <v>1</v>
      </c>
      <c r="J868" s="27">
        <v>60570.34</v>
      </c>
      <c r="K868" s="27">
        <v>5000000</v>
      </c>
    </row>
    <row r="869" spans="1:11" ht="15" customHeight="1" x14ac:dyDescent="0.2">
      <c r="A869" t="s">
        <v>2318</v>
      </c>
      <c r="B869" t="s">
        <v>2319</v>
      </c>
      <c r="C869">
        <v>2024</v>
      </c>
      <c r="D869" s="18">
        <v>45306</v>
      </c>
      <c r="E869" s="18">
        <v>45671</v>
      </c>
      <c r="F869" s="18" t="s">
        <v>611</v>
      </c>
      <c r="G869" t="s">
        <v>99</v>
      </c>
      <c r="H869">
        <v>1</v>
      </c>
      <c r="I869">
        <v>1</v>
      </c>
      <c r="J869" s="27">
        <v>9049.0300000000007</v>
      </c>
      <c r="K869" s="27">
        <v>1000000</v>
      </c>
    </row>
    <row r="870" spans="1:11" ht="15" customHeight="1" x14ac:dyDescent="0.2">
      <c r="A870" t="s">
        <v>2320</v>
      </c>
      <c r="B870" t="s">
        <v>2321</v>
      </c>
      <c r="C870">
        <v>2024</v>
      </c>
      <c r="D870" s="18">
        <v>45306</v>
      </c>
      <c r="E870" s="18">
        <v>45671</v>
      </c>
      <c r="F870" s="18" t="s">
        <v>611</v>
      </c>
      <c r="G870" t="s">
        <v>99</v>
      </c>
      <c r="H870">
        <v>2</v>
      </c>
      <c r="I870">
        <v>2</v>
      </c>
      <c r="J870" s="27">
        <v>46117.25</v>
      </c>
      <c r="K870" s="27">
        <v>5000000</v>
      </c>
    </row>
    <row r="871" spans="1:11" ht="15" customHeight="1" x14ac:dyDescent="0.2">
      <c r="A871" t="s">
        <v>2322</v>
      </c>
      <c r="B871" t="s">
        <v>2323</v>
      </c>
      <c r="C871">
        <v>2024</v>
      </c>
      <c r="D871" s="18">
        <v>45306</v>
      </c>
      <c r="E871" s="18">
        <v>45671</v>
      </c>
      <c r="F871" s="18" t="s">
        <v>611</v>
      </c>
      <c r="G871" t="s">
        <v>99</v>
      </c>
      <c r="H871">
        <v>2</v>
      </c>
      <c r="I871">
        <v>2</v>
      </c>
      <c r="J871" s="27">
        <v>89179.4</v>
      </c>
      <c r="K871" s="27">
        <v>10000000</v>
      </c>
    </row>
    <row r="872" spans="1:11" ht="15" customHeight="1" x14ac:dyDescent="0.2">
      <c r="A872" t="s">
        <v>2324</v>
      </c>
      <c r="B872" t="s">
        <v>2325</v>
      </c>
      <c r="C872">
        <v>2024</v>
      </c>
      <c r="D872" s="18">
        <v>45306</v>
      </c>
      <c r="E872" s="18">
        <v>45671</v>
      </c>
      <c r="F872" s="18" t="s">
        <v>611</v>
      </c>
      <c r="G872" t="s">
        <v>100</v>
      </c>
      <c r="H872">
        <v>3</v>
      </c>
      <c r="I872">
        <v>6</v>
      </c>
      <c r="J872" s="27">
        <v>51489.72</v>
      </c>
      <c r="K872" s="27">
        <v>4500000</v>
      </c>
    </row>
    <row r="873" spans="1:11" ht="15" customHeight="1" x14ac:dyDescent="0.2">
      <c r="A873" t="s">
        <v>2326</v>
      </c>
      <c r="B873" t="s">
        <v>2327</v>
      </c>
      <c r="C873">
        <v>2024</v>
      </c>
      <c r="D873" s="18">
        <v>45307</v>
      </c>
      <c r="E873" s="18">
        <v>45672</v>
      </c>
      <c r="F873" s="18" t="s">
        <v>611</v>
      </c>
      <c r="G873" t="s">
        <v>99</v>
      </c>
      <c r="H873">
        <v>1</v>
      </c>
      <c r="I873">
        <v>2</v>
      </c>
      <c r="J873" s="27">
        <v>77976.149999999994</v>
      </c>
      <c r="K873" s="27">
        <v>10000000</v>
      </c>
    </row>
    <row r="874" spans="1:11" ht="15" customHeight="1" x14ac:dyDescent="0.2">
      <c r="A874" t="s">
        <v>2328</v>
      </c>
      <c r="B874" t="s">
        <v>2329</v>
      </c>
      <c r="C874">
        <v>2024</v>
      </c>
      <c r="D874" s="18">
        <v>45307</v>
      </c>
      <c r="E874" s="18">
        <v>45672</v>
      </c>
      <c r="F874" s="18" t="s">
        <v>611</v>
      </c>
      <c r="G874" t="s">
        <v>101</v>
      </c>
      <c r="H874">
        <v>2</v>
      </c>
      <c r="I874">
        <v>4</v>
      </c>
      <c r="J874" s="27">
        <v>8317.35</v>
      </c>
      <c r="K874" s="27">
        <v>500000</v>
      </c>
    </row>
    <row r="875" spans="1:11" ht="15" customHeight="1" x14ac:dyDescent="0.2">
      <c r="A875" t="s">
        <v>2330</v>
      </c>
      <c r="B875" t="s">
        <v>2331</v>
      </c>
      <c r="C875">
        <v>2024</v>
      </c>
      <c r="D875" s="18">
        <v>45307</v>
      </c>
      <c r="E875" s="18">
        <v>45672</v>
      </c>
      <c r="F875" s="18" t="s">
        <v>611</v>
      </c>
      <c r="G875" t="s">
        <v>101</v>
      </c>
      <c r="H875">
        <v>2</v>
      </c>
      <c r="I875">
        <v>2</v>
      </c>
      <c r="J875" s="27">
        <v>79115.17</v>
      </c>
      <c r="K875" s="27">
        <v>5000000</v>
      </c>
    </row>
    <row r="876" spans="1:11" ht="15" customHeight="1" x14ac:dyDescent="0.2">
      <c r="A876" t="s">
        <v>2332</v>
      </c>
      <c r="B876" t="s">
        <v>2333</v>
      </c>
      <c r="C876">
        <v>2024</v>
      </c>
      <c r="D876" s="18">
        <v>45307</v>
      </c>
      <c r="E876" s="18">
        <v>45672</v>
      </c>
      <c r="F876" s="18" t="s">
        <v>611</v>
      </c>
      <c r="G876" t="s">
        <v>102</v>
      </c>
      <c r="H876">
        <v>3</v>
      </c>
      <c r="I876">
        <v>6</v>
      </c>
      <c r="J876" s="27">
        <v>76360.25</v>
      </c>
      <c r="K876" s="27">
        <v>10000000</v>
      </c>
    </row>
    <row r="877" spans="1:11" ht="15" customHeight="1" x14ac:dyDescent="0.2">
      <c r="A877" t="s">
        <v>2334</v>
      </c>
      <c r="B877" t="s">
        <v>2335</v>
      </c>
      <c r="C877">
        <v>2024</v>
      </c>
      <c r="D877" s="18">
        <v>45307</v>
      </c>
      <c r="E877" s="18">
        <v>45672</v>
      </c>
      <c r="F877" s="18" t="s">
        <v>611</v>
      </c>
      <c r="G877" t="s">
        <v>100</v>
      </c>
      <c r="H877">
        <v>2</v>
      </c>
      <c r="I877">
        <v>4</v>
      </c>
      <c r="J877" s="27">
        <v>40797.379999999997</v>
      </c>
      <c r="K877" s="27">
        <v>3500000</v>
      </c>
    </row>
    <row r="878" spans="1:11" ht="15" customHeight="1" x14ac:dyDescent="0.2">
      <c r="A878" t="s">
        <v>2336</v>
      </c>
      <c r="B878" t="s">
        <v>2337</v>
      </c>
      <c r="C878">
        <v>2024</v>
      </c>
      <c r="D878" s="18">
        <v>45307</v>
      </c>
      <c r="E878" s="18">
        <v>45672</v>
      </c>
      <c r="F878" s="18" t="s">
        <v>611</v>
      </c>
      <c r="G878" t="s">
        <v>99</v>
      </c>
      <c r="H878">
        <v>2</v>
      </c>
      <c r="I878">
        <v>2</v>
      </c>
      <c r="J878" s="27">
        <v>34794.699999999997</v>
      </c>
      <c r="K878" s="27">
        <v>4000000</v>
      </c>
    </row>
    <row r="879" spans="1:11" ht="15" customHeight="1" x14ac:dyDescent="0.2">
      <c r="A879" t="s">
        <v>2338</v>
      </c>
      <c r="B879" t="s">
        <v>2339</v>
      </c>
      <c r="C879">
        <v>2024</v>
      </c>
      <c r="D879" s="18">
        <v>45307</v>
      </c>
      <c r="E879" s="18">
        <v>45672</v>
      </c>
      <c r="F879" s="18" t="s">
        <v>611</v>
      </c>
      <c r="G879" t="s">
        <v>101</v>
      </c>
      <c r="H879">
        <v>3</v>
      </c>
      <c r="I879">
        <v>3</v>
      </c>
      <c r="J879" s="27">
        <v>49499.35</v>
      </c>
      <c r="K879" s="27">
        <v>3500000</v>
      </c>
    </row>
    <row r="880" spans="1:11" ht="15" customHeight="1" x14ac:dyDescent="0.2">
      <c r="A880" t="s">
        <v>2340</v>
      </c>
      <c r="B880" t="s">
        <v>2341</v>
      </c>
      <c r="C880">
        <v>2024</v>
      </c>
      <c r="D880" s="18">
        <v>45307</v>
      </c>
      <c r="E880" s="18">
        <v>45672</v>
      </c>
      <c r="F880" s="18" t="s">
        <v>611</v>
      </c>
      <c r="G880" t="s">
        <v>102</v>
      </c>
      <c r="H880">
        <v>1</v>
      </c>
      <c r="I880">
        <v>1</v>
      </c>
      <c r="J880" s="27">
        <v>16462.96</v>
      </c>
      <c r="K880" s="27">
        <v>2500000</v>
      </c>
    </row>
    <row r="881" spans="1:11" ht="15" customHeight="1" x14ac:dyDescent="0.2">
      <c r="A881" t="s">
        <v>2342</v>
      </c>
      <c r="B881" t="s">
        <v>2343</v>
      </c>
      <c r="C881">
        <v>2024</v>
      </c>
      <c r="D881" s="18">
        <v>45307</v>
      </c>
      <c r="E881" s="18">
        <v>45672</v>
      </c>
      <c r="F881" s="18" t="s">
        <v>611</v>
      </c>
      <c r="G881" t="s">
        <v>99</v>
      </c>
      <c r="H881">
        <v>2</v>
      </c>
      <c r="I881">
        <v>2</v>
      </c>
      <c r="J881" s="27">
        <v>76085.440000000002</v>
      </c>
      <c r="K881" s="27">
        <v>10000000</v>
      </c>
    </row>
    <row r="882" spans="1:11" ht="15" customHeight="1" x14ac:dyDescent="0.2">
      <c r="A882" t="s">
        <v>2344</v>
      </c>
      <c r="B882" t="s">
        <v>2345</v>
      </c>
      <c r="C882">
        <v>2024</v>
      </c>
      <c r="D882" s="18">
        <v>45308</v>
      </c>
      <c r="E882" s="18">
        <v>45673</v>
      </c>
      <c r="F882" s="18" t="s">
        <v>611</v>
      </c>
      <c r="G882" t="s">
        <v>99</v>
      </c>
      <c r="H882">
        <v>3</v>
      </c>
      <c r="I882">
        <v>3</v>
      </c>
      <c r="J882" s="27">
        <v>39311.74</v>
      </c>
      <c r="K882" s="27">
        <v>5000000</v>
      </c>
    </row>
    <row r="883" spans="1:11" ht="15" customHeight="1" x14ac:dyDescent="0.2">
      <c r="A883" t="s">
        <v>2346</v>
      </c>
      <c r="B883" t="s">
        <v>2347</v>
      </c>
      <c r="C883">
        <v>2024</v>
      </c>
      <c r="D883" s="18">
        <v>45308</v>
      </c>
      <c r="E883" s="18">
        <v>45673</v>
      </c>
      <c r="F883" s="18" t="s">
        <v>611</v>
      </c>
      <c r="G883" t="s">
        <v>102</v>
      </c>
      <c r="H883">
        <v>2</v>
      </c>
      <c r="I883">
        <v>2</v>
      </c>
      <c r="J883" s="27">
        <v>30206.28</v>
      </c>
      <c r="K883" s="27">
        <v>4000000</v>
      </c>
    </row>
    <row r="884" spans="1:11" ht="15" customHeight="1" x14ac:dyDescent="0.2">
      <c r="A884" t="s">
        <v>2348</v>
      </c>
      <c r="B884" t="s">
        <v>2349</v>
      </c>
      <c r="C884">
        <v>2024</v>
      </c>
      <c r="D884" s="18">
        <v>45308</v>
      </c>
      <c r="E884" s="18">
        <v>45673</v>
      </c>
      <c r="F884" s="18" t="s">
        <v>611</v>
      </c>
      <c r="G884" t="s">
        <v>102</v>
      </c>
      <c r="H884">
        <v>3</v>
      </c>
      <c r="I884">
        <v>3</v>
      </c>
      <c r="J884" s="27">
        <v>77335.259999999995</v>
      </c>
      <c r="K884" s="27">
        <v>10000000</v>
      </c>
    </row>
    <row r="885" spans="1:11" ht="15" customHeight="1" x14ac:dyDescent="0.2">
      <c r="A885" t="s">
        <v>2350</v>
      </c>
      <c r="B885" t="s">
        <v>2351</v>
      </c>
      <c r="C885">
        <v>2024</v>
      </c>
      <c r="D885" s="18">
        <v>45308</v>
      </c>
      <c r="E885" s="18">
        <v>45673</v>
      </c>
      <c r="F885" s="18" t="s">
        <v>611</v>
      </c>
      <c r="G885" t="s">
        <v>100</v>
      </c>
      <c r="H885">
        <v>3</v>
      </c>
      <c r="I885">
        <v>6</v>
      </c>
      <c r="J885" s="27">
        <v>125807.6</v>
      </c>
      <c r="K885" s="27">
        <v>10000000</v>
      </c>
    </row>
    <row r="886" spans="1:11" ht="15" customHeight="1" x14ac:dyDescent="0.2">
      <c r="A886" t="s">
        <v>2352</v>
      </c>
      <c r="B886" t="s">
        <v>2353</v>
      </c>
      <c r="C886">
        <v>2024</v>
      </c>
      <c r="D886" s="18">
        <v>45308</v>
      </c>
      <c r="E886" s="18">
        <v>45673</v>
      </c>
      <c r="F886" s="18" t="s">
        <v>611</v>
      </c>
      <c r="G886" t="s">
        <v>99</v>
      </c>
      <c r="H886">
        <v>3</v>
      </c>
      <c r="I886">
        <v>3</v>
      </c>
      <c r="J886" s="27">
        <v>16424.599999999999</v>
      </c>
      <c r="K886" s="27">
        <v>2000000</v>
      </c>
    </row>
    <row r="887" spans="1:11" ht="15" customHeight="1" x14ac:dyDescent="0.2">
      <c r="A887" t="s">
        <v>2354</v>
      </c>
      <c r="B887" t="s">
        <v>2355</v>
      </c>
      <c r="C887">
        <v>2024</v>
      </c>
      <c r="D887" s="18">
        <v>45308</v>
      </c>
      <c r="E887" s="18">
        <v>45673</v>
      </c>
      <c r="F887" s="18" t="s">
        <v>611</v>
      </c>
      <c r="G887" t="s">
        <v>101</v>
      </c>
      <c r="H887">
        <v>3</v>
      </c>
      <c r="I887">
        <v>6</v>
      </c>
      <c r="J887" s="27">
        <v>38845.78</v>
      </c>
      <c r="K887" s="27">
        <v>2500000</v>
      </c>
    </row>
    <row r="888" spans="1:11" ht="15" customHeight="1" x14ac:dyDescent="0.2">
      <c r="A888" t="s">
        <v>2356</v>
      </c>
      <c r="B888" t="s">
        <v>2357</v>
      </c>
      <c r="C888">
        <v>2024</v>
      </c>
      <c r="D888" s="18">
        <v>45309</v>
      </c>
      <c r="E888" s="18">
        <v>45674</v>
      </c>
      <c r="F888" s="18" t="s">
        <v>608</v>
      </c>
      <c r="G888" t="s">
        <v>100</v>
      </c>
      <c r="H888">
        <v>3</v>
      </c>
      <c r="I888">
        <v>3</v>
      </c>
      <c r="J888" s="27">
        <v>43922.54</v>
      </c>
      <c r="K888" s="27">
        <v>3500000</v>
      </c>
    </row>
    <row r="889" spans="1:11" ht="15" customHeight="1" x14ac:dyDescent="0.2">
      <c r="A889" t="s">
        <v>2358</v>
      </c>
      <c r="B889" t="s">
        <v>2359</v>
      </c>
      <c r="C889">
        <v>2024</v>
      </c>
      <c r="D889" s="18">
        <v>45309</v>
      </c>
      <c r="E889" s="18">
        <v>45674</v>
      </c>
      <c r="F889" s="18" t="s">
        <v>608</v>
      </c>
      <c r="G889" t="s">
        <v>102</v>
      </c>
      <c r="H889">
        <v>1</v>
      </c>
      <c r="I889">
        <v>1</v>
      </c>
      <c r="J889" s="27">
        <v>19626.43</v>
      </c>
      <c r="K889" s="27">
        <v>2500000</v>
      </c>
    </row>
    <row r="890" spans="1:11" ht="15" customHeight="1" x14ac:dyDescent="0.2">
      <c r="A890" t="s">
        <v>2360</v>
      </c>
      <c r="B890" t="s">
        <v>2361</v>
      </c>
      <c r="C890">
        <v>2024</v>
      </c>
      <c r="D890" s="18">
        <v>45309</v>
      </c>
      <c r="E890" s="18">
        <v>45674</v>
      </c>
      <c r="F890" s="18" t="s">
        <v>611</v>
      </c>
      <c r="G890" t="s">
        <v>100</v>
      </c>
      <c r="H890">
        <v>1</v>
      </c>
      <c r="I890">
        <v>1</v>
      </c>
      <c r="J890" s="27">
        <v>55795.31</v>
      </c>
      <c r="K890" s="27">
        <v>4500000</v>
      </c>
    </row>
    <row r="891" spans="1:11" ht="15" customHeight="1" x14ac:dyDescent="0.2">
      <c r="A891" t="s">
        <v>2362</v>
      </c>
      <c r="B891" t="s">
        <v>2363</v>
      </c>
      <c r="C891">
        <v>2024</v>
      </c>
      <c r="D891" s="18">
        <v>45309</v>
      </c>
      <c r="E891" s="18">
        <v>45674</v>
      </c>
      <c r="F891" s="18" t="s">
        <v>611</v>
      </c>
      <c r="G891" t="s">
        <v>101</v>
      </c>
      <c r="H891">
        <v>2</v>
      </c>
      <c r="I891">
        <v>2</v>
      </c>
      <c r="J891" s="27">
        <v>8105.78</v>
      </c>
      <c r="K891" s="27">
        <v>500000</v>
      </c>
    </row>
    <row r="892" spans="1:11" ht="15" customHeight="1" x14ac:dyDescent="0.2">
      <c r="A892" t="s">
        <v>2364</v>
      </c>
      <c r="B892" t="s">
        <v>2365</v>
      </c>
      <c r="C892">
        <v>2024</v>
      </c>
      <c r="D892" s="18">
        <v>45309</v>
      </c>
      <c r="E892" s="18">
        <v>45674</v>
      </c>
      <c r="F892" s="18" t="s">
        <v>611</v>
      </c>
      <c r="G892" t="s">
        <v>100</v>
      </c>
      <c r="H892">
        <v>2</v>
      </c>
      <c r="I892">
        <v>2</v>
      </c>
      <c r="J892" s="27">
        <v>33597.08</v>
      </c>
      <c r="K892" s="27">
        <v>2500000</v>
      </c>
    </row>
    <row r="893" spans="1:11" ht="15" customHeight="1" x14ac:dyDescent="0.2">
      <c r="A893" t="s">
        <v>2366</v>
      </c>
      <c r="B893" t="s">
        <v>2367</v>
      </c>
      <c r="C893">
        <v>2024</v>
      </c>
      <c r="D893" s="18">
        <v>45309</v>
      </c>
      <c r="E893" s="18">
        <v>45674</v>
      </c>
      <c r="F893" s="18" t="s">
        <v>611</v>
      </c>
      <c r="G893" t="s">
        <v>101</v>
      </c>
      <c r="H893">
        <v>1</v>
      </c>
      <c r="I893">
        <v>2</v>
      </c>
      <c r="J893" s="27">
        <v>163818.19</v>
      </c>
      <c r="K893" s="27">
        <v>10000000</v>
      </c>
    </row>
    <row r="894" spans="1:11" ht="15" customHeight="1" x14ac:dyDescent="0.2">
      <c r="A894" t="s">
        <v>2368</v>
      </c>
      <c r="B894" t="s">
        <v>2369</v>
      </c>
      <c r="C894">
        <v>2024</v>
      </c>
      <c r="D894" s="18">
        <v>45309</v>
      </c>
      <c r="E894" s="18">
        <v>45674</v>
      </c>
      <c r="F894" s="18" t="s">
        <v>611</v>
      </c>
      <c r="G894" t="s">
        <v>101</v>
      </c>
      <c r="H894">
        <v>2</v>
      </c>
      <c r="I894">
        <v>4</v>
      </c>
      <c r="J894" s="27">
        <v>21473.46</v>
      </c>
      <c r="K894" s="27">
        <v>1500000</v>
      </c>
    </row>
    <row r="895" spans="1:11" ht="15" customHeight="1" x14ac:dyDescent="0.2">
      <c r="A895" t="s">
        <v>2370</v>
      </c>
      <c r="B895" t="s">
        <v>2371</v>
      </c>
      <c r="C895">
        <v>2024</v>
      </c>
      <c r="D895" s="18">
        <v>45309</v>
      </c>
      <c r="E895" s="18">
        <v>45674</v>
      </c>
      <c r="F895" s="18" t="s">
        <v>611</v>
      </c>
      <c r="G895" t="s">
        <v>100</v>
      </c>
      <c r="H895">
        <v>1</v>
      </c>
      <c r="I895">
        <v>1</v>
      </c>
      <c r="J895" s="27">
        <v>56052.79</v>
      </c>
      <c r="K895" s="27">
        <v>5000000</v>
      </c>
    </row>
    <row r="896" spans="1:11" ht="15" customHeight="1" x14ac:dyDescent="0.2">
      <c r="A896" t="s">
        <v>2372</v>
      </c>
      <c r="B896" t="s">
        <v>2373</v>
      </c>
      <c r="C896">
        <v>2024</v>
      </c>
      <c r="D896" s="18">
        <v>45309</v>
      </c>
      <c r="E896" s="18">
        <v>45674</v>
      </c>
      <c r="F896" s="18" t="s">
        <v>611</v>
      </c>
      <c r="G896" t="s">
        <v>101</v>
      </c>
      <c r="H896">
        <v>2</v>
      </c>
      <c r="I896">
        <v>2</v>
      </c>
      <c r="J896" s="27">
        <v>39746.660000000003</v>
      </c>
      <c r="K896" s="27">
        <v>2500000</v>
      </c>
    </row>
    <row r="897" spans="1:11" ht="15" customHeight="1" x14ac:dyDescent="0.2">
      <c r="A897" t="s">
        <v>2374</v>
      </c>
      <c r="B897" t="s">
        <v>2375</v>
      </c>
      <c r="C897">
        <v>2024</v>
      </c>
      <c r="D897" s="18">
        <v>45309</v>
      </c>
      <c r="E897" s="18">
        <v>45674</v>
      </c>
      <c r="F897" s="18" t="s">
        <v>611</v>
      </c>
      <c r="G897" t="s">
        <v>102</v>
      </c>
      <c r="H897">
        <v>2</v>
      </c>
      <c r="I897">
        <v>4</v>
      </c>
      <c r="J897" s="27">
        <v>77779.42</v>
      </c>
      <c r="K897" s="27">
        <v>10000000</v>
      </c>
    </row>
    <row r="898" spans="1:11" ht="15" customHeight="1" x14ac:dyDescent="0.2">
      <c r="A898" t="s">
        <v>2376</v>
      </c>
      <c r="B898" t="s">
        <v>2377</v>
      </c>
      <c r="C898">
        <v>2024</v>
      </c>
      <c r="D898" s="18">
        <v>45309</v>
      </c>
      <c r="E898" s="18">
        <v>45674</v>
      </c>
      <c r="F898" s="18" t="s">
        <v>611</v>
      </c>
      <c r="G898" t="s">
        <v>101</v>
      </c>
      <c r="H898">
        <v>1</v>
      </c>
      <c r="I898">
        <v>2</v>
      </c>
      <c r="J898" s="27">
        <v>22254.92</v>
      </c>
      <c r="K898" s="27">
        <v>1500000</v>
      </c>
    </row>
    <row r="899" spans="1:11" ht="15" customHeight="1" x14ac:dyDescent="0.2">
      <c r="A899" t="s">
        <v>2378</v>
      </c>
      <c r="B899" t="s">
        <v>2379</v>
      </c>
      <c r="C899">
        <v>2024</v>
      </c>
      <c r="D899" s="18">
        <v>45309</v>
      </c>
      <c r="E899" s="18">
        <v>45674</v>
      </c>
      <c r="F899" s="18" t="s">
        <v>611</v>
      </c>
      <c r="G899" t="s">
        <v>100</v>
      </c>
      <c r="H899">
        <v>2</v>
      </c>
      <c r="I899">
        <v>4</v>
      </c>
      <c r="J899" s="27">
        <v>51906.68</v>
      </c>
      <c r="K899" s="27">
        <v>4000000</v>
      </c>
    </row>
    <row r="900" spans="1:11" ht="15" customHeight="1" x14ac:dyDescent="0.2">
      <c r="A900" t="s">
        <v>2380</v>
      </c>
      <c r="B900" t="s">
        <v>2381</v>
      </c>
      <c r="C900">
        <v>2024</v>
      </c>
      <c r="D900" s="18">
        <v>45309</v>
      </c>
      <c r="E900" s="18">
        <v>45674</v>
      </c>
      <c r="F900" s="18" t="s">
        <v>611</v>
      </c>
      <c r="G900" t="s">
        <v>99</v>
      </c>
      <c r="H900">
        <v>1</v>
      </c>
      <c r="I900">
        <v>1</v>
      </c>
      <c r="J900" s="27">
        <v>31262.94</v>
      </c>
      <c r="K900" s="27">
        <v>4000000</v>
      </c>
    </row>
    <row r="901" spans="1:11" ht="15" customHeight="1" x14ac:dyDescent="0.2">
      <c r="A901" t="s">
        <v>2382</v>
      </c>
      <c r="B901" t="s">
        <v>2383</v>
      </c>
      <c r="C901">
        <v>2024</v>
      </c>
      <c r="D901" s="18">
        <v>45309</v>
      </c>
      <c r="E901" s="18">
        <v>45674</v>
      </c>
      <c r="F901" s="18" t="s">
        <v>611</v>
      </c>
      <c r="G901" t="s">
        <v>101</v>
      </c>
      <c r="H901">
        <v>2</v>
      </c>
      <c r="I901">
        <v>4</v>
      </c>
      <c r="J901" s="27">
        <v>85360.13</v>
      </c>
      <c r="K901" s="27">
        <v>5000000</v>
      </c>
    </row>
    <row r="902" spans="1:11" ht="15" customHeight="1" x14ac:dyDescent="0.2">
      <c r="A902" t="s">
        <v>2384</v>
      </c>
      <c r="B902" t="s">
        <v>2385</v>
      </c>
      <c r="C902">
        <v>2024</v>
      </c>
      <c r="D902" s="18">
        <v>45310</v>
      </c>
      <c r="E902" s="18">
        <v>45675</v>
      </c>
      <c r="F902" s="18" t="s">
        <v>608</v>
      </c>
      <c r="G902" t="s">
        <v>102</v>
      </c>
      <c r="H902">
        <v>3</v>
      </c>
      <c r="I902">
        <v>6</v>
      </c>
      <c r="J902" s="27">
        <v>18746.89</v>
      </c>
      <c r="K902" s="27">
        <v>2500000</v>
      </c>
    </row>
    <row r="903" spans="1:11" ht="15" customHeight="1" x14ac:dyDescent="0.2">
      <c r="A903" t="s">
        <v>2386</v>
      </c>
      <c r="B903" t="s">
        <v>2387</v>
      </c>
      <c r="C903">
        <v>2024</v>
      </c>
      <c r="D903" s="18">
        <v>45310</v>
      </c>
      <c r="E903" s="18">
        <v>45675</v>
      </c>
      <c r="F903" s="18" t="s">
        <v>611</v>
      </c>
      <c r="G903" t="s">
        <v>100</v>
      </c>
      <c r="H903">
        <v>3</v>
      </c>
      <c r="I903">
        <v>3</v>
      </c>
      <c r="J903" s="27">
        <v>6295.27</v>
      </c>
      <c r="K903" s="27">
        <v>500000</v>
      </c>
    </row>
    <row r="904" spans="1:11" ht="15" customHeight="1" x14ac:dyDescent="0.2">
      <c r="A904" t="s">
        <v>2388</v>
      </c>
      <c r="B904" t="s">
        <v>2389</v>
      </c>
      <c r="C904">
        <v>2024</v>
      </c>
      <c r="D904" s="18">
        <v>45310</v>
      </c>
      <c r="E904" s="18">
        <v>45675</v>
      </c>
      <c r="F904" s="18" t="s">
        <v>611</v>
      </c>
      <c r="G904" t="s">
        <v>99</v>
      </c>
      <c r="H904">
        <v>1</v>
      </c>
      <c r="I904">
        <v>1</v>
      </c>
      <c r="J904" s="27">
        <v>31771.03</v>
      </c>
      <c r="K904" s="27">
        <v>4000000</v>
      </c>
    </row>
    <row r="905" spans="1:11" ht="15" customHeight="1" x14ac:dyDescent="0.2">
      <c r="A905" t="s">
        <v>2390</v>
      </c>
      <c r="B905" t="s">
        <v>2391</v>
      </c>
      <c r="C905">
        <v>2024</v>
      </c>
      <c r="D905" s="18">
        <v>45310</v>
      </c>
      <c r="E905" s="18">
        <v>45675</v>
      </c>
      <c r="F905" s="18" t="s">
        <v>611</v>
      </c>
      <c r="G905" t="s">
        <v>100</v>
      </c>
      <c r="H905">
        <v>1</v>
      </c>
      <c r="I905">
        <v>1</v>
      </c>
      <c r="J905" s="27">
        <v>117702.15</v>
      </c>
      <c r="K905" s="27">
        <v>10000000</v>
      </c>
    </row>
    <row r="906" spans="1:11" ht="15" customHeight="1" x14ac:dyDescent="0.2">
      <c r="A906" t="s">
        <v>2392</v>
      </c>
      <c r="B906" t="s">
        <v>2393</v>
      </c>
      <c r="C906">
        <v>2024</v>
      </c>
      <c r="D906" s="18">
        <v>45310</v>
      </c>
      <c r="E906" s="18">
        <v>45675</v>
      </c>
      <c r="F906" s="18" t="s">
        <v>611</v>
      </c>
      <c r="G906" t="s">
        <v>99</v>
      </c>
      <c r="H906">
        <v>1</v>
      </c>
      <c r="I906">
        <v>1</v>
      </c>
      <c r="J906" s="27">
        <v>17458.73</v>
      </c>
      <c r="K906" s="27">
        <v>2000000</v>
      </c>
    </row>
    <row r="907" spans="1:11" ht="15" customHeight="1" x14ac:dyDescent="0.2">
      <c r="A907" t="s">
        <v>2394</v>
      </c>
      <c r="B907" t="s">
        <v>2395</v>
      </c>
      <c r="C907">
        <v>2024</v>
      </c>
      <c r="D907" s="18">
        <v>45310</v>
      </c>
      <c r="E907" s="18">
        <v>45675</v>
      </c>
      <c r="F907" s="18" t="s">
        <v>611</v>
      </c>
      <c r="G907" t="s">
        <v>101</v>
      </c>
      <c r="H907">
        <v>1</v>
      </c>
      <c r="I907">
        <v>2</v>
      </c>
      <c r="J907" s="27">
        <v>7598.41</v>
      </c>
      <c r="K907" s="27">
        <v>500000</v>
      </c>
    </row>
    <row r="908" spans="1:11" ht="15" customHeight="1" x14ac:dyDescent="0.2">
      <c r="A908" t="s">
        <v>2396</v>
      </c>
      <c r="B908" t="s">
        <v>2397</v>
      </c>
      <c r="C908">
        <v>2024</v>
      </c>
      <c r="D908" s="18">
        <v>45311</v>
      </c>
      <c r="E908" s="18">
        <v>45676</v>
      </c>
      <c r="F908" s="18" t="s">
        <v>611</v>
      </c>
      <c r="G908" t="s">
        <v>101</v>
      </c>
      <c r="H908">
        <v>2</v>
      </c>
      <c r="I908">
        <v>4</v>
      </c>
      <c r="J908" s="27">
        <v>7678.83</v>
      </c>
      <c r="K908" s="27">
        <v>500000</v>
      </c>
    </row>
    <row r="909" spans="1:11" ht="15" customHeight="1" x14ac:dyDescent="0.2">
      <c r="A909" t="s">
        <v>2398</v>
      </c>
      <c r="B909" t="s">
        <v>2399</v>
      </c>
      <c r="C909">
        <v>2024</v>
      </c>
      <c r="D909" s="18">
        <v>45311</v>
      </c>
      <c r="E909" s="18">
        <v>45676</v>
      </c>
      <c r="F909" s="18" t="s">
        <v>611</v>
      </c>
      <c r="G909" t="s">
        <v>99</v>
      </c>
      <c r="H909">
        <v>1</v>
      </c>
      <c r="I909">
        <v>1</v>
      </c>
      <c r="J909" s="27">
        <v>36155.65</v>
      </c>
      <c r="K909" s="27">
        <v>4000000</v>
      </c>
    </row>
    <row r="910" spans="1:11" ht="15" customHeight="1" x14ac:dyDescent="0.2">
      <c r="A910" t="s">
        <v>2400</v>
      </c>
      <c r="B910" t="s">
        <v>2401</v>
      </c>
      <c r="C910">
        <v>2024</v>
      </c>
      <c r="D910" s="18">
        <v>45311</v>
      </c>
      <c r="E910" s="18">
        <v>45676</v>
      </c>
      <c r="F910" s="18" t="s">
        <v>611</v>
      </c>
      <c r="G910" t="s">
        <v>100</v>
      </c>
      <c r="H910">
        <v>2</v>
      </c>
      <c r="I910">
        <v>4</v>
      </c>
      <c r="J910" s="27">
        <v>47162.61</v>
      </c>
      <c r="K910" s="27">
        <v>3500000</v>
      </c>
    </row>
    <row r="911" spans="1:11" ht="15" customHeight="1" x14ac:dyDescent="0.2">
      <c r="A911" t="s">
        <v>2402</v>
      </c>
      <c r="B911" t="s">
        <v>2403</v>
      </c>
      <c r="C911">
        <v>2024</v>
      </c>
      <c r="D911" s="18">
        <v>45311</v>
      </c>
      <c r="E911" s="18">
        <v>45676</v>
      </c>
      <c r="F911" s="18" t="s">
        <v>611</v>
      </c>
      <c r="G911" t="s">
        <v>99</v>
      </c>
      <c r="H911">
        <v>1</v>
      </c>
      <c r="I911">
        <v>1</v>
      </c>
      <c r="J911" s="27">
        <v>81104.5</v>
      </c>
      <c r="K911" s="27">
        <v>10000000</v>
      </c>
    </row>
    <row r="912" spans="1:11" ht="15" customHeight="1" x14ac:dyDescent="0.2">
      <c r="A912" t="s">
        <v>2404</v>
      </c>
      <c r="B912" t="s">
        <v>2405</v>
      </c>
      <c r="C912">
        <v>2024</v>
      </c>
      <c r="D912" s="18">
        <v>45311</v>
      </c>
      <c r="E912" s="18">
        <v>45676</v>
      </c>
      <c r="F912" s="18" t="s">
        <v>611</v>
      </c>
      <c r="G912" t="s">
        <v>99</v>
      </c>
      <c r="H912">
        <v>2</v>
      </c>
      <c r="I912">
        <v>4</v>
      </c>
      <c r="J912" s="27">
        <v>22078.19</v>
      </c>
      <c r="K912" s="27">
        <v>2500000</v>
      </c>
    </row>
    <row r="913" spans="1:11" ht="15" customHeight="1" x14ac:dyDescent="0.2">
      <c r="A913" t="s">
        <v>2406</v>
      </c>
      <c r="B913" t="s">
        <v>2407</v>
      </c>
      <c r="C913">
        <v>2024</v>
      </c>
      <c r="D913" s="18">
        <v>45312</v>
      </c>
      <c r="E913" s="18">
        <v>45677</v>
      </c>
      <c r="F913" s="18" t="s">
        <v>608</v>
      </c>
      <c r="G913" t="s">
        <v>100</v>
      </c>
      <c r="H913">
        <v>1</v>
      </c>
      <c r="I913">
        <v>1</v>
      </c>
      <c r="J913" s="27">
        <v>18543.04</v>
      </c>
      <c r="K913" s="27">
        <v>1500000</v>
      </c>
    </row>
    <row r="914" spans="1:11" ht="15" customHeight="1" x14ac:dyDescent="0.2">
      <c r="A914" t="s">
        <v>2408</v>
      </c>
      <c r="B914" t="s">
        <v>2409</v>
      </c>
      <c r="C914">
        <v>2024</v>
      </c>
      <c r="D914" s="18">
        <v>45312</v>
      </c>
      <c r="E914" s="18">
        <v>45677</v>
      </c>
      <c r="F914" s="18" t="s">
        <v>611</v>
      </c>
      <c r="G914" t="s">
        <v>99</v>
      </c>
      <c r="H914">
        <v>1</v>
      </c>
      <c r="I914">
        <v>1</v>
      </c>
      <c r="J914" s="27">
        <v>13023.67</v>
      </c>
      <c r="K914" s="27">
        <v>1500000</v>
      </c>
    </row>
    <row r="915" spans="1:11" ht="15" customHeight="1" x14ac:dyDescent="0.2">
      <c r="A915" t="s">
        <v>2410</v>
      </c>
      <c r="B915" t="s">
        <v>2411</v>
      </c>
      <c r="C915">
        <v>2024</v>
      </c>
      <c r="D915" s="18">
        <v>45312</v>
      </c>
      <c r="E915" s="18">
        <v>45677</v>
      </c>
      <c r="F915" s="18" t="s">
        <v>611</v>
      </c>
      <c r="G915" t="s">
        <v>101</v>
      </c>
      <c r="H915">
        <v>1</v>
      </c>
      <c r="I915">
        <v>2</v>
      </c>
      <c r="J915" s="27">
        <v>60505.62</v>
      </c>
      <c r="K915" s="27">
        <v>4000000</v>
      </c>
    </row>
    <row r="916" spans="1:11" ht="15" customHeight="1" x14ac:dyDescent="0.2">
      <c r="A916" t="s">
        <v>2412</v>
      </c>
      <c r="B916" t="s">
        <v>2413</v>
      </c>
      <c r="C916">
        <v>2024</v>
      </c>
      <c r="D916" s="18">
        <v>45312</v>
      </c>
      <c r="E916" s="18">
        <v>45677</v>
      </c>
      <c r="F916" s="18" t="s">
        <v>611</v>
      </c>
      <c r="G916" t="s">
        <v>100</v>
      </c>
      <c r="H916">
        <v>1</v>
      </c>
      <c r="I916">
        <v>1</v>
      </c>
      <c r="J916" s="27">
        <v>127777.69</v>
      </c>
      <c r="K916" s="27">
        <v>10000000</v>
      </c>
    </row>
    <row r="917" spans="1:11" ht="15" customHeight="1" x14ac:dyDescent="0.2">
      <c r="A917" t="s">
        <v>2414</v>
      </c>
      <c r="B917" t="s">
        <v>2415</v>
      </c>
      <c r="C917">
        <v>2024</v>
      </c>
      <c r="D917" s="18">
        <v>45313</v>
      </c>
      <c r="E917" s="18">
        <v>45678</v>
      </c>
      <c r="F917" s="18" t="s">
        <v>608</v>
      </c>
      <c r="G917" t="s">
        <v>99</v>
      </c>
      <c r="H917">
        <v>1</v>
      </c>
      <c r="I917">
        <v>1</v>
      </c>
      <c r="J917" s="27">
        <v>33017.910000000003</v>
      </c>
      <c r="K917" s="27">
        <v>4000000</v>
      </c>
    </row>
    <row r="918" spans="1:11" ht="15" customHeight="1" x14ac:dyDescent="0.2">
      <c r="A918" t="s">
        <v>2416</v>
      </c>
      <c r="B918" t="s">
        <v>2417</v>
      </c>
      <c r="C918">
        <v>2024</v>
      </c>
      <c r="D918" s="18">
        <v>45313</v>
      </c>
      <c r="E918" s="18">
        <v>45678</v>
      </c>
      <c r="F918" s="18" t="s">
        <v>608</v>
      </c>
      <c r="G918" t="s">
        <v>101</v>
      </c>
      <c r="H918">
        <v>1</v>
      </c>
      <c r="I918">
        <v>2</v>
      </c>
      <c r="J918" s="27">
        <v>66187.42</v>
      </c>
      <c r="K918" s="27">
        <v>4500000</v>
      </c>
    </row>
    <row r="919" spans="1:11" ht="15" customHeight="1" x14ac:dyDescent="0.2">
      <c r="A919" t="s">
        <v>2418</v>
      </c>
      <c r="B919" t="s">
        <v>2419</v>
      </c>
      <c r="C919">
        <v>2024</v>
      </c>
      <c r="D919" s="18">
        <v>45313</v>
      </c>
      <c r="E919" s="18">
        <v>45678</v>
      </c>
      <c r="F919" s="18" t="s">
        <v>608</v>
      </c>
      <c r="G919" t="s">
        <v>100</v>
      </c>
      <c r="H919">
        <v>3</v>
      </c>
      <c r="I919">
        <v>6</v>
      </c>
      <c r="J919" s="27">
        <v>63549.56</v>
      </c>
      <c r="K919" s="27">
        <v>5000000</v>
      </c>
    </row>
    <row r="920" spans="1:11" ht="15" customHeight="1" x14ac:dyDescent="0.2">
      <c r="A920" t="s">
        <v>2420</v>
      </c>
      <c r="B920" t="s">
        <v>2421</v>
      </c>
      <c r="C920">
        <v>2024</v>
      </c>
      <c r="D920" s="18">
        <v>45313</v>
      </c>
      <c r="E920" s="18">
        <v>45678</v>
      </c>
      <c r="F920" s="18" t="s">
        <v>611</v>
      </c>
      <c r="G920" t="s">
        <v>99</v>
      </c>
      <c r="H920">
        <v>1</v>
      </c>
      <c r="I920">
        <v>2</v>
      </c>
      <c r="J920" s="27">
        <v>44590.28</v>
      </c>
      <c r="K920" s="27">
        <v>5000000</v>
      </c>
    </row>
    <row r="921" spans="1:11" ht="15" customHeight="1" x14ac:dyDescent="0.2">
      <c r="A921" t="s">
        <v>2422</v>
      </c>
      <c r="B921" t="s">
        <v>2423</v>
      </c>
      <c r="C921">
        <v>2024</v>
      </c>
      <c r="D921" s="18">
        <v>45313</v>
      </c>
      <c r="E921" s="18">
        <v>45678</v>
      </c>
      <c r="F921" s="18" t="s">
        <v>611</v>
      </c>
      <c r="G921" t="s">
        <v>99</v>
      </c>
      <c r="H921">
        <v>1</v>
      </c>
      <c r="I921">
        <v>1</v>
      </c>
      <c r="J921" s="27">
        <v>45521.25</v>
      </c>
      <c r="K921" s="27">
        <v>5000000</v>
      </c>
    </row>
    <row r="922" spans="1:11" ht="15" customHeight="1" x14ac:dyDescent="0.2">
      <c r="A922" t="s">
        <v>2424</v>
      </c>
      <c r="B922" t="s">
        <v>2425</v>
      </c>
      <c r="C922">
        <v>2024</v>
      </c>
      <c r="D922" s="18">
        <v>45313</v>
      </c>
      <c r="E922" s="18">
        <v>45678</v>
      </c>
      <c r="F922" s="18" t="s">
        <v>611</v>
      </c>
      <c r="G922" t="s">
        <v>99</v>
      </c>
      <c r="H922">
        <v>1</v>
      </c>
      <c r="I922">
        <v>1</v>
      </c>
      <c r="J922" s="27">
        <v>35326.230000000003</v>
      </c>
      <c r="K922" s="27">
        <v>4000000</v>
      </c>
    </row>
    <row r="923" spans="1:11" ht="15" customHeight="1" x14ac:dyDescent="0.2">
      <c r="A923" t="s">
        <v>2426</v>
      </c>
      <c r="B923" t="s">
        <v>2427</v>
      </c>
      <c r="C923">
        <v>2024</v>
      </c>
      <c r="D923" s="18">
        <v>45313</v>
      </c>
      <c r="E923" s="18">
        <v>45678</v>
      </c>
      <c r="F923" s="18" t="s">
        <v>611</v>
      </c>
      <c r="G923" t="s">
        <v>100</v>
      </c>
      <c r="H923">
        <v>1</v>
      </c>
      <c r="I923">
        <v>1</v>
      </c>
      <c r="J923" s="27">
        <v>25220.95</v>
      </c>
      <c r="K923" s="27">
        <v>2000000</v>
      </c>
    </row>
    <row r="924" spans="1:11" ht="15" customHeight="1" x14ac:dyDescent="0.2">
      <c r="A924" t="s">
        <v>2428</v>
      </c>
      <c r="B924" t="s">
        <v>2429</v>
      </c>
      <c r="C924">
        <v>2024</v>
      </c>
      <c r="D924" s="18">
        <v>45313</v>
      </c>
      <c r="E924" s="18">
        <v>45678</v>
      </c>
      <c r="F924" s="18" t="s">
        <v>611</v>
      </c>
      <c r="G924" t="s">
        <v>99</v>
      </c>
      <c r="H924">
        <v>2</v>
      </c>
      <c r="I924">
        <v>4</v>
      </c>
      <c r="J924" s="27">
        <v>19859.72</v>
      </c>
      <c r="K924" s="27">
        <v>2500000</v>
      </c>
    </row>
    <row r="925" spans="1:11" ht="15" customHeight="1" x14ac:dyDescent="0.2">
      <c r="A925" t="s">
        <v>2430</v>
      </c>
      <c r="B925" t="s">
        <v>2431</v>
      </c>
      <c r="C925">
        <v>2024</v>
      </c>
      <c r="D925" s="18">
        <v>45313</v>
      </c>
      <c r="E925" s="18">
        <v>45678</v>
      </c>
      <c r="F925" s="18" t="s">
        <v>611</v>
      </c>
      <c r="G925" t="s">
        <v>99</v>
      </c>
      <c r="H925">
        <v>2</v>
      </c>
      <c r="I925">
        <v>2</v>
      </c>
      <c r="J925" s="27">
        <v>24580.799999999999</v>
      </c>
      <c r="K925" s="27">
        <v>3000000</v>
      </c>
    </row>
    <row r="926" spans="1:11" ht="15" customHeight="1" x14ac:dyDescent="0.2">
      <c r="A926" t="s">
        <v>2432</v>
      </c>
      <c r="B926" t="s">
        <v>2433</v>
      </c>
      <c r="C926">
        <v>2024</v>
      </c>
      <c r="D926" s="18">
        <v>45313</v>
      </c>
      <c r="E926" s="18">
        <v>45678</v>
      </c>
      <c r="F926" s="18" t="s">
        <v>611</v>
      </c>
      <c r="G926" t="s">
        <v>102</v>
      </c>
      <c r="H926">
        <v>1</v>
      </c>
      <c r="I926">
        <v>1</v>
      </c>
      <c r="J926" s="27">
        <v>3608.43</v>
      </c>
      <c r="K926" s="27">
        <v>500000</v>
      </c>
    </row>
    <row r="927" spans="1:11" ht="15" customHeight="1" x14ac:dyDescent="0.2">
      <c r="A927" t="s">
        <v>2434</v>
      </c>
      <c r="B927" t="s">
        <v>2435</v>
      </c>
      <c r="C927">
        <v>2024</v>
      </c>
      <c r="D927" s="18">
        <v>45313</v>
      </c>
      <c r="E927" s="18">
        <v>45678</v>
      </c>
      <c r="F927" s="18" t="s">
        <v>611</v>
      </c>
      <c r="G927" t="s">
        <v>99</v>
      </c>
      <c r="H927">
        <v>2</v>
      </c>
      <c r="I927">
        <v>4</v>
      </c>
      <c r="J927" s="27">
        <v>86253.04</v>
      </c>
      <c r="K927" s="27">
        <v>10000000</v>
      </c>
    </row>
    <row r="928" spans="1:11" ht="15" customHeight="1" x14ac:dyDescent="0.2">
      <c r="A928" t="s">
        <v>2436</v>
      </c>
      <c r="B928" t="s">
        <v>2437</v>
      </c>
      <c r="C928">
        <v>2024</v>
      </c>
      <c r="D928" s="18">
        <v>45313</v>
      </c>
      <c r="E928" s="18">
        <v>45678</v>
      </c>
      <c r="F928" s="18" t="s">
        <v>611</v>
      </c>
      <c r="G928" t="s">
        <v>101</v>
      </c>
      <c r="H928">
        <v>2</v>
      </c>
      <c r="I928">
        <v>4</v>
      </c>
      <c r="J928" s="27">
        <v>57585.56</v>
      </c>
      <c r="K928" s="27">
        <v>3500000</v>
      </c>
    </row>
    <row r="929" spans="1:11" ht="15" customHeight="1" x14ac:dyDescent="0.2">
      <c r="A929" t="s">
        <v>2438</v>
      </c>
      <c r="B929" t="s">
        <v>2439</v>
      </c>
      <c r="C929">
        <v>2024</v>
      </c>
      <c r="D929" s="18">
        <v>45314</v>
      </c>
      <c r="E929" s="18">
        <v>45679</v>
      </c>
      <c r="F929" s="18" t="s">
        <v>608</v>
      </c>
      <c r="G929" t="s">
        <v>102</v>
      </c>
      <c r="H929">
        <v>1</v>
      </c>
      <c r="I929">
        <v>2</v>
      </c>
      <c r="J929" s="27">
        <v>4014.26</v>
      </c>
      <c r="K929" s="27">
        <v>500000</v>
      </c>
    </row>
    <row r="930" spans="1:11" ht="15" customHeight="1" x14ac:dyDescent="0.2">
      <c r="A930" t="s">
        <v>2440</v>
      </c>
      <c r="B930" t="s">
        <v>2441</v>
      </c>
      <c r="C930">
        <v>2024</v>
      </c>
      <c r="D930" s="18">
        <v>45314</v>
      </c>
      <c r="E930" s="18">
        <v>45679</v>
      </c>
      <c r="F930" s="18" t="s">
        <v>608</v>
      </c>
      <c r="G930" t="s">
        <v>100</v>
      </c>
      <c r="H930">
        <v>2</v>
      </c>
      <c r="I930">
        <v>4</v>
      </c>
      <c r="J930" s="27">
        <v>5656.03</v>
      </c>
      <c r="K930" s="27">
        <v>500000</v>
      </c>
    </row>
    <row r="931" spans="1:11" ht="15" customHeight="1" x14ac:dyDescent="0.2">
      <c r="A931" t="s">
        <v>2442</v>
      </c>
      <c r="B931" t="s">
        <v>2443</v>
      </c>
      <c r="C931">
        <v>2024</v>
      </c>
      <c r="D931" s="18">
        <v>45314</v>
      </c>
      <c r="E931" s="18">
        <v>45679</v>
      </c>
      <c r="F931" s="18" t="s">
        <v>611</v>
      </c>
      <c r="G931" t="s">
        <v>100</v>
      </c>
      <c r="H931">
        <v>3</v>
      </c>
      <c r="I931">
        <v>6</v>
      </c>
      <c r="J931" s="27">
        <v>12196.08</v>
      </c>
      <c r="K931" s="27">
        <v>1000000</v>
      </c>
    </row>
    <row r="932" spans="1:11" ht="15" customHeight="1" x14ac:dyDescent="0.2">
      <c r="A932" t="s">
        <v>2444</v>
      </c>
      <c r="B932" t="s">
        <v>2445</v>
      </c>
      <c r="C932">
        <v>2024</v>
      </c>
      <c r="D932" s="18">
        <v>45314</v>
      </c>
      <c r="E932" s="18">
        <v>45679</v>
      </c>
      <c r="F932" s="18" t="s">
        <v>611</v>
      </c>
      <c r="G932" t="s">
        <v>100</v>
      </c>
      <c r="H932">
        <v>2</v>
      </c>
      <c r="I932">
        <v>2</v>
      </c>
      <c r="J932" s="27">
        <v>19387.919999999998</v>
      </c>
      <c r="K932" s="27">
        <v>1500000</v>
      </c>
    </row>
    <row r="933" spans="1:11" ht="15" customHeight="1" x14ac:dyDescent="0.2">
      <c r="A933" t="s">
        <v>2446</v>
      </c>
      <c r="B933" t="s">
        <v>2447</v>
      </c>
      <c r="C933">
        <v>2024</v>
      </c>
      <c r="D933" s="18">
        <v>45314</v>
      </c>
      <c r="E933" s="18">
        <v>45679</v>
      </c>
      <c r="F933" s="18" t="s">
        <v>611</v>
      </c>
      <c r="G933" t="s">
        <v>101</v>
      </c>
      <c r="H933">
        <v>2</v>
      </c>
      <c r="I933">
        <v>2</v>
      </c>
      <c r="J933" s="27">
        <v>33795.18</v>
      </c>
      <c r="K933" s="27">
        <v>2000000</v>
      </c>
    </row>
    <row r="934" spans="1:11" ht="15" customHeight="1" x14ac:dyDescent="0.2">
      <c r="A934" t="s">
        <v>2448</v>
      </c>
      <c r="B934" t="s">
        <v>2449</v>
      </c>
      <c r="C934">
        <v>2024</v>
      </c>
      <c r="D934" s="18">
        <v>45314</v>
      </c>
      <c r="E934" s="18">
        <v>45679</v>
      </c>
      <c r="F934" s="18" t="s">
        <v>611</v>
      </c>
      <c r="G934" t="s">
        <v>99</v>
      </c>
      <c r="H934">
        <v>2</v>
      </c>
      <c r="I934">
        <v>4</v>
      </c>
      <c r="J934" s="27">
        <v>40799.760000000002</v>
      </c>
      <c r="K934" s="27">
        <v>4500000</v>
      </c>
    </row>
    <row r="935" spans="1:11" ht="15" customHeight="1" x14ac:dyDescent="0.2">
      <c r="A935" t="s">
        <v>2450</v>
      </c>
      <c r="B935" t="s">
        <v>2451</v>
      </c>
      <c r="C935">
        <v>2024</v>
      </c>
      <c r="D935" s="18">
        <v>45314</v>
      </c>
      <c r="E935" s="18">
        <v>45679</v>
      </c>
      <c r="F935" s="18" t="s">
        <v>611</v>
      </c>
      <c r="G935" t="s">
        <v>101</v>
      </c>
      <c r="H935">
        <v>2</v>
      </c>
      <c r="I935">
        <v>2</v>
      </c>
      <c r="J935" s="27">
        <v>78338.16</v>
      </c>
      <c r="K935" s="27">
        <v>5000000</v>
      </c>
    </row>
    <row r="936" spans="1:11" ht="15" customHeight="1" x14ac:dyDescent="0.2">
      <c r="A936" t="s">
        <v>2452</v>
      </c>
      <c r="B936" t="s">
        <v>2453</v>
      </c>
      <c r="C936">
        <v>2024</v>
      </c>
      <c r="D936" s="18">
        <v>45315</v>
      </c>
      <c r="E936" s="18">
        <v>45680</v>
      </c>
      <c r="F936" s="18" t="s">
        <v>608</v>
      </c>
      <c r="G936" t="s">
        <v>102</v>
      </c>
      <c r="H936">
        <v>3</v>
      </c>
      <c r="I936">
        <v>6</v>
      </c>
      <c r="J936" s="27">
        <v>7212.3</v>
      </c>
      <c r="K936" s="27">
        <v>1000000</v>
      </c>
    </row>
    <row r="937" spans="1:11" ht="15" customHeight="1" x14ac:dyDescent="0.2">
      <c r="A937" t="s">
        <v>2454</v>
      </c>
      <c r="B937" t="s">
        <v>2455</v>
      </c>
      <c r="C937">
        <v>2024</v>
      </c>
      <c r="D937" s="18">
        <v>45315</v>
      </c>
      <c r="E937" s="18">
        <v>45680</v>
      </c>
      <c r="F937" s="18" t="s">
        <v>608</v>
      </c>
      <c r="G937" t="s">
        <v>99</v>
      </c>
      <c r="H937">
        <v>3</v>
      </c>
      <c r="I937">
        <v>6</v>
      </c>
      <c r="J937" s="27">
        <v>35299.64</v>
      </c>
      <c r="K937" s="27">
        <v>4000000</v>
      </c>
    </row>
    <row r="938" spans="1:11" ht="15" customHeight="1" x14ac:dyDescent="0.2">
      <c r="A938" t="s">
        <v>2456</v>
      </c>
      <c r="B938" t="s">
        <v>2457</v>
      </c>
      <c r="C938">
        <v>2024</v>
      </c>
      <c r="D938" s="18">
        <v>45315</v>
      </c>
      <c r="E938" s="18">
        <v>45680</v>
      </c>
      <c r="F938" s="18" t="s">
        <v>611</v>
      </c>
      <c r="G938" t="s">
        <v>101</v>
      </c>
      <c r="H938">
        <v>1</v>
      </c>
      <c r="I938">
        <v>1</v>
      </c>
      <c r="J938" s="27">
        <v>65674.179999999993</v>
      </c>
      <c r="K938" s="27">
        <v>4500000</v>
      </c>
    </row>
    <row r="939" spans="1:11" ht="15" customHeight="1" x14ac:dyDescent="0.2">
      <c r="A939" t="s">
        <v>2458</v>
      </c>
      <c r="B939" t="s">
        <v>2459</v>
      </c>
      <c r="C939">
        <v>2024</v>
      </c>
      <c r="D939" s="18">
        <v>45315</v>
      </c>
      <c r="E939" s="18">
        <v>45680</v>
      </c>
      <c r="F939" s="18" t="s">
        <v>611</v>
      </c>
      <c r="G939" t="s">
        <v>101</v>
      </c>
      <c r="H939">
        <v>3</v>
      </c>
      <c r="I939">
        <v>3</v>
      </c>
      <c r="J939" s="27">
        <v>33829.99</v>
      </c>
      <c r="K939" s="27">
        <v>2000000</v>
      </c>
    </row>
    <row r="940" spans="1:11" ht="15" customHeight="1" x14ac:dyDescent="0.2">
      <c r="A940" t="s">
        <v>2460</v>
      </c>
      <c r="B940" t="s">
        <v>2461</v>
      </c>
      <c r="C940">
        <v>2024</v>
      </c>
      <c r="D940" s="18">
        <v>45315</v>
      </c>
      <c r="E940" s="18">
        <v>45680</v>
      </c>
      <c r="F940" s="18" t="s">
        <v>611</v>
      </c>
      <c r="G940" t="s">
        <v>102</v>
      </c>
      <c r="H940">
        <v>2</v>
      </c>
      <c r="I940">
        <v>2</v>
      </c>
      <c r="J940" s="27">
        <v>66367.070000000007</v>
      </c>
      <c r="K940" s="27">
        <v>10000000</v>
      </c>
    </row>
    <row r="941" spans="1:11" ht="15" customHeight="1" x14ac:dyDescent="0.2">
      <c r="A941" t="s">
        <v>2462</v>
      </c>
      <c r="B941" t="s">
        <v>2463</v>
      </c>
      <c r="C941">
        <v>2024</v>
      </c>
      <c r="D941" s="18">
        <v>45315</v>
      </c>
      <c r="E941" s="18">
        <v>45680</v>
      </c>
      <c r="F941" s="18" t="s">
        <v>611</v>
      </c>
      <c r="G941" t="s">
        <v>99</v>
      </c>
      <c r="H941">
        <v>1</v>
      </c>
      <c r="I941">
        <v>1</v>
      </c>
      <c r="J941" s="27">
        <v>41011.07</v>
      </c>
      <c r="K941" s="27">
        <v>4500000</v>
      </c>
    </row>
    <row r="942" spans="1:11" ht="15" customHeight="1" x14ac:dyDescent="0.2">
      <c r="A942" t="s">
        <v>2464</v>
      </c>
      <c r="B942" t="s">
        <v>2465</v>
      </c>
      <c r="C942">
        <v>2024</v>
      </c>
      <c r="D942" s="18">
        <v>45315</v>
      </c>
      <c r="E942" s="18">
        <v>45680</v>
      </c>
      <c r="F942" s="18" t="s">
        <v>611</v>
      </c>
      <c r="G942" t="s">
        <v>100</v>
      </c>
      <c r="H942">
        <v>1</v>
      </c>
      <c r="I942">
        <v>1</v>
      </c>
      <c r="J942" s="27">
        <v>53743.23</v>
      </c>
      <c r="K942" s="27">
        <v>4000000</v>
      </c>
    </row>
    <row r="943" spans="1:11" ht="15" customHeight="1" x14ac:dyDescent="0.2">
      <c r="A943" t="s">
        <v>2466</v>
      </c>
      <c r="B943" t="s">
        <v>2467</v>
      </c>
      <c r="C943">
        <v>2024</v>
      </c>
      <c r="D943" s="18">
        <v>45315</v>
      </c>
      <c r="E943" s="18">
        <v>45680</v>
      </c>
      <c r="F943" s="18" t="s">
        <v>611</v>
      </c>
      <c r="G943" t="s">
        <v>101</v>
      </c>
      <c r="H943">
        <v>2</v>
      </c>
      <c r="I943">
        <v>4</v>
      </c>
      <c r="J943" s="27">
        <v>52599.9</v>
      </c>
      <c r="K943" s="27">
        <v>3500000</v>
      </c>
    </row>
    <row r="944" spans="1:11" ht="15" customHeight="1" x14ac:dyDescent="0.2">
      <c r="A944" t="s">
        <v>2468</v>
      </c>
      <c r="B944" t="s">
        <v>2469</v>
      </c>
      <c r="C944">
        <v>2024</v>
      </c>
      <c r="D944" s="18">
        <v>45315</v>
      </c>
      <c r="E944" s="18">
        <v>45680</v>
      </c>
      <c r="F944" s="18" t="s">
        <v>611</v>
      </c>
      <c r="G944" t="s">
        <v>100</v>
      </c>
      <c r="H944">
        <v>1</v>
      </c>
      <c r="I944">
        <v>2</v>
      </c>
      <c r="J944" s="27">
        <v>121025.4</v>
      </c>
      <c r="K944" s="27">
        <v>10000000</v>
      </c>
    </row>
    <row r="945" spans="1:11" ht="15" customHeight="1" x14ac:dyDescent="0.2">
      <c r="A945" t="s">
        <v>2470</v>
      </c>
      <c r="B945" t="s">
        <v>2471</v>
      </c>
      <c r="C945">
        <v>2024</v>
      </c>
      <c r="D945" s="18">
        <v>45315</v>
      </c>
      <c r="E945" s="18">
        <v>45680</v>
      </c>
      <c r="F945" s="18" t="s">
        <v>611</v>
      </c>
      <c r="G945" t="s">
        <v>100</v>
      </c>
      <c r="H945">
        <v>1</v>
      </c>
      <c r="I945">
        <v>2</v>
      </c>
      <c r="J945" s="27">
        <v>33328.99</v>
      </c>
      <c r="K945" s="27">
        <v>3000000</v>
      </c>
    </row>
    <row r="946" spans="1:11" ht="15" customHeight="1" x14ac:dyDescent="0.2">
      <c r="A946" t="s">
        <v>2472</v>
      </c>
      <c r="B946" t="s">
        <v>2473</v>
      </c>
      <c r="C946">
        <v>2024</v>
      </c>
      <c r="D946" s="18">
        <v>45315</v>
      </c>
      <c r="E946" s="18">
        <v>45680</v>
      </c>
      <c r="F946" s="18" t="s">
        <v>611</v>
      </c>
      <c r="G946" t="s">
        <v>100</v>
      </c>
      <c r="H946">
        <v>2</v>
      </c>
      <c r="I946">
        <v>2</v>
      </c>
      <c r="J946" s="27">
        <v>18353.25</v>
      </c>
      <c r="K946" s="27">
        <v>1500000</v>
      </c>
    </row>
    <row r="947" spans="1:11" ht="15" customHeight="1" x14ac:dyDescent="0.2">
      <c r="A947" t="s">
        <v>2474</v>
      </c>
      <c r="B947" t="s">
        <v>2475</v>
      </c>
      <c r="C947">
        <v>2024</v>
      </c>
      <c r="D947" s="18">
        <v>45315</v>
      </c>
      <c r="E947" s="18">
        <v>45680</v>
      </c>
      <c r="F947" s="18" t="s">
        <v>611</v>
      </c>
      <c r="G947" t="s">
        <v>102</v>
      </c>
      <c r="H947">
        <v>1</v>
      </c>
      <c r="I947">
        <v>1</v>
      </c>
      <c r="J947" s="27">
        <v>76043.8</v>
      </c>
      <c r="K947" s="27">
        <v>10000000</v>
      </c>
    </row>
    <row r="948" spans="1:11" ht="15" customHeight="1" x14ac:dyDescent="0.2">
      <c r="A948" t="s">
        <v>2476</v>
      </c>
      <c r="B948" t="s">
        <v>2477</v>
      </c>
      <c r="C948">
        <v>2024</v>
      </c>
      <c r="D948" s="18">
        <v>45315</v>
      </c>
      <c r="E948" s="18">
        <v>45680</v>
      </c>
      <c r="F948" s="18" t="s">
        <v>611</v>
      </c>
      <c r="G948" t="s">
        <v>99</v>
      </c>
      <c r="H948">
        <v>3</v>
      </c>
      <c r="I948">
        <v>6</v>
      </c>
      <c r="J948" s="27">
        <v>41456.800000000003</v>
      </c>
      <c r="K948" s="27">
        <v>4500000</v>
      </c>
    </row>
    <row r="949" spans="1:11" ht="15" customHeight="1" x14ac:dyDescent="0.2">
      <c r="A949" t="s">
        <v>2478</v>
      </c>
      <c r="B949" t="s">
        <v>2479</v>
      </c>
      <c r="C949">
        <v>2024</v>
      </c>
      <c r="D949" s="18">
        <v>45316</v>
      </c>
      <c r="E949" s="18">
        <v>45681</v>
      </c>
      <c r="F949" s="18" t="s">
        <v>608</v>
      </c>
      <c r="G949" t="s">
        <v>101</v>
      </c>
      <c r="H949">
        <v>1</v>
      </c>
      <c r="I949">
        <v>1</v>
      </c>
      <c r="J949" s="27">
        <v>16338.96</v>
      </c>
      <c r="K949" s="27">
        <v>1000000</v>
      </c>
    </row>
    <row r="950" spans="1:11" ht="15" customHeight="1" x14ac:dyDescent="0.2">
      <c r="A950" t="s">
        <v>2480</v>
      </c>
      <c r="B950" t="s">
        <v>2481</v>
      </c>
      <c r="C950">
        <v>2024</v>
      </c>
      <c r="D950" s="18">
        <v>45316</v>
      </c>
      <c r="E950" s="18">
        <v>45681</v>
      </c>
      <c r="F950" s="18" t="s">
        <v>611</v>
      </c>
      <c r="G950" t="s">
        <v>99</v>
      </c>
      <c r="H950">
        <v>3</v>
      </c>
      <c r="I950">
        <v>3</v>
      </c>
      <c r="J950" s="27">
        <v>17724.439999999999</v>
      </c>
      <c r="K950" s="27">
        <v>2000000</v>
      </c>
    </row>
    <row r="951" spans="1:11" ht="15" customHeight="1" x14ac:dyDescent="0.2">
      <c r="A951" t="s">
        <v>2482</v>
      </c>
      <c r="B951" t="s">
        <v>2483</v>
      </c>
      <c r="C951">
        <v>2024</v>
      </c>
      <c r="D951" s="18">
        <v>45317</v>
      </c>
      <c r="E951" s="18">
        <v>45682</v>
      </c>
      <c r="F951" s="18" t="s">
        <v>608</v>
      </c>
      <c r="G951" t="s">
        <v>100</v>
      </c>
      <c r="H951">
        <v>1</v>
      </c>
      <c r="I951">
        <v>2</v>
      </c>
      <c r="J951" s="27">
        <v>47329.47</v>
      </c>
      <c r="K951" s="27">
        <v>4000000</v>
      </c>
    </row>
    <row r="952" spans="1:11" ht="15" customHeight="1" x14ac:dyDescent="0.2">
      <c r="A952" t="s">
        <v>2484</v>
      </c>
      <c r="B952" t="s">
        <v>2485</v>
      </c>
      <c r="C952">
        <v>2024</v>
      </c>
      <c r="D952" s="18">
        <v>45317</v>
      </c>
      <c r="E952" s="18">
        <v>45682</v>
      </c>
      <c r="F952" s="18" t="s">
        <v>608</v>
      </c>
      <c r="G952" t="s">
        <v>100</v>
      </c>
      <c r="H952">
        <v>1</v>
      </c>
      <c r="I952">
        <v>1</v>
      </c>
      <c r="J952" s="27">
        <v>113706.38</v>
      </c>
      <c r="K952" s="27">
        <v>10000000</v>
      </c>
    </row>
    <row r="953" spans="1:11" ht="15" customHeight="1" x14ac:dyDescent="0.2">
      <c r="A953" t="s">
        <v>2486</v>
      </c>
      <c r="B953" t="s">
        <v>2487</v>
      </c>
      <c r="C953">
        <v>2024</v>
      </c>
      <c r="D953" s="18">
        <v>45317</v>
      </c>
      <c r="E953" s="18">
        <v>45682</v>
      </c>
      <c r="F953" s="18" t="s">
        <v>608</v>
      </c>
      <c r="G953" t="s">
        <v>100</v>
      </c>
      <c r="H953">
        <v>3</v>
      </c>
      <c r="I953">
        <v>3</v>
      </c>
      <c r="J953" s="27">
        <v>50492.61</v>
      </c>
      <c r="K953" s="27">
        <v>4000000</v>
      </c>
    </row>
    <row r="954" spans="1:11" ht="15" customHeight="1" x14ac:dyDescent="0.2">
      <c r="A954" t="s">
        <v>2488</v>
      </c>
      <c r="B954" t="s">
        <v>2489</v>
      </c>
      <c r="C954">
        <v>2024</v>
      </c>
      <c r="D954" s="18">
        <v>45317</v>
      </c>
      <c r="E954" s="18">
        <v>45682</v>
      </c>
      <c r="F954" s="18" t="s">
        <v>608</v>
      </c>
      <c r="G954" t="s">
        <v>99</v>
      </c>
      <c r="H954">
        <v>1</v>
      </c>
      <c r="I954">
        <v>2</v>
      </c>
      <c r="J954" s="27">
        <v>15680.39</v>
      </c>
      <c r="K954" s="27">
        <v>2000000</v>
      </c>
    </row>
    <row r="955" spans="1:11" ht="15" customHeight="1" x14ac:dyDescent="0.2">
      <c r="A955" t="s">
        <v>2490</v>
      </c>
      <c r="B955" t="s">
        <v>2491</v>
      </c>
      <c r="C955">
        <v>2024</v>
      </c>
      <c r="D955" s="18">
        <v>45317</v>
      </c>
      <c r="E955" s="18">
        <v>45682</v>
      </c>
      <c r="F955" s="18" t="s">
        <v>611</v>
      </c>
      <c r="G955" t="s">
        <v>99</v>
      </c>
      <c r="H955">
        <v>3</v>
      </c>
      <c r="I955">
        <v>3</v>
      </c>
      <c r="J955" s="27">
        <v>88962.61</v>
      </c>
      <c r="K955" s="27">
        <v>10000000</v>
      </c>
    </row>
    <row r="956" spans="1:11" ht="15" customHeight="1" x14ac:dyDescent="0.2">
      <c r="A956" t="s">
        <v>2492</v>
      </c>
      <c r="B956" t="s">
        <v>2493</v>
      </c>
      <c r="C956">
        <v>2024</v>
      </c>
      <c r="D956" s="18">
        <v>45317</v>
      </c>
      <c r="E956" s="18">
        <v>45682</v>
      </c>
      <c r="F956" s="18" t="s">
        <v>611</v>
      </c>
      <c r="G956" t="s">
        <v>102</v>
      </c>
      <c r="H956">
        <v>2</v>
      </c>
      <c r="I956">
        <v>2</v>
      </c>
      <c r="J956" s="27">
        <v>3973.5</v>
      </c>
      <c r="K956" s="27">
        <v>500000</v>
      </c>
    </row>
    <row r="957" spans="1:11" ht="15" customHeight="1" x14ac:dyDescent="0.2">
      <c r="A957" t="s">
        <v>2494</v>
      </c>
      <c r="B957" t="s">
        <v>2495</v>
      </c>
      <c r="C957">
        <v>2024</v>
      </c>
      <c r="D957" s="18">
        <v>45317</v>
      </c>
      <c r="E957" s="18">
        <v>45682</v>
      </c>
      <c r="F957" s="18" t="s">
        <v>611</v>
      </c>
      <c r="G957" t="s">
        <v>99</v>
      </c>
      <c r="H957">
        <v>1</v>
      </c>
      <c r="I957">
        <v>1</v>
      </c>
      <c r="J957" s="27">
        <v>4148.83</v>
      </c>
      <c r="K957" s="27">
        <v>500000</v>
      </c>
    </row>
    <row r="958" spans="1:11" ht="15" customHeight="1" x14ac:dyDescent="0.2">
      <c r="A958" t="s">
        <v>2496</v>
      </c>
      <c r="B958" t="s">
        <v>2497</v>
      </c>
      <c r="C958">
        <v>2024</v>
      </c>
      <c r="D958" s="18">
        <v>45317</v>
      </c>
      <c r="E958" s="18">
        <v>45682</v>
      </c>
      <c r="F958" s="18" t="s">
        <v>611</v>
      </c>
      <c r="G958" t="s">
        <v>99</v>
      </c>
      <c r="H958">
        <v>2</v>
      </c>
      <c r="I958">
        <v>2</v>
      </c>
      <c r="J958" s="27">
        <v>17218.439999999999</v>
      </c>
      <c r="K958" s="27">
        <v>2000000</v>
      </c>
    </row>
    <row r="959" spans="1:11" ht="15" customHeight="1" x14ac:dyDescent="0.2">
      <c r="A959" t="s">
        <v>2498</v>
      </c>
      <c r="B959" t="s">
        <v>2499</v>
      </c>
      <c r="C959">
        <v>2024</v>
      </c>
      <c r="D959" s="18">
        <v>45317</v>
      </c>
      <c r="E959" s="18">
        <v>45682</v>
      </c>
      <c r="F959" s="18" t="s">
        <v>611</v>
      </c>
      <c r="G959" t="s">
        <v>101</v>
      </c>
      <c r="H959">
        <v>1</v>
      </c>
      <c r="I959">
        <v>1</v>
      </c>
      <c r="J959" s="27">
        <v>56031.73</v>
      </c>
      <c r="K959" s="27">
        <v>4000000</v>
      </c>
    </row>
    <row r="960" spans="1:11" ht="15" customHeight="1" x14ac:dyDescent="0.2">
      <c r="A960" t="s">
        <v>2500</v>
      </c>
      <c r="B960" t="s">
        <v>2501</v>
      </c>
      <c r="C960">
        <v>2024</v>
      </c>
      <c r="D960" s="18">
        <v>45317</v>
      </c>
      <c r="E960" s="18">
        <v>45682</v>
      </c>
      <c r="F960" s="18" t="s">
        <v>611</v>
      </c>
      <c r="G960" t="s">
        <v>101</v>
      </c>
      <c r="H960">
        <v>2</v>
      </c>
      <c r="I960">
        <v>2</v>
      </c>
      <c r="J960" s="27">
        <v>164058.26999999999</v>
      </c>
      <c r="K960" s="27">
        <v>10000000</v>
      </c>
    </row>
    <row r="961" spans="1:11" ht="15" customHeight="1" x14ac:dyDescent="0.2">
      <c r="A961" t="s">
        <v>2502</v>
      </c>
      <c r="B961" t="s">
        <v>2503</v>
      </c>
      <c r="C961">
        <v>2024</v>
      </c>
      <c r="D961" s="18">
        <v>45317</v>
      </c>
      <c r="E961" s="18">
        <v>45682</v>
      </c>
      <c r="F961" s="18" t="s">
        <v>611</v>
      </c>
      <c r="G961" t="s">
        <v>102</v>
      </c>
      <c r="H961">
        <v>2</v>
      </c>
      <c r="I961">
        <v>2</v>
      </c>
      <c r="J961" s="27">
        <v>38988.370000000003</v>
      </c>
      <c r="K961" s="27">
        <v>5000000</v>
      </c>
    </row>
    <row r="962" spans="1:11" ht="15" customHeight="1" x14ac:dyDescent="0.2">
      <c r="A962" t="s">
        <v>2504</v>
      </c>
      <c r="B962" t="s">
        <v>2505</v>
      </c>
      <c r="C962">
        <v>2024</v>
      </c>
      <c r="D962" s="18">
        <v>45317</v>
      </c>
      <c r="E962" s="18">
        <v>45682</v>
      </c>
      <c r="F962" s="18" t="s">
        <v>611</v>
      </c>
      <c r="G962" t="s">
        <v>100</v>
      </c>
      <c r="H962">
        <v>3</v>
      </c>
      <c r="I962">
        <v>3</v>
      </c>
      <c r="J962" s="27">
        <v>36784.370000000003</v>
      </c>
      <c r="K962" s="27">
        <v>3000000</v>
      </c>
    </row>
    <row r="963" spans="1:11" ht="15" customHeight="1" x14ac:dyDescent="0.2">
      <c r="A963" t="s">
        <v>2506</v>
      </c>
      <c r="B963" t="s">
        <v>2507</v>
      </c>
      <c r="C963">
        <v>2024</v>
      </c>
      <c r="D963" s="18">
        <v>45317</v>
      </c>
      <c r="E963" s="18">
        <v>45682</v>
      </c>
      <c r="F963" s="18" t="s">
        <v>611</v>
      </c>
      <c r="G963" t="s">
        <v>99</v>
      </c>
      <c r="H963">
        <v>3</v>
      </c>
      <c r="I963">
        <v>3</v>
      </c>
      <c r="J963" s="27">
        <v>36280.980000000003</v>
      </c>
      <c r="K963" s="27">
        <v>4000000</v>
      </c>
    </row>
    <row r="964" spans="1:11" ht="15" customHeight="1" x14ac:dyDescent="0.2">
      <c r="A964" t="s">
        <v>2508</v>
      </c>
      <c r="B964" t="s">
        <v>2509</v>
      </c>
      <c r="C964">
        <v>2024</v>
      </c>
      <c r="D964" s="18">
        <v>45317</v>
      </c>
      <c r="E964" s="18">
        <v>45682</v>
      </c>
      <c r="F964" s="18" t="s">
        <v>611</v>
      </c>
      <c r="G964" t="s">
        <v>100</v>
      </c>
      <c r="H964">
        <v>2</v>
      </c>
      <c r="I964">
        <v>2</v>
      </c>
      <c r="J964" s="27">
        <v>127239.91</v>
      </c>
      <c r="K964" s="27">
        <v>10000000</v>
      </c>
    </row>
    <row r="965" spans="1:11" ht="15" customHeight="1" x14ac:dyDescent="0.2">
      <c r="A965" t="s">
        <v>2510</v>
      </c>
      <c r="B965" t="s">
        <v>2511</v>
      </c>
      <c r="C965">
        <v>2024</v>
      </c>
      <c r="D965" s="18">
        <v>45317</v>
      </c>
      <c r="E965" s="18">
        <v>45682</v>
      </c>
      <c r="F965" s="18" t="s">
        <v>611</v>
      </c>
      <c r="G965" t="s">
        <v>101</v>
      </c>
      <c r="H965">
        <v>1</v>
      </c>
      <c r="I965">
        <v>2</v>
      </c>
      <c r="J965" s="27">
        <v>163745.53</v>
      </c>
      <c r="K965" s="27">
        <v>10000000</v>
      </c>
    </row>
    <row r="966" spans="1:11" ht="15" customHeight="1" x14ac:dyDescent="0.2">
      <c r="A966" t="s">
        <v>2512</v>
      </c>
      <c r="B966" t="s">
        <v>2513</v>
      </c>
      <c r="C966">
        <v>2024</v>
      </c>
      <c r="D966" s="18">
        <v>45317</v>
      </c>
      <c r="E966" s="18">
        <v>45682</v>
      </c>
      <c r="F966" s="18" t="s">
        <v>611</v>
      </c>
      <c r="G966" t="s">
        <v>102</v>
      </c>
      <c r="H966">
        <v>1</v>
      </c>
      <c r="I966">
        <v>2</v>
      </c>
      <c r="J966" s="27">
        <v>15775.57</v>
      </c>
      <c r="K966" s="27">
        <v>2000000</v>
      </c>
    </row>
    <row r="967" spans="1:11" ht="15" customHeight="1" x14ac:dyDescent="0.2">
      <c r="A967" t="s">
        <v>2514</v>
      </c>
      <c r="B967" t="s">
        <v>2515</v>
      </c>
      <c r="C967">
        <v>2024</v>
      </c>
      <c r="D967" s="18">
        <v>45317</v>
      </c>
      <c r="E967" s="18">
        <v>45682</v>
      </c>
      <c r="F967" s="18" t="s">
        <v>611</v>
      </c>
      <c r="G967" t="s">
        <v>101</v>
      </c>
      <c r="H967">
        <v>3</v>
      </c>
      <c r="I967">
        <v>6</v>
      </c>
      <c r="J967" s="27">
        <v>75303.06</v>
      </c>
      <c r="K967" s="27">
        <v>4500000</v>
      </c>
    </row>
    <row r="968" spans="1:11" ht="15" customHeight="1" x14ac:dyDescent="0.2">
      <c r="A968" t="s">
        <v>2516</v>
      </c>
      <c r="B968" t="s">
        <v>2517</v>
      </c>
      <c r="C968">
        <v>2024</v>
      </c>
      <c r="D968" s="18">
        <v>45318</v>
      </c>
      <c r="E968" s="18">
        <v>45683</v>
      </c>
      <c r="F968" s="18" t="s">
        <v>608</v>
      </c>
      <c r="G968" t="s">
        <v>99</v>
      </c>
      <c r="H968">
        <v>1</v>
      </c>
      <c r="I968">
        <v>1</v>
      </c>
      <c r="J968" s="27">
        <v>30805.54</v>
      </c>
      <c r="K968" s="27">
        <v>4000000</v>
      </c>
    </row>
    <row r="969" spans="1:11" ht="15" customHeight="1" x14ac:dyDescent="0.2">
      <c r="A969" t="s">
        <v>2518</v>
      </c>
      <c r="B969" t="s">
        <v>2519</v>
      </c>
      <c r="C969">
        <v>2024</v>
      </c>
      <c r="D969" s="18">
        <v>45318</v>
      </c>
      <c r="E969" s="18">
        <v>45683</v>
      </c>
      <c r="F969" s="18" t="s">
        <v>611</v>
      </c>
      <c r="G969" t="s">
        <v>101</v>
      </c>
      <c r="H969">
        <v>3</v>
      </c>
      <c r="I969">
        <v>3</v>
      </c>
      <c r="J969" s="27">
        <v>80053.75</v>
      </c>
      <c r="K969" s="27">
        <v>5000000</v>
      </c>
    </row>
    <row r="970" spans="1:11" ht="15" customHeight="1" x14ac:dyDescent="0.2">
      <c r="A970" t="s">
        <v>2520</v>
      </c>
      <c r="B970" t="s">
        <v>2521</v>
      </c>
      <c r="C970">
        <v>2024</v>
      </c>
      <c r="D970" s="18">
        <v>45318</v>
      </c>
      <c r="E970" s="18">
        <v>45683</v>
      </c>
      <c r="F970" s="18" t="s">
        <v>611</v>
      </c>
      <c r="G970" t="s">
        <v>99</v>
      </c>
      <c r="H970">
        <v>1</v>
      </c>
      <c r="I970">
        <v>1</v>
      </c>
      <c r="J970" s="27">
        <v>79117.919999999998</v>
      </c>
      <c r="K970" s="27">
        <v>10000000</v>
      </c>
    </row>
    <row r="971" spans="1:11" ht="15" customHeight="1" x14ac:dyDescent="0.2">
      <c r="A971" t="s">
        <v>2522</v>
      </c>
      <c r="B971" t="s">
        <v>2523</v>
      </c>
      <c r="C971">
        <v>2024</v>
      </c>
      <c r="D971" s="18">
        <v>45318</v>
      </c>
      <c r="E971" s="18">
        <v>45683</v>
      </c>
      <c r="F971" s="18" t="s">
        <v>611</v>
      </c>
      <c r="G971" t="s">
        <v>101</v>
      </c>
      <c r="H971">
        <v>1</v>
      </c>
      <c r="I971">
        <v>2</v>
      </c>
      <c r="J971" s="27">
        <v>74108.86</v>
      </c>
      <c r="K971" s="27">
        <v>5000000</v>
      </c>
    </row>
    <row r="972" spans="1:11" ht="15" customHeight="1" x14ac:dyDescent="0.2">
      <c r="A972" t="s">
        <v>2524</v>
      </c>
      <c r="B972" t="s">
        <v>2525</v>
      </c>
      <c r="C972">
        <v>2024</v>
      </c>
      <c r="D972" s="18">
        <v>45318</v>
      </c>
      <c r="E972" s="18">
        <v>45683</v>
      </c>
      <c r="F972" s="18" t="s">
        <v>611</v>
      </c>
      <c r="G972" t="s">
        <v>100</v>
      </c>
      <c r="H972">
        <v>1</v>
      </c>
      <c r="I972">
        <v>1</v>
      </c>
      <c r="J972" s="27">
        <v>29301.45</v>
      </c>
      <c r="K972" s="27">
        <v>2500000</v>
      </c>
    </row>
    <row r="973" spans="1:11" ht="15" customHeight="1" x14ac:dyDescent="0.2">
      <c r="A973" t="s">
        <v>2526</v>
      </c>
      <c r="B973" t="s">
        <v>2527</v>
      </c>
      <c r="C973">
        <v>2024</v>
      </c>
      <c r="D973" s="18">
        <v>45318</v>
      </c>
      <c r="E973" s="18">
        <v>45683</v>
      </c>
      <c r="F973" s="18" t="s">
        <v>611</v>
      </c>
      <c r="G973" t="s">
        <v>100</v>
      </c>
      <c r="H973">
        <v>1</v>
      </c>
      <c r="I973">
        <v>1</v>
      </c>
      <c r="J973" s="27">
        <v>17958.669999999998</v>
      </c>
      <c r="K973" s="27">
        <v>1500000</v>
      </c>
    </row>
    <row r="974" spans="1:11" ht="15" customHeight="1" x14ac:dyDescent="0.2">
      <c r="A974" t="s">
        <v>2528</v>
      </c>
      <c r="B974" t="s">
        <v>2529</v>
      </c>
      <c r="C974">
        <v>2024</v>
      </c>
      <c r="D974" s="18">
        <v>45318</v>
      </c>
      <c r="E974" s="18">
        <v>45683</v>
      </c>
      <c r="F974" s="18" t="s">
        <v>611</v>
      </c>
      <c r="G974" t="s">
        <v>99</v>
      </c>
      <c r="H974">
        <v>1</v>
      </c>
      <c r="I974">
        <v>1</v>
      </c>
      <c r="J974" s="27">
        <v>34362.129999999997</v>
      </c>
      <c r="K974" s="27">
        <v>4000000</v>
      </c>
    </row>
    <row r="975" spans="1:11" ht="15" customHeight="1" x14ac:dyDescent="0.2">
      <c r="A975" t="s">
        <v>2530</v>
      </c>
      <c r="B975" t="s">
        <v>2531</v>
      </c>
      <c r="C975">
        <v>2024</v>
      </c>
      <c r="D975" s="18">
        <v>45318</v>
      </c>
      <c r="E975" s="18">
        <v>45683</v>
      </c>
      <c r="F975" s="18" t="s">
        <v>611</v>
      </c>
      <c r="G975" t="s">
        <v>101</v>
      </c>
      <c r="H975">
        <v>1</v>
      </c>
      <c r="I975">
        <v>1</v>
      </c>
      <c r="J975" s="27">
        <v>7100.98</v>
      </c>
      <c r="K975" s="27">
        <v>500000</v>
      </c>
    </row>
    <row r="976" spans="1:11" ht="15" customHeight="1" x14ac:dyDescent="0.2">
      <c r="A976" t="s">
        <v>2532</v>
      </c>
      <c r="B976" t="s">
        <v>2533</v>
      </c>
      <c r="C976">
        <v>2024</v>
      </c>
      <c r="D976" s="18">
        <v>45318</v>
      </c>
      <c r="E976" s="18">
        <v>45683</v>
      </c>
      <c r="F976" s="18" t="s">
        <v>611</v>
      </c>
      <c r="G976" t="s">
        <v>100</v>
      </c>
      <c r="H976">
        <v>2</v>
      </c>
      <c r="I976">
        <v>2</v>
      </c>
      <c r="J976" s="27">
        <v>25865.62</v>
      </c>
      <c r="K976" s="27">
        <v>2000000</v>
      </c>
    </row>
    <row r="977" spans="1:11" ht="15" customHeight="1" x14ac:dyDescent="0.2">
      <c r="A977" t="s">
        <v>2534</v>
      </c>
      <c r="B977" t="s">
        <v>2535</v>
      </c>
      <c r="C977">
        <v>2024</v>
      </c>
      <c r="D977" s="18">
        <v>45319</v>
      </c>
      <c r="E977" s="18">
        <v>45684</v>
      </c>
      <c r="F977" s="18" t="s">
        <v>611</v>
      </c>
      <c r="G977" t="s">
        <v>101</v>
      </c>
      <c r="H977">
        <v>2</v>
      </c>
      <c r="I977">
        <v>4</v>
      </c>
      <c r="J977" s="27">
        <v>74005.19</v>
      </c>
      <c r="K977" s="27">
        <v>5000000</v>
      </c>
    </row>
    <row r="978" spans="1:11" ht="15" customHeight="1" x14ac:dyDescent="0.2">
      <c r="A978" t="s">
        <v>2536</v>
      </c>
      <c r="B978" t="s">
        <v>2537</v>
      </c>
      <c r="C978">
        <v>2024</v>
      </c>
      <c r="D978" s="18">
        <v>45319</v>
      </c>
      <c r="E978" s="18">
        <v>45684</v>
      </c>
      <c r="F978" s="18" t="s">
        <v>611</v>
      </c>
      <c r="G978" t="s">
        <v>100</v>
      </c>
      <c r="H978">
        <v>1</v>
      </c>
      <c r="I978">
        <v>2</v>
      </c>
      <c r="J978" s="27">
        <v>57973.87</v>
      </c>
      <c r="K978" s="27">
        <v>4500000</v>
      </c>
    </row>
    <row r="979" spans="1:11" ht="15" customHeight="1" x14ac:dyDescent="0.2">
      <c r="A979" t="s">
        <v>2538</v>
      </c>
      <c r="B979" t="s">
        <v>2539</v>
      </c>
      <c r="C979">
        <v>2024</v>
      </c>
      <c r="D979" s="18">
        <v>45319</v>
      </c>
      <c r="E979" s="18">
        <v>45684</v>
      </c>
      <c r="F979" s="18" t="s">
        <v>611</v>
      </c>
      <c r="G979" t="s">
        <v>100</v>
      </c>
      <c r="H979">
        <v>2</v>
      </c>
      <c r="I979">
        <v>2</v>
      </c>
      <c r="J979" s="27">
        <v>23862.38</v>
      </c>
      <c r="K979" s="27">
        <v>2000000</v>
      </c>
    </row>
    <row r="980" spans="1:11" ht="15" customHeight="1" x14ac:dyDescent="0.2">
      <c r="A980" t="s">
        <v>2540</v>
      </c>
      <c r="B980" t="s">
        <v>2541</v>
      </c>
      <c r="C980">
        <v>2024</v>
      </c>
      <c r="D980" s="18">
        <v>45319</v>
      </c>
      <c r="E980" s="18">
        <v>45684</v>
      </c>
      <c r="F980" s="18" t="s">
        <v>611</v>
      </c>
      <c r="G980" t="s">
        <v>101</v>
      </c>
      <c r="H980">
        <v>1</v>
      </c>
      <c r="I980">
        <v>1</v>
      </c>
      <c r="J980" s="27">
        <v>76426.210000000006</v>
      </c>
      <c r="K980" s="27">
        <v>5000000</v>
      </c>
    </row>
    <row r="981" spans="1:11" ht="15" customHeight="1" x14ac:dyDescent="0.2">
      <c r="A981" t="s">
        <v>2542</v>
      </c>
      <c r="B981" t="s">
        <v>2543</v>
      </c>
      <c r="C981">
        <v>2024</v>
      </c>
      <c r="D981" s="18">
        <v>45319</v>
      </c>
      <c r="E981" s="18">
        <v>45684</v>
      </c>
      <c r="F981" s="18" t="s">
        <v>611</v>
      </c>
      <c r="G981" t="s">
        <v>100</v>
      </c>
      <c r="H981">
        <v>2</v>
      </c>
      <c r="I981">
        <v>2</v>
      </c>
      <c r="J981" s="27">
        <v>37622.11</v>
      </c>
      <c r="K981" s="27">
        <v>3000000</v>
      </c>
    </row>
    <row r="982" spans="1:11" ht="15" customHeight="1" x14ac:dyDescent="0.2">
      <c r="A982" t="s">
        <v>2544</v>
      </c>
      <c r="B982" t="s">
        <v>2545</v>
      </c>
      <c r="C982">
        <v>2024</v>
      </c>
      <c r="D982" s="18">
        <v>45319</v>
      </c>
      <c r="E982" s="18">
        <v>45684</v>
      </c>
      <c r="F982" s="18" t="s">
        <v>611</v>
      </c>
      <c r="G982" t="s">
        <v>102</v>
      </c>
      <c r="H982">
        <v>3</v>
      </c>
      <c r="I982">
        <v>3</v>
      </c>
      <c r="J982" s="27">
        <v>9976.69</v>
      </c>
      <c r="K982" s="27">
        <v>1500000</v>
      </c>
    </row>
    <row r="983" spans="1:11" ht="15" customHeight="1" x14ac:dyDescent="0.2">
      <c r="A983" t="s">
        <v>2546</v>
      </c>
      <c r="B983" t="s">
        <v>2547</v>
      </c>
      <c r="C983">
        <v>2024</v>
      </c>
      <c r="D983" s="18">
        <v>45320</v>
      </c>
      <c r="E983" s="18">
        <v>45685</v>
      </c>
      <c r="F983" s="18" t="s">
        <v>608</v>
      </c>
      <c r="G983" t="s">
        <v>101</v>
      </c>
      <c r="H983">
        <v>3</v>
      </c>
      <c r="I983">
        <v>3</v>
      </c>
      <c r="J983" s="27">
        <v>77124.509999999995</v>
      </c>
      <c r="K983" s="27">
        <v>5000000</v>
      </c>
    </row>
    <row r="984" spans="1:11" ht="15" customHeight="1" x14ac:dyDescent="0.2">
      <c r="A984" t="s">
        <v>2548</v>
      </c>
      <c r="B984" t="s">
        <v>2549</v>
      </c>
      <c r="C984">
        <v>2024</v>
      </c>
      <c r="D984" s="18">
        <v>45320</v>
      </c>
      <c r="E984" s="18">
        <v>45685</v>
      </c>
      <c r="F984" s="18" t="s">
        <v>611</v>
      </c>
      <c r="G984" t="s">
        <v>99</v>
      </c>
      <c r="H984">
        <v>1</v>
      </c>
      <c r="I984">
        <v>2</v>
      </c>
      <c r="J984" s="27">
        <v>4151.66</v>
      </c>
      <c r="K984" s="27">
        <v>500000</v>
      </c>
    </row>
    <row r="985" spans="1:11" ht="15" customHeight="1" x14ac:dyDescent="0.2">
      <c r="A985" t="s">
        <v>2550</v>
      </c>
      <c r="B985" t="s">
        <v>2551</v>
      </c>
      <c r="C985">
        <v>2024</v>
      </c>
      <c r="D985" s="18">
        <v>45320</v>
      </c>
      <c r="E985" s="18">
        <v>45685</v>
      </c>
      <c r="F985" s="18" t="s">
        <v>611</v>
      </c>
      <c r="G985" t="s">
        <v>99</v>
      </c>
      <c r="H985">
        <v>1</v>
      </c>
      <c r="I985">
        <v>2</v>
      </c>
      <c r="J985" s="27">
        <v>85134.45</v>
      </c>
      <c r="K985" s="27">
        <v>10000000</v>
      </c>
    </row>
    <row r="986" spans="1:11" ht="15" customHeight="1" x14ac:dyDescent="0.2">
      <c r="A986" t="s">
        <v>2552</v>
      </c>
      <c r="B986" t="s">
        <v>2553</v>
      </c>
      <c r="C986">
        <v>2024</v>
      </c>
      <c r="D986" s="18">
        <v>45320</v>
      </c>
      <c r="E986" s="18">
        <v>45685</v>
      </c>
      <c r="F986" s="18" t="s">
        <v>611</v>
      </c>
      <c r="G986" t="s">
        <v>100</v>
      </c>
      <c r="H986">
        <v>1</v>
      </c>
      <c r="I986">
        <v>2</v>
      </c>
      <c r="J986" s="27">
        <v>26493.57</v>
      </c>
      <c r="K986" s="27">
        <v>2000000</v>
      </c>
    </row>
    <row r="987" spans="1:11" ht="15" customHeight="1" x14ac:dyDescent="0.2">
      <c r="A987" t="s">
        <v>2554</v>
      </c>
      <c r="B987" t="s">
        <v>2555</v>
      </c>
      <c r="C987">
        <v>2024</v>
      </c>
      <c r="D987" s="18">
        <v>45320</v>
      </c>
      <c r="E987" s="18">
        <v>45685</v>
      </c>
      <c r="F987" s="18" t="s">
        <v>611</v>
      </c>
      <c r="G987" t="s">
        <v>99</v>
      </c>
      <c r="H987">
        <v>3</v>
      </c>
      <c r="I987">
        <v>6</v>
      </c>
      <c r="J987" s="27">
        <v>24426.42</v>
      </c>
      <c r="K987" s="27">
        <v>3000000</v>
      </c>
    </row>
    <row r="988" spans="1:11" ht="15" customHeight="1" x14ac:dyDescent="0.2">
      <c r="A988" t="s">
        <v>2556</v>
      </c>
      <c r="B988" t="s">
        <v>2557</v>
      </c>
      <c r="C988">
        <v>2024</v>
      </c>
      <c r="D988" s="18">
        <v>45320</v>
      </c>
      <c r="E988" s="18">
        <v>45685</v>
      </c>
      <c r="F988" s="18" t="s">
        <v>611</v>
      </c>
      <c r="G988" t="s">
        <v>100</v>
      </c>
      <c r="H988">
        <v>1</v>
      </c>
      <c r="I988">
        <v>1</v>
      </c>
      <c r="J988" s="27">
        <v>26011.93</v>
      </c>
      <c r="K988" s="27">
        <v>2000000</v>
      </c>
    </row>
    <row r="989" spans="1:11" ht="15" customHeight="1" x14ac:dyDescent="0.2">
      <c r="A989" t="s">
        <v>2558</v>
      </c>
      <c r="B989" t="s">
        <v>2559</v>
      </c>
      <c r="C989">
        <v>2024</v>
      </c>
      <c r="D989" s="18">
        <v>45320</v>
      </c>
      <c r="E989" s="18">
        <v>45685</v>
      </c>
      <c r="F989" s="18" t="s">
        <v>611</v>
      </c>
      <c r="G989" t="s">
        <v>100</v>
      </c>
      <c r="H989">
        <v>3</v>
      </c>
      <c r="I989">
        <v>3</v>
      </c>
      <c r="J989" s="27">
        <v>22229.52</v>
      </c>
      <c r="K989" s="27">
        <v>2000000</v>
      </c>
    </row>
    <row r="990" spans="1:11" ht="15" customHeight="1" x14ac:dyDescent="0.2">
      <c r="A990" t="s">
        <v>2560</v>
      </c>
      <c r="B990" t="s">
        <v>2561</v>
      </c>
      <c r="C990">
        <v>2024</v>
      </c>
      <c r="D990" s="18">
        <v>45321</v>
      </c>
      <c r="E990" s="18">
        <v>45686</v>
      </c>
      <c r="F990" s="18" t="s">
        <v>608</v>
      </c>
      <c r="G990" t="s">
        <v>100</v>
      </c>
      <c r="H990">
        <v>2</v>
      </c>
      <c r="I990">
        <v>4</v>
      </c>
      <c r="J990" s="27">
        <v>35800.21</v>
      </c>
      <c r="K990" s="27">
        <v>3000000</v>
      </c>
    </row>
    <row r="991" spans="1:11" ht="15" customHeight="1" x14ac:dyDescent="0.2">
      <c r="A991" t="s">
        <v>2562</v>
      </c>
      <c r="B991" t="s">
        <v>2563</v>
      </c>
      <c r="C991">
        <v>2024</v>
      </c>
      <c r="D991" s="18">
        <v>45321</v>
      </c>
      <c r="E991" s="18">
        <v>45686</v>
      </c>
      <c r="F991" s="18" t="s">
        <v>611</v>
      </c>
      <c r="G991" t="s">
        <v>99</v>
      </c>
      <c r="H991">
        <v>1</v>
      </c>
      <c r="I991">
        <v>2</v>
      </c>
      <c r="J991" s="27">
        <v>8052.47</v>
      </c>
      <c r="K991" s="27">
        <v>1000000</v>
      </c>
    </row>
    <row r="992" spans="1:11" ht="15" customHeight="1" x14ac:dyDescent="0.2">
      <c r="A992" t="s">
        <v>2564</v>
      </c>
      <c r="B992" t="s">
        <v>2565</v>
      </c>
      <c r="C992">
        <v>2024</v>
      </c>
      <c r="D992" s="18">
        <v>45321</v>
      </c>
      <c r="E992" s="18">
        <v>45686</v>
      </c>
      <c r="F992" s="18" t="s">
        <v>611</v>
      </c>
      <c r="G992" t="s">
        <v>100</v>
      </c>
      <c r="H992">
        <v>3</v>
      </c>
      <c r="I992">
        <v>3</v>
      </c>
      <c r="J992" s="27">
        <v>56390.83</v>
      </c>
      <c r="K992" s="27">
        <v>5000000</v>
      </c>
    </row>
    <row r="993" spans="1:11" ht="15" customHeight="1" x14ac:dyDescent="0.2">
      <c r="A993" t="s">
        <v>2566</v>
      </c>
      <c r="B993" t="s">
        <v>2567</v>
      </c>
      <c r="C993">
        <v>2024</v>
      </c>
      <c r="D993" s="18">
        <v>45321</v>
      </c>
      <c r="E993" s="18">
        <v>45686</v>
      </c>
      <c r="F993" s="18" t="s">
        <v>611</v>
      </c>
      <c r="G993" t="s">
        <v>100</v>
      </c>
      <c r="H993">
        <v>1</v>
      </c>
      <c r="I993">
        <v>1</v>
      </c>
      <c r="J993" s="27">
        <v>111607.93</v>
      </c>
      <c r="K993" s="27">
        <v>10000000</v>
      </c>
    </row>
    <row r="994" spans="1:11" ht="15" customHeight="1" x14ac:dyDescent="0.2">
      <c r="A994" t="s">
        <v>2568</v>
      </c>
      <c r="B994" t="s">
        <v>2569</v>
      </c>
      <c r="C994">
        <v>2024</v>
      </c>
      <c r="D994" s="18">
        <v>45321</v>
      </c>
      <c r="E994" s="18">
        <v>45686</v>
      </c>
      <c r="F994" s="18" t="s">
        <v>611</v>
      </c>
      <c r="G994" t="s">
        <v>99</v>
      </c>
      <c r="H994">
        <v>3</v>
      </c>
      <c r="I994">
        <v>6</v>
      </c>
      <c r="J994" s="27">
        <v>4514.3900000000003</v>
      </c>
      <c r="K994" s="27">
        <v>500000</v>
      </c>
    </row>
    <row r="995" spans="1:11" ht="15" customHeight="1" x14ac:dyDescent="0.2">
      <c r="A995" t="s">
        <v>2570</v>
      </c>
      <c r="B995" t="s">
        <v>2571</v>
      </c>
      <c r="C995">
        <v>2024</v>
      </c>
      <c r="D995" s="18">
        <v>45321</v>
      </c>
      <c r="E995" s="18">
        <v>45686</v>
      </c>
      <c r="F995" s="18" t="s">
        <v>611</v>
      </c>
      <c r="G995" t="s">
        <v>99</v>
      </c>
      <c r="H995">
        <v>1</v>
      </c>
      <c r="I995">
        <v>1</v>
      </c>
      <c r="J995" s="27">
        <v>3871.41</v>
      </c>
      <c r="K995" s="27">
        <v>500000</v>
      </c>
    </row>
    <row r="996" spans="1:11" ht="15" customHeight="1" x14ac:dyDescent="0.2">
      <c r="A996" t="s">
        <v>2572</v>
      </c>
      <c r="B996" t="s">
        <v>2573</v>
      </c>
      <c r="C996">
        <v>2024</v>
      </c>
      <c r="D996" s="18">
        <v>45322</v>
      </c>
      <c r="E996" s="18">
        <v>45687</v>
      </c>
      <c r="F996" s="18" t="s">
        <v>608</v>
      </c>
      <c r="G996" t="s">
        <v>101</v>
      </c>
      <c r="H996">
        <v>1</v>
      </c>
      <c r="I996">
        <v>1</v>
      </c>
      <c r="J996" s="27">
        <v>14237.75</v>
      </c>
      <c r="K996" s="27">
        <v>1000000</v>
      </c>
    </row>
    <row r="997" spans="1:11" ht="15" customHeight="1" x14ac:dyDescent="0.2">
      <c r="A997" t="s">
        <v>2574</v>
      </c>
      <c r="B997" t="s">
        <v>2575</v>
      </c>
      <c r="C997">
        <v>2024</v>
      </c>
      <c r="D997" s="18">
        <v>45322</v>
      </c>
      <c r="E997" s="18">
        <v>45687</v>
      </c>
      <c r="F997" s="18" t="s">
        <v>608</v>
      </c>
      <c r="G997" t="s">
        <v>102</v>
      </c>
      <c r="H997">
        <v>1</v>
      </c>
      <c r="I997">
        <v>1</v>
      </c>
      <c r="J997" s="27">
        <v>13370.12</v>
      </c>
      <c r="K997" s="27">
        <v>2000000</v>
      </c>
    </row>
    <row r="998" spans="1:11" ht="15" customHeight="1" x14ac:dyDescent="0.2">
      <c r="A998" t="s">
        <v>2576</v>
      </c>
      <c r="B998" t="s">
        <v>2577</v>
      </c>
      <c r="C998">
        <v>2024</v>
      </c>
      <c r="D998" s="18">
        <v>45322</v>
      </c>
      <c r="E998" s="18">
        <v>45687</v>
      </c>
      <c r="F998" s="18" t="s">
        <v>611</v>
      </c>
      <c r="G998" t="s">
        <v>100</v>
      </c>
      <c r="H998">
        <v>1</v>
      </c>
      <c r="I998">
        <v>1</v>
      </c>
      <c r="J998" s="27">
        <v>53008.53</v>
      </c>
      <c r="K998" s="27">
        <v>4000000</v>
      </c>
    </row>
    <row r="999" spans="1:11" ht="15" customHeight="1" x14ac:dyDescent="0.2">
      <c r="A999" t="s">
        <v>2578</v>
      </c>
      <c r="B999" t="s">
        <v>2579</v>
      </c>
      <c r="C999">
        <v>2024</v>
      </c>
      <c r="D999" s="18">
        <v>45322</v>
      </c>
      <c r="E999" s="18">
        <v>45687</v>
      </c>
      <c r="F999" s="18" t="s">
        <v>611</v>
      </c>
      <c r="G999" t="s">
        <v>100</v>
      </c>
      <c r="H999">
        <v>3</v>
      </c>
      <c r="I999">
        <v>3</v>
      </c>
      <c r="J999" s="27">
        <v>17873.71</v>
      </c>
      <c r="K999" s="27">
        <v>1500000</v>
      </c>
    </row>
    <row r="1000" spans="1:11" ht="15" customHeight="1" x14ac:dyDescent="0.2">
      <c r="A1000" t="s">
        <v>2580</v>
      </c>
      <c r="B1000" t="s">
        <v>2581</v>
      </c>
      <c r="C1000">
        <v>2024</v>
      </c>
      <c r="D1000" s="18">
        <v>45322</v>
      </c>
      <c r="E1000" s="18">
        <v>45687</v>
      </c>
      <c r="F1000" s="18" t="s">
        <v>611</v>
      </c>
      <c r="G1000" t="s">
        <v>101</v>
      </c>
      <c r="H1000">
        <v>1</v>
      </c>
      <c r="I1000">
        <v>1</v>
      </c>
      <c r="J1000" s="27">
        <v>38951.480000000003</v>
      </c>
      <c r="K1000" s="27">
        <v>2500000</v>
      </c>
    </row>
    <row r="1001" spans="1:11" ht="15" customHeight="1" x14ac:dyDescent="0.2">
      <c r="A1001" t="s">
        <v>2582</v>
      </c>
      <c r="B1001" t="s">
        <v>2583</v>
      </c>
      <c r="C1001">
        <v>2024</v>
      </c>
      <c r="D1001" s="18">
        <v>45322</v>
      </c>
      <c r="E1001" s="18">
        <v>45687</v>
      </c>
      <c r="F1001" s="18" t="s">
        <v>611</v>
      </c>
      <c r="G1001" t="s">
        <v>100</v>
      </c>
      <c r="H1001">
        <v>2</v>
      </c>
      <c r="I1001">
        <v>4</v>
      </c>
      <c r="J1001" s="27">
        <v>129781.32</v>
      </c>
      <c r="K1001" s="27">
        <v>10000000</v>
      </c>
    </row>
    <row r="1002" spans="1:11" ht="15" customHeight="1" x14ac:dyDescent="0.2">
      <c r="A1002" t="s">
        <v>2584</v>
      </c>
      <c r="B1002" t="s">
        <v>2585</v>
      </c>
      <c r="C1002">
        <v>2024</v>
      </c>
      <c r="D1002" s="18">
        <v>45322</v>
      </c>
      <c r="E1002" s="18">
        <v>45687</v>
      </c>
      <c r="F1002" s="18" t="s">
        <v>611</v>
      </c>
      <c r="G1002" t="s">
        <v>99</v>
      </c>
      <c r="H1002">
        <v>1</v>
      </c>
      <c r="I1002">
        <v>1</v>
      </c>
      <c r="J1002" s="27">
        <v>35534.32</v>
      </c>
      <c r="K1002" s="27">
        <v>4500000</v>
      </c>
    </row>
    <row r="1003" spans="1:11" ht="15" customHeight="1" x14ac:dyDescent="0.2">
      <c r="A1003" t="s">
        <v>2586</v>
      </c>
      <c r="B1003" t="s">
        <v>2587</v>
      </c>
      <c r="C1003">
        <v>2024</v>
      </c>
      <c r="D1003" s="18">
        <v>45322</v>
      </c>
      <c r="E1003" s="18">
        <v>45687</v>
      </c>
      <c r="F1003" s="18" t="s">
        <v>611</v>
      </c>
      <c r="G1003" t="s">
        <v>101</v>
      </c>
      <c r="H1003">
        <v>2</v>
      </c>
      <c r="I1003">
        <v>4</v>
      </c>
      <c r="J1003" s="27">
        <v>144951.92000000001</v>
      </c>
      <c r="K1003" s="27">
        <v>10000000</v>
      </c>
    </row>
    <row r="1004" spans="1:11" ht="15" customHeight="1" x14ac:dyDescent="0.2">
      <c r="A1004" t="s">
        <v>2588</v>
      </c>
      <c r="B1004" t="s">
        <v>2589</v>
      </c>
      <c r="C1004">
        <v>2024</v>
      </c>
      <c r="D1004" s="18">
        <v>45322</v>
      </c>
      <c r="E1004" s="18">
        <v>45687</v>
      </c>
      <c r="F1004" s="18" t="s">
        <v>611</v>
      </c>
      <c r="G1004" t="s">
        <v>99</v>
      </c>
      <c r="H1004">
        <v>1</v>
      </c>
      <c r="I1004">
        <v>1</v>
      </c>
      <c r="J1004" s="27">
        <v>86759.039999999994</v>
      </c>
      <c r="K1004" s="27">
        <v>10000000</v>
      </c>
    </row>
    <row r="1005" spans="1:11" ht="15" customHeight="1" x14ac:dyDescent="0.2">
      <c r="A1005" t="s">
        <v>2590</v>
      </c>
      <c r="B1005" t="s">
        <v>2591</v>
      </c>
      <c r="C1005">
        <v>2024</v>
      </c>
      <c r="D1005" s="18">
        <v>45322</v>
      </c>
      <c r="E1005" s="18">
        <v>45687</v>
      </c>
      <c r="F1005" s="18" t="s">
        <v>611</v>
      </c>
      <c r="G1005" t="s">
        <v>101</v>
      </c>
      <c r="H1005">
        <v>3</v>
      </c>
      <c r="I1005">
        <v>3</v>
      </c>
      <c r="J1005" s="27">
        <v>32244.2</v>
      </c>
      <c r="K1005" s="27">
        <v>2000000</v>
      </c>
    </row>
    <row r="1006" spans="1:11" ht="15" customHeight="1" x14ac:dyDescent="0.2">
      <c r="A1006" t="s">
        <v>2592</v>
      </c>
      <c r="B1006" t="s">
        <v>2593</v>
      </c>
      <c r="C1006">
        <v>2024</v>
      </c>
      <c r="D1006" s="18">
        <v>45322</v>
      </c>
      <c r="E1006" s="18">
        <v>45687</v>
      </c>
      <c r="F1006" s="18" t="s">
        <v>611</v>
      </c>
      <c r="G1006" t="s">
        <v>99</v>
      </c>
      <c r="H1006">
        <v>3</v>
      </c>
      <c r="I1006">
        <v>3</v>
      </c>
      <c r="J1006" s="27">
        <v>8671.31</v>
      </c>
      <c r="K1006" s="27">
        <v>1000000</v>
      </c>
    </row>
    <row r="1007" spans="1:11" ht="15" customHeight="1" x14ac:dyDescent="0.2">
      <c r="A1007" t="s">
        <v>2594</v>
      </c>
      <c r="B1007" t="s">
        <v>2595</v>
      </c>
      <c r="C1007">
        <v>2024</v>
      </c>
      <c r="D1007" s="18">
        <v>45322</v>
      </c>
      <c r="E1007" s="18">
        <v>45687</v>
      </c>
      <c r="F1007" s="18" t="s">
        <v>611</v>
      </c>
      <c r="G1007" t="s">
        <v>100</v>
      </c>
      <c r="H1007">
        <v>2</v>
      </c>
      <c r="I1007">
        <v>2</v>
      </c>
      <c r="J1007" s="27">
        <v>28445.63</v>
      </c>
      <c r="K1007" s="27">
        <v>2500000</v>
      </c>
    </row>
    <row r="1008" spans="1:11" ht="15" customHeight="1" x14ac:dyDescent="0.2">
      <c r="A1008" t="s">
        <v>2596</v>
      </c>
      <c r="B1008" t="s">
        <v>2597</v>
      </c>
      <c r="C1008">
        <v>2024</v>
      </c>
      <c r="D1008" s="18">
        <v>45322</v>
      </c>
      <c r="E1008" s="18">
        <v>45687</v>
      </c>
      <c r="F1008" s="18" t="s">
        <v>611</v>
      </c>
      <c r="G1008" t="s">
        <v>100</v>
      </c>
      <c r="H1008">
        <v>1</v>
      </c>
      <c r="I1008">
        <v>2</v>
      </c>
      <c r="J1008" s="27">
        <v>6340.93</v>
      </c>
      <c r="K1008" s="27">
        <v>500000</v>
      </c>
    </row>
    <row r="1009" spans="1:11" ht="15" customHeight="1" x14ac:dyDescent="0.2">
      <c r="A1009" t="s">
        <v>2598</v>
      </c>
      <c r="B1009" t="s">
        <v>2599</v>
      </c>
      <c r="C1009">
        <v>2024</v>
      </c>
      <c r="D1009" s="18">
        <v>45323</v>
      </c>
      <c r="E1009" s="18">
        <v>45688</v>
      </c>
      <c r="F1009" s="18" t="s">
        <v>608</v>
      </c>
      <c r="G1009" t="s">
        <v>101</v>
      </c>
      <c r="H1009">
        <v>1</v>
      </c>
      <c r="I1009">
        <v>1</v>
      </c>
      <c r="J1009" s="27">
        <v>74001.94</v>
      </c>
      <c r="K1009" s="27">
        <v>5000000</v>
      </c>
    </row>
    <row r="1010" spans="1:11" ht="15" customHeight="1" x14ac:dyDescent="0.2">
      <c r="A1010" t="s">
        <v>2600</v>
      </c>
      <c r="B1010" t="s">
        <v>2601</v>
      </c>
      <c r="C1010">
        <v>2024</v>
      </c>
      <c r="D1010" s="18">
        <v>45323</v>
      </c>
      <c r="E1010" s="18">
        <v>45688</v>
      </c>
      <c r="F1010" s="18" t="s">
        <v>608</v>
      </c>
      <c r="G1010" t="s">
        <v>102</v>
      </c>
      <c r="H1010">
        <v>1</v>
      </c>
      <c r="I1010">
        <v>1</v>
      </c>
      <c r="J1010" s="27">
        <v>9964.18</v>
      </c>
      <c r="K1010" s="27">
        <v>1500000</v>
      </c>
    </row>
    <row r="1011" spans="1:11" ht="15" customHeight="1" x14ac:dyDescent="0.2">
      <c r="A1011" t="s">
        <v>2602</v>
      </c>
      <c r="B1011" t="s">
        <v>2603</v>
      </c>
      <c r="C1011">
        <v>2024</v>
      </c>
      <c r="D1011" s="18">
        <v>45323</v>
      </c>
      <c r="E1011" s="18">
        <v>45688</v>
      </c>
      <c r="F1011" s="18" t="s">
        <v>611</v>
      </c>
      <c r="G1011" t="s">
        <v>100</v>
      </c>
      <c r="H1011">
        <v>3</v>
      </c>
      <c r="I1011">
        <v>6</v>
      </c>
      <c r="J1011" s="27">
        <v>31312.07</v>
      </c>
      <c r="K1011" s="27">
        <v>2500000</v>
      </c>
    </row>
    <row r="1012" spans="1:11" ht="15" customHeight="1" x14ac:dyDescent="0.2">
      <c r="A1012" t="s">
        <v>2604</v>
      </c>
      <c r="B1012" t="s">
        <v>2605</v>
      </c>
      <c r="C1012">
        <v>2024</v>
      </c>
      <c r="D1012" s="18">
        <v>45323</v>
      </c>
      <c r="E1012" s="18">
        <v>45688</v>
      </c>
      <c r="F1012" s="18" t="s">
        <v>611</v>
      </c>
      <c r="G1012" t="s">
        <v>99</v>
      </c>
      <c r="H1012">
        <v>2</v>
      </c>
      <c r="I1012">
        <v>2</v>
      </c>
      <c r="J1012" s="27">
        <v>13290.15</v>
      </c>
      <c r="K1012" s="27">
        <v>1500000</v>
      </c>
    </row>
    <row r="1013" spans="1:11" ht="15" customHeight="1" x14ac:dyDescent="0.2">
      <c r="A1013" t="s">
        <v>2606</v>
      </c>
      <c r="B1013" t="s">
        <v>2607</v>
      </c>
      <c r="C1013">
        <v>2024</v>
      </c>
      <c r="D1013" s="18">
        <v>45323</v>
      </c>
      <c r="E1013" s="18">
        <v>45688</v>
      </c>
      <c r="F1013" s="18" t="s">
        <v>611</v>
      </c>
      <c r="G1013" t="s">
        <v>100</v>
      </c>
      <c r="H1013">
        <v>2</v>
      </c>
      <c r="I1013">
        <v>2</v>
      </c>
      <c r="J1013" s="27">
        <v>18254.95</v>
      </c>
      <c r="K1013" s="27">
        <v>1500000</v>
      </c>
    </row>
    <row r="1014" spans="1:11" ht="15" customHeight="1" x14ac:dyDescent="0.2">
      <c r="A1014" t="s">
        <v>2608</v>
      </c>
      <c r="B1014" t="s">
        <v>2609</v>
      </c>
      <c r="C1014">
        <v>2024</v>
      </c>
      <c r="D1014" s="18">
        <v>45323</v>
      </c>
      <c r="E1014" s="18">
        <v>45688</v>
      </c>
      <c r="F1014" s="18" t="s">
        <v>611</v>
      </c>
      <c r="G1014" t="s">
        <v>99</v>
      </c>
      <c r="H1014">
        <v>3</v>
      </c>
      <c r="I1014">
        <v>3</v>
      </c>
      <c r="J1014" s="27">
        <v>76614.789999999994</v>
      </c>
      <c r="K1014" s="27">
        <v>10000000</v>
      </c>
    </row>
    <row r="1015" spans="1:11" ht="15" customHeight="1" x14ac:dyDescent="0.2">
      <c r="A1015" t="s">
        <v>2610</v>
      </c>
      <c r="B1015" t="s">
        <v>2611</v>
      </c>
      <c r="C1015">
        <v>2024</v>
      </c>
      <c r="D1015" s="18">
        <v>45323</v>
      </c>
      <c r="E1015" s="18">
        <v>45688</v>
      </c>
      <c r="F1015" s="18" t="s">
        <v>611</v>
      </c>
      <c r="G1015" t="s">
        <v>99</v>
      </c>
      <c r="H1015">
        <v>1</v>
      </c>
      <c r="I1015">
        <v>2</v>
      </c>
      <c r="J1015" s="27">
        <v>30336.43</v>
      </c>
      <c r="K1015" s="27">
        <v>3500000</v>
      </c>
    </row>
    <row r="1016" spans="1:11" ht="15" customHeight="1" x14ac:dyDescent="0.2">
      <c r="A1016" t="s">
        <v>2612</v>
      </c>
      <c r="B1016" t="s">
        <v>2613</v>
      </c>
      <c r="C1016">
        <v>2024</v>
      </c>
      <c r="D1016" s="18">
        <v>45324</v>
      </c>
      <c r="E1016" s="18">
        <v>45689</v>
      </c>
      <c r="F1016" s="18" t="s">
        <v>608</v>
      </c>
      <c r="G1016" t="s">
        <v>101</v>
      </c>
      <c r="H1016">
        <v>3</v>
      </c>
      <c r="I1016">
        <v>3</v>
      </c>
      <c r="J1016" s="27">
        <v>146846.75</v>
      </c>
      <c r="K1016" s="27">
        <v>10000000</v>
      </c>
    </row>
    <row r="1017" spans="1:11" ht="15" customHeight="1" x14ac:dyDescent="0.2">
      <c r="A1017" t="s">
        <v>2614</v>
      </c>
      <c r="B1017" t="s">
        <v>2615</v>
      </c>
      <c r="C1017">
        <v>2024</v>
      </c>
      <c r="D1017" s="18">
        <v>45324</v>
      </c>
      <c r="E1017" s="18">
        <v>45689</v>
      </c>
      <c r="F1017" s="18" t="s">
        <v>611</v>
      </c>
      <c r="G1017" t="s">
        <v>99</v>
      </c>
      <c r="H1017">
        <v>1</v>
      </c>
      <c r="I1017">
        <v>2</v>
      </c>
      <c r="J1017" s="27">
        <v>19912.849999999999</v>
      </c>
      <c r="K1017" s="27">
        <v>2500000</v>
      </c>
    </row>
    <row r="1018" spans="1:11" ht="15" customHeight="1" x14ac:dyDescent="0.2">
      <c r="A1018" t="s">
        <v>2616</v>
      </c>
      <c r="B1018" t="s">
        <v>2617</v>
      </c>
      <c r="C1018">
        <v>2024</v>
      </c>
      <c r="D1018" s="18">
        <v>45324</v>
      </c>
      <c r="E1018" s="18">
        <v>45689</v>
      </c>
      <c r="F1018" s="18" t="s">
        <v>611</v>
      </c>
      <c r="G1018" t="s">
        <v>100</v>
      </c>
      <c r="H1018">
        <v>1</v>
      </c>
      <c r="I1018">
        <v>1</v>
      </c>
      <c r="J1018" s="27">
        <v>119390.32</v>
      </c>
      <c r="K1018" s="27">
        <v>10000000</v>
      </c>
    </row>
    <row r="1019" spans="1:11" ht="15" customHeight="1" x14ac:dyDescent="0.2">
      <c r="A1019" t="s">
        <v>2618</v>
      </c>
      <c r="B1019" t="s">
        <v>2619</v>
      </c>
      <c r="C1019">
        <v>2024</v>
      </c>
      <c r="D1019" s="18">
        <v>45324</v>
      </c>
      <c r="E1019" s="18">
        <v>45689</v>
      </c>
      <c r="F1019" s="18" t="s">
        <v>611</v>
      </c>
      <c r="G1019" t="s">
        <v>99</v>
      </c>
      <c r="H1019">
        <v>1</v>
      </c>
      <c r="I1019">
        <v>1</v>
      </c>
      <c r="J1019" s="27">
        <v>80864.69</v>
      </c>
      <c r="K1019" s="27">
        <v>10000000</v>
      </c>
    </row>
    <row r="1020" spans="1:11" ht="15" customHeight="1" x14ac:dyDescent="0.2">
      <c r="A1020" t="s">
        <v>2620</v>
      </c>
      <c r="B1020" t="s">
        <v>2621</v>
      </c>
      <c r="C1020">
        <v>2024</v>
      </c>
      <c r="D1020" s="18">
        <v>45324</v>
      </c>
      <c r="E1020" s="18">
        <v>45689</v>
      </c>
      <c r="F1020" s="18" t="s">
        <v>611</v>
      </c>
      <c r="G1020" t="s">
        <v>101</v>
      </c>
      <c r="H1020">
        <v>2</v>
      </c>
      <c r="I1020">
        <v>4</v>
      </c>
      <c r="J1020" s="27">
        <v>159731.49</v>
      </c>
      <c r="K1020" s="27">
        <v>10000000</v>
      </c>
    </row>
    <row r="1021" spans="1:11" ht="15" customHeight="1" x14ac:dyDescent="0.2">
      <c r="A1021" t="s">
        <v>2622</v>
      </c>
      <c r="B1021" t="s">
        <v>2623</v>
      </c>
      <c r="C1021">
        <v>2024</v>
      </c>
      <c r="D1021" s="18">
        <v>45324</v>
      </c>
      <c r="E1021" s="18">
        <v>45689</v>
      </c>
      <c r="F1021" s="18" t="s">
        <v>611</v>
      </c>
      <c r="G1021" t="s">
        <v>99</v>
      </c>
      <c r="H1021">
        <v>2</v>
      </c>
      <c r="I1021">
        <v>4</v>
      </c>
      <c r="J1021" s="27">
        <v>4261.63</v>
      </c>
      <c r="K1021" s="27">
        <v>500000</v>
      </c>
    </row>
    <row r="1022" spans="1:11" ht="15" customHeight="1" x14ac:dyDescent="0.2">
      <c r="A1022" t="s">
        <v>2624</v>
      </c>
      <c r="B1022" t="s">
        <v>2625</v>
      </c>
      <c r="C1022">
        <v>2024</v>
      </c>
      <c r="D1022" s="18">
        <v>45324</v>
      </c>
      <c r="E1022" s="18">
        <v>45689</v>
      </c>
      <c r="F1022" s="18" t="s">
        <v>611</v>
      </c>
      <c r="G1022" t="s">
        <v>101</v>
      </c>
      <c r="H1022">
        <v>1</v>
      </c>
      <c r="I1022">
        <v>1</v>
      </c>
      <c r="J1022" s="27">
        <v>167480.48000000001</v>
      </c>
      <c r="K1022" s="27">
        <v>10000000</v>
      </c>
    </row>
    <row r="1023" spans="1:11" ht="15" customHeight="1" x14ac:dyDescent="0.2">
      <c r="A1023" t="s">
        <v>2626</v>
      </c>
      <c r="B1023" t="s">
        <v>2627</v>
      </c>
      <c r="C1023">
        <v>2024</v>
      </c>
      <c r="D1023" s="18">
        <v>45324</v>
      </c>
      <c r="E1023" s="18">
        <v>45689</v>
      </c>
      <c r="F1023" s="18" t="s">
        <v>611</v>
      </c>
      <c r="G1023" t="s">
        <v>101</v>
      </c>
      <c r="H1023">
        <v>2</v>
      </c>
      <c r="I1023">
        <v>4</v>
      </c>
      <c r="J1023" s="27">
        <v>15898.18</v>
      </c>
      <c r="K1023" s="27">
        <v>1000000</v>
      </c>
    </row>
    <row r="1024" spans="1:11" ht="15" customHeight="1" x14ac:dyDescent="0.2">
      <c r="A1024" t="s">
        <v>2628</v>
      </c>
      <c r="B1024" t="s">
        <v>2629</v>
      </c>
      <c r="C1024">
        <v>2024</v>
      </c>
      <c r="D1024" s="18">
        <v>45325</v>
      </c>
      <c r="E1024" s="18">
        <v>45690</v>
      </c>
      <c r="F1024" s="18" t="s">
        <v>608</v>
      </c>
      <c r="G1024" t="s">
        <v>102</v>
      </c>
      <c r="H1024">
        <v>3</v>
      </c>
      <c r="I1024">
        <v>6</v>
      </c>
      <c r="J1024" s="27">
        <v>7455.72</v>
      </c>
      <c r="K1024" s="27">
        <v>1000000</v>
      </c>
    </row>
    <row r="1025" spans="1:11" ht="15" customHeight="1" x14ac:dyDescent="0.2">
      <c r="A1025" t="s">
        <v>2630</v>
      </c>
      <c r="B1025" t="s">
        <v>2631</v>
      </c>
      <c r="C1025">
        <v>2024</v>
      </c>
      <c r="D1025" s="18">
        <v>45325</v>
      </c>
      <c r="E1025" s="18">
        <v>45690</v>
      </c>
      <c r="F1025" s="18" t="s">
        <v>608</v>
      </c>
      <c r="G1025" t="s">
        <v>101</v>
      </c>
      <c r="H1025">
        <v>1</v>
      </c>
      <c r="I1025">
        <v>1</v>
      </c>
      <c r="J1025" s="27">
        <v>8345.0400000000009</v>
      </c>
      <c r="K1025" s="27">
        <v>500000</v>
      </c>
    </row>
    <row r="1026" spans="1:11" ht="15" customHeight="1" x14ac:dyDescent="0.2">
      <c r="A1026" t="s">
        <v>2632</v>
      </c>
      <c r="B1026" t="s">
        <v>2633</v>
      </c>
      <c r="C1026">
        <v>2024</v>
      </c>
      <c r="D1026" s="18">
        <v>45325</v>
      </c>
      <c r="E1026" s="18">
        <v>45690</v>
      </c>
      <c r="F1026" s="18" t="s">
        <v>611</v>
      </c>
      <c r="G1026" t="s">
        <v>101</v>
      </c>
      <c r="H1026">
        <v>1</v>
      </c>
      <c r="I1026">
        <v>1</v>
      </c>
      <c r="J1026" s="27">
        <v>84734.17</v>
      </c>
      <c r="K1026" s="27">
        <v>5000000</v>
      </c>
    </row>
    <row r="1027" spans="1:11" ht="15" customHeight="1" x14ac:dyDescent="0.2">
      <c r="A1027" t="s">
        <v>2634</v>
      </c>
      <c r="B1027" t="s">
        <v>2635</v>
      </c>
      <c r="C1027">
        <v>2024</v>
      </c>
      <c r="D1027" s="18">
        <v>45325</v>
      </c>
      <c r="E1027" s="18">
        <v>45690</v>
      </c>
      <c r="F1027" s="18" t="s">
        <v>611</v>
      </c>
      <c r="G1027" t="s">
        <v>100</v>
      </c>
      <c r="H1027">
        <v>2</v>
      </c>
      <c r="I1027">
        <v>2</v>
      </c>
      <c r="J1027" s="27">
        <v>51728.32</v>
      </c>
      <c r="K1027" s="27">
        <v>4000000</v>
      </c>
    </row>
    <row r="1028" spans="1:11" ht="15" customHeight="1" x14ac:dyDescent="0.2">
      <c r="A1028" t="s">
        <v>2636</v>
      </c>
      <c r="B1028" t="s">
        <v>2637</v>
      </c>
      <c r="C1028">
        <v>2024</v>
      </c>
      <c r="D1028" s="18">
        <v>45325</v>
      </c>
      <c r="E1028" s="18">
        <v>45690</v>
      </c>
      <c r="F1028" s="18" t="s">
        <v>611</v>
      </c>
      <c r="G1028" t="s">
        <v>102</v>
      </c>
      <c r="H1028">
        <v>3</v>
      </c>
      <c r="I1028">
        <v>3</v>
      </c>
      <c r="J1028" s="27">
        <v>15465.69</v>
      </c>
      <c r="K1028" s="27">
        <v>2000000</v>
      </c>
    </row>
    <row r="1029" spans="1:11" ht="15" customHeight="1" x14ac:dyDescent="0.2">
      <c r="A1029" t="s">
        <v>2638</v>
      </c>
      <c r="B1029" t="s">
        <v>2639</v>
      </c>
      <c r="C1029">
        <v>2024</v>
      </c>
      <c r="D1029" s="18">
        <v>45325</v>
      </c>
      <c r="E1029" s="18">
        <v>45690</v>
      </c>
      <c r="F1029" s="18" t="s">
        <v>611</v>
      </c>
      <c r="G1029" t="s">
        <v>100</v>
      </c>
      <c r="H1029">
        <v>1</v>
      </c>
      <c r="I1029">
        <v>1</v>
      </c>
      <c r="J1029" s="27">
        <v>24467.59</v>
      </c>
      <c r="K1029" s="27">
        <v>2000000</v>
      </c>
    </row>
    <row r="1030" spans="1:11" ht="15" customHeight="1" x14ac:dyDescent="0.2">
      <c r="A1030" t="s">
        <v>2640</v>
      </c>
      <c r="B1030" t="s">
        <v>2641</v>
      </c>
      <c r="C1030">
        <v>2024</v>
      </c>
      <c r="D1030" s="18">
        <v>45325</v>
      </c>
      <c r="E1030" s="18">
        <v>45690</v>
      </c>
      <c r="F1030" s="18" t="s">
        <v>611</v>
      </c>
      <c r="G1030" t="s">
        <v>99</v>
      </c>
      <c r="H1030">
        <v>1</v>
      </c>
      <c r="I1030">
        <v>2</v>
      </c>
      <c r="J1030" s="27">
        <v>82646.42</v>
      </c>
      <c r="K1030" s="27">
        <v>10000000</v>
      </c>
    </row>
    <row r="1031" spans="1:11" ht="15" customHeight="1" x14ac:dyDescent="0.2">
      <c r="A1031" t="s">
        <v>2642</v>
      </c>
      <c r="B1031" t="s">
        <v>2643</v>
      </c>
      <c r="C1031">
        <v>2024</v>
      </c>
      <c r="D1031" s="18">
        <v>45326</v>
      </c>
      <c r="E1031" s="18">
        <v>45691</v>
      </c>
      <c r="F1031" s="18" t="s">
        <v>608</v>
      </c>
      <c r="G1031" t="s">
        <v>100</v>
      </c>
      <c r="H1031">
        <v>1</v>
      </c>
      <c r="I1031">
        <v>1</v>
      </c>
      <c r="J1031" s="27">
        <v>65737.09</v>
      </c>
      <c r="K1031" s="27">
        <v>5000000</v>
      </c>
    </row>
    <row r="1032" spans="1:11" ht="15" customHeight="1" x14ac:dyDescent="0.2">
      <c r="A1032" t="s">
        <v>2644</v>
      </c>
      <c r="B1032" t="s">
        <v>2645</v>
      </c>
      <c r="C1032">
        <v>2024</v>
      </c>
      <c r="D1032" s="18">
        <v>45326</v>
      </c>
      <c r="E1032" s="18">
        <v>45691</v>
      </c>
      <c r="F1032" s="18" t="s">
        <v>608</v>
      </c>
      <c r="G1032" t="s">
        <v>100</v>
      </c>
      <c r="H1032">
        <v>1</v>
      </c>
      <c r="I1032">
        <v>1</v>
      </c>
      <c r="J1032" s="27">
        <v>25226.68</v>
      </c>
      <c r="K1032" s="27">
        <v>2000000</v>
      </c>
    </row>
    <row r="1033" spans="1:11" ht="15" customHeight="1" x14ac:dyDescent="0.2">
      <c r="A1033" t="s">
        <v>2646</v>
      </c>
      <c r="B1033" t="s">
        <v>2647</v>
      </c>
      <c r="C1033">
        <v>2024</v>
      </c>
      <c r="D1033" s="18">
        <v>45326</v>
      </c>
      <c r="E1033" s="18">
        <v>45691</v>
      </c>
      <c r="F1033" s="18" t="s">
        <v>611</v>
      </c>
      <c r="G1033" t="s">
        <v>101</v>
      </c>
      <c r="H1033">
        <v>2</v>
      </c>
      <c r="I1033">
        <v>2</v>
      </c>
      <c r="J1033" s="27">
        <v>22760.84</v>
      </c>
      <c r="K1033" s="27">
        <v>1500000</v>
      </c>
    </row>
    <row r="1034" spans="1:11" ht="15" customHeight="1" x14ac:dyDescent="0.2">
      <c r="A1034" t="s">
        <v>2648</v>
      </c>
      <c r="B1034" t="s">
        <v>2649</v>
      </c>
      <c r="C1034">
        <v>2024</v>
      </c>
      <c r="D1034" s="18">
        <v>45326</v>
      </c>
      <c r="E1034" s="18">
        <v>45691</v>
      </c>
      <c r="F1034" s="18" t="s">
        <v>611</v>
      </c>
      <c r="G1034" t="s">
        <v>102</v>
      </c>
      <c r="H1034">
        <v>3</v>
      </c>
      <c r="I1034">
        <v>3</v>
      </c>
      <c r="J1034" s="27">
        <v>30926.639999999999</v>
      </c>
      <c r="K1034" s="27">
        <v>4000000</v>
      </c>
    </row>
    <row r="1035" spans="1:11" ht="15" customHeight="1" x14ac:dyDescent="0.2">
      <c r="A1035" t="s">
        <v>2650</v>
      </c>
      <c r="B1035" t="s">
        <v>2651</v>
      </c>
      <c r="C1035">
        <v>2024</v>
      </c>
      <c r="D1035" s="18">
        <v>45326</v>
      </c>
      <c r="E1035" s="18">
        <v>45691</v>
      </c>
      <c r="F1035" s="18" t="s">
        <v>611</v>
      </c>
      <c r="G1035" t="s">
        <v>101</v>
      </c>
      <c r="H1035">
        <v>2</v>
      </c>
      <c r="I1035">
        <v>4</v>
      </c>
      <c r="J1035" s="27">
        <v>72347.47</v>
      </c>
      <c r="K1035" s="27">
        <v>4500000</v>
      </c>
    </row>
    <row r="1036" spans="1:11" ht="15" customHeight="1" x14ac:dyDescent="0.2">
      <c r="A1036" t="s">
        <v>2652</v>
      </c>
      <c r="B1036" t="s">
        <v>2653</v>
      </c>
      <c r="C1036">
        <v>2024</v>
      </c>
      <c r="D1036" s="18">
        <v>45326</v>
      </c>
      <c r="E1036" s="18">
        <v>45691</v>
      </c>
      <c r="F1036" s="18" t="s">
        <v>611</v>
      </c>
      <c r="G1036" t="s">
        <v>100</v>
      </c>
      <c r="H1036">
        <v>2</v>
      </c>
      <c r="I1036">
        <v>2</v>
      </c>
      <c r="J1036" s="27">
        <v>46335.360000000001</v>
      </c>
      <c r="K1036" s="27">
        <v>4000000</v>
      </c>
    </row>
    <row r="1037" spans="1:11" ht="15" customHeight="1" x14ac:dyDescent="0.2">
      <c r="A1037" t="s">
        <v>2654</v>
      </c>
      <c r="B1037" t="s">
        <v>2655</v>
      </c>
      <c r="C1037">
        <v>2024</v>
      </c>
      <c r="D1037" s="18">
        <v>45326</v>
      </c>
      <c r="E1037" s="18">
        <v>45691</v>
      </c>
      <c r="F1037" s="18" t="s">
        <v>611</v>
      </c>
      <c r="G1037" t="s">
        <v>100</v>
      </c>
      <c r="H1037">
        <v>1</v>
      </c>
      <c r="I1037">
        <v>1</v>
      </c>
      <c r="J1037" s="27">
        <v>127846.82</v>
      </c>
      <c r="K1037" s="27">
        <v>10000000</v>
      </c>
    </row>
    <row r="1038" spans="1:11" ht="15" customHeight="1" x14ac:dyDescent="0.2">
      <c r="A1038" t="s">
        <v>2656</v>
      </c>
      <c r="B1038" t="s">
        <v>2657</v>
      </c>
      <c r="C1038">
        <v>2024</v>
      </c>
      <c r="D1038" s="18">
        <v>45326</v>
      </c>
      <c r="E1038" s="18">
        <v>45691</v>
      </c>
      <c r="F1038" s="18" t="s">
        <v>611</v>
      </c>
      <c r="G1038" t="s">
        <v>99</v>
      </c>
      <c r="H1038">
        <v>2</v>
      </c>
      <c r="I1038">
        <v>2</v>
      </c>
      <c r="J1038" s="27">
        <v>42286.32</v>
      </c>
      <c r="K1038" s="27">
        <v>5000000</v>
      </c>
    </row>
    <row r="1039" spans="1:11" ht="15" customHeight="1" x14ac:dyDescent="0.2">
      <c r="A1039" t="s">
        <v>2658</v>
      </c>
      <c r="B1039" t="s">
        <v>2659</v>
      </c>
      <c r="C1039">
        <v>2024</v>
      </c>
      <c r="D1039" s="18">
        <v>45326</v>
      </c>
      <c r="E1039" s="18">
        <v>45691</v>
      </c>
      <c r="F1039" s="18" t="s">
        <v>611</v>
      </c>
      <c r="G1039" t="s">
        <v>99</v>
      </c>
      <c r="H1039">
        <v>3</v>
      </c>
      <c r="I1039">
        <v>6</v>
      </c>
      <c r="J1039" s="27">
        <v>83233.3</v>
      </c>
      <c r="K1039" s="27">
        <v>10000000</v>
      </c>
    </row>
    <row r="1040" spans="1:11" ht="15" customHeight="1" x14ac:dyDescent="0.2">
      <c r="A1040" t="s">
        <v>2660</v>
      </c>
      <c r="B1040" t="s">
        <v>2661</v>
      </c>
      <c r="C1040">
        <v>2024</v>
      </c>
      <c r="D1040" s="18">
        <v>45326</v>
      </c>
      <c r="E1040" s="18">
        <v>45691</v>
      </c>
      <c r="F1040" s="18" t="s">
        <v>611</v>
      </c>
      <c r="G1040" t="s">
        <v>99</v>
      </c>
      <c r="H1040">
        <v>1</v>
      </c>
      <c r="I1040">
        <v>1</v>
      </c>
      <c r="J1040" s="27">
        <v>16062.34</v>
      </c>
      <c r="K1040" s="27">
        <v>2000000</v>
      </c>
    </row>
    <row r="1041" spans="1:11" ht="15" customHeight="1" x14ac:dyDescent="0.2">
      <c r="A1041" t="s">
        <v>2662</v>
      </c>
      <c r="B1041" t="s">
        <v>2663</v>
      </c>
      <c r="C1041">
        <v>2024</v>
      </c>
      <c r="D1041" s="18">
        <v>45327</v>
      </c>
      <c r="E1041" s="18">
        <v>45692</v>
      </c>
      <c r="F1041" s="18" t="s">
        <v>611</v>
      </c>
      <c r="G1041" t="s">
        <v>102</v>
      </c>
      <c r="H1041">
        <v>1</v>
      </c>
      <c r="I1041">
        <v>2</v>
      </c>
      <c r="J1041" s="27">
        <v>29783.9</v>
      </c>
      <c r="K1041" s="27">
        <v>4000000</v>
      </c>
    </row>
    <row r="1042" spans="1:11" ht="15" customHeight="1" x14ac:dyDescent="0.2">
      <c r="A1042" t="s">
        <v>2664</v>
      </c>
      <c r="B1042" t="s">
        <v>2665</v>
      </c>
      <c r="C1042">
        <v>2024</v>
      </c>
      <c r="D1042" s="18">
        <v>45327</v>
      </c>
      <c r="E1042" s="18">
        <v>45692</v>
      </c>
      <c r="F1042" s="18" t="s">
        <v>611</v>
      </c>
      <c r="G1042" t="s">
        <v>100</v>
      </c>
      <c r="H1042">
        <v>3</v>
      </c>
      <c r="I1042">
        <v>6</v>
      </c>
      <c r="J1042" s="27">
        <v>25669.38</v>
      </c>
      <c r="K1042" s="27">
        <v>2000000</v>
      </c>
    </row>
    <row r="1043" spans="1:11" ht="15" customHeight="1" x14ac:dyDescent="0.2">
      <c r="A1043" t="s">
        <v>2666</v>
      </c>
      <c r="B1043" t="s">
        <v>2667</v>
      </c>
      <c r="C1043">
        <v>2024</v>
      </c>
      <c r="D1043" s="18">
        <v>45327</v>
      </c>
      <c r="E1043" s="18">
        <v>45692</v>
      </c>
      <c r="F1043" s="18" t="s">
        <v>611</v>
      </c>
      <c r="G1043" t="s">
        <v>99</v>
      </c>
      <c r="H1043">
        <v>3</v>
      </c>
      <c r="I1043">
        <v>6</v>
      </c>
      <c r="J1043" s="27">
        <v>26955.74</v>
      </c>
      <c r="K1043" s="27">
        <v>3500000</v>
      </c>
    </row>
    <row r="1044" spans="1:11" ht="15" customHeight="1" x14ac:dyDescent="0.2">
      <c r="A1044" t="s">
        <v>2668</v>
      </c>
      <c r="B1044" t="s">
        <v>2669</v>
      </c>
      <c r="C1044">
        <v>2024</v>
      </c>
      <c r="D1044" s="18">
        <v>45327</v>
      </c>
      <c r="E1044" s="18">
        <v>45692</v>
      </c>
      <c r="F1044" s="18" t="s">
        <v>611</v>
      </c>
      <c r="G1044" t="s">
        <v>100</v>
      </c>
      <c r="H1044">
        <v>3</v>
      </c>
      <c r="I1044">
        <v>3</v>
      </c>
      <c r="J1044" s="27">
        <v>19020.37</v>
      </c>
      <c r="K1044" s="27">
        <v>1500000</v>
      </c>
    </row>
    <row r="1045" spans="1:11" ht="15" customHeight="1" x14ac:dyDescent="0.2">
      <c r="A1045" t="s">
        <v>2670</v>
      </c>
      <c r="B1045" t="s">
        <v>2671</v>
      </c>
      <c r="C1045">
        <v>2024</v>
      </c>
      <c r="D1045" s="18">
        <v>45327</v>
      </c>
      <c r="E1045" s="18">
        <v>45692</v>
      </c>
      <c r="F1045" s="18" t="s">
        <v>611</v>
      </c>
      <c r="G1045" t="s">
        <v>100</v>
      </c>
      <c r="H1045">
        <v>2</v>
      </c>
      <c r="I1045">
        <v>4</v>
      </c>
      <c r="J1045" s="27">
        <v>60378.2</v>
      </c>
      <c r="K1045" s="27">
        <v>5000000</v>
      </c>
    </row>
    <row r="1046" spans="1:11" ht="15" customHeight="1" x14ac:dyDescent="0.2">
      <c r="A1046" t="s">
        <v>2672</v>
      </c>
      <c r="B1046" t="s">
        <v>2673</v>
      </c>
      <c r="C1046">
        <v>2024</v>
      </c>
      <c r="D1046" s="18">
        <v>45327</v>
      </c>
      <c r="E1046" s="18">
        <v>45692</v>
      </c>
      <c r="F1046" s="18" t="s">
        <v>611</v>
      </c>
      <c r="G1046" t="s">
        <v>101</v>
      </c>
      <c r="H1046">
        <v>2</v>
      </c>
      <c r="I1046">
        <v>2</v>
      </c>
      <c r="J1046" s="27">
        <v>140127.64000000001</v>
      </c>
      <c r="K1046" s="27">
        <v>10000000</v>
      </c>
    </row>
    <row r="1047" spans="1:11" ht="15" customHeight="1" x14ac:dyDescent="0.2">
      <c r="A1047" t="s">
        <v>2674</v>
      </c>
      <c r="B1047" t="s">
        <v>2675</v>
      </c>
      <c r="C1047">
        <v>2024</v>
      </c>
      <c r="D1047" s="18">
        <v>45327</v>
      </c>
      <c r="E1047" s="18">
        <v>45692</v>
      </c>
      <c r="F1047" s="18" t="s">
        <v>611</v>
      </c>
      <c r="G1047" t="s">
        <v>100</v>
      </c>
      <c r="H1047">
        <v>1</v>
      </c>
      <c r="I1047">
        <v>2</v>
      </c>
      <c r="J1047" s="27">
        <v>22823.9</v>
      </c>
      <c r="K1047" s="27">
        <v>2000000</v>
      </c>
    </row>
    <row r="1048" spans="1:11" ht="15" customHeight="1" x14ac:dyDescent="0.2">
      <c r="A1048" t="s">
        <v>2676</v>
      </c>
      <c r="B1048" t="s">
        <v>2677</v>
      </c>
      <c r="C1048">
        <v>2024</v>
      </c>
      <c r="D1048" s="18">
        <v>45328</v>
      </c>
      <c r="E1048" s="18">
        <v>45693</v>
      </c>
      <c r="F1048" s="18" t="s">
        <v>608</v>
      </c>
      <c r="G1048" t="s">
        <v>99</v>
      </c>
      <c r="H1048">
        <v>1</v>
      </c>
      <c r="I1048">
        <v>2</v>
      </c>
      <c r="J1048" s="27">
        <v>35824.199999999997</v>
      </c>
      <c r="K1048" s="27">
        <v>4000000</v>
      </c>
    </row>
    <row r="1049" spans="1:11" ht="15" customHeight="1" x14ac:dyDescent="0.2">
      <c r="A1049" t="s">
        <v>2678</v>
      </c>
      <c r="B1049" t="s">
        <v>2679</v>
      </c>
      <c r="C1049">
        <v>2024</v>
      </c>
      <c r="D1049" s="18">
        <v>45328</v>
      </c>
      <c r="E1049" s="18">
        <v>45693</v>
      </c>
      <c r="F1049" s="18" t="s">
        <v>608</v>
      </c>
      <c r="G1049" t="s">
        <v>99</v>
      </c>
      <c r="H1049">
        <v>2</v>
      </c>
      <c r="I1049">
        <v>4</v>
      </c>
      <c r="J1049" s="27">
        <v>36302.660000000003</v>
      </c>
      <c r="K1049" s="27">
        <v>4000000</v>
      </c>
    </row>
    <row r="1050" spans="1:11" ht="15" customHeight="1" x14ac:dyDescent="0.2">
      <c r="A1050" t="s">
        <v>2680</v>
      </c>
      <c r="B1050" t="s">
        <v>2681</v>
      </c>
      <c r="C1050">
        <v>2024</v>
      </c>
      <c r="D1050" s="18">
        <v>45328</v>
      </c>
      <c r="E1050" s="18">
        <v>45693</v>
      </c>
      <c r="F1050" s="18" t="s">
        <v>611</v>
      </c>
      <c r="G1050" t="s">
        <v>100</v>
      </c>
      <c r="H1050">
        <v>1</v>
      </c>
      <c r="I1050">
        <v>1</v>
      </c>
      <c r="J1050" s="27">
        <v>23083.05</v>
      </c>
      <c r="K1050" s="27">
        <v>2000000</v>
      </c>
    </row>
    <row r="1051" spans="1:11" ht="15" customHeight="1" x14ac:dyDescent="0.2">
      <c r="A1051" t="s">
        <v>2682</v>
      </c>
      <c r="B1051" t="s">
        <v>2683</v>
      </c>
      <c r="C1051">
        <v>2024</v>
      </c>
      <c r="D1051" s="18">
        <v>45328</v>
      </c>
      <c r="E1051" s="18">
        <v>45693</v>
      </c>
      <c r="F1051" s="18" t="s">
        <v>611</v>
      </c>
      <c r="G1051" t="s">
        <v>99</v>
      </c>
      <c r="H1051">
        <v>1</v>
      </c>
      <c r="I1051">
        <v>2</v>
      </c>
      <c r="J1051" s="27">
        <v>84173.29</v>
      </c>
      <c r="K1051" s="27">
        <v>10000000</v>
      </c>
    </row>
    <row r="1052" spans="1:11" ht="15" customHeight="1" x14ac:dyDescent="0.2">
      <c r="A1052" t="s">
        <v>2684</v>
      </c>
      <c r="B1052" t="s">
        <v>2685</v>
      </c>
      <c r="C1052">
        <v>2024</v>
      </c>
      <c r="D1052" s="18">
        <v>45328</v>
      </c>
      <c r="E1052" s="18">
        <v>45693</v>
      </c>
      <c r="F1052" s="18" t="s">
        <v>611</v>
      </c>
      <c r="G1052" t="s">
        <v>100</v>
      </c>
      <c r="H1052">
        <v>3</v>
      </c>
      <c r="I1052">
        <v>3</v>
      </c>
      <c r="J1052" s="27">
        <v>26974.13</v>
      </c>
      <c r="K1052" s="27">
        <v>2000000</v>
      </c>
    </row>
    <row r="1053" spans="1:11" ht="15" customHeight="1" x14ac:dyDescent="0.2">
      <c r="A1053" t="s">
        <v>2686</v>
      </c>
      <c r="B1053" t="s">
        <v>2687</v>
      </c>
      <c r="C1053">
        <v>2024</v>
      </c>
      <c r="D1053" s="18">
        <v>45328</v>
      </c>
      <c r="E1053" s="18">
        <v>45693</v>
      </c>
      <c r="F1053" s="18" t="s">
        <v>611</v>
      </c>
      <c r="G1053" t="s">
        <v>99</v>
      </c>
      <c r="H1053">
        <v>3</v>
      </c>
      <c r="I1053">
        <v>3</v>
      </c>
      <c r="J1053" s="27">
        <v>32617.98</v>
      </c>
      <c r="K1053" s="27">
        <v>4000000</v>
      </c>
    </row>
    <row r="1054" spans="1:11" ht="15" customHeight="1" x14ac:dyDescent="0.2">
      <c r="A1054" t="s">
        <v>2688</v>
      </c>
      <c r="B1054" t="s">
        <v>2689</v>
      </c>
      <c r="C1054">
        <v>2024</v>
      </c>
      <c r="D1054" s="18">
        <v>45328</v>
      </c>
      <c r="E1054" s="18">
        <v>45693</v>
      </c>
      <c r="F1054" s="18" t="s">
        <v>611</v>
      </c>
      <c r="G1054" t="s">
        <v>100</v>
      </c>
      <c r="H1054">
        <v>2</v>
      </c>
      <c r="I1054">
        <v>4</v>
      </c>
      <c r="J1054" s="27">
        <v>32045.77</v>
      </c>
      <c r="K1054" s="27">
        <v>2500000</v>
      </c>
    </row>
    <row r="1055" spans="1:11" ht="15" customHeight="1" x14ac:dyDescent="0.2">
      <c r="A1055" t="s">
        <v>2690</v>
      </c>
      <c r="B1055" t="s">
        <v>2691</v>
      </c>
      <c r="C1055">
        <v>2024</v>
      </c>
      <c r="D1055" s="18">
        <v>45328</v>
      </c>
      <c r="E1055" s="18">
        <v>45693</v>
      </c>
      <c r="F1055" s="18" t="s">
        <v>611</v>
      </c>
      <c r="G1055" t="s">
        <v>102</v>
      </c>
      <c r="H1055">
        <v>1</v>
      </c>
      <c r="I1055">
        <v>1</v>
      </c>
      <c r="J1055" s="27">
        <v>34634.870000000003</v>
      </c>
      <c r="K1055" s="27">
        <v>5000000</v>
      </c>
    </row>
    <row r="1056" spans="1:11" ht="15" customHeight="1" x14ac:dyDescent="0.2">
      <c r="A1056" t="s">
        <v>2692</v>
      </c>
      <c r="B1056" t="s">
        <v>2693</v>
      </c>
      <c r="C1056">
        <v>2024</v>
      </c>
      <c r="D1056" s="18">
        <v>45328</v>
      </c>
      <c r="E1056" s="18">
        <v>45693</v>
      </c>
      <c r="F1056" s="18" t="s">
        <v>611</v>
      </c>
      <c r="G1056" t="s">
        <v>101</v>
      </c>
      <c r="H1056">
        <v>3</v>
      </c>
      <c r="I1056">
        <v>6</v>
      </c>
      <c r="J1056" s="27">
        <v>32756.27</v>
      </c>
      <c r="K1056" s="27">
        <v>2000000</v>
      </c>
    </row>
    <row r="1057" spans="1:11" ht="15" customHeight="1" x14ac:dyDescent="0.2">
      <c r="A1057" t="s">
        <v>2694</v>
      </c>
      <c r="B1057" t="s">
        <v>2695</v>
      </c>
      <c r="C1057">
        <v>2024</v>
      </c>
      <c r="D1057" s="18">
        <v>45328</v>
      </c>
      <c r="E1057" s="18">
        <v>45693</v>
      </c>
      <c r="F1057" s="18" t="s">
        <v>611</v>
      </c>
      <c r="G1057" t="s">
        <v>99</v>
      </c>
      <c r="H1057">
        <v>1</v>
      </c>
      <c r="I1057">
        <v>2</v>
      </c>
      <c r="J1057" s="27">
        <v>44976.93</v>
      </c>
      <c r="K1057" s="27">
        <v>5000000</v>
      </c>
    </row>
    <row r="1058" spans="1:11" ht="15" customHeight="1" x14ac:dyDescent="0.2">
      <c r="A1058" t="s">
        <v>2696</v>
      </c>
      <c r="B1058" t="s">
        <v>2697</v>
      </c>
      <c r="C1058">
        <v>2024</v>
      </c>
      <c r="D1058" s="18">
        <v>45328</v>
      </c>
      <c r="E1058" s="18">
        <v>45693</v>
      </c>
      <c r="F1058" s="18" t="s">
        <v>611</v>
      </c>
      <c r="G1058" t="s">
        <v>100</v>
      </c>
      <c r="H1058">
        <v>1</v>
      </c>
      <c r="I1058">
        <v>1</v>
      </c>
      <c r="J1058" s="27">
        <v>132706.60999999999</v>
      </c>
      <c r="K1058" s="27">
        <v>10000000</v>
      </c>
    </row>
    <row r="1059" spans="1:11" ht="15" customHeight="1" x14ac:dyDescent="0.2">
      <c r="A1059" t="s">
        <v>2698</v>
      </c>
      <c r="B1059" t="s">
        <v>2699</v>
      </c>
      <c r="C1059">
        <v>2024</v>
      </c>
      <c r="D1059" s="18">
        <v>45328</v>
      </c>
      <c r="E1059" s="18">
        <v>45693</v>
      </c>
      <c r="F1059" s="18" t="s">
        <v>611</v>
      </c>
      <c r="G1059" t="s">
        <v>99</v>
      </c>
      <c r="H1059">
        <v>1</v>
      </c>
      <c r="I1059">
        <v>1</v>
      </c>
      <c r="J1059" s="27">
        <v>15482.21</v>
      </c>
      <c r="K1059" s="27">
        <v>2000000</v>
      </c>
    </row>
    <row r="1060" spans="1:11" ht="15" customHeight="1" x14ac:dyDescent="0.2">
      <c r="A1060" t="s">
        <v>2700</v>
      </c>
      <c r="B1060" t="s">
        <v>2701</v>
      </c>
      <c r="C1060">
        <v>2024</v>
      </c>
      <c r="D1060" s="18">
        <v>45328</v>
      </c>
      <c r="E1060" s="18">
        <v>45693</v>
      </c>
      <c r="F1060" s="18" t="s">
        <v>611</v>
      </c>
      <c r="G1060" t="s">
        <v>100</v>
      </c>
      <c r="H1060">
        <v>2</v>
      </c>
      <c r="I1060">
        <v>2</v>
      </c>
      <c r="J1060" s="27">
        <v>63079.48</v>
      </c>
      <c r="K1060" s="27">
        <v>5000000</v>
      </c>
    </row>
    <row r="1061" spans="1:11" ht="15" customHeight="1" x14ac:dyDescent="0.2">
      <c r="A1061" t="s">
        <v>2702</v>
      </c>
      <c r="B1061" t="s">
        <v>2703</v>
      </c>
      <c r="C1061">
        <v>2024</v>
      </c>
      <c r="D1061" s="18">
        <v>45328</v>
      </c>
      <c r="E1061" s="18">
        <v>45693</v>
      </c>
      <c r="F1061" s="18" t="s">
        <v>611</v>
      </c>
      <c r="G1061" t="s">
        <v>101</v>
      </c>
      <c r="H1061">
        <v>1</v>
      </c>
      <c r="I1061">
        <v>2</v>
      </c>
      <c r="J1061" s="27">
        <v>14509.56</v>
      </c>
      <c r="K1061" s="27">
        <v>1000000</v>
      </c>
    </row>
    <row r="1062" spans="1:11" ht="15" customHeight="1" x14ac:dyDescent="0.2">
      <c r="A1062" t="s">
        <v>2704</v>
      </c>
      <c r="B1062" t="s">
        <v>2705</v>
      </c>
      <c r="C1062">
        <v>2024</v>
      </c>
      <c r="D1062" s="18">
        <v>45328</v>
      </c>
      <c r="E1062" s="18">
        <v>45693</v>
      </c>
      <c r="F1062" s="18" t="s">
        <v>611</v>
      </c>
      <c r="G1062" t="s">
        <v>99</v>
      </c>
      <c r="H1062">
        <v>2</v>
      </c>
      <c r="I1062">
        <v>2</v>
      </c>
      <c r="J1062" s="27">
        <v>75523.87</v>
      </c>
      <c r="K1062" s="27">
        <v>10000000</v>
      </c>
    </row>
    <row r="1063" spans="1:11" ht="15" customHeight="1" x14ac:dyDescent="0.2">
      <c r="A1063" t="s">
        <v>2706</v>
      </c>
      <c r="B1063" t="s">
        <v>2707</v>
      </c>
      <c r="C1063">
        <v>2024</v>
      </c>
      <c r="D1063" s="18">
        <v>45329</v>
      </c>
      <c r="E1063" s="18">
        <v>45694</v>
      </c>
      <c r="F1063" s="18" t="s">
        <v>611</v>
      </c>
      <c r="G1063" t="s">
        <v>102</v>
      </c>
      <c r="H1063">
        <v>1</v>
      </c>
      <c r="I1063">
        <v>1</v>
      </c>
      <c r="J1063" s="27">
        <v>13731.22</v>
      </c>
      <c r="K1063" s="27">
        <v>2000000</v>
      </c>
    </row>
    <row r="1064" spans="1:11" ht="15" customHeight="1" x14ac:dyDescent="0.2">
      <c r="A1064" t="s">
        <v>2708</v>
      </c>
      <c r="B1064" t="s">
        <v>2709</v>
      </c>
      <c r="C1064">
        <v>2024</v>
      </c>
      <c r="D1064" s="18">
        <v>45329</v>
      </c>
      <c r="E1064" s="18">
        <v>45694</v>
      </c>
      <c r="F1064" s="18" t="s">
        <v>611</v>
      </c>
      <c r="G1064" t="s">
        <v>101</v>
      </c>
      <c r="H1064">
        <v>1</v>
      </c>
      <c r="I1064">
        <v>2</v>
      </c>
      <c r="J1064" s="27">
        <v>57556.06</v>
      </c>
      <c r="K1064" s="27">
        <v>3500000</v>
      </c>
    </row>
    <row r="1065" spans="1:11" ht="15" customHeight="1" x14ac:dyDescent="0.2">
      <c r="A1065" t="s">
        <v>2710</v>
      </c>
      <c r="B1065" t="s">
        <v>2711</v>
      </c>
      <c r="C1065">
        <v>2024</v>
      </c>
      <c r="D1065" s="18">
        <v>45329</v>
      </c>
      <c r="E1065" s="18">
        <v>45694</v>
      </c>
      <c r="F1065" s="18" t="s">
        <v>611</v>
      </c>
      <c r="G1065" t="s">
        <v>100</v>
      </c>
      <c r="H1065">
        <v>3</v>
      </c>
      <c r="I1065">
        <v>3</v>
      </c>
      <c r="J1065" s="27">
        <v>25030.97</v>
      </c>
      <c r="K1065" s="27">
        <v>2000000</v>
      </c>
    </row>
    <row r="1066" spans="1:11" ht="15" customHeight="1" x14ac:dyDescent="0.2">
      <c r="A1066" t="s">
        <v>2712</v>
      </c>
      <c r="B1066" t="s">
        <v>2713</v>
      </c>
      <c r="C1066">
        <v>2024</v>
      </c>
      <c r="D1066" s="18">
        <v>45329</v>
      </c>
      <c r="E1066" s="18">
        <v>45694</v>
      </c>
      <c r="F1066" s="18" t="s">
        <v>611</v>
      </c>
      <c r="G1066" t="s">
        <v>100</v>
      </c>
      <c r="H1066">
        <v>3</v>
      </c>
      <c r="I1066">
        <v>6</v>
      </c>
      <c r="J1066" s="27">
        <v>35191.870000000003</v>
      </c>
      <c r="K1066" s="27">
        <v>3000000</v>
      </c>
    </row>
    <row r="1067" spans="1:11" ht="15" customHeight="1" x14ac:dyDescent="0.2">
      <c r="A1067" t="s">
        <v>2714</v>
      </c>
      <c r="B1067" t="s">
        <v>2715</v>
      </c>
      <c r="C1067">
        <v>2024</v>
      </c>
      <c r="D1067" s="18">
        <v>45329</v>
      </c>
      <c r="E1067" s="18">
        <v>45694</v>
      </c>
      <c r="F1067" s="18" t="s">
        <v>611</v>
      </c>
      <c r="G1067" t="s">
        <v>101</v>
      </c>
      <c r="H1067">
        <v>1</v>
      </c>
      <c r="I1067">
        <v>2</v>
      </c>
      <c r="J1067" s="27">
        <v>140134.85</v>
      </c>
      <c r="K1067" s="27">
        <v>10000000</v>
      </c>
    </row>
    <row r="1068" spans="1:11" ht="15" customHeight="1" x14ac:dyDescent="0.2">
      <c r="A1068" t="s">
        <v>2716</v>
      </c>
      <c r="B1068" t="s">
        <v>2717</v>
      </c>
      <c r="C1068">
        <v>2024</v>
      </c>
      <c r="D1068" s="18">
        <v>45329</v>
      </c>
      <c r="E1068" s="18">
        <v>45694</v>
      </c>
      <c r="F1068" s="18" t="s">
        <v>611</v>
      </c>
      <c r="G1068" t="s">
        <v>99</v>
      </c>
      <c r="H1068">
        <v>1</v>
      </c>
      <c r="I1068">
        <v>1</v>
      </c>
      <c r="J1068" s="27">
        <v>84067.08</v>
      </c>
      <c r="K1068" s="27">
        <v>10000000</v>
      </c>
    </row>
    <row r="1069" spans="1:11" ht="15" customHeight="1" x14ac:dyDescent="0.2">
      <c r="A1069" t="s">
        <v>2718</v>
      </c>
      <c r="B1069" t="s">
        <v>2719</v>
      </c>
      <c r="C1069">
        <v>2024</v>
      </c>
      <c r="D1069" s="18">
        <v>45329</v>
      </c>
      <c r="E1069" s="18">
        <v>45694</v>
      </c>
      <c r="F1069" s="18" t="s">
        <v>611</v>
      </c>
      <c r="G1069" t="s">
        <v>99</v>
      </c>
      <c r="H1069">
        <v>1</v>
      </c>
      <c r="I1069">
        <v>1</v>
      </c>
      <c r="J1069" s="27">
        <v>45786.48</v>
      </c>
      <c r="K1069" s="27">
        <v>5000000</v>
      </c>
    </row>
    <row r="1070" spans="1:11" ht="15" customHeight="1" x14ac:dyDescent="0.2">
      <c r="A1070" t="s">
        <v>2720</v>
      </c>
      <c r="B1070" t="s">
        <v>2721</v>
      </c>
      <c r="C1070">
        <v>2024</v>
      </c>
      <c r="D1070" s="18">
        <v>45329</v>
      </c>
      <c r="E1070" s="18">
        <v>45694</v>
      </c>
      <c r="F1070" s="18" t="s">
        <v>611</v>
      </c>
      <c r="G1070" t="s">
        <v>99</v>
      </c>
      <c r="H1070">
        <v>2</v>
      </c>
      <c r="I1070">
        <v>4</v>
      </c>
      <c r="J1070" s="27">
        <v>39478.53</v>
      </c>
      <c r="K1070" s="27">
        <v>4500000</v>
      </c>
    </row>
    <row r="1071" spans="1:11" ht="15" customHeight="1" x14ac:dyDescent="0.2">
      <c r="A1071" t="s">
        <v>2722</v>
      </c>
      <c r="B1071" t="s">
        <v>2723</v>
      </c>
      <c r="C1071">
        <v>2024</v>
      </c>
      <c r="D1071" s="18">
        <v>45330</v>
      </c>
      <c r="E1071" s="18">
        <v>45695</v>
      </c>
      <c r="F1071" s="18" t="s">
        <v>608</v>
      </c>
      <c r="G1071" t="s">
        <v>101</v>
      </c>
      <c r="H1071">
        <v>3</v>
      </c>
      <c r="I1071">
        <v>3</v>
      </c>
      <c r="J1071" s="27">
        <v>29987.42</v>
      </c>
      <c r="K1071" s="27">
        <v>2000000</v>
      </c>
    </row>
    <row r="1072" spans="1:11" ht="15" customHeight="1" x14ac:dyDescent="0.2">
      <c r="A1072" t="s">
        <v>2724</v>
      </c>
      <c r="B1072" t="s">
        <v>2725</v>
      </c>
      <c r="C1072">
        <v>2024</v>
      </c>
      <c r="D1072" s="18">
        <v>45330</v>
      </c>
      <c r="E1072" s="18">
        <v>45695</v>
      </c>
      <c r="F1072" s="18" t="s">
        <v>611</v>
      </c>
      <c r="G1072" t="s">
        <v>101</v>
      </c>
      <c r="H1072">
        <v>1</v>
      </c>
      <c r="I1072">
        <v>1</v>
      </c>
      <c r="J1072" s="27">
        <v>152401.89000000001</v>
      </c>
      <c r="K1072" s="27">
        <v>10000000</v>
      </c>
    </row>
    <row r="1073" spans="1:11" ht="15" customHeight="1" x14ac:dyDescent="0.2">
      <c r="A1073" t="s">
        <v>2726</v>
      </c>
      <c r="B1073" t="s">
        <v>2727</v>
      </c>
      <c r="C1073">
        <v>2024</v>
      </c>
      <c r="D1073" s="18">
        <v>45330</v>
      </c>
      <c r="E1073" s="18">
        <v>45695</v>
      </c>
      <c r="F1073" s="18" t="s">
        <v>611</v>
      </c>
      <c r="G1073" t="s">
        <v>99</v>
      </c>
      <c r="H1073">
        <v>3</v>
      </c>
      <c r="I1073">
        <v>3</v>
      </c>
      <c r="J1073" s="27">
        <v>8032.19</v>
      </c>
      <c r="K1073" s="27">
        <v>1000000</v>
      </c>
    </row>
    <row r="1074" spans="1:11" ht="15" customHeight="1" x14ac:dyDescent="0.2">
      <c r="A1074" t="s">
        <v>2728</v>
      </c>
      <c r="B1074" t="s">
        <v>2729</v>
      </c>
      <c r="C1074">
        <v>2024</v>
      </c>
      <c r="D1074" s="18">
        <v>45330</v>
      </c>
      <c r="E1074" s="18">
        <v>45695</v>
      </c>
      <c r="F1074" s="18" t="s">
        <v>611</v>
      </c>
      <c r="G1074" t="s">
        <v>102</v>
      </c>
      <c r="H1074">
        <v>2</v>
      </c>
      <c r="I1074">
        <v>2</v>
      </c>
      <c r="J1074" s="27">
        <v>7004.79</v>
      </c>
      <c r="K1074" s="27">
        <v>1000000</v>
      </c>
    </row>
    <row r="1075" spans="1:11" ht="15" customHeight="1" x14ac:dyDescent="0.2">
      <c r="A1075" t="s">
        <v>2730</v>
      </c>
      <c r="B1075" t="s">
        <v>2731</v>
      </c>
      <c r="C1075">
        <v>2024</v>
      </c>
      <c r="D1075" s="18">
        <v>45330</v>
      </c>
      <c r="E1075" s="18">
        <v>45695</v>
      </c>
      <c r="F1075" s="18" t="s">
        <v>611</v>
      </c>
      <c r="G1075" t="s">
        <v>100</v>
      </c>
      <c r="H1075">
        <v>3</v>
      </c>
      <c r="I1075">
        <v>3</v>
      </c>
      <c r="J1075" s="27">
        <v>22558.53</v>
      </c>
      <c r="K1075" s="27">
        <v>2000000</v>
      </c>
    </row>
    <row r="1076" spans="1:11" ht="15" customHeight="1" x14ac:dyDescent="0.2">
      <c r="A1076" t="s">
        <v>2732</v>
      </c>
      <c r="B1076" t="s">
        <v>2733</v>
      </c>
      <c r="C1076">
        <v>2024</v>
      </c>
      <c r="D1076" s="18">
        <v>45330</v>
      </c>
      <c r="E1076" s="18">
        <v>45695</v>
      </c>
      <c r="F1076" s="18" t="s">
        <v>611</v>
      </c>
      <c r="G1076" t="s">
        <v>99</v>
      </c>
      <c r="H1076">
        <v>2</v>
      </c>
      <c r="I1076">
        <v>4</v>
      </c>
      <c r="J1076" s="27">
        <v>34173.980000000003</v>
      </c>
      <c r="K1076" s="27">
        <v>4000000</v>
      </c>
    </row>
    <row r="1077" spans="1:11" ht="15" customHeight="1" x14ac:dyDescent="0.2">
      <c r="A1077" t="s">
        <v>2734</v>
      </c>
      <c r="B1077" t="s">
        <v>2735</v>
      </c>
      <c r="C1077">
        <v>2024</v>
      </c>
      <c r="D1077" s="18">
        <v>45331</v>
      </c>
      <c r="E1077" s="18">
        <v>45696</v>
      </c>
      <c r="F1077" s="18" t="s">
        <v>608</v>
      </c>
      <c r="G1077" t="s">
        <v>99</v>
      </c>
      <c r="H1077">
        <v>1</v>
      </c>
      <c r="I1077">
        <v>2</v>
      </c>
      <c r="J1077" s="27">
        <v>15930.87</v>
      </c>
      <c r="K1077" s="27">
        <v>2000000</v>
      </c>
    </row>
    <row r="1078" spans="1:11" ht="15" customHeight="1" x14ac:dyDescent="0.2">
      <c r="A1078" t="s">
        <v>2736</v>
      </c>
      <c r="B1078" t="s">
        <v>2737</v>
      </c>
      <c r="C1078">
        <v>2024</v>
      </c>
      <c r="D1078" s="18">
        <v>45331</v>
      </c>
      <c r="E1078" s="18">
        <v>45696</v>
      </c>
      <c r="F1078" s="18" t="s">
        <v>608</v>
      </c>
      <c r="G1078" t="s">
        <v>99</v>
      </c>
      <c r="H1078">
        <v>3</v>
      </c>
      <c r="I1078">
        <v>3</v>
      </c>
      <c r="J1078" s="27">
        <v>4501.8599999999997</v>
      </c>
      <c r="K1078" s="27">
        <v>500000</v>
      </c>
    </row>
    <row r="1079" spans="1:11" ht="15" customHeight="1" x14ac:dyDescent="0.2">
      <c r="A1079" t="s">
        <v>2738</v>
      </c>
      <c r="B1079" t="s">
        <v>2739</v>
      </c>
      <c r="C1079">
        <v>2024</v>
      </c>
      <c r="D1079" s="18">
        <v>45331</v>
      </c>
      <c r="E1079" s="18">
        <v>45696</v>
      </c>
      <c r="F1079" s="18" t="s">
        <v>608</v>
      </c>
      <c r="G1079" t="s">
        <v>102</v>
      </c>
      <c r="H1079">
        <v>2</v>
      </c>
      <c r="I1079">
        <v>2</v>
      </c>
      <c r="J1079" s="27">
        <v>8030.62</v>
      </c>
      <c r="K1079" s="27">
        <v>1000000</v>
      </c>
    </row>
    <row r="1080" spans="1:11" ht="15" customHeight="1" x14ac:dyDescent="0.2">
      <c r="A1080" t="s">
        <v>2740</v>
      </c>
      <c r="B1080" t="s">
        <v>2741</v>
      </c>
      <c r="C1080">
        <v>2024</v>
      </c>
      <c r="D1080" s="18">
        <v>45331</v>
      </c>
      <c r="E1080" s="18">
        <v>45696</v>
      </c>
      <c r="F1080" s="18" t="s">
        <v>611</v>
      </c>
      <c r="G1080" t="s">
        <v>102</v>
      </c>
      <c r="H1080">
        <v>3</v>
      </c>
      <c r="I1080">
        <v>3</v>
      </c>
      <c r="J1080" s="27">
        <v>15124.71</v>
      </c>
      <c r="K1080" s="27">
        <v>2000000</v>
      </c>
    </row>
    <row r="1081" spans="1:11" ht="15" customHeight="1" x14ac:dyDescent="0.2">
      <c r="A1081" t="s">
        <v>2742</v>
      </c>
      <c r="B1081" t="s">
        <v>2743</v>
      </c>
      <c r="C1081">
        <v>2024</v>
      </c>
      <c r="D1081" s="18">
        <v>45331</v>
      </c>
      <c r="E1081" s="18">
        <v>45696</v>
      </c>
      <c r="F1081" s="18" t="s">
        <v>611</v>
      </c>
      <c r="G1081" t="s">
        <v>101</v>
      </c>
      <c r="H1081">
        <v>1</v>
      </c>
      <c r="I1081">
        <v>1</v>
      </c>
      <c r="J1081" s="27">
        <v>67460.460000000006</v>
      </c>
      <c r="K1081" s="27">
        <v>4000000</v>
      </c>
    </row>
    <row r="1082" spans="1:11" ht="15" customHeight="1" x14ac:dyDescent="0.2">
      <c r="A1082" t="s">
        <v>2744</v>
      </c>
      <c r="B1082" t="s">
        <v>2745</v>
      </c>
      <c r="C1082">
        <v>2024</v>
      </c>
      <c r="D1082" s="18">
        <v>45331</v>
      </c>
      <c r="E1082" s="18">
        <v>45696</v>
      </c>
      <c r="F1082" s="18" t="s">
        <v>611</v>
      </c>
      <c r="G1082" t="s">
        <v>99</v>
      </c>
      <c r="H1082">
        <v>1</v>
      </c>
      <c r="I1082">
        <v>2</v>
      </c>
      <c r="J1082" s="27">
        <v>76577.36</v>
      </c>
      <c r="K1082" s="27">
        <v>10000000</v>
      </c>
    </row>
    <row r="1083" spans="1:11" ht="15" customHeight="1" x14ac:dyDescent="0.2">
      <c r="A1083" t="s">
        <v>2746</v>
      </c>
      <c r="B1083" t="s">
        <v>2747</v>
      </c>
      <c r="C1083">
        <v>2024</v>
      </c>
      <c r="D1083" s="18">
        <v>45331</v>
      </c>
      <c r="E1083" s="18">
        <v>45696</v>
      </c>
      <c r="F1083" s="18" t="s">
        <v>611</v>
      </c>
      <c r="G1083" t="s">
        <v>100</v>
      </c>
      <c r="H1083">
        <v>1</v>
      </c>
      <c r="I1083">
        <v>1</v>
      </c>
      <c r="J1083" s="27">
        <v>40710.300000000003</v>
      </c>
      <c r="K1083" s="27">
        <v>3500000</v>
      </c>
    </row>
    <row r="1084" spans="1:11" ht="15" customHeight="1" x14ac:dyDescent="0.2">
      <c r="A1084" t="s">
        <v>2748</v>
      </c>
      <c r="B1084" t="s">
        <v>2749</v>
      </c>
      <c r="C1084">
        <v>2024</v>
      </c>
      <c r="D1084" s="18">
        <v>45331</v>
      </c>
      <c r="E1084" s="18">
        <v>45696</v>
      </c>
      <c r="F1084" s="18" t="s">
        <v>611</v>
      </c>
      <c r="G1084" t="s">
        <v>100</v>
      </c>
      <c r="H1084">
        <v>1</v>
      </c>
      <c r="I1084">
        <v>1</v>
      </c>
      <c r="J1084" s="27">
        <v>54737.760000000002</v>
      </c>
      <c r="K1084" s="27">
        <v>4500000</v>
      </c>
    </row>
    <row r="1085" spans="1:11" ht="15" customHeight="1" x14ac:dyDescent="0.2">
      <c r="A1085" t="s">
        <v>2750</v>
      </c>
      <c r="B1085" t="s">
        <v>2751</v>
      </c>
      <c r="C1085">
        <v>2024</v>
      </c>
      <c r="D1085" s="18">
        <v>45331</v>
      </c>
      <c r="E1085" s="18">
        <v>45696</v>
      </c>
      <c r="F1085" s="18" t="s">
        <v>611</v>
      </c>
      <c r="G1085" t="s">
        <v>100</v>
      </c>
      <c r="H1085">
        <v>2</v>
      </c>
      <c r="I1085">
        <v>2</v>
      </c>
      <c r="J1085" s="27">
        <v>5655.79</v>
      </c>
      <c r="K1085" s="27">
        <v>500000</v>
      </c>
    </row>
    <row r="1086" spans="1:11" ht="15" customHeight="1" x14ac:dyDescent="0.2">
      <c r="A1086" t="s">
        <v>2752</v>
      </c>
      <c r="B1086" t="s">
        <v>2753</v>
      </c>
      <c r="C1086">
        <v>2024</v>
      </c>
      <c r="D1086" s="18">
        <v>45331</v>
      </c>
      <c r="E1086" s="18">
        <v>45696</v>
      </c>
      <c r="F1086" s="18" t="s">
        <v>611</v>
      </c>
      <c r="G1086" t="s">
        <v>102</v>
      </c>
      <c r="H1086">
        <v>3</v>
      </c>
      <c r="I1086">
        <v>6</v>
      </c>
      <c r="J1086" s="27">
        <v>79518.73</v>
      </c>
      <c r="K1086" s="27">
        <v>10000000</v>
      </c>
    </row>
    <row r="1087" spans="1:11" ht="15" customHeight="1" x14ac:dyDescent="0.2">
      <c r="A1087" t="s">
        <v>2754</v>
      </c>
      <c r="B1087" t="s">
        <v>2755</v>
      </c>
      <c r="C1087">
        <v>2024</v>
      </c>
      <c r="D1087" s="18">
        <v>45331</v>
      </c>
      <c r="E1087" s="18">
        <v>45696</v>
      </c>
      <c r="F1087" s="18" t="s">
        <v>611</v>
      </c>
      <c r="G1087" t="s">
        <v>101</v>
      </c>
      <c r="H1087">
        <v>2</v>
      </c>
      <c r="I1087">
        <v>2</v>
      </c>
      <c r="J1087" s="27">
        <v>62849.82</v>
      </c>
      <c r="K1087" s="27">
        <v>4000000</v>
      </c>
    </row>
    <row r="1088" spans="1:11" ht="15" customHeight="1" x14ac:dyDescent="0.2">
      <c r="A1088" t="s">
        <v>2756</v>
      </c>
      <c r="B1088" t="s">
        <v>2757</v>
      </c>
      <c r="C1088">
        <v>2024</v>
      </c>
      <c r="D1088" s="18">
        <v>45331</v>
      </c>
      <c r="E1088" s="18">
        <v>45696</v>
      </c>
      <c r="F1088" s="18" t="s">
        <v>611</v>
      </c>
      <c r="G1088" t="s">
        <v>100</v>
      </c>
      <c r="H1088">
        <v>3</v>
      </c>
      <c r="I1088">
        <v>3</v>
      </c>
      <c r="J1088" s="27">
        <v>6625.01</v>
      </c>
      <c r="K1088" s="27">
        <v>500000</v>
      </c>
    </row>
    <row r="1089" spans="1:11" ht="15" customHeight="1" x14ac:dyDescent="0.2">
      <c r="A1089" t="s">
        <v>2758</v>
      </c>
      <c r="B1089" t="s">
        <v>2759</v>
      </c>
      <c r="C1089">
        <v>2024</v>
      </c>
      <c r="D1089" s="18">
        <v>45331</v>
      </c>
      <c r="E1089" s="18">
        <v>45696</v>
      </c>
      <c r="F1089" s="18" t="s">
        <v>611</v>
      </c>
      <c r="G1089" t="s">
        <v>101</v>
      </c>
      <c r="H1089">
        <v>3</v>
      </c>
      <c r="I1089">
        <v>3</v>
      </c>
      <c r="J1089" s="27">
        <v>66218.42</v>
      </c>
      <c r="K1089" s="27">
        <v>4000000</v>
      </c>
    </row>
    <row r="1090" spans="1:11" ht="15" customHeight="1" x14ac:dyDescent="0.2">
      <c r="A1090" t="s">
        <v>2760</v>
      </c>
      <c r="B1090" t="s">
        <v>2761</v>
      </c>
      <c r="C1090">
        <v>2024</v>
      </c>
      <c r="D1090" s="18">
        <v>45331</v>
      </c>
      <c r="E1090" s="18">
        <v>45696</v>
      </c>
      <c r="F1090" s="18" t="s">
        <v>611</v>
      </c>
      <c r="G1090" t="s">
        <v>102</v>
      </c>
      <c r="H1090">
        <v>2</v>
      </c>
      <c r="I1090">
        <v>2</v>
      </c>
      <c r="J1090" s="27">
        <v>33059.480000000003</v>
      </c>
      <c r="K1090" s="27">
        <v>5000000</v>
      </c>
    </row>
    <row r="1091" spans="1:11" ht="15" customHeight="1" x14ac:dyDescent="0.2">
      <c r="A1091" t="s">
        <v>2762</v>
      </c>
      <c r="B1091" t="s">
        <v>2763</v>
      </c>
      <c r="C1091">
        <v>2024</v>
      </c>
      <c r="D1091" s="18">
        <v>45332</v>
      </c>
      <c r="E1091" s="18">
        <v>45697</v>
      </c>
      <c r="F1091" s="18" t="s">
        <v>608</v>
      </c>
      <c r="G1091" t="s">
        <v>99</v>
      </c>
      <c r="H1091">
        <v>3</v>
      </c>
      <c r="I1091">
        <v>6</v>
      </c>
      <c r="J1091" s="27">
        <v>41167.82</v>
      </c>
      <c r="K1091" s="27">
        <v>5000000</v>
      </c>
    </row>
    <row r="1092" spans="1:11" ht="15" customHeight="1" x14ac:dyDescent="0.2">
      <c r="A1092" t="s">
        <v>2764</v>
      </c>
      <c r="B1092" t="s">
        <v>2765</v>
      </c>
      <c r="C1092">
        <v>2024</v>
      </c>
      <c r="D1092" s="18">
        <v>45332</v>
      </c>
      <c r="E1092" s="18">
        <v>45697</v>
      </c>
      <c r="F1092" s="18" t="s">
        <v>611</v>
      </c>
      <c r="G1092" t="s">
        <v>101</v>
      </c>
      <c r="H1092">
        <v>3</v>
      </c>
      <c r="I1092">
        <v>3</v>
      </c>
      <c r="J1092" s="27">
        <v>28935.75</v>
      </c>
      <c r="K1092" s="27">
        <v>2000000</v>
      </c>
    </row>
    <row r="1093" spans="1:11" ht="15" customHeight="1" x14ac:dyDescent="0.2">
      <c r="A1093" t="s">
        <v>2766</v>
      </c>
      <c r="B1093" t="s">
        <v>2767</v>
      </c>
      <c r="C1093">
        <v>2024</v>
      </c>
      <c r="D1093" s="18">
        <v>45332</v>
      </c>
      <c r="E1093" s="18">
        <v>45697</v>
      </c>
      <c r="F1093" s="18" t="s">
        <v>611</v>
      </c>
      <c r="G1093" t="s">
        <v>101</v>
      </c>
      <c r="H1093">
        <v>2</v>
      </c>
      <c r="I1093">
        <v>4</v>
      </c>
      <c r="J1093" s="27">
        <v>29104.21</v>
      </c>
      <c r="K1093" s="27">
        <v>2000000</v>
      </c>
    </row>
    <row r="1094" spans="1:11" ht="15" customHeight="1" x14ac:dyDescent="0.2">
      <c r="A1094" t="s">
        <v>2768</v>
      </c>
      <c r="B1094" t="s">
        <v>2769</v>
      </c>
      <c r="C1094">
        <v>2024</v>
      </c>
      <c r="D1094" s="18">
        <v>45332</v>
      </c>
      <c r="E1094" s="18">
        <v>45697</v>
      </c>
      <c r="F1094" s="18" t="s">
        <v>611</v>
      </c>
      <c r="G1094" t="s">
        <v>100</v>
      </c>
      <c r="H1094">
        <v>1</v>
      </c>
      <c r="I1094">
        <v>1</v>
      </c>
      <c r="J1094" s="27">
        <v>12372.45</v>
      </c>
      <c r="K1094" s="27">
        <v>1000000</v>
      </c>
    </row>
    <row r="1095" spans="1:11" ht="15" customHeight="1" x14ac:dyDescent="0.2">
      <c r="A1095" t="s">
        <v>2770</v>
      </c>
      <c r="B1095" t="s">
        <v>2771</v>
      </c>
      <c r="C1095">
        <v>2024</v>
      </c>
      <c r="D1095" s="18">
        <v>45332</v>
      </c>
      <c r="E1095" s="18">
        <v>45697</v>
      </c>
      <c r="F1095" s="18" t="s">
        <v>611</v>
      </c>
      <c r="G1095" t="s">
        <v>100</v>
      </c>
      <c r="H1095">
        <v>2</v>
      </c>
      <c r="I1095">
        <v>2</v>
      </c>
      <c r="J1095" s="27">
        <v>26739.15</v>
      </c>
      <c r="K1095" s="27">
        <v>2000000</v>
      </c>
    </row>
    <row r="1096" spans="1:11" ht="15" customHeight="1" x14ac:dyDescent="0.2">
      <c r="A1096" t="s">
        <v>2772</v>
      </c>
      <c r="B1096" t="s">
        <v>2773</v>
      </c>
      <c r="C1096">
        <v>2024</v>
      </c>
      <c r="D1096" s="18">
        <v>45332</v>
      </c>
      <c r="E1096" s="18">
        <v>45697</v>
      </c>
      <c r="F1096" s="18" t="s">
        <v>611</v>
      </c>
      <c r="G1096" t="s">
        <v>102</v>
      </c>
      <c r="H1096">
        <v>1</v>
      </c>
      <c r="I1096">
        <v>1</v>
      </c>
      <c r="J1096" s="27">
        <v>10422.61</v>
      </c>
      <c r="K1096" s="27">
        <v>1500000</v>
      </c>
    </row>
    <row r="1097" spans="1:11" ht="15" customHeight="1" x14ac:dyDescent="0.2">
      <c r="A1097" t="s">
        <v>2774</v>
      </c>
      <c r="B1097" t="s">
        <v>2775</v>
      </c>
      <c r="C1097">
        <v>2024</v>
      </c>
      <c r="D1097" s="18">
        <v>45332</v>
      </c>
      <c r="E1097" s="18">
        <v>45697</v>
      </c>
      <c r="F1097" s="18" t="s">
        <v>611</v>
      </c>
      <c r="G1097" t="s">
        <v>100</v>
      </c>
      <c r="H1097">
        <v>2</v>
      </c>
      <c r="I1097">
        <v>4</v>
      </c>
      <c r="J1097" s="27">
        <v>62909.75</v>
      </c>
      <c r="K1097" s="27">
        <v>5000000</v>
      </c>
    </row>
    <row r="1098" spans="1:11" ht="15" customHeight="1" x14ac:dyDescent="0.2">
      <c r="A1098" t="s">
        <v>2776</v>
      </c>
      <c r="B1098" t="s">
        <v>2777</v>
      </c>
      <c r="C1098">
        <v>2024</v>
      </c>
      <c r="D1098" s="18">
        <v>45332</v>
      </c>
      <c r="E1098" s="18">
        <v>45697</v>
      </c>
      <c r="F1098" s="18" t="s">
        <v>611</v>
      </c>
      <c r="G1098" t="s">
        <v>100</v>
      </c>
      <c r="H1098">
        <v>1</v>
      </c>
      <c r="I1098">
        <v>1</v>
      </c>
      <c r="J1098" s="27">
        <v>129528.66</v>
      </c>
      <c r="K1098" s="27">
        <v>10000000</v>
      </c>
    </row>
    <row r="1099" spans="1:11" ht="15" customHeight="1" x14ac:dyDescent="0.2">
      <c r="A1099" t="s">
        <v>2778</v>
      </c>
      <c r="B1099" t="s">
        <v>2779</v>
      </c>
      <c r="C1099">
        <v>2024</v>
      </c>
      <c r="D1099" s="18">
        <v>45332</v>
      </c>
      <c r="E1099" s="18">
        <v>45697</v>
      </c>
      <c r="F1099" s="18" t="s">
        <v>611</v>
      </c>
      <c r="G1099" t="s">
        <v>99</v>
      </c>
      <c r="H1099">
        <v>2</v>
      </c>
      <c r="I1099">
        <v>2</v>
      </c>
      <c r="J1099" s="27">
        <v>91078.79</v>
      </c>
      <c r="K1099" s="27">
        <v>10000000</v>
      </c>
    </row>
    <row r="1100" spans="1:11" ht="15" customHeight="1" x14ac:dyDescent="0.2">
      <c r="A1100" t="s">
        <v>2780</v>
      </c>
      <c r="B1100" t="s">
        <v>2781</v>
      </c>
      <c r="C1100">
        <v>2024</v>
      </c>
      <c r="D1100" s="18">
        <v>45333</v>
      </c>
      <c r="E1100" s="18">
        <v>45698</v>
      </c>
      <c r="F1100" s="18" t="s">
        <v>611</v>
      </c>
      <c r="G1100" t="s">
        <v>101</v>
      </c>
      <c r="H1100">
        <v>1</v>
      </c>
      <c r="I1100">
        <v>1</v>
      </c>
      <c r="J1100" s="27">
        <v>28769.09</v>
      </c>
      <c r="K1100" s="27">
        <v>2000000</v>
      </c>
    </row>
    <row r="1101" spans="1:11" ht="15" customHeight="1" x14ac:dyDescent="0.2">
      <c r="A1101" t="s">
        <v>2782</v>
      </c>
      <c r="B1101" t="s">
        <v>2783</v>
      </c>
      <c r="C1101">
        <v>2024</v>
      </c>
      <c r="D1101" s="18">
        <v>45333</v>
      </c>
      <c r="E1101" s="18">
        <v>45698</v>
      </c>
      <c r="F1101" s="18" t="s">
        <v>611</v>
      </c>
      <c r="G1101" t="s">
        <v>100</v>
      </c>
      <c r="H1101">
        <v>1</v>
      </c>
      <c r="I1101">
        <v>2</v>
      </c>
      <c r="J1101" s="27">
        <v>122619.69</v>
      </c>
      <c r="K1101" s="27">
        <v>10000000</v>
      </c>
    </row>
    <row r="1102" spans="1:11" ht="15" customHeight="1" x14ac:dyDescent="0.2">
      <c r="A1102" t="s">
        <v>2784</v>
      </c>
      <c r="B1102" t="s">
        <v>2785</v>
      </c>
      <c r="C1102">
        <v>2024</v>
      </c>
      <c r="D1102" s="18">
        <v>45333</v>
      </c>
      <c r="E1102" s="18">
        <v>45698</v>
      </c>
      <c r="F1102" s="18" t="s">
        <v>611</v>
      </c>
      <c r="G1102" t="s">
        <v>99</v>
      </c>
      <c r="H1102">
        <v>3</v>
      </c>
      <c r="I1102">
        <v>6</v>
      </c>
      <c r="J1102" s="27">
        <v>3947.17</v>
      </c>
      <c r="K1102" s="27">
        <v>500000</v>
      </c>
    </row>
    <row r="1103" spans="1:11" ht="15" customHeight="1" x14ac:dyDescent="0.2">
      <c r="A1103" t="s">
        <v>2786</v>
      </c>
      <c r="B1103" t="s">
        <v>2787</v>
      </c>
      <c r="C1103">
        <v>2024</v>
      </c>
      <c r="D1103" s="18">
        <v>45333</v>
      </c>
      <c r="E1103" s="18">
        <v>45698</v>
      </c>
      <c r="F1103" s="18" t="s">
        <v>611</v>
      </c>
      <c r="G1103" t="s">
        <v>102</v>
      </c>
      <c r="H1103">
        <v>1</v>
      </c>
      <c r="I1103">
        <v>2</v>
      </c>
      <c r="J1103" s="27">
        <v>26284.71</v>
      </c>
      <c r="K1103" s="27">
        <v>3500000</v>
      </c>
    </row>
    <row r="1104" spans="1:11" ht="15" customHeight="1" x14ac:dyDescent="0.2">
      <c r="A1104" t="s">
        <v>2788</v>
      </c>
      <c r="B1104" t="s">
        <v>2789</v>
      </c>
      <c r="C1104">
        <v>2024</v>
      </c>
      <c r="D1104" s="18">
        <v>45333</v>
      </c>
      <c r="E1104" s="18">
        <v>45698</v>
      </c>
      <c r="F1104" s="18" t="s">
        <v>611</v>
      </c>
      <c r="G1104" t="s">
        <v>99</v>
      </c>
      <c r="H1104">
        <v>3</v>
      </c>
      <c r="I1104">
        <v>3</v>
      </c>
      <c r="J1104" s="27">
        <v>86597.32</v>
      </c>
      <c r="K1104" s="27">
        <v>10000000</v>
      </c>
    </row>
    <row r="1105" spans="1:11" ht="15" customHeight="1" x14ac:dyDescent="0.2">
      <c r="A1105" t="s">
        <v>2790</v>
      </c>
      <c r="B1105" t="s">
        <v>2791</v>
      </c>
      <c r="C1105">
        <v>2024</v>
      </c>
      <c r="D1105" s="18">
        <v>45333</v>
      </c>
      <c r="E1105" s="18">
        <v>45698</v>
      </c>
      <c r="F1105" s="18" t="s">
        <v>611</v>
      </c>
      <c r="G1105" t="s">
        <v>102</v>
      </c>
      <c r="H1105">
        <v>3</v>
      </c>
      <c r="I1105">
        <v>3</v>
      </c>
      <c r="J1105" s="27">
        <v>37609</v>
      </c>
      <c r="K1105" s="27">
        <v>5000000</v>
      </c>
    </row>
    <row r="1106" spans="1:11" ht="15" customHeight="1" x14ac:dyDescent="0.2">
      <c r="A1106" t="s">
        <v>2792</v>
      </c>
      <c r="B1106" t="s">
        <v>2793</v>
      </c>
      <c r="C1106">
        <v>2024</v>
      </c>
      <c r="D1106" s="18">
        <v>45333</v>
      </c>
      <c r="E1106" s="18">
        <v>45698</v>
      </c>
      <c r="F1106" s="18" t="s">
        <v>611</v>
      </c>
      <c r="G1106" t="s">
        <v>101</v>
      </c>
      <c r="H1106">
        <v>1</v>
      </c>
      <c r="I1106">
        <v>1</v>
      </c>
      <c r="J1106" s="27">
        <v>77743.86</v>
      </c>
      <c r="K1106" s="27">
        <v>5000000</v>
      </c>
    </row>
    <row r="1107" spans="1:11" ht="15" customHeight="1" x14ac:dyDescent="0.2">
      <c r="A1107" t="s">
        <v>2794</v>
      </c>
      <c r="B1107" t="s">
        <v>2795</v>
      </c>
      <c r="C1107">
        <v>2024</v>
      </c>
      <c r="D1107" s="18">
        <v>45334</v>
      </c>
      <c r="E1107" s="18">
        <v>45699</v>
      </c>
      <c r="F1107" s="18" t="s">
        <v>608</v>
      </c>
      <c r="G1107" t="s">
        <v>100</v>
      </c>
      <c r="H1107">
        <v>2</v>
      </c>
      <c r="I1107">
        <v>2</v>
      </c>
      <c r="J1107" s="27">
        <v>32225.58</v>
      </c>
      <c r="K1107" s="27">
        <v>2500000</v>
      </c>
    </row>
    <row r="1108" spans="1:11" ht="15" customHeight="1" x14ac:dyDescent="0.2">
      <c r="A1108" t="s">
        <v>2796</v>
      </c>
      <c r="B1108" t="s">
        <v>2797</v>
      </c>
      <c r="C1108">
        <v>2024</v>
      </c>
      <c r="D1108" s="18">
        <v>45334</v>
      </c>
      <c r="E1108" s="18">
        <v>45699</v>
      </c>
      <c r="F1108" s="18" t="s">
        <v>608</v>
      </c>
      <c r="G1108" t="s">
        <v>101</v>
      </c>
      <c r="H1108">
        <v>3</v>
      </c>
      <c r="I1108">
        <v>3</v>
      </c>
      <c r="J1108" s="27">
        <v>28099.19</v>
      </c>
      <c r="K1108" s="27">
        <v>2000000</v>
      </c>
    </row>
    <row r="1109" spans="1:11" ht="15" customHeight="1" x14ac:dyDescent="0.2">
      <c r="A1109" t="s">
        <v>2798</v>
      </c>
      <c r="B1109" t="s">
        <v>2799</v>
      </c>
      <c r="C1109">
        <v>2024</v>
      </c>
      <c r="D1109" s="18">
        <v>45334</v>
      </c>
      <c r="E1109" s="18">
        <v>45699</v>
      </c>
      <c r="F1109" s="18" t="s">
        <v>611</v>
      </c>
      <c r="G1109" t="s">
        <v>101</v>
      </c>
      <c r="H1109">
        <v>3</v>
      </c>
      <c r="I1109">
        <v>3</v>
      </c>
      <c r="J1109" s="27">
        <v>21223.5</v>
      </c>
      <c r="K1109" s="27">
        <v>1500000</v>
      </c>
    </row>
    <row r="1110" spans="1:11" ht="15" customHeight="1" x14ac:dyDescent="0.2">
      <c r="A1110" t="s">
        <v>2800</v>
      </c>
      <c r="B1110" t="s">
        <v>2801</v>
      </c>
      <c r="C1110">
        <v>2024</v>
      </c>
      <c r="D1110" s="18">
        <v>45334</v>
      </c>
      <c r="E1110" s="18">
        <v>45699</v>
      </c>
      <c r="F1110" s="18" t="s">
        <v>611</v>
      </c>
      <c r="G1110" t="s">
        <v>99</v>
      </c>
      <c r="H1110">
        <v>2</v>
      </c>
      <c r="I1110">
        <v>4</v>
      </c>
      <c r="J1110" s="27">
        <v>44171.29</v>
      </c>
      <c r="K1110" s="27">
        <v>5000000</v>
      </c>
    </row>
    <row r="1111" spans="1:11" ht="15" customHeight="1" x14ac:dyDescent="0.2">
      <c r="A1111" t="s">
        <v>2802</v>
      </c>
      <c r="B1111" t="s">
        <v>2803</v>
      </c>
      <c r="C1111">
        <v>2024</v>
      </c>
      <c r="D1111" s="18">
        <v>45334</v>
      </c>
      <c r="E1111" s="18">
        <v>45699</v>
      </c>
      <c r="F1111" s="18" t="s">
        <v>611</v>
      </c>
      <c r="G1111" t="s">
        <v>99</v>
      </c>
      <c r="H1111">
        <v>1</v>
      </c>
      <c r="I1111">
        <v>1</v>
      </c>
      <c r="J1111" s="27">
        <v>18217.63</v>
      </c>
      <c r="K1111" s="27">
        <v>2000000</v>
      </c>
    </row>
    <row r="1112" spans="1:11" ht="15" customHeight="1" x14ac:dyDescent="0.2">
      <c r="A1112" t="s">
        <v>2804</v>
      </c>
      <c r="B1112" t="s">
        <v>2805</v>
      </c>
      <c r="C1112">
        <v>2024</v>
      </c>
      <c r="D1112" s="18">
        <v>45334</v>
      </c>
      <c r="E1112" s="18">
        <v>45699</v>
      </c>
      <c r="F1112" s="18" t="s">
        <v>611</v>
      </c>
      <c r="G1112" t="s">
        <v>101</v>
      </c>
      <c r="H1112">
        <v>2</v>
      </c>
      <c r="I1112">
        <v>4</v>
      </c>
      <c r="J1112" s="27">
        <v>163025.03</v>
      </c>
      <c r="K1112" s="27">
        <v>10000000</v>
      </c>
    </row>
    <row r="1113" spans="1:11" ht="15" customHeight="1" x14ac:dyDescent="0.2">
      <c r="A1113" t="s">
        <v>2806</v>
      </c>
      <c r="B1113" t="s">
        <v>2807</v>
      </c>
      <c r="C1113">
        <v>2024</v>
      </c>
      <c r="D1113" s="18">
        <v>45335</v>
      </c>
      <c r="E1113" s="18">
        <v>45700</v>
      </c>
      <c r="F1113" s="18" t="s">
        <v>611</v>
      </c>
      <c r="G1113" t="s">
        <v>100</v>
      </c>
      <c r="H1113">
        <v>1</v>
      </c>
      <c r="I1113">
        <v>1</v>
      </c>
      <c r="J1113" s="27">
        <v>19964.54</v>
      </c>
      <c r="K1113" s="27">
        <v>1500000</v>
      </c>
    </row>
    <row r="1114" spans="1:11" ht="15" customHeight="1" x14ac:dyDescent="0.2">
      <c r="A1114" t="s">
        <v>2808</v>
      </c>
      <c r="B1114" t="s">
        <v>2809</v>
      </c>
      <c r="C1114">
        <v>2024</v>
      </c>
      <c r="D1114" s="18">
        <v>45335</v>
      </c>
      <c r="E1114" s="18">
        <v>45700</v>
      </c>
      <c r="F1114" s="18" t="s">
        <v>611</v>
      </c>
      <c r="G1114" t="s">
        <v>102</v>
      </c>
      <c r="H1114">
        <v>1</v>
      </c>
      <c r="I1114">
        <v>1</v>
      </c>
      <c r="J1114" s="27">
        <v>22683.62</v>
      </c>
      <c r="K1114" s="27">
        <v>3000000</v>
      </c>
    </row>
    <row r="1115" spans="1:11" ht="15" customHeight="1" x14ac:dyDescent="0.2">
      <c r="A1115" t="s">
        <v>2810</v>
      </c>
      <c r="B1115" t="s">
        <v>2811</v>
      </c>
      <c r="C1115">
        <v>2024</v>
      </c>
      <c r="D1115" s="18">
        <v>45335</v>
      </c>
      <c r="E1115" s="18">
        <v>45700</v>
      </c>
      <c r="F1115" s="18" t="s">
        <v>611</v>
      </c>
      <c r="G1115" t="s">
        <v>100</v>
      </c>
      <c r="H1115">
        <v>1</v>
      </c>
      <c r="I1115">
        <v>2</v>
      </c>
      <c r="J1115" s="27">
        <v>45812.08</v>
      </c>
      <c r="K1115" s="27">
        <v>4000000</v>
      </c>
    </row>
    <row r="1116" spans="1:11" ht="15" customHeight="1" x14ac:dyDescent="0.2">
      <c r="A1116" t="s">
        <v>2812</v>
      </c>
      <c r="B1116" t="s">
        <v>2813</v>
      </c>
      <c r="C1116">
        <v>2024</v>
      </c>
      <c r="D1116" s="18">
        <v>45335</v>
      </c>
      <c r="E1116" s="18">
        <v>45700</v>
      </c>
      <c r="F1116" s="18" t="s">
        <v>611</v>
      </c>
      <c r="G1116" t="s">
        <v>102</v>
      </c>
      <c r="H1116">
        <v>3</v>
      </c>
      <c r="I1116">
        <v>6</v>
      </c>
      <c r="J1116" s="27">
        <v>72031.75</v>
      </c>
      <c r="K1116" s="27">
        <v>10000000</v>
      </c>
    </row>
    <row r="1117" spans="1:11" ht="15" customHeight="1" x14ac:dyDescent="0.2">
      <c r="A1117" t="s">
        <v>2814</v>
      </c>
      <c r="B1117" t="s">
        <v>2815</v>
      </c>
      <c r="C1117">
        <v>2024</v>
      </c>
      <c r="D1117" s="18">
        <v>45335</v>
      </c>
      <c r="E1117" s="18">
        <v>45700</v>
      </c>
      <c r="F1117" s="18" t="s">
        <v>611</v>
      </c>
      <c r="G1117" t="s">
        <v>102</v>
      </c>
      <c r="H1117">
        <v>1</v>
      </c>
      <c r="I1117">
        <v>1</v>
      </c>
      <c r="J1117" s="27">
        <v>15707.66</v>
      </c>
      <c r="K1117" s="27">
        <v>2000000</v>
      </c>
    </row>
    <row r="1118" spans="1:11" ht="15" customHeight="1" x14ac:dyDescent="0.2">
      <c r="A1118" t="s">
        <v>2816</v>
      </c>
      <c r="B1118" t="s">
        <v>2817</v>
      </c>
      <c r="C1118">
        <v>2024</v>
      </c>
      <c r="D1118" s="18">
        <v>45335</v>
      </c>
      <c r="E1118" s="18">
        <v>45700</v>
      </c>
      <c r="F1118" s="18" t="s">
        <v>611</v>
      </c>
      <c r="G1118" t="s">
        <v>101</v>
      </c>
      <c r="H1118">
        <v>3</v>
      </c>
      <c r="I1118">
        <v>3</v>
      </c>
      <c r="J1118" s="27">
        <v>163501.26</v>
      </c>
      <c r="K1118" s="27">
        <v>10000000</v>
      </c>
    </row>
    <row r="1119" spans="1:11" ht="15" customHeight="1" x14ac:dyDescent="0.2">
      <c r="A1119" t="s">
        <v>2818</v>
      </c>
      <c r="B1119" t="s">
        <v>2819</v>
      </c>
      <c r="C1119">
        <v>2024</v>
      </c>
      <c r="D1119" s="18">
        <v>45336</v>
      </c>
      <c r="E1119" s="18">
        <v>45701</v>
      </c>
      <c r="F1119" s="18" t="s">
        <v>608</v>
      </c>
      <c r="G1119" t="s">
        <v>100</v>
      </c>
      <c r="H1119">
        <v>1</v>
      </c>
      <c r="I1119">
        <v>1</v>
      </c>
      <c r="J1119" s="27">
        <v>66371.08</v>
      </c>
      <c r="K1119" s="27">
        <v>5000000</v>
      </c>
    </row>
    <row r="1120" spans="1:11" ht="15" customHeight="1" x14ac:dyDescent="0.2">
      <c r="A1120" t="s">
        <v>2820</v>
      </c>
      <c r="B1120" t="s">
        <v>2821</v>
      </c>
      <c r="C1120">
        <v>2024</v>
      </c>
      <c r="D1120" s="18">
        <v>45336</v>
      </c>
      <c r="E1120" s="18">
        <v>45701</v>
      </c>
      <c r="F1120" s="18" t="s">
        <v>608</v>
      </c>
      <c r="G1120" t="s">
        <v>100</v>
      </c>
      <c r="H1120">
        <v>2</v>
      </c>
      <c r="I1120">
        <v>2</v>
      </c>
      <c r="J1120" s="27">
        <v>64170.02</v>
      </c>
      <c r="K1120" s="27">
        <v>5000000</v>
      </c>
    </row>
    <row r="1121" spans="1:11" ht="15" customHeight="1" x14ac:dyDescent="0.2">
      <c r="A1121" t="s">
        <v>2822</v>
      </c>
      <c r="B1121" t="s">
        <v>2823</v>
      </c>
      <c r="C1121">
        <v>2024</v>
      </c>
      <c r="D1121" s="18">
        <v>45336</v>
      </c>
      <c r="E1121" s="18">
        <v>45701</v>
      </c>
      <c r="F1121" s="18" t="s">
        <v>611</v>
      </c>
      <c r="G1121" t="s">
        <v>99</v>
      </c>
      <c r="H1121">
        <v>1</v>
      </c>
      <c r="I1121">
        <v>1</v>
      </c>
      <c r="J1121" s="27">
        <v>12750.59</v>
      </c>
      <c r="K1121" s="27">
        <v>1500000</v>
      </c>
    </row>
    <row r="1122" spans="1:11" ht="15" customHeight="1" x14ac:dyDescent="0.2">
      <c r="A1122" t="s">
        <v>2824</v>
      </c>
      <c r="B1122" t="s">
        <v>2825</v>
      </c>
      <c r="C1122">
        <v>2024</v>
      </c>
      <c r="D1122" s="18">
        <v>45336</v>
      </c>
      <c r="E1122" s="18">
        <v>45701</v>
      </c>
      <c r="F1122" s="18" t="s">
        <v>611</v>
      </c>
      <c r="G1122" t="s">
        <v>100</v>
      </c>
      <c r="H1122">
        <v>3</v>
      </c>
      <c r="I1122">
        <v>3</v>
      </c>
      <c r="J1122" s="27">
        <v>16698.48</v>
      </c>
      <c r="K1122" s="27">
        <v>1500000</v>
      </c>
    </row>
    <row r="1123" spans="1:11" ht="15" customHeight="1" x14ac:dyDescent="0.2">
      <c r="A1123" t="s">
        <v>2826</v>
      </c>
      <c r="B1123" t="s">
        <v>2827</v>
      </c>
      <c r="C1123">
        <v>2024</v>
      </c>
      <c r="D1123" s="18">
        <v>45336</v>
      </c>
      <c r="E1123" s="18">
        <v>45701</v>
      </c>
      <c r="F1123" s="18" t="s">
        <v>611</v>
      </c>
      <c r="G1123" t="s">
        <v>99</v>
      </c>
      <c r="H1123">
        <v>1</v>
      </c>
      <c r="I1123">
        <v>2</v>
      </c>
      <c r="J1123" s="27">
        <v>4463.3500000000004</v>
      </c>
      <c r="K1123" s="27">
        <v>500000</v>
      </c>
    </row>
    <row r="1124" spans="1:11" ht="15" customHeight="1" x14ac:dyDescent="0.2">
      <c r="A1124" t="s">
        <v>2828</v>
      </c>
      <c r="B1124" t="s">
        <v>2829</v>
      </c>
      <c r="C1124">
        <v>2024</v>
      </c>
      <c r="D1124" s="18">
        <v>45336</v>
      </c>
      <c r="E1124" s="18">
        <v>45701</v>
      </c>
      <c r="F1124" s="18" t="s">
        <v>611</v>
      </c>
      <c r="G1124" t="s">
        <v>100</v>
      </c>
      <c r="H1124">
        <v>1</v>
      </c>
      <c r="I1124">
        <v>2</v>
      </c>
      <c r="J1124" s="27">
        <v>52997.07</v>
      </c>
      <c r="K1124" s="27">
        <v>4000000</v>
      </c>
    </row>
    <row r="1125" spans="1:11" ht="15" customHeight="1" x14ac:dyDescent="0.2">
      <c r="A1125" t="s">
        <v>2830</v>
      </c>
      <c r="B1125" t="s">
        <v>2831</v>
      </c>
      <c r="C1125">
        <v>2024</v>
      </c>
      <c r="D1125" s="18">
        <v>45336</v>
      </c>
      <c r="E1125" s="18">
        <v>45701</v>
      </c>
      <c r="F1125" s="18" t="s">
        <v>611</v>
      </c>
      <c r="G1125" t="s">
        <v>101</v>
      </c>
      <c r="H1125">
        <v>2</v>
      </c>
      <c r="I1125">
        <v>4</v>
      </c>
      <c r="J1125" s="27">
        <v>156582.82999999999</v>
      </c>
      <c r="K1125" s="27">
        <v>10000000</v>
      </c>
    </row>
    <row r="1126" spans="1:11" ht="15" customHeight="1" x14ac:dyDescent="0.2">
      <c r="A1126" t="s">
        <v>2832</v>
      </c>
      <c r="B1126" t="s">
        <v>2833</v>
      </c>
      <c r="C1126">
        <v>2024</v>
      </c>
      <c r="D1126" s="18">
        <v>45336</v>
      </c>
      <c r="E1126" s="18">
        <v>45701</v>
      </c>
      <c r="F1126" s="18" t="s">
        <v>611</v>
      </c>
      <c r="G1126" t="s">
        <v>99</v>
      </c>
      <c r="H1126">
        <v>2</v>
      </c>
      <c r="I1126">
        <v>4</v>
      </c>
      <c r="J1126" s="27">
        <v>11886.14</v>
      </c>
      <c r="K1126" s="27">
        <v>1500000</v>
      </c>
    </row>
    <row r="1127" spans="1:11" ht="15" customHeight="1" x14ac:dyDescent="0.2">
      <c r="A1127" t="s">
        <v>2834</v>
      </c>
      <c r="B1127" t="s">
        <v>2835</v>
      </c>
      <c r="C1127">
        <v>2024</v>
      </c>
      <c r="D1127" s="18">
        <v>45336</v>
      </c>
      <c r="E1127" s="18">
        <v>45701</v>
      </c>
      <c r="F1127" s="18" t="s">
        <v>611</v>
      </c>
      <c r="G1127" t="s">
        <v>102</v>
      </c>
      <c r="H1127">
        <v>1</v>
      </c>
      <c r="I1127">
        <v>2</v>
      </c>
      <c r="J1127" s="27">
        <v>25030.14</v>
      </c>
      <c r="K1127" s="27">
        <v>3500000</v>
      </c>
    </row>
    <row r="1128" spans="1:11" ht="15" customHeight="1" x14ac:dyDescent="0.2">
      <c r="A1128" t="s">
        <v>2836</v>
      </c>
      <c r="B1128" t="s">
        <v>2837</v>
      </c>
      <c r="C1128">
        <v>2024</v>
      </c>
      <c r="D1128" s="18">
        <v>45337</v>
      </c>
      <c r="E1128" s="18">
        <v>45702</v>
      </c>
      <c r="F1128" s="18" t="s">
        <v>608</v>
      </c>
      <c r="G1128" t="s">
        <v>102</v>
      </c>
      <c r="H1128">
        <v>2</v>
      </c>
      <c r="I1128">
        <v>4</v>
      </c>
      <c r="J1128" s="27">
        <v>15291.94</v>
      </c>
      <c r="K1128" s="27">
        <v>2000000</v>
      </c>
    </row>
    <row r="1129" spans="1:11" ht="15" customHeight="1" x14ac:dyDescent="0.2">
      <c r="A1129" t="s">
        <v>2838</v>
      </c>
      <c r="B1129" t="s">
        <v>2839</v>
      </c>
      <c r="C1129">
        <v>2024</v>
      </c>
      <c r="D1129" s="18">
        <v>45337</v>
      </c>
      <c r="E1129" s="18">
        <v>45702</v>
      </c>
      <c r="F1129" s="18" t="s">
        <v>611</v>
      </c>
      <c r="G1129" t="s">
        <v>101</v>
      </c>
      <c r="H1129">
        <v>2</v>
      </c>
      <c r="I1129">
        <v>2</v>
      </c>
      <c r="J1129" s="27">
        <v>146873.26999999999</v>
      </c>
      <c r="K1129" s="27">
        <v>10000000</v>
      </c>
    </row>
    <row r="1130" spans="1:11" ht="15" customHeight="1" x14ac:dyDescent="0.2">
      <c r="A1130" t="s">
        <v>2840</v>
      </c>
      <c r="B1130" t="s">
        <v>2841</v>
      </c>
      <c r="C1130">
        <v>2024</v>
      </c>
      <c r="D1130" s="18">
        <v>45337</v>
      </c>
      <c r="E1130" s="18">
        <v>45702</v>
      </c>
      <c r="F1130" s="18" t="s">
        <v>611</v>
      </c>
      <c r="G1130" t="s">
        <v>99</v>
      </c>
      <c r="H1130">
        <v>3</v>
      </c>
      <c r="I1130">
        <v>6</v>
      </c>
      <c r="J1130" s="27">
        <v>3961.95</v>
      </c>
      <c r="K1130" s="27">
        <v>500000</v>
      </c>
    </row>
    <row r="1131" spans="1:11" ht="15" customHeight="1" x14ac:dyDescent="0.2">
      <c r="A1131" t="s">
        <v>2842</v>
      </c>
      <c r="B1131" t="s">
        <v>2843</v>
      </c>
      <c r="C1131">
        <v>2024</v>
      </c>
      <c r="D1131" s="18">
        <v>45337</v>
      </c>
      <c r="E1131" s="18">
        <v>45702</v>
      </c>
      <c r="F1131" s="18" t="s">
        <v>611</v>
      </c>
      <c r="G1131" t="s">
        <v>102</v>
      </c>
      <c r="H1131">
        <v>2</v>
      </c>
      <c r="I1131">
        <v>2</v>
      </c>
      <c r="J1131" s="27">
        <v>15804.62</v>
      </c>
      <c r="K1131" s="27">
        <v>2000000</v>
      </c>
    </row>
    <row r="1132" spans="1:11" ht="15" customHeight="1" x14ac:dyDescent="0.2">
      <c r="A1132" t="s">
        <v>2844</v>
      </c>
      <c r="B1132" t="s">
        <v>2845</v>
      </c>
      <c r="C1132">
        <v>2024</v>
      </c>
      <c r="D1132" s="18">
        <v>45337</v>
      </c>
      <c r="E1132" s="18">
        <v>45702</v>
      </c>
      <c r="F1132" s="18" t="s">
        <v>611</v>
      </c>
      <c r="G1132" t="s">
        <v>99</v>
      </c>
      <c r="H1132">
        <v>3</v>
      </c>
      <c r="I1132">
        <v>3</v>
      </c>
      <c r="J1132" s="27">
        <v>43067.199999999997</v>
      </c>
      <c r="K1132" s="27">
        <v>5000000</v>
      </c>
    </row>
    <row r="1133" spans="1:11" ht="15" customHeight="1" x14ac:dyDescent="0.2">
      <c r="A1133" t="s">
        <v>2846</v>
      </c>
      <c r="B1133" t="s">
        <v>2847</v>
      </c>
      <c r="C1133">
        <v>2024</v>
      </c>
      <c r="D1133" s="18">
        <v>45337</v>
      </c>
      <c r="E1133" s="18">
        <v>45702</v>
      </c>
      <c r="F1133" s="18" t="s">
        <v>611</v>
      </c>
      <c r="G1133" t="s">
        <v>99</v>
      </c>
      <c r="H1133">
        <v>2</v>
      </c>
      <c r="I1133">
        <v>4</v>
      </c>
      <c r="J1133" s="27">
        <v>83024.5</v>
      </c>
      <c r="K1133" s="27">
        <v>10000000</v>
      </c>
    </row>
    <row r="1134" spans="1:11" ht="15" customHeight="1" x14ac:dyDescent="0.2">
      <c r="A1134" t="s">
        <v>2848</v>
      </c>
      <c r="B1134" t="s">
        <v>2849</v>
      </c>
      <c r="C1134">
        <v>2024</v>
      </c>
      <c r="D1134" s="18">
        <v>45337</v>
      </c>
      <c r="E1134" s="18">
        <v>45702</v>
      </c>
      <c r="F1134" s="18" t="s">
        <v>611</v>
      </c>
      <c r="G1134" t="s">
        <v>101</v>
      </c>
      <c r="H1134">
        <v>3</v>
      </c>
      <c r="I1134">
        <v>3</v>
      </c>
      <c r="J1134" s="27">
        <v>32493.57</v>
      </c>
      <c r="K1134" s="27">
        <v>2000000</v>
      </c>
    </row>
    <row r="1135" spans="1:11" ht="15" customHeight="1" x14ac:dyDescent="0.2">
      <c r="A1135" t="s">
        <v>2850</v>
      </c>
      <c r="B1135" t="s">
        <v>2851</v>
      </c>
      <c r="C1135">
        <v>2024</v>
      </c>
      <c r="D1135" s="18">
        <v>45337</v>
      </c>
      <c r="E1135" s="18">
        <v>45702</v>
      </c>
      <c r="F1135" s="18" t="s">
        <v>611</v>
      </c>
      <c r="G1135" t="s">
        <v>101</v>
      </c>
      <c r="H1135">
        <v>2</v>
      </c>
      <c r="I1135">
        <v>2</v>
      </c>
      <c r="J1135" s="27">
        <v>55728.36</v>
      </c>
      <c r="K1135" s="27">
        <v>3500000</v>
      </c>
    </row>
    <row r="1136" spans="1:11" ht="15" customHeight="1" x14ac:dyDescent="0.2">
      <c r="A1136" t="s">
        <v>2852</v>
      </c>
      <c r="B1136" t="s">
        <v>2853</v>
      </c>
      <c r="C1136">
        <v>2024</v>
      </c>
      <c r="D1136" s="18">
        <v>45338</v>
      </c>
      <c r="E1136" s="18">
        <v>45703</v>
      </c>
      <c r="F1136" s="18" t="s">
        <v>608</v>
      </c>
      <c r="G1136" t="s">
        <v>101</v>
      </c>
      <c r="H1136">
        <v>1</v>
      </c>
      <c r="I1136">
        <v>1</v>
      </c>
      <c r="J1136" s="27">
        <v>8469.7800000000007</v>
      </c>
      <c r="K1136" s="27">
        <v>500000</v>
      </c>
    </row>
    <row r="1137" spans="1:11" ht="15" customHeight="1" x14ac:dyDescent="0.2">
      <c r="A1137" t="s">
        <v>2854</v>
      </c>
      <c r="B1137" t="s">
        <v>2855</v>
      </c>
      <c r="C1137">
        <v>2024</v>
      </c>
      <c r="D1137" s="18">
        <v>45338</v>
      </c>
      <c r="E1137" s="18">
        <v>45703</v>
      </c>
      <c r="F1137" s="18" t="s">
        <v>608</v>
      </c>
      <c r="G1137" t="s">
        <v>100</v>
      </c>
      <c r="H1137">
        <v>1</v>
      </c>
      <c r="I1137">
        <v>2</v>
      </c>
      <c r="J1137" s="27">
        <v>116304.66</v>
      </c>
      <c r="K1137" s="27">
        <v>10000000</v>
      </c>
    </row>
    <row r="1138" spans="1:11" ht="15" customHeight="1" x14ac:dyDescent="0.2">
      <c r="A1138" t="s">
        <v>2856</v>
      </c>
      <c r="B1138" t="s">
        <v>2857</v>
      </c>
      <c r="C1138">
        <v>2024</v>
      </c>
      <c r="D1138" s="18">
        <v>45338</v>
      </c>
      <c r="E1138" s="18">
        <v>45703</v>
      </c>
      <c r="F1138" s="18" t="s">
        <v>608</v>
      </c>
      <c r="G1138" t="s">
        <v>101</v>
      </c>
      <c r="H1138">
        <v>2</v>
      </c>
      <c r="I1138">
        <v>4</v>
      </c>
      <c r="J1138" s="27">
        <v>28337.06</v>
      </c>
      <c r="K1138" s="27">
        <v>2000000</v>
      </c>
    </row>
    <row r="1139" spans="1:11" ht="15" customHeight="1" x14ac:dyDescent="0.2">
      <c r="A1139" t="s">
        <v>2858</v>
      </c>
      <c r="B1139" t="s">
        <v>2859</v>
      </c>
      <c r="C1139">
        <v>2024</v>
      </c>
      <c r="D1139" s="18">
        <v>45338</v>
      </c>
      <c r="E1139" s="18">
        <v>45703</v>
      </c>
      <c r="F1139" s="18" t="s">
        <v>611</v>
      </c>
      <c r="G1139" t="s">
        <v>101</v>
      </c>
      <c r="H1139">
        <v>2</v>
      </c>
      <c r="I1139">
        <v>4</v>
      </c>
      <c r="J1139" s="27">
        <v>36978.400000000001</v>
      </c>
      <c r="K1139" s="27">
        <v>2500000</v>
      </c>
    </row>
    <row r="1140" spans="1:11" ht="15" customHeight="1" x14ac:dyDescent="0.2">
      <c r="A1140" t="s">
        <v>2860</v>
      </c>
      <c r="B1140" t="s">
        <v>2861</v>
      </c>
      <c r="C1140">
        <v>2024</v>
      </c>
      <c r="D1140" s="18">
        <v>45338</v>
      </c>
      <c r="E1140" s="18">
        <v>45703</v>
      </c>
      <c r="F1140" s="18" t="s">
        <v>611</v>
      </c>
      <c r="G1140" t="s">
        <v>102</v>
      </c>
      <c r="H1140">
        <v>1</v>
      </c>
      <c r="I1140">
        <v>1</v>
      </c>
      <c r="J1140" s="27">
        <v>80202.44</v>
      </c>
      <c r="K1140" s="27">
        <v>10000000</v>
      </c>
    </row>
    <row r="1141" spans="1:11" ht="15" customHeight="1" x14ac:dyDescent="0.2">
      <c r="A1141" t="s">
        <v>2862</v>
      </c>
      <c r="B1141" t="s">
        <v>2863</v>
      </c>
      <c r="C1141">
        <v>2024</v>
      </c>
      <c r="D1141" s="18">
        <v>45338</v>
      </c>
      <c r="E1141" s="18">
        <v>45703</v>
      </c>
      <c r="F1141" s="18" t="s">
        <v>611</v>
      </c>
      <c r="G1141" t="s">
        <v>100</v>
      </c>
      <c r="H1141">
        <v>2</v>
      </c>
      <c r="I1141">
        <v>4</v>
      </c>
      <c r="J1141" s="27">
        <v>59866.28</v>
      </c>
      <c r="K1141" s="27">
        <v>5000000</v>
      </c>
    </row>
    <row r="1142" spans="1:11" ht="15" customHeight="1" x14ac:dyDescent="0.2">
      <c r="A1142" t="s">
        <v>2864</v>
      </c>
      <c r="B1142" t="s">
        <v>2865</v>
      </c>
      <c r="C1142">
        <v>2024</v>
      </c>
      <c r="D1142" s="18">
        <v>45338</v>
      </c>
      <c r="E1142" s="18">
        <v>45703</v>
      </c>
      <c r="F1142" s="18" t="s">
        <v>611</v>
      </c>
      <c r="G1142" t="s">
        <v>100</v>
      </c>
      <c r="H1142">
        <v>3</v>
      </c>
      <c r="I1142">
        <v>6</v>
      </c>
      <c r="J1142" s="27">
        <v>13446.78</v>
      </c>
      <c r="K1142" s="27">
        <v>1000000</v>
      </c>
    </row>
    <row r="1143" spans="1:11" ht="15" customHeight="1" x14ac:dyDescent="0.2">
      <c r="A1143" t="s">
        <v>2866</v>
      </c>
      <c r="B1143" t="s">
        <v>2867</v>
      </c>
      <c r="C1143">
        <v>2024</v>
      </c>
      <c r="D1143" s="18">
        <v>45338</v>
      </c>
      <c r="E1143" s="18">
        <v>45703</v>
      </c>
      <c r="F1143" s="18" t="s">
        <v>611</v>
      </c>
      <c r="G1143" t="s">
        <v>100</v>
      </c>
      <c r="H1143">
        <v>1</v>
      </c>
      <c r="I1143">
        <v>2</v>
      </c>
      <c r="J1143" s="27">
        <v>113974.96</v>
      </c>
      <c r="K1143" s="27">
        <v>10000000</v>
      </c>
    </row>
    <row r="1144" spans="1:11" ht="15" customHeight="1" x14ac:dyDescent="0.2">
      <c r="A1144" t="s">
        <v>2868</v>
      </c>
      <c r="B1144" t="s">
        <v>2869</v>
      </c>
      <c r="C1144">
        <v>2024</v>
      </c>
      <c r="D1144" s="18">
        <v>45338</v>
      </c>
      <c r="E1144" s="18">
        <v>45703</v>
      </c>
      <c r="F1144" s="18" t="s">
        <v>611</v>
      </c>
      <c r="G1144" t="s">
        <v>100</v>
      </c>
      <c r="H1144">
        <v>2</v>
      </c>
      <c r="I1144">
        <v>4</v>
      </c>
      <c r="J1144" s="27">
        <v>60847.95</v>
      </c>
      <c r="K1144" s="27">
        <v>5000000</v>
      </c>
    </row>
    <row r="1145" spans="1:11" ht="15" customHeight="1" x14ac:dyDescent="0.2">
      <c r="A1145" t="s">
        <v>2870</v>
      </c>
      <c r="B1145" t="s">
        <v>2871</v>
      </c>
      <c r="C1145">
        <v>2024</v>
      </c>
      <c r="D1145" s="18">
        <v>45338</v>
      </c>
      <c r="E1145" s="18">
        <v>45703</v>
      </c>
      <c r="F1145" s="18" t="s">
        <v>611</v>
      </c>
      <c r="G1145" t="s">
        <v>100</v>
      </c>
      <c r="H1145">
        <v>1</v>
      </c>
      <c r="I1145">
        <v>1</v>
      </c>
      <c r="J1145" s="27">
        <v>25079.33</v>
      </c>
      <c r="K1145" s="27">
        <v>2000000</v>
      </c>
    </row>
    <row r="1146" spans="1:11" ht="15" customHeight="1" x14ac:dyDescent="0.2">
      <c r="A1146" t="s">
        <v>2872</v>
      </c>
      <c r="B1146" t="s">
        <v>2873</v>
      </c>
      <c r="C1146">
        <v>2024</v>
      </c>
      <c r="D1146" s="18">
        <v>45338</v>
      </c>
      <c r="E1146" s="18">
        <v>45703</v>
      </c>
      <c r="F1146" s="18" t="s">
        <v>611</v>
      </c>
      <c r="G1146" t="s">
        <v>99</v>
      </c>
      <c r="H1146">
        <v>3</v>
      </c>
      <c r="I1146">
        <v>6</v>
      </c>
      <c r="J1146" s="27">
        <v>84052.85</v>
      </c>
      <c r="K1146" s="27">
        <v>10000000</v>
      </c>
    </row>
    <row r="1147" spans="1:11" ht="15" customHeight="1" x14ac:dyDescent="0.2">
      <c r="A1147" t="s">
        <v>2874</v>
      </c>
      <c r="B1147" t="s">
        <v>2875</v>
      </c>
      <c r="C1147">
        <v>2024</v>
      </c>
      <c r="D1147" s="18">
        <v>45338</v>
      </c>
      <c r="E1147" s="18">
        <v>45703</v>
      </c>
      <c r="F1147" s="18" t="s">
        <v>611</v>
      </c>
      <c r="G1147" t="s">
        <v>100</v>
      </c>
      <c r="H1147">
        <v>2</v>
      </c>
      <c r="I1147">
        <v>4</v>
      </c>
      <c r="J1147" s="27">
        <v>11280.33</v>
      </c>
      <c r="K1147" s="27">
        <v>1000000</v>
      </c>
    </row>
    <row r="1148" spans="1:11" ht="15" customHeight="1" x14ac:dyDescent="0.2">
      <c r="A1148" t="s">
        <v>2876</v>
      </c>
      <c r="B1148" t="s">
        <v>2877</v>
      </c>
      <c r="C1148">
        <v>2024</v>
      </c>
      <c r="D1148" s="18">
        <v>45339</v>
      </c>
      <c r="E1148" s="18">
        <v>45704</v>
      </c>
      <c r="F1148" s="18" t="s">
        <v>608</v>
      </c>
      <c r="G1148" t="s">
        <v>99</v>
      </c>
      <c r="H1148">
        <v>2</v>
      </c>
      <c r="I1148">
        <v>4</v>
      </c>
      <c r="J1148" s="27">
        <v>39646.11</v>
      </c>
      <c r="K1148" s="27">
        <v>5000000</v>
      </c>
    </row>
    <row r="1149" spans="1:11" ht="15" customHeight="1" x14ac:dyDescent="0.2">
      <c r="A1149" t="s">
        <v>2878</v>
      </c>
      <c r="B1149" t="s">
        <v>2879</v>
      </c>
      <c r="C1149">
        <v>2024</v>
      </c>
      <c r="D1149" s="18">
        <v>45339</v>
      </c>
      <c r="E1149" s="18">
        <v>45704</v>
      </c>
      <c r="F1149" s="18" t="s">
        <v>611</v>
      </c>
      <c r="G1149" t="s">
        <v>100</v>
      </c>
      <c r="H1149">
        <v>3</v>
      </c>
      <c r="I1149">
        <v>6</v>
      </c>
      <c r="J1149" s="27">
        <v>61705.99</v>
      </c>
      <c r="K1149" s="27">
        <v>5000000</v>
      </c>
    </row>
    <row r="1150" spans="1:11" ht="15" customHeight="1" x14ac:dyDescent="0.2">
      <c r="A1150" t="s">
        <v>2880</v>
      </c>
      <c r="B1150" t="s">
        <v>2881</v>
      </c>
      <c r="C1150">
        <v>2024</v>
      </c>
      <c r="D1150" s="18">
        <v>45339</v>
      </c>
      <c r="E1150" s="18">
        <v>45704</v>
      </c>
      <c r="F1150" s="18" t="s">
        <v>611</v>
      </c>
      <c r="G1150" t="s">
        <v>99</v>
      </c>
      <c r="H1150">
        <v>2</v>
      </c>
      <c r="I1150">
        <v>4</v>
      </c>
      <c r="J1150" s="27">
        <v>85484.35</v>
      </c>
      <c r="K1150" s="27">
        <v>10000000</v>
      </c>
    </row>
    <row r="1151" spans="1:11" ht="15" customHeight="1" x14ac:dyDescent="0.2">
      <c r="A1151" t="s">
        <v>2882</v>
      </c>
      <c r="B1151" t="s">
        <v>2883</v>
      </c>
      <c r="C1151">
        <v>2024</v>
      </c>
      <c r="D1151" s="18">
        <v>45339</v>
      </c>
      <c r="E1151" s="18">
        <v>45704</v>
      </c>
      <c r="F1151" s="18" t="s">
        <v>611</v>
      </c>
      <c r="G1151" t="s">
        <v>99</v>
      </c>
      <c r="H1151">
        <v>2</v>
      </c>
      <c r="I1151">
        <v>2</v>
      </c>
      <c r="J1151" s="27">
        <v>42915.19</v>
      </c>
      <c r="K1151" s="27">
        <v>5000000</v>
      </c>
    </row>
    <row r="1152" spans="1:11" ht="15" customHeight="1" x14ac:dyDescent="0.2">
      <c r="A1152" t="s">
        <v>2884</v>
      </c>
      <c r="B1152" t="s">
        <v>2885</v>
      </c>
      <c r="C1152">
        <v>2024</v>
      </c>
      <c r="D1152" s="18">
        <v>45339</v>
      </c>
      <c r="E1152" s="18">
        <v>45704</v>
      </c>
      <c r="F1152" s="18" t="s">
        <v>611</v>
      </c>
      <c r="G1152" t="s">
        <v>99</v>
      </c>
      <c r="H1152">
        <v>2</v>
      </c>
      <c r="I1152">
        <v>4</v>
      </c>
      <c r="J1152" s="27">
        <v>38506.050000000003</v>
      </c>
      <c r="K1152" s="27">
        <v>5000000</v>
      </c>
    </row>
    <row r="1153" spans="1:11" ht="15" customHeight="1" x14ac:dyDescent="0.2">
      <c r="A1153" t="s">
        <v>2886</v>
      </c>
      <c r="B1153" t="s">
        <v>2887</v>
      </c>
      <c r="C1153">
        <v>2024</v>
      </c>
      <c r="D1153" s="18">
        <v>45339</v>
      </c>
      <c r="E1153" s="18">
        <v>45704</v>
      </c>
      <c r="F1153" s="18" t="s">
        <v>611</v>
      </c>
      <c r="G1153" t="s">
        <v>101</v>
      </c>
      <c r="H1153">
        <v>2</v>
      </c>
      <c r="I1153">
        <v>2</v>
      </c>
      <c r="J1153" s="27">
        <v>145721.82999999999</v>
      </c>
      <c r="K1153" s="27">
        <v>10000000</v>
      </c>
    </row>
    <row r="1154" spans="1:11" ht="15" customHeight="1" x14ac:dyDescent="0.2">
      <c r="A1154" t="s">
        <v>2888</v>
      </c>
      <c r="B1154" t="s">
        <v>2889</v>
      </c>
      <c r="C1154">
        <v>2024</v>
      </c>
      <c r="D1154" s="18">
        <v>45339</v>
      </c>
      <c r="E1154" s="18">
        <v>45704</v>
      </c>
      <c r="F1154" s="18" t="s">
        <v>611</v>
      </c>
      <c r="G1154" t="s">
        <v>101</v>
      </c>
      <c r="H1154">
        <v>3</v>
      </c>
      <c r="I1154">
        <v>3</v>
      </c>
      <c r="J1154" s="27">
        <v>31611.200000000001</v>
      </c>
      <c r="K1154" s="27">
        <v>2000000</v>
      </c>
    </row>
    <row r="1155" spans="1:11" ht="15" customHeight="1" x14ac:dyDescent="0.2">
      <c r="A1155" t="s">
        <v>2890</v>
      </c>
      <c r="B1155" t="s">
        <v>2891</v>
      </c>
      <c r="C1155">
        <v>2024</v>
      </c>
      <c r="D1155" s="18">
        <v>45339</v>
      </c>
      <c r="E1155" s="18">
        <v>45704</v>
      </c>
      <c r="F1155" s="18" t="s">
        <v>611</v>
      </c>
      <c r="G1155" t="s">
        <v>100</v>
      </c>
      <c r="H1155">
        <v>3</v>
      </c>
      <c r="I1155">
        <v>6</v>
      </c>
      <c r="J1155" s="27">
        <v>62517.72</v>
      </c>
      <c r="K1155" s="27">
        <v>5000000</v>
      </c>
    </row>
    <row r="1156" spans="1:11" ht="15" customHeight="1" x14ac:dyDescent="0.2">
      <c r="A1156" t="s">
        <v>2892</v>
      </c>
      <c r="B1156" t="s">
        <v>2893</v>
      </c>
      <c r="C1156">
        <v>2024</v>
      </c>
      <c r="D1156" s="18">
        <v>45339</v>
      </c>
      <c r="E1156" s="18">
        <v>45704</v>
      </c>
      <c r="F1156" s="18" t="s">
        <v>611</v>
      </c>
      <c r="G1156" t="s">
        <v>99</v>
      </c>
      <c r="H1156">
        <v>3</v>
      </c>
      <c r="I1156">
        <v>3</v>
      </c>
      <c r="J1156" s="27">
        <v>12816.48</v>
      </c>
      <c r="K1156" s="27">
        <v>1500000</v>
      </c>
    </row>
    <row r="1157" spans="1:11" ht="15" customHeight="1" x14ac:dyDescent="0.2">
      <c r="A1157" t="s">
        <v>2894</v>
      </c>
      <c r="B1157" t="s">
        <v>2895</v>
      </c>
      <c r="C1157">
        <v>2024</v>
      </c>
      <c r="D1157" s="18">
        <v>45339</v>
      </c>
      <c r="E1157" s="18">
        <v>45704</v>
      </c>
      <c r="F1157" s="18" t="s">
        <v>611</v>
      </c>
      <c r="G1157" t="s">
        <v>101</v>
      </c>
      <c r="H1157">
        <v>1</v>
      </c>
      <c r="I1157">
        <v>1</v>
      </c>
      <c r="J1157" s="27">
        <v>15509.52</v>
      </c>
      <c r="K1157" s="27">
        <v>1000000</v>
      </c>
    </row>
    <row r="1158" spans="1:11" ht="15" customHeight="1" x14ac:dyDescent="0.2">
      <c r="A1158" t="s">
        <v>2896</v>
      </c>
      <c r="B1158" t="s">
        <v>2897</v>
      </c>
      <c r="C1158">
        <v>2024</v>
      </c>
      <c r="D1158" s="18">
        <v>45340</v>
      </c>
      <c r="E1158" s="18">
        <v>45705</v>
      </c>
      <c r="F1158" s="18" t="s">
        <v>608</v>
      </c>
      <c r="G1158" t="s">
        <v>99</v>
      </c>
      <c r="H1158">
        <v>3</v>
      </c>
      <c r="I1158">
        <v>3</v>
      </c>
      <c r="J1158" s="27">
        <v>44380.71</v>
      </c>
      <c r="K1158" s="27">
        <v>5000000</v>
      </c>
    </row>
    <row r="1159" spans="1:11" ht="15" customHeight="1" x14ac:dyDescent="0.2">
      <c r="A1159" t="s">
        <v>2898</v>
      </c>
      <c r="B1159" t="s">
        <v>2899</v>
      </c>
      <c r="C1159">
        <v>2024</v>
      </c>
      <c r="D1159" s="18">
        <v>45340</v>
      </c>
      <c r="E1159" s="18">
        <v>45705</v>
      </c>
      <c r="F1159" s="18" t="s">
        <v>608</v>
      </c>
      <c r="G1159" t="s">
        <v>100</v>
      </c>
      <c r="H1159">
        <v>3</v>
      </c>
      <c r="I1159">
        <v>6</v>
      </c>
      <c r="J1159" s="27">
        <v>13234.4</v>
      </c>
      <c r="K1159" s="27">
        <v>1000000</v>
      </c>
    </row>
    <row r="1160" spans="1:11" ht="15" customHeight="1" x14ac:dyDescent="0.2">
      <c r="A1160" t="s">
        <v>2900</v>
      </c>
      <c r="B1160" t="s">
        <v>2901</v>
      </c>
      <c r="C1160">
        <v>2024</v>
      </c>
      <c r="D1160" s="18">
        <v>45340</v>
      </c>
      <c r="E1160" s="18">
        <v>45705</v>
      </c>
      <c r="F1160" s="18" t="s">
        <v>611</v>
      </c>
      <c r="G1160" t="s">
        <v>101</v>
      </c>
      <c r="H1160">
        <v>3</v>
      </c>
      <c r="I1160">
        <v>3</v>
      </c>
      <c r="J1160" s="27">
        <v>14027.54</v>
      </c>
      <c r="K1160" s="27">
        <v>1000000</v>
      </c>
    </row>
    <row r="1161" spans="1:11" ht="15" customHeight="1" x14ac:dyDescent="0.2">
      <c r="A1161" t="s">
        <v>2902</v>
      </c>
      <c r="B1161" t="s">
        <v>2903</v>
      </c>
      <c r="C1161">
        <v>2024</v>
      </c>
      <c r="D1161" s="18">
        <v>45340</v>
      </c>
      <c r="E1161" s="18">
        <v>45705</v>
      </c>
      <c r="F1161" s="18" t="s">
        <v>611</v>
      </c>
      <c r="G1161" t="s">
        <v>99</v>
      </c>
      <c r="H1161">
        <v>2</v>
      </c>
      <c r="I1161">
        <v>2</v>
      </c>
      <c r="J1161" s="27">
        <v>18374.97</v>
      </c>
      <c r="K1161" s="27">
        <v>2000000</v>
      </c>
    </row>
    <row r="1162" spans="1:11" ht="15" customHeight="1" x14ac:dyDescent="0.2">
      <c r="A1162" t="s">
        <v>2904</v>
      </c>
      <c r="B1162" t="s">
        <v>2905</v>
      </c>
      <c r="C1162">
        <v>2024</v>
      </c>
      <c r="D1162" s="18">
        <v>45340</v>
      </c>
      <c r="E1162" s="18">
        <v>45705</v>
      </c>
      <c r="F1162" s="18" t="s">
        <v>611</v>
      </c>
      <c r="G1162" t="s">
        <v>99</v>
      </c>
      <c r="H1162">
        <v>2</v>
      </c>
      <c r="I1162">
        <v>4</v>
      </c>
      <c r="J1162" s="27">
        <v>34757.22</v>
      </c>
      <c r="K1162" s="27">
        <v>4000000</v>
      </c>
    </row>
    <row r="1163" spans="1:11" ht="15" customHeight="1" x14ac:dyDescent="0.2">
      <c r="A1163" t="s">
        <v>2906</v>
      </c>
      <c r="B1163" t="s">
        <v>2907</v>
      </c>
      <c r="C1163">
        <v>2024</v>
      </c>
      <c r="D1163" s="18">
        <v>45340</v>
      </c>
      <c r="E1163" s="18">
        <v>45705</v>
      </c>
      <c r="F1163" s="18" t="s">
        <v>611</v>
      </c>
      <c r="G1163" t="s">
        <v>99</v>
      </c>
      <c r="H1163">
        <v>3</v>
      </c>
      <c r="I1163">
        <v>3</v>
      </c>
      <c r="J1163" s="27">
        <v>80734.539999999994</v>
      </c>
      <c r="K1163" s="27">
        <v>10000000</v>
      </c>
    </row>
    <row r="1164" spans="1:11" ht="15" customHeight="1" x14ac:dyDescent="0.2">
      <c r="A1164" t="s">
        <v>2908</v>
      </c>
      <c r="B1164" t="s">
        <v>2909</v>
      </c>
      <c r="C1164">
        <v>2024</v>
      </c>
      <c r="D1164" s="18">
        <v>45340</v>
      </c>
      <c r="E1164" s="18">
        <v>45705</v>
      </c>
      <c r="F1164" s="18" t="s">
        <v>611</v>
      </c>
      <c r="G1164" t="s">
        <v>99</v>
      </c>
      <c r="H1164">
        <v>2</v>
      </c>
      <c r="I1164">
        <v>4</v>
      </c>
      <c r="J1164" s="27">
        <v>41736.620000000003</v>
      </c>
      <c r="K1164" s="27">
        <v>5000000</v>
      </c>
    </row>
    <row r="1165" spans="1:11" ht="15" customHeight="1" x14ac:dyDescent="0.2">
      <c r="A1165" t="s">
        <v>2910</v>
      </c>
      <c r="B1165" t="s">
        <v>2911</v>
      </c>
      <c r="C1165">
        <v>2024</v>
      </c>
      <c r="D1165" s="18">
        <v>45340</v>
      </c>
      <c r="E1165" s="18">
        <v>45705</v>
      </c>
      <c r="F1165" s="18" t="s">
        <v>611</v>
      </c>
      <c r="G1165" t="s">
        <v>102</v>
      </c>
      <c r="H1165">
        <v>1</v>
      </c>
      <c r="I1165">
        <v>1</v>
      </c>
      <c r="J1165" s="27">
        <v>34303.86</v>
      </c>
      <c r="K1165" s="27">
        <v>4500000</v>
      </c>
    </row>
    <row r="1166" spans="1:11" ht="15" customHeight="1" x14ac:dyDescent="0.2">
      <c r="A1166" t="s">
        <v>2912</v>
      </c>
      <c r="B1166" t="s">
        <v>2913</v>
      </c>
      <c r="C1166">
        <v>2024</v>
      </c>
      <c r="D1166" s="18">
        <v>45341</v>
      </c>
      <c r="E1166" s="18">
        <v>45706</v>
      </c>
      <c r="F1166" s="18" t="s">
        <v>608</v>
      </c>
      <c r="G1166" t="s">
        <v>100</v>
      </c>
      <c r="H1166">
        <v>1</v>
      </c>
      <c r="I1166">
        <v>1</v>
      </c>
      <c r="J1166" s="27">
        <v>58131.72</v>
      </c>
      <c r="K1166" s="27">
        <v>5000000</v>
      </c>
    </row>
    <row r="1167" spans="1:11" ht="15" customHeight="1" x14ac:dyDescent="0.2">
      <c r="A1167" t="s">
        <v>2914</v>
      </c>
      <c r="B1167" t="s">
        <v>2915</v>
      </c>
      <c r="C1167">
        <v>2024</v>
      </c>
      <c r="D1167" s="18">
        <v>45341</v>
      </c>
      <c r="E1167" s="18">
        <v>45706</v>
      </c>
      <c r="F1167" s="18" t="s">
        <v>608</v>
      </c>
      <c r="G1167" t="s">
        <v>100</v>
      </c>
      <c r="H1167">
        <v>2</v>
      </c>
      <c r="I1167">
        <v>4</v>
      </c>
      <c r="J1167" s="27">
        <v>27048.01</v>
      </c>
      <c r="K1167" s="27">
        <v>2000000</v>
      </c>
    </row>
    <row r="1168" spans="1:11" ht="15" customHeight="1" x14ac:dyDescent="0.2">
      <c r="A1168" t="s">
        <v>2916</v>
      </c>
      <c r="B1168" t="s">
        <v>2917</v>
      </c>
      <c r="C1168">
        <v>2024</v>
      </c>
      <c r="D1168" s="18">
        <v>45341</v>
      </c>
      <c r="E1168" s="18">
        <v>45706</v>
      </c>
      <c r="F1168" s="18" t="s">
        <v>608</v>
      </c>
      <c r="G1168" t="s">
        <v>99</v>
      </c>
      <c r="H1168">
        <v>1</v>
      </c>
      <c r="I1168">
        <v>2</v>
      </c>
      <c r="J1168" s="27">
        <v>7840.61</v>
      </c>
      <c r="K1168" s="27">
        <v>1000000</v>
      </c>
    </row>
    <row r="1169" spans="1:11" ht="15" customHeight="1" x14ac:dyDescent="0.2">
      <c r="A1169" t="s">
        <v>2918</v>
      </c>
      <c r="B1169" t="s">
        <v>2919</v>
      </c>
      <c r="C1169">
        <v>2024</v>
      </c>
      <c r="D1169" s="18">
        <v>45341</v>
      </c>
      <c r="E1169" s="18">
        <v>45706</v>
      </c>
      <c r="F1169" s="18" t="s">
        <v>611</v>
      </c>
      <c r="G1169" t="s">
        <v>99</v>
      </c>
      <c r="H1169">
        <v>3</v>
      </c>
      <c r="I1169">
        <v>3</v>
      </c>
      <c r="J1169" s="27">
        <v>45962.44</v>
      </c>
      <c r="K1169" s="27">
        <v>5000000</v>
      </c>
    </row>
    <row r="1170" spans="1:11" ht="15" customHeight="1" x14ac:dyDescent="0.2">
      <c r="A1170" t="s">
        <v>2920</v>
      </c>
      <c r="B1170" t="s">
        <v>2921</v>
      </c>
      <c r="C1170">
        <v>2024</v>
      </c>
      <c r="D1170" s="18">
        <v>45341</v>
      </c>
      <c r="E1170" s="18">
        <v>45706</v>
      </c>
      <c r="F1170" s="18" t="s">
        <v>611</v>
      </c>
      <c r="G1170" t="s">
        <v>100</v>
      </c>
      <c r="H1170">
        <v>3</v>
      </c>
      <c r="I1170">
        <v>3</v>
      </c>
      <c r="J1170" s="27">
        <v>33865.919999999998</v>
      </c>
      <c r="K1170" s="27">
        <v>3000000</v>
      </c>
    </row>
    <row r="1171" spans="1:11" ht="15" customHeight="1" x14ac:dyDescent="0.2">
      <c r="A1171" t="s">
        <v>2922</v>
      </c>
      <c r="B1171" t="s">
        <v>2923</v>
      </c>
      <c r="C1171">
        <v>2024</v>
      </c>
      <c r="D1171" s="18">
        <v>45341</v>
      </c>
      <c r="E1171" s="18">
        <v>45706</v>
      </c>
      <c r="F1171" s="18" t="s">
        <v>611</v>
      </c>
      <c r="G1171" t="s">
        <v>99</v>
      </c>
      <c r="H1171">
        <v>2</v>
      </c>
      <c r="I1171">
        <v>2</v>
      </c>
      <c r="J1171" s="27">
        <v>78425.460000000006</v>
      </c>
      <c r="K1171" s="27">
        <v>10000000</v>
      </c>
    </row>
    <row r="1172" spans="1:11" ht="15" customHeight="1" x14ac:dyDescent="0.2">
      <c r="A1172" t="s">
        <v>2924</v>
      </c>
      <c r="B1172" t="s">
        <v>2925</v>
      </c>
      <c r="C1172">
        <v>2024</v>
      </c>
      <c r="D1172" s="18">
        <v>45341</v>
      </c>
      <c r="E1172" s="18">
        <v>45706</v>
      </c>
      <c r="F1172" s="18" t="s">
        <v>611</v>
      </c>
      <c r="G1172" t="s">
        <v>100</v>
      </c>
      <c r="H1172">
        <v>1</v>
      </c>
      <c r="I1172">
        <v>2</v>
      </c>
      <c r="J1172" s="27">
        <v>23261.3</v>
      </c>
      <c r="K1172" s="27">
        <v>2000000</v>
      </c>
    </row>
    <row r="1173" spans="1:11" ht="15" customHeight="1" x14ac:dyDescent="0.2">
      <c r="A1173" t="s">
        <v>2926</v>
      </c>
      <c r="B1173" t="s">
        <v>2927</v>
      </c>
      <c r="C1173">
        <v>2024</v>
      </c>
      <c r="D1173" s="18">
        <v>45341</v>
      </c>
      <c r="E1173" s="18">
        <v>45706</v>
      </c>
      <c r="F1173" s="18" t="s">
        <v>611</v>
      </c>
      <c r="G1173" t="s">
        <v>102</v>
      </c>
      <c r="H1173">
        <v>3</v>
      </c>
      <c r="I1173">
        <v>3</v>
      </c>
      <c r="J1173" s="27">
        <v>16755.009999999998</v>
      </c>
      <c r="K1173" s="27">
        <v>2500000</v>
      </c>
    </row>
    <row r="1174" spans="1:11" ht="15" customHeight="1" x14ac:dyDescent="0.2">
      <c r="A1174" t="s">
        <v>2928</v>
      </c>
      <c r="B1174" t="s">
        <v>2929</v>
      </c>
      <c r="C1174">
        <v>2024</v>
      </c>
      <c r="D1174" s="18">
        <v>45341</v>
      </c>
      <c r="E1174" s="18">
        <v>45706</v>
      </c>
      <c r="F1174" s="18" t="s">
        <v>611</v>
      </c>
      <c r="G1174" t="s">
        <v>99</v>
      </c>
      <c r="H1174">
        <v>1</v>
      </c>
      <c r="I1174">
        <v>2</v>
      </c>
      <c r="J1174" s="27">
        <v>20520.68</v>
      </c>
      <c r="K1174" s="27">
        <v>2500000</v>
      </c>
    </row>
    <row r="1175" spans="1:11" ht="15" customHeight="1" x14ac:dyDescent="0.2">
      <c r="A1175" t="s">
        <v>2930</v>
      </c>
      <c r="B1175" t="s">
        <v>2931</v>
      </c>
      <c r="C1175">
        <v>2024</v>
      </c>
      <c r="D1175" s="18">
        <v>45341</v>
      </c>
      <c r="E1175" s="18">
        <v>45706</v>
      </c>
      <c r="F1175" s="18" t="s">
        <v>611</v>
      </c>
      <c r="G1175" t="s">
        <v>99</v>
      </c>
      <c r="H1175">
        <v>2</v>
      </c>
      <c r="I1175">
        <v>2</v>
      </c>
      <c r="J1175" s="27">
        <v>11918.71</v>
      </c>
      <c r="K1175" s="27">
        <v>1500000</v>
      </c>
    </row>
    <row r="1176" spans="1:11" ht="15" customHeight="1" x14ac:dyDescent="0.2">
      <c r="A1176" t="s">
        <v>2932</v>
      </c>
      <c r="B1176" t="s">
        <v>2933</v>
      </c>
      <c r="C1176">
        <v>2024</v>
      </c>
      <c r="D1176" s="18">
        <v>45341</v>
      </c>
      <c r="E1176" s="18">
        <v>45706</v>
      </c>
      <c r="F1176" s="18" t="s">
        <v>611</v>
      </c>
      <c r="G1176" t="s">
        <v>101</v>
      </c>
      <c r="H1176">
        <v>1</v>
      </c>
      <c r="I1176">
        <v>1</v>
      </c>
      <c r="J1176" s="27">
        <v>32348.43</v>
      </c>
      <c r="K1176" s="27">
        <v>2000000</v>
      </c>
    </row>
    <row r="1177" spans="1:11" ht="15" customHeight="1" x14ac:dyDescent="0.2">
      <c r="A1177" t="s">
        <v>2934</v>
      </c>
      <c r="B1177" t="s">
        <v>2935</v>
      </c>
      <c r="C1177">
        <v>2024</v>
      </c>
      <c r="D1177" s="18">
        <v>45342</v>
      </c>
      <c r="E1177" s="18">
        <v>45707</v>
      </c>
      <c r="F1177" s="18" t="s">
        <v>611</v>
      </c>
      <c r="G1177" t="s">
        <v>101</v>
      </c>
      <c r="H1177">
        <v>1</v>
      </c>
      <c r="I1177">
        <v>1</v>
      </c>
      <c r="J1177" s="27">
        <v>42012.37</v>
      </c>
      <c r="K1177" s="27">
        <v>2500000</v>
      </c>
    </row>
    <row r="1178" spans="1:11" ht="15" customHeight="1" x14ac:dyDescent="0.2">
      <c r="A1178" t="s">
        <v>2936</v>
      </c>
      <c r="B1178" t="s">
        <v>2937</v>
      </c>
      <c r="C1178">
        <v>2024</v>
      </c>
      <c r="D1178" s="18">
        <v>45342</v>
      </c>
      <c r="E1178" s="18">
        <v>45707</v>
      </c>
      <c r="F1178" s="18" t="s">
        <v>611</v>
      </c>
      <c r="G1178" t="s">
        <v>101</v>
      </c>
      <c r="H1178">
        <v>3</v>
      </c>
      <c r="I1178">
        <v>6</v>
      </c>
      <c r="J1178" s="27">
        <v>165815.51</v>
      </c>
      <c r="K1178" s="27">
        <v>10000000</v>
      </c>
    </row>
    <row r="1179" spans="1:11" ht="15" customHeight="1" x14ac:dyDescent="0.2">
      <c r="A1179" t="s">
        <v>2938</v>
      </c>
      <c r="B1179" t="s">
        <v>2939</v>
      </c>
      <c r="C1179">
        <v>2024</v>
      </c>
      <c r="D1179" s="18">
        <v>45342</v>
      </c>
      <c r="E1179" s="18">
        <v>45707</v>
      </c>
      <c r="F1179" s="18" t="s">
        <v>611</v>
      </c>
      <c r="G1179" t="s">
        <v>102</v>
      </c>
      <c r="H1179">
        <v>1</v>
      </c>
      <c r="I1179">
        <v>1</v>
      </c>
      <c r="J1179" s="27">
        <v>32181.52</v>
      </c>
      <c r="K1179" s="27">
        <v>4500000</v>
      </c>
    </row>
    <row r="1180" spans="1:11" ht="15" customHeight="1" x14ac:dyDescent="0.2">
      <c r="A1180" t="s">
        <v>2940</v>
      </c>
      <c r="B1180" t="s">
        <v>2941</v>
      </c>
      <c r="C1180">
        <v>2024</v>
      </c>
      <c r="D1180" s="18">
        <v>45342</v>
      </c>
      <c r="E1180" s="18">
        <v>45707</v>
      </c>
      <c r="F1180" s="18" t="s">
        <v>611</v>
      </c>
      <c r="G1180" t="s">
        <v>99</v>
      </c>
      <c r="H1180">
        <v>3</v>
      </c>
      <c r="I1180">
        <v>3</v>
      </c>
      <c r="J1180" s="27">
        <v>11549.32</v>
      </c>
      <c r="K1180" s="27">
        <v>1500000</v>
      </c>
    </row>
    <row r="1181" spans="1:11" ht="15" customHeight="1" x14ac:dyDescent="0.2">
      <c r="A1181" t="s">
        <v>2942</v>
      </c>
      <c r="B1181" t="s">
        <v>2943</v>
      </c>
      <c r="C1181">
        <v>2024</v>
      </c>
      <c r="D1181" s="18">
        <v>45342</v>
      </c>
      <c r="E1181" s="18">
        <v>45707</v>
      </c>
      <c r="F1181" s="18" t="s">
        <v>611</v>
      </c>
      <c r="G1181" t="s">
        <v>100</v>
      </c>
      <c r="H1181">
        <v>1</v>
      </c>
      <c r="I1181">
        <v>1</v>
      </c>
      <c r="J1181" s="27">
        <v>42689.09</v>
      </c>
      <c r="K1181" s="27">
        <v>3500000</v>
      </c>
    </row>
    <row r="1182" spans="1:11" ht="15" customHeight="1" x14ac:dyDescent="0.2">
      <c r="A1182" t="s">
        <v>2944</v>
      </c>
      <c r="B1182" t="s">
        <v>2945</v>
      </c>
      <c r="C1182">
        <v>2024</v>
      </c>
      <c r="D1182" s="18">
        <v>45342</v>
      </c>
      <c r="E1182" s="18">
        <v>45707</v>
      </c>
      <c r="F1182" s="18" t="s">
        <v>611</v>
      </c>
      <c r="G1182" t="s">
        <v>99</v>
      </c>
      <c r="H1182">
        <v>3</v>
      </c>
      <c r="I1182">
        <v>3</v>
      </c>
      <c r="J1182" s="27">
        <v>39133.58</v>
      </c>
      <c r="K1182" s="27">
        <v>4500000</v>
      </c>
    </row>
    <row r="1183" spans="1:11" ht="15" customHeight="1" x14ac:dyDescent="0.2">
      <c r="A1183" t="s">
        <v>2946</v>
      </c>
      <c r="B1183" t="s">
        <v>2947</v>
      </c>
      <c r="C1183">
        <v>2024</v>
      </c>
      <c r="D1183" s="18">
        <v>45342</v>
      </c>
      <c r="E1183" s="18">
        <v>45707</v>
      </c>
      <c r="F1183" s="18" t="s">
        <v>611</v>
      </c>
      <c r="G1183" t="s">
        <v>101</v>
      </c>
      <c r="H1183">
        <v>3</v>
      </c>
      <c r="I1183">
        <v>3</v>
      </c>
      <c r="J1183" s="27">
        <v>16545.02</v>
      </c>
      <c r="K1183" s="27">
        <v>1000000</v>
      </c>
    </row>
    <row r="1184" spans="1:11" ht="15" customHeight="1" x14ac:dyDescent="0.2">
      <c r="A1184" t="s">
        <v>2948</v>
      </c>
      <c r="B1184" t="s">
        <v>2949</v>
      </c>
      <c r="C1184">
        <v>2024</v>
      </c>
      <c r="D1184" s="18">
        <v>45343</v>
      </c>
      <c r="E1184" s="18">
        <v>45708</v>
      </c>
      <c r="F1184" s="18" t="s">
        <v>608</v>
      </c>
      <c r="G1184" t="s">
        <v>99</v>
      </c>
      <c r="H1184">
        <v>1</v>
      </c>
      <c r="I1184">
        <v>1</v>
      </c>
      <c r="J1184" s="27">
        <v>7878.33</v>
      </c>
      <c r="K1184" s="27">
        <v>1000000</v>
      </c>
    </row>
    <row r="1185" spans="1:11" ht="15" customHeight="1" x14ac:dyDescent="0.2">
      <c r="A1185" t="s">
        <v>2950</v>
      </c>
      <c r="B1185" t="s">
        <v>2951</v>
      </c>
      <c r="C1185">
        <v>2024</v>
      </c>
      <c r="D1185" s="18">
        <v>45343</v>
      </c>
      <c r="E1185" s="18">
        <v>45708</v>
      </c>
      <c r="F1185" s="18" t="s">
        <v>608</v>
      </c>
      <c r="G1185" t="s">
        <v>99</v>
      </c>
      <c r="H1185">
        <v>1</v>
      </c>
      <c r="I1185">
        <v>2</v>
      </c>
      <c r="J1185" s="27">
        <v>16963.919999999998</v>
      </c>
      <c r="K1185" s="27">
        <v>2000000</v>
      </c>
    </row>
    <row r="1186" spans="1:11" ht="15" customHeight="1" x14ac:dyDescent="0.2">
      <c r="A1186" t="s">
        <v>2952</v>
      </c>
      <c r="B1186" t="s">
        <v>2953</v>
      </c>
      <c r="C1186">
        <v>2024</v>
      </c>
      <c r="D1186" s="18">
        <v>45343</v>
      </c>
      <c r="E1186" s="18">
        <v>45708</v>
      </c>
      <c r="F1186" s="18" t="s">
        <v>611</v>
      </c>
      <c r="G1186" t="s">
        <v>101</v>
      </c>
      <c r="H1186">
        <v>3</v>
      </c>
      <c r="I1186">
        <v>6</v>
      </c>
      <c r="J1186" s="27">
        <v>15979.96</v>
      </c>
      <c r="K1186" s="27">
        <v>1000000</v>
      </c>
    </row>
    <row r="1187" spans="1:11" ht="15" customHeight="1" x14ac:dyDescent="0.2">
      <c r="A1187" t="s">
        <v>2954</v>
      </c>
      <c r="B1187" t="s">
        <v>2955</v>
      </c>
      <c r="C1187">
        <v>2024</v>
      </c>
      <c r="D1187" s="18">
        <v>45343</v>
      </c>
      <c r="E1187" s="18">
        <v>45708</v>
      </c>
      <c r="F1187" s="18" t="s">
        <v>611</v>
      </c>
      <c r="G1187" t="s">
        <v>100</v>
      </c>
      <c r="H1187">
        <v>3</v>
      </c>
      <c r="I1187">
        <v>3</v>
      </c>
      <c r="J1187" s="27">
        <v>26373.17</v>
      </c>
      <c r="K1187" s="27">
        <v>2000000</v>
      </c>
    </row>
    <row r="1188" spans="1:11" ht="15" customHeight="1" x14ac:dyDescent="0.2">
      <c r="A1188" t="s">
        <v>2956</v>
      </c>
      <c r="B1188" t="s">
        <v>2957</v>
      </c>
      <c r="C1188">
        <v>2024</v>
      </c>
      <c r="D1188" s="18">
        <v>45343</v>
      </c>
      <c r="E1188" s="18">
        <v>45708</v>
      </c>
      <c r="F1188" s="18" t="s">
        <v>611</v>
      </c>
      <c r="G1188" t="s">
        <v>102</v>
      </c>
      <c r="H1188">
        <v>2</v>
      </c>
      <c r="I1188">
        <v>2</v>
      </c>
      <c r="J1188" s="27">
        <v>73076.72</v>
      </c>
      <c r="K1188" s="27">
        <v>10000000</v>
      </c>
    </row>
    <row r="1189" spans="1:11" ht="15" customHeight="1" x14ac:dyDescent="0.2">
      <c r="A1189" t="s">
        <v>2958</v>
      </c>
      <c r="B1189" t="s">
        <v>2959</v>
      </c>
      <c r="C1189">
        <v>2024</v>
      </c>
      <c r="D1189" s="18">
        <v>45343</v>
      </c>
      <c r="E1189" s="18">
        <v>45708</v>
      </c>
      <c r="F1189" s="18" t="s">
        <v>611</v>
      </c>
      <c r="G1189" t="s">
        <v>100</v>
      </c>
      <c r="H1189">
        <v>2</v>
      </c>
      <c r="I1189">
        <v>4</v>
      </c>
      <c r="J1189" s="27">
        <v>66186.36</v>
      </c>
      <c r="K1189" s="27">
        <v>5000000</v>
      </c>
    </row>
    <row r="1190" spans="1:11" ht="15" customHeight="1" x14ac:dyDescent="0.2">
      <c r="A1190" t="s">
        <v>2960</v>
      </c>
      <c r="B1190" t="s">
        <v>2961</v>
      </c>
      <c r="C1190">
        <v>2024</v>
      </c>
      <c r="D1190" s="18">
        <v>45343</v>
      </c>
      <c r="E1190" s="18">
        <v>45708</v>
      </c>
      <c r="F1190" s="18" t="s">
        <v>611</v>
      </c>
      <c r="G1190" t="s">
        <v>99</v>
      </c>
      <c r="H1190">
        <v>1</v>
      </c>
      <c r="I1190">
        <v>2</v>
      </c>
      <c r="J1190" s="27">
        <v>8550.08</v>
      </c>
      <c r="K1190" s="27">
        <v>1000000</v>
      </c>
    </row>
    <row r="1191" spans="1:11" ht="15" customHeight="1" x14ac:dyDescent="0.2">
      <c r="A1191" t="s">
        <v>2962</v>
      </c>
      <c r="B1191" t="s">
        <v>2963</v>
      </c>
      <c r="C1191">
        <v>2024</v>
      </c>
      <c r="D1191" s="18">
        <v>45344</v>
      </c>
      <c r="E1191" s="18">
        <v>45709</v>
      </c>
      <c r="F1191" s="18" t="s">
        <v>611</v>
      </c>
      <c r="G1191" t="s">
        <v>100</v>
      </c>
      <c r="H1191">
        <v>1</v>
      </c>
      <c r="I1191">
        <v>2</v>
      </c>
      <c r="J1191" s="27">
        <v>58852.36</v>
      </c>
      <c r="K1191" s="27">
        <v>4500000</v>
      </c>
    </row>
    <row r="1192" spans="1:11" ht="15" customHeight="1" x14ac:dyDescent="0.2">
      <c r="A1192" t="s">
        <v>2964</v>
      </c>
      <c r="B1192" t="s">
        <v>2965</v>
      </c>
      <c r="C1192">
        <v>2024</v>
      </c>
      <c r="D1192" s="18">
        <v>45344</v>
      </c>
      <c r="E1192" s="18">
        <v>45709</v>
      </c>
      <c r="F1192" s="18" t="s">
        <v>611</v>
      </c>
      <c r="G1192" t="s">
        <v>100</v>
      </c>
      <c r="H1192">
        <v>1</v>
      </c>
      <c r="I1192">
        <v>1</v>
      </c>
      <c r="J1192" s="27">
        <v>112168.45</v>
      </c>
      <c r="K1192" s="27">
        <v>10000000</v>
      </c>
    </row>
    <row r="1193" spans="1:11" ht="15" customHeight="1" x14ac:dyDescent="0.2">
      <c r="A1193" t="s">
        <v>2966</v>
      </c>
      <c r="B1193" t="s">
        <v>2967</v>
      </c>
      <c r="C1193">
        <v>2024</v>
      </c>
      <c r="D1193" s="18">
        <v>45344</v>
      </c>
      <c r="E1193" s="18">
        <v>45709</v>
      </c>
      <c r="F1193" s="18" t="s">
        <v>611</v>
      </c>
      <c r="G1193" t="s">
        <v>102</v>
      </c>
      <c r="H1193">
        <v>2</v>
      </c>
      <c r="I1193">
        <v>2</v>
      </c>
      <c r="J1193" s="27">
        <v>3516.28</v>
      </c>
      <c r="K1193" s="27">
        <v>500000</v>
      </c>
    </row>
    <row r="1194" spans="1:11" ht="15" customHeight="1" x14ac:dyDescent="0.2">
      <c r="A1194" t="s">
        <v>2968</v>
      </c>
      <c r="B1194" t="s">
        <v>2969</v>
      </c>
      <c r="C1194">
        <v>2024</v>
      </c>
      <c r="D1194" s="18">
        <v>45344</v>
      </c>
      <c r="E1194" s="18">
        <v>45709</v>
      </c>
      <c r="F1194" s="18" t="s">
        <v>611</v>
      </c>
      <c r="G1194" t="s">
        <v>100</v>
      </c>
      <c r="H1194">
        <v>3</v>
      </c>
      <c r="I1194">
        <v>3</v>
      </c>
      <c r="J1194" s="27">
        <v>6084.55</v>
      </c>
      <c r="K1194" s="27">
        <v>500000</v>
      </c>
    </row>
    <row r="1195" spans="1:11" ht="15" customHeight="1" x14ac:dyDescent="0.2">
      <c r="A1195" t="s">
        <v>2970</v>
      </c>
      <c r="B1195" t="s">
        <v>2971</v>
      </c>
      <c r="C1195">
        <v>2024</v>
      </c>
      <c r="D1195" s="18">
        <v>45344</v>
      </c>
      <c r="E1195" s="18">
        <v>45709</v>
      </c>
      <c r="F1195" s="18" t="s">
        <v>611</v>
      </c>
      <c r="G1195" t="s">
        <v>102</v>
      </c>
      <c r="H1195">
        <v>1</v>
      </c>
      <c r="I1195">
        <v>1</v>
      </c>
      <c r="J1195" s="27">
        <v>39182.01</v>
      </c>
      <c r="K1195" s="27">
        <v>5000000</v>
      </c>
    </row>
    <row r="1196" spans="1:11" ht="15" customHeight="1" x14ac:dyDescent="0.2">
      <c r="A1196" t="s">
        <v>2972</v>
      </c>
      <c r="B1196" t="s">
        <v>2973</v>
      </c>
      <c r="C1196">
        <v>2024</v>
      </c>
      <c r="D1196" s="18">
        <v>45344</v>
      </c>
      <c r="E1196" s="18">
        <v>45709</v>
      </c>
      <c r="F1196" s="18" t="s">
        <v>611</v>
      </c>
      <c r="G1196" t="s">
        <v>99</v>
      </c>
      <c r="H1196">
        <v>1</v>
      </c>
      <c r="I1196">
        <v>1</v>
      </c>
      <c r="J1196" s="27">
        <v>42067.15</v>
      </c>
      <c r="K1196" s="27">
        <v>5000000</v>
      </c>
    </row>
    <row r="1197" spans="1:11" ht="15" customHeight="1" x14ac:dyDescent="0.2">
      <c r="A1197" t="s">
        <v>2974</v>
      </c>
      <c r="B1197" t="s">
        <v>2975</v>
      </c>
      <c r="C1197">
        <v>2024</v>
      </c>
      <c r="D1197" s="18">
        <v>45344</v>
      </c>
      <c r="E1197" s="18">
        <v>45709</v>
      </c>
      <c r="F1197" s="18" t="s">
        <v>611</v>
      </c>
      <c r="G1197" t="s">
        <v>100</v>
      </c>
      <c r="H1197">
        <v>1</v>
      </c>
      <c r="I1197">
        <v>1</v>
      </c>
      <c r="J1197" s="27">
        <v>63138.55</v>
      </c>
      <c r="K1197" s="27">
        <v>5000000</v>
      </c>
    </row>
    <row r="1198" spans="1:11" ht="15" customHeight="1" x14ac:dyDescent="0.2">
      <c r="A1198" t="s">
        <v>2976</v>
      </c>
      <c r="B1198" t="s">
        <v>2977</v>
      </c>
      <c r="C1198">
        <v>2024</v>
      </c>
      <c r="D1198" s="18">
        <v>45345</v>
      </c>
      <c r="E1198" s="18">
        <v>45710</v>
      </c>
      <c r="F1198" s="18" t="s">
        <v>611</v>
      </c>
      <c r="G1198" t="s">
        <v>102</v>
      </c>
      <c r="H1198">
        <v>1</v>
      </c>
      <c r="I1198">
        <v>2</v>
      </c>
      <c r="J1198" s="27">
        <v>35157.06</v>
      </c>
      <c r="K1198" s="27">
        <v>4500000</v>
      </c>
    </row>
    <row r="1199" spans="1:11" ht="15" customHeight="1" x14ac:dyDescent="0.2">
      <c r="A1199" t="s">
        <v>2978</v>
      </c>
      <c r="B1199" t="s">
        <v>2979</v>
      </c>
      <c r="C1199">
        <v>2024</v>
      </c>
      <c r="D1199" s="18">
        <v>45345</v>
      </c>
      <c r="E1199" s="18">
        <v>45710</v>
      </c>
      <c r="F1199" s="18" t="s">
        <v>611</v>
      </c>
      <c r="G1199" t="s">
        <v>101</v>
      </c>
      <c r="H1199">
        <v>2</v>
      </c>
      <c r="I1199">
        <v>4</v>
      </c>
      <c r="J1199" s="27">
        <v>50346.2</v>
      </c>
      <c r="K1199" s="27">
        <v>3000000</v>
      </c>
    </row>
    <row r="1200" spans="1:11" ht="15" customHeight="1" x14ac:dyDescent="0.2">
      <c r="A1200" t="s">
        <v>2980</v>
      </c>
      <c r="B1200" t="s">
        <v>2981</v>
      </c>
      <c r="C1200">
        <v>2024</v>
      </c>
      <c r="D1200" s="18">
        <v>45345</v>
      </c>
      <c r="E1200" s="18">
        <v>45710</v>
      </c>
      <c r="F1200" s="18" t="s">
        <v>611</v>
      </c>
      <c r="G1200" t="s">
        <v>101</v>
      </c>
      <c r="H1200">
        <v>1</v>
      </c>
      <c r="I1200">
        <v>2</v>
      </c>
      <c r="J1200" s="27">
        <v>61964.63</v>
      </c>
      <c r="K1200" s="27">
        <v>4000000</v>
      </c>
    </row>
    <row r="1201" spans="1:11" ht="15" customHeight="1" x14ac:dyDescent="0.2">
      <c r="A1201" t="s">
        <v>2982</v>
      </c>
      <c r="B1201" t="s">
        <v>2983</v>
      </c>
      <c r="C1201">
        <v>2024</v>
      </c>
      <c r="D1201" s="18">
        <v>45345</v>
      </c>
      <c r="E1201" s="18">
        <v>45710</v>
      </c>
      <c r="F1201" s="18" t="s">
        <v>611</v>
      </c>
      <c r="G1201" t="s">
        <v>102</v>
      </c>
      <c r="H1201">
        <v>1</v>
      </c>
      <c r="I1201">
        <v>2</v>
      </c>
      <c r="J1201" s="27">
        <v>3614.86</v>
      </c>
      <c r="K1201" s="27">
        <v>500000</v>
      </c>
    </row>
    <row r="1202" spans="1:11" ht="15" customHeight="1" x14ac:dyDescent="0.2">
      <c r="A1202" t="s">
        <v>2984</v>
      </c>
      <c r="B1202" t="s">
        <v>2985</v>
      </c>
      <c r="C1202">
        <v>2024</v>
      </c>
      <c r="D1202" s="18">
        <v>45345</v>
      </c>
      <c r="E1202" s="18">
        <v>45710</v>
      </c>
      <c r="F1202" s="18" t="s">
        <v>611</v>
      </c>
      <c r="G1202" t="s">
        <v>100</v>
      </c>
      <c r="H1202">
        <v>1</v>
      </c>
      <c r="I1202">
        <v>2</v>
      </c>
      <c r="J1202" s="27">
        <v>29347.119999999999</v>
      </c>
      <c r="K1202" s="27">
        <v>2500000</v>
      </c>
    </row>
    <row r="1203" spans="1:11" ht="15" customHeight="1" x14ac:dyDescent="0.2">
      <c r="A1203" t="s">
        <v>2986</v>
      </c>
      <c r="B1203" t="s">
        <v>2987</v>
      </c>
      <c r="C1203">
        <v>2024</v>
      </c>
      <c r="D1203" s="18">
        <v>45345</v>
      </c>
      <c r="E1203" s="18">
        <v>45710</v>
      </c>
      <c r="F1203" s="18" t="s">
        <v>611</v>
      </c>
      <c r="G1203" t="s">
        <v>100</v>
      </c>
      <c r="H1203">
        <v>2</v>
      </c>
      <c r="I1203">
        <v>4</v>
      </c>
      <c r="J1203" s="27">
        <v>34026.080000000002</v>
      </c>
      <c r="K1203" s="27">
        <v>3000000</v>
      </c>
    </row>
    <row r="1204" spans="1:11" ht="15" customHeight="1" x14ac:dyDescent="0.2">
      <c r="A1204" t="s">
        <v>2988</v>
      </c>
      <c r="B1204" t="s">
        <v>2989</v>
      </c>
      <c r="C1204">
        <v>2024</v>
      </c>
      <c r="D1204" s="18">
        <v>45345</v>
      </c>
      <c r="E1204" s="18">
        <v>45710</v>
      </c>
      <c r="F1204" s="18" t="s">
        <v>611</v>
      </c>
      <c r="G1204" t="s">
        <v>99</v>
      </c>
      <c r="H1204">
        <v>2</v>
      </c>
      <c r="I1204">
        <v>2</v>
      </c>
      <c r="J1204" s="27">
        <v>23738.04</v>
      </c>
      <c r="K1204" s="27">
        <v>3000000</v>
      </c>
    </row>
    <row r="1205" spans="1:11" ht="15" customHeight="1" x14ac:dyDescent="0.2">
      <c r="A1205" t="s">
        <v>2990</v>
      </c>
      <c r="B1205" t="s">
        <v>2991</v>
      </c>
      <c r="C1205">
        <v>2024</v>
      </c>
      <c r="D1205" s="18">
        <v>45345</v>
      </c>
      <c r="E1205" s="18">
        <v>45710</v>
      </c>
      <c r="F1205" s="18" t="s">
        <v>611</v>
      </c>
      <c r="G1205" t="s">
        <v>100</v>
      </c>
      <c r="H1205">
        <v>2</v>
      </c>
      <c r="I1205">
        <v>2</v>
      </c>
      <c r="J1205" s="27">
        <v>65075.61</v>
      </c>
      <c r="K1205" s="27">
        <v>5000000</v>
      </c>
    </row>
    <row r="1206" spans="1:11" ht="15" customHeight="1" x14ac:dyDescent="0.2">
      <c r="A1206" t="s">
        <v>2992</v>
      </c>
      <c r="B1206" t="s">
        <v>2993</v>
      </c>
      <c r="C1206">
        <v>2024</v>
      </c>
      <c r="D1206" s="18">
        <v>45345</v>
      </c>
      <c r="E1206" s="18">
        <v>45710</v>
      </c>
      <c r="F1206" s="18" t="s">
        <v>611</v>
      </c>
      <c r="G1206" t="s">
        <v>99</v>
      </c>
      <c r="H1206">
        <v>2</v>
      </c>
      <c r="I1206">
        <v>2</v>
      </c>
      <c r="J1206" s="27">
        <v>36368.39</v>
      </c>
      <c r="K1206" s="27">
        <v>4000000</v>
      </c>
    </row>
    <row r="1207" spans="1:11" ht="15" customHeight="1" x14ac:dyDescent="0.2">
      <c r="A1207" t="s">
        <v>2994</v>
      </c>
      <c r="B1207" t="s">
        <v>2995</v>
      </c>
      <c r="C1207">
        <v>2024</v>
      </c>
      <c r="D1207" s="18">
        <v>45346</v>
      </c>
      <c r="E1207" s="18">
        <v>45711</v>
      </c>
      <c r="F1207" s="18" t="s">
        <v>608</v>
      </c>
      <c r="G1207" t="s">
        <v>101</v>
      </c>
      <c r="H1207">
        <v>2</v>
      </c>
      <c r="I1207">
        <v>2</v>
      </c>
      <c r="J1207" s="27">
        <v>45091.46</v>
      </c>
      <c r="K1207" s="27">
        <v>3000000</v>
      </c>
    </row>
    <row r="1208" spans="1:11" ht="15" customHeight="1" x14ac:dyDescent="0.2">
      <c r="A1208" t="s">
        <v>2996</v>
      </c>
      <c r="B1208" t="s">
        <v>2997</v>
      </c>
      <c r="C1208">
        <v>2024</v>
      </c>
      <c r="D1208" s="18">
        <v>45346</v>
      </c>
      <c r="E1208" s="18">
        <v>45711</v>
      </c>
      <c r="F1208" s="18" t="s">
        <v>608</v>
      </c>
      <c r="G1208" t="s">
        <v>99</v>
      </c>
      <c r="H1208">
        <v>3</v>
      </c>
      <c r="I1208">
        <v>3</v>
      </c>
      <c r="J1208" s="27">
        <v>89551.47</v>
      </c>
      <c r="K1208" s="27">
        <v>10000000</v>
      </c>
    </row>
    <row r="1209" spans="1:11" ht="15" customHeight="1" x14ac:dyDescent="0.2">
      <c r="A1209" t="s">
        <v>2998</v>
      </c>
      <c r="B1209" t="s">
        <v>2999</v>
      </c>
      <c r="C1209">
        <v>2024</v>
      </c>
      <c r="D1209" s="18">
        <v>45346</v>
      </c>
      <c r="E1209" s="18">
        <v>45711</v>
      </c>
      <c r="F1209" s="18" t="s">
        <v>611</v>
      </c>
      <c r="G1209" t="s">
        <v>102</v>
      </c>
      <c r="H1209">
        <v>1</v>
      </c>
      <c r="I1209">
        <v>2</v>
      </c>
      <c r="J1209" s="27">
        <v>18189.04</v>
      </c>
      <c r="K1209" s="27">
        <v>2500000</v>
      </c>
    </row>
    <row r="1210" spans="1:11" ht="15" customHeight="1" x14ac:dyDescent="0.2">
      <c r="A1210" t="s">
        <v>3000</v>
      </c>
      <c r="B1210" t="s">
        <v>3001</v>
      </c>
      <c r="C1210">
        <v>2024</v>
      </c>
      <c r="D1210" s="18">
        <v>45346</v>
      </c>
      <c r="E1210" s="18">
        <v>45711</v>
      </c>
      <c r="F1210" s="18" t="s">
        <v>611</v>
      </c>
      <c r="G1210" t="s">
        <v>102</v>
      </c>
      <c r="H1210">
        <v>2</v>
      </c>
      <c r="I1210">
        <v>2</v>
      </c>
      <c r="J1210" s="27">
        <v>33200.99</v>
      </c>
      <c r="K1210" s="27">
        <v>5000000</v>
      </c>
    </row>
    <row r="1211" spans="1:11" ht="15" customHeight="1" x14ac:dyDescent="0.2">
      <c r="A1211" t="s">
        <v>3002</v>
      </c>
      <c r="B1211" t="s">
        <v>3003</v>
      </c>
      <c r="C1211">
        <v>2024</v>
      </c>
      <c r="D1211" s="18">
        <v>45346</v>
      </c>
      <c r="E1211" s="18">
        <v>45711</v>
      </c>
      <c r="F1211" s="18" t="s">
        <v>611</v>
      </c>
      <c r="G1211" t="s">
        <v>99</v>
      </c>
      <c r="H1211">
        <v>2</v>
      </c>
      <c r="I1211">
        <v>4</v>
      </c>
      <c r="J1211" s="27">
        <v>3817.49</v>
      </c>
      <c r="K1211" s="27">
        <v>500000</v>
      </c>
    </row>
    <row r="1212" spans="1:11" ht="15" customHeight="1" x14ac:dyDescent="0.2">
      <c r="A1212" t="s">
        <v>3004</v>
      </c>
      <c r="B1212" t="s">
        <v>3005</v>
      </c>
      <c r="C1212">
        <v>2024</v>
      </c>
      <c r="D1212" s="18">
        <v>45346</v>
      </c>
      <c r="E1212" s="18">
        <v>45711</v>
      </c>
      <c r="F1212" s="18" t="s">
        <v>611</v>
      </c>
      <c r="G1212" t="s">
        <v>101</v>
      </c>
      <c r="H1212">
        <v>2</v>
      </c>
      <c r="I1212">
        <v>4</v>
      </c>
      <c r="J1212" s="27">
        <v>74512.399999999994</v>
      </c>
      <c r="K1212" s="27">
        <v>5000000</v>
      </c>
    </row>
    <row r="1213" spans="1:11" ht="15" customHeight="1" x14ac:dyDescent="0.2">
      <c r="A1213" t="s">
        <v>3006</v>
      </c>
      <c r="B1213" t="s">
        <v>3007</v>
      </c>
      <c r="C1213">
        <v>2024</v>
      </c>
      <c r="D1213" s="18">
        <v>45346</v>
      </c>
      <c r="E1213" s="18">
        <v>45711</v>
      </c>
      <c r="F1213" s="18" t="s">
        <v>611</v>
      </c>
      <c r="G1213" t="s">
        <v>102</v>
      </c>
      <c r="H1213">
        <v>1</v>
      </c>
      <c r="I1213">
        <v>1</v>
      </c>
      <c r="J1213" s="27">
        <v>26671.439999999999</v>
      </c>
      <c r="K1213" s="27">
        <v>4000000</v>
      </c>
    </row>
    <row r="1214" spans="1:11" ht="15" customHeight="1" x14ac:dyDescent="0.2">
      <c r="A1214" t="s">
        <v>3008</v>
      </c>
      <c r="B1214" t="s">
        <v>3009</v>
      </c>
      <c r="C1214">
        <v>2024</v>
      </c>
      <c r="D1214" s="18">
        <v>45346</v>
      </c>
      <c r="E1214" s="18">
        <v>45711</v>
      </c>
      <c r="F1214" s="18" t="s">
        <v>611</v>
      </c>
      <c r="G1214" t="s">
        <v>100</v>
      </c>
      <c r="H1214">
        <v>1</v>
      </c>
      <c r="I1214">
        <v>1</v>
      </c>
      <c r="J1214" s="27">
        <v>25197.27</v>
      </c>
      <c r="K1214" s="27">
        <v>2000000</v>
      </c>
    </row>
    <row r="1215" spans="1:11" ht="15" customHeight="1" x14ac:dyDescent="0.2">
      <c r="A1215" t="s">
        <v>3010</v>
      </c>
      <c r="B1215" t="s">
        <v>3011</v>
      </c>
      <c r="C1215">
        <v>2024</v>
      </c>
      <c r="D1215" s="18">
        <v>45347</v>
      </c>
      <c r="E1215" s="18">
        <v>45712</v>
      </c>
      <c r="F1215" s="18" t="s">
        <v>611</v>
      </c>
      <c r="G1215" t="s">
        <v>99</v>
      </c>
      <c r="H1215">
        <v>2</v>
      </c>
      <c r="I1215">
        <v>4</v>
      </c>
      <c r="J1215" s="27">
        <v>42992.32</v>
      </c>
      <c r="K1215" s="27">
        <v>5000000</v>
      </c>
    </row>
    <row r="1216" spans="1:11" ht="15" customHeight="1" x14ac:dyDescent="0.2">
      <c r="A1216" t="s">
        <v>3012</v>
      </c>
      <c r="B1216" t="s">
        <v>3013</v>
      </c>
      <c r="C1216">
        <v>2024</v>
      </c>
      <c r="D1216" s="18">
        <v>45347</v>
      </c>
      <c r="E1216" s="18">
        <v>45712</v>
      </c>
      <c r="F1216" s="18" t="s">
        <v>611</v>
      </c>
      <c r="G1216" t="s">
        <v>99</v>
      </c>
      <c r="H1216">
        <v>1</v>
      </c>
      <c r="I1216">
        <v>2</v>
      </c>
      <c r="J1216" s="27">
        <v>30234.02</v>
      </c>
      <c r="K1216" s="27">
        <v>3500000</v>
      </c>
    </row>
    <row r="1217" spans="1:11" ht="15" customHeight="1" x14ac:dyDescent="0.2">
      <c r="A1217" t="s">
        <v>3014</v>
      </c>
      <c r="B1217" t="s">
        <v>3015</v>
      </c>
      <c r="C1217">
        <v>2024</v>
      </c>
      <c r="D1217" s="18">
        <v>45347</v>
      </c>
      <c r="E1217" s="18">
        <v>45712</v>
      </c>
      <c r="F1217" s="18" t="s">
        <v>611</v>
      </c>
      <c r="G1217" t="s">
        <v>100</v>
      </c>
      <c r="H1217">
        <v>1</v>
      </c>
      <c r="I1217">
        <v>1</v>
      </c>
      <c r="J1217" s="27">
        <v>63562.51</v>
      </c>
      <c r="K1217" s="27">
        <v>5000000</v>
      </c>
    </row>
    <row r="1218" spans="1:11" ht="15" customHeight="1" x14ac:dyDescent="0.2">
      <c r="A1218" t="s">
        <v>3016</v>
      </c>
      <c r="B1218" t="s">
        <v>3017</v>
      </c>
      <c r="C1218">
        <v>2024</v>
      </c>
      <c r="D1218" s="18">
        <v>45347</v>
      </c>
      <c r="E1218" s="18">
        <v>45712</v>
      </c>
      <c r="F1218" s="18" t="s">
        <v>611</v>
      </c>
      <c r="G1218" t="s">
        <v>101</v>
      </c>
      <c r="H1218">
        <v>2</v>
      </c>
      <c r="I1218">
        <v>2</v>
      </c>
      <c r="J1218" s="27">
        <v>21631.1</v>
      </c>
      <c r="K1218" s="27">
        <v>1500000</v>
      </c>
    </row>
    <row r="1219" spans="1:11" ht="15" customHeight="1" x14ac:dyDescent="0.2">
      <c r="A1219" t="s">
        <v>3018</v>
      </c>
      <c r="B1219" t="s">
        <v>3019</v>
      </c>
      <c r="C1219">
        <v>2024</v>
      </c>
      <c r="D1219" s="18">
        <v>45347</v>
      </c>
      <c r="E1219" s="18">
        <v>45712</v>
      </c>
      <c r="F1219" s="18" t="s">
        <v>611</v>
      </c>
      <c r="G1219" t="s">
        <v>101</v>
      </c>
      <c r="H1219">
        <v>2</v>
      </c>
      <c r="I1219">
        <v>2</v>
      </c>
      <c r="J1219" s="27">
        <v>32773.74</v>
      </c>
      <c r="K1219" s="27">
        <v>2000000</v>
      </c>
    </row>
    <row r="1220" spans="1:11" ht="15" customHeight="1" x14ac:dyDescent="0.2">
      <c r="A1220" t="s">
        <v>3020</v>
      </c>
      <c r="B1220" t="s">
        <v>3021</v>
      </c>
      <c r="C1220">
        <v>2024</v>
      </c>
      <c r="D1220" s="18">
        <v>45348</v>
      </c>
      <c r="E1220" s="18">
        <v>45713</v>
      </c>
      <c r="F1220" s="18" t="s">
        <v>611</v>
      </c>
      <c r="G1220" t="s">
        <v>101</v>
      </c>
      <c r="H1220">
        <v>1</v>
      </c>
      <c r="I1220">
        <v>1</v>
      </c>
      <c r="J1220" s="27">
        <v>142605.01</v>
      </c>
      <c r="K1220" s="27">
        <v>10000000</v>
      </c>
    </row>
    <row r="1221" spans="1:11" ht="15" customHeight="1" x14ac:dyDescent="0.2">
      <c r="A1221" t="s">
        <v>3022</v>
      </c>
      <c r="B1221" t="s">
        <v>3023</v>
      </c>
      <c r="C1221">
        <v>2024</v>
      </c>
      <c r="D1221" s="18">
        <v>45348</v>
      </c>
      <c r="E1221" s="18">
        <v>45713</v>
      </c>
      <c r="F1221" s="18" t="s">
        <v>611</v>
      </c>
      <c r="G1221" t="s">
        <v>101</v>
      </c>
      <c r="H1221">
        <v>2</v>
      </c>
      <c r="I1221">
        <v>4</v>
      </c>
      <c r="J1221" s="27">
        <v>56073.03</v>
      </c>
      <c r="K1221" s="27">
        <v>3500000</v>
      </c>
    </row>
    <row r="1222" spans="1:11" ht="15" customHeight="1" x14ac:dyDescent="0.2">
      <c r="A1222" t="s">
        <v>3024</v>
      </c>
      <c r="B1222" t="s">
        <v>3025</v>
      </c>
      <c r="C1222">
        <v>2024</v>
      </c>
      <c r="D1222" s="18">
        <v>45348</v>
      </c>
      <c r="E1222" s="18">
        <v>45713</v>
      </c>
      <c r="F1222" s="18" t="s">
        <v>611</v>
      </c>
      <c r="G1222" t="s">
        <v>100</v>
      </c>
      <c r="H1222">
        <v>1</v>
      </c>
      <c r="I1222">
        <v>1</v>
      </c>
      <c r="J1222" s="27">
        <v>118165.95</v>
      </c>
      <c r="K1222" s="27">
        <v>10000000</v>
      </c>
    </row>
    <row r="1223" spans="1:11" ht="15" customHeight="1" x14ac:dyDescent="0.2">
      <c r="A1223" t="s">
        <v>3026</v>
      </c>
      <c r="B1223" t="s">
        <v>3027</v>
      </c>
      <c r="C1223">
        <v>2024</v>
      </c>
      <c r="D1223" s="18">
        <v>45348</v>
      </c>
      <c r="E1223" s="18">
        <v>45713</v>
      </c>
      <c r="F1223" s="18" t="s">
        <v>611</v>
      </c>
      <c r="G1223" t="s">
        <v>100</v>
      </c>
      <c r="H1223">
        <v>1</v>
      </c>
      <c r="I1223">
        <v>1</v>
      </c>
      <c r="J1223" s="27">
        <v>55613.72</v>
      </c>
      <c r="K1223" s="27">
        <v>5000000</v>
      </c>
    </row>
    <row r="1224" spans="1:11" ht="15" customHeight="1" x14ac:dyDescent="0.2">
      <c r="A1224" t="s">
        <v>3028</v>
      </c>
      <c r="B1224" t="s">
        <v>3029</v>
      </c>
      <c r="C1224">
        <v>2024</v>
      </c>
      <c r="D1224" s="18">
        <v>45348</v>
      </c>
      <c r="E1224" s="18">
        <v>45713</v>
      </c>
      <c r="F1224" s="18" t="s">
        <v>611</v>
      </c>
      <c r="G1224" t="s">
        <v>99</v>
      </c>
      <c r="H1224">
        <v>2</v>
      </c>
      <c r="I1224">
        <v>4</v>
      </c>
      <c r="J1224" s="27">
        <v>4428.13</v>
      </c>
      <c r="K1224" s="27">
        <v>500000</v>
      </c>
    </row>
    <row r="1225" spans="1:11" ht="15" customHeight="1" x14ac:dyDescent="0.2">
      <c r="A1225" t="s">
        <v>3030</v>
      </c>
      <c r="B1225" t="s">
        <v>3031</v>
      </c>
      <c r="C1225">
        <v>2024</v>
      </c>
      <c r="D1225" s="18">
        <v>45348</v>
      </c>
      <c r="E1225" s="18">
        <v>45713</v>
      </c>
      <c r="F1225" s="18" t="s">
        <v>611</v>
      </c>
      <c r="G1225" t="s">
        <v>102</v>
      </c>
      <c r="H1225">
        <v>1</v>
      </c>
      <c r="I1225">
        <v>2</v>
      </c>
      <c r="J1225" s="27">
        <v>69920.62</v>
      </c>
      <c r="K1225" s="27">
        <v>10000000</v>
      </c>
    </row>
    <row r="1226" spans="1:11" ht="15" customHeight="1" x14ac:dyDescent="0.2">
      <c r="A1226" t="s">
        <v>3032</v>
      </c>
      <c r="B1226" t="s">
        <v>3033</v>
      </c>
      <c r="C1226">
        <v>2024</v>
      </c>
      <c r="D1226" s="18">
        <v>45348</v>
      </c>
      <c r="E1226" s="18">
        <v>45713</v>
      </c>
      <c r="F1226" s="18" t="s">
        <v>611</v>
      </c>
      <c r="G1226" t="s">
        <v>99</v>
      </c>
      <c r="H1226">
        <v>3</v>
      </c>
      <c r="I1226">
        <v>3</v>
      </c>
      <c r="J1226" s="27">
        <v>16429.18</v>
      </c>
      <c r="K1226" s="27">
        <v>2000000</v>
      </c>
    </row>
    <row r="1227" spans="1:11" ht="15" customHeight="1" x14ac:dyDescent="0.2">
      <c r="A1227" t="s">
        <v>3034</v>
      </c>
      <c r="B1227" t="s">
        <v>3035</v>
      </c>
      <c r="C1227">
        <v>2024</v>
      </c>
      <c r="D1227" s="18">
        <v>45348</v>
      </c>
      <c r="E1227" s="18">
        <v>45713</v>
      </c>
      <c r="F1227" s="18" t="s">
        <v>611</v>
      </c>
      <c r="G1227" t="s">
        <v>101</v>
      </c>
      <c r="H1227">
        <v>2</v>
      </c>
      <c r="I1227">
        <v>2</v>
      </c>
      <c r="J1227" s="27">
        <v>15814.13</v>
      </c>
      <c r="K1227" s="27">
        <v>1000000</v>
      </c>
    </row>
    <row r="1228" spans="1:11" ht="15" customHeight="1" x14ac:dyDescent="0.2">
      <c r="A1228" t="s">
        <v>3036</v>
      </c>
      <c r="B1228" t="s">
        <v>3037</v>
      </c>
      <c r="C1228">
        <v>2024</v>
      </c>
      <c r="D1228" s="18">
        <v>45348</v>
      </c>
      <c r="E1228" s="18">
        <v>45713</v>
      </c>
      <c r="F1228" s="18" t="s">
        <v>611</v>
      </c>
      <c r="G1228" t="s">
        <v>100</v>
      </c>
      <c r="H1228">
        <v>1</v>
      </c>
      <c r="I1228">
        <v>2</v>
      </c>
      <c r="J1228" s="27">
        <v>33707.480000000003</v>
      </c>
      <c r="K1228" s="27">
        <v>2500000</v>
      </c>
    </row>
    <row r="1229" spans="1:11" ht="15" customHeight="1" x14ac:dyDescent="0.2">
      <c r="A1229" t="s">
        <v>3038</v>
      </c>
      <c r="B1229" t="s">
        <v>3039</v>
      </c>
      <c r="C1229">
        <v>2024</v>
      </c>
      <c r="D1229" s="18">
        <v>45349</v>
      </c>
      <c r="E1229" s="18">
        <v>45714</v>
      </c>
      <c r="F1229" s="18" t="s">
        <v>608</v>
      </c>
      <c r="G1229" t="s">
        <v>100</v>
      </c>
      <c r="H1229">
        <v>1</v>
      </c>
      <c r="I1229">
        <v>1</v>
      </c>
      <c r="J1229" s="27">
        <v>23486.1</v>
      </c>
      <c r="K1229" s="27">
        <v>2000000</v>
      </c>
    </row>
    <row r="1230" spans="1:11" ht="15" customHeight="1" x14ac:dyDescent="0.2">
      <c r="A1230" t="s">
        <v>3040</v>
      </c>
      <c r="B1230" t="s">
        <v>3041</v>
      </c>
      <c r="C1230">
        <v>2024</v>
      </c>
      <c r="D1230" s="18">
        <v>45349</v>
      </c>
      <c r="E1230" s="18">
        <v>45714</v>
      </c>
      <c r="F1230" s="18" t="s">
        <v>608</v>
      </c>
      <c r="G1230" t="s">
        <v>99</v>
      </c>
      <c r="H1230">
        <v>1</v>
      </c>
      <c r="I1230">
        <v>2</v>
      </c>
      <c r="J1230" s="27">
        <v>15908.81</v>
      </c>
      <c r="K1230" s="27">
        <v>2000000</v>
      </c>
    </row>
    <row r="1231" spans="1:11" ht="15" customHeight="1" x14ac:dyDescent="0.2">
      <c r="A1231" t="s">
        <v>3042</v>
      </c>
      <c r="B1231" t="s">
        <v>3043</v>
      </c>
      <c r="C1231">
        <v>2024</v>
      </c>
      <c r="D1231" s="18">
        <v>45349</v>
      </c>
      <c r="E1231" s="18">
        <v>45714</v>
      </c>
      <c r="F1231" s="18" t="s">
        <v>611</v>
      </c>
      <c r="G1231" t="s">
        <v>102</v>
      </c>
      <c r="H1231">
        <v>1</v>
      </c>
      <c r="I1231">
        <v>1</v>
      </c>
      <c r="J1231" s="27">
        <v>30103.48</v>
      </c>
      <c r="K1231" s="27">
        <v>4500000</v>
      </c>
    </row>
    <row r="1232" spans="1:11" ht="15" customHeight="1" x14ac:dyDescent="0.2">
      <c r="A1232" t="s">
        <v>3044</v>
      </c>
      <c r="B1232" t="s">
        <v>3045</v>
      </c>
      <c r="C1232">
        <v>2024</v>
      </c>
      <c r="D1232" s="18">
        <v>45349</v>
      </c>
      <c r="E1232" s="18">
        <v>45714</v>
      </c>
      <c r="F1232" s="18" t="s">
        <v>611</v>
      </c>
      <c r="G1232" t="s">
        <v>100</v>
      </c>
      <c r="H1232">
        <v>1</v>
      </c>
      <c r="I1232">
        <v>1</v>
      </c>
      <c r="J1232" s="27">
        <v>120214.25</v>
      </c>
      <c r="K1232" s="27">
        <v>10000000</v>
      </c>
    </row>
    <row r="1233" spans="1:11" ht="15" customHeight="1" x14ac:dyDescent="0.2">
      <c r="A1233" t="s">
        <v>3046</v>
      </c>
      <c r="B1233" t="s">
        <v>3047</v>
      </c>
      <c r="C1233">
        <v>2024</v>
      </c>
      <c r="D1233" s="18">
        <v>45349</v>
      </c>
      <c r="E1233" s="18">
        <v>45714</v>
      </c>
      <c r="F1233" s="18" t="s">
        <v>611</v>
      </c>
      <c r="G1233" t="s">
        <v>100</v>
      </c>
      <c r="H1233">
        <v>3</v>
      </c>
      <c r="I1233">
        <v>6</v>
      </c>
      <c r="J1233" s="27">
        <v>13047.32</v>
      </c>
      <c r="K1233" s="27">
        <v>1000000</v>
      </c>
    </row>
    <row r="1234" spans="1:11" ht="15" customHeight="1" x14ac:dyDescent="0.2">
      <c r="A1234" t="s">
        <v>3048</v>
      </c>
      <c r="B1234" t="s">
        <v>3049</v>
      </c>
      <c r="C1234">
        <v>2024</v>
      </c>
      <c r="D1234" s="18">
        <v>45349</v>
      </c>
      <c r="E1234" s="18">
        <v>45714</v>
      </c>
      <c r="F1234" s="18" t="s">
        <v>611</v>
      </c>
      <c r="G1234" t="s">
        <v>100</v>
      </c>
      <c r="H1234">
        <v>2</v>
      </c>
      <c r="I1234">
        <v>2</v>
      </c>
      <c r="J1234" s="27">
        <v>61625.45</v>
      </c>
      <c r="K1234" s="27">
        <v>5000000</v>
      </c>
    </row>
    <row r="1235" spans="1:11" ht="15" customHeight="1" x14ac:dyDescent="0.2">
      <c r="A1235" t="s">
        <v>3050</v>
      </c>
      <c r="B1235" t="s">
        <v>3051</v>
      </c>
      <c r="C1235">
        <v>2024</v>
      </c>
      <c r="D1235" s="18">
        <v>45349</v>
      </c>
      <c r="E1235" s="18">
        <v>45714</v>
      </c>
      <c r="F1235" s="18" t="s">
        <v>611</v>
      </c>
      <c r="G1235" t="s">
        <v>99</v>
      </c>
      <c r="H1235">
        <v>3</v>
      </c>
      <c r="I1235">
        <v>6</v>
      </c>
      <c r="J1235" s="27">
        <v>22836.82</v>
      </c>
      <c r="K1235" s="27">
        <v>2500000</v>
      </c>
    </row>
    <row r="1236" spans="1:11" ht="15" customHeight="1" x14ac:dyDescent="0.2">
      <c r="A1236" t="s">
        <v>3052</v>
      </c>
      <c r="B1236" t="s">
        <v>3053</v>
      </c>
      <c r="C1236">
        <v>2024</v>
      </c>
      <c r="D1236" s="18">
        <v>45349</v>
      </c>
      <c r="E1236" s="18">
        <v>45714</v>
      </c>
      <c r="F1236" s="18" t="s">
        <v>611</v>
      </c>
      <c r="G1236" t="s">
        <v>100</v>
      </c>
      <c r="H1236">
        <v>1</v>
      </c>
      <c r="I1236">
        <v>1</v>
      </c>
      <c r="J1236" s="27">
        <v>55538.69</v>
      </c>
      <c r="K1236" s="27">
        <v>5000000</v>
      </c>
    </row>
    <row r="1237" spans="1:11" ht="15" customHeight="1" x14ac:dyDescent="0.2">
      <c r="A1237" t="s">
        <v>3054</v>
      </c>
      <c r="B1237" t="s">
        <v>3055</v>
      </c>
      <c r="C1237">
        <v>2024</v>
      </c>
      <c r="D1237" s="18">
        <v>45349</v>
      </c>
      <c r="E1237" s="18">
        <v>45714</v>
      </c>
      <c r="F1237" s="18" t="s">
        <v>611</v>
      </c>
      <c r="G1237" t="s">
        <v>100</v>
      </c>
      <c r="H1237">
        <v>1</v>
      </c>
      <c r="I1237">
        <v>2</v>
      </c>
      <c r="J1237" s="27">
        <v>39197.879999999997</v>
      </c>
      <c r="K1237" s="27">
        <v>3000000</v>
      </c>
    </row>
    <row r="1238" spans="1:11" ht="15" customHeight="1" x14ac:dyDescent="0.2">
      <c r="A1238" t="s">
        <v>3056</v>
      </c>
      <c r="B1238" t="s">
        <v>3057</v>
      </c>
      <c r="C1238">
        <v>2024</v>
      </c>
      <c r="D1238" s="18">
        <v>45349</v>
      </c>
      <c r="E1238" s="18">
        <v>45714</v>
      </c>
      <c r="F1238" s="18" t="s">
        <v>611</v>
      </c>
      <c r="G1238" t="s">
        <v>99</v>
      </c>
      <c r="H1238">
        <v>1</v>
      </c>
      <c r="I1238">
        <v>1</v>
      </c>
      <c r="J1238" s="27">
        <v>32251.66</v>
      </c>
      <c r="K1238" s="27">
        <v>3500000</v>
      </c>
    </row>
    <row r="1239" spans="1:11" ht="15" customHeight="1" x14ac:dyDescent="0.2">
      <c r="A1239" t="s">
        <v>3058</v>
      </c>
      <c r="B1239" t="s">
        <v>3059</v>
      </c>
      <c r="C1239">
        <v>2024</v>
      </c>
      <c r="D1239" s="18">
        <v>45349</v>
      </c>
      <c r="E1239" s="18">
        <v>45714</v>
      </c>
      <c r="F1239" s="18" t="s">
        <v>611</v>
      </c>
      <c r="G1239" t="s">
        <v>102</v>
      </c>
      <c r="H1239">
        <v>1</v>
      </c>
      <c r="I1239">
        <v>1</v>
      </c>
      <c r="J1239" s="27">
        <v>13460.53</v>
      </c>
      <c r="K1239" s="27">
        <v>2000000</v>
      </c>
    </row>
    <row r="1240" spans="1:11" ht="15" customHeight="1" x14ac:dyDescent="0.2">
      <c r="A1240" t="s">
        <v>3060</v>
      </c>
      <c r="B1240" t="s">
        <v>3061</v>
      </c>
      <c r="C1240">
        <v>2024</v>
      </c>
      <c r="D1240" s="18">
        <v>45349</v>
      </c>
      <c r="E1240" s="18">
        <v>45714</v>
      </c>
      <c r="F1240" s="18" t="s">
        <v>611</v>
      </c>
      <c r="G1240" t="s">
        <v>100</v>
      </c>
      <c r="H1240">
        <v>2</v>
      </c>
      <c r="I1240">
        <v>2</v>
      </c>
      <c r="J1240" s="27">
        <v>120096.54</v>
      </c>
      <c r="K1240" s="27">
        <v>10000000</v>
      </c>
    </row>
    <row r="1241" spans="1:11" ht="15" customHeight="1" x14ac:dyDescent="0.2">
      <c r="A1241" t="s">
        <v>3062</v>
      </c>
      <c r="B1241" t="s">
        <v>3063</v>
      </c>
      <c r="C1241">
        <v>2024</v>
      </c>
      <c r="D1241" s="18">
        <v>45349</v>
      </c>
      <c r="E1241" s="18">
        <v>45714</v>
      </c>
      <c r="F1241" s="18" t="s">
        <v>611</v>
      </c>
      <c r="G1241" t="s">
        <v>101</v>
      </c>
      <c r="H1241">
        <v>2</v>
      </c>
      <c r="I1241">
        <v>2</v>
      </c>
      <c r="J1241" s="27">
        <v>51382.49</v>
      </c>
      <c r="K1241" s="27">
        <v>3500000</v>
      </c>
    </row>
    <row r="1242" spans="1:11" ht="15" customHeight="1" x14ac:dyDescent="0.2">
      <c r="A1242" t="s">
        <v>3064</v>
      </c>
      <c r="B1242" t="s">
        <v>3065</v>
      </c>
      <c r="C1242">
        <v>2024</v>
      </c>
      <c r="D1242" s="18">
        <v>45350</v>
      </c>
      <c r="E1242" s="18">
        <v>45715</v>
      </c>
      <c r="F1242" s="18" t="s">
        <v>611</v>
      </c>
      <c r="G1242" t="s">
        <v>100</v>
      </c>
      <c r="H1242">
        <v>2</v>
      </c>
      <c r="I1242">
        <v>2</v>
      </c>
      <c r="J1242" s="27">
        <v>123467.77</v>
      </c>
      <c r="K1242" s="27">
        <v>10000000</v>
      </c>
    </row>
    <row r="1243" spans="1:11" ht="15" customHeight="1" x14ac:dyDescent="0.2">
      <c r="A1243" t="s">
        <v>3066</v>
      </c>
      <c r="B1243" t="s">
        <v>3067</v>
      </c>
      <c r="C1243">
        <v>2024</v>
      </c>
      <c r="D1243" s="18">
        <v>45350</v>
      </c>
      <c r="E1243" s="18">
        <v>45715</v>
      </c>
      <c r="F1243" s="18" t="s">
        <v>611</v>
      </c>
      <c r="G1243" t="s">
        <v>100</v>
      </c>
      <c r="H1243">
        <v>3</v>
      </c>
      <c r="I1243">
        <v>3</v>
      </c>
      <c r="J1243" s="27">
        <v>25550.3</v>
      </c>
      <c r="K1243" s="27">
        <v>2000000</v>
      </c>
    </row>
    <row r="1244" spans="1:11" ht="15" customHeight="1" x14ac:dyDescent="0.2">
      <c r="A1244" t="s">
        <v>3068</v>
      </c>
      <c r="B1244" t="s">
        <v>3069</v>
      </c>
      <c r="C1244">
        <v>2024</v>
      </c>
      <c r="D1244" s="18">
        <v>45350</v>
      </c>
      <c r="E1244" s="18">
        <v>45715</v>
      </c>
      <c r="F1244" s="18" t="s">
        <v>611</v>
      </c>
      <c r="G1244" t="s">
        <v>101</v>
      </c>
      <c r="H1244">
        <v>3</v>
      </c>
      <c r="I1244">
        <v>6</v>
      </c>
      <c r="J1244" s="27">
        <v>33068.42</v>
      </c>
      <c r="K1244" s="27">
        <v>2000000</v>
      </c>
    </row>
    <row r="1245" spans="1:11" ht="15" customHeight="1" x14ac:dyDescent="0.2">
      <c r="A1245" t="s">
        <v>3070</v>
      </c>
      <c r="B1245" t="s">
        <v>3071</v>
      </c>
      <c r="C1245">
        <v>2024</v>
      </c>
      <c r="D1245" s="18">
        <v>45350</v>
      </c>
      <c r="E1245" s="18">
        <v>45715</v>
      </c>
      <c r="F1245" s="18" t="s">
        <v>611</v>
      </c>
      <c r="G1245" t="s">
        <v>101</v>
      </c>
      <c r="H1245">
        <v>1</v>
      </c>
      <c r="I1245">
        <v>1</v>
      </c>
      <c r="J1245" s="27">
        <v>32319.119999999999</v>
      </c>
      <c r="K1245" s="27">
        <v>2000000</v>
      </c>
    </row>
    <row r="1246" spans="1:11" ht="15" customHeight="1" x14ac:dyDescent="0.2">
      <c r="A1246" t="s">
        <v>3072</v>
      </c>
      <c r="B1246" t="s">
        <v>3073</v>
      </c>
      <c r="C1246">
        <v>2024</v>
      </c>
      <c r="D1246" s="18">
        <v>45350</v>
      </c>
      <c r="E1246" s="18">
        <v>45715</v>
      </c>
      <c r="F1246" s="18" t="s">
        <v>611</v>
      </c>
      <c r="G1246" t="s">
        <v>101</v>
      </c>
      <c r="H1246">
        <v>3</v>
      </c>
      <c r="I1246">
        <v>3</v>
      </c>
      <c r="J1246" s="27">
        <v>85139.09</v>
      </c>
      <c r="K1246" s="27">
        <v>5000000</v>
      </c>
    </row>
    <row r="1247" spans="1:11" ht="15" customHeight="1" x14ac:dyDescent="0.2">
      <c r="A1247" t="s">
        <v>3074</v>
      </c>
      <c r="B1247" t="s">
        <v>3075</v>
      </c>
      <c r="C1247">
        <v>2024</v>
      </c>
      <c r="D1247" s="18">
        <v>45351</v>
      </c>
      <c r="E1247" s="18">
        <v>45715</v>
      </c>
      <c r="F1247" s="18" t="s">
        <v>608</v>
      </c>
      <c r="G1247" t="s">
        <v>101</v>
      </c>
      <c r="H1247">
        <v>2</v>
      </c>
      <c r="I1247">
        <v>2</v>
      </c>
      <c r="J1247" s="27">
        <v>77997.740000000005</v>
      </c>
      <c r="K1247" s="27">
        <v>5000000</v>
      </c>
    </row>
    <row r="1248" spans="1:11" ht="15" customHeight="1" x14ac:dyDescent="0.2">
      <c r="A1248" t="s">
        <v>3076</v>
      </c>
      <c r="B1248" t="s">
        <v>3077</v>
      </c>
      <c r="C1248">
        <v>2024</v>
      </c>
      <c r="D1248" s="18">
        <v>45351</v>
      </c>
      <c r="E1248" s="18">
        <v>45715</v>
      </c>
      <c r="F1248" s="18" t="s">
        <v>608</v>
      </c>
      <c r="G1248" t="s">
        <v>100</v>
      </c>
      <c r="H1248">
        <v>2</v>
      </c>
      <c r="I1248">
        <v>4</v>
      </c>
      <c r="J1248" s="27">
        <v>117400.51</v>
      </c>
      <c r="K1248" s="27">
        <v>10000000</v>
      </c>
    </row>
    <row r="1249" spans="1:11" ht="15" customHeight="1" x14ac:dyDescent="0.2">
      <c r="A1249" t="s">
        <v>3078</v>
      </c>
      <c r="B1249" t="s">
        <v>3079</v>
      </c>
      <c r="C1249">
        <v>2024</v>
      </c>
      <c r="D1249" s="18">
        <v>45352</v>
      </c>
      <c r="E1249" s="18">
        <v>45716</v>
      </c>
      <c r="F1249" s="18" t="s">
        <v>611</v>
      </c>
      <c r="G1249" t="s">
        <v>99</v>
      </c>
      <c r="H1249">
        <v>1</v>
      </c>
      <c r="I1249">
        <v>1</v>
      </c>
      <c r="J1249" s="27">
        <v>84686.58</v>
      </c>
      <c r="K1249" s="27">
        <v>10000000</v>
      </c>
    </row>
    <row r="1250" spans="1:11" ht="15" customHeight="1" x14ac:dyDescent="0.2">
      <c r="A1250" t="s">
        <v>3080</v>
      </c>
      <c r="B1250" t="s">
        <v>3081</v>
      </c>
      <c r="C1250">
        <v>2024</v>
      </c>
      <c r="D1250" s="18">
        <v>45352</v>
      </c>
      <c r="E1250" s="18">
        <v>45716</v>
      </c>
      <c r="F1250" s="18" t="s">
        <v>611</v>
      </c>
      <c r="G1250" t="s">
        <v>99</v>
      </c>
      <c r="H1250">
        <v>1</v>
      </c>
      <c r="I1250">
        <v>1</v>
      </c>
      <c r="J1250" s="27">
        <v>25089.46</v>
      </c>
      <c r="K1250" s="27">
        <v>3000000</v>
      </c>
    </row>
    <row r="1251" spans="1:11" ht="15" customHeight="1" x14ac:dyDescent="0.2">
      <c r="A1251" t="s">
        <v>3082</v>
      </c>
      <c r="B1251" t="s">
        <v>3083</v>
      </c>
      <c r="C1251">
        <v>2024</v>
      </c>
      <c r="D1251" s="18">
        <v>45352</v>
      </c>
      <c r="E1251" s="18">
        <v>45716</v>
      </c>
      <c r="F1251" s="18" t="s">
        <v>611</v>
      </c>
      <c r="G1251" t="s">
        <v>99</v>
      </c>
      <c r="H1251">
        <v>2</v>
      </c>
      <c r="I1251">
        <v>4</v>
      </c>
      <c r="J1251" s="27">
        <v>88355.95</v>
      </c>
      <c r="K1251" s="27">
        <v>10000000</v>
      </c>
    </row>
    <row r="1252" spans="1:11" ht="15" customHeight="1" x14ac:dyDescent="0.2">
      <c r="A1252" t="s">
        <v>3084</v>
      </c>
      <c r="B1252" t="s">
        <v>3085</v>
      </c>
      <c r="C1252">
        <v>2024</v>
      </c>
      <c r="D1252" s="18">
        <v>45352</v>
      </c>
      <c r="E1252" s="18">
        <v>45716</v>
      </c>
      <c r="F1252" s="18" t="s">
        <v>611</v>
      </c>
      <c r="G1252" t="s">
        <v>99</v>
      </c>
      <c r="H1252">
        <v>1</v>
      </c>
      <c r="I1252">
        <v>2</v>
      </c>
      <c r="J1252" s="27">
        <v>80099.28</v>
      </c>
      <c r="K1252" s="27">
        <v>10000000</v>
      </c>
    </row>
    <row r="1253" spans="1:11" ht="15" customHeight="1" x14ac:dyDescent="0.2">
      <c r="A1253" t="s">
        <v>3086</v>
      </c>
      <c r="B1253" t="s">
        <v>3087</v>
      </c>
      <c r="C1253">
        <v>2024</v>
      </c>
      <c r="D1253" s="18">
        <v>45352</v>
      </c>
      <c r="E1253" s="18">
        <v>45716</v>
      </c>
      <c r="F1253" s="18" t="s">
        <v>611</v>
      </c>
      <c r="G1253" t="s">
        <v>100</v>
      </c>
      <c r="H1253">
        <v>2</v>
      </c>
      <c r="I1253">
        <v>2</v>
      </c>
      <c r="J1253" s="27">
        <v>22791.200000000001</v>
      </c>
      <c r="K1253" s="27">
        <v>2000000</v>
      </c>
    </row>
    <row r="1254" spans="1:11" ht="15" customHeight="1" x14ac:dyDescent="0.2">
      <c r="A1254" t="s">
        <v>3088</v>
      </c>
      <c r="B1254" t="s">
        <v>3089</v>
      </c>
      <c r="C1254">
        <v>2024</v>
      </c>
      <c r="D1254" s="18">
        <v>45352</v>
      </c>
      <c r="E1254" s="18">
        <v>45716</v>
      </c>
      <c r="F1254" s="18" t="s">
        <v>611</v>
      </c>
      <c r="G1254" t="s">
        <v>100</v>
      </c>
      <c r="H1254">
        <v>3</v>
      </c>
      <c r="I1254">
        <v>3</v>
      </c>
      <c r="J1254" s="27">
        <v>59855.25</v>
      </c>
      <c r="K1254" s="27">
        <v>5000000</v>
      </c>
    </row>
    <row r="1255" spans="1:11" ht="15" customHeight="1" x14ac:dyDescent="0.2">
      <c r="A1255" t="s">
        <v>3090</v>
      </c>
      <c r="B1255" t="s">
        <v>3091</v>
      </c>
      <c r="C1255">
        <v>2024</v>
      </c>
      <c r="D1255" s="18">
        <v>45352</v>
      </c>
      <c r="E1255" s="18">
        <v>45716</v>
      </c>
      <c r="F1255" s="18" t="s">
        <v>611</v>
      </c>
      <c r="G1255" t="s">
        <v>102</v>
      </c>
      <c r="H1255">
        <v>2</v>
      </c>
      <c r="I1255">
        <v>4</v>
      </c>
      <c r="J1255" s="27">
        <v>37477.629999999997</v>
      </c>
      <c r="K1255" s="27">
        <v>5000000</v>
      </c>
    </row>
    <row r="1256" spans="1:11" ht="15" customHeight="1" x14ac:dyDescent="0.2">
      <c r="A1256" t="s">
        <v>3092</v>
      </c>
      <c r="B1256" t="s">
        <v>3093</v>
      </c>
      <c r="C1256">
        <v>2024</v>
      </c>
      <c r="D1256" s="18">
        <v>45352</v>
      </c>
      <c r="E1256" s="18">
        <v>45716</v>
      </c>
      <c r="F1256" s="18" t="s">
        <v>611</v>
      </c>
      <c r="G1256" t="s">
        <v>99</v>
      </c>
      <c r="H1256">
        <v>2</v>
      </c>
      <c r="I1256">
        <v>4</v>
      </c>
      <c r="J1256" s="27">
        <v>9133.49</v>
      </c>
      <c r="K1256" s="27">
        <v>1000000</v>
      </c>
    </row>
    <row r="1257" spans="1:11" ht="15" customHeight="1" x14ac:dyDescent="0.2">
      <c r="A1257" t="s">
        <v>3094</v>
      </c>
      <c r="B1257" t="s">
        <v>3095</v>
      </c>
      <c r="C1257">
        <v>2024</v>
      </c>
      <c r="D1257" s="18">
        <v>45352</v>
      </c>
      <c r="E1257" s="18">
        <v>45716</v>
      </c>
      <c r="F1257" s="18" t="s">
        <v>611</v>
      </c>
      <c r="G1257" t="s">
        <v>101</v>
      </c>
      <c r="H1257">
        <v>2</v>
      </c>
      <c r="I1257">
        <v>4</v>
      </c>
      <c r="J1257" s="27">
        <v>143022.41</v>
      </c>
      <c r="K1257" s="27">
        <v>10000000</v>
      </c>
    </row>
    <row r="1258" spans="1:11" ht="15" customHeight="1" x14ac:dyDescent="0.2">
      <c r="A1258" t="s">
        <v>3096</v>
      </c>
      <c r="B1258" t="s">
        <v>3097</v>
      </c>
      <c r="C1258">
        <v>2024</v>
      </c>
      <c r="D1258" s="18">
        <v>45353</v>
      </c>
      <c r="E1258" s="18">
        <v>45717</v>
      </c>
      <c r="F1258" s="18" t="s">
        <v>608</v>
      </c>
      <c r="G1258" t="s">
        <v>101</v>
      </c>
      <c r="H1258">
        <v>2</v>
      </c>
      <c r="I1258">
        <v>2</v>
      </c>
      <c r="J1258" s="27">
        <v>167099.51</v>
      </c>
      <c r="K1258" s="27">
        <v>10000000</v>
      </c>
    </row>
    <row r="1259" spans="1:11" ht="15" customHeight="1" x14ac:dyDescent="0.2">
      <c r="A1259" t="s">
        <v>3098</v>
      </c>
      <c r="B1259" t="s">
        <v>3099</v>
      </c>
      <c r="C1259">
        <v>2024</v>
      </c>
      <c r="D1259" s="18">
        <v>45353</v>
      </c>
      <c r="E1259" s="18">
        <v>45717</v>
      </c>
      <c r="F1259" s="18" t="s">
        <v>611</v>
      </c>
      <c r="G1259" t="s">
        <v>102</v>
      </c>
      <c r="H1259">
        <v>1</v>
      </c>
      <c r="I1259">
        <v>1</v>
      </c>
      <c r="J1259" s="27">
        <v>3526.19</v>
      </c>
      <c r="K1259" s="27">
        <v>500000</v>
      </c>
    </row>
    <row r="1260" spans="1:11" ht="15" customHeight="1" x14ac:dyDescent="0.2">
      <c r="A1260" t="s">
        <v>3100</v>
      </c>
      <c r="B1260" t="s">
        <v>3101</v>
      </c>
      <c r="C1260">
        <v>2024</v>
      </c>
      <c r="D1260" s="18">
        <v>45353</v>
      </c>
      <c r="E1260" s="18">
        <v>45717</v>
      </c>
      <c r="F1260" s="18" t="s">
        <v>611</v>
      </c>
      <c r="G1260" t="s">
        <v>101</v>
      </c>
      <c r="H1260">
        <v>1</v>
      </c>
      <c r="I1260">
        <v>1</v>
      </c>
      <c r="J1260" s="27">
        <v>21580</v>
      </c>
      <c r="K1260" s="27">
        <v>1500000</v>
      </c>
    </row>
    <row r="1261" spans="1:11" ht="15" customHeight="1" x14ac:dyDescent="0.2">
      <c r="A1261" t="s">
        <v>3102</v>
      </c>
      <c r="B1261" t="s">
        <v>3103</v>
      </c>
      <c r="C1261">
        <v>2024</v>
      </c>
      <c r="D1261" s="18">
        <v>45353</v>
      </c>
      <c r="E1261" s="18">
        <v>45717</v>
      </c>
      <c r="F1261" s="18" t="s">
        <v>611</v>
      </c>
      <c r="G1261" t="s">
        <v>99</v>
      </c>
      <c r="H1261">
        <v>1</v>
      </c>
      <c r="I1261">
        <v>1</v>
      </c>
      <c r="J1261" s="27">
        <v>35801.85</v>
      </c>
      <c r="K1261" s="27">
        <v>4500000</v>
      </c>
    </row>
    <row r="1262" spans="1:11" ht="15" customHeight="1" x14ac:dyDescent="0.2">
      <c r="A1262" t="s">
        <v>3104</v>
      </c>
      <c r="B1262" t="s">
        <v>3105</v>
      </c>
      <c r="C1262">
        <v>2024</v>
      </c>
      <c r="D1262" s="18">
        <v>45353</v>
      </c>
      <c r="E1262" s="18">
        <v>45717</v>
      </c>
      <c r="F1262" s="18" t="s">
        <v>611</v>
      </c>
      <c r="G1262" t="s">
        <v>99</v>
      </c>
      <c r="H1262">
        <v>2</v>
      </c>
      <c r="I1262">
        <v>4</v>
      </c>
      <c r="J1262" s="27">
        <v>26767.07</v>
      </c>
      <c r="K1262" s="27">
        <v>3000000</v>
      </c>
    </row>
    <row r="1263" spans="1:11" ht="15" customHeight="1" x14ac:dyDescent="0.2">
      <c r="A1263" t="s">
        <v>3106</v>
      </c>
      <c r="B1263" t="s">
        <v>3107</v>
      </c>
      <c r="C1263">
        <v>2024</v>
      </c>
      <c r="D1263" s="18">
        <v>45353</v>
      </c>
      <c r="E1263" s="18">
        <v>45717</v>
      </c>
      <c r="F1263" s="18" t="s">
        <v>611</v>
      </c>
      <c r="G1263" t="s">
        <v>101</v>
      </c>
      <c r="H1263">
        <v>1</v>
      </c>
      <c r="I1263">
        <v>1</v>
      </c>
      <c r="J1263" s="27">
        <v>16049.46</v>
      </c>
      <c r="K1263" s="27">
        <v>1000000</v>
      </c>
    </row>
    <row r="1264" spans="1:11" ht="15" customHeight="1" x14ac:dyDescent="0.2">
      <c r="A1264" t="s">
        <v>3108</v>
      </c>
      <c r="B1264" t="s">
        <v>3109</v>
      </c>
      <c r="C1264">
        <v>2024</v>
      </c>
      <c r="D1264" s="18">
        <v>45353</v>
      </c>
      <c r="E1264" s="18">
        <v>45717</v>
      </c>
      <c r="F1264" s="18" t="s">
        <v>611</v>
      </c>
      <c r="G1264" t="s">
        <v>100</v>
      </c>
      <c r="H1264">
        <v>1</v>
      </c>
      <c r="I1264">
        <v>1</v>
      </c>
      <c r="J1264" s="27">
        <v>50335.76</v>
      </c>
      <c r="K1264" s="27">
        <v>4000000</v>
      </c>
    </row>
    <row r="1265" spans="1:11" ht="15" customHeight="1" x14ac:dyDescent="0.2">
      <c r="A1265" t="s">
        <v>3110</v>
      </c>
      <c r="B1265" t="s">
        <v>3111</v>
      </c>
      <c r="C1265">
        <v>2024</v>
      </c>
      <c r="D1265" s="18">
        <v>45353</v>
      </c>
      <c r="E1265" s="18">
        <v>45717</v>
      </c>
      <c r="F1265" s="18" t="s">
        <v>611</v>
      </c>
      <c r="G1265" t="s">
        <v>100</v>
      </c>
      <c r="H1265">
        <v>1</v>
      </c>
      <c r="I1265">
        <v>1</v>
      </c>
      <c r="J1265" s="27">
        <v>118889.48</v>
      </c>
      <c r="K1265" s="27">
        <v>10000000</v>
      </c>
    </row>
    <row r="1266" spans="1:11" ht="15" customHeight="1" x14ac:dyDescent="0.2">
      <c r="A1266" t="s">
        <v>3112</v>
      </c>
      <c r="B1266" t="s">
        <v>3113</v>
      </c>
      <c r="C1266">
        <v>2024</v>
      </c>
      <c r="D1266" s="18">
        <v>45353</v>
      </c>
      <c r="E1266" s="18">
        <v>45717</v>
      </c>
      <c r="F1266" s="18" t="s">
        <v>611</v>
      </c>
      <c r="G1266" t="s">
        <v>100</v>
      </c>
      <c r="H1266">
        <v>2</v>
      </c>
      <c r="I1266">
        <v>2</v>
      </c>
      <c r="J1266" s="27">
        <v>11130.5</v>
      </c>
      <c r="K1266" s="27">
        <v>1000000</v>
      </c>
    </row>
    <row r="1267" spans="1:11" ht="15" customHeight="1" x14ac:dyDescent="0.2">
      <c r="A1267" t="s">
        <v>3114</v>
      </c>
      <c r="B1267" t="s">
        <v>3115</v>
      </c>
      <c r="C1267">
        <v>2024</v>
      </c>
      <c r="D1267" s="18">
        <v>45353</v>
      </c>
      <c r="E1267" s="18">
        <v>45717</v>
      </c>
      <c r="F1267" s="18" t="s">
        <v>611</v>
      </c>
      <c r="G1267" t="s">
        <v>101</v>
      </c>
      <c r="H1267">
        <v>2</v>
      </c>
      <c r="I1267">
        <v>2</v>
      </c>
      <c r="J1267" s="27">
        <v>32711.34</v>
      </c>
      <c r="K1267" s="27">
        <v>2000000</v>
      </c>
    </row>
    <row r="1268" spans="1:11" ht="15" customHeight="1" x14ac:dyDescent="0.2">
      <c r="A1268" t="s">
        <v>3116</v>
      </c>
      <c r="B1268" t="s">
        <v>3117</v>
      </c>
      <c r="C1268">
        <v>2024</v>
      </c>
      <c r="D1268" s="18">
        <v>45353</v>
      </c>
      <c r="E1268" s="18">
        <v>45717</v>
      </c>
      <c r="F1268" s="18" t="s">
        <v>611</v>
      </c>
      <c r="G1268" t="s">
        <v>102</v>
      </c>
      <c r="H1268">
        <v>3</v>
      </c>
      <c r="I1268">
        <v>6</v>
      </c>
      <c r="J1268" s="27">
        <v>19158.669999999998</v>
      </c>
      <c r="K1268" s="27">
        <v>2500000</v>
      </c>
    </row>
    <row r="1269" spans="1:11" ht="15" customHeight="1" x14ac:dyDescent="0.2">
      <c r="A1269" t="s">
        <v>3118</v>
      </c>
      <c r="B1269" t="s">
        <v>3119</v>
      </c>
      <c r="C1269">
        <v>2024</v>
      </c>
      <c r="D1269" s="18">
        <v>45353</v>
      </c>
      <c r="E1269" s="18">
        <v>45717</v>
      </c>
      <c r="F1269" s="18" t="s">
        <v>611</v>
      </c>
      <c r="G1269" t="s">
        <v>102</v>
      </c>
      <c r="H1269">
        <v>1</v>
      </c>
      <c r="I1269">
        <v>1</v>
      </c>
      <c r="J1269" s="27">
        <v>34878.519999999997</v>
      </c>
      <c r="K1269" s="27">
        <v>5000000</v>
      </c>
    </row>
    <row r="1270" spans="1:11" ht="15" customHeight="1" x14ac:dyDescent="0.2">
      <c r="A1270" t="s">
        <v>3120</v>
      </c>
      <c r="B1270" t="s">
        <v>3121</v>
      </c>
      <c r="C1270">
        <v>2024</v>
      </c>
      <c r="D1270" s="18">
        <v>45354</v>
      </c>
      <c r="E1270" s="18">
        <v>45718</v>
      </c>
      <c r="F1270" s="18" t="s">
        <v>608</v>
      </c>
      <c r="G1270" t="s">
        <v>99</v>
      </c>
      <c r="H1270">
        <v>2</v>
      </c>
      <c r="I1270">
        <v>2</v>
      </c>
      <c r="J1270" s="27">
        <v>39944.04</v>
      </c>
      <c r="K1270" s="27">
        <v>5000000</v>
      </c>
    </row>
    <row r="1271" spans="1:11" ht="15" customHeight="1" x14ac:dyDescent="0.2">
      <c r="A1271" t="s">
        <v>3122</v>
      </c>
      <c r="B1271" t="s">
        <v>3123</v>
      </c>
      <c r="C1271">
        <v>2024</v>
      </c>
      <c r="D1271" s="18">
        <v>45354</v>
      </c>
      <c r="E1271" s="18">
        <v>45718</v>
      </c>
      <c r="F1271" s="18" t="s">
        <v>608</v>
      </c>
      <c r="G1271" t="s">
        <v>99</v>
      </c>
      <c r="H1271">
        <v>1</v>
      </c>
      <c r="I1271">
        <v>2</v>
      </c>
      <c r="J1271" s="27">
        <v>8370.81</v>
      </c>
      <c r="K1271" s="27">
        <v>1000000</v>
      </c>
    </row>
    <row r="1272" spans="1:11" ht="15" customHeight="1" x14ac:dyDescent="0.2">
      <c r="A1272" t="s">
        <v>3124</v>
      </c>
      <c r="B1272" t="s">
        <v>3125</v>
      </c>
      <c r="C1272">
        <v>2024</v>
      </c>
      <c r="D1272" s="18">
        <v>45354</v>
      </c>
      <c r="E1272" s="18">
        <v>45718</v>
      </c>
      <c r="F1272" s="18" t="s">
        <v>608</v>
      </c>
      <c r="G1272" t="s">
        <v>101</v>
      </c>
      <c r="H1272">
        <v>1</v>
      </c>
      <c r="I1272">
        <v>2</v>
      </c>
      <c r="J1272" s="27">
        <v>33851.61</v>
      </c>
      <c r="K1272" s="27">
        <v>2000000</v>
      </c>
    </row>
    <row r="1273" spans="1:11" ht="15" customHeight="1" x14ac:dyDescent="0.2">
      <c r="A1273" t="s">
        <v>3126</v>
      </c>
      <c r="B1273" t="s">
        <v>3127</v>
      </c>
      <c r="C1273">
        <v>2024</v>
      </c>
      <c r="D1273" s="18">
        <v>45354</v>
      </c>
      <c r="E1273" s="18">
        <v>45718</v>
      </c>
      <c r="F1273" s="18" t="s">
        <v>608</v>
      </c>
      <c r="G1273" t="s">
        <v>101</v>
      </c>
      <c r="H1273">
        <v>3</v>
      </c>
      <c r="I1273">
        <v>6</v>
      </c>
      <c r="J1273" s="27">
        <v>41394.78</v>
      </c>
      <c r="K1273" s="27">
        <v>2500000</v>
      </c>
    </row>
    <row r="1274" spans="1:11" ht="15" customHeight="1" x14ac:dyDescent="0.2">
      <c r="A1274" t="s">
        <v>3128</v>
      </c>
      <c r="B1274" t="s">
        <v>3129</v>
      </c>
      <c r="C1274">
        <v>2024</v>
      </c>
      <c r="D1274" s="18">
        <v>45354</v>
      </c>
      <c r="E1274" s="18">
        <v>45718</v>
      </c>
      <c r="F1274" s="18" t="s">
        <v>611</v>
      </c>
      <c r="G1274" t="s">
        <v>100</v>
      </c>
      <c r="H1274">
        <v>1</v>
      </c>
      <c r="I1274">
        <v>1</v>
      </c>
      <c r="J1274" s="27">
        <v>46147.37</v>
      </c>
      <c r="K1274" s="27">
        <v>4000000</v>
      </c>
    </row>
    <row r="1275" spans="1:11" ht="15" customHeight="1" x14ac:dyDescent="0.2">
      <c r="A1275" t="s">
        <v>3130</v>
      </c>
      <c r="B1275" t="s">
        <v>3131</v>
      </c>
      <c r="C1275">
        <v>2024</v>
      </c>
      <c r="D1275" s="18">
        <v>45354</v>
      </c>
      <c r="E1275" s="18">
        <v>45718</v>
      </c>
      <c r="F1275" s="18" t="s">
        <v>611</v>
      </c>
      <c r="G1275" t="s">
        <v>101</v>
      </c>
      <c r="H1275">
        <v>2</v>
      </c>
      <c r="I1275">
        <v>4</v>
      </c>
      <c r="J1275" s="27">
        <v>29075.07</v>
      </c>
      <c r="K1275" s="27">
        <v>2000000</v>
      </c>
    </row>
    <row r="1276" spans="1:11" ht="15" customHeight="1" x14ac:dyDescent="0.2">
      <c r="A1276" t="s">
        <v>3132</v>
      </c>
      <c r="B1276" t="s">
        <v>3133</v>
      </c>
      <c r="C1276">
        <v>2024</v>
      </c>
      <c r="D1276" s="18">
        <v>45354</v>
      </c>
      <c r="E1276" s="18">
        <v>45718</v>
      </c>
      <c r="F1276" s="18" t="s">
        <v>611</v>
      </c>
      <c r="G1276" t="s">
        <v>101</v>
      </c>
      <c r="H1276">
        <v>1</v>
      </c>
      <c r="I1276">
        <v>2</v>
      </c>
      <c r="J1276" s="27">
        <v>152387.17000000001</v>
      </c>
      <c r="K1276" s="27">
        <v>10000000</v>
      </c>
    </row>
    <row r="1277" spans="1:11" ht="15" customHeight="1" x14ac:dyDescent="0.2">
      <c r="A1277" t="s">
        <v>3134</v>
      </c>
      <c r="B1277" t="s">
        <v>3135</v>
      </c>
      <c r="C1277">
        <v>2024</v>
      </c>
      <c r="D1277" s="18">
        <v>45355</v>
      </c>
      <c r="E1277" s="18">
        <v>45719</v>
      </c>
      <c r="F1277" s="18" t="s">
        <v>611</v>
      </c>
      <c r="G1277" t="s">
        <v>102</v>
      </c>
      <c r="H1277">
        <v>1</v>
      </c>
      <c r="I1277">
        <v>1</v>
      </c>
      <c r="J1277" s="27">
        <v>39005.760000000002</v>
      </c>
      <c r="K1277" s="27">
        <v>5000000</v>
      </c>
    </row>
    <row r="1278" spans="1:11" ht="15" customHeight="1" x14ac:dyDescent="0.2">
      <c r="A1278" t="s">
        <v>3136</v>
      </c>
      <c r="B1278" t="s">
        <v>3137</v>
      </c>
      <c r="C1278">
        <v>2024</v>
      </c>
      <c r="D1278" s="18">
        <v>45355</v>
      </c>
      <c r="E1278" s="18">
        <v>45719</v>
      </c>
      <c r="F1278" s="18" t="s">
        <v>611</v>
      </c>
      <c r="G1278" t="s">
        <v>101</v>
      </c>
      <c r="H1278">
        <v>2</v>
      </c>
      <c r="I1278">
        <v>4</v>
      </c>
      <c r="J1278" s="27">
        <v>15980.85</v>
      </c>
      <c r="K1278" s="27">
        <v>1000000</v>
      </c>
    </row>
    <row r="1279" spans="1:11" ht="15" customHeight="1" x14ac:dyDescent="0.2">
      <c r="A1279" t="s">
        <v>3138</v>
      </c>
      <c r="B1279" t="s">
        <v>3139</v>
      </c>
      <c r="C1279">
        <v>2024</v>
      </c>
      <c r="D1279" s="18">
        <v>45355</v>
      </c>
      <c r="E1279" s="18">
        <v>45719</v>
      </c>
      <c r="F1279" s="18" t="s">
        <v>611</v>
      </c>
      <c r="G1279" t="s">
        <v>101</v>
      </c>
      <c r="H1279">
        <v>1</v>
      </c>
      <c r="I1279">
        <v>2</v>
      </c>
      <c r="J1279" s="27">
        <v>7681.13</v>
      </c>
      <c r="K1279" s="27">
        <v>500000</v>
      </c>
    </row>
    <row r="1280" spans="1:11" ht="15" customHeight="1" x14ac:dyDescent="0.2">
      <c r="A1280" t="s">
        <v>3140</v>
      </c>
      <c r="B1280" t="s">
        <v>3141</v>
      </c>
      <c r="C1280">
        <v>2024</v>
      </c>
      <c r="D1280" s="18">
        <v>45355</v>
      </c>
      <c r="E1280" s="18">
        <v>45719</v>
      </c>
      <c r="F1280" s="18" t="s">
        <v>611</v>
      </c>
      <c r="G1280" t="s">
        <v>99</v>
      </c>
      <c r="H1280">
        <v>3</v>
      </c>
      <c r="I1280">
        <v>3</v>
      </c>
      <c r="J1280" s="27">
        <v>22855.87</v>
      </c>
      <c r="K1280" s="27">
        <v>2500000</v>
      </c>
    </row>
    <row r="1281" spans="1:11" ht="15" customHeight="1" x14ac:dyDescent="0.2">
      <c r="A1281" t="s">
        <v>3142</v>
      </c>
      <c r="B1281" t="s">
        <v>3143</v>
      </c>
      <c r="C1281">
        <v>2024</v>
      </c>
      <c r="D1281" s="18">
        <v>45355</v>
      </c>
      <c r="E1281" s="18">
        <v>45719</v>
      </c>
      <c r="F1281" s="18" t="s">
        <v>611</v>
      </c>
      <c r="G1281" t="s">
        <v>101</v>
      </c>
      <c r="H1281">
        <v>1</v>
      </c>
      <c r="I1281">
        <v>2</v>
      </c>
      <c r="J1281" s="27">
        <v>38347.94</v>
      </c>
      <c r="K1281" s="27">
        <v>2500000</v>
      </c>
    </row>
    <row r="1282" spans="1:11" ht="15" customHeight="1" x14ac:dyDescent="0.2">
      <c r="A1282" t="s">
        <v>3144</v>
      </c>
      <c r="B1282" t="s">
        <v>3145</v>
      </c>
      <c r="C1282">
        <v>2024</v>
      </c>
      <c r="D1282" s="18">
        <v>45355</v>
      </c>
      <c r="E1282" s="18">
        <v>45719</v>
      </c>
      <c r="F1282" s="18" t="s">
        <v>611</v>
      </c>
      <c r="G1282" t="s">
        <v>100</v>
      </c>
      <c r="H1282">
        <v>1</v>
      </c>
      <c r="I1282">
        <v>2</v>
      </c>
      <c r="J1282" s="27">
        <v>20011.84</v>
      </c>
      <c r="K1282" s="27">
        <v>1500000</v>
      </c>
    </row>
    <row r="1283" spans="1:11" ht="15" customHeight="1" x14ac:dyDescent="0.2">
      <c r="A1283" t="s">
        <v>3146</v>
      </c>
      <c r="B1283" t="s">
        <v>3147</v>
      </c>
      <c r="C1283">
        <v>2024</v>
      </c>
      <c r="D1283" s="18">
        <v>45355</v>
      </c>
      <c r="E1283" s="18">
        <v>45719</v>
      </c>
      <c r="F1283" s="18" t="s">
        <v>611</v>
      </c>
      <c r="G1283" t="s">
        <v>99</v>
      </c>
      <c r="H1283">
        <v>1</v>
      </c>
      <c r="I1283">
        <v>2</v>
      </c>
      <c r="J1283" s="27">
        <v>41398.43</v>
      </c>
      <c r="K1283" s="27">
        <v>5000000</v>
      </c>
    </row>
    <row r="1284" spans="1:11" ht="15" customHeight="1" x14ac:dyDescent="0.2">
      <c r="A1284" t="s">
        <v>3148</v>
      </c>
      <c r="B1284" t="s">
        <v>3149</v>
      </c>
      <c r="C1284">
        <v>2024</v>
      </c>
      <c r="D1284" s="18">
        <v>45355</v>
      </c>
      <c r="E1284" s="18">
        <v>45719</v>
      </c>
      <c r="F1284" s="18" t="s">
        <v>611</v>
      </c>
      <c r="G1284" t="s">
        <v>99</v>
      </c>
      <c r="H1284">
        <v>1</v>
      </c>
      <c r="I1284">
        <v>2</v>
      </c>
      <c r="J1284" s="27">
        <v>15621.45</v>
      </c>
      <c r="K1284" s="27">
        <v>2000000</v>
      </c>
    </row>
    <row r="1285" spans="1:11" ht="15" customHeight="1" x14ac:dyDescent="0.2">
      <c r="A1285" t="s">
        <v>3150</v>
      </c>
      <c r="B1285" t="s">
        <v>3151</v>
      </c>
      <c r="C1285">
        <v>2024</v>
      </c>
      <c r="D1285" s="18">
        <v>45355</v>
      </c>
      <c r="E1285" s="18">
        <v>45719</v>
      </c>
      <c r="F1285" s="18" t="s">
        <v>611</v>
      </c>
      <c r="G1285" t="s">
        <v>99</v>
      </c>
      <c r="H1285">
        <v>1</v>
      </c>
      <c r="I1285">
        <v>2</v>
      </c>
      <c r="J1285" s="27">
        <v>40014.839999999997</v>
      </c>
      <c r="K1285" s="27">
        <v>4500000</v>
      </c>
    </row>
    <row r="1286" spans="1:11" ht="15" customHeight="1" x14ac:dyDescent="0.2">
      <c r="A1286" t="s">
        <v>3152</v>
      </c>
      <c r="B1286" t="s">
        <v>3153</v>
      </c>
      <c r="C1286">
        <v>2024</v>
      </c>
      <c r="D1286" s="18">
        <v>45355</v>
      </c>
      <c r="E1286" s="18">
        <v>45719</v>
      </c>
      <c r="F1286" s="18" t="s">
        <v>611</v>
      </c>
      <c r="G1286" t="s">
        <v>99</v>
      </c>
      <c r="H1286">
        <v>1</v>
      </c>
      <c r="I1286">
        <v>1</v>
      </c>
      <c r="J1286" s="27">
        <v>4089.17</v>
      </c>
      <c r="K1286" s="27">
        <v>500000</v>
      </c>
    </row>
    <row r="1287" spans="1:11" ht="15" customHeight="1" x14ac:dyDescent="0.2">
      <c r="A1287" t="s">
        <v>3154</v>
      </c>
      <c r="B1287" t="s">
        <v>3155</v>
      </c>
      <c r="C1287">
        <v>2024</v>
      </c>
      <c r="D1287" s="18">
        <v>45355</v>
      </c>
      <c r="E1287" s="18">
        <v>45719</v>
      </c>
      <c r="F1287" s="18" t="s">
        <v>611</v>
      </c>
      <c r="G1287" t="s">
        <v>101</v>
      </c>
      <c r="H1287">
        <v>3</v>
      </c>
      <c r="I1287">
        <v>6</v>
      </c>
      <c r="J1287" s="27">
        <v>14914.93</v>
      </c>
      <c r="K1287" s="27">
        <v>1000000</v>
      </c>
    </row>
    <row r="1288" spans="1:11" ht="15" customHeight="1" x14ac:dyDescent="0.2">
      <c r="A1288" t="s">
        <v>3156</v>
      </c>
      <c r="B1288" t="s">
        <v>3157</v>
      </c>
      <c r="C1288">
        <v>2024</v>
      </c>
      <c r="D1288" s="18">
        <v>45355</v>
      </c>
      <c r="E1288" s="18">
        <v>45719</v>
      </c>
      <c r="F1288" s="18" t="s">
        <v>611</v>
      </c>
      <c r="G1288" t="s">
        <v>100</v>
      </c>
      <c r="H1288">
        <v>3</v>
      </c>
      <c r="I1288">
        <v>6</v>
      </c>
      <c r="J1288" s="27">
        <v>53376.4</v>
      </c>
      <c r="K1288" s="27">
        <v>4500000</v>
      </c>
    </row>
    <row r="1289" spans="1:11" ht="15" customHeight="1" x14ac:dyDescent="0.2">
      <c r="A1289" t="s">
        <v>3158</v>
      </c>
      <c r="B1289" t="s">
        <v>3159</v>
      </c>
      <c r="C1289">
        <v>2024</v>
      </c>
      <c r="D1289" s="18">
        <v>45356</v>
      </c>
      <c r="E1289" s="18">
        <v>45720</v>
      </c>
      <c r="F1289" s="18" t="s">
        <v>608</v>
      </c>
      <c r="G1289" t="s">
        <v>102</v>
      </c>
      <c r="H1289">
        <v>1</v>
      </c>
      <c r="I1289">
        <v>2</v>
      </c>
      <c r="J1289" s="27">
        <v>30557.19</v>
      </c>
      <c r="K1289" s="27">
        <v>4500000</v>
      </c>
    </row>
    <row r="1290" spans="1:11" ht="15" customHeight="1" x14ac:dyDescent="0.2">
      <c r="A1290" t="s">
        <v>3160</v>
      </c>
      <c r="B1290" t="s">
        <v>3161</v>
      </c>
      <c r="C1290">
        <v>2024</v>
      </c>
      <c r="D1290" s="18">
        <v>45356</v>
      </c>
      <c r="E1290" s="18">
        <v>45720</v>
      </c>
      <c r="F1290" s="18" t="s">
        <v>608</v>
      </c>
      <c r="G1290" t="s">
        <v>101</v>
      </c>
      <c r="H1290">
        <v>1</v>
      </c>
      <c r="I1290">
        <v>1</v>
      </c>
      <c r="J1290" s="27">
        <v>31502.95</v>
      </c>
      <c r="K1290" s="27">
        <v>2000000</v>
      </c>
    </row>
    <row r="1291" spans="1:11" ht="15" customHeight="1" x14ac:dyDescent="0.2">
      <c r="A1291" t="s">
        <v>3162</v>
      </c>
      <c r="B1291" t="s">
        <v>3163</v>
      </c>
      <c r="C1291">
        <v>2024</v>
      </c>
      <c r="D1291" s="18">
        <v>45356</v>
      </c>
      <c r="E1291" s="18">
        <v>45720</v>
      </c>
      <c r="F1291" s="18" t="s">
        <v>608</v>
      </c>
      <c r="G1291" t="s">
        <v>100</v>
      </c>
      <c r="H1291">
        <v>2</v>
      </c>
      <c r="I1291">
        <v>4</v>
      </c>
      <c r="J1291" s="27">
        <v>13353.55</v>
      </c>
      <c r="K1291" s="27">
        <v>1000000</v>
      </c>
    </row>
    <row r="1292" spans="1:11" ht="15" customHeight="1" x14ac:dyDescent="0.2">
      <c r="A1292" t="s">
        <v>3164</v>
      </c>
      <c r="B1292" t="s">
        <v>3165</v>
      </c>
      <c r="C1292">
        <v>2024</v>
      </c>
      <c r="D1292" s="18">
        <v>45356</v>
      </c>
      <c r="E1292" s="18">
        <v>45720</v>
      </c>
      <c r="F1292" s="18" t="s">
        <v>611</v>
      </c>
      <c r="G1292" t="s">
        <v>101</v>
      </c>
      <c r="H1292">
        <v>1</v>
      </c>
      <c r="I1292">
        <v>1</v>
      </c>
      <c r="J1292" s="27">
        <v>170216.63</v>
      </c>
      <c r="K1292" s="27">
        <v>10000000</v>
      </c>
    </row>
    <row r="1293" spans="1:11" ht="15" customHeight="1" x14ac:dyDescent="0.2">
      <c r="A1293" t="s">
        <v>3166</v>
      </c>
      <c r="B1293" t="s">
        <v>3167</v>
      </c>
      <c r="C1293">
        <v>2024</v>
      </c>
      <c r="D1293" s="18">
        <v>45356</v>
      </c>
      <c r="E1293" s="18">
        <v>45720</v>
      </c>
      <c r="F1293" s="18" t="s">
        <v>611</v>
      </c>
      <c r="G1293" t="s">
        <v>101</v>
      </c>
      <c r="H1293">
        <v>2</v>
      </c>
      <c r="I1293">
        <v>2</v>
      </c>
      <c r="J1293" s="27">
        <v>8032.43</v>
      </c>
      <c r="K1293" s="27">
        <v>500000</v>
      </c>
    </row>
    <row r="1294" spans="1:11" ht="15" customHeight="1" x14ac:dyDescent="0.2">
      <c r="A1294" t="s">
        <v>3168</v>
      </c>
      <c r="B1294" t="s">
        <v>3169</v>
      </c>
      <c r="C1294">
        <v>2024</v>
      </c>
      <c r="D1294" s="18">
        <v>45356</v>
      </c>
      <c r="E1294" s="18">
        <v>45720</v>
      </c>
      <c r="F1294" s="18" t="s">
        <v>611</v>
      </c>
      <c r="G1294" t="s">
        <v>100</v>
      </c>
      <c r="H1294">
        <v>3</v>
      </c>
      <c r="I1294">
        <v>3</v>
      </c>
      <c r="J1294" s="27">
        <v>61947.98</v>
      </c>
      <c r="K1294" s="27">
        <v>5000000</v>
      </c>
    </row>
    <row r="1295" spans="1:11" ht="15" customHeight="1" x14ac:dyDescent="0.2">
      <c r="A1295" t="s">
        <v>3170</v>
      </c>
      <c r="B1295" t="s">
        <v>3171</v>
      </c>
      <c r="C1295">
        <v>2024</v>
      </c>
      <c r="D1295" s="18">
        <v>45356</v>
      </c>
      <c r="E1295" s="18">
        <v>45720</v>
      </c>
      <c r="F1295" s="18" t="s">
        <v>611</v>
      </c>
      <c r="G1295" t="s">
        <v>100</v>
      </c>
      <c r="H1295">
        <v>1</v>
      </c>
      <c r="I1295">
        <v>1</v>
      </c>
      <c r="J1295" s="27">
        <v>56246.45</v>
      </c>
      <c r="K1295" s="27">
        <v>5000000</v>
      </c>
    </row>
    <row r="1296" spans="1:11" ht="15" customHeight="1" x14ac:dyDescent="0.2">
      <c r="A1296" t="s">
        <v>3172</v>
      </c>
      <c r="B1296" t="s">
        <v>3173</v>
      </c>
      <c r="C1296">
        <v>2024</v>
      </c>
      <c r="D1296" s="18">
        <v>45356</v>
      </c>
      <c r="E1296" s="18">
        <v>45720</v>
      </c>
      <c r="F1296" s="18" t="s">
        <v>611</v>
      </c>
      <c r="G1296" t="s">
        <v>100</v>
      </c>
      <c r="H1296">
        <v>2</v>
      </c>
      <c r="I1296">
        <v>2</v>
      </c>
      <c r="J1296" s="27">
        <v>24214.33</v>
      </c>
      <c r="K1296" s="27">
        <v>2000000</v>
      </c>
    </row>
    <row r="1297" spans="1:11" ht="15" customHeight="1" x14ac:dyDescent="0.2">
      <c r="A1297" t="s">
        <v>3174</v>
      </c>
      <c r="B1297" t="s">
        <v>3175</v>
      </c>
      <c r="C1297">
        <v>2024</v>
      </c>
      <c r="D1297" s="18">
        <v>45356</v>
      </c>
      <c r="E1297" s="18">
        <v>45720</v>
      </c>
      <c r="F1297" s="18" t="s">
        <v>611</v>
      </c>
      <c r="G1297" t="s">
        <v>100</v>
      </c>
      <c r="H1297">
        <v>3</v>
      </c>
      <c r="I1297">
        <v>6</v>
      </c>
      <c r="J1297" s="27">
        <v>23179.02</v>
      </c>
      <c r="K1297" s="27">
        <v>2000000</v>
      </c>
    </row>
    <row r="1298" spans="1:11" ht="15" customHeight="1" x14ac:dyDescent="0.2">
      <c r="A1298" t="s">
        <v>3176</v>
      </c>
      <c r="B1298" t="s">
        <v>3177</v>
      </c>
      <c r="C1298">
        <v>2024</v>
      </c>
      <c r="D1298" s="18">
        <v>45356</v>
      </c>
      <c r="E1298" s="18">
        <v>45720</v>
      </c>
      <c r="F1298" s="18" t="s">
        <v>611</v>
      </c>
      <c r="G1298" t="s">
        <v>99</v>
      </c>
      <c r="H1298">
        <v>3</v>
      </c>
      <c r="I1298">
        <v>6</v>
      </c>
      <c r="J1298" s="27">
        <v>31051.54</v>
      </c>
      <c r="K1298" s="27">
        <v>3500000</v>
      </c>
    </row>
    <row r="1299" spans="1:11" ht="15" customHeight="1" x14ac:dyDescent="0.2">
      <c r="A1299" t="s">
        <v>3178</v>
      </c>
      <c r="B1299" t="s">
        <v>3179</v>
      </c>
      <c r="C1299">
        <v>2024</v>
      </c>
      <c r="D1299" s="18">
        <v>45356</v>
      </c>
      <c r="E1299" s="18">
        <v>45720</v>
      </c>
      <c r="F1299" s="18" t="s">
        <v>611</v>
      </c>
      <c r="G1299" t="s">
        <v>99</v>
      </c>
      <c r="H1299">
        <v>2</v>
      </c>
      <c r="I1299">
        <v>2</v>
      </c>
      <c r="J1299" s="27">
        <v>25648.28</v>
      </c>
      <c r="K1299" s="27">
        <v>3000000</v>
      </c>
    </row>
    <row r="1300" spans="1:11" ht="15" customHeight="1" x14ac:dyDescent="0.2">
      <c r="A1300" t="s">
        <v>3180</v>
      </c>
      <c r="B1300" t="s">
        <v>3181</v>
      </c>
      <c r="C1300">
        <v>2024</v>
      </c>
      <c r="D1300" s="18">
        <v>45356</v>
      </c>
      <c r="E1300" s="18">
        <v>45720</v>
      </c>
      <c r="F1300" s="18" t="s">
        <v>611</v>
      </c>
      <c r="G1300" t="s">
        <v>99</v>
      </c>
      <c r="H1300">
        <v>1</v>
      </c>
      <c r="I1300">
        <v>2</v>
      </c>
      <c r="J1300" s="27">
        <v>39929.69</v>
      </c>
      <c r="K1300" s="27">
        <v>5000000</v>
      </c>
    </row>
    <row r="1301" spans="1:11" ht="15" customHeight="1" x14ac:dyDescent="0.2">
      <c r="A1301" t="s">
        <v>3182</v>
      </c>
      <c r="B1301" t="s">
        <v>3183</v>
      </c>
      <c r="C1301">
        <v>2024</v>
      </c>
      <c r="D1301" s="18">
        <v>45356</v>
      </c>
      <c r="E1301" s="18">
        <v>45720</v>
      </c>
      <c r="F1301" s="18" t="s">
        <v>611</v>
      </c>
      <c r="G1301" t="s">
        <v>101</v>
      </c>
      <c r="H1301">
        <v>1</v>
      </c>
      <c r="I1301">
        <v>1</v>
      </c>
      <c r="J1301" s="27">
        <v>41022.21</v>
      </c>
      <c r="K1301" s="27">
        <v>2500000</v>
      </c>
    </row>
    <row r="1302" spans="1:11" ht="15" customHeight="1" x14ac:dyDescent="0.2">
      <c r="A1302" t="s">
        <v>3184</v>
      </c>
      <c r="B1302" t="s">
        <v>3185</v>
      </c>
      <c r="C1302">
        <v>2024</v>
      </c>
      <c r="D1302" s="18">
        <v>45357</v>
      </c>
      <c r="E1302" s="18">
        <v>45721</v>
      </c>
      <c r="F1302" s="18" t="s">
        <v>608</v>
      </c>
      <c r="G1302" t="s">
        <v>101</v>
      </c>
      <c r="H1302">
        <v>2</v>
      </c>
      <c r="I1302">
        <v>4</v>
      </c>
      <c r="J1302" s="27">
        <v>66605.63</v>
      </c>
      <c r="K1302" s="27">
        <v>4000000</v>
      </c>
    </row>
    <row r="1303" spans="1:11" ht="15" customHeight="1" x14ac:dyDescent="0.2">
      <c r="A1303" t="s">
        <v>3186</v>
      </c>
      <c r="B1303" t="s">
        <v>3187</v>
      </c>
      <c r="C1303">
        <v>2024</v>
      </c>
      <c r="D1303" s="18">
        <v>45357</v>
      </c>
      <c r="E1303" s="18">
        <v>45721</v>
      </c>
      <c r="F1303" s="18" t="s">
        <v>608</v>
      </c>
      <c r="G1303" t="s">
        <v>100</v>
      </c>
      <c r="H1303">
        <v>2</v>
      </c>
      <c r="I1303">
        <v>2</v>
      </c>
      <c r="J1303" s="27">
        <v>127603.68</v>
      </c>
      <c r="K1303" s="27">
        <v>10000000</v>
      </c>
    </row>
    <row r="1304" spans="1:11" ht="15" customHeight="1" x14ac:dyDescent="0.2">
      <c r="A1304" t="s">
        <v>3188</v>
      </c>
      <c r="B1304" t="s">
        <v>3189</v>
      </c>
      <c r="C1304">
        <v>2024</v>
      </c>
      <c r="D1304" s="18">
        <v>45357</v>
      </c>
      <c r="E1304" s="18">
        <v>45721</v>
      </c>
      <c r="F1304" s="18" t="s">
        <v>608</v>
      </c>
      <c r="G1304" t="s">
        <v>101</v>
      </c>
      <c r="H1304">
        <v>1</v>
      </c>
      <c r="I1304">
        <v>1</v>
      </c>
      <c r="J1304" s="27">
        <v>61544.13</v>
      </c>
      <c r="K1304" s="27">
        <v>4000000</v>
      </c>
    </row>
    <row r="1305" spans="1:11" ht="15" customHeight="1" x14ac:dyDescent="0.2">
      <c r="A1305" t="s">
        <v>3190</v>
      </c>
      <c r="B1305" t="s">
        <v>3191</v>
      </c>
      <c r="C1305">
        <v>2024</v>
      </c>
      <c r="D1305" s="18">
        <v>45357</v>
      </c>
      <c r="E1305" s="18">
        <v>45721</v>
      </c>
      <c r="F1305" s="18" t="s">
        <v>611</v>
      </c>
      <c r="G1305" t="s">
        <v>99</v>
      </c>
      <c r="H1305">
        <v>2</v>
      </c>
      <c r="I1305">
        <v>4</v>
      </c>
      <c r="J1305" s="27">
        <v>33670.410000000003</v>
      </c>
      <c r="K1305" s="27">
        <v>4000000</v>
      </c>
    </row>
    <row r="1306" spans="1:11" ht="15" customHeight="1" x14ac:dyDescent="0.2">
      <c r="A1306" t="s">
        <v>3192</v>
      </c>
      <c r="B1306" t="s">
        <v>3193</v>
      </c>
      <c r="C1306">
        <v>2024</v>
      </c>
      <c r="D1306" s="18">
        <v>45357</v>
      </c>
      <c r="E1306" s="18">
        <v>45721</v>
      </c>
      <c r="F1306" s="18" t="s">
        <v>611</v>
      </c>
      <c r="G1306" t="s">
        <v>99</v>
      </c>
      <c r="H1306">
        <v>3</v>
      </c>
      <c r="I1306">
        <v>3</v>
      </c>
      <c r="J1306" s="27">
        <v>15769.53</v>
      </c>
      <c r="K1306" s="27">
        <v>2000000</v>
      </c>
    </row>
    <row r="1307" spans="1:11" ht="15" customHeight="1" x14ac:dyDescent="0.2">
      <c r="A1307" t="s">
        <v>3194</v>
      </c>
      <c r="B1307" t="s">
        <v>3195</v>
      </c>
      <c r="C1307">
        <v>2024</v>
      </c>
      <c r="D1307" s="18">
        <v>45357</v>
      </c>
      <c r="E1307" s="18">
        <v>45721</v>
      </c>
      <c r="F1307" s="18" t="s">
        <v>611</v>
      </c>
      <c r="G1307" t="s">
        <v>101</v>
      </c>
      <c r="H1307">
        <v>2</v>
      </c>
      <c r="I1307">
        <v>2</v>
      </c>
      <c r="J1307" s="27">
        <v>83959.75</v>
      </c>
      <c r="K1307" s="27">
        <v>5000000</v>
      </c>
    </row>
    <row r="1308" spans="1:11" ht="15" customHeight="1" x14ac:dyDescent="0.2">
      <c r="A1308" t="s">
        <v>3196</v>
      </c>
      <c r="B1308" t="s">
        <v>3197</v>
      </c>
      <c r="C1308">
        <v>2024</v>
      </c>
      <c r="D1308" s="18">
        <v>45357</v>
      </c>
      <c r="E1308" s="18">
        <v>45721</v>
      </c>
      <c r="F1308" s="18" t="s">
        <v>611</v>
      </c>
      <c r="G1308" t="s">
        <v>101</v>
      </c>
      <c r="H1308">
        <v>1</v>
      </c>
      <c r="I1308">
        <v>2</v>
      </c>
      <c r="J1308" s="27">
        <v>37776.01</v>
      </c>
      <c r="K1308" s="27">
        <v>2500000</v>
      </c>
    </row>
    <row r="1309" spans="1:11" ht="15" customHeight="1" x14ac:dyDescent="0.2">
      <c r="A1309" t="s">
        <v>3198</v>
      </c>
      <c r="B1309" t="s">
        <v>3199</v>
      </c>
      <c r="C1309">
        <v>2024</v>
      </c>
      <c r="D1309" s="18">
        <v>45357</v>
      </c>
      <c r="E1309" s="18">
        <v>45721</v>
      </c>
      <c r="F1309" s="18" t="s">
        <v>611</v>
      </c>
      <c r="G1309" t="s">
        <v>102</v>
      </c>
      <c r="H1309">
        <v>2</v>
      </c>
      <c r="I1309">
        <v>2</v>
      </c>
      <c r="J1309" s="27">
        <v>33856.559999999998</v>
      </c>
      <c r="K1309" s="27">
        <v>5000000</v>
      </c>
    </row>
    <row r="1310" spans="1:11" ht="15" customHeight="1" x14ac:dyDescent="0.2">
      <c r="A1310" t="s">
        <v>3200</v>
      </c>
      <c r="B1310" t="s">
        <v>3201</v>
      </c>
      <c r="C1310">
        <v>2024</v>
      </c>
      <c r="D1310" s="18">
        <v>45358</v>
      </c>
      <c r="E1310" s="18">
        <v>45722</v>
      </c>
      <c r="F1310" s="18" t="s">
        <v>608</v>
      </c>
      <c r="G1310" t="s">
        <v>99</v>
      </c>
      <c r="H1310">
        <v>1</v>
      </c>
      <c r="I1310">
        <v>1</v>
      </c>
      <c r="J1310" s="27">
        <v>39212.230000000003</v>
      </c>
      <c r="K1310" s="27">
        <v>4500000</v>
      </c>
    </row>
    <row r="1311" spans="1:11" ht="15" customHeight="1" x14ac:dyDescent="0.2">
      <c r="A1311" t="s">
        <v>3202</v>
      </c>
      <c r="B1311" t="s">
        <v>3203</v>
      </c>
      <c r="C1311">
        <v>2024</v>
      </c>
      <c r="D1311" s="18">
        <v>45358</v>
      </c>
      <c r="E1311" s="18">
        <v>45722</v>
      </c>
      <c r="F1311" s="18" t="s">
        <v>608</v>
      </c>
      <c r="G1311" t="s">
        <v>101</v>
      </c>
      <c r="H1311">
        <v>1</v>
      </c>
      <c r="I1311">
        <v>2</v>
      </c>
      <c r="J1311" s="27">
        <v>142363.35</v>
      </c>
      <c r="K1311" s="27">
        <v>10000000</v>
      </c>
    </row>
    <row r="1312" spans="1:11" ht="15" customHeight="1" x14ac:dyDescent="0.2">
      <c r="A1312" t="s">
        <v>3204</v>
      </c>
      <c r="B1312" t="s">
        <v>3205</v>
      </c>
      <c r="C1312">
        <v>2024</v>
      </c>
      <c r="D1312" s="18">
        <v>45358</v>
      </c>
      <c r="E1312" s="18">
        <v>45722</v>
      </c>
      <c r="F1312" s="18" t="s">
        <v>608</v>
      </c>
      <c r="G1312" t="s">
        <v>101</v>
      </c>
      <c r="H1312">
        <v>2</v>
      </c>
      <c r="I1312">
        <v>2</v>
      </c>
      <c r="J1312" s="27">
        <v>58620.55</v>
      </c>
      <c r="K1312" s="27">
        <v>4000000</v>
      </c>
    </row>
    <row r="1313" spans="1:11" ht="15" customHeight="1" x14ac:dyDescent="0.2">
      <c r="A1313" t="s">
        <v>3206</v>
      </c>
      <c r="B1313" t="s">
        <v>3207</v>
      </c>
      <c r="C1313">
        <v>2024</v>
      </c>
      <c r="D1313" s="18">
        <v>45358</v>
      </c>
      <c r="E1313" s="18">
        <v>45722</v>
      </c>
      <c r="F1313" s="18" t="s">
        <v>608</v>
      </c>
      <c r="G1313" t="s">
        <v>99</v>
      </c>
      <c r="H1313">
        <v>1</v>
      </c>
      <c r="I1313">
        <v>1</v>
      </c>
      <c r="J1313" s="27">
        <v>27863.48</v>
      </c>
      <c r="K1313" s="27">
        <v>3500000</v>
      </c>
    </row>
    <row r="1314" spans="1:11" ht="15" customHeight="1" x14ac:dyDescent="0.2">
      <c r="A1314" t="s">
        <v>3208</v>
      </c>
      <c r="B1314" t="s">
        <v>3209</v>
      </c>
      <c r="C1314">
        <v>2024</v>
      </c>
      <c r="D1314" s="18">
        <v>45358</v>
      </c>
      <c r="E1314" s="18">
        <v>45722</v>
      </c>
      <c r="F1314" s="18" t="s">
        <v>611</v>
      </c>
      <c r="G1314" t="s">
        <v>100</v>
      </c>
      <c r="H1314">
        <v>1</v>
      </c>
      <c r="I1314">
        <v>1</v>
      </c>
      <c r="J1314" s="27">
        <v>25048.17</v>
      </c>
      <c r="K1314" s="27">
        <v>2000000</v>
      </c>
    </row>
    <row r="1315" spans="1:11" ht="15" customHeight="1" x14ac:dyDescent="0.2">
      <c r="A1315" t="s">
        <v>3210</v>
      </c>
      <c r="B1315" t="s">
        <v>3211</v>
      </c>
      <c r="C1315">
        <v>2024</v>
      </c>
      <c r="D1315" s="18">
        <v>45358</v>
      </c>
      <c r="E1315" s="18">
        <v>45722</v>
      </c>
      <c r="F1315" s="18" t="s">
        <v>611</v>
      </c>
      <c r="G1315" t="s">
        <v>100</v>
      </c>
      <c r="H1315">
        <v>3</v>
      </c>
      <c r="I1315">
        <v>6</v>
      </c>
      <c r="J1315" s="27">
        <v>60688.3</v>
      </c>
      <c r="K1315" s="27">
        <v>5000000</v>
      </c>
    </row>
    <row r="1316" spans="1:11" ht="15" customHeight="1" x14ac:dyDescent="0.2">
      <c r="A1316" t="s">
        <v>3212</v>
      </c>
      <c r="B1316" t="s">
        <v>3213</v>
      </c>
      <c r="C1316">
        <v>2024</v>
      </c>
      <c r="D1316" s="18">
        <v>45358</v>
      </c>
      <c r="E1316" s="18">
        <v>45722</v>
      </c>
      <c r="F1316" s="18" t="s">
        <v>611</v>
      </c>
      <c r="G1316" t="s">
        <v>100</v>
      </c>
      <c r="H1316">
        <v>1</v>
      </c>
      <c r="I1316">
        <v>1</v>
      </c>
      <c r="J1316" s="27">
        <v>59195.05</v>
      </c>
      <c r="K1316" s="27">
        <v>5000000</v>
      </c>
    </row>
    <row r="1317" spans="1:11" ht="15" customHeight="1" x14ac:dyDescent="0.2">
      <c r="A1317" t="s">
        <v>3214</v>
      </c>
      <c r="B1317" t="s">
        <v>3215</v>
      </c>
      <c r="C1317">
        <v>2024</v>
      </c>
      <c r="D1317" s="18">
        <v>45358</v>
      </c>
      <c r="E1317" s="18">
        <v>45722</v>
      </c>
      <c r="F1317" s="18" t="s">
        <v>611</v>
      </c>
      <c r="G1317" t="s">
        <v>101</v>
      </c>
      <c r="H1317">
        <v>1</v>
      </c>
      <c r="I1317">
        <v>1</v>
      </c>
      <c r="J1317" s="27">
        <v>7348.67</v>
      </c>
      <c r="K1317" s="27">
        <v>500000</v>
      </c>
    </row>
    <row r="1318" spans="1:11" ht="15" customHeight="1" x14ac:dyDescent="0.2">
      <c r="A1318" t="s">
        <v>3216</v>
      </c>
      <c r="B1318" t="s">
        <v>3217</v>
      </c>
      <c r="C1318">
        <v>2024</v>
      </c>
      <c r="D1318" s="18">
        <v>45358</v>
      </c>
      <c r="E1318" s="18">
        <v>45722</v>
      </c>
      <c r="F1318" s="18" t="s">
        <v>611</v>
      </c>
      <c r="G1318" t="s">
        <v>100</v>
      </c>
      <c r="H1318">
        <v>3</v>
      </c>
      <c r="I1318">
        <v>3</v>
      </c>
      <c r="J1318" s="27">
        <v>11807.23</v>
      </c>
      <c r="K1318" s="27">
        <v>1000000</v>
      </c>
    </row>
    <row r="1319" spans="1:11" ht="15" customHeight="1" x14ac:dyDescent="0.2">
      <c r="A1319" t="s">
        <v>3218</v>
      </c>
      <c r="B1319" t="s">
        <v>3219</v>
      </c>
      <c r="C1319">
        <v>2024</v>
      </c>
      <c r="D1319" s="18">
        <v>45359</v>
      </c>
      <c r="E1319" s="18">
        <v>45723</v>
      </c>
      <c r="F1319" s="18" t="s">
        <v>608</v>
      </c>
      <c r="G1319" t="s">
        <v>100</v>
      </c>
      <c r="H1319">
        <v>2</v>
      </c>
      <c r="I1319">
        <v>2</v>
      </c>
      <c r="J1319" s="27">
        <v>67466.009999999995</v>
      </c>
      <c r="K1319" s="27">
        <v>5000000</v>
      </c>
    </row>
    <row r="1320" spans="1:11" ht="15" customHeight="1" x14ac:dyDescent="0.2">
      <c r="A1320" t="s">
        <v>3220</v>
      </c>
      <c r="B1320" t="s">
        <v>3221</v>
      </c>
      <c r="C1320">
        <v>2024</v>
      </c>
      <c r="D1320" s="18">
        <v>45359</v>
      </c>
      <c r="E1320" s="18">
        <v>45723</v>
      </c>
      <c r="F1320" s="18" t="s">
        <v>608</v>
      </c>
      <c r="G1320" t="s">
        <v>99</v>
      </c>
      <c r="H1320">
        <v>2</v>
      </c>
      <c r="I1320">
        <v>4</v>
      </c>
      <c r="J1320" s="27">
        <v>22222.720000000001</v>
      </c>
      <c r="K1320" s="27">
        <v>2500000</v>
      </c>
    </row>
    <row r="1321" spans="1:11" ht="15" customHeight="1" x14ac:dyDescent="0.2">
      <c r="A1321" t="s">
        <v>3222</v>
      </c>
      <c r="B1321" t="s">
        <v>3223</v>
      </c>
      <c r="C1321">
        <v>2024</v>
      </c>
      <c r="D1321" s="18">
        <v>45359</v>
      </c>
      <c r="E1321" s="18">
        <v>45723</v>
      </c>
      <c r="F1321" s="18" t="s">
        <v>608</v>
      </c>
      <c r="G1321" t="s">
        <v>99</v>
      </c>
      <c r="H1321">
        <v>1</v>
      </c>
      <c r="I1321">
        <v>2</v>
      </c>
      <c r="J1321" s="27">
        <v>44248.83</v>
      </c>
      <c r="K1321" s="27">
        <v>5000000</v>
      </c>
    </row>
    <row r="1322" spans="1:11" ht="15" customHeight="1" x14ac:dyDescent="0.2">
      <c r="A1322" t="s">
        <v>3224</v>
      </c>
      <c r="B1322" t="s">
        <v>3225</v>
      </c>
      <c r="C1322">
        <v>2024</v>
      </c>
      <c r="D1322" s="18">
        <v>45359</v>
      </c>
      <c r="E1322" s="18">
        <v>45723</v>
      </c>
      <c r="F1322" s="18" t="s">
        <v>611</v>
      </c>
      <c r="G1322" t="s">
        <v>101</v>
      </c>
      <c r="H1322">
        <v>1</v>
      </c>
      <c r="I1322">
        <v>1</v>
      </c>
      <c r="J1322" s="27">
        <v>81751.75</v>
      </c>
      <c r="K1322" s="27">
        <v>5000000</v>
      </c>
    </row>
    <row r="1323" spans="1:11" ht="15" customHeight="1" x14ac:dyDescent="0.2">
      <c r="A1323" t="s">
        <v>3226</v>
      </c>
      <c r="B1323" t="s">
        <v>3227</v>
      </c>
      <c r="C1323">
        <v>2024</v>
      </c>
      <c r="D1323" s="18">
        <v>45359</v>
      </c>
      <c r="E1323" s="18">
        <v>45723</v>
      </c>
      <c r="F1323" s="18" t="s">
        <v>611</v>
      </c>
      <c r="G1323" t="s">
        <v>99</v>
      </c>
      <c r="H1323">
        <v>3</v>
      </c>
      <c r="I1323">
        <v>6</v>
      </c>
      <c r="J1323" s="27">
        <v>8043.99</v>
      </c>
      <c r="K1323" s="27">
        <v>1000000</v>
      </c>
    </row>
    <row r="1324" spans="1:11" ht="15" customHeight="1" x14ac:dyDescent="0.2">
      <c r="A1324" t="s">
        <v>3228</v>
      </c>
      <c r="B1324" t="s">
        <v>3229</v>
      </c>
      <c r="C1324">
        <v>2024</v>
      </c>
      <c r="D1324" s="18">
        <v>45359</v>
      </c>
      <c r="E1324" s="18">
        <v>45723</v>
      </c>
      <c r="F1324" s="18" t="s">
        <v>611</v>
      </c>
      <c r="G1324" t="s">
        <v>100</v>
      </c>
      <c r="H1324">
        <v>2</v>
      </c>
      <c r="I1324">
        <v>2</v>
      </c>
      <c r="J1324" s="27">
        <v>11458.36</v>
      </c>
      <c r="K1324" s="27">
        <v>1000000</v>
      </c>
    </row>
    <row r="1325" spans="1:11" ht="15" customHeight="1" x14ac:dyDescent="0.2">
      <c r="A1325" t="s">
        <v>3230</v>
      </c>
      <c r="B1325" t="s">
        <v>3231</v>
      </c>
      <c r="C1325">
        <v>2024</v>
      </c>
      <c r="D1325" s="18">
        <v>45359</v>
      </c>
      <c r="E1325" s="18">
        <v>45723</v>
      </c>
      <c r="F1325" s="18" t="s">
        <v>611</v>
      </c>
      <c r="G1325" t="s">
        <v>100</v>
      </c>
      <c r="H1325">
        <v>2</v>
      </c>
      <c r="I1325">
        <v>4</v>
      </c>
      <c r="J1325" s="27">
        <v>39442.699999999997</v>
      </c>
      <c r="K1325" s="27">
        <v>3000000</v>
      </c>
    </row>
    <row r="1326" spans="1:11" ht="15" customHeight="1" x14ac:dyDescent="0.2">
      <c r="A1326" t="s">
        <v>3232</v>
      </c>
      <c r="B1326" t="s">
        <v>3233</v>
      </c>
      <c r="C1326">
        <v>2024</v>
      </c>
      <c r="D1326" s="18">
        <v>45359</v>
      </c>
      <c r="E1326" s="18">
        <v>45723</v>
      </c>
      <c r="F1326" s="18" t="s">
        <v>611</v>
      </c>
      <c r="G1326" t="s">
        <v>101</v>
      </c>
      <c r="H1326">
        <v>2</v>
      </c>
      <c r="I1326">
        <v>4</v>
      </c>
      <c r="J1326" s="27">
        <v>28544.61</v>
      </c>
      <c r="K1326" s="27">
        <v>2000000</v>
      </c>
    </row>
    <row r="1327" spans="1:11" ht="15" customHeight="1" x14ac:dyDescent="0.2">
      <c r="A1327" t="s">
        <v>3234</v>
      </c>
      <c r="B1327" t="s">
        <v>3235</v>
      </c>
      <c r="C1327">
        <v>2024</v>
      </c>
      <c r="D1327" s="18">
        <v>45359</v>
      </c>
      <c r="E1327" s="18">
        <v>45723</v>
      </c>
      <c r="F1327" s="18" t="s">
        <v>611</v>
      </c>
      <c r="G1327" t="s">
        <v>99</v>
      </c>
      <c r="H1327">
        <v>3</v>
      </c>
      <c r="I1327">
        <v>3</v>
      </c>
      <c r="J1327" s="27">
        <v>30671.71</v>
      </c>
      <c r="K1327" s="27">
        <v>4000000</v>
      </c>
    </row>
    <row r="1328" spans="1:11" ht="15" customHeight="1" x14ac:dyDescent="0.2">
      <c r="A1328" t="s">
        <v>3236</v>
      </c>
      <c r="B1328" t="s">
        <v>3237</v>
      </c>
      <c r="C1328">
        <v>2024</v>
      </c>
      <c r="D1328" s="18">
        <v>45359</v>
      </c>
      <c r="E1328" s="18">
        <v>45723</v>
      </c>
      <c r="F1328" s="18" t="s">
        <v>611</v>
      </c>
      <c r="G1328" t="s">
        <v>100</v>
      </c>
      <c r="H1328">
        <v>2</v>
      </c>
      <c r="I1328">
        <v>2</v>
      </c>
      <c r="J1328" s="27">
        <v>46202.93</v>
      </c>
      <c r="K1328" s="27">
        <v>3500000</v>
      </c>
    </row>
    <row r="1329" spans="1:11" ht="15" customHeight="1" x14ac:dyDescent="0.2">
      <c r="A1329" t="s">
        <v>3238</v>
      </c>
      <c r="B1329" t="s">
        <v>3239</v>
      </c>
      <c r="C1329">
        <v>2024</v>
      </c>
      <c r="D1329" s="18">
        <v>45359</v>
      </c>
      <c r="E1329" s="18">
        <v>45723</v>
      </c>
      <c r="F1329" s="18" t="s">
        <v>611</v>
      </c>
      <c r="G1329" t="s">
        <v>99</v>
      </c>
      <c r="H1329">
        <v>2</v>
      </c>
      <c r="I1329">
        <v>2</v>
      </c>
      <c r="J1329" s="27">
        <v>38523.01</v>
      </c>
      <c r="K1329" s="27">
        <v>5000000</v>
      </c>
    </row>
    <row r="1330" spans="1:11" ht="15" customHeight="1" x14ac:dyDescent="0.2">
      <c r="A1330" t="s">
        <v>3240</v>
      </c>
      <c r="B1330" t="s">
        <v>3241</v>
      </c>
      <c r="C1330">
        <v>2024</v>
      </c>
      <c r="D1330" s="18">
        <v>45359</v>
      </c>
      <c r="E1330" s="18">
        <v>45723</v>
      </c>
      <c r="F1330" s="18" t="s">
        <v>611</v>
      </c>
      <c r="G1330" t="s">
        <v>100</v>
      </c>
      <c r="H1330">
        <v>1</v>
      </c>
      <c r="I1330">
        <v>1</v>
      </c>
      <c r="J1330" s="27">
        <v>22881.17</v>
      </c>
      <c r="K1330" s="27">
        <v>2000000</v>
      </c>
    </row>
    <row r="1331" spans="1:11" ht="15" customHeight="1" x14ac:dyDescent="0.2">
      <c r="A1331" t="s">
        <v>3242</v>
      </c>
      <c r="B1331" t="s">
        <v>3243</v>
      </c>
      <c r="C1331">
        <v>2024</v>
      </c>
      <c r="D1331" s="18">
        <v>45359</v>
      </c>
      <c r="E1331" s="18">
        <v>45723</v>
      </c>
      <c r="F1331" s="18" t="s">
        <v>611</v>
      </c>
      <c r="G1331" t="s">
        <v>99</v>
      </c>
      <c r="H1331">
        <v>2</v>
      </c>
      <c r="I1331">
        <v>2</v>
      </c>
      <c r="J1331" s="27">
        <v>87035.98</v>
      </c>
      <c r="K1331" s="27">
        <v>10000000</v>
      </c>
    </row>
    <row r="1332" spans="1:11" ht="15" customHeight="1" x14ac:dyDescent="0.2">
      <c r="A1332" t="s">
        <v>3244</v>
      </c>
      <c r="B1332" t="s">
        <v>3245</v>
      </c>
      <c r="C1332">
        <v>2024</v>
      </c>
      <c r="D1332" s="18">
        <v>45359</v>
      </c>
      <c r="E1332" s="18">
        <v>45723</v>
      </c>
      <c r="F1332" s="18" t="s">
        <v>611</v>
      </c>
      <c r="G1332" t="s">
        <v>101</v>
      </c>
      <c r="H1332">
        <v>1</v>
      </c>
      <c r="I1332">
        <v>2</v>
      </c>
      <c r="J1332" s="27">
        <v>68266.97</v>
      </c>
      <c r="K1332" s="27">
        <v>4500000</v>
      </c>
    </row>
    <row r="1333" spans="1:11" ht="15" customHeight="1" x14ac:dyDescent="0.2">
      <c r="A1333" t="s">
        <v>3246</v>
      </c>
      <c r="B1333" t="s">
        <v>3247</v>
      </c>
      <c r="C1333">
        <v>2024</v>
      </c>
      <c r="D1333" s="18">
        <v>45360</v>
      </c>
      <c r="E1333" s="18">
        <v>45724</v>
      </c>
      <c r="F1333" s="18" t="s">
        <v>611</v>
      </c>
      <c r="G1333" t="s">
        <v>100</v>
      </c>
      <c r="H1333">
        <v>2</v>
      </c>
      <c r="I1333">
        <v>2</v>
      </c>
      <c r="J1333" s="27">
        <v>11247.64</v>
      </c>
      <c r="K1333" s="27">
        <v>1000000</v>
      </c>
    </row>
    <row r="1334" spans="1:11" ht="15" customHeight="1" x14ac:dyDescent="0.2">
      <c r="A1334" t="s">
        <v>3248</v>
      </c>
      <c r="B1334" t="s">
        <v>3249</v>
      </c>
      <c r="C1334">
        <v>2024</v>
      </c>
      <c r="D1334" s="18">
        <v>45360</v>
      </c>
      <c r="E1334" s="18">
        <v>45724</v>
      </c>
      <c r="F1334" s="18" t="s">
        <v>611</v>
      </c>
      <c r="G1334" t="s">
        <v>101</v>
      </c>
      <c r="H1334">
        <v>1</v>
      </c>
      <c r="I1334">
        <v>1</v>
      </c>
      <c r="J1334" s="27">
        <v>37431.660000000003</v>
      </c>
      <c r="K1334" s="27">
        <v>2500000</v>
      </c>
    </row>
    <row r="1335" spans="1:11" ht="15" customHeight="1" x14ac:dyDescent="0.2">
      <c r="A1335" t="s">
        <v>3250</v>
      </c>
      <c r="B1335" t="s">
        <v>3251</v>
      </c>
      <c r="C1335">
        <v>2024</v>
      </c>
      <c r="D1335" s="18">
        <v>45360</v>
      </c>
      <c r="E1335" s="18">
        <v>45724</v>
      </c>
      <c r="F1335" s="18" t="s">
        <v>611</v>
      </c>
      <c r="G1335" t="s">
        <v>99</v>
      </c>
      <c r="H1335">
        <v>2</v>
      </c>
      <c r="I1335">
        <v>2</v>
      </c>
      <c r="J1335" s="27">
        <v>3819.07</v>
      </c>
      <c r="K1335" s="27">
        <v>500000</v>
      </c>
    </row>
    <row r="1336" spans="1:11" ht="15" customHeight="1" x14ac:dyDescent="0.2">
      <c r="A1336" t="s">
        <v>3252</v>
      </c>
      <c r="B1336" t="s">
        <v>3253</v>
      </c>
      <c r="C1336">
        <v>2024</v>
      </c>
      <c r="D1336" s="18">
        <v>45360</v>
      </c>
      <c r="E1336" s="18">
        <v>45724</v>
      </c>
      <c r="F1336" s="18" t="s">
        <v>611</v>
      </c>
      <c r="G1336" t="s">
        <v>99</v>
      </c>
      <c r="H1336">
        <v>3</v>
      </c>
      <c r="I1336">
        <v>6</v>
      </c>
      <c r="J1336" s="27">
        <v>24217.85</v>
      </c>
      <c r="K1336" s="27">
        <v>3000000</v>
      </c>
    </row>
    <row r="1337" spans="1:11" ht="15" customHeight="1" x14ac:dyDescent="0.2">
      <c r="A1337" t="s">
        <v>3254</v>
      </c>
      <c r="B1337" t="s">
        <v>3255</v>
      </c>
      <c r="C1337">
        <v>2024</v>
      </c>
      <c r="D1337" s="18">
        <v>45360</v>
      </c>
      <c r="E1337" s="18">
        <v>45724</v>
      </c>
      <c r="F1337" s="18" t="s">
        <v>611</v>
      </c>
      <c r="G1337" t="s">
        <v>101</v>
      </c>
      <c r="H1337">
        <v>1</v>
      </c>
      <c r="I1337">
        <v>1</v>
      </c>
      <c r="J1337" s="27">
        <v>33535.51</v>
      </c>
      <c r="K1337" s="27">
        <v>2000000</v>
      </c>
    </row>
    <row r="1338" spans="1:11" ht="15" customHeight="1" x14ac:dyDescent="0.2">
      <c r="A1338" t="s">
        <v>3256</v>
      </c>
      <c r="B1338" t="s">
        <v>3257</v>
      </c>
      <c r="C1338">
        <v>2024</v>
      </c>
      <c r="D1338" s="18">
        <v>45361</v>
      </c>
      <c r="E1338" s="18">
        <v>45725</v>
      </c>
      <c r="F1338" s="18" t="s">
        <v>608</v>
      </c>
      <c r="G1338" t="s">
        <v>101</v>
      </c>
      <c r="H1338">
        <v>1</v>
      </c>
      <c r="I1338">
        <v>1</v>
      </c>
      <c r="J1338" s="27">
        <v>28033.96</v>
      </c>
      <c r="K1338" s="27">
        <v>2000000</v>
      </c>
    </row>
    <row r="1339" spans="1:11" ht="15" customHeight="1" x14ac:dyDescent="0.2">
      <c r="A1339" t="s">
        <v>3258</v>
      </c>
      <c r="B1339" t="s">
        <v>3259</v>
      </c>
      <c r="C1339">
        <v>2024</v>
      </c>
      <c r="D1339" s="18">
        <v>45361</v>
      </c>
      <c r="E1339" s="18">
        <v>45725</v>
      </c>
      <c r="F1339" s="18" t="s">
        <v>608</v>
      </c>
      <c r="G1339" t="s">
        <v>101</v>
      </c>
      <c r="H1339">
        <v>3</v>
      </c>
      <c r="I1339">
        <v>3</v>
      </c>
      <c r="J1339" s="27">
        <v>144818.78</v>
      </c>
      <c r="K1339" s="27">
        <v>10000000</v>
      </c>
    </row>
    <row r="1340" spans="1:11" ht="15" customHeight="1" x14ac:dyDescent="0.2">
      <c r="A1340" t="s">
        <v>3260</v>
      </c>
      <c r="B1340" t="s">
        <v>3261</v>
      </c>
      <c r="C1340">
        <v>2024</v>
      </c>
      <c r="D1340" s="18">
        <v>45361</v>
      </c>
      <c r="E1340" s="18">
        <v>45725</v>
      </c>
      <c r="F1340" s="18" t="s">
        <v>611</v>
      </c>
      <c r="G1340" t="s">
        <v>100</v>
      </c>
      <c r="H1340">
        <v>2</v>
      </c>
      <c r="I1340">
        <v>2</v>
      </c>
      <c r="J1340" s="27">
        <v>119293.95</v>
      </c>
      <c r="K1340" s="27">
        <v>10000000</v>
      </c>
    </row>
    <row r="1341" spans="1:11" ht="15" customHeight="1" x14ac:dyDescent="0.2">
      <c r="A1341" t="s">
        <v>3262</v>
      </c>
      <c r="B1341" t="s">
        <v>3263</v>
      </c>
      <c r="C1341">
        <v>2024</v>
      </c>
      <c r="D1341" s="18">
        <v>45361</v>
      </c>
      <c r="E1341" s="18">
        <v>45725</v>
      </c>
      <c r="F1341" s="18" t="s">
        <v>611</v>
      </c>
      <c r="G1341" t="s">
        <v>101</v>
      </c>
      <c r="H1341">
        <v>3</v>
      </c>
      <c r="I1341">
        <v>6</v>
      </c>
      <c r="J1341" s="27">
        <v>38471.730000000003</v>
      </c>
      <c r="K1341" s="27">
        <v>2500000</v>
      </c>
    </row>
    <row r="1342" spans="1:11" ht="15" customHeight="1" x14ac:dyDescent="0.2">
      <c r="A1342" t="s">
        <v>3264</v>
      </c>
      <c r="B1342" t="s">
        <v>3265</v>
      </c>
      <c r="C1342">
        <v>2024</v>
      </c>
      <c r="D1342" s="18">
        <v>45361</v>
      </c>
      <c r="E1342" s="18">
        <v>45725</v>
      </c>
      <c r="F1342" s="18" t="s">
        <v>611</v>
      </c>
      <c r="G1342" t="s">
        <v>100</v>
      </c>
      <c r="H1342">
        <v>3</v>
      </c>
      <c r="I1342">
        <v>6</v>
      </c>
      <c r="J1342" s="27">
        <v>127062.5</v>
      </c>
      <c r="K1342" s="27">
        <v>10000000</v>
      </c>
    </row>
    <row r="1343" spans="1:11" ht="15" customHeight="1" x14ac:dyDescent="0.2">
      <c r="A1343" t="s">
        <v>3266</v>
      </c>
      <c r="B1343" t="s">
        <v>3267</v>
      </c>
      <c r="C1343">
        <v>2024</v>
      </c>
      <c r="D1343" s="18">
        <v>45361</v>
      </c>
      <c r="E1343" s="18">
        <v>45725</v>
      </c>
      <c r="F1343" s="18" t="s">
        <v>611</v>
      </c>
      <c r="G1343" t="s">
        <v>101</v>
      </c>
      <c r="H1343">
        <v>1</v>
      </c>
      <c r="I1343">
        <v>1</v>
      </c>
      <c r="J1343" s="27">
        <v>154600.63</v>
      </c>
      <c r="K1343" s="27">
        <v>10000000</v>
      </c>
    </row>
    <row r="1344" spans="1:11" ht="15" customHeight="1" x14ac:dyDescent="0.2">
      <c r="A1344" t="s">
        <v>3268</v>
      </c>
      <c r="B1344" t="s">
        <v>3269</v>
      </c>
      <c r="C1344">
        <v>2024</v>
      </c>
      <c r="D1344" s="18">
        <v>45361</v>
      </c>
      <c r="E1344" s="18">
        <v>45725</v>
      </c>
      <c r="F1344" s="18" t="s">
        <v>611</v>
      </c>
      <c r="G1344" t="s">
        <v>100</v>
      </c>
      <c r="H1344">
        <v>3</v>
      </c>
      <c r="I1344">
        <v>6</v>
      </c>
      <c r="J1344" s="27">
        <v>11316.33</v>
      </c>
      <c r="K1344" s="27">
        <v>1000000</v>
      </c>
    </row>
    <row r="1345" spans="1:11" ht="15" customHeight="1" x14ac:dyDescent="0.2">
      <c r="A1345" t="s">
        <v>3270</v>
      </c>
      <c r="B1345" t="s">
        <v>3271</v>
      </c>
      <c r="C1345">
        <v>2024</v>
      </c>
      <c r="D1345" s="18">
        <v>45361</v>
      </c>
      <c r="E1345" s="18">
        <v>45725</v>
      </c>
      <c r="F1345" s="18" t="s">
        <v>611</v>
      </c>
      <c r="G1345" t="s">
        <v>100</v>
      </c>
      <c r="H1345">
        <v>1</v>
      </c>
      <c r="I1345">
        <v>1</v>
      </c>
      <c r="J1345" s="27">
        <v>120999.69</v>
      </c>
      <c r="K1345" s="27">
        <v>10000000</v>
      </c>
    </row>
    <row r="1346" spans="1:11" ht="15" customHeight="1" x14ac:dyDescent="0.2">
      <c r="A1346" t="s">
        <v>3272</v>
      </c>
      <c r="B1346" t="s">
        <v>3273</v>
      </c>
      <c r="C1346">
        <v>2024</v>
      </c>
      <c r="D1346" s="18">
        <v>45361</v>
      </c>
      <c r="E1346" s="18">
        <v>45725</v>
      </c>
      <c r="F1346" s="18" t="s">
        <v>611</v>
      </c>
      <c r="G1346" t="s">
        <v>102</v>
      </c>
      <c r="H1346">
        <v>1</v>
      </c>
      <c r="I1346">
        <v>2</v>
      </c>
      <c r="J1346" s="27">
        <v>76748.259999999995</v>
      </c>
      <c r="K1346" s="27">
        <v>10000000</v>
      </c>
    </row>
    <row r="1347" spans="1:11" ht="15" customHeight="1" x14ac:dyDescent="0.2">
      <c r="A1347" t="s">
        <v>3274</v>
      </c>
      <c r="B1347" t="s">
        <v>3275</v>
      </c>
      <c r="C1347">
        <v>2024</v>
      </c>
      <c r="D1347" s="18">
        <v>45362</v>
      </c>
      <c r="E1347" s="18">
        <v>45726</v>
      </c>
      <c r="F1347" s="18" t="s">
        <v>611</v>
      </c>
      <c r="G1347" t="s">
        <v>101</v>
      </c>
      <c r="H1347">
        <v>1</v>
      </c>
      <c r="I1347">
        <v>1</v>
      </c>
      <c r="J1347" s="27">
        <v>75920.05</v>
      </c>
      <c r="K1347" s="27">
        <v>4500000</v>
      </c>
    </row>
    <row r="1348" spans="1:11" ht="15" customHeight="1" x14ac:dyDescent="0.2">
      <c r="A1348" t="s">
        <v>3276</v>
      </c>
      <c r="B1348" t="s">
        <v>3277</v>
      </c>
      <c r="C1348">
        <v>2024</v>
      </c>
      <c r="D1348" s="18">
        <v>45362</v>
      </c>
      <c r="E1348" s="18">
        <v>45726</v>
      </c>
      <c r="F1348" s="18" t="s">
        <v>611</v>
      </c>
      <c r="G1348" t="s">
        <v>101</v>
      </c>
      <c r="H1348">
        <v>1</v>
      </c>
      <c r="I1348">
        <v>1</v>
      </c>
      <c r="J1348" s="27">
        <v>32323.24</v>
      </c>
      <c r="K1348" s="27">
        <v>2000000</v>
      </c>
    </row>
    <row r="1349" spans="1:11" ht="15" customHeight="1" x14ac:dyDescent="0.2">
      <c r="A1349" t="s">
        <v>3278</v>
      </c>
      <c r="B1349" t="s">
        <v>3279</v>
      </c>
      <c r="C1349">
        <v>2024</v>
      </c>
      <c r="D1349" s="18">
        <v>45362</v>
      </c>
      <c r="E1349" s="18">
        <v>45726</v>
      </c>
      <c r="F1349" s="18" t="s">
        <v>611</v>
      </c>
      <c r="G1349" t="s">
        <v>100</v>
      </c>
      <c r="H1349">
        <v>2</v>
      </c>
      <c r="I1349">
        <v>2</v>
      </c>
      <c r="J1349" s="27">
        <v>29983.09</v>
      </c>
      <c r="K1349" s="27">
        <v>2500000</v>
      </c>
    </row>
    <row r="1350" spans="1:11" ht="15" customHeight="1" x14ac:dyDescent="0.2">
      <c r="A1350" t="s">
        <v>3280</v>
      </c>
      <c r="B1350" t="s">
        <v>3281</v>
      </c>
      <c r="C1350">
        <v>2024</v>
      </c>
      <c r="D1350" s="18">
        <v>45362</v>
      </c>
      <c r="E1350" s="18">
        <v>45726</v>
      </c>
      <c r="F1350" s="18" t="s">
        <v>611</v>
      </c>
      <c r="G1350" t="s">
        <v>102</v>
      </c>
      <c r="H1350">
        <v>1</v>
      </c>
      <c r="I1350">
        <v>1</v>
      </c>
      <c r="J1350" s="27">
        <v>27586.12</v>
      </c>
      <c r="K1350" s="27">
        <v>3500000</v>
      </c>
    </row>
    <row r="1351" spans="1:11" ht="15" customHeight="1" x14ac:dyDescent="0.2">
      <c r="A1351" t="s">
        <v>3282</v>
      </c>
      <c r="B1351" t="s">
        <v>3283</v>
      </c>
      <c r="C1351">
        <v>2024</v>
      </c>
      <c r="D1351" s="18">
        <v>45362</v>
      </c>
      <c r="E1351" s="18">
        <v>45726</v>
      </c>
      <c r="F1351" s="18" t="s">
        <v>611</v>
      </c>
      <c r="G1351" t="s">
        <v>101</v>
      </c>
      <c r="H1351">
        <v>1</v>
      </c>
      <c r="I1351">
        <v>2</v>
      </c>
      <c r="J1351" s="27">
        <v>56449.86</v>
      </c>
      <c r="K1351" s="27">
        <v>4000000</v>
      </c>
    </row>
    <row r="1352" spans="1:11" ht="15" customHeight="1" x14ac:dyDescent="0.2">
      <c r="A1352" t="s">
        <v>3284</v>
      </c>
      <c r="B1352" t="s">
        <v>3285</v>
      </c>
      <c r="C1352">
        <v>2024</v>
      </c>
      <c r="D1352" s="18">
        <v>45362</v>
      </c>
      <c r="E1352" s="18">
        <v>45726</v>
      </c>
      <c r="F1352" s="18" t="s">
        <v>611</v>
      </c>
      <c r="G1352" t="s">
        <v>100</v>
      </c>
      <c r="H1352">
        <v>2</v>
      </c>
      <c r="I1352">
        <v>2</v>
      </c>
      <c r="J1352" s="27">
        <v>62767.77</v>
      </c>
      <c r="K1352" s="27">
        <v>5000000</v>
      </c>
    </row>
    <row r="1353" spans="1:11" ht="15" customHeight="1" x14ac:dyDescent="0.2">
      <c r="A1353" t="s">
        <v>3286</v>
      </c>
      <c r="B1353" t="s">
        <v>3287</v>
      </c>
      <c r="C1353">
        <v>2024</v>
      </c>
      <c r="D1353" s="18">
        <v>45362</v>
      </c>
      <c r="E1353" s="18">
        <v>45726</v>
      </c>
      <c r="F1353" s="18" t="s">
        <v>611</v>
      </c>
      <c r="G1353" t="s">
        <v>99</v>
      </c>
      <c r="H1353">
        <v>1</v>
      </c>
      <c r="I1353">
        <v>2</v>
      </c>
      <c r="J1353" s="27">
        <v>40262.78</v>
      </c>
      <c r="K1353" s="27">
        <v>4500000</v>
      </c>
    </row>
    <row r="1354" spans="1:11" ht="15" customHeight="1" x14ac:dyDescent="0.2">
      <c r="A1354" t="s">
        <v>3288</v>
      </c>
      <c r="B1354" t="s">
        <v>3289</v>
      </c>
      <c r="C1354">
        <v>2024</v>
      </c>
      <c r="D1354" s="18">
        <v>45363</v>
      </c>
      <c r="E1354" s="18">
        <v>45727</v>
      </c>
      <c r="F1354" s="18" t="s">
        <v>608</v>
      </c>
      <c r="G1354" t="s">
        <v>101</v>
      </c>
      <c r="H1354">
        <v>3</v>
      </c>
      <c r="I1354">
        <v>3</v>
      </c>
      <c r="J1354" s="27">
        <v>37570.379999999997</v>
      </c>
      <c r="K1354" s="27">
        <v>2500000</v>
      </c>
    </row>
    <row r="1355" spans="1:11" ht="15" customHeight="1" x14ac:dyDescent="0.2">
      <c r="A1355" t="s">
        <v>3290</v>
      </c>
      <c r="B1355" t="s">
        <v>3291</v>
      </c>
      <c r="C1355">
        <v>2024</v>
      </c>
      <c r="D1355" s="18">
        <v>45363</v>
      </c>
      <c r="E1355" s="18">
        <v>45727</v>
      </c>
      <c r="F1355" s="18" t="s">
        <v>611</v>
      </c>
      <c r="G1355" t="s">
        <v>100</v>
      </c>
      <c r="H1355">
        <v>1</v>
      </c>
      <c r="I1355">
        <v>1</v>
      </c>
      <c r="J1355" s="27">
        <v>23124.799999999999</v>
      </c>
      <c r="K1355" s="27">
        <v>2000000</v>
      </c>
    </row>
    <row r="1356" spans="1:11" ht="15" customHeight="1" x14ac:dyDescent="0.2">
      <c r="A1356" t="s">
        <v>3292</v>
      </c>
      <c r="B1356" t="s">
        <v>3293</v>
      </c>
      <c r="C1356">
        <v>2024</v>
      </c>
      <c r="D1356" s="18">
        <v>45363</v>
      </c>
      <c r="E1356" s="18">
        <v>45727</v>
      </c>
      <c r="F1356" s="18" t="s">
        <v>611</v>
      </c>
      <c r="G1356" t="s">
        <v>100</v>
      </c>
      <c r="H1356">
        <v>3</v>
      </c>
      <c r="I1356">
        <v>6</v>
      </c>
      <c r="J1356" s="27">
        <v>5591.93</v>
      </c>
      <c r="K1356" s="27">
        <v>500000</v>
      </c>
    </row>
    <row r="1357" spans="1:11" ht="15" customHeight="1" x14ac:dyDescent="0.2">
      <c r="A1357" t="s">
        <v>3294</v>
      </c>
      <c r="B1357" t="s">
        <v>3295</v>
      </c>
      <c r="C1357">
        <v>2024</v>
      </c>
      <c r="D1357" s="18">
        <v>45363</v>
      </c>
      <c r="E1357" s="18">
        <v>45727</v>
      </c>
      <c r="F1357" s="18" t="s">
        <v>611</v>
      </c>
      <c r="G1357" t="s">
        <v>99</v>
      </c>
      <c r="H1357">
        <v>1</v>
      </c>
      <c r="I1357">
        <v>1</v>
      </c>
      <c r="J1357" s="27">
        <v>43017.38</v>
      </c>
      <c r="K1357" s="27">
        <v>5000000</v>
      </c>
    </row>
    <row r="1358" spans="1:11" ht="15" customHeight="1" x14ac:dyDescent="0.2">
      <c r="A1358" t="s">
        <v>3296</v>
      </c>
      <c r="B1358" t="s">
        <v>3297</v>
      </c>
      <c r="C1358">
        <v>2024</v>
      </c>
      <c r="D1358" s="18">
        <v>45363</v>
      </c>
      <c r="E1358" s="18">
        <v>45727</v>
      </c>
      <c r="F1358" s="18" t="s">
        <v>611</v>
      </c>
      <c r="G1358" t="s">
        <v>99</v>
      </c>
      <c r="H1358">
        <v>3</v>
      </c>
      <c r="I1358">
        <v>6</v>
      </c>
      <c r="J1358" s="27">
        <v>16845.669999999998</v>
      </c>
      <c r="K1358" s="27">
        <v>2000000</v>
      </c>
    </row>
    <row r="1359" spans="1:11" ht="15" customHeight="1" x14ac:dyDescent="0.2">
      <c r="A1359" t="s">
        <v>3298</v>
      </c>
      <c r="B1359" t="s">
        <v>3299</v>
      </c>
      <c r="C1359">
        <v>2024</v>
      </c>
      <c r="D1359" s="18">
        <v>45363</v>
      </c>
      <c r="E1359" s="18">
        <v>45727</v>
      </c>
      <c r="F1359" s="18" t="s">
        <v>611</v>
      </c>
      <c r="G1359" t="s">
        <v>99</v>
      </c>
      <c r="H1359">
        <v>3</v>
      </c>
      <c r="I1359">
        <v>6</v>
      </c>
      <c r="J1359" s="27">
        <v>18098.28</v>
      </c>
      <c r="K1359" s="27">
        <v>2000000</v>
      </c>
    </row>
    <row r="1360" spans="1:11" ht="15" customHeight="1" x14ac:dyDescent="0.2">
      <c r="A1360" t="s">
        <v>3300</v>
      </c>
      <c r="B1360" t="s">
        <v>3301</v>
      </c>
      <c r="C1360">
        <v>2024</v>
      </c>
      <c r="D1360" s="18">
        <v>45363</v>
      </c>
      <c r="E1360" s="18">
        <v>45727</v>
      </c>
      <c r="F1360" s="18" t="s">
        <v>611</v>
      </c>
      <c r="G1360" t="s">
        <v>102</v>
      </c>
      <c r="H1360">
        <v>1</v>
      </c>
      <c r="I1360">
        <v>1</v>
      </c>
      <c r="J1360" s="27">
        <v>68394.02</v>
      </c>
      <c r="K1360" s="27">
        <v>10000000</v>
      </c>
    </row>
    <row r="1361" spans="1:11" ht="15" customHeight="1" x14ac:dyDescent="0.2">
      <c r="A1361" t="s">
        <v>3302</v>
      </c>
      <c r="B1361" t="s">
        <v>3303</v>
      </c>
      <c r="C1361">
        <v>2024</v>
      </c>
      <c r="D1361" s="18">
        <v>45363</v>
      </c>
      <c r="E1361" s="18">
        <v>45727</v>
      </c>
      <c r="F1361" s="18" t="s">
        <v>611</v>
      </c>
      <c r="G1361" t="s">
        <v>101</v>
      </c>
      <c r="H1361">
        <v>1</v>
      </c>
      <c r="I1361">
        <v>1</v>
      </c>
      <c r="J1361" s="27">
        <v>157878.89000000001</v>
      </c>
      <c r="K1361" s="27">
        <v>10000000</v>
      </c>
    </row>
    <row r="1362" spans="1:11" ht="15" customHeight="1" x14ac:dyDescent="0.2">
      <c r="A1362" t="s">
        <v>3304</v>
      </c>
      <c r="B1362" t="s">
        <v>3305</v>
      </c>
      <c r="C1362">
        <v>2024</v>
      </c>
      <c r="D1362" s="18">
        <v>45364</v>
      </c>
      <c r="E1362" s="18">
        <v>45728</v>
      </c>
      <c r="F1362" s="18" t="s">
        <v>608</v>
      </c>
      <c r="G1362" t="s">
        <v>100</v>
      </c>
      <c r="H1362">
        <v>1</v>
      </c>
      <c r="I1362">
        <v>1</v>
      </c>
      <c r="J1362" s="27">
        <v>26477.24</v>
      </c>
      <c r="K1362" s="27">
        <v>2000000</v>
      </c>
    </row>
    <row r="1363" spans="1:11" ht="15" customHeight="1" x14ac:dyDescent="0.2">
      <c r="A1363" t="s">
        <v>3306</v>
      </c>
      <c r="B1363" t="s">
        <v>3307</v>
      </c>
      <c r="C1363">
        <v>2024</v>
      </c>
      <c r="D1363" s="18">
        <v>45364</v>
      </c>
      <c r="E1363" s="18">
        <v>45728</v>
      </c>
      <c r="F1363" s="18" t="s">
        <v>608</v>
      </c>
      <c r="G1363" t="s">
        <v>100</v>
      </c>
      <c r="H1363">
        <v>3</v>
      </c>
      <c r="I1363">
        <v>6</v>
      </c>
      <c r="J1363" s="27">
        <v>58435.67</v>
      </c>
      <c r="K1363" s="27">
        <v>5000000</v>
      </c>
    </row>
    <row r="1364" spans="1:11" ht="15" customHeight="1" x14ac:dyDescent="0.2">
      <c r="A1364" t="s">
        <v>3308</v>
      </c>
      <c r="B1364" t="s">
        <v>3309</v>
      </c>
      <c r="C1364">
        <v>2024</v>
      </c>
      <c r="D1364" s="18">
        <v>45364</v>
      </c>
      <c r="E1364" s="18">
        <v>45728</v>
      </c>
      <c r="F1364" s="18" t="s">
        <v>611</v>
      </c>
      <c r="G1364" t="s">
        <v>101</v>
      </c>
      <c r="H1364">
        <v>2</v>
      </c>
      <c r="I1364">
        <v>2</v>
      </c>
      <c r="J1364" s="27">
        <v>58012.68</v>
      </c>
      <c r="K1364" s="27">
        <v>4000000</v>
      </c>
    </row>
    <row r="1365" spans="1:11" ht="15" customHeight="1" x14ac:dyDescent="0.2">
      <c r="A1365" t="s">
        <v>3310</v>
      </c>
      <c r="B1365" t="s">
        <v>3311</v>
      </c>
      <c r="C1365">
        <v>2024</v>
      </c>
      <c r="D1365" s="18">
        <v>45364</v>
      </c>
      <c r="E1365" s="18">
        <v>45728</v>
      </c>
      <c r="F1365" s="18" t="s">
        <v>611</v>
      </c>
      <c r="G1365" t="s">
        <v>100</v>
      </c>
      <c r="H1365">
        <v>1</v>
      </c>
      <c r="I1365">
        <v>1</v>
      </c>
      <c r="J1365" s="27">
        <v>56084.800000000003</v>
      </c>
      <c r="K1365" s="27">
        <v>4500000</v>
      </c>
    </row>
    <row r="1366" spans="1:11" ht="15" customHeight="1" x14ac:dyDescent="0.2">
      <c r="A1366" t="s">
        <v>3312</v>
      </c>
      <c r="B1366" t="s">
        <v>3313</v>
      </c>
      <c r="C1366">
        <v>2024</v>
      </c>
      <c r="D1366" s="18">
        <v>45364</v>
      </c>
      <c r="E1366" s="18">
        <v>45728</v>
      </c>
      <c r="F1366" s="18" t="s">
        <v>611</v>
      </c>
      <c r="G1366" t="s">
        <v>101</v>
      </c>
      <c r="H1366">
        <v>2</v>
      </c>
      <c r="I1366">
        <v>2</v>
      </c>
      <c r="J1366" s="27">
        <v>16579.14</v>
      </c>
      <c r="K1366" s="27">
        <v>1000000</v>
      </c>
    </row>
    <row r="1367" spans="1:11" ht="15" customHeight="1" x14ac:dyDescent="0.2">
      <c r="A1367" t="s">
        <v>3314</v>
      </c>
      <c r="B1367" t="s">
        <v>3315</v>
      </c>
      <c r="C1367">
        <v>2024</v>
      </c>
      <c r="D1367" s="18">
        <v>45364</v>
      </c>
      <c r="E1367" s="18">
        <v>45728</v>
      </c>
      <c r="F1367" s="18" t="s">
        <v>611</v>
      </c>
      <c r="G1367" t="s">
        <v>101</v>
      </c>
      <c r="H1367">
        <v>3</v>
      </c>
      <c r="I1367">
        <v>3</v>
      </c>
      <c r="J1367" s="27">
        <v>144006.25</v>
      </c>
      <c r="K1367" s="27">
        <v>10000000</v>
      </c>
    </row>
    <row r="1368" spans="1:11" ht="15" customHeight="1" x14ac:dyDescent="0.2">
      <c r="A1368" t="s">
        <v>3316</v>
      </c>
      <c r="B1368" t="s">
        <v>3317</v>
      </c>
      <c r="C1368">
        <v>2024</v>
      </c>
      <c r="D1368" s="18">
        <v>45364</v>
      </c>
      <c r="E1368" s="18">
        <v>45728</v>
      </c>
      <c r="F1368" s="18" t="s">
        <v>611</v>
      </c>
      <c r="G1368" t="s">
        <v>102</v>
      </c>
      <c r="H1368">
        <v>1</v>
      </c>
      <c r="I1368">
        <v>2</v>
      </c>
      <c r="J1368" s="27">
        <v>15160.3</v>
      </c>
      <c r="K1368" s="27">
        <v>2000000</v>
      </c>
    </row>
    <row r="1369" spans="1:11" ht="15" customHeight="1" x14ac:dyDescent="0.2">
      <c r="A1369" t="s">
        <v>3318</v>
      </c>
      <c r="B1369" t="s">
        <v>3319</v>
      </c>
      <c r="C1369">
        <v>2024</v>
      </c>
      <c r="D1369" s="18">
        <v>45364</v>
      </c>
      <c r="E1369" s="18">
        <v>45728</v>
      </c>
      <c r="F1369" s="18" t="s">
        <v>611</v>
      </c>
      <c r="G1369" t="s">
        <v>100</v>
      </c>
      <c r="H1369">
        <v>1</v>
      </c>
      <c r="I1369">
        <v>1</v>
      </c>
      <c r="J1369" s="27">
        <v>51154.46</v>
      </c>
      <c r="K1369" s="27">
        <v>4500000</v>
      </c>
    </row>
    <row r="1370" spans="1:11" ht="15" customHeight="1" x14ac:dyDescent="0.2">
      <c r="A1370" t="s">
        <v>3320</v>
      </c>
      <c r="B1370" t="s">
        <v>3321</v>
      </c>
      <c r="C1370">
        <v>2024</v>
      </c>
      <c r="D1370" s="18">
        <v>45365</v>
      </c>
      <c r="E1370" s="18">
        <v>45729</v>
      </c>
      <c r="F1370" s="18" t="s">
        <v>611</v>
      </c>
      <c r="G1370" t="s">
        <v>101</v>
      </c>
      <c r="H1370">
        <v>3</v>
      </c>
      <c r="I1370">
        <v>3</v>
      </c>
      <c r="J1370" s="27">
        <v>74592.320000000007</v>
      </c>
      <c r="K1370" s="27">
        <v>4500000</v>
      </c>
    </row>
    <row r="1371" spans="1:11" ht="15" customHeight="1" x14ac:dyDescent="0.2">
      <c r="A1371" t="s">
        <v>3322</v>
      </c>
      <c r="B1371" t="s">
        <v>3323</v>
      </c>
      <c r="C1371">
        <v>2024</v>
      </c>
      <c r="D1371" s="18">
        <v>45365</v>
      </c>
      <c r="E1371" s="18">
        <v>45729</v>
      </c>
      <c r="F1371" s="18" t="s">
        <v>611</v>
      </c>
      <c r="G1371" t="s">
        <v>99</v>
      </c>
      <c r="H1371">
        <v>2</v>
      </c>
      <c r="I1371">
        <v>2</v>
      </c>
      <c r="J1371" s="27">
        <v>8198.44</v>
      </c>
      <c r="K1371" s="27">
        <v>1000000</v>
      </c>
    </row>
    <row r="1372" spans="1:11" ht="15" customHeight="1" x14ac:dyDescent="0.2">
      <c r="A1372" t="s">
        <v>3324</v>
      </c>
      <c r="B1372" t="s">
        <v>3325</v>
      </c>
      <c r="C1372">
        <v>2024</v>
      </c>
      <c r="D1372" s="18">
        <v>45365</v>
      </c>
      <c r="E1372" s="18">
        <v>45729</v>
      </c>
      <c r="F1372" s="18" t="s">
        <v>611</v>
      </c>
      <c r="G1372" t="s">
        <v>100</v>
      </c>
      <c r="H1372">
        <v>3</v>
      </c>
      <c r="I1372">
        <v>3</v>
      </c>
      <c r="J1372" s="27">
        <v>25244.41</v>
      </c>
      <c r="K1372" s="27">
        <v>2000000</v>
      </c>
    </row>
    <row r="1373" spans="1:11" ht="15" customHeight="1" x14ac:dyDescent="0.2">
      <c r="A1373" t="s">
        <v>3326</v>
      </c>
      <c r="B1373" t="s">
        <v>3327</v>
      </c>
      <c r="C1373">
        <v>2024</v>
      </c>
      <c r="D1373" s="18">
        <v>45366</v>
      </c>
      <c r="E1373" s="18">
        <v>45730</v>
      </c>
      <c r="F1373" s="18" t="s">
        <v>608</v>
      </c>
      <c r="G1373" t="s">
        <v>102</v>
      </c>
      <c r="H1373">
        <v>3</v>
      </c>
      <c r="I1373">
        <v>3</v>
      </c>
      <c r="J1373" s="27">
        <v>31648.68</v>
      </c>
      <c r="K1373" s="27">
        <v>4000000</v>
      </c>
    </row>
    <row r="1374" spans="1:11" ht="15" customHeight="1" x14ac:dyDescent="0.2">
      <c r="A1374" t="s">
        <v>3328</v>
      </c>
      <c r="B1374" t="s">
        <v>3329</v>
      </c>
      <c r="C1374">
        <v>2024</v>
      </c>
      <c r="D1374" s="18">
        <v>45366</v>
      </c>
      <c r="E1374" s="18">
        <v>45730</v>
      </c>
      <c r="F1374" s="18" t="s">
        <v>608</v>
      </c>
      <c r="G1374" t="s">
        <v>100</v>
      </c>
      <c r="H1374">
        <v>1</v>
      </c>
      <c r="I1374">
        <v>1</v>
      </c>
      <c r="J1374" s="27">
        <v>33400.44</v>
      </c>
      <c r="K1374" s="27">
        <v>2500000</v>
      </c>
    </row>
    <row r="1375" spans="1:11" ht="15" customHeight="1" x14ac:dyDescent="0.2">
      <c r="A1375" t="s">
        <v>3330</v>
      </c>
      <c r="B1375" t="s">
        <v>3331</v>
      </c>
      <c r="C1375">
        <v>2024</v>
      </c>
      <c r="D1375" s="18">
        <v>45366</v>
      </c>
      <c r="E1375" s="18">
        <v>45730</v>
      </c>
      <c r="F1375" s="18" t="s">
        <v>608</v>
      </c>
      <c r="G1375" t="s">
        <v>101</v>
      </c>
      <c r="H1375">
        <v>1</v>
      </c>
      <c r="I1375">
        <v>1</v>
      </c>
      <c r="J1375" s="27">
        <v>83407.679999999993</v>
      </c>
      <c r="K1375" s="27">
        <v>5000000</v>
      </c>
    </row>
    <row r="1376" spans="1:11" ht="15" customHeight="1" x14ac:dyDescent="0.2">
      <c r="A1376" t="s">
        <v>3332</v>
      </c>
      <c r="B1376" t="s">
        <v>3333</v>
      </c>
      <c r="C1376">
        <v>2024</v>
      </c>
      <c r="D1376" s="18">
        <v>45366</v>
      </c>
      <c r="E1376" s="18">
        <v>45730</v>
      </c>
      <c r="F1376" s="18" t="s">
        <v>611</v>
      </c>
      <c r="G1376" t="s">
        <v>101</v>
      </c>
      <c r="H1376">
        <v>1</v>
      </c>
      <c r="I1376">
        <v>1</v>
      </c>
      <c r="J1376" s="27">
        <v>38045.620000000003</v>
      </c>
      <c r="K1376" s="27">
        <v>2500000</v>
      </c>
    </row>
    <row r="1377" spans="1:11" ht="15" customHeight="1" x14ac:dyDescent="0.2">
      <c r="A1377" t="s">
        <v>3334</v>
      </c>
      <c r="B1377" t="s">
        <v>3335</v>
      </c>
      <c r="C1377">
        <v>2024</v>
      </c>
      <c r="D1377" s="18">
        <v>45366</v>
      </c>
      <c r="E1377" s="18">
        <v>45730</v>
      </c>
      <c r="F1377" s="18" t="s">
        <v>611</v>
      </c>
      <c r="G1377" t="s">
        <v>99</v>
      </c>
      <c r="H1377">
        <v>3</v>
      </c>
      <c r="I1377">
        <v>6</v>
      </c>
      <c r="J1377" s="27">
        <v>3827.47</v>
      </c>
      <c r="K1377" s="27">
        <v>500000</v>
      </c>
    </row>
    <row r="1378" spans="1:11" ht="15" customHeight="1" x14ac:dyDescent="0.2">
      <c r="A1378" t="s">
        <v>3336</v>
      </c>
      <c r="B1378" t="s">
        <v>3337</v>
      </c>
      <c r="C1378">
        <v>2024</v>
      </c>
      <c r="D1378" s="18">
        <v>45367</v>
      </c>
      <c r="E1378" s="18">
        <v>45731</v>
      </c>
      <c r="F1378" s="18" t="s">
        <v>608</v>
      </c>
      <c r="G1378" t="s">
        <v>101</v>
      </c>
      <c r="H1378">
        <v>2</v>
      </c>
      <c r="I1378">
        <v>2</v>
      </c>
      <c r="J1378" s="27">
        <v>85517.81</v>
      </c>
      <c r="K1378" s="27">
        <v>5000000</v>
      </c>
    </row>
    <row r="1379" spans="1:11" ht="15" customHeight="1" x14ac:dyDescent="0.2">
      <c r="A1379" t="s">
        <v>3338</v>
      </c>
      <c r="B1379" t="s">
        <v>3339</v>
      </c>
      <c r="C1379">
        <v>2024</v>
      </c>
      <c r="D1379" s="18">
        <v>45367</v>
      </c>
      <c r="E1379" s="18">
        <v>45731</v>
      </c>
      <c r="F1379" s="18" t="s">
        <v>611</v>
      </c>
      <c r="G1379" t="s">
        <v>99</v>
      </c>
      <c r="H1379">
        <v>1</v>
      </c>
      <c r="I1379">
        <v>1</v>
      </c>
      <c r="J1379" s="27">
        <v>20892.509999999998</v>
      </c>
      <c r="K1379" s="27">
        <v>2500000</v>
      </c>
    </row>
    <row r="1380" spans="1:11" ht="15" customHeight="1" x14ac:dyDescent="0.2">
      <c r="A1380" t="s">
        <v>3340</v>
      </c>
      <c r="B1380" t="s">
        <v>3341</v>
      </c>
      <c r="C1380">
        <v>2024</v>
      </c>
      <c r="D1380" s="18">
        <v>45367</v>
      </c>
      <c r="E1380" s="18">
        <v>45731</v>
      </c>
      <c r="F1380" s="18" t="s">
        <v>611</v>
      </c>
      <c r="G1380" t="s">
        <v>101</v>
      </c>
      <c r="H1380">
        <v>3</v>
      </c>
      <c r="I1380">
        <v>6</v>
      </c>
      <c r="J1380" s="27">
        <v>16175.6</v>
      </c>
      <c r="K1380" s="27">
        <v>1000000</v>
      </c>
    </row>
    <row r="1381" spans="1:11" ht="15" customHeight="1" x14ac:dyDescent="0.2">
      <c r="A1381" t="s">
        <v>3342</v>
      </c>
      <c r="B1381" t="s">
        <v>3343</v>
      </c>
      <c r="C1381">
        <v>2024</v>
      </c>
      <c r="D1381" s="18">
        <v>45367</v>
      </c>
      <c r="E1381" s="18">
        <v>45731</v>
      </c>
      <c r="F1381" s="18" t="s">
        <v>611</v>
      </c>
      <c r="G1381" t="s">
        <v>100</v>
      </c>
      <c r="H1381">
        <v>2</v>
      </c>
      <c r="I1381">
        <v>2</v>
      </c>
      <c r="J1381" s="27">
        <v>36298.339999999997</v>
      </c>
      <c r="K1381" s="27">
        <v>3000000</v>
      </c>
    </row>
    <row r="1382" spans="1:11" ht="15" customHeight="1" x14ac:dyDescent="0.2">
      <c r="A1382" t="s">
        <v>3344</v>
      </c>
      <c r="B1382" t="s">
        <v>3345</v>
      </c>
      <c r="C1382">
        <v>2024</v>
      </c>
      <c r="D1382" s="18">
        <v>45367</v>
      </c>
      <c r="E1382" s="18">
        <v>45731</v>
      </c>
      <c r="F1382" s="18" t="s">
        <v>611</v>
      </c>
      <c r="G1382" t="s">
        <v>100</v>
      </c>
      <c r="H1382">
        <v>3</v>
      </c>
      <c r="I1382">
        <v>3</v>
      </c>
      <c r="J1382" s="27">
        <v>67112.38</v>
      </c>
      <c r="K1382" s="27">
        <v>5000000</v>
      </c>
    </row>
    <row r="1383" spans="1:11" ht="15" customHeight="1" x14ac:dyDescent="0.2">
      <c r="A1383" t="s">
        <v>3346</v>
      </c>
      <c r="B1383" t="s">
        <v>3347</v>
      </c>
      <c r="C1383">
        <v>2024</v>
      </c>
      <c r="D1383" s="18">
        <v>45367</v>
      </c>
      <c r="E1383" s="18">
        <v>45731</v>
      </c>
      <c r="F1383" s="18" t="s">
        <v>611</v>
      </c>
      <c r="G1383" t="s">
        <v>101</v>
      </c>
      <c r="H1383">
        <v>1</v>
      </c>
      <c r="I1383">
        <v>1</v>
      </c>
      <c r="J1383" s="27">
        <v>75018.070000000007</v>
      </c>
      <c r="K1383" s="27">
        <v>4500000</v>
      </c>
    </row>
    <row r="1384" spans="1:11" ht="15" customHeight="1" x14ac:dyDescent="0.2">
      <c r="A1384" t="s">
        <v>3348</v>
      </c>
      <c r="B1384" t="s">
        <v>3349</v>
      </c>
      <c r="C1384">
        <v>2024</v>
      </c>
      <c r="D1384" s="18">
        <v>45368</v>
      </c>
      <c r="E1384" s="18">
        <v>45732</v>
      </c>
      <c r="F1384" s="18" t="s">
        <v>608</v>
      </c>
      <c r="G1384" t="s">
        <v>101</v>
      </c>
      <c r="H1384">
        <v>2</v>
      </c>
      <c r="I1384">
        <v>2</v>
      </c>
      <c r="J1384" s="27">
        <v>58948.03</v>
      </c>
      <c r="K1384" s="27">
        <v>4000000</v>
      </c>
    </row>
    <row r="1385" spans="1:11" ht="15" customHeight="1" x14ac:dyDescent="0.2">
      <c r="A1385" t="s">
        <v>3350</v>
      </c>
      <c r="B1385" t="s">
        <v>3351</v>
      </c>
      <c r="C1385">
        <v>2024</v>
      </c>
      <c r="D1385" s="18">
        <v>45368</v>
      </c>
      <c r="E1385" s="18">
        <v>45732</v>
      </c>
      <c r="F1385" s="18" t="s">
        <v>608</v>
      </c>
      <c r="G1385" t="s">
        <v>100</v>
      </c>
      <c r="H1385">
        <v>2</v>
      </c>
      <c r="I1385">
        <v>4</v>
      </c>
      <c r="J1385" s="27">
        <v>131560.57999999999</v>
      </c>
      <c r="K1385" s="27">
        <v>10000000</v>
      </c>
    </row>
    <row r="1386" spans="1:11" ht="15" customHeight="1" x14ac:dyDescent="0.2">
      <c r="A1386" t="s">
        <v>3352</v>
      </c>
      <c r="B1386" t="s">
        <v>3353</v>
      </c>
      <c r="C1386">
        <v>2024</v>
      </c>
      <c r="D1386" s="18">
        <v>45368</v>
      </c>
      <c r="E1386" s="18">
        <v>45732</v>
      </c>
      <c r="F1386" s="18" t="s">
        <v>608</v>
      </c>
      <c r="G1386" t="s">
        <v>102</v>
      </c>
      <c r="H1386">
        <v>1</v>
      </c>
      <c r="I1386">
        <v>2</v>
      </c>
      <c r="J1386" s="27">
        <v>34588.18</v>
      </c>
      <c r="K1386" s="27">
        <v>4500000</v>
      </c>
    </row>
    <row r="1387" spans="1:11" ht="15" customHeight="1" x14ac:dyDescent="0.2">
      <c r="A1387" t="s">
        <v>3354</v>
      </c>
      <c r="B1387" t="s">
        <v>3355</v>
      </c>
      <c r="C1387">
        <v>2024</v>
      </c>
      <c r="D1387" s="18">
        <v>45368</v>
      </c>
      <c r="E1387" s="18">
        <v>45732</v>
      </c>
      <c r="F1387" s="18" t="s">
        <v>611</v>
      </c>
      <c r="G1387" t="s">
        <v>101</v>
      </c>
      <c r="H1387">
        <v>3</v>
      </c>
      <c r="I1387">
        <v>6</v>
      </c>
      <c r="J1387" s="27">
        <v>60302.61</v>
      </c>
      <c r="K1387" s="27">
        <v>4000000</v>
      </c>
    </row>
    <row r="1388" spans="1:11" ht="15" customHeight="1" x14ac:dyDescent="0.2">
      <c r="A1388" t="s">
        <v>3356</v>
      </c>
      <c r="B1388" t="s">
        <v>3357</v>
      </c>
      <c r="C1388">
        <v>2024</v>
      </c>
      <c r="D1388" s="18">
        <v>45368</v>
      </c>
      <c r="E1388" s="18">
        <v>45732</v>
      </c>
      <c r="F1388" s="18" t="s">
        <v>611</v>
      </c>
      <c r="G1388" t="s">
        <v>102</v>
      </c>
      <c r="H1388">
        <v>2</v>
      </c>
      <c r="I1388">
        <v>4</v>
      </c>
      <c r="J1388" s="27">
        <v>23869.34</v>
      </c>
      <c r="K1388" s="27">
        <v>3000000</v>
      </c>
    </row>
    <row r="1389" spans="1:11" ht="15" customHeight="1" x14ac:dyDescent="0.2">
      <c r="A1389" t="s">
        <v>3358</v>
      </c>
      <c r="B1389" t="s">
        <v>3359</v>
      </c>
      <c r="C1389">
        <v>2024</v>
      </c>
      <c r="D1389" s="18">
        <v>45368</v>
      </c>
      <c r="E1389" s="18">
        <v>45732</v>
      </c>
      <c r="F1389" s="18" t="s">
        <v>611</v>
      </c>
      <c r="G1389" t="s">
        <v>99</v>
      </c>
      <c r="H1389">
        <v>2</v>
      </c>
      <c r="I1389">
        <v>2</v>
      </c>
      <c r="J1389" s="27">
        <v>4254.5600000000004</v>
      </c>
      <c r="K1389" s="27">
        <v>500000</v>
      </c>
    </row>
    <row r="1390" spans="1:11" ht="15" customHeight="1" x14ac:dyDescent="0.2">
      <c r="A1390" t="s">
        <v>3360</v>
      </c>
      <c r="B1390" t="s">
        <v>3361</v>
      </c>
      <c r="C1390">
        <v>2024</v>
      </c>
      <c r="D1390" s="18">
        <v>45368</v>
      </c>
      <c r="E1390" s="18">
        <v>45732</v>
      </c>
      <c r="F1390" s="18" t="s">
        <v>611</v>
      </c>
      <c r="G1390" t="s">
        <v>100</v>
      </c>
      <c r="H1390">
        <v>1</v>
      </c>
      <c r="I1390">
        <v>2</v>
      </c>
      <c r="J1390" s="27">
        <v>134864.28</v>
      </c>
      <c r="K1390" s="27">
        <v>10000000</v>
      </c>
    </row>
    <row r="1391" spans="1:11" ht="15" customHeight="1" x14ac:dyDescent="0.2">
      <c r="A1391" t="s">
        <v>3362</v>
      </c>
      <c r="B1391" t="s">
        <v>3363</v>
      </c>
      <c r="C1391">
        <v>2024</v>
      </c>
      <c r="D1391" s="18">
        <v>45368</v>
      </c>
      <c r="E1391" s="18">
        <v>45732</v>
      </c>
      <c r="F1391" s="18" t="s">
        <v>611</v>
      </c>
      <c r="G1391" t="s">
        <v>100</v>
      </c>
      <c r="H1391">
        <v>1</v>
      </c>
      <c r="I1391">
        <v>2</v>
      </c>
      <c r="J1391" s="27">
        <v>59965.31</v>
      </c>
      <c r="K1391" s="27">
        <v>5000000</v>
      </c>
    </row>
    <row r="1392" spans="1:11" ht="15" customHeight="1" x14ac:dyDescent="0.2">
      <c r="A1392" t="s">
        <v>3364</v>
      </c>
      <c r="B1392" t="s">
        <v>3365</v>
      </c>
      <c r="C1392">
        <v>2024</v>
      </c>
      <c r="D1392" s="18">
        <v>45368</v>
      </c>
      <c r="E1392" s="18">
        <v>45732</v>
      </c>
      <c r="F1392" s="18" t="s">
        <v>611</v>
      </c>
      <c r="G1392" t="s">
        <v>102</v>
      </c>
      <c r="H1392">
        <v>1</v>
      </c>
      <c r="I1392">
        <v>1</v>
      </c>
      <c r="J1392" s="27">
        <v>71119.33</v>
      </c>
      <c r="K1392" s="27">
        <v>10000000</v>
      </c>
    </row>
    <row r="1393" spans="1:11" ht="15" customHeight="1" x14ac:dyDescent="0.2">
      <c r="A1393" t="s">
        <v>3366</v>
      </c>
      <c r="B1393" t="s">
        <v>3367</v>
      </c>
      <c r="C1393">
        <v>2024</v>
      </c>
      <c r="D1393" s="18">
        <v>45368</v>
      </c>
      <c r="E1393" s="18">
        <v>45732</v>
      </c>
      <c r="F1393" s="18" t="s">
        <v>611</v>
      </c>
      <c r="G1393" t="s">
        <v>99</v>
      </c>
      <c r="H1393">
        <v>2</v>
      </c>
      <c r="I1393">
        <v>2</v>
      </c>
      <c r="J1393" s="27">
        <v>12629.28</v>
      </c>
      <c r="K1393" s="27">
        <v>1500000</v>
      </c>
    </row>
    <row r="1394" spans="1:11" ht="15" customHeight="1" x14ac:dyDescent="0.2">
      <c r="A1394" t="s">
        <v>3368</v>
      </c>
      <c r="B1394" t="s">
        <v>3369</v>
      </c>
      <c r="C1394">
        <v>2024</v>
      </c>
      <c r="D1394" s="18">
        <v>45369</v>
      </c>
      <c r="E1394" s="18">
        <v>45733</v>
      </c>
      <c r="F1394" s="18" t="s">
        <v>608</v>
      </c>
      <c r="G1394" t="s">
        <v>100</v>
      </c>
      <c r="H1394">
        <v>1</v>
      </c>
      <c r="I1394">
        <v>1</v>
      </c>
      <c r="J1394" s="27">
        <v>13042.63</v>
      </c>
      <c r="K1394" s="27">
        <v>1000000</v>
      </c>
    </row>
    <row r="1395" spans="1:11" ht="15" customHeight="1" x14ac:dyDescent="0.2">
      <c r="A1395" t="s">
        <v>3370</v>
      </c>
      <c r="B1395" t="s">
        <v>3371</v>
      </c>
      <c r="C1395">
        <v>2024</v>
      </c>
      <c r="D1395" s="18">
        <v>45369</v>
      </c>
      <c r="E1395" s="18">
        <v>45733</v>
      </c>
      <c r="F1395" s="18" t="s">
        <v>611</v>
      </c>
      <c r="G1395" t="s">
        <v>99</v>
      </c>
      <c r="H1395">
        <v>2</v>
      </c>
      <c r="I1395">
        <v>4</v>
      </c>
      <c r="J1395" s="27">
        <v>84537.4</v>
      </c>
      <c r="K1395" s="27">
        <v>10000000</v>
      </c>
    </row>
    <row r="1396" spans="1:11" ht="15" customHeight="1" x14ac:dyDescent="0.2">
      <c r="A1396" t="s">
        <v>3372</v>
      </c>
      <c r="B1396" t="s">
        <v>3373</v>
      </c>
      <c r="C1396">
        <v>2024</v>
      </c>
      <c r="D1396" s="18">
        <v>45369</v>
      </c>
      <c r="E1396" s="18">
        <v>45733</v>
      </c>
      <c r="F1396" s="18" t="s">
        <v>611</v>
      </c>
      <c r="G1396" t="s">
        <v>100</v>
      </c>
      <c r="H1396">
        <v>1</v>
      </c>
      <c r="I1396">
        <v>1</v>
      </c>
      <c r="J1396" s="27">
        <v>12007.23</v>
      </c>
      <c r="K1396" s="27">
        <v>1000000</v>
      </c>
    </row>
    <row r="1397" spans="1:11" ht="15" customHeight="1" x14ac:dyDescent="0.2">
      <c r="A1397" t="s">
        <v>3374</v>
      </c>
      <c r="B1397" t="s">
        <v>3375</v>
      </c>
      <c r="C1397">
        <v>2024</v>
      </c>
      <c r="D1397" s="18">
        <v>45369</v>
      </c>
      <c r="E1397" s="18">
        <v>45733</v>
      </c>
      <c r="F1397" s="18" t="s">
        <v>611</v>
      </c>
      <c r="G1397" t="s">
        <v>102</v>
      </c>
      <c r="H1397">
        <v>3</v>
      </c>
      <c r="I1397">
        <v>3</v>
      </c>
      <c r="J1397" s="27">
        <v>26579.68</v>
      </c>
      <c r="K1397" s="27">
        <v>4000000</v>
      </c>
    </row>
    <row r="1398" spans="1:11" ht="15" customHeight="1" x14ac:dyDescent="0.2">
      <c r="A1398" t="s">
        <v>3376</v>
      </c>
      <c r="B1398" t="s">
        <v>3377</v>
      </c>
      <c r="C1398">
        <v>2024</v>
      </c>
      <c r="D1398" s="18">
        <v>45370</v>
      </c>
      <c r="E1398" s="18">
        <v>45734</v>
      </c>
      <c r="F1398" s="18" t="s">
        <v>611</v>
      </c>
      <c r="G1398" t="s">
        <v>99</v>
      </c>
      <c r="H1398">
        <v>1</v>
      </c>
      <c r="I1398">
        <v>2</v>
      </c>
      <c r="J1398" s="27">
        <v>79465.7</v>
      </c>
      <c r="K1398" s="27">
        <v>10000000</v>
      </c>
    </row>
    <row r="1399" spans="1:11" ht="15" customHeight="1" x14ac:dyDescent="0.2">
      <c r="A1399" t="s">
        <v>3378</v>
      </c>
      <c r="B1399" t="s">
        <v>3379</v>
      </c>
      <c r="C1399">
        <v>2024</v>
      </c>
      <c r="D1399" s="18">
        <v>45370</v>
      </c>
      <c r="E1399" s="18">
        <v>45734</v>
      </c>
      <c r="F1399" s="18" t="s">
        <v>611</v>
      </c>
      <c r="G1399" t="s">
        <v>102</v>
      </c>
      <c r="H1399">
        <v>3</v>
      </c>
      <c r="I1399">
        <v>3</v>
      </c>
      <c r="J1399" s="27">
        <v>11148.3</v>
      </c>
      <c r="K1399" s="27">
        <v>1500000</v>
      </c>
    </row>
    <row r="1400" spans="1:11" ht="15" customHeight="1" x14ac:dyDescent="0.2">
      <c r="A1400" t="s">
        <v>3380</v>
      </c>
      <c r="B1400" t="s">
        <v>3381</v>
      </c>
      <c r="C1400">
        <v>2024</v>
      </c>
      <c r="D1400" s="18">
        <v>45370</v>
      </c>
      <c r="E1400" s="18">
        <v>45734</v>
      </c>
      <c r="F1400" s="18" t="s">
        <v>611</v>
      </c>
      <c r="G1400" t="s">
        <v>99</v>
      </c>
      <c r="H1400">
        <v>1</v>
      </c>
      <c r="I1400">
        <v>2</v>
      </c>
      <c r="J1400" s="27">
        <v>22151.18</v>
      </c>
      <c r="K1400" s="27">
        <v>2500000</v>
      </c>
    </row>
    <row r="1401" spans="1:11" ht="15" customHeight="1" x14ac:dyDescent="0.2">
      <c r="A1401" t="s">
        <v>3382</v>
      </c>
      <c r="B1401" t="s">
        <v>3383</v>
      </c>
      <c r="C1401">
        <v>2024</v>
      </c>
      <c r="D1401" s="18">
        <v>45370</v>
      </c>
      <c r="E1401" s="18">
        <v>45734</v>
      </c>
      <c r="F1401" s="18" t="s">
        <v>611</v>
      </c>
      <c r="G1401" t="s">
        <v>100</v>
      </c>
      <c r="H1401">
        <v>3</v>
      </c>
      <c r="I1401">
        <v>6</v>
      </c>
      <c r="J1401" s="27">
        <v>115265.95</v>
      </c>
      <c r="K1401" s="27">
        <v>10000000</v>
      </c>
    </row>
    <row r="1402" spans="1:11" ht="15" customHeight="1" x14ac:dyDescent="0.2">
      <c r="A1402" t="s">
        <v>3384</v>
      </c>
      <c r="B1402" t="s">
        <v>3385</v>
      </c>
      <c r="C1402">
        <v>2024</v>
      </c>
      <c r="D1402" s="18">
        <v>45370</v>
      </c>
      <c r="E1402" s="18">
        <v>45734</v>
      </c>
      <c r="F1402" s="18" t="s">
        <v>611</v>
      </c>
      <c r="G1402" t="s">
        <v>100</v>
      </c>
      <c r="H1402">
        <v>1</v>
      </c>
      <c r="I1402">
        <v>2</v>
      </c>
      <c r="J1402" s="27">
        <v>65825.759999999995</v>
      </c>
      <c r="K1402" s="27">
        <v>5000000</v>
      </c>
    </row>
    <row r="1403" spans="1:11" ht="15" customHeight="1" x14ac:dyDescent="0.2">
      <c r="A1403" t="s">
        <v>3386</v>
      </c>
      <c r="B1403" t="s">
        <v>3387</v>
      </c>
      <c r="C1403">
        <v>2024</v>
      </c>
      <c r="D1403" s="18">
        <v>45370</v>
      </c>
      <c r="E1403" s="18">
        <v>45734</v>
      </c>
      <c r="F1403" s="18" t="s">
        <v>611</v>
      </c>
      <c r="G1403" t="s">
        <v>100</v>
      </c>
      <c r="H1403">
        <v>1</v>
      </c>
      <c r="I1403">
        <v>2</v>
      </c>
      <c r="J1403" s="27">
        <v>58682.42</v>
      </c>
      <c r="K1403" s="27">
        <v>5000000</v>
      </c>
    </row>
    <row r="1404" spans="1:11" ht="15" customHeight="1" x14ac:dyDescent="0.2">
      <c r="A1404" t="s">
        <v>3388</v>
      </c>
      <c r="B1404" t="s">
        <v>3389</v>
      </c>
      <c r="C1404">
        <v>2024</v>
      </c>
      <c r="D1404" s="18">
        <v>45370</v>
      </c>
      <c r="E1404" s="18">
        <v>45734</v>
      </c>
      <c r="F1404" s="18" t="s">
        <v>611</v>
      </c>
      <c r="G1404" t="s">
        <v>100</v>
      </c>
      <c r="H1404">
        <v>3</v>
      </c>
      <c r="I1404">
        <v>6</v>
      </c>
      <c r="J1404" s="27">
        <v>52937.04</v>
      </c>
      <c r="K1404" s="27">
        <v>4500000</v>
      </c>
    </row>
    <row r="1405" spans="1:11" ht="15" customHeight="1" x14ac:dyDescent="0.2">
      <c r="A1405" t="s">
        <v>3390</v>
      </c>
      <c r="B1405" t="s">
        <v>3391</v>
      </c>
      <c r="C1405">
        <v>2024</v>
      </c>
      <c r="D1405" s="18">
        <v>45370</v>
      </c>
      <c r="E1405" s="18">
        <v>45734</v>
      </c>
      <c r="F1405" s="18" t="s">
        <v>611</v>
      </c>
      <c r="G1405" t="s">
        <v>100</v>
      </c>
      <c r="H1405">
        <v>1</v>
      </c>
      <c r="I1405">
        <v>1</v>
      </c>
      <c r="J1405" s="27">
        <v>26511.200000000001</v>
      </c>
      <c r="K1405" s="27">
        <v>2000000</v>
      </c>
    </row>
    <row r="1406" spans="1:11" ht="15" customHeight="1" x14ac:dyDescent="0.2">
      <c r="A1406" t="s">
        <v>3392</v>
      </c>
      <c r="B1406" t="s">
        <v>3393</v>
      </c>
      <c r="C1406">
        <v>2024</v>
      </c>
      <c r="D1406" s="18">
        <v>45371</v>
      </c>
      <c r="E1406" s="18">
        <v>45735</v>
      </c>
      <c r="F1406" s="18" t="s">
        <v>611</v>
      </c>
      <c r="G1406" t="s">
        <v>99</v>
      </c>
      <c r="H1406">
        <v>3</v>
      </c>
      <c r="I1406">
        <v>6</v>
      </c>
      <c r="J1406" s="27">
        <v>8665.61</v>
      </c>
      <c r="K1406" s="27">
        <v>1000000</v>
      </c>
    </row>
    <row r="1407" spans="1:11" ht="15" customHeight="1" x14ac:dyDescent="0.2">
      <c r="A1407" t="s">
        <v>3394</v>
      </c>
      <c r="B1407" t="s">
        <v>3395</v>
      </c>
      <c r="C1407">
        <v>2024</v>
      </c>
      <c r="D1407" s="18">
        <v>45371</v>
      </c>
      <c r="E1407" s="18">
        <v>45735</v>
      </c>
      <c r="F1407" s="18" t="s">
        <v>611</v>
      </c>
      <c r="G1407" t="s">
        <v>100</v>
      </c>
      <c r="H1407">
        <v>1</v>
      </c>
      <c r="I1407">
        <v>1</v>
      </c>
      <c r="J1407" s="27">
        <v>59302.81</v>
      </c>
      <c r="K1407" s="27">
        <v>4500000</v>
      </c>
    </row>
    <row r="1408" spans="1:11" ht="15" customHeight="1" x14ac:dyDescent="0.2">
      <c r="A1408" t="s">
        <v>3396</v>
      </c>
      <c r="B1408" t="s">
        <v>3397</v>
      </c>
      <c r="C1408">
        <v>2024</v>
      </c>
      <c r="D1408" s="18">
        <v>45371</v>
      </c>
      <c r="E1408" s="18">
        <v>45735</v>
      </c>
      <c r="F1408" s="18" t="s">
        <v>611</v>
      </c>
      <c r="G1408" t="s">
        <v>101</v>
      </c>
      <c r="H1408">
        <v>1</v>
      </c>
      <c r="I1408">
        <v>1</v>
      </c>
      <c r="J1408" s="27">
        <v>78083.09</v>
      </c>
      <c r="K1408" s="27">
        <v>5000000</v>
      </c>
    </row>
    <row r="1409" spans="1:11" ht="15" customHeight="1" x14ac:dyDescent="0.2">
      <c r="A1409" t="s">
        <v>3398</v>
      </c>
      <c r="B1409" t="s">
        <v>3399</v>
      </c>
      <c r="C1409">
        <v>2024</v>
      </c>
      <c r="D1409" s="18">
        <v>45371</v>
      </c>
      <c r="E1409" s="18">
        <v>45735</v>
      </c>
      <c r="F1409" s="18" t="s">
        <v>611</v>
      </c>
      <c r="G1409" t="s">
        <v>101</v>
      </c>
      <c r="H1409">
        <v>2</v>
      </c>
      <c r="I1409">
        <v>2</v>
      </c>
      <c r="J1409" s="27">
        <v>30951.59</v>
      </c>
      <c r="K1409" s="27">
        <v>2000000</v>
      </c>
    </row>
    <row r="1410" spans="1:11" ht="15" customHeight="1" x14ac:dyDescent="0.2">
      <c r="A1410" t="s">
        <v>3400</v>
      </c>
      <c r="B1410" t="s">
        <v>3401</v>
      </c>
      <c r="C1410">
        <v>2024</v>
      </c>
      <c r="D1410" s="18">
        <v>45371</v>
      </c>
      <c r="E1410" s="18">
        <v>45735</v>
      </c>
      <c r="F1410" s="18" t="s">
        <v>611</v>
      </c>
      <c r="G1410" t="s">
        <v>100</v>
      </c>
      <c r="H1410">
        <v>2</v>
      </c>
      <c r="I1410">
        <v>4</v>
      </c>
      <c r="J1410" s="27">
        <v>125516.81</v>
      </c>
      <c r="K1410" s="27">
        <v>10000000</v>
      </c>
    </row>
    <row r="1411" spans="1:11" ht="15" customHeight="1" x14ac:dyDescent="0.2">
      <c r="A1411" t="s">
        <v>3402</v>
      </c>
      <c r="B1411" t="s">
        <v>3403</v>
      </c>
      <c r="C1411">
        <v>2024</v>
      </c>
      <c r="D1411" s="18">
        <v>45371</v>
      </c>
      <c r="E1411" s="18">
        <v>45735</v>
      </c>
      <c r="F1411" s="18" t="s">
        <v>611</v>
      </c>
      <c r="G1411" t="s">
        <v>100</v>
      </c>
      <c r="H1411">
        <v>2</v>
      </c>
      <c r="I1411">
        <v>2</v>
      </c>
      <c r="J1411" s="27">
        <v>60448.93</v>
      </c>
      <c r="K1411" s="27">
        <v>4500000</v>
      </c>
    </row>
    <row r="1412" spans="1:11" ht="15" customHeight="1" x14ac:dyDescent="0.2">
      <c r="A1412" t="s">
        <v>3404</v>
      </c>
      <c r="B1412" t="s">
        <v>3405</v>
      </c>
      <c r="C1412">
        <v>2024</v>
      </c>
      <c r="D1412" s="18">
        <v>45372</v>
      </c>
      <c r="E1412" s="18">
        <v>45736</v>
      </c>
      <c r="F1412" s="18" t="s">
        <v>608</v>
      </c>
      <c r="G1412" t="s">
        <v>100</v>
      </c>
      <c r="H1412">
        <v>1</v>
      </c>
      <c r="I1412">
        <v>2</v>
      </c>
      <c r="J1412" s="27">
        <v>58226.9</v>
      </c>
      <c r="K1412" s="27">
        <v>5000000</v>
      </c>
    </row>
    <row r="1413" spans="1:11" ht="15" customHeight="1" x14ac:dyDescent="0.2">
      <c r="A1413" t="s">
        <v>3406</v>
      </c>
      <c r="B1413" t="s">
        <v>3407</v>
      </c>
      <c r="C1413">
        <v>2024</v>
      </c>
      <c r="D1413" s="18">
        <v>45372</v>
      </c>
      <c r="E1413" s="18">
        <v>45736</v>
      </c>
      <c r="F1413" s="18" t="s">
        <v>608</v>
      </c>
      <c r="G1413" t="s">
        <v>99</v>
      </c>
      <c r="H1413">
        <v>1</v>
      </c>
      <c r="I1413">
        <v>1</v>
      </c>
      <c r="J1413" s="27">
        <v>7912.74</v>
      </c>
      <c r="K1413" s="27">
        <v>1000000</v>
      </c>
    </row>
    <row r="1414" spans="1:11" ht="15" customHeight="1" x14ac:dyDescent="0.2">
      <c r="A1414" t="s">
        <v>3408</v>
      </c>
      <c r="B1414" t="s">
        <v>3409</v>
      </c>
      <c r="C1414">
        <v>2024</v>
      </c>
      <c r="D1414" s="18">
        <v>45372</v>
      </c>
      <c r="E1414" s="18">
        <v>45736</v>
      </c>
      <c r="F1414" s="18" t="s">
        <v>611</v>
      </c>
      <c r="G1414" t="s">
        <v>99</v>
      </c>
      <c r="H1414">
        <v>1</v>
      </c>
      <c r="I1414">
        <v>2</v>
      </c>
      <c r="J1414" s="27">
        <v>16340.08</v>
      </c>
      <c r="K1414" s="27">
        <v>2000000</v>
      </c>
    </row>
    <row r="1415" spans="1:11" ht="15" customHeight="1" x14ac:dyDescent="0.2">
      <c r="A1415" t="s">
        <v>3410</v>
      </c>
      <c r="B1415" t="s">
        <v>3411</v>
      </c>
      <c r="C1415">
        <v>2024</v>
      </c>
      <c r="D1415" s="18">
        <v>45372</v>
      </c>
      <c r="E1415" s="18">
        <v>45736</v>
      </c>
      <c r="F1415" s="18" t="s">
        <v>611</v>
      </c>
      <c r="G1415" t="s">
        <v>99</v>
      </c>
      <c r="H1415">
        <v>1</v>
      </c>
      <c r="I1415">
        <v>2</v>
      </c>
      <c r="J1415" s="27">
        <v>87520.25</v>
      </c>
      <c r="K1415" s="27">
        <v>10000000</v>
      </c>
    </row>
    <row r="1416" spans="1:11" ht="15" customHeight="1" x14ac:dyDescent="0.2">
      <c r="A1416" t="s">
        <v>3412</v>
      </c>
      <c r="B1416" t="s">
        <v>3413</v>
      </c>
      <c r="C1416">
        <v>2024</v>
      </c>
      <c r="D1416" s="18">
        <v>45372</v>
      </c>
      <c r="E1416" s="18">
        <v>45736</v>
      </c>
      <c r="F1416" s="18" t="s">
        <v>611</v>
      </c>
      <c r="G1416" t="s">
        <v>99</v>
      </c>
      <c r="H1416">
        <v>1</v>
      </c>
      <c r="I1416">
        <v>1</v>
      </c>
      <c r="J1416" s="27">
        <v>41100.97</v>
      </c>
      <c r="K1416" s="27">
        <v>4500000</v>
      </c>
    </row>
    <row r="1417" spans="1:11" ht="15" customHeight="1" x14ac:dyDescent="0.2">
      <c r="A1417" t="s">
        <v>3414</v>
      </c>
      <c r="B1417" t="s">
        <v>3415</v>
      </c>
      <c r="C1417">
        <v>2024</v>
      </c>
      <c r="D1417" s="18">
        <v>45372</v>
      </c>
      <c r="E1417" s="18">
        <v>45736</v>
      </c>
      <c r="F1417" s="18" t="s">
        <v>611</v>
      </c>
      <c r="G1417" t="s">
        <v>102</v>
      </c>
      <c r="H1417">
        <v>1</v>
      </c>
      <c r="I1417">
        <v>1</v>
      </c>
      <c r="J1417" s="27">
        <v>66391.820000000007</v>
      </c>
      <c r="K1417" s="27">
        <v>10000000</v>
      </c>
    </row>
    <row r="1418" spans="1:11" ht="15" customHeight="1" x14ac:dyDescent="0.2">
      <c r="A1418" t="s">
        <v>3416</v>
      </c>
      <c r="B1418" t="s">
        <v>3417</v>
      </c>
      <c r="C1418">
        <v>2024</v>
      </c>
      <c r="D1418" s="18">
        <v>45372</v>
      </c>
      <c r="E1418" s="18">
        <v>45736</v>
      </c>
      <c r="F1418" s="18" t="s">
        <v>611</v>
      </c>
      <c r="G1418" t="s">
        <v>99</v>
      </c>
      <c r="H1418">
        <v>1</v>
      </c>
      <c r="I1418">
        <v>1</v>
      </c>
      <c r="J1418" s="27">
        <v>31619.16</v>
      </c>
      <c r="K1418" s="27">
        <v>4000000</v>
      </c>
    </row>
    <row r="1419" spans="1:11" ht="15" customHeight="1" x14ac:dyDescent="0.2">
      <c r="A1419" t="s">
        <v>3418</v>
      </c>
      <c r="B1419" t="s">
        <v>3419</v>
      </c>
      <c r="C1419">
        <v>2024</v>
      </c>
      <c r="D1419" s="18">
        <v>45373</v>
      </c>
      <c r="E1419" s="18">
        <v>45737</v>
      </c>
      <c r="F1419" s="18" t="s">
        <v>608</v>
      </c>
      <c r="G1419" t="s">
        <v>99</v>
      </c>
      <c r="H1419">
        <v>1</v>
      </c>
      <c r="I1419">
        <v>2</v>
      </c>
      <c r="J1419" s="27">
        <v>4145.6499999999996</v>
      </c>
      <c r="K1419" s="27">
        <v>500000</v>
      </c>
    </row>
    <row r="1420" spans="1:11" ht="15" customHeight="1" x14ac:dyDescent="0.2">
      <c r="A1420" t="s">
        <v>3420</v>
      </c>
      <c r="B1420" t="s">
        <v>3421</v>
      </c>
      <c r="C1420">
        <v>2024</v>
      </c>
      <c r="D1420" s="18">
        <v>45373</v>
      </c>
      <c r="E1420" s="18">
        <v>45737</v>
      </c>
      <c r="F1420" s="18" t="s">
        <v>608</v>
      </c>
      <c r="G1420" t="s">
        <v>99</v>
      </c>
      <c r="H1420">
        <v>2</v>
      </c>
      <c r="I1420">
        <v>2</v>
      </c>
      <c r="J1420" s="27">
        <v>18164.580000000002</v>
      </c>
      <c r="K1420" s="27">
        <v>2000000</v>
      </c>
    </row>
    <row r="1421" spans="1:11" ht="15" customHeight="1" x14ac:dyDescent="0.2">
      <c r="A1421" t="s">
        <v>3422</v>
      </c>
      <c r="B1421" t="s">
        <v>3423</v>
      </c>
      <c r="C1421">
        <v>2024</v>
      </c>
      <c r="D1421" s="18">
        <v>45373</v>
      </c>
      <c r="E1421" s="18">
        <v>45737</v>
      </c>
      <c r="F1421" s="18" t="s">
        <v>608</v>
      </c>
      <c r="G1421" t="s">
        <v>99</v>
      </c>
      <c r="H1421">
        <v>2</v>
      </c>
      <c r="I1421">
        <v>2</v>
      </c>
      <c r="J1421" s="27">
        <v>26433.74</v>
      </c>
      <c r="K1421" s="27">
        <v>3500000</v>
      </c>
    </row>
    <row r="1422" spans="1:11" ht="15" customHeight="1" x14ac:dyDescent="0.2">
      <c r="A1422" t="s">
        <v>3424</v>
      </c>
      <c r="B1422" t="s">
        <v>3425</v>
      </c>
      <c r="C1422">
        <v>2024</v>
      </c>
      <c r="D1422" s="18">
        <v>45373</v>
      </c>
      <c r="E1422" s="18">
        <v>45737</v>
      </c>
      <c r="F1422" s="18" t="s">
        <v>611</v>
      </c>
      <c r="G1422" t="s">
        <v>101</v>
      </c>
      <c r="H1422">
        <v>1</v>
      </c>
      <c r="I1422">
        <v>1</v>
      </c>
      <c r="J1422" s="27">
        <v>42119.72</v>
      </c>
      <c r="K1422" s="27">
        <v>3000000</v>
      </c>
    </row>
    <row r="1423" spans="1:11" ht="15" customHeight="1" x14ac:dyDescent="0.2">
      <c r="A1423" t="s">
        <v>3426</v>
      </c>
      <c r="B1423" t="s">
        <v>3427</v>
      </c>
      <c r="C1423">
        <v>2024</v>
      </c>
      <c r="D1423" s="18">
        <v>45373</v>
      </c>
      <c r="E1423" s="18">
        <v>45737</v>
      </c>
      <c r="F1423" s="18" t="s">
        <v>611</v>
      </c>
      <c r="G1423" t="s">
        <v>101</v>
      </c>
      <c r="H1423">
        <v>1</v>
      </c>
      <c r="I1423">
        <v>2</v>
      </c>
      <c r="J1423" s="27">
        <v>29558.73</v>
      </c>
      <c r="K1423" s="27">
        <v>2000000</v>
      </c>
    </row>
    <row r="1424" spans="1:11" ht="15" customHeight="1" x14ac:dyDescent="0.2">
      <c r="A1424" t="s">
        <v>3428</v>
      </c>
      <c r="B1424" t="s">
        <v>3429</v>
      </c>
      <c r="C1424">
        <v>2024</v>
      </c>
      <c r="D1424" s="18">
        <v>45373</v>
      </c>
      <c r="E1424" s="18">
        <v>45737</v>
      </c>
      <c r="F1424" s="18" t="s">
        <v>611</v>
      </c>
      <c r="G1424" t="s">
        <v>100</v>
      </c>
      <c r="H1424">
        <v>1</v>
      </c>
      <c r="I1424">
        <v>2</v>
      </c>
      <c r="J1424" s="27">
        <v>27708.93</v>
      </c>
      <c r="K1424" s="27">
        <v>2500000</v>
      </c>
    </row>
    <row r="1425" spans="1:11" ht="15" customHeight="1" x14ac:dyDescent="0.2">
      <c r="A1425" t="s">
        <v>3430</v>
      </c>
      <c r="B1425" t="s">
        <v>3431</v>
      </c>
      <c r="C1425">
        <v>2024</v>
      </c>
      <c r="D1425" s="18">
        <v>45373</v>
      </c>
      <c r="E1425" s="18">
        <v>45737</v>
      </c>
      <c r="F1425" s="18" t="s">
        <v>611</v>
      </c>
      <c r="G1425" t="s">
        <v>101</v>
      </c>
      <c r="H1425">
        <v>2</v>
      </c>
      <c r="I1425">
        <v>2</v>
      </c>
      <c r="J1425" s="27">
        <v>58392.53</v>
      </c>
      <c r="K1425" s="27">
        <v>3500000</v>
      </c>
    </row>
    <row r="1426" spans="1:11" ht="15" customHeight="1" x14ac:dyDescent="0.2">
      <c r="A1426" t="s">
        <v>3432</v>
      </c>
      <c r="B1426" t="s">
        <v>3433</v>
      </c>
      <c r="C1426">
        <v>2024</v>
      </c>
      <c r="D1426" s="18">
        <v>45373</v>
      </c>
      <c r="E1426" s="18">
        <v>45737</v>
      </c>
      <c r="F1426" s="18" t="s">
        <v>611</v>
      </c>
      <c r="G1426" t="s">
        <v>99</v>
      </c>
      <c r="H1426">
        <v>1</v>
      </c>
      <c r="I1426">
        <v>1</v>
      </c>
      <c r="J1426" s="27">
        <v>38360.54</v>
      </c>
      <c r="K1426" s="27">
        <v>5000000</v>
      </c>
    </row>
    <row r="1427" spans="1:11" ht="15" customHeight="1" x14ac:dyDescent="0.2">
      <c r="A1427" t="s">
        <v>3434</v>
      </c>
      <c r="B1427" t="s">
        <v>3435</v>
      </c>
      <c r="C1427">
        <v>2024</v>
      </c>
      <c r="D1427" s="18">
        <v>45373</v>
      </c>
      <c r="E1427" s="18">
        <v>45737</v>
      </c>
      <c r="F1427" s="18" t="s">
        <v>611</v>
      </c>
      <c r="G1427" t="s">
        <v>101</v>
      </c>
      <c r="H1427">
        <v>1</v>
      </c>
      <c r="I1427">
        <v>1</v>
      </c>
      <c r="J1427" s="27">
        <v>156399.56</v>
      </c>
      <c r="K1427" s="27">
        <v>10000000</v>
      </c>
    </row>
    <row r="1428" spans="1:11" ht="15" customHeight="1" x14ac:dyDescent="0.2">
      <c r="A1428" t="s">
        <v>3436</v>
      </c>
      <c r="B1428" t="s">
        <v>3437</v>
      </c>
      <c r="C1428">
        <v>2024</v>
      </c>
      <c r="D1428" s="18">
        <v>45373</v>
      </c>
      <c r="E1428" s="18">
        <v>45737</v>
      </c>
      <c r="F1428" s="18" t="s">
        <v>611</v>
      </c>
      <c r="G1428" t="s">
        <v>99</v>
      </c>
      <c r="H1428">
        <v>3</v>
      </c>
      <c r="I1428">
        <v>6</v>
      </c>
      <c r="J1428" s="27">
        <v>79606.77</v>
      </c>
      <c r="K1428" s="27">
        <v>10000000</v>
      </c>
    </row>
    <row r="1429" spans="1:11" ht="15" customHeight="1" x14ac:dyDescent="0.2">
      <c r="A1429" t="s">
        <v>3438</v>
      </c>
      <c r="B1429" t="s">
        <v>3439</v>
      </c>
      <c r="C1429">
        <v>2024</v>
      </c>
      <c r="D1429" s="18">
        <v>45373</v>
      </c>
      <c r="E1429" s="18">
        <v>45737</v>
      </c>
      <c r="F1429" s="18" t="s">
        <v>611</v>
      </c>
      <c r="G1429" t="s">
        <v>101</v>
      </c>
      <c r="H1429">
        <v>2</v>
      </c>
      <c r="I1429">
        <v>4</v>
      </c>
      <c r="J1429" s="27">
        <v>75380.490000000005</v>
      </c>
      <c r="K1429" s="27">
        <v>4500000</v>
      </c>
    </row>
    <row r="1430" spans="1:11" ht="15" customHeight="1" x14ac:dyDescent="0.2">
      <c r="A1430" t="s">
        <v>3440</v>
      </c>
      <c r="B1430" t="s">
        <v>3441</v>
      </c>
      <c r="C1430">
        <v>2024</v>
      </c>
      <c r="D1430" s="18">
        <v>45373</v>
      </c>
      <c r="E1430" s="18">
        <v>45737</v>
      </c>
      <c r="F1430" s="18" t="s">
        <v>611</v>
      </c>
      <c r="G1430" t="s">
        <v>101</v>
      </c>
      <c r="H1430">
        <v>1</v>
      </c>
      <c r="I1430">
        <v>1</v>
      </c>
      <c r="J1430" s="27">
        <v>28607.51</v>
      </c>
      <c r="K1430" s="27">
        <v>2000000</v>
      </c>
    </row>
    <row r="1431" spans="1:11" ht="15" customHeight="1" x14ac:dyDescent="0.2">
      <c r="A1431" t="s">
        <v>3442</v>
      </c>
      <c r="B1431" t="s">
        <v>3443</v>
      </c>
      <c r="C1431">
        <v>2024</v>
      </c>
      <c r="D1431" s="18">
        <v>45373</v>
      </c>
      <c r="E1431" s="18">
        <v>45737</v>
      </c>
      <c r="F1431" s="18" t="s">
        <v>611</v>
      </c>
      <c r="G1431" t="s">
        <v>102</v>
      </c>
      <c r="H1431">
        <v>1</v>
      </c>
      <c r="I1431">
        <v>1</v>
      </c>
      <c r="J1431" s="27">
        <v>15438.33</v>
      </c>
      <c r="K1431" s="27">
        <v>2000000</v>
      </c>
    </row>
    <row r="1432" spans="1:11" ht="15" customHeight="1" x14ac:dyDescent="0.2">
      <c r="A1432" t="s">
        <v>3444</v>
      </c>
      <c r="B1432" t="s">
        <v>3445</v>
      </c>
      <c r="C1432">
        <v>2024</v>
      </c>
      <c r="D1432" s="18">
        <v>45373</v>
      </c>
      <c r="E1432" s="18">
        <v>45737</v>
      </c>
      <c r="F1432" s="18" t="s">
        <v>611</v>
      </c>
      <c r="G1432" t="s">
        <v>100</v>
      </c>
      <c r="H1432">
        <v>3</v>
      </c>
      <c r="I1432">
        <v>3</v>
      </c>
      <c r="J1432" s="27">
        <v>59968.76</v>
      </c>
      <c r="K1432" s="27">
        <v>5000000</v>
      </c>
    </row>
    <row r="1433" spans="1:11" ht="15" customHeight="1" x14ac:dyDescent="0.2">
      <c r="A1433" t="s">
        <v>3446</v>
      </c>
      <c r="B1433" t="s">
        <v>3447</v>
      </c>
      <c r="C1433">
        <v>2024</v>
      </c>
      <c r="D1433" s="18">
        <v>45374</v>
      </c>
      <c r="E1433" s="18">
        <v>45738</v>
      </c>
      <c r="F1433" s="18" t="s">
        <v>608</v>
      </c>
      <c r="G1433" t="s">
        <v>100</v>
      </c>
      <c r="H1433">
        <v>2</v>
      </c>
      <c r="I1433">
        <v>4</v>
      </c>
      <c r="J1433" s="27">
        <v>35224.01</v>
      </c>
      <c r="K1433" s="27">
        <v>3000000</v>
      </c>
    </row>
    <row r="1434" spans="1:11" ht="15" customHeight="1" x14ac:dyDescent="0.2">
      <c r="A1434" t="s">
        <v>3448</v>
      </c>
      <c r="B1434" t="s">
        <v>3449</v>
      </c>
      <c r="C1434">
        <v>2024</v>
      </c>
      <c r="D1434" s="18">
        <v>45374</v>
      </c>
      <c r="E1434" s="18">
        <v>45738</v>
      </c>
      <c r="F1434" s="18" t="s">
        <v>611</v>
      </c>
      <c r="G1434" t="s">
        <v>99</v>
      </c>
      <c r="H1434">
        <v>1</v>
      </c>
      <c r="I1434">
        <v>2</v>
      </c>
      <c r="J1434" s="27">
        <v>40276.42</v>
      </c>
      <c r="K1434" s="27">
        <v>5000000</v>
      </c>
    </row>
    <row r="1435" spans="1:11" ht="15" customHeight="1" x14ac:dyDescent="0.2">
      <c r="A1435" t="s">
        <v>3450</v>
      </c>
      <c r="B1435" t="s">
        <v>3451</v>
      </c>
      <c r="C1435">
        <v>2024</v>
      </c>
      <c r="D1435" s="18">
        <v>45374</v>
      </c>
      <c r="E1435" s="18">
        <v>45738</v>
      </c>
      <c r="F1435" s="18" t="s">
        <v>611</v>
      </c>
      <c r="G1435" t="s">
        <v>101</v>
      </c>
      <c r="H1435">
        <v>2</v>
      </c>
      <c r="I1435">
        <v>4</v>
      </c>
      <c r="J1435" s="27">
        <v>15297.74</v>
      </c>
      <c r="K1435" s="27">
        <v>1000000</v>
      </c>
    </row>
    <row r="1436" spans="1:11" ht="15" customHeight="1" x14ac:dyDescent="0.2">
      <c r="A1436" t="s">
        <v>3452</v>
      </c>
      <c r="B1436" t="s">
        <v>3453</v>
      </c>
      <c r="C1436">
        <v>2024</v>
      </c>
      <c r="D1436" s="18">
        <v>45374</v>
      </c>
      <c r="E1436" s="18">
        <v>45738</v>
      </c>
      <c r="F1436" s="18" t="s">
        <v>611</v>
      </c>
      <c r="G1436" t="s">
        <v>102</v>
      </c>
      <c r="H1436">
        <v>1</v>
      </c>
      <c r="I1436">
        <v>2</v>
      </c>
      <c r="J1436" s="27">
        <v>76213.649999999994</v>
      </c>
      <c r="K1436" s="27">
        <v>10000000</v>
      </c>
    </row>
    <row r="1437" spans="1:11" ht="15" customHeight="1" x14ac:dyDescent="0.2">
      <c r="A1437" t="s">
        <v>3454</v>
      </c>
      <c r="B1437" t="s">
        <v>3455</v>
      </c>
      <c r="C1437">
        <v>2024</v>
      </c>
      <c r="D1437" s="18">
        <v>45374</v>
      </c>
      <c r="E1437" s="18">
        <v>45738</v>
      </c>
      <c r="F1437" s="18" t="s">
        <v>611</v>
      </c>
      <c r="G1437" t="s">
        <v>101</v>
      </c>
      <c r="H1437">
        <v>1</v>
      </c>
      <c r="I1437">
        <v>1</v>
      </c>
      <c r="J1437" s="27">
        <v>148846.75</v>
      </c>
      <c r="K1437" s="27">
        <v>10000000</v>
      </c>
    </row>
    <row r="1438" spans="1:11" ht="15" customHeight="1" x14ac:dyDescent="0.2">
      <c r="A1438" t="s">
        <v>3456</v>
      </c>
      <c r="B1438" t="s">
        <v>3457</v>
      </c>
      <c r="C1438">
        <v>2024</v>
      </c>
      <c r="D1438" s="18">
        <v>45374</v>
      </c>
      <c r="E1438" s="18">
        <v>45738</v>
      </c>
      <c r="F1438" s="18" t="s">
        <v>611</v>
      </c>
      <c r="G1438" t="s">
        <v>100</v>
      </c>
      <c r="H1438">
        <v>1</v>
      </c>
      <c r="I1438">
        <v>2</v>
      </c>
      <c r="J1438" s="27">
        <v>34683.51</v>
      </c>
      <c r="K1438" s="27">
        <v>3000000</v>
      </c>
    </row>
    <row r="1439" spans="1:11" ht="15" customHeight="1" x14ac:dyDescent="0.2">
      <c r="A1439" t="s">
        <v>3458</v>
      </c>
      <c r="B1439" t="s">
        <v>3459</v>
      </c>
      <c r="C1439">
        <v>2024</v>
      </c>
      <c r="D1439" s="18">
        <v>45375</v>
      </c>
      <c r="E1439" s="18">
        <v>45739</v>
      </c>
      <c r="F1439" s="18" t="s">
        <v>608</v>
      </c>
      <c r="G1439" t="s">
        <v>101</v>
      </c>
      <c r="H1439">
        <v>1</v>
      </c>
      <c r="I1439">
        <v>2</v>
      </c>
      <c r="J1439" s="27">
        <v>35625.550000000003</v>
      </c>
      <c r="K1439" s="27">
        <v>2500000</v>
      </c>
    </row>
    <row r="1440" spans="1:11" ht="15" customHeight="1" x14ac:dyDescent="0.2">
      <c r="A1440" t="s">
        <v>3460</v>
      </c>
      <c r="B1440" t="s">
        <v>3461</v>
      </c>
      <c r="C1440">
        <v>2024</v>
      </c>
      <c r="D1440" s="18">
        <v>45375</v>
      </c>
      <c r="E1440" s="18">
        <v>45739</v>
      </c>
      <c r="F1440" s="18" t="s">
        <v>611</v>
      </c>
      <c r="G1440" t="s">
        <v>99</v>
      </c>
      <c r="H1440">
        <v>3</v>
      </c>
      <c r="I1440">
        <v>3</v>
      </c>
      <c r="J1440" s="27">
        <v>35451.879999999997</v>
      </c>
      <c r="K1440" s="27">
        <v>4000000</v>
      </c>
    </row>
    <row r="1441" spans="1:11" ht="15" customHeight="1" x14ac:dyDescent="0.2">
      <c r="A1441" t="s">
        <v>3462</v>
      </c>
      <c r="B1441" t="s">
        <v>3463</v>
      </c>
      <c r="C1441">
        <v>2024</v>
      </c>
      <c r="D1441" s="18">
        <v>45375</v>
      </c>
      <c r="E1441" s="18">
        <v>45739</v>
      </c>
      <c r="F1441" s="18" t="s">
        <v>611</v>
      </c>
      <c r="G1441" t="s">
        <v>100</v>
      </c>
      <c r="H1441">
        <v>2</v>
      </c>
      <c r="I1441">
        <v>4</v>
      </c>
      <c r="J1441" s="27">
        <v>22579.98</v>
      </c>
      <c r="K1441" s="27">
        <v>2000000</v>
      </c>
    </row>
    <row r="1442" spans="1:11" ht="15" customHeight="1" x14ac:dyDescent="0.2">
      <c r="A1442" t="s">
        <v>3464</v>
      </c>
      <c r="B1442" t="s">
        <v>3465</v>
      </c>
      <c r="C1442">
        <v>2024</v>
      </c>
      <c r="D1442" s="18">
        <v>45375</v>
      </c>
      <c r="E1442" s="18">
        <v>45739</v>
      </c>
      <c r="F1442" s="18" t="s">
        <v>611</v>
      </c>
      <c r="G1442" t="s">
        <v>99</v>
      </c>
      <c r="H1442">
        <v>1</v>
      </c>
      <c r="I1442">
        <v>2</v>
      </c>
      <c r="J1442" s="27">
        <v>78722.48</v>
      </c>
      <c r="K1442" s="27">
        <v>10000000</v>
      </c>
    </row>
    <row r="1443" spans="1:11" ht="15" customHeight="1" x14ac:dyDescent="0.2">
      <c r="A1443" t="s">
        <v>3466</v>
      </c>
      <c r="B1443" t="s">
        <v>3467</v>
      </c>
      <c r="C1443">
        <v>2024</v>
      </c>
      <c r="D1443" s="18">
        <v>45375</v>
      </c>
      <c r="E1443" s="18">
        <v>45739</v>
      </c>
      <c r="F1443" s="18" t="s">
        <v>611</v>
      </c>
      <c r="G1443" t="s">
        <v>99</v>
      </c>
      <c r="H1443">
        <v>3</v>
      </c>
      <c r="I1443">
        <v>3</v>
      </c>
      <c r="J1443" s="27">
        <v>40669.589999999997</v>
      </c>
      <c r="K1443" s="27">
        <v>4500000</v>
      </c>
    </row>
    <row r="1444" spans="1:11" ht="15" customHeight="1" x14ac:dyDescent="0.2">
      <c r="A1444" t="s">
        <v>3468</v>
      </c>
      <c r="B1444" t="s">
        <v>3469</v>
      </c>
      <c r="C1444">
        <v>2024</v>
      </c>
      <c r="D1444" s="18">
        <v>45375</v>
      </c>
      <c r="E1444" s="18">
        <v>45739</v>
      </c>
      <c r="F1444" s="18" t="s">
        <v>611</v>
      </c>
      <c r="G1444" t="s">
        <v>102</v>
      </c>
      <c r="H1444">
        <v>2</v>
      </c>
      <c r="I1444">
        <v>4</v>
      </c>
      <c r="J1444" s="27">
        <v>7567.2</v>
      </c>
      <c r="K1444" s="27">
        <v>1000000</v>
      </c>
    </row>
    <row r="1445" spans="1:11" ht="15" customHeight="1" x14ac:dyDescent="0.2">
      <c r="A1445" t="s">
        <v>3470</v>
      </c>
      <c r="B1445" t="s">
        <v>3471</v>
      </c>
      <c r="C1445">
        <v>2024</v>
      </c>
      <c r="D1445" s="18">
        <v>45376</v>
      </c>
      <c r="E1445" s="18">
        <v>45740</v>
      </c>
      <c r="F1445" s="18" t="s">
        <v>608</v>
      </c>
      <c r="G1445" t="s">
        <v>99</v>
      </c>
      <c r="H1445">
        <v>1</v>
      </c>
      <c r="I1445">
        <v>1</v>
      </c>
      <c r="J1445" s="27">
        <v>35843.61</v>
      </c>
      <c r="K1445" s="27">
        <v>4000000</v>
      </c>
    </row>
    <row r="1446" spans="1:11" ht="15" customHeight="1" x14ac:dyDescent="0.2">
      <c r="A1446" t="s">
        <v>3472</v>
      </c>
      <c r="B1446" t="s">
        <v>3473</v>
      </c>
      <c r="C1446">
        <v>2024</v>
      </c>
      <c r="D1446" s="18">
        <v>45376</v>
      </c>
      <c r="E1446" s="18">
        <v>45740</v>
      </c>
      <c r="F1446" s="18" t="s">
        <v>608</v>
      </c>
      <c r="G1446" t="s">
        <v>99</v>
      </c>
      <c r="H1446">
        <v>1</v>
      </c>
      <c r="I1446">
        <v>2</v>
      </c>
      <c r="J1446" s="27">
        <v>20725.080000000002</v>
      </c>
      <c r="K1446" s="27">
        <v>2500000</v>
      </c>
    </row>
    <row r="1447" spans="1:11" ht="15" customHeight="1" x14ac:dyDescent="0.2">
      <c r="A1447" t="s">
        <v>3474</v>
      </c>
      <c r="B1447" t="s">
        <v>3475</v>
      </c>
      <c r="C1447">
        <v>2024</v>
      </c>
      <c r="D1447" s="18">
        <v>45376</v>
      </c>
      <c r="E1447" s="18">
        <v>45740</v>
      </c>
      <c r="F1447" s="18" t="s">
        <v>611</v>
      </c>
      <c r="G1447" t="s">
        <v>101</v>
      </c>
      <c r="H1447">
        <v>2</v>
      </c>
      <c r="I1447">
        <v>2</v>
      </c>
      <c r="J1447" s="27">
        <v>167403.16</v>
      </c>
      <c r="K1447" s="27">
        <v>10000000</v>
      </c>
    </row>
    <row r="1448" spans="1:11" ht="15" customHeight="1" x14ac:dyDescent="0.2">
      <c r="A1448" t="s">
        <v>3476</v>
      </c>
      <c r="B1448" t="s">
        <v>3477</v>
      </c>
      <c r="C1448">
        <v>2024</v>
      </c>
      <c r="D1448" s="18">
        <v>45376</v>
      </c>
      <c r="E1448" s="18">
        <v>45740</v>
      </c>
      <c r="F1448" s="18" t="s">
        <v>611</v>
      </c>
      <c r="G1448" t="s">
        <v>100</v>
      </c>
      <c r="H1448">
        <v>2</v>
      </c>
      <c r="I1448">
        <v>2</v>
      </c>
      <c r="J1448" s="27">
        <v>6015.89</v>
      </c>
      <c r="K1448" s="27">
        <v>500000</v>
      </c>
    </row>
    <row r="1449" spans="1:11" ht="15" customHeight="1" x14ac:dyDescent="0.2">
      <c r="A1449" t="s">
        <v>3478</v>
      </c>
      <c r="B1449" t="s">
        <v>3479</v>
      </c>
      <c r="C1449">
        <v>2024</v>
      </c>
      <c r="D1449" s="18">
        <v>45376</v>
      </c>
      <c r="E1449" s="18">
        <v>45740</v>
      </c>
      <c r="F1449" s="18" t="s">
        <v>611</v>
      </c>
      <c r="G1449" t="s">
        <v>99</v>
      </c>
      <c r="H1449">
        <v>1</v>
      </c>
      <c r="I1449">
        <v>1</v>
      </c>
      <c r="J1449" s="27">
        <v>38411.75</v>
      </c>
      <c r="K1449" s="27">
        <v>5000000</v>
      </c>
    </row>
    <row r="1450" spans="1:11" ht="15" customHeight="1" x14ac:dyDescent="0.2">
      <c r="A1450" t="s">
        <v>3480</v>
      </c>
      <c r="B1450" t="s">
        <v>3481</v>
      </c>
      <c r="C1450">
        <v>2024</v>
      </c>
      <c r="D1450" s="18">
        <v>45376</v>
      </c>
      <c r="E1450" s="18">
        <v>45740</v>
      </c>
      <c r="F1450" s="18" t="s">
        <v>611</v>
      </c>
      <c r="G1450" t="s">
        <v>100</v>
      </c>
      <c r="H1450">
        <v>3</v>
      </c>
      <c r="I1450">
        <v>3</v>
      </c>
      <c r="J1450" s="27">
        <v>12588.81</v>
      </c>
      <c r="K1450" s="27">
        <v>1000000</v>
      </c>
    </row>
    <row r="1451" spans="1:11" ht="15" customHeight="1" x14ac:dyDescent="0.2">
      <c r="A1451" t="s">
        <v>3482</v>
      </c>
      <c r="B1451" t="s">
        <v>3483</v>
      </c>
      <c r="C1451">
        <v>2024</v>
      </c>
      <c r="D1451" s="18">
        <v>45377</v>
      </c>
      <c r="E1451" s="18">
        <v>45741</v>
      </c>
      <c r="F1451" s="18" t="s">
        <v>608</v>
      </c>
      <c r="G1451" t="s">
        <v>102</v>
      </c>
      <c r="H1451">
        <v>1</v>
      </c>
      <c r="I1451">
        <v>2</v>
      </c>
      <c r="J1451" s="27">
        <v>14314.84</v>
      </c>
      <c r="K1451" s="27">
        <v>2000000</v>
      </c>
    </row>
    <row r="1452" spans="1:11" ht="15" customHeight="1" x14ac:dyDescent="0.2">
      <c r="A1452" t="s">
        <v>3484</v>
      </c>
      <c r="B1452" t="s">
        <v>3485</v>
      </c>
      <c r="C1452">
        <v>2024</v>
      </c>
      <c r="D1452" s="18">
        <v>45377</v>
      </c>
      <c r="E1452" s="18">
        <v>45741</v>
      </c>
      <c r="F1452" s="18" t="s">
        <v>611</v>
      </c>
      <c r="G1452" t="s">
        <v>100</v>
      </c>
      <c r="H1452">
        <v>1</v>
      </c>
      <c r="I1452">
        <v>2</v>
      </c>
      <c r="J1452" s="27">
        <v>121030.39</v>
      </c>
      <c r="K1452" s="27">
        <v>10000000</v>
      </c>
    </row>
    <row r="1453" spans="1:11" ht="15" customHeight="1" x14ac:dyDescent="0.2">
      <c r="A1453" t="s">
        <v>3486</v>
      </c>
      <c r="B1453" t="s">
        <v>3487</v>
      </c>
      <c r="C1453">
        <v>2024</v>
      </c>
      <c r="D1453" s="18">
        <v>45377</v>
      </c>
      <c r="E1453" s="18">
        <v>45741</v>
      </c>
      <c r="F1453" s="18" t="s">
        <v>611</v>
      </c>
      <c r="G1453" t="s">
        <v>99</v>
      </c>
      <c r="H1453">
        <v>2</v>
      </c>
      <c r="I1453">
        <v>4</v>
      </c>
      <c r="J1453" s="27">
        <v>38712.79</v>
      </c>
      <c r="K1453" s="27">
        <v>5000000</v>
      </c>
    </row>
    <row r="1454" spans="1:11" ht="15" customHeight="1" x14ac:dyDescent="0.2">
      <c r="A1454" t="s">
        <v>3488</v>
      </c>
      <c r="B1454" t="s">
        <v>3489</v>
      </c>
      <c r="C1454">
        <v>2024</v>
      </c>
      <c r="D1454" s="18">
        <v>45377</v>
      </c>
      <c r="E1454" s="18">
        <v>45741</v>
      </c>
      <c r="F1454" s="18" t="s">
        <v>611</v>
      </c>
      <c r="G1454" t="s">
        <v>100</v>
      </c>
      <c r="H1454">
        <v>3</v>
      </c>
      <c r="I1454">
        <v>3</v>
      </c>
      <c r="J1454" s="27">
        <v>119711.3</v>
      </c>
      <c r="K1454" s="27">
        <v>10000000</v>
      </c>
    </row>
    <row r="1455" spans="1:11" ht="15" customHeight="1" x14ac:dyDescent="0.2">
      <c r="A1455" t="s">
        <v>3490</v>
      </c>
      <c r="B1455" t="s">
        <v>3491</v>
      </c>
      <c r="C1455">
        <v>2024</v>
      </c>
      <c r="D1455" s="18">
        <v>45377</v>
      </c>
      <c r="E1455" s="18">
        <v>45741</v>
      </c>
      <c r="F1455" s="18" t="s">
        <v>611</v>
      </c>
      <c r="G1455" t="s">
        <v>102</v>
      </c>
      <c r="H1455">
        <v>2</v>
      </c>
      <c r="I1455">
        <v>2</v>
      </c>
      <c r="J1455" s="27">
        <v>68684.45</v>
      </c>
      <c r="K1455" s="27">
        <v>10000000</v>
      </c>
    </row>
    <row r="1456" spans="1:11" ht="15" customHeight="1" x14ac:dyDescent="0.2">
      <c r="A1456" t="s">
        <v>3492</v>
      </c>
      <c r="B1456" t="s">
        <v>3493</v>
      </c>
      <c r="C1456">
        <v>2024</v>
      </c>
      <c r="D1456" s="18">
        <v>45378</v>
      </c>
      <c r="E1456" s="18">
        <v>45742</v>
      </c>
      <c r="F1456" s="18" t="s">
        <v>611</v>
      </c>
      <c r="G1456" t="s">
        <v>100</v>
      </c>
      <c r="H1456">
        <v>3</v>
      </c>
      <c r="I1456">
        <v>3</v>
      </c>
      <c r="J1456" s="27">
        <v>40973.42</v>
      </c>
      <c r="K1456" s="27">
        <v>3500000</v>
      </c>
    </row>
    <row r="1457" spans="1:11" ht="15" customHeight="1" x14ac:dyDescent="0.2">
      <c r="A1457" t="s">
        <v>3494</v>
      </c>
      <c r="B1457" t="s">
        <v>3495</v>
      </c>
      <c r="C1457">
        <v>2024</v>
      </c>
      <c r="D1457" s="18">
        <v>45378</v>
      </c>
      <c r="E1457" s="18">
        <v>45742</v>
      </c>
      <c r="F1457" s="18" t="s">
        <v>611</v>
      </c>
      <c r="G1457" t="s">
        <v>101</v>
      </c>
      <c r="H1457">
        <v>2</v>
      </c>
      <c r="I1457">
        <v>2</v>
      </c>
      <c r="J1457" s="27">
        <v>164197.25</v>
      </c>
      <c r="K1457" s="27">
        <v>10000000</v>
      </c>
    </row>
    <row r="1458" spans="1:11" ht="15" customHeight="1" x14ac:dyDescent="0.2">
      <c r="A1458" t="s">
        <v>3496</v>
      </c>
      <c r="B1458" t="s">
        <v>3497</v>
      </c>
      <c r="C1458">
        <v>2024</v>
      </c>
      <c r="D1458" s="18">
        <v>45378</v>
      </c>
      <c r="E1458" s="18">
        <v>45742</v>
      </c>
      <c r="F1458" s="18" t="s">
        <v>611</v>
      </c>
      <c r="G1458" t="s">
        <v>101</v>
      </c>
      <c r="H1458">
        <v>2</v>
      </c>
      <c r="I1458">
        <v>4</v>
      </c>
      <c r="J1458" s="27">
        <v>68285.56</v>
      </c>
      <c r="K1458" s="27">
        <v>4000000</v>
      </c>
    </row>
    <row r="1459" spans="1:11" ht="15" customHeight="1" x14ac:dyDescent="0.2">
      <c r="A1459" t="s">
        <v>3498</v>
      </c>
      <c r="B1459" t="s">
        <v>3499</v>
      </c>
      <c r="C1459">
        <v>2024</v>
      </c>
      <c r="D1459" s="18">
        <v>45378</v>
      </c>
      <c r="E1459" s="18">
        <v>45742</v>
      </c>
      <c r="F1459" s="18" t="s">
        <v>611</v>
      </c>
      <c r="G1459" t="s">
        <v>102</v>
      </c>
      <c r="H1459">
        <v>2</v>
      </c>
      <c r="I1459">
        <v>4</v>
      </c>
      <c r="J1459" s="27">
        <v>7863.03</v>
      </c>
      <c r="K1459" s="27">
        <v>1000000</v>
      </c>
    </row>
    <row r="1460" spans="1:11" ht="15" customHeight="1" x14ac:dyDescent="0.2">
      <c r="A1460" t="s">
        <v>3500</v>
      </c>
      <c r="B1460" t="s">
        <v>3501</v>
      </c>
      <c r="C1460">
        <v>2024</v>
      </c>
      <c r="D1460" s="18">
        <v>45378</v>
      </c>
      <c r="E1460" s="18">
        <v>45742</v>
      </c>
      <c r="F1460" s="18" t="s">
        <v>611</v>
      </c>
      <c r="G1460" t="s">
        <v>101</v>
      </c>
      <c r="H1460">
        <v>2</v>
      </c>
      <c r="I1460">
        <v>2</v>
      </c>
      <c r="J1460" s="27">
        <v>33808.11</v>
      </c>
      <c r="K1460" s="27">
        <v>2000000</v>
      </c>
    </row>
    <row r="1461" spans="1:11" ht="15" customHeight="1" x14ac:dyDescent="0.2">
      <c r="A1461" t="s">
        <v>3502</v>
      </c>
      <c r="B1461" t="s">
        <v>3503</v>
      </c>
      <c r="C1461">
        <v>2024</v>
      </c>
      <c r="D1461" s="18">
        <v>45378</v>
      </c>
      <c r="E1461" s="18">
        <v>45742</v>
      </c>
      <c r="F1461" s="18" t="s">
        <v>611</v>
      </c>
      <c r="G1461" t="s">
        <v>100</v>
      </c>
      <c r="H1461">
        <v>3</v>
      </c>
      <c r="I1461">
        <v>3</v>
      </c>
      <c r="J1461" s="27">
        <v>56188.86</v>
      </c>
      <c r="K1461" s="27">
        <v>5000000</v>
      </c>
    </row>
    <row r="1462" spans="1:11" ht="15" customHeight="1" x14ac:dyDescent="0.2">
      <c r="A1462" t="s">
        <v>3504</v>
      </c>
      <c r="B1462" t="s">
        <v>3505</v>
      </c>
      <c r="C1462">
        <v>2024</v>
      </c>
      <c r="D1462" s="18">
        <v>45379</v>
      </c>
      <c r="E1462" s="18">
        <v>45743</v>
      </c>
      <c r="F1462" s="18" t="s">
        <v>611</v>
      </c>
      <c r="G1462" t="s">
        <v>100</v>
      </c>
      <c r="H1462">
        <v>3</v>
      </c>
      <c r="I1462">
        <v>3</v>
      </c>
      <c r="J1462" s="27">
        <v>58884.44</v>
      </c>
      <c r="K1462" s="27">
        <v>4500000</v>
      </c>
    </row>
    <row r="1463" spans="1:11" ht="15" customHeight="1" x14ac:dyDescent="0.2">
      <c r="A1463" t="s">
        <v>3506</v>
      </c>
      <c r="B1463" t="s">
        <v>3507</v>
      </c>
      <c r="C1463">
        <v>2024</v>
      </c>
      <c r="D1463" s="18">
        <v>45379</v>
      </c>
      <c r="E1463" s="18">
        <v>45743</v>
      </c>
      <c r="F1463" s="18" t="s">
        <v>611</v>
      </c>
      <c r="G1463" t="s">
        <v>101</v>
      </c>
      <c r="H1463">
        <v>3</v>
      </c>
      <c r="I1463">
        <v>3</v>
      </c>
      <c r="J1463" s="27">
        <v>53024.02</v>
      </c>
      <c r="K1463" s="27">
        <v>3500000</v>
      </c>
    </row>
    <row r="1464" spans="1:11" ht="15" customHeight="1" x14ac:dyDescent="0.2">
      <c r="A1464" t="s">
        <v>3508</v>
      </c>
      <c r="B1464" t="s">
        <v>3509</v>
      </c>
      <c r="C1464">
        <v>2024</v>
      </c>
      <c r="D1464" s="18">
        <v>45379</v>
      </c>
      <c r="E1464" s="18">
        <v>45743</v>
      </c>
      <c r="F1464" s="18" t="s">
        <v>611</v>
      </c>
      <c r="G1464" t="s">
        <v>99</v>
      </c>
      <c r="H1464">
        <v>1</v>
      </c>
      <c r="I1464">
        <v>1</v>
      </c>
      <c r="J1464" s="27">
        <v>77316.22</v>
      </c>
      <c r="K1464" s="27">
        <v>10000000</v>
      </c>
    </row>
    <row r="1465" spans="1:11" ht="15" customHeight="1" x14ac:dyDescent="0.2">
      <c r="A1465" t="s">
        <v>3510</v>
      </c>
      <c r="B1465" t="s">
        <v>3511</v>
      </c>
      <c r="C1465">
        <v>2024</v>
      </c>
      <c r="D1465" s="18">
        <v>45379</v>
      </c>
      <c r="E1465" s="18">
        <v>45743</v>
      </c>
      <c r="F1465" s="18" t="s">
        <v>611</v>
      </c>
      <c r="G1465" t="s">
        <v>99</v>
      </c>
      <c r="H1465">
        <v>2</v>
      </c>
      <c r="I1465">
        <v>2</v>
      </c>
      <c r="J1465" s="27">
        <v>12567.24</v>
      </c>
      <c r="K1465" s="27">
        <v>1500000</v>
      </c>
    </row>
    <row r="1466" spans="1:11" ht="15" customHeight="1" x14ac:dyDescent="0.2">
      <c r="A1466" t="s">
        <v>3512</v>
      </c>
      <c r="B1466" t="s">
        <v>3513</v>
      </c>
      <c r="C1466">
        <v>2024</v>
      </c>
      <c r="D1466" s="18">
        <v>45379</v>
      </c>
      <c r="E1466" s="18">
        <v>45743</v>
      </c>
      <c r="F1466" s="18" t="s">
        <v>611</v>
      </c>
      <c r="G1466" t="s">
        <v>100</v>
      </c>
      <c r="H1466">
        <v>1</v>
      </c>
      <c r="I1466">
        <v>1</v>
      </c>
      <c r="J1466" s="27">
        <v>50781.18</v>
      </c>
      <c r="K1466" s="27">
        <v>4000000</v>
      </c>
    </row>
    <row r="1467" spans="1:11" ht="15" customHeight="1" x14ac:dyDescent="0.2">
      <c r="A1467" t="s">
        <v>3514</v>
      </c>
      <c r="B1467" t="s">
        <v>3515</v>
      </c>
      <c r="C1467">
        <v>2024</v>
      </c>
      <c r="D1467" s="18">
        <v>45379</v>
      </c>
      <c r="E1467" s="18">
        <v>45743</v>
      </c>
      <c r="F1467" s="18" t="s">
        <v>611</v>
      </c>
      <c r="G1467" t="s">
        <v>99</v>
      </c>
      <c r="H1467">
        <v>2</v>
      </c>
      <c r="I1467">
        <v>2</v>
      </c>
      <c r="J1467" s="27">
        <v>38684.639999999999</v>
      </c>
      <c r="K1467" s="27">
        <v>4500000</v>
      </c>
    </row>
    <row r="1468" spans="1:11" ht="15" customHeight="1" x14ac:dyDescent="0.2">
      <c r="A1468" t="s">
        <v>3516</v>
      </c>
      <c r="B1468" t="s">
        <v>3517</v>
      </c>
      <c r="C1468">
        <v>2024</v>
      </c>
      <c r="D1468" s="18">
        <v>45379</v>
      </c>
      <c r="E1468" s="18">
        <v>45743</v>
      </c>
      <c r="F1468" s="18" t="s">
        <v>611</v>
      </c>
      <c r="G1468" t="s">
        <v>101</v>
      </c>
      <c r="H1468">
        <v>2</v>
      </c>
      <c r="I1468">
        <v>4</v>
      </c>
      <c r="J1468" s="27">
        <v>23206.6</v>
      </c>
      <c r="K1468" s="27">
        <v>1500000</v>
      </c>
    </row>
    <row r="1469" spans="1:11" ht="15" customHeight="1" x14ac:dyDescent="0.2">
      <c r="A1469" t="s">
        <v>3518</v>
      </c>
      <c r="B1469" t="s">
        <v>3519</v>
      </c>
      <c r="C1469">
        <v>2024</v>
      </c>
      <c r="D1469" s="18">
        <v>45379</v>
      </c>
      <c r="E1469" s="18">
        <v>45743</v>
      </c>
      <c r="F1469" s="18" t="s">
        <v>611</v>
      </c>
      <c r="G1469" t="s">
        <v>101</v>
      </c>
      <c r="H1469">
        <v>2</v>
      </c>
      <c r="I1469">
        <v>2</v>
      </c>
      <c r="J1469" s="27">
        <v>49911.94</v>
      </c>
      <c r="K1469" s="27">
        <v>3000000</v>
      </c>
    </row>
    <row r="1470" spans="1:11" ht="15" customHeight="1" x14ac:dyDescent="0.2">
      <c r="A1470" t="s">
        <v>3520</v>
      </c>
      <c r="B1470" t="s">
        <v>3521</v>
      </c>
      <c r="C1470">
        <v>2024</v>
      </c>
      <c r="D1470" s="18">
        <v>45379</v>
      </c>
      <c r="E1470" s="18">
        <v>45743</v>
      </c>
      <c r="F1470" s="18" t="s">
        <v>611</v>
      </c>
      <c r="G1470" t="s">
        <v>101</v>
      </c>
      <c r="H1470">
        <v>1</v>
      </c>
      <c r="I1470">
        <v>2</v>
      </c>
      <c r="J1470" s="27">
        <v>38056.35</v>
      </c>
      <c r="K1470" s="27">
        <v>2500000</v>
      </c>
    </row>
    <row r="1471" spans="1:11" ht="15" customHeight="1" x14ac:dyDescent="0.2">
      <c r="A1471" t="s">
        <v>3522</v>
      </c>
      <c r="B1471" t="s">
        <v>3523</v>
      </c>
      <c r="C1471">
        <v>2024</v>
      </c>
      <c r="D1471" s="18">
        <v>45379</v>
      </c>
      <c r="E1471" s="18">
        <v>45743</v>
      </c>
      <c r="F1471" s="18" t="s">
        <v>611</v>
      </c>
      <c r="G1471" t="s">
        <v>99</v>
      </c>
      <c r="H1471">
        <v>1</v>
      </c>
      <c r="I1471">
        <v>2</v>
      </c>
      <c r="J1471" s="27">
        <v>22968.44</v>
      </c>
      <c r="K1471" s="27">
        <v>2500000</v>
      </c>
    </row>
    <row r="1472" spans="1:11" ht="15" customHeight="1" x14ac:dyDescent="0.2">
      <c r="A1472" t="s">
        <v>3524</v>
      </c>
      <c r="B1472" t="s">
        <v>3525</v>
      </c>
      <c r="C1472">
        <v>2024</v>
      </c>
      <c r="D1472" s="18">
        <v>45379</v>
      </c>
      <c r="E1472" s="18">
        <v>45743</v>
      </c>
      <c r="F1472" s="18" t="s">
        <v>611</v>
      </c>
      <c r="G1472" t="s">
        <v>102</v>
      </c>
      <c r="H1472">
        <v>2</v>
      </c>
      <c r="I1472">
        <v>4</v>
      </c>
      <c r="J1472" s="27">
        <v>34590.879999999997</v>
      </c>
      <c r="K1472" s="27">
        <v>5000000</v>
      </c>
    </row>
    <row r="1473" spans="1:11" ht="15" customHeight="1" x14ac:dyDescent="0.2">
      <c r="A1473" t="s">
        <v>3526</v>
      </c>
      <c r="B1473" t="s">
        <v>3527</v>
      </c>
      <c r="C1473">
        <v>2024</v>
      </c>
      <c r="D1473" s="18">
        <v>45379</v>
      </c>
      <c r="E1473" s="18">
        <v>45743</v>
      </c>
      <c r="F1473" s="18" t="s">
        <v>611</v>
      </c>
      <c r="G1473" t="s">
        <v>101</v>
      </c>
      <c r="H1473">
        <v>2</v>
      </c>
      <c r="I1473">
        <v>2</v>
      </c>
      <c r="J1473" s="27">
        <v>168702.07999999999</v>
      </c>
      <c r="K1473" s="27">
        <v>10000000</v>
      </c>
    </row>
    <row r="1474" spans="1:11" ht="15" customHeight="1" x14ac:dyDescent="0.2">
      <c r="A1474" t="s">
        <v>3528</v>
      </c>
      <c r="B1474" t="s">
        <v>3529</v>
      </c>
      <c r="C1474">
        <v>2024</v>
      </c>
      <c r="D1474" s="18">
        <v>45379</v>
      </c>
      <c r="E1474" s="18">
        <v>45743</v>
      </c>
      <c r="F1474" s="18" t="s">
        <v>611</v>
      </c>
      <c r="G1474" t="s">
        <v>101</v>
      </c>
      <c r="H1474">
        <v>1</v>
      </c>
      <c r="I1474">
        <v>2</v>
      </c>
      <c r="J1474" s="27">
        <v>75603.62</v>
      </c>
      <c r="K1474" s="27">
        <v>5000000</v>
      </c>
    </row>
    <row r="1475" spans="1:11" ht="15" customHeight="1" x14ac:dyDescent="0.2">
      <c r="A1475" t="s">
        <v>3530</v>
      </c>
      <c r="B1475" t="s">
        <v>3531</v>
      </c>
      <c r="C1475">
        <v>2024</v>
      </c>
      <c r="D1475" s="18">
        <v>45380</v>
      </c>
      <c r="E1475" s="18">
        <v>45744</v>
      </c>
      <c r="F1475" s="18" t="s">
        <v>608</v>
      </c>
      <c r="G1475" t="s">
        <v>100</v>
      </c>
      <c r="H1475">
        <v>2</v>
      </c>
      <c r="I1475">
        <v>4</v>
      </c>
      <c r="J1475" s="27">
        <v>11195.86</v>
      </c>
      <c r="K1475" s="27">
        <v>1000000</v>
      </c>
    </row>
    <row r="1476" spans="1:11" ht="15" customHeight="1" x14ac:dyDescent="0.2">
      <c r="A1476" t="s">
        <v>3532</v>
      </c>
      <c r="B1476" t="s">
        <v>3533</v>
      </c>
      <c r="C1476">
        <v>2024</v>
      </c>
      <c r="D1476" s="18">
        <v>45380</v>
      </c>
      <c r="E1476" s="18">
        <v>45744</v>
      </c>
      <c r="F1476" s="18" t="s">
        <v>608</v>
      </c>
      <c r="G1476" t="s">
        <v>101</v>
      </c>
      <c r="H1476">
        <v>3</v>
      </c>
      <c r="I1476">
        <v>3</v>
      </c>
      <c r="J1476" s="27">
        <v>61344.55</v>
      </c>
      <c r="K1476" s="27">
        <v>4000000</v>
      </c>
    </row>
    <row r="1477" spans="1:11" ht="15" customHeight="1" x14ac:dyDescent="0.2">
      <c r="A1477" t="s">
        <v>3534</v>
      </c>
      <c r="B1477" t="s">
        <v>3535</v>
      </c>
      <c r="C1477">
        <v>2024</v>
      </c>
      <c r="D1477" s="18">
        <v>45380</v>
      </c>
      <c r="E1477" s="18">
        <v>45744</v>
      </c>
      <c r="F1477" s="18" t="s">
        <v>611</v>
      </c>
      <c r="G1477" t="s">
        <v>102</v>
      </c>
      <c r="H1477">
        <v>1</v>
      </c>
      <c r="I1477">
        <v>1</v>
      </c>
      <c r="J1477" s="27">
        <v>35838.730000000003</v>
      </c>
      <c r="K1477" s="27">
        <v>5000000</v>
      </c>
    </row>
    <row r="1478" spans="1:11" ht="15" customHeight="1" x14ac:dyDescent="0.2">
      <c r="A1478" t="s">
        <v>3536</v>
      </c>
      <c r="B1478" t="s">
        <v>3537</v>
      </c>
      <c r="C1478">
        <v>2024</v>
      </c>
      <c r="D1478" s="18">
        <v>45380</v>
      </c>
      <c r="E1478" s="18">
        <v>45744</v>
      </c>
      <c r="F1478" s="18" t="s">
        <v>611</v>
      </c>
      <c r="G1478" t="s">
        <v>101</v>
      </c>
      <c r="H1478">
        <v>1</v>
      </c>
      <c r="I1478">
        <v>2</v>
      </c>
      <c r="J1478" s="27">
        <v>154623.29999999999</v>
      </c>
      <c r="K1478" s="27">
        <v>10000000</v>
      </c>
    </row>
    <row r="1479" spans="1:11" ht="15" customHeight="1" x14ac:dyDescent="0.2">
      <c r="A1479" t="s">
        <v>3538</v>
      </c>
      <c r="B1479" t="s">
        <v>3539</v>
      </c>
      <c r="C1479">
        <v>2024</v>
      </c>
      <c r="D1479" s="18">
        <v>45380</v>
      </c>
      <c r="E1479" s="18">
        <v>45744</v>
      </c>
      <c r="F1479" s="18" t="s">
        <v>611</v>
      </c>
      <c r="G1479" t="s">
        <v>100</v>
      </c>
      <c r="H1479">
        <v>3</v>
      </c>
      <c r="I1479">
        <v>3</v>
      </c>
      <c r="J1479" s="27">
        <v>126922.99</v>
      </c>
      <c r="K1479" s="27">
        <v>10000000</v>
      </c>
    </row>
    <row r="1480" spans="1:11" ht="15" customHeight="1" x14ac:dyDescent="0.2">
      <c r="A1480" t="s">
        <v>3540</v>
      </c>
      <c r="B1480" t="s">
        <v>3541</v>
      </c>
      <c r="C1480">
        <v>2024</v>
      </c>
      <c r="D1480" s="18">
        <v>45380</v>
      </c>
      <c r="E1480" s="18">
        <v>45744</v>
      </c>
      <c r="F1480" s="18" t="s">
        <v>611</v>
      </c>
      <c r="G1480" t="s">
        <v>101</v>
      </c>
      <c r="H1480">
        <v>1</v>
      </c>
      <c r="I1480">
        <v>1</v>
      </c>
      <c r="J1480" s="27">
        <v>80912.02</v>
      </c>
      <c r="K1480" s="27">
        <v>5000000</v>
      </c>
    </row>
    <row r="1481" spans="1:11" ht="15" customHeight="1" x14ac:dyDescent="0.2">
      <c r="A1481" t="s">
        <v>3542</v>
      </c>
      <c r="B1481" t="s">
        <v>3543</v>
      </c>
      <c r="C1481">
        <v>2024</v>
      </c>
      <c r="D1481" s="18">
        <v>45380</v>
      </c>
      <c r="E1481" s="18">
        <v>45744</v>
      </c>
      <c r="F1481" s="18" t="s">
        <v>611</v>
      </c>
      <c r="G1481" t="s">
        <v>100</v>
      </c>
      <c r="H1481">
        <v>1</v>
      </c>
      <c r="I1481">
        <v>2</v>
      </c>
      <c r="J1481" s="27">
        <v>131246.1</v>
      </c>
      <c r="K1481" s="27">
        <v>10000000</v>
      </c>
    </row>
    <row r="1482" spans="1:11" ht="15" customHeight="1" x14ac:dyDescent="0.2">
      <c r="A1482" t="s">
        <v>3544</v>
      </c>
      <c r="B1482" t="s">
        <v>3545</v>
      </c>
      <c r="C1482">
        <v>2024</v>
      </c>
      <c r="D1482" s="18">
        <v>45380</v>
      </c>
      <c r="E1482" s="18">
        <v>45744</v>
      </c>
      <c r="F1482" s="18" t="s">
        <v>611</v>
      </c>
      <c r="G1482" t="s">
        <v>99</v>
      </c>
      <c r="H1482">
        <v>1</v>
      </c>
      <c r="I1482">
        <v>1</v>
      </c>
      <c r="J1482" s="27">
        <v>81283.91</v>
      </c>
      <c r="K1482" s="27">
        <v>10000000</v>
      </c>
    </row>
    <row r="1483" spans="1:11" ht="15" customHeight="1" x14ac:dyDescent="0.2">
      <c r="A1483" t="s">
        <v>3546</v>
      </c>
      <c r="B1483" t="s">
        <v>3547</v>
      </c>
      <c r="C1483">
        <v>2024</v>
      </c>
      <c r="D1483" s="18">
        <v>45381</v>
      </c>
      <c r="E1483" s="18">
        <v>45745</v>
      </c>
      <c r="F1483" s="18" t="s">
        <v>608</v>
      </c>
      <c r="G1483" t="s">
        <v>99</v>
      </c>
      <c r="H1483">
        <v>3</v>
      </c>
      <c r="I1483">
        <v>3</v>
      </c>
      <c r="J1483" s="27">
        <v>41601.08</v>
      </c>
      <c r="K1483" s="27">
        <v>5000000</v>
      </c>
    </row>
    <row r="1484" spans="1:11" ht="15" customHeight="1" x14ac:dyDescent="0.2">
      <c r="A1484" t="s">
        <v>3548</v>
      </c>
      <c r="B1484" t="s">
        <v>3549</v>
      </c>
      <c r="C1484">
        <v>2024</v>
      </c>
      <c r="D1484" s="18">
        <v>45381</v>
      </c>
      <c r="E1484" s="18">
        <v>45745</v>
      </c>
      <c r="F1484" s="18" t="s">
        <v>611</v>
      </c>
      <c r="G1484" t="s">
        <v>100</v>
      </c>
      <c r="H1484">
        <v>3</v>
      </c>
      <c r="I1484">
        <v>3</v>
      </c>
      <c r="J1484" s="27">
        <v>66769.23</v>
      </c>
      <c r="K1484" s="27">
        <v>5000000</v>
      </c>
    </row>
    <row r="1485" spans="1:11" ht="15" customHeight="1" x14ac:dyDescent="0.2">
      <c r="A1485" t="s">
        <v>3550</v>
      </c>
      <c r="B1485" t="s">
        <v>3551</v>
      </c>
      <c r="C1485">
        <v>2024</v>
      </c>
      <c r="D1485" s="18">
        <v>45381</v>
      </c>
      <c r="E1485" s="18">
        <v>45745</v>
      </c>
      <c r="F1485" s="18" t="s">
        <v>611</v>
      </c>
      <c r="G1485" t="s">
        <v>102</v>
      </c>
      <c r="H1485">
        <v>1</v>
      </c>
      <c r="I1485">
        <v>1</v>
      </c>
      <c r="J1485" s="27">
        <v>39851.370000000003</v>
      </c>
      <c r="K1485" s="27">
        <v>5000000</v>
      </c>
    </row>
    <row r="1486" spans="1:11" ht="15" customHeight="1" x14ac:dyDescent="0.2">
      <c r="A1486" t="s">
        <v>3552</v>
      </c>
      <c r="B1486" t="s">
        <v>3553</v>
      </c>
      <c r="C1486">
        <v>2024</v>
      </c>
      <c r="D1486" s="18">
        <v>45381</v>
      </c>
      <c r="E1486" s="18">
        <v>45745</v>
      </c>
      <c r="F1486" s="18" t="s">
        <v>611</v>
      </c>
      <c r="G1486" t="s">
        <v>100</v>
      </c>
      <c r="H1486">
        <v>3</v>
      </c>
      <c r="I1486">
        <v>3</v>
      </c>
      <c r="J1486" s="27">
        <v>34980.92</v>
      </c>
      <c r="K1486" s="27">
        <v>3000000</v>
      </c>
    </row>
    <row r="1487" spans="1:11" ht="15" customHeight="1" x14ac:dyDescent="0.2">
      <c r="A1487" t="s">
        <v>3554</v>
      </c>
      <c r="B1487" t="s">
        <v>3555</v>
      </c>
      <c r="C1487">
        <v>2024</v>
      </c>
      <c r="D1487" s="18">
        <v>45381</v>
      </c>
      <c r="E1487" s="18">
        <v>45745</v>
      </c>
      <c r="F1487" s="18" t="s">
        <v>611</v>
      </c>
      <c r="G1487" t="s">
        <v>100</v>
      </c>
      <c r="H1487">
        <v>2</v>
      </c>
      <c r="I1487">
        <v>2</v>
      </c>
      <c r="J1487" s="27">
        <v>33824.18</v>
      </c>
      <c r="K1487" s="27">
        <v>2500000</v>
      </c>
    </row>
    <row r="1488" spans="1:11" ht="15" customHeight="1" x14ac:dyDescent="0.2">
      <c r="A1488" t="s">
        <v>3556</v>
      </c>
      <c r="B1488" t="s">
        <v>3557</v>
      </c>
      <c r="C1488">
        <v>2024</v>
      </c>
      <c r="D1488" s="18">
        <v>45381</v>
      </c>
      <c r="E1488" s="18">
        <v>45745</v>
      </c>
      <c r="F1488" s="18" t="s">
        <v>611</v>
      </c>
      <c r="G1488" t="s">
        <v>102</v>
      </c>
      <c r="H1488">
        <v>1</v>
      </c>
      <c r="I1488">
        <v>1</v>
      </c>
      <c r="J1488" s="27">
        <v>15782.65</v>
      </c>
      <c r="K1488" s="27">
        <v>2000000</v>
      </c>
    </row>
    <row r="1489" spans="1:11" ht="15" customHeight="1" x14ac:dyDescent="0.2">
      <c r="A1489" t="s">
        <v>3558</v>
      </c>
      <c r="B1489" t="s">
        <v>3559</v>
      </c>
      <c r="C1489">
        <v>2024</v>
      </c>
      <c r="D1489" s="18">
        <v>45381</v>
      </c>
      <c r="E1489" s="18">
        <v>45745</v>
      </c>
      <c r="F1489" s="18" t="s">
        <v>611</v>
      </c>
      <c r="G1489" t="s">
        <v>102</v>
      </c>
      <c r="H1489">
        <v>3</v>
      </c>
      <c r="I1489">
        <v>6</v>
      </c>
      <c r="J1489" s="27">
        <v>14440.7</v>
      </c>
      <c r="K1489" s="27">
        <v>2000000</v>
      </c>
    </row>
    <row r="1490" spans="1:11" ht="15" customHeight="1" x14ac:dyDescent="0.2">
      <c r="A1490" t="s">
        <v>3560</v>
      </c>
      <c r="B1490" t="s">
        <v>3561</v>
      </c>
      <c r="C1490">
        <v>2024</v>
      </c>
      <c r="D1490" s="18">
        <v>45381</v>
      </c>
      <c r="E1490" s="18">
        <v>45745</v>
      </c>
      <c r="F1490" s="18" t="s">
        <v>611</v>
      </c>
      <c r="G1490" t="s">
        <v>101</v>
      </c>
      <c r="H1490">
        <v>2</v>
      </c>
      <c r="I1490">
        <v>4</v>
      </c>
      <c r="J1490" s="27">
        <v>24554</v>
      </c>
      <c r="K1490" s="27">
        <v>1500000</v>
      </c>
    </row>
    <row r="1491" spans="1:11" ht="15" customHeight="1" x14ac:dyDescent="0.2">
      <c r="A1491" t="s">
        <v>3562</v>
      </c>
      <c r="B1491" t="s">
        <v>3563</v>
      </c>
      <c r="C1491">
        <v>2024</v>
      </c>
      <c r="D1491" s="18">
        <v>45381</v>
      </c>
      <c r="E1491" s="18">
        <v>45745</v>
      </c>
      <c r="F1491" s="18" t="s">
        <v>611</v>
      </c>
      <c r="G1491" t="s">
        <v>101</v>
      </c>
      <c r="H1491">
        <v>1</v>
      </c>
      <c r="I1491">
        <v>2</v>
      </c>
      <c r="J1491" s="27">
        <v>70711.12</v>
      </c>
      <c r="K1491" s="27">
        <v>4500000</v>
      </c>
    </row>
    <row r="1492" spans="1:11" ht="15" customHeight="1" x14ac:dyDescent="0.2">
      <c r="A1492" t="s">
        <v>3564</v>
      </c>
      <c r="B1492" t="s">
        <v>3565</v>
      </c>
      <c r="C1492">
        <v>2024</v>
      </c>
      <c r="D1492" s="18">
        <v>45381</v>
      </c>
      <c r="E1492" s="18">
        <v>45745</v>
      </c>
      <c r="F1492" s="18" t="s">
        <v>611</v>
      </c>
      <c r="G1492" t="s">
        <v>100</v>
      </c>
      <c r="H1492">
        <v>1</v>
      </c>
      <c r="I1492">
        <v>1</v>
      </c>
      <c r="J1492" s="27">
        <v>11675.56</v>
      </c>
      <c r="K1492" s="27">
        <v>1000000</v>
      </c>
    </row>
    <row r="1493" spans="1:11" ht="15" customHeight="1" x14ac:dyDescent="0.2">
      <c r="A1493" t="s">
        <v>3566</v>
      </c>
      <c r="B1493" t="s">
        <v>3567</v>
      </c>
      <c r="C1493">
        <v>2024</v>
      </c>
      <c r="D1493" s="18">
        <v>45382</v>
      </c>
      <c r="E1493" s="18">
        <v>45746</v>
      </c>
      <c r="F1493" s="18" t="s">
        <v>608</v>
      </c>
      <c r="G1493" t="s">
        <v>102</v>
      </c>
      <c r="H1493">
        <v>1</v>
      </c>
      <c r="I1493">
        <v>2</v>
      </c>
      <c r="J1493" s="27">
        <v>71419.94</v>
      </c>
      <c r="K1493" s="27">
        <v>10000000</v>
      </c>
    </row>
    <row r="1494" spans="1:11" ht="15" customHeight="1" x14ac:dyDescent="0.2">
      <c r="A1494" t="s">
        <v>3568</v>
      </c>
      <c r="B1494" t="s">
        <v>3569</v>
      </c>
      <c r="C1494">
        <v>2024</v>
      </c>
      <c r="D1494" s="18">
        <v>45382</v>
      </c>
      <c r="E1494" s="18">
        <v>45746</v>
      </c>
      <c r="F1494" s="18" t="s">
        <v>608</v>
      </c>
      <c r="G1494" t="s">
        <v>102</v>
      </c>
      <c r="H1494">
        <v>1</v>
      </c>
      <c r="I1494">
        <v>1</v>
      </c>
      <c r="J1494" s="27">
        <v>14920.09</v>
      </c>
      <c r="K1494" s="27">
        <v>2000000</v>
      </c>
    </row>
    <row r="1495" spans="1:11" ht="15" customHeight="1" x14ac:dyDescent="0.2">
      <c r="A1495" t="s">
        <v>3570</v>
      </c>
      <c r="B1495" t="s">
        <v>3571</v>
      </c>
      <c r="C1495">
        <v>2024</v>
      </c>
      <c r="D1495" s="18">
        <v>45382</v>
      </c>
      <c r="E1495" s="18">
        <v>45746</v>
      </c>
      <c r="F1495" s="18" t="s">
        <v>608</v>
      </c>
      <c r="G1495" t="s">
        <v>99</v>
      </c>
      <c r="H1495">
        <v>1</v>
      </c>
      <c r="I1495">
        <v>1</v>
      </c>
      <c r="J1495" s="27">
        <v>33257.980000000003</v>
      </c>
      <c r="K1495" s="27">
        <v>4000000</v>
      </c>
    </row>
    <row r="1496" spans="1:11" ht="15" customHeight="1" x14ac:dyDescent="0.2">
      <c r="A1496" t="s">
        <v>3572</v>
      </c>
      <c r="B1496" t="s">
        <v>3573</v>
      </c>
      <c r="C1496">
        <v>2024</v>
      </c>
      <c r="D1496" s="18">
        <v>45382</v>
      </c>
      <c r="E1496" s="18">
        <v>45746</v>
      </c>
      <c r="F1496" s="18" t="s">
        <v>608</v>
      </c>
      <c r="G1496" t="s">
        <v>100</v>
      </c>
      <c r="H1496">
        <v>2</v>
      </c>
      <c r="I1496">
        <v>4</v>
      </c>
      <c r="J1496" s="27">
        <v>119257.62</v>
      </c>
      <c r="K1496" s="27">
        <v>10000000</v>
      </c>
    </row>
    <row r="1497" spans="1:11" ht="15" customHeight="1" x14ac:dyDescent="0.2">
      <c r="A1497" t="s">
        <v>3574</v>
      </c>
      <c r="B1497" t="s">
        <v>3575</v>
      </c>
      <c r="C1497">
        <v>2024</v>
      </c>
      <c r="D1497" s="18">
        <v>45382</v>
      </c>
      <c r="E1497" s="18">
        <v>45746</v>
      </c>
      <c r="F1497" s="18" t="s">
        <v>611</v>
      </c>
      <c r="G1497" t="s">
        <v>99</v>
      </c>
      <c r="H1497">
        <v>1</v>
      </c>
      <c r="I1497">
        <v>2</v>
      </c>
      <c r="J1497" s="27">
        <v>35277.129999999997</v>
      </c>
      <c r="K1497" s="27">
        <v>4000000</v>
      </c>
    </row>
    <row r="1498" spans="1:11" ht="15" customHeight="1" x14ac:dyDescent="0.2">
      <c r="A1498" t="s">
        <v>3576</v>
      </c>
      <c r="B1498" t="s">
        <v>3577</v>
      </c>
      <c r="C1498">
        <v>2024</v>
      </c>
      <c r="D1498" s="18">
        <v>45382</v>
      </c>
      <c r="E1498" s="18">
        <v>45746</v>
      </c>
      <c r="F1498" s="18" t="s">
        <v>611</v>
      </c>
      <c r="G1498" t="s">
        <v>101</v>
      </c>
      <c r="H1498">
        <v>1</v>
      </c>
      <c r="I1498">
        <v>2</v>
      </c>
      <c r="J1498" s="27">
        <v>15940.85</v>
      </c>
      <c r="K1498" s="27">
        <v>1000000</v>
      </c>
    </row>
    <row r="1499" spans="1:11" ht="15" customHeight="1" x14ac:dyDescent="0.2">
      <c r="A1499" t="s">
        <v>3578</v>
      </c>
      <c r="B1499" t="s">
        <v>3579</v>
      </c>
      <c r="C1499">
        <v>2024</v>
      </c>
      <c r="D1499" s="18">
        <v>45382</v>
      </c>
      <c r="E1499" s="18">
        <v>45746</v>
      </c>
      <c r="F1499" s="18" t="s">
        <v>611</v>
      </c>
      <c r="G1499" t="s">
        <v>99</v>
      </c>
      <c r="H1499">
        <v>2</v>
      </c>
      <c r="I1499">
        <v>4</v>
      </c>
      <c r="J1499" s="27">
        <v>87129.87</v>
      </c>
      <c r="K1499" s="27">
        <v>10000000</v>
      </c>
    </row>
    <row r="1500" spans="1:11" ht="15" customHeight="1" x14ac:dyDescent="0.2">
      <c r="A1500" t="s">
        <v>3580</v>
      </c>
      <c r="B1500" t="s">
        <v>3581</v>
      </c>
      <c r="C1500">
        <v>2024</v>
      </c>
      <c r="D1500" s="18">
        <v>45382</v>
      </c>
      <c r="E1500" s="18">
        <v>45746</v>
      </c>
      <c r="F1500" s="18" t="s">
        <v>611</v>
      </c>
      <c r="G1500" t="s">
        <v>101</v>
      </c>
      <c r="H1500">
        <v>1</v>
      </c>
      <c r="I1500">
        <v>1</v>
      </c>
      <c r="J1500" s="27">
        <v>15726.86</v>
      </c>
      <c r="K1500" s="27">
        <v>1000000</v>
      </c>
    </row>
    <row r="1501" spans="1:11" ht="15" customHeight="1" x14ac:dyDescent="0.2">
      <c r="A1501" t="s">
        <v>3582</v>
      </c>
      <c r="B1501" t="s">
        <v>3583</v>
      </c>
      <c r="C1501">
        <v>2024</v>
      </c>
      <c r="D1501" s="18">
        <v>45382</v>
      </c>
      <c r="E1501" s="18">
        <v>45746</v>
      </c>
      <c r="F1501" s="18" t="s">
        <v>611</v>
      </c>
      <c r="G1501" t="s">
        <v>100</v>
      </c>
      <c r="H1501">
        <v>3</v>
      </c>
      <c r="I1501">
        <v>6</v>
      </c>
      <c r="J1501" s="27">
        <v>24100.400000000001</v>
      </c>
      <c r="K1501" s="27">
        <v>2000000</v>
      </c>
    </row>
    <row r="1502" spans="1:11" ht="15" customHeight="1" x14ac:dyDescent="0.2">
      <c r="A1502" t="s">
        <v>3584</v>
      </c>
      <c r="B1502" t="s">
        <v>3585</v>
      </c>
      <c r="C1502">
        <v>2024</v>
      </c>
      <c r="D1502" s="18">
        <v>45382</v>
      </c>
      <c r="E1502" s="18">
        <v>45746</v>
      </c>
      <c r="F1502" s="18" t="s">
        <v>611</v>
      </c>
      <c r="G1502" t="s">
        <v>100</v>
      </c>
      <c r="H1502">
        <v>1</v>
      </c>
      <c r="I1502">
        <v>2</v>
      </c>
      <c r="J1502" s="27">
        <v>28038.05</v>
      </c>
      <c r="K1502" s="27">
        <v>2500000</v>
      </c>
    </row>
    <row r="1503" spans="1:11" ht="15" customHeight="1" x14ac:dyDescent="0.2">
      <c r="A1503" t="s">
        <v>3586</v>
      </c>
      <c r="B1503" t="s">
        <v>3587</v>
      </c>
      <c r="C1503">
        <v>2024</v>
      </c>
      <c r="D1503" s="18">
        <v>45383</v>
      </c>
      <c r="E1503" s="18">
        <v>45747</v>
      </c>
      <c r="F1503" s="18" t="s">
        <v>611</v>
      </c>
      <c r="G1503" t="s">
        <v>99</v>
      </c>
      <c r="H1503">
        <v>3</v>
      </c>
      <c r="I1503">
        <v>3</v>
      </c>
      <c r="J1503" s="27">
        <v>17704.98</v>
      </c>
      <c r="K1503" s="27">
        <v>2000000</v>
      </c>
    </row>
    <row r="1504" spans="1:11" ht="15" customHeight="1" x14ac:dyDescent="0.2">
      <c r="A1504" t="s">
        <v>3588</v>
      </c>
      <c r="B1504" t="s">
        <v>3589</v>
      </c>
      <c r="C1504">
        <v>2024</v>
      </c>
      <c r="D1504" s="18">
        <v>45383</v>
      </c>
      <c r="E1504" s="18">
        <v>45747</v>
      </c>
      <c r="F1504" s="18" t="s">
        <v>611</v>
      </c>
      <c r="G1504" t="s">
        <v>100</v>
      </c>
      <c r="H1504">
        <v>1</v>
      </c>
      <c r="I1504">
        <v>1</v>
      </c>
      <c r="J1504" s="27">
        <v>44568.99</v>
      </c>
      <c r="K1504" s="27">
        <v>4000000</v>
      </c>
    </row>
    <row r="1505" spans="1:11" ht="15" customHeight="1" x14ac:dyDescent="0.2">
      <c r="A1505" t="s">
        <v>3590</v>
      </c>
      <c r="B1505" t="s">
        <v>3591</v>
      </c>
      <c r="C1505">
        <v>2024</v>
      </c>
      <c r="D1505" s="18">
        <v>45383</v>
      </c>
      <c r="E1505" s="18">
        <v>45747</v>
      </c>
      <c r="F1505" s="18" t="s">
        <v>611</v>
      </c>
      <c r="G1505" t="s">
        <v>101</v>
      </c>
      <c r="H1505">
        <v>2</v>
      </c>
      <c r="I1505">
        <v>4</v>
      </c>
      <c r="J1505" s="27">
        <v>33244.47</v>
      </c>
      <c r="K1505" s="27">
        <v>2000000</v>
      </c>
    </row>
    <row r="1506" spans="1:11" ht="15" customHeight="1" x14ac:dyDescent="0.2">
      <c r="A1506" t="s">
        <v>3592</v>
      </c>
      <c r="B1506" t="s">
        <v>3593</v>
      </c>
      <c r="C1506">
        <v>2024</v>
      </c>
      <c r="D1506" s="18">
        <v>45383</v>
      </c>
      <c r="E1506" s="18">
        <v>45747</v>
      </c>
      <c r="F1506" s="18" t="s">
        <v>611</v>
      </c>
      <c r="G1506" t="s">
        <v>102</v>
      </c>
      <c r="H1506">
        <v>3</v>
      </c>
      <c r="I1506">
        <v>6</v>
      </c>
      <c r="J1506" s="27">
        <v>7041.89</v>
      </c>
      <c r="K1506" s="27">
        <v>1000000</v>
      </c>
    </row>
    <row r="1507" spans="1:11" ht="15" customHeight="1" x14ac:dyDescent="0.2">
      <c r="A1507" t="s">
        <v>3594</v>
      </c>
      <c r="B1507" t="s">
        <v>3595</v>
      </c>
      <c r="C1507">
        <v>2024</v>
      </c>
      <c r="D1507" s="18">
        <v>45383</v>
      </c>
      <c r="E1507" s="18">
        <v>45747</v>
      </c>
      <c r="F1507" s="18" t="s">
        <v>611</v>
      </c>
      <c r="G1507" t="s">
        <v>102</v>
      </c>
      <c r="H1507">
        <v>1</v>
      </c>
      <c r="I1507">
        <v>2</v>
      </c>
      <c r="J1507" s="27">
        <v>76726.84</v>
      </c>
      <c r="K1507" s="27">
        <v>10000000</v>
      </c>
    </row>
    <row r="1508" spans="1:11" ht="15" customHeight="1" x14ac:dyDescent="0.2">
      <c r="A1508" t="s">
        <v>3596</v>
      </c>
      <c r="B1508" t="s">
        <v>3597</v>
      </c>
      <c r="C1508">
        <v>2024</v>
      </c>
      <c r="D1508" s="18">
        <v>45383</v>
      </c>
      <c r="E1508" s="18">
        <v>45747</v>
      </c>
      <c r="F1508" s="18" t="s">
        <v>611</v>
      </c>
      <c r="G1508" t="s">
        <v>100</v>
      </c>
      <c r="H1508">
        <v>2</v>
      </c>
      <c r="I1508">
        <v>2</v>
      </c>
      <c r="J1508" s="27">
        <v>52148.41</v>
      </c>
      <c r="K1508" s="27">
        <v>4000000</v>
      </c>
    </row>
    <row r="1509" spans="1:11" ht="15" customHeight="1" x14ac:dyDescent="0.2">
      <c r="A1509" t="s">
        <v>3598</v>
      </c>
      <c r="B1509" t="s">
        <v>3599</v>
      </c>
      <c r="C1509">
        <v>2024</v>
      </c>
      <c r="D1509" s="18">
        <v>45383</v>
      </c>
      <c r="E1509" s="18">
        <v>45747</v>
      </c>
      <c r="F1509" s="18" t="s">
        <v>611</v>
      </c>
      <c r="G1509" t="s">
        <v>100</v>
      </c>
      <c r="H1509">
        <v>1</v>
      </c>
      <c r="I1509">
        <v>1</v>
      </c>
      <c r="J1509" s="27">
        <v>48693.66</v>
      </c>
      <c r="K1509" s="27">
        <v>4000000</v>
      </c>
    </row>
    <row r="1510" spans="1:11" ht="15" customHeight="1" x14ac:dyDescent="0.2">
      <c r="A1510" t="s">
        <v>3600</v>
      </c>
      <c r="B1510" t="s">
        <v>3601</v>
      </c>
      <c r="C1510">
        <v>2024</v>
      </c>
      <c r="D1510" s="18">
        <v>45384</v>
      </c>
      <c r="E1510" s="18">
        <v>45748</v>
      </c>
      <c r="F1510" s="18" t="s">
        <v>608</v>
      </c>
      <c r="G1510" t="s">
        <v>101</v>
      </c>
      <c r="H1510">
        <v>1</v>
      </c>
      <c r="I1510">
        <v>2</v>
      </c>
      <c r="J1510" s="27">
        <v>57028.78</v>
      </c>
      <c r="K1510" s="27">
        <v>3500000</v>
      </c>
    </row>
    <row r="1511" spans="1:11" ht="15" customHeight="1" x14ac:dyDescent="0.2">
      <c r="A1511" t="s">
        <v>3602</v>
      </c>
      <c r="B1511" t="s">
        <v>3603</v>
      </c>
      <c r="C1511">
        <v>2024</v>
      </c>
      <c r="D1511" s="18">
        <v>45384</v>
      </c>
      <c r="E1511" s="18">
        <v>45748</v>
      </c>
      <c r="F1511" s="18" t="s">
        <v>611</v>
      </c>
      <c r="G1511" t="s">
        <v>102</v>
      </c>
      <c r="H1511">
        <v>2</v>
      </c>
      <c r="I1511">
        <v>2</v>
      </c>
      <c r="J1511" s="27">
        <v>71667.23</v>
      </c>
      <c r="K1511" s="27">
        <v>10000000</v>
      </c>
    </row>
    <row r="1512" spans="1:11" ht="15" customHeight="1" x14ac:dyDescent="0.2">
      <c r="A1512" t="s">
        <v>3604</v>
      </c>
      <c r="B1512" t="s">
        <v>3605</v>
      </c>
      <c r="C1512">
        <v>2024</v>
      </c>
      <c r="D1512" s="18">
        <v>45384</v>
      </c>
      <c r="E1512" s="18">
        <v>45748</v>
      </c>
      <c r="F1512" s="18" t="s">
        <v>611</v>
      </c>
      <c r="G1512" t="s">
        <v>102</v>
      </c>
      <c r="H1512">
        <v>1</v>
      </c>
      <c r="I1512">
        <v>2</v>
      </c>
      <c r="J1512" s="27">
        <v>13464.87</v>
      </c>
      <c r="K1512" s="27">
        <v>2000000</v>
      </c>
    </row>
    <row r="1513" spans="1:11" ht="15" customHeight="1" x14ac:dyDescent="0.2">
      <c r="A1513" t="s">
        <v>3606</v>
      </c>
      <c r="B1513" t="s">
        <v>3607</v>
      </c>
      <c r="C1513">
        <v>2024</v>
      </c>
      <c r="D1513" s="18">
        <v>45384</v>
      </c>
      <c r="E1513" s="18">
        <v>45748</v>
      </c>
      <c r="F1513" s="18" t="s">
        <v>611</v>
      </c>
      <c r="G1513" t="s">
        <v>101</v>
      </c>
      <c r="H1513">
        <v>3</v>
      </c>
      <c r="I1513">
        <v>3</v>
      </c>
      <c r="J1513" s="27">
        <v>58155.22</v>
      </c>
      <c r="K1513" s="27">
        <v>3500000</v>
      </c>
    </row>
    <row r="1514" spans="1:11" ht="15" customHeight="1" x14ac:dyDescent="0.2">
      <c r="A1514" t="s">
        <v>3608</v>
      </c>
      <c r="B1514" t="s">
        <v>3609</v>
      </c>
      <c r="C1514">
        <v>2024</v>
      </c>
      <c r="D1514" s="18">
        <v>45384</v>
      </c>
      <c r="E1514" s="18">
        <v>45748</v>
      </c>
      <c r="F1514" s="18" t="s">
        <v>611</v>
      </c>
      <c r="G1514" t="s">
        <v>100</v>
      </c>
      <c r="H1514">
        <v>2</v>
      </c>
      <c r="I1514">
        <v>2</v>
      </c>
      <c r="J1514" s="27">
        <v>61745.51</v>
      </c>
      <c r="K1514" s="27">
        <v>5000000</v>
      </c>
    </row>
    <row r="1515" spans="1:11" ht="15" customHeight="1" x14ac:dyDescent="0.2">
      <c r="A1515" t="s">
        <v>3610</v>
      </c>
      <c r="B1515" t="s">
        <v>3611</v>
      </c>
      <c r="C1515">
        <v>2024</v>
      </c>
      <c r="D1515" s="18">
        <v>45384</v>
      </c>
      <c r="E1515" s="18">
        <v>45748</v>
      </c>
      <c r="F1515" s="18" t="s">
        <v>611</v>
      </c>
      <c r="G1515" t="s">
        <v>102</v>
      </c>
      <c r="H1515">
        <v>3</v>
      </c>
      <c r="I1515">
        <v>3</v>
      </c>
      <c r="J1515" s="27">
        <v>34022.480000000003</v>
      </c>
      <c r="K1515" s="27">
        <v>5000000</v>
      </c>
    </row>
    <row r="1516" spans="1:11" ht="15" customHeight="1" x14ac:dyDescent="0.2">
      <c r="A1516" t="s">
        <v>3612</v>
      </c>
      <c r="B1516" t="s">
        <v>3613</v>
      </c>
      <c r="C1516">
        <v>2024</v>
      </c>
      <c r="D1516" s="18">
        <v>45384</v>
      </c>
      <c r="E1516" s="18">
        <v>45748</v>
      </c>
      <c r="F1516" s="18" t="s">
        <v>611</v>
      </c>
      <c r="G1516" t="s">
        <v>99</v>
      </c>
      <c r="H1516">
        <v>2</v>
      </c>
      <c r="I1516">
        <v>2</v>
      </c>
      <c r="J1516" s="27">
        <v>37909</v>
      </c>
      <c r="K1516" s="27">
        <v>5000000</v>
      </c>
    </row>
    <row r="1517" spans="1:11" ht="15" customHeight="1" x14ac:dyDescent="0.2">
      <c r="A1517" t="s">
        <v>3614</v>
      </c>
      <c r="B1517" t="s">
        <v>3615</v>
      </c>
      <c r="C1517">
        <v>2024</v>
      </c>
      <c r="D1517" s="18">
        <v>45385</v>
      </c>
      <c r="E1517" s="18">
        <v>45749</v>
      </c>
      <c r="F1517" s="18" t="s">
        <v>608</v>
      </c>
      <c r="G1517" t="s">
        <v>101</v>
      </c>
      <c r="H1517">
        <v>3</v>
      </c>
      <c r="I1517">
        <v>3</v>
      </c>
      <c r="J1517" s="27">
        <v>170192.86</v>
      </c>
      <c r="K1517" s="27">
        <v>10000000</v>
      </c>
    </row>
    <row r="1518" spans="1:11" ht="15" customHeight="1" x14ac:dyDescent="0.2">
      <c r="A1518" t="s">
        <v>3616</v>
      </c>
      <c r="B1518" t="s">
        <v>3617</v>
      </c>
      <c r="C1518">
        <v>2024</v>
      </c>
      <c r="D1518" s="18">
        <v>45385</v>
      </c>
      <c r="E1518" s="18">
        <v>45749</v>
      </c>
      <c r="F1518" s="18" t="s">
        <v>611</v>
      </c>
      <c r="G1518" t="s">
        <v>101</v>
      </c>
      <c r="H1518">
        <v>1</v>
      </c>
      <c r="I1518">
        <v>2</v>
      </c>
      <c r="J1518" s="27">
        <v>56893.52</v>
      </c>
      <c r="K1518" s="27">
        <v>3500000</v>
      </c>
    </row>
    <row r="1519" spans="1:11" ht="15" customHeight="1" x14ac:dyDescent="0.2">
      <c r="A1519" t="s">
        <v>3618</v>
      </c>
      <c r="B1519" t="s">
        <v>3619</v>
      </c>
      <c r="C1519">
        <v>2024</v>
      </c>
      <c r="D1519" s="18">
        <v>45385</v>
      </c>
      <c r="E1519" s="18">
        <v>45749</v>
      </c>
      <c r="F1519" s="18" t="s">
        <v>611</v>
      </c>
      <c r="G1519" t="s">
        <v>101</v>
      </c>
      <c r="H1519">
        <v>1</v>
      </c>
      <c r="I1519">
        <v>2</v>
      </c>
      <c r="J1519" s="27">
        <v>60031.76</v>
      </c>
      <c r="K1519" s="27">
        <v>4000000</v>
      </c>
    </row>
    <row r="1520" spans="1:11" ht="15" customHeight="1" x14ac:dyDescent="0.2">
      <c r="A1520" t="s">
        <v>3620</v>
      </c>
      <c r="B1520" t="s">
        <v>3621</v>
      </c>
      <c r="C1520">
        <v>2024</v>
      </c>
      <c r="D1520" s="18">
        <v>45385</v>
      </c>
      <c r="E1520" s="18">
        <v>45749</v>
      </c>
      <c r="F1520" s="18" t="s">
        <v>611</v>
      </c>
      <c r="G1520" t="s">
        <v>102</v>
      </c>
      <c r="H1520">
        <v>1</v>
      </c>
      <c r="I1520">
        <v>2</v>
      </c>
      <c r="J1520" s="27">
        <v>33414</v>
      </c>
      <c r="K1520" s="27">
        <v>4500000</v>
      </c>
    </row>
    <row r="1521" spans="1:11" ht="15" customHeight="1" x14ac:dyDescent="0.2">
      <c r="A1521" t="s">
        <v>3622</v>
      </c>
      <c r="B1521" t="s">
        <v>3623</v>
      </c>
      <c r="C1521">
        <v>2024</v>
      </c>
      <c r="D1521" s="18">
        <v>45386</v>
      </c>
      <c r="E1521" s="18">
        <v>45750</v>
      </c>
      <c r="F1521" s="18" t="s">
        <v>608</v>
      </c>
      <c r="G1521" t="s">
        <v>100</v>
      </c>
      <c r="H1521">
        <v>1</v>
      </c>
      <c r="I1521">
        <v>1</v>
      </c>
      <c r="J1521" s="27">
        <v>17903.29</v>
      </c>
      <c r="K1521" s="27">
        <v>1500000</v>
      </c>
    </row>
    <row r="1522" spans="1:11" ht="15" customHeight="1" x14ac:dyDescent="0.2">
      <c r="A1522" t="s">
        <v>3624</v>
      </c>
      <c r="B1522" t="s">
        <v>3625</v>
      </c>
      <c r="C1522">
        <v>2024</v>
      </c>
      <c r="D1522" s="18">
        <v>45386</v>
      </c>
      <c r="E1522" s="18">
        <v>45750</v>
      </c>
      <c r="F1522" s="18" t="s">
        <v>611</v>
      </c>
      <c r="G1522" t="s">
        <v>99</v>
      </c>
      <c r="H1522">
        <v>3</v>
      </c>
      <c r="I1522">
        <v>3</v>
      </c>
      <c r="J1522" s="27">
        <v>11849.72</v>
      </c>
      <c r="K1522" s="27">
        <v>1500000</v>
      </c>
    </row>
    <row r="1523" spans="1:11" ht="15" customHeight="1" x14ac:dyDescent="0.2">
      <c r="A1523" t="s">
        <v>3626</v>
      </c>
      <c r="B1523" t="s">
        <v>3627</v>
      </c>
      <c r="C1523">
        <v>2024</v>
      </c>
      <c r="D1523" s="18">
        <v>45386</v>
      </c>
      <c r="E1523" s="18">
        <v>45750</v>
      </c>
      <c r="F1523" s="18" t="s">
        <v>611</v>
      </c>
      <c r="G1523" t="s">
        <v>102</v>
      </c>
      <c r="H1523">
        <v>2</v>
      </c>
      <c r="I1523">
        <v>2</v>
      </c>
      <c r="J1523" s="27">
        <v>6717.04</v>
      </c>
      <c r="K1523" s="27">
        <v>1000000</v>
      </c>
    </row>
    <row r="1524" spans="1:11" ht="15" customHeight="1" x14ac:dyDescent="0.2">
      <c r="A1524" t="s">
        <v>3628</v>
      </c>
      <c r="B1524" t="s">
        <v>3629</v>
      </c>
      <c r="C1524">
        <v>2024</v>
      </c>
      <c r="D1524" s="18">
        <v>45386</v>
      </c>
      <c r="E1524" s="18">
        <v>45750</v>
      </c>
      <c r="F1524" s="18" t="s">
        <v>611</v>
      </c>
      <c r="G1524" t="s">
        <v>102</v>
      </c>
      <c r="H1524">
        <v>1</v>
      </c>
      <c r="I1524">
        <v>1</v>
      </c>
      <c r="J1524" s="27">
        <v>7746.75</v>
      </c>
      <c r="K1524" s="27">
        <v>1000000</v>
      </c>
    </row>
    <row r="1525" spans="1:11" ht="15" customHeight="1" x14ac:dyDescent="0.2">
      <c r="A1525" t="s">
        <v>3630</v>
      </c>
      <c r="B1525" t="s">
        <v>3631</v>
      </c>
      <c r="C1525">
        <v>2024</v>
      </c>
      <c r="D1525" s="18">
        <v>45386</v>
      </c>
      <c r="E1525" s="18">
        <v>45750</v>
      </c>
      <c r="F1525" s="18" t="s">
        <v>611</v>
      </c>
      <c r="G1525" t="s">
        <v>101</v>
      </c>
      <c r="H1525">
        <v>1</v>
      </c>
      <c r="I1525">
        <v>1</v>
      </c>
      <c r="J1525" s="27">
        <v>163506.15</v>
      </c>
      <c r="K1525" s="27">
        <v>10000000</v>
      </c>
    </row>
    <row r="1526" spans="1:11" ht="15" customHeight="1" x14ac:dyDescent="0.2">
      <c r="A1526" t="s">
        <v>3632</v>
      </c>
      <c r="B1526" t="s">
        <v>3633</v>
      </c>
      <c r="C1526">
        <v>2024</v>
      </c>
      <c r="D1526" s="18">
        <v>45386</v>
      </c>
      <c r="E1526" s="18">
        <v>45750</v>
      </c>
      <c r="F1526" s="18" t="s">
        <v>611</v>
      </c>
      <c r="G1526" t="s">
        <v>100</v>
      </c>
      <c r="H1526">
        <v>3</v>
      </c>
      <c r="I1526">
        <v>3</v>
      </c>
      <c r="J1526" s="27">
        <v>45922.16</v>
      </c>
      <c r="K1526" s="27">
        <v>3500000</v>
      </c>
    </row>
    <row r="1527" spans="1:11" ht="15" customHeight="1" x14ac:dyDescent="0.2">
      <c r="A1527" t="s">
        <v>3634</v>
      </c>
      <c r="B1527" t="s">
        <v>3635</v>
      </c>
      <c r="C1527">
        <v>2024</v>
      </c>
      <c r="D1527" s="18">
        <v>45386</v>
      </c>
      <c r="E1527" s="18">
        <v>45750</v>
      </c>
      <c r="F1527" s="18" t="s">
        <v>611</v>
      </c>
      <c r="G1527" t="s">
        <v>102</v>
      </c>
      <c r="H1527">
        <v>3</v>
      </c>
      <c r="I1527">
        <v>6</v>
      </c>
      <c r="J1527" s="27">
        <v>13419.2</v>
      </c>
      <c r="K1527" s="27">
        <v>2000000</v>
      </c>
    </row>
    <row r="1528" spans="1:11" ht="15" customHeight="1" x14ac:dyDescent="0.2">
      <c r="A1528" t="s">
        <v>3636</v>
      </c>
      <c r="B1528" t="s">
        <v>3637</v>
      </c>
      <c r="C1528">
        <v>2024</v>
      </c>
      <c r="D1528" s="18">
        <v>45386</v>
      </c>
      <c r="E1528" s="18">
        <v>45750</v>
      </c>
      <c r="F1528" s="18" t="s">
        <v>611</v>
      </c>
      <c r="G1528" t="s">
        <v>100</v>
      </c>
      <c r="H1528">
        <v>3</v>
      </c>
      <c r="I1528">
        <v>6</v>
      </c>
      <c r="J1528" s="27">
        <v>111965.36</v>
      </c>
      <c r="K1528" s="27">
        <v>10000000</v>
      </c>
    </row>
    <row r="1529" spans="1:11" ht="15" customHeight="1" x14ac:dyDescent="0.2">
      <c r="A1529" t="s">
        <v>3638</v>
      </c>
      <c r="B1529" t="s">
        <v>3639</v>
      </c>
      <c r="C1529">
        <v>2024</v>
      </c>
      <c r="D1529" s="18">
        <v>45387</v>
      </c>
      <c r="E1529" s="18">
        <v>45751</v>
      </c>
      <c r="F1529" s="18" t="s">
        <v>608</v>
      </c>
      <c r="G1529" t="s">
        <v>101</v>
      </c>
      <c r="H1529">
        <v>2</v>
      </c>
      <c r="I1529">
        <v>2</v>
      </c>
      <c r="J1529" s="27">
        <v>31681.64</v>
      </c>
      <c r="K1529" s="27">
        <v>2000000</v>
      </c>
    </row>
    <row r="1530" spans="1:11" ht="15" customHeight="1" x14ac:dyDescent="0.2">
      <c r="A1530" t="s">
        <v>3640</v>
      </c>
      <c r="B1530" t="s">
        <v>3641</v>
      </c>
      <c r="C1530">
        <v>2024</v>
      </c>
      <c r="D1530" s="18">
        <v>45387</v>
      </c>
      <c r="E1530" s="18">
        <v>45751</v>
      </c>
      <c r="F1530" s="18" t="s">
        <v>611</v>
      </c>
      <c r="G1530" t="s">
        <v>99</v>
      </c>
      <c r="H1530">
        <v>1</v>
      </c>
      <c r="I1530">
        <v>1</v>
      </c>
      <c r="J1530" s="27">
        <v>88866.92</v>
      </c>
      <c r="K1530" s="27">
        <v>10000000</v>
      </c>
    </row>
    <row r="1531" spans="1:11" ht="15" customHeight="1" x14ac:dyDescent="0.2">
      <c r="A1531" t="s">
        <v>3642</v>
      </c>
      <c r="B1531" t="s">
        <v>3643</v>
      </c>
      <c r="C1531">
        <v>2024</v>
      </c>
      <c r="D1531" s="18">
        <v>45387</v>
      </c>
      <c r="E1531" s="18">
        <v>45751</v>
      </c>
      <c r="F1531" s="18" t="s">
        <v>611</v>
      </c>
      <c r="G1531" t="s">
        <v>100</v>
      </c>
      <c r="H1531">
        <v>2</v>
      </c>
      <c r="I1531">
        <v>2</v>
      </c>
      <c r="J1531" s="27">
        <v>5860.81</v>
      </c>
      <c r="K1531" s="27">
        <v>500000</v>
      </c>
    </row>
    <row r="1532" spans="1:11" ht="15" customHeight="1" x14ac:dyDescent="0.2">
      <c r="A1532" t="s">
        <v>3644</v>
      </c>
      <c r="B1532" t="s">
        <v>3645</v>
      </c>
      <c r="C1532">
        <v>2024</v>
      </c>
      <c r="D1532" s="18">
        <v>45387</v>
      </c>
      <c r="E1532" s="18">
        <v>45751</v>
      </c>
      <c r="F1532" s="18" t="s">
        <v>611</v>
      </c>
      <c r="G1532" t="s">
        <v>101</v>
      </c>
      <c r="H1532">
        <v>1</v>
      </c>
      <c r="I1532">
        <v>1</v>
      </c>
      <c r="J1532" s="27">
        <v>7930.4</v>
      </c>
      <c r="K1532" s="27">
        <v>500000</v>
      </c>
    </row>
    <row r="1533" spans="1:11" ht="15" customHeight="1" x14ac:dyDescent="0.2">
      <c r="A1533" t="s">
        <v>3646</v>
      </c>
      <c r="B1533" t="s">
        <v>3647</v>
      </c>
      <c r="C1533">
        <v>2024</v>
      </c>
      <c r="D1533" s="18">
        <v>45387</v>
      </c>
      <c r="E1533" s="18">
        <v>45751</v>
      </c>
      <c r="F1533" s="18" t="s">
        <v>611</v>
      </c>
      <c r="G1533" t="s">
        <v>101</v>
      </c>
      <c r="H1533">
        <v>1</v>
      </c>
      <c r="I1533">
        <v>2</v>
      </c>
      <c r="J1533" s="27">
        <v>147758.76999999999</v>
      </c>
      <c r="K1533" s="27">
        <v>10000000</v>
      </c>
    </row>
    <row r="1534" spans="1:11" ht="15" customHeight="1" x14ac:dyDescent="0.2">
      <c r="A1534" t="s">
        <v>3648</v>
      </c>
      <c r="B1534" t="s">
        <v>3649</v>
      </c>
      <c r="C1534">
        <v>2024</v>
      </c>
      <c r="D1534" s="18">
        <v>45387</v>
      </c>
      <c r="E1534" s="18">
        <v>45751</v>
      </c>
      <c r="F1534" s="18" t="s">
        <v>611</v>
      </c>
      <c r="G1534" t="s">
        <v>99</v>
      </c>
      <c r="H1534">
        <v>2</v>
      </c>
      <c r="I1534">
        <v>2</v>
      </c>
      <c r="J1534" s="27">
        <v>78853.899999999994</v>
      </c>
      <c r="K1534" s="27">
        <v>10000000</v>
      </c>
    </row>
    <row r="1535" spans="1:11" ht="15" customHeight="1" x14ac:dyDescent="0.2">
      <c r="A1535" t="s">
        <v>3650</v>
      </c>
      <c r="B1535" t="s">
        <v>3651</v>
      </c>
      <c r="C1535">
        <v>2024</v>
      </c>
      <c r="D1535" s="18">
        <v>45388</v>
      </c>
      <c r="E1535" s="18">
        <v>45752</v>
      </c>
      <c r="F1535" s="18" t="s">
        <v>608</v>
      </c>
      <c r="G1535" t="s">
        <v>101</v>
      </c>
      <c r="H1535">
        <v>3</v>
      </c>
      <c r="I1535">
        <v>3</v>
      </c>
      <c r="J1535" s="27">
        <v>53428.92</v>
      </c>
      <c r="K1535" s="27">
        <v>3500000</v>
      </c>
    </row>
    <row r="1536" spans="1:11" ht="15" customHeight="1" x14ac:dyDescent="0.2">
      <c r="A1536" t="s">
        <v>3652</v>
      </c>
      <c r="B1536" t="s">
        <v>3653</v>
      </c>
      <c r="C1536">
        <v>2024</v>
      </c>
      <c r="D1536" s="18">
        <v>45388</v>
      </c>
      <c r="E1536" s="18">
        <v>45752</v>
      </c>
      <c r="F1536" s="18" t="s">
        <v>608</v>
      </c>
      <c r="G1536" t="s">
        <v>99</v>
      </c>
      <c r="H1536">
        <v>2</v>
      </c>
      <c r="I1536">
        <v>2</v>
      </c>
      <c r="J1536" s="27">
        <v>35556.85</v>
      </c>
      <c r="K1536" s="27">
        <v>4000000</v>
      </c>
    </row>
    <row r="1537" spans="1:11" ht="15" customHeight="1" x14ac:dyDescent="0.2">
      <c r="A1537" t="s">
        <v>3654</v>
      </c>
      <c r="B1537" t="s">
        <v>3655</v>
      </c>
      <c r="C1537">
        <v>2024</v>
      </c>
      <c r="D1537" s="18">
        <v>45388</v>
      </c>
      <c r="E1537" s="18">
        <v>45752</v>
      </c>
      <c r="F1537" s="18" t="s">
        <v>611</v>
      </c>
      <c r="G1537" t="s">
        <v>99</v>
      </c>
      <c r="H1537">
        <v>2</v>
      </c>
      <c r="I1537">
        <v>4</v>
      </c>
      <c r="J1537" s="27">
        <v>38201.160000000003</v>
      </c>
      <c r="K1537" s="27">
        <v>5000000</v>
      </c>
    </row>
    <row r="1538" spans="1:11" ht="15" customHeight="1" x14ac:dyDescent="0.2">
      <c r="A1538" t="s">
        <v>3656</v>
      </c>
      <c r="B1538" t="s">
        <v>3657</v>
      </c>
      <c r="C1538">
        <v>2024</v>
      </c>
      <c r="D1538" s="18">
        <v>45388</v>
      </c>
      <c r="E1538" s="18">
        <v>45752</v>
      </c>
      <c r="F1538" s="18" t="s">
        <v>611</v>
      </c>
      <c r="G1538" t="s">
        <v>102</v>
      </c>
      <c r="H1538">
        <v>3</v>
      </c>
      <c r="I1538">
        <v>3</v>
      </c>
      <c r="J1538" s="27">
        <v>20993.33</v>
      </c>
      <c r="K1538" s="27">
        <v>3000000</v>
      </c>
    </row>
    <row r="1539" spans="1:11" ht="15" customHeight="1" x14ac:dyDescent="0.2">
      <c r="A1539" t="s">
        <v>3658</v>
      </c>
      <c r="B1539" t="s">
        <v>3659</v>
      </c>
      <c r="C1539">
        <v>2024</v>
      </c>
      <c r="D1539" s="18">
        <v>45388</v>
      </c>
      <c r="E1539" s="18">
        <v>45752</v>
      </c>
      <c r="F1539" s="18" t="s">
        <v>611</v>
      </c>
      <c r="G1539" t="s">
        <v>101</v>
      </c>
      <c r="H1539">
        <v>2</v>
      </c>
      <c r="I1539">
        <v>2</v>
      </c>
      <c r="J1539" s="27">
        <v>150465.53</v>
      </c>
      <c r="K1539" s="27">
        <v>10000000</v>
      </c>
    </row>
    <row r="1540" spans="1:11" ht="15" customHeight="1" x14ac:dyDescent="0.2">
      <c r="A1540" t="s">
        <v>3660</v>
      </c>
      <c r="B1540" t="s">
        <v>3661</v>
      </c>
      <c r="C1540">
        <v>2024</v>
      </c>
      <c r="D1540" s="18">
        <v>45388</v>
      </c>
      <c r="E1540" s="18">
        <v>45752</v>
      </c>
      <c r="F1540" s="18" t="s">
        <v>611</v>
      </c>
      <c r="G1540" t="s">
        <v>99</v>
      </c>
      <c r="H1540">
        <v>3</v>
      </c>
      <c r="I1540">
        <v>6</v>
      </c>
      <c r="J1540" s="27">
        <v>11843.46</v>
      </c>
      <c r="K1540" s="27">
        <v>1500000</v>
      </c>
    </row>
    <row r="1541" spans="1:11" ht="15" customHeight="1" x14ac:dyDescent="0.2">
      <c r="A1541" t="s">
        <v>3662</v>
      </c>
      <c r="B1541" t="s">
        <v>3663</v>
      </c>
      <c r="C1541">
        <v>2024</v>
      </c>
      <c r="D1541" s="18">
        <v>45388</v>
      </c>
      <c r="E1541" s="18">
        <v>45752</v>
      </c>
      <c r="F1541" s="18" t="s">
        <v>611</v>
      </c>
      <c r="G1541" t="s">
        <v>100</v>
      </c>
      <c r="H1541">
        <v>2</v>
      </c>
      <c r="I1541">
        <v>2</v>
      </c>
      <c r="J1541" s="27">
        <v>35322.699999999997</v>
      </c>
      <c r="K1541" s="27">
        <v>3000000</v>
      </c>
    </row>
    <row r="1542" spans="1:11" ht="15" customHeight="1" x14ac:dyDescent="0.2">
      <c r="A1542" t="s">
        <v>3664</v>
      </c>
      <c r="B1542" t="s">
        <v>3665</v>
      </c>
      <c r="C1542">
        <v>2024</v>
      </c>
      <c r="D1542" s="18">
        <v>45389</v>
      </c>
      <c r="E1542" s="18">
        <v>45753</v>
      </c>
      <c r="F1542" s="18" t="s">
        <v>608</v>
      </c>
      <c r="G1542" t="s">
        <v>101</v>
      </c>
      <c r="H1542">
        <v>1</v>
      </c>
      <c r="I1542">
        <v>2</v>
      </c>
      <c r="J1542" s="27">
        <v>164252.15</v>
      </c>
      <c r="K1542" s="27">
        <v>10000000</v>
      </c>
    </row>
    <row r="1543" spans="1:11" ht="15" customHeight="1" x14ac:dyDescent="0.2">
      <c r="A1543" t="s">
        <v>3666</v>
      </c>
      <c r="B1543" t="s">
        <v>3667</v>
      </c>
      <c r="C1543">
        <v>2024</v>
      </c>
      <c r="D1543" s="18">
        <v>45389</v>
      </c>
      <c r="E1543" s="18">
        <v>45753</v>
      </c>
      <c r="F1543" s="18" t="s">
        <v>611</v>
      </c>
      <c r="G1543" t="s">
        <v>102</v>
      </c>
      <c r="H1543">
        <v>3</v>
      </c>
      <c r="I1543">
        <v>6</v>
      </c>
      <c r="J1543" s="27">
        <v>3896.63</v>
      </c>
      <c r="K1543" s="27">
        <v>500000</v>
      </c>
    </row>
    <row r="1544" spans="1:11" ht="15" customHeight="1" x14ac:dyDescent="0.2">
      <c r="A1544" t="s">
        <v>3668</v>
      </c>
      <c r="B1544" t="s">
        <v>3669</v>
      </c>
      <c r="C1544">
        <v>2024</v>
      </c>
      <c r="D1544" s="18">
        <v>45389</v>
      </c>
      <c r="E1544" s="18">
        <v>45753</v>
      </c>
      <c r="F1544" s="18" t="s">
        <v>611</v>
      </c>
      <c r="G1544" t="s">
        <v>102</v>
      </c>
      <c r="H1544">
        <v>1</v>
      </c>
      <c r="I1544">
        <v>2</v>
      </c>
      <c r="J1544" s="27">
        <v>72724.990000000005</v>
      </c>
      <c r="K1544" s="27">
        <v>10000000</v>
      </c>
    </row>
    <row r="1545" spans="1:11" ht="15" customHeight="1" x14ac:dyDescent="0.2">
      <c r="A1545" t="s">
        <v>3670</v>
      </c>
      <c r="B1545" t="s">
        <v>3671</v>
      </c>
      <c r="C1545">
        <v>2024</v>
      </c>
      <c r="D1545" s="18">
        <v>45389</v>
      </c>
      <c r="E1545" s="18">
        <v>45753</v>
      </c>
      <c r="F1545" s="18" t="s">
        <v>611</v>
      </c>
      <c r="G1545" t="s">
        <v>101</v>
      </c>
      <c r="H1545">
        <v>1</v>
      </c>
      <c r="I1545">
        <v>1</v>
      </c>
      <c r="J1545" s="27">
        <v>29555.86</v>
      </c>
      <c r="K1545" s="27">
        <v>2000000</v>
      </c>
    </row>
    <row r="1546" spans="1:11" ht="15" customHeight="1" x14ac:dyDescent="0.2">
      <c r="A1546" t="s">
        <v>3672</v>
      </c>
      <c r="B1546" t="s">
        <v>3673</v>
      </c>
      <c r="C1546">
        <v>2024</v>
      </c>
      <c r="D1546" s="18">
        <v>45389</v>
      </c>
      <c r="E1546" s="18">
        <v>45753</v>
      </c>
      <c r="F1546" s="18" t="s">
        <v>611</v>
      </c>
      <c r="G1546" t="s">
        <v>100</v>
      </c>
      <c r="H1546">
        <v>1</v>
      </c>
      <c r="I1546">
        <v>1</v>
      </c>
      <c r="J1546" s="27">
        <v>11896.62</v>
      </c>
      <c r="K1546" s="27">
        <v>1000000</v>
      </c>
    </row>
    <row r="1547" spans="1:11" ht="15" customHeight="1" x14ac:dyDescent="0.2">
      <c r="A1547" t="s">
        <v>3674</v>
      </c>
      <c r="B1547" t="s">
        <v>3675</v>
      </c>
      <c r="C1547">
        <v>2024</v>
      </c>
      <c r="D1547" s="18">
        <v>45389</v>
      </c>
      <c r="E1547" s="18">
        <v>45753</v>
      </c>
      <c r="F1547" s="18" t="s">
        <v>611</v>
      </c>
      <c r="G1547" t="s">
        <v>99</v>
      </c>
      <c r="H1547">
        <v>3</v>
      </c>
      <c r="I1547">
        <v>3</v>
      </c>
      <c r="J1547" s="27">
        <v>38268.89</v>
      </c>
      <c r="K1547" s="27">
        <v>5000000</v>
      </c>
    </row>
    <row r="1548" spans="1:11" ht="15" customHeight="1" x14ac:dyDescent="0.2">
      <c r="A1548" t="s">
        <v>3676</v>
      </c>
      <c r="B1548" t="s">
        <v>3677</v>
      </c>
      <c r="C1548">
        <v>2024</v>
      </c>
      <c r="D1548" s="18">
        <v>45389</v>
      </c>
      <c r="E1548" s="18">
        <v>45753</v>
      </c>
      <c r="F1548" s="18" t="s">
        <v>611</v>
      </c>
      <c r="G1548" t="s">
        <v>101</v>
      </c>
      <c r="H1548">
        <v>1</v>
      </c>
      <c r="I1548">
        <v>1</v>
      </c>
      <c r="J1548" s="27">
        <v>72995.81</v>
      </c>
      <c r="K1548" s="27">
        <v>4500000</v>
      </c>
    </row>
    <row r="1549" spans="1:11" ht="15" customHeight="1" x14ac:dyDescent="0.2">
      <c r="A1549" t="s">
        <v>3678</v>
      </c>
      <c r="B1549" t="s">
        <v>3679</v>
      </c>
      <c r="C1549">
        <v>2024</v>
      </c>
      <c r="D1549" s="18">
        <v>45389</v>
      </c>
      <c r="E1549" s="18">
        <v>45753</v>
      </c>
      <c r="F1549" s="18" t="s">
        <v>611</v>
      </c>
      <c r="G1549" t="s">
        <v>100</v>
      </c>
      <c r="H1549">
        <v>1</v>
      </c>
      <c r="I1549">
        <v>2</v>
      </c>
      <c r="J1549" s="27">
        <v>59095.46</v>
      </c>
      <c r="K1549" s="27">
        <v>5000000</v>
      </c>
    </row>
    <row r="1550" spans="1:11" ht="15" customHeight="1" x14ac:dyDescent="0.2">
      <c r="A1550" t="s">
        <v>3680</v>
      </c>
      <c r="B1550" t="s">
        <v>3681</v>
      </c>
      <c r="C1550">
        <v>2024</v>
      </c>
      <c r="D1550" s="18">
        <v>45389</v>
      </c>
      <c r="E1550" s="18">
        <v>45753</v>
      </c>
      <c r="F1550" s="18" t="s">
        <v>611</v>
      </c>
      <c r="G1550" t="s">
        <v>99</v>
      </c>
      <c r="H1550">
        <v>2</v>
      </c>
      <c r="I1550">
        <v>2</v>
      </c>
      <c r="J1550" s="27">
        <v>17921.310000000001</v>
      </c>
      <c r="K1550" s="27">
        <v>2000000</v>
      </c>
    </row>
    <row r="1551" spans="1:11" ht="15" customHeight="1" x14ac:dyDescent="0.2">
      <c r="A1551" t="s">
        <v>3682</v>
      </c>
      <c r="B1551" t="s">
        <v>3683</v>
      </c>
      <c r="C1551">
        <v>2024</v>
      </c>
      <c r="D1551" s="18">
        <v>45389</v>
      </c>
      <c r="E1551" s="18">
        <v>45753</v>
      </c>
      <c r="F1551" s="18" t="s">
        <v>611</v>
      </c>
      <c r="G1551" t="s">
        <v>102</v>
      </c>
      <c r="H1551">
        <v>1</v>
      </c>
      <c r="I1551">
        <v>1</v>
      </c>
      <c r="J1551" s="27">
        <v>79693.37</v>
      </c>
      <c r="K1551" s="27">
        <v>10000000</v>
      </c>
    </row>
    <row r="1552" spans="1:11" ht="15" customHeight="1" x14ac:dyDescent="0.2">
      <c r="A1552" t="s">
        <v>3684</v>
      </c>
      <c r="B1552" t="s">
        <v>3685</v>
      </c>
      <c r="C1552">
        <v>2024</v>
      </c>
      <c r="D1552" s="18">
        <v>45389</v>
      </c>
      <c r="E1552" s="18">
        <v>45753</v>
      </c>
      <c r="F1552" s="18" t="s">
        <v>611</v>
      </c>
      <c r="G1552" t="s">
        <v>100</v>
      </c>
      <c r="H1552">
        <v>1</v>
      </c>
      <c r="I1552">
        <v>2</v>
      </c>
      <c r="J1552" s="27">
        <v>53476.43</v>
      </c>
      <c r="K1552" s="27">
        <v>4500000</v>
      </c>
    </row>
    <row r="1553" spans="1:11" ht="15" customHeight="1" x14ac:dyDescent="0.2">
      <c r="A1553" t="s">
        <v>3686</v>
      </c>
      <c r="B1553" t="s">
        <v>3687</v>
      </c>
      <c r="C1553">
        <v>2024</v>
      </c>
      <c r="D1553" s="18">
        <v>45389</v>
      </c>
      <c r="E1553" s="18">
        <v>45753</v>
      </c>
      <c r="F1553" s="18" t="s">
        <v>611</v>
      </c>
      <c r="G1553" t="s">
        <v>101</v>
      </c>
      <c r="H1553">
        <v>1</v>
      </c>
      <c r="I1553">
        <v>2</v>
      </c>
      <c r="J1553" s="27">
        <v>32926.769999999997</v>
      </c>
      <c r="K1553" s="27">
        <v>2000000</v>
      </c>
    </row>
    <row r="1554" spans="1:11" ht="15" customHeight="1" x14ac:dyDescent="0.2">
      <c r="A1554" t="s">
        <v>3688</v>
      </c>
      <c r="B1554" t="s">
        <v>3689</v>
      </c>
      <c r="C1554">
        <v>2024</v>
      </c>
      <c r="D1554" s="18">
        <v>45389</v>
      </c>
      <c r="E1554" s="18">
        <v>45753</v>
      </c>
      <c r="F1554" s="18" t="s">
        <v>611</v>
      </c>
      <c r="G1554" t="s">
        <v>102</v>
      </c>
      <c r="H1554">
        <v>2</v>
      </c>
      <c r="I1554">
        <v>2</v>
      </c>
      <c r="J1554" s="27">
        <v>79138.559999999998</v>
      </c>
      <c r="K1554" s="27">
        <v>10000000</v>
      </c>
    </row>
    <row r="1555" spans="1:11" ht="15" customHeight="1" x14ac:dyDescent="0.2">
      <c r="A1555" t="s">
        <v>3690</v>
      </c>
      <c r="B1555" t="s">
        <v>3691</v>
      </c>
      <c r="C1555">
        <v>2024</v>
      </c>
      <c r="D1555" s="18">
        <v>45389</v>
      </c>
      <c r="E1555" s="18">
        <v>45753</v>
      </c>
      <c r="F1555" s="18" t="s">
        <v>611</v>
      </c>
      <c r="G1555" t="s">
        <v>101</v>
      </c>
      <c r="H1555">
        <v>1</v>
      </c>
      <c r="I1555">
        <v>2</v>
      </c>
      <c r="J1555" s="27">
        <v>65006.64</v>
      </c>
      <c r="K1555" s="27">
        <v>4500000</v>
      </c>
    </row>
    <row r="1556" spans="1:11" ht="15" customHeight="1" x14ac:dyDescent="0.2">
      <c r="A1556" t="s">
        <v>3692</v>
      </c>
      <c r="B1556" t="s">
        <v>3693</v>
      </c>
      <c r="C1556">
        <v>2024</v>
      </c>
      <c r="D1556" s="18">
        <v>45390</v>
      </c>
      <c r="E1556" s="18">
        <v>45754</v>
      </c>
      <c r="F1556" s="18" t="s">
        <v>608</v>
      </c>
      <c r="G1556" t="s">
        <v>99</v>
      </c>
      <c r="H1556">
        <v>1</v>
      </c>
      <c r="I1556">
        <v>1</v>
      </c>
      <c r="J1556" s="27">
        <v>27637.62</v>
      </c>
      <c r="K1556" s="27">
        <v>3500000</v>
      </c>
    </row>
    <row r="1557" spans="1:11" ht="15" customHeight="1" x14ac:dyDescent="0.2">
      <c r="A1557" t="s">
        <v>3694</v>
      </c>
      <c r="B1557" t="s">
        <v>3695</v>
      </c>
      <c r="C1557">
        <v>2024</v>
      </c>
      <c r="D1557" s="18">
        <v>45390</v>
      </c>
      <c r="E1557" s="18">
        <v>45754</v>
      </c>
      <c r="F1557" s="18" t="s">
        <v>608</v>
      </c>
      <c r="G1557" t="s">
        <v>100</v>
      </c>
      <c r="H1557">
        <v>1</v>
      </c>
      <c r="I1557">
        <v>2</v>
      </c>
      <c r="J1557" s="27">
        <v>46927.85</v>
      </c>
      <c r="K1557" s="27">
        <v>4000000</v>
      </c>
    </row>
    <row r="1558" spans="1:11" ht="15" customHeight="1" x14ac:dyDescent="0.2">
      <c r="A1558" t="s">
        <v>3696</v>
      </c>
      <c r="B1558" t="s">
        <v>3697</v>
      </c>
      <c r="C1558">
        <v>2024</v>
      </c>
      <c r="D1558" s="18">
        <v>45390</v>
      </c>
      <c r="E1558" s="18">
        <v>45754</v>
      </c>
      <c r="F1558" s="18" t="s">
        <v>608</v>
      </c>
      <c r="G1558" t="s">
        <v>100</v>
      </c>
      <c r="H1558">
        <v>2</v>
      </c>
      <c r="I1558">
        <v>4</v>
      </c>
      <c r="J1558" s="27">
        <v>36553.19</v>
      </c>
      <c r="K1558" s="27">
        <v>3000000</v>
      </c>
    </row>
    <row r="1559" spans="1:11" ht="15" customHeight="1" x14ac:dyDescent="0.2">
      <c r="A1559" t="s">
        <v>3698</v>
      </c>
      <c r="B1559" t="s">
        <v>3699</v>
      </c>
      <c r="C1559">
        <v>2024</v>
      </c>
      <c r="D1559" s="18">
        <v>45390</v>
      </c>
      <c r="E1559" s="18">
        <v>45754</v>
      </c>
      <c r="F1559" s="18" t="s">
        <v>608</v>
      </c>
      <c r="G1559" t="s">
        <v>100</v>
      </c>
      <c r="H1559">
        <v>3</v>
      </c>
      <c r="I1559">
        <v>3</v>
      </c>
      <c r="J1559" s="27">
        <v>12630.39</v>
      </c>
      <c r="K1559" s="27">
        <v>1000000</v>
      </c>
    </row>
    <row r="1560" spans="1:11" ht="15" customHeight="1" x14ac:dyDescent="0.2">
      <c r="A1560" t="s">
        <v>3700</v>
      </c>
      <c r="B1560" t="s">
        <v>3701</v>
      </c>
      <c r="C1560">
        <v>2024</v>
      </c>
      <c r="D1560" s="18">
        <v>45390</v>
      </c>
      <c r="E1560" s="18">
        <v>45754</v>
      </c>
      <c r="F1560" s="18" t="s">
        <v>611</v>
      </c>
      <c r="G1560" t="s">
        <v>100</v>
      </c>
      <c r="H1560">
        <v>1</v>
      </c>
      <c r="I1560">
        <v>2</v>
      </c>
      <c r="J1560" s="27">
        <v>45522.35</v>
      </c>
      <c r="K1560" s="27">
        <v>4000000</v>
      </c>
    </row>
    <row r="1561" spans="1:11" ht="15" customHeight="1" x14ac:dyDescent="0.2">
      <c r="A1561" t="s">
        <v>3702</v>
      </c>
      <c r="B1561" t="s">
        <v>3703</v>
      </c>
      <c r="C1561">
        <v>2024</v>
      </c>
      <c r="D1561" s="18">
        <v>45390</v>
      </c>
      <c r="E1561" s="18">
        <v>45754</v>
      </c>
      <c r="F1561" s="18" t="s">
        <v>611</v>
      </c>
      <c r="G1561" t="s">
        <v>101</v>
      </c>
      <c r="H1561">
        <v>1</v>
      </c>
      <c r="I1561">
        <v>2</v>
      </c>
      <c r="J1561" s="27">
        <v>55919.8</v>
      </c>
      <c r="K1561" s="27">
        <v>3500000</v>
      </c>
    </row>
    <row r="1562" spans="1:11" ht="15" customHeight="1" x14ac:dyDescent="0.2">
      <c r="A1562" t="s">
        <v>3704</v>
      </c>
      <c r="B1562" t="s">
        <v>3705</v>
      </c>
      <c r="C1562">
        <v>2024</v>
      </c>
      <c r="D1562" s="18">
        <v>45390</v>
      </c>
      <c r="E1562" s="18">
        <v>45754</v>
      </c>
      <c r="F1562" s="18" t="s">
        <v>611</v>
      </c>
      <c r="G1562" t="s">
        <v>102</v>
      </c>
      <c r="H1562">
        <v>1</v>
      </c>
      <c r="I1562">
        <v>2</v>
      </c>
      <c r="J1562" s="27">
        <v>68829.679999999993</v>
      </c>
      <c r="K1562" s="27">
        <v>10000000</v>
      </c>
    </row>
    <row r="1563" spans="1:11" ht="15" customHeight="1" x14ac:dyDescent="0.2">
      <c r="A1563" t="s">
        <v>3706</v>
      </c>
      <c r="B1563" t="s">
        <v>3707</v>
      </c>
      <c r="C1563">
        <v>2024</v>
      </c>
      <c r="D1563" s="18">
        <v>45390</v>
      </c>
      <c r="E1563" s="18">
        <v>45754</v>
      </c>
      <c r="F1563" s="18" t="s">
        <v>611</v>
      </c>
      <c r="G1563" t="s">
        <v>99</v>
      </c>
      <c r="H1563">
        <v>1</v>
      </c>
      <c r="I1563">
        <v>2</v>
      </c>
      <c r="J1563" s="27">
        <v>45568.84</v>
      </c>
      <c r="K1563" s="27">
        <v>5000000</v>
      </c>
    </row>
    <row r="1564" spans="1:11" ht="15" customHeight="1" x14ac:dyDescent="0.2">
      <c r="A1564" t="s">
        <v>3708</v>
      </c>
      <c r="B1564" t="s">
        <v>3709</v>
      </c>
      <c r="C1564">
        <v>2024</v>
      </c>
      <c r="D1564" s="18">
        <v>45390</v>
      </c>
      <c r="E1564" s="18">
        <v>45754</v>
      </c>
      <c r="F1564" s="18" t="s">
        <v>611</v>
      </c>
      <c r="G1564" t="s">
        <v>100</v>
      </c>
      <c r="H1564">
        <v>1</v>
      </c>
      <c r="I1564">
        <v>2</v>
      </c>
      <c r="J1564" s="27">
        <v>43938.07</v>
      </c>
      <c r="K1564" s="27">
        <v>3500000</v>
      </c>
    </row>
    <row r="1565" spans="1:11" ht="15" customHeight="1" x14ac:dyDescent="0.2">
      <c r="A1565" t="s">
        <v>3710</v>
      </c>
      <c r="B1565" t="s">
        <v>3711</v>
      </c>
      <c r="C1565">
        <v>2024</v>
      </c>
      <c r="D1565" s="18">
        <v>45390</v>
      </c>
      <c r="E1565" s="18">
        <v>45754</v>
      </c>
      <c r="F1565" s="18" t="s">
        <v>611</v>
      </c>
      <c r="G1565" t="s">
        <v>99</v>
      </c>
      <c r="H1565">
        <v>3</v>
      </c>
      <c r="I1565">
        <v>3</v>
      </c>
      <c r="J1565" s="27">
        <v>35635.839999999997</v>
      </c>
      <c r="K1565" s="27">
        <v>4000000</v>
      </c>
    </row>
    <row r="1566" spans="1:11" ht="15" customHeight="1" x14ac:dyDescent="0.2">
      <c r="A1566" t="s">
        <v>3712</v>
      </c>
      <c r="B1566" t="s">
        <v>3713</v>
      </c>
      <c r="C1566">
        <v>2024</v>
      </c>
      <c r="D1566" s="18">
        <v>45390</v>
      </c>
      <c r="E1566" s="18">
        <v>45754</v>
      </c>
      <c r="F1566" s="18" t="s">
        <v>611</v>
      </c>
      <c r="G1566" t="s">
        <v>101</v>
      </c>
      <c r="H1566">
        <v>1</v>
      </c>
      <c r="I1566">
        <v>1</v>
      </c>
      <c r="J1566" s="27">
        <v>16075.93</v>
      </c>
      <c r="K1566" s="27">
        <v>1000000</v>
      </c>
    </row>
    <row r="1567" spans="1:11" ht="15" customHeight="1" x14ac:dyDescent="0.2">
      <c r="A1567" t="s">
        <v>3714</v>
      </c>
      <c r="B1567" t="s">
        <v>3715</v>
      </c>
      <c r="C1567">
        <v>2024</v>
      </c>
      <c r="D1567" s="18">
        <v>45390</v>
      </c>
      <c r="E1567" s="18">
        <v>45754</v>
      </c>
      <c r="F1567" s="18" t="s">
        <v>611</v>
      </c>
      <c r="G1567" t="s">
        <v>102</v>
      </c>
      <c r="H1567">
        <v>1</v>
      </c>
      <c r="I1567">
        <v>1</v>
      </c>
      <c r="J1567" s="27">
        <v>77507.990000000005</v>
      </c>
      <c r="K1567" s="27">
        <v>10000000</v>
      </c>
    </row>
    <row r="1568" spans="1:11" ht="15" customHeight="1" x14ac:dyDescent="0.2">
      <c r="A1568" t="s">
        <v>3716</v>
      </c>
      <c r="B1568" t="s">
        <v>3717</v>
      </c>
      <c r="C1568">
        <v>2024</v>
      </c>
      <c r="D1568" s="18">
        <v>45390</v>
      </c>
      <c r="E1568" s="18">
        <v>45754</v>
      </c>
      <c r="F1568" s="18" t="s">
        <v>611</v>
      </c>
      <c r="G1568" t="s">
        <v>100</v>
      </c>
      <c r="H1568">
        <v>1</v>
      </c>
      <c r="I1568">
        <v>1</v>
      </c>
      <c r="J1568" s="27">
        <v>44524.01</v>
      </c>
      <c r="K1568" s="27">
        <v>4000000</v>
      </c>
    </row>
    <row r="1569" spans="1:11" ht="15" customHeight="1" x14ac:dyDescent="0.2">
      <c r="A1569" t="s">
        <v>3718</v>
      </c>
      <c r="B1569" t="s">
        <v>3719</v>
      </c>
      <c r="C1569">
        <v>2024</v>
      </c>
      <c r="D1569" s="18">
        <v>45390</v>
      </c>
      <c r="E1569" s="18">
        <v>45754</v>
      </c>
      <c r="F1569" s="18" t="s">
        <v>611</v>
      </c>
      <c r="G1569" t="s">
        <v>101</v>
      </c>
      <c r="H1569">
        <v>2</v>
      </c>
      <c r="I1569">
        <v>2</v>
      </c>
      <c r="J1569" s="27">
        <v>16566.8</v>
      </c>
      <c r="K1569" s="27">
        <v>1000000</v>
      </c>
    </row>
    <row r="1570" spans="1:11" ht="15" customHeight="1" x14ac:dyDescent="0.2">
      <c r="A1570" t="s">
        <v>3720</v>
      </c>
      <c r="B1570" t="s">
        <v>3721</v>
      </c>
      <c r="C1570">
        <v>2024</v>
      </c>
      <c r="D1570" s="18">
        <v>45391</v>
      </c>
      <c r="E1570" s="18">
        <v>45755</v>
      </c>
      <c r="F1570" s="18" t="s">
        <v>608</v>
      </c>
      <c r="G1570" t="s">
        <v>100</v>
      </c>
      <c r="H1570">
        <v>1</v>
      </c>
      <c r="I1570">
        <v>1</v>
      </c>
      <c r="J1570" s="27">
        <v>26383.27</v>
      </c>
      <c r="K1570" s="27">
        <v>2000000</v>
      </c>
    </row>
    <row r="1571" spans="1:11" ht="15" customHeight="1" x14ac:dyDescent="0.2">
      <c r="A1571" t="s">
        <v>3722</v>
      </c>
      <c r="B1571" t="s">
        <v>3723</v>
      </c>
      <c r="C1571">
        <v>2024</v>
      </c>
      <c r="D1571" s="18">
        <v>45391</v>
      </c>
      <c r="E1571" s="18">
        <v>45755</v>
      </c>
      <c r="F1571" s="18" t="s">
        <v>611</v>
      </c>
      <c r="G1571" t="s">
        <v>102</v>
      </c>
      <c r="H1571">
        <v>1</v>
      </c>
      <c r="I1571">
        <v>1</v>
      </c>
      <c r="J1571" s="27">
        <v>6897.05</v>
      </c>
      <c r="K1571" s="27">
        <v>1000000</v>
      </c>
    </row>
    <row r="1572" spans="1:11" ht="15" customHeight="1" x14ac:dyDescent="0.2">
      <c r="A1572" t="s">
        <v>3724</v>
      </c>
      <c r="B1572" t="s">
        <v>3725</v>
      </c>
      <c r="C1572">
        <v>2024</v>
      </c>
      <c r="D1572" s="18">
        <v>45391</v>
      </c>
      <c r="E1572" s="18">
        <v>45755</v>
      </c>
      <c r="F1572" s="18" t="s">
        <v>611</v>
      </c>
      <c r="G1572" t="s">
        <v>99</v>
      </c>
      <c r="H1572">
        <v>1</v>
      </c>
      <c r="I1572">
        <v>1</v>
      </c>
      <c r="J1572" s="27">
        <v>40346.01</v>
      </c>
      <c r="K1572" s="27">
        <v>5000000</v>
      </c>
    </row>
    <row r="1573" spans="1:11" ht="15" customHeight="1" x14ac:dyDescent="0.2">
      <c r="A1573" t="s">
        <v>3726</v>
      </c>
      <c r="B1573" t="s">
        <v>3727</v>
      </c>
      <c r="C1573">
        <v>2024</v>
      </c>
      <c r="D1573" s="18">
        <v>45391</v>
      </c>
      <c r="E1573" s="18">
        <v>45755</v>
      </c>
      <c r="F1573" s="18" t="s">
        <v>611</v>
      </c>
      <c r="G1573" t="s">
        <v>101</v>
      </c>
      <c r="H1573">
        <v>2</v>
      </c>
      <c r="I1573">
        <v>4</v>
      </c>
      <c r="J1573" s="27">
        <v>23041.15</v>
      </c>
      <c r="K1573" s="27">
        <v>1500000</v>
      </c>
    </row>
    <row r="1574" spans="1:11" ht="15" customHeight="1" x14ac:dyDescent="0.2">
      <c r="A1574" t="s">
        <v>3728</v>
      </c>
      <c r="B1574" t="s">
        <v>3729</v>
      </c>
      <c r="C1574">
        <v>2024</v>
      </c>
      <c r="D1574" s="18">
        <v>45391</v>
      </c>
      <c r="E1574" s="18">
        <v>45755</v>
      </c>
      <c r="F1574" s="18" t="s">
        <v>611</v>
      </c>
      <c r="G1574" t="s">
        <v>101</v>
      </c>
      <c r="H1574">
        <v>3</v>
      </c>
      <c r="I1574">
        <v>3</v>
      </c>
      <c r="J1574" s="27">
        <v>61000.66</v>
      </c>
      <c r="K1574" s="27">
        <v>4000000</v>
      </c>
    </row>
    <row r="1575" spans="1:11" ht="15" customHeight="1" x14ac:dyDescent="0.2">
      <c r="A1575" t="s">
        <v>3730</v>
      </c>
      <c r="B1575" t="s">
        <v>3731</v>
      </c>
      <c r="C1575">
        <v>2024</v>
      </c>
      <c r="D1575" s="18">
        <v>45391</v>
      </c>
      <c r="E1575" s="18">
        <v>45755</v>
      </c>
      <c r="F1575" s="18" t="s">
        <v>611</v>
      </c>
      <c r="G1575" t="s">
        <v>101</v>
      </c>
      <c r="H1575">
        <v>3</v>
      </c>
      <c r="I1575">
        <v>6</v>
      </c>
      <c r="J1575" s="27">
        <v>67732.72</v>
      </c>
      <c r="K1575" s="27">
        <v>4500000</v>
      </c>
    </row>
    <row r="1576" spans="1:11" ht="15" customHeight="1" x14ac:dyDescent="0.2">
      <c r="A1576" t="s">
        <v>3732</v>
      </c>
      <c r="B1576" t="s">
        <v>3733</v>
      </c>
      <c r="C1576">
        <v>2024</v>
      </c>
      <c r="D1576" s="18">
        <v>45391</v>
      </c>
      <c r="E1576" s="18">
        <v>45755</v>
      </c>
      <c r="F1576" s="18" t="s">
        <v>611</v>
      </c>
      <c r="G1576" t="s">
        <v>100</v>
      </c>
      <c r="H1576">
        <v>2</v>
      </c>
      <c r="I1576">
        <v>2</v>
      </c>
      <c r="J1576" s="27">
        <v>11292.79</v>
      </c>
      <c r="K1576" s="27">
        <v>1000000</v>
      </c>
    </row>
    <row r="1577" spans="1:11" ht="15" customHeight="1" x14ac:dyDescent="0.2">
      <c r="A1577" t="s">
        <v>3734</v>
      </c>
      <c r="B1577" t="s">
        <v>3735</v>
      </c>
      <c r="C1577">
        <v>2024</v>
      </c>
      <c r="D1577" s="18">
        <v>45391</v>
      </c>
      <c r="E1577" s="18">
        <v>45755</v>
      </c>
      <c r="F1577" s="18" t="s">
        <v>611</v>
      </c>
      <c r="G1577" t="s">
        <v>100</v>
      </c>
      <c r="H1577">
        <v>1</v>
      </c>
      <c r="I1577">
        <v>1</v>
      </c>
      <c r="J1577" s="27">
        <v>36530.81</v>
      </c>
      <c r="K1577" s="27">
        <v>3000000</v>
      </c>
    </row>
    <row r="1578" spans="1:11" ht="15" customHeight="1" x14ac:dyDescent="0.2">
      <c r="A1578" t="s">
        <v>3736</v>
      </c>
      <c r="B1578" t="s">
        <v>3737</v>
      </c>
      <c r="C1578">
        <v>2024</v>
      </c>
      <c r="D1578" s="18">
        <v>45392</v>
      </c>
      <c r="E1578" s="18">
        <v>45756</v>
      </c>
      <c r="F1578" s="18" t="s">
        <v>608</v>
      </c>
      <c r="G1578" t="s">
        <v>99</v>
      </c>
      <c r="H1578">
        <v>2</v>
      </c>
      <c r="I1578">
        <v>4</v>
      </c>
      <c r="J1578" s="27">
        <v>42907.99</v>
      </c>
      <c r="K1578" s="27">
        <v>5000000</v>
      </c>
    </row>
    <row r="1579" spans="1:11" ht="15" customHeight="1" x14ac:dyDescent="0.2">
      <c r="A1579" t="s">
        <v>3738</v>
      </c>
      <c r="B1579" t="s">
        <v>3739</v>
      </c>
      <c r="C1579">
        <v>2024</v>
      </c>
      <c r="D1579" s="18">
        <v>45392</v>
      </c>
      <c r="E1579" s="18">
        <v>45756</v>
      </c>
      <c r="F1579" s="18" t="s">
        <v>608</v>
      </c>
      <c r="G1579" t="s">
        <v>99</v>
      </c>
      <c r="H1579">
        <v>2</v>
      </c>
      <c r="I1579">
        <v>2</v>
      </c>
      <c r="J1579" s="27">
        <v>84596.36</v>
      </c>
      <c r="K1579" s="27">
        <v>10000000</v>
      </c>
    </row>
    <row r="1580" spans="1:11" ht="15" customHeight="1" x14ac:dyDescent="0.2">
      <c r="A1580" t="s">
        <v>3740</v>
      </c>
      <c r="B1580" t="s">
        <v>3741</v>
      </c>
      <c r="C1580">
        <v>2024</v>
      </c>
      <c r="D1580" s="18">
        <v>45392</v>
      </c>
      <c r="E1580" s="18">
        <v>45756</v>
      </c>
      <c r="F1580" s="18" t="s">
        <v>611</v>
      </c>
      <c r="G1580" t="s">
        <v>100</v>
      </c>
      <c r="H1580">
        <v>3</v>
      </c>
      <c r="I1580">
        <v>3</v>
      </c>
      <c r="J1580" s="27">
        <v>23974.15</v>
      </c>
      <c r="K1580" s="27">
        <v>2000000</v>
      </c>
    </row>
    <row r="1581" spans="1:11" ht="15" customHeight="1" x14ac:dyDescent="0.2">
      <c r="A1581" t="s">
        <v>3742</v>
      </c>
      <c r="B1581" t="s">
        <v>3743</v>
      </c>
      <c r="C1581">
        <v>2024</v>
      </c>
      <c r="D1581" s="18">
        <v>45392</v>
      </c>
      <c r="E1581" s="18">
        <v>45756</v>
      </c>
      <c r="F1581" s="18" t="s">
        <v>611</v>
      </c>
      <c r="G1581" t="s">
        <v>99</v>
      </c>
      <c r="H1581">
        <v>1</v>
      </c>
      <c r="I1581">
        <v>1</v>
      </c>
      <c r="J1581" s="27">
        <v>40547.08</v>
      </c>
      <c r="K1581" s="27">
        <v>5000000</v>
      </c>
    </row>
    <row r="1582" spans="1:11" ht="15" customHeight="1" x14ac:dyDescent="0.2">
      <c r="A1582" t="s">
        <v>3744</v>
      </c>
      <c r="B1582" t="s">
        <v>3745</v>
      </c>
      <c r="C1582">
        <v>2024</v>
      </c>
      <c r="D1582" s="18">
        <v>45392</v>
      </c>
      <c r="E1582" s="18">
        <v>45756</v>
      </c>
      <c r="F1582" s="18" t="s">
        <v>611</v>
      </c>
      <c r="G1582" t="s">
        <v>100</v>
      </c>
      <c r="H1582">
        <v>2</v>
      </c>
      <c r="I1582">
        <v>4</v>
      </c>
      <c r="J1582" s="27">
        <v>46954.52</v>
      </c>
      <c r="K1582" s="27">
        <v>3500000</v>
      </c>
    </row>
    <row r="1583" spans="1:11" ht="15" customHeight="1" x14ac:dyDescent="0.2">
      <c r="A1583" t="s">
        <v>3746</v>
      </c>
      <c r="B1583" t="s">
        <v>3747</v>
      </c>
      <c r="C1583">
        <v>2024</v>
      </c>
      <c r="D1583" s="18">
        <v>45392</v>
      </c>
      <c r="E1583" s="18">
        <v>45756</v>
      </c>
      <c r="F1583" s="18" t="s">
        <v>611</v>
      </c>
      <c r="G1583" t="s">
        <v>100</v>
      </c>
      <c r="H1583">
        <v>1</v>
      </c>
      <c r="I1583">
        <v>1</v>
      </c>
      <c r="J1583" s="27">
        <v>47337.2</v>
      </c>
      <c r="K1583" s="27">
        <v>4000000</v>
      </c>
    </row>
    <row r="1584" spans="1:11" ht="15" customHeight="1" x14ac:dyDescent="0.2">
      <c r="A1584" t="s">
        <v>3748</v>
      </c>
      <c r="B1584" t="s">
        <v>3749</v>
      </c>
      <c r="C1584">
        <v>2024</v>
      </c>
      <c r="D1584" s="18">
        <v>45393</v>
      </c>
      <c r="E1584" s="18">
        <v>45757</v>
      </c>
      <c r="F1584" s="18" t="s">
        <v>611</v>
      </c>
      <c r="G1584" t="s">
        <v>99</v>
      </c>
      <c r="H1584">
        <v>1</v>
      </c>
      <c r="I1584">
        <v>2</v>
      </c>
      <c r="J1584" s="27">
        <v>33986.019999999997</v>
      </c>
      <c r="K1584" s="27">
        <v>4000000</v>
      </c>
    </row>
    <row r="1585" spans="1:11" ht="15" customHeight="1" x14ac:dyDescent="0.2">
      <c r="A1585" t="s">
        <v>3750</v>
      </c>
      <c r="B1585" t="s">
        <v>3751</v>
      </c>
      <c r="C1585">
        <v>2024</v>
      </c>
      <c r="D1585" s="18">
        <v>45393</v>
      </c>
      <c r="E1585" s="18">
        <v>45757</v>
      </c>
      <c r="F1585" s="18" t="s">
        <v>611</v>
      </c>
      <c r="G1585" t="s">
        <v>101</v>
      </c>
      <c r="H1585">
        <v>1</v>
      </c>
      <c r="I1585">
        <v>2</v>
      </c>
      <c r="J1585" s="27">
        <v>84785.05</v>
      </c>
      <c r="K1585" s="27">
        <v>5000000</v>
      </c>
    </row>
    <row r="1586" spans="1:11" ht="15" customHeight="1" x14ac:dyDescent="0.2">
      <c r="A1586" t="s">
        <v>3752</v>
      </c>
      <c r="B1586" t="s">
        <v>3753</v>
      </c>
      <c r="C1586">
        <v>2024</v>
      </c>
      <c r="D1586" s="18">
        <v>45393</v>
      </c>
      <c r="E1586" s="18">
        <v>45757</v>
      </c>
      <c r="F1586" s="18" t="s">
        <v>611</v>
      </c>
      <c r="G1586" t="s">
        <v>99</v>
      </c>
      <c r="H1586">
        <v>1</v>
      </c>
      <c r="I1586">
        <v>1</v>
      </c>
      <c r="J1586" s="27">
        <v>78604.67</v>
      </c>
      <c r="K1586" s="27">
        <v>10000000</v>
      </c>
    </row>
    <row r="1587" spans="1:11" ht="15" customHeight="1" x14ac:dyDescent="0.2">
      <c r="A1587" t="s">
        <v>3754</v>
      </c>
      <c r="B1587" t="s">
        <v>3755</v>
      </c>
      <c r="C1587">
        <v>2024</v>
      </c>
      <c r="D1587" s="18">
        <v>45393</v>
      </c>
      <c r="E1587" s="18">
        <v>45757</v>
      </c>
      <c r="F1587" s="18" t="s">
        <v>611</v>
      </c>
      <c r="G1587" t="s">
        <v>99</v>
      </c>
      <c r="H1587">
        <v>2</v>
      </c>
      <c r="I1587">
        <v>2</v>
      </c>
      <c r="J1587" s="27">
        <v>33736.46</v>
      </c>
      <c r="K1587" s="27">
        <v>4000000</v>
      </c>
    </row>
    <row r="1588" spans="1:11" ht="15" customHeight="1" x14ac:dyDescent="0.2">
      <c r="A1588" t="s">
        <v>3756</v>
      </c>
      <c r="B1588" t="s">
        <v>3757</v>
      </c>
      <c r="C1588">
        <v>2024</v>
      </c>
      <c r="D1588" s="18">
        <v>45393</v>
      </c>
      <c r="E1588" s="18">
        <v>45757</v>
      </c>
      <c r="F1588" s="18" t="s">
        <v>611</v>
      </c>
      <c r="G1588" t="s">
        <v>101</v>
      </c>
      <c r="H1588">
        <v>3</v>
      </c>
      <c r="I1588">
        <v>3</v>
      </c>
      <c r="J1588" s="27">
        <v>56206.6</v>
      </c>
      <c r="K1588" s="27">
        <v>4000000</v>
      </c>
    </row>
    <row r="1589" spans="1:11" ht="15" customHeight="1" x14ac:dyDescent="0.2">
      <c r="A1589" t="s">
        <v>3758</v>
      </c>
      <c r="B1589" t="s">
        <v>3759</v>
      </c>
      <c r="C1589">
        <v>2024</v>
      </c>
      <c r="D1589" s="18">
        <v>45393</v>
      </c>
      <c r="E1589" s="18">
        <v>45757</v>
      </c>
      <c r="F1589" s="18" t="s">
        <v>611</v>
      </c>
      <c r="G1589" t="s">
        <v>99</v>
      </c>
      <c r="H1589">
        <v>3</v>
      </c>
      <c r="I1589">
        <v>6</v>
      </c>
      <c r="J1589" s="27">
        <v>40818.339999999997</v>
      </c>
      <c r="K1589" s="27">
        <v>4500000</v>
      </c>
    </row>
    <row r="1590" spans="1:11" ht="15" customHeight="1" x14ac:dyDescent="0.2">
      <c r="A1590" t="s">
        <v>3760</v>
      </c>
      <c r="B1590" t="s">
        <v>3761</v>
      </c>
      <c r="C1590">
        <v>2024</v>
      </c>
      <c r="D1590" s="18">
        <v>45393</v>
      </c>
      <c r="E1590" s="18">
        <v>45757</v>
      </c>
      <c r="F1590" s="18" t="s">
        <v>611</v>
      </c>
      <c r="G1590" t="s">
        <v>99</v>
      </c>
      <c r="H1590">
        <v>3</v>
      </c>
      <c r="I1590">
        <v>6</v>
      </c>
      <c r="J1590" s="27">
        <v>8310.5</v>
      </c>
      <c r="K1590" s="27">
        <v>1000000</v>
      </c>
    </row>
    <row r="1591" spans="1:11" ht="15" customHeight="1" x14ac:dyDescent="0.2">
      <c r="A1591" t="s">
        <v>3762</v>
      </c>
      <c r="B1591" t="s">
        <v>3763</v>
      </c>
      <c r="C1591">
        <v>2024</v>
      </c>
      <c r="D1591" s="18">
        <v>45393</v>
      </c>
      <c r="E1591" s="18">
        <v>45757</v>
      </c>
      <c r="F1591" s="18" t="s">
        <v>611</v>
      </c>
      <c r="G1591" t="s">
        <v>99</v>
      </c>
      <c r="H1591">
        <v>1</v>
      </c>
      <c r="I1591">
        <v>1</v>
      </c>
      <c r="J1591" s="27">
        <v>16977.93</v>
      </c>
      <c r="K1591" s="27">
        <v>2000000</v>
      </c>
    </row>
    <row r="1592" spans="1:11" ht="15" customHeight="1" x14ac:dyDescent="0.2">
      <c r="A1592" t="s">
        <v>3764</v>
      </c>
      <c r="B1592" t="s">
        <v>3765</v>
      </c>
      <c r="C1592">
        <v>2024</v>
      </c>
      <c r="D1592" s="18">
        <v>45393</v>
      </c>
      <c r="E1592" s="18">
        <v>45757</v>
      </c>
      <c r="F1592" s="18" t="s">
        <v>611</v>
      </c>
      <c r="G1592" t="s">
        <v>100</v>
      </c>
      <c r="H1592">
        <v>2</v>
      </c>
      <c r="I1592">
        <v>2</v>
      </c>
      <c r="J1592" s="27">
        <v>52976.3</v>
      </c>
      <c r="K1592" s="27">
        <v>4500000</v>
      </c>
    </row>
    <row r="1593" spans="1:11" ht="15" customHeight="1" x14ac:dyDescent="0.2">
      <c r="A1593" t="s">
        <v>3766</v>
      </c>
      <c r="B1593" t="s">
        <v>3767</v>
      </c>
      <c r="C1593">
        <v>2024</v>
      </c>
      <c r="D1593" s="18">
        <v>45393</v>
      </c>
      <c r="E1593" s="18">
        <v>45757</v>
      </c>
      <c r="F1593" s="18" t="s">
        <v>611</v>
      </c>
      <c r="G1593" t="s">
        <v>102</v>
      </c>
      <c r="H1593">
        <v>1</v>
      </c>
      <c r="I1593">
        <v>2</v>
      </c>
      <c r="J1593" s="27">
        <v>7967.22</v>
      </c>
      <c r="K1593" s="27">
        <v>1000000</v>
      </c>
    </row>
    <row r="1594" spans="1:11" ht="15" customHeight="1" x14ac:dyDescent="0.2">
      <c r="A1594" t="s">
        <v>3768</v>
      </c>
      <c r="B1594" t="s">
        <v>3769</v>
      </c>
      <c r="C1594">
        <v>2024</v>
      </c>
      <c r="D1594" s="18">
        <v>45393</v>
      </c>
      <c r="E1594" s="18">
        <v>45757</v>
      </c>
      <c r="F1594" s="18" t="s">
        <v>611</v>
      </c>
      <c r="G1594" t="s">
        <v>100</v>
      </c>
      <c r="H1594">
        <v>3</v>
      </c>
      <c r="I1594">
        <v>3</v>
      </c>
      <c r="J1594" s="27">
        <v>120318.67</v>
      </c>
      <c r="K1594" s="27">
        <v>10000000</v>
      </c>
    </row>
    <row r="1595" spans="1:11" ht="15" customHeight="1" x14ac:dyDescent="0.2">
      <c r="A1595" t="s">
        <v>3770</v>
      </c>
      <c r="B1595" t="s">
        <v>3771</v>
      </c>
      <c r="C1595">
        <v>2024</v>
      </c>
      <c r="D1595" s="18">
        <v>45393</v>
      </c>
      <c r="E1595" s="18">
        <v>45757</v>
      </c>
      <c r="F1595" s="18" t="s">
        <v>611</v>
      </c>
      <c r="G1595" t="s">
        <v>101</v>
      </c>
      <c r="H1595">
        <v>3</v>
      </c>
      <c r="I1595">
        <v>3</v>
      </c>
      <c r="J1595" s="27">
        <v>154123.57</v>
      </c>
      <c r="K1595" s="27">
        <v>10000000</v>
      </c>
    </row>
    <row r="1596" spans="1:11" ht="15" customHeight="1" x14ac:dyDescent="0.2">
      <c r="A1596" t="s">
        <v>3772</v>
      </c>
      <c r="B1596" t="s">
        <v>3773</v>
      </c>
      <c r="C1596">
        <v>2024</v>
      </c>
      <c r="D1596" s="18">
        <v>45393</v>
      </c>
      <c r="E1596" s="18">
        <v>45757</v>
      </c>
      <c r="F1596" s="18" t="s">
        <v>611</v>
      </c>
      <c r="G1596" t="s">
        <v>100</v>
      </c>
      <c r="H1596">
        <v>1</v>
      </c>
      <c r="I1596">
        <v>1</v>
      </c>
      <c r="J1596" s="27">
        <v>36985.49</v>
      </c>
      <c r="K1596" s="27">
        <v>3000000</v>
      </c>
    </row>
    <row r="1597" spans="1:11" ht="15" customHeight="1" x14ac:dyDescent="0.2">
      <c r="A1597" t="s">
        <v>3774</v>
      </c>
      <c r="B1597" t="s">
        <v>3775</v>
      </c>
      <c r="C1597">
        <v>2024</v>
      </c>
      <c r="D1597" s="18">
        <v>45394</v>
      </c>
      <c r="E1597" s="18">
        <v>45758</v>
      </c>
      <c r="F1597" s="18" t="s">
        <v>608</v>
      </c>
      <c r="G1597" t="s">
        <v>102</v>
      </c>
      <c r="H1597">
        <v>1</v>
      </c>
      <c r="I1597">
        <v>2</v>
      </c>
      <c r="J1597" s="27">
        <v>34286.9</v>
      </c>
      <c r="K1597" s="27">
        <v>4500000</v>
      </c>
    </row>
    <row r="1598" spans="1:11" ht="15" customHeight="1" x14ac:dyDescent="0.2">
      <c r="A1598" t="s">
        <v>3776</v>
      </c>
      <c r="B1598" t="s">
        <v>3777</v>
      </c>
      <c r="C1598">
        <v>2024</v>
      </c>
      <c r="D1598" s="18">
        <v>45394</v>
      </c>
      <c r="E1598" s="18">
        <v>45758</v>
      </c>
      <c r="F1598" s="18" t="s">
        <v>608</v>
      </c>
      <c r="G1598" t="s">
        <v>100</v>
      </c>
      <c r="H1598">
        <v>1</v>
      </c>
      <c r="I1598">
        <v>2</v>
      </c>
      <c r="J1598" s="27">
        <v>120303.62</v>
      </c>
      <c r="K1598" s="27">
        <v>10000000</v>
      </c>
    </row>
    <row r="1599" spans="1:11" ht="15" customHeight="1" x14ac:dyDescent="0.2">
      <c r="A1599" t="s">
        <v>3778</v>
      </c>
      <c r="B1599" t="s">
        <v>3779</v>
      </c>
      <c r="C1599">
        <v>2024</v>
      </c>
      <c r="D1599" s="18">
        <v>45394</v>
      </c>
      <c r="E1599" s="18">
        <v>45758</v>
      </c>
      <c r="F1599" s="18" t="s">
        <v>611</v>
      </c>
      <c r="G1599" t="s">
        <v>100</v>
      </c>
      <c r="H1599">
        <v>3</v>
      </c>
      <c r="I1599">
        <v>3</v>
      </c>
      <c r="J1599" s="27">
        <v>123646.18</v>
      </c>
      <c r="K1599" s="27">
        <v>10000000</v>
      </c>
    </row>
    <row r="1600" spans="1:11" ht="15" customHeight="1" x14ac:dyDescent="0.2">
      <c r="A1600" t="s">
        <v>3780</v>
      </c>
      <c r="B1600" t="s">
        <v>3781</v>
      </c>
      <c r="C1600">
        <v>2024</v>
      </c>
      <c r="D1600" s="18">
        <v>45394</v>
      </c>
      <c r="E1600" s="18">
        <v>45758</v>
      </c>
      <c r="F1600" s="18" t="s">
        <v>611</v>
      </c>
      <c r="G1600" t="s">
        <v>101</v>
      </c>
      <c r="H1600">
        <v>2</v>
      </c>
      <c r="I1600">
        <v>4</v>
      </c>
      <c r="J1600" s="27">
        <v>36478.370000000003</v>
      </c>
      <c r="K1600" s="27">
        <v>2500000</v>
      </c>
    </row>
    <row r="1601" spans="1:11" ht="15" customHeight="1" x14ac:dyDescent="0.2">
      <c r="A1601" t="s">
        <v>3782</v>
      </c>
      <c r="B1601" t="s">
        <v>3783</v>
      </c>
      <c r="C1601">
        <v>2024</v>
      </c>
      <c r="D1601" s="18">
        <v>45394</v>
      </c>
      <c r="E1601" s="18">
        <v>45758</v>
      </c>
      <c r="F1601" s="18" t="s">
        <v>611</v>
      </c>
      <c r="G1601" t="s">
        <v>100</v>
      </c>
      <c r="H1601">
        <v>2</v>
      </c>
      <c r="I1601">
        <v>2</v>
      </c>
      <c r="J1601" s="27">
        <v>25831.34</v>
      </c>
      <c r="K1601" s="27">
        <v>2000000</v>
      </c>
    </row>
    <row r="1602" spans="1:11" ht="15" customHeight="1" x14ac:dyDescent="0.2">
      <c r="A1602" t="s">
        <v>3784</v>
      </c>
      <c r="B1602" t="s">
        <v>3785</v>
      </c>
      <c r="C1602">
        <v>2024</v>
      </c>
      <c r="D1602" s="18">
        <v>45394</v>
      </c>
      <c r="E1602" s="18">
        <v>45758</v>
      </c>
      <c r="F1602" s="18" t="s">
        <v>611</v>
      </c>
      <c r="G1602" t="s">
        <v>100</v>
      </c>
      <c r="H1602">
        <v>1</v>
      </c>
      <c r="I1602">
        <v>2</v>
      </c>
      <c r="J1602" s="27">
        <v>19358.71</v>
      </c>
      <c r="K1602" s="27">
        <v>1500000</v>
      </c>
    </row>
    <row r="1603" spans="1:11" ht="15" customHeight="1" x14ac:dyDescent="0.2">
      <c r="A1603" t="s">
        <v>3786</v>
      </c>
      <c r="B1603" t="s">
        <v>3787</v>
      </c>
      <c r="C1603">
        <v>2024</v>
      </c>
      <c r="D1603" s="18">
        <v>45394</v>
      </c>
      <c r="E1603" s="18">
        <v>45758</v>
      </c>
      <c r="F1603" s="18" t="s">
        <v>611</v>
      </c>
      <c r="G1603" t="s">
        <v>101</v>
      </c>
      <c r="H1603">
        <v>3</v>
      </c>
      <c r="I1603">
        <v>3</v>
      </c>
      <c r="J1603" s="27">
        <v>37007.910000000003</v>
      </c>
      <c r="K1603" s="27">
        <v>2500000</v>
      </c>
    </row>
    <row r="1604" spans="1:11" ht="15" customHeight="1" x14ac:dyDescent="0.2">
      <c r="A1604" t="s">
        <v>3788</v>
      </c>
      <c r="B1604" t="s">
        <v>3789</v>
      </c>
      <c r="C1604">
        <v>2024</v>
      </c>
      <c r="D1604" s="18">
        <v>45395</v>
      </c>
      <c r="E1604" s="18">
        <v>45759</v>
      </c>
      <c r="F1604" s="18" t="s">
        <v>608</v>
      </c>
      <c r="G1604" t="s">
        <v>100</v>
      </c>
      <c r="H1604">
        <v>3</v>
      </c>
      <c r="I1604">
        <v>3</v>
      </c>
      <c r="J1604" s="27">
        <v>18413.080000000002</v>
      </c>
      <c r="K1604" s="27">
        <v>1500000</v>
      </c>
    </row>
    <row r="1605" spans="1:11" ht="15" customHeight="1" x14ac:dyDescent="0.2">
      <c r="A1605" t="s">
        <v>3790</v>
      </c>
      <c r="B1605" t="s">
        <v>3791</v>
      </c>
      <c r="C1605">
        <v>2024</v>
      </c>
      <c r="D1605" s="18">
        <v>45395</v>
      </c>
      <c r="E1605" s="18">
        <v>45759</v>
      </c>
      <c r="F1605" s="18" t="s">
        <v>611</v>
      </c>
      <c r="G1605" t="s">
        <v>99</v>
      </c>
      <c r="H1605">
        <v>3</v>
      </c>
      <c r="I1605">
        <v>3</v>
      </c>
      <c r="J1605" s="27">
        <v>7661.98</v>
      </c>
      <c r="K1605" s="27">
        <v>1000000</v>
      </c>
    </row>
    <row r="1606" spans="1:11" ht="15" customHeight="1" x14ac:dyDescent="0.2">
      <c r="A1606" t="s">
        <v>3792</v>
      </c>
      <c r="B1606" t="s">
        <v>3793</v>
      </c>
      <c r="C1606">
        <v>2024</v>
      </c>
      <c r="D1606" s="18">
        <v>45395</v>
      </c>
      <c r="E1606" s="18">
        <v>45759</v>
      </c>
      <c r="F1606" s="18" t="s">
        <v>611</v>
      </c>
      <c r="G1606" t="s">
        <v>102</v>
      </c>
      <c r="H1606">
        <v>3</v>
      </c>
      <c r="I1606">
        <v>6</v>
      </c>
      <c r="J1606" s="27">
        <v>14343.66</v>
      </c>
      <c r="K1606" s="27">
        <v>2000000</v>
      </c>
    </row>
    <row r="1607" spans="1:11" ht="15" customHeight="1" x14ac:dyDescent="0.2">
      <c r="A1607" t="s">
        <v>3794</v>
      </c>
      <c r="B1607" t="s">
        <v>3795</v>
      </c>
      <c r="C1607">
        <v>2024</v>
      </c>
      <c r="D1607" s="18">
        <v>45395</v>
      </c>
      <c r="E1607" s="18">
        <v>45759</v>
      </c>
      <c r="F1607" s="18" t="s">
        <v>611</v>
      </c>
      <c r="G1607" t="s">
        <v>101</v>
      </c>
      <c r="H1607">
        <v>2</v>
      </c>
      <c r="I1607">
        <v>4</v>
      </c>
      <c r="J1607" s="27">
        <v>161566.64000000001</v>
      </c>
      <c r="K1607" s="27">
        <v>10000000</v>
      </c>
    </row>
    <row r="1608" spans="1:11" ht="15" customHeight="1" x14ac:dyDescent="0.2">
      <c r="A1608" t="s">
        <v>3796</v>
      </c>
      <c r="B1608" t="s">
        <v>3797</v>
      </c>
      <c r="C1608">
        <v>2024</v>
      </c>
      <c r="D1608" s="18">
        <v>45395</v>
      </c>
      <c r="E1608" s="18">
        <v>45759</v>
      </c>
      <c r="F1608" s="18" t="s">
        <v>611</v>
      </c>
      <c r="G1608" t="s">
        <v>102</v>
      </c>
      <c r="H1608">
        <v>1</v>
      </c>
      <c r="I1608">
        <v>1</v>
      </c>
      <c r="J1608" s="27">
        <v>36708.49</v>
      </c>
      <c r="K1608" s="27">
        <v>5000000</v>
      </c>
    </row>
    <row r="1609" spans="1:11" ht="15" customHeight="1" x14ac:dyDescent="0.2">
      <c r="A1609" t="s">
        <v>3798</v>
      </c>
      <c r="B1609" t="s">
        <v>3799</v>
      </c>
      <c r="C1609">
        <v>2024</v>
      </c>
      <c r="D1609" s="18">
        <v>45395</v>
      </c>
      <c r="E1609" s="18">
        <v>45759</v>
      </c>
      <c r="F1609" s="18" t="s">
        <v>611</v>
      </c>
      <c r="G1609" t="s">
        <v>100</v>
      </c>
      <c r="H1609">
        <v>2</v>
      </c>
      <c r="I1609">
        <v>2</v>
      </c>
      <c r="J1609" s="27">
        <v>24831.599999999999</v>
      </c>
      <c r="K1609" s="27">
        <v>2000000</v>
      </c>
    </row>
    <row r="1610" spans="1:11" ht="15" customHeight="1" x14ac:dyDescent="0.2">
      <c r="A1610" t="s">
        <v>3800</v>
      </c>
      <c r="B1610" t="s">
        <v>3801</v>
      </c>
      <c r="C1610">
        <v>2024</v>
      </c>
      <c r="D1610" s="18">
        <v>45395</v>
      </c>
      <c r="E1610" s="18">
        <v>45759</v>
      </c>
      <c r="F1610" s="18" t="s">
        <v>611</v>
      </c>
      <c r="G1610" t="s">
        <v>99</v>
      </c>
      <c r="H1610">
        <v>1</v>
      </c>
      <c r="I1610">
        <v>1</v>
      </c>
      <c r="J1610" s="27">
        <v>3912.46</v>
      </c>
      <c r="K1610" s="27">
        <v>500000</v>
      </c>
    </row>
    <row r="1611" spans="1:11" ht="15" customHeight="1" x14ac:dyDescent="0.2">
      <c r="A1611" t="s">
        <v>3802</v>
      </c>
      <c r="B1611" t="s">
        <v>3803</v>
      </c>
      <c r="C1611">
        <v>2024</v>
      </c>
      <c r="D1611" s="18">
        <v>45396</v>
      </c>
      <c r="E1611" s="18">
        <v>45760</v>
      </c>
      <c r="F1611" s="18" t="s">
        <v>608</v>
      </c>
      <c r="G1611" t="s">
        <v>100</v>
      </c>
      <c r="H1611">
        <v>2</v>
      </c>
      <c r="I1611">
        <v>2</v>
      </c>
      <c r="J1611" s="27">
        <v>5867.53</v>
      </c>
      <c r="K1611" s="27">
        <v>500000</v>
      </c>
    </row>
    <row r="1612" spans="1:11" ht="15" customHeight="1" x14ac:dyDescent="0.2">
      <c r="A1612" t="s">
        <v>3804</v>
      </c>
      <c r="B1612" t="s">
        <v>3805</v>
      </c>
      <c r="C1612">
        <v>2024</v>
      </c>
      <c r="D1612" s="18">
        <v>45396</v>
      </c>
      <c r="E1612" s="18">
        <v>45760</v>
      </c>
      <c r="F1612" s="18" t="s">
        <v>611</v>
      </c>
      <c r="G1612" t="s">
        <v>101</v>
      </c>
      <c r="H1612">
        <v>1</v>
      </c>
      <c r="I1612">
        <v>2</v>
      </c>
      <c r="J1612" s="27">
        <v>28861.58</v>
      </c>
      <c r="K1612" s="27">
        <v>2000000</v>
      </c>
    </row>
    <row r="1613" spans="1:11" ht="15" customHeight="1" x14ac:dyDescent="0.2">
      <c r="A1613" t="s">
        <v>3806</v>
      </c>
      <c r="B1613" t="s">
        <v>3807</v>
      </c>
      <c r="C1613">
        <v>2024</v>
      </c>
      <c r="D1613" s="18">
        <v>45396</v>
      </c>
      <c r="E1613" s="18">
        <v>45760</v>
      </c>
      <c r="F1613" s="18" t="s">
        <v>611</v>
      </c>
      <c r="G1613" t="s">
        <v>101</v>
      </c>
      <c r="H1613">
        <v>3</v>
      </c>
      <c r="I1613">
        <v>6</v>
      </c>
      <c r="J1613" s="27">
        <v>66539.600000000006</v>
      </c>
      <c r="K1613" s="27">
        <v>4500000</v>
      </c>
    </row>
    <row r="1614" spans="1:11" ht="15" customHeight="1" x14ac:dyDescent="0.2">
      <c r="A1614" t="s">
        <v>3808</v>
      </c>
      <c r="B1614" t="s">
        <v>3809</v>
      </c>
      <c r="C1614">
        <v>2024</v>
      </c>
      <c r="D1614" s="18">
        <v>45396</v>
      </c>
      <c r="E1614" s="18">
        <v>45760</v>
      </c>
      <c r="F1614" s="18" t="s">
        <v>611</v>
      </c>
      <c r="G1614" t="s">
        <v>99</v>
      </c>
      <c r="H1614">
        <v>2</v>
      </c>
      <c r="I1614">
        <v>4</v>
      </c>
      <c r="J1614" s="27">
        <v>19437.46</v>
      </c>
      <c r="K1614" s="27">
        <v>2500000</v>
      </c>
    </row>
    <row r="1615" spans="1:11" ht="15" customHeight="1" x14ac:dyDescent="0.2">
      <c r="A1615" t="s">
        <v>3810</v>
      </c>
      <c r="B1615" t="s">
        <v>3811</v>
      </c>
      <c r="C1615">
        <v>2024</v>
      </c>
      <c r="D1615" s="18">
        <v>45397</v>
      </c>
      <c r="E1615" s="18">
        <v>45761</v>
      </c>
      <c r="F1615" s="18" t="s">
        <v>608</v>
      </c>
      <c r="G1615" t="s">
        <v>100</v>
      </c>
      <c r="H1615">
        <v>1</v>
      </c>
      <c r="I1615">
        <v>1</v>
      </c>
      <c r="J1615" s="27">
        <v>45027.75</v>
      </c>
      <c r="K1615" s="27">
        <v>4000000</v>
      </c>
    </row>
    <row r="1616" spans="1:11" ht="15" customHeight="1" x14ac:dyDescent="0.2">
      <c r="A1616" t="s">
        <v>3812</v>
      </c>
      <c r="B1616" t="s">
        <v>3813</v>
      </c>
      <c r="C1616">
        <v>2024</v>
      </c>
      <c r="D1616" s="18">
        <v>45397</v>
      </c>
      <c r="E1616" s="18">
        <v>45761</v>
      </c>
      <c r="F1616" s="18" t="s">
        <v>608</v>
      </c>
      <c r="G1616" t="s">
        <v>99</v>
      </c>
      <c r="H1616">
        <v>2</v>
      </c>
      <c r="I1616">
        <v>4</v>
      </c>
      <c r="J1616" s="27">
        <v>79243.509999999995</v>
      </c>
      <c r="K1616" s="27">
        <v>10000000</v>
      </c>
    </row>
    <row r="1617" spans="1:11" ht="15" customHeight="1" x14ac:dyDescent="0.2">
      <c r="A1617" t="s">
        <v>3814</v>
      </c>
      <c r="B1617" t="s">
        <v>3815</v>
      </c>
      <c r="C1617">
        <v>2024</v>
      </c>
      <c r="D1617" s="18">
        <v>45397</v>
      </c>
      <c r="E1617" s="18">
        <v>45761</v>
      </c>
      <c r="F1617" s="18" t="s">
        <v>611</v>
      </c>
      <c r="G1617" t="s">
        <v>101</v>
      </c>
      <c r="H1617">
        <v>1</v>
      </c>
      <c r="I1617">
        <v>1</v>
      </c>
      <c r="J1617" s="27">
        <v>32181.11</v>
      </c>
      <c r="K1617" s="27">
        <v>2000000</v>
      </c>
    </row>
    <row r="1618" spans="1:11" ht="15" customHeight="1" x14ac:dyDescent="0.2">
      <c r="A1618" t="s">
        <v>3816</v>
      </c>
      <c r="B1618" t="s">
        <v>3817</v>
      </c>
      <c r="C1618">
        <v>2024</v>
      </c>
      <c r="D1618" s="18">
        <v>45397</v>
      </c>
      <c r="E1618" s="18">
        <v>45761</v>
      </c>
      <c r="F1618" s="18" t="s">
        <v>611</v>
      </c>
      <c r="G1618" t="s">
        <v>101</v>
      </c>
      <c r="H1618">
        <v>2</v>
      </c>
      <c r="I1618">
        <v>4</v>
      </c>
      <c r="J1618" s="27">
        <v>35095.879999999997</v>
      </c>
      <c r="K1618" s="27">
        <v>2500000</v>
      </c>
    </row>
    <row r="1619" spans="1:11" ht="15" customHeight="1" x14ac:dyDescent="0.2">
      <c r="A1619" t="s">
        <v>3818</v>
      </c>
      <c r="B1619" t="s">
        <v>3819</v>
      </c>
      <c r="C1619">
        <v>2024</v>
      </c>
      <c r="D1619" s="18">
        <v>45397</v>
      </c>
      <c r="E1619" s="18">
        <v>45761</v>
      </c>
      <c r="F1619" s="18" t="s">
        <v>611</v>
      </c>
      <c r="G1619" t="s">
        <v>100</v>
      </c>
      <c r="H1619">
        <v>1</v>
      </c>
      <c r="I1619">
        <v>2</v>
      </c>
      <c r="J1619" s="27">
        <v>60458.2</v>
      </c>
      <c r="K1619" s="27">
        <v>5000000</v>
      </c>
    </row>
    <row r="1620" spans="1:11" ht="15" customHeight="1" x14ac:dyDescent="0.2">
      <c r="A1620" t="s">
        <v>3820</v>
      </c>
      <c r="B1620" t="s">
        <v>3821</v>
      </c>
      <c r="C1620">
        <v>2024</v>
      </c>
      <c r="D1620" s="18">
        <v>45398</v>
      </c>
      <c r="E1620" s="18">
        <v>45762</v>
      </c>
      <c r="F1620" s="18" t="s">
        <v>608</v>
      </c>
      <c r="G1620" t="s">
        <v>101</v>
      </c>
      <c r="H1620">
        <v>1</v>
      </c>
      <c r="I1620">
        <v>1</v>
      </c>
      <c r="J1620" s="27">
        <v>67919.81</v>
      </c>
      <c r="K1620" s="27">
        <v>4500000</v>
      </c>
    </row>
    <row r="1621" spans="1:11" ht="15" customHeight="1" x14ac:dyDescent="0.2">
      <c r="A1621" t="s">
        <v>3822</v>
      </c>
      <c r="B1621" t="s">
        <v>3823</v>
      </c>
      <c r="C1621">
        <v>2024</v>
      </c>
      <c r="D1621" s="18">
        <v>45398</v>
      </c>
      <c r="E1621" s="18">
        <v>45762</v>
      </c>
      <c r="F1621" s="18" t="s">
        <v>608</v>
      </c>
      <c r="G1621" t="s">
        <v>101</v>
      </c>
      <c r="H1621">
        <v>3</v>
      </c>
      <c r="I1621">
        <v>6</v>
      </c>
      <c r="J1621" s="27">
        <v>69384.759999999995</v>
      </c>
      <c r="K1621" s="27">
        <v>4500000</v>
      </c>
    </row>
    <row r="1622" spans="1:11" ht="15" customHeight="1" x14ac:dyDescent="0.2">
      <c r="A1622" t="s">
        <v>3824</v>
      </c>
      <c r="B1622" t="s">
        <v>3825</v>
      </c>
      <c r="C1622">
        <v>2024</v>
      </c>
      <c r="D1622" s="18">
        <v>45398</v>
      </c>
      <c r="E1622" s="18">
        <v>45762</v>
      </c>
      <c r="F1622" s="18" t="s">
        <v>611</v>
      </c>
      <c r="G1622" t="s">
        <v>101</v>
      </c>
      <c r="H1622">
        <v>1</v>
      </c>
      <c r="I1622">
        <v>1</v>
      </c>
      <c r="J1622" s="27">
        <v>80401.08</v>
      </c>
      <c r="K1622" s="27">
        <v>5000000</v>
      </c>
    </row>
    <row r="1623" spans="1:11" ht="15" customHeight="1" x14ac:dyDescent="0.2">
      <c r="A1623" t="s">
        <v>3826</v>
      </c>
      <c r="B1623" t="s">
        <v>3827</v>
      </c>
      <c r="C1623">
        <v>2024</v>
      </c>
      <c r="D1623" s="18">
        <v>45398</v>
      </c>
      <c r="E1623" s="18">
        <v>45762</v>
      </c>
      <c r="F1623" s="18" t="s">
        <v>611</v>
      </c>
      <c r="G1623" t="s">
        <v>99</v>
      </c>
      <c r="H1623">
        <v>2</v>
      </c>
      <c r="I1623">
        <v>2</v>
      </c>
      <c r="J1623" s="27">
        <v>85670.54</v>
      </c>
      <c r="K1623" s="27">
        <v>10000000</v>
      </c>
    </row>
    <row r="1624" spans="1:11" ht="15" customHeight="1" x14ac:dyDescent="0.2">
      <c r="A1624" t="s">
        <v>3828</v>
      </c>
      <c r="B1624" t="s">
        <v>3829</v>
      </c>
      <c r="C1624">
        <v>2024</v>
      </c>
      <c r="D1624" s="18">
        <v>45398</v>
      </c>
      <c r="E1624" s="18">
        <v>45762</v>
      </c>
      <c r="F1624" s="18" t="s">
        <v>611</v>
      </c>
      <c r="G1624" t="s">
        <v>100</v>
      </c>
      <c r="H1624">
        <v>1</v>
      </c>
      <c r="I1624">
        <v>1</v>
      </c>
      <c r="J1624" s="27">
        <v>113338.38</v>
      </c>
      <c r="K1624" s="27">
        <v>10000000</v>
      </c>
    </row>
    <row r="1625" spans="1:11" ht="15" customHeight="1" x14ac:dyDescent="0.2">
      <c r="A1625" t="s">
        <v>3830</v>
      </c>
      <c r="B1625" t="s">
        <v>3831</v>
      </c>
      <c r="C1625">
        <v>2024</v>
      </c>
      <c r="D1625" s="18">
        <v>45398</v>
      </c>
      <c r="E1625" s="18">
        <v>45762</v>
      </c>
      <c r="F1625" s="18" t="s">
        <v>611</v>
      </c>
      <c r="G1625" t="s">
        <v>100</v>
      </c>
      <c r="H1625">
        <v>1</v>
      </c>
      <c r="I1625">
        <v>2</v>
      </c>
      <c r="J1625" s="27">
        <v>17711.48</v>
      </c>
      <c r="K1625" s="27">
        <v>1500000</v>
      </c>
    </row>
    <row r="1626" spans="1:11" ht="15" customHeight="1" x14ac:dyDescent="0.2">
      <c r="A1626" t="s">
        <v>3832</v>
      </c>
      <c r="B1626" t="s">
        <v>3833</v>
      </c>
      <c r="C1626">
        <v>2024</v>
      </c>
      <c r="D1626" s="18">
        <v>45398</v>
      </c>
      <c r="E1626" s="18">
        <v>45762</v>
      </c>
      <c r="F1626" s="18" t="s">
        <v>611</v>
      </c>
      <c r="G1626" t="s">
        <v>99</v>
      </c>
      <c r="H1626">
        <v>1</v>
      </c>
      <c r="I1626">
        <v>1</v>
      </c>
      <c r="J1626" s="27">
        <v>20219.11</v>
      </c>
      <c r="K1626" s="27">
        <v>2500000</v>
      </c>
    </row>
    <row r="1627" spans="1:11" ht="15" customHeight="1" x14ac:dyDescent="0.2">
      <c r="A1627" t="s">
        <v>3834</v>
      </c>
      <c r="B1627" t="s">
        <v>3835</v>
      </c>
      <c r="C1627">
        <v>2024</v>
      </c>
      <c r="D1627" s="18">
        <v>45398</v>
      </c>
      <c r="E1627" s="18">
        <v>45762</v>
      </c>
      <c r="F1627" s="18" t="s">
        <v>611</v>
      </c>
      <c r="G1627" t="s">
        <v>101</v>
      </c>
      <c r="H1627">
        <v>1</v>
      </c>
      <c r="I1627">
        <v>2</v>
      </c>
      <c r="J1627" s="27">
        <v>37896.089999999997</v>
      </c>
      <c r="K1627" s="27">
        <v>2500000</v>
      </c>
    </row>
    <row r="1628" spans="1:11" ht="15" customHeight="1" x14ac:dyDescent="0.2">
      <c r="A1628" t="s">
        <v>3836</v>
      </c>
      <c r="B1628" t="s">
        <v>3837</v>
      </c>
      <c r="C1628">
        <v>2024</v>
      </c>
      <c r="D1628" s="18">
        <v>45398</v>
      </c>
      <c r="E1628" s="18">
        <v>45762</v>
      </c>
      <c r="F1628" s="18" t="s">
        <v>611</v>
      </c>
      <c r="G1628" t="s">
        <v>99</v>
      </c>
      <c r="H1628">
        <v>1</v>
      </c>
      <c r="I1628">
        <v>2</v>
      </c>
      <c r="J1628" s="27">
        <v>23784.240000000002</v>
      </c>
      <c r="K1628" s="27">
        <v>3000000</v>
      </c>
    </row>
    <row r="1629" spans="1:11" ht="15" customHeight="1" x14ac:dyDescent="0.2">
      <c r="A1629" t="s">
        <v>3838</v>
      </c>
      <c r="B1629" t="s">
        <v>3839</v>
      </c>
      <c r="C1629">
        <v>2024</v>
      </c>
      <c r="D1629" s="18">
        <v>45399</v>
      </c>
      <c r="E1629" s="18">
        <v>45763</v>
      </c>
      <c r="F1629" s="18" t="s">
        <v>608</v>
      </c>
      <c r="G1629" t="s">
        <v>101</v>
      </c>
      <c r="H1629">
        <v>1</v>
      </c>
      <c r="I1629">
        <v>1</v>
      </c>
      <c r="J1629" s="27">
        <v>7187.26</v>
      </c>
      <c r="K1629" s="27">
        <v>500000</v>
      </c>
    </row>
    <row r="1630" spans="1:11" ht="15" customHeight="1" x14ac:dyDescent="0.2">
      <c r="A1630" t="s">
        <v>3840</v>
      </c>
      <c r="B1630" t="s">
        <v>3841</v>
      </c>
      <c r="C1630">
        <v>2024</v>
      </c>
      <c r="D1630" s="18">
        <v>45399</v>
      </c>
      <c r="E1630" s="18">
        <v>45763</v>
      </c>
      <c r="F1630" s="18" t="s">
        <v>611</v>
      </c>
      <c r="G1630" t="s">
        <v>101</v>
      </c>
      <c r="H1630">
        <v>3</v>
      </c>
      <c r="I1630">
        <v>3</v>
      </c>
      <c r="J1630" s="27">
        <v>7669.38</v>
      </c>
      <c r="K1630" s="27">
        <v>500000</v>
      </c>
    </row>
    <row r="1631" spans="1:11" ht="15" customHeight="1" x14ac:dyDescent="0.2">
      <c r="A1631" t="s">
        <v>3842</v>
      </c>
      <c r="B1631" t="s">
        <v>3843</v>
      </c>
      <c r="C1631">
        <v>2024</v>
      </c>
      <c r="D1631" s="18">
        <v>45399</v>
      </c>
      <c r="E1631" s="18">
        <v>45763</v>
      </c>
      <c r="F1631" s="18" t="s">
        <v>611</v>
      </c>
      <c r="G1631" t="s">
        <v>101</v>
      </c>
      <c r="H1631">
        <v>2</v>
      </c>
      <c r="I1631">
        <v>4</v>
      </c>
      <c r="J1631" s="27">
        <v>32532.78</v>
      </c>
      <c r="K1631" s="27">
        <v>2000000</v>
      </c>
    </row>
    <row r="1632" spans="1:11" ht="15" customHeight="1" x14ac:dyDescent="0.2">
      <c r="A1632" t="s">
        <v>3844</v>
      </c>
      <c r="B1632" t="s">
        <v>3845</v>
      </c>
      <c r="C1632">
        <v>2024</v>
      </c>
      <c r="D1632" s="18">
        <v>45399</v>
      </c>
      <c r="E1632" s="18">
        <v>45763</v>
      </c>
      <c r="F1632" s="18" t="s">
        <v>611</v>
      </c>
      <c r="G1632" t="s">
        <v>101</v>
      </c>
      <c r="H1632">
        <v>2</v>
      </c>
      <c r="I1632">
        <v>4</v>
      </c>
      <c r="J1632" s="27">
        <v>32244.07</v>
      </c>
      <c r="K1632" s="27">
        <v>2000000</v>
      </c>
    </row>
    <row r="1633" spans="1:11" ht="15" customHeight="1" x14ac:dyDescent="0.2">
      <c r="A1633" t="s">
        <v>3846</v>
      </c>
      <c r="B1633" t="s">
        <v>3847</v>
      </c>
      <c r="C1633">
        <v>2024</v>
      </c>
      <c r="D1633" s="18">
        <v>45399</v>
      </c>
      <c r="E1633" s="18">
        <v>45763</v>
      </c>
      <c r="F1633" s="18" t="s">
        <v>611</v>
      </c>
      <c r="G1633" t="s">
        <v>99</v>
      </c>
      <c r="H1633">
        <v>3</v>
      </c>
      <c r="I1633">
        <v>3</v>
      </c>
      <c r="J1633" s="27">
        <v>16559.13</v>
      </c>
      <c r="K1633" s="27">
        <v>2000000</v>
      </c>
    </row>
    <row r="1634" spans="1:11" ht="15" customHeight="1" x14ac:dyDescent="0.2">
      <c r="A1634" t="s">
        <v>3848</v>
      </c>
      <c r="B1634" t="s">
        <v>3849</v>
      </c>
      <c r="C1634">
        <v>2024</v>
      </c>
      <c r="D1634" s="18">
        <v>45399</v>
      </c>
      <c r="E1634" s="18">
        <v>45763</v>
      </c>
      <c r="F1634" s="18" t="s">
        <v>611</v>
      </c>
      <c r="G1634" t="s">
        <v>100</v>
      </c>
      <c r="H1634">
        <v>1</v>
      </c>
      <c r="I1634">
        <v>1</v>
      </c>
      <c r="J1634" s="27">
        <v>123842.42</v>
      </c>
      <c r="K1634" s="27">
        <v>10000000</v>
      </c>
    </row>
    <row r="1635" spans="1:11" ht="15" customHeight="1" x14ac:dyDescent="0.2">
      <c r="A1635" t="s">
        <v>3850</v>
      </c>
      <c r="B1635" t="s">
        <v>3851</v>
      </c>
      <c r="C1635">
        <v>2024</v>
      </c>
      <c r="D1635" s="18">
        <v>45399</v>
      </c>
      <c r="E1635" s="18">
        <v>45763</v>
      </c>
      <c r="F1635" s="18" t="s">
        <v>611</v>
      </c>
      <c r="G1635" t="s">
        <v>100</v>
      </c>
      <c r="H1635">
        <v>1</v>
      </c>
      <c r="I1635">
        <v>2</v>
      </c>
      <c r="J1635" s="27">
        <v>23765.16</v>
      </c>
      <c r="K1635" s="27">
        <v>2000000</v>
      </c>
    </row>
    <row r="1636" spans="1:11" ht="15" customHeight="1" x14ac:dyDescent="0.2">
      <c r="A1636" t="s">
        <v>3852</v>
      </c>
      <c r="B1636" t="s">
        <v>3853</v>
      </c>
      <c r="C1636">
        <v>2024</v>
      </c>
      <c r="D1636" s="18">
        <v>45399</v>
      </c>
      <c r="E1636" s="18">
        <v>45763</v>
      </c>
      <c r="F1636" s="18" t="s">
        <v>611</v>
      </c>
      <c r="G1636" t="s">
        <v>99</v>
      </c>
      <c r="H1636">
        <v>1</v>
      </c>
      <c r="I1636">
        <v>1</v>
      </c>
      <c r="J1636" s="27">
        <v>30447.88</v>
      </c>
      <c r="K1636" s="27">
        <v>3500000</v>
      </c>
    </row>
    <row r="1637" spans="1:11" ht="15" customHeight="1" x14ac:dyDescent="0.2">
      <c r="A1637" t="s">
        <v>3854</v>
      </c>
      <c r="B1637" t="s">
        <v>3855</v>
      </c>
      <c r="C1637">
        <v>2024</v>
      </c>
      <c r="D1637" s="18">
        <v>45399</v>
      </c>
      <c r="E1637" s="18">
        <v>45763</v>
      </c>
      <c r="F1637" s="18" t="s">
        <v>611</v>
      </c>
      <c r="G1637" t="s">
        <v>102</v>
      </c>
      <c r="H1637">
        <v>3</v>
      </c>
      <c r="I1637">
        <v>3</v>
      </c>
      <c r="J1637" s="27">
        <v>29161.59</v>
      </c>
      <c r="K1637" s="27">
        <v>4000000</v>
      </c>
    </row>
    <row r="1638" spans="1:11" ht="15" customHeight="1" x14ac:dyDescent="0.2">
      <c r="A1638" t="s">
        <v>3856</v>
      </c>
      <c r="B1638" t="s">
        <v>3857</v>
      </c>
      <c r="C1638">
        <v>2024</v>
      </c>
      <c r="D1638" s="18">
        <v>45399</v>
      </c>
      <c r="E1638" s="18">
        <v>45763</v>
      </c>
      <c r="F1638" s="18" t="s">
        <v>611</v>
      </c>
      <c r="G1638" t="s">
        <v>99</v>
      </c>
      <c r="H1638">
        <v>3</v>
      </c>
      <c r="I1638">
        <v>6</v>
      </c>
      <c r="J1638" s="27">
        <v>17352.88</v>
      </c>
      <c r="K1638" s="27">
        <v>2000000</v>
      </c>
    </row>
    <row r="1639" spans="1:11" ht="15" customHeight="1" x14ac:dyDescent="0.2">
      <c r="A1639" t="s">
        <v>3858</v>
      </c>
      <c r="B1639" t="s">
        <v>3859</v>
      </c>
      <c r="C1639">
        <v>2024</v>
      </c>
      <c r="D1639" s="18">
        <v>45399</v>
      </c>
      <c r="E1639" s="18">
        <v>45763</v>
      </c>
      <c r="F1639" s="18" t="s">
        <v>611</v>
      </c>
      <c r="G1639" t="s">
        <v>101</v>
      </c>
      <c r="H1639">
        <v>1</v>
      </c>
      <c r="I1639">
        <v>1</v>
      </c>
      <c r="J1639" s="27">
        <v>167521.44</v>
      </c>
      <c r="K1639" s="27">
        <v>10000000</v>
      </c>
    </row>
    <row r="1640" spans="1:11" ht="15" customHeight="1" x14ac:dyDescent="0.2">
      <c r="A1640" t="s">
        <v>3860</v>
      </c>
      <c r="B1640" t="s">
        <v>3861</v>
      </c>
      <c r="C1640">
        <v>2024</v>
      </c>
      <c r="D1640" s="18">
        <v>45400</v>
      </c>
      <c r="E1640" s="18">
        <v>45764</v>
      </c>
      <c r="F1640" s="18" t="s">
        <v>608</v>
      </c>
      <c r="G1640" t="s">
        <v>101</v>
      </c>
      <c r="H1640">
        <v>1</v>
      </c>
      <c r="I1640">
        <v>2</v>
      </c>
      <c r="J1640" s="27">
        <v>145673.75</v>
      </c>
      <c r="K1640" s="27">
        <v>10000000</v>
      </c>
    </row>
    <row r="1641" spans="1:11" ht="15" customHeight="1" x14ac:dyDescent="0.2">
      <c r="A1641" t="s">
        <v>3862</v>
      </c>
      <c r="B1641" t="s">
        <v>3863</v>
      </c>
      <c r="C1641">
        <v>2024</v>
      </c>
      <c r="D1641" s="18">
        <v>45400</v>
      </c>
      <c r="E1641" s="18">
        <v>45764</v>
      </c>
      <c r="F1641" s="18" t="s">
        <v>611</v>
      </c>
      <c r="G1641" t="s">
        <v>99</v>
      </c>
      <c r="H1641">
        <v>1</v>
      </c>
      <c r="I1641">
        <v>1</v>
      </c>
      <c r="J1641" s="27">
        <v>78033.37</v>
      </c>
      <c r="K1641" s="27">
        <v>10000000</v>
      </c>
    </row>
    <row r="1642" spans="1:11" ht="15" customHeight="1" x14ac:dyDescent="0.2">
      <c r="A1642" t="s">
        <v>3864</v>
      </c>
      <c r="B1642" t="s">
        <v>3865</v>
      </c>
      <c r="C1642">
        <v>2024</v>
      </c>
      <c r="D1642" s="18">
        <v>45400</v>
      </c>
      <c r="E1642" s="18">
        <v>45764</v>
      </c>
      <c r="F1642" s="18" t="s">
        <v>611</v>
      </c>
      <c r="G1642" t="s">
        <v>99</v>
      </c>
      <c r="H1642">
        <v>2</v>
      </c>
      <c r="I1642">
        <v>4</v>
      </c>
      <c r="J1642" s="27">
        <v>33720.44</v>
      </c>
      <c r="K1642" s="27">
        <v>4000000</v>
      </c>
    </row>
    <row r="1643" spans="1:11" ht="15" customHeight="1" x14ac:dyDescent="0.2">
      <c r="A1643" t="s">
        <v>3866</v>
      </c>
      <c r="B1643" t="s">
        <v>3867</v>
      </c>
      <c r="C1643">
        <v>2024</v>
      </c>
      <c r="D1643" s="18">
        <v>45400</v>
      </c>
      <c r="E1643" s="18">
        <v>45764</v>
      </c>
      <c r="F1643" s="18" t="s">
        <v>611</v>
      </c>
      <c r="G1643" t="s">
        <v>99</v>
      </c>
      <c r="H1643">
        <v>1</v>
      </c>
      <c r="I1643">
        <v>1</v>
      </c>
      <c r="J1643" s="27">
        <v>29324.36</v>
      </c>
      <c r="K1643" s="27">
        <v>3500000</v>
      </c>
    </row>
    <row r="1644" spans="1:11" ht="15" customHeight="1" x14ac:dyDescent="0.2">
      <c r="A1644" t="s">
        <v>3868</v>
      </c>
      <c r="B1644" t="s">
        <v>3869</v>
      </c>
      <c r="C1644">
        <v>2024</v>
      </c>
      <c r="D1644" s="18">
        <v>45401</v>
      </c>
      <c r="E1644" s="18">
        <v>45765</v>
      </c>
      <c r="F1644" s="18" t="s">
        <v>608</v>
      </c>
      <c r="G1644" t="s">
        <v>101</v>
      </c>
      <c r="H1644">
        <v>3</v>
      </c>
      <c r="I1644">
        <v>3</v>
      </c>
      <c r="J1644" s="27">
        <v>154303.51999999999</v>
      </c>
      <c r="K1644" s="27">
        <v>10000000</v>
      </c>
    </row>
    <row r="1645" spans="1:11" ht="15" customHeight="1" x14ac:dyDescent="0.2">
      <c r="A1645" t="s">
        <v>3870</v>
      </c>
      <c r="B1645" t="s">
        <v>3871</v>
      </c>
      <c r="C1645">
        <v>2024</v>
      </c>
      <c r="D1645" s="18">
        <v>45401</v>
      </c>
      <c r="E1645" s="18">
        <v>45765</v>
      </c>
      <c r="F1645" s="18" t="s">
        <v>608</v>
      </c>
      <c r="G1645" t="s">
        <v>100</v>
      </c>
      <c r="H1645">
        <v>3</v>
      </c>
      <c r="I1645">
        <v>6</v>
      </c>
      <c r="J1645" s="27">
        <v>17523.349999999999</v>
      </c>
      <c r="K1645" s="27">
        <v>1500000</v>
      </c>
    </row>
    <row r="1646" spans="1:11" ht="15" customHeight="1" x14ac:dyDescent="0.2">
      <c r="A1646" t="s">
        <v>3872</v>
      </c>
      <c r="B1646" t="s">
        <v>3873</v>
      </c>
      <c r="C1646">
        <v>2024</v>
      </c>
      <c r="D1646" s="18">
        <v>45401</v>
      </c>
      <c r="E1646" s="18">
        <v>45765</v>
      </c>
      <c r="F1646" s="18" t="s">
        <v>611</v>
      </c>
      <c r="G1646" t="s">
        <v>100</v>
      </c>
      <c r="H1646">
        <v>1</v>
      </c>
      <c r="I1646">
        <v>1</v>
      </c>
      <c r="J1646" s="27">
        <v>26225.25</v>
      </c>
      <c r="K1646" s="27">
        <v>2000000</v>
      </c>
    </row>
    <row r="1647" spans="1:11" ht="15" customHeight="1" x14ac:dyDescent="0.2">
      <c r="A1647" t="s">
        <v>3874</v>
      </c>
      <c r="B1647" t="s">
        <v>3875</v>
      </c>
      <c r="C1647">
        <v>2024</v>
      </c>
      <c r="D1647" s="18">
        <v>45401</v>
      </c>
      <c r="E1647" s="18">
        <v>45765</v>
      </c>
      <c r="F1647" s="18" t="s">
        <v>611</v>
      </c>
      <c r="G1647" t="s">
        <v>100</v>
      </c>
      <c r="H1647">
        <v>1</v>
      </c>
      <c r="I1647">
        <v>1</v>
      </c>
      <c r="J1647" s="27">
        <v>132235.24</v>
      </c>
      <c r="K1647" s="27">
        <v>10000000</v>
      </c>
    </row>
    <row r="1648" spans="1:11" ht="15" customHeight="1" x14ac:dyDescent="0.2">
      <c r="A1648" t="s">
        <v>3876</v>
      </c>
      <c r="B1648" t="s">
        <v>3877</v>
      </c>
      <c r="C1648">
        <v>2024</v>
      </c>
      <c r="D1648" s="18">
        <v>45401</v>
      </c>
      <c r="E1648" s="18">
        <v>45765</v>
      </c>
      <c r="F1648" s="18" t="s">
        <v>611</v>
      </c>
      <c r="G1648" t="s">
        <v>100</v>
      </c>
      <c r="H1648">
        <v>2</v>
      </c>
      <c r="I1648">
        <v>2</v>
      </c>
      <c r="J1648" s="27">
        <v>125279.56</v>
      </c>
      <c r="K1648" s="27">
        <v>10000000</v>
      </c>
    </row>
    <row r="1649" spans="1:11" ht="15" customHeight="1" x14ac:dyDescent="0.2">
      <c r="A1649" t="s">
        <v>3878</v>
      </c>
      <c r="B1649" t="s">
        <v>3879</v>
      </c>
      <c r="C1649">
        <v>2024</v>
      </c>
      <c r="D1649" s="18">
        <v>45402</v>
      </c>
      <c r="E1649" s="18">
        <v>45766</v>
      </c>
      <c r="F1649" s="18" t="s">
        <v>608</v>
      </c>
      <c r="G1649" t="s">
        <v>102</v>
      </c>
      <c r="H1649">
        <v>2</v>
      </c>
      <c r="I1649">
        <v>4</v>
      </c>
      <c r="J1649" s="27">
        <v>36835.4</v>
      </c>
      <c r="K1649" s="27">
        <v>5000000</v>
      </c>
    </row>
    <row r="1650" spans="1:11" ht="15" customHeight="1" x14ac:dyDescent="0.2">
      <c r="A1650" t="s">
        <v>3880</v>
      </c>
      <c r="B1650" t="s">
        <v>3881</v>
      </c>
      <c r="C1650">
        <v>2024</v>
      </c>
      <c r="D1650" s="18">
        <v>45402</v>
      </c>
      <c r="E1650" s="18">
        <v>45766</v>
      </c>
      <c r="F1650" s="18" t="s">
        <v>611</v>
      </c>
      <c r="G1650" t="s">
        <v>99</v>
      </c>
      <c r="H1650">
        <v>1</v>
      </c>
      <c r="I1650">
        <v>1</v>
      </c>
      <c r="J1650" s="27">
        <v>27360.69</v>
      </c>
      <c r="K1650" s="27">
        <v>3500000</v>
      </c>
    </row>
    <row r="1651" spans="1:11" ht="15" customHeight="1" x14ac:dyDescent="0.2">
      <c r="A1651" t="s">
        <v>3882</v>
      </c>
      <c r="B1651" t="s">
        <v>3883</v>
      </c>
      <c r="C1651">
        <v>2024</v>
      </c>
      <c r="D1651" s="18">
        <v>45402</v>
      </c>
      <c r="E1651" s="18">
        <v>45766</v>
      </c>
      <c r="F1651" s="18" t="s">
        <v>611</v>
      </c>
      <c r="G1651" t="s">
        <v>101</v>
      </c>
      <c r="H1651">
        <v>2</v>
      </c>
      <c r="I1651">
        <v>4</v>
      </c>
      <c r="J1651" s="27">
        <v>54212.41</v>
      </c>
      <c r="K1651" s="27">
        <v>3500000</v>
      </c>
    </row>
    <row r="1652" spans="1:11" ht="15" customHeight="1" x14ac:dyDescent="0.2">
      <c r="A1652" t="s">
        <v>3884</v>
      </c>
      <c r="B1652" t="s">
        <v>3885</v>
      </c>
      <c r="C1652">
        <v>2024</v>
      </c>
      <c r="D1652" s="18">
        <v>45402</v>
      </c>
      <c r="E1652" s="18">
        <v>45766</v>
      </c>
      <c r="F1652" s="18" t="s">
        <v>611</v>
      </c>
      <c r="G1652" t="s">
        <v>102</v>
      </c>
      <c r="H1652">
        <v>1</v>
      </c>
      <c r="I1652">
        <v>2</v>
      </c>
      <c r="J1652" s="27">
        <v>10255.02</v>
      </c>
      <c r="K1652" s="27">
        <v>1500000</v>
      </c>
    </row>
    <row r="1653" spans="1:11" ht="15" customHeight="1" x14ac:dyDescent="0.2">
      <c r="A1653" t="s">
        <v>3886</v>
      </c>
      <c r="B1653" t="s">
        <v>3887</v>
      </c>
      <c r="C1653">
        <v>2024</v>
      </c>
      <c r="D1653" s="18">
        <v>45402</v>
      </c>
      <c r="E1653" s="18">
        <v>45766</v>
      </c>
      <c r="F1653" s="18" t="s">
        <v>611</v>
      </c>
      <c r="G1653" t="s">
        <v>99</v>
      </c>
      <c r="H1653">
        <v>1</v>
      </c>
      <c r="I1653">
        <v>2</v>
      </c>
      <c r="J1653" s="27">
        <v>45027.72</v>
      </c>
      <c r="K1653" s="27">
        <v>5000000</v>
      </c>
    </row>
    <row r="1654" spans="1:11" ht="15" customHeight="1" x14ac:dyDescent="0.2">
      <c r="A1654" t="s">
        <v>3888</v>
      </c>
      <c r="B1654" t="s">
        <v>3889</v>
      </c>
      <c r="C1654">
        <v>2024</v>
      </c>
      <c r="D1654" s="18">
        <v>45402</v>
      </c>
      <c r="E1654" s="18">
        <v>45766</v>
      </c>
      <c r="F1654" s="18" t="s">
        <v>611</v>
      </c>
      <c r="G1654" t="s">
        <v>100</v>
      </c>
      <c r="H1654">
        <v>3</v>
      </c>
      <c r="I1654">
        <v>3</v>
      </c>
      <c r="J1654" s="27">
        <v>18341.59</v>
      </c>
      <c r="K1654" s="27">
        <v>1500000</v>
      </c>
    </row>
    <row r="1655" spans="1:11" ht="15" customHeight="1" x14ac:dyDescent="0.2">
      <c r="A1655" t="s">
        <v>3890</v>
      </c>
      <c r="B1655" t="s">
        <v>3891</v>
      </c>
      <c r="C1655">
        <v>2024</v>
      </c>
      <c r="D1655" s="18">
        <v>45402</v>
      </c>
      <c r="E1655" s="18">
        <v>45766</v>
      </c>
      <c r="F1655" s="18" t="s">
        <v>611</v>
      </c>
      <c r="G1655" t="s">
        <v>100</v>
      </c>
      <c r="H1655">
        <v>1</v>
      </c>
      <c r="I1655">
        <v>1</v>
      </c>
      <c r="J1655" s="27">
        <v>17332.57</v>
      </c>
      <c r="K1655" s="27">
        <v>1500000</v>
      </c>
    </row>
    <row r="1656" spans="1:11" ht="15" customHeight="1" x14ac:dyDescent="0.2">
      <c r="A1656" t="s">
        <v>3892</v>
      </c>
      <c r="B1656" t="s">
        <v>3893</v>
      </c>
      <c r="C1656">
        <v>2024</v>
      </c>
      <c r="D1656" s="18">
        <v>45402</v>
      </c>
      <c r="E1656" s="18">
        <v>45766</v>
      </c>
      <c r="F1656" s="18" t="s">
        <v>611</v>
      </c>
      <c r="G1656" t="s">
        <v>99</v>
      </c>
      <c r="H1656">
        <v>2</v>
      </c>
      <c r="I1656">
        <v>2</v>
      </c>
      <c r="J1656" s="27">
        <v>86197.71</v>
      </c>
      <c r="K1656" s="27">
        <v>10000000</v>
      </c>
    </row>
    <row r="1657" spans="1:11" ht="15" customHeight="1" x14ac:dyDescent="0.2">
      <c r="A1657" t="s">
        <v>3894</v>
      </c>
      <c r="B1657" t="s">
        <v>3895</v>
      </c>
      <c r="C1657">
        <v>2024</v>
      </c>
      <c r="D1657" s="18">
        <v>45402</v>
      </c>
      <c r="E1657" s="18">
        <v>45766</v>
      </c>
      <c r="F1657" s="18" t="s">
        <v>611</v>
      </c>
      <c r="G1657" t="s">
        <v>100</v>
      </c>
      <c r="H1657">
        <v>1</v>
      </c>
      <c r="I1657">
        <v>1</v>
      </c>
      <c r="J1657" s="27">
        <v>128503.05</v>
      </c>
      <c r="K1657" s="27">
        <v>10000000</v>
      </c>
    </row>
    <row r="1658" spans="1:11" ht="15" customHeight="1" x14ac:dyDescent="0.2">
      <c r="A1658" t="s">
        <v>3896</v>
      </c>
      <c r="B1658" t="s">
        <v>3897</v>
      </c>
      <c r="C1658">
        <v>2024</v>
      </c>
      <c r="D1658" s="18">
        <v>45402</v>
      </c>
      <c r="E1658" s="18">
        <v>45766</v>
      </c>
      <c r="F1658" s="18" t="s">
        <v>611</v>
      </c>
      <c r="G1658" t="s">
        <v>99</v>
      </c>
      <c r="H1658">
        <v>2</v>
      </c>
      <c r="I1658">
        <v>2</v>
      </c>
      <c r="J1658" s="27">
        <v>17221.41</v>
      </c>
      <c r="K1658" s="27">
        <v>2000000</v>
      </c>
    </row>
    <row r="1659" spans="1:11" ht="15" customHeight="1" x14ac:dyDescent="0.2">
      <c r="A1659" t="s">
        <v>3898</v>
      </c>
      <c r="B1659" t="s">
        <v>3899</v>
      </c>
      <c r="C1659">
        <v>2024</v>
      </c>
      <c r="D1659" s="18">
        <v>45403</v>
      </c>
      <c r="E1659" s="18">
        <v>45767</v>
      </c>
      <c r="F1659" s="18" t="s">
        <v>611</v>
      </c>
      <c r="G1659" t="s">
        <v>101</v>
      </c>
      <c r="H1659">
        <v>1</v>
      </c>
      <c r="I1659">
        <v>1</v>
      </c>
      <c r="J1659" s="27">
        <v>67543.33</v>
      </c>
      <c r="K1659" s="27">
        <v>4000000</v>
      </c>
    </row>
    <row r="1660" spans="1:11" ht="15" customHeight="1" x14ac:dyDescent="0.2">
      <c r="A1660" t="s">
        <v>3900</v>
      </c>
      <c r="B1660" t="s">
        <v>3901</v>
      </c>
      <c r="C1660">
        <v>2024</v>
      </c>
      <c r="D1660" s="18">
        <v>45403</v>
      </c>
      <c r="E1660" s="18">
        <v>45767</v>
      </c>
      <c r="F1660" s="18" t="s">
        <v>611</v>
      </c>
      <c r="G1660" t="s">
        <v>99</v>
      </c>
      <c r="H1660">
        <v>3</v>
      </c>
      <c r="I1660">
        <v>6</v>
      </c>
      <c r="J1660" s="27">
        <v>12139</v>
      </c>
      <c r="K1660" s="27">
        <v>1500000</v>
      </c>
    </row>
    <row r="1661" spans="1:11" ht="15" customHeight="1" x14ac:dyDescent="0.2">
      <c r="A1661" t="s">
        <v>3902</v>
      </c>
      <c r="B1661" t="s">
        <v>3903</v>
      </c>
      <c r="C1661">
        <v>2024</v>
      </c>
      <c r="D1661" s="18">
        <v>45403</v>
      </c>
      <c r="E1661" s="18">
        <v>45767</v>
      </c>
      <c r="F1661" s="18" t="s">
        <v>611</v>
      </c>
      <c r="G1661" t="s">
        <v>101</v>
      </c>
      <c r="H1661">
        <v>2</v>
      </c>
      <c r="I1661">
        <v>2</v>
      </c>
      <c r="J1661" s="27">
        <v>7050.85</v>
      </c>
      <c r="K1661" s="27">
        <v>500000</v>
      </c>
    </row>
    <row r="1662" spans="1:11" ht="15" customHeight="1" x14ac:dyDescent="0.2">
      <c r="A1662" t="s">
        <v>3904</v>
      </c>
      <c r="B1662" t="s">
        <v>3905</v>
      </c>
      <c r="C1662">
        <v>2024</v>
      </c>
      <c r="D1662" s="18">
        <v>45403</v>
      </c>
      <c r="E1662" s="18">
        <v>45767</v>
      </c>
      <c r="F1662" s="18" t="s">
        <v>611</v>
      </c>
      <c r="G1662" t="s">
        <v>100</v>
      </c>
      <c r="H1662">
        <v>1</v>
      </c>
      <c r="I1662">
        <v>2</v>
      </c>
      <c r="J1662" s="27">
        <v>13103.29</v>
      </c>
      <c r="K1662" s="27">
        <v>1000000</v>
      </c>
    </row>
    <row r="1663" spans="1:11" ht="15" customHeight="1" x14ac:dyDescent="0.2">
      <c r="A1663" t="s">
        <v>3906</v>
      </c>
      <c r="B1663" t="s">
        <v>3907</v>
      </c>
      <c r="C1663">
        <v>2024</v>
      </c>
      <c r="D1663" s="18">
        <v>45403</v>
      </c>
      <c r="E1663" s="18">
        <v>45767</v>
      </c>
      <c r="F1663" s="18" t="s">
        <v>611</v>
      </c>
      <c r="G1663" t="s">
        <v>101</v>
      </c>
      <c r="H1663">
        <v>3</v>
      </c>
      <c r="I1663">
        <v>3</v>
      </c>
      <c r="J1663" s="27">
        <v>56962.559999999998</v>
      </c>
      <c r="K1663" s="27">
        <v>4000000</v>
      </c>
    </row>
    <row r="1664" spans="1:11" ht="15" customHeight="1" x14ac:dyDescent="0.2">
      <c r="A1664" t="s">
        <v>3908</v>
      </c>
      <c r="B1664" t="s">
        <v>3909</v>
      </c>
      <c r="C1664">
        <v>2024</v>
      </c>
      <c r="D1664" s="18">
        <v>45403</v>
      </c>
      <c r="E1664" s="18">
        <v>45767</v>
      </c>
      <c r="F1664" s="18" t="s">
        <v>611</v>
      </c>
      <c r="G1664" t="s">
        <v>99</v>
      </c>
      <c r="H1664">
        <v>2</v>
      </c>
      <c r="I1664">
        <v>2</v>
      </c>
      <c r="J1664" s="27">
        <v>40168.5</v>
      </c>
      <c r="K1664" s="27">
        <v>5000000</v>
      </c>
    </row>
    <row r="1665" spans="1:11" ht="15" customHeight="1" x14ac:dyDescent="0.2">
      <c r="A1665" t="s">
        <v>3910</v>
      </c>
      <c r="B1665" t="s">
        <v>3911</v>
      </c>
      <c r="C1665">
        <v>2024</v>
      </c>
      <c r="D1665" s="18">
        <v>45403</v>
      </c>
      <c r="E1665" s="18">
        <v>45767</v>
      </c>
      <c r="F1665" s="18" t="s">
        <v>611</v>
      </c>
      <c r="G1665" t="s">
        <v>99</v>
      </c>
      <c r="H1665">
        <v>2</v>
      </c>
      <c r="I1665">
        <v>2</v>
      </c>
      <c r="J1665" s="27">
        <v>9125.26</v>
      </c>
      <c r="K1665" s="27">
        <v>1000000</v>
      </c>
    </row>
    <row r="1666" spans="1:11" ht="15" customHeight="1" x14ac:dyDescent="0.2">
      <c r="A1666" t="s">
        <v>3912</v>
      </c>
      <c r="B1666" t="s">
        <v>3913</v>
      </c>
      <c r="C1666">
        <v>2024</v>
      </c>
      <c r="D1666" s="18">
        <v>45403</v>
      </c>
      <c r="E1666" s="18">
        <v>45767</v>
      </c>
      <c r="F1666" s="18" t="s">
        <v>611</v>
      </c>
      <c r="G1666" t="s">
        <v>99</v>
      </c>
      <c r="H1666">
        <v>1</v>
      </c>
      <c r="I1666">
        <v>1</v>
      </c>
      <c r="J1666" s="27">
        <v>4150.47</v>
      </c>
      <c r="K1666" s="27">
        <v>500000</v>
      </c>
    </row>
    <row r="1667" spans="1:11" ht="15" customHeight="1" x14ac:dyDescent="0.2">
      <c r="A1667" t="s">
        <v>3914</v>
      </c>
      <c r="B1667" t="s">
        <v>3915</v>
      </c>
      <c r="C1667">
        <v>2024</v>
      </c>
      <c r="D1667" s="18">
        <v>45404</v>
      </c>
      <c r="E1667" s="18">
        <v>45768</v>
      </c>
      <c r="F1667" s="18" t="s">
        <v>608</v>
      </c>
      <c r="G1667" t="s">
        <v>100</v>
      </c>
      <c r="H1667">
        <v>2</v>
      </c>
      <c r="I1667">
        <v>2</v>
      </c>
      <c r="J1667" s="27">
        <v>130665.15</v>
      </c>
      <c r="K1667" s="27">
        <v>10000000</v>
      </c>
    </row>
    <row r="1668" spans="1:11" ht="15" customHeight="1" x14ac:dyDescent="0.2">
      <c r="A1668" t="s">
        <v>3916</v>
      </c>
      <c r="B1668" t="s">
        <v>3917</v>
      </c>
      <c r="C1668">
        <v>2024</v>
      </c>
      <c r="D1668" s="18">
        <v>45404</v>
      </c>
      <c r="E1668" s="18">
        <v>45768</v>
      </c>
      <c r="F1668" s="18" t="s">
        <v>608</v>
      </c>
      <c r="G1668" t="s">
        <v>101</v>
      </c>
      <c r="H1668">
        <v>1</v>
      </c>
      <c r="I1668">
        <v>1</v>
      </c>
      <c r="J1668" s="27">
        <v>83653.11</v>
      </c>
      <c r="K1668" s="27">
        <v>5000000</v>
      </c>
    </row>
    <row r="1669" spans="1:11" ht="15" customHeight="1" x14ac:dyDescent="0.2">
      <c r="A1669" t="s">
        <v>3918</v>
      </c>
      <c r="B1669" t="s">
        <v>3919</v>
      </c>
      <c r="C1669">
        <v>2024</v>
      </c>
      <c r="D1669" s="18">
        <v>45404</v>
      </c>
      <c r="E1669" s="18">
        <v>45768</v>
      </c>
      <c r="F1669" s="18" t="s">
        <v>611</v>
      </c>
      <c r="G1669" t="s">
        <v>99</v>
      </c>
      <c r="H1669">
        <v>2</v>
      </c>
      <c r="I1669">
        <v>2</v>
      </c>
      <c r="J1669" s="27">
        <v>86804.06</v>
      </c>
      <c r="K1669" s="27">
        <v>10000000</v>
      </c>
    </row>
    <row r="1670" spans="1:11" ht="15" customHeight="1" x14ac:dyDescent="0.2">
      <c r="A1670" t="s">
        <v>3920</v>
      </c>
      <c r="B1670" t="s">
        <v>3921</v>
      </c>
      <c r="C1670">
        <v>2024</v>
      </c>
      <c r="D1670" s="18">
        <v>45404</v>
      </c>
      <c r="E1670" s="18">
        <v>45768</v>
      </c>
      <c r="F1670" s="18" t="s">
        <v>611</v>
      </c>
      <c r="G1670" t="s">
        <v>100</v>
      </c>
      <c r="H1670">
        <v>1</v>
      </c>
      <c r="I1670">
        <v>1</v>
      </c>
      <c r="J1670" s="27">
        <v>57339.88</v>
      </c>
      <c r="K1670" s="27">
        <v>5000000</v>
      </c>
    </row>
    <row r="1671" spans="1:11" ht="15" customHeight="1" x14ac:dyDescent="0.2">
      <c r="A1671" t="s">
        <v>3922</v>
      </c>
      <c r="B1671" t="s">
        <v>3923</v>
      </c>
      <c r="C1671">
        <v>2024</v>
      </c>
      <c r="D1671" s="18">
        <v>45404</v>
      </c>
      <c r="E1671" s="18">
        <v>45768</v>
      </c>
      <c r="F1671" s="18" t="s">
        <v>611</v>
      </c>
      <c r="G1671" t="s">
        <v>100</v>
      </c>
      <c r="H1671">
        <v>1</v>
      </c>
      <c r="I1671">
        <v>1</v>
      </c>
      <c r="J1671" s="27">
        <v>59153.96</v>
      </c>
      <c r="K1671" s="27">
        <v>5000000</v>
      </c>
    </row>
    <row r="1672" spans="1:11" ht="15" customHeight="1" x14ac:dyDescent="0.2">
      <c r="A1672" t="s">
        <v>3924</v>
      </c>
      <c r="B1672" t="s">
        <v>3925</v>
      </c>
      <c r="C1672">
        <v>2024</v>
      </c>
      <c r="D1672" s="18">
        <v>45404</v>
      </c>
      <c r="E1672" s="18">
        <v>45768</v>
      </c>
      <c r="F1672" s="18" t="s">
        <v>611</v>
      </c>
      <c r="G1672" t="s">
        <v>101</v>
      </c>
      <c r="H1672">
        <v>3</v>
      </c>
      <c r="I1672">
        <v>3</v>
      </c>
      <c r="J1672" s="27">
        <v>154119.19</v>
      </c>
      <c r="K1672" s="27">
        <v>10000000</v>
      </c>
    </row>
    <row r="1673" spans="1:11" ht="15" customHeight="1" x14ac:dyDescent="0.2">
      <c r="A1673" t="s">
        <v>3926</v>
      </c>
      <c r="B1673" t="s">
        <v>3927</v>
      </c>
      <c r="C1673">
        <v>2024</v>
      </c>
      <c r="D1673" s="18">
        <v>45404</v>
      </c>
      <c r="E1673" s="18">
        <v>45768</v>
      </c>
      <c r="F1673" s="18" t="s">
        <v>611</v>
      </c>
      <c r="G1673" t="s">
        <v>99</v>
      </c>
      <c r="H1673">
        <v>3</v>
      </c>
      <c r="I1673">
        <v>3</v>
      </c>
      <c r="J1673" s="27">
        <v>8659.32</v>
      </c>
      <c r="K1673" s="27">
        <v>1000000</v>
      </c>
    </row>
    <row r="1674" spans="1:11" ht="15" customHeight="1" x14ac:dyDescent="0.2">
      <c r="A1674" t="s">
        <v>3928</v>
      </c>
      <c r="B1674" t="s">
        <v>3929</v>
      </c>
      <c r="C1674">
        <v>2024</v>
      </c>
      <c r="D1674" s="18">
        <v>45404</v>
      </c>
      <c r="E1674" s="18">
        <v>45768</v>
      </c>
      <c r="F1674" s="18" t="s">
        <v>611</v>
      </c>
      <c r="G1674" t="s">
        <v>101</v>
      </c>
      <c r="H1674">
        <v>1</v>
      </c>
      <c r="I1674">
        <v>1</v>
      </c>
      <c r="J1674" s="27">
        <v>29421.35</v>
      </c>
      <c r="K1674" s="27">
        <v>2000000</v>
      </c>
    </row>
    <row r="1675" spans="1:11" ht="15" customHeight="1" x14ac:dyDescent="0.2">
      <c r="A1675" t="s">
        <v>3930</v>
      </c>
      <c r="B1675" t="s">
        <v>3931</v>
      </c>
      <c r="C1675">
        <v>2024</v>
      </c>
      <c r="D1675" s="18">
        <v>45404</v>
      </c>
      <c r="E1675" s="18">
        <v>45768</v>
      </c>
      <c r="F1675" s="18" t="s">
        <v>611</v>
      </c>
      <c r="G1675" t="s">
        <v>101</v>
      </c>
      <c r="H1675">
        <v>2</v>
      </c>
      <c r="I1675">
        <v>2</v>
      </c>
      <c r="J1675" s="27">
        <v>61544.09</v>
      </c>
      <c r="K1675" s="27">
        <v>4000000</v>
      </c>
    </row>
    <row r="1676" spans="1:11" ht="15" customHeight="1" x14ac:dyDescent="0.2">
      <c r="A1676" t="s">
        <v>3932</v>
      </c>
      <c r="B1676" t="s">
        <v>3933</v>
      </c>
      <c r="C1676">
        <v>2024</v>
      </c>
      <c r="D1676" s="18">
        <v>45404</v>
      </c>
      <c r="E1676" s="18">
        <v>45768</v>
      </c>
      <c r="F1676" s="18" t="s">
        <v>611</v>
      </c>
      <c r="G1676" t="s">
        <v>101</v>
      </c>
      <c r="H1676">
        <v>3</v>
      </c>
      <c r="I1676">
        <v>3</v>
      </c>
      <c r="J1676" s="27">
        <v>39883.43</v>
      </c>
      <c r="K1676" s="27">
        <v>2500000</v>
      </c>
    </row>
    <row r="1677" spans="1:11" ht="15" customHeight="1" x14ac:dyDescent="0.2">
      <c r="A1677" t="s">
        <v>3934</v>
      </c>
      <c r="B1677" t="s">
        <v>3935</v>
      </c>
      <c r="C1677">
        <v>2024</v>
      </c>
      <c r="D1677" s="18">
        <v>45405</v>
      </c>
      <c r="E1677" s="18">
        <v>45769</v>
      </c>
      <c r="F1677" s="18" t="s">
        <v>608</v>
      </c>
      <c r="G1677" t="s">
        <v>101</v>
      </c>
      <c r="H1677">
        <v>1</v>
      </c>
      <c r="I1677">
        <v>1</v>
      </c>
      <c r="J1677" s="27">
        <v>155196.79</v>
      </c>
      <c r="K1677" s="27">
        <v>10000000</v>
      </c>
    </row>
    <row r="1678" spans="1:11" ht="15" customHeight="1" x14ac:dyDescent="0.2">
      <c r="A1678" t="s">
        <v>3936</v>
      </c>
      <c r="B1678" t="s">
        <v>3937</v>
      </c>
      <c r="C1678">
        <v>2024</v>
      </c>
      <c r="D1678" s="18">
        <v>45405</v>
      </c>
      <c r="E1678" s="18">
        <v>45769</v>
      </c>
      <c r="F1678" s="18" t="s">
        <v>608</v>
      </c>
      <c r="G1678" t="s">
        <v>99</v>
      </c>
      <c r="H1678">
        <v>1</v>
      </c>
      <c r="I1678">
        <v>1</v>
      </c>
      <c r="J1678" s="27">
        <v>91569.13</v>
      </c>
      <c r="K1678" s="27">
        <v>10000000</v>
      </c>
    </row>
    <row r="1679" spans="1:11" ht="15" customHeight="1" x14ac:dyDescent="0.2">
      <c r="A1679" t="s">
        <v>3938</v>
      </c>
      <c r="B1679" t="s">
        <v>3939</v>
      </c>
      <c r="C1679">
        <v>2024</v>
      </c>
      <c r="D1679" s="18">
        <v>45405</v>
      </c>
      <c r="E1679" s="18">
        <v>45769</v>
      </c>
      <c r="F1679" s="18" t="s">
        <v>608</v>
      </c>
      <c r="G1679" t="s">
        <v>100</v>
      </c>
      <c r="H1679">
        <v>1</v>
      </c>
      <c r="I1679">
        <v>2</v>
      </c>
      <c r="J1679" s="27">
        <v>28111.17</v>
      </c>
      <c r="K1679" s="27">
        <v>2500000</v>
      </c>
    </row>
    <row r="1680" spans="1:11" ht="15" customHeight="1" x14ac:dyDescent="0.2">
      <c r="A1680" t="s">
        <v>3940</v>
      </c>
      <c r="B1680" t="s">
        <v>3941</v>
      </c>
      <c r="C1680">
        <v>2024</v>
      </c>
      <c r="D1680" s="18">
        <v>45405</v>
      </c>
      <c r="E1680" s="18">
        <v>45769</v>
      </c>
      <c r="F1680" s="18" t="s">
        <v>608</v>
      </c>
      <c r="G1680" t="s">
        <v>99</v>
      </c>
      <c r="H1680">
        <v>2</v>
      </c>
      <c r="I1680">
        <v>4</v>
      </c>
      <c r="J1680" s="27">
        <v>17917.169999999998</v>
      </c>
      <c r="K1680" s="27">
        <v>2000000</v>
      </c>
    </row>
    <row r="1681" spans="1:11" ht="15" customHeight="1" x14ac:dyDescent="0.2">
      <c r="A1681" t="s">
        <v>3942</v>
      </c>
      <c r="B1681" t="s">
        <v>3943</v>
      </c>
      <c r="C1681">
        <v>2024</v>
      </c>
      <c r="D1681" s="18">
        <v>45405</v>
      </c>
      <c r="E1681" s="18">
        <v>45769</v>
      </c>
      <c r="F1681" s="18" t="s">
        <v>611</v>
      </c>
      <c r="G1681" t="s">
        <v>102</v>
      </c>
      <c r="H1681">
        <v>1</v>
      </c>
      <c r="I1681">
        <v>1</v>
      </c>
      <c r="J1681" s="27">
        <v>69393.37</v>
      </c>
      <c r="K1681" s="27">
        <v>10000000</v>
      </c>
    </row>
    <row r="1682" spans="1:11" ht="15" customHeight="1" x14ac:dyDescent="0.2">
      <c r="A1682" t="s">
        <v>3944</v>
      </c>
      <c r="B1682" t="s">
        <v>3945</v>
      </c>
      <c r="C1682">
        <v>2024</v>
      </c>
      <c r="D1682" s="18">
        <v>45405</v>
      </c>
      <c r="E1682" s="18">
        <v>45769</v>
      </c>
      <c r="F1682" s="18" t="s">
        <v>611</v>
      </c>
      <c r="G1682" t="s">
        <v>100</v>
      </c>
      <c r="H1682">
        <v>1</v>
      </c>
      <c r="I1682">
        <v>1</v>
      </c>
      <c r="J1682" s="27">
        <v>25479.13</v>
      </c>
      <c r="K1682" s="27">
        <v>2000000</v>
      </c>
    </row>
    <row r="1683" spans="1:11" ht="15" customHeight="1" x14ac:dyDescent="0.2">
      <c r="A1683" t="s">
        <v>3946</v>
      </c>
      <c r="B1683" t="s">
        <v>3947</v>
      </c>
      <c r="C1683">
        <v>2024</v>
      </c>
      <c r="D1683" s="18">
        <v>45405</v>
      </c>
      <c r="E1683" s="18">
        <v>45769</v>
      </c>
      <c r="F1683" s="18" t="s">
        <v>611</v>
      </c>
      <c r="G1683" t="s">
        <v>100</v>
      </c>
      <c r="H1683">
        <v>2</v>
      </c>
      <c r="I1683">
        <v>4</v>
      </c>
      <c r="J1683" s="27">
        <v>17264.91</v>
      </c>
      <c r="K1683" s="27">
        <v>1500000</v>
      </c>
    </row>
    <row r="1684" spans="1:11" ht="15" customHeight="1" x14ac:dyDescent="0.2">
      <c r="A1684" t="s">
        <v>3948</v>
      </c>
      <c r="B1684" t="s">
        <v>3949</v>
      </c>
      <c r="C1684">
        <v>2024</v>
      </c>
      <c r="D1684" s="18">
        <v>45406</v>
      </c>
      <c r="E1684" s="18">
        <v>45770</v>
      </c>
      <c r="F1684" s="18" t="s">
        <v>608</v>
      </c>
      <c r="G1684" t="s">
        <v>99</v>
      </c>
      <c r="H1684">
        <v>3</v>
      </c>
      <c r="I1684">
        <v>3</v>
      </c>
      <c r="J1684" s="27">
        <v>17740.45</v>
      </c>
      <c r="K1684" s="27">
        <v>2000000</v>
      </c>
    </row>
    <row r="1685" spans="1:11" ht="15" customHeight="1" x14ac:dyDescent="0.2">
      <c r="A1685" t="s">
        <v>3950</v>
      </c>
      <c r="B1685" t="s">
        <v>3951</v>
      </c>
      <c r="C1685">
        <v>2024</v>
      </c>
      <c r="D1685" s="18">
        <v>45406</v>
      </c>
      <c r="E1685" s="18">
        <v>45770</v>
      </c>
      <c r="F1685" s="18" t="s">
        <v>611</v>
      </c>
      <c r="G1685" t="s">
        <v>101</v>
      </c>
      <c r="H1685">
        <v>1</v>
      </c>
      <c r="I1685">
        <v>2</v>
      </c>
      <c r="J1685" s="27">
        <v>74047.66</v>
      </c>
      <c r="K1685" s="27">
        <v>5000000</v>
      </c>
    </row>
    <row r="1686" spans="1:11" ht="15" customHeight="1" x14ac:dyDescent="0.2">
      <c r="A1686" t="s">
        <v>3952</v>
      </c>
      <c r="B1686" t="s">
        <v>3953</v>
      </c>
      <c r="C1686">
        <v>2024</v>
      </c>
      <c r="D1686" s="18">
        <v>45406</v>
      </c>
      <c r="E1686" s="18">
        <v>45770</v>
      </c>
      <c r="F1686" s="18" t="s">
        <v>611</v>
      </c>
      <c r="G1686" t="s">
        <v>101</v>
      </c>
      <c r="H1686">
        <v>2</v>
      </c>
      <c r="I1686">
        <v>2</v>
      </c>
      <c r="J1686" s="27">
        <v>33998.86</v>
      </c>
      <c r="K1686" s="27">
        <v>2000000</v>
      </c>
    </row>
    <row r="1687" spans="1:11" ht="15" customHeight="1" x14ac:dyDescent="0.2">
      <c r="A1687" t="s">
        <v>3954</v>
      </c>
      <c r="B1687" t="s">
        <v>3955</v>
      </c>
      <c r="C1687">
        <v>2024</v>
      </c>
      <c r="D1687" s="18">
        <v>45406</v>
      </c>
      <c r="E1687" s="18">
        <v>45770</v>
      </c>
      <c r="F1687" s="18" t="s">
        <v>611</v>
      </c>
      <c r="G1687" t="s">
        <v>100</v>
      </c>
      <c r="H1687">
        <v>3</v>
      </c>
      <c r="I1687">
        <v>6</v>
      </c>
      <c r="J1687" s="27">
        <v>16914.919999999998</v>
      </c>
      <c r="K1687" s="27">
        <v>1500000</v>
      </c>
    </row>
    <row r="1688" spans="1:11" ht="15" customHeight="1" x14ac:dyDescent="0.2">
      <c r="A1688" t="s">
        <v>3956</v>
      </c>
      <c r="B1688" t="s">
        <v>3957</v>
      </c>
      <c r="C1688">
        <v>2024</v>
      </c>
      <c r="D1688" s="18">
        <v>45406</v>
      </c>
      <c r="E1688" s="18">
        <v>45770</v>
      </c>
      <c r="F1688" s="18" t="s">
        <v>611</v>
      </c>
      <c r="G1688" t="s">
        <v>100</v>
      </c>
      <c r="H1688">
        <v>1</v>
      </c>
      <c r="I1688">
        <v>2</v>
      </c>
      <c r="J1688" s="27">
        <v>133253.70000000001</v>
      </c>
      <c r="K1688" s="27">
        <v>10000000</v>
      </c>
    </row>
    <row r="1689" spans="1:11" ht="15" customHeight="1" x14ac:dyDescent="0.2">
      <c r="A1689" t="s">
        <v>3958</v>
      </c>
      <c r="B1689" t="s">
        <v>3959</v>
      </c>
      <c r="C1689">
        <v>2024</v>
      </c>
      <c r="D1689" s="18">
        <v>45407</v>
      </c>
      <c r="E1689" s="18">
        <v>45771</v>
      </c>
      <c r="F1689" s="18" t="s">
        <v>608</v>
      </c>
      <c r="G1689" t="s">
        <v>99</v>
      </c>
      <c r="H1689">
        <v>2</v>
      </c>
      <c r="I1689">
        <v>2</v>
      </c>
      <c r="J1689" s="27">
        <v>33948.9</v>
      </c>
      <c r="K1689" s="27">
        <v>4000000</v>
      </c>
    </row>
    <row r="1690" spans="1:11" ht="15" customHeight="1" x14ac:dyDescent="0.2">
      <c r="A1690" t="s">
        <v>3960</v>
      </c>
      <c r="B1690" t="s">
        <v>3961</v>
      </c>
      <c r="C1690">
        <v>2024</v>
      </c>
      <c r="D1690" s="18">
        <v>45407</v>
      </c>
      <c r="E1690" s="18">
        <v>45771</v>
      </c>
      <c r="F1690" s="18" t="s">
        <v>608</v>
      </c>
      <c r="G1690" t="s">
        <v>99</v>
      </c>
      <c r="H1690">
        <v>1</v>
      </c>
      <c r="I1690">
        <v>1</v>
      </c>
      <c r="J1690" s="27">
        <v>84379.39</v>
      </c>
      <c r="K1690" s="27">
        <v>10000000</v>
      </c>
    </row>
    <row r="1691" spans="1:11" ht="15" customHeight="1" x14ac:dyDescent="0.2">
      <c r="A1691" t="s">
        <v>3962</v>
      </c>
      <c r="B1691" t="s">
        <v>3963</v>
      </c>
      <c r="C1691">
        <v>2024</v>
      </c>
      <c r="D1691" s="18">
        <v>45407</v>
      </c>
      <c r="E1691" s="18">
        <v>45771</v>
      </c>
      <c r="F1691" s="18" t="s">
        <v>611</v>
      </c>
      <c r="G1691" t="s">
        <v>100</v>
      </c>
      <c r="H1691">
        <v>1</v>
      </c>
      <c r="I1691">
        <v>1</v>
      </c>
      <c r="J1691" s="27">
        <v>18449.759999999998</v>
      </c>
      <c r="K1691" s="27">
        <v>1500000</v>
      </c>
    </row>
    <row r="1692" spans="1:11" ht="15" customHeight="1" x14ac:dyDescent="0.2">
      <c r="A1692" t="s">
        <v>3964</v>
      </c>
      <c r="B1692" t="s">
        <v>3965</v>
      </c>
      <c r="C1692">
        <v>2024</v>
      </c>
      <c r="D1692" s="18">
        <v>45407</v>
      </c>
      <c r="E1692" s="18">
        <v>45771</v>
      </c>
      <c r="F1692" s="18" t="s">
        <v>611</v>
      </c>
      <c r="G1692" t="s">
        <v>99</v>
      </c>
      <c r="H1692">
        <v>1</v>
      </c>
      <c r="I1692">
        <v>1</v>
      </c>
      <c r="J1692" s="27">
        <v>32707.35</v>
      </c>
      <c r="K1692" s="27">
        <v>4000000</v>
      </c>
    </row>
    <row r="1693" spans="1:11" ht="15" customHeight="1" x14ac:dyDescent="0.2">
      <c r="A1693" t="s">
        <v>3966</v>
      </c>
      <c r="B1693" t="s">
        <v>3967</v>
      </c>
      <c r="C1693">
        <v>2024</v>
      </c>
      <c r="D1693" s="18">
        <v>45407</v>
      </c>
      <c r="E1693" s="18">
        <v>45771</v>
      </c>
      <c r="F1693" s="18" t="s">
        <v>611</v>
      </c>
      <c r="G1693" t="s">
        <v>100</v>
      </c>
      <c r="H1693">
        <v>2</v>
      </c>
      <c r="I1693">
        <v>2</v>
      </c>
      <c r="J1693" s="27">
        <v>48614.66</v>
      </c>
      <c r="K1693" s="27">
        <v>4000000</v>
      </c>
    </row>
    <row r="1694" spans="1:11" ht="15" customHeight="1" x14ac:dyDescent="0.2">
      <c r="A1694" t="s">
        <v>3968</v>
      </c>
      <c r="B1694" t="s">
        <v>3969</v>
      </c>
      <c r="C1694">
        <v>2024</v>
      </c>
      <c r="D1694" s="18">
        <v>45407</v>
      </c>
      <c r="E1694" s="18">
        <v>45771</v>
      </c>
      <c r="F1694" s="18" t="s">
        <v>611</v>
      </c>
      <c r="G1694" t="s">
        <v>101</v>
      </c>
      <c r="H1694">
        <v>1</v>
      </c>
      <c r="I1694">
        <v>1</v>
      </c>
      <c r="J1694" s="27">
        <v>17020.77</v>
      </c>
      <c r="K1694" s="27">
        <v>1000000</v>
      </c>
    </row>
    <row r="1695" spans="1:11" ht="15" customHeight="1" x14ac:dyDescent="0.2">
      <c r="A1695" t="s">
        <v>3970</v>
      </c>
      <c r="B1695" t="s">
        <v>3971</v>
      </c>
      <c r="C1695">
        <v>2024</v>
      </c>
      <c r="D1695" s="18">
        <v>45407</v>
      </c>
      <c r="E1695" s="18">
        <v>45771</v>
      </c>
      <c r="F1695" s="18" t="s">
        <v>611</v>
      </c>
      <c r="G1695" t="s">
        <v>101</v>
      </c>
      <c r="H1695">
        <v>1</v>
      </c>
      <c r="I1695">
        <v>1</v>
      </c>
      <c r="J1695" s="27">
        <v>73830.080000000002</v>
      </c>
      <c r="K1695" s="27">
        <v>5000000</v>
      </c>
    </row>
    <row r="1696" spans="1:11" ht="15" customHeight="1" x14ac:dyDescent="0.2">
      <c r="A1696" t="s">
        <v>3972</v>
      </c>
      <c r="B1696" t="s">
        <v>3973</v>
      </c>
      <c r="C1696">
        <v>2024</v>
      </c>
      <c r="D1696" s="18">
        <v>45407</v>
      </c>
      <c r="E1696" s="18">
        <v>45771</v>
      </c>
      <c r="F1696" s="18" t="s">
        <v>611</v>
      </c>
      <c r="G1696" t="s">
        <v>101</v>
      </c>
      <c r="H1696">
        <v>1</v>
      </c>
      <c r="I1696">
        <v>1</v>
      </c>
      <c r="J1696" s="27">
        <v>30818.78</v>
      </c>
      <c r="K1696" s="27">
        <v>2000000</v>
      </c>
    </row>
    <row r="1697" spans="1:11" ht="15" customHeight="1" x14ac:dyDescent="0.2">
      <c r="A1697" t="s">
        <v>3974</v>
      </c>
      <c r="B1697" t="s">
        <v>3975</v>
      </c>
      <c r="C1697">
        <v>2024</v>
      </c>
      <c r="D1697" s="18">
        <v>45407</v>
      </c>
      <c r="E1697" s="18">
        <v>45771</v>
      </c>
      <c r="F1697" s="18" t="s">
        <v>611</v>
      </c>
      <c r="G1697" t="s">
        <v>101</v>
      </c>
      <c r="H1697">
        <v>3</v>
      </c>
      <c r="I1697">
        <v>3</v>
      </c>
      <c r="J1697" s="27">
        <v>56456.46</v>
      </c>
      <c r="K1697" s="27">
        <v>4000000</v>
      </c>
    </row>
    <row r="1698" spans="1:11" ht="15" customHeight="1" x14ac:dyDescent="0.2">
      <c r="A1698" t="s">
        <v>3976</v>
      </c>
      <c r="B1698" t="s">
        <v>3977</v>
      </c>
      <c r="C1698">
        <v>2024</v>
      </c>
      <c r="D1698" s="18">
        <v>45407</v>
      </c>
      <c r="E1698" s="18">
        <v>45771</v>
      </c>
      <c r="F1698" s="18" t="s">
        <v>611</v>
      </c>
      <c r="G1698" t="s">
        <v>101</v>
      </c>
      <c r="H1698">
        <v>1</v>
      </c>
      <c r="I1698">
        <v>2</v>
      </c>
      <c r="J1698" s="27">
        <v>62559.97</v>
      </c>
      <c r="K1698" s="27">
        <v>4000000</v>
      </c>
    </row>
    <row r="1699" spans="1:11" ht="15" customHeight="1" x14ac:dyDescent="0.2">
      <c r="A1699" t="s">
        <v>3978</v>
      </c>
      <c r="B1699" t="s">
        <v>3979</v>
      </c>
      <c r="C1699">
        <v>2024</v>
      </c>
      <c r="D1699" s="18">
        <v>45408</v>
      </c>
      <c r="E1699" s="18">
        <v>45772</v>
      </c>
      <c r="F1699" s="18" t="s">
        <v>608</v>
      </c>
      <c r="G1699" t="s">
        <v>102</v>
      </c>
      <c r="H1699">
        <v>3</v>
      </c>
      <c r="I1699">
        <v>6</v>
      </c>
      <c r="J1699" s="27">
        <v>34309.53</v>
      </c>
      <c r="K1699" s="27">
        <v>5000000</v>
      </c>
    </row>
    <row r="1700" spans="1:11" ht="15" customHeight="1" x14ac:dyDescent="0.2">
      <c r="A1700" t="s">
        <v>3980</v>
      </c>
      <c r="B1700" t="s">
        <v>3981</v>
      </c>
      <c r="C1700">
        <v>2024</v>
      </c>
      <c r="D1700" s="18">
        <v>45408</v>
      </c>
      <c r="E1700" s="18">
        <v>45772</v>
      </c>
      <c r="F1700" s="18" t="s">
        <v>611</v>
      </c>
      <c r="G1700" t="s">
        <v>101</v>
      </c>
      <c r="H1700">
        <v>2</v>
      </c>
      <c r="I1700">
        <v>2</v>
      </c>
      <c r="J1700" s="27">
        <v>49522.53</v>
      </c>
      <c r="K1700" s="27">
        <v>3000000</v>
      </c>
    </row>
    <row r="1701" spans="1:11" ht="15" customHeight="1" x14ac:dyDescent="0.2">
      <c r="A1701" t="s">
        <v>3982</v>
      </c>
      <c r="B1701" t="s">
        <v>3983</v>
      </c>
      <c r="C1701">
        <v>2024</v>
      </c>
      <c r="D1701" s="18">
        <v>45408</v>
      </c>
      <c r="E1701" s="18">
        <v>45772</v>
      </c>
      <c r="F1701" s="18" t="s">
        <v>611</v>
      </c>
      <c r="G1701" t="s">
        <v>99</v>
      </c>
      <c r="H1701">
        <v>2</v>
      </c>
      <c r="I1701">
        <v>2</v>
      </c>
      <c r="J1701" s="27">
        <v>12925.89</v>
      </c>
      <c r="K1701" s="27">
        <v>1500000</v>
      </c>
    </row>
    <row r="1702" spans="1:11" ht="15" customHeight="1" x14ac:dyDescent="0.2">
      <c r="A1702" t="s">
        <v>3984</v>
      </c>
      <c r="B1702" t="s">
        <v>3985</v>
      </c>
      <c r="C1702">
        <v>2024</v>
      </c>
      <c r="D1702" s="18">
        <v>45408</v>
      </c>
      <c r="E1702" s="18">
        <v>45772</v>
      </c>
      <c r="F1702" s="18" t="s">
        <v>611</v>
      </c>
      <c r="G1702" t="s">
        <v>101</v>
      </c>
      <c r="H1702">
        <v>1</v>
      </c>
      <c r="I1702">
        <v>2</v>
      </c>
      <c r="J1702" s="27">
        <v>163087.09</v>
      </c>
      <c r="K1702" s="27">
        <v>10000000</v>
      </c>
    </row>
    <row r="1703" spans="1:11" ht="15" customHeight="1" x14ac:dyDescent="0.2">
      <c r="A1703" t="s">
        <v>3986</v>
      </c>
      <c r="B1703" t="s">
        <v>3987</v>
      </c>
      <c r="C1703">
        <v>2024</v>
      </c>
      <c r="D1703" s="18">
        <v>45408</v>
      </c>
      <c r="E1703" s="18">
        <v>45772</v>
      </c>
      <c r="F1703" s="18" t="s">
        <v>611</v>
      </c>
      <c r="G1703" t="s">
        <v>100</v>
      </c>
      <c r="H1703">
        <v>1</v>
      </c>
      <c r="I1703">
        <v>2</v>
      </c>
      <c r="J1703" s="27">
        <v>13455.18</v>
      </c>
      <c r="K1703" s="27">
        <v>1000000</v>
      </c>
    </row>
    <row r="1704" spans="1:11" ht="15" customHeight="1" x14ac:dyDescent="0.2">
      <c r="A1704" t="s">
        <v>3988</v>
      </c>
      <c r="B1704" t="s">
        <v>3989</v>
      </c>
      <c r="C1704">
        <v>2024</v>
      </c>
      <c r="D1704" s="18">
        <v>45408</v>
      </c>
      <c r="E1704" s="18">
        <v>45772</v>
      </c>
      <c r="F1704" s="18" t="s">
        <v>611</v>
      </c>
      <c r="G1704" t="s">
        <v>100</v>
      </c>
      <c r="H1704">
        <v>2</v>
      </c>
      <c r="I1704">
        <v>2</v>
      </c>
      <c r="J1704" s="27">
        <v>133705.31</v>
      </c>
      <c r="K1704" s="27">
        <v>10000000</v>
      </c>
    </row>
    <row r="1705" spans="1:11" ht="15" customHeight="1" x14ac:dyDescent="0.2">
      <c r="A1705" t="s">
        <v>3990</v>
      </c>
      <c r="B1705" t="s">
        <v>3991</v>
      </c>
      <c r="C1705">
        <v>2024</v>
      </c>
      <c r="D1705" s="18">
        <v>45408</v>
      </c>
      <c r="E1705" s="18">
        <v>45772</v>
      </c>
      <c r="F1705" s="18" t="s">
        <v>611</v>
      </c>
      <c r="G1705" t="s">
        <v>101</v>
      </c>
      <c r="H1705">
        <v>1</v>
      </c>
      <c r="I1705">
        <v>2</v>
      </c>
      <c r="J1705" s="27">
        <v>75217.73</v>
      </c>
      <c r="K1705" s="27">
        <v>5000000</v>
      </c>
    </row>
    <row r="1706" spans="1:11" ht="15" customHeight="1" x14ac:dyDescent="0.2">
      <c r="A1706" t="s">
        <v>3992</v>
      </c>
      <c r="B1706" t="s">
        <v>3993</v>
      </c>
      <c r="C1706">
        <v>2024</v>
      </c>
      <c r="D1706" s="18">
        <v>45408</v>
      </c>
      <c r="E1706" s="18">
        <v>45772</v>
      </c>
      <c r="F1706" s="18" t="s">
        <v>611</v>
      </c>
      <c r="G1706" t="s">
        <v>101</v>
      </c>
      <c r="H1706">
        <v>2</v>
      </c>
      <c r="I1706">
        <v>4</v>
      </c>
      <c r="J1706" s="27">
        <v>33686.54</v>
      </c>
      <c r="K1706" s="27">
        <v>2000000</v>
      </c>
    </row>
    <row r="1707" spans="1:11" ht="15" customHeight="1" x14ac:dyDescent="0.2">
      <c r="A1707" t="s">
        <v>3994</v>
      </c>
      <c r="B1707" t="s">
        <v>3995</v>
      </c>
      <c r="C1707">
        <v>2024</v>
      </c>
      <c r="D1707" s="18">
        <v>45408</v>
      </c>
      <c r="E1707" s="18">
        <v>45772</v>
      </c>
      <c r="F1707" s="18" t="s">
        <v>611</v>
      </c>
      <c r="G1707" t="s">
        <v>99</v>
      </c>
      <c r="H1707">
        <v>1</v>
      </c>
      <c r="I1707">
        <v>1</v>
      </c>
      <c r="J1707" s="27">
        <v>16489.04</v>
      </c>
      <c r="K1707" s="27">
        <v>2000000</v>
      </c>
    </row>
    <row r="1708" spans="1:11" ht="15" customHeight="1" x14ac:dyDescent="0.2">
      <c r="A1708" t="s">
        <v>3996</v>
      </c>
      <c r="B1708" t="s">
        <v>3997</v>
      </c>
      <c r="C1708">
        <v>2024</v>
      </c>
      <c r="D1708" s="18">
        <v>45408</v>
      </c>
      <c r="E1708" s="18">
        <v>45772</v>
      </c>
      <c r="F1708" s="18" t="s">
        <v>611</v>
      </c>
      <c r="G1708" t="s">
        <v>101</v>
      </c>
      <c r="H1708">
        <v>1</v>
      </c>
      <c r="I1708">
        <v>1</v>
      </c>
      <c r="J1708" s="27">
        <v>23455.53</v>
      </c>
      <c r="K1708" s="27">
        <v>1500000</v>
      </c>
    </row>
    <row r="1709" spans="1:11" ht="15" customHeight="1" x14ac:dyDescent="0.2">
      <c r="A1709" t="s">
        <v>3998</v>
      </c>
      <c r="B1709" t="s">
        <v>3999</v>
      </c>
      <c r="C1709">
        <v>2024</v>
      </c>
      <c r="D1709" s="18">
        <v>45408</v>
      </c>
      <c r="E1709" s="18">
        <v>45772</v>
      </c>
      <c r="F1709" s="18" t="s">
        <v>611</v>
      </c>
      <c r="G1709" t="s">
        <v>101</v>
      </c>
      <c r="H1709">
        <v>2</v>
      </c>
      <c r="I1709">
        <v>2</v>
      </c>
      <c r="J1709" s="27">
        <v>29797.59</v>
      </c>
      <c r="K1709" s="27">
        <v>2000000</v>
      </c>
    </row>
    <row r="1710" spans="1:11" ht="15" customHeight="1" x14ac:dyDescent="0.2">
      <c r="A1710" t="s">
        <v>4000</v>
      </c>
      <c r="B1710" t="s">
        <v>4001</v>
      </c>
      <c r="C1710">
        <v>2024</v>
      </c>
      <c r="D1710" s="18">
        <v>45409</v>
      </c>
      <c r="E1710" s="18">
        <v>45773</v>
      </c>
      <c r="F1710" s="18" t="s">
        <v>608</v>
      </c>
      <c r="G1710" t="s">
        <v>99</v>
      </c>
      <c r="H1710">
        <v>1</v>
      </c>
      <c r="I1710">
        <v>1</v>
      </c>
      <c r="J1710" s="27">
        <v>43356.1</v>
      </c>
      <c r="K1710" s="27">
        <v>5000000</v>
      </c>
    </row>
    <row r="1711" spans="1:11" ht="15" customHeight="1" x14ac:dyDescent="0.2">
      <c r="A1711" t="s">
        <v>4002</v>
      </c>
      <c r="B1711" t="s">
        <v>4003</v>
      </c>
      <c r="C1711">
        <v>2024</v>
      </c>
      <c r="D1711" s="18">
        <v>45409</v>
      </c>
      <c r="E1711" s="18">
        <v>45773</v>
      </c>
      <c r="F1711" s="18" t="s">
        <v>611</v>
      </c>
      <c r="G1711" t="s">
        <v>99</v>
      </c>
      <c r="H1711">
        <v>1</v>
      </c>
      <c r="I1711">
        <v>1</v>
      </c>
      <c r="J1711" s="27">
        <v>3902.19</v>
      </c>
      <c r="K1711" s="27">
        <v>500000</v>
      </c>
    </row>
    <row r="1712" spans="1:11" ht="15" customHeight="1" x14ac:dyDescent="0.2">
      <c r="A1712" t="s">
        <v>4004</v>
      </c>
      <c r="B1712" t="s">
        <v>4005</v>
      </c>
      <c r="C1712">
        <v>2024</v>
      </c>
      <c r="D1712" s="18">
        <v>45409</v>
      </c>
      <c r="E1712" s="18">
        <v>45773</v>
      </c>
      <c r="F1712" s="18" t="s">
        <v>611</v>
      </c>
      <c r="G1712" t="s">
        <v>102</v>
      </c>
      <c r="H1712">
        <v>1</v>
      </c>
      <c r="I1712">
        <v>2</v>
      </c>
      <c r="J1712" s="27">
        <v>4008.83</v>
      </c>
      <c r="K1712" s="27">
        <v>500000</v>
      </c>
    </row>
    <row r="1713" spans="1:11" ht="15" customHeight="1" x14ac:dyDescent="0.2">
      <c r="A1713" t="s">
        <v>4006</v>
      </c>
      <c r="B1713" t="s">
        <v>4007</v>
      </c>
      <c r="C1713">
        <v>2024</v>
      </c>
      <c r="D1713" s="18">
        <v>45409</v>
      </c>
      <c r="E1713" s="18">
        <v>45773</v>
      </c>
      <c r="F1713" s="18" t="s">
        <v>611</v>
      </c>
      <c r="G1713" t="s">
        <v>101</v>
      </c>
      <c r="H1713">
        <v>1</v>
      </c>
      <c r="I1713">
        <v>1</v>
      </c>
      <c r="J1713" s="27">
        <v>74305.759999999995</v>
      </c>
      <c r="K1713" s="27">
        <v>5000000</v>
      </c>
    </row>
    <row r="1714" spans="1:11" ht="15" customHeight="1" x14ac:dyDescent="0.2">
      <c r="A1714" t="s">
        <v>4008</v>
      </c>
      <c r="B1714" t="s">
        <v>4009</v>
      </c>
      <c r="C1714">
        <v>2024</v>
      </c>
      <c r="D1714" s="18">
        <v>45409</v>
      </c>
      <c r="E1714" s="18">
        <v>45773</v>
      </c>
      <c r="F1714" s="18" t="s">
        <v>611</v>
      </c>
      <c r="G1714" t="s">
        <v>102</v>
      </c>
      <c r="H1714">
        <v>1</v>
      </c>
      <c r="I1714">
        <v>2</v>
      </c>
      <c r="J1714" s="27">
        <v>74262.94</v>
      </c>
      <c r="K1714" s="27">
        <v>10000000</v>
      </c>
    </row>
    <row r="1715" spans="1:11" ht="15" customHeight="1" x14ac:dyDescent="0.2">
      <c r="A1715" t="s">
        <v>4010</v>
      </c>
      <c r="B1715" t="s">
        <v>4011</v>
      </c>
      <c r="C1715">
        <v>2024</v>
      </c>
      <c r="D1715" s="18">
        <v>45409</v>
      </c>
      <c r="E1715" s="18">
        <v>45773</v>
      </c>
      <c r="F1715" s="18" t="s">
        <v>611</v>
      </c>
      <c r="G1715" t="s">
        <v>100</v>
      </c>
      <c r="H1715">
        <v>1</v>
      </c>
      <c r="I1715">
        <v>2</v>
      </c>
      <c r="J1715" s="27">
        <v>44359.95</v>
      </c>
      <c r="K1715" s="27">
        <v>4000000</v>
      </c>
    </row>
    <row r="1716" spans="1:11" ht="15" customHeight="1" x14ac:dyDescent="0.2">
      <c r="A1716" t="s">
        <v>4012</v>
      </c>
      <c r="B1716" t="s">
        <v>4013</v>
      </c>
      <c r="C1716">
        <v>2024</v>
      </c>
      <c r="D1716" s="18">
        <v>45410</v>
      </c>
      <c r="E1716" s="18">
        <v>45774</v>
      </c>
      <c r="F1716" s="18" t="s">
        <v>608</v>
      </c>
      <c r="G1716" t="s">
        <v>100</v>
      </c>
      <c r="H1716">
        <v>1</v>
      </c>
      <c r="I1716">
        <v>1</v>
      </c>
      <c r="J1716" s="27">
        <v>12606.6</v>
      </c>
      <c r="K1716" s="27">
        <v>1000000</v>
      </c>
    </row>
    <row r="1717" spans="1:11" ht="15" customHeight="1" x14ac:dyDescent="0.2">
      <c r="A1717" t="s">
        <v>4014</v>
      </c>
      <c r="B1717" t="s">
        <v>4015</v>
      </c>
      <c r="C1717">
        <v>2024</v>
      </c>
      <c r="D1717" s="18">
        <v>45410</v>
      </c>
      <c r="E1717" s="18">
        <v>45774</v>
      </c>
      <c r="F1717" s="18" t="s">
        <v>608</v>
      </c>
      <c r="G1717" t="s">
        <v>100</v>
      </c>
      <c r="H1717">
        <v>2</v>
      </c>
      <c r="I1717">
        <v>4</v>
      </c>
      <c r="J1717" s="27">
        <v>118697.89</v>
      </c>
      <c r="K1717" s="27">
        <v>10000000</v>
      </c>
    </row>
    <row r="1718" spans="1:11" ht="15" customHeight="1" x14ac:dyDescent="0.2">
      <c r="A1718" t="s">
        <v>4016</v>
      </c>
      <c r="B1718" t="s">
        <v>4017</v>
      </c>
      <c r="C1718">
        <v>2024</v>
      </c>
      <c r="D1718" s="18">
        <v>45410</v>
      </c>
      <c r="E1718" s="18">
        <v>45774</v>
      </c>
      <c r="F1718" s="18" t="s">
        <v>611</v>
      </c>
      <c r="G1718" t="s">
        <v>102</v>
      </c>
      <c r="H1718">
        <v>1</v>
      </c>
      <c r="I1718">
        <v>2</v>
      </c>
      <c r="J1718" s="27">
        <v>27223.77</v>
      </c>
      <c r="K1718" s="27">
        <v>4000000</v>
      </c>
    </row>
    <row r="1719" spans="1:11" ht="15" customHeight="1" x14ac:dyDescent="0.2">
      <c r="A1719" t="s">
        <v>4018</v>
      </c>
      <c r="B1719" t="s">
        <v>4019</v>
      </c>
      <c r="C1719">
        <v>2024</v>
      </c>
      <c r="D1719" s="18">
        <v>45410</v>
      </c>
      <c r="E1719" s="18">
        <v>45774</v>
      </c>
      <c r="F1719" s="18" t="s">
        <v>611</v>
      </c>
      <c r="G1719" t="s">
        <v>99</v>
      </c>
      <c r="H1719">
        <v>2</v>
      </c>
      <c r="I1719">
        <v>4</v>
      </c>
      <c r="J1719" s="27">
        <v>16505.86</v>
      </c>
      <c r="K1719" s="27">
        <v>2000000</v>
      </c>
    </row>
    <row r="1720" spans="1:11" ht="15" customHeight="1" x14ac:dyDescent="0.2">
      <c r="A1720" t="s">
        <v>4020</v>
      </c>
      <c r="B1720" t="s">
        <v>4021</v>
      </c>
      <c r="C1720">
        <v>2024</v>
      </c>
      <c r="D1720" s="18">
        <v>45410</v>
      </c>
      <c r="E1720" s="18">
        <v>45774</v>
      </c>
      <c r="F1720" s="18" t="s">
        <v>611</v>
      </c>
      <c r="G1720" t="s">
        <v>99</v>
      </c>
      <c r="H1720">
        <v>1</v>
      </c>
      <c r="I1720">
        <v>2</v>
      </c>
      <c r="J1720" s="27">
        <v>39329.519999999997</v>
      </c>
      <c r="K1720" s="27">
        <v>5000000</v>
      </c>
    </row>
    <row r="1721" spans="1:11" ht="15" customHeight="1" x14ac:dyDescent="0.2">
      <c r="A1721" t="s">
        <v>4022</v>
      </c>
      <c r="B1721" t="s">
        <v>4023</v>
      </c>
      <c r="C1721">
        <v>2024</v>
      </c>
      <c r="D1721" s="18">
        <v>45410</v>
      </c>
      <c r="E1721" s="18">
        <v>45774</v>
      </c>
      <c r="F1721" s="18" t="s">
        <v>611</v>
      </c>
      <c r="G1721" t="s">
        <v>99</v>
      </c>
      <c r="H1721">
        <v>2</v>
      </c>
      <c r="I1721">
        <v>2</v>
      </c>
      <c r="J1721" s="27">
        <v>15904.74</v>
      </c>
      <c r="K1721" s="27">
        <v>2000000</v>
      </c>
    </row>
    <row r="1722" spans="1:11" ht="15" customHeight="1" x14ac:dyDescent="0.2">
      <c r="A1722" t="s">
        <v>4024</v>
      </c>
      <c r="B1722" t="s">
        <v>4025</v>
      </c>
      <c r="C1722">
        <v>2024</v>
      </c>
      <c r="D1722" s="18">
        <v>45410</v>
      </c>
      <c r="E1722" s="18">
        <v>45774</v>
      </c>
      <c r="F1722" s="18" t="s">
        <v>611</v>
      </c>
      <c r="G1722" t="s">
        <v>101</v>
      </c>
      <c r="H1722">
        <v>2</v>
      </c>
      <c r="I1722">
        <v>4</v>
      </c>
      <c r="J1722" s="27">
        <v>14995.83</v>
      </c>
      <c r="K1722" s="27">
        <v>1000000</v>
      </c>
    </row>
    <row r="1723" spans="1:11" ht="15" customHeight="1" x14ac:dyDescent="0.2">
      <c r="A1723" t="s">
        <v>4026</v>
      </c>
      <c r="B1723" t="s">
        <v>4027</v>
      </c>
      <c r="C1723">
        <v>2024</v>
      </c>
      <c r="D1723" s="18">
        <v>45410</v>
      </c>
      <c r="E1723" s="18">
        <v>45774</v>
      </c>
      <c r="F1723" s="18" t="s">
        <v>611</v>
      </c>
      <c r="G1723" t="s">
        <v>102</v>
      </c>
      <c r="H1723">
        <v>1</v>
      </c>
      <c r="I1723">
        <v>2</v>
      </c>
      <c r="J1723" s="27">
        <v>14765.78</v>
      </c>
      <c r="K1723" s="27">
        <v>2000000</v>
      </c>
    </row>
    <row r="1724" spans="1:11" ht="15" customHeight="1" x14ac:dyDescent="0.2">
      <c r="A1724" t="s">
        <v>4028</v>
      </c>
      <c r="B1724" t="s">
        <v>4029</v>
      </c>
      <c r="C1724">
        <v>2024</v>
      </c>
      <c r="D1724" s="18">
        <v>45410</v>
      </c>
      <c r="E1724" s="18">
        <v>45774</v>
      </c>
      <c r="F1724" s="18" t="s">
        <v>611</v>
      </c>
      <c r="G1724" t="s">
        <v>100</v>
      </c>
      <c r="H1724">
        <v>1</v>
      </c>
      <c r="I1724">
        <v>1</v>
      </c>
      <c r="J1724" s="27">
        <v>51124.71</v>
      </c>
      <c r="K1724" s="27">
        <v>4000000</v>
      </c>
    </row>
    <row r="1725" spans="1:11" ht="15" customHeight="1" x14ac:dyDescent="0.2">
      <c r="A1725" t="s">
        <v>4030</v>
      </c>
      <c r="B1725" t="s">
        <v>4031</v>
      </c>
      <c r="C1725">
        <v>2024</v>
      </c>
      <c r="D1725" s="18">
        <v>45410</v>
      </c>
      <c r="E1725" s="18">
        <v>45774</v>
      </c>
      <c r="F1725" s="18" t="s">
        <v>611</v>
      </c>
      <c r="G1725" t="s">
        <v>101</v>
      </c>
      <c r="H1725">
        <v>1</v>
      </c>
      <c r="I1725">
        <v>2</v>
      </c>
      <c r="J1725" s="27">
        <v>60787.08</v>
      </c>
      <c r="K1725" s="27">
        <v>4000000</v>
      </c>
    </row>
    <row r="1726" spans="1:11" ht="15" customHeight="1" x14ac:dyDescent="0.2">
      <c r="A1726" t="s">
        <v>4032</v>
      </c>
      <c r="B1726" t="s">
        <v>4033</v>
      </c>
      <c r="C1726">
        <v>2024</v>
      </c>
      <c r="D1726" s="18">
        <v>45411</v>
      </c>
      <c r="E1726" s="18">
        <v>45775</v>
      </c>
      <c r="F1726" s="18" t="s">
        <v>608</v>
      </c>
      <c r="G1726" t="s">
        <v>101</v>
      </c>
      <c r="H1726">
        <v>3</v>
      </c>
      <c r="I1726">
        <v>3</v>
      </c>
      <c r="J1726" s="27">
        <v>71625.539999999994</v>
      </c>
      <c r="K1726" s="27">
        <v>5000000</v>
      </c>
    </row>
    <row r="1727" spans="1:11" ht="15" customHeight="1" x14ac:dyDescent="0.2">
      <c r="A1727" t="s">
        <v>4034</v>
      </c>
      <c r="B1727" t="s">
        <v>4035</v>
      </c>
      <c r="C1727">
        <v>2024</v>
      </c>
      <c r="D1727" s="18">
        <v>45411</v>
      </c>
      <c r="E1727" s="18">
        <v>45775</v>
      </c>
      <c r="F1727" s="18" t="s">
        <v>608</v>
      </c>
      <c r="G1727" t="s">
        <v>99</v>
      </c>
      <c r="H1727">
        <v>1</v>
      </c>
      <c r="I1727">
        <v>1</v>
      </c>
      <c r="J1727" s="27">
        <v>38968.31</v>
      </c>
      <c r="K1727" s="27">
        <v>5000000</v>
      </c>
    </row>
    <row r="1728" spans="1:11" ht="15" customHeight="1" x14ac:dyDescent="0.2">
      <c r="A1728" t="s">
        <v>4036</v>
      </c>
      <c r="B1728" t="s">
        <v>4037</v>
      </c>
      <c r="C1728">
        <v>2024</v>
      </c>
      <c r="D1728" s="18">
        <v>45411</v>
      </c>
      <c r="E1728" s="18">
        <v>45775</v>
      </c>
      <c r="F1728" s="18" t="s">
        <v>611</v>
      </c>
      <c r="G1728" t="s">
        <v>100</v>
      </c>
      <c r="H1728">
        <v>1</v>
      </c>
      <c r="I1728">
        <v>1</v>
      </c>
      <c r="J1728" s="27">
        <v>39798.660000000003</v>
      </c>
      <c r="K1728" s="27">
        <v>3000000</v>
      </c>
    </row>
    <row r="1729" spans="1:11" ht="15" customHeight="1" x14ac:dyDescent="0.2">
      <c r="A1729" t="s">
        <v>4038</v>
      </c>
      <c r="B1729" t="s">
        <v>4039</v>
      </c>
      <c r="C1729">
        <v>2024</v>
      </c>
      <c r="D1729" s="18">
        <v>45411</v>
      </c>
      <c r="E1729" s="18">
        <v>45775</v>
      </c>
      <c r="F1729" s="18" t="s">
        <v>611</v>
      </c>
      <c r="G1729" t="s">
        <v>100</v>
      </c>
      <c r="H1729">
        <v>3</v>
      </c>
      <c r="I1729">
        <v>6</v>
      </c>
      <c r="J1729" s="27">
        <v>34516.300000000003</v>
      </c>
      <c r="K1729" s="27">
        <v>3000000</v>
      </c>
    </row>
    <row r="1730" spans="1:11" ht="15" customHeight="1" x14ac:dyDescent="0.2">
      <c r="A1730" t="s">
        <v>4040</v>
      </c>
      <c r="B1730" t="s">
        <v>4041</v>
      </c>
      <c r="C1730">
        <v>2024</v>
      </c>
      <c r="D1730" s="18">
        <v>45411</v>
      </c>
      <c r="E1730" s="18">
        <v>45775</v>
      </c>
      <c r="F1730" s="18" t="s">
        <v>611</v>
      </c>
      <c r="G1730" t="s">
        <v>100</v>
      </c>
      <c r="H1730">
        <v>2</v>
      </c>
      <c r="I1730">
        <v>2</v>
      </c>
      <c r="J1730" s="27">
        <v>59551.42</v>
      </c>
      <c r="K1730" s="27">
        <v>4500000</v>
      </c>
    </row>
    <row r="1731" spans="1:11" ht="15" customHeight="1" x14ac:dyDescent="0.2">
      <c r="A1731" t="s">
        <v>4042</v>
      </c>
      <c r="B1731" t="s">
        <v>4043</v>
      </c>
      <c r="C1731">
        <v>2024</v>
      </c>
      <c r="D1731" s="18">
        <v>45411</v>
      </c>
      <c r="E1731" s="18">
        <v>45775</v>
      </c>
      <c r="F1731" s="18" t="s">
        <v>611</v>
      </c>
      <c r="G1731" t="s">
        <v>99</v>
      </c>
      <c r="H1731">
        <v>1</v>
      </c>
      <c r="I1731">
        <v>1</v>
      </c>
      <c r="J1731" s="27">
        <v>15414.43</v>
      </c>
      <c r="K1731" s="27">
        <v>2000000</v>
      </c>
    </row>
    <row r="1732" spans="1:11" ht="15" customHeight="1" x14ac:dyDescent="0.2">
      <c r="A1732" t="s">
        <v>4044</v>
      </c>
      <c r="B1732" t="s">
        <v>4045</v>
      </c>
      <c r="C1732">
        <v>2024</v>
      </c>
      <c r="D1732" s="18">
        <v>45411</v>
      </c>
      <c r="E1732" s="18">
        <v>45775</v>
      </c>
      <c r="F1732" s="18" t="s">
        <v>611</v>
      </c>
      <c r="G1732" t="s">
        <v>101</v>
      </c>
      <c r="H1732">
        <v>1</v>
      </c>
      <c r="I1732">
        <v>2</v>
      </c>
      <c r="J1732" s="27">
        <v>72882.289999999994</v>
      </c>
      <c r="K1732" s="27">
        <v>5000000</v>
      </c>
    </row>
    <row r="1733" spans="1:11" ht="15" customHeight="1" x14ac:dyDescent="0.2">
      <c r="A1733" t="s">
        <v>4046</v>
      </c>
      <c r="B1733" t="s">
        <v>4047</v>
      </c>
      <c r="C1733">
        <v>2024</v>
      </c>
      <c r="D1733" s="18">
        <v>45411</v>
      </c>
      <c r="E1733" s="18">
        <v>45775</v>
      </c>
      <c r="F1733" s="18" t="s">
        <v>611</v>
      </c>
      <c r="G1733" t="s">
        <v>99</v>
      </c>
      <c r="H1733">
        <v>3</v>
      </c>
      <c r="I1733">
        <v>3</v>
      </c>
      <c r="J1733" s="27">
        <v>45607.96</v>
      </c>
      <c r="K1733" s="27">
        <v>5000000</v>
      </c>
    </row>
    <row r="1734" spans="1:11" ht="15" customHeight="1" x14ac:dyDescent="0.2">
      <c r="A1734" t="s">
        <v>4048</v>
      </c>
      <c r="B1734" t="s">
        <v>4049</v>
      </c>
      <c r="C1734">
        <v>2024</v>
      </c>
      <c r="D1734" s="18">
        <v>45411</v>
      </c>
      <c r="E1734" s="18">
        <v>45775</v>
      </c>
      <c r="F1734" s="18" t="s">
        <v>611</v>
      </c>
      <c r="G1734" t="s">
        <v>101</v>
      </c>
      <c r="H1734">
        <v>3</v>
      </c>
      <c r="I1734">
        <v>6</v>
      </c>
      <c r="J1734" s="27">
        <v>7145.29</v>
      </c>
      <c r="K1734" s="27">
        <v>500000</v>
      </c>
    </row>
    <row r="1735" spans="1:11" ht="15" customHeight="1" x14ac:dyDescent="0.2">
      <c r="A1735" t="s">
        <v>4050</v>
      </c>
      <c r="B1735" t="s">
        <v>4051</v>
      </c>
      <c r="C1735">
        <v>2024</v>
      </c>
      <c r="D1735" s="18">
        <v>45411</v>
      </c>
      <c r="E1735" s="18">
        <v>45775</v>
      </c>
      <c r="F1735" s="18" t="s">
        <v>611</v>
      </c>
      <c r="G1735" t="s">
        <v>99</v>
      </c>
      <c r="H1735">
        <v>1</v>
      </c>
      <c r="I1735">
        <v>2</v>
      </c>
      <c r="J1735" s="27">
        <v>16585.349999999999</v>
      </c>
      <c r="K1735" s="27">
        <v>2000000</v>
      </c>
    </row>
    <row r="1736" spans="1:11" ht="15" customHeight="1" x14ac:dyDescent="0.2">
      <c r="A1736" t="s">
        <v>4052</v>
      </c>
      <c r="B1736" t="s">
        <v>4053</v>
      </c>
      <c r="C1736">
        <v>2024</v>
      </c>
      <c r="D1736" s="18">
        <v>45411</v>
      </c>
      <c r="E1736" s="18">
        <v>45775</v>
      </c>
      <c r="F1736" s="18" t="s">
        <v>611</v>
      </c>
      <c r="G1736" t="s">
        <v>101</v>
      </c>
      <c r="H1736">
        <v>1</v>
      </c>
      <c r="I1736">
        <v>2</v>
      </c>
      <c r="J1736" s="27">
        <v>75651.710000000006</v>
      </c>
      <c r="K1736" s="27">
        <v>5000000</v>
      </c>
    </row>
    <row r="1737" spans="1:11" ht="15" customHeight="1" x14ac:dyDescent="0.2">
      <c r="A1737" t="s">
        <v>4054</v>
      </c>
      <c r="B1737" t="s">
        <v>4055</v>
      </c>
      <c r="C1737">
        <v>2024</v>
      </c>
      <c r="D1737" s="18">
        <v>45411</v>
      </c>
      <c r="E1737" s="18">
        <v>45775</v>
      </c>
      <c r="F1737" s="18" t="s">
        <v>611</v>
      </c>
      <c r="G1737" t="s">
        <v>102</v>
      </c>
      <c r="H1737">
        <v>1</v>
      </c>
      <c r="I1737">
        <v>2</v>
      </c>
      <c r="J1737" s="27">
        <v>9996.3700000000008</v>
      </c>
      <c r="K1737" s="27">
        <v>1500000</v>
      </c>
    </row>
    <row r="1738" spans="1:11" ht="15" customHeight="1" x14ac:dyDescent="0.2">
      <c r="A1738" t="s">
        <v>4056</v>
      </c>
      <c r="B1738" t="s">
        <v>4057</v>
      </c>
      <c r="C1738">
        <v>2024</v>
      </c>
      <c r="D1738" s="18">
        <v>45412</v>
      </c>
      <c r="E1738" s="18">
        <v>45776</v>
      </c>
      <c r="F1738" s="18" t="s">
        <v>611</v>
      </c>
      <c r="G1738" t="s">
        <v>100</v>
      </c>
      <c r="H1738">
        <v>1</v>
      </c>
      <c r="I1738">
        <v>1</v>
      </c>
      <c r="J1738" s="27">
        <v>11752.82</v>
      </c>
      <c r="K1738" s="27">
        <v>1000000</v>
      </c>
    </row>
    <row r="1739" spans="1:11" ht="15" customHeight="1" x14ac:dyDescent="0.2">
      <c r="A1739" t="s">
        <v>4058</v>
      </c>
      <c r="B1739" t="s">
        <v>4059</v>
      </c>
      <c r="C1739">
        <v>2024</v>
      </c>
      <c r="D1739" s="18">
        <v>45412</v>
      </c>
      <c r="E1739" s="18">
        <v>45776</v>
      </c>
      <c r="F1739" s="18" t="s">
        <v>611</v>
      </c>
      <c r="G1739" t="s">
        <v>99</v>
      </c>
      <c r="H1739">
        <v>1</v>
      </c>
      <c r="I1739">
        <v>1</v>
      </c>
      <c r="J1739" s="27">
        <v>37762.61</v>
      </c>
      <c r="K1739" s="27">
        <v>5000000</v>
      </c>
    </row>
    <row r="1740" spans="1:11" ht="15" customHeight="1" x14ac:dyDescent="0.2">
      <c r="A1740" t="s">
        <v>4060</v>
      </c>
      <c r="B1740" t="s">
        <v>4061</v>
      </c>
      <c r="C1740">
        <v>2024</v>
      </c>
      <c r="D1740" s="18">
        <v>45412</v>
      </c>
      <c r="E1740" s="18">
        <v>45776</v>
      </c>
      <c r="F1740" s="18" t="s">
        <v>611</v>
      </c>
      <c r="G1740" t="s">
        <v>99</v>
      </c>
      <c r="H1740">
        <v>1</v>
      </c>
      <c r="I1740">
        <v>1</v>
      </c>
      <c r="J1740" s="27">
        <v>17085.38</v>
      </c>
      <c r="K1740" s="27">
        <v>2000000</v>
      </c>
    </row>
    <row r="1741" spans="1:11" ht="15" customHeight="1" x14ac:dyDescent="0.2">
      <c r="A1741" t="s">
        <v>4062</v>
      </c>
      <c r="B1741" t="s">
        <v>4063</v>
      </c>
      <c r="C1741">
        <v>2024</v>
      </c>
      <c r="D1741" s="18">
        <v>45412</v>
      </c>
      <c r="E1741" s="18">
        <v>45776</v>
      </c>
      <c r="F1741" s="18" t="s">
        <v>611</v>
      </c>
      <c r="G1741" t="s">
        <v>102</v>
      </c>
      <c r="H1741">
        <v>1</v>
      </c>
      <c r="I1741">
        <v>1</v>
      </c>
      <c r="J1741" s="27">
        <v>14306.54</v>
      </c>
      <c r="K1741" s="27">
        <v>2000000</v>
      </c>
    </row>
    <row r="1742" spans="1:11" ht="15" customHeight="1" x14ac:dyDescent="0.2">
      <c r="A1742" t="s">
        <v>4064</v>
      </c>
      <c r="B1742" t="s">
        <v>4065</v>
      </c>
      <c r="C1742">
        <v>2024</v>
      </c>
      <c r="D1742" s="18">
        <v>45412</v>
      </c>
      <c r="E1742" s="18">
        <v>45776</v>
      </c>
      <c r="F1742" s="18" t="s">
        <v>611</v>
      </c>
      <c r="G1742" t="s">
        <v>102</v>
      </c>
      <c r="H1742">
        <v>2</v>
      </c>
      <c r="I1742">
        <v>4</v>
      </c>
      <c r="J1742" s="27">
        <v>14402.56</v>
      </c>
      <c r="K1742" s="27">
        <v>2000000</v>
      </c>
    </row>
    <row r="1743" spans="1:11" ht="15" customHeight="1" x14ac:dyDescent="0.2">
      <c r="A1743" t="s">
        <v>4066</v>
      </c>
      <c r="B1743" t="s">
        <v>4067</v>
      </c>
      <c r="C1743">
        <v>2024</v>
      </c>
      <c r="D1743" s="18">
        <v>45412</v>
      </c>
      <c r="E1743" s="18">
        <v>45776</v>
      </c>
      <c r="F1743" s="18" t="s">
        <v>611</v>
      </c>
      <c r="G1743" t="s">
        <v>100</v>
      </c>
      <c r="H1743">
        <v>1</v>
      </c>
      <c r="I1743">
        <v>2</v>
      </c>
      <c r="J1743" s="27">
        <v>62173.3</v>
      </c>
      <c r="K1743" s="27">
        <v>5000000</v>
      </c>
    </row>
    <row r="1744" spans="1:11" ht="15" customHeight="1" x14ac:dyDescent="0.2">
      <c r="A1744" t="s">
        <v>4068</v>
      </c>
      <c r="B1744" t="s">
        <v>4069</v>
      </c>
      <c r="C1744">
        <v>2024</v>
      </c>
      <c r="D1744" s="18">
        <v>45412</v>
      </c>
      <c r="E1744" s="18">
        <v>45776</v>
      </c>
      <c r="F1744" s="18" t="s">
        <v>611</v>
      </c>
      <c r="G1744" t="s">
        <v>102</v>
      </c>
      <c r="H1744">
        <v>1</v>
      </c>
      <c r="I1744">
        <v>1</v>
      </c>
      <c r="J1744" s="27">
        <v>31890.15</v>
      </c>
      <c r="K1744" s="27">
        <v>4000000</v>
      </c>
    </row>
    <row r="1745" spans="1:11" ht="15" customHeight="1" x14ac:dyDescent="0.2">
      <c r="A1745" t="s">
        <v>4070</v>
      </c>
      <c r="B1745" t="s">
        <v>4071</v>
      </c>
      <c r="C1745">
        <v>2024</v>
      </c>
      <c r="D1745" s="18">
        <v>45413</v>
      </c>
      <c r="E1745" s="18">
        <v>45777</v>
      </c>
      <c r="F1745" s="18" t="s">
        <v>608</v>
      </c>
      <c r="G1745" t="s">
        <v>99</v>
      </c>
      <c r="H1745">
        <v>2</v>
      </c>
      <c r="I1745">
        <v>4</v>
      </c>
      <c r="J1745" s="27">
        <v>9124.16</v>
      </c>
      <c r="K1745" s="27">
        <v>1000000</v>
      </c>
    </row>
    <row r="1746" spans="1:11" ht="15" customHeight="1" x14ac:dyDescent="0.2">
      <c r="A1746" t="s">
        <v>4072</v>
      </c>
      <c r="B1746" t="s">
        <v>4073</v>
      </c>
      <c r="C1746">
        <v>2024</v>
      </c>
      <c r="D1746" s="18">
        <v>45413</v>
      </c>
      <c r="E1746" s="18">
        <v>45777</v>
      </c>
      <c r="F1746" s="18" t="s">
        <v>608</v>
      </c>
      <c r="G1746" t="s">
        <v>100</v>
      </c>
      <c r="H1746">
        <v>1</v>
      </c>
      <c r="I1746">
        <v>2</v>
      </c>
      <c r="J1746" s="27">
        <v>24034.080000000002</v>
      </c>
      <c r="K1746" s="27">
        <v>2000000</v>
      </c>
    </row>
    <row r="1747" spans="1:11" ht="15" customHeight="1" x14ac:dyDescent="0.2">
      <c r="A1747" t="s">
        <v>4074</v>
      </c>
      <c r="B1747" t="s">
        <v>4075</v>
      </c>
      <c r="C1747">
        <v>2024</v>
      </c>
      <c r="D1747" s="18">
        <v>45413</v>
      </c>
      <c r="E1747" s="18">
        <v>45777</v>
      </c>
      <c r="F1747" s="18" t="s">
        <v>611</v>
      </c>
      <c r="G1747" t="s">
        <v>101</v>
      </c>
      <c r="H1747">
        <v>3</v>
      </c>
      <c r="I1747">
        <v>6</v>
      </c>
      <c r="J1747" s="27">
        <v>53123.65</v>
      </c>
      <c r="K1747" s="27">
        <v>3500000</v>
      </c>
    </row>
    <row r="1748" spans="1:11" ht="15" customHeight="1" x14ac:dyDescent="0.2">
      <c r="A1748" t="s">
        <v>4076</v>
      </c>
      <c r="B1748" t="s">
        <v>4077</v>
      </c>
      <c r="C1748">
        <v>2024</v>
      </c>
      <c r="D1748" s="18">
        <v>45413</v>
      </c>
      <c r="E1748" s="18">
        <v>45777</v>
      </c>
      <c r="F1748" s="18" t="s">
        <v>611</v>
      </c>
      <c r="G1748" t="s">
        <v>101</v>
      </c>
      <c r="H1748">
        <v>1</v>
      </c>
      <c r="I1748">
        <v>2</v>
      </c>
      <c r="J1748" s="27">
        <v>7799.37</v>
      </c>
      <c r="K1748" s="27">
        <v>500000</v>
      </c>
    </row>
    <row r="1749" spans="1:11" ht="15" customHeight="1" x14ac:dyDescent="0.2">
      <c r="A1749" t="s">
        <v>4078</v>
      </c>
      <c r="B1749" t="s">
        <v>4079</v>
      </c>
      <c r="C1749">
        <v>2024</v>
      </c>
      <c r="D1749" s="18">
        <v>45413</v>
      </c>
      <c r="E1749" s="18">
        <v>45777</v>
      </c>
      <c r="F1749" s="18" t="s">
        <v>611</v>
      </c>
      <c r="G1749" t="s">
        <v>102</v>
      </c>
      <c r="H1749">
        <v>1</v>
      </c>
      <c r="I1749">
        <v>2</v>
      </c>
      <c r="J1749" s="27">
        <v>14304.87</v>
      </c>
      <c r="K1749" s="27">
        <v>2000000</v>
      </c>
    </row>
    <row r="1750" spans="1:11" ht="15" customHeight="1" x14ac:dyDescent="0.2">
      <c r="A1750" t="s">
        <v>4080</v>
      </c>
      <c r="B1750" t="s">
        <v>4081</v>
      </c>
      <c r="C1750">
        <v>2024</v>
      </c>
      <c r="D1750" s="18">
        <v>45413</v>
      </c>
      <c r="E1750" s="18">
        <v>45777</v>
      </c>
      <c r="F1750" s="18" t="s">
        <v>611</v>
      </c>
      <c r="G1750" t="s">
        <v>101</v>
      </c>
      <c r="H1750">
        <v>1</v>
      </c>
      <c r="I1750">
        <v>1</v>
      </c>
      <c r="J1750" s="27">
        <v>154305.07</v>
      </c>
      <c r="K1750" s="27">
        <v>10000000</v>
      </c>
    </row>
    <row r="1751" spans="1:11" ht="15" customHeight="1" x14ac:dyDescent="0.2">
      <c r="A1751" t="s">
        <v>4082</v>
      </c>
      <c r="B1751" t="s">
        <v>4083</v>
      </c>
      <c r="C1751">
        <v>2024</v>
      </c>
      <c r="D1751" s="18">
        <v>45414</v>
      </c>
      <c r="E1751" s="18">
        <v>45778</v>
      </c>
      <c r="F1751" s="18" t="s">
        <v>608</v>
      </c>
      <c r="G1751" t="s">
        <v>99</v>
      </c>
      <c r="H1751">
        <v>3</v>
      </c>
      <c r="I1751">
        <v>6</v>
      </c>
      <c r="J1751" s="27">
        <v>20503.599999999999</v>
      </c>
      <c r="K1751" s="27">
        <v>2500000</v>
      </c>
    </row>
    <row r="1752" spans="1:11" ht="15" customHeight="1" x14ac:dyDescent="0.2">
      <c r="A1752" t="s">
        <v>4084</v>
      </c>
      <c r="B1752" t="s">
        <v>4085</v>
      </c>
      <c r="C1752">
        <v>2024</v>
      </c>
      <c r="D1752" s="18">
        <v>45414</v>
      </c>
      <c r="E1752" s="18">
        <v>45778</v>
      </c>
      <c r="F1752" s="18" t="s">
        <v>608</v>
      </c>
      <c r="G1752" t="s">
        <v>101</v>
      </c>
      <c r="H1752">
        <v>2</v>
      </c>
      <c r="I1752">
        <v>2</v>
      </c>
      <c r="J1752" s="27">
        <v>151416.4</v>
      </c>
      <c r="K1752" s="27">
        <v>10000000</v>
      </c>
    </row>
    <row r="1753" spans="1:11" ht="15" customHeight="1" x14ac:dyDescent="0.2">
      <c r="A1753" t="s">
        <v>4086</v>
      </c>
      <c r="B1753" t="s">
        <v>4087</v>
      </c>
      <c r="C1753">
        <v>2024</v>
      </c>
      <c r="D1753" s="18">
        <v>45414</v>
      </c>
      <c r="E1753" s="18">
        <v>45778</v>
      </c>
      <c r="F1753" s="18" t="s">
        <v>611</v>
      </c>
      <c r="G1753" t="s">
        <v>102</v>
      </c>
      <c r="H1753">
        <v>2</v>
      </c>
      <c r="I1753">
        <v>4</v>
      </c>
      <c r="J1753" s="27">
        <v>31037.73</v>
      </c>
      <c r="K1753" s="27">
        <v>4000000</v>
      </c>
    </row>
    <row r="1754" spans="1:11" ht="15" customHeight="1" x14ac:dyDescent="0.2">
      <c r="A1754" t="s">
        <v>4088</v>
      </c>
      <c r="B1754" t="s">
        <v>4089</v>
      </c>
      <c r="C1754">
        <v>2024</v>
      </c>
      <c r="D1754" s="18">
        <v>45414</v>
      </c>
      <c r="E1754" s="18">
        <v>45778</v>
      </c>
      <c r="F1754" s="18" t="s">
        <v>611</v>
      </c>
      <c r="G1754" t="s">
        <v>100</v>
      </c>
      <c r="H1754">
        <v>1</v>
      </c>
      <c r="I1754">
        <v>1</v>
      </c>
      <c r="J1754" s="27">
        <v>61216.34</v>
      </c>
      <c r="K1754" s="27">
        <v>5000000</v>
      </c>
    </row>
    <row r="1755" spans="1:11" ht="15" customHeight="1" x14ac:dyDescent="0.2">
      <c r="A1755" t="s">
        <v>4090</v>
      </c>
      <c r="B1755" t="s">
        <v>4091</v>
      </c>
      <c r="C1755">
        <v>2024</v>
      </c>
      <c r="D1755" s="18">
        <v>45414</v>
      </c>
      <c r="E1755" s="18">
        <v>45778</v>
      </c>
      <c r="F1755" s="18" t="s">
        <v>611</v>
      </c>
      <c r="G1755" t="s">
        <v>100</v>
      </c>
      <c r="H1755">
        <v>1</v>
      </c>
      <c r="I1755">
        <v>1</v>
      </c>
      <c r="J1755" s="27">
        <v>25317.14</v>
      </c>
      <c r="K1755" s="27">
        <v>2000000</v>
      </c>
    </row>
    <row r="1756" spans="1:11" ht="15" customHeight="1" x14ac:dyDescent="0.2">
      <c r="A1756" t="s">
        <v>4092</v>
      </c>
      <c r="B1756" t="s">
        <v>4093</v>
      </c>
      <c r="C1756">
        <v>2024</v>
      </c>
      <c r="D1756" s="18">
        <v>45414</v>
      </c>
      <c r="E1756" s="18">
        <v>45778</v>
      </c>
      <c r="F1756" s="18" t="s">
        <v>611</v>
      </c>
      <c r="G1756" t="s">
        <v>101</v>
      </c>
      <c r="H1756">
        <v>2</v>
      </c>
      <c r="I1756">
        <v>2</v>
      </c>
      <c r="J1756" s="27">
        <v>49616.35</v>
      </c>
      <c r="K1756" s="27">
        <v>3500000</v>
      </c>
    </row>
    <row r="1757" spans="1:11" ht="15" customHeight="1" x14ac:dyDescent="0.2">
      <c r="A1757" t="s">
        <v>4094</v>
      </c>
      <c r="B1757" t="s">
        <v>4095</v>
      </c>
      <c r="C1757">
        <v>2024</v>
      </c>
      <c r="D1757" s="18">
        <v>45414</v>
      </c>
      <c r="E1757" s="18">
        <v>45778</v>
      </c>
      <c r="F1757" s="18" t="s">
        <v>611</v>
      </c>
      <c r="G1757" t="s">
        <v>99</v>
      </c>
      <c r="H1757">
        <v>1</v>
      </c>
      <c r="I1757">
        <v>2</v>
      </c>
      <c r="J1757" s="27">
        <v>22070.22</v>
      </c>
      <c r="K1757" s="27">
        <v>2500000</v>
      </c>
    </row>
    <row r="1758" spans="1:11" ht="15" customHeight="1" x14ac:dyDescent="0.2">
      <c r="A1758" t="s">
        <v>4096</v>
      </c>
      <c r="B1758" t="s">
        <v>4097</v>
      </c>
      <c r="C1758">
        <v>2024</v>
      </c>
      <c r="D1758" s="18">
        <v>45415</v>
      </c>
      <c r="E1758" s="18">
        <v>45779</v>
      </c>
      <c r="F1758" s="18" t="s">
        <v>608</v>
      </c>
      <c r="G1758" t="s">
        <v>102</v>
      </c>
      <c r="H1758">
        <v>1</v>
      </c>
      <c r="I1758">
        <v>1</v>
      </c>
      <c r="J1758" s="27">
        <v>34276.620000000003</v>
      </c>
      <c r="K1758" s="27">
        <v>5000000</v>
      </c>
    </row>
    <row r="1759" spans="1:11" ht="15" customHeight="1" x14ac:dyDescent="0.2">
      <c r="A1759" t="s">
        <v>4098</v>
      </c>
      <c r="B1759" t="s">
        <v>4099</v>
      </c>
      <c r="C1759">
        <v>2024</v>
      </c>
      <c r="D1759" s="18">
        <v>45415</v>
      </c>
      <c r="E1759" s="18">
        <v>45779</v>
      </c>
      <c r="F1759" s="18" t="s">
        <v>608</v>
      </c>
      <c r="G1759" t="s">
        <v>101</v>
      </c>
      <c r="H1759">
        <v>2</v>
      </c>
      <c r="I1759">
        <v>2</v>
      </c>
      <c r="J1759" s="27">
        <v>151092.56</v>
      </c>
      <c r="K1759" s="27">
        <v>10000000</v>
      </c>
    </row>
    <row r="1760" spans="1:11" ht="15" customHeight="1" x14ac:dyDescent="0.2">
      <c r="A1760" t="s">
        <v>4100</v>
      </c>
      <c r="B1760" t="s">
        <v>4101</v>
      </c>
      <c r="C1760">
        <v>2024</v>
      </c>
      <c r="D1760" s="18">
        <v>45415</v>
      </c>
      <c r="E1760" s="18">
        <v>45779</v>
      </c>
      <c r="F1760" s="18" t="s">
        <v>611</v>
      </c>
      <c r="G1760" t="s">
        <v>99</v>
      </c>
      <c r="H1760">
        <v>2</v>
      </c>
      <c r="I1760">
        <v>2</v>
      </c>
      <c r="J1760" s="27">
        <v>39081.85</v>
      </c>
      <c r="K1760" s="27">
        <v>4500000</v>
      </c>
    </row>
    <row r="1761" spans="1:11" ht="15" customHeight="1" x14ac:dyDescent="0.2">
      <c r="A1761" t="s">
        <v>4102</v>
      </c>
      <c r="B1761" t="s">
        <v>4103</v>
      </c>
      <c r="C1761">
        <v>2024</v>
      </c>
      <c r="D1761" s="18">
        <v>45415</v>
      </c>
      <c r="E1761" s="18">
        <v>45779</v>
      </c>
      <c r="F1761" s="18" t="s">
        <v>611</v>
      </c>
      <c r="G1761" t="s">
        <v>99</v>
      </c>
      <c r="H1761">
        <v>1</v>
      </c>
      <c r="I1761">
        <v>1</v>
      </c>
      <c r="J1761" s="27">
        <v>84839.35</v>
      </c>
      <c r="K1761" s="27">
        <v>10000000</v>
      </c>
    </row>
    <row r="1762" spans="1:11" ht="15" customHeight="1" x14ac:dyDescent="0.2">
      <c r="A1762" t="s">
        <v>4104</v>
      </c>
      <c r="B1762" t="s">
        <v>4105</v>
      </c>
      <c r="C1762">
        <v>2024</v>
      </c>
      <c r="D1762" s="18">
        <v>45415</v>
      </c>
      <c r="E1762" s="18">
        <v>45779</v>
      </c>
      <c r="F1762" s="18" t="s">
        <v>611</v>
      </c>
      <c r="G1762" t="s">
        <v>99</v>
      </c>
      <c r="H1762">
        <v>1</v>
      </c>
      <c r="I1762">
        <v>1</v>
      </c>
      <c r="J1762" s="27">
        <v>11957.16</v>
      </c>
      <c r="K1762" s="27">
        <v>1500000</v>
      </c>
    </row>
    <row r="1763" spans="1:11" ht="15" customHeight="1" x14ac:dyDescent="0.2">
      <c r="A1763" t="s">
        <v>4106</v>
      </c>
      <c r="B1763" t="s">
        <v>4107</v>
      </c>
      <c r="C1763">
        <v>2024</v>
      </c>
      <c r="D1763" s="18">
        <v>45415</v>
      </c>
      <c r="E1763" s="18">
        <v>45779</v>
      </c>
      <c r="F1763" s="18" t="s">
        <v>611</v>
      </c>
      <c r="G1763" t="s">
        <v>101</v>
      </c>
      <c r="H1763">
        <v>3</v>
      </c>
      <c r="I1763">
        <v>3</v>
      </c>
      <c r="J1763" s="27">
        <v>8088.7</v>
      </c>
      <c r="K1763" s="27">
        <v>500000</v>
      </c>
    </row>
    <row r="1764" spans="1:11" ht="15" customHeight="1" x14ac:dyDescent="0.2">
      <c r="A1764" t="s">
        <v>4108</v>
      </c>
      <c r="B1764" t="s">
        <v>4109</v>
      </c>
      <c r="C1764">
        <v>2024</v>
      </c>
      <c r="D1764" s="18">
        <v>45415</v>
      </c>
      <c r="E1764" s="18">
        <v>45779</v>
      </c>
      <c r="F1764" s="18" t="s">
        <v>611</v>
      </c>
      <c r="G1764" t="s">
        <v>101</v>
      </c>
      <c r="H1764">
        <v>1</v>
      </c>
      <c r="I1764">
        <v>1</v>
      </c>
      <c r="J1764" s="27">
        <v>42381.32</v>
      </c>
      <c r="K1764" s="27">
        <v>3000000</v>
      </c>
    </row>
    <row r="1765" spans="1:11" ht="15" customHeight="1" x14ac:dyDescent="0.2">
      <c r="A1765" t="s">
        <v>4110</v>
      </c>
      <c r="B1765" t="s">
        <v>4111</v>
      </c>
      <c r="C1765">
        <v>2024</v>
      </c>
      <c r="D1765" s="18">
        <v>45416</v>
      </c>
      <c r="E1765" s="18">
        <v>45780</v>
      </c>
      <c r="F1765" s="18" t="s">
        <v>608</v>
      </c>
      <c r="G1765" t="s">
        <v>100</v>
      </c>
      <c r="H1765">
        <v>1</v>
      </c>
      <c r="I1765">
        <v>1</v>
      </c>
      <c r="J1765" s="27">
        <v>48025.81</v>
      </c>
      <c r="K1765" s="27">
        <v>4000000</v>
      </c>
    </row>
    <row r="1766" spans="1:11" ht="15" customHeight="1" x14ac:dyDescent="0.2">
      <c r="A1766" t="s">
        <v>4112</v>
      </c>
      <c r="B1766" t="s">
        <v>4113</v>
      </c>
      <c r="C1766">
        <v>2024</v>
      </c>
      <c r="D1766" s="18">
        <v>45416</v>
      </c>
      <c r="E1766" s="18">
        <v>45780</v>
      </c>
      <c r="F1766" s="18" t="s">
        <v>608</v>
      </c>
      <c r="G1766" t="s">
        <v>101</v>
      </c>
      <c r="H1766">
        <v>1</v>
      </c>
      <c r="I1766">
        <v>2</v>
      </c>
      <c r="J1766" s="27">
        <v>170910.68</v>
      </c>
      <c r="K1766" s="27">
        <v>10000000</v>
      </c>
    </row>
    <row r="1767" spans="1:11" ht="15" customHeight="1" x14ac:dyDescent="0.2">
      <c r="A1767" t="s">
        <v>4114</v>
      </c>
      <c r="B1767" t="s">
        <v>4115</v>
      </c>
      <c r="C1767">
        <v>2024</v>
      </c>
      <c r="D1767" s="18">
        <v>45416</v>
      </c>
      <c r="E1767" s="18">
        <v>45780</v>
      </c>
      <c r="F1767" s="18" t="s">
        <v>611</v>
      </c>
      <c r="G1767" t="s">
        <v>102</v>
      </c>
      <c r="H1767">
        <v>2</v>
      </c>
      <c r="I1767">
        <v>4</v>
      </c>
      <c r="J1767" s="27">
        <v>21389.24</v>
      </c>
      <c r="K1767" s="27">
        <v>3000000</v>
      </c>
    </row>
    <row r="1768" spans="1:11" ht="15" customHeight="1" x14ac:dyDescent="0.2">
      <c r="A1768" t="s">
        <v>4116</v>
      </c>
      <c r="B1768" t="s">
        <v>4117</v>
      </c>
      <c r="C1768">
        <v>2024</v>
      </c>
      <c r="D1768" s="18">
        <v>45416</v>
      </c>
      <c r="E1768" s="18">
        <v>45780</v>
      </c>
      <c r="F1768" s="18" t="s">
        <v>611</v>
      </c>
      <c r="G1768" t="s">
        <v>100</v>
      </c>
      <c r="H1768">
        <v>1</v>
      </c>
      <c r="I1768">
        <v>2</v>
      </c>
      <c r="J1768" s="27">
        <v>65920.75</v>
      </c>
      <c r="K1768" s="27">
        <v>5000000</v>
      </c>
    </row>
    <row r="1769" spans="1:11" ht="15" customHeight="1" x14ac:dyDescent="0.2">
      <c r="A1769" t="s">
        <v>4118</v>
      </c>
      <c r="B1769" t="s">
        <v>4119</v>
      </c>
      <c r="C1769">
        <v>2024</v>
      </c>
      <c r="D1769" s="18">
        <v>45416</v>
      </c>
      <c r="E1769" s="18">
        <v>45780</v>
      </c>
      <c r="F1769" s="18" t="s">
        <v>611</v>
      </c>
      <c r="G1769" t="s">
        <v>101</v>
      </c>
      <c r="H1769">
        <v>3</v>
      </c>
      <c r="I1769">
        <v>6</v>
      </c>
      <c r="J1769" s="27">
        <v>16094.13</v>
      </c>
      <c r="K1769" s="27">
        <v>1000000</v>
      </c>
    </row>
    <row r="1770" spans="1:11" ht="15" customHeight="1" x14ac:dyDescent="0.2">
      <c r="A1770" t="s">
        <v>4120</v>
      </c>
      <c r="B1770" t="s">
        <v>4121</v>
      </c>
      <c r="C1770">
        <v>2024</v>
      </c>
      <c r="D1770" s="18">
        <v>45416</v>
      </c>
      <c r="E1770" s="18">
        <v>45780</v>
      </c>
      <c r="F1770" s="18" t="s">
        <v>611</v>
      </c>
      <c r="G1770" t="s">
        <v>102</v>
      </c>
      <c r="H1770">
        <v>2</v>
      </c>
      <c r="I1770">
        <v>4</v>
      </c>
      <c r="J1770" s="27">
        <v>10172.700000000001</v>
      </c>
      <c r="K1770" s="27">
        <v>1500000</v>
      </c>
    </row>
    <row r="1771" spans="1:11" ht="15" customHeight="1" x14ac:dyDescent="0.2">
      <c r="A1771" t="s">
        <v>4122</v>
      </c>
      <c r="B1771" t="s">
        <v>4123</v>
      </c>
      <c r="C1771">
        <v>2024</v>
      </c>
      <c r="D1771" s="18">
        <v>45416</v>
      </c>
      <c r="E1771" s="18">
        <v>45780</v>
      </c>
      <c r="F1771" s="18" t="s">
        <v>611</v>
      </c>
      <c r="G1771" t="s">
        <v>100</v>
      </c>
      <c r="H1771">
        <v>2</v>
      </c>
      <c r="I1771">
        <v>2</v>
      </c>
      <c r="J1771" s="27">
        <v>12960.03</v>
      </c>
      <c r="K1771" s="27">
        <v>1000000</v>
      </c>
    </row>
    <row r="1772" spans="1:11" ht="15" customHeight="1" x14ac:dyDescent="0.2">
      <c r="A1772" t="s">
        <v>4124</v>
      </c>
      <c r="B1772" t="s">
        <v>4125</v>
      </c>
      <c r="C1772">
        <v>2024</v>
      </c>
      <c r="D1772" s="18">
        <v>45416</v>
      </c>
      <c r="E1772" s="18">
        <v>45780</v>
      </c>
      <c r="F1772" s="18" t="s">
        <v>611</v>
      </c>
      <c r="G1772" t="s">
        <v>101</v>
      </c>
      <c r="H1772">
        <v>3</v>
      </c>
      <c r="I1772">
        <v>6</v>
      </c>
      <c r="J1772" s="27">
        <v>53764.93</v>
      </c>
      <c r="K1772" s="27">
        <v>3500000</v>
      </c>
    </row>
    <row r="1773" spans="1:11" ht="15" customHeight="1" x14ac:dyDescent="0.2">
      <c r="A1773" t="s">
        <v>4126</v>
      </c>
      <c r="B1773" t="s">
        <v>4127</v>
      </c>
      <c r="C1773">
        <v>2024</v>
      </c>
      <c r="D1773" s="18">
        <v>45416</v>
      </c>
      <c r="E1773" s="18">
        <v>45780</v>
      </c>
      <c r="F1773" s="18" t="s">
        <v>611</v>
      </c>
      <c r="G1773" t="s">
        <v>101</v>
      </c>
      <c r="H1773">
        <v>1</v>
      </c>
      <c r="I1773">
        <v>2</v>
      </c>
      <c r="J1773" s="27">
        <v>144830.41</v>
      </c>
      <c r="K1773" s="27">
        <v>10000000</v>
      </c>
    </row>
    <row r="1774" spans="1:11" ht="15" customHeight="1" x14ac:dyDescent="0.2">
      <c r="A1774" t="s">
        <v>4128</v>
      </c>
      <c r="B1774" t="s">
        <v>4129</v>
      </c>
      <c r="C1774">
        <v>2024</v>
      </c>
      <c r="D1774" s="18">
        <v>45417</v>
      </c>
      <c r="E1774" s="18">
        <v>45781</v>
      </c>
      <c r="F1774" s="18" t="s">
        <v>608</v>
      </c>
      <c r="G1774" t="s">
        <v>101</v>
      </c>
      <c r="H1774">
        <v>3</v>
      </c>
      <c r="I1774">
        <v>6</v>
      </c>
      <c r="J1774" s="27">
        <v>59375.32</v>
      </c>
      <c r="K1774" s="27">
        <v>4000000</v>
      </c>
    </row>
    <row r="1775" spans="1:11" ht="15" customHeight="1" x14ac:dyDescent="0.2">
      <c r="A1775" t="s">
        <v>4130</v>
      </c>
      <c r="B1775" t="s">
        <v>4131</v>
      </c>
      <c r="C1775">
        <v>2024</v>
      </c>
      <c r="D1775" s="18">
        <v>45417</v>
      </c>
      <c r="E1775" s="18">
        <v>45781</v>
      </c>
      <c r="F1775" s="18" t="s">
        <v>611</v>
      </c>
      <c r="G1775" t="s">
        <v>100</v>
      </c>
      <c r="H1775">
        <v>1</v>
      </c>
      <c r="I1775">
        <v>1</v>
      </c>
      <c r="J1775" s="27">
        <v>67357.2</v>
      </c>
      <c r="K1775" s="27">
        <v>5000000</v>
      </c>
    </row>
    <row r="1776" spans="1:11" ht="15" customHeight="1" x14ac:dyDescent="0.2">
      <c r="A1776" t="s">
        <v>4132</v>
      </c>
      <c r="B1776" t="s">
        <v>4133</v>
      </c>
      <c r="C1776">
        <v>2024</v>
      </c>
      <c r="D1776" s="18">
        <v>45417</v>
      </c>
      <c r="E1776" s="18">
        <v>45781</v>
      </c>
      <c r="F1776" s="18" t="s">
        <v>611</v>
      </c>
      <c r="G1776" t="s">
        <v>100</v>
      </c>
      <c r="H1776">
        <v>2</v>
      </c>
      <c r="I1776">
        <v>4</v>
      </c>
      <c r="J1776" s="27">
        <v>11387.34</v>
      </c>
      <c r="K1776" s="27">
        <v>1000000</v>
      </c>
    </row>
    <row r="1777" spans="1:11" ht="15" customHeight="1" x14ac:dyDescent="0.2">
      <c r="A1777" t="s">
        <v>4134</v>
      </c>
      <c r="B1777" t="s">
        <v>4135</v>
      </c>
      <c r="C1777">
        <v>2024</v>
      </c>
      <c r="D1777" s="18">
        <v>45417</v>
      </c>
      <c r="E1777" s="18">
        <v>45781</v>
      </c>
      <c r="F1777" s="18" t="s">
        <v>611</v>
      </c>
      <c r="G1777" t="s">
        <v>99</v>
      </c>
      <c r="H1777">
        <v>1</v>
      </c>
      <c r="I1777">
        <v>2</v>
      </c>
      <c r="J1777" s="27">
        <v>17970.59</v>
      </c>
      <c r="K1777" s="27">
        <v>2000000</v>
      </c>
    </row>
    <row r="1778" spans="1:11" ht="15" customHeight="1" x14ac:dyDescent="0.2">
      <c r="A1778" t="s">
        <v>4136</v>
      </c>
      <c r="B1778" t="s">
        <v>4137</v>
      </c>
      <c r="C1778">
        <v>2024</v>
      </c>
      <c r="D1778" s="18">
        <v>45417</v>
      </c>
      <c r="E1778" s="18">
        <v>45781</v>
      </c>
      <c r="F1778" s="18" t="s">
        <v>611</v>
      </c>
      <c r="G1778" t="s">
        <v>100</v>
      </c>
      <c r="H1778">
        <v>3</v>
      </c>
      <c r="I1778">
        <v>3</v>
      </c>
      <c r="J1778" s="27">
        <v>19081.14</v>
      </c>
      <c r="K1778" s="27">
        <v>1500000</v>
      </c>
    </row>
    <row r="1779" spans="1:11" ht="15" customHeight="1" x14ac:dyDescent="0.2">
      <c r="A1779" t="s">
        <v>4138</v>
      </c>
      <c r="B1779" t="s">
        <v>4139</v>
      </c>
      <c r="C1779">
        <v>2024</v>
      </c>
      <c r="D1779" s="18">
        <v>45418</v>
      </c>
      <c r="E1779" s="18">
        <v>45782</v>
      </c>
      <c r="F1779" s="18" t="s">
        <v>608</v>
      </c>
      <c r="G1779" t="s">
        <v>99</v>
      </c>
      <c r="H1779">
        <v>3</v>
      </c>
      <c r="I1779">
        <v>3</v>
      </c>
      <c r="J1779" s="27">
        <v>17561.61</v>
      </c>
      <c r="K1779" s="27">
        <v>2000000</v>
      </c>
    </row>
    <row r="1780" spans="1:11" ht="15" customHeight="1" x14ac:dyDescent="0.2">
      <c r="A1780" t="s">
        <v>4140</v>
      </c>
      <c r="B1780" t="s">
        <v>4141</v>
      </c>
      <c r="C1780">
        <v>2024</v>
      </c>
      <c r="D1780" s="18">
        <v>45418</v>
      </c>
      <c r="E1780" s="18">
        <v>45782</v>
      </c>
      <c r="F1780" s="18" t="s">
        <v>611</v>
      </c>
      <c r="G1780" t="s">
        <v>99</v>
      </c>
      <c r="H1780">
        <v>3</v>
      </c>
      <c r="I1780">
        <v>6</v>
      </c>
      <c r="J1780" s="27">
        <v>21101.68</v>
      </c>
      <c r="K1780" s="27">
        <v>2500000</v>
      </c>
    </row>
    <row r="1781" spans="1:11" ht="15" customHeight="1" x14ac:dyDescent="0.2">
      <c r="A1781" t="s">
        <v>4142</v>
      </c>
      <c r="B1781" t="s">
        <v>4143</v>
      </c>
      <c r="C1781">
        <v>2024</v>
      </c>
      <c r="D1781" s="18">
        <v>45418</v>
      </c>
      <c r="E1781" s="18">
        <v>45782</v>
      </c>
      <c r="F1781" s="18" t="s">
        <v>611</v>
      </c>
      <c r="G1781" t="s">
        <v>100</v>
      </c>
      <c r="H1781">
        <v>1</v>
      </c>
      <c r="I1781">
        <v>1</v>
      </c>
      <c r="J1781" s="27">
        <v>65751.259999999995</v>
      </c>
      <c r="K1781" s="27">
        <v>5000000</v>
      </c>
    </row>
    <row r="1782" spans="1:11" ht="15" customHeight="1" x14ac:dyDescent="0.2">
      <c r="A1782" t="s">
        <v>4144</v>
      </c>
      <c r="B1782" t="s">
        <v>4145</v>
      </c>
      <c r="C1782">
        <v>2024</v>
      </c>
      <c r="D1782" s="18">
        <v>45419</v>
      </c>
      <c r="E1782" s="18">
        <v>45783</v>
      </c>
      <c r="F1782" s="18" t="s">
        <v>611</v>
      </c>
      <c r="G1782" t="s">
        <v>99</v>
      </c>
      <c r="H1782">
        <v>1</v>
      </c>
      <c r="I1782">
        <v>2</v>
      </c>
      <c r="J1782" s="27">
        <v>85552.06</v>
      </c>
      <c r="K1782" s="27">
        <v>10000000</v>
      </c>
    </row>
    <row r="1783" spans="1:11" ht="15" customHeight="1" x14ac:dyDescent="0.2">
      <c r="A1783" t="s">
        <v>4146</v>
      </c>
      <c r="B1783" t="s">
        <v>4147</v>
      </c>
      <c r="C1783">
        <v>2024</v>
      </c>
      <c r="D1783" s="18">
        <v>45419</v>
      </c>
      <c r="E1783" s="18">
        <v>45783</v>
      </c>
      <c r="F1783" s="18" t="s">
        <v>611</v>
      </c>
      <c r="G1783" t="s">
        <v>101</v>
      </c>
      <c r="H1783">
        <v>1</v>
      </c>
      <c r="I1783">
        <v>2</v>
      </c>
      <c r="J1783" s="27">
        <v>8032.32</v>
      </c>
      <c r="K1783" s="27">
        <v>500000</v>
      </c>
    </row>
    <row r="1784" spans="1:11" ht="15" customHeight="1" x14ac:dyDescent="0.2">
      <c r="A1784" t="s">
        <v>4148</v>
      </c>
      <c r="B1784" t="s">
        <v>4149</v>
      </c>
      <c r="C1784">
        <v>2024</v>
      </c>
      <c r="D1784" s="18">
        <v>45419</v>
      </c>
      <c r="E1784" s="18">
        <v>45783</v>
      </c>
      <c r="F1784" s="18" t="s">
        <v>611</v>
      </c>
      <c r="G1784" t="s">
        <v>99</v>
      </c>
      <c r="H1784">
        <v>3</v>
      </c>
      <c r="I1784">
        <v>3</v>
      </c>
      <c r="J1784" s="27">
        <v>89891.86</v>
      </c>
      <c r="K1784" s="27">
        <v>10000000</v>
      </c>
    </row>
    <row r="1785" spans="1:11" ht="15" customHeight="1" x14ac:dyDescent="0.2">
      <c r="A1785" t="s">
        <v>4150</v>
      </c>
      <c r="B1785" t="s">
        <v>4151</v>
      </c>
      <c r="C1785">
        <v>2024</v>
      </c>
      <c r="D1785" s="18">
        <v>45419</v>
      </c>
      <c r="E1785" s="18">
        <v>45783</v>
      </c>
      <c r="F1785" s="18" t="s">
        <v>611</v>
      </c>
      <c r="G1785" t="s">
        <v>100</v>
      </c>
      <c r="H1785">
        <v>1</v>
      </c>
      <c r="I1785">
        <v>2</v>
      </c>
      <c r="J1785" s="27">
        <v>19615.84</v>
      </c>
      <c r="K1785" s="27">
        <v>1500000</v>
      </c>
    </row>
    <row r="1786" spans="1:11" ht="15" customHeight="1" x14ac:dyDescent="0.2">
      <c r="A1786" t="s">
        <v>4152</v>
      </c>
      <c r="B1786" t="s">
        <v>4153</v>
      </c>
      <c r="C1786">
        <v>2024</v>
      </c>
      <c r="D1786" s="18">
        <v>45419</v>
      </c>
      <c r="E1786" s="18">
        <v>45783</v>
      </c>
      <c r="F1786" s="18" t="s">
        <v>611</v>
      </c>
      <c r="G1786" t="s">
        <v>101</v>
      </c>
      <c r="H1786">
        <v>1</v>
      </c>
      <c r="I1786">
        <v>1</v>
      </c>
      <c r="J1786" s="27">
        <v>40241.589999999997</v>
      </c>
      <c r="K1786" s="27">
        <v>2500000</v>
      </c>
    </row>
    <row r="1787" spans="1:11" ht="15" customHeight="1" x14ac:dyDescent="0.2">
      <c r="A1787" t="s">
        <v>4154</v>
      </c>
      <c r="B1787" t="s">
        <v>4155</v>
      </c>
      <c r="C1787">
        <v>2024</v>
      </c>
      <c r="D1787" s="18">
        <v>45419</v>
      </c>
      <c r="E1787" s="18">
        <v>45783</v>
      </c>
      <c r="F1787" s="18" t="s">
        <v>611</v>
      </c>
      <c r="G1787" t="s">
        <v>99</v>
      </c>
      <c r="H1787">
        <v>2</v>
      </c>
      <c r="I1787">
        <v>2</v>
      </c>
      <c r="J1787" s="27">
        <v>82614.17</v>
      </c>
      <c r="K1787" s="27">
        <v>10000000</v>
      </c>
    </row>
    <row r="1788" spans="1:11" ht="15" customHeight="1" x14ac:dyDescent="0.2">
      <c r="A1788" t="s">
        <v>4156</v>
      </c>
      <c r="B1788" t="s">
        <v>4157</v>
      </c>
      <c r="C1788">
        <v>2024</v>
      </c>
      <c r="D1788" s="18">
        <v>45419</v>
      </c>
      <c r="E1788" s="18">
        <v>45783</v>
      </c>
      <c r="F1788" s="18" t="s">
        <v>611</v>
      </c>
      <c r="G1788" t="s">
        <v>99</v>
      </c>
      <c r="H1788">
        <v>2</v>
      </c>
      <c r="I1788">
        <v>4</v>
      </c>
      <c r="J1788" s="27">
        <v>86669.5</v>
      </c>
      <c r="K1788" s="27">
        <v>10000000</v>
      </c>
    </row>
    <row r="1789" spans="1:11" ht="15" customHeight="1" x14ac:dyDescent="0.2">
      <c r="A1789" t="s">
        <v>4158</v>
      </c>
      <c r="B1789" t="s">
        <v>4159</v>
      </c>
      <c r="C1789">
        <v>2024</v>
      </c>
      <c r="D1789" s="18">
        <v>45419</v>
      </c>
      <c r="E1789" s="18">
        <v>45783</v>
      </c>
      <c r="F1789" s="18" t="s">
        <v>611</v>
      </c>
      <c r="G1789" t="s">
        <v>100</v>
      </c>
      <c r="H1789">
        <v>1</v>
      </c>
      <c r="I1789">
        <v>1</v>
      </c>
      <c r="J1789" s="27">
        <v>126161.51</v>
      </c>
      <c r="K1789" s="27">
        <v>10000000</v>
      </c>
    </row>
    <row r="1790" spans="1:11" ht="15" customHeight="1" x14ac:dyDescent="0.2">
      <c r="A1790" t="s">
        <v>4160</v>
      </c>
      <c r="B1790" t="s">
        <v>4161</v>
      </c>
      <c r="C1790">
        <v>2024</v>
      </c>
      <c r="D1790" s="18">
        <v>45419</v>
      </c>
      <c r="E1790" s="18">
        <v>45783</v>
      </c>
      <c r="F1790" s="18" t="s">
        <v>611</v>
      </c>
      <c r="G1790" t="s">
        <v>100</v>
      </c>
      <c r="H1790">
        <v>2</v>
      </c>
      <c r="I1790">
        <v>4</v>
      </c>
      <c r="J1790" s="27">
        <v>50023.66</v>
      </c>
      <c r="K1790" s="27">
        <v>4500000</v>
      </c>
    </row>
    <row r="1791" spans="1:11" ht="15" customHeight="1" x14ac:dyDescent="0.2">
      <c r="A1791" t="s">
        <v>4162</v>
      </c>
      <c r="B1791" t="s">
        <v>4163</v>
      </c>
      <c r="C1791">
        <v>2024</v>
      </c>
      <c r="D1791" s="18">
        <v>45419</v>
      </c>
      <c r="E1791" s="18">
        <v>45783</v>
      </c>
      <c r="F1791" s="18" t="s">
        <v>611</v>
      </c>
      <c r="G1791" t="s">
        <v>100</v>
      </c>
      <c r="H1791">
        <v>1</v>
      </c>
      <c r="I1791">
        <v>1</v>
      </c>
      <c r="J1791" s="27">
        <v>58199.24</v>
      </c>
      <c r="K1791" s="27">
        <v>5000000</v>
      </c>
    </row>
    <row r="1792" spans="1:11" ht="15" customHeight="1" x14ac:dyDescent="0.2">
      <c r="A1792" t="s">
        <v>4164</v>
      </c>
      <c r="B1792" t="s">
        <v>4165</v>
      </c>
      <c r="C1792">
        <v>2024</v>
      </c>
      <c r="D1792" s="18">
        <v>45419</v>
      </c>
      <c r="E1792" s="18">
        <v>45783</v>
      </c>
      <c r="F1792" s="18" t="s">
        <v>611</v>
      </c>
      <c r="G1792" t="s">
        <v>102</v>
      </c>
      <c r="H1792">
        <v>2</v>
      </c>
      <c r="I1792">
        <v>2</v>
      </c>
      <c r="J1792" s="27">
        <v>14386.32</v>
      </c>
      <c r="K1792" s="27">
        <v>2000000</v>
      </c>
    </row>
    <row r="1793" spans="1:11" ht="15" customHeight="1" x14ac:dyDescent="0.2">
      <c r="A1793" t="s">
        <v>4166</v>
      </c>
      <c r="B1793" t="s">
        <v>4167</v>
      </c>
      <c r="C1793">
        <v>2024</v>
      </c>
      <c r="D1793" s="18">
        <v>45419</v>
      </c>
      <c r="E1793" s="18">
        <v>45783</v>
      </c>
      <c r="F1793" s="18" t="s">
        <v>611</v>
      </c>
      <c r="G1793" t="s">
        <v>102</v>
      </c>
      <c r="H1793">
        <v>2</v>
      </c>
      <c r="I1793">
        <v>4</v>
      </c>
      <c r="J1793" s="27">
        <v>27367.85</v>
      </c>
      <c r="K1793" s="27">
        <v>4000000</v>
      </c>
    </row>
    <row r="1794" spans="1:11" ht="15" customHeight="1" x14ac:dyDescent="0.2">
      <c r="A1794" t="s">
        <v>4168</v>
      </c>
      <c r="B1794" t="s">
        <v>4169</v>
      </c>
      <c r="C1794">
        <v>2024</v>
      </c>
      <c r="D1794" s="18">
        <v>45420</v>
      </c>
      <c r="E1794" s="18">
        <v>45784</v>
      </c>
      <c r="F1794" s="18" t="s">
        <v>608</v>
      </c>
      <c r="G1794" t="s">
        <v>99</v>
      </c>
      <c r="H1794">
        <v>1</v>
      </c>
      <c r="I1794">
        <v>1</v>
      </c>
      <c r="J1794" s="27">
        <v>40584.43</v>
      </c>
      <c r="K1794" s="27">
        <v>4500000</v>
      </c>
    </row>
    <row r="1795" spans="1:11" ht="15" customHeight="1" x14ac:dyDescent="0.2">
      <c r="A1795" t="s">
        <v>4170</v>
      </c>
      <c r="B1795" t="s">
        <v>4171</v>
      </c>
      <c r="C1795">
        <v>2024</v>
      </c>
      <c r="D1795" s="18">
        <v>45420</v>
      </c>
      <c r="E1795" s="18">
        <v>45784</v>
      </c>
      <c r="F1795" s="18" t="s">
        <v>611</v>
      </c>
      <c r="G1795" t="s">
        <v>100</v>
      </c>
      <c r="H1795">
        <v>1</v>
      </c>
      <c r="I1795">
        <v>1</v>
      </c>
      <c r="J1795" s="27">
        <v>50964.38</v>
      </c>
      <c r="K1795" s="27">
        <v>4500000</v>
      </c>
    </row>
    <row r="1796" spans="1:11" ht="15" customHeight="1" x14ac:dyDescent="0.2">
      <c r="A1796" t="s">
        <v>4172</v>
      </c>
      <c r="B1796" t="s">
        <v>4173</v>
      </c>
      <c r="C1796">
        <v>2024</v>
      </c>
      <c r="D1796" s="18">
        <v>45420</v>
      </c>
      <c r="E1796" s="18">
        <v>45784</v>
      </c>
      <c r="F1796" s="18" t="s">
        <v>611</v>
      </c>
      <c r="G1796" t="s">
        <v>99</v>
      </c>
      <c r="H1796">
        <v>1</v>
      </c>
      <c r="I1796">
        <v>2</v>
      </c>
      <c r="J1796" s="27">
        <v>87329.01</v>
      </c>
      <c r="K1796" s="27">
        <v>10000000</v>
      </c>
    </row>
    <row r="1797" spans="1:11" ht="15" customHeight="1" x14ac:dyDescent="0.2">
      <c r="A1797" t="s">
        <v>4174</v>
      </c>
      <c r="B1797" t="s">
        <v>4175</v>
      </c>
      <c r="C1797">
        <v>2024</v>
      </c>
      <c r="D1797" s="18">
        <v>45420</v>
      </c>
      <c r="E1797" s="18">
        <v>45784</v>
      </c>
      <c r="F1797" s="18" t="s">
        <v>611</v>
      </c>
      <c r="G1797" t="s">
        <v>102</v>
      </c>
      <c r="H1797">
        <v>1</v>
      </c>
      <c r="I1797">
        <v>1</v>
      </c>
      <c r="J1797" s="27">
        <v>66865.88</v>
      </c>
      <c r="K1797" s="27">
        <v>10000000</v>
      </c>
    </row>
    <row r="1798" spans="1:11" ht="15" customHeight="1" x14ac:dyDescent="0.2">
      <c r="A1798" t="s">
        <v>4176</v>
      </c>
      <c r="B1798" t="s">
        <v>4177</v>
      </c>
      <c r="C1798">
        <v>2024</v>
      </c>
      <c r="D1798" s="18">
        <v>45420</v>
      </c>
      <c r="E1798" s="18">
        <v>45784</v>
      </c>
      <c r="F1798" s="18" t="s">
        <v>611</v>
      </c>
      <c r="G1798" t="s">
        <v>99</v>
      </c>
      <c r="H1798">
        <v>3</v>
      </c>
      <c r="I1798">
        <v>3</v>
      </c>
      <c r="J1798" s="27">
        <v>8631.99</v>
      </c>
      <c r="K1798" s="27">
        <v>1000000</v>
      </c>
    </row>
    <row r="1799" spans="1:11" ht="15" customHeight="1" x14ac:dyDescent="0.2">
      <c r="A1799" t="s">
        <v>4178</v>
      </c>
      <c r="B1799" t="s">
        <v>4179</v>
      </c>
      <c r="C1799">
        <v>2024</v>
      </c>
      <c r="D1799" s="18">
        <v>45420</v>
      </c>
      <c r="E1799" s="18">
        <v>45784</v>
      </c>
      <c r="F1799" s="18" t="s">
        <v>611</v>
      </c>
      <c r="G1799" t="s">
        <v>102</v>
      </c>
      <c r="H1799">
        <v>3</v>
      </c>
      <c r="I1799">
        <v>6</v>
      </c>
      <c r="J1799" s="27">
        <v>37331.26</v>
      </c>
      <c r="K1799" s="27">
        <v>5000000</v>
      </c>
    </row>
    <row r="1800" spans="1:11" ht="15" customHeight="1" x14ac:dyDescent="0.2">
      <c r="A1800" t="s">
        <v>4180</v>
      </c>
      <c r="B1800" t="s">
        <v>4181</v>
      </c>
      <c r="C1800">
        <v>2024</v>
      </c>
      <c r="D1800" s="18">
        <v>45420</v>
      </c>
      <c r="E1800" s="18">
        <v>45784</v>
      </c>
      <c r="F1800" s="18" t="s">
        <v>611</v>
      </c>
      <c r="G1800" t="s">
        <v>102</v>
      </c>
      <c r="H1800">
        <v>3</v>
      </c>
      <c r="I1800">
        <v>3</v>
      </c>
      <c r="J1800" s="27">
        <v>20273.89</v>
      </c>
      <c r="K1800" s="27">
        <v>3000000</v>
      </c>
    </row>
    <row r="1801" spans="1:11" ht="15" customHeight="1" x14ac:dyDescent="0.2">
      <c r="A1801" t="s">
        <v>4182</v>
      </c>
      <c r="B1801" t="s">
        <v>4183</v>
      </c>
      <c r="C1801">
        <v>2024</v>
      </c>
      <c r="D1801" s="18">
        <v>45420</v>
      </c>
      <c r="E1801" s="18">
        <v>45784</v>
      </c>
      <c r="F1801" s="18" t="s">
        <v>611</v>
      </c>
      <c r="G1801" t="s">
        <v>99</v>
      </c>
      <c r="H1801">
        <v>1</v>
      </c>
      <c r="I1801">
        <v>1</v>
      </c>
      <c r="J1801" s="27">
        <v>41475.230000000003</v>
      </c>
      <c r="K1801" s="27">
        <v>5000000</v>
      </c>
    </row>
    <row r="1802" spans="1:11" ht="15" customHeight="1" x14ac:dyDescent="0.2">
      <c r="A1802" t="s">
        <v>4184</v>
      </c>
      <c r="B1802" t="s">
        <v>4185</v>
      </c>
      <c r="C1802">
        <v>2024</v>
      </c>
      <c r="D1802" s="18">
        <v>45420</v>
      </c>
      <c r="E1802" s="18">
        <v>45784</v>
      </c>
      <c r="F1802" s="18" t="s">
        <v>611</v>
      </c>
      <c r="G1802" t="s">
        <v>100</v>
      </c>
      <c r="H1802">
        <v>2</v>
      </c>
      <c r="I1802">
        <v>2</v>
      </c>
      <c r="J1802" s="27">
        <v>129497.59</v>
      </c>
      <c r="K1802" s="27">
        <v>10000000</v>
      </c>
    </row>
    <row r="1803" spans="1:11" ht="15" customHeight="1" x14ac:dyDescent="0.2">
      <c r="A1803" t="s">
        <v>4186</v>
      </c>
      <c r="B1803" t="s">
        <v>4187</v>
      </c>
      <c r="C1803">
        <v>2024</v>
      </c>
      <c r="D1803" s="18">
        <v>45421</v>
      </c>
      <c r="E1803" s="18">
        <v>45785</v>
      </c>
      <c r="F1803" s="18" t="s">
        <v>608</v>
      </c>
      <c r="G1803" t="s">
        <v>101</v>
      </c>
      <c r="H1803">
        <v>3</v>
      </c>
      <c r="I1803">
        <v>3</v>
      </c>
      <c r="J1803" s="27">
        <v>7921.44</v>
      </c>
      <c r="K1803" s="27">
        <v>500000</v>
      </c>
    </row>
    <row r="1804" spans="1:11" ht="15" customHeight="1" x14ac:dyDescent="0.2">
      <c r="A1804" t="s">
        <v>4188</v>
      </c>
      <c r="B1804" t="s">
        <v>4189</v>
      </c>
      <c r="C1804">
        <v>2024</v>
      </c>
      <c r="D1804" s="18">
        <v>45421</v>
      </c>
      <c r="E1804" s="18">
        <v>45785</v>
      </c>
      <c r="F1804" s="18" t="s">
        <v>611</v>
      </c>
      <c r="G1804" t="s">
        <v>101</v>
      </c>
      <c r="H1804">
        <v>2</v>
      </c>
      <c r="I1804">
        <v>4</v>
      </c>
      <c r="J1804" s="27">
        <v>78168.399999999994</v>
      </c>
      <c r="K1804" s="27">
        <v>5000000</v>
      </c>
    </row>
    <row r="1805" spans="1:11" ht="15" customHeight="1" x14ac:dyDescent="0.2">
      <c r="A1805" t="s">
        <v>4190</v>
      </c>
      <c r="B1805" t="s">
        <v>4191</v>
      </c>
      <c r="C1805">
        <v>2024</v>
      </c>
      <c r="D1805" s="18">
        <v>45421</v>
      </c>
      <c r="E1805" s="18">
        <v>45785</v>
      </c>
      <c r="F1805" s="18" t="s">
        <v>611</v>
      </c>
      <c r="G1805" t="s">
        <v>100</v>
      </c>
      <c r="H1805">
        <v>3</v>
      </c>
      <c r="I1805">
        <v>6</v>
      </c>
      <c r="J1805" s="27">
        <v>52242.85</v>
      </c>
      <c r="K1805" s="27">
        <v>4000000</v>
      </c>
    </row>
    <row r="1806" spans="1:11" ht="15" customHeight="1" x14ac:dyDescent="0.2">
      <c r="A1806" t="s">
        <v>4192</v>
      </c>
      <c r="B1806" t="s">
        <v>4193</v>
      </c>
      <c r="C1806">
        <v>2024</v>
      </c>
      <c r="D1806" s="18">
        <v>45421</v>
      </c>
      <c r="E1806" s="18">
        <v>45785</v>
      </c>
      <c r="F1806" s="18" t="s">
        <v>611</v>
      </c>
      <c r="G1806" t="s">
        <v>99</v>
      </c>
      <c r="H1806">
        <v>1</v>
      </c>
      <c r="I1806">
        <v>1</v>
      </c>
      <c r="J1806" s="27">
        <v>7913.65</v>
      </c>
      <c r="K1806" s="27">
        <v>1000000</v>
      </c>
    </row>
    <row r="1807" spans="1:11" ht="15" customHeight="1" x14ac:dyDescent="0.2">
      <c r="A1807" t="s">
        <v>4194</v>
      </c>
      <c r="B1807" t="s">
        <v>4195</v>
      </c>
      <c r="C1807">
        <v>2024</v>
      </c>
      <c r="D1807" s="18">
        <v>45421</v>
      </c>
      <c r="E1807" s="18">
        <v>45785</v>
      </c>
      <c r="F1807" s="18" t="s">
        <v>611</v>
      </c>
      <c r="G1807" t="s">
        <v>101</v>
      </c>
      <c r="H1807">
        <v>1</v>
      </c>
      <c r="I1807">
        <v>1</v>
      </c>
      <c r="J1807" s="27">
        <v>16527.23</v>
      </c>
      <c r="K1807" s="27">
        <v>1000000</v>
      </c>
    </row>
    <row r="1808" spans="1:11" ht="15" customHeight="1" x14ac:dyDescent="0.2">
      <c r="A1808" t="s">
        <v>4196</v>
      </c>
      <c r="B1808" t="s">
        <v>4197</v>
      </c>
      <c r="C1808">
        <v>2024</v>
      </c>
      <c r="D1808" s="18">
        <v>45421</v>
      </c>
      <c r="E1808" s="18">
        <v>45785</v>
      </c>
      <c r="F1808" s="18" t="s">
        <v>611</v>
      </c>
      <c r="G1808" t="s">
        <v>99</v>
      </c>
      <c r="H1808">
        <v>2</v>
      </c>
      <c r="I1808">
        <v>2</v>
      </c>
      <c r="J1808" s="27">
        <v>4022.69</v>
      </c>
      <c r="K1808" s="27">
        <v>500000</v>
      </c>
    </row>
    <row r="1809" spans="1:11" ht="15" customHeight="1" x14ac:dyDescent="0.2">
      <c r="A1809" t="s">
        <v>4198</v>
      </c>
      <c r="B1809" t="s">
        <v>4199</v>
      </c>
      <c r="C1809">
        <v>2024</v>
      </c>
      <c r="D1809" s="18">
        <v>45421</v>
      </c>
      <c r="E1809" s="18">
        <v>45785</v>
      </c>
      <c r="F1809" s="18" t="s">
        <v>611</v>
      </c>
      <c r="G1809" t="s">
        <v>100</v>
      </c>
      <c r="H1809">
        <v>1</v>
      </c>
      <c r="I1809">
        <v>1</v>
      </c>
      <c r="J1809" s="27">
        <v>116325.36</v>
      </c>
      <c r="K1809" s="27">
        <v>10000000</v>
      </c>
    </row>
    <row r="1810" spans="1:11" ht="15" customHeight="1" x14ac:dyDescent="0.2">
      <c r="A1810" t="s">
        <v>4200</v>
      </c>
      <c r="B1810" t="s">
        <v>4201</v>
      </c>
      <c r="C1810">
        <v>2024</v>
      </c>
      <c r="D1810" s="18">
        <v>45421</v>
      </c>
      <c r="E1810" s="18">
        <v>45785</v>
      </c>
      <c r="F1810" s="18" t="s">
        <v>611</v>
      </c>
      <c r="G1810" t="s">
        <v>99</v>
      </c>
      <c r="H1810">
        <v>3</v>
      </c>
      <c r="I1810">
        <v>6</v>
      </c>
      <c r="J1810" s="27">
        <v>35233.040000000001</v>
      </c>
      <c r="K1810" s="27">
        <v>4500000</v>
      </c>
    </row>
    <row r="1811" spans="1:11" ht="15" customHeight="1" x14ac:dyDescent="0.2">
      <c r="A1811" t="s">
        <v>4202</v>
      </c>
      <c r="B1811" t="s">
        <v>4203</v>
      </c>
      <c r="C1811">
        <v>2024</v>
      </c>
      <c r="D1811" s="18">
        <v>45421</v>
      </c>
      <c r="E1811" s="18">
        <v>45785</v>
      </c>
      <c r="F1811" s="18" t="s">
        <v>611</v>
      </c>
      <c r="G1811" t="s">
        <v>102</v>
      </c>
      <c r="H1811">
        <v>1</v>
      </c>
      <c r="I1811">
        <v>2</v>
      </c>
      <c r="J1811" s="27">
        <v>33591.49</v>
      </c>
      <c r="K1811" s="27">
        <v>5000000</v>
      </c>
    </row>
    <row r="1812" spans="1:11" ht="15" customHeight="1" x14ac:dyDescent="0.2">
      <c r="A1812" t="s">
        <v>4204</v>
      </c>
      <c r="B1812" t="s">
        <v>4205</v>
      </c>
      <c r="C1812">
        <v>2024</v>
      </c>
      <c r="D1812" s="18">
        <v>45421</v>
      </c>
      <c r="E1812" s="18">
        <v>45785</v>
      </c>
      <c r="F1812" s="18" t="s">
        <v>611</v>
      </c>
      <c r="G1812" t="s">
        <v>101</v>
      </c>
      <c r="H1812">
        <v>1</v>
      </c>
      <c r="I1812">
        <v>1</v>
      </c>
      <c r="J1812" s="27">
        <v>146645.66</v>
      </c>
      <c r="K1812" s="27">
        <v>10000000</v>
      </c>
    </row>
    <row r="1813" spans="1:11" ht="15" customHeight="1" x14ac:dyDescent="0.2">
      <c r="A1813" t="s">
        <v>4206</v>
      </c>
      <c r="B1813" t="s">
        <v>4207</v>
      </c>
      <c r="C1813">
        <v>2024</v>
      </c>
      <c r="D1813" s="18">
        <v>45421</v>
      </c>
      <c r="E1813" s="18">
        <v>45785</v>
      </c>
      <c r="F1813" s="18" t="s">
        <v>611</v>
      </c>
      <c r="G1813" t="s">
        <v>101</v>
      </c>
      <c r="H1813">
        <v>2</v>
      </c>
      <c r="I1813">
        <v>2</v>
      </c>
      <c r="J1813" s="27">
        <v>15830.83</v>
      </c>
      <c r="K1813" s="27">
        <v>1000000</v>
      </c>
    </row>
    <row r="1814" spans="1:11" ht="15" customHeight="1" x14ac:dyDescent="0.2">
      <c r="A1814" t="s">
        <v>4208</v>
      </c>
      <c r="B1814" t="s">
        <v>4209</v>
      </c>
      <c r="C1814">
        <v>2024</v>
      </c>
      <c r="D1814" s="18">
        <v>45421</v>
      </c>
      <c r="E1814" s="18">
        <v>45785</v>
      </c>
      <c r="F1814" s="18" t="s">
        <v>611</v>
      </c>
      <c r="G1814" t="s">
        <v>102</v>
      </c>
      <c r="H1814">
        <v>1</v>
      </c>
      <c r="I1814">
        <v>2</v>
      </c>
      <c r="J1814" s="27">
        <v>7569.77</v>
      </c>
      <c r="K1814" s="27">
        <v>1000000</v>
      </c>
    </row>
    <row r="1815" spans="1:11" ht="15" customHeight="1" x14ac:dyDescent="0.2">
      <c r="A1815" t="s">
        <v>4210</v>
      </c>
      <c r="B1815" t="s">
        <v>4211</v>
      </c>
      <c r="C1815">
        <v>2024</v>
      </c>
      <c r="D1815" s="18">
        <v>45421</v>
      </c>
      <c r="E1815" s="18">
        <v>45785</v>
      </c>
      <c r="F1815" s="18" t="s">
        <v>611</v>
      </c>
      <c r="G1815" t="s">
        <v>100</v>
      </c>
      <c r="H1815">
        <v>2</v>
      </c>
      <c r="I1815">
        <v>2</v>
      </c>
      <c r="J1815" s="27">
        <v>45173.33</v>
      </c>
      <c r="K1815" s="27">
        <v>3500000</v>
      </c>
    </row>
    <row r="1816" spans="1:11" ht="15" customHeight="1" x14ac:dyDescent="0.2">
      <c r="A1816" t="s">
        <v>4212</v>
      </c>
      <c r="B1816" t="s">
        <v>4213</v>
      </c>
      <c r="C1816">
        <v>2024</v>
      </c>
      <c r="D1816" s="18">
        <v>45421</v>
      </c>
      <c r="E1816" s="18">
        <v>45785</v>
      </c>
      <c r="F1816" s="18" t="s">
        <v>611</v>
      </c>
      <c r="G1816" t="s">
        <v>101</v>
      </c>
      <c r="H1816">
        <v>1</v>
      </c>
      <c r="I1816">
        <v>2</v>
      </c>
      <c r="J1816" s="27">
        <v>151254.97</v>
      </c>
      <c r="K1816" s="27">
        <v>10000000</v>
      </c>
    </row>
    <row r="1817" spans="1:11" ht="15" customHeight="1" x14ac:dyDescent="0.2">
      <c r="A1817" t="s">
        <v>4214</v>
      </c>
      <c r="B1817" t="s">
        <v>4215</v>
      </c>
      <c r="C1817">
        <v>2024</v>
      </c>
      <c r="D1817" s="18">
        <v>45422</v>
      </c>
      <c r="E1817" s="18">
        <v>45786</v>
      </c>
      <c r="F1817" s="18" t="s">
        <v>611</v>
      </c>
      <c r="G1817" t="s">
        <v>99</v>
      </c>
      <c r="H1817">
        <v>2</v>
      </c>
      <c r="I1817">
        <v>2</v>
      </c>
      <c r="J1817" s="27">
        <v>36095.39</v>
      </c>
      <c r="K1817" s="27">
        <v>4500000</v>
      </c>
    </row>
    <row r="1818" spans="1:11" ht="15" customHeight="1" x14ac:dyDescent="0.2">
      <c r="A1818" t="s">
        <v>4216</v>
      </c>
      <c r="B1818" t="s">
        <v>4217</v>
      </c>
      <c r="C1818">
        <v>2024</v>
      </c>
      <c r="D1818" s="18">
        <v>45422</v>
      </c>
      <c r="E1818" s="18">
        <v>45786</v>
      </c>
      <c r="F1818" s="18" t="s">
        <v>611</v>
      </c>
      <c r="G1818" t="s">
        <v>99</v>
      </c>
      <c r="H1818">
        <v>2</v>
      </c>
      <c r="I1818">
        <v>4</v>
      </c>
      <c r="J1818" s="27">
        <v>16146.28</v>
      </c>
      <c r="K1818" s="27">
        <v>2000000</v>
      </c>
    </row>
    <row r="1819" spans="1:11" ht="15" customHeight="1" x14ac:dyDescent="0.2">
      <c r="A1819" t="s">
        <v>4218</v>
      </c>
      <c r="B1819" t="s">
        <v>4219</v>
      </c>
      <c r="C1819">
        <v>2024</v>
      </c>
      <c r="D1819" s="18">
        <v>45422</v>
      </c>
      <c r="E1819" s="18">
        <v>45786</v>
      </c>
      <c r="F1819" s="18" t="s">
        <v>611</v>
      </c>
      <c r="G1819" t="s">
        <v>102</v>
      </c>
      <c r="H1819">
        <v>3</v>
      </c>
      <c r="I1819">
        <v>6</v>
      </c>
      <c r="J1819" s="27">
        <v>79345.56</v>
      </c>
      <c r="K1819" s="27">
        <v>10000000</v>
      </c>
    </row>
    <row r="1820" spans="1:11" ht="15" customHeight="1" x14ac:dyDescent="0.2">
      <c r="A1820" t="s">
        <v>4220</v>
      </c>
      <c r="B1820" t="s">
        <v>4221</v>
      </c>
      <c r="C1820">
        <v>2024</v>
      </c>
      <c r="D1820" s="18">
        <v>45422</v>
      </c>
      <c r="E1820" s="18">
        <v>45786</v>
      </c>
      <c r="F1820" s="18" t="s">
        <v>611</v>
      </c>
      <c r="G1820" t="s">
        <v>102</v>
      </c>
      <c r="H1820">
        <v>1</v>
      </c>
      <c r="I1820">
        <v>1</v>
      </c>
      <c r="J1820" s="27">
        <v>9882.75</v>
      </c>
      <c r="K1820" s="27">
        <v>1500000</v>
      </c>
    </row>
    <row r="1821" spans="1:11" ht="15" customHeight="1" x14ac:dyDescent="0.2">
      <c r="A1821" t="s">
        <v>4222</v>
      </c>
      <c r="B1821" t="s">
        <v>4223</v>
      </c>
      <c r="C1821">
        <v>2024</v>
      </c>
      <c r="D1821" s="18">
        <v>45423</v>
      </c>
      <c r="E1821" s="18">
        <v>45787</v>
      </c>
      <c r="F1821" s="18" t="s">
        <v>608</v>
      </c>
      <c r="G1821" t="s">
        <v>101</v>
      </c>
      <c r="H1821">
        <v>1</v>
      </c>
      <c r="I1821">
        <v>2</v>
      </c>
      <c r="J1821" s="27">
        <v>146958.76999999999</v>
      </c>
      <c r="K1821" s="27">
        <v>10000000</v>
      </c>
    </row>
    <row r="1822" spans="1:11" ht="15" customHeight="1" x14ac:dyDescent="0.2">
      <c r="A1822" t="s">
        <v>4224</v>
      </c>
      <c r="B1822" t="s">
        <v>4225</v>
      </c>
      <c r="C1822">
        <v>2024</v>
      </c>
      <c r="D1822" s="18">
        <v>45423</v>
      </c>
      <c r="E1822" s="18">
        <v>45787</v>
      </c>
      <c r="F1822" s="18" t="s">
        <v>611</v>
      </c>
      <c r="G1822" t="s">
        <v>99</v>
      </c>
      <c r="H1822">
        <v>2</v>
      </c>
      <c r="I1822">
        <v>2</v>
      </c>
      <c r="J1822" s="27">
        <v>30728.92</v>
      </c>
      <c r="K1822" s="27">
        <v>4000000</v>
      </c>
    </row>
    <row r="1823" spans="1:11" ht="15" customHeight="1" x14ac:dyDescent="0.2">
      <c r="A1823" t="s">
        <v>4226</v>
      </c>
      <c r="B1823" t="s">
        <v>4227</v>
      </c>
      <c r="C1823">
        <v>2024</v>
      </c>
      <c r="D1823" s="18">
        <v>45423</v>
      </c>
      <c r="E1823" s="18">
        <v>45787</v>
      </c>
      <c r="F1823" s="18" t="s">
        <v>611</v>
      </c>
      <c r="G1823" t="s">
        <v>101</v>
      </c>
      <c r="H1823">
        <v>1</v>
      </c>
      <c r="I1823">
        <v>2</v>
      </c>
      <c r="J1823" s="27">
        <v>76193.87</v>
      </c>
      <c r="K1823" s="27">
        <v>4500000</v>
      </c>
    </row>
    <row r="1824" spans="1:11" ht="15" customHeight="1" x14ac:dyDescent="0.2">
      <c r="A1824" t="s">
        <v>4228</v>
      </c>
      <c r="B1824" t="s">
        <v>4229</v>
      </c>
      <c r="C1824">
        <v>2024</v>
      </c>
      <c r="D1824" s="18">
        <v>45423</v>
      </c>
      <c r="E1824" s="18">
        <v>45787</v>
      </c>
      <c r="F1824" s="18" t="s">
        <v>611</v>
      </c>
      <c r="G1824" t="s">
        <v>101</v>
      </c>
      <c r="H1824">
        <v>3</v>
      </c>
      <c r="I1824">
        <v>3</v>
      </c>
      <c r="J1824" s="27">
        <v>71310.850000000006</v>
      </c>
      <c r="K1824" s="27">
        <v>5000000</v>
      </c>
    </row>
    <row r="1825" spans="1:11" ht="15" customHeight="1" x14ac:dyDescent="0.2">
      <c r="A1825" t="s">
        <v>4230</v>
      </c>
      <c r="B1825" t="s">
        <v>4231</v>
      </c>
      <c r="C1825">
        <v>2024</v>
      </c>
      <c r="D1825" s="18">
        <v>45423</v>
      </c>
      <c r="E1825" s="18">
        <v>45787</v>
      </c>
      <c r="F1825" s="18" t="s">
        <v>611</v>
      </c>
      <c r="G1825" t="s">
        <v>101</v>
      </c>
      <c r="H1825">
        <v>1</v>
      </c>
      <c r="I1825">
        <v>1</v>
      </c>
      <c r="J1825" s="27">
        <v>58662.91</v>
      </c>
      <c r="K1825" s="27">
        <v>4000000</v>
      </c>
    </row>
    <row r="1826" spans="1:11" ht="15" customHeight="1" x14ac:dyDescent="0.2">
      <c r="A1826" t="s">
        <v>4232</v>
      </c>
      <c r="B1826" t="s">
        <v>4233</v>
      </c>
      <c r="C1826">
        <v>2024</v>
      </c>
      <c r="D1826" s="18">
        <v>45423</v>
      </c>
      <c r="E1826" s="18">
        <v>45787</v>
      </c>
      <c r="F1826" s="18" t="s">
        <v>611</v>
      </c>
      <c r="G1826" t="s">
        <v>100</v>
      </c>
      <c r="H1826">
        <v>3</v>
      </c>
      <c r="I1826">
        <v>6</v>
      </c>
      <c r="J1826" s="27">
        <v>11504.12</v>
      </c>
      <c r="K1826" s="27">
        <v>1000000</v>
      </c>
    </row>
    <row r="1827" spans="1:11" ht="15" customHeight="1" x14ac:dyDescent="0.2">
      <c r="A1827" t="s">
        <v>4234</v>
      </c>
      <c r="B1827" t="s">
        <v>4235</v>
      </c>
      <c r="C1827">
        <v>2024</v>
      </c>
      <c r="D1827" s="18">
        <v>45424</v>
      </c>
      <c r="E1827" s="18">
        <v>45788</v>
      </c>
      <c r="F1827" s="18" t="s">
        <v>608</v>
      </c>
      <c r="G1827" t="s">
        <v>102</v>
      </c>
      <c r="H1827">
        <v>1</v>
      </c>
      <c r="I1827">
        <v>2</v>
      </c>
      <c r="J1827" s="27">
        <v>34461.75</v>
      </c>
      <c r="K1827" s="27">
        <v>5000000</v>
      </c>
    </row>
    <row r="1828" spans="1:11" ht="15" customHeight="1" x14ac:dyDescent="0.2">
      <c r="A1828" t="s">
        <v>4236</v>
      </c>
      <c r="B1828" t="s">
        <v>4237</v>
      </c>
      <c r="C1828">
        <v>2024</v>
      </c>
      <c r="D1828" s="18">
        <v>45424</v>
      </c>
      <c r="E1828" s="18">
        <v>45788</v>
      </c>
      <c r="F1828" s="18" t="s">
        <v>611</v>
      </c>
      <c r="G1828" t="s">
        <v>101</v>
      </c>
      <c r="H1828">
        <v>1</v>
      </c>
      <c r="I1828">
        <v>1</v>
      </c>
      <c r="J1828" s="27">
        <v>153140.96</v>
      </c>
      <c r="K1828" s="27">
        <v>10000000</v>
      </c>
    </row>
    <row r="1829" spans="1:11" ht="15" customHeight="1" x14ac:dyDescent="0.2">
      <c r="A1829" t="s">
        <v>4238</v>
      </c>
      <c r="B1829" t="s">
        <v>4239</v>
      </c>
      <c r="C1829">
        <v>2024</v>
      </c>
      <c r="D1829" s="18">
        <v>45424</v>
      </c>
      <c r="E1829" s="18">
        <v>45788</v>
      </c>
      <c r="F1829" s="18" t="s">
        <v>611</v>
      </c>
      <c r="G1829" t="s">
        <v>101</v>
      </c>
      <c r="H1829">
        <v>1</v>
      </c>
      <c r="I1829">
        <v>2</v>
      </c>
      <c r="J1829" s="27">
        <v>57541.61</v>
      </c>
      <c r="K1829" s="27">
        <v>4000000</v>
      </c>
    </row>
    <row r="1830" spans="1:11" ht="15" customHeight="1" x14ac:dyDescent="0.2">
      <c r="A1830" t="s">
        <v>4240</v>
      </c>
      <c r="B1830" t="s">
        <v>4241</v>
      </c>
      <c r="C1830">
        <v>2024</v>
      </c>
      <c r="D1830" s="18">
        <v>45424</v>
      </c>
      <c r="E1830" s="18">
        <v>45788</v>
      </c>
      <c r="F1830" s="18" t="s">
        <v>611</v>
      </c>
      <c r="G1830" t="s">
        <v>102</v>
      </c>
      <c r="H1830">
        <v>2</v>
      </c>
      <c r="I1830">
        <v>2</v>
      </c>
      <c r="J1830" s="27">
        <v>14120.47</v>
      </c>
      <c r="K1830" s="27">
        <v>2000000</v>
      </c>
    </row>
    <row r="1831" spans="1:11" ht="15" customHeight="1" x14ac:dyDescent="0.2">
      <c r="A1831" t="s">
        <v>4242</v>
      </c>
      <c r="B1831" t="s">
        <v>4243</v>
      </c>
      <c r="C1831">
        <v>2024</v>
      </c>
      <c r="D1831" s="18">
        <v>45424</v>
      </c>
      <c r="E1831" s="18">
        <v>45788</v>
      </c>
      <c r="F1831" s="18" t="s">
        <v>611</v>
      </c>
      <c r="G1831" t="s">
        <v>100</v>
      </c>
      <c r="H1831">
        <v>2</v>
      </c>
      <c r="I1831">
        <v>4</v>
      </c>
      <c r="J1831" s="27">
        <v>45047.51</v>
      </c>
      <c r="K1831" s="27">
        <v>4000000</v>
      </c>
    </row>
    <row r="1832" spans="1:11" ht="15" customHeight="1" x14ac:dyDescent="0.2">
      <c r="A1832" t="s">
        <v>4244</v>
      </c>
      <c r="B1832" t="s">
        <v>4245</v>
      </c>
      <c r="C1832">
        <v>2024</v>
      </c>
      <c r="D1832" s="18">
        <v>45424</v>
      </c>
      <c r="E1832" s="18">
        <v>45788</v>
      </c>
      <c r="F1832" s="18" t="s">
        <v>611</v>
      </c>
      <c r="G1832" t="s">
        <v>100</v>
      </c>
      <c r="H1832">
        <v>1</v>
      </c>
      <c r="I1832">
        <v>1</v>
      </c>
      <c r="J1832" s="27">
        <v>23949.200000000001</v>
      </c>
      <c r="K1832" s="27">
        <v>2000000</v>
      </c>
    </row>
    <row r="1833" spans="1:11" ht="15" customHeight="1" x14ac:dyDescent="0.2">
      <c r="A1833" t="s">
        <v>4246</v>
      </c>
      <c r="B1833" t="s">
        <v>4247</v>
      </c>
      <c r="C1833">
        <v>2024</v>
      </c>
      <c r="D1833" s="18">
        <v>45424</v>
      </c>
      <c r="E1833" s="18">
        <v>45788</v>
      </c>
      <c r="F1833" s="18" t="s">
        <v>611</v>
      </c>
      <c r="G1833" t="s">
        <v>99</v>
      </c>
      <c r="H1833">
        <v>3</v>
      </c>
      <c r="I1833">
        <v>3</v>
      </c>
      <c r="J1833" s="27">
        <v>9195.2900000000009</v>
      </c>
      <c r="K1833" s="27">
        <v>1000000</v>
      </c>
    </row>
    <row r="1834" spans="1:11" ht="15" customHeight="1" x14ac:dyDescent="0.2">
      <c r="A1834" t="s">
        <v>4248</v>
      </c>
      <c r="B1834" t="s">
        <v>4249</v>
      </c>
      <c r="C1834">
        <v>2024</v>
      </c>
      <c r="D1834" s="18">
        <v>45424</v>
      </c>
      <c r="E1834" s="18">
        <v>45788</v>
      </c>
      <c r="F1834" s="18" t="s">
        <v>611</v>
      </c>
      <c r="G1834" t="s">
        <v>99</v>
      </c>
      <c r="H1834">
        <v>1</v>
      </c>
      <c r="I1834">
        <v>1</v>
      </c>
      <c r="J1834" s="27">
        <v>76382.86</v>
      </c>
      <c r="K1834" s="27">
        <v>10000000</v>
      </c>
    </row>
    <row r="1835" spans="1:11" ht="15" customHeight="1" x14ac:dyDescent="0.2">
      <c r="A1835" t="s">
        <v>4250</v>
      </c>
      <c r="B1835" t="s">
        <v>4251</v>
      </c>
      <c r="C1835">
        <v>2024</v>
      </c>
      <c r="D1835" s="18">
        <v>45424</v>
      </c>
      <c r="E1835" s="18">
        <v>45788</v>
      </c>
      <c r="F1835" s="18" t="s">
        <v>611</v>
      </c>
      <c r="G1835" t="s">
        <v>102</v>
      </c>
      <c r="H1835">
        <v>1</v>
      </c>
      <c r="I1835">
        <v>1</v>
      </c>
      <c r="J1835" s="27">
        <v>30667.18</v>
      </c>
      <c r="K1835" s="27">
        <v>4000000</v>
      </c>
    </row>
    <row r="1836" spans="1:11" ht="15" customHeight="1" x14ac:dyDescent="0.2">
      <c r="A1836" t="s">
        <v>4252</v>
      </c>
      <c r="B1836" t="s">
        <v>4253</v>
      </c>
      <c r="C1836">
        <v>2024</v>
      </c>
      <c r="D1836" s="18">
        <v>45424</v>
      </c>
      <c r="E1836" s="18">
        <v>45788</v>
      </c>
      <c r="F1836" s="18" t="s">
        <v>611</v>
      </c>
      <c r="G1836" t="s">
        <v>99</v>
      </c>
      <c r="H1836">
        <v>1</v>
      </c>
      <c r="I1836">
        <v>1</v>
      </c>
      <c r="J1836" s="27">
        <v>37964.54</v>
      </c>
      <c r="K1836" s="27">
        <v>5000000</v>
      </c>
    </row>
    <row r="1837" spans="1:11" ht="15" customHeight="1" x14ac:dyDescent="0.2">
      <c r="A1837" t="s">
        <v>4254</v>
      </c>
      <c r="B1837" t="s">
        <v>4255</v>
      </c>
      <c r="C1837">
        <v>2024</v>
      </c>
      <c r="D1837" s="18">
        <v>45424</v>
      </c>
      <c r="E1837" s="18">
        <v>45788</v>
      </c>
      <c r="F1837" s="18" t="s">
        <v>611</v>
      </c>
      <c r="G1837" t="s">
        <v>101</v>
      </c>
      <c r="H1837">
        <v>2</v>
      </c>
      <c r="I1837">
        <v>2</v>
      </c>
      <c r="J1837" s="27">
        <v>14090.27</v>
      </c>
      <c r="K1837" s="27">
        <v>1000000</v>
      </c>
    </row>
    <row r="1838" spans="1:11" ht="15" customHeight="1" x14ac:dyDescent="0.2">
      <c r="A1838" t="s">
        <v>4256</v>
      </c>
      <c r="B1838" t="s">
        <v>4257</v>
      </c>
      <c r="C1838">
        <v>2024</v>
      </c>
      <c r="D1838" s="18">
        <v>45425</v>
      </c>
      <c r="E1838" s="18">
        <v>45789</v>
      </c>
      <c r="F1838" s="18" t="s">
        <v>608</v>
      </c>
      <c r="G1838" t="s">
        <v>102</v>
      </c>
      <c r="H1838">
        <v>2</v>
      </c>
      <c r="I1838">
        <v>4</v>
      </c>
      <c r="J1838" s="27">
        <v>34604.58</v>
      </c>
      <c r="K1838" s="27">
        <v>5000000</v>
      </c>
    </row>
    <row r="1839" spans="1:11" ht="15" customHeight="1" x14ac:dyDescent="0.2">
      <c r="A1839" t="s">
        <v>4258</v>
      </c>
      <c r="B1839" t="s">
        <v>4259</v>
      </c>
      <c r="C1839">
        <v>2024</v>
      </c>
      <c r="D1839" s="18">
        <v>45425</v>
      </c>
      <c r="E1839" s="18">
        <v>45789</v>
      </c>
      <c r="F1839" s="18" t="s">
        <v>608</v>
      </c>
      <c r="G1839" t="s">
        <v>99</v>
      </c>
      <c r="H1839">
        <v>3</v>
      </c>
      <c r="I1839">
        <v>6</v>
      </c>
      <c r="J1839" s="27">
        <v>35846.6</v>
      </c>
      <c r="K1839" s="27">
        <v>4500000</v>
      </c>
    </row>
    <row r="1840" spans="1:11" ht="15" customHeight="1" x14ac:dyDescent="0.2">
      <c r="A1840" t="s">
        <v>4260</v>
      </c>
      <c r="B1840" t="s">
        <v>4261</v>
      </c>
      <c r="C1840">
        <v>2024</v>
      </c>
      <c r="D1840" s="18">
        <v>45425</v>
      </c>
      <c r="E1840" s="18">
        <v>45789</v>
      </c>
      <c r="F1840" s="18" t="s">
        <v>611</v>
      </c>
      <c r="G1840" t="s">
        <v>101</v>
      </c>
      <c r="H1840">
        <v>3</v>
      </c>
      <c r="I1840">
        <v>3</v>
      </c>
      <c r="J1840" s="27">
        <v>38806.74</v>
      </c>
      <c r="K1840" s="27">
        <v>2500000</v>
      </c>
    </row>
    <row r="1841" spans="1:11" ht="15" customHeight="1" x14ac:dyDescent="0.2">
      <c r="A1841" t="s">
        <v>4262</v>
      </c>
      <c r="B1841" t="s">
        <v>4263</v>
      </c>
      <c r="C1841">
        <v>2024</v>
      </c>
      <c r="D1841" s="18">
        <v>45425</v>
      </c>
      <c r="E1841" s="18">
        <v>45789</v>
      </c>
      <c r="F1841" s="18" t="s">
        <v>611</v>
      </c>
      <c r="G1841" t="s">
        <v>99</v>
      </c>
      <c r="H1841">
        <v>3</v>
      </c>
      <c r="I1841">
        <v>3</v>
      </c>
      <c r="J1841" s="27">
        <v>35422.559999999998</v>
      </c>
      <c r="K1841" s="27">
        <v>4000000</v>
      </c>
    </row>
    <row r="1842" spans="1:11" ht="15" customHeight="1" x14ac:dyDescent="0.2">
      <c r="A1842" t="s">
        <v>4264</v>
      </c>
      <c r="B1842" t="s">
        <v>4265</v>
      </c>
      <c r="C1842">
        <v>2024</v>
      </c>
      <c r="D1842" s="18">
        <v>45425</v>
      </c>
      <c r="E1842" s="18">
        <v>45789</v>
      </c>
      <c r="F1842" s="18" t="s">
        <v>611</v>
      </c>
      <c r="G1842" t="s">
        <v>100</v>
      </c>
      <c r="H1842">
        <v>1</v>
      </c>
      <c r="I1842">
        <v>1</v>
      </c>
      <c r="J1842" s="27">
        <v>25137.33</v>
      </c>
      <c r="K1842" s="27">
        <v>2000000</v>
      </c>
    </row>
    <row r="1843" spans="1:11" ht="15" customHeight="1" x14ac:dyDescent="0.2">
      <c r="A1843" t="s">
        <v>4266</v>
      </c>
      <c r="B1843" t="s">
        <v>4267</v>
      </c>
      <c r="C1843">
        <v>2024</v>
      </c>
      <c r="D1843" s="18">
        <v>45425</v>
      </c>
      <c r="E1843" s="18">
        <v>45789</v>
      </c>
      <c r="F1843" s="18" t="s">
        <v>611</v>
      </c>
      <c r="G1843" t="s">
        <v>101</v>
      </c>
      <c r="H1843">
        <v>1</v>
      </c>
      <c r="I1843">
        <v>2</v>
      </c>
      <c r="J1843" s="27">
        <v>77032.53</v>
      </c>
      <c r="K1843" s="27">
        <v>5000000</v>
      </c>
    </row>
    <row r="1844" spans="1:11" ht="15" customHeight="1" x14ac:dyDescent="0.2">
      <c r="A1844" t="s">
        <v>4268</v>
      </c>
      <c r="B1844" t="s">
        <v>4269</v>
      </c>
      <c r="C1844">
        <v>2024</v>
      </c>
      <c r="D1844" s="18">
        <v>45425</v>
      </c>
      <c r="E1844" s="18">
        <v>45789</v>
      </c>
      <c r="F1844" s="18" t="s">
        <v>611</v>
      </c>
      <c r="G1844" t="s">
        <v>99</v>
      </c>
      <c r="H1844">
        <v>3</v>
      </c>
      <c r="I1844">
        <v>3</v>
      </c>
      <c r="J1844" s="27">
        <v>15176.5</v>
      </c>
      <c r="K1844" s="27">
        <v>2000000</v>
      </c>
    </row>
    <row r="1845" spans="1:11" ht="15" customHeight="1" x14ac:dyDescent="0.2">
      <c r="A1845" t="s">
        <v>4270</v>
      </c>
      <c r="B1845" t="s">
        <v>4271</v>
      </c>
      <c r="C1845">
        <v>2024</v>
      </c>
      <c r="D1845" s="18">
        <v>45426</v>
      </c>
      <c r="E1845" s="18">
        <v>45790</v>
      </c>
      <c r="F1845" s="18" t="s">
        <v>611</v>
      </c>
      <c r="G1845" t="s">
        <v>99</v>
      </c>
      <c r="H1845">
        <v>2</v>
      </c>
      <c r="I1845">
        <v>2</v>
      </c>
      <c r="J1845" s="27">
        <v>3799.34</v>
      </c>
      <c r="K1845" s="27">
        <v>500000</v>
      </c>
    </row>
    <row r="1846" spans="1:11" ht="15" customHeight="1" x14ac:dyDescent="0.2">
      <c r="A1846" t="s">
        <v>4272</v>
      </c>
      <c r="B1846" t="s">
        <v>4273</v>
      </c>
      <c r="C1846">
        <v>2024</v>
      </c>
      <c r="D1846" s="18">
        <v>45426</v>
      </c>
      <c r="E1846" s="18">
        <v>45790</v>
      </c>
      <c r="F1846" s="18" t="s">
        <v>611</v>
      </c>
      <c r="G1846" t="s">
        <v>101</v>
      </c>
      <c r="H1846">
        <v>1</v>
      </c>
      <c r="I1846">
        <v>2</v>
      </c>
      <c r="J1846" s="27">
        <v>33441.279999999999</v>
      </c>
      <c r="K1846" s="27">
        <v>2000000</v>
      </c>
    </row>
    <row r="1847" spans="1:11" ht="15" customHeight="1" x14ac:dyDescent="0.2">
      <c r="A1847" t="s">
        <v>4274</v>
      </c>
      <c r="B1847" t="s">
        <v>4275</v>
      </c>
      <c r="C1847">
        <v>2024</v>
      </c>
      <c r="D1847" s="18">
        <v>45426</v>
      </c>
      <c r="E1847" s="18">
        <v>45790</v>
      </c>
      <c r="F1847" s="18" t="s">
        <v>611</v>
      </c>
      <c r="G1847" t="s">
        <v>100</v>
      </c>
      <c r="H1847">
        <v>3</v>
      </c>
      <c r="I1847">
        <v>6</v>
      </c>
      <c r="J1847" s="27">
        <v>45922.85</v>
      </c>
      <c r="K1847" s="27">
        <v>3500000</v>
      </c>
    </row>
    <row r="1848" spans="1:11" ht="15" customHeight="1" x14ac:dyDescent="0.2">
      <c r="A1848" t="s">
        <v>4276</v>
      </c>
      <c r="B1848" t="s">
        <v>4277</v>
      </c>
      <c r="C1848">
        <v>2024</v>
      </c>
      <c r="D1848" s="18">
        <v>45427</v>
      </c>
      <c r="E1848" s="18">
        <v>45791</v>
      </c>
      <c r="F1848" s="18" t="s">
        <v>608</v>
      </c>
      <c r="G1848" t="s">
        <v>101</v>
      </c>
      <c r="H1848">
        <v>1</v>
      </c>
      <c r="I1848">
        <v>2</v>
      </c>
      <c r="J1848" s="27">
        <v>66959.839999999997</v>
      </c>
      <c r="K1848" s="27">
        <v>4000000</v>
      </c>
    </row>
    <row r="1849" spans="1:11" ht="15" customHeight="1" x14ac:dyDescent="0.2">
      <c r="A1849" t="s">
        <v>4278</v>
      </c>
      <c r="B1849" t="s">
        <v>4279</v>
      </c>
      <c r="C1849">
        <v>2024</v>
      </c>
      <c r="D1849" s="18">
        <v>45427</v>
      </c>
      <c r="E1849" s="18">
        <v>45791</v>
      </c>
      <c r="F1849" s="18" t="s">
        <v>608</v>
      </c>
      <c r="G1849" t="s">
        <v>102</v>
      </c>
      <c r="H1849">
        <v>1</v>
      </c>
      <c r="I1849">
        <v>1</v>
      </c>
      <c r="J1849" s="27">
        <v>36200.6</v>
      </c>
      <c r="K1849" s="27">
        <v>4500000</v>
      </c>
    </row>
    <row r="1850" spans="1:11" ht="15" customHeight="1" x14ac:dyDescent="0.2">
      <c r="A1850" t="s">
        <v>4280</v>
      </c>
      <c r="B1850" t="s">
        <v>4281</v>
      </c>
      <c r="C1850">
        <v>2024</v>
      </c>
      <c r="D1850" s="18">
        <v>45427</v>
      </c>
      <c r="E1850" s="18">
        <v>45791</v>
      </c>
      <c r="F1850" s="18" t="s">
        <v>611</v>
      </c>
      <c r="G1850" t="s">
        <v>102</v>
      </c>
      <c r="H1850">
        <v>1</v>
      </c>
      <c r="I1850">
        <v>2</v>
      </c>
      <c r="J1850" s="27">
        <v>7899.64</v>
      </c>
      <c r="K1850" s="27">
        <v>1000000</v>
      </c>
    </row>
    <row r="1851" spans="1:11" ht="15" customHeight="1" x14ac:dyDescent="0.2">
      <c r="A1851" t="s">
        <v>4282</v>
      </c>
      <c r="B1851" t="s">
        <v>4283</v>
      </c>
      <c r="C1851">
        <v>2024</v>
      </c>
      <c r="D1851" s="18">
        <v>45427</v>
      </c>
      <c r="E1851" s="18">
        <v>45791</v>
      </c>
      <c r="F1851" s="18" t="s">
        <v>611</v>
      </c>
      <c r="G1851" t="s">
        <v>100</v>
      </c>
      <c r="H1851">
        <v>2</v>
      </c>
      <c r="I1851">
        <v>4</v>
      </c>
      <c r="J1851" s="27">
        <v>25442.79</v>
      </c>
      <c r="K1851" s="27">
        <v>2000000</v>
      </c>
    </row>
    <row r="1852" spans="1:11" ht="15" customHeight="1" x14ac:dyDescent="0.2">
      <c r="A1852" t="s">
        <v>4284</v>
      </c>
      <c r="B1852" t="s">
        <v>4285</v>
      </c>
      <c r="C1852">
        <v>2024</v>
      </c>
      <c r="D1852" s="18">
        <v>45427</v>
      </c>
      <c r="E1852" s="18">
        <v>45791</v>
      </c>
      <c r="F1852" s="18" t="s">
        <v>611</v>
      </c>
      <c r="G1852" t="s">
        <v>99</v>
      </c>
      <c r="H1852">
        <v>3</v>
      </c>
      <c r="I1852">
        <v>6</v>
      </c>
      <c r="J1852" s="27">
        <v>31726.02</v>
      </c>
      <c r="K1852" s="27">
        <v>4000000</v>
      </c>
    </row>
    <row r="1853" spans="1:11" ht="15" customHeight="1" x14ac:dyDescent="0.2">
      <c r="A1853" t="s">
        <v>4286</v>
      </c>
      <c r="B1853" t="s">
        <v>4287</v>
      </c>
      <c r="C1853">
        <v>2024</v>
      </c>
      <c r="D1853" s="18">
        <v>45427</v>
      </c>
      <c r="E1853" s="18">
        <v>45791</v>
      </c>
      <c r="F1853" s="18" t="s">
        <v>611</v>
      </c>
      <c r="G1853" t="s">
        <v>100</v>
      </c>
      <c r="H1853">
        <v>2</v>
      </c>
      <c r="I1853">
        <v>2</v>
      </c>
      <c r="J1853" s="27">
        <v>23108.91</v>
      </c>
      <c r="K1853" s="27">
        <v>2000000</v>
      </c>
    </row>
    <row r="1854" spans="1:11" ht="15" customHeight="1" x14ac:dyDescent="0.2">
      <c r="A1854" t="s">
        <v>4288</v>
      </c>
      <c r="B1854" t="s">
        <v>4289</v>
      </c>
      <c r="C1854">
        <v>2024</v>
      </c>
      <c r="D1854" s="18">
        <v>45427</v>
      </c>
      <c r="E1854" s="18">
        <v>45791</v>
      </c>
      <c r="F1854" s="18" t="s">
        <v>611</v>
      </c>
      <c r="G1854" t="s">
        <v>101</v>
      </c>
      <c r="H1854">
        <v>1</v>
      </c>
      <c r="I1854">
        <v>1</v>
      </c>
      <c r="J1854" s="27">
        <v>63761.57</v>
      </c>
      <c r="K1854" s="27">
        <v>4000000</v>
      </c>
    </row>
    <row r="1855" spans="1:11" ht="15" customHeight="1" x14ac:dyDescent="0.2">
      <c r="A1855" t="s">
        <v>4290</v>
      </c>
      <c r="B1855" t="s">
        <v>4291</v>
      </c>
      <c r="C1855">
        <v>2024</v>
      </c>
      <c r="D1855" s="18">
        <v>45427</v>
      </c>
      <c r="E1855" s="18">
        <v>45791</v>
      </c>
      <c r="F1855" s="18" t="s">
        <v>611</v>
      </c>
      <c r="G1855" t="s">
        <v>99</v>
      </c>
      <c r="H1855">
        <v>1</v>
      </c>
      <c r="I1855">
        <v>1</v>
      </c>
      <c r="J1855" s="27">
        <v>32366.49</v>
      </c>
      <c r="K1855" s="27">
        <v>4000000</v>
      </c>
    </row>
    <row r="1856" spans="1:11" ht="15" customHeight="1" x14ac:dyDescent="0.2">
      <c r="A1856" t="s">
        <v>4292</v>
      </c>
      <c r="B1856" t="s">
        <v>4293</v>
      </c>
      <c r="C1856">
        <v>2024</v>
      </c>
      <c r="D1856" s="18">
        <v>45427</v>
      </c>
      <c r="E1856" s="18">
        <v>45791</v>
      </c>
      <c r="F1856" s="18" t="s">
        <v>611</v>
      </c>
      <c r="G1856" t="s">
        <v>102</v>
      </c>
      <c r="H1856">
        <v>3</v>
      </c>
      <c r="I1856">
        <v>6</v>
      </c>
      <c r="J1856" s="27">
        <v>3490.86</v>
      </c>
      <c r="K1856" s="27">
        <v>500000</v>
      </c>
    </row>
    <row r="1857" spans="1:11" ht="15" customHeight="1" x14ac:dyDescent="0.2">
      <c r="A1857" t="s">
        <v>4294</v>
      </c>
      <c r="B1857" t="s">
        <v>4295</v>
      </c>
      <c r="C1857">
        <v>2024</v>
      </c>
      <c r="D1857" s="18">
        <v>45428</v>
      </c>
      <c r="E1857" s="18">
        <v>45792</v>
      </c>
      <c r="F1857" s="18" t="s">
        <v>611</v>
      </c>
      <c r="G1857" t="s">
        <v>100</v>
      </c>
      <c r="H1857">
        <v>3</v>
      </c>
      <c r="I1857">
        <v>3</v>
      </c>
      <c r="J1857" s="27">
        <v>58470.28</v>
      </c>
      <c r="K1857" s="27">
        <v>4500000</v>
      </c>
    </row>
    <row r="1858" spans="1:11" ht="15" customHeight="1" x14ac:dyDescent="0.2">
      <c r="A1858" t="s">
        <v>4296</v>
      </c>
      <c r="B1858" t="s">
        <v>4297</v>
      </c>
      <c r="C1858">
        <v>2024</v>
      </c>
      <c r="D1858" s="18">
        <v>45428</v>
      </c>
      <c r="E1858" s="18">
        <v>45792</v>
      </c>
      <c r="F1858" s="18" t="s">
        <v>611</v>
      </c>
      <c r="G1858" t="s">
        <v>102</v>
      </c>
      <c r="H1858">
        <v>1</v>
      </c>
      <c r="I1858">
        <v>1</v>
      </c>
      <c r="J1858" s="27">
        <v>35271.699999999997</v>
      </c>
      <c r="K1858" s="27">
        <v>5000000</v>
      </c>
    </row>
    <row r="1859" spans="1:11" ht="15" customHeight="1" x14ac:dyDescent="0.2">
      <c r="A1859" t="s">
        <v>4298</v>
      </c>
      <c r="B1859" t="s">
        <v>4299</v>
      </c>
      <c r="C1859">
        <v>2024</v>
      </c>
      <c r="D1859" s="18">
        <v>45428</v>
      </c>
      <c r="E1859" s="18">
        <v>45792</v>
      </c>
      <c r="F1859" s="18" t="s">
        <v>611</v>
      </c>
      <c r="G1859" t="s">
        <v>100</v>
      </c>
      <c r="H1859">
        <v>1</v>
      </c>
      <c r="I1859">
        <v>2</v>
      </c>
      <c r="J1859" s="27">
        <v>56309.73</v>
      </c>
      <c r="K1859" s="27">
        <v>5000000</v>
      </c>
    </row>
    <row r="1860" spans="1:11" ht="15" customHeight="1" x14ac:dyDescent="0.2">
      <c r="A1860" t="s">
        <v>4300</v>
      </c>
      <c r="B1860" t="s">
        <v>4301</v>
      </c>
      <c r="C1860">
        <v>2024</v>
      </c>
      <c r="D1860" s="18">
        <v>45428</v>
      </c>
      <c r="E1860" s="18">
        <v>45792</v>
      </c>
      <c r="F1860" s="18" t="s">
        <v>611</v>
      </c>
      <c r="G1860" t="s">
        <v>99</v>
      </c>
      <c r="H1860">
        <v>3</v>
      </c>
      <c r="I1860">
        <v>3</v>
      </c>
      <c r="J1860" s="27">
        <v>26295.23</v>
      </c>
      <c r="K1860" s="27">
        <v>3000000</v>
      </c>
    </row>
    <row r="1861" spans="1:11" ht="15" customHeight="1" x14ac:dyDescent="0.2">
      <c r="A1861" t="s">
        <v>4302</v>
      </c>
      <c r="B1861" t="s">
        <v>4303</v>
      </c>
      <c r="C1861">
        <v>2024</v>
      </c>
      <c r="D1861" s="18">
        <v>45429</v>
      </c>
      <c r="E1861" s="18">
        <v>45793</v>
      </c>
      <c r="F1861" s="18" t="s">
        <v>611</v>
      </c>
      <c r="G1861" t="s">
        <v>100</v>
      </c>
      <c r="H1861">
        <v>3</v>
      </c>
      <c r="I1861">
        <v>6</v>
      </c>
      <c r="J1861" s="27">
        <v>114991.41</v>
      </c>
      <c r="K1861" s="27">
        <v>10000000</v>
      </c>
    </row>
    <row r="1862" spans="1:11" ht="15" customHeight="1" x14ac:dyDescent="0.2">
      <c r="A1862" t="s">
        <v>4304</v>
      </c>
      <c r="B1862" t="s">
        <v>4305</v>
      </c>
      <c r="C1862">
        <v>2024</v>
      </c>
      <c r="D1862" s="18">
        <v>45429</v>
      </c>
      <c r="E1862" s="18">
        <v>45793</v>
      </c>
      <c r="F1862" s="18" t="s">
        <v>611</v>
      </c>
      <c r="G1862" t="s">
        <v>100</v>
      </c>
      <c r="H1862">
        <v>3</v>
      </c>
      <c r="I1862">
        <v>6</v>
      </c>
      <c r="J1862" s="27">
        <v>24789.24</v>
      </c>
      <c r="K1862" s="27">
        <v>2000000</v>
      </c>
    </row>
    <row r="1863" spans="1:11" ht="15" customHeight="1" x14ac:dyDescent="0.2">
      <c r="A1863" t="s">
        <v>4306</v>
      </c>
      <c r="B1863" t="s">
        <v>4307</v>
      </c>
      <c r="C1863">
        <v>2024</v>
      </c>
      <c r="D1863" s="18">
        <v>45429</v>
      </c>
      <c r="E1863" s="18">
        <v>45793</v>
      </c>
      <c r="F1863" s="18" t="s">
        <v>611</v>
      </c>
      <c r="G1863" t="s">
        <v>99</v>
      </c>
      <c r="H1863">
        <v>3</v>
      </c>
      <c r="I1863">
        <v>3</v>
      </c>
      <c r="J1863" s="27">
        <v>76277.31</v>
      </c>
      <c r="K1863" s="27">
        <v>10000000</v>
      </c>
    </row>
    <row r="1864" spans="1:11" ht="15" customHeight="1" x14ac:dyDescent="0.2">
      <c r="A1864" t="s">
        <v>4308</v>
      </c>
      <c r="B1864" t="s">
        <v>4309</v>
      </c>
      <c r="C1864">
        <v>2024</v>
      </c>
      <c r="D1864" s="18">
        <v>45429</v>
      </c>
      <c r="E1864" s="18">
        <v>45793</v>
      </c>
      <c r="F1864" s="18" t="s">
        <v>611</v>
      </c>
      <c r="G1864" t="s">
        <v>101</v>
      </c>
      <c r="H1864">
        <v>1</v>
      </c>
      <c r="I1864">
        <v>2</v>
      </c>
      <c r="J1864" s="27">
        <v>28927.15</v>
      </c>
      <c r="K1864" s="27">
        <v>2000000</v>
      </c>
    </row>
    <row r="1865" spans="1:11" ht="15" customHeight="1" x14ac:dyDescent="0.2">
      <c r="A1865" t="s">
        <v>4310</v>
      </c>
      <c r="B1865" t="s">
        <v>4311</v>
      </c>
      <c r="C1865">
        <v>2024</v>
      </c>
      <c r="D1865" s="18">
        <v>45429</v>
      </c>
      <c r="E1865" s="18">
        <v>45793</v>
      </c>
      <c r="F1865" s="18" t="s">
        <v>611</v>
      </c>
      <c r="G1865" t="s">
        <v>101</v>
      </c>
      <c r="H1865">
        <v>1</v>
      </c>
      <c r="I1865">
        <v>1</v>
      </c>
      <c r="J1865" s="27">
        <v>150520.79</v>
      </c>
      <c r="K1865" s="27">
        <v>10000000</v>
      </c>
    </row>
    <row r="1866" spans="1:11" ht="15" customHeight="1" x14ac:dyDescent="0.2">
      <c r="A1866" t="s">
        <v>4312</v>
      </c>
      <c r="B1866" t="s">
        <v>4313</v>
      </c>
      <c r="C1866">
        <v>2024</v>
      </c>
      <c r="D1866" s="18">
        <v>45429</v>
      </c>
      <c r="E1866" s="18">
        <v>45793</v>
      </c>
      <c r="F1866" s="18" t="s">
        <v>611</v>
      </c>
      <c r="G1866" t="s">
        <v>101</v>
      </c>
      <c r="H1866">
        <v>1</v>
      </c>
      <c r="I1866">
        <v>2</v>
      </c>
      <c r="J1866" s="27">
        <v>65244.87</v>
      </c>
      <c r="K1866" s="27">
        <v>4500000</v>
      </c>
    </row>
    <row r="1867" spans="1:11" ht="15" customHeight="1" x14ac:dyDescent="0.2">
      <c r="A1867" t="s">
        <v>4314</v>
      </c>
      <c r="B1867" t="s">
        <v>4315</v>
      </c>
      <c r="C1867">
        <v>2024</v>
      </c>
      <c r="D1867" s="18">
        <v>45429</v>
      </c>
      <c r="E1867" s="18">
        <v>45793</v>
      </c>
      <c r="F1867" s="18" t="s">
        <v>611</v>
      </c>
      <c r="G1867" t="s">
        <v>99</v>
      </c>
      <c r="H1867">
        <v>1</v>
      </c>
      <c r="I1867">
        <v>1</v>
      </c>
      <c r="J1867" s="27">
        <v>42421.39</v>
      </c>
      <c r="K1867" s="27">
        <v>5000000</v>
      </c>
    </row>
    <row r="1868" spans="1:11" ht="15" customHeight="1" x14ac:dyDescent="0.2">
      <c r="A1868" t="s">
        <v>4316</v>
      </c>
      <c r="B1868" t="s">
        <v>4317</v>
      </c>
      <c r="C1868">
        <v>2024</v>
      </c>
      <c r="D1868" s="18">
        <v>45429</v>
      </c>
      <c r="E1868" s="18">
        <v>45793</v>
      </c>
      <c r="F1868" s="18" t="s">
        <v>611</v>
      </c>
      <c r="G1868" t="s">
        <v>99</v>
      </c>
      <c r="H1868">
        <v>2</v>
      </c>
      <c r="I1868">
        <v>4</v>
      </c>
      <c r="J1868" s="27">
        <v>76833.72</v>
      </c>
      <c r="K1868" s="27">
        <v>10000000</v>
      </c>
    </row>
    <row r="1869" spans="1:11" ht="15" customHeight="1" x14ac:dyDescent="0.2">
      <c r="A1869" t="s">
        <v>4318</v>
      </c>
      <c r="B1869" t="s">
        <v>4319</v>
      </c>
      <c r="C1869">
        <v>2024</v>
      </c>
      <c r="D1869" s="18">
        <v>45429</v>
      </c>
      <c r="E1869" s="18">
        <v>45793</v>
      </c>
      <c r="F1869" s="18" t="s">
        <v>611</v>
      </c>
      <c r="G1869" t="s">
        <v>101</v>
      </c>
      <c r="H1869">
        <v>3</v>
      </c>
      <c r="I1869">
        <v>3</v>
      </c>
      <c r="J1869" s="27">
        <v>57356.68</v>
      </c>
      <c r="K1869" s="27">
        <v>3500000</v>
      </c>
    </row>
    <row r="1870" spans="1:11" ht="15" customHeight="1" x14ac:dyDescent="0.2">
      <c r="A1870" t="s">
        <v>4320</v>
      </c>
      <c r="B1870" t="s">
        <v>4321</v>
      </c>
      <c r="C1870">
        <v>2024</v>
      </c>
      <c r="D1870" s="18">
        <v>45430</v>
      </c>
      <c r="E1870" s="18">
        <v>45794</v>
      </c>
      <c r="F1870" s="18" t="s">
        <v>608</v>
      </c>
      <c r="G1870" t="s">
        <v>100</v>
      </c>
      <c r="H1870">
        <v>3</v>
      </c>
      <c r="I1870">
        <v>3</v>
      </c>
      <c r="J1870" s="27">
        <v>29105.49</v>
      </c>
      <c r="K1870" s="27">
        <v>2500000</v>
      </c>
    </row>
    <row r="1871" spans="1:11" ht="15" customHeight="1" x14ac:dyDescent="0.2">
      <c r="A1871" t="s">
        <v>4322</v>
      </c>
      <c r="B1871" t="s">
        <v>4323</v>
      </c>
      <c r="C1871">
        <v>2024</v>
      </c>
      <c r="D1871" s="18">
        <v>45430</v>
      </c>
      <c r="E1871" s="18">
        <v>45794</v>
      </c>
      <c r="F1871" s="18" t="s">
        <v>611</v>
      </c>
      <c r="G1871" t="s">
        <v>102</v>
      </c>
      <c r="H1871">
        <v>2</v>
      </c>
      <c r="I1871">
        <v>2</v>
      </c>
      <c r="J1871" s="27">
        <v>24944.43</v>
      </c>
      <c r="K1871" s="27">
        <v>3500000</v>
      </c>
    </row>
    <row r="1872" spans="1:11" ht="15" customHeight="1" x14ac:dyDescent="0.2">
      <c r="A1872" t="s">
        <v>4324</v>
      </c>
      <c r="B1872" t="s">
        <v>4325</v>
      </c>
      <c r="C1872">
        <v>2024</v>
      </c>
      <c r="D1872" s="18">
        <v>45430</v>
      </c>
      <c r="E1872" s="18">
        <v>45794</v>
      </c>
      <c r="F1872" s="18" t="s">
        <v>611</v>
      </c>
      <c r="G1872" t="s">
        <v>102</v>
      </c>
      <c r="H1872">
        <v>1</v>
      </c>
      <c r="I1872">
        <v>2</v>
      </c>
      <c r="J1872" s="27">
        <v>10067.049999999999</v>
      </c>
      <c r="K1872" s="27">
        <v>1500000</v>
      </c>
    </row>
    <row r="1873" spans="1:11" ht="15" customHeight="1" x14ac:dyDescent="0.2">
      <c r="A1873" t="s">
        <v>4326</v>
      </c>
      <c r="B1873" t="s">
        <v>4327</v>
      </c>
      <c r="C1873">
        <v>2024</v>
      </c>
      <c r="D1873" s="18">
        <v>45430</v>
      </c>
      <c r="E1873" s="18">
        <v>45794</v>
      </c>
      <c r="F1873" s="18" t="s">
        <v>611</v>
      </c>
      <c r="G1873" t="s">
        <v>101</v>
      </c>
      <c r="H1873">
        <v>1</v>
      </c>
      <c r="I1873">
        <v>1</v>
      </c>
      <c r="J1873" s="27">
        <v>22945.89</v>
      </c>
      <c r="K1873" s="27">
        <v>1500000</v>
      </c>
    </row>
    <row r="1874" spans="1:11" ht="15" customHeight="1" x14ac:dyDescent="0.2">
      <c r="A1874" t="s">
        <v>4328</v>
      </c>
      <c r="B1874" t="s">
        <v>4329</v>
      </c>
      <c r="C1874">
        <v>2024</v>
      </c>
      <c r="D1874" s="18">
        <v>45431</v>
      </c>
      <c r="E1874" s="18">
        <v>45795</v>
      </c>
      <c r="F1874" s="18" t="s">
        <v>611</v>
      </c>
      <c r="G1874" t="s">
        <v>101</v>
      </c>
      <c r="H1874">
        <v>2</v>
      </c>
      <c r="I1874">
        <v>2</v>
      </c>
      <c r="J1874" s="27">
        <v>31480.54</v>
      </c>
      <c r="K1874" s="27">
        <v>2000000</v>
      </c>
    </row>
    <row r="1875" spans="1:11" ht="15" customHeight="1" x14ac:dyDescent="0.2">
      <c r="A1875" t="s">
        <v>4330</v>
      </c>
      <c r="B1875" t="s">
        <v>4331</v>
      </c>
      <c r="C1875">
        <v>2024</v>
      </c>
      <c r="D1875" s="18">
        <v>45431</v>
      </c>
      <c r="E1875" s="18">
        <v>45795</v>
      </c>
      <c r="F1875" s="18" t="s">
        <v>611</v>
      </c>
      <c r="G1875" t="s">
        <v>101</v>
      </c>
      <c r="H1875">
        <v>1</v>
      </c>
      <c r="I1875">
        <v>1</v>
      </c>
      <c r="J1875" s="27">
        <v>84552.8</v>
      </c>
      <c r="K1875" s="27">
        <v>5000000</v>
      </c>
    </row>
    <row r="1876" spans="1:11" ht="15" customHeight="1" x14ac:dyDescent="0.2">
      <c r="A1876" t="s">
        <v>4332</v>
      </c>
      <c r="B1876" t="s">
        <v>4333</v>
      </c>
      <c r="C1876">
        <v>2024</v>
      </c>
      <c r="D1876" s="18">
        <v>45431</v>
      </c>
      <c r="E1876" s="18">
        <v>45795</v>
      </c>
      <c r="F1876" s="18" t="s">
        <v>611</v>
      </c>
      <c r="G1876" t="s">
        <v>99</v>
      </c>
      <c r="H1876">
        <v>1</v>
      </c>
      <c r="I1876">
        <v>1</v>
      </c>
      <c r="J1876" s="27">
        <v>13150.47</v>
      </c>
      <c r="K1876" s="27">
        <v>1500000</v>
      </c>
    </row>
    <row r="1877" spans="1:11" ht="15" customHeight="1" x14ac:dyDescent="0.2">
      <c r="A1877" t="s">
        <v>4334</v>
      </c>
      <c r="B1877" t="s">
        <v>4335</v>
      </c>
      <c r="C1877">
        <v>2024</v>
      </c>
      <c r="D1877" s="18">
        <v>45432</v>
      </c>
      <c r="E1877" s="18">
        <v>45796</v>
      </c>
      <c r="F1877" s="18" t="s">
        <v>608</v>
      </c>
      <c r="G1877" t="s">
        <v>100</v>
      </c>
      <c r="H1877">
        <v>1</v>
      </c>
      <c r="I1877">
        <v>1</v>
      </c>
      <c r="J1877" s="27">
        <v>128289.94</v>
      </c>
      <c r="K1877" s="27">
        <v>10000000</v>
      </c>
    </row>
    <row r="1878" spans="1:11" ht="15" customHeight="1" x14ac:dyDescent="0.2">
      <c r="A1878" t="s">
        <v>4336</v>
      </c>
      <c r="B1878" t="s">
        <v>4337</v>
      </c>
      <c r="C1878">
        <v>2024</v>
      </c>
      <c r="D1878" s="18">
        <v>45432</v>
      </c>
      <c r="E1878" s="18">
        <v>45796</v>
      </c>
      <c r="F1878" s="18" t="s">
        <v>611</v>
      </c>
      <c r="G1878" t="s">
        <v>99</v>
      </c>
      <c r="H1878">
        <v>1</v>
      </c>
      <c r="I1878">
        <v>1</v>
      </c>
      <c r="J1878" s="27">
        <v>15684.72</v>
      </c>
      <c r="K1878" s="27">
        <v>2000000</v>
      </c>
    </row>
    <row r="1879" spans="1:11" ht="15" customHeight="1" x14ac:dyDescent="0.2">
      <c r="A1879" t="s">
        <v>4338</v>
      </c>
      <c r="B1879" t="s">
        <v>4339</v>
      </c>
      <c r="C1879">
        <v>2024</v>
      </c>
      <c r="D1879" s="18">
        <v>45432</v>
      </c>
      <c r="E1879" s="18">
        <v>45796</v>
      </c>
      <c r="F1879" s="18" t="s">
        <v>611</v>
      </c>
      <c r="G1879" t="s">
        <v>101</v>
      </c>
      <c r="H1879">
        <v>3</v>
      </c>
      <c r="I1879">
        <v>3</v>
      </c>
      <c r="J1879" s="27">
        <v>165935.60999999999</v>
      </c>
      <c r="K1879" s="27">
        <v>10000000</v>
      </c>
    </row>
    <row r="1880" spans="1:11" ht="15" customHeight="1" x14ac:dyDescent="0.2">
      <c r="A1880" t="s">
        <v>4340</v>
      </c>
      <c r="B1880" t="s">
        <v>4341</v>
      </c>
      <c r="C1880">
        <v>2024</v>
      </c>
      <c r="D1880" s="18">
        <v>45432</v>
      </c>
      <c r="E1880" s="18">
        <v>45796</v>
      </c>
      <c r="F1880" s="18" t="s">
        <v>611</v>
      </c>
      <c r="G1880" t="s">
        <v>102</v>
      </c>
      <c r="H1880">
        <v>2</v>
      </c>
      <c r="I1880">
        <v>4</v>
      </c>
      <c r="J1880" s="27">
        <v>30344.04</v>
      </c>
      <c r="K1880" s="27">
        <v>4000000</v>
      </c>
    </row>
    <row r="1881" spans="1:11" ht="15" customHeight="1" x14ac:dyDescent="0.2">
      <c r="A1881" t="s">
        <v>4342</v>
      </c>
      <c r="B1881" t="s">
        <v>4343</v>
      </c>
      <c r="C1881">
        <v>2024</v>
      </c>
      <c r="D1881" s="18">
        <v>45432</v>
      </c>
      <c r="E1881" s="18">
        <v>45796</v>
      </c>
      <c r="F1881" s="18" t="s">
        <v>611</v>
      </c>
      <c r="G1881" t="s">
        <v>102</v>
      </c>
      <c r="H1881">
        <v>2</v>
      </c>
      <c r="I1881">
        <v>4</v>
      </c>
      <c r="J1881" s="27">
        <v>9927.1299999999992</v>
      </c>
      <c r="K1881" s="27">
        <v>1500000</v>
      </c>
    </row>
    <row r="1882" spans="1:11" ht="15" customHeight="1" x14ac:dyDescent="0.2">
      <c r="A1882" t="s">
        <v>4344</v>
      </c>
      <c r="B1882" t="s">
        <v>4345</v>
      </c>
      <c r="C1882">
        <v>2024</v>
      </c>
      <c r="D1882" s="18">
        <v>45433</v>
      </c>
      <c r="E1882" s="18">
        <v>45797</v>
      </c>
      <c r="F1882" s="18" t="s">
        <v>608</v>
      </c>
      <c r="G1882" t="s">
        <v>102</v>
      </c>
      <c r="H1882">
        <v>1</v>
      </c>
      <c r="I1882">
        <v>1</v>
      </c>
      <c r="J1882" s="27">
        <v>7411.21</v>
      </c>
      <c r="K1882" s="27">
        <v>1000000</v>
      </c>
    </row>
    <row r="1883" spans="1:11" ht="15" customHeight="1" x14ac:dyDescent="0.2">
      <c r="A1883" t="s">
        <v>4346</v>
      </c>
      <c r="B1883" t="s">
        <v>4347</v>
      </c>
      <c r="C1883">
        <v>2024</v>
      </c>
      <c r="D1883" s="18">
        <v>45433</v>
      </c>
      <c r="E1883" s="18">
        <v>45797</v>
      </c>
      <c r="F1883" s="18" t="s">
        <v>608</v>
      </c>
      <c r="G1883" t="s">
        <v>101</v>
      </c>
      <c r="H1883">
        <v>1</v>
      </c>
      <c r="I1883">
        <v>2</v>
      </c>
      <c r="J1883" s="27">
        <v>15492.45</v>
      </c>
      <c r="K1883" s="27">
        <v>1000000</v>
      </c>
    </row>
    <row r="1884" spans="1:11" ht="15" customHeight="1" x14ac:dyDescent="0.2">
      <c r="A1884" t="s">
        <v>4348</v>
      </c>
      <c r="B1884" t="s">
        <v>4349</v>
      </c>
      <c r="C1884">
        <v>2024</v>
      </c>
      <c r="D1884" s="18">
        <v>45433</v>
      </c>
      <c r="E1884" s="18">
        <v>45797</v>
      </c>
      <c r="F1884" s="18" t="s">
        <v>611</v>
      </c>
      <c r="G1884" t="s">
        <v>99</v>
      </c>
      <c r="H1884">
        <v>1</v>
      </c>
      <c r="I1884">
        <v>1</v>
      </c>
      <c r="J1884" s="27">
        <v>44413.46</v>
      </c>
      <c r="K1884" s="27">
        <v>5000000</v>
      </c>
    </row>
    <row r="1885" spans="1:11" ht="15" customHeight="1" x14ac:dyDescent="0.2">
      <c r="A1885" t="s">
        <v>4350</v>
      </c>
      <c r="B1885" t="s">
        <v>4351</v>
      </c>
      <c r="C1885">
        <v>2024</v>
      </c>
      <c r="D1885" s="18">
        <v>45433</v>
      </c>
      <c r="E1885" s="18">
        <v>45797</v>
      </c>
      <c r="F1885" s="18" t="s">
        <v>611</v>
      </c>
      <c r="G1885" t="s">
        <v>99</v>
      </c>
      <c r="H1885">
        <v>1</v>
      </c>
      <c r="I1885">
        <v>1</v>
      </c>
      <c r="J1885" s="27">
        <v>17586.82</v>
      </c>
      <c r="K1885" s="27">
        <v>2000000</v>
      </c>
    </row>
    <row r="1886" spans="1:11" ht="15" customHeight="1" x14ac:dyDescent="0.2">
      <c r="A1886" t="s">
        <v>4352</v>
      </c>
      <c r="B1886" t="s">
        <v>4353</v>
      </c>
      <c r="C1886">
        <v>2024</v>
      </c>
      <c r="D1886" s="18">
        <v>45433</v>
      </c>
      <c r="E1886" s="18">
        <v>45797</v>
      </c>
      <c r="F1886" s="18" t="s">
        <v>611</v>
      </c>
      <c r="G1886" t="s">
        <v>99</v>
      </c>
      <c r="H1886">
        <v>3</v>
      </c>
      <c r="I1886">
        <v>3</v>
      </c>
      <c r="J1886" s="27">
        <v>39185.760000000002</v>
      </c>
      <c r="K1886" s="27">
        <v>5000000</v>
      </c>
    </row>
    <row r="1887" spans="1:11" ht="15" customHeight="1" x14ac:dyDescent="0.2">
      <c r="A1887" t="s">
        <v>4354</v>
      </c>
      <c r="B1887" t="s">
        <v>4355</v>
      </c>
      <c r="C1887">
        <v>2024</v>
      </c>
      <c r="D1887" s="18">
        <v>45433</v>
      </c>
      <c r="E1887" s="18">
        <v>45797</v>
      </c>
      <c r="F1887" s="18" t="s">
        <v>611</v>
      </c>
      <c r="G1887" t="s">
        <v>102</v>
      </c>
      <c r="H1887">
        <v>2</v>
      </c>
      <c r="I1887">
        <v>2</v>
      </c>
      <c r="J1887" s="27">
        <v>36862.17</v>
      </c>
      <c r="K1887" s="27">
        <v>5000000</v>
      </c>
    </row>
    <row r="1888" spans="1:11" ht="15" customHeight="1" x14ac:dyDescent="0.2">
      <c r="A1888" t="s">
        <v>4356</v>
      </c>
      <c r="B1888" t="s">
        <v>4357</v>
      </c>
      <c r="C1888">
        <v>2024</v>
      </c>
      <c r="D1888" s="18">
        <v>45433</v>
      </c>
      <c r="E1888" s="18">
        <v>45797</v>
      </c>
      <c r="F1888" s="18" t="s">
        <v>611</v>
      </c>
      <c r="G1888" t="s">
        <v>100</v>
      </c>
      <c r="H1888">
        <v>1</v>
      </c>
      <c r="I1888">
        <v>1</v>
      </c>
      <c r="J1888" s="27">
        <v>6448.49</v>
      </c>
      <c r="K1888" s="27">
        <v>500000</v>
      </c>
    </row>
    <row r="1889" spans="1:11" ht="15" customHeight="1" x14ac:dyDescent="0.2">
      <c r="A1889" t="s">
        <v>4358</v>
      </c>
      <c r="B1889" t="s">
        <v>4359</v>
      </c>
      <c r="C1889">
        <v>2024</v>
      </c>
      <c r="D1889" s="18">
        <v>45433</v>
      </c>
      <c r="E1889" s="18">
        <v>45797</v>
      </c>
      <c r="F1889" s="18" t="s">
        <v>611</v>
      </c>
      <c r="G1889" t="s">
        <v>101</v>
      </c>
      <c r="H1889">
        <v>2</v>
      </c>
      <c r="I1889">
        <v>4</v>
      </c>
      <c r="J1889" s="27">
        <v>76828.09</v>
      </c>
      <c r="K1889" s="27">
        <v>5000000</v>
      </c>
    </row>
    <row r="1890" spans="1:11" ht="15" customHeight="1" x14ac:dyDescent="0.2">
      <c r="A1890" t="s">
        <v>4360</v>
      </c>
      <c r="B1890" t="s">
        <v>4361</v>
      </c>
      <c r="C1890">
        <v>2024</v>
      </c>
      <c r="D1890" s="18">
        <v>45433</v>
      </c>
      <c r="E1890" s="18">
        <v>45797</v>
      </c>
      <c r="F1890" s="18" t="s">
        <v>611</v>
      </c>
      <c r="G1890" t="s">
        <v>101</v>
      </c>
      <c r="H1890">
        <v>2</v>
      </c>
      <c r="I1890">
        <v>2</v>
      </c>
      <c r="J1890" s="27">
        <v>15659.76</v>
      </c>
      <c r="K1890" s="27">
        <v>1000000</v>
      </c>
    </row>
    <row r="1891" spans="1:11" ht="15" customHeight="1" x14ac:dyDescent="0.2">
      <c r="A1891" t="s">
        <v>4362</v>
      </c>
      <c r="B1891" t="s">
        <v>4363</v>
      </c>
      <c r="C1891">
        <v>2024</v>
      </c>
      <c r="D1891" s="18">
        <v>45433</v>
      </c>
      <c r="E1891" s="18">
        <v>45797</v>
      </c>
      <c r="F1891" s="18" t="s">
        <v>611</v>
      </c>
      <c r="G1891" t="s">
        <v>100</v>
      </c>
      <c r="H1891">
        <v>1</v>
      </c>
      <c r="I1891">
        <v>1</v>
      </c>
      <c r="J1891" s="27">
        <v>29871.919999999998</v>
      </c>
      <c r="K1891" s="27">
        <v>2500000</v>
      </c>
    </row>
    <row r="1892" spans="1:11" ht="15" customHeight="1" x14ac:dyDescent="0.2">
      <c r="A1892" t="s">
        <v>4364</v>
      </c>
      <c r="B1892" t="s">
        <v>4365</v>
      </c>
      <c r="C1892">
        <v>2024</v>
      </c>
      <c r="D1892" s="18">
        <v>45433</v>
      </c>
      <c r="E1892" s="18">
        <v>45797</v>
      </c>
      <c r="F1892" s="18" t="s">
        <v>611</v>
      </c>
      <c r="G1892" t="s">
        <v>101</v>
      </c>
      <c r="H1892">
        <v>3</v>
      </c>
      <c r="I1892">
        <v>3</v>
      </c>
      <c r="J1892" s="27">
        <v>65501.58</v>
      </c>
      <c r="K1892" s="27">
        <v>4000000</v>
      </c>
    </row>
    <row r="1893" spans="1:11" ht="15" customHeight="1" x14ac:dyDescent="0.2">
      <c r="A1893" t="s">
        <v>4366</v>
      </c>
      <c r="B1893" t="s">
        <v>4367</v>
      </c>
      <c r="C1893">
        <v>2024</v>
      </c>
      <c r="D1893" s="18">
        <v>45433</v>
      </c>
      <c r="E1893" s="18">
        <v>45797</v>
      </c>
      <c r="F1893" s="18" t="s">
        <v>611</v>
      </c>
      <c r="G1893" t="s">
        <v>101</v>
      </c>
      <c r="H1893">
        <v>2</v>
      </c>
      <c r="I1893">
        <v>2</v>
      </c>
      <c r="J1893" s="27">
        <v>53110.21</v>
      </c>
      <c r="K1893" s="27">
        <v>3500000</v>
      </c>
    </row>
    <row r="1894" spans="1:11" ht="15" customHeight="1" x14ac:dyDescent="0.2">
      <c r="A1894" t="s">
        <v>4368</v>
      </c>
      <c r="B1894" t="s">
        <v>4369</v>
      </c>
      <c r="C1894">
        <v>2024</v>
      </c>
      <c r="D1894" s="18">
        <v>45433</v>
      </c>
      <c r="E1894" s="18">
        <v>45797</v>
      </c>
      <c r="F1894" s="18" t="s">
        <v>611</v>
      </c>
      <c r="G1894" t="s">
        <v>99</v>
      </c>
      <c r="H1894">
        <v>2</v>
      </c>
      <c r="I1894">
        <v>4</v>
      </c>
      <c r="J1894" s="27">
        <v>11377.97</v>
      </c>
      <c r="K1894" s="27">
        <v>1500000</v>
      </c>
    </row>
    <row r="1895" spans="1:11" ht="15" customHeight="1" x14ac:dyDescent="0.2">
      <c r="A1895" t="s">
        <v>4370</v>
      </c>
      <c r="B1895" t="s">
        <v>4371</v>
      </c>
      <c r="C1895">
        <v>2024</v>
      </c>
      <c r="D1895" s="18">
        <v>45433</v>
      </c>
      <c r="E1895" s="18">
        <v>45797</v>
      </c>
      <c r="F1895" s="18" t="s">
        <v>611</v>
      </c>
      <c r="G1895" t="s">
        <v>102</v>
      </c>
      <c r="H1895">
        <v>1</v>
      </c>
      <c r="I1895">
        <v>2</v>
      </c>
      <c r="J1895" s="27">
        <v>13907.83</v>
      </c>
      <c r="K1895" s="27">
        <v>2000000</v>
      </c>
    </row>
    <row r="1896" spans="1:11" ht="15" customHeight="1" x14ac:dyDescent="0.2">
      <c r="A1896" t="s">
        <v>4372</v>
      </c>
      <c r="B1896" t="s">
        <v>4373</v>
      </c>
      <c r="C1896">
        <v>2024</v>
      </c>
      <c r="D1896" s="18">
        <v>45434</v>
      </c>
      <c r="E1896" s="18">
        <v>45798</v>
      </c>
      <c r="F1896" s="18" t="s">
        <v>611</v>
      </c>
      <c r="G1896" t="s">
        <v>100</v>
      </c>
      <c r="H1896">
        <v>1</v>
      </c>
      <c r="I1896">
        <v>1</v>
      </c>
      <c r="J1896" s="27">
        <v>45979.839999999997</v>
      </c>
      <c r="K1896" s="27">
        <v>4000000</v>
      </c>
    </row>
    <row r="1897" spans="1:11" ht="15" customHeight="1" x14ac:dyDescent="0.2">
      <c r="A1897" t="s">
        <v>4374</v>
      </c>
      <c r="B1897" t="s">
        <v>4375</v>
      </c>
      <c r="C1897">
        <v>2024</v>
      </c>
      <c r="D1897" s="18">
        <v>45434</v>
      </c>
      <c r="E1897" s="18">
        <v>45798</v>
      </c>
      <c r="F1897" s="18" t="s">
        <v>611</v>
      </c>
      <c r="G1897" t="s">
        <v>102</v>
      </c>
      <c r="H1897">
        <v>2</v>
      </c>
      <c r="I1897">
        <v>2</v>
      </c>
      <c r="J1897" s="27">
        <v>17617.009999999998</v>
      </c>
      <c r="K1897" s="27">
        <v>2500000</v>
      </c>
    </row>
    <row r="1898" spans="1:11" ht="15" customHeight="1" x14ac:dyDescent="0.2">
      <c r="A1898" t="s">
        <v>4376</v>
      </c>
      <c r="B1898" t="s">
        <v>4377</v>
      </c>
      <c r="C1898">
        <v>2024</v>
      </c>
      <c r="D1898" s="18">
        <v>45434</v>
      </c>
      <c r="E1898" s="18">
        <v>45798</v>
      </c>
      <c r="F1898" s="18" t="s">
        <v>611</v>
      </c>
      <c r="G1898" t="s">
        <v>100</v>
      </c>
      <c r="H1898">
        <v>1</v>
      </c>
      <c r="I1898">
        <v>2</v>
      </c>
      <c r="J1898" s="27">
        <v>6496.89</v>
      </c>
      <c r="K1898" s="27">
        <v>500000</v>
      </c>
    </row>
    <row r="1899" spans="1:11" ht="15" customHeight="1" x14ac:dyDescent="0.2">
      <c r="A1899" t="s">
        <v>4378</v>
      </c>
      <c r="B1899" t="s">
        <v>4379</v>
      </c>
      <c r="C1899">
        <v>2024</v>
      </c>
      <c r="D1899" s="18">
        <v>45434</v>
      </c>
      <c r="E1899" s="18">
        <v>45798</v>
      </c>
      <c r="F1899" s="18" t="s">
        <v>611</v>
      </c>
      <c r="G1899" t="s">
        <v>100</v>
      </c>
      <c r="H1899">
        <v>1</v>
      </c>
      <c r="I1899">
        <v>1</v>
      </c>
      <c r="J1899" s="27">
        <v>117413.36</v>
      </c>
      <c r="K1899" s="27">
        <v>10000000</v>
      </c>
    </row>
    <row r="1900" spans="1:11" ht="15" customHeight="1" x14ac:dyDescent="0.2">
      <c r="A1900" t="s">
        <v>4380</v>
      </c>
      <c r="B1900" t="s">
        <v>4381</v>
      </c>
      <c r="C1900">
        <v>2024</v>
      </c>
      <c r="D1900" s="18">
        <v>45434</v>
      </c>
      <c r="E1900" s="18">
        <v>45798</v>
      </c>
      <c r="F1900" s="18" t="s">
        <v>611</v>
      </c>
      <c r="G1900" t="s">
        <v>99</v>
      </c>
      <c r="H1900">
        <v>3</v>
      </c>
      <c r="I1900">
        <v>3</v>
      </c>
      <c r="J1900" s="27">
        <v>34757.65</v>
      </c>
      <c r="K1900" s="27">
        <v>4000000</v>
      </c>
    </row>
    <row r="1901" spans="1:11" ht="15" customHeight="1" x14ac:dyDescent="0.2">
      <c r="A1901" t="s">
        <v>4382</v>
      </c>
      <c r="B1901" t="s">
        <v>4383</v>
      </c>
      <c r="C1901">
        <v>2024</v>
      </c>
      <c r="D1901" s="18">
        <v>45434</v>
      </c>
      <c r="E1901" s="18">
        <v>45798</v>
      </c>
      <c r="F1901" s="18" t="s">
        <v>611</v>
      </c>
      <c r="G1901" t="s">
        <v>102</v>
      </c>
      <c r="H1901">
        <v>1</v>
      </c>
      <c r="I1901">
        <v>1</v>
      </c>
      <c r="J1901" s="27">
        <v>29306.3</v>
      </c>
      <c r="K1901" s="27">
        <v>4000000</v>
      </c>
    </row>
    <row r="1902" spans="1:11" ht="15" customHeight="1" x14ac:dyDescent="0.2">
      <c r="A1902" t="s">
        <v>4384</v>
      </c>
      <c r="B1902" t="s">
        <v>4385</v>
      </c>
      <c r="C1902">
        <v>2024</v>
      </c>
      <c r="D1902" s="18">
        <v>45434</v>
      </c>
      <c r="E1902" s="18">
        <v>45798</v>
      </c>
      <c r="F1902" s="18" t="s">
        <v>611</v>
      </c>
      <c r="G1902" t="s">
        <v>101</v>
      </c>
      <c r="H1902">
        <v>3</v>
      </c>
      <c r="I1902">
        <v>3</v>
      </c>
      <c r="J1902" s="27">
        <v>65894.58</v>
      </c>
      <c r="K1902" s="27">
        <v>4000000</v>
      </c>
    </row>
    <row r="1903" spans="1:11" ht="15" customHeight="1" x14ac:dyDescent="0.2">
      <c r="A1903" t="s">
        <v>4386</v>
      </c>
      <c r="B1903" t="s">
        <v>4387</v>
      </c>
      <c r="C1903">
        <v>2024</v>
      </c>
      <c r="D1903" s="18">
        <v>45434</v>
      </c>
      <c r="E1903" s="18">
        <v>45798</v>
      </c>
      <c r="F1903" s="18" t="s">
        <v>611</v>
      </c>
      <c r="G1903" t="s">
        <v>102</v>
      </c>
      <c r="H1903">
        <v>2</v>
      </c>
      <c r="I1903">
        <v>4</v>
      </c>
      <c r="J1903" s="27">
        <v>30639.21</v>
      </c>
      <c r="K1903" s="27">
        <v>4000000</v>
      </c>
    </row>
    <row r="1904" spans="1:11" ht="15" customHeight="1" x14ac:dyDescent="0.2">
      <c r="A1904" t="s">
        <v>4388</v>
      </c>
      <c r="B1904" t="s">
        <v>4389</v>
      </c>
      <c r="C1904">
        <v>2024</v>
      </c>
      <c r="D1904" s="18">
        <v>45435</v>
      </c>
      <c r="E1904" s="18">
        <v>45799</v>
      </c>
      <c r="F1904" s="18" t="s">
        <v>608</v>
      </c>
      <c r="G1904" t="s">
        <v>99</v>
      </c>
      <c r="H1904">
        <v>1</v>
      </c>
      <c r="I1904">
        <v>1</v>
      </c>
      <c r="J1904" s="27">
        <v>4294.82</v>
      </c>
      <c r="K1904" s="27">
        <v>500000</v>
      </c>
    </row>
    <row r="1905" spans="1:11" ht="15" customHeight="1" x14ac:dyDescent="0.2">
      <c r="A1905" t="s">
        <v>4390</v>
      </c>
      <c r="B1905" t="s">
        <v>4391</v>
      </c>
      <c r="C1905">
        <v>2024</v>
      </c>
      <c r="D1905" s="18">
        <v>45435</v>
      </c>
      <c r="E1905" s="18">
        <v>45799</v>
      </c>
      <c r="F1905" s="18" t="s">
        <v>611</v>
      </c>
      <c r="G1905" t="s">
        <v>99</v>
      </c>
      <c r="H1905">
        <v>1</v>
      </c>
      <c r="I1905">
        <v>1</v>
      </c>
      <c r="J1905" s="27">
        <v>9095.69</v>
      </c>
      <c r="K1905" s="27">
        <v>1000000</v>
      </c>
    </row>
    <row r="1906" spans="1:11" ht="15" customHeight="1" x14ac:dyDescent="0.2">
      <c r="A1906" t="s">
        <v>4392</v>
      </c>
      <c r="B1906" t="s">
        <v>4393</v>
      </c>
      <c r="C1906">
        <v>2024</v>
      </c>
      <c r="D1906" s="18">
        <v>45435</v>
      </c>
      <c r="E1906" s="18">
        <v>45799</v>
      </c>
      <c r="F1906" s="18" t="s">
        <v>611</v>
      </c>
      <c r="G1906" t="s">
        <v>102</v>
      </c>
      <c r="H1906">
        <v>1</v>
      </c>
      <c r="I1906">
        <v>1</v>
      </c>
      <c r="J1906" s="27">
        <v>13657.63</v>
      </c>
      <c r="K1906" s="27">
        <v>2000000</v>
      </c>
    </row>
    <row r="1907" spans="1:11" ht="15" customHeight="1" x14ac:dyDescent="0.2">
      <c r="A1907" t="s">
        <v>4394</v>
      </c>
      <c r="B1907" t="s">
        <v>4395</v>
      </c>
      <c r="C1907">
        <v>2024</v>
      </c>
      <c r="D1907" s="18">
        <v>45435</v>
      </c>
      <c r="E1907" s="18">
        <v>45799</v>
      </c>
      <c r="F1907" s="18" t="s">
        <v>611</v>
      </c>
      <c r="G1907" t="s">
        <v>99</v>
      </c>
      <c r="H1907">
        <v>2</v>
      </c>
      <c r="I1907">
        <v>2</v>
      </c>
      <c r="J1907" s="27">
        <v>8725.98</v>
      </c>
      <c r="K1907" s="27">
        <v>1000000</v>
      </c>
    </row>
    <row r="1908" spans="1:11" ht="15" customHeight="1" x14ac:dyDescent="0.2">
      <c r="A1908" t="s">
        <v>4396</v>
      </c>
      <c r="B1908" t="s">
        <v>4397</v>
      </c>
      <c r="C1908">
        <v>2024</v>
      </c>
      <c r="D1908" s="18">
        <v>45435</v>
      </c>
      <c r="E1908" s="18">
        <v>45799</v>
      </c>
      <c r="F1908" s="18" t="s">
        <v>611</v>
      </c>
      <c r="G1908" t="s">
        <v>99</v>
      </c>
      <c r="H1908">
        <v>1</v>
      </c>
      <c r="I1908">
        <v>2</v>
      </c>
      <c r="J1908" s="27">
        <v>3940.54</v>
      </c>
      <c r="K1908" s="27">
        <v>500000</v>
      </c>
    </row>
    <row r="1909" spans="1:11" ht="15" customHeight="1" x14ac:dyDescent="0.2">
      <c r="A1909" t="s">
        <v>4398</v>
      </c>
      <c r="B1909" t="s">
        <v>4399</v>
      </c>
      <c r="C1909">
        <v>2024</v>
      </c>
      <c r="D1909" s="18">
        <v>45435</v>
      </c>
      <c r="E1909" s="18">
        <v>45799</v>
      </c>
      <c r="F1909" s="18" t="s">
        <v>611</v>
      </c>
      <c r="G1909" t="s">
        <v>99</v>
      </c>
      <c r="H1909">
        <v>3</v>
      </c>
      <c r="I1909">
        <v>3</v>
      </c>
      <c r="J1909" s="27">
        <v>4105.01</v>
      </c>
      <c r="K1909" s="27">
        <v>500000</v>
      </c>
    </row>
    <row r="1910" spans="1:11" ht="15" customHeight="1" x14ac:dyDescent="0.2">
      <c r="A1910" t="s">
        <v>4400</v>
      </c>
      <c r="B1910" t="s">
        <v>4401</v>
      </c>
      <c r="C1910">
        <v>2024</v>
      </c>
      <c r="D1910" s="18">
        <v>45435</v>
      </c>
      <c r="E1910" s="18">
        <v>45799</v>
      </c>
      <c r="F1910" s="18" t="s">
        <v>611</v>
      </c>
      <c r="G1910" t="s">
        <v>99</v>
      </c>
      <c r="H1910">
        <v>1</v>
      </c>
      <c r="I1910">
        <v>1</v>
      </c>
      <c r="J1910" s="27">
        <v>22064.3</v>
      </c>
      <c r="K1910" s="27">
        <v>2500000</v>
      </c>
    </row>
    <row r="1911" spans="1:11" ht="15" customHeight="1" x14ac:dyDescent="0.2">
      <c r="A1911" t="s">
        <v>4402</v>
      </c>
      <c r="B1911" t="s">
        <v>4403</v>
      </c>
      <c r="C1911">
        <v>2024</v>
      </c>
      <c r="D1911" s="18">
        <v>45435</v>
      </c>
      <c r="E1911" s="18">
        <v>45799</v>
      </c>
      <c r="F1911" s="18" t="s">
        <v>611</v>
      </c>
      <c r="G1911" t="s">
        <v>101</v>
      </c>
      <c r="H1911">
        <v>3</v>
      </c>
      <c r="I1911">
        <v>6</v>
      </c>
      <c r="J1911" s="27">
        <v>72686.960000000006</v>
      </c>
      <c r="K1911" s="27">
        <v>4500000</v>
      </c>
    </row>
    <row r="1912" spans="1:11" ht="15" customHeight="1" x14ac:dyDescent="0.2">
      <c r="A1912" t="s">
        <v>4404</v>
      </c>
      <c r="B1912" t="s">
        <v>4405</v>
      </c>
      <c r="C1912">
        <v>2024</v>
      </c>
      <c r="D1912" s="18">
        <v>45435</v>
      </c>
      <c r="E1912" s="18">
        <v>45799</v>
      </c>
      <c r="F1912" s="18" t="s">
        <v>611</v>
      </c>
      <c r="G1912" t="s">
        <v>102</v>
      </c>
      <c r="H1912">
        <v>1</v>
      </c>
      <c r="I1912">
        <v>1</v>
      </c>
      <c r="J1912" s="27">
        <v>68915.759999999995</v>
      </c>
      <c r="K1912" s="27">
        <v>10000000</v>
      </c>
    </row>
    <row r="1913" spans="1:11" ht="15" customHeight="1" x14ac:dyDescent="0.2">
      <c r="A1913" t="s">
        <v>4406</v>
      </c>
      <c r="B1913" t="s">
        <v>4407</v>
      </c>
      <c r="C1913">
        <v>2024</v>
      </c>
      <c r="D1913" s="18">
        <v>45436</v>
      </c>
      <c r="E1913" s="18">
        <v>45800</v>
      </c>
      <c r="F1913" s="18" t="s">
        <v>608</v>
      </c>
      <c r="G1913" t="s">
        <v>99</v>
      </c>
      <c r="H1913">
        <v>2</v>
      </c>
      <c r="I1913">
        <v>4</v>
      </c>
      <c r="J1913" s="27">
        <v>18255.55</v>
      </c>
      <c r="K1913" s="27">
        <v>2000000</v>
      </c>
    </row>
    <row r="1914" spans="1:11" ht="15" customHeight="1" x14ac:dyDescent="0.2">
      <c r="A1914" t="s">
        <v>4408</v>
      </c>
      <c r="B1914" t="s">
        <v>4409</v>
      </c>
      <c r="C1914">
        <v>2024</v>
      </c>
      <c r="D1914" s="18">
        <v>45436</v>
      </c>
      <c r="E1914" s="18">
        <v>45800</v>
      </c>
      <c r="F1914" s="18" t="s">
        <v>611</v>
      </c>
      <c r="G1914" t="s">
        <v>102</v>
      </c>
      <c r="H1914">
        <v>1</v>
      </c>
      <c r="I1914">
        <v>1</v>
      </c>
      <c r="J1914" s="27">
        <v>14617.82</v>
      </c>
      <c r="K1914" s="27">
        <v>2000000</v>
      </c>
    </row>
    <row r="1915" spans="1:11" ht="15" customHeight="1" x14ac:dyDescent="0.2">
      <c r="A1915" t="s">
        <v>4410</v>
      </c>
      <c r="B1915" t="s">
        <v>4411</v>
      </c>
      <c r="C1915">
        <v>2024</v>
      </c>
      <c r="D1915" s="18">
        <v>45436</v>
      </c>
      <c r="E1915" s="18">
        <v>45800</v>
      </c>
      <c r="F1915" s="18" t="s">
        <v>611</v>
      </c>
      <c r="G1915" t="s">
        <v>100</v>
      </c>
      <c r="H1915">
        <v>3</v>
      </c>
      <c r="I1915">
        <v>3</v>
      </c>
      <c r="J1915" s="27">
        <v>120327.56</v>
      </c>
      <c r="K1915" s="27">
        <v>10000000</v>
      </c>
    </row>
    <row r="1916" spans="1:11" ht="15" customHeight="1" x14ac:dyDescent="0.2">
      <c r="A1916" t="s">
        <v>4412</v>
      </c>
      <c r="B1916" t="s">
        <v>4413</v>
      </c>
      <c r="C1916">
        <v>2024</v>
      </c>
      <c r="D1916" s="18">
        <v>45436</v>
      </c>
      <c r="E1916" s="18">
        <v>45800</v>
      </c>
      <c r="F1916" s="18" t="s">
        <v>611</v>
      </c>
      <c r="G1916" t="s">
        <v>99</v>
      </c>
      <c r="H1916">
        <v>1</v>
      </c>
      <c r="I1916">
        <v>1</v>
      </c>
      <c r="J1916" s="27">
        <v>22082.77</v>
      </c>
      <c r="K1916" s="27">
        <v>2500000</v>
      </c>
    </row>
    <row r="1917" spans="1:11" ht="15" customHeight="1" x14ac:dyDescent="0.2">
      <c r="A1917" t="s">
        <v>4414</v>
      </c>
      <c r="B1917" t="s">
        <v>4415</v>
      </c>
      <c r="C1917">
        <v>2024</v>
      </c>
      <c r="D1917" s="18">
        <v>45436</v>
      </c>
      <c r="E1917" s="18">
        <v>45800</v>
      </c>
      <c r="F1917" s="18" t="s">
        <v>611</v>
      </c>
      <c r="G1917" t="s">
        <v>100</v>
      </c>
      <c r="H1917">
        <v>2</v>
      </c>
      <c r="I1917">
        <v>4</v>
      </c>
      <c r="J1917" s="27">
        <v>115400.03</v>
      </c>
      <c r="K1917" s="27">
        <v>10000000</v>
      </c>
    </row>
    <row r="1918" spans="1:11" ht="15" customHeight="1" x14ac:dyDescent="0.2">
      <c r="A1918" t="s">
        <v>4416</v>
      </c>
      <c r="B1918" t="s">
        <v>4417</v>
      </c>
      <c r="C1918">
        <v>2024</v>
      </c>
      <c r="D1918" s="18">
        <v>45436</v>
      </c>
      <c r="E1918" s="18">
        <v>45800</v>
      </c>
      <c r="F1918" s="18" t="s">
        <v>611</v>
      </c>
      <c r="G1918" t="s">
        <v>99</v>
      </c>
      <c r="H1918">
        <v>1</v>
      </c>
      <c r="I1918">
        <v>1</v>
      </c>
      <c r="J1918" s="27">
        <v>4044.59</v>
      </c>
      <c r="K1918" s="27">
        <v>500000</v>
      </c>
    </row>
    <row r="1919" spans="1:11" ht="15" customHeight="1" x14ac:dyDescent="0.2">
      <c r="A1919" t="s">
        <v>4418</v>
      </c>
      <c r="B1919" t="s">
        <v>4419</v>
      </c>
      <c r="C1919">
        <v>2024</v>
      </c>
      <c r="D1919" s="18">
        <v>45436</v>
      </c>
      <c r="E1919" s="18">
        <v>45800</v>
      </c>
      <c r="F1919" s="18" t="s">
        <v>611</v>
      </c>
      <c r="G1919" t="s">
        <v>101</v>
      </c>
      <c r="H1919">
        <v>1</v>
      </c>
      <c r="I1919">
        <v>1</v>
      </c>
      <c r="J1919" s="27">
        <v>39197.18</v>
      </c>
      <c r="K1919" s="27">
        <v>2500000</v>
      </c>
    </row>
    <row r="1920" spans="1:11" ht="15" customHeight="1" x14ac:dyDescent="0.2">
      <c r="A1920" t="s">
        <v>4420</v>
      </c>
      <c r="B1920" t="s">
        <v>4421</v>
      </c>
      <c r="C1920">
        <v>2024</v>
      </c>
      <c r="D1920" s="18">
        <v>45436</v>
      </c>
      <c r="E1920" s="18">
        <v>45800</v>
      </c>
      <c r="F1920" s="18" t="s">
        <v>611</v>
      </c>
      <c r="G1920" t="s">
        <v>100</v>
      </c>
      <c r="H1920">
        <v>2</v>
      </c>
      <c r="I1920">
        <v>2</v>
      </c>
      <c r="J1920" s="27">
        <v>51727.59</v>
      </c>
      <c r="K1920" s="27">
        <v>4000000</v>
      </c>
    </row>
    <row r="1921" spans="1:11" ht="15" customHeight="1" x14ac:dyDescent="0.2">
      <c r="A1921" t="s">
        <v>4422</v>
      </c>
      <c r="B1921" t="s">
        <v>4423</v>
      </c>
      <c r="C1921">
        <v>2024</v>
      </c>
      <c r="D1921" s="18">
        <v>45436</v>
      </c>
      <c r="E1921" s="18">
        <v>45800</v>
      </c>
      <c r="F1921" s="18" t="s">
        <v>611</v>
      </c>
      <c r="G1921" t="s">
        <v>102</v>
      </c>
      <c r="H1921">
        <v>2</v>
      </c>
      <c r="I1921">
        <v>4</v>
      </c>
      <c r="J1921" s="27">
        <v>77667.05</v>
      </c>
      <c r="K1921" s="27">
        <v>10000000</v>
      </c>
    </row>
    <row r="1922" spans="1:11" ht="15" customHeight="1" x14ac:dyDescent="0.2">
      <c r="A1922" t="s">
        <v>4424</v>
      </c>
      <c r="B1922" t="s">
        <v>4425</v>
      </c>
      <c r="C1922">
        <v>2024</v>
      </c>
      <c r="D1922" s="18">
        <v>45437</v>
      </c>
      <c r="E1922" s="18">
        <v>45801</v>
      </c>
      <c r="F1922" s="18" t="s">
        <v>608</v>
      </c>
      <c r="G1922" t="s">
        <v>100</v>
      </c>
      <c r="H1922">
        <v>2</v>
      </c>
      <c r="I1922">
        <v>2</v>
      </c>
      <c r="J1922" s="27">
        <v>23426.84</v>
      </c>
      <c r="K1922" s="27">
        <v>2000000</v>
      </c>
    </row>
    <row r="1923" spans="1:11" ht="15" customHeight="1" x14ac:dyDescent="0.2">
      <c r="A1923" t="s">
        <v>4426</v>
      </c>
      <c r="B1923" t="s">
        <v>4427</v>
      </c>
      <c r="C1923">
        <v>2024</v>
      </c>
      <c r="D1923" s="18">
        <v>45437</v>
      </c>
      <c r="E1923" s="18">
        <v>45801</v>
      </c>
      <c r="F1923" s="18" t="s">
        <v>608</v>
      </c>
      <c r="G1923" t="s">
        <v>101</v>
      </c>
      <c r="H1923">
        <v>3</v>
      </c>
      <c r="I1923">
        <v>6</v>
      </c>
      <c r="J1923" s="27">
        <v>24417.33</v>
      </c>
      <c r="K1923" s="27">
        <v>1500000</v>
      </c>
    </row>
    <row r="1924" spans="1:11" ht="15" customHeight="1" x14ac:dyDescent="0.2">
      <c r="A1924" t="s">
        <v>4428</v>
      </c>
      <c r="B1924" t="s">
        <v>4429</v>
      </c>
      <c r="C1924">
        <v>2024</v>
      </c>
      <c r="D1924" s="18">
        <v>45437</v>
      </c>
      <c r="E1924" s="18">
        <v>45801</v>
      </c>
      <c r="F1924" s="18" t="s">
        <v>608</v>
      </c>
      <c r="G1924" t="s">
        <v>101</v>
      </c>
      <c r="H1924">
        <v>1</v>
      </c>
      <c r="I1924">
        <v>1</v>
      </c>
      <c r="J1924" s="27">
        <v>23935.34</v>
      </c>
      <c r="K1924" s="27">
        <v>1500000</v>
      </c>
    </row>
    <row r="1925" spans="1:11" ht="15" customHeight="1" x14ac:dyDescent="0.2">
      <c r="A1925" t="s">
        <v>4430</v>
      </c>
      <c r="B1925" t="s">
        <v>4431</v>
      </c>
      <c r="C1925">
        <v>2024</v>
      </c>
      <c r="D1925" s="18">
        <v>45437</v>
      </c>
      <c r="E1925" s="18">
        <v>45801</v>
      </c>
      <c r="F1925" s="18" t="s">
        <v>608</v>
      </c>
      <c r="G1925" t="s">
        <v>101</v>
      </c>
      <c r="H1925">
        <v>3</v>
      </c>
      <c r="I1925">
        <v>3</v>
      </c>
      <c r="J1925" s="27">
        <v>22613.03</v>
      </c>
      <c r="K1925" s="27">
        <v>1500000</v>
      </c>
    </row>
    <row r="1926" spans="1:11" ht="15" customHeight="1" x14ac:dyDescent="0.2">
      <c r="A1926" t="s">
        <v>4432</v>
      </c>
      <c r="B1926" t="s">
        <v>4433</v>
      </c>
      <c r="C1926">
        <v>2024</v>
      </c>
      <c r="D1926" s="18">
        <v>45437</v>
      </c>
      <c r="E1926" s="18">
        <v>45801</v>
      </c>
      <c r="F1926" s="18" t="s">
        <v>611</v>
      </c>
      <c r="G1926" t="s">
        <v>99</v>
      </c>
      <c r="H1926">
        <v>2</v>
      </c>
      <c r="I1926">
        <v>2</v>
      </c>
      <c r="J1926" s="27">
        <v>4219.03</v>
      </c>
      <c r="K1926" s="27">
        <v>500000</v>
      </c>
    </row>
    <row r="1927" spans="1:11" ht="15" customHeight="1" x14ac:dyDescent="0.2">
      <c r="A1927" t="s">
        <v>4434</v>
      </c>
      <c r="B1927" t="s">
        <v>4435</v>
      </c>
      <c r="C1927">
        <v>2024</v>
      </c>
      <c r="D1927" s="18">
        <v>45437</v>
      </c>
      <c r="E1927" s="18">
        <v>45801</v>
      </c>
      <c r="F1927" s="18" t="s">
        <v>611</v>
      </c>
      <c r="G1927" t="s">
        <v>100</v>
      </c>
      <c r="H1927">
        <v>2</v>
      </c>
      <c r="I1927">
        <v>2</v>
      </c>
      <c r="J1927" s="27">
        <v>38800.120000000003</v>
      </c>
      <c r="K1927" s="27">
        <v>3500000</v>
      </c>
    </row>
    <row r="1928" spans="1:11" ht="15" customHeight="1" x14ac:dyDescent="0.2">
      <c r="A1928" t="s">
        <v>4436</v>
      </c>
      <c r="B1928" t="s">
        <v>4437</v>
      </c>
      <c r="C1928">
        <v>2024</v>
      </c>
      <c r="D1928" s="18">
        <v>45437</v>
      </c>
      <c r="E1928" s="18">
        <v>45801</v>
      </c>
      <c r="F1928" s="18" t="s">
        <v>611</v>
      </c>
      <c r="G1928" t="s">
        <v>101</v>
      </c>
      <c r="H1928">
        <v>2</v>
      </c>
      <c r="I1928">
        <v>4</v>
      </c>
      <c r="J1928" s="27">
        <v>33360.33</v>
      </c>
      <c r="K1928" s="27">
        <v>2000000</v>
      </c>
    </row>
    <row r="1929" spans="1:11" ht="15" customHeight="1" x14ac:dyDescent="0.2">
      <c r="A1929" t="s">
        <v>4438</v>
      </c>
      <c r="B1929" t="s">
        <v>4439</v>
      </c>
      <c r="C1929">
        <v>2024</v>
      </c>
      <c r="D1929" s="18">
        <v>45437</v>
      </c>
      <c r="E1929" s="18">
        <v>45801</v>
      </c>
      <c r="F1929" s="18" t="s">
        <v>611</v>
      </c>
      <c r="G1929" t="s">
        <v>100</v>
      </c>
      <c r="H1929">
        <v>1</v>
      </c>
      <c r="I1929">
        <v>1</v>
      </c>
      <c r="J1929" s="27">
        <v>24628.44</v>
      </c>
      <c r="K1929" s="27">
        <v>2000000</v>
      </c>
    </row>
    <row r="1930" spans="1:11" ht="15" customHeight="1" x14ac:dyDescent="0.2">
      <c r="A1930" t="s">
        <v>4440</v>
      </c>
      <c r="B1930" t="s">
        <v>4441</v>
      </c>
      <c r="C1930">
        <v>2024</v>
      </c>
      <c r="D1930" s="18">
        <v>45437</v>
      </c>
      <c r="E1930" s="18">
        <v>45801</v>
      </c>
      <c r="F1930" s="18" t="s">
        <v>611</v>
      </c>
      <c r="G1930" t="s">
        <v>100</v>
      </c>
      <c r="H1930">
        <v>2</v>
      </c>
      <c r="I1930">
        <v>4</v>
      </c>
      <c r="J1930" s="27">
        <v>52753.18</v>
      </c>
      <c r="K1930" s="27">
        <v>4000000</v>
      </c>
    </row>
    <row r="1931" spans="1:11" ht="15" customHeight="1" x14ac:dyDescent="0.2">
      <c r="A1931" t="s">
        <v>4442</v>
      </c>
      <c r="B1931" t="s">
        <v>4443</v>
      </c>
      <c r="C1931">
        <v>2024</v>
      </c>
      <c r="D1931" s="18">
        <v>45437</v>
      </c>
      <c r="E1931" s="18">
        <v>45801</v>
      </c>
      <c r="F1931" s="18" t="s">
        <v>611</v>
      </c>
      <c r="G1931" t="s">
        <v>99</v>
      </c>
      <c r="H1931">
        <v>1</v>
      </c>
      <c r="I1931">
        <v>1</v>
      </c>
      <c r="J1931" s="27">
        <v>17881.32</v>
      </c>
      <c r="K1931" s="27">
        <v>2000000</v>
      </c>
    </row>
    <row r="1932" spans="1:11" ht="15" customHeight="1" x14ac:dyDescent="0.2">
      <c r="A1932" t="s">
        <v>4444</v>
      </c>
      <c r="B1932" t="s">
        <v>4445</v>
      </c>
      <c r="C1932">
        <v>2024</v>
      </c>
      <c r="D1932" s="18">
        <v>45437</v>
      </c>
      <c r="E1932" s="18">
        <v>45801</v>
      </c>
      <c r="F1932" s="18" t="s">
        <v>611</v>
      </c>
      <c r="G1932" t="s">
        <v>101</v>
      </c>
      <c r="H1932">
        <v>1</v>
      </c>
      <c r="I1932">
        <v>1</v>
      </c>
      <c r="J1932" s="27">
        <v>29724.560000000001</v>
      </c>
      <c r="K1932" s="27">
        <v>2000000</v>
      </c>
    </row>
    <row r="1933" spans="1:11" ht="15" customHeight="1" x14ac:dyDescent="0.2">
      <c r="A1933" t="s">
        <v>4446</v>
      </c>
      <c r="B1933" t="s">
        <v>4447</v>
      </c>
      <c r="C1933">
        <v>2024</v>
      </c>
      <c r="D1933" s="18">
        <v>45437</v>
      </c>
      <c r="E1933" s="18">
        <v>45801</v>
      </c>
      <c r="F1933" s="18" t="s">
        <v>611</v>
      </c>
      <c r="G1933" t="s">
        <v>101</v>
      </c>
      <c r="H1933">
        <v>2</v>
      </c>
      <c r="I1933">
        <v>4</v>
      </c>
      <c r="J1933" s="27">
        <v>140548.70000000001</v>
      </c>
      <c r="K1933" s="27">
        <v>10000000</v>
      </c>
    </row>
    <row r="1934" spans="1:11" ht="15" customHeight="1" x14ac:dyDescent="0.2">
      <c r="A1934" t="s">
        <v>4448</v>
      </c>
      <c r="B1934" t="s">
        <v>4449</v>
      </c>
      <c r="C1934">
        <v>2024</v>
      </c>
      <c r="D1934" s="18">
        <v>45437</v>
      </c>
      <c r="E1934" s="18">
        <v>45801</v>
      </c>
      <c r="F1934" s="18" t="s">
        <v>611</v>
      </c>
      <c r="G1934" t="s">
        <v>99</v>
      </c>
      <c r="H1934">
        <v>1</v>
      </c>
      <c r="I1934">
        <v>1</v>
      </c>
      <c r="J1934" s="27">
        <v>77410.31</v>
      </c>
      <c r="K1934" s="27">
        <v>10000000</v>
      </c>
    </row>
    <row r="1935" spans="1:11" ht="15" customHeight="1" x14ac:dyDescent="0.2">
      <c r="A1935" t="s">
        <v>4450</v>
      </c>
      <c r="B1935" t="s">
        <v>4451</v>
      </c>
      <c r="C1935">
        <v>2024</v>
      </c>
      <c r="D1935" s="18">
        <v>45437</v>
      </c>
      <c r="E1935" s="18">
        <v>45801</v>
      </c>
      <c r="F1935" s="18" t="s">
        <v>611</v>
      </c>
      <c r="G1935" t="s">
        <v>101</v>
      </c>
      <c r="H1935">
        <v>1</v>
      </c>
      <c r="I1935">
        <v>2</v>
      </c>
      <c r="J1935" s="27">
        <v>16523.490000000002</v>
      </c>
      <c r="K1935" s="27">
        <v>1000000</v>
      </c>
    </row>
    <row r="1936" spans="1:11" ht="15" customHeight="1" x14ac:dyDescent="0.2">
      <c r="A1936" t="s">
        <v>4452</v>
      </c>
      <c r="B1936" t="s">
        <v>4453</v>
      </c>
      <c r="C1936">
        <v>2024</v>
      </c>
      <c r="D1936" s="18">
        <v>45437</v>
      </c>
      <c r="E1936" s="18">
        <v>45801</v>
      </c>
      <c r="F1936" s="18" t="s">
        <v>611</v>
      </c>
      <c r="G1936" t="s">
        <v>99</v>
      </c>
      <c r="H1936">
        <v>2</v>
      </c>
      <c r="I1936">
        <v>2</v>
      </c>
      <c r="J1936" s="27">
        <v>17037.18</v>
      </c>
      <c r="K1936" s="27">
        <v>2000000</v>
      </c>
    </row>
    <row r="1937" spans="1:11" ht="15" customHeight="1" x14ac:dyDescent="0.2">
      <c r="A1937" t="s">
        <v>4454</v>
      </c>
      <c r="B1937" t="s">
        <v>4455</v>
      </c>
      <c r="C1937">
        <v>2024</v>
      </c>
      <c r="D1937" s="18">
        <v>45437</v>
      </c>
      <c r="E1937" s="18">
        <v>45801</v>
      </c>
      <c r="F1937" s="18" t="s">
        <v>611</v>
      </c>
      <c r="G1937" t="s">
        <v>101</v>
      </c>
      <c r="H1937">
        <v>1</v>
      </c>
      <c r="I1937">
        <v>1</v>
      </c>
      <c r="J1937" s="27">
        <v>165012.07999999999</v>
      </c>
      <c r="K1937" s="27">
        <v>10000000</v>
      </c>
    </row>
    <row r="1938" spans="1:11" ht="15" customHeight="1" x14ac:dyDescent="0.2">
      <c r="A1938" t="s">
        <v>4456</v>
      </c>
      <c r="B1938" t="s">
        <v>4457</v>
      </c>
      <c r="C1938">
        <v>2024</v>
      </c>
      <c r="D1938" s="18">
        <v>45438</v>
      </c>
      <c r="E1938" s="18">
        <v>45802</v>
      </c>
      <c r="F1938" s="18" t="s">
        <v>608</v>
      </c>
      <c r="G1938" t="s">
        <v>102</v>
      </c>
      <c r="H1938">
        <v>2</v>
      </c>
      <c r="I1938">
        <v>2</v>
      </c>
      <c r="J1938" s="27">
        <v>15592.28</v>
      </c>
      <c r="K1938" s="27">
        <v>2000000</v>
      </c>
    </row>
    <row r="1939" spans="1:11" ht="15" customHeight="1" x14ac:dyDescent="0.2">
      <c r="A1939" t="s">
        <v>4458</v>
      </c>
      <c r="B1939" t="s">
        <v>4459</v>
      </c>
      <c r="C1939">
        <v>2024</v>
      </c>
      <c r="D1939" s="18">
        <v>45438</v>
      </c>
      <c r="E1939" s="18">
        <v>45802</v>
      </c>
      <c r="F1939" s="18" t="s">
        <v>608</v>
      </c>
      <c r="G1939" t="s">
        <v>99</v>
      </c>
      <c r="H1939">
        <v>1</v>
      </c>
      <c r="I1939">
        <v>1</v>
      </c>
      <c r="J1939" s="27">
        <v>12964.19</v>
      </c>
      <c r="K1939" s="27">
        <v>1500000</v>
      </c>
    </row>
    <row r="1940" spans="1:11" ht="15" customHeight="1" x14ac:dyDescent="0.2">
      <c r="A1940" t="s">
        <v>4460</v>
      </c>
      <c r="B1940" t="s">
        <v>4461</v>
      </c>
      <c r="C1940">
        <v>2024</v>
      </c>
      <c r="D1940" s="18">
        <v>45438</v>
      </c>
      <c r="E1940" s="18">
        <v>45802</v>
      </c>
      <c r="F1940" s="18" t="s">
        <v>611</v>
      </c>
      <c r="G1940" t="s">
        <v>101</v>
      </c>
      <c r="H1940">
        <v>1</v>
      </c>
      <c r="I1940">
        <v>1</v>
      </c>
      <c r="J1940" s="27">
        <v>16693.2</v>
      </c>
      <c r="K1940" s="27">
        <v>1000000</v>
      </c>
    </row>
    <row r="1941" spans="1:11" ht="15" customHeight="1" x14ac:dyDescent="0.2">
      <c r="A1941" t="s">
        <v>4462</v>
      </c>
      <c r="B1941" t="s">
        <v>4463</v>
      </c>
      <c r="C1941">
        <v>2024</v>
      </c>
      <c r="D1941" s="18">
        <v>45438</v>
      </c>
      <c r="E1941" s="18">
        <v>45802</v>
      </c>
      <c r="F1941" s="18" t="s">
        <v>611</v>
      </c>
      <c r="G1941" t="s">
        <v>101</v>
      </c>
      <c r="H1941">
        <v>3</v>
      </c>
      <c r="I1941">
        <v>6</v>
      </c>
      <c r="J1941" s="27">
        <v>22640.53</v>
      </c>
      <c r="K1941" s="27">
        <v>1500000</v>
      </c>
    </row>
    <row r="1942" spans="1:11" ht="15" customHeight="1" x14ac:dyDescent="0.2">
      <c r="A1942" t="s">
        <v>4464</v>
      </c>
      <c r="B1942" t="s">
        <v>4465</v>
      </c>
      <c r="C1942">
        <v>2024</v>
      </c>
      <c r="D1942" s="18">
        <v>45438</v>
      </c>
      <c r="E1942" s="18">
        <v>45802</v>
      </c>
      <c r="F1942" s="18" t="s">
        <v>611</v>
      </c>
      <c r="G1942" t="s">
        <v>100</v>
      </c>
      <c r="H1942">
        <v>2</v>
      </c>
      <c r="I1942">
        <v>2</v>
      </c>
      <c r="J1942" s="27">
        <v>58168.24</v>
      </c>
      <c r="K1942" s="27">
        <v>5000000</v>
      </c>
    </row>
    <row r="1943" spans="1:11" ht="15" customHeight="1" x14ac:dyDescent="0.2">
      <c r="A1943" t="s">
        <v>4466</v>
      </c>
      <c r="B1943" t="s">
        <v>4467</v>
      </c>
      <c r="C1943">
        <v>2024</v>
      </c>
      <c r="D1943" s="18">
        <v>45438</v>
      </c>
      <c r="E1943" s="18">
        <v>45802</v>
      </c>
      <c r="F1943" s="18" t="s">
        <v>611</v>
      </c>
      <c r="G1943" t="s">
        <v>101</v>
      </c>
      <c r="H1943">
        <v>2</v>
      </c>
      <c r="I1943">
        <v>2</v>
      </c>
      <c r="J1943" s="27">
        <v>38557.949999999997</v>
      </c>
      <c r="K1943" s="27">
        <v>2500000</v>
      </c>
    </row>
    <row r="1944" spans="1:11" ht="15" customHeight="1" x14ac:dyDescent="0.2">
      <c r="A1944" t="s">
        <v>4468</v>
      </c>
      <c r="B1944" t="s">
        <v>4469</v>
      </c>
      <c r="C1944">
        <v>2024</v>
      </c>
      <c r="D1944" s="18">
        <v>45438</v>
      </c>
      <c r="E1944" s="18">
        <v>45802</v>
      </c>
      <c r="F1944" s="18" t="s">
        <v>611</v>
      </c>
      <c r="G1944" t="s">
        <v>101</v>
      </c>
      <c r="H1944">
        <v>3</v>
      </c>
      <c r="I1944">
        <v>6</v>
      </c>
      <c r="J1944" s="27">
        <v>8159.8</v>
      </c>
      <c r="K1944" s="27">
        <v>500000</v>
      </c>
    </row>
    <row r="1945" spans="1:11" ht="15" customHeight="1" x14ac:dyDescent="0.2">
      <c r="A1945" t="s">
        <v>4470</v>
      </c>
      <c r="B1945" t="s">
        <v>4471</v>
      </c>
      <c r="C1945">
        <v>2024</v>
      </c>
      <c r="D1945" s="18">
        <v>45438</v>
      </c>
      <c r="E1945" s="18">
        <v>45802</v>
      </c>
      <c r="F1945" s="18" t="s">
        <v>611</v>
      </c>
      <c r="G1945" t="s">
        <v>99</v>
      </c>
      <c r="H1945">
        <v>1</v>
      </c>
      <c r="I1945">
        <v>2</v>
      </c>
      <c r="J1945" s="27">
        <v>37178.959999999999</v>
      </c>
      <c r="K1945" s="27">
        <v>4500000</v>
      </c>
    </row>
    <row r="1946" spans="1:11" ht="15" customHeight="1" x14ac:dyDescent="0.2">
      <c r="A1946" t="s">
        <v>4472</v>
      </c>
      <c r="B1946" t="s">
        <v>4473</v>
      </c>
      <c r="C1946">
        <v>2024</v>
      </c>
      <c r="D1946" s="18">
        <v>45438</v>
      </c>
      <c r="E1946" s="18">
        <v>45802</v>
      </c>
      <c r="F1946" s="18" t="s">
        <v>611</v>
      </c>
      <c r="G1946" t="s">
        <v>101</v>
      </c>
      <c r="H1946">
        <v>1</v>
      </c>
      <c r="I1946">
        <v>2</v>
      </c>
      <c r="J1946" s="27">
        <v>33978.19</v>
      </c>
      <c r="K1946" s="27">
        <v>2000000</v>
      </c>
    </row>
    <row r="1947" spans="1:11" ht="15" customHeight="1" x14ac:dyDescent="0.2">
      <c r="A1947" t="s">
        <v>4474</v>
      </c>
      <c r="B1947" t="s">
        <v>4475</v>
      </c>
      <c r="C1947">
        <v>2024</v>
      </c>
      <c r="D1947" s="18">
        <v>45438</v>
      </c>
      <c r="E1947" s="18">
        <v>45802</v>
      </c>
      <c r="F1947" s="18" t="s">
        <v>611</v>
      </c>
      <c r="G1947" t="s">
        <v>100</v>
      </c>
      <c r="H1947">
        <v>1</v>
      </c>
      <c r="I1947">
        <v>1</v>
      </c>
      <c r="J1947" s="27">
        <v>38249.24</v>
      </c>
      <c r="K1947" s="27">
        <v>3000000</v>
      </c>
    </row>
    <row r="1948" spans="1:11" ht="15" customHeight="1" x14ac:dyDescent="0.2">
      <c r="A1948" t="s">
        <v>4476</v>
      </c>
      <c r="B1948" t="s">
        <v>4477</v>
      </c>
      <c r="C1948">
        <v>2024</v>
      </c>
      <c r="D1948" s="18">
        <v>45438</v>
      </c>
      <c r="E1948" s="18">
        <v>45802</v>
      </c>
      <c r="F1948" s="18" t="s">
        <v>611</v>
      </c>
      <c r="G1948" t="s">
        <v>100</v>
      </c>
      <c r="H1948">
        <v>1</v>
      </c>
      <c r="I1948">
        <v>2</v>
      </c>
      <c r="J1948" s="27">
        <v>131170.96</v>
      </c>
      <c r="K1948" s="27">
        <v>10000000</v>
      </c>
    </row>
    <row r="1949" spans="1:11" ht="15" customHeight="1" x14ac:dyDescent="0.2">
      <c r="A1949" t="s">
        <v>4478</v>
      </c>
      <c r="B1949" t="s">
        <v>4479</v>
      </c>
      <c r="C1949">
        <v>2024</v>
      </c>
      <c r="D1949" s="18">
        <v>45439</v>
      </c>
      <c r="E1949" s="18">
        <v>45803</v>
      </c>
      <c r="F1949" s="18" t="s">
        <v>608</v>
      </c>
      <c r="G1949" t="s">
        <v>99</v>
      </c>
      <c r="H1949">
        <v>2</v>
      </c>
      <c r="I1949">
        <v>4</v>
      </c>
      <c r="J1949" s="27">
        <v>4083</v>
      </c>
      <c r="K1949" s="27">
        <v>500000</v>
      </c>
    </row>
    <row r="1950" spans="1:11" ht="15" customHeight="1" x14ac:dyDescent="0.2">
      <c r="A1950" t="s">
        <v>4480</v>
      </c>
      <c r="B1950" t="s">
        <v>4481</v>
      </c>
      <c r="C1950">
        <v>2024</v>
      </c>
      <c r="D1950" s="18">
        <v>45439</v>
      </c>
      <c r="E1950" s="18">
        <v>45803</v>
      </c>
      <c r="F1950" s="18" t="s">
        <v>608</v>
      </c>
      <c r="G1950" t="s">
        <v>100</v>
      </c>
      <c r="H1950">
        <v>2</v>
      </c>
      <c r="I1950">
        <v>2</v>
      </c>
      <c r="J1950" s="27">
        <v>52202.84</v>
      </c>
      <c r="K1950" s="27">
        <v>4500000</v>
      </c>
    </row>
    <row r="1951" spans="1:11" ht="15" customHeight="1" x14ac:dyDescent="0.2">
      <c r="A1951" t="s">
        <v>4482</v>
      </c>
      <c r="B1951" t="s">
        <v>4483</v>
      </c>
      <c r="C1951">
        <v>2024</v>
      </c>
      <c r="D1951" s="18">
        <v>45439</v>
      </c>
      <c r="E1951" s="18">
        <v>45803</v>
      </c>
      <c r="F1951" s="18" t="s">
        <v>611</v>
      </c>
      <c r="G1951" t="s">
        <v>100</v>
      </c>
      <c r="H1951">
        <v>2</v>
      </c>
      <c r="I1951">
        <v>2</v>
      </c>
      <c r="J1951" s="27">
        <v>57025.13</v>
      </c>
      <c r="K1951" s="27">
        <v>5000000</v>
      </c>
    </row>
    <row r="1952" spans="1:11" ht="15" customHeight="1" x14ac:dyDescent="0.2">
      <c r="A1952" t="s">
        <v>4484</v>
      </c>
      <c r="B1952" t="s">
        <v>4485</v>
      </c>
      <c r="C1952">
        <v>2024</v>
      </c>
      <c r="D1952" s="18">
        <v>45439</v>
      </c>
      <c r="E1952" s="18">
        <v>45803</v>
      </c>
      <c r="F1952" s="18" t="s">
        <v>611</v>
      </c>
      <c r="G1952" t="s">
        <v>99</v>
      </c>
      <c r="H1952">
        <v>2</v>
      </c>
      <c r="I1952">
        <v>4</v>
      </c>
      <c r="J1952" s="27">
        <v>42947.09</v>
      </c>
      <c r="K1952" s="27">
        <v>5000000</v>
      </c>
    </row>
    <row r="1953" spans="1:11" ht="15" customHeight="1" x14ac:dyDescent="0.2">
      <c r="A1953" t="s">
        <v>4486</v>
      </c>
      <c r="B1953" t="s">
        <v>4487</v>
      </c>
      <c r="C1953">
        <v>2024</v>
      </c>
      <c r="D1953" s="18">
        <v>45439</v>
      </c>
      <c r="E1953" s="18">
        <v>45803</v>
      </c>
      <c r="F1953" s="18" t="s">
        <v>611</v>
      </c>
      <c r="G1953" t="s">
        <v>99</v>
      </c>
      <c r="H1953">
        <v>3</v>
      </c>
      <c r="I1953">
        <v>3</v>
      </c>
      <c r="J1953" s="27">
        <v>8142.39</v>
      </c>
      <c r="K1953" s="27">
        <v>1000000</v>
      </c>
    </row>
    <row r="1954" spans="1:11" ht="15" customHeight="1" x14ac:dyDescent="0.2">
      <c r="A1954" t="s">
        <v>4488</v>
      </c>
      <c r="B1954" t="s">
        <v>4489</v>
      </c>
      <c r="C1954">
        <v>2024</v>
      </c>
      <c r="D1954" s="18">
        <v>45439</v>
      </c>
      <c r="E1954" s="18">
        <v>45803</v>
      </c>
      <c r="F1954" s="18" t="s">
        <v>611</v>
      </c>
      <c r="G1954" t="s">
        <v>100</v>
      </c>
      <c r="H1954">
        <v>2</v>
      </c>
      <c r="I1954">
        <v>4</v>
      </c>
      <c r="J1954" s="27">
        <v>46333.5</v>
      </c>
      <c r="K1954" s="27">
        <v>4000000</v>
      </c>
    </row>
    <row r="1955" spans="1:11" ht="15" customHeight="1" x14ac:dyDescent="0.2">
      <c r="A1955" t="s">
        <v>4490</v>
      </c>
      <c r="B1955" t="s">
        <v>4491</v>
      </c>
      <c r="C1955">
        <v>2024</v>
      </c>
      <c r="D1955" s="18">
        <v>45439</v>
      </c>
      <c r="E1955" s="18">
        <v>45803</v>
      </c>
      <c r="F1955" s="18" t="s">
        <v>611</v>
      </c>
      <c r="G1955" t="s">
        <v>101</v>
      </c>
      <c r="H1955">
        <v>2</v>
      </c>
      <c r="I1955">
        <v>2</v>
      </c>
      <c r="J1955" s="27">
        <v>23660.68</v>
      </c>
      <c r="K1955" s="27">
        <v>1500000</v>
      </c>
    </row>
    <row r="1956" spans="1:11" ht="15" customHeight="1" x14ac:dyDescent="0.2">
      <c r="A1956" t="s">
        <v>4492</v>
      </c>
      <c r="B1956" t="s">
        <v>4493</v>
      </c>
      <c r="C1956">
        <v>2024</v>
      </c>
      <c r="D1956" s="18">
        <v>45440</v>
      </c>
      <c r="E1956" s="18">
        <v>45804</v>
      </c>
      <c r="F1956" s="18" t="s">
        <v>608</v>
      </c>
      <c r="G1956" t="s">
        <v>100</v>
      </c>
      <c r="H1956">
        <v>3</v>
      </c>
      <c r="I1956">
        <v>6</v>
      </c>
      <c r="J1956" s="27">
        <v>23007.21</v>
      </c>
      <c r="K1956" s="27">
        <v>2000000</v>
      </c>
    </row>
    <row r="1957" spans="1:11" ht="15" customHeight="1" x14ac:dyDescent="0.2">
      <c r="A1957" t="s">
        <v>4494</v>
      </c>
      <c r="B1957" t="s">
        <v>4495</v>
      </c>
      <c r="C1957">
        <v>2024</v>
      </c>
      <c r="D1957" s="18">
        <v>45440</v>
      </c>
      <c r="E1957" s="18">
        <v>45804</v>
      </c>
      <c r="F1957" s="18" t="s">
        <v>611</v>
      </c>
      <c r="G1957" t="s">
        <v>99</v>
      </c>
      <c r="H1957">
        <v>2</v>
      </c>
      <c r="I1957">
        <v>4</v>
      </c>
      <c r="J1957" s="27">
        <v>78375.429999999993</v>
      </c>
      <c r="K1957" s="27">
        <v>10000000</v>
      </c>
    </row>
    <row r="1958" spans="1:11" ht="15" customHeight="1" x14ac:dyDescent="0.2">
      <c r="A1958" t="s">
        <v>4496</v>
      </c>
      <c r="B1958" t="s">
        <v>4497</v>
      </c>
      <c r="C1958">
        <v>2024</v>
      </c>
      <c r="D1958" s="18">
        <v>45440</v>
      </c>
      <c r="E1958" s="18">
        <v>45804</v>
      </c>
      <c r="F1958" s="18" t="s">
        <v>611</v>
      </c>
      <c r="G1958" t="s">
        <v>101</v>
      </c>
      <c r="H1958">
        <v>3</v>
      </c>
      <c r="I1958">
        <v>3</v>
      </c>
      <c r="J1958" s="27">
        <v>44035.26</v>
      </c>
      <c r="K1958" s="27">
        <v>3000000</v>
      </c>
    </row>
    <row r="1959" spans="1:11" ht="15" customHeight="1" x14ac:dyDescent="0.2">
      <c r="A1959" t="s">
        <v>4498</v>
      </c>
      <c r="B1959" t="s">
        <v>4499</v>
      </c>
      <c r="C1959">
        <v>2024</v>
      </c>
      <c r="D1959" s="18">
        <v>45440</v>
      </c>
      <c r="E1959" s="18">
        <v>45804</v>
      </c>
      <c r="F1959" s="18" t="s">
        <v>611</v>
      </c>
      <c r="G1959" t="s">
        <v>99</v>
      </c>
      <c r="H1959">
        <v>1</v>
      </c>
      <c r="I1959">
        <v>1</v>
      </c>
      <c r="J1959" s="27">
        <v>12857.81</v>
      </c>
      <c r="K1959" s="27">
        <v>1500000</v>
      </c>
    </row>
    <row r="1960" spans="1:11" ht="15" customHeight="1" x14ac:dyDescent="0.2">
      <c r="A1960" t="s">
        <v>4500</v>
      </c>
      <c r="B1960" t="s">
        <v>4501</v>
      </c>
      <c r="C1960">
        <v>2024</v>
      </c>
      <c r="D1960" s="18">
        <v>45441</v>
      </c>
      <c r="E1960" s="18">
        <v>45805</v>
      </c>
      <c r="F1960" s="18" t="s">
        <v>608</v>
      </c>
      <c r="G1960" t="s">
        <v>101</v>
      </c>
      <c r="H1960">
        <v>2</v>
      </c>
      <c r="I1960">
        <v>4</v>
      </c>
      <c r="J1960" s="27">
        <v>37952.949999999997</v>
      </c>
      <c r="K1960" s="27">
        <v>2500000</v>
      </c>
    </row>
    <row r="1961" spans="1:11" ht="15" customHeight="1" x14ac:dyDescent="0.2">
      <c r="A1961" t="s">
        <v>4502</v>
      </c>
      <c r="B1961" t="s">
        <v>4503</v>
      </c>
      <c r="C1961">
        <v>2024</v>
      </c>
      <c r="D1961" s="18">
        <v>45441</v>
      </c>
      <c r="E1961" s="18">
        <v>45805</v>
      </c>
      <c r="F1961" s="18" t="s">
        <v>608</v>
      </c>
      <c r="G1961" t="s">
        <v>99</v>
      </c>
      <c r="H1961">
        <v>2</v>
      </c>
      <c r="I1961">
        <v>2</v>
      </c>
      <c r="J1961" s="27">
        <v>34107.93</v>
      </c>
      <c r="K1961" s="27">
        <v>4000000</v>
      </c>
    </row>
    <row r="1962" spans="1:11" ht="15" customHeight="1" x14ac:dyDescent="0.2">
      <c r="A1962" t="s">
        <v>4504</v>
      </c>
      <c r="B1962" t="s">
        <v>4505</v>
      </c>
      <c r="C1962">
        <v>2024</v>
      </c>
      <c r="D1962" s="18">
        <v>45441</v>
      </c>
      <c r="E1962" s="18">
        <v>45805</v>
      </c>
      <c r="F1962" s="18" t="s">
        <v>611</v>
      </c>
      <c r="G1962" t="s">
        <v>101</v>
      </c>
      <c r="H1962">
        <v>2</v>
      </c>
      <c r="I1962">
        <v>2</v>
      </c>
      <c r="J1962" s="27">
        <v>30330.54</v>
      </c>
      <c r="K1962" s="27">
        <v>2000000</v>
      </c>
    </row>
    <row r="1963" spans="1:11" ht="15" customHeight="1" x14ac:dyDescent="0.2">
      <c r="A1963" t="s">
        <v>4506</v>
      </c>
      <c r="B1963" t="s">
        <v>4507</v>
      </c>
      <c r="C1963">
        <v>2024</v>
      </c>
      <c r="D1963" s="18">
        <v>45441</v>
      </c>
      <c r="E1963" s="18">
        <v>45805</v>
      </c>
      <c r="F1963" s="18" t="s">
        <v>611</v>
      </c>
      <c r="G1963" t="s">
        <v>101</v>
      </c>
      <c r="H1963">
        <v>3</v>
      </c>
      <c r="I1963">
        <v>3</v>
      </c>
      <c r="J1963" s="27">
        <v>32479</v>
      </c>
      <c r="K1963" s="27">
        <v>2000000</v>
      </c>
    </row>
    <row r="1964" spans="1:11" ht="15" customHeight="1" x14ac:dyDescent="0.2">
      <c r="A1964" t="s">
        <v>4508</v>
      </c>
      <c r="B1964" t="s">
        <v>4509</v>
      </c>
      <c r="C1964">
        <v>2024</v>
      </c>
      <c r="D1964" s="18">
        <v>45441</v>
      </c>
      <c r="E1964" s="18">
        <v>45805</v>
      </c>
      <c r="F1964" s="18" t="s">
        <v>611</v>
      </c>
      <c r="G1964" t="s">
        <v>101</v>
      </c>
      <c r="H1964">
        <v>1</v>
      </c>
      <c r="I1964">
        <v>2</v>
      </c>
      <c r="J1964" s="27">
        <v>141047.98000000001</v>
      </c>
      <c r="K1964" s="27">
        <v>10000000</v>
      </c>
    </row>
    <row r="1965" spans="1:11" ht="15" customHeight="1" x14ac:dyDescent="0.2">
      <c r="A1965" t="s">
        <v>4510</v>
      </c>
      <c r="B1965" t="s">
        <v>4511</v>
      </c>
      <c r="C1965">
        <v>2024</v>
      </c>
      <c r="D1965" s="18">
        <v>45441</v>
      </c>
      <c r="E1965" s="18">
        <v>45805</v>
      </c>
      <c r="F1965" s="18" t="s">
        <v>611</v>
      </c>
      <c r="G1965" t="s">
        <v>101</v>
      </c>
      <c r="H1965">
        <v>2</v>
      </c>
      <c r="I1965">
        <v>2</v>
      </c>
      <c r="J1965" s="27">
        <v>45735.98</v>
      </c>
      <c r="K1965" s="27">
        <v>3000000</v>
      </c>
    </row>
    <row r="1966" spans="1:11" ht="15" customHeight="1" x14ac:dyDescent="0.2">
      <c r="A1966" t="s">
        <v>4512</v>
      </c>
      <c r="B1966" t="s">
        <v>4513</v>
      </c>
      <c r="C1966">
        <v>2024</v>
      </c>
      <c r="D1966" s="18">
        <v>45442</v>
      </c>
      <c r="E1966" s="18">
        <v>45806</v>
      </c>
      <c r="F1966" s="18" t="s">
        <v>611</v>
      </c>
      <c r="G1966" t="s">
        <v>101</v>
      </c>
      <c r="H1966">
        <v>2</v>
      </c>
      <c r="I1966">
        <v>2</v>
      </c>
      <c r="J1966" s="27">
        <v>38385.879999999997</v>
      </c>
      <c r="K1966" s="27">
        <v>2500000</v>
      </c>
    </row>
    <row r="1967" spans="1:11" ht="15" customHeight="1" x14ac:dyDescent="0.2">
      <c r="A1967" t="s">
        <v>4514</v>
      </c>
      <c r="B1967" t="s">
        <v>4515</v>
      </c>
      <c r="C1967">
        <v>2024</v>
      </c>
      <c r="D1967" s="18">
        <v>45442</v>
      </c>
      <c r="E1967" s="18">
        <v>45806</v>
      </c>
      <c r="F1967" s="18" t="s">
        <v>611</v>
      </c>
      <c r="G1967" t="s">
        <v>100</v>
      </c>
      <c r="H1967">
        <v>1</v>
      </c>
      <c r="I1967">
        <v>2</v>
      </c>
      <c r="J1967" s="27">
        <v>22724.11</v>
      </c>
      <c r="K1967" s="27">
        <v>2000000</v>
      </c>
    </row>
    <row r="1968" spans="1:11" ht="15" customHeight="1" x14ac:dyDescent="0.2">
      <c r="A1968" t="s">
        <v>4516</v>
      </c>
      <c r="B1968" t="s">
        <v>4517</v>
      </c>
      <c r="C1968">
        <v>2024</v>
      </c>
      <c r="D1968" s="18">
        <v>45442</v>
      </c>
      <c r="E1968" s="18">
        <v>45806</v>
      </c>
      <c r="F1968" s="18" t="s">
        <v>611</v>
      </c>
      <c r="G1968" t="s">
        <v>100</v>
      </c>
      <c r="H1968">
        <v>3</v>
      </c>
      <c r="I1968">
        <v>3</v>
      </c>
      <c r="J1968" s="27">
        <v>124614.96</v>
      </c>
      <c r="K1968" s="27">
        <v>10000000</v>
      </c>
    </row>
    <row r="1969" spans="1:11" ht="15" customHeight="1" x14ac:dyDescent="0.2">
      <c r="A1969" t="s">
        <v>4518</v>
      </c>
      <c r="B1969" t="s">
        <v>4519</v>
      </c>
      <c r="C1969">
        <v>2024</v>
      </c>
      <c r="D1969" s="18">
        <v>45442</v>
      </c>
      <c r="E1969" s="18">
        <v>45806</v>
      </c>
      <c r="F1969" s="18" t="s">
        <v>611</v>
      </c>
      <c r="G1969" t="s">
        <v>101</v>
      </c>
      <c r="H1969">
        <v>1</v>
      </c>
      <c r="I1969">
        <v>2</v>
      </c>
      <c r="J1969" s="27">
        <v>68840.66</v>
      </c>
      <c r="K1969" s="27">
        <v>4500000</v>
      </c>
    </row>
    <row r="1970" spans="1:11" ht="15" customHeight="1" x14ac:dyDescent="0.2">
      <c r="A1970" t="s">
        <v>4520</v>
      </c>
      <c r="B1970" t="s">
        <v>4521</v>
      </c>
      <c r="C1970">
        <v>2024</v>
      </c>
      <c r="D1970" s="18">
        <v>45442</v>
      </c>
      <c r="E1970" s="18">
        <v>45806</v>
      </c>
      <c r="F1970" s="18" t="s">
        <v>611</v>
      </c>
      <c r="G1970" t="s">
        <v>101</v>
      </c>
      <c r="H1970">
        <v>2</v>
      </c>
      <c r="I1970">
        <v>2</v>
      </c>
      <c r="J1970" s="27">
        <v>38311.919999999998</v>
      </c>
      <c r="K1970" s="27">
        <v>2500000</v>
      </c>
    </row>
    <row r="1971" spans="1:11" ht="15" customHeight="1" x14ac:dyDescent="0.2">
      <c r="A1971" t="s">
        <v>4522</v>
      </c>
      <c r="B1971" t="s">
        <v>4523</v>
      </c>
      <c r="C1971">
        <v>2024</v>
      </c>
      <c r="D1971" s="18">
        <v>45442</v>
      </c>
      <c r="E1971" s="18">
        <v>45806</v>
      </c>
      <c r="F1971" s="18" t="s">
        <v>611</v>
      </c>
      <c r="G1971" t="s">
        <v>99</v>
      </c>
      <c r="H1971">
        <v>1</v>
      </c>
      <c r="I1971">
        <v>1</v>
      </c>
      <c r="J1971" s="27">
        <v>35943.42</v>
      </c>
      <c r="K1971" s="27">
        <v>4000000</v>
      </c>
    </row>
    <row r="1972" spans="1:11" ht="15" customHeight="1" x14ac:dyDescent="0.2">
      <c r="A1972" t="s">
        <v>4524</v>
      </c>
      <c r="B1972" t="s">
        <v>4525</v>
      </c>
      <c r="C1972">
        <v>2024</v>
      </c>
      <c r="D1972" s="18">
        <v>45442</v>
      </c>
      <c r="E1972" s="18">
        <v>45806</v>
      </c>
      <c r="F1972" s="18" t="s">
        <v>611</v>
      </c>
      <c r="G1972" t="s">
        <v>99</v>
      </c>
      <c r="H1972">
        <v>1</v>
      </c>
      <c r="I1972">
        <v>1</v>
      </c>
      <c r="J1972" s="27">
        <v>36760.800000000003</v>
      </c>
      <c r="K1972" s="27">
        <v>4000000</v>
      </c>
    </row>
    <row r="1973" spans="1:11" ht="15" customHeight="1" x14ac:dyDescent="0.2">
      <c r="A1973" t="s">
        <v>4526</v>
      </c>
      <c r="B1973" t="s">
        <v>4527</v>
      </c>
      <c r="C1973">
        <v>2024</v>
      </c>
      <c r="D1973" s="18">
        <v>45442</v>
      </c>
      <c r="E1973" s="18">
        <v>45806</v>
      </c>
      <c r="F1973" s="18" t="s">
        <v>611</v>
      </c>
      <c r="G1973" t="s">
        <v>100</v>
      </c>
      <c r="H1973">
        <v>2</v>
      </c>
      <c r="I1973">
        <v>2</v>
      </c>
      <c r="J1973" s="27">
        <v>128432.55</v>
      </c>
      <c r="K1973" s="27">
        <v>10000000</v>
      </c>
    </row>
    <row r="1974" spans="1:11" ht="15" customHeight="1" x14ac:dyDescent="0.2">
      <c r="A1974" t="s">
        <v>4528</v>
      </c>
      <c r="B1974" t="s">
        <v>4529</v>
      </c>
      <c r="C1974">
        <v>2024</v>
      </c>
      <c r="D1974" s="18">
        <v>45443</v>
      </c>
      <c r="E1974" s="18">
        <v>45807</v>
      </c>
      <c r="F1974" s="18" t="s">
        <v>608</v>
      </c>
      <c r="G1974" t="s">
        <v>102</v>
      </c>
      <c r="H1974">
        <v>3</v>
      </c>
      <c r="I1974">
        <v>3</v>
      </c>
      <c r="J1974" s="27">
        <v>27967.35</v>
      </c>
      <c r="K1974" s="27">
        <v>3500000</v>
      </c>
    </row>
    <row r="1975" spans="1:11" ht="15" customHeight="1" x14ac:dyDescent="0.2">
      <c r="A1975" t="s">
        <v>4530</v>
      </c>
      <c r="B1975" t="s">
        <v>4531</v>
      </c>
      <c r="C1975">
        <v>2024</v>
      </c>
      <c r="D1975" s="18">
        <v>45443</v>
      </c>
      <c r="E1975" s="18">
        <v>45807</v>
      </c>
      <c r="F1975" s="18" t="s">
        <v>608</v>
      </c>
      <c r="G1975" t="s">
        <v>101</v>
      </c>
      <c r="H1975">
        <v>1</v>
      </c>
      <c r="I1975">
        <v>2</v>
      </c>
      <c r="J1975" s="27">
        <v>16422.189999999999</v>
      </c>
      <c r="K1975" s="27">
        <v>1000000</v>
      </c>
    </row>
    <row r="1976" spans="1:11" ht="15" customHeight="1" x14ac:dyDescent="0.2">
      <c r="A1976" t="s">
        <v>4532</v>
      </c>
      <c r="B1976" t="s">
        <v>4533</v>
      </c>
      <c r="C1976">
        <v>2024</v>
      </c>
      <c r="D1976" s="18">
        <v>45443</v>
      </c>
      <c r="E1976" s="18">
        <v>45807</v>
      </c>
      <c r="F1976" s="18" t="s">
        <v>611</v>
      </c>
      <c r="G1976" t="s">
        <v>102</v>
      </c>
      <c r="H1976">
        <v>2</v>
      </c>
      <c r="I1976">
        <v>2</v>
      </c>
      <c r="J1976" s="27">
        <v>35598.94</v>
      </c>
      <c r="K1976" s="27">
        <v>5000000</v>
      </c>
    </row>
    <row r="1977" spans="1:11" ht="15" customHeight="1" x14ac:dyDescent="0.2">
      <c r="A1977" t="s">
        <v>4534</v>
      </c>
      <c r="B1977" t="s">
        <v>4535</v>
      </c>
      <c r="C1977">
        <v>2024</v>
      </c>
      <c r="D1977" s="18">
        <v>45443</v>
      </c>
      <c r="E1977" s="18">
        <v>45807</v>
      </c>
      <c r="F1977" s="18" t="s">
        <v>611</v>
      </c>
      <c r="G1977" t="s">
        <v>101</v>
      </c>
      <c r="H1977">
        <v>2</v>
      </c>
      <c r="I1977">
        <v>4</v>
      </c>
      <c r="J1977" s="27">
        <v>30286.04</v>
      </c>
      <c r="K1977" s="27">
        <v>2000000</v>
      </c>
    </row>
    <row r="1978" spans="1:11" ht="15" customHeight="1" x14ac:dyDescent="0.2">
      <c r="A1978" t="s">
        <v>4536</v>
      </c>
      <c r="B1978" t="s">
        <v>4537</v>
      </c>
      <c r="C1978">
        <v>2024</v>
      </c>
      <c r="D1978" s="18">
        <v>45443</v>
      </c>
      <c r="E1978" s="18">
        <v>45807</v>
      </c>
      <c r="F1978" s="18" t="s">
        <v>611</v>
      </c>
      <c r="G1978" t="s">
        <v>100</v>
      </c>
      <c r="H1978">
        <v>1</v>
      </c>
      <c r="I1978">
        <v>1</v>
      </c>
      <c r="J1978" s="27">
        <v>124986.51</v>
      </c>
      <c r="K1978" s="27">
        <v>10000000</v>
      </c>
    </row>
    <row r="1979" spans="1:11" ht="15" customHeight="1" x14ac:dyDescent="0.2">
      <c r="A1979" t="s">
        <v>4538</v>
      </c>
      <c r="B1979" t="s">
        <v>4539</v>
      </c>
      <c r="C1979">
        <v>2024</v>
      </c>
      <c r="D1979" s="18">
        <v>45443</v>
      </c>
      <c r="E1979" s="18">
        <v>45807</v>
      </c>
      <c r="F1979" s="18" t="s">
        <v>611</v>
      </c>
      <c r="G1979" t="s">
        <v>102</v>
      </c>
      <c r="H1979">
        <v>2</v>
      </c>
      <c r="I1979">
        <v>2</v>
      </c>
      <c r="J1979" s="27">
        <v>3926.19</v>
      </c>
      <c r="K1979" s="27">
        <v>500000</v>
      </c>
    </row>
    <row r="1980" spans="1:11" ht="15" customHeight="1" x14ac:dyDescent="0.2">
      <c r="A1980" t="s">
        <v>4540</v>
      </c>
      <c r="B1980" t="s">
        <v>4541</v>
      </c>
      <c r="C1980">
        <v>2024</v>
      </c>
      <c r="D1980" s="18">
        <v>45444</v>
      </c>
      <c r="E1980" s="18">
        <v>45808</v>
      </c>
      <c r="F1980" s="18" t="s">
        <v>608</v>
      </c>
      <c r="G1980" t="s">
        <v>101</v>
      </c>
      <c r="H1980">
        <v>1</v>
      </c>
      <c r="I1980">
        <v>1</v>
      </c>
      <c r="J1980" s="27">
        <v>39871.01</v>
      </c>
      <c r="K1980" s="27">
        <v>2500000</v>
      </c>
    </row>
    <row r="1981" spans="1:11" ht="15" customHeight="1" x14ac:dyDescent="0.2">
      <c r="A1981" t="s">
        <v>4542</v>
      </c>
      <c r="B1981" t="s">
        <v>4543</v>
      </c>
      <c r="C1981">
        <v>2024</v>
      </c>
      <c r="D1981" s="18">
        <v>45444</v>
      </c>
      <c r="E1981" s="18">
        <v>45808</v>
      </c>
      <c r="F1981" s="18" t="s">
        <v>611</v>
      </c>
      <c r="G1981" t="s">
        <v>101</v>
      </c>
      <c r="H1981">
        <v>3</v>
      </c>
      <c r="I1981">
        <v>3</v>
      </c>
      <c r="J1981" s="27">
        <v>150104.21</v>
      </c>
      <c r="K1981" s="27">
        <v>10000000</v>
      </c>
    </row>
    <row r="1982" spans="1:11" ht="15" customHeight="1" x14ac:dyDescent="0.2">
      <c r="A1982" t="s">
        <v>4544</v>
      </c>
      <c r="B1982" t="s">
        <v>4545</v>
      </c>
      <c r="C1982">
        <v>2024</v>
      </c>
      <c r="D1982" s="18">
        <v>45444</v>
      </c>
      <c r="E1982" s="18">
        <v>45808</v>
      </c>
      <c r="F1982" s="18" t="s">
        <v>611</v>
      </c>
      <c r="G1982" t="s">
        <v>99</v>
      </c>
      <c r="H1982">
        <v>1</v>
      </c>
      <c r="I1982">
        <v>1</v>
      </c>
      <c r="J1982" s="27">
        <v>15364.67</v>
      </c>
      <c r="K1982" s="27">
        <v>2000000</v>
      </c>
    </row>
    <row r="1983" spans="1:11" ht="15" customHeight="1" x14ac:dyDescent="0.2">
      <c r="A1983" t="s">
        <v>4546</v>
      </c>
      <c r="B1983" t="s">
        <v>4547</v>
      </c>
      <c r="C1983">
        <v>2024</v>
      </c>
      <c r="D1983" s="18">
        <v>45444</v>
      </c>
      <c r="E1983" s="18">
        <v>45808</v>
      </c>
      <c r="F1983" s="18" t="s">
        <v>611</v>
      </c>
      <c r="G1983" t="s">
        <v>102</v>
      </c>
      <c r="H1983">
        <v>3</v>
      </c>
      <c r="I1983">
        <v>3</v>
      </c>
      <c r="J1983" s="27">
        <v>27440.03</v>
      </c>
      <c r="K1983" s="27">
        <v>4000000</v>
      </c>
    </row>
    <row r="1984" spans="1:11" ht="15" customHeight="1" x14ac:dyDescent="0.2">
      <c r="A1984" t="s">
        <v>4548</v>
      </c>
      <c r="B1984" t="s">
        <v>4549</v>
      </c>
      <c r="C1984">
        <v>2024</v>
      </c>
      <c r="D1984" s="18">
        <v>45444</v>
      </c>
      <c r="E1984" s="18">
        <v>45808</v>
      </c>
      <c r="F1984" s="18" t="s">
        <v>611</v>
      </c>
      <c r="G1984" t="s">
        <v>99</v>
      </c>
      <c r="H1984">
        <v>1</v>
      </c>
      <c r="I1984">
        <v>1</v>
      </c>
      <c r="J1984" s="27">
        <v>44390.38</v>
      </c>
      <c r="K1984" s="27">
        <v>5000000</v>
      </c>
    </row>
    <row r="1985" spans="1:11" ht="15" customHeight="1" x14ac:dyDescent="0.2">
      <c r="A1985" t="s">
        <v>4550</v>
      </c>
      <c r="B1985" t="s">
        <v>4551</v>
      </c>
      <c r="C1985">
        <v>2024</v>
      </c>
      <c r="D1985" s="18">
        <v>45444</v>
      </c>
      <c r="E1985" s="18">
        <v>45808</v>
      </c>
      <c r="F1985" s="18" t="s">
        <v>611</v>
      </c>
      <c r="G1985" t="s">
        <v>101</v>
      </c>
      <c r="H1985">
        <v>1</v>
      </c>
      <c r="I1985">
        <v>2</v>
      </c>
      <c r="J1985" s="27">
        <v>28214.38</v>
      </c>
      <c r="K1985" s="27">
        <v>2000000</v>
      </c>
    </row>
    <row r="1986" spans="1:11" ht="15" customHeight="1" x14ac:dyDescent="0.2">
      <c r="A1986" t="s">
        <v>4552</v>
      </c>
      <c r="B1986" t="s">
        <v>4553</v>
      </c>
      <c r="C1986">
        <v>2024</v>
      </c>
      <c r="D1986" s="18">
        <v>45445</v>
      </c>
      <c r="E1986" s="18">
        <v>45809</v>
      </c>
      <c r="F1986" s="18" t="s">
        <v>608</v>
      </c>
      <c r="G1986" t="s">
        <v>99</v>
      </c>
      <c r="H1986">
        <v>2</v>
      </c>
      <c r="I1986">
        <v>2</v>
      </c>
      <c r="J1986" s="27">
        <v>4220.3</v>
      </c>
      <c r="K1986" s="27">
        <v>500000</v>
      </c>
    </row>
    <row r="1987" spans="1:11" ht="15" customHeight="1" x14ac:dyDescent="0.2">
      <c r="A1987" t="s">
        <v>4554</v>
      </c>
      <c r="B1987" t="s">
        <v>4555</v>
      </c>
      <c r="C1987">
        <v>2024</v>
      </c>
      <c r="D1987" s="18">
        <v>45445</v>
      </c>
      <c r="E1987" s="18">
        <v>45809</v>
      </c>
      <c r="F1987" s="18" t="s">
        <v>611</v>
      </c>
      <c r="G1987" t="s">
        <v>101</v>
      </c>
      <c r="H1987">
        <v>1</v>
      </c>
      <c r="I1987">
        <v>2</v>
      </c>
      <c r="J1987" s="27">
        <v>80187.77</v>
      </c>
      <c r="K1987" s="27">
        <v>5000000</v>
      </c>
    </row>
    <row r="1988" spans="1:11" ht="15" customHeight="1" x14ac:dyDescent="0.2">
      <c r="A1988" t="s">
        <v>4556</v>
      </c>
      <c r="B1988" t="s">
        <v>4557</v>
      </c>
      <c r="C1988">
        <v>2024</v>
      </c>
      <c r="D1988" s="18">
        <v>45445</v>
      </c>
      <c r="E1988" s="18">
        <v>45809</v>
      </c>
      <c r="F1988" s="18" t="s">
        <v>611</v>
      </c>
      <c r="G1988" t="s">
        <v>102</v>
      </c>
      <c r="H1988">
        <v>2</v>
      </c>
      <c r="I1988">
        <v>4</v>
      </c>
      <c r="J1988" s="27">
        <v>19588.419999999998</v>
      </c>
      <c r="K1988" s="27">
        <v>2500000</v>
      </c>
    </row>
    <row r="1989" spans="1:11" ht="15" customHeight="1" x14ac:dyDescent="0.2">
      <c r="A1989" t="s">
        <v>4558</v>
      </c>
      <c r="B1989" t="s">
        <v>4559</v>
      </c>
      <c r="C1989">
        <v>2024</v>
      </c>
      <c r="D1989" s="18">
        <v>45445</v>
      </c>
      <c r="E1989" s="18">
        <v>45809</v>
      </c>
      <c r="F1989" s="18" t="s">
        <v>611</v>
      </c>
      <c r="G1989" t="s">
        <v>101</v>
      </c>
      <c r="H1989">
        <v>1</v>
      </c>
      <c r="I1989">
        <v>2</v>
      </c>
      <c r="J1989" s="27">
        <v>43834.06</v>
      </c>
      <c r="K1989" s="27">
        <v>3000000</v>
      </c>
    </row>
    <row r="1990" spans="1:11" ht="15" customHeight="1" x14ac:dyDescent="0.2">
      <c r="A1990" t="s">
        <v>4560</v>
      </c>
      <c r="B1990" t="s">
        <v>4561</v>
      </c>
      <c r="C1990">
        <v>2024</v>
      </c>
      <c r="D1990" s="18">
        <v>45445</v>
      </c>
      <c r="E1990" s="18">
        <v>45809</v>
      </c>
      <c r="F1990" s="18" t="s">
        <v>611</v>
      </c>
      <c r="G1990" t="s">
        <v>101</v>
      </c>
      <c r="H1990">
        <v>1</v>
      </c>
      <c r="I1990">
        <v>1</v>
      </c>
      <c r="J1990" s="27">
        <v>21903.91</v>
      </c>
      <c r="K1990" s="27">
        <v>1500000</v>
      </c>
    </row>
    <row r="1991" spans="1:11" ht="15" customHeight="1" x14ac:dyDescent="0.2">
      <c r="A1991" t="s">
        <v>4562</v>
      </c>
      <c r="B1991" t="s">
        <v>4563</v>
      </c>
      <c r="C1991">
        <v>2024</v>
      </c>
      <c r="D1991" s="18">
        <v>45445</v>
      </c>
      <c r="E1991" s="18">
        <v>45809</v>
      </c>
      <c r="F1991" s="18" t="s">
        <v>611</v>
      </c>
      <c r="G1991" t="s">
        <v>99</v>
      </c>
      <c r="H1991">
        <v>1</v>
      </c>
      <c r="I1991">
        <v>1</v>
      </c>
      <c r="J1991" s="27">
        <v>7551.84</v>
      </c>
      <c r="K1991" s="27">
        <v>1000000</v>
      </c>
    </row>
    <row r="1992" spans="1:11" ht="15" customHeight="1" x14ac:dyDescent="0.2">
      <c r="A1992" t="s">
        <v>4564</v>
      </c>
      <c r="B1992" t="s">
        <v>4565</v>
      </c>
      <c r="C1992">
        <v>2024</v>
      </c>
      <c r="D1992" s="18">
        <v>45445</v>
      </c>
      <c r="E1992" s="18">
        <v>45809</v>
      </c>
      <c r="F1992" s="18" t="s">
        <v>611</v>
      </c>
      <c r="G1992" t="s">
        <v>100</v>
      </c>
      <c r="H1992">
        <v>1</v>
      </c>
      <c r="I1992">
        <v>1</v>
      </c>
      <c r="J1992" s="27">
        <v>132906.32</v>
      </c>
      <c r="K1992" s="27">
        <v>10000000</v>
      </c>
    </row>
    <row r="1993" spans="1:11" ht="15" customHeight="1" x14ac:dyDescent="0.2">
      <c r="A1993" t="s">
        <v>4566</v>
      </c>
      <c r="B1993" t="s">
        <v>4567</v>
      </c>
      <c r="C1993">
        <v>2024</v>
      </c>
      <c r="D1993" s="18">
        <v>45445</v>
      </c>
      <c r="E1993" s="18">
        <v>45809</v>
      </c>
      <c r="F1993" s="18" t="s">
        <v>611</v>
      </c>
      <c r="G1993" t="s">
        <v>99</v>
      </c>
      <c r="H1993">
        <v>1</v>
      </c>
      <c r="I1993">
        <v>2</v>
      </c>
      <c r="J1993" s="27">
        <v>39561.410000000003</v>
      </c>
      <c r="K1993" s="27">
        <v>4500000</v>
      </c>
    </row>
    <row r="1994" spans="1:11" ht="15" customHeight="1" x14ac:dyDescent="0.2">
      <c r="A1994" t="s">
        <v>4568</v>
      </c>
      <c r="B1994" t="s">
        <v>4569</v>
      </c>
      <c r="C1994">
        <v>2024</v>
      </c>
      <c r="D1994" s="18">
        <v>45446</v>
      </c>
      <c r="E1994" s="18">
        <v>45810</v>
      </c>
      <c r="F1994" s="18" t="s">
        <v>608</v>
      </c>
      <c r="G1994" t="s">
        <v>102</v>
      </c>
      <c r="H1994">
        <v>2</v>
      </c>
      <c r="I1994">
        <v>2</v>
      </c>
      <c r="J1994" s="27">
        <v>27537.13</v>
      </c>
      <c r="K1994" s="27">
        <v>4000000</v>
      </c>
    </row>
    <row r="1995" spans="1:11" ht="15" customHeight="1" x14ac:dyDescent="0.2">
      <c r="A1995" t="s">
        <v>4570</v>
      </c>
      <c r="B1995" t="s">
        <v>4571</v>
      </c>
      <c r="C1995">
        <v>2024</v>
      </c>
      <c r="D1995" s="18">
        <v>45446</v>
      </c>
      <c r="E1995" s="18">
        <v>45810</v>
      </c>
      <c r="F1995" s="18" t="s">
        <v>608</v>
      </c>
      <c r="G1995" t="s">
        <v>101</v>
      </c>
      <c r="H1995">
        <v>2</v>
      </c>
      <c r="I1995">
        <v>2</v>
      </c>
      <c r="J1995" s="27">
        <v>66543.55</v>
      </c>
      <c r="K1995" s="27">
        <v>4000000</v>
      </c>
    </row>
    <row r="1996" spans="1:11" ht="15" customHeight="1" x14ac:dyDescent="0.2">
      <c r="A1996" t="s">
        <v>4572</v>
      </c>
      <c r="B1996" t="s">
        <v>4573</v>
      </c>
      <c r="C1996">
        <v>2024</v>
      </c>
      <c r="D1996" s="18">
        <v>45446</v>
      </c>
      <c r="E1996" s="18">
        <v>45810</v>
      </c>
      <c r="F1996" s="18" t="s">
        <v>611</v>
      </c>
      <c r="G1996" t="s">
        <v>100</v>
      </c>
      <c r="H1996">
        <v>2</v>
      </c>
      <c r="I1996">
        <v>4</v>
      </c>
      <c r="J1996" s="27">
        <v>11763.98</v>
      </c>
      <c r="K1996" s="27">
        <v>1000000</v>
      </c>
    </row>
    <row r="1997" spans="1:11" ht="15" customHeight="1" x14ac:dyDescent="0.2">
      <c r="A1997" t="s">
        <v>4574</v>
      </c>
      <c r="B1997" t="s">
        <v>4575</v>
      </c>
      <c r="C1997">
        <v>2024</v>
      </c>
      <c r="D1997" s="18">
        <v>45446</v>
      </c>
      <c r="E1997" s="18">
        <v>45810</v>
      </c>
      <c r="F1997" s="18" t="s">
        <v>611</v>
      </c>
      <c r="G1997" t="s">
        <v>102</v>
      </c>
      <c r="H1997">
        <v>3</v>
      </c>
      <c r="I1997">
        <v>3</v>
      </c>
      <c r="J1997" s="27">
        <v>70914.75</v>
      </c>
      <c r="K1997" s="27">
        <v>10000000</v>
      </c>
    </row>
    <row r="1998" spans="1:11" ht="15" customHeight="1" x14ac:dyDescent="0.2">
      <c r="A1998" t="s">
        <v>4576</v>
      </c>
      <c r="B1998" t="s">
        <v>4577</v>
      </c>
      <c r="C1998">
        <v>2024</v>
      </c>
      <c r="D1998" s="18">
        <v>45446</v>
      </c>
      <c r="E1998" s="18">
        <v>45810</v>
      </c>
      <c r="F1998" s="18" t="s">
        <v>611</v>
      </c>
      <c r="G1998" t="s">
        <v>102</v>
      </c>
      <c r="H1998">
        <v>3</v>
      </c>
      <c r="I1998">
        <v>6</v>
      </c>
      <c r="J1998" s="27">
        <v>10779.2</v>
      </c>
      <c r="K1998" s="27">
        <v>1500000</v>
      </c>
    </row>
    <row r="1999" spans="1:11" ht="15" customHeight="1" x14ac:dyDescent="0.2">
      <c r="A1999" t="s">
        <v>4578</v>
      </c>
      <c r="B1999" t="s">
        <v>4579</v>
      </c>
      <c r="C1999">
        <v>2024</v>
      </c>
      <c r="D1999" s="18">
        <v>45446</v>
      </c>
      <c r="E1999" s="18">
        <v>45810</v>
      </c>
      <c r="F1999" s="18" t="s">
        <v>611</v>
      </c>
      <c r="G1999" t="s">
        <v>101</v>
      </c>
      <c r="H1999">
        <v>1</v>
      </c>
      <c r="I1999">
        <v>1</v>
      </c>
      <c r="J1999" s="27">
        <v>80083.59</v>
      </c>
      <c r="K1999" s="27">
        <v>5000000</v>
      </c>
    </row>
    <row r="2000" spans="1:11" ht="15" customHeight="1" x14ac:dyDescent="0.2">
      <c r="A2000" t="s">
        <v>4580</v>
      </c>
      <c r="B2000" t="s">
        <v>4581</v>
      </c>
      <c r="C2000">
        <v>2024</v>
      </c>
      <c r="D2000" s="18">
        <v>45446</v>
      </c>
      <c r="E2000" s="18">
        <v>45810</v>
      </c>
      <c r="F2000" s="18" t="s">
        <v>611</v>
      </c>
      <c r="G2000" t="s">
        <v>101</v>
      </c>
      <c r="H2000">
        <v>2</v>
      </c>
      <c r="I2000">
        <v>4</v>
      </c>
      <c r="J2000" s="27">
        <v>147608.34</v>
      </c>
      <c r="K2000" s="27">
        <v>10000000</v>
      </c>
    </row>
    <row r="2001" spans="1:11" ht="15" customHeight="1" x14ac:dyDescent="0.2">
      <c r="A2001" t="s">
        <v>4582</v>
      </c>
      <c r="B2001" t="s">
        <v>4583</v>
      </c>
      <c r="C2001">
        <v>2024</v>
      </c>
      <c r="D2001" s="18">
        <v>45446</v>
      </c>
      <c r="E2001" s="18">
        <v>45810</v>
      </c>
      <c r="F2001" s="18" t="s">
        <v>611</v>
      </c>
      <c r="G2001" t="s">
        <v>101</v>
      </c>
      <c r="H2001">
        <v>1</v>
      </c>
      <c r="I2001">
        <v>2</v>
      </c>
      <c r="J2001" s="27">
        <v>74005.600000000006</v>
      </c>
      <c r="K2001" s="27">
        <v>5000000</v>
      </c>
    </row>
    <row r="2002" spans="1:11" ht="15" customHeight="1" x14ac:dyDescent="0.2">
      <c r="A2002" t="s">
        <v>4584</v>
      </c>
      <c r="B2002" t="s">
        <v>4585</v>
      </c>
      <c r="C2002">
        <v>2024</v>
      </c>
      <c r="D2002" s="18">
        <v>45446</v>
      </c>
      <c r="E2002" s="18">
        <v>45810</v>
      </c>
      <c r="F2002" s="18" t="s">
        <v>611</v>
      </c>
      <c r="G2002" t="s">
        <v>99</v>
      </c>
      <c r="H2002">
        <v>1</v>
      </c>
      <c r="I2002">
        <v>1</v>
      </c>
      <c r="J2002" s="27">
        <v>80805.25</v>
      </c>
      <c r="K2002" s="27">
        <v>10000000</v>
      </c>
    </row>
    <row r="2003" spans="1:11" ht="15" customHeight="1" x14ac:dyDescent="0.2">
      <c r="A2003" t="s">
        <v>4586</v>
      </c>
      <c r="B2003" t="s">
        <v>4587</v>
      </c>
      <c r="C2003">
        <v>2024</v>
      </c>
      <c r="D2003" s="18">
        <v>45446</v>
      </c>
      <c r="E2003" s="18">
        <v>45810</v>
      </c>
      <c r="F2003" s="18" t="s">
        <v>611</v>
      </c>
      <c r="G2003" t="s">
        <v>99</v>
      </c>
      <c r="H2003">
        <v>3</v>
      </c>
      <c r="I2003">
        <v>3</v>
      </c>
      <c r="J2003" s="27">
        <v>13732.05</v>
      </c>
      <c r="K2003" s="27">
        <v>1500000</v>
      </c>
    </row>
    <row r="2004" spans="1:11" ht="15" customHeight="1" x14ac:dyDescent="0.2">
      <c r="A2004" t="s">
        <v>4588</v>
      </c>
      <c r="B2004" t="s">
        <v>4589</v>
      </c>
      <c r="C2004">
        <v>2024</v>
      </c>
      <c r="D2004" s="18">
        <v>45447</v>
      </c>
      <c r="E2004" s="18">
        <v>45811</v>
      </c>
      <c r="F2004" s="18" t="s">
        <v>608</v>
      </c>
      <c r="G2004" t="s">
        <v>100</v>
      </c>
      <c r="H2004">
        <v>1</v>
      </c>
      <c r="I2004">
        <v>1</v>
      </c>
      <c r="J2004" s="27">
        <v>47313.43</v>
      </c>
      <c r="K2004" s="27">
        <v>3500000</v>
      </c>
    </row>
    <row r="2005" spans="1:11" ht="15" customHeight="1" x14ac:dyDescent="0.2">
      <c r="A2005" t="s">
        <v>4590</v>
      </c>
      <c r="B2005" t="s">
        <v>4591</v>
      </c>
      <c r="C2005">
        <v>2024</v>
      </c>
      <c r="D2005" s="18">
        <v>45447</v>
      </c>
      <c r="E2005" s="18">
        <v>45811</v>
      </c>
      <c r="F2005" s="18" t="s">
        <v>611</v>
      </c>
      <c r="G2005" t="s">
        <v>100</v>
      </c>
      <c r="H2005">
        <v>3</v>
      </c>
      <c r="I2005">
        <v>3</v>
      </c>
      <c r="J2005" s="27">
        <v>12266.21</v>
      </c>
      <c r="K2005" s="27">
        <v>1000000</v>
      </c>
    </row>
    <row r="2006" spans="1:11" ht="15" customHeight="1" x14ac:dyDescent="0.2">
      <c r="A2006" t="s">
        <v>4592</v>
      </c>
      <c r="B2006" t="s">
        <v>4593</v>
      </c>
      <c r="C2006">
        <v>2024</v>
      </c>
      <c r="D2006" s="18">
        <v>45447</v>
      </c>
      <c r="E2006" s="18">
        <v>45811</v>
      </c>
      <c r="F2006" s="18" t="s">
        <v>611</v>
      </c>
      <c r="G2006" t="s">
        <v>102</v>
      </c>
      <c r="H2006">
        <v>3</v>
      </c>
      <c r="I2006">
        <v>3</v>
      </c>
      <c r="J2006" s="27">
        <v>69018.27</v>
      </c>
      <c r="K2006" s="27">
        <v>10000000</v>
      </c>
    </row>
    <row r="2007" spans="1:11" ht="15" customHeight="1" x14ac:dyDescent="0.2">
      <c r="A2007" t="s">
        <v>4594</v>
      </c>
      <c r="B2007" t="s">
        <v>4595</v>
      </c>
      <c r="C2007">
        <v>2024</v>
      </c>
      <c r="D2007" s="18">
        <v>45447</v>
      </c>
      <c r="E2007" s="18">
        <v>45811</v>
      </c>
      <c r="F2007" s="18" t="s">
        <v>611</v>
      </c>
      <c r="G2007" t="s">
        <v>102</v>
      </c>
      <c r="H2007">
        <v>1</v>
      </c>
      <c r="I2007">
        <v>2</v>
      </c>
      <c r="J2007" s="27">
        <v>3653.12</v>
      </c>
      <c r="K2007" s="27">
        <v>500000</v>
      </c>
    </row>
    <row r="2008" spans="1:11" ht="15" customHeight="1" x14ac:dyDescent="0.2">
      <c r="A2008" t="s">
        <v>4596</v>
      </c>
      <c r="B2008" t="s">
        <v>4597</v>
      </c>
      <c r="C2008">
        <v>2024</v>
      </c>
      <c r="D2008" s="18">
        <v>45447</v>
      </c>
      <c r="E2008" s="18">
        <v>45811</v>
      </c>
      <c r="F2008" s="18" t="s">
        <v>611</v>
      </c>
      <c r="G2008" t="s">
        <v>101</v>
      </c>
      <c r="H2008">
        <v>2</v>
      </c>
      <c r="I2008">
        <v>2</v>
      </c>
      <c r="J2008" s="27">
        <v>147896.79999999999</v>
      </c>
      <c r="K2008" s="27">
        <v>10000000</v>
      </c>
    </row>
    <row r="2009" spans="1:11" ht="15" customHeight="1" x14ac:dyDescent="0.2">
      <c r="A2009" t="s">
        <v>4598</v>
      </c>
      <c r="B2009" t="s">
        <v>4599</v>
      </c>
      <c r="C2009">
        <v>2024</v>
      </c>
      <c r="D2009" s="18">
        <v>45447</v>
      </c>
      <c r="E2009" s="18">
        <v>45811</v>
      </c>
      <c r="F2009" s="18" t="s">
        <v>611</v>
      </c>
      <c r="G2009" t="s">
        <v>99</v>
      </c>
      <c r="H2009">
        <v>1</v>
      </c>
      <c r="I2009">
        <v>1</v>
      </c>
      <c r="J2009" s="27">
        <v>24994.98</v>
      </c>
      <c r="K2009" s="27">
        <v>3000000</v>
      </c>
    </row>
    <row r="2010" spans="1:11" ht="15" customHeight="1" x14ac:dyDescent="0.2">
      <c r="A2010" t="s">
        <v>4600</v>
      </c>
      <c r="B2010" t="s">
        <v>4601</v>
      </c>
      <c r="C2010">
        <v>2024</v>
      </c>
      <c r="D2010" s="18">
        <v>45447</v>
      </c>
      <c r="E2010" s="18">
        <v>45811</v>
      </c>
      <c r="F2010" s="18" t="s">
        <v>611</v>
      </c>
      <c r="G2010" t="s">
        <v>101</v>
      </c>
      <c r="H2010">
        <v>1</v>
      </c>
      <c r="I2010">
        <v>2</v>
      </c>
      <c r="J2010" s="27">
        <v>31553.73</v>
      </c>
      <c r="K2010" s="27">
        <v>2000000</v>
      </c>
    </row>
    <row r="2011" spans="1:11" ht="15" customHeight="1" x14ac:dyDescent="0.2">
      <c r="A2011" t="s">
        <v>4602</v>
      </c>
      <c r="B2011" t="s">
        <v>4603</v>
      </c>
      <c r="C2011">
        <v>2024</v>
      </c>
      <c r="D2011" s="18">
        <v>45447</v>
      </c>
      <c r="E2011" s="18">
        <v>45811</v>
      </c>
      <c r="F2011" s="18" t="s">
        <v>611</v>
      </c>
      <c r="G2011" t="s">
        <v>100</v>
      </c>
      <c r="H2011">
        <v>1</v>
      </c>
      <c r="I2011">
        <v>1</v>
      </c>
      <c r="J2011" s="27">
        <v>29198.25</v>
      </c>
      <c r="K2011" s="27">
        <v>2500000</v>
      </c>
    </row>
    <row r="2012" spans="1:11" ht="15" customHeight="1" x14ac:dyDescent="0.2">
      <c r="A2012" t="s">
        <v>4604</v>
      </c>
      <c r="B2012" t="s">
        <v>4605</v>
      </c>
      <c r="C2012">
        <v>2024</v>
      </c>
      <c r="D2012" s="18">
        <v>45447</v>
      </c>
      <c r="E2012" s="18">
        <v>45811</v>
      </c>
      <c r="F2012" s="18" t="s">
        <v>611</v>
      </c>
      <c r="G2012" t="s">
        <v>99</v>
      </c>
      <c r="H2012">
        <v>1</v>
      </c>
      <c r="I2012">
        <v>1</v>
      </c>
      <c r="J2012" s="27">
        <v>91132.3</v>
      </c>
      <c r="K2012" s="27">
        <v>10000000</v>
      </c>
    </row>
    <row r="2013" spans="1:11" ht="15" customHeight="1" x14ac:dyDescent="0.2">
      <c r="A2013" t="s">
        <v>4606</v>
      </c>
      <c r="B2013" t="s">
        <v>4607</v>
      </c>
      <c r="C2013">
        <v>2024</v>
      </c>
      <c r="D2013" s="18">
        <v>45447</v>
      </c>
      <c r="E2013" s="18">
        <v>45811</v>
      </c>
      <c r="F2013" s="18" t="s">
        <v>611</v>
      </c>
      <c r="G2013" t="s">
        <v>100</v>
      </c>
      <c r="H2013">
        <v>1</v>
      </c>
      <c r="I2013">
        <v>1</v>
      </c>
      <c r="J2013" s="27">
        <v>22928.67</v>
      </c>
      <c r="K2013" s="27">
        <v>2000000</v>
      </c>
    </row>
    <row r="2014" spans="1:11" ht="15" customHeight="1" x14ac:dyDescent="0.2">
      <c r="A2014" t="s">
        <v>4608</v>
      </c>
      <c r="B2014" t="s">
        <v>4609</v>
      </c>
      <c r="C2014">
        <v>2024</v>
      </c>
      <c r="D2014" s="18">
        <v>45447</v>
      </c>
      <c r="E2014" s="18">
        <v>45811</v>
      </c>
      <c r="F2014" s="18" t="s">
        <v>611</v>
      </c>
      <c r="G2014" t="s">
        <v>101</v>
      </c>
      <c r="H2014">
        <v>2</v>
      </c>
      <c r="I2014">
        <v>2</v>
      </c>
      <c r="J2014" s="27">
        <v>66548.94</v>
      </c>
      <c r="K2014" s="27">
        <v>4500000</v>
      </c>
    </row>
    <row r="2015" spans="1:11" ht="15" customHeight="1" x14ac:dyDescent="0.2">
      <c r="A2015" t="s">
        <v>4610</v>
      </c>
      <c r="B2015" t="s">
        <v>4611</v>
      </c>
      <c r="C2015">
        <v>2024</v>
      </c>
      <c r="D2015" s="18">
        <v>45447</v>
      </c>
      <c r="E2015" s="18">
        <v>45811</v>
      </c>
      <c r="F2015" s="18" t="s">
        <v>611</v>
      </c>
      <c r="G2015" t="s">
        <v>101</v>
      </c>
      <c r="H2015">
        <v>1</v>
      </c>
      <c r="I2015">
        <v>2</v>
      </c>
      <c r="J2015" s="27">
        <v>42609.93</v>
      </c>
      <c r="K2015" s="27">
        <v>2500000</v>
      </c>
    </row>
    <row r="2016" spans="1:11" ht="15" customHeight="1" x14ac:dyDescent="0.2">
      <c r="A2016" t="s">
        <v>4612</v>
      </c>
      <c r="B2016" t="s">
        <v>4613</v>
      </c>
      <c r="C2016">
        <v>2024</v>
      </c>
      <c r="D2016" s="18">
        <v>45448</v>
      </c>
      <c r="E2016" s="18">
        <v>45812</v>
      </c>
      <c r="F2016" s="18" t="s">
        <v>608</v>
      </c>
      <c r="G2016" t="s">
        <v>99</v>
      </c>
      <c r="H2016">
        <v>1</v>
      </c>
      <c r="I2016">
        <v>1</v>
      </c>
      <c r="J2016" s="27">
        <v>88203.31</v>
      </c>
      <c r="K2016" s="27">
        <v>10000000</v>
      </c>
    </row>
    <row r="2017" spans="1:11" ht="15" customHeight="1" x14ac:dyDescent="0.2">
      <c r="A2017" t="s">
        <v>4614</v>
      </c>
      <c r="B2017" t="s">
        <v>4615</v>
      </c>
      <c r="C2017">
        <v>2024</v>
      </c>
      <c r="D2017" s="18">
        <v>45448</v>
      </c>
      <c r="E2017" s="18">
        <v>45812</v>
      </c>
      <c r="F2017" s="18" t="s">
        <v>611</v>
      </c>
      <c r="G2017" t="s">
        <v>99</v>
      </c>
      <c r="H2017">
        <v>2</v>
      </c>
      <c r="I2017">
        <v>2</v>
      </c>
      <c r="J2017" s="27">
        <v>34046.050000000003</v>
      </c>
      <c r="K2017" s="27">
        <v>4000000</v>
      </c>
    </row>
    <row r="2018" spans="1:11" ht="15" customHeight="1" x14ac:dyDescent="0.2">
      <c r="A2018" t="s">
        <v>4616</v>
      </c>
      <c r="B2018" t="s">
        <v>4617</v>
      </c>
      <c r="C2018">
        <v>2024</v>
      </c>
      <c r="D2018" s="18">
        <v>45448</v>
      </c>
      <c r="E2018" s="18">
        <v>45812</v>
      </c>
      <c r="F2018" s="18" t="s">
        <v>611</v>
      </c>
      <c r="G2018" t="s">
        <v>101</v>
      </c>
      <c r="H2018">
        <v>1</v>
      </c>
      <c r="I2018">
        <v>1</v>
      </c>
      <c r="J2018" s="27">
        <v>151358.59</v>
      </c>
      <c r="K2018" s="27">
        <v>10000000</v>
      </c>
    </row>
    <row r="2019" spans="1:11" ht="15" customHeight="1" x14ac:dyDescent="0.2">
      <c r="A2019" t="s">
        <v>4618</v>
      </c>
      <c r="B2019" t="s">
        <v>4619</v>
      </c>
      <c r="C2019">
        <v>2024</v>
      </c>
      <c r="D2019" s="18">
        <v>45448</v>
      </c>
      <c r="E2019" s="18">
        <v>45812</v>
      </c>
      <c r="F2019" s="18" t="s">
        <v>611</v>
      </c>
      <c r="G2019" t="s">
        <v>100</v>
      </c>
      <c r="H2019">
        <v>2</v>
      </c>
      <c r="I2019">
        <v>2</v>
      </c>
      <c r="J2019" s="27">
        <v>127294.62</v>
      </c>
      <c r="K2019" s="27">
        <v>10000000</v>
      </c>
    </row>
    <row r="2020" spans="1:11" ht="15" customHeight="1" x14ac:dyDescent="0.2">
      <c r="A2020" t="s">
        <v>4620</v>
      </c>
      <c r="B2020" t="s">
        <v>4621</v>
      </c>
      <c r="C2020">
        <v>2024</v>
      </c>
      <c r="D2020" s="18">
        <v>45448</v>
      </c>
      <c r="E2020" s="18">
        <v>45812</v>
      </c>
      <c r="F2020" s="18" t="s">
        <v>611</v>
      </c>
      <c r="G2020" t="s">
        <v>99</v>
      </c>
      <c r="H2020">
        <v>3</v>
      </c>
      <c r="I2020">
        <v>3</v>
      </c>
      <c r="J2020" s="27">
        <v>25859.3</v>
      </c>
      <c r="K2020" s="27">
        <v>3000000</v>
      </c>
    </row>
    <row r="2021" spans="1:11" ht="15" customHeight="1" x14ac:dyDescent="0.2">
      <c r="A2021" t="s">
        <v>4622</v>
      </c>
      <c r="B2021" t="s">
        <v>4623</v>
      </c>
      <c r="C2021">
        <v>2024</v>
      </c>
      <c r="D2021" s="18">
        <v>45448</v>
      </c>
      <c r="E2021" s="18">
        <v>45812</v>
      </c>
      <c r="F2021" s="18" t="s">
        <v>611</v>
      </c>
      <c r="G2021" t="s">
        <v>100</v>
      </c>
      <c r="H2021">
        <v>2</v>
      </c>
      <c r="I2021">
        <v>4</v>
      </c>
      <c r="J2021" s="27">
        <v>26683.200000000001</v>
      </c>
      <c r="K2021" s="27">
        <v>2000000</v>
      </c>
    </row>
    <row r="2022" spans="1:11" ht="15" customHeight="1" x14ac:dyDescent="0.2">
      <c r="A2022" t="s">
        <v>4624</v>
      </c>
      <c r="B2022" t="s">
        <v>4625</v>
      </c>
      <c r="C2022">
        <v>2024</v>
      </c>
      <c r="D2022" s="18">
        <v>45448</v>
      </c>
      <c r="E2022" s="18">
        <v>45812</v>
      </c>
      <c r="F2022" s="18" t="s">
        <v>611</v>
      </c>
      <c r="G2022" t="s">
        <v>100</v>
      </c>
      <c r="H2022">
        <v>1</v>
      </c>
      <c r="I2022">
        <v>2</v>
      </c>
      <c r="J2022" s="27">
        <v>31654.51</v>
      </c>
      <c r="K2022" s="27">
        <v>2500000</v>
      </c>
    </row>
    <row r="2023" spans="1:11" ht="15" customHeight="1" x14ac:dyDescent="0.2">
      <c r="A2023" t="s">
        <v>4626</v>
      </c>
      <c r="B2023" t="s">
        <v>4627</v>
      </c>
      <c r="C2023">
        <v>2024</v>
      </c>
      <c r="D2023" s="18">
        <v>45449</v>
      </c>
      <c r="E2023" s="18">
        <v>45813</v>
      </c>
      <c r="F2023" s="18" t="s">
        <v>608</v>
      </c>
      <c r="G2023" t="s">
        <v>99</v>
      </c>
      <c r="H2023">
        <v>3</v>
      </c>
      <c r="I2023">
        <v>3</v>
      </c>
      <c r="J2023" s="27">
        <v>76183.820000000007</v>
      </c>
      <c r="K2023" s="27">
        <v>10000000</v>
      </c>
    </row>
    <row r="2024" spans="1:11" ht="15" customHeight="1" x14ac:dyDescent="0.2">
      <c r="A2024" t="s">
        <v>4628</v>
      </c>
      <c r="B2024" t="s">
        <v>4629</v>
      </c>
      <c r="C2024">
        <v>2024</v>
      </c>
      <c r="D2024" s="18">
        <v>45449</v>
      </c>
      <c r="E2024" s="18">
        <v>45813</v>
      </c>
      <c r="F2024" s="18" t="s">
        <v>608</v>
      </c>
      <c r="G2024" t="s">
        <v>100</v>
      </c>
      <c r="H2024">
        <v>2</v>
      </c>
      <c r="I2024">
        <v>4</v>
      </c>
      <c r="J2024" s="27">
        <v>39032.910000000003</v>
      </c>
      <c r="K2024" s="27">
        <v>3500000</v>
      </c>
    </row>
    <row r="2025" spans="1:11" ht="15" customHeight="1" x14ac:dyDescent="0.2">
      <c r="A2025" t="s">
        <v>4630</v>
      </c>
      <c r="B2025" t="s">
        <v>4631</v>
      </c>
      <c r="C2025">
        <v>2024</v>
      </c>
      <c r="D2025" s="18">
        <v>45449</v>
      </c>
      <c r="E2025" s="18">
        <v>45813</v>
      </c>
      <c r="F2025" s="18" t="s">
        <v>608</v>
      </c>
      <c r="G2025" t="s">
        <v>99</v>
      </c>
      <c r="H2025">
        <v>2</v>
      </c>
      <c r="I2025">
        <v>2</v>
      </c>
      <c r="J2025" s="27">
        <v>20292.88</v>
      </c>
      <c r="K2025" s="27">
        <v>2500000</v>
      </c>
    </row>
    <row r="2026" spans="1:11" ht="15" customHeight="1" x14ac:dyDescent="0.2">
      <c r="A2026" t="s">
        <v>4632</v>
      </c>
      <c r="B2026" t="s">
        <v>4633</v>
      </c>
      <c r="C2026">
        <v>2024</v>
      </c>
      <c r="D2026" s="18">
        <v>45449</v>
      </c>
      <c r="E2026" s="18">
        <v>45813</v>
      </c>
      <c r="F2026" s="18" t="s">
        <v>611</v>
      </c>
      <c r="G2026" t="s">
        <v>99</v>
      </c>
      <c r="H2026">
        <v>2</v>
      </c>
      <c r="I2026">
        <v>4</v>
      </c>
      <c r="J2026" s="27">
        <v>75695.289999999994</v>
      </c>
      <c r="K2026" s="27">
        <v>10000000</v>
      </c>
    </row>
    <row r="2027" spans="1:11" ht="15" customHeight="1" x14ac:dyDescent="0.2">
      <c r="A2027" t="s">
        <v>4634</v>
      </c>
      <c r="B2027" t="s">
        <v>4635</v>
      </c>
      <c r="C2027">
        <v>2024</v>
      </c>
      <c r="D2027" s="18">
        <v>45449</v>
      </c>
      <c r="E2027" s="18">
        <v>45813</v>
      </c>
      <c r="F2027" s="18" t="s">
        <v>611</v>
      </c>
      <c r="G2027" t="s">
        <v>100</v>
      </c>
      <c r="H2027">
        <v>1</v>
      </c>
      <c r="I2027">
        <v>1</v>
      </c>
      <c r="J2027" s="27">
        <v>54087.85</v>
      </c>
      <c r="K2027" s="27">
        <v>4500000</v>
      </c>
    </row>
    <row r="2028" spans="1:11" ht="15" customHeight="1" x14ac:dyDescent="0.2">
      <c r="A2028" t="s">
        <v>4636</v>
      </c>
      <c r="B2028" t="s">
        <v>4637</v>
      </c>
      <c r="C2028">
        <v>2024</v>
      </c>
      <c r="D2028" s="18">
        <v>45449</v>
      </c>
      <c r="E2028" s="18">
        <v>45813</v>
      </c>
      <c r="F2028" s="18" t="s">
        <v>611</v>
      </c>
      <c r="G2028" t="s">
        <v>102</v>
      </c>
      <c r="H2028">
        <v>2</v>
      </c>
      <c r="I2028">
        <v>2</v>
      </c>
      <c r="J2028" s="27">
        <v>38682.269999999997</v>
      </c>
      <c r="K2028" s="27">
        <v>5000000</v>
      </c>
    </row>
    <row r="2029" spans="1:11" ht="15" customHeight="1" x14ac:dyDescent="0.2">
      <c r="A2029" t="s">
        <v>4638</v>
      </c>
      <c r="B2029" t="s">
        <v>4639</v>
      </c>
      <c r="C2029">
        <v>2024</v>
      </c>
      <c r="D2029" s="18">
        <v>45449</v>
      </c>
      <c r="E2029" s="18">
        <v>45813</v>
      </c>
      <c r="F2029" s="18" t="s">
        <v>611</v>
      </c>
      <c r="G2029" t="s">
        <v>99</v>
      </c>
      <c r="H2029">
        <v>2</v>
      </c>
      <c r="I2029">
        <v>2</v>
      </c>
      <c r="J2029" s="27">
        <v>44663.96</v>
      </c>
      <c r="K2029" s="27">
        <v>5000000</v>
      </c>
    </row>
    <row r="2030" spans="1:11" ht="15" customHeight="1" x14ac:dyDescent="0.2">
      <c r="A2030" t="s">
        <v>4640</v>
      </c>
      <c r="B2030" t="s">
        <v>4641</v>
      </c>
      <c r="C2030">
        <v>2024</v>
      </c>
      <c r="D2030" s="18">
        <v>45450</v>
      </c>
      <c r="E2030" s="18">
        <v>45814</v>
      </c>
      <c r="F2030" s="18" t="s">
        <v>608</v>
      </c>
      <c r="G2030" t="s">
        <v>101</v>
      </c>
      <c r="H2030">
        <v>1</v>
      </c>
      <c r="I2030">
        <v>1</v>
      </c>
      <c r="J2030" s="27">
        <v>16305.01</v>
      </c>
      <c r="K2030" s="27">
        <v>1000000</v>
      </c>
    </row>
    <row r="2031" spans="1:11" ht="15" customHeight="1" x14ac:dyDescent="0.2">
      <c r="A2031" t="s">
        <v>4642</v>
      </c>
      <c r="B2031" t="s">
        <v>4643</v>
      </c>
      <c r="C2031">
        <v>2024</v>
      </c>
      <c r="D2031" s="18">
        <v>45450</v>
      </c>
      <c r="E2031" s="18">
        <v>45814</v>
      </c>
      <c r="F2031" s="18" t="s">
        <v>608</v>
      </c>
      <c r="G2031" t="s">
        <v>99</v>
      </c>
      <c r="H2031">
        <v>2</v>
      </c>
      <c r="I2031">
        <v>4</v>
      </c>
      <c r="J2031" s="27">
        <v>23003.98</v>
      </c>
      <c r="K2031" s="27">
        <v>2500000</v>
      </c>
    </row>
    <row r="2032" spans="1:11" ht="15" customHeight="1" x14ac:dyDescent="0.2">
      <c r="A2032" t="s">
        <v>4644</v>
      </c>
      <c r="B2032" t="s">
        <v>4645</v>
      </c>
      <c r="C2032">
        <v>2024</v>
      </c>
      <c r="D2032" s="18">
        <v>45450</v>
      </c>
      <c r="E2032" s="18">
        <v>45814</v>
      </c>
      <c r="F2032" s="18" t="s">
        <v>611</v>
      </c>
      <c r="G2032" t="s">
        <v>100</v>
      </c>
      <c r="H2032">
        <v>1</v>
      </c>
      <c r="I2032">
        <v>1</v>
      </c>
      <c r="J2032" s="27">
        <v>24472.31</v>
      </c>
      <c r="K2032" s="27">
        <v>2000000</v>
      </c>
    </row>
    <row r="2033" spans="1:11" ht="15" customHeight="1" x14ac:dyDescent="0.2">
      <c r="A2033" t="s">
        <v>4646</v>
      </c>
      <c r="B2033" t="s">
        <v>4647</v>
      </c>
      <c r="C2033">
        <v>2024</v>
      </c>
      <c r="D2033" s="18">
        <v>45450</v>
      </c>
      <c r="E2033" s="18">
        <v>45814</v>
      </c>
      <c r="F2033" s="18" t="s">
        <v>611</v>
      </c>
      <c r="G2033" t="s">
        <v>100</v>
      </c>
      <c r="H2033">
        <v>2</v>
      </c>
      <c r="I2033">
        <v>4</v>
      </c>
      <c r="J2033" s="27">
        <v>126443.98</v>
      </c>
      <c r="K2033" s="27">
        <v>10000000</v>
      </c>
    </row>
    <row r="2034" spans="1:11" ht="15" customHeight="1" x14ac:dyDescent="0.2">
      <c r="A2034" t="s">
        <v>4648</v>
      </c>
      <c r="B2034" t="s">
        <v>4649</v>
      </c>
      <c r="C2034">
        <v>2024</v>
      </c>
      <c r="D2034" s="18">
        <v>45450</v>
      </c>
      <c r="E2034" s="18">
        <v>45814</v>
      </c>
      <c r="F2034" s="18" t="s">
        <v>611</v>
      </c>
      <c r="G2034" t="s">
        <v>99</v>
      </c>
      <c r="H2034">
        <v>1</v>
      </c>
      <c r="I2034">
        <v>1</v>
      </c>
      <c r="J2034" s="27">
        <v>13795.54</v>
      </c>
      <c r="K2034" s="27">
        <v>1500000</v>
      </c>
    </row>
    <row r="2035" spans="1:11" ht="15" customHeight="1" x14ac:dyDescent="0.2">
      <c r="A2035" t="s">
        <v>4650</v>
      </c>
      <c r="B2035" t="s">
        <v>4651</v>
      </c>
      <c r="C2035">
        <v>2024</v>
      </c>
      <c r="D2035" s="18">
        <v>45450</v>
      </c>
      <c r="E2035" s="18">
        <v>45814</v>
      </c>
      <c r="F2035" s="18" t="s">
        <v>611</v>
      </c>
      <c r="G2035" t="s">
        <v>100</v>
      </c>
      <c r="H2035">
        <v>2</v>
      </c>
      <c r="I2035">
        <v>2</v>
      </c>
      <c r="J2035" s="27">
        <v>6541.7</v>
      </c>
      <c r="K2035" s="27">
        <v>500000</v>
      </c>
    </row>
    <row r="2036" spans="1:11" ht="15" customHeight="1" x14ac:dyDescent="0.2">
      <c r="A2036" t="s">
        <v>4652</v>
      </c>
      <c r="B2036" t="s">
        <v>4653</v>
      </c>
      <c r="C2036">
        <v>2024</v>
      </c>
      <c r="D2036" s="18">
        <v>45450</v>
      </c>
      <c r="E2036" s="18">
        <v>45814</v>
      </c>
      <c r="F2036" s="18" t="s">
        <v>611</v>
      </c>
      <c r="G2036" t="s">
        <v>100</v>
      </c>
      <c r="H2036">
        <v>1</v>
      </c>
      <c r="I2036">
        <v>1</v>
      </c>
      <c r="J2036" s="27">
        <v>49838.8</v>
      </c>
      <c r="K2036" s="27">
        <v>4000000</v>
      </c>
    </row>
    <row r="2037" spans="1:11" ht="15" customHeight="1" x14ac:dyDescent="0.2">
      <c r="A2037" t="s">
        <v>4654</v>
      </c>
      <c r="B2037" t="s">
        <v>4655</v>
      </c>
      <c r="C2037">
        <v>2024</v>
      </c>
      <c r="D2037" s="18">
        <v>45451</v>
      </c>
      <c r="E2037" s="18">
        <v>45815</v>
      </c>
      <c r="F2037" s="18" t="s">
        <v>611</v>
      </c>
      <c r="G2037" t="s">
        <v>99</v>
      </c>
      <c r="H2037">
        <v>1</v>
      </c>
      <c r="I2037">
        <v>1</v>
      </c>
      <c r="J2037" s="27">
        <v>23611.06</v>
      </c>
      <c r="K2037" s="27">
        <v>3000000</v>
      </c>
    </row>
    <row r="2038" spans="1:11" ht="15" customHeight="1" x14ac:dyDescent="0.2">
      <c r="A2038" t="s">
        <v>4656</v>
      </c>
      <c r="B2038" t="s">
        <v>4657</v>
      </c>
      <c r="C2038">
        <v>2024</v>
      </c>
      <c r="D2038" s="18">
        <v>45451</v>
      </c>
      <c r="E2038" s="18">
        <v>45815</v>
      </c>
      <c r="F2038" s="18" t="s">
        <v>611</v>
      </c>
      <c r="G2038" t="s">
        <v>101</v>
      </c>
      <c r="H2038">
        <v>3</v>
      </c>
      <c r="I2038">
        <v>6</v>
      </c>
      <c r="J2038" s="27">
        <v>156626.68</v>
      </c>
      <c r="K2038" s="27">
        <v>10000000</v>
      </c>
    </row>
    <row r="2039" spans="1:11" ht="15" customHeight="1" x14ac:dyDescent="0.2">
      <c r="A2039" t="s">
        <v>4658</v>
      </c>
      <c r="B2039" t="s">
        <v>4659</v>
      </c>
      <c r="C2039">
        <v>2024</v>
      </c>
      <c r="D2039" s="18">
        <v>45451</v>
      </c>
      <c r="E2039" s="18">
        <v>45815</v>
      </c>
      <c r="F2039" s="18" t="s">
        <v>611</v>
      </c>
      <c r="G2039" t="s">
        <v>99</v>
      </c>
      <c r="H2039">
        <v>1</v>
      </c>
      <c r="I2039">
        <v>1</v>
      </c>
      <c r="J2039" s="27">
        <v>18235.55</v>
      </c>
      <c r="K2039" s="27">
        <v>2000000</v>
      </c>
    </row>
    <row r="2040" spans="1:11" ht="15" customHeight="1" x14ac:dyDescent="0.2">
      <c r="A2040" t="s">
        <v>4660</v>
      </c>
      <c r="B2040" t="s">
        <v>4661</v>
      </c>
      <c r="C2040">
        <v>2024</v>
      </c>
      <c r="D2040" s="18">
        <v>45451</v>
      </c>
      <c r="E2040" s="18">
        <v>45815</v>
      </c>
      <c r="F2040" s="18" t="s">
        <v>611</v>
      </c>
      <c r="G2040" t="s">
        <v>101</v>
      </c>
      <c r="H2040">
        <v>3</v>
      </c>
      <c r="I2040">
        <v>3</v>
      </c>
      <c r="J2040" s="27">
        <v>31416.68</v>
      </c>
      <c r="K2040" s="27">
        <v>2000000</v>
      </c>
    </row>
    <row r="2041" spans="1:11" ht="15" customHeight="1" x14ac:dyDescent="0.2">
      <c r="A2041" t="s">
        <v>4662</v>
      </c>
      <c r="B2041" t="s">
        <v>4663</v>
      </c>
      <c r="C2041">
        <v>2024</v>
      </c>
      <c r="D2041" s="18">
        <v>45451</v>
      </c>
      <c r="E2041" s="18">
        <v>45815</v>
      </c>
      <c r="F2041" s="18" t="s">
        <v>611</v>
      </c>
      <c r="G2041" t="s">
        <v>100</v>
      </c>
      <c r="H2041">
        <v>1</v>
      </c>
      <c r="I2041">
        <v>2</v>
      </c>
      <c r="J2041" s="27">
        <v>52970.3</v>
      </c>
      <c r="K2041" s="27">
        <v>4500000</v>
      </c>
    </row>
    <row r="2042" spans="1:11" ht="15" customHeight="1" x14ac:dyDescent="0.2">
      <c r="A2042" t="s">
        <v>4664</v>
      </c>
      <c r="B2042" t="s">
        <v>4665</v>
      </c>
      <c r="C2042">
        <v>2024</v>
      </c>
      <c r="D2042" s="18">
        <v>45451</v>
      </c>
      <c r="E2042" s="18">
        <v>45815</v>
      </c>
      <c r="F2042" s="18" t="s">
        <v>611</v>
      </c>
      <c r="G2042" t="s">
        <v>99</v>
      </c>
      <c r="H2042">
        <v>1</v>
      </c>
      <c r="I2042">
        <v>2</v>
      </c>
      <c r="J2042" s="27">
        <v>40691.089999999997</v>
      </c>
      <c r="K2042" s="27">
        <v>5000000</v>
      </c>
    </row>
    <row r="2043" spans="1:11" ht="15" customHeight="1" x14ac:dyDescent="0.2">
      <c r="A2043" t="s">
        <v>4666</v>
      </c>
      <c r="B2043" t="s">
        <v>4667</v>
      </c>
      <c r="C2043">
        <v>2024</v>
      </c>
      <c r="D2043" s="18">
        <v>45451</v>
      </c>
      <c r="E2043" s="18">
        <v>45815</v>
      </c>
      <c r="F2043" s="18" t="s">
        <v>611</v>
      </c>
      <c r="G2043" t="s">
        <v>100</v>
      </c>
      <c r="H2043">
        <v>1</v>
      </c>
      <c r="I2043">
        <v>2</v>
      </c>
      <c r="J2043" s="27">
        <v>61560.89</v>
      </c>
      <c r="K2043" s="27">
        <v>5000000</v>
      </c>
    </row>
    <row r="2044" spans="1:11" ht="15" customHeight="1" x14ac:dyDescent="0.2">
      <c r="A2044" t="s">
        <v>4668</v>
      </c>
      <c r="B2044" t="s">
        <v>4669</v>
      </c>
      <c r="C2044">
        <v>2024</v>
      </c>
      <c r="D2044" s="18">
        <v>45452</v>
      </c>
      <c r="E2044" s="18">
        <v>45816</v>
      </c>
      <c r="F2044" s="18" t="s">
        <v>611</v>
      </c>
      <c r="G2044" t="s">
        <v>100</v>
      </c>
      <c r="H2044">
        <v>1</v>
      </c>
      <c r="I2044">
        <v>1</v>
      </c>
      <c r="J2044" s="27">
        <v>56091.45</v>
      </c>
      <c r="K2044" s="27">
        <v>5000000</v>
      </c>
    </row>
    <row r="2045" spans="1:11" ht="15" customHeight="1" x14ac:dyDescent="0.2">
      <c r="A2045" t="s">
        <v>4670</v>
      </c>
      <c r="B2045" t="s">
        <v>4671</v>
      </c>
      <c r="C2045">
        <v>2024</v>
      </c>
      <c r="D2045" s="18">
        <v>45452</v>
      </c>
      <c r="E2045" s="18">
        <v>45816</v>
      </c>
      <c r="F2045" s="18" t="s">
        <v>611</v>
      </c>
      <c r="G2045" t="s">
        <v>99</v>
      </c>
      <c r="H2045">
        <v>2</v>
      </c>
      <c r="I2045">
        <v>2</v>
      </c>
      <c r="J2045" s="27">
        <v>32361.24</v>
      </c>
      <c r="K2045" s="27">
        <v>4000000</v>
      </c>
    </row>
    <row r="2046" spans="1:11" ht="15" customHeight="1" x14ac:dyDescent="0.2">
      <c r="A2046" t="s">
        <v>4672</v>
      </c>
      <c r="B2046" t="s">
        <v>4673</v>
      </c>
      <c r="C2046">
        <v>2024</v>
      </c>
      <c r="D2046" s="18">
        <v>45452</v>
      </c>
      <c r="E2046" s="18">
        <v>45816</v>
      </c>
      <c r="F2046" s="18" t="s">
        <v>611</v>
      </c>
      <c r="G2046" t="s">
        <v>99</v>
      </c>
      <c r="H2046">
        <v>3</v>
      </c>
      <c r="I2046">
        <v>6</v>
      </c>
      <c r="J2046" s="27">
        <v>17295.12</v>
      </c>
      <c r="K2046" s="27">
        <v>2000000</v>
      </c>
    </row>
    <row r="2047" spans="1:11" ht="15" customHeight="1" x14ac:dyDescent="0.2">
      <c r="A2047" t="s">
        <v>4674</v>
      </c>
      <c r="B2047" t="s">
        <v>4675</v>
      </c>
      <c r="C2047">
        <v>2024</v>
      </c>
      <c r="D2047" s="18">
        <v>45452</v>
      </c>
      <c r="E2047" s="18">
        <v>45816</v>
      </c>
      <c r="F2047" s="18" t="s">
        <v>611</v>
      </c>
      <c r="G2047" t="s">
        <v>100</v>
      </c>
      <c r="H2047">
        <v>3</v>
      </c>
      <c r="I2047">
        <v>6</v>
      </c>
      <c r="J2047" s="27">
        <v>127626.33</v>
      </c>
      <c r="K2047" s="27">
        <v>10000000</v>
      </c>
    </row>
    <row r="2048" spans="1:11" ht="15" customHeight="1" x14ac:dyDescent="0.2">
      <c r="A2048" t="s">
        <v>4676</v>
      </c>
      <c r="B2048" t="s">
        <v>4677</v>
      </c>
      <c r="C2048">
        <v>2024</v>
      </c>
      <c r="D2048" s="18">
        <v>45452</v>
      </c>
      <c r="E2048" s="18">
        <v>45816</v>
      </c>
      <c r="F2048" s="18" t="s">
        <v>611</v>
      </c>
      <c r="G2048" t="s">
        <v>101</v>
      </c>
      <c r="H2048">
        <v>1</v>
      </c>
      <c r="I2048">
        <v>2</v>
      </c>
      <c r="J2048" s="27">
        <v>46761.19</v>
      </c>
      <c r="K2048" s="27">
        <v>3000000</v>
      </c>
    </row>
    <row r="2049" spans="1:11" ht="15" customHeight="1" x14ac:dyDescent="0.2">
      <c r="A2049" t="s">
        <v>4678</v>
      </c>
      <c r="B2049" t="s">
        <v>4679</v>
      </c>
      <c r="C2049">
        <v>2024</v>
      </c>
      <c r="D2049" s="18">
        <v>45452</v>
      </c>
      <c r="E2049" s="18">
        <v>45816</v>
      </c>
      <c r="F2049" s="18" t="s">
        <v>611</v>
      </c>
      <c r="G2049" t="s">
        <v>99</v>
      </c>
      <c r="H2049">
        <v>2</v>
      </c>
      <c r="I2049">
        <v>2</v>
      </c>
      <c r="J2049" s="27">
        <v>38394.79</v>
      </c>
      <c r="K2049" s="27">
        <v>5000000</v>
      </c>
    </row>
    <row r="2050" spans="1:11" ht="15" customHeight="1" x14ac:dyDescent="0.2">
      <c r="A2050" t="s">
        <v>4680</v>
      </c>
      <c r="B2050" t="s">
        <v>4681</v>
      </c>
      <c r="C2050">
        <v>2024</v>
      </c>
      <c r="D2050" s="18">
        <v>45452</v>
      </c>
      <c r="E2050" s="18">
        <v>45816</v>
      </c>
      <c r="F2050" s="18" t="s">
        <v>611</v>
      </c>
      <c r="G2050" t="s">
        <v>100</v>
      </c>
      <c r="H2050">
        <v>1</v>
      </c>
      <c r="I2050">
        <v>2</v>
      </c>
      <c r="J2050" s="27">
        <v>116273.39</v>
      </c>
      <c r="K2050" s="27">
        <v>10000000</v>
      </c>
    </row>
    <row r="2051" spans="1:11" ht="15" customHeight="1" x14ac:dyDescent="0.2">
      <c r="A2051" t="s">
        <v>4682</v>
      </c>
      <c r="B2051" t="s">
        <v>4683</v>
      </c>
      <c r="C2051">
        <v>2024</v>
      </c>
      <c r="D2051" s="18">
        <v>45452</v>
      </c>
      <c r="E2051" s="18">
        <v>45816</v>
      </c>
      <c r="F2051" s="18" t="s">
        <v>611</v>
      </c>
      <c r="G2051" t="s">
        <v>100</v>
      </c>
      <c r="H2051">
        <v>1</v>
      </c>
      <c r="I2051">
        <v>1</v>
      </c>
      <c r="J2051" s="27">
        <v>53995.23</v>
      </c>
      <c r="K2051" s="27">
        <v>4000000</v>
      </c>
    </row>
    <row r="2052" spans="1:11" ht="15" customHeight="1" x14ac:dyDescent="0.2">
      <c r="A2052" t="s">
        <v>4684</v>
      </c>
      <c r="B2052" t="s">
        <v>4685</v>
      </c>
      <c r="C2052">
        <v>2024</v>
      </c>
      <c r="D2052" s="18">
        <v>45452</v>
      </c>
      <c r="E2052" s="18">
        <v>45816</v>
      </c>
      <c r="F2052" s="18" t="s">
        <v>611</v>
      </c>
      <c r="G2052" t="s">
        <v>100</v>
      </c>
      <c r="H2052">
        <v>1</v>
      </c>
      <c r="I2052">
        <v>1</v>
      </c>
      <c r="J2052" s="27">
        <v>31292.560000000001</v>
      </c>
      <c r="K2052" s="27">
        <v>2500000</v>
      </c>
    </row>
    <row r="2053" spans="1:11" ht="15" customHeight="1" x14ac:dyDescent="0.2">
      <c r="A2053" t="s">
        <v>4686</v>
      </c>
      <c r="B2053" t="s">
        <v>4687</v>
      </c>
      <c r="C2053">
        <v>2024</v>
      </c>
      <c r="D2053" s="18">
        <v>45452</v>
      </c>
      <c r="E2053" s="18">
        <v>45816</v>
      </c>
      <c r="F2053" s="18" t="s">
        <v>611</v>
      </c>
      <c r="G2053" t="s">
        <v>99</v>
      </c>
      <c r="H2053">
        <v>1</v>
      </c>
      <c r="I2053">
        <v>2</v>
      </c>
      <c r="J2053" s="27">
        <v>32304.71</v>
      </c>
      <c r="K2053" s="27">
        <v>4000000</v>
      </c>
    </row>
    <row r="2054" spans="1:11" ht="15" customHeight="1" x14ac:dyDescent="0.2">
      <c r="A2054" t="s">
        <v>4688</v>
      </c>
      <c r="B2054" t="s">
        <v>4689</v>
      </c>
      <c r="C2054">
        <v>2024</v>
      </c>
      <c r="D2054" s="18">
        <v>45453</v>
      </c>
      <c r="E2054" s="18">
        <v>45817</v>
      </c>
      <c r="F2054" s="18" t="s">
        <v>611</v>
      </c>
      <c r="G2054" t="s">
        <v>100</v>
      </c>
      <c r="H2054">
        <v>2</v>
      </c>
      <c r="I2054">
        <v>2</v>
      </c>
      <c r="J2054" s="27">
        <v>56932.28</v>
      </c>
      <c r="K2054" s="27">
        <v>4500000</v>
      </c>
    </row>
    <row r="2055" spans="1:11" ht="15" customHeight="1" x14ac:dyDescent="0.2">
      <c r="A2055" t="s">
        <v>4690</v>
      </c>
      <c r="B2055" t="s">
        <v>4691</v>
      </c>
      <c r="C2055">
        <v>2024</v>
      </c>
      <c r="D2055" s="18">
        <v>45453</v>
      </c>
      <c r="E2055" s="18">
        <v>45817</v>
      </c>
      <c r="F2055" s="18" t="s">
        <v>611</v>
      </c>
      <c r="G2055" t="s">
        <v>102</v>
      </c>
      <c r="H2055">
        <v>3</v>
      </c>
      <c r="I2055">
        <v>3</v>
      </c>
      <c r="J2055" s="27">
        <v>35408.379999999997</v>
      </c>
      <c r="K2055" s="27">
        <v>4500000</v>
      </c>
    </row>
    <row r="2056" spans="1:11" ht="15" customHeight="1" x14ac:dyDescent="0.2">
      <c r="A2056" t="s">
        <v>4692</v>
      </c>
      <c r="B2056" t="s">
        <v>4693</v>
      </c>
      <c r="C2056">
        <v>2024</v>
      </c>
      <c r="D2056" s="18">
        <v>45453</v>
      </c>
      <c r="E2056" s="18">
        <v>45817</v>
      </c>
      <c r="F2056" s="18" t="s">
        <v>611</v>
      </c>
      <c r="G2056" t="s">
        <v>101</v>
      </c>
      <c r="H2056">
        <v>3</v>
      </c>
      <c r="I2056">
        <v>3</v>
      </c>
      <c r="J2056" s="27">
        <v>22775.33</v>
      </c>
      <c r="K2056" s="27">
        <v>1500000</v>
      </c>
    </row>
    <row r="2057" spans="1:11" ht="15" customHeight="1" x14ac:dyDescent="0.2">
      <c r="A2057" t="s">
        <v>4694</v>
      </c>
      <c r="B2057" t="s">
        <v>4695</v>
      </c>
      <c r="C2057">
        <v>2024</v>
      </c>
      <c r="D2057" s="18">
        <v>45454</v>
      </c>
      <c r="E2057" s="18">
        <v>45818</v>
      </c>
      <c r="F2057" s="18" t="s">
        <v>611</v>
      </c>
      <c r="G2057" t="s">
        <v>102</v>
      </c>
      <c r="H2057">
        <v>3</v>
      </c>
      <c r="I2057">
        <v>6</v>
      </c>
      <c r="J2057" s="27">
        <v>30231.4</v>
      </c>
      <c r="K2057" s="27">
        <v>4500000</v>
      </c>
    </row>
    <row r="2058" spans="1:11" ht="15" customHeight="1" x14ac:dyDescent="0.2">
      <c r="A2058" t="s">
        <v>4696</v>
      </c>
      <c r="B2058" t="s">
        <v>4697</v>
      </c>
      <c r="C2058">
        <v>2024</v>
      </c>
      <c r="D2058" s="18">
        <v>45454</v>
      </c>
      <c r="E2058" s="18">
        <v>45818</v>
      </c>
      <c r="F2058" s="18" t="s">
        <v>611</v>
      </c>
      <c r="G2058" t="s">
        <v>99</v>
      </c>
      <c r="H2058">
        <v>1</v>
      </c>
      <c r="I2058">
        <v>1</v>
      </c>
      <c r="J2058" s="27">
        <v>42343.18</v>
      </c>
      <c r="K2058" s="27">
        <v>5000000</v>
      </c>
    </row>
    <row r="2059" spans="1:11" ht="15" customHeight="1" x14ac:dyDescent="0.2">
      <c r="A2059" t="s">
        <v>4698</v>
      </c>
      <c r="B2059" t="s">
        <v>4699</v>
      </c>
      <c r="C2059">
        <v>2024</v>
      </c>
      <c r="D2059" s="18">
        <v>45454</v>
      </c>
      <c r="E2059" s="18">
        <v>45818</v>
      </c>
      <c r="F2059" s="18" t="s">
        <v>611</v>
      </c>
      <c r="G2059" t="s">
        <v>101</v>
      </c>
      <c r="H2059">
        <v>1</v>
      </c>
      <c r="I2059">
        <v>1</v>
      </c>
      <c r="J2059" s="27">
        <v>7351.81</v>
      </c>
      <c r="K2059" s="27">
        <v>500000</v>
      </c>
    </row>
    <row r="2060" spans="1:11" ht="15" customHeight="1" x14ac:dyDescent="0.2">
      <c r="A2060" t="s">
        <v>4700</v>
      </c>
      <c r="B2060" t="s">
        <v>4701</v>
      </c>
      <c r="C2060">
        <v>2024</v>
      </c>
      <c r="D2060" s="18">
        <v>45454</v>
      </c>
      <c r="E2060" s="18">
        <v>45818</v>
      </c>
      <c r="F2060" s="18" t="s">
        <v>611</v>
      </c>
      <c r="G2060" t="s">
        <v>101</v>
      </c>
      <c r="H2060">
        <v>3</v>
      </c>
      <c r="I2060">
        <v>6</v>
      </c>
      <c r="J2060" s="27">
        <v>155920.29</v>
      </c>
      <c r="K2060" s="27">
        <v>10000000</v>
      </c>
    </row>
    <row r="2061" spans="1:11" ht="15" customHeight="1" x14ac:dyDescent="0.2">
      <c r="A2061" t="s">
        <v>4702</v>
      </c>
      <c r="B2061" t="s">
        <v>4703</v>
      </c>
      <c r="C2061">
        <v>2024</v>
      </c>
      <c r="D2061" s="18">
        <v>45454</v>
      </c>
      <c r="E2061" s="18">
        <v>45818</v>
      </c>
      <c r="F2061" s="18" t="s">
        <v>611</v>
      </c>
      <c r="G2061" t="s">
        <v>101</v>
      </c>
      <c r="H2061">
        <v>1</v>
      </c>
      <c r="I2061">
        <v>1</v>
      </c>
      <c r="J2061" s="27">
        <v>8070.26</v>
      </c>
      <c r="K2061" s="27">
        <v>500000</v>
      </c>
    </row>
    <row r="2062" spans="1:11" ht="15" customHeight="1" x14ac:dyDescent="0.2">
      <c r="A2062" t="s">
        <v>4704</v>
      </c>
      <c r="B2062" t="s">
        <v>4705</v>
      </c>
      <c r="C2062">
        <v>2024</v>
      </c>
      <c r="D2062" s="18">
        <v>45455</v>
      </c>
      <c r="E2062" s="18">
        <v>45819</v>
      </c>
      <c r="F2062" s="18" t="s">
        <v>608</v>
      </c>
      <c r="G2062" t="s">
        <v>100</v>
      </c>
      <c r="H2062">
        <v>1</v>
      </c>
      <c r="I2062">
        <v>2</v>
      </c>
      <c r="J2062" s="27">
        <v>52005.54</v>
      </c>
      <c r="K2062" s="27">
        <v>4500000</v>
      </c>
    </row>
    <row r="2063" spans="1:11" ht="15" customHeight="1" x14ac:dyDescent="0.2">
      <c r="A2063" t="s">
        <v>4706</v>
      </c>
      <c r="B2063" t="s">
        <v>4707</v>
      </c>
      <c r="C2063">
        <v>2024</v>
      </c>
      <c r="D2063" s="18">
        <v>45455</v>
      </c>
      <c r="E2063" s="18">
        <v>45819</v>
      </c>
      <c r="F2063" s="18" t="s">
        <v>608</v>
      </c>
      <c r="G2063" t="s">
        <v>100</v>
      </c>
      <c r="H2063">
        <v>1</v>
      </c>
      <c r="I2063">
        <v>2</v>
      </c>
      <c r="J2063" s="27">
        <v>37617.78</v>
      </c>
      <c r="K2063" s="27">
        <v>3000000</v>
      </c>
    </row>
    <row r="2064" spans="1:11" ht="15" customHeight="1" x14ac:dyDescent="0.2">
      <c r="A2064" t="s">
        <v>4708</v>
      </c>
      <c r="B2064" t="s">
        <v>4709</v>
      </c>
      <c r="C2064">
        <v>2024</v>
      </c>
      <c r="D2064" s="18">
        <v>45455</v>
      </c>
      <c r="E2064" s="18">
        <v>45819</v>
      </c>
      <c r="F2064" s="18" t="s">
        <v>611</v>
      </c>
      <c r="G2064" t="s">
        <v>100</v>
      </c>
      <c r="H2064">
        <v>2</v>
      </c>
      <c r="I2064">
        <v>2</v>
      </c>
      <c r="J2064" s="27">
        <v>127623.6</v>
      </c>
      <c r="K2064" s="27">
        <v>10000000</v>
      </c>
    </row>
    <row r="2065" spans="1:11" ht="15" customHeight="1" x14ac:dyDescent="0.2">
      <c r="A2065" t="s">
        <v>4710</v>
      </c>
      <c r="B2065" t="s">
        <v>4711</v>
      </c>
      <c r="C2065">
        <v>2024</v>
      </c>
      <c r="D2065" s="18">
        <v>45455</v>
      </c>
      <c r="E2065" s="18">
        <v>45819</v>
      </c>
      <c r="F2065" s="18" t="s">
        <v>611</v>
      </c>
      <c r="G2065" t="s">
        <v>101</v>
      </c>
      <c r="H2065">
        <v>2</v>
      </c>
      <c r="I2065">
        <v>2</v>
      </c>
      <c r="J2065" s="27">
        <v>83224.53</v>
      </c>
      <c r="K2065" s="27">
        <v>5000000</v>
      </c>
    </row>
    <row r="2066" spans="1:11" ht="15" customHeight="1" x14ac:dyDescent="0.2">
      <c r="A2066" t="s">
        <v>4712</v>
      </c>
      <c r="B2066" t="s">
        <v>4713</v>
      </c>
      <c r="C2066">
        <v>2024</v>
      </c>
      <c r="D2066" s="18">
        <v>45456</v>
      </c>
      <c r="E2066" s="18">
        <v>45820</v>
      </c>
      <c r="F2066" s="18" t="s">
        <v>611</v>
      </c>
      <c r="G2066" t="s">
        <v>101</v>
      </c>
      <c r="H2066">
        <v>1</v>
      </c>
      <c r="I2066">
        <v>1</v>
      </c>
      <c r="J2066" s="27">
        <v>30666.16</v>
      </c>
      <c r="K2066" s="27">
        <v>2000000</v>
      </c>
    </row>
    <row r="2067" spans="1:11" ht="15" customHeight="1" x14ac:dyDescent="0.2">
      <c r="A2067" t="s">
        <v>4714</v>
      </c>
      <c r="B2067" t="s">
        <v>4715</v>
      </c>
      <c r="C2067">
        <v>2024</v>
      </c>
      <c r="D2067" s="18">
        <v>45456</v>
      </c>
      <c r="E2067" s="18">
        <v>45820</v>
      </c>
      <c r="F2067" s="18" t="s">
        <v>611</v>
      </c>
      <c r="G2067" t="s">
        <v>100</v>
      </c>
      <c r="H2067">
        <v>1</v>
      </c>
      <c r="I2067">
        <v>1</v>
      </c>
      <c r="J2067" s="27">
        <v>40062.129999999997</v>
      </c>
      <c r="K2067" s="27">
        <v>3500000</v>
      </c>
    </row>
    <row r="2068" spans="1:11" ht="15" customHeight="1" x14ac:dyDescent="0.2">
      <c r="A2068" t="s">
        <v>4716</v>
      </c>
      <c r="B2068" t="s">
        <v>4717</v>
      </c>
      <c r="C2068">
        <v>2024</v>
      </c>
      <c r="D2068" s="18">
        <v>45456</v>
      </c>
      <c r="E2068" s="18">
        <v>45820</v>
      </c>
      <c r="F2068" s="18" t="s">
        <v>611</v>
      </c>
      <c r="G2068" t="s">
        <v>101</v>
      </c>
      <c r="H2068">
        <v>1</v>
      </c>
      <c r="I2068">
        <v>1</v>
      </c>
      <c r="J2068" s="27">
        <v>32122.5</v>
      </c>
      <c r="K2068" s="27">
        <v>2000000</v>
      </c>
    </row>
    <row r="2069" spans="1:11" ht="15" customHeight="1" x14ac:dyDescent="0.2">
      <c r="A2069" t="s">
        <v>4718</v>
      </c>
      <c r="B2069" t="s">
        <v>4719</v>
      </c>
      <c r="C2069">
        <v>2024</v>
      </c>
      <c r="D2069" s="18">
        <v>45456</v>
      </c>
      <c r="E2069" s="18">
        <v>45820</v>
      </c>
      <c r="F2069" s="18" t="s">
        <v>611</v>
      </c>
      <c r="G2069" t="s">
        <v>99</v>
      </c>
      <c r="H2069">
        <v>1</v>
      </c>
      <c r="I2069">
        <v>1</v>
      </c>
      <c r="J2069" s="27">
        <v>38553.35</v>
      </c>
      <c r="K2069" s="27">
        <v>4500000</v>
      </c>
    </row>
    <row r="2070" spans="1:11" ht="15" customHeight="1" x14ac:dyDescent="0.2">
      <c r="A2070" t="s">
        <v>4720</v>
      </c>
      <c r="B2070" t="s">
        <v>4721</v>
      </c>
      <c r="C2070">
        <v>2024</v>
      </c>
      <c r="D2070" s="18">
        <v>45456</v>
      </c>
      <c r="E2070" s="18">
        <v>45820</v>
      </c>
      <c r="F2070" s="18" t="s">
        <v>611</v>
      </c>
      <c r="G2070" t="s">
        <v>99</v>
      </c>
      <c r="H2070">
        <v>2</v>
      </c>
      <c r="I2070">
        <v>2</v>
      </c>
      <c r="J2070" s="27">
        <v>8048.26</v>
      </c>
      <c r="K2070" s="27">
        <v>1000000</v>
      </c>
    </row>
    <row r="2071" spans="1:11" ht="15" customHeight="1" x14ac:dyDescent="0.2">
      <c r="A2071" t="s">
        <v>4722</v>
      </c>
      <c r="B2071" t="s">
        <v>4723</v>
      </c>
      <c r="C2071">
        <v>2024</v>
      </c>
      <c r="D2071" s="18">
        <v>45456</v>
      </c>
      <c r="E2071" s="18">
        <v>45820</v>
      </c>
      <c r="F2071" s="18" t="s">
        <v>611</v>
      </c>
      <c r="G2071" t="s">
        <v>100</v>
      </c>
      <c r="H2071">
        <v>1</v>
      </c>
      <c r="I2071">
        <v>2</v>
      </c>
      <c r="J2071" s="27">
        <v>121029.08</v>
      </c>
      <c r="K2071" s="27">
        <v>10000000</v>
      </c>
    </row>
    <row r="2072" spans="1:11" ht="15" customHeight="1" x14ac:dyDescent="0.2">
      <c r="A2072" t="s">
        <v>4724</v>
      </c>
      <c r="B2072" t="s">
        <v>4725</v>
      </c>
      <c r="C2072">
        <v>2024</v>
      </c>
      <c r="D2072" s="18">
        <v>45456</v>
      </c>
      <c r="E2072" s="18">
        <v>45820</v>
      </c>
      <c r="F2072" s="18" t="s">
        <v>611</v>
      </c>
      <c r="G2072" t="s">
        <v>101</v>
      </c>
      <c r="H2072">
        <v>1</v>
      </c>
      <c r="I2072">
        <v>2</v>
      </c>
      <c r="J2072" s="27">
        <v>59019.34</v>
      </c>
      <c r="K2072" s="27">
        <v>4000000</v>
      </c>
    </row>
    <row r="2073" spans="1:11" ht="15" customHeight="1" x14ac:dyDescent="0.2">
      <c r="A2073" t="s">
        <v>4726</v>
      </c>
      <c r="B2073" t="s">
        <v>4727</v>
      </c>
      <c r="C2073">
        <v>2024</v>
      </c>
      <c r="D2073" s="18">
        <v>45457</v>
      </c>
      <c r="E2073" s="18">
        <v>45821</v>
      </c>
      <c r="F2073" s="18" t="s">
        <v>608</v>
      </c>
      <c r="G2073" t="s">
        <v>99</v>
      </c>
      <c r="H2073">
        <v>1</v>
      </c>
      <c r="I2073">
        <v>1</v>
      </c>
      <c r="J2073" s="27">
        <v>76523.47</v>
      </c>
      <c r="K2073" s="27">
        <v>10000000</v>
      </c>
    </row>
    <row r="2074" spans="1:11" ht="15" customHeight="1" x14ac:dyDescent="0.2">
      <c r="A2074" t="s">
        <v>4728</v>
      </c>
      <c r="B2074" t="s">
        <v>4729</v>
      </c>
      <c r="C2074">
        <v>2024</v>
      </c>
      <c r="D2074" s="18">
        <v>45457</v>
      </c>
      <c r="E2074" s="18">
        <v>45821</v>
      </c>
      <c r="F2074" s="18" t="s">
        <v>611</v>
      </c>
      <c r="G2074" t="s">
        <v>100</v>
      </c>
      <c r="H2074">
        <v>1</v>
      </c>
      <c r="I2074">
        <v>1</v>
      </c>
      <c r="J2074" s="27">
        <v>62750.18</v>
      </c>
      <c r="K2074" s="27">
        <v>5000000</v>
      </c>
    </row>
    <row r="2075" spans="1:11" ht="15" customHeight="1" x14ac:dyDescent="0.2">
      <c r="A2075" t="s">
        <v>4730</v>
      </c>
      <c r="B2075" t="s">
        <v>4731</v>
      </c>
      <c r="C2075">
        <v>2024</v>
      </c>
      <c r="D2075" s="18">
        <v>45457</v>
      </c>
      <c r="E2075" s="18">
        <v>45821</v>
      </c>
      <c r="F2075" s="18" t="s">
        <v>611</v>
      </c>
      <c r="G2075" t="s">
        <v>101</v>
      </c>
      <c r="H2075">
        <v>1</v>
      </c>
      <c r="I2075">
        <v>1</v>
      </c>
      <c r="J2075" s="27">
        <v>48779.49</v>
      </c>
      <c r="K2075" s="27">
        <v>3000000</v>
      </c>
    </row>
    <row r="2076" spans="1:11" ht="15" customHeight="1" x14ac:dyDescent="0.2">
      <c r="A2076" t="s">
        <v>4732</v>
      </c>
      <c r="B2076" t="s">
        <v>4733</v>
      </c>
      <c r="C2076">
        <v>2024</v>
      </c>
      <c r="D2076" s="18">
        <v>45457</v>
      </c>
      <c r="E2076" s="18">
        <v>45821</v>
      </c>
      <c r="F2076" s="18" t="s">
        <v>611</v>
      </c>
      <c r="G2076" t="s">
        <v>102</v>
      </c>
      <c r="H2076">
        <v>2</v>
      </c>
      <c r="I2076">
        <v>2</v>
      </c>
      <c r="J2076" s="27">
        <v>14158.84</v>
      </c>
      <c r="K2076" s="27">
        <v>2000000</v>
      </c>
    </row>
    <row r="2077" spans="1:11" ht="15" customHeight="1" x14ac:dyDescent="0.2">
      <c r="A2077" t="s">
        <v>4734</v>
      </c>
      <c r="B2077" t="s">
        <v>4735</v>
      </c>
      <c r="C2077">
        <v>2024</v>
      </c>
      <c r="D2077" s="18">
        <v>45457</v>
      </c>
      <c r="E2077" s="18">
        <v>45821</v>
      </c>
      <c r="F2077" s="18" t="s">
        <v>611</v>
      </c>
      <c r="G2077" t="s">
        <v>101</v>
      </c>
      <c r="H2077">
        <v>2</v>
      </c>
      <c r="I2077">
        <v>4</v>
      </c>
      <c r="J2077" s="27">
        <v>41330.49</v>
      </c>
      <c r="K2077" s="27">
        <v>2500000</v>
      </c>
    </row>
    <row r="2078" spans="1:11" ht="15" customHeight="1" x14ac:dyDescent="0.2">
      <c r="A2078" t="s">
        <v>4736</v>
      </c>
      <c r="B2078" t="s">
        <v>4737</v>
      </c>
      <c r="C2078">
        <v>2024</v>
      </c>
      <c r="D2078" s="18">
        <v>45457</v>
      </c>
      <c r="E2078" s="18">
        <v>45821</v>
      </c>
      <c r="F2078" s="18" t="s">
        <v>611</v>
      </c>
      <c r="G2078" t="s">
        <v>102</v>
      </c>
      <c r="H2078">
        <v>2</v>
      </c>
      <c r="I2078">
        <v>2</v>
      </c>
      <c r="J2078" s="27">
        <v>23864.97</v>
      </c>
      <c r="K2078" s="27">
        <v>3500000</v>
      </c>
    </row>
    <row r="2079" spans="1:11" ht="15" customHeight="1" x14ac:dyDescent="0.2">
      <c r="A2079" t="s">
        <v>4738</v>
      </c>
      <c r="B2079" t="s">
        <v>4739</v>
      </c>
      <c r="C2079">
        <v>2024</v>
      </c>
      <c r="D2079" s="18">
        <v>45457</v>
      </c>
      <c r="E2079" s="18">
        <v>45821</v>
      </c>
      <c r="F2079" s="18" t="s">
        <v>611</v>
      </c>
      <c r="G2079" t="s">
        <v>101</v>
      </c>
      <c r="H2079">
        <v>1</v>
      </c>
      <c r="I2079">
        <v>2</v>
      </c>
      <c r="J2079" s="27">
        <v>155328.48000000001</v>
      </c>
      <c r="K2079" s="27">
        <v>10000000</v>
      </c>
    </row>
    <row r="2080" spans="1:11" ht="15" customHeight="1" x14ac:dyDescent="0.2">
      <c r="A2080" t="s">
        <v>4740</v>
      </c>
      <c r="B2080" t="s">
        <v>4741</v>
      </c>
      <c r="C2080">
        <v>2024</v>
      </c>
      <c r="D2080" s="18">
        <v>45457</v>
      </c>
      <c r="E2080" s="18">
        <v>45821</v>
      </c>
      <c r="F2080" s="18" t="s">
        <v>611</v>
      </c>
      <c r="G2080" t="s">
        <v>102</v>
      </c>
      <c r="H2080">
        <v>3</v>
      </c>
      <c r="I2080">
        <v>3</v>
      </c>
      <c r="J2080" s="27">
        <v>35379.5</v>
      </c>
      <c r="K2080" s="27">
        <v>5000000</v>
      </c>
    </row>
    <row r="2081" spans="1:11" ht="15" customHeight="1" x14ac:dyDescent="0.2">
      <c r="A2081" t="s">
        <v>4742</v>
      </c>
      <c r="B2081" t="s">
        <v>4743</v>
      </c>
      <c r="C2081">
        <v>2024</v>
      </c>
      <c r="D2081" s="18">
        <v>45457</v>
      </c>
      <c r="E2081" s="18">
        <v>45821</v>
      </c>
      <c r="F2081" s="18" t="s">
        <v>611</v>
      </c>
      <c r="G2081" t="s">
        <v>101</v>
      </c>
      <c r="H2081">
        <v>1</v>
      </c>
      <c r="I2081">
        <v>2</v>
      </c>
      <c r="J2081" s="27">
        <v>59803.77</v>
      </c>
      <c r="K2081" s="27">
        <v>4000000</v>
      </c>
    </row>
    <row r="2082" spans="1:11" ht="15" customHeight="1" x14ac:dyDescent="0.2">
      <c r="A2082" t="s">
        <v>4744</v>
      </c>
      <c r="B2082" t="s">
        <v>4745</v>
      </c>
      <c r="C2082">
        <v>2024</v>
      </c>
      <c r="D2082" s="18">
        <v>45458</v>
      </c>
      <c r="E2082" s="18">
        <v>45822</v>
      </c>
      <c r="F2082" s="18" t="s">
        <v>611</v>
      </c>
      <c r="G2082" t="s">
        <v>100</v>
      </c>
      <c r="H2082">
        <v>1</v>
      </c>
      <c r="I2082">
        <v>1</v>
      </c>
      <c r="J2082" s="27">
        <v>13404.01</v>
      </c>
      <c r="K2082" s="27">
        <v>1000000</v>
      </c>
    </row>
    <row r="2083" spans="1:11" ht="15" customHeight="1" x14ac:dyDescent="0.2">
      <c r="A2083" t="s">
        <v>4746</v>
      </c>
      <c r="B2083" t="s">
        <v>4747</v>
      </c>
      <c r="C2083">
        <v>2024</v>
      </c>
      <c r="D2083" s="18">
        <v>45458</v>
      </c>
      <c r="E2083" s="18">
        <v>45822</v>
      </c>
      <c r="F2083" s="18" t="s">
        <v>611</v>
      </c>
      <c r="G2083" t="s">
        <v>101</v>
      </c>
      <c r="H2083">
        <v>1</v>
      </c>
      <c r="I2083">
        <v>1</v>
      </c>
      <c r="J2083" s="27">
        <v>70733.83</v>
      </c>
      <c r="K2083" s="27">
        <v>5000000</v>
      </c>
    </row>
    <row r="2084" spans="1:11" ht="15" customHeight="1" x14ac:dyDescent="0.2">
      <c r="A2084" t="s">
        <v>4748</v>
      </c>
      <c r="B2084" t="s">
        <v>4749</v>
      </c>
      <c r="C2084">
        <v>2024</v>
      </c>
      <c r="D2084" s="18">
        <v>45458</v>
      </c>
      <c r="E2084" s="18">
        <v>45822</v>
      </c>
      <c r="F2084" s="18" t="s">
        <v>611</v>
      </c>
      <c r="G2084" t="s">
        <v>100</v>
      </c>
      <c r="H2084">
        <v>2</v>
      </c>
      <c r="I2084">
        <v>2</v>
      </c>
      <c r="J2084" s="27">
        <v>55825.24</v>
      </c>
      <c r="K2084" s="27">
        <v>4500000</v>
      </c>
    </row>
    <row r="2085" spans="1:11" ht="15" customHeight="1" x14ac:dyDescent="0.2">
      <c r="A2085" t="s">
        <v>4750</v>
      </c>
      <c r="B2085" t="s">
        <v>4751</v>
      </c>
      <c r="C2085">
        <v>2024</v>
      </c>
      <c r="D2085" s="18">
        <v>45458</v>
      </c>
      <c r="E2085" s="18">
        <v>45822</v>
      </c>
      <c r="F2085" s="18" t="s">
        <v>611</v>
      </c>
      <c r="G2085" t="s">
        <v>100</v>
      </c>
      <c r="H2085">
        <v>3</v>
      </c>
      <c r="I2085">
        <v>3</v>
      </c>
      <c r="J2085" s="27">
        <v>12263.36</v>
      </c>
      <c r="K2085" s="27">
        <v>1000000</v>
      </c>
    </row>
    <row r="2086" spans="1:11" ht="15" customHeight="1" x14ac:dyDescent="0.2">
      <c r="A2086" t="s">
        <v>4752</v>
      </c>
      <c r="B2086" t="s">
        <v>4753</v>
      </c>
      <c r="C2086">
        <v>2024</v>
      </c>
      <c r="D2086" s="18">
        <v>45458</v>
      </c>
      <c r="E2086" s="18">
        <v>45822</v>
      </c>
      <c r="F2086" s="18" t="s">
        <v>611</v>
      </c>
      <c r="G2086" t="s">
        <v>99</v>
      </c>
      <c r="H2086">
        <v>2</v>
      </c>
      <c r="I2086">
        <v>2</v>
      </c>
      <c r="J2086" s="27">
        <v>16946.87</v>
      </c>
      <c r="K2086" s="27">
        <v>2000000</v>
      </c>
    </row>
    <row r="2087" spans="1:11" ht="15" customHeight="1" x14ac:dyDescent="0.2">
      <c r="A2087" t="s">
        <v>4754</v>
      </c>
      <c r="B2087" t="s">
        <v>4755</v>
      </c>
      <c r="C2087">
        <v>2024</v>
      </c>
      <c r="D2087" s="18">
        <v>45458</v>
      </c>
      <c r="E2087" s="18">
        <v>45822</v>
      </c>
      <c r="F2087" s="18" t="s">
        <v>611</v>
      </c>
      <c r="G2087" t="s">
        <v>101</v>
      </c>
      <c r="H2087">
        <v>1</v>
      </c>
      <c r="I2087">
        <v>1</v>
      </c>
      <c r="J2087" s="27">
        <v>72414.23</v>
      </c>
      <c r="K2087" s="27">
        <v>5000000</v>
      </c>
    </row>
    <row r="2088" spans="1:11" ht="15" customHeight="1" x14ac:dyDescent="0.2">
      <c r="A2088" t="s">
        <v>4756</v>
      </c>
      <c r="B2088" t="s">
        <v>4757</v>
      </c>
      <c r="C2088">
        <v>2024</v>
      </c>
      <c r="D2088" s="18">
        <v>45458</v>
      </c>
      <c r="E2088" s="18">
        <v>45822</v>
      </c>
      <c r="F2088" s="18" t="s">
        <v>611</v>
      </c>
      <c r="G2088" t="s">
        <v>99</v>
      </c>
      <c r="H2088">
        <v>3</v>
      </c>
      <c r="I2088">
        <v>6</v>
      </c>
      <c r="J2088" s="27">
        <v>15363.31</v>
      </c>
      <c r="K2088" s="27">
        <v>2000000</v>
      </c>
    </row>
    <row r="2089" spans="1:11" ht="15" customHeight="1" x14ac:dyDescent="0.2">
      <c r="A2089" t="s">
        <v>4758</v>
      </c>
      <c r="B2089" t="s">
        <v>4759</v>
      </c>
      <c r="C2089">
        <v>2024</v>
      </c>
      <c r="D2089" s="18">
        <v>45458</v>
      </c>
      <c r="E2089" s="18">
        <v>45822</v>
      </c>
      <c r="F2089" s="18" t="s">
        <v>611</v>
      </c>
      <c r="G2089" t="s">
        <v>99</v>
      </c>
      <c r="H2089">
        <v>1</v>
      </c>
      <c r="I2089">
        <v>1</v>
      </c>
      <c r="J2089" s="27">
        <v>4497.9799999999996</v>
      </c>
      <c r="K2089" s="27">
        <v>500000</v>
      </c>
    </row>
    <row r="2090" spans="1:11" ht="15" customHeight="1" x14ac:dyDescent="0.2">
      <c r="A2090" t="s">
        <v>4760</v>
      </c>
      <c r="B2090" t="s">
        <v>4761</v>
      </c>
      <c r="C2090">
        <v>2024</v>
      </c>
      <c r="D2090" s="18">
        <v>45458</v>
      </c>
      <c r="E2090" s="18">
        <v>45822</v>
      </c>
      <c r="F2090" s="18" t="s">
        <v>611</v>
      </c>
      <c r="G2090" t="s">
        <v>102</v>
      </c>
      <c r="H2090">
        <v>1</v>
      </c>
      <c r="I2090">
        <v>1</v>
      </c>
      <c r="J2090" s="27">
        <v>26825.29</v>
      </c>
      <c r="K2090" s="27">
        <v>4000000</v>
      </c>
    </row>
    <row r="2091" spans="1:11" ht="15" customHeight="1" x14ac:dyDescent="0.2">
      <c r="A2091" t="s">
        <v>4762</v>
      </c>
      <c r="B2091" t="s">
        <v>4763</v>
      </c>
      <c r="C2091">
        <v>2024</v>
      </c>
      <c r="D2091" s="18">
        <v>45458</v>
      </c>
      <c r="E2091" s="18">
        <v>45822</v>
      </c>
      <c r="F2091" s="18" t="s">
        <v>611</v>
      </c>
      <c r="G2091" t="s">
        <v>100</v>
      </c>
      <c r="H2091">
        <v>2</v>
      </c>
      <c r="I2091">
        <v>2</v>
      </c>
      <c r="J2091" s="27">
        <v>59036.53</v>
      </c>
      <c r="K2091" s="27">
        <v>4500000</v>
      </c>
    </row>
    <row r="2092" spans="1:11" ht="15" customHeight="1" x14ac:dyDescent="0.2">
      <c r="A2092" t="s">
        <v>4764</v>
      </c>
      <c r="B2092" t="s">
        <v>4765</v>
      </c>
      <c r="C2092">
        <v>2024</v>
      </c>
      <c r="D2092" s="18">
        <v>45459</v>
      </c>
      <c r="E2092" s="18">
        <v>45823</v>
      </c>
      <c r="F2092" s="18" t="s">
        <v>608</v>
      </c>
      <c r="G2092" t="s">
        <v>101</v>
      </c>
      <c r="H2092">
        <v>2</v>
      </c>
      <c r="I2092">
        <v>2</v>
      </c>
      <c r="J2092" s="27">
        <v>84659.07</v>
      </c>
      <c r="K2092" s="27">
        <v>5000000</v>
      </c>
    </row>
    <row r="2093" spans="1:11" ht="15" customHeight="1" x14ac:dyDescent="0.2">
      <c r="A2093" t="s">
        <v>4766</v>
      </c>
      <c r="B2093" t="s">
        <v>4767</v>
      </c>
      <c r="C2093">
        <v>2024</v>
      </c>
      <c r="D2093" s="18">
        <v>45459</v>
      </c>
      <c r="E2093" s="18">
        <v>45823</v>
      </c>
      <c r="F2093" s="18" t="s">
        <v>611</v>
      </c>
      <c r="G2093" t="s">
        <v>101</v>
      </c>
      <c r="H2093">
        <v>2</v>
      </c>
      <c r="I2093">
        <v>2</v>
      </c>
      <c r="J2093" s="27">
        <v>44330.43</v>
      </c>
      <c r="K2093" s="27">
        <v>3000000</v>
      </c>
    </row>
    <row r="2094" spans="1:11" ht="15" customHeight="1" x14ac:dyDescent="0.2">
      <c r="A2094" t="s">
        <v>4768</v>
      </c>
      <c r="B2094" t="s">
        <v>4769</v>
      </c>
      <c r="C2094">
        <v>2024</v>
      </c>
      <c r="D2094" s="18">
        <v>45459</v>
      </c>
      <c r="E2094" s="18">
        <v>45823</v>
      </c>
      <c r="F2094" s="18" t="s">
        <v>611</v>
      </c>
      <c r="G2094" t="s">
        <v>100</v>
      </c>
      <c r="H2094">
        <v>2</v>
      </c>
      <c r="I2094">
        <v>2</v>
      </c>
      <c r="J2094" s="27">
        <v>53537.63</v>
      </c>
      <c r="K2094" s="27">
        <v>4000000</v>
      </c>
    </row>
    <row r="2095" spans="1:11" ht="15" customHeight="1" x14ac:dyDescent="0.2">
      <c r="A2095" t="s">
        <v>4770</v>
      </c>
      <c r="B2095" t="s">
        <v>4771</v>
      </c>
      <c r="C2095">
        <v>2024</v>
      </c>
      <c r="D2095" s="18">
        <v>45459</v>
      </c>
      <c r="E2095" s="18">
        <v>45823</v>
      </c>
      <c r="F2095" s="18" t="s">
        <v>611</v>
      </c>
      <c r="G2095" t="s">
        <v>101</v>
      </c>
      <c r="H2095">
        <v>2</v>
      </c>
      <c r="I2095">
        <v>4</v>
      </c>
      <c r="J2095" s="27">
        <v>140956.06</v>
      </c>
      <c r="K2095" s="27">
        <v>10000000</v>
      </c>
    </row>
    <row r="2096" spans="1:11" ht="15" customHeight="1" x14ac:dyDescent="0.2">
      <c r="A2096" t="s">
        <v>4772</v>
      </c>
      <c r="B2096" t="s">
        <v>4773</v>
      </c>
      <c r="C2096">
        <v>2024</v>
      </c>
      <c r="D2096" s="18">
        <v>45459</v>
      </c>
      <c r="E2096" s="18">
        <v>45823</v>
      </c>
      <c r="F2096" s="18" t="s">
        <v>611</v>
      </c>
      <c r="G2096" t="s">
        <v>99</v>
      </c>
      <c r="H2096">
        <v>2</v>
      </c>
      <c r="I2096">
        <v>2</v>
      </c>
      <c r="J2096" s="27">
        <v>41351.4</v>
      </c>
      <c r="K2096" s="27">
        <v>5000000</v>
      </c>
    </row>
    <row r="2097" spans="1:11" ht="15" customHeight="1" x14ac:dyDescent="0.2">
      <c r="A2097" t="s">
        <v>4774</v>
      </c>
      <c r="B2097" t="s">
        <v>4775</v>
      </c>
      <c r="C2097">
        <v>2024</v>
      </c>
      <c r="D2097" s="18">
        <v>45460</v>
      </c>
      <c r="E2097" s="18">
        <v>45824</v>
      </c>
      <c r="F2097" s="18" t="s">
        <v>608</v>
      </c>
      <c r="G2097" t="s">
        <v>99</v>
      </c>
      <c r="H2097">
        <v>1</v>
      </c>
      <c r="I2097">
        <v>2</v>
      </c>
      <c r="J2097" s="27">
        <v>22892.21</v>
      </c>
      <c r="K2097" s="27">
        <v>3000000</v>
      </c>
    </row>
    <row r="2098" spans="1:11" ht="15" customHeight="1" x14ac:dyDescent="0.2">
      <c r="A2098" t="s">
        <v>4776</v>
      </c>
      <c r="B2098" t="s">
        <v>4777</v>
      </c>
      <c r="C2098">
        <v>2024</v>
      </c>
      <c r="D2098" s="18">
        <v>45460</v>
      </c>
      <c r="E2098" s="18">
        <v>45824</v>
      </c>
      <c r="F2098" s="18" t="s">
        <v>611</v>
      </c>
      <c r="G2098" t="s">
        <v>101</v>
      </c>
      <c r="H2098">
        <v>2</v>
      </c>
      <c r="I2098">
        <v>2</v>
      </c>
      <c r="J2098" s="27">
        <v>74538.48</v>
      </c>
      <c r="K2098" s="27">
        <v>5000000</v>
      </c>
    </row>
    <row r="2099" spans="1:11" ht="15" customHeight="1" x14ac:dyDescent="0.2">
      <c r="A2099" t="s">
        <v>4778</v>
      </c>
      <c r="B2099" t="s">
        <v>4779</v>
      </c>
      <c r="C2099">
        <v>2024</v>
      </c>
      <c r="D2099" s="18">
        <v>45460</v>
      </c>
      <c r="E2099" s="18">
        <v>45824</v>
      </c>
      <c r="F2099" s="18" t="s">
        <v>611</v>
      </c>
      <c r="G2099" t="s">
        <v>101</v>
      </c>
      <c r="H2099">
        <v>1</v>
      </c>
      <c r="I2099">
        <v>1</v>
      </c>
      <c r="J2099" s="27">
        <v>68108.160000000003</v>
      </c>
      <c r="K2099" s="27">
        <v>4000000</v>
      </c>
    </row>
    <row r="2100" spans="1:11" ht="15" customHeight="1" x14ac:dyDescent="0.2">
      <c r="A2100" t="s">
        <v>4780</v>
      </c>
      <c r="B2100" t="s">
        <v>4781</v>
      </c>
      <c r="C2100">
        <v>2024</v>
      </c>
      <c r="D2100" s="18">
        <v>45460</v>
      </c>
      <c r="E2100" s="18">
        <v>45824</v>
      </c>
      <c r="F2100" s="18" t="s">
        <v>611</v>
      </c>
      <c r="G2100" t="s">
        <v>99</v>
      </c>
      <c r="H2100">
        <v>1</v>
      </c>
      <c r="I2100">
        <v>2</v>
      </c>
      <c r="J2100" s="27">
        <v>16624.740000000002</v>
      </c>
      <c r="K2100" s="27">
        <v>2000000</v>
      </c>
    </row>
    <row r="2101" spans="1:11" ht="15" customHeight="1" x14ac:dyDescent="0.2">
      <c r="A2101" t="s">
        <v>4782</v>
      </c>
      <c r="B2101" t="s">
        <v>4783</v>
      </c>
      <c r="C2101">
        <v>2024</v>
      </c>
      <c r="D2101" s="18">
        <v>45460</v>
      </c>
      <c r="E2101" s="18">
        <v>45824</v>
      </c>
      <c r="F2101" s="18" t="s">
        <v>611</v>
      </c>
      <c r="G2101" t="s">
        <v>100</v>
      </c>
      <c r="H2101">
        <v>1</v>
      </c>
      <c r="I2101">
        <v>1</v>
      </c>
      <c r="J2101" s="27">
        <v>43910.53</v>
      </c>
      <c r="K2101" s="27">
        <v>3500000</v>
      </c>
    </row>
    <row r="2102" spans="1:11" ht="15" customHeight="1" x14ac:dyDescent="0.2">
      <c r="A2102" t="s">
        <v>4784</v>
      </c>
      <c r="B2102" t="s">
        <v>4785</v>
      </c>
      <c r="C2102">
        <v>2024</v>
      </c>
      <c r="D2102" s="18">
        <v>45461</v>
      </c>
      <c r="E2102" s="18">
        <v>45825</v>
      </c>
      <c r="F2102" s="18" t="s">
        <v>608</v>
      </c>
      <c r="G2102" t="s">
        <v>101</v>
      </c>
      <c r="H2102">
        <v>1</v>
      </c>
      <c r="I2102">
        <v>1</v>
      </c>
      <c r="J2102" s="27">
        <v>64892.75</v>
      </c>
      <c r="K2102" s="27">
        <v>4000000</v>
      </c>
    </row>
    <row r="2103" spans="1:11" ht="15" customHeight="1" x14ac:dyDescent="0.2">
      <c r="A2103" t="s">
        <v>4786</v>
      </c>
      <c r="B2103" t="s">
        <v>4787</v>
      </c>
      <c r="C2103">
        <v>2024</v>
      </c>
      <c r="D2103" s="18">
        <v>45461</v>
      </c>
      <c r="E2103" s="18">
        <v>45825</v>
      </c>
      <c r="F2103" s="18" t="s">
        <v>608</v>
      </c>
      <c r="G2103" t="s">
        <v>99</v>
      </c>
      <c r="H2103">
        <v>2</v>
      </c>
      <c r="I2103">
        <v>4</v>
      </c>
      <c r="J2103" s="27">
        <v>4544.8999999999996</v>
      </c>
      <c r="K2103" s="27">
        <v>500000</v>
      </c>
    </row>
    <row r="2104" spans="1:11" ht="15" customHeight="1" x14ac:dyDescent="0.2">
      <c r="A2104" t="s">
        <v>4788</v>
      </c>
      <c r="B2104" t="s">
        <v>4789</v>
      </c>
      <c r="C2104">
        <v>2024</v>
      </c>
      <c r="D2104" s="18">
        <v>45461</v>
      </c>
      <c r="E2104" s="18">
        <v>45825</v>
      </c>
      <c r="F2104" s="18" t="s">
        <v>611</v>
      </c>
      <c r="G2104" t="s">
        <v>101</v>
      </c>
      <c r="H2104">
        <v>1</v>
      </c>
      <c r="I2104">
        <v>2</v>
      </c>
      <c r="J2104" s="27">
        <v>33859.5</v>
      </c>
      <c r="K2104" s="27">
        <v>2000000</v>
      </c>
    </row>
    <row r="2105" spans="1:11" ht="15" customHeight="1" x14ac:dyDescent="0.2">
      <c r="A2105" t="s">
        <v>4790</v>
      </c>
      <c r="B2105" t="s">
        <v>4791</v>
      </c>
      <c r="C2105">
        <v>2024</v>
      </c>
      <c r="D2105" s="18">
        <v>45461</v>
      </c>
      <c r="E2105" s="18">
        <v>45825</v>
      </c>
      <c r="F2105" s="18" t="s">
        <v>611</v>
      </c>
      <c r="G2105" t="s">
        <v>101</v>
      </c>
      <c r="H2105">
        <v>3</v>
      </c>
      <c r="I2105">
        <v>3</v>
      </c>
      <c r="J2105" s="27">
        <v>70837.23</v>
      </c>
      <c r="K2105" s="27">
        <v>4500000</v>
      </c>
    </row>
    <row r="2106" spans="1:11" ht="15" customHeight="1" x14ac:dyDescent="0.2">
      <c r="A2106" t="s">
        <v>4792</v>
      </c>
      <c r="B2106" t="s">
        <v>4793</v>
      </c>
      <c r="C2106">
        <v>2024</v>
      </c>
      <c r="D2106" s="18">
        <v>45461</v>
      </c>
      <c r="E2106" s="18">
        <v>45825</v>
      </c>
      <c r="F2106" s="18" t="s">
        <v>611</v>
      </c>
      <c r="G2106" t="s">
        <v>102</v>
      </c>
      <c r="H2106">
        <v>1</v>
      </c>
      <c r="I2106">
        <v>1</v>
      </c>
      <c r="J2106" s="27">
        <v>24050.240000000002</v>
      </c>
      <c r="K2106" s="27">
        <v>3000000</v>
      </c>
    </row>
    <row r="2107" spans="1:11" ht="15" customHeight="1" x14ac:dyDescent="0.2">
      <c r="A2107" t="s">
        <v>4794</v>
      </c>
      <c r="B2107" t="s">
        <v>4795</v>
      </c>
      <c r="C2107">
        <v>2024</v>
      </c>
      <c r="D2107" s="18">
        <v>45461</v>
      </c>
      <c r="E2107" s="18">
        <v>45825</v>
      </c>
      <c r="F2107" s="18" t="s">
        <v>611</v>
      </c>
      <c r="G2107" t="s">
        <v>100</v>
      </c>
      <c r="H2107">
        <v>2</v>
      </c>
      <c r="I2107">
        <v>2</v>
      </c>
      <c r="J2107" s="27">
        <v>112880.28</v>
      </c>
      <c r="K2107" s="27">
        <v>10000000</v>
      </c>
    </row>
    <row r="2108" spans="1:11" ht="15" customHeight="1" x14ac:dyDescent="0.2">
      <c r="A2108" t="s">
        <v>4796</v>
      </c>
      <c r="B2108" t="s">
        <v>4797</v>
      </c>
      <c r="C2108">
        <v>2024</v>
      </c>
      <c r="D2108" s="18">
        <v>45461</v>
      </c>
      <c r="E2108" s="18">
        <v>45825</v>
      </c>
      <c r="F2108" s="18" t="s">
        <v>611</v>
      </c>
      <c r="G2108" t="s">
        <v>101</v>
      </c>
      <c r="H2108">
        <v>3</v>
      </c>
      <c r="I2108">
        <v>6</v>
      </c>
      <c r="J2108" s="27">
        <v>48268.78</v>
      </c>
      <c r="K2108" s="27">
        <v>3000000</v>
      </c>
    </row>
    <row r="2109" spans="1:11" ht="15" customHeight="1" x14ac:dyDescent="0.2">
      <c r="A2109" t="s">
        <v>4798</v>
      </c>
      <c r="B2109" t="s">
        <v>4799</v>
      </c>
      <c r="C2109">
        <v>2024</v>
      </c>
      <c r="D2109" s="18">
        <v>45461</v>
      </c>
      <c r="E2109" s="18">
        <v>45825</v>
      </c>
      <c r="F2109" s="18" t="s">
        <v>611</v>
      </c>
      <c r="G2109" t="s">
        <v>99</v>
      </c>
      <c r="H2109">
        <v>3</v>
      </c>
      <c r="I2109">
        <v>3</v>
      </c>
      <c r="J2109" s="27">
        <v>22846.99</v>
      </c>
      <c r="K2109" s="27">
        <v>2500000</v>
      </c>
    </row>
    <row r="2110" spans="1:11" ht="15" customHeight="1" x14ac:dyDescent="0.2">
      <c r="A2110" t="s">
        <v>4800</v>
      </c>
      <c r="B2110" t="s">
        <v>4801</v>
      </c>
      <c r="C2110">
        <v>2024</v>
      </c>
      <c r="D2110" s="18">
        <v>45462</v>
      </c>
      <c r="E2110" s="18">
        <v>45826</v>
      </c>
      <c r="F2110" s="18" t="s">
        <v>608</v>
      </c>
      <c r="G2110" t="s">
        <v>100</v>
      </c>
      <c r="H2110">
        <v>2</v>
      </c>
      <c r="I2110">
        <v>4</v>
      </c>
      <c r="J2110" s="27">
        <v>47482.879999999997</v>
      </c>
      <c r="K2110" s="27">
        <v>4000000</v>
      </c>
    </row>
    <row r="2111" spans="1:11" ht="15" customHeight="1" x14ac:dyDescent="0.2">
      <c r="A2111" t="s">
        <v>4802</v>
      </c>
      <c r="B2111" t="s">
        <v>4803</v>
      </c>
      <c r="C2111">
        <v>2024</v>
      </c>
      <c r="D2111" s="18">
        <v>45462</v>
      </c>
      <c r="E2111" s="18">
        <v>45826</v>
      </c>
      <c r="F2111" s="18" t="s">
        <v>611</v>
      </c>
      <c r="G2111" t="s">
        <v>101</v>
      </c>
      <c r="H2111">
        <v>2</v>
      </c>
      <c r="I2111">
        <v>4</v>
      </c>
      <c r="J2111" s="27">
        <v>73821.740000000005</v>
      </c>
      <c r="K2111" s="27">
        <v>4500000</v>
      </c>
    </row>
    <row r="2112" spans="1:11" ht="15" customHeight="1" x14ac:dyDescent="0.2">
      <c r="A2112" t="s">
        <v>4804</v>
      </c>
      <c r="B2112" t="s">
        <v>4805</v>
      </c>
      <c r="C2112">
        <v>2024</v>
      </c>
      <c r="D2112" s="18">
        <v>45462</v>
      </c>
      <c r="E2112" s="18">
        <v>45826</v>
      </c>
      <c r="F2112" s="18" t="s">
        <v>611</v>
      </c>
      <c r="G2112" t="s">
        <v>99</v>
      </c>
      <c r="H2112">
        <v>1</v>
      </c>
      <c r="I2112">
        <v>2</v>
      </c>
      <c r="J2112" s="27">
        <v>82894.13</v>
      </c>
      <c r="K2112" s="27">
        <v>10000000</v>
      </c>
    </row>
    <row r="2113" spans="1:11" ht="15" customHeight="1" x14ac:dyDescent="0.2">
      <c r="A2113" t="s">
        <v>4806</v>
      </c>
      <c r="B2113" t="s">
        <v>4807</v>
      </c>
      <c r="C2113">
        <v>2024</v>
      </c>
      <c r="D2113" s="18">
        <v>45462</v>
      </c>
      <c r="E2113" s="18">
        <v>45826</v>
      </c>
      <c r="F2113" s="18" t="s">
        <v>611</v>
      </c>
      <c r="G2113" t="s">
        <v>99</v>
      </c>
      <c r="H2113">
        <v>1</v>
      </c>
      <c r="I2113">
        <v>2</v>
      </c>
      <c r="J2113" s="27">
        <v>84108.28</v>
      </c>
      <c r="K2113" s="27">
        <v>10000000</v>
      </c>
    </row>
    <row r="2114" spans="1:11" ht="15" customHeight="1" x14ac:dyDescent="0.2">
      <c r="A2114" t="s">
        <v>4808</v>
      </c>
      <c r="B2114" t="s">
        <v>4809</v>
      </c>
      <c r="C2114">
        <v>2024</v>
      </c>
      <c r="D2114" s="18">
        <v>45462</v>
      </c>
      <c r="E2114" s="18">
        <v>45826</v>
      </c>
      <c r="F2114" s="18" t="s">
        <v>611</v>
      </c>
      <c r="G2114" t="s">
        <v>102</v>
      </c>
      <c r="H2114">
        <v>2</v>
      </c>
      <c r="I2114">
        <v>2</v>
      </c>
      <c r="J2114" s="27">
        <v>14799.72</v>
      </c>
      <c r="K2114" s="27">
        <v>2000000</v>
      </c>
    </row>
    <row r="2115" spans="1:11" ht="15" customHeight="1" x14ac:dyDescent="0.2">
      <c r="A2115" t="s">
        <v>4810</v>
      </c>
      <c r="B2115" t="s">
        <v>4811</v>
      </c>
      <c r="C2115">
        <v>2024</v>
      </c>
      <c r="D2115" s="18">
        <v>45462</v>
      </c>
      <c r="E2115" s="18">
        <v>45826</v>
      </c>
      <c r="F2115" s="18" t="s">
        <v>611</v>
      </c>
      <c r="G2115" t="s">
        <v>102</v>
      </c>
      <c r="H2115">
        <v>1</v>
      </c>
      <c r="I2115">
        <v>1</v>
      </c>
      <c r="J2115" s="27">
        <v>31107.98</v>
      </c>
      <c r="K2115" s="27">
        <v>4000000</v>
      </c>
    </row>
    <row r="2116" spans="1:11" ht="15" customHeight="1" x14ac:dyDescent="0.2">
      <c r="A2116" t="s">
        <v>4812</v>
      </c>
      <c r="B2116" t="s">
        <v>4813</v>
      </c>
      <c r="C2116">
        <v>2024</v>
      </c>
      <c r="D2116" s="18">
        <v>45462</v>
      </c>
      <c r="E2116" s="18">
        <v>45826</v>
      </c>
      <c r="F2116" s="18" t="s">
        <v>611</v>
      </c>
      <c r="G2116" t="s">
        <v>101</v>
      </c>
      <c r="H2116">
        <v>3</v>
      </c>
      <c r="I2116">
        <v>3</v>
      </c>
      <c r="J2116" s="27">
        <v>66826.009999999995</v>
      </c>
      <c r="K2116" s="27">
        <v>4500000</v>
      </c>
    </row>
    <row r="2117" spans="1:11" ht="15" customHeight="1" x14ac:dyDescent="0.2">
      <c r="A2117" t="s">
        <v>4814</v>
      </c>
      <c r="B2117" t="s">
        <v>4815</v>
      </c>
      <c r="C2117">
        <v>2024</v>
      </c>
      <c r="D2117" s="18">
        <v>45462</v>
      </c>
      <c r="E2117" s="18">
        <v>45826</v>
      </c>
      <c r="F2117" s="18" t="s">
        <v>611</v>
      </c>
      <c r="G2117" t="s">
        <v>100</v>
      </c>
      <c r="H2117">
        <v>2</v>
      </c>
      <c r="I2117">
        <v>4</v>
      </c>
      <c r="J2117" s="27">
        <v>129096.11</v>
      </c>
      <c r="K2117" s="27">
        <v>10000000</v>
      </c>
    </row>
    <row r="2118" spans="1:11" ht="15" customHeight="1" x14ac:dyDescent="0.2">
      <c r="A2118" t="s">
        <v>4816</v>
      </c>
      <c r="B2118" t="s">
        <v>4817</v>
      </c>
      <c r="C2118">
        <v>2024</v>
      </c>
      <c r="D2118" s="18">
        <v>45463</v>
      </c>
      <c r="E2118" s="18">
        <v>45827</v>
      </c>
      <c r="F2118" s="18" t="s">
        <v>608</v>
      </c>
      <c r="G2118" t="s">
        <v>100</v>
      </c>
      <c r="H2118">
        <v>1</v>
      </c>
      <c r="I2118">
        <v>1</v>
      </c>
      <c r="J2118" s="27">
        <v>134509.07</v>
      </c>
      <c r="K2118" s="27">
        <v>10000000</v>
      </c>
    </row>
    <row r="2119" spans="1:11" ht="15" customHeight="1" x14ac:dyDescent="0.2">
      <c r="A2119" t="s">
        <v>4818</v>
      </c>
      <c r="B2119" t="s">
        <v>4819</v>
      </c>
      <c r="C2119">
        <v>2024</v>
      </c>
      <c r="D2119" s="18">
        <v>45463</v>
      </c>
      <c r="E2119" s="18">
        <v>45827</v>
      </c>
      <c r="F2119" s="18" t="s">
        <v>611</v>
      </c>
      <c r="G2119" t="s">
        <v>99</v>
      </c>
      <c r="H2119">
        <v>2</v>
      </c>
      <c r="I2119">
        <v>2</v>
      </c>
      <c r="J2119" s="27">
        <v>31047.5</v>
      </c>
      <c r="K2119" s="27">
        <v>4000000</v>
      </c>
    </row>
    <row r="2120" spans="1:11" ht="15" customHeight="1" x14ac:dyDescent="0.2">
      <c r="A2120" t="s">
        <v>4820</v>
      </c>
      <c r="B2120" t="s">
        <v>4821</v>
      </c>
      <c r="C2120">
        <v>2024</v>
      </c>
      <c r="D2120" s="18">
        <v>45463</v>
      </c>
      <c r="E2120" s="18">
        <v>45827</v>
      </c>
      <c r="F2120" s="18" t="s">
        <v>611</v>
      </c>
      <c r="G2120" t="s">
        <v>102</v>
      </c>
      <c r="H2120">
        <v>3</v>
      </c>
      <c r="I2120">
        <v>3</v>
      </c>
      <c r="J2120" s="27">
        <v>34028.980000000003</v>
      </c>
      <c r="K2120" s="27">
        <v>5000000</v>
      </c>
    </row>
    <row r="2121" spans="1:11" ht="15" customHeight="1" x14ac:dyDescent="0.2">
      <c r="A2121" t="s">
        <v>4822</v>
      </c>
      <c r="B2121" t="s">
        <v>4823</v>
      </c>
      <c r="C2121">
        <v>2024</v>
      </c>
      <c r="D2121" s="18">
        <v>45463</v>
      </c>
      <c r="E2121" s="18">
        <v>45827</v>
      </c>
      <c r="F2121" s="18" t="s">
        <v>611</v>
      </c>
      <c r="G2121" t="s">
        <v>99</v>
      </c>
      <c r="H2121">
        <v>1</v>
      </c>
      <c r="I2121">
        <v>1</v>
      </c>
      <c r="J2121" s="27">
        <v>38483.78</v>
      </c>
      <c r="K2121" s="27">
        <v>5000000</v>
      </c>
    </row>
    <row r="2122" spans="1:11" ht="15" customHeight="1" x14ac:dyDescent="0.2">
      <c r="A2122" t="s">
        <v>4824</v>
      </c>
      <c r="B2122" t="s">
        <v>4825</v>
      </c>
      <c r="C2122">
        <v>2024</v>
      </c>
      <c r="D2122" s="18">
        <v>45463</v>
      </c>
      <c r="E2122" s="18">
        <v>45827</v>
      </c>
      <c r="F2122" s="18" t="s">
        <v>611</v>
      </c>
      <c r="G2122" t="s">
        <v>101</v>
      </c>
      <c r="H2122">
        <v>2</v>
      </c>
      <c r="I2122">
        <v>2</v>
      </c>
      <c r="J2122" s="27">
        <v>29949.67</v>
      </c>
      <c r="K2122" s="27">
        <v>2000000</v>
      </c>
    </row>
    <row r="2123" spans="1:11" ht="15" customHeight="1" x14ac:dyDescent="0.2">
      <c r="A2123" t="s">
        <v>4826</v>
      </c>
      <c r="B2123" t="s">
        <v>4827</v>
      </c>
      <c r="C2123">
        <v>2024</v>
      </c>
      <c r="D2123" s="18">
        <v>45463</v>
      </c>
      <c r="E2123" s="18">
        <v>45827</v>
      </c>
      <c r="F2123" s="18" t="s">
        <v>611</v>
      </c>
      <c r="G2123" t="s">
        <v>99</v>
      </c>
      <c r="H2123">
        <v>1</v>
      </c>
      <c r="I2123">
        <v>2</v>
      </c>
      <c r="J2123" s="27">
        <v>33858.230000000003</v>
      </c>
      <c r="K2123" s="27">
        <v>4000000</v>
      </c>
    </row>
    <row r="2124" spans="1:11" ht="15" customHeight="1" x14ac:dyDescent="0.2">
      <c r="A2124" t="s">
        <v>4828</v>
      </c>
      <c r="B2124" t="s">
        <v>4829</v>
      </c>
      <c r="C2124">
        <v>2024</v>
      </c>
      <c r="D2124" s="18">
        <v>45463</v>
      </c>
      <c r="E2124" s="18">
        <v>45827</v>
      </c>
      <c r="F2124" s="18" t="s">
        <v>611</v>
      </c>
      <c r="G2124" t="s">
        <v>100</v>
      </c>
      <c r="H2124">
        <v>2</v>
      </c>
      <c r="I2124">
        <v>2</v>
      </c>
      <c r="J2124" s="27">
        <v>12989.93</v>
      </c>
      <c r="K2124" s="27">
        <v>1000000</v>
      </c>
    </row>
    <row r="2125" spans="1:11" ht="15" customHeight="1" x14ac:dyDescent="0.2">
      <c r="A2125" t="s">
        <v>4830</v>
      </c>
      <c r="B2125" t="s">
        <v>4831</v>
      </c>
      <c r="C2125">
        <v>2024</v>
      </c>
      <c r="D2125" s="18">
        <v>45463</v>
      </c>
      <c r="E2125" s="18">
        <v>45827</v>
      </c>
      <c r="F2125" s="18" t="s">
        <v>611</v>
      </c>
      <c r="G2125" t="s">
        <v>102</v>
      </c>
      <c r="H2125">
        <v>1</v>
      </c>
      <c r="I2125">
        <v>1</v>
      </c>
      <c r="J2125" s="27">
        <v>37935.980000000003</v>
      </c>
      <c r="K2125" s="27">
        <v>5000000</v>
      </c>
    </row>
    <row r="2126" spans="1:11" ht="15" customHeight="1" x14ac:dyDescent="0.2">
      <c r="A2126" t="s">
        <v>4832</v>
      </c>
      <c r="B2126" t="s">
        <v>4833</v>
      </c>
      <c r="C2126">
        <v>2024</v>
      </c>
      <c r="D2126" s="18">
        <v>45463</v>
      </c>
      <c r="E2126" s="18">
        <v>45827</v>
      </c>
      <c r="F2126" s="18" t="s">
        <v>611</v>
      </c>
      <c r="G2126" t="s">
        <v>102</v>
      </c>
      <c r="H2126">
        <v>1</v>
      </c>
      <c r="I2126">
        <v>2</v>
      </c>
      <c r="J2126" s="27">
        <v>39691.79</v>
      </c>
      <c r="K2126" s="27">
        <v>5000000</v>
      </c>
    </row>
    <row r="2127" spans="1:11" ht="15" customHeight="1" x14ac:dyDescent="0.2">
      <c r="A2127" t="s">
        <v>4834</v>
      </c>
      <c r="B2127" t="s">
        <v>4835</v>
      </c>
      <c r="C2127">
        <v>2024</v>
      </c>
      <c r="D2127" s="18">
        <v>45463</v>
      </c>
      <c r="E2127" s="18">
        <v>45827</v>
      </c>
      <c r="F2127" s="18" t="s">
        <v>611</v>
      </c>
      <c r="G2127" t="s">
        <v>101</v>
      </c>
      <c r="H2127">
        <v>1</v>
      </c>
      <c r="I2127">
        <v>2</v>
      </c>
      <c r="J2127" s="27">
        <v>153305.47</v>
      </c>
      <c r="K2127" s="27">
        <v>10000000</v>
      </c>
    </row>
    <row r="2128" spans="1:11" ht="15" customHeight="1" x14ac:dyDescent="0.2">
      <c r="A2128" t="s">
        <v>4836</v>
      </c>
      <c r="B2128" t="s">
        <v>4837</v>
      </c>
      <c r="C2128">
        <v>2024</v>
      </c>
      <c r="D2128" s="18">
        <v>45464</v>
      </c>
      <c r="E2128" s="18">
        <v>45828</v>
      </c>
      <c r="F2128" s="18" t="s">
        <v>608</v>
      </c>
      <c r="G2128" t="s">
        <v>99</v>
      </c>
      <c r="H2128">
        <v>2</v>
      </c>
      <c r="I2128">
        <v>2</v>
      </c>
      <c r="J2128" s="27">
        <v>12173.11</v>
      </c>
      <c r="K2128" s="27">
        <v>1500000</v>
      </c>
    </row>
    <row r="2129" spans="1:11" ht="15" customHeight="1" x14ac:dyDescent="0.2">
      <c r="A2129" t="s">
        <v>4838</v>
      </c>
      <c r="B2129" t="s">
        <v>4839</v>
      </c>
      <c r="C2129">
        <v>2024</v>
      </c>
      <c r="D2129" s="18">
        <v>45464</v>
      </c>
      <c r="E2129" s="18">
        <v>45828</v>
      </c>
      <c r="F2129" s="18" t="s">
        <v>608</v>
      </c>
      <c r="G2129" t="s">
        <v>99</v>
      </c>
      <c r="H2129">
        <v>2</v>
      </c>
      <c r="I2129">
        <v>4</v>
      </c>
      <c r="J2129" s="27">
        <v>32445.88</v>
      </c>
      <c r="K2129" s="27">
        <v>4000000</v>
      </c>
    </row>
    <row r="2130" spans="1:11" ht="15" customHeight="1" x14ac:dyDescent="0.2">
      <c r="A2130" t="s">
        <v>4840</v>
      </c>
      <c r="B2130" t="s">
        <v>4841</v>
      </c>
      <c r="C2130">
        <v>2024</v>
      </c>
      <c r="D2130" s="18">
        <v>45464</v>
      </c>
      <c r="E2130" s="18">
        <v>45828</v>
      </c>
      <c r="F2130" s="18" t="s">
        <v>608</v>
      </c>
      <c r="G2130" t="s">
        <v>100</v>
      </c>
      <c r="H2130">
        <v>3</v>
      </c>
      <c r="I2130">
        <v>3</v>
      </c>
      <c r="J2130" s="27">
        <v>52139.89</v>
      </c>
      <c r="K2130" s="27">
        <v>4500000</v>
      </c>
    </row>
    <row r="2131" spans="1:11" ht="15" customHeight="1" x14ac:dyDescent="0.2">
      <c r="A2131" t="s">
        <v>4842</v>
      </c>
      <c r="B2131" t="s">
        <v>4843</v>
      </c>
      <c r="C2131">
        <v>2024</v>
      </c>
      <c r="D2131" s="18">
        <v>45464</v>
      </c>
      <c r="E2131" s="18">
        <v>45828</v>
      </c>
      <c r="F2131" s="18" t="s">
        <v>611</v>
      </c>
      <c r="G2131" t="s">
        <v>100</v>
      </c>
      <c r="H2131">
        <v>1</v>
      </c>
      <c r="I2131">
        <v>1</v>
      </c>
      <c r="J2131" s="27">
        <v>12540.46</v>
      </c>
      <c r="K2131" s="27">
        <v>1000000</v>
      </c>
    </row>
    <row r="2132" spans="1:11" ht="15" customHeight="1" x14ac:dyDescent="0.2">
      <c r="A2132" t="s">
        <v>4844</v>
      </c>
      <c r="B2132" t="s">
        <v>4845</v>
      </c>
      <c r="C2132">
        <v>2024</v>
      </c>
      <c r="D2132" s="18">
        <v>45464</v>
      </c>
      <c r="E2132" s="18">
        <v>45828</v>
      </c>
      <c r="F2132" s="18" t="s">
        <v>611</v>
      </c>
      <c r="G2132" t="s">
        <v>99</v>
      </c>
      <c r="H2132">
        <v>1</v>
      </c>
      <c r="I2132">
        <v>1</v>
      </c>
      <c r="J2132" s="27">
        <v>36007.29</v>
      </c>
      <c r="K2132" s="27">
        <v>4000000</v>
      </c>
    </row>
    <row r="2133" spans="1:11" ht="15" customHeight="1" x14ac:dyDescent="0.2">
      <c r="A2133" t="s">
        <v>4846</v>
      </c>
      <c r="B2133" t="s">
        <v>4847</v>
      </c>
      <c r="C2133">
        <v>2024</v>
      </c>
      <c r="D2133" s="18">
        <v>45464</v>
      </c>
      <c r="E2133" s="18">
        <v>45828</v>
      </c>
      <c r="F2133" s="18" t="s">
        <v>611</v>
      </c>
      <c r="G2133" t="s">
        <v>101</v>
      </c>
      <c r="H2133">
        <v>3</v>
      </c>
      <c r="I2133">
        <v>3</v>
      </c>
      <c r="J2133" s="27">
        <v>61076.09</v>
      </c>
      <c r="K2133" s="27">
        <v>4000000</v>
      </c>
    </row>
    <row r="2134" spans="1:11" ht="15" customHeight="1" x14ac:dyDescent="0.2">
      <c r="A2134" t="s">
        <v>4848</v>
      </c>
      <c r="B2134" t="s">
        <v>4849</v>
      </c>
      <c r="C2134">
        <v>2024</v>
      </c>
      <c r="D2134" s="18">
        <v>45464</v>
      </c>
      <c r="E2134" s="18">
        <v>45828</v>
      </c>
      <c r="F2134" s="18" t="s">
        <v>611</v>
      </c>
      <c r="G2134" t="s">
        <v>100</v>
      </c>
      <c r="H2134">
        <v>2</v>
      </c>
      <c r="I2134">
        <v>4</v>
      </c>
      <c r="J2134" s="27">
        <v>57198.55</v>
      </c>
      <c r="K2134" s="27">
        <v>5000000</v>
      </c>
    </row>
    <row r="2135" spans="1:11" ht="15" customHeight="1" x14ac:dyDescent="0.2">
      <c r="A2135" t="s">
        <v>4850</v>
      </c>
      <c r="B2135" t="s">
        <v>4851</v>
      </c>
      <c r="C2135">
        <v>2024</v>
      </c>
      <c r="D2135" s="18">
        <v>45464</v>
      </c>
      <c r="E2135" s="18">
        <v>45828</v>
      </c>
      <c r="F2135" s="18" t="s">
        <v>611</v>
      </c>
      <c r="G2135" t="s">
        <v>101</v>
      </c>
      <c r="H2135">
        <v>1</v>
      </c>
      <c r="I2135">
        <v>1</v>
      </c>
      <c r="J2135" s="27">
        <v>45033.42</v>
      </c>
      <c r="K2135" s="27">
        <v>3000000</v>
      </c>
    </row>
    <row r="2136" spans="1:11" ht="15" customHeight="1" x14ac:dyDescent="0.2">
      <c r="A2136" t="s">
        <v>4852</v>
      </c>
      <c r="B2136" t="s">
        <v>4853</v>
      </c>
      <c r="C2136">
        <v>2024</v>
      </c>
      <c r="D2136" s="18">
        <v>45465</v>
      </c>
      <c r="E2136" s="18">
        <v>45829</v>
      </c>
      <c r="F2136" s="18" t="s">
        <v>608</v>
      </c>
      <c r="G2136" t="s">
        <v>101</v>
      </c>
      <c r="H2136">
        <v>1</v>
      </c>
      <c r="I2136">
        <v>1</v>
      </c>
      <c r="J2136" s="27">
        <v>80748.86</v>
      </c>
      <c r="K2136" s="27">
        <v>5000000</v>
      </c>
    </row>
    <row r="2137" spans="1:11" ht="15" customHeight="1" x14ac:dyDescent="0.2">
      <c r="A2137" t="s">
        <v>4854</v>
      </c>
      <c r="B2137" t="s">
        <v>4855</v>
      </c>
      <c r="C2137">
        <v>2024</v>
      </c>
      <c r="D2137" s="18">
        <v>45465</v>
      </c>
      <c r="E2137" s="18">
        <v>45829</v>
      </c>
      <c r="F2137" s="18" t="s">
        <v>608</v>
      </c>
      <c r="G2137" t="s">
        <v>101</v>
      </c>
      <c r="H2137">
        <v>1</v>
      </c>
      <c r="I2137">
        <v>1</v>
      </c>
      <c r="J2137" s="27">
        <v>15343.23</v>
      </c>
      <c r="K2137" s="27">
        <v>1000000</v>
      </c>
    </row>
    <row r="2138" spans="1:11" ht="15" customHeight="1" x14ac:dyDescent="0.2">
      <c r="A2138" t="s">
        <v>4856</v>
      </c>
      <c r="B2138" t="s">
        <v>4857</v>
      </c>
      <c r="C2138">
        <v>2024</v>
      </c>
      <c r="D2138" s="18">
        <v>45465</v>
      </c>
      <c r="E2138" s="18">
        <v>45829</v>
      </c>
      <c r="F2138" s="18" t="s">
        <v>611</v>
      </c>
      <c r="G2138" t="s">
        <v>100</v>
      </c>
      <c r="H2138">
        <v>1</v>
      </c>
      <c r="I2138">
        <v>2</v>
      </c>
      <c r="J2138" s="27">
        <v>17748.580000000002</v>
      </c>
      <c r="K2138" s="27">
        <v>1500000</v>
      </c>
    </row>
    <row r="2139" spans="1:11" ht="15" customHeight="1" x14ac:dyDescent="0.2">
      <c r="A2139" t="s">
        <v>4858</v>
      </c>
      <c r="B2139" t="s">
        <v>4859</v>
      </c>
      <c r="C2139">
        <v>2024</v>
      </c>
      <c r="D2139" s="18">
        <v>45465</v>
      </c>
      <c r="E2139" s="18">
        <v>45829</v>
      </c>
      <c r="F2139" s="18" t="s">
        <v>611</v>
      </c>
      <c r="G2139" t="s">
        <v>99</v>
      </c>
      <c r="H2139">
        <v>3</v>
      </c>
      <c r="I2139">
        <v>6</v>
      </c>
      <c r="J2139" s="27">
        <v>81601.990000000005</v>
      </c>
      <c r="K2139" s="27">
        <v>10000000</v>
      </c>
    </row>
    <row r="2140" spans="1:11" ht="15" customHeight="1" x14ac:dyDescent="0.2">
      <c r="A2140" t="s">
        <v>4860</v>
      </c>
      <c r="B2140" t="s">
        <v>4861</v>
      </c>
      <c r="C2140">
        <v>2024</v>
      </c>
      <c r="D2140" s="18">
        <v>45465</v>
      </c>
      <c r="E2140" s="18">
        <v>45829</v>
      </c>
      <c r="F2140" s="18" t="s">
        <v>611</v>
      </c>
      <c r="G2140" t="s">
        <v>100</v>
      </c>
      <c r="H2140">
        <v>2</v>
      </c>
      <c r="I2140">
        <v>2</v>
      </c>
      <c r="J2140" s="27">
        <v>24172.75</v>
      </c>
      <c r="K2140" s="27">
        <v>2000000</v>
      </c>
    </row>
    <row r="2141" spans="1:11" ht="15" customHeight="1" x14ac:dyDescent="0.2">
      <c r="A2141" t="s">
        <v>4862</v>
      </c>
      <c r="B2141" t="s">
        <v>4863</v>
      </c>
      <c r="C2141">
        <v>2024</v>
      </c>
      <c r="D2141" s="18">
        <v>45465</v>
      </c>
      <c r="E2141" s="18">
        <v>45829</v>
      </c>
      <c r="F2141" s="18" t="s">
        <v>611</v>
      </c>
      <c r="G2141" t="s">
        <v>99</v>
      </c>
      <c r="H2141">
        <v>3</v>
      </c>
      <c r="I2141">
        <v>3</v>
      </c>
      <c r="J2141" s="27">
        <v>18095.86</v>
      </c>
      <c r="K2141" s="27">
        <v>2000000</v>
      </c>
    </row>
    <row r="2142" spans="1:11" ht="15" customHeight="1" x14ac:dyDescent="0.2">
      <c r="A2142" t="s">
        <v>4864</v>
      </c>
      <c r="B2142" t="s">
        <v>4865</v>
      </c>
      <c r="C2142">
        <v>2024</v>
      </c>
      <c r="D2142" s="18">
        <v>45465</v>
      </c>
      <c r="E2142" s="18">
        <v>45829</v>
      </c>
      <c r="F2142" s="18" t="s">
        <v>611</v>
      </c>
      <c r="G2142" t="s">
        <v>101</v>
      </c>
      <c r="H2142">
        <v>3</v>
      </c>
      <c r="I2142">
        <v>3</v>
      </c>
      <c r="J2142" s="27">
        <v>72281.789999999994</v>
      </c>
      <c r="K2142" s="27">
        <v>5000000</v>
      </c>
    </row>
    <row r="2143" spans="1:11" ht="15" customHeight="1" x14ac:dyDescent="0.2">
      <c r="A2143" t="s">
        <v>4866</v>
      </c>
      <c r="B2143" t="s">
        <v>4867</v>
      </c>
      <c r="C2143">
        <v>2024</v>
      </c>
      <c r="D2143" s="18">
        <v>45465</v>
      </c>
      <c r="E2143" s="18">
        <v>45829</v>
      </c>
      <c r="F2143" s="18" t="s">
        <v>611</v>
      </c>
      <c r="G2143" t="s">
        <v>99</v>
      </c>
      <c r="H2143">
        <v>1</v>
      </c>
      <c r="I2143">
        <v>2</v>
      </c>
      <c r="J2143" s="27">
        <v>32423.48</v>
      </c>
      <c r="K2143" s="27">
        <v>4000000</v>
      </c>
    </row>
    <row r="2144" spans="1:11" ht="15" customHeight="1" x14ac:dyDescent="0.2">
      <c r="A2144" t="s">
        <v>4868</v>
      </c>
      <c r="B2144" t="s">
        <v>4869</v>
      </c>
      <c r="C2144">
        <v>2024</v>
      </c>
      <c r="D2144" s="18">
        <v>45465</v>
      </c>
      <c r="E2144" s="18">
        <v>45829</v>
      </c>
      <c r="F2144" s="18" t="s">
        <v>611</v>
      </c>
      <c r="G2144" t="s">
        <v>101</v>
      </c>
      <c r="H2144">
        <v>1</v>
      </c>
      <c r="I2144">
        <v>2</v>
      </c>
      <c r="J2144" s="27">
        <v>71453.539999999994</v>
      </c>
      <c r="K2144" s="27">
        <v>5000000</v>
      </c>
    </row>
    <row r="2145" spans="1:11" ht="15" customHeight="1" x14ac:dyDescent="0.2">
      <c r="A2145" t="s">
        <v>4870</v>
      </c>
      <c r="B2145" t="s">
        <v>4871</v>
      </c>
      <c r="C2145">
        <v>2024</v>
      </c>
      <c r="D2145" s="18">
        <v>45465</v>
      </c>
      <c r="E2145" s="18">
        <v>45829</v>
      </c>
      <c r="F2145" s="18" t="s">
        <v>611</v>
      </c>
      <c r="G2145" t="s">
        <v>99</v>
      </c>
      <c r="H2145">
        <v>1</v>
      </c>
      <c r="I2145">
        <v>2</v>
      </c>
      <c r="J2145" s="27">
        <v>7854.53</v>
      </c>
      <c r="K2145" s="27">
        <v>1000000</v>
      </c>
    </row>
    <row r="2146" spans="1:11" ht="15" customHeight="1" x14ac:dyDescent="0.2">
      <c r="A2146" t="s">
        <v>4872</v>
      </c>
      <c r="B2146" t="s">
        <v>4873</v>
      </c>
      <c r="C2146">
        <v>2024</v>
      </c>
      <c r="D2146" s="18">
        <v>45465</v>
      </c>
      <c r="E2146" s="18">
        <v>45829</v>
      </c>
      <c r="F2146" s="18" t="s">
        <v>611</v>
      </c>
      <c r="G2146" t="s">
        <v>99</v>
      </c>
      <c r="H2146">
        <v>2</v>
      </c>
      <c r="I2146">
        <v>2</v>
      </c>
      <c r="J2146" s="27">
        <v>13182.77</v>
      </c>
      <c r="K2146" s="27">
        <v>1500000</v>
      </c>
    </row>
    <row r="2147" spans="1:11" ht="15" customHeight="1" x14ac:dyDescent="0.2">
      <c r="A2147" t="s">
        <v>4874</v>
      </c>
      <c r="B2147" t="s">
        <v>4875</v>
      </c>
      <c r="C2147">
        <v>2024</v>
      </c>
      <c r="D2147" s="18">
        <v>45466</v>
      </c>
      <c r="E2147" s="18">
        <v>45830</v>
      </c>
      <c r="F2147" s="18" t="s">
        <v>608</v>
      </c>
      <c r="G2147" t="s">
        <v>100</v>
      </c>
      <c r="H2147">
        <v>1</v>
      </c>
      <c r="I2147">
        <v>1</v>
      </c>
      <c r="J2147" s="27">
        <v>38844.550000000003</v>
      </c>
      <c r="K2147" s="27">
        <v>3000000</v>
      </c>
    </row>
    <row r="2148" spans="1:11" ht="15" customHeight="1" x14ac:dyDescent="0.2">
      <c r="A2148" t="s">
        <v>4876</v>
      </c>
      <c r="B2148" t="s">
        <v>4877</v>
      </c>
      <c r="C2148">
        <v>2024</v>
      </c>
      <c r="D2148" s="18">
        <v>45466</v>
      </c>
      <c r="E2148" s="18">
        <v>45830</v>
      </c>
      <c r="F2148" s="18" t="s">
        <v>608</v>
      </c>
      <c r="G2148" t="s">
        <v>101</v>
      </c>
      <c r="H2148">
        <v>2</v>
      </c>
      <c r="I2148">
        <v>4</v>
      </c>
      <c r="J2148" s="27">
        <v>33248.129999999997</v>
      </c>
      <c r="K2148" s="27">
        <v>2000000</v>
      </c>
    </row>
    <row r="2149" spans="1:11" ht="15" customHeight="1" x14ac:dyDescent="0.2">
      <c r="A2149" t="s">
        <v>4878</v>
      </c>
      <c r="B2149" t="s">
        <v>4879</v>
      </c>
      <c r="C2149">
        <v>2024</v>
      </c>
      <c r="D2149" s="18">
        <v>45466</v>
      </c>
      <c r="E2149" s="18">
        <v>45830</v>
      </c>
      <c r="F2149" s="18" t="s">
        <v>608</v>
      </c>
      <c r="G2149" t="s">
        <v>100</v>
      </c>
      <c r="H2149">
        <v>2</v>
      </c>
      <c r="I2149">
        <v>2</v>
      </c>
      <c r="J2149" s="27">
        <v>50284.68</v>
      </c>
      <c r="K2149" s="27">
        <v>4000000</v>
      </c>
    </row>
    <row r="2150" spans="1:11" ht="15" customHeight="1" x14ac:dyDescent="0.2">
      <c r="A2150" t="s">
        <v>4880</v>
      </c>
      <c r="B2150" t="s">
        <v>4881</v>
      </c>
      <c r="C2150">
        <v>2024</v>
      </c>
      <c r="D2150" s="18">
        <v>45466</v>
      </c>
      <c r="E2150" s="18">
        <v>45830</v>
      </c>
      <c r="F2150" s="18" t="s">
        <v>611</v>
      </c>
      <c r="G2150" t="s">
        <v>102</v>
      </c>
      <c r="H2150">
        <v>3</v>
      </c>
      <c r="I2150">
        <v>6</v>
      </c>
      <c r="J2150" s="27">
        <v>33268.839999999997</v>
      </c>
      <c r="K2150" s="27">
        <v>5000000</v>
      </c>
    </row>
    <row r="2151" spans="1:11" ht="15" customHeight="1" x14ac:dyDescent="0.2">
      <c r="A2151" t="s">
        <v>4882</v>
      </c>
      <c r="B2151" t="s">
        <v>4883</v>
      </c>
      <c r="C2151">
        <v>2024</v>
      </c>
      <c r="D2151" s="18">
        <v>45466</v>
      </c>
      <c r="E2151" s="18">
        <v>45830</v>
      </c>
      <c r="F2151" s="18" t="s">
        <v>611</v>
      </c>
      <c r="G2151" t="s">
        <v>101</v>
      </c>
      <c r="H2151">
        <v>3</v>
      </c>
      <c r="I2151">
        <v>3</v>
      </c>
      <c r="J2151" s="27">
        <v>74832.289999999994</v>
      </c>
      <c r="K2151" s="27">
        <v>5000000</v>
      </c>
    </row>
    <row r="2152" spans="1:11" ht="15" customHeight="1" x14ac:dyDescent="0.2">
      <c r="A2152" t="s">
        <v>4884</v>
      </c>
      <c r="B2152" t="s">
        <v>4885</v>
      </c>
      <c r="C2152">
        <v>2024</v>
      </c>
      <c r="D2152" s="18">
        <v>45466</v>
      </c>
      <c r="E2152" s="18">
        <v>45830</v>
      </c>
      <c r="F2152" s="18" t="s">
        <v>611</v>
      </c>
      <c r="G2152" t="s">
        <v>100</v>
      </c>
      <c r="H2152">
        <v>1</v>
      </c>
      <c r="I2152">
        <v>1</v>
      </c>
      <c r="J2152" s="27">
        <v>63848.04</v>
      </c>
      <c r="K2152" s="27">
        <v>5000000</v>
      </c>
    </row>
    <row r="2153" spans="1:11" ht="15" customHeight="1" x14ac:dyDescent="0.2">
      <c r="A2153" t="s">
        <v>4886</v>
      </c>
      <c r="B2153" t="s">
        <v>4887</v>
      </c>
      <c r="C2153">
        <v>2024</v>
      </c>
      <c r="D2153" s="18">
        <v>45466</v>
      </c>
      <c r="E2153" s="18">
        <v>45830</v>
      </c>
      <c r="F2153" s="18" t="s">
        <v>611</v>
      </c>
      <c r="G2153" t="s">
        <v>99</v>
      </c>
      <c r="H2153">
        <v>1</v>
      </c>
      <c r="I2153">
        <v>1</v>
      </c>
      <c r="J2153" s="27">
        <v>85643.95</v>
      </c>
      <c r="K2153" s="27">
        <v>10000000</v>
      </c>
    </row>
    <row r="2154" spans="1:11" ht="15" customHeight="1" x14ac:dyDescent="0.2">
      <c r="A2154" t="s">
        <v>4888</v>
      </c>
      <c r="B2154" t="s">
        <v>4889</v>
      </c>
      <c r="C2154">
        <v>2024</v>
      </c>
      <c r="D2154" s="18">
        <v>45466</v>
      </c>
      <c r="E2154" s="18">
        <v>45830</v>
      </c>
      <c r="F2154" s="18" t="s">
        <v>611</v>
      </c>
      <c r="G2154" t="s">
        <v>100</v>
      </c>
      <c r="H2154">
        <v>2</v>
      </c>
      <c r="I2154">
        <v>4</v>
      </c>
      <c r="J2154" s="27">
        <v>6042.76</v>
      </c>
      <c r="K2154" s="27">
        <v>500000</v>
      </c>
    </row>
    <row r="2155" spans="1:11" ht="15" customHeight="1" x14ac:dyDescent="0.2">
      <c r="A2155" t="s">
        <v>4890</v>
      </c>
      <c r="B2155" t="s">
        <v>4891</v>
      </c>
      <c r="C2155">
        <v>2024</v>
      </c>
      <c r="D2155" s="18">
        <v>45467</v>
      </c>
      <c r="E2155" s="18">
        <v>45831</v>
      </c>
      <c r="F2155" s="18" t="s">
        <v>611</v>
      </c>
      <c r="G2155" t="s">
        <v>100</v>
      </c>
      <c r="H2155">
        <v>1</v>
      </c>
      <c r="I2155">
        <v>2</v>
      </c>
      <c r="J2155" s="27">
        <v>118151.73</v>
      </c>
      <c r="K2155" s="27">
        <v>10000000</v>
      </c>
    </row>
    <row r="2156" spans="1:11" ht="15" customHeight="1" x14ac:dyDescent="0.2">
      <c r="A2156" t="s">
        <v>4892</v>
      </c>
      <c r="B2156" t="s">
        <v>4893</v>
      </c>
      <c r="C2156">
        <v>2024</v>
      </c>
      <c r="D2156" s="18">
        <v>45467</v>
      </c>
      <c r="E2156" s="18">
        <v>45831</v>
      </c>
      <c r="F2156" s="18" t="s">
        <v>611</v>
      </c>
      <c r="G2156" t="s">
        <v>101</v>
      </c>
      <c r="H2156">
        <v>2</v>
      </c>
      <c r="I2156">
        <v>2</v>
      </c>
      <c r="J2156" s="27">
        <v>72711.14</v>
      </c>
      <c r="K2156" s="27">
        <v>5000000</v>
      </c>
    </row>
    <row r="2157" spans="1:11" ht="15" customHeight="1" x14ac:dyDescent="0.2">
      <c r="A2157" t="s">
        <v>4894</v>
      </c>
      <c r="B2157" t="s">
        <v>4895</v>
      </c>
      <c r="C2157">
        <v>2024</v>
      </c>
      <c r="D2157" s="18">
        <v>45467</v>
      </c>
      <c r="E2157" s="18">
        <v>45831</v>
      </c>
      <c r="F2157" s="18" t="s">
        <v>611</v>
      </c>
      <c r="G2157" t="s">
        <v>101</v>
      </c>
      <c r="H2157">
        <v>1</v>
      </c>
      <c r="I2157">
        <v>1</v>
      </c>
      <c r="J2157" s="27">
        <v>57330.89</v>
      </c>
      <c r="K2157" s="27">
        <v>4000000</v>
      </c>
    </row>
    <row r="2158" spans="1:11" ht="15" customHeight="1" x14ac:dyDescent="0.2">
      <c r="A2158" t="s">
        <v>4896</v>
      </c>
      <c r="B2158" t="s">
        <v>4897</v>
      </c>
      <c r="C2158">
        <v>2024</v>
      </c>
      <c r="D2158" s="18">
        <v>45467</v>
      </c>
      <c r="E2158" s="18">
        <v>45831</v>
      </c>
      <c r="F2158" s="18" t="s">
        <v>611</v>
      </c>
      <c r="G2158" t="s">
        <v>101</v>
      </c>
      <c r="H2158">
        <v>2</v>
      </c>
      <c r="I2158">
        <v>4</v>
      </c>
      <c r="J2158" s="27">
        <v>68435.5</v>
      </c>
      <c r="K2158" s="27">
        <v>4500000</v>
      </c>
    </row>
    <row r="2159" spans="1:11" ht="15" customHeight="1" x14ac:dyDescent="0.2">
      <c r="A2159" t="s">
        <v>4898</v>
      </c>
      <c r="B2159" t="s">
        <v>4899</v>
      </c>
      <c r="C2159">
        <v>2024</v>
      </c>
      <c r="D2159" s="18">
        <v>45467</v>
      </c>
      <c r="E2159" s="18">
        <v>45831</v>
      </c>
      <c r="F2159" s="18" t="s">
        <v>611</v>
      </c>
      <c r="G2159" t="s">
        <v>101</v>
      </c>
      <c r="H2159">
        <v>2</v>
      </c>
      <c r="I2159">
        <v>2</v>
      </c>
      <c r="J2159" s="27">
        <v>24845.95</v>
      </c>
      <c r="K2159" s="27">
        <v>1500000</v>
      </c>
    </row>
    <row r="2160" spans="1:11" ht="15" customHeight="1" x14ac:dyDescent="0.2">
      <c r="A2160" t="s">
        <v>4900</v>
      </c>
      <c r="B2160" t="s">
        <v>4901</v>
      </c>
      <c r="C2160">
        <v>2024</v>
      </c>
      <c r="D2160" s="18">
        <v>45467</v>
      </c>
      <c r="E2160" s="18">
        <v>45831</v>
      </c>
      <c r="F2160" s="18" t="s">
        <v>611</v>
      </c>
      <c r="G2160" t="s">
        <v>101</v>
      </c>
      <c r="H2160">
        <v>1</v>
      </c>
      <c r="I2160">
        <v>2</v>
      </c>
      <c r="J2160" s="27">
        <v>28799.79</v>
      </c>
      <c r="K2160" s="27">
        <v>2000000</v>
      </c>
    </row>
    <row r="2161" spans="1:11" ht="15" customHeight="1" x14ac:dyDescent="0.2">
      <c r="A2161" t="s">
        <v>4902</v>
      </c>
      <c r="B2161" t="s">
        <v>4903</v>
      </c>
      <c r="C2161">
        <v>2024</v>
      </c>
      <c r="D2161" s="18">
        <v>45467</v>
      </c>
      <c r="E2161" s="18">
        <v>45831</v>
      </c>
      <c r="F2161" s="18" t="s">
        <v>611</v>
      </c>
      <c r="G2161" t="s">
        <v>99</v>
      </c>
      <c r="H2161">
        <v>1</v>
      </c>
      <c r="I2161">
        <v>2</v>
      </c>
      <c r="J2161" s="27">
        <v>38194.71</v>
      </c>
      <c r="K2161" s="27">
        <v>5000000</v>
      </c>
    </row>
    <row r="2162" spans="1:11" ht="15" customHeight="1" x14ac:dyDescent="0.2">
      <c r="A2162" t="s">
        <v>4904</v>
      </c>
      <c r="B2162" t="s">
        <v>4905</v>
      </c>
      <c r="C2162">
        <v>2024</v>
      </c>
      <c r="D2162" s="18">
        <v>45468</v>
      </c>
      <c r="E2162" s="18">
        <v>45832</v>
      </c>
      <c r="F2162" s="18" t="s">
        <v>608</v>
      </c>
      <c r="G2162" t="s">
        <v>102</v>
      </c>
      <c r="H2162">
        <v>2</v>
      </c>
      <c r="I2162">
        <v>4</v>
      </c>
      <c r="J2162" s="27">
        <v>13517.68</v>
      </c>
      <c r="K2162" s="27">
        <v>2000000</v>
      </c>
    </row>
    <row r="2163" spans="1:11" ht="15" customHeight="1" x14ac:dyDescent="0.2">
      <c r="A2163" t="s">
        <v>4906</v>
      </c>
      <c r="B2163" t="s">
        <v>4907</v>
      </c>
      <c r="C2163">
        <v>2024</v>
      </c>
      <c r="D2163" s="18">
        <v>45468</v>
      </c>
      <c r="E2163" s="18">
        <v>45832</v>
      </c>
      <c r="F2163" s="18" t="s">
        <v>611</v>
      </c>
      <c r="G2163" t="s">
        <v>99</v>
      </c>
      <c r="H2163">
        <v>3</v>
      </c>
      <c r="I2163">
        <v>3</v>
      </c>
      <c r="J2163" s="27">
        <v>17502.669999999998</v>
      </c>
      <c r="K2163" s="27">
        <v>2000000</v>
      </c>
    </row>
    <row r="2164" spans="1:11" ht="15" customHeight="1" x14ac:dyDescent="0.2">
      <c r="A2164" t="s">
        <v>4908</v>
      </c>
      <c r="B2164" t="s">
        <v>4909</v>
      </c>
      <c r="C2164">
        <v>2024</v>
      </c>
      <c r="D2164" s="18">
        <v>45468</v>
      </c>
      <c r="E2164" s="18">
        <v>45832</v>
      </c>
      <c r="F2164" s="18" t="s">
        <v>611</v>
      </c>
      <c r="G2164" t="s">
        <v>99</v>
      </c>
      <c r="H2164">
        <v>3</v>
      </c>
      <c r="I2164">
        <v>6</v>
      </c>
      <c r="J2164" s="27">
        <v>36301.370000000003</v>
      </c>
      <c r="K2164" s="27">
        <v>4500000</v>
      </c>
    </row>
    <row r="2165" spans="1:11" ht="15" customHeight="1" x14ac:dyDescent="0.2">
      <c r="A2165" t="s">
        <v>4910</v>
      </c>
      <c r="B2165" t="s">
        <v>4911</v>
      </c>
      <c r="C2165">
        <v>2024</v>
      </c>
      <c r="D2165" s="18">
        <v>45468</v>
      </c>
      <c r="E2165" s="18">
        <v>45832</v>
      </c>
      <c r="F2165" s="18" t="s">
        <v>611</v>
      </c>
      <c r="G2165" t="s">
        <v>101</v>
      </c>
      <c r="H2165">
        <v>3</v>
      </c>
      <c r="I2165">
        <v>6</v>
      </c>
      <c r="J2165" s="27">
        <v>15487.18</v>
      </c>
      <c r="K2165" s="27">
        <v>1000000</v>
      </c>
    </row>
    <row r="2166" spans="1:11" ht="15" customHeight="1" x14ac:dyDescent="0.2">
      <c r="A2166" t="s">
        <v>4912</v>
      </c>
      <c r="B2166" t="s">
        <v>4913</v>
      </c>
      <c r="C2166">
        <v>2024</v>
      </c>
      <c r="D2166" s="18">
        <v>45468</v>
      </c>
      <c r="E2166" s="18">
        <v>45832</v>
      </c>
      <c r="F2166" s="18" t="s">
        <v>611</v>
      </c>
      <c r="G2166" t="s">
        <v>100</v>
      </c>
      <c r="H2166">
        <v>3</v>
      </c>
      <c r="I2166">
        <v>3</v>
      </c>
      <c r="J2166" s="27">
        <v>127029.24</v>
      </c>
      <c r="K2166" s="27">
        <v>10000000</v>
      </c>
    </row>
    <row r="2167" spans="1:11" ht="15" customHeight="1" x14ac:dyDescent="0.2">
      <c r="A2167" t="s">
        <v>4914</v>
      </c>
      <c r="B2167" t="s">
        <v>4915</v>
      </c>
      <c r="C2167">
        <v>2024</v>
      </c>
      <c r="D2167" s="18">
        <v>45468</v>
      </c>
      <c r="E2167" s="18">
        <v>45832</v>
      </c>
      <c r="F2167" s="18" t="s">
        <v>611</v>
      </c>
      <c r="G2167" t="s">
        <v>102</v>
      </c>
      <c r="H2167">
        <v>2</v>
      </c>
      <c r="I2167">
        <v>2</v>
      </c>
      <c r="J2167" s="27">
        <v>7948.12</v>
      </c>
      <c r="K2167" s="27">
        <v>1000000</v>
      </c>
    </row>
    <row r="2168" spans="1:11" ht="15" customHeight="1" x14ac:dyDescent="0.2">
      <c r="A2168" t="s">
        <v>4916</v>
      </c>
      <c r="B2168" t="s">
        <v>4917</v>
      </c>
      <c r="C2168">
        <v>2024</v>
      </c>
      <c r="D2168" s="18">
        <v>45468</v>
      </c>
      <c r="E2168" s="18">
        <v>45832</v>
      </c>
      <c r="F2168" s="18" t="s">
        <v>611</v>
      </c>
      <c r="G2168" t="s">
        <v>100</v>
      </c>
      <c r="H2168">
        <v>1</v>
      </c>
      <c r="I2168">
        <v>1</v>
      </c>
      <c r="J2168" s="27">
        <v>64857.32</v>
      </c>
      <c r="K2168" s="27">
        <v>5000000</v>
      </c>
    </row>
    <row r="2169" spans="1:11" ht="15" customHeight="1" x14ac:dyDescent="0.2">
      <c r="A2169" t="s">
        <v>4918</v>
      </c>
      <c r="B2169" t="s">
        <v>4919</v>
      </c>
      <c r="C2169">
        <v>2024</v>
      </c>
      <c r="D2169" s="18">
        <v>45469</v>
      </c>
      <c r="E2169" s="18">
        <v>45833</v>
      </c>
      <c r="F2169" s="18" t="s">
        <v>608</v>
      </c>
      <c r="G2169" t="s">
        <v>99</v>
      </c>
      <c r="H2169">
        <v>1</v>
      </c>
      <c r="I2169">
        <v>1</v>
      </c>
      <c r="J2169" s="27">
        <v>87708.45</v>
      </c>
      <c r="K2169" s="27">
        <v>10000000</v>
      </c>
    </row>
    <row r="2170" spans="1:11" ht="15" customHeight="1" x14ac:dyDescent="0.2">
      <c r="A2170" t="s">
        <v>4920</v>
      </c>
      <c r="B2170" t="s">
        <v>4921</v>
      </c>
      <c r="C2170">
        <v>2024</v>
      </c>
      <c r="D2170" s="18">
        <v>45469</v>
      </c>
      <c r="E2170" s="18">
        <v>45833</v>
      </c>
      <c r="F2170" s="18" t="s">
        <v>608</v>
      </c>
      <c r="G2170" t="s">
        <v>101</v>
      </c>
      <c r="H2170">
        <v>1</v>
      </c>
      <c r="I2170">
        <v>1</v>
      </c>
      <c r="J2170" s="27">
        <v>65329.61</v>
      </c>
      <c r="K2170" s="27">
        <v>4000000</v>
      </c>
    </row>
    <row r="2171" spans="1:11" ht="15" customHeight="1" x14ac:dyDescent="0.2">
      <c r="A2171" t="s">
        <v>4922</v>
      </c>
      <c r="B2171" t="s">
        <v>4923</v>
      </c>
      <c r="C2171">
        <v>2024</v>
      </c>
      <c r="D2171" s="18">
        <v>45469</v>
      </c>
      <c r="E2171" s="18">
        <v>45833</v>
      </c>
      <c r="F2171" s="18" t="s">
        <v>611</v>
      </c>
      <c r="G2171" t="s">
        <v>100</v>
      </c>
      <c r="H2171">
        <v>1</v>
      </c>
      <c r="I2171">
        <v>1</v>
      </c>
      <c r="J2171" s="27">
        <v>59633.52</v>
      </c>
      <c r="K2171" s="27">
        <v>5000000</v>
      </c>
    </row>
    <row r="2172" spans="1:11" ht="15" customHeight="1" x14ac:dyDescent="0.2">
      <c r="A2172" t="s">
        <v>4924</v>
      </c>
      <c r="B2172" t="s">
        <v>4925</v>
      </c>
      <c r="C2172">
        <v>2024</v>
      </c>
      <c r="D2172" s="18">
        <v>45469</v>
      </c>
      <c r="E2172" s="18">
        <v>45833</v>
      </c>
      <c r="F2172" s="18" t="s">
        <v>611</v>
      </c>
      <c r="G2172" t="s">
        <v>101</v>
      </c>
      <c r="H2172">
        <v>1</v>
      </c>
      <c r="I2172">
        <v>1</v>
      </c>
      <c r="J2172" s="27">
        <v>65768.94</v>
      </c>
      <c r="K2172" s="27">
        <v>4500000</v>
      </c>
    </row>
    <row r="2173" spans="1:11" ht="15" customHeight="1" x14ac:dyDescent="0.2">
      <c r="A2173" t="s">
        <v>4926</v>
      </c>
      <c r="B2173" t="s">
        <v>4927</v>
      </c>
      <c r="C2173">
        <v>2024</v>
      </c>
      <c r="D2173" s="18">
        <v>45469</v>
      </c>
      <c r="E2173" s="18">
        <v>45833</v>
      </c>
      <c r="F2173" s="18" t="s">
        <v>611</v>
      </c>
      <c r="G2173" t="s">
        <v>100</v>
      </c>
      <c r="H2173">
        <v>1</v>
      </c>
      <c r="I2173">
        <v>1</v>
      </c>
      <c r="J2173" s="27">
        <v>12131.26</v>
      </c>
      <c r="K2173" s="27">
        <v>1000000</v>
      </c>
    </row>
    <row r="2174" spans="1:11" ht="15" customHeight="1" x14ac:dyDescent="0.2">
      <c r="A2174" t="s">
        <v>4928</v>
      </c>
      <c r="B2174" t="s">
        <v>4929</v>
      </c>
      <c r="C2174">
        <v>2024</v>
      </c>
      <c r="D2174" s="18">
        <v>45469</v>
      </c>
      <c r="E2174" s="18">
        <v>45833</v>
      </c>
      <c r="F2174" s="18" t="s">
        <v>611</v>
      </c>
      <c r="G2174" t="s">
        <v>100</v>
      </c>
      <c r="H2174">
        <v>2</v>
      </c>
      <c r="I2174">
        <v>2</v>
      </c>
      <c r="J2174" s="27">
        <v>121158.54</v>
      </c>
      <c r="K2174" s="27">
        <v>10000000</v>
      </c>
    </row>
    <row r="2175" spans="1:11" ht="15" customHeight="1" x14ac:dyDescent="0.2">
      <c r="A2175" t="s">
        <v>4930</v>
      </c>
      <c r="B2175" t="s">
        <v>4931</v>
      </c>
      <c r="C2175">
        <v>2024</v>
      </c>
      <c r="D2175" s="18">
        <v>45469</v>
      </c>
      <c r="E2175" s="18">
        <v>45833</v>
      </c>
      <c r="F2175" s="18" t="s">
        <v>611</v>
      </c>
      <c r="G2175" t="s">
        <v>100</v>
      </c>
      <c r="H2175">
        <v>2</v>
      </c>
      <c r="I2175">
        <v>2</v>
      </c>
      <c r="J2175" s="27">
        <v>130971.97</v>
      </c>
      <c r="K2175" s="27">
        <v>10000000</v>
      </c>
    </row>
    <row r="2176" spans="1:11" ht="15" customHeight="1" x14ac:dyDescent="0.2">
      <c r="A2176" t="s">
        <v>4932</v>
      </c>
      <c r="B2176" t="s">
        <v>4933</v>
      </c>
      <c r="C2176">
        <v>2024</v>
      </c>
      <c r="D2176" s="18">
        <v>45469</v>
      </c>
      <c r="E2176" s="18">
        <v>45833</v>
      </c>
      <c r="F2176" s="18" t="s">
        <v>611</v>
      </c>
      <c r="G2176" t="s">
        <v>102</v>
      </c>
      <c r="H2176">
        <v>1</v>
      </c>
      <c r="I2176">
        <v>1</v>
      </c>
      <c r="J2176" s="27">
        <v>32354.22</v>
      </c>
      <c r="K2176" s="27">
        <v>4500000</v>
      </c>
    </row>
    <row r="2177" spans="1:11" ht="15" customHeight="1" x14ac:dyDescent="0.2">
      <c r="A2177" t="s">
        <v>4934</v>
      </c>
      <c r="B2177" t="s">
        <v>4935</v>
      </c>
      <c r="C2177">
        <v>2024</v>
      </c>
      <c r="D2177" s="18">
        <v>45469</v>
      </c>
      <c r="E2177" s="18">
        <v>45833</v>
      </c>
      <c r="F2177" s="18" t="s">
        <v>611</v>
      </c>
      <c r="G2177" t="s">
        <v>99</v>
      </c>
      <c r="H2177">
        <v>2</v>
      </c>
      <c r="I2177">
        <v>2</v>
      </c>
      <c r="J2177" s="27">
        <v>4030.04</v>
      </c>
      <c r="K2177" s="27">
        <v>500000</v>
      </c>
    </row>
    <row r="2178" spans="1:11" ht="15" customHeight="1" x14ac:dyDescent="0.2">
      <c r="A2178" t="s">
        <v>4936</v>
      </c>
      <c r="B2178" t="s">
        <v>4937</v>
      </c>
      <c r="C2178">
        <v>2024</v>
      </c>
      <c r="D2178" s="18">
        <v>45469</v>
      </c>
      <c r="E2178" s="18">
        <v>45833</v>
      </c>
      <c r="F2178" s="18" t="s">
        <v>611</v>
      </c>
      <c r="G2178" t="s">
        <v>101</v>
      </c>
      <c r="H2178">
        <v>2</v>
      </c>
      <c r="I2178">
        <v>4</v>
      </c>
      <c r="J2178" s="27">
        <v>14430.29</v>
      </c>
      <c r="K2178" s="27">
        <v>1000000</v>
      </c>
    </row>
    <row r="2179" spans="1:11" ht="15" customHeight="1" x14ac:dyDescent="0.2">
      <c r="A2179" t="s">
        <v>4938</v>
      </c>
      <c r="B2179" t="s">
        <v>4939</v>
      </c>
      <c r="C2179">
        <v>2024</v>
      </c>
      <c r="D2179" s="18">
        <v>45469</v>
      </c>
      <c r="E2179" s="18">
        <v>45833</v>
      </c>
      <c r="F2179" s="18" t="s">
        <v>611</v>
      </c>
      <c r="G2179" t="s">
        <v>99</v>
      </c>
      <c r="H2179">
        <v>3</v>
      </c>
      <c r="I2179">
        <v>6</v>
      </c>
      <c r="J2179" s="27">
        <v>42873.96</v>
      </c>
      <c r="K2179" s="27">
        <v>5000000</v>
      </c>
    </row>
    <row r="2180" spans="1:11" ht="15" customHeight="1" x14ac:dyDescent="0.2">
      <c r="A2180" t="s">
        <v>4940</v>
      </c>
      <c r="B2180" t="s">
        <v>4941</v>
      </c>
      <c r="C2180">
        <v>2024</v>
      </c>
      <c r="D2180" s="18">
        <v>45469</v>
      </c>
      <c r="E2180" s="18">
        <v>45833</v>
      </c>
      <c r="F2180" s="18" t="s">
        <v>611</v>
      </c>
      <c r="G2180" t="s">
        <v>101</v>
      </c>
      <c r="H2180">
        <v>1</v>
      </c>
      <c r="I2180">
        <v>1</v>
      </c>
      <c r="J2180" s="27">
        <v>76172.83</v>
      </c>
      <c r="K2180" s="27">
        <v>5000000</v>
      </c>
    </row>
    <row r="2181" spans="1:11" ht="15" customHeight="1" x14ac:dyDescent="0.2">
      <c r="A2181" t="s">
        <v>4942</v>
      </c>
      <c r="B2181" t="s">
        <v>4943</v>
      </c>
      <c r="C2181">
        <v>2024</v>
      </c>
      <c r="D2181" s="18">
        <v>45470</v>
      </c>
      <c r="E2181" s="18">
        <v>45834</v>
      </c>
      <c r="F2181" s="18" t="s">
        <v>608</v>
      </c>
      <c r="G2181" t="s">
        <v>101</v>
      </c>
      <c r="H2181">
        <v>1</v>
      </c>
      <c r="I2181">
        <v>2</v>
      </c>
      <c r="J2181" s="27">
        <v>65711.89</v>
      </c>
      <c r="K2181" s="27">
        <v>4000000</v>
      </c>
    </row>
    <row r="2182" spans="1:11" ht="15" customHeight="1" x14ac:dyDescent="0.2">
      <c r="A2182" t="s">
        <v>4944</v>
      </c>
      <c r="B2182" t="s">
        <v>4945</v>
      </c>
      <c r="C2182">
        <v>2024</v>
      </c>
      <c r="D2182" s="18">
        <v>45470</v>
      </c>
      <c r="E2182" s="18">
        <v>45834</v>
      </c>
      <c r="F2182" s="18" t="s">
        <v>611</v>
      </c>
      <c r="G2182" t="s">
        <v>100</v>
      </c>
      <c r="H2182">
        <v>2</v>
      </c>
      <c r="I2182">
        <v>4</v>
      </c>
      <c r="J2182" s="27">
        <v>66700.37</v>
      </c>
      <c r="K2182" s="27">
        <v>5000000</v>
      </c>
    </row>
    <row r="2183" spans="1:11" ht="15" customHeight="1" x14ac:dyDescent="0.2">
      <c r="A2183" t="s">
        <v>4946</v>
      </c>
      <c r="B2183" t="s">
        <v>4947</v>
      </c>
      <c r="C2183">
        <v>2024</v>
      </c>
      <c r="D2183" s="18">
        <v>45470</v>
      </c>
      <c r="E2183" s="18">
        <v>45834</v>
      </c>
      <c r="F2183" s="18" t="s">
        <v>611</v>
      </c>
      <c r="G2183" t="s">
        <v>100</v>
      </c>
      <c r="H2183">
        <v>3</v>
      </c>
      <c r="I2183">
        <v>6</v>
      </c>
      <c r="J2183" s="27">
        <v>112452.41</v>
      </c>
      <c r="K2183" s="27">
        <v>10000000</v>
      </c>
    </row>
    <row r="2184" spans="1:11" ht="15" customHeight="1" x14ac:dyDescent="0.2">
      <c r="A2184" t="s">
        <v>4948</v>
      </c>
      <c r="B2184" t="s">
        <v>4949</v>
      </c>
      <c r="C2184">
        <v>2024</v>
      </c>
      <c r="D2184" s="18">
        <v>45470</v>
      </c>
      <c r="E2184" s="18">
        <v>45834</v>
      </c>
      <c r="F2184" s="18" t="s">
        <v>611</v>
      </c>
      <c r="G2184" t="s">
        <v>101</v>
      </c>
      <c r="H2184">
        <v>1</v>
      </c>
      <c r="I2184">
        <v>1</v>
      </c>
      <c r="J2184" s="27">
        <v>81170.87</v>
      </c>
      <c r="K2184" s="27">
        <v>5000000</v>
      </c>
    </row>
    <row r="2185" spans="1:11" ht="15" customHeight="1" x14ac:dyDescent="0.2">
      <c r="A2185" t="s">
        <v>4950</v>
      </c>
      <c r="B2185" t="s">
        <v>4951</v>
      </c>
      <c r="C2185">
        <v>2024</v>
      </c>
      <c r="D2185" s="18">
        <v>45470</v>
      </c>
      <c r="E2185" s="18">
        <v>45834</v>
      </c>
      <c r="F2185" s="18" t="s">
        <v>611</v>
      </c>
      <c r="G2185" t="s">
        <v>99</v>
      </c>
      <c r="H2185">
        <v>1</v>
      </c>
      <c r="I2185">
        <v>1</v>
      </c>
      <c r="J2185" s="27">
        <v>79094.73</v>
      </c>
      <c r="K2185" s="27">
        <v>10000000</v>
      </c>
    </row>
    <row r="2186" spans="1:11" ht="15" customHeight="1" x14ac:dyDescent="0.2">
      <c r="A2186" t="s">
        <v>4952</v>
      </c>
      <c r="B2186" t="s">
        <v>4953</v>
      </c>
      <c r="C2186">
        <v>2024</v>
      </c>
      <c r="D2186" s="18">
        <v>45470</v>
      </c>
      <c r="E2186" s="18">
        <v>45834</v>
      </c>
      <c r="F2186" s="18" t="s">
        <v>611</v>
      </c>
      <c r="G2186" t="s">
        <v>101</v>
      </c>
      <c r="H2186">
        <v>1</v>
      </c>
      <c r="I2186">
        <v>2</v>
      </c>
      <c r="J2186" s="27">
        <v>147316.35</v>
      </c>
      <c r="K2186" s="27">
        <v>10000000</v>
      </c>
    </row>
    <row r="2187" spans="1:11" ht="15" customHeight="1" x14ac:dyDescent="0.2">
      <c r="A2187" t="s">
        <v>4954</v>
      </c>
      <c r="B2187" t="s">
        <v>4955</v>
      </c>
      <c r="C2187">
        <v>2024</v>
      </c>
      <c r="D2187" s="18">
        <v>45470</v>
      </c>
      <c r="E2187" s="18">
        <v>45834</v>
      </c>
      <c r="F2187" s="18" t="s">
        <v>611</v>
      </c>
      <c r="G2187" t="s">
        <v>100</v>
      </c>
      <c r="H2187">
        <v>1</v>
      </c>
      <c r="I2187">
        <v>1</v>
      </c>
      <c r="J2187" s="27">
        <v>63173.61</v>
      </c>
      <c r="K2187" s="27">
        <v>5000000</v>
      </c>
    </row>
    <row r="2188" spans="1:11" ht="15" customHeight="1" x14ac:dyDescent="0.2">
      <c r="A2188" t="s">
        <v>4956</v>
      </c>
      <c r="B2188" t="s">
        <v>4957</v>
      </c>
      <c r="C2188">
        <v>2024</v>
      </c>
      <c r="D2188" s="18">
        <v>45470</v>
      </c>
      <c r="E2188" s="18">
        <v>45834</v>
      </c>
      <c r="F2188" s="18" t="s">
        <v>611</v>
      </c>
      <c r="G2188" t="s">
        <v>102</v>
      </c>
      <c r="H2188">
        <v>2</v>
      </c>
      <c r="I2188">
        <v>4</v>
      </c>
      <c r="J2188" s="27">
        <v>39767.86</v>
      </c>
      <c r="K2188" s="27">
        <v>5000000</v>
      </c>
    </row>
    <row r="2189" spans="1:11" ht="15" customHeight="1" x14ac:dyDescent="0.2">
      <c r="A2189" t="s">
        <v>4958</v>
      </c>
      <c r="B2189" t="s">
        <v>4959</v>
      </c>
      <c r="C2189">
        <v>2024</v>
      </c>
      <c r="D2189" s="18">
        <v>45470</v>
      </c>
      <c r="E2189" s="18">
        <v>45834</v>
      </c>
      <c r="F2189" s="18" t="s">
        <v>611</v>
      </c>
      <c r="G2189" t="s">
        <v>100</v>
      </c>
      <c r="H2189">
        <v>1</v>
      </c>
      <c r="I2189">
        <v>1</v>
      </c>
      <c r="J2189" s="27">
        <v>122124.9</v>
      </c>
      <c r="K2189" s="27">
        <v>10000000</v>
      </c>
    </row>
    <row r="2190" spans="1:11" ht="15" customHeight="1" x14ac:dyDescent="0.2">
      <c r="A2190" t="s">
        <v>4960</v>
      </c>
      <c r="B2190" t="s">
        <v>4961</v>
      </c>
      <c r="C2190">
        <v>2024</v>
      </c>
      <c r="D2190" s="18">
        <v>45470</v>
      </c>
      <c r="E2190" s="18">
        <v>45834</v>
      </c>
      <c r="F2190" s="18" t="s">
        <v>611</v>
      </c>
      <c r="G2190" t="s">
        <v>101</v>
      </c>
      <c r="H2190">
        <v>2</v>
      </c>
      <c r="I2190">
        <v>4</v>
      </c>
      <c r="J2190" s="27">
        <v>143051.99</v>
      </c>
      <c r="K2190" s="27">
        <v>10000000</v>
      </c>
    </row>
    <row r="2191" spans="1:11" ht="15" customHeight="1" x14ac:dyDescent="0.2">
      <c r="A2191" t="s">
        <v>4962</v>
      </c>
      <c r="B2191" t="s">
        <v>4963</v>
      </c>
      <c r="C2191">
        <v>2024</v>
      </c>
      <c r="D2191" s="18">
        <v>45471</v>
      </c>
      <c r="E2191" s="18">
        <v>45835</v>
      </c>
      <c r="F2191" s="18" t="s">
        <v>608</v>
      </c>
      <c r="G2191" t="s">
        <v>99</v>
      </c>
      <c r="H2191">
        <v>1</v>
      </c>
      <c r="I2191">
        <v>1</v>
      </c>
      <c r="J2191" s="27">
        <v>81371.05</v>
      </c>
      <c r="K2191" s="27">
        <v>10000000</v>
      </c>
    </row>
    <row r="2192" spans="1:11" ht="15" customHeight="1" x14ac:dyDescent="0.2">
      <c r="A2192" t="s">
        <v>4964</v>
      </c>
      <c r="B2192" t="s">
        <v>4965</v>
      </c>
      <c r="C2192">
        <v>2024</v>
      </c>
      <c r="D2192" s="18">
        <v>45471</v>
      </c>
      <c r="E2192" s="18">
        <v>45835</v>
      </c>
      <c r="F2192" s="18" t="s">
        <v>611</v>
      </c>
      <c r="G2192" t="s">
        <v>100</v>
      </c>
      <c r="H2192">
        <v>1</v>
      </c>
      <c r="I2192">
        <v>1</v>
      </c>
      <c r="J2192" s="27">
        <v>130157.88</v>
      </c>
      <c r="K2192" s="27">
        <v>10000000</v>
      </c>
    </row>
    <row r="2193" spans="1:11" ht="15" customHeight="1" x14ac:dyDescent="0.2">
      <c r="A2193" t="s">
        <v>4966</v>
      </c>
      <c r="B2193" t="s">
        <v>4967</v>
      </c>
      <c r="C2193">
        <v>2024</v>
      </c>
      <c r="D2193" s="18">
        <v>45471</v>
      </c>
      <c r="E2193" s="18">
        <v>45835</v>
      </c>
      <c r="F2193" s="18" t="s">
        <v>611</v>
      </c>
      <c r="G2193" t="s">
        <v>100</v>
      </c>
      <c r="H2193">
        <v>2</v>
      </c>
      <c r="I2193">
        <v>2</v>
      </c>
      <c r="J2193" s="27">
        <v>27054.33</v>
      </c>
      <c r="K2193" s="27">
        <v>2000000</v>
      </c>
    </row>
    <row r="2194" spans="1:11" ht="15" customHeight="1" x14ac:dyDescent="0.2">
      <c r="A2194" t="s">
        <v>4968</v>
      </c>
      <c r="B2194" t="s">
        <v>4969</v>
      </c>
      <c r="C2194">
        <v>2024</v>
      </c>
      <c r="D2194" s="18">
        <v>45471</v>
      </c>
      <c r="E2194" s="18">
        <v>45835</v>
      </c>
      <c r="F2194" s="18" t="s">
        <v>611</v>
      </c>
      <c r="G2194" t="s">
        <v>100</v>
      </c>
      <c r="H2194">
        <v>1</v>
      </c>
      <c r="I2194">
        <v>1</v>
      </c>
      <c r="J2194" s="27">
        <v>5989.26</v>
      </c>
      <c r="K2194" s="27">
        <v>500000</v>
      </c>
    </row>
    <row r="2195" spans="1:11" ht="15" customHeight="1" x14ac:dyDescent="0.2">
      <c r="A2195" t="s">
        <v>4970</v>
      </c>
      <c r="B2195" t="s">
        <v>4971</v>
      </c>
      <c r="C2195">
        <v>2024</v>
      </c>
      <c r="D2195" s="18">
        <v>45471</v>
      </c>
      <c r="E2195" s="18">
        <v>45835</v>
      </c>
      <c r="F2195" s="18" t="s">
        <v>611</v>
      </c>
      <c r="G2195" t="s">
        <v>100</v>
      </c>
      <c r="H2195">
        <v>1</v>
      </c>
      <c r="I2195">
        <v>2</v>
      </c>
      <c r="J2195" s="27">
        <v>11713.16</v>
      </c>
      <c r="K2195" s="27">
        <v>1000000</v>
      </c>
    </row>
    <row r="2196" spans="1:11" ht="15" customHeight="1" x14ac:dyDescent="0.2">
      <c r="A2196" t="s">
        <v>4972</v>
      </c>
      <c r="B2196" t="s">
        <v>4973</v>
      </c>
      <c r="C2196">
        <v>2024</v>
      </c>
      <c r="D2196" s="18">
        <v>45471</v>
      </c>
      <c r="E2196" s="18">
        <v>45835</v>
      </c>
      <c r="F2196" s="18" t="s">
        <v>611</v>
      </c>
      <c r="G2196" t="s">
        <v>101</v>
      </c>
      <c r="H2196">
        <v>2</v>
      </c>
      <c r="I2196">
        <v>2</v>
      </c>
      <c r="J2196" s="27">
        <v>65809.87</v>
      </c>
      <c r="K2196" s="27">
        <v>4000000</v>
      </c>
    </row>
    <row r="2197" spans="1:11" ht="15" customHeight="1" x14ac:dyDescent="0.2">
      <c r="A2197" t="s">
        <v>4974</v>
      </c>
      <c r="B2197" t="s">
        <v>4975</v>
      </c>
      <c r="C2197">
        <v>2024</v>
      </c>
      <c r="D2197" s="18">
        <v>45471</v>
      </c>
      <c r="E2197" s="18">
        <v>45835</v>
      </c>
      <c r="F2197" s="18" t="s">
        <v>611</v>
      </c>
      <c r="G2197" t="s">
        <v>101</v>
      </c>
      <c r="H2197">
        <v>2</v>
      </c>
      <c r="I2197">
        <v>4</v>
      </c>
      <c r="J2197" s="27">
        <v>62428.2</v>
      </c>
      <c r="K2197" s="27">
        <v>4000000</v>
      </c>
    </row>
    <row r="2198" spans="1:11" ht="15" customHeight="1" x14ac:dyDescent="0.2">
      <c r="A2198" t="s">
        <v>4976</v>
      </c>
      <c r="B2198" t="s">
        <v>4977</v>
      </c>
      <c r="C2198">
        <v>2024</v>
      </c>
      <c r="D2198" s="18">
        <v>45471</v>
      </c>
      <c r="E2198" s="18">
        <v>45835</v>
      </c>
      <c r="F2198" s="18" t="s">
        <v>611</v>
      </c>
      <c r="G2198" t="s">
        <v>101</v>
      </c>
      <c r="H2198">
        <v>3</v>
      </c>
      <c r="I2198">
        <v>3</v>
      </c>
      <c r="J2198" s="27">
        <v>151041.57</v>
      </c>
      <c r="K2198" s="27">
        <v>10000000</v>
      </c>
    </row>
    <row r="2199" spans="1:11" ht="15" customHeight="1" x14ac:dyDescent="0.2">
      <c r="A2199" t="s">
        <v>4978</v>
      </c>
      <c r="B2199" t="s">
        <v>4979</v>
      </c>
      <c r="C2199">
        <v>2024</v>
      </c>
      <c r="D2199" s="18">
        <v>45471</v>
      </c>
      <c r="E2199" s="18">
        <v>45835</v>
      </c>
      <c r="F2199" s="18" t="s">
        <v>611</v>
      </c>
      <c r="G2199" t="s">
        <v>99</v>
      </c>
      <c r="H2199">
        <v>1</v>
      </c>
      <c r="I2199">
        <v>2</v>
      </c>
      <c r="J2199" s="27">
        <v>18199.22</v>
      </c>
      <c r="K2199" s="27">
        <v>2000000</v>
      </c>
    </row>
    <row r="2200" spans="1:11" ht="15" customHeight="1" x14ac:dyDescent="0.2">
      <c r="A2200" t="s">
        <v>4980</v>
      </c>
      <c r="B2200" t="s">
        <v>4981</v>
      </c>
      <c r="C2200">
        <v>2024</v>
      </c>
      <c r="D2200" s="18">
        <v>45472</v>
      </c>
      <c r="E2200" s="18">
        <v>45836</v>
      </c>
      <c r="F2200" s="18" t="s">
        <v>608</v>
      </c>
      <c r="G2200" t="s">
        <v>99</v>
      </c>
      <c r="H2200">
        <v>3</v>
      </c>
      <c r="I2200">
        <v>6</v>
      </c>
      <c r="J2200" s="27">
        <v>40493.19</v>
      </c>
      <c r="K2200" s="27">
        <v>5000000</v>
      </c>
    </row>
    <row r="2201" spans="1:11" ht="15" customHeight="1" x14ac:dyDescent="0.2">
      <c r="A2201" t="s">
        <v>4982</v>
      </c>
      <c r="B2201" t="s">
        <v>4983</v>
      </c>
      <c r="C2201">
        <v>2024</v>
      </c>
      <c r="D2201" s="18">
        <v>45472</v>
      </c>
      <c r="E2201" s="18">
        <v>45836</v>
      </c>
      <c r="F2201" s="18" t="s">
        <v>608</v>
      </c>
      <c r="G2201" t="s">
        <v>101</v>
      </c>
      <c r="H2201">
        <v>2</v>
      </c>
      <c r="I2201">
        <v>4</v>
      </c>
      <c r="J2201" s="27">
        <v>49494.87</v>
      </c>
      <c r="K2201" s="27">
        <v>3500000</v>
      </c>
    </row>
    <row r="2202" spans="1:11" ht="15" customHeight="1" x14ac:dyDescent="0.2">
      <c r="A2202" t="s">
        <v>4984</v>
      </c>
      <c r="B2202" t="s">
        <v>4985</v>
      </c>
      <c r="C2202">
        <v>2024</v>
      </c>
      <c r="D2202" s="18">
        <v>45472</v>
      </c>
      <c r="E2202" s="18">
        <v>45836</v>
      </c>
      <c r="F2202" s="18" t="s">
        <v>611</v>
      </c>
      <c r="G2202" t="s">
        <v>102</v>
      </c>
      <c r="H2202">
        <v>1</v>
      </c>
      <c r="I2202">
        <v>1</v>
      </c>
      <c r="J2202" s="27">
        <v>27578.43</v>
      </c>
      <c r="K2202" s="27">
        <v>4000000</v>
      </c>
    </row>
    <row r="2203" spans="1:11" ht="15" customHeight="1" x14ac:dyDescent="0.2">
      <c r="A2203" t="s">
        <v>4986</v>
      </c>
      <c r="B2203" t="s">
        <v>4987</v>
      </c>
      <c r="C2203">
        <v>2024</v>
      </c>
      <c r="D2203" s="18">
        <v>45472</v>
      </c>
      <c r="E2203" s="18">
        <v>45836</v>
      </c>
      <c r="F2203" s="18" t="s">
        <v>611</v>
      </c>
      <c r="G2203" t="s">
        <v>101</v>
      </c>
      <c r="H2203">
        <v>2</v>
      </c>
      <c r="I2203">
        <v>2</v>
      </c>
      <c r="J2203" s="27">
        <v>56339.24</v>
      </c>
      <c r="K2203" s="27">
        <v>3500000</v>
      </c>
    </row>
    <row r="2204" spans="1:11" ht="15" customHeight="1" x14ac:dyDescent="0.2">
      <c r="A2204" t="s">
        <v>4988</v>
      </c>
      <c r="B2204" t="s">
        <v>4989</v>
      </c>
      <c r="C2204">
        <v>2024</v>
      </c>
      <c r="D2204" s="18">
        <v>45472</v>
      </c>
      <c r="E2204" s="18">
        <v>45836</v>
      </c>
      <c r="F2204" s="18" t="s">
        <v>611</v>
      </c>
      <c r="G2204" t="s">
        <v>101</v>
      </c>
      <c r="H2204">
        <v>1</v>
      </c>
      <c r="I2204">
        <v>1</v>
      </c>
      <c r="J2204" s="27">
        <v>15987.36</v>
      </c>
      <c r="K2204" s="27">
        <v>1000000</v>
      </c>
    </row>
    <row r="2205" spans="1:11" ht="15" customHeight="1" x14ac:dyDescent="0.2">
      <c r="A2205" t="s">
        <v>4990</v>
      </c>
      <c r="B2205" t="s">
        <v>4991</v>
      </c>
      <c r="C2205">
        <v>2024</v>
      </c>
      <c r="D2205" s="18">
        <v>45472</v>
      </c>
      <c r="E2205" s="18">
        <v>45836</v>
      </c>
      <c r="F2205" s="18" t="s">
        <v>611</v>
      </c>
      <c r="G2205" t="s">
        <v>100</v>
      </c>
      <c r="H2205">
        <v>1</v>
      </c>
      <c r="I2205">
        <v>2</v>
      </c>
      <c r="J2205" s="27">
        <v>113847.45</v>
      </c>
      <c r="K2205" s="27">
        <v>10000000</v>
      </c>
    </row>
    <row r="2206" spans="1:11" ht="15" customHeight="1" x14ac:dyDescent="0.2">
      <c r="A2206" t="s">
        <v>4992</v>
      </c>
      <c r="B2206" t="s">
        <v>4993</v>
      </c>
      <c r="C2206">
        <v>2024</v>
      </c>
      <c r="D2206" s="18">
        <v>45472</v>
      </c>
      <c r="E2206" s="18">
        <v>45836</v>
      </c>
      <c r="F2206" s="18" t="s">
        <v>611</v>
      </c>
      <c r="G2206" t="s">
        <v>99</v>
      </c>
      <c r="H2206">
        <v>2</v>
      </c>
      <c r="I2206">
        <v>2</v>
      </c>
      <c r="J2206" s="27">
        <v>7627.81</v>
      </c>
      <c r="K2206" s="27">
        <v>1000000</v>
      </c>
    </row>
    <row r="2207" spans="1:11" ht="15" customHeight="1" x14ac:dyDescent="0.2">
      <c r="A2207" t="s">
        <v>4994</v>
      </c>
      <c r="B2207" t="s">
        <v>4995</v>
      </c>
      <c r="C2207">
        <v>2024</v>
      </c>
      <c r="D2207" s="18">
        <v>45472</v>
      </c>
      <c r="E2207" s="18">
        <v>45836</v>
      </c>
      <c r="F2207" s="18" t="s">
        <v>611</v>
      </c>
      <c r="G2207" t="s">
        <v>101</v>
      </c>
      <c r="H2207">
        <v>1</v>
      </c>
      <c r="I2207">
        <v>1</v>
      </c>
      <c r="J2207" s="27">
        <v>85061.68</v>
      </c>
      <c r="K2207" s="27">
        <v>5000000</v>
      </c>
    </row>
    <row r="2208" spans="1:11" ht="15" customHeight="1" x14ac:dyDescent="0.2">
      <c r="A2208" t="s">
        <v>4996</v>
      </c>
      <c r="B2208" t="s">
        <v>4997</v>
      </c>
      <c r="C2208">
        <v>2024</v>
      </c>
      <c r="D2208" s="18">
        <v>45472</v>
      </c>
      <c r="E2208" s="18">
        <v>45836</v>
      </c>
      <c r="F2208" s="18" t="s">
        <v>611</v>
      </c>
      <c r="G2208" t="s">
        <v>102</v>
      </c>
      <c r="H2208">
        <v>3</v>
      </c>
      <c r="I2208">
        <v>6</v>
      </c>
      <c r="J2208" s="27">
        <v>39933.919999999998</v>
      </c>
      <c r="K2208" s="27">
        <v>5000000</v>
      </c>
    </row>
    <row r="2209" spans="1:11" ht="15" customHeight="1" x14ac:dyDescent="0.2">
      <c r="A2209" t="s">
        <v>4998</v>
      </c>
      <c r="B2209" t="s">
        <v>4999</v>
      </c>
      <c r="C2209">
        <v>2024</v>
      </c>
      <c r="D2209" s="18">
        <v>45472</v>
      </c>
      <c r="E2209" s="18">
        <v>45836</v>
      </c>
      <c r="F2209" s="18" t="s">
        <v>611</v>
      </c>
      <c r="G2209" t="s">
        <v>100</v>
      </c>
      <c r="H2209">
        <v>1</v>
      </c>
      <c r="I2209">
        <v>2</v>
      </c>
      <c r="J2209" s="27">
        <v>30027.07</v>
      </c>
      <c r="K2209" s="27">
        <v>2500000</v>
      </c>
    </row>
    <row r="2210" spans="1:11" ht="15" customHeight="1" x14ac:dyDescent="0.2">
      <c r="A2210" t="s">
        <v>5000</v>
      </c>
      <c r="B2210" t="s">
        <v>5001</v>
      </c>
      <c r="C2210">
        <v>2024</v>
      </c>
      <c r="D2210" s="18">
        <v>45473</v>
      </c>
      <c r="E2210" s="18">
        <v>45837</v>
      </c>
      <c r="F2210" s="18" t="s">
        <v>611</v>
      </c>
      <c r="G2210" t="s">
        <v>101</v>
      </c>
      <c r="H2210">
        <v>1</v>
      </c>
      <c r="I2210">
        <v>2</v>
      </c>
      <c r="J2210" s="27">
        <v>66980.42</v>
      </c>
      <c r="K2210" s="27">
        <v>4500000</v>
      </c>
    </row>
    <row r="2211" spans="1:11" ht="15" customHeight="1" x14ac:dyDescent="0.2">
      <c r="A2211" t="s">
        <v>5002</v>
      </c>
      <c r="B2211" t="s">
        <v>5003</v>
      </c>
      <c r="C2211">
        <v>2024</v>
      </c>
      <c r="D2211" s="18">
        <v>45473</v>
      </c>
      <c r="E2211" s="18">
        <v>45837</v>
      </c>
      <c r="F2211" s="18" t="s">
        <v>611</v>
      </c>
      <c r="G2211" t="s">
        <v>99</v>
      </c>
      <c r="H2211">
        <v>1</v>
      </c>
      <c r="I2211">
        <v>2</v>
      </c>
      <c r="J2211" s="27">
        <v>35025.08</v>
      </c>
      <c r="K2211" s="27">
        <v>4000000</v>
      </c>
    </row>
    <row r="2212" spans="1:11" ht="15" customHeight="1" x14ac:dyDescent="0.2">
      <c r="A2212" t="s">
        <v>5004</v>
      </c>
      <c r="B2212" t="s">
        <v>5005</v>
      </c>
      <c r="C2212">
        <v>2024</v>
      </c>
      <c r="D2212" s="18">
        <v>45473</v>
      </c>
      <c r="E2212" s="18">
        <v>45837</v>
      </c>
      <c r="F2212" s="18" t="s">
        <v>611</v>
      </c>
      <c r="G2212" t="s">
        <v>102</v>
      </c>
      <c r="H2212">
        <v>2</v>
      </c>
      <c r="I2212">
        <v>4</v>
      </c>
      <c r="J2212" s="27">
        <v>10139.379999999999</v>
      </c>
      <c r="K2212" s="27">
        <v>1500000</v>
      </c>
    </row>
    <row r="2213" spans="1:11" ht="15" customHeight="1" x14ac:dyDescent="0.2">
      <c r="A2213" t="s">
        <v>5006</v>
      </c>
      <c r="B2213" t="s">
        <v>5007</v>
      </c>
      <c r="C2213">
        <v>2024</v>
      </c>
      <c r="D2213" s="18">
        <v>45474</v>
      </c>
      <c r="E2213" s="18">
        <v>45838</v>
      </c>
      <c r="F2213" s="18" t="s">
        <v>608</v>
      </c>
      <c r="G2213" t="s">
        <v>101</v>
      </c>
      <c r="H2213">
        <v>1</v>
      </c>
      <c r="I2213">
        <v>2</v>
      </c>
      <c r="J2213" s="27">
        <v>78892.14</v>
      </c>
      <c r="K2213" s="27">
        <v>5000000</v>
      </c>
    </row>
    <row r="2214" spans="1:11" ht="15" customHeight="1" x14ac:dyDescent="0.2">
      <c r="A2214" t="s">
        <v>5008</v>
      </c>
      <c r="B2214" t="s">
        <v>5009</v>
      </c>
      <c r="C2214">
        <v>2024</v>
      </c>
      <c r="D2214" s="18">
        <v>45474</v>
      </c>
      <c r="E2214" s="18">
        <v>45838</v>
      </c>
      <c r="F2214" s="18" t="s">
        <v>611</v>
      </c>
      <c r="G2214" t="s">
        <v>100</v>
      </c>
      <c r="H2214">
        <v>2</v>
      </c>
      <c r="I2214">
        <v>2</v>
      </c>
      <c r="J2214" s="27">
        <v>35650.47</v>
      </c>
      <c r="K2214" s="27">
        <v>3000000</v>
      </c>
    </row>
    <row r="2215" spans="1:11" ht="15" customHeight="1" x14ac:dyDescent="0.2">
      <c r="A2215" t="s">
        <v>5010</v>
      </c>
      <c r="B2215" t="s">
        <v>5011</v>
      </c>
      <c r="C2215">
        <v>2024</v>
      </c>
      <c r="D2215" s="18">
        <v>45474</v>
      </c>
      <c r="E2215" s="18">
        <v>45838</v>
      </c>
      <c r="F2215" s="18" t="s">
        <v>611</v>
      </c>
      <c r="G2215" t="s">
        <v>99</v>
      </c>
      <c r="H2215">
        <v>2</v>
      </c>
      <c r="I2215">
        <v>4</v>
      </c>
      <c r="J2215" s="27">
        <v>8071.79</v>
      </c>
      <c r="K2215" s="27">
        <v>1000000</v>
      </c>
    </row>
    <row r="2216" spans="1:11" ht="15" customHeight="1" x14ac:dyDescent="0.2">
      <c r="A2216" t="s">
        <v>5012</v>
      </c>
      <c r="B2216" t="s">
        <v>5013</v>
      </c>
      <c r="C2216">
        <v>2024</v>
      </c>
      <c r="D2216" s="18">
        <v>45474</v>
      </c>
      <c r="E2216" s="18">
        <v>45838</v>
      </c>
      <c r="F2216" s="18" t="s">
        <v>611</v>
      </c>
      <c r="G2216" t="s">
        <v>101</v>
      </c>
      <c r="H2216">
        <v>1</v>
      </c>
      <c r="I2216">
        <v>2</v>
      </c>
      <c r="J2216" s="27">
        <v>28051.88</v>
      </c>
      <c r="K2216" s="27">
        <v>2000000</v>
      </c>
    </row>
    <row r="2217" spans="1:11" ht="15" customHeight="1" x14ac:dyDescent="0.2">
      <c r="A2217" t="s">
        <v>5014</v>
      </c>
      <c r="B2217" t="s">
        <v>5015</v>
      </c>
      <c r="C2217">
        <v>2024</v>
      </c>
      <c r="D2217" s="18">
        <v>45475</v>
      </c>
      <c r="E2217" s="18">
        <v>45839</v>
      </c>
      <c r="F2217" s="18" t="s">
        <v>608</v>
      </c>
      <c r="G2217" t="s">
        <v>100</v>
      </c>
      <c r="H2217">
        <v>1</v>
      </c>
      <c r="I2217">
        <v>1</v>
      </c>
      <c r="J2217" s="27">
        <v>120247.49</v>
      </c>
      <c r="K2217" s="27">
        <v>10000000</v>
      </c>
    </row>
    <row r="2218" spans="1:11" ht="15" customHeight="1" x14ac:dyDescent="0.2">
      <c r="A2218" t="s">
        <v>5016</v>
      </c>
      <c r="B2218" t="s">
        <v>5017</v>
      </c>
      <c r="C2218">
        <v>2024</v>
      </c>
      <c r="D2218" s="18">
        <v>45475</v>
      </c>
      <c r="E2218" s="18">
        <v>45839</v>
      </c>
      <c r="F2218" s="18" t="s">
        <v>611</v>
      </c>
      <c r="G2218" t="s">
        <v>99</v>
      </c>
      <c r="H2218">
        <v>2</v>
      </c>
      <c r="I2218">
        <v>4</v>
      </c>
      <c r="J2218" s="27">
        <v>27365.63</v>
      </c>
      <c r="K2218" s="27">
        <v>3500000</v>
      </c>
    </row>
    <row r="2219" spans="1:11" ht="15" customHeight="1" x14ac:dyDescent="0.2">
      <c r="A2219" t="s">
        <v>5018</v>
      </c>
      <c r="B2219" t="s">
        <v>5019</v>
      </c>
      <c r="C2219">
        <v>2024</v>
      </c>
      <c r="D2219" s="18">
        <v>45475</v>
      </c>
      <c r="E2219" s="18">
        <v>45839</v>
      </c>
      <c r="F2219" s="18" t="s">
        <v>611</v>
      </c>
      <c r="G2219" t="s">
        <v>100</v>
      </c>
      <c r="H2219">
        <v>2</v>
      </c>
      <c r="I2219">
        <v>4</v>
      </c>
      <c r="J2219" s="27">
        <v>5886.84</v>
      </c>
      <c r="K2219" s="27">
        <v>500000</v>
      </c>
    </row>
    <row r="2220" spans="1:11" ht="15" customHeight="1" x14ac:dyDescent="0.2">
      <c r="A2220" t="s">
        <v>5020</v>
      </c>
      <c r="B2220" t="s">
        <v>5021</v>
      </c>
      <c r="C2220">
        <v>2024</v>
      </c>
      <c r="D2220" s="18">
        <v>45475</v>
      </c>
      <c r="E2220" s="18">
        <v>45839</v>
      </c>
      <c r="F2220" s="18" t="s">
        <v>611</v>
      </c>
      <c r="G2220" t="s">
        <v>99</v>
      </c>
      <c r="H2220">
        <v>3</v>
      </c>
      <c r="I2220">
        <v>3</v>
      </c>
      <c r="J2220" s="27">
        <v>45020.47</v>
      </c>
      <c r="K2220" s="27">
        <v>5000000</v>
      </c>
    </row>
    <row r="2221" spans="1:11" ht="15" customHeight="1" x14ac:dyDescent="0.2">
      <c r="A2221" t="s">
        <v>5022</v>
      </c>
      <c r="B2221" t="s">
        <v>5023</v>
      </c>
      <c r="C2221">
        <v>2024</v>
      </c>
      <c r="D2221" s="18">
        <v>45475</v>
      </c>
      <c r="E2221" s="18">
        <v>45839</v>
      </c>
      <c r="F2221" s="18" t="s">
        <v>611</v>
      </c>
      <c r="G2221" t="s">
        <v>101</v>
      </c>
      <c r="H2221">
        <v>1</v>
      </c>
      <c r="I2221">
        <v>1</v>
      </c>
      <c r="J2221" s="27">
        <v>7314.52</v>
      </c>
      <c r="K2221" s="27">
        <v>500000</v>
      </c>
    </row>
    <row r="2222" spans="1:11" ht="15" customHeight="1" x14ac:dyDescent="0.2">
      <c r="A2222" t="s">
        <v>5024</v>
      </c>
      <c r="B2222" t="s">
        <v>5025</v>
      </c>
      <c r="C2222">
        <v>2024</v>
      </c>
      <c r="D2222" s="18">
        <v>45475</v>
      </c>
      <c r="E2222" s="18">
        <v>45839</v>
      </c>
      <c r="F2222" s="18" t="s">
        <v>611</v>
      </c>
      <c r="G2222" t="s">
        <v>100</v>
      </c>
      <c r="H2222">
        <v>1</v>
      </c>
      <c r="I2222">
        <v>1</v>
      </c>
      <c r="J2222" s="27">
        <v>40421.68</v>
      </c>
      <c r="K2222" s="27">
        <v>3500000</v>
      </c>
    </row>
    <row r="2223" spans="1:11" ht="15" customHeight="1" x14ac:dyDescent="0.2">
      <c r="A2223" t="s">
        <v>5026</v>
      </c>
      <c r="B2223" t="s">
        <v>5027</v>
      </c>
      <c r="C2223">
        <v>2024</v>
      </c>
      <c r="D2223" s="18">
        <v>45475</v>
      </c>
      <c r="E2223" s="18">
        <v>45839</v>
      </c>
      <c r="F2223" s="18" t="s">
        <v>611</v>
      </c>
      <c r="G2223" t="s">
        <v>102</v>
      </c>
      <c r="H2223">
        <v>1</v>
      </c>
      <c r="I2223">
        <v>1</v>
      </c>
      <c r="J2223" s="27">
        <v>24722.12</v>
      </c>
      <c r="K2223" s="27">
        <v>3500000</v>
      </c>
    </row>
    <row r="2224" spans="1:11" ht="15" customHeight="1" x14ac:dyDescent="0.2">
      <c r="A2224" t="s">
        <v>5028</v>
      </c>
      <c r="B2224" t="s">
        <v>5029</v>
      </c>
      <c r="C2224">
        <v>2024</v>
      </c>
      <c r="D2224" s="18">
        <v>45476</v>
      </c>
      <c r="E2224" s="18">
        <v>45840</v>
      </c>
      <c r="F2224" s="18" t="s">
        <v>611</v>
      </c>
      <c r="G2224" t="s">
        <v>99</v>
      </c>
      <c r="H2224">
        <v>1</v>
      </c>
      <c r="I2224">
        <v>2</v>
      </c>
      <c r="J2224" s="27">
        <v>17961.310000000001</v>
      </c>
      <c r="K2224" s="27">
        <v>2000000</v>
      </c>
    </row>
    <row r="2225" spans="1:11" ht="15" customHeight="1" x14ac:dyDescent="0.2">
      <c r="A2225" t="s">
        <v>5030</v>
      </c>
      <c r="B2225" t="s">
        <v>5031</v>
      </c>
      <c r="C2225">
        <v>2024</v>
      </c>
      <c r="D2225" s="18">
        <v>45476</v>
      </c>
      <c r="E2225" s="18">
        <v>45840</v>
      </c>
      <c r="F2225" s="18" t="s">
        <v>611</v>
      </c>
      <c r="G2225" t="s">
        <v>99</v>
      </c>
      <c r="H2225">
        <v>1</v>
      </c>
      <c r="I2225">
        <v>2</v>
      </c>
      <c r="J2225" s="27">
        <v>11495.68</v>
      </c>
      <c r="K2225" s="27">
        <v>1500000</v>
      </c>
    </row>
    <row r="2226" spans="1:11" ht="15" customHeight="1" x14ac:dyDescent="0.2">
      <c r="A2226" t="s">
        <v>5032</v>
      </c>
      <c r="B2226" t="s">
        <v>5033</v>
      </c>
      <c r="C2226">
        <v>2024</v>
      </c>
      <c r="D2226" s="18">
        <v>45476</v>
      </c>
      <c r="E2226" s="18">
        <v>45840</v>
      </c>
      <c r="F2226" s="18" t="s">
        <v>611</v>
      </c>
      <c r="G2226" t="s">
        <v>102</v>
      </c>
      <c r="H2226">
        <v>2</v>
      </c>
      <c r="I2226">
        <v>4</v>
      </c>
      <c r="J2226" s="27">
        <v>7225.27</v>
      </c>
      <c r="K2226" s="27">
        <v>1000000</v>
      </c>
    </row>
    <row r="2227" spans="1:11" ht="15" customHeight="1" x14ac:dyDescent="0.2">
      <c r="A2227" t="s">
        <v>5034</v>
      </c>
      <c r="B2227" t="s">
        <v>5035</v>
      </c>
      <c r="C2227">
        <v>2024</v>
      </c>
      <c r="D2227" s="18">
        <v>45476</v>
      </c>
      <c r="E2227" s="18">
        <v>45840</v>
      </c>
      <c r="F2227" s="18" t="s">
        <v>611</v>
      </c>
      <c r="G2227" t="s">
        <v>101</v>
      </c>
      <c r="H2227">
        <v>2</v>
      </c>
      <c r="I2227">
        <v>2</v>
      </c>
      <c r="J2227" s="27">
        <v>154827.51</v>
      </c>
      <c r="K2227" s="27">
        <v>10000000</v>
      </c>
    </row>
    <row r="2228" spans="1:11" ht="15" customHeight="1" x14ac:dyDescent="0.2">
      <c r="A2228" t="s">
        <v>5036</v>
      </c>
      <c r="B2228" t="s">
        <v>5037</v>
      </c>
      <c r="C2228">
        <v>2024</v>
      </c>
      <c r="D2228" s="18">
        <v>45476</v>
      </c>
      <c r="E2228" s="18">
        <v>45840</v>
      </c>
      <c r="F2228" s="18" t="s">
        <v>611</v>
      </c>
      <c r="G2228" t="s">
        <v>101</v>
      </c>
      <c r="H2228">
        <v>2</v>
      </c>
      <c r="I2228">
        <v>2</v>
      </c>
      <c r="J2228" s="27">
        <v>169995.08</v>
      </c>
      <c r="K2228" s="27">
        <v>10000000</v>
      </c>
    </row>
    <row r="2229" spans="1:11" ht="15" customHeight="1" x14ac:dyDescent="0.2">
      <c r="A2229" t="s">
        <v>5038</v>
      </c>
      <c r="B2229" t="s">
        <v>5039</v>
      </c>
      <c r="C2229">
        <v>2024</v>
      </c>
      <c r="D2229" s="18">
        <v>45476</v>
      </c>
      <c r="E2229" s="18">
        <v>45840</v>
      </c>
      <c r="F2229" s="18" t="s">
        <v>611</v>
      </c>
      <c r="G2229" t="s">
        <v>99</v>
      </c>
      <c r="H2229">
        <v>1</v>
      </c>
      <c r="I2229">
        <v>1</v>
      </c>
      <c r="J2229" s="27">
        <v>13187.12</v>
      </c>
      <c r="K2229" s="27">
        <v>1500000</v>
      </c>
    </row>
    <row r="2230" spans="1:11" ht="15" customHeight="1" x14ac:dyDescent="0.2">
      <c r="A2230" t="s">
        <v>5040</v>
      </c>
      <c r="B2230" t="s">
        <v>5041</v>
      </c>
      <c r="C2230">
        <v>2024</v>
      </c>
      <c r="D2230" s="18">
        <v>45476</v>
      </c>
      <c r="E2230" s="18">
        <v>45840</v>
      </c>
      <c r="F2230" s="18" t="s">
        <v>611</v>
      </c>
      <c r="G2230" t="s">
        <v>101</v>
      </c>
      <c r="H2230">
        <v>2</v>
      </c>
      <c r="I2230">
        <v>2</v>
      </c>
      <c r="J2230" s="27">
        <v>70428.09</v>
      </c>
      <c r="K2230" s="27">
        <v>4500000</v>
      </c>
    </row>
    <row r="2231" spans="1:11" ht="15" customHeight="1" x14ac:dyDescent="0.2">
      <c r="A2231" t="s">
        <v>5042</v>
      </c>
      <c r="B2231" t="s">
        <v>5043</v>
      </c>
      <c r="C2231">
        <v>2024</v>
      </c>
      <c r="D2231" s="18">
        <v>45476</v>
      </c>
      <c r="E2231" s="18">
        <v>45840</v>
      </c>
      <c r="F2231" s="18" t="s">
        <v>611</v>
      </c>
      <c r="G2231" t="s">
        <v>101</v>
      </c>
      <c r="H2231">
        <v>3</v>
      </c>
      <c r="I2231">
        <v>6</v>
      </c>
      <c r="J2231" s="27">
        <v>37425.49</v>
      </c>
      <c r="K2231" s="27">
        <v>2500000</v>
      </c>
    </row>
    <row r="2232" spans="1:11" ht="15" customHeight="1" x14ac:dyDescent="0.2">
      <c r="A2232" t="s">
        <v>5044</v>
      </c>
      <c r="B2232" t="s">
        <v>5045</v>
      </c>
      <c r="C2232">
        <v>2024</v>
      </c>
      <c r="D2232" s="18">
        <v>45477</v>
      </c>
      <c r="E2232" s="18">
        <v>45841</v>
      </c>
      <c r="F2232" s="18" t="s">
        <v>608</v>
      </c>
      <c r="G2232" t="s">
        <v>100</v>
      </c>
      <c r="H2232">
        <v>1</v>
      </c>
      <c r="I2232">
        <v>2</v>
      </c>
      <c r="J2232" s="27">
        <v>33314.25</v>
      </c>
      <c r="K2232" s="27">
        <v>3000000</v>
      </c>
    </row>
    <row r="2233" spans="1:11" ht="15" customHeight="1" x14ac:dyDescent="0.2">
      <c r="A2233" t="s">
        <v>5046</v>
      </c>
      <c r="B2233" t="s">
        <v>5047</v>
      </c>
      <c r="C2233">
        <v>2024</v>
      </c>
      <c r="D2233" s="18">
        <v>45477</v>
      </c>
      <c r="E2233" s="18">
        <v>45841</v>
      </c>
      <c r="F2233" s="18" t="s">
        <v>611</v>
      </c>
      <c r="G2233" t="s">
        <v>100</v>
      </c>
      <c r="H2233">
        <v>2</v>
      </c>
      <c r="I2233">
        <v>2</v>
      </c>
      <c r="J2233" s="27">
        <v>26467.9</v>
      </c>
      <c r="K2233" s="27">
        <v>2000000</v>
      </c>
    </row>
    <row r="2234" spans="1:11" ht="15" customHeight="1" x14ac:dyDescent="0.2">
      <c r="A2234" t="s">
        <v>5048</v>
      </c>
      <c r="B2234" t="s">
        <v>5049</v>
      </c>
      <c r="C2234">
        <v>2024</v>
      </c>
      <c r="D2234" s="18">
        <v>45477</v>
      </c>
      <c r="E2234" s="18">
        <v>45841</v>
      </c>
      <c r="F2234" s="18" t="s">
        <v>611</v>
      </c>
      <c r="G2234" t="s">
        <v>99</v>
      </c>
      <c r="H2234">
        <v>1</v>
      </c>
      <c r="I2234">
        <v>1</v>
      </c>
      <c r="J2234" s="27">
        <v>31890.47</v>
      </c>
      <c r="K2234" s="27">
        <v>4000000</v>
      </c>
    </row>
    <row r="2235" spans="1:11" ht="15" customHeight="1" x14ac:dyDescent="0.2">
      <c r="A2235" t="s">
        <v>5050</v>
      </c>
      <c r="B2235" t="s">
        <v>5051</v>
      </c>
      <c r="C2235">
        <v>2024</v>
      </c>
      <c r="D2235" s="18">
        <v>45478</v>
      </c>
      <c r="E2235" s="18">
        <v>45842</v>
      </c>
      <c r="F2235" s="18" t="s">
        <v>608</v>
      </c>
      <c r="G2235" t="s">
        <v>100</v>
      </c>
      <c r="H2235">
        <v>2</v>
      </c>
      <c r="I2235">
        <v>4</v>
      </c>
      <c r="J2235" s="27">
        <v>12516.38</v>
      </c>
      <c r="K2235" s="27">
        <v>1000000</v>
      </c>
    </row>
    <row r="2236" spans="1:11" ht="15" customHeight="1" x14ac:dyDescent="0.2">
      <c r="A2236" t="s">
        <v>5052</v>
      </c>
      <c r="B2236" t="s">
        <v>5053</v>
      </c>
      <c r="C2236">
        <v>2024</v>
      </c>
      <c r="D2236" s="18">
        <v>45478</v>
      </c>
      <c r="E2236" s="18">
        <v>45842</v>
      </c>
      <c r="F2236" s="18" t="s">
        <v>608</v>
      </c>
      <c r="G2236" t="s">
        <v>100</v>
      </c>
      <c r="H2236">
        <v>1</v>
      </c>
      <c r="I2236">
        <v>1</v>
      </c>
      <c r="J2236" s="27">
        <v>40360.04</v>
      </c>
      <c r="K2236" s="27">
        <v>3500000</v>
      </c>
    </row>
    <row r="2237" spans="1:11" ht="15" customHeight="1" x14ac:dyDescent="0.2">
      <c r="A2237" t="s">
        <v>5054</v>
      </c>
      <c r="B2237" t="s">
        <v>5055</v>
      </c>
      <c r="C2237">
        <v>2024</v>
      </c>
      <c r="D2237" s="18">
        <v>45478</v>
      </c>
      <c r="E2237" s="18">
        <v>45842</v>
      </c>
      <c r="F2237" s="18" t="s">
        <v>611</v>
      </c>
      <c r="G2237" t="s">
        <v>101</v>
      </c>
      <c r="H2237">
        <v>3</v>
      </c>
      <c r="I2237">
        <v>3</v>
      </c>
      <c r="J2237" s="27">
        <v>78640.23</v>
      </c>
      <c r="K2237" s="27">
        <v>5000000</v>
      </c>
    </row>
    <row r="2238" spans="1:11" ht="15" customHeight="1" x14ac:dyDescent="0.2">
      <c r="A2238" t="s">
        <v>5056</v>
      </c>
      <c r="B2238" t="s">
        <v>5057</v>
      </c>
      <c r="C2238">
        <v>2024</v>
      </c>
      <c r="D2238" s="18">
        <v>45478</v>
      </c>
      <c r="E2238" s="18">
        <v>45842</v>
      </c>
      <c r="F2238" s="18" t="s">
        <v>611</v>
      </c>
      <c r="G2238" t="s">
        <v>100</v>
      </c>
      <c r="H2238">
        <v>1</v>
      </c>
      <c r="I2238">
        <v>1</v>
      </c>
      <c r="J2238" s="27">
        <v>60785.86</v>
      </c>
      <c r="K2238" s="27">
        <v>4500000</v>
      </c>
    </row>
    <row r="2239" spans="1:11" ht="15" customHeight="1" x14ac:dyDescent="0.2">
      <c r="A2239" t="s">
        <v>5058</v>
      </c>
      <c r="B2239" t="s">
        <v>5059</v>
      </c>
      <c r="C2239">
        <v>2024</v>
      </c>
      <c r="D2239" s="18">
        <v>45478</v>
      </c>
      <c r="E2239" s="18">
        <v>45842</v>
      </c>
      <c r="F2239" s="18" t="s">
        <v>611</v>
      </c>
      <c r="G2239" t="s">
        <v>100</v>
      </c>
      <c r="H2239">
        <v>2</v>
      </c>
      <c r="I2239">
        <v>2</v>
      </c>
      <c r="J2239" s="27">
        <v>56635.76</v>
      </c>
      <c r="K2239" s="27">
        <v>4500000</v>
      </c>
    </row>
    <row r="2240" spans="1:11" ht="15" customHeight="1" x14ac:dyDescent="0.2">
      <c r="A2240" t="s">
        <v>5060</v>
      </c>
      <c r="B2240" t="s">
        <v>5061</v>
      </c>
      <c r="C2240">
        <v>2024</v>
      </c>
      <c r="D2240" s="18">
        <v>45478</v>
      </c>
      <c r="E2240" s="18">
        <v>45842</v>
      </c>
      <c r="F2240" s="18" t="s">
        <v>611</v>
      </c>
      <c r="G2240" t="s">
        <v>99</v>
      </c>
      <c r="H2240">
        <v>3</v>
      </c>
      <c r="I2240">
        <v>6</v>
      </c>
      <c r="J2240" s="27">
        <v>43974.59</v>
      </c>
      <c r="K2240" s="27">
        <v>5000000</v>
      </c>
    </row>
    <row r="2241" spans="1:11" ht="15" customHeight="1" x14ac:dyDescent="0.2">
      <c r="A2241" t="s">
        <v>5062</v>
      </c>
      <c r="B2241" t="s">
        <v>5063</v>
      </c>
      <c r="C2241">
        <v>2024</v>
      </c>
      <c r="D2241" s="18">
        <v>45478</v>
      </c>
      <c r="E2241" s="18">
        <v>45842</v>
      </c>
      <c r="F2241" s="18" t="s">
        <v>611</v>
      </c>
      <c r="G2241" t="s">
        <v>100</v>
      </c>
      <c r="H2241">
        <v>2</v>
      </c>
      <c r="I2241">
        <v>2</v>
      </c>
      <c r="J2241" s="27">
        <v>13104.21</v>
      </c>
      <c r="K2241" s="27">
        <v>1000000</v>
      </c>
    </row>
    <row r="2242" spans="1:11" ht="15" customHeight="1" x14ac:dyDescent="0.2">
      <c r="A2242" t="s">
        <v>5064</v>
      </c>
      <c r="B2242" t="s">
        <v>5065</v>
      </c>
      <c r="C2242">
        <v>2024</v>
      </c>
      <c r="D2242" s="18">
        <v>45478</v>
      </c>
      <c r="E2242" s="18">
        <v>45842</v>
      </c>
      <c r="F2242" s="18" t="s">
        <v>611</v>
      </c>
      <c r="G2242" t="s">
        <v>101</v>
      </c>
      <c r="H2242">
        <v>3</v>
      </c>
      <c r="I2242">
        <v>6</v>
      </c>
      <c r="J2242" s="27">
        <v>42575.4</v>
      </c>
      <c r="K2242" s="27">
        <v>3000000</v>
      </c>
    </row>
    <row r="2243" spans="1:11" ht="15" customHeight="1" x14ac:dyDescent="0.2">
      <c r="A2243" t="s">
        <v>5066</v>
      </c>
      <c r="B2243" t="s">
        <v>5067</v>
      </c>
      <c r="C2243">
        <v>2024</v>
      </c>
      <c r="D2243" s="18">
        <v>45479</v>
      </c>
      <c r="E2243" s="18">
        <v>45843</v>
      </c>
      <c r="F2243" s="18" t="s">
        <v>608</v>
      </c>
      <c r="G2243" t="s">
        <v>102</v>
      </c>
      <c r="H2243">
        <v>1</v>
      </c>
      <c r="I2243">
        <v>2</v>
      </c>
      <c r="J2243" s="27">
        <v>80110.009999999995</v>
      </c>
      <c r="K2243" s="27">
        <v>10000000</v>
      </c>
    </row>
    <row r="2244" spans="1:11" ht="15" customHeight="1" x14ac:dyDescent="0.2">
      <c r="A2244" t="s">
        <v>5068</v>
      </c>
      <c r="B2244" t="s">
        <v>5069</v>
      </c>
      <c r="C2244">
        <v>2024</v>
      </c>
      <c r="D2244" s="18">
        <v>45479</v>
      </c>
      <c r="E2244" s="18">
        <v>45843</v>
      </c>
      <c r="F2244" s="18" t="s">
        <v>608</v>
      </c>
      <c r="G2244" t="s">
        <v>99</v>
      </c>
      <c r="H2244">
        <v>1</v>
      </c>
      <c r="I2244">
        <v>2</v>
      </c>
      <c r="J2244" s="27">
        <v>19073.099999999999</v>
      </c>
      <c r="K2244" s="27">
        <v>2500000</v>
      </c>
    </row>
    <row r="2245" spans="1:11" ht="15" customHeight="1" x14ac:dyDescent="0.2">
      <c r="A2245" t="s">
        <v>5070</v>
      </c>
      <c r="B2245" t="s">
        <v>5071</v>
      </c>
      <c r="C2245">
        <v>2024</v>
      </c>
      <c r="D2245" s="18">
        <v>45479</v>
      </c>
      <c r="E2245" s="18">
        <v>45843</v>
      </c>
      <c r="F2245" s="18" t="s">
        <v>608</v>
      </c>
      <c r="G2245" t="s">
        <v>101</v>
      </c>
      <c r="H2245">
        <v>2</v>
      </c>
      <c r="I2245">
        <v>2</v>
      </c>
      <c r="J2245" s="27">
        <v>28093.51</v>
      </c>
      <c r="K2245" s="27">
        <v>2000000</v>
      </c>
    </row>
    <row r="2246" spans="1:11" ht="15" customHeight="1" x14ac:dyDescent="0.2">
      <c r="A2246" t="s">
        <v>5072</v>
      </c>
      <c r="B2246" t="s">
        <v>5073</v>
      </c>
      <c r="C2246">
        <v>2024</v>
      </c>
      <c r="D2246" s="18">
        <v>45479</v>
      </c>
      <c r="E2246" s="18">
        <v>45843</v>
      </c>
      <c r="F2246" s="18" t="s">
        <v>611</v>
      </c>
      <c r="G2246" t="s">
        <v>101</v>
      </c>
      <c r="H2246">
        <v>1</v>
      </c>
      <c r="I2246">
        <v>1</v>
      </c>
      <c r="J2246" s="27">
        <v>72534.899999999994</v>
      </c>
      <c r="K2246" s="27">
        <v>5000000</v>
      </c>
    </row>
    <row r="2247" spans="1:11" ht="15" customHeight="1" x14ac:dyDescent="0.2">
      <c r="A2247" t="s">
        <v>5074</v>
      </c>
      <c r="B2247" t="s">
        <v>5075</v>
      </c>
      <c r="C2247">
        <v>2024</v>
      </c>
      <c r="D2247" s="18">
        <v>45479</v>
      </c>
      <c r="E2247" s="18">
        <v>45843</v>
      </c>
      <c r="F2247" s="18" t="s">
        <v>611</v>
      </c>
      <c r="G2247" t="s">
        <v>101</v>
      </c>
      <c r="H2247">
        <v>1</v>
      </c>
      <c r="I2247">
        <v>2</v>
      </c>
      <c r="J2247" s="27">
        <v>164281.28</v>
      </c>
      <c r="K2247" s="27">
        <v>10000000</v>
      </c>
    </row>
    <row r="2248" spans="1:11" ht="15" customHeight="1" x14ac:dyDescent="0.2">
      <c r="A2248" t="s">
        <v>5076</v>
      </c>
      <c r="B2248" t="s">
        <v>5077</v>
      </c>
      <c r="C2248">
        <v>2024</v>
      </c>
      <c r="D2248" s="18">
        <v>45479</v>
      </c>
      <c r="E2248" s="18">
        <v>45843</v>
      </c>
      <c r="F2248" s="18" t="s">
        <v>611</v>
      </c>
      <c r="G2248" t="s">
        <v>101</v>
      </c>
      <c r="H2248">
        <v>3</v>
      </c>
      <c r="I2248">
        <v>6</v>
      </c>
      <c r="J2248" s="27">
        <v>60020.28</v>
      </c>
      <c r="K2248" s="27">
        <v>4000000</v>
      </c>
    </row>
    <row r="2249" spans="1:11" ht="15" customHeight="1" x14ac:dyDescent="0.2">
      <c r="A2249" t="s">
        <v>5078</v>
      </c>
      <c r="B2249" t="s">
        <v>5079</v>
      </c>
      <c r="C2249">
        <v>2024</v>
      </c>
      <c r="D2249" s="18">
        <v>45479</v>
      </c>
      <c r="E2249" s="18">
        <v>45843</v>
      </c>
      <c r="F2249" s="18" t="s">
        <v>611</v>
      </c>
      <c r="G2249" t="s">
        <v>100</v>
      </c>
      <c r="H2249">
        <v>1</v>
      </c>
      <c r="I2249">
        <v>2</v>
      </c>
      <c r="J2249" s="27">
        <v>22631.03</v>
      </c>
      <c r="K2249" s="27">
        <v>2000000</v>
      </c>
    </row>
    <row r="2250" spans="1:11" ht="15" customHeight="1" x14ac:dyDescent="0.2">
      <c r="A2250" t="s">
        <v>5080</v>
      </c>
      <c r="B2250" t="s">
        <v>5081</v>
      </c>
      <c r="C2250">
        <v>2024</v>
      </c>
      <c r="D2250" s="18">
        <v>45480</v>
      </c>
      <c r="E2250" s="18">
        <v>45844</v>
      </c>
      <c r="F2250" s="18" t="s">
        <v>608</v>
      </c>
      <c r="G2250" t="s">
        <v>99</v>
      </c>
      <c r="H2250">
        <v>1</v>
      </c>
      <c r="I2250">
        <v>1</v>
      </c>
      <c r="J2250" s="27">
        <v>76842.320000000007</v>
      </c>
      <c r="K2250" s="27">
        <v>10000000</v>
      </c>
    </row>
    <row r="2251" spans="1:11" ht="15" customHeight="1" x14ac:dyDescent="0.2">
      <c r="A2251" t="s">
        <v>5082</v>
      </c>
      <c r="B2251" t="s">
        <v>5083</v>
      </c>
      <c r="C2251">
        <v>2024</v>
      </c>
      <c r="D2251" s="18">
        <v>45480</v>
      </c>
      <c r="E2251" s="18">
        <v>45844</v>
      </c>
      <c r="F2251" s="18" t="s">
        <v>608</v>
      </c>
      <c r="G2251" t="s">
        <v>100</v>
      </c>
      <c r="H2251">
        <v>1</v>
      </c>
      <c r="I2251">
        <v>1</v>
      </c>
      <c r="J2251" s="27">
        <v>58075.63</v>
      </c>
      <c r="K2251" s="27">
        <v>4500000</v>
      </c>
    </row>
    <row r="2252" spans="1:11" ht="15" customHeight="1" x14ac:dyDescent="0.2">
      <c r="A2252" t="s">
        <v>5084</v>
      </c>
      <c r="B2252" t="s">
        <v>5085</v>
      </c>
      <c r="C2252">
        <v>2024</v>
      </c>
      <c r="D2252" s="18">
        <v>45480</v>
      </c>
      <c r="E2252" s="18">
        <v>45844</v>
      </c>
      <c r="F2252" s="18" t="s">
        <v>611</v>
      </c>
      <c r="G2252" t="s">
        <v>100</v>
      </c>
      <c r="H2252">
        <v>1</v>
      </c>
      <c r="I2252">
        <v>1</v>
      </c>
      <c r="J2252" s="27">
        <v>30456.94</v>
      </c>
      <c r="K2252" s="27">
        <v>2500000</v>
      </c>
    </row>
    <row r="2253" spans="1:11" ht="15" customHeight="1" x14ac:dyDescent="0.2">
      <c r="A2253" t="s">
        <v>5086</v>
      </c>
      <c r="B2253" t="s">
        <v>5087</v>
      </c>
      <c r="C2253">
        <v>2024</v>
      </c>
      <c r="D2253" s="18">
        <v>45480</v>
      </c>
      <c r="E2253" s="18">
        <v>45844</v>
      </c>
      <c r="F2253" s="18" t="s">
        <v>611</v>
      </c>
      <c r="G2253" t="s">
        <v>99</v>
      </c>
      <c r="H2253">
        <v>2</v>
      </c>
      <c r="I2253">
        <v>2</v>
      </c>
      <c r="J2253" s="27">
        <v>9152.23</v>
      </c>
      <c r="K2253" s="27">
        <v>1000000</v>
      </c>
    </row>
    <row r="2254" spans="1:11" ht="15" customHeight="1" x14ac:dyDescent="0.2">
      <c r="A2254" t="s">
        <v>5088</v>
      </c>
      <c r="B2254" t="s">
        <v>5089</v>
      </c>
      <c r="C2254">
        <v>2024</v>
      </c>
      <c r="D2254" s="18">
        <v>45480</v>
      </c>
      <c r="E2254" s="18">
        <v>45844</v>
      </c>
      <c r="F2254" s="18" t="s">
        <v>611</v>
      </c>
      <c r="G2254" t="s">
        <v>102</v>
      </c>
      <c r="H2254">
        <v>1</v>
      </c>
      <c r="I2254">
        <v>1</v>
      </c>
      <c r="J2254" s="27">
        <v>39159.67</v>
      </c>
      <c r="K2254" s="27">
        <v>5000000</v>
      </c>
    </row>
    <row r="2255" spans="1:11" ht="15" customHeight="1" x14ac:dyDescent="0.2">
      <c r="A2255" t="s">
        <v>5090</v>
      </c>
      <c r="B2255" t="s">
        <v>5091</v>
      </c>
      <c r="C2255">
        <v>2024</v>
      </c>
      <c r="D2255" s="18">
        <v>45480</v>
      </c>
      <c r="E2255" s="18">
        <v>45844</v>
      </c>
      <c r="F2255" s="18" t="s">
        <v>611</v>
      </c>
      <c r="G2255" t="s">
        <v>99</v>
      </c>
      <c r="H2255">
        <v>3</v>
      </c>
      <c r="I2255">
        <v>6</v>
      </c>
      <c r="J2255" s="27">
        <v>23437.439999999999</v>
      </c>
      <c r="K2255" s="27">
        <v>3000000</v>
      </c>
    </row>
    <row r="2256" spans="1:11" ht="15" customHeight="1" x14ac:dyDescent="0.2">
      <c r="A2256" t="s">
        <v>5092</v>
      </c>
      <c r="B2256" t="s">
        <v>5093</v>
      </c>
      <c r="C2256">
        <v>2024</v>
      </c>
      <c r="D2256" s="18">
        <v>45480</v>
      </c>
      <c r="E2256" s="18">
        <v>45844</v>
      </c>
      <c r="F2256" s="18" t="s">
        <v>611</v>
      </c>
      <c r="G2256" t="s">
        <v>99</v>
      </c>
      <c r="H2256">
        <v>1</v>
      </c>
      <c r="I2256">
        <v>1</v>
      </c>
      <c r="J2256" s="27">
        <v>22867.02</v>
      </c>
      <c r="K2256" s="27">
        <v>2500000</v>
      </c>
    </row>
    <row r="2257" spans="1:11" ht="15" customHeight="1" x14ac:dyDescent="0.2">
      <c r="A2257" t="s">
        <v>5094</v>
      </c>
      <c r="B2257" t="s">
        <v>5095</v>
      </c>
      <c r="C2257">
        <v>2024</v>
      </c>
      <c r="D2257" s="18">
        <v>45480</v>
      </c>
      <c r="E2257" s="18">
        <v>45844</v>
      </c>
      <c r="F2257" s="18" t="s">
        <v>611</v>
      </c>
      <c r="G2257" t="s">
        <v>101</v>
      </c>
      <c r="H2257">
        <v>3</v>
      </c>
      <c r="I2257">
        <v>6</v>
      </c>
      <c r="J2257" s="27">
        <v>8143.28</v>
      </c>
      <c r="K2257" s="27">
        <v>500000</v>
      </c>
    </row>
    <row r="2258" spans="1:11" ht="15" customHeight="1" x14ac:dyDescent="0.2">
      <c r="A2258" t="s">
        <v>5096</v>
      </c>
      <c r="B2258" t="s">
        <v>5097</v>
      </c>
      <c r="C2258">
        <v>2024</v>
      </c>
      <c r="D2258" s="18">
        <v>45480</v>
      </c>
      <c r="E2258" s="18">
        <v>45844</v>
      </c>
      <c r="F2258" s="18" t="s">
        <v>611</v>
      </c>
      <c r="G2258" t="s">
        <v>100</v>
      </c>
      <c r="H2258">
        <v>2</v>
      </c>
      <c r="I2258">
        <v>4</v>
      </c>
      <c r="J2258" s="27">
        <v>31155.77</v>
      </c>
      <c r="K2258" s="27">
        <v>2500000</v>
      </c>
    </row>
    <row r="2259" spans="1:11" ht="15" customHeight="1" x14ac:dyDescent="0.2">
      <c r="A2259" t="s">
        <v>5098</v>
      </c>
      <c r="B2259" t="s">
        <v>5099</v>
      </c>
      <c r="C2259">
        <v>2024</v>
      </c>
      <c r="D2259" s="18">
        <v>45480</v>
      </c>
      <c r="E2259" s="18">
        <v>45844</v>
      </c>
      <c r="F2259" s="18" t="s">
        <v>611</v>
      </c>
      <c r="G2259" t="s">
        <v>101</v>
      </c>
      <c r="H2259">
        <v>3</v>
      </c>
      <c r="I2259">
        <v>6</v>
      </c>
      <c r="J2259" s="27">
        <v>30681.75</v>
      </c>
      <c r="K2259" s="27">
        <v>2000000</v>
      </c>
    </row>
    <row r="2260" spans="1:11" ht="15" customHeight="1" x14ac:dyDescent="0.2">
      <c r="A2260" t="s">
        <v>5100</v>
      </c>
      <c r="B2260" t="s">
        <v>5101</v>
      </c>
      <c r="C2260">
        <v>2024</v>
      </c>
      <c r="D2260" s="18">
        <v>45481</v>
      </c>
      <c r="E2260" s="18">
        <v>45845</v>
      </c>
      <c r="F2260" s="18" t="s">
        <v>608</v>
      </c>
      <c r="G2260" t="s">
        <v>102</v>
      </c>
      <c r="H2260">
        <v>3</v>
      </c>
      <c r="I2260">
        <v>3</v>
      </c>
      <c r="J2260" s="27">
        <v>33082.800000000003</v>
      </c>
      <c r="K2260" s="27">
        <v>5000000</v>
      </c>
    </row>
    <row r="2261" spans="1:11" ht="15" customHeight="1" x14ac:dyDescent="0.2">
      <c r="A2261" t="s">
        <v>5102</v>
      </c>
      <c r="B2261" t="s">
        <v>5103</v>
      </c>
      <c r="C2261">
        <v>2024</v>
      </c>
      <c r="D2261" s="18">
        <v>45481</v>
      </c>
      <c r="E2261" s="18">
        <v>45845</v>
      </c>
      <c r="F2261" s="18" t="s">
        <v>611</v>
      </c>
      <c r="G2261" t="s">
        <v>100</v>
      </c>
      <c r="H2261">
        <v>1</v>
      </c>
      <c r="I2261">
        <v>1</v>
      </c>
      <c r="J2261" s="27">
        <v>120094.17</v>
      </c>
      <c r="K2261" s="27">
        <v>10000000</v>
      </c>
    </row>
    <row r="2262" spans="1:11" ht="15" customHeight="1" x14ac:dyDescent="0.2">
      <c r="A2262" t="s">
        <v>5104</v>
      </c>
      <c r="B2262" t="s">
        <v>5105</v>
      </c>
      <c r="C2262">
        <v>2024</v>
      </c>
      <c r="D2262" s="18">
        <v>45481</v>
      </c>
      <c r="E2262" s="18">
        <v>45845</v>
      </c>
      <c r="F2262" s="18" t="s">
        <v>611</v>
      </c>
      <c r="G2262" t="s">
        <v>99</v>
      </c>
      <c r="H2262">
        <v>2</v>
      </c>
      <c r="I2262">
        <v>2</v>
      </c>
      <c r="J2262" s="27">
        <v>39293.43</v>
      </c>
      <c r="K2262" s="27">
        <v>5000000</v>
      </c>
    </row>
    <row r="2263" spans="1:11" ht="15" customHeight="1" x14ac:dyDescent="0.2">
      <c r="A2263" t="s">
        <v>5106</v>
      </c>
      <c r="B2263" t="s">
        <v>5107</v>
      </c>
      <c r="C2263">
        <v>2024</v>
      </c>
      <c r="D2263" s="18">
        <v>45481</v>
      </c>
      <c r="E2263" s="18">
        <v>45845</v>
      </c>
      <c r="F2263" s="18" t="s">
        <v>611</v>
      </c>
      <c r="G2263" t="s">
        <v>100</v>
      </c>
      <c r="H2263">
        <v>2</v>
      </c>
      <c r="I2263">
        <v>4</v>
      </c>
      <c r="J2263" s="27">
        <v>52293.06</v>
      </c>
      <c r="K2263" s="27">
        <v>4500000</v>
      </c>
    </row>
    <row r="2264" spans="1:11" ht="15" customHeight="1" x14ac:dyDescent="0.2">
      <c r="A2264" t="s">
        <v>5108</v>
      </c>
      <c r="B2264" t="s">
        <v>5109</v>
      </c>
      <c r="C2264">
        <v>2024</v>
      </c>
      <c r="D2264" s="18">
        <v>45481</v>
      </c>
      <c r="E2264" s="18">
        <v>45845</v>
      </c>
      <c r="F2264" s="18" t="s">
        <v>611</v>
      </c>
      <c r="G2264" t="s">
        <v>102</v>
      </c>
      <c r="H2264">
        <v>1</v>
      </c>
      <c r="I2264">
        <v>1</v>
      </c>
      <c r="J2264" s="27">
        <v>7483.24</v>
      </c>
      <c r="K2264" s="27">
        <v>1000000</v>
      </c>
    </row>
    <row r="2265" spans="1:11" ht="15" customHeight="1" x14ac:dyDescent="0.2">
      <c r="A2265" t="s">
        <v>5110</v>
      </c>
      <c r="B2265" t="s">
        <v>5111</v>
      </c>
      <c r="C2265">
        <v>2024</v>
      </c>
      <c r="D2265" s="18">
        <v>45481</v>
      </c>
      <c r="E2265" s="18">
        <v>45845</v>
      </c>
      <c r="F2265" s="18" t="s">
        <v>611</v>
      </c>
      <c r="G2265" t="s">
        <v>101</v>
      </c>
      <c r="H2265">
        <v>1</v>
      </c>
      <c r="I2265">
        <v>2</v>
      </c>
      <c r="J2265" s="27">
        <v>7955.22</v>
      </c>
      <c r="K2265" s="27">
        <v>500000</v>
      </c>
    </row>
    <row r="2266" spans="1:11" ht="15" customHeight="1" x14ac:dyDescent="0.2">
      <c r="A2266" t="s">
        <v>5112</v>
      </c>
      <c r="B2266" t="s">
        <v>5113</v>
      </c>
      <c r="C2266">
        <v>2024</v>
      </c>
      <c r="D2266" s="18">
        <v>45481</v>
      </c>
      <c r="E2266" s="18">
        <v>45845</v>
      </c>
      <c r="F2266" s="18" t="s">
        <v>611</v>
      </c>
      <c r="G2266" t="s">
        <v>99</v>
      </c>
      <c r="H2266">
        <v>1</v>
      </c>
      <c r="I2266">
        <v>2</v>
      </c>
      <c r="J2266" s="27">
        <v>23991.55</v>
      </c>
      <c r="K2266" s="27">
        <v>3000000</v>
      </c>
    </row>
    <row r="2267" spans="1:11" ht="15" customHeight="1" x14ac:dyDescent="0.2">
      <c r="A2267" t="s">
        <v>5114</v>
      </c>
      <c r="B2267" t="s">
        <v>5115</v>
      </c>
      <c r="C2267">
        <v>2024</v>
      </c>
      <c r="D2267" s="18">
        <v>45481</v>
      </c>
      <c r="E2267" s="18">
        <v>45845</v>
      </c>
      <c r="F2267" s="18" t="s">
        <v>611</v>
      </c>
      <c r="G2267" t="s">
        <v>99</v>
      </c>
      <c r="H2267">
        <v>2</v>
      </c>
      <c r="I2267">
        <v>2</v>
      </c>
      <c r="J2267" s="27">
        <v>31055.119999999999</v>
      </c>
      <c r="K2267" s="27">
        <v>4000000</v>
      </c>
    </row>
    <row r="2268" spans="1:11" ht="15" customHeight="1" x14ac:dyDescent="0.2">
      <c r="A2268" t="s">
        <v>5116</v>
      </c>
      <c r="B2268" t="s">
        <v>5117</v>
      </c>
      <c r="C2268">
        <v>2024</v>
      </c>
      <c r="D2268" s="18">
        <v>45481</v>
      </c>
      <c r="E2268" s="18">
        <v>45845</v>
      </c>
      <c r="F2268" s="18" t="s">
        <v>611</v>
      </c>
      <c r="G2268" t="s">
        <v>99</v>
      </c>
      <c r="H2268">
        <v>1</v>
      </c>
      <c r="I2268">
        <v>1</v>
      </c>
      <c r="J2268" s="27">
        <v>81992.990000000005</v>
      </c>
      <c r="K2268" s="27">
        <v>10000000</v>
      </c>
    </row>
    <row r="2269" spans="1:11" ht="15" customHeight="1" x14ac:dyDescent="0.2">
      <c r="A2269" t="s">
        <v>5118</v>
      </c>
      <c r="B2269" t="s">
        <v>5119</v>
      </c>
      <c r="C2269">
        <v>2024</v>
      </c>
      <c r="D2269" s="18">
        <v>45482</v>
      </c>
      <c r="E2269" s="18">
        <v>45846</v>
      </c>
      <c r="F2269" s="18" t="s">
        <v>608</v>
      </c>
      <c r="G2269" t="s">
        <v>102</v>
      </c>
      <c r="H2269">
        <v>2</v>
      </c>
      <c r="I2269">
        <v>2</v>
      </c>
      <c r="J2269" s="27">
        <v>76135.66</v>
      </c>
      <c r="K2269" s="27">
        <v>10000000</v>
      </c>
    </row>
    <row r="2270" spans="1:11" ht="15" customHeight="1" x14ac:dyDescent="0.2">
      <c r="A2270" t="s">
        <v>5120</v>
      </c>
      <c r="B2270" t="s">
        <v>5121</v>
      </c>
      <c r="C2270">
        <v>2024</v>
      </c>
      <c r="D2270" s="18">
        <v>45482</v>
      </c>
      <c r="E2270" s="18">
        <v>45846</v>
      </c>
      <c r="F2270" s="18" t="s">
        <v>608</v>
      </c>
      <c r="G2270" t="s">
        <v>101</v>
      </c>
      <c r="H2270">
        <v>1</v>
      </c>
      <c r="I2270">
        <v>1</v>
      </c>
      <c r="J2270" s="27">
        <v>43035.95</v>
      </c>
      <c r="K2270" s="27">
        <v>3000000</v>
      </c>
    </row>
    <row r="2271" spans="1:11" ht="15" customHeight="1" x14ac:dyDescent="0.2">
      <c r="A2271" t="s">
        <v>5122</v>
      </c>
      <c r="B2271" t="s">
        <v>5123</v>
      </c>
      <c r="C2271">
        <v>2024</v>
      </c>
      <c r="D2271" s="18">
        <v>45482</v>
      </c>
      <c r="E2271" s="18">
        <v>45846</v>
      </c>
      <c r="F2271" s="18" t="s">
        <v>611</v>
      </c>
      <c r="G2271" t="s">
        <v>101</v>
      </c>
      <c r="H2271">
        <v>2</v>
      </c>
      <c r="I2271">
        <v>2</v>
      </c>
      <c r="J2271" s="27">
        <v>144856.1</v>
      </c>
      <c r="K2271" s="27">
        <v>10000000</v>
      </c>
    </row>
    <row r="2272" spans="1:11" ht="15" customHeight="1" x14ac:dyDescent="0.2">
      <c r="A2272" t="s">
        <v>5124</v>
      </c>
      <c r="B2272" t="s">
        <v>5125</v>
      </c>
      <c r="C2272">
        <v>2024</v>
      </c>
      <c r="D2272" s="18">
        <v>45482</v>
      </c>
      <c r="E2272" s="18">
        <v>45846</v>
      </c>
      <c r="F2272" s="18" t="s">
        <v>611</v>
      </c>
      <c r="G2272" t="s">
        <v>99</v>
      </c>
      <c r="H2272">
        <v>2</v>
      </c>
      <c r="I2272">
        <v>2</v>
      </c>
      <c r="J2272" s="27">
        <v>17064.66</v>
      </c>
      <c r="K2272" s="27">
        <v>2000000</v>
      </c>
    </row>
    <row r="2273" spans="1:11" ht="15" customHeight="1" x14ac:dyDescent="0.2">
      <c r="A2273" t="s">
        <v>5126</v>
      </c>
      <c r="B2273" t="s">
        <v>5127</v>
      </c>
      <c r="C2273">
        <v>2024</v>
      </c>
      <c r="D2273" s="18">
        <v>45482</v>
      </c>
      <c r="E2273" s="18">
        <v>45846</v>
      </c>
      <c r="F2273" s="18" t="s">
        <v>611</v>
      </c>
      <c r="G2273" t="s">
        <v>101</v>
      </c>
      <c r="H2273">
        <v>1</v>
      </c>
      <c r="I2273">
        <v>1</v>
      </c>
      <c r="J2273" s="27">
        <v>16444.080000000002</v>
      </c>
      <c r="K2273" s="27">
        <v>1000000</v>
      </c>
    </row>
    <row r="2274" spans="1:11" ht="15" customHeight="1" x14ac:dyDescent="0.2">
      <c r="A2274" t="s">
        <v>5128</v>
      </c>
      <c r="B2274" t="s">
        <v>5129</v>
      </c>
      <c r="C2274">
        <v>2024</v>
      </c>
      <c r="D2274" s="18">
        <v>45482</v>
      </c>
      <c r="E2274" s="18">
        <v>45846</v>
      </c>
      <c r="F2274" s="18" t="s">
        <v>611</v>
      </c>
      <c r="G2274" t="s">
        <v>100</v>
      </c>
      <c r="H2274">
        <v>3</v>
      </c>
      <c r="I2274">
        <v>6</v>
      </c>
      <c r="J2274" s="27">
        <v>124557.39</v>
      </c>
      <c r="K2274" s="27">
        <v>10000000</v>
      </c>
    </row>
    <row r="2275" spans="1:11" ht="15" customHeight="1" x14ac:dyDescent="0.2">
      <c r="A2275" t="s">
        <v>5130</v>
      </c>
      <c r="B2275" t="s">
        <v>5131</v>
      </c>
      <c r="C2275">
        <v>2024</v>
      </c>
      <c r="D2275" s="18">
        <v>45482</v>
      </c>
      <c r="E2275" s="18">
        <v>45846</v>
      </c>
      <c r="F2275" s="18" t="s">
        <v>611</v>
      </c>
      <c r="G2275" t="s">
        <v>101</v>
      </c>
      <c r="H2275">
        <v>2</v>
      </c>
      <c r="I2275">
        <v>2</v>
      </c>
      <c r="J2275" s="27">
        <v>34015.910000000003</v>
      </c>
      <c r="K2275" s="27">
        <v>2000000</v>
      </c>
    </row>
    <row r="2276" spans="1:11" ht="15" customHeight="1" x14ac:dyDescent="0.2">
      <c r="A2276" t="s">
        <v>5132</v>
      </c>
      <c r="B2276" t="s">
        <v>5133</v>
      </c>
      <c r="C2276">
        <v>2024</v>
      </c>
      <c r="D2276" s="18">
        <v>45482</v>
      </c>
      <c r="E2276" s="18">
        <v>45846</v>
      </c>
      <c r="F2276" s="18" t="s">
        <v>611</v>
      </c>
      <c r="G2276" t="s">
        <v>102</v>
      </c>
      <c r="H2276">
        <v>1</v>
      </c>
      <c r="I2276">
        <v>2</v>
      </c>
      <c r="J2276" s="27">
        <v>15066.07</v>
      </c>
      <c r="K2276" s="27">
        <v>2000000</v>
      </c>
    </row>
    <row r="2277" spans="1:11" ht="15" customHeight="1" x14ac:dyDescent="0.2">
      <c r="A2277" t="s">
        <v>5134</v>
      </c>
      <c r="B2277" t="s">
        <v>5135</v>
      </c>
      <c r="C2277">
        <v>2024</v>
      </c>
      <c r="D2277" s="18">
        <v>45482</v>
      </c>
      <c r="E2277" s="18">
        <v>45846</v>
      </c>
      <c r="F2277" s="18" t="s">
        <v>611</v>
      </c>
      <c r="G2277" t="s">
        <v>101</v>
      </c>
      <c r="H2277">
        <v>1</v>
      </c>
      <c r="I2277">
        <v>1</v>
      </c>
      <c r="J2277" s="27">
        <v>46478.36</v>
      </c>
      <c r="K2277" s="27">
        <v>3000000</v>
      </c>
    </row>
    <row r="2278" spans="1:11" ht="15" customHeight="1" x14ac:dyDescent="0.2">
      <c r="A2278" t="s">
        <v>5136</v>
      </c>
      <c r="B2278" t="s">
        <v>5137</v>
      </c>
      <c r="C2278">
        <v>2024</v>
      </c>
      <c r="D2278" s="18">
        <v>45482</v>
      </c>
      <c r="E2278" s="18">
        <v>45846</v>
      </c>
      <c r="F2278" s="18" t="s">
        <v>611</v>
      </c>
      <c r="G2278" t="s">
        <v>100</v>
      </c>
      <c r="H2278">
        <v>1</v>
      </c>
      <c r="I2278">
        <v>1</v>
      </c>
      <c r="J2278" s="27">
        <v>117012.53</v>
      </c>
      <c r="K2278" s="27">
        <v>10000000</v>
      </c>
    </row>
    <row r="2279" spans="1:11" ht="15" customHeight="1" x14ac:dyDescent="0.2">
      <c r="A2279" t="s">
        <v>5138</v>
      </c>
      <c r="B2279" t="s">
        <v>5139</v>
      </c>
      <c r="C2279">
        <v>2024</v>
      </c>
      <c r="D2279" s="18">
        <v>45482</v>
      </c>
      <c r="E2279" s="18">
        <v>45846</v>
      </c>
      <c r="F2279" s="18" t="s">
        <v>611</v>
      </c>
      <c r="G2279" t="s">
        <v>101</v>
      </c>
      <c r="H2279">
        <v>1</v>
      </c>
      <c r="I2279">
        <v>2</v>
      </c>
      <c r="J2279" s="27">
        <v>42413.120000000003</v>
      </c>
      <c r="K2279" s="27">
        <v>3000000</v>
      </c>
    </row>
    <row r="2280" spans="1:11" ht="15" customHeight="1" x14ac:dyDescent="0.2">
      <c r="A2280" t="s">
        <v>5140</v>
      </c>
      <c r="B2280" t="s">
        <v>5141</v>
      </c>
      <c r="C2280">
        <v>2024</v>
      </c>
      <c r="D2280" s="18">
        <v>45482</v>
      </c>
      <c r="E2280" s="18">
        <v>45846</v>
      </c>
      <c r="F2280" s="18" t="s">
        <v>611</v>
      </c>
      <c r="G2280" t="s">
        <v>101</v>
      </c>
      <c r="H2280">
        <v>3</v>
      </c>
      <c r="I2280">
        <v>3</v>
      </c>
      <c r="J2280" s="27">
        <v>42884.160000000003</v>
      </c>
      <c r="K2280" s="27">
        <v>3000000</v>
      </c>
    </row>
    <row r="2281" spans="1:11" ht="15" customHeight="1" x14ac:dyDescent="0.2">
      <c r="A2281" t="s">
        <v>5142</v>
      </c>
      <c r="B2281" t="s">
        <v>5143</v>
      </c>
      <c r="C2281">
        <v>2024</v>
      </c>
      <c r="D2281" s="18">
        <v>45483</v>
      </c>
      <c r="E2281" s="18">
        <v>45847</v>
      </c>
      <c r="F2281" s="18" t="s">
        <v>608</v>
      </c>
      <c r="G2281" t="s">
        <v>99</v>
      </c>
      <c r="H2281">
        <v>1</v>
      </c>
      <c r="I2281">
        <v>1</v>
      </c>
      <c r="J2281" s="27">
        <v>35297.32</v>
      </c>
      <c r="K2281" s="27">
        <v>4000000</v>
      </c>
    </row>
    <row r="2282" spans="1:11" ht="15" customHeight="1" x14ac:dyDescent="0.2">
      <c r="A2282" t="s">
        <v>5144</v>
      </c>
      <c r="B2282" t="s">
        <v>5145</v>
      </c>
      <c r="C2282">
        <v>2024</v>
      </c>
      <c r="D2282" s="18">
        <v>45483</v>
      </c>
      <c r="E2282" s="18">
        <v>45847</v>
      </c>
      <c r="F2282" s="18" t="s">
        <v>608</v>
      </c>
      <c r="G2282" t="s">
        <v>101</v>
      </c>
      <c r="H2282">
        <v>1</v>
      </c>
      <c r="I2282">
        <v>1</v>
      </c>
      <c r="J2282" s="27">
        <v>29923.22</v>
      </c>
      <c r="K2282" s="27">
        <v>2000000</v>
      </c>
    </row>
    <row r="2283" spans="1:11" ht="15" customHeight="1" x14ac:dyDescent="0.2">
      <c r="A2283" t="s">
        <v>5146</v>
      </c>
      <c r="B2283" t="s">
        <v>5147</v>
      </c>
      <c r="C2283">
        <v>2024</v>
      </c>
      <c r="D2283" s="18">
        <v>45483</v>
      </c>
      <c r="E2283" s="18">
        <v>45847</v>
      </c>
      <c r="F2283" s="18" t="s">
        <v>611</v>
      </c>
      <c r="G2283" t="s">
        <v>100</v>
      </c>
      <c r="H2283">
        <v>1</v>
      </c>
      <c r="I2283">
        <v>1</v>
      </c>
      <c r="J2283" s="27">
        <v>13244.91</v>
      </c>
      <c r="K2283" s="27">
        <v>1000000</v>
      </c>
    </row>
    <row r="2284" spans="1:11" ht="15" customHeight="1" x14ac:dyDescent="0.2">
      <c r="A2284" t="s">
        <v>5148</v>
      </c>
      <c r="B2284" t="s">
        <v>5149</v>
      </c>
      <c r="C2284">
        <v>2024</v>
      </c>
      <c r="D2284" s="18">
        <v>45483</v>
      </c>
      <c r="E2284" s="18">
        <v>45847</v>
      </c>
      <c r="F2284" s="18" t="s">
        <v>611</v>
      </c>
      <c r="G2284" t="s">
        <v>101</v>
      </c>
      <c r="H2284">
        <v>1</v>
      </c>
      <c r="I2284">
        <v>2</v>
      </c>
      <c r="J2284" s="27">
        <v>78219.81</v>
      </c>
      <c r="K2284" s="27">
        <v>5000000</v>
      </c>
    </row>
    <row r="2285" spans="1:11" ht="15" customHeight="1" x14ac:dyDescent="0.2">
      <c r="A2285" t="s">
        <v>5150</v>
      </c>
      <c r="B2285" t="s">
        <v>5151</v>
      </c>
      <c r="C2285">
        <v>2024</v>
      </c>
      <c r="D2285" s="18">
        <v>45483</v>
      </c>
      <c r="E2285" s="18">
        <v>45847</v>
      </c>
      <c r="F2285" s="18" t="s">
        <v>611</v>
      </c>
      <c r="G2285" t="s">
        <v>101</v>
      </c>
      <c r="H2285">
        <v>1</v>
      </c>
      <c r="I2285">
        <v>1</v>
      </c>
      <c r="J2285" s="27">
        <v>44926.95</v>
      </c>
      <c r="K2285" s="27">
        <v>3000000</v>
      </c>
    </row>
    <row r="2286" spans="1:11" ht="15" customHeight="1" x14ac:dyDescent="0.2">
      <c r="A2286" t="s">
        <v>5152</v>
      </c>
      <c r="B2286" t="s">
        <v>5153</v>
      </c>
      <c r="C2286">
        <v>2024</v>
      </c>
      <c r="D2286" s="18">
        <v>45483</v>
      </c>
      <c r="E2286" s="18">
        <v>45847</v>
      </c>
      <c r="F2286" s="18" t="s">
        <v>611</v>
      </c>
      <c r="G2286" t="s">
        <v>99</v>
      </c>
      <c r="H2286">
        <v>2</v>
      </c>
      <c r="I2286">
        <v>4</v>
      </c>
      <c r="J2286" s="27">
        <v>4546.75</v>
      </c>
      <c r="K2286" s="27">
        <v>500000</v>
      </c>
    </row>
    <row r="2287" spans="1:11" ht="15" customHeight="1" x14ac:dyDescent="0.2">
      <c r="A2287" t="s">
        <v>5154</v>
      </c>
      <c r="B2287" t="s">
        <v>5155</v>
      </c>
      <c r="C2287">
        <v>2024</v>
      </c>
      <c r="D2287" s="18">
        <v>45484</v>
      </c>
      <c r="E2287" s="18">
        <v>45848</v>
      </c>
      <c r="F2287" s="18" t="s">
        <v>608</v>
      </c>
      <c r="G2287" t="s">
        <v>100</v>
      </c>
      <c r="H2287">
        <v>3</v>
      </c>
      <c r="I2287">
        <v>6</v>
      </c>
      <c r="J2287" s="27">
        <v>27000.94</v>
      </c>
      <c r="K2287" s="27">
        <v>2000000</v>
      </c>
    </row>
    <row r="2288" spans="1:11" ht="15" customHeight="1" x14ac:dyDescent="0.2">
      <c r="A2288" t="s">
        <v>5156</v>
      </c>
      <c r="B2288" t="s">
        <v>5157</v>
      </c>
      <c r="C2288">
        <v>2024</v>
      </c>
      <c r="D2288" s="18">
        <v>45484</v>
      </c>
      <c r="E2288" s="18">
        <v>45848</v>
      </c>
      <c r="F2288" s="18" t="s">
        <v>608</v>
      </c>
      <c r="G2288" t="s">
        <v>101</v>
      </c>
      <c r="H2288">
        <v>2</v>
      </c>
      <c r="I2288">
        <v>2</v>
      </c>
      <c r="J2288" s="27">
        <v>76501.91</v>
      </c>
      <c r="K2288" s="27">
        <v>5000000</v>
      </c>
    </row>
    <row r="2289" spans="1:11" ht="15" customHeight="1" x14ac:dyDescent="0.2">
      <c r="A2289" t="s">
        <v>5158</v>
      </c>
      <c r="B2289" t="s">
        <v>5159</v>
      </c>
      <c r="C2289">
        <v>2024</v>
      </c>
      <c r="D2289" s="18">
        <v>45484</v>
      </c>
      <c r="E2289" s="18">
        <v>45848</v>
      </c>
      <c r="F2289" s="18" t="s">
        <v>611</v>
      </c>
      <c r="G2289" t="s">
        <v>99</v>
      </c>
      <c r="H2289">
        <v>3</v>
      </c>
      <c r="I2289">
        <v>6</v>
      </c>
      <c r="J2289" s="27">
        <v>39624.81</v>
      </c>
      <c r="K2289" s="27">
        <v>5000000</v>
      </c>
    </row>
    <row r="2290" spans="1:11" ht="15" customHeight="1" x14ac:dyDescent="0.2">
      <c r="A2290" t="s">
        <v>5160</v>
      </c>
      <c r="B2290" t="s">
        <v>5161</v>
      </c>
      <c r="C2290">
        <v>2024</v>
      </c>
      <c r="D2290" s="18">
        <v>45484</v>
      </c>
      <c r="E2290" s="18">
        <v>45848</v>
      </c>
      <c r="F2290" s="18" t="s">
        <v>611</v>
      </c>
      <c r="G2290" t="s">
        <v>99</v>
      </c>
      <c r="H2290">
        <v>1</v>
      </c>
      <c r="I2290">
        <v>2</v>
      </c>
      <c r="J2290" s="27">
        <v>21385.71</v>
      </c>
      <c r="K2290" s="27">
        <v>2500000</v>
      </c>
    </row>
    <row r="2291" spans="1:11" ht="15" customHeight="1" x14ac:dyDescent="0.2">
      <c r="A2291" t="s">
        <v>5162</v>
      </c>
      <c r="B2291" t="s">
        <v>5163</v>
      </c>
      <c r="C2291">
        <v>2024</v>
      </c>
      <c r="D2291" s="18">
        <v>45484</v>
      </c>
      <c r="E2291" s="18">
        <v>45848</v>
      </c>
      <c r="F2291" s="18" t="s">
        <v>611</v>
      </c>
      <c r="G2291" t="s">
        <v>100</v>
      </c>
      <c r="H2291">
        <v>3</v>
      </c>
      <c r="I2291">
        <v>6</v>
      </c>
      <c r="J2291" s="27">
        <v>33431.21</v>
      </c>
      <c r="K2291" s="27">
        <v>2500000</v>
      </c>
    </row>
    <row r="2292" spans="1:11" ht="15" customHeight="1" x14ac:dyDescent="0.2">
      <c r="A2292" t="s">
        <v>5164</v>
      </c>
      <c r="B2292" t="s">
        <v>5165</v>
      </c>
      <c r="C2292">
        <v>2024</v>
      </c>
      <c r="D2292" s="18">
        <v>45484</v>
      </c>
      <c r="E2292" s="18">
        <v>45848</v>
      </c>
      <c r="F2292" s="18" t="s">
        <v>611</v>
      </c>
      <c r="G2292" t="s">
        <v>99</v>
      </c>
      <c r="H2292">
        <v>2</v>
      </c>
      <c r="I2292">
        <v>2</v>
      </c>
      <c r="J2292" s="27">
        <v>39232.879999999997</v>
      </c>
      <c r="K2292" s="27">
        <v>4500000</v>
      </c>
    </row>
    <row r="2293" spans="1:11" ht="15" customHeight="1" x14ac:dyDescent="0.2">
      <c r="A2293" t="s">
        <v>5166</v>
      </c>
      <c r="B2293" t="s">
        <v>5167</v>
      </c>
      <c r="C2293">
        <v>2024</v>
      </c>
      <c r="D2293" s="18">
        <v>45484</v>
      </c>
      <c r="E2293" s="18">
        <v>45848</v>
      </c>
      <c r="F2293" s="18" t="s">
        <v>611</v>
      </c>
      <c r="G2293" t="s">
        <v>99</v>
      </c>
      <c r="H2293">
        <v>1</v>
      </c>
      <c r="I2293">
        <v>2</v>
      </c>
      <c r="J2293" s="27">
        <v>17622.93</v>
      </c>
      <c r="K2293" s="27">
        <v>2000000</v>
      </c>
    </row>
    <row r="2294" spans="1:11" ht="15" customHeight="1" x14ac:dyDescent="0.2">
      <c r="A2294" t="s">
        <v>5168</v>
      </c>
      <c r="B2294" t="s">
        <v>5169</v>
      </c>
      <c r="C2294">
        <v>2024</v>
      </c>
      <c r="D2294" s="18">
        <v>45484</v>
      </c>
      <c r="E2294" s="18">
        <v>45848</v>
      </c>
      <c r="F2294" s="18" t="s">
        <v>611</v>
      </c>
      <c r="G2294" t="s">
        <v>99</v>
      </c>
      <c r="H2294">
        <v>1</v>
      </c>
      <c r="I2294">
        <v>1</v>
      </c>
      <c r="J2294" s="27">
        <v>33551.019999999997</v>
      </c>
      <c r="K2294" s="27">
        <v>4000000</v>
      </c>
    </row>
    <row r="2295" spans="1:11" ht="15" customHeight="1" x14ac:dyDescent="0.2">
      <c r="A2295" t="s">
        <v>5170</v>
      </c>
      <c r="B2295" t="s">
        <v>5171</v>
      </c>
      <c r="C2295">
        <v>2024</v>
      </c>
      <c r="D2295" s="18">
        <v>45485</v>
      </c>
      <c r="E2295" s="18">
        <v>45849</v>
      </c>
      <c r="F2295" s="18" t="s">
        <v>608</v>
      </c>
      <c r="G2295" t="s">
        <v>99</v>
      </c>
      <c r="H2295">
        <v>1</v>
      </c>
      <c r="I2295">
        <v>2</v>
      </c>
      <c r="J2295" s="27">
        <v>16743.34</v>
      </c>
      <c r="K2295" s="27">
        <v>2000000</v>
      </c>
    </row>
    <row r="2296" spans="1:11" ht="15" customHeight="1" x14ac:dyDescent="0.2">
      <c r="A2296" t="s">
        <v>5172</v>
      </c>
      <c r="B2296" t="s">
        <v>5173</v>
      </c>
      <c r="C2296">
        <v>2024</v>
      </c>
      <c r="D2296" s="18">
        <v>45485</v>
      </c>
      <c r="E2296" s="18">
        <v>45849</v>
      </c>
      <c r="F2296" s="18" t="s">
        <v>611</v>
      </c>
      <c r="G2296" t="s">
        <v>99</v>
      </c>
      <c r="H2296">
        <v>3</v>
      </c>
      <c r="I2296">
        <v>6</v>
      </c>
      <c r="J2296" s="27">
        <v>76996.98</v>
      </c>
      <c r="K2296" s="27">
        <v>10000000</v>
      </c>
    </row>
    <row r="2297" spans="1:11" ht="15" customHeight="1" x14ac:dyDescent="0.2">
      <c r="A2297" t="s">
        <v>5174</v>
      </c>
      <c r="B2297" t="s">
        <v>5175</v>
      </c>
      <c r="C2297">
        <v>2024</v>
      </c>
      <c r="D2297" s="18">
        <v>45485</v>
      </c>
      <c r="E2297" s="18">
        <v>45849</v>
      </c>
      <c r="F2297" s="18" t="s">
        <v>611</v>
      </c>
      <c r="G2297" t="s">
        <v>99</v>
      </c>
      <c r="H2297">
        <v>3</v>
      </c>
      <c r="I2297">
        <v>6</v>
      </c>
      <c r="J2297" s="27">
        <v>21132.95</v>
      </c>
      <c r="K2297" s="27">
        <v>2500000</v>
      </c>
    </row>
    <row r="2298" spans="1:11" ht="15" customHeight="1" x14ac:dyDescent="0.2">
      <c r="A2298" t="s">
        <v>5176</v>
      </c>
      <c r="B2298" t="s">
        <v>5177</v>
      </c>
      <c r="C2298">
        <v>2024</v>
      </c>
      <c r="D2298" s="18">
        <v>45485</v>
      </c>
      <c r="E2298" s="18">
        <v>45849</v>
      </c>
      <c r="F2298" s="18" t="s">
        <v>611</v>
      </c>
      <c r="G2298" t="s">
        <v>101</v>
      </c>
      <c r="H2298">
        <v>1</v>
      </c>
      <c r="I2298">
        <v>1</v>
      </c>
      <c r="J2298" s="27">
        <v>72873.539999999994</v>
      </c>
      <c r="K2298" s="27">
        <v>5000000</v>
      </c>
    </row>
    <row r="2299" spans="1:11" ht="15" customHeight="1" x14ac:dyDescent="0.2">
      <c r="A2299" t="s">
        <v>5178</v>
      </c>
      <c r="B2299" t="s">
        <v>5179</v>
      </c>
      <c r="C2299">
        <v>2024</v>
      </c>
      <c r="D2299" s="18">
        <v>45485</v>
      </c>
      <c r="E2299" s="18">
        <v>45849</v>
      </c>
      <c r="F2299" s="18" t="s">
        <v>611</v>
      </c>
      <c r="G2299" t="s">
        <v>99</v>
      </c>
      <c r="H2299">
        <v>1</v>
      </c>
      <c r="I2299">
        <v>2</v>
      </c>
      <c r="J2299" s="27">
        <v>39275.410000000003</v>
      </c>
      <c r="K2299" s="27">
        <v>5000000</v>
      </c>
    </row>
    <row r="2300" spans="1:11" ht="15" customHeight="1" x14ac:dyDescent="0.2">
      <c r="A2300" t="s">
        <v>5180</v>
      </c>
      <c r="B2300" t="s">
        <v>5181</v>
      </c>
      <c r="C2300">
        <v>2024</v>
      </c>
      <c r="D2300" s="18">
        <v>45485</v>
      </c>
      <c r="E2300" s="18">
        <v>45849</v>
      </c>
      <c r="F2300" s="18" t="s">
        <v>611</v>
      </c>
      <c r="G2300" t="s">
        <v>99</v>
      </c>
      <c r="H2300">
        <v>2</v>
      </c>
      <c r="I2300">
        <v>2</v>
      </c>
      <c r="J2300" s="27">
        <v>15926.89</v>
      </c>
      <c r="K2300" s="27">
        <v>2000000</v>
      </c>
    </row>
    <row r="2301" spans="1:11" ht="15" customHeight="1" x14ac:dyDescent="0.2">
      <c r="A2301" t="s">
        <v>5182</v>
      </c>
      <c r="B2301" t="s">
        <v>5183</v>
      </c>
      <c r="C2301">
        <v>2024</v>
      </c>
      <c r="D2301" s="18">
        <v>45485</v>
      </c>
      <c r="E2301" s="18">
        <v>45849</v>
      </c>
      <c r="F2301" s="18" t="s">
        <v>611</v>
      </c>
      <c r="G2301" t="s">
        <v>100</v>
      </c>
      <c r="H2301">
        <v>2</v>
      </c>
      <c r="I2301">
        <v>2</v>
      </c>
      <c r="J2301" s="27">
        <v>11667.19</v>
      </c>
      <c r="K2301" s="27">
        <v>1000000</v>
      </c>
    </row>
    <row r="2302" spans="1:11" ht="15" customHeight="1" x14ac:dyDescent="0.2">
      <c r="A2302" t="s">
        <v>5184</v>
      </c>
      <c r="B2302" t="s">
        <v>5185</v>
      </c>
      <c r="C2302">
        <v>2024</v>
      </c>
      <c r="D2302" s="18">
        <v>45485</v>
      </c>
      <c r="E2302" s="18">
        <v>45849</v>
      </c>
      <c r="F2302" s="18" t="s">
        <v>611</v>
      </c>
      <c r="G2302" t="s">
        <v>101</v>
      </c>
      <c r="H2302">
        <v>2</v>
      </c>
      <c r="I2302">
        <v>4</v>
      </c>
      <c r="J2302" s="27">
        <v>83302.59</v>
      </c>
      <c r="K2302" s="27">
        <v>5000000</v>
      </c>
    </row>
    <row r="2303" spans="1:11" ht="15" customHeight="1" x14ac:dyDescent="0.2">
      <c r="A2303" t="s">
        <v>5186</v>
      </c>
      <c r="B2303" t="s">
        <v>5187</v>
      </c>
      <c r="C2303">
        <v>2024</v>
      </c>
      <c r="D2303" s="18">
        <v>45485</v>
      </c>
      <c r="E2303" s="18">
        <v>45849</v>
      </c>
      <c r="F2303" s="18" t="s">
        <v>611</v>
      </c>
      <c r="G2303" t="s">
        <v>100</v>
      </c>
      <c r="H2303">
        <v>2</v>
      </c>
      <c r="I2303">
        <v>2</v>
      </c>
      <c r="J2303" s="27">
        <v>65345.38</v>
      </c>
      <c r="K2303" s="27">
        <v>5000000</v>
      </c>
    </row>
    <row r="2304" spans="1:11" ht="15" customHeight="1" x14ac:dyDescent="0.2">
      <c r="A2304" t="s">
        <v>5188</v>
      </c>
      <c r="B2304" t="s">
        <v>5189</v>
      </c>
      <c r="C2304">
        <v>2024</v>
      </c>
      <c r="D2304" s="18">
        <v>45485</v>
      </c>
      <c r="E2304" s="18">
        <v>45849</v>
      </c>
      <c r="F2304" s="18" t="s">
        <v>611</v>
      </c>
      <c r="G2304" t="s">
        <v>102</v>
      </c>
      <c r="H2304">
        <v>1</v>
      </c>
      <c r="I2304">
        <v>1</v>
      </c>
      <c r="J2304" s="27">
        <v>24114.95</v>
      </c>
      <c r="K2304" s="27">
        <v>3500000</v>
      </c>
    </row>
    <row r="2305" spans="1:11" ht="15" customHeight="1" x14ac:dyDescent="0.2">
      <c r="A2305" t="s">
        <v>5190</v>
      </c>
      <c r="B2305" t="s">
        <v>5191</v>
      </c>
      <c r="C2305">
        <v>2024</v>
      </c>
      <c r="D2305" s="18">
        <v>45485</v>
      </c>
      <c r="E2305" s="18">
        <v>45849</v>
      </c>
      <c r="F2305" s="18" t="s">
        <v>611</v>
      </c>
      <c r="G2305" t="s">
        <v>99</v>
      </c>
      <c r="H2305">
        <v>1</v>
      </c>
      <c r="I2305">
        <v>1</v>
      </c>
      <c r="J2305" s="27">
        <v>27685.61</v>
      </c>
      <c r="K2305" s="27">
        <v>3500000</v>
      </c>
    </row>
    <row r="2306" spans="1:11" ht="15" customHeight="1" x14ac:dyDescent="0.2">
      <c r="A2306" t="s">
        <v>5192</v>
      </c>
      <c r="B2306" t="s">
        <v>5193</v>
      </c>
      <c r="C2306">
        <v>2024</v>
      </c>
      <c r="D2306" s="18">
        <v>45485</v>
      </c>
      <c r="E2306" s="18">
        <v>45849</v>
      </c>
      <c r="F2306" s="18" t="s">
        <v>611</v>
      </c>
      <c r="G2306" t="s">
        <v>101</v>
      </c>
      <c r="H2306">
        <v>1</v>
      </c>
      <c r="I2306">
        <v>1</v>
      </c>
      <c r="J2306" s="27">
        <v>73195.899999999994</v>
      </c>
      <c r="K2306" s="27">
        <v>5000000</v>
      </c>
    </row>
    <row r="2307" spans="1:11" ht="15" customHeight="1" x14ac:dyDescent="0.2">
      <c r="A2307" t="s">
        <v>5194</v>
      </c>
      <c r="B2307" t="s">
        <v>5195</v>
      </c>
      <c r="C2307">
        <v>2024</v>
      </c>
      <c r="D2307" s="18">
        <v>45486</v>
      </c>
      <c r="E2307" s="18">
        <v>45850</v>
      </c>
      <c r="F2307" s="18" t="s">
        <v>611</v>
      </c>
      <c r="G2307" t="s">
        <v>101</v>
      </c>
      <c r="H2307">
        <v>2</v>
      </c>
      <c r="I2307">
        <v>2</v>
      </c>
      <c r="J2307" s="27">
        <v>171135.1</v>
      </c>
      <c r="K2307" s="27">
        <v>10000000</v>
      </c>
    </row>
    <row r="2308" spans="1:11" ht="15" customHeight="1" x14ac:dyDescent="0.2">
      <c r="A2308" t="s">
        <v>5196</v>
      </c>
      <c r="B2308" t="s">
        <v>5197</v>
      </c>
      <c r="C2308">
        <v>2024</v>
      </c>
      <c r="D2308" s="18">
        <v>45486</v>
      </c>
      <c r="E2308" s="18">
        <v>45850</v>
      </c>
      <c r="F2308" s="18" t="s">
        <v>611</v>
      </c>
      <c r="G2308" t="s">
        <v>102</v>
      </c>
      <c r="H2308">
        <v>2</v>
      </c>
      <c r="I2308">
        <v>4</v>
      </c>
      <c r="J2308" s="27">
        <v>22523.13</v>
      </c>
      <c r="K2308" s="27">
        <v>3000000</v>
      </c>
    </row>
    <row r="2309" spans="1:11" ht="15" customHeight="1" x14ac:dyDescent="0.2">
      <c r="A2309" t="s">
        <v>5198</v>
      </c>
      <c r="B2309" t="s">
        <v>5199</v>
      </c>
      <c r="C2309">
        <v>2024</v>
      </c>
      <c r="D2309" s="18">
        <v>45486</v>
      </c>
      <c r="E2309" s="18">
        <v>45850</v>
      </c>
      <c r="F2309" s="18" t="s">
        <v>611</v>
      </c>
      <c r="G2309" t="s">
        <v>101</v>
      </c>
      <c r="H2309">
        <v>1</v>
      </c>
      <c r="I2309">
        <v>1</v>
      </c>
      <c r="J2309" s="27">
        <v>72753.679999999993</v>
      </c>
      <c r="K2309" s="27">
        <v>5000000</v>
      </c>
    </row>
    <row r="2310" spans="1:11" ht="15" customHeight="1" x14ac:dyDescent="0.2">
      <c r="A2310" t="s">
        <v>5200</v>
      </c>
      <c r="B2310" t="s">
        <v>5201</v>
      </c>
      <c r="C2310">
        <v>2024</v>
      </c>
      <c r="D2310" s="18">
        <v>45486</v>
      </c>
      <c r="E2310" s="18">
        <v>45850</v>
      </c>
      <c r="F2310" s="18" t="s">
        <v>611</v>
      </c>
      <c r="G2310" t="s">
        <v>100</v>
      </c>
      <c r="H2310">
        <v>2</v>
      </c>
      <c r="I2310">
        <v>2</v>
      </c>
      <c r="J2310" s="27">
        <v>25357.83</v>
      </c>
      <c r="K2310" s="27">
        <v>2000000</v>
      </c>
    </row>
    <row r="2311" spans="1:11" ht="15" customHeight="1" x14ac:dyDescent="0.2">
      <c r="A2311" t="s">
        <v>5202</v>
      </c>
      <c r="B2311" t="s">
        <v>5203</v>
      </c>
      <c r="C2311">
        <v>2024</v>
      </c>
      <c r="D2311" s="18">
        <v>45486</v>
      </c>
      <c r="E2311" s="18">
        <v>45850</v>
      </c>
      <c r="F2311" s="18" t="s">
        <v>611</v>
      </c>
      <c r="G2311" t="s">
        <v>99</v>
      </c>
      <c r="H2311">
        <v>3</v>
      </c>
      <c r="I2311">
        <v>3</v>
      </c>
      <c r="J2311" s="27">
        <v>86444.32</v>
      </c>
      <c r="K2311" s="27">
        <v>10000000</v>
      </c>
    </row>
    <row r="2312" spans="1:11" ht="15" customHeight="1" x14ac:dyDescent="0.2">
      <c r="A2312" t="s">
        <v>5204</v>
      </c>
      <c r="B2312" t="s">
        <v>5205</v>
      </c>
      <c r="C2312">
        <v>2024</v>
      </c>
      <c r="D2312" s="18">
        <v>45486</v>
      </c>
      <c r="E2312" s="18">
        <v>45850</v>
      </c>
      <c r="F2312" s="18" t="s">
        <v>611</v>
      </c>
      <c r="G2312" t="s">
        <v>99</v>
      </c>
      <c r="H2312">
        <v>1</v>
      </c>
      <c r="I2312">
        <v>1</v>
      </c>
      <c r="J2312" s="27">
        <v>44819.24</v>
      </c>
      <c r="K2312" s="27">
        <v>5000000</v>
      </c>
    </row>
    <row r="2313" spans="1:11" ht="15" customHeight="1" x14ac:dyDescent="0.2">
      <c r="A2313" t="s">
        <v>5206</v>
      </c>
      <c r="B2313" t="s">
        <v>5207</v>
      </c>
      <c r="C2313">
        <v>2024</v>
      </c>
      <c r="D2313" s="18">
        <v>45486</v>
      </c>
      <c r="E2313" s="18">
        <v>45850</v>
      </c>
      <c r="F2313" s="18" t="s">
        <v>611</v>
      </c>
      <c r="G2313" t="s">
        <v>102</v>
      </c>
      <c r="H2313">
        <v>2</v>
      </c>
      <c r="I2313">
        <v>4</v>
      </c>
      <c r="J2313" s="27">
        <v>66122.17</v>
      </c>
      <c r="K2313" s="27">
        <v>10000000</v>
      </c>
    </row>
    <row r="2314" spans="1:11" ht="15" customHeight="1" x14ac:dyDescent="0.2">
      <c r="A2314" t="s">
        <v>5208</v>
      </c>
      <c r="B2314" t="s">
        <v>5209</v>
      </c>
      <c r="C2314">
        <v>2024</v>
      </c>
      <c r="D2314" s="18">
        <v>45486</v>
      </c>
      <c r="E2314" s="18">
        <v>45850</v>
      </c>
      <c r="F2314" s="18" t="s">
        <v>611</v>
      </c>
      <c r="G2314" t="s">
        <v>101</v>
      </c>
      <c r="H2314">
        <v>1</v>
      </c>
      <c r="I2314">
        <v>2</v>
      </c>
      <c r="J2314" s="27">
        <v>16103.28</v>
      </c>
      <c r="K2314" s="27">
        <v>1000000</v>
      </c>
    </row>
    <row r="2315" spans="1:11" ht="15" customHeight="1" x14ac:dyDescent="0.2">
      <c r="A2315" t="s">
        <v>5210</v>
      </c>
      <c r="B2315" t="s">
        <v>5211</v>
      </c>
      <c r="C2315">
        <v>2024</v>
      </c>
      <c r="D2315" s="18">
        <v>45487</v>
      </c>
      <c r="E2315" s="18">
        <v>45851</v>
      </c>
      <c r="F2315" s="18" t="s">
        <v>608</v>
      </c>
      <c r="G2315" t="s">
        <v>101</v>
      </c>
      <c r="H2315">
        <v>1</v>
      </c>
      <c r="I2315">
        <v>1</v>
      </c>
      <c r="J2315" s="27">
        <v>85352.78</v>
      </c>
      <c r="K2315" s="27">
        <v>5000000</v>
      </c>
    </row>
    <row r="2316" spans="1:11" ht="15" customHeight="1" x14ac:dyDescent="0.2">
      <c r="A2316" t="s">
        <v>5212</v>
      </c>
      <c r="B2316" t="s">
        <v>5213</v>
      </c>
      <c r="C2316">
        <v>2024</v>
      </c>
      <c r="D2316" s="18">
        <v>45487</v>
      </c>
      <c r="E2316" s="18">
        <v>45851</v>
      </c>
      <c r="F2316" s="18" t="s">
        <v>608</v>
      </c>
      <c r="G2316" t="s">
        <v>100</v>
      </c>
      <c r="H2316">
        <v>1</v>
      </c>
      <c r="I2316">
        <v>1</v>
      </c>
      <c r="J2316" s="27">
        <v>120484.73</v>
      </c>
      <c r="K2316" s="27">
        <v>10000000</v>
      </c>
    </row>
    <row r="2317" spans="1:11" ht="15" customHeight="1" x14ac:dyDescent="0.2">
      <c r="A2317" t="s">
        <v>5214</v>
      </c>
      <c r="B2317" t="s">
        <v>5215</v>
      </c>
      <c r="C2317">
        <v>2024</v>
      </c>
      <c r="D2317" s="18">
        <v>45487</v>
      </c>
      <c r="E2317" s="18">
        <v>45851</v>
      </c>
      <c r="F2317" s="18" t="s">
        <v>611</v>
      </c>
      <c r="G2317" t="s">
        <v>101</v>
      </c>
      <c r="H2317">
        <v>1</v>
      </c>
      <c r="I2317">
        <v>2</v>
      </c>
      <c r="J2317" s="27">
        <v>46784.71</v>
      </c>
      <c r="K2317" s="27">
        <v>3000000</v>
      </c>
    </row>
    <row r="2318" spans="1:11" ht="15" customHeight="1" x14ac:dyDescent="0.2">
      <c r="A2318" t="s">
        <v>5216</v>
      </c>
      <c r="B2318" t="s">
        <v>5217</v>
      </c>
      <c r="C2318">
        <v>2024</v>
      </c>
      <c r="D2318" s="18">
        <v>45487</v>
      </c>
      <c r="E2318" s="18">
        <v>45851</v>
      </c>
      <c r="F2318" s="18" t="s">
        <v>611</v>
      </c>
      <c r="G2318" t="s">
        <v>101</v>
      </c>
      <c r="H2318">
        <v>2</v>
      </c>
      <c r="I2318">
        <v>2</v>
      </c>
      <c r="J2318" s="27">
        <v>74325.25</v>
      </c>
      <c r="K2318" s="27">
        <v>4500000</v>
      </c>
    </row>
    <row r="2319" spans="1:11" ht="15" customHeight="1" x14ac:dyDescent="0.2">
      <c r="A2319" t="s">
        <v>5218</v>
      </c>
      <c r="B2319" t="s">
        <v>5219</v>
      </c>
      <c r="C2319">
        <v>2024</v>
      </c>
      <c r="D2319" s="18">
        <v>45487</v>
      </c>
      <c r="E2319" s="18">
        <v>45851</v>
      </c>
      <c r="F2319" s="18" t="s">
        <v>611</v>
      </c>
      <c r="G2319" t="s">
        <v>99</v>
      </c>
      <c r="H2319">
        <v>2</v>
      </c>
      <c r="I2319">
        <v>4</v>
      </c>
      <c r="J2319" s="27">
        <v>12466.02</v>
      </c>
      <c r="K2319" s="27">
        <v>1500000</v>
      </c>
    </row>
    <row r="2320" spans="1:11" ht="15" customHeight="1" x14ac:dyDescent="0.2">
      <c r="A2320" t="s">
        <v>5220</v>
      </c>
      <c r="B2320" t="s">
        <v>5221</v>
      </c>
      <c r="C2320">
        <v>2024</v>
      </c>
      <c r="D2320" s="18">
        <v>45487</v>
      </c>
      <c r="E2320" s="18">
        <v>45851</v>
      </c>
      <c r="F2320" s="18" t="s">
        <v>611</v>
      </c>
      <c r="G2320" t="s">
        <v>99</v>
      </c>
      <c r="H2320">
        <v>2</v>
      </c>
      <c r="I2320">
        <v>4</v>
      </c>
      <c r="J2320" s="27">
        <v>11827.54</v>
      </c>
      <c r="K2320" s="27">
        <v>1500000</v>
      </c>
    </row>
    <row r="2321" spans="1:11" ht="15" customHeight="1" x14ac:dyDescent="0.2">
      <c r="A2321" t="s">
        <v>5222</v>
      </c>
      <c r="B2321" t="s">
        <v>5223</v>
      </c>
      <c r="C2321">
        <v>2024</v>
      </c>
      <c r="D2321" s="18">
        <v>45487</v>
      </c>
      <c r="E2321" s="18">
        <v>45851</v>
      </c>
      <c r="F2321" s="18" t="s">
        <v>611</v>
      </c>
      <c r="G2321" t="s">
        <v>102</v>
      </c>
      <c r="H2321">
        <v>1</v>
      </c>
      <c r="I2321">
        <v>1</v>
      </c>
      <c r="J2321" s="27">
        <v>3439.26</v>
      </c>
      <c r="K2321" s="27">
        <v>500000</v>
      </c>
    </row>
    <row r="2322" spans="1:11" ht="15" customHeight="1" x14ac:dyDescent="0.2">
      <c r="A2322" t="s">
        <v>5224</v>
      </c>
      <c r="B2322" t="s">
        <v>5225</v>
      </c>
      <c r="C2322">
        <v>2024</v>
      </c>
      <c r="D2322" s="18">
        <v>45488</v>
      </c>
      <c r="E2322" s="18">
        <v>45852</v>
      </c>
      <c r="F2322" s="18" t="s">
        <v>608</v>
      </c>
      <c r="G2322" t="s">
        <v>100</v>
      </c>
      <c r="H2322">
        <v>1</v>
      </c>
      <c r="I2322">
        <v>1</v>
      </c>
      <c r="J2322" s="27">
        <v>130739.4</v>
      </c>
      <c r="K2322" s="27">
        <v>10000000</v>
      </c>
    </row>
    <row r="2323" spans="1:11" ht="15" customHeight="1" x14ac:dyDescent="0.2">
      <c r="A2323" t="s">
        <v>5226</v>
      </c>
      <c r="B2323" t="s">
        <v>5227</v>
      </c>
      <c r="C2323">
        <v>2024</v>
      </c>
      <c r="D2323" s="18">
        <v>45488</v>
      </c>
      <c r="E2323" s="18">
        <v>45852</v>
      </c>
      <c r="F2323" s="18" t="s">
        <v>611</v>
      </c>
      <c r="G2323" t="s">
        <v>99</v>
      </c>
      <c r="H2323">
        <v>2</v>
      </c>
      <c r="I2323">
        <v>2</v>
      </c>
      <c r="J2323" s="27">
        <v>17427.349999999999</v>
      </c>
      <c r="K2323" s="27">
        <v>2000000</v>
      </c>
    </row>
    <row r="2324" spans="1:11" ht="15" customHeight="1" x14ac:dyDescent="0.2">
      <c r="A2324" t="s">
        <v>5228</v>
      </c>
      <c r="B2324" t="s">
        <v>5229</v>
      </c>
      <c r="C2324">
        <v>2024</v>
      </c>
      <c r="D2324" s="18">
        <v>45488</v>
      </c>
      <c r="E2324" s="18">
        <v>45852</v>
      </c>
      <c r="F2324" s="18" t="s">
        <v>611</v>
      </c>
      <c r="G2324" t="s">
        <v>102</v>
      </c>
      <c r="H2324">
        <v>1</v>
      </c>
      <c r="I2324">
        <v>1</v>
      </c>
      <c r="J2324" s="27">
        <v>28376.6</v>
      </c>
      <c r="K2324" s="27">
        <v>4000000</v>
      </c>
    </row>
    <row r="2325" spans="1:11" ht="15" customHeight="1" x14ac:dyDescent="0.2">
      <c r="A2325" t="s">
        <v>5230</v>
      </c>
      <c r="B2325" t="s">
        <v>5231</v>
      </c>
      <c r="C2325">
        <v>2024</v>
      </c>
      <c r="D2325" s="18">
        <v>45488</v>
      </c>
      <c r="E2325" s="18">
        <v>45852</v>
      </c>
      <c r="F2325" s="18" t="s">
        <v>611</v>
      </c>
      <c r="G2325" t="s">
        <v>101</v>
      </c>
      <c r="H2325">
        <v>3</v>
      </c>
      <c r="I2325">
        <v>3</v>
      </c>
      <c r="J2325" s="27">
        <v>141783.65</v>
      </c>
      <c r="K2325" s="27">
        <v>10000000</v>
      </c>
    </row>
    <row r="2326" spans="1:11" ht="15" customHeight="1" x14ac:dyDescent="0.2">
      <c r="A2326" t="s">
        <v>5232</v>
      </c>
      <c r="B2326" t="s">
        <v>5233</v>
      </c>
      <c r="C2326">
        <v>2024</v>
      </c>
      <c r="D2326" s="18">
        <v>45488</v>
      </c>
      <c r="E2326" s="18">
        <v>45852</v>
      </c>
      <c r="F2326" s="18" t="s">
        <v>611</v>
      </c>
      <c r="G2326" t="s">
        <v>99</v>
      </c>
      <c r="H2326">
        <v>1</v>
      </c>
      <c r="I2326">
        <v>1</v>
      </c>
      <c r="J2326" s="27">
        <v>38520.080000000002</v>
      </c>
      <c r="K2326" s="27">
        <v>5000000</v>
      </c>
    </row>
    <row r="2327" spans="1:11" ht="15" customHeight="1" x14ac:dyDescent="0.2">
      <c r="A2327" t="s">
        <v>5234</v>
      </c>
      <c r="B2327" t="s">
        <v>5235</v>
      </c>
      <c r="C2327">
        <v>2024</v>
      </c>
      <c r="D2327" s="18">
        <v>45489</v>
      </c>
      <c r="E2327" s="18">
        <v>45853</v>
      </c>
      <c r="F2327" s="18" t="s">
        <v>611</v>
      </c>
      <c r="G2327" t="s">
        <v>102</v>
      </c>
      <c r="H2327">
        <v>2</v>
      </c>
      <c r="I2327">
        <v>4</v>
      </c>
      <c r="J2327" s="27">
        <v>7839.3</v>
      </c>
      <c r="K2327" s="27">
        <v>1000000</v>
      </c>
    </row>
    <row r="2328" spans="1:11" ht="15" customHeight="1" x14ac:dyDescent="0.2">
      <c r="A2328" t="s">
        <v>5236</v>
      </c>
      <c r="B2328" t="s">
        <v>5237</v>
      </c>
      <c r="C2328">
        <v>2024</v>
      </c>
      <c r="D2328" s="18">
        <v>45489</v>
      </c>
      <c r="E2328" s="18">
        <v>45853</v>
      </c>
      <c r="F2328" s="18" t="s">
        <v>611</v>
      </c>
      <c r="G2328" t="s">
        <v>101</v>
      </c>
      <c r="H2328">
        <v>2</v>
      </c>
      <c r="I2328">
        <v>4</v>
      </c>
      <c r="J2328" s="27">
        <v>80006.61</v>
      </c>
      <c r="K2328" s="27">
        <v>5000000</v>
      </c>
    </row>
    <row r="2329" spans="1:11" ht="15" customHeight="1" x14ac:dyDescent="0.2">
      <c r="A2329" t="s">
        <v>5238</v>
      </c>
      <c r="B2329" t="s">
        <v>5239</v>
      </c>
      <c r="C2329">
        <v>2024</v>
      </c>
      <c r="D2329" s="18">
        <v>45489</v>
      </c>
      <c r="E2329" s="18">
        <v>45853</v>
      </c>
      <c r="F2329" s="18" t="s">
        <v>611</v>
      </c>
      <c r="G2329" t="s">
        <v>100</v>
      </c>
      <c r="H2329">
        <v>1</v>
      </c>
      <c r="I2329">
        <v>2</v>
      </c>
      <c r="J2329" s="27">
        <v>24003.39</v>
      </c>
      <c r="K2329" s="27">
        <v>2000000</v>
      </c>
    </row>
    <row r="2330" spans="1:11" ht="15" customHeight="1" x14ac:dyDescent="0.2">
      <c r="A2330" t="s">
        <v>5240</v>
      </c>
      <c r="B2330" t="s">
        <v>5241</v>
      </c>
      <c r="C2330">
        <v>2024</v>
      </c>
      <c r="D2330" s="18">
        <v>45489</v>
      </c>
      <c r="E2330" s="18">
        <v>45853</v>
      </c>
      <c r="F2330" s="18" t="s">
        <v>611</v>
      </c>
      <c r="G2330" t="s">
        <v>99</v>
      </c>
      <c r="H2330">
        <v>1</v>
      </c>
      <c r="I2330">
        <v>2</v>
      </c>
      <c r="J2330" s="27">
        <v>38222.050000000003</v>
      </c>
      <c r="K2330" s="27">
        <v>4500000</v>
      </c>
    </row>
    <row r="2331" spans="1:11" ht="15" customHeight="1" x14ac:dyDescent="0.2">
      <c r="A2331" t="s">
        <v>5242</v>
      </c>
      <c r="B2331" t="s">
        <v>5243</v>
      </c>
      <c r="C2331">
        <v>2024</v>
      </c>
      <c r="D2331" s="18">
        <v>45489</v>
      </c>
      <c r="E2331" s="18">
        <v>45853</v>
      </c>
      <c r="F2331" s="18" t="s">
        <v>611</v>
      </c>
      <c r="G2331" t="s">
        <v>99</v>
      </c>
      <c r="H2331">
        <v>1</v>
      </c>
      <c r="I2331">
        <v>1</v>
      </c>
      <c r="J2331" s="27">
        <v>31737.31</v>
      </c>
      <c r="K2331" s="27">
        <v>3500000</v>
      </c>
    </row>
    <row r="2332" spans="1:11" ht="15" customHeight="1" x14ac:dyDescent="0.2">
      <c r="A2332" t="s">
        <v>5244</v>
      </c>
      <c r="B2332" t="s">
        <v>5245</v>
      </c>
      <c r="C2332">
        <v>2024</v>
      </c>
      <c r="D2332" s="18">
        <v>45489</v>
      </c>
      <c r="E2332" s="18">
        <v>45853</v>
      </c>
      <c r="F2332" s="18" t="s">
        <v>611</v>
      </c>
      <c r="G2332" t="s">
        <v>99</v>
      </c>
      <c r="H2332">
        <v>3</v>
      </c>
      <c r="I2332">
        <v>3</v>
      </c>
      <c r="J2332" s="27">
        <v>4301.42</v>
      </c>
      <c r="K2332" s="27">
        <v>500000</v>
      </c>
    </row>
    <row r="2333" spans="1:11" ht="15" customHeight="1" x14ac:dyDescent="0.2">
      <c r="A2333" t="s">
        <v>5246</v>
      </c>
      <c r="B2333" t="s">
        <v>5247</v>
      </c>
      <c r="C2333">
        <v>2024</v>
      </c>
      <c r="D2333" s="18">
        <v>45489</v>
      </c>
      <c r="E2333" s="18">
        <v>45853</v>
      </c>
      <c r="F2333" s="18" t="s">
        <v>611</v>
      </c>
      <c r="G2333" t="s">
        <v>100</v>
      </c>
      <c r="H2333">
        <v>1</v>
      </c>
      <c r="I2333">
        <v>2</v>
      </c>
      <c r="J2333" s="27">
        <v>44558.5</v>
      </c>
      <c r="K2333" s="27">
        <v>4000000</v>
      </c>
    </row>
    <row r="2334" spans="1:11" ht="15" customHeight="1" x14ac:dyDescent="0.2">
      <c r="A2334" t="s">
        <v>5248</v>
      </c>
      <c r="B2334" t="s">
        <v>5249</v>
      </c>
      <c r="C2334">
        <v>2024</v>
      </c>
      <c r="D2334" s="18">
        <v>45489</v>
      </c>
      <c r="E2334" s="18">
        <v>45853</v>
      </c>
      <c r="F2334" s="18" t="s">
        <v>611</v>
      </c>
      <c r="G2334" t="s">
        <v>102</v>
      </c>
      <c r="H2334">
        <v>2</v>
      </c>
      <c r="I2334">
        <v>2</v>
      </c>
      <c r="J2334" s="27">
        <v>36926.86</v>
      </c>
      <c r="K2334" s="27">
        <v>5000000</v>
      </c>
    </row>
    <row r="2335" spans="1:11" ht="15" customHeight="1" x14ac:dyDescent="0.2">
      <c r="A2335" t="s">
        <v>5250</v>
      </c>
      <c r="B2335" t="s">
        <v>5251</v>
      </c>
      <c r="C2335">
        <v>2024</v>
      </c>
      <c r="D2335" s="18">
        <v>45490</v>
      </c>
      <c r="E2335" s="18">
        <v>45854</v>
      </c>
      <c r="F2335" s="18" t="s">
        <v>608</v>
      </c>
      <c r="G2335" t="s">
        <v>101</v>
      </c>
      <c r="H2335">
        <v>1</v>
      </c>
      <c r="I2335">
        <v>2</v>
      </c>
      <c r="J2335" s="27">
        <v>14764.92</v>
      </c>
      <c r="K2335" s="27">
        <v>1000000</v>
      </c>
    </row>
    <row r="2336" spans="1:11" ht="15" customHeight="1" x14ac:dyDescent="0.2">
      <c r="A2336" t="s">
        <v>5252</v>
      </c>
      <c r="B2336" t="s">
        <v>5253</v>
      </c>
      <c r="C2336">
        <v>2024</v>
      </c>
      <c r="D2336" s="18">
        <v>45490</v>
      </c>
      <c r="E2336" s="18">
        <v>45854</v>
      </c>
      <c r="F2336" s="18" t="s">
        <v>608</v>
      </c>
      <c r="G2336" t="s">
        <v>101</v>
      </c>
      <c r="H2336">
        <v>1</v>
      </c>
      <c r="I2336">
        <v>1</v>
      </c>
      <c r="J2336" s="27">
        <v>66218.759999999995</v>
      </c>
      <c r="K2336" s="27">
        <v>4000000</v>
      </c>
    </row>
    <row r="2337" spans="1:11" ht="15" customHeight="1" x14ac:dyDescent="0.2">
      <c r="A2337" t="s">
        <v>5254</v>
      </c>
      <c r="B2337" t="s">
        <v>5255</v>
      </c>
      <c r="C2337">
        <v>2024</v>
      </c>
      <c r="D2337" s="18">
        <v>45490</v>
      </c>
      <c r="E2337" s="18">
        <v>45854</v>
      </c>
      <c r="F2337" s="18" t="s">
        <v>611</v>
      </c>
      <c r="G2337" t="s">
        <v>101</v>
      </c>
      <c r="H2337">
        <v>1</v>
      </c>
      <c r="I2337">
        <v>1</v>
      </c>
      <c r="J2337" s="27">
        <v>33449.279999999999</v>
      </c>
      <c r="K2337" s="27">
        <v>2000000</v>
      </c>
    </row>
    <row r="2338" spans="1:11" ht="15" customHeight="1" x14ac:dyDescent="0.2">
      <c r="A2338" t="s">
        <v>5256</v>
      </c>
      <c r="B2338" t="s">
        <v>5257</v>
      </c>
      <c r="C2338">
        <v>2024</v>
      </c>
      <c r="D2338" s="18">
        <v>45490</v>
      </c>
      <c r="E2338" s="18">
        <v>45854</v>
      </c>
      <c r="F2338" s="18" t="s">
        <v>611</v>
      </c>
      <c r="G2338" t="s">
        <v>100</v>
      </c>
      <c r="H2338">
        <v>1</v>
      </c>
      <c r="I2338">
        <v>1</v>
      </c>
      <c r="J2338" s="27">
        <v>11723.21</v>
      </c>
      <c r="K2338" s="27">
        <v>1000000</v>
      </c>
    </row>
    <row r="2339" spans="1:11" ht="15" customHeight="1" x14ac:dyDescent="0.2">
      <c r="A2339" t="s">
        <v>5258</v>
      </c>
      <c r="B2339" t="s">
        <v>5259</v>
      </c>
      <c r="C2339">
        <v>2024</v>
      </c>
      <c r="D2339" s="18">
        <v>45490</v>
      </c>
      <c r="E2339" s="18">
        <v>45854</v>
      </c>
      <c r="F2339" s="18" t="s">
        <v>611</v>
      </c>
      <c r="G2339" t="s">
        <v>101</v>
      </c>
      <c r="H2339">
        <v>3</v>
      </c>
      <c r="I2339">
        <v>6</v>
      </c>
      <c r="J2339" s="27">
        <v>70487.98</v>
      </c>
      <c r="K2339" s="27">
        <v>5000000</v>
      </c>
    </row>
    <row r="2340" spans="1:11" ht="15" customHeight="1" x14ac:dyDescent="0.2">
      <c r="A2340" t="s">
        <v>5260</v>
      </c>
      <c r="B2340" t="s">
        <v>5261</v>
      </c>
      <c r="C2340">
        <v>2024</v>
      </c>
      <c r="D2340" s="18">
        <v>45490</v>
      </c>
      <c r="E2340" s="18">
        <v>45854</v>
      </c>
      <c r="F2340" s="18" t="s">
        <v>611</v>
      </c>
      <c r="G2340" t="s">
        <v>100</v>
      </c>
      <c r="H2340">
        <v>1</v>
      </c>
      <c r="I2340">
        <v>1</v>
      </c>
      <c r="J2340" s="27">
        <v>114691.75</v>
      </c>
      <c r="K2340" s="27">
        <v>10000000</v>
      </c>
    </row>
    <row r="2341" spans="1:11" ht="15" customHeight="1" x14ac:dyDescent="0.2">
      <c r="A2341" t="s">
        <v>5262</v>
      </c>
      <c r="B2341" t="s">
        <v>5263</v>
      </c>
      <c r="C2341">
        <v>2024</v>
      </c>
      <c r="D2341" s="18">
        <v>45490</v>
      </c>
      <c r="E2341" s="18">
        <v>45854</v>
      </c>
      <c r="F2341" s="18" t="s">
        <v>611</v>
      </c>
      <c r="G2341" t="s">
        <v>100</v>
      </c>
      <c r="H2341">
        <v>2</v>
      </c>
      <c r="I2341">
        <v>2</v>
      </c>
      <c r="J2341" s="27">
        <v>24965.05</v>
      </c>
      <c r="K2341" s="27">
        <v>2000000</v>
      </c>
    </row>
    <row r="2342" spans="1:11" ht="15" customHeight="1" x14ac:dyDescent="0.2">
      <c r="A2342" t="s">
        <v>5264</v>
      </c>
      <c r="B2342" t="s">
        <v>5265</v>
      </c>
      <c r="C2342">
        <v>2024</v>
      </c>
      <c r="D2342" s="18">
        <v>45490</v>
      </c>
      <c r="E2342" s="18">
        <v>45854</v>
      </c>
      <c r="F2342" s="18" t="s">
        <v>611</v>
      </c>
      <c r="G2342" t="s">
        <v>99</v>
      </c>
      <c r="H2342">
        <v>2</v>
      </c>
      <c r="I2342">
        <v>4</v>
      </c>
      <c r="J2342" s="27">
        <v>32651.7</v>
      </c>
      <c r="K2342" s="27">
        <v>4000000</v>
      </c>
    </row>
    <row r="2343" spans="1:11" ht="15" customHeight="1" x14ac:dyDescent="0.2">
      <c r="A2343" t="s">
        <v>5266</v>
      </c>
      <c r="B2343" t="s">
        <v>5267</v>
      </c>
      <c r="C2343">
        <v>2024</v>
      </c>
      <c r="D2343" s="18">
        <v>45490</v>
      </c>
      <c r="E2343" s="18">
        <v>45854</v>
      </c>
      <c r="F2343" s="18" t="s">
        <v>611</v>
      </c>
      <c r="G2343" t="s">
        <v>100</v>
      </c>
      <c r="H2343">
        <v>1</v>
      </c>
      <c r="I2343">
        <v>1</v>
      </c>
      <c r="J2343" s="27">
        <v>16622.939999999999</v>
      </c>
      <c r="K2343" s="27">
        <v>1500000</v>
      </c>
    </row>
    <row r="2344" spans="1:11" ht="15" customHeight="1" x14ac:dyDescent="0.2">
      <c r="A2344" t="s">
        <v>5268</v>
      </c>
      <c r="B2344" t="s">
        <v>5269</v>
      </c>
      <c r="C2344">
        <v>2024</v>
      </c>
      <c r="D2344" s="18">
        <v>45490</v>
      </c>
      <c r="E2344" s="18">
        <v>45854</v>
      </c>
      <c r="F2344" s="18" t="s">
        <v>611</v>
      </c>
      <c r="G2344" t="s">
        <v>100</v>
      </c>
      <c r="H2344">
        <v>2</v>
      </c>
      <c r="I2344">
        <v>2</v>
      </c>
      <c r="J2344" s="27">
        <v>13089.21</v>
      </c>
      <c r="K2344" s="27">
        <v>1000000</v>
      </c>
    </row>
    <row r="2345" spans="1:11" ht="15" customHeight="1" x14ac:dyDescent="0.2">
      <c r="A2345" t="s">
        <v>5270</v>
      </c>
      <c r="B2345" t="s">
        <v>5271</v>
      </c>
      <c r="C2345">
        <v>2024</v>
      </c>
      <c r="D2345" s="18">
        <v>45491</v>
      </c>
      <c r="E2345" s="18">
        <v>45855</v>
      </c>
      <c r="F2345" s="18" t="s">
        <v>611</v>
      </c>
      <c r="G2345" t="s">
        <v>102</v>
      </c>
      <c r="H2345">
        <v>1</v>
      </c>
      <c r="I2345">
        <v>2</v>
      </c>
      <c r="J2345" s="27">
        <v>37236.050000000003</v>
      </c>
      <c r="K2345" s="27">
        <v>5000000</v>
      </c>
    </row>
    <row r="2346" spans="1:11" ht="15" customHeight="1" x14ac:dyDescent="0.2">
      <c r="A2346" t="s">
        <v>5272</v>
      </c>
      <c r="B2346" t="s">
        <v>5273</v>
      </c>
      <c r="C2346">
        <v>2024</v>
      </c>
      <c r="D2346" s="18">
        <v>45491</v>
      </c>
      <c r="E2346" s="18">
        <v>45855</v>
      </c>
      <c r="F2346" s="18" t="s">
        <v>611</v>
      </c>
      <c r="G2346" t="s">
        <v>102</v>
      </c>
      <c r="H2346">
        <v>3</v>
      </c>
      <c r="I2346">
        <v>3</v>
      </c>
      <c r="J2346" s="27">
        <v>6987.47</v>
      </c>
      <c r="K2346" s="27">
        <v>1000000</v>
      </c>
    </row>
    <row r="2347" spans="1:11" ht="15" customHeight="1" x14ac:dyDescent="0.2">
      <c r="A2347" t="s">
        <v>5274</v>
      </c>
      <c r="B2347" t="s">
        <v>5275</v>
      </c>
      <c r="C2347">
        <v>2024</v>
      </c>
      <c r="D2347" s="18">
        <v>45491</v>
      </c>
      <c r="E2347" s="18">
        <v>45855</v>
      </c>
      <c r="F2347" s="18" t="s">
        <v>611</v>
      </c>
      <c r="G2347" t="s">
        <v>101</v>
      </c>
      <c r="H2347">
        <v>3</v>
      </c>
      <c r="I2347">
        <v>3</v>
      </c>
      <c r="J2347" s="27">
        <v>85149.47</v>
      </c>
      <c r="K2347" s="27">
        <v>5000000</v>
      </c>
    </row>
    <row r="2348" spans="1:11" ht="15" customHeight="1" x14ac:dyDescent="0.2">
      <c r="A2348" t="s">
        <v>5276</v>
      </c>
      <c r="B2348" t="s">
        <v>5277</v>
      </c>
      <c r="C2348">
        <v>2024</v>
      </c>
      <c r="D2348" s="18">
        <v>45491</v>
      </c>
      <c r="E2348" s="18">
        <v>45855</v>
      </c>
      <c r="F2348" s="18" t="s">
        <v>611</v>
      </c>
      <c r="G2348" t="s">
        <v>102</v>
      </c>
      <c r="H2348">
        <v>3</v>
      </c>
      <c r="I2348">
        <v>3</v>
      </c>
      <c r="J2348" s="27">
        <v>18184.88</v>
      </c>
      <c r="K2348" s="27">
        <v>2500000</v>
      </c>
    </row>
    <row r="2349" spans="1:11" ht="15" customHeight="1" x14ac:dyDescent="0.2">
      <c r="A2349" t="s">
        <v>5278</v>
      </c>
      <c r="B2349" t="s">
        <v>5279</v>
      </c>
      <c r="C2349">
        <v>2024</v>
      </c>
      <c r="D2349" s="18">
        <v>45491</v>
      </c>
      <c r="E2349" s="18">
        <v>45855</v>
      </c>
      <c r="F2349" s="18" t="s">
        <v>611</v>
      </c>
      <c r="G2349" t="s">
        <v>100</v>
      </c>
      <c r="H2349">
        <v>3</v>
      </c>
      <c r="I2349">
        <v>3</v>
      </c>
      <c r="J2349" s="27">
        <v>64057.63</v>
      </c>
      <c r="K2349" s="27">
        <v>5000000</v>
      </c>
    </row>
    <row r="2350" spans="1:11" ht="15" customHeight="1" x14ac:dyDescent="0.2">
      <c r="A2350" t="s">
        <v>5280</v>
      </c>
      <c r="B2350" t="s">
        <v>5281</v>
      </c>
      <c r="C2350">
        <v>2024</v>
      </c>
      <c r="D2350" s="18">
        <v>45491</v>
      </c>
      <c r="E2350" s="18">
        <v>45855</v>
      </c>
      <c r="F2350" s="18" t="s">
        <v>611</v>
      </c>
      <c r="G2350" t="s">
        <v>100</v>
      </c>
      <c r="H2350">
        <v>1</v>
      </c>
      <c r="I2350">
        <v>1</v>
      </c>
      <c r="J2350" s="27">
        <v>59106.14</v>
      </c>
      <c r="K2350" s="27">
        <v>4500000</v>
      </c>
    </row>
    <row r="2351" spans="1:11" ht="15" customHeight="1" x14ac:dyDescent="0.2">
      <c r="A2351" t="s">
        <v>5282</v>
      </c>
      <c r="B2351" t="s">
        <v>5283</v>
      </c>
      <c r="C2351">
        <v>2024</v>
      </c>
      <c r="D2351" s="18">
        <v>45491</v>
      </c>
      <c r="E2351" s="18">
        <v>45855</v>
      </c>
      <c r="F2351" s="18" t="s">
        <v>611</v>
      </c>
      <c r="G2351" t="s">
        <v>99</v>
      </c>
      <c r="H2351">
        <v>3</v>
      </c>
      <c r="I2351">
        <v>6</v>
      </c>
      <c r="J2351" s="27">
        <v>41113.589999999997</v>
      </c>
      <c r="K2351" s="27">
        <v>5000000</v>
      </c>
    </row>
    <row r="2352" spans="1:11" ht="15" customHeight="1" x14ac:dyDescent="0.2">
      <c r="A2352" t="s">
        <v>5284</v>
      </c>
      <c r="B2352" t="s">
        <v>5285</v>
      </c>
      <c r="C2352">
        <v>2024</v>
      </c>
      <c r="D2352" s="18">
        <v>45492</v>
      </c>
      <c r="E2352" s="18">
        <v>45856</v>
      </c>
      <c r="F2352" s="18" t="s">
        <v>608</v>
      </c>
      <c r="G2352" t="s">
        <v>100</v>
      </c>
      <c r="H2352">
        <v>1</v>
      </c>
      <c r="I2352">
        <v>1</v>
      </c>
      <c r="J2352" s="27">
        <v>57706.18</v>
      </c>
      <c r="K2352" s="27">
        <v>5000000</v>
      </c>
    </row>
    <row r="2353" spans="1:11" ht="15" customHeight="1" x14ac:dyDescent="0.2">
      <c r="A2353" t="s">
        <v>5286</v>
      </c>
      <c r="B2353" t="s">
        <v>5287</v>
      </c>
      <c r="C2353">
        <v>2024</v>
      </c>
      <c r="D2353" s="18">
        <v>45492</v>
      </c>
      <c r="E2353" s="18">
        <v>45856</v>
      </c>
      <c r="F2353" s="18" t="s">
        <v>608</v>
      </c>
      <c r="G2353" t="s">
        <v>101</v>
      </c>
      <c r="H2353">
        <v>1</v>
      </c>
      <c r="I2353">
        <v>2</v>
      </c>
      <c r="J2353" s="27">
        <v>28049.02</v>
      </c>
      <c r="K2353" s="27">
        <v>2000000</v>
      </c>
    </row>
    <row r="2354" spans="1:11" ht="15" customHeight="1" x14ac:dyDescent="0.2">
      <c r="A2354" t="s">
        <v>5288</v>
      </c>
      <c r="B2354" t="s">
        <v>5289</v>
      </c>
      <c r="C2354">
        <v>2024</v>
      </c>
      <c r="D2354" s="18">
        <v>45492</v>
      </c>
      <c r="E2354" s="18">
        <v>45856</v>
      </c>
      <c r="F2354" s="18" t="s">
        <v>611</v>
      </c>
      <c r="G2354" t="s">
        <v>100</v>
      </c>
      <c r="H2354">
        <v>1</v>
      </c>
      <c r="I2354">
        <v>1</v>
      </c>
      <c r="J2354" s="27">
        <v>33778.15</v>
      </c>
      <c r="K2354" s="27">
        <v>3000000</v>
      </c>
    </row>
    <row r="2355" spans="1:11" ht="15" customHeight="1" x14ac:dyDescent="0.2">
      <c r="A2355" t="s">
        <v>5290</v>
      </c>
      <c r="B2355" t="s">
        <v>5291</v>
      </c>
      <c r="C2355">
        <v>2024</v>
      </c>
      <c r="D2355" s="18">
        <v>45492</v>
      </c>
      <c r="E2355" s="18">
        <v>45856</v>
      </c>
      <c r="F2355" s="18" t="s">
        <v>611</v>
      </c>
      <c r="G2355" t="s">
        <v>101</v>
      </c>
      <c r="H2355">
        <v>1</v>
      </c>
      <c r="I2355">
        <v>2</v>
      </c>
      <c r="J2355" s="27">
        <v>75989.33</v>
      </c>
      <c r="K2355" s="27">
        <v>5000000</v>
      </c>
    </row>
    <row r="2356" spans="1:11" ht="15" customHeight="1" x14ac:dyDescent="0.2">
      <c r="A2356" t="s">
        <v>5292</v>
      </c>
      <c r="B2356" t="s">
        <v>5293</v>
      </c>
      <c r="C2356">
        <v>2024</v>
      </c>
      <c r="D2356" s="18">
        <v>45492</v>
      </c>
      <c r="E2356" s="18">
        <v>45856</v>
      </c>
      <c r="F2356" s="18" t="s">
        <v>611</v>
      </c>
      <c r="G2356" t="s">
        <v>101</v>
      </c>
      <c r="H2356">
        <v>1</v>
      </c>
      <c r="I2356">
        <v>2</v>
      </c>
      <c r="J2356" s="27">
        <v>38623.089999999997</v>
      </c>
      <c r="K2356" s="27">
        <v>2500000</v>
      </c>
    </row>
    <row r="2357" spans="1:11" ht="15" customHeight="1" x14ac:dyDescent="0.2">
      <c r="A2357" t="s">
        <v>5294</v>
      </c>
      <c r="B2357" t="s">
        <v>5295</v>
      </c>
      <c r="C2357">
        <v>2024</v>
      </c>
      <c r="D2357" s="18">
        <v>45492</v>
      </c>
      <c r="E2357" s="18">
        <v>45856</v>
      </c>
      <c r="F2357" s="18" t="s">
        <v>611</v>
      </c>
      <c r="G2357" t="s">
        <v>99</v>
      </c>
      <c r="H2357">
        <v>2</v>
      </c>
      <c r="I2357">
        <v>2</v>
      </c>
      <c r="J2357" s="27">
        <v>41316.26</v>
      </c>
      <c r="K2357" s="27">
        <v>4500000</v>
      </c>
    </row>
    <row r="2358" spans="1:11" ht="15" customHeight="1" x14ac:dyDescent="0.2">
      <c r="A2358" t="s">
        <v>5296</v>
      </c>
      <c r="B2358" t="s">
        <v>5297</v>
      </c>
      <c r="C2358">
        <v>2024</v>
      </c>
      <c r="D2358" s="18">
        <v>45492</v>
      </c>
      <c r="E2358" s="18">
        <v>45856</v>
      </c>
      <c r="F2358" s="18" t="s">
        <v>611</v>
      </c>
      <c r="G2358" t="s">
        <v>99</v>
      </c>
      <c r="H2358">
        <v>1</v>
      </c>
      <c r="I2358">
        <v>2</v>
      </c>
      <c r="J2358" s="27">
        <v>3864.01</v>
      </c>
      <c r="K2358" s="27">
        <v>500000</v>
      </c>
    </row>
    <row r="2359" spans="1:11" ht="15" customHeight="1" x14ac:dyDescent="0.2">
      <c r="A2359" t="s">
        <v>5298</v>
      </c>
      <c r="B2359" t="s">
        <v>5299</v>
      </c>
      <c r="C2359">
        <v>2024</v>
      </c>
      <c r="D2359" s="18">
        <v>45492</v>
      </c>
      <c r="E2359" s="18">
        <v>45856</v>
      </c>
      <c r="F2359" s="18" t="s">
        <v>611</v>
      </c>
      <c r="G2359" t="s">
        <v>102</v>
      </c>
      <c r="H2359">
        <v>1</v>
      </c>
      <c r="I2359">
        <v>1</v>
      </c>
      <c r="J2359" s="27">
        <v>72445.5</v>
      </c>
      <c r="K2359" s="27">
        <v>10000000</v>
      </c>
    </row>
    <row r="2360" spans="1:11" ht="15" customHeight="1" x14ac:dyDescent="0.2">
      <c r="A2360" t="s">
        <v>5300</v>
      </c>
      <c r="B2360" t="s">
        <v>5301</v>
      </c>
      <c r="C2360">
        <v>2024</v>
      </c>
      <c r="D2360" s="18">
        <v>45493</v>
      </c>
      <c r="E2360" s="18">
        <v>45857</v>
      </c>
      <c r="F2360" s="18" t="s">
        <v>608</v>
      </c>
      <c r="G2360" t="s">
        <v>100</v>
      </c>
      <c r="H2360">
        <v>3</v>
      </c>
      <c r="I2360">
        <v>6</v>
      </c>
      <c r="J2360" s="27">
        <v>19578.52</v>
      </c>
      <c r="K2360" s="27">
        <v>1500000</v>
      </c>
    </row>
    <row r="2361" spans="1:11" ht="15" customHeight="1" x14ac:dyDescent="0.2">
      <c r="A2361" t="s">
        <v>5302</v>
      </c>
      <c r="B2361" t="s">
        <v>5303</v>
      </c>
      <c r="C2361">
        <v>2024</v>
      </c>
      <c r="D2361" s="18">
        <v>45493</v>
      </c>
      <c r="E2361" s="18">
        <v>45857</v>
      </c>
      <c r="F2361" s="18" t="s">
        <v>611</v>
      </c>
      <c r="G2361" t="s">
        <v>102</v>
      </c>
      <c r="H2361">
        <v>2</v>
      </c>
      <c r="I2361">
        <v>4</v>
      </c>
      <c r="J2361" s="27">
        <v>14593.87</v>
      </c>
      <c r="K2361" s="27">
        <v>2000000</v>
      </c>
    </row>
    <row r="2362" spans="1:11" ht="15" customHeight="1" x14ac:dyDescent="0.2">
      <c r="A2362" t="s">
        <v>5304</v>
      </c>
      <c r="B2362" t="s">
        <v>5305</v>
      </c>
      <c r="C2362">
        <v>2024</v>
      </c>
      <c r="D2362" s="18">
        <v>45493</v>
      </c>
      <c r="E2362" s="18">
        <v>45857</v>
      </c>
      <c r="F2362" s="18" t="s">
        <v>611</v>
      </c>
      <c r="G2362" t="s">
        <v>101</v>
      </c>
      <c r="H2362">
        <v>1</v>
      </c>
      <c r="I2362">
        <v>1</v>
      </c>
      <c r="J2362" s="27">
        <v>36751.39</v>
      </c>
      <c r="K2362" s="27">
        <v>2500000</v>
      </c>
    </row>
    <row r="2363" spans="1:11" ht="15" customHeight="1" x14ac:dyDescent="0.2">
      <c r="A2363" t="s">
        <v>5306</v>
      </c>
      <c r="B2363" t="s">
        <v>5307</v>
      </c>
      <c r="C2363">
        <v>2024</v>
      </c>
      <c r="D2363" s="18">
        <v>45493</v>
      </c>
      <c r="E2363" s="18">
        <v>45857</v>
      </c>
      <c r="F2363" s="18" t="s">
        <v>611</v>
      </c>
      <c r="G2363" t="s">
        <v>100</v>
      </c>
      <c r="H2363">
        <v>1</v>
      </c>
      <c r="I2363">
        <v>2</v>
      </c>
      <c r="J2363" s="27">
        <v>114644.13</v>
      </c>
      <c r="K2363" s="27">
        <v>10000000</v>
      </c>
    </row>
    <row r="2364" spans="1:11" ht="15" customHeight="1" x14ac:dyDescent="0.2">
      <c r="A2364" t="s">
        <v>5308</v>
      </c>
      <c r="B2364" t="s">
        <v>5309</v>
      </c>
      <c r="C2364">
        <v>2024</v>
      </c>
      <c r="D2364" s="18">
        <v>45493</v>
      </c>
      <c r="E2364" s="18">
        <v>45857</v>
      </c>
      <c r="F2364" s="18" t="s">
        <v>611</v>
      </c>
      <c r="G2364" t="s">
        <v>99</v>
      </c>
      <c r="H2364">
        <v>1</v>
      </c>
      <c r="I2364">
        <v>1</v>
      </c>
      <c r="J2364" s="27">
        <v>13794.15</v>
      </c>
      <c r="K2364" s="27">
        <v>1500000</v>
      </c>
    </row>
    <row r="2365" spans="1:11" ht="15" customHeight="1" x14ac:dyDescent="0.2">
      <c r="A2365" t="s">
        <v>5310</v>
      </c>
      <c r="B2365" t="s">
        <v>5311</v>
      </c>
      <c r="C2365">
        <v>2024</v>
      </c>
      <c r="D2365" s="18">
        <v>45493</v>
      </c>
      <c r="E2365" s="18">
        <v>45857</v>
      </c>
      <c r="F2365" s="18" t="s">
        <v>611</v>
      </c>
      <c r="G2365" t="s">
        <v>101</v>
      </c>
      <c r="H2365">
        <v>3</v>
      </c>
      <c r="I2365">
        <v>6</v>
      </c>
      <c r="J2365" s="27">
        <v>167761.60999999999</v>
      </c>
      <c r="K2365" s="27">
        <v>10000000</v>
      </c>
    </row>
    <row r="2366" spans="1:11" ht="15" customHeight="1" x14ac:dyDescent="0.2">
      <c r="A2366" t="s">
        <v>5312</v>
      </c>
      <c r="B2366" t="s">
        <v>5313</v>
      </c>
      <c r="C2366">
        <v>2024</v>
      </c>
      <c r="D2366" s="18">
        <v>45494</v>
      </c>
      <c r="E2366" s="18">
        <v>45858</v>
      </c>
      <c r="F2366" s="18" t="s">
        <v>608</v>
      </c>
      <c r="G2366" t="s">
        <v>100</v>
      </c>
      <c r="H2366">
        <v>2</v>
      </c>
      <c r="I2366">
        <v>2</v>
      </c>
      <c r="J2366" s="27">
        <v>126644.06</v>
      </c>
      <c r="K2366" s="27">
        <v>10000000</v>
      </c>
    </row>
    <row r="2367" spans="1:11" ht="15" customHeight="1" x14ac:dyDescent="0.2">
      <c r="A2367" t="s">
        <v>5314</v>
      </c>
      <c r="B2367" t="s">
        <v>5315</v>
      </c>
      <c r="C2367">
        <v>2024</v>
      </c>
      <c r="D2367" s="18">
        <v>45494</v>
      </c>
      <c r="E2367" s="18">
        <v>45858</v>
      </c>
      <c r="F2367" s="18" t="s">
        <v>611</v>
      </c>
      <c r="G2367" t="s">
        <v>100</v>
      </c>
      <c r="H2367">
        <v>1</v>
      </c>
      <c r="I2367">
        <v>1</v>
      </c>
      <c r="J2367" s="27">
        <v>18319.91</v>
      </c>
      <c r="K2367" s="27">
        <v>1500000</v>
      </c>
    </row>
    <row r="2368" spans="1:11" ht="15" customHeight="1" x14ac:dyDescent="0.2">
      <c r="A2368" t="s">
        <v>5316</v>
      </c>
      <c r="B2368" t="s">
        <v>5317</v>
      </c>
      <c r="C2368">
        <v>2024</v>
      </c>
      <c r="D2368" s="18">
        <v>45494</v>
      </c>
      <c r="E2368" s="18">
        <v>45858</v>
      </c>
      <c r="F2368" s="18" t="s">
        <v>611</v>
      </c>
      <c r="G2368" t="s">
        <v>101</v>
      </c>
      <c r="H2368">
        <v>2</v>
      </c>
      <c r="I2368">
        <v>2</v>
      </c>
      <c r="J2368" s="27">
        <v>30367.21</v>
      </c>
      <c r="K2368" s="27">
        <v>2000000</v>
      </c>
    </row>
    <row r="2369" spans="1:11" ht="15" customHeight="1" x14ac:dyDescent="0.2">
      <c r="A2369" t="s">
        <v>5318</v>
      </c>
      <c r="B2369" t="s">
        <v>5319</v>
      </c>
      <c r="C2369">
        <v>2024</v>
      </c>
      <c r="D2369" s="18">
        <v>45494</v>
      </c>
      <c r="E2369" s="18">
        <v>45858</v>
      </c>
      <c r="F2369" s="18" t="s">
        <v>611</v>
      </c>
      <c r="G2369" t="s">
        <v>101</v>
      </c>
      <c r="H2369">
        <v>1</v>
      </c>
      <c r="I2369">
        <v>2</v>
      </c>
      <c r="J2369" s="27">
        <v>14604.12</v>
      </c>
      <c r="K2369" s="27">
        <v>1000000</v>
      </c>
    </row>
    <row r="2370" spans="1:11" ht="15" customHeight="1" x14ac:dyDescent="0.2">
      <c r="A2370" t="s">
        <v>5320</v>
      </c>
      <c r="B2370" t="s">
        <v>5321</v>
      </c>
      <c r="C2370">
        <v>2024</v>
      </c>
      <c r="D2370" s="18">
        <v>45495</v>
      </c>
      <c r="E2370" s="18">
        <v>45859</v>
      </c>
      <c r="F2370" s="18" t="s">
        <v>611</v>
      </c>
      <c r="G2370" t="s">
        <v>100</v>
      </c>
      <c r="H2370">
        <v>1</v>
      </c>
      <c r="I2370">
        <v>1</v>
      </c>
      <c r="J2370" s="27">
        <v>117769.02</v>
      </c>
      <c r="K2370" s="27">
        <v>10000000</v>
      </c>
    </row>
    <row r="2371" spans="1:11" ht="15" customHeight="1" x14ac:dyDescent="0.2">
      <c r="A2371" t="s">
        <v>5322</v>
      </c>
      <c r="B2371" t="s">
        <v>5323</v>
      </c>
      <c r="C2371">
        <v>2024</v>
      </c>
      <c r="D2371" s="18">
        <v>45495</v>
      </c>
      <c r="E2371" s="18">
        <v>45859</v>
      </c>
      <c r="F2371" s="18" t="s">
        <v>611</v>
      </c>
      <c r="G2371" t="s">
        <v>101</v>
      </c>
      <c r="H2371">
        <v>1</v>
      </c>
      <c r="I2371">
        <v>1</v>
      </c>
      <c r="J2371" s="27">
        <v>37424.28</v>
      </c>
      <c r="K2371" s="27">
        <v>2500000</v>
      </c>
    </row>
    <row r="2372" spans="1:11" ht="15" customHeight="1" x14ac:dyDescent="0.2">
      <c r="A2372" t="s">
        <v>5324</v>
      </c>
      <c r="B2372" t="s">
        <v>5325</v>
      </c>
      <c r="C2372">
        <v>2024</v>
      </c>
      <c r="D2372" s="18">
        <v>45495</v>
      </c>
      <c r="E2372" s="18">
        <v>45859</v>
      </c>
      <c r="F2372" s="18" t="s">
        <v>611</v>
      </c>
      <c r="G2372" t="s">
        <v>99</v>
      </c>
      <c r="H2372">
        <v>2</v>
      </c>
      <c r="I2372">
        <v>2</v>
      </c>
      <c r="J2372" s="27">
        <v>18108.560000000001</v>
      </c>
      <c r="K2372" s="27">
        <v>2000000</v>
      </c>
    </row>
    <row r="2373" spans="1:11" ht="15" customHeight="1" x14ac:dyDescent="0.2">
      <c r="A2373" t="s">
        <v>5326</v>
      </c>
      <c r="B2373" t="s">
        <v>5327</v>
      </c>
      <c r="C2373">
        <v>2024</v>
      </c>
      <c r="D2373" s="18">
        <v>45496</v>
      </c>
      <c r="E2373" s="18">
        <v>45860</v>
      </c>
      <c r="F2373" s="18" t="s">
        <v>611</v>
      </c>
      <c r="G2373" t="s">
        <v>100</v>
      </c>
      <c r="H2373">
        <v>1</v>
      </c>
      <c r="I2373">
        <v>2</v>
      </c>
      <c r="J2373" s="27">
        <v>23442.12</v>
      </c>
      <c r="K2373" s="27">
        <v>2000000</v>
      </c>
    </row>
    <row r="2374" spans="1:11" ht="15" customHeight="1" x14ac:dyDescent="0.2">
      <c r="A2374" t="s">
        <v>5328</v>
      </c>
      <c r="B2374" t="s">
        <v>5329</v>
      </c>
      <c r="C2374">
        <v>2024</v>
      </c>
      <c r="D2374" s="18">
        <v>45496</v>
      </c>
      <c r="E2374" s="18">
        <v>45860</v>
      </c>
      <c r="F2374" s="18" t="s">
        <v>611</v>
      </c>
      <c r="G2374" t="s">
        <v>100</v>
      </c>
      <c r="H2374">
        <v>3</v>
      </c>
      <c r="I2374">
        <v>3</v>
      </c>
      <c r="J2374" s="27">
        <v>62240.46</v>
      </c>
      <c r="K2374" s="27">
        <v>5000000</v>
      </c>
    </row>
    <row r="2375" spans="1:11" ht="15" customHeight="1" x14ac:dyDescent="0.2">
      <c r="A2375" t="s">
        <v>5330</v>
      </c>
      <c r="B2375" t="s">
        <v>5331</v>
      </c>
      <c r="C2375">
        <v>2024</v>
      </c>
      <c r="D2375" s="18">
        <v>45496</v>
      </c>
      <c r="E2375" s="18">
        <v>45860</v>
      </c>
      <c r="F2375" s="18" t="s">
        <v>611</v>
      </c>
      <c r="G2375" t="s">
        <v>101</v>
      </c>
      <c r="H2375">
        <v>3</v>
      </c>
      <c r="I2375">
        <v>3</v>
      </c>
      <c r="J2375" s="27">
        <v>37895.51</v>
      </c>
      <c r="K2375" s="27">
        <v>2500000</v>
      </c>
    </row>
    <row r="2376" spans="1:11" ht="15" customHeight="1" x14ac:dyDescent="0.2">
      <c r="A2376" t="s">
        <v>5332</v>
      </c>
      <c r="B2376" t="s">
        <v>5333</v>
      </c>
      <c r="C2376">
        <v>2024</v>
      </c>
      <c r="D2376" s="18">
        <v>45496</v>
      </c>
      <c r="E2376" s="18">
        <v>45860</v>
      </c>
      <c r="F2376" s="18" t="s">
        <v>611</v>
      </c>
      <c r="G2376" t="s">
        <v>100</v>
      </c>
      <c r="H2376">
        <v>3</v>
      </c>
      <c r="I2376">
        <v>3</v>
      </c>
      <c r="J2376" s="27">
        <v>116200.34</v>
      </c>
      <c r="K2376" s="27">
        <v>10000000</v>
      </c>
    </row>
    <row r="2377" spans="1:11" ht="15" customHeight="1" x14ac:dyDescent="0.2">
      <c r="A2377" t="s">
        <v>5334</v>
      </c>
      <c r="B2377" t="s">
        <v>5335</v>
      </c>
      <c r="C2377">
        <v>2024</v>
      </c>
      <c r="D2377" s="18">
        <v>45496</v>
      </c>
      <c r="E2377" s="18">
        <v>45860</v>
      </c>
      <c r="F2377" s="18" t="s">
        <v>611</v>
      </c>
      <c r="G2377" t="s">
        <v>99</v>
      </c>
      <c r="H2377">
        <v>1</v>
      </c>
      <c r="I2377">
        <v>1</v>
      </c>
      <c r="J2377" s="27">
        <v>38628.449999999997</v>
      </c>
      <c r="K2377" s="27">
        <v>5000000</v>
      </c>
    </row>
    <row r="2378" spans="1:11" ht="15" customHeight="1" x14ac:dyDescent="0.2">
      <c r="A2378" t="s">
        <v>5336</v>
      </c>
      <c r="B2378" t="s">
        <v>5337</v>
      </c>
      <c r="C2378">
        <v>2024</v>
      </c>
      <c r="D2378" s="18">
        <v>45496</v>
      </c>
      <c r="E2378" s="18">
        <v>45860</v>
      </c>
      <c r="F2378" s="18" t="s">
        <v>611</v>
      </c>
      <c r="G2378" t="s">
        <v>100</v>
      </c>
      <c r="H2378">
        <v>1</v>
      </c>
      <c r="I2378">
        <v>1</v>
      </c>
      <c r="J2378" s="27">
        <v>12855.03</v>
      </c>
      <c r="K2378" s="27">
        <v>1000000</v>
      </c>
    </row>
    <row r="2379" spans="1:11" ht="15" customHeight="1" x14ac:dyDescent="0.2">
      <c r="A2379" t="s">
        <v>5338</v>
      </c>
      <c r="B2379" t="s">
        <v>5339</v>
      </c>
      <c r="C2379">
        <v>2024</v>
      </c>
      <c r="D2379" s="18">
        <v>45496</v>
      </c>
      <c r="E2379" s="18">
        <v>45860</v>
      </c>
      <c r="F2379" s="18" t="s">
        <v>611</v>
      </c>
      <c r="G2379" t="s">
        <v>100</v>
      </c>
      <c r="H2379">
        <v>2</v>
      </c>
      <c r="I2379">
        <v>2</v>
      </c>
      <c r="J2379" s="27">
        <v>23711.84</v>
      </c>
      <c r="K2379" s="27">
        <v>2000000</v>
      </c>
    </row>
    <row r="2380" spans="1:11" ht="15" customHeight="1" x14ac:dyDescent="0.2">
      <c r="A2380" t="s">
        <v>5340</v>
      </c>
      <c r="B2380" t="s">
        <v>5341</v>
      </c>
      <c r="C2380">
        <v>2024</v>
      </c>
      <c r="D2380" s="18">
        <v>45496</v>
      </c>
      <c r="E2380" s="18">
        <v>45860</v>
      </c>
      <c r="F2380" s="18" t="s">
        <v>611</v>
      </c>
      <c r="G2380" t="s">
        <v>101</v>
      </c>
      <c r="H2380">
        <v>1</v>
      </c>
      <c r="I2380">
        <v>2</v>
      </c>
      <c r="J2380" s="27">
        <v>47091.58</v>
      </c>
      <c r="K2380" s="27">
        <v>3000000</v>
      </c>
    </row>
    <row r="2381" spans="1:11" ht="15" customHeight="1" x14ac:dyDescent="0.2">
      <c r="A2381" t="s">
        <v>5342</v>
      </c>
      <c r="B2381" t="s">
        <v>5343</v>
      </c>
      <c r="C2381">
        <v>2024</v>
      </c>
      <c r="D2381" s="18">
        <v>45497</v>
      </c>
      <c r="E2381" s="18">
        <v>45861</v>
      </c>
      <c r="F2381" s="18" t="s">
        <v>608</v>
      </c>
      <c r="G2381" t="s">
        <v>99</v>
      </c>
      <c r="H2381">
        <v>1</v>
      </c>
      <c r="I2381">
        <v>1</v>
      </c>
      <c r="J2381" s="27">
        <v>4233.3599999999997</v>
      </c>
      <c r="K2381" s="27">
        <v>500000</v>
      </c>
    </row>
    <row r="2382" spans="1:11" ht="15" customHeight="1" x14ac:dyDescent="0.2">
      <c r="A2382" t="s">
        <v>5344</v>
      </c>
      <c r="B2382" t="s">
        <v>5345</v>
      </c>
      <c r="C2382">
        <v>2024</v>
      </c>
      <c r="D2382" s="18">
        <v>45497</v>
      </c>
      <c r="E2382" s="18">
        <v>45861</v>
      </c>
      <c r="F2382" s="18" t="s">
        <v>608</v>
      </c>
      <c r="G2382" t="s">
        <v>102</v>
      </c>
      <c r="H2382">
        <v>1</v>
      </c>
      <c r="I2382">
        <v>2</v>
      </c>
      <c r="J2382" s="27">
        <v>73335.88</v>
      </c>
      <c r="K2382" s="27">
        <v>10000000</v>
      </c>
    </row>
    <row r="2383" spans="1:11" ht="15" customHeight="1" x14ac:dyDescent="0.2">
      <c r="A2383" t="s">
        <v>5346</v>
      </c>
      <c r="B2383" t="s">
        <v>5347</v>
      </c>
      <c r="C2383">
        <v>2024</v>
      </c>
      <c r="D2383" s="18">
        <v>45497</v>
      </c>
      <c r="E2383" s="18">
        <v>45861</v>
      </c>
      <c r="F2383" s="18" t="s">
        <v>611</v>
      </c>
      <c r="G2383" t="s">
        <v>102</v>
      </c>
      <c r="H2383">
        <v>1</v>
      </c>
      <c r="I2383">
        <v>2</v>
      </c>
      <c r="J2383" s="27">
        <v>39931.03</v>
      </c>
      <c r="K2383" s="27">
        <v>5000000</v>
      </c>
    </row>
    <row r="2384" spans="1:11" ht="15" customHeight="1" x14ac:dyDescent="0.2">
      <c r="A2384" t="s">
        <v>5348</v>
      </c>
      <c r="B2384" t="s">
        <v>5349</v>
      </c>
      <c r="C2384">
        <v>2024</v>
      </c>
      <c r="D2384" s="18">
        <v>45497</v>
      </c>
      <c r="E2384" s="18">
        <v>45861</v>
      </c>
      <c r="F2384" s="18" t="s">
        <v>611</v>
      </c>
      <c r="G2384" t="s">
        <v>99</v>
      </c>
      <c r="H2384">
        <v>1</v>
      </c>
      <c r="I2384">
        <v>1</v>
      </c>
      <c r="J2384" s="27">
        <v>25094.27</v>
      </c>
      <c r="K2384" s="27">
        <v>3000000</v>
      </c>
    </row>
    <row r="2385" spans="1:11" ht="15" customHeight="1" x14ac:dyDescent="0.2">
      <c r="A2385" t="s">
        <v>5350</v>
      </c>
      <c r="B2385" t="s">
        <v>5351</v>
      </c>
      <c r="C2385">
        <v>2024</v>
      </c>
      <c r="D2385" s="18">
        <v>45497</v>
      </c>
      <c r="E2385" s="18">
        <v>45861</v>
      </c>
      <c r="F2385" s="18" t="s">
        <v>611</v>
      </c>
      <c r="G2385" t="s">
        <v>99</v>
      </c>
      <c r="H2385">
        <v>2</v>
      </c>
      <c r="I2385">
        <v>4</v>
      </c>
      <c r="J2385" s="27">
        <v>15369.2</v>
      </c>
      <c r="K2385" s="27">
        <v>2000000</v>
      </c>
    </row>
    <row r="2386" spans="1:11" ht="15" customHeight="1" x14ac:dyDescent="0.2">
      <c r="A2386" t="s">
        <v>5352</v>
      </c>
      <c r="B2386" t="s">
        <v>5353</v>
      </c>
      <c r="C2386">
        <v>2024</v>
      </c>
      <c r="D2386" s="18">
        <v>45497</v>
      </c>
      <c r="E2386" s="18">
        <v>45861</v>
      </c>
      <c r="F2386" s="18" t="s">
        <v>611</v>
      </c>
      <c r="G2386" t="s">
        <v>100</v>
      </c>
      <c r="H2386">
        <v>2</v>
      </c>
      <c r="I2386">
        <v>2</v>
      </c>
      <c r="J2386" s="27">
        <v>46661.35</v>
      </c>
      <c r="K2386" s="27">
        <v>4000000</v>
      </c>
    </row>
    <row r="2387" spans="1:11" ht="15" customHeight="1" x14ac:dyDescent="0.2">
      <c r="A2387" t="s">
        <v>5354</v>
      </c>
      <c r="B2387" t="s">
        <v>5355</v>
      </c>
      <c r="C2387">
        <v>2024</v>
      </c>
      <c r="D2387" s="18">
        <v>45497</v>
      </c>
      <c r="E2387" s="18">
        <v>45861</v>
      </c>
      <c r="F2387" s="18" t="s">
        <v>611</v>
      </c>
      <c r="G2387" t="s">
        <v>101</v>
      </c>
      <c r="H2387">
        <v>3</v>
      </c>
      <c r="I2387">
        <v>6</v>
      </c>
      <c r="J2387" s="27">
        <v>64635.49</v>
      </c>
      <c r="K2387" s="27">
        <v>4500000</v>
      </c>
    </row>
    <row r="2388" spans="1:11" ht="15" customHeight="1" x14ac:dyDescent="0.2">
      <c r="A2388" t="s">
        <v>5356</v>
      </c>
      <c r="B2388" t="s">
        <v>5357</v>
      </c>
      <c r="C2388">
        <v>2024</v>
      </c>
      <c r="D2388" s="18">
        <v>45497</v>
      </c>
      <c r="E2388" s="18">
        <v>45861</v>
      </c>
      <c r="F2388" s="18" t="s">
        <v>611</v>
      </c>
      <c r="G2388" t="s">
        <v>101</v>
      </c>
      <c r="H2388">
        <v>1</v>
      </c>
      <c r="I2388">
        <v>2</v>
      </c>
      <c r="J2388" s="27">
        <v>149967.62</v>
      </c>
      <c r="K2388" s="27">
        <v>10000000</v>
      </c>
    </row>
    <row r="2389" spans="1:11" ht="15" customHeight="1" x14ac:dyDescent="0.2">
      <c r="A2389" t="s">
        <v>5358</v>
      </c>
      <c r="B2389" t="s">
        <v>5359</v>
      </c>
      <c r="C2389">
        <v>2024</v>
      </c>
      <c r="D2389" s="18">
        <v>45497</v>
      </c>
      <c r="E2389" s="18">
        <v>45861</v>
      </c>
      <c r="F2389" s="18" t="s">
        <v>611</v>
      </c>
      <c r="G2389" t="s">
        <v>100</v>
      </c>
      <c r="H2389">
        <v>2</v>
      </c>
      <c r="I2389">
        <v>4</v>
      </c>
      <c r="J2389" s="27">
        <v>118439.76</v>
      </c>
      <c r="K2389" s="27">
        <v>10000000</v>
      </c>
    </row>
    <row r="2390" spans="1:11" ht="15" customHeight="1" x14ac:dyDescent="0.2">
      <c r="A2390" t="s">
        <v>5360</v>
      </c>
      <c r="B2390" t="s">
        <v>5361</v>
      </c>
      <c r="C2390">
        <v>2024</v>
      </c>
      <c r="D2390" s="18">
        <v>45497</v>
      </c>
      <c r="E2390" s="18">
        <v>45861</v>
      </c>
      <c r="F2390" s="18" t="s">
        <v>611</v>
      </c>
      <c r="G2390" t="s">
        <v>99</v>
      </c>
      <c r="H2390">
        <v>2</v>
      </c>
      <c r="I2390">
        <v>2</v>
      </c>
      <c r="J2390" s="27">
        <v>86582.69</v>
      </c>
      <c r="K2390" s="27">
        <v>10000000</v>
      </c>
    </row>
    <row r="2391" spans="1:11" ht="15" customHeight="1" x14ac:dyDescent="0.2">
      <c r="A2391" t="s">
        <v>5362</v>
      </c>
      <c r="B2391" t="s">
        <v>5363</v>
      </c>
      <c r="C2391">
        <v>2024</v>
      </c>
      <c r="D2391" s="18">
        <v>45497</v>
      </c>
      <c r="E2391" s="18">
        <v>45861</v>
      </c>
      <c r="F2391" s="18" t="s">
        <v>611</v>
      </c>
      <c r="G2391" t="s">
        <v>99</v>
      </c>
      <c r="H2391">
        <v>1</v>
      </c>
      <c r="I2391">
        <v>1</v>
      </c>
      <c r="J2391" s="27">
        <v>30888.49</v>
      </c>
      <c r="K2391" s="27">
        <v>4000000</v>
      </c>
    </row>
    <row r="2392" spans="1:11" ht="15" customHeight="1" x14ac:dyDescent="0.2">
      <c r="A2392" t="s">
        <v>5364</v>
      </c>
      <c r="B2392" t="s">
        <v>5365</v>
      </c>
      <c r="C2392">
        <v>2024</v>
      </c>
      <c r="D2392" s="18">
        <v>45498</v>
      </c>
      <c r="E2392" s="18">
        <v>45862</v>
      </c>
      <c r="F2392" s="18" t="s">
        <v>608</v>
      </c>
      <c r="G2392" t="s">
        <v>102</v>
      </c>
      <c r="H2392">
        <v>3</v>
      </c>
      <c r="I2392">
        <v>6</v>
      </c>
      <c r="J2392" s="27">
        <v>14073.31</v>
      </c>
      <c r="K2392" s="27">
        <v>2000000</v>
      </c>
    </row>
    <row r="2393" spans="1:11" ht="15" customHeight="1" x14ac:dyDescent="0.2">
      <c r="A2393" t="s">
        <v>5366</v>
      </c>
      <c r="B2393" t="s">
        <v>5367</v>
      </c>
      <c r="C2393">
        <v>2024</v>
      </c>
      <c r="D2393" s="18">
        <v>45498</v>
      </c>
      <c r="E2393" s="18">
        <v>45862</v>
      </c>
      <c r="F2393" s="18" t="s">
        <v>608</v>
      </c>
      <c r="G2393" t="s">
        <v>100</v>
      </c>
      <c r="H2393">
        <v>3</v>
      </c>
      <c r="I2393">
        <v>3</v>
      </c>
      <c r="J2393" s="27">
        <v>132179.85999999999</v>
      </c>
      <c r="K2393" s="27">
        <v>10000000</v>
      </c>
    </row>
    <row r="2394" spans="1:11" ht="15" customHeight="1" x14ac:dyDescent="0.2">
      <c r="A2394" t="s">
        <v>5368</v>
      </c>
      <c r="B2394" t="s">
        <v>5369</v>
      </c>
      <c r="C2394">
        <v>2024</v>
      </c>
      <c r="D2394" s="18">
        <v>45498</v>
      </c>
      <c r="E2394" s="18">
        <v>45862</v>
      </c>
      <c r="F2394" s="18" t="s">
        <v>611</v>
      </c>
      <c r="G2394" t="s">
        <v>100</v>
      </c>
      <c r="H2394">
        <v>2</v>
      </c>
      <c r="I2394">
        <v>2</v>
      </c>
      <c r="J2394" s="27">
        <v>116614.49</v>
      </c>
      <c r="K2394" s="27">
        <v>10000000</v>
      </c>
    </row>
    <row r="2395" spans="1:11" ht="15" customHeight="1" x14ac:dyDescent="0.2">
      <c r="A2395" t="s">
        <v>5370</v>
      </c>
      <c r="B2395" t="s">
        <v>5371</v>
      </c>
      <c r="C2395">
        <v>2024</v>
      </c>
      <c r="D2395" s="18">
        <v>45498</v>
      </c>
      <c r="E2395" s="18">
        <v>45862</v>
      </c>
      <c r="F2395" s="18" t="s">
        <v>611</v>
      </c>
      <c r="G2395" t="s">
        <v>102</v>
      </c>
      <c r="H2395">
        <v>1</v>
      </c>
      <c r="I2395">
        <v>1</v>
      </c>
      <c r="J2395" s="27">
        <v>17554.12</v>
      </c>
      <c r="K2395" s="27">
        <v>2500000</v>
      </c>
    </row>
    <row r="2396" spans="1:11" ht="15" customHeight="1" x14ac:dyDescent="0.2">
      <c r="A2396" t="s">
        <v>5372</v>
      </c>
      <c r="B2396" t="s">
        <v>5373</v>
      </c>
      <c r="C2396">
        <v>2024</v>
      </c>
      <c r="D2396" s="18">
        <v>45498</v>
      </c>
      <c r="E2396" s="18">
        <v>45862</v>
      </c>
      <c r="F2396" s="18" t="s">
        <v>611</v>
      </c>
      <c r="G2396" t="s">
        <v>100</v>
      </c>
      <c r="H2396">
        <v>2</v>
      </c>
      <c r="I2396">
        <v>2</v>
      </c>
      <c r="J2396" s="27">
        <v>113724.34</v>
      </c>
      <c r="K2396" s="27">
        <v>10000000</v>
      </c>
    </row>
    <row r="2397" spans="1:11" ht="15" customHeight="1" x14ac:dyDescent="0.2">
      <c r="A2397" t="s">
        <v>5374</v>
      </c>
      <c r="B2397" t="s">
        <v>5375</v>
      </c>
      <c r="C2397">
        <v>2024</v>
      </c>
      <c r="D2397" s="18">
        <v>45498</v>
      </c>
      <c r="E2397" s="18">
        <v>45862</v>
      </c>
      <c r="F2397" s="18" t="s">
        <v>611</v>
      </c>
      <c r="G2397" t="s">
        <v>102</v>
      </c>
      <c r="H2397">
        <v>1</v>
      </c>
      <c r="I2397">
        <v>1</v>
      </c>
      <c r="J2397" s="27">
        <v>33216.32</v>
      </c>
      <c r="K2397" s="27">
        <v>5000000</v>
      </c>
    </row>
    <row r="2398" spans="1:11" ht="15" customHeight="1" x14ac:dyDescent="0.2">
      <c r="A2398" t="s">
        <v>5376</v>
      </c>
      <c r="B2398" t="s">
        <v>5377</v>
      </c>
      <c r="C2398">
        <v>2024</v>
      </c>
      <c r="D2398" s="18">
        <v>45499</v>
      </c>
      <c r="E2398" s="18">
        <v>45863</v>
      </c>
      <c r="F2398" s="18" t="s">
        <v>608</v>
      </c>
      <c r="G2398" t="s">
        <v>101</v>
      </c>
      <c r="H2398">
        <v>3</v>
      </c>
      <c r="I2398">
        <v>6</v>
      </c>
      <c r="J2398" s="27">
        <v>74335.95</v>
      </c>
      <c r="K2398" s="27">
        <v>5000000</v>
      </c>
    </row>
    <row r="2399" spans="1:11" ht="15" customHeight="1" x14ac:dyDescent="0.2">
      <c r="A2399" t="s">
        <v>5378</v>
      </c>
      <c r="B2399" t="s">
        <v>5379</v>
      </c>
      <c r="C2399">
        <v>2024</v>
      </c>
      <c r="D2399" s="18">
        <v>45499</v>
      </c>
      <c r="E2399" s="18">
        <v>45863</v>
      </c>
      <c r="F2399" s="18" t="s">
        <v>608</v>
      </c>
      <c r="G2399" t="s">
        <v>102</v>
      </c>
      <c r="H2399">
        <v>1</v>
      </c>
      <c r="I2399">
        <v>1</v>
      </c>
      <c r="J2399" s="27">
        <v>14408.31</v>
      </c>
      <c r="K2399" s="27">
        <v>2000000</v>
      </c>
    </row>
    <row r="2400" spans="1:11" ht="15" customHeight="1" x14ac:dyDescent="0.2">
      <c r="A2400" t="s">
        <v>5380</v>
      </c>
      <c r="B2400" t="s">
        <v>5381</v>
      </c>
      <c r="C2400">
        <v>2024</v>
      </c>
      <c r="D2400" s="18">
        <v>45499</v>
      </c>
      <c r="E2400" s="18">
        <v>45863</v>
      </c>
      <c r="F2400" s="18" t="s">
        <v>611</v>
      </c>
      <c r="G2400" t="s">
        <v>101</v>
      </c>
      <c r="H2400">
        <v>3</v>
      </c>
      <c r="I2400">
        <v>3</v>
      </c>
      <c r="J2400" s="27">
        <v>58456.95</v>
      </c>
      <c r="K2400" s="27">
        <v>4000000</v>
      </c>
    </row>
    <row r="2401" spans="1:11" ht="15" customHeight="1" x14ac:dyDescent="0.2">
      <c r="A2401" t="s">
        <v>5382</v>
      </c>
      <c r="B2401" t="s">
        <v>5383</v>
      </c>
      <c r="C2401">
        <v>2024</v>
      </c>
      <c r="D2401" s="18">
        <v>45499</v>
      </c>
      <c r="E2401" s="18">
        <v>45863</v>
      </c>
      <c r="F2401" s="18" t="s">
        <v>611</v>
      </c>
      <c r="G2401" t="s">
        <v>99</v>
      </c>
      <c r="H2401">
        <v>2</v>
      </c>
      <c r="I2401">
        <v>2</v>
      </c>
      <c r="J2401" s="27">
        <v>13073.76</v>
      </c>
      <c r="K2401" s="27">
        <v>1500000</v>
      </c>
    </row>
    <row r="2402" spans="1:11" ht="15" customHeight="1" x14ac:dyDescent="0.2">
      <c r="A2402" t="s">
        <v>5384</v>
      </c>
      <c r="B2402" t="s">
        <v>5385</v>
      </c>
      <c r="C2402">
        <v>2024</v>
      </c>
      <c r="D2402" s="18">
        <v>45499</v>
      </c>
      <c r="E2402" s="18">
        <v>45863</v>
      </c>
      <c r="F2402" s="18" t="s">
        <v>611</v>
      </c>
      <c r="G2402" t="s">
        <v>99</v>
      </c>
      <c r="H2402">
        <v>1</v>
      </c>
      <c r="I2402">
        <v>1</v>
      </c>
      <c r="J2402" s="27">
        <v>18000.759999999998</v>
      </c>
      <c r="K2402" s="27">
        <v>2000000</v>
      </c>
    </row>
    <row r="2403" spans="1:11" ht="15" customHeight="1" x14ac:dyDescent="0.2">
      <c r="A2403" t="s">
        <v>5386</v>
      </c>
      <c r="B2403" t="s">
        <v>5387</v>
      </c>
      <c r="C2403">
        <v>2024</v>
      </c>
      <c r="D2403" s="18">
        <v>45499</v>
      </c>
      <c r="E2403" s="18">
        <v>45863</v>
      </c>
      <c r="F2403" s="18" t="s">
        <v>611</v>
      </c>
      <c r="G2403" t="s">
        <v>99</v>
      </c>
      <c r="H2403">
        <v>1</v>
      </c>
      <c r="I2403">
        <v>2</v>
      </c>
      <c r="J2403" s="27">
        <v>7959.48</v>
      </c>
      <c r="K2403" s="27">
        <v>1000000</v>
      </c>
    </row>
    <row r="2404" spans="1:11" ht="15" customHeight="1" x14ac:dyDescent="0.2">
      <c r="A2404" t="s">
        <v>5388</v>
      </c>
      <c r="B2404" t="s">
        <v>5389</v>
      </c>
      <c r="C2404">
        <v>2024</v>
      </c>
      <c r="D2404" s="18">
        <v>45500</v>
      </c>
      <c r="E2404" s="18">
        <v>45864</v>
      </c>
      <c r="F2404" s="18" t="s">
        <v>611</v>
      </c>
      <c r="G2404" t="s">
        <v>99</v>
      </c>
      <c r="H2404">
        <v>2</v>
      </c>
      <c r="I2404">
        <v>2</v>
      </c>
      <c r="J2404" s="27">
        <v>86877.89</v>
      </c>
      <c r="K2404" s="27">
        <v>10000000</v>
      </c>
    </row>
    <row r="2405" spans="1:11" ht="15" customHeight="1" x14ac:dyDescent="0.2">
      <c r="A2405" t="s">
        <v>5390</v>
      </c>
      <c r="B2405" t="s">
        <v>5391</v>
      </c>
      <c r="C2405">
        <v>2024</v>
      </c>
      <c r="D2405" s="18">
        <v>45500</v>
      </c>
      <c r="E2405" s="18">
        <v>45864</v>
      </c>
      <c r="F2405" s="18" t="s">
        <v>611</v>
      </c>
      <c r="G2405" t="s">
        <v>100</v>
      </c>
      <c r="H2405">
        <v>2</v>
      </c>
      <c r="I2405">
        <v>4</v>
      </c>
      <c r="J2405" s="27">
        <v>50953.91</v>
      </c>
      <c r="K2405" s="27">
        <v>4000000</v>
      </c>
    </row>
    <row r="2406" spans="1:11" ht="15" customHeight="1" x14ac:dyDescent="0.2">
      <c r="A2406" t="s">
        <v>5392</v>
      </c>
      <c r="B2406" t="s">
        <v>5393</v>
      </c>
      <c r="C2406">
        <v>2024</v>
      </c>
      <c r="D2406" s="18">
        <v>45500</v>
      </c>
      <c r="E2406" s="18">
        <v>45864</v>
      </c>
      <c r="F2406" s="18" t="s">
        <v>611</v>
      </c>
      <c r="G2406" t="s">
        <v>99</v>
      </c>
      <c r="H2406">
        <v>3</v>
      </c>
      <c r="I2406">
        <v>6</v>
      </c>
      <c r="J2406" s="27">
        <v>19031.57</v>
      </c>
      <c r="K2406" s="27">
        <v>2500000</v>
      </c>
    </row>
    <row r="2407" spans="1:11" ht="15" customHeight="1" x14ac:dyDescent="0.2">
      <c r="A2407" t="s">
        <v>5394</v>
      </c>
      <c r="B2407" t="s">
        <v>5395</v>
      </c>
      <c r="C2407">
        <v>2024</v>
      </c>
      <c r="D2407" s="18">
        <v>45500</v>
      </c>
      <c r="E2407" s="18">
        <v>45864</v>
      </c>
      <c r="F2407" s="18" t="s">
        <v>611</v>
      </c>
      <c r="G2407" t="s">
        <v>100</v>
      </c>
      <c r="H2407">
        <v>2</v>
      </c>
      <c r="I2407">
        <v>2</v>
      </c>
      <c r="J2407" s="27">
        <v>24008.45</v>
      </c>
      <c r="K2407" s="27">
        <v>2000000</v>
      </c>
    </row>
    <row r="2408" spans="1:11" ht="15" customHeight="1" x14ac:dyDescent="0.2">
      <c r="A2408" t="s">
        <v>5396</v>
      </c>
      <c r="B2408" t="s">
        <v>5397</v>
      </c>
      <c r="C2408">
        <v>2024</v>
      </c>
      <c r="D2408" s="18">
        <v>45501</v>
      </c>
      <c r="E2408" s="18">
        <v>45865</v>
      </c>
      <c r="F2408" s="18" t="s">
        <v>608</v>
      </c>
      <c r="G2408" t="s">
        <v>99</v>
      </c>
      <c r="H2408">
        <v>2</v>
      </c>
      <c r="I2408">
        <v>2</v>
      </c>
      <c r="J2408" s="27">
        <v>88008.08</v>
      </c>
      <c r="K2408" s="27">
        <v>10000000</v>
      </c>
    </row>
    <row r="2409" spans="1:11" ht="15" customHeight="1" x14ac:dyDescent="0.2">
      <c r="A2409" t="s">
        <v>5398</v>
      </c>
      <c r="B2409" t="s">
        <v>5399</v>
      </c>
      <c r="C2409">
        <v>2024</v>
      </c>
      <c r="D2409" s="18">
        <v>45501</v>
      </c>
      <c r="E2409" s="18">
        <v>45865</v>
      </c>
      <c r="F2409" s="18" t="s">
        <v>608</v>
      </c>
      <c r="G2409" t="s">
        <v>99</v>
      </c>
      <c r="H2409">
        <v>1</v>
      </c>
      <c r="I2409">
        <v>2</v>
      </c>
      <c r="J2409" s="27">
        <v>7709.5</v>
      </c>
      <c r="K2409" s="27">
        <v>1000000</v>
      </c>
    </row>
    <row r="2410" spans="1:11" ht="15" customHeight="1" x14ac:dyDescent="0.2">
      <c r="A2410" t="s">
        <v>5400</v>
      </c>
      <c r="B2410" t="s">
        <v>5401</v>
      </c>
      <c r="C2410">
        <v>2024</v>
      </c>
      <c r="D2410" s="18">
        <v>45501</v>
      </c>
      <c r="E2410" s="18">
        <v>45865</v>
      </c>
      <c r="F2410" s="18" t="s">
        <v>611</v>
      </c>
      <c r="G2410" t="s">
        <v>100</v>
      </c>
      <c r="H2410">
        <v>1</v>
      </c>
      <c r="I2410">
        <v>2</v>
      </c>
      <c r="J2410" s="27">
        <v>23718.86</v>
      </c>
      <c r="K2410" s="27">
        <v>2000000</v>
      </c>
    </row>
    <row r="2411" spans="1:11" ht="15" customHeight="1" x14ac:dyDescent="0.2">
      <c r="A2411" t="s">
        <v>5402</v>
      </c>
      <c r="B2411" t="s">
        <v>5403</v>
      </c>
      <c r="C2411">
        <v>2024</v>
      </c>
      <c r="D2411" s="18">
        <v>45501</v>
      </c>
      <c r="E2411" s="18">
        <v>45865</v>
      </c>
      <c r="F2411" s="18" t="s">
        <v>611</v>
      </c>
      <c r="G2411" t="s">
        <v>100</v>
      </c>
      <c r="H2411">
        <v>1</v>
      </c>
      <c r="I2411">
        <v>2</v>
      </c>
      <c r="J2411" s="27">
        <v>11425.18</v>
      </c>
      <c r="K2411" s="27">
        <v>1000000</v>
      </c>
    </row>
    <row r="2412" spans="1:11" ht="15" customHeight="1" x14ac:dyDescent="0.2">
      <c r="A2412" t="s">
        <v>5404</v>
      </c>
      <c r="B2412" t="s">
        <v>5405</v>
      </c>
      <c r="C2412">
        <v>2024</v>
      </c>
      <c r="D2412" s="18">
        <v>45501</v>
      </c>
      <c r="E2412" s="18">
        <v>45865</v>
      </c>
      <c r="F2412" s="18" t="s">
        <v>611</v>
      </c>
      <c r="G2412" t="s">
        <v>99</v>
      </c>
      <c r="H2412">
        <v>1</v>
      </c>
      <c r="I2412">
        <v>1</v>
      </c>
      <c r="J2412" s="27">
        <v>15605.23</v>
      </c>
      <c r="K2412" s="27">
        <v>2000000</v>
      </c>
    </row>
    <row r="2413" spans="1:11" ht="15" customHeight="1" x14ac:dyDescent="0.2">
      <c r="A2413" t="s">
        <v>5406</v>
      </c>
      <c r="B2413" t="s">
        <v>5407</v>
      </c>
      <c r="C2413">
        <v>2024</v>
      </c>
      <c r="D2413" s="18">
        <v>45501</v>
      </c>
      <c r="E2413" s="18">
        <v>45865</v>
      </c>
      <c r="F2413" s="18" t="s">
        <v>611</v>
      </c>
      <c r="G2413" t="s">
        <v>99</v>
      </c>
      <c r="H2413">
        <v>3</v>
      </c>
      <c r="I2413">
        <v>6</v>
      </c>
      <c r="J2413" s="27">
        <v>23865.759999999998</v>
      </c>
      <c r="K2413" s="27">
        <v>3000000</v>
      </c>
    </row>
    <row r="2414" spans="1:11" ht="15" customHeight="1" x14ac:dyDescent="0.2">
      <c r="A2414" t="s">
        <v>5408</v>
      </c>
      <c r="B2414" t="s">
        <v>5409</v>
      </c>
      <c r="C2414">
        <v>2024</v>
      </c>
      <c r="D2414" s="18">
        <v>45501</v>
      </c>
      <c r="E2414" s="18">
        <v>45865</v>
      </c>
      <c r="F2414" s="18" t="s">
        <v>611</v>
      </c>
      <c r="G2414" t="s">
        <v>102</v>
      </c>
      <c r="H2414">
        <v>1</v>
      </c>
      <c r="I2414">
        <v>2</v>
      </c>
      <c r="J2414" s="27">
        <v>7722.25</v>
      </c>
      <c r="K2414" s="27">
        <v>1000000</v>
      </c>
    </row>
    <row r="2415" spans="1:11" ht="15" customHeight="1" x14ac:dyDescent="0.2">
      <c r="A2415" t="s">
        <v>5410</v>
      </c>
      <c r="B2415" t="s">
        <v>5411</v>
      </c>
      <c r="C2415">
        <v>2024</v>
      </c>
      <c r="D2415" s="18">
        <v>45501</v>
      </c>
      <c r="E2415" s="18">
        <v>45865</v>
      </c>
      <c r="F2415" s="18" t="s">
        <v>611</v>
      </c>
      <c r="G2415" t="s">
        <v>100</v>
      </c>
      <c r="H2415">
        <v>2</v>
      </c>
      <c r="I2415">
        <v>2</v>
      </c>
      <c r="J2415" s="27">
        <v>32864.910000000003</v>
      </c>
      <c r="K2415" s="27">
        <v>2500000</v>
      </c>
    </row>
    <row r="2416" spans="1:11" ht="15" customHeight="1" x14ac:dyDescent="0.2">
      <c r="A2416" t="s">
        <v>5412</v>
      </c>
      <c r="B2416" t="s">
        <v>5413</v>
      </c>
      <c r="C2416">
        <v>2024</v>
      </c>
      <c r="D2416" s="18">
        <v>45501</v>
      </c>
      <c r="E2416" s="18">
        <v>45865</v>
      </c>
      <c r="F2416" s="18" t="s">
        <v>611</v>
      </c>
      <c r="G2416" t="s">
        <v>100</v>
      </c>
      <c r="H2416">
        <v>1</v>
      </c>
      <c r="I2416">
        <v>1</v>
      </c>
      <c r="J2416" s="27">
        <v>26551.27</v>
      </c>
      <c r="K2416" s="27">
        <v>2000000</v>
      </c>
    </row>
    <row r="2417" spans="1:11" ht="15" customHeight="1" x14ac:dyDescent="0.2">
      <c r="A2417" t="s">
        <v>5414</v>
      </c>
      <c r="B2417" t="s">
        <v>5415</v>
      </c>
      <c r="C2417">
        <v>2024</v>
      </c>
      <c r="D2417" s="18">
        <v>45501</v>
      </c>
      <c r="E2417" s="18">
        <v>45865</v>
      </c>
      <c r="F2417" s="18" t="s">
        <v>611</v>
      </c>
      <c r="G2417" t="s">
        <v>99</v>
      </c>
      <c r="H2417">
        <v>2</v>
      </c>
      <c r="I2417">
        <v>2</v>
      </c>
      <c r="J2417" s="27">
        <v>78859</v>
      </c>
      <c r="K2417" s="27">
        <v>10000000</v>
      </c>
    </row>
    <row r="2418" spans="1:11" ht="15" customHeight="1" x14ac:dyDescent="0.2">
      <c r="A2418" t="s">
        <v>5416</v>
      </c>
      <c r="B2418" t="s">
        <v>5417</v>
      </c>
      <c r="C2418">
        <v>2024</v>
      </c>
      <c r="D2418" s="18">
        <v>45501</v>
      </c>
      <c r="E2418" s="18">
        <v>45865</v>
      </c>
      <c r="F2418" s="18" t="s">
        <v>611</v>
      </c>
      <c r="G2418" t="s">
        <v>100</v>
      </c>
      <c r="H2418">
        <v>2</v>
      </c>
      <c r="I2418">
        <v>2</v>
      </c>
      <c r="J2418" s="27">
        <v>24694.03</v>
      </c>
      <c r="K2418" s="27">
        <v>2000000</v>
      </c>
    </row>
    <row r="2419" spans="1:11" ht="15" customHeight="1" x14ac:dyDescent="0.2">
      <c r="A2419" t="s">
        <v>5418</v>
      </c>
      <c r="B2419" t="s">
        <v>5419</v>
      </c>
      <c r="C2419">
        <v>2024</v>
      </c>
      <c r="D2419" s="18">
        <v>45501</v>
      </c>
      <c r="E2419" s="18">
        <v>45865</v>
      </c>
      <c r="F2419" s="18" t="s">
        <v>611</v>
      </c>
      <c r="G2419" t="s">
        <v>101</v>
      </c>
      <c r="H2419">
        <v>1</v>
      </c>
      <c r="I2419">
        <v>2</v>
      </c>
      <c r="J2419" s="27">
        <v>29682.23</v>
      </c>
      <c r="K2419" s="27">
        <v>2000000</v>
      </c>
    </row>
    <row r="2420" spans="1:11" ht="15" customHeight="1" x14ac:dyDescent="0.2">
      <c r="A2420" t="s">
        <v>5420</v>
      </c>
      <c r="B2420" t="s">
        <v>5421</v>
      </c>
      <c r="C2420">
        <v>2024</v>
      </c>
      <c r="D2420" s="18">
        <v>45501</v>
      </c>
      <c r="E2420" s="18">
        <v>45865</v>
      </c>
      <c r="F2420" s="18" t="s">
        <v>611</v>
      </c>
      <c r="G2420" t="s">
        <v>102</v>
      </c>
      <c r="H2420">
        <v>1</v>
      </c>
      <c r="I2420">
        <v>2</v>
      </c>
      <c r="J2420" s="27">
        <v>77524.03</v>
      </c>
      <c r="K2420" s="27">
        <v>10000000</v>
      </c>
    </row>
    <row r="2421" spans="1:11" ht="15" customHeight="1" x14ac:dyDescent="0.2">
      <c r="A2421" t="s">
        <v>5422</v>
      </c>
      <c r="B2421" t="s">
        <v>5423</v>
      </c>
      <c r="C2421">
        <v>2024</v>
      </c>
      <c r="D2421" s="18">
        <v>45502</v>
      </c>
      <c r="E2421" s="18">
        <v>45866</v>
      </c>
      <c r="F2421" s="18" t="s">
        <v>608</v>
      </c>
      <c r="G2421" t="s">
        <v>100</v>
      </c>
      <c r="H2421">
        <v>1</v>
      </c>
      <c r="I2421">
        <v>1</v>
      </c>
      <c r="J2421" s="27">
        <v>134326.12</v>
      </c>
      <c r="K2421" s="27">
        <v>10000000</v>
      </c>
    </row>
    <row r="2422" spans="1:11" ht="15" customHeight="1" x14ac:dyDescent="0.2">
      <c r="A2422" t="s">
        <v>5424</v>
      </c>
      <c r="B2422" t="s">
        <v>5425</v>
      </c>
      <c r="C2422">
        <v>2024</v>
      </c>
      <c r="D2422" s="18">
        <v>45502</v>
      </c>
      <c r="E2422" s="18">
        <v>45866</v>
      </c>
      <c r="F2422" s="18" t="s">
        <v>608</v>
      </c>
      <c r="G2422" t="s">
        <v>99</v>
      </c>
      <c r="H2422">
        <v>2</v>
      </c>
      <c r="I2422">
        <v>2</v>
      </c>
      <c r="J2422" s="27">
        <v>31943.77</v>
      </c>
      <c r="K2422" s="27">
        <v>4000000</v>
      </c>
    </row>
    <row r="2423" spans="1:11" ht="15" customHeight="1" x14ac:dyDescent="0.2">
      <c r="A2423" t="s">
        <v>5426</v>
      </c>
      <c r="B2423" t="s">
        <v>5427</v>
      </c>
      <c r="C2423">
        <v>2024</v>
      </c>
      <c r="D2423" s="18">
        <v>45502</v>
      </c>
      <c r="E2423" s="18">
        <v>45866</v>
      </c>
      <c r="F2423" s="18" t="s">
        <v>611</v>
      </c>
      <c r="G2423" t="s">
        <v>101</v>
      </c>
      <c r="H2423">
        <v>2</v>
      </c>
      <c r="I2423">
        <v>4</v>
      </c>
      <c r="J2423" s="27">
        <v>65363.12</v>
      </c>
      <c r="K2423" s="27">
        <v>4500000</v>
      </c>
    </row>
    <row r="2424" spans="1:11" ht="15" customHeight="1" x14ac:dyDescent="0.2">
      <c r="A2424" t="s">
        <v>5428</v>
      </c>
      <c r="B2424" t="s">
        <v>5429</v>
      </c>
      <c r="C2424">
        <v>2024</v>
      </c>
      <c r="D2424" s="18">
        <v>45502</v>
      </c>
      <c r="E2424" s="18">
        <v>45866</v>
      </c>
      <c r="F2424" s="18" t="s">
        <v>611</v>
      </c>
      <c r="G2424" t="s">
        <v>102</v>
      </c>
      <c r="H2424">
        <v>2</v>
      </c>
      <c r="I2424">
        <v>4</v>
      </c>
      <c r="J2424" s="27">
        <v>72146.36</v>
      </c>
      <c r="K2424" s="27">
        <v>10000000</v>
      </c>
    </row>
    <row r="2425" spans="1:11" ht="15" customHeight="1" x14ac:dyDescent="0.2">
      <c r="A2425" t="s">
        <v>5430</v>
      </c>
      <c r="B2425" t="s">
        <v>5431</v>
      </c>
      <c r="C2425">
        <v>2024</v>
      </c>
      <c r="D2425" s="18">
        <v>45502</v>
      </c>
      <c r="E2425" s="18">
        <v>45866</v>
      </c>
      <c r="F2425" s="18" t="s">
        <v>611</v>
      </c>
      <c r="G2425" t="s">
        <v>100</v>
      </c>
      <c r="H2425">
        <v>1</v>
      </c>
      <c r="I2425">
        <v>1</v>
      </c>
      <c r="J2425" s="27">
        <v>12798.7</v>
      </c>
      <c r="K2425" s="27">
        <v>1000000</v>
      </c>
    </row>
    <row r="2426" spans="1:11" ht="15" customHeight="1" x14ac:dyDescent="0.2">
      <c r="A2426" t="s">
        <v>5432</v>
      </c>
      <c r="B2426" t="s">
        <v>5433</v>
      </c>
      <c r="C2426">
        <v>2024</v>
      </c>
      <c r="D2426" s="18">
        <v>45502</v>
      </c>
      <c r="E2426" s="18">
        <v>45866</v>
      </c>
      <c r="F2426" s="18" t="s">
        <v>611</v>
      </c>
      <c r="G2426" t="s">
        <v>99</v>
      </c>
      <c r="H2426">
        <v>2</v>
      </c>
      <c r="I2426">
        <v>2</v>
      </c>
      <c r="J2426" s="27">
        <v>84314.76</v>
      </c>
      <c r="K2426" s="27">
        <v>10000000</v>
      </c>
    </row>
    <row r="2427" spans="1:11" ht="15" customHeight="1" x14ac:dyDescent="0.2">
      <c r="A2427" t="s">
        <v>5434</v>
      </c>
      <c r="B2427" t="s">
        <v>5435</v>
      </c>
      <c r="C2427">
        <v>2024</v>
      </c>
      <c r="D2427" s="18">
        <v>45502</v>
      </c>
      <c r="E2427" s="18">
        <v>45866</v>
      </c>
      <c r="F2427" s="18" t="s">
        <v>611</v>
      </c>
      <c r="G2427" t="s">
        <v>100</v>
      </c>
      <c r="H2427">
        <v>3</v>
      </c>
      <c r="I2427">
        <v>3</v>
      </c>
      <c r="J2427" s="27">
        <v>37019.97</v>
      </c>
      <c r="K2427" s="27">
        <v>3000000</v>
      </c>
    </row>
    <row r="2428" spans="1:11" ht="15" customHeight="1" x14ac:dyDescent="0.2">
      <c r="A2428" t="s">
        <v>5436</v>
      </c>
      <c r="B2428" t="s">
        <v>5437</v>
      </c>
      <c r="C2428">
        <v>2024</v>
      </c>
      <c r="D2428" s="18">
        <v>45502</v>
      </c>
      <c r="E2428" s="18">
        <v>45866</v>
      </c>
      <c r="F2428" s="18" t="s">
        <v>611</v>
      </c>
      <c r="G2428" t="s">
        <v>99</v>
      </c>
      <c r="H2428">
        <v>1</v>
      </c>
      <c r="I2428">
        <v>1</v>
      </c>
      <c r="J2428" s="27">
        <v>15823.99</v>
      </c>
      <c r="K2428" s="27">
        <v>2000000</v>
      </c>
    </row>
    <row r="2429" spans="1:11" ht="15" customHeight="1" x14ac:dyDescent="0.2">
      <c r="A2429" t="s">
        <v>5438</v>
      </c>
      <c r="B2429" t="s">
        <v>5439</v>
      </c>
      <c r="C2429">
        <v>2024</v>
      </c>
      <c r="D2429" s="18">
        <v>45502</v>
      </c>
      <c r="E2429" s="18">
        <v>45866</v>
      </c>
      <c r="F2429" s="18" t="s">
        <v>611</v>
      </c>
      <c r="G2429" t="s">
        <v>101</v>
      </c>
      <c r="H2429">
        <v>1</v>
      </c>
      <c r="I2429">
        <v>2</v>
      </c>
      <c r="J2429" s="27">
        <v>30332.44</v>
      </c>
      <c r="K2429" s="27">
        <v>2000000</v>
      </c>
    </row>
    <row r="2430" spans="1:11" ht="15" customHeight="1" x14ac:dyDescent="0.2">
      <c r="A2430" t="s">
        <v>5440</v>
      </c>
      <c r="B2430" t="s">
        <v>5441</v>
      </c>
      <c r="C2430">
        <v>2024</v>
      </c>
      <c r="D2430" s="18">
        <v>45502</v>
      </c>
      <c r="E2430" s="18">
        <v>45866</v>
      </c>
      <c r="F2430" s="18" t="s">
        <v>611</v>
      </c>
      <c r="G2430" t="s">
        <v>100</v>
      </c>
      <c r="H2430">
        <v>2</v>
      </c>
      <c r="I2430">
        <v>4</v>
      </c>
      <c r="J2430" s="27">
        <v>46156.45</v>
      </c>
      <c r="K2430" s="27">
        <v>4000000</v>
      </c>
    </row>
    <row r="2431" spans="1:11" ht="15" customHeight="1" x14ac:dyDescent="0.2">
      <c r="A2431" t="s">
        <v>5442</v>
      </c>
      <c r="B2431" t="s">
        <v>5443</v>
      </c>
      <c r="C2431">
        <v>2024</v>
      </c>
      <c r="D2431" s="18">
        <v>45502</v>
      </c>
      <c r="E2431" s="18">
        <v>45866</v>
      </c>
      <c r="F2431" s="18" t="s">
        <v>611</v>
      </c>
      <c r="G2431" t="s">
        <v>101</v>
      </c>
      <c r="H2431">
        <v>2</v>
      </c>
      <c r="I2431">
        <v>4</v>
      </c>
      <c r="J2431" s="27">
        <v>16132.64</v>
      </c>
      <c r="K2431" s="27">
        <v>1000000</v>
      </c>
    </row>
    <row r="2432" spans="1:11" ht="15" customHeight="1" x14ac:dyDescent="0.2">
      <c r="A2432" t="s">
        <v>5444</v>
      </c>
      <c r="B2432" t="s">
        <v>5445</v>
      </c>
      <c r="C2432">
        <v>2024</v>
      </c>
      <c r="D2432" s="18">
        <v>45502</v>
      </c>
      <c r="E2432" s="18">
        <v>45866</v>
      </c>
      <c r="F2432" s="18" t="s">
        <v>611</v>
      </c>
      <c r="G2432" t="s">
        <v>99</v>
      </c>
      <c r="H2432">
        <v>2</v>
      </c>
      <c r="I2432">
        <v>2</v>
      </c>
      <c r="J2432" s="27">
        <v>87772.83</v>
      </c>
      <c r="K2432" s="27">
        <v>10000000</v>
      </c>
    </row>
    <row r="2433" spans="1:11" ht="15" customHeight="1" x14ac:dyDescent="0.2">
      <c r="A2433" t="s">
        <v>5446</v>
      </c>
      <c r="B2433" t="s">
        <v>5447</v>
      </c>
      <c r="C2433">
        <v>2024</v>
      </c>
      <c r="D2433" s="18">
        <v>45503</v>
      </c>
      <c r="E2433" s="18">
        <v>45867</v>
      </c>
      <c r="F2433" s="18" t="s">
        <v>608</v>
      </c>
      <c r="G2433" t="s">
        <v>99</v>
      </c>
      <c r="H2433">
        <v>1</v>
      </c>
      <c r="I2433">
        <v>1</v>
      </c>
      <c r="J2433" s="27">
        <v>8167.74</v>
      </c>
      <c r="K2433" s="27">
        <v>1000000</v>
      </c>
    </row>
    <row r="2434" spans="1:11" ht="15" customHeight="1" x14ac:dyDescent="0.2">
      <c r="A2434" t="s">
        <v>5448</v>
      </c>
      <c r="B2434" t="s">
        <v>5449</v>
      </c>
      <c r="C2434">
        <v>2024</v>
      </c>
      <c r="D2434" s="18">
        <v>45503</v>
      </c>
      <c r="E2434" s="18">
        <v>45867</v>
      </c>
      <c r="F2434" s="18" t="s">
        <v>611</v>
      </c>
      <c r="G2434" t="s">
        <v>100</v>
      </c>
      <c r="H2434">
        <v>1</v>
      </c>
      <c r="I2434">
        <v>1</v>
      </c>
      <c r="J2434" s="27">
        <v>133936.93</v>
      </c>
      <c r="K2434" s="27">
        <v>10000000</v>
      </c>
    </row>
    <row r="2435" spans="1:11" ht="15" customHeight="1" x14ac:dyDescent="0.2">
      <c r="A2435" t="s">
        <v>5450</v>
      </c>
      <c r="B2435" t="s">
        <v>5451</v>
      </c>
      <c r="C2435">
        <v>2024</v>
      </c>
      <c r="D2435" s="18">
        <v>45503</v>
      </c>
      <c r="E2435" s="18">
        <v>45867</v>
      </c>
      <c r="F2435" s="18" t="s">
        <v>611</v>
      </c>
      <c r="G2435" t="s">
        <v>99</v>
      </c>
      <c r="H2435">
        <v>1</v>
      </c>
      <c r="I2435">
        <v>2</v>
      </c>
      <c r="J2435" s="27">
        <v>8801.09</v>
      </c>
      <c r="K2435" s="27">
        <v>1000000</v>
      </c>
    </row>
    <row r="2436" spans="1:11" ht="15" customHeight="1" x14ac:dyDescent="0.2">
      <c r="A2436" t="s">
        <v>5452</v>
      </c>
      <c r="B2436" t="s">
        <v>5453</v>
      </c>
      <c r="C2436">
        <v>2024</v>
      </c>
      <c r="D2436" s="18">
        <v>45503</v>
      </c>
      <c r="E2436" s="18">
        <v>45867</v>
      </c>
      <c r="F2436" s="18" t="s">
        <v>611</v>
      </c>
      <c r="G2436" t="s">
        <v>99</v>
      </c>
      <c r="H2436">
        <v>3</v>
      </c>
      <c r="I2436">
        <v>3</v>
      </c>
      <c r="J2436" s="27">
        <v>17366.84</v>
      </c>
      <c r="K2436" s="27">
        <v>2000000</v>
      </c>
    </row>
    <row r="2437" spans="1:11" ht="15" customHeight="1" x14ac:dyDescent="0.2">
      <c r="A2437" t="s">
        <v>5454</v>
      </c>
      <c r="B2437" t="s">
        <v>5455</v>
      </c>
      <c r="C2437">
        <v>2024</v>
      </c>
      <c r="D2437" s="18">
        <v>45504</v>
      </c>
      <c r="E2437" s="18">
        <v>45868</v>
      </c>
      <c r="F2437" s="18" t="s">
        <v>608</v>
      </c>
      <c r="G2437" t="s">
        <v>99</v>
      </c>
      <c r="H2437">
        <v>1</v>
      </c>
      <c r="I2437">
        <v>1</v>
      </c>
      <c r="J2437" s="27">
        <v>78059.490000000005</v>
      </c>
      <c r="K2437" s="27">
        <v>10000000</v>
      </c>
    </row>
    <row r="2438" spans="1:11" ht="15" customHeight="1" x14ac:dyDescent="0.2">
      <c r="A2438" t="s">
        <v>5456</v>
      </c>
      <c r="B2438" t="s">
        <v>5457</v>
      </c>
      <c r="C2438">
        <v>2024</v>
      </c>
      <c r="D2438" s="18">
        <v>45504</v>
      </c>
      <c r="E2438" s="18">
        <v>45868</v>
      </c>
      <c r="F2438" s="18" t="s">
        <v>608</v>
      </c>
      <c r="G2438" t="s">
        <v>99</v>
      </c>
      <c r="H2438">
        <v>2</v>
      </c>
      <c r="I2438">
        <v>2</v>
      </c>
      <c r="J2438" s="27">
        <v>3808.25</v>
      </c>
      <c r="K2438" s="27">
        <v>500000</v>
      </c>
    </row>
    <row r="2439" spans="1:11" ht="15" customHeight="1" x14ac:dyDescent="0.2">
      <c r="A2439" t="s">
        <v>5458</v>
      </c>
      <c r="B2439" t="s">
        <v>5459</v>
      </c>
      <c r="C2439">
        <v>2024</v>
      </c>
      <c r="D2439" s="18">
        <v>45504</v>
      </c>
      <c r="E2439" s="18">
        <v>45868</v>
      </c>
      <c r="F2439" s="18" t="s">
        <v>608</v>
      </c>
      <c r="G2439" t="s">
        <v>100</v>
      </c>
      <c r="H2439">
        <v>1</v>
      </c>
      <c r="I2439">
        <v>2</v>
      </c>
      <c r="J2439" s="27">
        <v>66522.990000000005</v>
      </c>
      <c r="K2439" s="27">
        <v>5000000</v>
      </c>
    </row>
    <row r="2440" spans="1:11" ht="15" customHeight="1" x14ac:dyDescent="0.2">
      <c r="A2440" t="s">
        <v>5460</v>
      </c>
      <c r="B2440" t="s">
        <v>5461</v>
      </c>
      <c r="C2440">
        <v>2024</v>
      </c>
      <c r="D2440" s="18">
        <v>45504</v>
      </c>
      <c r="E2440" s="18">
        <v>45868</v>
      </c>
      <c r="F2440" s="18" t="s">
        <v>611</v>
      </c>
      <c r="G2440" t="s">
        <v>101</v>
      </c>
      <c r="H2440">
        <v>2</v>
      </c>
      <c r="I2440">
        <v>2</v>
      </c>
      <c r="J2440" s="27">
        <v>57007.12</v>
      </c>
      <c r="K2440" s="27">
        <v>4000000</v>
      </c>
    </row>
    <row r="2441" spans="1:11" ht="15" customHeight="1" x14ac:dyDescent="0.2">
      <c r="A2441" t="s">
        <v>5462</v>
      </c>
      <c r="B2441" t="s">
        <v>5463</v>
      </c>
      <c r="C2441">
        <v>2024</v>
      </c>
      <c r="D2441" s="18">
        <v>45504</v>
      </c>
      <c r="E2441" s="18">
        <v>45868</v>
      </c>
      <c r="F2441" s="18" t="s">
        <v>611</v>
      </c>
      <c r="G2441" t="s">
        <v>101</v>
      </c>
      <c r="H2441">
        <v>1</v>
      </c>
      <c r="I2441">
        <v>1</v>
      </c>
      <c r="J2441" s="27">
        <v>78463.210000000006</v>
      </c>
      <c r="K2441" s="27">
        <v>5000000</v>
      </c>
    </row>
    <row r="2442" spans="1:11" ht="15" customHeight="1" x14ac:dyDescent="0.2">
      <c r="A2442" t="s">
        <v>5464</v>
      </c>
      <c r="B2442" t="s">
        <v>5465</v>
      </c>
      <c r="C2442">
        <v>2024</v>
      </c>
      <c r="D2442" s="18">
        <v>45504</v>
      </c>
      <c r="E2442" s="18">
        <v>45868</v>
      </c>
      <c r="F2442" s="18" t="s">
        <v>611</v>
      </c>
      <c r="G2442" t="s">
        <v>102</v>
      </c>
      <c r="H2442">
        <v>2</v>
      </c>
      <c r="I2442">
        <v>2</v>
      </c>
      <c r="J2442" s="27">
        <v>15549.14</v>
      </c>
      <c r="K2442" s="27">
        <v>2000000</v>
      </c>
    </row>
    <row r="2443" spans="1:11" ht="15" customHeight="1" x14ac:dyDescent="0.2">
      <c r="A2443" t="s">
        <v>5466</v>
      </c>
      <c r="B2443" t="s">
        <v>5467</v>
      </c>
      <c r="C2443">
        <v>2024</v>
      </c>
      <c r="D2443" s="18">
        <v>45504</v>
      </c>
      <c r="E2443" s="18">
        <v>45868</v>
      </c>
      <c r="F2443" s="18" t="s">
        <v>611</v>
      </c>
      <c r="G2443" t="s">
        <v>101</v>
      </c>
      <c r="H2443">
        <v>1</v>
      </c>
      <c r="I2443">
        <v>2</v>
      </c>
      <c r="J2443" s="27">
        <v>16138.89</v>
      </c>
      <c r="K2443" s="27">
        <v>1000000</v>
      </c>
    </row>
    <row r="2444" spans="1:11" ht="15" customHeight="1" x14ac:dyDescent="0.2">
      <c r="A2444" t="s">
        <v>5468</v>
      </c>
      <c r="B2444" t="s">
        <v>5469</v>
      </c>
      <c r="C2444">
        <v>2024</v>
      </c>
      <c r="D2444" s="18">
        <v>45504</v>
      </c>
      <c r="E2444" s="18">
        <v>45868</v>
      </c>
      <c r="F2444" s="18" t="s">
        <v>611</v>
      </c>
      <c r="G2444" t="s">
        <v>99</v>
      </c>
      <c r="H2444">
        <v>3</v>
      </c>
      <c r="I2444">
        <v>3</v>
      </c>
      <c r="J2444" s="27">
        <v>31910.14</v>
      </c>
      <c r="K2444" s="27">
        <v>4000000</v>
      </c>
    </row>
    <row r="2445" spans="1:11" ht="15" customHeight="1" x14ac:dyDescent="0.2">
      <c r="A2445" t="s">
        <v>5470</v>
      </c>
      <c r="B2445" t="s">
        <v>5471</v>
      </c>
      <c r="C2445">
        <v>2024</v>
      </c>
      <c r="D2445" s="18">
        <v>45504</v>
      </c>
      <c r="E2445" s="18">
        <v>45868</v>
      </c>
      <c r="F2445" s="18" t="s">
        <v>611</v>
      </c>
      <c r="G2445" t="s">
        <v>100</v>
      </c>
      <c r="H2445">
        <v>2</v>
      </c>
      <c r="I2445">
        <v>4</v>
      </c>
      <c r="J2445" s="27">
        <v>6320.79</v>
      </c>
      <c r="K2445" s="27">
        <v>500000</v>
      </c>
    </row>
    <row r="2446" spans="1:11" ht="15" customHeight="1" x14ac:dyDescent="0.2">
      <c r="A2446" t="s">
        <v>5472</v>
      </c>
      <c r="B2446" t="s">
        <v>5473</v>
      </c>
      <c r="C2446">
        <v>2024</v>
      </c>
      <c r="D2446" s="18">
        <v>45505</v>
      </c>
      <c r="E2446" s="18">
        <v>45869</v>
      </c>
      <c r="F2446" s="18" t="s">
        <v>611</v>
      </c>
      <c r="G2446" t="s">
        <v>100</v>
      </c>
      <c r="H2446">
        <v>1</v>
      </c>
      <c r="I2446">
        <v>2</v>
      </c>
      <c r="J2446" s="27">
        <v>126374.5</v>
      </c>
      <c r="K2446" s="27">
        <v>10000000</v>
      </c>
    </row>
    <row r="2447" spans="1:11" ht="15" customHeight="1" x14ac:dyDescent="0.2">
      <c r="A2447" t="s">
        <v>5474</v>
      </c>
      <c r="B2447" t="s">
        <v>5475</v>
      </c>
      <c r="C2447">
        <v>2024</v>
      </c>
      <c r="D2447" s="18">
        <v>45505</v>
      </c>
      <c r="E2447" s="18">
        <v>45869</v>
      </c>
      <c r="F2447" s="18" t="s">
        <v>611</v>
      </c>
      <c r="G2447" t="s">
        <v>101</v>
      </c>
      <c r="H2447">
        <v>1</v>
      </c>
      <c r="I2447">
        <v>1</v>
      </c>
      <c r="J2447" s="27">
        <v>37072.35</v>
      </c>
      <c r="K2447" s="27">
        <v>2500000</v>
      </c>
    </row>
    <row r="2448" spans="1:11" ht="15" customHeight="1" x14ac:dyDescent="0.2">
      <c r="A2448" t="s">
        <v>5476</v>
      </c>
      <c r="B2448" t="s">
        <v>5477</v>
      </c>
      <c r="C2448">
        <v>2024</v>
      </c>
      <c r="D2448" s="18">
        <v>45505</v>
      </c>
      <c r="E2448" s="18">
        <v>45869</v>
      </c>
      <c r="F2448" s="18" t="s">
        <v>611</v>
      </c>
      <c r="G2448" t="s">
        <v>99</v>
      </c>
      <c r="H2448">
        <v>2</v>
      </c>
      <c r="I2448">
        <v>2</v>
      </c>
      <c r="J2448" s="27">
        <v>84268.67</v>
      </c>
      <c r="K2448" s="27">
        <v>10000000</v>
      </c>
    </row>
    <row r="2449" spans="1:11" ht="15" customHeight="1" x14ac:dyDescent="0.2">
      <c r="A2449" t="s">
        <v>5478</v>
      </c>
      <c r="B2449" t="s">
        <v>5479</v>
      </c>
      <c r="C2449">
        <v>2024</v>
      </c>
      <c r="D2449" s="18">
        <v>45505</v>
      </c>
      <c r="E2449" s="18">
        <v>45869</v>
      </c>
      <c r="F2449" s="18" t="s">
        <v>611</v>
      </c>
      <c r="G2449" t="s">
        <v>100</v>
      </c>
      <c r="H2449">
        <v>2</v>
      </c>
      <c r="I2449">
        <v>2</v>
      </c>
      <c r="J2449" s="27">
        <v>47625.43</v>
      </c>
      <c r="K2449" s="27">
        <v>4000000</v>
      </c>
    </row>
    <row r="2450" spans="1:11" ht="15" customHeight="1" x14ac:dyDescent="0.2">
      <c r="A2450" t="s">
        <v>5480</v>
      </c>
      <c r="B2450" t="s">
        <v>5481</v>
      </c>
      <c r="C2450">
        <v>2024</v>
      </c>
      <c r="D2450" s="18">
        <v>45505</v>
      </c>
      <c r="E2450" s="18">
        <v>45869</v>
      </c>
      <c r="F2450" s="18" t="s">
        <v>611</v>
      </c>
      <c r="G2450" t="s">
        <v>100</v>
      </c>
      <c r="H2450">
        <v>1</v>
      </c>
      <c r="I2450">
        <v>1</v>
      </c>
      <c r="J2450" s="27">
        <v>23566.66</v>
      </c>
      <c r="K2450" s="27">
        <v>2000000</v>
      </c>
    </row>
    <row r="2451" spans="1:11" ht="15" customHeight="1" x14ac:dyDescent="0.2">
      <c r="A2451" t="s">
        <v>5482</v>
      </c>
      <c r="B2451" t="s">
        <v>5483</v>
      </c>
      <c r="C2451">
        <v>2024</v>
      </c>
      <c r="D2451" s="18">
        <v>45505</v>
      </c>
      <c r="E2451" s="18">
        <v>45869</v>
      </c>
      <c r="F2451" s="18" t="s">
        <v>611</v>
      </c>
      <c r="G2451" t="s">
        <v>101</v>
      </c>
      <c r="H2451">
        <v>3</v>
      </c>
      <c r="I2451">
        <v>3</v>
      </c>
      <c r="J2451" s="27">
        <v>168814.8</v>
      </c>
      <c r="K2451" s="27">
        <v>10000000</v>
      </c>
    </row>
    <row r="2452" spans="1:11" ht="15" customHeight="1" x14ac:dyDescent="0.2">
      <c r="A2452" t="s">
        <v>5484</v>
      </c>
      <c r="B2452" t="s">
        <v>5485</v>
      </c>
      <c r="C2452">
        <v>2024</v>
      </c>
      <c r="D2452" s="18">
        <v>45505</v>
      </c>
      <c r="E2452" s="18">
        <v>45869</v>
      </c>
      <c r="F2452" s="18" t="s">
        <v>611</v>
      </c>
      <c r="G2452" t="s">
        <v>100</v>
      </c>
      <c r="H2452">
        <v>2</v>
      </c>
      <c r="I2452">
        <v>2</v>
      </c>
      <c r="J2452" s="27">
        <v>25660.91</v>
      </c>
      <c r="K2452" s="27">
        <v>2000000</v>
      </c>
    </row>
    <row r="2453" spans="1:11" ht="15" customHeight="1" x14ac:dyDescent="0.2">
      <c r="A2453" t="s">
        <v>5486</v>
      </c>
      <c r="B2453" t="s">
        <v>5487</v>
      </c>
      <c r="C2453">
        <v>2024</v>
      </c>
      <c r="D2453" s="18">
        <v>45506</v>
      </c>
      <c r="E2453" s="18">
        <v>45870</v>
      </c>
      <c r="F2453" s="18" t="s">
        <v>611</v>
      </c>
      <c r="G2453" t="s">
        <v>102</v>
      </c>
      <c r="H2453">
        <v>3</v>
      </c>
      <c r="I2453">
        <v>6</v>
      </c>
      <c r="J2453" s="27">
        <v>13658.02</v>
      </c>
      <c r="K2453" s="27">
        <v>2000000</v>
      </c>
    </row>
    <row r="2454" spans="1:11" ht="15" customHeight="1" x14ac:dyDescent="0.2">
      <c r="A2454" t="s">
        <v>5488</v>
      </c>
      <c r="B2454" t="s">
        <v>5489</v>
      </c>
      <c r="C2454">
        <v>2024</v>
      </c>
      <c r="D2454" s="18">
        <v>45506</v>
      </c>
      <c r="E2454" s="18">
        <v>45870</v>
      </c>
      <c r="F2454" s="18" t="s">
        <v>611</v>
      </c>
      <c r="G2454" t="s">
        <v>102</v>
      </c>
      <c r="H2454">
        <v>1</v>
      </c>
      <c r="I2454">
        <v>2</v>
      </c>
      <c r="J2454" s="27">
        <v>13721.95</v>
      </c>
      <c r="K2454" s="27">
        <v>2000000</v>
      </c>
    </row>
    <row r="2455" spans="1:11" ht="15" customHeight="1" x14ac:dyDescent="0.2">
      <c r="A2455" t="s">
        <v>5490</v>
      </c>
      <c r="B2455" t="s">
        <v>5491</v>
      </c>
      <c r="C2455">
        <v>2024</v>
      </c>
      <c r="D2455" s="18">
        <v>45506</v>
      </c>
      <c r="E2455" s="18">
        <v>45870</v>
      </c>
      <c r="F2455" s="18" t="s">
        <v>611</v>
      </c>
      <c r="G2455" t="s">
        <v>100</v>
      </c>
      <c r="H2455">
        <v>3</v>
      </c>
      <c r="I2455">
        <v>3</v>
      </c>
      <c r="J2455" s="27">
        <v>6132.75</v>
      </c>
      <c r="K2455" s="27">
        <v>500000</v>
      </c>
    </row>
    <row r="2456" spans="1:11" ht="15" customHeight="1" x14ac:dyDescent="0.2">
      <c r="A2456" t="s">
        <v>5492</v>
      </c>
      <c r="B2456" t="s">
        <v>5493</v>
      </c>
      <c r="C2456">
        <v>2024</v>
      </c>
      <c r="D2456" s="18">
        <v>45506</v>
      </c>
      <c r="E2456" s="18">
        <v>45870</v>
      </c>
      <c r="F2456" s="18" t="s">
        <v>611</v>
      </c>
      <c r="G2456" t="s">
        <v>101</v>
      </c>
      <c r="H2456">
        <v>1</v>
      </c>
      <c r="I2456">
        <v>1</v>
      </c>
      <c r="J2456" s="27">
        <v>75744.149999999994</v>
      </c>
      <c r="K2456" s="27">
        <v>5000000</v>
      </c>
    </row>
    <row r="2457" spans="1:11" ht="15" customHeight="1" x14ac:dyDescent="0.2">
      <c r="A2457" t="s">
        <v>5494</v>
      </c>
      <c r="B2457" t="s">
        <v>5495</v>
      </c>
      <c r="C2457">
        <v>2024</v>
      </c>
      <c r="D2457" s="18">
        <v>45506</v>
      </c>
      <c r="E2457" s="18">
        <v>45870</v>
      </c>
      <c r="F2457" s="18" t="s">
        <v>611</v>
      </c>
      <c r="G2457" t="s">
        <v>99</v>
      </c>
      <c r="H2457">
        <v>3</v>
      </c>
      <c r="I2457">
        <v>6</v>
      </c>
      <c r="J2457" s="27">
        <v>22225.58</v>
      </c>
      <c r="K2457" s="27">
        <v>2500000</v>
      </c>
    </row>
    <row r="2458" spans="1:11" ht="15" customHeight="1" x14ac:dyDescent="0.2">
      <c r="A2458" t="s">
        <v>5496</v>
      </c>
      <c r="B2458" t="s">
        <v>5497</v>
      </c>
      <c r="C2458">
        <v>2024</v>
      </c>
      <c r="D2458" s="18">
        <v>45506</v>
      </c>
      <c r="E2458" s="18">
        <v>45870</v>
      </c>
      <c r="F2458" s="18" t="s">
        <v>611</v>
      </c>
      <c r="G2458" t="s">
        <v>101</v>
      </c>
      <c r="H2458">
        <v>1</v>
      </c>
      <c r="I2458">
        <v>2</v>
      </c>
      <c r="J2458" s="27">
        <v>157648.47</v>
      </c>
      <c r="K2458" s="27">
        <v>10000000</v>
      </c>
    </row>
    <row r="2459" spans="1:11" ht="15" customHeight="1" x14ac:dyDescent="0.2">
      <c r="A2459" t="s">
        <v>5498</v>
      </c>
      <c r="B2459" t="s">
        <v>5499</v>
      </c>
      <c r="C2459">
        <v>2024</v>
      </c>
      <c r="D2459" s="18">
        <v>45506</v>
      </c>
      <c r="E2459" s="18">
        <v>45870</v>
      </c>
      <c r="F2459" s="18" t="s">
        <v>611</v>
      </c>
      <c r="G2459" t="s">
        <v>101</v>
      </c>
      <c r="H2459">
        <v>1</v>
      </c>
      <c r="I2459">
        <v>2</v>
      </c>
      <c r="J2459" s="27">
        <v>22849.41</v>
      </c>
      <c r="K2459" s="27">
        <v>1500000</v>
      </c>
    </row>
    <row r="2460" spans="1:11" ht="15" customHeight="1" x14ac:dyDescent="0.2">
      <c r="A2460" t="s">
        <v>5500</v>
      </c>
      <c r="B2460" t="s">
        <v>5501</v>
      </c>
      <c r="C2460">
        <v>2024</v>
      </c>
      <c r="D2460" s="18">
        <v>45506</v>
      </c>
      <c r="E2460" s="18">
        <v>45870</v>
      </c>
      <c r="F2460" s="18" t="s">
        <v>611</v>
      </c>
      <c r="G2460" t="s">
        <v>100</v>
      </c>
      <c r="H2460">
        <v>3</v>
      </c>
      <c r="I2460">
        <v>3</v>
      </c>
      <c r="J2460" s="27">
        <v>61149.88</v>
      </c>
      <c r="K2460" s="27">
        <v>5000000</v>
      </c>
    </row>
    <row r="2461" spans="1:11" ht="15" customHeight="1" x14ac:dyDescent="0.2">
      <c r="A2461" t="s">
        <v>5502</v>
      </c>
      <c r="B2461" t="s">
        <v>5503</v>
      </c>
      <c r="C2461">
        <v>2024</v>
      </c>
      <c r="D2461" s="18">
        <v>45506</v>
      </c>
      <c r="E2461" s="18">
        <v>45870</v>
      </c>
      <c r="F2461" s="18" t="s">
        <v>611</v>
      </c>
      <c r="G2461" t="s">
        <v>99</v>
      </c>
      <c r="H2461">
        <v>2</v>
      </c>
      <c r="I2461">
        <v>4</v>
      </c>
      <c r="J2461" s="27">
        <v>44892.5</v>
      </c>
      <c r="K2461" s="27">
        <v>5000000</v>
      </c>
    </row>
    <row r="2462" spans="1:11" ht="15" customHeight="1" x14ac:dyDescent="0.2">
      <c r="A2462" t="s">
        <v>5504</v>
      </c>
      <c r="B2462" t="s">
        <v>5505</v>
      </c>
      <c r="C2462">
        <v>2024</v>
      </c>
      <c r="D2462" s="18">
        <v>45506</v>
      </c>
      <c r="E2462" s="18">
        <v>45870</v>
      </c>
      <c r="F2462" s="18" t="s">
        <v>611</v>
      </c>
      <c r="G2462" t="s">
        <v>99</v>
      </c>
      <c r="H2462">
        <v>1</v>
      </c>
      <c r="I2462">
        <v>1</v>
      </c>
      <c r="J2462" s="27">
        <v>84653.62</v>
      </c>
      <c r="K2462" s="27">
        <v>10000000</v>
      </c>
    </row>
    <row r="2463" spans="1:11" ht="15" customHeight="1" x14ac:dyDescent="0.2">
      <c r="A2463" t="s">
        <v>5506</v>
      </c>
      <c r="B2463" t="s">
        <v>5507</v>
      </c>
      <c r="C2463">
        <v>2024</v>
      </c>
      <c r="D2463" s="18">
        <v>45507</v>
      </c>
      <c r="E2463" s="18">
        <v>45871</v>
      </c>
      <c r="F2463" s="18" t="s">
        <v>608</v>
      </c>
      <c r="G2463" t="s">
        <v>102</v>
      </c>
      <c r="H2463">
        <v>1</v>
      </c>
      <c r="I2463">
        <v>1</v>
      </c>
      <c r="J2463" s="27">
        <v>80199.61</v>
      </c>
      <c r="K2463" s="27">
        <v>10000000</v>
      </c>
    </row>
    <row r="2464" spans="1:11" ht="15" customHeight="1" x14ac:dyDescent="0.2">
      <c r="A2464" t="s">
        <v>5508</v>
      </c>
      <c r="B2464" t="s">
        <v>5509</v>
      </c>
      <c r="C2464">
        <v>2024</v>
      </c>
      <c r="D2464" s="18">
        <v>45507</v>
      </c>
      <c r="E2464" s="18">
        <v>45871</v>
      </c>
      <c r="F2464" s="18" t="s">
        <v>608</v>
      </c>
      <c r="G2464" t="s">
        <v>99</v>
      </c>
      <c r="H2464">
        <v>1</v>
      </c>
      <c r="I2464">
        <v>1</v>
      </c>
      <c r="J2464" s="27">
        <v>43741.2</v>
      </c>
      <c r="K2464" s="27">
        <v>5000000</v>
      </c>
    </row>
    <row r="2465" spans="1:11" ht="15" customHeight="1" x14ac:dyDescent="0.2">
      <c r="A2465" t="s">
        <v>5510</v>
      </c>
      <c r="B2465" t="s">
        <v>5511</v>
      </c>
      <c r="C2465">
        <v>2024</v>
      </c>
      <c r="D2465" s="18">
        <v>45507</v>
      </c>
      <c r="E2465" s="18">
        <v>45871</v>
      </c>
      <c r="F2465" s="18" t="s">
        <v>611</v>
      </c>
      <c r="G2465" t="s">
        <v>100</v>
      </c>
      <c r="H2465">
        <v>3</v>
      </c>
      <c r="I2465">
        <v>3</v>
      </c>
      <c r="J2465" s="27">
        <v>122158.57</v>
      </c>
      <c r="K2465" s="27">
        <v>10000000</v>
      </c>
    </row>
    <row r="2466" spans="1:11" ht="15" customHeight="1" x14ac:dyDescent="0.2">
      <c r="A2466" t="s">
        <v>5512</v>
      </c>
      <c r="B2466" t="s">
        <v>5513</v>
      </c>
      <c r="C2466">
        <v>2024</v>
      </c>
      <c r="D2466" s="18">
        <v>45507</v>
      </c>
      <c r="E2466" s="18">
        <v>45871</v>
      </c>
      <c r="F2466" s="18" t="s">
        <v>611</v>
      </c>
      <c r="G2466" t="s">
        <v>102</v>
      </c>
      <c r="H2466">
        <v>1</v>
      </c>
      <c r="I2466">
        <v>2</v>
      </c>
      <c r="J2466" s="27">
        <v>33950.559999999998</v>
      </c>
      <c r="K2466" s="27">
        <v>5000000</v>
      </c>
    </row>
    <row r="2467" spans="1:11" ht="15" customHeight="1" x14ac:dyDescent="0.2">
      <c r="A2467" t="s">
        <v>5514</v>
      </c>
      <c r="B2467" t="s">
        <v>5515</v>
      </c>
      <c r="C2467">
        <v>2024</v>
      </c>
      <c r="D2467" s="18">
        <v>45507</v>
      </c>
      <c r="E2467" s="18">
        <v>45871</v>
      </c>
      <c r="F2467" s="18" t="s">
        <v>611</v>
      </c>
      <c r="G2467" t="s">
        <v>100</v>
      </c>
      <c r="H2467">
        <v>2</v>
      </c>
      <c r="I2467">
        <v>4</v>
      </c>
      <c r="J2467" s="27">
        <v>29110.9</v>
      </c>
      <c r="K2467" s="27">
        <v>2500000</v>
      </c>
    </row>
    <row r="2468" spans="1:11" ht="15" customHeight="1" x14ac:dyDescent="0.2">
      <c r="A2468" t="s">
        <v>5516</v>
      </c>
      <c r="B2468" t="s">
        <v>5517</v>
      </c>
      <c r="C2468">
        <v>2024</v>
      </c>
      <c r="D2468" s="18">
        <v>45507</v>
      </c>
      <c r="E2468" s="18">
        <v>45871</v>
      </c>
      <c r="F2468" s="18" t="s">
        <v>611</v>
      </c>
      <c r="G2468" t="s">
        <v>101</v>
      </c>
      <c r="H2468">
        <v>3</v>
      </c>
      <c r="I2468">
        <v>3</v>
      </c>
      <c r="J2468" s="27">
        <v>73468.009999999995</v>
      </c>
      <c r="K2468" s="27">
        <v>5000000</v>
      </c>
    </row>
    <row r="2469" spans="1:11" ht="15" customHeight="1" x14ac:dyDescent="0.2">
      <c r="A2469" t="s">
        <v>5518</v>
      </c>
      <c r="B2469" t="s">
        <v>5519</v>
      </c>
      <c r="C2469">
        <v>2024</v>
      </c>
      <c r="D2469" s="18">
        <v>45508</v>
      </c>
      <c r="E2469" s="18">
        <v>45872</v>
      </c>
      <c r="F2469" s="18" t="s">
        <v>611</v>
      </c>
      <c r="G2469" t="s">
        <v>101</v>
      </c>
      <c r="H2469">
        <v>2</v>
      </c>
      <c r="I2469">
        <v>2</v>
      </c>
      <c r="J2469" s="27">
        <v>155714.9</v>
      </c>
      <c r="K2469" s="27">
        <v>10000000</v>
      </c>
    </row>
    <row r="2470" spans="1:11" ht="15" customHeight="1" x14ac:dyDescent="0.2">
      <c r="A2470" t="s">
        <v>5520</v>
      </c>
      <c r="B2470" t="s">
        <v>5521</v>
      </c>
      <c r="C2470">
        <v>2024</v>
      </c>
      <c r="D2470" s="18">
        <v>45508</v>
      </c>
      <c r="E2470" s="18">
        <v>45872</v>
      </c>
      <c r="F2470" s="18" t="s">
        <v>611</v>
      </c>
      <c r="G2470" t="s">
        <v>101</v>
      </c>
      <c r="H2470">
        <v>1</v>
      </c>
      <c r="I2470">
        <v>2</v>
      </c>
      <c r="J2470" s="27">
        <v>7847.53</v>
      </c>
      <c r="K2470" s="27">
        <v>500000</v>
      </c>
    </row>
    <row r="2471" spans="1:11" ht="15" customHeight="1" x14ac:dyDescent="0.2">
      <c r="A2471" t="s">
        <v>5522</v>
      </c>
      <c r="B2471" t="s">
        <v>5523</v>
      </c>
      <c r="C2471">
        <v>2024</v>
      </c>
      <c r="D2471" s="18">
        <v>45508</v>
      </c>
      <c r="E2471" s="18">
        <v>45872</v>
      </c>
      <c r="F2471" s="18" t="s">
        <v>611</v>
      </c>
      <c r="G2471" t="s">
        <v>101</v>
      </c>
      <c r="H2471">
        <v>3</v>
      </c>
      <c r="I2471">
        <v>6</v>
      </c>
      <c r="J2471" s="27">
        <v>58086.33</v>
      </c>
      <c r="K2471" s="27">
        <v>4000000</v>
      </c>
    </row>
    <row r="2472" spans="1:11" ht="15" customHeight="1" x14ac:dyDescent="0.2">
      <c r="A2472" t="s">
        <v>5524</v>
      </c>
      <c r="B2472" t="s">
        <v>5525</v>
      </c>
      <c r="C2472">
        <v>2024</v>
      </c>
      <c r="D2472" s="18">
        <v>45508</v>
      </c>
      <c r="E2472" s="18">
        <v>45872</v>
      </c>
      <c r="F2472" s="18" t="s">
        <v>611</v>
      </c>
      <c r="G2472" t="s">
        <v>100</v>
      </c>
      <c r="H2472">
        <v>2</v>
      </c>
      <c r="I2472">
        <v>4</v>
      </c>
      <c r="J2472" s="27">
        <v>133592.09</v>
      </c>
      <c r="K2472" s="27">
        <v>10000000</v>
      </c>
    </row>
    <row r="2473" spans="1:11" ht="15" customHeight="1" x14ac:dyDescent="0.2">
      <c r="A2473" t="s">
        <v>5526</v>
      </c>
      <c r="B2473" t="s">
        <v>5527</v>
      </c>
      <c r="C2473">
        <v>2024</v>
      </c>
      <c r="D2473" s="18">
        <v>45508</v>
      </c>
      <c r="E2473" s="18">
        <v>45872</v>
      </c>
      <c r="F2473" s="18" t="s">
        <v>611</v>
      </c>
      <c r="G2473" t="s">
        <v>100</v>
      </c>
      <c r="H2473">
        <v>2</v>
      </c>
      <c r="I2473">
        <v>2</v>
      </c>
      <c r="J2473" s="27">
        <v>126396.2</v>
      </c>
      <c r="K2473" s="27">
        <v>10000000</v>
      </c>
    </row>
    <row r="2474" spans="1:11" ht="15" customHeight="1" x14ac:dyDescent="0.2">
      <c r="A2474" t="s">
        <v>5528</v>
      </c>
      <c r="B2474" t="s">
        <v>5529</v>
      </c>
      <c r="C2474">
        <v>2024</v>
      </c>
      <c r="D2474" s="18">
        <v>45508</v>
      </c>
      <c r="E2474" s="18">
        <v>45872</v>
      </c>
      <c r="F2474" s="18" t="s">
        <v>611</v>
      </c>
      <c r="G2474" t="s">
        <v>102</v>
      </c>
      <c r="H2474">
        <v>2</v>
      </c>
      <c r="I2474">
        <v>4</v>
      </c>
      <c r="J2474" s="27">
        <v>34138.620000000003</v>
      </c>
      <c r="K2474" s="27">
        <v>5000000</v>
      </c>
    </row>
    <row r="2475" spans="1:11" ht="15" customHeight="1" x14ac:dyDescent="0.2">
      <c r="A2475" t="s">
        <v>5530</v>
      </c>
      <c r="B2475" t="s">
        <v>5531</v>
      </c>
      <c r="C2475">
        <v>2024</v>
      </c>
      <c r="D2475" s="18">
        <v>45508</v>
      </c>
      <c r="E2475" s="18">
        <v>45872</v>
      </c>
      <c r="F2475" s="18" t="s">
        <v>611</v>
      </c>
      <c r="G2475" t="s">
        <v>101</v>
      </c>
      <c r="H2475">
        <v>1</v>
      </c>
      <c r="I2475">
        <v>2</v>
      </c>
      <c r="J2475" s="27">
        <v>168232.33</v>
      </c>
      <c r="K2475" s="27">
        <v>10000000</v>
      </c>
    </row>
    <row r="2476" spans="1:11" ht="15" customHeight="1" x14ac:dyDescent="0.2">
      <c r="A2476" t="s">
        <v>5532</v>
      </c>
      <c r="B2476" t="s">
        <v>5533</v>
      </c>
      <c r="C2476">
        <v>2024</v>
      </c>
      <c r="D2476" s="18">
        <v>45508</v>
      </c>
      <c r="E2476" s="18">
        <v>45872</v>
      </c>
      <c r="F2476" s="18" t="s">
        <v>611</v>
      </c>
      <c r="G2476" t="s">
        <v>100</v>
      </c>
      <c r="H2476">
        <v>1</v>
      </c>
      <c r="I2476">
        <v>1</v>
      </c>
      <c r="J2476" s="27">
        <v>25425.37</v>
      </c>
      <c r="K2476" s="27">
        <v>2000000</v>
      </c>
    </row>
    <row r="2477" spans="1:11" ht="15" customHeight="1" x14ac:dyDescent="0.2">
      <c r="A2477" t="s">
        <v>5534</v>
      </c>
      <c r="B2477" t="s">
        <v>5535</v>
      </c>
      <c r="C2477">
        <v>2024</v>
      </c>
      <c r="D2477" s="18">
        <v>45508</v>
      </c>
      <c r="E2477" s="18">
        <v>45872</v>
      </c>
      <c r="F2477" s="18" t="s">
        <v>611</v>
      </c>
      <c r="G2477" t="s">
        <v>102</v>
      </c>
      <c r="H2477">
        <v>1</v>
      </c>
      <c r="I2477">
        <v>2</v>
      </c>
      <c r="J2477" s="27">
        <v>24659.22</v>
      </c>
      <c r="K2477" s="27">
        <v>3500000</v>
      </c>
    </row>
    <row r="2478" spans="1:11" ht="15" customHeight="1" x14ac:dyDescent="0.2">
      <c r="A2478" t="s">
        <v>5536</v>
      </c>
      <c r="B2478" t="s">
        <v>5537</v>
      </c>
      <c r="C2478">
        <v>2024</v>
      </c>
      <c r="D2478" s="18">
        <v>45508</v>
      </c>
      <c r="E2478" s="18">
        <v>45872</v>
      </c>
      <c r="F2478" s="18" t="s">
        <v>611</v>
      </c>
      <c r="G2478" t="s">
        <v>99</v>
      </c>
      <c r="H2478">
        <v>1</v>
      </c>
      <c r="I2478">
        <v>1</v>
      </c>
      <c r="J2478" s="27">
        <v>23024.44</v>
      </c>
      <c r="K2478" s="27">
        <v>2500000</v>
      </c>
    </row>
    <row r="2479" spans="1:11" ht="15" customHeight="1" x14ac:dyDescent="0.2">
      <c r="A2479" t="s">
        <v>5538</v>
      </c>
      <c r="B2479" t="s">
        <v>5539</v>
      </c>
      <c r="C2479">
        <v>2024</v>
      </c>
      <c r="D2479" s="18">
        <v>45508</v>
      </c>
      <c r="E2479" s="18">
        <v>45872</v>
      </c>
      <c r="F2479" s="18" t="s">
        <v>611</v>
      </c>
      <c r="G2479" t="s">
        <v>101</v>
      </c>
      <c r="H2479">
        <v>1</v>
      </c>
      <c r="I2479">
        <v>2</v>
      </c>
      <c r="J2479" s="27">
        <v>30427.360000000001</v>
      </c>
      <c r="K2479" s="27">
        <v>2000000</v>
      </c>
    </row>
    <row r="2480" spans="1:11" ht="15" customHeight="1" x14ac:dyDescent="0.2">
      <c r="A2480" t="s">
        <v>5540</v>
      </c>
      <c r="B2480" t="s">
        <v>5541</v>
      </c>
      <c r="C2480">
        <v>2024</v>
      </c>
      <c r="D2480" s="18">
        <v>45509</v>
      </c>
      <c r="E2480" s="18">
        <v>45873</v>
      </c>
      <c r="F2480" s="18" t="s">
        <v>608</v>
      </c>
      <c r="G2480" t="s">
        <v>99</v>
      </c>
      <c r="H2480">
        <v>1</v>
      </c>
      <c r="I2480">
        <v>1</v>
      </c>
      <c r="J2480" s="27">
        <v>9148.43</v>
      </c>
      <c r="K2480" s="27">
        <v>1000000</v>
      </c>
    </row>
    <row r="2481" spans="1:11" ht="15" customHeight="1" x14ac:dyDescent="0.2">
      <c r="A2481" t="s">
        <v>5542</v>
      </c>
      <c r="B2481" t="s">
        <v>5543</v>
      </c>
      <c r="C2481">
        <v>2024</v>
      </c>
      <c r="D2481" s="18">
        <v>45509</v>
      </c>
      <c r="E2481" s="18">
        <v>45873</v>
      </c>
      <c r="F2481" s="18" t="s">
        <v>611</v>
      </c>
      <c r="G2481" t="s">
        <v>101</v>
      </c>
      <c r="H2481">
        <v>3</v>
      </c>
      <c r="I2481">
        <v>6</v>
      </c>
      <c r="J2481" s="27">
        <v>24689.03</v>
      </c>
      <c r="K2481" s="27">
        <v>1500000</v>
      </c>
    </row>
    <row r="2482" spans="1:11" ht="15" customHeight="1" x14ac:dyDescent="0.2">
      <c r="A2482" t="s">
        <v>5544</v>
      </c>
      <c r="B2482" t="s">
        <v>5545</v>
      </c>
      <c r="C2482">
        <v>2024</v>
      </c>
      <c r="D2482" s="18">
        <v>45509</v>
      </c>
      <c r="E2482" s="18">
        <v>45873</v>
      </c>
      <c r="F2482" s="18" t="s">
        <v>611</v>
      </c>
      <c r="G2482" t="s">
        <v>100</v>
      </c>
      <c r="H2482">
        <v>1</v>
      </c>
      <c r="I2482">
        <v>1</v>
      </c>
      <c r="J2482" s="27">
        <v>58706.1</v>
      </c>
      <c r="K2482" s="27">
        <v>4500000</v>
      </c>
    </row>
    <row r="2483" spans="1:11" ht="15" customHeight="1" x14ac:dyDescent="0.2">
      <c r="A2483" t="s">
        <v>5546</v>
      </c>
      <c r="B2483" t="s">
        <v>5547</v>
      </c>
      <c r="C2483">
        <v>2024</v>
      </c>
      <c r="D2483" s="18">
        <v>45509</v>
      </c>
      <c r="E2483" s="18">
        <v>45873</v>
      </c>
      <c r="F2483" s="18" t="s">
        <v>611</v>
      </c>
      <c r="G2483" t="s">
        <v>102</v>
      </c>
      <c r="H2483">
        <v>3</v>
      </c>
      <c r="I2483">
        <v>6</v>
      </c>
      <c r="J2483" s="27">
        <v>70626.960000000006</v>
      </c>
      <c r="K2483" s="27">
        <v>10000000</v>
      </c>
    </row>
    <row r="2484" spans="1:11" ht="15" customHeight="1" x14ac:dyDescent="0.2">
      <c r="A2484" t="s">
        <v>5548</v>
      </c>
      <c r="B2484" t="s">
        <v>5549</v>
      </c>
      <c r="C2484">
        <v>2024</v>
      </c>
      <c r="D2484" s="18">
        <v>45509</v>
      </c>
      <c r="E2484" s="18">
        <v>45873</v>
      </c>
      <c r="F2484" s="18" t="s">
        <v>611</v>
      </c>
      <c r="G2484" t="s">
        <v>100</v>
      </c>
      <c r="H2484">
        <v>2</v>
      </c>
      <c r="I2484">
        <v>2</v>
      </c>
      <c r="J2484" s="27">
        <v>47015.199999999997</v>
      </c>
      <c r="K2484" s="27">
        <v>4000000</v>
      </c>
    </row>
    <row r="2485" spans="1:11" ht="15" customHeight="1" x14ac:dyDescent="0.2">
      <c r="A2485" t="s">
        <v>5550</v>
      </c>
      <c r="B2485" t="s">
        <v>5551</v>
      </c>
      <c r="C2485">
        <v>2024</v>
      </c>
      <c r="D2485" s="18">
        <v>45509</v>
      </c>
      <c r="E2485" s="18">
        <v>45873</v>
      </c>
      <c r="F2485" s="18" t="s">
        <v>611</v>
      </c>
      <c r="G2485" t="s">
        <v>100</v>
      </c>
      <c r="H2485">
        <v>2</v>
      </c>
      <c r="I2485">
        <v>4</v>
      </c>
      <c r="J2485" s="27">
        <v>19995.43</v>
      </c>
      <c r="K2485" s="27">
        <v>1500000</v>
      </c>
    </row>
    <row r="2486" spans="1:11" ht="15" customHeight="1" x14ac:dyDescent="0.2">
      <c r="A2486" t="s">
        <v>5552</v>
      </c>
      <c r="B2486" t="s">
        <v>5553</v>
      </c>
      <c r="C2486">
        <v>2024</v>
      </c>
      <c r="D2486" s="18">
        <v>45509</v>
      </c>
      <c r="E2486" s="18">
        <v>45873</v>
      </c>
      <c r="F2486" s="18" t="s">
        <v>611</v>
      </c>
      <c r="G2486" t="s">
        <v>102</v>
      </c>
      <c r="H2486">
        <v>2</v>
      </c>
      <c r="I2486">
        <v>4</v>
      </c>
      <c r="J2486" s="27">
        <v>13438.64</v>
      </c>
      <c r="K2486" s="27">
        <v>2000000</v>
      </c>
    </row>
    <row r="2487" spans="1:11" ht="15" customHeight="1" x14ac:dyDescent="0.2">
      <c r="A2487" t="s">
        <v>5554</v>
      </c>
      <c r="B2487" t="s">
        <v>5555</v>
      </c>
      <c r="C2487">
        <v>2024</v>
      </c>
      <c r="D2487" s="18">
        <v>45509</v>
      </c>
      <c r="E2487" s="18">
        <v>45873</v>
      </c>
      <c r="F2487" s="18" t="s">
        <v>611</v>
      </c>
      <c r="G2487" t="s">
        <v>99</v>
      </c>
      <c r="H2487">
        <v>3</v>
      </c>
      <c r="I2487">
        <v>6</v>
      </c>
      <c r="J2487" s="27">
        <v>26874.14</v>
      </c>
      <c r="K2487" s="27">
        <v>3500000</v>
      </c>
    </row>
    <row r="2488" spans="1:11" ht="15" customHeight="1" x14ac:dyDescent="0.2">
      <c r="A2488" t="s">
        <v>5556</v>
      </c>
      <c r="B2488" t="s">
        <v>5557</v>
      </c>
      <c r="C2488">
        <v>2024</v>
      </c>
      <c r="D2488" s="18">
        <v>45510</v>
      </c>
      <c r="E2488" s="18">
        <v>45874</v>
      </c>
      <c r="F2488" s="18" t="s">
        <v>608</v>
      </c>
      <c r="G2488" t="s">
        <v>100</v>
      </c>
      <c r="H2488">
        <v>1</v>
      </c>
      <c r="I2488">
        <v>2</v>
      </c>
      <c r="J2488" s="27">
        <v>12769.42</v>
      </c>
      <c r="K2488" s="27">
        <v>1000000</v>
      </c>
    </row>
    <row r="2489" spans="1:11" ht="15" customHeight="1" x14ac:dyDescent="0.2">
      <c r="A2489" t="s">
        <v>5558</v>
      </c>
      <c r="B2489" t="s">
        <v>5559</v>
      </c>
      <c r="C2489">
        <v>2024</v>
      </c>
      <c r="D2489" s="18">
        <v>45510</v>
      </c>
      <c r="E2489" s="18">
        <v>45874</v>
      </c>
      <c r="F2489" s="18" t="s">
        <v>608</v>
      </c>
      <c r="G2489" t="s">
        <v>99</v>
      </c>
      <c r="H2489">
        <v>1</v>
      </c>
      <c r="I2489">
        <v>2</v>
      </c>
      <c r="J2489" s="27">
        <v>31125.15</v>
      </c>
      <c r="K2489" s="27">
        <v>4000000</v>
      </c>
    </row>
    <row r="2490" spans="1:11" ht="15" customHeight="1" x14ac:dyDescent="0.2">
      <c r="A2490" t="s">
        <v>5560</v>
      </c>
      <c r="B2490" t="s">
        <v>5561</v>
      </c>
      <c r="C2490">
        <v>2024</v>
      </c>
      <c r="D2490" s="18">
        <v>45510</v>
      </c>
      <c r="E2490" s="18">
        <v>45874</v>
      </c>
      <c r="F2490" s="18" t="s">
        <v>611</v>
      </c>
      <c r="G2490" t="s">
        <v>100</v>
      </c>
      <c r="H2490">
        <v>2</v>
      </c>
      <c r="I2490">
        <v>2</v>
      </c>
      <c r="J2490" s="27">
        <v>6015.44</v>
      </c>
      <c r="K2490" s="27">
        <v>500000</v>
      </c>
    </row>
    <row r="2491" spans="1:11" ht="15" customHeight="1" x14ac:dyDescent="0.2">
      <c r="A2491" t="s">
        <v>5562</v>
      </c>
      <c r="B2491" t="s">
        <v>5563</v>
      </c>
      <c r="C2491">
        <v>2024</v>
      </c>
      <c r="D2491" s="18">
        <v>45510</v>
      </c>
      <c r="E2491" s="18">
        <v>45874</v>
      </c>
      <c r="F2491" s="18" t="s">
        <v>611</v>
      </c>
      <c r="G2491" t="s">
        <v>101</v>
      </c>
      <c r="H2491">
        <v>3</v>
      </c>
      <c r="I2491">
        <v>3</v>
      </c>
      <c r="J2491" s="27">
        <v>42023.54</v>
      </c>
      <c r="K2491" s="27">
        <v>3000000</v>
      </c>
    </row>
    <row r="2492" spans="1:11" ht="15" customHeight="1" x14ac:dyDescent="0.2">
      <c r="A2492" t="s">
        <v>5564</v>
      </c>
      <c r="B2492" t="s">
        <v>5565</v>
      </c>
      <c r="C2492">
        <v>2024</v>
      </c>
      <c r="D2492" s="18">
        <v>45510</v>
      </c>
      <c r="E2492" s="18">
        <v>45874</v>
      </c>
      <c r="F2492" s="18" t="s">
        <v>611</v>
      </c>
      <c r="G2492" t="s">
        <v>99</v>
      </c>
      <c r="H2492">
        <v>3</v>
      </c>
      <c r="I2492">
        <v>6</v>
      </c>
      <c r="J2492" s="27">
        <v>36152.89</v>
      </c>
      <c r="K2492" s="27">
        <v>4000000</v>
      </c>
    </row>
    <row r="2493" spans="1:11" ht="15" customHeight="1" x14ac:dyDescent="0.2">
      <c r="A2493" t="s">
        <v>5566</v>
      </c>
      <c r="B2493" t="s">
        <v>5567</v>
      </c>
      <c r="C2493">
        <v>2024</v>
      </c>
      <c r="D2493" s="18">
        <v>45510</v>
      </c>
      <c r="E2493" s="18">
        <v>45874</v>
      </c>
      <c r="F2493" s="18" t="s">
        <v>611</v>
      </c>
      <c r="G2493" t="s">
        <v>102</v>
      </c>
      <c r="H2493">
        <v>2</v>
      </c>
      <c r="I2493">
        <v>2</v>
      </c>
      <c r="J2493" s="27">
        <v>34401.910000000003</v>
      </c>
      <c r="K2493" s="27">
        <v>4500000</v>
      </c>
    </row>
    <row r="2494" spans="1:11" ht="15" customHeight="1" x14ac:dyDescent="0.2">
      <c r="A2494" t="s">
        <v>5568</v>
      </c>
      <c r="B2494" t="s">
        <v>5569</v>
      </c>
      <c r="C2494">
        <v>2024</v>
      </c>
      <c r="D2494" s="18">
        <v>45510</v>
      </c>
      <c r="E2494" s="18">
        <v>45874</v>
      </c>
      <c r="F2494" s="18" t="s">
        <v>611</v>
      </c>
      <c r="G2494" t="s">
        <v>101</v>
      </c>
      <c r="H2494">
        <v>1</v>
      </c>
      <c r="I2494">
        <v>1</v>
      </c>
      <c r="J2494" s="27">
        <v>160248.45000000001</v>
      </c>
      <c r="K2494" s="27">
        <v>10000000</v>
      </c>
    </row>
    <row r="2495" spans="1:11" ht="15" customHeight="1" x14ac:dyDescent="0.2">
      <c r="A2495" t="s">
        <v>5570</v>
      </c>
      <c r="B2495" t="s">
        <v>5571</v>
      </c>
      <c r="C2495">
        <v>2024</v>
      </c>
      <c r="D2495" s="18">
        <v>45510</v>
      </c>
      <c r="E2495" s="18">
        <v>45874</v>
      </c>
      <c r="F2495" s="18" t="s">
        <v>611</v>
      </c>
      <c r="G2495" t="s">
        <v>100</v>
      </c>
      <c r="H2495">
        <v>2</v>
      </c>
      <c r="I2495">
        <v>2</v>
      </c>
      <c r="J2495" s="27">
        <v>65422.89</v>
      </c>
      <c r="K2495" s="27">
        <v>5000000</v>
      </c>
    </row>
    <row r="2496" spans="1:11" ht="15" customHeight="1" x14ac:dyDescent="0.2">
      <c r="A2496" t="s">
        <v>5572</v>
      </c>
      <c r="B2496" t="s">
        <v>5573</v>
      </c>
      <c r="C2496">
        <v>2024</v>
      </c>
      <c r="D2496" s="18">
        <v>45510</v>
      </c>
      <c r="E2496" s="18">
        <v>45874</v>
      </c>
      <c r="F2496" s="18" t="s">
        <v>611</v>
      </c>
      <c r="G2496" t="s">
        <v>99</v>
      </c>
      <c r="H2496">
        <v>1</v>
      </c>
      <c r="I2496">
        <v>2</v>
      </c>
      <c r="J2496" s="27">
        <v>34410.51</v>
      </c>
      <c r="K2496" s="27">
        <v>4000000</v>
      </c>
    </row>
    <row r="2497" spans="1:11" ht="15" customHeight="1" x14ac:dyDescent="0.2">
      <c r="A2497" t="s">
        <v>5574</v>
      </c>
      <c r="B2497" t="s">
        <v>5575</v>
      </c>
      <c r="C2497">
        <v>2024</v>
      </c>
      <c r="D2497" s="18">
        <v>45510</v>
      </c>
      <c r="E2497" s="18">
        <v>45874</v>
      </c>
      <c r="F2497" s="18" t="s">
        <v>611</v>
      </c>
      <c r="G2497" t="s">
        <v>101</v>
      </c>
      <c r="H2497">
        <v>2</v>
      </c>
      <c r="I2497">
        <v>2</v>
      </c>
      <c r="J2497" s="27">
        <v>162790.24</v>
      </c>
      <c r="K2497" s="27">
        <v>10000000</v>
      </c>
    </row>
    <row r="2498" spans="1:11" ht="15" customHeight="1" x14ac:dyDescent="0.2">
      <c r="A2498" t="s">
        <v>5576</v>
      </c>
      <c r="B2498" t="s">
        <v>5577</v>
      </c>
      <c r="C2498">
        <v>2024</v>
      </c>
      <c r="D2498" s="18">
        <v>45510</v>
      </c>
      <c r="E2498" s="18">
        <v>45874</v>
      </c>
      <c r="F2498" s="18" t="s">
        <v>611</v>
      </c>
      <c r="G2498" t="s">
        <v>99</v>
      </c>
      <c r="H2498">
        <v>1</v>
      </c>
      <c r="I2498">
        <v>2</v>
      </c>
      <c r="J2498" s="27">
        <v>34720.51</v>
      </c>
      <c r="K2498" s="27">
        <v>4000000</v>
      </c>
    </row>
    <row r="2499" spans="1:11" ht="15" customHeight="1" x14ac:dyDescent="0.2">
      <c r="A2499" t="s">
        <v>5578</v>
      </c>
      <c r="B2499" t="s">
        <v>5579</v>
      </c>
      <c r="C2499">
        <v>2024</v>
      </c>
      <c r="D2499" s="18">
        <v>45510</v>
      </c>
      <c r="E2499" s="18">
        <v>45874</v>
      </c>
      <c r="F2499" s="18" t="s">
        <v>611</v>
      </c>
      <c r="G2499" t="s">
        <v>99</v>
      </c>
      <c r="H2499">
        <v>1</v>
      </c>
      <c r="I2499">
        <v>2</v>
      </c>
      <c r="J2499" s="27">
        <v>92153.04</v>
      </c>
      <c r="K2499" s="27">
        <v>10000000</v>
      </c>
    </row>
    <row r="2500" spans="1:11" ht="15" customHeight="1" x14ac:dyDescent="0.2">
      <c r="A2500" t="s">
        <v>5580</v>
      </c>
      <c r="B2500" t="s">
        <v>5581</v>
      </c>
      <c r="C2500">
        <v>2024</v>
      </c>
      <c r="D2500" s="18">
        <v>45510</v>
      </c>
      <c r="E2500" s="18">
        <v>45874</v>
      </c>
      <c r="F2500" s="18" t="s">
        <v>611</v>
      </c>
      <c r="G2500" t="s">
        <v>100</v>
      </c>
      <c r="H2500">
        <v>2</v>
      </c>
      <c r="I2500">
        <v>4</v>
      </c>
      <c r="J2500" s="27">
        <v>22921.87</v>
      </c>
      <c r="K2500" s="27">
        <v>2000000</v>
      </c>
    </row>
    <row r="2501" spans="1:11" ht="15" customHeight="1" x14ac:dyDescent="0.2">
      <c r="A2501" t="s">
        <v>5582</v>
      </c>
      <c r="B2501" t="s">
        <v>5583</v>
      </c>
      <c r="C2501">
        <v>2024</v>
      </c>
      <c r="D2501" s="18">
        <v>45511</v>
      </c>
      <c r="E2501" s="18">
        <v>45875</v>
      </c>
      <c r="F2501" s="18" t="s">
        <v>611</v>
      </c>
      <c r="G2501" t="s">
        <v>102</v>
      </c>
      <c r="H2501">
        <v>2</v>
      </c>
      <c r="I2501">
        <v>2</v>
      </c>
      <c r="J2501" s="27">
        <v>19419.490000000002</v>
      </c>
      <c r="K2501" s="27">
        <v>2500000</v>
      </c>
    </row>
    <row r="2502" spans="1:11" ht="15" customHeight="1" x14ac:dyDescent="0.2">
      <c r="A2502" t="s">
        <v>5584</v>
      </c>
      <c r="B2502" t="s">
        <v>5585</v>
      </c>
      <c r="C2502">
        <v>2024</v>
      </c>
      <c r="D2502" s="18">
        <v>45511</v>
      </c>
      <c r="E2502" s="18">
        <v>45875</v>
      </c>
      <c r="F2502" s="18" t="s">
        <v>611</v>
      </c>
      <c r="G2502" t="s">
        <v>100</v>
      </c>
      <c r="H2502">
        <v>1</v>
      </c>
      <c r="I2502">
        <v>2</v>
      </c>
      <c r="J2502" s="27">
        <v>123605.93</v>
      </c>
      <c r="K2502" s="27">
        <v>10000000</v>
      </c>
    </row>
    <row r="2503" spans="1:11" ht="15" customHeight="1" x14ac:dyDescent="0.2">
      <c r="A2503" t="s">
        <v>5586</v>
      </c>
      <c r="B2503" t="s">
        <v>5587</v>
      </c>
      <c r="C2503">
        <v>2024</v>
      </c>
      <c r="D2503" s="18">
        <v>45511</v>
      </c>
      <c r="E2503" s="18">
        <v>45875</v>
      </c>
      <c r="F2503" s="18" t="s">
        <v>611</v>
      </c>
      <c r="G2503" t="s">
        <v>102</v>
      </c>
      <c r="H2503">
        <v>2</v>
      </c>
      <c r="I2503">
        <v>2</v>
      </c>
      <c r="J2503" s="27">
        <v>26037.52</v>
      </c>
      <c r="K2503" s="27">
        <v>3500000</v>
      </c>
    </row>
    <row r="2504" spans="1:11" ht="15" customHeight="1" x14ac:dyDescent="0.2">
      <c r="A2504" t="s">
        <v>5588</v>
      </c>
      <c r="B2504" t="s">
        <v>5589</v>
      </c>
      <c r="C2504">
        <v>2024</v>
      </c>
      <c r="D2504" s="18">
        <v>45511</v>
      </c>
      <c r="E2504" s="18">
        <v>45875</v>
      </c>
      <c r="F2504" s="18" t="s">
        <v>611</v>
      </c>
      <c r="G2504" t="s">
        <v>102</v>
      </c>
      <c r="H2504">
        <v>1</v>
      </c>
      <c r="I2504">
        <v>1</v>
      </c>
      <c r="J2504" s="27">
        <v>68141.81</v>
      </c>
      <c r="K2504" s="27">
        <v>10000000</v>
      </c>
    </row>
    <row r="2505" spans="1:11" ht="15" customHeight="1" x14ac:dyDescent="0.2">
      <c r="A2505" t="s">
        <v>5590</v>
      </c>
      <c r="B2505" t="s">
        <v>5591</v>
      </c>
      <c r="C2505">
        <v>2024</v>
      </c>
      <c r="D2505" s="18">
        <v>45511</v>
      </c>
      <c r="E2505" s="18">
        <v>45875</v>
      </c>
      <c r="F2505" s="18" t="s">
        <v>611</v>
      </c>
      <c r="G2505" t="s">
        <v>100</v>
      </c>
      <c r="H2505">
        <v>1</v>
      </c>
      <c r="I2505">
        <v>1</v>
      </c>
      <c r="J2505" s="27">
        <v>47057.68</v>
      </c>
      <c r="K2505" s="27">
        <v>4000000</v>
      </c>
    </row>
    <row r="2506" spans="1:11" ht="15" customHeight="1" x14ac:dyDescent="0.2">
      <c r="A2506" t="s">
        <v>5592</v>
      </c>
      <c r="B2506" t="s">
        <v>5593</v>
      </c>
      <c r="C2506">
        <v>2024</v>
      </c>
      <c r="D2506" s="18">
        <v>45511</v>
      </c>
      <c r="E2506" s="18">
        <v>45875</v>
      </c>
      <c r="F2506" s="18" t="s">
        <v>611</v>
      </c>
      <c r="G2506" t="s">
        <v>99</v>
      </c>
      <c r="H2506">
        <v>1</v>
      </c>
      <c r="I2506">
        <v>1</v>
      </c>
      <c r="J2506" s="27">
        <v>17087.23</v>
      </c>
      <c r="K2506" s="27">
        <v>2000000</v>
      </c>
    </row>
    <row r="2507" spans="1:11" ht="15" customHeight="1" x14ac:dyDescent="0.2">
      <c r="A2507" t="s">
        <v>5594</v>
      </c>
      <c r="B2507" t="s">
        <v>5595</v>
      </c>
      <c r="C2507">
        <v>2024</v>
      </c>
      <c r="D2507" s="18">
        <v>45511</v>
      </c>
      <c r="E2507" s="18">
        <v>45875</v>
      </c>
      <c r="F2507" s="18" t="s">
        <v>611</v>
      </c>
      <c r="G2507" t="s">
        <v>101</v>
      </c>
      <c r="H2507">
        <v>1</v>
      </c>
      <c r="I2507">
        <v>1</v>
      </c>
      <c r="J2507" s="27">
        <v>155409.5</v>
      </c>
      <c r="K2507" s="27">
        <v>10000000</v>
      </c>
    </row>
    <row r="2508" spans="1:11" ht="15" customHeight="1" x14ac:dyDescent="0.2">
      <c r="A2508" t="s">
        <v>5596</v>
      </c>
      <c r="B2508" t="s">
        <v>5597</v>
      </c>
      <c r="C2508">
        <v>2024</v>
      </c>
      <c r="D2508" s="18">
        <v>45512</v>
      </c>
      <c r="E2508" s="18">
        <v>45876</v>
      </c>
      <c r="F2508" s="18" t="s">
        <v>608</v>
      </c>
      <c r="G2508" t="s">
        <v>100</v>
      </c>
      <c r="H2508">
        <v>1</v>
      </c>
      <c r="I2508">
        <v>1</v>
      </c>
      <c r="J2508" s="27">
        <v>129631.73</v>
      </c>
      <c r="K2508" s="27">
        <v>10000000</v>
      </c>
    </row>
    <row r="2509" spans="1:11" ht="15" customHeight="1" x14ac:dyDescent="0.2">
      <c r="A2509" t="s">
        <v>5598</v>
      </c>
      <c r="B2509" t="s">
        <v>5599</v>
      </c>
      <c r="C2509">
        <v>2024</v>
      </c>
      <c r="D2509" s="18">
        <v>45512</v>
      </c>
      <c r="E2509" s="18">
        <v>45876</v>
      </c>
      <c r="F2509" s="18" t="s">
        <v>608</v>
      </c>
      <c r="G2509" t="s">
        <v>102</v>
      </c>
      <c r="H2509">
        <v>3</v>
      </c>
      <c r="I2509">
        <v>3</v>
      </c>
      <c r="J2509" s="27">
        <v>7146.99</v>
      </c>
      <c r="K2509" s="27">
        <v>1000000</v>
      </c>
    </row>
    <row r="2510" spans="1:11" ht="15" customHeight="1" x14ac:dyDescent="0.2">
      <c r="A2510" t="s">
        <v>5600</v>
      </c>
      <c r="B2510" t="s">
        <v>5601</v>
      </c>
      <c r="C2510">
        <v>2024</v>
      </c>
      <c r="D2510" s="18">
        <v>45512</v>
      </c>
      <c r="E2510" s="18">
        <v>45876</v>
      </c>
      <c r="F2510" s="18" t="s">
        <v>608</v>
      </c>
      <c r="G2510" t="s">
        <v>99</v>
      </c>
      <c r="H2510">
        <v>2</v>
      </c>
      <c r="I2510">
        <v>2</v>
      </c>
      <c r="J2510" s="27">
        <v>89771.35</v>
      </c>
      <c r="K2510" s="27">
        <v>10000000</v>
      </c>
    </row>
    <row r="2511" spans="1:11" ht="15" customHeight="1" x14ac:dyDescent="0.2">
      <c r="A2511" t="s">
        <v>5602</v>
      </c>
      <c r="B2511" t="s">
        <v>5603</v>
      </c>
      <c r="C2511">
        <v>2024</v>
      </c>
      <c r="D2511" s="18">
        <v>45512</v>
      </c>
      <c r="E2511" s="18">
        <v>45876</v>
      </c>
      <c r="F2511" s="18" t="s">
        <v>611</v>
      </c>
      <c r="G2511" t="s">
        <v>100</v>
      </c>
      <c r="H2511">
        <v>3</v>
      </c>
      <c r="I2511">
        <v>3</v>
      </c>
      <c r="J2511" s="27">
        <v>117209.12</v>
      </c>
      <c r="K2511" s="27">
        <v>10000000</v>
      </c>
    </row>
    <row r="2512" spans="1:11" ht="15" customHeight="1" x14ac:dyDescent="0.2">
      <c r="A2512" t="s">
        <v>5604</v>
      </c>
      <c r="B2512" t="s">
        <v>5605</v>
      </c>
      <c r="C2512">
        <v>2024</v>
      </c>
      <c r="D2512" s="18">
        <v>45512</v>
      </c>
      <c r="E2512" s="18">
        <v>45876</v>
      </c>
      <c r="F2512" s="18" t="s">
        <v>611</v>
      </c>
      <c r="G2512" t="s">
        <v>101</v>
      </c>
      <c r="H2512">
        <v>2</v>
      </c>
      <c r="I2512">
        <v>2</v>
      </c>
      <c r="J2512" s="27">
        <v>8027.15</v>
      </c>
      <c r="K2512" s="27">
        <v>500000</v>
      </c>
    </row>
    <row r="2513" spans="1:11" ht="15" customHeight="1" x14ac:dyDescent="0.2">
      <c r="A2513" t="s">
        <v>5606</v>
      </c>
      <c r="B2513" t="s">
        <v>5607</v>
      </c>
      <c r="C2513">
        <v>2024</v>
      </c>
      <c r="D2513" s="18">
        <v>45512</v>
      </c>
      <c r="E2513" s="18">
        <v>45876</v>
      </c>
      <c r="F2513" s="18" t="s">
        <v>611</v>
      </c>
      <c r="G2513" t="s">
        <v>99</v>
      </c>
      <c r="H2513">
        <v>2</v>
      </c>
      <c r="I2513">
        <v>2</v>
      </c>
      <c r="J2513" s="27">
        <v>8857.16</v>
      </c>
      <c r="K2513" s="27">
        <v>1000000</v>
      </c>
    </row>
    <row r="2514" spans="1:11" ht="15" customHeight="1" x14ac:dyDescent="0.2">
      <c r="A2514" t="s">
        <v>5608</v>
      </c>
      <c r="B2514" t="s">
        <v>5609</v>
      </c>
      <c r="C2514">
        <v>2024</v>
      </c>
      <c r="D2514" s="18">
        <v>45512</v>
      </c>
      <c r="E2514" s="18">
        <v>45876</v>
      </c>
      <c r="F2514" s="18" t="s">
        <v>611</v>
      </c>
      <c r="G2514" t="s">
        <v>100</v>
      </c>
      <c r="H2514">
        <v>1</v>
      </c>
      <c r="I2514">
        <v>1</v>
      </c>
      <c r="J2514" s="27">
        <v>11938.91</v>
      </c>
      <c r="K2514" s="27">
        <v>1000000</v>
      </c>
    </row>
    <row r="2515" spans="1:11" ht="15" customHeight="1" x14ac:dyDescent="0.2">
      <c r="A2515" t="s">
        <v>5610</v>
      </c>
      <c r="B2515" t="s">
        <v>5611</v>
      </c>
      <c r="C2515">
        <v>2024</v>
      </c>
      <c r="D2515" s="18">
        <v>45513</v>
      </c>
      <c r="E2515" s="18">
        <v>45877</v>
      </c>
      <c r="F2515" s="18" t="s">
        <v>608</v>
      </c>
      <c r="G2515" t="s">
        <v>99</v>
      </c>
      <c r="H2515">
        <v>1</v>
      </c>
      <c r="I2515">
        <v>1</v>
      </c>
      <c r="J2515" s="27">
        <v>36259.620000000003</v>
      </c>
      <c r="K2515" s="27">
        <v>4000000</v>
      </c>
    </row>
    <row r="2516" spans="1:11" ht="15" customHeight="1" x14ac:dyDescent="0.2">
      <c r="A2516" t="s">
        <v>5612</v>
      </c>
      <c r="B2516" t="s">
        <v>5613</v>
      </c>
      <c r="C2516">
        <v>2024</v>
      </c>
      <c r="D2516" s="18">
        <v>45513</v>
      </c>
      <c r="E2516" s="18">
        <v>45877</v>
      </c>
      <c r="F2516" s="18" t="s">
        <v>608</v>
      </c>
      <c r="G2516" t="s">
        <v>100</v>
      </c>
      <c r="H2516">
        <v>1</v>
      </c>
      <c r="I2516">
        <v>2</v>
      </c>
      <c r="J2516" s="27">
        <v>64563.040000000001</v>
      </c>
      <c r="K2516" s="27">
        <v>5000000</v>
      </c>
    </row>
    <row r="2517" spans="1:11" ht="15" customHeight="1" x14ac:dyDescent="0.2">
      <c r="A2517" t="s">
        <v>5614</v>
      </c>
      <c r="B2517" t="s">
        <v>5615</v>
      </c>
      <c r="C2517">
        <v>2024</v>
      </c>
      <c r="D2517" s="18">
        <v>45513</v>
      </c>
      <c r="E2517" s="18">
        <v>45877</v>
      </c>
      <c r="F2517" s="18" t="s">
        <v>608</v>
      </c>
      <c r="G2517" t="s">
        <v>99</v>
      </c>
      <c r="H2517">
        <v>3</v>
      </c>
      <c r="I2517">
        <v>6</v>
      </c>
      <c r="J2517" s="27">
        <v>38943.24</v>
      </c>
      <c r="K2517" s="27">
        <v>5000000</v>
      </c>
    </row>
    <row r="2518" spans="1:11" ht="15" customHeight="1" x14ac:dyDescent="0.2">
      <c r="A2518" t="s">
        <v>5616</v>
      </c>
      <c r="B2518" t="s">
        <v>5617</v>
      </c>
      <c r="C2518">
        <v>2024</v>
      </c>
      <c r="D2518" s="18">
        <v>45513</v>
      </c>
      <c r="E2518" s="18">
        <v>45877</v>
      </c>
      <c r="F2518" s="18" t="s">
        <v>608</v>
      </c>
      <c r="G2518" t="s">
        <v>101</v>
      </c>
      <c r="H2518">
        <v>1</v>
      </c>
      <c r="I2518">
        <v>2</v>
      </c>
      <c r="J2518" s="27">
        <v>28738.77</v>
      </c>
      <c r="K2518" s="27">
        <v>2000000</v>
      </c>
    </row>
    <row r="2519" spans="1:11" ht="15" customHeight="1" x14ac:dyDescent="0.2">
      <c r="A2519" t="s">
        <v>5618</v>
      </c>
      <c r="B2519" t="s">
        <v>5619</v>
      </c>
      <c r="C2519">
        <v>2024</v>
      </c>
      <c r="D2519" s="18">
        <v>45513</v>
      </c>
      <c r="E2519" s="18">
        <v>45877</v>
      </c>
      <c r="F2519" s="18" t="s">
        <v>611</v>
      </c>
      <c r="G2519" t="s">
        <v>102</v>
      </c>
      <c r="H2519">
        <v>1</v>
      </c>
      <c r="I2519">
        <v>2</v>
      </c>
      <c r="J2519" s="27">
        <v>35938.199999999997</v>
      </c>
      <c r="K2519" s="27">
        <v>4500000</v>
      </c>
    </row>
    <row r="2520" spans="1:11" ht="15" customHeight="1" x14ac:dyDescent="0.2">
      <c r="A2520" t="s">
        <v>5620</v>
      </c>
      <c r="B2520" t="s">
        <v>5621</v>
      </c>
      <c r="C2520">
        <v>2024</v>
      </c>
      <c r="D2520" s="18">
        <v>45513</v>
      </c>
      <c r="E2520" s="18">
        <v>45877</v>
      </c>
      <c r="F2520" s="18" t="s">
        <v>611</v>
      </c>
      <c r="G2520" t="s">
        <v>101</v>
      </c>
      <c r="H2520">
        <v>2</v>
      </c>
      <c r="I2520">
        <v>2</v>
      </c>
      <c r="J2520" s="27">
        <v>79191.91</v>
      </c>
      <c r="K2520" s="27">
        <v>5000000</v>
      </c>
    </row>
    <row r="2521" spans="1:11" ht="15" customHeight="1" x14ac:dyDescent="0.2">
      <c r="A2521" t="s">
        <v>5622</v>
      </c>
      <c r="B2521" t="s">
        <v>5623</v>
      </c>
      <c r="C2521">
        <v>2024</v>
      </c>
      <c r="D2521" s="18">
        <v>45513</v>
      </c>
      <c r="E2521" s="18">
        <v>45877</v>
      </c>
      <c r="F2521" s="18" t="s">
        <v>611</v>
      </c>
      <c r="G2521" t="s">
        <v>102</v>
      </c>
      <c r="H2521">
        <v>1</v>
      </c>
      <c r="I2521">
        <v>2</v>
      </c>
      <c r="J2521" s="27">
        <v>30405.3</v>
      </c>
      <c r="K2521" s="27">
        <v>4000000</v>
      </c>
    </row>
    <row r="2522" spans="1:11" ht="15" customHeight="1" x14ac:dyDescent="0.2">
      <c r="A2522" t="s">
        <v>5624</v>
      </c>
      <c r="B2522" t="s">
        <v>5625</v>
      </c>
      <c r="C2522">
        <v>2024</v>
      </c>
      <c r="D2522" s="18">
        <v>45513</v>
      </c>
      <c r="E2522" s="18">
        <v>45877</v>
      </c>
      <c r="F2522" s="18" t="s">
        <v>611</v>
      </c>
      <c r="G2522" t="s">
        <v>100</v>
      </c>
      <c r="H2522">
        <v>1</v>
      </c>
      <c r="I2522">
        <v>1</v>
      </c>
      <c r="J2522" s="27">
        <v>36128.58</v>
      </c>
      <c r="K2522" s="27">
        <v>3000000</v>
      </c>
    </row>
    <row r="2523" spans="1:11" ht="15" customHeight="1" x14ac:dyDescent="0.2">
      <c r="A2523" t="s">
        <v>5626</v>
      </c>
      <c r="B2523" t="s">
        <v>5627</v>
      </c>
      <c r="C2523">
        <v>2024</v>
      </c>
      <c r="D2523" s="18">
        <v>45513</v>
      </c>
      <c r="E2523" s="18">
        <v>45877</v>
      </c>
      <c r="F2523" s="18" t="s">
        <v>611</v>
      </c>
      <c r="G2523" t="s">
        <v>100</v>
      </c>
      <c r="H2523">
        <v>3</v>
      </c>
      <c r="I2523">
        <v>3</v>
      </c>
      <c r="J2523" s="27">
        <v>12378.07</v>
      </c>
      <c r="K2523" s="27">
        <v>1000000</v>
      </c>
    </row>
    <row r="2524" spans="1:11" ht="15" customHeight="1" x14ac:dyDescent="0.2">
      <c r="A2524" t="s">
        <v>5628</v>
      </c>
      <c r="B2524" t="s">
        <v>5629</v>
      </c>
      <c r="C2524">
        <v>2024</v>
      </c>
      <c r="D2524" s="18">
        <v>45513</v>
      </c>
      <c r="E2524" s="18">
        <v>45877</v>
      </c>
      <c r="F2524" s="18" t="s">
        <v>611</v>
      </c>
      <c r="G2524" t="s">
        <v>100</v>
      </c>
      <c r="H2524">
        <v>1</v>
      </c>
      <c r="I2524">
        <v>2</v>
      </c>
      <c r="J2524" s="27">
        <v>11475.99</v>
      </c>
      <c r="K2524" s="27">
        <v>1000000</v>
      </c>
    </row>
    <row r="2525" spans="1:11" ht="15" customHeight="1" x14ac:dyDescent="0.2">
      <c r="A2525" t="s">
        <v>5630</v>
      </c>
      <c r="B2525" t="s">
        <v>5631</v>
      </c>
      <c r="C2525">
        <v>2024</v>
      </c>
      <c r="D2525" s="18">
        <v>45513</v>
      </c>
      <c r="E2525" s="18">
        <v>45877</v>
      </c>
      <c r="F2525" s="18" t="s">
        <v>611</v>
      </c>
      <c r="G2525" t="s">
        <v>101</v>
      </c>
      <c r="H2525">
        <v>1</v>
      </c>
      <c r="I2525">
        <v>1</v>
      </c>
      <c r="J2525" s="27">
        <v>76773</v>
      </c>
      <c r="K2525" s="27">
        <v>4500000</v>
      </c>
    </row>
    <row r="2526" spans="1:11" ht="15" customHeight="1" x14ac:dyDescent="0.2">
      <c r="A2526" t="s">
        <v>5632</v>
      </c>
      <c r="B2526" t="s">
        <v>5633</v>
      </c>
      <c r="C2526">
        <v>2024</v>
      </c>
      <c r="D2526" s="18">
        <v>45513</v>
      </c>
      <c r="E2526" s="18">
        <v>45877</v>
      </c>
      <c r="F2526" s="18" t="s">
        <v>611</v>
      </c>
      <c r="G2526" t="s">
        <v>99</v>
      </c>
      <c r="H2526">
        <v>1</v>
      </c>
      <c r="I2526">
        <v>1</v>
      </c>
      <c r="J2526" s="27">
        <v>19590.23</v>
      </c>
      <c r="K2526" s="27">
        <v>2500000</v>
      </c>
    </row>
    <row r="2527" spans="1:11" ht="15" customHeight="1" x14ac:dyDescent="0.2">
      <c r="A2527" t="s">
        <v>5634</v>
      </c>
      <c r="B2527" t="s">
        <v>5635</v>
      </c>
      <c r="C2527">
        <v>2024</v>
      </c>
      <c r="D2527" s="18">
        <v>45514</v>
      </c>
      <c r="E2527" s="18">
        <v>45878</v>
      </c>
      <c r="F2527" s="18" t="s">
        <v>608</v>
      </c>
      <c r="G2527" t="s">
        <v>99</v>
      </c>
      <c r="H2527">
        <v>1</v>
      </c>
      <c r="I2527">
        <v>2</v>
      </c>
      <c r="J2527" s="27">
        <v>77997.62</v>
      </c>
      <c r="K2527" s="27">
        <v>10000000</v>
      </c>
    </row>
    <row r="2528" spans="1:11" ht="15" customHeight="1" x14ac:dyDescent="0.2">
      <c r="A2528" t="s">
        <v>5636</v>
      </c>
      <c r="B2528" t="s">
        <v>5637</v>
      </c>
      <c r="C2528">
        <v>2024</v>
      </c>
      <c r="D2528" s="18">
        <v>45514</v>
      </c>
      <c r="E2528" s="18">
        <v>45878</v>
      </c>
      <c r="F2528" s="18" t="s">
        <v>608</v>
      </c>
      <c r="G2528" t="s">
        <v>99</v>
      </c>
      <c r="H2528">
        <v>1</v>
      </c>
      <c r="I2528">
        <v>1</v>
      </c>
      <c r="J2528" s="27">
        <v>36072.06</v>
      </c>
      <c r="K2528" s="27">
        <v>4000000</v>
      </c>
    </row>
    <row r="2529" spans="1:11" ht="15" customHeight="1" x14ac:dyDescent="0.2">
      <c r="A2529" t="s">
        <v>5638</v>
      </c>
      <c r="B2529" t="s">
        <v>5639</v>
      </c>
      <c r="C2529">
        <v>2024</v>
      </c>
      <c r="D2529" s="18">
        <v>45514</v>
      </c>
      <c r="E2529" s="18">
        <v>45878</v>
      </c>
      <c r="F2529" s="18" t="s">
        <v>611</v>
      </c>
      <c r="G2529" t="s">
        <v>102</v>
      </c>
      <c r="H2529">
        <v>1</v>
      </c>
      <c r="I2529">
        <v>1</v>
      </c>
      <c r="J2529" s="27">
        <v>76539.08</v>
      </c>
      <c r="K2529" s="27">
        <v>10000000</v>
      </c>
    </row>
    <row r="2530" spans="1:11" ht="15" customHeight="1" x14ac:dyDescent="0.2">
      <c r="A2530" t="s">
        <v>5640</v>
      </c>
      <c r="B2530" t="s">
        <v>5641</v>
      </c>
      <c r="C2530">
        <v>2024</v>
      </c>
      <c r="D2530" s="18">
        <v>45514</v>
      </c>
      <c r="E2530" s="18">
        <v>45878</v>
      </c>
      <c r="F2530" s="18" t="s">
        <v>611</v>
      </c>
      <c r="G2530" t="s">
        <v>100</v>
      </c>
      <c r="H2530">
        <v>1</v>
      </c>
      <c r="I2530">
        <v>1</v>
      </c>
      <c r="J2530" s="27">
        <v>26188.26</v>
      </c>
      <c r="K2530" s="27">
        <v>2000000</v>
      </c>
    </row>
    <row r="2531" spans="1:11" ht="15" customHeight="1" x14ac:dyDescent="0.2">
      <c r="A2531" t="s">
        <v>5642</v>
      </c>
      <c r="B2531" t="s">
        <v>5643</v>
      </c>
      <c r="C2531">
        <v>2024</v>
      </c>
      <c r="D2531" s="18">
        <v>45514</v>
      </c>
      <c r="E2531" s="18">
        <v>45878</v>
      </c>
      <c r="F2531" s="18" t="s">
        <v>611</v>
      </c>
      <c r="G2531" t="s">
        <v>100</v>
      </c>
      <c r="H2531">
        <v>1</v>
      </c>
      <c r="I2531">
        <v>1</v>
      </c>
      <c r="J2531" s="27">
        <v>51898.48</v>
      </c>
      <c r="K2531" s="27">
        <v>4500000</v>
      </c>
    </row>
    <row r="2532" spans="1:11" ht="15" customHeight="1" x14ac:dyDescent="0.2">
      <c r="A2532" t="s">
        <v>5644</v>
      </c>
      <c r="B2532" t="s">
        <v>5645</v>
      </c>
      <c r="C2532">
        <v>2024</v>
      </c>
      <c r="D2532" s="18">
        <v>45514</v>
      </c>
      <c r="E2532" s="18">
        <v>45878</v>
      </c>
      <c r="F2532" s="18" t="s">
        <v>611</v>
      </c>
      <c r="G2532" t="s">
        <v>100</v>
      </c>
      <c r="H2532">
        <v>1</v>
      </c>
      <c r="I2532">
        <v>1</v>
      </c>
      <c r="J2532" s="27">
        <v>16667.009999999998</v>
      </c>
      <c r="K2532" s="27">
        <v>1500000</v>
      </c>
    </row>
    <row r="2533" spans="1:11" ht="15" customHeight="1" x14ac:dyDescent="0.2">
      <c r="A2533" t="s">
        <v>5646</v>
      </c>
      <c r="B2533" t="s">
        <v>5647</v>
      </c>
      <c r="C2533">
        <v>2024</v>
      </c>
      <c r="D2533" s="18">
        <v>45514</v>
      </c>
      <c r="E2533" s="18">
        <v>45878</v>
      </c>
      <c r="F2533" s="18" t="s">
        <v>611</v>
      </c>
      <c r="G2533" t="s">
        <v>100</v>
      </c>
      <c r="H2533">
        <v>2</v>
      </c>
      <c r="I2533">
        <v>2</v>
      </c>
      <c r="J2533" s="27">
        <v>26317.94</v>
      </c>
      <c r="K2533" s="27">
        <v>2000000</v>
      </c>
    </row>
    <row r="2534" spans="1:11" ht="15" customHeight="1" x14ac:dyDescent="0.2">
      <c r="A2534" t="s">
        <v>5648</v>
      </c>
      <c r="B2534" t="s">
        <v>5649</v>
      </c>
      <c r="C2534">
        <v>2024</v>
      </c>
      <c r="D2534" s="18">
        <v>45514</v>
      </c>
      <c r="E2534" s="18">
        <v>45878</v>
      </c>
      <c r="F2534" s="18" t="s">
        <v>611</v>
      </c>
      <c r="G2534" t="s">
        <v>101</v>
      </c>
      <c r="H2534">
        <v>1</v>
      </c>
      <c r="I2534">
        <v>2</v>
      </c>
      <c r="J2534" s="27">
        <v>32949.449999999997</v>
      </c>
      <c r="K2534" s="27">
        <v>2000000</v>
      </c>
    </row>
    <row r="2535" spans="1:11" ht="15" customHeight="1" x14ac:dyDescent="0.2">
      <c r="A2535" t="s">
        <v>5650</v>
      </c>
      <c r="B2535" t="s">
        <v>5651</v>
      </c>
      <c r="C2535">
        <v>2024</v>
      </c>
      <c r="D2535" s="18">
        <v>45515</v>
      </c>
      <c r="E2535" s="18">
        <v>45879</v>
      </c>
      <c r="F2535" s="18" t="s">
        <v>608</v>
      </c>
      <c r="G2535" t="s">
        <v>100</v>
      </c>
      <c r="H2535">
        <v>1</v>
      </c>
      <c r="I2535">
        <v>2</v>
      </c>
      <c r="J2535" s="27">
        <v>37705.360000000001</v>
      </c>
      <c r="K2535" s="27">
        <v>3000000</v>
      </c>
    </row>
    <row r="2536" spans="1:11" ht="15" customHeight="1" x14ac:dyDescent="0.2">
      <c r="A2536" t="s">
        <v>5652</v>
      </c>
      <c r="B2536" t="s">
        <v>5653</v>
      </c>
      <c r="C2536">
        <v>2024</v>
      </c>
      <c r="D2536" s="18">
        <v>45515</v>
      </c>
      <c r="E2536" s="18">
        <v>45879</v>
      </c>
      <c r="F2536" s="18" t="s">
        <v>608</v>
      </c>
      <c r="G2536" t="s">
        <v>100</v>
      </c>
      <c r="H2536">
        <v>1</v>
      </c>
      <c r="I2536">
        <v>2</v>
      </c>
      <c r="J2536" s="27">
        <v>51258.8</v>
      </c>
      <c r="K2536" s="27">
        <v>4000000</v>
      </c>
    </row>
    <row r="2537" spans="1:11" ht="15" customHeight="1" x14ac:dyDescent="0.2">
      <c r="A2537" t="s">
        <v>5654</v>
      </c>
      <c r="B2537" t="s">
        <v>5655</v>
      </c>
      <c r="C2537">
        <v>2024</v>
      </c>
      <c r="D2537" s="18">
        <v>45515</v>
      </c>
      <c r="E2537" s="18">
        <v>45879</v>
      </c>
      <c r="F2537" s="18" t="s">
        <v>611</v>
      </c>
      <c r="G2537" t="s">
        <v>100</v>
      </c>
      <c r="H2537">
        <v>3</v>
      </c>
      <c r="I2537">
        <v>3</v>
      </c>
      <c r="J2537" s="27">
        <v>39893.440000000002</v>
      </c>
      <c r="K2537" s="27">
        <v>3000000</v>
      </c>
    </row>
    <row r="2538" spans="1:11" ht="15" customHeight="1" x14ac:dyDescent="0.2">
      <c r="A2538" t="s">
        <v>5656</v>
      </c>
      <c r="B2538" t="s">
        <v>5657</v>
      </c>
      <c r="C2538">
        <v>2024</v>
      </c>
      <c r="D2538" s="18">
        <v>45515</v>
      </c>
      <c r="E2538" s="18">
        <v>45879</v>
      </c>
      <c r="F2538" s="18" t="s">
        <v>611</v>
      </c>
      <c r="G2538" t="s">
        <v>102</v>
      </c>
      <c r="H2538">
        <v>3</v>
      </c>
      <c r="I2538">
        <v>3</v>
      </c>
      <c r="J2538" s="27">
        <v>7269.1</v>
      </c>
      <c r="K2538" s="27">
        <v>1000000</v>
      </c>
    </row>
    <row r="2539" spans="1:11" ht="15" customHeight="1" x14ac:dyDescent="0.2">
      <c r="A2539" t="s">
        <v>5658</v>
      </c>
      <c r="B2539" t="s">
        <v>5659</v>
      </c>
      <c r="C2539">
        <v>2024</v>
      </c>
      <c r="D2539" s="18">
        <v>45515</v>
      </c>
      <c r="E2539" s="18">
        <v>45879</v>
      </c>
      <c r="F2539" s="18" t="s">
        <v>611</v>
      </c>
      <c r="G2539" t="s">
        <v>101</v>
      </c>
      <c r="H2539">
        <v>1</v>
      </c>
      <c r="I2539">
        <v>1</v>
      </c>
      <c r="J2539" s="27">
        <v>71717.77</v>
      </c>
      <c r="K2539" s="27">
        <v>5000000</v>
      </c>
    </row>
    <row r="2540" spans="1:11" ht="15" customHeight="1" x14ac:dyDescent="0.2">
      <c r="A2540" t="s">
        <v>5660</v>
      </c>
      <c r="B2540" t="s">
        <v>5661</v>
      </c>
      <c r="C2540">
        <v>2024</v>
      </c>
      <c r="D2540" s="18">
        <v>45515</v>
      </c>
      <c r="E2540" s="18">
        <v>45879</v>
      </c>
      <c r="F2540" s="18" t="s">
        <v>611</v>
      </c>
      <c r="G2540" t="s">
        <v>101</v>
      </c>
      <c r="H2540">
        <v>1</v>
      </c>
      <c r="I2540">
        <v>1</v>
      </c>
      <c r="J2540" s="27">
        <v>67274.27</v>
      </c>
      <c r="K2540" s="27">
        <v>4500000</v>
      </c>
    </row>
    <row r="2541" spans="1:11" ht="15" customHeight="1" x14ac:dyDescent="0.2">
      <c r="A2541" t="s">
        <v>5662</v>
      </c>
      <c r="B2541" t="s">
        <v>5663</v>
      </c>
      <c r="C2541">
        <v>2024</v>
      </c>
      <c r="D2541" s="18">
        <v>45515</v>
      </c>
      <c r="E2541" s="18">
        <v>45879</v>
      </c>
      <c r="F2541" s="18" t="s">
        <v>611</v>
      </c>
      <c r="G2541" t="s">
        <v>100</v>
      </c>
      <c r="H2541">
        <v>1</v>
      </c>
      <c r="I2541">
        <v>2</v>
      </c>
      <c r="J2541" s="27">
        <v>23834.89</v>
      </c>
      <c r="K2541" s="27">
        <v>2000000</v>
      </c>
    </row>
    <row r="2542" spans="1:11" ht="15" customHeight="1" x14ac:dyDescent="0.2">
      <c r="A2542" t="s">
        <v>5664</v>
      </c>
      <c r="B2542" t="s">
        <v>5665</v>
      </c>
      <c r="C2542">
        <v>2024</v>
      </c>
      <c r="D2542" s="18">
        <v>45515</v>
      </c>
      <c r="E2542" s="18">
        <v>45879</v>
      </c>
      <c r="F2542" s="18" t="s">
        <v>611</v>
      </c>
      <c r="G2542" t="s">
        <v>100</v>
      </c>
      <c r="H2542">
        <v>2</v>
      </c>
      <c r="I2542">
        <v>2</v>
      </c>
      <c r="J2542" s="27">
        <v>26679.38</v>
      </c>
      <c r="K2542" s="27">
        <v>2000000</v>
      </c>
    </row>
    <row r="2543" spans="1:11" ht="15" customHeight="1" x14ac:dyDescent="0.2">
      <c r="A2543" t="s">
        <v>5666</v>
      </c>
      <c r="B2543" t="s">
        <v>5667</v>
      </c>
      <c r="C2543">
        <v>2024</v>
      </c>
      <c r="D2543" s="18">
        <v>45515</v>
      </c>
      <c r="E2543" s="18">
        <v>45879</v>
      </c>
      <c r="F2543" s="18" t="s">
        <v>611</v>
      </c>
      <c r="G2543" t="s">
        <v>102</v>
      </c>
      <c r="H2543">
        <v>1</v>
      </c>
      <c r="I2543">
        <v>2</v>
      </c>
      <c r="J2543" s="27">
        <v>70022.7</v>
      </c>
      <c r="K2543" s="27">
        <v>10000000</v>
      </c>
    </row>
    <row r="2544" spans="1:11" ht="15" customHeight="1" x14ac:dyDescent="0.2">
      <c r="A2544" t="s">
        <v>5668</v>
      </c>
      <c r="B2544" t="s">
        <v>5669</v>
      </c>
      <c r="C2544">
        <v>2024</v>
      </c>
      <c r="D2544" s="18">
        <v>45515</v>
      </c>
      <c r="E2544" s="18">
        <v>45879</v>
      </c>
      <c r="F2544" s="18" t="s">
        <v>611</v>
      </c>
      <c r="G2544" t="s">
        <v>101</v>
      </c>
      <c r="H2544">
        <v>1</v>
      </c>
      <c r="I2544">
        <v>1</v>
      </c>
      <c r="J2544" s="27">
        <v>25350.560000000001</v>
      </c>
      <c r="K2544" s="27">
        <v>1500000</v>
      </c>
    </row>
    <row r="2545" spans="1:11" ht="15" customHeight="1" x14ac:dyDescent="0.2">
      <c r="A2545" t="s">
        <v>5670</v>
      </c>
      <c r="B2545" t="s">
        <v>5671</v>
      </c>
      <c r="C2545">
        <v>2024</v>
      </c>
      <c r="D2545" s="18">
        <v>45515</v>
      </c>
      <c r="E2545" s="18">
        <v>45879</v>
      </c>
      <c r="F2545" s="18" t="s">
        <v>611</v>
      </c>
      <c r="G2545" t="s">
        <v>100</v>
      </c>
      <c r="H2545">
        <v>2</v>
      </c>
      <c r="I2545">
        <v>2</v>
      </c>
      <c r="J2545" s="27">
        <v>18317.32</v>
      </c>
      <c r="K2545" s="27">
        <v>1500000</v>
      </c>
    </row>
    <row r="2546" spans="1:11" ht="15" customHeight="1" x14ac:dyDescent="0.2">
      <c r="A2546" t="s">
        <v>5672</v>
      </c>
      <c r="B2546" t="s">
        <v>5673</v>
      </c>
      <c r="C2546">
        <v>2024</v>
      </c>
      <c r="D2546" s="18">
        <v>45516</v>
      </c>
      <c r="E2546" s="18">
        <v>45880</v>
      </c>
      <c r="F2546" s="18" t="s">
        <v>608</v>
      </c>
      <c r="G2546" t="s">
        <v>101</v>
      </c>
      <c r="H2546">
        <v>2</v>
      </c>
      <c r="I2546">
        <v>4</v>
      </c>
      <c r="J2546" s="27">
        <v>76827.259999999995</v>
      </c>
      <c r="K2546" s="27">
        <v>5000000</v>
      </c>
    </row>
    <row r="2547" spans="1:11" ht="15" customHeight="1" x14ac:dyDescent="0.2">
      <c r="A2547" t="s">
        <v>5674</v>
      </c>
      <c r="B2547" t="s">
        <v>5675</v>
      </c>
      <c r="C2547">
        <v>2024</v>
      </c>
      <c r="D2547" s="18">
        <v>45516</v>
      </c>
      <c r="E2547" s="18">
        <v>45880</v>
      </c>
      <c r="F2547" s="18" t="s">
        <v>608</v>
      </c>
      <c r="G2547" t="s">
        <v>100</v>
      </c>
      <c r="H2547">
        <v>2</v>
      </c>
      <c r="I2547">
        <v>2</v>
      </c>
      <c r="J2547" s="27">
        <v>19954.98</v>
      </c>
      <c r="K2547" s="27">
        <v>1500000</v>
      </c>
    </row>
    <row r="2548" spans="1:11" ht="15" customHeight="1" x14ac:dyDescent="0.2">
      <c r="A2548" t="s">
        <v>5676</v>
      </c>
      <c r="B2548" t="s">
        <v>5677</v>
      </c>
      <c r="C2548">
        <v>2024</v>
      </c>
      <c r="D2548" s="18">
        <v>45516</v>
      </c>
      <c r="E2548" s="18">
        <v>45880</v>
      </c>
      <c r="F2548" s="18" t="s">
        <v>611</v>
      </c>
      <c r="G2548" t="s">
        <v>100</v>
      </c>
      <c r="H2548">
        <v>2</v>
      </c>
      <c r="I2548">
        <v>2</v>
      </c>
      <c r="J2548" s="27">
        <v>46348.5</v>
      </c>
      <c r="K2548" s="27">
        <v>4000000</v>
      </c>
    </row>
    <row r="2549" spans="1:11" ht="15" customHeight="1" x14ac:dyDescent="0.2">
      <c r="A2549" t="s">
        <v>5678</v>
      </c>
      <c r="B2549" t="s">
        <v>5679</v>
      </c>
      <c r="C2549">
        <v>2024</v>
      </c>
      <c r="D2549" s="18">
        <v>45516</v>
      </c>
      <c r="E2549" s="18">
        <v>45880</v>
      </c>
      <c r="F2549" s="18" t="s">
        <v>611</v>
      </c>
      <c r="G2549" t="s">
        <v>99</v>
      </c>
      <c r="H2549">
        <v>1</v>
      </c>
      <c r="I2549">
        <v>2</v>
      </c>
      <c r="J2549" s="27">
        <v>44410.5</v>
      </c>
      <c r="K2549" s="27">
        <v>5000000</v>
      </c>
    </row>
    <row r="2550" spans="1:11" ht="15" customHeight="1" x14ac:dyDescent="0.2">
      <c r="A2550" t="s">
        <v>5680</v>
      </c>
      <c r="B2550" t="s">
        <v>5681</v>
      </c>
      <c r="C2550">
        <v>2024</v>
      </c>
      <c r="D2550" s="18">
        <v>45516</v>
      </c>
      <c r="E2550" s="18">
        <v>45880</v>
      </c>
      <c r="F2550" s="18" t="s">
        <v>611</v>
      </c>
      <c r="G2550" t="s">
        <v>100</v>
      </c>
      <c r="H2550">
        <v>1</v>
      </c>
      <c r="I2550">
        <v>1</v>
      </c>
      <c r="J2550" s="27">
        <v>34235.58</v>
      </c>
      <c r="K2550" s="27">
        <v>3000000</v>
      </c>
    </row>
    <row r="2551" spans="1:11" ht="15" customHeight="1" x14ac:dyDescent="0.2">
      <c r="A2551" t="s">
        <v>5682</v>
      </c>
      <c r="B2551" t="s">
        <v>5683</v>
      </c>
      <c r="C2551">
        <v>2024</v>
      </c>
      <c r="D2551" s="18">
        <v>45516</v>
      </c>
      <c r="E2551" s="18">
        <v>45880</v>
      </c>
      <c r="F2551" s="18" t="s">
        <v>611</v>
      </c>
      <c r="G2551" t="s">
        <v>99</v>
      </c>
      <c r="H2551">
        <v>3</v>
      </c>
      <c r="I2551">
        <v>6</v>
      </c>
      <c r="J2551" s="27">
        <v>4277.1400000000003</v>
      </c>
      <c r="K2551" s="27">
        <v>500000</v>
      </c>
    </row>
    <row r="2552" spans="1:11" ht="15" customHeight="1" x14ac:dyDescent="0.2">
      <c r="A2552" t="s">
        <v>5684</v>
      </c>
      <c r="B2552" t="s">
        <v>5685</v>
      </c>
      <c r="C2552">
        <v>2024</v>
      </c>
      <c r="D2552" s="18">
        <v>45516</v>
      </c>
      <c r="E2552" s="18">
        <v>45880</v>
      </c>
      <c r="F2552" s="18" t="s">
        <v>611</v>
      </c>
      <c r="G2552" t="s">
        <v>99</v>
      </c>
      <c r="H2552">
        <v>2</v>
      </c>
      <c r="I2552">
        <v>4</v>
      </c>
      <c r="J2552" s="27">
        <v>25481.46</v>
      </c>
      <c r="K2552" s="27">
        <v>3000000</v>
      </c>
    </row>
    <row r="2553" spans="1:11" ht="15" customHeight="1" x14ac:dyDescent="0.2">
      <c r="A2553" t="s">
        <v>5686</v>
      </c>
      <c r="B2553" t="s">
        <v>5687</v>
      </c>
      <c r="C2553">
        <v>2024</v>
      </c>
      <c r="D2553" s="18">
        <v>45516</v>
      </c>
      <c r="E2553" s="18">
        <v>45880</v>
      </c>
      <c r="F2553" s="18" t="s">
        <v>611</v>
      </c>
      <c r="G2553" t="s">
        <v>99</v>
      </c>
      <c r="H2553">
        <v>1</v>
      </c>
      <c r="I2553">
        <v>2</v>
      </c>
      <c r="J2553" s="27">
        <v>84001.76</v>
      </c>
      <c r="K2553" s="27">
        <v>10000000</v>
      </c>
    </row>
    <row r="2554" spans="1:11" ht="15" customHeight="1" x14ac:dyDescent="0.2">
      <c r="A2554" t="s">
        <v>5688</v>
      </c>
      <c r="B2554" t="s">
        <v>5689</v>
      </c>
      <c r="C2554">
        <v>2024</v>
      </c>
      <c r="D2554" s="18">
        <v>45517</v>
      </c>
      <c r="E2554" s="18">
        <v>45881</v>
      </c>
      <c r="F2554" s="18" t="s">
        <v>611</v>
      </c>
      <c r="G2554" t="s">
        <v>100</v>
      </c>
      <c r="H2554">
        <v>3</v>
      </c>
      <c r="I2554">
        <v>3</v>
      </c>
      <c r="J2554" s="27">
        <v>50280.72</v>
      </c>
      <c r="K2554" s="27">
        <v>4500000</v>
      </c>
    </row>
    <row r="2555" spans="1:11" ht="15" customHeight="1" x14ac:dyDescent="0.2">
      <c r="A2555" t="s">
        <v>5690</v>
      </c>
      <c r="B2555" t="s">
        <v>5691</v>
      </c>
      <c r="C2555">
        <v>2024</v>
      </c>
      <c r="D2555" s="18">
        <v>45517</v>
      </c>
      <c r="E2555" s="18">
        <v>45881</v>
      </c>
      <c r="F2555" s="18" t="s">
        <v>611</v>
      </c>
      <c r="G2555" t="s">
        <v>99</v>
      </c>
      <c r="H2555">
        <v>1</v>
      </c>
      <c r="I2555">
        <v>1</v>
      </c>
      <c r="J2555" s="27">
        <v>90643.75</v>
      </c>
      <c r="K2555" s="27">
        <v>10000000</v>
      </c>
    </row>
    <row r="2556" spans="1:11" ht="15" customHeight="1" x14ac:dyDescent="0.2">
      <c r="A2556" t="s">
        <v>5692</v>
      </c>
      <c r="B2556" t="s">
        <v>5693</v>
      </c>
      <c r="C2556">
        <v>2024</v>
      </c>
      <c r="D2556" s="18">
        <v>45517</v>
      </c>
      <c r="E2556" s="18">
        <v>45881</v>
      </c>
      <c r="F2556" s="18" t="s">
        <v>611</v>
      </c>
      <c r="G2556" t="s">
        <v>100</v>
      </c>
      <c r="H2556">
        <v>1</v>
      </c>
      <c r="I2556">
        <v>1</v>
      </c>
      <c r="J2556" s="27">
        <v>38637.56</v>
      </c>
      <c r="K2556" s="27">
        <v>3000000</v>
      </c>
    </row>
    <row r="2557" spans="1:11" ht="15" customHeight="1" x14ac:dyDescent="0.2">
      <c r="A2557" t="s">
        <v>5694</v>
      </c>
      <c r="B2557" t="s">
        <v>5695</v>
      </c>
      <c r="C2557">
        <v>2024</v>
      </c>
      <c r="D2557" s="18">
        <v>45517</v>
      </c>
      <c r="E2557" s="18">
        <v>45881</v>
      </c>
      <c r="F2557" s="18" t="s">
        <v>611</v>
      </c>
      <c r="G2557" t="s">
        <v>101</v>
      </c>
      <c r="H2557">
        <v>1</v>
      </c>
      <c r="I2557">
        <v>2</v>
      </c>
      <c r="J2557" s="27">
        <v>64366.89</v>
      </c>
      <c r="K2557" s="27">
        <v>4500000</v>
      </c>
    </row>
    <row r="2558" spans="1:11" ht="15" customHeight="1" x14ac:dyDescent="0.2">
      <c r="A2558" t="s">
        <v>5696</v>
      </c>
      <c r="B2558" t="s">
        <v>5697</v>
      </c>
      <c r="C2558">
        <v>2024</v>
      </c>
      <c r="D2558" s="18">
        <v>45517</v>
      </c>
      <c r="E2558" s="18">
        <v>45881</v>
      </c>
      <c r="F2558" s="18" t="s">
        <v>611</v>
      </c>
      <c r="G2558" t="s">
        <v>101</v>
      </c>
      <c r="H2558">
        <v>1</v>
      </c>
      <c r="I2558">
        <v>1</v>
      </c>
      <c r="J2558" s="27">
        <v>44861.64</v>
      </c>
      <c r="K2558" s="27">
        <v>3000000</v>
      </c>
    </row>
    <row r="2559" spans="1:11" ht="15" customHeight="1" x14ac:dyDescent="0.2">
      <c r="A2559" t="s">
        <v>5698</v>
      </c>
      <c r="B2559" t="s">
        <v>5699</v>
      </c>
      <c r="C2559">
        <v>2024</v>
      </c>
      <c r="D2559" s="18">
        <v>45517</v>
      </c>
      <c r="E2559" s="18">
        <v>45881</v>
      </c>
      <c r="F2559" s="18" t="s">
        <v>611</v>
      </c>
      <c r="G2559" t="s">
        <v>101</v>
      </c>
      <c r="H2559">
        <v>1</v>
      </c>
      <c r="I2559">
        <v>1</v>
      </c>
      <c r="J2559" s="27">
        <v>161408.62</v>
      </c>
      <c r="K2559" s="27">
        <v>10000000</v>
      </c>
    </row>
    <row r="2560" spans="1:11" ht="15" customHeight="1" x14ac:dyDescent="0.2">
      <c r="A2560" t="s">
        <v>5700</v>
      </c>
      <c r="B2560" t="s">
        <v>5701</v>
      </c>
      <c r="C2560">
        <v>2024</v>
      </c>
      <c r="D2560" s="18">
        <v>45517</v>
      </c>
      <c r="E2560" s="18">
        <v>45881</v>
      </c>
      <c r="F2560" s="18" t="s">
        <v>611</v>
      </c>
      <c r="G2560" t="s">
        <v>100</v>
      </c>
      <c r="H2560">
        <v>1</v>
      </c>
      <c r="I2560">
        <v>1</v>
      </c>
      <c r="J2560" s="27">
        <v>62799.3</v>
      </c>
      <c r="K2560" s="27">
        <v>5000000</v>
      </c>
    </row>
    <row r="2561" spans="1:11" ht="15" customHeight="1" x14ac:dyDescent="0.2">
      <c r="A2561" t="s">
        <v>5702</v>
      </c>
      <c r="B2561" t="s">
        <v>5703</v>
      </c>
      <c r="C2561">
        <v>2024</v>
      </c>
      <c r="D2561" s="18">
        <v>45517</v>
      </c>
      <c r="E2561" s="18">
        <v>45881</v>
      </c>
      <c r="F2561" s="18" t="s">
        <v>611</v>
      </c>
      <c r="G2561" t="s">
        <v>100</v>
      </c>
      <c r="H2561">
        <v>1</v>
      </c>
      <c r="I2561">
        <v>2</v>
      </c>
      <c r="J2561" s="27">
        <v>22319.43</v>
      </c>
      <c r="K2561" s="27">
        <v>2000000</v>
      </c>
    </row>
    <row r="2562" spans="1:11" ht="15" customHeight="1" x14ac:dyDescent="0.2">
      <c r="A2562" t="s">
        <v>5704</v>
      </c>
      <c r="B2562" t="s">
        <v>5705</v>
      </c>
      <c r="C2562">
        <v>2024</v>
      </c>
      <c r="D2562" s="18">
        <v>45517</v>
      </c>
      <c r="E2562" s="18">
        <v>45881</v>
      </c>
      <c r="F2562" s="18" t="s">
        <v>611</v>
      </c>
      <c r="G2562" t="s">
        <v>100</v>
      </c>
      <c r="H2562">
        <v>2</v>
      </c>
      <c r="I2562">
        <v>2</v>
      </c>
      <c r="J2562" s="27">
        <v>53972.54</v>
      </c>
      <c r="K2562" s="27">
        <v>4000000</v>
      </c>
    </row>
    <row r="2563" spans="1:11" ht="15" customHeight="1" x14ac:dyDescent="0.2">
      <c r="A2563" t="s">
        <v>5706</v>
      </c>
      <c r="B2563" t="s">
        <v>5707</v>
      </c>
      <c r="C2563">
        <v>2024</v>
      </c>
      <c r="D2563" s="18">
        <v>45517</v>
      </c>
      <c r="E2563" s="18">
        <v>45881</v>
      </c>
      <c r="F2563" s="18" t="s">
        <v>611</v>
      </c>
      <c r="G2563" t="s">
        <v>101</v>
      </c>
      <c r="H2563">
        <v>1</v>
      </c>
      <c r="I2563">
        <v>1</v>
      </c>
      <c r="J2563" s="27">
        <v>23635.55</v>
      </c>
      <c r="K2563" s="27">
        <v>1500000</v>
      </c>
    </row>
    <row r="2564" spans="1:11" ht="15" customHeight="1" x14ac:dyDescent="0.2">
      <c r="A2564" t="s">
        <v>5708</v>
      </c>
      <c r="B2564" t="s">
        <v>5709</v>
      </c>
      <c r="C2564">
        <v>2024</v>
      </c>
      <c r="D2564" s="18">
        <v>45518</v>
      </c>
      <c r="E2564" s="18">
        <v>45882</v>
      </c>
      <c r="F2564" s="18" t="s">
        <v>608</v>
      </c>
      <c r="G2564" t="s">
        <v>100</v>
      </c>
      <c r="H2564">
        <v>2</v>
      </c>
      <c r="I2564">
        <v>2</v>
      </c>
      <c r="J2564" s="27">
        <v>12937.73</v>
      </c>
      <c r="K2564" s="27">
        <v>1000000</v>
      </c>
    </row>
    <row r="2565" spans="1:11" ht="15" customHeight="1" x14ac:dyDescent="0.2">
      <c r="A2565" t="s">
        <v>5710</v>
      </c>
      <c r="B2565" t="s">
        <v>5711</v>
      </c>
      <c r="C2565">
        <v>2024</v>
      </c>
      <c r="D2565" s="18">
        <v>45518</v>
      </c>
      <c r="E2565" s="18">
        <v>45882</v>
      </c>
      <c r="F2565" s="18" t="s">
        <v>611</v>
      </c>
      <c r="G2565" t="s">
        <v>100</v>
      </c>
      <c r="H2565">
        <v>3</v>
      </c>
      <c r="I2565">
        <v>3</v>
      </c>
      <c r="J2565" s="27">
        <v>125672.6</v>
      </c>
      <c r="K2565" s="27">
        <v>10000000</v>
      </c>
    </row>
    <row r="2566" spans="1:11" ht="15" customHeight="1" x14ac:dyDescent="0.2">
      <c r="A2566" t="s">
        <v>5712</v>
      </c>
      <c r="B2566" t="s">
        <v>5713</v>
      </c>
      <c r="C2566">
        <v>2024</v>
      </c>
      <c r="D2566" s="18">
        <v>45518</v>
      </c>
      <c r="E2566" s="18">
        <v>45882</v>
      </c>
      <c r="F2566" s="18" t="s">
        <v>611</v>
      </c>
      <c r="G2566" t="s">
        <v>101</v>
      </c>
      <c r="H2566">
        <v>3</v>
      </c>
      <c r="I2566">
        <v>3</v>
      </c>
      <c r="J2566" s="27">
        <v>33674.42</v>
      </c>
      <c r="K2566" s="27">
        <v>2000000</v>
      </c>
    </row>
    <row r="2567" spans="1:11" ht="15" customHeight="1" x14ac:dyDescent="0.2">
      <c r="A2567" t="s">
        <v>5714</v>
      </c>
      <c r="B2567" t="s">
        <v>5715</v>
      </c>
      <c r="C2567">
        <v>2024</v>
      </c>
      <c r="D2567" s="18">
        <v>45518</v>
      </c>
      <c r="E2567" s="18">
        <v>45882</v>
      </c>
      <c r="F2567" s="18" t="s">
        <v>611</v>
      </c>
      <c r="G2567" t="s">
        <v>101</v>
      </c>
      <c r="H2567">
        <v>1</v>
      </c>
      <c r="I2567">
        <v>1</v>
      </c>
      <c r="J2567" s="27">
        <v>142289.07999999999</v>
      </c>
      <c r="K2567" s="27">
        <v>10000000</v>
      </c>
    </row>
    <row r="2568" spans="1:11" ht="15" customHeight="1" x14ac:dyDescent="0.2">
      <c r="A2568" t="s">
        <v>5716</v>
      </c>
      <c r="B2568" t="s">
        <v>5717</v>
      </c>
      <c r="C2568">
        <v>2024</v>
      </c>
      <c r="D2568" s="18">
        <v>45518</v>
      </c>
      <c r="E2568" s="18">
        <v>45882</v>
      </c>
      <c r="F2568" s="18" t="s">
        <v>611</v>
      </c>
      <c r="G2568" t="s">
        <v>100</v>
      </c>
      <c r="H2568">
        <v>2</v>
      </c>
      <c r="I2568">
        <v>2</v>
      </c>
      <c r="J2568" s="27">
        <v>61619.17</v>
      </c>
      <c r="K2568" s="27">
        <v>5000000</v>
      </c>
    </row>
    <row r="2569" spans="1:11" ht="15" customHeight="1" x14ac:dyDescent="0.2">
      <c r="A2569" t="s">
        <v>5718</v>
      </c>
      <c r="B2569" t="s">
        <v>5719</v>
      </c>
      <c r="C2569">
        <v>2024</v>
      </c>
      <c r="D2569" s="18">
        <v>45519</v>
      </c>
      <c r="E2569" s="18">
        <v>45883</v>
      </c>
      <c r="F2569" s="18" t="s">
        <v>608</v>
      </c>
      <c r="G2569" t="s">
        <v>100</v>
      </c>
      <c r="H2569">
        <v>1</v>
      </c>
      <c r="I2569">
        <v>1</v>
      </c>
      <c r="J2569" s="27">
        <v>124477.05</v>
      </c>
      <c r="K2569" s="27">
        <v>10000000</v>
      </c>
    </row>
    <row r="2570" spans="1:11" ht="15" customHeight="1" x14ac:dyDescent="0.2">
      <c r="A2570" t="s">
        <v>5720</v>
      </c>
      <c r="B2570" t="s">
        <v>5721</v>
      </c>
      <c r="C2570">
        <v>2024</v>
      </c>
      <c r="D2570" s="18">
        <v>45519</v>
      </c>
      <c r="E2570" s="18">
        <v>45883</v>
      </c>
      <c r="F2570" s="18" t="s">
        <v>608</v>
      </c>
      <c r="G2570" t="s">
        <v>101</v>
      </c>
      <c r="H2570">
        <v>3</v>
      </c>
      <c r="I2570">
        <v>6</v>
      </c>
      <c r="J2570" s="27">
        <v>64905.71</v>
      </c>
      <c r="K2570" s="27">
        <v>4500000</v>
      </c>
    </row>
    <row r="2571" spans="1:11" ht="15" customHeight="1" x14ac:dyDescent="0.2">
      <c r="A2571" t="s">
        <v>5722</v>
      </c>
      <c r="B2571" t="s">
        <v>5723</v>
      </c>
      <c r="C2571">
        <v>2024</v>
      </c>
      <c r="D2571" s="18">
        <v>45519</v>
      </c>
      <c r="E2571" s="18">
        <v>45883</v>
      </c>
      <c r="F2571" s="18" t="s">
        <v>608</v>
      </c>
      <c r="G2571" t="s">
        <v>101</v>
      </c>
      <c r="H2571">
        <v>3</v>
      </c>
      <c r="I2571">
        <v>3</v>
      </c>
      <c r="J2571" s="27">
        <v>79485.47</v>
      </c>
      <c r="K2571" s="27">
        <v>5000000</v>
      </c>
    </row>
    <row r="2572" spans="1:11" ht="15" customHeight="1" x14ac:dyDescent="0.2">
      <c r="A2572" t="s">
        <v>5724</v>
      </c>
      <c r="B2572" t="s">
        <v>5725</v>
      </c>
      <c r="C2572">
        <v>2024</v>
      </c>
      <c r="D2572" s="18">
        <v>45519</v>
      </c>
      <c r="E2572" s="18">
        <v>45883</v>
      </c>
      <c r="F2572" s="18" t="s">
        <v>608</v>
      </c>
      <c r="G2572" t="s">
        <v>102</v>
      </c>
      <c r="H2572">
        <v>2</v>
      </c>
      <c r="I2572">
        <v>4</v>
      </c>
      <c r="J2572" s="27">
        <v>27057.119999999999</v>
      </c>
      <c r="K2572" s="27">
        <v>4000000</v>
      </c>
    </row>
    <row r="2573" spans="1:11" ht="15" customHeight="1" x14ac:dyDescent="0.2">
      <c r="A2573" t="s">
        <v>5726</v>
      </c>
      <c r="B2573" t="s">
        <v>5727</v>
      </c>
      <c r="C2573">
        <v>2024</v>
      </c>
      <c r="D2573" s="18">
        <v>45519</v>
      </c>
      <c r="E2573" s="18">
        <v>45883</v>
      </c>
      <c r="F2573" s="18" t="s">
        <v>611</v>
      </c>
      <c r="G2573" t="s">
        <v>101</v>
      </c>
      <c r="H2573">
        <v>1</v>
      </c>
      <c r="I2573">
        <v>1</v>
      </c>
      <c r="J2573" s="27">
        <v>37179.839999999997</v>
      </c>
      <c r="K2573" s="27">
        <v>2500000</v>
      </c>
    </row>
    <row r="2574" spans="1:11" ht="15" customHeight="1" x14ac:dyDescent="0.2">
      <c r="A2574" t="s">
        <v>5728</v>
      </c>
      <c r="B2574" t="s">
        <v>5729</v>
      </c>
      <c r="C2574">
        <v>2024</v>
      </c>
      <c r="D2574" s="18">
        <v>45519</v>
      </c>
      <c r="E2574" s="18">
        <v>45883</v>
      </c>
      <c r="F2574" s="18" t="s">
        <v>611</v>
      </c>
      <c r="G2574" t="s">
        <v>100</v>
      </c>
      <c r="H2574">
        <v>3</v>
      </c>
      <c r="I2574">
        <v>3</v>
      </c>
      <c r="J2574" s="27">
        <v>13538.12</v>
      </c>
      <c r="K2574" s="27">
        <v>1000000</v>
      </c>
    </row>
    <row r="2575" spans="1:11" ht="15" customHeight="1" x14ac:dyDescent="0.2">
      <c r="A2575" t="s">
        <v>5730</v>
      </c>
      <c r="B2575" t="s">
        <v>5731</v>
      </c>
      <c r="C2575">
        <v>2024</v>
      </c>
      <c r="D2575" s="18">
        <v>45519</v>
      </c>
      <c r="E2575" s="18">
        <v>45883</v>
      </c>
      <c r="F2575" s="18" t="s">
        <v>611</v>
      </c>
      <c r="G2575" t="s">
        <v>99</v>
      </c>
      <c r="H2575">
        <v>2</v>
      </c>
      <c r="I2575">
        <v>2</v>
      </c>
      <c r="J2575" s="27">
        <v>37940.26</v>
      </c>
      <c r="K2575" s="27">
        <v>5000000</v>
      </c>
    </row>
    <row r="2576" spans="1:11" ht="15" customHeight="1" x14ac:dyDescent="0.2">
      <c r="A2576" t="s">
        <v>5732</v>
      </c>
      <c r="B2576" t="s">
        <v>5733</v>
      </c>
      <c r="C2576">
        <v>2024</v>
      </c>
      <c r="D2576" s="18">
        <v>45520</v>
      </c>
      <c r="E2576" s="18">
        <v>45884</v>
      </c>
      <c r="F2576" s="18" t="s">
        <v>608</v>
      </c>
      <c r="G2576" t="s">
        <v>100</v>
      </c>
      <c r="H2576">
        <v>2</v>
      </c>
      <c r="I2576">
        <v>4</v>
      </c>
      <c r="J2576" s="27">
        <v>20003.060000000001</v>
      </c>
      <c r="K2576" s="27">
        <v>1500000</v>
      </c>
    </row>
    <row r="2577" spans="1:11" ht="15" customHeight="1" x14ac:dyDescent="0.2">
      <c r="A2577" t="s">
        <v>5734</v>
      </c>
      <c r="B2577" t="s">
        <v>5735</v>
      </c>
      <c r="C2577">
        <v>2024</v>
      </c>
      <c r="D2577" s="18">
        <v>45520</v>
      </c>
      <c r="E2577" s="18">
        <v>45884</v>
      </c>
      <c r="F2577" s="18" t="s">
        <v>611</v>
      </c>
      <c r="G2577" t="s">
        <v>99</v>
      </c>
      <c r="H2577">
        <v>1</v>
      </c>
      <c r="I2577">
        <v>2</v>
      </c>
      <c r="J2577" s="27">
        <v>87535.66</v>
      </c>
      <c r="K2577" s="27">
        <v>10000000</v>
      </c>
    </row>
    <row r="2578" spans="1:11" ht="15" customHeight="1" x14ac:dyDescent="0.2">
      <c r="A2578" t="s">
        <v>5736</v>
      </c>
      <c r="B2578" t="s">
        <v>5737</v>
      </c>
      <c r="C2578">
        <v>2024</v>
      </c>
      <c r="D2578" s="18">
        <v>45520</v>
      </c>
      <c r="E2578" s="18">
        <v>45884</v>
      </c>
      <c r="F2578" s="18" t="s">
        <v>611</v>
      </c>
      <c r="G2578" t="s">
        <v>99</v>
      </c>
      <c r="H2578">
        <v>2</v>
      </c>
      <c r="I2578">
        <v>2</v>
      </c>
      <c r="J2578" s="27">
        <v>38240.07</v>
      </c>
      <c r="K2578" s="27">
        <v>5000000</v>
      </c>
    </row>
    <row r="2579" spans="1:11" ht="15" customHeight="1" x14ac:dyDescent="0.2">
      <c r="A2579" t="s">
        <v>5738</v>
      </c>
      <c r="B2579" t="s">
        <v>5739</v>
      </c>
      <c r="C2579">
        <v>2024</v>
      </c>
      <c r="D2579" s="18">
        <v>45520</v>
      </c>
      <c r="E2579" s="18">
        <v>45884</v>
      </c>
      <c r="F2579" s="18" t="s">
        <v>611</v>
      </c>
      <c r="G2579" t="s">
        <v>100</v>
      </c>
      <c r="H2579">
        <v>1</v>
      </c>
      <c r="I2579">
        <v>1</v>
      </c>
      <c r="J2579" s="27">
        <v>43840.18</v>
      </c>
      <c r="K2579" s="27">
        <v>3500000</v>
      </c>
    </row>
    <row r="2580" spans="1:11" ht="15" customHeight="1" x14ac:dyDescent="0.2">
      <c r="A2580" t="s">
        <v>5740</v>
      </c>
      <c r="B2580" t="s">
        <v>5741</v>
      </c>
      <c r="C2580">
        <v>2024</v>
      </c>
      <c r="D2580" s="18">
        <v>45520</v>
      </c>
      <c r="E2580" s="18">
        <v>45884</v>
      </c>
      <c r="F2580" s="18" t="s">
        <v>611</v>
      </c>
      <c r="G2580" t="s">
        <v>99</v>
      </c>
      <c r="H2580">
        <v>1</v>
      </c>
      <c r="I2580">
        <v>1</v>
      </c>
      <c r="J2580" s="27">
        <v>8114.39</v>
      </c>
      <c r="K2580" s="27">
        <v>1000000</v>
      </c>
    </row>
    <row r="2581" spans="1:11" ht="15" customHeight="1" x14ac:dyDescent="0.2">
      <c r="A2581" t="s">
        <v>5742</v>
      </c>
      <c r="B2581" t="s">
        <v>5743</v>
      </c>
      <c r="C2581">
        <v>2024</v>
      </c>
      <c r="D2581" s="18">
        <v>45520</v>
      </c>
      <c r="E2581" s="18">
        <v>45884</v>
      </c>
      <c r="F2581" s="18" t="s">
        <v>611</v>
      </c>
      <c r="G2581" t="s">
        <v>100</v>
      </c>
      <c r="H2581">
        <v>1</v>
      </c>
      <c r="I2581">
        <v>2</v>
      </c>
      <c r="J2581" s="27">
        <v>51900.28</v>
      </c>
      <c r="K2581" s="27">
        <v>4500000</v>
      </c>
    </row>
    <row r="2582" spans="1:11" ht="15" customHeight="1" x14ac:dyDescent="0.2">
      <c r="A2582" t="s">
        <v>5744</v>
      </c>
      <c r="B2582" t="s">
        <v>5745</v>
      </c>
      <c r="C2582">
        <v>2024</v>
      </c>
      <c r="D2582" s="18">
        <v>45520</v>
      </c>
      <c r="E2582" s="18">
        <v>45884</v>
      </c>
      <c r="F2582" s="18" t="s">
        <v>611</v>
      </c>
      <c r="G2582" t="s">
        <v>99</v>
      </c>
      <c r="H2582">
        <v>3</v>
      </c>
      <c r="I2582">
        <v>3</v>
      </c>
      <c r="J2582" s="27">
        <v>8452.65</v>
      </c>
      <c r="K2582" s="27">
        <v>1000000</v>
      </c>
    </row>
    <row r="2583" spans="1:11" ht="15" customHeight="1" x14ac:dyDescent="0.2">
      <c r="A2583" t="s">
        <v>5746</v>
      </c>
      <c r="B2583" t="s">
        <v>5747</v>
      </c>
      <c r="C2583">
        <v>2024</v>
      </c>
      <c r="D2583" s="18">
        <v>45520</v>
      </c>
      <c r="E2583" s="18">
        <v>45884</v>
      </c>
      <c r="F2583" s="18" t="s">
        <v>611</v>
      </c>
      <c r="G2583" t="s">
        <v>99</v>
      </c>
      <c r="H2583">
        <v>2</v>
      </c>
      <c r="I2583">
        <v>4</v>
      </c>
      <c r="J2583" s="27">
        <v>36761.64</v>
      </c>
      <c r="K2583" s="27">
        <v>4000000</v>
      </c>
    </row>
    <row r="2584" spans="1:11" ht="15" customHeight="1" x14ac:dyDescent="0.2">
      <c r="A2584" t="s">
        <v>5748</v>
      </c>
      <c r="B2584" t="s">
        <v>5749</v>
      </c>
      <c r="C2584">
        <v>2024</v>
      </c>
      <c r="D2584" s="18">
        <v>45521</v>
      </c>
      <c r="E2584" s="18">
        <v>45885</v>
      </c>
      <c r="F2584" s="18" t="s">
        <v>608</v>
      </c>
      <c r="G2584" t="s">
        <v>101</v>
      </c>
      <c r="H2584">
        <v>2</v>
      </c>
      <c r="I2584">
        <v>4</v>
      </c>
      <c r="J2584" s="27">
        <v>37851.99</v>
      </c>
      <c r="K2584" s="27">
        <v>2500000</v>
      </c>
    </row>
    <row r="2585" spans="1:11" ht="15" customHeight="1" x14ac:dyDescent="0.2">
      <c r="A2585" t="s">
        <v>5750</v>
      </c>
      <c r="B2585" t="s">
        <v>5751</v>
      </c>
      <c r="C2585">
        <v>2024</v>
      </c>
      <c r="D2585" s="18">
        <v>45521</v>
      </c>
      <c r="E2585" s="18">
        <v>45885</v>
      </c>
      <c r="F2585" s="18" t="s">
        <v>611</v>
      </c>
      <c r="G2585" t="s">
        <v>101</v>
      </c>
      <c r="H2585">
        <v>1</v>
      </c>
      <c r="I2585">
        <v>1</v>
      </c>
      <c r="J2585" s="27">
        <v>69301.36</v>
      </c>
      <c r="K2585" s="27">
        <v>4500000</v>
      </c>
    </row>
    <row r="2586" spans="1:11" ht="15" customHeight="1" x14ac:dyDescent="0.2">
      <c r="A2586" t="s">
        <v>5752</v>
      </c>
      <c r="B2586" t="s">
        <v>5753</v>
      </c>
      <c r="C2586">
        <v>2024</v>
      </c>
      <c r="D2586" s="18">
        <v>45521</v>
      </c>
      <c r="E2586" s="18">
        <v>45885</v>
      </c>
      <c r="F2586" s="18" t="s">
        <v>611</v>
      </c>
      <c r="G2586" t="s">
        <v>101</v>
      </c>
      <c r="H2586">
        <v>1</v>
      </c>
      <c r="I2586">
        <v>1</v>
      </c>
      <c r="J2586" s="27">
        <v>72374.41</v>
      </c>
      <c r="K2586" s="27">
        <v>5000000</v>
      </c>
    </row>
    <row r="2587" spans="1:11" ht="15" customHeight="1" x14ac:dyDescent="0.2">
      <c r="A2587" t="s">
        <v>5754</v>
      </c>
      <c r="B2587" t="s">
        <v>5755</v>
      </c>
      <c r="C2587">
        <v>2024</v>
      </c>
      <c r="D2587" s="18">
        <v>45521</v>
      </c>
      <c r="E2587" s="18">
        <v>45885</v>
      </c>
      <c r="F2587" s="18" t="s">
        <v>611</v>
      </c>
      <c r="G2587" t="s">
        <v>99</v>
      </c>
      <c r="H2587">
        <v>1</v>
      </c>
      <c r="I2587">
        <v>1</v>
      </c>
      <c r="J2587" s="27">
        <v>35038.19</v>
      </c>
      <c r="K2587" s="27">
        <v>4000000</v>
      </c>
    </row>
    <row r="2588" spans="1:11" ht="15" customHeight="1" x14ac:dyDescent="0.2">
      <c r="A2588" t="s">
        <v>5756</v>
      </c>
      <c r="B2588" t="s">
        <v>5757</v>
      </c>
      <c r="C2588">
        <v>2024</v>
      </c>
      <c r="D2588" s="18">
        <v>45521</v>
      </c>
      <c r="E2588" s="18">
        <v>45885</v>
      </c>
      <c r="F2588" s="18" t="s">
        <v>611</v>
      </c>
      <c r="G2588" t="s">
        <v>101</v>
      </c>
      <c r="H2588">
        <v>1</v>
      </c>
      <c r="I2588">
        <v>2</v>
      </c>
      <c r="J2588" s="27">
        <v>150883.17000000001</v>
      </c>
      <c r="K2588" s="27">
        <v>10000000</v>
      </c>
    </row>
    <row r="2589" spans="1:11" ht="15" customHeight="1" x14ac:dyDescent="0.2">
      <c r="A2589" t="s">
        <v>5758</v>
      </c>
      <c r="B2589" t="s">
        <v>5759</v>
      </c>
      <c r="C2589">
        <v>2024</v>
      </c>
      <c r="D2589" s="18">
        <v>45521</v>
      </c>
      <c r="E2589" s="18">
        <v>45885</v>
      </c>
      <c r="F2589" s="18" t="s">
        <v>611</v>
      </c>
      <c r="G2589" t="s">
        <v>99</v>
      </c>
      <c r="H2589">
        <v>1</v>
      </c>
      <c r="I2589">
        <v>2</v>
      </c>
      <c r="J2589" s="27">
        <v>4175.55</v>
      </c>
      <c r="K2589" s="27">
        <v>500000</v>
      </c>
    </row>
    <row r="2590" spans="1:11" ht="15" customHeight="1" x14ac:dyDescent="0.2">
      <c r="A2590" t="s">
        <v>5760</v>
      </c>
      <c r="B2590" t="s">
        <v>5761</v>
      </c>
      <c r="C2590">
        <v>2024</v>
      </c>
      <c r="D2590" s="18">
        <v>45521</v>
      </c>
      <c r="E2590" s="18">
        <v>45885</v>
      </c>
      <c r="F2590" s="18" t="s">
        <v>611</v>
      </c>
      <c r="G2590" t="s">
        <v>99</v>
      </c>
      <c r="H2590">
        <v>2</v>
      </c>
      <c r="I2590">
        <v>4</v>
      </c>
      <c r="J2590" s="27">
        <v>3993.06</v>
      </c>
      <c r="K2590" s="27">
        <v>500000</v>
      </c>
    </row>
    <row r="2591" spans="1:11" ht="15" customHeight="1" x14ac:dyDescent="0.2">
      <c r="A2591" t="s">
        <v>5762</v>
      </c>
      <c r="B2591" t="s">
        <v>5763</v>
      </c>
      <c r="C2591">
        <v>2024</v>
      </c>
      <c r="D2591" s="18">
        <v>45521</v>
      </c>
      <c r="E2591" s="18">
        <v>45885</v>
      </c>
      <c r="F2591" s="18" t="s">
        <v>611</v>
      </c>
      <c r="G2591" t="s">
        <v>99</v>
      </c>
      <c r="H2591">
        <v>2</v>
      </c>
      <c r="I2591">
        <v>4</v>
      </c>
      <c r="J2591" s="27">
        <v>77715.199999999997</v>
      </c>
      <c r="K2591" s="27">
        <v>10000000</v>
      </c>
    </row>
    <row r="2592" spans="1:11" ht="15" customHeight="1" x14ac:dyDescent="0.2">
      <c r="A2592" t="s">
        <v>5764</v>
      </c>
      <c r="B2592" t="s">
        <v>5765</v>
      </c>
      <c r="C2592">
        <v>2024</v>
      </c>
      <c r="D2592" s="18">
        <v>45522</v>
      </c>
      <c r="E2592" s="18">
        <v>45886</v>
      </c>
      <c r="F2592" s="18" t="s">
        <v>608</v>
      </c>
      <c r="G2592" t="s">
        <v>99</v>
      </c>
      <c r="H2592">
        <v>1</v>
      </c>
      <c r="I2592">
        <v>1</v>
      </c>
      <c r="J2592" s="27">
        <v>9216.14</v>
      </c>
      <c r="K2592" s="27">
        <v>1000000</v>
      </c>
    </row>
    <row r="2593" spans="1:11" ht="15" customHeight="1" x14ac:dyDescent="0.2">
      <c r="A2593" t="s">
        <v>5766</v>
      </c>
      <c r="B2593" t="s">
        <v>5767</v>
      </c>
      <c r="C2593">
        <v>2024</v>
      </c>
      <c r="D2593" s="18">
        <v>45522</v>
      </c>
      <c r="E2593" s="18">
        <v>45886</v>
      </c>
      <c r="F2593" s="18" t="s">
        <v>611</v>
      </c>
      <c r="G2593" t="s">
        <v>100</v>
      </c>
      <c r="H2593">
        <v>2</v>
      </c>
      <c r="I2593">
        <v>2</v>
      </c>
      <c r="J2593" s="27">
        <v>13077.37</v>
      </c>
      <c r="K2593" s="27">
        <v>1000000</v>
      </c>
    </row>
    <row r="2594" spans="1:11" ht="15" customHeight="1" x14ac:dyDescent="0.2">
      <c r="A2594" t="s">
        <v>5768</v>
      </c>
      <c r="B2594" t="s">
        <v>5769</v>
      </c>
      <c r="C2594">
        <v>2024</v>
      </c>
      <c r="D2594" s="18">
        <v>45522</v>
      </c>
      <c r="E2594" s="18">
        <v>45886</v>
      </c>
      <c r="F2594" s="18" t="s">
        <v>611</v>
      </c>
      <c r="G2594" t="s">
        <v>100</v>
      </c>
      <c r="H2594">
        <v>2</v>
      </c>
      <c r="I2594">
        <v>4</v>
      </c>
      <c r="J2594" s="27">
        <v>51032.89</v>
      </c>
      <c r="K2594" s="27">
        <v>4000000</v>
      </c>
    </row>
    <row r="2595" spans="1:11" ht="15" customHeight="1" x14ac:dyDescent="0.2">
      <c r="A2595" t="s">
        <v>5770</v>
      </c>
      <c r="B2595" t="s">
        <v>5771</v>
      </c>
      <c r="C2595">
        <v>2024</v>
      </c>
      <c r="D2595" s="18">
        <v>45522</v>
      </c>
      <c r="E2595" s="18">
        <v>45886</v>
      </c>
      <c r="F2595" s="18" t="s">
        <v>611</v>
      </c>
      <c r="G2595" t="s">
        <v>99</v>
      </c>
      <c r="H2595">
        <v>2</v>
      </c>
      <c r="I2595">
        <v>4</v>
      </c>
      <c r="J2595" s="27">
        <v>82625.59</v>
      </c>
      <c r="K2595" s="27">
        <v>10000000</v>
      </c>
    </row>
    <row r="2596" spans="1:11" ht="15" customHeight="1" x14ac:dyDescent="0.2">
      <c r="A2596" t="s">
        <v>5772</v>
      </c>
      <c r="B2596" t="s">
        <v>5773</v>
      </c>
      <c r="C2596">
        <v>2024</v>
      </c>
      <c r="D2596" s="18">
        <v>45522</v>
      </c>
      <c r="E2596" s="18">
        <v>45886</v>
      </c>
      <c r="F2596" s="18" t="s">
        <v>611</v>
      </c>
      <c r="G2596" t="s">
        <v>100</v>
      </c>
      <c r="H2596">
        <v>3</v>
      </c>
      <c r="I2596">
        <v>3</v>
      </c>
      <c r="J2596" s="27">
        <v>45989.42</v>
      </c>
      <c r="K2596" s="27">
        <v>4000000</v>
      </c>
    </row>
    <row r="2597" spans="1:11" ht="15" customHeight="1" x14ac:dyDescent="0.2">
      <c r="A2597" t="s">
        <v>5774</v>
      </c>
      <c r="B2597" t="s">
        <v>5775</v>
      </c>
      <c r="C2597">
        <v>2024</v>
      </c>
      <c r="D2597" s="18">
        <v>45522</v>
      </c>
      <c r="E2597" s="18">
        <v>45886</v>
      </c>
      <c r="F2597" s="18" t="s">
        <v>611</v>
      </c>
      <c r="G2597" t="s">
        <v>102</v>
      </c>
      <c r="H2597">
        <v>2</v>
      </c>
      <c r="I2597">
        <v>4</v>
      </c>
      <c r="J2597" s="27">
        <v>35516.699999999997</v>
      </c>
      <c r="K2597" s="27">
        <v>4500000</v>
      </c>
    </row>
    <row r="2598" spans="1:11" ht="15" customHeight="1" x14ac:dyDescent="0.2">
      <c r="A2598" t="s">
        <v>5776</v>
      </c>
      <c r="B2598" t="s">
        <v>5777</v>
      </c>
      <c r="C2598">
        <v>2024</v>
      </c>
      <c r="D2598" s="18">
        <v>45522</v>
      </c>
      <c r="E2598" s="18">
        <v>45886</v>
      </c>
      <c r="F2598" s="18" t="s">
        <v>611</v>
      </c>
      <c r="G2598" t="s">
        <v>99</v>
      </c>
      <c r="H2598">
        <v>1</v>
      </c>
      <c r="I2598">
        <v>2</v>
      </c>
      <c r="J2598" s="27">
        <v>21903.38</v>
      </c>
      <c r="K2598" s="27">
        <v>2500000</v>
      </c>
    </row>
    <row r="2599" spans="1:11" ht="15" customHeight="1" x14ac:dyDescent="0.2">
      <c r="A2599" t="s">
        <v>5778</v>
      </c>
      <c r="B2599" t="s">
        <v>5779</v>
      </c>
      <c r="C2599">
        <v>2024</v>
      </c>
      <c r="D2599" s="18">
        <v>45522</v>
      </c>
      <c r="E2599" s="18">
        <v>45886</v>
      </c>
      <c r="F2599" s="18" t="s">
        <v>611</v>
      </c>
      <c r="G2599" t="s">
        <v>102</v>
      </c>
      <c r="H2599">
        <v>2</v>
      </c>
      <c r="I2599">
        <v>4</v>
      </c>
      <c r="J2599" s="27">
        <v>29376.95</v>
      </c>
      <c r="K2599" s="27">
        <v>4000000</v>
      </c>
    </row>
    <row r="2600" spans="1:11" ht="15" customHeight="1" x14ac:dyDescent="0.2">
      <c r="A2600" t="s">
        <v>5780</v>
      </c>
      <c r="B2600" t="s">
        <v>5781</v>
      </c>
      <c r="C2600">
        <v>2024</v>
      </c>
      <c r="D2600" s="18">
        <v>45522</v>
      </c>
      <c r="E2600" s="18">
        <v>45886</v>
      </c>
      <c r="F2600" s="18" t="s">
        <v>611</v>
      </c>
      <c r="G2600" t="s">
        <v>100</v>
      </c>
      <c r="H2600">
        <v>3</v>
      </c>
      <c r="I2600">
        <v>3</v>
      </c>
      <c r="J2600" s="27">
        <v>23550.45</v>
      </c>
      <c r="K2600" s="27">
        <v>2000000</v>
      </c>
    </row>
    <row r="2601" spans="1:11" ht="15" customHeight="1" x14ac:dyDescent="0.2">
      <c r="A2601" t="s">
        <v>5782</v>
      </c>
      <c r="B2601" t="s">
        <v>5783</v>
      </c>
      <c r="C2601">
        <v>2024</v>
      </c>
      <c r="D2601" s="18">
        <v>45522</v>
      </c>
      <c r="E2601" s="18">
        <v>45886</v>
      </c>
      <c r="F2601" s="18" t="s">
        <v>611</v>
      </c>
      <c r="G2601" t="s">
        <v>102</v>
      </c>
      <c r="H2601">
        <v>1</v>
      </c>
      <c r="I2601">
        <v>1</v>
      </c>
      <c r="J2601" s="27">
        <v>27696.080000000002</v>
      </c>
      <c r="K2601" s="27">
        <v>4000000</v>
      </c>
    </row>
    <row r="2602" spans="1:11" ht="15" customHeight="1" x14ac:dyDescent="0.2">
      <c r="A2602" t="s">
        <v>5784</v>
      </c>
      <c r="B2602" t="s">
        <v>5785</v>
      </c>
      <c r="C2602">
        <v>2024</v>
      </c>
      <c r="D2602" s="18">
        <v>45523</v>
      </c>
      <c r="E2602" s="18">
        <v>45887</v>
      </c>
      <c r="F2602" s="18" t="s">
        <v>608</v>
      </c>
      <c r="G2602" t="s">
        <v>102</v>
      </c>
      <c r="H2602">
        <v>2</v>
      </c>
      <c r="I2602">
        <v>2</v>
      </c>
      <c r="J2602" s="27">
        <v>69005.84</v>
      </c>
      <c r="K2602" s="27">
        <v>10000000</v>
      </c>
    </row>
    <row r="2603" spans="1:11" ht="15" customHeight="1" x14ac:dyDescent="0.2">
      <c r="A2603" t="s">
        <v>5786</v>
      </c>
      <c r="B2603" t="s">
        <v>5787</v>
      </c>
      <c r="C2603">
        <v>2024</v>
      </c>
      <c r="D2603" s="18">
        <v>45523</v>
      </c>
      <c r="E2603" s="18">
        <v>45887</v>
      </c>
      <c r="F2603" s="18" t="s">
        <v>608</v>
      </c>
      <c r="G2603" t="s">
        <v>102</v>
      </c>
      <c r="H2603">
        <v>2</v>
      </c>
      <c r="I2603">
        <v>2</v>
      </c>
      <c r="J2603" s="27">
        <v>9980.02</v>
      </c>
      <c r="K2603" s="27">
        <v>1500000</v>
      </c>
    </row>
    <row r="2604" spans="1:11" ht="15" customHeight="1" x14ac:dyDescent="0.2">
      <c r="A2604" t="s">
        <v>5788</v>
      </c>
      <c r="B2604" t="s">
        <v>5789</v>
      </c>
      <c r="C2604">
        <v>2024</v>
      </c>
      <c r="D2604" s="18">
        <v>45523</v>
      </c>
      <c r="E2604" s="18">
        <v>45887</v>
      </c>
      <c r="F2604" s="18" t="s">
        <v>611</v>
      </c>
      <c r="G2604" t="s">
        <v>100</v>
      </c>
      <c r="H2604">
        <v>2</v>
      </c>
      <c r="I2604">
        <v>4</v>
      </c>
      <c r="J2604" s="27">
        <v>13425.39</v>
      </c>
      <c r="K2604" s="27">
        <v>1000000</v>
      </c>
    </row>
    <row r="2605" spans="1:11" ht="15" customHeight="1" x14ac:dyDescent="0.2">
      <c r="A2605" t="s">
        <v>5790</v>
      </c>
      <c r="B2605" t="s">
        <v>5791</v>
      </c>
      <c r="C2605">
        <v>2024</v>
      </c>
      <c r="D2605" s="18">
        <v>45523</v>
      </c>
      <c r="E2605" s="18">
        <v>45887</v>
      </c>
      <c r="F2605" s="18" t="s">
        <v>611</v>
      </c>
      <c r="G2605" t="s">
        <v>100</v>
      </c>
      <c r="H2605">
        <v>1</v>
      </c>
      <c r="I2605">
        <v>1</v>
      </c>
      <c r="J2605" s="27">
        <v>128161.1</v>
      </c>
      <c r="K2605" s="27">
        <v>10000000</v>
      </c>
    </row>
    <row r="2606" spans="1:11" ht="15" customHeight="1" x14ac:dyDescent="0.2">
      <c r="A2606" t="s">
        <v>5792</v>
      </c>
      <c r="B2606" t="s">
        <v>5793</v>
      </c>
      <c r="C2606">
        <v>2024</v>
      </c>
      <c r="D2606" s="18">
        <v>45523</v>
      </c>
      <c r="E2606" s="18">
        <v>45887</v>
      </c>
      <c r="F2606" s="18" t="s">
        <v>611</v>
      </c>
      <c r="G2606" t="s">
        <v>101</v>
      </c>
      <c r="H2606">
        <v>3</v>
      </c>
      <c r="I2606">
        <v>6</v>
      </c>
      <c r="J2606" s="27">
        <v>7961.88</v>
      </c>
      <c r="K2606" s="27">
        <v>500000</v>
      </c>
    </row>
    <row r="2607" spans="1:11" ht="15" customHeight="1" x14ac:dyDescent="0.2">
      <c r="A2607" t="s">
        <v>5794</v>
      </c>
      <c r="B2607" t="s">
        <v>5795</v>
      </c>
      <c r="C2607">
        <v>2024</v>
      </c>
      <c r="D2607" s="18">
        <v>45523</v>
      </c>
      <c r="E2607" s="18">
        <v>45887</v>
      </c>
      <c r="F2607" s="18" t="s">
        <v>611</v>
      </c>
      <c r="G2607" t="s">
        <v>101</v>
      </c>
      <c r="H2607">
        <v>3</v>
      </c>
      <c r="I2607">
        <v>6</v>
      </c>
      <c r="J2607" s="27">
        <v>58269</v>
      </c>
      <c r="K2607" s="27">
        <v>4000000</v>
      </c>
    </row>
    <row r="2608" spans="1:11" ht="15" customHeight="1" x14ac:dyDescent="0.2">
      <c r="A2608" t="s">
        <v>5796</v>
      </c>
      <c r="B2608" t="s">
        <v>5797</v>
      </c>
      <c r="C2608">
        <v>2024</v>
      </c>
      <c r="D2608" s="18">
        <v>45523</v>
      </c>
      <c r="E2608" s="18">
        <v>45887</v>
      </c>
      <c r="F2608" s="18" t="s">
        <v>611</v>
      </c>
      <c r="G2608" t="s">
        <v>99</v>
      </c>
      <c r="H2608">
        <v>1</v>
      </c>
      <c r="I2608">
        <v>2</v>
      </c>
      <c r="J2608" s="27">
        <v>25560.68</v>
      </c>
      <c r="K2608" s="27">
        <v>3000000</v>
      </c>
    </row>
    <row r="2609" spans="1:11" ht="15" customHeight="1" x14ac:dyDescent="0.2">
      <c r="A2609" t="s">
        <v>5798</v>
      </c>
      <c r="B2609" t="s">
        <v>5799</v>
      </c>
      <c r="C2609">
        <v>2024</v>
      </c>
      <c r="D2609" s="18">
        <v>45523</v>
      </c>
      <c r="E2609" s="18">
        <v>45887</v>
      </c>
      <c r="F2609" s="18" t="s">
        <v>611</v>
      </c>
      <c r="G2609" t="s">
        <v>101</v>
      </c>
      <c r="H2609">
        <v>3</v>
      </c>
      <c r="I2609">
        <v>3</v>
      </c>
      <c r="J2609" s="27">
        <v>53535.49</v>
      </c>
      <c r="K2609" s="27">
        <v>3500000</v>
      </c>
    </row>
    <row r="2610" spans="1:11" ht="15" customHeight="1" x14ac:dyDescent="0.2">
      <c r="A2610" t="s">
        <v>5800</v>
      </c>
      <c r="B2610" t="s">
        <v>5801</v>
      </c>
      <c r="C2610">
        <v>2024</v>
      </c>
      <c r="D2610" s="18">
        <v>45523</v>
      </c>
      <c r="E2610" s="18">
        <v>45887</v>
      </c>
      <c r="F2610" s="18" t="s">
        <v>611</v>
      </c>
      <c r="G2610" t="s">
        <v>102</v>
      </c>
      <c r="H2610">
        <v>2</v>
      </c>
      <c r="I2610">
        <v>4</v>
      </c>
      <c r="J2610" s="27">
        <v>23941.25</v>
      </c>
      <c r="K2610" s="27">
        <v>3000000</v>
      </c>
    </row>
    <row r="2611" spans="1:11" ht="15" customHeight="1" x14ac:dyDescent="0.2">
      <c r="A2611" t="s">
        <v>5802</v>
      </c>
      <c r="B2611" t="s">
        <v>5803</v>
      </c>
      <c r="C2611">
        <v>2024</v>
      </c>
      <c r="D2611" s="18">
        <v>45523</v>
      </c>
      <c r="E2611" s="18">
        <v>45887</v>
      </c>
      <c r="F2611" s="18" t="s">
        <v>611</v>
      </c>
      <c r="G2611" t="s">
        <v>101</v>
      </c>
      <c r="H2611">
        <v>1</v>
      </c>
      <c r="I2611">
        <v>1</v>
      </c>
      <c r="J2611" s="27">
        <v>74359.399999999994</v>
      </c>
      <c r="K2611" s="27">
        <v>4500000</v>
      </c>
    </row>
    <row r="2612" spans="1:11" ht="15" customHeight="1" x14ac:dyDescent="0.2">
      <c r="A2612" t="s">
        <v>5804</v>
      </c>
      <c r="B2612" t="s">
        <v>5805</v>
      </c>
      <c r="C2612">
        <v>2024</v>
      </c>
      <c r="D2612" s="18">
        <v>45523</v>
      </c>
      <c r="E2612" s="18">
        <v>45887</v>
      </c>
      <c r="F2612" s="18" t="s">
        <v>611</v>
      </c>
      <c r="G2612" t="s">
        <v>101</v>
      </c>
      <c r="H2612">
        <v>2</v>
      </c>
      <c r="I2612">
        <v>2</v>
      </c>
      <c r="J2612" s="27">
        <v>70275.539999999994</v>
      </c>
      <c r="K2612" s="27">
        <v>5000000</v>
      </c>
    </row>
    <row r="2613" spans="1:11" ht="15" customHeight="1" x14ac:dyDescent="0.2">
      <c r="A2613" t="s">
        <v>5806</v>
      </c>
      <c r="B2613" t="s">
        <v>5807</v>
      </c>
      <c r="C2613">
        <v>2024</v>
      </c>
      <c r="D2613" s="18">
        <v>45524</v>
      </c>
      <c r="E2613" s="18">
        <v>45888</v>
      </c>
      <c r="F2613" s="18" t="s">
        <v>611</v>
      </c>
      <c r="G2613" t="s">
        <v>100</v>
      </c>
      <c r="H2613">
        <v>3</v>
      </c>
      <c r="I2613">
        <v>3</v>
      </c>
      <c r="J2613" s="27">
        <v>24604.2</v>
      </c>
      <c r="K2613" s="27">
        <v>2000000</v>
      </c>
    </row>
    <row r="2614" spans="1:11" ht="15" customHeight="1" x14ac:dyDescent="0.2">
      <c r="A2614" t="s">
        <v>5808</v>
      </c>
      <c r="B2614" t="s">
        <v>5809</v>
      </c>
      <c r="C2614">
        <v>2024</v>
      </c>
      <c r="D2614" s="18">
        <v>45524</v>
      </c>
      <c r="E2614" s="18">
        <v>45888</v>
      </c>
      <c r="F2614" s="18" t="s">
        <v>611</v>
      </c>
      <c r="G2614" t="s">
        <v>100</v>
      </c>
      <c r="H2614">
        <v>1</v>
      </c>
      <c r="I2614">
        <v>2</v>
      </c>
      <c r="J2614" s="27">
        <v>66090.94</v>
      </c>
      <c r="K2614" s="27">
        <v>5000000</v>
      </c>
    </row>
    <row r="2615" spans="1:11" ht="15" customHeight="1" x14ac:dyDescent="0.2">
      <c r="A2615" t="s">
        <v>5810</v>
      </c>
      <c r="B2615" t="s">
        <v>5811</v>
      </c>
      <c r="C2615">
        <v>2024</v>
      </c>
      <c r="D2615" s="18">
        <v>45524</v>
      </c>
      <c r="E2615" s="18">
        <v>45888</v>
      </c>
      <c r="F2615" s="18" t="s">
        <v>611</v>
      </c>
      <c r="G2615" t="s">
        <v>102</v>
      </c>
      <c r="H2615">
        <v>1</v>
      </c>
      <c r="I2615">
        <v>1</v>
      </c>
      <c r="J2615" s="27">
        <v>29879.06</v>
      </c>
      <c r="K2615" s="27">
        <v>4000000</v>
      </c>
    </row>
    <row r="2616" spans="1:11" ht="15" customHeight="1" x14ac:dyDescent="0.2">
      <c r="A2616" t="s">
        <v>5812</v>
      </c>
      <c r="B2616" t="s">
        <v>5813</v>
      </c>
      <c r="C2616">
        <v>2024</v>
      </c>
      <c r="D2616" s="18">
        <v>45524</v>
      </c>
      <c r="E2616" s="18">
        <v>45888</v>
      </c>
      <c r="F2616" s="18" t="s">
        <v>611</v>
      </c>
      <c r="G2616" t="s">
        <v>100</v>
      </c>
      <c r="H2616">
        <v>3</v>
      </c>
      <c r="I2616">
        <v>3</v>
      </c>
      <c r="J2616" s="27">
        <v>26423.34</v>
      </c>
      <c r="K2616" s="27">
        <v>2000000</v>
      </c>
    </row>
    <row r="2617" spans="1:11" ht="15" customHeight="1" x14ac:dyDescent="0.2">
      <c r="A2617" t="s">
        <v>5814</v>
      </c>
      <c r="B2617" t="s">
        <v>5815</v>
      </c>
      <c r="C2617">
        <v>2024</v>
      </c>
      <c r="D2617" s="18">
        <v>45524</v>
      </c>
      <c r="E2617" s="18">
        <v>45888</v>
      </c>
      <c r="F2617" s="18" t="s">
        <v>611</v>
      </c>
      <c r="G2617" t="s">
        <v>100</v>
      </c>
      <c r="H2617">
        <v>1</v>
      </c>
      <c r="I2617">
        <v>1</v>
      </c>
      <c r="J2617" s="27">
        <v>24743.32</v>
      </c>
      <c r="K2617" s="27">
        <v>2000000</v>
      </c>
    </row>
    <row r="2618" spans="1:11" ht="15" customHeight="1" x14ac:dyDescent="0.2">
      <c r="A2618" t="s">
        <v>5816</v>
      </c>
      <c r="B2618" t="s">
        <v>5817</v>
      </c>
      <c r="C2618">
        <v>2024</v>
      </c>
      <c r="D2618" s="18">
        <v>45524</v>
      </c>
      <c r="E2618" s="18">
        <v>45888</v>
      </c>
      <c r="F2618" s="18" t="s">
        <v>611</v>
      </c>
      <c r="G2618" t="s">
        <v>100</v>
      </c>
      <c r="H2618">
        <v>2</v>
      </c>
      <c r="I2618">
        <v>2</v>
      </c>
      <c r="J2618" s="27">
        <v>52433.66</v>
      </c>
      <c r="K2618" s="27">
        <v>4000000</v>
      </c>
    </row>
    <row r="2619" spans="1:11" ht="15" customHeight="1" x14ac:dyDescent="0.2">
      <c r="A2619" t="s">
        <v>5818</v>
      </c>
      <c r="B2619" t="s">
        <v>5819</v>
      </c>
      <c r="C2619">
        <v>2024</v>
      </c>
      <c r="D2619" s="18">
        <v>45524</v>
      </c>
      <c r="E2619" s="18">
        <v>45888</v>
      </c>
      <c r="F2619" s="18" t="s">
        <v>611</v>
      </c>
      <c r="G2619" t="s">
        <v>99</v>
      </c>
      <c r="H2619">
        <v>3</v>
      </c>
      <c r="I2619">
        <v>3</v>
      </c>
      <c r="J2619" s="27">
        <v>34073.5</v>
      </c>
      <c r="K2619" s="27">
        <v>4000000</v>
      </c>
    </row>
    <row r="2620" spans="1:11" ht="15" customHeight="1" x14ac:dyDescent="0.2">
      <c r="A2620" t="s">
        <v>5820</v>
      </c>
      <c r="B2620" t="s">
        <v>5821</v>
      </c>
      <c r="C2620">
        <v>2024</v>
      </c>
      <c r="D2620" s="18">
        <v>45524</v>
      </c>
      <c r="E2620" s="18">
        <v>45888</v>
      </c>
      <c r="F2620" s="18" t="s">
        <v>611</v>
      </c>
      <c r="G2620" t="s">
        <v>100</v>
      </c>
      <c r="H2620">
        <v>1</v>
      </c>
      <c r="I2620">
        <v>1</v>
      </c>
      <c r="J2620" s="27">
        <v>57533.84</v>
      </c>
      <c r="K2620" s="27">
        <v>4500000</v>
      </c>
    </row>
    <row r="2621" spans="1:11" ht="15" customHeight="1" x14ac:dyDescent="0.2">
      <c r="A2621" t="s">
        <v>5822</v>
      </c>
      <c r="B2621" t="s">
        <v>5823</v>
      </c>
      <c r="C2621">
        <v>2024</v>
      </c>
      <c r="D2621" s="18">
        <v>45524</v>
      </c>
      <c r="E2621" s="18">
        <v>45888</v>
      </c>
      <c r="F2621" s="18" t="s">
        <v>611</v>
      </c>
      <c r="G2621" t="s">
        <v>100</v>
      </c>
      <c r="H2621">
        <v>2</v>
      </c>
      <c r="I2621">
        <v>4</v>
      </c>
      <c r="J2621" s="27">
        <v>66884.009999999995</v>
      </c>
      <c r="K2621" s="27">
        <v>5000000</v>
      </c>
    </row>
    <row r="2622" spans="1:11" ht="15" customHeight="1" x14ac:dyDescent="0.2">
      <c r="A2622" t="s">
        <v>5824</v>
      </c>
      <c r="B2622" t="s">
        <v>5825</v>
      </c>
      <c r="C2622">
        <v>2024</v>
      </c>
      <c r="D2622" s="18">
        <v>45524</v>
      </c>
      <c r="E2622" s="18">
        <v>45888</v>
      </c>
      <c r="F2622" s="18" t="s">
        <v>611</v>
      </c>
      <c r="G2622" t="s">
        <v>99</v>
      </c>
      <c r="H2622">
        <v>1</v>
      </c>
      <c r="I2622">
        <v>2</v>
      </c>
      <c r="J2622" s="27">
        <v>20982.28</v>
      </c>
      <c r="K2622" s="27">
        <v>2500000</v>
      </c>
    </row>
    <row r="2623" spans="1:11" ht="15" customHeight="1" x14ac:dyDescent="0.2">
      <c r="A2623" t="s">
        <v>5826</v>
      </c>
      <c r="B2623" t="s">
        <v>5827</v>
      </c>
      <c r="C2623">
        <v>2024</v>
      </c>
      <c r="D2623" s="18">
        <v>45524</v>
      </c>
      <c r="E2623" s="18">
        <v>45888</v>
      </c>
      <c r="F2623" s="18" t="s">
        <v>611</v>
      </c>
      <c r="G2623" t="s">
        <v>100</v>
      </c>
      <c r="H2623">
        <v>2</v>
      </c>
      <c r="I2623">
        <v>4</v>
      </c>
      <c r="J2623" s="27">
        <v>47333.919999999998</v>
      </c>
      <c r="K2623" s="27">
        <v>4000000</v>
      </c>
    </row>
    <row r="2624" spans="1:11" ht="15" customHeight="1" x14ac:dyDescent="0.2">
      <c r="A2624" t="s">
        <v>5828</v>
      </c>
      <c r="B2624" t="s">
        <v>5829</v>
      </c>
      <c r="C2624">
        <v>2024</v>
      </c>
      <c r="D2624" s="18">
        <v>45525</v>
      </c>
      <c r="E2624" s="18">
        <v>45889</v>
      </c>
      <c r="F2624" s="18" t="s">
        <v>611</v>
      </c>
      <c r="G2624" t="s">
        <v>101</v>
      </c>
      <c r="H2624">
        <v>1</v>
      </c>
      <c r="I2624">
        <v>1</v>
      </c>
      <c r="J2624" s="27">
        <v>16724.84</v>
      </c>
      <c r="K2624" s="27">
        <v>1000000</v>
      </c>
    </row>
    <row r="2625" spans="1:11" ht="15" customHeight="1" x14ac:dyDescent="0.2">
      <c r="A2625" t="s">
        <v>5830</v>
      </c>
      <c r="B2625" t="s">
        <v>5831</v>
      </c>
      <c r="C2625">
        <v>2024</v>
      </c>
      <c r="D2625" s="18">
        <v>45525</v>
      </c>
      <c r="E2625" s="18">
        <v>45889</v>
      </c>
      <c r="F2625" s="18" t="s">
        <v>611</v>
      </c>
      <c r="G2625" t="s">
        <v>99</v>
      </c>
      <c r="H2625">
        <v>1</v>
      </c>
      <c r="I2625">
        <v>2</v>
      </c>
      <c r="J2625" s="27">
        <v>4360.6000000000004</v>
      </c>
      <c r="K2625" s="27">
        <v>500000</v>
      </c>
    </row>
    <row r="2626" spans="1:11" ht="15" customHeight="1" x14ac:dyDescent="0.2">
      <c r="A2626" t="s">
        <v>5832</v>
      </c>
      <c r="B2626" t="s">
        <v>5833</v>
      </c>
      <c r="C2626">
        <v>2024</v>
      </c>
      <c r="D2626" s="18">
        <v>45525</v>
      </c>
      <c r="E2626" s="18">
        <v>45889</v>
      </c>
      <c r="F2626" s="18" t="s">
        <v>611</v>
      </c>
      <c r="G2626" t="s">
        <v>102</v>
      </c>
      <c r="H2626">
        <v>2</v>
      </c>
      <c r="I2626">
        <v>2</v>
      </c>
      <c r="J2626" s="27">
        <v>26751.74</v>
      </c>
      <c r="K2626" s="27">
        <v>4000000</v>
      </c>
    </row>
    <row r="2627" spans="1:11" ht="15" customHeight="1" x14ac:dyDescent="0.2">
      <c r="A2627" t="s">
        <v>5834</v>
      </c>
      <c r="B2627" t="s">
        <v>5835</v>
      </c>
      <c r="C2627">
        <v>2024</v>
      </c>
      <c r="D2627" s="18">
        <v>45525</v>
      </c>
      <c r="E2627" s="18">
        <v>45889</v>
      </c>
      <c r="F2627" s="18" t="s">
        <v>611</v>
      </c>
      <c r="G2627" t="s">
        <v>101</v>
      </c>
      <c r="H2627">
        <v>3</v>
      </c>
      <c r="I2627">
        <v>6</v>
      </c>
      <c r="J2627" s="27">
        <v>77901.710000000006</v>
      </c>
      <c r="K2627" s="27">
        <v>5000000</v>
      </c>
    </row>
    <row r="2628" spans="1:11" ht="15" customHeight="1" x14ac:dyDescent="0.2">
      <c r="A2628" t="s">
        <v>5836</v>
      </c>
      <c r="B2628" t="s">
        <v>5837</v>
      </c>
      <c r="C2628">
        <v>2024</v>
      </c>
      <c r="D2628" s="18">
        <v>45526</v>
      </c>
      <c r="E2628" s="18">
        <v>45890</v>
      </c>
      <c r="F2628" s="18" t="s">
        <v>608</v>
      </c>
      <c r="G2628" t="s">
        <v>102</v>
      </c>
      <c r="H2628">
        <v>2</v>
      </c>
      <c r="I2628">
        <v>2</v>
      </c>
      <c r="J2628" s="27">
        <v>18984.61</v>
      </c>
      <c r="K2628" s="27">
        <v>2500000</v>
      </c>
    </row>
    <row r="2629" spans="1:11" ht="15" customHeight="1" x14ac:dyDescent="0.2">
      <c r="A2629" t="s">
        <v>5838</v>
      </c>
      <c r="B2629" t="s">
        <v>5839</v>
      </c>
      <c r="C2629">
        <v>2024</v>
      </c>
      <c r="D2629" s="18">
        <v>45526</v>
      </c>
      <c r="E2629" s="18">
        <v>45890</v>
      </c>
      <c r="F2629" s="18" t="s">
        <v>608</v>
      </c>
      <c r="G2629" t="s">
        <v>101</v>
      </c>
      <c r="H2629">
        <v>3</v>
      </c>
      <c r="I2629">
        <v>6</v>
      </c>
      <c r="J2629" s="27">
        <v>16344.87</v>
      </c>
      <c r="K2629" s="27">
        <v>1000000</v>
      </c>
    </row>
    <row r="2630" spans="1:11" ht="15" customHeight="1" x14ac:dyDescent="0.2">
      <c r="A2630" t="s">
        <v>5840</v>
      </c>
      <c r="B2630" t="s">
        <v>5841</v>
      </c>
      <c r="C2630">
        <v>2024</v>
      </c>
      <c r="D2630" s="18">
        <v>45526</v>
      </c>
      <c r="E2630" s="18">
        <v>45890</v>
      </c>
      <c r="F2630" s="18" t="s">
        <v>611</v>
      </c>
      <c r="G2630" t="s">
        <v>99</v>
      </c>
      <c r="H2630">
        <v>1</v>
      </c>
      <c r="I2630">
        <v>1</v>
      </c>
      <c r="J2630" s="27">
        <v>8068.86</v>
      </c>
      <c r="K2630" s="27">
        <v>1000000</v>
      </c>
    </row>
    <row r="2631" spans="1:11" ht="15" customHeight="1" x14ac:dyDescent="0.2">
      <c r="A2631" t="s">
        <v>5842</v>
      </c>
      <c r="B2631" t="s">
        <v>5843</v>
      </c>
      <c r="C2631">
        <v>2024</v>
      </c>
      <c r="D2631" s="18">
        <v>45526</v>
      </c>
      <c r="E2631" s="18">
        <v>45890</v>
      </c>
      <c r="F2631" s="18" t="s">
        <v>611</v>
      </c>
      <c r="G2631" t="s">
        <v>102</v>
      </c>
      <c r="H2631">
        <v>3</v>
      </c>
      <c r="I2631">
        <v>3</v>
      </c>
      <c r="J2631" s="27">
        <v>3459.86</v>
      </c>
      <c r="K2631" s="27">
        <v>500000</v>
      </c>
    </row>
    <row r="2632" spans="1:11" ht="15" customHeight="1" x14ac:dyDescent="0.2">
      <c r="A2632" t="s">
        <v>5844</v>
      </c>
      <c r="B2632" t="s">
        <v>5845</v>
      </c>
      <c r="C2632">
        <v>2024</v>
      </c>
      <c r="D2632" s="18">
        <v>45526</v>
      </c>
      <c r="E2632" s="18">
        <v>45890</v>
      </c>
      <c r="F2632" s="18" t="s">
        <v>611</v>
      </c>
      <c r="G2632" t="s">
        <v>102</v>
      </c>
      <c r="H2632">
        <v>2</v>
      </c>
      <c r="I2632">
        <v>2</v>
      </c>
      <c r="J2632" s="27">
        <v>28414.54</v>
      </c>
      <c r="K2632" s="27">
        <v>4000000</v>
      </c>
    </row>
    <row r="2633" spans="1:11" ht="15" customHeight="1" x14ac:dyDescent="0.2">
      <c r="A2633" t="s">
        <v>5846</v>
      </c>
      <c r="B2633" t="s">
        <v>5847</v>
      </c>
      <c r="C2633">
        <v>2024</v>
      </c>
      <c r="D2633" s="18">
        <v>45526</v>
      </c>
      <c r="E2633" s="18">
        <v>45890</v>
      </c>
      <c r="F2633" s="18" t="s">
        <v>611</v>
      </c>
      <c r="G2633" t="s">
        <v>101</v>
      </c>
      <c r="H2633">
        <v>1</v>
      </c>
      <c r="I2633">
        <v>2</v>
      </c>
      <c r="J2633" s="27">
        <v>65516.22</v>
      </c>
      <c r="K2633" s="27">
        <v>4000000</v>
      </c>
    </row>
    <row r="2634" spans="1:11" ht="15" customHeight="1" x14ac:dyDescent="0.2">
      <c r="A2634" t="s">
        <v>5848</v>
      </c>
      <c r="B2634" t="s">
        <v>5849</v>
      </c>
      <c r="C2634">
        <v>2024</v>
      </c>
      <c r="D2634" s="18">
        <v>45526</v>
      </c>
      <c r="E2634" s="18">
        <v>45890</v>
      </c>
      <c r="F2634" s="18" t="s">
        <v>611</v>
      </c>
      <c r="G2634" t="s">
        <v>99</v>
      </c>
      <c r="H2634">
        <v>1</v>
      </c>
      <c r="I2634">
        <v>1</v>
      </c>
      <c r="J2634" s="27">
        <v>45874.05</v>
      </c>
      <c r="K2634" s="27">
        <v>5000000</v>
      </c>
    </row>
    <row r="2635" spans="1:11" ht="15" customHeight="1" x14ac:dyDescent="0.2">
      <c r="A2635" t="s">
        <v>5850</v>
      </c>
      <c r="B2635" t="s">
        <v>5851</v>
      </c>
      <c r="C2635">
        <v>2024</v>
      </c>
      <c r="D2635" s="18">
        <v>45526</v>
      </c>
      <c r="E2635" s="18">
        <v>45890</v>
      </c>
      <c r="F2635" s="18" t="s">
        <v>611</v>
      </c>
      <c r="G2635" t="s">
        <v>101</v>
      </c>
      <c r="H2635">
        <v>1</v>
      </c>
      <c r="I2635">
        <v>1</v>
      </c>
      <c r="J2635" s="27">
        <v>48398.31</v>
      </c>
      <c r="K2635" s="27">
        <v>3000000</v>
      </c>
    </row>
    <row r="2636" spans="1:11" ht="15" customHeight="1" x14ac:dyDescent="0.2">
      <c r="A2636" t="s">
        <v>5852</v>
      </c>
      <c r="B2636" t="s">
        <v>5853</v>
      </c>
      <c r="C2636">
        <v>2024</v>
      </c>
      <c r="D2636" s="18">
        <v>45527</v>
      </c>
      <c r="E2636" s="18">
        <v>45891</v>
      </c>
      <c r="F2636" s="18" t="s">
        <v>611</v>
      </c>
      <c r="G2636" t="s">
        <v>101</v>
      </c>
      <c r="H2636">
        <v>2</v>
      </c>
      <c r="I2636">
        <v>2</v>
      </c>
      <c r="J2636" s="27">
        <v>72040.83</v>
      </c>
      <c r="K2636" s="27">
        <v>4500000</v>
      </c>
    </row>
    <row r="2637" spans="1:11" ht="15" customHeight="1" x14ac:dyDescent="0.2">
      <c r="A2637" t="s">
        <v>5854</v>
      </c>
      <c r="B2637" t="s">
        <v>5855</v>
      </c>
      <c r="C2637">
        <v>2024</v>
      </c>
      <c r="D2637" s="18">
        <v>45527</v>
      </c>
      <c r="E2637" s="18">
        <v>45891</v>
      </c>
      <c r="F2637" s="18" t="s">
        <v>611</v>
      </c>
      <c r="G2637" t="s">
        <v>100</v>
      </c>
      <c r="H2637">
        <v>1</v>
      </c>
      <c r="I2637">
        <v>2</v>
      </c>
      <c r="J2637" s="27">
        <v>50471.51</v>
      </c>
      <c r="K2637" s="27">
        <v>4000000</v>
      </c>
    </row>
    <row r="2638" spans="1:11" ht="15" customHeight="1" x14ac:dyDescent="0.2">
      <c r="A2638" t="s">
        <v>5856</v>
      </c>
      <c r="B2638" t="s">
        <v>5857</v>
      </c>
      <c r="C2638">
        <v>2024</v>
      </c>
      <c r="D2638" s="18">
        <v>45527</v>
      </c>
      <c r="E2638" s="18">
        <v>45891</v>
      </c>
      <c r="F2638" s="18" t="s">
        <v>611</v>
      </c>
      <c r="G2638" t="s">
        <v>100</v>
      </c>
      <c r="H2638">
        <v>2</v>
      </c>
      <c r="I2638">
        <v>4</v>
      </c>
      <c r="J2638" s="27">
        <v>13467.39</v>
      </c>
      <c r="K2638" s="27">
        <v>1000000</v>
      </c>
    </row>
    <row r="2639" spans="1:11" ht="15" customHeight="1" x14ac:dyDescent="0.2">
      <c r="A2639" t="s">
        <v>5858</v>
      </c>
      <c r="B2639" t="s">
        <v>5859</v>
      </c>
      <c r="C2639">
        <v>2024</v>
      </c>
      <c r="D2639" s="18">
        <v>45527</v>
      </c>
      <c r="E2639" s="18">
        <v>45891</v>
      </c>
      <c r="F2639" s="18" t="s">
        <v>611</v>
      </c>
      <c r="G2639" t="s">
        <v>99</v>
      </c>
      <c r="H2639">
        <v>1</v>
      </c>
      <c r="I2639">
        <v>1</v>
      </c>
      <c r="J2639" s="27">
        <v>40734.47</v>
      </c>
      <c r="K2639" s="27">
        <v>4500000</v>
      </c>
    </row>
    <row r="2640" spans="1:11" ht="15" customHeight="1" x14ac:dyDescent="0.2">
      <c r="A2640" t="s">
        <v>5860</v>
      </c>
      <c r="B2640" t="s">
        <v>5861</v>
      </c>
      <c r="C2640">
        <v>2024</v>
      </c>
      <c r="D2640" s="18">
        <v>45527</v>
      </c>
      <c r="E2640" s="18">
        <v>45891</v>
      </c>
      <c r="F2640" s="18" t="s">
        <v>611</v>
      </c>
      <c r="G2640" t="s">
        <v>99</v>
      </c>
      <c r="H2640">
        <v>1</v>
      </c>
      <c r="I2640">
        <v>2</v>
      </c>
      <c r="J2640" s="27">
        <v>30903.43</v>
      </c>
      <c r="K2640" s="27">
        <v>4000000</v>
      </c>
    </row>
    <row r="2641" spans="1:11" ht="15" customHeight="1" x14ac:dyDescent="0.2">
      <c r="A2641" t="s">
        <v>5862</v>
      </c>
      <c r="B2641" t="s">
        <v>5863</v>
      </c>
      <c r="C2641">
        <v>2024</v>
      </c>
      <c r="D2641" s="18">
        <v>45527</v>
      </c>
      <c r="E2641" s="18">
        <v>45891</v>
      </c>
      <c r="F2641" s="18" t="s">
        <v>611</v>
      </c>
      <c r="G2641" t="s">
        <v>100</v>
      </c>
      <c r="H2641">
        <v>1</v>
      </c>
      <c r="I2641">
        <v>2</v>
      </c>
      <c r="J2641" s="27">
        <v>55499.98</v>
      </c>
      <c r="K2641" s="27">
        <v>5000000</v>
      </c>
    </row>
    <row r="2642" spans="1:11" ht="15" customHeight="1" x14ac:dyDescent="0.2">
      <c r="A2642" t="s">
        <v>5864</v>
      </c>
      <c r="B2642" t="s">
        <v>5865</v>
      </c>
      <c r="C2642">
        <v>2024</v>
      </c>
      <c r="D2642" s="18">
        <v>45527</v>
      </c>
      <c r="E2642" s="18">
        <v>45891</v>
      </c>
      <c r="F2642" s="18" t="s">
        <v>611</v>
      </c>
      <c r="G2642" t="s">
        <v>100</v>
      </c>
      <c r="H2642">
        <v>1</v>
      </c>
      <c r="I2642">
        <v>2</v>
      </c>
      <c r="J2642" s="27">
        <v>50675.23</v>
      </c>
      <c r="K2642" s="27">
        <v>4000000</v>
      </c>
    </row>
    <row r="2643" spans="1:11" ht="15" customHeight="1" x14ac:dyDescent="0.2">
      <c r="A2643" t="s">
        <v>5866</v>
      </c>
      <c r="B2643" t="s">
        <v>5867</v>
      </c>
      <c r="C2643">
        <v>2024</v>
      </c>
      <c r="D2643" s="18">
        <v>45527</v>
      </c>
      <c r="E2643" s="18">
        <v>45891</v>
      </c>
      <c r="F2643" s="18" t="s">
        <v>611</v>
      </c>
      <c r="G2643" t="s">
        <v>99</v>
      </c>
      <c r="H2643">
        <v>1</v>
      </c>
      <c r="I2643">
        <v>2</v>
      </c>
      <c r="J2643" s="27">
        <v>4413.01</v>
      </c>
      <c r="K2643" s="27">
        <v>500000</v>
      </c>
    </row>
    <row r="2644" spans="1:11" ht="15" customHeight="1" x14ac:dyDescent="0.2">
      <c r="A2644" t="s">
        <v>5868</v>
      </c>
      <c r="B2644" t="s">
        <v>5869</v>
      </c>
      <c r="C2644">
        <v>2024</v>
      </c>
      <c r="D2644" s="18">
        <v>45528</v>
      </c>
      <c r="E2644" s="18">
        <v>45892</v>
      </c>
      <c r="F2644" s="18" t="s">
        <v>608</v>
      </c>
      <c r="G2644" t="s">
        <v>100</v>
      </c>
      <c r="H2644">
        <v>2</v>
      </c>
      <c r="I2644">
        <v>2</v>
      </c>
      <c r="J2644" s="27">
        <v>121016.7</v>
      </c>
      <c r="K2644" s="27">
        <v>10000000</v>
      </c>
    </row>
    <row r="2645" spans="1:11" ht="15" customHeight="1" x14ac:dyDescent="0.2">
      <c r="A2645" t="s">
        <v>5870</v>
      </c>
      <c r="B2645" t="s">
        <v>5871</v>
      </c>
      <c r="C2645">
        <v>2024</v>
      </c>
      <c r="D2645" s="18">
        <v>45528</v>
      </c>
      <c r="E2645" s="18">
        <v>45892</v>
      </c>
      <c r="F2645" s="18" t="s">
        <v>608</v>
      </c>
      <c r="G2645" t="s">
        <v>100</v>
      </c>
      <c r="H2645">
        <v>2</v>
      </c>
      <c r="I2645">
        <v>2</v>
      </c>
      <c r="J2645" s="27">
        <v>63793.74</v>
      </c>
      <c r="K2645" s="27">
        <v>5000000</v>
      </c>
    </row>
    <row r="2646" spans="1:11" ht="15" customHeight="1" x14ac:dyDescent="0.2">
      <c r="A2646" t="s">
        <v>5872</v>
      </c>
      <c r="B2646" t="s">
        <v>5873</v>
      </c>
      <c r="C2646">
        <v>2024</v>
      </c>
      <c r="D2646" s="18">
        <v>45528</v>
      </c>
      <c r="E2646" s="18">
        <v>45892</v>
      </c>
      <c r="F2646" s="18" t="s">
        <v>611</v>
      </c>
      <c r="G2646" t="s">
        <v>100</v>
      </c>
      <c r="H2646">
        <v>2</v>
      </c>
      <c r="I2646">
        <v>4</v>
      </c>
      <c r="J2646" s="27">
        <v>11496.53</v>
      </c>
      <c r="K2646" s="27">
        <v>1000000</v>
      </c>
    </row>
    <row r="2647" spans="1:11" ht="15" customHeight="1" x14ac:dyDescent="0.2">
      <c r="A2647" t="s">
        <v>5874</v>
      </c>
      <c r="B2647" t="s">
        <v>5875</v>
      </c>
      <c r="C2647">
        <v>2024</v>
      </c>
      <c r="D2647" s="18">
        <v>45528</v>
      </c>
      <c r="E2647" s="18">
        <v>45892</v>
      </c>
      <c r="F2647" s="18" t="s">
        <v>611</v>
      </c>
      <c r="G2647" t="s">
        <v>101</v>
      </c>
      <c r="H2647">
        <v>1</v>
      </c>
      <c r="I2647">
        <v>1</v>
      </c>
      <c r="J2647" s="27">
        <v>15144.59</v>
      </c>
      <c r="K2647" s="27">
        <v>1000000</v>
      </c>
    </row>
    <row r="2648" spans="1:11" ht="15" customHeight="1" x14ac:dyDescent="0.2">
      <c r="A2648" t="s">
        <v>5876</v>
      </c>
      <c r="B2648" t="s">
        <v>5877</v>
      </c>
      <c r="C2648">
        <v>2024</v>
      </c>
      <c r="D2648" s="18">
        <v>45528</v>
      </c>
      <c r="E2648" s="18">
        <v>45892</v>
      </c>
      <c r="F2648" s="18" t="s">
        <v>611</v>
      </c>
      <c r="G2648" t="s">
        <v>101</v>
      </c>
      <c r="H2648">
        <v>1</v>
      </c>
      <c r="I2648">
        <v>1</v>
      </c>
      <c r="J2648" s="27">
        <v>160727.49</v>
      </c>
      <c r="K2648" s="27">
        <v>10000000</v>
      </c>
    </row>
    <row r="2649" spans="1:11" ht="15" customHeight="1" x14ac:dyDescent="0.2">
      <c r="A2649" t="s">
        <v>5878</v>
      </c>
      <c r="B2649" t="s">
        <v>5879</v>
      </c>
      <c r="C2649">
        <v>2024</v>
      </c>
      <c r="D2649" s="18">
        <v>45528</v>
      </c>
      <c r="E2649" s="18">
        <v>45892</v>
      </c>
      <c r="F2649" s="18" t="s">
        <v>611</v>
      </c>
      <c r="G2649" t="s">
        <v>102</v>
      </c>
      <c r="H2649">
        <v>1</v>
      </c>
      <c r="I2649">
        <v>2</v>
      </c>
      <c r="J2649" s="27">
        <v>26907.919999999998</v>
      </c>
      <c r="K2649" s="27">
        <v>3500000</v>
      </c>
    </row>
    <row r="2650" spans="1:11" ht="15" customHeight="1" x14ac:dyDescent="0.2">
      <c r="A2650" t="s">
        <v>5880</v>
      </c>
      <c r="B2650" t="s">
        <v>5881</v>
      </c>
      <c r="C2650">
        <v>2024</v>
      </c>
      <c r="D2650" s="18">
        <v>45528</v>
      </c>
      <c r="E2650" s="18">
        <v>45892</v>
      </c>
      <c r="F2650" s="18" t="s">
        <v>611</v>
      </c>
      <c r="G2650" t="s">
        <v>100</v>
      </c>
      <c r="H2650">
        <v>1</v>
      </c>
      <c r="I2650">
        <v>1</v>
      </c>
      <c r="J2650" s="27">
        <v>40276.06</v>
      </c>
      <c r="K2650" s="27">
        <v>3500000</v>
      </c>
    </row>
    <row r="2651" spans="1:11" ht="15" customHeight="1" x14ac:dyDescent="0.2">
      <c r="A2651" t="s">
        <v>5882</v>
      </c>
      <c r="B2651" t="s">
        <v>5883</v>
      </c>
      <c r="C2651">
        <v>2024</v>
      </c>
      <c r="D2651" s="18">
        <v>45528</v>
      </c>
      <c r="E2651" s="18">
        <v>45892</v>
      </c>
      <c r="F2651" s="18" t="s">
        <v>611</v>
      </c>
      <c r="G2651" t="s">
        <v>100</v>
      </c>
      <c r="H2651">
        <v>1</v>
      </c>
      <c r="I2651">
        <v>1</v>
      </c>
      <c r="J2651" s="27">
        <v>48560.39</v>
      </c>
      <c r="K2651" s="27">
        <v>4000000</v>
      </c>
    </row>
    <row r="2652" spans="1:11" ht="15" customHeight="1" x14ac:dyDescent="0.2">
      <c r="A2652" t="s">
        <v>5884</v>
      </c>
      <c r="B2652" t="s">
        <v>5885</v>
      </c>
      <c r="C2652">
        <v>2024</v>
      </c>
      <c r="D2652" s="18">
        <v>45529</v>
      </c>
      <c r="E2652" s="18">
        <v>45893</v>
      </c>
      <c r="F2652" s="18" t="s">
        <v>608</v>
      </c>
      <c r="G2652" t="s">
        <v>100</v>
      </c>
      <c r="H2652">
        <v>2</v>
      </c>
      <c r="I2652">
        <v>4</v>
      </c>
      <c r="J2652" s="27">
        <v>11113.1</v>
      </c>
      <c r="K2652" s="27">
        <v>1000000</v>
      </c>
    </row>
    <row r="2653" spans="1:11" ht="15" customHeight="1" x14ac:dyDescent="0.2">
      <c r="A2653" t="s">
        <v>5886</v>
      </c>
      <c r="B2653" t="s">
        <v>5887</v>
      </c>
      <c r="C2653">
        <v>2024</v>
      </c>
      <c r="D2653" s="18">
        <v>45529</v>
      </c>
      <c r="E2653" s="18">
        <v>45893</v>
      </c>
      <c r="F2653" s="18" t="s">
        <v>611</v>
      </c>
      <c r="G2653" t="s">
        <v>99</v>
      </c>
      <c r="H2653">
        <v>1</v>
      </c>
      <c r="I2653">
        <v>2</v>
      </c>
      <c r="J2653" s="27">
        <v>3808.59</v>
      </c>
      <c r="K2653" s="27">
        <v>500000</v>
      </c>
    </row>
    <row r="2654" spans="1:11" ht="15" customHeight="1" x14ac:dyDescent="0.2">
      <c r="A2654" t="s">
        <v>5888</v>
      </c>
      <c r="B2654" t="s">
        <v>5889</v>
      </c>
      <c r="C2654">
        <v>2024</v>
      </c>
      <c r="D2654" s="18">
        <v>45529</v>
      </c>
      <c r="E2654" s="18">
        <v>45893</v>
      </c>
      <c r="F2654" s="18" t="s">
        <v>611</v>
      </c>
      <c r="G2654" t="s">
        <v>99</v>
      </c>
      <c r="H2654">
        <v>1</v>
      </c>
      <c r="I2654">
        <v>2</v>
      </c>
      <c r="J2654" s="27">
        <v>76975.320000000007</v>
      </c>
      <c r="K2654" s="27">
        <v>10000000</v>
      </c>
    </row>
    <row r="2655" spans="1:11" ht="15" customHeight="1" x14ac:dyDescent="0.2">
      <c r="A2655" t="s">
        <v>5890</v>
      </c>
      <c r="B2655" t="s">
        <v>5891</v>
      </c>
      <c r="C2655">
        <v>2024</v>
      </c>
      <c r="D2655" s="18">
        <v>45530</v>
      </c>
      <c r="E2655" s="18">
        <v>45894</v>
      </c>
      <c r="F2655" s="18" t="s">
        <v>611</v>
      </c>
      <c r="G2655" t="s">
        <v>100</v>
      </c>
      <c r="H2655">
        <v>1</v>
      </c>
      <c r="I2655">
        <v>1</v>
      </c>
      <c r="J2655" s="27">
        <v>53444.81</v>
      </c>
      <c r="K2655" s="27">
        <v>4500000</v>
      </c>
    </row>
    <row r="2656" spans="1:11" ht="15" customHeight="1" x14ac:dyDescent="0.2">
      <c r="A2656" t="s">
        <v>5892</v>
      </c>
      <c r="B2656" t="s">
        <v>5893</v>
      </c>
      <c r="C2656">
        <v>2024</v>
      </c>
      <c r="D2656" s="18">
        <v>45530</v>
      </c>
      <c r="E2656" s="18">
        <v>45894</v>
      </c>
      <c r="F2656" s="18" t="s">
        <v>611</v>
      </c>
      <c r="G2656" t="s">
        <v>99</v>
      </c>
      <c r="H2656">
        <v>1</v>
      </c>
      <c r="I2656">
        <v>2</v>
      </c>
      <c r="J2656" s="27">
        <v>45579.42</v>
      </c>
      <c r="K2656" s="27">
        <v>5000000</v>
      </c>
    </row>
    <row r="2657" spans="1:11" ht="15" customHeight="1" x14ac:dyDescent="0.2">
      <c r="A2657" t="s">
        <v>5894</v>
      </c>
      <c r="B2657" t="s">
        <v>5895</v>
      </c>
      <c r="C2657">
        <v>2024</v>
      </c>
      <c r="D2657" s="18">
        <v>45530</v>
      </c>
      <c r="E2657" s="18">
        <v>45894</v>
      </c>
      <c r="F2657" s="18" t="s">
        <v>611</v>
      </c>
      <c r="G2657" t="s">
        <v>99</v>
      </c>
      <c r="H2657">
        <v>1</v>
      </c>
      <c r="I2657">
        <v>1</v>
      </c>
      <c r="J2657" s="27">
        <v>83067.710000000006</v>
      </c>
      <c r="K2657" s="27">
        <v>10000000</v>
      </c>
    </row>
    <row r="2658" spans="1:11" ht="15" customHeight="1" x14ac:dyDescent="0.2">
      <c r="A2658" t="s">
        <v>5896</v>
      </c>
      <c r="B2658" t="s">
        <v>5897</v>
      </c>
      <c r="C2658">
        <v>2024</v>
      </c>
      <c r="D2658" s="18">
        <v>45530</v>
      </c>
      <c r="E2658" s="18">
        <v>45894</v>
      </c>
      <c r="F2658" s="18" t="s">
        <v>611</v>
      </c>
      <c r="G2658" t="s">
        <v>100</v>
      </c>
      <c r="H2658">
        <v>2</v>
      </c>
      <c r="I2658">
        <v>2</v>
      </c>
      <c r="J2658" s="27">
        <v>25986.33</v>
      </c>
      <c r="K2658" s="27">
        <v>2000000</v>
      </c>
    </row>
    <row r="2659" spans="1:11" ht="15" customHeight="1" x14ac:dyDescent="0.2">
      <c r="A2659" t="s">
        <v>5898</v>
      </c>
      <c r="B2659" t="s">
        <v>5899</v>
      </c>
      <c r="C2659">
        <v>2024</v>
      </c>
      <c r="D2659" s="18">
        <v>45530</v>
      </c>
      <c r="E2659" s="18">
        <v>45894</v>
      </c>
      <c r="F2659" s="18" t="s">
        <v>611</v>
      </c>
      <c r="G2659" t="s">
        <v>100</v>
      </c>
      <c r="H2659">
        <v>1</v>
      </c>
      <c r="I2659">
        <v>1</v>
      </c>
      <c r="J2659" s="27">
        <v>5773.71</v>
      </c>
      <c r="K2659" s="27">
        <v>500000</v>
      </c>
    </row>
    <row r="2660" spans="1:11" ht="15" customHeight="1" x14ac:dyDescent="0.2">
      <c r="A2660" t="s">
        <v>5900</v>
      </c>
      <c r="B2660" t="s">
        <v>5901</v>
      </c>
      <c r="C2660">
        <v>2024</v>
      </c>
      <c r="D2660" s="18">
        <v>45531</v>
      </c>
      <c r="E2660" s="18">
        <v>45895</v>
      </c>
      <c r="F2660" s="18" t="s">
        <v>611</v>
      </c>
      <c r="G2660" t="s">
        <v>99</v>
      </c>
      <c r="H2660">
        <v>1</v>
      </c>
      <c r="I2660">
        <v>2</v>
      </c>
      <c r="J2660" s="27">
        <v>16861.669999999998</v>
      </c>
      <c r="K2660" s="27">
        <v>2000000</v>
      </c>
    </row>
    <row r="2661" spans="1:11" ht="15" customHeight="1" x14ac:dyDescent="0.2">
      <c r="A2661" t="s">
        <v>5902</v>
      </c>
      <c r="B2661" t="s">
        <v>5903</v>
      </c>
      <c r="C2661">
        <v>2024</v>
      </c>
      <c r="D2661" s="18">
        <v>45531</v>
      </c>
      <c r="E2661" s="18">
        <v>45895</v>
      </c>
      <c r="F2661" s="18" t="s">
        <v>611</v>
      </c>
      <c r="G2661" t="s">
        <v>100</v>
      </c>
      <c r="H2661">
        <v>1</v>
      </c>
      <c r="I2661">
        <v>1</v>
      </c>
      <c r="J2661" s="27">
        <v>120883.68</v>
      </c>
      <c r="K2661" s="27">
        <v>10000000</v>
      </c>
    </row>
    <row r="2662" spans="1:11" ht="15" customHeight="1" x14ac:dyDescent="0.2">
      <c r="A2662" t="s">
        <v>5904</v>
      </c>
      <c r="B2662" t="s">
        <v>5905</v>
      </c>
      <c r="C2662">
        <v>2024</v>
      </c>
      <c r="D2662" s="18">
        <v>45531</v>
      </c>
      <c r="E2662" s="18">
        <v>45895</v>
      </c>
      <c r="F2662" s="18" t="s">
        <v>611</v>
      </c>
      <c r="G2662" t="s">
        <v>100</v>
      </c>
      <c r="H2662">
        <v>1</v>
      </c>
      <c r="I2662">
        <v>1</v>
      </c>
      <c r="J2662" s="27">
        <v>17440.97</v>
      </c>
      <c r="K2662" s="27">
        <v>1500000</v>
      </c>
    </row>
    <row r="2663" spans="1:11" ht="15" customHeight="1" x14ac:dyDescent="0.2">
      <c r="A2663" t="s">
        <v>5906</v>
      </c>
      <c r="B2663" t="s">
        <v>5907</v>
      </c>
      <c r="C2663">
        <v>2024</v>
      </c>
      <c r="D2663" s="18">
        <v>45531</v>
      </c>
      <c r="E2663" s="18">
        <v>45895</v>
      </c>
      <c r="F2663" s="18" t="s">
        <v>611</v>
      </c>
      <c r="G2663" t="s">
        <v>100</v>
      </c>
      <c r="H2663">
        <v>1</v>
      </c>
      <c r="I2663">
        <v>2</v>
      </c>
      <c r="J2663" s="27">
        <v>11258.03</v>
      </c>
      <c r="K2663" s="27">
        <v>1000000</v>
      </c>
    </row>
    <row r="2664" spans="1:11" ht="15" customHeight="1" x14ac:dyDescent="0.2">
      <c r="A2664" t="s">
        <v>5908</v>
      </c>
      <c r="B2664" t="s">
        <v>5909</v>
      </c>
      <c r="C2664">
        <v>2024</v>
      </c>
      <c r="D2664" s="18">
        <v>45531</v>
      </c>
      <c r="E2664" s="18">
        <v>45895</v>
      </c>
      <c r="F2664" s="18" t="s">
        <v>611</v>
      </c>
      <c r="G2664" t="s">
        <v>100</v>
      </c>
      <c r="H2664">
        <v>1</v>
      </c>
      <c r="I2664">
        <v>2</v>
      </c>
      <c r="J2664" s="27">
        <v>127390.57</v>
      </c>
      <c r="K2664" s="27">
        <v>10000000</v>
      </c>
    </row>
    <row r="2665" spans="1:11" ht="15" customHeight="1" x14ac:dyDescent="0.2">
      <c r="A2665" t="s">
        <v>5910</v>
      </c>
      <c r="B2665" t="s">
        <v>5911</v>
      </c>
      <c r="C2665">
        <v>2024</v>
      </c>
      <c r="D2665" s="18">
        <v>45531</v>
      </c>
      <c r="E2665" s="18">
        <v>45895</v>
      </c>
      <c r="F2665" s="18" t="s">
        <v>611</v>
      </c>
      <c r="G2665" t="s">
        <v>99</v>
      </c>
      <c r="H2665">
        <v>3</v>
      </c>
      <c r="I2665">
        <v>6</v>
      </c>
      <c r="J2665" s="27">
        <v>30183.02</v>
      </c>
      <c r="K2665" s="27">
        <v>3500000</v>
      </c>
    </row>
    <row r="2666" spans="1:11" ht="15" customHeight="1" x14ac:dyDescent="0.2">
      <c r="A2666" t="s">
        <v>5912</v>
      </c>
      <c r="B2666" t="s">
        <v>5913</v>
      </c>
      <c r="C2666">
        <v>2024</v>
      </c>
      <c r="D2666" s="18">
        <v>45532</v>
      </c>
      <c r="E2666" s="18">
        <v>45896</v>
      </c>
      <c r="F2666" s="18" t="s">
        <v>611</v>
      </c>
      <c r="G2666" t="s">
        <v>101</v>
      </c>
      <c r="H2666">
        <v>1</v>
      </c>
      <c r="I2666">
        <v>2</v>
      </c>
      <c r="J2666" s="27">
        <v>22509.71</v>
      </c>
      <c r="K2666" s="27">
        <v>1500000</v>
      </c>
    </row>
    <row r="2667" spans="1:11" ht="15" customHeight="1" x14ac:dyDescent="0.2">
      <c r="A2667" t="s">
        <v>5914</v>
      </c>
      <c r="B2667" t="s">
        <v>5915</v>
      </c>
      <c r="C2667">
        <v>2024</v>
      </c>
      <c r="D2667" s="18">
        <v>45532</v>
      </c>
      <c r="E2667" s="18">
        <v>45896</v>
      </c>
      <c r="F2667" s="18" t="s">
        <v>611</v>
      </c>
      <c r="G2667" t="s">
        <v>99</v>
      </c>
      <c r="H2667">
        <v>2</v>
      </c>
      <c r="I2667">
        <v>2</v>
      </c>
      <c r="J2667" s="27">
        <v>35340.410000000003</v>
      </c>
      <c r="K2667" s="27">
        <v>4000000</v>
      </c>
    </row>
    <row r="2668" spans="1:11" ht="15" customHeight="1" x14ac:dyDescent="0.2">
      <c r="A2668" t="s">
        <v>5916</v>
      </c>
      <c r="B2668" t="s">
        <v>5917</v>
      </c>
      <c r="C2668">
        <v>2024</v>
      </c>
      <c r="D2668" s="18">
        <v>45532</v>
      </c>
      <c r="E2668" s="18">
        <v>45896</v>
      </c>
      <c r="F2668" s="18" t="s">
        <v>611</v>
      </c>
      <c r="G2668" t="s">
        <v>99</v>
      </c>
      <c r="H2668">
        <v>1</v>
      </c>
      <c r="I2668">
        <v>1</v>
      </c>
      <c r="J2668" s="27">
        <v>77860.679999999993</v>
      </c>
      <c r="K2668" s="27">
        <v>10000000</v>
      </c>
    </row>
    <row r="2669" spans="1:11" ht="15" customHeight="1" x14ac:dyDescent="0.2">
      <c r="A2669" t="s">
        <v>5918</v>
      </c>
      <c r="B2669" t="s">
        <v>5919</v>
      </c>
      <c r="C2669">
        <v>2024</v>
      </c>
      <c r="D2669" s="18">
        <v>45532</v>
      </c>
      <c r="E2669" s="18">
        <v>45896</v>
      </c>
      <c r="F2669" s="18" t="s">
        <v>611</v>
      </c>
      <c r="G2669" t="s">
        <v>100</v>
      </c>
      <c r="H2669">
        <v>3</v>
      </c>
      <c r="I2669">
        <v>3</v>
      </c>
      <c r="J2669" s="27">
        <v>62770.45</v>
      </c>
      <c r="K2669" s="27">
        <v>5000000</v>
      </c>
    </row>
    <row r="2670" spans="1:11" ht="15" customHeight="1" x14ac:dyDescent="0.2">
      <c r="A2670" t="s">
        <v>5920</v>
      </c>
      <c r="B2670" t="s">
        <v>5921</v>
      </c>
      <c r="C2670">
        <v>2024</v>
      </c>
      <c r="D2670" s="18">
        <v>45532</v>
      </c>
      <c r="E2670" s="18">
        <v>45896</v>
      </c>
      <c r="F2670" s="18" t="s">
        <v>611</v>
      </c>
      <c r="G2670" t="s">
        <v>99</v>
      </c>
      <c r="H2670">
        <v>3</v>
      </c>
      <c r="I2670">
        <v>3</v>
      </c>
      <c r="J2670" s="27">
        <v>31422.83</v>
      </c>
      <c r="K2670" s="27">
        <v>3500000</v>
      </c>
    </row>
    <row r="2671" spans="1:11" ht="15" customHeight="1" x14ac:dyDescent="0.2">
      <c r="A2671" t="s">
        <v>5922</v>
      </c>
      <c r="B2671" t="s">
        <v>5923</v>
      </c>
      <c r="C2671">
        <v>2024</v>
      </c>
      <c r="D2671" s="18">
        <v>45532</v>
      </c>
      <c r="E2671" s="18">
        <v>45896</v>
      </c>
      <c r="F2671" s="18" t="s">
        <v>611</v>
      </c>
      <c r="G2671" t="s">
        <v>101</v>
      </c>
      <c r="H2671">
        <v>1</v>
      </c>
      <c r="I2671">
        <v>1</v>
      </c>
      <c r="J2671" s="27">
        <v>75516.63</v>
      </c>
      <c r="K2671" s="27">
        <v>5000000</v>
      </c>
    </row>
    <row r="2672" spans="1:11" ht="15" customHeight="1" x14ac:dyDescent="0.2">
      <c r="A2672" t="s">
        <v>5924</v>
      </c>
      <c r="B2672" t="s">
        <v>5925</v>
      </c>
      <c r="C2672">
        <v>2024</v>
      </c>
      <c r="D2672" s="18">
        <v>45532</v>
      </c>
      <c r="E2672" s="18">
        <v>45896</v>
      </c>
      <c r="F2672" s="18" t="s">
        <v>611</v>
      </c>
      <c r="G2672" t="s">
        <v>99</v>
      </c>
      <c r="H2672">
        <v>1</v>
      </c>
      <c r="I2672">
        <v>2</v>
      </c>
      <c r="J2672" s="27">
        <v>81411.87</v>
      </c>
      <c r="K2672" s="27">
        <v>10000000</v>
      </c>
    </row>
    <row r="2673" spans="1:11" ht="15" customHeight="1" x14ac:dyDescent="0.2">
      <c r="A2673" t="s">
        <v>5926</v>
      </c>
      <c r="B2673" t="s">
        <v>5927</v>
      </c>
      <c r="C2673">
        <v>2024</v>
      </c>
      <c r="D2673" s="18">
        <v>45533</v>
      </c>
      <c r="E2673" s="18">
        <v>45897</v>
      </c>
      <c r="F2673" s="18" t="s">
        <v>608</v>
      </c>
      <c r="G2673" t="s">
        <v>99</v>
      </c>
      <c r="H2673">
        <v>2</v>
      </c>
      <c r="I2673">
        <v>4</v>
      </c>
      <c r="J2673" s="27">
        <v>36389.74</v>
      </c>
      <c r="K2673" s="27">
        <v>4000000</v>
      </c>
    </row>
    <row r="2674" spans="1:11" ht="15" customHeight="1" x14ac:dyDescent="0.2">
      <c r="A2674" t="s">
        <v>5928</v>
      </c>
      <c r="B2674" t="s">
        <v>5929</v>
      </c>
      <c r="C2674">
        <v>2024</v>
      </c>
      <c r="D2674" s="18">
        <v>45533</v>
      </c>
      <c r="E2674" s="18">
        <v>45897</v>
      </c>
      <c r="F2674" s="18" t="s">
        <v>608</v>
      </c>
      <c r="G2674" t="s">
        <v>100</v>
      </c>
      <c r="H2674">
        <v>1</v>
      </c>
      <c r="I2674">
        <v>1</v>
      </c>
      <c r="J2674" s="27">
        <v>122948.13</v>
      </c>
      <c r="K2674" s="27">
        <v>10000000</v>
      </c>
    </row>
    <row r="2675" spans="1:11" ht="15" customHeight="1" x14ac:dyDescent="0.2">
      <c r="A2675" t="s">
        <v>5930</v>
      </c>
      <c r="B2675" t="s">
        <v>5931</v>
      </c>
      <c r="C2675">
        <v>2024</v>
      </c>
      <c r="D2675" s="18">
        <v>45533</v>
      </c>
      <c r="E2675" s="18">
        <v>45897</v>
      </c>
      <c r="F2675" s="18" t="s">
        <v>611</v>
      </c>
      <c r="G2675" t="s">
        <v>102</v>
      </c>
      <c r="H2675">
        <v>1</v>
      </c>
      <c r="I2675">
        <v>2</v>
      </c>
      <c r="J2675" s="27">
        <v>39918.18</v>
      </c>
      <c r="K2675" s="27">
        <v>5000000</v>
      </c>
    </row>
    <row r="2676" spans="1:11" ht="15" customHeight="1" x14ac:dyDescent="0.2">
      <c r="A2676" t="s">
        <v>5932</v>
      </c>
      <c r="B2676" t="s">
        <v>5933</v>
      </c>
      <c r="C2676">
        <v>2024</v>
      </c>
      <c r="D2676" s="18">
        <v>45533</v>
      </c>
      <c r="E2676" s="18">
        <v>45897</v>
      </c>
      <c r="F2676" s="18" t="s">
        <v>611</v>
      </c>
      <c r="G2676" t="s">
        <v>99</v>
      </c>
      <c r="H2676">
        <v>2</v>
      </c>
      <c r="I2676">
        <v>4</v>
      </c>
      <c r="J2676" s="27">
        <v>88006.02</v>
      </c>
      <c r="K2676" s="27">
        <v>10000000</v>
      </c>
    </row>
    <row r="2677" spans="1:11" ht="15" customHeight="1" x14ac:dyDescent="0.2">
      <c r="A2677" t="s">
        <v>5934</v>
      </c>
      <c r="B2677" t="s">
        <v>5935</v>
      </c>
      <c r="C2677">
        <v>2024</v>
      </c>
      <c r="D2677" s="18">
        <v>45533</v>
      </c>
      <c r="E2677" s="18">
        <v>45897</v>
      </c>
      <c r="F2677" s="18" t="s">
        <v>611</v>
      </c>
      <c r="G2677" t="s">
        <v>100</v>
      </c>
      <c r="H2677">
        <v>3</v>
      </c>
      <c r="I2677">
        <v>3</v>
      </c>
      <c r="J2677" s="27">
        <v>56128.11</v>
      </c>
      <c r="K2677" s="27">
        <v>5000000</v>
      </c>
    </row>
    <row r="2678" spans="1:11" ht="15" customHeight="1" x14ac:dyDescent="0.2">
      <c r="A2678" t="s">
        <v>5936</v>
      </c>
      <c r="B2678" t="s">
        <v>5937</v>
      </c>
      <c r="C2678">
        <v>2024</v>
      </c>
      <c r="D2678" s="18">
        <v>45533</v>
      </c>
      <c r="E2678" s="18">
        <v>45897</v>
      </c>
      <c r="F2678" s="18" t="s">
        <v>611</v>
      </c>
      <c r="G2678" t="s">
        <v>99</v>
      </c>
      <c r="H2678">
        <v>3</v>
      </c>
      <c r="I2678">
        <v>3</v>
      </c>
      <c r="J2678" s="27">
        <v>15415.44</v>
      </c>
      <c r="K2678" s="27">
        <v>2000000</v>
      </c>
    </row>
    <row r="2679" spans="1:11" ht="15" customHeight="1" x14ac:dyDescent="0.2">
      <c r="A2679" t="s">
        <v>5938</v>
      </c>
      <c r="B2679" t="s">
        <v>5939</v>
      </c>
      <c r="C2679">
        <v>2024</v>
      </c>
      <c r="D2679" s="18">
        <v>45533</v>
      </c>
      <c r="E2679" s="18">
        <v>45897</v>
      </c>
      <c r="F2679" s="18" t="s">
        <v>611</v>
      </c>
      <c r="G2679" t="s">
        <v>102</v>
      </c>
      <c r="H2679">
        <v>3</v>
      </c>
      <c r="I2679">
        <v>3</v>
      </c>
      <c r="J2679" s="27">
        <v>20296.95</v>
      </c>
      <c r="K2679" s="27">
        <v>3000000</v>
      </c>
    </row>
    <row r="2680" spans="1:11" ht="15" customHeight="1" x14ac:dyDescent="0.2">
      <c r="A2680" t="s">
        <v>5940</v>
      </c>
      <c r="B2680" t="s">
        <v>5941</v>
      </c>
      <c r="C2680">
        <v>2024</v>
      </c>
      <c r="D2680" s="18">
        <v>45534</v>
      </c>
      <c r="E2680" s="18">
        <v>45898</v>
      </c>
      <c r="F2680" s="18" t="s">
        <v>608</v>
      </c>
      <c r="G2680" t="s">
        <v>101</v>
      </c>
      <c r="H2680">
        <v>2</v>
      </c>
      <c r="I2680">
        <v>4</v>
      </c>
      <c r="J2680" s="27">
        <v>33183.32</v>
      </c>
      <c r="K2680" s="27">
        <v>2000000</v>
      </c>
    </row>
    <row r="2681" spans="1:11" ht="15" customHeight="1" x14ac:dyDescent="0.2">
      <c r="A2681" t="s">
        <v>5942</v>
      </c>
      <c r="B2681" t="s">
        <v>5943</v>
      </c>
      <c r="C2681">
        <v>2024</v>
      </c>
      <c r="D2681" s="18">
        <v>45534</v>
      </c>
      <c r="E2681" s="18">
        <v>45898</v>
      </c>
      <c r="F2681" s="18" t="s">
        <v>611</v>
      </c>
      <c r="G2681" t="s">
        <v>100</v>
      </c>
      <c r="H2681">
        <v>3</v>
      </c>
      <c r="I2681">
        <v>3</v>
      </c>
      <c r="J2681" s="27">
        <v>64003.55</v>
      </c>
      <c r="K2681" s="27">
        <v>5000000</v>
      </c>
    </row>
    <row r="2682" spans="1:11" ht="15" customHeight="1" x14ac:dyDescent="0.2">
      <c r="A2682" t="s">
        <v>5944</v>
      </c>
      <c r="B2682" t="s">
        <v>5945</v>
      </c>
      <c r="C2682">
        <v>2024</v>
      </c>
      <c r="D2682" s="18">
        <v>45534</v>
      </c>
      <c r="E2682" s="18">
        <v>45898</v>
      </c>
      <c r="F2682" s="18" t="s">
        <v>611</v>
      </c>
      <c r="G2682" t="s">
        <v>99</v>
      </c>
      <c r="H2682">
        <v>1</v>
      </c>
      <c r="I2682">
        <v>2</v>
      </c>
      <c r="J2682" s="27">
        <v>34392.33</v>
      </c>
      <c r="K2682" s="27">
        <v>4500000</v>
      </c>
    </row>
    <row r="2683" spans="1:11" ht="15" customHeight="1" x14ac:dyDescent="0.2">
      <c r="A2683" t="s">
        <v>5946</v>
      </c>
      <c r="B2683" t="s">
        <v>5947</v>
      </c>
      <c r="C2683">
        <v>2024</v>
      </c>
      <c r="D2683" s="18">
        <v>45534</v>
      </c>
      <c r="E2683" s="18">
        <v>45898</v>
      </c>
      <c r="F2683" s="18" t="s">
        <v>611</v>
      </c>
      <c r="G2683" t="s">
        <v>99</v>
      </c>
      <c r="H2683">
        <v>2</v>
      </c>
      <c r="I2683">
        <v>2</v>
      </c>
      <c r="J2683" s="27">
        <v>7690.11</v>
      </c>
      <c r="K2683" s="27">
        <v>1000000</v>
      </c>
    </row>
    <row r="2684" spans="1:11" ht="15" customHeight="1" x14ac:dyDescent="0.2">
      <c r="A2684" t="s">
        <v>5948</v>
      </c>
      <c r="B2684" t="s">
        <v>5949</v>
      </c>
      <c r="C2684">
        <v>2024</v>
      </c>
      <c r="D2684" s="18">
        <v>45534</v>
      </c>
      <c r="E2684" s="18">
        <v>45898</v>
      </c>
      <c r="F2684" s="18" t="s">
        <v>611</v>
      </c>
      <c r="G2684" t="s">
        <v>101</v>
      </c>
      <c r="H2684">
        <v>2</v>
      </c>
      <c r="I2684">
        <v>2</v>
      </c>
      <c r="J2684" s="27">
        <v>28450.74</v>
      </c>
      <c r="K2684" s="27">
        <v>2000000</v>
      </c>
    </row>
    <row r="2685" spans="1:11" ht="15" customHeight="1" x14ac:dyDescent="0.2">
      <c r="A2685" t="s">
        <v>5950</v>
      </c>
      <c r="B2685" t="s">
        <v>5951</v>
      </c>
      <c r="C2685">
        <v>2024</v>
      </c>
      <c r="D2685" s="18">
        <v>45534</v>
      </c>
      <c r="E2685" s="18">
        <v>45898</v>
      </c>
      <c r="F2685" s="18" t="s">
        <v>611</v>
      </c>
      <c r="G2685" t="s">
        <v>99</v>
      </c>
      <c r="H2685">
        <v>3</v>
      </c>
      <c r="I2685">
        <v>3</v>
      </c>
      <c r="J2685" s="27">
        <v>7908.64</v>
      </c>
      <c r="K2685" s="27">
        <v>1000000</v>
      </c>
    </row>
    <row r="2686" spans="1:11" ht="15" customHeight="1" x14ac:dyDescent="0.2">
      <c r="A2686" t="s">
        <v>5952</v>
      </c>
      <c r="B2686" t="s">
        <v>5953</v>
      </c>
      <c r="C2686">
        <v>2024</v>
      </c>
      <c r="D2686" s="18">
        <v>45534</v>
      </c>
      <c r="E2686" s="18">
        <v>45898</v>
      </c>
      <c r="F2686" s="18" t="s">
        <v>611</v>
      </c>
      <c r="G2686" t="s">
        <v>100</v>
      </c>
      <c r="H2686">
        <v>1</v>
      </c>
      <c r="I2686">
        <v>1</v>
      </c>
      <c r="J2686" s="27">
        <v>19237.68</v>
      </c>
      <c r="K2686" s="27">
        <v>1500000</v>
      </c>
    </row>
    <row r="2687" spans="1:11" ht="15" customHeight="1" x14ac:dyDescent="0.2">
      <c r="A2687" t="s">
        <v>5954</v>
      </c>
      <c r="B2687" t="s">
        <v>5955</v>
      </c>
      <c r="C2687">
        <v>2024</v>
      </c>
      <c r="D2687" s="18">
        <v>45535</v>
      </c>
      <c r="E2687" s="18">
        <v>45899</v>
      </c>
      <c r="F2687" s="18" t="s">
        <v>611</v>
      </c>
      <c r="G2687" t="s">
        <v>101</v>
      </c>
      <c r="H2687">
        <v>1</v>
      </c>
      <c r="I2687">
        <v>1</v>
      </c>
      <c r="J2687" s="27">
        <v>80921.31</v>
      </c>
      <c r="K2687" s="27">
        <v>5000000</v>
      </c>
    </row>
    <row r="2688" spans="1:11" ht="15" customHeight="1" x14ac:dyDescent="0.2">
      <c r="A2688" t="s">
        <v>5956</v>
      </c>
      <c r="B2688" t="s">
        <v>5957</v>
      </c>
      <c r="C2688">
        <v>2024</v>
      </c>
      <c r="D2688" s="18">
        <v>45535</v>
      </c>
      <c r="E2688" s="18">
        <v>45899</v>
      </c>
      <c r="F2688" s="18" t="s">
        <v>611</v>
      </c>
      <c r="G2688" t="s">
        <v>102</v>
      </c>
      <c r="H2688">
        <v>1</v>
      </c>
      <c r="I2688">
        <v>1</v>
      </c>
      <c r="J2688" s="27">
        <v>28900.45</v>
      </c>
      <c r="K2688" s="27">
        <v>4000000</v>
      </c>
    </row>
    <row r="2689" spans="1:11" ht="15" customHeight="1" x14ac:dyDescent="0.2">
      <c r="A2689" t="s">
        <v>5958</v>
      </c>
      <c r="B2689" t="s">
        <v>5959</v>
      </c>
      <c r="C2689">
        <v>2024</v>
      </c>
      <c r="D2689" s="18">
        <v>45535</v>
      </c>
      <c r="E2689" s="18">
        <v>45899</v>
      </c>
      <c r="F2689" s="18" t="s">
        <v>611</v>
      </c>
      <c r="G2689" t="s">
        <v>102</v>
      </c>
      <c r="H2689">
        <v>3</v>
      </c>
      <c r="I2689">
        <v>3</v>
      </c>
      <c r="J2689" s="27">
        <v>72890.460000000006</v>
      </c>
      <c r="K2689" s="27">
        <v>10000000</v>
      </c>
    </row>
    <row r="2690" spans="1:11" ht="15" customHeight="1" x14ac:dyDescent="0.2">
      <c r="A2690" t="s">
        <v>5960</v>
      </c>
      <c r="B2690" t="s">
        <v>5961</v>
      </c>
      <c r="C2690">
        <v>2024</v>
      </c>
      <c r="D2690" s="18">
        <v>45536</v>
      </c>
      <c r="E2690" s="18">
        <v>45900</v>
      </c>
      <c r="F2690" s="18" t="s">
        <v>608</v>
      </c>
      <c r="G2690" t="s">
        <v>102</v>
      </c>
      <c r="H2690">
        <v>2</v>
      </c>
      <c r="I2690">
        <v>4</v>
      </c>
      <c r="J2690" s="27">
        <v>13933.78</v>
      </c>
      <c r="K2690" s="27">
        <v>2000000</v>
      </c>
    </row>
    <row r="2691" spans="1:11" ht="15" customHeight="1" x14ac:dyDescent="0.2">
      <c r="A2691" t="s">
        <v>5962</v>
      </c>
      <c r="B2691" t="s">
        <v>5963</v>
      </c>
      <c r="C2691">
        <v>2024</v>
      </c>
      <c r="D2691" s="18">
        <v>45536</v>
      </c>
      <c r="E2691" s="18">
        <v>45900</v>
      </c>
      <c r="F2691" s="18" t="s">
        <v>611</v>
      </c>
      <c r="G2691" t="s">
        <v>99</v>
      </c>
      <c r="H2691">
        <v>2</v>
      </c>
      <c r="I2691">
        <v>2</v>
      </c>
      <c r="J2691" s="27">
        <v>81125.210000000006</v>
      </c>
      <c r="K2691" s="27">
        <v>10000000</v>
      </c>
    </row>
    <row r="2692" spans="1:11" ht="15" customHeight="1" x14ac:dyDescent="0.2">
      <c r="A2692" t="s">
        <v>5964</v>
      </c>
      <c r="B2692" t="s">
        <v>5965</v>
      </c>
      <c r="C2692">
        <v>2024</v>
      </c>
      <c r="D2692" s="18">
        <v>45536</v>
      </c>
      <c r="E2692" s="18">
        <v>45900</v>
      </c>
      <c r="F2692" s="18" t="s">
        <v>611</v>
      </c>
      <c r="G2692" t="s">
        <v>102</v>
      </c>
      <c r="H2692">
        <v>2</v>
      </c>
      <c r="I2692">
        <v>4</v>
      </c>
      <c r="J2692" s="27">
        <v>67063.02</v>
      </c>
      <c r="K2692" s="27">
        <v>10000000</v>
      </c>
    </row>
    <row r="2693" spans="1:11" ht="15" customHeight="1" x14ac:dyDescent="0.2">
      <c r="A2693" t="s">
        <v>5966</v>
      </c>
      <c r="B2693" t="s">
        <v>5967</v>
      </c>
      <c r="C2693">
        <v>2024</v>
      </c>
      <c r="D2693" s="18">
        <v>45536</v>
      </c>
      <c r="E2693" s="18">
        <v>45900</v>
      </c>
      <c r="F2693" s="18" t="s">
        <v>611</v>
      </c>
      <c r="G2693" t="s">
        <v>99</v>
      </c>
      <c r="H2693">
        <v>1</v>
      </c>
      <c r="I2693">
        <v>2</v>
      </c>
      <c r="J2693" s="27">
        <v>82634.880000000005</v>
      </c>
      <c r="K2693" s="27">
        <v>10000000</v>
      </c>
    </row>
    <row r="2694" spans="1:11" ht="15" customHeight="1" x14ac:dyDescent="0.2">
      <c r="A2694" t="s">
        <v>5968</v>
      </c>
      <c r="B2694" t="s">
        <v>5969</v>
      </c>
      <c r="C2694">
        <v>2024</v>
      </c>
      <c r="D2694" s="18">
        <v>45536</v>
      </c>
      <c r="E2694" s="18">
        <v>45900</v>
      </c>
      <c r="F2694" s="18" t="s">
        <v>611</v>
      </c>
      <c r="G2694" t="s">
        <v>101</v>
      </c>
      <c r="H2694">
        <v>1</v>
      </c>
      <c r="I2694">
        <v>1</v>
      </c>
      <c r="J2694" s="27">
        <v>15589.17</v>
      </c>
      <c r="K2694" s="27">
        <v>1000000</v>
      </c>
    </row>
    <row r="2695" spans="1:11" ht="15" customHeight="1" x14ac:dyDescent="0.2">
      <c r="A2695" t="s">
        <v>5970</v>
      </c>
      <c r="B2695" t="s">
        <v>5971</v>
      </c>
      <c r="C2695">
        <v>2024</v>
      </c>
      <c r="D2695" s="18">
        <v>45536</v>
      </c>
      <c r="E2695" s="18">
        <v>45900</v>
      </c>
      <c r="F2695" s="18" t="s">
        <v>611</v>
      </c>
      <c r="G2695" t="s">
        <v>102</v>
      </c>
      <c r="H2695">
        <v>3</v>
      </c>
      <c r="I2695">
        <v>3</v>
      </c>
      <c r="J2695" s="27">
        <v>18895.97</v>
      </c>
      <c r="K2695" s="27">
        <v>2500000</v>
      </c>
    </row>
    <row r="2696" spans="1:11" ht="15" customHeight="1" x14ac:dyDescent="0.2">
      <c r="A2696" t="s">
        <v>5972</v>
      </c>
      <c r="B2696" t="s">
        <v>5973</v>
      </c>
      <c r="C2696">
        <v>2024</v>
      </c>
      <c r="D2696" s="18">
        <v>45536</v>
      </c>
      <c r="E2696" s="18">
        <v>45900</v>
      </c>
      <c r="F2696" s="18" t="s">
        <v>611</v>
      </c>
      <c r="G2696" t="s">
        <v>100</v>
      </c>
      <c r="H2696">
        <v>3</v>
      </c>
      <c r="I2696">
        <v>3</v>
      </c>
      <c r="J2696" s="27">
        <v>57378.31</v>
      </c>
      <c r="K2696" s="27">
        <v>4500000</v>
      </c>
    </row>
    <row r="2697" spans="1:11" ht="15" customHeight="1" x14ac:dyDescent="0.2">
      <c r="A2697" t="s">
        <v>5974</v>
      </c>
      <c r="B2697" t="s">
        <v>5975</v>
      </c>
      <c r="C2697">
        <v>2024</v>
      </c>
      <c r="D2697" s="18">
        <v>45536</v>
      </c>
      <c r="E2697" s="18">
        <v>45900</v>
      </c>
      <c r="F2697" s="18" t="s">
        <v>611</v>
      </c>
      <c r="G2697" t="s">
        <v>102</v>
      </c>
      <c r="H2697">
        <v>1</v>
      </c>
      <c r="I2697">
        <v>1</v>
      </c>
      <c r="J2697" s="27">
        <v>19021.23</v>
      </c>
      <c r="K2697" s="27">
        <v>2500000</v>
      </c>
    </row>
    <row r="2698" spans="1:11" ht="15" customHeight="1" x14ac:dyDescent="0.2">
      <c r="A2698" t="s">
        <v>5976</v>
      </c>
      <c r="B2698" t="s">
        <v>5977</v>
      </c>
      <c r="C2698">
        <v>2024</v>
      </c>
      <c r="D2698" s="18">
        <v>45536</v>
      </c>
      <c r="E2698" s="18">
        <v>45900</v>
      </c>
      <c r="F2698" s="18" t="s">
        <v>611</v>
      </c>
      <c r="G2698" t="s">
        <v>101</v>
      </c>
      <c r="H2698">
        <v>2</v>
      </c>
      <c r="I2698">
        <v>4</v>
      </c>
      <c r="J2698" s="27">
        <v>31460.62</v>
      </c>
      <c r="K2698" s="27">
        <v>2000000</v>
      </c>
    </row>
    <row r="2699" spans="1:11" ht="15" customHeight="1" x14ac:dyDescent="0.2">
      <c r="A2699" t="s">
        <v>5978</v>
      </c>
      <c r="B2699" t="s">
        <v>5979</v>
      </c>
      <c r="C2699">
        <v>2024</v>
      </c>
      <c r="D2699" s="18">
        <v>45536</v>
      </c>
      <c r="E2699" s="18">
        <v>45900</v>
      </c>
      <c r="F2699" s="18" t="s">
        <v>611</v>
      </c>
      <c r="G2699" t="s">
        <v>99</v>
      </c>
      <c r="H2699">
        <v>1</v>
      </c>
      <c r="I2699">
        <v>1</v>
      </c>
      <c r="J2699" s="27">
        <v>18277</v>
      </c>
      <c r="K2699" s="27">
        <v>2000000</v>
      </c>
    </row>
    <row r="2700" spans="1:11" ht="15" customHeight="1" x14ac:dyDescent="0.2">
      <c r="A2700" t="s">
        <v>5980</v>
      </c>
      <c r="B2700" t="s">
        <v>5981</v>
      </c>
      <c r="C2700">
        <v>2024</v>
      </c>
      <c r="D2700" s="18">
        <v>45536</v>
      </c>
      <c r="E2700" s="18">
        <v>45900</v>
      </c>
      <c r="F2700" s="18" t="s">
        <v>611</v>
      </c>
      <c r="G2700" t="s">
        <v>100</v>
      </c>
      <c r="H2700">
        <v>1</v>
      </c>
      <c r="I2700">
        <v>2</v>
      </c>
      <c r="J2700" s="27">
        <v>13022.22</v>
      </c>
      <c r="K2700" s="27">
        <v>1000000</v>
      </c>
    </row>
    <row r="2701" spans="1:11" ht="15" customHeight="1" x14ac:dyDescent="0.2">
      <c r="A2701" t="s">
        <v>5982</v>
      </c>
      <c r="B2701" t="s">
        <v>5983</v>
      </c>
      <c r="C2701">
        <v>2024</v>
      </c>
      <c r="D2701" s="18">
        <v>45537</v>
      </c>
      <c r="E2701" s="18">
        <v>45901</v>
      </c>
      <c r="F2701" s="18" t="s">
        <v>608</v>
      </c>
      <c r="G2701" t="s">
        <v>99</v>
      </c>
      <c r="H2701">
        <v>1</v>
      </c>
      <c r="I2701">
        <v>1</v>
      </c>
      <c r="J2701" s="27">
        <v>42628.77</v>
      </c>
      <c r="K2701" s="27">
        <v>5000000</v>
      </c>
    </row>
    <row r="2702" spans="1:11" ht="15" customHeight="1" x14ac:dyDescent="0.2">
      <c r="A2702" t="s">
        <v>5984</v>
      </c>
      <c r="B2702" t="s">
        <v>5985</v>
      </c>
      <c r="C2702">
        <v>2024</v>
      </c>
      <c r="D2702" s="18">
        <v>45537</v>
      </c>
      <c r="E2702" s="18">
        <v>45901</v>
      </c>
      <c r="F2702" s="18" t="s">
        <v>608</v>
      </c>
      <c r="G2702" t="s">
        <v>99</v>
      </c>
      <c r="H2702">
        <v>1</v>
      </c>
      <c r="I2702">
        <v>1</v>
      </c>
      <c r="J2702" s="27">
        <v>38662.33</v>
      </c>
      <c r="K2702" s="27">
        <v>5000000</v>
      </c>
    </row>
    <row r="2703" spans="1:11" ht="15" customHeight="1" x14ac:dyDescent="0.2">
      <c r="A2703" t="s">
        <v>5986</v>
      </c>
      <c r="B2703" t="s">
        <v>5987</v>
      </c>
      <c r="C2703">
        <v>2024</v>
      </c>
      <c r="D2703" s="18">
        <v>45537</v>
      </c>
      <c r="E2703" s="18">
        <v>45901</v>
      </c>
      <c r="F2703" s="18" t="s">
        <v>611</v>
      </c>
      <c r="G2703" t="s">
        <v>101</v>
      </c>
      <c r="H2703">
        <v>1</v>
      </c>
      <c r="I2703">
        <v>2</v>
      </c>
      <c r="J2703" s="27">
        <v>63646.32</v>
      </c>
      <c r="K2703" s="27">
        <v>4000000</v>
      </c>
    </row>
    <row r="2704" spans="1:11" ht="15" customHeight="1" x14ac:dyDescent="0.2">
      <c r="A2704" t="s">
        <v>5988</v>
      </c>
      <c r="B2704" t="s">
        <v>5989</v>
      </c>
      <c r="C2704">
        <v>2024</v>
      </c>
      <c r="D2704" s="18">
        <v>45537</v>
      </c>
      <c r="E2704" s="18">
        <v>45901</v>
      </c>
      <c r="F2704" s="18" t="s">
        <v>611</v>
      </c>
      <c r="G2704" t="s">
        <v>102</v>
      </c>
      <c r="H2704">
        <v>2</v>
      </c>
      <c r="I2704">
        <v>2</v>
      </c>
      <c r="J2704" s="27">
        <v>17643.11</v>
      </c>
      <c r="K2704" s="27">
        <v>2500000</v>
      </c>
    </row>
    <row r="2705" spans="1:11" ht="15" customHeight="1" x14ac:dyDescent="0.2">
      <c r="A2705" t="s">
        <v>5990</v>
      </c>
      <c r="B2705" t="s">
        <v>5991</v>
      </c>
      <c r="C2705">
        <v>2024</v>
      </c>
      <c r="D2705" s="18">
        <v>45537</v>
      </c>
      <c r="E2705" s="18">
        <v>45901</v>
      </c>
      <c r="F2705" s="18" t="s">
        <v>611</v>
      </c>
      <c r="G2705" t="s">
        <v>100</v>
      </c>
      <c r="H2705">
        <v>2</v>
      </c>
      <c r="I2705">
        <v>4</v>
      </c>
      <c r="J2705" s="27">
        <v>49234.09</v>
      </c>
      <c r="K2705" s="27">
        <v>4000000</v>
      </c>
    </row>
    <row r="2706" spans="1:11" ht="15" customHeight="1" x14ac:dyDescent="0.2">
      <c r="A2706" t="s">
        <v>5992</v>
      </c>
      <c r="B2706" t="s">
        <v>5993</v>
      </c>
      <c r="C2706">
        <v>2024</v>
      </c>
      <c r="D2706" s="18">
        <v>45537</v>
      </c>
      <c r="E2706" s="18">
        <v>45901</v>
      </c>
      <c r="F2706" s="18" t="s">
        <v>611</v>
      </c>
      <c r="G2706" t="s">
        <v>99</v>
      </c>
      <c r="H2706">
        <v>1</v>
      </c>
      <c r="I2706">
        <v>1</v>
      </c>
      <c r="J2706" s="27">
        <v>23505.19</v>
      </c>
      <c r="K2706" s="27">
        <v>3000000</v>
      </c>
    </row>
    <row r="2707" spans="1:11" ht="15" customHeight="1" x14ac:dyDescent="0.2">
      <c r="A2707" t="s">
        <v>5994</v>
      </c>
      <c r="B2707" t="s">
        <v>5995</v>
      </c>
      <c r="C2707">
        <v>2024</v>
      </c>
      <c r="D2707" s="18">
        <v>45537</v>
      </c>
      <c r="E2707" s="18">
        <v>45901</v>
      </c>
      <c r="F2707" s="18" t="s">
        <v>611</v>
      </c>
      <c r="G2707" t="s">
        <v>102</v>
      </c>
      <c r="H2707">
        <v>3</v>
      </c>
      <c r="I2707">
        <v>3</v>
      </c>
      <c r="J2707" s="27">
        <v>28198.400000000001</v>
      </c>
      <c r="K2707" s="27">
        <v>4000000</v>
      </c>
    </row>
    <row r="2708" spans="1:11" ht="15" customHeight="1" x14ac:dyDescent="0.2">
      <c r="A2708" t="s">
        <v>5996</v>
      </c>
      <c r="B2708" t="s">
        <v>5997</v>
      </c>
      <c r="C2708">
        <v>2024</v>
      </c>
      <c r="D2708" s="18">
        <v>45537</v>
      </c>
      <c r="E2708" s="18">
        <v>45901</v>
      </c>
      <c r="F2708" s="18" t="s">
        <v>611</v>
      </c>
      <c r="G2708" t="s">
        <v>99</v>
      </c>
      <c r="H2708">
        <v>2</v>
      </c>
      <c r="I2708">
        <v>2</v>
      </c>
      <c r="J2708" s="27">
        <v>22794.94</v>
      </c>
      <c r="K2708" s="27">
        <v>2500000</v>
      </c>
    </row>
    <row r="2709" spans="1:11" ht="15" customHeight="1" x14ac:dyDescent="0.2">
      <c r="A2709" t="s">
        <v>5998</v>
      </c>
      <c r="B2709" t="s">
        <v>5999</v>
      </c>
      <c r="C2709">
        <v>2024</v>
      </c>
      <c r="D2709" s="18">
        <v>45537</v>
      </c>
      <c r="E2709" s="18">
        <v>45901</v>
      </c>
      <c r="F2709" s="18" t="s">
        <v>611</v>
      </c>
      <c r="G2709" t="s">
        <v>100</v>
      </c>
      <c r="H2709">
        <v>1</v>
      </c>
      <c r="I2709">
        <v>1</v>
      </c>
      <c r="J2709" s="27">
        <v>51954.879999999997</v>
      </c>
      <c r="K2709" s="27">
        <v>4000000</v>
      </c>
    </row>
    <row r="2710" spans="1:11" ht="15" customHeight="1" x14ac:dyDescent="0.2">
      <c r="A2710" t="s">
        <v>6000</v>
      </c>
      <c r="B2710" t="s">
        <v>6001</v>
      </c>
      <c r="C2710">
        <v>2024</v>
      </c>
      <c r="D2710" s="18">
        <v>45538</v>
      </c>
      <c r="E2710" s="18">
        <v>45902</v>
      </c>
      <c r="F2710" s="18" t="s">
        <v>608</v>
      </c>
      <c r="G2710" t="s">
        <v>99</v>
      </c>
      <c r="H2710">
        <v>3</v>
      </c>
      <c r="I2710">
        <v>6</v>
      </c>
      <c r="J2710" s="27">
        <v>81335.03</v>
      </c>
      <c r="K2710" s="27">
        <v>10000000</v>
      </c>
    </row>
    <row r="2711" spans="1:11" ht="15" customHeight="1" x14ac:dyDescent="0.2">
      <c r="A2711" t="s">
        <v>6002</v>
      </c>
      <c r="B2711" t="s">
        <v>6003</v>
      </c>
      <c r="C2711">
        <v>2024</v>
      </c>
      <c r="D2711" s="18">
        <v>45538</v>
      </c>
      <c r="E2711" s="18">
        <v>45902</v>
      </c>
      <c r="F2711" s="18" t="s">
        <v>611</v>
      </c>
      <c r="G2711" t="s">
        <v>100</v>
      </c>
      <c r="H2711">
        <v>2</v>
      </c>
      <c r="I2711">
        <v>2</v>
      </c>
      <c r="J2711" s="27">
        <v>127101.75</v>
      </c>
      <c r="K2711" s="27">
        <v>10000000</v>
      </c>
    </row>
    <row r="2712" spans="1:11" ht="15" customHeight="1" x14ac:dyDescent="0.2">
      <c r="A2712" t="s">
        <v>6004</v>
      </c>
      <c r="B2712" t="s">
        <v>6005</v>
      </c>
      <c r="C2712">
        <v>2024</v>
      </c>
      <c r="D2712" s="18">
        <v>45538</v>
      </c>
      <c r="E2712" s="18">
        <v>45902</v>
      </c>
      <c r="F2712" s="18" t="s">
        <v>611</v>
      </c>
      <c r="G2712" t="s">
        <v>100</v>
      </c>
      <c r="H2712">
        <v>2</v>
      </c>
      <c r="I2712">
        <v>4</v>
      </c>
      <c r="J2712" s="27">
        <v>57807.31</v>
      </c>
      <c r="K2712" s="27">
        <v>4500000</v>
      </c>
    </row>
    <row r="2713" spans="1:11" ht="15" customHeight="1" x14ac:dyDescent="0.2">
      <c r="A2713" t="s">
        <v>6006</v>
      </c>
      <c r="B2713" t="s">
        <v>6007</v>
      </c>
      <c r="C2713">
        <v>2024</v>
      </c>
      <c r="D2713" s="18">
        <v>45538</v>
      </c>
      <c r="E2713" s="18">
        <v>45902</v>
      </c>
      <c r="F2713" s="18" t="s">
        <v>611</v>
      </c>
      <c r="G2713" t="s">
        <v>101</v>
      </c>
      <c r="H2713">
        <v>1</v>
      </c>
      <c r="I2713">
        <v>1</v>
      </c>
      <c r="J2713" s="27">
        <v>15238.11</v>
      </c>
      <c r="K2713" s="27">
        <v>1000000</v>
      </c>
    </row>
    <row r="2714" spans="1:11" ht="15" customHeight="1" x14ac:dyDescent="0.2">
      <c r="A2714" t="s">
        <v>6008</v>
      </c>
      <c r="B2714" t="s">
        <v>6009</v>
      </c>
      <c r="C2714">
        <v>2024</v>
      </c>
      <c r="D2714" s="18">
        <v>45538</v>
      </c>
      <c r="E2714" s="18">
        <v>45902</v>
      </c>
      <c r="F2714" s="18" t="s">
        <v>611</v>
      </c>
      <c r="G2714" t="s">
        <v>101</v>
      </c>
      <c r="H2714">
        <v>1</v>
      </c>
      <c r="I2714">
        <v>1</v>
      </c>
      <c r="J2714" s="27">
        <v>57855.17</v>
      </c>
      <c r="K2714" s="27">
        <v>4000000</v>
      </c>
    </row>
    <row r="2715" spans="1:11" ht="15" customHeight="1" x14ac:dyDescent="0.2">
      <c r="A2715" t="s">
        <v>6010</v>
      </c>
      <c r="B2715" t="s">
        <v>6011</v>
      </c>
      <c r="C2715">
        <v>2024</v>
      </c>
      <c r="D2715" s="18">
        <v>45538</v>
      </c>
      <c r="E2715" s="18">
        <v>45902</v>
      </c>
      <c r="F2715" s="18" t="s">
        <v>611</v>
      </c>
      <c r="G2715" t="s">
        <v>102</v>
      </c>
      <c r="H2715">
        <v>2</v>
      </c>
      <c r="I2715">
        <v>2</v>
      </c>
      <c r="J2715" s="27">
        <v>13577.98</v>
      </c>
      <c r="K2715" s="27">
        <v>2000000</v>
      </c>
    </row>
    <row r="2716" spans="1:11" ht="15" customHeight="1" x14ac:dyDescent="0.2">
      <c r="A2716" t="s">
        <v>6012</v>
      </c>
      <c r="B2716" t="s">
        <v>6013</v>
      </c>
      <c r="C2716">
        <v>2024</v>
      </c>
      <c r="D2716" s="18">
        <v>45538</v>
      </c>
      <c r="E2716" s="18">
        <v>45902</v>
      </c>
      <c r="F2716" s="18" t="s">
        <v>611</v>
      </c>
      <c r="G2716" t="s">
        <v>102</v>
      </c>
      <c r="H2716">
        <v>3</v>
      </c>
      <c r="I2716">
        <v>3</v>
      </c>
      <c r="J2716" s="27">
        <v>14825.16</v>
      </c>
      <c r="K2716" s="27">
        <v>2000000</v>
      </c>
    </row>
    <row r="2717" spans="1:11" ht="15" customHeight="1" x14ac:dyDescent="0.2">
      <c r="A2717" t="s">
        <v>6014</v>
      </c>
      <c r="B2717" t="s">
        <v>6015</v>
      </c>
      <c r="C2717">
        <v>2024</v>
      </c>
      <c r="D2717" s="18">
        <v>45539</v>
      </c>
      <c r="E2717" s="18">
        <v>45903</v>
      </c>
      <c r="F2717" s="18" t="s">
        <v>608</v>
      </c>
      <c r="G2717" t="s">
        <v>101</v>
      </c>
      <c r="H2717">
        <v>1</v>
      </c>
      <c r="I2717">
        <v>2</v>
      </c>
      <c r="J2717" s="27">
        <v>155748.96</v>
      </c>
      <c r="K2717" s="27">
        <v>10000000</v>
      </c>
    </row>
    <row r="2718" spans="1:11" ht="15" customHeight="1" x14ac:dyDescent="0.2">
      <c r="A2718" t="s">
        <v>6016</v>
      </c>
      <c r="B2718" t="s">
        <v>6017</v>
      </c>
      <c r="C2718">
        <v>2024</v>
      </c>
      <c r="D2718" s="18">
        <v>45539</v>
      </c>
      <c r="E2718" s="18">
        <v>45903</v>
      </c>
      <c r="F2718" s="18" t="s">
        <v>608</v>
      </c>
      <c r="G2718" t="s">
        <v>99</v>
      </c>
      <c r="H2718">
        <v>2</v>
      </c>
      <c r="I2718">
        <v>2</v>
      </c>
      <c r="J2718" s="27">
        <v>39846.83</v>
      </c>
      <c r="K2718" s="27">
        <v>5000000</v>
      </c>
    </row>
    <row r="2719" spans="1:11" ht="15" customHeight="1" x14ac:dyDescent="0.2">
      <c r="A2719" t="s">
        <v>6018</v>
      </c>
      <c r="B2719" t="s">
        <v>6019</v>
      </c>
      <c r="C2719">
        <v>2024</v>
      </c>
      <c r="D2719" s="18">
        <v>45539</v>
      </c>
      <c r="E2719" s="18">
        <v>45903</v>
      </c>
      <c r="F2719" s="18" t="s">
        <v>608</v>
      </c>
      <c r="G2719" t="s">
        <v>99</v>
      </c>
      <c r="H2719">
        <v>1</v>
      </c>
      <c r="I2719">
        <v>1</v>
      </c>
      <c r="J2719" s="27">
        <v>33198.400000000001</v>
      </c>
      <c r="K2719" s="27">
        <v>4000000</v>
      </c>
    </row>
    <row r="2720" spans="1:11" ht="15" customHeight="1" x14ac:dyDescent="0.2">
      <c r="A2720" t="s">
        <v>6020</v>
      </c>
      <c r="B2720" t="s">
        <v>6021</v>
      </c>
      <c r="C2720">
        <v>2024</v>
      </c>
      <c r="D2720" s="18">
        <v>45539</v>
      </c>
      <c r="E2720" s="18">
        <v>45903</v>
      </c>
      <c r="F2720" s="18" t="s">
        <v>611</v>
      </c>
      <c r="G2720" t="s">
        <v>101</v>
      </c>
      <c r="H2720">
        <v>3</v>
      </c>
      <c r="I2720">
        <v>3</v>
      </c>
      <c r="J2720" s="27">
        <v>32257.119999999999</v>
      </c>
      <c r="K2720" s="27">
        <v>2000000</v>
      </c>
    </row>
    <row r="2721" spans="1:11" ht="15" customHeight="1" x14ac:dyDescent="0.2">
      <c r="A2721" t="s">
        <v>6022</v>
      </c>
      <c r="B2721" t="s">
        <v>6023</v>
      </c>
      <c r="C2721">
        <v>2024</v>
      </c>
      <c r="D2721" s="18">
        <v>45539</v>
      </c>
      <c r="E2721" s="18">
        <v>45903</v>
      </c>
      <c r="F2721" s="18" t="s">
        <v>611</v>
      </c>
      <c r="G2721" t="s">
        <v>102</v>
      </c>
      <c r="H2721">
        <v>3</v>
      </c>
      <c r="I2721">
        <v>3</v>
      </c>
      <c r="J2721" s="27">
        <v>34221.78</v>
      </c>
      <c r="K2721" s="27">
        <v>5000000</v>
      </c>
    </row>
    <row r="2722" spans="1:11" ht="15" customHeight="1" x14ac:dyDescent="0.2">
      <c r="A2722" t="s">
        <v>6024</v>
      </c>
      <c r="B2722" t="s">
        <v>6025</v>
      </c>
      <c r="C2722">
        <v>2024</v>
      </c>
      <c r="D2722" s="18">
        <v>45539</v>
      </c>
      <c r="E2722" s="18">
        <v>45903</v>
      </c>
      <c r="F2722" s="18" t="s">
        <v>611</v>
      </c>
      <c r="G2722" t="s">
        <v>101</v>
      </c>
      <c r="H2722">
        <v>2</v>
      </c>
      <c r="I2722">
        <v>4</v>
      </c>
      <c r="J2722" s="27">
        <v>72060.98</v>
      </c>
      <c r="K2722" s="27">
        <v>5000000</v>
      </c>
    </row>
    <row r="2723" spans="1:11" ht="15" customHeight="1" x14ac:dyDescent="0.2">
      <c r="A2723" t="s">
        <v>6026</v>
      </c>
      <c r="B2723" t="s">
        <v>6027</v>
      </c>
      <c r="C2723">
        <v>2024</v>
      </c>
      <c r="D2723" s="18">
        <v>45539</v>
      </c>
      <c r="E2723" s="18">
        <v>45903</v>
      </c>
      <c r="F2723" s="18" t="s">
        <v>611</v>
      </c>
      <c r="G2723" t="s">
        <v>101</v>
      </c>
      <c r="H2723">
        <v>1</v>
      </c>
      <c r="I2723">
        <v>1</v>
      </c>
      <c r="J2723" s="27">
        <v>56318.35</v>
      </c>
      <c r="K2723" s="27">
        <v>3500000</v>
      </c>
    </row>
    <row r="2724" spans="1:11" ht="15" customHeight="1" x14ac:dyDescent="0.2">
      <c r="A2724" t="s">
        <v>6028</v>
      </c>
      <c r="B2724" t="s">
        <v>6029</v>
      </c>
      <c r="C2724">
        <v>2024</v>
      </c>
      <c r="D2724" s="18">
        <v>45539</v>
      </c>
      <c r="E2724" s="18">
        <v>45903</v>
      </c>
      <c r="F2724" s="18" t="s">
        <v>611</v>
      </c>
      <c r="G2724" t="s">
        <v>99</v>
      </c>
      <c r="H2724">
        <v>2</v>
      </c>
      <c r="I2724">
        <v>2</v>
      </c>
      <c r="J2724" s="27">
        <v>35950.33</v>
      </c>
      <c r="K2724" s="27">
        <v>4000000</v>
      </c>
    </row>
    <row r="2725" spans="1:11" ht="15" customHeight="1" x14ac:dyDescent="0.2">
      <c r="A2725" t="s">
        <v>6030</v>
      </c>
      <c r="B2725" t="s">
        <v>6031</v>
      </c>
      <c r="C2725">
        <v>2024</v>
      </c>
      <c r="D2725" s="18">
        <v>45540</v>
      </c>
      <c r="E2725" s="18">
        <v>45904</v>
      </c>
      <c r="F2725" s="18" t="s">
        <v>611</v>
      </c>
      <c r="G2725" t="s">
        <v>100</v>
      </c>
      <c r="H2725">
        <v>1</v>
      </c>
      <c r="I2725">
        <v>2</v>
      </c>
      <c r="J2725" s="27">
        <v>118321.4</v>
      </c>
      <c r="K2725" s="27">
        <v>10000000</v>
      </c>
    </row>
    <row r="2726" spans="1:11" ht="15" customHeight="1" x14ac:dyDescent="0.2">
      <c r="A2726" t="s">
        <v>6032</v>
      </c>
      <c r="B2726" t="s">
        <v>6033</v>
      </c>
      <c r="C2726">
        <v>2024</v>
      </c>
      <c r="D2726" s="18">
        <v>45540</v>
      </c>
      <c r="E2726" s="18">
        <v>45904</v>
      </c>
      <c r="F2726" s="18" t="s">
        <v>611</v>
      </c>
      <c r="G2726" t="s">
        <v>99</v>
      </c>
      <c r="H2726">
        <v>2</v>
      </c>
      <c r="I2726">
        <v>2</v>
      </c>
      <c r="J2726" s="27">
        <v>27145.919999999998</v>
      </c>
      <c r="K2726" s="27">
        <v>3000000</v>
      </c>
    </row>
    <row r="2727" spans="1:11" ht="15" customHeight="1" x14ac:dyDescent="0.2">
      <c r="A2727" t="s">
        <v>6034</v>
      </c>
      <c r="B2727" t="s">
        <v>6035</v>
      </c>
      <c r="C2727">
        <v>2024</v>
      </c>
      <c r="D2727" s="18">
        <v>45540</v>
      </c>
      <c r="E2727" s="18">
        <v>45904</v>
      </c>
      <c r="F2727" s="18" t="s">
        <v>611</v>
      </c>
      <c r="G2727" t="s">
        <v>100</v>
      </c>
      <c r="H2727">
        <v>3</v>
      </c>
      <c r="I2727">
        <v>6</v>
      </c>
      <c r="J2727" s="27">
        <v>57501.38</v>
      </c>
      <c r="K2727" s="27">
        <v>5000000</v>
      </c>
    </row>
    <row r="2728" spans="1:11" ht="15" customHeight="1" x14ac:dyDescent="0.2">
      <c r="A2728" t="s">
        <v>6036</v>
      </c>
      <c r="B2728" t="s">
        <v>6037</v>
      </c>
      <c r="C2728">
        <v>2024</v>
      </c>
      <c r="D2728" s="18">
        <v>45540</v>
      </c>
      <c r="E2728" s="18">
        <v>45904</v>
      </c>
      <c r="F2728" s="18" t="s">
        <v>611</v>
      </c>
      <c r="G2728" t="s">
        <v>99</v>
      </c>
      <c r="H2728">
        <v>1</v>
      </c>
      <c r="I2728">
        <v>2</v>
      </c>
      <c r="J2728" s="27">
        <v>36497.53</v>
      </c>
      <c r="K2728" s="27">
        <v>4000000</v>
      </c>
    </row>
    <row r="2729" spans="1:11" ht="15" customHeight="1" x14ac:dyDescent="0.2">
      <c r="A2729" t="s">
        <v>6038</v>
      </c>
      <c r="B2729" t="s">
        <v>6039</v>
      </c>
      <c r="C2729">
        <v>2024</v>
      </c>
      <c r="D2729" s="18">
        <v>45540</v>
      </c>
      <c r="E2729" s="18">
        <v>45904</v>
      </c>
      <c r="F2729" s="18" t="s">
        <v>611</v>
      </c>
      <c r="G2729" t="s">
        <v>100</v>
      </c>
      <c r="H2729">
        <v>1</v>
      </c>
      <c r="I2729">
        <v>2</v>
      </c>
      <c r="J2729" s="27">
        <v>56055.32</v>
      </c>
      <c r="K2729" s="27">
        <v>5000000</v>
      </c>
    </row>
    <row r="2730" spans="1:11" ht="15" customHeight="1" x14ac:dyDescent="0.2">
      <c r="A2730" t="s">
        <v>6040</v>
      </c>
      <c r="B2730" t="s">
        <v>6041</v>
      </c>
      <c r="C2730">
        <v>2024</v>
      </c>
      <c r="D2730" s="18">
        <v>45540</v>
      </c>
      <c r="E2730" s="18">
        <v>45904</v>
      </c>
      <c r="F2730" s="18" t="s">
        <v>611</v>
      </c>
      <c r="G2730" t="s">
        <v>102</v>
      </c>
      <c r="H2730">
        <v>2</v>
      </c>
      <c r="I2730">
        <v>4</v>
      </c>
      <c r="J2730" s="27">
        <v>31537.46</v>
      </c>
      <c r="K2730" s="27">
        <v>4000000</v>
      </c>
    </row>
    <row r="2731" spans="1:11" ht="15" customHeight="1" x14ac:dyDescent="0.2">
      <c r="A2731" t="s">
        <v>6042</v>
      </c>
      <c r="B2731" t="s">
        <v>6043</v>
      </c>
      <c r="C2731">
        <v>2024</v>
      </c>
      <c r="D2731" s="18">
        <v>45541</v>
      </c>
      <c r="E2731" s="18">
        <v>45905</v>
      </c>
      <c r="F2731" s="18" t="s">
        <v>608</v>
      </c>
      <c r="G2731" t="s">
        <v>101</v>
      </c>
      <c r="H2731">
        <v>2</v>
      </c>
      <c r="I2731">
        <v>2</v>
      </c>
      <c r="J2731" s="27">
        <v>59248.2</v>
      </c>
      <c r="K2731" s="27">
        <v>3500000</v>
      </c>
    </row>
    <row r="2732" spans="1:11" ht="15" customHeight="1" x14ac:dyDescent="0.2">
      <c r="A2732" t="s">
        <v>6044</v>
      </c>
      <c r="B2732" t="s">
        <v>6045</v>
      </c>
      <c r="C2732">
        <v>2024</v>
      </c>
      <c r="D2732" s="18">
        <v>45541</v>
      </c>
      <c r="E2732" s="18">
        <v>45905</v>
      </c>
      <c r="F2732" s="18" t="s">
        <v>611</v>
      </c>
      <c r="G2732" t="s">
        <v>101</v>
      </c>
      <c r="H2732">
        <v>2</v>
      </c>
      <c r="I2732">
        <v>2</v>
      </c>
      <c r="J2732" s="27">
        <v>146206.29</v>
      </c>
      <c r="K2732" s="27">
        <v>10000000</v>
      </c>
    </row>
    <row r="2733" spans="1:11" ht="15" customHeight="1" x14ac:dyDescent="0.2">
      <c r="A2733" t="s">
        <v>6046</v>
      </c>
      <c r="B2733" t="s">
        <v>6047</v>
      </c>
      <c r="C2733">
        <v>2024</v>
      </c>
      <c r="D2733" s="18">
        <v>45541</v>
      </c>
      <c r="E2733" s="18">
        <v>45905</v>
      </c>
      <c r="F2733" s="18" t="s">
        <v>611</v>
      </c>
      <c r="G2733" t="s">
        <v>102</v>
      </c>
      <c r="H2733">
        <v>1</v>
      </c>
      <c r="I2733">
        <v>2</v>
      </c>
      <c r="J2733" s="27">
        <v>26355.91</v>
      </c>
      <c r="K2733" s="27">
        <v>3500000</v>
      </c>
    </row>
    <row r="2734" spans="1:11" ht="15" customHeight="1" x14ac:dyDescent="0.2">
      <c r="A2734" t="s">
        <v>6048</v>
      </c>
      <c r="B2734" t="s">
        <v>6049</v>
      </c>
      <c r="C2734">
        <v>2024</v>
      </c>
      <c r="D2734" s="18">
        <v>45541</v>
      </c>
      <c r="E2734" s="18">
        <v>45905</v>
      </c>
      <c r="F2734" s="18" t="s">
        <v>611</v>
      </c>
      <c r="G2734" t="s">
        <v>101</v>
      </c>
      <c r="H2734">
        <v>1</v>
      </c>
      <c r="I2734">
        <v>1</v>
      </c>
      <c r="J2734" s="27">
        <v>31501.35</v>
      </c>
      <c r="K2734" s="27">
        <v>2000000</v>
      </c>
    </row>
    <row r="2735" spans="1:11" ht="15" customHeight="1" x14ac:dyDescent="0.2">
      <c r="A2735" t="s">
        <v>6050</v>
      </c>
      <c r="B2735" t="s">
        <v>6051</v>
      </c>
      <c r="C2735">
        <v>2024</v>
      </c>
      <c r="D2735" s="18">
        <v>45541</v>
      </c>
      <c r="E2735" s="18">
        <v>45905</v>
      </c>
      <c r="F2735" s="18" t="s">
        <v>611</v>
      </c>
      <c r="G2735" t="s">
        <v>100</v>
      </c>
      <c r="H2735">
        <v>3</v>
      </c>
      <c r="I2735">
        <v>6</v>
      </c>
      <c r="J2735" s="27">
        <v>13226.32</v>
      </c>
      <c r="K2735" s="27">
        <v>1000000</v>
      </c>
    </row>
    <row r="2736" spans="1:11" ht="15" customHeight="1" x14ac:dyDescent="0.2">
      <c r="A2736" t="s">
        <v>6052</v>
      </c>
      <c r="B2736" t="s">
        <v>6053</v>
      </c>
      <c r="C2736">
        <v>2024</v>
      </c>
      <c r="D2736" s="18">
        <v>45541</v>
      </c>
      <c r="E2736" s="18">
        <v>45905</v>
      </c>
      <c r="F2736" s="18" t="s">
        <v>611</v>
      </c>
      <c r="G2736" t="s">
        <v>100</v>
      </c>
      <c r="H2736">
        <v>2</v>
      </c>
      <c r="I2736">
        <v>2</v>
      </c>
      <c r="J2736" s="27">
        <v>58679.08</v>
      </c>
      <c r="K2736" s="27">
        <v>4500000</v>
      </c>
    </row>
    <row r="2737" spans="1:11" ht="15" customHeight="1" x14ac:dyDescent="0.2">
      <c r="A2737" t="s">
        <v>6054</v>
      </c>
      <c r="B2737" t="s">
        <v>6055</v>
      </c>
      <c r="C2737">
        <v>2024</v>
      </c>
      <c r="D2737" s="18">
        <v>45541</v>
      </c>
      <c r="E2737" s="18">
        <v>45905</v>
      </c>
      <c r="F2737" s="18" t="s">
        <v>611</v>
      </c>
      <c r="G2737" t="s">
        <v>102</v>
      </c>
      <c r="H2737">
        <v>1</v>
      </c>
      <c r="I2737">
        <v>1</v>
      </c>
      <c r="J2737" s="27">
        <v>32988.629999999997</v>
      </c>
      <c r="K2737" s="27">
        <v>5000000</v>
      </c>
    </row>
    <row r="2738" spans="1:11" ht="15" customHeight="1" x14ac:dyDescent="0.2">
      <c r="A2738" t="s">
        <v>6056</v>
      </c>
      <c r="B2738" t="s">
        <v>6057</v>
      </c>
      <c r="C2738">
        <v>2024</v>
      </c>
      <c r="D2738" s="18">
        <v>45541</v>
      </c>
      <c r="E2738" s="18">
        <v>45905</v>
      </c>
      <c r="F2738" s="18" t="s">
        <v>611</v>
      </c>
      <c r="G2738" t="s">
        <v>99</v>
      </c>
      <c r="H2738">
        <v>1</v>
      </c>
      <c r="I2738">
        <v>2</v>
      </c>
      <c r="J2738" s="27">
        <v>15387.68</v>
      </c>
      <c r="K2738" s="27">
        <v>2000000</v>
      </c>
    </row>
    <row r="2739" spans="1:11" ht="15" customHeight="1" x14ac:dyDescent="0.2">
      <c r="A2739" t="s">
        <v>6058</v>
      </c>
      <c r="B2739" t="s">
        <v>6059</v>
      </c>
      <c r="C2739">
        <v>2024</v>
      </c>
      <c r="D2739" s="18">
        <v>45542</v>
      </c>
      <c r="E2739" s="18">
        <v>45906</v>
      </c>
      <c r="F2739" s="18" t="s">
        <v>608</v>
      </c>
      <c r="G2739" t="s">
        <v>101</v>
      </c>
      <c r="H2739">
        <v>3</v>
      </c>
      <c r="I2739">
        <v>3</v>
      </c>
      <c r="J2739" s="27">
        <v>36619.25</v>
      </c>
      <c r="K2739" s="27">
        <v>2500000</v>
      </c>
    </row>
    <row r="2740" spans="1:11" ht="15" customHeight="1" x14ac:dyDescent="0.2">
      <c r="A2740" t="s">
        <v>6060</v>
      </c>
      <c r="B2740" t="s">
        <v>6061</v>
      </c>
      <c r="C2740">
        <v>2024</v>
      </c>
      <c r="D2740" s="18">
        <v>45542</v>
      </c>
      <c r="E2740" s="18">
        <v>45906</v>
      </c>
      <c r="F2740" s="18" t="s">
        <v>608</v>
      </c>
      <c r="G2740" t="s">
        <v>101</v>
      </c>
      <c r="H2740">
        <v>2</v>
      </c>
      <c r="I2740">
        <v>2</v>
      </c>
      <c r="J2740" s="27">
        <v>31219</v>
      </c>
      <c r="K2740" s="27">
        <v>0</v>
      </c>
    </row>
    <row r="2741" spans="1:11" ht="15" customHeight="1" x14ac:dyDescent="0.2">
      <c r="A2741" t="s">
        <v>6062</v>
      </c>
      <c r="B2741" t="s">
        <v>6063</v>
      </c>
      <c r="C2741">
        <v>2024</v>
      </c>
      <c r="D2741" s="18">
        <v>45542</v>
      </c>
      <c r="E2741" s="18">
        <v>45906</v>
      </c>
      <c r="F2741" s="18" t="s">
        <v>611</v>
      </c>
      <c r="G2741" t="s">
        <v>99</v>
      </c>
      <c r="H2741">
        <v>2</v>
      </c>
      <c r="I2741">
        <v>2</v>
      </c>
      <c r="J2741" s="27">
        <v>8609.0499999999993</v>
      </c>
      <c r="K2741" s="27">
        <v>1000000</v>
      </c>
    </row>
    <row r="2742" spans="1:11" ht="15" customHeight="1" x14ac:dyDescent="0.2">
      <c r="A2742" t="s">
        <v>6064</v>
      </c>
      <c r="B2742" t="s">
        <v>6065</v>
      </c>
      <c r="C2742">
        <v>2024</v>
      </c>
      <c r="D2742" s="18">
        <v>45542</v>
      </c>
      <c r="E2742" s="18">
        <v>45906</v>
      </c>
      <c r="F2742" s="18" t="s">
        <v>611</v>
      </c>
      <c r="G2742" t="s">
        <v>100</v>
      </c>
      <c r="H2742">
        <v>1</v>
      </c>
      <c r="I2742">
        <v>2</v>
      </c>
      <c r="J2742" s="27">
        <v>24781.759999999998</v>
      </c>
      <c r="K2742" s="27">
        <v>2000000</v>
      </c>
    </row>
    <row r="2743" spans="1:11" ht="15" customHeight="1" x14ac:dyDescent="0.2">
      <c r="A2743" t="s">
        <v>6066</v>
      </c>
      <c r="B2743" t="s">
        <v>6067</v>
      </c>
      <c r="C2743">
        <v>2024</v>
      </c>
      <c r="D2743" s="18">
        <v>45542</v>
      </c>
      <c r="E2743" s="18">
        <v>45906</v>
      </c>
      <c r="F2743" s="18" t="s">
        <v>611</v>
      </c>
      <c r="G2743" t="s">
        <v>100</v>
      </c>
      <c r="H2743">
        <v>1</v>
      </c>
      <c r="I2743">
        <v>2</v>
      </c>
      <c r="J2743" s="27">
        <v>120774.83</v>
      </c>
      <c r="K2743" s="27">
        <v>10000000</v>
      </c>
    </row>
    <row r="2744" spans="1:11" ht="15" customHeight="1" x14ac:dyDescent="0.2">
      <c r="A2744" t="s">
        <v>6068</v>
      </c>
      <c r="B2744" t="s">
        <v>6069</v>
      </c>
      <c r="C2744">
        <v>2024</v>
      </c>
      <c r="D2744" s="18">
        <v>45542</v>
      </c>
      <c r="E2744" s="18">
        <v>45906</v>
      </c>
      <c r="F2744" s="18" t="s">
        <v>611</v>
      </c>
      <c r="G2744" t="s">
        <v>100</v>
      </c>
      <c r="H2744">
        <v>1</v>
      </c>
      <c r="I2744">
        <v>2</v>
      </c>
      <c r="J2744" s="27">
        <v>62634.06</v>
      </c>
      <c r="K2744" s="27">
        <v>5000000</v>
      </c>
    </row>
    <row r="2745" spans="1:11" ht="15" customHeight="1" x14ac:dyDescent="0.2">
      <c r="A2745" t="s">
        <v>6070</v>
      </c>
      <c r="B2745" t="s">
        <v>6071</v>
      </c>
      <c r="C2745">
        <v>2024</v>
      </c>
      <c r="D2745" s="18">
        <v>45542</v>
      </c>
      <c r="E2745" s="18">
        <v>45906</v>
      </c>
      <c r="F2745" s="18" t="s">
        <v>611</v>
      </c>
      <c r="G2745" t="s">
        <v>100</v>
      </c>
      <c r="H2745">
        <v>3</v>
      </c>
      <c r="I2745">
        <v>3</v>
      </c>
      <c r="J2745" s="27">
        <v>24907.65</v>
      </c>
      <c r="K2745" s="27">
        <v>2000000</v>
      </c>
    </row>
    <row r="2746" spans="1:11" ht="15" customHeight="1" x14ac:dyDescent="0.2">
      <c r="A2746" t="s">
        <v>6072</v>
      </c>
      <c r="B2746" t="s">
        <v>6073</v>
      </c>
      <c r="C2746">
        <v>2024</v>
      </c>
      <c r="D2746" s="18">
        <v>45542</v>
      </c>
      <c r="E2746" s="18">
        <v>45906</v>
      </c>
      <c r="F2746" s="18" t="s">
        <v>611</v>
      </c>
      <c r="G2746" t="s">
        <v>100</v>
      </c>
      <c r="H2746">
        <v>1</v>
      </c>
      <c r="I2746">
        <v>1</v>
      </c>
      <c r="J2746" s="27">
        <v>26984.87</v>
      </c>
      <c r="K2746" s="27">
        <v>2000000</v>
      </c>
    </row>
    <row r="2747" spans="1:11" ht="15" customHeight="1" x14ac:dyDescent="0.2">
      <c r="A2747" t="s">
        <v>6074</v>
      </c>
      <c r="B2747" t="s">
        <v>6075</v>
      </c>
      <c r="C2747">
        <v>2024</v>
      </c>
      <c r="D2747" s="18">
        <v>45542</v>
      </c>
      <c r="E2747" s="18">
        <v>45906</v>
      </c>
      <c r="F2747" s="18" t="s">
        <v>611</v>
      </c>
      <c r="G2747" t="s">
        <v>101</v>
      </c>
      <c r="H2747">
        <v>1</v>
      </c>
      <c r="I2747">
        <v>1</v>
      </c>
      <c r="J2747" s="27">
        <v>159863.48000000001</v>
      </c>
      <c r="K2747" s="27">
        <v>10000000</v>
      </c>
    </row>
    <row r="2748" spans="1:11" ht="15" customHeight="1" x14ac:dyDescent="0.2">
      <c r="A2748" t="s">
        <v>6076</v>
      </c>
      <c r="B2748" t="s">
        <v>6077</v>
      </c>
      <c r="C2748">
        <v>2024</v>
      </c>
      <c r="D2748" s="18">
        <v>45542</v>
      </c>
      <c r="E2748" s="18">
        <v>45906</v>
      </c>
      <c r="F2748" s="18" t="s">
        <v>611</v>
      </c>
      <c r="G2748" t="s">
        <v>99</v>
      </c>
      <c r="H2748">
        <v>2</v>
      </c>
      <c r="I2748">
        <v>2</v>
      </c>
      <c r="J2748" s="27">
        <v>17820.14</v>
      </c>
      <c r="K2748" s="27">
        <v>2000000</v>
      </c>
    </row>
    <row r="2749" spans="1:11" ht="15" customHeight="1" x14ac:dyDescent="0.2">
      <c r="A2749" t="s">
        <v>6078</v>
      </c>
      <c r="B2749" t="s">
        <v>6079</v>
      </c>
      <c r="C2749">
        <v>2024</v>
      </c>
      <c r="D2749" s="18">
        <v>45543</v>
      </c>
      <c r="E2749" s="18">
        <v>45907</v>
      </c>
      <c r="F2749" s="18" t="s">
        <v>608</v>
      </c>
      <c r="G2749" t="s">
        <v>100</v>
      </c>
      <c r="H2749">
        <v>3</v>
      </c>
      <c r="I2749">
        <v>3</v>
      </c>
      <c r="J2749" s="27">
        <v>23475.59</v>
      </c>
      <c r="K2749" s="27">
        <v>2000000</v>
      </c>
    </row>
    <row r="2750" spans="1:11" ht="15" customHeight="1" x14ac:dyDescent="0.2">
      <c r="A2750" t="s">
        <v>6080</v>
      </c>
      <c r="B2750" t="s">
        <v>6081</v>
      </c>
      <c r="C2750">
        <v>2024</v>
      </c>
      <c r="D2750" s="18">
        <v>45543</v>
      </c>
      <c r="E2750" s="18">
        <v>45907</v>
      </c>
      <c r="F2750" s="18" t="s">
        <v>611</v>
      </c>
      <c r="G2750" t="s">
        <v>100</v>
      </c>
      <c r="H2750">
        <v>1</v>
      </c>
      <c r="I2750">
        <v>2</v>
      </c>
      <c r="J2750" s="27">
        <v>24074.54</v>
      </c>
      <c r="K2750" s="27">
        <v>2000000</v>
      </c>
    </row>
    <row r="2751" spans="1:11" ht="15" customHeight="1" x14ac:dyDescent="0.2">
      <c r="A2751" t="s">
        <v>6082</v>
      </c>
      <c r="B2751" t="s">
        <v>6083</v>
      </c>
      <c r="C2751">
        <v>2024</v>
      </c>
      <c r="D2751" s="18">
        <v>45543</v>
      </c>
      <c r="E2751" s="18">
        <v>45907</v>
      </c>
      <c r="F2751" s="18" t="s">
        <v>611</v>
      </c>
      <c r="G2751" t="s">
        <v>102</v>
      </c>
      <c r="H2751">
        <v>1</v>
      </c>
      <c r="I2751">
        <v>1</v>
      </c>
      <c r="J2751" s="27">
        <v>28190.98</v>
      </c>
      <c r="K2751" s="27">
        <v>4000000</v>
      </c>
    </row>
    <row r="2752" spans="1:11" ht="15" customHeight="1" x14ac:dyDescent="0.2">
      <c r="A2752" t="s">
        <v>6084</v>
      </c>
      <c r="B2752" t="s">
        <v>6085</v>
      </c>
      <c r="C2752">
        <v>2024</v>
      </c>
      <c r="D2752" s="18">
        <v>45543</v>
      </c>
      <c r="E2752" s="18">
        <v>45907</v>
      </c>
      <c r="F2752" s="18" t="s">
        <v>611</v>
      </c>
      <c r="G2752" t="s">
        <v>101</v>
      </c>
      <c r="H2752">
        <v>1</v>
      </c>
      <c r="I2752">
        <v>2</v>
      </c>
      <c r="J2752" s="27">
        <v>8474.4599999999991</v>
      </c>
      <c r="K2752" s="27">
        <v>500000</v>
      </c>
    </row>
    <row r="2753" spans="1:11" ht="15" customHeight="1" x14ac:dyDescent="0.2">
      <c r="A2753" t="s">
        <v>6086</v>
      </c>
      <c r="B2753" t="s">
        <v>6087</v>
      </c>
      <c r="C2753">
        <v>2024</v>
      </c>
      <c r="D2753" s="18">
        <v>45543</v>
      </c>
      <c r="E2753" s="18">
        <v>45907</v>
      </c>
      <c r="F2753" s="18" t="s">
        <v>611</v>
      </c>
      <c r="G2753" t="s">
        <v>99</v>
      </c>
      <c r="H2753">
        <v>1</v>
      </c>
      <c r="I2753">
        <v>1</v>
      </c>
      <c r="J2753" s="27">
        <v>11616.06</v>
      </c>
      <c r="K2753" s="27">
        <v>1500000</v>
      </c>
    </row>
    <row r="2754" spans="1:11" ht="15" customHeight="1" x14ac:dyDescent="0.2">
      <c r="A2754" t="s">
        <v>6088</v>
      </c>
      <c r="B2754" t="s">
        <v>6089</v>
      </c>
      <c r="C2754">
        <v>2024</v>
      </c>
      <c r="D2754" s="18">
        <v>45543</v>
      </c>
      <c r="E2754" s="18">
        <v>45907</v>
      </c>
      <c r="F2754" s="18" t="s">
        <v>611</v>
      </c>
      <c r="G2754" t="s">
        <v>101</v>
      </c>
      <c r="H2754">
        <v>1</v>
      </c>
      <c r="I2754">
        <v>1</v>
      </c>
      <c r="J2754" s="27">
        <v>57507.63</v>
      </c>
      <c r="K2754" s="27">
        <v>3500000</v>
      </c>
    </row>
    <row r="2755" spans="1:11" ht="15" customHeight="1" x14ac:dyDescent="0.2">
      <c r="A2755" t="s">
        <v>6090</v>
      </c>
      <c r="B2755" t="s">
        <v>6091</v>
      </c>
      <c r="C2755">
        <v>2024</v>
      </c>
      <c r="D2755" s="18">
        <v>45544</v>
      </c>
      <c r="E2755" s="18">
        <v>45908</v>
      </c>
      <c r="F2755" s="18" t="s">
        <v>611</v>
      </c>
      <c r="G2755" t="s">
        <v>101</v>
      </c>
      <c r="H2755">
        <v>1</v>
      </c>
      <c r="I2755">
        <v>1</v>
      </c>
      <c r="J2755" s="27">
        <v>160652.65</v>
      </c>
      <c r="K2755" s="27">
        <v>10000000</v>
      </c>
    </row>
    <row r="2756" spans="1:11" ht="15" customHeight="1" x14ac:dyDescent="0.2">
      <c r="A2756" t="s">
        <v>6092</v>
      </c>
      <c r="B2756" t="s">
        <v>6093</v>
      </c>
      <c r="C2756">
        <v>2024</v>
      </c>
      <c r="D2756" s="18">
        <v>45544</v>
      </c>
      <c r="E2756" s="18">
        <v>45908</v>
      </c>
      <c r="F2756" s="18" t="s">
        <v>611</v>
      </c>
      <c r="G2756" t="s">
        <v>101</v>
      </c>
      <c r="H2756">
        <v>2</v>
      </c>
      <c r="I2756">
        <v>4</v>
      </c>
      <c r="J2756" s="27">
        <v>63706.3</v>
      </c>
      <c r="K2756" s="27">
        <v>4000000</v>
      </c>
    </row>
    <row r="2757" spans="1:11" ht="15" customHeight="1" x14ac:dyDescent="0.2">
      <c r="A2757" t="s">
        <v>6094</v>
      </c>
      <c r="B2757" t="s">
        <v>6095</v>
      </c>
      <c r="C2757">
        <v>2024</v>
      </c>
      <c r="D2757" s="18">
        <v>45544</v>
      </c>
      <c r="E2757" s="18">
        <v>45908</v>
      </c>
      <c r="F2757" s="18" t="s">
        <v>611</v>
      </c>
      <c r="G2757" t="s">
        <v>101</v>
      </c>
      <c r="H2757">
        <v>1</v>
      </c>
      <c r="I2757">
        <v>1</v>
      </c>
      <c r="J2757" s="27">
        <v>75455.72</v>
      </c>
      <c r="K2757" s="27">
        <v>4500000</v>
      </c>
    </row>
    <row r="2758" spans="1:11" ht="15" customHeight="1" x14ac:dyDescent="0.2">
      <c r="A2758" t="s">
        <v>6096</v>
      </c>
      <c r="B2758" t="s">
        <v>6097</v>
      </c>
      <c r="C2758">
        <v>2024</v>
      </c>
      <c r="D2758" s="18">
        <v>45544</v>
      </c>
      <c r="E2758" s="18">
        <v>45908</v>
      </c>
      <c r="F2758" s="18" t="s">
        <v>611</v>
      </c>
      <c r="G2758" t="s">
        <v>102</v>
      </c>
      <c r="H2758">
        <v>2</v>
      </c>
      <c r="I2758">
        <v>4</v>
      </c>
      <c r="J2758" s="27">
        <v>26436.65</v>
      </c>
      <c r="K2758" s="27">
        <v>4000000</v>
      </c>
    </row>
    <row r="2759" spans="1:11" ht="15" customHeight="1" x14ac:dyDescent="0.2">
      <c r="A2759" t="s">
        <v>6098</v>
      </c>
      <c r="B2759" t="s">
        <v>6099</v>
      </c>
      <c r="C2759">
        <v>2024</v>
      </c>
      <c r="D2759" s="18">
        <v>45544</v>
      </c>
      <c r="E2759" s="18">
        <v>45908</v>
      </c>
      <c r="F2759" s="18" t="s">
        <v>611</v>
      </c>
      <c r="G2759" t="s">
        <v>100</v>
      </c>
      <c r="H2759">
        <v>1</v>
      </c>
      <c r="I2759">
        <v>2</v>
      </c>
      <c r="J2759" s="27">
        <v>62718.59</v>
      </c>
      <c r="K2759" s="27">
        <v>5000000</v>
      </c>
    </row>
    <row r="2760" spans="1:11" ht="15" customHeight="1" x14ac:dyDescent="0.2">
      <c r="A2760" t="s">
        <v>6100</v>
      </c>
      <c r="B2760" t="s">
        <v>6101</v>
      </c>
      <c r="C2760">
        <v>2024</v>
      </c>
      <c r="D2760" s="18">
        <v>45544</v>
      </c>
      <c r="E2760" s="18">
        <v>45908</v>
      </c>
      <c r="F2760" s="18" t="s">
        <v>611</v>
      </c>
      <c r="G2760" t="s">
        <v>100</v>
      </c>
      <c r="H2760">
        <v>2</v>
      </c>
      <c r="I2760">
        <v>2</v>
      </c>
      <c r="J2760" s="27">
        <v>118853.69</v>
      </c>
      <c r="K2760" s="27">
        <v>10000000</v>
      </c>
    </row>
    <row r="2761" spans="1:11" ht="15" customHeight="1" x14ac:dyDescent="0.2">
      <c r="A2761" t="s">
        <v>6102</v>
      </c>
      <c r="B2761" t="s">
        <v>6103</v>
      </c>
      <c r="C2761">
        <v>2024</v>
      </c>
      <c r="D2761" s="18">
        <v>45544</v>
      </c>
      <c r="E2761" s="18">
        <v>45908</v>
      </c>
      <c r="F2761" s="18" t="s">
        <v>611</v>
      </c>
      <c r="G2761" t="s">
        <v>99</v>
      </c>
      <c r="H2761">
        <v>2</v>
      </c>
      <c r="I2761">
        <v>4</v>
      </c>
      <c r="J2761" s="27">
        <v>18039.63</v>
      </c>
      <c r="K2761" s="27">
        <v>2000000</v>
      </c>
    </row>
    <row r="2762" spans="1:11" ht="15" customHeight="1" x14ac:dyDescent="0.2">
      <c r="A2762" t="s">
        <v>6104</v>
      </c>
      <c r="B2762" t="s">
        <v>6105</v>
      </c>
      <c r="C2762">
        <v>2024</v>
      </c>
      <c r="D2762" s="18">
        <v>45544</v>
      </c>
      <c r="E2762" s="18">
        <v>45908</v>
      </c>
      <c r="F2762" s="18" t="s">
        <v>611</v>
      </c>
      <c r="G2762" t="s">
        <v>100</v>
      </c>
      <c r="H2762">
        <v>2</v>
      </c>
      <c r="I2762">
        <v>4</v>
      </c>
      <c r="J2762" s="27">
        <v>25293.56</v>
      </c>
      <c r="K2762" s="27">
        <v>2000000</v>
      </c>
    </row>
    <row r="2763" spans="1:11" ht="15" customHeight="1" x14ac:dyDescent="0.2">
      <c r="A2763" t="s">
        <v>6106</v>
      </c>
      <c r="B2763" t="s">
        <v>6107</v>
      </c>
      <c r="C2763">
        <v>2024</v>
      </c>
      <c r="D2763" s="18">
        <v>45545</v>
      </c>
      <c r="E2763" s="18">
        <v>45909</v>
      </c>
      <c r="F2763" s="18" t="s">
        <v>608</v>
      </c>
      <c r="G2763" t="s">
        <v>102</v>
      </c>
      <c r="H2763">
        <v>1</v>
      </c>
      <c r="I2763">
        <v>2</v>
      </c>
      <c r="J2763" s="27">
        <v>67184.87</v>
      </c>
      <c r="K2763" s="27">
        <v>10000000</v>
      </c>
    </row>
    <row r="2764" spans="1:11" ht="15" customHeight="1" x14ac:dyDescent="0.2">
      <c r="A2764" t="s">
        <v>6108</v>
      </c>
      <c r="B2764" t="s">
        <v>6109</v>
      </c>
      <c r="C2764">
        <v>2024</v>
      </c>
      <c r="D2764" s="18">
        <v>45545</v>
      </c>
      <c r="E2764" s="18">
        <v>45909</v>
      </c>
      <c r="F2764" s="18" t="s">
        <v>608</v>
      </c>
      <c r="G2764" t="s">
        <v>101</v>
      </c>
      <c r="H2764">
        <v>1</v>
      </c>
      <c r="I2764">
        <v>1</v>
      </c>
      <c r="J2764" s="27">
        <v>140121.63</v>
      </c>
      <c r="K2764" s="27">
        <v>10000000</v>
      </c>
    </row>
    <row r="2765" spans="1:11" ht="15" customHeight="1" x14ac:dyDescent="0.2">
      <c r="A2765" t="s">
        <v>6110</v>
      </c>
      <c r="B2765" t="s">
        <v>6111</v>
      </c>
      <c r="C2765">
        <v>2024</v>
      </c>
      <c r="D2765" s="18">
        <v>45545</v>
      </c>
      <c r="E2765" s="18">
        <v>45909</v>
      </c>
      <c r="F2765" s="18" t="s">
        <v>611</v>
      </c>
      <c r="G2765" t="s">
        <v>100</v>
      </c>
      <c r="H2765">
        <v>2</v>
      </c>
      <c r="I2765">
        <v>2</v>
      </c>
      <c r="J2765" s="27">
        <v>50240.22</v>
      </c>
      <c r="K2765" s="27">
        <v>4000000</v>
      </c>
    </row>
    <row r="2766" spans="1:11" ht="15" customHeight="1" x14ac:dyDescent="0.2">
      <c r="A2766" t="s">
        <v>6112</v>
      </c>
      <c r="B2766" t="s">
        <v>6113</v>
      </c>
      <c r="C2766">
        <v>2024</v>
      </c>
      <c r="D2766" s="18">
        <v>45545</v>
      </c>
      <c r="E2766" s="18">
        <v>45909</v>
      </c>
      <c r="F2766" s="18" t="s">
        <v>611</v>
      </c>
      <c r="G2766" t="s">
        <v>100</v>
      </c>
      <c r="H2766">
        <v>2</v>
      </c>
      <c r="I2766">
        <v>2</v>
      </c>
      <c r="J2766" s="27">
        <v>63885.95</v>
      </c>
      <c r="K2766" s="27">
        <v>5000000</v>
      </c>
    </row>
    <row r="2767" spans="1:11" ht="15" customHeight="1" x14ac:dyDescent="0.2">
      <c r="A2767" t="s">
        <v>6114</v>
      </c>
      <c r="B2767" t="s">
        <v>6115</v>
      </c>
      <c r="C2767">
        <v>2024</v>
      </c>
      <c r="D2767" s="18">
        <v>45545</v>
      </c>
      <c r="E2767" s="18">
        <v>45909</v>
      </c>
      <c r="F2767" s="18" t="s">
        <v>611</v>
      </c>
      <c r="G2767" t="s">
        <v>101</v>
      </c>
      <c r="H2767">
        <v>1</v>
      </c>
      <c r="I2767">
        <v>2</v>
      </c>
      <c r="J2767" s="27">
        <v>65641.179999999993</v>
      </c>
      <c r="K2767" s="27">
        <v>4000000</v>
      </c>
    </row>
    <row r="2768" spans="1:11" ht="15" customHeight="1" x14ac:dyDescent="0.2">
      <c r="A2768" t="s">
        <v>6116</v>
      </c>
      <c r="B2768" t="s">
        <v>6117</v>
      </c>
      <c r="C2768">
        <v>2024</v>
      </c>
      <c r="D2768" s="18">
        <v>45545</v>
      </c>
      <c r="E2768" s="18">
        <v>45909</v>
      </c>
      <c r="F2768" s="18" t="s">
        <v>611</v>
      </c>
      <c r="G2768" t="s">
        <v>100</v>
      </c>
      <c r="H2768">
        <v>1</v>
      </c>
      <c r="I2768">
        <v>2</v>
      </c>
      <c r="J2768" s="27">
        <v>5993.44</v>
      </c>
      <c r="K2768" s="27">
        <v>500000</v>
      </c>
    </row>
    <row r="2769" spans="1:11" ht="15" customHeight="1" x14ac:dyDescent="0.2">
      <c r="A2769" t="s">
        <v>6118</v>
      </c>
      <c r="B2769" t="s">
        <v>6119</v>
      </c>
      <c r="C2769">
        <v>2024</v>
      </c>
      <c r="D2769" s="18">
        <v>45545</v>
      </c>
      <c r="E2769" s="18">
        <v>45909</v>
      </c>
      <c r="F2769" s="18" t="s">
        <v>611</v>
      </c>
      <c r="G2769" t="s">
        <v>101</v>
      </c>
      <c r="H2769">
        <v>1</v>
      </c>
      <c r="I2769">
        <v>2</v>
      </c>
      <c r="J2769" s="27">
        <v>33393.11</v>
      </c>
      <c r="K2769" s="27">
        <v>2000000</v>
      </c>
    </row>
    <row r="2770" spans="1:11" ht="15" customHeight="1" x14ac:dyDescent="0.2">
      <c r="A2770" t="s">
        <v>6120</v>
      </c>
      <c r="B2770" t="s">
        <v>6121</v>
      </c>
      <c r="C2770">
        <v>2024</v>
      </c>
      <c r="D2770" s="18">
        <v>45545</v>
      </c>
      <c r="E2770" s="18">
        <v>45909</v>
      </c>
      <c r="F2770" s="18" t="s">
        <v>611</v>
      </c>
      <c r="G2770" t="s">
        <v>101</v>
      </c>
      <c r="H2770">
        <v>1</v>
      </c>
      <c r="I2770">
        <v>2</v>
      </c>
      <c r="J2770" s="27">
        <v>14686.22</v>
      </c>
      <c r="K2770" s="27">
        <v>1000000</v>
      </c>
    </row>
    <row r="2771" spans="1:11" ht="15" customHeight="1" x14ac:dyDescent="0.2">
      <c r="A2771" t="s">
        <v>6122</v>
      </c>
      <c r="B2771" t="s">
        <v>6123</v>
      </c>
      <c r="C2771">
        <v>2024</v>
      </c>
      <c r="D2771" s="18">
        <v>45545</v>
      </c>
      <c r="E2771" s="18">
        <v>45909</v>
      </c>
      <c r="F2771" s="18" t="s">
        <v>611</v>
      </c>
      <c r="G2771" t="s">
        <v>99</v>
      </c>
      <c r="H2771">
        <v>3</v>
      </c>
      <c r="I2771">
        <v>3</v>
      </c>
      <c r="J2771" s="27">
        <v>45731.14</v>
      </c>
      <c r="K2771" s="27">
        <v>5000000</v>
      </c>
    </row>
    <row r="2772" spans="1:11" ht="15" customHeight="1" x14ac:dyDescent="0.2">
      <c r="A2772" t="s">
        <v>6124</v>
      </c>
      <c r="B2772" t="s">
        <v>6125</v>
      </c>
      <c r="C2772">
        <v>2024</v>
      </c>
      <c r="D2772" s="18">
        <v>45545</v>
      </c>
      <c r="E2772" s="18">
        <v>45909</v>
      </c>
      <c r="F2772" s="18" t="s">
        <v>611</v>
      </c>
      <c r="G2772" t="s">
        <v>101</v>
      </c>
      <c r="H2772">
        <v>1</v>
      </c>
      <c r="I2772">
        <v>1</v>
      </c>
      <c r="J2772" s="27">
        <v>15327.06</v>
      </c>
      <c r="K2772" s="27">
        <v>1000000</v>
      </c>
    </row>
    <row r="2773" spans="1:11" ht="15" customHeight="1" x14ac:dyDescent="0.2">
      <c r="A2773" t="s">
        <v>6126</v>
      </c>
      <c r="B2773" t="s">
        <v>6127</v>
      </c>
      <c r="C2773">
        <v>2024</v>
      </c>
      <c r="D2773" s="18">
        <v>45545</v>
      </c>
      <c r="E2773" s="18">
        <v>45909</v>
      </c>
      <c r="F2773" s="18" t="s">
        <v>611</v>
      </c>
      <c r="G2773" t="s">
        <v>102</v>
      </c>
      <c r="H2773">
        <v>1</v>
      </c>
      <c r="I2773">
        <v>1</v>
      </c>
      <c r="J2773" s="27">
        <v>3852.2</v>
      </c>
      <c r="K2773" s="27">
        <v>500000</v>
      </c>
    </row>
    <row r="2774" spans="1:11" ht="15" customHeight="1" x14ac:dyDescent="0.2">
      <c r="A2774" t="s">
        <v>6128</v>
      </c>
      <c r="B2774" t="s">
        <v>6129</v>
      </c>
      <c r="C2774">
        <v>2024</v>
      </c>
      <c r="D2774" s="18">
        <v>45546</v>
      </c>
      <c r="E2774" s="18">
        <v>45910</v>
      </c>
      <c r="F2774" s="18" t="s">
        <v>608</v>
      </c>
      <c r="G2774" t="s">
        <v>101</v>
      </c>
      <c r="H2774">
        <v>2</v>
      </c>
      <c r="I2774">
        <v>4</v>
      </c>
      <c r="J2774" s="27">
        <v>7956.59</v>
      </c>
      <c r="K2774" s="27">
        <v>500000</v>
      </c>
    </row>
    <row r="2775" spans="1:11" ht="15" customHeight="1" x14ac:dyDescent="0.2">
      <c r="A2775" t="s">
        <v>6130</v>
      </c>
      <c r="B2775" t="s">
        <v>6131</v>
      </c>
      <c r="C2775">
        <v>2024</v>
      </c>
      <c r="D2775" s="18">
        <v>45546</v>
      </c>
      <c r="E2775" s="18">
        <v>45910</v>
      </c>
      <c r="F2775" s="18" t="s">
        <v>608</v>
      </c>
      <c r="G2775" t="s">
        <v>101</v>
      </c>
      <c r="H2775">
        <v>1</v>
      </c>
      <c r="I2775">
        <v>2</v>
      </c>
      <c r="J2775" s="27">
        <v>28278.080000000002</v>
      </c>
      <c r="K2775" s="27">
        <v>2000000</v>
      </c>
    </row>
    <row r="2776" spans="1:11" ht="15" customHeight="1" x14ac:dyDescent="0.2">
      <c r="A2776" t="s">
        <v>6132</v>
      </c>
      <c r="B2776" t="s">
        <v>6133</v>
      </c>
      <c r="C2776">
        <v>2024</v>
      </c>
      <c r="D2776" s="18">
        <v>45546</v>
      </c>
      <c r="E2776" s="18">
        <v>45910</v>
      </c>
      <c r="F2776" s="18" t="s">
        <v>608</v>
      </c>
      <c r="G2776" t="s">
        <v>101</v>
      </c>
      <c r="H2776">
        <v>1</v>
      </c>
      <c r="I2776">
        <v>1</v>
      </c>
      <c r="J2776" s="27">
        <v>81405.850000000006</v>
      </c>
      <c r="K2776" s="27">
        <v>5000000</v>
      </c>
    </row>
    <row r="2777" spans="1:11" ht="15" customHeight="1" x14ac:dyDescent="0.2">
      <c r="A2777" t="s">
        <v>6134</v>
      </c>
      <c r="B2777" t="s">
        <v>6135</v>
      </c>
      <c r="C2777">
        <v>2024</v>
      </c>
      <c r="D2777" s="18">
        <v>45546</v>
      </c>
      <c r="E2777" s="18">
        <v>45910</v>
      </c>
      <c r="F2777" s="18" t="s">
        <v>608</v>
      </c>
      <c r="G2777" t="s">
        <v>100</v>
      </c>
      <c r="H2777">
        <v>3</v>
      </c>
      <c r="I2777">
        <v>3</v>
      </c>
      <c r="J2777" s="27">
        <v>120361.94</v>
      </c>
      <c r="K2777" s="27">
        <v>10000000</v>
      </c>
    </row>
    <row r="2778" spans="1:11" ht="15" customHeight="1" x14ac:dyDescent="0.2">
      <c r="A2778" t="s">
        <v>6136</v>
      </c>
      <c r="B2778" t="s">
        <v>6137</v>
      </c>
      <c r="C2778">
        <v>2024</v>
      </c>
      <c r="D2778" s="18">
        <v>45546</v>
      </c>
      <c r="E2778" s="18">
        <v>45910</v>
      </c>
      <c r="F2778" s="18" t="s">
        <v>608</v>
      </c>
      <c r="G2778" t="s">
        <v>102</v>
      </c>
      <c r="H2778">
        <v>1</v>
      </c>
      <c r="I2778">
        <v>2</v>
      </c>
      <c r="J2778" s="27">
        <v>26642.97</v>
      </c>
      <c r="K2778" s="27">
        <v>3500000</v>
      </c>
    </row>
    <row r="2779" spans="1:11" ht="15" customHeight="1" x14ac:dyDescent="0.2">
      <c r="A2779" t="s">
        <v>6138</v>
      </c>
      <c r="B2779" t="s">
        <v>6139</v>
      </c>
      <c r="C2779">
        <v>2024</v>
      </c>
      <c r="D2779" s="18">
        <v>45546</v>
      </c>
      <c r="E2779" s="18">
        <v>45910</v>
      </c>
      <c r="F2779" s="18" t="s">
        <v>611</v>
      </c>
      <c r="G2779" t="s">
        <v>102</v>
      </c>
      <c r="H2779">
        <v>3</v>
      </c>
      <c r="I2779">
        <v>3</v>
      </c>
      <c r="J2779" s="27">
        <v>77891.28</v>
      </c>
      <c r="K2779" s="27">
        <v>10000000</v>
      </c>
    </row>
    <row r="2780" spans="1:11" ht="15" customHeight="1" x14ac:dyDescent="0.2">
      <c r="A2780" t="s">
        <v>6140</v>
      </c>
      <c r="B2780" t="s">
        <v>6141</v>
      </c>
      <c r="C2780">
        <v>2024</v>
      </c>
      <c r="D2780" s="18">
        <v>45546</v>
      </c>
      <c r="E2780" s="18">
        <v>45910</v>
      </c>
      <c r="F2780" s="18" t="s">
        <v>611</v>
      </c>
      <c r="G2780" t="s">
        <v>99</v>
      </c>
      <c r="H2780">
        <v>2</v>
      </c>
      <c r="I2780">
        <v>2</v>
      </c>
      <c r="J2780" s="27">
        <v>16330.48</v>
      </c>
      <c r="K2780" s="27">
        <v>2000000</v>
      </c>
    </row>
    <row r="2781" spans="1:11" ht="15" customHeight="1" x14ac:dyDescent="0.2">
      <c r="A2781" t="s">
        <v>6142</v>
      </c>
      <c r="B2781" t="s">
        <v>6143</v>
      </c>
      <c r="C2781">
        <v>2024</v>
      </c>
      <c r="D2781" s="18">
        <v>45546</v>
      </c>
      <c r="E2781" s="18">
        <v>45910</v>
      </c>
      <c r="F2781" s="18" t="s">
        <v>611</v>
      </c>
      <c r="G2781" t="s">
        <v>99</v>
      </c>
      <c r="H2781">
        <v>1</v>
      </c>
      <c r="I2781">
        <v>1</v>
      </c>
      <c r="J2781" s="27">
        <v>42304.17</v>
      </c>
      <c r="K2781" s="27">
        <v>5000000</v>
      </c>
    </row>
    <row r="2782" spans="1:11" ht="15" customHeight="1" x14ac:dyDescent="0.2">
      <c r="A2782" t="s">
        <v>6144</v>
      </c>
      <c r="B2782" t="s">
        <v>6145</v>
      </c>
      <c r="C2782">
        <v>2024</v>
      </c>
      <c r="D2782" s="18">
        <v>45547</v>
      </c>
      <c r="E2782" s="18">
        <v>45911</v>
      </c>
      <c r="F2782" s="18" t="s">
        <v>611</v>
      </c>
      <c r="G2782" t="s">
        <v>99</v>
      </c>
      <c r="H2782">
        <v>2</v>
      </c>
      <c r="I2782">
        <v>2</v>
      </c>
      <c r="J2782" s="27">
        <v>87628.69</v>
      </c>
      <c r="K2782" s="27">
        <v>10000000</v>
      </c>
    </row>
    <row r="2783" spans="1:11" ht="15" customHeight="1" x14ac:dyDescent="0.2">
      <c r="A2783" t="s">
        <v>6146</v>
      </c>
      <c r="B2783" t="s">
        <v>6147</v>
      </c>
      <c r="C2783">
        <v>2024</v>
      </c>
      <c r="D2783" s="18">
        <v>45547</v>
      </c>
      <c r="E2783" s="18">
        <v>45911</v>
      </c>
      <c r="F2783" s="18" t="s">
        <v>611</v>
      </c>
      <c r="G2783" t="s">
        <v>99</v>
      </c>
      <c r="H2783">
        <v>3</v>
      </c>
      <c r="I2783">
        <v>3</v>
      </c>
      <c r="J2783" s="27">
        <v>83555.210000000006</v>
      </c>
      <c r="K2783" s="27">
        <v>10000000</v>
      </c>
    </row>
    <row r="2784" spans="1:11" ht="15" customHeight="1" x14ac:dyDescent="0.2">
      <c r="A2784" t="s">
        <v>6148</v>
      </c>
      <c r="B2784" t="s">
        <v>6149</v>
      </c>
      <c r="C2784">
        <v>2024</v>
      </c>
      <c r="D2784" s="18">
        <v>45547</v>
      </c>
      <c r="E2784" s="18">
        <v>45911</v>
      </c>
      <c r="F2784" s="18" t="s">
        <v>611</v>
      </c>
      <c r="G2784" t="s">
        <v>101</v>
      </c>
      <c r="H2784">
        <v>1</v>
      </c>
      <c r="I2784">
        <v>2</v>
      </c>
      <c r="J2784" s="27">
        <v>55420.75</v>
      </c>
      <c r="K2784" s="27">
        <v>3500000</v>
      </c>
    </row>
    <row r="2785" spans="1:11" ht="15" customHeight="1" x14ac:dyDescent="0.2">
      <c r="A2785" t="s">
        <v>6150</v>
      </c>
      <c r="B2785" t="s">
        <v>6151</v>
      </c>
      <c r="C2785">
        <v>2024</v>
      </c>
      <c r="D2785" s="18">
        <v>45547</v>
      </c>
      <c r="E2785" s="18">
        <v>45911</v>
      </c>
      <c r="F2785" s="18" t="s">
        <v>611</v>
      </c>
      <c r="G2785" t="s">
        <v>102</v>
      </c>
      <c r="H2785">
        <v>3</v>
      </c>
      <c r="I2785">
        <v>3</v>
      </c>
      <c r="J2785" s="27">
        <v>74640.160000000003</v>
      </c>
      <c r="K2785" s="27">
        <v>10000000</v>
      </c>
    </row>
    <row r="2786" spans="1:11" ht="15" customHeight="1" x14ac:dyDescent="0.2">
      <c r="A2786" t="s">
        <v>6152</v>
      </c>
      <c r="B2786" t="s">
        <v>6153</v>
      </c>
      <c r="C2786">
        <v>2024</v>
      </c>
      <c r="D2786" s="18">
        <v>45547</v>
      </c>
      <c r="E2786" s="18">
        <v>45911</v>
      </c>
      <c r="F2786" s="18" t="s">
        <v>611</v>
      </c>
      <c r="G2786" t="s">
        <v>100</v>
      </c>
      <c r="H2786">
        <v>3</v>
      </c>
      <c r="I2786">
        <v>6</v>
      </c>
      <c r="J2786" s="27">
        <v>11783.35</v>
      </c>
      <c r="K2786" s="27">
        <v>1000000</v>
      </c>
    </row>
    <row r="2787" spans="1:11" ht="15" customHeight="1" x14ac:dyDescent="0.2">
      <c r="A2787" t="s">
        <v>6154</v>
      </c>
      <c r="B2787" t="s">
        <v>6155</v>
      </c>
      <c r="C2787">
        <v>2024</v>
      </c>
      <c r="D2787" s="18">
        <v>45548</v>
      </c>
      <c r="E2787" s="18">
        <v>45912</v>
      </c>
      <c r="F2787" s="18" t="s">
        <v>608</v>
      </c>
      <c r="G2787" t="s">
        <v>102</v>
      </c>
      <c r="H2787">
        <v>1</v>
      </c>
      <c r="I2787">
        <v>1</v>
      </c>
      <c r="J2787" s="27">
        <v>37734.99</v>
      </c>
      <c r="K2787" s="27">
        <v>5000000</v>
      </c>
    </row>
    <row r="2788" spans="1:11" ht="15" customHeight="1" x14ac:dyDescent="0.2">
      <c r="A2788" t="s">
        <v>6156</v>
      </c>
      <c r="B2788" t="s">
        <v>6157</v>
      </c>
      <c r="C2788">
        <v>2024</v>
      </c>
      <c r="D2788" s="18">
        <v>45548</v>
      </c>
      <c r="E2788" s="18">
        <v>45912</v>
      </c>
      <c r="F2788" s="18" t="s">
        <v>608</v>
      </c>
      <c r="G2788" t="s">
        <v>102</v>
      </c>
      <c r="H2788">
        <v>2</v>
      </c>
      <c r="I2788">
        <v>4</v>
      </c>
      <c r="J2788" s="27">
        <v>11183.54</v>
      </c>
      <c r="K2788" s="27">
        <v>1500000</v>
      </c>
    </row>
    <row r="2789" spans="1:11" ht="15" customHeight="1" x14ac:dyDescent="0.2">
      <c r="A2789" t="s">
        <v>6158</v>
      </c>
      <c r="B2789" t="s">
        <v>6159</v>
      </c>
      <c r="C2789">
        <v>2024</v>
      </c>
      <c r="D2789" s="18">
        <v>45548</v>
      </c>
      <c r="E2789" s="18">
        <v>45912</v>
      </c>
      <c r="F2789" s="18" t="s">
        <v>611</v>
      </c>
      <c r="G2789" t="s">
        <v>101</v>
      </c>
      <c r="H2789">
        <v>1</v>
      </c>
      <c r="I2789">
        <v>1</v>
      </c>
      <c r="J2789" s="27">
        <v>21462.43</v>
      </c>
      <c r="K2789" s="27">
        <v>1500000</v>
      </c>
    </row>
    <row r="2790" spans="1:11" ht="15" customHeight="1" x14ac:dyDescent="0.2">
      <c r="A2790" t="s">
        <v>6160</v>
      </c>
      <c r="B2790" t="s">
        <v>6161</v>
      </c>
      <c r="C2790">
        <v>2024</v>
      </c>
      <c r="D2790" s="18">
        <v>45548</v>
      </c>
      <c r="E2790" s="18">
        <v>45912</v>
      </c>
      <c r="F2790" s="18" t="s">
        <v>611</v>
      </c>
      <c r="G2790" t="s">
        <v>102</v>
      </c>
      <c r="H2790">
        <v>3</v>
      </c>
      <c r="I2790">
        <v>6</v>
      </c>
      <c r="J2790" s="27">
        <v>10494.51</v>
      </c>
      <c r="K2790" s="27">
        <v>1500000</v>
      </c>
    </row>
    <row r="2791" spans="1:11" ht="15" customHeight="1" x14ac:dyDescent="0.2">
      <c r="A2791" t="s">
        <v>6162</v>
      </c>
      <c r="B2791" t="s">
        <v>6163</v>
      </c>
      <c r="C2791">
        <v>2024</v>
      </c>
      <c r="D2791" s="18">
        <v>45548</v>
      </c>
      <c r="E2791" s="18">
        <v>45912</v>
      </c>
      <c r="F2791" s="18" t="s">
        <v>611</v>
      </c>
      <c r="G2791" t="s">
        <v>99</v>
      </c>
      <c r="H2791">
        <v>1</v>
      </c>
      <c r="I2791">
        <v>2</v>
      </c>
      <c r="J2791" s="27">
        <v>44454.05</v>
      </c>
      <c r="K2791" s="27">
        <v>5000000</v>
      </c>
    </row>
    <row r="2792" spans="1:11" ht="15" customHeight="1" x14ac:dyDescent="0.2">
      <c r="A2792" t="s">
        <v>6164</v>
      </c>
      <c r="B2792" t="s">
        <v>6165</v>
      </c>
      <c r="C2792">
        <v>2024</v>
      </c>
      <c r="D2792" s="18">
        <v>45548</v>
      </c>
      <c r="E2792" s="18">
        <v>45912</v>
      </c>
      <c r="F2792" s="18" t="s">
        <v>611</v>
      </c>
      <c r="G2792" t="s">
        <v>99</v>
      </c>
      <c r="H2792">
        <v>1</v>
      </c>
      <c r="I2792">
        <v>1</v>
      </c>
      <c r="J2792" s="27">
        <v>43694.18</v>
      </c>
      <c r="K2792" s="27">
        <v>5000000</v>
      </c>
    </row>
    <row r="2793" spans="1:11" ht="15" customHeight="1" x14ac:dyDescent="0.2">
      <c r="A2793" t="s">
        <v>6166</v>
      </c>
      <c r="B2793" t="s">
        <v>6167</v>
      </c>
      <c r="C2793">
        <v>2024</v>
      </c>
      <c r="D2793" s="18">
        <v>45548</v>
      </c>
      <c r="E2793" s="18">
        <v>45912</v>
      </c>
      <c r="F2793" s="18" t="s">
        <v>611</v>
      </c>
      <c r="G2793" t="s">
        <v>99</v>
      </c>
      <c r="H2793">
        <v>1</v>
      </c>
      <c r="I2793">
        <v>1</v>
      </c>
      <c r="J2793" s="27">
        <v>84753.29</v>
      </c>
      <c r="K2793" s="27">
        <v>10000000</v>
      </c>
    </row>
    <row r="2794" spans="1:11" ht="15" customHeight="1" x14ac:dyDescent="0.2">
      <c r="A2794" t="s">
        <v>6168</v>
      </c>
      <c r="B2794" t="s">
        <v>6169</v>
      </c>
      <c r="C2794">
        <v>2024</v>
      </c>
      <c r="D2794" s="18">
        <v>45549</v>
      </c>
      <c r="E2794" s="18">
        <v>45913</v>
      </c>
      <c r="F2794" s="18" t="s">
        <v>608</v>
      </c>
      <c r="G2794" t="s">
        <v>101</v>
      </c>
      <c r="H2794">
        <v>1</v>
      </c>
      <c r="I2794">
        <v>1</v>
      </c>
      <c r="J2794" s="27">
        <v>15237.12</v>
      </c>
      <c r="K2794" s="27">
        <v>1000000</v>
      </c>
    </row>
    <row r="2795" spans="1:11" ht="15" customHeight="1" x14ac:dyDescent="0.2">
      <c r="A2795" t="s">
        <v>6170</v>
      </c>
      <c r="B2795" t="s">
        <v>6171</v>
      </c>
      <c r="C2795">
        <v>2024</v>
      </c>
      <c r="D2795" s="18">
        <v>45549</v>
      </c>
      <c r="E2795" s="18">
        <v>45913</v>
      </c>
      <c r="F2795" s="18" t="s">
        <v>611</v>
      </c>
      <c r="G2795" t="s">
        <v>100</v>
      </c>
      <c r="H2795">
        <v>2</v>
      </c>
      <c r="I2795">
        <v>4</v>
      </c>
      <c r="J2795" s="27">
        <v>24828.42</v>
      </c>
      <c r="K2795" s="27">
        <v>2000000</v>
      </c>
    </row>
    <row r="2796" spans="1:11" ht="15" customHeight="1" x14ac:dyDescent="0.2">
      <c r="A2796" t="s">
        <v>6172</v>
      </c>
      <c r="B2796" t="s">
        <v>6173</v>
      </c>
      <c r="C2796">
        <v>2024</v>
      </c>
      <c r="D2796" s="18">
        <v>45549</v>
      </c>
      <c r="E2796" s="18">
        <v>45913</v>
      </c>
      <c r="F2796" s="18" t="s">
        <v>611</v>
      </c>
      <c r="G2796" t="s">
        <v>102</v>
      </c>
      <c r="H2796">
        <v>2</v>
      </c>
      <c r="I2796">
        <v>4</v>
      </c>
      <c r="J2796" s="27">
        <v>6916.99</v>
      </c>
      <c r="K2796" s="27">
        <v>1000000</v>
      </c>
    </row>
    <row r="2797" spans="1:11" ht="15" customHeight="1" x14ac:dyDescent="0.2">
      <c r="A2797" t="s">
        <v>6174</v>
      </c>
      <c r="B2797" t="s">
        <v>6175</v>
      </c>
      <c r="C2797">
        <v>2024</v>
      </c>
      <c r="D2797" s="18">
        <v>45549</v>
      </c>
      <c r="E2797" s="18">
        <v>45913</v>
      </c>
      <c r="F2797" s="18" t="s">
        <v>611</v>
      </c>
      <c r="G2797" t="s">
        <v>99</v>
      </c>
      <c r="H2797">
        <v>1</v>
      </c>
      <c r="I2797">
        <v>1</v>
      </c>
      <c r="J2797" s="27">
        <v>15671.38</v>
      </c>
      <c r="K2797" s="27">
        <v>2000000</v>
      </c>
    </row>
    <row r="2798" spans="1:11" ht="15" customHeight="1" x14ac:dyDescent="0.2">
      <c r="A2798" t="s">
        <v>6176</v>
      </c>
      <c r="B2798" t="s">
        <v>6177</v>
      </c>
      <c r="C2798">
        <v>2024</v>
      </c>
      <c r="D2798" s="18">
        <v>45549</v>
      </c>
      <c r="E2798" s="18">
        <v>45913</v>
      </c>
      <c r="F2798" s="18" t="s">
        <v>611</v>
      </c>
      <c r="G2798" t="s">
        <v>100</v>
      </c>
      <c r="H2798">
        <v>1</v>
      </c>
      <c r="I2798">
        <v>2</v>
      </c>
      <c r="J2798" s="27">
        <v>23850.560000000001</v>
      </c>
      <c r="K2798" s="27">
        <v>2000000</v>
      </c>
    </row>
    <row r="2799" spans="1:11" ht="15" customHeight="1" x14ac:dyDescent="0.2">
      <c r="A2799" t="s">
        <v>6178</v>
      </c>
      <c r="B2799" t="s">
        <v>6179</v>
      </c>
      <c r="C2799">
        <v>2024</v>
      </c>
      <c r="D2799" s="18">
        <v>45549</v>
      </c>
      <c r="E2799" s="18">
        <v>45913</v>
      </c>
      <c r="F2799" s="18" t="s">
        <v>611</v>
      </c>
      <c r="G2799" t="s">
        <v>101</v>
      </c>
      <c r="H2799">
        <v>2</v>
      </c>
      <c r="I2799">
        <v>2</v>
      </c>
      <c r="J2799" s="27">
        <v>28920.91</v>
      </c>
      <c r="K2799" s="27">
        <v>2000000</v>
      </c>
    </row>
    <row r="2800" spans="1:11" ht="15" customHeight="1" x14ac:dyDescent="0.2">
      <c r="A2800" t="s">
        <v>6180</v>
      </c>
      <c r="B2800" t="s">
        <v>6181</v>
      </c>
      <c r="C2800">
        <v>2024</v>
      </c>
      <c r="D2800" s="18">
        <v>45549</v>
      </c>
      <c r="E2800" s="18">
        <v>45913</v>
      </c>
      <c r="F2800" s="18" t="s">
        <v>611</v>
      </c>
      <c r="G2800" t="s">
        <v>102</v>
      </c>
      <c r="H2800">
        <v>2</v>
      </c>
      <c r="I2800">
        <v>4</v>
      </c>
      <c r="J2800" s="27">
        <v>28026.13</v>
      </c>
      <c r="K2800" s="27">
        <v>3500000</v>
      </c>
    </row>
    <row r="2801" spans="1:11" ht="15" customHeight="1" x14ac:dyDescent="0.2">
      <c r="A2801" t="s">
        <v>6182</v>
      </c>
      <c r="B2801" t="s">
        <v>6183</v>
      </c>
      <c r="C2801">
        <v>2024</v>
      </c>
      <c r="D2801" s="18">
        <v>45549</v>
      </c>
      <c r="E2801" s="18">
        <v>45913</v>
      </c>
      <c r="F2801" s="18" t="s">
        <v>611</v>
      </c>
      <c r="G2801" t="s">
        <v>99</v>
      </c>
      <c r="H2801">
        <v>3</v>
      </c>
      <c r="I2801">
        <v>6</v>
      </c>
      <c r="J2801" s="27">
        <v>45376.89</v>
      </c>
      <c r="K2801" s="27">
        <v>5000000</v>
      </c>
    </row>
    <row r="2802" spans="1:11" ht="15" customHeight="1" x14ac:dyDescent="0.2">
      <c r="A2802" t="s">
        <v>6184</v>
      </c>
      <c r="B2802" t="s">
        <v>6185</v>
      </c>
      <c r="C2802">
        <v>2024</v>
      </c>
      <c r="D2802" s="18">
        <v>45549</v>
      </c>
      <c r="E2802" s="18">
        <v>45913</v>
      </c>
      <c r="F2802" s="18" t="s">
        <v>611</v>
      </c>
      <c r="G2802" t="s">
        <v>100</v>
      </c>
      <c r="H2802">
        <v>1</v>
      </c>
      <c r="I2802">
        <v>1</v>
      </c>
      <c r="J2802" s="27">
        <v>129132.45</v>
      </c>
      <c r="K2802" s="27">
        <v>10000000</v>
      </c>
    </row>
    <row r="2803" spans="1:11" ht="15" customHeight="1" x14ac:dyDescent="0.2">
      <c r="A2803" t="s">
        <v>6186</v>
      </c>
      <c r="B2803" t="s">
        <v>6187</v>
      </c>
      <c r="C2803">
        <v>2024</v>
      </c>
      <c r="D2803" s="18">
        <v>45550</v>
      </c>
      <c r="E2803" s="18">
        <v>45914</v>
      </c>
      <c r="F2803" s="18" t="s">
        <v>608</v>
      </c>
      <c r="G2803" t="s">
        <v>99</v>
      </c>
      <c r="H2803">
        <v>3</v>
      </c>
      <c r="I2803">
        <v>3</v>
      </c>
      <c r="J2803" s="27">
        <v>84372.6</v>
      </c>
      <c r="K2803" s="27">
        <v>10000000</v>
      </c>
    </row>
    <row r="2804" spans="1:11" ht="15" customHeight="1" x14ac:dyDescent="0.2">
      <c r="A2804" t="s">
        <v>6188</v>
      </c>
      <c r="B2804" t="s">
        <v>6189</v>
      </c>
      <c r="C2804">
        <v>2024</v>
      </c>
      <c r="D2804" s="18">
        <v>45550</v>
      </c>
      <c r="E2804" s="18">
        <v>45914</v>
      </c>
      <c r="F2804" s="18" t="s">
        <v>611</v>
      </c>
      <c r="G2804" t="s">
        <v>99</v>
      </c>
      <c r="H2804">
        <v>2</v>
      </c>
      <c r="I2804">
        <v>2</v>
      </c>
      <c r="J2804" s="27">
        <v>18379.27</v>
      </c>
      <c r="K2804" s="27">
        <v>2000000</v>
      </c>
    </row>
    <row r="2805" spans="1:11" ht="15" customHeight="1" x14ac:dyDescent="0.2">
      <c r="A2805" t="s">
        <v>6190</v>
      </c>
      <c r="B2805" t="s">
        <v>6191</v>
      </c>
      <c r="C2805">
        <v>2024</v>
      </c>
      <c r="D2805" s="18">
        <v>45550</v>
      </c>
      <c r="E2805" s="18">
        <v>45914</v>
      </c>
      <c r="F2805" s="18" t="s">
        <v>611</v>
      </c>
      <c r="G2805" t="s">
        <v>100</v>
      </c>
      <c r="H2805">
        <v>2</v>
      </c>
      <c r="I2805">
        <v>2</v>
      </c>
      <c r="J2805" s="27">
        <v>13083.4</v>
      </c>
      <c r="K2805" s="27">
        <v>1000000</v>
      </c>
    </row>
    <row r="2806" spans="1:11" ht="15" customHeight="1" x14ac:dyDescent="0.2">
      <c r="A2806" t="s">
        <v>6192</v>
      </c>
      <c r="B2806" t="s">
        <v>6193</v>
      </c>
      <c r="C2806">
        <v>2024</v>
      </c>
      <c r="D2806" s="18">
        <v>45550</v>
      </c>
      <c r="E2806" s="18">
        <v>45914</v>
      </c>
      <c r="F2806" s="18" t="s">
        <v>611</v>
      </c>
      <c r="G2806" t="s">
        <v>101</v>
      </c>
      <c r="H2806">
        <v>2</v>
      </c>
      <c r="I2806">
        <v>4</v>
      </c>
      <c r="J2806" s="27">
        <v>161037.4</v>
      </c>
      <c r="K2806" s="27">
        <v>10000000</v>
      </c>
    </row>
    <row r="2807" spans="1:11" ht="15" customHeight="1" x14ac:dyDescent="0.2">
      <c r="A2807" t="s">
        <v>6194</v>
      </c>
      <c r="B2807" t="s">
        <v>6195</v>
      </c>
      <c r="C2807">
        <v>2024</v>
      </c>
      <c r="D2807" s="18">
        <v>45550</v>
      </c>
      <c r="E2807" s="18">
        <v>45914</v>
      </c>
      <c r="F2807" s="18" t="s">
        <v>611</v>
      </c>
      <c r="G2807" t="s">
        <v>101</v>
      </c>
      <c r="H2807">
        <v>1</v>
      </c>
      <c r="I2807">
        <v>1</v>
      </c>
      <c r="J2807" s="27">
        <v>80120.479999999996</v>
      </c>
      <c r="K2807" s="27">
        <v>5000000</v>
      </c>
    </row>
    <row r="2808" spans="1:11" ht="15" customHeight="1" x14ac:dyDescent="0.2">
      <c r="A2808" t="s">
        <v>6196</v>
      </c>
      <c r="B2808" t="s">
        <v>6197</v>
      </c>
      <c r="C2808">
        <v>2024</v>
      </c>
      <c r="D2808" s="18">
        <v>45550</v>
      </c>
      <c r="E2808" s="18">
        <v>45914</v>
      </c>
      <c r="F2808" s="18" t="s">
        <v>611</v>
      </c>
      <c r="G2808" t="s">
        <v>101</v>
      </c>
      <c r="H2808">
        <v>1</v>
      </c>
      <c r="I2808">
        <v>1</v>
      </c>
      <c r="J2808" s="27">
        <v>71842.47</v>
      </c>
      <c r="K2808" s="27">
        <v>5000000</v>
      </c>
    </row>
    <row r="2809" spans="1:11" ht="15" customHeight="1" x14ac:dyDescent="0.2">
      <c r="A2809" t="s">
        <v>6198</v>
      </c>
      <c r="B2809" t="s">
        <v>6199</v>
      </c>
      <c r="C2809">
        <v>2024</v>
      </c>
      <c r="D2809" s="18">
        <v>45550</v>
      </c>
      <c r="E2809" s="18">
        <v>45914</v>
      </c>
      <c r="F2809" s="18" t="s">
        <v>611</v>
      </c>
      <c r="G2809" t="s">
        <v>100</v>
      </c>
      <c r="H2809">
        <v>3</v>
      </c>
      <c r="I2809">
        <v>6</v>
      </c>
      <c r="J2809" s="27">
        <v>129369.23</v>
      </c>
      <c r="K2809" s="27">
        <v>10000000</v>
      </c>
    </row>
    <row r="2810" spans="1:11" ht="15" customHeight="1" x14ac:dyDescent="0.2">
      <c r="A2810" t="s">
        <v>6200</v>
      </c>
      <c r="B2810" t="s">
        <v>6201</v>
      </c>
      <c r="C2810">
        <v>2024</v>
      </c>
      <c r="D2810" s="18">
        <v>45550</v>
      </c>
      <c r="E2810" s="18">
        <v>45914</v>
      </c>
      <c r="F2810" s="18" t="s">
        <v>611</v>
      </c>
      <c r="G2810" t="s">
        <v>99</v>
      </c>
      <c r="H2810">
        <v>2</v>
      </c>
      <c r="I2810">
        <v>4</v>
      </c>
      <c r="J2810" s="27">
        <v>23338.09</v>
      </c>
      <c r="K2810" s="27">
        <v>3000000</v>
      </c>
    </row>
    <row r="2811" spans="1:11" ht="15" customHeight="1" x14ac:dyDescent="0.2">
      <c r="A2811" t="s">
        <v>6202</v>
      </c>
      <c r="B2811" t="s">
        <v>6203</v>
      </c>
      <c r="C2811">
        <v>2024</v>
      </c>
      <c r="D2811" s="18">
        <v>45550</v>
      </c>
      <c r="E2811" s="18">
        <v>45914</v>
      </c>
      <c r="F2811" s="18" t="s">
        <v>611</v>
      </c>
      <c r="G2811" t="s">
        <v>99</v>
      </c>
      <c r="H2811">
        <v>2</v>
      </c>
      <c r="I2811">
        <v>2</v>
      </c>
      <c r="J2811" s="27">
        <v>78695.14</v>
      </c>
      <c r="K2811" s="27">
        <v>10000000</v>
      </c>
    </row>
    <row r="2812" spans="1:11" ht="15" customHeight="1" x14ac:dyDescent="0.2">
      <c r="A2812" t="s">
        <v>6204</v>
      </c>
      <c r="B2812" t="s">
        <v>6205</v>
      </c>
      <c r="C2812">
        <v>2024</v>
      </c>
      <c r="D2812" s="18">
        <v>45551</v>
      </c>
      <c r="E2812" s="18">
        <v>45915</v>
      </c>
      <c r="F2812" s="18" t="s">
        <v>608</v>
      </c>
      <c r="G2812" t="s">
        <v>99</v>
      </c>
      <c r="H2812">
        <v>1</v>
      </c>
      <c r="I2812">
        <v>2</v>
      </c>
      <c r="J2812" s="27">
        <v>46009.57</v>
      </c>
      <c r="K2812" s="27">
        <v>5000000</v>
      </c>
    </row>
    <row r="2813" spans="1:11" ht="15" customHeight="1" x14ac:dyDescent="0.2">
      <c r="A2813" t="s">
        <v>6206</v>
      </c>
      <c r="B2813" t="s">
        <v>6207</v>
      </c>
      <c r="C2813">
        <v>2024</v>
      </c>
      <c r="D2813" s="18">
        <v>45551</v>
      </c>
      <c r="E2813" s="18">
        <v>45915</v>
      </c>
      <c r="F2813" s="18" t="s">
        <v>611</v>
      </c>
      <c r="G2813" t="s">
        <v>101</v>
      </c>
      <c r="H2813">
        <v>2</v>
      </c>
      <c r="I2813">
        <v>2</v>
      </c>
      <c r="J2813" s="27">
        <v>35350.58</v>
      </c>
      <c r="K2813" s="27">
        <v>2500000</v>
      </c>
    </row>
    <row r="2814" spans="1:11" ht="15" customHeight="1" x14ac:dyDescent="0.2">
      <c r="A2814" t="s">
        <v>6208</v>
      </c>
      <c r="B2814" t="s">
        <v>6209</v>
      </c>
      <c r="C2814">
        <v>2024</v>
      </c>
      <c r="D2814" s="18">
        <v>45551</v>
      </c>
      <c r="E2814" s="18">
        <v>45915</v>
      </c>
      <c r="F2814" s="18" t="s">
        <v>611</v>
      </c>
      <c r="G2814" t="s">
        <v>100</v>
      </c>
      <c r="H2814">
        <v>2</v>
      </c>
      <c r="I2814">
        <v>2</v>
      </c>
      <c r="J2814" s="27">
        <v>118206.5</v>
      </c>
      <c r="K2814" s="27">
        <v>10000000</v>
      </c>
    </row>
    <row r="2815" spans="1:11" ht="15" customHeight="1" x14ac:dyDescent="0.2">
      <c r="A2815" t="s">
        <v>6210</v>
      </c>
      <c r="B2815" t="s">
        <v>6211</v>
      </c>
      <c r="C2815">
        <v>2024</v>
      </c>
      <c r="D2815" s="18">
        <v>45551</v>
      </c>
      <c r="E2815" s="18">
        <v>45915</v>
      </c>
      <c r="F2815" s="18" t="s">
        <v>611</v>
      </c>
      <c r="G2815" t="s">
        <v>101</v>
      </c>
      <c r="H2815">
        <v>3</v>
      </c>
      <c r="I2815">
        <v>3</v>
      </c>
      <c r="J2815" s="27">
        <v>15715.86</v>
      </c>
      <c r="K2815" s="27">
        <v>1000000</v>
      </c>
    </row>
    <row r="2816" spans="1:11" ht="15" customHeight="1" x14ac:dyDescent="0.2">
      <c r="A2816" t="s">
        <v>6212</v>
      </c>
      <c r="B2816" t="s">
        <v>6213</v>
      </c>
      <c r="C2816">
        <v>2024</v>
      </c>
      <c r="D2816" s="18">
        <v>45551</v>
      </c>
      <c r="E2816" s="18">
        <v>45915</v>
      </c>
      <c r="F2816" s="18" t="s">
        <v>611</v>
      </c>
      <c r="G2816" t="s">
        <v>101</v>
      </c>
      <c r="H2816">
        <v>1</v>
      </c>
      <c r="I2816">
        <v>2</v>
      </c>
      <c r="J2816" s="27">
        <v>8316.61</v>
      </c>
      <c r="K2816" s="27">
        <v>500000</v>
      </c>
    </row>
    <row r="2817" spans="1:11" ht="15" customHeight="1" x14ac:dyDescent="0.2">
      <c r="A2817" t="s">
        <v>6214</v>
      </c>
      <c r="B2817" t="s">
        <v>6215</v>
      </c>
      <c r="C2817">
        <v>2024</v>
      </c>
      <c r="D2817" s="18">
        <v>45551</v>
      </c>
      <c r="E2817" s="18">
        <v>45915</v>
      </c>
      <c r="F2817" s="18" t="s">
        <v>611</v>
      </c>
      <c r="G2817" t="s">
        <v>101</v>
      </c>
      <c r="H2817">
        <v>1</v>
      </c>
      <c r="I2817">
        <v>1</v>
      </c>
      <c r="J2817" s="27">
        <v>63279.99</v>
      </c>
      <c r="K2817" s="27">
        <v>4000000</v>
      </c>
    </row>
    <row r="2818" spans="1:11" ht="15" customHeight="1" x14ac:dyDescent="0.2">
      <c r="A2818" t="s">
        <v>6216</v>
      </c>
      <c r="B2818" t="s">
        <v>6217</v>
      </c>
      <c r="C2818">
        <v>2024</v>
      </c>
      <c r="D2818" s="18">
        <v>45551</v>
      </c>
      <c r="E2818" s="18">
        <v>45915</v>
      </c>
      <c r="F2818" s="18" t="s">
        <v>611</v>
      </c>
      <c r="G2818" t="s">
        <v>102</v>
      </c>
      <c r="H2818">
        <v>1</v>
      </c>
      <c r="I2818">
        <v>1</v>
      </c>
      <c r="J2818" s="27">
        <v>23282.19</v>
      </c>
      <c r="K2818" s="27">
        <v>3500000</v>
      </c>
    </row>
    <row r="2819" spans="1:11" ht="15" customHeight="1" x14ac:dyDescent="0.2">
      <c r="A2819" t="s">
        <v>6218</v>
      </c>
      <c r="B2819" t="s">
        <v>6219</v>
      </c>
      <c r="C2819">
        <v>2024</v>
      </c>
      <c r="D2819" s="18">
        <v>45551</v>
      </c>
      <c r="E2819" s="18">
        <v>45915</v>
      </c>
      <c r="F2819" s="18" t="s">
        <v>611</v>
      </c>
      <c r="G2819" t="s">
        <v>101</v>
      </c>
      <c r="H2819">
        <v>1</v>
      </c>
      <c r="I2819">
        <v>2</v>
      </c>
      <c r="J2819" s="27">
        <v>16319.38</v>
      </c>
      <c r="K2819" s="27">
        <v>1000000</v>
      </c>
    </row>
    <row r="2820" spans="1:11" ht="15" customHeight="1" x14ac:dyDescent="0.2">
      <c r="A2820" t="s">
        <v>6220</v>
      </c>
      <c r="B2820" t="s">
        <v>6221</v>
      </c>
      <c r="C2820">
        <v>2024</v>
      </c>
      <c r="D2820" s="18">
        <v>45551</v>
      </c>
      <c r="E2820" s="18">
        <v>45915</v>
      </c>
      <c r="F2820" s="18" t="s">
        <v>611</v>
      </c>
      <c r="G2820" t="s">
        <v>100</v>
      </c>
      <c r="H2820">
        <v>1</v>
      </c>
      <c r="I2820">
        <v>1</v>
      </c>
      <c r="J2820" s="27">
        <v>113813.72</v>
      </c>
      <c r="K2820" s="27">
        <v>10000000</v>
      </c>
    </row>
    <row r="2821" spans="1:11" ht="15" customHeight="1" x14ac:dyDescent="0.2">
      <c r="A2821" t="s">
        <v>6222</v>
      </c>
      <c r="B2821" t="s">
        <v>6223</v>
      </c>
      <c r="C2821">
        <v>2024</v>
      </c>
      <c r="D2821" s="18">
        <v>45551</v>
      </c>
      <c r="E2821" s="18">
        <v>45915</v>
      </c>
      <c r="F2821" s="18" t="s">
        <v>611</v>
      </c>
      <c r="G2821" t="s">
        <v>99</v>
      </c>
      <c r="H2821">
        <v>1</v>
      </c>
      <c r="I2821">
        <v>1</v>
      </c>
      <c r="J2821" s="27">
        <v>75576.12</v>
      </c>
      <c r="K2821" s="27">
        <v>10000000</v>
      </c>
    </row>
    <row r="2822" spans="1:11" ht="15" customHeight="1" x14ac:dyDescent="0.2">
      <c r="A2822" t="s">
        <v>6224</v>
      </c>
      <c r="B2822" t="s">
        <v>6225</v>
      </c>
      <c r="C2822">
        <v>2024</v>
      </c>
      <c r="D2822" s="18">
        <v>45551</v>
      </c>
      <c r="E2822" s="18">
        <v>45915</v>
      </c>
      <c r="F2822" s="18" t="s">
        <v>611</v>
      </c>
      <c r="G2822" t="s">
        <v>101</v>
      </c>
      <c r="H2822">
        <v>1</v>
      </c>
      <c r="I2822">
        <v>1</v>
      </c>
      <c r="J2822" s="27">
        <v>73141.08</v>
      </c>
      <c r="K2822" s="27">
        <v>4500000</v>
      </c>
    </row>
    <row r="2823" spans="1:11" ht="15" customHeight="1" x14ac:dyDescent="0.2">
      <c r="A2823" t="s">
        <v>6226</v>
      </c>
      <c r="B2823" t="s">
        <v>6227</v>
      </c>
      <c r="C2823">
        <v>2024</v>
      </c>
      <c r="D2823" s="18">
        <v>45552</v>
      </c>
      <c r="E2823" s="18">
        <v>45916</v>
      </c>
      <c r="F2823" s="18" t="s">
        <v>608</v>
      </c>
      <c r="G2823" t="s">
        <v>99</v>
      </c>
      <c r="H2823">
        <v>1</v>
      </c>
      <c r="I2823">
        <v>1</v>
      </c>
      <c r="J2823" s="27">
        <v>38384.379999999997</v>
      </c>
      <c r="K2823" s="27">
        <v>5000000</v>
      </c>
    </row>
    <row r="2824" spans="1:11" ht="15" customHeight="1" x14ac:dyDescent="0.2">
      <c r="A2824" t="s">
        <v>6228</v>
      </c>
      <c r="B2824" t="s">
        <v>6229</v>
      </c>
      <c r="C2824">
        <v>2024</v>
      </c>
      <c r="D2824" s="18">
        <v>45552</v>
      </c>
      <c r="E2824" s="18">
        <v>45916</v>
      </c>
      <c r="F2824" s="18" t="s">
        <v>611</v>
      </c>
      <c r="G2824" t="s">
        <v>99</v>
      </c>
      <c r="H2824">
        <v>1</v>
      </c>
      <c r="I2824">
        <v>2</v>
      </c>
      <c r="J2824" s="27">
        <v>13436.07</v>
      </c>
      <c r="K2824" s="27">
        <v>1500000</v>
      </c>
    </row>
    <row r="2825" spans="1:11" ht="15" customHeight="1" x14ac:dyDescent="0.2">
      <c r="A2825" t="s">
        <v>6230</v>
      </c>
      <c r="B2825" t="s">
        <v>6231</v>
      </c>
      <c r="C2825">
        <v>2024</v>
      </c>
      <c r="D2825" s="18">
        <v>45552</v>
      </c>
      <c r="E2825" s="18">
        <v>45916</v>
      </c>
      <c r="F2825" s="18" t="s">
        <v>611</v>
      </c>
      <c r="G2825" t="s">
        <v>99</v>
      </c>
      <c r="H2825">
        <v>1</v>
      </c>
      <c r="I2825">
        <v>1</v>
      </c>
      <c r="J2825" s="27">
        <v>43225.41</v>
      </c>
      <c r="K2825" s="27">
        <v>5000000</v>
      </c>
    </row>
    <row r="2826" spans="1:11" ht="15" customHeight="1" x14ac:dyDescent="0.2">
      <c r="A2826" t="s">
        <v>6232</v>
      </c>
      <c r="B2826" t="s">
        <v>6233</v>
      </c>
      <c r="C2826">
        <v>2024</v>
      </c>
      <c r="D2826" s="18">
        <v>45552</v>
      </c>
      <c r="E2826" s="18">
        <v>45916</v>
      </c>
      <c r="F2826" s="18" t="s">
        <v>611</v>
      </c>
      <c r="G2826" t="s">
        <v>99</v>
      </c>
      <c r="H2826">
        <v>1</v>
      </c>
      <c r="I2826">
        <v>1</v>
      </c>
      <c r="J2826" s="27">
        <v>41984.01</v>
      </c>
      <c r="K2826" s="27">
        <v>5000000</v>
      </c>
    </row>
    <row r="2827" spans="1:11" ht="15" customHeight="1" x14ac:dyDescent="0.2">
      <c r="A2827" t="s">
        <v>6234</v>
      </c>
      <c r="B2827" t="s">
        <v>6235</v>
      </c>
      <c r="C2827">
        <v>2024</v>
      </c>
      <c r="D2827" s="18">
        <v>45552</v>
      </c>
      <c r="E2827" s="18">
        <v>45916</v>
      </c>
      <c r="F2827" s="18" t="s">
        <v>611</v>
      </c>
      <c r="G2827" t="s">
        <v>100</v>
      </c>
      <c r="H2827">
        <v>2</v>
      </c>
      <c r="I2827">
        <v>4</v>
      </c>
      <c r="J2827" s="27">
        <v>133488.98000000001</v>
      </c>
      <c r="K2827" s="27">
        <v>10000000</v>
      </c>
    </row>
    <row r="2828" spans="1:11" ht="15" customHeight="1" x14ac:dyDescent="0.2">
      <c r="A2828" t="s">
        <v>6236</v>
      </c>
      <c r="B2828" t="s">
        <v>6237</v>
      </c>
      <c r="C2828">
        <v>2024</v>
      </c>
      <c r="D2828" s="18">
        <v>45552</v>
      </c>
      <c r="E2828" s="18">
        <v>45916</v>
      </c>
      <c r="F2828" s="18" t="s">
        <v>611</v>
      </c>
      <c r="G2828" t="s">
        <v>99</v>
      </c>
      <c r="H2828">
        <v>1</v>
      </c>
      <c r="I2828">
        <v>2</v>
      </c>
      <c r="J2828" s="27">
        <v>27188.27</v>
      </c>
      <c r="K2828" s="27">
        <v>3500000</v>
      </c>
    </row>
    <row r="2829" spans="1:11" ht="15" customHeight="1" x14ac:dyDescent="0.2">
      <c r="A2829" t="s">
        <v>6238</v>
      </c>
      <c r="B2829" t="s">
        <v>6239</v>
      </c>
      <c r="C2829">
        <v>2024</v>
      </c>
      <c r="D2829" s="18">
        <v>45552</v>
      </c>
      <c r="E2829" s="18">
        <v>45916</v>
      </c>
      <c r="F2829" s="18" t="s">
        <v>611</v>
      </c>
      <c r="G2829" t="s">
        <v>100</v>
      </c>
      <c r="H2829">
        <v>1</v>
      </c>
      <c r="I2829">
        <v>2</v>
      </c>
      <c r="J2829" s="27">
        <v>53033.63</v>
      </c>
      <c r="K2829" s="27">
        <v>4000000</v>
      </c>
    </row>
    <row r="2830" spans="1:11" ht="15" customHeight="1" x14ac:dyDescent="0.2">
      <c r="A2830" t="s">
        <v>6240</v>
      </c>
      <c r="B2830" t="s">
        <v>6241</v>
      </c>
      <c r="C2830">
        <v>2024</v>
      </c>
      <c r="D2830" s="18">
        <v>45553</v>
      </c>
      <c r="E2830" s="18">
        <v>45917</v>
      </c>
      <c r="F2830" s="18" t="s">
        <v>611</v>
      </c>
      <c r="G2830" t="s">
        <v>101</v>
      </c>
      <c r="H2830">
        <v>2</v>
      </c>
      <c r="I2830">
        <v>4</v>
      </c>
      <c r="J2830" s="27">
        <v>33006.620000000003</v>
      </c>
      <c r="K2830" s="27">
        <v>2000000</v>
      </c>
    </row>
    <row r="2831" spans="1:11" ht="15" customHeight="1" x14ac:dyDescent="0.2">
      <c r="A2831" t="s">
        <v>6242</v>
      </c>
      <c r="B2831" t="s">
        <v>6243</v>
      </c>
      <c r="C2831">
        <v>2024</v>
      </c>
      <c r="D2831" s="18">
        <v>45553</v>
      </c>
      <c r="E2831" s="18">
        <v>45917</v>
      </c>
      <c r="F2831" s="18" t="s">
        <v>611</v>
      </c>
      <c r="G2831" t="s">
        <v>99</v>
      </c>
      <c r="H2831">
        <v>1</v>
      </c>
      <c r="I2831">
        <v>1</v>
      </c>
      <c r="J2831" s="27">
        <v>8463.1299999999992</v>
      </c>
      <c r="K2831" s="27">
        <v>1000000</v>
      </c>
    </row>
    <row r="2832" spans="1:11" ht="15" customHeight="1" x14ac:dyDescent="0.2">
      <c r="A2832" t="s">
        <v>6244</v>
      </c>
      <c r="B2832" t="s">
        <v>6245</v>
      </c>
      <c r="C2832">
        <v>2024</v>
      </c>
      <c r="D2832" s="18">
        <v>45553</v>
      </c>
      <c r="E2832" s="18">
        <v>45917</v>
      </c>
      <c r="F2832" s="18" t="s">
        <v>611</v>
      </c>
      <c r="G2832" t="s">
        <v>100</v>
      </c>
      <c r="H2832">
        <v>2</v>
      </c>
      <c r="I2832">
        <v>2</v>
      </c>
      <c r="J2832" s="27">
        <v>25742.73</v>
      </c>
      <c r="K2832" s="27">
        <v>2000000</v>
      </c>
    </row>
    <row r="2833" spans="1:11" ht="15" customHeight="1" x14ac:dyDescent="0.2">
      <c r="A2833" t="s">
        <v>6246</v>
      </c>
      <c r="B2833" t="s">
        <v>6247</v>
      </c>
      <c r="C2833">
        <v>2024</v>
      </c>
      <c r="D2833" s="18">
        <v>45553</v>
      </c>
      <c r="E2833" s="18">
        <v>45917</v>
      </c>
      <c r="F2833" s="18" t="s">
        <v>611</v>
      </c>
      <c r="G2833" t="s">
        <v>99</v>
      </c>
      <c r="H2833">
        <v>1</v>
      </c>
      <c r="I2833">
        <v>1</v>
      </c>
      <c r="J2833" s="27">
        <v>12864.41</v>
      </c>
      <c r="K2833" s="27">
        <v>1500000</v>
      </c>
    </row>
    <row r="2834" spans="1:11" ht="15" customHeight="1" x14ac:dyDescent="0.2">
      <c r="A2834" t="s">
        <v>6248</v>
      </c>
      <c r="B2834" t="s">
        <v>6249</v>
      </c>
      <c r="C2834">
        <v>2024</v>
      </c>
      <c r="D2834" s="18">
        <v>45553</v>
      </c>
      <c r="E2834" s="18">
        <v>45917</v>
      </c>
      <c r="F2834" s="18" t="s">
        <v>611</v>
      </c>
      <c r="G2834" t="s">
        <v>101</v>
      </c>
      <c r="H2834">
        <v>3</v>
      </c>
      <c r="I2834">
        <v>6</v>
      </c>
      <c r="J2834" s="27">
        <v>15885</v>
      </c>
      <c r="K2834" s="27">
        <v>1000000</v>
      </c>
    </row>
    <row r="2835" spans="1:11" ht="15" customHeight="1" x14ac:dyDescent="0.2">
      <c r="A2835" t="s">
        <v>6250</v>
      </c>
      <c r="B2835" t="s">
        <v>6251</v>
      </c>
      <c r="C2835">
        <v>2024</v>
      </c>
      <c r="D2835" s="18">
        <v>45553</v>
      </c>
      <c r="E2835" s="18">
        <v>45917</v>
      </c>
      <c r="F2835" s="18" t="s">
        <v>611</v>
      </c>
      <c r="G2835" t="s">
        <v>99</v>
      </c>
      <c r="H2835">
        <v>2</v>
      </c>
      <c r="I2835">
        <v>4</v>
      </c>
      <c r="J2835" s="27">
        <v>91517.6</v>
      </c>
      <c r="K2835" s="27">
        <v>10000000</v>
      </c>
    </row>
    <row r="2836" spans="1:11" ht="15" customHeight="1" x14ac:dyDescent="0.2">
      <c r="A2836" t="s">
        <v>6252</v>
      </c>
      <c r="B2836" t="s">
        <v>6253</v>
      </c>
      <c r="C2836">
        <v>2024</v>
      </c>
      <c r="D2836" s="18">
        <v>45553</v>
      </c>
      <c r="E2836" s="18">
        <v>45917</v>
      </c>
      <c r="F2836" s="18" t="s">
        <v>611</v>
      </c>
      <c r="G2836" t="s">
        <v>101</v>
      </c>
      <c r="H2836">
        <v>3</v>
      </c>
      <c r="I2836">
        <v>6</v>
      </c>
      <c r="J2836" s="27">
        <v>36639.72</v>
      </c>
      <c r="K2836" s="27">
        <v>2500000</v>
      </c>
    </row>
    <row r="2837" spans="1:11" ht="15" customHeight="1" x14ac:dyDescent="0.2">
      <c r="A2837" t="s">
        <v>6254</v>
      </c>
      <c r="B2837" t="s">
        <v>6255</v>
      </c>
      <c r="C2837">
        <v>2024</v>
      </c>
      <c r="D2837" s="18">
        <v>45554</v>
      </c>
      <c r="E2837" s="18">
        <v>45918</v>
      </c>
      <c r="F2837" s="18" t="s">
        <v>608</v>
      </c>
      <c r="G2837" t="s">
        <v>102</v>
      </c>
      <c r="H2837">
        <v>2</v>
      </c>
      <c r="I2837">
        <v>2</v>
      </c>
      <c r="J2837" s="27">
        <v>65949.3</v>
      </c>
      <c r="K2837" s="27">
        <v>10000000</v>
      </c>
    </row>
    <row r="2838" spans="1:11" ht="15" customHeight="1" x14ac:dyDescent="0.2">
      <c r="A2838" t="s">
        <v>6256</v>
      </c>
      <c r="B2838" t="s">
        <v>6257</v>
      </c>
      <c r="C2838">
        <v>2024</v>
      </c>
      <c r="D2838" s="18">
        <v>45554</v>
      </c>
      <c r="E2838" s="18">
        <v>45918</v>
      </c>
      <c r="F2838" s="18" t="s">
        <v>608</v>
      </c>
      <c r="G2838" t="s">
        <v>99</v>
      </c>
      <c r="H2838">
        <v>1</v>
      </c>
      <c r="I2838">
        <v>1</v>
      </c>
      <c r="J2838" s="27">
        <v>16624.87</v>
      </c>
      <c r="K2838" s="27">
        <v>2000000</v>
      </c>
    </row>
    <row r="2839" spans="1:11" ht="15" customHeight="1" x14ac:dyDescent="0.2">
      <c r="A2839" t="s">
        <v>6258</v>
      </c>
      <c r="B2839" t="s">
        <v>6259</v>
      </c>
      <c r="C2839">
        <v>2024</v>
      </c>
      <c r="D2839" s="18">
        <v>45554</v>
      </c>
      <c r="E2839" s="18">
        <v>45918</v>
      </c>
      <c r="F2839" s="18" t="s">
        <v>608</v>
      </c>
      <c r="G2839" t="s">
        <v>101</v>
      </c>
      <c r="H2839">
        <v>2</v>
      </c>
      <c r="I2839">
        <v>2</v>
      </c>
      <c r="J2839" s="27">
        <v>163160.56</v>
      </c>
      <c r="K2839" s="27">
        <v>10000000</v>
      </c>
    </row>
    <row r="2840" spans="1:11" ht="15" customHeight="1" x14ac:dyDescent="0.2">
      <c r="A2840" t="s">
        <v>6260</v>
      </c>
      <c r="B2840" t="s">
        <v>6261</v>
      </c>
      <c r="C2840">
        <v>2024</v>
      </c>
      <c r="D2840" s="18">
        <v>45554</v>
      </c>
      <c r="E2840" s="18">
        <v>45918</v>
      </c>
      <c r="F2840" s="18" t="s">
        <v>611</v>
      </c>
      <c r="G2840" t="s">
        <v>99</v>
      </c>
      <c r="H2840">
        <v>2</v>
      </c>
      <c r="I2840">
        <v>4</v>
      </c>
      <c r="J2840" s="27">
        <v>34797.53</v>
      </c>
      <c r="K2840" s="27">
        <v>4000000</v>
      </c>
    </row>
    <row r="2841" spans="1:11" ht="15" customHeight="1" x14ac:dyDescent="0.2">
      <c r="A2841" t="s">
        <v>6262</v>
      </c>
      <c r="B2841" t="s">
        <v>6263</v>
      </c>
      <c r="C2841">
        <v>2024</v>
      </c>
      <c r="D2841" s="18">
        <v>45554</v>
      </c>
      <c r="E2841" s="18">
        <v>45918</v>
      </c>
      <c r="F2841" s="18" t="s">
        <v>611</v>
      </c>
      <c r="G2841" t="s">
        <v>100</v>
      </c>
      <c r="H2841">
        <v>2</v>
      </c>
      <c r="I2841">
        <v>2</v>
      </c>
      <c r="J2841" s="27">
        <v>11121.71</v>
      </c>
      <c r="K2841" s="27">
        <v>1000000</v>
      </c>
    </row>
    <row r="2842" spans="1:11" ht="15" customHeight="1" x14ac:dyDescent="0.2">
      <c r="A2842" t="s">
        <v>6264</v>
      </c>
      <c r="B2842" t="s">
        <v>6265</v>
      </c>
      <c r="C2842">
        <v>2024</v>
      </c>
      <c r="D2842" s="18">
        <v>45554</v>
      </c>
      <c r="E2842" s="18">
        <v>45918</v>
      </c>
      <c r="F2842" s="18" t="s">
        <v>611</v>
      </c>
      <c r="G2842" t="s">
        <v>102</v>
      </c>
      <c r="H2842">
        <v>2</v>
      </c>
      <c r="I2842">
        <v>2</v>
      </c>
      <c r="J2842" s="27">
        <v>36950.559999999998</v>
      </c>
      <c r="K2842" s="27">
        <v>5000000</v>
      </c>
    </row>
    <row r="2843" spans="1:11" ht="15" customHeight="1" x14ac:dyDescent="0.2">
      <c r="A2843" t="s">
        <v>6266</v>
      </c>
      <c r="B2843" t="s">
        <v>6267</v>
      </c>
      <c r="C2843">
        <v>2024</v>
      </c>
      <c r="D2843" s="18">
        <v>45554</v>
      </c>
      <c r="E2843" s="18">
        <v>45918</v>
      </c>
      <c r="F2843" s="18" t="s">
        <v>611</v>
      </c>
      <c r="G2843" t="s">
        <v>102</v>
      </c>
      <c r="H2843">
        <v>2</v>
      </c>
      <c r="I2843">
        <v>2</v>
      </c>
      <c r="J2843" s="27">
        <v>37984.71</v>
      </c>
      <c r="K2843" s="27">
        <v>5000000</v>
      </c>
    </row>
    <row r="2844" spans="1:11" ht="15" customHeight="1" x14ac:dyDescent="0.2">
      <c r="A2844" t="s">
        <v>6268</v>
      </c>
      <c r="B2844" t="s">
        <v>6269</v>
      </c>
      <c r="C2844">
        <v>2024</v>
      </c>
      <c r="D2844" s="18">
        <v>45555</v>
      </c>
      <c r="E2844" s="18">
        <v>45919</v>
      </c>
      <c r="F2844" s="18" t="s">
        <v>611</v>
      </c>
      <c r="G2844" t="s">
        <v>99</v>
      </c>
      <c r="H2844">
        <v>2</v>
      </c>
      <c r="I2844">
        <v>2</v>
      </c>
      <c r="J2844" s="27">
        <v>18054.349999999999</v>
      </c>
      <c r="K2844" s="27">
        <v>2000000</v>
      </c>
    </row>
    <row r="2845" spans="1:11" ht="15" customHeight="1" x14ac:dyDescent="0.2">
      <c r="A2845" t="s">
        <v>6270</v>
      </c>
      <c r="B2845" t="s">
        <v>6271</v>
      </c>
      <c r="C2845">
        <v>2024</v>
      </c>
      <c r="D2845" s="18">
        <v>45555</v>
      </c>
      <c r="E2845" s="18">
        <v>45919</v>
      </c>
      <c r="F2845" s="18" t="s">
        <v>611</v>
      </c>
      <c r="G2845" t="s">
        <v>100</v>
      </c>
      <c r="H2845">
        <v>1</v>
      </c>
      <c r="I2845">
        <v>1</v>
      </c>
      <c r="J2845" s="27">
        <v>131684.34</v>
      </c>
      <c r="K2845" s="27">
        <v>10000000</v>
      </c>
    </row>
    <row r="2846" spans="1:11" ht="15" customHeight="1" x14ac:dyDescent="0.2">
      <c r="A2846" t="s">
        <v>6272</v>
      </c>
      <c r="B2846" t="s">
        <v>6273</v>
      </c>
      <c r="C2846">
        <v>2024</v>
      </c>
      <c r="D2846" s="18">
        <v>45555</v>
      </c>
      <c r="E2846" s="18">
        <v>45919</v>
      </c>
      <c r="F2846" s="18" t="s">
        <v>611</v>
      </c>
      <c r="G2846" t="s">
        <v>99</v>
      </c>
      <c r="H2846">
        <v>1</v>
      </c>
      <c r="I2846">
        <v>1</v>
      </c>
      <c r="J2846" s="27">
        <v>24050.43</v>
      </c>
      <c r="K2846" s="27">
        <v>3000000</v>
      </c>
    </row>
    <row r="2847" spans="1:11" ht="15" customHeight="1" x14ac:dyDescent="0.2">
      <c r="A2847" t="s">
        <v>6274</v>
      </c>
      <c r="B2847" t="s">
        <v>6275</v>
      </c>
      <c r="C2847">
        <v>2024</v>
      </c>
      <c r="D2847" s="18">
        <v>45555</v>
      </c>
      <c r="E2847" s="18">
        <v>45919</v>
      </c>
      <c r="F2847" s="18" t="s">
        <v>611</v>
      </c>
      <c r="G2847" t="s">
        <v>102</v>
      </c>
      <c r="H2847">
        <v>1</v>
      </c>
      <c r="I2847">
        <v>1</v>
      </c>
      <c r="J2847" s="27">
        <v>69229.460000000006</v>
      </c>
      <c r="K2847" s="27">
        <v>10000000</v>
      </c>
    </row>
    <row r="2848" spans="1:11" ht="15" customHeight="1" x14ac:dyDescent="0.2">
      <c r="A2848" t="s">
        <v>6276</v>
      </c>
      <c r="B2848" t="s">
        <v>6277</v>
      </c>
      <c r="C2848">
        <v>2024</v>
      </c>
      <c r="D2848" s="18">
        <v>45555</v>
      </c>
      <c r="E2848" s="18">
        <v>45919</v>
      </c>
      <c r="F2848" s="18" t="s">
        <v>611</v>
      </c>
      <c r="G2848" t="s">
        <v>102</v>
      </c>
      <c r="H2848">
        <v>1</v>
      </c>
      <c r="I2848">
        <v>1</v>
      </c>
      <c r="J2848" s="27">
        <v>67765.17</v>
      </c>
      <c r="K2848" s="27">
        <v>10000000</v>
      </c>
    </row>
    <row r="2849" spans="1:11" ht="15" customHeight="1" x14ac:dyDescent="0.2">
      <c r="A2849" t="s">
        <v>6278</v>
      </c>
      <c r="B2849" t="s">
        <v>6279</v>
      </c>
      <c r="C2849">
        <v>2024</v>
      </c>
      <c r="D2849" s="18">
        <v>45555</v>
      </c>
      <c r="E2849" s="18">
        <v>45919</v>
      </c>
      <c r="F2849" s="18" t="s">
        <v>611</v>
      </c>
      <c r="G2849" t="s">
        <v>101</v>
      </c>
      <c r="H2849">
        <v>1</v>
      </c>
      <c r="I2849">
        <v>1</v>
      </c>
      <c r="J2849" s="27">
        <v>158474.19</v>
      </c>
      <c r="K2849" s="27">
        <v>10000000</v>
      </c>
    </row>
    <row r="2850" spans="1:11" ht="15" customHeight="1" x14ac:dyDescent="0.2">
      <c r="A2850" t="s">
        <v>6280</v>
      </c>
      <c r="B2850" t="s">
        <v>6281</v>
      </c>
      <c r="C2850">
        <v>2024</v>
      </c>
      <c r="D2850" s="18">
        <v>45555</v>
      </c>
      <c r="E2850" s="18">
        <v>45919</v>
      </c>
      <c r="F2850" s="18" t="s">
        <v>611</v>
      </c>
      <c r="G2850" t="s">
        <v>101</v>
      </c>
      <c r="H2850">
        <v>2</v>
      </c>
      <c r="I2850">
        <v>4</v>
      </c>
      <c r="J2850" s="27">
        <v>55491.66</v>
      </c>
      <c r="K2850" s="27">
        <v>3500000</v>
      </c>
    </row>
    <row r="2851" spans="1:11" ht="15" customHeight="1" x14ac:dyDescent="0.2">
      <c r="A2851" t="s">
        <v>6282</v>
      </c>
      <c r="B2851" t="s">
        <v>6283</v>
      </c>
      <c r="C2851">
        <v>2024</v>
      </c>
      <c r="D2851" s="18">
        <v>45555</v>
      </c>
      <c r="E2851" s="18">
        <v>45919</v>
      </c>
      <c r="F2851" s="18" t="s">
        <v>611</v>
      </c>
      <c r="G2851" t="s">
        <v>101</v>
      </c>
      <c r="H2851">
        <v>1</v>
      </c>
      <c r="I2851">
        <v>1</v>
      </c>
      <c r="J2851" s="27">
        <v>151750.51</v>
      </c>
      <c r="K2851" s="27">
        <v>10000000</v>
      </c>
    </row>
    <row r="2852" spans="1:11" ht="15" customHeight="1" x14ac:dyDescent="0.2">
      <c r="A2852" t="s">
        <v>6284</v>
      </c>
      <c r="B2852" t="s">
        <v>6285</v>
      </c>
      <c r="C2852">
        <v>2024</v>
      </c>
      <c r="D2852" s="18">
        <v>45555</v>
      </c>
      <c r="E2852" s="18">
        <v>45919</v>
      </c>
      <c r="F2852" s="18" t="s">
        <v>611</v>
      </c>
      <c r="G2852" t="s">
        <v>99</v>
      </c>
      <c r="H2852">
        <v>1</v>
      </c>
      <c r="I2852">
        <v>2</v>
      </c>
      <c r="J2852" s="27">
        <v>81098.92</v>
      </c>
      <c r="K2852" s="27">
        <v>10000000</v>
      </c>
    </row>
    <row r="2853" spans="1:11" ht="15" customHeight="1" x14ac:dyDescent="0.2">
      <c r="A2853" t="s">
        <v>6286</v>
      </c>
      <c r="B2853" t="s">
        <v>6287</v>
      </c>
      <c r="C2853">
        <v>2024</v>
      </c>
      <c r="D2853" s="18">
        <v>45556</v>
      </c>
      <c r="E2853" s="18">
        <v>45920</v>
      </c>
      <c r="F2853" s="18" t="s">
        <v>611</v>
      </c>
      <c r="G2853" t="s">
        <v>99</v>
      </c>
      <c r="H2853">
        <v>3</v>
      </c>
      <c r="I2853">
        <v>3</v>
      </c>
      <c r="J2853" s="27">
        <v>11591.67</v>
      </c>
      <c r="K2853" s="27">
        <v>1500000</v>
      </c>
    </row>
    <row r="2854" spans="1:11" ht="15" customHeight="1" x14ac:dyDescent="0.2">
      <c r="A2854" t="s">
        <v>6288</v>
      </c>
      <c r="B2854" t="s">
        <v>6289</v>
      </c>
      <c r="C2854">
        <v>2024</v>
      </c>
      <c r="D2854" s="18">
        <v>45556</v>
      </c>
      <c r="E2854" s="18">
        <v>45920</v>
      </c>
      <c r="F2854" s="18" t="s">
        <v>611</v>
      </c>
      <c r="G2854" t="s">
        <v>100</v>
      </c>
      <c r="H2854">
        <v>1</v>
      </c>
      <c r="I2854">
        <v>1</v>
      </c>
      <c r="J2854" s="27">
        <v>60113.31</v>
      </c>
      <c r="K2854" s="27">
        <v>5000000</v>
      </c>
    </row>
    <row r="2855" spans="1:11" ht="15" customHeight="1" x14ac:dyDescent="0.2">
      <c r="A2855" t="s">
        <v>6290</v>
      </c>
      <c r="B2855" t="s">
        <v>6291</v>
      </c>
      <c r="C2855">
        <v>2024</v>
      </c>
      <c r="D2855" s="18">
        <v>45556</v>
      </c>
      <c r="E2855" s="18">
        <v>45920</v>
      </c>
      <c r="F2855" s="18" t="s">
        <v>611</v>
      </c>
      <c r="G2855" t="s">
        <v>99</v>
      </c>
      <c r="H2855">
        <v>2</v>
      </c>
      <c r="I2855">
        <v>4</v>
      </c>
      <c r="J2855" s="27">
        <v>27048.04</v>
      </c>
      <c r="K2855" s="27">
        <v>3500000</v>
      </c>
    </row>
    <row r="2856" spans="1:11" ht="15" customHeight="1" x14ac:dyDescent="0.2">
      <c r="A2856" t="s">
        <v>6292</v>
      </c>
      <c r="B2856" t="s">
        <v>6293</v>
      </c>
      <c r="C2856">
        <v>2024</v>
      </c>
      <c r="D2856" s="18">
        <v>45556</v>
      </c>
      <c r="E2856" s="18">
        <v>45920</v>
      </c>
      <c r="F2856" s="18" t="s">
        <v>611</v>
      </c>
      <c r="G2856" t="s">
        <v>100</v>
      </c>
      <c r="H2856">
        <v>2</v>
      </c>
      <c r="I2856">
        <v>2</v>
      </c>
      <c r="J2856" s="27">
        <v>33040.6</v>
      </c>
      <c r="K2856" s="27">
        <v>2500000</v>
      </c>
    </row>
    <row r="2857" spans="1:11" ht="15" customHeight="1" x14ac:dyDescent="0.2">
      <c r="A2857" t="s">
        <v>6294</v>
      </c>
      <c r="B2857" t="s">
        <v>6295</v>
      </c>
      <c r="C2857">
        <v>2024</v>
      </c>
      <c r="D2857" s="18">
        <v>45556</v>
      </c>
      <c r="E2857" s="18">
        <v>45920</v>
      </c>
      <c r="F2857" s="18" t="s">
        <v>611</v>
      </c>
      <c r="G2857" t="s">
        <v>101</v>
      </c>
      <c r="H2857">
        <v>2</v>
      </c>
      <c r="I2857">
        <v>4</v>
      </c>
      <c r="J2857" s="27">
        <v>63067.12</v>
      </c>
      <c r="K2857" s="27">
        <v>4500000</v>
      </c>
    </row>
    <row r="2858" spans="1:11" ht="15" customHeight="1" x14ac:dyDescent="0.2">
      <c r="A2858" t="s">
        <v>6296</v>
      </c>
      <c r="B2858" t="s">
        <v>6297</v>
      </c>
      <c r="C2858">
        <v>2024</v>
      </c>
      <c r="D2858" s="18">
        <v>45556</v>
      </c>
      <c r="E2858" s="18">
        <v>45920</v>
      </c>
      <c r="F2858" s="18" t="s">
        <v>611</v>
      </c>
      <c r="G2858" t="s">
        <v>100</v>
      </c>
      <c r="H2858">
        <v>3</v>
      </c>
      <c r="I2858">
        <v>6</v>
      </c>
      <c r="J2858" s="27">
        <v>53946.36</v>
      </c>
      <c r="K2858" s="27">
        <v>4000000</v>
      </c>
    </row>
    <row r="2859" spans="1:11" ht="15" customHeight="1" x14ac:dyDescent="0.2">
      <c r="A2859" t="s">
        <v>6298</v>
      </c>
      <c r="B2859" t="s">
        <v>6299</v>
      </c>
      <c r="C2859">
        <v>2024</v>
      </c>
      <c r="D2859" s="18">
        <v>45556</v>
      </c>
      <c r="E2859" s="18">
        <v>45920</v>
      </c>
      <c r="F2859" s="18" t="s">
        <v>611</v>
      </c>
      <c r="G2859" t="s">
        <v>99</v>
      </c>
      <c r="H2859">
        <v>2</v>
      </c>
      <c r="I2859">
        <v>2</v>
      </c>
      <c r="J2859" s="27">
        <v>8880.42</v>
      </c>
      <c r="K2859" s="27">
        <v>1000000</v>
      </c>
    </row>
    <row r="2860" spans="1:11" ht="15" customHeight="1" x14ac:dyDescent="0.2">
      <c r="A2860" t="s">
        <v>6300</v>
      </c>
      <c r="B2860" t="s">
        <v>6301</v>
      </c>
      <c r="C2860">
        <v>2024</v>
      </c>
      <c r="D2860" s="18">
        <v>45556</v>
      </c>
      <c r="E2860" s="18">
        <v>45920</v>
      </c>
      <c r="F2860" s="18" t="s">
        <v>611</v>
      </c>
      <c r="G2860" t="s">
        <v>100</v>
      </c>
      <c r="H2860">
        <v>1</v>
      </c>
      <c r="I2860">
        <v>1</v>
      </c>
      <c r="J2860" s="27">
        <v>20172.43</v>
      </c>
      <c r="K2860" s="27">
        <v>1500000</v>
      </c>
    </row>
    <row r="2861" spans="1:11" ht="15" customHeight="1" x14ac:dyDescent="0.2">
      <c r="A2861" t="s">
        <v>6302</v>
      </c>
      <c r="B2861" t="s">
        <v>6303</v>
      </c>
      <c r="C2861">
        <v>2024</v>
      </c>
      <c r="D2861" s="18">
        <v>45556</v>
      </c>
      <c r="E2861" s="18">
        <v>45920</v>
      </c>
      <c r="F2861" s="18" t="s">
        <v>611</v>
      </c>
      <c r="G2861" t="s">
        <v>101</v>
      </c>
      <c r="H2861">
        <v>1</v>
      </c>
      <c r="I2861">
        <v>1</v>
      </c>
      <c r="J2861" s="27">
        <v>164920.67000000001</v>
      </c>
      <c r="K2861" s="27">
        <v>10000000</v>
      </c>
    </row>
    <row r="2862" spans="1:11" ht="15" customHeight="1" x14ac:dyDescent="0.2">
      <c r="A2862" t="s">
        <v>6304</v>
      </c>
      <c r="B2862" t="s">
        <v>6305</v>
      </c>
      <c r="C2862">
        <v>2024</v>
      </c>
      <c r="D2862" s="18">
        <v>45557</v>
      </c>
      <c r="E2862" s="18">
        <v>45921</v>
      </c>
      <c r="F2862" s="18" t="s">
        <v>608</v>
      </c>
      <c r="G2862" t="s">
        <v>100</v>
      </c>
      <c r="H2862">
        <v>3</v>
      </c>
      <c r="I2862">
        <v>3</v>
      </c>
      <c r="J2862" s="27">
        <v>63705.54</v>
      </c>
      <c r="K2862" s="27">
        <v>5000000</v>
      </c>
    </row>
    <row r="2863" spans="1:11" ht="15" customHeight="1" x14ac:dyDescent="0.2">
      <c r="A2863" t="s">
        <v>6306</v>
      </c>
      <c r="B2863" t="s">
        <v>6307</v>
      </c>
      <c r="C2863">
        <v>2024</v>
      </c>
      <c r="D2863" s="18">
        <v>45557</v>
      </c>
      <c r="E2863" s="18">
        <v>45921</v>
      </c>
      <c r="F2863" s="18" t="s">
        <v>611</v>
      </c>
      <c r="G2863" t="s">
        <v>101</v>
      </c>
      <c r="H2863">
        <v>1</v>
      </c>
      <c r="I2863">
        <v>2</v>
      </c>
      <c r="J2863" s="27">
        <v>60380.29</v>
      </c>
      <c r="K2863" s="27">
        <v>4000000</v>
      </c>
    </row>
    <row r="2864" spans="1:11" ht="15" customHeight="1" x14ac:dyDescent="0.2">
      <c r="A2864" t="s">
        <v>6308</v>
      </c>
      <c r="B2864" t="s">
        <v>6309</v>
      </c>
      <c r="C2864">
        <v>2024</v>
      </c>
      <c r="D2864" s="18">
        <v>45557</v>
      </c>
      <c r="E2864" s="18">
        <v>45921</v>
      </c>
      <c r="F2864" s="18" t="s">
        <v>611</v>
      </c>
      <c r="G2864" t="s">
        <v>101</v>
      </c>
      <c r="H2864">
        <v>2</v>
      </c>
      <c r="I2864">
        <v>2</v>
      </c>
      <c r="J2864" s="27">
        <v>77108</v>
      </c>
      <c r="K2864" s="27">
        <v>5000000</v>
      </c>
    </row>
    <row r="2865" spans="1:11" ht="15" customHeight="1" x14ac:dyDescent="0.2">
      <c r="A2865" t="s">
        <v>6310</v>
      </c>
      <c r="B2865" t="s">
        <v>6311</v>
      </c>
      <c r="C2865">
        <v>2024</v>
      </c>
      <c r="D2865" s="18">
        <v>45557</v>
      </c>
      <c r="E2865" s="18">
        <v>45921</v>
      </c>
      <c r="F2865" s="18" t="s">
        <v>611</v>
      </c>
      <c r="G2865" t="s">
        <v>99</v>
      </c>
      <c r="H2865">
        <v>1</v>
      </c>
      <c r="I2865">
        <v>2</v>
      </c>
      <c r="J2865" s="27">
        <v>77487.33</v>
      </c>
      <c r="K2865" s="27">
        <v>10000000</v>
      </c>
    </row>
    <row r="2866" spans="1:11" ht="15" customHeight="1" x14ac:dyDescent="0.2">
      <c r="A2866" t="s">
        <v>6312</v>
      </c>
      <c r="B2866" t="s">
        <v>6313</v>
      </c>
      <c r="C2866">
        <v>2024</v>
      </c>
      <c r="D2866" s="18">
        <v>45557</v>
      </c>
      <c r="E2866" s="18">
        <v>45921</v>
      </c>
      <c r="F2866" s="18" t="s">
        <v>611</v>
      </c>
      <c r="G2866" t="s">
        <v>100</v>
      </c>
      <c r="H2866">
        <v>2</v>
      </c>
      <c r="I2866">
        <v>4</v>
      </c>
      <c r="J2866" s="27">
        <v>29523.69</v>
      </c>
      <c r="K2866" s="27">
        <v>2500000</v>
      </c>
    </row>
    <row r="2867" spans="1:11" ht="15" customHeight="1" x14ac:dyDescent="0.2">
      <c r="A2867" t="s">
        <v>6314</v>
      </c>
      <c r="B2867" t="s">
        <v>6315</v>
      </c>
      <c r="C2867">
        <v>2024</v>
      </c>
      <c r="D2867" s="18">
        <v>45557</v>
      </c>
      <c r="E2867" s="18">
        <v>45921</v>
      </c>
      <c r="F2867" s="18" t="s">
        <v>611</v>
      </c>
      <c r="G2867" t="s">
        <v>101</v>
      </c>
      <c r="H2867">
        <v>2</v>
      </c>
      <c r="I2867">
        <v>2</v>
      </c>
      <c r="J2867" s="27">
        <v>152427</v>
      </c>
      <c r="K2867" s="27">
        <v>10000000</v>
      </c>
    </row>
    <row r="2868" spans="1:11" ht="15" customHeight="1" x14ac:dyDescent="0.2">
      <c r="A2868" t="s">
        <v>6316</v>
      </c>
      <c r="B2868" t="s">
        <v>6317</v>
      </c>
      <c r="C2868">
        <v>2024</v>
      </c>
      <c r="D2868" s="18">
        <v>45557</v>
      </c>
      <c r="E2868" s="18">
        <v>45921</v>
      </c>
      <c r="F2868" s="18" t="s">
        <v>611</v>
      </c>
      <c r="G2868" t="s">
        <v>101</v>
      </c>
      <c r="H2868">
        <v>1</v>
      </c>
      <c r="I2868">
        <v>1</v>
      </c>
      <c r="J2868" s="27">
        <v>45077.26</v>
      </c>
      <c r="K2868" s="27">
        <v>3000000</v>
      </c>
    </row>
    <row r="2869" spans="1:11" ht="15" customHeight="1" x14ac:dyDescent="0.2">
      <c r="A2869" t="s">
        <v>6318</v>
      </c>
      <c r="B2869" t="s">
        <v>6319</v>
      </c>
      <c r="C2869">
        <v>2024</v>
      </c>
      <c r="D2869" s="18">
        <v>45558</v>
      </c>
      <c r="E2869" s="18">
        <v>45922</v>
      </c>
      <c r="F2869" s="18" t="s">
        <v>608</v>
      </c>
      <c r="G2869" t="s">
        <v>99</v>
      </c>
      <c r="H2869">
        <v>1</v>
      </c>
      <c r="I2869">
        <v>2</v>
      </c>
      <c r="J2869" s="27">
        <v>81029.759999999995</v>
      </c>
      <c r="K2869" s="27">
        <v>10000000</v>
      </c>
    </row>
    <row r="2870" spans="1:11" ht="15" customHeight="1" x14ac:dyDescent="0.2">
      <c r="A2870" t="s">
        <v>6320</v>
      </c>
      <c r="B2870" t="s">
        <v>6321</v>
      </c>
      <c r="C2870">
        <v>2024</v>
      </c>
      <c r="D2870" s="18">
        <v>45558</v>
      </c>
      <c r="E2870" s="18">
        <v>45922</v>
      </c>
      <c r="F2870" s="18" t="s">
        <v>611</v>
      </c>
      <c r="G2870" t="s">
        <v>101</v>
      </c>
      <c r="H2870">
        <v>2</v>
      </c>
      <c r="I2870">
        <v>2</v>
      </c>
      <c r="J2870" s="27">
        <v>145842.73000000001</v>
      </c>
      <c r="K2870" s="27">
        <v>10000000</v>
      </c>
    </row>
    <row r="2871" spans="1:11" ht="15" customHeight="1" x14ac:dyDescent="0.2">
      <c r="A2871" t="s">
        <v>6322</v>
      </c>
      <c r="B2871" t="s">
        <v>6323</v>
      </c>
      <c r="C2871">
        <v>2024</v>
      </c>
      <c r="D2871" s="18">
        <v>45558</v>
      </c>
      <c r="E2871" s="18">
        <v>45922</v>
      </c>
      <c r="F2871" s="18" t="s">
        <v>611</v>
      </c>
      <c r="G2871" t="s">
        <v>102</v>
      </c>
      <c r="H2871">
        <v>3</v>
      </c>
      <c r="I2871">
        <v>6</v>
      </c>
      <c r="J2871" s="27">
        <v>32083.59</v>
      </c>
      <c r="K2871" s="27">
        <v>4500000</v>
      </c>
    </row>
    <row r="2872" spans="1:11" ht="15" customHeight="1" x14ac:dyDescent="0.2">
      <c r="A2872" t="s">
        <v>6324</v>
      </c>
      <c r="B2872" t="s">
        <v>6325</v>
      </c>
      <c r="C2872">
        <v>2024</v>
      </c>
      <c r="D2872" s="18">
        <v>45558</v>
      </c>
      <c r="E2872" s="18">
        <v>45922</v>
      </c>
      <c r="F2872" s="18" t="s">
        <v>611</v>
      </c>
      <c r="G2872" t="s">
        <v>99</v>
      </c>
      <c r="H2872">
        <v>1</v>
      </c>
      <c r="I2872">
        <v>1</v>
      </c>
      <c r="J2872" s="27">
        <v>4193.12</v>
      </c>
      <c r="K2872" s="27">
        <v>500000</v>
      </c>
    </row>
    <row r="2873" spans="1:11" ht="15" customHeight="1" x14ac:dyDescent="0.2">
      <c r="A2873" t="s">
        <v>6326</v>
      </c>
      <c r="B2873" t="s">
        <v>6327</v>
      </c>
      <c r="C2873">
        <v>2024</v>
      </c>
      <c r="D2873" s="18">
        <v>45558</v>
      </c>
      <c r="E2873" s="18">
        <v>45922</v>
      </c>
      <c r="F2873" s="18" t="s">
        <v>611</v>
      </c>
      <c r="G2873" t="s">
        <v>101</v>
      </c>
      <c r="H2873">
        <v>1</v>
      </c>
      <c r="I2873">
        <v>2</v>
      </c>
      <c r="J2873" s="27">
        <v>35373.910000000003</v>
      </c>
      <c r="K2873" s="27">
        <v>2500000</v>
      </c>
    </row>
    <row r="2874" spans="1:11" ht="15" customHeight="1" x14ac:dyDescent="0.2">
      <c r="A2874" t="s">
        <v>6328</v>
      </c>
      <c r="B2874" t="s">
        <v>6329</v>
      </c>
      <c r="C2874">
        <v>2024</v>
      </c>
      <c r="D2874" s="18">
        <v>45558</v>
      </c>
      <c r="E2874" s="18">
        <v>45922</v>
      </c>
      <c r="F2874" s="18" t="s">
        <v>611</v>
      </c>
      <c r="G2874" t="s">
        <v>101</v>
      </c>
      <c r="H2874">
        <v>3</v>
      </c>
      <c r="I2874">
        <v>3</v>
      </c>
      <c r="J2874" s="27">
        <v>80589.72</v>
      </c>
      <c r="K2874" s="27">
        <v>5000000</v>
      </c>
    </row>
    <row r="2875" spans="1:11" ht="15" customHeight="1" x14ac:dyDescent="0.2">
      <c r="A2875" t="s">
        <v>6330</v>
      </c>
      <c r="B2875" t="s">
        <v>6331</v>
      </c>
      <c r="C2875">
        <v>2024</v>
      </c>
      <c r="D2875" s="18">
        <v>45558</v>
      </c>
      <c r="E2875" s="18">
        <v>45922</v>
      </c>
      <c r="F2875" s="18" t="s">
        <v>611</v>
      </c>
      <c r="G2875" t="s">
        <v>101</v>
      </c>
      <c r="H2875">
        <v>1</v>
      </c>
      <c r="I2875">
        <v>2</v>
      </c>
      <c r="J2875" s="27">
        <v>73731.22</v>
      </c>
      <c r="K2875" s="27">
        <v>5000000</v>
      </c>
    </row>
    <row r="2876" spans="1:11" ht="15" customHeight="1" x14ac:dyDescent="0.2">
      <c r="A2876" t="s">
        <v>6332</v>
      </c>
      <c r="B2876" t="s">
        <v>6333</v>
      </c>
      <c r="C2876">
        <v>2024</v>
      </c>
      <c r="D2876" s="18">
        <v>45558</v>
      </c>
      <c r="E2876" s="18">
        <v>45922</v>
      </c>
      <c r="F2876" s="18" t="s">
        <v>611</v>
      </c>
      <c r="G2876" t="s">
        <v>99</v>
      </c>
      <c r="H2876">
        <v>2</v>
      </c>
      <c r="I2876">
        <v>2</v>
      </c>
      <c r="J2876" s="27">
        <v>42535.02</v>
      </c>
      <c r="K2876" s="27">
        <v>5000000</v>
      </c>
    </row>
    <row r="2877" spans="1:11" ht="15" customHeight="1" x14ac:dyDescent="0.2">
      <c r="A2877" t="s">
        <v>6334</v>
      </c>
      <c r="B2877" t="s">
        <v>6335</v>
      </c>
      <c r="C2877">
        <v>2024</v>
      </c>
      <c r="D2877" s="18">
        <v>45559</v>
      </c>
      <c r="E2877" s="18">
        <v>45923</v>
      </c>
      <c r="F2877" s="18" t="s">
        <v>608</v>
      </c>
      <c r="G2877" t="s">
        <v>100</v>
      </c>
      <c r="H2877">
        <v>2</v>
      </c>
      <c r="I2877">
        <v>4</v>
      </c>
      <c r="J2877" s="27">
        <v>123830.16</v>
      </c>
      <c r="K2877" s="27">
        <v>10000000</v>
      </c>
    </row>
    <row r="2878" spans="1:11" ht="15" customHeight="1" x14ac:dyDescent="0.2">
      <c r="A2878" t="s">
        <v>6336</v>
      </c>
      <c r="B2878" t="s">
        <v>6337</v>
      </c>
      <c r="C2878">
        <v>2024</v>
      </c>
      <c r="D2878" s="18">
        <v>45559</v>
      </c>
      <c r="E2878" s="18">
        <v>45923</v>
      </c>
      <c r="F2878" s="18" t="s">
        <v>611</v>
      </c>
      <c r="G2878" t="s">
        <v>100</v>
      </c>
      <c r="H2878">
        <v>1</v>
      </c>
      <c r="I2878">
        <v>1</v>
      </c>
      <c r="J2878" s="27">
        <v>36152.080000000002</v>
      </c>
      <c r="K2878" s="27">
        <v>3000000</v>
      </c>
    </row>
    <row r="2879" spans="1:11" ht="15" customHeight="1" x14ac:dyDescent="0.2">
      <c r="A2879" t="s">
        <v>6338</v>
      </c>
      <c r="B2879" t="s">
        <v>6339</v>
      </c>
      <c r="C2879">
        <v>2024</v>
      </c>
      <c r="D2879" s="18">
        <v>45559</v>
      </c>
      <c r="E2879" s="18">
        <v>45923</v>
      </c>
      <c r="F2879" s="18" t="s">
        <v>611</v>
      </c>
      <c r="G2879" t="s">
        <v>99</v>
      </c>
      <c r="H2879">
        <v>1</v>
      </c>
      <c r="I2879">
        <v>1</v>
      </c>
      <c r="J2879" s="27">
        <v>22467.68</v>
      </c>
      <c r="K2879" s="27">
        <v>2500000</v>
      </c>
    </row>
    <row r="2880" spans="1:11" ht="15" customHeight="1" x14ac:dyDescent="0.2">
      <c r="A2880" t="s">
        <v>6340</v>
      </c>
      <c r="B2880" t="s">
        <v>6341</v>
      </c>
      <c r="C2880">
        <v>2024</v>
      </c>
      <c r="D2880" s="18">
        <v>45559</v>
      </c>
      <c r="E2880" s="18">
        <v>45923</v>
      </c>
      <c r="F2880" s="18" t="s">
        <v>611</v>
      </c>
      <c r="G2880" t="s">
        <v>101</v>
      </c>
      <c r="H2880">
        <v>2</v>
      </c>
      <c r="I2880">
        <v>4</v>
      </c>
      <c r="J2880" s="27">
        <v>75615.360000000001</v>
      </c>
      <c r="K2880" s="27">
        <v>5000000</v>
      </c>
    </row>
    <row r="2881" spans="1:11" ht="15" customHeight="1" x14ac:dyDescent="0.2">
      <c r="A2881" t="s">
        <v>6342</v>
      </c>
      <c r="B2881" t="s">
        <v>6343</v>
      </c>
      <c r="C2881">
        <v>2024</v>
      </c>
      <c r="D2881" s="18">
        <v>45559</v>
      </c>
      <c r="E2881" s="18">
        <v>45923</v>
      </c>
      <c r="F2881" s="18" t="s">
        <v>611</v>
      </c>
      <c r="G2881" t="s">
        <v>101</v>
      </c>
      <c r="H2881">
        <v>1</v>
      </c>
      <c r="I2881">
        <v>2</v>
      </c>
      <c r="J2881" s="27">
        <v>21336.61</v>
      </c>
      <c r="K2881" s="27">
        <v>1500000</v>
      </c>
    </row>
    <row r="2882" spans="1:11" ht="15" customHeight="1" x14ac:dyDescent="0.2">
      <c r="A2882" t="s">
        <v>6344</v>
      </c>
      <c r="B2882" t="s">
        <v>6345</v>
      </c>
      <c r="C2882">
        <v>2024</v>
      </c>
      <c r="D2882" s="18">
        <v>45559</v>
      </c>
      <c r="E2882" s="18">
        <v>45923</v>
      </c>
      <c r="F2882" s="18" t="s">
        <v>611</v>
      </c>
      <c r="G2882" t="s">
        <v>100</v>
      </c>
      <c r="H2882">
        <v>3</v>
      </c>
      <c r="I2882">
        <v>3</v>
      </c>
      <c r="J2882" s="27">
        <v>18784.21</v>
      </c>
      <c r="K2882" s="27">
        <v>1500000</v>
      </c>
    </row>
    <row r="2883" spans="1:11" ht="15" customHeight="1" x14ac:dyDescent="0.2">
      <c r="A2883" t="s">
        <v>6346</v>
      </c>
      <c r="B2883" t="s">
        <v>6347</v>
      </c>
      <c r="C2883">
        <v>2024</v>
      </c>
      <c r="D2883" s="18">
        <v>45559</v>
      </c>
      <c r="E2883" s="18">
        <v>45923</v>
      </c>
      <c r="F2883" s="18" t="s">
        <v>611</v>
      </c>
      <c r="G2883" t="s">
        <v>102</v>
      </c>
      <c r="H2883">
        <v>1</v>
      </c>
      <c r="I2883">
        <v>1</v>
      </c>
      <c r="J2883" s="27">
        <v>16015.2</v>
      </c>
      <c r="K2883" s="27">
        <v>2000000</v>
      </c>
    </row>
    <row r="2884" spans="1:11" ht="15" customHeight="1" x14ac:dyDescent="0.2">
      <c r="A2884" t="s">
        <v>6348</v>
      </c>
      <c r="B2884" t="s">
        <v>6349</v>
      </c>
      <c r="C2884">
        <v>2024</v>
      </c>
      <c r="D2884" s="18">
        <v>45559</v>
      </c>
      <c r="E2884" s="18">
        <v>45923</v>
      </c>
      <c r="F2884" s="18" t="s">
        <v>611</v>
      </c>
      <c r="G2884" t="s">
        <v>99</v>
      </c>
      <c r="H2884">
        <v>2</v>
      </c>
      <c r="I2884">
        <v>2</v>
      </c>
      <c r="J2884" s="27">
        <v>4434.37</v>
      </c>
      <c r="K2884" s="27">
        <v>500000</v>
      </c>
    </row>
    <row r="2885" spans="1:11" ht="15" customHeight="1" x14ac:dyDescent="0.2">
      <c r="A2885" t="s">
        <v>6350</v>
      </c>
      <c r="B2885" t="s">
        <v>6351</v>
      </c>
      <c r="C2885">
        <v>2024</v>
      </c>
      <c r="D2885" s="18">
        <v>45559</v>
      </c>
      <c r="E2885" s="18">
        <v>45923</v>
      </c>
      <c r="F2885" s="18" t="s">
        <v>611</v>
      </c>
      <c r="G2885" t="s">
        <v>100</v>
      </c>
      <c r="H2885">
        <v>1</v>
      </c>
      <c r="I2885">
        <v>2</v>
      </c>
      <c r="J2885" s="27">
        <v>56160.56</v>
      </c>
      <c r="K2885" s="27">
        <v>5000000</v>
      </c>
    </row>
    <row r="2886" spans="1:11" ht="15" customHeight="1" x14ac:dyDescent="0.2">
      <c r="A2886" t="s">
        <v>6352</v>
      </c>
      <c r="B2886" t="s">
        <v>6353</v>
      </c>
      <c r="C2886">
        <v>2024</v>
      </c>
      <c r="D2886" s="18">
        <v>45560</v>
      </c>
      <c r="E2886" s="18">
        <v>45924</v>
      </c>
      <c r="F2886" s="18" t="s">
        <v>608</v>
      </c>
      <c r="G2886" t="s">
        <v>101</v>
      </c>
      <c r="H2886">
        <v>1</v>
      </c>
      <c r="I2886">
        <v>1</v>
      </c>
      <c r="J2886" s="27">
        <v>32840.730000000003</v>
      </c>
      <c r="K2886" s="27">
        <v>2000000</v>
      </c>
    </row>
    <row r="2887" spans="1:11" ht="15" customHeight="1" x14ac:dyDescent="0.2">
      <c r="A2887" t="s">
        <v>6354</v>
      </c>
      <c r="B2887" t="s">
        <v>6355</v>
      </c>
      <c r="C2887">
        <v>2024</v>
      </c>
      <c r="D2887" s="18">
        <v>45560</v>
      </c>
      <c r="E2887" s="18">
        <v>45924</v>
      </c>
      <c r="F2887" s="18" t="s">
        <v>611</v>
      </c>
      <c r="G2887" t="s">
        <v>99</v>
      </c>
      <c r="H2887">
        <v>1</v>
      </c>
      <c r="I2887">
        <v>1</v>
      </c>
      <c r="J2887" s="27">
        <v>44706.38</v>
      </c>
      <c r="K2887" s="27">
        <v>5000000</v>
      </c>
    </row>
    <row r="2888" spans="1:11" ht="15" customHeight="1" x14ac:dyDescent="0.2">
      <c r="A2888" t="s">
        <v>6356</v>
      </c>
      <c r="B2888" t="s">
        <v>6357</v>
      </c>
      <c r="C2888">
        <v>2024</v>
      </c>
      <c r="D2888" s="18">
        <v>45560</v>
      </c>
      <c r="E2888" s="18">
        <v>45924</v>
      </c>
      <c r="F2888" s="18" t="s">
        <v>611</v>
      </c>
      <c r="G2888" t="s">
        <v>99</v>
      </c>
      <c r="H2888">
        <v>2</v>
      </c>
      <c r="I2888">
        <v>4</v>
      </c>
      <c r="J2888" s="27">
        <v>36206.81</v>
      </c>
      <c r="K2888" s="27">
        <v>4500000</v>
      </c>
    </row>
    <row r="2889" spans="1:11" ht="15" customHeight="1" x14ac:dyDescent="0.2">
      <c r="A2889" t="s">
        <v>6358</v>
      </c>
      <c r="B2889" t="s">
        <v>6359</v>
      </c>
      <c r="C2889">
        <v>2024</v>
      </c>
      <c r="D2889" s="18">
        <v>45560</v>
      </c>
      <c r="E2889" s="18">
        <v>45924</v>
      </c>
      <c r="F2889" s="18" t="s">
        <v>611</v>
      </c>
      <c r="G2889" t="s">
        <v>100</v>
      </c>
      <c r="H2889">
        <v>3</v>
      </c>
      <c r="I2889">
        <v>6</v>
      </c>
      <c r="J2889" s="27">
        <v>6357.48</v>
      </c>
      <c r="K2889" s="27">
        <v>500000</v>
      </c>
    </row>
    <row r="2890" spans="1:11" ht="15" customHeight="1" x14ac:dyDescent="0.2">
      <c r="A2890" t="s">
        <v>6360</v>
      </c>
      <c r="B2890" t="s">
        <v>6361</v>
      </c>
      <c r="C2890">
        <v>2024</v>
      </c>
      <c r="D2890" s="18">
        <v>45560</v>
      </c>
      <c r="E2890" s="18">
        <v>45924</v>
      </c>
      <c r="F2890" s="18" t="s">
        <v>611</v>
      </c>
      <c r="G2890" t="s">
        <v>100</v>
      </c>
      <c r="H2890">
        <v>1</v>
      </c>
      <c r="I2890">
        <v>1</v>
      </c>
      <c r="J2890" s="27">
        <v>63003.39</v>
      </c>
      <c r="K2890" s="27">
        <v>5000000</v>
      </c>
    </row>
    <row r="2891" spans="1:11" ht="15" customHeight="1" x14ac:dyDescent="0.2">
      <c r="A2891" t="s">
        <v>6362</v>
      </c>
      <c r="B2891" t="s">
        <v>6363</v>
      </c>
      <c r="C2891">
        <v>2024</v>
      </c>
      <c r="D2891" s="18">
        <v>45561</v>
      </c>
      <c r="E2891" s="18">
        <v>45925</v>
      </c>
      <c r="F2891" s="18" t="s">
        <v>611</v>
      </c>
      <c r="G2891" t="s">
        <v>99</v>
      </c>
      <c r="H2891">
        <v>1</v>
      </c>
      <c r="I2891">
        <v>1</v>
      </c>
      <c r="J2891" s="27">
        <v>89166.84</v>
      </c>
      <c r="K2891" s="27">
        <v>10000000</v>
      </c>
    </row>
    <row r="2892" spans="1:11" ht="15" customHeight="1" x14ac:dyDescent="0.2">
      <c r="A2892" t="s">
        <v>6364</v>
      </c>
      <c r="B2892" t="s">
        <v>6365</v>
      </c>
      <c r="C2892">
        <v>2024</v>
      </c>
      <c r="D2892" s="18">
        <v>45561</v>
      </c>
      <c r="E2892" s="18">
        <v>45925</v>
      </c>
      <c r="F2892" s="18" t="s">
        <v>611</v>
      </c>
      <c r="G2892" t="s">
        <v>101</v>
      </c>
      <c r="H2892">
        <v>1</v>
      </c>
      <c r="I2892">
        <v>2</v>
      </c>
      <c r="J2892" s="27">
        <v>24425.43</v>
      </c>
      <c r="K2892" s="27">
        <v>1500000</v>
      </c>
    </row>
    <row r="2893" spans="1:11" ht="15" customHeight="1" x14ac:dyDescent="0.2">
      <c r="A2893" t="s">
        <v>6366</v>
      </c>
      <c r="B2893" t="s">
        <v>6367</v>
      </c>
      <c r="C2893">
        <v>2024</v>
      </c>
      <c r="D2893" s="18">
        <v>45561</v>
      </c>
      <c r="E2893" s="18">
        <v>45925</v>
      </c>
      <c r="F2893" s="18" t="s">
        <v>611</v>
      </c>
      <c r="G2893" t="s">
        <v>101</v>
      </c>
      <c r="H2893">
        <v>2</v>
      </c>
      <c r="I2893">
        <v>4</v>
      </c>
      <c r="J2893" s="27">
        <v>59836.05</v>
      </c>
      <c r="K2893" s="27">
        <v>4000000</v>
      </c>
    </row>
    <row r="2894" spans="1:11" ht="15" customHeight="1" x14ac:dyDescent="0.2">
      <c r="A2894" t="s">
        <v>6368</v>
      </c>
      <c r="B2894" t="s">
        <v>6369</v>
      </c>
      <c r="C2894">
        <v>2024</v>
      </c>
      <c r="D2894" s="18">
        <v>45561</v>
      </c>
      <c r="E2894" s="18">
        <v>45925</v>
      </c>
      <c r="F2894" s="18" t="s">
        <v>611</v>
      </c>
      <c r="G2894" t="s">
        <v>101</v>
      </c>
      <c r="H2894">
        <v>3</v>
      </c>
      <c r="I2894">
        <v>6</v>
      </c>
      <c r="J2894" s="27">
        <v>73658.080000000002</v>
      </c>
      <c r="K2894" s="27">
        <v>4500000</v>
      </c>
    </row>
    <row r="2895" spans="1:11" ht="15" customHeight="1" x14ac:dyDescent="0.2">
      <c r="A2895" t="s">
        <v>6370</v>
      </c>
      <c r="B2895" t="s">
        <v>6371</v>
      </c>
      <c r="C2895">
        <v>2024</v>
      </c>
      <c r="D2895" s="18">
        <v>45562</v>
      </c>
      <c r="E2895" s="18">
        <v>45926</v>
      </c>
      <c r="F2895" s="18" t="s">
        <v>608</v>
      </c>
      <c r="G2895" t="s">
        <v>102</v>
      </c>
      <c r="H2895">
        <v>3</v>
      </c>
      <c r="I2895">
        <v>3</v>
      </c>
      <c r="J2895" s="27">
        <v>14163.68</v>
      </c>
      <c r="K2895" s="27">
        <v>0</v>
      </c>
    </row>
    <row r="2896" spans="1:11" ht="15" customHeight="1" x14ac:dyDescent="0.2">
      <c r="A2896" t="s">
        <v>6372</v>
      </c>
      <c r="B2896" t="s">
        <v>6373</v>
      </c>
      <c r="C2896">
        <v>2024</v>
      </c>
      <c r="D2896" s="18">
        <v>45562</v>
      </c>
      <c r="E2896" s="18">
        <v>45926</v>
      </c>
      <c r="F2896" s="18" t="s">
        <v>611</v>
      </c>
      <c r="G2896" t="s">
        <v>101</v>
      </c>
      <c r="H2896">
        <v>2</v>
      </c>
      <c r="I2896">
        <v>2</v>
      </c>
      <c r="J2896" s="27">
        <v>32581.68</v>
      </c>
      <c r="K2896" s="27">
        <v>2000000</v>
      </c>
    </row>
    <row r="2897" spans="1:11" ht="15" customHeight="1" x14ac:dyDescent="0.2">
      <c r="A2897" t="s">
        <v>6374</v>
      </c>
      <c r="B2897" t="s">
        <v>6375</v>
      </c>
      <c r="C2897">
        <v>2024</v>
      </c>
      <c r="D2897" s="18">
        <v>45562</v>
      </c>
      <c r="E2897" s="18">
        <v>45926</v>
      </c>
      <c r="F2897" s="18" t="s">
        <v>611</v>
      </c>
      <c r="G2897" t="s">
        <v>99</v>
      </c>
      <c r="H2897">
        <v>2</v>
      </c>
      <c r="I2897">
        <v>2</v>
      </c>
      <c r="J2897" s="27">
        <v>16541.52</v>
      </c>
      <c r="K2897" s="27">
        <v>2000000</v>
      </c>
    </row>
    <row r="2898" spans="1:11" ht="15" customHeight="1" x14ac:dyDescent="0.2">
      <c r="A2898" t="s">
        <v>6376</v>
      </c>
      <c r="B2898" t="s">
        <v>6377</v>
      </c>
      <c r="C2898">
        <v>2024</v>
      </c>
      <c r="D2898" s="18">
        <v>45562</v>
      </c>
      <c r="E2898" s="18">
        <v>45926</v>
      </c>
      <c r="F2898" s="18" t="s">
        <v>611</v>
      </c>
      <c r="G2898" t="s">
        <v>102</v>
      </c>
      <c r="H2898">
        <v>2</v>
      </c>
      <c r="I2898">
        <v>4</v>
      </c>
      <c r="J2898" s="27">
        <v>15382.76</v>
      </c>
      <c r="K2898" s="27">
        <v>2000000</v>
      </c>
    </row>
    <row r="2899" spans="1:11" ht="15" customHeight="1" x14ac:dyDescent="0.2">
      <c r="A2899" t="s">
        <v>6378</v>
      </c>
      <c r="B2899" t="s">
        <v>6379</v>
      </c>
      <c r="C2899">
        <v>2024</v>
      </c>
      <c r="D2899" s="18">
        <v>45562</v>
      </c>
      <c r="E2899" s="18">
        <v>45926</v>
      </c>
      <c r="F2899" s="18" t="s">
        <v>611</v>
      </c>
      <c r="G2899" t="s">
        <v>101</v>
      </c>
      <c r="H2899">
        <v>2</v>
      </c>
      <c r="I2899">
        <v>2</v>
      </c>
      <c r="J2899" s="27">
        <v>31780.03</v>
      </c>
      <c r="K2899" s="27">
        <v>2000000</v>
      </c>
    </row>
    <row r="2900" spans="1:11" ht="15" customHeight="1" x14ac:dyDescent="0.2">
      <c r="A2900" t="s">
        <v>6380</v>
      </c>
      <c r="B2900" t="s">
        <v>6381</v>
      </c>
      <c r="C2900">
        <v>2024</v>
      </c>
      <c r="D2900" s="18">
        <v>45562</v>
      </c>
      <c r="E2900" s="18">
        <v>45926</v>
      </c>
      <c r="F2900" s="18" t="s">
        <v>611</v>
      </c>
      <c r="G2900" t="s">
        <v>99</v>
      </c>
      <c r="H2900">
        <v>1</v>
      </c>
      <c r="I2900">
        <v>2</v>
      </c>
      <c r="J2900" s="27">
        <v>24997.62</v>
      </c>
      <c r="K2900" s="27">
        <v>3000000</v>
      </c>
    </row>
    <row r="2901" spans="1:11" ht="15" customHeight="1" x14ac:dyDescent="0.2">
      <c r="A2901" t="s">
        <v>6382</v>
      </c>
      <c r="B2901" t="s">
        <v>6383</v>
      </c>
      <c r="C2901">
        <v>2024</v>
      </c>
      <c r="D2901" s="18">
        <v>45562</v>
      </c>
      <c r="E2901" s="18">
        <v>45926</v>
      </c>
      <c r="F2901" s="18" t="s">
        <v>611</v>
      </c>
      <c r="G2901" t="s">
        <v>99</v>
      </c>
      <c r="H2901">
        <v>1</v>
      </c>
      <c r="I2901">
        <v>2</v>
      </c>
      <c r="J2901" s="27">
        <v>82419.17</v>
      </c>
      <c r="K2901" s="27">
        <v>10000000</v>
      </c>
    </row>
    <row r="2902" spans="1:11" ht="15" customHeight="1" x14ac:dyDescent="0.2">
      <c r="A2902" t="s">
        <v>6384</v>
      </c>
      <c r="B2902" t="s">
        <v>6385</v>
      </c>
      <c r="C2902">
        <v>2024</v>
      </c>
      <c r="D2902" s="18">
        <v>45563</v>
      </c>
      <c r="E2902" s="18">
        <v>45927</v>
      </c>
      <c r="F2902" s="18" t="s">
        <v>611</v>
      </c>
      <c r="G2902" t="s">
        <v>100</v>
      </c>
      <c r="H2902">
        <v>3</v>
      </c>
      <c r="I2902">
        <v>3</v>
      </c>
      <c r="J2902" s="27">
        <v>50415.98</v>
      </c>
      <c r="K2902" s="27">
        <v>4000000</v>
      </c>
    </row>
    <row r="2903" spans="1:11" ht="15" customHeight="1" x14ac:dyDescent="0.2">
      <c r="A2903" t="s">
        <v>6386</v>
      </c>
      <c r="B2903" t="s">
        <v>6387</v>
      </c>
      <c r="C2903">
        <v>2024</v>
      </c>
      <c r="D2903" s="18">
        <v>45563</v>
      </c>
      <c r="E2903" s="18">
        <v>45927</v>
      </c>
      <c r="F2903" s="18" t="s">
        <v>611</v>
      </c>
      <c r="G2903" t="s">
        <v>100</v>
      </c>
      <c r="H2903">
        <v>2</v>
      </c>
      <c r="I2903">
        <v>4</v>
      </c>
      <c r="J2903" s="27">
        <v>58142.61</v>
      </c>
      <c r="K2903" s="27">
        <v>5000000</v>
      </c>
    </row>
    <row r="2904" spans="1:11" ht="15" customHeight="1" x14ac:dyDescent="0.2">
      <c r="A2904" t="s">
        <v>6388</v>
      </c>
      <c r="B2904" t="s">
        <v>6389</v>
      </c>
      <c r="C2904">
        <v>2024</v>
      </c>
      <c r="D2904" s="18">
        <v>45563</v>
      </c>
      <c r="E2904" s="18">
        <v>45927</v>
      </c>
      <c r="F2904" s="18" t="s">
        <v>611</v>
      </c>
      <c r="G2904" t="s">
        <v>100</v>
      </c>
      <c r="H2904">
        <v>1</v>
      </c>
      <c r="I2904">
        <v>1</v>
      </c>
      <c r="J2904" s="27">
        <v>32914.53</v>
      </c>
      <c r="K2904" s="27">
        <v>2500000</v>
      </c>
    </row>
    <row r="2905" spans="1:11" ht="15" customHeight="1" x14ac:dyDescent="0.2">
      <c r="A2905" t="s">
        <v>6390</v>
      </c>
      <c r="B2905" t="s">
        <v>6391</v>
      </c>
      <c r="C2905">
        <v>2024</v>
      </c>
      <c r="D2905" s="18">
        <v>45563</v>
      </c>
      <c r="E2905" s="18">
        <v>45927</v>
      </c>
      <c r="F2905" s="18" t="s">
        <v>611</v>
      </c>
      <c r="G2905" t="s">
        <v>99</v>
      </c>
      <c r="H2905">
        <v>1</v>
      </c>
      <c r="I2905">
        <v>1</v>
      </c>
      <c r="J2905" s="27">
        <v>88266.89</v>
      </c>
      <c r="K2905" s="27">
        <v>10000000</v>
      </c>
    </row>
    <row r="2906" spans="1:11" ht="15" customHeight="1" x14ac:dyDescent="0.2">
      <c r="A2906" t="s">
        <v>6392</v>
      </c>
      <c r="B2906" t="s">
        <v>6393</v>
      </c>
      <c r="C2906">
        <v>2024</v>
      </c>
      <c r="D2906" s="18">
        <v>45563</v>
      </c>
      <c r="E2906" s="18">
        <v>45927</v>
      </c>
      <c r="F2906" s="18" t="s">
        <v>611</v>
      </c>
      <c r="G2906" t="s">
        <v>99</v>
      </c>
      <c r="H2906">
        <v>1</v>
      </c>
      <c r="I2906">
        <v>1</v>
      </c>
      <c r="J2906" s="27">
        <v>76714.91</v>
      </c>
      <c r="K2906" s="27">
        <v>10000000</v>
      </c>
    </row>
    <row r="2907" spans="1:11" ht="15" customHeight="1" x14ac:dyDescent="0.2">
      <c r="A2907" t="s">
        <v>6394</v>
      </c>
      <c r="B2907" t="s">
        <v>6395</v>
      </c>
      <c r="C2907">
        <v>2024</v>
      </c>
      <c r="D2907" s="18">
        <v>45563</v>
      </c>
      <c r="E2907" s="18">
        <v>45927</v>
      </c>
      <c r="F2907" s="18" t="s">
        <v>611</v>
      </c>
      <c r="G2907" t="s">
        <v>101</v>
      </c>
      <c r="H2907">
        <v>2</v>
      </c>
      <c r="I2907">
        <v>2</v>
      </c>
      <c r="J2907" s="27">
        <v>158719.34</v>
      </c>
      <c r="K2907" s="27">
        <v>10000000</v>
      </c>
    </row>
    <row r="2908" spans="1:11" ht="15" customHeight="1" x14ac:dyDescent="0.2">
      <c r="A2908" t="s">
        <v>6396</v>
      </c>
      <c r="B2908" t="s">
        <v>6397</v>
      </c>
      <c r="C2908">
        <v>2024</v>
      </c>
      <c r="D2908" s="18">
        <v>45563</v>
      </c>
      <c r="E2908" s="18">
        <v>45927</v>
      </c>
      <c r="F2908" s="18" t="s">
        <v>611</v>
      </c>
      <c r="G2908" t="s">
        <v>100</v>
      </c>
      <c r="H2908">
        <v>1</v>
      </c>
      <c r="I2908">
        <v>2</v>
      </c>
      <c r="J2908" s="27">
        <v>54111.24</v>
      </c>
      <c r="K2908" s="27">
        <v>4000000</v>
      </c>
    </row>
    <row r="2909" spans="1:11" ht="15" customHeight="1" x14ac:dyDescent="0.2">
      <c r="A2909" t="s">
        <v>6398</v>
      </c>
      <c r="B2909" t="s">
        <v>6399</v>
      </c>
      <c r="C2909">
        <v>2024</v>
      </c>
      <c r="D2909" s="18">
        <v>45563</v>
      </c>
      <c r="E2909" s="18">
        <v>45927</v>
      </c>
      <c r="F2909" s="18" t="s">
        <v>611</v>
      </c>
      <c r="G2909" t="s">
        <v>100</v>
      </c>
      <c r="H2909">
        <v>3</v>
      </c>
      <c r="I2909">
        <v>3</v>
      </c>
      <c r="J2909" s="27">
        <v>38434.019999999997</v>
      </c>
      <c r="K2909" s="27">
        <v>3000000</v>
      </c>
    </row>
    <row r="2910" spans="1:11" ht="15" customHeight="1" x14ac:dyDescent="0.2">
      <c r="A2910" t="s">
        <v>6400</v>
      </c>
      <c r="B2910" t="s">
        <v>6401</v>
      </c>
      <c r="C2910">
        <v>2024</v>
      </c>
      <c r="D2910" s="18">
        <v>45563</v>
      </c>
      <c r="E2910" s="18">
        <v>45927</v>
      </c>
      <c r="F2910" s="18" t="s">
        <v>611</v>
      </c>
      <c r="G2910" t="s">
        <v>100</v>
      </c>
      <c r="H2910">
        <v>1</v>
      </c>
      <c r="I2910">
        <v>1</v>
      </c>
      <c r="J2910" s="27">
        <v>32471.72</v>
      </c>
      <c r="K2910" s="27">
        <v>2500000</v>
      </c>
    </row>
    <row r="2911" spans="1:11" ht="15" customHeight="1" x14ac:dyDescent="0.2">
      <c r="A2911" t="s">
        <v>6402</v>
      </c>
      <c r="B2911" t="s">
        <v>6403</v>
      </c>
      <c r="C2911">
        <v>2024</v>
      </c>
      <c r="D2911" s="18">
        <v>45564</v>
      </c>
      <c r="E2911" s="18">
        <v>45928</v>
      </c>
      <c r="F2911" s="18" t="s">
        <v>608</v>
      </c>
      <c r="G2911" t="s">
        <v>99</v>
      </c>
      <c r="H2911">
        <v>2</v>
      </c>
      <c r="I2911">
        <v>2</v>
      </c>
      <c r="J2911" s="27">
        <v>16072.2</v>
      </c>
      <c r="K2911" s="27">
        <v>2000000</v>
      </c>
    </row>
    <row r="2912" spans="1:11" ht="15" customHeight="1" x14ac:dyDescent="0.2">
      <c r="A2912" t="s">
        <v>6404</v>
      </c>
      <c r="B2912" t="s">
        <v>6405</v>
      </c>
      <c r="C2912">
        <v>2024</v>
      </c>
      <c r="D2912" s="18">
        <v>45564</v>
      </c>
      <c r="E2912" s="18">
        <v>45928</v>
      </c>
      <c r="F2912" s="18" t="s">
        <v>611</v>
      </c>
      <c r="G2912" t="s">
        <v>102</v>
      </c>
      <c r="H2912">
        <v>2</v>
      </c>
      <c r="I2912">
        <v>4</v>
      </c>
      <c r="J2912" s="27">
        <v>15601.89</v>
      </c>
      <c r="K2912" s="27">
        <v>2000000</v>
      </c>
    </row>
    <row r="2913" spans="1:11" ht="15" customHeight="1" x14ac:dyDescent="0.2">
      <c r="A2913" t="s">
        <v>6406</v>
      </c>
      <c r="B2913" t="s">
        <v>6407</v>
      </c>
      <c r="C2913">
        <v>2024</v>
      </c>
      <c r="D2913" s="18">
        <v>45564</v>
      </c>
      <c r="E2913" s="18">
        <v>45928</v>
      </c>
      <c r="F2913" s="18" t="s">
        <v>611</v>
      </c>
      <c r="G2913" t="s">
        <v>100</v>
      </c>
      <c r="H2913">
        <v>2</v>
      </c>
      <c r="I2913">
        <v>2</v>
      </c>
      <c r="J2913" s="27">
        <v>119483.48</v>
      </c>
      <c r="K2913" s="27">
        <v>10000000</v>
      </c>
    </row>
    <row r="2914" spans="1:11" ht="15" customHeight="1" x14ac:dyDescent="0.2">
      <c r="A2914" t="s">
        <v>6408</v>
      </c>
      <c r="B2914" t="s">
        <v>6409</v>
      </c>
      <c r="C2914">
        <v>2024</v>
      </c>
      <c r="D2914" s="18">
        <v>45564</v>
      </c>
      <c r="E2914" s="18">
        <v>45928</v>
      </c>
      <c r="F2914" s="18" t="s">
        <v>611</v>
      </c>
      <c r="G2914" t="s">
        <v>102</v>
      </c>
      <c r="H2914">
        <v>3</v>
      </c>
      <c r="I2914">
        <v>6</v>
      </c>
      <c r="J2914" s="27">
        <v>33404.1</v>
      </c>
      <c r="K2914" s="27">
        <v>4500000</v>
      </c>
    </row>
    <row r="2915" spans="1:11" ht="15" customHeight="1" x14ac:dyDescent="0.2">
      <c r="A2915" t="s">
        <v>6410</v>
      </c>
      <c r="B2915" t="s">
        <v>6411</v>
      </c>
      <c r="C2915">
        <v>2024</v>
      </c>
      <c r="D2915" s="18">
        <v>45565</v>
      </c>
      <c r="E2915" s="18">
        <v>45929</v>
      </c>
      <c r="F2915" s="18" t="s">
        <v>611</v>
      </c>
      <c r="G2915" t="s">
        <v>102</v>
      </c>
      <c r="H2915">
        <v>1</v>
      </c>
      <c r="I2915">
        <v>2</v>
      </c>
      <c r="J2915" s="27">
        <v>34649.31</v>
      </c>
      <c r="K2915" s="27">
        <v>5000000</v>
      </c>
    </row>
    <row r="2916" spans="1:11" ht="15" customHeight="1" x14ac:dyDescent="0.2">
      <c r="A2916" t="s">
        <v>6412</v>
      </c>
      <c r="B2916" t="s">
        <v>6413</v>
      </c>
      <c r="C2916">
        <v>2024</v>
      </c>
      <c r="D2916" s="18">
        <v>45565</v>
      </c>
      <c r="E2916" s="18">
        <v>45929</v>
      </c>
      <c r="F2916" s="18" t="s">
        <v>611</v>
      </c>
      <c r="G2916" t="s">
        <v>100</v>
      </c>
      <c r="H2916">
        <v>3</v>
      </c>
      <c r="I2916">
        <v>6</v>
      </c>
      <c r="J2916" s="27">
        <v>56771.19</v>
      </c>
      <c r="K2916" s="27">
        <v>5000000</v>
      </c>
    </row>
    <row r="2917" spans="1:11" ht="15" customHeight="1" x14ac:dyDescent="0.2">
      <c r="A2917" t="s">
        <v>6414</v>
      </c>
      <c r="B2917" t="s">
        <v>6415</v>
      </c>
      <c r="C2917">
        <v>2024</v>
      </c>
      <c r="D2917" s="18">
        <v>45565</v>
      </c>
      <c r="E2917" s="18">
        <v>45929</v>
      </c>
      <c r="F2917" s="18" t="s">
        <v>611</v>
      </c>
      <c r="G2917" t="s">
        <v>100</v>
      </c>
      <c r="H2917">
        <v>2</v>
      </c>
      <c r="I2917">
        <v>2</v>
      </c>
      <c r="J2917" s="27">
        <v>5976.28</v>
      </c>
      <c r="K2917" s="27">
        <v>500000</v>
      </c>
    </row>
    <row r="2918" spans="1:11" ht="15" customHeight="1" x14ac:dyDescent="0.2">
      <c r="A2918" t="s">
        <v>6416</v>
      </c>
      <c r="B2918" t="s">
        <v>6417</v>
      </c>
      <c r="C2918">
        <v>2024</v>
      </c>
      <c r="D2918" s="18">
        <v>45565</v>
      </c>
      <c r="E2918" s="18">
        <v>45929</v>
      </c>
      <c r="F2918" s="18" t="s">
        <v>611</v>
      </c>
      <c r="G2918" t="s">
        <v>102</v>
      </c>
      <c r="H2918">
        <v>1</v>
      </c>
      <c r="I2918">
        <v>2</v>
      </c>
      <c r="J2918" s="27">
        <v>7444.58</v>
      </c>
      <c r="K2918" s="27">
        <v>1000000</v>
      </c>
    </row>
    <row r="2919" spans="1:11" ht="15" customHeight="1" x14ac:dyDescent="0.2">
      <c r="A2919" t="s">
        <v>6418</v>
      </c>
      <c r="B2919" t="s">
        <v>6419</v>
      </c>
      <c r="C2919">
        <v>2024</v>
      </c>
      <c r="D2919" s="18">
        <v>45565</v>
      </c>
      <c r="E2919" s="18">
        <v>45929</v>
      </c>
      <c r="F2919" s="18" t="s">
        <v>611</v>
      </c>
      <c r="G2919" t="s">
        <v>102</v>
      </c>
      <c r="H2919">
        <v>2</v>
      </c>
      <c r="I2919">
        <v>2</v>
      </c>
      <c r="J2919" s="27">
        <v>39653.21</v>
      </c>
      <c r="K2919" s="27">
        <v>5000000</v>
      </c>
    </row>
    <row r="2920" spans="1:11" ht="15" customHeight="1" x14ac:dyDescent="0.2">
      <c r="E2920" s="18"/>
      <c r="F2920" s="18"/>
    </row>
    <row r="2921" spans="1:11" ht="15" customHeight="1" x14ac:dyDescent="0.2">
      <c r="E2921" s="18"/>
      <c r="F2921" s="18"/>
    </row>
    <row r="2922" spans="1:11" ht="15" customHeight="1" x14ac:dyDescent="0.2">
      <c r="E2922" s="18"/>
      <c r="F2922" s="18"/>
    </row>
    <row r="2923" spans="1:11" ht="15" customHeight="1" x14ac:dyDescent="0.2">
      <c r="E2923" s="18"/>
      <c r="F2923" s="18"/>
    </row>
    <row r="2924" spans="1:11" ht="15" customHeight="1" x14ac:dyDescent="0.2">
      <c r="E2924" s="18"/>
      <c r="F2924" s="18"/>
    </row>
    <row r="2925" spans="1:11" ht="15" customHeight="1" x14ac:dyDescent="0.2">
      <c r="E2925" s="18"/>
      <c r="F2925" s="18"/>
    </row>
    <row r="2926" spans="1:11" ht="15" customHeight="1" x14ac:dyDescent="0.2">
      <c r="E2926" s="18"/>
      <c r="F2926" s="18"/>
    </row>
    <row r="2927" spans="1:11" ht="15" customHeight="1" x14ac:dyDescent="0.2">
      <c r="E2927" s="18"/>
      <c r="F2927" s="18"/>
    </row>
    <row r="2928" spans="1:11" ht="15" customHeight="1" x14ac:dyDescent="0.2">
      <c r="E2928" s="18"/>
      <c r="F2928" s="18"/>
    </row>
    <row r="2929" spans="5:6" ht="15" customHeight="1" x14ac:dyDescent="0.2">
      <c r="E2929" s="18"/>
      <c r="F2929" s="18"/>
    </row>
    <row r="2930" spans="5:6" ht="15" customHeight="1" x14ac:dyDescent="0.2">
      <c r="E2930" s="18"/>
      <c r="F2930" s="18"/>
    </row>
    <row r="2931" spans="5:6" ht="15" customHeight="1" x14ac:dyDescent="0.2">
      <c r="E2931" s="18"/>
      <c r="F2931" s="18"/>
    </row>
    <row r="2932" spans="5:6" ht="15" customHeight="1" x14ac:dyDescent="0.2">
      <c r="E2932" s="18"/>
      <c r="F2932" s="18"/>
    </row>
    <row r="2933" spans="5:6" ht="15" customHeight="1" x14ac:dyDescent="0.2">
      <c r="E2933" s="18"/>
      <c r="F2933" s="18"/>
    </row>
    <row r="2934" spans="5:6" ht="15" customHeight="1" x14ac:dyDescent="0.2">
      <c r="E2934" s="18"/>
      <c r="F2934" s="18"/>
    </row>
    <row r="2935" spans="5:6" ht="15" customHeight="1" x14ac:dyDescent="0.2">
      <c r="E2935" s="18"/>
      <c r="F2935" s="18"/>
    </row>
    <row r="2936" spans="5:6" ht="15" customHeight="1" x14ac:dyDescent="0.2">
      <c r="E2936" s="18"/>
      <c r="F2936" s="18"/>
    </row>
    <row r="2937" spans="5:6" ht="15" customHeight="1" x14ac:dyDescent="0.2">
      <c r="E2937" s="18"/>
      <c r="F2937" s="18"/>
    </row>
    <row r="2938" spans="5:6" ht="15" customHeight="1" x14ac:dyDescent="0.2">
      <c r="E2938" s="18"/>
      <c r="F2938" s="18"/>
    </row>
    <row r="2939" spans="5:6" ht="15" customHeight="1" x14ac:dyDescent="0.2">
      <c r="E2939" s="18"/>
      <c r="F2939" s="18"/>
    </row>
    <row r="2940" spans="5:6" ht="15" customHeight="1" x14ac:dyDescent="0.2">
      <c r="E2940" s="18"/>
      <c r="F2940" s="18"/>
    </row>
    <row r="2941" spans="5:6" ht="15" customHeight="1" x14ac:dyDescent="0.2">
      <c r="E2941" s="18"/>
      <c r="F2941" s="18"/>
    </row>
    <row r="2942" spans="5:6" ht="15" customHeight="1" x14ac:dyDescent="0.2">
      <c r="E2942" s="18"/>
      <c r="F2942" s="18"/>
    </row>
    <row r="2943" spans="5:6" ht="15" customHeight="1" x14ac:dyDescent="0.2">
      <c r="E2943" s="18"/>
      <c r="F2943" s="18"/>
    </row>
    <row r="2944" spans="5:6" ht="15" customHeight="1" x14ac:dyDescent="0.2">
      <c r="E2944" s="18"/>
      <c r="F2944" s="18"/>
    </row>
    <row r="2945" spans="5:6" ht="15" customHeight="1" x14ac:dyDescent="0.2">
      <c r="E2945" s="18"/>
      <c r="F2945" s="18"/>
    </row>
    <row r="2946" spans="5:6" ht="15" customHeight="1" x14ac:dyDescent="0.2">
      <c r="E2946" s="18"/>
      <c r="F2946" s="18"/>
    </row>
    <row r="2947" spans="5:6" ht="15" customHeight="1" x14ac:dyDescent="0.2">
      <c r="E2947" s="18"/>
      <c r="F2947" s="18"/>
    </row>
    <row r="2948" spans="5:6" ht="15" customHeight="1" x14ac:dyDescent="0.2">
      <c r="E2948" s="18"/>
      <c r="F2948" s="18"/>
    </row>
    <row r="2949" spans="5:6" ht="15" customHeight="1" x14ac:dyDescent="0.2">
      <c r="E2949" s="18"/>
      <c r="F2949" s="18"/>
    </row>
    <row r="2950" spans="5:6" ht="15" customHeight="1" x14ac:dyDescent="0.2">
      <c r="E2950" s="18"/>
      <c r="F2950" s="18"/>
    </row>
    <row r="2951" spans="5:6" ht="15" customHeight="1" x14ac:dyDescent="0.2">
      <c r="E2951" s="18"/>
      <c r="F2951" s="18"/>
    </row>
    <row r="2952" spans="5:6" ht="15" customHeight="1" x14ac:dyDescent="0.2">
      <c r="E2952" s="18"/>
      <c r="F2952" s="18"/>
    </row>
    <row r="2953" spans="5:6" ht="15" customHeight="1" x14ac:dyDescent="0.2">
      <c r="E2953" s="18"/>
      <c r="F2953" s="18"/>
    </row>
    <row r="2954" spans="5:6" ht="15" customHeight="1" x14ac:dyDescent="0.2">
      <c r="E2954" s="18"/>
      <c r="F2954" s="18"/>
    </row>
    <row r="2955" spans="5:6" ht="15" customHeight="1" x14ac:dyDescent="0.2">
      <c r="E2955" s="18"/>
      <c r="F2955" s="18"/>
    </row>
    <row r="2956" spans="5:6" ht="15" customHeight="1" x14ac:dyDescent="0.2">
      <c r="E2956" s="18"/>
      <c r="F2956" s="18"/>
    </row>
    <row r="2957" spans="5:6" ht="15" customHeight="1" x14ac:dyDescent="0.2">
      <c r="E2957" s="18"/>
      <c r="F2957" s="18"/>
    </row>
    <row r="2958" spans="5:6" ht="15" customHeight="1" x14ac:dyDescent="0.2">
      <c r="E2958" s="18"/>
      <c r="F2958" s="18"/>
    </row>
    <row r="2959" spans="5:6" ht="15" customHeight="1" x14ac:dyDescent="0.2">
      <c r="E2959" s="18"/>
      <c r="F2959" s="18"/>
    </row>
    <row r="2960" spans="5:6" ht="15" customHeight="1" x14ac:dyDescent="0.2">
      <c r="E2960" s="18"/>
      <c r="F2960" s="18"/>
    </row>
    <row r="2961" spans="5:6" ht="15" customHeight="1" x14ac:dyDescent="0.2">
      <c r="E2961" s="18"/>
      <c r="F2961" s="18"/>
    </row>
    <row r="2962" spans="5:6" ht="15" customHeight="1" x14ac:dyDescent="0.2">
      <c r="E2962" s="18"/>
      <c r="F2962" s="18"/>
    </row>
    <row r="2963" spans="5:6" ht="15" customHeight="1" x14ac:dyDescent="0.2">
      <c r="E2963" s="18"/>
      <c r="F2963" s="18"/>
    </row>
    <row r="2964" spans="5:6" ht="15" customHeight="1" x14ac:dyDescent="0.2">
      <c r="E2964" s="18"/>
      <c r="F2964" s="18"/>
    </row>
    <row r="2965" spans="5:6" ht="15" customHeight="1" x14ac:dyDescent="0.2">
      <c r="E2965" s="18"/>
      <c r="F2965" s="18"/>
    </row>
    <row r="2966" spans="5:6" ht="15" customHeight="1" x14ac:dyDescent="0.2">
      <c r="E2966" s="18"/>
      <c r="F2966" s="18"/>
    </row>
    <row r="2967" spans="5:6" ht="15" customHeight="1" x14ac:dyDescent="0.2">
      <c r="E2967" s="18"/>
      <c r="F2967" s="18"/>
    </row>
    <row r="2968" spans="5:6" ht="15" customHeight="1" x14ac:dyDescent="0.2">
      <c r="E2968" s="18"/>
      <c r="F2968" s="18"/>
    </row>
    <row r="2969" spans="5:6" ht="15" customHeight="1" x14ac:dyDescent="0.2">
      <c r="E2969" s="18"/>
      <c r="F2969" s="18"/>
    </row>
    <row r="2970" spans="5:6" ht="15" customHeight="1" x14ac:dyDescent="0.2">
      <c r="E2970" s="18"/>
      <c r="F2970" s="18"/>
    </row>
    <row r="2971" spans="5:6" ht="15" customHeight="1" x14ac:dyDescent="0.2">
      <c r="E2971" s="18"/>
      <c r="F2971" s="18"/>
    </row>
    <row r="2972" spans="5:6" ht="15" customHeight="1" x14ac:dyDescent="0.2">
      <c r="E2972" s="18"/>
      <c r="F2972" s="18"/>
    </row>
    <row r="2973" spans="5:6" ht="15" customHeight="1" x14ac:dyDescent="0.2">
      <c r="E2973" s="18"/>
      <c r="F2973" s="18"/>
    </row>
    <row r="2974" spans="5:6" ht="15" customHeight="1" x14ac:dyDescent="0.2">
      <c r="E2974" s="18"/>
      <c r="F2974" s="18"/>
    </row>
    <row r="2975" spans="5:6" ht="15" customHeight="1" x14ac:dyDescent="0.2">
      <c r="E2975" s="18"/>
      <c r="F2975" s="18"/>
    </row>
    <row r="2976" spans="5:6" ht="15" customHeight="1" x14ac:dyDescent="0.2">
      <c r="E2976" s="18"/>
      <c r="F2976" s="18"/>
    </row>
    <row r="2977" spans="5:6" ht="15" customHeight="1" x14ac:dyDescent="0.2">
      <c r="E2977" s="18"/>
      <c r="F2977" s="18"/>
    </row>
    <row r="2978" spans="5:6" ht="15" customHeight="1" x14ac:dyDescent="0.2">
      <c r="E2978" s="18"/>
      <c r="F2978" s="18"/>
    </row>
    <row r="2979" spans="5:6" ht="15" customHeight="1" x14ac:dyDescent="0.2">
      <c r="E2979" s="18"/>
      <c r="F2979" s="18"/>
    </row>
    <row r="2980" spans="5:6" ht="15" customHeight="1" x14ac:dyDescent="0.2">
      <c r="E2980" s="18"/>
      <c r="F2980" s="18"/>
    </row>
    <row r="2981" spans="5:6" ht="15" customHeight="1" x14ac:dyDescent="0.2">
      <c r="E2981" s="18"/>
      <c r="F2981" s="18"/>
    </row>
    <row r="2982" spans="5:6" ht="15" customHeight="1" x14ac:dyDescent="0.2">
      <c r="E2982" s="18"/>
      <c r="F2982" s="18"/>
    </row>
    <row r="2983" spans="5:6" ht="15" customHeight="1" x14ac:dyDescent="0.2">
      <c r="E2983" s="18"/>
      <c r="F2983" s="18"/>
    </row>
    <row r="2984" spans="5:6" ht="15" customHeight="1" x14ac:dyDescent="0.2">
      <c r="E2984" s="18"/>
      <c r="F2984" s="18"/>
    </row>
    <row r="2985" spans="5:6" ht="15" customHeight="1" x14ac:dyDescent="0.2">
      <c r="E2985" s="18"/>
      <c r="F2985" s="18"/>
    </row>
    <row r="2986" spans="5:6" ht="15" customHeight="1" x14ac:dyDescent="0.2">
      <c r="E2986" s="18"/>
      <c r="F2986" s="18"/>
    </row>
    <row r="2987" spans="5:6" ht="15" customHeight="1" x14ac:dyDescent="0.2">
      <c r="E2987" s="18"/>
      <c r="F2987" s="18"/>
    </row>
    <row r="2988" spans="5:6" ht="15" customHeight="1" x14ac:dyDescent="0.2">
      <c r="E2988" s="18"/>
      <c r="F2988" s="18"/>
    </row>
    <row r="2989" spans="5:6" ht="15" customHeight="1" x14ac:dyDescent="0.2">
      <c r="E2989" s="18"/>
      <c r="F2989" s="18"/>
    </row>
    <row r="2990" spans="5:6" ht="15" customHeight="1" x14ac:dyDescent="0.2">
      <c r="E2990" s="18"/>
      <c r="F2990" s="18"/>
    </row>
    <row r="2991" spans="5:6" ht="15" customHeight="1" x14ac:dyDescent="0.2">
      <c r="E2991" s="18"/>
      <c r="F2991" s="18"/>
    </row>
    <row r="2992" spans="5:6" ht="15" customHeight="1" x14ac:dyDescent="0.2">
      <c r="E2992" s="18"/>
      <c r="F2992" s="18"/>
    </row>
    <row r="2993" spans="5:6" ht="15" customHeight="1" x14ac:dyDescent="0.2">
      <c r="E2993" s="18"/>
      <c r="F2993" s="18"/>
    </row>
    <row r="2994" spans="5:6" ht="15" customHeight="1" x14ac:dyDescent="0.2">
      <c r="E2994" s="18"/>
      <c r="F2994" s="18"/>
    </row>
    <row r="2995" spans="5:6" ht="15" customHeight="1" x14ac:dyDescent="0.2">
      <c r="E2995" s="18"/>
      <c r="F2995" s="18"/>
    </row>
    <row r="2996" spans="5:6" ht="15" customHeight="1" x14ac:dyDescent="0.2">
      <c r="E2996" s="18"/>
      <c r="F2996" s="18"/>
    </row>
    <row r="2997" spans="5:6" ht="15" customHeight="1" x14ac:dyDescent="0.2">
      <c r="E2997" s="18"/>
      <c r="F2997" s="18"/>
    </row>
    <row r="2998" spans="5:6" ht="15" customHeight="1" x14ac:dyDescent="0.2">
      <c r="E2998" s="18"/>
      <c r="F2998" s="18"/>
    </row>
    <row r="2999" spans="5:6" ht="15" customHeight="1" x14ac:dyDescent="0.2">
      <c r="E2999" s="18"/>
      <c r="F2999" s="18"/>
    </row>
    <row r="3000" spans="5:6" ht="15" customHeight="1" x14ac:dyDescent="0.2">
      <c r="E3000" s="18"/>
      <c r="F3000" s="18"/>
    </row>
    <row r="3001" spans="5:6" ht="15" customHeight="1" x14ac:dyDescent="0.2">
      <c r="E3001" s="18"/>
      <c r="F3001" s="18"/>
    </row>
    <row r="3002" spans="5:6" ht="15" customHeight="1" x14ac:dyDescent="0.2">
      <c r="E3002" s="18"/>
      <c r="F3002" s="18"/>
    </row>
    <row r="3003" spans="5:6" ht="15" customHeight="1" x14ac:dyDescent="0.2">
      <c r="E3003" s="18"/>
      <c r="F3003" s="18"/>
    </row>
    <row r="3004" spans="5:6" ht="15" customHeight="1" x14ac:dyDescent="0.2">
      <c r="E3004" s="18"/>
      <c r="F3004" s="18"/>
    </row>
    <row r="3005" spans="5:6" ht="15" customHeight="1" x14ac:dyDescent="0.2">
      <c r="E3005" s="18"/>
      <c r="F3005" s="18"/>
    </row>
    <row r="3006" spans="5:6" ht="15" customHeight="1" x14ac:dyDescent="0.2">
      <c r="E3006" s="18"/>
      <c r="F3006" s="18"/>
    </row>
    <row r="3007" spans="5:6" ht="15" customHeight="1" x14ac:dyDescent="0.2">
      <c r="E3007" s="18"/>
      <c r="F3007" s="18"/>
    </row>
    <row r="3008" spans="5:6" ht="15" customHeight="1" x14ac:dyDescent="0.2">
      <c r="E3008" s="18"/>
      <c r="F3008" s="18"/>
    </row>
    <row r="3009" spans="5:6" ht="15" customHeight="1" x14ac:dyDescent="0.2">
      <c r="E3009" s="18"/>
      <c r="F3009" s="18"/>
    </row>
    <row r="3010" spans="5:6" ht="15" customHeight="1" x14ac:dyDescent="0.2">
      <c r="E3010" s="18"/>
      <c r="F3010" s="18"/>
    </row>
    <row r="3011" spans="5:6" ht="15" customHeight="1" x14ac:dyDescent="0.2">
      <c r="E3011" s="18"/>
      <c r="F3011" s="18"/>
    </row>
    <row r="3012" spans="5:6" ht="15" customHeight="1" x14ac:dyDescent="0.2">
      <c r="E3012" s="18"/>
      <c r="F3012" s="18"/>
    </row>
    <row r="3013" spans="5:6" ht="15" customHeight="1" x14ac:dyDescent="0.2">
      <c r="E3013" s="18"/>
      <c r="F3013" s="18"/>
    </row>
    <row r="3014" spans="5:6" ht="15" customHeight="1" x14ac:dyDescent="0.2">
      <c r="E3014" s="18"/>
      <c r="F3014" s="18"/>
    </row>
    <row r="3015" spans="5:6" ht="15" customHeight="1" x14ac:dyDescent="0.2">
      <c r="E3015" s="18"/>
      <c r="F3015" s="18"/>
    </row>
    <row r="3016" spans="5:6" ht="15" customHeight="1" x14ac:dyDescent="0.2">
      <c r="E3016" s="18"/>
      <c r="F3016" s="18"/>
    </row>
    <row r="3017" spans="5:6" ht="15" customHeight="1" x14ac:dyDescent="0.2">
      <c r="E3017" s="18"/>
      <c r="F3017" s="18"/>
    </row>
    <row r="3018" spans="5:6" ht="15" customHeight="1" x14ac:dyDescent="0.2">
      <c r="E3018" s="18"/>
      <c r="F3018" s="18"/>
    </row>
    <row r="3019" spans="5:6" ht="15" customHeight="1" x14ac:dyDescent="0.2">
      <c r="E3019" s="18"/>
      <c r="F3019" s="18"/>
    </row>
    <row r="3020" spans="5:6" ht="15" customHeight="1" x14ac:dyDescent="0.2">
      <c r="E3020" s="18"/>
      <c r="F3020" s="18"/>
    </row>
    <row r="3021" spans="5:6" ht="15" customHeight="1" x14ac:dyDescent="0.2">
      <c r="E3021" s="18"/>
      <c r="F3021" s="18"/>
    </row>
    <row r="3022" spans="5:6" ht="15" customHeight="1" x14ac:dyDescent="0.2">
      <c r="E3022" s="18"/>
      <c r="F3022" s="18"/>
    </row>
    <row r="3023" spans="5:6" ht="15" customHeight="1" x14ac:dyDescent="0.2">
      <c r="E3023" s="18"/>
      <c r="F3023" s="18"/>
    </row>
    <row r="3024" spans="5:6" ht="15" customHeight="1" x14ac:dyDescent="0.2">
      <c r="E3024" s="18"/>
      <c r="F3024" s="18"/>
    </row>
    <row r="3025" spans="5:6" ht="15" customHeight="1" x14ac:dyDescent="0.2">
      <c r="E3025" s="18"/>
      <c r="F3025" s="18"/>
    </row>
    <row r="3026" spans="5:6" ht="15" customHeight="1" x14ac:dyDescent="0.2">
      <c r="E3026" s="18"/>
      <c r="F3026" s="18"/>
    </row>
    <row r="3027" spans="5:6" ht="15" customHeight="1" x14ac:dyDescent="0.2">
      <c r="E3027" s="18"/>
      <c r="F3027" s="18"/>
    </row>
    <row r="3028" spans="5:6" ht="15" customHeight="1" x14ac:dyDescent="0.2">
      <c r="E3028" s="18"/>
      <c r="F3028" s="18"/>
    </row>
    <row r="3029" spans="5:6" ht="15" customHeight="1" x14ac:dyDescent="0.2">
      <c r="E3029" s="18"/>
      <c r="F3029" s="18"/>
    </row>
    <row r="3030" spans="5:6" ht="15" customHeight="1" x14ac:dyDescent="0.2">
      <c r="E3030" s="18"/>
      <c r="F3030" s="18"/>
    </row>
    <row r="3031" spans="5:6" ht="15" customHeight="1" x14ac:dyDescent="0.2">
      <c r="E3031" s="18"/>
      <c r="F3031" s="18"/>
    </row>
    <row r="3032" spans="5:6" ht="15" customHeight="1" x14ac:dyDescent="0.2">
      <c r="E3032" s="18"/>
      <c r="F3032" s="18"/>
    </row>
    <row r="3033" spans="5:6" ht="15" customHeight="1" x14ac:dyDescent="0.2">
      <c r="E3033" s="18"/>
      <c r="F3033" s="18"/>
    </row>
    <row r="3034" spans="5:6" ht="15" customHeight="1" x14ac:dyDescent="0.2">
      <c r="E3034" s="18"/>
      <c r="F3034" s="18"/>
    </row>
    <row r="3035" spans="5:6" ht="15" customHeight="1" x14ac:dyDescent="0.2">
      <c r="E3035" s="18"/>
      <c r="F3035" s="18"/>
    </row>
    <row r="3036" spans="5:6" ht="15" customHeight="1" x14ac:dyDescent="0.2">
      <c r="E3036" s="18"/>
      <c r="F3036" s="18"/>
    </row>
    <row r="3037" spans="5:6" ht="15" customHeight="1" x14ac:dyDescent="0.2">
      <c r="E3037" s="18"/>
      <c r="F3037" s="18"/>
    </row>
    <row r="3038" spans="5:6" ht="15" customHeight="1" x14ac:dyDescent="0.2">
      <c r="E3038" s="18"/>
      <c r="F3038" s="18"/>
    </row>
    <row r="3039" spans="5:6" ht="15" customHeight="1" x14ac:dyDescent="0.2">
      <c r="E3039" s="18"/>
      <c r="F3039" s="18"/>
    </row>
    <row r="3040" spans="5:6" ht="15" customHeight="1" x14ac:dyDescent="0.2">
      <c r="E3040" s="18"/>
      <c r="F3040" s="18"/>
    </row>
    <row r="3041" spans="5:6" ht="15" customHeight="1" x14ac:dyDescent="0.2">
      <c r="E3041" s="18"/>
      <c r="F3041" s="18"/>
    </row>
    <row r="3042" spans="5:6" ht="15" customHeight="1" x14ac:dyDescent="0.2">
      <c r="E3042" s="18"/>
      <c r="F3042" s="18"/>
    </row>
    <row r="3043" spans="5:6" ht="15" customHeight="1" x14ac:dyDescent="0.2">
      <c r="E3043" s="18"/>
      <c r="F3043" s="18"/>
    </row>
    <row r="3044" spans="5:6" ht="15" customHeight="1" x14ac:dyDescent="0.2">
      <c r="E3044" s="18"/>
      <c r="F3044" s="18"/>
    </row>
    <row r="3045" spans="5:6" ht="15" customHeight="1" x14ac:dyDescent="0.2">
      <c r="E3045" s="18"/>
      <c r="F3045" s="18"/>
    </row>
    <row r="3046" spans="5:6" ht="15" customHeight="1" x14ac:dyDescent="0.2">
      <c r="E3046" s="18"/>
      <c r="F3046" s="18"/>
    </row>
    <row r="3047" spans="5:6" ht="15" customHeight="1" x14ac:dyDescent="0.2">
      <c r="E3047" s="18"/>
      <c r="F3047" s="18"/>
    </row>
    <row r="3048" spans="5:6" ht="15" customHeight="1" x14ac:dyDescent="0.2">
      <c r="E3048" s="18"/>
      <c r="F3048" s="18"/>
    </row>
    <row r="3049" spans="5:6" ht="15" customHeight="1" x14ac:dyDescent="0.2">
      <c r="E3049" s="18"/>
      <c r="F3049" s="18"/>
    </row>
    <row r="3050" spans="5:6" ht="15" customHeight="1" x14ac:dyDescent="0.2">
      <c r="E3050" s="18"/>
      <c r="F3050" s="18"/>
    </row>
    <row r="3051" spans="5:6" ht="15" customHeight="1" x14ac:dyDescent="0.2">
      <c r="E3051" s="18"/>
      <c r="F3051" s="18"/>
    </row>
    <row r="3052" spans="5:6" ht="15" customHeight="1" x14ac:dyDescent="0.2">
      <c r="E3052" s="18"/>
      <c r="F3052" s="18"/>
    </row>
    <row r="3053" spans="5:6" ht="15" customHeight="1" x14ac:dyDescent="0.2">
      <c r="E3053" s="18"/>
      <c r="F3053" s="18"/>
    </row>
    <row r="3054" spans="5:6" ht="15" customHeight="1" x14ac:dyDescent="0.2">
      <c r="E3054" s="18"/>
      <c r="F3054" s="18"/>
    </row>
    <row r="3055" spans="5:6" ht="15" customHeight="1" x14ac:dyDescent="0.2">
      <c r="E3055" s="18"/>
      <c r="F3055" s="18"/>
    </row>
    <row r="3056" spans="5:6" ht="15" customHeight="1" x14ac:dyDescent="0.2">
      <c r="E3056" s="18"/>
      <c r="F3056" s="18"/>
    </row>
    <row r="3057" spans="5:6" ht="15" customHeight="1" x14ac:dyDescent="0.2">
      <c r="E3057" s="18"/>
      <c r="F3057" s="18"/>
    </row>
    <row r="3058" spans="5:6" ht="15" customHeight="1" x14ac:dyDescent="0.2">
      <c r="E3058" s="18"/>
      <c r="F3058" s="18"/>
    </row>
    <row r="3059" spans="5:6" ht="15" customHeight="1" x14ac:dyDescent="0.2">
      <c r="E3059" s="18"/>
      <c r="F3059" s="18"/>
    </row>
    <row r="3060" spans="5:6" ht="15" customHeight="1" x14ac:dyDescent="0.2">
      <c r="E3060" s="18"/>
      <c r="F3060" s="18"/>
    </row>
    <row r="3061" spans="5:6" ht="15" customHeight="1" x14ac:dyDescent="0.2">
      <c r="E3061" s="18"/>
      <c r="F3061" s="18"/>
    </row>
    <row r="3062" spans="5:6" ht="15" customHeight="1" x14ac:dyDescent="0.2">
      <c r="E3062" s="18"/>
      <c r="F3062" s="18"/>
    </row>
    <row r="3063" spans="5:6" ht="15" customHeight="1" x14ac:dyDescent="0.2">
      <c r="E3063" s="18"/>
      <c r="F3063" s="18"/>
    </row>
    <row r="3064" spans="5:6" ht="15" customHeight="1" x14ac:dyDescent="0.2">
      <c r="E3064" s="18"/>
      <c r="F3064" s="18"/>
    </row>
    <row r="3065" spans="5:6" ht="15" customHeight="1" x14ac:dyDescent="0.2">
      <c r="E3065" s="18"/>
      <c r="F3065" s="18"/>
    </row>
    <row r="3066" spans="5:6" ht="15" customHeight="1" x14ac:dyDescent="0.2">
      <c r="E3066" s="18"/>
      <c r="F3066" s="18"/>
    </row>
    <row r="3067" spans="5:6" ht="15" customHeight="1" x14ac:dyDescent="0.2">
      <c r="E3067" s="18"/>
      <c r="F3067" s="18"/>
    </row>
    <row r="3068" spans="5:6" ht="15" customHeight="1" x14ac:dyDescent="0.2">
      <c r="E3068" s="18"/>
      <c r="F3068" s="18"/>
    </row>
    <row r="3069" spans="5:6" ht="15" customHeight="1" x14ac:dyDescent="0.2">
      <c r="E3069" s="18"/>
      <c r="F3069" s="18"/>
    </row>
    <row r="3070" spans="5:6" ht="15" customHeight="1" x14ac:dyDescent="0.2">
      <c r="E3070" s="18"/>
      <c r="F3070" s="18"/>
    </row>
    <row r="3071" spans="5:6" ht="15" customHeight="1" x14ac:dyDescent="0.2">
      <c r="E3071" s="18"/>
      <c r="F3071" s="18"/>
    </row>
    <row r="3072" spans="5:6" ht="15" customHeight="1" x14ac:dyDescent="0.2">
      <c r="E3072" s="18"/>
      <c r="F3072" s="18"/>
    </row>
    <row r="3073" spans="5:6" ht="15" customHeight="1" x14ac:dyDescent="0.2">
      <c r="E3073" s="18"/>
      <c r="F3073" s="18"/>
    </row>
    <row r="3074" spans="5:6" ht="15" customHeight="1" x14ac:dyDescent="0.2">
      <c r="E3074" s="18"/>
      <c r="F3074" s="18"/>
    </row>
    <row r="3075" spans="5:6" ht="15" customHeight="1" x14ac:dyDescent="0.2">
      <c r="E3075" s="18"/>
      <c r="F3075" s="18"/>
    </row>
    <row r="3076" spans="5:6" ht="15" customHeight="1" x14ac:dyDescent="0.2">
      <c r="E3076" s="18"/>
      <c r="F3076" s="18"/>
    </row>
    <row r="3077" spans="5:6" ht="15" customHeight="1" x14ac:dyDescent="0.2">
      <c r="E3077" s="18"/>
      <c r="F3077" s="18"/>
    </row>
    <row r="3078" spans="5:6" ht="15" customHeight="1" x14ac:dyDescent="0.2">
      <c r="E3078" s="18"/>
      <c r="F3078" s="18"/>
    </row>
    <row r="3079" spans="5:6" ht="15" customHeight="1" x14ac:dyDescent="0.2">
      <c r="E3079" s="18"/>
      <c r="F3079" s="18"/>
    </row>
    <row r="3080" spans="5:6" ht="15" customHeight="1" x14ac:dyDescent="0.2">
      <c r="E3080" s="18"/>
      <c r="F3080" s="18"/>
    </row>
    <row r="3081" spans="5:6" ht="15" customHeight="1" x14ac:dyDescent="0.2">
      <c r="E3081" s="18"/>
      <c r="F3081" s="18"/>
    </row>
    <row r="3082" spans="5:6" ht="15" customHeight="1" x14ac:dyDescent="0.2">
      <c r="E3082" s="18"/>
      <c r="F3082" s="18"/>
    </row>
    <row r="3083" spans="5:6" ht="15" customHeight="1" x14ac:dyDescent="0.2">
      <c r="E3083" s="18"/>
      <c r="F3083" s="18"/>
    </row>
    <row r="3084" spans="5:6" ht="15" customHeight="1" x14ac:dyDescent="0.2">
      <c r="E3084" s="18"/>
      <c r="F3084" s="18"/>
    </row>
    <row r="3085" spans="5:6" ht="15" customHeight="1" x14ac:dyDescent="0.2">
      <c r="E3085" s="18"/>
      <c r="F3085" s="18"/>
    </row>
    <row r="3086" spans="5:6" ht="15" customHeight="1" x14ac:dyDescent="0.2">
      <c r="E3086" s="18"/>
      <c r="F3086" s="18"/>
    </row>
    <row r="3087" spans="5:6" ht="15" customHeight="1" x14ac:dyDescent="0.2">
      <c r="E3087" s="18"/>
      <c r="F3087" s="18"/>
    </row>
    <row r="3088" spans="5:6" ht="15" customHeight="1" x14ac:dyDescent="0.2">
      <c r="E3088" s="18"/>
      <c r="F3088" s="18"/>
    </row>
    <row r="3089" spans="5:6" ht="15" customHeight="1" x14ac:dyDescent="0.2">
      <c r="E3089" s="18"/>
      <c r="F3089" s="18"/>
    </row>
    <row r="3090" spans="5:6" ht="15" customHeight="1" x14ac:dyDescent="0.2">
      <c r="E3090" s="18"/>
      <c r="F3090" s="18"/>
    </row>
    <row r="3091" spans="5:6" ht="15" customHeight="1" x14ac:dyDescent="0.2">
      <c r="E3091" s="18"/>
      <c r="F3091" s="18"/>
    </row>
    <row r="3092" spans="5:6" ht="15" customHeight="1" x14ac:dyDescent="0.2">
      <c r="E3092" s="18"/>
      <c r="F3092" s="18"/>
    </row>
    <row r="3093" spans="5:6" ht="15" customHeight="1" x14ac:dyDescent="0.2">
      <c r="E3093" s="18"/>
      <c r="F3093" s="18"/>
    </row>
    <row r="3094" spans="5:6" ht="15" customHeight="1" x14ac:dyDescent="0.2">
      <c r="E3094" s="18"/>
      <c r="F3094" s="18"/>
    </row>
    <row r="3095" spans="5:6" ht="15" customHeight="1" x14ac:dyDescent="0.2">
      <c r="E3095" s="18"/>
      <c r="F3095" s="18"/>
    </row>
    <row r="3096" spans="5:6" ht="15" customHeight="1" x14ac:dyDescent="0.2">
      <c r="E3096" s="18"/>
      <c r="F3096" s="18"/>
    </row>
    <row r="3097" spans="5:6" ht="15" customHeight="1" x14ac:dyDescent="0.2">
      <c r="E3097" s="18"/>
      <c r="F3097" s="18"/>
    </row>
    <row r="3098" spans="5:6" ht="15" customHeight="1" x14ac:dyDescent="0.2">
      <c r="E3098" s="18"/>
      <c r="F3098" s="18"/>
    </row>
    <row r="3099" spans="5:6" ht="15" customHeight="1" x14ac:dyDescent="0.2">
      <c r="E3099" s="18"/>
      <c r="F3099" s="18"/>
    </row>
    <row r="3100" spans="5:6" ht="15" customHeight="1" x14ac:dyDescent="0.2">
      <c r="E3100" s="18"/>
      <c r="F3100" s="18"/>
    </row>
    <row r="3101" spans="5:6" ht="15" customHeight="1" x14ac:dyDescent="0.2">
      <c r="E3101" s="18"/>
      <c r="F3101" s="18"/>
    </row>
    <row r="3102" spans="5:6" ht="15" customHeight="1" x14ac:dyDescent="0.2">
      <c r="E3102" s="18"/>
      <c r="F3102" s="18"/>
    </row>
    <row r="3103" spans="5:6" ht="15" customHeight="1" x14ac:dyDescent="0.2">
      <c r="E3103" s="18"/>
      <c r="F3103" s="18"/>
    </row>
    <row r="3104" spans="5:6" ht="15" customHeight="1" x14ac:dyDescent="0.2">
      <c r="E3104" s="18"/>
      <c r="F3104" s="18"/>
    </row>
    <row r="3105" spans="5:6" ht="15" customHeight="1" x14ac:dyDescent="0.2">
      <c r="E3105" s="18"/>
      <c r="F3105" s="18"/>
    </row>
    <row r="3106" spans="5:6" ht="15" customHeight="1" x14ac:dyDescent="0.2">
      <c r="E3106" s="18"/>
      <c r="F3106" s="18"/>
    </row>
    <row r="3107" spans="5:6" ht="15" customHeight="1" x14ac:dyDescent="0.2">
      <c r="E3107" s="18"/>
      <c r="F3107" s="18"/>
    </row>
    <row r="3108" spans="5:6" ht="15" customHeight="1" x14ac:dyDescent="0.2">
      <c r="E3108" s="18"/>
      <c r="F3108" s="18"/>
    </row>
    <row r="3109" spans="5:6" ht="15" customHeight="1" x14ac:dyDescent="0.2">
      <c r="E3109" s="18"/>
      <c r="F3109" s="18"/>
    </row>
    <row r="3110" spans="5:6" ht="15" customHeight="1" x14ac:dyDescent="0.2">
      <c r="E3110" s="18"/>
      <c r="F3110" s="18"/>
    </row>
    <row r="3111" spans="5:6" ht="15" customHeight="1" x14ac:dyDescent="0.2">
      <c r="E3111" s="18"/>
      <c r="F3111" s="18"/>
    </row>
    <row r="3112" spans="5:6" ht="15" customHeight="1" x14ac:dyDescent="0.2">
      <c r="E3112" s="18"/>
      <c r="F3112" s="18"/>
    </row>
    <row r="3113" spans="5:6" ht="15" customHeight="1" x14ac:dyDescent="0.2">
      <c r="E3113" s="18"/>
      <c r="F3113" s="18"/>
    </row>
    <row r="3114" spans="5:6" ht="15" customHeight="1" x14ac:dyDescent="0.2">
      <c r="E3114" s="18"/>
      <c r="F3114" s="18"/>
    </row>
    <row r="3115" spans="5:6" ht="15" customHeight="1" x14ac:dyDescent="0.2">
      <c r="E3115" s="18"/>
      <c r="F3115" s="18"/>
    </row>
    <row r="3116" spans="5:6" ht="15" customHeight="1" x14ac:dyDescent="0.2">
      <c r="E3116" s="18"/>
      <c r="F3116" s="18"/>
    </row>
    <row r="3117" spans="5:6" ht="15" customHeight="1" x14ac:dyDescent="0.2">
      <c r="E3117" s="18"/>
      <c r="F3117" s="18"/>
    </row>
    <row r="3118" spans="5:6" ht="15" customHeight="1" x14ac:dyDescent="0.2">
      <c r="E3118" s="18"/>
      <c r="F3118" s="18"/>
    </row>
    <row r="3119" spans="5:6" ht="15" customHeight="1" x14ac:dyDescent="0.2">
      <c r="E3119" s="18"/>
      <c r="F3119" s="18"/>
    </row>
    <row r="3120" spans="5:6" ht="15" customHeight="1" x14ac:dyDescent="0.2">
      <c r="E3120" s="18"/>
      <c r="F3120" s="18"/>
    </row>
    <row r="3121" spans="5:6" ht="15" customHeight="1" x14ac:dyDescent="0.2">
      <c r="E3121" s="18"/>
      <c r="F3121" s="18"/>
    </row>
    <row r="3122" spans="5:6" ht="15" customHeight="1" x14ac:dyDescent="0.2">
      <c r="E3122" s="18"/>
      <c r="F3122" s="18"/>
    </row>
    <row r="3123" spans="5:6" ht="15" customHeight="1" x14ac:dyDescent="0.2">
      <c r="E3123" s="18"/>
      <c r="F3123" s="18"/>
    </row>
    <row r="3124" spans="5:6" ht="15" customHeight="1" x14ac:dyDescent="0.2">
      <c r="E3124" s="18"/>
      <c r="F3124" s="18"/>
    </row>
    <row r="3125" spans="5:6" ht="15" customHeight="1" x14ac:dyDescent="0.2">
      <c r="E3125" s="18"/>
      <c r="F3125" s="18"/>
    </row>
    <row r="3126" spans="5:6" ht="15" customHeight="1" x14ac:dyDescent="0.2">
      <c r="E3126" s="18"/>
      <c r="F3126" s="18"/>
    </row>
    <row r="3127" spans="5:6" ht="15" customHeight="1" x14ac:dyDescent="0.2">
      <c r="E3127" s="18"/>
      <c r="F3127" s="18"/>
    </row>
    <row r="3128" spans="5:6" ht="15" customHeight="1" x14ac:dyDescent="0.2">
      <c r="E3128" s="18"/>
      <c r="F3128" s="18"/>
    </row>
    <row r="3129" spans="5:6" ht="15" customHeight="1" x14ac:dyDescent="0.2">
      <c r="E3129" s="18"/>
      <c r="F3129" s="18"/>
    </row>
    <row r="3130" spans="5:6" ht="15" customHeight="1" x14ac:dyDescent="0.2">
      <c r="E3130" s="18"/>
      <c r="F3130" s="18"/>
    </row>
    <row r="3131" spans="5:6" ht="15" customHeight="1" x14ac:dyDescent="0.2">
      <c r="E3131" s="18"/>
      <c r="F3131" s="18"/>
    </row>
    <row r="3132" spans="5:6" ht="15" customHeight="1" x14ac:dyDescent="0.2">
      <c r="E3132" s="18"/>
      <c r="F3132" s="18"/>
    </row>
    <row r="3133" spans="5:6" ht="15" customHeight="1" x14ac:dyDescent="0.2">
      <c r="E3133" s="18"/>
      <c r="F3133" s="18"/>
    </row>
    <row r="3134" spans="5:6" ht="15" customHeight="1" x14ac:dyDescent="0.2">
      <c r="E3134" s="18"/>
      <c r="F3134" s="18"/>
    </row>
    <row r="3135" spans="5:6" ht="15" customHeight="1" x14ac:dyDescent="0.2">
      <c r="E3135" s="18"/>
      <c r="F3135" s="18"/>
    </row>
    <row r="3136" spans="5:6" ht="15" customHeight="1" x14ac:dyDescent="0.2">
      <c r="E3136" s="18"/>
      <c r="F3136" s="18"/>
    </row>
    <row r="3137" spans="5:6" ht="15" customHeight="1" x14ac:dyDescent="0.2">
      <c r="E3137" s="18"/>
      <c r="F3137" s="18"/>
    </row>
    <row r="3138" spans="5:6" ht="15" customHeight="1" x14ac:dyDescent="0.2">
      <c r="E3138" s="18"/>
      <c r="F3138" s="18"/>
    </row>
    <row r="3139" spans="5:6" ht="15" customHeight="1" x14ac:dyDescent="0.2">
      <c r="E3139" s="18"/>
      <c r="F3139" s="18"/>
    </row>
    <row r="3140" spans="5:6" ht="15" customHeight="1" x14ac:dyDescent="0.2">
      <c r="E3140" s="18"/>
      <c r="F3140" s="18"/>
    </row>
    <row r="3141" spans="5:6" ht="15" customHeight="1" x14ac:dyDescent="0.2">
      <c r="E3141" s="18"/>
      <c r="F3141" s="18"/>
    </row>
    <row r="3142" spans="5:6" ht="15" customHeight="1" x14ac:dyDescent="0.2">
      <c r="E3142" s="18"/>
      <c r="F3142" s="18"/>
    </row>
    <row r="3143" spans="5:6" ht="15" customHeight="1" x14ac:dyDescent="0.2">
      <c r="E3143" s="18"/>
      <c r="F3143" s="18"/>
    </row>
    <row r="3144" spans="5:6" ht="15" customHeight="1" x14ac:dyDescent="0.2">
      <c r="E3144" s="18"/>
      <c r="F3144" s="18"/>
    </row>
    <row r="3145" spans="5:6" ht="15" customHeight="1" x14ac:dyDescent="0.2">
      <c r="E3145" s="18"/>
      <c r="F3145" s="18"/>
    </row>
    <row r="3146" spans="5:6" ht="15" customHeight="1" x14ac:dyDescent="0.2">
      <c r="E3146" s="18"/>
      <c r="F3146" s="18"/>
    </row>
    <row r="3147" spans="5:6" ht="15" customHeight="1" x14ac:dyDescent="0.2">
      <c r="E3147" s="18"/>
      <c r="F3147" s="18"/>
    </row>
    <row r="3148" spans="5:6" ht="15" customHeight="1" x14ac:dyDescent="0.2">
      <c r="E3148" s="18"/>
      <c r="F3148" s="18"/>
    </row>
    <row r="3149" spans="5:6" ht="15" customHeight="1" x14ac:dyDescent="0.2">
      <c r="E3149" s="18"/>
      <c r="F3149" s="18"/>
    </row>
    <row r="3150" spans="5:6" ht="15" customHeight="1" x14ac:dyDescent="0.2">
      <c r="E3150" s="18"/>
      <c r="F3150" s="18"/>
    </row>
    <row r="3151" spans="5:6" ht="15" customHeight="1" x14ac:dyDescent="0.2">
      <c r="E3151" s="18"/>
      <c r="F3151" s="18"/>
    </row>
    <row r="3152" spans="5:6" ht="15" customHeight="1" x14ac:dyDescent="0.2">
      <c r="E3152" s="18"/>
      <c r="F3152" s="18"/>
    </row>
    <row r="3153" spans="5:6" ht="15" customHeight="1" x14ac:dyDescent="0.2">
      <c r="E3153" s="18"/>
      <c r="F3153" s="18"/>
    </row>
    <row r="3154" spans="5:6" ht="15" customHeight="1" x14ac:dyDescent="0.2">
      <c r="E3154" s="18"/>
      <c r="F3154" s="18"/>
    </row>
    <row r="3155" spans="5:6" ht="15" customHeight="1" x14ac:dyDescent="0.2">
      <c r="E3155" s="18"/>
      <c r="F3155" s="18"/>
    </row>
    <row r="3156" spans="5:6" ht="15" customHeight="1" x14ac:dyDescent="0.2">
      <c r="E3156" s="18"/>
      <c r="F3156" s="18"/>
    </row>
    <row r="3157" spans="5:6" ht="15" customHeight="1" x14ac:dyDescent="0.2">
      <c r="E3157" s="18"/>
      <c r="F3157" s="18"/>
    </row>
    <row r="3158" spans="5:6" ht="15" customHeight="1" x14ac:dyDescent="0.2">
      <c r="E3158" s="18"/>
      <c r="F3158" s="18"/>
    </row>
    <row r="3159" spans="5:6" ht="15" customHeight="1" x14ac:dyDescent="0.2">
      <c r="E3159" s="18"/>
      <c r="F3159" s="18"/>
    </row>
    <row r="3160" spans="5:6" ht="15" customHeight="1" x14ac:dyDescent="0.2">
      <c r="E3160" s="18"/>
      <c r="F3160" s="18"/>
    </row>
    <row r="3161" spans="5:6" ht="15" customHeight="1" x14ac:dyDescent="0.2">
      <c r="E3161" s="18"/>
      <c r="F3161" s="18"/>
    </row>
    <row r="3162" spans="5:6" ht="15" customHeight="1" x14ac:dyDescent="0.2">
      <c r="E3162" s="18"/>
      <c r="F3162" s="18"/>
    </row>
    <row r="3163" spans="5:6" ht="15" customHeight="1" x14ac:dyDescent="0.2">
      <c r="E3163" s="18"/>
      <c r="F3163" s="18"/>
    </row>
    <row r="3164" spans="5:6" ht="15" customHeight="1" x14ac:dyDescent="0.2">
      <c r="E3164" s="18"/>
      <c r="F3164" s="18"/>
    </row>
    <row r="3165" spans="5:6" ht="15" customHeight="1" x14ac:dyDescent="0.2">
      <c r="E3165" s="18"/>
      <c r="F3165" s="18"/>
    </row>
    <row r="3166" spans="5:6" ht="15" customHeight="1" x14ac:dyDescent="0.2">
      <c r="E3166" s="18"/>
      <c r="F3166" s="18"/>
    </row>
    <row r="3167" spans="5:6" ht="15" customHeight="1" x14ac:dyDescent="0.2">
      <c r="E3167" s="18"/>
      <c r="F3167" s="18"/>
    </row>
    <row r="3168" spans="5:6" ht="15" customHeight="1" x14ac:dyDescent="0.2">
      <c r="E3168" s="18"/>
      <c r="F3168" s="18"/>
    </row>
    <row r="3169" spans="5:6" ht="15" customHeight="1" x14ac:dyDescent="0.2">
      <c r="E3169" s="18"/>
      <c r="F3169" s="18"/>
    </row>
    <row r="3170" spans="5:6" ht="15" customHeight="1" x14ac:dyDescent="0.2">
      <c r="E3170" s="18"/>
      <c r="F3170" s="18"/>
    </row>
    <row r="3171" spans="5:6" ht="15" customHeight="1" x14ac:dyDescent="0.2">
      <c r="E3171" s="18"/>
      <c r="F3171" s="18"/>
    </row>
    <row r="3172" spans="5:6" ht="15" customHeight="1" x14ac:dyDescent="0.2">
      <c r="E3172" s="18"/>
      <c r="F3172" s="18"/>
    </row>
    <row r="3173" spans="5:6" ht="15" customHeight="1" x14ac:dyDescent="0.2">
      <c r="E3173" s="18"/>
      <c r="F3173" s="18"/>
    </row>
    <row r="3174" spans="5:6" ht="15" customHeight="1" x14ac:dyDescent="0.2">
      <c r="E3174" s="18"/>
      <c r="F3174" s="18"/>
    </row>
    <row r="3175" spans="5:6" ht="15" customHeight="1" x14ac:dyDescent="0.2">
      <c r="E3175" s="18"/>
      <c r="F3175" s="18"/>
    </row>
    <row r="3176" spans="5:6" ht="15" customHeight="1" x14ac:dyDescent="0.2">
      <c r="E3176" s="18"/>
      <c r="F3176" s="18"/>
    </row>
    <row r="3177" spans="5:6" ht="15" customHeight="1" x14ac:dyDescent="0.2">
      <c r="E3177" s="18"/>
      <c r="F3177" s="18"/>
    </row>
    <row r="3178" spans="5:6" ht="15" customHeight="1" x14ac:dyDescent="0.2">
      <c r="E3178" s="18"/>
      <c r="F3178" s="18"/>
    </row>
    <row r="3179" spans="5:6" ht="15" customHeight="1" x14ac:dyDescent="0.2">
      <c r="E3179" s="18"/>
      <c r="F3179" s="18"/>
    </row>
    <row r="3180" spans="5:6" ht="15" customHeight="1" x14ac:dyDescent="0.2">
      <c r="E3180" s="18"/>
      <c r="F3180" s="18"/>
    </row>
    <row r="3181" spans="5:6" ht="15" customHeight="1" x14ac:dyDescent="0.2">
      <c r="E3181" s="18"/>
      <c r="F3181" s="18"/>
    </row>
    <row r="3182" spans="5:6" ht="15" customHeight="1" x14ac:dyDescent="0.2">
      <c r="E3182" s="18"/>
      <c r="F3182" s="18"/>
    </row>
    <row r="3183" spans="5:6" ht="15" customHeight="1" x14ac:dyDescent="0.2">
      <c r="E3183" s="18"/>
      <c r="F3183" s="18"/>
    </row>
    <row r="3184" spans="5:6" ht="15" customHeight="1" x14ac:dyDescent="0.2">
      <c r="E3184" s="18"/>
      <c r="F3184" s="18"/>
    </row>
    <row r="3185" spans="5:6" ht="15" customHeight="1" x14ac:dyDescent="0.2">
      <c r="E3185" s="18"/>
      <c r="F3185" s="18"/>
    </row>
    <row r="3186" spans="5:6" ht="15" customHeight="1" x14ac:dyDescent="0.2">
      <c r="E3186" s="18"/>
      <c r="F3186" s="18"/>
    </row>
    <row r="3187" spans="5:6" ht="15" customHeight="1" x14ac:dyDescent="0.2">
      <c r="E3187" s="18"/>
      <c r="F3187" s="18"/>
    </row>
    <row r="3188" spans="5:6" ht="15" customHeight="1" x14ac:dyDescent="0.2">
      <c r="E3188" s="18"/>
      <c r="F3188" s="18"/>
    </row>
    <row r="3189" spans="5:6" ht="15" customHeight="1" x14ac:dyDescent="0.2">
      <c r="E3189" s="18"/>
      <c r="F3189" s="18"/>
    </row>
    <row r="3190" spans="5:6" ht="15" customHeight="1" x14ac:dyDescent="0.2">
      <c r="E3190" s="18"/>
      <c r="F3190" s="18"/>
    </row>
    <row r="3191" spans="5:6" ht="15" customHeight="1" x14ac:dyDescent="0.2">
      <c r="E3191" s="18"/>
      <c r="F3191" s="18"/>
    </row>
    <row r="3192" spans="5:6" ht="15" customHeight="1" x14ac:dyDescent="0.2">
      <c r="E3192" s="18"/>
      <c r="F3192" s="18"/>
    </row>
    <row r="3193" spans="5:6" ht="15" customHeight="1" x14ac:dyDescent="0.2">
      <c r="E3193" s="18"/>
      <c r="F3193" s="18"/>
    </row>
    <row r="3194" spans="5:6" ht="15" customHeight="1" x14ac:dyDescent="0.2">
      <c r="E3194" s="18"/>
      <c r="F3194" s="18"/>
    </row>
    <row r="3195" spans="5:6" ht="15" customHeight="1" x14ac:dyDescent="0.2">
      <c r="E3195" s="18"/>
      <c r="F3195" s="18"/>
    </row>
    <row r="3196" spans="5:6" ht="15" customHeight="1" x14ac:dyDescent="0.2">
      <c r="E3196" s="18"/>
      <c r="F3196" s="18"/>
    </row>
    <row r="3197" spans="5:6" ht="15" customHeight="1" x14ac:dyDescent="0.2">
      <c r="E3197" s="18"/>
      <c r="F3197" s="18"/>
    </row>
    <row r="3198" spans="5:6" ht="15" customHeight="1" x14ac:dyDescent="0.2">
      <c r="E3198" s="18"/>
      <c r="F3198" s="18"/>
    </row>
    <row r="3199" spans="5:6" ht="15" customHeight="1" x14ac:dyDescent="0.2">
      <c r="E3199" s="18"/>
      <c r="F3199" s="18"/>
    </row>
    <row r="3200" spans="5:6" ht="15" customHeight="1" x14ac:dyDescent="0.2">
      <c r="E3200" s="18"/>
      <c r="F3200" s="18"/>
    </row>
    <row r="3201" spans="5:6" ht="15" customHeight="1" x14ac:dyDescent="0.2">
      <c r="E3201" s="18"/>
      <c r="F3201" s="18"/>
    </row>
    <row r="3202" spans="5:6" ht="15" customHeight="1" x14ac:dyDescent="0.2">
      <c r="E3202" s="18"/>
      <c r="F3202" s="18"/>
    </row>
    <row r="3203" spans="5:6" ht="15" customHeight="1" x14ac:dyDescent="0.2">
      <c r="E3203" s="18"/>
      <c r="F3203" s="18"/>
    </row>
    <row r="3204" spans="5:6" ht="15" customHeight="1" x14ac:dyDescent="0.2">
      <c r="E3204" s="18"/>
      <c r="F3204" s="18"/>
    </row>
    <row r="3205" spans="5:6" ht="15" customHeight="1" x14ac:dyDescent="0.2">
      <c r="E3205" s="18"/>
      <c r="F3205" s="18"/>
    </row>
    <row r="3206" spans="5:6" ht="15" customHeight="1" x14ac:dyDescent="0.2">
      <c r="E3206" s="18"/>
      <c r="F3206" s="18"/>
    </row>
    <row r="3207" spans="5:6" ht="15" customHeight="1" x14ac:dyDescent="0.2">
      <c r="E3207" s="18"/>
      <c r="F3207" s="18"/>
    </row>
    <row r="3208" spans="5:6" ht="15" customHeight="1" x14ac:dyDescent="0.2">
      <c r="E3208" s="18"/>
      <c r="F3208" s="18"/>
    </row>
    <row r="3209" spans="5:6" ht="15" customHeight="1" x14ac:dyDescent="0.2">
      <c r="E3209" s="18"/>
      <c r="F3209" s="18"/>
    </row>
    <row r="3210" spans="5:6" ht="15" customHeight="1" x14ac:dyDescent="0.2">
      <c r="E3210" s="18"/>
      <c r="F3210" s="18"/>
    </row>
    <row r="3211" spans="5:6" ht="15" customHeight="1" x14ac:dyDescent="0.2">
      <c r="E3211" s="18"/>
      <c r="F3211" s="18"/>
    </row>
    <row r="3212" spans="5:6" ht="15" customHeight="1" x14ac:dyDescent="0.2">
      <c r="E3212" s="18"/>
      <c r="F3212" s="18"/>
    </row>
    <row r="3213" spans="5:6" ht="15" customHeight="1" x14ac:dyDescent="0.2">
      <c r="E3213" s="18"/>
      <c r="F3213" s="18"/>
    </row>
    <row r="3214" spans="5:6" ht="15" customHeight="1" x14ac:dyDescent="0.2">
      <c r="E3214" s="18"/>
      <c r="F3214" s="18"/>
    </row>
    <row r="3215" spans="5:6" ht="15" customHeight="1" x14ac:dyDescent="0.2">
      <c r="E3215" s="18"/>
      <c r="F3215" s="18"/>
    </row>
    <row r="3216" spans="5:6" ht="15" customHeight="1" x14ac:dyDescent="0.2">
      <c r="E3216" s="18"/>
      <c r="F3216" s="18"/>
    </row>
    <row r="3217" spans="5:6" ht="15" customHeight="1" x14ac:dyDescent="0.2">
      <c r="E3217" s="18"/>
      <c r="F3217" s="18"/>
    </row>
    <row r="3218" spans="5:6" ht="15" customHeight="1" x14ac:dyDescent="0.2">
      <c r="E3218" s="18"/>
      <c r="F3218" s="18"/>
    </row>
    <row r="3219" spans="5:6" ht="15" customHeight="1" x14ac:dyDescent="0.2">
      <c r="E3219" s="18"/>
      <c r="F3219" s="18"/>
    </row>
    <row r="3220" spans="5:6" ht="15" customHeight="1" x14ac:dyDescent="0.2">
      <c r="E3220" s="18"/>
      <c r="F3220" s="18"/>
    </row>
    <row r="3221" spans="5:6" ht="15" customHeight="1" x14ac:dyDescent="0.2">
      <c r="E3221" s="18"/>
      <c r="F3221" s="18"/>
    </row>
    <row r="3222" spans="5:6" ht="15" customHeight="1" x14ac:dyDescent="0.2">
      <c r="E3222" s="18"/>
      <c r="F3222" s="18"/>
    </row>
    <row r="3223" spans="5:6" ht="15" customHeight="1" x14ac:dyDescent="0.2">
      <c r="E3223" s="18"/>
      <c r="F3223" s="18"/>
    </row>
    <row r="3224" spans="5:6" ht="15" customHeight="1" x14ac:dyDescent="0.2">
      <c r="E3224" s="18"/>
      <c r="F3224" s="18"/>
    </row>
    <row r="3225" spans="5:6" ht="15" customHeight="1" x14ac:dyDescent="0.2">
      <c r="E3225" s="18"/>
      <c r="F3225" s="18"/>
    </row>
    <row r="3226" spans="5:6" ht="15" customHeight="1" x14ac:dyDescent="0.2">
      <c r="E3226" s="18"/>
      <c r="F3226" s="18"/>
    </row>
    <row r="3227" spans="5:6" ht="15" customHeight="1" x14ac:dyDescent="0.2">
      <c r="E3227" s="18"/>
      <c r="F3227" s="18"/>
    </row>
    <row r="3228" spans="5:6" ht="15" customHeight="1" x14ac:dyDescent="0.2">
      <c r="E3228" s="18"/>
      <c r="F3228" s="18"/>
    </row>
    <row r="3229" spans="5:6" ht="15" customHeight="1" x14ac:dyDescent="0.2">
      <c r="E3229" s="18"/>
      <c r="F3229" s="18"/>
    </row>
    <row r="3230" spans="5:6" ht="15" customHeight="1" x14ac:dyDescent="0.2">
      <c r="E3230" s="18"/>
      <c r="F3230" s="18"/>
    </row>
    <row r="3231" spans="5:6" ht="15" customHeight="1" x14ac:dyDescent="0.2">
      <c r="E3231" s="18"/>
      <c r="F3231" s="18"/>
    </row>
    <row r="3232" spans="5:6" ht="15" customHeight="1" x14ac:dyDescent="0.2">
      <c r="E3232" s="18"/>
      <c r="F3232" s="18"/>
    </row>
    <row r="3233" spans="5:6" ht="15" customHeight="1" x14ac:dyDescent="0.2">
      <c r="E3233" s="18"/>
      <c r="F3233" s="18"/>
    </row>
    <row r="3234" spans="5:6" ht="15" customHeight="1" x14ac:dyDescent="0.2">
      <c r="E3234" s="18"/>
      <c r="F3234" s="18"/>
    </row>
    <row r="3235" spans="5:6" ht="15" customHeight="1" x14ac:dyDescent="0.2">
      <c r="E3235" s="18"/>
      <c r="F3235" s="18"/>
    </row>
    <row r="3236" spans="5:6" ht="15" customHeight="1" x14ac:dyDescent="0.2">
      <c r="E3236" s="18"/>
      <c r="F3236" s="18"/>
    </row>
    <row r="3237" spans="5:6" ht="15" customHeight="1" x14ac:dyDescent="0.2">
      <c r="E3237" s="18"/>
      <c r="F3237" s="18"/>
    </row>
    <row r="3238" spans="5:6" ht="15" customHeight="1" x14ac:dyDescent="0.2">
      <c r="E3238" s="18"/>
      <c r="F3238" s="18"/>
    </row>
    <row r="3239" spans="5:6" ht="15" customHeight="1" x14ac:dyDescent="0.2">
      <c r="E3239" s="18"/>
      <c r="F3239" s="18"/>
    </row>
    <row r="3240" spans="5:6" ht="15" customHeight="1" x14ac:dyDescent="0.2">
      <c r="E3240" s="18"/>
      <c r="F3240" s="18"/>
    </row>
    <row r="3241" spans="5:6" ht="15" customHeight="1" x14ac:dyDescent="0.2">
      <c r="E3241" s="18"/>
      <c r="F3241" s="18"/>
    </row>
    <row r="3242" spans="5:6" ht="15" customHeight="1" x14ac:dyDescent="0.2">
      <c r="E3242" s="18"/>
      <c r="F3242" s="18"/>
    </row>
    <row r="3243" spans="5:6" ht="15" customHeight="1" x14ac:dyDescent="0.2">
      <c r="E3243" s="18"/>
      <c r="F3243" s="18"/>
    </row>
    <row r="3244" spans="5:6" ht="15" customHeight="1" x14ac:dyDescent="0.2">
      <c r="E3244" s="18"/>
      <c r="F3244" s="18"/>
    </row>
    <row r="3245" spans="5:6" ht="15" customHeight="1" x14ac:dyDescent="0.2">
      <c r="E3245" s="18"/>
      <c r="F3245" s="18"/>
    </row>
    <row r="3246" spans="5:6" ht="15" customHeight="1" x14ac:dyDescent="0.2">
      <c r="E3246" s="18"/>
      <c r="F3246" s="18"/>
    </row>
    <row r="3247" spans="5:6" ht="15" customHeight="1" x14ac:dyDescent="0.2">
      <c r="E3247" s="18"/>
      <c r="F3247" s="18"/>
    </row>
    <row r="3248" spans="5:6" ht="15" customHeight="1" x14ac:dyDescent="0.2">
      <c r="E3248" s="18"/>
      <c r="F3248" s="18"/>
    </row>
    <row r="3249" spans="5:6" ht="15" customHeight="1" x14ac:dyDescent="0.2">
      <c r="E3249" s="18"/>
      <c r="F3249" s="18"/>
    </row>
    <row r="3250" spans="5:6" ht="15" customHeight="1" x14ac:dyDescent="0.2">
      <c r="E3250" s="18"/>
      <c r="F3250" s="18"/>
    </row>
    <row r="3251" spans="5:6" ht="15" customHeight="1" x14ac:dyDescent="0.2">
      <c r="E3251" s="18"/>
      <c r="F3251" s="18"/>
    </row>
    <row r="3252" spans="5:6" ht="15" customHeight="1" x14ac:dyDescent="0.2">
      <c r="E3252" s="18"/>
      <c r="F3252" s="18"/>
    </row>
    <row r="3253" spans="5:6" ht="15" customHeight="1" x14ac:dyDescent="0.2">
      <c r="E3253" s="18"/>
      <c r="F3253" s="18"/>
    </row>
    <row r="3254" spans="5:6" ht="15" customHeight="1" x14ac:dyDescent="0.2">
      <c r="E3254" s="18"/>
      <c r="F3254" s="18"/>
    </row>
    <row r="3255" spans="5:6" ht="15" customHeight="1" x14ac:dyDescent="0.2">
      <c r="E3255" s="18"/>
      <c r="F3255" s="18"/>
    </row>
    <row r="3256" spans="5:6" ht="15" customHeight="1" x14ac:dyDescent="0.2">
      <c r="E3256" s="18"/>
      <c r="F3256" s="18"/>
    </row>
    <row r="3257" spans="5:6" ht="15" customHeight="1" x14ac:dyDescent="0.2">
      <c r="E3257" s="18"/>
      <c r="F3257" s="18"/>
    </row>
    <row r="3258" spans="5:6" ht="15" customHeight="1" x14ac:dyDescent="0.2">
      <c r="E3258" s="18"/>
      <c r="F3258" s="18"/>
    </row>
    <row r="3259" spans="5:6" ht="15" customHeight="1" x14ac:dyDescent="0.2">
      <c r="E3259" s="18"/>
      <c r="F3259" s="18"/>
    </row>
    <row r="3260" spans="5:6" ht="15" customHeight="1" x14ac:dyDescent="0.2">
      <c r="E3260" s="18"/>
      <c r="F3260" s="18"/>
    </row>
    <row r="3261" spans="5:6" ht="15" customHeight="1" x14ac:dyDescent="0.2">
      <c r="E3261" s="18"/>
      <c r="F3261" s="18"/>
    </row>
    <row r="3262" spans="5:6" ht="15" customHeight="1" x14ac:dyDescent="0.2">
      <c r="E3262" s="18"/>
      <c r="F3262" s="18"/>
    </row>
    <row r="3263" spans="5:6" ht="15" customHeight="1" x14ac:dyDescent="0.2">
      <c r="E3263" s="18"/>
      <c r="F3263" s="18"/>
    </row>
    <row r="3264" spans="5:6" ht="15" customHeight="1" x14ac:dyDescent="0.2">
      <c r="E3264" s="18"/>
      <c r="F3264" s="18"/>
    </row>
    <row r="3265" spans="5:6" ht="15" customHeight="1" x14ac:dyDescent="0.2">
      <c r="E3265" s="18"/>
      <c r="F3265" s="18"/>
    </row>
    <row r="3266" spans="5:6" ht="15" customHeight="1" x14ac:dyDescent="0.2">
      <c r="E3266" s="18"/>
      <c r="F3266" s="18"/>
    </row>
    <row r="3267" spans="5:6" ht="15" customHeight="1" x14ac:dyDescent="0.2">
      <c r="E3267" s="18"/>
      <c r="F3267" s="18"/>
    </row>
    <row r="3268" spans="5:6" ht="15" customHeight="1" x14ac:dyDescent="0.2">
      <c r="E3268" s="18"/>
      <c r="F3268" s="18"/>
    </row>
    <row r="3269" spans="5:6" ht="15" customHeight="1" x14ac:dyDescent="0.2">
      <c r="E3269" s="18"/>
      <c r="F3269" s="18"/>
    </row>
    <row r="3270" spans="5:6" ht="15" customHeight="1" x14ac:dyDescent="0.2">
      <c r="E3270" s="18"/>
      <c r="F3270" s="18"/>
    </row>
    <row r="3271" spans="5:6" ht="15" customHeight="1" x14ac:dyDescent="0.2">
      <c r="E3271" s="18"/>
      <c r="F3271" s="18"/>
    </row>
    <row r="3272" spans="5:6" ht="15" customHeight="1" x14ac:dyDescent="0.2">
      <c r="E3272" s="18"/>
      <c r="F3272" s="18"/>
    </row>
    <row r="3273" spans="5:6" ht="15" customHeight="1" x14ac:dyDescent="0.2">
      <c r="E3273" s="18"/>
      <c r="F3273" s="18"/>
    </row>
    <row r="3274" spans="5:6" ht="15" customHeight="1" x14ac:dyDescent="0.2">
      <c r="E3274" s="18"/>
      <c r="F3274" s="18"/>
    </row>
    <row r="3275" spans="5:6" ht="15" customHeight="1" x14ac:dyDescent="0.2">
      <c r="E3275" s="18"/>
      <c r="F3275" s="18"/>
    </row>
    <row r="3276" spans="5:6" ht="15" customHeight="1" x14ac:dyDescent="0.2">
      <c r="E3276" s="18"/>
      <c r="F3276" s="18"/>
    </row>
    <row r="3277" spans="5:6" ht="15" customHeight="1" x14ac:dyDescent="0.2">
      <c r="E3277" s="18"/>
      <c r="F3277" s="18"/>
    </row>
    <row r="3278" spans="5:6" ht="15" customHeight="1" x14ac:dyDescent="0.2">
      <c r="E3278" s="18"/>
      <c r="F3278" s="18"/>
    </row>
    <row r="3279" spans="5:6" ht="15" customHeight="1" x14ac:dyDescent="0.2">
      <c r="E3279" s="18"/>
      <c r="F3279" s="18"/>
    </row>
    <row r="3280" spans="5:6" ht="15" customHeight="1" x14ac:dyDescent="0.2">
      <c r="E3280" s="18"/>
      <c r="F3280" s="18"/>
    </row>
    <row r="3281" spans="5:6" ht="15" customHeight="1" x14ac:dyDescent="0.2">
      <c r="E3281" s="18"/>
      <c r="F3281" s="18"/>
    </row>
    <row r="3282" spans="5:6" ht="15" customHeight="1" x14ac:dyDescent="0.2">
      <c r="E3282" s="18"/>
      <c r="F3282" s="18"/>
    </row>
    <row r="3283" spans="5:6" ht="15" customHeight="1" x14ac:dyDescent="0.2">
      <c r="E3283" s="18"/>
      <c r="F3283" s="18"/>
    </row>
    <row r="3284" spans="5:6" ht="15" customHeight="1" x14ac:dyDescent="0.2">
      <c r="E3284" s="18"/>
      <c r="F3284" s="18"/>
    </row>
    <row r="3285" spans="5:6" ht="15" customHeight="1" x14ac:dyDescent="0.2">
      <c r="E3285" s="18"/>
      <c r="F3285" s="18"/>
    </row>
    <row r="3286" spans="5:6" ht="15" customHeight="1" x14ac:dyDescent="0.2">
      <c r="E3286" s="18"/>
      <c r="F3286" s="18"/>
    </row>
    <row r="3287" spans="5:6" ht="15" customHeight="1" x14ac:dyDescent="0.2">
      <c r="E3287" s="18"/>
      <c r="F3287" s="18"/>
    </row>
    <row r="3288" spans="5:6" ht="15" customHeight="1" x14ac:dyDescent="0.2">
      <c r="E3288" s="18"/>
      <c r="F3288" s="18"/>
    </row>
    <row r="3289" spans="5:6" ht="15" customHeight="1" x14ac:dyDescent="0.2">
      <c r="E3289" s="18"/>
      <c r="F3289" s="18"/>
    </row>
    <row r="3290" spans="5:6" ht="15" customHeight="1" x14ac:dyDescent="0.2">
      <c r="E3290" s="18"/>
      <c r="F3290" s="18"/>
    </row>
    <row r="3291" spans="5:6" ht="15" customHeight="1" x14ac:dyDescent="0.2">
      <c r="E3291" s="18"/>
      <c r="F3291" s="18"/>
    </row>
    <row r="3292" spans="5:6" ht="15" customHeight="1" x14ac:dyDescent="0.2">
      <c r="E3292" s="18"/>
      <c r="F3292" s="18"/>
    </row>
    <row r="3293" spans="5:6" ht="15" customHeight="1" x14ac:dyDescent="0.2">
      <c r="E3293" s="18"/>
      <c r="F3293" s="18"/>
    </row>
    <row r="3294" spans="5:6" ht="15" customHeight="1" x14ac:dyDescent="0.2">
      <c r="E3294" s="18"/>
      <c r="F3294" s="18"/>
    </row>
    <row r="3295" spans="5:6" ht="15" customHeight="1" x14ac:dyDescent="0.2">
      <c r="E3295" s="18"/>
      <c r="F3295" s="18"/>
    </row>
    <row r="3296" spans="5:6" ht="15" customHeight="1" x14ac:dyDescent="0.2">
      <c r="E3296" s="18"/>
      <c r="F3296" s="18"/>
    </row>
    <row r="3297" spans="5:6" ht="15" customHeight="1" x14ac:dyDescent="0.2">
      <c r="E3297" s="18"/>
      <c r="F3297" s="18"/>
    </row>
    <row r="3298" spans="5:6" ht="15" customHeight="1" x14ac:dyDescent="0.2">
      <c r="E3298" s="18"/>
      <c r="F3298" s="18"/>
    </row>
    <row r="3299" spans="5:6" ht="15" customHeight="1" x14ac:dyDescent="0.2">
      <c r="E3299" s="18"/>
      <c r="F3299" s="18"/>
    </row>
    <row r="3300" spans="5:6" ht="15" customHeight="1" x14ac:dyDescent="0.2">
      <c r="E3300" s="18"/>
      <c r="F3300" s="18"/>
    </row>
    <row r="3301" spans="5:6" ht="15" customHeight="1" x14ac:dyDescent="0.2">
      <c r="E3301" s="18"/>
      <c r="F3301" s="18"/>
    </row>
    <row r="3302" spans="5:6" ht="15" customHeight="1" x14ac:dyDescent="0.2">
      <c r="E3302" s="18"/>
      <c r="F3302" s="18"/>
    </row>
    <row r="3303" spans="5:6" ht="15" customHeight="1" x14ac:dyDescent="0.2">
      <c r="E3303" s="18"/>
      <c r="F3303" s="18"/>
    </row>
    <row r="3304" spans="5:6" ht="15" customHeight="1" x14ac:dyDescent="0.2">
      <c r="E3304" s="18"/>
      <c r="F3304" s="18"/>
    </row>
    <row r="3305" spans="5:6" ht="15" customHeight="1" x14ac:dyDescent="0.2">
      <c r="E3305" s="18"/>
      <c r="F3305" s="18"/>
    </row>
    <row r="3306" spans="5:6" ht="15" customHeight="1" x14ac:dyDescent="0.2">
      <c r="E3306" s="18"/>
      <c r="F3306" s="18"/>
    </row>
    <row r="3307" spans="5:6" ht="15" customHeight="1" x14ac:dyDescent="0.2">
      <c r="E3307" s="18"/>
      <c r="F3307" s="18"/>
    </row>
    <row r="3308" spans="5:6" ht="15" customHeight="1" x14ac:dyDescent="0.2">
      <c r="E3308" s="18"/>
      <c r="F3308" s="18"/>
    </row>
    <row r="3309" spans="5:6" ht="15" customHeight="1" x14ac:dyDescent="0.2">
      <c r="E3309" s="18"/>
      <c r="F3309" s="18"/>
    </row>
    <row r="3310" spans="5:6" ht="15" customHeight="1" x14ac:dyDescent="0.2">
      <c r="E3310" s="18"/>
      <c r="F3310" s="18"/>
    </row>
    <row r="3311" spans="5:6" ht="15" customHeight="1" x14ac:dyDescent="0.2">
      <c r="E3311" s="18"/>
      <c r="F3311" s="18"/>
    </row>
    <row r="3312" spans="5:6" ht="15" customHeight="1" x14ac:dyDescent="0.2">
      <c r="E3312" s="18"/>
      <c r="F3312" s="18"/>
    </row>
    <row r="3313" spans="5:6" ht="15" customHeight="1" x14ac:dyDescent="0.2">
      <c r="E3313" s="18"/>
      <c r="F3313" s="18"/>
    </row>
    <row r="3314" spans="5:6" ht="15" customHeight="1" x14ac:dyDescent="0.2">
      <c r="E3314" s="18"/>
      <c r="F3314" s="18"/>
    </row>
    <row r="3315" spans="5:6" ht="15" customHeight="1" x14ac:dyDescent="0.2">
      <c r="E3315" s="18"/>
      <c r="F3315" s="18"/>
    </row>
    <row r="3316" spans="5:6" ht="15" customHeight="1" x14ac:dyDescent="0.2">
      <c r="E3316" s="18"/>
      <c r="F3316" s="18"/>
    </row>
    <row r="3317" spans="5:6" ht="15" customHeight="1" x14ac:dyDescent="0.2">
      <c r="E3317" s="18"/>
      <c r="F3317" s="18"/>
    </row>
    <row r="3318" spans="5:6" ht="15" customHeight="1" x14ac:dyDescent="0.2">
      <c r="E3318" s="18"/>
      <c r="F3318" s="18"/>
    </row>
    <row r="3319" spans="5:6" ht="15" customHeight="1" x14ac:dyDescent="0.2">
      <c r="E3319" s="18"/>
      <c r="F3319" s="18"/>
    </row>
    <row r="3320" spans="5:6" ht="15" customHeight="1" x14ac:dyDescent="0.2">
      <c r="E3320" s="18"/>
      <c r="F3320" s="18"/>
    </row>
    <row r="3321" spans="5:6" ht="15" customHeight="1" x14ac:dyDescent="0.2">
      <c r="E3321" s="18"/>
      <c r="F3321" s="18"/>
    </row>
    <row r="3322" spans="5:6" ht="15" customHeight="1" x14ac:dyDescent="0.2">
      <c r="E3322" s="18"/>
      <c r="F3322" s="18"/>
    </row>
    <row r="3323" spans="5:6" ht="15" customHeight="1" x14ac:dyDescent="0.2">
      <c r="E3323" s="18"/>
      <c r="F3323" s="18"/>
    </row>
    <row r="3324" spans="5:6" ht="15" customHeight="1" x14ac:dyDescent="0.2">
      <c r="E3324" s="18"/>
      <c r="F3324" s="18"/>
    </row>
    <row r="3325" spans="5:6" ht="15" customHeight="1" x14ac:dyDescent="0.2">
      <c r="E3325" s="18"/>
      <c r="F3325" s="18"/>
    </row>
    <row r="3326" spans="5:6" ht="15" customHeight="1" x14ac:dyDescent="0.2">
      <c r="E3326" s="18"/>
      <c r="F3326" s="18"/>
    </row>
    <row r="3327" spans="5:6" ht="15" customHeight="1" x14ac:dyDescent="0.2">
      <c r="E3327" s="18"/>
      <c r="F3327" s="18"/>
    </row>
    <row r="3328" spans="5:6" ht="15" customHeight="1" x14ac:dyDescent="0.2">
      <c r="E3328" s="18"/>
      <c r="F3328" s="18"/>
    </row>
    <row r="3329" spans="5:6" ht="15" customHeight="1" x14ac:dyDescent="0.2">
      <c r="E3329" s="18"/>
      <c r="F3329" s="18"/>
    </row>
    <row r="3330" spans="5:6" ht="15" customHeight="1" x14ac:dyDescent="0.2">
      <c r="E3330" s="18"/>
      <c r="F3330" s="18"/>
    </row>
    <row r="3331" spans="5:6" ht="15" customHeight="1" x14ac:dyDescent="0.2">
      <c r="E3331" s="18"/>
      <c r="F3331" s="18"/>
    </row>
    <row r="3332" spans="5:6" ht="15" customHeight="1" x14ac:dyDescent="0.2">
      <c r="E3332" s="18"/>
      <c r="F3332" s="18"/>
    </row>
    <row r="3333" spans="5:6" ht="15" customHeight="1" x14ac:dyDescent="0.2">
      <c r="E3333" s="18"/>
      <c r="F3333" s="18"/>
    </row>
    <row r="3334" spans="5:6" ht="15" customHeight="1" x14ac:dyDescent="0.2">
      <c r="E3334" s="18"/>
      <c r="F3334" s="18"/>
    </row>
    <row r="3335" spans="5:6" ht="15" customHeight="1" x14ac:dyDescent="0.2">
      <c r="E3335" s="18"/>
      <c r="F3335" s="18"/>
    </row>
    <row r="3336" spans="5:6" ht="15" customHeight="1" x14ac:dyDescent="0.2">
      <c r="E3336" s="18"/>
      <c r="F3336" s="18"/>
    </row>
    <row r="3337" spans="5:6" ht="15" customHeight="1" x14ac:dyDescent="0.2">
      <c r="E3337" s="18"/>
      <c r="F3337" s="18"/>
    </row>
    <row r="3338" spans="5:6" ht="15" customHeight="1" x14ac:dyDescent="0.2">
      <c r="E3338" s="18"/>
      <c r="F3338" s="18"/>
    </row>
    <row r="3339" spans="5:6" ht="15" customHeight="1" x14ac:dyDescent="0.2">
      <c r="E3339" s="18"/>
      <c r="F3339" s="18"/>
    </row>
    <row r="3340" spans="5:6" ht="15" customHeight="1" x14ac:dyDescent="0.2">
      <c r="E3340" s="18"/>
      <c r="F3340" s="18"/>
    </row>
    <row r="3341" spans="5:6" ht="15" customHeight="1" x14ac:dyDescent="0.2">
      <c r="E3341" s="18"/>
      <c r="F3341" s="18"/>
    </row>
    <row r="3342" spans="5:6" ht="15" customHeight="1" x14ac:dyDescent="0.2">
      <c r="E3342" s="18"/>
      <c r="F3342" s="18"/>
    </row>
    <row r="3343" spans="5:6" ht="15" customHeight="1" x14ac:dyDescent="0.2">
      <c r="E3343" s="18"/>
      <c r="F3343" s="18"/>
    </row>
    <row r="3344" spans="5:6" ht="15" customHeight="1" x14ac:dyDescent="0.2">
      <c r="E3344" s="18"/>
      <c r="F3344" s="18"/>
    </row>
    <row r="3345" spans="5:6" ht="15" customHeight="1" x14ac:dyDescent="0.2">
      <c r="E3345" s="18"/>
      <c r="F3345" s="18"/>
    </row>
    <row r="3346" spans="5:6" ht="15" customHeight="1" x14ac:dyDescent="0.2">
      <c r="E3346" s="18"/>
      <c r="F3346" s="18"/>
    </row>
    <row r="3347" spans="5:6" ht="15" customHeight="1" x14ac:dyDescent="0.2">
      <c r="E3347" s="18"/>
      <c r="F3347" s="18"/>
    </row>
    <row r="3348" spans="5:6" ht="15" customHeight="1" x14ac:dyDescent="0.2">
      <c r="E3348" s="18"/>
      <c r="F3348" s="18"/>
    </row>
    <row r="3349" spans="5:6" ht="15" customHeight="1" x14ac:dyDescent="0.2">
      <c r="E3349" s="18"/>
      <c r="F3349" s="18"/>
    </row>
    <row r="3350" spans="5:6" ht="15" customHeight="1" x14ac:dyDescent="0.2">
      <c r="E3350" s="18"/>
      <c r="F3350" s="18"/>
    </row>
    <row r="3351" spans="5:6" ht="15" customHeight="1" x14ac:dyDescent="0.2">
      <c r="E3351" s="18"/>
      <c r="F3351" s="18"/>
    </row>
    <row r="3352" spans="5:6" ht="15" customHeight="1" x14ac:dyDescent="0.2">
      <c r="E3352" s="18"/>
      <c r="F3352" s="18"/>
    </row>
    <row r="3353" spans="5:6" ht="15" customHeight="1" x14ac:dyDescent="0.2">
      <c r="E3353" s="18"/>
      <c r="F3353" s="18"/>
    </row>
    <row r="3354" spans="5:6" ht="15" customHeight="1" x14ac:dyDescent="0.2">
      <c r="E3354" s="18"/>
      <c r="F3354" s="18"/>
    </row>
    <row r="3355" spans="5:6" ht="15" customHeight="1" x14ac:dyDescent="0.2">
      <c r="E3355" s="18"/>
      <c r="F3355" s="18"/>
    </row>
    <row r="3356" spans="5:6" ht="15" customHeight="1" x14ac:dyDescent="0.2">
      <c r="E3356" s="18"/>
      <c r="F3356" s="18"/>
    </row>
    <row r="3357" spans="5:6" ht="15" customHeight="1" x14ac:dyDescent="0.2">
      <c r="E3357" s="18"/>
      <c r="F3357" s="18"/>
    </row>
    <row r="3358" spans="5:6" ht="15" customHeight="1" x14ac:dyDescent="0.2">
      <c r="E3358" s="18"/>
      <c r="F3358" s="18"/>
    </row>
    <row r="3359" spans="5:6" ht="15" customHeight="1" x14ac:dyDescent="0.2">
      <c r="E3359" s="18"/>
      <c r="F3359" s="18"/>
    </row>
    <row r="3360" spans="5:6" ht="15" customHeight="1" x14ac:dyDescent="0.2">
      <c r="E3360" s="18"/>
      <c r="F3360" s="18"/>
    </row>
    <row r="3361" spans="5:6" ht="15" customHeight="1" x14ac:dyDescent="0.2">
      <c r="E3361" s="18"/>
      <c r="F3361" s="18"/>
    </row>
    <row r="3362" spans="5:6" ht="15" customHeight="1" x14ac:dyDescent="0.2">
      <c r="E3362" s="18"/>
      <c r="F3362" s="18"/>
    </row>
    <row r="3363" spans="5:6" ht="15" customHeight="1" x14ac:dyDescent="0.2">
      <c r="E3363" s="18"/>
      <c r="F3363" s="18"/>
    </row>
    <row r="3364" spans="5:6" ht="15" customHeight="1" x14ac:dyDescent="0.2">
      <c r="E3364" s="18"/>
      <c r="F3364" s="18"/>
    </row>
    <row r="3365" spans="5:6" ht="15" customHeight="1" x14ac:dyDescent="0.2">
      <c r="E3365" s="18"/>
      <c r="F3365" s="18"/>
    </row>
    <row r="3366" spans="5:6" ht="15" customHeight="1" x14ac:dyDescent="0.2">
      <c r="E3366" s="18"/>
      <c r="F3366" s="18"/>
    </row>
    <row r="3367" spans="5:6" ht="15" customHeight="1" x14ac:dyDescent="0.2">
      <c r="E3367" s="18"/>
      <c r="F3367" s="18"/>
    </row>
    <row r="3368" spans="5:6" ht="15" customHeight="1" x14ac:dyDescent="0.2">
      <c r="E3368" s="18"/>
      <c r="F3368" s="18"/>
    </row>
    <row r="3369" spans="5:6" ht="15" customHeight="1" x14ac:dyDescent="0.2">
      <c r="E3369" s="18"/>
      <c r="F3369" s="18"/>
    </row>
    <row r="3370" spans="5:6" ht="15" customHeight="1" x14ac:dyDescent="0.2">
      <c r="E3370" s="18"/>
      <c r="F3370" s="18"/>
    </row>
    <row r="3371" spans="5:6" ht="15" customHeight="1" x14ac:dyDescent="0.2">
      <c r="E3371" s="18"/>
      <c r="F3371" s="18"/>
    </row>
    <row r="3372" spans="5:6" ht="15" customHeight="1" x14ac:dyDescent="0.2">
      <c r="E3372" s="18"/>
      <c r="F3372" s="18"/>
    </row>
    <row r="3373" spans="5:6" ht="15" customHeight="1" x14ac:dyDescent="0.2">
      <c r="E3373" s="18"/>
      <c r="F3373" s="18"/>
    </row>
    <row r="3374" spans="5:6" ht="15" customHeight="1" x14ac:dyDescent="0.2">
      <c r="E3374" s="18"/>
      <c r="F3374" s="18"/>
    </row>
    <row r="3375" spans="5:6" ht="15" customHeight="1" x14ac:dyDescent="0.2">
      <c r="E3375" s="18"/>
      <c r="F3375" s="18"/>
    </row>
    <row r="3376" spans="5:6" ht="15" customHeight="1" x14ac:dyDescent="0.2">
      <c r="E3376" s="18"/>
      <c r="F3376" s="18"/>
    </row>
    <row r="3377" spans="5:6" ht="15" customHeight="1" x14ac:dyDescent="0.2">
      <c r="E3377" s="18"/>
      <c r="F3377" s="18"/>
    </row>
    <row r="3378" spans="5:6" ht="15" customHeight="1" x14ac:dyDescent="0.2">
      <c r="E3378" s="18"/>
      <c r="F3378" s="18"/>
    </row>
    <row r="3379" spans="5:6" ht="15" customHeight="1" x14ac:dyDescent="0.2">
      <c r="E3379" s="18"/>
      <c r="F3379" s="18"/>
    </row>
    <row r="3380" spans="5:6" ht="15" customHeight="1" x14ac:dyDescent="0.2">
      <c r="E3380" s="18"/>
      <c r="F3380" s="18"/>
    </row>
    <row r="3381" spans="5:6" ht="15" customHeight="1" x14ac:dyDescent="0.2">
      <c r="E3381" s="18"/>
      <c r="F3381" s="18"/>
    </row>
    <row r="3382" spans="5:6" ht="15" customHeight="1" x14ac:dyDescent="0.2">
      <c r="E3382" s="18"/>
      <c r="F3382" s="18"/>
    </row>
    <row r="3383" spans="5:6" ht="15" customHeight="1" x14ac:dyDescent="0.2">
      <c r="E3383" s="18"/>
      <c r="F3383" s="18"/>
    </row>
    <row r="3384" spans="5:6" ht="15" customHeight="1" x14ac:dyDescent="0.2">
      <c r="E3384" s="18"/>
      <c r="F3384" s="18"/>
    </row>
    <row r="3385" spans="5:6" ht="15" customHeight="1" x14ac:dyDescent="0.2">
      <c r="E3385" s="18"/>
      <c r="F3385" s="18"/>
    </row>
    <row r="3386" spans="5:6" ht="15" customHeight="1" x14ac:dyDescent="0.2">
      <c r="E3386" s="18"/>
      <c r="F3386" s="18"/>
    </row>
    <row r="3387" spans="5:6" ht="15" customHeight="1" x14ac:dyDescent="0.2">
      <c r="E3387" s="18"/>
      <c r="F3387" s="18"/>
    </row>
    <row r="3388" spans="5:6" ht="15" customHeight="1" x14ac:dyDescent="0.2">
      <c r="E3388" s="18"/>
      <c r="F3388" s="18"/>
    </row>
    <row r="3389" spans="5:6" ht="15" customHeight="1" x14ac:dyDescent="0.2">
      <c r="E3389" s="18"/>
      <c r="F3389" s="18"/>
    </row>
    <row r="3390" spans="5:6" ht="15" customHeight="1" x14ac:dyDescent="0.2">
      <c r="E3390" s="18"/>
      <c r="F3390" s="18"/>
    </row>
    <row r="3391" spans="5:6" ht="15" customHeight="1" x14ac:dyDescent="0.2">
      <c r="E3391" s="18"/>
      <c r="F3391" s="18"/>
    </row>
    <row r="3392" spans="5:6" ht="15" customHeight="1" x14ac:dyDescent="0.2">
      <c r="E3392" s="18"/>
      <c r="F3392" s="18"/>
    </row>
    <row r="3393" spans="5:6" ht="15" customHeight="1" x14ac:dyDescent="0.2">
      <c r="E3393" s="18"/>
      <c r="F3393" s="18"/>
    </row>
    <row r="3394" spans="5:6" ht="15" customHeight="1" x14ac:dyDescent="0.2">
      <c r="E3394" s="18"/>
      <c r="F3394" s="18"/>
    </row>
    <row r="3395" spans="5:6" ht="15" customHeight="1" x14ac:dyDescent="0.2">
      <c r="E3395" s="18"/>
      <c r="F3395" s="18"/>
    </row>
    <row r="3396" spans="5:6" ht="15" customHeight="1" x14ac:dyDescent="0.2">
      <c r="E3396" s="18"/>
      <c r="F3396" s="18"/>
    </row>
    <row r="3397" spans="5:6" ht="15" customHeight="1" x14ac:dyDescent="0.2">
      <c r="E3397" s="18"/>
      <c r="F3397" s="18"/>
    </row>
    <row r="3398" spans="5:6" ht="15" customHeight="1" x14ac:dyDescent="0.2">
      <c r="E3398" s="18"/>
      <c r="F3398" s="18"/>
    </row>
    <row r="3399" spans="5:6" ht="15" customHeight="1" x14ac:dyDescent="0.2">
      <c r="E3399" s="18"/>
      <c r="F3399" s="18"/>
    </row>
    <row r="3400" spans="5:6" ht="15" customHeight="1" x14ac:dyDescent="0.2">
      <c r="E3400" s="18"/>
      <c r="F3400" s="18"/>
    </row>
    <row r="3401" spans="5:6" ht="15" customHeight="1" x14ac:dyDescent="0.2">
      <c r="E3401" s="18"/>
      <c r="F3401" s="18"/>
    </row>
    <row r="3402" spans="5:6" ht="15" customHeight="1" x14ac:dyDescent="0.2">
      <c r="E3402" s="18"/>
      <c r="F3402" s="18"/>
    </row>
    <row r="3403" spans="5:6" ht="15" customHeight="1" x14ac:dyDescent="0.2">
      <c r="E3403" s="18"/>
      <c r="F3403" s="18"/>
    </row>
    <row r="3404" spans="5:6" ht="15" customHeight="1" x14ac:dyDescent="0.2">
      <c r="E3404" s="18"/>
      <c r="F3404" s="18"/>
    </row>
    <row r="3405" spans="5:6" ht="15" customHeight="1" x14ac:dyDescent="0.2">
      <c r="E3405" s="18"/>
      <c r="F3405" s="18"/>
    </row>
    <row r="3406" spans="5:6" ht="15" customHeight="1" x14ac:dyDescent="0.2">
      <c r="E3406" s="18"/>
      <c r="F3406" s="18"/>
    </row>
    <row r="3407" spans="5:6" ht="15" customHeight="1" x14ac:dyDescent="0.2">
      <c r="E3407" s="18"/>
      <c r="F3407" s="18"/>
    </row>
    <row r="3408" spans="5:6" ht="15" customHeight="1" x14ac:dyDescent="0.2">
      <c r="E3408" s="18"/>
      <c r="F3408" s="18"/>
    </row>
    <row r="3409" spans="5:6" ht="15" customHeight="1" x14ac:dyDescent="0.2">
      <c r="E3409" s="18"/>
      <c r="F3409" s="18"/>
    </row>
    <row r="3410" spans="5:6" ht="15" customHeight="1" x14ac:dyDescent="0.2">
      <c r="E3410" s="18"/>
      <c r="F3410" s="18"/>
    </row>
    <row r="3411" spans="5:6" ht="15" customHeight="1" x14ac:dyDescent="0.2">
      <c r="E3411" s="18"/>
      <c r="F3411" s="18"/>
    </row>
    <row r="3412" spans="5:6" ht="15" customHeight="1" x14ac:dyDescent="0.2">
      <c r="E3412" s="18"/>
      <c r="F3412" s="18"/>
    </row>
    <row r="3413" spans="5:6" ht="15" customHeight="1" x14ac:dyDescent="0.2">
      <c r="E3413" s="18"/>
      <c r="F3413" s="18"/>
    </row>
    <row r="3414" spans="5:6" ht="15" customHeight="1" x14ac:dyDescent="0.2">
      <c r="E3414" s="18"/>
      <c r="F3414" s="18"/>
    </row>
    <row r="3415" spans="5:6" ht="15" customHeight="1" x14ac:dyDescent="0.2">
      <c r="E3415" s="18"/>
      <c r="F3415" s="18"/>
    </row>
    <row r="3416" spans="5:6" ht="15" customHeight="1" x14ac:dyDescent="0.2">
      <c r="E3416" s="18"/>
      <c r="F3416" s="18"/>
    </row>
    <row r="3417" spans="5:6" ht="15" customHeight="1" x14ac:dyDescent="0.2">
      <c r="E3417" s="18"/>
      <c r="F3417" s="18"/>
    </row>
    <row r="3418" spans="5:6" ht="15" customHeight="1" x14ac:dyDescent="0.2">
      <c r="E3418" s="18"/>
      <c r="F3418" s="18"/>
    </row>
    <row r="3419" spans="5:6" ht="15" customHeight="1" x14ac:dyDescent="0.2">
      <c r="E3419" s="18"/>
      <c r="F3419" s="18"/>
    </row>
    <row r="3420" spans="5:6" ht="15" customHeight="1" x14ac:dyDescent="0.2">
      <c r="E3420" s="18"/>
      <c r="F3420" s="18"/>
    </row>
    <row r="3421" spans="5:6" ht="15" customHeight="1" x14ac:dyDescent="0.2">
      <c r="E3421" s="18"/>
      <c r="F3421" s="18"/>
    </row>
    <row r="3422" spans="5:6" ht="15" customHeight="1" x14ac:dyDescent="0.2">
      <c r="E3422" s="18"/>
      <c r="F3422" s="18"/>
    </row>
    <row r="3423" spans="5:6" ht="15" customHeight="1" x14ac:dyDescent="0.2">
      <c r="E3423" s="18"/>
      <c r="F3423" s="18"/>
    </row>
    <row r="3424" spans="5:6" ht="15" customHeight="1" x14ac:dyDescent="0.2">
      <c r="E3424" s="18"/>
      <c r="F3424" s="18"/>
    </row>
    <row r="3425" spans="5:6" ht="15" customHeight="1" x14ac:dyDescent="0.2">
      <c r="E3425" s="18"/>
      <c r="F3425" s="18"/>
    </row>
    <row r="3426" spans="5:6" ht="15" customHeight="1" x14ac:dyDescent="0.2">
      <c r="E3426" s="18"/>
      <c r="F3426" s="18"/>
    </row>
    <row r="3427" spans="5:6" ht="15" customHeight="1" x14ac:dyDescent="0.2">
      <c r="E3427" s="18"/>
      <c r="F3427" s="18"/>
    </row>
    <row r="3428" spans="5:6" ht="15" customHeight="1" x14ac:dyDescent="0.2">
      <c r="E3428" s="18"/>
      <c r="F3428" s="18"/>
    </row>
    <row r="3429" spans="5:6" ht="15" customHeight="1" x14ac:dyDescent="0.2">
      <c r="E3429" s="18"/>
      <c r="F3429" s="18"/>
    </row>
    <row r="3430" spans="5:6" ht="15" customHeight="1" x14ac:dyDescent="0.2">
      <c r="E3430" s="18"/>
      <c r="F3430" s="18"/>
    </row>
    <row r="3431" spans="5:6" ht="15" customHeight="1" x14ac:dyDescent="0.2">
      <c r="E3431" s="18"/>
      <c r="F3431" s="18"/>
    </row>
    <row r="3432" spans="5:6" ht="15" customHeight="1" x14ac:dyDescent="0.2">
      <c r="E3432" s="18"/>
      <c r="F3432" s="18"/>
    </row>
    <row r="3433" spans="5:6" ht="15" customHeight="1" x14ac:dyDescent="0.2">
      <c r="E3433" s="18"/>
      <c r="F3433" s="18"/>
    </row>
    <row r="3434" spans="5:6" ht="15" customHeight="1" x14ac:dyDescent="0.2">
      <c r="E3434" s="18"/>
      <c r="F3434" s="18"/>
    </row>
    <row r="3435" spans="5:6" ht="15" customHeight="1" x14ac:dyDescent="0.2">
      <c r="E3435" s="18"/>
      <c r="F3435" s="18"/>
    </row>
    <row r="3436" spans="5:6" ht="15" customHeight="1" x14ac:dyDescent="0.2">
      <c r="E3436" s="18"/>
      <c r="F3436" s="18"/>
    </row>
    <row r="3437" spans="5:6" ht="15" customHeight="1" x14ac:dyDescent="0.2">
      <c r="E3437" s="18"/>
      <c r="F3437" s="18"/>
    </row>
    <row r="3438" spans="5:6" ht="15" customHeight="1" x14ac:dyDescent="0.2">
      <c r="E3438" s="18"/>
      <c r="F3438" s="18"/>
    </row>
    <row r="3439" spans="5:6" ht="15" customHeight="1" x14ac:dyDescent="0.2">
      <c r="E3439" s="18"/>
      <c r="F3439" s="18"/>
    </row>
    <row r="3440" spans="5:6" ht="15" customHeight="1" x14ac:dyDescent="0.2">
      <c r="E3440" s="18"/>
      <c r="F3440" s="18"/>
    </row>
    <row r="3441" spans="5:6" ht="15" customHeight="1" x14ac:dyDescent="0.2">
      <c r="E3441" s="18"/>
      <c r="F3441" s="18"/>
    </row>
    <row r="3442" spans="5:6" ht="15" customHeight="1" x14ac:dyDescent="0.2">
      <c r="E3442" s="18"/>
      <c r="F3442" s="18"/>
    </row>
    <row r="3443" spans="5:6" ht="15" customHeight="1" x14ac:dyDescent="0.2">
      <c r="E3443" s="18"/>
      <c r="F3443" s="18"/>
    </row>
    <row r="3444" spans="5:6" ht="15" customHeight="1" x14ac:dyDescent="0.2">
      <c r="E3444" s="18"/>
      <c r="F3444" s="18"/>
    </row>
    <row r="3445" spans="5:6" ht="15" customHeight="1" x14ac:dyDescent="0.2">
      <c r="E3445" s="18"/>
      <c r="F3445" s="18"/>
    </row>
    <row r="3446" spans="5:6" ht="15" customHeight="1" x14ac:dyDescent="0.2">
      <c r="E3446" s="18"/>
      <c r="F3446" s="18"/>
    </row>
    <row r="3447" spans="5:6" ht="15" customHeight="1" x14ac:dyDescent="0.2">
      <c r="E3447" s="18"/>
      <c r="F3447" s="18"/>
    </row>
    <row r="3448" spans="5:6" ht="15" customHeight="1" x14ac:dyDescent="0.2">
      <c r="E3448" s="18"/>
      <c r="F3448" s="18"/>
    </row>
    <row r="3449" spans="5:6" ht="15" customHeight="1" x14ac:dyDescent="0.2">
      <c r="E3449" s="18"/>
      <c r="F3449" s="18"/>
    </row>
    <row r="3450" spans="5:6" ht="15" customHeight="1" x14ac:dyDescent="0.2">
      <c r="E3450" s="18"/>
      <c r="F3450" s="18"/>
    </row>
    <row r="3451" spans="5:6" ht="15" customHeight="1" x14ac:dyDescent="0.2">
      <c r="E3451" s="18"/>
      <c r="F3451" s="18"/>
    </row>
    <row r="3452" spans="5:6" ht="15" customHeight="1" x14ac:dyDescent="0.2">
      <c r="E3452" s="18"/>
      <c r="F3452" s="18"/>
    </row>
    <row r="3453" spans="5:6" ht="15" customHeight="1" x14ac:dyDescent="0.2">
      <c r="E3453" s="18"/>
      <c r="F3453" s="18"/>
    </row>
    <row r="3454" spans="5:6" ht="15" customHeight="1" x14ac:dyDescent="0.2">
      <c r="E3454" s="18"/>
      <c r="F3454" s="18"/>
    </row>
    <row r="3455" spans="5:6" ht="15" customHeight="1" x14ac:dyDescent="0.2">
      <c r="E3455" s="18"/>
      <c r="F3455" s="18"/>
    </row>
    <row r="3456" spans="5:6" ht="15" customHeight="1" x14ac:dyDescent="0.2">
      <c r="E3456" s="18"/>
      <c r="F3456" s="18"/>
    </row>
    <row r="3457" spans="5:6" ht="15" customHeight="1" x14ac:dyDescent="0.2">
      <c r="E3457" s="18"/>
      <c r="F3457" s="18"/>
    </row>
    <row r="3458" spans="5:6" ht="15" customHeight="1" x14ac:dyDescent="0.2">
      <c r="E3458" s="18"/>
      <c r="F3458" s="18"/>
    </row>
    <row r="3459" spans="5:6" ht="15" customHeight="1" x14ac:dyDescent="0.2">
      <c r="E3459" s="18"/>
      <c r="F3459" s="18"/>
    </row>
    <row r="3460" spans="5:6" ht="15" customHeight="1" x14ac:dyDescent="0.2">
      <c r="E3460" s="18"/>
      <c r="F3460" s="18"/>
    </row>
    <row r="3461" spans="5:6" ht="15" customHeight="1" x14ac:dyDescent="0.2">
      <c r="E3461" s="18"/>
      <c r="F3461" s="18"/>
    </row>
    <row r="3462" spans="5:6" ht="15" customHeight="1" x14ac:dyDescent="0.2">
      <c r="E3462" s="18"/>
      <c r="F3462" s="18"/>
    </row>
    <row r="3463" spans="5:6" ht="15" customHeight="1" x14ac:dyDescent="0.2">
      <c r="E3463" s="18"/>
      <c r="F3463" s="18"/>
    </row>
    <row r="3464" spans="5:6" ht="15" customHeight="1" x14ac:dyDescent="0.2">
      <c r="E3464" s="18"/>
      <c r="F3464" s="18"/>
    </row>
    <row r="3465" spans="5:6" ht="15" customHeight="1" x14ac:dyDescent="0.2">
      <c r="E3465" s="18"/>
      <c r="F3465" s="18"/>
    </row>
    <row r="3466" spans="5:6" ht="15" customHeight="1" x14ac:dyDescent="0.2">
      <c r="E3466" s="18"/>
      <c r="F3466" s="18"/>
    </row>
    <row r="3467" spans="5:6" ht="15" customHeight="1" x14ac:dyDescent="0.2">
      <c r="E3467" s="18"/>
      <c r="F3467" s="18"/>
    </row>
    <row r="3468" spans="5:6" ht="15" customHeight="1" x14ac:dyDescent="0.2">
      <c r="E3468" s="18"/>
      <c r="F3468" s="18"/>
    </row>
    <row r="3469" spans="5:6" ht="15" customHeight="1" x14ac:dyDescent="0.2">
      <c r="E3469" s="18"/>
      <c r="F3469" s="18"/>
    </row>
    <row r="3470" spans="5:6" ht="15" customHeight="1" x14ac:dyDescent="0.2">
      <c r="E3470" s="18"/>
      <c r="F3470" s="18"/>
    </row>
    <row r="3471" spans="5:6" ht="15" customHeight="1" x14ac:dyDescent="0.2">
      <c r="E3471" s="18"/>
      <c r="F3471" s="18"/>
    </row>
    <row r="3472" spans="5:6" ht="15" customHeight="1" x14ac:dyDescent="0.2">
      <c r="E3472" s="18"/>
      <c r="F3472" s="18"/>
    </row>
    <row r="3473" spans="5:6" ht="15" customHeight="1" x14ac:dyDescent="0.2">
      <c r="E3473" s="18"/>
      <c r="F3473" s="18"/>
    </row>
    <row r="3474" spans="5:6" ht="15" customHeight="1" x14ac:dyDescent="0.2">
      <c r="E3474" s="18"/>
      <c r="F3474" s="18"/>
    </row>
    <row r="3475" spans="5:6" ht="15" customHeight="1" x14ac:dyDescent="0.2">
      <c r="E3475" s="18"/>
      <c r="F3475" s="18"/>
    </row>
    <row r="3476" spans="5:6" ht="15" customHeight="1" x14ac:dyDescent="0.2">
      <c r="E3476" s="18"/>
      <c r="F3476" s="18"/>
    </row>
    <row r="3477" spans="5:6" ht="15" customHeight="1" x14ac:dyDescent="0.2">
      <c r="E3477" s="18"/>
      <c r="F3477" s="18"/>
    </row>
    <row r="3478" spans="5:6" ht="15" customHeight="1" x14ac:dyDescent="0.2">
      <c r="E3478" s="18"/>
      <c r="F3478" s="18"/>
    </row>
    <row r="3479" spans="5:6" ht="15" customHeight="1" x14ac:dyDescent="0.2">
      <c r="E3479" s="18"/>
      <c r="F3479" s="18"/>
    </row>
    <row r="3480" spans="5:6" ht="15" customHeight="1" x14ac:dyDescent="0.2">
      <c r="E3480" s="18"/>
      <c r="F3480" s="18"/>
    </row>
    <row r="3481" spans="5:6" ht="15" customHeight="1" x14ac:dyDescent="0.2">
      <c r="E3481" s="18"/>
      <c r="F3481" s="18"/>
    </row>
    <row r="3482" spans="5:6" ht="15" customHeight="1" x14ac:dyDescent="0.2">
      <c r="E3482" s="18"/>
      <c r="F3482" s="18"/>
    </row>
    <row r="3483" spans="5:6" ht="15" customHeight="1" x14ac:dyDescent="0.2">
      <c r="E3483" s="18"/>
      <c r="F3483" s="18"/>
    </row>
    <row r="3484" spans="5:6" ht="15" customHeight="1" x14ac:dyDescent="0.2">
      <c r="E3484" s="18"/>
      <c r="F3484" s="18"/>
    </row>
    <row r="3485" spans="5:6" ht="15" customHeight="1" x14ac:dyDescent="0.2">
      <c r="E3485" s="18"/>
      <c r="F3485" s="18"/>
    </row>
    <row r="3486" spans="5:6" ht="15" customHeight="1" x14ac:dyDescent="0.2">
      <c r="E3486" s="18"/>
      <c r="F3486" s="18"/>
    </row>
    <row r="3487" spans="5:6" ht="15" customHeight="1" x14ac:dyDescent="0.2">
      <c r="E3487" s="18"/>
      <c r="F3487" s="18"/>
    </row>
    <row r="3488" spans="5:6" ht="15" customHeight="1" x14ac:dyDescent="0.2">
      <c r="E3488" s="18"/>
      <c r="F3488" s="18"/>
    </row>
    <row r="3489" spans="5:6" ht="15" customHeight="1" x14ac:dyDescent="0.2">
      <c r="E3489" s="18"/>
      <c r="F3489" s="18"/>
    </row>
    <row r="3490" spans="5:6" ht="15" customHeight="1" x14ac:dyDescent="0.2">
      <c r="E3490" s="18"/>
      <c r="F3490" s="18"/>
    </row>
    <row r="3491" spans="5:6" ht="15" customHeight="1" x14ac:dyDescent="0.2">
      <c r="E3491" s="18"/>
      <c r="F3491" s="18"/>
    </row>
    <row r="3492" spans="5:6" ht="15" customHeight="1" x14ac:dyDescent="0.2">
      <c r="E3492" s="18"/>
      <c r="F3492" s="18"/>
    </row>
    <row r="3493" spans="5:6" ht="15" customHeight="1" x14ac:dyDescent="0.2">
      <c r="E3493" s="18"/>
      <c r="F3493" s="18"/>
    </row>
    <row r="3494" spans="5:6" ht="15" customHeight="1" x14ac:dyDescent="0.2">
      <c r="E3494" s="18"/>
      <c r="F3494" s="18"/>
    </row>
    <row r="3495" spans="5:6" ht="15" customHeight="1" x14ac:dyDescent="0.2">
      <c r="E3495" s="18"/>
      <c r="F3495" s="18"/>
    </row>
    <row r="3496" spans="5:6" ht="15" customHeight="1" x14ac:dyDescent="0.2">
      <c r="E3496" s="18"/>
      <c r="F3496" s="18"/>
    </row>
    <row r="3497" spans="5:6" ht="15" customHeight="1" x14ac:dyDescent="0.2">
      <c r="E3497" s="18"/>
      <c r="F3497" s="18"/>
    </row>
    <row r="3498" spans="5:6" ht="15" customHeight="1" x14ac:dyDescent="0.2">
      <c r="E3498" s="18"/>
      <c r="F3498" s="18"/>
    </row>
    <row r="3499" spans="5:6" ht="15" customHeight="1" x14ac:dyDescent="0.2">
      <c r="E3499" s="18"/>
      <c r="F3499" s="18"/>
    </row>
    <row r="3500" spans="5:6" ht="15" customHeight="1" x14ac:dyDescent="0.2">
      <c r="E3500" s="18"/>
      <c r="F3500" s="18"/>
    </row>
    <row r="3501" spans="5:6" ht="15" customHeight="1" x14ac:dyDescent="0.2">
      <c r="E3501" s="18"/>
      <c r="F3501" s="18"/>
    </row>
    <row r="3502" spans="5:6" ht="15" customHeight="1" x14ac:dyDescent="0.2">
      <c r="E3502" s="18"/>
      <c r="F3502" s="18"/>
    </row>
    <row r="3503" spans="5:6" ht="15" customHeight="1" x14ac:dyDescent="0.2">
      <c r="E3503" s="18"/>
      <c r="F3503" s="18"/>
    </row>
    <row r="3504" spans="5:6" ht="15" customHeight="1" x14ac:dyDescent="0.2">
      <c r="E3504" s="18"/>
      <c r="F3504" s="18"/>
    </row>
    <row r="3505" spans="5:6" ht="15" customHeight="1" x14ac:dyDescent="0.2">
      <c r="E3505" s="18"/>
      <c r="F3505" s="18"/>
    </row>
    <row r="3506" spans="5:6" ht="15" customHeight="1" x14ac:dyDescent="0.2">
      <c r="E3506" s="18"/>
      <c r="F3506" s="18"/>
    </row>
    <row r="3507" spans="5:6" ht="15" customHeight="1" x14ac:dyDescent="0.2">
      <c r="E3507" s="18"/>
      <c r="F3507" s="18"/>
    </row>
    <row r="3508" spans="5:6" ht="15" customHeight="1" x14ac:dyDescent="0.2">
      <c r="E3508" s="18"/>
      <c r="F3508" s="18"/>
    </row>
    <row r="3509" spans="5:6" ht="15" customHeight="1" x14ac:dyDescent="0.2">
      <c r="E3509" s="18"/>
      <c r="F3509" s="18"/>
    </row>
    <row r="3510" spans="5:6" ht="15" customHeight="1" x14ac:dyDescent="0.2">
      <c r="E3510" s="18"/>
      <c r="F3510" s="18"/>
    </row>
    <row r="3511" spans="5:6" ht="15" customHeight="1" x14ac:dyDescent="0.2">
      <c r="E3511" s="18"/>
      <c r="F3511" s="18"/>
    </row>
    <row r="3512" spans="5:6" ht="15" customHeight="1" x14ac:dyDescent="0.2">
      <c r="E3512" s="18"/>
      <c r="F3512" s="18"/>
    </row>
    <row r="3513" spans="5:6" ht="15" customHeight="1" x14ac:dyDescent="0.2">
      <c r="E3513" s="18"/>
      <c r="F3513" s="18"/>
    </row>
    <row r="3514" spans="5:6" ht="15" customHeight="1" x14ac:dyDescent="0.2">
      <c r="E3514" s="18"/>
      <c r="F3514" s="18"/>
    </row>
    <row r="3515" spans="5:6" ht="15" customHeight="1" x14ac:dyDescent="0.2">
      <c r="E3515" s="18"/>
      <c r="F3515" s="18"/>
    </row>
    <row r="3516" spans="5:6" ht="15" customHeight="1" x14ac:dyDescent="0.2">
      <c r="E3516" s="18"/>
      <c r="F3516" s="18"/>
    </row>
    <row r="3517" spans="5:6" ht="15" customHeight="1" x14ac:dyDescent="0.2">
      <c r="E3517" s="18"/>
      <c r="F3517" s="18"/>
    </row>
    <row r="3518" spans="5:6" ht="15" customHeight="1" x14ac:dyDescent="0.2">
      <c r="E3518" s="18"/>
      <c r="F3518" s="18"/>
    </row>
    <row r="3519" spans="5:6" ht="15" customHeight="1" x14ac:dyDescent="0.2">
      <c r="E3519" s="18"/>
      <c r="F3519" s="18"/>
    </row>
    <row r="3520" spans="5:6" ht="15" customHeight="1" x14ac:dyDescent="0.2">
      <c r="E3520" s="18"/>
      <c r="F3520" s="18"/>
    </row>
    <row r="3521" spans="5:6" ht="15" customHeight="1" x14ac:dyDescent="0.2">
      <c r="E3521" s="18"/>
      <c r="F3521" s="18"/>
    </row>
    <row r="3522" spans="5:6" ht="15" customHeight="1" x14ac:dyDescent="0.2">
      <c r="E3522" s="18"/>
      <c r="F3522" s="18"/>
    </row>
    <row r="3523" spans="5:6" ht="15" customHeight="1" x14ac:dyDescent="0.2">
      <c r="E3523" s="18"/>
      <c r="F3523" s="18"/>
    </row>
    <row r="3524" spans="5:6" ht="15" customHeight="1" x14ac:dyDescent="0.2">
      <c r="E3524" s="18"/>
      <c r="F3524" s="18"/>
    </row>
    <row r="3525" spans="5:6" ht="15" customHeight="1" x14ac:dyDescent="0.2">
      <c r="E3525" s="18"/>
      <c r="F3525" s="18"/>
    </row>
    <row r="3526" spans="5:6" ht="15" customHeight="1" x14ac:dyDescent="0.2">
      <c r="E3526" s="18"/>
      <c r="F3526" s="18"/>
    </row>
    <row r="3527" spans="5:6" ht="15" customHeight="1" x14ac:dyDescent="0.2">
      <c r="E3527" s="18"/>
      <c r="F3527" s="18"/>
    </row>
    <row r="3528" spans="5:6" ht="15" customHeight="1" x14ac:dyDescent="0.2">
      <c r="E3528" s="18"/>
      <c r="F3528" s="18"/>
    </row>
    <row r="3529" spans="5:6" ht="15" customHeight="1" x14ac:dyDescent="0.2">
      <c r="E3529" s="18"/>
      <c r="F3529" s="18"/>
    </row>
    <row r="3530" spans="5:6" ht="15" customHeight="1" x14ac:dyDescent="0.2">
      <c r="E3530" s="18"/>
      <c r="F3530" s="18"/>
    </row>
    <row r="3531" spans="5:6" ht="15" customHeight="1" x14ac:dyDescent="0.2">
      <c r="E3531" s="18"/>
      <c r="F3531" s="18"/>
    </row>
    <row r="3532" spans="5:6" ht="15" customHeight="1" x14ac:dyDescent="0.2">
      <c r="E3532" s="18"/>
      <c r="F3532" s="18"/>
    </row>
    <row r="3533" spans="5:6" ht="15" customHeight="1" x14ac:dyDescent="0.2">
      <c r="E3533" s="18"/>
      <c r="F3533" s="18"/>
    </row>
    <row r="3534" spans="5:6" ht="15" customHeight="1" x14ac:dyDescent="0.2">
      <c r="E3534" s="18"/>
      <c r="F3534" s="18"/>
    </row>
    <row r="3535" spans="5:6" ht="15" customHeight="1" x14ac:dyDescent="0.2">
      <c r="E3535" s="18"/>
      <c r="F3535" s="18"/>
    </row>
    <row r="3536" spans="5:6" ht="15" customHeight="1" x14ac:dyDescent="0.2">
      <c r="E3536" s="18"/>
      <c r="F3536" s="18"/>
    </row>
    <row r="3537" spans="5:6" ht="15" customHeight="1" x14ac:dyDescent="0.2">
      <c r="E3537" s="18"/>
      <c r="F3537" s="18"/>
    </row>
    <row r="3538" spans="5:6" ht="15" customHeight="1" x14ac:dyDescent="0.2">
      <c r="E3538" s="18"/>
      <c r="F3538" s="18"/>
    </row>
    <row r="3539" spans="5:6" ht="15" customHeight="1" x14ac:dyDescent="0.2">
      <c r="E3539" s="18"/>
      <c r="F3539" s="18"/>
    </row>
    <row r="3540" spans="5:6" ht="15" customHeight="1" x14ac:dyDescent="0.2">
      <c r="E3540" s="18"/>
      <c r="F3540" s="18"/>
    </row>
    <row r="3541" spans="5:6" ht="15" customHeight="1" x14ac:dyDescent="0.2">
      <c r="E3541" s="18"/>
      <c r="F3541" s="18"/>
    </row>
    <row r="3542" spans="5:6" ht="15" customHeight="1" x14ac:dyDescent="0.2">
      <c r="E3542" s="18"/>
      <c r="F3542" s="18"/>
    </row>
    <row r="3543" spans="5:6" ht="15" customHeight="1" x14ac:dyDescent="0.2">
      <c r="E3543" s="18"/>
      <c r="F3543" s="18"/>
    </row>
    <row r="3544" spans="5:6" ht="15" customHeight="1" x14ac:dyDescent="0.2">
      <c r="E3544" s="18"/>
      <c r="F3544" s="18"/>
    </row>
    <row r="3545" spans="5:6" ht="15" customHeight="1" x14ac:dyDescent="0.2">
      <c r="E3545" s="18"/>
      <c r="F3545" s="18"/>
    </row>
    <row r="3546" spans="5:6" ht="15" customHeight="1" x14ac:dyDescent="0.2">
      <c r="E3546" s="18"/>
      <c r="F3546" s="18"/>
    </row>
    <row r="3547" spans="5:6" ht="15" customHeight="1" x14ac:dyDescent="0.2">
      <c r="E3547" s="18"/>
      <c r="F3547" s="18"/>
    </row>
    <row r="3548" spans="5:6" ht="15" customHeight="1" x14ac:dyDescent="0.2">
      <c r="E3548" s="18"/>
      <c r="F3548" s="18"/>
    </row>
    <row r="3549" spans="5:6" ht="15" customHeight="1" x14ac:dyDescent="0.2">
      <c r="E3549" s="18"/>
      <c r="F3549" s="18"/>
    </row>
    <row r="3550" spans="5:6" ht="15" customHeight="1" x14ac:dyDescent="0.2">
      <c r="E3550" s="18"/>
      <c r="F3550" s="18"/>
    </row>
    <row r="3551" spans="5:6" ht="15" customHeight="1" x14ac:dyDescent="0.2">
      <c r="E3551" s="18"/>
      <c r="F3551" s="18"/>
    </row>
    <row r="3552" spans="5:6" ht="15" customHeight="1" x14ac:dyDescent="0.2">
      <c r="E3552" s="18"/>
      <c r="F3552" s="18"/>
    </row>
    <row r="3553" spans="5:6" ht="15" customHeight="1" x14ac:dyDescent="0.2">
      <c r="E3553" s="18"/>
      <c r="F3553" s="18"/>
    </row>
    <row r="3554" spans="5:6" ht="15" customHeight="1" x14ac:dyDescent="0.2">
      <c r="E3554" s="18"/>
      <c r="F3554" s="18"/>
    </row>
    <row r="3555" spans="5:6" ht="15" customHeight="1" x14ac:dyDescent="0.2">
      <c r="E3555" s="18"/>
      <c r="F3555" s="18"/>
    </row>
    <row r="3556" spans="5:6" ht="15" customHeight="1" x14ac:dyDescent="0.2">
      <c r="E3556" s="18"/>
      <c r="F3556" s="18"/>
    </row>
    <row r="3557" spans="5:6" ht="15" customHeight="1" x14ac:dyDescent="0.2">
      <c r="E3557" s="18"/>
      <c r="F3557" s="18"/>
    </row>
    <row r="3558" spans="5:6" ht="15" customHeight="1" x14ac:dyDescent="0.2">
      <c r="E3558" s="18"/>
      <c r="F3558" s="18"/>
    </row>
    <row r="3559" spans="5:6" ht="15" customHeight="1" x14ac:dyDescent="0.2">
      <c r="E3559" s="18"/>
      <c r="F3559" s="18"/>
    </row>
    <row r="3560" spans="5:6" ht="15" customHeight="1" x14ac:dyDescent="0.2">
      <c r="E3560" s="18"/>
      <c r="F3560" s="18"/>
    </row>
    <row r="3561" spans="5:6" ht="15" customHeight="1" x14ac:dyDescent="0.2">
      <c r="E3561" s="18"/>
      <c r="F3561" s="18"/>
    </row>
    <row r="3562" spans="5:6" ht="15" customHeight="1" x14ac:dyDescent="0.2">
      <c r="E3562" s="18"/>
      <c r="F3562" s="18"/>
    </row>
    <row r="3563" spans="5:6" ht="15" customHeight="1" x14ac:dyDescent="0.2">
      <c r="E3563" s="18"/>
      <c r="F3563" s="18"/>
    </row>
    <row r="3564" spans="5:6" ht="15" customHeight="1" x14ac:dyDescent="0.2">
      <c r="E3564" s="18"/>
      <c r="F3564" s="18"/>
    </row>
    <row r="3565" spans="5:6" ht="15" customHeight="1" x14ac:dyDescent="0.2">
      <c r="E3565" s="18"/>
      <c r="F3565" s="18"/>
    </row>
    <row r="3566" spans="5:6" ht="15" customHeight="1" x14ac:dyDescent="0.2">
      <c r="E3566" s="18"/>
      <c r="F3566" s="18"/>
    </row>
    <row r="3567" spans="5:6" ht="15" customHeight="1" x14ac:dyDescent="0.2">
      <c r="E3567" s="18"/>
      <c r="F3567" s="18"/>
    </row>
    <row r="3568" spans="5:6" ht="15" customHeight="1" x14ac:dyDescent="0.2">
      <c r="E3568" s="18"/>
      <c r="F3568" s="18"/>
    </row>
    <row r="3569" spans="5:6" ht="15" customHeight="1" x14ac:dyDescent="0.2">
      <c r="E3569" s="18"/>
      <c r="F3569" s="18"/>
    </row>
    <row r="3570" spans="5:6" ht="15" customHeight="1" x14ac:dyDescent="0.2">
      <c r="E3570" s="18"/>
      <c r="F3570" s="18"/>
    </row>
    <row r="3571" spans="5:6" ht="15" customHeight="1" x14ac:dyDescent="0.2">
      <c r="E3571" s="18"/>
      <c r="F3571" s="18"/>
    </row>
    <row r="3572" spans="5:6" ht="15" customHeight="1" x14ac:dyDescent="0.2">
      <c r="E3572" s="18"/>
      <c r="F3572" s="18"/>
    </row>
    <row r="3573" spans="5:6" ht="15" customHeight="1" x14ac:dyDescent="0.2">
      <c r="E3573" s="18"/>
      <c r="F3573" s="18"/>
    </row>
    <row r="3574" spans="5:6" ht="15" customHeight="1" x14ac:dyDescent="0.2">
      <c r="E3574" s="18"/>
      <c r="F3574" s="18"/>
    </row>
    <row r="3575" spans="5:6" ht="15" customHeight="1" x14ac:dyDescent="0.2">
      <c r="E3575" s="18"/>
      <c r="F3575" s="18"/>
    </row>
    <row r="3576" spans="5:6" ht="15" customHeight="1" x14ac:dyDescent="0.2">
      <c r="E3576" s="18"/>
      <c r="F3576" s="18"/>
    </row>
    <row r="3577" spans="5:6" ht="15" customHeight="1" x14ac:dyDescent="0.2">
      <c r="E3577" s="18"/>
      <c r="F3577" s="18"/>
    </row>
    <row r="3578" spans="5:6" ht="15" customHeight="1" x14ac:dyDescent="0.2">
      <c r="E3578" s="18"/>
      <c r="F3578" s="18"/>
    </row>
    <row r="3579" spans="5:6" ht="15" customHeight="1" x14ac:dyDescent="0.2">
      <c r="E3579" s="18"/>
      <c r="F3579" s="18"/>
    </row>
    <row r="3580" spans="5:6" ht="15" customHeight="1" x14ac:dyDescent="0.2">
      <c r="E3580" s="18"/>
      <c r="F3580" s="18"/>
    </row>
    <row r="3581" spans="5:6" ht="15" customHeight="1" x14ac:dyDescent="0.2">
      <c r="E3581" s="18"/>
      <c r="F3581" s="18"/>
    </row>
    <row r="3582" spans="5:6" ht="15" customHeight="1" x14ac:dyDescent="0.2">
      <c r="E3582" s="18"/>
      <c r="F3582" s="18"/>
    </row>
    <row r="3583" spans="5:6" ht="15" customHeight="1" x14ac:dyDescent="0.2">
      <c r="E3583" s="18"/>
      <c r="F3583" s="18"/>
    </row>
    <row r="3584" spans="5:6" ht="15" customHeight="1" x14ac:dyDescent="0.2">
      <c r="E3584" s="18"/>
      <c r="F3584" s="18"/>
    </row>
    <row r="3585" spans="5:6" ht="15" customHeight="1" x14ac:dyDescent="0.2">
      <c r="E3585" s="18"/>
      <c r="F3585" s="18"/>
    </row>
    <row r="3586" spans="5:6" ht="15" customHeight="1" x14ac:dyDescent="0.2">
      <c r="E3586" s="18"/>
      <c r="F3586" s="18"/>
    </row>
    <row r="3587" spans="5:6" ht="15" customHeight="1" x14ac:dyDescent="0.2">
      <c r="E3587" s="18"/>
      <c r="F3587" s="18"/>
    </row>
    <row r="3588" spans="5:6" ht="15" customHeight="1" x14ac:dyDescent="0.2">
      <c r="E3588" s="18"/>
      <c r="F3588" s="18"/>
    </row>
    <row r="3589" spans="5:6" ht="15" customHeight="1" x14ac:dyDescent="0.2">
      <c r="E3589" s="18"/>
      <c r="F3589" s="18"/>
    </row>
    <row r="3590" spans="5:6" ht="15" customHeight="1" x14ac:dyDescent="0.2">
      <c r="E3590" s="18"/>
      <c r="F3590" s="18"/>
    </row>
    <row r="3591" spans="5:6" ht="15" customHeight="1" x14ac:dyDescent="0.2">
      <c r="E3591" s="18"/>
      <c r="F3591" s="18"/>
    </row>
    <row r="3592" spans="5:6" ht="15" customHeight="1" x14ac:dyDescent="0.2">
      <c r="E3592" s="18"/>
      <c r="F3592" s="18"/>
    </row>
    <row r="3593" spans="5:6" ht="15" customHeight="1" x14ac:dyDescent="0.2">
      <c r="E3593" s="18"/>
      <c r="F3593" s="18"/>
    </row>
    <row r="3594" spans="5:6" ht="15" customHeight="1" x14ac:dyDescent="0.2">
      <c r="E3594" s="18"/>
      <c r="F3594" s="18"/>
    </row>
    <row r="3595" spans="5:6" ht="15" customHeight="1" x14ac:dyDescent="0.2">
      <c r="E3595" s="18"/>
      <c r="F3595" s="18"/>
    </row>
    <row r="3596" spans="5:6" ht="15" customHeight="1" x14ac:dyDescent="0.2">
      <c r="E3596" s="18"/>
      <c r="F3596" s="18"/>
    </row>
    <row r="3597" spans="5:6" ht="15" customHeight="1" x14ac:dyDescent="0.2">
      <c r="E3597" s="18"/>
      <c r="F3597" s="18"/>
    </row>
    <row r="3598" spans="5:6" ht="15" customHeight="1" x14ac:dyDescent="0.2">
      <c r="E3598" s="18"/>
      <c r="F3598" s="18"/>
    </row>
    <row r="3599" spans="5:6" ht="15" customHeight="1" x14ac:dyDescent="0.2">
      <c r="E3599" s="18"/>
      <c r="F3599" s="18"/>
    </row>
    <row r="3600" spans="5:6" ht="15" customHeight="1" x14ac:dyDescent="0.2">
      <c r="E3600" s="18"/>
      <c r="F3600" s="18"/>
    </row>
    <row r="3601" spans="5:6" ht="15" customHeight="1" x14ac:dyDescent="0.2">
      <c r="E3601" s="18"/>
      <c r="F3601" s="18"/>
    </row>
    <row r="3602" spans="5:6" ht="15" customHeight="1" x14ac:dyDescent="0.2">
      <c r="E3602" s="18"/>
      <c r="F3602" s="18"/>
    </row>
    <row r="3603" spans="5:6" ht="15" customHeight="1" x14ac:dyDescent="0.2">
      <c r="E3603" s="18"/>
      <c r="F3603" s="18"/>
    </row>
    <row r="3604" spans="5:6" ht="15" customHeight="1" x14ac:dyDescent="0.2">
      <c r="E3604" s="18"/>
      <c r="F3604" s="18"/>
    </row>
    <row r="3605" spans="5:6" ht="15" customHeight="1" x14ac:dyDescent="0.2">
      <c r="E3605" s="18"/>
      <c r="F3605" s="18"/>
    </row>
    <row r="3606" spans="5:6" ht="15" customHeight="1" x14ac:dyDescent="0.2">
      <c r="E3606" s="18"/>
      <c r="F3606" s="18"/>
    </row>
    <row r="3607" spans="5:6" ht="15" customHeight="1" x14ac:dyDescent="0.2">
      <c r="E3607" s="18"/>
      <c r="F3607" s="18"/>
    </row>
    <row r="3608" spans="5:6" ht="15" customHeight="1" x14ac:dyDescent="0.2">
      <c r="E3608" s="18"/>
      <c r="F3608" s="18"/>
    </row>
    <row r="3609" spans="5:6" ht="15" customHeight="1" x14ac:dyDescent="0.2">
      <c r="E3609" s="18"/>
      <c r="F3609" s="18"/>
    </row>
    <row r="3610" spans="5:6" ht="15" customHeight="1" x14ac:dyDescent="0.2">
      <c r="E3610" s="18"/>
      <c r="F3610" s="18"/>
    </row>
    <row r="3611" spans="5:6" ht="15" customHeight="1" x14ac:dyDescent="0.2">
      <c r="E3611" s="18"/>
      <c r="F3611" s="18"/>
    </row>
    <row r="3612" spans="5:6" ht="15" customHeight="1" x14ac:dyDescent="0.2">
      <c r="E3612" s="18"/>
      <c r="F3612" s="18"/>
    </row>
    <row r="3613" spans="5:6" ht="15" customHeight="1" x14ac:dyDescent="0.2">
      <c r="E3613" s="18"/>
      <c r="F3613" s="18"/>
    </row>
    <row r="3614" spans="5:6" ht="15" customHeight="1" x14ac:dyDescent="0.2">
      <c r="E3614" s="18"/>
      <c r="F3614" s="18"/>
    </row>
    <row r="3615" spans="5:6" ht="15" customHeight="1" x14ac:dyDescent="0.2">
      <c r="E3615" s="18"/>
      <c r="F3615" s="18"/>
    </row>
    <row r="3616" spans="5:6" ht="15" customHeight="1" x14ac:dyDescent="0.2">
      <c r="E3616" s="18"/>
      <c r="F3616" s="18"/>
    </row>
    <row r="3617" spans="5:6" ht="15" customHeight="1" x14ac:dyDescent="0.2">
      <c r="E3617" s="18"/>
      <c r="F3617" s="18"/>
    </row>
    <row r="3618" spans="5:6" ht="15" customHeight="1" x14ac:dyDescent="0.2">
      <c r="E3618" s="18"/>
      <c r="F3618" s="18"/>
    </row>
    <row r="3619" spans="5:6" ht="15" customHeight="1" x14ac:dyDescent="0.2">
      <c r="E3619" s="18"/>
      <c r="F3619" s="18"/>
    </row>
    <row r="3620" spans="5:6" ht="15" customHeight="1" x14ac:dyDescent="0.2">
      <c r="E3620" s="18"/>
      <c r="F3620" s="18"/>
    </row>
    <row r="3621" spans="5:6" ht="15" customHeight="1" x14ac:dyDescent="0.2">
      <c r="E3621" s="18"/>
      <c r="F3621" s="18"/>
    </row>
    <row r="3622" spans="5:6" ht="15" customHeight="1" x14ac:dyDescent="0.2">
      <c r="E3622" s="18"/>
      <c r="F3622" s="18"/>
    </row>
    <row r="3623" spans="5:6" ht="15" customHeight="1" x14ac:dyDescent="0.2">
      <c r="E3623" s="18"/>
      <c r="F3623" s="18"/>
    </row>
    <row r="3624" spans="5:6" ht="15" customHeight="1" x14ac:dyDescent="0.2">
      <c r="E3624" s="18"/>
      <c r="F3624" s="18"/>
    </row>
    <row r="3625" spans="5:6" ht="15" customHeight="1" x14ac:dyDescent="0.2">
      <c r="E3625" s="18"/>
      <c r="F3625" s="18"/>
    </row>
    <row r="3626" spans="5:6" ht="15" customHeight="1" x14ac:dyDescent="0.2">
      <c r="E3626" s="18"/>
      <c r="F3626" s="18"/>
    </row>
    <row r="3627" spans="5:6" ht="15" customHeight="1" x14ac:dyDescent="0.2">
      <c r="E3627" s="18"/>
      <c r="F3627" s="18"/>
    </row>
    <row r="3628" spans="5:6" ht="15" customHeight="1" x14ac:dyDescent="0.2">
      <c r="E3628" s="18"/>
      <c r="F3628" s="18"/>
    </row>
    <row r="3629" spans="5:6" ht="15" customHeight="1" x14ac:dyDescent="0.2">
      <c r="E3629" s="18"/>
      <c r="F3629" s="18"/>
    </row>
    <row r="3630" spans="5:6" ht="15" customHeight="1" x14ac:dyDescent="0.2">
      <c r="E3630" s="18"/>
      <c r="F3630" s="18"/>
    </row>
    <row r="3631" spans="5:6" ht="15" customHeight="1" x14ac:dyDescent="0.2">
      <c r="E3631" s="18"/>
      <c r="F3631" s="18"/>
    </row>
    <row r="3632" spans="5:6" ht="15" customHeight="1" x14ac:dyDescent="0.2">
      <c r="E3632" s="18"/>
      <c r="F3632" s="18"/>
    </row>
    <row r="3633" spans="5:6" ht="15" customHeight="1" x14ac:dyDescent="0.2">
      <c r="E3633" s="18"/>
      <c r="F3633" s="18"/>
    </row>
    <row r="3634" spans="5:6" ht="15" customHeight="1" x14ac:dyDescent="0.2">
      <c r="E3634" s="18"/>
      <c r="F3634" s="18"/>
    </row>
    <row r="3635" spans="5:6" ht="15" customHeight="1" x14ac:dyDescent="0.2">
      <c r="E3635" s="18"/>
      <c r="F3635" s="18"/>
    </row>
    <row r="3636" spans="5:6" ht="15" customHeight="1" x14ac:dyDescent="0.2">
      <c r="E3636" s="18"/>
      <c r="F3636" s="18"/>
    </row>
    <row r="3637" spans="5:6" ht="15" customHeight="1" x14ac:dyDescent="0.2">
      <c r="E3637" s="18"/>
      <c r="F3637" s="18"/>
    </row>
    <row r="3638" spans="5:6" ht="15" customHeight="1" x14ac:dyDescent="0.2">
      <c r="E3638" s="18"/>
      <c r="F3638" s="18"/>
    </row>
    <row r="3639" spans="5:6" ht="15" customHeight="1" x14ac:dyDescent="0.2">
      <c r="E3639" s="18"/>
      <c r="F3639" s="18"/>
    </row>
    <row r="3640" spans="5:6" ht="15" customHeight="1" x14ac:dyDescent="0.2">
      <c r="E3640" s="18"/>
      <c r="F3640" s="18"/>
    </row>
    <row r="3641" spans="5:6" ht="15" customHeight="1" x14ac:dyDescent="0.2">
      <c r="E3641" s="18"/>
      <c r="F3641" s="18"/>
    </row>
    <row r="3642" spans="5:6" ht="15" customHeight="1" x14ac:dyDescent="0.2">
      <c r="E3642" s="18"/>
      <c r="F3642" s="18"/>
    </row>
    <row r="3643" spans="5:6" ht="15" customHeight="1" x14ac:dyDescent="0.2">
      <c r="E3643" s="18"/>
      <c r="F3643" s="18"/>
    </row>
    <row r="3644" spans="5:6" ht="15" customHeight="1" x14ac:dyDescent="0.2">
      <c r="E3644" s="18"/>
      <c r="F3644" s="18"/>
    </row>
    <row r="3645" spans="5:6" ht="15" customHeight="1" x14ac:dyDescent="0.2">
      <c r="E3645" s="18"/>
      <c r="F3645" s="18"/>
    </row>
    <row r="3646" spans="5:6" ht="15" customHeight="1" x14ac:dyDescent="0.2">
      <c r="E3646" s="18"/>
      <c r="F3646" s="18"/>
    </row>
    <row r="3647" spans="5:6" ht="15" customHeight="1" x14ac:dyDescent="0.2">
      <c r="E3647" s="18"/>
      <c r="F3647" s="18"/>
    </row>
    <row r="3648" spans="5:6" ht="15" customHeight="1" x14ac:dyDescent="0.2">
      <c r="E3648" s="18"/>
      <c r="F3648" s="18"/>
    </row>
    <row r="3649" spans="5:6" ht="15" customHeight="1" x14ac:dyDescent="0.2">
      <c r="E3649" s="18"/>
      <c r="F3649" s="18"/>
    </row>
    <row r="3650" spans="5:6" ht="15" customHeight="1" x14ac:dyDescent="0.2">
      <c r="E3650" s="18"/>
      <c r="F3650" s="18"/>
    </row>
    <row r="3651" spans="5:6" ht="15" customHeight="1" x14ac:dyDescent="0.2">
      <c r="E3651" s="18"/>
      <c r="F3651" s="18"/>
    </row>
    <row r="3652" spans="5:6" ht="15" customHeight="1" x14ac:dyDescent="0.2">
      <c r="E3652" s="18"/>
      <c r="F3652" s="18"/>
    </row>
    <row r="3653" spans="5:6" ht="15" customHeight="1" x14ac:dyDescent="0.2">
      <c r="E3653" s="18"/>
      <c r="F3653" s="18"/>
    </row>
    <row r="3654" spans="5:6" ht="15" customHeight="1" x14ac:dyDescent="0.2">
      <c r="E3654" s="18"/>
      <c r="F3654" s="18"/>
    </row>
    <row r="3655" spans="5:6" ht="15" customHeight="1" x14ac:dyDescent="0.2">
      <c r="E3655" s="18"/>
      <c r="F3655" s="18"/>
    </row>
    <row r="3656" spans="5:6" ht="15" customHeight="1" x14ac:dyDescent="0.2">
      <c r="E3656" s="18"/>
      <c r="F3656" s="18"/>
    </row>
    <row r="3657" spans="5:6" ht="15" customHeight="1" x14ac:dyDescent="0.2">
      <c r="E3657" s="18"/>
      <c r="F3657" s="18"/>
    </row>
    <row r="3658" spans="5:6" ht="15" customHeight="1" x14ac:dyDescent="0.2">
      <c r="E3658" s="18"/>
      <c r="F3658" s="18"/>
    </row>
    <row r="3659" spans="5:6" ht="15" customHeight="1" x14ac:dyDescent="0.2">
      <c r="E3659" s="18"/>
      <c r="F3659" s="18"/>
    </row>
    <row r="3660" spans="5:6" ht="15" customHeight="1" x14ac:dyDescent="0.2">
      <c r="E3660" s="18"/>
      <c r="F3660" s="18"/>
    </row>
    <row r="3661" spans="5:6" ht="15" customHeight="1" x14ac:dyDescent="0.2">
      <c r="E3661" s="18"/>
      <c r="F3661" s="18"/>
    </row>
    <row r="3662" spans="5:6" ht="15" customHeight="1" x14ac:dyDescent="0.2">
      <c r="E3662" s="18"/>
      <c r="F3662" s="18"/>
    </row>
    <row r="3663" spans="5:6" ht="15" customHeight="1" x14ac:dyDescent="0.2">
      <c r="E3663" s="18"/>
      <c r="F3663" s="18"/>
    </row>
    <row r="3664" spans="5:6" ht="15" customHeight="1" x14ac:dyDescent="0.2">
      <c r="E3664" s="18"/>
      <c r="F3664" s="18"/>
    </row>
    <row r="3665" spans="5:6" ht="15" customHeight="1" x14ac:dyDescent="0.2">
      <c r="E3665" s="18"/>
      <c r="F3665" s="18"/>
    </row>
    <row r="3666" spans="5:6" ht="15" customHeight="1" x14ac:dyDescent="0.2">
      <c r="E3666" s="18"/>
      <c r="F3666" s="18"/>
    </row>
    <row r="3667" spans="5:6" ht="15" customHeight="1" x14ac:dyDescent="0.2">
      <c r="E3667" s="18"/>
      <c r="F3667" s="18"/>
    </row>
    <row r="3668" spans="5:6" ht="15" customHeight="1" x14ac:dyDescent="0.2">
      <c r="E3668" s="18"/>
      <c r="F3668" s="18"/>
    </row>
    <row r="3669" spans="5:6" ht="15" customHeight="1" x14ac:dyDescent="0.2">
      <c r="E3669" s="18"/>
      <c r="F3669" s="18"/>
    </row>
    <row r="3670" spans="5:6" ht="15" customHeight="1" x14ac:dyDescent="0.2">
      <c r="E3670" s="18"/>
      <c r="F3670" s="18"/>
    </row>
    <row r="3671" spans="5:6" ht="15" customHeight="1" x14ac:dyDescent="0.2">
      <c r="E3671" s="18"/>
      <c r="F3671" s="18"/>
    </row>
    <row r="3672" spans="5:6" ht="15" customHeight="1" x14ac:dyDescent="0.2">
      <c r="E3672" s="18"/>
      <c r="F3672" s="18"/>
    </row>
    <row r="3673" spans="5:6" ht="15" customHeight="1" x14ac:dyDescent="0.2">
      <c r="E3673" s="18"/>
      <c r="F3673" s="18"/>
    </row>
    <row r="3674" spans="5:6" ht="15" customHeight="1" x14ac:dyDescent="0.2">
      <c r="E3674" s="18"/>
      <c r="F3674" s="18"/>
    </row>
    <row r="3675" spans="5:6" ht="15" customHeight="1" x14ac:dyDescent="0.2">
      <c r="E3675" s="18"/>
      <c r="F3675" s="18"/>
    </row>
    <row r="3676" spans="5:6" ht="15" customHeight="1" x14ac:dyDescent="0.2">
      <c r="E3676" s="18"/>
      <c r="F3676" s="18"/>
    </row>
    <row r="3677" spans="5:6" ht="15" customHeight="1" x14ac:dyDescent="0.2">
      <c r="E3677" s="18"/>
      <c r="F3677" s="18"/>
    </row>
    <row r="3678" spans="5:6" ht="15" customHeight="1" x14ac:dyDescent="0.2">
      <c r="E3678" s="18"/>
      <c r="F3678" s="18"/>
    </row>
    <row r="3679" spans="5:6" ht="15" customHeight="1" x14ac:dyDescent="0.2">
      <c r="E3679" s="18"/>
      <c r="F3679" s="18"/>
    </row>
    <row r="3680" spans="5:6" ht="15" customHeight="1" x14ac:dyDescent="0.2">
      <c r="E3680" s="18"/>
      <c r="F3680" s="18"/>
    </row>
    <row r="3681" spans="5:6" ht="15" customHeight="1" x14ac:dyDescent="0.2">
      <c r="E3681" s="18"/>
      <c r="F3681" s="18"/>
    </row>
    <row r="3682" spans="5:6" ht="15" customHeight="1" x14ac:dyDescent="0.2">
      <c r="E3682" s="18"/>
      <c r="F3682" s="18"/>
    </row>
    <row r="3683" spans="5:6" ht="15" customHeight="1" x14ac:dyDescent="0.2">
      <c r="E3683" s="18"/>
      <c r="F3683" s="18"/>
    </row>
    <row r="3684" spans="5:6" ht="15" customHeight="1" x14ac:dyDescent="0.2">
      <c r="E3684" s="18"/>
      <c r="F3684" s="18"/>
    </row>
    <row r="3685" spans="5:6" ht="15" customHeight="1" x14ac:dyDescent="0.2">
      <c r="E3685" s="18"/>
      <c r="F3685" s="18"/>
    </row>
    <row r="3686" spans="5:6" ht="15" customHeight="1" x14ac:dyDescent="0.2">
      <c r="E3686" s="18"/>
      <c r="F3686" s="18"/>
    </row>
    <row r="3687" spans="5:6" ht="15" customHeight="1" x14ac:dyDescent="0.2">
      <c r="E3687" s="18"/>
      <c r="F3687" s="18"/>
    </row>
    <row r="3688" spans="5:6" ht="15" customHeight="1" x14ac:dyDescent="0.2">
      <c r="E3688" s="18"/>
      <c r="F3688" s="18"/>
    </row>
    <row r="3689" spans="5:6" ht="15" customHeight="1" x14ac:dyDescent="0.2">
      <c r="E3689" s="18"/>
      <c r="F3689" s="18"/>
    </row>
    <row r="3690" spans="5:6" ht="15" customHeight="1" x14ac:dyDescent="0.2">
      <c r="E3690" s="18"/>
      <c r="F3690" s="18"/>
    </row>
    <row r="3691" spans="5:6" ht="15" customHeight="1" x14ac:dyDescent="0.2">
      <c r="E3691" s="18"/>
      <c r="F3691" s="18"/>
    </row>
    <row r="3692" spans="5:6" ht="15" customHeight="1" x14ac:dyDescent="0.2">
      <c r="E3692" s="18"/>
      <c r="F3692" s="18"/>
    </row>
    <row r="3693" spans="5:6" ht="15" customHeight="1" x14ac:dyDescent="0.2">
      <c r="E3693" s="18"/>
      <c r="F3693" s="18"/>
    </row>
    <row r="3694" spans="5:6" ht="15" customHeight="1" x14ac:dyDescent="0.2">
      <c r="E3694" s="18"/>
      <c r="F3694" s="18"/>
    </row>
    <row r="3695" spans="5:6" ht="15" customHeight="1" x14ac:dyDescent="0.2">
      <c r="E3695" s="18"/>
      <c r="F3695" s="18"/>
    </row>
    <row r="3696" spans="5:6" ht="15" customHeight="1" x14ac:dyDescent="0.2">
      <c r="E3696" s="18"/>
      <c r="F3696" s="18"/>
    </row>
    <row r="3697" spans="5:6" ht="15" customHeight="1" x14ac:dyDescent="0.2">
      <c r="E3697" s="18"/>
      <c r="F3697" s="18"/>
    </row>
    <row r="3698" spans="5:6" ht="15" customHeight="1" x14ac:dyDescent="0.2">
      <c r="E3698" s="18"/>
      <c r="F3698" s="18"/>
    </row>
    <row r="3699" spans="5:6" ht="15" customHeight="1" x14ac:dyDescent="0.2">
      <c r="E3699" s="18"/>
      <c r="F3699" s="18"/>
    </row>
    <row r="3700" spans="5:6" ht="15" customHeight="1" x14ac:dyDescent="0.2">
      <c r="E3700" s="18"/>
      <c r="F3700" s="18"/>
    </row>
    <row r="3701" spans="5:6" ht="15" customHeight="1" x14ac:dyDescent="0.2">
      <c r="E3701" s="18"/>
      <c r="F3701" s="18"/>
    </row>
    <row r="3702" spans="5:6" ht="15" customHeight="1" x14ac:dyDescent="0.2">
      <c r="E3702" s="18"/>
      <c r="F3702" s="18"/>
    </row>
    <row r="3703" spans="5:6" ht="15" customHeight="1" x14ac:dyDescent="0.2">
      <c r="E3703" s="18"/>
      <c r="F3703" s="18"/>
    </row>
    <row r="3704" spans="5:6" ht="15" customHeight="1" x14ac:dyDescent="0.2">
      <c r="E3704" s="18"/>
      <c r="F3704" s="18"/>
    </row>
    <row r="3705" spans="5:6" ht="15" customHeight="1" x14ac:dyDescent="0.2">
      <c r="E3705" s="18"/>
      <c r="F3705" s="18"/>
    </row>
    <row r="3706" spans="5:6" ht="15" customHeight="1" x14ac:dyDescent="0.2">
      <c r="E3706" s="18"/>
      <c r="F3706" s="18"/>
    </row>
    <row r="3707" spans="5:6" ht="15" customHeight="1" x14ac:dyDescent="0.2">
      <c r="E3707" s="18"/>
      <c r="F3707" s="18"/>
    </row>
    <row r="3708" spans="5:6" ht="15" customHeight="1" x14ac:dyDescent="0.2">
      <c r="E3708" s="18"/>
      <c r="F3708" s="18"/>
    </row>
    <row r="3709" spans="5:6" ht="15" customHeight="1" x14ac:dyDescent="0.2">
      <c r="E3709" s="18"/>
      <c r="F3709" s="18"/>
    </row>
    <row r="3710" spans="5:6" ht="15" customHeight="1" x14ac:dyDescent="0.2">
      <c r="E3710" s="18"/>
      <c r="F3710" s="18"/>
    </row>
    <row r="3711" spans="5:6" ht="15" customHeight="1" x14ac:dyDescent="0.2">
      <c r="E3711" s="18"/>
      <c r="F3711" s="18"/>
    </row>
    <row r="3712" spans="5:6" ht="15" customHeight="1" x14ac:dyDescent="0.2">
      <c r="E3712" s="18"/>
      <c r="F3712" s="18"/>
    </row>
    <row r="3713" spans="5:6" ht="15" customHeight="1" x14ac:dyDescent="0.2">
      <c r="E3713" s="18"/>
      <c r="F3713" s="18"/>
    </row>
    <row r="3714" spans="5:6" ht="15" customHeight="1" x14ac:dyDescent="0.2">
      <c r="E3714" s="18"/>
      <c r="F3714" s="18"/>
    </row>
    <row r="3715" spans="5:6" ht="15" customHeight="1" x14ac:dyDescent="0.2">
      <c r="E3715" s="18"/>
      <c r="F3715" s="18"/>
    </row>
    <row r="3716" spans="5:6" ht="15" customHeight="1" x14ac:dyDescent="0.2">
      <c r="E3716" s="18"/>
      <c r="F3716" s="18"/>
    </row>
    <row r="3717" spans="5:6" ht="15" customHeight="1" x14ac:dyDescent="0.2">
      <c r="E3717" s="18"/>
      <c r="F3717" s="18"/>
    </row>
    <row r="3718" spans="5:6" ht="15" customHeight="1" x14ac:dyDescent="0.2">
      <c r="E3718" s="18"/>
      <c r="F3718" s="18"/>
    </row>
    <row r="3719" spans="5:6" ht="15" customHeight="1" x14ac:dyDescent="0.2">
      <c r="E3719" s="18"/>
      <c r="F3719" s="18"/>
    </row>
    <row r="3720" spans="5:6" ht="15" customHeight="1" x14ac:dyDescent="0.2">
      <c r="E3720" s="18"/>
      <c r="F3720" s="18"/>
    </row>
    <row r="3721" spans="5:6" ht="15" customHeight="1" x14ac:dyDescent="0.2">
      <c r="E3721" s="18"/>
      <c r="F3721" s="18"/>
    </row>
    <row r="3722" spans="5:6" ht="15" customHeight="1" x14ac:dyDescent="0.2">
      <c r="E3722" s="18"/>
      <c r="F3722" s="18"/>
    </row>
    <row r="3723" spans="5:6" ht="15" customHeight="1" x14ac:dyDescent="0.2">
      <c r="E3723" s="18"/>
      <c r="F3723" s="18"/>
    </row>
    <row r="3724" spans="5:6" ht="15" customHeight="1" x14ac:dyDescent="0.2">
      <c r="E3724" s="18"/>
      <c r="F3724" s="18"/>
    </row>
    <row r="3725" spans="5:6" ht="15" customHeight="1" x14ac:dyDescent="0.2">
      <c r="E3725" s="18"/>
      <c r="F3725" s="18"/>
    </row>
    <row r="3726" spans="5:6" ht="15" customHeight="1" x14ac:dyDescent="0.2">
      <c r="E3726" s="18"/>
      <c r="F3726" s="18"/>
    </row>
    <row r="3727" spans="5:6" ht="15" customHeight="1" x14ac:dyDescent="0.2">
      <c r="E3727" s="18"/>
      <c r="F3727" s="18"/>
    </row>
    <row r="3728" spans="5:6" ht="15" customHeight="1" x14ac:dyDescent="0.2">
      <c r="E3728" s="18"/>
      <c r="F3728" s="18"/>
    </row>
    <row r="3729" spans="5:6" ht="15" customHeight="1" x14ac:dyDescent="0.2">
      <c r="E3729" s="18"/>
      <c r="F3729" s="18"/>
    </row>
    <row r="3730" spans="5:6" ht="15" customHeight="1" x14ac:dyDescent="0.2">
      <c r="E3730" s="18"/>
      <c r="F3730" s="18"/>
    </row>
    <row r="3731" spans="5:6" ht="15" customHeight="1" x14ac:dyDescent="0.2">
      <c r="E3731" s="18"/>
      <c r="F3731" s="18"/>
    </row>
    <row r="3732" spans="5:6" ht="15" customHeight="1" x14ac:dyDescent="0.2">
      <c r="E3732" s="18"/>
      <c r="F3732" s="18"/>
    </row>
    <row r="3733" spans="5:6" ht="15" customHeight="1" x14ac:dyDescent="0.2">
      <c r="E3733" s="18"/>
      <c r="F3733" s="18"/>
    </row>
    <row r="3734" spans="5:6" ht="15" customHeight="1" x14ac:dyDescent="0.2">
      <c r="E3734" s="18"/>
      <c r="F3734" s="18"/>
    </row>
    <row r="3735" spans="5:6" ht="15" customHeight="1" x14ac:dyDescent="0.2">
      <c r="E3735" s="18"/>
      <c r="F3735" s="18"/>
    </row>
    <row r="3736" spans="5:6" ht="15" customHeight="1" x14ac:dyDescent="0.2">
      <c r="E3736" s="18"/>
      <c r="F3736" s="18"/>
    </row>
    <row r="3737" spans="5:6" ht="15" customHeight="1" x14ac:dyDescent="0.2">
      <c r="E3737" s="18"/>
      <c r="F3737" s="18"/>
    </row>
    <row r="3738" spans="5:6" ht="15" customHeight="1" x14ac:dyDescent="0.2">
      <c r="E3738" s="18"/>
      <c r="F3738" s="18"/>
    </row>
    <row r="3739" spans="5:6" ht="15" customHeight="1" x14ac:dyDescent="0.2">
      <c r="E3739" s="18"/>
      <c r="F3739" s="18"/>
    </row>
    <row r="3740" spans="5:6" ht="15" customHeight="1" x14ac:dyDescent="0.2">
      <c r="E3740" s="18"/>
      <c r="F3740" s="18"/>
    </row>
    <row r="3741" spans="5:6" ht="15" customHeight="1" x14ac:dyDescent="0.2">
      <c r="E3741" s="18"/>
      <c r="F3741" s="18"/>
    </row>
    <row r="3742" spans="5:6" ht="15" customHeight="1" x14ac:dyDescent="0.2">
      <c r="E3742" s="18"/>
      <c r="F3742" s="18"/>
    </row>
    <row r="3743" spans="5:6" ht="15" customHeight="1" x14ac:dyDescent="0.2">
      <c r="E3743" s="18"/>
      <c r="F3743" s="18"/>
    </row>
    <row r="3744" spans="5:6" ht="15" customHeight="1" x14ac:dyDescent="0.2">
      <c r="E3744" s="18"/>
      <c r="F3744" s="18"/>
    </row>
    <row r="3745" spans="5:6" ht="15" customHeight="1" x14ac:dyDescent="0.2">
      <c r="E3745" s="18"/>
      <c r="F3745" s="18"/>
    </row>
    <row r="3746" spans="5:6" ht="15" customHeight="1" x14ac:dyDescent="0.2">
      <c r="E3746" s="18"/>
      <c r="F3746" s="18"/>
    </row>
    <row r="3747" spans="5:6" ht="15" customHeight="1" x14ac:dyDescent="0.2">
      <c r="E3747" s="18"/>
      <c r="F3747" s="18"/>
    </row>
    <row r="3748" spans="5:6" ht="15" customHeight="1" x14ac:dyDescent="0.2">
      <c r="E3748" s="18"/>
      <c r="F3748" s="18"/>
    </row>
    <row r="3749" spans="5:6" ht="15" customHeight="1" x14ac:dyDescent="0.2">
      <c r="E3749" s="18"/>
      <c r="F3749" s="18"/>
    </row>
    <row r="3750" spans="5:6" ht="15" customHeight="1" x14ac:dyDescent="0.2">
      <c r="E3750" s="18"/>
      <c r="F3750" s="18"/>
    </row>
    <row r="3751" spans="5:6" ht="15" customHeight="1" x14ac:dyDescent="0.2">
      <c r="E3751" s="18"/>
      <c r="F3751" s="18"/>
    </row>
    <row r="3752" spans="5:6" ht="15" customHeight="1" x14ac:dyDescent="0.2">
      <c r="E3752" s="18"/>
      <c r="F3752" s="18"/>
    </row>
    <row r="3753" spans="5:6" ht="15" customHeight="1" x14ac:dyDescent="0.2">
      <c r="E3753" s="18"/>
      <c r="F3753" s="18"/>
    </row>
    <row r="3754" spans="5:6" ht="15" customHeight="1" x14ac:dyDescent="0.2">
      <c r="E3754" s="18"/>
      <c r="F3754" s="18"/>
    </row>
    <row r="3755" spans="5:6" ht="15" customHeight="1" x14ac:dyDescent="0.2">
      <c r="E3755" s="18"/>
      <c r="F3755" s="18"/>
    </row>
    <row r="3756" spans="5:6" ht="15" customHeight="1" x14ac:dyDescent="0.2">
      <c r="E3756" s="18"/>
      <c r="F3756" s="18"/>
    </row>
    <row r="3757" spans="5:6" ht="15" customHeight="1" x14ac:dyDescent="0.2">
      <c r="E3757" s="18"/>
      <c r="F3757" s="18"/>
    </row>
    <row r="3758" spans="5:6" ht="15" customHeight="1" x14ac:dyDescent="0.2">
      <c r="E3758" s="18"/>
      <c r="F3758" s="18"/>
    </row>
    <row r="3759" spans="5:6" ht="15" customHeight="1" x14ac:dyDescent="0.2">
      <c r="E3759" s="18"/>
      <c r="F3759" s="18"/>
    </row>
    <row r="3760" spans="5:6" ht="15" customHeight="1" x14ac:dyDescent="0.2">
      <c r="E3760" s="18"/>
      <c r="F3760" s="18"/>
    </row>
    <row r="3761" spans="5:6" ht="15" customHeight="1" x14ac:dyDescent="0.2">
      <c r="E3761" s="18"/>
      <c r="F3761" s="18"/>
    </row>
    <row r="3762" spans="5:6" ht="15" customHeight="1" x14ac:dyDescent="0.2">
      <c r="E3762" s="18"/>
      <c r="F3762" s="18"/>
    </row>
    <row r="3763" spans="5:6" ht="15" customHeight="1" x14ac:dyDescent="0.2">
      <c r="E3763" s="18"/>
      <c r="F3763" s="18"/>
    </row>
    <row r="3764" spans="5:6" ht="15" customHeight="1" x14ac:dyDescent="0.2">
      <c r="E3764" s="18"/>
      <c r="F3764" s="18"/>
    </row>
    <row r="3765" spans="5:6" ht="15" customHeight="1" x14ac:dyDescent="0.2">
      <c r="E3765" s="18"/>
      <c r="F3765" s="18"/>
    </row>
    <row r="3766" spans="5:6" ht="15" customHeight="1" x14ac:dyDescent="0.2">
      <c r="E3766" s="18"/>
      <c r="F3766" s="18"/>
    </row>
    <row r="3767" spans="5:6" ht="15" customHeight="1" x14ac:dyDescent="0.2">
      <c r="E3767" s="18"/>
      <c r="F3767" s="18"/>
    </row>
    <row r="3768" spans="5:6" ht="15" customHeight="1" x14ac:dyDescent="0.2">
      <c r="E3768" s="18"/>
      <c r="F3768" s="18"/>
    </row>
    <row r="3769" spans="5:6" ht="15" customHeight="1" x14ac:dyDescent="0.2">
      <c r="E3769" s="18"/>
      <c r="F3769" s="18"/>
    </row>
    <row r="3770" spans="5:6" ht="15" customHeight="1" x14ac:dyDescent="0.2">
      <c r="E3770" s="18"/>
      <c r="F3770" s="18"/>
    </row>
    <row r="3771" spans="5:6" ht="15" customHeight="1" x14ac:dyDescent="0.2">
      <c r="E3771" s="18"/>
      <c r="F3771" s="18"/>
    </row>
    <row r="3772" spans="5:6" ht="15" customHeight="1" x14ac:dyDescent="0.2">
      <c r="E3772" s="18"/>
      <c r="F3772" s="18"/>
    </row>
    <row r="3773" spans="5:6" ht="15" customHeight="1" x14ac:dyDescent="0.2">
      <c r="E3773" s="18"/>
      <c r="F3773" s="18"/>
    </row>
    <row r="3774" spans="5:6" ht="15" customHeight="1" x14ac:dyDescent="0.2">
      <c r="E3774" s="18"/>
      <c r="F3774" s="18"/>
    </row>
    <row r="3775" spans="5:6" ht="15" customHeight="1" x14ac:dyDescent="0.2">
      <c r="E3775" s="18"/>
      <c r="F3775" s="18"/>
    </row>
    <row r="3776" spans="5:6" ht="15" customHeight="1" x14ac:dyDescent="0.2">
      <c r="E3776" s="18"/>
      <c r="F3776" s="18"/>
    </row>
    <row r="3777" spans="5:6" ht="15" customHeight="1" x14ac:dyDescent="0.2">
      <c r="E3777" s="18"/>
      <c r="F3777" s="18"/>
    </row>
    <row r="3778" spans="5:6" ht="15" customHeight="1" x14ac:dyDescent="0.2">
      <c r="E3778" s="18"/>
      <c r="F3778" s="18"/>
    </row>
    <row r="3779" spans="5:6" ht="15" customHeight="1" x14ac:dyDescent="0.2">
      <c r="E3779" s="18"/>
      <c r="F3779" s="18"/>
    </row>
    <row r="3780" spans="5:6" ht="15" customHeight="1" x14ac:dyDescent="0.2">
      <c r="E3780" s="18"/>
      <c r="F3780" s="18"/>
    </row>
    <row r="3781" spans="5:6" ht="15" customHeight="1" x14ac:dyDescent="0.2">
      <c r="E3781" s="18"/>
      <c r="F3781" s="18"/>
    </row>
    <row r="3782" spans="5:6" ht="15" customHeight="1" x14ac:dyDescent="0.2">
      <c r="E3782" s="18"/>
      <c r="F3782" s="18"/>
    </row>
    <row r="3783" spans="5:6" ht="15" customHeight="1" x14ac:dyDescent="0.2">
      <c r="E3783" s="18"/>
      <c r="F3783" s="18"/>
    </row>
    <row r="3784" spans="5:6" ht="15" customHeight="1" x14ac:dyDescent="0.2">
      <c r="E3784" s="18"/>
      <c r="F3784" s="18"/>
    </row>
    <row r="3785" spans="5:6" ht="15" customHeight="1" x14ac:dyDescent="0.2">
      <c r="E3785" s="18"/>
      <c r="F3785" s="18"/>
    </row>
    <row r="3786" spans="5:6" ht="15" customHeight="1" x14ac:dyDescent="0.2">
      <c r="E3786" s="18"/>
      <c r="F3786" s="18"/>
    </row>
    <row r="3787" spans="5:6" ht="15" customHeight="1" x14ac:dyDescent="0.2">
      <c r="E3787" s="18"/>
      <c r="F3787" s="18"/>
    </row>
    <row r="3788" spans="5:6" ht="15" customHeight="1" x14ac:dyDescent="0.2">
      <c r="E3788" s="18"/>
      <c r="F3788" s="18"/>
    </row>
    <row r="3789" spans="5:6" ht="15" customHeight="1" x14ac:dyDescent="0.2">
      <c r="E3789" s="18"/>
      <c r="F3789" s="18"/>
    </row>
    <row r="3790" spans="5:6" ht="15" customHeight="1" x14ac:dyDescent="0.2">
      <c r="E3790" s="18"/>
      <c r="F3790" s="18"/>
    </row>
    <row r="3791" spans="5:6" ht="15" customHeight="1" x14ac:dyDescent="0.2">
      <c r="E3791" s="18"/>
      <c r="F3791" s="18"/>
    </row>
    <row r="3792" spans="5:6" ht="15" customHeight="1" x14ac:dyDescent="0.2">
      <c r="E3792" s="18"/>
      <c r="F3792" s="18"/>
    </row>
    <row r="3793" spans="5:6" ht="15" customHeight="1" x14ac:dyDescent="0.2">
      <c r="E3793" s="18"/>
      <c r="F3793" s="18"/>
    </row>
    <row r="3794" spans="5:6" ht="15" customHeight="1" x14ac:dyDescent="0.2">
      <c r="E3794" s="18"/>
      <c r="F3794" s="18"/>
    </row>
    <row r="3795" spans="5:6" ht="15" customHeight="1" x14ac:dyDescent="0.2">
      <c r="E3795" s="18"/>
      <c r="F3795" s="18"/>
    </row>
    <row r="3796" spans="5:6" ht="15" customHeight="1" x14ac:dyDescent="0.2">
      <c r="E3796" s="18"/>
      <c r="F3796" s="18"/>
    </row>
    <row r="3797" spans="5:6" ht="15" customHeight="1" x14ac:dyDescent="0.2">
      <c r="E3797" s="18"/>
      <c r="F3797" s="18"/>
    </row>
    <row r="3798" spans="5:6" ht="15" customHeight="1" x14ac:dyDescent="0.2">
      <c r="E3798" s="18"/>
      <c r="F3798" s="18"/>
    </row>
    <row r="3799" spans="5:6" ht="15" customHeight="1" x14ac:dyDescent="0.2">
      <c r="E3799" s="18"/>
      <c r="F3799" s="18"/>
    </row>
    <row r="3800" spans="5:6" ht="15" customHeight="1" x14ac:dyDescent="0.2">
      <c r="E3800" s="18"/>
      <c r="F3800" s="18"/>
    </row>
    <row r="3801" spans="5:6" ht="15" customHeight="1" x14ac:dyDescent="0.2">
      <c r="E3801" s="18"/>
      <c r="F3801" s="18"/>
    </row>
    <row r="3802" spans="5:6" ht="15" customHeight="1" x14ac:dyDescent="0.2">
      <c r="E3802" s="18"/>
      <c r="F3802" s="18"/>
    </row>
    <row r="3803" spans="5:6" ht="15" customHeight="1" x14ac:dyDescent="0.2">
      <c r="E3803" s="18"/>
      <c r="F3803" s="18"/>
    </row>
    <row r="3804" spans="5:6" ht="15" customHeight="1" x14ac:dyDescent="0.2">
      <c r="E3804" s="18"/>
      <c r="F3804" s="18"/>
    </row>
    <row r="3805" spans="5:6" ht="15" customHeight="1" x14ac:dyDescent="0.2">
      <c r="E3805" s="18"/>
      <c r="F3805" s="18"/>
    </row>
    <row r="3806" spans="5:6" ht="15" customHeight="1" x14ac:dyDescent="0.2">
      <c r="E3806" s="18"/>
      <c r="F3806" s="18"/>
    </row>
    <row r="3807" spans="5:6" ht="15" customHeight="1" x14ac:dyDescent="0.2">
      <c r="E3807" s="18"/>
      <c r="F3807" s="18"/>
    </row>
    <row r="3808" spans="5:6" ht="15" customHeight="1" x14ac:dyDescent="0.2">
      <c r="E3808" s="18"/>
      <c r="F3808" s="18"/>
    </row>
    <row r="3809" spans="5:6" ht="15" customHeight="1" x14ac:dyDescent="0.2">
      <c r="E3809" s="18"/>
      <c r="F3809" s="18"/>
    </row>
    <row r="3810" spans="5:6" ht="15" customHeight="1" x14ac:dyDescent="0.2">
      <c r="E3810" s="18"/>
      <c r="F3810" s="18"/>
    </row>
    <row r="3811" spans="5:6" ht="15" customHeight="1" x14ac:dyDescent="0.2">
      <c r="E3811" s="18"/>
      <c r="F3811" s="18"/>
    </row>
    <row r="3812" spans="5:6" ht="15" customHeight="1" x14ac:dyDescent="0.2">
      <c r="E3812" s="18"/>
      <c r="F3812" s="18"/>
    </row>
    <row r="3813" spans="5:6" ht="15" customHeight="1" x14ac:dyDescent="0.2">
      <c r="E3813" s="18"/>
      <c r="F3813" s="18"/>
    </row>
    <row r="3814" spans="5:6" ht="15" customHeight="1" x14ac:dyDescent="0.2">
      <c r="E3814" s="18"/>
      <c r="F3814" s="18"/>
    </row>
    <row r="3815" spans="5:6" ht="15" customHeight="1" x14ac:dyDescent="0.2">
      <c r="E3815" s="18"/>
      <c r="F3815" s="18"/>
    </row>
    <row r="3816" spans="5:6" ht="15" customHeight="1" x14ac:dyDescent="0.2">
      <c r="E3816" s="18"/>
      <c r="F3816" s="18"/>
    </row>
    <row r="3817" spans="5:6" ht="15" customHeight="1" x14ac:dyDescent="0.2">
      <c r="E3817" s="18"/>
      <c r="F3817" s="18"/>
    </row>
    <row r="3818" spans="5:6" ht="15" customHeight="1" x14ac:dyDescent="0.2">
      <c r="E3818" s="18"/>
      <c r="F3818" s="18"/>
    </row>
    <row r="3819" spans="5:6" ht="15" customHeight="1" x14ac:dyDescent="0.2">
      <c r="E3819" s="18"/>
      <c r="F3819" s="18"/>
    </row>
    <row r="3820" spans="5:6" ht="15" customHeight="1" x14ac:dyDescent="0.2">
      <c r="E3820" s="18"/>
      <c r="F3820" s="18"/>
    </row>
    <row r="3821" spans="5:6" ht="15" customHeight="1" x14ac:dyDescent="0.2">
      <c r="E3821" s="18"/>
      <c r="F3821" s="18"/>
    </row>
    <row r="3822" spans="5:6" ht="15" customHeight="1" x14ac:dyDescent="0.2">
      <c r="E3822" s="18"/>
      <c r="F3822" s="18"/>
    </row>
    <row r="3823" spans="5:6" ht="15" customHeight="1" x14ac:dyDescent="0.2">
      <c r="E3823" s="18"/>
      <c r="F3823" s="18"/>
    </row>
    <row r="3824" spans="5:6" ht="15" customHeight="1" x14ac:dyDescent="0.2">
      <c r="E3824" s="18"/>
      <c r="F3824" s="18"/>
    </row>
    <row r="3825" spans="5:6" ht="15" customHeight="1" x14ac:dyDescent="0.2">
      <c r="E3825" s="18"/>
      <c r="F3825" s="18"/>
    </row>
    <row r="3826" spans="5:6" ht="15" customHeight="1" x14ac:dyDescent="0.2">
      <c r="E3826" s="18"/>
      <c r="F3826" s="18"/>
    </row>
    <row r="3827" spans="5:6" ht="15" customHeight="1" x14ac:dyDescent="0.2">
      <c r="E3827" s="18"/>
      <c r="F3827" s="18"/>
    </row>
    <row r="3828" spans="5:6" ht="15" customHeight="1" x14ac:dyDescent="0.2">
      <c r="E3828" s="18"/>
      <c r="F3828" s="18"/>
    </row>
    <row r="3829" spans="5:6" ht="15" customHeight="1" x14ac:dyDescent="0.2">
      <c r="E3829" s="18"/>
      <c r="F3829" s="18"/>
    </row>
    <row r="3830" spans="5:6" ht="15" customHeight="1" x14ac:dyDescent="0.2">
      <c r="E3830" s="18"/>
      <c r="F3830" s="18"/>
    </row>
    <row r="3831" spans="5:6" ht="15" customHeight="1" x14ac:dyDescent="0.2">
      <c r="E3831" s="18"/>
      <c r="F3831" s="18"/>
    </row>
    <row r="3832" spans="5:6" ht="15" customHeight="1" x14ac:dyDescent="0.2">
      <c r="E3832" s="18"/>
      <c r="F3832" s="18"/>
    </row>
    <row r="3833" spans="5:6" ht="15" customHeight="1" x14ac:dyDescent="0.2">
      <c r="E3833" s="18"/>
      <c r="F3833" s="18"/>
    </row>
    <row r="3834" spans="5:6" ht="15" customHeight="1" x14ac:dyDescent="0.2">
      <c r="E3834" s="18"/>
      <c r="F3834" s="18"/>
    </row>
    <row r="3835" spans="5:6" ht="15" customHeight="1" x14ac:dyDescent="0.2">
      <c r="E3835" s="18"/>
      <c r="F3835" s="18"/>
    </row>
    <row r="3836" spans="5:6" ht="15" customHeight="1" x14ac:dyDescent="0.2">
      <c r="E3836" s="18"/>
      <c r="F3836" s="18"/>
    </row>
    <row r="3837" spans="5:6" ht="15" customHeight="1" x14ac:dyDescent="0.2">
      <c r="E3837" s="18"/>
      <c r="F3837" s="18"/>
    </row>
    <row r="3838" spans="5:6" ht="15" customHeight="1" x14ac:dyDescent="0.2">
      <c r="E3838" s="18"/>
      <c r="F3838" s="18"/>
    </row>
    <row r="3839" spans="5:6" ht="15" customHeight="1" x14ac:dyDescent="0.2">
      <c r="E3839" s="18"/>
      <c r="F3839" s="18"/>
    </row>
    <row r="3840" spans="5:6" ht="15" customHeight="1" x14ac:dyDescent="0.2">
      <c r="E3840" s="18"/>
      <c r="F3840" s="18"/>
    </row>
    <row r="3841" spans="5:6" ht="15" customHeight="1" x14ac:dyDescent="0.2">
      <c r="E3841" s="18"/>
      <c r="F3841" s="18"/>
    </row>
    <row r="3842" spans="5:6" ht="15" customHeight="1" x14ac:dyDescent="0.2">
      <c r="E3842" s="18"/>
      <c r="F3842" s="18"/>
    </row>
    <row r="3843" spans="5:6" ht="15" customHeight="1" x14ac:dyDescent="0.2">
      <c r="E3843" s="18"/>
      <c r="F3843" s="18"/>
    </row>
    <row r="3844" spans="5:6" ht="15" customHeight="1" x14ac:dyDescent="0.2">
      <c r="E3844" s="18"/>
      <c r="F3844" s="18"/>
    </row>
    <row r="3845" spans="5:6" ht="15" customHeight="1" x14ac:dyDescent="0.2">
      <c r="E3845" s="18"/>
      <c r="F3845" s="18"/>
    </row>
    <row r="3846" spans="5:6" ht="15" customHeight="1" x14ac:dyDescent="0.2">
      <c r="E3846" s="18"/>
      <c r="F3846" s="18"/>
    </row>
    <row r="3847" spans="5:6" ht="15" customHeight="1" x14ac:dyDescent="0.2">
      <c r="E3847" s="18"/>
      <c r="F3847" s="18"/>
    </row>
    <row r="3848" spans="5:6" ht="15" customHeight="1" x14ac:dyDescent="0.2">
      <c r="E3848" s="18"/>
      <c r="F3848" s="18"/>
    </row>
    <row r="3849" spans="5:6" ht="15" customHeight="1" x14ac:dyDescent="0.2">
      <c r="E3849" s="18"/>
      <c r="F3849" s="18"/>
    </row>
    <row r="3850" spans="5:6" ht="15" customHeight="1" x14ac:dyDescent="0.2">
      <c r="E3850" s="18"/>
      <c r="F3850" s="18"/>
    </row>
    <row r="3851" spans="5:6" ht="15" customHeight="1" x14ac:dyDescent="0.2">
      <c r="E3851" s="18"/>
      <c r="F3851" s="18"/>
    </row>
    <row r="3852" spans="5:6" ht="15" customHeight="1" x14ac:dyDescent="0.2">
      <c r="E3852" s="18"/>
      <c r="F3852" s="18"/>
    </row>
    <row r="3853" spans="5:6" ht="15" customHeight="1" x14ac:dyDescent="0.2">
      <c r="E3853" s="18"/>
      <c r="F3853" s="18"/>
    </row>
    <row r="3854" spans="5:6" ht="15" customHeight="1" x14ac:dyDescent="0.2">
      <c r="E3854" s="18"/>
      <c r="F3854" s="18"/>
    </row>
    <row r="3855" spans="5:6" ht="15" customHeight="1" x14ac:dyDescent="0.2">
      <c r="E3855" s="18"/>
      <c r="F3855" s="18"/>
    </row>
    <row r="3856" spans="5:6" ht="15" customHeight="1" x14ac:dyDescent="0.2">
      <c r="E3856" s="18"/>
      <c r="F3856" s="18"/>
    </row>
    <row r="3857" spans="5:6" ht="15" customHeight="1" x14ac:dyDescent="0.2">
      <c r="E3857" s="18"/>
      <c r="F3857" s="18"/>
    </row>
    <row r="3858" spans="5:6" ht="15" customHeight="1" x14ac:dyDescent="0.2">
      <c r="E3858" s="18"/>
      <c r="F3858" s="18"/>
    </row>
    <row r="3859" spans="5:6" ht="15" customHeight="1" x14ac:dyDescent="0.2">
      <c r="E3859" s="18"/>
      <c r="F3859" s="18"/>
    </row>
    <row r="3860" spans="5:6" ht="15" customHeight="1" x14ac:dyDescent="0.2">
      <c r="E3860" s="18"/>
      <c r="F3860" s="18"/>
    </row>
    <row r="3861" spans="5:6" ht="15" customHeight="1" x14ac:dyDescent="0.2">
      <c r="E3861" s="18"/>
      <c r="F3861" s="18"/>
    </row>
    <row r="3862" spans="5:6" ht="15" customHeight="1" x14ac:dyDescent="0.2">
      <c r="E3862" s="18"/>
      <c r="F3862" s="18"/>
    </row>
    <row r="3863" spans="5:6" ht="15" customHeight="1" x14ac:dyDescent="0.2">
      <c r="E3863" s="18"/>
      <c r="F3863" s="18"/>
    </row>
    <row r="3864" spans="5:6" ht="15" customHeight="1" x14ac:dyDescent="0.2">
      <c r="E3864" s="18"/>
      <c r="F3864" s="18"/>
    </row>
    <row r="3865" spans="5:6" ht="15" customHeight="1" x14ac:dyDescent="0.2">
      <c r="E3865" s="18"/>
      <c r="F3865" s="18"/>
    </row>
    <row r="3866" spans="5:6" ht="15" customHeight="1" x14ac:dyDescent="0.2">
      <c r="E3866" s="18"/>
      <c r="F3866" s="18"/>
    </row>
    <row r="3867" spans="5:6" ht="15" customHeight="1" x14ac:dyDescent="0.2">
      <c r="E3867" s="18"/>
      <c r="F3867" s="18"/>
    </row>
    <row r="3868" spans="5:6" ht="15" customHeight="1" x14ac:dyDescent="0.2">
      <c r="E3868" s="18"/>
      <c r="F3868" s="18"/>
    </row>
    <row r="3869" spans="5:6" ht="15" customHeight="1" x14ac:dyDescent="0.2">
      <c r="E3869" s="18"/>
      <c r="F3869" s="18"/>
    </row>
    <row r="3870" spans="5:6" ht="15" customHeight="1" x14ac:dyDescent="0.2">
      <c r="E3870" s="18"/>
      <c r="F3870" s="18"/>
    </row>
    <row r="3871" spans="5:6" ht="15" customHeight="1" x14ac:dyDescent="0.2">
      <c r="E3871" s="18"/>
      <c r="F3871" s="18"/>
    </row>
    <row r="3872" spans="5:6" ht="15" customHeight="1" x14ac:dyDescent="0.2">
      <c r="E3872" s="18"/>
      <c r="F3872" s="18"/>
    </row>
    <row r="3873" spans="5:6" ht="15" customHeight="1" x14ac:dyDescent="0.2">
      <c r="E3873" s="18"/>
      <c r="F3873" s="18"/>
    </row>
    <row r="3874" spans="5:6" ht="15" customHeight="1" x14ac:dyDescent="0.2">
      <c r="E3874" s="18"/>
      <c r="F3874" s="18"/>
    </row>
    <row r="3875" spans="5:6" ht="15" customHeight="1" x14ac:dyDescent="0.2">
      <c r="E3875" s="18"/>
      <c r="F3875" s="18"/>
    </row>
    <row r="3876" spans="5:6" ht="15" customHeight="1" x14ac:dyDescent="0.2">
      <c r="E3876" s="18"/>
      <c r="F3876" s="18"/>
    </row>
    <row r="3877" spans="5:6" ht="15" customHeight="1" x14ac:dyDescent="0.2">
      <c r="E3877" s="18"/>
      <c r="F3877" s="18"/>
    </row>
    <row r="3878" spans="5:6" ht="15" customHeight="1" x14ac:dyDescent="0.2">
      <c r="E3878" s="18"/>
      <c r="F3878" s="18"/>
    </row>
    <row r="3879" spans="5:6" ht="15" customHeight="1" x14ac:dyDescent="0.2">
      <c r="E3879" s="18"/>
      <c r="F3879" s="18"/>
    </row>
    <row r="3880" spans="5:6" ht="15" customHeight="1" x14ac:dyDescent="0.2">
      <c r="E3880" s="18"/>
      <c r="F3880" s="18"/>
    </row>
    <row r="3881" spans="5:6" ht="15" customHeight="1" x14ac:dyDescent="0.2">
      <c r="E3881" s="18"/>
      <c r="F3881" s="18"/>
    </row>
    <row r="3882" spans="5:6" ht="15" customHeight="1" x14ac:dyDescent="0.2">
      <c r="E3882" s="18"/>
      <c r="F3882" s="18"/>
    </row>
    <row r="3883" spans="5:6" ht="15" customHeight="1" x14ac:dyDescent="0.2">
      <c r="E3883" s="18"/>
      <c r="F3883" s="18"/>
    </row>
    <row r="3884" spans="5:6" ht="15" customHeight="1" x14ac:dyDescent="0.2">
      <c r="E3884" s="18"/>
      <c r="F3884" s="18"/>
    </row>
    <row r="3885" spans="5:6" ht="15" customHeight="1" x14ac:dyDescent="0.2">
      <c r="E3885" s="18"/>
      <c r="F3885" s="18"/>
    </row>
    <row r="3886" spans="5:6" ht="15" customHeight="1" x14ac:dyDescent="0.2">
      <c r="E3886" s="18"/>
      <c r="F3886" s="18"/>
    </row>
    <row r="3887" spans="5:6" ht="15" customHeight="1" x14ac:dyDescent="0.2">
      <c r="E3887" s="18"/>
      <c r="F3887" s="18"/>
    </row>
    <row r="3888" spans="5:6" ht="15" customHeight="1" x14ac:dyDescent="0.2">
      <c r="E3888" s="18"/>
      <c r="F3888" s="18"/>
    </row>
    <row r="3889" spans="5:6" ht="15" customHeight="1" x14ac:dyDescent="0.2">
      <c r="E3889" s="18"/>
      <c r="F3889" s="18"/>
    </row>
    <row r="3890" spans="5:6" ht="15" customHeight="1" x14ac:dyDescent="0.2">
      <c r="E3890" s="18"/>
      <c r="F3890" s="18"/>
    </row>
    <row r="3891" spans="5:6" ht="15" customHeight="1" x14ac:dyDescent="0.2">
      <c r="E3891" s="18"/>
      <c r="F3891" s="18"/>
    </row>
    <row r="3892" spans="5:6" ht="15" customHeight="1" x14ac:dyDescent="0.2">
      <c r="E3892" s="18"/>
      <c r="F3892" s="18"/>
    </row>
    <row r="3893" spans="5:6" ht="15" customHeight="1" x14ac:dyDescent="0.2">
      <c r="E3893" s="18"/>
      <c r="F3893" s="18"/>
    </row>
    <row r="3894" spans="5:6" ht="15" customHeight="1" x14ac:dyDescent="0.2">
      <c r="E3894" s="18"/>
      <c r="F3894" s="18"/>
    </row>
    <row r="3895" spans="5:6" ht="15" customHeight="1" x14ac:dyDescent="0.2">
      <c r="E3895" s="18"/>
      <c r="F3895" s="18"/>
    </row>
    <row r="3896" spans="5:6" ht="15" customHeight="1" x14ac:dyDescent="0.2">
      <c r="E3896" s="18"/>
      <c r="F3896" s="18"/>
    </row>
    <row r="3897" spans="5:6" ht="15" customHeight="1" x14ac:dyDescent="0.2">
      <c r="E3897" s="18"/>
      <c r="F3897" s="18"/>
    </row>
    <row r="3898" spans="5:6" ht="15" customHeight="1" x14ac:dyDescent="0.2">
      <c r="E3898" s="18"/>
      <c r="F3898" s="18"/>
    </row>
    <row r="3899" spans="5:6" ht="15" customHeight="1" x14ac:dyDescent="0.2">
      <c r="E3899" s="18"/>
      <c r="F3899" s="18"/>
    </row>
    <row r="3900" spans="5:6" ht="15" customHeight="1" x14ac:dyDescent="0.2">
      <c r="E3900" s="18"/>
      <c r="F3900" s="18"/>
    </row>
    <row r="3901" spans="5:6" ht="15" customHeight="1" x14ac:dyDescent="0.2">
      <c r="E3901" s="18"/>
      <c r="F3901" s="18"/>
    </row>
    <row r="3902" spans="5:6" ht="15" customHeight="1" x14ac:dyDescent="0.2">
      <c r="E3902" s="18"/>
      <c r="F3902" s="18"/>
    </row>
    <row r="3903" spans="5:6" ht="15" customHeight="1" x14ac:dyDescent="0.2">
      <c r="E3903" s="18"/>
      <c r="F3903" s="18"/>
    </row>
    <row r="3904" spans="5:6" ht="15" customHeight="1" x14ac:dyDescent="0.2">
      <c r="E3904" s="18"/>
      <c r="F3904" s="18"/>
    </row>
    <row r="3905" spans="5:6" ht="15" customHeight="1" x14ac:dyDescent="0.2">
      <c r="E3905" s="18"/>
      <c r="F3905" s="18"/>
    </row>
    <row r="3906" spans="5:6" ht="15" customHeight="1" x14ac:dyDescent="0.2">
      <c r="E3906" s="18"/>
      <c r="F3906" s="18"/>
    </row>
    <row r="3907" spans="5:6" ht="15" customHeight="1" x14ac:dyDescent="0.2">
      <c r="E3907" s="18"/>
      <c r="F3907" s="18"/>
    </row>
    <row r="3908" spans="5:6" ht="15" customHeight="1" x14ac:dyDescent="0.2">
      <c r="E3908" s="18"/>
      <c r="F3908" s="18"/>
    </row>
    <row r="3909" spans="5:6" ht="15" customHeight="1" x14ac:dyDescent="0.2">
      <c r="E3909" s="18"/>
      <c r="F3909" s="18"/>
    </row>
    <row r="3910" spans="5:6" ht="15" customHeight="1" x14ac:dyDescent="0.2">
      <c r="E3910" s="18"/>
      <c r="F3910" s="18"/>
    </row>
    <row r="3911" spans="5:6" ht="15" customHeight="1" x14ac:dyDescent="0.2">
      <c r="E3911" s="18"/>
      <c r="F3911" s="18"/>
    </row>
    <row r="3912" spans="5:6" ht="15" customHeight="1" x14ac:dyDescent="0.2">
      <c r="E3912" s="18"/>
      <c r="F3912" s="18"/>
    </row>
    <row r="3913" spans="5:6" ht="15" customHeight="1" x14ac:dyDescent="0.2">
      <c r="E3913" s="18"/>
      <c r="F3913" s="18"/>
    </row>
    <row r="3914" spans="5:6" ht="15" customHeight="1" x14ac:dyDescent="0.2">
      <c r="E3914" s="18"/>
      <c r="F3914" s="18"/>
    </row>
    <row r="3915" spans="5:6" ht="15" customHeight="1" x14ac:dyDescent="0.2">
      <c r="E3915" s="18"/>
      <c r="F3915" s="18"/>
    </row>
    <row r="3916" spans="5:6" ht="15" customHeight="1" x14ac:dyDescent="0.2">
      <c r="E3916" s="18"/>
      <c r="F3916" s="18"/>
    </row>
    <row r="3917" spans="5:6" ht="15" customHeight="1" x14ac:dyDescent="0.2">
      <c r="E3917" s="18"/>
      <c r="F3917" s="18"/>
    </row>
    <row r="3918" spans="5:6" ht="15" customHeight="1" x14ac:dyDescent="0.2">
      <c r="E3918" s="18"/>
      <c r="F3918" s="18"/>
    </row>
    <row r="3919" spans="5:6" ht="15" customHeight="1" x14ac:dyDescent="0.2">
      <c r="E3919" s="18"/>
      <c r="F3919" s="18"/>
    </row>
    <row r="3920" spans="5:6" ht="15" customHeight="1" x14ac:dyDescent="0.2">
      <c r="E3920" s="18"/>
      <c r="F3920" s="18"/>
    </row>
    <row r="3921" spans="5:6" ht="15" customHeight="1" x14ac:dyDescent="0.2">
      <c r="E3921" s="18"/>
      <c r="F3921" s="18"/>
    </row>
    <row r="3922" spans="5:6" ht="15" customHeight="1" x14ac:dyDescent="0.2">
      <c r="E3922" s="18"/>
      <c r="F3922" s="18"/>
    </row>
    <row r="3923" spans="5:6" ht="15" customHeight="1" x14ac:dyDescent="0.2">
      <c r="E3923" s="18"/>
      <c r="F3923" s="18"/>
    </row>
    <row r="3924" spans="5:6" ht="15" customHeight="1" x14ac:dyDescent="0.2">
      <c r="E3924" s="18"/>
      <c r="F3924" s="18"/>
    </row>
    <row r="3925" spans="5:6" ht="15" customHeight="1" x14ac:dyDescent="0.2">
      <c r="E3925" s="18"/>
      <c r="F3925" s="18"/>
    </row>
    <row r="3926" spans="5:6" ht="15" customHeight="1" x14ac:dyDescent="0.2">
      <c r="E3926" s="18"/>
      <c r="F3926" s="18"/>
    </row>
    <row r="3927" spans="5:6" ht="15" customHeight="1" x14ac:dyDescent="0.2">
      <c r="E3927" s="18"/>
      <c r="F3927" s="18"/>
    </row>
    <row r="3928" spans="5:6" ht="15" customHeight="1" x14ac:dyDescent="0.2">
      <c r="E3928" s="18"/>
      <c r="F3928" s="18"/>
    </row>
    <row r="3929" spans="5:6" ht="15" customHeight="1" x14ac:dyDescent="0.2">
      <c r="E3929" s="18"/>
      <c r="F3929" s="18"/>
    </row>
    <row r="3930" spans="5:6" ht="15" customHeight="1" x14ac:dyDescent="0.2">
      <c r="E3930" s="18"/>
      <c r="F3930" s="18"/>
    </row>
    <row r="3931" spans="5:6" ht="15" customHeight="1" x14ac:dyDescent="0.2">
      <c r="E3931" s="18"/>
      <c r="F3931" s="18"/>
    </row>
    <row r="3932" spans="5:6" ht="15" customHeight="1" x14ac:dyDescent="0.2">
      <c r="E3932" s="18"/>
      <c r="F3932" s="18"/>
    </row>
    <row r="3933" spans="5:6" ht="15" customHeight="1" x14ac:dyDescent="0.2">
      <c r="E3933" s="18"/>
      <c r="F3933" s="18"/>
    </row>
    <row r="3934" spans="5:6" ht="15" customHeight="1" x14ac:dyDescent="0.2">
      <c r="E3934" s="18"/>
      <c r="F3934" s="18"/>
    </row>
    <row r="3935" spans="5:6" ht="15" customHeight="1" x14ac:dyDescent="0.2">
      <c r="E3935" s="18"/>
      <c r="F3935" s="18"/>
    </row>
    <row r="3936" spans="5:6" ht="15" customHeight="1" x14ac:dyDescent="0.2">
      <c r="E3936" s="18"/>
      <c r="F3936" s="18"/>
    </row>
    <row r="3937" spans="5:6" ht="15" customHeight="1" x14ac:dyDescent="0.2">
      <c r="E3937" s="18"/>
      <c r="F3937" s="18"/>
    </row>
    <row r="3938" spans="5:6" ht="15" customHeight="1" x14ac:dyDescent="0.2">
      <c r="E3938" s="18"/>
      <c r="F3938" s="18"/>
    </row>
    <row r="3939" spans="5:6" ht="15" customHeight="1" x14ac:dyDescent="0.2">
      <c r="E3939" s="18"/>
      <c r="F3939" s="18"/>
    </row>
    <row r="3940" spans="5:6" ht="15" customHeight="1" x14ac:dyDescent="0.2">
      <c r="E3940" s="18"/>
      <c r="F3940" s="18"/>
    </row>
    <row r="3941" spans="5:6" ht="15" customHeight="1" x14ac:dyDescent="0.2">
      <c r="E3941" s="18"/>
      <c r="F3941" s="18"/>
    </row>
    <row r="3942" spans="5:6" ht="15" customHeight="1" x14ac:dyDescent="0.2">
      <c r="E3942" s="18"/>
      <c r="F3942" s="18"/>
    </row>
    <row r="3943" spans="5:6" ht="15" customHeight="1" x14ac:dyDescent="0.2">
      <c r="E3943" s="18"/>
      <c r="F3943" s="18"/>
    </row>
    <row r="3944" spans="5:6" ht="15" customHeight="1" x14ac:dyDescent="0.2">
      <c r="E3944" s="18"/>
      <c r="F3944" s="18"/>
    </row>
    <row r="3945" spans="5:6" ht="15" customHeight="1" x14ac:dyDescent="0.2">
      <c r="E3945" s="18"/>
      <c r="F3945" s="18"/>
    </row>
    <row r="3946" spans="5:6" ht="15" customHeight="1" x14ac:dyDescent="0.2">
      <c r="E3946" s="18"/>
      <c r="F3946" s="18"/>
    </row>
    <row r="3947" spans="5:6" ht="15" customHeight="1" x14ac:dyDescent="0.2">
      <c r="E3947" s="18"/>
      <c r="F3947" s="18"/>
    </row>
    <row r="3948" spans="5:6" ht="15" customHeight="1" x14ac:dyDescent="0.2">
      <c r="E3948" s="18"/>
      <c r="F3948" s="18"/>
    </row>
    <row r="3949" spans="5:6" ht="15" customHeight="1" x14ac:dyDescent="0.2">
      <c r="E3949" s="18"/>
      <c r="F3949" s="18"/>
    </row>
    <row r="3950" spans="5:6" ht="15" customHeight="1" x14ac:dyDescent="0.2">
      <c r="E3950" s="18"/>
      <c r="F3950" s="18"/>
    </row>
    <row r="3951" spans="5:6" ht="15" customHeight="1" x14ac:dyDescent="0.2">
      <c r="E3951" s="18"/>
      <c r="F3951" s="18"/>
    </row>
    <row r="3952" spans="5:6" ht="15" customHeight="1" x14ac:dyDescent="0.2">
      <c r="E3952" s="18"/>
      <c r="F3952" s="18"/>
    </row>
    <row r="3953" spans="5:6" ht="15" customHeight="1" x14ac:dyDescent="0.2">
      <c r="E3953" s="18"/>
      <c r="F3953" s="18"/>
    </row>
    <row r="3954" spans="5:6" ht="15" customHeight="1" x14ac:dyDescent="0.2">
      <c r="E3954" s="18"/>
      <c r="F3954" s="18"/>
    </row>
    <row r="3955" spans="5:6" ht="15" customHeight="1" x14ac:dyDescent="0.2">
      <c r="E3955" s="18"/>
      <c r="F3955" s="18"/>
    </row>
    <row r="3956" spans="5:6" ht="15" customHeight="1" x14ac:dyDescent="0.2">
      <c r="E3956" s="18"/>
      <c r="F3956" s="18"/>
    </row>
    <row r="3957" spans="5:6" ht="15" customHeight="1" x14ac:dyDescent="0.2">
      <c r="E3957" s="18"/>
      <c r="F3957" s="18"/>
    </row>
    <row r="3958" spans="5:6" ht="15" customHeight="1" x14ac:dyDescent="0.2">
      <c r="E3958" s="18"/>
      <c r="F3958" s="18"/>
    </row>
    <row r="3959" spans="5:6" ht="15" customHeight="1" x14ac:dyDescent="0.2">
      <c r="E3959" s="18"/>
      <c r="F3959" s="18"/>
    </row>
    <row r="3960" spans="5:6" ht="15" customHeight="1" x14ac:dyDescent="0.2">
      <c r="E3960" s="18"/>
      <c r="F3960" s="18"/>
    </row>
    <row r="3961" spans="5:6" ht="15" customHeight="1" x14ac:dyDescent="0.2">
      <c r="E3961" s="18"/>
      <c r="F3961" s="18"/>
    </row>
    <row r="3962" spans="5:6" ht="15" customHeight="1" x14ac:dyDescent="0.2">
      <c r="E3962" s="18"/>
      <c r="F3962" s="18"/>
    </row>
    <row r="3963" spans="5:6" ht="15" customHeight="1" x14ac:dyDescent="0.2">
      <c r="E3963" s="18"/>
      <c r="F3963" s="18"/>
    </row>
    <row r="3964" spans="5:6" ht="15" customHeight="1" x14ac:dyDescent="0.2">
      <c r="E3964" s="18"/>
      <c r="F3964" s="18"/>
    </row>
    <row r="3965" spans="5:6" ht="15" customHeight="1" x14ac:dyDescent="0.2">
      <c r="E3965" s="18"/>
      <c r="F3965" s="18"/>
    </row>
    <row r="3966" spans="5:6" ht="15" customHeight="1" x14ac:dyDescent="0.2">
      <c r="E3966" s="18"/>
      <c r="F3966" s="18"/>
    </row>
    <row r="3967" spans="5:6" ht="15" customHeight="1" x14ac:dyDescent="0.2">
      <c r="E3967" s="18"/>
      <c r="F3967" s="18"/>
    </row>
    <row r="3968" spans="5:6" ht="15" customHeight="1" x14ac:dyDescent="0.2">
      <c r="E3968" s="18"/>
      <c r="F3968" s="18"/>
    </row>
    <row r="3969" spans="5:6" ht="15" customHeight="1" x14ac:dyDescent="0.2">
      <c r="E3969" s="18"/>
      <c r="F3969" s="18"/>
    </row>
    <row r="3970" spans="5:6" ht="15" customHeight="1" x14ac:dyDescent="0.2">
      <c r="E3970" s="18"/>
      <c r="F3970" s="18"/>
    </row>
    <row r="3971" spans="5:6" ht="15" customHeight="1" x14ac:dyDescent="0.2">
      <c r="E3971" s="18"/>
      <c r="F3971" s="18"/>
    </row>
    <row r="3972" spans="5:6" ht="15" customHeight="1" x14ac:dyDescent="0.2">
      <c r="E3972" s="18"/>
      <c r="F3972" s="18"/>
    </row>
    <row r="3973" spans="5:6" ht="15" customHeight="1" x14ac:dyDescent="0.2">
      <c r="E3973" s="18"/>
      <c r="F3973" s="18"/>
    </row>
    <row r="3974" spans="5:6" ht="15" customHeight="1" x14ac:dyDescent="0.2">
      <c r="E3974" s="18"/>
      <c r="F3974" s="18"/>
    </row>
    <row r="3975" spans="5:6" ht="15" customHeight="1" x14ac:dyDescent="0.2">
      <c r="E3975" s="18"/>
      <c r="F3975" s="18"/>
    </row>
    <row r="3976" spans="5:6" ht="15" customHeight="1" x14ac:dyDescent="0.2">
      <c r="E3976" s="18"/>
      <c r="F3976" s="18"/>
    </row>
    <row r="3977" spans="5:6" ht="15" customHeight="1" x14ac:dyDescent="0.2">
      <c r="E3977" s="18"/>
      <c r="F3977" s="18"/>
    </row>
    <row r="3978" spans="5:6" ht="15" customHeight="1" x14ac:dyDescent="0.2">
      <c r="E3978" s="18"/>
      <c r="F3978" s="18"/>
    </row>
    <row r="3979" spans="5:6" ht="15" customHeight="1" x14ac:dyDescent="0.2">
      <c r="E3979" s="18"/>
      <c r="F3979" s="18"/>
    </row>
    <row r="3980" spans="5:6" ht="15" customHeight="1" x14ac:dyDescent="0.2">
      <c r="E3980" s="18"/>
      <c r="F3980" s="18"/>
    </row>
    <row r="3981" spans="5:6" ht="15" customHeight="1" x14ac:dyDescent="0.2">
      <c r="E3981" s="18"/>
      <c r="F3981" s="18"/>
    </row>
    <row r="3982" spans="5:6" ht="15" customHeight="1" x14ac:dyDescent="0.2">
      <c r="E3982" s="18"/>
      <c r="F3982" s="18"/>
    </row>
    <row r="3983" spans="5:6" ht="15" customHeight="1" x14ac:dyDescent="0.2">
      <c r="E3983" s="18"/>
      <c r="F3983" s="18"/>
    </row>
    <row r="3984" spans="5:6" ht="15" customHeight="1" x14ac:dyDescent="0.2">
      <c r="E3984" s="18"/>
      <c r="F3984" s="18"/>
    </row>
    <row r="3985" spans="5:6" ht="15" customHeight="1" x14ac:dyDescent="0.2">
      <c r="E3985" s="18"/>
      <c r="F3985" s="18"/>
    </row>
    <row r="3986" spans="5:6" ht="15" customHeight="1" x14ac:dyDescent="0.2">
      <c r="E3986" s="18"/>
      <c r="F3986" s="18"/>
    </row>
    <row r="3987" spans="5:6" ht="15" customHeight="1" x14ac:dyDescent="0.2">
      <c r="E3987" s="18"/>
      <c r="F3987" s="18"/>
    </row>
    <row r="3988" spans="5:6" ht="15" customHeight="1" x14ac:dyDescent="0.2">
      <c r="E3988" s="18"/>
      <c r="F3988" s="18"/>
    </row>
    <row r="3989" spans="5:6" ht="15" customHeight="1" x14ac:dyDescent="0.2">
      <c r="E3989" s="18"/>
      <c r="F3989" s="18"/>
    </row>
    <row r="3990" spans="5:6" ht="15" customHeight="1" x14ac:dyDescent="0.2">
      <c r="E3990" s="18"/>
      <c r="F3990" s="18"/>
    </row>
    <row r="3991" spans="5:6" ht="15" customHeight="1" x14ac:dyDescent="0.2">
      <c r="E3991" s="18"/>
      <c r="F3991" s="18"/>
    </row>
    <row r="3992" spans="5:6" ht="15" customHeight="1" x14ac:dyDescent="0.2">
      <c r="E3992" s="18"/>
      <c r="F3992" s="18"/>
    </row>
    <row r="3993" spans="5:6" ht="15" customHeight="1" x14ac:dyDescent="0.2">
      <c r="E3993" s="18"/>
      <c r="F3993" s="18"/>
    </row>
    <row r="3994" spans="5:6" ht="15" customHeight="1" x14ac:dyDescent="0.2">
      <c r="E3994" s="18"/>
      <c r="F3994" s="18"/>
    </row>
    <row r="3995" spans="5:6" ht="15" customHeight="1" x14ac:dyDescent="0.2">
      <c r="E3995" s="18"/>
      <c r="F3995" s="18"/>
    </row>
    <row r="3996" spans="5:6" ht="15" customHeight="1" x14ac:dyDescent="0.2">
      <c r="E3996" s="18"/>
      <c r="F3996" s="18"/>
    </row>
    <row r="3997" spans="5:6" ht="15" customHeight="1" x14ac:dyDescent="0.2">
      <c r="E3997" s="18"/>
      <c r="F3997" s="18"/>
    </row>
    <row r="3998" spans="5:6" ht="15" customHeight="1" x14ac:dyDescent="0.2">
      <c r="E3998" s="18"/>
      <c r="F3998" s="18"/>
    </row>
    <row r="3999" spans="5:6" ht="15" customHeight="1" x14ac:dyDescent="0.2">
      <c r="E3999" s="18"/>
      <c r="F3999" s="18"/>
    </row>
    <row r="4000" spans="5:6" ht="15" customHeight="1" x14ac:dyDescent="0.2">
      <c r="E4000" s="18"/>
      <c r="F4000" s="18"/>
    </row>
    <row r="4001" spans="5:6" ht="15" customHeight="1" x14ac:dyDescent="0.2">
      <c r="E4001" s="18"/>
      <c r="F4001" s="18"/>
    </row>
    <row r="4002" spans="5:6" ht="15" customHeight="1" x14ac:dyDescent="0.2">
      <c r="E4002" s="18"/>
      <c r="F4002" s="18"/>
    </row>
    <row r="4003" spans="5:6" ht="15" customHeight="1" x14ac:dyDescent="0.2">
      <c r="E4003" s="18"/>
      <c r="F4003" s="18"/>
    </row>
    <row r="4004" spans="5:6" ht="15" customHeight="1" x14ac:dyDescent="0.2">
      <c r="E4004" s="18"/>
      <c r="F4004" s="18"/>
    </row>
    <row r="4005" spans="5:6" ht="15" customHeight="1" x14ac:dyDescent="0.2">
      <c r="E4005" s="18"/>
      <c r="F4005" s="18"/>
    </row>
    <row r="4006" spans="5:6" ht="15" customHeight="1" x14ac:dyDescent="0.2">
      <c r="E4006" s="18"/>
      <c r="F4006" s="18"/>
    </row>
    <row r="4007" spans="5:6" ht="15" customHeight="1" x14ac:dyDescent="0.2">
      <c r="E4007" s="18"/>
      <c r="F4007" s="18"/>
    </row>
    <row r="4008" spans="5:6" ht="15" customHeight="1" x14ac:dyDescent="0.2">
      <c r="E4008" s="18"/>
      <c r="F4008" s="18"/>
    </row>
    <row r="4009" spans="5:6" ht="15" customHeight="1" x14ac:dyDescent="0.2">
      <c r="E4009" s="18"/>
      <c r="F4009" s="18"/>
    </row>
    <row r="4010" spans="5:6" ht="15" customHeight="1" x14ac:dyDescent="0.2">
      <c r="E4010" s="18"/>
      <c r="F4010" s="18"/>
    </row>
    <row r="4011" spans="5:6" ht="15" customHeight="1" x14ac:dyDescent="0.2">
      <c r="E4011" s="18"/>
      <c r="F4011" s="18"/>
    </row>
    <row r="4012" spans="5:6" ht="15" customHeight="1" x14ac:dyDescent="0.2">
      <c r="E4012" s="18"/>
      <c r="F4012" s="18"/>
    </row>
    <row r="4013" spans="5:6" ht="15" customHeight="1" x14ac:dyDescent="0.2">
      <c r="E4013" s="18"/>
      <c r="F4013" s="18"/>
    </row>
    <row r="4014" spans="5:6" ht="15" customHeight="1" x14ac:dyDescent="0.2">
      <c r="E4014" s="18"/>
      <c r="F4014" s="18"/>
    </row>
    <row r="4015" spans="5:6" ht="15" customHeight="1" x14ac:dyDescent="0.2">
      <c r="E4015" s="18"/>
      <c r="F4015" s="18"/>
    </row>
    <row r="4016" spans="5:6" ht="15" customHeight="1" x14ac:dyDescent="0.2">
      <c r="E4016" s="18"/>
      <c r="F4016" s="18"/>
    </row>
    <row r="4017" spans="5:6" ht="15" customHeight="1" x14ac:dyDescent="0.2">
      <c r="E4017" s="18"/>
      <c r="F4017" s="18"/>
    </row>
    <row r="4018" spans="5:6" ht="15" customHeight="1" x14ac:dyDescent="0.2">
      <c r="E4018" s="18"/>
      <c r="F4018" s="18"/>
    </row>
    <row r="4019" spans="5:6" ht="15" customHeight="1" x14ac:dyDescent="0.2">
      <c r="E4019" s="18"/>
      <c r="F4019" s="18"/>
    </row>
    <row r="4020" spans="5:6" ht="15" customHeight="1" x14ac:dyDescent="0.2">
      <c r="E4020" s="18"/>
      <c r="F4020" s="18"/>
    </row>
    <row r="4021" spans="5:6" ht="15" customHeight="1" x14ac:dyDescent="0.2">
      <c r="E4021" s="18"/>
      <c r="F4021" s="18"/>
    </row>
    <row r="4022" spans="5:6" ht="15" customHeight="1" x14ac:dyDescent="0.2">
      <c r="E4022" s="18"/>
      <c r="F4022" s="18"/>
    </row>
    <row r="4023" spans="5:6" ht="15" customHeight="1" x14ac:dyDescent="0.2">
      <c r="E4023" s="18"/>
      <c r="F4023" s="18"/>
    </row>
    <row r="4024" spans="5:6" ht="15" customHeight="1" x14ac:dyDescent="0.2">
      <c r="E4024" s="18"/>
      <c r="F4024" s="18"/>
    </row>
    <row r="4025" spans="5:6" ht="15" customHeight="1" x14ac:dyDescent="0.2">
      <c r="E4025" s="18"/>
      <c r="F4025" s="18"/>
    </row>
    <row r="4026" spans="5:6" ht="15" customHeight="1" x14ac:dyDescent="0.2">
      <c r="E4026" s="18"/>
      <c r="F4026" s="18"/>
    </row>
    <row r="4027" spans="5:6" ht="15" customHeight="1" x14ac:dyDescent="0.2">
      <c r="E4027" s="18"/>
      <c r="F4027" s="18"/>
    </row>
    <row r="4028" spans="5:6" ht="15" customHeight="1" x14ac:dyDescent="0.2">
      <c r="E4028" s="18"/>
      <c r="F4028" s="18"/>
    </row>
    <row r="4029" spans="5:6" ht="15" customHeight="1" x14ac:dyDescent="0.2">
      <c r="E4029" s="18"/>
      <c r="F4029" s="18"/>
    </row>
    <row r="4030" spans="5:6" ht="15" customHeight="1" x14ac:dyDescent="0.2">
      <c r="E4030" s="18"/>
      <c r="F4030" s="18"/>
    </row>
    <row r="4031" spans="5:6" ht="15" customHeight="1" x14ac:dyDescent="0.2">
      <c r="E4031" s="18"/>
      <c r="F4031" s="18"/>
    </row>
    <row r="4032" spans="5:6" ht="15" customHeight="1" x14ac:dyDescent="0.2">
      <c r="E4032" s="18"/>
      <c r="F4032" s="18"/>
    </row>
    <row r="4033" spans="5:6" ht="15" customHeight="1" x14ac:dyDescent="0.2">
      <c r="E4033" s="18"/>
      <c r="F4033" s="18"/>
    </row>
    <row r="4034" spans="5:6" ht="15" customHeight="1" x14ac:dyDescent="0.2">
      <c r="E4034" s="18"/>
      <c r="F4034" s="18"/>
    </row>
    <row r="4035" spans="5:6" ht="15" customHeight="1" x14ac:dyDescent="0.2">
      <c r="E4035" s="18"/>
      <c r="F4035" s="18"/>
    </row>
    <row r="4036" spans="5:6" ht="15" customHeight="1" x14ac:dyDescent="0.2">
      <c r="E4036" s="18"/>
      <c r="F4036" s="18"/>
    </row>
    <row r="4037" spans="5:6" ht="15" customHeight="1" x14ac:dyDescent="0.2">
      <c r="E4037" s="18"/>
      <c r="F4037" s="18"/>
    </row>
    <row r="4038" spans="5:6" ht="15" customHeight="1" x14ac:dyDescent="0.2">
      <c r="E4038" s="18"/>
      <c r="F4038" s="18"/>
    </row>
    <row r="4039" spans="5:6" ht="15" customHeight="1" x14ac:dyDescent="0.2">
      <c r="E4039" s="18"/>
      <c r="F4039" s="18"/>
    </row>
    <row r="4040" spans="5:6" ht="15" customHeight="1" x14ac:dyDescent="0.2">
      <c r="E4040" s="18"/>
      <c r="F4040" s="18"/>
    </row>
    <row r="4041" spans="5:6" ht="15" customHeight="1" x14ac:dyDescent="0.2">
      <c r="E4041" s="18"/>
      <c r="F4041" s="18"/>
    </row>
    <row r="4042" spans="5:6" ht="15" customHeight="1" x14ac:dyDescent="0.2">
      <c r="E4042" s="18"/>
      <c r="F4042" s="18"/>
    </row>
    <row r="4043" spans="5:6" ht="15" customHeight="1" x14ac:dyDescent="0.2">
      <c r="E4043" s="18"/>
      <c r="F4043" s="18"/>
    </row>
    <row r="4044" spans="5:6" ht="15" customHeight="1" x14ac:dyDescent="0.2">
      <c r="E4044" s="18"/>
      <c r="F4044" s="18"/>
    </row>
    <row r="4045" spans="5:6" ht="15" customHeight="1" x14ac:dyDescent="0.2">
      <c r="E4045" s="18"/>
      <c r="F4045" s="18"/>
    </row>
    <row r="4046" spans="5:6" ht="15" customHeight="1" x14ac:dyDescent="0.2">
      <c r="E4046" s="18"/>
      <c r="F4046" s="18"/>
    </row>
    <row r="4047" spans="5:6" ht="15" customHeight="1" x14ac:dyDescent="0.2">
      <c r="E4047" s="18"/>
      <c r="F4047" s="18"/>
    </row>
    <row r="4048" spans="5:6" ht="15" customHeight="1" x14ac:dyDescent="0.2">
      <c r="E4048" s="18"/>
      <c r="F4048" s="18"/>
    </row>
    <row r="4049" spans="5:6" ht="15" customHeight="1" x14ac:dyDescent="0.2">
      <c r="E4049" s="18"/>
      <c r="F4049" s="18"/>
    </row>
    <row r="4050" spans="5:6" ht="15" customHeight="1" x14ac:dyDescent="0.2">
      <c r="E4050" s="18"/>
      <c r="F4050" s="18"/>
    </row>
    <row r="4051" spans="5:6" ht="15" customHeight="1" x14ac:dyDescent="0.2">
      <c r="E4051" s="18"/>
      <c r="F4051" s="18"/>
    </row>
    <row r="4052" spans="5:6" ht="15" customHeight="1" x14ac:dyDescent="0.2">
      <c r="E4052" s="18"/>
      <c r="F4052" s="18"/>
    </row>
    <row r="4053" spans="5:6" ht="15" customHeight="1" x14ac:dyDescent="0.2">
      <c r="E4053" s="18"/>
      <c r="F4053" s="18"/>
    </row>
    <row r="4054" spans="5:6" ht="15" customHeight="1" x14ac:dyDescent="0.2">
      <c r="E4054" s="18"/>
      <c r="F4054" s="18"/>
    </row>
    <row r="4055" spans="5:6" ht="15" customHeight="1" x14ac:dyDescent="0.2">
      <c r="E4055" s="18"/>
      <c r="F4055" s="18"/>
    </row>
    <row r="4056" spans="5:6" ht="15" customHeight="1" x14ac:dyDescent="0.2">
      <c r="E4056" s="18"/>
      <c r="F4056" s="18"/>
    </row>
    <row r="4057" spans="5:6" ht="15" customHeight="1" x14ac:dyDescent="0.2">
      <c r="E4057" s="18"/>
      <c r="F4057" s="18"/>
    </row>
    <row r="4058" spans="5:6" ht="15" customHeight="1" x14ac:dyDescent="0.2">
      <c r="E4058" s="18"/>
      <c r="F4058" s="18"/>
    </row>
    <row r="4059" spans="5:6" ht="15" customHeight="1" x14ac:dyDescent="0.2">
      <c r="E4059" s="18"/>
      <c r="F4059" s="18"/>
    </row>
    <row r="4060" spans="5:6" ht="15" customHeight="1" x14ac:dyDescent="0.2">
      <c r="E4060" s="18"/>
      <c r="F4060" s="18"/>
    </row>
    <row r="4061" spans="5:6" ht="15" customHeight="1" x14ac:dyDescent="0.2">
      <c r="E4061" s="18"/>
      <c r="F4061" s="18"/>
    </row>
    <row r="4062" spans="5:6" ht="15" customHeight="1" x14ac:dyDescent="0.2">
      <c r="E4062" s="18"/>
      <c r="F4062" s="18"/>
    </row>
    <row r="4063" spans="5:6" ht="15" customHeight="1" x14ac:dyDescent="0.2">
      <c r="E4063" s="18"/>
      <c r="F4063" s="18"/>
    </row>
    <row r="4064" spans="5:6" ht="15" customHeight="1" x14ac:dyDescent="0.2">
      <c r="E4064" s="18"/>
      <c r="F4064" s="18"/>
    </row>
    <row r="4065" spans="5:6" ht="15" customHeight="1" x14ac:dyDescent="0.2">
      <c r="E4065" s="18"/>
      <c r="F4065" s="18"/>
    </row>
    <row r="4066" spans="5:6" ht="15" customHeight="1" x14ac:dyDescent="0.2">
      <c r="E4066" s="18"/>
      <c r="F4066" s="18"/>
    </row>
    <row r="4067" spans="5:6" ht="15" customHeight="1" x14ac:dyDescent="0.2">
      <c r="E4067" s="18"/>
      <c r="F4067" s="18"/>
    </row>
    <row r="4068" spans="5:6" ht="15" customHeight="1" x14ac:dyDescent="0.2">
      <c r="E4068" s="18"/>
      <c r="F4068" s="18"/>
    </row>
    <row r="4069" spans="5:6" ht="15" customHeight="1" x14ac:dyDescent="0.2">
      <c r="E4069" s="18"/>
      <c r="F4069" s="18"/>
    </row>
    <row r="4070" spans="5:6" ht="15" customHeight="1" x14ac:dyDescent="0.2">
      <c r="E4070" s="18"/>
      <c r="F4070" s="18"/>
    </row>
    <row r="4071" spans="5:6" ht="15" customHeight="1" x14ac:dyDescent="0.2">
      <c r="E4071" s="18"/>
      <c r="F4071" s="18"/>
    </row>
    <row r="4072" spans="5:6" ht="15" customHeight="1" x14ac:dyDescent="0.2">
      <c r="E4072" s="18"/>
      <c r="F4072" s="18"/>
    </row>
    <row r="4073" spans="5:6" ht="15" customHeight="1" x14ac:dyDescent="0.2">
      <c r="E4073" s="18"/>
      <c r="F4073" s="18"/>
    </row>
    <row r="4074" spans="5:6" ht="15" customHeight="1" x14ac:dyDescent="0.2">
      <c r="E4074" s="18"/>
      <c r="F4074" s="18"/>
    </row>
    <row r="4075" spans="5:6" ht="15" customHeight="1" x14ac:dyDescent="0.2">
      <c r="E4075" s="18"/>
      <c r="F4075" s="18"/>
    </row>
    <row r="4076" spans="5:6" ht="15" customHeight="1" x14ac:dyDescent="0.2">
      <c r="E4076" s="18"/>
      <c r="F4076" s="18"/>
    </row>
    <row r="4077" spans="5:6" ht="15" customHeight="1" x14ac:dyDescent="0.2">
      <c r="E4077" s="18"/>
      <c r="F4077" s="18"/>
    </row>
    <row r="4078" spans="5:6" ht="15" customHeight="1" x14ac:dyDescent="0.2">
      <c r="E4078" s="18"/>
      <c r="F4078" s="18"/>
    </row>
    <row r="4079" spans="5:6" ht="15" customHeight="1" x14ac:dyDescent="0.2">
      <c r="E4079" s="18"/>
      <c r="F4079" s="18"/>
    </row>
    <row r="4080" spans="5:6" ht="15" customHeight="1" x14ac:dyDescent="0.2">
      <c r="E4080" s="18"/>
      <c r="F4080" s="18"/>
    </row>
    <row r="4081" spans="5:6" ht="15" customHeight="1" x14ac:dyDescent="0.2">
      <c r="E4081" s="18"/>
      <c r="F4081" s="18"/>
    </row>
    <row r="4082" spans="5:6" ht="15" customHeight="1" x14ac:dyDescent="0.2">
      <c r="E4082" s="18"/>
      <c r="F4082" s="18"/>
    </row>
    <row r="4083" spans="5:6" ht="15" customHeight="1" x14ac:dyDescent="0.2">
      <c r="E4083" s="18"/>
      <c r="F4083" s="18"/>
    </row>
    <row r="4084" spans="5:6" ht="15" customHeight="1" x14ac:dyDescent="0.2">
      <c r="E4084" s="18"/>
      <c r="F4084" s="18"/>
    </row>
    <row r="4085" spans="5:6" ht="15" customHeight="1" x14ac:dyDescent="0.2">
      <c r="E4085" s="18"/>
      <c r="F4085" s="18"/>
    </row>
    <row r="4086" spans="5:6" ht="15" customHeight="1" x14ac:dyDescent="0.2">
      <c r="E4086" s="18"/>
      <c r="F4086" s="18"/>
    </row>
    <row r="4087" spans="5:6" ht="15" customHeight="1" x14ac:dyDescent="0.2">
      <c r="E4087" s="18"/>
      <c r="F4087" s="18"/>
    </row>
    <row r="4088" spans="5:6" ht="15" customHeight="1" x14ac:dyDescent="0.2">
      <c r="E4088" s="18"/>
      <c r="F4088" s="18"/>
    </row>
    <row r="4089" spans="5:6" ht="15" customHeight="1" x14ac:dyDescent="0.2">
      <c r="E4089" s="18"/>
      <c r="F4089" s="18"/>
    </row>
    <row r="4090" spans="5:6" ht="15" customHeight="1" x14ac:dyDescent="0.2">
      <c r="E4090" s="18"/>
      <c r="F4090" s="18"/>
    </row>
    <row r="4091" spans="5:6" ht="15" customHeight="1" x14ac:dyDescent="0.2">
      <c r="E4091" s="18"/>
      <c r="F4091" s="18"/>
    </row>
    <row r="4092" spans="5:6" ht="15" customHeight="1" x14ac:dyDescent="0.2">
      <c r="E4092" s="18"/>
      <c r="F4092" s="18"/>
    </row>
    <row r="4093" spans="5:6" ht="15" customHeight="1" x14ac:dyDescent="0.2">
      <c r="E4093" s="18"/>
      <c r="F4093" s="18"/>
    </row>
    <row r="4094" spans="5:6" ht="15" customHeight="1" x14ac:dyDescent="0.2">
      <c r="E4094" s="18"/>
      <c r="F4094" s="18"/>
    </row>
    <row r="4095" spans="5:6" ht="15" customHeight="1" x14ac:dyDescent="0.2">
      <c r="E4095" s="18"/>
      <c r="F4095" s="18"/>
    </row>
    <row r="4096" spans="5:6" ht="15" customHeight="1" x14ac:dyDescent="0.2">
      <c r="E4096" s="18"/>
      <c r="F4096" s="18"/>
    </row>
    <row r="4097" spans="5:6" ht="15" customHeight="1" x14ac:dyDescent="0.2">
      <c r="E4097" s="18"/>
      <c r="F4097" s="18"/>
    </row>
    <row r="4098" spans="5:6" ht="15" customHeight="1" x14ac:dyDescent="0.2">
      <c r="E4098" s="18"/>
      <c r="F4098" s="18"/>
    </row>
    <row r="4099" spans="5:6" ht="15" customHeight="1" x14ac:dyDescent="0.2">
      <c r="E4099" s="18"/>
      <c r="F4099" s="18"/>
    </row>
    <row r="4100" spans="5:6" ht="15" customHeight="1" x14ac:dyDescent="0.2">
      <c r="E4100" s="18"/>
      <c r="F4100" s="18"/>
    </row>
    <row r="4101" spans="5:6" ht="15" customHeight="1" x14ac:dyDescent="0.2">
      <c r="E4101" s="18"/>
      <c r="F4101" s="18"/>
    </row>
    <row r="4102" spans="5:6" ht="15" customHeight="1" x14ac:dyDescent="0.2">
      <c r="E4102" s="18"/>
      <c r="F4102" s="18"/>
    </row>
    <row r="4103" spans="5:6" ht="15" customHeight="1" x14ac:dyDescent="0.2">
      <c r="E4103" s="18"/>
      <c r="F4103" s="18"/>
    </row>
    <row r="4104" spans="5:6" ht="15" customHeight="1" x14ac:dyDescent="0.2">
      <c r="E4104" s="18"/>
      <c r="F4104" s="18"/>
    </row>
    <row r="4105" spans="5:6" ht="15" customHeight="1" x14ac:dyDescent="0.2">
      <c r="E4105" s="18"/>
      <c r="F4105" s="18"/>
    </row>
    <row r="4106" spans="5:6" ht="15" customHeight="1" x14ac:dyDescent="0.2">
      <c r="E4106" s="18"/>
      <c r="F4106" s="18"/>
    </row>
    <row r="4107" spans="5:6" ht="15" customHeight="1" x14ac:dyDescent="0.2">
      <c r="E4107" s="18"/>
      <c r="F4107" s="18"/>
    </row>
    <row r="4108" spans="5:6" ht="15" customHeight="1" x14ac:dyDescent="0.2">
      <c r="E4108" s="18"/>
      <c r="F4108" s="18"/>
    </row>
    <row r="4109" spans="5:6" ht="15" customHeight="1" x14ac:dyDescent="0.2">
      <c r="E4109" s="18"/>
      <c r="F4109" s="18"/>
    </row>
    <row r="4110" spans="5:6" ht="15" customHeight="1" x14ac:dyDescent="0.2">
      <c r="E4110" s="18"/>
      <c r="F4110" s="18"/>
    </row>
    <row r="4111" spans="5:6" ht="15" customHeight="1" x14ac:dyDescent="0.2">
      <c r="E4111" s="18"/>
      <c r="F4111" s="18"/>
    </row>
    <row r="4112" spans="5:6" ht="15" customHeight="1" x14ac:dyDescent="0.2">
      <c r="E4112" s="18"/>
      <c r="F4112" s="18"/>
    </row>
    <row r="4113" spans="5:6" ht="15" customHeight="1" x14ac:dyDescent="0.2">
      <c r="E4113" s="18"/>
      <c r="F4113" s="18"/>
    </row>
    <row r="4114" spans="5:6" ht="15" customHeight="1" x14ac:dyDescent="0.2">
      <c r="E4114" s="18"/>
      <c r="F4114" s="18"/>
    </row>
    <row r="4115" spans="5:6" ht="15" customHeight="1" x14ac:dyDescent="0.2">
      <c r="E4115" s="18"/>
      <c r="F4115" s="18"/>
    </row>
    <row r="4116" spans="5:6" ht="15" customHeight="1" x14ac:dyDescent="0.2">
      <c r="E4116" s="18"/>
      <c r="F4116" s="18"/>
    </row>
    <row r="4117" spans="5:6" ht="15" customHeight="1" x14ac:dyDescent="0.2">
      <c r="E4117" s="18"/>
      <c r="F4117" s="18"/>
    </row>
    <row r="4118" spans="5:6" ht="15" customHeight="1" x14ac:dyDescent="0.2">
      <c r="E4118" s="18"/>
      <c r="F4118" s="18"/>
    </row>
    <row r="4119" spans="5:6" ht="15" customHeight="1" x14ac:dyDescent="0.2">
      <c r="E4119" s="18"/>
      <c r="F4119" s="18"/>
    </row>
    <row r="4120" spans="5:6" ht="15" customHeight="1" x14ac:dyDescent="0.2">
      <c r="E4120" s="18"/>
      <c r="F4120" s="18"/>
    </row>
    <row r="4121" spans="5:6" ht="15" customHeight="1" x14ac:dyDescent="0.2">
      <c r="E4121" s="18"/>
      <c r="F4121" s="18"/>
    </row>
    <row r="4122" spans="5:6" ht="15" customHeight="1" x14ac:dyDescent="0.2">
      <c r="E4122" s="18"/>
      <c r="F4122" s="18"/>
    </row>
    <row r="4123" spans="5:6" ht="15" customHeight="1" x14ac:dyDescent="0.2">
      <c r="E4123" s="18"/>
      <c r="F4123" s="18"/>
    </row>
    <row r="4124" spans="5:6" ht="15" customHeight="1" x14ac:dyDescent="0.2">
      <c r="E4124" s="18"/>
      <c r="F4124" s="18"/>
    </row>
    <row r="4125" spans="5:6" ht="15" customHeight="1" x14ac:dyDescent="0.2">
      <c r="E4125" s="18"/>
      <c r="F4125" s="18"/>
    </row>
    <row r="4126" spans="5:6" ht="15" customHeight="1" x14ac:dyDescent="0.2">
      <c r="E4126" s="18"/>
      <c r="F4126" s="18"/>
    </row>
    <row r="4127" spans="5:6" ht="15" customHeight="1" x14ac:dyDescent="0.2">
      <c r="E4127" s="18"/>
      <c r="F4127" s="18"/>
    </row>
    <row r="4128" spans="5:6" ht="15" customHeight="1" x14ac:dyDescent="0.2">
      <c r="E4128" s="18"/>
      <c r="F4128" s="18"/>
    </row>
    <row r="4129" spans="5:6" ht="15" customHeight="1" x14ac:dyDescent="0.2">
      <c r="E4129" s="18"/>
      <c r="F4129" s="18"/>
    </row>
    <row r="4130" spans="5:6" ht="15" customHeight="1" x14ac:dyDescent="0.2">
      <c r="E4130" s="18"/>
      <c r="F4130" s="18"/>
    </row>
    <row r="4131" spans="5:6" ht="15" customHeight="1" x14ac:dyDescent="0.2">
      <c r="E4131" s="18"/>
      <c r="F4131" s="18"/>
    </row>
    <row r="4132" spans="5:6" ht="15" customHeight="1" x14ac:dyDescent="0.2">
      <c r="E4132" s="18"/>
      <c r="F4132" s="18"/>
    </row>
    <row r="4133" spans="5:6" ht="15" customHeight="1" x14ac:dyDescent="0.2">
      <c r="E4133" s="18"/>
      <c r="F4133" s="18"/>
    </row>
    <row r="4134" spans="5:6" ht="15" customHeight="1" x14ac:dyDescent="0.2">
      <c r="E4134" s="18"/>
      <c r="F4134" s="18"/>
    </row>
    <row r="4135" spans="5:6" ht="15" customHeight="1" x14ac:dyDescent="0.2">
      <c r="E4135" s="18"/>
      <c r="F4135" s="18"/>
    </row>
    <row r="4136" spans="5:6" ht="15" customHeight="1" x14ac:dyDescent="0.2">
      <c r="E4136" s="18"/>
      <c r="F4136" s="18"/>
    </row>
    <row r="4137" spans="5:6" ht="15" customHeight="1" x14ac:dyDescent="0.2">
      <c r="E4137" s="18"/>
      <c r="F4137" s="18"/>
    </row>
    <row r="4138" spans="5:6" ht="15" customHeight="1" x14ac:dyDescent="0.2">
      <c r="E4138" s="18"/>
      <c r="F4138" s="18"/>
    </row>
    <row r="4139" spans="5:6" ht="15" customHeight="1" x14ac:dyDescent="0.2">
      <c r="E4139" s="18"/>
      <c r="F4139" s="18"/>
    </row>
    <row r="4140" spans="5:6" ht="15" customHeight="1" x14ac:dyDescent="0.2">
      <c r="E4140" s="18"/>
      <c r="F4140" s="18"/>
    </row>
    <row r="4141" spans="5:6" ht="15" customHeight="1" x14ac:dyDescent="0.2">
      <c r="E4141" s="18"/>
      <c r="F4141" s="18"/>
    </row>
    <row r="4142" spans="5:6" ht="15" customHeight="1" x14ac:dyDescent="0.2">
      <c r="E4142" s="18"/>
      <c r="F4142" s="18"/>
    </row>
    <row r="4143" spans="5:6" ht="15" customHeight="1" x14ac:dyDescent="0.2">
      <c r="E4143" s="18"/>
      <c r="F4143" s="18"/>
    </row>
    <row r="4144" spans="5:6" ht="15" customHeight="1" x14ac:dyDescent="0.2">
      <c r="E4144" s="18"/>
      <c r="F4144" s="18"/>
    </row>
    <row r="4145" spans="5:6" ht="15" customHeight="1" x14ac:dyDescent="0.2">
      <c r="E4145" s="18"/>
      <c r="F4145" s="18"/>
    </row>
    <row r="4146" spans="5:6" ht="15" customHeight="1" x14ac:dyDescent="0.2">
      <c r="E4146" s="18"/>
      <c r="F4146" s="18"/>
    </row>
    <row r="4147" spans="5:6" ht="15" customHeight="1" x14ac:dyDescent="0.2">
      <c r="E4147" s="18"/>
      <c r="F4147" s="18"/>
    </row>
    <row r="4148" spans="5:6" ht="15" customHeight="1" x14ac:dyDescent="0.2">
      <c r="E4148" s="18"/>
      <c r="F4148" s="18"/>
    </row>
    <row r="4149" spans="5:6" ht="15" customHeight="1" x14ac:dyDescent="0.2">
      <c r="E4149" s="18"/>
      <c r="F4149" s="18"/>
    </row>
    <row r="4150" spans="5:6" ht="15" customHeight="1" x14ac:dyDescent="0.2">
      <c r="E4150" s="18"/>
      <c r="F4150" s="18"/>
    </row>
    <row r="4151" spans="5:6" ht="15" customHeight="1" x14ac:dyDescent="0.2">
      <c r="E4151" s="18"/>
      <c r="F4151" s="18"/>
    </row>
    <row r="4152" spans="5:6" ht="15" customHeight="1" x14ac:dyDescent="0.2">
      <c r="E4152" s="18"/>
      <c r="F4152" s="18"/>
    </row>
    <row r="4153" spans="5:6" ht="15" customHeight="1" x14ac:dyDescent="0.2">
      <c r="E4153" s="18"/>
      <c r="F4153" s="18"/>
    </row>
    <row r="4154" spans="5:6" ht="15" customHeight="1" x14ac:dyDescent="0.2">
      <c r="E4154" s="18"/>
      <c r="F4154" s="18"/>
    </row>
    <row r="4155" spans="5:6" ht="15" customHeight="1" x14ac:dyDescent="0.2">
      <c r="E4155" s="18"/>
      <c r="F4155" s="18"/>
    </row>
    <row r="4156" spans="5:6" ht="15" customHeight="1" x14ac:dyDescent="0.2">
      <c r="E4156" s="18"/>
      <c r="F4156" s="18"/>
    </row>
    <row r="4157" spans="5:6" ht="15" customHeight="1" x14ac:dyDescent="0.2">
      <c r="E4157" s="18"/>
      <c r="F4157" s="18"/>
    </row>
    <row r="4158" spans="5:6" ht="15" customHeight="1" x14ac:dyDescent="0.2">
      <c r="E4158" s="18"/>
      <c r="F4158" s="18"/>
    </row>
    <row r="4159" spans="5:6" ht="15" customHeight="1" x14ac:dyDescent="0.2">
      <c r="E4159" s="18"/>
      <c r="F4159" s="18"/>
    </row>
    <row r="4160" spans="5:6" ht="15" customHeight="1" x14ac:dyDescent="0.2">
      <c r="E4160" s="18"/>
      <c r="F4160" s="18"/>
    </row>
    <row r="4161" spans="5:6" ht="15" customHeight="1" x14ac:dyDescent="0.2">
      <c r="E4161" s="18"/>
      <c r="F4161" s="18"/>
    </row>
    <row r="4162" spans="5:6" ht="15" customHeight="1" x14ac:dyDescent="0.2">
      <c r="E4162" s="18"/>
      <c r="F4162" s="18"/>
    </row>
    <row r="4163" spans="5:6" ht="15" customHeight="1" x14ac:dyDescent="0.2">
      <c r="E4163" s="18"/>
      <c r="F4163" s="18"/>
    </row>
    <row r="4164" spans="5:6" ht="15" customHeight="1" x14ac:dyDescent="0.2">
      <c r="E4164" s="18"/>
      <c r="F4164" s="18"/>
    </row>
    <row r="4165" spans="5:6" ht="15" customHeight="1" x14ac:dyDescent="0.2">
      <c r="E4165" s="18"/>
      <c r="F4165" s="18"/>
    </row>
    <row r="4166" spans="5:6" ht="15" customHeight="1" x14ac:dyDescent="0.2">
      <c r="E4166" s="18"/>
      <c r="F4166" s="18"/>
    </row>
    <row r="4167" spans="5:6" ht="15" customHeight="1" x14ac:dyDescent="0.2">
      <c r="E4167" s="18"/>
      <c r="F4167" s="18"/>
    </row>
    <row r="4168" spans="5:6" ht="15" customHeight="1" x14ac:dyDescent="0.2">
      <c r="E4168" s="18"/>
      <c r="F4168" s="18"/>
    </row>
    <row r="4169" spans="5:6" ht="15" customHeight="1" x14ac:dyDescent="0.2">
      <c r="E4169" s="18"/>
      <c r="F4169" s="18"/>
    </row>
    <row r="4170" spans="5:6" ht="15" customHeight="1" x14ac:dyDescent="0.2">
      <c r="E4170" s="18"/>
      <c r="F4170" s="18"/>
    </row>
    <row r="4171" spans="5:6" ht="15" customHeight="1" x14ac:dyDescent="0.2">
      <c r="E4171" s="18"/>
      <c r="F4171" s="18"/>
    </row>
    <row r="4172" spans="5:6" ht="15" customHeight="1" x14ac:dyDescent="0.2">
      <c r="E4172" s="18"/>
      <c r="F4172" s="18"/>
    </row>
    <row r="4173" spans="5:6" ht="15" customHeight="1" x14ac:dyDescent="0.2">
      <c r="E4173" s="18"/>
      <c r="F4173" s="18"/>
    </row>
    <row r="4174" spans="5:6" ht="15" customHeight="1" x14ac:dyDescent="0.2">
      <c r="E4174" s="18"/>
      <c r="F4174" s="18"/>
    </row>
    <row r="4175" spans="5:6" ht="15" customHeight="1" x14ac:dyDescent="0.2">
      <c r="E4175" s="18"/>
      <c r="F4175" s="18"/>
    </row>
    <row r="4176" spans="5:6" ht="15" customHeight="1" x14ac:dyDescent="0.2">
      <c r="E4176" s="18"/>
      <c r="F4176" s="18"/>
    </row>
    <row r="4177" spans="5:6" ht="15" customHeight="1" x14ac:dyDescent="0.2">
      <c r="E4177" s="18"/>
      <c r="F4177" s="18"/>
    </row>
    <row r="4178" spans="5:6" ht="15" customHeight="1" x14ac:dyDescent="0.2">
      <c r="E4178" s="18"/>
      <c r="F4178" s="18"/>
    </row>
    <row r="4179" spans="5:6" ht="15" customHeight="1" x14ac:dyDescent="0.2">
      <c r="E4179" s="18"/>
      <c r="F4179" s="18"/>
    </row>
    <row r="4180" spans="5:6" ht="15" customHeight="1" x14ac:dyDescent="0.2">
      <c r="E4180" s="18"/>
      <c r="F4180" s="18"/>
    </row>
    <row r="4181" spans="5:6" ht="15" customHeight="1" x14ac:dyDescent="0.2">
      <c r="E4181" s="18"/>
      <c r="F4181" s="18"/>
    </row>
    <row r="4182" spans="5:6" ht="15" customHeight="1" x14ac:dyDescent="0.2">
      <c r="E4182" s="18"/>
      <c r="F4182" s="18"/>
    </row>
    <row r="4183" spans="5:6" ht="15" customHeight="1" x14ac:dyDescent="0.2">
      <c r="E4183" s="18"/>
      <c r="F4183" s="18"/>
    </row>
    <row r="4184" spans="5:6" ht="15" customHeight="1" x14ac:dyDescent="0.2">
      <c r="E4184" s="18"/>
      <c r="F4184" s="18"/>
    </row>
    <row r="4185" spans="5:6" ht="15" customHeight="1" x14ac:dyDescent="0.2">
      <c r="E4185" s="18"/>
      <c r="F4185" s="18"/>
    </row>
    <row r="4186" spans="5:6" ht="15" customHeight="1" x14ac:dyDescent="0.2">
      <c r="E4186" s="18"/>
      <c r="F4186" s="18"/>
    </row>
    <row r="4187" spans="5:6" ht="15" customHeight="1" x14ac:dyDescent="0.2">
      <c r="E4187" s="18"/>
      <c r="F4187" s="18"/>
    </row>
    <row r="4188" spans="5:6" ht="15" customHeight="1" x14ac:dyDescent="0.2">
      <c r="E4188" s="18"/>
      <c r="F4188" s="18"/>
    </row>
    <row r="4189" spans="5:6" ht="15" customHeight="1" x14ac:dyDescent="0.2">
      <c r="E4189" s="18"/>
      <c r="F4189" s="18"/>
    </row>
    <row r="4190" spans="5:6" ht="15" customHeight="1" x14ac:dyDescent="0.2">
      <c r="E4190" s="18"/>
      <c r="F4190" s="18"/>
    </row>
    <row r="4191" spans="5:6" ht="15" customHeight="1" x14ac:dyDescent="0.2">
      <c r="E4191" s="18"/>
      <c r="F4191" s="18"/>
    </row>
    <row r="4192" spans="5:6" ht="15" customHeight="1" x14ac:dyDescent="0.2">
      <c r="E4192" s="18"/>
      <c r="F4192" s="18"/>
    </row>
    <row r="4193" spans="5:6" ht="15" customHeight="1" x14ac:dyDescent="0.2">
      <c r="E4193" s="18"/>
      <c r="F4193" s="18"/>
    </row>
    <row r="4194" spans="5:6" ht="15" customHeight="1" x14ac:dyDescent="0.2">
      <c r="E4194" s="18"/>
      <c r="F4194" s="18"/>
    </row>
    <row r="4195" spans="5:6" ht="15" customHeight="1" x14ac:dyDescent="0.2">
      <c r="E4195" s="18"/>
      <c r="F4195" s="18"/>
    </row>
    <row r="4196" spans="5:6" ht="15" customHeight="1" x14ac:dyDescent="0.2">
      <c r="E4196" s="18"/>
      <c r="F4196" s="18"/>
    </row>
    <row r="4197" spans="5:6" ht="15" customHeight="1" x14ac:dyDescent="0.2">
      <c r="E4197" s="18"/>
      <c r="F4197" s="18"/>
    </row>
    <row r="4198" spans="5:6" ht="15" customHeight="1" x14ac:dyDescent="0.2">
      <c r="E4198" s="18"/>
      <c r="F4198" s="18"/>
    </row>
    <row r="4199" spans="5:6" ht="15" customHeight="1" x14ac:dyDescent="0.2">
      <c r="E4199" s="18"/>
      <c r="F4199" s="18"/>
    </row>
    <row r="4200" spans="5:6" ht="15" customHeight="1" x14ac:dyDescent="0.2">
      <c r="E4200" s="18"/>
      <c r="F4200" s="18"/>
    </row>
    <row r="4201" spans="5:6" ht="15" customHeight="1" x14ac:dyDescent="0.2">
      <c r="E4201" s="18"/>
      <c r="F4201" s="18"/>
    </row>
    <row r="4202" spans="5:6" ht="15" customHeight="1" x14ac:dyDescent="0.2">
      <c r="E4202" s="18"/>
      <c r="F4202" s="18"/>
    </row>
    <row r="4203" spans="5:6" ht="15" customHeight="1" x14ac:dyDescent="0.2">
      <c r="E4203" s="18"/>
      <c r="F4203" s="18"/>
    </row>
    <row r="4204" spans="5:6" ht="15" customHeight="1" x14ac:dyDescent="0.2">
      <c r="E4204" s="18"/>
      <c r="F4204" s="18"/>
    </row>
    <row r="4205" spans="5:6" ht="15" customHeight="1" x14ac:dyDescent="0.2">
      <c r="E4205" s="18"/>
      <c r="F4205" s="18"/>
    </row>
    <row r="4206" spans="5:6" ht="15" customHeight="1" x14ac:dyDescent="0.2">
      <c r="E4206" s="18"/>
      <c r="F4206" s="18"/>
    </row>
    <row r="4207" spans="5:6" ht="15" customHeight="1" x14ac:dyDescent="0.2">
      <c r="E4207" s="18"/>
      <c r="F4207" s="18"/>
    </row>
    <row r="4208" spans="5:6" ht="15" customHeight="1" x14ac:dyDescent="0.2">
      <c r="E4208" s="18"/>
      <c r="F4208" s="18"/>
    </row>
    <row r="4209" spans="5:6" ht="15" customHeight="1" x14ac:dyDescent="0.2">
      <c r="E4209" s="18"/>
      <c r="F4209" s="18"/>
    </row>
    <row r="4210" spans="5:6" ht="15" customHeight="1" x14ac:dyDescent="0.2">
      <c r="E4210" s="18"/>
      <c r="F4210" s="18"/>
    </row>
    <row r="4211" spans="5:6" ht="15" customHeight="1" x14ac:dyDescent="0.2">
      <c r="E4211" s="18"/>
      <c r="F4211" s="18"/>
    </row>
    <row r="4212" spans="5:6" ht="15" customHeight="1" x14ac:dyDescent="0.2">
      <c r="E4212" s="18"/>
      <c r="F4212" s="18"/>
    </row>
    <row r="4213" spans="5:6" ht="15" customHeight="1" x14ac:dyDescent="0.2">
      <c r="E4213" s="18"/>
      <c r="F4213" s="18"/>
    </row>
    <row r="4214" spans="5:6" ht="15" customHeight="1" x14ac:dyDescent="0.2">
      <c r="E4214" s="18"/>
      <c r="F4214" s="18"/>
    </row>
    <row r="4215" spans="5:6" ht="15" customHeight="1" x14ac:dyDescent="0.2">
      <c r="E4215" s="18"/>
      <c r="F4215" s="18"/>
    </row>
    <row r="4216" spans="5:6" ht="15" customHeight="1" x14ac:dyDescent="0.2">
      <c r="E4216" s="18"/>
      <c r="F4216" s="18"/>
    </row>
    <row r="4217" spans="5:6" ht="15" customHeight="1" x14ac:dyDescent="0.2">
      <c r="E4217" s="18"/>
      <c r="F4217" s="18"/>
    </row>
    <row r="4218" spans="5:6" ht="15" customHeight="1" x14ac:dyDescent="0.2">
      <c r="E4218" s="18"/>
      <c r="F4218" s="18"/>
    </row>
    <row r="4219" spans="5:6" ht="15" customHeight="1" x14ac:dyDescent="0.2">
      <c r="E4219" s="18"/>
      <c r="F4219" s="18"/>
    </row>
    <row r="4220" spans="5:6" ht="15" customHeight="1" x14ac:dyDescent="0.2">
      <c r="E4220" s="18"/>
      <c r="F4220" s="18"/>
    </row>
    <row r="4221" spans="5:6" ht="15" customHeight="1" x14ac:dyDescent="0.2">
      <c r="E4221" s="18"/>
      <c r="F4221" s="18"/>
    </row>
    <row r="4222" spans="5:6" ht="15" customHeight="1" x14ac:dyDescent="0.2">
      <c r="E4222" s="18"/>
      <c r="F4222" s="18"/>
    </row>
    <row r="4223" spans="5:6" ht="15" customHeight="1" x14ac:dyDescent="0.2">
      <c r="E4223" s="18"/>
      <c r="F4223" s="18"/>
    </row>
    <row r="4224" spans="5:6" ht="15" customHeight="1" x14ac:dyDescent="0.2">
      <c r="E4224" s="18"/>
      <c r="F4224" s="18"/>
    </row>
    <row r="4225" spans="5:6" ht="15" customHeight="1" x14ac:dyDescent="0.2">
      <c r="E4225" s="18"/>
      <c r="F4225" s="18"/>
    </row>
    <row r="4226" spans="5:6" ht="15" customHeight="1" x14ac:dyDescent="0.2">
      <c r="E4226" s="18"/>
      <c r="F4226" s="18"/>
    </row>
    <row r="4227" spans="5:6" ht="15" customHeight="1" x14ac:dyDescent="0.2">
      <c r="E4227" s="18"/>
      <c r="F4227" s="18"/>
    </row>
    <row r="4228" spans="5:6" ht="15" customHeight="1" x14ac:dyDescent="0.2">
      <c r="E4228" s="18"/>
      <c r="F4228" s="18"/>
    </row>
    <row r="4229" spans="5:6" ht="15" customHeight="1" x14ac:dyDescent="0.2">
      <c r="E4229" s="18"/>
      <c r="F4229" s="18"/>
    </row>
    <row r="4230" spans="5:6" ht="15" customHeight="1" x14ac:dyDescent="0.2">
      <c r="E4230" s="18"/>
      <c r="F4230" s="18"/>
    </row>
    <row r="4231" spans="5:6" ht="15" customHeight="1" x14ac:dyDescent="0.2">
      <c r="E4231" s="18"/>
      <c r="F4231" s="18"/>
    </row>
    <row r="4232" spans="5:6" ht="15" customHeight="1" x14ac:dyDescent="0.2">
      <c r="E4232" s="18"/>
      <c r="F4232" s="18"/>
    </row>
    <row r="4233" spans="5:6" ht="15" customHeight="1" x14ac:dyDescent="0.2">
      <c r="E4233" s="18"/>
      <c r="F4233" s="18"/>
    </row>
    <row r="4234" spans="5:6" ht="15" customHeight="1" x14ac:dyDescent="0.2">
      <c r="E4234" s="18"/>
      <c r="F4234" s="18"/>
    </row>
    <row r="4235" spans="5:6" ht="15" customHeight="1" x14ac:dyDescent="0.2">
      <c r="E4235" s="18"/>
      <c r="F4235" s="18"/>
    </row>
    <row r="4236" spans="5:6" ht="15" customHeight="1" x14ac:dyDescent="0.2">
      <c r="E4236" s="18"/>
      <c r="F4236" s="18"/>
    </row>
    <row r="4237" spans="5:6" ht="15" customHeight="1" x14ac:dyDescent="0.2">
      <c r="E4237" s="18"/>
      <c r="F4237" s="18"/>
    </row>
    <row r="4238" spans="5:6" ht="15" customHeight="1" x14ac:dyDescent="0.2">
      <c r="E4238" s="18"/>
      <c r="F4238" s="18"/>
    </row>
    <row r="4239" spans="5:6" ht="15" customHeight="1" x14ac:dyDescent="0.2">
      <c r="E4239" s="18"/>
      <c r="F4239" s="18"/>
    </row>
    <row r="4240" spans="5:6" ht="15" customHeight="1" x14ac:dyDescent="0.2">
      <c r="E4240" s="18"/>
      <c r="F4240" s="18"/>
    </row>
    <row r="4241" spans="5:6" ht="15" customHeight="1" x14ac:dyDescent="0.2">
      <c r="E4241" s="18"/>
      <c r="F4241" s="18"/>
    </row>
    <row r="4242" spans="5:6" ht="15" customHeight="1" x14ac:dyDescent="0.2">
      <c r="E4242" s="18"/>
      <c r="F4242" s="18"/>
    </row>
    <row r="4243" spans="5:6" ht="15" customHeight="1" x14ac:dyDescent="0.2">
      <c r="E4243" s="18"/>
      <c r="F4243" s="18"/>
    </row>
    <row r="4244" spans="5:6" ht="15" customHeight="1" x14ac:dyDescent="0.2">
      <c r="E4244" s="18"/>
      <c r="F4244" s="18"/>
    </row>
    <row r="4245" spans="5:6" ht="15" customHeight="1" x14ac:dyDescent="0.2">
      <c r="E4245" s="18"/>
      <c r="F4245" s="18"/>
    </row>
    <row r="4246" spans="5:6" ht="15" customHeight="1" x14ac:dyDescent="0.2">
      <c r="E4246" s="18"/>
      <c r="F4246" s="18"/>
    </row>
    <row r="4247" spans="5:6" ht="15" customHeight="1" x14ac:dyDescent="0.2">
      <c r="E4247" s="18"/>
      <c r="F4247" s="18"/>
    </row>
    <row r="4248" spans="5:6" ht="15" customHeight="1" x14ac:dyDescent="0.2">
      <c r="E4248" s="18"/>
      <c r="F4248" s="18"/>
    </row>
    <row r="4249" spans="5:6" ht="15" customHeight="1" x14ac:dyDescent="0.2">
      <c r="E4249" s="18"/>
      <c r="F4249" s="18"/>
    </row>
    <row r="4250" spans="5:6" ht="15" customHeight="1" x14ac:dyDescent="0.2">
      <c r="E4250" s="18"/>
      <c r="F4250" s="18"/>
    </row>
    <row r="4251" spans="5:6" ht="15" customHeight="1" x14ac:dyDescent="0.2">
      <c r="E4251" s="18"/>
      <c r="F4251" s="18"/>
    </row>
    <row r="4252" spans="5:6" ht="15" customHeight="1" x14ac:dyDescent="0.2">
      <c r="E4252" s="18"/>
      <c r="F4252" s="18"/>
    </row>
    <row r="4253" spans="5:6" ht="15" customHeight="1" x14ac:dyDescent="0.2">
      <c r="E4253" s="18"/>
      <c r="F4253" s="18"/>
    </row>
    <row r="4254" spans="5:6" ht="15" customHeight="1" x14ac:dyDescent="0.2">
      <c r="E4254" s="18"/>
      <c r="F4254" s="18"/>
    </row>
    <row r="4255" spans="5:6" ht="15" customHeight="1" x14ac:dyDescent="0.2">
      <c r="E4255" s="18"/>
      <c r="F4255" s="18"/>
    </row>
    <row r="4256" spans="5:6" ht="15" customHeight="1" x14ac:dyDescent="0.2">
      <c r="E4256" s="18"/>
      <c r="F4256" s="18"/>
    </row>
    <row r="4257" spans="5:6" ht="15" customHeight="1" x14ac:dyDescent="0.2">
      <c r="E4257" s="18"/>
      <c r="F4257" s="18"/>
    </row>
    <row r="4258" spans="5:6" ht="15" customHeight="1" x14ac:dyDescent="0.2">
      <c r="E4258" s="18"/>
      <c r="F4258" s="18"/>
    </row>
    <row r="4259" spans="5:6" ht="15" customHeight="1" x14ac:dyDescent="0.2">
      <c r="E4259" s="18"/>
      <c r="F4259" s="18"/>
    </row>
    <row r="4260" spans="5:6" ht="15" customHeight="1" x14ac:dyDescent="0.2">
      <c r="E4260" s="18"/>
      <c r="F4260" s="18"/>
    </row>
    <row r="4261" spans="5:6" ht="15" customHeight="1" x14ac:dyDescent="0.2">
      <c r="E4261" s="18"/>
      <c r="F4261" s="18"/>
    </row>
    <row r="4262" spans="5:6" ht="15" customHeight="1" x14ac:dyDescent="0.2">
      <c r="E4262" s="18"/>
      <c r="F4262" s="18"/>
    </row>
    <row r="4263" spans="5:6" ht="15" customHeight="1" x14ac:dyDescent="0.2">
      <c r="E4263" s="18"/>
      <c r="F4263" s="18"/>
    </row>
    <row r="4264" spans="5:6" ht="15" customHeight="1" x14ac:dyDescent="0.2">
      <c r="E4264" s="18"/>
      <c r="F4264" s="18"/>
    </row>
    <row r="4265" spans="5:6" ht="15" customHeight="1" x14ac:dyDescent="0.2">
      <c r="E4265" s="18"/>
      <c r="F4265" s="18"/>
    </row>
    <row r="4266" spans="5:6" ht="15" customHeight="1" x14ac:dyDescent="0.2">
      <c r="E4266" s="18"/>
      <c r="F4266" s="18"/>
    </row>
    <row r="4267" spans="5:6" ht="15" customHeight="1" x14ac:dyDescent="0.2">
      <c r="E4267" s="18"/>
      <c r="F4267" s="18"/>
    </row>
    <row r="4268" spans="5:6" ht="15" customHeight="1" x14ac:dyDescent="0.2">
      <c r="E4268" s="18"/>
      <c r="F4268" s="18"/>
    </row>
    <row r="4269" spans="5:6" ht="15" customHeight="1" x14ac:dyDescent="0.2">
      <c r="E4269" s="18"/>
      <c r="F4269" s="18"/>
    </row>
    <row r="4270" spans="5:6" ht="15" customHeight="1" x14ac:dyDescent="0.2">
      <c r="E4270" s="18"/>
      <c r="F4270" s="18"/>
    </row>
    <row r="4271" spans="5:6" ht="15" customHeight="1" x14ac:dyDescent="0.2">
      <c r="E4271" s="18"/>
      <c r="F4271" s="18"/>
    </row>
    <row r="4272" spans="5:6" ht="15" customHeight="1" x14ac:dyDescent="0.2">
      <c r="E4272" s="18"/>
      <c r="F4272" s="18"/>
    </row>
    <row r="4273" spans="5:6" ht="15" customHeight="1" x14ac:dyDescent="0.2">
      <c r="E4273" s="18"/>
      <c r="F4273" s="18"/>
    </row>
    <row r="4274" spans="5:6" ht="15" customHeight="1" x14ac:dyDescent="0.2">
      <c r="E4274" s="18"/>
      <c r="F4274" s="18"/>
    </row>
    <row r="4275" spans="5:6" ht="15" customHeight="1" x14ac:dyDescent="0.2">
      <c r="E4275" s="18"/>
      <c r="F4275" s="18"/>
    </row>
    <row r="4276" spans="5:6" ht="15" customHeight="1" x14ac:dyDescent="0.2">
      <c r="E4276" s="18"/>
      <c r="F4276" s="18"/>
    </row>
    <row r="4277" spans="5:6" ht="15" customHeight="1" x14ac:dyDescent="0.2">
      <c r="E4277" s="18"/>
      <c r="F4277" s="18"/>
    </row>
    <row r="4278" spans="5:6" ht="15" customHeight="1" x14ac:dyDescent="0.2">
      <c r="E4278" s="18"/>
      <c r="F4278" s="18"/>
    </row>
    <row r="4279" spans="5:6" ht="15" customHeight="1" x14ac:dyDescent="0.2">
      <c r="E4279" s="18"/>
      <c r="F4279" s="18"/>
    </row>
    <row r="4280" spans="5:6" ht="15" customHeight="1" x14ac:dyDescent="0.2">
      <c r="E4280" s="18"/>
      <c r="F4280" s="18"/>
    </row>
    <row r="4281" spans="5:6" ht="15" customHeight="1" x14ac:dyDescent="0.2">
      <c r="E4281" s="18"/>
      <c r="F4281" s="18"/>
    </row>
    <row r="4282" spans="5:6" ht="15" customHeight="1" x14ac:dyDescent="0.2">
      <c r="E4282" s="18"/>
      <c r="F4282" s="18"/>
    </row>
    <row r="4283" spans="5:6" ht="15" customHeight="1" x14ac:dyDescent="0.2">
      <c r="E4283" s="18"/>
      <c r="F4283" s="18"/>
    </row>
    <row r="4284" spans="5:6" ht="15" customHeight="1" x14ac:dyDescent="0.2">
      <c r="E4284" s="18"/>
      <c r="F4284" s="18"/>
    </row>
    <row r="4285" spans="5:6" ht="15" customHeight="1" x14ac:dyDescent="0.2">
      <c r="E4285" s="18"/>
      <c r="F4285" s="18"/>
    </row>
    <row r="4286" spans="5:6" ht="15" customHeight="1" x14ac:dyDescent="0.2">
      <c r="E4286" s="18"/>
      <c r="F4286" s="18"/>
    </row>
    <row r="4287" spans="5:6" ht="15" customHeight="1" x14ac:dyDescent="0.2">
      <c r="E4287" s="18"/>
      <c r="F4287" s="18"/>
    </row>
    <row r="4288" spans="5:6" ht="15" customHeight="1" x14ac:dyDescent="0.2">
      <c r="E4288" s="18"/>
      <c r="F4288" s="18"/>
    </row>
    <row r="4289" spans="5:6" ht="15" customHeight="1" x14ac:dyDescent="0.2">
      <c r="E4289" s="18"/>
      <c r="F4289" s="18"/>
    </row>
    <row r="4290" spans="5:6" ht="15" customHeight="1" x14ac:dyDescent="0.2">
      <c r="E4290" s="18"/>
      <c r="F4290" s="18"/>
    </row>
    <row r="4291" spans="5:6" ht="15" customHeight="1" x14ac:dyDescent="0.2">
      <c r="E4291" s="18"/>
      <c r="F4291" s="18"/>
    </row>
    <row r="4292" spans="5:6" ht="15" customHeight="1" x14ac:dyDescent="0.2">
      <c r="E4292" s="18"/>
      <c r="F4292" s="18"/>
    </row>
    <row r="4293" spans="5:6" ht="15" customHeight="1" x14ac:dyDescent="0.2">
      <c r="E4293" s="18"/>
      <c r="F4293" s="18"/>
    </row>
    <row r="4294" spans="5:6" ht="15" customHeight="1" x14ac:dyDescent="0.2">
      <c r="E4294" s="18"/>
      <c r="F4294" s="18"/>
    </row>
    <row r="4295" spans="5:6" ht="15" customHeight="1" x14ac:dyDescent="0.2">
      <c r="E4295" s="18"/>
      <c r="F4295" s="18"/>
    </row>
    <row r="4296" spans="5:6" ht="15" customHeight="1" x14ac:dyDescent="0.2">
      <c r="E4296" s="18"/>
      <c r="F4296" s="18"/>
    </row>
    <row r="4297" spans="5:6" ht="15" customHeight="1" x14ac:dyDescent="0.2">
      <c r="E4297" s="18"/>
      <c r="F4297" s="18"/>
    </row>
    <row r="4298" spans="5:6" ht="15" customHeight="1" x14ac:dyDescent="0.2">
      <c r="E4298" s="18"/>
      <c r="F4298" s="18"/>
    </row>
    <row r="4299" spans="5:6" ht="15" customHeight="1" x14ac:dyDescent="0.2">
      <c r="E4299" s="18"/>
      <c r="F4299" s="18"/>
    </row>
    <row r="4300" spans="5:6" ht="15" customHeight="1" x14ac:dyDescent="0.2">
      <c r="E4300" s="18"/>
      <c r="F4300" s="18"/>
    </row>
    <row r="4301" spans="5:6" ht="15" customHeight="1" x14ac:dyDescent="0.2">
      <c r="E4301" s="18"/>
      <c r="F4301" s="18"/>
    </row>
    <row r="4302" spans="5:6" ht="15" customHeight="1" x14ac:dyDescent="0.2">
      <c r="E4302" s="18"/>
      <c r="F4302" s="18"/>
    </row>
    <row r="4303" spans="5:6" ht="15" customHeight="1" x14ac:dyDescent="0.2">
      <c r="E4303" s="18"/>
      <c r="F4303" s="18"/>
    </row>
    <row r="4304" spans="5:6" ht="15" customHeight="1" x14ac:dyDescent="0.2">
      <c r="E4304" s="18"/>
      <c r="F4304" s="18"/>
    </row>
    <row r="4305" spans="5:6" ht="15" customHeight="1" x14ac:dyDescent="0.2">
      <c r="E4305" s="18"/>
      <c r="F4305" s="18"/>
    </row>
    <row r="4306" spans="5:6" ht="15" customHeight="1" x14ac:dyDescent="0.2">
      <c r="E4306" s="18"/>
      <c r="F4306" s="18"/>
    </row>
    <row r="4307" spans="5:6" ht="15" customHeight="1" x14ac:dyDescent="0.2">
      <c r="E4307" s="18"/>
      <c r="F4307" s="18"/>
    </row>
    <row r="4308" spans="5:6" ht="15" customHeight="1" x14ac:dyDescent="0.2">
      <c r="E4308" s="18"/>
      <c r="F4308" s="18"/>
    </row>
    <row r="4309" spans="5:6" ht="15" customHeight="1" x14ac:dyDescent="0.2">
      <c r="E4309" s="18"/>
      <c r="F4309" s="18"/>
    </row>
    <row r="4310" spans="5:6" ht="15" customHeight="1" x14ac:dyDescent="0.2">
      <c r="E4310" s="18"/>
      <c r="F4310" s="18"/>
    </row>
    <row r="4311" spans="5:6" ht="15" customHeight="1" x14ac:dyDescent="0.2">
      <c r="E4311" s="18"/>
      <c r="F4311" s="18"/>
    </row>
    <row r="4312" spans="5:6" ht="15" customHeight="1" x14ac:dyDescent="0.2">
      <c r="E4312" s="18"/>
      <c r="F4312" s="18"/>
    </row>
    <row r="4313" spans="5:6" ht="15" customHeight="1" x14ac:dyDescent="0.2">
      <c r="E4313" s="18"/>
      <c r="F4313" s="18"/>
    </row>
    <row r="4314" spans="5:6" ht="15" customHeight="1" x14ac:dyDescent="0.2">
      <c r="E4314" s="18"/>
      <c r="F4314" s="18"/>
    </row>
    <row r="4315" spans="5:6" ht="15" customHeight="1" x14ac:dyDescent="0.2">
      <c r="E4315" s="18"/>
      <c r="F4315" s="18"/>
    </row>
    <row r="4316" spans="5:6" ht="15" customHeight="1" x14ac:dyDescent="0.2">
      <c r="E4316" s="18"/>
      <c r="F4316" s="18"/>
    </row>
    <row r="4317" spans="5:6" ht="15" customHeight="1" x14ac:dyDescent="0.2">
      <c r="E4317" s="18"/>
      <c r="F4317" s="18"/>
    </row>
    <row r="4318" spans="5:6" ht="15" customHeight="1" x14ac:dyDescent="0.2">
      <c r="E4318" s="18"/>
      <c r="F4318" s="18"/>
    </row>
    <row r="4319" spans="5:6" ht="15" customHeight="1" x14ac:dyDescent="0.2">
      <c r="E4319" s="18"/>
      <c r="F4319" s="18"/>
    </row>
    <row r="4320" spans="5:6" ht="15" customHeight="1" x14ac:dyDescent="0.2">
      <c r="E4320" s="18"/>
      <c r="F4320" s="18"/>
    </row>
    <row r="4321" spans="5:6" ht="15" customHeight="1" x14ac:dyDescent="0.2">
      <c r="E4321" s="18"/>
      <c r="F4321" s="18"/>
    </row>
    <row r="4322" spans="5:6" ht="15" customHeight="1" x14ac:dyDescent="0.2">
      <c r="E4322" s="18"/>
      <c r="F4322" s="18"/>
    </row>
    <row r="4323" spans="5:6" ht="15" customHeight="1" x14ac:dyDescent="0.2">
      <c r="E4323" s="18"/>
      <c r="F4323" s="18"/>
    </row>
    <row r="4324" spans="5:6" ht="15" customHeight="1" x14ac:dyDescent="0.2">
      <c r="E4324" s="18"/>
      <c r="F4324" s="18"/>
    </row>
    <row r="4325" spans="5:6" ht="15" customHeight="1" x14ac:dyDescent="0.2">
      <c r="E4325" s="18"/>
      <c r="F4325" s="18"/>
    </row>
    <row r="4326" spans="5:6" ht="15" customHeight="1" x14ac:dyDescent="0.2">
      <c r="E4326" s="18"/>
      <c r="F4326" s="18"/>
    </row>
    <row r="4327" spans="5:6" ht="15" customHeight="1" x14ac:dyDescent="0.2">
      <c r="E4327" s="18"/>
      <c r="F4327" s="18"/>
    </row>
    <row r="4328" spans="5:6" ht="15" customHeight="1" x14ac:dyDescent="0.2">
      <c r="E4328" s="18"/>
      <c r="F4328" s="18"/>
    </row>
    <row r="4329" spans="5:6" ht="15" customHeight="1" x14ac:dyDescent="0.2">
      <c r="E4329" s="18"/>
      <c r="F4329" s="18"/>
    </row>
    <row r="4330" spans="5:6" ht="15" customHeight="1" x14ac:dyDescent="0.2">
      <c r="E4330" s="18"/>
      <c r="F4330" s="18"/>
    </row>
    <row r="4331" spans="5:6" ht="15" customHeight="1" x14ac:dyDescent="0.2">
      <c r="E4331" s="18"/>
      <c r="F4331" s="18"/>
    </row>
    <row r="4332" spans="5:6" ht="15" customHeight="1" x14ac:dyDescent="0.2">
      <c r="E4332" s="18"/>
      <c r="F4332" s="18"/>
    </row>
    <row r="4333" spans="5:6" ht="15" customHeight="1" x14ac:dyDescent="0.2">
      <c r="E4333" s="18"/>
      <c r="F4333" s="18"/>
    </row>
    <row r="4334" spans="5:6" ht="15" customHeight="1" x14ac:dyDescent="0.2">
      <c r="E4334" s="18"/>
      <c r="F4334" s="18"/>
    </row>
    <row r="4335" spans="5:6" ht="15" customHeight="1" x14ac:dyDescent="0.2">
      <c r="E4335" s="18"/>
      <c r="F4335" s="18"/>
    </row>
    <row r="4336" spans="5:6" ht="15" customHeight="1" x14ac:dyDescent="0.2">
      <c r="E4336" s="18"/>
      <c r="F4336" s="18"/>
    </row>
    <row r="4337" spans="5:6" ht="15" customHeight="1" x14ac:dyDescent="0.2">
      <c r="E4337" s="18"/>
      <c r="F4337" s="18"/>
    </row>
    <row r="4338" spans="5:6" ht="15" customHeight="1" x14ac:dyDescent="0.2">
      <c r="E4338" s="18"/>
      <c r="F4338" s="18"/>
    </row>
    <row r="4339" spans="5:6" ht="15" customHeight="1" x14ac:dyDescent="0.2">
      <c r="E4339" s="18"/>
      <c r="F4339" s="18"/>
    </row>
    <row r="4340" spans="5:6" ht="15" customHeight="1" x14ac:dyDescent="0.2">
      <c r="E4340" s="18"/>
      <c r="F4340" s="18"/>
    </row>
    <row r="4341" spans="5:6" ht="15" customHeight="1" x14ac:dyDescent="0.2">
      <c r="E4341" s="18"/>
      <c r="F4341" s="18"/>
    </row>
    <row r="4342" spans="5:6" ht="15" customHeight="1" x14ac:dyDescent="0.2">
      <c r="E4342" s="18"/>
      <c r="F4342" s="18"/>
    </row>
    <row r="4343" spans="5:6" ht="15" customHeight="1" x14ac:dyDescent="0.2">
      <c r="E4343" s="18"/>
      <c r="F4343" s="18"/>
    </row>
    <row r="4344" spans="5:6" ht="15" customHeight="1" x14ac:dyDescent="0.2">
      <c r="E4344" s="18"/>
      <c r="F4344" s="18"/>
    </row>
    <row r="4345" spans="5:6" ht="15" customHeight="1" x14ac:dyDescent="0.2">
      <c r="E4345" s="18"/>
      <c r="F4345" s="18"/>
    </row>
    <row r="4346" spans="5:6" ht="15" customHeight="1" x14ac:dyDescent="0.2">
      <c r="E4346" s="18"/>
      <c r="F4346" s="18"/>
    </row>
    <row r="4347" spans="5:6" ht="15" customHeight="1" x14ac:dyDescent="0.2">
      <c r="E4347" s="18"/>
      <c r="F4347" s="18"/>
    </row>
    <row r="4348" spans="5:6" ht="15" customHeight="1" x14ac:dyDescent="0.2">
      <c r="E4348" s="18"/>
      <c r="F4348" s="18"/>
    </row>
    <row r="4349" spans="5:6" ht="15" customHeight="1" x14ac:dyDescent="0.2">
      <c r="E4349" s="18"/>
      <c r="F4349" s="18"/>
    </row>
    <row r="4350" spans="5:6" ht="15" customHeight="1" x14ac:dyDescent="0.2">
      <c r="E4350" s="18"/>
      <c r="F4350" s="18"/>
    </row>
    <row r="4351" spans="5:6" ht="15" customHeight="1" x14ac:dyDescent="0.2">
      <c r="E4351" s="18"/>
      <c r="F4351" s="18"/>
    </row>
    <row r="4352" spans="5:6" ht="15" customHeight="1" x14ac:dyDescent="0.2">
      <c r="E4352" s="18"/>
      <c r="F4352" s="18"/>
    </row>
    <row r="4353" spans="5:6" ht="15" customHeight="1" x14ac:dyDescent="0.2">
      <c r="E4353" s="18"/>
      <c r="F4353" s="18"/>
    </row>
    <row r="4354" spans="5:6" ht="15" customHeight="1" x14ac:dyDescent="0.2">
      <c r="E4354" s="18"/>
      <c r="F4354" s="18"/>
    </row>
    <row r="4355" spans="5:6" ht="15" customHeight="1" x14ac:dyDescent="0.2">
      <c r="E4355" s="18"/>
      <c r="F4355" s="18"/>
    </row>
    <row r="4356" spans="5:6" ht="15" customHeight="1" x14ac:dyDescent="0.2">
      <c r="E4356" s="18"/>
      <c r="F4356" s="18"/>
    </row>
    <row r="4357" spans="5:6" ht="15" customHeight="1" x14ac:dyDescent="0.2">
      <c r="E4357" s="18"/>
      <c r="F4357" s="18"/>
    </row>
    <row r="4358" spans="5:6" ht="15" customHeight="1" x14ac:dyDescent="0.2">
      <c r="E4358" s="18"/>
      <c r="F4358" s="18"/>
    </row>
    <row r="4359" spans="5:6" ht="15" customHeight="1" x14ac:dyDescent="0.2">
      <c r="E4359" s="18"/>
      <c r="F4359" s="18"/>
    </row>
    <row r="4360" spans="5:6" ht="15" customHeight="1" x14ac:dyDescent="0.2">
      <c r="E4360" s="18"/>
      <c r="F4360" s="18"/>
    </row>
    <row r="4361" spans="5:6" ht="15" customHeight="1" x14ac:dyDescent="0.2">
      <c r="E4361" s="18"/>
      <c r="F4361" s="18"/>
    </row>
    <row r="4362" spans="5:6" ht="15" customHeight="1" x14ac:dyDescent="0.2">
      <c r="E4362" s="18"/>
      <c r="F4362" s="18"/>
    </row>
    <row r="4363" spans="5:6" ht="15" customHeight="1" x14ac:dyDescent="0.2">
      <c r="E4363" s="18"/>
      <c r="F4363" s="18"/>
    </row>
    <row r="4364" spans="5:6" ht="15" customHeight="1" x14ac:dyDescent="0.2">
      <c r="E4364" s="18"/>
      <c r="F4364" s="18"/>
    </row>
    <row r="4365" spans="5:6" ht="15" customHeight="1" x14ac:dyDescent="0.2">
      <c r="E4365" s="18"/>
      <c r="F4365" s="18"/>
    </row>
    <row r="4366" spans="5:6" ht="15" customHeight="1" x14ac:dyDescent="0.2">
      <c r="E4366" s="18"/>
      <c r="F4366" s="18"/>
    </row>
    <row r="4367" spans="5:6" ht="15" customHeight="1" x14ac:dyDescent="0.2">
      <c r="E4367" s="18"/>
      <c r="F4367" s="18"/>
    </row>
    <row r="4368" spans="5:6" ht="15" customHeight="1" x14ac:dyDescent="0.2">
      <c r="E4368" s="18"/>
      <c r="F4368" s="18"/>
    </row>
    <row r="4369" spans="5:6" ht="15" customHeight="1" x14ac:dyDescent="0.2">
      <c r="E4369" s="18"/>
      <c r="F4369" s="18"/>
    </row>
    <row r="4370" spans="5:6" ht="15" customHeight="1" x14ac:dyDescent="0.2">
      <c r="E4370" s="18"/>
      <c r="F4370" s="18"/>
    </row>
    <row r="4371" spans="5:6" ht="15" customHeight="1" x14ac:dyDescent="0.2">
      <c r="E4371" s="18"/>
      <c r="F4371" s="18"/>
    </row>
    <row r="4372" spans="5:6" ht="15" customHeight="1" x14ac:dyDescent="0.2">
      <c r="E4372" s="18"/>
      <c r="F4372" s="18"/>
    </row>
    <row r="4373" spans="5:6" ht="15" customHeight="1" x14ac:dyDescent="0.2">
      <c r="E4373" s="18"/>
      <c r="F4373" s="18"/>
    </row>
    <row r="4374" spans="5:6" ht="15" customHeight="1" x14ac:dyDescent="0.2">
      <c r="E4374" s="18"/>
      <c r="F4374" s="18"/>
    </row>
    <row r="4375" spans="5:6" ht="15" customHeight="1" x14ac:dyDescent="0.2">
      <c r="E4375" s="18"/>
      <c r="F4375" s="18"/>
    </row>
    <row r="4376" spans="5:6" ht="15" customHeight="1" x14ac:dyDescent="0.2">
      <c r="E4376" s="18"/>
      <c r="F4376" s="18"/>
    </row>
    <row r="4377" spans="5:6" ht="15" customHeight="1" x14ac:dyDescent="0.2">
      <c r="E4377" s="18"/>
      <c r="F4377" s="18"/>
    </row>
    <row r="4378" spans="5:6" ht="15" customHeight="1" x14ac:dyDescent="0.2">
      <c r="E4378" s="18"/>
      <c r="F4378" s="18"/>
    </row>
    <row r="4379" spans="5:6" ht="15" customHeight="1" x14ac:dyDescent="0.2">
      <c r="E4379" s="18"/>
      <c r="F4379" s="18"/>
    </row>
    <row r="4380" spans="5:6" ht="15" customHeight="1" x14ac:dyDescent="0.2">
      <c r="E4380" s="18"/>
      <c r="F4380" s="18"/>
    </row>
    <row r="4381" spans="5:6" ht="15" customHeight="1" x14ac:dyDescent="0.2">
      <c r="E4381" s="18"/>
      <c r="F4381" s="18"/>
    </row>
    <row r="4382" spans="5:6" ht="15" customHeight="1" x14ac:dyDescent="0.2">
      <c r="E4382" s="18"/>
      <c r="F4382" s="18"/>
    </row>
    <row r="4383" spans="5:6" ht="15" customHeight="1" x14ac:dyDescent="0.2">
      <c r="E4383" s="18"/>
      <c r="F4383" s="18"/>
    </row>
    <row r="4384" spans="5:6" ht="15" customHeight="1" x14ac:dyDescent="0.2">
      <c r="E4384" s="18"/>
      <c r="F4384" s="18"/>
    </row>
    <row r="4385" spans="5:6" ht="15" customHeight="1" x14ac:dyDescent="0.2">
      <c r="E4385" s="18"/>
      <c r="F4385" s="18"/>
    </row>
    <row r="4386" spans="5:6" ht="15" customHeight="1" x14ac:dyDescent="0.2">
      <c r="E4386" s="18"/>
      <c r="F4386" s="18"/>
    </row>
    <row r="4387" spans="5:6" ht="15" customHeight="1" x14ac:dyDescent="0.2">
      <c r="E4387" s="18"/>
      <c r="F4387" s="18"/>
    </row>
    <row r="4388" spans="5:6" ht="15" customHeight="1" x14ac:dyDescent="0.2">
      <c r="E4388" s="18"/>
      <c r="F4388" s="18"/>
    </row>
    <row r="4389" spans="5:6" ht="15" customHeight="1" x14ac:dyDescent="0.2">
      <c r="E4389" s="18"/>
      <c r="F4389" s="18"/>
    </row>
    <row r="4390" spans="5:6" ht="15" customHeight="1" x14ac:dyDescent="0.2">
      <c r="E4390" s="18"/>
      <c r="F4390" s="18"/>
    </row>
    <row r="4391" spans="5:6" ht="15" customHeight="1" x14ac:dyDescent="0.2">
      <c r="E4391" s="18"/>
      <c r="F4391" s="18"/>
    </row>
    <row r="4392" spans="5:6" ht="15" customHeight="1" x14ac:dyDescent="0.2">
      <c r="E4392" s="18"/>
      <c r="F4392" s="18"/>
    </row>
    <row r="4393" spans="5:6" ht="15" customHeight="1" x14ac:dyDescent="0.2">
      <c r="E4393" s="18"/>
      <c r="F4393" s="18"/>
    </row>
    <row r="4394" spans="5:6" ht="15" customHeight="1" x14ac:dyDescent="0.2">
      <c r="E4394" s="18"/>
      <c r="F4394" s="18"/>
    </row>
    <row r="4395" spans="5:6" ht="15" customHeight="1" x14ac:dyDescent="0.2">
      <c r="E4395" s="18"/>
      <c r="F4395" s="18"/>
    </row>
    <row r="4396" spans="5:6" ht="15" customHeight="1" x14ac:dyDescent="0.2">
      <c r="E4396" s="18"/>
      <c r="F4396" s="18"/>
    </row>
    <row r="4397" spans="5:6" ht="15" customHeight="1" x14ac:dyDescent="0.2">
      <c r="E4397" s="18"/>
      <c r="F4397" s="18"/>
    </row>
    <row r="4398" spans="5:6" ht="15" customHeight="1" x14ac:dyDescent="0.2">
      <c r="E4398" s="18"/>
      <c r="F4398" s="18"/>
    </row>
    <row r="4399" spans="5:6" ht="15" customHeight="1" x14ac:dyDescent="0.2">
      <c r="E4399" s="18"/>
      <c r="F4399" s="18"/>
    </row>
    <row r="4400" spans="5:6" ht="15" customHeight="1" x14ac:dyDescent="0.2">
      <c r="E4400" s="18"/>
      <c r="F4400" s="18"/>
    </row>
    <row r="4401" spans="5:6" ht="15" customHeight="1" x14ac:dyDescent="0.2">
      <c r="E4401" s="18"/>
      <c r="F4401" s="18"/>
    </row>
    <row r="4402" spans="5:6" ht="15" customHeight="1" x14ac:dyDescent="0.2">
      <c r="E4402" s="18"/>
      <c r="F4402" s="18"/>
    </row>
    <row r="4403" spans="5:6" ht="15" customHeight="1" x14ac:dyDescent="0.2">
      <c r="E4403" s="18"/>
      <c r="F4403" s="18"/>
    </row>
    <row r="4404" spans="5:6" ht="15" customHeight="1" x14ac:dyDescent="0.2">
      <c r="E4404" s="18"/>
      <c r="F4404" s="18"/>
    </row>
    <row r="4405" spans="5:6" ht="15" customHeight="1" x14ac:dyDescent="0.2">
      <c r="E4405" s="18"/>
      <c r="F4405" s="18"/>
    </row>
    <row r="4406" spans="5:6" ht="15" customHeight="1" x14ac:dyDescent="0.2">
      <c r="E4406" s="18"/>
      <c r="F4406" s="18"/>
    </row>
    <row r="4407" spans="5:6" ht="15" customHeight="1" x14ac:dyDescent="0.2">
      <c r="E4407" s="18"/>
      <c r="F4407" s="18"/>
    </row>
    <row r="4408" spans="5:6" ht="15" customHeight="1" x14ac:dyDescent="0.2">
      <c r="E4408" s="18"/>
      <c r="F4408" s="18"/>
    </row>
    <row r="4409" spans="5:6" ht="15" customHeight="1" x14ac:dyDescent="0.2">
      <c r="E4409" s="18"/>
      <c r="F4409" s="18"/>
    </row>
    <row r="4410" spans="5:6" ht="15" customHeight="1" x14ac:dyDescent="0.2">
      <c r="E4410" s="18"/>
      <c r="F4410" s="18"/>
    </row>
    <row r="4411" spans="5:6" ht="15" customHeight="1" x14ac:dyDescent="0.2">
      <c r="E4411" s="18"/>
      <c r="F4411" s="18"/>
    </row>
    <row r="4412" spans="5:6" ht="15" customHeight="1" x14ac:dyDescent="0.2">
      <c r="E4412" s="18"/>
      <c r="F4412" s="18"/>
    </row>
    <row r="4413" spans="5:6" ht="15" customHeight="1" x14ac:dyDescent="0.2">
      <c r="E4413" s="18"/>
      <c r="F4413" s="18"/>
    </row>
    <row r="4414" spans="5:6" ht="15" customHeight="1" x14ac:dyDescent="0.2">
      <c r="E4414" s="18"/>
      <c r="F4414" s="18"/>
    </row>
    <row r="4415" spans="5:6" ht="15" customHeight="1" x14ac:dyDescent="0.2">
      <c r="E4415" s="18"/>
      <c r="F4415" s="18"/>
    </row>
    <row r="4416" spans="5:6" ht="15" customHeight="1" x14ac:dyDescent="0.2">
      <c r="E4416" s="18"/>
      <c r="F4416" s="18"/>
    </row>
    <row r="4417" spans="5:6" ht="15" customHeight="1" x14ac:dyDescent="0.2">
      <c r="E4417" s="18"/>
      <c r="F4417" s="18"/>
    </row>
    <row r="4418" spans="5:6" ht="15" customHeight="1" x14ac:dyDescent="0.2">
      <c r="E4418" s="18"/>
      <c r="F4418" s="18"/>
    </row>
    <row r="4419" spans="5:6" ht="15" customHeight="1" x14ac:dyDescent="0.2">
      <c r="E4419" s="18"/>
      <c r="F4419" s="18"/>
    </row>
    <row r="4420" spans="5:6" ht="15" customHeight="1" x14ac:dyDescent="0.2">
      <c r="E4420" s="18"/>
      <c r="F4420" s="18"/>
    </row>
    <row r="4421" spans="5:6" ht="15" customHeight="1" x14ac:dyDescent="0.2">
      <c r="E4421" s="18"/>
      <c r="F4421" s="18"/>
    </row>
    <row r="4422" spans="5:6" ht="15" customHeight="1" x14ac:dyDescent="0.2">
      <c r="E4422" s="18"/>
      <c r="F4422" s="18"/>
    </row>
    <row r="4423" spans="5:6" ht="15" customHeight="1" x14ac:dyDescent="0.2">
      <c r="E4423" s="18"/>
      <c r="F4423" s="18"/>
    </row>
    <row r="4424" spans="5:6" ht="15" customHeight="1" x14ac:dyDescent="0.2">
      <c r="E4424" s="18"/>
      <c r="F4424" s="18"/>
    </row>
    <row r="4425" spans="5:6" ht="15" customHeight="1" x14ac:dyDescent="0.2">
      <c r="E4425" s="18"/>
      <c r="F4425" s="18"/>
    </row>
    <row r="4426" spans="5:6" ht="15" customHeight="1" x14ac:dyDescent="0.2">
      <c r="E4426" s="18"/>
      <c r="F4426" s="18"/>
    </row>
    <row r="4427" spans="5:6" ht="15" customHeight="1" x14ac:dyDescent="0.2">
      <c r="E4427" s="18"/>
      <c r="F4427" s="18"/>
    </row>
    <row r="4428" spans="5:6" ht="15" customHeight="1" x14ac:dyDescent="0.2">
      <c r="E4428" s="18"/>
      <c r="F4428" s="18"/>
    </row>
    <row r="4429" spans="5:6" ht="15" customHeight="1" x14ac:dyDescent="0.2">
      <c r="E4429" s="18"/>
      <c r="F4429" s="18"/>
    </row>
    <row r="4430" spans="5:6" ht="15" customHeight="1" x14ac:dyDescent="0.2">
      <c r="E4430" s="18"/>
      <c r="F4430" s="18"/>
    </row>
    <row r="4431" spans="5:6" ht="15" customHeight="1" x14ac:dyDescent="0.2">
      <c r="E4431" s="18"/>
      <c r="F4431" s="18"/>
    </row>
    <row r="4432" spans="5:6" ht="15" customHeight="1" x14ac:dyDescent="0.2">
      <c r="E4432" s="18"/>
      <c r="F4432" s="18"/>
    </row>
    <row r="4433" spans="5:6" ht="15" customHeight="1" x14ac:dyDescent="0.2">
      <c r="E4433" s="18"/>
      <c r="F4433" s="18"/>
    </row>
    <row r="4434" spans="5:6" ht="15" customHeight="1" x14ac:dyDescent="0.2">
      <c r="E4434" s="18"/>
      <c r="F4434" s="18"/>
    </row>
    <row r="4435" spans="5:6" ht="15" customHeight="1" x14ac:dyDescent="0.2">
      <c r="E4435" s="18"/>
      <c r="F4435" s="18"/>
    </row>
    <row r="4436" spans="5:6" ht="15" customHeight="1" x14ac:dyDescent="0.2">
      <c r="E4436" s="18"/>
      <c r="F4436" s="18"/>
    </row>
    <row r="4437" spans="5:6" ht="15" customHeight="1" x14ac:dyDescent="0.2">
      <c r="E4437" s="18"/>
      <c r="F4437" s="18"/>
    </row>
    <row r="4438" spans="5:6" ht="15" customHeight="1" x14ac:dyDescent="0.2">
      <c r="E4438" s="18"/>
      <c r="F4438" s="18"/>
    </row>
    <row r="4439" spans="5:6" ht="15" customHeight="1" x14ac:dyDescent="0.2">
      <c r="E4439" s="18"/>
      <c r="F4439" s="18"/>
    </row>
    <row r="4440" spans="5:6" ht="15" customHeight="1" x14ac:dyDescent="0.2">
      <c r="E4440" s="18"/>
      <c r="F4440" s="18"/>
    </row>
    <row r="4441" spans="5:6" ht="15" customHeight="1" x14ac:dyDescent="0.2">
      <c r="E4441" s="18"/>
      <c r="F4441" s="18"/>
    </row>
    <row r="4442" spans="5:6" ht="15" customHeight="1" x14ac:dyDescent="0.2">
      <c r="E4442" s="18"/>
      <c r="F4442" s="18"/>
    </row>
    <row r="4443" spans="5:6" ht="15" customHeight="1" x14ac:dyDescent="0.2">
      <c r="E4443" s="18"/>
      <c r="F4443" s="18"/>
    </row>
    <row r="4444" spans="5:6" ht="15" customHeight="1" x14ac:dyDescent="0.2">
      <c r="E4444" s="18"/>
      <c r="F4444" s="18"/>
    </row>
    <row r="4445" spans="5:6" ht="15" customHeight="1" x14ac:dyDescent="0.2">
      <c r="E4445" s="18"/>
      <c r="F4445" s="18"/>
    </row>
    <row r="4446" spans="5:6" ht="15" customHeight="1" x14ac:dyDescent="0.2">
      <c r="E4446" s="18"/>
      <c r="F4446" s="18"/>
    </row>
    <row r="4447" spans="5:6" ht="15" customHeight="1" x14ac:dyDescent="0.2">
      <c r="E4447" s="18"/>
      <c r="F4447" s="18"/>
    </row>
    <row r="4448" spans="5:6" ht="15" customHeight="1" x14ac:dyDescent="0.2">
      <c r="E4448" s="18"/>
      <c r="F4448" s="18"/>
    </row>
    <row r="4449" spans="5:6" ht="15" customHeight="1" x14ac:dyDescent="0.2">
      <c r="E4449" s="18"/>
      <c r="F4449" s="18"/>
    </row>
    <row r="4450" spans="5:6" ht="15" customHeight="1" x14ac:dyDescent="0.2">
      <c r="E4450" s="18"/>
      <c r="F4450" s="18"/>
    </row>
    <row r="4451" spans="5:6" ht="15" customHeight="1" x14ac:dyDescent="0.2">
      <c r="E4451" s="18"/>
      <c r="F4451" s="18"/>
    </row>
    <row r="4452" spans="5:6" ht="15" customHeight="1" x14ac:dyDescent="0.2">
      <c r="E4452" s="18"/>
      <c r="F4452" s="18"/>
    </row>
    <row r="4453" spans="5:6" ht="15" customHeight="1" x14ac:dyDescent="0.2">
      <c r="E4453" s="18"/>
      <c r="F4453" s="18"/>
    </row>
    <row r="4454" spans="5:6" ht="15" customHeight="1" x14ac:dyDescent="0.2">
      <c r="E4454" s="18"/>
      <c r="F4454" s="18"/>
    </row>
    <row r="4455" spans="5:6" ht="15" customHeight="1" x14ac:dyDescent="0.2">
      <c r="E4455" s="18"/>
      <c r="F4455" s="18"/>
    </row>
    <row r="4456" spans="5:6" ht="15" customHeight="1" x14ac:dyDescent="0.2">
      <c r="E4456" s="18"/>
      <c r="F4456" s="18"/>
    </row>
    <row r="4457" spans="5:6" ht="15" customHeight="1" x14ac:dyDescent="0.2">
      <c r="E4457" s="18"/>
      <c r="F4457" s="18"/>
    </row>
    <row r="4458" spans="5:6" ht="15" customHeight="1" x14ac:dyDescent="0.2">
      <c r="E4458" s="18"/>
      <c r="F4458" s="18"/>
    </row>
    <row r="4459" spans="5:6" ht="15" customHeight="1" x14ac:dyDescent="0.2">
      <c r="E4459" s="18"/>
      <c r="F4459" s="18"/>
    </row>
    <row r="4460" spans="5:6" ht="15" customHeight="1" x14ac:dyDescent="0.2">
      <c r="E4460" s="18"/>
      <c r="F4460" s="18"/>
    </row>
    <row r="4461" spans="5:6" ht="15" customHeight="1" x14ac:dyDescent="0.2">
      <c r="E4461" s="18"/>
      <c r="F4461" s="18"/>
    </row>
    <row r="4462" spans="5:6" ht="15" customHeight="1" x14ac:dyDescent="0.2">
      <c r="E4462" s="18"/>
      <c r="F4462" s="18"/>
    </row>
    <row r="4463" spans="5:6" ht="15" customHeight="1" x14ac:dyDescent="0.2">
      <c r="E4463" s="18"/>
      <c r="F4463" s="18"/>
    </row>
    <row r="4464" spans="5:6" ht="15" customHeight="1" x14ac:dyDescent="0.2">
      <c r="E4464" s="18"/>
      <c r="F4464" s="18"/>
    </row>
    <row r="4465" spans="5:6" ht="15" customHeight="1" x14ac:dyDescent="0.2">
      <c r="E4465" s="18"/>
      <c r="F4465" s="18"/>
    </row>
    <row r="4466" spans="5:6" ht="15" customHeight="1" x14ac:dyDescent="0.2">
      <c r="E4466" s="18"/>
      <c r="F4466" s="18"/>
    </row>
    <row r="4467" spans="5:6" ht="15" customHeight="1" x14ac:dyDescent="0.2">
      <c r="E4467" s="18"/>
      <c r="F4467" s="18"/>
    </row>
    <row r="4468" spans="5:6" ht="15" customHeight="1" x14ac:dyDescent="0.2">
      <c r="E4468" s="18"/>
      <c r="F4468" s="18"/>
    </row>
    <row r="4469" spans="5:6" ht="15" customHeight="1" x14ac:dyDescent="0.2">
      <c r="E4469" s="18"/>
      <c r="F4469" s="18"/>
    </row>
    <row r="4470" spans="5:6" ht="15" customHeight="1" x14ac:dyDescent="0.2">
      <c r="E4470" s="18"/>
      <c r="F4470" s="18"/>
    </row>
    <row r="4471" spans="5:6" ht="15" customHeight="1" x14ac:dyDescent="0.2">
      <c r="E4471" s="18"/>
      <c r="F4471" s="18"/>
    </row>
    <row r="4472" spans="5:6" ht="15" customHeight="1" x14ac:dyDescent="0.2">
      <c r="E4472" s="18"/>
      <c r="F4472" s="18"/>
    </row>
    <row r="4473" spans="5:6" ht="15" customHeight="1" x14ac:dyDescent="0.2">
      <c r="E4473" s="18"/>
      <c r="F4473" s="18"/>
    </row>
    <row r="4474" spans="5:6" ht="15" customHeight="1" x14ac:dyDescent="0.2">
      <c r="E4474" s="18"/>
      <c r="F4474" s="18"/>
    </row>
    <row r="4475" spans="5:6" ht="15" customHeight="1" x14ac:dyDescent="0.2">
      <c r="E4475" s="18"/>
      <c r="F4475" s="18"/>
    </row>
    <row r="4476" spans="5:6" ht="15" customHeight="1" x14ac:dyDescent="0.2">
      <c r="E4476" s="18"/>
      <c r="F4476" s="18"/>
    </row>
    <row r="4477" spans="5:6" ht="15" customHeight="1" x14ac:dyDescent="0.2">
      <c r="E4477" s="18"/>
      <c r="F4477" s="18"/>
    </row>
    <row r="4478" spans="5:6" ht="15" customHeight="1" x14ac:dyDescent="0.2">
      <c r="E4478" s="18"/>
      <c r="F4478" s="18"/>
    </row>
    <row r="4479" spans="5:6" ht="15" customHeight="1" x14ac:dyDescent="0.2">
      <c r="E4479" s="18"/>
      <c r="F4479" s="18"/>
    </row>
    <row r="4480" spans="5:6" ht="15" customHeight="1" x14ac:dyDescent="0.2">
      <c r="E4480" s="18"/>
      <c r="F4480" s="18"/>
    </row>
    <row r="4481" spans="5:6" ht="15" customHeight="1" x14ac:dyDescent="0.2">
      <c r="E4481" s="18"/>
      <c r="F4481" s="18"/>
    </row>
    <row r="4482" spans="5:6" ht="15" customHeight="1" x14ac:dyDescent="0.2">
      <c r="E4482" s="18"/>
      <c r="F4482" s="18"/>
    </row>
    <row r="4483" spans="5:6" ht="15" customHeight="1" x14ac:dyDescent="0.2">
      <c r="E4483" s="18"/>
      <c r="F4483" s="18"/>
    </row>
    <row r="4484" spans="5:6" ht="15" customHeight="1" x14ac:dyDescent="0.2">
      <c r="E4484" s="18"/>
      <c r="F4484" s="18"/>
    </row>
    <row r="4485" spans="5:6" ht="15" customHeight="1" x14ac:dyDescent="0.2">
      <c r="E4485" s="18"/>
      <c r="F4485" s="18"/>
    </row>
    <row r="4486" spans="5:6" ht="15" customHeight="1" x14ac:dyDescent="0.2">
      <c r="E4486" s="18"/>
      <c r="F4486" s="18"/>
    </row>
    <row r="4487" spans="5:6" ht="15" customHeight="1" x14ac:dyDescent="0.2">
      <c r="E4487" s="18"/>
      <c r="F4487" s="18"/>
    </row>
    <row r="4488" spans="5:6" ht="15" customHeight="1" x14ac:dyDescent="0.2">
      <c r="E4488" s="18"/>
      <c r="F4488" s="18"/>
    </row>
    <row r="4489" spans="5:6" ht="15" customHeight="1" x14ac:dyDescent="0.2">
      <c r="E4489" s="18"/>
      <c r="F4489" s="18"/>
    </row>
    <row r="4490" spans="5:6" ht="15" customHeight="1" x14ac:dyDescent="0.2">
      <c r="E4490" s="18"/>
      <c r="F4490" s="18"/>
    </row>
    <row r="4491" spans="5:6" ht="15" customHeight="1" x14ac:dyDescent="0.2">
      <c r="E4491" s="18"/>
      <c r="F4491" s="18"/>
    </row>
    <row r="4492" spans="5:6" ht="15" customHeight="1" x14ac:dyDescent="0.2">
      <c r="E4492" s="18"/>
      <c r="F4492" s="18"/>
    </row>
    <row r="4493" spans="5:6" ht="15" customHeight="1" x14ac:dyDescent="0.2">
      <c r="E4493" s="18"/>
      <c r="F4493" s="18"/>
    </row>
    <row r="4494" spans="5:6" ht="15" customHeight="1" x14ac:dyDescent="0.2">
      <c r="E4494" s="18"/>
      <c r="F4494" s="18"/>
    </row>
    <row r="4495" spans="5:6" ht="15" customHeight="1" x14ac:dyDescent="0.2">
      <c r="E4495" s="18"/>
      <c r="F4495" s="18"/>
    </row>
    <row r="4496" spans="5:6" ht="15" customHeight="1" x14ac:dyDescent="0.2">
      <c r="E4496" s="18"/>
      <c r="F4496" s="18"/>
    </row>
    <row r="4497" spans="5:6" ht="15" customHeight="1" x14ac:dyDescent="0.2">
      <c r="E4497" s="18"/>
      <c r="F4497" s="18"/>
    </row>
    <row r="4498" spans="5:6" ht="15" customHeight="1" x14ac:dyDescent="0.2">
      <c r="E4498" s="18"/>
      <c r="F4498" s="18"/>
    </row>
    <row r="4499" spans="5:6" ht="15" customHeight="1" x14ac:dyDescent="0.2">
      <c r="E4499" s="18"/>
      <c r="F4499" s="18"/>
    </row>
    <row r="4500" spans="5:6" ht="15" customHeight="1" x14ac:dyDescent="0.2">
      <c r="E4500" s="18"/>
      <c r="F4500" s="18"/>
    </row>
    <row r="4501" spans="5:6" ht="15" customHeight="1" x14ac:dyDescent="0.2">
      <c r="E4501" s="18"/>
      <c r="F4501" s="18"/>
    </row>
    <row r="4502" spans="5:6" ht="15" customHeight="1" x14ac:dyDescent="0.2">
      <c r="E4502" s="18"/>
      <c r="F4502" s="18"/>
    </row>
    <row r="4503" spans="5:6" ht="15" customHeight="1" x14ac:dyDescent="0.2">
      <c r="E4503" s="18"/>
      <c r="F4503" s="18"/>
    </row>
    <row r="4504" spans="5:6" ht="15" customHeight="1" x14ac:dyDescent="0.2">
      <c r="E4504" s="18"/>
      <c r="F4504" s="18"/>
    </row>
    <row r="4505" spans="5:6" ht="15" customHeight="1" x14ac:dyDescent="0.2">
      <c r="E4505" s="18"/>
      <c r="F4505" s="18"/>
    </row>
    <row r="4506" spans="5:6" ht="15" customHeight="1" x14ac:dyDescent="0.2">
      <c r="E4506" s="18"/>
      <c r="F4506" s="18"/>
    </row>
    <row r="4507" spans="5:6" ht="15" customHeight="1" x14ac:dyDescent="0.2">
      <c r="E4507" s="18"/>
      <c r="F4507" s="18"/>
    </row>
    <row r="4508" spans="5:6" ht="15" customHeight="1" x14ac:dyDescent="0.2">
      <c r="E4508" s="18"/>
      <c r="F4508" s="18"/>
    </row>
    <row r="4509" spans="5:6" ht="15" customHeight="1" x14ac:dyDescent="0.2">
      <c r="E4509" s="18"/>
      <c r="F4509" s="18"/>
    </row>
    <row r="4510" spans="5:6" ht="15" customHeight="1" x14ac:dyDescent="0.2">
      <c r="E4510" s="18"/>
      <c r="F4510" s="18"/>
    </row>
    <row r="4511" spans="5:6" ht="15" customHeight="1" x14ac:dyDescent="0.2">
      <c r="E4511" s="18"/>
      <c r="F4511" s="18"/>
    </row>
    <row r="4512" spans="5:6" ht="15" customHeight="1" x14ac:dyDescent="0.2">
      <c r="E4512" s="18"/>
      <c r="F4512" s="18"/>
    </row>
    <row r="4513" spans="5:6" ht="15" customHeight="1" x14ac:dyDescent="0.2">
      <c r="E4513" s="18"/>
      <c r="F4513" s="18"/>
    </row>
    <row r="4514" spans="5:6" ht="15" customHeight="1" x14ac:dyDescent="0.2">
      <c r="E4514" s="18"/>
      <c r="F4514" s="18"/>
    </row>
    <row r="4515" spans="5:6" ht="15" customHeight="1" x14ac:dyDescent="0.2">
      <c r="E4515" s="18"/>
      <c r="F4515" s="18"/>
    </row>
    <row r="4516" spans="5:6" ht="15" customHeight="1" x14ac:dyDescent="0.2">
      <c r="E4516" s="18"/>
      <c r="F4516" s="18"/>
    </row>
    <row r="4517" spans="5:6" ht="15" customHeight="1" x14ac:dyDescent="0.2">
      <c r="E4517" s="18"/>
      <c r="F4517" s="18"/>
    </row>
    <row r="4518" spans="5:6" ht="15" customHeight="1" x14ac:dyDescent="0.2">
      <c r="E4518" s="18"/>
      <c r="F4518" s="18"/>
    </row>
    <row r="4519" spans="5:6" ht="15" customHeight="1" x14ac:dyDescent="0.2">
      <c r="E4519" s="18"/>
      <c r="F4519" s="18"/>
    </row>
    <row r="4520" spans="5:6" ht="15" customHeight="1" x14ac:dyDescent="0.2">
      <c r="E4520" s="18"/>
      <c r="F4520" s="18"/>
    </row>
    <row r="4521" spans="5:6" ht="15" customHeight="1" x14ac:dyDescent="0.2">
      <c r="E4521" s="18"/>
      <c r="F4521" s="18"/>
    </row>
    <row r="4522" spans="5:6" ht="15" customHeight="1" x14ac:dyDescent="0.2">
      <c r="E4522" s="18"/>
      <c r="F4522" s="18"/>
    </row>
    <row r="4523" spans="5:6" ht="15" customHeight="1" x14ac:dyDescent="0.2">
      <c r="E4523" s="18"/>
      <c r="F4523" s="18"/>
    </row>
    <row r="4524" spans="5:6" ht="15" customHeight="1" x14ac:dyDescent="0.2">
      <c r="E4524" s="18"/>
      <c r="F4524" s="18"/>
    </row>
    <row r="4525" spans="5:6" ht="15" customHeight="1" x14ac:dyDescent="0.2">
      <c r="E4525" s="18"/>
      <c r="F4525" s="18"/>
    </row>
    <row r="4526" spans="5:6" ht="15" customHeight="1" x14ac:dyDescent="0.2">
      <c r="E4526" s="18"/>
      <c r="F4526" s="18"/>
    </row>
    <row r="4527" spans="5:6" ht="15" customHeight="1" x14ac:dyDescent="0.2">
      <c r="E4527" s="18"/>
      <c r="F4527" s="18"/>
    </row>
    <row r="4528" spans="5:6" ht="15" customHeight="1" x14ac:dyDescent="0.2">
      <c r="E4528" s="18"/>
      <c r="F4528" s="18"/>
    </row>
    <row r="4529" spans="5:6" ht="15" customHeight="1" x14ac:dyDescent="0.2">
      <c r="E4529" s="18"/>
      <c r="F4529" s="18"/>
    </row>
    <row r="4530" spans="5:6" ht="15" customHeight="1" x14ac:dyDescent="0.2">
      <c r="E4530" s="18"/>
      <c r="F4530" s="18"/>
    </row>
    <row r="4531" spans="5:6" ht="15" customHeight="1" x14ac:dyDescent="0.2">
      <c r="E4531" s="18"/>
      <c r="F4531" s="18"/>
    </row>
    <row r="4532" spans="5:6" ht="15" customHeight="1" x14ac:dyDescent="0.2">
      <c r="E4532" s="18"/>
      <c r="F4532" s="18"/>
    </row>
    <row r="4533" spans="5:6" ht="15" customHeight="1" x14ac:dyDescent="0.2">
      <c r="E4533" s="18"/>
      <c r="F4533" s="18"/>
    </row>
    <row r="4534" spans="5:6" ht="15" customHeight="1" x14ac:dyDescent="0.2">
      <c r="E4534" s="18"/>
      <c r="F4534" s="18"/>
    </row>
    <row r="4535" spans="5:6" ht="15" customHeight="1" x14ac:dyDescent="0.2">
      <c r="E4535" s="18"/>
      <c r="F4535" s="18"/>
    </row>
    <row r="4536" spans="5:6" ht="15" customHeight="1" x14ac:dyDescent="0.2">
      <c r="E4536" s="18"/>
      <c r="F4536" s="18"/>
    </row>
    <row r="4537" spans="5:6" ht="15" customHeight="1" x14ac:dyDescent="0.2">
      <c r="E4537" s="18"/>
      <c r="F4537" s="18"/>
    </row>
    <row r="4538" spans="5:6" ht="15" customHeight="1" x14ac:dyDescent="0.2">
      <c r="E4538" s="18"/>
      <c r="F4538" s="18"/>
    </row>
    <row r="4539" spans="5:6" ht="15" customHeight="1" x14ac:dyDescent="0.2">
      <c r="E4539" s="18"/>
      <c r="F4539" s="18"/>
    </row>
    <row r="4540" spans="5:6" ht="15" customHeight="1" x14ac:dyDescent="0.2">
      <c r="E4540" s="18"/>
      <c r="F4540" s="18"/>
    </row>
    <row r="4541" spans="5:6" ht="15" customHeight="1" x14ac:dyDescent="0.2">
      <c r="E4541" s="18"/>
      <c r="F4541" s="18"/>
    </row>
    <row r="4542" spans="5:6" ht="15" customHeight="1" x14ac:dyDescent="0.2">
      <c r="E4542" s="18"/>
      <c r="F4542" s="18"/>
    </row>
    <row r="4543" spans="5:6" ht="15" customHeight="1" x14ac:dyDescent="0.2">
      <c r="E4543" s="18"/>
      <c r="F4543" s="18"/>
    </row>
    <row r="4544" spans="5:6" ht="15" customHeight="1" x14ac:dyDescent="0.2">
      <c r="E4544" s="18"/>
      <c r="F4544" s="18"/>
    </row>
    <row r="4545" spans="5:6" ht="15" customHeight="1" x14ac:dyDescent="0.2">
      <c r="E4545" s="18"/>
      <c r="F4545" s="18"/>
    </row>
    <row r="4546" spans="5:6" ht="15" customHeight="1" x14ac:dyDescent="0.2">
      <c r="E4546" s="18"/>
      <c r="F4546" s="18"/>
    </row>
    <row r="4547" spans="5:6" ht="15" customHeight="1" x14ac:dyDescent="0.2">
      <c r="E4547" s="18"/>
      <c r="F4547" s="18"/>
    </row>
    <row r="4548" spans="5:6" ht="15" customHeight="1" x14ac:dyDescent="0.2">
      <c r="E4548" s="18"/>
      <c r="F4548" s="18"/>
    </row>
    <row r="4549" spans="5:6" ht="15" customHeight="1" x14ac:dyDescent="0.2">
      <c r="E4549" s="18"/>
      <c r="F4549" s="18"/>
    </row>
    <row r="4550" spans="5:6" ht="15" customHeight="1" x14ac:dyDescent="0.2">
      <c r="E4550" s="18"/>
      <c r="F4550" s="18"/>
    </row>
    <row r="4551" spans="5:6" ht="15" customHeight="1" x14ac:dyDescent="0.2">
      <c r="E4551" s="18"/>
      <c r="F4551" s="18"/>
    </row>
    <row r="4552" spans="5:6" ht="15" customHeight="1" x14ac:dyDescent="0.2">
      <c r="E4552" s="18"/>
      <c r="F4552" s="18"/>
    </row>
    <row r="4553" spans="5:6" ht="15" customHeight="1" x14ac:dyDescent="0.2">
      <c r="E4553" s="18"/>
      <c r="F4553" s="18"/>
    </row>
    <row r="4554" spans="5:6" ht="15" customHeight="1" x14ac:dyDescent="0.2">
      <c r="E4554" s="18"/>
      <c r="F4554" s="18"/>
    </row>
    <row r="4555" spans="5:6" ht="15" customHeight="1" x14ac:dyDescent="0.2">
      <c r="E4555" s="18"/>
      <c r="F4555" s="18"/>
    </row>
    <row r="4556" spans="5:6" ht="15" customHeight="1" x14ac:dyDescent="0.2">
      <c r="E4556" s="18"/>
      <c r="F4556" s="18"/>
    </row>
    <row r="4557" spans="5:6" ht="15" customHeight="1" x14ac:dyDescent="0.2">
      <c r="E4557" s="18"/>
      <c r="F4557" s="18"/>
    </row>
    <row r="4558" spans="5:6" ht="15" customHeight="1" x14ac:dyDescent="0.2">
      <c r="E4558" s="18"/>
      <c r="F4558" s="18"/>
    </row>
    <row r="4559" spans="5:6" ht="15" customHeight="1" x14ac:dyDescent="0.2">
      <c r="E4559" s="18"/>
      <c r="F4559" s="18"/>
    </row>
    <row r="4560" spans="5:6" ht="15" customHeight="1" x14ac:dyDescent="0.2">
      <c r="E4560" s="18"/>
      <c r="F4560" s="18"/>
    </row>
    <row r="4561" spans="5:6" ht="15" customHeight="1" x14ac:dyDescent="0.2">
      <c r="E4561" s="18"/>
      <c r="F4561" s="18"/>
    </row>
    <row r="4562" spans="5:6" ht="15" customHeight="1" x14ac:dyDescent="0.2">
      <c r="E4562" s="18"/>
      <c r="F4562" s="18"/>
    </row>
    <row r="4563" spans="5:6" ht="15" customHeight="1" x14ac:dyDescent="0.2">
      <c r="E4563" s="18"/>
      <c r="F4563" s="18"/>
    </row>
    <row r="4564" spans="5:6" ht="15" customHeight="1" x14ac:dyDescent="0.2">
      <c r="E4564" s="18"/>
      <c r="F4564" s="18"/>
    </row>
    <row r="4565" spans="5:6" ht="15" customHeight="1" x14ac:dyDescent="0.2">
      <c r="E4565" s="18"/>
      <c r="F4565" s="18"/>
    </row>
    <row r="4566" spans="5:6" ht="15" customHeight="1" x14ac:dyDescent="0.2">
      <c r="E4566" s="18"/>
      <c r="F4566" s="18"/>
    </row>
    <row r="4567" spans="5:6" ht="15" customHeight="1" x14ac:dyDescent="0.2">
      <c r="E4567" s="18"/>
      <c r="F4567" s="18"/>
    </row>
    <row r="4568" spans="5:6" ht="15" customHeight="1" x14ac:dyDescent="0.2">
      <c r="E4568" s="18"/>
      <c r="F4568" s="18"/>
    </row>
    <row r="4569" spans="5:6" ht="15" customHeight="1" x14ac:dyDescent="0.2">
      <c r="E4569" s="18"/>
      <c r="F4569" s="18"/>
    </row>
    <row r="4570" spans="5:6" ht="15" customHeight="1" x14ac:dyDescent="0.2">
      <c r="E4570" s="18"/>
      <c r="F4570" s="18"/>
    </row>
    <row r="4571" spans="5:6" ht="15" customHeight="1" x14ac:dyDescent="0.2">
      <c r="E4571" s="18"/>
      <c r="F4571" s="18"/>
    </row>
    <row r="4572" spans="5:6" ht="15" customHeight="1" x14ac:dyDescent="0.2">
      <c r="E4572" s="18"/>
      <c r="F4572" s="18"/>
    </row>
    <row r="4573" spans="5:6" ht="15" customHeight="1" x14ac:dyDescent="0.2">
      <c r="E4573" s="18"/>
      <c r="F4573" s="18"/>
    </row>
    <row r="4574" spans="5:6" ht="15" customHeight="1" x14ac:dyDescent="0.2">
      <c r="E4574" s="18"/>
      <c r="F4574" s="18"/>
    </row>
    <row r="4575" spans="5:6" ht="15" customHeight="1" x14ac:dyDescent="0.2">
      <c r="E4575" s="18"/>
      <c r="F4575" s="18"/>
    </row>
    <row r="4576" spans="5:6" ht="15" customHeight="1" x14ac:dyDescent="0.2">
      <c r="E4576" s="18"/>
      <c r="F4576" s="18"/>
    </row>
    <row r="4577" spans="5:6" ht="15" customHeight="1" x14ac:dyDescent="0.2">
      <c r="E4577" s="18"/>
      <c r="F4577" s="18"/>
    </row>
    <row r="4578" spans="5:6" ht="15" customHeight="1" x14ac:dyDescent="0.2">
      <c r="E4578" s="18"/>
      <c r="F4578" s="18"/>
    </row>
    <row r="4579" spans="5:6" ht="15" customHeight="1" x14ac:dyDescent="0.2">
      <c r="E4579" s="18"/>
      <c r="F4579" s="18"/>
    </row>
    <row r="4580" spans="5:6" ht="15" customHeight="1" x14ac:dyDescent="0.2">
      <c r="E4580" s="18"/>
      <c r="F4580" s="18"/>
    </row>
    <row r="4581" spans="5:6" ht="15" customHeight="1" x14ac:dyDescent="0.2">
      <c r="E4581" s="18"/>
      <c r="F4581" s="18"/>
    </row>
    <row r="4582" spans="5:6" ht="15" customHeight="1" x14ac:dyDescent="0.2">
      <c r="E4582" s="18"/>
      <c r="F4582" s="18"/>
    </row>
    <row r="4583" spans="5:6" ht="15" customHeight="1" x14ac:dyDescent="0.2">
      <c r="E4583" s="18"/>
      <c r="F4583" s="18"/>
    </row>
    <row r="4584" spans="5:6" ht="15" customHeight="1" x14ac:dyDescent="0.2">
      <c r="E4584" s="18"/>
      <c r="F4584" s="18"/>
    </row>
    <row r="4585" spans="5:6" ht="15" customHeight="1" x14ac:dyDescent="0.2">
      <c r="E4585" s="18"/>
      <c r="F4585" s="18"/>
    </row>
    <row r="4586" spans="5:6" ht="15" customHeight="1" x14ac:dyDescent="0.2">
      <c r="E4586" s="18"/>
      <c r="F4586" s="18"/>
    </row>
    <row r="4587" spans="5:6" ht="15" customHeight="1" x14ac:dyDescent="0.2">
      <c r="E4587" s="18"/>
      <c r="F4587" s="18"/>
    </row>
    <row r="4588" spans="5:6" ht="15" customHeight="1" x14ac:dyDescent="0.2">
      <c r="E4588" s="18"/>
      <c r="F4588" s="18"/>
    </row>
    <row r="4589" spans="5:6" ht="15" customHeight="1" x14ac:dyDescent="0.2">
      <c r="E4589" s="18"/>
      <c r="F4589" s="18"/>
    </row>
    <row r="4590" spans="5:6" ht="15" customHeight="1" x14ac:dyDescent="0.2">
      <c r="E4590" s="18"/>
      <c r="F4590" s="18"/>
    </row>
    <row r="4591" spans="5:6" ht="15" customHeight="1" x14ac:dyDescent="0.2">
      <c r="E4591" s="18"/>
      <c r="F4591" s="18"/>
    </row>
    <row r="4592" spans="5:6" ht="15" customHeight="1" x14ac:dyDescent="0.2">
      <c r="E4592" s="18"/>
      <c r="F4592" s="18"/>
    </row>
    <row r="4593" spans="5:6" ht="15" customHeight="1" x14ac:dyDescent="0.2">
      <c r="E4593" s="18"/>
      <c r="F4593" s="18"/>
    </row>
    <row r="4594" spans="5:6" ht="15" customHeight="1" x14ac:dyDescent="0.2">
      <c r="E4594" s="18"/>
      <c r="F4594" s="18"/>
    </row>
    <row r="4595" spans="5:6" ht="15" customHeight="1" x14ac:dyDescent="0.2">
      <c r="E4595" s="18"/>
      <c r="F4595" s="18"/>
    </row>
    <row r="4596" spans="5:6" ht="15" customHeight="1" x14ac:dyDescent="0.2">
      <c r="E4596" s="18"/>
      <c r="F4596" s="18"/>
    </row>
    <row r="4597" spans="5:6" ht="15" customHeight="1" x14ac:dyDescent="0.2">
      <c r="E4597" s="18"/>
      <c r="F4597" s="18"/>
    </row>
    <row r="4598" spans="5:6" ht="15" customHeight="1" x14ac:dyDescent="0.2">
      <c r="E4598" s="18"/>
      <c r="F4598" s="18"/>
    </row>
    <row r="4599" spans="5:6" ht="15" customHeight="1" x14ac:dyDescent="0.2">
      <c r="E4599" s="18"/>
      <c r="F4599" s="18"/>
    </row>
    <row r="4600" spans="5:6" ht="15" customHeight="1" x14ac:dyDescent="0.2">
      <c r="E4600" s="18"/>
      <c r="F4600" s="18"/>
    </row>
    <row r="4601" spans="5:6" ht="15" customHeight="1" x14ac:dyDescent="0.2">
      <c r="E4601" s="18"/>
      <c r="F4601" s="18"/>
    </row>
    <row r="4602" spans="5:6" ht="15" customHeight="1" x14ac:dyDescent="0.2">
      <c r="E4602" s="18"/>
      <c r="F4602" s="18"/>
    </row>
    <row r="4603" spans="5:6" ht="15" customHeight="1" x14ac:dyDescent="0.2">
      <c r="E4603" s="18"/>
      <c r="F4603" s="18"/>
    </row>
    <row r="4604" spans="5:6" ht="15" customHeight="1" x14ac:dyDescent="0.2">
      <c r="E4604" s="18"/>
      <c r="F4604" s="18"/>
    </row>
    <row r="4605" spans="5:6" ht="15" customHeight="1" x14ac:dyDescent="0.2">
      <c r="E4605" s="18"/>
      <c r="F4605" s="18"/>
    </row>
    <row r="4606" spans="5:6" ht="15" customHeight="1" x14ac:dyDescent="0.2">
      <c r="E4606" s="18"/>
      <c r="F4606" s="18"/>
    </row>
    <row r="4607" spans="5:6" ht="15" customHeight="1" x14ac:dyDescent="0.2">
      <c r="E4607" s="18"/>
      <c r="F4607" s="18"/>
    </row>
    <row r="4608" spans="5:6" ht="15" customHeight="1" x14ac:dyDescent="0.2">
      <c r="E4608" s="18"/>
      <c r="F4608" s="18"/>
    </row>
    <row r="4609" spans="5:6" ht="15" customHeight="1" x14ac:dyDescent="0.2">
      <c r="E4609" s="18"/>
      <c r="F4609" s="18"/>
    </row>
    <row r="4610" spans="5:6" ht="15" customHeight="1" x14ac:dyDescent="0.2">
      <c r="E4610" s="18"/>
      <c r="F4610" s="18"/>
    </row>
    <row r="4611" spans="5:6" ht="15" customHeight="1" x14ac:dyDescent="0.2">
      <c r="E4611" s="18"/>
      <c r="F4611" s="18"/>
    </row>
    <row r="4612" spans="5:6" ht="15" customHeight="1" x14ac:dyDescent="0.2">
      <c r="E4612" s="18"/>
      <c r="F4612" s="18"/>
    </row>
    <row r="4613" spans="5:6" ht="15" customHeight="1" x14ac:dyDescent="0.2">
      <c r="E4613" s="18"/>
      <c r="F4613" s="18"/>
    </row>
    <row r="4614" spans="5:6" ht="15" customHeight="1" x14ac:dyDescent="0.2">
      <c r="E4614" s="18"/>
      <c r="F4614" s="18"/>
    </row>
    <row r="4615" spans="5:6" ht="15" customHeight="1" x14ac:dyDescent="0.2">
      <c r="E4615" s="18"/>
      <c r="F4615" s="18"/>
    </row>
    <row r="4616" spans="5:6" ht="15" customHeight="1" x14ac:dyDescent="0.2">
      <c r="E4616" s="18"/>
      <c r="F4616" s="18"/>
    </row>
    <row r="4617" spans="5:6" ht="15" customHeight="1" x14ac:dyDescent="0.2">
      <c r="E4617" s="18"/>
      <c r="F4617" s="18"/>
    </row>
    <row r="4618" spans="5:6" ht="15" customHeight="1" x14ac:dyDescent="0.2">
      <c r="E4618" s="18"/>
      <c r="F4618" s="18"/>
    </row>
    <row r="4619" spans="5:6" ht="15" customHeight="1" x14ac:dyDescent="0.2">
      <c r="E4619" s="18"/>
      <c r="F4619" s="18"/>
    </row>
    <row r="4620" spans="5:6" ht="15" customHeight="1" x14ac:dyDescent="0.2">
      <c r="E4620" s="18"/>
      <c r="F4620" s="18"/>
    </row>
    <row r="4621" spans="5:6" ht="15" customHeight="1" x14ac:dyDescent="0.2">
      <c r="E4621" s="18"/>
      <c r="F4621" s="18"/>
    </row>
    <row r="4622" spans="5:6" ht="15" customHeight="1" x14ac:dyDescent="0.2">
      <c r="E4622" s="18"/>
      <c r="F4622" s="18"/>
    </row>
    <row r="4623" spans="5:6" ht="15" customHeight="1" x14ac:dyDescent="0.2">
      <c r="E4623" s="18"/>
      <c r="F4623" s="18"/>
    </row>
    <row r="4624" spans="5:6" ht="15" customHeight="1" x14ac:dyDescent="0.2">
      <c r="E4624" s="18"/>
      <c r="F4624" s="18"/>
    </row>
    <row r="4625" spans="5:6" ht="15" customHeight="1" x14ac:dyDescent="0.2">
      <c r="E4625" s="18"/>
      <c r="F4625" s="18"/>
    </row>
    <row r="4626" spans="5:6" ht="15" customHeight="1" x14ac:dyDescent="0.2">
      <c r="E4626" s="18"/>
      <c r="F4626" s="18"/>
    </row>
    <row r="4627" spans="5:6" ht="15" customHeight="1" x14ac:dyDescent="0.2">
      <c r="E4627" s="18"/>
      <c r="F4627" s="18"/>
    </row>
    <row r="4628" spans="5:6" ht="15" customHeight="1" x14ac:dyDescent="0.2">
      <c r="E4628" s="18"/>
      <c r="F4628" s="18"/>
    </row>
    <row r="4629" spans="5:6" ht="15" customHeight="1" x14ac:dyDescent="0.2">
      <c r="E4629" s="18"/>
      <c r="F4629" s="18"/>
    </row>
    <row r="4630" spans="5:6" ht="15" customHeight="1" x14ac:dyDescent="0.2">
      <c r="E4630" s="18"/>
      <c r="F4630" s="18"/>
    </row>
    <row r="4631" spans="5:6" ht="15" customHeight="1" x14ac:dyDescent="0.2">
      <c r="E4631" s="18"/>
      <c r="F4631" s="18"/>
    </row>
    <row r="4632" spans="5:6" ht="15" customHeight="1" x14ac:dyDescent="0.2">
      <c r="E4632" s="18"/>
      <c r="F4632" s="18"/>
    </row>
    <row r="4633" spans="5:6" ht="15" customHeight="1" x14ac:dyDescent="0.2">
      <c r="E4633" s="18"/>
      <c r="F4633" s="18"/>
    </row>
    <row r="4634" spans="5:6" ht="15" customHeight="1" x14ac:dyDescent="0.2">
      <c r="E4634" s="18"/>
      <c r="F4634" s="18"/>
    </row>
    <row r="4635" spans="5:6" ht="15" customHeight="1" x14ac:dyDescent="0.2">
      <c r="E4635" s="18"/>
      <c r="F4635" s="18"/>
    </row>
    <row r="4636" spans="5:6" ht="15" customHeight="1" x14ac:dyDescent="0.2">
      <c r="E4636" s="18"/>
      <c r="F4636" s="18"/>
    </row>
    <row r="4637" spans="5:6" ht="15" customHeight="1" x14ac:dyDescent="0.2">
      <c r="E4637" s="18"/>
      <c r="F4637" s="18"/>
    </row>
    <row r="4638" spans="5:6" ht="15" customHeight="1" x14ac:dyDescent="0.2">
      <c r="E4638" s="18"/>
      <c r="F4638" s="18"/>
    </row>
    <row r="4639" spans="5:6" ht="15" customHeight="1" x14ac:dyDescent="0.2">
      <c r="E4639" s="18"/>
      <c r="F4639" s="18"/>
    </row>
    <row r="4640" spans="5:6" ht="15" customHeight="1" x14ac:dyDescent="0.2">
      <c r="E4640" s="18"/>
      <c r="F4640" s="18"/>
    </row>
    <row r="4641" spans="5:6" ht="15" customHeight="1" x14ac:dyDescent="0.2">
      <c r="E4641" s="18"/>
      <c r="F4641" s="18"/>
    </row>
    <row r="4642" spans="5:6" ht="15" customHeight="1" x14ac:dyDescent="0.2">
      <c r="E4642" s="18"/>
      <c r="F4642" s="18"/>
    </row>
    <row r="4643" spans="5:6" ht="15" customHeight="1" x14ac:dyDescent="0.2">
      <c r="E4643" s="18"/>
      <c r="F4643" s="18"/>
    </row>
    <row r="4644" spans="5:6" ht="15" customHeight="1" x14ac:dyDescent="0.2">
      <c r="E4644" s="18"/>
      <c r="F4644" s="18"/>
    </row>
    <row r="4645" spans="5:6" ht="15" customHeight="1" x14ac:dyDescent="0.2">
      <c r="E4645" s="18"/>
      <c r="F4645" s="18"/>
    </row>
    <row r="4646" spans="5:6" ht="15" customHeight="1" x14ac:dyDescent="0.2">
      <c r="E4646" s="18"/>
      <c r="F4646" s="18"/>
    </row>
    <row r="4647" spans="5:6" ht="15" customHeight="1" x14ac:dyDescent="0.2">
      <c r="E4647" s="18"/>
      <c r="F4647" s="18"/>
    </row>
    <row r="4648" spans="5:6" ht="15" customHeight="1" x14ac:dyDescent="0.2">
      <c r="E4648" s="18"/>
      <c r="F4648" s="18"/>
    </row>
    <row r="4649" spans="5:6" ht="15" customHeight="1" x14ac:dyDescent="0.2">
      <c r="E4649" s="18"/>
      <c r="F4649" s="18"/>
    </row>
    <row r="4650" spans="5:6" ht="15" customHeight="1" x14ac:dyDescent="0.2">
      <c r="E4650" s="18"/>
      <c r="F4650" s="18"/>
    </row>
    <row r="4651" spans="5:6" ht="15" customHeight="1" x14ac:dyDescent="0.2">
      <c r="E4651" s="18"/>
      <c r="F4651" s="18"/>
    </row>
    <row r="4652" spans="5:6" ht="15" customHeight="1" x14ac:dyDescent="0.2">
      <c r="E4652" s="18"/>
      <c r="F4652" s="18"/>
    </row>
    <row r="4653" spans="5:6" ht="15" customHeight="1" x14ac:dyDescent="0.2">
      <c r="E4653" s="18"/>
      <c r="F4653" s="18"/>
    </row>
    <row r="4654" spans="5:6" ht="15" customHeight="1" x14ac:dyDescent="0.2">
      <c r="E4654" s="18"/>
      <c r="F4654" s="18"/>
    </row>
    <row r="4655" spans="5:6" ht="15" customHeight="1" x14ac:dyDescent="0.2">
      <c r="E4655" s="18"/>
      <c r="F4655" s="18"/>
    </row>
    <row r="4656" spans="5:6" ht="15" customHeight="1" x14ac:dyDescent="0.2">
      <c r="E4656" s="18"/>
      <c r="F4656" s="18"/>
    </row>
    <row r="4657" spans="5:6" ht="15" customHeight="1" x14ac:dyDescent="0.2">
      <c r="E4657" s="18"/>
      <c r="F4657" s="18"/>
    </row>
    <row r="4658" spans="5:6" ht="15" customHeight="1" x14ac:dyDescent="0.2">
      <c r="E4658" s="18"/>
      <c r="F4658" s="18"/>
    </row>
    <row r="4659" spans="5:6" ht="15" customHeight="1" x14ac:dyDescent="0.2">
      <c r="E4659" s="18"/>
      <c r="F4659" s="18"/>
    </row>
    <row r="4660" spans="5:6" ht="15" customHeight="1" x14ac:dyDescent="0.2">
      <c r="E4660" s="18"/>
      <c r="F4660" s="18"/>
    </row>
    <row r="4661" spans="5:6" ht="15" customHeight="1" x14ac:dyDescent="0.2">
      <c r="E4661" s="18"/>
      <c r="F4661" s="18"/>
    </row>
    <row r="4662" spans="5:6" ht="15" customHeight="1" x14ac:dyDescent="0.2">
      <c r="E4662" s="18"/>
      <c r="F4662" s="18"/>
    </row>
    <row r="4663" spans="5:6" ht="15" customHeight="1" x14ac:dyDescent="0.2">
      <c r="E4663" s="18"/>
      <c r="F4663" s="18"/>
    </row>
    <row r="4664" spans="5:6" ht="15" customHeight="1" x14ac:dyDescent="0.2">
      <c r="E4664" s="18"/>
      <c r="F4664" s="18"/>
    </row>
    <row r="4665" spans="5:6" ht="15" customHeight="1" x14ac:dyDescent="0.2">
      <c r="E4665" s="18"/>
      <c r="F4665" s="18"/>
    </row>
    <row r="4666" spans="5:6" ht="15" customHeight="1" x14ac:dyDescent="0.2">
      <c r="E4666" s="18"/>
      <c r="F4666" s="18"/>
    </row>
    <row r="4667" spans="5:6" ht="15" customHeight="1" x14ac:dyDescent="0.2">
      <c r="E4667" s="18"/>
      <c r="F4667" s="18"/>
    </row>
    <row r="4668" spans="5:6" ht="15" customHeight="1" x14ac:dyDescent="0.2">
      <c r="E4668" s="18"/>
      <c r="F4668" s="18"/>
    </row>
    <row r="4669" spans="5:6" ht="15" customHeight="1" x14ac:dyDescent="0.2">
      <c r="E4669" s="18"/>
      <c r="F4669" s="18"/>
    </row>
    <row r="4670" spans="5:6" ht="15" customHeight="1" x14ac:dyDescent="0.2">
      <c r="E4670" s="18"/>
      <c r="F4670" s="18"/>
    </row>
    <row r="4671" spans="5:6" ht="15" customHeight="1" x14ac:dyDescent="0.2">
      <c r="E4671" s="18"/>
      <c r="F4671" s="18"/>
    </row>
    <row r="4672" spans="5:6" ht="15" customHeight="1" x14ac:dyDescent="0.2">
      <c r="E4672" s="18"/>
      <c r="F4672" s="18"/>
    </row>
    <row r="4673" spans="5:6" ht="15" customHeight="1" x14ac:dyDescent="0.2">
      <c r="E4673" s="18"/>
      <c r="F4673" s="18"/>
    </row>
    <row r="4674" spans="5:6" ht="15" customHeight="1" x14ac:dyDescent="0.2">
      <c r="E4674" s="18"/>
      <c r="F4674" s="18"/>
    </row>
    <row r="4675" spans="5:6" ht="15" customHeight="1" x14ac:dyDescent="0.2">
      <c r="E4675" s="18"/>
      <c r="F4675" s="18"/>
    </row>
    <row r="4676" spans="5:6" ht="15" customHeight="1" x14ac:dyDescent="0.2">
      <c r="E4676" s="18"/>
      <c r="F4676" s="18"/>
    </row>
    <row r="4677" spans="5:6" ht="15" customHeight="1" x14ac:dyDescent="0.2">
      <c r="E4677" s="18"/>
      <c r="F4677" s="18"/>
    </row>
    <row r="4678" spans="5:6" ht="15" customHeight="1" x14ac:dyDescent="0.2">
      <c r="E4678" s="18"/>
      <c r="F4678" s="18"/>
    </row>
    <row r="4679" spans="5:6" ht="15" customHeight="1" x14ac:dyDescent="0.2">
      <c r="E4679" s="18"/>
      <c r="F4679" s="18"/>
    </row>
    <row r="4680" spans="5:6" ht="15" customHeight="1" x14ac:dyDescent="0.2">
      <c r="E4680" s="18"/>
      <c r="F4680" s="18"/>
    </row>
    <row r="4681" spans="5:6" ht="15" customHeight="1" x14ac:dyDescent="0.2">
      <c r="E4681" s="18"/>
      <c r="F4681" s="18"/>
    </row>
    <row r="4682" spans="5:6" ht="15" customHeight="1" x14ac:dyDescent="0.2">
      <c r="E4682" s="18"/>
      <c r="F4682" s="18"/>
    </row>
    <row r="4683" spans="5:6" ht="15" customHeight="1" x14ac:dyDescent="0.2">
      <c r="E4683" s="18"/>
      <c r="F4683" s="18"/>
    </row>
    <row r="4684" spans="5:6" ht="15" customHeight="1" x14ac:dyDescent="0.2">
      <c r="E4684" s="18"/>
      <c r="F4684" s="18"/>
    </row>
    <row r="4685" spans="5:6" ht="15" customHeight="1" x14ac:dyDescent="0.2">
      <c r="E4685" s="18"/>
      <c r="F4685" s="18"/>
    </row>
    <row r="4686" spans="5:6" ht="15" customHeight="1" x14ac:dyDescent="0.2">
      <c r="E4686" s="18"/>
      <c r="F4686" s="18"/>
    </row>
    <row r="4687" spans="5:6" ht="15" customHeight="1" x14ac:dyDescent="0.2">
      <c r="E4687" s="18"/>
      <c r="F4687" s="18"/>
    </row>
    <row r="4688" spans="5:6" ht="15" customHeight="1" x14ac:dyDescent="0.2">
      <c r="E4688" s="18"/>
      <c r="F4688" s="18"/>
    </row>
    <row r="4689" spans="5:6" ht="15" customHeight="1" x14ac:dyDescent="0.2">
      <c r="E4689" s="18"/>
      <c r="F4689" s="18"/>
    </row>
    <row r="4690" spans="5:6" ht="15" customHeight="1" x14ac:dyDescent="0.2">
      <c r="E4690" s="18"/>
      <c r="F4690" s="18"/>
    </row>
    <row r="4691" spans="5:6" ht="15" customHeight="1" x14ac:dyDescent="0.2">
      <c r="E4691" s="18"/>
      <c r="F4691" s="18"/>
    </row>
    <row r="4692" spans="5:6" ht="15" customHeight="1" x14ac:dyDescent="0.2">
      <c r="E4692" s="18"/>
      <c r="F4692" s="18"/>
    </row>
    <row r="4693" spans="5:6" ht="15" customHeight="1" x14ac:dyDescent="0.2">
      <c r="E4693" s="18"/>
      <c r="F4693" s="18"/>
    </row>
    <row r="4694" spans="5:6" ht="15" customHeight="1" x14ac:dyDescent="0.2">
      <c r="E4694" s="18"/>
      <c r="F4694" s="18"/>
    </row>
    <row r="4695" spans="5:6" ht="15" customHeight="1" x14ac:dyDescent="0.2">
      <c r="E4695" s="18"/>
      <c r="F4695" s="18"/>
    </row>
    <row r="4696" spans="5:6" ht="15" customHeight="1" x14ac:dyDescent="0.2">
      <c r="E4696" s="18"/>
      <c r="F4696" s="18"/>
    </row>
    <row r="4697" spans="5:6" ht="15" customHeight="1" x14ac:dyDescent="0.2">
      <c r="E4697" s="18"/>
      <c r="F4697" s="18"/>
    </row>
    <row r="4698" spans="5:6" ht="15" customHeight="1" x14ac:dyDescent="0.2">
      <c r="E4698" s="18"/>
      <c r="F4698" s="18"/>
    </row>
    <row r="4699" spans="5:6" ht="15" customHeight="1" x14ac:dyDescent="0.2">
      <c r="E4699" s="18"/>
      <c r="F4699" s="18"/>
    </row>
    <row r="4700" spans="5:6" ht="15" customHeight="1" x14ac:dyDescent="0.2">
      <c r="E4700" s="18"/>
      <c r="F4700" s="18"/>
    </row>
    <row r="4701" spans="5:6" ht="15" customHeight="1" x14ac:dyDescent="0.2">
      <c r="E4701" s="18"/>
      <c r="F4701" s="18"/>
    </row>
    <row r="4702" spans="5:6" ht="15" customHeight="1" x14ac:dyDescent="0.2">
      <c r="E4702" s="18"/>
      <c r="F4702" s="18"/>
    </row>
    <row r="4703" spans="5:6" ht="15" customHeight="1" x14ac:dyDescent="0.2">
      <c r="E4703" s="18"/>
      <c r="F4703" s="18"/>
    </row>
    <row r="4704" spans="5:6" ht="15" customHeight="1" x14ac:dyDescent="0.2">
      <c r="E4704" s="18"/>
      <c r="F4704" s="18"/>
    </row>
    <row r="4705" spans="5:6" ht="15" customHeight="1" x14ac:dyDescent="0.2">
      <c r="E4705" s="18"/>
      <c r="F4705" s="18"/>
    </row>
    <row r="4706" spans="5:6" ht="15" customHeight="1" x14ac:dyDescent="0.2">
      <c r="E4706" s="18"/>
      <c r="F4706" s="18"/>
    </row>
    <row r="4707" spans="5:6" ht="15" customHeight="1" x14ac:dyDescent="0.2">
      <c r="E4707" s="18"/>
      <c r="F4707" s="18"/>
    </row>
    <row r="4708" spans="5:6" ht="15" customHeight="1" x14ac:dyDescent="0.2">
      <c r="E4708" s="18"/>
      <c r="F4708" s="18"/>
    </row>
    <row r="4709" spans="5:6" ht="15" customHeight="1" x14ac:dyDescent="0.2">
      <c r="E4709" s="18"/>
      <c r="F4709" s="18"/>
    </row>
    <row r="4710" spans="5:6" ht="15" customHeight="1" x14ac:dyDescent="0.2">
      <c r="E4710" s="18"/>
      <c r="F4710" s="18"/>
    </row>
    <row r="4711" spans="5:6" ht="15" customHeight="1" x14ac:dyDescent="0.2">
      <c r="E4711" s="18"/>
      <c r="F4711" s="18"/>
    </row>
    <row r="4712" spans="5:6" ht="15" customHeight="1" x14ac:dyDescent="0.2">
      <c r="E4712" s="18"/>
      <c r="F4712" s="18"/>
    </row>
    <row r="4713" spans="5:6" ht="15" customHeight="1" x14ac:dyDescent="0.2">
      <c r="E4713" s="18"/>
      <c r="F4713" s="18"/>
    </row>
    <row r="4714" spans="5:6" ht="15" customHeight="1" x14ac:dyDescent="0.2">
      <c r="E4714" s="18"/>
      <c r="F4714" s="18"/>
    </row>
    <row r="4715" spans="5:6" ht="15" customHeight="1" x14ac:dyDescent="0.2">
      <c r="E4715" s="18"/>
      <c r="F4715" s="18"/>
    </row>
    <row r="4716" spans="5:6" ht="15" customHeight="1" x14ac:dyDescent="0.2">
      <c r="E4716" s="18"/>
      <c r="F4716" s="18"/>
    </row>
    <row r="4717" spans="5:6" ht="15" customHeight="1" x14ac:dyDescent="0.2">
      <c r="E4717" s="18"/>
      <c r="F4717" s="18"/>
    </row>
    <row r="4718" spans="5:6" ht="15" customHeight="1" x14ac:dyDescent="0.2">
      <c r="E4718" s="18"/>
      <c r="F4718" s="18"/>
    </row>
    <row r="4719" spans="5:6" ht="15" customHeight="1" x14ac:dyDescent="0.2">
      <c r="E4719" s="18"/>
      <c r="F4719" s="18"/>
    </row>
    <row r="4720" spans="5:6" ht="15" customHeight="1" x14ac:dyDescent="0.2">
      <c r="E4720" s="18"/>
      <c r="F4720" s="18"/>
    </row>
    <row r="4721" spans="5:6" ht="15" customHeight="1" x14ac:dyDescent="0.2">
      <c r="E4721" s="18"/>
      <c r="F4721" s="18"/>
    </row>
    <row r="4722" spans="5:6" ht="15" customHeight="1" x14ac:dyDescent="0.2">
      <c r="E4722" s="18"/>
      <c r="F4722" s="18"/>
    </row>
    <row r="4723" spans="5:6" ht="15" customHeight="1" x14ac:dyDescent="0.2">
      <c r="E4723" s="18"/>
      <c r="F4723" s="18"/>
    </row>
    <row r="4724" spans="5:6" ht="15" customHeight="1" x14ac:dyDescent="0.2">
      <c r="E4724" s="18"/>
      <c r="F4724" s="18"/>
    </row>
    <row r="4725" spans="5:6" ht="15" customHeight="1" x14ac:dyDescent="0.2">
      <c r="E4725" s="18"/>
      <c r="F4725" s="18"/>
    </row>
    <row r="4726" spans="5:6" ht="15" customHeight="1" x14ac:dyDescent="0.2">
      <c r="E4726" s="18"/>
      <c r="F4726" s="18"/>
    </row>
    <row r="4727" spans="5:6" ht="15" customHeight="1" x14ac:dyDescent="0.2">
      <c r="E4727" s="18"/>
      <c r="F4727" s="18"/>
    </row>
    <row r="4728" spans="5:6" ht="15" customHeight="1" x14ac:dyDescent="0.2">
      <c r="E4728" s="18"/>
      <c r="F4728" s="18"/>
    </row>
    <row r="4729" spans="5:6" ht="15" customHeight="1" x14ac:dyDescent="0.2">
      <c r="E4729" s="18"/>
      <c r="F4729" s="18"/>
    </row>
    <row r="4730" spans="5:6" ht="15" customHeight="1" x14ac:dyDescent="0.2">
      <c r="E4730" s="18"/>
      <c r="F4730" s="18"/>
    </row>
    <row r="4731" spans="5:6" ht="15" customHeight="1" x14ac:dyDescent="0.2">
      <c r="E4731" s="18"/>
      <c r="F4731" s="18"/>
    </row>
    <row r="4732" spans="5:6" ht="15" customHeight="1" x14ac:dyDescent="0.2">
      <c r="E4732" s="18"/>
      <c r="F4732" s="18"/>
    </row>
    <row r="4733" spans="5:6" ht="15" customHeight="1" x14ac:dyDescent="0.2">
      <c r="E4733" s="18"/>
      <c r="F4733" s="18"/>
    </row>
    <row r="4734" spans="5:6" ht="15" customHeight="1" x14ac:dyDescent="0.2">
      <c r="E4734" s="18"/>
      <c r="F4734" s="18"/>
    </row>
    <row r="4735" spans="5:6" ht="15" customHeight="1" x14ac:dyDescent="0.2">
      <c r="E4735" s="18"/>
      <c r="F4735" s="18"/>
    </row>
    <row r="4736" spans="5:6" ht="15" customHeight="1" x14ac:dyDescent="0.2">
      <c r="E4736" s="18"/>
      <c r="F4736" s="18"/>
    </row>
    <row r="4737" spans="5:6" ht="15" customHeight="1" x14ac:dyDescent="0.2">
      <c r="E4737" s="18"/>
      <c r="F4737" s="18"/>
    </row>
    <row r="4738" spans="5:6" ht="15" customHeight="1" x14ac:dyDescent="0.2">
      <c r="E4738" s="18"/>
      <c r="F4738" s="18"/>
    </row>
    <row r="4739" spans="5:6" ht="15" customHeight="1" x14ac:dyDescent="0.2">
      <c r="E4739" s="18"/>
      <c r="F4739" s="18"/>
    </row>
    <row r="4740" spans="5:6" ht="15" customHeight="1" x14ac:dyDescent="0.2">
      <c r="E4740" s="18"/>
      <c r="F4740" s="18"/>
    </row>
    <row r="4741" spans="5:6" ht="15" customHeight="1" x14ac:dyDescent="0.2">
      <c r="E4741" s="18"/>
      <c r="F4741" s="18"/>
    </row>
    <row r="4742" spans="5:6" ht="15" customHeight="1" x14ac:dyDescent="0.2">
      <c r="E4742" s="18"/>
      <c r="F4742" s="18"/>
    </row>
    <row r="4743" spans="5:6" ht="15" customHeight="1" x14ac:dyDescent="0.2">
      <c r="E4743" s="18"/>
      <c r="F4743" s="18"/>
    </row>
    <row r="4744" spans="5:6" ht="15" customHeight="1" x14ac:dyDescent="0.2">
      <c r="E4744" s="18"/>
      <c r="F4744" s="18"/>
    </row>
    <row r="4745" spans="5:6" ht="15" customHeight="1" x14ac:dyDescent="0.2">
      <c r="E4745" s="18"/>
      <c r="F4745" s="18"/>
    </row>
    <row r="4746" spans="5:6" ht="15" customHeight="1" x14ac:dyDescent="0.2">
      <c r="E4746" s="18"/>
      <c r="F4746" s="18"/>
    </row>
    <row r="4747" spans="5:6" ht="15" customHeight="1" x14ac:dyDescent="0.2">
      <c r="E4747" s="18"/>
      <c r="F4747" s="18"/>
    </row>
    <row r="4748" spans="5:6" ht="15" customHeight="1" x14ac:dyDescent="0.2">
      <c r="E4748" s="18"/>
      <c r="F4748" s="18"/>
    </row>
    <row r="4749" spans="5:6" ht="15" customHeight="1" x14ac:dyDescent="0.2">
      <c r="E4749" s="18"/>
      <c r="F4749" s="18"/>
    </row>
    <row r="4750" spans="5:6" ht="15" customHeight="1" x14ac:dyDescent="0.2">
      <c r="E4750" s="18"/>
      <c r="F4750" s="18"/>
    </row>
    <row r="4751" spans="5:6" ht="15" customHeight="1" x14ac:dyDescent="0.2">
      <c r="E4751" s="18"/>
      <c r="F4751" s="18"/>
    </row>
    <row r="4752" spans="5:6" ht="15" customHeight="1" x14ac:dyDescent="0.2">
      <c r="E4752" s="18"/>
      <c r="F4752" s="18"/>
    </row>
    <row r="4753" spans="5:6" ht="15" customHeight="1" x14ac:dyDescent="0.2">
      <c r="E4753" s="18"/>
      <c r="F4753" s="18"/>
    </row>
    <row r="4754" spans="5:6" ht="15" customHeight="1" x14ac:dyDescent="0.2">
      <c r="E4754" s="18"/>
      <c r="F4754" s="18"/>
    </row>
    <row r="4755" spans="5:6" ht="15" customHeight="1" x14ac:dyDescent="0.2">
      <c r="E4755" s="18"/>
      <c r="F4755" s="18"/>
    </row>
    <row r="4756" spans="5:6" ht="15" customHeight="1" x14ac:dyDescent="0.2">
      <c r="E4756" s="18"/>
      <c r="F4756" s="18"/>
    </row>
    <row r="4757" spans="5:6" ht="15" customHeight="1" x14ac:dyDescent="0.2">
      <c r="E4757" s="18"/>
      <c r="F4757" s="18"/>
    </row>
    <row r="4758" spans="5:6" ht="15" customHeight="1" x14ac:dyDescent="0.2">
      <c r="E4758" s="18"/>
      <c r="F4758" s="18"/>
    </row>
    <row r="4759" spans="5:6" ht="15" customHeight="1" x14ac:dyDescent="0.2">
      <c r="E4759" s="18"/>
      <c r="F4759" s="18"/>
    </row>
    <row r="4760" spans="5:6" ht="15" customHeight="1" x14ac:dyDescent="0.2">
      <c r="E4760" s="18"/>
      <c r="F4760" s="18"/>
    </row>
    <row r="4761" spans="5:6" ht="15" customHeight="1" x14ac:dyDescent="0.2">
      <c r="E4761" s="18"/>
      <c r="F4761" s="18"/>
    </row>
    <row r="4762" spans="5:6" ht="15" customHeight="1" x14ac:dyDescent="0.2">
      <c r="E4762" s="18"/>
      <c r="F4762" s="18"/>
    </row>
    <row r="4763" spans="5:6" ht="15" customHeight="1" x14ac:dyDescent="0.2">
      <c r="E4763" s="18"/>
      <c r="F4763" s="18"/>
    </row>
    <row r="4764" spans="5:6" ht="15" customHeight="1" x14ac:dyDescent="0.2">
      <c r="E4764" s="18"/>
      <c r="F4764" s="18"/>
    </row>
    <row r="4765" spans="5:6" ht="15" customHeight="1" x14ac:dyDescent="0.2">
      <c r="E4765" s="18"/>
      <c r="F4765" s="18"/>
    </row>
    <row r="4766" spans="5:6" ht="15" customHeight="1" x14ac:dyDescent="0.2">
      <c r="E4766" s="18"/>
      <c r="F4766" s="18"/>
    </row>
    <row r="4767" spans="5:6" ht="15" customHeight="1" x14ac:dyDescent="0.2">
      <c r="E4767" s="18"/>
      <c r="F4767" s="18"/>
    </row>
    <row r="4768" spans="5:6" ht="15" customHeight="1" x14ac:dyDescent="0.2">
      <c r="E4768" s="18"/>
      <c r="F4768" s="18"/>
    </row>
    <row r="4769" spans="5:6" ht="15" customHeight="1" x14ac:dyDescent="0.2">
      <c r="E4769" s="18"/>
      <c r="F4769" s="18"/>
    </row>
    <row r="4770" spans="5:6" ht="15" customHeight="1" x14ac:dyDescent="0.2">
      <c r="E4770" s="18"/>
      <c r="F4770" s="18"/>
    </row>
    <row r="4771" spans="5:6" ht="15" customHeight="1" x14ac:dyDescent="0.2">
      <c r="E4771" s="18"/>
      <c r="F4771" s="18"/>
    </row>
    <row r="4772" spans="5:6" ht="15" customHeight="1" x14ac:dyDescent="0.2">
      <c r="E4772" s="18"/>
      <c r="F4772" s="18"/>
    </row>
    <row r="4773" spans="5:6" ht="15" customHeight="1" x14ac:dyDescent="0.2">
      <c r="E4773" s="18"/>
      <c r="F4773" s="18"/>
    </row>
    <row r="4774" spans="5:6" ht="15" customHeight="1" x14ac:dyDescent="0.2">
      <c r="E4774" s="18"/>
      <c r="F4774" s="18"/>
    </row>
    <row r="4775" spans="5:6" ht="15" customHeight="1" x14ac:dyDescent="0.2">
      <c r="E4775" s="18"/>
      <c r="F4775" s="18"/>
    </row>
    <row r="4776" spans="5:6" ht="15" customHeight="1" x14ac:dyDescent="0.2">
      <c r="E4776" s="18"/>
      <c r="F4776" s="18"/>
    </row>
    <row r="4777" spans="5:6" ht="15" customHeight="1" x14ac:dyDescent="0.2">
      <c r="E4777" s="18"/>
      <c r="F4777" s="18"/>
    </row>
    <row r="4778" spans="5:6" ht="15" customHeight="1" x14ac:dyDescent="0.2">
      <c r="E4778" s="18"/>
      <c r="F4778" s="18"/>
    </row>
    <row r="4779" spans="5:6" ht="15" customHeight="1" x14ac:dyDescent="0.2">
      <c r="E4779" s="18"/>
      <c r="F4779" s="18"/>
    </row>
    <row r="4780" spans="5:6" ht="15" customHeight="1" x14ac:dyDescent="0.2">
      <c r="E4780" s="18"/>
      <c r="F4780" s="18"/>
    </row>
    <row r="4781" spans="5:6" ht="15" customHeight="1" x14ac:dyDescent="0.2">
      <c r="E4781" s="18"/>
      <c r="F4781" s="18"/>
    </row>
    <row r="4782" spans="5:6" ht="15" customHeight="1" x14ac:dyDescent="0.2">
      <c r="E4782" s="18"/>
      <c r="F4782" s="18"/>
    </row>
    <row r="4783" spans="5:6" ht="15" customHeight="1" x14ac:dyDescent="0.2">
      <c r="E4783" s="18"/>
      <c r="F4783" s="18"/>
    </row>
    <row r="4784" spans="5:6" ht="15" customHeight="1" x14ac:dyDescent="0.2">
      <c r="E4784" s="18"/>
      <c r="F4784" s="18"/>
    </row>
    <row r="4785" spans="5:6" ht="15" customHeight="1" x14ac:dyDescent="0.2">
      <c r="E4785" s="18"/>
      <c r="F4785" s="18"/>
    </row>
    <row r="4786" spans="5:6" ht="15" customHeight="1" x14ac:dyDescent="0.2">
      <c r="E4786" s="18"/>
      <c r="F4786" s="18"/>
    </row>
    <row r="4787" spans="5:6" ht="15" customHeight="1" x14ac:dyDescent="0.2">
      <c r="E4787" s="18"/>
      <c r="F4787" s="18"/>
    </row>
    <row r="4788" spans="5:6" ht="15" customHeight="1" x14ac:dyDescent="0.2">
      <c r="E4788" s="18"/>
      <c r="F4788" s="18"/>
    </row>
    <row r="4789" spans="5:6" ht="15" customHeight="1" x14ac:dyDescent="0.2">
      <c r="E4789" s="18"/>
      <c r="F4789" s="18"/>
    </row>
    <row r="4790" spans="5:6" ht="15" customHeight="1" x14ac:dyDescent="0.2">
      <c r="E4790" s="18"/>
      <c r="F4790" s="18"/>
    </row>
    <row r="4791" spans="5:6" ht="15" customHeight="1" x14ac:dyDescent="0.2">
      <c r="E4791" s="18"/>
      <c r="F4791" s="18"/>
    </row>
    <row r="4792" spans="5:6" ht="15" customHeight="1" x14ac:dyDescent="0.2">
      <c r="E4792" s="18"/>
      <c r="F4792" s="18"/>
    </row>
    <row r="4793" spans="5:6" ht="15" customHeight="1" x14ac:dyDescent="0.2">
      <c r="E4793" s="18"/>
      <c r="F4793" s="18"/>
    </row>
    <row r="4794" spans="5:6" ht="15" customHeight="1" x14ac:dyDescent="0.2">
      <c r="E4794" s="18"/>
      <c r="F4794" s="18"/>
    </row>
    <row r="4795" spans="5:6" ht="15" customHeight="1" x14ac:dyDescent="0.2">
      <c r="E4795" s="18"/>
      <c r="F4795" s="18"/>
    </row>
    <row r="4796" spans="5:6" ht="15" customHeight="1" x14ac:dyDescent="0.2">
      <c r="E4796" s="18"/>
      <c r="F4796" s="18"/>
    </row>
    <row r="4797" spans="5:6" ht="15" customHeight="1" x14ac:dyDescent="0.2">
      <c r="E4797" s="18"/>
      <c r="F4797" s="18"/>
    </row>
    <row r="4798" spans="5:6" ht="15" customHeight="1" x14ac:dyDescent="0.2">
      <c r="E4798" s="18"/>
      <c r="F4798" s="18"/>
    </row>
    <row r="4799" spans="5:6" ht="15" customHeight="1" x14ac:dyDescent="0.2">
      <c r="E4799" s="18"/>
      <c r="F4799" s="18"/>
    </row>
    <row r="4800" spans="5:6" ht="15" customHeight="1" x14ac:dyDescent="0.2">
      <c r="E4800" s="18"/>
      <c r="F4800" s="18"/>
    </row>
    <row r="4801" spans="5:6" ht="15" customHeight="1" x14ac:dyDescent="0.2">
      <c r="E4801" s="18"/>
      <c r="F4801" s="18"/>
    </row>
    <row r="4802" spans="5:6" ht="15" customHeight="1" x14ac:dyDescent="0.2">
      <c r="E4802" s="18"/>
      <c r="F4802" s="18"/>
    </row>
    <row r="4803" spans="5:6" ht="15" customHeight="1" x14ac:dyDescent="0.2">
      <c r="E4803" s="18"/>
      <c r="F4803" s="18"/>
    </row>
    <row r="4804" spans="5:6" ht="15" customHeight="1" x14ac:dyDescent="0.2">
      <c r="E4804" s="18"/>
      <c r="F4804" s="18"/>
    </row>
    <row r="4805" spans="5:6" ht="15" customHeight="1" x14ac:dyDescent="0.2">
      <c r="E4805" s="18"/>
      <c r="F4805" s="18"/>
    </row>
    <row r="4806" spans="5:6" ht="15" customHeight="1" x14ac:dyDescent="0.2">
      <c r="E4806" s="18"/>
      <c r="F4806" s="18"/>
    </row>
    <row r="4807" spans="5:6" ht="15" customHeight="1" x14ac:dyDescent="0.2">
      <c r="E4807" s="18"/>
      <c r="F4807" s="18"/>
    </row>
    <row r="4808" spans="5:6" ht="15" customHeight="1" x14ac:dyDescent="0.2">
      <c r="E4808" s="18"/>
      <c r="F4808" s="18"/>
    </row>
    <row r="4809" spans="5:6" ht="15" customHeight="1" x14ac:dyDescent="0.2">
      <c r="E4809" s="18"/>
      <c r="F4809" s="18"/>
    </row>
    <row r="4810" spans="5:6" ht="15" customHeight="1" x14ac:dyDescent="0.2">
      <c r="E4810" s="18"/>
      <c r="F4810" s="18"/>
    </row>
    <row r="4811" spans="5:6" ht="15" customHeight="1" x14ac:dyDescent="0.2">
      <c r="E4811" s="18"/>
      <c r="F4811" s="18"/>
    </row>
    <row r="4812" spans="5:6" ht="15" customHeight="1" x14ac:dyDescent="0.2">
      <c r="E4812" s="18"/>
      <c r="F4812" s="18"/>
    </row>
    <row r="4813" spans="5:6" ht="15" customHeight="1" x14ac:dyDescent="0.2">
      <c r="E4813" s="18"/>
      <c r="F4813" s="18"/>
    </row>
    <row r="4814" spans="5:6" ht="15" customHeight="1" x14ac:dyDescent="0.2">
      <c r="E4814" s="18"/>
      <c r="F4814" s="18"/>
    </row>
    <row r="4815" spans="5:6" ht="15" customHeight="1" x14ac:dyDescent="0.2">
      <c r="E4815" s="18"/>
      <c r="F4815" s="18"/>
    </row>
    <row r="4816" spans="5:6" ht="15" customHeight="1" x14ac:dyDescent="0.2">
      <c r="E4816" s="18"/>
      <c r="F4816" s="18"/>
    </row>
    <row r="4817" spans="5:6" ht="15" customHeight="1" x14ac:dyDescent="0.2">
      <c r="E4817" s="18"/>
      <c r="F4817" s="18"/>
    </row>
    <row r="4818" spans="5:6" ht="15" customHeight="1" x14ac:dyDescent="0.2">
      <c r="E4818" s="18"/>
      <c r="F4818" s="18"/>
    </row>
    <row r="4819" spans="5:6" ht="15" customHeight="1" x14ac:dyDescent="0.2">
      <c r="E4819" s="18"/>
      <c r="F4819" s="18"/>
    </row>
    <row r="4820" spans="5:6" ht="15" customHeight="1" x14ac:dyDescent="0.2">
      <c r="E4820" s="18"/>
      <c r="F4820" s="18"/>
    </row>
    <row r="4821" spans="5:6" ht="15" customHeight="1" x14ac:dyDescent="0.2">
      <c r="E4821" s="18"/>
      <c r="F4821" s="18"/>
    </row>
    <row r="4822" spans="5:6" ht="15" customHeight="1" x14ac:dyDescent="0.2">
      <c r="E4822" s="18"/>
      <c r="F4822" s="18"/>
    </row>
    <row r="4823" spans="5:6" ht="15" customHeight="1" x14ac:dyDescent="0.2">
      <c r="E4823" s="18"/>
      <c r="F4823" s="18"/>
    </row>
    <row r="4824" spans="5:6" ht="15" customHeight="1" x14ac:dyDescent="0.2">
      <c r="E4824" s="18"/>
      <c r="F4824" s="18"/>
    </row>
    <row r="4825" spans="5:6" ht="15" customHeight="1" x14ac:dyDescent="0.2">
      <c r="E4825" s="18"/>
      <c r="F4825" s="18"/>
    </row>
    <row r="4826" spans="5:6" ht="15" customHeight="1" x14ac:dyDescent="0.2">
      <c r="E4826" s="18"/>
      <c r="F4826" s="18"/>
    </row>
    <row r="4827" spans="5:6" ht="15" customHeight="1" x14ac:dyDescent="0.2">
      <c r="E4827" s="18"/>
      <c r="F4827" s="18"/>
    </row>
    <row r="4828" spans="5:6" ht="15" customHeight="1" x14ac:dyDescent="0.2">
      <c r="E4828" s="18"/>
      <c r="F4828" s="18"/>
    </row>
    <row r="4829" spans="5:6" ht="15" customHeight="1" x14ac:dyDescent="0.2">
      <c r="E4829" s="18"/>
      <c r="F4829" s="18"/>
    </row>
    <row r="4830" spans="5:6" ht="15" customHeight="1" x14ac:dyDescent="0.2">
      <c r="E4830" s="18"/>
      <c r="F4830" s="18"/>
    </row>
    <row r="4831" spans="5:6" ht="15" customHeight="1" x14ac:dyDescent="0.2">
      <c r="E4831" s="18"/>
      <c r="F4831" s="18"/>
    </row>
    <row r="4832" spans="5:6" ht="15" customHeight="1" x14ac:dyDescent="0.2">
      <c r="E4832" s="18"/>
      <c r="F4832" s="18"/>
    </row>
    <row r="4833" spans="5:6" ht="15" customHeight="1" x14ac:dyDescent="0.2">
      <c r="E4833" s="18"/>
      <c r="F4833" s="18"/>
    </row>
    <row r="4834" spans="5:6" ht="15" customHeight="1" x14ac:dyDescent="0.2">
      <c r="E4834" s="18"/>
      <c r="F4834" s="18"/>
    </row>
    <row r="4835" spans="5:6" ht="15" customHeight="1" x14ac:dyDescent="0.2">
      <c r="E4835" s="18"/>
      <c r="F4835" s="18"/>
    </row>
    <row r="4836" spans="5:6" ht="15" customHeight="1" x14ac:dyDescent="0.2">
      <c r="E4836" s="18"/>
      <c r="F4836" s="18"/>
    </row>
    <row r="4837" spans="5:6" ht="15" customHeight="1" x14ac:dyDescent="0.2">
      <c r="E4837" s="18"/>
      <c r="F4837" s="18"/>
    </row>
    <row r="4838" spans="5:6" ht="15" customHeight="1" x14ac:dyDescent="0.2">
      <c r="E4838" s="18"/>
      <c r="F4838" s="18"/>
    </row>
    <row r="4839" spans="5:6" ht="15" customHeight="1" x14ac:dyDescent="0.2">
      <c r="E4839" s="18"/>
      <c r="F4839" s="18"/>
    </row>
    <row r="4840" spans="5:6" ht="15" customHeight="1" x14ac:dyDescent="0.2">
      <c r="E4840" s="18"/>
      <c r="F4840" s="18"/>
    </row>
    <row r="4841" spans="5:6" ht="15" customHeight="1" x14ac:dyDescent="0.2">
      <c r="E4841" s="18"/>
      <c r="F4841" s="18"/>
    </row>
    <row r="4842" spans="5:6" ht="15" customHeight="1" x14ac:dyDescent="0.2">
      <c r="E4842" s="18"/>
      <c r="F4842" s="18"/>
    </row>
    <row r="4843" spans="5:6" ht="15" customHeight="1" x14ac:dyDescent="0.2">
      <c r="E4843" s="18"/>
      <c r="F4843" s="18"/>
    </row>
    <row r="4844" spans="5:6" ht="15" customHeight="1" x14ac:dyDescent="0.2">
      <c r="E4844" s="18"/>
      <c r="F4844" s="18"/>
    </row>
    <row r="4845" spans="5:6" ht="15" customHeight="1" x14ac:dyDescent="0.2">
      <c r="E4845" s="18"/>
      <c r="F4845" s="18"/>
    </row>
    <row r="4846" spans="5:6" ht="15" customHeight="1" x14ac:dyDescent="0.2">
      <c r="E4846" s="18"/>
      <c r="F4846" s="18"/>
    </row>
    <row r="4847" spans="5:6" ht="15" customHeight="1" x14ac:dyDescent="0.2">
      <c r="E4847" s="18"/>
      <c r="F4847" s="18"/>
    </row>
    <row r="4848" spans="5:6" ht="15" customHeight="1" x14ac:dyDescent="0.2">
      <c r="E4848" s="18"/>
      <c r="F4848" s="18"/>
    </row>
    <row r="4849" spans="5:6" ht="15" customHeight="1" x14ac:dyDescent="0.2">
      <c r="E4849" s="18"/>
      <c r="F4849" s="18"/>
    </row>
    <row r="4850" spans="5:6" ht="15" customHeight="1" x14ac:dyDescent="0.2">
      <c r="E4850" s="18"/>
      <c r="F4850" s="18"/>
    </row>
    <row r="4851" spans="5:6" ht="15" customHeight="1" x14ac:dyDescent="0.2">
      <c r="E4851" s="18"/>
      <c r="F4851" s="18"/>
    </row>
    <row r="4852" spans="5:6" ht="15" customHeight="1" x14ac:dyDescent="0.2">
      <c r="E4852" s="18"/>
      <c r="F4852" s="18"/>
    </row>
    <row r="4853" spans="5:6" ht="15" customHeight="1" x14ac:dyDescent="0.2">
      <c r="E4853" s="18"/>
      <c r="F4853" s="18"/>
    </row>
    <row r="4854" spans="5:6" ht="15" customHeight="1" x14ac:dyDescent="0.2">
      <c r="E4854" s="18"/>
      <c r="F4854" s="18"/>
    </row>
    <row r="4855" spans="5:6" ht="15" customHeight="1" x14ac:dyDescent="0.2">
      <c r="E4855" s="18"/>
      <c r="F4855" s="18"/>
    </row>
    <row r="4856" spans="5:6" ht="15" customHeight="1" x14ac:dyDescent="0.2">
      <c r="E4856" s="18"/>
      <c r="F4856" s="18"/>
    </row>
    <row r="4857" spans="5:6" ht="15" customHeight="1" x14ac:dyDescent="0.2">
      <c r="E4857" s="18"/>
      <c r="F4857" s="18"/>
    </row>
    <row r="4858" spans="5:6" ht="15" customHeight="1" x14ac:dyDescent="0.2">
      <c r="E4858" s="18"/>
      <c r="F4858" s="18"/>
    </row>
    <row r="4859" spans="5:6" ht="15" customHeight="1" x14ac:dyDescent="0.2">
      <c r="E4859" s="18"/>
      <c r="F4859" s="18"/>
    </row>
    <row r="4860" spans="5:6" ht="15" customHeight="1" x14ac:dyDescent="0.2">
      <c r="E4860" s="18"/>
      <c r="F4860" s="18"/>
    </row>
    <row r="4861" spans="5:6" ht="15" customHeight="1" x14ac:dyDescent="0.2">
      <c r="E4861" s="18"/>
      <c r="F4861" s="18"/>
    </row>
    <row r="4862" spans="5:6" ht="15" customHeight="1" x14ac:dyDescent="0.2">
      <c r="E4862" s="18"/>
      <c r="F4862" s="18"/>
    </row>
    <row r="4863" spans="5:6" ht="15" customHeight="1" x14ac:dyDescent="0.2">
      <c r="E4863" s="18"/>
      <c r="F4863" s="18"/>
    </row>
    <row r="4864" spans="5:6" ht="15" customHeight="1" x14ac:dyDescent="0.2">
      <c r="E4864" s="18"/>
      <c r="F4864" s="18"/>
    </row>
    <row r="4865" spans="5:6" ht="15" customHeight="1" x14ac:dyDescent="0.2">
      <c r="E4865" s="18"/>
      <c r="F4865" s="18"/>
    </row>
    <row r="4866" spans="5:6" ht="15" customHeight="1" x14ac:dyDescent="0.2">
      <c r="E4866" s="18"/>
      <c r="F4866" s="18"/>
    </row>
    <row r="4867" spans="5:6" ht="15" customHeight="1" x14ac:dyDescent="0.2">
      <c r="E4867" s="18"/>
      <c r="F4867" s="18"/>
    </row>
    <row r="4868" spans="5:6" ht="15" customHeight="1" x14ac:dyDescent="0.2">
      <c r="E4868" s="18"/>
      <c r="F4868" s="18"/>
    </row>
    <row r="4869" spans="5:6" ht="15" customHeight="1" x14ac:dyDescent="0.2">
      <c r="E4869" s="18"/>
      <c r="F4869" s="18"/>
    </row>
    <row r="4870" spans="5:6" ht="15" customHeight="1" x14ac:dyDescent="0.2">
      <c r="E4870" s="18"/>
      <c r="F4870" s="18"/>
    </row>
    <row r="4871" spans="5:6" ht="15" customHeight="1" x14ac:dyDescent="0.2">
      <c r="E4871" s="18"/>
      <c r="F4871" s="18"/>
    </row>
    <row r="4872" spans="5:6" ht="15" customHeight="1" x14ac:dyDescent="0.2">
      <c r="E4872" s="18"/>
      <c r="F4872" s="18"/>
    </row>
    <row r="4873" spans="5:6" ht="15" customHeight="1" x14ac:dyDescent="0.2">
      <c r="E4873" s="18"/>
      <c r="F4873" s="18"/>
    </row>
    <row r="4874" spans="5:6" ht="15" customHeight="1" x14ac:dyDescent="0.2">
      <c r="E4874" s="18"/>
      <c r="F4874" s="18"/>
    </row>
    <row r="4875" spans="5:6" ht="15" customHeight="1" x14ac:dyDescent="0.2">
      <c r="E4875" s="18"/>
      <c r="F4875" s="18"/>
    </row>
    <row r="4876" spans="5:6" ht="15" customHeight="1" x14ac:dyDescent="0.2">
      <c r="E4876" s="18"/>
      <c r="F4876" s="18"/>
    </row>
    <row r="4877" spans="5:6" ht="15" customHeight="1" x14ac:dyDescent="0.2">
      <c r="E4877" s="18"/>
      <c r="F4877" s="18"/>
    </row>
    <row r="4878" spans="5:6" ht="15" customHeight="1" x14ac:dyDescent="0.2">
      <c r="E4878" s="18"/>
      <c r="F4878" s="18"/>
    </row>
    <row r="4879" spans="5:6" ht="15" customHeight="1" x14ac:dyDescent="0.2">
      <c r="E4879" s="18"/>
      <c r="F4879" s="18"/>
    </row>
    <row r="4880" spans="5:6" ht="15" customHeight="1" x14ac:dyDescent="0.2">
      <c r="E4880" s="18"/>
      <c r="F4880" s="18"/>
    </row>
    <row r="4881" spans="5:6" ht="15" customHeight="1" x14ac:dyDescent="0.2">
      <c r="E4881" s="18"/>
      <c r="F4881" s="18"/>
    </row>
    <row r="4882" spans="5:6" ht="15" customHeight="1" x14ac:dyDescent="0.2">
      <c r="E4882" s="18"/>
      <c r="F4882" s="18"/>
    </row>
    <row r="4883" spans="5:6" ht="15" customHeight="1" x14ac:dyDescent="0.2">
      <c r="E4883" s="18"/>
      <c r="F4883" s="18"/>
    </row>
    <row r="4884" spans="5:6" ht="15" customHeight="1" x14ac:dyDescent="0.2">
      <c r="E4884" s="18"/>
      <c r="F4884" s="18"/>
    </row>
    <row r="4885" spans="5:6" ht="15" customHeight="1" x14ac:dyDescent="0.2">
      <c r="E4885" s="18"/>
      <c r="F4885" s="18"/>
    </row>
    <row r="4886" spans="5:6" ht="15" customHeight="1" x14ac:dyDescent="0.2">
      <c r="E4886" s="18"/>
      <c r="F4886" s="18"/>
    </row>
    <row r="4887" spans="5:6" ht="15" customHeight="1" x14ac:dyDescent="0.2">
      <c r="E4887" s="18"/>
      <c r="F4887" s="18"/>
    </row>
    <row r="4888" spans="5:6" ht="15" customHeight="1" x14ac:dyDescent="0.2">
      <c r="E4888" s="18"/>
      <c r="F4888" s="18"/>
    </row>
    <row r="4889" spans="5:6" ht="15" customHeight="1" x14ac:dyDescent="0.2">
      <c r="E4889" s="18"/>
      <c r="F4889" s="18"/>
    </row>
    <row r="4890" spans="5:6" ht="15" customHeight="1" x14ac:dyDescent="0.2">
      <c r="E4890" s="18"/>
      <c r="F4890" s="18"/>
    </row>
    <row r="4891" spans="5:6" ht="15" customHeight="1" x14ac:dyDescent="0.2">
      <c r="E4891" s="18"/>
      <c r="F4891" s="18"/>
    </row>
    <row r="4892" spans="5:6" ht="15" customHeight="1" x14ac:dyDescent="0.2">
      <c r="E4892" s="18"/>
      <c r="F4892" s="18"/>
    </row>
    <row r="4893" spans="5:6" ht="15" customHeight="1" x14ac:dyDescent="0.2">
      <c r="E4893" s="18"/>
      <c r="F4893" s="18"/>
    </row>
    <row r="4894" spans="5:6" ht="15" customHeight="1" x14ac:dyDescent="0.2">
      <c r="E4894" s="18"/>
      <c r="F4894" s="18"/>
    </row>
    <row r="4895" spans="5:6" ht="15" customHeight="1" x14ac:dyDescent="0.2">
      <c r="E4895" s="18"/>
      <c r="F4895" s="18"/>
    </row>
    <row r="4896" spans="5:6" ht="15" customHeight="1" x14ac:dyDescent="0.2">
      <c r="E4896" s="18"/>
      <c r="F4896" s="18"/>
    </row>
    <row r="4897" spans="5:6" ht="15" customHeight="1" x14ac:dyDescent="0.2">
      <c r="E4897" s="18"/>
      <c r="F4897" s="18"/>
    </row>
    <row r="4898" spans="5:6" ht="15" customHeight="1" x14ac:dyDescent="0.2">
      <c r="E4898" s="18"/>
      <c r="F4898" s="18"/>
    </row>
    <row r="4899" spans="5:6" ht="15" customHeight="1" x14ac:dyDescent="0.2">
      <c r="E4899" s="18"/>
      <c r="F4899" s="18"/>
    </row>
    <row r="4900" spans="5:6" ht="15" customHeight="1" x14ac:dyDescent="0.2">
      <c r="E4900" s="18"/>
      <c r="F4900" s="18"/>
    </row>
    <row r="4901" spans="5:6" ht="15" customHeight="1" x14ac:dyDescent="0.2">
      <c r="E4901" s="18"/>
      <c r="F4901" s="18"/>
    </row>
    <row r="4902" spans="5:6" ht="15" customHeight="1" x14ac:dyDescent="0.2">
      <c r="E4902" s="18"/>
      <c r="F4902" s="18"/>
    </row>
    <row r="4903" spans="5:6" ht="15" customHeight="1" x14ac:dyDescent="0.2">
      <c r="E4903" s="18"/>
      <c r="F4903" s="18"/>
    </row>
    <row r="4904" spans="5:6" ht="15" customHeight="1" x14ac:dyDescent="0.2">
      <c r="E4904" s="18"/>
      <c r="F4904" s="18"/>
    </row>
    <row r="4905" spans="5:6" ht="15" customHeight="1" x14ac:dyDescent="0.2">
      <c r="E4905" s="18"/>
      <c r="F4905" s="18"/>
    </row>
    <row r="4906" spans="5:6" ht="15" customHeight="1" x14ac:dyDescent="0.2">
      <c r="E4906" s="18"/>
      <c r="F4906" s="18"/>
    </row>
    <row r="4907" spans="5:6" ht="15" customHeight="1" x14ac:dyDescent="0.2">
      <c r="E4907" s="18"/>
      <c r="F4907" s="18"/>
    </row>
    <row r="4908" spans="5:6" ht="15" customHeight="1" x14ac:dyDescent="0.2">
      <c r="E4908" s="18"/>
      <c r="F4908" s="18"/>
    </row>
    <row r="4909" spans="5:6" ht="15" customHeight="1" x14ac:dyDescent="0.2">
      <c r="E4909" s="18"/>
      <c r="F4909" s="18"/>
    </row>
    <row r="4910" spans="5:6" ht="15" customHeight="1" x14ac:dyDescent="0.2">
      <c r="E4910" s="18"/>
      <c r="F4910" s="18"/>
    </row>
    <row r="4911" spans="5:6" ht="15" customHeight="1" x14ac:dyDescent="0.2">
      <c r="E4911" s="18"/>
      <c r="F4911" s="18"/>
    </row>
    <row r="4912" spans="5:6" ht="15" customHeight="1" x14ac:dyDescent="0.2">
      <c r="E4912" s="18"/>
      <c r="F4912" s="18"/>
    </row>
    <row r="4913" spans="5:6" ht="15" customHeight="1" x14ac:dyDescent="0.2">
      <c r="E4913" s="18"/>
      <c r="F4913" s="18"/>
    </row>
    <row r="4914" spans="5:6" ht="15" customHeight="1" x14ac:dyDescent="0.2">
      <c r="E4914" s="18"/>
      <c r="F4914" s="18"/>
    </row>
    <row r="4915" spans="5:6" ht="15" customHeight="1" x14ac:dyDescent="0.2">
      <c r="E4915" s="18"/>
      <c r="F4915" s="18"/>
    </row>
    <row r="4916" spans="5:6" ht="15" customHeight="1" x14ac:dyDescent="0.2">
      <c r="E4916" s="18"/>
      <c r="F4916" s="18"/>
    </row>
    <row r="4917" spans="5:6" ht="15" customHeight="1" x14ac:dyDescent="0.2">
      <c r="E4917" s="18"/>
      <c r="F4917" s="18"/>
    </row>
    <row r="4918" spans="5:6" ht="15" customHeight="1" x14ac:dyDescent="0.2">
      <c r="E4918" s="18"/>
      <c r="F4918" s="18"/>
    </row>
    <row r="4919" spans="5:6" ht="15" customHeight="1" x14ac:dyDescent="0.2">
      <c r="E4919" s="18"/>
      <c r="F4919" s="18"/>
    </row>
    <row r="4920" spans="5:6" ht="15" customHeight="1" x14ac:dyDescent="0.2">
      <c r="E4920" s="18"/>
      <c r="F4920" s="18"/>
    </row>
    <row r="4921" spans="5:6" ht="15" customHeight="1" x14ac:dyDescent="0.2">
      <c r="E4921" s="18"/>
      <c r="F4921" s="18"/>
    </row>
    <row r="4922" spans="5:6" ht="15" customHeight="1" x14ac:dyDescent="0.2">
      <c r="E4922" s="18"/>
      <c r="F4922" s="18"/>
    </row>
    <row r="4923" spans="5:6" ht="15" customHeight="1" x14ac:dyDescent="0.2">
      <c r="E4923" s="18"/>
      <c r="F4923" s="18"/>
    </row>
    <row r="4924" spans="5:6" ht="15" customHeight="1" x14ac:dyDescent="0.2">
      <c r="E4924" s="18"/>
      <c r="F4924" s="18"/>
    </row>
    <row r="4925" spans="5:6" ht="15" customHeight="1" x14ac:dyDescent="0.2">
      <c r="E4925" s="18"/>
      <c r="F4925" s="18"/>
    </row>
    <row r="4926" spans="5:6" ht="15" customHeight="1" x14ac:dyDescent="0.2">
      <c r="E4926" s="18"/>
      <c r="F4926" s="18"/>
    </row>
    <row r="4927" spans="5:6" ht="15" customHeight="1" x14ac:dyDescent="0.2">
      <c r="E4927" s="18"/>
      <c r="F4927" s="18"/>
    </row>
    <row r="4928" spans="5:6" ht="15" customHeight="1" x14ac:dyDescent="0.2">
      <c r="E4928" s="18"/>
      <c r="F4928" s="18"/>
    </row>
    <row r="4929" spans="5:6" ht="15" customHeight="1" x14ac:dyDescent="0.2">
      <c r="E4929" s="18"/>
      <c r="F4929" s="18"/>
    </row>
    <row r="4930" spans="5:6" ht="15" customHeight="1" x14ac:dyDescent="0.2">
      <c r="E4930" s="18"/>
      <c r="F4930" s="18"/>
    </row>
    <row r="4931" spans="5:6" ht="15" customHeight="1" x14ac:dyDescent="0.2">
      <c r="E4931" s="18"/>
      <c r="F4931" s="18"/>
    </row>
    <row r="4932" spans="5:6" ht="15" customHeight="1" x14ac:dyDescent="0.2">
      <c r="E4932" s="18"/>
      <c r="F4932" s="18"/>
    </row>
    <row r="4933" spans="5:6" ht="15" customHeight="1" x14ac:dyDescent="0.2">
      <c r="E4933" s="18"/>
      <c r="F4933" s="18"/>
    </row>
    <row r="4934" spans="5:6" ht="15" customHeight="1" x14ac:dyDescent="0.2">
      <c r="E4934" s="18"/>
      <c r="F4934" s="18"/>
    </row>
    <row r="4935" spans="5:6" ht="15" customHeight="1" x14ac:dyDescent="0.2">
      <c r="E4935" s="18"/>
      <c r="F4935" s="18"/>
    </row>
    <row r="4936" spans="5:6" ht="15" customHeight="1" x14ac:dyDescent="0.2">
      <c r="E4936" s="18"/>
      <c r="F4936" s="18"/>
    </row>
    <row r="4937" spans="5:6" ht="15" customHeight="1" x14ac:dyDescent="0.2">
      <c r="E4937" s="18"/>
      <c r="F4937" s="18"/>
    </row>
    <row r="4938" spans="5:6" ht="15" customHeight="1" x14ac:dyDescent="0.2">
      <c r="E4938" s="18"/>
      <c r="F4938" s="18"/>
    </row>
    <row r="4939" spans="5:6" ht="15" customHeight="1" x14ac:dyDescent="0.2">
      <c r="E4939" s="18"/>
      <c r="F4939" s="18"/>
    </row>
    <row r="4940" spans="5:6" ht="15" customHeight="1" x14ac:dyDescent="0.2">
      <c r="E4940" s="18"/>
      <c r="F4940" s="18"/>
    </row>
    <row r="4941" spans="5:6" ht="15" customHeight="1" x14ac:dyDescent="0.2">
      <c r="E4941" s="18"/>
      <c r="F4941" s="18"/>
    </row>
    <row r="4942" spans="5:6" ht="15" customHeight="1" x14ac:dyDescent="0.2">
      <c r="E4942" s="18"/>
      <c r="F4942" s="18"/>
    </row>
    <row r="4943" spans="5:6" ht="15" customHeight="1" x14ac:dyDescent="0.2">
      <c r="E4943" s="18"/>
      <c r="F4943" s="18"/>
    </row>
    <row r="4944" spans="5:6" ht="15" customHeight="1" x14ac:dyDescent="0.2">
      <c r="E4944" s="18"/>
      <c r="F4944" s="18"/>
    </row>
    <row r="4945" spans="5:6" ht="15" customHeight="1" x14ac:dyDescent="0.2">
      <c r="E4945" s="18"/>
      <c r="F4945" s="18"/>
    </row>
    <row r="4946" spans="5:6" ht="15" customHeight="1" x14ac:dyDescent="0.2">
      <c r="E4946" s="18"/>
      <c r="F4946" s="18"/>
    </row>
    <row r="4947" spans="5:6" ht="15" customHeight="1" x14ac:dyDescent="0.2">
      <c r="E4947" s="18"/>
      <c r="F4947" s="18"/>
    </row>
    <row r="4948" spans="5:6" ht="15" customHeight="1" x14ac:dyDescent="0.2">
      <c r="E4948" s="18"/>
      <c r="F4948" s="18"/>
    </row>
    <row r="4949" spans="5:6" ht="15" customHeight="1" x14ac:dyDescent="0.2">
      <c r="E4949" s="18"/>
      <c r="F4949" s="18"/>
    </row>
    <row r="4950" spans="5:6" ht="15" customHeight="1" x14ac:dyDescent="0.2">
      <c r="E4950" s="18"/>
      <c r="F4950" s="18"/>
    </row>
    <row r="4951" spans="5:6" ht="15" customHeight="1" x14ac:dyDescent="0.2">
      <c r="E4951" s="18"/>
      <c r="F4951" s="18"/>
    </row>
    <row r="4952" spans="5:6" ht="15" customHeight="1" x14ac:dyDescent="0.2">
      <c r="E4952" s="18"/>
      <c r="F4952" s="18"/>
    </row>
    <row r="4953" spans="5:6" ht="15" customHeight="1" x14ac:dyDescent="0.2">
      <c r="E4953" s="18"/>
      <c r="F4953" s="18"/>
    </row>
    <row r="4954" spans="5:6" ht="15" customHeight="1" x14ac:dyDescent="0.2">
      <c r="E4954" s="18"/>
      <c r="F4954" s="18"/>
    </row>
    <row r="4955" spans="5:6" ht="15" customHeight="1" x14ac:dyDescent="0.2">
      <c r="E4955" s="18"/>
      <c r="F4955" s="18"/>
    </row>
    <row r="4956" spans="5:6" ht="15" customHeight="1" x14ac:dyDescent="0.2">
      <c r="E4956" s="18"/>
      <c r="F4956" s="18"/>
    </row>
    <row r="4957" spans="5:6" ht="15" customHeight="1" x14ac:dyDescent="0.2">
      <c r="E4957" s="18"/>
      <c r="F4957" s="18"/>
    </row>
    <row r="4958" spans="5:6" ht="15" customHeight="1" x14ac:dyDescent="0.2">
      <c r="E4958" s="18"/>
      <c r="F4958" s="18"/>
    </row>
    <row r="4959" spans="5:6" ht="15" customHeight="1" x14ac:dyDescent="0.2">
      <c r="E4959" s="18"/>
      <c r="F4959" s="18"/>
    </row>
    <row r="4960" spans="5:6" ht="15" customHeight="1" x14ac:dyDescent="0.2">
      <c r="E4960" s="18"/>
      <c r="F4960" s="18"/>
    </row>
    <row r="4961" spans="5:6" ht="15" customHeight="1" x14ac:dyDescent="0.2">
      <c r="E4961" s="18"/>
      <c r="F4961" s="18"/>
    </row>
    <row r="4962" spans="5:6" ht="15" customHeight="1" x14ac:dyDescent="0.2">
      <c r="E4962" s="18"/>
      <c r="F4962" s="18"/>
    </row>
    <row r="4963" spans="5:6" ht="15" customHeight="1" x14ac:dyDescent="0.2">
      <c r="E4963" s="18"/>
      <c r="F4963" s="18"/>
    </row>
    <row r="4964" spans="5:6" ht="15" customHeight="1" x14ac:dyDescent="0.2">
      <c r="E4964" s="18"/>
      <c r="F4964" s="18"/>
    </row>
    <row r="4965" spans="5:6" ht="15" customHeight="1" x14ac:dyDescent="0.2">
      <c r="E4965" s="18"/>
      <c r="F4965" s="18"/>
    </row>
    <row r="4966" spans="5:6" ht="15" customHeight="1" x14ac:dyDescent="0.2">
      <c r="E4966" s="18"/>
      <c r="F4966" s="18"/>
    </row>
    <row r="4967" spans="5:6" ht="15" customHeight="1" x14ac:dyDescent="0.2">
      <c r="E4967" s="18"/>
      <c r="F4967" s="18"/>
    </row>
    <row r="4968" spans="5:6" ht="15" customHeight="1" x14ac:dyDescent="0.2">
      <c r="E4968" s="18"/>
      <c r="F4968" s="18"/>
    </row>
    <row r="4969" spans="5:6" ht="15" customHeight="1" x14ac:dyDescent="0.2">
      <c r="E4969" s="18"/>
      <c r="F4969" s="18"/>
    </row>
    <row r="4970" spans="5:6" ht="15" customHeight="1" x14ac:dyDescent="0.2">
      <c r="E4970" s="18"/>
      <c r="F4970" s="18"/>
    </row>
    <row r="4971" spans="5:6" ht="15" customHeight="1" x14ac:dyDescent="0.2">
      <c r="E4971" s="18"/>
      <c r="F4971" s="18"/>
    </row>
    <row r="4972" spans="5:6" ht="15" customHeight="1" x14ac:dyDescent="0.2">
      <c r="E4972" s="18"/>
      <c r="F4972" s="18"/>
    </row>
    <row r="4973" spans="5:6" ht="15" customHeight="1" x14ac:dyDescent="0.2">
      <c r="E4973" s="18"/>
      <c r="F4973" s="18"/>
    </row>
    <row r="4974" spans="5:6" ht="15" customHeight="1" x14ac:dyDescent="0.2">
      <c r="E4974" s="18"/>
      <c r="F4974" s="18"/>
    </row>
    <row r="4975" spans="5:6" ht="15" customHeight="1" x14ac:dyDescent="0.2">
      <c r="E4975" s="18"/>
      <c r="F4975" s="18"/>
    </row>
    <row r="4976" spans="5:6" ht="15" customHeight="1" x14ac:dyDescent="0.2">
      <c r="E4976" s="18"/>
      <c r="F4976" s="18"/>
    </row>
    <row r="4977" spans="5:6" ht="15" customHeight="1" x14ac:dyDescent="0.2">
      <c r="E4977" s="18"/>
      <c r="F4977" s="18"/>
    </row>
    <row r="4978" spans="5:6" ht="15" customHeight="1" x14ac:dyDescent="0.2">
      <c r="E4978" s="18"/>
      <c r="F4978" s="18"/>
    </row>
    <row r="4979" spans="5:6" ht="15" customHeight="1" x14ac:dyDescent="0.2">
      <c r="E4979" s="18"/>
      <c r="F4979" s="18"/>
    </row>
    <row r="4980" spans="5:6" ht="15" customHeight="1" x14ac:dyDescent="0.2">
      <c r="E4980" s="18"/>
      <c r="F4980" s="18"/>
    </row>
    <row r="4981" spans="5:6" ht="15" customHeight="1" x14ac:dyDescent="0.2">
      <c r="E4981" s="18"/>
      <c r="F4981" s="18"/>
    </row>
    <row r="4982" spans="5:6" ht="15" customHeight="1" x14ac:dyDescent="0.2">
      <c r="E4982" s="18"/>
      <c r="F4982" s="18"/>
    </row>
    <row r="4983" spans="5:6" ht="15" customHeight="1" x14ac:dyDescent="0.2">
      <c r="E4983" s="18"/>
      <c r="F4983" s="18"/>
    </row>
    <row r="4984" spans="5:6" ht="15" customHeight="1" x14ac:dyDescent="0.2">
      <c r="E4984" s="18"/>
      <c r="F4984" s="18"/>
    </row>
    <row r="4985" spans="5:6" ht="15" customHeight="1" x14ac:dyDescent="0.2">
      <c r="E4985" s="18"/>
      <c r="F4985" s="18"/>
    </row>
    <row r="4986" spans="5:6" ht="15" customHeight="1" x14ac:dyDescent="0.2">
      <c r="E4986" s="18"/>
      <c r="F4986" s="18"/>
    </row>
    <row r="4987" spans="5:6" ht="15" customHeight="1" x14ac:dyDescent="0.2">
      <c r="E4987" s="18"/>
      <c r="F4987" s="18"/>
    </row>
    <row r="4988" spans="5:6" ht="15" customHeight="1" x14ac:dyDescent="0.2">
      <c r="E4988" s="18"/>
      <c r="F4988" s="18"/>
    </row>
    <row r="4989" spans="5:6" ht="15" customHeight="1" x14ac:dyDescent="0.2">
      <c r="E4989" s="18"/>
      <c r="F4989" s="18"/>
    </row>
    <row r="4990" spans="5:6" ht="15" customHeight="1" x14ac:dyDescent="0.2">
      <c r="E4990" s="18"/>
      <c r="F4990" s="18"/>
    </row>
    <row r="4991" spans="5:6" ht="15" customHeight="1" x14ac:dyDescent="0.2">
      <c r="E4991" s="18"/>
      <c r="F4991" s="18"/>
    </row>
    <row r="4992" spans="5:6" ht="15" customHeight="1" x14ac:dyDescent="0.2">
      <c r="E4992" s="18"/>
      <c r="F4992" s="18"/>
    </row>
    <row r="4993" spans="5:6" ht="15" customHeight="1" x14ac:dyDescent="0.2">
      <c r="E4993" s="18"/>
      <c r="F4993" s="18"/>
    </row>
    <row r="4994" spans="5:6" ht="15" customHeight="1" x14ac:dyDescent="0.2">
      <c r="E4994" s="18"/>
      <c r="F4994" s="18"/>
    </row>
    <row r="4995" spans="5:6" ht="15" customHeight="1" x14ac:dyDescent="0.2">
      <c r="E4995" s="18"/>
      <c r="F4995" s="18"/>
    </row>
    <row r="4996" spans="5:6" ht="15" customHeight="1" x14ac:dyDescent="0.2">
      <c r="E4996" s="18"/>
      <c r="F4996" s="18"/>
    </row>
    <row r="4997" spans="5:6" ht="15" customHeight="1" x14ac:dyDescent="0.2">
      <c r="E4997" s="18"/>
      <c r="F4997" s="18"/>
    </row>
    <row r="4998" spans="5:6" ht="15" customHeight="1" x14ac:dyDescent="0.2">
      <c r="E4998" s="18"/>
      <c r="F4998" s="18"/>
    </row>
    <row r="4999" spans="5:6" ht="15" customHeight="1" x14ac:dyDescent="0.2">
      <c r="E4999" s="18"/>
      <c r="F4999" s="18"/>
    </row>
    <row r="5000" spans="5:6" ht="15" customHeight="1" x14ac:dyDescent="0.2">
      <c r="E5000" s="18"/>
      <c r="F5000" s="18"/>
    </row>
    <row r="5001" spans="5:6" ht="15" customHeight="1" x14ac:dyDescent="0.2">
      <c r="E5001" s="18"/>
      <c r="F5001" s="18"/>
    </row>
    <row r="5002" spans="5:6" ht="15" customHeight="1" x14ac:dyDescent="0.2">
      <c r="E5002" s="18"/>
      <c r="F5002" s="18"/>
    </row>
    <row r="5003" spans="5:6" ht="15" customHeight="1" x14ac:dyDescent="0.2">
      <c r="E5003" s="18"/>
      <c r="F5003" s="18"/>
    </row>
    <row r="5004" spans="5:6" ht="15" customHeight="1" x14ac:dyDescent="0.2">
      <c r="E5004" s="18"/>
      <c r="F5004" s="18"/>
    </row>
    <row r="5005" spans="5:6" ht="15" customHeight="1" x14ac:dyDescent="0.2">
      <c r="E5005" s="18"/>
      <c r="F5005" s="18"/>
    </row>
    <row r="5006" spans="5:6" ht="15" customHeight="1" x14ac:dyDescent="0.2">
      <c r="E5006" s="18"/>
      <c r="F5006" s="18"/>
    </row>
    <row r="5007" spans="5:6" ht="15" customHeight="1" x14ac:dyDescent="0.2">
      <c r="E5007" s="18"/>
      <c r="F5007" s="18"/>
    </row>
    <row r="5008" spans="5:6" ht="15" customHeight="1" x14ac:dyDescent="0.2">
      <c r="E5008" s="18"/>
      <c r="F5008" s="18"/>
    </row>
    <row r="5009" spans="5:6" ht="15" customHeight="1" x14ac:dyDescent="0.2">
      <c r="E5009" s="18"/>
      <c r="F5009" s="18"/>
    </row>
    <row r="5010" spans="5:6" ht="15" customHeight="1" x14ac:dyDescent="0.2">
      <c r="E5010" s="18"/>
      <c r="F5010" s="18"/>
    </row>
    <row r="5011" spans="5:6" ht="15" customHeight="1" x14ac:dyDescent="0.2">
      <c r="E5011" s="18"/>
      <c r="F5011" s="18"/>
    </row>
    <row r="5012" spans="5:6" ht="15" customHeight="1" x14ac:dyDescent="0.2">
      <c r="E5012" s="18"/>
      <c r="F5012" s="18"/>
    </row>
    <row r="5013" spans="5:6" ht="15" customHeight="1" x14ac:dyDescent="0.2">
      <c r="E5013" s="18"/>
      <c r="F5013" s="18"/>
    </row>
    <row r="5014" spans="5:6" ht="15" customHeight="1" x14ac:dyDescent="0.2">
      <c r="E5014" s="18"/>
      <c r="F5014" s="18"/>
    </row>
    <row r="5015" spans="5:6" ht="15" customHeight="1" x14ac:dyDescent="0.2">
      <c r="E5015" s="18"/>
      <c r="F5015" s="18"/>
    </row>
    <row r="5016" spans="5:6" ht="15" customHeight="1" x14ac:dyDescent="0.2">
      <c r="E5016" s="18"/>
      <c r="F5016" s="18"/>
    </row>
    <row r="5017" spans="5:6" ht="15" customHeight="1" x14ac:dyDescent="0.2">
      <c r="E5017" s="18"/>
      <c r="F5017" s="18"/>
    </row>
    <row r="5018" spans="5:6" ht="15" customHeight="1" x14ac:dyDescent="0.2">
      <c r="E5018" s="18"/>
      <c r="F5018" s="18"/>
    </row>
    <row r="5019" spans="5:6" ht="15" customHeight="1" x14ac:dyDescent="0.2">
      <c r="E5019" s="18"/>
      <c r="F5019" s="18"/>
    </row>
    <row r="5020" spans="5:6" ht="15" customHeight="1" x14ac:dyDescent="0.2">
      <c r="E5020" s="18"/>
      <c r="F5020" s="18"/>
    </row>
    <row r="5021" spans="5:6" ht="15" customHeight="1" x14ac:dyDescent="0.2">
      <c r="E5021" s="18"/>
      <c r="F5021" s="18"/>
    </row>
    <row r="5022" spans="5:6" ht="15" customHeight="1" x14ac:dyDescent="0.2">
      <c r="E5022" s="18"/>
      <c r="F5022" s="18"/>
    </row>
    <row r="5023" spans="5:6" ht="15" customHeight="1" x14ac:dyDescent="0.2">
      <c r="E5023" s="18"/>
      <c r="F5023" s="18"/>
    </row>
    <row r="5024" spans="5:6" ht="15" customHeight="1" x14ac:dyDescent="0.2">
      <c r="E5024" s="18"/>
      <c r="F5024" s="18"/>
    </row>
    <row r="5025" spans="5:6" ht="15" customHeight="1" x14ac:dyDescent="0.2">
      <c r="E5025" s="18"/>
      <c r="F5025" s="18"/>
    </row>
    <row r="5026" spans="5:6" ht="15" customHeight="1" x14ac:dyDescent="0.2">
      <c r="E5026" s="18"/>
      <c r="F5026" s="18"/>
    </row>
    <row r="5027" spans="5:6" ht="15" customHeight="1" x14ac:dyDescent="0.2">
      <c r="E5027" s="18"/>
      <c r="F5027" s="18"/>
    </row>
    <row r="5028" spans="5:6" ht="15" customHeight="1" x14ac:dyDescent="0.2">
      <c r="E5028" s="18"/>
      <c r="F5028" s="18"/>
    </row>
    <row r="5029" spans="5:6" ht="15" customHeight="1" x14ac:dyDescent="0.2">
      <c r="E5029" s="18"/>
      <c r="F5029" s="18"/>
    </row>
    <row r="5030" spans="5:6" ht="15" customHeight="1" x14ac:dyDescent="0.2">
      <c r="E5030" s="18"/>
      <c r="F5030" s="18"/>
    </row>
    <row r="5031" spans="5:6" ht="15" customHeight="1" x14ac:dyDescent="0.2">
      <c r="E5031" s="18"/>
      <c r="F5031" s="18"/>
    </row>
    <row r="5032" spans="5:6" ht="15" customHeight="1" x14ac:dyDescent="0.2">
      <c r="E5032" s="18"/>
      <c r="F5032" s="18"/>
    </row>
    <row r="5033" spans="5:6" ht="15" customHeight="1" x14ac:dyDescent="0.2">
      <c r="E5033" s="18"/>
      <c r="F5033" s="18"/>
    </row>
    <row r="5034" spans="5:6" ht="15" customHeight="1" x14ac:dyDescent="0.2">
      <c r="E5034" s="18"/>
      <c r="F5034" s="18"/>
    </row>
    <row r="5035" spans="5:6" ht="15" customHeight="1" x14ac:dyDescent="0.2">
      <c r="E5035" s="18"/>
      <c r="F5035" s="18"/>
    </row>
    <row r="5036" spans="5:6" ht="15" customHeight="1" x14ac:dyDescent="0.2">
      <c r="E5036" s="18"/>
      <c r="F5036" s="18"/>
    </row>
    <row r="5037" spans="5:6" ht="15" customHeight="1" x14ac:dyDescent="0.2">
      <c r="E5037" s="18"/>
      <c r="F5037" s="18"/>
    </row>
    <row r="5038" spans="5:6" ht="15" customHeight="1" x14ac:dyDescent="0.2">
      <c r="E5038" s="18"/>
      <c r="F5038" s="18"/>
    </row>
    <row r="5039" spans="5:6" ht="15" customHeight="1" x14ac:dyDescent="0.2">
      <c r="E5039" s="18"/>
      <c r="F5039" s="18"/>
    </row>
    <row r="5040" spans="5:6" ht="15" customHeight="1" x14ac:dyDescent="0.2">
      <c r="E5040" s="18"/>
      <c r="F5040" s="18"/>
    </row>
    <row r="5041" spans="5:6" ht="15" customHeight="1" x14ac:dyDescent="0.2">
      <c r="E5041" s="18"/>
      <c r="F5041" s="18"/>
    </row>
    <row r="5042" spans="5:6" ht="15" customHeight="1" x14ac:dyDescent="0.2">
      <c r="E5042" s="18"/>
      <c r="F5042" s="18"/>
    </row>
    <row r="5043" spans="5:6" ht="15" customHeight="1" x14ac:dyDescent="0.2">
      <c r="E5043" s="18"/>
      <c r="F5043" s="18"/>
    </row>
    <row r="5044" spans="5:6" ht="15" customHeight="1" x14ac:dyDescent="0.2">
      <c r="E5044" s="18"/>
      <c r="F5044" s="18"/>
    </row>
    <row r="5045" spans="5:6" ht="15" customHeight="1" x14ac:dyDescent="0.2">
      <c r="E5045" s="18"/>
      <c r="F5045" s="18"/>
    </row>
    <row r="5046" spans="5:6" ht="15" customHeight="1" x14ac:dyDescent="0.2">
      <c r="E5046" s="18"/>
      <c r="F5046" s="18"/>
    </row>
    <row r="5047" spans="5:6" ht="15" customHeight="1" x14ac:dyDescent="0.2">
      <c r="E5047" s="18"/>
      <c r="F5047" s="18"/>
    </row>
    <row r="5048" spans="5:6" ht="15" customHeight="1" x14ac:dyDescent="0.2">
      <c r="E5048" s="18"/>
      <c r="F5048" s="18"/>
    </row>
    <row r="5049" spans="5:6" ht="15" customHeight="1" x14ac:dyDescent="0.2">
      <c r="E5049" s="18"/>
      <c r="F5049" s="18"/>
    </row>
    <row r="5050" spans="5:6" ht="15" customHeight="1" x14ac:dyDescent="0.2">
      <c r="E5050" s="18"/>
      <c r="F5050" s="18"/>
    </row>
    <row r="5051" spans="5:6" ht="15" customHeight="1" x14ac:dyDescent="0.2">
      <c r="E5051" s="18"/>
      <c r="F5051" s="18"/>
    </row>
    <row r="5052" spans="5:6" ht="15" customHeight="1" x14ac:dyDescent="0.2">
      <c r="E5052" s="18"/>
      <c r="F5052" s="18"/>
    </row>
    <row r="5053" spans="5:6" ht="15" customHeight="1" x14ac:dyDescent="0.2">
      <c r="E5053" s="18"/>
      <c r="F5053" s="18"/>
    </row>
    <row r="5054" spans="5:6" ht="15" customHeight="1" x14ac:dyDescent="0.2">
      <c r="E5054" s="18"/>
      <c r="F5054" s="18"/>
    </row>
    <row r="5055" spans="5:6" ht="15" customHeight="1" x14ac:dyDescent="0.2">
      <c r="E5055" s="18"/>
      <c r="F5055" s="18"/>
    </row>
    <row r="5056" spans="5:6" ht="15" customHeight="1" x14ac:dyDescent="0.2">
      <c r="E5056" s="18"/>
      <c r="F5056" s="18"/>
    </row>
    <row r="5057" spans="5:6" ht="15" customHeight="1" x14ac:dyDescent="0.2">
      <c r="E5057" s="18"/>
      <c r="F5057" s="18"/>
    </row>
    <row r="5058" spans="5:6" ht="15" customHeight="1" x14ac:dyDescent="0.2">
      <c r="E5058" s="18"/>
      <c r="F5058" s="18"/>
    </row>
    <row r="5059" spans="5:6" ht="15" customHeight="1" x14ac:dyDescent="0.2">
      <c r="E5059" s="18"/>
      <c r="F5059" s="18"/>
    </row>
    <row r="5060" spans="5:6" ht="15" customHeight="1" x14ac:dyDescent="0.2">
      <c r="E5060" s="18"/>
      <c r="F5060" s="18"/>
    </row>
    <row r="5061" spans="5:6" ht="15" customHeight="1" x14ac:dyDescent="0.2">
      <c r="E5061" s="18"/>
      <c r="F5061" s="18"/>
    </row>
    <row r="5062" spans="5:6" ht="15" customHeight="1" x14ac:dyDescent="0.2">
      <c r="E5062" s="18"/>
      <c r="F5062" s="18"/>
    </row>
    <row r="5063" spans="5:6" ht="15" customHeight="1" x14ac:dyDescent="0.2">
      <c r="E5063" s="18"/>
      <c r="F5063" s="18"/>
    </row>
    <row r="5064" spans="5:6" ht="15" customHeight="1" x14ac:dyDescent="0.2">
      <c r="E5064" s="18"/>
      <c r="F5064" s="18"/>
    </row>
    <row r="5065" spans="5:6" ht="15" customHeight="1" x14ac:dyDescent="0.2">
      <c r="E5065" s="18"/>
      <c r="F5065" s="18"/>
    </row>
    <row r="5066" spans="5:6" ht="15" customHeight="1" x14ac:dyDescent="0.2">
      <c r="E5066" s="18"/>
      <c r="F5066" s="18"/>
    </row>
    <row r="5067" spans="5:6" ht="15" customHeight="1" x14ac:dyDescent="0.2">
      <c r="E5067" s="18"/>
      <c r="F5067" s="18"/>
    </row>
    <row r="5068" spans="5:6" ht="15" customHeight="1" x14ac:dyDescent="0.2">
      <c r="E5068" s="18"/>
      <c r="F5068" s="18"/>
    </row>
    <row r="5069" spans="5:6" ht="15" customHeight="1" x14ac:dyDescent="0.2">
      <c r="E5069" s="18"/>
      <c r="F5069" s="18"/>
    </row>
    <row r="5070" spans="5:6" ht="15" customHeight="1" x14ac:dyDescent="0.2">
      <c r="E5070" s="18"/>
      <c r="F5070" s="18"/>
    </row>
    <row r="5071" spans="5:6" ht="15" customHeight="1" x14ac:dyDescent="0.2">
      <c r="E5071" s="18"/>
      <c r="F5071" s="18"/>
    </row>
    <row r="5072" spans="5:6" ht="15" customHeight="1" x14ac:dyDescent="0.2">
      <c r="E5072" s="18"/>
      <c r="F5072" s="18"/>
    </row>
    <row r="5073" spans="5:6" ht="15" customHeight="1" x14ac:dyDescent="0.2">
      <c r="E5073" s="18"/>
      <c r="F5073" s="18"/>
    </row>
    <row r="5074" spans="5:6" ht="15" customHeight="1" x14ac:dyDescent="0.2">
      <c r="E5074" s="18"/>
      <c r="F5074" s="18"/>
    </row>
    <row r="5075" spans="5:6" ht="15" customHeight="1" x14ac:dyDescent="0.2">
      <c r="E5075" s="18"/>
      <c r="F5075" s="18"/>
    </row>
    <row r="5076" spans="5:6" ht="15" customHeight="1" x14ac:dyDescent="0.2">
      <c r="E5076" s="18"/>
      <c r="F5076" s="18"/>
    </row>
    <row r="5077" spans="5:6" ht="15" customHeight="1" x14ac:dyDescent="0.2">
      <c r="E5077" s="18"/>
      <c r="F5077" s="18"/>
    </row>
    <row r="5078" spans="5:6" ht="15" customHeight="1" x14ac:dyDescent="0.2">
      <c r="E5078" s="18"/>
      <c r="F5078" s="18"/>
    </row>
    <row r="5079" spans="5:6" ht="15" customHeight="1" x14ac:dyDescent="0.2">
      <c r="E5079" s="18"/>
      <c r="F5079" s="18"/>
    </row>
    <row r="5080" spans="5:6" ht="15" customHeight="1" x14ac:dyDescent="0.2">
      <c r="E5080" s="18"/>
      <c r="F5080" s="18"/>
    </row>
    <row r="5081" spans="5:6" ht="15" customHeight="1" x14ac:dyDescent="0.2">
      <c r="E5081" s="18"/>
      <c r="F5081" s="18"/>
    </row>
    <row r="5082" spans="5:6" ht="15" customHeight="1" x14ac:dyDescent="0.2">
      <c r="E5082" s="18"/>
      <c r="F5082" s="18"/>
    </row>
    <row r="5083" spans="5:6" ht="15" customHeight="1" x14ac:dyDescent="0.2">
      <c r="E5083" s="18"/>
      <c r="F5083" s="18"/>
    </row>
    <row r="5084" spans="5:6" ht="15" customHeight="1" x14ac:dyDescent="0.2">
      <c r="E5084" s="18"/>
      <c r="F5084" s="18"/>
    </row>
    <row r="5085" spans="5:6" ht="15" customHeight="1" x14ac:dyDescent="0.2">
      <c r="E5085" s="18"/>
      <c r="F5085" s="18"/>
    </row>
    <row r="5086" spans="5:6" ht="15" customHeight="1" x14ac:dyDescent="0.2">
      <c r="E5086" s="18"/>
      <c r="F5086" s="18"/>
    </row>
    <row r="5087" spans="5:6" ht="15" customHeight="1" x14ac:dyDescent="0.2">
      <c r="E5087" s="18"/>
      <c r="F5087" s="18"/>
    </row>
    <row r="5088" spans="5:6" ht="15" customHeight="1" x14ac:dyDescent="0.2">
      <c r="E5088" s="18"/>
      <c r="F5088" s="18"/>
    </row>
    <row r="5089" spans="5:6" ht="15" customHeight="1" x14ac:dyDescent="0.2">
      <c r="E5089" s="18"/>
      <c r="F5089" s="18"/>
    </row>
    <row r="5090" spans="5:6" ht="15" customHeight="1" x14ac:dyDescent="0.2">
      <c r="E5090" s="18"/>
      <c r="F5090" s="18"/>
    </row>
    <row r="5091" spans="5:6" ht="15" customHeight="1" x14ac:dyDescent="0.2">
      <c r="E5091" s="18"/>
      <c r="F5091" s="18"/>
    </row>
    <row r="5092" spans="5:6" ht="15" customHeight="1" x14ac:dyDescent="0.2">
      <c r="E5092" s="18"/>
      <c r="F5092" s="18"/>
    </row>
    <row r="5093" spans="5:6" ht="15" customHeight="1" x14ac:dyDescent="0.2">
      <c r="E5093" s="18"/>
      <c r="F5093" s="18"/>
    </row>
    <row r="5094" spans="5:6" ht="15" customHeight="1" x14ac:dyDescent="0.2">
      <c r="E5094" s="18"/>
      <c r="F5094" s="18"/>
    </row>
    <row r="5095" spans="5:6" ht="15" customHeight="1" x14ac:dyDescent="0.2">
      <c r="E5095" s="18"/>
      <c r="F5095" s="18"/>
    </row>
    <row r="5096" spans="5:6" ht="15" customHeight="1" x14ac:dyDescent="0.2">
      <c r="E5096" s="18"/>
      <c r="F5096" s="18"/>
    </row>
    <row r="5097" spans="5:6" ht="15" customHeight="1" x14ac:dyDescent="0.2">
      <c r="E5097" s="18"/>
      <c r="F5097" s="18"/>
    </row>
    <row r="5098" spans="5:6" ht="15" customHeight="1" x14ac:dyDescent="0.2">
      <c r="E5098" s="18"/>
      <c r="F5098" s="18"/>
    </row>
    <row r="5099" spans="5:6" ht="15" customHeight="1" x14ac:dyDescent="0.2">
      <c r="E5099" s="18"/>
      <c r="F5099" s="18"/>
    </row>
    <row r="5100" spans="5:6" ht="15" customHeight="1" x14ac:dyDescent="0.2">
      <c r="E5100" s="18"/>
      <c r="F5100" s="18"/>
    </row>
    <row r="5101" spans="5:6" ht="15" customHeight="1" x14ac:dyDescent="0.2">
      <c r="E5101" s="18"/>
      <c r="F5101" s="18"/>
    </row>
    <row r="5102" spans="5:6" ht="15" customHeight="1" x14ac:dyDescent="0.2">
      <c r="E5102" s="18"/>
      <c r="F5102" s="18"/>
    </row>
    <row r="5103" spans="5:6" ht="15" customHeight="1" x14ac:dyDescent="0.2">
      <c r="E5103" s="18"/>
      <c r="F5103" s="18"/>
    </row>
    <row r="5104" spans="5:6" ht="15" customHeight="1" x14ac:dyDescent="0.2">
      <c r="E5104" s="18"/>
      <c r="F5104" s="18"/>
    </row>
    <row r="5105" spans="5:6" ht="15" customHeight="1" x14ac:dyDescent="0.2">
      <c r="E5105" s="18"/>
      <c r="F5105" s="18"/>
    </row>
    <row r="5106" spans="5:6" ht="15" customHeight="1" x14ac:dyDescent="0.2">
      <c r="E5106" s="18"/>
      <c r="F5106" s="18"/>
    </row>
    <row r="5107" spans="5:6" ht="15" customHeight="1" x14ac:dyDescent="0.2">
      <c r="E5107" s="18"/>
      <c r="F5107" s="18"/>
    </row>
    <row r="5108" spans="5:6" ht="15" customHeight="1" x14ac:dyDescent="0.2">
      <c r="E5108" s="18"/>
      <c r="F5108" s="18"/>
    </row>
    <row r="5109" spans="5:6" ht="15" customHeight="1" x14ac:dyDescent="0.2">
      <c r="E5109" s="18"/>
      <c r="F5109" s="18"/>
    </row>
    <row r="5110" spans="5:6" ht="15" customHeight="1" x14ac:dyDescent="0.2">
      <c r="E5110" s="18"/>
      <c r="F5110" s="18"/>
    </row>
    <row r="5111" spans="5:6" ht="15" customHeight="1" x14ac:dyDescent="0.2">
      <c r="E5111" s="18"/>
      <c r="F5111" s="18"/>
    </row>
    <row r="5112" spans="5:6" ht="15" customHeight="1" x14ac:dyDescent="0.2">
      <c r="E5112" s="18"/>
      <c r="F5112" s="18"/>
    </row>
    <row r="5113" spans="5:6" ht="15" customHeight="1" x14ac:dyDescent="0.2">
      <c r="E5113" s="18"/>
      <c r="F5113" s="18"/>
    </row>
    <row r="5114" spans="5:6" ht="15" customHeight="1" x14ac:dyDescent="0.2">
      <c r="E5114" s="18"/>
      <c r="F5114" s="18"/>
    </row>
    <row r="5115" spans="5:6" ht="15" customHeight="1" x14ac:dyDescent="0.2">
      <c r="E5115" s="18"/>
      <c r="F5115" s="18"/>
    </row>
    <row r="5116" spans="5:6" ht="15" customHeight="1" x14ac:dyDescent="0.2">
      <c r="E5116" s="18"/>
      <c r="F5116" s="18"/>
    </row>
    <row r="5117" spans="5:6" ht="15" customHeight="1" x14ac:dyDescent="0.2">
      <c r="E5117" s="18"/>
      <c r="F5117" s="18"/>
    </row>
    <row r="5118" spans="5:6" ht="15" customHeight="1" x14ac:dyDescent="0.2">
      <c r="E5118" s="18"/>
      <c r="F5118" s="18"/>
    </row>
    <row r="5119" spans="5:6" ht="15" customHeight="1" x14ac:dyDescent="0.2">
      <c r="E5119" s="18"/>
      <c r="F5119" s="18"/>
    </row>
    <row r="5120" spans="5:6" ht="15" customHeight="1" x14ac:dyDescent="0.2">
      <c r="E5120" s="18"/>
      <c r="F5120" s="18"/>
    </row>
    <row r="5121" spans="5:6" ht="15" customHeight="1" x14ac:dyDescent="0.2">
      <c r="E5121" s="18"/>
      <c r="F5121" s="18"/>
    </row>
    <row r="5122" spans="5:6" ht="15" customHeight="1" x14ac:dyDescent="0.2">
      <c r="E5122" s="18"/>
      <c r="F5122" s="18"/>
    </row>
    <row r="5123" spans="5:6" ht="15" customHeight="1" x14ac:dyDescent="0.2">
      <c r="E5123" s="18"/>
      <c r="F5123" s="18"/>
    </row>
    <row r="5124" spans="5:6" ht="15" customHeight="1" x14ac:dyDescent="0.2">
      <c r="E5124" s="18"/>
      <c r="F5124" s="18"/>
    </row>
    <row r="5125" spans="5:6" ht="15" customHeight="1" x14ac:dyDescent="0.2">
      <c r="E5125" s="18"/>
      <c r="F5125" s="18"/>
    </row>
    <row r="5126" spans="5:6" ht="15" customHeight="1" x14ac:dyDescent="0.2">
      <c r="E5126" s="18"/>
      <c r="F5126" s="18"/>
    </row>
    <row r="5127" spans="5:6" ht="15" customHeight="1" x14ac:dyDescent="0.2">
      <c r="E5127" s="18"/>
      <c r="F5127" s="18"/>
    </row>
    <row r="5128" spans="5:6" ht="15" customHeight="1" x14ac:dyDescent="0.2">
      <c r="E5128" s="18"/>
      <c r="F5128" s="18"/>
    </row>
    <row r="5129" spans="5:6" ht="15" customHeight="1" x14ac:dyDescent="0.2">
      <c r="E5129" s="18"/>
      <c r="F5129" s="18"/>
    </row>
    <row r="5130" spans="5:6" ht="15" customHeight="1" x14ac:dyDescent="0.2">
      <c r="E5130" s="18"/>
      <c r="F5130" s="18"/>
    </row>
    <row r="5131" spans="5:6" ht="15" customHeight="1" x14ac:dyDescent="0.2">
      <c r="E5131" s="18"/>
      <c r="F5131" s="18"/>
    </row>
    <row r="5132" spans="5:6" ht="15" customHeight="1" x14ac:dyDescent="0.2">
      <c r="E5132" s="18"/>
      <c r="F5132" s="18"/>
    </row>
    <row r="5133" spans="5:6" ht="15" customHeight="1" x14ac:dyDescent="0.2">
      <c r="E5133" s="18"/>
      <c r="F5133" s="18"/>
    </row>
    <row r="5134" spans="5:6" ht="15" customHeight="1" x14ac:dyDescent="0.2">
      <c r="E5134" s="18"/>
      <c r="F5134" s="18"/>
    </row>
    <row r="5135" spans="5:6" ht="15" customHeight="1" x14ac:dyDescent="0.2">
      <c r="E5135" s="18"/>
      <c r="F5135" s="18"/>
    </row>
    <row r="5136" spans="5:6" ht="15" customHeight="1" x14ac:dyDescent="0.2">
      <c r="E5136" s="18"/>
      <c r="F5136" s="18"/>
    </row>
    <row r="5137" spans="5:6" ht="15" customHeight="1" x14ac:dyDescent="0.2">
      <c r="E5137" s="18"/>
      <c r="F5137" s="18"/>
    </row>
    <row r="5138" spans="5:6" ht="15" customHeight="1" x14ac:dyDescent="0.2">
      <c r="E5138" s="18"/>
      <c r="F5138" s="18"/>
    </row>
    <row r="5139" spans="5:6" ht="15" customHeight="1" x14ac:dyDescent="0.2">
      <c r="E5139" s="18"/>
      <c r="F5139" s="18"/>
    </row>
    <row r="5140" spans="5:6" ht="15" customHeight="1" x14ac:dyDescent="0.2">
      <c r="E5140" s="18"/>
      <c r="F5140" s="18"/>
    </row>
    <row r="5141" spans="5:6" ht="15" customHeight="1" x14ac:dyDescent="0.2">
      <c r="E5141" s="18"/>
      <c r="F5141" s="18"/>
    </row>
    <row r="5142" spans="5:6" ht="15" customHeight="1" x14ac:dyDescent="0.2">
      <c r="E5142" s="18"/>
      <c r="F5142" s="18"/>
    </row>
    <row r="5143" spans="5:6" ht="15" customHeight="1" x14ac:dyDescent="0.2">
      <c r="E5143" s="18"/>
      <c r="F5143" s="18"/>
    </row>
    <row r="5144" spans="5:6" ht="15" customHeight="1" x14ac:dyDescent="0.2">
      <c r="E5144" s="18"/>
      <c r="F5144" s="18"/>
    </row>
    <row r="5145" spans="5:6" ht="15" customHeight="1" x14ac:dyDescent="0.2">
      <c r="E5145" s="18"/>
      <c r="F5145" s="18"/>
    </row>
    <row r="5146" spans="5:6" ht="15" customHeight="1" x14ac:dyDescent="0.2">
      <c r="E5146" s="18"/>
      <c r="F5146" s="18"/>
    </row>
    <row r="5147" spans="5:6" ht="15" customHeight="1" x14ac:dyDescent="0.2">
      <c r="E5147" s="18"/>
      <c r="F5147" s="18"/>
    </row>
    <row r="5148" spans="5:6" ht="15" customHeight="1" x14ac:dyDescent="0.2">
      <c r="E5148" s="18"/>
      <c r="F5148" s="18"/>
    </row>
    <row r="5149" spans="5:6" ht="15" customHeight="1" x14ac:dyDescent="0.2">
      <c r="E5149" s="18"/>
      <c r="F5149" s="18"/>
    </row>
    <row r="5150" spans="5:6" ht="15" customHeight="1" x14ac:dyDescent="0.2">
      <c r="E5150" s="18"/>
      <c r="F5150" s="18"/>
    </row>
    <row r="5151" spans="5:6" ht="15" customHeight="1" x14ac:dyDescent="0.2">
      <c r="E5151" s="18"/>
      <c r="F5151" s="18"/>
    </row>
    <row r="5152" spans="5:6" ht="15" customHeight="1" x14ac:dyDescent="0.2">
      <c r="E5152" s="18"/>
      <c r="F5152" s="18"/>
    </row>
    <row r="5153" spans="5:6" ht="15" customHeight="1" x14ac:dyDescent="0.2">
      <c r="E5153" s="18"/>
      <c r="F5153" s="18"/>
    </row>
    <row r="5154" spans="5:6" ht="15" customHeight="1" x14ac:dyDescent="0.2">
      <c r="E5154" s="18"/>
      <c r="F5154" s="18"/>
    </row>
    <row r="5155" spans="5:6" ht="15" customHeight="1" x14ac:dyDescent="0.2">
      <c r="E5155" s="18"/>
      <c r="F5155" s="18"/>
    </row>
    <row r="5156" spans="5:6" ht="15" customHeight="1" x14ac:dyDescent="0.2">
      <c r="E5156" s="18"/>
      <c r="F5156" s="18"/>
    </row>
    <row r="5157" spans="5:6" ht="15" customHeight="1" x14ac:dyDescent="0.2">
      <c r="E5157" s="18"/>
      <c r="F5157" s="18"/>
    </row>
    <row r="5158" spans="5:6" ht="15" customHeight="1" x14ac:dyDescent="0.2">
      <c r="E5158" s="18"/>
      <c r="F5158" s="18"/>
    </row>
    <row r="5159" spans="5:6" ht="15" customHeight="1" x14ac:dyDescent="0.2">
      <c r="E5159" s="18"/>
      <c r="F5159" s="18"/>
    </row>
    <row r="5160" spans="5:6" ht="15" customHeight="1" x14ac:dyDescent="0.2">
      <c r="E5160" s="18"/>
      <c r="F5160" s="18"/>
    </row>
    <row r="5161" spans="5:6" ht="15" customHeight="1" x14ac:dyDescent="0.2">
      <c r="E5161" s="18"/>
      <c r="F5161" s="18"/>
    </row>
    <row r="5162" spans="5:6" ht="15" customHeight="1" x14ac:dyDescent="0.2">
      <c r="E5162" s="18"/>
      <c r="F5162" s="18"/>
    </row>
    <row r="5163" spans="5:6" ht="15" customHeight="1" x14ac:dyDescent="0.2">
      <c r="E5163" s="18"/>
      <c r="F5163" s="18"/>
    </row>
    <row r="5164" spans="5:6" ht="15" customHeight="1" x14ac:dyDescent="0.2">
      <c r="E5164" s="18"/>
      <c r="F5164" s="18"/>
    </row>
    <row r="5165" spans="5:6" ht="15" customHeight="1" x14ac:dyDescent="0.2">
      <c r="E5165" s="18"/>
      <c r="F5165" s="18"/>
    </row>
    <row r="5166" spans="5:6" ht="15" customHeight="1" x14ac:dyDescent="0.2">
      <c r="E5166" s="18"/>
      <c r="F5166" s="18"/>
    </row>
    <row r="5167" spans="5:6" ht="15" customHeight="1" x14ac:dyDescent="0.2">
      <c r="E5167" s="18"/>
      <c r="F5167" s="18"/>
    </row>
    <row r="5168" spans="5:6" ht="15" customHeight="1" x14ac:dyDescent="0.2">
      <c r="E5168" s="18"/>
      <c r="F5168" s="18"/>
    </row>
    <row r="5169" spans="5:6" ht="15" customHeight="1" x14ac:dyDescent="0.2">
      <c r="E5169" s="18"/>
      <c r="F5169" s="18"/>
    </row>
    <row r="5170" spans="5:6" ht="15" customHeight="1" x14ac:dyDescent="0.2">
      <c r="E5170" s="18"/>
      <c r="F5170" s="18"/>
    </row>
    <row r="5171" spans="5:6" ht="15" customHeight="1" x14ac:dyDescent="0.2">
      <c r="E5171" s="18"/>
      <c r="F5171" s="18"/>
    </row>
    <row r="5172" spans="5:6" ht="15" customHeight="1" x14ac:dyDescent="0.2">
      <c r="E5172" s="18"/>
      <c r="F5172" s="18"/>
    </row>
    <row r="5173" spans="5:6" ht="15" customHeight="1" x14ac:dyDescent="0.2">
      <c r="E5173" s="18"/>
      <c r="F5173" s="18"/>
    </row>
    <row r="5174" spans="5:6" ht="15" customHeight="1" x14ac:dyDescent="0.2">
      <c r="E5174" s="18"/>
      <c r="F5174" s="18"/>
    </row>
    <row r="5175" spans="5:6" ht="15" customHeight="1" x14ac:dyDescent="0.2">
      <c r="E5175" s="18"/>
      <c r="F5175" s="18"/>
    </row>
    <row r="5176" spans="5:6" ht="15" customHeight="1" x14ac:dyDescent="0.2">
      <c r="E5176" s="18"/>
      <c r="F5176" s="18"/>
    </row>
    <row r="5177" spans="5:6" ht="15" customHeight="1" x14ac:dyDescent="0.2">
      <c r="E5177" s="18"/>
      <c r="F5177" s="18"/>
    </row>
    <row r="5178" spans="5:6" ht="15" customHeight="1" x14ac:dyDescent="0.2">
      <c r="E5178" s="18"/>
      <c r="F5178" s="18"/>
    </row>
    <row r="5179" spans="5:6" ht="15" customHeight="1" x14ac:dyDescent="0.2">
      <c r="E5179" s="18"/>
      <c r="F5179" s="18"/>
    </row>
    <row r="5180" spans="5:6" ht="15" customHeight="1" x14ac:dyDescent="0.2">
      <c r="E5180" s="18"/>
      <c r="F5180" s="18"/>
    </row>
    <row r="5181" spans="5:6" ht="15" customHeight="1" x14ac:dyDescent="0.2">
      <c r="E5181" s="18"/>
      <c r="F5181" s="18"/>
    </row>
    <row r="5182" spans="5:6" ht="15" customHeight="1" x14ac:dyDescent="0.2">
      <c r="E5182" s="18"/>
      <c r="F5182" s="18"/>
    </row>
    <row r="5183" spans="5:6" ht="15" customHeight="1" x14ac:dyDescent="0.2">
      <c r="E5183" s="18"/>
      <c r="F5183" s="18"/>
    </row>
    <row r="5184" spans="5:6" ht="15" customHeight="1" x14ac:dyDescent="0.2">
      <c r="E5184" s="18"/>
      <c r="F5184" s="18"/>
    </row>
    <row r="5185" spans="5:6" ht="15" customHeight="1" x14ac:dyDescent="0.2">
      <c r="E5185" s="18"/>
      <c r="F5185" s="18"/>
    </row>
    <row r="5186" spans="5:6" ht="15" customHeight="1" x14ac:dyDescent="0.2">
      <c r="E5186" s="18"/>
      <c r="F5186" s="18"/>
    </row>
    <row r="5187" spans="5:6" ht="15" customHeight="1" x14ac:dyDescent="0.2">
      <c r="E5187" s="18"/>
      <c r="F5187" s="18"/>
    </row>
    <row r="5188" spans="5:6" ht="15" customHeight="1" x14ac:dyDescent="0.2">
      <c r="E5188" s="18"/>
      <c r="F5188" s="18"/>
    </row>
    <row r="5189" spans="5:6" ht="15" customHeight="1" x14ac:dyDescent="0.2">
      <c r="E5189" s="18"/>
      <c r="F5189" s="18"/>
    </row>
    <row r="5190" spans="5:6" ht="15" customHeight="1" x14ac:dyDescent="0.2">
      <c r="E5190" s="18"/>
      <c r="F5190" s="18"/>
    </row>
    <row r="5191" spans="5:6" ht="15" customHeight="1" x14ac:dyDescent="0.2">
      <c r="E5191" s="18"/>
      <c r="F5191" s="18"/>
    </row>
    <row r="5192" spans="5:6" ht="15" customHeight="1" x14ac:dyDescent="0.2">
      <c r="E5192" s="18"/>
      <c r="F5192" s="18"/>
    </row>
    <row r="5193" spans="5:6" ht="15" customHeight="1" x14ac:dyDescent="0.2">
      <c r="E5193" s="18"/>
      <c r="F5193" s="18"/>
    </row>
    <row r="5194" spans="5:6" ht="15" customHeight="1" x14ac:dyDescent="0.2">
      <c r="E5194" s="18"/>
      <c r="F5194" s="18"/>
    </row>
    <row r="5195" spans="5:6" ht="15" customHeight="1" x14ac:dyDescent="0.2">
      <c r="E5195" s="18"/>
      <c r="F5195" s="18"/>
    </row>
    <row r="5196" spans="5:6" ht="15" customHeight="1" x14ac:dyDescent="0.2">
      <c r="E5196" s="18"/>
      <c r="F5196" s="18"/>
    </row>
    <row r="5197" spans="5:6" ht="15" customHeight="1" x14ac:dyDescent="0.2">
      <c r="E5197" s="18"/>
      <c r="F5197" s="18"/>
    </row>
    <row r="5198" spans="5:6" ht="15" customHeight="1" x14ac:dyDescent="0.2">
      <c r="E5198" s="18"/>
      <c r="F5198" s="18"/>
    </row>
    <row r="5199" spans="5:6" ht="15" customHeight="1" x14ac:dyDescent="0.2">
      <c r="E5199" s="18"/>
      <c r="F5199" s="18"/>
    </row>
    <row r="5200" spans="5:6" ht="15" customHeight="1" x14ac:dyDescent="0.2">
      <c r="E5200" s="18"/>
      <c r="F5200" s="18"/>
    </row>
    <row r="5201" spans="5:6" ht="15" customHeight="1" x14ac:dyDescent="0.2">
      <c r="E5201" s="18"/>
      <c r="F5201" s="18"/>
    </row>
    <row r="5202" spans="5:6" ht="15" customHeight="1" x14ac:dyDescent="0.2">
      <c r="E5202" s="18"/>
      <c r="F5202" s="18"/>
    </row>
    <row r="5203" spans="5:6" ht="15" customHeight="1" x14ac:dyDescent="0.2">
      <c r="E5203" s="18"/>
      <c r="F5203" s="18"/>
    </row>
    <row r="5204" spans="5:6" ht="15" customHeight="1" x14ac:dyDescent="0.2">
      <c r="E5204" s="18"/>
      <c r="F5204" s="18"/>
    </row>
    <row r="5205" spans="5:6" ht="15" customHeight="1" x14ac:dyDescent="0.2">
      <c r="E5205" s="18"/>
      <c r="F5205" s="18"/>
    </row>
    <row r="5206" spans="5:6" ht="15" customHeight="1" x14ac:dyDescent="0.2">
      <c r="E5206" s="18"/>
      <c r="F5206" s="18"/>
    </row>
    <row r="5207" spans="5:6" ht="15" customHeight="1" x14ac:dyDescent="0.2">
      <c r="E5207" s="18"/>
      <c r="F5207" s="18"/>
    </row>
    <row r="5208" spans="5:6" ht="15" customHeight="1" x14ac:dyDescent="0.2">
      <c r="E5208" s="18"/>
      <c r="F5208" s="18"/>
    </row>
    <row r="5209" spans="5:6" ht="15" customHeight="1" x14ac:dyDescent="0.2">
      <c r="E5209" s="18"/>
      <c r="F5209" s="18"/>
    </row>
    <row r="5210" spans="5:6" ht="15" customHeight="1" x14ac:dyDescent="0.2">
      <c r="E5210" s="18"/>
      <c r="F5210" s="18"/>
    </row>
    <row r="5211" spans="5:6" ht="15" customHeight="1" x14ac:dyDescent="0.2">
      <c r="E5211" s="18"/>
      <c r="F5211" s="18"/>
    </row>
    <row r="5212" spans="5:6" ht="15" customHeight="1" x14ac:dyDescent="0.2">
      <c r="E5212" s="18"/>
      <c r="F5212" s="18"/>
    </row>
    <row r="5213" spans="5:6" ht="15" customHeight="1" x14ac:dyDescent="0.2">
      <c r="E5213" s="18"/>
      <c r="F5213" s="18"/>
    </row>
    <row r="5214" spans="5:6" ht="15" customHeight="1" x14ac:dyDescent="0.2">
      <c r="E5214" s="18"/>
      <c r="F5214" s="18"/>
    </row>
    <row r="5215" spans="5:6" ht="15" customHeight="1" x14ac:dyDescent="0.2">
      <c r="E5215" s="18"/>
      <c r="F5215" s="18"/>
    </row>
    <row r="5216" spans="5:6" ht="15" customHeight="1" x14ac:dyDescent="0.2">
      <c r="E5216" s="18"/>
      <c r="F5216" s="18"/>
    </row>
    <row r="5217" spans="5:6" ht="15" customHeight="1" x14ac:dyDescent="0.2">
      <c r="E5217" s="18"/>
      <c r="F5217" s="18"/>
    </row>
    <row r="5218" spans="5:6" ht="15" customHeight="1" x14ac:dyDescent="0.2">
      <c r="E5218" s="18"/>
      <c r="F5218" s="18"/>
    </row>
    <row r="5219" spans="5:6" ht="15" customHeight="1" x14ac:dyDescent="0.2">
      <c r="E5219" s="18"/>
      <c r="F5219" s="18"/>
    </row>
    <row r="5220" spans="5:6" ht="15" customHeight="1" x14ac:dyDescent="0.2">
      <c r="E5220" s="18"/>
      <c r="F5220" s="18"/>
    </row>
    <row r="5221" spans="5:6" ht="15" customHeight="1" x14ac:dyDescent="0.2">
      <c r="E5221" s="18"/>
      <c r="F5221" s="18"/>
    </row>
    <row r="5222" spans="5:6" ht="15" customHeight="1" x14ac:dyDescent="0.2">
      <c r="E5222" s="18"/>
      <c r="F5222" s="18"/>
    </row>
    <row r="5223" spans="5:6" ht="15" customHeight="1" x14ac:dyDescent="0.2">
      <c r="E5223" s="18"/>
      <c r="F5223" s="18"/>
    </row>
    <row r="5224" spans="5:6" ht="15" customHeight="1" x14ac:dyDescent="0.2">
      <c r="E5224" s="18"/>
      <c r="F5224" s="18"/>
    </row>
    <row r="5225" spans="5:6" ht="15" customHeight="1" x14ac:dyDescent="0.2">
      <c r="E5225" s="18"/>
      <c r="F5225" s="18"/>
    </row>
    <row r="5226" spans="5:6" ht="15" customHeight="1" x14ac:dyDescent="0.2">
      <c r="E5226" s="18"/>
      <c r="F5226" s="18"/>
    </row>
    <row r="5227" spans="5:6" ht="15" customHeight="1" x14ac:dyDescent="0.2">
      <c r="E5227" s="18"/>
      <c r="F5227" s="18"/>
    </row>
    <row r="5228" spans="5:6" ht="15" customHeight="1" x14ac:dyDescent="0.2">
      <c r="E5228" s="18"/>
      <c r="F5228" s="18"/>
    </row>
    <row r="5229" spans="5:6" ht="15" customHeight="1" x14ac:dyDescent="0.2">
      <c r="E5229" s="18"/>
      <c r="F5229" s="18"/>
    </row>
    <row r="5230" spans="5:6" ht="15" customHeight="1" x14ac:dyDescent="0.2">
      <c r="E5230" s="18"/>
      <c r="F5230" s="18"/>
    </row>
    <row r="5231" spans="5:6" ht="15" customHeight="1" x14ac:dyDescent="0.2">
      <c r="E5231" s="18"/>
      <c r="F5231" s="18"/>
    </row>
    <row r="5232" spans="5:6" ht="15" customHeight="1" x14ac:dyDescent="0.2">
      <c r="E5232" s="18"/>
      <c r="F5232" s="18"/>
    </row>
    <row r="5233" spans="5:6" ht="15" customHeight="1" x14ac:dyDescent="0.2">
      <c r="E5233" s="18"/>
      <c r="F5233" s="18"/>
    </row>
    <row r="5234" spans="5:6" ht="15" customHeight="1" x14ac:dyDescent="0.2">
      <c r="E5234" s="18"/>
      <c r="F5234" s="18"/>
    </row>
    <row r="5235" spans="5:6" ht="15" customHeight="1" x14ac:dyDescent="0.2">
      <c r="E5235" s="18"/>
      <c r="F5235" s="18"/>
    </row>
    <row r="5236" spans="5:6" ht="15" customHeight="1" x14ac:dyDescent="0.2">
      <c r="E5236" s="18"/>
      <c r="F5236" s="18"/>
    </row>
    <row r="5237" spans="5:6" ht="15" customHeight="1" x14ac:dyDescent="0.2">
      <c r="E5237" s="18"/>
      <c r="F5237" s="18"/>
    </row>
    <row r="5238" spans="5:6" ht="15" customHeight="1" x14ac:dyDescent="0.2">
      <c r="E5238" s="18"/>
      <c r="F5238" s="18"/>
    </row>
    <row r="5239" spans="5:6" ht="15" customHeight="1" x14ac:dyDescent="0.2">
      <c r="E5239" s="18"/>
      <c r="F5239" s="18"/>
    </row>
    <row r="5240" spans="5:6" ht="15" customHeight="1" x14ac:dyDescent="0.2">
      <c r="E5240" s="18"/>
      <c r="F5240" s="18"/>
    </row>
    <row r="5241" spans="5:6" ht="15" customHeight="1" x14ac:dyDescent="0.2">
      <c r="E5241" s="18"/>
      <c r="F5241" s="18"/>
    </row>
    <row r="5242" spans="5:6" ht="15" customHeight="1" x14ac:dyDescent="0.2">
      <c r="E5242" s="18"/>
      <c r="F5242" s="18"/>
    </row>
    <row r="5243" spans="5:6" ht="15" customHeight="1" x14ac:dyDescent="0.2">
      <c r="E5243" s="18"/>
      <c r="F5243" s="18"/>
    </row>
    <row r="5244" spans="5:6" ht="15" customHeight="1" x14ac:dyDescent="0.2">
      <c r="E5244" s="18"/>
      <c r="F5244" s="18"/>
    </row>
    <row r="5245" spans="5:6" ht="15" customHeight="1" x14ac:dyDescent="0.2">
      <c r="E5245" s="18"/>
      <c r="F5245" s="18"/>
    </row>
    <row r="5246" spans="5:6" ht="15" customHeight="1" x14ac:dyDescent="0.2">
      <c r="E5246" s="18"/>
      <c r="F5246" s="18"/>
    </row>
    <row r="5247" spans="5:6" ht="15" customHeight="1" x14ac:dyDescent="0.2">
      <c r="E5247" s="18"/>
      <c r="F5247" s="18"/>
    </row>
    <row r="5248" spans="5:6" ht="15" customHeight="1" x14ac:dyDescent="0.2">
      <c r="E5248" s="18"/>
      <c r="F5248" s="18"/>
    </row>
    <row r="5249" spans="5:6" ht="15" customHeight="1" x14ac:dyDescent="0.2">
      <c r="E5249" s="18"/>
      <c r="F5249" s="18"/>
    </row>
    <row r="5250" spans="5:6" ht="15" customHeight="1" x14ac:dyDescent="0.2">
      <c r="E5250" s="18"/>
      <c r="F5250" s="18"/>
    </row>
    <row r="5251" spans="5:6" ht="15" customHeight="1" x14ac:dyDescent="0.2">
      <c r="E5251" s="18"/>
      <c r="F5251" s="18"/>
    </row>
    <row r="5252" spans="5:6" ht="15" customHeight="1" x14ac:dyDescent="0.2">
      <c r="E5252" s="18"/>
      <c r="F5252" s="18"/>
    </row>
    <row r="5253" spans="5:6" ht="15" customHeight="1" x14ac:dyDescent="0.2">
      <c r="E5253" s="18"/>
      <c r="F5253" s="18"/>
    </row>
    <row r="5254" spans="5:6" ht="15" customHeight="1" x14ac:dyDescent="0.2">
      <c r="E5254" s="18"/>
      <c r="F5254" s="18"/>
    </row>
    <row r="5255" spans="5:6" ht="15" customHeight="1" x14ac:dyDescent="0.2">
      <c r="E5255" s="18"/>
      <c r="F5255" s="18"/>
    </row>
    <row r="5256" spans="5:6" ht="15" customHeight="1" x14ac:dyDescent="0.2">
      <c r="E5256" s="18"/>
      <c r="F5256" s="18"/>
    </row>
    <row r="5257" spans="5:6" ht="15" customHeight="1" x14ac:dyDescent="0.2">
      <c r="E5257" s="18"/>
      <c r="F5257" s="18"/>
    </row>
    <row r="5258" spans="5:6" ht="15" customHeight="1" x14ac:dyDescent="0.2">
      <c r="E5258" s="18"/>
      <c r="F5258" s="18"/>
    </row>
    <row r="5259" spans="5:6" ht="15" customHeight="1" x14ac:dyDescent="0.2">
      <c r="E5259" s="18"/>
      <c r="F5259" s="18"/>
    </row>
    <row r="5260" spans="5:6" ht="15" customHeight="1" x14ac:dyDescent="0.2">
      <c r="E5260" s="18"/>
      <c r="F5260" s="18"/>
    </row>
    <row r="5261" spans="5:6" ht="15" customHeight="1" x14ac:dyDescent="0.2">
      <c r="E5261" s="18"/>
      <c r="F5261" s="18"/>
    </row>
    <row r="5262" spans="5:6" ht="15" customHeight="1" x14ac:dyDescent="0.2">
      <c r="E5262" s="18"/>
      <c r="F5262" s="18"/>
    </row>
    <row r="5263" spans="5:6" ht="15" customHeight="1" x14ac:dyDescent="0.2">
      <c r="E5263" s="18"/>
      <c r="F5263" s="18"/>
    </row>
    <row r="5264" spans="5:6" ht="15" customHeight="1" x14ac:dyDescent="0.2">
      <c r="E5264" s="18"/>
      <c r="F5264" s="18"/>
    </row>
    <row r="5265" spans="5:6" ht="15" customHeight="1" x14ac:dyDescent="0.2">
      <c r="E5265" s="18"/>
      <c r="F5265" s="18"/>
    </row>
    <row r="5266" spans="5:6" ht="15" customHeight="1" x14ac:dyDescent="0.2">
      <c r="E5266" s="18"/>
      <c r="F5266" s="18"/>
    </row>
    <row r="5267" spans="5:6" ht="15" customHeight="1" x14ac:dyDescent="0.2">
      <c r="E5267" s="18"/>
      <c r="F5267" s="18"/>
    </row>
    <row r="5268" spans="5:6" ht="15" customHeight="1" x14ac:dyDescent="0.2">
      <c r="E5268" s="18"/>
      <c r="F5268" s="18"/>
    </row>
    <row r="5269" spans="5:6" ht="15" customHeight="1" x14ac:dyDescent="0.2">
      <c r="E5269" s="18"/>
      <c r="F5269" s="18"/>
    </row>
    <row r="5270" spans="5:6" ht="15" customHeight="1" x14ac:dyDescent="0.2">
      <c r="E5270" s="18"/>
      <c r="F5270" s="18"/>
    </row>
    <row r="5271" spans="5:6" ht="15" customHeight="1" x14ac:dyDescent="0.2">
      <c r="E5271" s="18"/>
      <c r="F5271" s="18"/>
    </row>
    <row r="5272" spans="5:6" ht="15" customHeight="1" x14ac:dyDescent="0.2">
      <c r="E5272" s="18"/>
      <c r="F5272" s="18"/>
    </row>
    <row r="5273" spans="5:6" ht="15" customHeight="1" x14ac:dyDescent="0.2">
      <c r="E5273" s="18"/>
      <c r="F5273" s="18"/>
    </row>
    <row r="5274" spans="5:6" ht="15" customHeight="1" x14ac:dyDescent="0.2">
      <c r="E5274" s="18"/>
      <c r="F5274" s="18"/>
    </row>
    <row r="5275" spans="5:6" ht="15" customHeight="1" x14ac:dyDescent="0.2">
      <c r="E5275" s="18"/>
      <c r="F5275" s="18"/>
    </row>
    <row r="5276" spans="5:6" ht="15" customHeight="1" x14ac:dyDescent="0.2">
      <c r="E5276" s="18"/>
      <c r="F5276" s="18"/>
    </row>
    <row r="5277" spans="5:6" ht="15" customHeight="1" x14ac:dyDescent="0.2">
      <c r="E5277" s="18"/>
      <c r="F5277" s="18"/>
    </row>
    <row r="5278" spans="5:6" ht="15" customHeight="1" x14ac:dyDescent="0.2">
      <c r="E5278" s="18"/>
      <c r="F5278" s="18"/>
    </row>
    <row r="5279" spans="5:6" ht="15" customHeight="1" x14ac:dyDescent="0.2">
      <c r="E5279" s="18"/>
      <c r="F5279" s="18"/>
    </row>
    <row r="5280" spans="5:6" ht="15" customHeight="1" x14ac:dyDescent="0.2">
      <c r="E5280" s="18"/>
      <c r="F5280" s="18"/>
    </row>
    <row r="5281" spans="5:6" ht="15" customHeight="1" x14ac:dyDescent="0.2">
      <c r="E5281" s="18"/>
      <c r="F5281" s="18"/>
    </row>
    <row r="5282" spans="5:6" ht="15" customHeight="1" x14ac:dyDescent="0.2">
      <c r="E5282" s="18"/>
      <c r="F5282" s="18"/>
    </row>
    <row r="5283" spans="5:6" ht="15" customHeight="1" x14ac:dyDescent="0.2">
      <c r="E5283" s="18"/>
      <c r="F5283" s="18"/>
    </row>
    <row r="5284" spans="5:6" ht="15" customHeight="1" x14ac:dyDescent="0.2">
      <c r="E5284" s="18"/>
      <c r="F5284" s="18"/>
    </row>
    <row r="5285" spans="5:6" ht="15" customHeight="1" x14ac:dyDescent="0.2">
      <c r="E5285" s="18"/>
      <c r="F5285" s="18"/>
    </row>
    <row r="5286" spans="5:6" ht="15" customHeight="1" x14ac:dyDescent="0.2">
      <c r="E5286" s="18"/>
      <c r="F5286" s="18"/>
    </row>
    <row r="5287" spans="5:6" ht="15" customHeight="1" x14ac:dyDescent="0.2">
      <c r="E5287" s="18"/>
      <c r="F5287" s="18"/>
    </row>
    <row r="5288" spans="5:6" ht="15" customHeight="1" x14ac:dyDescent="0.2">
      <c r="E5288" s="18"/>
      <c r="F5288" s="18"/>
    </row>
    <row r="5289" spans="5:6" ht="15" customHeight="1" x14ac:dyDescent="0.2">
      <c r="E5289" s="18"/>
      <c r="F5289" s="18"/>
    </row>
    <row r="5290" spans="5:6" ht="15" customHeight="1" x14ac:dyDescent="0.2">
      <c r="E5290" s="18"/>
      <c r="F5290" s="18"/>
    </row>
    <row r="5291" spans="5:6" ht="15" customHeight="1" x14ac:dyDescent="0.2">
      <c r="E5291" s="18"/>
      <c r="F5291" s="18"/>
    </row>
    <row r="5292" spans="5:6" ht="15" customHeight="1" x14ac:dyDescent="0.2">
      <c r="E5292" s="18"/>
      <c r="F5292" s="18"/>
    </row>
    <row r="5293" spans="5:6" ht="15" customHeight="1" x14ac:dyDescent="0.2">
      <c r="E5293" s="18"/>
      <c r="F5293" s="18"/>
    </row>
    <row r="5294" spans="5:6" ht="15" customHeight="1" x14ac:dyDescent="0.2">
      <c r="E5294" s="18"/>
      <c r="F5294" s="18"/>
    </row>
    <row r="5295" spans="5:6" ht="15" customHeight="1" x14ac:dyDescent="0.2">
      <c r="E5295" s="18"/>
      <c r="F5295" s="18"/>
    </row>
    <row r="5296" spans="5:6" ht="15" customHeight="1" x14ac:dyDescent="0.2">
      <c r="E5296" s="18"/>
      <c r="F5296" s="18"/>
    </row>
    <row r="5297" spans="5:6" ht="15" customHeight="1" x14ac:dyDescent="0.2">
      <c r="E5297" s="18"/>
      <c r="F5297" s="18"/>
    </row>
    <row r="5298" spans="5:6" ht="15" customHeight="1" x14ac:dyDescent="0.2">
      <c r="E5298" s="18"/>
      <c r="F5298" s="18"/>
    </row>
    <row r="5299" spans="5:6" ht="15" customHeight="1" x14ac:dyDescent="0.2">
      <c r="E5299" s="18"/>
      <c r="F5299" s="18"/>
    </row>
    <row r="5300" spans="5:6" ht="15" customHeight="1" x14ac:dyDescent="0.2">
      <c r="E5300" s="18"/>
      <c r="F5300" s="18"/>
    </row>
    <row r="5301" spans="5:6" ht="15" customHeight="1" x14ac:dyDescent="0.2">
      <c r="E5301" s="18"/>
      <c r="F5301" s="18"/>
    </row>
    <row r="5302" spans="5:6" ht="15" customHeight="1" x14ac:dyDescent="0.2">
      <c r="E5302" s="18"/>
      <c r="F5302" s="18"/>
    </row>
    <row r="5303" spans="5:6" ht="15" customHeight="1" x14ac:dyDescent="0.2">
      <c r="E5303" s="18"/>
      <c r="F5303" s="18"/>
    </row>
    <row r="5304" spans="5:6" ht="15" customHeight="1" x14ac:dyDescent="0.2">
      <c r="E5304" s="18"/>
      <c r="F5304" s="18"/>
    </row>
    <row r="5305" spans="5:6" ht="15" customHeight="1" x14ac:dyDescent="0.2">
      <c r="E5305" s="18"/>
      <c r="F5305" s="18"/>
    </row>
    <row r="5306" spans="5:6" ht="15" customHeight="1" x14ac:dyDescent="0.2">
      <c r="E5306" s="18"/>
      <c r="F5306" s="18"/>
    </row>
    <row r="5307" spans="5:6" ht="15" customHeight="1" x14ac:dyDescent="0.2">
      <c r="E5307" s="18"/>
      <c r="F5307" s="18"/>
    </row>
    <row r="5308" spans="5:6" ht="15" customHeight="1" x14ac:dyDescent="0.2">
      <c r="E5308" s="18"/>
      <c r="F5308" s="18"/>
    </row>
    <row r="5309" spans="5:6" ht="15" customHeight="1" x14ac:dyDescent="0.2">
      <c r="E5309" s="18"/>
      <c r="F5309" s="18"/>
    </row>
    <row r="5310" spans="5:6" ht="15" customHeight="1" x14ac:dyDescent="0.2">
      <c r="E5310" s="18"/>
      <c r="F5310" s="18"/>
    </row>
    <row r="5311" spans="5:6" ht="15" customHeight="1" x14ac:dyDescent="0.2">
      <c r="E5311" s="18"/>
      <c r="F5311" s="18"/>
    </row>
    <row r="5312" spans="5:6" ht="15" customHeight="1" x14ac:dyDescent="0.2">
      <c r="E5312" s="18"/>
      <c r="F5312" s="18"/>
    </row>
    <row r="5313" spans="5:6" ht="15" customHeight="1" x14ac:dyDescent="0.2">
      <c r="E5313" s="18"/>
      <c r="F5313" s="18"/>
    </row>
    <row r="5314" spans="5:6" ht="15" customHeight="1" x14ac:dyDescent="0.2">
      <c r="E5314" s="18"/>
      <c r="F5314" s="18"/>
    </row>
    <row r="5315" spans="5:6" ht="15" customHeight="1" x14ac:dyDescent="0.2">
      <c r="E5315" s="18"/>
      <c r="F5315" s="18"/>
    </row>
    <row r="5316" spans="5:6" ht="15" customHeight="1" x14ac:dyDescent="0.2">
      <c r="E5316" s="18"/>
      <c r="F5316" s="18"/>
    </row>
    <row r="5317" spans="5:6" ht="15" customHeight="1" x14ac:dyDescent="0.2">
      <c r="E5317" s="18"/>
      <c r="F5317" s="18"/>
    </row>
    <row r="5318" spans="5:6" ht="15" customHeight="1" x14ac:dyDescent="0.2">
      <c r="E5318" s="18"/>
      <c r="F5318" s="18"/>
    </row>
    <row r="5319" spans="5:6" ht="15" customHeight="1" x14ac:dyDescent="0.2">
      <c r="E5319" s="18"/>
      <c r="F5319" s="18"/>
    </row>
    <row r="5320" spans="5:6" ht="15" customHeight="1" x14ac:dyDescent="0.2">
      <c r="E5320" s="18"/>
      <c r="F5320" s="18"/>
    </row>
    <row r="5321" spans="5:6" ht="15" customHeight="1" x14ac:dyDescent="0.2">
      <c r="E5321" s="18"/>
      <c r="F5321" s="18"/>
    </row>
    <row r="5322" spans="5:6" ht="15" customHeight="1" x14ac:dyDescent="0.2">
      <c r="E5322" s="18"/>
      <c r="F5322" s="18"/>
    </row>
    <row r="5323" spans="5:6" ht="15" customHeight="1" x14ac:dyDescent="0.2">
      <c r="E5323" s="18"/>
      <c r="F5323" s="18"/>
    </row>
    <row r="5324" spans="5:6" ht="15" customHeight="1" x14ac:dyDescent="0.2">
      <c r="E5324" s="18"/>
      <c r="F5324" s="18"/>
    </row>
    <row r="5325" spans="5:6" ht="15" customHeight="1" x14ac:dyDescent="0.2">
      <c r="E5325" s="18"/>
      <c r="F5325" s="18"/>
    </row>
    <row r="5326" spans="5:6" ht="15" customHeight="1" x14ac:dyDescent="0.2">
      <c r="E5326" s="18"/>
      <c r="F5326" s="18"/>
    </row>
    <row r="5327" spans="5:6" ht="15" customHeight="1" x14ac:dyDescent="0.2">
      <c r="E5327" s="18"/>
      <c r="F5327" s="18"/>
    </row>
    <row r="5328" spans="5:6" ht="15" customHeight="1" x14ac:dyDescent="0.2">
      <c r="E5328" s="18"/>
      <c r="F5328" s="18"/>
    </row>
    <row r="5329" spans="5:6" ht="15" customHeight="1" x14ac:dyDescent="0.2">
      <c r="E5329" s="18"/>
      <c r="F5329" s="18"/>
    </row>
    <row r="5330" spans="5:6" ht="15" customHeight="1" x14ac:dyDescent="0.2">
      <c r="E5330" s="18"/>
      <c r="F5330" s="18"/>
    </row>
    <row r="5331" spans="5:6" ht="15" customHeight="1" x14ac:dyDescent="0.2">
      <c r="E5331" s="18"/>
      <c r="F5331" s="18"/>
    </row>
    <row r="5332" spans="5:6" ht="15" customHeight="1" x14ac:dyDescent="0.2">
      <c r="E5332" s="18"/>
      <c r="F5332" s="18"/>
    </row>
    <row r="5333" spans="5:6" ht="15" customHeight="1" x14ac:dyDescent="0.2">
      <c r="E5333" s="18"/>
      <c r="F5333" s="18"/>
    </row>
    <row r="5334" spans="5:6" ht="15" customHeight="1" x14ac:dyDescent="0.2">
      <c r="E5334" s="18"/>
      <c r="F5334" s="18"/>
    </row>
    <row r="5335" spans="5:6" ht="15" customHeight="1" x14ac:dyDescent="0.2">
      <c r="E5335" s="18"/>
      <c r="F5335" s="18"/>
    </row>
    <row r="5336" spans="5:6" ht="15" customHeight="1" x14ac:dyDescent="0.2">
      <c r="E5336" s="18"/>
      <c r="F5336" s="18"/>
    </row>
    <row r="5337" spans="5:6" ht="15" customHeight="1" x14ac:dyDescent="0.2">
      <c r="E5337" s="18"/>
      <c r="F5337" s="18"/>
    </row>
    <row r="5338" spans="5:6" ht="15" customHeight="1" x14ac:dyDescent="0.2">
      <c r="E5338" s="18"/>
      <c r="F5338" s="18"/>
    </row>
    <row r="5339" spans="5:6" ht="15" customHeight="1" x14ac:dyDescent="0.2">
      <c r="E5339" s="18"/>
      <c r="F5339" s="18"/>
    </row>
    <row r="5340" spans="5:6" ht="15" customHeight="1" x14ac:dyDescent="0.2">
      <c r="E5340" s="18"/>
      <c r="F5340" s="18"/>
    </row>
    <row r="5341" spans="5:6" ht="15" customHeight="1" x14ac:dyDescent="0.2">
      <c r="E5341" s="18"/>
      <c r="F5341" s="18"/>
    </row>
    <row r="5342" spans="5:6" ht="15" customHeight="1" x14ac:dyDescent="0.2">
      <c r="E5342" s="18"/>
      <c r="F5342" s="18"/>
    </row>
    <row r="5343" spans="5:6" ht="15" customHeight="1" x14ac:dyDescent="0.2">
      <c r="E5343" s="18"/>
      <c r="F5343" s="18"/>
    </row>
    <row r="5344" spans="5:6" ht="15" customHeight="1" x14ac:dyDescent="0.2">
      <c r="E5344" s="18"/>
      <c r="F5344" s="18"/>
    </row>
    <row r="5345" spans="5:6" ht="15" customHeight="1" x14ac:dyDescent="0.2">
      <c r="E5345" s="18"/>
      <c r="F5345" s="18"/>
    </row>
    <row r="5346" spans="5:6" ht="15" customHeight="1" x14ac:dyDescent="0.2">
      <c r="E5346" s="18"/>
      <c r="F5346" s="18"/>
    </row>
    <row r="5347" spans="5:6" ht="15" customHeight="1" x14ac:dyDescent="0.2">
      <c r="E5347" s="18"/>
      <c r="F5347" s="18"/>
    </row>
    <row r="5348" spans="5:6" ht="15" customHeight="1" x14ac:dyDescent="0.2">
      <c r="E5348" s="18"/>
      <c r="F5348" s="18"/>
    </row>
    <row r="5349" spans="5:6" ht="15" customHeight="1" x14ac:dyDescent="0.2">
      <c r="E5349" s="18"/>
      <c r="F5349" s="18"/>
    </row>
    <row r="5350" spans="5:6" ht="15" customHeight="1" x14ac:dyDescent="0.2">
      <c r="E5350" s="18"/>
      <c r="F5350" s="18"/>
    </row>
    <row r="5351" spans="5:6" ht="15" customHeight="1" x14ac:dyDescent="0.2">
      <c r="E5351" s="18"/>
      <c r="F5351" s="18"/>
    </row>
    <row r="5352" spans="5:6" ht="15" customHeight="1" x14ac:dyDescent="0.2">
      <c r="E5352" s="18"/>
      <c r="F5352" s="18"/>
    </row>
    <row r="5353" spans="5:6" ht="15" customHeight="1" x14ac:dyDescent="0.2">
      <c r="E5353" s="18"/>
      <c r="F5353" s="18"/>
    </row>
    <row r="5354" spans="5:6" ht="15" customHeight="1" x14ac:dyDescent="0.2">
      <c r="E5354" s="18"/>
      <c r="F5354" s="18"/>
    </row>
    <row r="5355" spans="5:6" ht="15" customHeight="1" x14ac:dyDescent="0.2">
      <c r="E5355" s="18"/>
      <c r="F5355" s="18"/>
    </row>
    <row r="5356" spans="5:6" ht="15" customHeight="1" x14ac:dyDescent="0.2">
      <c r="E5356" s="18"/>
      <c r="F5356" s="18"/>
    </row>
    <row r="5357" spans="5:6" ht="15" customHeight="1" x14ac:dyDescent="0.2">
      <c r="E5357" s="18"/>
      <c r="F5357" s="18"/>
    </row>
    <row r="5358" spans="5:6" ht="15" customHeight="1" x14ac:dyDescent="0.2">
      <c r="E5358" s="18"/>
      <c r="F5358" s="18"/>
    </row>
    <row r="5359" spans="5:6" ht="15" customHeight="1" x14ac:dyDescent="0.2">
      <c r="E5359" s="18"/>
      <c r="F5359" s="18"/>
    </row>
    <row r="5360" spans="5:6" ht="15" customHeight="1" x14ac:dyDescent="0.2">
      <c r="E5360" s="18"/>
      <c r="F5360" s="18"/>
    </row>
    <row r="5361" spans="5:6" ht="15" customHeight="1" x14ac:dyDescent="0.2">
      <c r="E5361" s="18"/>
      <c r="F5361" s="18"/>
    </row>
    <row r="5362" spans="5:6" ht="15" customHeight="1" x14ac:dyDescent="0.2">
      <c r="E5362" s="18"/>
      <c r="F5362" s="18"/>
    </row>
    <row r="5363" spans="5:6" ht="15" customHeight="1" x14ac:dyDescent="0.2">
      <c r="E5363" s="18"/>
      <c r="F5363" s="18"/>
    </row>
    <row r="5364" spans="5:6" ht="15" customHeight="1" x14ac:dyDescent="0.2">
      <c r="E5364" s="18"/>
      <c r="F5364" s="18"/>
    </row>
    <row r="5365" spans="5:6" ht="15" customHeight="1" x14ac:dyDescent="0.2">
      <c r="E5365" s="18"/>
      <c r="F5365" s="18"/>
    </row>
    <row r="5366" spans="5:6" ht="15" customHeight="1" x14ac:dyDescent="0.2">
      <c r="E5366" s="18"/>
      <c r="F5366" s="18"/>
    </row>
    <row r="5367" spans="5:6" ht="15" customHeight="1" x14ac:dyDescent="0.2">
      <c r="E5367" s="18"/>
      <c r="F5367" s="18"/>
    </row>
    <row r="5368" spans="5:6" ht="15" customHeight="1" x14ac:dyDescent="0.2">
      <c r="E5368" s="18"/>
      <c r="F5368" s="18"/>
    </row>
    <row r="5369" spans="5:6" ht="15" customHeight="1" x14ac:dyDescent="0.2">
      <c r="E5369" s="18"/>
      <c r="F5369" s="18"/>
    </row>
    <row r="5370" spans="5:6" ht="15" customHeight="1" x14ac:dyDescent="0.2">
      <c r="E5370" s="18"/>
      <c r="F5370" s="18"/>
    </row>
    <row r="5371" spans="5:6" ht="15" customHeight="1" x14ac:dyDescent="0.2">
      <c r="E5371" s="18"/>
      <c r="F5371" s="18"/>
    </row>
    <row r="5372" spans="5:6" ht="15" customHeight="1" x14ac:dyDescent="0.2">
      <c r="E5372" s="18"/>
      <c r="F5372" s="18"/>
    </row>
    <row r="5373" spans="5:6" ht="15" customHeight="1" x14ac:dyDescent="0.2">
      <c r="E5373" s="18"/>
      <c r="F5373" s="18"/>
    </row>
    <row r="5374" spans="5:6" ht="15" customHeight="1" x14ac:dyDescent="0.2">
      <c r="E5374" s="18"/>
      <c r="F5374" s="18"/>
    </row>
    <row r="5375" spans="5:6" ht="15" customHeight="1" x14ac:dyDescent="0.2">
      <c r="E5375" s="18"/>
      <c r="F5375" s="18"/>
    </row>
    <row r="5376" spans="5:6" ht="15" customHeight="1" x14ac:dyDescent="0.2">
      <c r="E5376" s="18"/>
      <c r="F5376" s="18"/>
    </row>
    <row r="5377" spans="5:6" ht="15" customHeight="1" x14ac:dyDescent="0.2">
      <c r="E5377" s="18"/>
      <c r="F5377" s="18"/>
    </row>
    <row r="5378" spans="5:6" ht="15" customHeight="1" x14ac:dyDescent="0.2">
      <c r="E5378" s="18"/>
      <c r="F5378" s="18"/>
    </row>
    <row r="5379" spans="5:6" ht="15" customHeight="1" x14ac:dyDescent="0.2">
      <c r="E5379" s="18"/>
      <c r="F5379" s="18"/>
    </row>
    <row r="5380" spans="5:6" ht="15" customHeight="1" x14ac:dyDescent="0.2">
      <c r="E5380" s="18"/>
      <c r="F5380" s="18"/>
    </row>
    <row r="5381" spans="5:6" ht="15" customHeight="1" x14ac:dyDescent="0.2">
      <c r="E5381" s="18"/>
      <c r="F5381" s="18"/>
    </row>
    <row r="5382" spans="5:6" ht="15" customHeight="1" x14ac:dyDescent="0.2">
      <c r="E5382" s="18"/>
      <c r="F5382" s="18"/>
    </row>
    <row r="5383" spans="5:6" ht="15" customHeight="1" x14ac:dyDescent="0.2">
      <c r="E5383" s="18"/>
      <c r="F5383" s="18"/>
    </row>
    <row r="5384" spans="5:6" ht="15" customHeight="1" x14ac:dyDescent="0.2">
      <c r="E5384" s="18"/>
      <c r="F5384" s="18"/>
    </row>
    <row r="5385" spans="5:6" ht="15" customHeight="1" x14ac:dyDescent="0.2">
      <c r="E5385" s="18"/>
      <c r="F5385" s="18"/>
    </row>
    <row r="5386" spans="5:6" ht="15" customHeight="1" x14ac:dyDescent="0.2">
      <c r="E5386" s="18"/>
      <c r="F5386" s="18"/>
    </row>
    <row r="5387" spans="5:6" ht="15" customHeight="1" x14ac:dyDescent="0.2">
      <c r="E5387" s="18"/>
      <c r="F5387" s="18"/>
    </row>
    <row r="5388" spans="5:6" ht="15" customHeight="1" x14ac:dyDescent="0.2">
      <c r="E5388" s="18"/>
      <c r="F5388" s="18"/>
    </row>
    <row r="5389" spans="5:6" ht="15" customHeight="1" x14ac:dyDescent="0.2">
      <c r="E5389" s="18"/>
      <c r="F5389" s="18"/>
    </row>
    <row r="5390" spans="5:6" ht="15" customHeight="1" x14ac:dyDescent="0.2">
      <c r="E5390" s="18"/>
      <c r="F5390" s="18"/>
    </row>
    <row r="5391" spans="5:6" ht="15" customHeight="1" x14ac:dyDescent="0.2">
      <c r="E5391" s="18"/>
      <c r="F5391" s="18"/>
    </row>
    <row r="5392" spans="5:6" ht="15" customHeight="1" x14ac:dyDescent="0.2">
      <c r="E5392" s="18"/>
      <c r="F5392" s="18"/>
    </row>
    <row r="5393" spans="5:6" ht="15" customHeight="1" x14ac:dyDescent="0.2">
      <c r="E5393" s="18"/>
      <c r="F5393" s="18"/>
    </row>
    <row r="5394" spans="5:6" ht="15" customHeight="1" x14ac:dyDescent="0.2">
      <c r="E5394" s="18"/>
      <c r="F5394" s="18"/>
    </row>
    <row r="5395" spans="5:6" ht="15" customHeight="1" x14ac:dyDescent="0.2">
      <c r="E5395" s="18"/>
      <c r="F5395" s="18"/>
    </row>
    <row r="5396" spans="5:6" ht="15" customHeight="1" x14ac:dyDescent="0.2">
      <c r="E5396" s="18"/>
      <c r="F5396" s="18"/>
    </row>
    <row r="5397" spans="5:6" ht="15" customHeight="1" x14ac:dyDescent="0.2">
      <c r="E5397" s="18"/>
      <c r="F5397" s="18"/>
    </row>
    <row r="5398" spans="5:6" ht="15" customHeight="1" x14ac:dyDescent="0.2">
      <c r="E5398" s="18"/>
      <c r="F5398" s="18"/>
    </row>
    <row r="5399" spans="5:6" ht="15" customHeight="1" x14ac:dyDescent="0.2">
      <c r="E5399" s="18"/>
      <c r="F5399" s="18"/>
    </row>
    <row r="5400" spans="5:6" ht="15" customHeight="1" x14ac:dyDescent="0.2">
      <c r="E5400" s="18"/>
      <c r="F5400" s="18"/>
    </row>
    <row r="5401" spans="5:6" ht="15" customHeight="1" x14ac:dyDescent="0.2">
      <c r="E5401" s="18"/>
      <c r="F5401" s="18"/>
    </row>
    <row r="5402" spans="5:6" ht="15" customHeight="1" x14ac:dyDescent="0.2">
      <c r="E5402" s="18"/>
      <c r="F5402" s="18"/>
    </row>
    <row r="5403" spans="5:6" ht="15" customHeight="1" x14ac:dyDescent="0.2">
      <c r="E5403" s="18"/>
      <c r="F5403" s="18"/>
    </row>
    <row r="5404" spans="5:6" ht="15" customHeight="1" x14ac:dyDescent="0.2">
      <c r="E5404" s="18"/>
      <c r="F5404" s="18"/>
    </row>
    <row r="5405" spans="5:6" ht="15" customHeight="1" x14ac:dyDescent="0.2">
      <c r="E5405" s="18"/>
      <c r="F5405" s="18"/>
    </row>
    <row r="5406" spans="5:6" ht="15" customHeight="1" x14ac:dyDescent="0.2">
      <c r="E5406" s="18"/>
      <c r="F5406" s="18"/>
    </row>
    <row r="5407" spans="5:6" ht="15" customHeight="1" x14ac:dyDescent="0.2">
      <c r="E5407" s="18"/>
      <c r="F5407" s="18"/>
    </row>
    <row r="5408" spans="5:6" ht="15" customHeight="1" x14ac:dyDescent="0.2">
      <c r="E5408" s="18"/>
      <c r="F5408" s="18"/>
    </row>
    <row r="5409" spans="5:6" ht="15" customHeight="1" x14ac:dyDescent="0.2">
      <c r="E5409" s="18"/>
      <c r="F5409" s="18"/>
    </row>
    <row r="5410" spans="5:6" ht="15" customHeight="1" x14ac:dyDescent="0.2">
      <c r="E5410" s="18"/>
      <c r="F5410" s="18"/>
    </row>
    <row r="5411" spans="5:6" ht="15" customHeight="1" x14ac:dyDescent="0.2">
      <c r="E5411" s="18"/>
      <c r="F5411" s="18"/>
    </row>
    <row r="5412" spans="5:6" ht="15" customHeight="1" x14ac:dyDescent="0.2">
      <c r="E5412" s="18"/>
      <c r="F5412" s="18"/>
    </row>
    <row r="5413" spans="5:6" ht="15" customHeight="1" x14ac:dyDescent="0.2">
      <c r="E5413" s="18"/>
      <c r="F5413" s="18"/>
    </row>
    <row r="5414" spans="5:6" ht="15" customHeight="1" x14ac:dyDescent="0.2">
      <c r="E5414" s="18"/>
      <c r="F5414" s="18"/>
    </row>
    <row r="5415" spans="5:6" ht="15" customHeight="1" x14ac:dyDescent="0.2">
      <c r="E5415" s="18"/>
      <c r="F5415" s="18"/>
    </row>
    <row r="5416" spans="5:6" ht="15" customHeight="1" x14ac:dyDescent="0.2">
      <c r="E5416" s="18"/>
      <c r="F5416" s="18"/>
    </row>
    <row r="5417" spans="5:6" ht="15" customHeight="1" x14ac:dyDescent="0.2">
      <c r="E5417" s="18"/>
      <c r="F5417" s="18"/>
    </row>
    <row r="5418" spans="5:6" ht="15" customHeight="1" x14ac:dyDescent="0.2">
      <c r="E5418" s="18"/>
      <c r="F5418" s="18"/>
    </row>
    <row r="5419" spans="5:6" ht="15" customHeight="1" x14ac:dyDescent="0.2">
      <c r="E5419" s="18"/>
      <c r="F5419" s="18"/>
    </row>
    <row r="5420" spans="5:6" ht="15" customHeight="1" x14ac:dyDescent="0.2">
      <c r="E5420" s="18"/>
      <c r="F5420" s="18"/>
    </row>
    <row r="5421" spans="5:6" ht="15" customHeight="1" x14ac:dyDescent="0.2">
      <c r="E5421" s="18"/>
      <c r="F5421" s="18"/>
    </row>
    <row r="5422" spans="5:6" ht="15" customHeight="1" x14ac:dyDescent="0.2">
      <c r="E5422" s="18"/>
      <c r="F5422" s="18"/>
    </row>
    <row r="5423" spans="5:6" ht="15" customHeight="1" x14ac:dyDescent="0.2">
      <c r="E5423" s="18"/>
      <c r="F5423" s="18"/>
    </row>
    <row r="5424" spans="5:6" ht="15" customHeight="1" x14ac:dyDescent="0.2">
      <c r="E5424" s="18"/>
      <c r="F5424" s="18"/>
    </row>
    <row r="5425" spans="5:6" ht="15" customHeight="1" x14ac:dyDescent="0.2">
      <c r="E5425" s="18"/>
      <c r="F5425" s="18"/>
    </row>
    <row r="5426" spans="5:6" ht="15" customHeight="1" x14ac:dyDescent="0.2">
      <c r="E5426" s="18"/>
      <c r="F5426" s="18"/>
    </row>
    <row r="5427" spans="5:6" ht="15" customHeight="1" x14ac:dyDescent="0.2">
      <c r="E5427" s="18"/>
      <c r="F5427" s="18"/>
    </row>
    <row r="5428" spans="5:6" ht="15" customHeight="1" x14ac:dyDescent="0.2">
      <c r="E5428" s="18"/>
      <c r="F5428" s="18"/>
    </row>
    <row r="5429" spans="5:6" ht="15" customHeight="1" x14ac:dyDescent="0.2">
      <c r="E5429" s="18"/>
      <c r="F5429" s="18"/>
    </row>
    <row r="5430" spans="5:6" ht="15" customHeight="1" x14ac:dyDescent="0.2">
      <c r="E5430" s="18"/>
      <c r="F5430" s="18"/>
    </row>
    <row r="5431" spans="5:6" ht="15" customHeight="1" x14ac:dyDescent="0.2">
      <c r="E5431" s="18"/>
      <c r="F5431" s="18"/>
    </row>
    <row r="5432" spans="5:6" ht="15" customHeight="1" x14ac:dyDescent="0.2">
      <c r="E5432" s="18"/>
      <c r="F5432" s="18"/>
    </row>
    <row r="5433" spans="5:6" ht="15" customHeight="1" x14ac:dyDescent="0.2">
      <c r="E5433" s="18"/>
      <c r="F5433" s="18"/>
    </row>
    <row r="5434" spans="5:6" ht="15" customHeight="1" x14ac:dyDescent="0.2">
      <c r="E5434" s="18"/>
      <c r="F5434" s="18"/>
    </row>
    <row r="5435" spans="5:6" ht="15" customHeight="1" x14ac:dyDescent="0.2">
      <c r="E5435" s="18"/>
      <c r="F5435" s="18"/>
    </row>
    <row r="5436" spans="5:6" ht="15" customHeight="1" x14ac:dyDescent="0.2">
      <c r="E5436" s="18"/>
      <c r="F5436" s="18"/>
    </row>
    <row r="5437" spans="5:6" ht="15" customHeight="1" x14ac:dyDescent="0.2">
      <c r="E5437" s="18"/>
      <c r="F5437" s="18"/>
    </row>
    <row r="5438" spans="5:6" ht="15" customHeight="1" x14ac:dyDescent="0.2">
      <c r="E5438" s="18"/>
      <c r="F5438" s="18"/>
    </row>
    <row r="5439" spans="5:6" ht="15" customHeight="1" x14ac:dyDescent="0.2">
      <c r="E5439" s="18"/>
      <c r="F5439" s="18"/>
    </row>
    <row r="5440" spans="5:6" ht="15" customHeight="1" x14ac:dyDescent="0.2">
      <c r="E5440" s="18"/>
      <c r="F5440" s="18"/>
    </row>
    <row r="5441" spans="5:6" ht="15" customHeight="1" x14ac:dyDescent="0.2">
      <c r="E5441" s="18"/>
      <c r="F5441" s="18"/>
    </row>
    <row r="5442" spans="5:6" ht="15" customHeight="1" x14ac:dyDescent="0.2">
      <c r="E5442" s="18"/>
      <c r="F5442" s="18"/>
    </row>
    <row r="5443" spans="5:6" ht="15" customHeight="1" x14ac:dyDescent="0.2">
      <c r="E5443" s="18"/>
      <c r="F5443" s="18"/>
    </row>
    <row r="5444" spans="5:6" ht="15" customHeight="1" x14ac:dyDescent="0.2">
      <c r="E5444" s="18"/>
      <c r="F5444" s="18"/>
    </row>
    <row r="5445" spans="5:6" ht="15" customHeight="1" x14ac:dyDescent="0.2">
      <c r="E5445" s="18"/>
      <c r="F5445" s="18"/>
    </row>
    <row r="5446" spans="5:6" ht="15" customHeight="1" x14ac:dyDescent="0.2">
      <c r="E5446" s="18"/>
      <c r="F5446" s="18"/>
    </row>
    <row r="5447" spans="5:6" ht="15" customHeight="1" x14ac:dyDescent="0.2">
      <c r="E5447" s="18"/>
      <c r="F5447" s="18"/>
    </row>
    <row r="5448" spans="5:6" ht="15" customHeight="1" x14ac:dyDescent="0.2">
      <c r="E5448" s="18"/>
      <c r="F5448" s="18"/>
    </row>
    <row r="5449" spans="5:6" ht="15" customHeight="1" x14ac:dyDescent="0.2">
      <c r="E5449" s="18"/>
      <c r="F5449" s="18"/>
    </row>
    <row r="5450" spans="5:6" ht="15" customHeight="1" x14ac:dyDescent="0.2">
      <c r="E5450" s="18"/>
      <c r="F5450" s="18"/>
    </row>
    <row r="5451" spans="5:6" ht="15" customHeight="1" x14ac:dyDescent="0.2">
      <c r="E5451" s="18"/>
      <c r="F5451" s="18"/>
    </row>
    <row r="5452" spans="5:6" ht="15" customHeight="1" x14ac:dyDescent="0.2">
      <c r="E5452" s="18"/>
      <c r="F5452" s="18"/>
    </row>
    <row r="5453" spans="5:6" ht="15" customHeight="1" x14ac:dyDescent="0.2">
      <c r="E5453" s="18"/>
      <c r="F5453" s="18"/>
    </row>
    <row r="5454" spans="5:6" ht="15" customHeight="1" x14ac:dyDescent="0.2">
      <c r="E5454" s="18"/>
      <c r="F5454" s="18"/>
    </row>
    <row r="5455" spans="5:6" ht="15" customHeight="1" x14ac:dyDescent="0.2">
      <c r="E5455" s="18"/>
      <c r="F5455" s="18"/>
    </row>
    <row r="5456" spans="5:6" ht="15" customHeight="1" x14ac:dyDescent="0.2">
      <c r="E5456" s="18"/>
      <c r="F5456" s="18"/>
    </row>
    <row r="5457" spans="5:6" ht="15" customHeight="1" x14ac:dyDescent="0.2">
      <c r="E5457" s="18"/>
      <c r="F5457" s="18"/>
    </row>
    <row r="5458" spans="5:6" ht="15" customHeight="1" x14ac:dyDescent="0.2">
      <c r="E5458" s="18"/>
      <c r="F5458" s="18"/>
    </row>
    <row r="5459" spans="5:6" ht="15" customHeight="1" x14ac:dyDescent="0.2">
      <c r="E5459" s="18"/>
      <c r="F5459" s="18"/>
    </row>
    <row r="5460" spans="5:6" ht="15" customHeight="1" x14ac:dyDescent="0.2">
      <c r="E5460" s="18"/>
      <c r="F5460" s="18"/>
    </row>
    <row r="5461" spans="5:6" ht="15" customHeight="1" x14ac:dyDescent="0.2">
      <c r="E5461" s="18"/>
      <c r="F5461" s="18"/>
    </row>
    <row r="5462" spans="5:6" ht="15" customHeight="1" x14ac:dyDescent="0.2">
      <c r="E5462" s="18"/>
      <c r="F5462" s="18"/>
    </row>
    <row r="5463" spans="5:6" ht="15" customHeight="1" x14ac:dyDescent="0.2">
      <c r="E5463" s="18"/>
      <c r="F5463" s="18"/>
    </row>
    <row r="5464" spans="5:6" ht="15" customHeight="1" x14ac:dyDescent="0.2">
      <c r="E5464" s="18"/>
      <c r="F5464" s="18"/>
    </row>
    <row r="5465" spans="5:6" ht="15" customHeight="1" x14ac:dyDescent="0.2">
      <c r="E5465" s="18"/>
      <c r="F5465" s="18"/>
    </row>
    <row r="5466" spans="5:6" ht="15" customHeight="1" x14ac:dyDescent="0.2">
      <c r="E5466" s="18"/>
      <c r="F5466" s="18"/>
    </row>
    <row r="5467" spans="5:6" ht="15" customHeight="1" x14ac:dyDescent="0.2">
      <c r="E5467" s="18"/>
      <c r="F5467" s="18"/>
    </row>
    <row r="5468" spans="5:6" ht="15" customHeight="1" x14ac:dyDescent="0.2">
      <c r="E5468" s="18"/>
      <c r="F5468" s="18"/>
    </row>
    <row r="5469" spans="5:6" ht="15" customHeight="1" x14ac:dyDescent="0.2">
      <c r="E5469" s="18"/>
      <c r="F5469" s="18"/>
    </row>
    <row r="5470" spans="5:6" ht="15" customHeight="1" x14ac:dyDescent="0.2">
      <c r="E5470" s="18"/>
      <c r="F5470" s="18"/>
    </row>
    <row r="5471" spans="5:6" ht="15" customHeight="1" x14ac:dyDescent="0.2">
      <c r="E5471" s="18"/>
      <c r="F5471" s="18"/>
    </row>
    <row r="5472" spans="5:6" ht="15" customHeight="1" x14ac:dyDescent="0.2">
      <c r="E5472" s="18"/>
      <c r="F5472" s="18"/>
    </row>
    <row r="5473" spans="5:6" ht="15" customHeight="1" x14ac:dyDescent="0.2">
      <c r="E5473" s="18"/>
      <c r="F5473" s="18"/>
    </row>
    <row r="5474" spans="5:6" ht="15" customHeight="1" x14ac:dyDescent="0.2">
      <c r="E5474" s="18"/>
      <c r="F5474" s="18"/>
    </row>
    <row r="5475" spans="5:6" ht="15" customHeight="1" x14ac:dyDescent="0.2">
      <c r="E5475" s="18"/>
      <c r="F5475" s="18"/>
    </row>
    <row r="5476" spans="5:6" ht="15" customHeight="1" x14ac:dyDescent="0.2">
      <c r="E5476" s="18"/>
      <c r="F5476" s="18"/>
    </row>
    <row r="5477" spans="5:6" ht="15" customHeight="1" x14ac:dyDescent="0.2">
      <c r="E5477" s="18"/>
      <c r="F5477" s="18"/>
    </row>
    <row r="5478" spans="5:6" ht="15" customHeight="1" x14ac:dyDescent="0.2">
      <c r="E5478" s="18"/>
      <c r="F5478" s="18"/>
    </row>
    <row r="5479" spans="5:6" ht="15" customHeight="1" x14ac:dyDescent="0.2">
      <c r="E5479" s="18"/>
      <c r="F5479" s="18"/>
    </row>
    <row r="5480" spans="5:6" ht="15" customHeight="1" x14ac:dyDescent="0.2">
      <c r="E5480" s="18"/>
      <c r="F5480" s="18"/>
    </row>
    <row r="5481" spans="5:6" ht="15" customHeight="1" x14ac:dyDescent="0.2">
      <c r="E5481" s="18"/>
      <c r="F5481" s="18"/>
    </row>
    <row r="5482" spans="5:6" ht="15" customHeight="1" x14ac:dyDescent="0.2">
      <c r="E5482" s="18"/>
      <c r="F5482" s="18"/>
    </row>
    <row r="5483" spans="5:6" ht="15" customHeight="1" x14ac:dyDescent="0.2">
      <c r="E5483" s="18"/>
      <c r="F5483" s="18"/>
    </row>
    <row r="5484" spans="5:6" ht="15" customHeight="1" x14ac:dyDescent="0.2">
      <c r="E5484" s="18"/>
      <c r="F5484" s="18"/>
    </row>
    <row r="5485" spans="5:6" ht="15" customHeight="1" x14ac:dyDescent="0.2">
      <c r="E5485" s="18"/>
      <c r="F5485" s="18"/>
    </row>
    <row r="5486" spans="5:6" ht="15" customHeight="1" x14ac:dyDescent="0.2">
      <c r="E5486" s="18"/>
      <c r="F5486" s="18"/>
    </row>
    <row r="5487" spans="5:6" ht="15" customHeight="1" x14ac:dyDescent="0.2">
      <c r="E5487" s="18"/>
      <c r="F5487" s="18"/>
    </row>
    <row r="5488" spans="5:6" ht="15" customHeight="1" x14ac:dyDescent="0.2">
      <c r="E5488" s="18"/>
      <c r="F5488" s="18"/>
    </row>
    <row r="5489" spans="5:6" ht="15" customHeight="1" x14ac:dyDescent="0.2">
      <c r="E5489" s="18"/>
      <c r="F5489" s="18"/>
    </row>
    <row r="5490" spans="5:6" ht="15" customHeight="1" x14ac:dyDescent="0.2">
      <c r="E5490" s="18"/>
      <c r="F5490" s="18"/>
    </row>
    <row r="5491" spans="5:6" ht="15" customHeight="1" x14ac:dyDescent="0.2">
      <c r="E5491" s="18"/>
      <c r="F5491" s="18"/>
    </row>
    <row r="5492" spans="5:6" ht="15" customHeight="1" x14ac:dyDescent="0.2">
      <c r="E5492" s="18"/>
      <c r="F5492" s="18"/>
    </row>
    <row r="5493" spans="5:6" ht="15" customHeight="1" x14ac:dyDescent="0.2">
      <c r="E5493" s="18"/>
      <c r="F5493" s="18"/>
    </row>
    <row r="5494" spans="5:6" ht="15" customHeight="1" x14ac:dyDescent="0.2">
      <c r="E5494" s="18"/>
      <c r="F5494" s="18"/>
    </row>
    <row r="5495" spans="5:6" ht="15" customHeight="1" x14ac:dyDescent="0.2">
      <c r="E5495" s="18"/>
      <c r="F5495" s="18"/>
    </row>
    <row r="5496" spans="5:6" ht="15" customHeight="1" x14ac:dyDescent="0.2">
      <c r="E5496" s="18"/>
      <c r="F5496" s="18"/>
    </row>
    <row r="5497" spans="5:6" ht="15" customHeight="1" x14ac:dyDescent="0.2">
      <c r="E5497" s="18"/>
      <c r="F5497" s="18"/>
    </row>
    <row r="5498" spans="5:6" ht="15" customHeight="1" x14ac:dyDescent="0.2">
      <c r="E5498" s="18"/>
      <c r="F5498" s="18"/>
    </row>
    <row r="5499" spans="5:6" ht="15" customHeight="1" x14ac:dyDescent="0.2">
      <c r="E5499" s="18"/>
      <c r="F5499" s="18"/>
    </row>
    <row r="5500" spans="5:6" ht="15" customHeight="1" x14ac:dyDescent="0.2">
      <c r="E5500" s="18"/>
      <c r="F5500" s="18"/>
    </row>
    <row r="5501" spans="5:6" ht="15" customHeight="1" x14ac:dyDescent="0.2">
      <c r="E5501" s="18"/>
      <c r="F5501" s="18"/>
    </row>
    <row r="5502" spans="5:6" ht="15" customHeight="1" x14ac:dyDescent="0.2">
      <c r="E5502" s="18"/>
      <c r="F5502" s="18"/>
    </row>
    <row r="5503" spans="5:6" ht="15" customHeight="1" x14ac:dyDescent="0.2">
      <c r="E5503" s="18"/>
      <c r="F5503" s="18"/>
    </row>
    <row r="5504" spans="5:6" ht="15" customHeight="1" x14ac:dyDescent="0.2">
      <c r="E5504" s="18"/>
      <c r="F5504" s="18"/>
    </row>
    <row r="5505" spans="5:6" ht="15" customHeight="1" x14ac:dyDescent="0.2">
      <c r="E5505" s="18"/>
      <c r="F5505" s="18"/>
    </row>
    <row r="5506" spans="5:6" ht="15" customHeight="1" x14ac:dyDescent="0.2">
      <c r="E5506" s="18"/>
      <c r="F5506" s="18"/>
    </row>
    <row r="5507" spans="5:6" ht="15" customHeight="1" x14ac:dyDescent="0.2">
      <c r="E5507" s="18"/>
      <c r="F5507" s="18"/>
    </row>
    <row r="5508" spans="5:6" ht="15" customHeight="1" x14ac:dyDescent="0.2">
      <c r="E5508" s="18"/>
      <c r="F5508" s="18"/>
    </row>
    <row r="5509" spans="5:6" ht="15" customHeight="1" x14ac:dyDescent="0.2">
      <c r="E5509" s="18"/>
      <c r="F5509" s="18"/>
    </row>
    <row r="5510" spans="5:6" ht="15" customHeight="1" x14ac:dyDescent="0.2">
      <c r="E5510" s="18"/>
      <c r="F5510" s="18"/>
    </row>
    <row r="5511" spans="5:6" ht="15" customHeight="1" x14ac:dyDescent="0.2">
      <c r="E5511" s="18"/>
      <c r="F5511" s="18"/>
    </row>
    <row r="5512" spans="5:6" ht="15" customHeight="1" x14ac:dyDescent="0.2">
      <c r="E5512" s="18"/>
      <c r="F5512" s="18"/>
    </row>
    <row r="5513" spans="5:6" ht="15" customHeight="1" x14ac:dyDescent="0.2">
      <c r="E5513" s="18"/>
      <c r="F5513" s="18"/>
    </row>
    <row r="5514" spans="5:6" ht="15" customHeight="1" x14ac:dyDescent="0.2">
      <c r="E5514" s="18"/>
      <c r="F5514" s="18"/>
    </row>
    <row r="5515" spans="5:6" ht="15" customHeight="1" x14ac:dyDescent="0.2">
      <c r="E5515" s="18"/>
      <c r="F5515" s="18"/>
    </row>
    <row r="5516" spans="5:6" ht="15" customHeight="1" x14ac:dyDescent="0.2">
      <c r="E5516" s="18"/>
      <c r="F5516" s="18"/>
    </row>
    <row r="5517" spans="5:6" ht="15" customHeight="1" x14ac:dyDescent="0.2">
      <c r="E5517" s="18"/>
      <c r="F5517" s="18"/>
    </row>
    <row r="5518" spans="5:6" ht="15" customHeight="1" x14ac:dyDescent="0.2">
      <c r="E5518" s="18"/>
      <c r="F5518" s="18"/>
    </row>
    <row r="5519" spans="5:6" ht="15" customHeight="1" x14ac:dyDescent="0.2">
      <c r="E5519" s="18"/>
      <c r="F5519" s="18"/>
    </row>
    <row r="5520" spans="5:6" ht="15" customHeight="1" x14ac:dyDescent="0.2">
      <c r="E5520" s="18"/>
      <c r="F5520" s="18"/>
    </row>
    <row r="5521" spans="5:6" ht="15" customHeight="1" x14ac:dyDescent="0.2">
      <c r="E5521" s="18"/>
      <c r="F5521" s="18"/>
    </row>
    <row r="5522" spans="5:6" ht="15" customHeight="1" x14ac:dyDescent="0.2">
      <c r="E5522" s="18"/>
      <c r="F5522" s="18"/>
    </row>
    <row r="5523" spans="5:6" ht="15" customHeight="1" x14ac:dyDescent="0.2">
      <c r="E5523" s="18"/>
      <c r="F5523" s="18"/>
    </row>
    <row r="5524" spans="5:6" ht="15" customHeight="1" x14ac:dyDescent="0.2">
      <c r="E5524" s="18"/>
      <c r="F5524" s="18"/>
    </row>
    <row r="5525" spans="5:6" ht="15" customHeight="1" x14ac:dyDescent="0.2">
      <c r="E5525" s="18"/>
      <c r="F5525" s="18"/>
    </row>
    <row r="5526" spans="5:6" ht="15" customHeight="1" x14ac:dyDescent="0.2">
      <c r="E5526" s="18"/>
      <c r="F5526" s="18"/>
    </row>
    <row r="5527" spans="5:6" ht="15" customHeight="1" x14ac:dyDescent="0.2">
      <c r="E5527" s="18"/>
      <c r="F5527" s="18"/>
    </row>
    <row r="5528" spans="5:6" ht="15" customHeight="1" x14ac:dyDescent="0.2">
      <c r="E5528" s="18"/>
      <c r="F5528" s="18"/>
    </row>
    <row r="5529" spans="5:6" ht="15" customHeight="1" x14ac:dyDescent="0.2">
      <c r="E5529" s="18"/>
      <c r="F5529" s="18"/>
    </row>
    <row r="5530" spans="5:6" ht="15" customHeight="1" x14ac:dyDescent="0.2">
      <c r="E5530" s="18"/>
      <c r="F5530" s="18"/>
    </row>
    <row r="5531" spans="5:6" ht="15" customHeight="1" x14ac:dyDescent="0.2">
      <c r="E5531" s="18"/>
      <c r="F5531" s="18"/>
    </row>
    <row r="5532" spans="5:6" ht="15" customHeight="1" x14ac:dyDescent="0.2">
      <c r="E5532" s="18"/>
      <c r="F5532" s="18"/>
    </row>
    <row r="5533" spans="5:6" ht="15" customHeight="1" x14ac:dyDescent="0.2">
      <c r="E5533" s="18"/>
      <c r="F5533" s="18"/>
    </row>
    <row r="5534" spans="5:6" ht="15" customHeight="1" x14ac:dyDescent="0.2">
      <c r="E5534" s="18"/>
      <c r="F5534" s="18"/>
    </row>
    <row r="5535" spans="5:6" ht="15" customHeight="1" x14ac:dyDescent="0.2">
      <c r="E5535" s="18"/>
      <c r="F5535" s="18"/>
    </row>
    <row r="5536" spans="5:6" ht="15" customHeight="1" x14ac:dyDescent="0.2">
      <c r="E5536" s="18"/>
      <c r="F5536" s="18"/>
    </row>
    <row r="5537" spans="5:6" ht="15" customHeight="1" x14ac:dyDescent="0.2">
      <c r="E5537" s="18"/>
      <c r="F5537" s="18"/>
    </row>
    <row r="5538" spans="5:6" ht="15" customHeight="1" x14ac:dyDescent="0.2">
      <c r="E5538" s="18"/>
      <c r="F5538" s="18"/>
    </row>
    <row r="5539" spans="5:6" ht="15" customHeight="1" x14ac:dyDescent="0.2">
      <c r="E5539" s="18"/>
      <c r="F5539" s="18"/>
    </row>
    <row r="5540" spans="5:6" ht="15" customHeight="1" x14ac:dyDescent="0.2">
      <c r="E5540" s="18"/>
      <c r="F5540" s="18"/>
    </row>
    <row r="5541" spans="5:6" ht="15" customHeight="1" x14ac:dyDescent="0.2">
      <c r="E5541" s="18"/>
      <c r="F5541" s="18"/>
    </row>
    <row r="5542" spans="5:6" ht="15" customHeight="1" x14ac:dyDescent="0.2">
      <c r="E5542" s="18"/>
      <c r="F5542" s="18"/>
    </row>
    <row r="5543" spans="5:6" ht="15" customHeight="1" x14ac:dyDescent="0.2">
      <c r="E5543" s="18"/>
      <c r="F5543" s="18"/>
    </row>
    <row r="5544" spans="5:6" ht="15" customHeight="1" x14ac:dyDescent="0.2">
      <c r="E5544" s="18"/>
      <c r="F5544" s="18"/>
    </row>
    <row r="5545" spans="5:6" ht="15" customHeight="1" x14ac:dyDescent="0.2">
      <c r="E5545" s="18"/>
      <c r="F5545" s="18"/>
    </row>
    <row r="5546" spans="5:6" ht="15" customHeight="1" x14ac:dyDescent="0.2">
      <c r="E5546" s="18"/>
      <c r="F5546" s="18"/>
    </row>
    <row r="5547" spans="5:6" ht="15" customHeight="1" x14ac:dyDescent="0.2">
      <c r="E5547" s="18"/>
      <c r="F5547" s="18"/>
    </row>
    <row r="5548" spans="5:6" ht="15" customHeight="1" x14ac:dyDescent="0.2">
      <c r="E5548" s="18"/>
      <c r="F5548" s="18"/>
    </row>
    <row r="5549" spans="5:6" ht="15" customHeight="1" x14ac:dyDescent="0.2">
      <c r="E5549" s="18"/>
      <c r="F5549" s="18"/>
    </row>
    <row r="5550" spans="5:6" ht="15" customHeight="1" x14ac:dyDescent="0.2">
      <c r="E5550" s="18"/>
      <c r="F5550" s="18"/>
    </row>
    <row r="5551" spans="5:6" ht="15" customHeight="1" x14ac:dyDescent="0.2">
      <c r="E5551" s="18"/>
      <c r="F5551" s="18"/>
    </row>
    <row r="5552" spans="5:6" ht="15" customHeight="1" x14ac:dyDescent="0.2">
      <c r="E5552" s="18"/>
      <c r="F5552" s="18"/>
    </row>
    <row r="5553" spans="5:6" ht="15" customHeight="1" x14ac:dyDescent="0.2">
      <c r="E5553" s="18"/>
      <c r="F5553" s="18"/>
    </row>
    <row r="5554" spans="5:6" ht="15" customHeight="1" x14ac:dyDescent="0.2">
      <c r="E5554" s="18"/>
      <c r="F5554" s="18"/>
    </row>
    <row r="5555" spans="5:6" ht="15" customHeight="1" x14ac:dyDescent="0.2">
      <c r="E5555" s="18"/>
      <c r="F5555" s="18"/>
    </row>
    <row r="5556" spans="5:6" ht="15" customHeight="1" x14ac:dyDescent="0.2">
      <c r="E5556" s="18"/>
      <c r="F5556" s="18"/>
    </row>
    <row r="5557" spans="5:6" ht="15" customHeight="1" x14ac:dyDescent="0.2">
      <c r="E5557" s="18"/>
      <c r="F5557" s="18"/>
    </row>
    <row r="5558" spans="5:6" ht="15" customHeight="1" x14ac:dyDescent="0.2">
      <c r="E5558" s="18"/>
      <c r="F5558" s="18"/>
    </row>
    <row r="5559" spans="5:6" ht="15" customHeight="1" x14ac:dyDescent="0.2">
      <c r="E5559" s="18"/>
      <c r="F5559" s="18"/>
    </row>
    <row r="5560" spans="5:6" ht="15" customHeight="1" x14ac:dyDescent="0.2">
      <c r="E5560" s="18"/>
      <c r="F5560" s="18"/>
    </row>
    <row r="5561" spans="5:6" ht="15" customHeight="1" x14ac:dyDescent="0.2">
      <c r="E5561" s="18"/>
      <c r="F5561" s="18"/>
    </row>
    <row r="5562" spans="5:6" ht="15" customHeight="1" x14ac:dyDescent="0.2">
      <c r="E5562" s="18"/>
      <c r="F5562" s="18"/>
    </row>
    <row r="5563" spans="5:6" ht="15" customHeight="1" x14ac:dyDescent="0.2">
      <c r="E5563" s="18"/>
      <c r="F5563" s="18"/>
    </row>
    <row r="5564" spans="5:6" ht="15" customHeight="1" x14ac:dyDescent="0.2">
      <c r="E5564" s="18"/>
      <c r="F5564" s="18"/>
    </row>
    <row r="5565" spans="5:6" ht="15" customHeight="1" x14ac:dyDescent="0.2">
      <c r="E5565" s="18"/>
      <c r="F5565" s="18"/>
    </row>
    <row r="5566" spans="5:6" ht="15" customHeight="1" x14ac:dyDescent="0.2">
      <c r="E5566" s="18"/>
      <c r="F5566" s="18"/>
    </row>
    <row r="5567" spans="5:6" ht="15" customHeight="1" x14ac:dyDescent="0.2">
      <c r="E5567" s="18"/>
      <c r="F5567" s="18"/>
    </row>
    <row r="5568" spans="5:6" ht="15" customHeight="1" x14ac:dyDescent="0.2">
      <c r="E5568" s="18"/>
      <c r="F5568" s="18"/>
    </row>
    <row r="5569" spans="5:6" ht="15" customHeight="1" x14ac:dyDescent="0.2">
      <c r="E5569" s="18"/>
      <c r="F5569" s="18"/>
    </row>
    <row r="5570" spans="5:6" ht="15" customHeight="1" x14ac:dyDescent="0.2">
      <c r="E5570" s="18"/>
      <c r="F5570" s="18"/>
    </row>
    <row r="5571" spans="5:6" ht="15" customHeight="1" x14ac:dyDescent="0.2">
      <c r="E5571" s="18"/>
      <c r="F5571" s="18"/>
    </row>
    <row r="5572" spans="5:6" ht="15" customHeight="1" x14ac:dyDescent="0.2">
      <c r="E5572" s="18"/>
      <c r="F5572" s="18"/>
    </row>
    <row r="5573" spans="5:6" ht="15" customHeight="1" x14ac:dyDescent="0.2">
      <c r="E5573" s="18"/>
      <c r="F5573" s="18"/>
    </row>
    <row r="5574" spans="5:6" ht="15" customHeight="1" x14ac:dyDescent="0.2">
      <c r="E5574" s="18"/>
      <c r="F5574" s="18"/>
    </row>
    <row r="5575" spans="5:6" ht="15" customHeight="1" x14ac:dyDescent="0.2">
      <c r="E5575" s="18"/>
      <c r="F5575" s="18"/>
    </row>
    <row r="5576" spans="5:6" ht="15" customHeight="1" x14ac:dyDescent="0.2">
      <c r="E5576" s="18"/>
      <c r="F5576" s="18"/>
    </row>
    <row r="5577" spans="5:6" ht="15" customHeight="1" x14ac:dyDescent="0.2">
      <c r="E5577" s="18"/>
      <c r="F5577" s="18"/>
    </row>
    <row r="5578" spans="5:6" ht="15" customHeight="1" x14ac:dyDescent="0.2">
      <c r="E5578" s="18"/>
      <c r="F5578" s="18"/>
    </row>
    <row r="5579" spans="5:6" ht="15" customHeight="1" x14ac:dyDescent="0.2">
      <c r="E5579" s="18"/>
      <c r="F5579" s="18"/>
    </row>
    <row r="5580" spans="5:6" ht="15" customHeight="1" x14ac:dyDescent="0.2">
      <c r="E5580" s="18"/>
      <c r="F5580" s="18"/>
    </row>
    <row r="5581" spans="5:6" ht="15" customHeight="1" x14ac:dyDescent="0.2">
      <c r="E5581" s="18"/>
      <c r="F5581" s="18"/>
    </row>
    <row r="5582" spans="5:6" ht="15" customHeight="1" x14ac:dyDescent="0.2">
      <c r="E5582" s="18"/>
      <c r="F5582" s="18"/>
    </row>
    <row r="5583" spans="5:6" ht="15" customHeight="1" x14ac:dyDescent="0.2">
      <c r="E5583" s="18"/>
      <c r="F5583" s="18"/>
    </row>
    <row r="5584" spans="5:6" ht="15" customHeight="1" x14ac:dyDescent="0.2">
      <c r="E5584" s="18"/>
      <c r="F5584" s="18"/>
    </row>
    <row r="5585" spans="5:6" ht="15" customHeight="1" x14ac:dyDescent="0.2">
      <c r="E5585" s="18"/>
      <c r="F5585" s="18"/>
    </row>
    <row r="5586" spans="5:6" ht="15" customHeight="1" x14ac:dyDescent="0.2">
      <c r="E5586" s="18"/>
      <c r="F5586" s="18"/>
    </row>
    <row r="5587" spans="5:6" ht="15" customHeight="1" x14ac:dyDescent="0.2">
      <c r="E5587" s="18"/>
      <c r="F5587" s="18"/>
    </row>
    <row r="5588" spans="5:6" ht="15" customHeight="1" x14ac:dyDescent="0.2">
      <c r="E5588" s="18"/>
      <c r="F5588" s="18"/>
    </row>
    <row r="5589" spans="5:6" ht="15" customHeight="1" x14ac:dyDescent="0.2">
      <c r="E5589" s="18"/>
      <c r="F5589" s="18"/>
    </row>
    <row r="5590" spans="5:6" ht="15" customHeight="1" x14ac:dyDescent="0.2">
      <c r="E5590" s="18"/>
      <c r="F5590" s="18"/>
    </row>
    <row r="5591" spans="5:6" ht="15" customHeight="1" x14ac:dyDescent="0.2">
      <c r="E5591" s="18"/>
      <c r="F5591" s="18"/>
    </row>
    <row r="5592" spans="5:6" ht="15" customHeight="1" x14ac:dyDescent="0.2">
      <c r="E5592" s="18"/>
      <c r="F5592" s="18"/>
    </row>
    <row r="5593" spans="5:6" ht="15" customHeight="1" x14ac:dyDescent="0.2">
      <c r="E5593" s="18"/>
      <c r="F5593" s="18"/>
    </row>
    <row r="5594" spans="5:6" ht="15" customHeight="1" x14ac:dyDescent="0.2">
      <c r="E5594" s="18"/>
      <c r="F5594" s="18"/>
    </row>
    <row r="5595" spans="5:6" ht="15" customHeight="1" x14ac:dyDescent="0.2">
      <c r="E5595" s="18"/>
      <c r="F5595" s="18"/>
    </row>
    <row r="5596" spans="5:6" ht="15" customHeight="1" x14ac:dyDescent="0.2">
      <c r="E5596" s="18"/>
      <c r="F5596" s="18"/>
    </row>
    <row r="5597" spans="5:6" ht="15" customHeight="1" x14ac:dyDescent="0.2">
      <c r="E5597" s="18"/>
      <c r="F5597" s="18"/>
    </row>
    <row r="5598" spans="5:6" ht="15" customHeight="1" x14ac:dyDescent="0.2">
      <c r="E5598" s="18"/>
      <c r="F5598" s="18"/>
    </row>
    <row r="5599" spans="5:6" ht="15" customHeight="1" x14ac:dyDescent="0.2">
      <c r="E5599" s="18"/>
      <c r="F5599" s="18"/>
    </row>
    <row r="5600" spans="5:6" ht="15" customHeight="1" x14ac:dyDescent="0.2">
      <c r="E5600" s="18"/>
      <c r="F5600" s="18"/>
    </row>
    <row r="5601" spans="5:6" ht="15" customHeight="1" x14ac:dyDescent="0.2">
      <c r="E5601" s="18"/>
      <c r="F5601" s="18"/>
    </row>
    <row r="5602" spans="5:6" ht="15" customHeight="1" x14ac:dyDescent="0.2">
      <c r="E5602" s="18"/>
      <c r="F5602" s="18"/>
    </row>
    <row r="5603" spans="5:6" ht="15" customHeight="1" x14ac:dyDescent="0.2">
      <c r="E5603" s="18"/>
      <c r="F5603" s="18"/>
    </row>
    <row r="5604" spans="5:6" ht="15" customHeight="1" x14ac:dyDescent="0.2">
      <c r="E5604" s="18"/>
      <c r="F5604" s="18"/>
    </row>
    <row r="5605" spans="5:6" ht="15" customHeight="1" x14ac:dyDescent="0.2">
      <c r="E5605" s="18"/>
      <c r="F5605" s="18"/>
    </row>
    <row r="5606" spans="5:6" ht="15" customHeight="1" x14ac:dyDescent="0.2">
      <c r="E5606" s="18"/>
      <c r="F5606" s="18"/>
    </row>
    <row r="5607" spans="5:6" ht="15" customHeight="1" x14ac:dyDescent="0.2">
      <c r="E5607" s="18"/>
      <c r="F5607" s="18"/>
    </row>
    <row r="5608" spans="5:6" ht="15" customHeight="1" x14ac:dyDescent="0.2">
      <c r="E5608" s="18"/>
      <c r="F5608" s="18"/>
    </row>
    <row r="5609" spans="5:6" ht="15" customHeight="1" x14ac:dyDescent="0.2">
      <c r="E5609" s="18"/>
      <c r="F5609" s="18"/>
    </row>
    <row r="5610" spans="5:6" ht="15" customHeight="1" x14ac:dyDescent="0.2">
      <c r="E5610" s="18"/>
      <c r="F5610" s="18"/>
    </row>
    <row r="5611" spans="5:6" ht="15" customHeight="1" x14ac:dyDescent="0.2">
      <c r="E5611" s="18"/>
      <c r="F5611" s="18"/>
    </row>
    <row r="5612" spans="5:6" ht="15" customHeight="1" x14ac:dyDescent="0.2">
      <c r="E5612" s="18"/>
      <c r="F5612" s="18"/>
    </row>
    <row r="5613" spans="5:6" ht="15" customHeight="1" x14ac:dyDescent="0.2">
      <c r="E5613" s="18"/>
      <c r="F5613" s="18"/>
    </row>
    <row r="5614" spans="5:6" ht="15" customHeight="1" x14ac:dyDescent="0.2">
      <c r="E5614" s="18"/>
      <c r="F5614" s="18"/>
    </row>
    <row r="5615" spans="5:6" ht="15" customHeight="1" x14ac:dyDescent="0.2">
      <c r="E5615" s="18"/>
      <c r="F5615" s="18"/>
    </row>
    <row r="5616" spans="5:6" ht="15" customHeight="1" x14ac:dyDescent="0.2">
      <c r="E5616" s="18"/>
      <c r="F5616" s="18"/>
    </row>
    <row r="5617" spans="5:6" ht="15" customHeight="1" x14ac:dyDescent="0.2">
      <c r="E5617" s="18"/>
      <c r="F5617" s="18"/>
    </row>
    <row r="5618" spans="5:6" ht="15" customHeight="1" x14ac:dyDescent="0.2">
      <c r="E5618" s="18"/>
      <c r="F5618" s="18"/>
    </row>
    <row r="5619" spans="5:6" ht="15" customHeight="1" x14ac:dyDescent="0.2">
      <c r="E5619" s="18"/>
      <c r="F5619" s="18"/>
    </row>
    <row r="5620" spans="5:6" ht="15" customHeight="1" x14ac:dyDescent="0.2">
      <c r="E5620" s="18"/>
      <c r="F5620" s="18"/>
    </row>
    <row r="5621" spans="5:6" ht="15" customHeight="1" x14ac:dyDescent="0.2">
      <c r="E5621" s="18"/>
      <c r="F5621" s="18"/>
    </row>
    <row r="5622" spans="5:6" ht="15" customHeight="1" x14ac:dyDescent="0.2">
      <c r="E5622" s="18"/>
      <c r="F5622" s="18"/>
    </row>
    <row r="5623" spans="5:6" ht="15" customHeight="1" x14ac:dyDescent="0.2">
      <c r="E5623" s="18"/>
      <c r="F5623" s="18"/>
    </row>
    <row r="5624" spans="5:6" ht="15" customHeight="1" x14ac:dyDescent="0.2">
      <c r="E5624" s="18"/>
      <c r="F5624" s="18"/>
    </row>
    <row r="5625" spans="5:6" ht="15" customHeight="1" x14ac:dyDescent="0.2">
      <c r="E5625" s="18"/>
      <c r="F5625" s="18"/>
    </row>
    <row r="5626" spans="5:6" ht="15" customHeight="1" x14ac:dyDescent="0.2">
      <c r="E5626" s="18"/>
      <c r="F5626" s="18"/>
    </row>
    <row r="5627" spans="5:6" ht="15" customHeight="1" x14ac:dyDescent="0.2">
      <c r="E5627" s="18"/>
      <c r="F5627" s="18"/>
    </row>
    <row r="5628" spans="5:6" ht="15" customHeight="1" x14ac:dyDescent="0.2">
      <c r="E5628" s="18"/>
      <c r="F5628" s="18"/>
    </row>
    <row r="5629" spans="5:6" ht="15" customHeight="1" x14ac:dyDescent="0.2">
      <c r="E5629" s="18"/>
      <c r="F5629" s="18"/>
    </row>
    <row r="5630" spans="5:6" ht="15" customHeight="1" x14ac:dyDescent="0.2">
      <c r="E5630" s="18"/>
      <c r="F5630" s="18"/>
    </row>
    <row r="5631" spans="5:6" ht="15" customHeight="1" x14ac:dyDescent="0.2">
      <c r="E5631" s="18"/>
      <c r="F5631" s="18"/>
    </row>
    <row r="5632" spans="5:6" ht="15" customHeight="1" x14ac:dyDescent="0.2">
      <c r="E5632" s="18"/>
      <c r="F5632" s="18"/>
    </row>
    <row r="5633" spans="5:6" ht="15" customHeight="1" x14ac:dyDescent="0.2">
      <c r="E5633" s="18"/>
      <c r="F5633" s="18"/>
    </row>
    <row r="5634" spans="5:6" ht="15" customHeight="1" x14ac:dyDescent="0.2">
      <c r="E5634" s="18"/>
      <c r="F5634" s="18"/>
    </row>
    <row r="5635" spans="5:6" ht="15" customHeight="1" x14ac:dyDescent="0.2">
      <c r="E5635" s="18"/>
      <c r="F5635" s="18"/>
    </row>
    <row r="5636" spans="5:6" ht="15" customHeight="1" x14ac:dyDescent="0.2">
      <c r="E5636" s="18"/>
      <c r="F5636" s="18"/>
    </row>
    <row r="5637" spans="5:6" ht="15" customHeight="1" x14ac:dyDescent="0.2">
      <c r="E5637" s="18"/>
      <c r="F5637" s="18"/>
    </row>
    <row r="5638" spans="5:6" ht="15" customHeight="1" x14ac:dyDescent="0.2">
      <c r="E5638" s="18"/>
      <c r="F5638" s="18"/>
    </row>
    <row r="5639" spans="5:6" ht="15" customHeight="1" x14ac:dyDescent="0.2">
      <c r="E5639" s="18"/>
      <c r="F5639" s="18"/>
    </row>
    <row r="5640" spans="5:6" ht="15" customHeight="1" x14ac:dyDescent="0.2">
      <c r="E5640" s="18"/>
      <c r="F5640" s="18"/>
    </row>
    <row r="5641" spans="5:6" ht="15" customHeight="1" x14ac:dyDescent="0.2">
      <c r="E5641" s="18"/>
      <c r="F5641" s="18"/>
    </row>
    <row r="5642" spans="5:6" ht="15" customHeight="1" x14ac:dyDescent="0.2">
      <c r="E5642" s="18"/>
      <c r="F5642" s="18"/>
    </row>
    <row r="5643" spans="5:6" ht="15" customHeight="1" x14ac:dyDescent="0.2">
      <c r="E5643" s="18"/>
      <c r="F5643" s="18"/>
    </row>
    <row r="5644" spans="5:6" ht="15" customHeight="1" x14ac:dyDescent="0.2">
      <c r="E5644" s="18"/>
      <c r="F5644" s="18"/>
    </row>
    <row r="5645" spans="5:6" ht="15" customHeight="1" x14ac:dyDescent="0.2">
      <c r="E5645" s="18"/>
      <c r="F5645" s="18"/>
    </row>
    <row r="5646" spans="5:6" ht="15" customHeight="1" x14ac:dyDescent="0.2">
      <c r="E5646" s="18"/>
      <c r="F5646" s="18"/>
    </row>
    <row r="5647" spans="5:6" ht="15" customHeight="1" x14ac:dyDescent="0.2">
      <c r="E5647" s="18"/>
      <c r="F5647" s="18"/>
    </row>
    <row r="5648" spans="5:6" ht="15" customHeight="1" x14ac:dyDescent="0.2">
      <c r="E5648" s="18"/>
      <c r="F5648" s="18"/>
    </row>
    <row r="5649" spans="5:6" ht="15" customHeight="1" x14ac:dyDescent="0.2">
      <c r="E5649" s="18"/>
      <c r="F5649" s="18"/>
    </row>
    <row r="5650" spans="5:6" ht="15" customHeight="1" x14ac:dyDescent="0.2">
      <c r="E5650" s="18"/>
      <c r="F5650" s="18"/>
    </row>
    <row r="5651" spans="5:6" ht="15" customHeight="1" x14ac:dyDescent="0.2">
      <c r="E5651" s="18"/>
      <c r="F5651" s="18"/>
    </row>
    <row r="5652" spans="5:6" ht="15" customHeight="1" x14ac:dyDescent="0.2">
      <c r="E5652" s="18"/>
      <c r="F5652" s="18"/>
    </row>
    <row r="5653" spans="5:6" ht="15" customHeight="1" x14ac:dyDescent="0.2">
      <c r="E5653" s="18"/>
      <c r="F5653" s="18"/>
    </row>
    <row r="5654" spans="5:6" ht="15" customHeight="1" x14ac:dyDescent="0.2">
      <c r="E5654" s="18"/>
      <c r="F5654" s="18"/>
    </row>
    <row r="5655" spans="5:6" ht="15" customHeight="1" x14ac:dyDescent="0.2">
      <c r="E5655" s="18"/>
      <c r="F5655" s="18"/>
    </row>
    <row r="5656" spans="5:6" ht="15" customHeight="1" x14ac:dyDescent="0.2">
      <c r="E5656" s="18"/>
      <c r="F5656" s="18"/>
    </row>
    <row r="5657" spans="5:6" ht="15" customHeight="1" x14ac:dyDescent="0.2">
      <c r="E5657" s="18"/>
      <c r="F5657" s="18"/>
    </row>
    <row r="5658" spans="5:6" ht="15" customHeight="1" x14ac:dyDescent="0.2">
      <c r="E5658" s="18"/>
      <c r="F5658" s="18"/>
    </row>
    <row r="5659" spans="5:6" ht="15" customHeight="1" x14ac:dyDescent="0.2">
      <c r="E5659" s="18"/>
      <c r="F5659" s="18"/>
    </row>
    <row r="5660" spans="5:6" ht="15" customHeight="1" x14ac:dyDescent="0.2">
      <c r="E5660" s="18"/>
      <c r="F5660" s="18"/>
    </row>
    <row r="5661" spans="5:6" ht="15" customHeight="1" x14ac:dyDescent="0.2">
      <c r="E5661" s="18"/>
      <c r="F5661" s="18"/>
    </row>
    <row r="5662" spans="5:6" ht="15" customHeight="1" x14ac:dyDescent="0.2">
      <c r="E5662" s="18"/>
      <c r="F5662" s="18"/>
    </row>
    <row r="5663" spans="5:6" ht="15" customHeight="1" x14ac:dyDescent="0.2">
      <c r="E5663" s="18"/>
      <c r="F5663" s="18"/>
    </row>
    <row r="5664" spans="5:6" ht="15" customHeight="1" x14ac:dyDescent="0.2">
      <c r="E5664" s="18"/>
      <c r="F5664" s="18"/>
    </row>
    <row r="5665" spans="5:6" ht="15" customHeight="1" x14ac:dyDescent="0.2">
      <c r="E5665" s="18"/>
      <c r="F5665" s="18"/>
    </row>
    <row r="5666" spans="5:6" ht="15" customHeight="1" x14ac:dyDescent="0.2">
      <c r="E5666" s="18"/>
      <c r="F5666" s="18"/>
    </row>
    <row r="5667" spans="5:6" ht="15" customHeight="1" x14ac:dyDescent="0.2">
      <c r="E5667" s="18"/>
      <c r="F5667" s="18"/>
    </row>
    <row r="5668" spans="5:6" ht="15" customHeight="1" x14ac:dyDescent="0.2">
      <c r="E5668" s="18"/>
      <c r="F5668" s="18"/>
    </row>
    <row r="5669" spans="5:6" ht="15" customHeight="1" x14ac:dyDescent="0.2">
      <c r="E5669" s="18"/>
      <c r="F5669" s="18"/>
    </row>
    <row r="5670" spans="5:6" ht="15" customHeight="1" x14ac:dyDescent="0.2">
      <c r="E5670" s="18"/>
      <c r="F5670" s="18"/>
    </row>
    <row r="5671" spans="5:6" ht="15" customHeight="1" x14ac:dyDescent="0.2">
      <c r="E5671" s="18"/>
      <c r="F5671" s="18"/>
    </row>
    <row r="5672" spans="5:6" ht="15" customHeight="1" x14ac:dyDescent="0.2">
      <c r="E5672" s="18"/>
      <c r="F5672" s="18"/>
    </row>
    <row r="5673" spans="5:6" ht="15" customHeight="1" x14ac:dyDescent="0.2">
      <c r="E5673" s="18"/>
      <c r="F5673" s="18"/>
    </row>
    <row r="5674" spans="5:6" ht="15" customHeight="1" x14ac:dyDescent="0.2">
      <c r="E5674" s="18"/>
      <c r="F5674" s="18"/>
    </row>
    <row r="5675" spans="5:6" ht="15" customHeight="1" x14ac:dyDescent="0.2">
      <c r="E5675" s="18"/>
      <c r="F5675" s="18"/>
    </row>
    <row r="5676" spans="5:6" ht="15" customHeight="1" x14ac:dyDescent="0.2">
      <c r="E5676" s="18"/>
      <c r="F5676" s="18"/>
    </row>
    <row r="5677" spans="5:6" ht="15" customHeight="1" x14ac:dyDescent="0.2">
      <c r="E5677" s="18"/>
      <c r="F5677" s="18"/>
    </row>
    <row r="5678" spans="5:6" ht="15" customHeight="1" x14ac:dyDescent="0.2">
      <c r="E5678" s="18"/>
      <c r="F5678" s="18"/>
    </row>
    <row r="5679" spans="5:6" ht="15" customHeight="1" x14ac:dyDescent="0.2">
      <c r="E5679" s="18"/>
      <c r="F5679" s="18"/>
    </row>
    <row r="5680" spans="5:6" ht="15" customHeight="1" x14ac:dyDescent="0.2">
      <c r="E5680" s="18"/>
      <c r="F5680" s="18"/>
    </row>
    <row r="5681" spans="5:6" ht="15" customHeight="1" x14ac:dyDescent="0.2">
      <c r="E5681" s="18"/>
      <c r="F5681" s="18"/>
    </row>
    <row r="5682" spans="5:6" ht="15" customHeight="1" x14ac:dyDescent="0.2">
      <c r="E5682" s="18"/>
      <c r="F5682" s="18"/>
    </row>
    <row r="5683" spans="5:6" ht="15" customHeight="1" x14ac:dyDescent="0.2">
      <c r="E5683" s="18"/>
      <c r="F5683" s="18"/>
    </row>
    <row r="5684" spans="5:6" ht="15" customHeight="1" x14ac:dyDescent="0.2">
      <c r="E5684" s="18"/>
      <c r="F5684" s="18"/>
    </row>
    <row r="5685" spans="5:6" ht="15" customHeight="1" x14ac:dyDescent="0.2">
      <c r="E5685" s="18"/>
      <c r="F5685" s="18"/>
    </row>
    <row r="5686" spans="5:6" ht="15" customHeight="1" x14ac:dyDescent="0.2">
      <c r="E5686" s="18"/>
      <c r="F5686" s="18"/>
    </row>
    <row r="5687" spans="5:6" ht="15" customHeight="1" x14ac:dyDescent="0.2">
      <c r="E5687" s="18"/>
      <c r="F5687" s="18"/>
    </row>
    <row r="5688" spans="5:6" ht="15" customHeight="1" x14ac:dyDescent="0.2">
      <c r="E5688" s="18"/>
      <c r="F5688" s="18"/>
    </row>
    <row r="5689" spans="5:6" ht="15" customHeight="1" x14ac:dyDescent="0.2">
      <c r="E5689" s="18"/>
      <c r="F5689" s="18"/>
    </row>
    <row r="5690" spans="5:6" ht="15" customHeight="1" x14ac:dyDescent="0.2">
      <c r="E5690" s="18"/>
      <c r="F5690" s="18"/>
    </row>
    <row r="5691" spans="5:6" ht="15" customHeight="1" x14ac:dyDescent="0.2">
      <c r="E5691" s="18"/>
      <c r="F5691" s="18"/>
    </row>
    <row r="5692" spans="5:6" ht="15" customHeight="1" x14ac:dyDescent="0.2">
      <c r="E5692" s="18"/>
      <c r="F5692" s="18"/>
    </row>
    <row r="5693" spans="5:6" ht="15" customHeight="1" x14ac:dyDescent="0.2">
      <c r="E5693" s="18"/>
      <c r="F5693" s="18"/>
    </row>
    <row r="5694" spans="5:6" ht="15" customHeight="1" x14ac:dyDescent="0.2">
      <c r="E5694" s="18"/>
      <c r="F5694" s="18"/>
    </row>
    <row r="5695" spans="5:6" ht="15" customHeight="1" x14ac:dyDescent="0.2">
      <c r="E5695" s="18"/>
      <c r="F5695" s="18"/>
    </row>
    <row r="5696" spans="5:6" ht="15" customHeight="1" x14ac:dyDescent="0.2">
      <c r="E5696" s="18"/>
      <c r="F5696" s="18"/>
    </row>
    <row r="5697" spans="5:6" ht="15" customHeight="1" x14ac:dyDescent="0.2">
      <c r="E5697" s="18"/>
      <c r="F5697" s="18"/>
    </row>
    <row r="5698" spans="5:6" ht="15" customHeight="1" x14ac:dyDescent="0.2">
      <c r="E5698" s="18"/>
      <c r="F5698" s="18"/>
    </row>
    <row r="5699" spans="5:6" ht="15" customHeight="1" x14ac:dyDescent="0.2">
      <c r="E5699" s="18"/>
      <c r="F5699" s="18"/>
    </row>
    <row r="5700" spans="5:6" ht="15" customHeight="1" x14ac:dyDescent="0.2">
      <c r="E5700" s="18"/>
      <c r="F5700" s="18"/>
    </row>
    <row r="5701" spans="5:6" ht="15" customHeight="1" x14ac:dyDescent="0.2">
      <c r="E5701" s="18"/>
      <c r="F5701" s="18"/>
    </row>
    <row r="5702" spans="5:6" ht="15" customHeight="1" x14ac:dyDescent="0.2">
      <c r="E5702" s="18"/>
      <c r="F5702" s="18"/>
    </row>
    <row r="5703" spans="5:6" ht="15" customHeight="1" x14ac:dyDescent="0.2">
      <c r="E5703" s="18"/>
      <c r="F5703" s="18"/>
    </row>
    <row r="5704" spans="5:6" ht="15" customHeight="1" x14ac:dyDescent="0.2">
      <c r="E5704" s="18"/>
      <c r="F5704" s="18"/>
    </row>
    <row r="5705" spans="5:6" ht="15" customHeight="1" x14ac:dyDescent="0.2">
      <c r="E5705" s="18"/>
      <c r="F5705" s="18"/>
    </row>
    <row r="5706" spans="5:6" ht="15" customHeight="1" x14ac:dyDescent="0.2">
      <c r="E5706" s="18"/>
      <c r="F5706" s="18"/>
    </row>
    <row r="5707" spans="5:6" ht="15" customHeight="1" x14ac:dyDescent="0.2">
      <c r="E5707" s="18"/>
      <c r="F5707" s="18"/>
    </row>
    <row r="5708" spans="5:6" ht="15" customHeight="1" x14ac:dyDescent="0.2">
      <c r="E5708" s="18"/>
      <c r="F5708" s="18"/>
    </row>
    <row r="5709" spans="5:6" ht="15" customHeight="1" x14ac:dyDescent="0.2">
      <c r="E5709" s="18"/>
      <c r="F5709" s="18"/>
    </row>
    <row r="5710" spans="5:6" ht="15" customHeight="1" x14ac:dyDescent="0.2">
      <c r="E5710" s="18"/>
      <c r="F5710" s="18"/>
    </row>
    <row r="5711" spans="5:6" ht="15" customHeight="1" x14ac:dyDescent="0.2">
      <c r="E5711" s="18"/>
      <c r="F5711" s="18"/>
    </row>
    <row r="5712" spans="5:6" ht="15" customHeight="1" x14ac:dyDescent="0.2">
      <c r="E5712" s="18"/>
      <c r="F5712" s="18"/>
    </row>
    <row r="5713" spans="5:6" ht="15" customHeight="1" x14ac:dyDescent="0.2">
      <c r="E5713" s="18"/>
      <c r="F5713" s="18"/>
    </row>
    <row r="5714" spans="5:6" ht="15" customHeight="1" x14ac:dyDescent="0.2">
      <c r="E5714" s="18"/>
      <c r="F5714" s="18"/>
    </row>
    <row r="5715" spans="5:6" ht="15" customHeight="1" x14ac:dyDescent="0.2">
      <c r="E5715" s="18"/>
      <c r="F5715" s="18"/>
    </row>
    <row r="5716" spans="5:6" ht="15" customHeight="1" x14ac:dyDescent="0.2">
      <c r="E5716" s="18"/>
      <c r="F5716" s="18"/>
    </row>
    <row r="5717" spans="5:6" ht="15" customHeight="1" x14ac:dyDescent="0.2">
      <c r="E5717" s="18"/>
      <c r="F5717" s="18"/>
    </row>
    <row r="5718" spans="5:6" ht="15" customHeight="1" x14ac:dyDescent="0.2">
      <c r="E5718" s="18"/>
      <c r="F5718" s="18"/>
    </row>
    <row r="5719" spans="5:6" ht="15" customHeight="1" x14ac:dyDescent="0.2">
      <c r="E5719" s="18"/>
      <c r="F5719" s="18"/>
    </row>
    <row r="5720" spans="5:6" ht="15" customHeight="1" x14ac:dyDescent="0.2">
      <c r="E5720" s="18"/>
      <c r="F5720" s="18"/>
    </row>
    <row r="5721" spans="5:6" ht="15" customHeight="1" x14ac:dyDescent="0.2">
      <c r="E5721" s="18"/>
      <c r="F5721" s="18"/>
    </row>
    <row r="5722" spans="5:6" ht="15" customHeight="1" x14ac:dyDescent="0.2">
      <c r="E5722" s="18"/>
      <c r="F5722" s="18"/>
    </row>
    <row r="5723" spans="5:6" ht="15" customHeight="1" x14ac:dyDescent="0.2">
      <c r="E5723" s="18"/>
      <c r="F5723" s="18"/>
    </row>
    <row r="5724" spans="5:6" ht="15" customHeight="1" x14ac:dyDescent="0.2">
      <c r="E5724" s="18"/>
      <c r="F5724" s="18"/>
    </row>
    <row r="5725" spans="5:6" ht="15" customHeight="1" x14ac:dyDescent="0.2">
      <c r="E5725" s="18"/>
      <c r="F5725" s="18"/>
    </row>
    <row r="5726" spans="5:6" ht="15" customHeight="1" x14ac:dyDescent="0.2">
      <c r="E5726" s="18"/>
      <c r="F5726" s="18"/>
    </row>
    <row r="5727" spans="5:6" ht="15" customHeight="1" x14ac:dyDescent="0.2">
      <c r="E5727" s="18"/>
      <c r="F5727" s="18"/>
    </row>
    <row r="5728" spans="5:6" ht="15" customHeight="1" x14ac:dyDescent="0.2">
      <c r="E5728" s="18"/>
      <c r="F5728" s="18"/>
    </row>
    <row r="5729" spans="5:6" ht="15" customHeight="1" x14ac:dyDescent="0.2">
      <c r="E5729" s="18"/>
      <c r="F5729" s="18"/>
    </row>
    <row r="5730" spans="5:6" ht="15" customHeight="1" x14ac:dyDescent="0.2">
      <c r="E5730" s="18"/>
      <c r="F5730" s="18"/>
    </row>
    <row r="5731" spans="5:6" ht="15" customHeight="1" x14ac:dyDescent="0.2">
      <c r="E5731" s="18"/>
      <c r="F5731" s="18"/>
    </row>
    <row r="5732" spans="5:6" ht="15" customHeight="1" x14ac:dyDescent="0.2">
      <c r="E5732" s="18"/>
      <c r="F5732" s="18"/>
    </row>
    <row r="5733" spans="5:6" ht="15" customHeight="1" x14ac:dyDescent="0.2">
      <c r="E5733" s="18"/>
      <c r="F5733" s="18"/>
    </row>
    <row r="5734" spans="5:6" ht="15" customHeight="1" x14ac:dyDescent="0.2">
      <c r="E5734" s="18"/>
      <c r="F5734" s="18"/>
    </row>
    <row r="5735" spans="5:6" ht="15" customHeight="1" x14ac:dyDescent="0.2">
      <c r="E5735" s="18"/>
      <c r="F5735" s="18"/>
    </row>
    <row r="5736" spans="5:6" ht="15" customHeight="1" x14ac:dyDescent="0.2">
      <c r="E5736" s="18"/>
      <c r="F5736" s="18"/>
    </row>
    <row r="5737" spans="5:6" ht="15" customHeight="1" x14ac:dyDescent="0.2">
      <c r="E5737" s="18"/>
      <c r="F5737" s="18"/>
    </row>
    <row r="5738" spans="5:6" ht="15" customHeight="1" x14ac:dyDescent="0.2">
      <c r="E5738" s="18"/>
      <c r="F5738" s="18"/>
    </row>
    <row r="5739" spans="5:6" ht="15" customHeight="1" x14ac:dyDescent="0.2">
      <c r="E5739" s="18"/>
      <c r="F5739" s="18"/>
    </row>
    <row r="5740" spans="5:6" ht="15" customHeight="1" x14ac:dyDescent="0.2">
      <c r="E5740" s="18"/>
      <c r="F5740" s="18"/>
    </row>
    <row r="5741" spans="5:6" ht="15" customHeight="1" x14ac:dyDescent="0.2">
      <c r="E5741" s="18"/>
      <c r="F5741" s="18"/>
    </row>
    <row r="5742" spans="5:6" ht="15" customHeight="1" x14ac:dyDescent="0.2">
      <c r="E5742" s="18"/>
      <c r="F5742" s="18"/>
    </row>
    <row r="5743" spans="5:6" ht="15" customHeight="1" x14ac:dyDescent="0.2">
      <c r="E5743" s="18"/>
      <c r="F5743" s="18"/>
    </row>
    <row r="5744" spans="5:6" ht="15" customHeight="1" x14ac:dyDescent="0.2">
      <c r="E5744" s="18"/>
      <c r="F5744" s="18"/>
    </row>
    <row r="5745" spans="5:6" ht="15" customHeight="1" x14ac:dyDescent="0.2">
      <c r="E5745" s="18"/>
      <c r="F5745" s="18"/>
    </row>
    <row r="5746" spans="5:6" ht="15" customHeight="1" x14ac:dyDescent="0.2">
      <c r="E5746" s="18"/>
      <c r="F5746" s="18"/>
    </row>
    <row r="5747" spans="5:6" ht="15" customHeight="1" x14ac:dyDescent="0.2">
      <c r="E5747" s="18"/>
      <c r="F5747" s="18"/>
    </row>
    <row r="5748" spans="5:6" ht="15" customHeight="1" x14ac:dyDescent="0.2">
      <c r="E5748" s="18"/>
      <c r="F5748" s="18"/>
    </row>
    <row r="5749" spans="5:6" ht="15" customHeight="1" x14ac:dyDescent="0.2">
      <c r="E5749" s="18"/>
      <c r="F5749" s="18"/>
    </row>
    <row r="5750" spans="5:6" ht="15" customHeight="1" x14ac:dyDescent="0.2">
      <c r="E5750" s="18"/>
      <c r="F5750" s="18"/>
    </row>
    <row r="5751" spans="5:6" ht="15" customHeight="1" x14ac:dyDescent="0.2">
      <c r="E5751" s="18"/>
      <c r="F5751" s="18"/>
    </row>
    <row r="5752" spans="5:6" ht="15" customHeight="1" x14ac:dyDescent="0.2">
      <c r="E5752" s="18"/>
      <c r="F5752" s="18"/>
    </row>
    <row r="5753" spans="5:6" ht="15" customHeight="1" x14ac:dyDescent="0.2">
      <c r="E5753" s="18"/>
      <c r="F5753" s="18"/>
    </row>
    <row r="5754" spans="5:6" ht="15" customHeight="1" x14ac:dyDescent="0.2">
      <c r="E5754" s="18"/>
      <c r="F5754" s="18"/>
    </row>
    <row r="5755" spans="5:6" ht="15" customHeight="1" x14ac:dyDescent="0.2">
      <c r="E5755" s="18"/>
      <c r="F5755" s="18"/>
    </row>
    <row r="5756" spans="5:6" ht="15" customHeight="1" x14ac:dyDescent="0.2">
      <c r="E5756" s="18"/>
      <c r="F5756" s="18"/>
    </row>
    <row r="5757" spans="5:6" ht="15" customHeight="1" x14ac:dyDescent="0.2">
      <c r="E5757" s="18"/>
      <c r="F5757" s="18"/>
    </row>
    <row r="5758" spans="5:6" ht="15" customHeight="1" x14ac:dyDescent="0.2">
      <c r="E5758" s="18"/>
      <c r="F5758" s="18"/>
    </row>
    <row r="5759" spans="5:6" ht="15" customHeight="1" x14ac:dyDescent="0.2">
      <c r="E5759" s="18"/>
      <c r="F5759" s="18"/>
    </row>
    <row r="5760" spans="5:6" ht="15" customHeight="1" x14ac:dyDescent="0.2">
      <c r="E5760" s="18"/>
      <c r="F5760" s="18"/>
    </row>
    <row r="5761" spans="5:6" ht="15" customHeight="1" x14ac:dyDescent="0.2">
      <c r="E5761" s="18"/>
      <c r="F5761" s="18"/>
    </row>
    <row r="5762" spans="5:6" ht="15" customHeight="1" x14ac:dyDescent="0.2">
      <c r="E5762" s="18"/>
      <c r="F5762" s="18"/>
    </row>
    <row r="5763" spans="5:6" ht="15" customHeight="1" x14ac:dyDescent="0.2">
      <c r="E5763" s="18"/>
      <c r="F5763" s="18"/>
    </row>
    <row r="5764" spans="5:6" ht="15" customHeight="1" x14ac:dyDescent="0.2">
      <c r="E5764" s="18"/>
      <c r="F5764" s="18"/>
    </row>
    <row r="5765" spans="5:6" ht="15" customHeight="1" x14ac:dyDescent="0.2">
      <c r="E5765" s="18"/>
      <c r="F5765" s="18"/>
    </row>
    <row r="5766" spans="5:6" ht="15" customHeight="1" x14ac:dyDescent="0.2">
      <c r="E5766" s="18"/>
      <c r="F5766" s="18"/>
    </row>
    <row r="5767" spans="5:6" ht="15" customHeight="1" x14ac:dyDescent="0.2">
      <c r="E5767" s="18"/>
      <c r="F5767" s="18"/>
    </row>
    <row r="5768" spans="5:6" ht="15" customHeight="1" x14ac:dyDescent="0.2">
      <c r="E5768" s="18"/>
      <c r="F5768" s="18"/>
    </row>
    <row r="5769" spans="5:6" ht="15" customHeight="1" x14ac:dyDescent="0.2">
      <c r="E5769" s="18"/>
      <c r="F5769" s="18"/>
    </row>
    <row r="5770" spans="5:6" ht="15" customHeight="1" x14ac:dyDescent="0.2">
      <c r="E5770" s="18"/>
      <c r="F5770" s="18"/>
    </row>
    <row r="5771" spans="5:6" ht="15" customHeight="1" x14ac:dyDescent="0.2">
      <c r="E5771" s="18"/>
      <c r="F5771" s="18"/>
    </row>
    <row r="5772" spans="5:6" ht="15" customHeight="1" x14ac:dyDescent="0.2">
      <c r="E5772" s="18"/>
      <c r="F5772" s="18"/>
    </row>
    <row r="5773" spans="5:6" ht="15" customHeight="1" x14ac:dyDescent="0.2">
      <c r="E5773" s="18"/>
      <c r="F5773" s="18"/>
    </row>
    <row r="5774" spans="5:6" ht="15" customHeight="1" x14ac:dyDescent="0.2">
      <c r="E5774" s="18"/>
      <c r="F5774" s="18"/>
    </row>
    <row r="5775" spans="5:6" ht="15" customHeight="1" x14ac:dyDescent="0.2">
      <c r="E5775" s="18"/>
      <c r="F5775" s="18"/>
    </row>
    <row r="5776" spans="5:6" ht="15" customHeight="1" x14ac:dyDescent="0.2">
      <c r="E5776" s="18"/>
      <c r="F5776" s="18"/>
    </row>
    <row r="5777" spans="5:6" ht="15" customHeight="1" x14ac:dyDescent="0.2">
      <c r="E5777" s="18"/>
      <c r="F5777" s="18"/>
    </row>
    <row r="5778" spans="5:6" ht="15" customHeight="1" x14ac:dyDescent="0.2">
      <c r="E5778" s="18"/>
      <c r="F5778" s="18"/>
    </row>
    <row r="5779" spans="5:6" ht="15" customHeight="1" x14ac:dyDescent="0.2">
      <c r="E5779" s="18"/>
      <c r="F5779" s="18"/>
    </row>
    <row r="5780" spans="5:6" ht="15" customHeight="1" x14ac:dyDescent="0.2">
      <c r="E5780" s="18"/>
      <c r="F5780" s="18"/>
    </row>
    <row r="5781" spans="5:6" ht="15" customHeight="1" x14ac:dyDescent="0.2">
      <c r="E5781" s="18"/>
      <c r="F5781" s="18"/>
    </row>
    <row r="5782" spans="5:6" ht="15" customHeight="1" x14ac:dyDescent="0.2">
      <c r="E5782" s="18"/>
      <c r="F5782" s="18"/>
    </row>
    <row r="5783" spans="5:6" ht="15" customHeight="1" x14ac:dyDescent="0.2">
      <c r="E5783" s="18"/>
      <c r="F5783" s="18"/>
    </row>
    <row r="5784" spans="5:6" ht="15" customHeight="1" x14ac:dyDescent="0.2">
      <c r="E5784" s="18"/>
      <c r="F5784" s="18"/>
    </row>
    <row r="5785" spans="5:6" ht="15" customHeight="1" x14ac:dyDescent="0.2">
      <c r="E5785" s="18"/>
      <c r="F5785" s="18"/>
    </row>
    <row r="5786" spans="5:6" ht="15" customHeight="1" x14ac:dyDescent="0.2">
      <c r="E5786" s="18"/>
      <c r="F5786" s="18"/>
    </row>
    <row r="5787" spans="5:6" ht="15" customHeight="1" x14ac:dyDescent="0.2">
      <c r="E5787" s="18"/>
      <c r="F5787" s="18"/>
    </row>
    <row r="5788" spans="5:6" ht="15" customHeight="1" x14ac:dyDescent="0.2">
      <c r="E5788" s="18"/>
      <c r="F5788" s="18"/>
    </row>
    <row r="5789" spans="5:6" ht="15" customHeight="1" x14ac:dyDescent="0.2">
      <c r="E5789" s="18"/>
      <c r="F5789" s="18"/>
    </row>
    <row r="5790" spans="5:6" ht="15" customHeight="1" x14ac:dyDescent="0.2">
      <c r="E5790" s="18"/>
      <c r="F5790" s="18"/>
    </row>
    <row r="5791" spans="5:6" ht="15" customHeight="1" x14ac:dyDescent="0.2">
      <c r="E5791" s="18"/>
      <c r="F5791" s="18"/>
    </row>
    <row r="5792" spans="5:6" ht="15" customHeight="1" x14ac:dyDescent="0.2">
      <c r="E5792" s="18"/>
      <c r="F5792" s="18"/>
    </row>
    <row r="5793" spans="5:6" ht="15" customHeight="1" x14ac:dyDescent="0.2">
      <c r="E5793" s="18"/>
      <c r="F5793" s="18"/>
    </row>
    <row r="5794" spans="5:6" ht="15" customHeight="1" x14ac:dyDescent="0.2">
      <c r="E5794" s="18"/>
      <c r="F5794" s="18"/>
    </row>
    <row r="5795" spans="5:6" ht="15" customHeight="1" x14ac:dyDescent="0.2">
      <c r="E5795" s="18"/>
      <c r="F5795" s="18"/>
    </row>
    <row r="5796" spans="5:6" ht="15" customHeight="1" x14ac:dyDescent="0.2">
      <c r="E5796" s="18"/>
      <c r="F5796" s="18"/>
    </row>
    <row r="5797" spans="5:6" ht="15" customHeight="1" x14ac:dyDescent="0.2">
      <c r="E5797" s="18"/>
      <c r="F5797" s="18"/>
    </row>
    <row r="5798" spans="5:6" ht="15" customHeight="1" x14ac:dyDescent="0.2">
      <c r="E5798" s="18"/>
      <c r="F5798" s="18"/>
    </row>
    <row r="5799" spans="5:6" ht="15" customHeight="1" x14ac:dyDescent="0.2">
      <c r="E5799" s="18"/>
      <c r="F5799" s="18"/>
    </row>
    <row r="5800" spans="5:6" ht="15" customHeight="1" x14ac:dyDescent="0.2">
      <c r="E5800" s="18"/>
      <c r="F5800" s="18"/>
    </row>
    <row r="5801" spans="5:6" ht="15" customHeight="1" x14ac:dyDescent="0.2">
      <c r="E5801" s="18"/>
      <c r="F5801" s="18"/>
    </row>
    <row r="5802" spans="5:6" ht="15" customHeight="1" x14ac:dyDescent="0.2">
      <c r="E5802" s="18"/>
      <c r="F5802" s="18"/>
    </row>
    <row r="5803" spans="5:6" ht="15" customHeight="1" x14ac:dyDescent="0.2">
      <c r="E5803" s="18"/>
      <c r="F5803" s="18"/>
    </row>
    <row r="5804" spans="5:6" ht="15" customHeight="1" x14ac:dyDescent="0.2">
      <c r="E5804" s="18"/>
      <c r="F5804" s="18"/>
    </row>
    <row r="5805" spans="5:6" ht="15" customHeight="1" x14ac:dyDescent="0.2">
      <c r="E5805" s="18"/>
      <c r="F5805" s="18"/>
    </row>
    <row r="5806" spans="5:6" ht="15" customHeight="1" x14ac:dyDescent="0.2">
      <c r="E5806" s="18"/>
      <c r="F5806" s="18"/>
    </row>
    <row r="5807" spans="5:6" ht="15" customHeight="1" x14ac:dyDescent="0.2">
      <c r="E5807" s="18"/>
      <c r="F5807" s="18"/>
    </row>
    <row r="5808" spans="5:6" ht="15" customHeight="1" x14ac:dyDescent="0.2">
      <c r="E5808" s="18"/>
      <c r="F5808" s="18"/>
    </row>
    <row r="5809" spans="5:6" ht="15" customHeight="1" x14ac:dyDescent="0.2">
      <c r="E5809" s="18"/>
      <c r="F5809" s="18"/>
    </row>
    <row r="5810" spans="5:6" ht="15" customHeight="1" x14ac:dyDescent="0.2">
      <c r="E5810" s="18"/>
      <c r="F5810" s="18"/>
    </row>
    <row r="5811" spans="5:6" ht="15" customHeight="1" x14ac:dyDescent="0.2">
      <c r="E5811" s="18"/>
      <c r="F5811" s="18"/>
    </row>
    <row r="5812" spans="5:6" ht="15" customHeight="1" x14ac:dyDescent="0.2">
      <c r="E5812" s="18"/>
      <c r="F5812" s="18"/>
    </row>
    <row r="5813" spans="5:6" ht="15" customHeight="1" x14ac:dyDescent="0.2">
      <c r="E5813" s="18"/>
      <c r="F5813" s="18"/>
    </row>
    <row r="5814" spans="5:6" ht="15" customHeight="1" x14ac:dyDescent="0.2">
      <c r="E5814" s="18"/>
      <c r="F5814" s="18"/>
    </row>
    <row r="5815" spans="5:6" ht="15" customHeight="1" x14ac:dyDescent="0.2">
      <c r="E5815" s="18"/>
      <c r="F5815" s="18"/>
    </row>
    <row r="5816" spans="5:6" ht="15" customHeight="1" x14ac:dyDescent="0.2">
      <c r="E5816" s="18"/>
      <c r="F5816" s="18"/>
    </row>
    <row r="5817" spans="5:6" ht="15" customHeight="1" x14ac:dyDescent="0.2">
      <c r="E5817" s="18"/>
      <c r="F5817" s="18"/>
    </row>
    <row r="5818" spans="5:6" ht="15" customHeight="1" x14ac:dyDescent="0.2">
      <c r="E5818" s="18"/>
      <c r="F5818" s="18"/>
    </row>
    <row r="5819" spans="5:6" ht="15" customHeight="1" x14ac:dyDescent="0.2">
      <c r="E5819" s="18"/>
      <c r="F5819" s="18"/>
    </row>
    <row r="5820" spans="5:6" ht="15" customHeight="1" x14ac:dyDescent="0.2">
      <c r="E5820" s="18"/>
      <c r="F5820" s="18"/>
    </row>
    <row r="5821" spans="5:6" ht="15" customHeight="1" x14ac:dyDescent="0.2">
      <c r="E5821" s="18"/>
      <c r="F5821" s="18"/>
    </row>
    <row r="5822" spans="5:6" ht="15" customHeight="1" x14ac:dyDescent="0.2">
      <c r="E5822" s="18"/>
      <c r="F5822" s="18"/>
    </row>
    <row r="5823" spans="5:6" ht="15" customHeight="1" x14ac:dyDescent="0.2">
      <c r="E5823" s="18"/>
      <c r="F5823" s="18"/>
    </row>
    <row r="5824" spans="5:6" ht="15" customHeight="1" x14ac:dyDescent="0.2">
      <c r="E5824" s="18"/>
      <c r="F5824" s="18"/>
    </row>
    <row r="5825" spans="5:6" ht="15" customHeight="1" x14ac:dyDescent="0.2">
      <c r="E5825" s="18"/>
      <c r="F5825" s="18"/>
    </row>
    <row r="5826" spans="5:6" ht="15" customHeight="1" x14ac:dyDescent="0.2">
      <c r="E5826" s="18"/>
      <c r="F5826" s="18"/>
    </row>
    <row r="5827" spans="5:6" ht="15" customHeight="1" x14ac:dyDescent="0.2">
      <c r="E5827" s="18"/>
      <c r="F5827" s="18"/>
    </row>
    <row r="5828" spans="5:6" ht="15" customHeight="1" x14ac:dyDescent="0.2">
      <c r="E5828" s="18"/>
      <c r="F5828" s="18"/>
    </row>
    <row r="5829" spans="5:6" ht="15" customHeight="1" x14ac:dyDescent="0.2">
      <c r="E5829" s="18"/>
      <c r="F5829" s="18"/>
    </row>
    <row r="5830" spans="5:6" ht="15" customHeight="1" x14ac:dyDescent="0.2">
      <c r="E5830" s="18"/>
      <c r="F5830" s="18"/>
    </row>
    <row r="5831" spans="5:6" ht="15" customHeight="1" x14ac:dyDescent="0.2">
      <c r="E5831" s="18"/>
      <c r="F5831" s="18"/>
    </row>
    <row r="5832" spans="5:6" ht="15" customHeight="1" x14ac:dyDescent="0.2">
      <c r="E5832" s="18"/>
      <c r="F5832" s="18"/>
    </row>
    <row r="5833" spans="5:6" ht="15" customHeight="1" x14ac:dyDescent="0.2">
      <c r="E5833" s="18"/>
      <c r="F5833" s="18"/>
    </row>
    <row r="5834" spans="5:6" ht="15" customHeight="1" x14ac:dyDescent="0.2">
      <c r="E5834" s="18"/>
      <c r="F5834" s="18"/>
    </row>
    <row r="5835" spans="5:6" ht="15" customHeight="1" x14ac:dyDescent="0.2">
      <c r="E5835" s="18"/>
      <c r="F5835" s="18"/>
    </row>
    <row r="5836" spans="5:6" ht="15" customHeight="1" x14ac:dyDescent="0.2">
      <c r="E5836" s="18"/>
      <c r="F5836" s="18"/>
    </row>
    <row r="5837" spans="5:6" ht="15" customHeight="1" x14ac:dyDescent="0.2">
      <c r="E5837" s="18"/>
      <c r="F5837" s="18"/>
    </row>
    <row r="5838" spans="5:6" ht="15" customHeight="1" x14ac:dyDescent="0.2">
      <c r="E5838" s="18"/>
      <c r="F5838" s="18"/>
    </row>
    <row r="5839" spans="5:6" ht="15" customHeight="1" x14ac:dyDescent="0.2">
      <c r="E5839" s="18"/>
      <c r="F5839" s="18"/>
    </row>
    <row r="5840" spans="5:6" ht="15" customHeight="1" x14ac:dyDescent="0.2">
      <c r="E5840" s="18"/>
      <c r="F5840" s="18"/>
    </row>
    <row r="5841" spans="5:6" ht="15" customHeight="1" x14ac:dyDescent="0.2">
      <c r="E5841" s="18"/>
      <c r="F5841" s="18"/>
    </row>
    <row r="5842" spans="5:6" ht="15" customHeight="1" x14ac:dyDescent="0.2">
      <c r="E5842" s="18"/>
      <c r="F5842" s="18"/>
    </row>
    <row r="5843" spans="5:6" ht="15" customHeight="1" x14ac:dyDescent="0.2">
      <c r="E5843" s="18"/>
      <c r="F5843" s="18"/>
    </row>
    <row r="5844" spans="5:6" ht="15" customHeight="1" x14ac:dyDescent="0.2">
      <c r="E5844" s="18"/>
      <c r="F5844" s="18"/>
    </row>
    <row r="5845" spans="5:6" ht="15" customHeight="1" x14ac:dyDescent="0.2">
      <c r="E5845" s="18"/>
      <c r="F5845" s="18"/>
    </row>
    <row r="5846" spans="5:6" ht="15" customHeight="1" x14ac:dyDescent="0.2">
      <c r="E5846" s="18"/>
      <c r="F5846" s="18"/>
    </row>
    <row r="5847" spans="5:6" ht="15" customHeight="1" x14ac:dyDescent="0.2">
      <c r="E5847" s="18"/>
      <c r="F5847" s="18"/>
    </row>
    <row r="5848" spans="5:6" ht="15" customHeight="1" x14ac:dyDescent="0.2">
      <c r="E5848" s="18"/>
      <c r="F5848" s="18"/>
    </row>
    <row r="5849" spans="5:6" ht="15" customHeight="1" x14ac:dyDescent="0.2">
      <c r="E5849" s="18"/>
      <c r="F5849" s="18"/>
    </row>
    <row r="5850" spans="5:6" ht="15" customHeight="1" x14ac:dyDescent="0.2">
      <c r="E5850" s="18"/>
      <c r="F5850" s="18"/>
    </row>
    <row r="5851" spans="5:6" ht="15" customHeight="1" x14ac:dyDescent="0.2">
      <c r="E5851" s="18"/>
      <c r="F5851" s="18"/>
    </row>
    <row r="5852" spans="5:6" ht="15" customHeight="1" x14ac:dyDescent="0.2">
      <c r="E5852" s="18"/>
      <c r="F5852" s="18"/>
    </row>
    <row r="5853" spans="5:6" ht="15" customHeight="1" x14ac:dyDescent="0.2">
      <c r="E5853" s="18"/>
      <c r="F5853" s="18"/>
    </row>
    <row r="5854" spans="5:6" ht="15" customHeight="1" x14ac:dyDescent="0.2">
      <c r="E5854" s="18"/>
      <c r="F5854" s="18"/>
    </row>
    <row r="5855" spans="5:6" ht="15" customHeight="1" x14ac:dyDescent="0.2">
      <c r="E5855" s="18"/>
      <c r="F5855" s="18"/>
    </row>
    <row r="5856" spans="5:6" ht="15" customHeight="1" x14ac:dyDescent="0.2">
      <c r="E5856" s="18"/>
      <c r="F5856" s="18"/>
    </row>
    <row r="5857" spans="5:6" ht="15" customHeight="1" x14ac:dyDescent="0.2">
      <c r="E5857" s="18"/>
      <c r="F5857" s="18"/>
    </row>
    <row r="5858" spans="5:6" ht="15" customHeight="1" x14ac:dyDescent="0.2">
      <c r="E5858" s="18"/>
      <c r="F5858" s="18"/>
    </row>
    <row r="5859" spans="5:6" ht="15" customHeight="1" x14ac:dyDescent="0.2">
      <c r="E5859" s="18"/>
      <c r="F5859" s="18"/>
    </row>
    <row r="5860" spans="5:6" ht="15" customHeight="1" x14ac:dyDescent="0.2">
      <c r="E5860" s="18"/>
      <c r="F5860" s="18"/>
    </row>
    <row r="5861" spans="5:6" ht="15" customHeight="1" x14ac:dyDescent="0.2">
      <c r="E5861" s="18"/>
      <c r="F5861" s="18"/>
    </row>
    <row r="5862" spans="5:6" ht="15" customHeight="1" x14ac:dyDescent="0.2">
      <c r="E5862" s="18"/>
      <c r="F5862" s="18"/>
    </row>
    <row r="5863" spans="5:6" ht="15" customHeight="1" x14ac:dyDescent="0.2">
      <c r="E5863" s="18"/>
      <c r="F5863" s="18"/>
    </row>
    <row r="5864" spans="5:6" ht="15" customHeight="1" x14ac:dyDescent="0.2">
      <c r="E5864" s="18"/>
      <c r="F5864" s="18"/>
    </row>
    <row r="5865" spans="5:6" ht="15" customHeight="1" x14ac:dyDescent="0.2">
      <c r="E5865" s="18"/>
      <c r="F5865" s="18"/>
    </row>
    <row r="5866" spans="5:6" ht="15" customHeight="1" x14ac:dyDescent="0.2">
      <c r="E5866" s="18"/>
      <c r="F5866" s="18"/>
    </row>
    <row r="5867" spans="5:6" ht="15" customHeight="1" x14ac:dyDescent="0.2">
      <c r="E5867" s="18"/>
      <c r="F5867" s="18"/>
    </row>
    <row r="5868" spans="5:6" ht="15" customHeight="1" x14ac:dyDescent="0.2">
      <c r="E5868" s="18"/>
      <c r="F5868" s="18"/>
    </row>
    <row r="5869" spans="5:6" ht="15" customHeight="1" x14ac:dyDescent="0.2">
      <c r="E5869" s="18"/>
      <c r="F5869" s="18"/>
    </row>
    <row r="5870" spans="5:6" ht="15" customHeight="1" x14ac:dyDescent="0.2">
      <c r="E5870" s="18"/>
      <c r="F5870" s="18"/>
    </row>
    <row r="5871" spans="5:6" ht="15" customHeight="1" x14ac:dyDescent="0.2">
      <c r="E5871" s="18"/>
      <c r="F5871" s="18"/>
    </row>
    <row r="5872" spans="5:6" ht="15" customHeight="1" x14ac:dyDescent="0.2">
      <c r="E5872" s="18"/>
      <c r="F5872" s="18"/>
    </row>
    <row r="5873" spans="5:6" ht="15" customHeight="1" x14ac:dyDescent="0.2">
      <c r="E5873" s="18"/>
      <c r="F5873" s="18"/>
    </row>
    <row r="5874" spans="5:6" ht="15" customHeight="1" x14ac:dyDescent="0.2">
      <c r="E5874" s="18"/>
      <c r="F5874" s="18"/>
    </row>
    <row r="5875" spans="5:6" ht="15" customHeight="1" x14ac:dyDescent="0.2">
      <c r="E5875" s="18"/>
      <c r="F5875" s="18"/>
    </row>
    <row r="5876" spans="5:6" ht="15" customHeight="1" x14ac:dyDescent="0.2">
      <c r="E5876" s="18"/>
      <c r="F5876" s="18"/>
    </row>
    <row r="5877" spans="5:6" ht="15" customHeight="1" x14ac:dyDescent="0.2">
      <c r="E5877" s="18"/>
      <c r="F5877" s="18"/>
    </row>
    <row r="5878" spans="5:6" ht="15" customHeight="1" x14ac:dyDescent="0.2">
      <c r="E5878" s="18"/>
      <c r="F5878" s="18"/>
    </row>
    <row r="5879" spans="5:6" ht="15" customHeight="1" x14ac:dyDescent="0.2">
      <c r="E5879" s="18"/>
      <c r="F5879" s="18"/>
    </row>
    <row r="5880" spans="5:6" ht="15" customHeight="1" x14ac:dyDescent="0.2">
      <c r="E5880" s="18"/>
      <c r="F5880" s="18"/>
    </row>
    <row r="5881" spans="5:6" ht="15" customHeight="1" x14ac:dyDescent="0.2">
      <c r="E5881" s="18"/>
      <c r="F5881" s="18"/>
    </row>
    <row r="5882" spans="5:6" ht="15" customHeight="1" x14ac:dyDescent="0.2">
      <c r="E5882" s="18"/>
      <c r="F5882" s="18"/>
    </row>
    <row r="5883" spans="5:6" ht="15" customHeight="1" x14ac:dyDescent="0.2">
      <c r="E5883" s="18"/>
      <c r="F5883" s="18"/>
    </row>
    <row r="5884" spans="5:6" ht="15" customHeight="1" x14ac:dyDescent="0.2">
      <c r="E5884" s="18"/>
      <c r="F5884" s="18"/>
    </row>
    <row r="5885" spans="5:6" ht="15" customHeight="1" x14ac:dyDescent="0.2">
      <c r="E5885" s="18"/>
      <c r="F5885" s="18"/>
    </row>
    <row r="5886" spans="5:6" ht="15" customHeight="1" x14ac:dyDescent="0.2">
      <c r="E5886" s="18"/>
      <c r="F5886" s="18"/>
    </row>
    <row r="5887" spans="5:6" ht="15" customHeight="1" x14ac:dyDescent="0.2">
      <c r="E5887" s="18"/>
      <c r="F5887" s="18"/>
    </row>
    <row r="5888" spans="5:6" ht="15" customHeight="1" x14ac:dyDescent="0.2">
      <c r="E5888" s="18"/>
      <c r="F5888" s="18"/>
    </row>
    <row r="5889" spans="5:6" ht="15" customHeight="1" x14ac:dyDescent="0.2">
      <c r="E5889" s="18"/>
      <c r="F5889" s="18"/>
    </row>
    <row r="5890" spans="5:6" ht="15" customHeight="1" x14ac:dyDescent="0.2">
      <c r="E5890" s="18"/>
      <c r="F5890" s="18"/>
    </row>
    <row r="5891" spans="5:6" ht="15" customHeight="1" x14ac:dyDescent="0.2">
      <c r="E5891" s="18"/>
      <c r="F5891" s="18"/>
    </row>
    <row r="5892" spans="5:6" ht="15" customHeight="1" x14ac:dyDescent="0.2">
      <c r="E5892" s="18"/>
      <c r="F5892" s="18"/>
    </row>
    <row r="5893" spans="5:6" ht="15" customHeight="1" x14ac:dyDescent="0.2">
      <c r="E5893" s="18"/>
      <c r="F5893" s="18"/>
    </row>
    <row r="5894" spans="5:6" ht="15" customHeight="1" x14ac:dyDescent="0.2">
      <c r="E5894" s="18"/>
      <c r="F5894" s="18"/>
    </row>
    <row r="5895" spans="5:6" ht="15" customHeight="1" x14ac:dyDescent="0.2">
      <c r="E5895" s="18"/>
      <c r="F5895" s="18"/>
    </row>
    <row r="5896" spans="5:6" ht="15" customHeight="1" x14ac:dyDescent="0.2">
      <c r="E5896" s="18"/>
      <c r="F5896" s="18"/>
    </row>
    <row r="5897" spans="5:6" ht="15" customHeight="1" x14ac:dyDescent="0.2">
      <c r="E5897" s="18"/>
      <c r="F5897" s="18"/>
    </row>
    <row r="5898" spans="5:6" ht="15" customHeight="1" x14ac:dyDescent="0.2">
      <c r="E5898" s="18"/>
      <c r="F5898" s="18"/>
    </row>
    <row r="5899" spans="5:6" ht="15" customHeight="1" x14ac:dyDescent="0.2">
      <c r="E5899" s="18"/>
      <c r="F5899" s="18"/>
    </row>
    <row r="5900" spans="5:6" ht="15" customHeight="1" x14ac:dyDescent="0.2">
      <c r="E5900" s="18"/>
      <c r="F5900" s="18"/>
    </row>
    <row r="5901" spans="5:6" ht="15" customHeight="1" x14ac:dyDescent="0.2">
      <c r="E5901" s="18"/>
      <c r="F5901" s="18"/>
    </row>
    <row r="5902" spans="5:6" ht="15" customHeight="1" x14ac:dyDescent="0.2">
      <c r="E5902" s="18"/>
      <c r="F5902" s="18"/>
    </row>
    <row r="5903" spans="5:6" ht="15" customHeight="1" x14ac:dyDescent="0.2">
      <c r="E5903" s="18"/>
      <c r="F5903" s="18"/>
    </row>
    <row r="5904" spans="5:6" ht="15" customHeight="1" x14ac:dyDescent="0.2">
      <c r="E5904" s="18"/>
      <c r="F5904" s="18"/>
    </row>
    <row r="5905" spans="5:6" ht="15" customHeight="1" x14ac:dyDescent="0.2">
      <c r="E5905" s="18"/>
      <c r="F5905" s="18"/>
    </row>
    <row r="5906" spans="5:6" ht="15" customHeight="1" x14ac:dyDescent="0.2">
      <c r="E5906" s="18"/>
      <c r="F5906" s="18"/>
    </row>
    <row r="5907" spans="5:6" ht="15" customHeight="1" x14ac:dyDescent="0.2">
      <c r="E5907" s="18"/>
      <c r="F5907" s="18"/>
    </row>
    <row r="5908" spans="5:6" ht="15" customHeight="1" x14ac:dyDescent="0.2">
      <c r="E5908" s="18"/>
      <c r="F5908" s="18"/>
    </row>
    <row r="5909" spans="5:6" ht="15" customHeight="1" x14ac:dyDescent="0.2">
      <c r="E5909" s="18"/>
      <c r="F5909" s="18"/>
    </row>
    <row r="5910" spans="5:6" ht="15" customHeight="1" x14ac:dyDescent="0.2">
      <c r="E5910" s="18"/>
      <c r="F5910" s="18"/>
    </row>
    <row r="5911" spans="5:6" ht="15" customHeight="1" x14ac:dyDescent="0.2">
      <c r="E5911" s="18"/>
      <c r="F5911" s="18"/>
    </row>
    <row r="5912" spans="5:6" ht="15" customHeight="1" x14ac:dyDescent="0.2">
      <c r="E5912" s="18"/>
      <c r="F5912" s="18"/>
    </row>
    <row r="5913" spans="5:6" ht="15" customHeight="1" x14ac:dyDescent="0.2">
      <c r="E5913" s="18"/>
      <c r="F5913" s="18"/>
    </row>
    <row r="5914" spans="5:6" ht="15" customHeight="1" x14ac:dyDescent="0.2">
      <c r="E5914" s="18"/>
      <c r="F5914" s="18"/>
    </row>
    <row r="5915" spans="5:6" ht="15" customHeight="1" x14ac:dyDescent="0.2">
      <c r="E5915" s="18"/>
      <c r="F5915" s="18"/>
    </row>
    <row r="5916" spans="5:6" ht="15" customHeight="1" x14ac:dyDescent="0.2">
      <c r="E5916" s="18"/>
      <c r="F5916" s="18"/>
    </row>
    <row r="5917" spans="5:6" ht="15" customHeight="1" x14ac:dyDescent="0.2">
      <c r="E5917" s="18"/>
      <c r="F5917" s="18"/>
    </row>
    <row r="5918" spans="5:6" ht="15" customHeight="1" x14ac:dyDescent="0.2">
      <c r="E5918" s="18"/>
      <c r="F5918" s="18"/>
    </row>
    <row r="5919" spans="5:6" ht="15" customHeight="1" x14ac:dyDescent="0.2">
      <c r="E5919" s="18"/>
      <c r="F5919" s="18"/>
    </row>
    <row r="5920" spans="5:6" ht="15" customHeight="1" x14ac:dyDescent="0.2">
      <c r="E5920" s="18"/>
      <c r="F5920" s="18"/>
    </row>
    <row r="5921" spans="5:6" ht="15" customHeight="1" x14ac:dyDescent="0.2">
      <c r="E5921" s="18"/>
      <c r="F5921" s="18"/>
    </row>
    <row r="5922" spans="5:6" ht="15" customHeight="1" x14ac:dyDescent="0.2">
      <c r="E5922" s="18"/>
      <c r="F5922" s="18"/>
    </row>
    <row r="5923" spans="5:6" ht="15" customHeight="1" x14ac:dyDescent="0.2">
      <c r="E5923" s="18"/>
      <c r="F5923" s="18"/>
    </row>
    <row r="5924" spans="5:6" ht="15" customHeight="1" x14ac:dyDescent="0.2">
      <c r="E5924" s="18"/>
      <c r="F5924" s="18"/>
    </row>
    <row r="5925" spans="5:6" ht="15" customHeight="1" x14ac:dyDescent="0.2">
      <c r="E5925" s="18"/>
      <c r="F5925" s="18"/>
    </row>
    <row r="5926" spans="5:6" ht="15" customHeight="1" x14ac:dyDescent="0.2">
      <c r="E5926" s="18"/>
      <c r="F5926" s="18"/>
    </row>
    <row r="5927" spans="5:6" ht="15" customHeight="1" x14ac:dyDescent="0.2">
      <c r="E5927" s="18"/>
      <c r="F5927" s="18"/>
    </row>
    <row r="5928" spans="5:6" ht="15" customHeight="1" x14ac:dyDescent="0.2">
      <c r="E5928" s="18"/>
      <c r="F5928" s="18"/>
    </row>
    <row r="5929" spans="5:6" ht="15" customHeight="1" x14ac:dyDescent="0.2">
      <c r="E5929" s="18"/>
      <c r="F5929" s="18"/>
    </row>
    <row r="5930" spans="5:6" ht="15" customHeight="1" x14ac:dyDescent="0.2">
      <c r="E5930" s="18"/>
      <c r="F5930" s="18"/>
    </row>
    <row r="5931" spans="5:6" ht="15" customHeight="1" x14ac:dyDescent="0.2">
      <c r="E5931" s="18"/>
      <c r="F5931" s="18"/>
    </row>
    <row r="5932" spans="5:6" ht="15" customHeight="1" x14ac:dyDescent="0.2">
      <c r="E5932" s="18"/>
      <c r="F5932" s="18"/>
    </row>
    <row r="5933" spans="5:6" ht="15" customHeight="1" x14ac:dyDescent="0.2">
      <c r="E5933" s="18"/>
      <c r="F5933" s="18"/>
    </row>
    <row r="5934" spans="5:6" ht="15" customHeight="1" x14ac:dyDescent="0.2">
      <c r="E5934" s="18"/>
      <c r="F5934" s="18"/>
    </row>
    <row r="5935" spans="5:6" ht="15" customHeight="1" x14ac:dyDescent="0.2">
      <c r="E5935" s="18"/>
      <c r="F5935" s="18"/>
    </row>
    <row r="5936" spans="5:6" ht="15" customHeight="1" x14ac:dyDescent="0.2">
      <c r="E5936" s="18"/>
      <c r="F5936" s="18"/>
    </row>
    <row r="5937" spans="5:6" ht="15" customHeight="1" x14ac:dyDescent="0.2">
      <c r="E5937" s="18"/>
      <c r="F5937" s="18"/>
    </row>
    <row r="5938" spans="5:6" ht="15" customHeight="1" x14ac:dyDescent="0.2">
      <c r="E5938" s="18"/>
      <c r="F5938" s="18"/>
    </row>
    <row r="5939" spans="5:6" ht="15" customHeight="1" x14ac:dyDescent="0.2">
      <c r="E5939" s="18"/>
      <c r="F5939" s="18"/>
    </row>
    <row r="5940" spans="5:6" ht="15" customHeight="1" x14ac:dyDescent="0.2">
      <c r="E5940" s="18"/>
      <c r="F5940" s="18"/>
    </row>
    <row r="5941" spans="5:6" ht="15" customHeight="1" x14ac:dyDescent="0.2">
      <c r="E5941" s="18"/>
      <c r="F5941" s="18"/>
    </row>
    <row r="5942" spans="5:6" ht="15" customHeight="1" x14ac:dyDescent="0.2">
      <c r="E5942" s="18"/>
      <c r="F5942" s="18"/>
    </row>
    <row r="5943" spans="5:6" ht="15" customHeight="1" x14ac:dyDescent="0.2">
      <c r="E5943" s="18"/>
      <c r="F5943" s="18"/>
    </row>
    <row r="5944" spans="5:6" ht="15" customHeight="1" x14ac:dyDescent="0.2">
      <c r="E5944" s="18"/>
      <c r="F5944" s="18"/>
    </row>
    <row r="5945" spans="5:6" ht="15" customHeight="1" x14ac:dyDescent="0.2">
      <c r="E5945" s="18"/>
      <c r="F5945" s="18"/>
    </row>
    <row r="5946" spans="5:6" ht="15" customHeight="1" x14ac:dyDescent="0.2">
      <c r="E5946" s="18"/>
      <c r="F5946" s="18"/>
    </row>
    <row r="5947" spans="5:6" ht="15" customHeight="1" x14ac:dyDescent="0.2">
      <c r="E5947" s="18"/>
      <c r="F5947" s="18"/>
    </row>
    <row r="5948" spans="5:6" ht="15" customHeight="1" x14ac:dyDescent="0.2">
      <c r="E5948" s="18"/>
      <c r="F5948" s="18"/>
    </row>
    <row r="5949" spans="5:6" ht="15" customHeight="1" x14ac:dyDescent="0.2">
      <c r="E5949" s="18"/>
      <c r="F5949" s="18"/>
    </row>
    <row r="5950" spans="5:6" ht="15" customHeight="1" x14ac:dyDescent="0.2">
      <c r="E5950" s="18"/>
      <c r="F5950" s="18"/>
    </row>
    <row r="5951" spans="5:6" ht="15" customHeight="1" x14ac:dyDescent="0.2">
      <c r="E5951" s="18"/>
      <c r="F5951" s="18"/>
    </row>
    <row r="5952" spans="5:6" ht="15" customHeight="1" x14ac:dyDescent="0.2">
      <c r="E5952" s="18"/>
      <c r="F5952" s="18"/>
    </row>
    <row r="5953" spans="5:6" ht="15" customHeight="1" x14ac:dyDescent="0.2">
      <c r="E5953" s="18"/>
      <c r="F5953" s="18"/>
    </row>
    <row r="5954" spans="5:6" ht="15" customHeight="1" x14ac:dyDescent="0.2">
      <c r="E5954" s="18"/>
      <c r="F5954" s="18"/>
    </row>
    <row r="5955" spans="5:6" ht="15" customHeight="1" x14ac:dyDescent="0.2">
      <c r="E5955" s="18"/>
      <c r="F5955" s="18"/>
    </row>
    <row r="5956" spans="5:6" ht="15" customHeight="1" x14ac:dyDescent="0.2">
      <c r="E5956" s="18"/>
      <c r="F5956" s="18"/>
    </row>
    <row r="5957" spans="5:6" ht="15" customHeight="1" x14ac:dyDescent="0.2">
      <c r="E5957" s="18"/>
      <c r="F5957" s="18"/>
    </row>
    <row r="5958" spans="5:6" ht="15" customHeight="1" x14ac:dyDescent="0.2">
      <c r="E5958" s="18"/>
      <c r="F5958" s="18"/>
    </row>
    <row r="5959" spans="5:6" ht="15" customHeight="1" x14ac:dyDescent="0.2">
      <c r="E5959" s="18"/>
      <c r="F5959" s="18"/>
    </row>
    <row r="5960" spans="5:6" ht="15" customHeight="1" x14ac:dyDescent="0.2">
      <c r="E5960" s="18"/>
      <c r="F5960" s="18"/>
    </row>
    <row r="5961" spans="5:6" ht="15" customHeight="1" x14ac:dyDescent="0.2">
      <c r="E5961" s="18"/>
      <c r="F5961" s="18"/>
    </row>
    <row r="5962" spans="5:6" ht="15" customHeight="1" x14ac:dyDescent="0.2">
      <c r="E5962" s="18"/>
      <c r="F5962" s="18"/>
    </row>
    <row r="5963" spans="5:6" ht="15" customHeight="1" x14ac:dyDescent="0.2">
      <c r="E5963" s="18"/>
      <c r="F5963" s="18"/>
    </row>
    <row r="5964" spans="5:6" ht="15" customHeight="1" x14ac:dyDescent="0.2">
      <c r="E5964" s="18"/>
      <c r="F5964" s="18"/>
    </row>
    <row r="5965" spans="5:6" ht="15" customHeight="1" x14ac:dyDescent="0.2">
      <c r="E5965" s="18"/>
      <c r="F5965" s="18"/>
    </row>
    <row r="5966" spans="5:6" ht="15" customHeight="1" x14ac:dyDescent="0.2">
      <c r="E5966" s="18"/>
      <c r="F5966" s="18"/>
    </row>
    <row r="5967" spans="5:6" ht="15" customHeight="1" x14ac:dyDescent="0.2">
      <c r="E5967" s="18"/>
      <c r="F5967" s="18"/>
    </row>
    <row r="5968" spans="5:6" ht="15" customHeight="1" x14ac:dyDescent="0.2">
      <c r="E5968" s="18"/>
      <c r="F5968" s="18"/>
    </row>
    <row r="5969" spans="5:6" ht="15" customHeight="1" x14ac:dyDescent="0.2">
      <c r="E5969" s="18"/>
      <c r="F5969" s="18"/>
    </row>
    <row r="5970" spans="5:6" ht="15" customHeight="1" x14ac:dyDescent="0.2">
      <c r="E5970" s="18"/>
      <c r="F5970" s="18"/>
    </row>
    <row r="5971" spans="5:6" ht="15" customHeight="1" x14ac:dyDescent="0.2">
      <c r="E5971" s="18"/>
      <c r="F5971" s="18"/>
    </row>
    <row r="5972" spans="5:6" ht="15" customHeight="1" x14ac:dyDescent="0.2">
      <c r="E5972" s="18"/>
      <c r="F5972" s="18"/>
    </row>
    <row r="5973" spans="5:6" ht="15" customHeight="1" x14ac:dyDescent="0.2">
      <c r="E5973" s="18"/>
      <c r="F5973" s="18"/>
    </row>
    <row r="5974" spans="5:6" ht="15" customHeight="1" x14ac:dyDescent="0.2">
      <c r="E5974" s="18"/>
      <c r="F5974" s="18"/>
    </row>
    <row r="5975" spans="5:6" ht="15" customHeight="1" x14ac:dyDescent="0.2">
      <c r="E5975" s="18"/>
      <c r="F5975" s="18"/>
    </row>
    <row r="5976" spans="5:6" ht="15" customHeight="1" x14ac:dyDescent="0.2">
      <c r="E5976" s="18"/>
      <c r="F5976" s="18"/>
    </row>
    <row r="5977" spans="5:6" ht="15" customHeight="1" x14ac:dyDescent="0.2">
      <c r="E5977" s="18"/>
      <c r="F5977" s="18"/>
    </row>
    <row r="5978" spans="5:6" ht="15" customHeight="1" x14ac:dyDescent="0.2">
      <c r="E5978" s="18"/>
      <c r="F5978" s="18"/>
    </row>
    <row r="5979" spans="5:6" ht="15" customHeight="1" x14ac:dyDescent="0.2">
      <c r="E5979" s="18"/>
      <c r="F5979" s="18"/>
    </row>
    <row r="5980" spans="5:6" ht="15" customHeight="1" x14ac:dyDescent="0.2">
      <c r="E5980" s="18"/>
      <c r="F5980" s="18"/>
    </row>
    <row r="5981" spans="5:6" ht="15" customHeight="1" x14ac:dyDescent="0.2">
      <c r="E5981" s="18"/>
      <c r="F5981" s="18"/>
    </row>
    <row r="5982" spans="5:6" ht="15" customHeight="1" x14ac:dyDescent="0.2">
      <c r="E5982" s="18"/>
      <c r="F5982" s="18"/>
    </row>
    <row r="5983" spans="5:6" ht="15" customHeight="1" x14ac:dyDescent="0.2">
      <c r="E5983" s="18"/>
      <c r="F5983" s="18"/>
    </row>
    <row r="5984" spans="5:6" ht="15" customHeight="1" x14ac:dyDescent="0.2">
      <c r="E5984" s="18"/>
      <c r="F5984" s="18"/>
    </row>
    <row r="5985" spans="5:6" ht="15" customHeight="1" x14ac:dyDescent="0.2">
      <c r="E5985" s="18"/>
      <c r="F5985" s="18"/>
    </row>
    <row r="5986" spans="5:6" ht="15" customHeight="1" x14ac:dyDescent="0.2">
      <c r="E5986" s="18"/>
      <c r="F5986" s="18"/>
    </row>
    <row r="5987" spans="5:6" ht="15" customHeight="1" x14ac:dyDescent="0.2">
      <c r="E5987" s="18"/>
      <c r="F5987" s="18"/>
    </row>
    <row r="5988" spans="5:6" ht="15" customHeight="1" x14ac:dyDescent="0.2">
      <c r="E5988" s="18"/>
      <c r="F5988" s="18"/>
    </row>
    <row r="5989" spans="5:6" ht="15" customHeight="1" x14ac:dyDescent="0.2">
      <c r="E5989" s="18"/>
      <c r="F5989" s="18"/>
    </row>
    <row r="5990" spans="5:6" ht="15" customHeight="1" x14ac:dyDescent="0.2">
      <c r="E5990" s="18"/>
      <c r="F5990" s="18"/>
    </row>
    <row r="5991" spans="5:6" ht="15" customHeight="1" x14ac:dyDescent="0.2">
      <c r="E5991" s="18"/>
      <c r="F5991" s="18"/>
    </row>
    <row r="5992" spans="5:6" ht="15" customHeight="1" x14ac:dyDescent="0.2">
      <c r="E5992" s="18"/>
      <c r="F5992" s="18"/>
    </row>
    <row r="5993" spans="5:6" ht="15" customHeight="1" x14ac:dyDescent="0.2">
      <c r="E5993" s="18"/>
      <c r="F5993" s="18"/>
    </row>
    <row r="5994" spans="5:6" ht="15" customHeight="1" x14ac:dyDescent="0.2">
      <c r="E5994" s="18"/>
      <c r="F5994" s="18"/>
    </row>
    <row r="5995" spans="5:6" ht="15" customHeight="1" x14ac:dyDescent="0.2">
      <c r="E5995" s="18"/>
      <c r="F5995" s="18"/>
    </row>
    <row r="5996" spans="5:6" ht="15" customHeight="1" x14ac:dyDescent="0.2">
      <c r="E5996" s="18"/>
      <c r="F5996" s="18"/>
    </row>
    <row r="5997" spans="5:6" ht="15" customHeight="1" x14ac:dyDescent="0.2">
      <c r="E5997" s="18"/>
      <c r="F5997" s="18"/>
    </row>
    <row r="5998" spans="5:6" ht="15" customHeight="1" x14ac:dyDescent="0.2">
      <c r="E5998" s="18"/>
      <c r="F5998" s="18"/>
    </row>
    <row r="5999" spans="5:6" ht="15" customHeight="1" x14ac:dyDescent="0.2">
      <c r="E5999" s="18"/>
      <c r="F5999" s="18"/>
    </row>
    <row r="6000" spans="5:6" ht="15" customHeight="1" x14ac:dyDescent="0.2">
      <c r="E6000" s="18"/>
      <c r="F6000" s="18"/>
    </row>
    <row r="6001" spans="5:6" ht="15" customHeight="1" x14ac:dyDescent="0.2">
      <c r="E6001" s="18"/>
      <c r="F6001" s="18"/>
    </row>
    <row r="6002" spans="5:6" ht="15" customHeight="1" x14ac:dyDescent="0.2">
      <c r="E6002" s="18"/>
      <c r="F6002" s="18"/>
    </row>
    <row r="6003" spans="5:6" ht="15" customHeight="1" x14ac:dyDescent="0.2">
      <c r="E6003" s="18"/>
      <c r="F6003" s="18"/>
    </row>
    <row r="6004" spans="5:6" ht="15" customHeight="1" x14ac:dyDescent="0.2">
      <c r="E6004" s="18"/>
      <c r="F6004" s="18"/>
    </row>
    <row r="6005" spans="5:6" ht="15" customHeight="1" x14ac:dyDescent="0.2">
      <c r="E6005" s="18"/>
      <c r="F6005" s="18"/>
    </row>
    <row r="6006" spans="5:6" ht="15" customHeight="1" x14ac:dyDescent="0.2">
      <c r="E6006" s="18"/>
      <c r="F6006" s="18"/>
    </row>
    <row r="6007" spans="5:6" ht="15" customHeight="1" x14ac:dyDescent="0.2">
      <c r="E6007" s="18"/>
      <c r="F6007" s="18"/>
    </row>
    <row r="6008" spans="5:6" ht="15" customHeight="1" x14ac:dyDescent="0.2">
      <c r="E6008" s="18"/>
      <c r="F6008" s="18"/>
    </row>
    <row r="6009" spans="5:6" ht="15" customHeight="1" x14ac:dyDescent="0.2">
      <c r="E6009" s="18"/>
      <c r="F6009" s="18"/>
    </row>
    <row r="6010" spans="5:6" ht="15" customHeight="1" x14ac:dyDescent="0.2">
      <c r="E6010" s="18"/>
      <c r="F6010" s="18"/>
    </row>
    <row r="6011" spans="5:6" ht="15" customHeight="1" x14ac:dyDescent="0.2">
      <c r="E6011" s="18"/>
      <c r="F6011" s="18"/>
    </row>
    <row r="6012" spans="5:6" ht="15" customHeight="1" x14ac:dyDescent="0.2">
      <c r="E6012" s="18"/>
      <c r="F6012" s="18"/>
    </row>
    <row r="6013" spans="5:6" ht="15" customHeight="1" x14ac:dyDescent="0.2">
      <c r="E6013" s="18"/>
      <c r="F6013" s="18"/>
    </row>
    <row r="6014" spans="5:6" ht="15" customHeight="1" x14ac:dyDescent="0.2">
      <c r="E6014" s="18"/>
      <c r="F6014" s="18"/>
    </row>
    <row r="6015" spans="5:6" ht="15" customHeight="1" x14ac:dyDescent="0.2">
      <c r="E6015" s="18"/>
      <c r="F6015" s="18"/>
    </row>
    <row r="6016" spans="5:6" ht="15" customHeight="1" x14ac:dyDescent="0.2">
      <c r="E6016" s="18"/>
      <c r="F6016" s="18"/>
    </row>
    <row r="6017" spans="5:6" ht="15" customHeight="1" x14ac:dyDescent="0.2">
      <c r="E6017" s="18"/>
      <c r="F6017" s="18"/>
    </row>
    <row r="6018" spans="5:6" ht="15" customHeight="1" x14ac:dyDescent="0.2">
      <c r="E6018" s="18"/>
      <c r="F6018" s="18"/>
    </row>
    <row r="6019" spans="5:6" ht="15" customHeight="1" x14ac:dyDescent="0.2">
      <c r="E6019" s="18"/>
      <c r="F6019" s="18"/>
    </row>
    <row r="6020" spans="5:6" ht="15" customHeight="1" x14ac:dyDescent="0.2">
      <c r="E6020" s="18"/>
      <c r="F6020" s="18"/>
    </row>
    <row r="6021" spans="5:6" ht="15" customHeight="1" x14ac:dyDescent="0.2">
      <c r="E6021" s="18"/>
      <c r="F6021" s="18"/>
    </row>
    <row r="6022" spans="5:6" ht="15" customHeight="1" x14ac:dyDescent="0.2">
      <c r="E6022" s="18"/>
      <c r="F6022" s="18"/>
    </row>
    <row r="6023" spans="5:6" ht="15" customHeight="1" x14ac:dyDescent="0.2">
      <c r="E6023" s="18"/>
      <c r="F6023" s="18"/>
    </row>
    <row r="6024" spans="5:6" ht="15" customHeight="1" x14ac:dyDescent="0.2">
      <c r="E6024" s="18"/>
      <c r="F6024" s="18"/>
    </row>
    <row r="6025" spans="5:6" ht="15" customHeight="1" x14ac:dyDescent="0.2">
      <c r="E6025" s="18"/>
      <c r="F6025" s="18"/>
    </row>
    <row r="6026" spans="5:6" ht="15" customHeight="1" x14ac:dyDescent="0.2">
      <c r="E6026" s="18"/>
      <c r="F6026" s="18"/>
    </row>
    <row r="6027" spans="5:6" ht="15" customHeight="1" x14ac:dyDescent="0.2">
      <c r="E6027" s="18"/>
      <c r="F6027" s="18"/>
    </row>
    <row r="6028" spans="5:6" ht="15" customHeight="1" x14ac:dyDescent="0.2">
      <c r="E6028" s="18"/>
      <c r="F6028" s="18"/>
    </row>
    <row r="6029" spans="5:6" ht="15" customHeight="1" x14ac:dyDescent="0.2">
      <c r="E6029" s="18"/>
      <c r="F6029" s="18"/>
    </row>
    <row r="6030" spans="5:6" ht="15" customHeight="1" x14ac:dyDescent="0.2">
      <c r="E6030" s="18"/>
      <c r="F6030" s="18"/>
    </row>
    <row r="6031" spans="5:6" ht="15" customHeight="1" x14ac:dyDescent="0.2">
      <c r="E6031" s="18"/>
      <c r="F6031" s="18"/>
    </row>
    <row r="6032" spans="5:6" ht="15" customHeight="1" x14ac:dyDescent="0.2">
      <c r="E6032" s="18"/>
      <c r="F6032" s="18"/>
    </row>
    <row r="6033" spans="5:6" ht="15" customHeight="1" x14ac:dyDescent="0.2">
      <c r="E6033" s="18"/>
      <c r="F6033" s="18"/>
    </row>
    <row r="6034" spans="5:6" ht="15" customHeight="1" x14ac:dyDescent="0.2">
      <c r="E6034" s="18"/>
      <c r="F6034" s="18"/>
    </row>
    <row r="6035" spans="5:6" ht="15" customHeight="1" x14ac:dyDescent="0.2">
      <c r="E6035" s="18"/>
      <c r="F6035" s="18"/>
    </row>
    <row r="6036" spans="5:6" ht="15" customHeight="1" x14ac:dyDescent="0.2">
      <c r="E6036" s="18"/>
      <c r="F6036" s="18"/>
    </row>
    <row r="6037" spans="5:6" ht="15" customHeight="1" x14ac:dyDescent="0.2">
      <c r="E6037" s="18"/>
      <c r="F6037" s="18"/>
    </row>
    <row r="6038" spans="5:6" ht="15" customHeight="1" x14ac:dyDescent="0.2">
      <c r="E6038" s="18"/>
      <c r="F6038" s="18"/>
    </row>
    <row r="6039" spans="5:6" ht="15" customHeight="1" x14ac:dyDescent="0.2">
      <c r="E6039" s="18"/>
      <c r="F6039" s="18"/>
    </row>
    <row r="6040" spans="5:6" ht="15" customHeight="1" x14ac:dyDescent="0.2">
      <c r="E6040" s="18"/>
      <c r="F6040" s="18"/>
    </row>
    <row r="6041" spans="5:6" ht="15" customHeight="1" x14ac:dyDescent="0.2">
      <c r="E6041" s="18"/>
      <c r="F6041" s="18"/>
    </row>
    <row r="6042" spans="5:6" ht="15" customHeight="1" x14ac:dyDescent="0.2">
      <c r="E6042" s="18"/>
      <c r="F6042" s="18"/>
    </row>
    <row r="6043" spans="5:6" ht="15" customHeight="1" x14ac:dyDescent="0.2">
      <c r="E6043" s="18"/>
      <c r="F6043" s="18"/>
    </row>
    <row r="6044" spans="5:6" ht="15" customHeight="1" x14ac:dyDescent="0.2">
      <c r="E6044" s="18"/>
      <c r="F6044" s="18"/>
    </row>
    <row r="6045" spans="5:6" ht="15" customHeight="1" x14ac:dyDescent="0.2">
      <c r="E6045" s="18"/>
      <c r="F6045" s="18"/>
    </row>
    <row r="6046" spans="5:6" ht="15" customHeight="1" x14ac:dyDescent="0.2">
      <c r="E6046" s="18"/>
      <c r="F6046" s="18"/>
    </row>
    <row r="6047" spans="5:6" ht="15" customHeight="1" x14ac:dyDescent="0.2">
      <c r="E6047" s="18"/>
      <c r="F6047" s="18"/>
    </row>
    <row r="6048" spans="5:6" ht="15" customHeight="1" x14ac:dyDescent="0.2">
      <c r="E6048" s="18"/>
      <c r="F6048" s="18"/>
    </row>
    <row r="6049" spans="5:6" ht="15" customHeight="1" x14ac:dyDescent="0.2">
      <c r="E6049" s="18"/>
      <c r="F6049" s="18"/>
    </row>
    <row r="6050" spans="5:6" ht="15" customHeight="1" x14ac:dyDescent="0.2">
      <c r="E6050" s="18"/>
      <c r="F6050" s="18"/>
    </row>
    <row r="6051" spans="5:6" ht="15" customHeight="1" x14ac:dyDescent="0.2">
      <c r="E6051" s="18"/>
      <c r="F6051" s="18"/>
    </row>
    <row r="6052" spans="5:6" ht="15" customHeight="1" x14ac:dyDescent="0.2">
      <c r="E6052" s="18"/>
      <c r="F6052" s="18"/>
    </row>
    <row r="6053" spans="5:6" ht="15" customHeight="1" x14ac:dyDescent="0.2">
      <c r="E6053" s="18"/>
      <c r="F6053" s="18"/>
    </row>
    <row r="6054" spans="5:6" ht="15" customHeight="1" x14ac:dyDescent="0.2">
      <c r="E6054" s="18"/>
      <c r="F6054" s="18"/>
    </row>
    <row r="6055" spans="5:6" ht="15" customHeight="1" x14ac:dyDescent="0.2">
      <c r="E6055" s="18"/>
      <c r="F6055" s="18"/>
    </row>
    <row r="6056" spans="5:6" ht="15" customHeight="1" x14ac:dyDescent="0.2">
      <c r="E6056" s="18"/>
      <c r="F6056" s="18"/>
    </row>
    <row r="6057" spans="5:6" ht="15" customHeight="1" x14ac:dyDescent="0.2">
      <c r="E6057" s="18"/>
      <c r="F6057" s="18"/>
    </row>
    <row r="6058" spans="5:6" ht="15" customHeight="1" x14ac:dyDescent="0.2">
      <c r="E6058" s="18"/>
      <c r="F6058" s="18"/>
    </row>
    <row r="6059" spans="5:6" ht="15" customHeight="1" x14ac:dyDescent="0.2">
      <c r="E6059" s="18"/>
      <c r="F6059" s="18"/>
    </row>
    <row r="6060" spans="5:6" ht="15" customHeight="1" x14ac:dyDescent="0.2">
      <c r="E6060" s="18"/>
      <c r="F6060" s="18"/>
    </row>
    <row r="6061" spans="5:6" ht="15" customHeight="1" x14ac:dyDescent="0.2">
      <c r="E6061" s="18"/>
      <c r="F6061" s="18"/>
    </row>
    <row r="6062" spans="5:6" ht="15" customHeight="1" x14ac:dyDescent="0.2">
      <c r="E6062" s="18"/>
      <c r="F6062" s="18"/>
    </row>
    <row r="6063" spans="5:6" ht="15" customHeight="1" x14ac:dyDescent="0.2">
      <c r="E6063" s="18"/>
      <c r="F6063" s="18"/>
    </row>
    <row r="6064" spans="5:6" ht="15" customHeight="1" x14ac:dyDescent="0.2">
      <c r="E6064" s="18"/>
      <c r="F6064" s="18"/>
    </row>
    <row r="6065" spans="5:6" ht="15" customHeight="1" x14ac:dyDescent="0.2">
      <c r="E6065" s="18"/>
      <c r="F6065" s="18"/>
    </row>
    <row r="6066" spans="5:6" ht="15" customHeight="1" x14ac:dyDescent="0.2">
      <c r="E6066" s="18"/>
      <c r="F6066" s="18"/>
    </row>
    <row r="6067" spans="5:6" ht="15" customHeight="1" x14ac:dyDescent="0.2">
      <c r="E6067" s="18"/>
      <c r="F6067" s="18"/>
    </row>
    <row r="6068" spans="5:6" ht="15" customHeight="1" x14ac:dyDescent="0.2">
      <c r="E6068" s="18"/>
      <c r="F6068" s="18"/>
    </row>
    <row r="6069" spans="5:6" ht="15" customHeight="1" x14ac:dyDescent="0.2">
      <c r="E6069" s="18"/>
      <c r="F6069" s="18"/>
    </row>
    <row r="6070" spans="5:6" ht="15" customHeight="1" x14ac:dyDescent="0.2">
      <c r="E6070" s="18"/>
      <c r="F6070" s="18"/>
    </row>
    <row r="6071" spans="5:6" ht="15" customHeight="1" x14ac:dyDescent="0.2">
      <c r="E6071" s="18"/>
      <c r="F6071" s="18"/>
    </row>
    <row r="6072" spans="5:6" ht="15" customHeight="1" x14ac:dyDescent="0.2">
      <c r="E6072" s="18"/>
      <c r="F6072" s="18"/>
    </row>
    <row r="6073" spans="5:6" ht="15" customHeight="1" x14ac:dyDescent="0.2">
      <c r="E6073" s="18"/>
      <c r="F6073" s="18"/>
    </row>
    <row r="6074" spans="5:6" ht="15" customHeight="1" x14ac:dyDescent="0.2">
      <c r="E6074" s="18"/>
      <c r="F6074" s="18"/>
    </row>
    <row r="6075" spans="5:6" ht="15" customHeight="1" x14ac:dyDescent="0.2">
      <c r="E6075" s="18"/>
      <c r="F6075" s="18"/>
    </row>
    <row r="6076" spans="5:6" ht="15" customHeight="1" x14ac:dyDescent="0.2">
      <c r="E6076" s="18"/>
      <c r="F6076" s="18"/>
    </row>
    <row r="6077" spans="5:6" ht="15" customHeight="1" x14ac:dyDescent="0.2">
      <c r="E6077" s="18"/>
      <c r="F6077" s="18"/>
    </row>
    <row r="6078" spans="5:6" ht="15" customHeight="1" x14ac:dyDescent="0.2">
      <c r="E6078" s="18"/>
      <c r="F6078" s="18"/>
    </row>
    <row r="6079" spans="5:6" ht="15" customHeight="1" x14ac:dyDescent="0.2">
      <c r="E6079" s="18"/>
      <c r="F6079" s="18"/>
    </row>
    <row r="6080" spans="5:6" ht="15" customHeight="1" x14ac:dyDescent="0.2">
      <c r="E6080" s="18"/>
      <c r="F6080" s="18"/>
    </row>
    <row r="6081" spans="5:6" ht="15" customHeight="1" x14ac:dyDescent="0.2">
      <c r="E6081" s="18"/>
      <c r="F6081" s="18"/>
    </row>
    <row r="6082" spans="5:6" ht="15" customHeight="1" x14ac:dyDescent="0.2">
      <c r="E6082" s="18"/>
      <c r="F6082" s="18"/>
    </row>
    <row r="6083" spans="5:6" ht="15" customHeight="1" x14ac:dyDescent="0.2">
      <c r="E6083" s="18"/>
      <c r="F6083" s="18"/>
    </row>
    <row r="6084" spans="5:6" ht="15" customHeight="1" x14ac:dyDescent="0.2">
      <c r="E6084" s="18"/>
      <c r="F6084" s="18"/>
    </row>
    <row r="6085" spans="5:6" ht="15" customHeight="1" x14ac:dyDescent="0.2">
      <c r="E6085" s="18"/>
      <c r="F6085" s="18"/>
    </row>
    <row r="6086" spans="5:6" ht="15" customHeight="1" x14ac:dyDescent="0.2">
      <c r="E6086" s="18"/>
      <c r="F6086" s="18"/>
    </row>
    <row r="6087" spans="5:6" ht="15" customHeight="1" x14ac:dyDescent="0.2">
      <c r="E6087" s="18"/>
      <c r="F6087" s="18"/>
    </row>
    <row r="6088" spans="5:6" ht="15" customHeight="1" x14ac:dyDescent="0.2">
      <c r="E6088" s="18"/>
      <c r="F6088" s="18"/>
    </row>
    <row r="6089" spans="5:6" ht="15" customHeight="1" x14ac:dyDescent="0.2">
      <c r="E6089" s="18"/>
      <c r="F6089" s="18"/>
    </row>
    <row r="6090" spans="5:6" ht="15" customHeight="1" x14ac:dyDescent="0.2">
      <c r="E6090" s="18"/>
      <c r="F6090" s="18"/>
    </row>
    <row r="6091" spans="5:6" ht="15" customHeight="1" x14ac:dyDescent="0.2">
      <c r="E6091" s="18"/>
      <c r="F6091" s="18"/>
    </row>
    <row r="6092" spans="5:6" ht="15" customHeight="1" x14ac:dyDescent="0.2">
      <c r="E6092" s="18"/>
      <c r="F6092" s="18"/>
    </row>
    <row r="6093" spans="5:6" ht="15" customHeight="1" x14ac:dyDescent="0.2">
      <c r="E6093" s="18"/>
      <c r="F6093" s="18"/>
    </row>
    <row r="6094" spans="5:6" ht="15" customHeight="1" x14ac:dyDescent="0.2">
      <c r="E6094" s="18"/>
      <c r="F6094" s="18"/>
    </row>
    <row r="6095" spans="5:6" ht="15" customHeight="1" x14ac:dyDescent="0.2">
      <c r="E6095" s="18"/>
      <c r="F6095" s="18"/>
    </row>
    <row r="6096" spans="5:6" ht="15" customHeight="1" x14ac:dyDescent="0.2">
      <c r="E6096" s="18"/>
      <c r="F6096" s="18"/>
    </row>
    <row r="6097" spans="5:6" ht="15" customHeight="1" x14ac:dyDescent="0.2">
      <c r="E6097" s="18"/>
      <c r="F6097" s="18"/>
    </row>
    <row r="6098" spans="5:6" ht="15" customHeight="1" x14ac:dyDescent="0.2">
      <c r="E6098" s="18"/>
      <c r="F6098" s="18"/>
    </row>
    <row r="6099" spans="5:6" ht="15" customHeight="1" x14ac:dyDescent="0.2">
      <c r="E6099" s="18"/>
      <c r="F6099" s="18"/>
    </row>
    <row r="6100" spans="5:6" ht="15" customHeight="1" x14ac:dyDescent="0.2">
      <c r="E6100" s="18"/>
      <c r="F6100" s="18"/>
    </row>
    <row r="6101" spans="5:6" ht="15" customHeight="1" x14ac:dyDescent="0.2">
      <c r="E6101" s="18"/>
      <c r="F6101" s="18"/>
    </row>
    <row r="6102" spans="5:6" ht="15" customHeight="1" x14ac:dyDescent="0.2">
      <c r="E6102" s="18"/>
      <c r="F6102" s="18"/>
    </row>
    <row r="6103" spans="5:6" ht="15" customHeight="1" x14ac:dyDescent="0.2">
      <c r="E6103" s="18"/>
      <c r="F6103" s="18"/>
    </row>
    <row r="6104" spans="5:6" ht="15" customHeight="1" x14ac:dyDescent="0.2">
      <c r="E6104" s="18"/>
      <c r="F6104" s="18"/>
    </row>
    <row r="6105" spans="5:6" ht="15" customHeight="1" x14ac:dyDescent="0.2">
      <c r="E6105" s="18"/>
      <c r="F6105" s="18"/>
    </row>
    <row r="6106" spans="5:6" ht="15" customHeight="1" x14ac:dyDescent="0.2">
      <c r="E6106" s="18"/>
      <c r="F6106" s="18"/>
    </row>
    <row r="6107" spans="5:6" ht="15" customHeight="1" x14ac:dyDescent="0.2">
      <c r="E6107" s="18"/>
      <c r="F6107" s="18"/>
    </row>
    <row r="6108" spans="5:6" ht="15" customHeight="1" x14ac:dyDescent="0.2">
      <c r="E6108" s="18"/>
      <c r="F6108" s="18"/>
    </row>
    <row r="6109" spans="5:6" ht="15" customHeight="1" x14ac:dyDescent="0.2">
      <c r="E6109" s="18"/>
      <c r="F6109" s="18"/>
    </row>
    <row r="6110" spans="5:6" ht="15" customHeight="1" x14ac:dyDescent="0.2">
      <c r="E6110" s="18"/>
      <c r="F6110" s="18"/>
    </row>
    <row r="6111" spans="5:6" ht="15" customHeight="1" x14ac:dyDescent="0.2">
      <c r="E6111" s="18"/>
      <c r="F6111" s="18"/>
    </row>
    <row r="6112" spans="5:6" ht="15" customHeight="1" x14ac:dyDescent="0.2">
      <c r="E6112" s="18"/>
      <c r="F6112" s="18"/>
    </row>
    <row r="6113" spans="5:6" ht="15" customHeight="1" x14ac:dyDescent="0.2">
      <c r="E6113" s="18"/>
      <c r="F6113" s="18"/>
    </row>
    <row r="6114" spans="5:6" ht="15" customHeight="1" x14ac:dyDescent="0.2">
      <c r="E6114" s="18"/>
      <c r="F6114" s="18"/>
    </row>
    <row r="6115" spans="5:6" ht="15" customHeight="1" x14ac:dyDescent="0.2">
      <c r="E6115" s="18"/>
      <c r="F6115" s="18"/>
    </row>
    <row r="6116" spans="5:6" ht="15" customHeight="1" x14ac:dyDescent="0.2">
      <c r="E6116" s="18"/>
      <c r="F6116" s="18"/>
    </row>
    <row r="6117" spans="5:6" ht="15" customHeight="1" x14ac:dyDescent="0.2">
      <c r="E6117" s="18"/>
      <c r="F6117" s="18"/>
    </row>
    <row r="6118" spans="5:6" ht="15" customHeight="1" x14ac:dyDescent="0.2">
      <c r="E6118" s="18"/>
      <c r="F6118" s="18"/>
    </row>
    <row r="6119" spans="5:6" ht="15" customHeight="1" x14ac:dyDescent="0.2">
      <c r="E6119" s="18"/>
      <c r="F6119" s="18"/>
    </row>
    <row r="6120" spans="5:6" ht="15" customHeight="1" x14ac:dyDescent="0.2">
      <c r="E6120" s="18"/>
      <c r="F6120" s="18"/>
    </row>
    <row r="6121" spans="5:6" ht="15" customHeight="1" x14ac:dyDescent="0.2">
      <c r="E6121" s="18"/>
      <c r="F6121" s="18"/>
    </row>
    <row r="6122" spans="5:6" ht="15" customHeight="1" x14ac:dyDescent="0.2">
      <c r="E6122" s="18"/>
      <c r="F6122" s="18"/>
    </row>
    <row r="6123" spans="5:6" ht="15" customHeight="1" x14ac:dyDescent="0.2">
      <c r="E6123" s="18"/>
      <c r="F6123" s="18"/>
    </row>
    <row r="6124" spans="5:6" ht="15" customHeight="1" x14ac:dyDescent="0.2">
      <c r="E6124" s="18"/>
      <c r="F6124" s="18"/>
    </row>
    <row r="6125" spans="5:6" ht="15" customHeight="1" x14ac:dyDescent="0.2">
      <c r="E6125" s="18"/>
      <c r="F6125" s="18"/>
    </row>
    <row r="6126" spans="5:6" ht="15" customHeight="1" x14ac:dyDescent="0.2">
      <c r="E6126" s="18"/>
      <c r="F6126" s="18"/>
    </row>
    <row r="6127" spans="5:6" ht="15" customHeight="1" x14ac:dyDescent="0.2">
      <c r="E6127" s="18"/>
      <c r="F6127" s="18"/>
    </row>
    <row r="6128" spans="5:6" ht="15" customHeight="1" x14ac:dyDescent="0.2">
      <c r="E6128" s="18"/>
      <c r="F6128" s="18"/>
    </row>
    <row r="6129" spans="5:6" ht="15" customHeight="1" x14ac:dyDescent="0.2">
      <c r="E6129" s="18"/>
      <c r="F6129" s="18"/>
    </row>
    <row r="6130" spans="5:6" ht="15" customHeight="1" x14ac:dyDescent="0.2">
      <c r="E6130" s="18"/>
      <c r="F6130" s="18"/>
    </row>
    <row r="6131" spans="5:6" ht="15" customHeight="1" x14ac:dyDescent="0.2">
      <c r="E6131" s="18"/>
      <c r="F6131" s="18"/>
    </row>
    <row r="6132" spans="5:6" ht="15" customHeight="1" x14ac:dyDescent="0.2">
      <c r="E6132" s="18"/>
      <c r="F6132" s="18"/>
    </row>
    <row r="6133" spans="5:6" ht="15" customHeight="1" x14ac:dyDescent="0.2">
      <c r="E6133" s="18"/>
      <c r="F6133" s="18"/>
    </row>
    <row r="6134" spans="5:6" ht="15" customHeight="1" x14ac:dyDescent="0.2">
      <c r="E6134" s="18"/>
      <c r="F6134" s="18"/>
    </row>
    <row r="6135" spans="5:6" ht="15" customHeight="1" x14ac:dyDescent="0.2">
      <c r="E6135" s="18"/>
      <c r="F6135" s="18"/>
    </row>
    <row r="6136" spans="5:6" ht="15" customHeight="1" x14ac:dyDescent="0.2">
      <c r="E6136" s="18"/>
      <c r="F6136" s="18"/>
    </row>
    <row r="6137" spans="5:6" ht="15" customHeight="1" x14ac:dyDescent="0.2">
      <c r="E6137" s="18"/>
      <c r="F6137" s="18"/>
    </row>
    <row r="6138" spans="5:6" ht="15" customHeight="1" x14ac:dyDescent="0.2">
      <c r="E6138" s="18"/>
      <c r="F6138" s="18"/>
    </row>
    <row r="6139" spans="5:6" ht="15" customHeight="1" x14ac:dyDescent="0.2">
      <c r="E6139" s="18"/>
      <c r="F6139" s="18"/>
    </row>
    <row r="6140" spans="5:6" ht="15" customHeight="1" x14ac:dyDescent="0.2">
      <c r="E6140" s="18"/>
      <c r="F6140" s="18"/>
    </row>
    <row r="6141" spans="5:6" ht="15" customHeight="1" x14ac:dyDescent="0.2">
      <c r="E6141" s="18"/>
      <c r="F6141" s="18"/>
    </row>
    <row r="6142" spans="5:6" ht="15" customHeight="1" x14ac:dyDescent="0.2">
      <c r="E6142" s="18"/>
      <c r="F6142" s="18"/>
    </row>
    <row r="6143" spans="5:6" ht="15" customHeight="1" x14ac:dyDescent="0.2">
      <c r="E6143" s="18"/>
      <c r="F6143" s="18"/>
    </row>
    <row r="6144" spans="5:6" ht="15" customHeight="1" x14ac:dyDescent="0.2">
      <c r="E6144" s="18"/>
      <c r="F6144" s="18"/>
    </row>
    <row r="6145" spans="5:6" ht="15" customHeight="1" x14ac:dyDescent="0.2">
      <c r="E6145" s="18"/>
      <c r="F6145" s="18"/>
    </row>
    <row r="6146" spans="5:6" ht="15" customHeight="1" x14ac:dyDescent="0.2">
      <c r="E6146" s="18"/>
      <c r="F6146" s="18"/>
    </row>
    <row r="6147" spans="5:6" ht="15" customHeight="1" x14ac:dyDescent="0.2">
      <c r="E6147" s="18"/>
      <c r="F6147" s="18"/>
    </row>
    <row r="6148" spans="5:6" ht="15" customHeight="1" x14ac:dyDescent="0.2">
      <c r="E6148" s="18"/>
      <c r="F6148" s="18"/>
    </row>
    <row r="6149" spans="5:6" ht="15" customHeight="1" x14ac:dyDescent="0.2">
      <c r="E6149" s="18"/>
      <c r="F6149" s="18"/>
    </row>
    <row r="6150" spans="5:6" ht="15" customHeight="1" x14ac:dyDescent="0.2">
      <c r="E6150" s="18"/>
      <c r="F6150" s="18"/>
    </row>
    <row r="6151" spans="5:6" ht="15" customHeight="1" x14ac:dyDescent="0.2">
      <c r="E6151" s="18"/>
      <c r="F6151" s="18"/>
    </row>
    <row r="6152" spans="5:6" ht="15" customHeight="1" x14ac:dyDescent="0.2">
      <c r="E6152" s="18"/>
      <c r="F6152" s="18"/>
    </row>
    <row r="6153" spans="5:6" ht="15" customHeight="1" x14ac:dyDescent="0.2">
      <c r="E6153" s="18"/>
      <c r="F6153" s="18"/>
    </row>
    <row r="6154" spans="5:6" ht="15" customHeight="1" x14ac:dyDescent="0.2">
      <c r="E6154" s="18"/>
      <c r="F6154" s="18"/>
    </row>
    <row r="6155" spans="5:6" ht="15" customHeight="1" x14ac:dyDescent="0.2">
      <c r="E6155" s="18"/>
      <c r="F6155" s="18"/>
    </row>
    <row r="6156" spans="5:6" ht="15" customHeight="1" x14ac:dyDescent="0.2">
      <c r="E6156" s="18"/>
      <c r="F6156" s="18"/>
    </row>
    <row r="6157" spans="5:6" ht="15" customHeight="1" x14ac:dyDescent="0.2">
      <c r="E6157" s="18"/>
      <c r="F6157" s="18"/>
    </row>
    <row r="6158" spans="5:6" ht="15" customHeight="1" x14ac:dyDescent="0.2">
      <c r="E6158" s="18"/>
      <c r="F6158" s="18"/>
    </row>
    <row r="6159" spans="5:6" ht="15" customHeight="1" x14ac:dyDescent="0.2">
      <c r="E6159" s="18"/>
      <c r="F6159" s="18"/>
    </row>
    <row r="6160" spans="5:6" ht="15" customHeight="1" x14ac:dyDescent="0.2">
      <c r="E6160" s="18"/>
      <c r="F6160" s="18"/>
    </row>
    <row r="6161" spans="5:6" ht="15" customHeight="1" x14ac:dyDescent="0.2">
      <c r="E6161" s="18"/>
      <c r="F6161" s="18"/>
    </row>
    <row r="6162" spans="5:6" ht="15" customHeight="1" x14ac:dyDescent="0.2">
      <c r="E6162" s="18"/>
      <c r="F6162" s="18"/>
    </row>
    <row r="6163" spans="5:6" ht="15" customHeight="1" x14ac:dyDescent="0.2">
      <c r="E6163" s="18"/>
      <c r="F6163" s="18"/>
    </row>
    <row r="6164" spans="5:6" ht="15" customHeight="1" x14ac:dyDescent="0.2">
      <c r="E6164" s="18"/>
      <c r="F6164" s="18"/>
    </row>
    <row r="6165" spans="5:6" ht="15" customHeight="1" x14ac:dyDescent="0.2">
      <c r="E6165" s="18"/>
      <c r="F6165" s="18"/>
    </row>
    <row r="6166" spans="5:6" ht="15" customHeight="1" x14ac:dyDescent="0.2">
      <c r="E6166" s="18"/>
      <c r="F6166" s="18"/>
    </row>
    <row r="6167" spans="5:6" ht="15" customHeight="1" x14ac:dyDescent="0.2">
      <c r="E6167" s="18"/>
      <c r="F6167" s="18"/>
    </row>
    <row r="6168" spans="5:6" ht="15" customHeight="1" x14ac:dyDescent="0.2">
      <c r="E6168" s="18"/>
      <c r="F6168" s="18"/>
    </row>
    <row r="6169" spans="5:6" ht="15" customHeight="1" x14ac:dyDescent="0.2">
      <c r="E6169" s="18"/>
      <c r="F6169" s="18"/>
    </row>
    <row r="6170" spans="5:6" ht="15" customHeight="1" x14ac:dyDescent="0.2">
      <c r="E6170" s="18"/>
      <c r="F6170" s="18"/>
    </row>
    <row r="6171" spans="5:6" ht="15" customHeight="1" x14ac:dyDescent="0.2">
      <c r="E6171" s="18"/>
      <c r="F6171" s="18"/>
    </row>
    <row r="6172" spans="5:6" ht="15" customHeight="1" x14ac:dyDescent="0.2">
      <c r="E6172" s="18"/>
      <c r="F6172" s="18"/>
    </row>
    <row r="6173" spans="5:6" ht="15" customHeight="1" x14ac:dyDescent="0.2">
      <c r="E6173" s="18"/>
      <c r="F6173" s="18"/>
    </row>
    <row r="6174" spans="5:6" ht="15" customHeight="1" x14ac:dyDescent="0.2">
      <c r="E6174" s="18"/>
      <c r="F6174" s="18"/>
    </row>
    <row r="6175" spans="5:6" ht="15" customHeight="1" x14ac:dyDescent="0.2">
      <c r="E6175" s="18"/>
      <c r="F6175" s="18"/>
    </row>
    <row r="6176" spans="5:6" ht="15" customHeight="1" x14ac:dyDescent="0.2">
      <c r="E6176" s="18"/>
      <c r="F6176" s="18"/>
    </row>
    <row r="6177" spans="5:6" ht="15" customHeight="1" x14ac:dyDescent="0.2">
      <c r="E6177" s="18"/>
      <c r="F6177" s="18"/>
    </row>
    <row r="6178" spans="5:6" ht="15" customHeight="1" x14ac:dyDescent="0.2">
      <c r="E6178" s="18"/>
      <c r="F6178" s="18"/>
    </row>
    <row r="6179" spans="5:6" ht="15" customHeight="1" x14ac:dyDescent="0.2">
      <c r="E6179" s="18"/>
      <c r="F6179" s="18"/>
    </row>
    <row r="6180" spans="5:6" ht="15" customHeight="1" x14ac:dyDescent="0.2">
      <c r="E6180" s="18"/>
      <c r="F6180" s="18"/>
    </row>
    <row r="6181" spans="5:6" ht="15" customHeight="1" x14ac:dyDescent="0.2">
      <c r="E6181" s="18"/>
      <c r="F6181" s="18"/>
    </row>
    <row r="6182" spans="5:6" ht="15" customHeight="1" x14ac:dyDescent="0.2">
      <c r="E6182" s="18"/>
      <c r="F6182" s="18"/>
    </row>
    <row r="6183" spans="5:6" ht="15" customHeight="1" x14ac:dyDescent="0.2">
      <c r="E6183" s="18"/>
      <c r="F6183" s="18"/>
    </row>
    <row r="6184" spans="5:6" ht="15" customHeight="1" x14ac:dyDescent="0.2">
      <c r="E6184" s="18"/>
      <c r="F6184" s="18"/>
    </row>
    <row r="6185" spans="5:6" ht="15" customHeight="1" x14ac:dyDescent="0.2">
      <c r="E6185" s="18"/>
      <c r="F6185" s="18"/>
    </row>
    <row r="6186" spans="5:6" ht="15" customHeight="1" x14ac:dyDescent="0.2">
      <c r="E6186" s="18"/>
      <c r="F6186" s="18"/>
    </row>
    <row r="6187" spans="5:6" ht="15" customHeight="1" x14ac:dyDescent="0.2">
      <c r="E6187" s="18"/>
      <c r="F6187" s="18"/>
    </row>
    <row r="6188" spans="5:6" ht="15" customHeight="1" x14ac:dyDescent="0.2">
      <c r="E6188" s="18"/>
      <c r="F6188" s="18"/>
    </row>
    <row r="6189" spans="5:6" ht="15" customHeight="1" x14ac:dyDescent="0.2">
      <c r="E6189" s="18"/>
      <c r="F6189" s="18"/>
    </row>
    <row r="6190" spans="5:6" ht="15" customHeight="1" x14ac:dyDescent="0.2">
      <c r="E6190" s="18"/>
      <c r="F6190" s="18"/>
    </row>
    <row r="6191" spans="5:6" ht="15" customHeight="1" x14ac:dyDescent="0.2">
      <c r="E6191" s="18"/>
      <c r="F6191" s="18"/>
    </row>
    <row r="6192" spans="5:6" ht="15" customHeight="1" x14ac:dyDescent="0.2">
      <c r="E6192" s="18"/>
      <c r="F6192" s="18"/>
    </row>
    <row r="6193" spans="5:6" ht="15" customHeight="1" x14ac:dyDescent="0.2">
      <c r="E6193" s="18"/>
      <c r="F6193" s="18"/>
    </row>
    <row r="6194" spans="5:6" ht="15" customHeight="1" x14ac:dyDescent="0.2">
      <c r="E6194" s="18"/>
      <c r="F6194" s="18"/>
    </row>
    <row r="6195" spans="5:6" ht="15" customHeight="1" x14ac:dyDescent="0.2">
      <c r="E6195" s="18"/>
      <c r="F6195" s="18"/>
    </row>
    <row r="6196" spans="5:6" ht="15" customHeight="1" x14ac:dyDescent="0.2">
      <c r="E6196" s="18"/>
      <c r="F6196" s="18"/>
    </row>
    <row r="6197" spans="5:6" ht="15" customHeight="1" x14ac:dyDescent="0.2">
      <c r="E6197" s="18"/>
      <c r="F6197" s="18"/>
    </row>
    <row r="6198" spans="5:6" ht="15" customHeight="1" x14ac:dyDescent="0.2">
      <c r="E6198" s="18"/>
      <c r="F6198" s="18"/>
    </row>
    <row r="6199" spans="5:6" ht="15" customHeight="1" x14ac:dyDescent="0.2">
      <c r="E6199" s="18"/>
      <c r="F6199" s="18"/>
    </row>
    <row r="6200" spans="5:6" ht="15" customHeight="1" x14ac:dyDescent="0.2">
      <c r="E6200" s="18"/>
      <c r="F6200" s="18"/>
    </row>
    <row r="6201" spans="5:6" ht="15" customHeight="1" x14ac:dyDescent="0.2">
      <c r="E6201" s="18"/>
      <c r="F6201" s="18"/>
    </row>
    <row r="6202" spans="5:6" ht="15" customHeight="1" x14ac:dyDescent="0.2">
      <c r="E6202" s="18"/>
      <c r="F6202" s="18"/>
    </row>
    <row r="6203" spans="5:6" ht="15" customHeight="1" x14ac:dyDescent="0.2">
      <c r="E6203" s="18"/>
      <c r="F6203" s="18"/>
    </row>
    <row r="6204" spans="5:6" ht="15" customHeight="1" x14ac:dyDescent="0.2">
      <c r="E6204" s="18"/>
      <c r="F6204" s="18"/>
    </row>
    <row r="6205" spans="5:6" ht="15" customHeight="1" x14ac:dyDescent="0.2">
      <c r="E6205" s="18"/>
      <c r="F6205" s="18"/>
    </row>
    <row r="6206" spans="5:6" ht="15" customHeight="1" x14ac:dyDescent="0.2">
      <c r="E6206" s="18"/>
      <c r="F6206" s="18"/>
    </row>
    <row r="6207" spans="5:6" ht="15" customHeight="1" x14ac:dyDescent="0.2">
      <c r="E6207" s="18"/>
      <c r="F6207" s="18"/>
    </row>
    <row r="6208" spans="5:6" ht="15" customHeight="1" x14ac:dyDescent="0.2">
      <c r="E6208" s="18"/>
      <c r="F6208" s="18"/>
    </row>
    <row r="6209" spans="5:6" ht="15" customHeight="1" x14ac:dyDescent="0.2">
      <c r="E6209" s="18"/>
      <c r="F6209" s="18"/>
    </row>
    <row r="6210" spans="5:6" ht="15" customHeight="1" x14ac:dyDescent="0.2">
      <c r="E6210" s="18"/>
      <c r="F6210" s="18"/>
    </row>
    <row r="6211" spans="5:6" ht="15" customHeight="1" x14ac:dyDescent="0.2">
      <c r="E6211" s="18"/>
      <c r="F6211" s="18"/>
    </row>
    <row r="6212" spans="5:6" ht="15" customHeight="1" x14ac:dyDescent="0.2">
      <c r="E6212" s="18"/>
      <c r="F6212" s="18"/>
    </row>
    <row r="6213" spans="5:6" ht="15" customHeight="1" x14ac:dyDescent="0.2">
      <c r="E6213" s="18"/>
      <c r="F6213" s="18"/>
    </row>
    <row r="6214" spans="5:6" ht="15" customHeight="1" x14ac:dyDescent="0.2">
      <c r="E6214" s="18"/>
      <c r="F6214" s="18"/>
    </row>
    <row r="6215" spans="5:6" ht="15" customHeight="1" x14ac:dyDescent="0.2">
      <c r="E6215" s="18"/>
      <c r="F6215" s="18"/>
    </row>
    <row r="6216" spans="5:6" ht="15" customHeight="1" x14ac:dyDescent="0.2">
      <c r="E6216" s="18"/>
      <c r="F6216" s="18"/>
    </row>
    <row r="6217" spans="5:6" ht="15" customHeight="1" x14ac:dyDescent="0.2">
      <c r="E6217" s="18"/>
      <c r="F6217" s="18"/>
    </row>
    <row r="6218" spans="5:6" ht="15" customHeight="1" x14ac:dyDescent="0.2">
      <c r="E6218" s="18"/>
      <c r="F6218" s="18"/>
    </row>
    <row r="6219" spans="5:6" ht="15" customHeight="1" x14ac:dyDescent="0.2">
      <c r="E6219" s="18"/>
      <c r="F6219" s="18"/>
    </row>
    <row r="6220" spans="5:6" ht="15" customHeight="1" x14ac:dyDescent="0.2">
      <c r="E6220" s="18"/>
      <c r="F6220" s="18"/>
    </row>
    <row r="6221" spans="5:6" ht="15" customHeight="1" x14ac:dyDescent="0.2">
      <c r="E6221" s="18"/>
      <c r="F6221" s="18"/>
    </row>
    <row r="6222" spans="5:6" ht="15" customHeight="1" x14ac:dyDescent="0.2">
      <c r="E6222" s="18"/>
      <c r="F6222" s="18"/>
    </row>
    <row r="6223" spans="5:6" ht="15" customHeight="1" x14ac:dyDescent="0.2">
      <c r="E6223" s="18"/>
      <c r="F6223" s="18"/>
    </row>
    <row r="6224" spans="5:6" ht="15" customHeight="1" x14ac:dyDescent="0.2">
      <c r="E6224" s="18"/>
      <c r="F6224" s="18"/>
    </row>
    <row r="6225" spans="5:6" ht="15" customHeight="1" x14ac:dyDescent="0.2">
      <c r="E6225" s="18"/>
      <c r="F6225" s="18"/>
    </row>
    <row r="6226" spans="5:6" ht="15" customHeight="1" x14ac:dyDescent="0.2">
      <c r="E6226" s="18"/>
      <c r="F6226" s="18"/>
    </row>
    <row r="6227" spans="5:6" ht="15" customHeight="1" x14ac:dyDescent="0.2">
      <c r="E6227" s="18"/>
      <c r="F6227" s="18"/>
    </row>
    <row r="6228" spans="5:6" ht="15" customHeight="1" x14ac:dyDescent="0.2">
      <c r="E6228" s="18"/>
      <c r="F6228" s="18"/>
    </row>
    <row r="6229" spans="5:6" ht="15" customHeight="1" x14ac:dyDescent="0.2">
      <c r="E6229" s="18"/>
      <c r="F6229" s="18"/>
    </row>
    <row r="6230" spans="5:6" ht="15" customHeight="1" x14ac:dyDescent="0.2">
      <c r="E6230" s="18"/>
      <c r="F6230" s="18"/>
    </row>
    <row r="6231" spans="5:6" ht="15" customHeight="1" x14ac:dyDescent="0.2">
      <c r="E6231" s="18"/>
      <c r="F6231" s="18"/>
    </row>
    <row r="6232" spans="5:6" ht="15" customHeight="1" x14ac:dyDescent="0.2">
      <c r="E6232" s="18"/>
      <c r="F6232" s="18"/>
    </row>
    <row r="6233" spans="5:6" ht="15" customHeight="1" x14ac:dyDescent="0.2">
      <c r="E6233" s="18"/>
      <c r="F6233" s="18"/>
    </row>
    <row r="6234" spans="5:6" ht="15" customHeight="1" x14ac:dyDescent="0.2">
      <c r="E6234" s="18"/>
      <c r="F6234" s="18"/>
    </row>
    <row r="6235" spans="5:6" ht="15" customHeight="1" x14ac:dyDescent="0.2">
      <c r="E6235" s="18"/>
      <c r="F6235" s="18"/>
    </row>
    <row r="6236" spans="5:6" ht="15" customHeight="1" x14ac:dyDescent="0.2">
      <c r="E6236" s="18"/>
      <c r="F6236" s="18"/>
    </row>
    <row r="6237" spans="5:6" ht="15" customHeight="1" x14ac:dyDescent="0.2">
      <c r="E6237" s="18"/>
      <c r="F6237" s="18"/>
    </row>
    <row r="6238" spans="5:6" ht="15" customHeight="1" x14ac:dyDescent="0.2">
      <c r="E6238" s="18"/>
      <c r="F6238" s="18"/>
    </row>
    <row r="6239" spans="5:6" ht="15" customHeight="1" x14ac:dyDescent="0.2">
      <c r="E6239" s="18"/>
      <c r="F6239" s="18"/>
    </row>
    <row r="6240" spans="5:6" ht="15" customHeight="1" x14ac:dyDescent="0.2">
      <c r="E6240" s="18"/>
      <c r="F6240" s="18"/>
    </row>
    <row r="6241" spans="5:6" ht="15" customHeight="1" x14ac:dyDescent="0.2">
      <c r="E6241" s="18"/>
      <c r="F6241" s="18"/>
    </row>
    <row r="6242" spans="5:6" ht="15" customHeight="1" x14ac:dyDescent="0.2">
      <c r="E6242" s="18"/>
      <c r="F6242" s="18"/>
    </row>
    <row r="6243" spans="5:6" ht="15" customHeight="1" x14ac:dyDescent="0.2">
      <c r="E6243" s="18"/>
      <c r="F6243" s="18"/>
    </row>
    <row r="6244" spans="5:6" ht="15" customHeight="1" x14ac:dyDescent="0.2">
      <c r="E6244" s="18"/>
      <c r="F6244" s="18"/>
    </row>
    <row r="6245" spans="5:6" ht="15" customHeight="1" x14ac:dyDescent="0.2">
      <c r="E6245" s="18"/>
      <c r="F6245" s="18"/>
    </row>
    <row r="6246" spans="5:6" ht="15" customHeight="1" x14ac:dyDescent="0.2">
      <c r="E6246" s="18"/>
      <c r="F6246" s="18"/>
    </row>
    <row r="6247" spans="5:6" ht="15" customHeight="1" x14ac:dyDescent="0.2">
      <c r="E6247" s="18"/>
      <c r="F6247" s="18"/>
    </row>
    <row r="6248" spans="5:6" ht="15" customHeight="1" x14ac:dyDescent="0.2">
      <c r="E6248" s="18"/>
      <c r="F6248" s="18"/>
    </row>
    <row r="6249" spans="5:6" ht="15" customHeight="1" x14ac:dyDescent="0.2">
      <c r="E6249" s="18"/>
      <c r="F6249" s="18"/>
    </row>
    <row r="6250" spans="5:6" ht="15" customHeight="1" x14ac:dyDescent="0.2">
      <c r="E6250" s="18"/>
      <c r="F6250" s="18"/>
    </row>
    <row r="6251" spans="5:6" ht="15" customHeight="1" x14ac:dyDescent="0.2">
      <c r="E6251" s="18"/>
      <c r="F6251" s="18"/>
    </row>
    <row r="6252" spans="5:6" ht="15" customHeight="1" x14ac:dyDescent="0.2">
      <c r="E6252" s="18"/>
      <c r="F6252" s="18"/>
    </row>
    <row r="6253" spans="5:6" ht="15" customHeight="1" x14ac:dyDescent="0.2">
      <c r="E6253" s="18"/>
      <c r="F6253" s="18"/>
    </row>
    <row r="6254" spans="5:6" ht="15" customHeight="1" x14ac:dyDescent="0.2">
      <c r="E6254" s="18"/>
      <c r="F6254" s="18"/>
    </row>
    <row r="6255" spans="5:6" ht="15" customHeight="1" x14ac:dyDescent="0.2">
      <c r="E6255" s="18"/>
      <c r="F6255" s="18"/>
    </row>
    <row r="6256" spans="5:6" ht="15" customHeight="1" x14ac:dyDescent="0.2">
      <c r="E6256" s="18"/>
      <c r="F6256" s="18"/>
    </row>
    <row r="6257" spans="5:6" ht="15" customHeight="1" x14ac:dyDescent="0.2">
      <c r="E6257" s="18"/>
      <c r="F6257" s="18"/>
    </row>
    <row r="6258" spans="5:6" ht="15" customHeight="1" x14ac:dyDescent="0.2">
      <c r="E6258" s="18"/>
      <c r="F6258" s="18"/>
    </row>
    <row r="6259" spans="5:6" ht="15" customHeight="1" x14ac:dyDescent="0.2">
      <c r="E6259" s="18"/>
      <c r="F6259" s="18"/>
    </row>
    <row r="6260" spans="5:6" ht="15" customHeight="1" x14ac:dyDescent="0.2">
      <c r="E6260" s="18"/>
      <c r="F6260" s="18"/>
    </row>
    <row r="6261" spans="5:6" ht="15" customHeight="1" x14ac:dyDescent="0.2">
      <c r="E6261" s="18"/>
      <c r="F6261" s="18"/>
    </row>
    <row r="6262" spans="5:6" ht="15" customHeight="1" x14ac:dyDescent="0.2">
      <c r="E6262" s="18"/>
      <c r="F6262" s="18"/>
    </row>
    <row r="6263" spans="5:6" ht="15" customHeight="1" x14ac:dyDescent="0.2">
      <c r="E6263" s="18"/>
      <c r="F6263" s="18"/>
    </row>
    <row r="6264" spans="5:6" ht="15" customHeight="1" x14ac:dyDescent="0.2">
      <c r="E6264" s="18"/>
      <c r="F6264" s="18"/>
    </row>
    <row r="6265" spans="5:6" ht="15" customHeight="1" x14ac:dyDescent="0.2">
      <c r="E6265" s="18"/>
      <c r="F6265" s="18"/>
    </row>
    <row r="6266" spans="5:6" ht="15" customHeight="1" x14ac:dyDescent="0.2">
      <c r="E6266" s="18"/>
      <c r="F6266" s="18"/>
    </row>
    <row r="6267" spans="5:6" ht="15" customHeight="1" x14ac:dyDescent="0.2">
      <c r="E6267" s="18"/>
      <c r="F6267" s="18"/>
    </row>
    <row r="6268" spans="5:6" ht="15" customHeight="1" x14ac:dyDescent="0.2">
      <c r="E6268" s="18"/>
      <c r="F6268" s="18"/>
    </row>
    <row r="6269" spans="5:6" ht="15" customHeight="1" x14ac:dyDescent="0.2">
      <c r="E6269" s="18"/>
      <c r="F6269" s="18"/>
    </row>
    <row r="6270" spans="5:6" ht="15" customHeight="1" x14ac:dyDescent="0.2">
      <c r="E6270" s="18"/>
      <c r="F6270" s="18"/>
    </row>
    <row r="6271" spans="5:6" ht="15" customHeight="1" x14ac:dyDescent="0.2">
      <c r="E6271" s="18"/>
      <c r="F6271" s="18"/>
    </row>
    <row r="6272" spans="5:6" ht="15" customHeight="1" x14ac:dyDescent="0.2">
      <c r="E6272" s="18"/>
      <c r="F6272" s="18"/>
    </row>
    <row r="6273" spans="5:6" ht="15" customHeight="1" x14ac:dyDescent="0.2">
      <c r="E6273" s="18"/>
      <c r="F6273" s="18"/>
    </row>
    <row r="6274" spans="5:6" ht="15" customHeight="1" x14ac:dyDescent="0.2">
      <c r="E6274" s="18"/>
      <c r="F6274" s="18"/>
    </row>
    <row r="6275" spans="5:6" ht="15" customHeight="1" x14ac:dyDescent="0.2">
      <c r="E6275" s="18"/>
      <c r="F6275" s="18"/>
    </row>
    <row r="6276" spans="5:6" ht="15" customHeight="1" x14ac:dyDescent="0.2">
      <c r="E6276" s="18"/>
      <c r="F6276" s="18"/>
    </row>
    <row r="6277" spans="5:6" ht="15" customHeight="1" x14ac:dyDescent="0.2">
      <c r="E6277" s="18"/>
      <c r="F6277" s="18"/>
    </row>
    <row r="6278" spans="5:6" ht="15" customHeight="1" x14ac:dyDescent="0.2">
      <c r="E6278" s="18"/>
      <c r="F6278" s="18"/>
    </row>
    <row r="6279" spans="5:6" ht="15" customHeight="1" x14ac:dyDescent="0.2">
      <c r="E6279" s="18"/>
      <c r="F6279" s="18"/>
    </row>
    <row r="6280" spans="5:6" ht="15" customHeight="1" x14ac:dyDescent="0.2">
      <c r="E6280" s="18"/>
      <c r="F6280" s="18"/>
    </row>
    <row r="6281" spans="5:6" ht="15" customHeight="1" x14ac:dyDescent="0.2">
      <c r="E6281" s="18"/>
      <c r="F6281" s="18"/>
    </row>
    <row r="6282" spans="5:6" ht="15" customHeight="1" x14ac:dyDescent="0.2">
      <c r="E6282" s="18"/>
      <c r="F6282" s="18"/>
    </row>
    <row r="6283" spans="5:6" ht="15" customHeight="1" x14ac:dyDescent="0.2">
      <c r="E6283" s="18"/>
      <c r="F6283" s="18"/>
    </row>
    <row r="6284" spans="5:6" ht="15" customHeight="1" x14ac:dyDescent="0.2">
      <c r="E6284" s="18"/>
      <c r="F6284" s="18"/>
    </row>
    <row r="6285" spans="5:6" ht="15" customHeight="1" x14ac:dyDescent="0.2">
      <c r="E6285" s="18"/>
      <c r="F6285" s="18"/>
    </row>
    <row r="6286" spans="5:6" ht="15" customHeight="1" x14ac:dyDescent="0.2">
      <c r="E6286" s="18"/>
      <c r="F6286" s="18"/>
    </row>
    <row r="6287" spans="5:6" ht="15" customHeight="1" x14ac:dyDescent="0.2">
      <c r="E6287" s="18"/>
      <c r="F6287" s="18"/>
    </row>
    <row r="6288" spans="5:6" ht="15" customHeight="1" x14ac:dyDescent="0.2">
      <c r="E6288" s="18"/>
      <c r="F6288" s="18"/>
    </row>
    <row r="6289" spans="5:6" ht="15" customHeight="1" x14ac:dyDescent="0.2">
      <c r="E6289" s="18"/>
      <c r="F6289" s="18"/>
    </row>
    <row r="6290" spans="5:6" ht="15" customHeight="1" x14ac:dyDescent="0.2">
      <c r="E6290" s="18"/>
      <c r="F6290" s="18"/>
    </row>
    <row r="6291" spans="5:6" ht="15" customHeight="1" x14ac:dyDescent="0.2">
      <c r="E6291" s="18"/>
      <c r="F6291" s="18"/>
    </row>
    <row r="6292" spans="5:6" ht="15" customHeight="1" x14ac:dyDescent="0.2">
      <c r="E6292" s="18"/>
      <c r="F6292" s="18"/>
    </row>
    <row r="6293" spans="5:6" ht="15" customHeight="1" x14ac:dyDescent="0.2">
      <c r="E6293" s="18"/>
      <c r="F6293" s="18"/>
    </row>
    <row r="6294" spans="5:6" ht="15" customHeight="1" x14ac:dyDescent="0.2">
      <c r="E6294" s="18"/>
      <c r="F6294" s="18"/>
    </row>
    <row r="6295" spans="5:6" ht="15" customHeight="1" x14ac:dyDescent="0.2">
      <c r="E6295" s="18"/>
      <c r="F6295" s="18"/>
    </row>
    <row r="6296" spans="5:6" ht="15" customHeight="1" x14ac:dyDescent="0.2">
      <c r="E6296" s="18"/>
      <c r="F6296" s="18"/>
    </row>
    <row r="6297" spans="5:6" ht="15" customHeight="1" x14ac:dyDescent="0.2">
      <c r="E6297" s="18"/>
      <c r="F6297" s="18"/>
    </row>
    <row r="6298" spans="5:6" ht="15" customHeight="1" x14ac:dyDescent="0.2">
      <c r="E6298" s="18"/>
      <c r="F6298" s="18"/>
    </row>
    <row r="6299" spans="5:6" ht="15" customHeight="1" x14ac:dyDescent="0.2">
      <c r="E6299" s="18"/>
      <c r="F6299" s="18"/>
    </row>
    <row r="6300" spans="5:6" ht="15" customHeight="1" x14ac:dyDescent="0.2">
      <c r="E6300" s="18"/>
      <c r="F6300" s="18"/>
    </row>
    <row r="6301" spans="5:6" ht="15" customHeight="1" x14ac:dyDescent="0.2">
      <c r="E6301" s="18"/>
      <c r="F6301" s="18"/>
    </row>
    <row r="6302" spans="5:6" ht="15" customHeight="1" x14ac:dyDescent="0.2">
      <c r="E6302" s="18"/>
      <c r="F6302" s="18"/>
    </row>
    <row r="6303" spans="5:6" ht="15" customHeight="1" x14ac:dyDescent="0.2">
      <c r="E6303" s="18"/>
      <c r="F6303" s="18"/>
    </row>
    <row r="6304" spans="5:6" ht="15" customHeight="1" x14ac:dyDescent="0.2">
      <c r="E6304" s="18"/>
      <c r="F6304" s="18"/>
    </row>
    <row r="6305" spans="5:6" ht="15" customHeight="1" x14ac:dyDescent="0.2">
      <c r="E6305" s="18"/>
      <c r="F6305" s="18"/>
    </row>
    <row r="6306" spans="5:6" ht="15" customHeight="1" x14ac:dyDescent="0.2">
      <c r="E6306" s="18"/>
      <c r="F6306" s="18"/>
    </row>
    <row r="6307" spans="5:6" ht="15" customHeight="1" x14ac:dyDescent="0.2">
      <c r="E6307" s="18"/>
      <c r="F6307" s="18"/>
    </row>
    <row r="6308" spans="5:6" ht="15" customHeight="1" x14ac:dyDescent="0.2">
      <c r="E6308" s="18"/>
      <c r="F6308" s="18"/>
    </row>
    <row r="6309" spans="5:6" ht="15" customHeight="1" x14ac:dyDescent="0.2">
      <c r="E6309" s="18"/>
      <c r="F6309" s="18"/>
    </row>
    <row r="6310" spans="5:6" ht="15" customHeight="1" x14ac:dyDescent="0.2">
      <c r="E6310" s="18"/>
      <c r="F6310" s="18"/>
    </row>
    <row r="6311" spans="5:6" ht="15" customHeight="1" x14ac:dyDescent="0.2">
      <c r="E6311" s="18"/>
      <c r="F6311" s="18"/>
    </row>
    <row r="6312" spans="5:6" ht="15" customHeight="1" x14ac:dyDescent="0.2">
      <c r="E6312" s="18"/>
      <c r="F6312" s="18"/>
    </row>
    <row r="6313" spans="5:6" ht="15" customHeight="1" x14ac:dyDescent="0.2">
      <c r="E6313" s="18"/>
      <c r="F6313" s="18"/>
    </row>
    <row r="6314" spans="5:6" ht="15" customHeight="1" x14ac:dyDescent="0.2">
      <c r="E6314" s="18"/>
      <c r="F6314" s="18"/>
    </row>
    <row r="6315" spans="5:6" ht="15" customHeight="1" x14ac:dyDescent="0.2">
      <c r="E6315" s="18"/>
      <c r="F6315" s="18"/>
    </row>
    <row r="6316" spans="5:6" ht="15" customHeight="1" x14ac:dyDescent="0.2">
      <c r="E6316" s="18"/>
      <c r="F6316" s="18"/>
    </row>
    <row r="6317" spans="5:6" ht="15" customHeight="1" x14ac:dyDescent="0.2">
      <c r="E6317" s="18"/>
      <c r="F6317" s="18"/>
    </row>
    <row r="6318" spans="5:6" ht="15" customHeight="1" x14ac:dyDescent="0.2">
      <c r="E6318" s="18"/>
      <c r="F6318" s="18"/>
    </row>
    <row r="6319" spans="5:6" ht="15" customHeight="1" x14ac:dyDescent="0.2">
      <c r="E6319" s="18"/>
      <c r="F6319" s="18"/>
    </row>
    <row r="6320" spans="5:6" ht="15" customHeight="1" x14ac:dyDescent="0.2">
      <c r="E6320" s="18"/>
      <c r="F6320" s="18"/>
    </row>
    <row r="6321" spans="5:6" ht="15" customHeight="1" x14ac:dyDescent="0.2">
      <c r="E6321" s="18"/>
      <c r="F6321" s="18"/>
    </row>
    <row r="6322" spans="5:6" ht="15" customHeight="1" x14ac:dyDescent="0.2">
      <c r="E6322" s="18"/>
      <c r="F6322" s="18"/>
    </row>
    <row r="6323" spans="5:6" ht="15" customHeight="1" x14ac:dyDescent="0.2">
      <c r="E6323" s="18"/>
      <c r="F6323" s="18"/>
    </row>
    <row r="6324" spans="5:6" ht="15" customHeight="1" x14ac:dyDescent="0.2">
      <c r="E6324" s="18"/>
      <c r="F6324" s="18"/>
    </row>
    <row r="6325" spans="5:6" ht="15" customHeight="1" x14ac:dyDescent="0.2">
      <c r="E6325" s="18"/>
      <c r="F6325" s="18"/>
    </row>
    <row r="6326" spans="5:6" ht="15" customHeight="1" x14ac:dyDescent="0.2">
      <c r="E6326" s="18"/>
      <c r="F6326" s="18"/>
    </row>
    <row r="6327" spans="5:6" ht="15" customHeight="1" x14ac:dyDescent="0.2">
      <c r="E6327" s="18"/>
      <c r="F6327" s="18"/>
    </row>
    <row r="6328" spans="5:6" ht="15" customHeight="1" x14ac:dyDescent="0.2">
      <c r="E6328" s="18"/>
      <c r="F6328" s="18"/>
    </row>
    <row r="6329" spans="5:6" ht="15" customHeight="1" x14ac:dyDescent="0.2">
      <c r="E6329" s="18"/>
      <c r="F6329" s="18"/>
    </row>
    <row r="6330" spans="5:6" ht="15" customHeight="1" x14ac:dyDescent="0.2">
      <c r="E6330" s="18"/>
      <c r="F6330" s="18"/>
    </row>
    <row r="6331" spans="5:6" ht="15" customHeight="1" x14ac:dyDescent="0.2">
      <c r="E6331" s="18"/>
      <c r="F6331" s="18"/>
    </row>
    <row r="6332" spans="5:6" ht="15" customHeight="1" x14ac:dyDescent="0.2">
      <c r="E6332" s="18"/>
      <c r="F6332" s="18"/>
    </row>
    <row r="6333" spans="5:6" ht="15" customHeight="1" x14ac:dyDescent="0.2">
      <c r="E6333" s="18"/>
      <c r="F6333" s="18"/>
    </row>
    <row r="6334" spans="5:6" ht="15" customHeight="1" x14ac:dyDescent="0.2">
      <c r="E6334" s="18"/>
      <c r="F6334" s="18"/>
    </row>
    <row r="6335" spans="5:6" ht="15" customHeight="1" x14ac:dyDescent="0.2">
      <c r="E6335" s="18"/>
      <c r="F6335" s="18"/>
    </row>
    <row r="6336" spans="5:6" ht="15" customHeight="1" x14ac:dyDescent="0.2">
      <c r="E6336" s="18"/>
      <c r="F6336" s="18"/>
    </row>
    <row r="6337" spans="5:6" ht="15" customHeight="1" x14ac:dyDescent="0.2">
      <c r="E6337" s="18"/>
      <c r="F6337" s="18"/>
    </row>
    <row r="6338" spans="5:6" ht="15" customHeight="1" x14ac:dyDescent="0.2">
      <c r="E6338" s="18"/>
      <c r="F6338" s="18"/>
    </row>
    <row r="6339" spans="5:6" ht="15" customHeight="1" x14ac:dyDescent="0.2">
      <c r="E6339" s="18"/>
      <c r="F6339" s="18"/>
    </row>
    <row r="6340" spans="5:6" ht="15" customHeight="1" x14ac:dyDescent="0.2">
      <c r="E6340" s="18"/>
      <c r="F6340" s="18"/>
    </row>
    <row r="6341" spans="5:6" ht="15" customHeight="1" x14ac:dyDescent="0.2">
      <c r="E6341" s="18"/>
      <c r="F6341" s="18"/>
    </row>
    <row r="6342" spans="5:6" ht="15" customHeight="1" x14ac:dyDescent="0.2">
      <c r="E6342" s="18"/>
      <c r="F6342" s="18"/>
    </row>
    <row r="6343" spans="5:6" ht="15" customHeight="1" x14ac:dyDescent="0.2">
      <c r="E6343" s="18"/>
      <c r="F6343" s="18"/>
    </row>
    <row r="6344" spans="5:6" ht="15" customHeight="1" x14ac:dyDescent="0.2">
      <c r="E6344" s="18"/>
      <c r="F6344" s="18"/>
    </row>
    <row r="6345" spans="5:6" ht="15" customHeight="1" x14ac:dyDescent="0.2">
      <c r="E6345" s="18"/>
      <c r="F6345" s="18"/>
    </row>
    <row r="6346" spans="5:6" ht="15" customHeight="1" x14ac:dyDescent="0.2">
      <c r="E6346" s="18"/>
      <c r="F6346" s="18"/>
    </row>
    <row r="6347" spans="5:6" ht="15" customHeight="1" x14ac:dyDescent="0.2">
      <c r="E6347" s="18"/>
      <c r="F6347" s="18"/>
    </row>
    <row r="6348" spans="5:6" ht="15" customHeight="1" x14ac:dyDescent="0.2">
      <c r="E6348" s="18"/>
      <c r="F6348" s="18"/>
    </row>
    <row r="6349" spans="5:6" ht="15" customHeight="1" x14ac:dyDescent="0.2">
      <c r="E6349" s="18"/>
      <c r="F6349" s="18"/>
    </row>
    <row r="6350" spans="5:6" ht="15" customHeight="1" x14ac:dyDescent="0.2">
      <c r="E6350" s="18"/>
      <c r="F6350" s="18"/>
    </row>
    <row r="6351" spans="5:6" ht="15" customHeight="1" x14ac:dyDescent="0.2">
      <c r="E6351" s="18"/>
      <c r="F6351" s="18"/>
    </row>
    <row r="6352" spans="5:6" ht="15" customHeight="1" x14ac:dyDescent="0.2">
      <c r="E6352" s="18"/>
      <c r="F6352" s="18"/>
    </row>
    <row r="6353" spans="5:6" ht="15" customHeight="1" x14ac:dyDescent="0.2">
      <c r="E6353" s="18"/>
      <c r="F6353" s="18"/>
    </row>
    <row r="6354" spans="5:6" ht="15" customHeight="1" x14ac:dyDescent="0.2">
      <c r="E6354" s="18"/>
      <c r="F6354" s="18"/>
    </row>
    <row r="6355" spans="5:6" ht="15" customHeight="1" x14ac:dyDescent="0.2">
      <c r="E6355" s="18"/>
      <c r="F6355" s="18"/>
    </row>
    <row r="6356" spans="5:6" ht="15" customHeight="1" x14ac:dyDescent="0.2">
      <c r="E6356" s="18"/>
      <c r="F6356" s="18"/>
    </row>
    <row r="6357" spans="5:6" ht="15" customHeight="1" x14ac:dyDescent="0.2">
      <c r="E6357" s="18"/>
      <c r="F6357" s="18"/>
    </row>
    <row r="6358" spans="5:6" ht="15" customHeight="1" x14ac:dyDescent="0.2">
      <c r="E6358" s="18"/>
      <c r="F6358" s="18"/>
    </row>
    <row r="6359" spans="5:6" ht="15" customHeight="1" x14ac:dyDescent="0.2">
      <c r="E6359" s="18"/>
      <c r="F6359" s="18"/>
    </row>
    <row r="6360" spans="5:6" ht="15" customHeight="1" x14ac:dyDescent="0.2">
      <c r="E6360" s="18"/>
      <c r="F6360" s="18"/>
    </row>
    <row r="6361" spans="5:6" ht="15" customHeight="1" x14ac:dyDescent="0.2">
      <c r="E6361" s="18"/>
      <c r="F6361" s="18"/>
    </row>
    <row r="6362" spans="5:6" ht="15" customHeight="1" x14ac:dyDescent="0.2">
      <c r="E6362" s="18"/>
      <c r="F6362" s="18"/>
    </row>
    <row r="6363" spans="5:6" ht="15" customHeight="1" x14ac:dyDescent="0.2">
      <c r="E6363" s="18"/>
      <c r="F6363" s="18"/>
    </row>
    <row r="6364" spans="5:6" ht="15" customHeight="1" x14ac:dyDescent="0.2">
      <c r="E6364" s="18"/>
      <c r="F6364" s="18"/>
    </row>
    <row r="6365" spans="5:6" ht="15" customHeight="1" x14ac:dyDescent="0.2">
      <c r="E6365" s="18"/>
      <c r="F6365" s="18"/>
    </row>
    <row r="6366" spans="5:6" ht="15" customHeight="1" x14ac:dyDescent="0.2">
      <c r="E6366" s="18"/>
      <c r="F6366" s="18"/>
    </row>
    <row r="6367" spans="5:6" ht="15" customHeight="1" x14ac:dyDescent="0.2">
      <c r="E6367" s="18"/>
      <c r="F6367" s="18"/>
    </row>
    <row r="6368" spans="5:6" ht="15" customHeight="1" x14ac:dyDescent="0.2">
      <c r="E6368" s="18"/>
      <c r="F6368" s="18"/>
    </row>
    <row r="6369" spans="5:6" ht="15" customHeight="1" x14ac:dyDescent="0.2">
      <c r="E6369" s="18"/>
      <c r="F6369" s="18"/>
    </row>
    <row r="6370" spans="5:6" ht="15" customHeight="1" x14ac:dyDescent="0.2">
      <c r="E6370" s="18"/>
      <c r="F6370" s="18"/>
    </row>
    <row r="6371" spans="5:6" ht="15" customHeight="1" x14ac:dyDescent="0.2">
      <c r="E6371" s="18"/>
      <c r="F6371" s="18"/>
    </row>
    <row r="6372" spans="5:6" ht="15" customHeight="1" x14ac:dyDescent="0.2">
      <c r="E6372" s="18"/>
      <c r="F6372" s="18"/>
    </row>
    <row r="6373" spans="5:6" ht="15" customHeight="1" x14ac:dyDescent="0.2">
      <c r="E6373" s="18"/>
      <c r="F6373" s="18"/>
    </row>
    <row r="6374" spans="5:6" ht="15" customHeight="1" x14ac:dyDescent="0.2">
      <c r="E6374" s="18"/>
      <c r="F6374" s="18"/>
    </row>
    <row r="6375" spans="5:6" ht="15" customHeight="1" x14ac:dyDescent="0.2">
      <c r="E6375" s="18"/>
      <c r="F6375" s="18"/>
    </row>
    <row r="6376" spans="5:6" ht="15" customHeight="1" x14ac:dyDescent="0.2">
      <c r="E6376" s="18"/>
      <c r="F6376" s="18"/>
    </row>
    <row r="6377" spans="5:6" ht="15" customHeight="1" x14ac:dyDescent="0.2">
      <c r="E6377" s="18"/>
      <c r="F6377" s="18"/>
    </row>
    <row r="6378" spans="5:6" ht="15" customHeight="1" x14ac:dyDescent="0.2">
      <c r="E6378" s="18"/>
      <c r="F6378" s="18"/>
    </row>
    <row r="6379" spans="5:6" ht="15" customHeight="1" x14ac:dyDescent="0.2">
      <c r="E6379" s="18"/>
      <c r="F6379" s="18"/>
    </row>
    <row r="6380" spans="5:6" ht="15" customHeight="1" x14ac:dyDescent="0.2">
      <c r="E6380" s="18"/>
      <c r="F6380" s="18"/>
    </row>
    <row r="6381" spans="5:6" ht="15" customHeight="1" x14ac:dyDescent="0.2">
      <c r="E6381" s="18"/>
      <c r="F6381" s="18"/>
    </row>
    <row r="6382" spans="5:6" ht="15" customHeight="1" x14ac:dyDescent="0.2">
      <c r="E6382" s="18"/>
      <c r="F6382" s="18"/>
    </row>
    <row r="6383" spans="5:6" ht="15" customHeight="1" x14ac:dyDescent="0.2">
      <c r="E6383" s="18"/>
      <c r="F6383" s="18"/>
    </row>
    <row r="6384" spans="5:6" ht="15" customHeight="1" x14ac:dyDescent="0.2">
      <c r="E6384" s="18"/>
      <c r="F6384" s="18"/>
    </row>
    <row r="6385" spans="5:6" ht="15" customHeight="1" x14ac:dyDescent="0.2">
      <c r="E6385" s="18"/>
      <c r="F6385" s="18"/>
    </row>
    <row r="6386" spans="5:6" ht="15" customHeight="1" x14ac:dyDescent="0.2">
      <c r="E6386" s="18"/>
      <c r="F6386" s="18"/>
    </row>
    <row r="6387" spans="5:6" ht="15" customHeight="1" x14ac:dyDescent="0.2">
      <c r="E6387" s="18"/>
      <c r="F6387" s="18"/>
    </row>
    <row r="6388" spans="5:6" ht="15" customHeight="1" x14ac:dyDescent="0.2">
      <c r="E6388" s="18"/>
      <c r="F6388" s="18"/>
    </row>
    <row r="6389" spans="5:6" ht="15" customHeight="1" x14ac:dyDescent="0.2">
      <c r="E6389" s="18"/>
      <c r="F6389" s="18"/>
    </row>
    <row r="6390" spans="5:6" ht="15" customHeight="1" x14ac:dyDescent="0.2">
      <c r="E6390" s="18"/>
      <c r="F6390" s="18"/>
    </row>
    <row r="6391" spans="5:6" ht="15" customHeight="1" x14ac:dyDescent="0.2">
      <c r="E6391" s="18"/>
      <c r="F6391" s="18"/>
    </row>
    <row r="6392" spans="5:6" ht="15" customHeight="1" x14ac:dyDescent="0.2">
      <c r="E6392" s="18"/>
      <c r="F6392" s="18"/>
    </row>
    <row r="6393" spans="5:6" ht="15" customHeight="1" x14ac:dyDescent="0.2">
      <c r="E6393" s="18"/>
      <c r="F6393" s="18"/>
    </row>
    <row r="6394" spans="5:6" ht="15" customHeight="1" x14ac:dyDescent="0.2">
      <c r="E6394" s="18"/>
      <c r="F6394" s="18"/>
    </row>
    <row r="6395" spans="5:6" ht="15" customHeight="1" x14ac:dyDescent="0.2">
      <c r="E6395" s="18"/>
      <c r="F6395" s="18"/>
    </row>
    <row r="6396" spans="5:6" ht="15" customHeight="1" x14ac:dyDescent="0.2">
      <c r="E6396" s="18"/>
      <c r="F6396" s="18"/>
    </row>
    <row r="6397" spans="5:6" ht="15" customHeight="1" x14ac:dyDescent="0.2">
      <c r="E6397" s="18"/>
      <c r="F6397" s="18"/>
    </row>
    <row r="6398" spans="5:6" ht="15" customHeight="1" x14ac:dyDescent="0.2">
      <c r="E6398" s="18"/>
      <c r="F6398" s="18"/>
    </row>
    <row r="6399" spans="5:6" ht="15" customHeight="1" x14ac:dyDescent="0.2">
      <c r="E6399" s="18"/>
      <c r="F6399" s="18"/>
    </row>
    <row r="6400" spans="5:6" ht="15" customHeight="1" x14ac:dyDescent="0.2">
      <c r="E6400" s="18"/>
      <c r="F6400" s="18"/>
    </row>
    <row r="6401" spans="5:6" ht="15" customHeight="1" x14ac:dyDescent="0.2">
      <c r="E6401" s="18"/>
      <c r="F6401" s="18"/>
    </row>
    <row r="6402" spans="5:6" ht="15" customHeight="1" x14ac:dyDescent="0.2">
      <c r="E6402" s="18"/>
      <c r="F6402" s="18"/>
    </row>
    <row r="6403" spans="5:6" ht="15" customHeight="1" x14ac:dyDescent="0.2">
      <c r="E6403" s="18"/>
      <c r="F6403" s="18"/>
    </row>
    <row r="6404" spans="5:6" ht="15" customHeight="1" x14ac:dyDescent="0.2">
      <c r="E6404" s="18"/>
      <c r="F6404" s="18"/>
    </row>
    <row r="6405" spans="5:6" ht="15" customHeight="1" x14ac:dyDescent="0.2">
      <c r="E6405" s="18"/>
      <c r="F6405" s="18"/>
    </row>
    <row r="6406" spans="5:6" ht="15" customHeight="1" x14ac:dyDescent="0.2">
      <c r="E6406" s="18"/>
      <c r="F6406" s="18"/>
    </row>
    <row r="6407" spans="5:6" ht="15" customHeight="1" x14ac:dyDescent="0.2">
      <c r="E6407" s="18"/>
      <c r="F6407" s="18"/>
    </row>
    <row r="6408" spans="5:6" ht="15" customHeight="1" x14ac:dyDescent="0.2">
      <c r="E6408" s="18"/>
      <c r="F6408" s="18"/>
    </row>
    <row r="6409" spans="5:6" ht="15" customHeight="1" x14ac:dyDescent="0.2">
      <c r="E6409" s="18"/>
      <c r="F6409" s="18"/>
    </row>
    <row r="6410" spans="5:6" ht="15" customHeight="1" x14ac:dyDescent="0.2">
      <c r="E6410" s="18"/>
      <c r="F6410" s="18"/>
    </row>
    <row r="6411" spans="5:6" ht="15" customHeight="1" x14ac:dyDescent="0.2">
      <c r="E6411" s="18"/>
      <c r="F6411" s="18"/>
    </row>
    <row r="6412" spans="5:6" ht="15" customHeight="1" x14ac:dyDescent="0.2">
      <c r="E6412" s="18"/>
      <c r="F6412" s="18"/>
    </row>
    <row r="6413" spans="5:6" ht="15" customHeight="1" x14ac:dyDescent="0.2">
      <c r="E6413" s="18"/>
      <c r="F6413" s="18"/>
    </row>
    <row r="6414" spans="5:6" ht="15" customHeight="1" x14ac:dyDescent="0.2">
      <c r="E6414" s="18"/>
      <c r="F6414" s="18"/>
    </row>
    <row r="6415" spans="5:6" ht="15" customHeight="1" x14ac:dyDescent="0.2">
      <c r="E6415" s="18"/>
      <c r="F6415" s="18"/>
    </row>
    <row r="6416" spans="5:6" ht="15" customHeight="1" x14ac:dyDescent="0.2">
      <c r="E6416" s="18"/>
      <c r="F6416" s="18"/>
    </row>
    <row r="6417" spans="5:6" ht="15" customHeight="1" x14ac:dyDescent="0.2">
      <c r="E6417" s="18"/>
      <c r="F6417" s="18"/>
    </row>
    <row r="6418" spans="5:6" ht="15" customHeight="1" x14ac:dyDescent="0.2">
      <c r="E6418" s="18"/>
      <c r="F6418" s="18"/>
    </row>
    <row r="6419" spans="5:6" ht="15" customHeight="1" x14ac:dyDescent="0.2">
      <c r="E6419" s="18"/>
      <c r="F6419" s="18"/>
    </row>
    <row r="6420" spans="5:6" ht="15" customHeight="1" x14ac:dyDescent="0.2">
      <c r="E6420" s="18"/>
      <c r="F6420" s="18"/>
    </row>
    <row r="6421" spans="5:6" ht="15" customHeight="1" x14ac:dyDescent="0.2">
      <c r="E6421" s="18"/>
      <c r="F6421" s="18"/>
    </row>
    <row r="6422" spans="5:6" ht="15" customHeight="1" x14ac:dyDescent="0.2">
      <c r="E6422" s="18"/>
      <c r="F6422" s="18"/>
    </row>
    <row r="6423" spans="5:6" ht="15" customHeight="1" x14ac:dyDescent="0.2">
      <c r="E6423" s="18"/>
      <c r="F6423" s="18"/>
    </row>
    <row r="6424" spans="5:6" ht="15" customHeight="1" x14ac:dyDescent="0.2">
      <c r="E6424" s="18"/>
      <c r="F6424" s="18"/>
    </row>
    <row r="6425" spans="5:6" ht="15" customHeight="1" x14ac:dyDescent="0.2">
      <c r="E6425" s="18"/>
      <c r="F6425" s="18"/>
    </row>
    <row r="6426" spans="5:6" ht="15" customHeight="1" x14ac:dyDescent="0.2">
      <c r="E6426" s="18"/>
      <c r="F6426" s="18"/>
    </row>
    <row r="6427" spans="5:6" ht="15" customHeight="1" x14ac:dyDescent="0.2">
      <c r="E6427" s="18"/>
      <c r="F6427" s="18"/>
    </row>
    <row r="6428" spans="5:6" ht="15" customHeight="1" x14ac:dyDescent="0.2">
      <c r="E6428" s="18"/>
      <c r="F6428" s="18"/>
    </row>
    <row r="6429" spans="5:6" ht="15" customHeight="1" x14ac:dyDescent="0.2">
      <c r="E6429" s="18"/>
      <c r="F6429" s="18"/>
    </row>
    <row r="6430" spans="5:6" ht="15" customHeight="1" x14ac:dyDescent="0.2">
      <c r="E6430" s="18"/>
      <c r="F6430" s="18"/>
    </row>
    <row r="6431" spans="5:6" ht="15" customHeight="1" x14ac:dyDescent="0.2">
      <c r="E6431" s="18"/>
      <c r="F6431" s="18"/>
    </row>
    <row r="6432" spans="5:6" ht="15" customHeight="1" x14ac:dyDescent="0.2">
      <c r="E6432" s="18"/>
      <c r="F6432" s="18"/>
    </row>
    <row r="6433" spans="5:6" ht="15" customHeight="1" x14ac:dyDescent="0.2">
      <c r="E6433" s="18"/>
      <c r="F6433" s="18"/>
    </row>
    <row r="6434" spans="5:6" ht="15" customHeight="1" x14ac:dyDescent="0.2">
      <c r="E6434" s="18"/>
      <c r="F6434" s="18"/>
    </row>
    <row r="6435" spans="5:6" ht="15" customHeight="1" x14ac:dyDescent="0.2">
      <c r="E6435" s="18"/>
      <c r="F6435" s="18"/>
    </row>
    <row r="6436" spans="5:6" ht="15" customHeight="1" x14ac:dyDescent="0.2">
      <c r="E6436" s="18"/>
      <c r="F6436" s="18"/>
    </row>
    <row r="6437" spans="5:6" ht="15" customHeight="1" x14ac:dyDescent="0.2">
      <c r="E6437" s="18"/>
      <c r="F6437" s="18"/>
    </row>
    <row r="6438" spans="5:6" ht="15" customHeight="1" x14ac:dyDescent="0.2">
      <c r="E6438" s="18"/>
      <c r="F6438" s="18"/>
    </row>
    <row r="6439" spans="5:6" ht="15" customHeight="1" x14ac:dyDescent="0.2">
      <c r="E6439" s="18"/>
      <c r="F6439" s="18"/>
    </row>
    <row r="6440" spans="5:6" ht="15" customHeight="1" x14ac:dyDescent="0.2">
      <c r="E6440" s="18"/>
      <c r="F6440" s="18"/>
    </row>
    <row r="6441" spans="5:6" ht="15" customHeight="1" x14ac:dyDescent="0.2">
      <c r="E6441" s="18"/>
      <c r="F6441" s="18"/>
    </row>
    <row r="6442" spans="5:6" ht="15" customHeight="1" x14ac:dyDescent="0.2">
      <c r="E6442" s="18"/>
      <c r="F6442" s="18"/>
    </row>
    <row r="6443" spans="5:6" ht="15" customHeight="1" x14ac:dyDescent="0.2">
      <c r="E6443" s="18"/>
      <c r="F6443" s="18"/>
    </row>
    <row r="6444" spans="5:6" ht="15" customHeight="1" x14ac:dyDescent="0.2">
      <c r="E6444" s="18"/>
      <c r="F6444" s="18"/>
    </row>
    <row r="6445" spans="5:6" ht="15" customHeight="1" x14ac:dyDescent="0.2">
      <c r="E6445" s="18"/>
      <c r="F6445" s="18"/>
    </row>
    <row r="6446" spans="5:6" ht="15" customHeight="1" x14ac:dyDescent="0.2">
      <c r="E6446" s="18"/>
      <c r="F6446" s="18"/>
    </row>
    <row r="6447" spans="5:6" ht="15" customHeight="1" x14ac:dyDescent="0.2">
      <c r="E6447" s="18"/>
      <c r="F6447" s="18"/>
    </row>
    <row r="6448" spans="5:6" ht="15" customHeight="1" x14ac:dyDescent="0.2">
      <c r="E6448" s="18"/>
      <c r="F6448" s="18"/>
    </row>
    <row r="6449" spans="5:6" ht="15" customHeight="1" x14ac:dyDescent="0.2">
      <c r="E6449" s="18"/>
      <c r="F6449" s="18"/>
    </row>
    <row r="6450" spans="5:6" ht="15" customHeight="1" x14ac:dyDescent="0.2">
      <c r="E6450" s="18"/>
      <c r="F6450" s="18"/>
    </row>
    <row r="6451" spans="5:6" ht="15" customHeight="1" x14ac:dyDescent="0.2">
      <c r="E6451" s="18"/>
      <c r="F6451" s="18"/>
    </row>
    <row r="6452" spans="5:6" ht="15" customHeight="1" x14ac:dyDescent="0.2">
      <c r="E6452" s="18"/>
      <c r="F6452" s="18"/>
    </row>
    <row r="6453" spans="5:6" ht="15" customHeight="1" x14ac:dyDescent="0.2">
      <c r="E6453" s="18"/>
      <c r="F6453" s="18"/>
    </row>
    <row r="6454" spans="5:6" ht="15" customHeight="1" x14ac:dyDescent="0.2">
      <c r="E6454" s="18"/>
      <c r="F6454" s="18"/>
    </row>
    <row r="6455" spans="5:6" ht="15" customHeight="1" x14ac:dyDescent="0.2">
      <c r="E6455" s="18"/>
      <c r="F6455" s="18"/>
    </row>
    <row r="6456" spans="5:6" ht="15" customHeight="1" x14ac:dyDescent="0.2">
      <c r="E6456" s="18"/>
      <c r="F6456" s="18"/>
    </row>
    <row r="6457" spans="5:6" ht="15" customHeight="1" x14ac:dyDescent="0.2">
      <c r="E6457" s="18"/>
      <c r="F6457" s="18"/>
    </row>
    <row r="6458" spans="5:6" ht="15" customHeight="1" x14ac:dyDescent="0.2">
      <c r="E6458" s="18"/>
      <c r="F6458" s="18"/>
    </row>
    <row r="6459" spans="5:6" ht="15" customHeight="1" x14ac:dyDescent="0.2">
      <c r="E6459" s="18"/>
      <c r="F6459" s="18"/>
    </row>
    <row r="6460" spans="5:6" ht="15" customHeight="1" x14ac:dyDescent="0.2">
      <c r="E6460" s="18"/>
      <c r="F6460" s="18"/>
    </row>
    <row r="6461" spans="5:6" ht="15" customHeight="1" x14ac:dyDescent="0.2">
      <c r="E6461" s="18"/>
      <c r="F6461" s="18"/>
    </row>
    <row r="6462" spans="5:6" ht="15" customHeight="1" x14ac:dyDescent="0.2">
      <c r="E6462" s="18"/>
      <c r="F6462" s="18"/>
    </row>
    <row r="6463" spans="5:6" ht="15" customHeight="1" x14ac:dyDescent="0.2">
      <c r="E6463" s="18"/>
      <c r="F6463" s="18"/>
    </row>
    <row r="6464" spans="5:6" ht="15" customHeight="1" x14ac:dyDescent="0.2">
      <c r="E6464" s="18"/>
      <c r="F6464" s="18"/>
    </row>
    <row r="6465" spans="5:6" ht="15" customHeight="1" x14ac:dyDescent="0.2">
      <c r="E6465" s="18"/>
      <c r="F6465" s="18"/>
    </row>
    <row r="6466" spans="5:6" ht="15" customHeight="1" x14ac:dyDescent="0.2">
      <c r="E6466" s="18"/>
      <c r="F6466" s="18"/>
    </row>
    <row r="6467" spans="5:6" ht="15" customHeight="1" x14ac:dyDescent="0.2">
      <c r="E6467" s="18"/>
      <c r="F6467" s="18"/>
    </row>
    <row r="6468" spans="5:6" ht="15" customHeight="1" x14ac:dyDescent="0.2">
      <c r="E6468" s="18"/>
      <c r="F6468" s="18"/>
    </row>
    <row r="6469" spans="5:6" ht="15" customHeight="1" x14ac:dyDescent="0.2">
      <c r="E6469" s="18"/>
      <c r="F6469" s="18"/>
    </row>
    <row r="6470" spans="5:6" ht="15" customHeight="1" x14ac:dyDescent="0.2">
      <c r="E6470" s="18"/>
      <c r="F6470" s="18"/>
    </row>
    <row r="6471" spans="5:6" ht="15" customHeight="1" x14ac:dyDescent="0.2">
      <c r="E6471" s="18"/>
      <c r="F6471" s="18"/>
    </row>
    <row r="6472" spans="5:6" ht="15" customHeight="1" x14ac:dyDescent="0.2">
      <c r="E6472" s="18"/>
      <c r="F6472" s="18"/>
    </row>
    <row r="6473" spans="5:6" ht="15" customHeight="1" x14ac:dyDescent="0.2">
      <c r="E6473" s="18"/>
      <c r="F6473" s="18"/>
    </row>
    <row r="6474" spans="5:6" ht="15" customHeight="1" x14ac:dyDescent="0.2">
      <c r="E6474" s="18"/>
      <c r="F6474" s="18"/>
    </row>
    <row r="6475" spans="5:6" ht="15" customHeight="1" x14ac:dyDescent="0.2">
      <c r="E6475" s="18"/>
      <c r="F6475" s="18"/>
    </row>
    <row r="6476" spans="5:6" ht="15" customHeight="1" x14ac:dyDescent="0.2">
      <c r="E6476" s="18"/>
      <c r="F6476" s="18"/>
    </row>
    <row r="6477" spans="5:6" ht="15" customHeight="1" x14ac:dyDescent="0.2">
      <c r="E6477" s="18"/>
      <c r="F6477" s="18"/>
    </row>
    <row r="6478" spans="5:6" ht="15" customHeight="1" x14ac:dyDescent="0.2">
      <c r="E6478" s="18"/>
      <c r="F6478" s="18"/>
    </row>
    <row r="6479" spans="5:6" ht="15" customHeight="1" x14ac:dyDescent="0.2">
      <c r="E6479" s="18"/>
      <c r="F6479" s="18"/>
    </row>
    <row r="6480" spans="5:6" ht="15" customHeight="1" x14ac:dyDescent="0.2">
      <c r="E6480" s="18"/>
      <c r="F6480" s="18"/>
    </row>
    <row r="6481" spans="5:6" ht="15" customHeight="1" x14ac:dyDescent="0.2">
      <c r="E6481" s="18"/>
      <c r="F6481" s="18"/>
    </row>
    <row r="6482" spans="5:6" ht="15" customHeight="1" x14ac:dyDescent="0.2">
      <c r="E6482" s="18"/>
      <c r="F6482" s="18"/>
    </row>
    <row r="6483" spans="5:6" ht="15" customHeight="1" x14ac:dyDescent="0.2">
      <c r="E6483" s="18"/>
      <c r="F6483" s="18"/>
    </row>
    <row r="6484" spans="5:6" ht="15" customHeight="1" x14ac:dyDescent="0.2">
      <c r="E6484" s="18"/>
      <c r="F6484" s="18"/>
    </row>
    <row r="6485" spans="5:6" ht="15" customHeight="1" x14ac:dyDescent="0.2">
      <c r="E6485" s="18"/>
      <c r="F6485" s="18"/>
    </row>
    <row r="6486" spans="5:6" ht="15" customHeight="1" x14ac:dyDescent="0.2">
      <c r="E6486" s="18"/>
      <c r="F6486" s="18"/>
    </row>
    <row r="6487" spans="5:6" ht="15" customHeight="1" x14ac:dyDescent="0.2">
      <c r="E6487" s="18"/>
      <c r="F6487" s="18"/>
    </row>
    <row r="6488" spans="5:6" ht="15" customHeight="1" x14ac:dyDescent="0.2">
      <c r="E6488" s="18"/>
      <c r="F6488" s="18"/>
    </row>
    <row r="6489" spans="5:6" ht="15" customHeight="1" x14ac:dyDescent="0.2">
      <c r="E6489" s="18"/>
      <c r="F6489" s="18"/>
    </row>
    <row r="6490" spans="5:6" ht="15" customHeight="1" x14ac:dyDescent="0.2">
      <c r="E6490" s="18"/>
      <c r="F6490" s="18"/>
    </row>
    <row r="6491" spans="5:6" ht="15" customHeight="1" x14ac:dyDescent="0.2">
      <c r="E6491" s="18"/>
      <c r="F6491" s="18"/>
    </row>
    <row r="6492" spans="5:6" ht="15" customHeight="1" x14ac:dyDescent="0.2">
      <c r="E6492" s="18"/>
      <c r="F6492" s="18"/>
    </row>
    <row r="6493" spans="5:6" ht="15" customHeight="1" x14ac:dyDescent="0.2">
      <c r="E6493" s="18"/>
      <c r="F6493" s="18"/>
    </row>
    <row r="6494" spans="5:6" ht="15" customHeight="1" x14ac:dyDescent="0.2">
      <c r="E6494" s="18"/>
      <c r="F6494" s="18"/>
    </row>
    <row r="6495" spans="5:6" ht="15" customHeight="1" x14ac:dyDescent="0.2">
      <c r="E6495" s="18"/>
      <c r="F6495" s="18"/>
    </row>
    <row r="6496" spans="5:6" ht="15" customHeight="1" x14ac:dyDescent="0.2">
      <c r="E6496" s="18"/>
      <c r="F6496" s="18"/>
    </row>
    <row r="6497" spans="5:6" ht="15" customHeight="1" x14ac:dyDescent="0.2">
      <c r="E6497" s="18"/>
      <c r="F6497" s="18"/>
    </row>
    <row r="6498" spans="5:6" ht="15" customHeight="1" x14ac:dyDescent="0.2">
      <c r="E6498" s="18"/>
      <c r="F6498" s="18"/>
    </row>
    <row r="6499" spans="5:6" ht="15" customHeight="1" x14ac:dyDescent="0.2">
      <c r="E6499" s="18"/>
      <c r="F6499" s="18"/>
    </row>
    <row r="6500" spans="5:6" ht="15" customHeight="1" x14ac:dyDescent="0.2">
      <c r="E6500" s="18"/>
      <c r="F6500" s="18"/>
    </row>
    <row r="6501" spans="5:6" ht="15" customHeight="1" x14ac:dyDescent="0.2">
      <c r="E6501" s="18"/>
      <c r="F6501" s="18"/>
    </row>
    <row r="6502" spans="5:6" ht="15" customHeight="1" x14ac:dyDescent="0.2">
      <c r="E6502" s="18"/>
      <c r="F6502" s="18"/>
    </row>
    <row r="6503" spans="5:6" ht="15" customHeight="1" x14ac:dyDescent="0.2">
      <c r="E6503" s="18"/>
      <c r="F6503" s="18"/>
    </row>
    <row r="6504" spans="5:6" ht="15" customHeight="1" x14ac:dyDescent="0.2">
      <c r="E6504" s="18"/>
      <c r="F6504" s="18"/>
    </row>
    <row r="6505" spans="5:6" ht="15" customHeight="1" x14ac:dyDescent="0.2">
      <c r="E6505" s="18"/>
      <c r="F6505" s="18"/>
    </row>
    <row r="6506" spans="5:6" ht="15" customHeight="1" x14ac:dyDescent="0.2">
      <c r="E6506" s="18"/>
      <c r="F6506" s="18"/>
    </row>
    <row r="6507" spans="5:6" ht="15" customHeight="1" x14ac:dyDescent="0.2">
      <c r="E6507" s="18"/>
      <c r="F6507" s="18"/>
    </row>
    <row r="6508" spans="5:6" ht="15" customHeight="1" x14ac:dyDescent="0.2">
      <c r="E6508" s="18"/>
      <c r="F6508" s="18"/>
    </row>
    <row r="6509" spans="5:6" ht="15" customHeight="1" x14ac:dyDescent="0.2">
      <c r="E6509" s="18"/>
      <c r="F6509" s="18"/>
    </row>
    <row r="6510" spans="5:6" ht="15" customHeight="1" x14ac:dyDescent="0.2">
      <c r="E6510" s="18"/>
      <c r="F6510" s="18"/>
    </row>
    <row r="6511" spans="5:6" ht="15" customHeight="1" x14ac:dyDescent="0.2">
      <c r="E6511" s="18"/>
      <c r="F6511" s="18"/>
    </row>
    <row r="6512" spans="5:6" ht="15" customHeight="1" x14ac:dyDescent="0.2">
      <c r="E6512" s="18"/>
      <c r="F6512" s="18"/>
    </row>
    <row r="6513" spans="5:6" ht="15" customHeight="1" x14ac:dyDescent="0.2">
      <c r="E6513" s="18"/>
      <c r="F6513" s="18"/>
    </row>
    <row r="6514" spans="5:6" ht="15" customHeight="1" x14ac:dyDescent="0.2">
      <c r="E6514" s="18"/>
      <c r="F6514" s="18"/>
    </row>
    <row r="6515" spans="5:6" ht="15" customHeight="1" x14ac:dyDescent="0.2">
      <c r="E6515" s="18"/>
      <c r="F6515" s="18"/>
    </row>
    <row r="6516" spans="5:6" ht="15" customHeight="1" x14ac:dyDescent="0.2">
      <c r="E6516" s="18"/>
      <c r="F6516" s="18"/>
    </row>
    <row r="6517" spans="5:6" ht="15" customHeight="1" x14ac:dyDescent="0.2">
      <c r="E6517" s="18"/>
      <c r="F6517" s="18"/>
    </row>
    <row r="6518" spans="5:6" ht="15" customHeight="1" x14ac:dyDescent="0.2">
      <c r="E6518" s="18"/>
      <c r="F6518" s="18"/>
    </row>
    <row r="6519" spans="5:6" ht="15" customHeight="1" x14ac:dyDescent="0.2">
      <c r="E6519" s="18"/>
      <c r="F6519" s="18"/>
    </row>
    <row r="6520" spans="5:6" ht="15" customHeight="1" x14ac:dyDescent="0.2">
      <c r="E6520" s="18"/>
      <c r="F6520" s="18"/>
    </row>
    <row r="6521" spans="5:6" ht="15" customHeight="1" x14ac:dyDescent="0.2">
      <c r="E6521" s="18"/>
      <c r="F6521" s="18"/>
    </row>
    <row r="6522" spans="5:6" ht="15" customHeight="1" x14ac:dyDescent="0.2">
      <c r="E6522" s="18"/>
      <c r="F6522" s="18"/>
    </row>
    <row r="6523" spans="5:6" ht="15" customHeight="1" x14ac:dyDescent="0.2">
      <c r="E6523" s="18"/>
      <c r="F6523" s="18"/>
    </row>
    <row r="6524" spans="5:6" ht="15" customHeight="1" x14ac:dyDescent="0.2">
      <c r="E6524" s="18"/>
      <c r="F6524" s="18"/>
    </row>
    <row r="6525" spans="5:6" ht="15" customHeight="1" x14ac:dyDescent="0.2">
      <c r="E6525" s="18"/>
      <c r="F6525" s="18"/>
    </row>
    <row r="6526" spans="5:6" ht="15" customHeight="1" x14ac:dyDescent="0.2">
      <c r="E6526" s="18"/>
      <c r="F6526" s="18"/>
    </row>
    <row r="6527" spans="5:6" ht="15" customHeight="1" x14ac:dyDescent="0.2">
      <c r="E6527" s="18"/>
      <c r="F6527" s="18"/>
    </row>
    <row r="6528" spans="5:6" ht="15" customHeight="1" x14ac:dyDescent="0.2">
      <c r="E6528" s="18"/>
      <c r="F6528" s="18"/>
    </row>
    <row r="6529" spans="5:6" ht="15" customHeight="1" x14ac:dyDescent="0.2">
      <c r="E6529" s="18"/>
      <c r="F6529" s="18"/>
    </row>
    <row r="6530" spans="5:6" ht="15" customHeight="1" x14ac:dyDescent="0.2">
      <c r="E6530" s="18"/>
      <c r="F6530" s="18"/>
    </row>
    <row r="6531" spans="5:6" ht="15" customHeight="1" x14ac:dyDescent="0.2">
      <c r="E6531" s="18"/>
      <c r="F6531" s="18"/>
    </row>
    <row r="6532" spans="5:6" ht="15" customHeight="1" x14ac:dyDescent="0.2">
      <c r="E6532" s="18"/>
      <c r="F6532" s="18"/>
    </row>
    <row r="6533" spans="5:6" ht="15" customHeight="1" x14ac:dyDescent="0.2">
      <c r="E6533" s="18"/>
      <c r="F6533" s="18"/>
    </row>
    <row r="6534" spans="5:6" ht="15" customHeight="1" x14ac:dyDescent="0.2">
      <c r="E6534" s="18"/>
      <c r="F6534" s="18"/>
    </row>
    <row r="6535" spans="5:6" ht="15" customHeight="1" x14ac:dyDescent="0.2">
      <c r="E6535" s="18"/>
      <c r="F6535" s="18"/>
    </row>
    <row r="6536" spans="5:6" ht="15" customHeight="1" x14ac:dyDescent="0.2">
      <c r="E6536" s="18"/>
      <c r="F6536" s="18"/>
    </row>
    <row r="6537" spans="5:6" ht="15" customHeight="1" x14ac:dyDescent="0.2">
      <c r="E6537" s="18"/>
      <c r="F6537" s="18"/>
    </row>
    <row r="6538" spans="5:6" ht="15" customHeight="1" x14ac:dyDescent="0.2">
      <c r="E6538" s="18"/>
      <c r="F6538" s="18"/>
    </row>
    <row r="6539" spans="5:6" ht="15" customHeight="1" x14ac:dyDescent="0.2">
      <c r="E6539" s="18"/>
      <c r="F6539" s="18"/>
    </row>
    <row r="6540" spans="5:6" ht="15" customHeight="1" x14ac:dyDescent="0.2">
      <c r="E6540" s="18"/>
      <c r="F6540" s="18"/>
    </row>
    <row r="6541" spans="5:6" ht="15" customHeight="1" x14ac:dyDescent="0.2">
      <c r="E6541" s="18"/>
      <c r="F6541" s="18"/>
    </row>
    <row r="6542" spans="5:6" ht="15" customHeight="1" x14ac:dyDescent="0.2">
      <c r="E6542" s="18"/>
      <c r="F6542" s="18"/>
    </row>
    <row r="6543" spans="5:6" ht="15" customHeight="1" x14ac:dyDescent="0.2">
      <c r="E6543" s="18"/>
      <c r="F6543" s="18"/>
    </row>
    <row r="6544" spans="5:6" ht="15" customHeight="1" x14ac:dyDescent="0.2">
      <c r="E6544" s="18"/>
      <c r="F6544" s="18"/>
    </row>
    <row r="6545" spans="5:6" ht="15" customHeight="1" x14ac:dyDescent="0.2">
      <c r="E6545" s="18"/>
      <c r="F6545" s="18"/>
    </row>
    <row r="6546" spans="5:6" ht="15" customHeight="1" x14ac:dyDescent="0.2">
      <c r="E6546" s="18"/>
      <c r="F6546" s="18"/>
    </row>
    <row r="6547" spans="5:6" ht="15" customHeight="1" x14ac:dyDescent="0.2">
      <c r="E6547" s="18"/>
      <c r="F6547" s="18"/>
    </row>
    <row r="6548" spans="5:6" ht="15" customHeight="1" x14ac:dyDescent="0.2">
      <c r="E6548" s="18"/>
      <c r="F6548" s="18"/>
    </row>
    <row r="6549" spans="5:6" ht="15" customHeight="1" x14ac:dyDescent="0.2">
      <c r="E6549" s="18"/>
      <c r="F6549" s="18"/>
    </row>
    <row r="6550" spans="5:6" ht="15" customHeight="1" x14ac:dyDescent="0.2">
      <c r="E6550" s="18"/>
      <c r="F6550" s="18"/>
    </row>
    <row r="6551" spans="5:6" ht="15" customHeight="1" x14ac:dyDescent="0.2">
      <c r="E6551" s="18"/>
      <c r="F6551" s="18"/>
    </row>
    <row r="6552" spans="5:6" ht="15" customHeight="1" x14ac:dyDescent="0.2">
      <c r="E6552" s="18"/>
      <c r="F6552" s="18"/>
    </row>
    <row r="6553" spans="5:6" ht="15" customHeight="1" x14ac:dyDescent="0.2">
      <c r="E6553" s="18"/>
      <c r="F6553" s="18"/>
    </row>
    <row r="6554" spans="5:6" ht="15" customHeight="1" x14ac:dyDescent="0.2">
      <c r="E6554" s="18"/>
      <c r="F6554" s="18"/>
    </row>
    <row r="6555" spans="5:6" ht="15" customHeight="1" x14ac:dyDescent="0.2">
      <c r="E6555" s="18"/>
      <c r="F6555" s="18"/>
    </row>
    <row r="6556" spans="5:6" ht="15" customHeight="1" x14ac:dyDescent="0.2">
      <c r="E6556" s="18"/>
      <c r="F6556" s="18"/>
    </row>
    <row r="6557" spans="5:6" ht="15" customHeight="1" x14ac:dyDescent="0.2">
      <c r="E6557" s="18"/>
      <c r="F6557" s="18"/>
    </row>
    <row r="6558" spans="5:6" ht="15" customHeight="1" x14ac:dyDescent="0.2">
      <c r="E6558" s="18"/>
      <c r="F6558" s="18"/>
    </row>
    <row r="6559" spans="5:6" ht="15" customHeight="1" x14ac:dyDescent="0.2">
      <c r="E6559" s="18"/>
      <c r="F6559" s="18"/>
    </row>
    <row r="6560" spans="5:6" ht="15" customHeight="1" x14ac:dyDescent="0.2">
      <c r="E6560" s="18"/>
      <c r="F6560" s="18"/>
    </row>
    <row r="6561" spans="5:6" ht="15" customHeight="1" x14ac:dyDescent="0.2">
      <c r="E6561" s="18"/>
      <c r="F6561" s="18"/>
    </row>
    <row r="6562" spans="5:6" ht="15" customHeight="1" x14ac:dyDescent="0.2">
      <c r="E6562" s="18"/>
      <c r="F6562" s="18"/>
    </row>
    <row r="6563" spans="5:6" ht="15" customHeight="1" x14ac:dyDescent="0.2">
      <c r="E6563" s="18"/>
      <c r="F6563" s="18"/>
    </row>
    <row r="6564" spans="5:6" ht="15" customHeight="1" x14ac:dyDescent="0.2">
      <c r="E6564" s="18"/>
      <c r="F6564" s="18"/>
    </row>
    <row r="6565" spans="5:6" ht="15" customHeight="1" x14ac:dyDescent="0.2">
      <c r="E6565" s="18"/>
      <c r="F6565" s="18"/>
    </row>
    <row r="6566" spans="5:6" ht="15" customHeight="1" x14ac:dyDescent="0.2">
      <c r="E6566" s="18"/>
      <c r="F6566" s="18"/>
    </row>
    <row r="6567" spans="5:6" ht="15" customHeight="1" x14ac:dyDescent="0.2">
      <c r="E6567" s="18"/>
      <c r="F6567" s="18"/>
    </row>
    <row r="6568" spans="5:6" ht="15" customHeight="1" x14ac:dyDescent="0.2">
      <c r="E6568" s="18"/>
      <c r="F6568" s="18"/>
    </row>
    <row r="6569" spans="5:6" ht="15" customHeight="1" x14ac:dyDescent="0.2">
      <c r="E6569" s="18"/>
      <c r="F6569" s="18"/>
    </row>
    <row r="6570" spans="5:6" ht="15" customHeight="1" x14ac:dyDescent="0.2">
      <c r="E6570" s="18"/>
      <c r="F6570" s="18"/>
    </row>
    <row r="6571" spans="5:6" ht="15" customHeight="1" x14ac:dyDescent="0.2">
      <c r="E6571" s="18"/>
      <c r="F6571" s="18"/>
    </row>
    <row r="6572" spans="5:6" ht="15" customHeight="1" x14ac:dyDescent="0.2">
      <c r="E6572" s="18"/>
      <c r="F6572" s="18"/>
    </row>
    <row r="6573" spans="5:6" ht="15" customHeight="1" x14ac:dyDescent="0.2">
      <c r="E6573" s="18"/>
      <c r="F6573" s="18"/>
    </row>
    <row r="6574" spans="5:6" ht="15" customHeight="1" x14ac:dyDescent="0.2">
      <c r="E6574" s="18"/>
      <c r="F6574" s="18"/>
    </row>
    <row r="6575" spans="5:6" ht="15" customHeight="1" x14ac:dyDescent="0.2">
      <c r="E6575" s="18"/>
      <c r="F6575" s="18"/>
    </row>
    <row r="6576" spans="5:6" ht="15" customHeight="1" x14ac:dyDescent="0.2">
      <c r="E6576" s="18"/>
      <c r="F6576" s="18"/>
    </row>
    <row r="6577" spans="5:6" ht="15" customHeight="1" x14ac:dyDescent="0.2">
      <c r="E6577" s="18"/>
      <c r="F6577" s="18"/>
    </row>
    <row r="6578" spans="5:6" ht="15" customHeight="1" x14ac:dyDescent="0.2">
      <c r="E6578" s="18"/>
      <c r="F6578" s="18"/>
    </row>
    <row r="6579" spans="5:6" ht="15" customHeight="1" x14ac:dyDescent="0.2">
      <c r="E6579" s="18"/>
      <c r="F6579" s="18"/>
    </row>
    <row r="6580" spans="5:6" ht="15" customHeight="1" x14ac:dyDescent="0.2">
      <c r="E6580" s="18"/>
      <c r="F6580" s="18"/>
    </row>
    <row r="6581" spans="5:6" ht="15" customHeight="1" x14ac:dyDescent="0.2">
      <c r="E6581" s="18"/>
      <c r="F6581" s="18"/>
    </row>
    <row r="6582" spans="5:6" ht="15" customHeight="1" x14ac:dyDescent="0.2">
      <c r="E6582" s="18"/>
      <c r="F6582" s="18"/>
    </row>
    <row r="6583" spans="5:6" ht="15" customHeight="1" x14ac:dyDescent="0.2">
      <c r="E6583" s="18"/>
      <c r="F6583" s="18"/>
    </row>
    <row r="6584" spans="5:6" ht="15" customHeight="1" x14ac:dyDescent="0.2">
      <c r="E6584" s="18"/>
      <c r="F6584" s="18"/>
    </row>
    <row r="6585" spans="5:6" ht="15" customHeight="1" x14ac:dyDescent="0.2">
      <c r="E6585" s="18"/>
      <c r="F6585" s="18"/>
    </row>
    <row r="6586" spans="5:6" ht="15" customHeight="1" x14ac:dyDescent="0.2">
      <c r="E6586" s="18"/>
      <c r="F6586" s="18"/>
    </row>
    <row r="6587" spans="5:6" ht="15" customHeight="1" x14ac:dyDescent="0.2">
      <c r="E6587" s="18"/>
      <c r="F6587" s="18"/>
    </row>
    <row r="6588" spans="5:6" ht="15" customHeight="1" x14ac:dyDescent="0.2">
      <c r="E6588" s="18"/>
      <c r="F6588" s="18"/>
    </row>
    <row r="6589" spans="5:6" ht="15" customHeight="1" x14ac:dyDescent="0.2">
      <c r="E6589" s="18"/>
      <c r="F6589" s="18"/>
    </row>
    <row r="6590" spans="5:6" ht="15" customHeight="1" x14ac:dyDescent="0.2">
      <c r="E6590" s="18"/>
      <c r="F6590" s="18"/>
    </row>
    <row r="6591" spans="5:6" ht="15" customHeight="1" x14ac:dyDescent="0.2">
      <c r="E6591" s="18"/>
      <c r="F6591" s="18"/>
    </row>
    <row r="6592" spans="5:6" ht="15" customHeight="1" x14ac:dyDescent="0.2">
      <c r="E6592" s="18"/>
      <c r="F6592" s="18"/>
    </row>
    <row r="6593" spans="5:6" ht="15" customHeight="1" x14ac:dyDescent="0.2">
      <c r="E6593" s="18"/>
      <c r="F6593" s="18"/>
    </row>
    <row r="6594" spans="5:6" ht="15" customHeight="1" x14ac:dyDescent="0.2">
      <c r="E6594" s="18"/>
      <c r="F6594" s="18"/>
    </row>
    <row r="6595" spans="5:6" ht="15" customHeight="1" x14ac:dyDescent="0.2">
      <c r="E6595" s="18"/>
      <c r="F6595" s="18"/>
    </row>
    <row r="6596" spans="5:6" ht="15" customHeight="1" x14ac:dyDescent="0.2">
      <c r="E6596" s="18"/>
      <c r="F6596" s="18"/>
    </row>
    <row r="6597" spans="5:6" ht="15" customHeight="1" x14ac:dyDescent="0.2">
      <c r="E6597" s="18"/>
      <c r="F6597" s="18"/>
    </row>
    <row r="6598" spans="5:6" ht="15" customHeight="1" x14ac:dyDescent="0.2">
      <c r="E6598" s="18"/>
      <c r="F6598" s="18"/>
    </row>
    <row r="6599" spans="5:6" ht="15" customHeight="1" x14ac:dyDescent="0.2">
      <c r="E6599" s="18"/>
      <c r="F6599" s="18"/>
    </row>
    <row r="6600" spans="5:6" ht="15" customHeight="1" x14ac:dyDescent="0.2">
      <c r="E6600" s="18"/>
      <c r="F6600" s="18"/>
    </row>
    <row r="6601" spans="5:6" ht="15" customHeight="1" x14ac:dyDescent="0.2">
      <c r="E6601" s="18"/>
      <c r="F6601" s="18"/>
    </row>
    <row r="6602" spans="5:6" ht="15" customHeight="1" x14ac:dyDescent="0.2">
      <c r="E6602" s="18"/>
      <c r="F6602" s="18"/>
    </row>
    <row r="6603" spans="5:6" ht="15" customHeight="1" x14ac:dyDescent="0.2">
      <c r="E6603" s="18"/>
      <c r="F6603" s="18"/>
    </row>
    <row r="6604" spans="5:6" ht="15" customHeight="1" x14ac:dyDescent="0.2">
      <c r="E6604" s="18"/>
      <c r="F6604" s="18"/>
    </row>
    <row r="6605" spans="5:6" ht="15" customHeight="1" x14ac:dyDescent="0.2">
      <c r="E6605" s="18"/>
      <c r="F6605" s="18"/>
    </row>
    <row r="6606" spans="5:6" ht="15" customHeight="1" x14ac:dyDescent="0.2">
      <c r="E6606" s="18"/>
      <c r="F6606" s="18"/>
    </row>
    <row r="6607" spans="5:6" ht="15" customHeight="1" x14ac:dyDescent="0.2">
      <c r="E6607" s="18"/>
      <c r="F6607" s="18"/>
    </row>
    <row r="6608" spans="5:6" ht="15" customHeight="1" x14ac:dyDescent="0.2">
      <c r="E6608" s="18"/>
      <c r="F6608" s="18"/>
    </row>
    <row r="6609" spans="5:6" ht="15" customHeight="1" x14ac:dyDescent="0.2">
      <c r="E6609" s="18"/>
      <c r="F6609" s="18"/>
    </row>
    <row r="6610" spans="5:6" ht="15" customHeight="1" x14ac:dyDescent="0.2">
      <c r="E6610" s="18"/>
      <c r="F6610" s="18"/>
    </row>
    <row r="6611" spans="5:6" ht="15" customHeight="1" x14ac:dyDescent="0.2">
      <c r="E6611" s="18"/>
      <c r="F6611" s="18"/>
    </row>
    <row r="6612" spans="5:6" ht="15" customHeight="1" x14ac:dyDescent="0.2">
      <c r="E6612" s="18"/>
      <c r="F6612" s="18"/>
    </row>
    <row r="6613" spans="5:6" ht="15" customHeight="1" x14ac:dyDescent="0.2">
      <c r="E6613" s="18"/>
      <c r="F6613" s="18"/>
    </row>
    <row r="6614" spans="5:6" ht="15" customHeight="1" x14ac:dyDescent="0.2">
      <c r="E6614" s="18"/>
      <c r="F6614" s="18"/>
    </row>
    <row r="6615" spans="5:6" ht="15" customHeight="1" x14ac:dyDescent="0.2">
      <c r="E6615" s="18"/>
      <c r="F6615" s="18"/>
    </row>
    <row r="6616" spans="5:6" ht="15" customHeight="1" x14ac:dyDescent="0.2">
      <c r="E6616" s="18"/>
      <c r="F6616" s="18"/>
    </row>
    <row r="6617" spans="5:6" ht="15" customHeight="1" x14ac:dyDescent="0.2">
      <c r="E6617" s="18"/>
      <c r="F6617" s="18"/>
    </row>
    <row r="6618" spans="5:6" ht="15" customHeight="1" x14ac:dyDescent="0.2">
      <c r="E6618" s="18"/>
      <c r="F6618" s="18"/>
    </row>
    <row r="6619" spans="5:6" ht="15" customHeight="1" x14ac:dyDescent="0.2">
      <c r="E6619" s="18"/>
      <c r="F6619" s="18"/>
    </row>
    <row r="6620" spans="5:6" ht="15" customHeight="1" x14ac:dyDescent="0.2">
      <c r="E6620" s="18"/>
      <c r="F6620" s="18"/>
    </row>
    <row r="6621" spans="5:6" ht="15" customHeight="1" x14ac:dyDescent="0.2">
      <c r="E6621" s="18"/>
      <c r="F6621" s="18"/>
    </row>
    <row r="6622" spans="5:6" ht="15" customHeight="1" x14ac:dyDescent="0.2">
      <c r="E6622" s="18"/>
      <c r="F6622" s="18"/>
    </row>
    <row r="6623" spans="5:6" ht="15" customHeight="1" x14ac:dyDescent="0.2">
      <c r="E6623" s="18"/>
      <c r="F6623" s="18"/>
    </row>
    <row r="6624" spans="5:6" ht="15" customHeight="1" x14ac:dyDescent="0.2">
      <c r="E6624" s="18"/>
      <c r="F6624" s="18"/>
    </row>
    <row r="6625" spans="5:6" ht="15" customHeight="1" x14ac:dyDescent="0.2">
      <c r="E6625" s="18"/>
      <c r="F6625" s="18"/>
    </row>
    <row r="6626" spans="5:6" ht="15" customHeight="1" x14ac:dyDescent="0.2">
      <c r="E6626" s="18"/>
      <c r="F6626" s="18"/>
    </row>
    <row r="6627" spans="5:6" ht="15" customHeight="1" x14ac:dyDescent="0.2">
      <c r="E6627" s="18"/>
      <c r="F6627" s="18"/>
    </row>
    <row r="6628" spans="5:6" ht="15" customHeight="1" x14ac:dyDescent="0.2">
      <c r="E6628" s="18"/>
      <c r="F6628" s="18"/>
    </row>
    <row r="6629" spans="5:6" ht="15" customHeight="1" x14ac:dyDescent="0.2">
      <c r="E6629" s="18"/>
      <c r="F6629" s="18"/>
    </row>
    <row r="6630" spans="5:6" ht="15" customHeight="1" x14ac:dyDescent="0.2">
      <c r="E6630" s="18"/>
      <c r="F6630" s="18"/>
    </row>
    <row r="6631" spans="5:6" ht="15" customHeight="1" x14ac:dyDescent="0.2">
      <c r="E6631" s="18"/>
      <c r="F6631" s="18"/>
    </row>
    <row r="6632" spans="5:6" ht="15" customHeight="1" x14ac:dyDescent="0.2">
      <c r="E6632" s="18"/>
      <c r="F6632" s="18"/>
    </row>
    <row r="6633" spans="5:6" ht="15" customHeight="1" x14ac:dyDescent="0.2">
      <c r="E6633" s="18"/>
      <c r="F6633" s="18"/>
    </row>
    <row r="6634" spans="5:6" ht="15" customHeight="1" x14ac:dyDescent="0.2">
      <c r="E6634" s="18"/>
      <c r="F6634" s="18"/>
    </row>
    <row r="6635" spans="5:6" ht="15" customHeight="1" x14ac:dyDescent="0.2">
      <c r="E6635" s="18"/>
      <c r="F6635" s="18"/>
    </row>
    <row r="6636" spans="5:6" ht="15" customHeight="1" x14ac:dyDescent="0.2">
      <c r="E6636" s="18"/>
      <c r="F6636" s="18"/>
    </row>
    <row r="6637" spans="5:6" ht="15" customHeight="1" x14ac:dyDescent="0.2">
      <c r="E6637" s="18"/>
      <c r="F6637" s="18"/>
    </row>
    <row r="6638" spans="5:6" ht="15" customHeight="1" x14ac:dyDescent="0.2">
      <c r="E6638" s="18"/>
      <c r="F6638" s="18"/>
    </row>
    <row r="6639" spans="5:6" ht="15" customHeight="1" x14ac:dyDescent="0.2">
      <c r="E6639" s="18"/>
      <c r="F6639" s="18"/>
    </row>
    <row r="6640" spans="5:6" ht="15" customHeight="1" x14ac:dyDescent="0.2">
      <c r="E6640" s="18"/>
      <c r="F6640" s="18"/>
    </row>
    <row r="6641" spans="5:6" ht="15" customHeight="1" x14ac:dyDescent="0.2">
      <c r="E6641" s="18"/>
      <c r="F6641" s="18"/>
    </row>
    <row r="6642" spans="5:6" ht="15" customHeight="1" x14ac:dyDescent="0.2">
      <c r="E6642" s="18"/>
      <c r="F6642" s="18"/>
    </row>
    <row r="6643" spans="5:6" ht="15" customHeight="1" x14ac:dyDescent="0.2">
      <c r="E6643" s="18"/>
      <c r="F6643" s="18"/>
    </row>
    <row r="6644" spans="5:6" ht="15" customHeight="1" x14ac:dyDescent="0.2">
      <c r="E6644" s="18"/>
      <c r="F6644" s="18"/>
    </row>
    <row r="6645" spans="5:6" ht="15" customHeight="1" x14ac:dyDescent="0.2">
      <c r="E6645" s="18"/>
      <c r="F6645" s="18"/>
    </row>
    <row r="6646" spans="5:6" ht="15" customHeight="1" x14ac:dyDescent="0.2">
      <c r="E6646" s="18"/>
      <c r="F6646" s="18"/>
    </row>
    <row r="6647" spans="5:6" ht="15" customHeight="1" x14ac:dyDescent="0.2">
      <c r="E6647" s="18"/>
      <c r="F6647" s="18"/>
    </row>
    <row r="6648" spans="5:6" ht="15" customHeight="1" x14ac:dyDescent="0.2">
      <c r="E6648" s="18"/>
      <c r="F6648" s="18"/>
    </row>
    <row r="6649" spans="5:6" ht="15" customHeight="1" x14ac:dyDescent="0.2">
      <c r="E6649" s="18"/>
      <c r="F6649" s="18"/>
    </row>
    <row r="6650" spans="5:6" ht="15" customHeight="1" x14ac:dyDescent="0.2">
      <c r="E6650" s="18"/>
      <c r="F6650" s="18"/>
    </row>
    <row r="6651" spans="5:6" ht="15" customHeight="1" x14ac:dyDescent="0.2">
      <c r="E6651" s="18"/>
      <c r="F6651" s="18"/>
    </row>
    <row r="6652" spans="5:6" ht="15" customHeight="1" x14ac:dyDescent="0.2">
      <c r="E6652" s="18"/>
      <c r="F6652" s="18"/>
    </row>
    <row r="6653" spans="5:6" ht="15" customHeight="1" x14ac:dyDescent="0.2">
      <c r="E6653" s="18"/>
      <c r="F6653" s="18"/>
    </row>
    <row r="6654" spans="5:6" ht="15" customHeight="1" x14ac:dyDescent="0.2">
      <c r="E6654" s="18"/>
      <c r="F6654" s="18"/>
    </row>
    <row r="6655" spans="5:6" ht="15" customHeight="1" x14ac:dyDescent="0.2">
      <c r="E6655" s="18"/>
      <c r="F6655" s="18"/>
    </row>
    <row r="6656" spans="5:6" ht="15" customHeight="1" x14ac:dyDescent="0.2">
      <c r="E6656" s="18"/>
      <c r="F6656" s="18"/>
    </row>
    <row r="6657" spans="5:6" ht="15" customHeight="1" x14ac:dyDescent="0.2">
      <c r="E6657" s="18"/>
      <c r="F6657" s="18"/>
    </row>
    <row r="6658" spans="5:6" ht="15" customHeight="1" x14ac:dyDescent="0.2">
      <c r="E6658" s="18"/>
      <c r="F6658" s="18"/>
    </row>
    <row r="6659" spans="5:6" ht="15" customHeight="1" x14ac:dyDescent="0.2">
      <c r="E6659" s="18"/>
      <c r="F6659" s="18"/>
    </row>
    <row r="6660" spans="5:6" ht="15" customHeight="1" x14ac:dyDescent="0.2">
      <c r="E6660" s="18"/>
      <c r="F6660" s="18"/>
    </row>
    <row r="6661" spans="5:6" ht="15" customHeight="1" x14ac:dyDescent="0.2">
      <c r="E6661" s="18"/>
      <c r="F6661" s="18"/>
    </row>
    <row r="6662" spans="5:6" ht="15" customHeight="1" x14ac:dyDescent="0.2">
      <c r="E6662" s="18"/>
      <c r="F6662" s="18"/>
    </row>
    <row r="6663" spans="5:6" ht="15" customHeight="1" x14ac:dyDescent="0.2">
      <c r="E6663" s="18"/>
      <c r="F6663" s="18"/>
    </row>
    <row r="6664" spans="5:6" ht="15" customHeight="1" x14ac:dyDescent="0.2">
      <c r="E6664" s="18"/>
      <c r="F6664" s="18"/>
    </row>
    <row r="6665" spans="5:6" ht="15" customHeight="1" x14ac:dyDescent="0.2">
      <c r="E6665" s="18"/>
      <c r="F6665" s="18"/>
    </row>
    <row r="6666" spans="5:6" ht="15" customHeight="1" x14ac:dyDescent="0.2">
      <c r="E6666" s="18"/>
      <c r="F6666" s="18"/>
    </row>
    <row r="6667" spans="5:6" ht="15" customHeight="1" x14ac:dyDescent="0.2">
      <c r="E6667" s="18"/>
      <c r="F6667" s="18"/>
    </row>
    <row r="6668" spans="5:6" ht="15" customHeight="1" x14ac:dyDescent="0.2">
      <c r="E6668" s="18"/>
      <c r="F6668" s="18"/>
    </row>
    <row r="6669" spans="5:6" ht="15" customHeight="1" x14ac:dyDescent="0.2">
      <c r="E6669" s="18"/>
      <c r="F6669" s="18"/>
    </row>
    <row r="6670" spans="5:6" ht="15" customHeight="1" x14ac:dyDescent="0.2">
      <c r="E6670" s="18"/>
      <c r="F6670" s="18"/>
    </row>
    <row r="6671" spans="5:6" ht="15" customHeight="1" x14ac:dyDescent="0.2">
      <c r="E6671" s="18"/>
      <c r="F6671" s="18"/>
    </row>
    <row r="6672" spans="5:6" ht="15" customHeight="1" x14ac:dyDescent="0.2">
      <c r="E6672" s="18"/>
      <c r="F6672" s="18"/>
    </row>
    <row r="6673" spans="5:6" ht="15" customHeight="1" x14ac:dyDescent="0.2">
      <c r="E6673" s="18"/>
      <c r="F6673" s="18"/>
    </row>
    <row r="6674" spans="5:6" ht="15" customHeight="1" x14ac:dyDescent="0.2">
      <c r="E6674" s="18"/>
      <c r="F6674" s="18"/>
    </row>
    <row r="6675" spans="5:6" ht="15" customHeight="1" x14ac:dyDescent="0.2">
      <c r="E6675" s="18"/>
      <c r="F6675" s="18"/>
    </row>
    <row r="6676" spans="5:6" ht="15" customHeight="1" x14ac:dyDescent="0.2">
      <c r="E6676" s="18"/>
      <c r="F6676" s="18"/>
    </row>
    <row r="6677" spans="5:6" ht="15" customHeight="1" x14ac:dyDescent="0.2">
      <c r="E6677" s="18"/>
      <c r="F6677" s="18"/>
    </row>
    <row r="6678" spans="5:6" ht="15" customHeight="1" x14ac:dyDescent="0.2">
      <c r="E6678" s="18"/>
      <c r="F6678" s="18"/>
    </row>
    <row r="6679" spans="5:6" ht="15" customHeight="1" x14ac:dyDescent="0.2">
      <c r="E6679" s="18"/>
      <c r="F6679" s="18"/>
    </row>
    <row r="6680" spans="5:6" ht="15" customHeight="1" x14ac:dyDescent="0.2">
      <c r="E6680" s="18"/>
      <c r="F6680" s="18"/>
    </row>
    <row r="6681" spans="5:6" ht="15" customHeight="1" x14ac:dyDescent="0.2">
      <c r="E6681" s="18"/>
      <c r="F6681" s="18"/>
    </row>
    <row r="6682" spans="5:6" ht="15" customHeight="1" x14ac:dyDescent="0.2">
      <c r="E6682" s="18"/>
      <c r="F6682" s="18"/>
    </row>
    <row r="6683" spans="5:6" ht="15" customHeight="1" x14ac:dyDescent="0.2">
      <c r="E6683" s="18"/>
      <c r="F6683" s="18"/>
    </row>
    <row r="6684" spans="5:6" ht="15" customHeight="1" x14ac:dyDescent="0.2">
      <c r="E6684" s="18"/>
      <c r="F6684" s="18"/>
    </row>
    <row r="6685" spans="5:6" ht="15" customHeight="1" x14ac:dyDescent="0.2">
      <c r="E6685" s="18"/>
      <c r="F6685" s="18"/>
    </row>
    <row r="6686" spans="5:6" ht="15" customHeight="1" x14ac:dyDescent="0.2">
      <c r="E6686" s="18"/>
      <c r="F6686" s="18"/>
    </row>
    <row r="6687" spans="5:6" ht="15" customHeight="1" x14ac:dyDescent="0.2">
      <c r="E6687" s="18"/>
      <c r="F6687" s="18"/>
    </row>
    <row r="6688" spans="5:6" ht="15" customHeight="1" x14ac:dyDescent="0.2">
      <c r="E6688" s="18"/>
      <c r="F6688" s="18"/>
    </row>
    <row r="6689" spans="5:6" ht="15" customHeight="1" x14ac:dyDescent="0.2">
      <c r="E6689" s="18"/>
      <c r="F6689" s="18"/>
    </row>
    <row r="6690" spans="5:6" ht="15" customHeight="1" x14ac:dyDescent="0.2">
      <c r="E6690" s="18"/>
      <c r="F6690" s="18"/>
    </row>
    <row r="6691" spans="5:6" ht="15" customHeight="1" x14ac:dyDescent="0.2">
      <c r="E6691" s="18"/>
      <c r="F6691" s="18"/>
    </row>
    <row r="6692" spans="5:6" ht="15" customHeight="1" x14ac:dyDescent="0.2">
      <c r="E6692" s="18"/>
      <c r="F6692" s="18"/>
    </row>
    <row r="6693" spans="5:6" ht="15" customHeight="1" x14ac:dyDescent="0.2">
      <c r="E6693" s="18"/>
      <c r="F6693" s="18"/>
    </row>
    <row r="6694" spans="5:6" ht="15" customHeight="1" x14ac:dyDescent="0.2">
      <c r="E6694" s="18"/>
      <c r="F6694" s="18"/>
    </row>
    <row r="6695" spans="5:6" ht="15" customHeight="1" x14ac:dyDescent="0.2">
      <c r="E6695" s="18"/>
      <c r="F6695" s="18"/>
    </row>
    <row r="6696" spans="5:6" ht="15" customHeight="1" x14ac:dyDescent="0.2">
      <c r="E6696" s="18"/>
      <c r="F6696" s="18"/>
    </row>
    <row r="6697" spans="5:6" ht="15" customHeight="1" x14ac:dyDescent="0.2">
      <c r="E6697" s="18"/>
      <c r="F6697" s="18"/>
    </row>
    <row r="6698" spans="5:6" ht="15" customHeight="1" x14ac:dyDescent="0.2">
      <c r="E6698" s="18"/>
      <c r="F6698" s="18"/>
    </row>
    <row r="6699" spans="5:6" ht="15" customHeight="1" x14ac:dyDescent="0.2">
      <c r="E6699" s="18"/>
      <c r="F6699" s="18"/>
    </row>
    <row r="6700" spans="5:6" ht="15" customHeight="1" x14ac:dyDescent="0.2">
      <c r="E6700" s="18"/>
      <c r="F6700" s="18"/>
    </row>
    <row r="6701" spans="5:6" ht="15" customHeight="1" x14ac:dyDescent="0.2">
      <c r="E6701" s="18"/>
      <c r="F6701" s="18"/>
    </row>
    <row r="6702" spans="5:6" ht="15" customHeight="1" x14ac:dyDescent="0.2">
      <c r="E6702" s="18"/>
      <c r="F6702" s="18"/>
    </row>
    <row r="6703" spans="5:6" ht="15" customHeight="1" x14ac:dyDescent="0.2">
      <c r="E6703" s="18"/>
      <c r="F6703" s="18"/>
    </row>
    <row r="6704" spans="5:6" ht="15" customHeight="1" x14ac:dyDescent="0.2">
      <c r="E6704" s="18"/>
      <c r="F6704" s="18"/>
    </row>
    <row r="6705" spans="5:6" ht="15" customHeight="1" x14ac:dyDescent="0.2">
      <c r="E6705" s="18"/>
      <c r="F6705" s="18"/>
    </row>
    <row r="6706" spans="5:6" ht="15" customHeight="1" x14ac:dyDescent="0.2">
      <c r="E6706" s="18"/>
      <c r="F6706" s="18"/>
    </row>
    <row r="6707" spans="5:6" ht="15" customHeight="1" x14ac:dyDescent="0.2">
      <c r="E6707" s="18"/>
      <c r="F6707" s="18"/>
    </row>
    <row r="6708" spans="5:6" ht="15" customHeight="1" x14ac:dyDescent="0.2">
      <c r="E6708" s="18"/>
      <c r="F6708" s="18"/>
    </row>
    <row r="6709" spans="5:6" ht="15" customHeight="1" x14ac:dyDescent="0.2">
      <c r="E6709" s="18"/>
      <c r="F6709" s="18"/>
    </row>
    <row r="6710" spans="5:6" ht="15" customHeight="1" x14ac:dyDescent="0.2">
      <c r="E6710" s="18"/>
      <c r="F6710" s="18"/>
    </row>
    <row r="6711" spans="5:6" ht="15" customHeight="1" x14ac:dyDescent="0.2">
      <c r="E6711" s="18"/>
      <c r="F6711" s="18"/>
    </row>
    <row r="6712" spans="5:6" ht="15" customHeight="1" x14ac:dyDescent="0.2">
      <c r="E6712" s="18"/>
      <c r="F6712" s="18"/>
    </row>
    <row r="6713" spans="5:6" ht="15" customHeight="1" x14ac:dyDescent="0.2">
      <c r="E6713" s="18"/>
      <c r="F6713" s="18"/>
    </row>
    <row r="6714" spans="5:6" ht="15" customHeight="1" x14ac:dyDescent="0.2">
      <c r="E6714" s="18"/>
      <c r="F6714" s="18"/>
    </row>
    <row r="6715" spans="5:6" ht="15" customHeight="1" x14ac:dyDescent="0.2">
      <c r="E6715" s="18"/>
      <c r="F6715" s="18"/>
    </row>
    <row r="6716" spans="5:6" ht="15" customHeight="1" x14ac:dyDescent="0.2">
      <c r="E6716" s="18"/>
      <c r="F6716" s="18"/>
    </row>
    <row r="6717" spans="5:6" ht="15" customHeight="1" x14ac:dyDescent="0.2">
      <c r="E6717" s="18"/>
      <c r="F6717" s="18"/>
    </row>
    <row r="6718" spans="5:6" ht="15" customHeight="1" x14ac:dyDescent="0.2">
      <c r="E6718" s="18"/>
      <c r="F6718" s="18"/>
    </row>
    <row r="6719" spans="5:6" ht="15" customHeight="1" x14ac:dyDescent="0.2">
      <c r="E6719" s="18"/>
      <c r="F6719" s="18"/>
    </row>
    <row r="6720" spans="5:6" ht="15" customHeight="1" x14ac:dyDescent="0.2">
      <c r="E6720" s="18"/>
      <c r="F6720" s="18"/>
    </row>
    <row r="6721" spans="5:6" ht="15" customHeight="1" x14ac:dyDescent="0.2">
      <c r="E6721" s="18"/>
      <c r="F6721" s="18"/>
    </row>
    <row r="6722" spans="5:6" ht="15" customHeight="1" x14ac:dyDescent="0.2">
      <c r="E6722" s="18"/>
      <c r="F6722" s="18"/>
    </row>
    <row r="6723" spans="5:6" ht="15" customHeight="1" x14ac:dyDescent="0.2">
      <c r="E6723" s="18"/>
      <c r="F6723" s="18"/>
    </row>
    <row r="6724" spans="5:6" ht="15" customHeight="1" x14ac:dyDescent="0.2">
      <c r="E6724" s="18"/>
      <c r="F6724" s="18"/>
    </row>
    <row r="6725" spans="5:6" ht="15" customHeight="1" x14ac:dyDescent="0.2">
      <c r="E6725" s="18"/>
      <c r="F6725" s="18"/>
    </row>
    <row r="6726" spans="5:6" ht="15" customHeight="1" x14ac:dyDescent="0.2">
      <c r="E6726" s="18"/>
      <c r="F6726" s="18"/>
    </row>
    <row r="6727" spans="5:6" ht="15" customHeight="1" x14ac:dyDescent="0.2">
      <c r="E6727" s="18"/>
      <c r="F6727" s="18"/>
    </row>
    <row r="6728" spans="5:6" ht="15" customHeight="1" x14ac:dyDescent="0.2">
      <c r="E6728" s="18"/>
      <c r="F6728" s="18"/>
    </row>
    <row r="6729" spans="5:6" ht="15" customHeight="1" x14ac:dyDescent="0.2">
      <c r="E6729" s="18"/>
      <c r="F6729" s="18"/>
    </row>
    <row r="6730" spans="5:6" ht="15" customHeight="1" x14ac:dyDescent="0.2">
      <c r="E6730" s="18"/>
      <c r="F6730" s="18"/>
    </row>
    <row r="6731" spans="5:6" ht="15" customHeight="1" x14ac:dyDescent="0.2">
      <c r="E6731" s="18"/>
      <c r="F6731" s="18"/>
    </row>
    <row r="6732" spans="5:6" ht="15" customHeight="1" x14ac:dyDescent="0.2">
      <c r="E6732" s="18"/>
      <c r="F6732" s="18"/>
    </row>
    <row r="6733" spans="5:6" ht="15" customHeight="1" x14ac:dyDescent="0.2">
      <c r="E6733" s="18"/>
      <c r="F6733" s="18"/>
    </row>
    <row r="6734" spans="5:6" ht="15" customHeight="1" x14ac:dyDescent="0.2">
      <c r="E6734" s="18"/>
      <c r="F6734" s="18"/>
    </row>
    <row r="6735" spans="5:6" ht="15" customHeight="1" x14ac:dyDescent="0.2">
      <c r="E6735" s="18"/>
      <c r="F6735" s="18"/>
    </row>
    <row r="6736" spans="5:6" ht="15" customHeight="1" x14ac:dyDescent="0.2">
      <c r="E6736" s="18"/>
      <c r="F6736" s="18"/>
    </row>
    <row r="6737" spans="5:6" ht="15" customHeight="1" x14ac:dyDescent="0.2">
      <c r="E6737" s="18"/>
      <c r="F6737" s="18"/>
    </row>
    <row r="6738" spans="5:6" ht="15" customHeight="1" x14ac:dyDescent="0.2">
      <c r="E6738" s="18"/>
      <c r="F6738" s="18"/>
    </row>
    <row r="6739" spans="5:6" ht="15" customHeight="1" x14ac:dyDescent="0.2">
      <c r="E6739" s="18"/>
      <c r="F6739" s="18"/>
    </row>
    <row r="6740" spans="5:6" ht="15" customHeight="1" x14ac:dyDescent="0.2">
      <c r="E6740" s="18"/>
      <c r="F6740" s="18"/>
    </row>
    <row r="6741" spans="5:6" ht="15" customHeight="1" x14ac:dyDescent="0.2">
      <c r="E6741" s="18"/>
      <c r="F6741" s="18"/>
    </row>
    <row r="6742" spans="5:6" ht="15" customHeight="1" x14ac:dyDescent="0.2">
      <c r="E6742" s="18"/>
      <c r="F6742" s="18"/>
    </row>
    <row r="6743" spans="5:6" ht="15" customHeight="1" x14ac:dyDescent="0.2">
      <c r="E6743" s="18"/>
      <c r="F6743" s="18"/>
    </row>
    <row r="6744" spans="5:6" ht="15" customHeight="1" x14ac:dyDescent="0.2">
      <c r="E6744" s="18"/>
      <c r="F6744" s="18"/>
    </row>
    <row r="6745" spans="5:6" ht="15" customHeight="1" x14ac:dyDescent="0.2">
      <c r="E6745" s="18"/>
      <c r="F6745" s="18"/>
    </row>
    <row r="6746" spans="5:6" ht="15" customHeight="1" x14ac:dyDescent="0.2">
      <c r="E6746" s="18"/>
      <c r="F6746" s="18"/>
    </row>
    <row r="6747" spans="5:6" ht="15" customHeight="1" x14ac:dyDescent="0.2">
      <c r="E6747" s="18"/>
      <c r="F6747" s="18"/>
    </row>
    <row r="6748" spans="5:6" ht="15" customHeight="1" x14ac:dyDescent="0.2">
      <c r="E6748" s="18"/>
      <c r="F6748" s="18"/>
    </row>
    <row r="6749" spans="5:6" ht="15" customHeight="1" x14ac:dyDescent="0.2">
      <c r="E6749" s="18"/>
      <c r="F6749" s="18"/>
    </row>
    <row r="6750" spans="5:6" ht="15" customHeight="1" x14ac:dyDescent="0.2">
      <c r="E6750" s="18"/>
      <c r="F6750" s="18"/>
    </row>
    <row r="6751" spans="5:6" ht="15" customHeight="1" x14ac:dyDescent="0.2">
      <c r="E6751" s="18"/>
      <c r="F6751" s="18"/>
    </row>
    <row r="6752" spans="5:6" ht="15" customHeight="1" x14ac:dyDescent="0.2">
      <c r="E6752" s="18"/>
      <c r="F6752" s="18"/>
    </row>
    <row r="6753" spans="5:6" ht="15" customHeight="1" x14ac:dyDescent="0.2">
      <c r="E6753" s="18"/>
      <c r="F6753" s="18"/>
    </row>
    <row r="6754" spans="5:6" ht="15" customHeight="1" x14ac:dyDescent="0.2">
      <c r="E6754" s="18"/>
      <c r="F6754" s="18"/>
    </row>
    <row r="6755" spans="5:6" ht="15" customHeight="1" x14ac:dyDescent="0.2">
      <c r="E6755" s="18"/>
      <c r="F6755" s="18"/>
    </row>
    <row r="6756" spans="5:6" ht="15" customHeight="1" x14ac:dyDescent="0.2">
      <c r="E6756" s="18"/>
      <c r="F6756" s="18"/>
    </row>
    <row r="6757" spans="5:6" ht="15" customHeight="1" x14ac:dyDescent="0.2">
      <c r="E6757" s="18"/>
      <c r="F6757" s="18"/>
    </row>
    <row r="6758" spans="5:6" ht="15" customHeight="1" x14ac:dyDescent="0.2">
      <c r="E6758" s="18"/>
      <c r="F6758" s="18"/>
    </row>
    <row r="6759" spans="5:6" ht="15" customHeight="1" x14ac:dyDescent="0.2">
      <c r="E6759" s="18"/>
      <c r="F6759" s="18"/>
    </row>
    <row r="6760" spans="5:6" ht="15" customHeight="1" x14ac:dyDescent="0.2">
      <c r="E6760" s="18"/>
      <c r="F6760" s="18"/>
    </row>
    <row r="6761" spans="5:6" ht="15" customHeight="1" x14ac:dyDescent="0.2">
      <c r="E6761" s="18"/>
      <c r="F6761" s="18"/>
    </row>
    <row r="6762" spans="5:6" ht="15" customHeight="1" x14ac:dyDescent="0.2">
      <c r="E6762" s="18"/>
      <c r="F6762" s="18"/>
    </row>
    <row r="6763" spans="5:6" ht="15" customHeight="1" x14ac:dyDescent="0.2">
      <c r="E6763" s="18"/>
      <c r="F6763" s="18"/>
    </row>
    <row r="6764" spans="5:6" ht="15" customHeight="1" x14ac:dyDescent="0.2">
      <c r="E6764" s="18"/>
      <c r="F6764" s="18"/>
    </row>
    <row r="6765" spans="5:6" ht="15" customHeight="1" x14ac:dyDescent="0.2">
      <c r="E6765" s="18"/>
      <c r="F6765" s="18"/>
    </row>
    <row r="6766" spans="5:6" ht="15" customHeight="1" x14ac:dyDescent="0.2">
      <c r="E6766" s="18"/>
      <c r="F6766" s="18"/>
    </row>
    <row r="6767" spans="5:6" ht="15" customHeight="1" x14ac:dyDescent="0.2">
      <c r="E6767" s="18"/>
      <c r="F6767" s="18"/>
    </row>
    <row r="6768" spans="5:6" ht="15" customHeight="1" x14ac:dyDescent="0.2">
      <c r="E6768" s="18"/>
      <c r="F6768" s="18"/>
    </row>
    <row r="6769" spans="5:6" ht="15" customHeight="1" x14ac:dyDescent="0.2">
      <c r="E6769" s="18"/>
      <c r="F6769" s="18"/>
    </row>
    <row r="6770" spans="5:6" ht="15" customHeight="1" x14ac:dyDescent="0.2">
      <c r="E6770" s="18"/>
      <c r="F6770" s="18"/>
    </row>
    <row r="6771" spans="5:6" ht="15" customHeight="1" x14ac:dyDescent="0.2">
      <c r="E6771" s="18"/>
      <c r="F6771" s="18"/>
    </row>
    <row r="6772" spans="5:6" ht="15" customHeight="1" x14ac:dyDescent="0.2">
      <c r="E6772" s="18"/>
      <c r="F6772" s="18"/>
    </row>
    <row r="6773" spans="5:6" ht="15" customHeight="1" x14ac:dyDescent="0.2">
      <c r="E6773" s="18"/>
      <c r="F6773" s="18"/>
    </row>
    <row r="6774" spans="5:6" ht="15" customHeight="1" x14ac:dyDescent="0.2">
      <c r="E6774" s="18"/>
      <c r="F6774" s="18"/>
    </row>
    <row r="6775" spans="5:6" ht="15" customHeight="1" x14ac:dyDescent="0.2">
      <c r="E6775" s="18"/>
      <c r="F6775" s="18"/>
    </row>
    <row r="6776" spans="5:6" ht="15" customHeight="1" x14ac:dyDescent="0.2">
      <c r="E6776" s="18"/>
      <c r="F6776" s="18"/>
    </row>
    <row r="6777" spans="5:6" ht="15" customHeight="1" x14ac:dyDescent="0.2">
      <c r="E6777" s="18"/>
      <c r="F6777" s="18"/>
    </row>
    <row r="6778" spans="5:6" ht="15" customHeight="1" x14ac:dyDescent="0.2">
      <c r="E6778" s="18"/>
      <c r="F6778" s="18"/>
    </row>
    <row r="6779" spans="5:6" ht="15" customHeight="1" x14ac:dyDescent="0.2">
      <c r="E6779" s="18"/>
      <c r="F6779" s="18"/>
    </row>
    <row r="6780" spans="5:6" ht="15" customHeight="1" x14ac:dyDescent="0.2">
      <c r="E6780" s="18"/>
      <c r="F6780" s="18"/>
    </row>
    <row r="6781" spans="5:6" ht="15" customHeight="1" x14ac:dyDescent="0.2">
      <c r="E6781" s="18"/>
      <c r="F6781" s="18"/>
    </row>
    <row r="6782" spans="5:6" ht="15" customHeight="1" x14ac:dyDescent="0.2">
      <c r="E6782" s="18"/>
      <c r="F6782" s="18"/>
    </row>
    <row r="6783" spans="5:6" ht="15" customHeight="1" x14ac:dyDescent="0.2">
      <c r="E6783" s="18"/>
      <c r="F6783" s="18"/>
    </row>
    <row r="6784" spans="5:6" ht="15" customHeight="1" x14ac:dyDescent="0.2">
      <c r="E6784" s="18"/>
      <c r="F6784" s="18"/>
    </row>
    <row r="6785" spans="5:6" ht="15" customHeight="1" x14ac:dyDescent="0.2">
      <c r="E6785" s="18"/>
      <c r="F6785" s="18"/>
    </row>
    <row r="6786" spans="5:6" ht="15" customHeight="1" x14ac:dyDescent="0.2">
      <c r="E6786" s="18"/>
      <c r="F6786" s="18"/>
    </row>
    <row r="6787" spans="5:6" ht="15" customHeight="1" x14ac:dyDescent="0.2">
      <c r="E6787" s="18"/>
      <c r="F6787" s="18"/>
    </row>
    <row r="6788" spans="5:6" ht="15" customHeight="1" x14ac:dyDescent="0.2">
      <c r="E6788" s="18"/>
      <c r="F6788" s="18"/>
    </row>
    <row r="6789" spans="5:6" ht="15" customHeight="1" x14ac:dyDescent="0.2">
      <c r="E6789" s="18"/>
      <c r="F6789" s="18"/>
    </row>
    <row r="6790" spans="5:6" ht="15" customHeight="1" x14ac:dyDescent="0.2">
      <c r="E6790" s="18"/>
      <c r="F6790" s="18"/>
    </row>
    <row r="6791" spans="5:6" ht="15" customHeight="1" x14ac:dyDescent="0.2">
      <c r="E6791" s="18"/>
      <c r="F6791" s="18"/>
    </row>
    <row r="6792" spans="5:6" ht="15" customHeight="1" x14ac:dyDescent="0.2">
      <c r="E6792" s="18"/>
      <c r="F6792" s="18"/>
    </row>
    <row r="6793" spans="5:6" ht="15" customHeight="1" x14ac:dyDescent="0.2">
      <c r="E6793" s="18"/>
      <c r="F6793" s="18"/>
    </row>
    <row r="6794" spans="5:6" ht="15" customHeight="1" x14ac:dyDescent="0.2">
      <c r="E6794" s="18"/>
      <c r="F6794" s="18"/>
    </row>
    <row r="6795" spans="5:6" ht="15" customHeight="1" x14ac:dyDescent="0.2">
      <c r="E6795" s="18"/>
      <c r="F6795" s="18"/>
    </row>
    <row r="6796" spans="5:6" ht="15" customHeight="1" x14ac:dyDescent="0.2">
      <c r="E6796" s="18"/>
      <c r="F6796" s="18"/>
    </row>
    <row r="6797" spans="5:6" ht="15" customHeight="1" x14ac:dyDescent="0.2">
      <c r="E6797" s="18"/>
      <c r="F6797" s="18"/>
    </row>
    <row r="6798" spans="5:6" ht="15" customHeight="1" x14ac:dyDescent="0.2">
      <c r="E6798" s="18"/>
      <c r="F6798" s="18"/>
    </row>
    <row r="6799" spans="5:6" ht="15" customHeight="1" x14ac:dyDescent="0.2">
      <c r="E6799" s="18"/>
      <c r="F6799" s="18"/>
    </row>
    <row r="6800" spans="5:6" ht="15" customHeight="1" x14ac:dyDescent="0.2">
      <c r="E6800" s="18"/>
      <c r="F6800" s="18"/>
    </row>
    <row r="6801" spans="5:6" ht="15" customHeight="1" x14ac:dyDescent="0.2">
      <c r="E6801" s="18"/>
      <c r="F6801" s="18"/>
    </row>
    <row r="6802" spans="5:6" ht="15" customHeight="1" x14ac:dyDescent="0.2">
      <c r="E6802" s="18"/>
      <c r="F6802" s="18"/>
    </row>
    <row r="6803" spans="5:6" ht="15" customHeight="1" x14ac:dyDescent="0.2">
      <c r="E6803" s="18"/>
      <c r="F6803" s="18"/>
    </row>
    <row r="6804" spans="5:6" ht="15" customHeight="1" x14ac:dyDescent="0.2">
      <c r="E6804" s="18"/>
      <c r="F6804" s="18"/>
    </row>
    <row r="6805" spans="5:6" ht="15" customHeight="1" x14ac:dyDescent="0.2">
      <c r="E6805" s="18"/>
      <c r="F6805" s="18"/>
    </row>
    <row r="6806" spans="5:6" ht="15" customHeight="1" x14ac:dyDescent="0.2">
      <c r="E6806" s="18"/>
      <c r="F6806" s="18"/>
    </row>
    <row r="6807" spans="5:6" ht="15" customHeight="1" x14ac:dyDescent="0.2">
      <c r="E6807" s="18"/>
      <c r="F6807" s="18"/>
    </row>
    <row r="6808" spans="5:6" ht="15" customHeight="1" x14ac:dyDescent="0.2">
      <c r="E6808" s="18"/>
      <c r="F6808" s="18"/>
    </row>
    <row r="6809" spans="5:6" ht="15" customHeight="1" x14ac:dyDescent="0.2">
      <c r="E6809" s="18"/>
      <c r="F6809" s="18"/>
    </row>
    <row r="6810" spans="5:6" ht="15" customHeight="1" x14ac:dyDescent="0.2">
      <c r="E6810" s="18"/>
      <c r="F6810" s="18"/>
    </row>
    <row r="6811" spans="5:6" ht="15" customHeight="1" x14ac:dyDescent="0.2">
      <c r="E6811" s="18"/>
      <c r="F6811" s="18"/>
    </row>
    <row r="6812" spans="5:6" ht="15" customHeight="1" x14ac:dyDescent="0.2">
      <c r="E6812" s="18"/>
      <c r="F6812" s="18"/>
    </row>
    <row r="6813" spans="5:6" ht="15" customHeight="1" x14ac:dyDescent="0.2">
      <c r="E6813" s="18"/>
      <c r="F6813" s="18"/>
    </row>
    <row r="6814" spans="5:6" ht="15" customHeight="1" x14ac:dyDescent="0.2">
      <c r="E6814" s="18"/>
      <c r="F6814" s="18"/>
    </row>
    <row r="6815" spans="5:6" ht="15" customHeight="1" x14ac:dyDescent="0.2">
      <c r="E6815" s="18"/>
      <c r="F6815" s="18"/>
    </row>
    <row r="6816" spans="5:6" ht="15" customHeight="1" x14ac:dyDescent="0.2">
      <c r="E6816" s="18"/>
      <c r="F6816" s="18"/>
    </row>
    <row r="6817" spans="5:6" ht="15" customHeight="1" x14ac:dyDescent="0.2">
      <c r="E6817" s="18"/>
      <c r="F6817" s="18"/>
    </row>
    <row r="6818" spans="5:6" ht="15" customHeight="1" x14ac:dyDescent="0.2">
      <c r="E6818" s="18"/>
      <c r="F6818" s="18"/>
    </row>
    <row r="6819" spans="5:6" ht="15" customHeight="1" x14ac:dyDescent="0.2">
      <c r="E6819" s="18"/>
      <c r="F6819" s="18"/>
    </row>
    <row r="6820" spans="5:6" ht="15" customHeight="1" x14ac:dyDescent="0.2">
      <c r="E6820" s="18"/>
      <c r="F6820" s="18"/>
    </row>
    <row r="6821" spans="5:6" ht="15" customHeight="1" x14ac:dyDescent="0.2">
      <c r="E6821" s="18"/>
      <c r="F6821" s="18"/>
    </row>
    <row r="6822" spans="5:6" ht="15" customHeight="1" x14ac:dyDescent="0.2">
      <c r="E6822" s="18"/>
      <c r="F6822" s="18"/>
    </row>
    <row r="6823" spans="5:6" ht="15" customHeight="1" x14ac:dyDescent="0.2">
      <c r="E6823" s="18"/>
      <c r="F6823" s="18"/>
    </row>
    <row r="6824" spans="5:6" ht="15" customHeight="1" x14ac:dyDescent="0.2">
      <c r="E6824" s="18"/>
      <c r="F6824" s="18"/>
    </row>
    <row r="6825" spans="5:6" ht="15" customHeight="1" x14ac:dyDescent="0.2">
      <c r="E6825" s="18"/>
      <c r="F6825" s="18"/>
    </row>
    <row r="6826" spans="5:6" ht="15" customHeight="1" x14ac:dyDescent="0.2">
      <c r="E6826" s="18"/>
      <c r="F6826" s="18"/>
    </row>
    <row r="6827" spans="5:6" ht="15" customHeight="1" x14ac:dyDescent="0.2">
      <c r="E6827" s="18"/>
      <c r="F6827" s="18"/>
    </row>
    <row r="6828" spans="5:6" ht="15" customHeight="1" x14ac:dyDescent="0.2">
      <c r="E6828" s="18"/>
      <c r="F6828" s="18"/>
    </row>
    <row r="6829" spans="5:6" ht="15" customHeight="1" x14ac:dyDescent="0.2">
      <c r="E6829" s="18"/>
      <c r="F6829" s="18"/>
    </row>
    <row r="6830" spans="5:6" ht="15" customHeight="1" x14ac:dyDescent="0.2">
      <c r="E6830" s="18"/>
      <c r="F6830" s="18"/>
    </row>
    <row r="6831" spans="5:6" ht="15" customHeight="1" x14ac:dyDescent="0.2">
      <c r="E6831" s="18"/>
      <c r="F6831" s="18"/>
    </row>
    <row r="6832" spans="5:6" ht="15" customHeight="1" x14ac:dyDescent="0.2">
      <c r="E6832" s="18"/>
      <c r="F6832" s="18"/>
    </row>
    <row r="6833" spans="5:6" ht="15" customHeight="1" x14ac:dyDescent="0.2">
      <c r="E6833" s="18"/>
      <c r="F6833" s="18"/>
    </row>
    <row r="6834" spans="5:6" ht="15" customHeight="1" x14ac:dyDescent="0.2">
      <c r="E6834" s="18"/>
      <c r="F6834" s="18"/>
    </row>
    <row r="6835" spans="5:6" ht="15" customHeight="1" x14ac:dyDescent="0.2">
      <c r="E6835" s="18"/>
      <c r="F6835" s="18"/>
    </row>
    <row r="6836" spans="5:6" ht="15" customHeight="1" x14ac:dyDescent="0.2">
      <c r="E6836" s="18"/>
      <c r="F6836" s="18"/>
    </row>
    <row r="6837" spans="5:6" ht="15" customHeight="1" x14ac:dyDescent="0.2">
      <c r="E6837" s="18"/>
      <c r="F6837" s="18"/>
    </row>
    <row r="6838" spans="5:6" ht="15" customHeight="1" x14ac:dyDescent="0.2">
      <c r="E6838" s="18"/>
      <c r="F6838" s="18"/>
    </row>
    <row r="6839" spans="5:6" ht="15" customHeight="1" x14ac:dyDescent="0.2">
      <c r="E6839" s="18"/>
      <c r="F6839" s="18"/>
    </row>
    <row r="6840" spans="5:6" ht="15" customHeight="1" x14ac:dyDescent="0.2">
      <c r="E6840" s="18"/>
      <c r="F6840" s="18"/>
    </row>
    <row r="6841" spans="5:6" ht="15" customHeight="1" x14ac:dyDescent="0.2">
      <c r="E6841" s="18"/>
      <c r="F6841" s="18"/>
    </row>
    <row r="6842" spans="5:6" ht="15" customHeight="1" x14ac:dyDescent="0.2">
      <c r="E6842" s="18"/>
      <c r="F6842" s="18"/>
    </row>
    <row r="6843" spans="5:6" ht="15" customHeight="1" x14ac:dyDescent="0.2">
      <c r="E6843" s="18"/>
      <c r="F6843" s="18"/>
    </row>
    <row r="6844" spans="5:6" ht="15" customHeight="1" x14ac:dyDescent="0.2">
      <c r="E6844" s="18"/>
      <c r="F6844" s="18"/>
    </row>
    <row r="6845" spans="5:6" ht="15" customHeight="1" x14ac:dyDescent="0.2">
      <c r="E6845" s="18"/>
      <c r="F6845" s="18"/>
    </row>
    <row r="6846" spans="5:6" ht="15" customHeight="1" x14ac:dyDescent="0.2">
      <c r="E6846" s="18"/>
      <c r="F6846" s="18"/>
    </row>
    <row r="6847" spans="5:6" ht="15" customHeight="1" x14ac:dyDescent="0.2">
      <c r="E6847" s="18"/>
      <c r="F6847" s="18"/>
    </row>
    <row r="6848" spans="5:6" ht="15" customHeight="1" x14ac:dyDescent="0.2">
      <c r="E6848" s="18"/>
      <c r="F6848" s="18"/>
    </row>
    <row r="6849" spans="5:6" ht="15" customHeight="1" x14ac:dyDescent="0.2">
      <c r="E6849" s="18"/>
      <c r="F6849" s="18"/>
    </row>
    <row r="6850" spans="5:6" ht="15" customHeight="1" x14ac:dyDescent="0.2">
      <c r="E6850" s="18"/>
      <c r="F6850" s="18"/>
    </row>
    <row r="6851" spans="5:6" ht="15" customHeight="1" x14ac:dyDescent="0.2">
      <c r="E6851" s="18"/>
      <c r="F6851" s="18"/>
    </row>
    <row r="6852" spans="5:6" ht="15" customHeight="1" x14ac:dyDescent="0.2">
      <c r="E6852" s="18"/>
      <c r="F6852" s="18"/>
    </row>
    <row r="6853" spans="5:6" ht="15" customHeight="1" x14ac:dyDescent="0.2">
      <c r="E6853" s="18"/>
      <c r="F6853" s="18"/>
    </row>
    <row r="6854" spans="5:6" ht="15" customHeight="1" x14ac:dyDescent="0.2">
      <c r="E6854" s="18"/>
      <c r="F6854" s="18"/>
    </row>
    <row r="6855" spans="5:6" ht="15" customHeight="1" x14ac:dyDescent="0.2">
      <c r="E6855" s="18"/>
      <c r="F6855" s="18"/>
    </row>
    <row r="6856" spans="5:6" ht="15" customHeight="1" x14ac:dyDescent="0.2">
      <c r="E6856" s="18"/>
      <c r="F6856" s="18"/>
    </row>
    <row r="6857" spans="5:6" ht="15" customHeight="1" x14ac:dyDescent="0.2">
      <c r="E6857" s="18"/>
      <c r="F6857" s="18"/>
    </row>
    <row r="6858" spans="5:6" ht="15" customHeight="1" x14ac:dyDescent="0.2">
      <c r="E6858" s="18"/>
      <c r="F6858" s="18"/>
    </row>
    <row r="6859" spans="5:6" ht="15" customHeight="1" x14ac:dyDescent="0.2">
      <c r="E6859" s="18"/>
      <c r="F6859" s="18"/>
    </row>
    <row r="6860" spans="5:6" ht="15" customHeight="1" x14ac:dyDescent="0.2">
      <c r="E6860" s="18"/>
      <c r="F6860" s="18"/>
    </row>
    <row r="6861" spans="5:6" ht="15" customHeight="1" x14ac:dyDescent="0.2">
      <c r="E6861" s="18"/>
      <c r="F6861" s="18"/>
    </row>
    <row r="6862" spans="5:6" ht="15" customHeight="1" x14ac:dyDescent="0.2">
      <c r="E6862" s="18"/>
      <c r="F6862" s="18"/>
    </row>
    <row r="6863" spans="5:6" ht="15" customHeight="1" x14ac:dyDescent="0.2">
      <c r="E6863" s="18"/>
      <c r="F6863" s="18"/>
    </row>
    <row r="6864" spans="5:6" ht="15" customHeight="1" x14ac:dyDescent="0.2">
      <c r="E6864" s="18"/>
      <c r="F6864" s="18"/>
    </row>
    <row r="6865" spans="5:6" ht="15" customHeight="1" x14ac:dyDescent="0.2">
      <c r="E6865" s="18"/>
      <c r="F6865" s="18"/>
    </row>
    <row r="6866" spans="5:6" ht="15" customHeight="1" x14ac:dyDescent="0.2">
      <c r="E6866" s="18"/>
      <c r="F6866" s="18"/>
    </row>
    <row r="6867" spans="5:6" ht="15" customHeight="1" x14ac:dyDescent="0.2">
      <c r="E6867" s="18"/>
      <c r="F6867" s="18"/>
    </row>
    <row r="6868" spans="5:6" ht="15" customHeight="1" x14ac:dyDescent="0.2">
      <c r="E6868" s="18"/>
      <c r="F6868" s="18"/>
    </row>
    <row r="6869" spans="5:6" ht="15" customHeight="1" x14ac:dyDescent="0.2">
      <c r="E6869" s="18"/>
      <c r="F6869" s="18"/>
    </row>
    <row r="6870" spans="5:6" ht="15" customHeight="1" x14ac:dyDescent="0.2">
      <c r="E6870" s="18"/>
      <c r="F6870" s="18"/>
    </row>
    <row r="6871" spans="5:6" ht="15" customHeight="1" x14ac:dyDescent="0.2">
      <c r="E6871" s="18"/>
      <c r="F6871" s="18"/>
    </row>
    <row r="6872" spans="5:6" ht="15" customHeight="1" x14ac:dyDescent="0.2">
      <c r="E6872" s="18"/>
      <c r="F6872" s="18"/>
    </row>
    <row r="6873" spans="5:6" ht="15" customHeight="1" x14ac:dyDescent="0.2">
      <c r="E6873" s="18"/>
      <c r="F6873" s="18"/>
    </row>
    <row r="6874" spans="5:6" ht="15" customHeight="1" x14ac:dyDescent="0.2">
      <c r="E6874" s="18"/>
      <c r="F6874" s="18"/>
    </row>
    <row r="6875" spans="5:6" ht="15" customHeight="1" x14ac:dyDescent="0.2">
      <c r="E6875" s="18"/>
      <c r="F6875" s="18"/>
    </row>
    <row r="6876" spans="5:6" ht="15" customHeight="1" x14ac:dyDescent="0.2">
      <c r="E6876" s="18"/>
      <c r="F6876" s="18"/>
    </row>
    <row r="6877" spans="5:6" ht="15" customHeight="1" x14ac:dyDescent="0.2">
      <c r="E6877" s="18"/>
      <c r="F6877" s="18"/>
    </row>
    <row r="6878" spans="5:6" ht="15" customHeight="1" x14ac:dyDescent="0.2">
      <c r="E6878" s="18"/>
      <c r="F6878" s="18"/>
    </row>
    <row r="6879" spans="5:6" ht="15" customHeight="1" x14ac:dyDescent="0.2">
      <c r="E6879" s="18"/>
      <c r="F6879" s="18"/>
    </row>
    <row r="6880" spans="5:6" ht="15" customHeight="1" x14ac:dyDescent="0.2">
      <c r="E6880" s="18"/>
      <c r="F6880" s="18"/>
    </row>
    <row r="6881" spans="5:6" ht="15" customHeight="1" x14ac:dyDescent="0.2">
      <c r="E6881" s="18"/>
      <c r="F6881" s="18"/>
    </row>
    <row r="6882" spans="5:6" ht="15" customHeight="1" x14ac:dyDescent="0.2">
      <c r="E6882" s="18"/>
      <c r="F6882" s="18"/>
    </row>
    <row r="6883" spans="5:6" ht="15" customHeight="1" x14ac:dyDescent="0.2">
      <c r="E6883" s="18"/>
      <c r="F6883" s="18"/>
    </row>
    <row r="6884" spans="5:6" ht="15" customHeight="1" x14ac:dyDescent="0.2">
      <c r="E6884" s="18"/>
      <c r="F6884" s="18"/>
    </row>
    <row r="6885" spans="5:6" ht="15" customHeight="1" x14ac:dyDescent="0.2">
      <c r="E6885" s="18"/>
      <c r="F6885" s="18"/>
    </row>
    <row r="6886" spans="5:6" ht="15" customHeight="1" x14ac:dyDescent="0.2">
      <c r="E6886" s="18"/>
      <c r="F6886" s="18"/>
    </row>
    <row r="6887" spans="5:6" ht="15" customHeight="1" x14ac:dyDescent="0.2">
      <c r="E6887" s="18"/>
      <c r="F6887" s="18"/>
    </row>
    <row r="6888" spans="5:6" ht="15" customHeight="1" x14ac:dyDescent="0.2">
      <c r="E6888" s="18"/>
      <c r="F6888" s="18"/>
    </row>
    <row r="6889" spans="5:6" ht="15" customHeight="1" x14ac:dyDescent="0.2">
      <c r="E6889" s="18"/>
      <c r="F6889" s="18"/>
    </row>
    <row r="6890" spans="5:6" ht="15" customHeight="1" x14ac:dyDescent="0.2">
      <c r="E6890" s="18"/>
      <c r="F6890" s="18"/>
    </row>
    <row r="6891" spans="5:6" ht="15" customHeight="1" x14ac:dyDescent="0.2">
      <c r="E6891" s="18"/>
      <c r="F6891" s="18"/>
    </row>
    <row r="6892" spans="5:6" ht="15" customHeight="1" x14ac:dyDescent="0.2">
      <c r="E6892" s="18"/>
      <c r="F6892" s="18"/>
    </row>
    <row r="6893" spans="5:6" ht="15" customHeight="1" x14ac:dyDescent="0.2">
      <c r="E6893" s="18"/>
      <c r="F6893" s="18"/>
    </row>
    <row r="6894" spans="5:6" ht="15" customHeight="1" x14ac:dyDescent="0.2">
      <c r="E6894" s="18"/>
      <c r="F6894" s="18"/>
    </row>
    <row r="6895" spans="5:6" ht="15" customHeight="1" x14ac:dyDescent="0.2">
      <c r="E6895" s="18"/>
      <c r="F6895" s="18"/>
    </row>
    <row r="6896" spans="5:6" ht="15" customHeight="1" x14ac:dyDescent="0.2">
      <c r="E6896" s="18"/>
      <c r="F6896" s="18"/>
    </row>
    <row r="6897" spans="5:6" ht="15" customHeight="1" x14ac:dyDescent="0.2">
      <c r="E6897" s="18"/>
      <c r="F6897" s="18"/>
    </row>
    <row r="6898" spans="5:6" ht="15" customHeight="1" x14ac:dyDescent="0.2">
      <c r="E6898" s="18"/>
      <c r="F6898" s="18"/>
    </row>
    <row r="6899" spans="5:6" ht="15" customHeight="1" x14ac:dyDescent="0.2">
      <c r="E6899" s="18"/>
      <c r="F6899" s="18"/>
    </row>
    <row r="6900" spans="5:6" ht="15" customHeight="1" x14ac:dyDescent="0.2">
      <c r="E6900" s="18"/>
      <c r="F6900" s="18"/>
    </row>
    <row r="6901" spans="5:6" ht="15" customHeight="1" x14ac:dyDescent="0.2">
      <c r="E6901" s="18"/>
      <c r="F6901" s="18"/>
    </row>
    <row r="6902" spans="5:6" ht="15" customHeight="1" x14ac:dyDescent="0.2">
      <c r="E6902" s="18"/>
      <c r="F6902" s="18"/>
    </row>
    <row r="6903" spans="5:6" ht="15" customHeight="1" x14ac:dyDescent="0.2">
      <c r="E6903" s="18"/>
      <c r="F6903" s="18"/>
    </row>
    <row r="6904" spans="5:6" ht="15" customHeight="1" x14ac:dyDescent="0.2">
      <c r="E6904" s="18"/>
      <c r="F6904" s="18"/>
    </row>
    <row r="6905" spans="5:6" ht="15" customHeight="1" x14ac:dyDescent="0.2">
      <c r="E6905" s="18"/>
      <c r="F6905" s="18"/>
    </row>
    <row r="6906" spans="5:6" ht="15" customHeight="1" x14ac:dyDescent="0.2">
      <c r="E6906" s="18"/>
      <c r="F6906" s="18"/>
    </row>
    <row r="6907" spans="5:6" ht="15" customHeight="1" x14ac:dyDescent="0.2">
      <c r="E6907" s="18"/>
      <c r="F6907" s="18"/>
    </row>
    <row r="6908" spans="5:6" ht="15" customHeight="1" x14ac:dyDescent="0.2">
      <c r="E6908" s="18"/>
      <c r="F6908" s="18"/>
    </row>
    <row r="6909" spans="5:6" ht="15" customHeight="1" x14ac:dyDescent="0.2">
      <c r="E6909" s="18"/>
      <c r="F6909" s="18"/>
    </row>
    <row r="6910" spans="5:6" ht="15" customHeight="1" x14ac:dyDescent="0.2">
      <c r="E6910" s="18"/>
      <c r="F6910" s="18"/>
    </row>
    <row r="6911" spans="5:6" ht="15" customHeight="1" x14ac:dyDescent="0.2">
      <c r="E6911" s="18"/>
      <c r="F6911" s="18"/>
    </row>
    <row r="6912" spans="5:6" ht="15" customHeight="1" x14ac:dyDescent="0.2">
      <c r="E6912" s="18"/>
      <c r="F6912" s="18"/>
    </row>
    <row r="6913" spans="5:6" ht="15" customHeight="1" x14ac:dyDescent="0.2">
      <c r="E6913" s="18"/>
      <c r="F6913" s="18"/>
    </row>
    <row r="6914" spans="5:6" ht="15" customHeight="1" x14ac:dyDescent="0.2">
      <c r="E6914" s="18"/>
      <c r="F6914" s="18"/>
    </row>
    <row r="6915" spans="5:6" ht="15" customHeight="1" x14ac:dyDescent="0.2">
      <c r="E6915" s="18"/>
      <c r="F6915" s="18"/>
    </row>
    <row r="6916" spans="5:6" ht="15" customHeight="1" x14ac:dyDescent="0.2">
      <c r="E6916" s="18"/>
      <c r="F6916" s="18"/>
    </row>
    <row r="6917" spans="5:6" ht="15" customHeight="1" x14ac:dyDescent="0.2">
      <c r="E6917" s="18"/>
      <c r="F6917" s="18"/>
    </row>
    <row r="6918" spans="5:6" ht="15" customHeight="1" x14ac:dyDescent="0.2">
      <c r="E6918" s="18"/>
      <c r="F6918" s="18"/>
    </row>
    <row r="6919" spans="5:6" ht="15" customHeight="1" x14ac:dyDescent="0.2">
      <c r="E6919" s="18"/>
      <c r="F6919" s="18"/>
    </row>
    <row r="6920" spans="5:6" ht="15" customHeight="1" x14ac:dyDescent="0.2">
      <c r="E6920" s="18"/>
      <c r="F6920" s="18"/>
    </row>
    <row r="6921" spans="5:6" ht="15" customHeight="1" x14ac:dyDescent="0.2">
      <c r="E6921" s="18"/>
      <c r="F6921" s="18"/>
    </row>
    <row r="6922" spans="5:6" ht="15" customHeight="1" x14ac:dyDescent="0.2">
      <c r="E6922" s="18"/>
      <c r="F6922" s="18"/>
    </row>
    <row r="6923" spans="5:6" ht="15" customHeight="1" x14ac:dyDescent="0.2">
      <c r="E6923" s="18"/>
      <c r="F6923" s="18"/>
    </row>
    <row r="6924" spans="5:6" ht="15" customHeight="1" x14ac:dyDescent="0.2">
      <c r="E6924" s="18"/>
      <c r="F6924" s="18"/>
    </row>
    <row r="6925" spans="5:6" ht="15" customHeight="1" x14ac:dyDescent="0.2">
      <c r="E6925" s="18"/>
      <c r="F6925" s="18"/>
    </row>
    <row r="6926" spans="5:6" ht="15" customHeight="1" x14ac:dyDescent="0.2">
      <c r="E6926" s="18"/>
      <c r="F6926" s="18"/>
    </row>
    <row r="6927" spans="5:6" ht="15" customHeight="1" x14ac:dyDescent="0.2">
      <c r="E6927" s="18"/>
      <c r="F6927" s="18"/>
    </row>
    <row r="6928" spans="5:6" ht="15" customHeight="1" x14ac:dyDescent="0.2">
      <c r="E6928" s="18"/>
      <c r="F6928" s="18"/>
    </row>
    <row r="6929" spans="5:6" ht="15" customHeight="1" x14ac:dyDescent="0.2">
      <c r="E6929" s="18"/>
      <c r="F6929" s="18"/>
    </row>
    <row r="6930" spans="5:6" ht="15" customHeight="1" x14ac:dyDescent="0.2">
      <c r="E6930" s="18"/>
      <c r="F6930" s="18"/>
    </row>
    <row r="6931" spans="5:6" ht="15" customHeight="1" x14ac:dyDescent="0.2">
      <c r="E6931" s="18"/>
      <c r="F6931" s="18"/>
    </row>
    <row r="6932" spans="5:6" ht="15" customHeight="1" x14ac:dyDescent="0.2">
      <c r="E6932" s="18"/>
      <c r="F6932" s="18"/>
    </row>
    <row r="6933" spans="5:6" ht="15" customHeight="1" x14ac:dyDescent="0.2">
      <c r="E6933" s="18"/>
      <c r="F6933" s="18"/>
    </row>
    <row r="6934" spans="5:6" ht="15" customHeight="1" x14ac:dyDescent="0.2">
      <c r="E6934" s="18"/>
      <c r="F6934" s="18"/>
    </row>
    <row r="6935" spans="5:6" ht="15" customHeight="1" x14ac:dyDescent="0.2">
      <c r="E6935" s="18"/>
      <c r="F6935" s="18"/>
    </row>
    <row r="6936" spans="5:6" ht="15" customHeight="1" x14ac:dyDescent="0.2">
      <c r="E6936" s="18"/>
      <c r="F6936" s="18"/>
    </row>
    <row r="6937" spans="5:6" ht="15" customHeight="1" x14ac:dyDescent="0.2">
      <c r="E6937" s="18"/>
      <c r="F6937" s="18"/>
    </row>
    <row r="6938" spans="5:6" ht="15" customHeight="1" x14ac:dyDescent="0.2">
      <c r="E6938" s="18"/>
      <c r="F6938" s="18"/>
    </row>
    <row r="6939" spans="5:6" ht="15" customHeight="1" x14ac:dyDescent="0.2">
      <c r="E6939" s="18"/>
      <c r="F6939" s="18"/>
    </row>
    <row r="6940" spans="5:6" ht="15" customHeight="1" x14ac:dyDescent="0.2">
      <c r="E6940" s="18"/>
      <c r="F6940" s="18"/>
    </row>
    <row r="6941" spans="5:6" ht="15" customHeight="1" x14ac:dyDescent="0.2">
      <c r="E6941" s="18"/>
      <c r="F6941" s="18"/>
    </row>
    <row r="6942" spans="5:6" ht="15" customHeight="1" x14ac:dyDescent="0.2">
      <c r="E6942" s="18"/>
      <c r="F6942" s="18"/>
    </row>
    <row r="6943" spans="5:6" ht="15" customHeight="1" x14ac:dyDescent="0.2">
      <c r="E6943" s="18"/>
      <c r="F6943" s="18"/>
    </row>
    <row r="6944" spans="5:6" ht="15" customHeight="1" x14ac:dyDescent="0.2">
      <c r="E6944" s="18"/>
      <c r="F6944" s="18"/>
    </row>
    <row r="6945" spans="5:6" ht="15" customHeight="1" x14ac:dyDescent="0.2">
      <c r="E6945" s="18"/>
      <c r="F6945" s="18"/>
    </row>
    <row r="6946" spans="5:6" ht="15" customHeight="1" x14ac:dyDescent="0.2">
      <c r="E6946" s="18"/>
      <c r="F6946" s="18"/>
    </row>
    <row r="6947" spans="5:6" ht="15" customHeight="1" x14ac:dyDescent="0.2">
      <c r="E6947" s="18"/>
      <c r="F6947" s="18"/>
    </row>
    <row r="6948" spans="5:6" ht="15" customHeight="1" x14ac:dyDescent="0.2">
      <c r="E6948" s="18"/>
      <c r="F6948" s="18"/>
    </row>
    <row r="6949" spans="5:6" ht="15" customHeight="1" x14ac:dyDescent="0.2">
      <c r="E6949" s="18"/>
      <c r="F6949" s="18"/>
    </row>
    <row r="6950" spans="5:6" ht="15" customHeight="1" x14ac:dyDescent="0.2">
      <c r="E6950" s="18"/>
      <c r="F6950" s="18"/>
    </row>
    <row r="6951" spans="5:6" ht="15" customHeight="1" x14ac:dyDescent="0.2">
      <c r="E6951" s="18"/>
      <c r="F6951" s="18"/>
    </row>
    <row r="6952" spans="5:6" ht="15" customHeight="1" x14ac:dyDescent="0.2">
      <c r="E6952" s="18"/>
      <c r="F6952" s="18"/>
    </row>
    <row r="6953" spans="5:6" ht="15" customHeight="1" x14ac:dyDescent="0.2">
      <c r="E6953" s="18"/>
      <c r="F6953" s="18"/>
    </row>
    <row r="6954" spans="5:6" ht="15" customHeight="1" x14ac:dyDescent="0.2">
      <c r="E6954" s="18"/>
      <c r="F6954" s="18"/>
    </row>
    <row r="6955" spans="5:6" ht="15" customHeight="1" x14ac:dyDescent="0.2">
      <c r="E6955" s="18"/>
      <c r="F6955" s="18"/>
    </row>
    <row r="6956" spans="5:6" ht="15" customHeight="1" x14ac:dyDescent="0.2">
      <c r="E6956" s="18"/>
      <c r="F6956" s="18"/>
    </row>
    <row r="6957" spans="5:6" ht="15" customHeight="1" x14ac:dyDescent="0.2">
      <c r="E6957" s="18"/>
      <c r="F6957" s="18"/>
    </row>
    <row r="6958" spans="5:6" ht="15" customHeight="1" x14ac:dyDescent="0.2">
      <c r="E6958" s="18"/>
      <c r="F6958" s="18"/>
    </row>
    <row r="6959" spans="5:6" ht="15" customHeight="1" x14ac:dyDescent="0.2">
      <c r="E6959" s="18"/>
      <c r="F6959" s="18"/>
    </row>
    <row r="6960" spans="5:6" ht="15" customHeight="1" x14ac:dyDescent="0.2">
      <c r="E6960" s="18"/>
      <c r="F6960" s="18"/>
    </row>
    <row r="6961" spans="5:6" ht="15" customHeight="1" x14ac:dyDescent="0.2">
      <c r="E6961" s="18"/>
      <c r="F6961" s="18"/>
    </row>
    <row r="6962" spans="5:6" ht="15" customHeight="1" x14ac:dyDescent="0.2">
      <c r="E6962" s="18"/>
      <c r="F6962" s="18"/>
    </row>
    <row r="6963" spans="5:6" ht="15" customHeight="1" x14ac:dyDescent="0.2">
      <c r="E6963" s="18"/>
      <c r="F6963" s="18"/>
    </row>
    <row r="6964" spans="5:6" ht="15" customHeight="1" x14ac:dyDescent="0.2">
      <c r="E6964" s="18"/>
      <c r="F6964" s="18"/>
    </row>
    <row r="6965" spans="5:6" ht="15" customHeight="1" x14ac:dyDescent="0.2">
      <c r="E6965" s="18"/>
      <c r="F6965" s="18"/>
    </row>
    <row r="6966" spans="5:6" ht="15" customHeight="1" x14ac:dyDescent="0.2">
      <c r="E6966" s="18"/>
      <c r="F6966" s="18"/>
    </row>
    <row r="6967" spans="5:6" ht="15" customHeight="1" x14ac:dyDescent="0.2">
      <c r="E6967" s="18"/>
      <c r="F6967" s="18"/>
    </row>
    <row r="6968" spans="5:6" ht="15" customHeight="1" x14ac:dyDescent="0.2">
      <c r="E6968" s="18"/>
      <c r="F6968" s="18"/>
    </row>
    <row r="6969" spans="5:6" ht="15" customHeight="1" x14ac:dyDescent="0.2">
      <c r="E6969" s="18"/>
      <c r="F6969" s="18"/>
    </row>
    <row r="6970" spans="5:6" ht="15" customHeight="1" x14ac:dyDescent="0.2">
      <c r="E6970" s="18"/>
      <c r="F6970" s="18"/>
    </row>
    <row r="6971" spans="5:6" ht="15" customHeight="1" x14ac:dyDescent="0.2">
      <c r="E6971" s="18"/>
      <c r="F6971" s="18"/>
    </row>
    <row r="6972" spans="5:6" ht="15" customHeight="1" x14ac:dyDescent="0.2">
      <c r="E6972" s="18"/>
      <c r="F6972" s="18"/>
    </row>
    <row r="6973" spans="5:6" ht="15" customHeight="1" x14ac:dyDescent="0.2">
      <c r="E6973" s="18"/>
      <c r="F6973" s="18"/>
    </row>
    <row r="6974" spans="5:6" ht="15" customHeight="1" x14ac:dyDescent="0.2">
      <c r="E6974" s="18"/>
      <c r="F6974" s="18"/>
    </row>
    <row r="6975" spans="5:6" ht="15" customHeight="1" x14ac:dyDescent="0.2">
      <c r="E6975" s="18"/>
      <c r="F6975" s="18"/>
    </row>
    <row r="6976" spans="5:6" ht="15" customHeight="1" x14ac:dyDescent="0.2">
      <c r="E6976" s="18"/>
      <c r="F6976" s="18"/>
    </row>
    <row r="6977" spans="5:6" ht="15" customHeight="1" x14ac:dyDescent="0.2">
      <c r="E6977" s="18"/>
      <c r="F6977" s="18"/>
    </row>
    <row r="6978" spans="5:6" ht="15" customHeight="1" x14ac:dyDescent="0.2">
      <c r="E6978" s="18"/>
      <c r="F6978" s="18"/>
    </row>
    <row r="6979" spans="5:6" ht="15" customHeight="1" x14ac:dyDescent="0.2">
      <c r="E6979" s="18"/>
      <c r="F6979" s="18"/>
    </row>
    <row r="6980" spans="5:6" ht="15" customHeight="1" x14ac:dyDescent="0.2">
      <c r="E6980" s="18"/>
      <c r="F6980" s="18"/>
    </row>
    <row r="6981" spans="5:6" ht="15" customHeight="1" x14ac:dyDescent="0.2">
      <c r="E6981" s="18"/>
      <c r="F6981" s="18"/>
    </row>
    <row r="6982" spans="5:6" ht="15" customHeight="1" x14ac:dyDescent="0.2">
      <c r="E6982" s="18"/>
      <c r="F6982" s="18"/>
    </row>
    <row r="6983" spans="5:6" ht="15" customHeight="1" x14ac:dyDescent="0.2">
      <c r="E6983" s="18"/>
      <c r="F6983" s="18"/>
    </row>
    <row r="6984" spans="5:6" ht="15" customHeight="1" x14ac:dyDescent="0.2">
      <c r="E6984" s="18"/>
      <c r="F6984" s="18"/>
    </row>
    <row r="6985" spans="5:6" ht="15" customHeight="1" x14ac:dyDescent="0.2">
      <c r="E6985" s="18"/>
      <c r="F6985" s="18"/>
    </row>
    <row r="6986" spans="5:6" ht="15" customHeight="1" x14ac:dyDescent="0.2">
      <c r="E6986" s="18"/>
      <c r="F6986" s="18"/>
    </row>
    <row r="6987" spans="5:6" ht="15" customHeight="1" x14ac:dyDescent="0.2">
      <c r="E6987" s="18"/>
      <c r="F6987" s="18"/>
    </row>
    <row r="6988" spans="5:6" ht="15" customHeight="1" x14ac:dyDescent="0.2">
      <c r="E6988" s="18"/>
      <c r="F6988" s="18"/>
    </row>
    <row r="6989" spans="5:6" ht="15" customHeight="1" x14ac:dyDescent="0.2">
      <c r="E6989" s="18"/>
      <c r="F6989" s="18"/>
    </row>
    <row r="6990" spans="5:6" ht="15" customHeight="1" x14ac:dyDescent="0.2">
      <c r="E6990" s="18"/>
      <c r="F6990" s="18"/>
    </row>
    <row r="6991" spans="5:6" ht="15" customHeight="1" x14ac:dyDescent="0.2">
      <c r="E6991" s="18"/>
      <c r="F6991" s="18"/>
    </row>
    <row r="6992" spans="5:6" ht="15" customHeight="1" x14ac:dyDescent="0.2">
      <c r="E6992" s="18"/>
      <c r="F6992" s="18"/>
    </row>
    <row r="6993" spans="5:6" ht="15" customHeight="1" x14ac:dyDescent="0.2">
      <c r="E6993" s="18"/>
      <c r="F6993" s="18"/>
    </row>
    <row r="6994" spans="5:6" ht="15" customHeight="1" x14ac:dyDescent="0.2">
      <c r="E6994" s="18"/>
      <c r="F6994" s="18"/>
    </row>
    <row r="6995" spans="5:6" ht="15" customHeight="1" x14ac:dyDescent="0.2">
      <c r="E6995" s="18"/>
      <c r="F6995" s="18"/>
    </row>
    <row r="6996" spans="5:6" ht="15" customHeight="1" x14ac:dyDescent="0.2">
      <c r="E6996" s="18"/>
      <c r="F6996" s="18"/>
    </row>
    <row r="6997" spans="5:6" ht="15" customHeight="1" x14ac:dyDescent="0.2">
      <c r="E6997" s="18"/>
      <c r="F6997" s="18"/>
    </row>
    <row r="6998" spans="5:6" ht="15" customHeight="1" x14ac:dyDescent="0.2">
      <c r="E6998" s="18"/>
      <c r="F6998" s="18"/>
    </row>
    <row r="6999" spans="5:6" ht="15" customHeight="1" x14ac:dyDescent="0.2">
      <c r="E6999" s="18"/>
      <c r="F6999" s="18"/>
    </row>
    <row r="7000" spans="5:6" ht="15" customHeight="1" x14ac:dyDescent="0.2">
      <c r="E7000" s="18"/>
      <c r="F7000" s="18"/>
    </row>
    <row r="7001" spans="5:6" ht="15" customHeight="1" x14ac:dyDescent="0.2">
      <c r="E7001" s="18"/>
      <c r="F7001" s="18"/>
    </row>
    <row r="7002" spans="5:6" ht="15" customHeight="1" x14ac:dyDescent="0.2">
      <c r="E7002" s="18"/>
      <c r="F7002" s="18"/>
    </row>
    <row r="7003" spans="5:6" ht="15" customHeight="1" x14ac:dyDescent="0.2">
      <c r="E7003" s="18"/>
      <c r="F7003" s="18"/>
    </row>
    <row r="7004" spans="5:6" ht="15" customHeight="1" x14ac:dyDescent="0.2">
      <c r="E7004" s="18"/>
      <c r="F7004" s="18"/>
    </row>
    <row r="7005" spans="5:6" ht="15" customHeight="1" x14ac:dyDescent="0.2">
      <c r="E7005" s="18"/>
      <c r="F7005" s="18"/>
    </row>
    <row r="7006" spans="5:6" ht="15" customHeight="1" x14ac:dyDescent="0.2">
      <c r="E7006" s="18"/>
      <c r="F7006" s="18"/>
    </row>
    <row r="7007" spans="5:6" ht="15" customHeight="1" x14ac:dyDescent="0.2">
      <c r="E7007" s="18"/>
      <c r="F7007" s="18"/>
    </row>
    <row r="7008" spans="5:6" ht="15" customHeight="1" x14ac:dyDescent="0.2">
      <c r="E7008" s="18"/>
      <c r="F7008" s="18"/>
    </row>
    <row r="7009" spans="5:6" ht="15" customHeight="1" x14ac:dyDescent="0.2">
      <c r="E7009" s="18"/>
      <c r="F7009" s="18"/>
    </row>
    <row r="7010" spans="5:6" ht="15" customHeight="1" x14ac:dyDescent="0.2">
      <c r="E7010" s="18"/>
      <c r="F7010" s="18"/>
    </row>
    <row r="7011" spans="5:6" ht="15" customHeight="1" x14ac:dyDescent="0.2">
      <c r="E7011" s="18"/>
      <c r="F7011" s="18"/>
    </row>
    <row r="7012" spans="5:6" ht="15" customHeight="1" x14ac:dyDescent="0.2">
      <c r="E7012" s="18"/>
      <c r="F7012" s="18"/>
    </row>
    <row r="7013" spans="5:6" ht="15" customHeight="1" x14ac:dyDescent="0.2">
      <c r="E7013" s="18"/>
      <c r="F7013" s="18"/>
    </row>
    <row r="7014" spans="5:6" ht="15" customHeight="1" x14ac:dyDescent="0.2">
      <c r="E7014" s="18"/>
      <c r="F7014" s="18"/>
    </row>
    <row r="7015" spans="5:6" ht="15" customHeight="1" x14ac:dyDescent="0.2">
      <c r="E7015" s="18"/>
      <c r="F7015" s="18"/>
    </row>
    <row r="7016" spans="5:6" ht="15" customHeight="1" x14ac:dyDescent="0.2">
      <c r="E7016" s="18"/>
      <c r="F7016" s="18"/>
    </row>
    <row r="7017" spans="5:6" ht="15" customHeight="1" x14ac:dyDescent="0.2">
      <c r="E7017" s="18"/>
      <c r="F7017" s="18"/>
    </row>
    <row r="7018" spans="5:6" ht="15" customHeight="1" x14ac:dyDescent="0.2">
      <c r="E7018" s="18"/>
      <c r="F7018" s="18"/>
    </row>
    <row r="7019" spans="5:6" ht="15" customHeight="1" x14ac:dyDescent="0.2">
      <c r="E7019" s="18"/>
      <c r="F7019" s="18"/>
    </row>
    <row r="7020" spans="5:6" ht="15" customHeight="1" x14ac:dyDescent="0.2">
      <c r="E7020" s="18"/>
      <c r="F7020" s="18"/>
    </row>
    <row r="7021" spans="5:6" ht="15" customHeight="1" x14ac:dyDescent="0.2">
      <c r="E7021" s="18"/>
      <c r="F7021" s="18"/>
    </row>
    <row r="7022" spans="5:6" ht="15" customHeight="1" x14ac:dyDescent="0.2">
      <c r="E7022" s="18"/>
      <c r="F7022" s="18"/>
    </row>
    <row r="7023" spans="5:6" ht="15" customHeight="1" x14ac:dyDescent="0.2">
      <c r="E7023" s="18"/>
      <c r="F7023" s="18"/>
    </row>
    <row r="7024" spans="5:6" ht="15" customHeight="1" x14ac:dyDescent="0.2">
      <c r="E7024" s="18"/>
      <c r="F7024" s="18"/>
    </row>
    <row r="7025" spans="5:6" ht="15" customHeight="1" x14ac:dyDescent="0.2">
      <c r="E7025" s="18"/>
      <c r="F7025" s="18"/>
    </row>
    <row r="7026" spans="5:6" ht="15" customHeight="1" x14ac:dyDescent="0.2">
      <c r="E7026" s="18"/>
      <c r="F7026" s="18"/>
    </row>
    <row r="7027" spans="5:6" ht="15" customHeight="1" x14ac:dyDescent="0.2">
      <c r="E7027" s="18"/>
      <c r="F7027" s="18"/>
    </row>
    <row r="7028" spans="5:6" ht="15" customHeight="1" x14ac:dyDescent="0.2">
      <c r="E7028" s="18"/>
      <c r="F7028" s="18"/>
    </row>
    <row r="7029" spans="5:6" ht="15" customHeight="1" x14ac:dyDescent="0.2">
      <c r="E7029" s="18"/>
      <c r="F7029" s="18"/>
    </row>
    <row r="7030" spans="5:6" ht="15" customHeight="1" x14ac:dyDescent="0.2">
      <c r="E7030" s="18"/>
      <c r="F7030" s="18"/>
    </row>
    <row r="7031" spans="5:6" ht="15" customHeight="1" x14ac:dyDescent="0.2">
      <c r="E7031" s="18"/>
      <c r="F7031" s="18"/>
    </row>
    <row r="7032" spans="5:6" ht="15" customHeight="1" x14ac:dyDescent="0.2">
      <c r="E7032" s="18"/>
      <c r="F7032" s="18"/>
    </row>
    <row r="7033" spans="5:6" ht="15" customHeight="1" x14ac:dyDescent="0.2">
      <c r="E7033" s="18"/>
      <c r="F7033" s="18"/>
    </row>
    <row r="7034" spans="5:6" ht="15" customHeight="1" x14ac:dyDescent="0.2">
      <c r="E7034" s="18"/>
      <c r="F7034" s="18"/>
    </row>
    <row r="7035" spans="5:6" ht="15" customHeight="1" x14ac:dyDescent="0.2">
      <c r="E7035" s="18"/>
      <c r="F7035" s="18"/>
    </row>
    <row r="7036" spans="5:6" ht="15" customHeight="1" x14ac:dyDescent="0.2">
      <c r="E7036" s="18"/>
      <c r="F7036" s="18"/>
    </row>
    <row r="7037" spans="5:6" ht="15" customHeight="1" x14ac:dyDescent="0.2">
      <c r="E7037" s="18"/>
      <c r="F7037" s="18"/>
    </row>
    <row r="7038" spans="5:6" ht="15" customHeight="1" x14ac:dyDescent="0.2">
      <c r="E7038" s="18"/>
      <c r="F7038" s="18"/>
    </row>
    <row r="7039" spans="5:6" ht="15" customHeight="1" x14ac:dyDescent="0.2">
      <c r="E7039" s="18"/>
      <c r="F7039" s="18"/>
    </row>
    <row r="7040" spans="5:6" ht="15" customHeight="1" x14ac:dyDescent="0.2">
      <c r="E7040" s="18"/>
      <c r="F7040" s="18"/>
    </row>
    <row r="7041" spans="5:6" ht="15" customHeight="1" x14ac:dyDescent="0.2">
      <c r="E7041" s="18"/>
      <c r="F7041" s="18"/>
    </row>
    <row r="7042" spans="5:6" ht="15" customHeight="1" x14ac:dyDescent="0.2">
      <c r="E7042" s="18"/>
      <c r="F7042" s="18"/>
    </row>
    <row r="7043" spans="5:6" ht="15" customHeight="1" x14ac:dyDescent="0.2">
      <c r="E7043" s="18"/>
      <c r="F7043" s="18"/>
    </row>
    <row r="7044" spans="5:6" ht="15" customHeight="1" x14ac:dyDescent="0.2">
      <c r="E7044" s="18"/>
      <c r="F7044" s="18"/>
    </row>
    <row r="7045" spans="5:6" ht="15" customHeight="1" x14ac:dyDescent="0.2">
      <c r="E7045" s="18"/>
      <c r="F7045" s="18"/>
    </row>
    <row r="7046" spans="5:6" ht="15" customHeight="1" x14ac:dyDescent="0.2">
      <c r="E7046" s="18"/>
      <c r="F7046" s="18"/>
    </row>
    <row r="7047" spans="5:6" ht="15" customHeight="1" x14ac:dyDescent="0.2">
      <c r="E7047" s="18"/>
      <c r="F7047" s="18"/>
    </row>
    <row r="7048" spans="5:6" ht="15" customHeight="1" x14ac:dyDescent="0.2">
      <c r="E7048" s="18"/>
      <c r="F7048" s="18"/>
    </row>
    <row r="7049" spans="5:6" ht="15" customHeight="1" x14ac:dyDescent="0.2">
      <c r="E7049" s="18"/>
      <c r="F7049" s="18"/>
    </row>
    <row r="7050" spans="5:6" ht="15" customHeight="1" x14ac:dyDescent="0.2">
      <c r="E7050" s="18"/>
      <c r="F7050" s="18"/>
    </row>
    <row r="7051" spans="5:6" ht="15" customHeight="1" x14ac:dyDescent="0.2">
      <c r="E7051" s="18"/>
      <c r="F7051" s="18"/>
    </row>
    <row r="7052" spans="5:6" ht="15" customHeight="1" x14ac:dyDescent="0.2">
      <c r="E7052" s="18"/>
      <c r="F7052" s="18"/>
    </row>
    <row r="7053" spans="5:6" ht="15" customHeight="1" x14ac:dyDescent="0.2">
      <c r="E7053" s="18"/>
      <c r="F7053" s="18"/>
    </row>
    <row r="7054" spans="5:6" ht="15" customHeight="1" x14ac:dyDescent="0.2">
      <c r="E7054" s="18"/>
      <c r="F7054" s="18"/>
    </row>
    <row r="7055" spans="5:6" ht="15" customHeight="1" x14ac:dyDescent="0.2">
      <c r="E7055" s="18"/>
      <c r="F7055" s="18"/>
    </row>
    <row r="7056" spans="5:6" ht="15" customHeight="1" x14ac:dyDescent="0.2">
      <c r="E7056" s="18"/>
      <c r="F7056" s="18"/>
    </row>
    <row r="7057" spans="5:6" ht="15" customHeight="1" x14ac:dyDescent="0.2">
      <c r="E7057" s="18"/>
      <c r="F7057" s="18"/>
    </row>
    <row r="7058" spans="5:6" ht="15" customHeight="1" x14ac:dyDescent="0.2">
      <c r="E7058" s="18"/>
      <c r="F7058" s="18"/>
    </row>
    <row r="7059" spans="5:6" ht="15" customHeight="1" x14ac:dyDescent="0.2">
      <c r="E7059" s="18"/>
      <c r="F7059" s="18"/>
    </row>
    <row r="7060" spans="5:6" ht="15" customHeight="1" x14ac:dyDescent="0.2">
      <c r="E7060" s="18"/>
      <c r="F7060" s="18"/>
    </row>
    <row r="7061" spans="5:6" ht="15" customHeight="1" x14ac:dyDescent="0.2">
      <c r="E7061" s="18"/>
      <c r="F7061" s="18"/>
    </row>
    <row r="7062" spans="5:6" ht="15" customHeight="1" x14ac:dyDescent="0.2">
      <c r="E7062" s="18"/>
      <c r="F7062" s="18"/>
    </row>
    <row r="7063" spans="5:6" ht="15" customHeight="1" x14ac:dyDescent="0.2">
      <c r="E7063" s="18"/>
      <c r="F7063" s="18"/>
    </row>
    <row r="7064" spans="5:6" ht="15" customHeight="1" x14ac:dyDescent="0.2">
      <c r="E7064" s="18"/>
      <c r="F7064" s="18"/>
    </row>
    <row r="7065" spans="5:6" ht="15" customHeight="1" x14ac:dyDescent="0.2">
      <c r="E7065" s="18"/>
      <c r="F7065" s="18"/>
    </row>
    <row r="7066" spans="5:6" ht="15" customHeight="1" x14ac:dyDescent="0.2">
      <c r="E7066" s="18"/>
      <c r="F7066" s="18"/>
    </row>
    <row r="7067" spans="5:6" ht="15" customHeight="1" x14ac:dyDescent="0.2">
      <c r="E7067" s="18"/>
      <c r="F7067" s="18"/>
    </row>
    <row r="7068" spans="5:6" ht="15" customHeight="1" x14ac:dyDescent="0.2">
      <c r="E7068" s="18"/>
      <c r="F7068" s="18"/>
    </row>
    <row r="7069" spans="5:6" ht="15" customHeight="1" x14ac:dyDescent="0.2">
      <c r="E7069" s="18"/>
      <c r="F7069" s="18"/>
    </row>
    <row r="7070" spans="5:6" ht="15" customHeight="1" x14ac:dyDescent="0.2">
      <c r="E7070" s="18"/>
      <c r="F7070" s="18"/>
    </row>
    <row r="7071" spans="5:6" ht="15" customHeight="1" x14ac:dyDescent="0.2">
      <c r="E7071" s="18"/>
      <c r="F7071" s="18"/>
    </row>
    <row r="7072" spans="5:6" ht="15" customHeight="1" x14ac:dyDescent="0.2">
      <c r="E7072" s="18"/>
      <c r="F7072" s="18"/>
    </row>
    <row r="7073" spans="5:6" ht="15" customHeight="1" x14ac:dyDescent="0.2">
      <c r="E7073" s="18"/>
      <c r="F7073" s="18"/>
    </row>
    <row r="7074" spans="5:6" ht="15" customHeight="1" x14ac:dyDescent="0.2">
      <c r="E7074" s="18"/>
      <c r="F7074" s="18"/>
    </row>
    <row r="7075" spans="5:6" ht="15" customHeight="1" x14ac:dyDescent="0.2">
      <c r="E7075" s="18"/>
      <c r="F7075" s="18"/>
    </row>
    <row r="7076" spans="5:6" ht="15" customHeight="1" x14ac:dyDescent="0.2">
      <c r="E7076" s="18"/>
      <c r="F7076" s="18"/>
    </row>
    <row r="7077" spans="5:6" ht="15" customHeight="1" x14ac:dyDescent="0.2">
      <c r="E7077" s="18"/>
      <c r="F7077" s="18"/>
    </row>
    <row r="7078" spans="5:6" ht="15" customHeight="1" x14ac:dyDescent="0.2">
      <c r="E7078" s="18"/>
      <c r="F7078" s="18"/>
    </row>
    <row r="7079" spans="5:6" ht="15" customHeight="1" x14ac:dyDescent="0.2">
      <c r="E7079" s="18"/>
      <c r="F7079" s="18"/>
    </row>
    <row r="7080" spans="5:6" ht="15" customHeight="1" x14ac:dyDescent="0.2">
      <c r="E7080" s="18"/>
      <c r="F7080" s="18"/>
    </row>
    <row r="7081" spans="5:6" ht="15" customHeight="1" x14ac:dyDescent="0.2">
      <c r="E7081" s="18"/>
      <c r="F7081" s="18"/>
    </row>
    <row r="7082" spans="5:6" ht="15" customHeight="1" x14ac:dyDescent="0.2">
      <c r="E7082" s="18"/>
      <c r="F7082" s="18"/>
    </row>
    <row r="7083" spans="5:6" ht="15" customHeight="1" x14ac:dyDescent="0.2">
      <c r="E7083" s="18"/>
      <c r="F7083" s="18"/>
    </row>
    <row r="7084" spans="5:6" ht="15" customHeight="1" x14ac:dyDescent="0.2">
      <c r="E7084" s="18"/>
      <c r="F7084" s="18"/>
    </row>
    <row r="7085" spans="5:6" ht="15" customHeight="1" x14ac:dyDescent="0.2">
      <c r="E7085" s="18"/>
      <c r="F7085" s="18"/>
    </row>
    <row r="7086" spans="5:6" ht="15" customHeight="1" x14ac:dyDescent="0.2">
      <c r="E7086" s="18"/>
      <c r="F7086" s="18"/>
    </row>
    <row r="7087" spans="5:6" ht="15" customHeight="1" x14ac:dyDescent="0.2">
      <c r="E7087" s="18"/>
      <c r="F7087" s="18"/>
    </row>
    <row r="7088" spans="5:6" ht="15" customHeight="1" x14ac:dyDescent="0.2">
      <c r="E7088" s="18"/>
      <c r="F7088" s="18"/>
    </row>
    <row r="7089" spans="5:6" ht="15" customHeight="1" x14ac:dyDescent="0.2">
      <c r="E7089" s="18"/>
      <c r="F7089" s="18"/>
    </row>
    <row r="7090" spans="5:6" ht="15" customHeight="1" x14ac:dyDescent="0.2">
      <c r="E7090" s="18"/>
      <c r="F7090" s="18"/>
    </row>
    <row r="7091" spans="5:6" ht="15" customHeight="1" x14ac:dyDescent="0.2">
      <c r="E7091" s="18"/>
      <c r="F7091" s="18"/>
    </row>
    <row r="7092" spans="5:6" ht="15" customHeight="1" x14ac:dyDescent="0.2">
      <c r="E7092" s="18"/>
      <c r="F7092" s="18"/>
    </row>
    <row r="7093" spans="5:6" ht="15" customHeight="1" x14ac:dyDescent="0.2">
      <c r="E7093" s="18"/>
      <c r="F7093" s="18"/>
    </row>
    <row r="7094" spans="5:6" ht="15" customHeight="1" x14ac:dyDescent="0.2">
      <c r="E7094" s="18"/>
      <c r="F7094" s="18"/>
    </row>
    <row r="7095" spans="5:6" ht="15" customHeight="1" x14ac:dyDescent="0.2">
      <c r="E7095" s="18"/>
      <c r="F7095" s="18"/>
    </row>
    <row r="7096" spans="5:6" ht="15" customHeight="1" x14ac:dyDescent="0.2">
      <c r="E7096" s="18"/>
      <c r="F7096" s="18"/>
    </row>
    <row r="7097" spans="5:6" ht="15" customHeight="1" x14ac:dyDescent="0.2">
      <c r="E7097" s="18"/>
      <c r="F7097" s="18"/>
    </row>
    <row r="7098" spans="5:6" ht="15" customHeight="1" x14ac:dyDescent="0.2">
      <c r="E7098" s="18"/>
      <c r="F7098" s="18"/>
    </row>
    <row r="7099" spans="5:6" ht="15" customHeight="1" x14ac:dyDescent="0.2">
      <c r="E7099" s="18"/>
      <c r="F7099" s="18"/>
    </row>
    <row r="7100" spans="5:6" ht="15" customHeight="1" x14ac:dyDescent="0.2">
      <c r="E7100" s="18"/>
      <c r="F7100" s="18"/>
    </row>
    <row r="7101" spans="5:6" ht="15" customHeight="1" x14ac:dyDescent="0.2">
      <c r="E7101" s="18"/>
      <c r="F7101" s="18"/>
    </row>
    <row r="7102" spans="5:6" ht="15" customHeight="1" x14ac:dyDescent="0.2">
      <c r="E7102" s="18"/>
      <c r="F7102" s="18"/>
    </row>
    <row r="7103" spans="5:6" ht="15" customHeight="1" x14ac:dyDescent="0.2">
      <c r="E7103" s="18"/>
      <c r="F7103" s="18"/>
    </row>
    <row r="7104" spans="5:6" ht="15" customHeight="1" x14ac:dyDescent="0.2">
      <c r="E7104" s="18"/>
      <c r="F7104" s="18"/>
    </row>
    <row r="7105" spans="5:6" ht="15" customHeight="1" x14ac:dyDescent="0.2">
      <c r="E7105" s="18"/>
      <c r="F7105" s="18"/>
    </row>
    <row r="7106" spans="5:6" ht="15" customHeight="1" x14ac:dyDescent="0.2">
      <c r="E7106" s="18"/>
      <c r="F7106" s="18"/>
    </row>
    <row r="7107" spans="5:6" ht="15" customHeight="1" x14ac:dyDescent="0.2">
      <c r="E7107" s="18"/>
      <c r="F7107" s="18"/>
    </row>
    <row r="7108" spans="5:6" ht="15" customHeight="1" x14ac:dyDescent="0.2">
      <c r="E7108" s="18"/>
      <c r="F7108" s="18"/>
    </row>
    <row r="7109" spans="5:6" ht="15" customHeight="1" x14ac:dyDescent="0.2">
      <c r="E7109" s="18"/>
      <c r="F7109" s="18"/>
    </row>
    <row r="7110" spans="5:6" ht="15" customHeight="1" x14ac:dyDescent="0.2">
      <c r="E7110" s="18"/>
      <c r="F7110" s="18"/>
    </row>
    <row r="7111" spans="5:6" ht="15" customHeight="1" x14ac:dyDescent="0.2">
      <c r="E7111" s="18"/>
      <c r="F7111" s="18"/>
    </row>
    <row r="7112" spans="5:6" ht="15" customHeight="1" x14ac:dyDescent="0.2">
      <c r="E7112" s="18"/>
      <c r="F7112" s="18"/>
    </row>
    <row r="7113" spans="5:6" ht="15" customHeight="1" x14ac:dyDescent="0.2">
      <c r="E7113" s="18"/>
      <c r="F7113" s="18"/>
    </row>
    <row r="7114" spans="5:6" ht="15" customHeight="1" x14ac:dyDescent="0.2">
      <c r="E7114" s="18"/>
      <c r="F7114" s="18"/>
    </row>
    <row r="7115" spans="5:6" ht="15" customHeight="1" x14ac:dyDescent="0.2">
      <c r="E7115" s="18"/>
      <c r="F7115" s="18"/>
    </row>
    <row r="7116" spans="5:6" ht="15" customHeight="1" x14ac:dyDescent="0.2">
      <c r="E7116" s="18"/>
      <c r="F7116" s="18"/>
    </row>
    <row r="7117" spans="5:6" ht="15" customHeight="1" x14ac:dyDescent="0.2">
      <c r="E7117" s="18"/>
      <c r="F7117" s="18"/>
    </row>
    <row r="7118" spans="5:6" ht="15" customHeight="1" x14ac:dyDescent="0.2">
      <c r="E7118" s="18"/>
      <c r="F7118" s="18"/>
    </row>
    <row r="7119" spans="5:6" ht="15" customHeight="1" x14ac:dyDescent="0.2">
      <c r="E7119" s="18"/>
      <c r="F7119" s="18"/>
    </row>
    <row r="7120" spans="5:6" ht="15" customHeight="1" x14ac:dyDescent="0.2">
      <c r="E7120" s="18"/>
      <c r="F7120" s="18"/>
    </row>
    <row r="7121" spans="5:6" ht="15" customHeight="1" x14ac:dyDescent="0.2">
      <c r="E7121" s="18"/>
      <c r="F7121" s="18"/>
    </row>
    <row r="7122" spans="5:6" ht="15" customHeight="1" x14ac:dyDescent="0.2">
      <c r="E7122" s="18"/>
      <c r="F7122" s="18"/>
    </row>
    <row r="7123" spans="5:6" ht="15" customHeight="1" x14ac:dyDescent="0.2">
      <c r="E7123" s="18"/>
      <c r="F7123" s="18"/>
    </row>
    <row r="7124" spans="5:6" ht="15" customHeight="1" x14ac:dyDescent="0.2">
      <c r="E7124" s="18"/>
      <c r="F7124" s="18"/>
    </row>
    <row r="7125" spans="5:6" ht="15" customHeight="1" x14ac:dyDescent="0.2">
      <c r="E7125" s="18"/>
      <c r="F7125" s="18"/>
    </row>
    <row r="7126" spans="5:6" ht="15" customHeight="1" x14ac:dyDescent="0.2">
      <c r="E7126" s="18"/>
      <c r="F7126" s="18"/>
    </row>
    <row r="7127" spans="5:6" ht="15" customHeight="1" x14ac:dyDescent="0.2">
      <c r="E7127" s="18"/>
      <c r="F7127" s="18"/>
    </row>
    <row r="7128" spans="5:6" ht="15" customHeight="1" x14ac:dyDescent="0.2">
      <c r="E7128" s="18"/>
      <c r="F7128" s="18"/>
    </row>
    <row r="7129" spans="5:6" ht="15" customHeight="1" x14ac:dyDescent="0.2">
      <c r="E7129" s="18"/>
      <c r="F7129" s="18"/>
    </row>
    <row r="7130" spans="5:6" ht="15" customHeight="1" x14ac:dyDescent="0.2">
      <c r="E7130" s="18"/>
      <c r="F7130" s="18"/>
    </row>
    <row r="7131" spans="5:6" ht="15" customHeight="1" x14ac:dyDescent="0.2">
      <c r="E7131" s="18"/>
      <c r="F7131" s="18"/>
    </row>
    <row r="7132" spans="5:6" ht="15" customHeight="1" x14ac:dyDescent="0.2">
      <c r="E7132" s="18"/>
      <c r="F7132" s="18"/>
    </row>
    <row r="7133" spans="5:6" ht="15" customHeight="1" x14ac:dyDescent="0.2">
      <c r="E7133" s="18"/>
      <c r="F7133" s="18"/>
    </row>
    <row r="7134" spans="5:6" ht="15" customHeight="1" x14ac:dyDescent="0.2">
      <c r="E7134" s="18"/>
      <c r="F7134" s="18"/>
    </row>
    <row r="7135" spans="5:6" ht="15" customHeight="1" x14ac:dyDescent="0.2">
      <c r="E7135" s="18"/>
      <c r="F7135" s="18"/>
    </row>
    <row r="7136" spans="5:6" ht="15" customHeight="1" x14ac:dyDescent="0.2">
      <c r="E7136" s="18"/>
      <c r="F7136" s="18"/>
    </row>
    <row r="7137" spans="5:6" ht="15" customHeight="1" x14ac:dyDescent="0.2">
      <c r="E7137" s="18"/>
      <c r="F7137" s="18"/>
    </row>
    <row r="7138" spans="5:6" ht="15" customHeight="1" x14ac:dyDescent="0.2">
      <c r="E7138" s="18"/>
      <c r="F7138" s="18"/>
    </row>
    <row r="7139" spans="5:6" ht="15" customHeight="1" x14ac:dyDescent="0.2">
      <c r="E7139" s="18"/>
      <c r="F7139" s="18"/>
    </row>
    <row r="7140" spans="5:6" ht="15" customHeight="1" x14ac:dyDescent="0.2">
      <c r="E7140" s="18"/>
      <c r="F7140" s="18"/>
    </row>
    <row r="7141" spans="5:6" ht="15" customHeight="1" x14ac:dyDescent="0.2">
      <c r="E7141" s="18"/>
      <c r="F7141" s="18"/>
    </row>
    <row r="7142" spans="5:6" ht="15" customHeight="1" x14ac:dyDescent="0.2">
      <c r="E7142" s="18"/>
      <c r="F7142" s="18"/>
    </row>
    <row r="7143" spans="5:6" ht="15" customHeight="1" x14ac:dyDescent="0.2">
      <c r="E7143" s="18"/>
      <c r="F7143" s="18"/>
    </row>
    <row r="7144" spans="5:6" ht="15" customHeight="1" x14ac:dyDescent="0.2">
      <c r="E7144" s="18"/>
      <c r="F7144" s="18"/>
    </row>
    <row r="7145" spans="5:6" ht="15" customHeight="1" x14ac:dyDescent="0.2">
      <c r="E7145" s="18"/>
      <c r="F7145" s="18"/>
    </row>
    <row r="7146" spans="5:6" ht="15" customHeight="1" x14ac:dyDescent="0.2">
      <c r="E7146" s="18"/>
      <c r="F7146" s="18"/>
    </row>
    <row r="7147" spans="5:6" ht="15" customHeight="1" x14ac:dyDescent="0.2">
      <c r="E7147" s="18"/>
      <c r="F7147" s="18"/>
    </row>
    <row r="7148" spans="5:6" ht="15" customHeight="1" x14ac:dyDescent="0.2">
      <c r="E7148" s="18"/>
      <c r="F7148" s="18"/>
    </row>
    <row r="7149" spans="5:6" ht="15" customHeight="1" x14ac:dyDescent="0.2">
      <c r="E7149" s="18"/>
      <c r="F7149" s="18"/>
    </row>
    <row r="7150" spans="5:6" ht="15" customHeight="1" x14ac:dyDescent="0.2">
      <c r="E7150" s="18"/>
      <c r="F7150" s="18"/>
    </row>
    <row r="7151" spans="5:6" ht="15" customHeight="1" x14ac:dyDescent="0.2">
      <c r="E7151" s="18"/>
      <c r="F7151" s="18"/>
    </row>
    <row r="7152" spans="5:6" ht="15" customHeight="1" x14ac:dyDescent="0.2">
      <c r="E7152" s="18"/>
      <c r="F7152" s="18"/>
    </row>
    <row r="7153" spans="5:6" ht="15" customHeight="1" x14ac:dyDescent="0.2">
      <c r="E7153" s="18"/>
      <c r="F7153" s="18"/>
    </row>
    <row r="7154" spans="5:6" ht="15" customHeight="1" x14ac:dyDescent="0.2">
      <c r="E7154" s="18"/>
      <c r="F7154" s="18"/>
    </row>
    <row r="7155" spans="5:6" ht="15" customHeight="1" x14ac:dyDescent="0.2">
      <c r="E7155" s="18"/>
      <c r="F7155" s="18"/>
    </row>
    <row r="7156" spans="5:6" ht="15" customHeight="1" x14ac:dyDescent="0.2">
      <c r="E7156" s="18"/>
      <c r="F7156" s="18"/>
    </row>
    <row r="7157" spans="5:6" ht="15" customHeight="1" x14ac:dyDescent="0.2">
      <c r="E7157" s="18"/>
      <c r="F7157" s="18"/>
    </row>
    <row r="7158" spans="5:6" ht="15" customHeight="1" x14ac:dyDescent="0.2">
      <c r="E7158" s="18"/>
      <c r="F7158" s="18"/>
    </row>
    <row r="7159" spans="5:6" ht="15" customHeight="1" x14ac:dyDescent="0.2">
      <c r="E7159" s="18"/>
      <c r="F7159" s="18"/>
    </row>
    <row r="7160" spans="5:6" ht="15" customHeight="1" x14ac:dyDescent="0.2">
      <c r="E7160" s="18"/>
      <c r="F7160" s="18"/>
    </row>
    <row r="7161" spans="5:6" ht="15" customHeight="1" x14ac:dyDescent="0.2">
      <c r="E7161" s="18"/>
      <c r="F7161" s="18"/>
    </row>
    <row r="7162" spans="5:6" ht="15" customHeight="1" x14ac:dyDescent="0.2">
      <c r="E7162" s="18"/>
      <c r="F7162" s="18"/>
    </row>
    <row r="7163" spans="5:6" ht="15" customHeight="1" x14ac:dyDescent="0.2">
      <c r="E7163" s="18"/>
      <c r="F7163" s="18"/>
    </row>
    <row r="7164" spans="5:6" ht="15" customHeight="1" x14ac:dyDescent="0.2">
      <c r="E7164" s="18"/>
      <c r="F7164" s="18"/>
    </row>
    <row r="7165" spans="5:6" ht="15" customHeight="1" x14ac:dyDescent="0.2">
      <c r="E7165" s="18"/>
      <c r="F7165" s="18"/>
    </row>
    <row r="7166" spans="5:6" ht="15" customHeight="1" x14ac:dyDescent="0.2">
      <c r="E7166" s="18"/>
      <c r="F7166" s="18"/>
    </row>
    <row r="7167" spans="5:6" ht="15" customHeight="1" x14ac:dyDescent="0.2">
      <c r="E7167" s="18"/>
      <c r="F7167" s="18"/>
    </row>
    <row r="7168" spans="5:6" ht="15" customHeight="1" x14ac:dyDescent="0.2">
      <c r="E7168" s="18"/>
      <c r="F7168" s="18"/>
    </row>
    <row r="7169" spans="5:6" ht="15" customHeight="1" x14ac:dyDescent="0.2">
      <c r="E7169" s="18"/>
      <c r="F7169" s="18"/>
    </row>
    <row r="7170" spans="5:6" ht="15" customHeight="1" x14ac:dyDescent="0.2">
      <c r="E7170" s="18"/>
      <c r="F7170" s="18"/>
    </row>
    <row r="7171" spans="5:6" ht="15" customHeight="1" x14ac:dyDescent="0.2">
      <c r="E7171" s="18"/>
      <c r="F7171" s="18"/>
    </row>
    <row r="7172" spans="5:6" ht="15" customHeight="1" x14ac:dyDescent="0.2">
      <c r="E7172" s="18"/>
      <c r="F7172" s="18"/>
    </row>
    <row r="7173" spans="5:6" ht="15" customHeight="1" x14ac:dyDescent="0.2">
      <c r="E7173" s="18"/>
      <c r="F7173" s="18"/>
    </row>
    <row r="7174" spans="5:6" ht="15" customHeight="1" x14ac:dyDescent="0.2">
      <c r="E7174" s="18"/>
      <c r="F7174" s="18"/>
    </row>
    <row r="7175" spans="5:6" ht="15" customHeight="1" x14ac:dyDescent="0.2">
      <c r="E7175" s="18"/>
      <c r="F7175" s="18"/>
    </row>
    <row r="7176" spans="5:6" ht="15" customHeight="1" x14ac:dyDescent="0.2">
      <c r="E7176" s="18"/>
      <c r="F7176" s="18"/>
    </row>
    <row r="7177" spans="5:6" ht="15" customHeight="1" x14ac:dyDescent="0.2">
      <c r="E7177" s="18"/>
      <c r="F7177" s="18"/>
    </row>
    <row r="7178" spans="5:6" ht="15" customHeight="1" x14ac:dyDescent="0.2">
      <c r="E7178" s="18"/>
      <c r="F7178" s="18"/>
    </row>
    <row r="7179" spans="5:6" ht="15" customHeight="1" x14ac:dyDescent="0.2">
      <c r="E7179" s="18"/>
      <c r="F7179" s="18"/>
    </row>
    <row r="7180" spans="5:6" ht="15" customHeight="1" x14ac:dyDescent="0.2">
      <c r="E7180" s="18"/>
      <c r="F7180" s="18"/>
    </row>
    <row r="7181" spans="5:6" ht="15" customHeight="1" x14ac:dyDescent="0.2">
      <c r="E7181" s="18"/>
      <c r="F7181" s="18"/>
    </row>
    <row r="7182" spans="5:6" ht="15" customHeight="1" x14ac:dyDescent="0.2">
      <c r="E7182" s="18"/>
      <c r="F7182" s="18"/>
    </row>
    <row r="7183" spans="5:6" ht="15" customHeight="1" x14ac:dyDescent="0.2">
      <c r="E7183" s="18"/>
      <c r="F7183" s="18"/>
    </row>
    <row r="7184" spans="5:6" ht="15" customHeight="1" x14ac:dyDescent="0.2">
      <c r="E7184" s="18"/>
      <c r="F7184" s="18"/>
    </row>
    <row r="7185" spans="5:6" ht="15" customHeight="1" x14ac:dyDescent="0.2">
      <c r="E7185" s="18"/>
      <c r="F7185" s="18"/>
    </row>
    <row r="7186" spans="5:6" ht="15" customHeight="1" x14ac:dyDescent="0.2">
      <c r="E7186" s="18"/>
      <c r="F7186" s="18"/>
    </row>
    <row r="7187" spans="5:6" ht="15" customHeight="1" x14ac:dyDescent="0.2">
      <c r="E7187" s="18"/>
      <c r="F7187" s="18"/>
    </row>
    <row r="7188" spans="5:6" ht="15" customHeight="1" x14ac:dyDescent="0.2">
      <c r="E7188" s="18"/>
      <c r="F7188" s="18"/>
    </row>
    <row r="7189" spans="5:6" ht="15" customHeight="1" x14ac:dyDescent="0.2">
      <c r="E7189" s="18"/>
      <c r="F7189" s="18"/>
    </row>
    <row r="7190" spans="5:6" ht="15" customHeight="1" x14ac:dyDescent="0.2">
      <c r="E7190" s="18"/>
      <c r="F7190" s="18"/>
    </row>
    <row r="7191" spans="5:6" ht="15" customHeight="1" x14ac:dyDescent="0.2">
      <c r="E7191" s="18"/>
      <c r="F7191" s="18"/>
    </row>
    <row r="7192" spans="5:6" ht="15" customHeight="1" x14ac:dyDescent="0.2">
      <c r="E7192" s="18"/>
      <c r="F7192" s="18"/>
    </row>
    <row r="7193" spans="5:6" ht="15" customHeight="1" x14ac:dyDescent="0.2">
      <c r="E7193" s="18"/>
      <c r="F7193" s="18"/>
    </row>
    <row r="7194" spans="5:6" ht="15" customHeight="1" x14ac:dyDescent="0.2">
      <c r="E7194" s="18"/>
      <c r="F7194" s="18"/>
    </row>
    <row r="7195" spans="5:6" ht="15" customHeight="1" x14ac:dyDescent="0.2">
      <c r="E7195" s="18"/>
      <c r="F7195" s="18"/>
    </row>
    <row r="7196" spans="5:6" ht="15" customHeight="1" x14ac:dyDescent="0.2">
      <c r="E7196" s="18"/>
      <c r="F7196" s="18"/>
    </row>
    <row r="7197" spans="5:6" ht="15" customHeight="1" x14ac:dyDescent="0.2">
      <c r="E7197" s="18"/>
      <c r="F7197" s="18"/>
    </row>
    <row r="7198" spans="5:6" ht="15" customHeight="1" x14ac:dyDescent="0.2">
      <c r="E7198" s="18"/>
      <c r="F7198" s="18"/>
    </row>
    <row r="7199" spans="5:6" ht="15" customHeight="1" x14ac:dyDescent="0.2">
      <c r="E7199" s="18"/>
      <c r="F7199" s="18"/>
    </row>
    <row r="7200" spans="5:6" ht="15" customHeight="1" x14ac:dyDescent="0.2">
      <c r="E7200" s="18"/>
      <c r="F7200" s="18"/>
    </row>
    <row r="7201" spans="5:6" ht="15" customHeight="1" x14ac:dyDescent="0.2">
      <c r="E7201" s="18"/>
      <c r="F7201" s="18"/>
    </row>
    <row r="7202" spans="5:6" ht="15" customHeight="1" x14ac:dyDescent="0.2">
      <c r="E7202" s="18"/>
      <c r="F7202" s="18"/>
    </row>
    <row r="7203" spans="5:6" ht="15" customHeight="1" x14ac:dyDescent="0.2">
      <c r="E7203" s="18"/>
      <c r="F7203" s="18"/>
    </row>
    <row r="7204" spans="5:6" ht="15" customHeight="1" x14ac:dyDescent="0.2">
      <c r="E7204" s="18"/>
      <c r="F7204" s="18"/>
    </row>
    <row r="7205" spans="5:6" ht="15" customHeight="1" x14ac:dyDescent="0.2">
      <c r="E7205" s="18"/>
      <c r="F7205" s="18"/>
    </row>
    <row r="7206" spans="5:6" ht="15" customHeight="1" x14ac:dyDescent="0.2">
      <c r="E7206" s="18"/>
      <c r="F7206" s="18"/>
    </row>
    <row r="7207" spans="5:6" ht="15" customHeight="1" x14ac:dyDescent="0.2">
      <c r="E7207" s="18"/>
      <c r="F7207" s="18"/>
    </row>
    <row r="7208" spans="5:6" ht="15" customHeight="1" x14ac:dyDescent="0.2">
      <c r="E7208" s="18"/>
      <c r="F7208" s="18"/>
    </row>
    <row r="7209" spans="5:6" ht="15" customHeight="1" x14ac:dyDescent="0.2">
      <c r="E7209" s="18"/>
      <c r="F7209" s="18"/>
    </row>
    <row r="7210" spans="5:6" ht="15" customHeight="1" x14ac:dyDescent="0.2">
      <c r="E7210" s="18"/>
      <c r="F7210" s="18"/>
    </row>
    <row r="7211" spans="5:6" ht="15" customHeight="1" x14ac:dyDescent="0.2">
      <c r="E7211" s="18"/>
      <c r="F7211" s="18"/>
    </row>
    <row r="7212" spans="5:6" ht="15" customHeight="1" x14ac:dyDescent="0.2">
      <c r="E7212" s="18"/>
      <c r="F7212" s="18"/>
    </row>
    <row r="7213" spans="5:6" ht="15" customHeight="1" x14ac:dyDescent="0.2">
      <c r="E7213" s="18"/>
      <c r="F7213" s="18"/>
    </row>
    <row r="7214" spans="5:6" ht="15" customHeight="1" x14ac:dyDescent="0.2">
      <c r="E7214" s="18"/>
      <c r="F7214" s="18"/>
    </row>
    <row r="7215" spans="5:6" ht="15" customHeight="1" x14ac:dyDescent="0.2">
      <c r="E7215" s="18"/>
      <c r="F7215" s="18"/>
    </row>
    <row r="7216" spans="5:6" ht="15" customHeight="1" x14ac:dyDescent="0.2">
      <c r="E7216" s="18"/>
      <c r="F7216" s="18"/>
    </row>
    <row r="7217" spans="5:6" ht="15" customHeight="1" x14ac:dyDescent="0.2">
      <c r="E7217" s="18"/>
      <c r="F7217" s="18"/>
    </row>
    <row r="7218" spans="5:6" ht="15" customHeight="1" x14ac:dyDescent="0.2">
      <c r="E7218" s="18"/>
      <c r="F7218" s="18"/>
    </row>
    <row r="7219" spans="5:6" ht="15" customHeight="1" x14ac:dyDescent="0.2">
      <c r="E7219" s="18"/>
      <c r="F7219" s="18"/>
    </row>
    <row r="7220" spans="5:6" ht="15" customHeight="1" x14ac:dyDescent="0.2">
      <c r="E7220" s="18"/>
      <c r="F7220" s="18"/>
    </row>
    <row r="7221" spans="5:6" ht="15" customHeight="1" x14ac:dyDescent="0.2">
      <c r="E7221" s="18"/>
      <c r="F7221" s="18"/>
    </row>
    <row r="7222" spans="5:6" ht="15" customHeight="1" x14ac:dyDescent="0.2">
      <c r="E7222" s="18"/>
      <c r="F7222" s="18"/>
    </row>
    <row r="7223" spans="5:6" ht="15" customHeight="1" x14ac:dyDescent="0.2">
      <c r="E7223" s="18"/>
      <c r="F7223" s="18"/>
    </row>
    <row r="7224" spans="5:6" ht="15" customHeight="1" x14ac:dyDescent="0.2">
      <c r="E7224" s="18"/>
      <c r="F7224" s="18"/>
    </row>
    <row r="7225" spans="5:6" ht="15" customHeight="1" x14ac:dyDescent="0.2">
      <c r="E7225" s="18"/>
      <c r="F7225" s="18"/>
    </row>
    <row r="7226" spans="5:6" ht="15" customHeight="1" x14ac:dyDescent="0.2">
      <c r="E7226" s="18"/>
      <c r="F7226" s="18"/>
    </row>
    <row r="7227" spans="5:6" ht="15" customHeight="1" x14ac:dyDescent="0.2">
      <c r="E7227" s="18"/>
      <c r="F7227" s="18"/>
    </row>
    <row r="7228" spans="5:6" ht="15" customHeight="1" x14ac:dyDescent="0.2">
      <c r="E7228" s="18"/>
      <c r="F7228" s="18"/>
    </row>
    <row r="7229" spans="5:6" ht="15" customHeight="1" x14ac:dyDescent="0.2">
      <c r="E7229" s="18"/>
      <c r="F7229" s="18"/>
    </row>
    <row r="7230" spans="5:6" ht="15" customHeight="1" x14ac:dyDescent="0.2">
      <c r="E7230" s="18"/>
      <c r="F7230" s="18"/>
    </row>
    <row r="7231" spans="5:6" ht="15" customHeight="1" x14ac:dyDescent="0.2">
      <c r="E7231" s="18"/>
      <c r="F7231" s="18"/>
    </row>
    <row r="7232" spans="5:6" ht="15" customHeight="1" x14ac:dyDescent="0.2">
      <c r="E7232" s="18"/>
      <c r="F7232" s="18"/>
    </row>
    <row r="7233" spans="5:6" ht="15" customHeight="1" x14ac:dyDescent="0.2">
      <c r="E7233" s="18"/>
      <c r="F7233" s="18"/>
    </row>
    <row r="7234" spans="5:6" ht="15" customHeight="1" x14ac:dyDescent="0.2">
      <c r="E7234" s="18"/>
      <c r="F7234" s="18"/>
    </row>
    <row r="7235" spans="5:6" ht="15" customHeight="1" x14ac:dyDescent="0.2">
      <c r="E7235" s="18"/>
      <c r="F7235" s="18"/>
    </row>
    <row r="7236" spans="5:6" ht="15" customHeight="1" x14ac:dyDescent="0.2">
      <c r="E7236" s="18"/>
      <c r="F7236" s="18"/>
    </row>
    <row r="7237" spans="5:6" ht="15" customHeight="1" x14ac:dyDescent="0.2">
      <c r="E7237" s="18"/>
      <c r="F7237" s="18"/>
    </row>
    <row r="7238" spans="5:6" ht="15" customHeight="1" x14ac:dyDescent="0.2">
      <c r="E7238" s="18"/>
      <c r="F7238" s="18"/>
    </row>
    <row r="7239" spans="5:6" ht="15" customHeight="1" x14ac:dyDescent="0.2">
      <c r="E7239" s="18"/>
      <c r="F7239" s="18"/>
    </row>
    <row r="7240" spans="5:6" ht="15" customHeight="1" x14ac:dyDescent="0.2">
      <c r="E7240" s="18"/>
      <c r="F7240" s="18"/>
    </row>
    <row r="7241" spans="5:6" ht="15" customHeight="1" x14ac:dyDescent="0.2">
      <c r="E7241" s="18"/>
      <c r="F7241" s="18"/>
    </row>
    <row r="7242" spans="5:6" ht="15" customHeight="1" x14ac:dyDescent="0.2">
      <c r="E7242" s="18"/>
      <c r="F7242" s="18"/>
    </row>
    <row r="7243" spans="5:6" ht="15" customHeight="1" x14ac:dyDescent="0.2">
      <c r="E7243" s="18"/>
      <c r="F7243" s="18"/>
    </row>
    <row r="7244" spans="5:6" ht="15" customHeight="1" x14ac:dyDescent="0.2">
      <c r="E7244" s="18"/>
      <c r="F7244" s="18"/>
    </row>
    <row r="7245" spans="5:6" ht="15" customHeight="1" x14ac:dyDescent="0.2">
      <c r="E7245" s="18"/>
      <c r="F7245" s="18"/>
    </row>
    <row r="7246" spans="5:6" ht="15" customHeight="1" x14ac:dyDescent="0.2">
      <c r="E7246" s="18"/>
      <c r="F7246" s="18"/>
    </row>
    <row r="7247" spans="5:6" ht="15" customHeight="1" x14ac:dyDescent="0.2">
      <c r="E7247" s="18"/>
      <c r="F7247" s="18"/>
    </row>
    <row r="7248" spans="5:6" ht="15" customHeight="1" x14ac:dyDescent="0.2">
      <c r="E7248" s="18"/>
      <c r="F7248" s="18"/>
    </row>
    <row r="7249" spans="5:6" ht="15" customHeight="1" x14ac:dyDescent="0.2">
      <c r="E7249" s="18"/>
      <c r="F7249" s="18"/>
    </row>
    <row r="7250" spans="5:6" ht="15" customHeight="1" x14ac:dyDescent="0.2">
      <c r="E7250" s="18"/>
      <c r="F7250" s="18"/>
    </row>
    <row r="7251" spans="5:6" ht="15" customHeight="1" x14ac:dyDescent="0.2">
      <c r="E7251" s="18"/>
      <c r="F7251" s="18"/>
    </row>
    <row r="7252" spans="5:6" ht="15" customHeight="1" x14ac:dyDescent="0.2">
      <c r="E7252" s="18"/>
      <c r="F7252" s="18"/>
    </row>
    <row r="7253" spans="5:6" ht="15" customHeight="1" x14ac:dyDescent="0.2">
      <c r="E7253" s="18"/>
      <c r="F7253" s="18"/>
    </row>
    <row r="7254" spans="5:6" ht="15" customHeight="1" x14ac:dyDescent="0.2">
      <c r="E7254" s="18"/>
      <c r="F7254" s="18"/>
    </row>
    <row r="7255" spans="5:6" ht="15" customHeight="1" x14ac:dyDescent="0.2">
      <c r="E7255" s="18"/>
      <c r="F7255" s="18"/>
    </row>
    <row r="7256" spans="5:6" ht="15" customHeight="1" x14ac:dyDescent="0.2">
      <c r="E7256" s="18"/>
      <c r="F7256" s="18"/>
    </row>
    <row r="7257" spans="5:6" ht="15" customHeight="1" x14ac:dyDescent="0.2">
      <c r="E7257" s="18"/>
      <c r="F7257" s="18"/>
    </row>
    <row r="7258" spans="5:6" ht="15" customHeight="1" x14ac:dyDescent="0.2">
      <c r="E7258" s="18"/>
      <c r="F7258" s="18"/>
    </row>
    <row r="7259" spans="5:6" ht="15" customHeight="1" x14ac:dyDescent="0.2">
      <c r="E7259" s="18"/>
      <c r="F7259" s="18"/>
    </row>
    <row r="7260" spans="5:6" ht="15" customHeight="1" x14ac:dyDescent="0.2">
      <c r="E7260" s="18"/>
      <c r="F7260" s="18"/>
    </row>
    <row r="7261" spans="5:6" ht="15" customHeight="1" x14ac:dyDescent="0.2">
      <c r="E7261" s="18"/>
      <c r="F7261" s="18"/>
    </row>
    <row r="7262" spans="5:6" ht="15" customHeight="1" x14ac:dyDescent="0.2">
      <c r="E7262" s="18"/>
      <c r="F7262" s="18"/>
    </row>
    <row r="7263" spans="5:6" ht="15" customHeight="1" x14ac:dyDescent="0.2">
      <c r="E7263" s="18"/>
      <c r="F7263" s="18"/>
    </row>
    <row r="7264" spans="5:6" ht="15" customHeight="1" x14ac:dyDescent="0.2">
      <c r="E7264" s="18"/>
      <c r="F7264" s="18"/>
    </row>
    <row r="7265" spans="5:6" ht="15" customHeight="1" x14ac:dyDescent="0.2">
      <c r="E7265" s="18"/>
      <c r="F7265" s="18"/>
    </row>
    <row r="7266" spans="5:6" ht="15" customHeight="1" x14ac:dyDescent="0.2">
      <c r="E7266" s="18"/>
      <c r="F7266" s="18"/>
    </row>
    <row r="7267" spans="5:6" ht="15" customHeight="1" x14ac:dyDescent="0.2">
      <c r="E7267" s="18"/>
      <c r="F7267" s="18"/>
    </row>
    <row r="7268" spans="5:6" ht="15" customHeight="1" x14ac:dyDescent="0.2">
      <c r="E7268" s="18"/>
      <c r="F7268" s="18"/>
    </row>
    <row r="7269" spans="5:6" ht="15" customHeight="1" x14ac:dyDescent="0.2">
      <c r="E7269" s="18"/>
      <c r="F7269" s="18"/>
    </row>
    <row r="7270" spans="5:6" ht="15" customHeight="1" x14ac:dyDescent="0.2">
      <c r="E7270" s="18"/>
      <c r="F7270" s="18"/>
    </row>
    <row r="7271" spans="5:6" ht="15" customHeight="1" x14ac:dyDescent="0.2">
      <c r="E7271" s="18"/>
      <c r="F7271" s="18"/>
    </row>
    <row r="7272" spans="5:6" ht="15" customHeight="1" x14ac:dyDescent="0.2">
      <c r="E7272" s="18"/>
      <c r="F7272" s="18"/>
    </row>
    <row r="7273" spans="5:6" ht="15" customHeight="1" x14ac:dyDescent="0.2">
      <c r="E7273" s="18"/>
      <c r="F7273" s="18"/>
    </row>
    <row r="7274" spans="5:6" ht="15" customHeight="1" x14ac:dyDescent="0.2">
      <c r="E7274" s="18"/>
      <c r="F7274" s="18"/>
    </row>
    <row r="7275" spans="5:6" ht="15" customHeight="1" x14ac:dyDescent="0.2">
      <c r="E7275" s="18"/>
      <c r="F7275" s="18"/>
    </row>
    <row r="7276" spans="5:6" ht="15" customHeight="1" x14ac:dyDescent="0.2">
      <c r="E7276" s="18"/>
      <c r="F7276" s="18"/>
    </row>
    <row r="7277" spans="5:6" ht="15" customHeight="1" x14ac:dyDescent="0.2">
      <c r="E7277" s="18"/>
      <c r="F7277" s="18"/>
    </row>
    <row r="7278" spans="5:6" ht="15" customHeight="1" x14ac:dyDescent="0.2">
      <c r="E7278" s="18"/>
      <c r="F7278" s="18"/>
    </row>
    <row r="7279" spans="5:6" ht="15" customHeight="1" x14ac:dyDescent="0.2">
      <c r="E7279" s="18"/>
      <c r="F7279" s="18"/>
    </row>
    <row r="7280" spans="5:6" ht="15" customHeight="1" x14ac:dyDescent="0.2">
      <c r="E7280" s="18"/>
      <c r="F7280" s="18"/>
    </row>
    <row r="7281" spans="5:6" ht="15" customHeight="1" x14ac:dyDescent="0.2">
      <c r="E7281" s="18"/>
      <c r="F7281" s="18"/>
    </row>
    <row r="7282" spans="5:6" ht="15" customHeight="1" x14ac:dyDescent="0.2">
      <c r="E7282" s="18"/>
      <c r="F7282" s="18"/>
    </row>
    <row r="7283" spans="5:6" ht="15" customHeight="1" x14ac:dyDescent="0.2">
      <c r="E7283" s="18"/>
      <c r="F7283" s="18"/>
    </row>
    <row r="7284" spans="5:6" ht="15" customHeight="1" x14ac:dyDescent="0.2">
      <c r="E7284" s="18"/>
      <c r="F7284" s="18"/>
    </row>
    <row r="7285" spans="5:6" ht="15" customHeight="1" x14ac:dyDescent="0.2">
      <c r="E7285" s="18"/>
      <c r="F7285" s="18"/>
    </row>
    <row r="7286" spans="5:6" ht="15" customHeight="1" x14ac:dyDescent="0.2">
      <c r="E7286" s="18"/>
      <c r="F7286" s="18"/>
    </row>
    <row r="7287" spans="5:6" ht="15" customHeight="1" x14ac:dyDescent="0.2">
      <c r="E7287" s="18"/>
      <c r="F7287" s="18"/>
    </row>
    <row r="7288" spans="5:6" ht="15" customHeight="1" x14ac:dyDescent="0.2">
      <c r="E7288" s="18"/>
      <c r="F7288" s="18"/>
    </row>
    <row r="7289" spans="5:6" ht="15" customHeight="1" x14ac:dyDescent="0.2">
      <c r="E7289" s="18"/>
      <c r="F7289" s="18"/>
    </row>
    <row r="7290" spans="5:6" ht="15" customHeight="1" x14ac:dyDescent="0.2">
      <c r="E7290" s="18"/>
      <c r="F7290" s="18"/>
    </row>
    <row r="7291" spans="5:6" ht="15" customHeight="1" x14ac:dyDescent="0.2">
      <c r="E7291" s="18"/>
      <c r="F7291" s="18"/>
    </row>
    <row r="7292" spans="5:6" ht="15" customHeight="1" x14ac:dyDescent="0.2">
      <c r="E7292" s="18"/>
      <c r="F7292" s="18"/>
    </row>
    <row r="7293" spans="5:6" ht="15" customHeight="1" x14ac:dyDescent="0.2">
      <c r="E7293" s="18"/>
      <c r="F7293" s="18"/>
    </row>
    <row r="7294" spans="5:6" ht="15" customHeight="1" x14ac:dyDescent="0.2">
      <c r="E7294" s="18"/>
      <c r="F7294" s="18"/>
    </row>
    <row r="7295" spans="5:6" ht="15" customHeight="1" x14ac:dyDescent="0.2">
      <c r="E7295" s="18"/>
      <c r="F7295" s="18"/>
    </row>
    <row r="7296" spans="5:6" ht="15" customHeight="1" x14ac:dyDescent="0.2">
      <c r="E7296" s="18"/>
      <c r="F7296" s="18"/>
    </row>
    <row r="7297" spans="5:6" ht="15" customHeight="1" x14ac:dyDescent="0.2">
      <c r="E7297" s="18"/>
      <c r="F7297" s="18"/>
    </row>
    <row r="7298" spans="5:6" ht="15" customHeight="1" x14ac:dyDescent="0.2">
      <c r="E7298" s="18"/>
      <c r="F7298" s="18"/>
    </row>
    <row r="7299" spans="5:6" ht="15" customHeight="1" x14ac:dyDescent="0.2">
      <c r="E7299" s="18"/>
      <c r="F7299" s="18"/>
    </row>
    <row r="7300" spans="5:6" ht="15" customHeight="1" x14ac:dyDescent="0.2">
      <c r="E7300" s="18"/>
      <c r="F7300" s="18"/>
    </row>
    <row r="7301" spans="5:6" ht="15" customHeight="1" x14ac:dyDescent="0.2">
      <c r="E7301" s="18"/>
      <c r="F7301" s="18"/>
    </row>
    <row r="7302" spans="5:6" ht="15" customHeight="1" x14ac:dyDescent="0.2">
      <c r="E7302" s="18"/>
      <c r="F7302" s="18"/>
    </row>
    <row r="7303" spans="5:6" ht="15" customHeight="1" x14ac:dyDescent="0.2">
      <c r="E7303" s="18"/>
      <c r="F7303" s="18"/>
    </row>
    <row r="7304" spans="5:6" ht="15" customHeight="1" x14ac:dyDescent="0.2">
      <c r="E7304" s="18"/>
      <c r="F7304" s="18"/>
    </row>
    <row r="7305" spans="5:6" ht="15" customHeight="1" x14ac:dyDescent="0.2">
      <c r="E7305" s="18"/>
      <c r="F7305" s="18"/>
    </row>
    <row r="7306" spans="5:6" ht="15" customHeight="1" x14ac:dyDescent="0.2">
      <c r="E7306" s="18"/>
      <c r="F7306" s="18"/>
    </row>
    <row r="7307" spans="5:6" ht="15" customHeight="1" x14ac:dyDescent="0.2">
      <c r="E7307" s="18"/>
      <c r="F7307" s="18"/>
    </row>
    <row r="7308" spans="5:6" ht="15" customHeight="1" x14ac:dyDescent="0.2">
      <c r="E7308" s="18"/>
      <c r="F7308" s="18"/>
    </row>
    <row r="7309" spans="5:6" ht="15" customHeight="1" x14ac:dyDescent="0.2">
      <c r="E7309" s="18"/>
      <c r="F7309" s="18"/>
    </row>
    <row r="7310" spans="5:6" ht="15" customHeight="1" x14ac:dyDescent="0.2">
      <c r="E7310" s="18"/>
      <c r="F7310" s="18"/>
    </row>
    <row r="7311" spans="5:6" ht="15" customHeight="1" x14ac:dyDescent="0.2">
      <c r="E7311" s="18"/>
      <c r="F7311" s="18"/>
    </row>
    <row r="7312" spans="5:6" ht="15" customHeight="1" x14ac:dyDescent="0.2">
      <c r="E7312" s="18"/>
      <c r="F7312" s="18"/>
    </row>
    <row r="7313" spans="5:6" ht="15" customHeight="1" x14ac:dyDescent="0.2">
      <c r="E7313" s="18"/>
      <c r="F7313" s="18"/>
    </row>
    <row r="7314" spans="5:6" ht="15" customHeight="1" x14ac:dyDescent="0.2">
      <c r="E7314" s="18"/>
      <c r="F7314" s="18"/>
    </row>
    <row r="7315" spans="5:6" ht="15" customHeight="1" x14ac:dyDescent="0.2">
      <c r="E7315" s="18"/>
      <c r="F7315" s="18"/>
    </row>
    <row r="7316" spans="5:6" ht="15" customHeight="1" x14ac:dyDescent="0.2">
      <c r="E7316" s="18"/>
      <c r="F7316" s="18"/>
    </row>
    <row r="7317" spans="5:6" ht="15" customHeight="1" x14ac:dyDescent="0.2">
      <c r="E7317" s="18"/>
      <c r="F7317" s="18"/>
    </row>
    <row r="7318" spans="5:6" ht="15" customHeight="1" x14ac:dyDescent="0.2">
      <c r="E7318" s="18"/>
      <c r="F7318" s="18"/>
    </row>
    <row r="7319" spans="5:6" ht="15" customHeight="1" x14ac:dyDescent="0.2">
      <c r="E7319" s="18"/>
      <c r="F7319" s="18"/>
    </row>
    <row r="7320" spans="5:6" ht="15" customHeight="1" x14ac:dyDescent="0.2">
      <c r="E7320" s="18"/>
      <c r="F7320" s="18"/>
    </row>
    <row r="7321" spans="5:6" ht="15" customHeight="1" x14ac:dyDescent="0.2">
      <c r="E7321" s="18"/>
      <c r="F7321" s="18"/>
    </row>
    <row r="7322" spans="5:6" ht="15" customHeight="1" x14ac:dyDescent="0.2">
      <c r="E7322" s="18"/>
      <c r="F7322" s="18"/>
    </row>
    <row r="7323" spans="5:6" ht="15" customHeight="1" x14ac:dyDescent="0.2">
      <c r="E7323" s="18"/>
      <c r="F7323" s="18"/>
    </row>
    <row r="7324" spans="5:6" ht="15" customHeight="1" x14ac:dyDescent="0.2">
      <c r="E7324" s="18"/>
      <c r="F7324" s="18"/>
    </row>
    <row r="7325" spans="5:6" ht="15" customHeight="1" x14ac:dyDescent="0.2">
      <c r="E7325" s="18"/>
      <c r="F7325" s="18"/>
    </row>
    <row r="7326" spans="5:6" ht="15" customHeight="1" x14ac:dyDescent="0.2">
      <c r="E7326" s="18"/>
      <c r="F7326" s="18"/>
    </row>
    <row r="7327" spans="5:6" ht="15" customHeight="1" x14ac:dyDescent="0.2">
      <c r="E7327" s="18"/>
      <c r="F7327" s="18"/>
    </row>
    <row r="7328" spans="5:6" ht="15" customHeight="1" x14ac:dyDescent="0.2">
      <c r="E7328" s="18"/>
      <c r="F7328" s="18"/>
    </row>
    <row r="7329" spans="5:6" ht="15" customHeight="1" x14ac:dyDescent="0.2">
      <c r="E7329" s="18"/>
      <c r="F7329" s="18"/>
    </row>
    <row r="7330" spans="5:6" ht="15" customHeight="1" x14ac:dyDescent="0.2">
      <c r="E7330" s="18"/>
      <c r="F7330" s="18"/>
    </row>
    <row r="7331" spans="5:6" ht="15" customHeight="1" x14ac:dyDescent="0.2">
      <c r="E7331" s="18"/>
      <c r="F7331" s="18"/>
    </row>
    <row r="7332" spans="5:6" ht="15" customHeight="1" x14ac:dyDescent="0.2">
      <c r="E7332" s="18"/>
      <c r="F7332" s="18"/>
    </row>
    <row r="7333" spans="5:6" ht="15" customHeight="1" x14ac:dyDescent="0.2">
      <c r="E7333" s="18"/>
      <c r="F7333" s="18"/>
    </row>
    <row r="7334" spans="5:6" ht="15" customHeight="1" x14ac:dyDescent="0.2">
      <c r="E7334" s="18"/>
      <c r="F7334" s="18"/>
    </row>
    <row r="7335" spans="5:6" ht="15" customHeight="1" x14ac:dyDescent="0.2">
      <c r="E7335" s="18"/>
      <c r="F7335" s="18"/>
    </row>
    <row r="7336" spans="5:6" ht="15" customHeight="1" x14ac:dyDescent="0.2">
      <c r="E7336" s="18"/>
      <c r="F7336" s="18"/>
    </row>
    <row r="7337" spans="5:6" ht="15" customHeight="1" x14ac:dyDescent="0.2">
      <c r="E7337" s="18"/>
      <c r="F7337" s="18"/>
    </row>
    <row r="7338" spans="5:6" ht="15" customHeight="1" x14ac:dyDescent="0.2">
      <c r="E7338" s="18"/>
      <c r="F7338" s="18"/>
    </row>
    <row r="7339" spans="5:6" ht="15" customHeight="1" x14ac:dyDescent="0.2">
      <c r="E7339" s="18"/>
      <c r="F7339" s="18"/>
    </row>
    <row r="7340" spans="5:6" ht="15" customHeight="1" x14ac:dyDescent="0.2">
      <c r="E7340" s="18"/>
      <c r="F7340" s="18"/>
    </row>
    <row r="7341" spans="5:6" ht="15" customHeight="1" x14ac:dyDescent="0.2">
      <c r="E7341" s="18"/>
      <c r="F7341" s="18"/>
    </row>
    <row r="7342" spans="5:6" ht="15" customHeight="1" x14ac:dyDescent="0.2">
      <c r="E7342" s="18"/>
      <c r="F7342" s="18"/>
    </row>
    <row r="7343" spans="5:6" ht="15" customHeight="1" x14ac:dyDescent="0.2">
      <c r="E7343" s="18"/>
      <c r="F7343" s="18"/>
    </row>
    <row r="7344" spans="5:6" ht="15" customHeight="1" x14ac:dyDescent="0.2">
      <c r="E7344" s="18"/>
      <c r="F7344" s="18"/>
    </row>
    <row r="7345" spans="5:6" ht="15" customHeight="1" x14ac:dyDescent="0.2">
      <c r="E7345" s="18"/>
      <c r="F7345" s="18"/>
    </row>
    <row r="7346" spans="5:6" ht="15" customHeight="1" x14ac:dyDescent="0.2">
      <c r="E7346" s="18"/>
      <c r="F7346" s="18"/>
    </row>
    <row r="7347" spans="5:6" ht="15" customHeight="1" x14ac:dyDescent="0.2">
      <c r="E7347" s="18"/>
      <c r="F7347" s="18"/>
    </row>
    <row r="7348" spans="5:6" ht="15" customHeight="1" x14ac:dyDescent="0.2">
      <c r="E7348" s="18"/>
      <c r="F7348" s="18"/>
    </row>
    <row r="7349" spans="5:6" ht="15" customHeight="1" x14ac:dyDescent="0.2">
      <c r="E7349" s="18"/>
      <c r="F7349" s="18"/>
    </row>
    <row r="7350" spans="5:6" ht="15" customHeight="1" x14ac:dyDescent="0.2">
      <c r="E7350" s="18"/>
      <c r="F7350" s="18"/>
    </row>
    <row r="7351" spans="5:6" ht="15" customHeight="1" x14ac:dyDescent="0.2">
      <c r="E7351" s="18"/>
      <c r="F7351" s="18"/>
    </row>
    <row r="7352" spans="5:6" ht="15" customHeight="1" x14ac:dyDescent="0.2">
      <c r="E7352" s="18"/>
      <c r="F7352" s="18"/>
    </row>
    <row r="7353" spans="5:6" ht="15" customHeight="1" x14ac:dyDescent="0.2">
      <c r="E7353" s="18"/>
      <c r="F7353" s="18"/>
    </row>
    <row r="7354" spans="5:6" ht="15" customHeight="1" x14ac:dyDescent="0.2">
      <c r="E7354" s="18"/>
      <c r="F7354" s="18"/>
    </row>
    <row r="7355" spans="5:6" ht="15" customHeight="1" x14ac:dyDescent="0.2">
      <c r="E7355" s="18"/>
      <c r="F7355" s="18"/>
    </row>
    <row r="7356" spans="5:6" ht="15" customHeight="1" x14ac:dyDescent="0.2">
      <c r="E7356" s="18"/>
      <c r="F7356" s="18"/>
    </row>
    <row r="7357" spans="5:6" ht="15" customHeight="1" x14ac:dyDescent="0.2">
      <c r="E7357" s="18"/>
      <c r="F7357" s="18"/>
    </row>
    <row r="7358" spans="5:6" ht="15" customHeight="1" x14ac:dyDescent="0.2">
      <c r="E7358" s="18"/>
      <c r="F7358" s="18"/>
    </row>
    <row r="7359" spans="5:6" ht="15" customHeight="1" x14ac:dyDescent="0.2">
      <c r="E7359" s="18"/>
      <c r="F7359" s="18"/>
    </row>
    <row r="7360" spans="5:6" ht="15" customHeight="1" x14ac:dyDescent="0.2">
      <c r="E7360" s="18"/>
      <c r="F7360" s="18"/>
    </row>
    <row r="7361" spans="5:6" ht="15" customHeight="1" x14ac:dyDescent="0.2">
      <c r="E7361" s="18"/>
      <c r="F7361" s="18"/>
    </row>
    <row r="7362" spans="5:6" ht="15" customHeight="1" x14ac:dyDescent="0.2">
      <c r="E7362" s="18"/>
      <c r="F7362" s="18"/>
    </row>
    <row r="7363" spans="5:6" ht="15" customHeight="1" x14ac:dyDescent="0.2">
      <c r="E7363" s="18"/>
      <c r="F7363" s="18"/>
    </row>
    <row r="7364" spans="5:6" ht="15" customHeight="1" x14ac:dyDescent="0.2">
      <c r="E7364" s="18"/>
      <c r="F7364" s="18"/>
    </row>
    <row r="7365" spans="5:6" ht="15" customHeight="1" x14ac:dyDescent="0.2">
      <c r="E7365" s="18"/>
      <c r="F7365" s="18"/>
    </row>
    <row r="7366" spans="5:6" ht="15" customHeight="1" x14ac:dyDescent="0.2">
      <c r="E7366" s="18"/>
      <c r="F7366" s="18"/>
    </row>
    <row r="7367" spans="5:6" ht="15" customHeight="1" x14ac:dyDescent="0.2">
      <c r="E7367" s="18"/>
      <c r="F7367" s="18"/>
    </row>
    <row r="7368" spans="5:6" ht="15" customHeight="1" x14ac:dyDescent="0.2">
      <c r="E7368" s="18"/>
      <c r="F7368" s="18"/>
    </row>
    <row r="7369" spans="5:6" ht="15" customHeight="1" x14ac:dyDescent="0.2">
      <c r="E7369" s="18"/>
      <c r="F7369" s="18"/>
    </row>
    <row r="7370" spans="5:6" ht="15" customHeight="1" x14ac:dyDescent="0.2">
      <c r="E7370" s="18"/>
      <c r="F7370" s="18"/>
    </row>
    <row r="7371" spans="5:6" ht="15" customHeight="1" x14ac:dyDescent="0.2">
      <c r="E7371" s="18"/>
      <c r="F7371" s="18"/>
    </row>
    <row r="7372" spans="5:6" ht="15" customHeight="1" x14ac:dyDescent="0.2">
      <c r="E7372" s="18"/>
      <c r="F7372" s="18"/>
    </row>
    <row r="7373" spans="5:6" ht="15" customHeight="1" x14ac:dyDescent="0.2">
      <c r="E7373" s="18"/>
      <c r="F7373" s="18"/>
    </row>
    <row r="7374" spans="5:6" ht="15" customHeight="1" x14ac:dyDescent="0.2">
      <c r="E7374" s="18"/>
      <c r="F7374" s="18"/>
    </row>
    <row r="7375" spans="5:6" ht="15" customHeight="1" x14ac:dyDescent="0.2">
      <c r="E7375" s="18"/>
      <c r="F7375" s="18"/>
    </row>
    <row r="7376" spans="5:6" ht="15" customHeight="1" x14ac:dyDescent="0.2">
      <c r="E7376" s="18"/>
      <c r="F7376" s="18"/>
    </row>
    <row r="7377" spans="5:6" ht="15" customHeight="1" x14ac:dyDescent="0.2">
      <c r="E7377" s="18"/>
      <c r="F7377" s="18"/>
    </row>
    <row r="7378" spans="5:6" ht="15" customHeight="1" x14ac:dyDescent="0.2">
      <c r="E7378" s="18"/>
      <c r="F7378" s="18"/>
    </row>
    <row r="7379" spans="5:6" ht="15" customHeight="1" x14ac:dyDescent="0.2">
      <c r="E7379" s="18"/>
      <c r="F7379" s="18"/>
    </row>
    <row r="7380" spans="5:6" ht="15" customHeight="1" x14ac:dyDescent="0.2">
      <c r="E7380" s="18"/>
      <c r="F7380" s="18"/>
    </row>
    <row r="7381" spans="5:6" ht="15" customHeight="1" x14ac:dyDescent="0.2">
      <c r="E7381" s="18"/>
      <c r="F7381" s="18"/>
    </row>
    <row r="7382" spans="5:6" ht="15" customHeight="1" x14ac:dyDescent="0.2">
      <c r="E7382" s="18"/>
      <c r="F7382" s="18"/>
    </row>
    <row r="7383" spans="5:6" ht="15" customHeight="1" x14ac:dyDescent="0.2">
      <c r="E7383" s="18"/>
      <c r="F7383" s="18"/>
    </row>
    <row r="7384" spans="5:6" ht="15" customHeight="1" x14ac:dyDescent="0.2">
      <c r="E7384" s="18"/>
      <c r="F7384" s="18"/>
    </row>
    <row r="7385" spans="5:6" ht="15" customHeight="1" x14ac:dyDescent="0.2">
      <c r="E7385" s="18"/>
      <c r="F7385" s="18"/>
    </row>
    <row r="7386" spans="5:6" ht="15" customHeight="1" x14ac:dyDescent="0.2">
      <c r="E7386" s="18"/>
      <c r="F7386" s="18"/>
    </row>
    <row r="7387" spans="5:6" ht="15" customHeight="1" x14ac:dyDescent="0.2">
      <c r="E7387" s="18"/>
      <c r="F7387" s="18"/>
    </row>
    <row r="7388" spans="5:6" ht="15" customHeight="1" x14ac:dyDescent="0.2">
      <c r="E7388" s="18"/>
      <c r="F7388" s="18"/>
    </row>
    <row r="7389" spans="5:6" ht="15" customHeight="1" x14ac:dyDescent="0.2">
      <c r="E7389" s="18"/>
      <c r="F7389" s="18"/>
    </row>
    <row r="7390" spans="5:6" ht="15" customHeight="1" x14ac:dyDescent="0.2">
      <c r="E7390" s="18"/>
      <c r="F7390" s="18"/>
    </row>
    <row r="7391" spans="5:6" ht="15" customHeight="1" x14ac:dyDescent="0.2">
      <c r="E7391" s="18"/>
      <c r="F7391" s="18"/>
    </row>
    <row r="7392" spans="5:6" ht="15" customHeight="1" x14ac:dyDescent="0.2">
      <c r="E7392" s="18"/>
      <c r="F7392" s="18"/>
    </row>
    <row r="7393" spans="5:6" ht="15" customHeight="1" x14ac:dyDescent="0.2">
      <c r="E7393" s="18"/>
      <c r="F7393" s="18"/>
    </row>
    <row r="7394" spans="5:6" ht="15" customHeight="1" x14ac:dyDescent="0.2">
      <c r="E7394" s="18"/>
      <c r="F7394" s="18"/>
    </row>
    <row r="7395" spans="5:6" ht="15" customHeight="1" x14ac:dyDescent="0.2">
      <c r="E7395" s="18"/>
      <c r="F7395" s="18"/>
    </row>
    <row r="7396" spans="5:6" ht="15" customHeight="1" x14ac:dyDescent="0.2">
      <c r="E7396" s="18"/>
      <c r="F7396" s="18"/>
    </row>
    <row r="7397" spans="5:6" ht="15" customHeight="1" x14ac:dyDescent="0.2">
      <c r="E7397" s="18"/>
      <c r="F7397" s="18"/>
    </row>
    <row r="7398" spans="5:6" ht="15" customHeight="1" x14ac:dyDescent="0.2">
      <c r="E7398" s="18"/>
      <c r="F7398" s="18"/>
    </row>
    <row r="7399" spans="5:6" ht="15" customHeight="1" x14ac:dyDescent="0.2">
      <c r="E7399" s="18"/>
      <c r="F7399" s="18"/>
    </row>
    <row r="7400" spans="5:6" ht="15" customHeight="1" x14ac:dyDescent="0.2">
      <c r="E7400" s="18"/>
      <c r="F7400" s="18"/>
    </row>
    <row r="7401" spans="5:6" ht="15" customHeight="1" x14ac:dyDescent="0.2">
      <c r="E7401" s="18"/>
      <c r="F7401" s="18"/>
    </row>
    <row r="7402" spans="5:6" ht="15" customHeight="1" x14ac:dyDescent="0.2">
      <c r="E7402" s="18"/>
      <c r="F7402" s="18"/>
    </row>
    <row r="7403" spans="5:6" ht="15" customHeight="1" x14ac:dyDescent="0.2">
      <c r="E7403" s="18"/>
      <c r="F7403" s="18"/>
    </row>
    <row r="7404" spans="5:6" ht="15" customHeight="1" x14ac:dyDescent="0.2">
      <c r="E7404" s="18"/>
      <c r="F7404" s="18"/>
    </row>
    <row r="7405" spans="5:6" ht="15" customHeight="1" x14ac:dyDescent="0.2">
      <c r="E7405" s="18"/>
      <c r="F7405" s="18"/>
    </row>
    <row r="7406" spans="5:6" ht="15" customHeight="1" x14ac:dyDescent="0.2">
      <c r="E7406" s="18"/>
      <c r="F7406" s="18"/>
    </row>
    <row r="7407" spans="5:6" ht="15" customHeight="1" x14ac:dyDescent="0.2">
      <c r="E7407" s="18"/>
      <c r="F7407" s="18"/>
    </row>
    <row r="7408" spans="5:6" ht="15" customHeight="1" x14ac:dyDescent="0.2">
      <c r="E7408" s="18"/>
      <c r="F7408" s="18"/>
    </row>
    <row r="7409" spans="5:6" ht="15" customHeight="1" x14ac:dyDescent="0.2">
      <c r="E7409" s="18"/>
      <c r="F7409" s="18"/>
    </row>
    <row r="7410" spans="5:6" ht="15" customHeight="1" x14ac:dyDescent="0.2">
      <c r="E7410" s="18"/>
      <c r="F7410" s="18"/>
    </row>
    <row r="7411" spans="5:6" ht="15" customHeight="1" x14ac:dyDescent="0.2">
      <c r="E7411" s="18"/>
      <c r="F7411" s="18"/>
    </row>
    <row r="7412" spans="5:6" ht="15" customHeight="1" x14ac:dyDescent="0.2">
      <c r="E7412" s="18"/>
      <c r="F7412" s="18"/>
    </row>
    <row r="7413" spans="5:6" ht="15" customHeight="1" x14ac:dyDescent="0.2">
      <c r="E7413" s="18"/>
      <c r="F7413" s="18"/>
    </row>
    <row r="7414" spans="5:6" ht="15" customHeight="1" x14ac:dyDescent="0.2">
      <c r="E7414" s="18"/>
      <c r="F7414" s="18"/>
    </row>
    <row r="7415" spans="5:6" ht="15" customHeight="1" x14ac:dyDescent="0.2">
      <c r="E7415" s="18"/>
      <c r="F7415" s="18"/>
    </row>
    <row r="7416" spans="5:6" ht="15" customHeight="1" x14ac:dyDescent="0.2">
      <c r="E7416" s="18"/>
      <c r="F7416" s="18"/>
    </row>
    <row r="7417" spans="5:6" ht="15" customHeight="1" x14ac:dyDescent="0.2">
      <c r="E7417" s="18"/>
      <c r="F7417" s="18"/>
    </row>
    <row r="7418" spans="5:6" ht="15" customHeight="1" x14ac:dyDescent="0.2">
      <c r="E7418" s="18"/>
      <c r="F7418" s="18"/>
    </row>
    <row r="7419" spans="5:6" ht="15" customHeight="1" x14ac:dyDescent="0.2">
      <c r="E7419" s="18"/>
      <c r="F7419" s="18"/>
    </row>
    <row r="7420" spans="5:6" ht="15" customHeight="1" x14ac:dyDescent="0.2">
      <c r="E7420" s="18"/>
      <c r="F7420" s="18"/>
    </row>
    <row r="7421" spans="5:6" ht="15" customHeight="1" x14ac:dyDescent="0.2">
      <c r="E7421" s="18"/>
      <c r="F7421" s="18"/>
    </row>
    <row r="7422" spans="5:6" ht="15" customHeight="1" x14ac:dyDescent="0.2">
      <c r="E7422" s="18"/>
      <c r="F7422" s="18"/>
    </row>
    <row r="7423" spans="5:6" ht="15" customHeight="1" x14ac:dyDescent="0.2">
      <c r="E7423" s="18"/>
      <c r="F7423" s="18"/>
    </row>
    <row r="7424" spans="5:6" ht="15" customHeight="1" x14ac:dyDescent="0.2">
      <c r="E7424" s="18"/>
      <c r="F7424" s="18"/>
    </row>
    <row r="7425" spans="5:6" ht="15" customHeight="1" x14ac:dyDescent="0.2">
      <c r="E7425" s="18"/>
      <c r="F7425" s="18"/>
    </row>
    <row r="7426" spans="5:6" ht="15" customHeight="1" x14ac:dyDescent="0.2">
      <c r="E7426" s="18"/>
      <c r="F7426" s="18"/>
    </row>
    <row r="7427" spans="5:6" ht="15" customHeight="1" x14ac:dyDescent="0.2">
      <c r="E7427" s="18"/>
      <c r="F7427" s="18"/>
    </row>
    <row r="7428" spans="5:6" ht="15" customHeight="1" x14ac:dyDescent="0.2">
      <c r="E7428" s="18"/>
      <c r="F7428" s="18"/>
    </row>
    <row r="7429" spans="5:6" ht="15" customHeight="1" x14ac:dyDescent="0.2">
      <c r="E7429" s="18"/>
      <c r="F7429" s="18"/>
    </row>
    <row r="7430" spans="5:6" ht="15" customHeight="1" x14ac:dyDescent="0.2">
      <c r="E7430" s="18"/>
      <c r="F7430" s="18"/>
    </row>
    <row r="7431" spans="5:6" ht="15" customHeight="1" x14ac:dyDescent="0.2">
      <c r="E7431" s="18"/>
      <c r="F7431" s="18"/>
    </row>
    <row r="7432" spans="5:6" ht="15" customHeight="1" x14ac:dyDescent="0.2">
      <c r="E7432" s="18"/>
      <c r="F7432" s="18"/>
    </row>
    <row r="7433" spans="5:6" ht="15" customHeight="1" x14ac:dyDescent="0.2">
      <c r="E7433" s="18"/>
      <c r="F7433" s="18"/>
    </row>
    <row r="7434" spans="5:6" ht="15" customHeight="1" x14ac:dyDescent="0.2">
      <c r="E7434" s="18"/>
      <c r="F7434" s="18"/>
    </row>
    <row r="7435" spans="5:6" ht="15" customHeight="1" x14ac:dyDescent="0.2">
      <c r="E7435" s="18"/>
      <c r="F7435" s="18"/>
    </row>
    <row r="7436" spans="5:6" ht="15" customHeight="1" x14ac:dyDescent="0.2">
      <c r="E7436" s="18"/>
      <c r="F7436" s="18"/>
    </row>
    <row r="7437" spans="5:6" ht="15" customHeight="1" x14ac:dyDescent="0.2">
      <c r="E7437" s="18"/>
      <c r="F7437" s="18"/>
    </row>
    <row r="7438" spans="5:6" ht="15" customHeight="1" x14ac:dyDescent="0.2">
      <c r="E7438" s="18"/>
      <c r="F7438" s="18"/>
    </row>
    <row r="7439" spans="5:6" ht="15" customHeight="1" x14ac:dyDescent="0.2">
      <c r="E7439" s="18"/>
      <c r="F7439" s="18"/>
    </row>
    <row r="7440" spans="5:6" ht="15" customHeight="1" x14ac:dyDescent="0.2">
      <c r="E7440" s="18"/>
      <c r="F7440" s="18"/>
    </row>
    <row r="7441" spans="5:6" ht="15" customHeight="1" x14ac:dyDescent="0.2">
      <c r="E7441" s="18"/>
      <c r="F7441" s="18"/>
    </row>
    <row r="7442" spans="5:6" ht="15" customHeight="1" x14ac:dyDescent="0.2">
      <c r="E7442" s="18"/>
      <c r="F7442" s="18"/>
    </row>
    <row r="7443" spans="5:6" ht="15" customHeight="1" x14ac:dyDescent="0.2">
      <c r="E7443" s="18"/>
      <c r="F7443" s="18"/>
    </row>
    <row r="7444" spans="5:6" ht="15" customHeight="1" x14ac:dyDescent="0.2">
      <c r="E7444" s="18"/>
      <c r="F7444" s="18"/>
    </row>
    <row r="7445" spans="5:6" ht="15" customHeight="1" x14ac:dyDescent="0.2">
      <c r="E7445" s="18"/>
      <c r="F7445" s="18"/>
    </row>
    <row r="7446" spans="5:6" ht="15" customHeight="1" x14ac:dyDescent="0.2">
      <c r="E7446" s="18"/>
      <c r="F7446" s="18"/>
    </row>
    <row r="7447" spans="5:6" ht="15" customHeight="1" x14ac:dyDescent="0.2">
      <c r="E7447" s="18"/>
      <c r="F7447" s="18"/>
    </row>
    <row r="7448" spans="5:6" ht="15" customHeight="1" x14ac:dyDescent="0.2">
      <c r="E7448" s="18"/>
      <c r="F7448" s="18"/>
    </row>
    <row r="7449" spans="5:6" ht="15" customHeight="1" x14ac:dyDescent="0.2">
      <c r="E7449" s="18"/>
      <c r="F7449" s="18"/>
    </row>
    <row r="7450" spans="5:6" ht="15" customHeight="1" x14ac:dyDescent="0.2">
      <c r="E7450" s="18"/>
      <c r="F7450" s="18"/>
    </row>
    <row r="7451" spans="5:6" ht="15" customHeight="1" x14ac:dyDescent="0.2">
      <c r="E7451" s="18"/>
      <c r="F7451" s="18"/>
    </row>
    <row r="7452" spans="5:6" ht="15" customHeight="1" x14ac:dyDescent="0.2">
      <c r="E7452" s="18"/>
      <c r="F7452" s="18"/>
    </row>
    <row r="7453" spans="5:6" ht="15" customHeight="1" x14ac:dyDescent="0.2">
      <c r="E7453" s="18"/>
      <c r="F7453" s="18"/>
    </row>
    <row r="7454" spans="5:6" ht="15" customHeight="1" x14ac:dyDescent="0.2">
      <c r="E7454" s="18"/>
      <c r="F7454" s="18"/>
    </row>
    <row r="7455" spans="5:6" ht="15" customHeight="1" x14ac:dyDescent="0.2">
      <c r="E7455" s="18"/>
      <c r="F7455" s="18"/>
    </row>
    <row r="7456" spans="5:6" ht="15" customHeight="1" x14ac:dyDescent="0.2">
      <c r="E7456" s="18"/>
      <c r="F7456" s="18"/>
    </row>
    <row r="7457" spans="5:6" ht="15" customHeight="1" x14ac:dyDescent="0.2">
      <c r="E7457" s="18"/>
      <c r="F7457" s="18"/>
    </row>
    <row r="7458" spans="5:6" ht="15" customHeight="1" x14ac:dyDescent="0.2">
      <c r="E7458" s="18"/>
      <c r="F7458" s="18"/>
    </row>
    <row r="7459" spans="5:6" ht="15" customHeight="1" x14ac:dyDescent="0.2">
      <c r="E7459" s="18"/>
      <c r="F7459" s="18"/>
    </row>
    <row r="7460" spans="5:6" ht="15" customHeight="1" x14ac:dyDescent="0.2">
      <c r="E7460" s="18"/>
      <c r="F7460" s="18"/>
    </row>
    <row r="7461" spans="5:6" ht="15" customHeight="1" x14ac:dyDescent="0.2">
      <c r="E7461" s="18"/>
      <c r="F7461" s="18"/>
    </row>
    <row r="7462" spans="5:6" ht="15" customHeight="1" x14ac:dyDescent="0.2">
      <c r="E7462" s="18"/>
      <c r="F7462" s="18"/>
    </row>
    <row r="7463" spans="5:6" ht="15" customHeight="1" x14ac:dyDescent="0.2">
      <c r="E7463" s="18"/>
      <c r="F7463" s="18"/>
    </row>
    <row r="7464" spans="5:6" ht="15" customHeight="1" x14ac:dyDescent="0.2">
      <c r="E7464" s="18"/>
      <c r="F7464" s="18"/>
    </row>
    <row r="7465" spans="5:6" ht="15" customHeight="1" x14ac:dyDescent="0.2">
      <c r="E7465" s="18"/>
      <c r="F7465" s="18"/>
    </row>
    <row r="7466" spans="5:6" ht="15" customHeight="1" x14ac:dyDescent="0.2">
      <c r="E7466" s="18"/>
      <c r="F7466" s="18"/>
    </row>
    <row r="7467" spans="5:6" ht="15" customHeight="1" x14ac:dyDescent="0.2">
      <c r="E7467" s="18"/>
      <c r="F7467" s="18"/>
    </row>
    <row r="7468" spans="5:6" ht="15" customHeight="1" x14ac:dyDescent="0.2">
      <c r="E7468" s="18"/>
      <c r="F7468" s="18"/>
    </row>
    <row r="7469" spans="5:6" ht="15" customHeight="1" x14ac:dyDescent="0.2">
      <c r="E7469" s="18"/>
      <c r="F7469" s="18"/>
    </row>
    <row r="7470" spans="5:6" ht="15" customHeight="1" x14ac:dyDescent="0.2">
      <c r="E7470" s="18"/>
      <c r="F7470" s="18"/>
    </row>
    <row r="7471" spans="5:6" ht="15" customHeight="1" x14ac:dyDescent="0.2">
      <c r="E7471" s="18"/>
      <c r="F7471" s="18"/>
    </row>
    <row r="7472" spans="5:6" ht="15" customHeight="1" x14ac:dyDescent="0.2">
      <c r="E7472" s="18"/>
      <c r="F7472" s="18"/>
    </row>
    <row r="7473" spans="5:6" ht="15" customHeight="1" x14ac:dyDescent="0.2">
      <c r="E7473" s="18"/>
      <c r="F7473" s="18"/>
    </row>
    <row r="7474" spans="5:6" ht="15" customHeight="1" x14ac:dyDescent="0.2">
      <c r="E7474" s="18"/>
      <c r="F7474" s="18"/>
    </row>
    <row r="7475" spans="5:6" ht="15" customHeight="1" x14ac:dyDescent="0.2">
      <c r="E7475" s="18"/>
      <c r="F7475" s="18"/>
    </row>
    <row r="7476" spans="5:6" ht="15" customHeight="1" x14ac:dyDescent="0.2">
      <c r="E7476" s="18"/>
      <c r="F7476" s="18"/>
    </row>
    <row r="7477" spans="5:6" ht="15" customHeight="1" x14ac:dyDescent="0.2">
      <c r="E7477" s="18"/>
      <c r="F7477" s="18"/>
    </row>
    <row r="7478" spans="5:6" ht="15" customHeight="1" x14ac:dyDescent="0.2">
      <c r="E7478" s="18"/>
      <c r="F7478" s="18"/>
    </row>
    <row r="7479" spans="5:6" ht="15" customHeight="1" x14ac:dyDescent="0.2">
      <c r="E7479" s="18"/>
      <c r="F7479" s="18"/>
    </row>
    <row r="7480" spans="5:6" ht="15" customHeight="1" x14ac:dyDescent="0.2">
      <c r="E7480" s="18"/>
      <c r="F7480" s="18"/>
    </row>
    <row r="7481" spans="5:6" ht="15" customHeight="1" x14ac:dyDescent="0.2">
      <c r="E7481" s="18"/>
      <c r="F7481" s="18"/>
    </row>
    <row r="7482" spans="5:6" ht="15" customHeight="1" x14ac:dyDescent="0.2">
      <c r="E7482" s="18"/>
      <c r="F7482" s="18"/>
    </row>
    <row r="7483" spans="5:6" ht="15" customHeight="1" x14ac:dyDescent="0.2">
      <c r="E7483" s="18"/>
      <c r="F7483" s="18"/>
    </row>
    <row r="7484" spans="5:6" ht="15" customHeight="1" x14ac:dyDescent="0.2">
      <c r="E7484" s="18"/>
      <c r="F7484" s="18"/>
    </row>
    <row r="7485" spans="5:6" ht="15" customHeight="1" x14ac:dyDescent="0.2">
      <c r="E7485" s="18"/>
      <c r="F7485" s="18"/>
    </row>
    <row r="7486" spans="5:6" ht="15" customHeight="1" x14ac:dyDescent="0.2">
      <c r="E7486" s="18"/>
      <c r="F7486" s="18"/>
    </row>
    <row r="7487" spans="5:6" ht="15" customHeight="1" x14ac:dyDescent="0.2">
      <c r="E7487" s="18"/>
      <c r="F7487" s="18"/>
    </row>
    <row r="7488" spans="5:6" ht="15" customHeight="1" x14ac:dyDescent="0.2">
      <c r="E7488" s="18"/>
      <c r="F7488" s="18"/>
    </row>
    <row r="7489" spans="5:6" ht="15" customHeight="1" x14ac:dyDescent="0.2">
      <c r="E7489" s="18"/>
      <c r="F7489" s="18"/>
    </row>
    <row r="7490" spans="5:6" ht="15" customHeight="1" x14ac:dyDescent="0.2">
      <c r="E7490" s="18"/>
      <c r="F7490" s="18"/>
    </row>
    <row r="7491" spans="5:6" ht="15" customHeight="1" x14ac:dyDescent="0.2">
      <c r="E7491" s="18"/>
      <c r="F7491" s="18"/>
    </row>
    <row r="7492" spans="5:6" ht="15" customHeight="1" x14ac:dyDescent="0.2">
      <c r="E7492" s="18"/>
      <c r="F7492" s="18"/>
    </row>
    <row r="7493" spans="5:6" ht="15" customHeight="1" x14ac:dyDescent="0.2">
      <c r="E7493" s="18"/>
      <c r="F7493" s="18"/>
    </row>
    <row r="7494" spans="5:6" ht="15" customHeight="1" x14ac:dyDescent="0.2">
      <c r="E7494" s="18"/>
      <c r="F7494" s="18"/>
    </row>
    <row r="7495" spans="5:6" ht="15" customHeight="1" x14ac:dyDescent="0.2">
      <c r="E7495" s="18"/>
      <c r="F7495" s="18"/>
    </row>
    <row r="7496" spans="5:6" ht="15" customHeight="1" x14ac:dyDescent="0.2">
      <c r="E7496" s="18"/>
      <c r="F7496" s="18"/>
    </row>
    <row r="7497" spans="5:6" ht="15" customHeight="1" x14ac:dyDescent="0.2">
      <c r="E7497" s="18"/>
      <c r="F7497" s="18"/>
    </row>
    <row r="7498" spans="5:6" ht="15" customHeight="1" x14ac:dyDescent="0.2">
      <c r="E7498" s="18"/>
      <c r="F7498" s="18"/>
    </row>
    <row r="7499" spans="5:6" ht="15" customHeight="1" x14ac:dyDescent="0.2">
      <c r="E7499" s="18"/>
      <c r="F7499" s="18"/>
    </row>
    <row r="7500" spans="5:6" ht="15" customHeight="1" x14ac:dyDescent="0.2">
      <c r="E7500" s="18"/>
      <c r="F7500" s="18"/>
    </row>
    <row r="7501" spans="5:6" ht="15" customHeight="1" x14ac:dyDescent="0.2">
      <c r="E7501" s="18"/>
      <c r="F7501" s="18"/>
    </row>
    <row r="7502" spans="5:6" ht="15" customHeight="1" x14ac:dyDescent="0.2">
      <c r="E7502" s="18"/>
      <c r="F7502" s="18"/>
    </row>
    <row r="7503" spans="5:6" ht="15" customHeight="1" x14ac:dyDescent="0.2">
      <c r="E7503" s="18"/>
      <c r="F7503" s="18"/>
    </row>
    <row r="7504" spans="5:6" ht="15" customHeight="1" x14ac:dyDescent="0.2">
      <c r="E7504" s="18"/>
      <c r="F7504" s="18"/>
    </row>
    <row r="7505" spans="5:6" ht="15" customHeight="1" x14ac:dyDescent="0.2">
      <c r="E7505" s="18"/>
      <c r="F7505" s="18"/>
    </row>
    <row r="7506" spans="5:6" ht="15" customHeight="1" x14ac:dyDescent="0.2">
      <c r="E7506" s="18"/>
      <c r="F7506" s="18"/>
    </row>
    <row r="7507" spans="5:6" ht="15" customHeight="1" x14ac:dyDescent="0.2">
      <c r="E7507" s="18"/>
      <c r="F7507" s="18"/>
    </row>
    <row r="7508" spans="5:6" ht="15" customHeight="1" x14ac:dyDescent="0.2">
      <c r="E7508" s="18"/>
      <c r="F7508" s="18"/>
    </row>
    <row r="7509" spans="5:6" ht="15" customHeight="1" x14ac:dyDescent="0.2">
      <c r="E7509" s="18"/>
      <c r="F7509" s="18"/>
    </row>
    <row r="7510" spans="5:6" ht="15" customHeight="1" x14ac:dyDescent="0.2">
      <c r="E7510" s="18"/>
      <c r="F7510" s="18"/>
    </row>
    <row r="7511" spans="5:6" ht="15" customHeight="1" x14ac:dyDescent="0.2">
      <c r="E7511" s="18"/>
      <c r="F7511" s="18"/>
    </row>
    <row r="7512" spans="5:6" ht="15" customHeight="1" x14ac:dyDescent="0.2">
      <c r="E7512" s="18"/>
      <c r="F7512" s="18"/>
    </row>
    <row r="7513" spans="5:6" ht="15" customHeight="1" x14ac:dyDescent="0.2">
      <c r="E7513" s="18"/>
      <c r="F7513" s="18"/>
    </row>
    <row r="7514" spans="5:6" ht="15" customHeight="1" x14ac:dyDescent="0.2">
      <c r="E7514" s="18"/>
      <c r="F7514" s="18"/>
    </row>
    <row r="7515" spans="5:6" ht="15" customHeight="1" x14ac:dyDescent="0.2">
      <c r="E7515" s="18"/>
      <c r="F7515" s="18"/>
    </row>
    <row r="7516" spans="5:6" ht="15" customHeight="1" x14ac:dyDescent="0.2">
      <c r="E7516" s="18"/>
      <c r="F7516" s="18"/>
    </row>
    <row r="7517" spans="5:6" ht="15" customHeight="1" x14ac:dyDescent="0.2">
      <c r="E7517" s="18"/>
      <c r="F7517" s="18"/>
    </row>
    <row r="7518" spans="5:6" ht="15" customHeight="1" x14ac:dyDescent="0.2">
      <c r="E7518" s="18"/>
      <c r="F7518" s="18"/>
    </row>
    <row r="7519" spans="5:6" ht="15" customHeight="1" x14ac:dyDescent="0.2">
      <c r="E7519" s="18"/>
      <c r="F7519" s="18"/>
    </row>
    <row r="7520" spans="5:6" ht="15" customHeight="1" x14ac:dyDescent="0.2">
      <c r="E7520" s="18"/>
      <c r="F7520" s="18"/>
    </row>
    <row r="7521" spans="5:6" ht="15" customHeight="1" x14ac:dyDescent="0.2">
      <c r="E7521" s="18"/>
      <c r="F7521" s="18"/>
    </row>
    <row r="7522" spans="5:6" ht="15" customHeight="1" x14ac:dyDescent="0.2">
      <c r="E7522" s="18"/>
      <c r="F7522" s="18"/>
    </row>
    <row r="7523" spans="5:6" ht="15" customHeight="1" x14ac:dyDescent="0.2">
      <c r="E7523" s="18"/>
      <c r="F7523" s="18"/>
    </row>
    <row r="7524" spans="5:6" ht="15" customHeight="1" x14ac:dyDescent="0.2">
      <c r="E7524" s="18"/>
      <c r="F7524" s="18"/>
    </row>
    <row r="7525" spans="5:6" ht="15" customHeight="1" x14ac:dyDescent="0.2">
      <c r="E7525" s="18"/>
      <c r="F7525" s="18"/>
    </row>
    <row r="7526" spans="5:6" ht="15" customHeight="1" x14ac:dyDescent="0.2">
      <c r="E7526" s="18"/>
      <c r="F7526" s="18"/>
    </row>
    <row r="7527" spans="5:6" ht="15" customHeight="1" x14ac:dyDescent="0.2">
      <c r="E7527" s="18"/>
      <c r="F7527" s="18"/>
    </row>
    <row r="7528" spans="5:6" ht="15" customHeight="1" x14ac:dyDescent="0.2">
      <c r="E7528" s="18"/>
      <c r="F7528" s="18"/>
    </row>
    <row r="7529" spans="5:6" ht="15" customHeight="1" x14ac:dyDescent="0.2">
      <c r="E7529" s="18"/>
      <c r="F7529" s="18"/>
    </row>
    <row r="7530" spans="5:6" ht="15" customHeight="1" x14ac:dyDescent="0.2">
      <c r="E7530" s="18"/>
      <c r="F7530" s="18"/>
    </row>
    <row r="7531" spans="5:6" ht="15" customHeight="1" x14ac:dyDescent="0.2">
      <c r="E7531" s="18"/>
      <c r="F7531" s="18"/>
    </row>
    <row r="7532" spans="5:6" ht="15" customHeight="1" x14ac:dyDescent="0.2">
      <c r="E7532" s="18"/>
      <c r="F7532" s="18"/>
    </row>
    <row r="7533" spans="5:6" ht="15" customHeight="1" x14ac:dyDescent="0.2">
      <c r="E7533" s="18"/>
      <c r="F7533" s="18"/>
    </row>
    <row r="7534" spans="5:6" ht="15" customHeight="1" x14ac:dyDescent="0.2">
      <c r="E7534" s="18"/>
      <c r="F7534" s="18"/>
    </row>
    <row r="7535" spans="5:6" ht="15" customHeight="1" x14ac:dyDescent="0.2">
      <c r="E7535" s="18"/>
      <c r="F7535" s="18"/>
    </row>
    <row r="7536" spans="5:6" ht="15" customHeight="1" x14ac:dyDescent="0.2">
      <c r="E7536" s="18"/>
      <c r="F7536" s="18"/>
    </row>
    <row r="7537" spans="5:6" ht="15" customHeight="1" x14ac:dyDescent="0.2">
      <c r="E7537" s="18"/>
      <c r="F7537" s="18"/>
    </row>
    <row r="7538" spans="5:6" ht="15" customHeight="1" x14ac:dyDescent="0.2">
      <c r="E7538" s="18"/>
      <c r="F7538" s="18"/>
    </row>
    <row r="7539" spans="5:6" ht="15" customHeight="1" x14ac:dyDescent="0.2">
      <c r="E7539" s="18"/>
      <c r="F7539" s="18"/>
    </row>
    <row r="7540" spans="5:6" ht="15" customHeight="1" x14ac:dyDescent="0.2">
      <c r="E7540" s="18"/>
      <c r="F7540" s="18"/>
    </row>
    <row r="7541" spans="5:6" ht="15" customHeight="1" x14ac:dyDescent="0.2">
      <c r="E7541" s="18"/>
      <c r="F7541" s="18"/>
    </row>
    <row r="7542" spans="5:6" ht="15" customHeight="1" x14ac:dyDescent="0.2">
      <c r="E7542" s="18"/>
      <c r="F7542" s="18"/>
    </row>
    <row r="7543" spans="5:6" ht="15" customHeight="1" x14ac:dyDescent="0.2">
      <c r="E7543" s="18"/>
      <c r="F7543" s="18"/>
    </row>
    <row r="7544" spans="5:6" ht="15" customHeight="1" x14ac:dyDescent="0.2">
      <c r="E7544" s="18"/>
      <c r="F7544" s="18"/>
    </row>
    <row r="7545" spans="5:6" ht="15" customHeight="1" x14ac:dyDescent="0.2">
      <c r="E7545" s="18"/>
      <c r="F7545" s="18"/>
    </row>
    <row r="7546" spans="5:6" ht="15" customHeight="1" x14ac:dyDescent="0.2">
      <c r="E7546" s="18"/>
      <c r="F7546" s="18"/>
    </row>
    <row r="7547" spans="5:6" ht="15" customHeight="1" x14ac:dyDescent="0.2">
      <c r="E7547" s="18"/>
      <c r="F7547" s="18"/>
    </row>
    <row r="7548" spans="5:6" ht="15" customHeight="1" x14ac:dyDescent="0.2">
      <c r="E7548" s="18"/>
      <c r="F7548" s="18"/>
    </row>
    <row r="7549" spans="5:6" ht="15" customHeight="1" x14ac:dyDescent="0.2">
      <c r="E7549" s="18"/>
      <c r="F7549" s="18"/>
    </row>
    <row r="7550" spans="5:6" ht="15" customHeight="1" x14ac:dyDescent="0.2">
      <c r="E7550" s="18"/>
      <c r="F7550" s="18"/>
    </row>
    <row r="7551" spans="5:6" ht="15" customHeight="1" x14ac:dyDescent="0.2">
      <c r="E7551" s="18"/>
      <c r="F7551" s="18"/>
    </row>
    <row r="7552" spans="5:6" ht="15" customHeight="1" x14ac:dyDescent="0.2">
      <c r="E7552" s="18"/>
      <c r="F7552" s="18"/>
    </row>
    <row r="7553" spans="5:6" ht="15" customHeight="1" x14ac:dyDescent="0.2">
      <c r="E7553" s="18"/>
      <c r="F7553" s="18"/>
    </row>
    <row r="7554" spans="5:6" ht="15" customHeight="1" x14ac:dyDescent="0.2">
      <c r="E7554" s="18"/>
      <c r="F7554" s="18"/>
    </row>
    <row r="7555" spans="5:6" ht="15" customHeight="1" x14ac:dyDescent="0.2">
      <c r="E7555" s="18"/>
      <c r="F7555" s="18"/>
    </row>
    <row r="7556" spans="5:6" ht="15" customHeight="1" x14ac:dyDescent="0.2">
      <c r="E7556" s="18"/>
      <c r="F7556" s="18"/>
    </row>
    <row r="7557" spans="5:6" ht="15" customHeight="1" x14ac:dyDescent="0.2">
      <c r="E7557" s="18"/>
      <c r="F7557" s="18"/>
    </row>
    <row r="7558" spans="5:6" ht="15" customHeight="1" x14ac:dyDescent="0.2">
      <c r="E7558" s="18"/>
      <c r="F7558" s="18"/>
    </row>
    <row r="7559" spans="5:6" ht="15" customHeight="1" x14ac:dyDescent="0.2">
      <c r="E7559" s="18"/>
      <c r="F7559" s="18"/>
    </row>
    <row r="7560" spans="5:6" ht="15" customHeight="1" x14ac:dyDescent="0.2">
      <c r="E7560" s="18"/>
      <c r="F7560" s="18"/>
    </row>
    <row r="7561" spans="5:6" ht="15" customHeight="1" x14ac:dyDescent="0.2">
      <c r="E7561" s="18"/>
      <c r="F7561" s="18"/>
    </row>
    <row r="7562" spans="5:6" ht="15" customHeight="1" x14ac:dyDescent="0.2">
      <c r="E7562" s="18"/>
      <c r="F7562" s="18"/>
    </row>
    <row r="7563" spans="5:6" ht="15" customHeight="1" x14ac:dyDescent="0.2">
      <c r="E7563" s="18"/>
      <c r="F7563" s="18"/>
    </row>
    <row r="7564" spans="5:6" ht="15" customHeight="1" x14ac:dyDescent="0.2">
      <c r="E7564" s="18"/>
      <c r="F7564" s="18"/>
    </row>
    <row r="7565" spans="5:6" ht="15" customHeight="1" x14ac:dyDescent="0.2">
      <c r="E7565" s="18"/>
      <c r="F7565" s="18"/>
    </row>
    <row r="7566" spans="5:6" ht="15" customHeight="1" x14ac:dyDescent="0.2">
      <c r="E7566" s="18"/>
      <c r="F7566" s="18"/>
    </row>
    <row r="7567" spans="5:6" ht="15" customHeight="1" x14ac:dyDescent="0.2">
      <c r="E7567" s="18"/>
      <c r="F7567" s="18"/>
    </row>
    <row r="7568" spans="5:6" ht="15" customHeight="1" x14ac:dyDescent="0.2">
      <c r="E7568" s="18"/>
      <c r="F7568" s="18"/>
    </row>
    <row r="7569" spans="5:6" ht="15" customHeight="1" x14ac:dyDescent="0.2">
      <c r="E7569" s="18"/>
      <c r="F7569" s="18"/>
    </row>
    <row r="7570" spans="5:6" ht="15" customHeight="1" x14ac:dyDescent="0.2">
      <c r="E7570" s="18"/>
      <c r="F7570" s="18"/>
    </row>
    <row r="7571" spans="5:6" ht="15" customHeight="1" x14ac:dyDescent="0.2">
      <c r="E7571" s="18"/>
      <c r="F7571" s="18"/>
    </row>
    <row r="7572" spans="5:6" ht="15" customHeight="1" x14ac:dyDescent="0.2">
      <c r="E7572" s="18"/>
      <c r="F7572" s="18"/>
    </row>
    <row r="7573" spans="5:6" ht="15" customHeight="1" x14ac:dyDescent="0.2">
      <c r="E7573" s="18"/>
      <c r="F7573" s="18"/>
    </row>
    <row r="7574" spans="5:6" ht="15" customHeight="1" x14ac:dyDescent="0.2">
      <c r="E7574" s="18"/>
      <c r="F7574" s="18"/>
    </row>
    <row r="7575" spans="5:6" ht="15" customHeight="1" x14ac:dyDescent="0.2">
      <c r="E7575" s="18"/>
      <c r="F7575" s="18"/>
    </row>
    <row r="7576" spans="5:6" ht="15" customHeight="1" x14ac:dyDescent="0.2">
      <c r="E7576" s="18"/>
      <c r="F7576" s="18"/>
    </row>
    <row r="7577" spans="5:6" ht="15" customHeight="1" x14ac:dyDescent="0.2">
      <c r="E7577" s="18"/>
      <c r="F7577" s="18"/>
    </row>
    <row r="7578" spans="5:6" ht="15" customHeight="1" x14ac:dyDescent="0.2">
      <c r="E7578" s="18"/>
      <c r="F7578" s="18"/>
    </row>
    <row r="7579" spans="5:6" ht="15" customHeight="1" x14ac:dyDescent="0.2">
      <c r="E7579" s="18"/>
      <c r="F7579" s="18"/>
    </row>
    <row r="7580" spans="5:6" ht="15" customHeight="1" x14ac:dyDescent="0.2">
      <c r="E7580" s="18"/>
      <c r="F7580" s="18"/>
    </row>
    <row r="7581" spans="5:6" ht="15" customHeight="1" x14ac:dyDescent="0.2">
      <c r="E7581" s="18"/>
      <c r="F7581" s="18"/>
    </row>
    <row r="7582" spans="5:6" ht="15" customHeight="1" x14ac:dyDescent="0.2">
      <c r="E7582" s="18"/>
      <c r="F7582" s="18"/>
    </row>
    <row r="7583" spans="5:6" ht="15" customHeight="1" x14ac:dyDescent="0.2">
      <c r="E7583" s="18"/>
      <c r="F7583" s="18"/>
    </row>
    <row r="7584" spans="5:6" ht="15" customHeight="1" x14ac:dyDescent="0.2">
      <c r="E7584" s="18"/>
      <c r="F7584" s="18"/>
    </row>
    <row r="7585" spans="5:6" ht="15" customHeight="1" x14ac:dyDescent="0.2">
      <c r="E7585" s="18"/>
      <c r="F7585" s="18"/>
    </row>
    <row r="7586" spans="5:6" ht="15" customHeight="1" x14ac:dyDescent="0.2">
      <c r="E7586" s="18"/>
      <c r="F7586" s="18"/>
    </row>
    <row r="7587" spans="5:6" ht="15" customHeight="1" x14ac:dyDescent="0.2">
      <c r="E7587" s="18"/>
      <c r="F7587" s="18"/>
    </row>
    <row r="7588" spans="5:6" ht="15" customHeight="1" x14ac:dyDescent="0.2">
      <c r="E7588" s="18"/>
      <c r="F7588" s="18"/>
    </row>
    <row r="7589" spans="5:6" ht="15" customHeight="1" x14ac:dyDescent="0.2">
      <c r="E7589" s="18"/>
      <c r="F7589" s="18"/>
    </row>
    <row r="7590" spans="5:6" ht="15" customHeight="1" x14ac:dyDescent="0.2">
      <c r="E7590" s="18"/>
      <c r="F7590" s="18"/>
    </row>
    <row r="7591" spans="5:6" ht="15" customHeight="1" x14ac:dyDescent="0.2">
      <c r="E7591" s="18"/>
      <c r="F7591" s="18"/>
    </row>
    <row r="7592" spans="5:6" ht="15" customHeight="1" x14ac:dyDescent="0.2">
      <c r="E7592" s="18"/>
      <c r="F7592" s="18"/>
    </row>
    <row r="7593" spans="5:6" ht="15" customHeight="1" x14ac:dyDescent="0.2">
      <c r="E7593" s="18"/>
      <c r="F7593" s="18"/>
    </row>
    <row r="7594" spans="5:6" ht="15" customHeight="1" x14ac:dyDescent="0.2">
      <c r="E7594" s="18"/>
      <c r="F7594" s="18"/>
    </row>
    <row r="7595" spans="5:6" ht="15" customHeight="1" x14ac:dyDescent="0.2">
      <c r="E7595" s="18"/>
      <c r="F7595" s="18"/>
    </row>
    <row r="7596" spans="5:6" ht="15" customHeight="1" x14ac:dyDescent="0.2">
      <c r="E7596" s="18"/>
      <c r="F7596" s="18"/>
    </row>
    <row r="7597" spans="5:6" ht="15" customHeight="1" x14ac:dyDescent="0.2">
      <c r="E7597" s="18"/>
      <c r="F7597" s="18"/>
    </row>
    <row r="7598" spans="5:6" ht="15" customHeight="1" x14ac:dyDescent="0.2">
      <c r="E7598" s="18"/>
      <c r="F7598" s="18"/>
    </row>
    <row r="7599" spans="5:6" ht="15" customHeight="1" x14ac:dyDescent="0.2">
      <c r="E7599" s="18"/>
      <c r="F7599" s="18"/>
    </row>
    <row r="7600" spans="5:6" ht="15" customHeight="1" x14ac:dyDescent="0.2">
      <c r="E7600" s="18"/>
      <c r="F7600" s="18"/>
    </row>
    <row r="7601" spans="5:6" ht="15" customHeight="1" x14ac:dyDescent="0.2">
      <c r="E7601" s="18"/>
      <c r="F7601" s="18"/>
    </row>
    <row r="7602" spans="5:6" ht="15" customHeight="1" x14ac:dyDescent="0.2">
      <c r="E7602" s="18"/>
      <c r="F7602" s="18"/>
    </row>
    <row r="7603" spans="5:6" ht="15" customHeight="1" x14ac:dyDescent="0.2">
      <c r="E7603" s="18"/>
      <c r="F7603" s="18"/>
    </row>
    <row r="7604" spans="5:6" ht="15" customHeight="1" x14ac:dyDescent="0.2">
      <c r="E7604" s="18"/>
      <c r="F7604" s="18"/>
    </row>
    <row r="7605" spans="5:6" ht="15" customHeight="1" x14ac:dyDescent="0.2">
      <c r="E7605" s="18"/>
      <c r="F7605" s="18"/>
    </row>
    <row r="7606" spans="5:6" ht="15" customHeight="1" x14ac:dyDescent="0.2">
      <c r="E7606" s="18"/>
      <c r="F7606" s="18"/>
    </row>
    <row r="7607" spans="5:6" ht="15" customHeight="1" x14ac:dyDescent="0.2">
      <c r="E7607" s="18"/>
      <c r="F7607" s="18"/>
    </row>
    <row r="7608" spans="5:6" ht="15" customHeight="1" x14ac:dyDescent="0.2">
      <c r="E7608" s="18"/>
      <c r="F7608" s="18"/>
    </row>
    <row r="7609" spans="5:6" ht="15" customHeight="1" x14ac:dyDescent="0.2">
      <c r="E7609" s="18"/>
      <c r="F7609" s="18"/>
    </row>
    <row r="7610" spans="5:6" ht="15" customHeight="1" x14ac:dyDescent="0.2">
      <c r="E7610" s="18"/>
      <c r="F7610" s="18"/>
    </row>
    <row r="7611" spans="5:6" ht="15" customHeight="1" x14ac:dyDescent="0.2">
      <c r="E7611" s="18"/>
      <c r="F7611" s="18"/>
    </row>
    <row r="7612" spans="5:6" ht="15" customHeight="1" x14ac:dyDescent="0.2">
      <c r="E7612" s="18"/>
      <c r="F7612" s="18"/>
    </row>
    <row r="7613" spans="5:6" ht="15" customHeight="1" x14ac:dyDescent="0.2">
      <c r="E7613" s="18"/>
      <c r="F7613" s="18"/>
    </row>
    <row r="7614" spans="5:6" ht="15" customHeight="1" x14ac:dyDescent="0.2">
      <c r="E7614" s="18"/>
      <c r="F7614" s="18"/>
    </row>
    <row r="7615" spans="5:6" ht="15" customHeight="1" x14ac:dyDescent="0.2">
      <c r="E7615" s="18"/>
      <c r="F7615" s="18"/>
    </row>
    <row r="7616" spans="5:6" ht="15" customHeight="1" x14ac:dyDescent="0.2">
      <c r="E7616" s="18"/>
      <c r="F7616" s="18"/>
    </row>
    <row r="7617" spans="5:6" ht="15" customHeight="1" x14ac:dyDescent="0.2">
      <c r="E7617" s="18"/>
      <c r="F7617" s="18"/>
    </row>
    <row r="7618" spans="5:6" ht="15" customHeight="1" x14ac:dyDescent="0.2">
      <c r="E7618" s="18"/>
      <c r="F7618" s="18"/>
    </row>
    <row r="7619" spans="5:6" ht="15" customHeight="1" x14ac:dyDescent="0.2">
      <c r="E7619" s="18"/>
      <c r="F7619" s="18"/>
    </row>
    <row r="7620" spans="5:6" ht="15" customHeight="1" x14ac:dyDescent="0.2">
      <c r="E7620" s="18"/>
      <c r="F7620" s="18"/>
    </row>
    <row r="7621" spans="5:6" ht="15" customHeight="1" x14ac:dyDescent="0.2">
      <c r="E7621" s="18"/>
      <c r="F7621" s="18"/>
    </row>
    <row r="7622" spans="5:6" ht="15" customHeight="1" x14ac:dyDescent="0.2">
      <c r="E7622" s="18"/>
      <c r="F7622" s="18"/>
    </row>
    <row r="7623" spans="5:6" ht="15" customHeight="1" x14ac:dyDescent="0.2">
      <c r="E7623" s="18"/>
      <c r="F7623" s="18"/>
    </row>
    <row r="7624" spans="5:6" ht="15" customHeight="1" x14ac:dyDescent="0.2">
      <c r="E7624" s="18"/>
      <c r="F7624" s="18"/>
    </row>
    <row r="7625" spans="5:6" ht="15" customHeight="1" x14ac:dyDescent="0.2">
      <c r="E7625" s="18"/>
      <c r="F7625" s="18"/>
    </row>
    <row r="7626" spans="5:6" ht="15" customHeight="1" x14ac:dyDescent="0.2">
      <c r="E7626" s="18"/>
      <c r="F7626" s="18"/>
    </row>
    <row r="7627" spans="5:6" ht="15" customHeight="1" x14ac:dyDescent="0.2">
      <c r="E7627" s="18"/>
      <c r="F7627" s="18"/>
    </row>
    <row r="7628" spans="5:6" ht="15" customHeight="1" x14ac:dyDescent="0.2">
      <c r="E7628" s="18"/>
      <c r="F7628" s="18"/>
    </row>
    <row r="7629" spans="5:6" ht="15" customHeight="1" x14ac:dyDescent="0.2">
      <c r="E7629" s="18"/>
      <c r="F7629" s="18"/>
    </row>
    <row r="7630" spans="5:6" ht="15" customHeight="1" x14ac:dyDescent="0.2">
      <c r="E7630" s="18"/>
      <c r="F7630" s="18"/>
    </row>
    <row r="7631" spans="5:6" ht="15" customHeight="1" x14ac:dyDescent="0.2">
      <c r="E7631" s="18"/>
      <c r="F7631" s="18"/>
    </row>
    <row r="7632" spans="5:6" ht="15" customHeight="1" x14ac:dyDescent="0.2">
      <c r="E7632" s="18"/>
      <c r="F7632" s="18"/>
    </row>
    <row r="7633" spans="5:6" ht="15" customHeight="1" x14ac:dyDescent="0.2">
      <c r="E7633" s="18"/>
      <c r="F7633" s="18"/>
    </row>
    <row r="7634" spans="5:6" ht="15" customHeight="1" x14ac:dyDescent="0.2">
      <c r="E7634" s="18"/>
      <c r="F7634" s="18"/>
    </row>
    <row r="7635" spans="5:6" ht="15" customHeight="1" x14ac:dyDescent="0.2">
      <c r="E7635" s="18"/>
      <c r="F7635" s="18"/>
    </row>
    <row r="7636" spans="5:6" ht="15" customHeight="1" x14ac:dyDescent="0.2">
      <c r="E7636" s="18"/>
      <c r="F7636" s="18"/>
    </row>
    <row r="7637" spans="5:6" ht="15" customHeight="1" x14ac:dyDescent="0.2">
      <c r="E7637" s="18"/>
      <c r="F7637" s="18"/>
    </row>
    <row r="7638" spans="5:6" ht="15" customHeight="1" x14ac:dyDescent="0.2">
      <c r="E7638" s="18"/>
      <c r="F7638" s="18"/>
    </row>
    <row r="7639" spans="5:6" ht="15" customHeight="1" x14ac:dyDescent="0.2">
      <c r="E7639" s="18"/>
      <c r="F7639" s="18"/>
    </row>
    <row r="7640" spans="5:6" ht="15" customHeight="1" x14ac:dyDescent="0.2">
      <c r="E7640" s="18"/>
      <c r="F7640" s="18"/>
    </row>
    <row r="7641" spans="5:6" ht="15" customHeight="1" x14ac:dyDescent="0.2">
      <c r="E7641" s="18"/>
      <c r="F7641" s="18"/>
    </row>
    <row r="7642" spans="5:6" ht="15" customHeight="1" x14ac:dyDescent="0.2">
      <c r="E7642" s="18"/>
      <c r="F7642" s="18"/>
    </row>
    <row r="7643" spans="5:6" ht="15" customHeight="1" x14ac:dyDescent="0.2">
      <c r="E7643" s="18"/>
      <c r="F7643" s="18"/>
    </row>
    <row r="7644" spans="5:6" ht="15" customHeight="1" x14ac:dyDescent="0.2">
      <c r="E7644" s="18"/>
      <c r="F7644" s="18"/>
    </row>
    <row r="7645" spans="5:6" ht="15" customHeight="1" x14ac:dyDescent="0.2">
      <c r="E7645" s="18"/>
      <c r="F7645" s="18"/>
    </row>
    <row r="7646" spans="5:6" ht="15" customHeight="1" x14ac:dyDescent="0.2">
      <c r="E7646" s="18"/>
      <c r="F7646" s="18"/>
    </row>
    <row r="7647" spans="5:6" ht="15" customHeight="1" x14ac:dyDescent="0.2">
      <c r="E7647" s="18"/>
      <c r="F7647" s="18"/>
    </row>
    <row r="7648" spans="5:6" ht="15" customHeight="1" x14ac:dyDescent="0.2">
      <c r="E7648" s="18"/>
      <c r="F7648" s="18"/>
    </row>
    <row r="7649" spans="5:6" ht="15" customHeight="1" x14ac:dyDescent="0.2">
      <c r="E7649" s="18"/>
      <c r="F7649" s="18"/>
    </row>
    <row r="7650" spans="5:6" ht="15" customHeight="1" x14ac:dyDescent="0.2">
      <c r="E7650" s="18"/>
      <c r="F7650" s="18"/>
    </row>
    <row r="7651" spans="5:6" ht="15" customHeight="1" x14ac:dyDescent="0.2">
      <c r="E7651" s="18"/>
      <c r="F7651" s="18"/>
    </row>
    <row r="7652" spans="5:6" ht="15" customHeight="1" x14ac:dyDescent="0.2">
      <c r="E7652" s="18"/>
      <c r="F7652" s="18"/>
    </row>
    <row r="7653" spans="5:6" ht="15" customHeight="1" x14ac:dyDescent="0.2">
      <c r="E7653" s="18"/>
      <c r="F7653" s="18"/>
    </row>
    <row r="7654" spans="5:6" ht="15" customHeight="1" x14ac:dyDescent="0.2">
      <c r="E7654" s="18"/>
      <c r="F7654" s="18"/>
    </row>
    <row r="7655" spans="5:6" ht="15" customHeight="1" x14ac:dyDescent="0.2">
      <c r="E7655" s="18"/>
      <c r="F7655" s="18"/>
    </row>
    <row r="7656" spans="5:6" ht="15" customHeight="1" x14ac:dyDescent="0.2">
      <c r="E7656" s="18"/>
      <c r="F7656" s="18"/>
    </row>
    <row r="7657" spans="5:6" ht="15" customHeight="1" x14ac:dyDescent="0.2">
      <c r="E7657" s="18"/>
      <c r="F7657" s="18"/>
    </row>
    <row r="7658" spans="5:6" ht="15" customHeight="1" x14ac:dyDescent="0.2">
      <c r="E7658" s="18"/>
      <c r="F7658" s="18"/>
    </row>
    <row r="7659" spans="5:6" ht="15" customHeight="1" x14ac:dyDescent="0.2">
      <c r="E7659" s="18"/>
      <c r="F7659" s="18"/>
    </row>
    <row r="7660" spans="5:6" ht="15" customHeight="1" x14ac:dyDescent="0.2">
      <c r="E7660" s="18"/>
      <c r="F7660" s="18"/>
    </row>
    <row r="7661" spans="5:6" ht="15" customHeight="1" x14ac:dyDescent="0.2">
      <c r="E7661" s="18"/>
      <c r="F7661" s="18"/>
    </row>
    <row r="7662" spans="5:6" ht="15" customHeight="1" x14ac:dyDescent="0.2">
      <c r="E7662" s="18"/>
      <c r="F7662" s="18"/>
    </row>
    <row r="7663" spans="5:6" ht="15" customHeight="1" x14ac:dyDescent="0.2">
      <c r="E7663" s="18"/>
      <c r="F7663" s="18"/>
    </row>
    <row r="7664" spans="5:6" ht="15" customHeight="1" x14ac:dyDescent="0.2">
      <c r="E7664" s="18"/>
      <c r="F7664" s="18"/>
    </row>
    <row r="7665" spans="5:6" ht="15" customHeight="1" x14ac:dyDescent="0.2">
      <c r="E7665" s="18"/>
      <c r="F7665" s="18"/>
    </row>
    <row r="7666" spans="5:6" ht="15" customHeight="1" x14ac:dyDescent="0.2">
      <c r="E7666" s="18"/>
      <c r="F7666" s="18"/>
    </row>
    <row r="7667" spans="5:6" ht="15" customHeight="1" x14ac:dyDescent="0.2">
      <c r="E7667" s="18"/>
      <c r="F7667" s="18"/>
    </row>
    <row r="7668" spans="5:6" ht="15" customHeight="1" x14ac:dyDescent="0.2">
      <c r="E7668" s="18"/>
      <c r="F7668" s="18"/>
    </row>
    <row r="7669" spans="5:6" ht="15" customHeight="1" x14ac:dyDescent="0.2">
      <c r="E7669" s="18"/>
      <c r="F7669" s="18"/>
    </row>
    <row r="7670" spans="5:6" ht="15" customHeight="1" x14ac:dyDescent="0.2">
      <c r="E7670" s="18"/>
      <c r="F7670" s="18"/>
    </row>
    <row r="7671" spans="5:6" ht="15" customHeight="1" x14ac:dyDescent="0.2">
      <c r="E7671" s="18"/>
      <c r="F7671" s="18"/>
    </row>
    <row r="7672" spans="5:6" ht="15" customHeight="1" x14ac:dyDescent="0.2">
      <c r="E7672" s="18"/>
      <c r="F7672" s="18"/>
    </row>
    <row r="7673" spans="5:6" ht="15" customHeight="1" x14ac:dyDescent="0.2">
      <c r="E7673" s="18"/>
      <c r="F7673" s="18"/>
    </row>
    <row r="7674" spans="5:6" ht="15" customHeight="1" x14ac:dyDescent="0.2">
      <c r="E7674" s="18"/>
      <c r="F7674" s="18"/>
    </row>
    <row r="7675" spans="5:6" ht="15" customHeight="1" x14ac:dyDescent="0.2">
      <c r="E7675" s="18"/>
      <c r="F7675" s="18"/>
    </row>
    <row r="7676" spans="5:6" ht="15" customHeight="1" x14ac:dyDescent="0.2">
      <c r="E7676" s="18"/>
      <c r="F7676" s="18"/>
    </row>
    <row r="7677" spans="5:6" ht="15" customHeight="1" x14ac:dyDescent="0.2">
      <c r="E7677" s="18"/>
      <c r="F7677" s="18"/>
    </row>
    <row r="7678" spans="5:6" ht="15" customHeight="1" x14ac:dyDescent="0.2">
      <c r="E7678" s="18"/>
      <c r="F7678" s="18"/>
    </row>
    <row r="7679" spans="5:6" ht="15" customHeight="1" x14ac:dyDescent="0.2">
      <c r="E7679" s="18"/>
      <c r="F7679" s="18"/>
    </row>
    <row r="7680" spans="5:6" ht="15" customHeight="1" x14ac:dyDescent="0.2">
      <c r="E7680" s="18"/>
      <c r="F7680" s="18"/>
    </row>
    <row r="7681" spans="5:6" ht="15" customHeight="1" x14ac:dyDescent="0.2">
      <c r="E7681" s="18"/>
      <c r="F7681" s="18"/>
    </row>
    <row r="7682" spans="5:6" ht="15" customHeight="1" x14ac:dyDescent="0.2">
      <c r="E7682" s="18"/>
      <c r="F7682" s="18"/>
    </row>
    <row r="7683" spans="5:6" ht="15" customHeight="1" x14ac:dyDescent="0.2">
      <c r="E7683" s="18"/>
      <c r="F7683" s="18"/>
    </row>
    <row r="7684" spans="5:6" ht="15" customHeight="1" x14ac:dyDescent="0.2">
      <c r="E7684" s="18"/>
      <c r="F7684" s="18"/>
    </row>
    <row r="7685" spans="5:6" ht="15" customHeight="1" x14ac:dyDescent="0.2">
      <c r="E7685" s="18"/>
      <c r="F7685" s="18"/>
    </row>
    <row r="7686" spans="5:6" ht="15" customHeight="1" x14ac:dyDescent="0.2">
      <c r="E7686" s="18"/>
      <c r="F7686" s="18"/>
    </row>
    <row r="7687" spans="5:6" ht="15" customHeight="1" x14ac:dyDescent="0.2">
      <c r="E7687" s="18"/>
      <c r="F7687" s="18"/>
    </row>
    <row r="7688" spans="5:6" ht="15" customHeight="1" x14ac:dyDescent="0.2">
      <c r="E7688" s="18"/>
      <c r="F7688" s="18"/>
    </row>
    <row r="7689" spans="5:6" ht="15" customHeight="1" x14ac:dyDescent="0.2">
      <c r="E7689" s="18"/>
      <c r="F7689" s="18"/>
    </row>
    <row r="7690" spans="5:6" ht="15" customHeight="1" x14ac:dyDescent="0.2">
      <c r="E7690" s="18"/>
      <c r="F7690" s="18"/>
    </row>
    <row r="7691" spans="5:6" ht="15" customHeight="1" x14ac:dyDescent="0.2">
      <c r="E7691" s="18"/>
      <c r="F7691" s="18"/>
    </row>
    <row r="7692" spans="5:6" ht="15" customHeight="1" x14ac:dyDescent="0.2">
      <c r="E7692" s="18"/>
      <c r="F7692" s="18"/>
    </row>
    <row r="7693" spans="5:6" ht="15" customHeight="1" x14ac:dyDescent="0.2">
      <c r="E7693" s="18"/>
      <c r="F7693" s="18"/>
    </row>
    <row r="7694" spans="5:6" ht="15" customHeight="1" x14ac:dyDescent="0.2">
      <c r="E7694" s="18"/>
      <c r="F7694" s="18"/>
    </row>
    <row r="7695" spans="5:6" ht="15" customHeight="1" x14ac:dyDescent="0.2">
      <c r="E7695" s="18"/>
      <c r="F7695" s="18"/>
    </row>
    <row r="7696" spans="5:6" ht="15" customHeight="1" x14ac:dyDescent="0.2">
      <c r="E7696" s="18"/>
      <c r="F7696" s="18"/>
    </row>
    <row r="7697" spans="5:6" ht="15" customHeight="1" x14ac:dyDescent="0.2">
      <c r="E7697" s="18"/>
      <c r="F7697" s="18"/>
    </row>
    <row r="7698" spans="5:6" ht="15" customHeight="1" x14ac:dyDescent="0.2">
      <c r="E7698" s="18"/>
      <c r="F7698" s="18"/>
    </row>
    <row r="7699" spans="5:6" ht="15" customHeight="1" x14ac:dyDescent="0.2">
      <c r="E7699" s="18"/>
      <c r="F7699" s="18"/>
    </row>
    <row r="7700" spans="5:6" ht="15" customHeight="1" x14ac:dyDescent="0.2">
      <c r="E7700" s="18"/>
      <c r="F7700" s="18"/>
    </row>
    <row r="7701" spans="5:6" ht="15" customHeight="1" x14ac:dyDescent="0.2">
      <c r="E7701" s="18"/>
      <c r="F7701" s="18"/>
    </row>
    <row r="7702" spans="5:6" ht="15" customHeight="1" x14ac:dyDescent="0.2">
      <c r="E7702" s="18"/>
      <c r="F7702" s="18"/>
    </row>
    <row r="7703" spans="5:6" ht="15" customHeight="1" x14ac:dyDescent="0.2">
      <c r="E7703" s="18"/>
      <c r="F7703" s="18"/>
    </row>
    <row r="7704" spans="5:6" ht="15" customHeight="1" x14ac:dyDescent="0.2">
      <c r="E7704" s="18"/>
      <c r="F7704" s="18"/>
    </row>
    <row r="7705" spans="5:6" ht="15" customHeight="1" x14ac:dyDescent="0.2">
      <c r="E7705" s="18"/>
      <c r="F7705" s="18"/>
    </row>
    <row r="7706" spans="5:6" ht="15" customHeight="1" x14ac:dyDescent="0.2">
      <c r="E7706" s="18"/>
      <c r="F7706" s="18"/>
    </row>
    <row r="7707" spans="5:6" ht="15" customHeight="1" x14ac:dyDescent="0.2">
      <c r="E7707" s="18"/>
      <c r="F7707" s="18"/>
    </row>
    <row r="7708" spans="5:6" ht="15" customHeight="1" x14ac:dyDescent="0.2">
      <c r="E7708" s="18"/>
      <c r="F7708" s="18"/>
    </row>
    <row r="7709" spans="5:6" ht="15" customHeight="1" x14ac:dyDescent="0.2">
      <c r="E7709" s="18"/>
      <c r="F7709" s="18"/>
    </row>
    <row r="7710" spans="5:6" ht="15" customHeight="1" x14ac:dyDescent="0.2">
      <c r="E7710" s="18"/>
      <c r="F7710" s="18"/>
    </row>
    <row r="7711" spans="5:6" ht="15" customHeight="1" x14ac:dyDescent="0.2">
      <c r="E7711" s="18"/>
      <c r="F7711" s="18"/>
    </row>
    <row r="7712" spans="5:6" ht="15" customHeight="1" x14ac:dyDescent="0.2">
      <c r="E7712" s="18"/>
      <c r="F7712" s="18"/>
    </row>
    <row r="7713" spans="5:6" ht="15" customHeight="1" x14ac:dyDescent="0.2">
      <c r="E7713" s="18"/>
      <c r="F7713" s="18"/>
    </row>
    <row r="7714" spans="5:6" ht="15" customHeight="1" x14ac:dyDescent="0.2">
      <c r="E7714" s="18"/>
      <c r="F7714" s="18"/>
    </row>
    <row r="7715" spans="5:6" ht="15" customHeight="1" x14ac:dyDescent="0.2">
      <c r="E7715" s="18"/>
      <c r="F7715" s="18"/>
    </row>
    <row r="7716" spans="5:6" ht="15" customHeight="1" x14ac:dyDescent="0.2">
      <c r="E7716" s="18"/>
      <c r="F7716" s="18"/>
    </row>
    <row r="7717" spans="5:6" ht="15" customHeight="1" x14ac:dyDescent="0.2">
      <c r="E7717" s="18"/>
      <c r="F7717" s="18"/>
    </row>
    <row r="7718" spans="5:6" ht="15" customHeight="1" x14ac:dyDescent="0.2">
      <c r="E7718" s="18"/>
      <c r="F7718" s="18"/>
    </row>
    <row r="7719" spans="5:6" ht="15" customHeight="1" x14ac:dyDescent="0.2">
      <c r="E7719" s="18"/>
      <c r="F7719" s="18"/>
    </row>
    <row r="7720" spans="5:6" ht="15" customHeight="1" x14ac:dyDescent="0.2">
      <c r="E7720" s="18"/>
      <c r="F7720" s="18"/>
    </row>
    <row r="7721" spans="5:6" ht="15" customHeight="1" x14ac:dyDescent="0.2">
      <c r="E7721" s="18"/>
      <c r="F7721" s="18"/>
    </row>
    <row r="7722" spans="5:6" ht="15" customHeight="1" x14ac:dyDescent="0.2">
      <c r="E7722" s="18"/>
      <c r="F7722" s="18"/>
    </row>
    <row r="7723" spans="5:6" ht="15" customHeight="1" x14ac:dyDescent="0.2">
      <c r="E7723" s="18"/>
      <c r="F7723" s="18"/>
    </row>
    <row r="7724" spans="5:6" ht="15" customHeight="1" x14ac:dyDescent="0.2">
      <c r="E7724" s="18"/>
      <c r="F7724" s="18"/>
    </row>
    <row r="7725" spans="5:6" ht="15" customHeight="1" x14ac:dyDescent="0.2">
      <c r="E7725" s="18"/>
      <c r="F7725" s="18"/>
    </row>
    <row r="7726" spans="5:6" ht="15" customHeight="1" x14ac:dyDescent="0.2">
      <c r="E7726" s="18"/>
      <c r="F7726" s="18"/>
    </row>
    <row r="7727" spans="5:6" ht="15" customHeight="1" x14ac:dyDescent="0.2">
      <c r="E7727" s="18"/>
      <c r="F7727" s="18"/>
    </row>
    <row r="7728" spans="5:6" ht="15" customHeight="1" x14ac:dyDescent="0.2">
      <c r="E7728" s="18"/>
      <c r="F7728" s="18"/>
    </row>
    <row r="7729" spans="5:6" ht="15" customHeight="1" x14ac:dyDescent="0.2">
      <c r="E7729" s="18"/>
      <c r="F7729" s="18"/>
    </row>
    <row r="7730" spans="5:6" ht="15" customHeight="1" x14ac:dyDescent="0.2">
      <c r="E7730" s="18"/>
      <c r="F7730" s="18"/>
    </row>
    <row r="7731" spans="5:6" ht="15" customHeight="1" x14ac:dyDescent="0.2">
      <c r="E7731" s="18"/>
      <c r="F7731" s="18"/>
    </row>
    <row r="7732" spans="5:6" ht="15" customHeight="1" x14ac:dyDescent="0.2">
      <c r="E7732" s="18"/>
      <c r="F7732" s="18"/>
    </row>
    <row r="7733" spans="5:6" ht="15" customHeight="1" x14ac:dyDescent="0.2">
      <c r="E7733" s="18"/>
      <c r="F7733" s="18"/>
    </row>
    <row r="7734" spans="5:6" ht="15" customHeight="1" x14ac:dyDescent="0.2">
      <c r="E7734" s="18"/>
      <c r="F7734" s="18"/>
    </row>
    <row r="7735" spans="5:6" ht="15" customHeight="1" x14ac:dyDescent="0.2">
      <c r="E7735" s="18"/>
      <c r="F7735" s="18"/>
    </row>
    <row r="7736" spans="5:6" ht="15" customHeight="1" x14ac:dyDescent="0.2">
      <c r="E7736" s="18"/>
      <c r="F7736" s="18"/>
    </row>
    <row r="7737" spans="5:6" ht="15" customHeight="1" x14ac:dyDescent="0.2">
      <c r="E7737" s="18"/>
      <c r="F7737" s="18"/>
    </row>
    <row r="7738" spans="5:6" ht="15" customHeight="1" x14ac:dyDescent="0.2">
      <c r="E7738" s="18"/>
      <c r="F7738" s="18"/>
    </row>
    <row r="7739" spans="5:6" ht="15" customHeight="1" x14ac:dyDescent="0.2">
      <c r="E7739" s="18"/>
      <c r="F7739" s="18"/>
    </row>
    <row r="7740" spans="5:6" ht="15" customHeight="1" x14ac:dyDescent="0.2">
      <c r="E7740" s="18"/>
      <c r="F7740" s="18"/>
    </row>
    <row r="7741" spans="5:6" ht="15" customHeight="1" x14ac:dyDescent="0.2">
      <c r="E7741" s="18"/>
      <c r="F7741" s="18"/>
    </row>
    <row r="7742" spans="5:6" ht="15" customHeight="1" x14ac:dyDescent="0.2">
      <c r="E7742" s="18"/>
      <c r="F7742" s="18"/>
    </row>
    <row r="7743" spans="5:6" ht="15" customHeight="1" x14ac:dyDescent="0.2">
      <c r="E7743" s="18"/>
      <c r="F7743" s="18"/>
    </row>
    <row r="7744" spans="5:6" ht="15" customHeight="1" x14ac:dyDescent="0.2">
      <c r="E7744" s="18"/>
      <c r="F7744" s="18"/>
    </row>
    <row r="7745" spans="5:6" ht="15" customHeight="1" x14ac:dyDescent="0.2">
      <c r="E7745" s="18"/>
      <c r="F7745" s="18"/>
    </row>
    <row r="7746" spans="5:6" ht="15" customHeight="1" x14ac:dyDescent="0.2">
      <c r="E7746" s="18"/>
      <c r="F7746" s="18"/>
    </row>
    <row r="7747" spans="5:6" ht="15" customHeight="1" x14ac:dyDescent="0.2">
      <c r="E7747" s="18"/>
      <c r="F7747" s="18"/>
    </row>
    <row r="7748" spans="5:6" ht="15" customHeight="1" x14ac:dyDescent="0.2">
      <c r="E7748" s="18"/>
      <c r="F7748" s="18"/>
    </row>
    <row r="7749" spans="5:6" ht="15" customHeight="1" x14ac:dyDescent="0.2">
      <c r="E7749" s="18"/>
      <c r="F7749" s="18"/>
    </row>
    <row r="7750" spans="5:6" ht="15" customHeight="1" x14ac:dyDescent="0.2">
      <c r="E7750" s="18"/>
      <c r="F7750" s="18"/>
    </row>
    <row r="7751" spans="5:6" ht="15" customHeight="1" x14ac:dyDescent="0.2">
      <c r="E7751" s="18"/>
      <c r="F7751" s="18"/>
    </row>
    <row r="7752" spans="5:6" ht="15" customHeight="1" x14ac:dyDescent="0.2">
      <c r="E7752" s="18"/>
      <c r="F7752" s="18"/>
    </row>
    <row r="7753" spans="5:6" ht="15" customHeight="1" x14ac:dyDescent="0.2">
      <c r="E7753" s="18"/>
      <c r="F7753" s="18"/>
    </row>
    <row r="7754" spans="5:6" ht="15" customHeight="1" x14ac:dyDescent="0.2">
      <c r="E7754" s="18"/>
      <c r="F7754" s="18"/>
    </row>
    <row r="7755" spans="5:6" ht="15" customHeight="1" x14ac:dyDescent="0.2">
      <c r="E7755" s="18"/>
      <c r="F7755" s="18"/>
    </row>
    <row r="7756" spans="5:6" ht="15" customHeight="1" x14ac:dyDescent="0.2">
      <c r="E7756" s="18"/>
      <c r="F7756" s="18"/>
    </row>
    <row r="7757" spans="5:6" ht="15" customHeight="1" x14ac:dyDescent="0.2">
      <c r="E7757" s="18"/>
      <c r="F7757" s="18"/>
    </row>
    <row r="7758" spans="5:6" ht="15" customHeight="1" x14ac:dyDescent="0.2">
      <c r="E7758" s="18"/>
      <c r="F7758" s="18"/>
    </row>
    <row r="7759" spans="5:6" ht="15" customHeight="1" x14ac:dyDescent="0.2">
      <c r="E7759" s="18"/>
      <c r="F7759" s="18"/>
    </row>
    <row r="7760" spans="5:6" ht="15" customHeight="1" x14ac:dyDescent="0.2">
      <c r="E7760" s="18"/>
      <c r="F7760" s="18"/>
    </row>
    <row r="7761" spans="5:6" ht="15" customHeight="1" x14ac:dyDescent="0.2">
      <c r="E7761" s="18"/>
      <c r="F7761" s="18"/>
    </row>
    <row r="7762" spans="5:6" ht="15" customHeight="1" x14ac:dyDescent="0.2">
      <c r="E7762" s="18"/>
      <c r="F7762" s="18"/>
    </row>
    <row r="7763" spans="5:6" ht="15" customHeight="1" x14ac:dyDescent="0.2">
      <c r="E7763" s="18"/>
      <c r="F7763" s="18"/>
    </row>
    <row r="7764" spans="5:6" ht="15" customHeight="1" x14ac:dyDescent="0.2">
      <c r="E7764" s="18"/>
      <c r="F7764" s="18"/>
    </row>
    <row r="7765" spans="5:6" ht="15" customHeight="1" x14ac:dyDescent="0.2">
      <c r="E7765" s="18"/>
      <c r="F7765" s="18"/>
    </row>
    <row r="7766" spans="5:6" ht="15" customHeight="1" x14ac:dyDescent="0.2">
      <c r="E7766" s="18"/>
      <c r="F7766" s="18"/>
    </row>
    <row r="7767" spans="5:6" ht="15" customHeight="1" x14ac:dyDescent="0.2">
      <c r="E7767" s="18"/>
      <c r="F7767" s="18"/>
    </row>
    <row r="7768" spans="5:6" ht="15" customHeight="1" x14ac:dyDescent="0.2">
      <c r="E7768" s="18"/>
      <c r="F7768" s="18"/>
    </row>
    <row r="7769" spans="5:6" ht="15" customHeight="1" x14ac:dyDescent="0.2">
      <c r="E7769" s="18"/>
      <c r="F7769" s="18"/>
    </row>
    <row r="7770" spans="5:6" ht="15" customHeight="1" x14ac:dyDescent="0.2">
      <c r="E7770" s="18"/>
      <c r="F7770" s="18"/>
    </row>
    <row r="7771" spans="5:6" ht="15" customHeight="1" x14ac:dyDescent="0.2">
      <c r="E7771" s="18"/>
      <c r="F7771" s="18"/>
    </row>
    <row r="7772" spans="5:6" ht="15" customHeight="1" x14ac:dyDescent="0.2">
      <c r="E7772" s="18"/>
      <c r="F7772" s="18"/>
    </row>
    <row r="7773" spans="5:6" ht="15" customHeight="1" x14ac:dyDescent="0.2">
      <c r="E7773" s="18"/>
      <c r="F7773" s="18"/>
    </row>
    <row r="7774" spans="5:6" ht="15" customHeight="1" x14ac:dyDescent="0.2">
      <c r="E7774" s="18"/>
      <c r="F7774" s="18"/>
    </row>
    <row r="7775" spans="5:6" ht="15" customHeight="1" x14ac:dyDescent="0.2">
      <c r="E7775" s="18"/>
      <c r="F7775" s="18"/>
    </row>
    <row r="7776" spans="5:6" ht="15" customHeight="1" x14ac:dyDescent="0.2">
      <c r="E7776" s="18"/>
      <c r="F7776" s="18"/>
    </row>
    <row r="7777" spans="5:6" ht="15" customHeight="1" x14ac:dyDescent="0.2">
      <c r="E7777" s="18"/>
      <c r="F7777" s="18"/>
    </row>
    <row r="7778" spans="5:6" ht="15" customHeight="1" x14ac:dyDescent="0.2">
      <c r="E7778" s="18"/>
      <c r="F7778" s="18"/>
    </row>
    <row r="7779" spans="5:6" ht="15" customHeight="1" x14ac:dyDescent="0.2">
      <c r="E7779" s="18"/>
      <c r="F7779" s="18"/>
    </row>
    <row r="7780" spans="5:6" ht="15" customHeight="1" x14ac:dyDescent="0.2">
      <c r="E7780" s="18"/>
      <c r="F7780" s="18"/>
    </row>
    <row r="7781" spans="5:6" ht="15" customHeight="1" x14ac:dyDescent="0.2">
      <c r="E7781" s="18"/>
      <c r="F7781" s="18"/>
    </row>
    <row r="7782" spans="5:6" ht="15" customHeight="1" x14ac:dyDescent="0.2">
      <c r="E7782" s="18"/>
      <c r="F7782" s="18"/>
    </row>
    <row r="7783" spans="5:6" ht="15" customHeight="1" x14ac:dyDescent="0.2">
      <c r="E7783" s="18"/>
      <c r="F7783" s="18"/>
    </row>
    <row r="7784" spans="5:6" ht="15" customHeight="1" x14ac:dyDescent="0.2">
      <c r="E7784" s="18"/>
      <c r="F7784" s="18"/>
    </row>
    <row r="7785" spans="5:6" ht="15" customHeight="1" x14ac:dyDescent="0.2">
      <c r="E7785" s="18"/>
      <c r="F7785" s="18"/>
    </row>
    <row r="7786" spans="5:6" ht="15" customHeight="1" x14ac:dyDescent="0.2">
      <c r="E7786" s="18"/>
      <c r="F7786" s="18"/>
    </row>
    <row r="7787" spans="5:6" ht="15" customHeight="1" x14ac:dyDescent="0.2">
      <c r="E7787" s="18"/>
      <c r="F7787" s="18"/>
    </row>
    <row r="7788" spans="5:6" ht="15" customHeight="1" x14ac:dyDescent="0.2">
      <c r="E7788" s="18"/>
      <c r="F7788" s="18"/>
    </row>
    <row r="7789" spans="5:6" ht="15" customHeight="1" x14ac:dyDescent="0.2">
      <c r="E7789" s="18"/>
      <c r="F7789" s="18"/>
    </row>
    <row r="7790" spans="5:6" ht="15" customHeight="1" x14ac:dyDescent="0.2">
      <c r="E7790" s="18"/>
      <c r="F7790" s="18"/>
    </row>
    <row r="7791" spans="5:6" ht="15" customHeight="1" x14ac:dyDescent="0.2">
      <c r="E7791" s="18"/>
      <c r="F7791" s="18"/>
    </row>
    <row r="7792" spans="5:6" ht="15" customHeight="1" x14ac:dyDescent="0.2">
      <c r="E7792" s="18"/>
      <c r="F7792" s="18"/>
    </row>
    <row r="7793" spans="5:6" ht="15" customHeight="1" x14ac:dyDescent="0.2">
      <c r="E7793" s="18"/>
      <c r="F7793" s="18"/>
    </row>
    <row r="7794" spans="5:6" ht="15" customHeight="1" x14ac:dyDescent="0.2">
      <c r="E7794" s="18"/>
      <c r="F7794" s="18"/>
    </row>
    <row r="7795" spans="5:6" ht="15" customHeight="1" x14ac:dyDescent="0.2">
      <c r="E7795" s="18"/>
      <c r="F7795" s="18"/>
    </row>
    <row r="7796" spans="5:6" ht="15" customHeight="1" x14ac:dyDescent="0.2">
      <c r="E7796" s="18"/>
      <c r="F7796" s="18"/>
    </row>
    <row r="7797" spans="5:6" ht="15" customHeight="1" x14ac:dyDescent="0.2">
      <c r="E7797" s="18"/>
      <c r="F7797" s="18"/>
    </row>
    <row r="7798" spans="5:6" ht="15" customHeight="1" x14ac:dyDescent="0.2">
      <c r="E7798" s="18"/>
      <c r="F7798" s="18"/>
    </row>
    <row r="7799" spans="5:6" ht="15" customHeight="1" x14ac:dyDescent="0.2">
      <c r="E7799" s="18"/>
      <c r="F7799" s="18"/>
    </row>
    <row r="7800" spans="5:6" ht="15" customHeight="1" x14ac:dyDescent="0.2">
      <c r="E7800" s="18"/>
      <c r="F7800" s="18"/>
    </row>
    <row r="7801" spans="5:6" ht="15" customHeight="1" x14ac:dyDescent="0.2">
      <c r="E7801" s="18"/>
      <c r="F7801" s="18"/>
    </row>
    <row r="7802" spans="5:6" ht="15" customHeight="1" x14ac:dyDescent="0.2">
      <c r="E7802" s="18"/>
      <c r="F7802" s="18"/>
    </row>
    <row r="7803" spans="5:6" ht="15" customHeight="1" x14ac:dyDescent="0.2">
      <c r="E7803" s="18"/>
      <c r="F7803" s="18"/>
    </row>
    <row r="7804" spans="5:6" ht="15" customHeight="1" x14ac:dyDescent="0.2">
      <c r="E7804" s="18"/>
      <c r="F7804" s="18"/>
    </row>
    <row r="7805" spans="5:6" ht="15" customHeight="1" x14ac:dyDescent="0.2">
      <c r="E7805" s="18"/>
      <c r="F7805" s="18"/>
    </row>
    <row r="7806" spans="5:6" ht="15" customHeight="1" x14ac:dyDescent="0.2">
      <c r="E7806" s="18"/>
      <c r="F7806" s="18"/>
    </row>
    <row r="7807" spans="5:6" ht="15" customHeight="1" x14ac:dyDescent="0.2">
      <c r="E7807" s="18"/>
      <c r="F7807" s="18"/>
    </row>
    <row r="7808" spans="5:6" ht="15" customHeight="1" x14ac:dyDescent="0.2">
      <c r="E7808" s="18"/>
      <c r="F7808" s="18"/>
    </row>
    <row r="7809" spans="5:6" ht="15" customHeight="1" x14ac:dyDescent="0.2">
      <c r="E7809" s="18"/>
      <c r="F7809" s="18"/>
    </row>
    <row r="7810" spans="5:6" ht="15" customHeight="1" x14ac:dyDescent="0.2">
      <c r="E7810" s="18"/>
      <c r="F7810" s="18"/>
    </row>
    <row r="7811" spans="5:6" ht="15" customHeight="1" x14ac:dyDescent="0.2">
      <c r="E7811" s="18"/>
      <c r="F7811" s="18"/>
    </row>
    <row r="7812" spans="5:6" ht="15" customHeight="1" x14ac:dyDescent="0.2">
      <c r="E7812" s="18"/>
      <c r="F7812" s="18"/>
    </row>
    <row r="7813" spans="5:6" ht="15" customHeight="1" x14ac:dyDescent="0.2">
      <c r="E7813" s="18"/>
      <c r="F7813" s="18"/>
    </row>
    <row r="7814" spans="5:6" ht="15" customHeight="1" x14ac:dyDescent="0.2">
      <c r="E7814" s="18"/>
      <c r="F7814" s="18"/>
    </row>
    <row r="7815" spans="5:6" ht="15" customHeight="1" x14ac:dyDescent="0.2">
      <c r="E7815" s="18"/>
      <c r="F7815" s="18"/>
    </row>
    <row r="7816" spans="5:6" ht="15" customHeight="1" x14ac:dyDescent="0.2">
      <c r="E7816" s="18"/>
      <c r="F7816" s="18"/>
    </row>
    <row r="7817" spans="5:6" ht="15" customHeight="1" x14ac:dyDescent="0.2">
      <c r="E7817" s="18"/>
      <c r="F7817" s="18"/>
    </row>
    <row r="7818" spans="5:6" ht="15" customHeight="1" x14ac:dyDescent="0.2">
      <c r="E7818" s="18"/>
      <c r="F7818" s="18"/>
    </row>
    <row r="7819" spans="5:6" ht="15" customHeight="1" x14ac:dyDescent="0.2">
      <c r="E7819" s="18"/>
      <c r="F7819" s="18"/>
    </row>
    <row r="7820" spans="5:6" ht="15" customHeight="1" x14ac:dyDescent="0.2">
      <c r="E7820" s="18"/>
      <c r="F7820" s="18"/>
    </row>
    <row r="7821" spans="5:6" ht="15" customHeight="1" x14ac:dyDescent="0.2">
      <c r="E7821" s="18"/>
      <c r="F7821" s="18"/>
    </row>
    <row r="7822" spans="5:6" ht="15" customHeight="1" x14ac:dyDescent="0.2">
      <c r="E7822" s="18"/>
      <c r="F7822" s="18"/>
    </row>
    <row r="7823" spans="5:6" ht="15" customHeight="1" x14ac:dyDescent="0.2">
      <c r="E7823" s="18"/>
      <c r="F7823" s="18"/>
    </row>
    <row r="7824" spans="5:6" ht="15" customHeight="1" x14ac:dyDescent="0.2">
      <c r="E7824" s="18"/>
      <c r="F7824" s="18"/>
    </row>
    <row r="7825" spans="5:6" ht="15" customHeight="1" x14ac:dyDescent="0.2">
      <c r="E7825" s="18"/>
      <c r="F7825" s="18"/>
    </row>
    <row r="7826" spans="5:6" ht="15" customHeight="1" x14ac:dyDescent="0.2">
      <c r="E7826" s="18"/>
      <c r="F7826" s="18"/>
    </row>
    <row r="7827" spans="5:6" ht="15" customHeight="1" x14ac:dyDescent="0.2">
      <c r="E7827" s="18"/>
      <c r="F7827" s="18"/>
    </row>
    <row r="7828" spans="5:6" ht="15" customHeight="1" x14ac:dyDescent="0.2">
      <c r="E7828" s="18"/>
      <c r="F7828" s="18"/>
    </row>
    <row r="7829" spans="5:6" ht="15" customHeight="1" x14ac:dyDescent="0.2">
      <c r="E7829" s="18"/>
      <c r="F7829" s="18"/>
    </row>
    <row r="7830" spans="5:6" ht="15" customHeight="1" x14ac:dyDescent="0.2">
      <c r="E7830" s="18"/>
      <c r="F7830" s="18"/>
    </row>
    <row r="7831" spans="5:6" ht="15" customHeight="1" x14ac:dyDescent="0.2">
      <c r="E7831" s="18"/>
      <c r="F7831" s="18"/>
    </row>
    <row r="7832" spans="5:6" ht="15" customHeight="1" x14ac:dyDescent="0.2">
      <c r="E7832" s="18"/>
      <c r="F7832" s="18"/>
    </row>
    <row r="7833" spans="5:6" ht="15" customHeight="1" x14ac:dyDescent="0.2">
      <c r="E7833" s="18"/>
      <c r="F7833" s="18"/>
    </row>
    <row r="7834" spans="5:6" ht="15" customHeight="1" x14ac:dyDescent="0.2">
      <c r="E7834" s="18"/>
      <c r="F7834" s="18"/>
    </row>
    <row r="7835" spans="5:6" ht="15" customHeight="1" x14ac:dyDescent="0.2">
      <c r="E7835" s="18"/>
      <c r="F7835" s="18"/>
    </row>
    <row r="7836" spans="5:6" ht="15" customHeight="1" x14ac:dyDescent="0.2">
      <c r="E7836" s="18"/>
      <c r="F7836" s="18"/>
    </row>
    <row r="7837" spans="5:6" ht="15" customHeight="1" x14ac:dyDescent="0.2">
      <c r="E7837" s="18"/>
      <c r="F7837" s="18"/>
    </row>
    <row r="7838" spans="5:6" ht="15" customHeight="1" x14ac:dyDescent="0.2">
      <c r="E7838" s="18"/>
      <c r="F7838" s="18"/>
    </row>
    <row r="7839" spans="5:6" ht="15" customHeight="1" x14ac:dyDescent="0.2">
      <c r="E7839" s="18"/>
      <c r="F7839" s="18"/>
    </row>
    <row r="7840" spans="5:6" ht="15" customHeight="1" x14ac:dyDescent="0.2">
      <c r="E7840" s="18"/>
      <c r="F7840" s="18"/>
    </row>
    <row r="7841" spans="5:6" ht="15" customHeight="1" x14ac:dyDescent="0.2">
      <c r="E7841" s="18"/>
      <c r="F7841" s="18"/>
    </row>
    <row r="7842" spans="5:6" ht="15" customHeight="1" x14ac:dyDescent="0.2">
      <c r="E7842" s="18"/>
      <c r="F7842" s="18"/>
    </row>
    <row r="7843" spans="5:6" ht="15" customHeight="1" x14ac:dyDescent="0.2">
      <c r="E7843" s="18"/>
      <c r="F7843" s="18"/>
    </row>
    <row r="7844" spans="5:6" ht="15" customHeight="1" x14ac:dyDescent="0.2">
      <c r="E7844" s="18"/>
      <c r="F7844" s="18"/>
    </row>
    <row r="7845" spans="5:6" ht="15" customHeight="1" x14ac:dyDescent="0.2">
      <c r="E7845" s="18"/>
      <c r="F7845" s="18"/>
    </row>
    <row r="7846" spans="5:6" ht="15" customHeight="1" x14ac:dyDescent="0.2">
      <c r="E7846" s="18"/>
      <c r="F7846" s="18"/>
    </row>
    <row r="7847" spans="5:6" ht="15" customHeight="1" x14ac:dyDescent="0.2">
      <c r="E7847" s="18"/>
      <c r="F7847" s="18"/>
    </row>
    <row r="7848" spans="5:6" ht="15" customHeight="1" x14ac:dyDescent="0.2">
      <c r="E7848" s="18"/>
      <c r="F7848" s="18"/>
    </row>
    <row r="7849" spans="5:6" ht="15" customHeight="1" x14ac:dyDescent="0.2">
      <c r="E7849" s="18"/>
      <c r="F7849" s="18"/>
    </row>
    <row r="7850" spans="5:6" ht="15" customHeight="1" x14ac:dyDescent="0.2">
      <c r="E7850" s="18"/>
      <c r="F7850" s="18"/>
    </row>
    <row r="7851" spans="5:6" ht="15" customHeight="1" x14ac:dyDescent="0.2">
      <c r="E7851" s="18"/>
      <c r="F7851" s="18"/>
    </row>
    <row r="7852" spans="5:6" ht="15" customHeight="1" x14ac:dyDescent="0.2">
      <c r="E7852" s="18"/>
      <c r="F7852" s="18"/>
    </row>
    <row r="7853" spans="5:6" ht="15" customHeight="1" x14ac:dyDescent="0.2">
      <c r="E7853" s="18"/>
      <c r="F7853" s="18"/>
    </row>
    <row r="7854" spans="5:6" ht="15" customHeight="1" x14ac:dyDescent="0.2">
      <c r="E7854" s="18"/>
      <c r="F7854" s="18"/>
    </row>
    <row r="7855" spans="5:6" ht="15" customHeight="1" x14ac:dyDescent="0.2">
      <c r="E7855" s="18"/>
      <c r="F7855" s="18"/>
    </row>
    <row r="7856" spans="5:6" ht="15" customHeight="1" x14ac:dyDescent="0.2">
      <c r="E7856" s="18"/>
      <c r="F7856" s="18"/>
    </row>
    <row r="7857" spans="5:6" ht="15" customHeight="1" x14ac:dyDescent="0.2">
      <c r="E7857" s="18"/>
      <c r="F7857" s="18"/>
    </row>
    <row r="7858" spans="5:6" ht="15" customHeight="1" x14ac:dyDescent="0.2">
      <c r="E7858" s="18"/>
      <c r="F7858" s="18"/>
    </row>
    <row r="7859" spans="5:6" ht="15" customHeight="1" x14ac:dyDescent="0.2">
      <c r="E7859" s="18"/>
      <c r="F7859" s="18"/>
    </row>
    <row r="7860" spans="5:6" ht="15" customHeight="1" x14ac:dyDescent="0.2">
      <c r="E7860" s="18"/>
      <c r="F7860" s="18"/>
    </row>
    <row r="7861" spans="5:6" ht="15" customHeight="1" x14ac:dyDescent="0.2">
      <c r="E7861" s="18"/>
      <c r="F7861" s="18"/>
    </row>
    <row r="7862" spans="5:6" ht="15" customHeight="1" x14ac:dyDescent="0.2">
      <c r="E7862" s="18"/>
      <c r="F7862" s="18"/>
    </row>
    <row r="7863" spans="5:6" ht="15" customHeight="1" x14ac:dyDescent="0.2">
      <c r="E7863" s="18"/>
      <c r="F7863" s="18"/>
    </row>
    <row r="7864" spans="5:6" ht="15" customHeight="1" x14ac:dyDescent="0.2">
      <c r="E7864" s="18"/>
      <c r="F7864" s="18"/>
    </row>
    <row r="7865" spans="5:6" ht="15" customHeight="1" x14ac:dyDescent="0.2">
      <c r="E7865" s="18"/>
      <c r="F7865" s="18"/>
    </row>
    <row r="7866" spans="5:6" ht="15" customHeight="1" x14ac:dyDescent="0.2">
      <c r="E7866" s="18"/>
      <c r="F7866" s="18"/>
    </row>
    <row r="7867" spans="5:6" ht="15" customHeight="1" x14ac:dyDescent="0.2">
      <c r="E7867" s="18"/>
      <c r="F7867" s="18"/>
    </row>
    <row r="7868" spans="5:6" ht="15" customHeight="1" x14ac:dyDescent="0.2">
      <c r="E7868" s="18"/>
      <c r="F7868" s="18"/>
    </row>
    <row r="7869" spans="5:6" ht="15" customHeight="1" x14ac:dyDescent="0.2">
      <c r="E7869" s="18"/>
      <c r="F7869" s="18"/>
    </row>
    <row r="7870" spans="5:6" ht="15" customHeight="1" x14ac:dyDescent="0.2">
      <c r="E7870" s="18"/>
      <c r="F7870" s="18"/>
    </row>
    <row r="7871" spans="5:6" ht="15" customHeight="1" x14ac:dyDescent="0.2">
      <c r="E7871" s="18"/>
      <c r="F7871" s="18"/>
    </row>
    <row r="7872" spans="5:6" ht="15" customHeight="1" x14ac:dyDescent="0.2">
      <c r="E7872" s="18"/>
      <c r="F7872" s="18"/>
    </row>
    <row r="7873" spans="5:6" ht="15" customHeight="1" x14ac:dyDescent="0.2">
      <c r="E7873" s="18"/>
      <c r="F7873" s="18"/>
    </row>
    <row r="7874" spans="5:6" ht="15" customHeight="1" x14ac:dyDescent="0.2">
      <c r="E7874" s="18"/>
      <c r="F7874" s="18"/>
    </row>
    <row r="7875" spans="5:6" ht="15" customHeight="1" x14ac:dyDescent="0.2">
      <c r="E7875" s="18"/>
      <c r="F7875" s="18"/>
    </row>
    <row r="7876" spans="5:6" ht="15" customHeight="1" x14ac:dyDescent="0.2">
      <c r="E7876" s="18"/>
      <c r="F7876" s="18"/>
    </row>
    <row r="7877" spans="5:6" ht="15" customHeight="1" x14ac:dyDescent="0.2">
      <c r="E7877" s="18"/>
      <c r="F7877" s="18"/>
    </row>
    <row r="7878" spans="5:6" ht="15" customHeight="1" x14ac:dyDescent="0.2">
      <c r="E7878" s="18"/>
      <c r="F7878" s="18"/>
    </row>
    <row r="7879" spans="5:6" ht="15" customHeight="1" x14ac:dyDescent="0.2">
      <c r="E7879" s="18"/>
      <c r="F7879" s="18"/>
    </row>
    <row r="7880" spans="5:6" ht="15" customHeight="1" x14ac:dyDescent="0.2">
      <c r="E7880" s="18"/>
      <c r="F7880" s="18"/>
    </row>
    <row r="7881" spans="5:6" ht="15" customHeight="1" x14ac:dyDescent="0.2">
      <c r="E7881" s="18"/>
      <c r="F7881" s="18"/>
    </row>
    <row r="7882" spans="5:6" ht="15" customHeight="1" x14ac:dyDescent="0.2">
      <c r="E7882" s="18"/>
      <c r="F7882" s="18"/>
    </row>
    <row r="7883" spans="5:6" ht="15" customHeight="1" x14ac:dyDescent="0.2">
      <c r="E7883" s="18"/>
      <c r="F7883" s="18"/>
    </row>
    <row r="7884" spans="5:6" ht="15" customHeight="1" x14ac:dyDescent="0.2">
      <c r="E7884" s="18"/>
      <c r="F7884" s="18"/>
    </row>
    <row r="7885" spans="5:6" ht="15" customHeight="1" x14ac:dyDescent="0.2">
      <c r="E7885" s="18"/>
      <c r="F7885" s="18"/>
    </row>
    <row r="7886" spans="5:6" ht="15" customHeight="1" x14ac:dyDescent="0.2">
      <c r="E7886" s="18"/>
      <c r="F7886" s="18"/>
    </row>
    <row r="7887" spans="5:6" ht="15" customHeight="1" x14ac:dyDescent="0.2">
      <c r="E7887" s="18"/>
      <c r="F7887" s="18"/>
    </row>
    <row r="7888" spans="5:6" ht="15" customHeight="1" x14ac:dyDescent="0.2">
      <c r="E7888" s="18"/>
      <c r="F7888" s="18"/>
    </row>
    <row r="7889" spans="5:6" ht="15" customHeight="1" x14ac:dyDescent="0.2">
      <c r="E7889" s="18"/>
      <c r="F7889" s="18"/>
    </row>
    <row r="7890" spans="5:6" ht="15" customHeight="1" x14ac:dyDescent="0.2">
      <c r="E7890" s="18"/>
      <c r="F7890" s="18"/>
    </row>
    <row r="7891" spans="5:6" ht="15" customHeight="1" x14ac:dyDescent="0.2">
      <c r="E7891" s="18"/>
      <c r="F7891" s="18"/>
    </row>
    <row r="7892" spans="5:6" ht="15" customHeight="1" x14ac:dyDescent="0.2">
      <c r="E7892" s="18"/>
      <c r="F7892" s="18"/>
    </row>
    <row r="7893" spans="5:6" ht="15" customHeight="1" x14ac:dyDescent="0.2">
      <c r="E7893" s="18"/>
      <c r="F7893" s="18"/>
    </row>
    <row r="7894" spans="5:6" ht="15" customHeight="1" x14ac:dyDescent="0.2">
      <c r="E7894" s="18"/>
      <c r="F7894" s="18"/>
    </row>
    <row r="7895" spans="5:6" ht="15" customHeight="1" x14ac:dyDescent="0.2">
      <c r="E7895" s="18"/>
      <c r="F7895" s="18"/>
    </row>
    <row r="7896" spans="5:6" ht="15" customHeight="1" x14ac:dyDescent="0.2">
      <c r="E7896" s="18"/>
      <c r="F7896" s="18"/>
    </row>
    <row r="7897" spans="5:6" ht="15" customHeight="1" x14ac:dyDescent="0.2">
      <c r="E7897" s="18"/>
      <c r="F7897" s="18"/>
    </row>
    <row r="7898" spans="5:6" ht="15" customHeight="1" x14ac:dyDescent="0.2">
      <c r="E7898" s="18"/>
      <c r="F7898" s="18"/>
    </row>
    <row r="7899" spans="5:6" ht="15" customHeight="1" x14ac:dyDescent="0.2">
      <c r="E7899" s="18"/>
      <c r="F7899" s="18"/>
    </row>
    <row r="7900" spans="5:6" ht="15" customHeight="1" x14ac:dyDescent="0.2">
      <c r="E7900" s="18"/>
      <c r="F7900" s="18"/>
    </row>
    <row r="7901" spans="5:6" ht="15" customHeight="1" x14ac:dyDescent="0.2">
      <c r="E7901" s="18"/>
      <c r="F7901" s="18"/>
    </row>
    <row r="7902" spans="5:6" ht="15" customHeight="1" x14ac:dyDescent="0.2">
      <c r="E7902" s="18"/>
      <c r="F7902" s="18"/>
    </row>
    <row r="7903" spans="5:6" ht="15" customHeight="1" x14ac:dyDescent="0.2">
      <c r="E7903" s="18"/>
      <c r="F7903" s="18"/>
    </row>
    <row r="7904" spans="5:6" ht="15" customHeight="1" x14ac:dyDescent="0.2">
      <c r="E7904" s="18"/>
      <c r="F7904" s="18"/>
    </row>
    <row r="7905" spans="5:6" ht="15" customHeight="1" x14ac:dyDescent="0.2">
      <c r="E7905" s="18"/>
      <c r="F7905" s="18"/>
    </row>
    <row r="7906" spans="5:6" ht="15" customHeight="1" x14ac:dyDescent="0.2">
      <c r="E7906" s="18"/>
      <c r="F7906" s="18"/>
    </row>
    <row r="7907" spans="5:6" ht="15" customHeight="1" x14ac:dyDescent="0.2">
      <c r="E7907" s="18"/>
      <c r="F7907" s="18"/>
    </row>
    <row r="7908" spans="5:6" ht="15" customHeight="1" x14ac:dyDescent="0.2">
      <c r="E7908" s="18"/>
      <c r="F7908" s="18"/>
    </row>
    <row r="7909" spans="5:6" ht="15" customHeight="1" x14ac:dyDescent="0.2">
      <c r="E7909" s="18"/>
      <c r="F7909" s="18"/>
    </row>
    <row r="7910" spans="5:6" ht="15" customHeight="1" x14ac:dyDescent="0.2">
      <c r="E7910" s="18"/>
      <c r="F7910" s="18"/>
    </row>
    <row r="7911" spans="5:6" ht="15" customHeight="1" x14ac:dyDescent="0.2">
      <c r="E7911" s="18"/>
      <c r="F7911" s="18"/>
    </row>
    <row r="7912" spans="5:6" ht="15" customHeight="1" x14ac:dyDescent="0.2">
      <c r="E7912" s="18"/>
      <c r="F7912" s="18"/>
    </row>
    <row r="7913" spans="5:6" ht="15" customHeight="1" x14ac:dyDescent="0.2">
      <c r="E7913" s="18"/>
      <c r="F7913" s="18"/>
    </row>
    <row r="7914" spans="5:6" ht="15" customHeight="1" x14ac:dyDescent="0.2">
      <c r="E7914" s="18"/>
      <c r="F7914" s="18"/>
    </row>
    <row r="7915" spans="5:6" ht="15" customHeight="1" x14ac:dyDescent="0.2">
      <c r="E7915" s="18"/>
      <c r="F7915" s="18"/>
    </row>
    <row r="7916" spans="5:6" ht="15" customHeight="1" x14ac:dyDescent="0.2">
      <c r="E7916" s="18"/>
      <c r="F7916" s="18"/>
    </row>
    <row r="7917" spans="5:6" ht="15" customHeight="1" x14ac:dyDescent="0.2">
      <c r="E7917" s="18"/>
      <c r="F7917" s="18"/>
    </row>
    <row r="7918" spans="5:6" ht="15" customHeight="1" x14ac:dyDescent="0.2">
      <c r="E7918" s="18"/>
      <c r="F7918" s="18"/>
    </row>
    <row r="7919" spans="5:6" ht="15" customHeight="1" x14ac:dyDescent="0.2">
      <c r="E7919" s="18"/>
      <c r="F7919" s="18"/>
    </row>
    <row r="7920" spans="5:6" ht="15" customHeight="1" x14ac:dyDescent="0.2">
      <c r="E7920" s="18"/>
      <c r="F7920" s="18"/>
    </row>
    <row r="7921" spans="5:6" ht="15" customHeight="1" x14ac:dyDescent="0.2">
      <c r="E7921" s="18"/>
      <c r="F7921" s="18"/>
    </row>
    <row r="7922" spans="5:6" ht="15" customHeight="1" x14ac:dyDescent="0.2">
      <c r="E7922" s="18"/>
      <c r="F7922" s="18"/>
    </row>
    <row r="7923" spans="5:6" ht="15" customHeight="1" x14ac:dyDescent="0.2">
      <c r="E7923" s="18"/>
      <c r="F7923" s="18"/>
    </row>
    <row r="7924" spans="5:6" ht="15" customHeight="1" x14ac:dyDescent="0.2">
      <c r="E7924" s="18"/>
      <c r="F7924" s="18"/>
    </row>
    <row r="7925" spans="5:6" ht="15" customHeight="1" x14ac:dyDescent="0.2">
      <c r="E7925" s="18"/>
      <c r="F7925" s="18"/>
    </row>
    <row r="7926" spans="5:6" ht="15" customHeight="1" x14ac:dyDescent="0.2">
      <c r="E7926" s="18"/>
      <c r="F7926" s="18"/>
    </row>
    <row r="7927" spans="5:6" ht="15" customHeight="1" x14ac:dyDescent="0.2">
      <c r="E7927" s="18"/>
      <c r="F7927" s="18"/>
    </row>
    <row r="7928" spans="5:6" ht="15" customHeight="1" x14ac:dyDescent="0.2">
      <c r="E7928" s="18"/>
      <c r="F7928" s="18"/>
    </row>
    <row r="7929" spans="5:6" ht="15" customHeight="1" x14ac:dyDescent="0.2">
      <c r="E7929" s="18"/>
      <c r="F7929" s="18"/>
    </row>
    <row r="7930" spans="5:6" ht="15" customHeight="1" x14ac:dyDescent="0.2">
      <c r="E7930" s="18"/>
      <c r="F7930" s="18"/>
    </row>
    <row r="7931" spans="5:6" ht="15" customHeight="1" x14ac:dyDescent="0.2">
      <c r="E7931" s="18"/>
      <c r="F7931" s="18"/>
    </row>
    <row r="7932" spans="5:6" ht="15" customHeight="1" x14ac:dyDescent="0.2">
      <c r="E7932" s="18"/>
      <c r="F7932" s="18"/>
    </row>
    <row r="7933" spans="5:6" ht="15" customHeight="1" x14ac:dyDescent="0.2">
      <c r="E7933" s="18"/>
      <c r="F7933" s="18"/>
    </row>
    <row r="7934" spans="5:6" ht="15" customHeight="1" x14ac:dyDescent="0.2">
      <c r="E7934" s="18"/>
      <c r="F7934" s="18"/>
    </row>
    <row r="7935" spans="5:6" ht="15" customHeight="1" x14ac:dyDescent="0.2">
      <c r="E7935" s="18"/>
      <c r="F7935" s="18"/>
    </row>
    <row r="7936" spans="5:6" ht="15" customHeight="1" x14ac:dyDescent="0.2">
      <c r="E7936" s="18"/>
      <c r="F7936" s="18"/>
    </row>
    <row r="7937" spans="5:6" ht="15" customHeight="1" x14ac:dyDescent="0.2">
      <c r="E7937" s="18"/>
      <c r="F7937" s="18"/>
    </row>
    <row r="7938" spans="5:6" ht="15" customHeight="1" x14ac:dyDescent="0.2">
      <c r="E7938" s="18"/>
      <c r="F7938" s="18"/>
    </row>
    <row r="7939" spans="5:6" ht="15" customHeight="1" x14ac:dyDescent="0.2">
      <c r="E7939" s="18"/>
      <c r="F7939" s="18"/>
    </row>
    <row r="7940" spans="5:6" ht="15" customHeight="1" x14ac:dyDescent="0.2">
      <c r="E7940" s="18"/>
      <c r="F7940" s="18"/>
    </row>
    <row r="7941" spans="5:6" ht="15" customHeight="1" x14ac:dyDescent="0.2">
      <c r="E7941" s="18"/>
      <c r="F7941" s="18"/>
    </row>
    <row r="7942" spans="5:6" ht="15" customHeight="1" x14ac:dyDescent="0.2">
      <c r="E7942" s="18"/>
      <c r="F7942" s="18"/>
    </row>
    <row r="7943" spans="5:6" ht="15" customHeight="1" x14ac:dyDescent="0.2">
      <c r="E7943" s="18"/>
      <c r="F7943" s="18"/>
    </row>
    <row r="7944" spans="5:6" ht="15" customHeight="1" x14ac:dyDescent="0.2">
      <c r="E7944" s="18"/>
      <c r="F7944" s="18"/>
    </row>
    <row r="7945" spans="5:6" ht="15" customHeight="1" x14ac:dyDescent="0.2">
      <c r="E7945" s="18"/>
      <c r="F7945" s="18"/>
    </row>
    <row r="7946" spans="5:6" ht="15" customHeight="1" x14ac:dyDescent="0.2">
      <c r="E7946" s="18"/>
      <c r="F7946" s="18"/>
    </row>
    <row r="7947" spans="5:6" ht="15" customHeight="1" x14ac:dyDescent="0.2">
      <c r="E7947" s="18"/>
      <c r="F7947" s="18"/>
    </row>
    <row r="7948" spans="5:6" ht="15" customHeight="1" x14ac:dyDescent="0.2">
      <c r="E7948" s="18"/>
      <c r="F7948" s="18"/>
    </row>
    <row r="7949" spans="5:6" ht="15" customHeight="1" x14ac:dyDescent="0.2">
      <c r="E7949" s="18"/>
      <c r="F7949" s="18"/>
    </row>
    <row r="7950" spans="5:6" ht="15" customHeight="1" x14ac:dyDescent="0.2">
      <c r="E7950" s="18"/>
      <c r="F7950" s="18"/>
    </row>
    <row r="7951" spans="5:6" ht="15" customHeight="1" x14ac:dyDescent="0.2">
      <c r="E7951" s="18"/>
      <c r="F7951" s="18"/>
    </row>
    <row r="7952" spans="5:6" ht="15" customHeight="1" x14ac:dyDescent="0.2">
      <c r="E7952" s="18"/>
      <c r="F7952" s="18"/>
    </row>
    <row r="7953" spans="5:6" ht="15" customHeight="1" x14ac:dyDescent="0.2">
      <c r="E7953" s="18"/>
      <c r="F7953" s="18"/>
    </row>
    <row r="7954" spans="5:6" ht="15" customHeight="1" x14ac:dyDescent="0.2">
      <c r="E7954" s="18"/>
      <c r="F7954" s="18"/>
    </row>
    <row r="7955" spans="5:6" ht="15" customHeight="1" x14ac:dyDescent="0.2">
      <c r="E7955" s="18"/>
      <c r="F7955" s="18"/>
    </row>
    <row r="7956" spans="5:6" ht="15" customHeight="1" x14ac:dyDescent="0.2">
      <c r="E7956" s="18"/>
      <c r="F7956" s="18"/>
    </row>
    <row r="7957" spans="5:6" ht="15" customHeight="1" x14ac:dyDescent="0.2">
      <c r="E7957" s="18"/>
      <c r="F7957" s="18"/>
    </row>
    <row r="7958" spans="5:6" ht="15" customHeight="1" x14ac:dyDescent="0.2">
      <c r="E7958" s="18"/>
      <c r="F7958" s="18"/>
    </row>
    <row r="7959" spans="5:6" ht="15" customHeight="1" x14ac:dyDescent="0.2">
      <c r="E7959" s="18"/>
      <c r="F7959" s="18"/>
    </row>
    <row r="7960" spans="5:6" ht="15" customHeight="1" x14ac:dyDescent="0.2">
      <c r="E7960" s="18"/>
      <c r="F7960" s="18"/>
    </row>
    <row r="7961" spans="5:6" ht="15" customHeight="1" x14ac:dyDescent="0.2">
      <c r="E7961" s="18"/>
      <c r="F7961" s="18"/>
    </row>
    <row r="7962" spans="5:6" ht="15" customHeight="1" x14ac:dyDescent="0.2">
      <c r="E7962" s="18"/>
      <c r="F7962" s="18"/>
    </row>
    <row r="7963" spans="5:6" ht="15" customHeight="1" x14ac:dyDescent="0.2">
      <c r="E7963" s="18"/>
      <c r="F7963" s="18"/>
    </row>
    <row r="7964" spans="5:6" ht="15" customHeight="1" x14ac:dyDescent="0.2">
      <c r="E7964" s="18"/>
      <c r="F7964" s="18"/>
    </row>
    <row r="7965" spans="5:6" ht="15" customHeight="1" x14ac:dyDescent="0.2">
      <c r="E7965" s="18"/>
      <c r="F7965" s="18"/>
    </row>
    <row r="7966" spans="5:6" ht="15" customHeight="1" x14ac:dyDescent="0.2">
      <c r="E7966" s="18"/>
      <c r="F7966" s="18"/>
    </row>
    <row r="7967" spans="5:6" ht="15" customHeight="1" x14ac:dyDescent="0.2">
      <c r="E7967" s="18"/>
      <c r="F7967" s="18"/>
    </row>
    <row r="7968" spans="5:6" ht="15" customHeight="1" x14ac:dyDescent="0.2">
      <c r="E7968" s="18"/>
      <c r="F7968" s="18"/>
    </row>
    <row r="7969" spans="5:6" ht="15" customHeight="1" x14ac:dyDescent="0.2">
      <c r="E7969" s="18"/>
      <c r="F7969" s="18"/>
    </row>
    <row r="7970" spans="5:6" ht="15" customHeight="1" x14ac:dyDescent="0.2">
      <c r="E7970" s="18"/>
      <c r="F7970" s="18"/>
    </row>
    <row r="7971" spans="5:6" ht="15" customHeight="1" x14ac:dyDescent="0.2">
      <c r="E7971" s="18"/>
      <c r="F7971" s="18"/>
    </row>
    <row r="7972" spans="5:6" ht="15" customHeight="1" x14ac:dyDescent="0.2">
      <c r="E7972" s="18"/>
      <c r="F7972" s="18"/>
    </row>
    <row r="7973" spans="5:6" ht="15" customHeight="1" x14ac:dyDescent="0.2">
      <c r="E7973" s="18"/>
      <c r="F7973" s="18"/>
    </row>
    <row r="7974" spans="5:6" ht="15" customHeight="1" x14ac:dyDescent="0.2">
      <c r="E7974" s="18"/>
      <c r="F7974" s="18"/>
    </row>
    <row r="7975" spans="5:6" ht="15" customHeight="1" x14ac:dyDescent="0.2">
      <c r="E7975" s="18"/>
      <c r="F7975" s="18"/>
    </row>
    <row r="7976" spans="5:6" ht="15" customHeight="1" x14ac:dyDescent="0.2">
      <c r="E7976" s="18"/>
      <c r="F7976" s="18"/>
    </row>
    <row r="7977" spans="5:6" ht="15" customHeight="1" x14ac:dyDescent="0.2">
      <c r="E7977" s="18"/>
      <c r="F7977" s="18"/>
    </row>
    <row r="7978" spans="5:6" ht="15" customHeight="1" x14ac:dyDescent="0.2">
      <c r="E7978" s="18"/>
      <c r="F7978" s="18"/>
    </row>
    <row r="7979" spans="5:6" ht="15" customHeight="1" x14ac:dyDescent="0.2">
      <c r="E7979" s="18"/>
      <c r="F7979" s="18"/>
    </row>
    <row r="7980" spans="5:6" ht="15" customHeight="1" x14ac:dyDescent="0.2">
      <c r="E7980" s="18"/>
      <c r="F7980" s="18"/>
    </row>
    <row r="7981" spans="5:6" ht="15" customHeight="1" x14ac:dyDescent="0.2">
      <c r="E7981" s="18"/>
      <c r="F7981" s="18"/>
    </row>
    <row r="7982" spans="5:6" ht="15" customHeight="1" x14ac:dyDescent="0.2">
      <c r="E7982" s="18"/>
      <c r="F7982" s="18"/>
    </row>
    <row r="7983" spans="5:6" ht="15" customHeight="1" x14ac:dyDescent="0.2">
      <c r="E7983" s="18"/>
      <c r="F7983" s="18"/>
    </row>
    <row r="7984" spans="5:6" ht="15" customHeight="1" x14ac:dyDescent="0.2">
      <c r="E7984" s="18"/>
      <c r="F7984" s="18"/>
    </row>
    <row r="7985" spans="5:6" ht="15" customHeight="1" x14ac:dyDescent="0.2">
      <c r="E7985" s="18"/>
      <c r="F7985" s="18"/>
    </row>
    <row r="7986" spans="5:6" ht="15" customHeight="1" x14ac:dyDescent="0.2">
      <c r="E7986" s="18"/>
      <c r="F7986" s="18"/>
    </row>
    <row r="7987" spans="5:6" ht="15" customHeight="1" x14ac:dyDescent="0.2">
      <c r="E7987" s="18"/>
      <c r="F7987" s="18"/>
    </row>
    <row r="7988" spans="5:6" ht="15" customHeight="1" x14ac:dyDescent="0.2">
      <c r="E7988" s="18"/>
      <c r="F7988" s="18"/>
    </row>
    <row r="7989" spans="5:6" ht="15" customHeight="1" x14ac:dyDescent="0.2">
      <c r="E7989" s="18"/>
      <c r="F7989" s="18"/>
    </row>
    <row r="7990" spans="5:6" ht="15" customHeight="1" x14ac:dyDescent="0.2">
      <c r="E7990" s="18"/>
      <c r="F7990" s="18"/>
    </row>
    <row r="7991" spans="5:6" ht="15" customHeight="1" x14ac:dyDescent="0.2">
      <c r="E7991" s="18"/>
      <c r="F7991" s="18"/>
    </row>
    <row r="7992" spans="5:6" ht="15" customHeight="1" x14ac:dyDescent="0.2">
      <c r="E7992" s="18"/>
      <c r="F7992" s="18"/>
    </row>
    <row r="7993" spans="5:6" ht="15" customHeight="1" x14ac:dyDescent="0.2">
      <c r="E7993" s="18"/>
      <c r="F7993" s="18"/>
    </row>
    <row r="7994" spans="5:6" ht="15" customHeight="1" x14ac:dyDescent="0.2">
      <c r="E7994" s="18"/>
      <c r="F7994" s="18"/>
    </row>
    <row r="7995" spans="5:6" ht="15" customHeight="1" x14ac:dyDescent="0.2">
      <c r="E7995" s="18"/>
      <c r="F7995" s="18"/>
    </row>
    <row r="7996" spans="5:6" ht="15" customHeight="1" x14ac:dyDescent="0.2">
      <c r="E7996" s="18"/>
      <c r="F7996" s="18"/>
    </row>
    <row r="7997" spans="5:6" ht="15" customHeight="1" x14ac:dyDescent="0.2">
      <c r="E7997" s="18"/>
      <c r="F7997" s="18"/>
    </row>
    <row r="7998" spans="5:6" ht="15" customHeight="1" x14ac:dyDescent="0.2">
      <c r="E7998" s="18"/>
      <c r="F7998" s="18"/>
    </row>
    <row r="7999" spans="5:6" ht="15" customHeight="1" x14ac:dyDescent="0.2">
      <c r="E7999" s="18"/>
      <c r="F7999" s="18"/>
    </row>
    <row r="8000" spans="5:6" ht="15" customHeight="1" x14ac:dyDescent="0.2">
      <c r="E8000" s="18"/>
      <c r="F8000" s="18"/>
    </row>
    <row r="8001" spans="5:6" ht="15" customHeight="1" x14ac:dyDescent="0.2">
      <c r="E8001" s="18"/>
      <c r="F8001" s="18"/>
    </row>
    <row r="8002" spans="5:6" ht="15" customHeight="1" x14ac:dyDescent="0.2">
      <c r="E8002" s="18"/>
      <c r="F8002" s="18"/>
    </row>
    <row r="8003" spans="5:6" ht="15" customHeight="1" x14ac:dyDescent="0.2">
      <c r="E8003" s="18"/>
      <c r="F8003" s="18"/>
    </row>
    <row r="8004" spans="5:6" ht="15" customHeight="1" x14ac:dyDescent="0.2">
      <c r="E8004" s="18"/>
      <c r="F8004" s="18"/>
    </row>
    <row r="8005" spans="5:6" ht="15" customHeight="1" x14ac:dyDescent="0.2">
      <c r="E8005" s="18"/>
      <c r="F8005" s="18"/>
    </row>
    <row r="8006" spans="5:6" ht="15" customHeight="1" x14ac:dyDescent="0.2">
      <c r="E8006" s="18"/>
      <c r="F8006" s="18"/>
    </row>
    <row r="8007" spans="5:6" ht="15" customHeight="1" x14ac:dyDescent="0.2">
      <c r="E8007" s="18"/>
      <c r="F8007" s="18"/>
    </row>
    <row r="8008" spans="5:6" ht="15" customHeight="1" x14ac:dyDescent="0.2">
      <c r="E8008" s="18"/>
      <c r="F8008" s="18"/>
    </row>
    <row r="8009" spans="5:6" ht="15" customHeight="1" x14ac:dyDescent="0.2">
      <c r="E8009" s="18"/>
      <c r="F8009" s="18"/>
    </row>
    <row r="8010" spans="5:6" ht="15" customHeight="1" x14ac:dyDescent="0.2">
      <c r="E8010" s="18"/>
      <c r="F8010" s="18"/>
    </row>
    <row r="8011" spans="5:6" ht="15" customHeight="1" x14ac:dyDescent="0.2">
      <c r="E8011" s="18"/>
      <c r="F8011" s="18"/>
    </row>
    <row r="8012" spans="5:6" ht="15" customHeight="1" x14ac:dyDescent="0.2">
      <c r="E8012" s="18"/>
      <c r="F8012" s="18"/>
    </row>
    <row r="8013" spans="5:6" ht="15" customHeight="1" x14ac:dyDescent="0.2">
      <c r="E8013" s="18"/>
      <c r="F8013" s="18"/>
    </row>
    <row r="8014" spans="5:6" ht="15" customHeight="1" x14ac:dyDescent="0.2">
      <c r="E8014" s="18"/>
      <c r="F8014" s="18"/>
    </row>
    <row r="8015" spans="5:6" ht="15" customHeight="1" x14ac:dyDescent="0.2">
      <c r="E8015" s="18"/>
      <c r="F8015" s="18"/>
    </row>
    <row r="8016" spans="5:6" ht="15" customHeight="1" x14ac:dyDescent="0.2">
      <c r="E8016" s="18"/>
      <c r="F8016" s="18"/>
    </row>
    <row r="8017" spans="5:6" ht="15" customHeight="1" x14ac:dyDescent="0.2">
      <c r="E8017" s="18"/>
      <c r="F8017" s="18"/>
    </row>
    <row r="8018" spans="5:6" ht="15" customHeight="1" x14ac:dyDescent="0.2">
      <c r="E8018" s="18"/>
      <c r="F8018" s="18"/>
    </row>
    <row r="8019" spans="5:6" ht="15" customHeight="1" x14ac:dyDescent="0.2">
      <c r="E8019" s="18"/>
      <c r="F8019" s="18"/>
    </row>
    <row r="8020" spans="5:6" ht="15" customHeight="1" x14ac:dyDescent="0.2">
      <c r="E8020" s="18"/>
      <c r="F8020" s="18"/>
    </row>
    <row r="8021" spans="5:6" ht="15" customHeight="1" x14ac:dyDescent="0.2">
      <c r="E8021" s="18"/>
      <c r="F8021" s="18"/>
    </row>
    <row r="8022" spans="5:6" ht="15" customHeight="1" x14ac:dyDescent="0.2">
      <c r="E8022" s="18"/>
      <c r="F8022" s="18"/>
    </row>
    <row r="8023" spans="5:6" ht="15" customHeight="1" x14ac:dyDescent="0.2">
      <c r="E8023" s="18"/>
      <c r="F8023" s="18"/>
    </row>
    <row r="8024" spans="5:6" ht="15" customHeight="1" x14ac:dyDescent="0.2">
      <c r="E8024" s="18"/>
      <c r="F8024" s="18"/>
    </row>
    <row r="8025" spans="5:6" ht="15" customHeight="1" x14ac:dyDescent="0.2">
      <c r="E8025" s="18"/>
      <c r="F8025" s="18"/>
    </row>
    <row r="8026" spans="5:6" ht="15" customHeight="1" x14ac:dyDescent="0.2">
      <c r="E8026" s="18"/>
      <c r="F8026" s="18"/>
    </row>
    <row r="8027" spans="5:6" ht="15" customHeight="1" x14ac:dyDescent="0.2">
      <c r="E8027" s="18"/>
      <c r="F8027" s="18"/>
    </row>
    <row r="8028" spans="5:6" ht="15" customHeight="1" x14ac:dyDescent="0.2">
      <c r="E8028" s="18"/>
      <c r="F8028" s="18"/>
    </row>
    <row r="8029" spans="5:6" ht="15" customHeight="1" x14ac:dyDescent="0.2">
      <c r="E8029" s="18"/>
      <c r="F8029" s="18"/>
    </row>
    <row r="8030" spans="5:6" ht="15" customHeight="1" x14ac:dyDescent="0.2">
      <c r="E8030" s="18"/>
      <c r="F8030" s="18"/>
    </row>
    <row r="8031" spans="5:6" ht="15" customHeight="1" x14ac:dyDescent="0.2">
      <c r="E8031" s="18"/>
      <c r="F8031" s="18"/>
    </row>
    <row r="8032" spans="5:6" ht="15" customHeight="1" x14ac:dyDescent="0.2">
      <c r="E8032" s="18"/>
      <c r="F8032" s="18"/>
    </row>
    <row r="8033" spans="5:6" ht="15" customHeight="1" x14ac:dyDescent="0.2">
      <c r="E8033" s="18"/>
      <c r="F8033" s="18"/>
    </row>
    <row r="8034" spans="5:6" ht="15" customHeight="1" x14ac:dyDescent="0.2">
      <c r="E8034" s="18"/>
      <c r="F8034" s="18"/>
    </row>
    <row r="8035" spans="5:6" ht="15" customHeight="1" x14ac:dyDescent="0.2">
      <c r="E8035" s="18"/>
      <c r="F8035" s="18"/>
    </row>
    <row r="8036" spans="5:6" ht="15" customHeight="1" x14ac:dyDescent="0.2">
      <c r="E8036" s="18"/>
      <c r="F8036" s="18"/>
    </row>
    <row r="8037" spans="5:6" ht="15" customHeight="1" x14ac:dyDescent="0.2">
      <c r="E8037" s="18"/>
      <c r="F8037" s="18"/>
    </row>
    <row r="8038" spans="5:6" ht="15" customHeight="1" x14ac:dyDescent="0.2">
      <c r="E8038" s="18"/>
      <c r="F8038" s="18"/>
    </row>
    <row r="8039" spans="5:6" ht="15" customHeight="1" x14ac:dyDescent="0.2">
      <c r="E8039" s="18"/>
      <c r="F8039" s="18"/>
    </row>
    <row r="8040" spans="5:6" ht="15" customHeight="1" x14ac:dyDescent="0.2">
      <c r="E8040" s="18"/>
      <c r="F8040" s="18"/>
    </row>
    <row r="8041" spans="5:6" ht="15" customHeight="1" x14ac:dyDescent="0.2">
      <c r="E8041" s="18"/>
      <c r="F8041" s="18"/>
    </row>
    <row r="8042" spans="5:6" ht="15" customHeight="1" x14ac:dyDescent="0.2">
      <c r="E8042" s="18"/>
      <c r="F8042" s="18"/>
    </row>
    <row r="8043" spans="5:6" ht="15" customHeight="1" x14ac:dyDescent="0.2">
      <c r="E8043" s="18"/>
      <c r="F8043" s="18"/>
    </row>
    <row r="8044" spans="5:6" ht="15" customHeight="1" x14ac:dyDescent="0.2">
      <c r="E8044" s="18"/>
      <c r="F8044" s="18"/>
    </row>
    <row r="8045" spans="5:6" ht="15" customHeight="1" x14ac:dyDescent="0.2">
      <c r="E8045" s="18"/>
      <c r="F8045" s="18"/>
    </row>
    <row r="8046" spans="5:6" ht="15" customHeight="1" x14ac:dyDescent="0.2">
      <c r="E8046" s="18"/>
      <c r="F8046" s="18"/>
    </row>
    <row r="8047" spans="5:6" ht="15" customHeight="1" x14ac:dyDescent="0.2">
      <c r="E8047" s="18"/>
      <c r="F8047" s="18"/>
    </row>
    <row r="8048" spans="5:6" ht="15" customHeight="1" x14ac:dyDescent="0.2">
      <c r="E8048" s="18"/>
      <c r="F8048" s="18"/>
    </row>
    <row r="8049" spans="5:6" ht="15" customHeight="1" x14ac:dyDescent="0.2">
      <c r="E8049" s="18"/>
      <c r="F8049" s="18"/>
    </row>
    <row r="8050" spans="5:6" ht="15" customHeight="1" x14ac:dyDescent="0.2">
      <c r="E8050" s="18"/>
      <c r="F8050" s="18"/>
    </row>
    <row r="8051" spans="5:6" ht="15" customHeight="1" x14ac:dyDescent="0.2">
      <c r="E8051" s="18"/>
      <c r="F8051" s="18"/>
    </row>
    <row r="8052" spans="5:6" ht="15" customHeight="1" x14ac:dyDescent="0.2">
      <c r="E8052" s="18"/>
      <c r="F8052" s="18"/>
    </row>
    <row r="8053" spans="5:6" ht="15" customHeight="1" x14ac:dyDescent="0.2">
      <c r="E8053" s="18"/>
      <c r="F8053" s="18"/>
    </row>
    <row r="8054" spans="5:6" ht="15" customHeight="1" x14ac:dyDescent="0.2">
      <c r="E8054" s="18"/>
      <c r="F8054" s="18"/>
    </row>
    <row r="8055" spans="5:6" ht="15" customHeight="1" x14ac:dyDescent="0.2">
      <c r="E8055" s="18"/>
      <c r="F8055" s="18"/>
    </row>
    <row r="8056" spans="5:6" ht="15" customHeight="1" x14ac:dyDescent="0.2">
      <c r="E8056" s="18"/>
      <c r="F8056" s="18"/>
    </row>
    <row r="8057" spans="5:6" ht="15" customHeight="1" x14ac:dyDescent="0.2">
      <c r="E8057" s="18"/>
      <c r="F8057" s="18"/>
    </row>
    <row r="8058" spans="5:6" ht="15" customHeight="1" x14ac:dyDescent="0.2">
      <c r="E8058" s="18"/>
      <c r="F8058" s="18"/>
    </row>
    <row r="8059" spans="5:6" ht="15" customHeight="1" x14ac:dyDescent="0.2">
      <c r="E8059" s="18"/>
      <c r="F8059" s="18"/>
    </row>
    <row r="8060" spans="5:6" ht="15" customHeight="1" x14ac:dyDescent="0.2">
      <c r="E8060" s="18"/>
      <c r="F8060" s="18"/>
    </row>
    <row r="8061" spans="5:6" ht="15" customHeight="1" x14ac:dyDescent="0.2">
      <c r="E8061" s="18"/>
      <c r="F8061" s="18"/>
    </row>
    <row r="8062" spans="5:6" ht="15" customHeight="1" x14ac:dyDescent="0.2">
      <c r="E8062" s="18"/>
      <c r="F8062" s="18"/>
    </row>
    <row r="8063" spans="5:6" ht="15" customHeight="1" x14ac:dyDescent="0.2">
      <c r="E8063" s="18"/>
      <c r="F8063" s="18"/>
    </row>
    <row r="8064" spans="5:6" ht="15" customHeight="1" x14ac:dyDescent="0.2">
      <c r="E8064" s="18"/>
      <c r="F8064" s="18"/>
    </row>
    <row r="8065" spans="5:6" ht="15" customHeight="1" x14ac:dyDescent="0.2">
      <c r="E8065" s="18"/>
      <c r="F8065" s="18"/>
    </row>
    <row r="8066" spans="5:6" ht="15" customHeight="1" x14ac:dyDescent="0.2">
      <c r="E8066" s="18"/>
      <c r="F8066" s="18"/>
    </row>
    <row r="8067" spans="5:6" ht="15" customHeight="1" x14ac:dyDescent="0.2">
      <c r="E8067" s="18"/>
      <c r="F8067" s="18"/>
    </row>
    <row r="8068" spans="5:6" ht="15" customHeight="1" x14ac:dyDescent="0.2">
      <c r="E8068" s="18"/>
      <c r="F8068" s="18"/>
    </row>
    <row r="8069" spans="5:6" ht="15" customHeight="1" x14ac:dyDescent="0.2">
      <c r="E8069" s="18"/>
      <c r="F8069" s="18"/>
    </row>
    <row r="8070" spans="5:6" ht="15" customHeight="1" x14ac:dyDescent="0.2">
      <c r="E8070" s="18"/>
      <c r="F8070" s="18"/>
    </row>
    <row r="8071" spans="5:6" ht="15" customHeight="1" x14ac:dyDescent="0.2">
      <c r="E8071" s="18"/>
      <c r="F8071" s="18"/>
    </row>
    <row r="8072" spans="5:6" ht="15" customHeight="1" x14ac:dyDescent="0.2">
      <c r="E8072" s="18"/>
      <c r="F8072" s="18"/>
    </row>
    <row r="8073" spans="5:6" ht="15" customHeight="1" x14ac:dyDescent="0.2">
      <c r="E8073" s="18"/>
      <c r="F8073" s="18"/>
    </row>
    <row r="8074" spans="5:6" ht="15" customHeight="1" x14ac:dyDescent="0.2">
      <c r="E8074" s="18"/>
      <c r="F8074" s="18"/>
    </row>
    <row r="8075" spans="5:6" ht="15" customHeight="1" x14ac:dyDescent="0.2">
      <c r="E8075" s="18"/>
      <c r="F8075" s="18"/>
    </row>
    <row r="8076" spans="5:6" ht="15" customHeight="1" x14ac:dyDescent="0.2">
      <c r="E8076" s="18"/>
      <c r="F8076" s="18"/>
    </row>
    <row r="8077" spans="5:6" ht="15" customHeight="1" x14ac:dyDescent="0.2">
      <c r="E8077" s="18"/>
      <c r="F8077" s="18"/>
    </row>
    <row r="8078" spans="5:6" ht="15" customHeight="1" x14ac:dyDescent="0.2">
      <c r="E8078" s="18"/>
      <c r="F8078" s="18"/>
    </row>
    <row r="8079" spans="5:6" ht="15" customHeight="1" x14ac:dyDescent="0.2">
      <c r="E8079" s="18"/>
      <c r="F8079" s="18"/>
    </row>
    <row r="8080" spans="5:6" ht="15" customHeight="1" x14ac:dyDescent="0.2">
      <c r="E8080" s="18"/>
      <c r="F8080" s="18"/>
    </row>
    <row r="8081" spans="5:6" ht="15" customHeight="1" x14ac:dyDescent="0.2">
      <c r="E8081" s="18"/>
      <c r="F8081" s="18"/>
    </row>
    <row r="8082" spans="5:6" ht="15" customHeight="1" x14ac:dyDescent="0.2">
      <c r="E8082" s="18"/>
      <c r="F8082" s="18"/>
    </row>
    <row r="8083" spans="5:6" ht="15" customHeight="1" x14ac:dyDescent="0.2">
      <c r="E8083" s="18"/>
      <c r="F8083" s="18"/>
    </row>
    <row r="8084" spans="5:6" ht="15" customHeight="1" x14ac:dyDescent="0.2">
      <c r="E8084" s="18"/>
      <c r="F8084" s="18"/>
    </row>
    <row r="8085" spans="5:6" ht="15" customHeight="1" x14ac:dyDescent="0.2">
      <c r="E8085" s="18"/>
      <c r="F8085" s="18"/>
    </row>
    <row r="8086" spans="5:6" ht="15" customHeight="1" x14ac:dyDescent="0.2">
      <c r="E8086" s="18"/>
      <c r="F8086" s="18"/>
    </row>
    <row r="8087" spans="5:6" ht="15" customHeight="1" x14ac:dyDescent="0.2">
      <c r="E8087" s="18"/>
      <c r="F8087" s="18"/>
    </row>
    <row r="8088" spans="5:6" ht="15" customHeight="1" x14ac:dyDescent="0.2">
      <c r="E8088" s="18"/>
      <c r="F8088" s="18"/>
    </row>
    <row r="8089" spans="5:6" ht="15" customHeight="1" x14ac:dyDescent="0.2">
      <c r="E8089" s="18"/>
      <c r="F8089" s="18"/>
    </row>
    <row r="8090" spans="5:6" ht="15" customHeight="1" x14ac:dyDescent="0.2">
      <c r="E8090" s="18"/>
      <c r="F8090" s="18"/>
    </row>
    <row r="8091" spans="5:6" ht="15" customHeight="1" x14ac:dyDescent="0.2">
      <c r="E8091" s="18"/>
      <c r="F8091" s="18"/>
    </row>
    <row r="8092" spans="5:6" ht="15" customHeight="1" x14ac:dyDescent="0.2">
      <c r="E8092" s="18"/>
      <c r="F8092" s="18"/>
    </row>
    <row r="8093" spans="5:6" ht="15" customHeight="1" x14ac:dyDescent="0.2">
      <c r="E8093" s="18"/>
      <c r="F8093" s="18"/>
    </row>
    <row r="8094" spans="5:6" ht="15" customHeight="1" x14ac:dyDescent="0.2">
      <c r="E8094" s="18"/>
      <c r="F8094" s="18"/>
    </row>
    <row r="8095" spans="5:6" ht="15" customHeight="1" x14ac:dyDescent="0.2">
      <c r="E8095" s="18"/>
      <c r="F8095" s="18"/>
    </row>
    <row r="8096" spans="5:6" ht="15" customHeight="1" x14ac:dyDescent="0.2">
      <c r="E8096" s="18"/>
      <c r="F8096" s="18"/>
    </row>
    <row r="8097" spans="5:6" ht="15" customHeight="1" x14ac:dyDescent="0.2">
      <c r="E8097" s="18"/>
      <c r="F8097" s="18"/>
    </row>
    <row r="8098" spans="5:6" ht="15" customHeight="1" x14ac:dyDescent="0.2">
      <c r="E8098" s="18"/>
      <c r="F8098" s="18"/>
    </row>
    <row r="8099" spans="5:6" ht="15" customHeight="1" x14ac:dyDescent="0.2">
      <c r="E8099" s="18"/>
      <c r="F8099" s="18"/>
    </row>
    <row r="8100" spans="5:6" ht="15" customHeight="1" x14ac:dyDescent="0.2">
      <c r="E8100" s="18"/>
      <c r="F8100" s="18"/>
    </row>
    <row r="8101" spans="5:6" ht="15" customHeight="1" x14ac:dyDescent="0.2">
      <c r="E8101" s="18"/>
      <c r="F8101" s="18"/>
    </row>
    <row r="8102" spans="5:6" ht="15" customHeight="1" x14ac:dyDescent="0.2">
      <c r="E8102" s="18"/>
      <c r="F8102" s="18"/>
    </row>
    <row r="8103" spans="5:6" ht="15" customHeight="1" x14ac:dyDescent="0.2">
      <c r="E8103" s="18"/>
      <c r="F8103" s="18"/>
    </row>
    <row r="8104" spans="5:6" ht="15" customHeight="1" x14ac:dyDescent="0.2">
      <c r="E8104" s="18"/>
      <c r="F8104" s="18"/>
    </row>
    <row r="8105" spans="5:6" ht="15" customHeight="1" x14ac:dyDescent="0.2">
      <c r="E8105" s="18"/>
      <c r="F8105" s="18"/>
    </row>
    <row r="8106" spans="5:6" ht="15" customHeight="1" x14ac:dyDescent="0.2">
      <c r="E8106" s="18"/>
      <c r="F8106" s="18"/>
    </row>
    <row r="8107" spans="5:6" ht="15" customHeight="1" x14ac:dyDescent="0.2">
      <c r="E8107" s="18"/>
      <c r="F8107" s="18"/>
    </row>
    <row r="8108" spans="5:6" ht="15" customHeight="1" x14ac:dyDescent="0.2">
      <c r="E8108" s="18"/>
      <c r="F8108" s="18"/>
    </row>
    <row r="8109" spans="5:6" ht="15" customHeight="1" x14ac:dyDescent="0.2">
      <c r="E8109" s="18"/>
      <c r="F8109" s="18"/>
    </row>
    <row r="8110" spans="5:6" ht="15" customHeight="1" x14ac:dyDescent="0.2">
      <c r="E8110" s="18"/>
      <c r="F8110" s="18"/>
    </row>
    <row r="8111" spans="5:6" ht="15" customHeight="1" x14ac:dyDescent="0.2">
      <c r="E8111" s="18"/>
      <c r="F8111" s="18"/>
    </row>
    <row r="8112" spans="5:6" ht="15" customHeight="1" x14ac:dyDescent="0.2">
      <c r="E8112" s="18"/>
      <c r="F8112" s="18"/>
    </row>
    <row r="8113" spans="5:6" ht="15" customHeight="1" x14ac:dyDescent="0.2">
      <c r="E8113" s="18"/>
      <c r="F8113" s="18"/>
    </row>
    <row r="8114" spans="5:6" ht="15" customHeight="1" x14ac:dyDescent="0.2">
      <c r="E8114" s="18"/>
      <c r="F8114" s="18"/>
    </row>
    <row r="8115" spans="5:6" ht="15" customHeight="1" x14ac:dyDescent="0.2">
      <c r="E8115" s="18"/>
      <c r="F8115" s="18"/>
    </row>
    <row r="8116" spans="5:6" ht="15" customHeight="1" x14ac:dyDescent="0.2">
      <c r="E8116" s="18"/>
      <c r="F8116" s="18"/>
    </row>
    <row r="8117" spans="5:6" ht="15" customHeight="1" x14ac:dyDescent="0.2">
      <c r="E8117" s="18"/>
      <c r="F8117" s="18"/>
    </row>
    <row r="8118" spans="5:6" ht="15" customHeight="1" x14ac:dyDescent="0.2">
      <c r="E8118" s="18"/>
      <c r="F8118" s="18"/>
    </row>
    <row r="8119" spans="5:6" ht="15" customHeight="1" x14ac:dyDescent="0.2">
      <c r="E8119" s="18"/>
      <c r="F8119" s="18"/>
    </row>
    <row r="8120" spans="5:6" ht="15" customHeight="1" x14ac:dyDescent="0.2">
      <c r="E8120" s="18"/>
      <c r="F8120" s="18"/>
    </row>
    <row r="8121" spans="5:6" ht="15" customHeight="1" x14ac:dyDescent="0.2">
      <c r="E8121" s="18"/>
      <c r="F8121" s="18"/>
    </row>
    <row r="8122" spans="5:6" ht="15" customHeight="1" x14ac:dyDescent="0.2">
      <c r="E8122" s="18"/>
      <c r="F8122" s="18"/>
    </row>
    <row r="8123" spans="5:6" ht="15" customHeight="1" x14ac:dyDescent="0.2">
      <c r="E8123" s="18"/>
      <c r="F8123" s="18"/>
    </row>
    <row r="8124" spans="5:6" ht="15" customHeight="1" x14ac:dyDescent="0.2">
      <c r="E8124" s="18"/>
      <c r="F8124" s="18"/>
    </row>
    <row r="8125" spans="5:6" ht="15" customHeight="1" x14ac:dyDescent="0.2">
      <c r="E8125" s="18"/>
      <c r="F8125" s="18"/>
    </row>
    <row r="8126" spans="5:6" ht="15" customHeight="1" x14ac:dyDescent="0.2">
      <c r="E8126" s="18"/>
      <c r="F8126" s="18"/>
    </row>
    <row r="8127" spans="5:6" ht="15" customHeight="1" x14ac:dyDescent="0.2">
      <c r="E8127" s="18"/>
      <c r="F8127" s="18"/>
    </row>
    <row r="8128" spans="5:6" ht="15" customHeight="1" x14ac:dyDescent="0.2">
      <c r="E8128" s="18"/>
      <c r="F8128" s="18"/>
    </row>
    <row r="8129" spans="5:6" ht="15" customHeight="1" x14ac:dyDescent="0.2">
      <c r="E8129" s="18"/>
      <c r="F8129" s="18"/>
    </row>
    <row r="8130" spans="5:6" ht="15" customHeight="1" x14ac:dyDescent="0.2">
      <c r="E8130" s="18"/>
      <c r="F8130" s="18"/>
    </row>
    <row r="8131" spans="5:6" ht="15" customHeight="1" x14ac:dyDescent="0.2">
      <c r="E8131" s="18"/>
      <c r="F8131" s="18"/>
    </row>
    <row r="8132" spans="5:6" ht="15" customHeight="1" x14ac:dyDescent="0.2">
      <c r="E8132" s="18"/>
      <c r="F8132" s="18"/>
    </row>
    <row r="8133" spans="5:6" ht="15" customHeight="1" x14ac:dyDescent="0.2">
      <c r="E8133" s="18"/>
      <c r="F8133" s="18"/>
    </row>
    <row r="8134" spans="5:6" ht="15" customHeight="1" x14ac:dyDescent="0.2">
      <c r="E8134" s="18"/>
      <c r="F8134" s="18"/>
    </row>
    <row r="8135" spans="5:6" ht="15" customHeight="1" x14ac:dyDescent="0.2">
      <c r="E8135" s="18"/>
      <c r="F8135" s="18"/>
    </row>
    <row r="8136" spans="5:6" ht="15" customHeight="1" x14ac:dyDescent="0.2">
      <c r="E8136" s="18"/>
      <c r="F8136" s="18"/>
    </row>
    <row r="8137" spans="5:6" ht="15" customHeight="1" x14ac:dyDescent="0.2">
      <c r="E8137" s="18"/>
      <c r="F8137" s="18"/>
    </row>
    <row r="8138" spans="5:6" ht="15" customHeight="1" x14ac:dyDescent="0.2">
      <c r="E8138" s="18"/>
      <c r="F8138" s="18"/>
    </row>
    <row r="8139" spans="5:6" ht="15" customHeight="1" x14ac:dyDescent="0.2">
      <c r="E8139" s="18"/>
      <c r="F8139" s="18"/>
    </row>
    <row r="8140" spans="5:6" ht="15" customHeight="1" x14ac:dyDescent="0.2">
      <c r="E8140" s="18"/>
      <c r="F8140" s="18"/>
    </row>
    <row r="8141" spans="5:6" ht="15" customHeight="1" x14ac:dyDescent="0.2">
      <c r="E8141" s="18"/>
      <c r="F8141" s="18"/>
    </row>
    <row r="8142" spans="5:6" ht="15" customHeight="1" x14ac:dyDescent="0.2">
      <c r="E8142" s="18"/>
      <c r="F8142" s="18"/>
    </row>
    <row r="8143" spans="5:6" ht="15" customHeight="1" x14ac:dyDescent="0.2">
      <c r="E8143" s="18"/>
      <c r="F8143" s="18"/>
    </row>
    <row r="8144" spans="5:6" ht="15" customHeight="1" x14ac:dyDescent="0.2">
      <c r="E8144" s="18"/>
      <c r="F8144" s="18"/>
    </row>
    <row r="8145" spans="5:6" ht="15" customHeight="1" x14ac:dyDescent="0.2">
      <c r="E8145" s="18"/>
      <c r="F8145" s="18"/>
    </row>
    <row r="8146" spans="5:6" ht="15" customHeight="1" x14ac:dyDescent="0.2">
      <c r="E8146" s="18"/>
      <c r="F8146" s="18"/>
    </row>
    <row r="8147" spans="5:6" ht="15" customHeight="1" x14ac:dyDescent="0.2">
      <c r="E8147" s="18"/>
      <c r="F8147" s="18"/>
    </row>
    <row r="8148" spans="5:6" ht="15" customHeight="1" x14ac:dyDescent="0.2">
      <c r="E8148" s="18"/>
      <c r="F8148" s="18"/>
    </row>
    <row r="8149" spans="5:6" ht="15" customHeight="1" x14ac:dyDescent="0.2">
      <c r="E8149" s="18"/>
      <c r="F8149" s="18"/>
    </row>
    <row r="8150" spans="5:6" ht="15" customHeight="1" x14ac:dyDescent="0.2">
      <c r="E8150" s="18"/>
      <c r="F8150" s="18"/>
    </row>
    <row r="8151" spans="5:6" ht="15" customHeight="1" x14ac:dyDescent="0.2">
      <c r="E8151" s="18"/>
      <c r="F8151" s="18"/>
    </row>
    <row r="8152" spans="5:6" ht="15" customHeight="1" x14ac:dyDescent="0.2">
      <c r="E8152" s="18"/>
      <c r="F8152" s="18"/>
    </row>
    <row r="8153" spans="5:6" ht="15" customHeight="1" x14ac:dyDescent="0.2">
      <c r="E8153" s="18"/>
      <c r="F8153" s="18"/>
    </row>
    <row r="8154" spans="5:6" ht="15" customHeight="1" x14ac:dyDescent="0.2">
      <c r="E8154" s="18"/>
      <c r="F8154" s="18"/>
    </row>
    <row r="8155" spans="5:6" ht="15" customHeight="1" x14ac:dyDescent="0.2">
      <c r="E8155" s="18"/>
      <c r="F8155" s="18"/>
    </row>
    <row r="8156" spans="5:6" ht="15" customHeight="1" x14ac:dyDescent="0.2">
      <c r="E8156" s="18"/>
      <c r="F8156" s="18"/>
    </row>
    <row r="8157" spans="5:6" ht="15" customHeight="1" x14ac:dyDescent="0.2">
      <c r="E8157" s="18"/>
      <c r="F8157" s="18"/>
    </row>
    <row r="8158" spans="5:6" ht="15" customHeight="1" x14ac:dyDescent="0.2">
      <c r="E8158" s="18"/>
      <c r="F8158" s="18"/>
    </row>
    <row r="8159" spans="5:6" ht="15" customHeight="1" x14ac:dyDescent="0.2">
      <c r="E8159" s="18"/>
      <c r="F8159" s="18"/>
    </row>
    <row r="8160" spans="5:6" ht="15" customHeight="1" x14ac:dyDescent="0.2">
      <c r="E8160" s="18"/>
      <c r="F8160" s="18"/>
    </row>
    <row r="8161" spans="5:6" ht="15" customHeight="1" x14ac:dyDescent="0.2">
      <c r="E8161" s="18"/>
      <c r="F8161" s="18"/>
    </row>
    <row r="8162" spans="5:6" ht="15" customHeight="1" x14ac:dyDescent="0.2">
      <c r="E8162" s="18"/>
      <c r="F8162" s="18"/>
    </row>
    <row r="8163" spans="5:6" ht="15" customHeight="1" x14ac:dyDescent="0.2">
      <c r="E8163" s="18"/>
      <c r="F8163" s="18"/>
    </row>
    <row r="8164" spans="5:6" ht="15" customHeight="1" x14ac:dyDescent="0.2">
      <c r="E8164" s="18"/>
      <c r="F8164" s="18"/>
    </row>
    <row r="8165" spans="5:6" ht="15" customHeight="1" x14ac:dyDescent="0.2">
      <c r="E8165" s="18"/>
      <c r="F8165" s="18"/>
    </row>
    <row r="8166" spans="5:6" ht="15" customHeight="1" x14ac:dyDescent="0.2">
      <c r="E8166" s="18"/>
      <c r="F8166" s="18"/>
    </row>
    <row r="8167" spans="5:6" ht="15" customHeight="1" x14ac:dyDescent="0.2">
      <c r="E8167" s="18"/>
      <c r="F8167" s="18"/>
    </row>
    <row r="8168" spans="5:6" ht="15" customHeight="1" x14ac:dyDescent="0.2">
      <c r="E8168" s="18"/>
      <c r="F8168" s="18"/>
    </row>
    <row r="8169" spans="5:6" ht="15" customHeight="1" x14ac:dyDescent="0.2">
      <c r="E8169" s="18"/>
      <c r="F8169" s="18"/>
    </row>
    <row r="8170" spans="5:6" ht="15" customHeight="1" x14ac:dyDescent="0.2">
      <c r="E8170" s="18"/>
      <c r="F8170" s="18"/>
    </row>
    <row r="8171" spans="5:6" ht="15" customHeight="1" x14ac:dyDescent="0.2">
      <c r="E8171" s="18"/>
      <c r="F8171" s="18"/>
    </row>
    <row r="8172" spans="5:6" ht="15" customHeight="1" x14ac:dyDescent="0.2">
      <c r="E8172" s="18"/>
      <c r="F8172" s="18"/>
    </row>
    <row r="8173" spans="5:6" ht="15" customHeight="1" x14ac:dyDescent="0.2">
      <c r="E8173" s="18"/>
      <c r="F8173" s="18"/>
    </row>
    <row r="8174" spans="5:6" ht="15" customHeight="1" x14ac:dyDescent="0.2">
      <c r="E8174" s="18"/>
      <c r="F8174" s="18"/>
    </row>
    <row r="8175" spans="5:6" ht="15" customHeight="1" x14ac:dyDescent="0.2">
      <c r="E8175" s="18"/>
      <c r="F8175" s="18"/>
    </row>
    <row r="8176" spans="5:6" ht="15" customHeight="1" x14ac:dyDescent="0.2">
      <c r="E8176" s="18"/>
      <c r="F8176" s="18"/>
    </row>
    <row r="8177" spans="5:6" ht="15" customHeight="1" x14ac:dyDescent="0.2">
      <c r="E8177" s="18"/>
      <c r="F8177" s="18"/>
    </row>
    <row r="8178" spans="5:6" ht="15" customHeight="1" x14ac:dyDescent="0.2">
      <c r="E8178" s="18"/>
      <c r="F8178" s="18"/>
    </row>
    <row r="8179" spans="5:6" ht="15" customHeight="1" x14ac:dyDescent="0.2">
      <c r="E8179" s="18"/>
      <c r="F8179" s="18"/>
    </row>
    <row r="8180" spans="5:6" ht="15" customHeight="1" x14ac:dyDescent="0.2">
      <c r="E8180" s="18"/>
      <c r="F8180" s="18"/>
    </row>
    <row r="8181" spans="5:6" ht="15" customHeight="1" x14ac:dyDescent="0.2">
      <c r="E8181" s="18"/>
      <c r="F8181" s="18"/>
    </row>
    <row r="8182" spans="5:6" ht="15" customHeight="1" x14ac:dyDescent="0.2">
      <c r="E8182" s="18"/>
      <c r="F8182" s="18"/>
    </row>
    <row r="8183" spans="5:6" ht="15" customHeight="1" x14ac:dyDescent="0.2">
      <c r="E8183" s="18"/>
      <c r="F8183" s="18"/>
    </row>
    <row r="8184" spans="5:6" ht="15" customHeight="1" x14ac:dyDescent="0.2">
      <c r="E8184" s="18"/>
      <c r="F8184" s="18"/>
    </row>
    <row r="8185" spans="5:6" ht="15" customHeight="1" x14ac:dyDescent="0.2">
      <c r="E8185" s="18"/>
      <c r="F8185" s="18"/>
    </row>
    <row r="8186" spans="5:6" ht="15" customHeight="1" x14ac:dyDescent="0.2">
      <c r="E8186" s="18"/>
      <c r="F8186" s="18"/>
    </row>
    <row r="8187" spans="5:6" ht="15" customHeight="1" x14ac:dyDescent="0.2">
      <c r="E8187" s="18"/>
      <c r="F8187" s="18"/>
    </row>
    <row r="8188" spans="5:6" ht="15" customHeight="1" x14ac:dyDescent="0.2">
      <c r="E8188" s="18"/>
      <c r="F8188" s="18"/>
    </row>
    <row r="8189" spans="5:6" ht="15" customHeight="1" x14ac:dyDescent="0.2">
      <c r="E8189" s="18"/>
      <c r="F8189" s="18"/>
    </row>
    <row r="8190" spans="5:6" ht="15" customHeight="1" x14ac:dyDescent="0.2">
      <c r="E8190" s="18"/>
      <c r="F8190" s="18"/>
    </row>
    <row r="8191" spans="5:6" ht="15" customHeight="1" x14ac:dyDescent="0.2">
      <c r="E8191" s="18"/>
      <c r="F8191" s="18"/>
    </row>
    <row r="8192" spans="5:6" ht="15" customHeight="1" x14ac:dyDescent="0.2">
      <c r="E8192" s="18"/>
      <c r="F8192" s="18"/>
    </row>
    <row r="8193" spans="5:6" ht="15" customHeight="1" x14ac:dyDescent="0.2">
      <c r="E8193" s="18"/>
      <c r="F8193" s="18"/>
    </row>
    <row r="8194" spans="5:6" ht="15" customHeight="1" x14ac:dyDescent="0.2">
      <c r="E8194" s="18"/>
      <c r="F8194" s="18"/>
    </row>
    <row r="8195" spans="5:6" ht="15" customHeight="1" x14ac:dyDescent="0.2">
      <c r="E8195" s="18"/>
      <c r="F8195" s="18"/>
    </row>
    <row r="8196" spans="5:6" ht="15" customHeight="1" x14ac:dyDescent="0.2">
      <c r="E8196" s="18"/>
      <c r="F8196" s="18"/>
    </row>
    <row r="8197" spans="5:6" ht="15" customHeight="1" x14ac:dyDescent="0.2">
      <c r="E8197" s="18"/>
      <c r="F8197" s="18"/>
    </row>
    <row r="8198" spans="5:6" ht="15" customHeight="1" x14ac:dyDescent="0.2">
      <c r="E8198" s="18"/>
      <c r="F8198" s="18"/>
    </row>
    <row r="8199" spans="5:6" ht="15" customHeight="1" x14ac:dyDescent="0.2">
      <c r="E8199" s="18"/>
      <c r="F8199" s="18"/>
    </row>
    <row r="8200" spans="5:6" ht="15" customHeight="1" x14ac:dyDescent="0.2">
      <c r="E8200" s="18"/>
      <c r="F8200" s="18"/>
    </row>
    <row r="8201" spans="5:6" ht="15" customHeight="1" x14ac:dyDescent="0.2">
      <c r="E8201" s="18"/>
      <c r="F8201" s="18"/>
    </row>
    <row r="8202" spans="5:6" ht="15" customHeight="1" x14ac:dyDescent="0.2">
      <c r="E8202" s="18"/>
      <c r="F8202" s="18"/>
    </row>
    <row r="8203" spans="5:6" ht="15" customHeight="1" x14ac:dyDescent="0.2">
      <c r="E8203" s="18"/>
      <c r="F8203" s="18"/>
    </row>
    <row r="8204" spans="5:6" ht="15" customHeight="1" x14ac:dyDescent="0.2">
      <c r="E8204" s="18"/>
      <c r="F8204" s="18"/>
    </row>
    <row r="8205" spans="5:6" ht="15" customHeight="1" x14ac:dyDescent="0.2">
      <c r="E8205" s="18"/>
      <c r="F8205" s="18"/>
    </row>
    <row r="8206" spans="5:6" ht="15" customHeight="1" x14ac:dyDescent="0.2">
      <c r="E8206" s="18"/>
      <c r="F8206" s="18"/>
    </row>
    <row r="8207" spans="5:6" ht="15" customHeight="1" x14ac:dyDescent="0.2">
      <c r="E8207" s="18"/>
      <c r="F8207" s="18"/>
    </row>
    <row r="8208" spans="5:6" ht="15" customHeight="1" x14ac:dyDescent="0.2">
      <c r="E8208" s="18"/>
      <c r="F8208" s="18"/>
    </row>
    <row r="8209" spans="5:6" ht="15" customHeight="1" x14ac:dyDescent="0.2">
      <c r="E8209" s="18"/>
      <c r="F8209" s="18"/>
    </row>
    <row r="8210" spans="5:6" ht="15" customHeight="1" x14ac:dyDescent="0.2">
      <c r="E8210" s="18"/>
      <c r="F8210" s="18"/>
    </row>
    <row r="8211" spans="5:6" ht="15" customHeight="1" x14ac:dyDescent="0.2">
      <c r="E8211" s="18"/>
      <c r="F8211" s="18"/>
    </row>
    <row r="8212" spans="5:6" ht="15" customHeight="1" x14ac:dyDescent="0.2">
      <c r="E8212" s="18"/>
      <c r="F8212" s="18"/>
    </row>
    <row r="8213" spans="5:6" ht="15" customHeight="1" x14ac:dyDescent="0.2">
      <c r="E8213" s="18"/>
      <c r="F8213" s="18"/>
    </row>
    <row r="8214" spans="5:6" ht="15" customHeight="1" x14ac:dyDescent="0.2">
      <c r="E8214" s="18"/>
      <c r="F8214" s="18"/>
    </row>
    <row r="8215" spans="5:6" ht="15" customHeight="1" x14ac:dyDescent="0.2">
      <c r="E8215" s="18"/>
      <c r="F8215" s="18"/>
    </row>
    <row r="8216" spans="5:6" ht="15" customHeight="1" x14ac:dyDescent="0.2">
      <c r="E8216" s="18"/>
      <c r="F8216" s="18"/>
    </row>
    <row r="8217" spans="5:6" ht="15" customHeight="1" x14ac:dyDescent="0.2">
      <c r="E8217" s="18"/>
      <c r="F8217" s="18"/>
    </row>
    <row r="8218" spans="5:6" ht="15" customHeight="1" x14ac:dyDescent="0.2">
      <c r="E8218" s="18"/>
      <c r="F8218" s="18"/>
    </row>
    <row r="8219" spans="5:6" ht="15" customHeight="1" x14ac:dyDescent="0.2">
      <c r="E8219" s="18"/>
      <c r="F8219" s="18"/>
    </row>
    <row r="8220" spans="5:6" ht="15" customHeight="1" x14ac:dyDescent="0.2">
      <c r="E8220" s="18"/>
      <c r="F8220" s="18"/>
    </row>
    <row r="8221" spans="5:6" ht="15" customHeight="1" x14ac:dyDescent="0.2">
      <c r="E8221" s="18"/>
      <c r="F8221" s="18"/>
    </row>
    <row r="8222" spans="5:6" ht="15" customHeight="1" x14ac:dyDescent="0.2">
      <c r="E8222" s="18"/>
      <c r="F8222" s="18"/>
    </row>
    <row r="8223" spans="5:6" ht="15" customHeight="1" x14ac:dyDescent="0.2">
      <c r="E8223" s="18"/>
      <c r="F8223" s="18"/>
    </row>
    <row r="8224" spans="5:6" ht="15" customHeight="1" x14ac:dyDescent="0.2">
      <c r="E8224" s="18"/>
      <c r="F8224" s="18"/>
    </row>
    <row r="8225" spans="5:6" ht="15" customHeight="1" x14ac:dyDescent="0.2">
      <c r="E8225" s="18"/>
      <c r="F8225" s="18"/>
    </row>
    <row r="8226" spans="5:6" ht="15" customHeight="1" x14ac:dyDescent="0.2">
      <c r="E8226" s="18"/>
      <c r="F8226" s="18"/>
    </row>
    <row r="8227" spans="5:6" ht="15" customHeight="1" x14ac:dyDescent="0.2">
      <c r="E8227" s="18"/>
      <c r="F8227" s="18"/>
    </row>
    <row r="8228" spans="5:6" ht="15" customHeight="1" x14ac:dyDescent="0.2">
      <c r="E8228" s="18"/>
      <c r="F8228" s="18"/>
    </row>
    <row r="8229" spans="5:6" ht="15" customHeight="1" x14ac:dyDescent="0.2">
      <c r="E8229" s="18"/>
      <c r="F8229" s="18"/>
    </row>
    <row r="8230" spans="5:6" ht="15" customHeight="1" x14ac:dyDescent="0.2">
      <c r="E8230" s="18"/>
      <c r="F8230" s="18"/>
    </row>
    <row r="8231" spans="5:6" ht="15" customHeight="1" x14ac:dyDescent="0.2">
      <c r="E8231" s="18"/>
      <c r="F8231" s="18"/>
    </row>
    <row r="8232" spans="5:6" ht="15" customHeight="1" x14ac:dyDescent="0.2">
      <c r="E8232" s="18"/>
      <c r="F8232" s="18"/>
    </row>
    <row r="8233" spans="5:6" ht="15" customHeight="1" x14ac:dyDescent="0.2">
      <c r="E8233" s="18"/>
      <c r="F8233" s="18"/>
    </row>
    <row r="8234" spans="5:6" ht="15" customHeight="1" x14ac:dyDescent="0.2">
      <c r="E8234" s="18"/>
      <c r="F8234" s="18"/>
    </row>
    <row r="8235" spans="5:6" ht="15" customHeight="1" x14ac:dyDescent="0.2">
      <c r="E8235" s="18"/>
      <c r="F8235" s="18"/>
    </row>
    <row r="8236" spans="5:6" ht="15" customHeight="1" x14ac:dyDescent="0.2">
      <c r="E8236" s="18"/>
      <c r="F8236" s="18"/>
    </row>
    <row r="8237" spans="5:6" ht="15" customHeight="1" x14ac:dyDescent="0.2">
      <c r="E8237" s="18"/>
      <c r="F8237" s="18"/>
    </row>
    <row r="8238" spans="5:6" ht="15" customHeight="1" x14ac:dyDescent="0.2">
      <c r="E8238" s="18"/>
      <c r="F8238" s="18"/>
    </row>
    <row r="8239" spans="5:6" ht="15" customHeight="1" x14ac:dyDescent="0.2">
      <c r="E8239" s="18"/>
      <c r="F8239" s="18"/>
    </row>
    <row r="8240" spans="5:6" ht="15" customHeight="1" x14ac:dyDescent="0.2">
      <c r="E8240" s="18"/>
      <c r="F8240" s="18"/>
    </row>
    <row r="8241" spans="5:6" ht="15" customHeight="1" x14ac:dyDescent="0.2">
      <c r="E8241" s="18"/>
      <c r="F8241" s="18"/>
    </row>
    <row r="8242" spans="5:6" ht="15" customHeight="1" x14ac:dyDescent="0.2">
      <c r="E8242" s="18"/>
      <c r="F8242" s="18"/>
    </row>
    <row r="8243" spans="5:6" ht="15" customHeight="1" x14ac:dyDescent="0.2">
      <c r="E8243" s="18"/>
      <c r="F8243" s="18"/>
    </row>
    <row r="8244" spans="5:6" ht="15" customHeight="1" x14ac:dyDescent="0.2">
      <c r="E8244" s="18"/>
      <c r="F8244" s="18"/>
    </row>
    <row r="8245" spans="5:6" ht="15" customHeight="1" x14ac:dyDescent="0.2">
      <c r="E8245" s="18"/>
      <c r="F8245" s="18"/>
    </row>
    <row r="8246" spans="5:6" ht="15" customHeight="1" x14ac:dyDescent="0.2">
      <c r="E8246" s="18"/>
      <c r="F8246" s="18"/>
    </row>
    <row r="8247" spans="5:6" ht="15" customHeight="1" x14ac:dyDescent="0.2">
      <c r="E8247" s="18"/>
      <c r="F8247" s="18"/>
    </row>
    <row r="8248" spans="5:6" ht="15" customHeight="1" x14ac:dyDescent="0.2">
      <c r="E8248" s="18"/>
      <c r="F8248" s="18"/>
    </row>
    <row r="8249" spans="5:6" ht="15" customHeight="1" x14ac:dyDescent="0.2">
      <c r="E8249" s="18"/>
      <c r="F8249" s="18"/>
    </row>
    <row r="8250" spans="5:6" ht="15" customHeight="1" x14ac:dyDescent="0.2">
      <c r="E8250" s="18"/>
      <c r="F8250" s="18"/>
    </row>
    <row r="8251" spans="5:6" ht="15" customHeight="1" x14ac:dyDescent="0.2">
      <c r="E8251" s="18"/>
      <c r="F8251" s="18"/>
    </row>
    <row r="8252" spans="5:6" ht="15" customHeight="1" x14ac:dyDescent="0.2">
      <c r="E8252" s="18"/>
      <c r="F8252" s="18"/>
    </row>
    <row r="8253" spans="5:6" ht="15" customHeight="1" x14ac:dyDescent="0.2">
      <c r="E8253" s="18"/>
      <c r="F8253" s="18"/>
    </row>
    <row r="8254" spans="5:6" ht="15" customHeight="1" x14ac:dyDescent="0.2">
      <c r="E8254" s="18"/>
      <c r="F8254" s="18"/>
    </row>
    <row r="8255" spans="5:6" ht="15" customHeight="1" x14ac:dyDescent="0.2">
      <c r="E8255" s="18"/>
      <c r="F8255" s="18"/>
    </row>
    <row r="8256" spans="5:6" ht="15" customHeight="1" x14ac:dyDescent="0.2">
      <c r="E8256" s="18"/>
      <c r="F8256" s="18"/>
    </row>
    <row r="8257" spans="5:6" ht="15" customHeight="1" x14ac:dyDescent="0.2">
      <c r="E8257" s="18"/>
      <c r="F8257" s="18"/>
    </row>
    <row r="8258" spans="5:6" ht="15" customHeight="1" x14ac:dyDescent="0.2">
      <c r="E8258" s="18"/>
      <c r="F8258" s="18"/>
    </row>
    <row r="8259" spans="5:6" ht="15" customHeight="1" x14ac:dyDescent="0.2">
      <c r="E8259" s="18"/>
      <c r="F8259" s="18"/>
    </row>
    <row r="8260" spans="5:6" ht="15" customHeight="1" x14ac:dyDescent="0.2">
      <c r="E8260" s="18"/>
      <c r="F8260" s="18"/>
    </row>
    <row r="8261" spans="5:6" ht="15" customHeight="1" x14ac:dyDescent="0.2">
      <c r="E8261" s="18"/>
      <c r="F8261" s="18"/>
    </row>
    <row r="8262" spans="5:6" ht="15" customHeight="1" x14ac:dyDescent="0.2">
      <c r="E8262" s="18"/>
      <c r="F8262" s="18"/>
    </row>
    <row r="8263" spans="5:6" ht="15" customHeight="1" x14ac:dyDescent="0.2">
      <c r="E8263" s="18"/>
      <c r="F8263" s="18"/>
    </row>
    <row r="8264" spans="5:6" ht="15" customHeight="1" x14ac:dyDescent="0.2">
      <c r="E8264" s="18"/>
      <c r="F8264" s="18"/>
    </row>
    <row r="8265" spans="5:6" ht="15" customHeight="1" x14ac:dyDescent="0.2">
      <c r="E8265" s="18"/>
      <c r="F8265" s="18"/>
    </row>
    <row r="8266" spans="5:6" ht="15" customHeight="1" x14ac:dyDescent="0.2">
      <c r="E8266" s="18"/>
      <c r="F8266" s="18"/>
    </row>
    <row r="8267" spans="5:6" ht="15" customHeight="1" x14ac:dyDescent="0.2">
      <c r="E8267" s="18"/>
      <c r="F8267" s="18"/>
    </row>
    <row r="8268" spans="5:6" ht="15" customHeight="1" x14ac:dyDescent="0.2">
      <c r="E8268" s="18"/>
      <c r="F8268" s="18"/>
    </row>
    <row r="8269" spans="5:6" ht="15" customHeight="1" x14ac:dyDescent="0.2">
      <c r="E8269" s="18"/>
      <c r="F8269" s="18"/>
    </row>
    <row r="8270" spans="5:6" ht="15" customHeight="1" x14ac:dyDescent="0.2">
      <c r="E8270" s="18"/>
      <c r="F8270" s="18"/>
    </row>
    <row r="8271" spans="5:6" ht="15" customHeight="1" x14ac:dyDescent="0.2">
      <c r="E8271" s="18"/>
      <c r="F8271" s="18"/>
    </row>
    <row r="8272" spans="5:6" ht="15" customHeight="1" x14ac:dyDescent="0.2">
      <c r="E8272" s="18"/>
      <c r="F8272" s="18"/>
    </row>
    <row r="8273" spans="5:6" ht="15" customHeight="1" x14ac:dyDescent="0.2">
      <c r="E8273" s="18"/>
      <c r="F8273" s="18"/>
    </row>
    <row r="8274" spans="5:6" ht="15" customHeight="1" x14ac:dyDescent="0.2">
      <c r="E8274" s="18"/>
      <c r="F8274" s="18"/>
    </row>
    <row r="8275" spans="5:6" ht="15" customHeight="1" x14ac:dyDescent="0.2">
      <c r="E8275" s="18"/>
      <c r="F8275" s="18"/>
    </row>
    <row r="8276" spans="5:6" ht="15" customHeight="1" x14ac:dyDescent="0.2">
      <c r="E8276" s="18"/>
      <c r="F8276" s="18"/>
    </row>
    <row r="8277" spans="5:6" ht="15" customHeight="1" x14ac:dyDescent="0.2">
      <c r="E8277" s="18"/>
      <c r="F8277" s="18"/>
    </row>
    <row r="8278" spans="5:6" ht="15" customHeight="1" x14ac:dyDescent="0.2">
      <c r="E8278" s="18"/>
      <c r="F8278" s="18"/>
    </row>
    <row r="8279" spans="5:6" ht="15" customHeight="1" x14ac:dyDescent="0.2">
      <c r="E8279" s="18"/>
      <c r="F8279" s="18"/>
    </row>
    <row r="8280" spans="5:6" ht="15" customHeight="1" x14ac:dyDescent="0.2">
      <c r="E8280" s="18"/>
      <c r="F8280" s="18"/>
    </row>
    <row r="8281" spans="5:6" ht="15" customHeight="1" x14ac:dyDescent="0.2">
      <c r="E8281" s="18"/>
      <c r="F8281" s="18"/>
    </row>
    <row r="8282" spans="5:6" ht="15" customHeight="1" x14ac:dyDescent="0.2">
      <c r="E8282" s="18"/>
      <c r="F8282" s="18"/>
    </row>
    <row r="8283" spans="5:6" ht="15" customHeight="1" x14ac:dyDescent="0.2">
      <c r="E8283" s="18"/>
      <c r="F8283" s="18"/>
    </row>
    <row r="8284" spans="5:6" ht="15" customHeight="1" x14ac:dyDescent="0.2">
      <c r="E8284" s="18"/>
      <c r="F8284" s="18"/>
    </row>
    <row r="8285" spans="5:6" ht="15" customHeight="1" x14ac:dyDescent="0.2">
      <c r="E8285" s="18"/>
      <c r="F8285" s="18"/>
    </row>
    <row r="8286" spans="5:6" ht="15" customHeight="1" x14ac:dyDescent="0.2">
      <c r="E8286" s="18"/>
      <c r="F8286" s="18"/>
    </row>
    <row r="8287" spans="5:6" ht="15" customHeight="1" x14ac:dyDescent="0.2">
      <c r="E8287" s="18"/>
      <c r="F8287" s="18"/>
    </row>
    <row r="8288" spans="5:6" ht="15" customHeight="1" x14ac:dyDescent="0.2">
      <c r="E8288" s="18"/>
      <c r="F8288" s="18"/>
    </row>
    <row r="8289" spans="5:6" ht="15" customHeight="1" x14ac:dyDescent="0.2">
      <c r="E8289" s="18"/>
      <c r="F8289" s="18"/>
    </row>
    <row r="8290" spans="5:6" ht="15" customHeight="1" x14ac:dyDescent="0.2">
      <c r="E8290" s="18"/>
      <c r="F8290" s="18"/>
    </row>
    <row r="8291" spans="5:6" ht="15" customHeight="1" x14ac:dyDescent="0.2">
      <c r="E8291" s="18"/>
      <c r="F8291" s="18"/>
    </row>
    <row r="8292" spans="5:6" ht="15" customHeight="1" x14ac:dyDescent="0.2">
      <c r="E8292" s="18"/>
      <c r="F8292" s="18"/>
    </row>
    <row r="8293" spans="5:6" ht="15" customHeight="1" x14ac:dyDescent="0.2">
      <c r="E8293" s="18"/>
      <c r="F8293" s="18"/>
    </row>
    <row r="8294" spans="5:6" ht="15" customHeight="1" x14ac:dyDescent="0.2">
      <c r="E8294" s="18"/>
      <c r="F8294" s="18"/>
    </row>
    <row r="8295" spans="5:6" ht="15" customHeight="1" x14ac:dyDescent="0.2">
      <c r="E8295" s="18"/>
      <c r="F8295" s="18"/>
    </row>
    <row r="8296" spans="5:6" ht="15" customHeight="1" x14ac:dyDescent="0.2">
      <c r="E8296" s="18"/>
      <c r="F8296" s="18"/>
    </row>
    <row r="8297" spans="5:6" ht="15" customHeight="1" x14ac:dyDescent="0.2">
      <c r="E8297" s="18"/>
      <c r="F8297" s="18"/>
    </row>
    <row r="8298" spans="5:6" ht="15" customHeight="1" x14ac:dyDescent="0.2">
      <c r="E8298" s="18"/>
      <c r="F8298" s="18"/>
    </row>
    <row r="8299" spans="5:6" ht="15" customHeight="1" x14ac:dyDescent="0.2">
      <c r="E8299" s="18"/>
      <c r="F8299" s="18"/>
    </row>
    <row r="8300" spans="5:6" ht="15" customHeight="1" x14ac:dyDescent="0.2">
      <c r="E8300" s="18"/>
      <c r="F8300" s="18"/>
    </row>
    <row r="8301" spans="5:6" ht="15" customHeight="1" x14ac:dyDescent="0.2">
      <c r="E8301" s="18"/>
      <c r="F8301" s="18"/>
    </row>
    <row r="8302" spans="5:6" ht="15" customHeight="1" x14ac:dyDescent="0.2">
      <c r="E8302" s="18"/>
      <c r="F8302" s="18"/>
    </row>
    <row r="8303" spans="5:6" ht="15" customHeight="1" x14ac:dyDescent="0.2">
      <c r="E8303" s="18"/>
      <c r="F8303" s="18"/>
    </row>
    <row r="8304" spans="5:6" ht="15" customHeight="1" x14ac:dyDescent="0.2">
      <c r="E8304" s="18"/>
      <c r="F8304" s="18"/>
    </row>
    <row r="8305" spans="5:6" ht="15" customHeight="1" x14ac:dyDescent="0.2">
      <c r="E8305" s="18"/>
      <c r="F8305" s="18"/>
    </row>
    <row r="8306" spans="5:6" ht="15" customHeight="1" x14ac:dyDescent="0.2">
      <c r="E8306" s="18"/>
      <c r="F8306" s="18"/>
    </row>
    <row r="8307" spans="5:6" ht="15" customHeight="1" x14ac:dyDescent="0.2">
      <c r="E8307" s="18"/>
      <c r="F8307" s="18"/>
    </row>
    <row r="8308" spans="5:6" ht="15" customHeight="1" x14ac:dyDescent="0.2">
      <c r="E8308" s="18"/>
      <c r="F8308" s="18"/>
    </row>
    <row r="8309" spans="5:6" ht="15" customHeight="1" x14ac:dyDescent="0.2">
      <c r="E8309" s="18"/>
      <c r="F8309" s="18"/>
    </row>
    <row r="8310" spans="5:6" ht="15" customHeight="1" x14ac:dyDescent="0.2">
      <c r="E8310" s="18"/>
      <c r="F8310" s="18"/>
    </row>
    <row r="8311" spans="5:6" ht="15" customHeight="1" x14ac:dyDescent="0.2">
      <c r="E8311" s="18"/>
      <c r="F8311" s="18"/>
    </row>
    <row r="8312" spans="5:6" ht="15" customHeight="1" x14ac:dyDescent="0.2">
      <c r="E8312" s="18"/>
      <c r="F8312" s="18"/>
    </row>
    <row r="8313" spans="5:6" ht="15" customHeight="1" x14ac:dyDescent="0.2">
      <c r="E8313" s="18"/>
      <c r="F8313" s="18"/>
    </row>
    <row r="8314" spans="5:6" ht="15" customHeight="1" x14ac:dyDescent="0.2">
      <c r="E8314" s="18"/>
      <c r="F8314" s="18"/>
    </row>
    <row r="8315" spans="5:6" ht="15" customHeight="1" x14ac:dyDescent="0.2">
      <c r="E8315" s="18"/>
      <c r="F8315" s="18"/>
    </row>
    <row r="8316" spans="5:6" ht="15" customHeight="1" x14ac:dyDescent="0.2">
      <c r="E8316" s="18"/>
      <c r="F8316" s="18"/>
    </row>
    <row r="8317" spans="5:6" ht="15" customHeight="1" x14ac:dyDescent="0.2">
      <c r="E8317" s="18"/>
      <c r="F8317" s="18"/>
    </row>
    <row r="8318" spans="5:6" ht="15" customHeight="1" x14ac:dyDescent="0.2">
      <c r="E8318" s="18"/>
      <c r="F8318" s="18"/>
    </row>
    <row r="8319" spans="5:6" ht="15" customHeight="1" x14ac:dyDescent="0.2">
      <c r="E8319" s="18"/>
      <c r="F8319" s="18"/>
    </row>
    <row r="8320" spans="5:6" ht="15" customHeight="1" x14ac:dyDescent="0.2">
      <c r="E8320" s="18"/>
      <c r="F8320" s="18"/>
    </row>
    <row r="8321" spans="5:6" ht="15" customHeight="1" x14ac:dyDescent="0.2">
      <c r="E8321" s="18"/>
      <c r="F8321" s="18"/>
    </row>
    <row r="8322" spans="5:6" ht="15" customHeight="1" x14ac:dyDescent="0.2">
      <c r="E8322" s="18"/>
      <c r="F8322" s="18"/>
    </row>
    <row r="8323" spans="5:6" ht="15" customHeight="1" x14ac:dyDescent="0.2">
      <c r="E8323" s="18"/>
      <c r="F8323" s="18"/>
    </row>
    <row r="8324" spans="5:6" ht="15" customHeight="1" x14ac:dyDescent="0.2">
      <c r="E8324" s="18"/>
      <c r="F8324" s="18"/>
    </row>
    <row r="8325" spans="5:6" ht="15" customHeight="1" x14ac:dyDescent="0.2">
      <c r="E8325" s="18"/>
      <c r="F8325" s="18"/>
    </row>
    <row r="8326" spans="5:6" ht="15" customHeight="1" x14ac:dyDescent="0.2">
      <c r="E8326" s="18"/>
      <c r="F8326" s="18"/>
    </row>
    <row r="8327" spans="5:6" ht="15" customHeight="1" x14ac:dyDescent="0.2">
      <c r="E8327" s="18"/>
      <c r="F8327" s="18"/>
    </row>
    <row r="8328" spans="5:6" ht="15" customHeight="1" x14ac:dyDescent="0.2">
      <c r="E8328" s="18"/>
      <c r="F8328" s="18"/>
    </row>
    <row r="8329" spans="5:6" ht="15" customHeight="1" x14ac:dyDescent="0.2">
      <c r="E8329" s="18"/>
      <c r="F8329" s="18"/>
    </row>
    <row r="8330" spans="5:6" ht="15" customHeight="1" x14ac:dyDescent="0.2">
      <c r="E8330" s="18"/>
      <c r="F8330" s="18"/>
    </row>
    <row r="8331" spans="5:6" ht="15" customHeight="1" x14ac:dyDescent="0.2">
      <c r="E8331" s="18"/>
      <c r="F8331" s="18"/>
    </row>
    <row r="8332" spans="5:6" ht="15" customHeight="1" x14ac:dyDescent="0.2">
      <c r="E8332" s="18"/>
      <c r="F8332" s="18"/>
    </row>
    <row r="8333" spans="5:6" ht="15" customHeight="1" x14ac:dyDescent="0.2">
      <c r="E8333" s="18"/>
      <c r="F8333" s="18"/>
    </row>
    <row r="8334" spans="5:6" ht="15" customHeight="1" x14ac:dyDescent="0.2">
      <c r="E8334" s="18"/>
      <c r="F8334" s="18"/>
    </row>
    <row r="8335" spans="5:6" ht="15" customHeight="1" x14ac:dyDescent="0.2">
      <c r="E8335" s="18"/>
      <c r="F8335" s="18"/>
    </row>
    <row r="8336" spans="5:6" ht="15" customHeight="1" x14ac:dyDescent="0.2">
      <c r="E8336" s="18"/>
      <c r="F8336" s="18"/>
    </row>
    <row r="8337" spans="5:6" ht="15" customHeight="1" x14ac:dyDescent="0.2">
      <c r="E8337" s="18"/>
      <c r="F8337" s="18"/>
    </row>
    <row r="8338" spans="5:6" ht="15" customHeight="1" x14ac:dyDescent="0.2">
      <c r="E8338" s="18"/>
      <c r="F8338" s="18"/>
    </row>
    <row r="8339" spans="5:6" ht="15" customHeight="1" x14ac:dyDescent="0.2">
      <c r="E8339" s="18"/>
      <c r="F8339" s="18"/>
    </row>
    <row r="8340" spans="5:6" ht="15" customHeight="1" x14ac:dyDescent="0.2">
      <c r="E8340" s="18"/>
      <c r="F8340" s="18"/>
    </row>
    <row r="8341" spans="5:6" ht="15" customHeight="1" x14ac:dyDescent="0.2">
      <c r="E8341" s="18"/>
      <c r="F8341" s="18"/>
    </row>
    <row r="8342" spans="5:6" ht="15" customHeight="1" x14ac:dyDescent="0.2">
      <c r="E8342" s="18"/>
      <c r="F8342" s="18"/>
    </row>
    <row r="8343" spans="5:6" ht="15" customHeight="1" x14ac:dyDescent="0.2">
      <c r="E8343" s="18"/>
      <c r="F8343" s="18"/>
    </row>
    <row r="8344" spans="5:6" ht="15" customHeight="1" x14ac:dyDescent="0.2">
      <c r="E8344" s="18"/>
      <c r="F8344" s="18"/>
    </row>
    <row r="8345" spans="5:6" ht="15" customHeight="1" x14ac:dyDescent="0.2">
      <c r="E8345" s="18"/>
      <c r="F8345" s="18"/>
    </row>
    <row r="8346" spans="5:6" ht="15" customHeight="1" x14ac:dyDescent="0.2">
      <c r="E8346" s="18"/>
      <c r="F8346" s="18"/>
    </row>
    <row r="8347" spans="5:6" ht="15" customHeight="1" x14ac:dyDescent="0.2">
      <c r="E8347" s="18"/>
      <c r="F8347" s="18"/>
    </row>
    <row r="8348" spans="5:6" ht="15" customHeight="1" x14ac:dyDescent="0.2">
      <c r="E8348" s="18"/>
      <c r="F8348" s="18"/>
    </row>
    <row r="8349" spans="5:6" ht="15" customHeight="1" x14ac:dyDescent="0.2">
      <c r="E8349" s="18"/>
      <c r="F8349" s="18"/>
    </row>
    <row r="8350" spans="5:6" ht="15" customHeight="1" x14ac:dyDescent="0.2">
      <c r="E8350" s="18"/>
      <c r="F8350" s="18"/>
    </row>
    <row r="8351" spans="5:6" ht="15" customHeight="1" x14ac:dyDescent="0.2">
      <c r="E8351" s="18"/>
      <c r="F8351" s="18"/>
    </row>
    <row r="8352" spans="5:6" ht="15" customHeight="1" x14ac:dyDescent="0.2">
      <c r="E8352" s="18"/>
      <c r="F8352" s="18"/>
    </row>
    <row r="8353" spans="5:6" ht="15" customHeight="1" x14ac:dyDescent="0.2">
      <c r="E8353" s="18"/>
      <c r="F8353" s="18"/>
    </row>
    <row r="8354" spans="5:6" ht="15" customHeight="1" x14ac:dyDescent="0.2">
      <c r="E8354" s="18"/>
      <c r="F8354" s="18"/>
    </row>
    <row r="8355" spans="5:6" ht="15" customHeight="1" x14ac:dyDescent="0.2">
      <c r="E8355" s="18"/>
      <c r="F8355" s="18"/>
    </row>
    <row r="8356" spans="5:6" ht="15" customHeight="1" x14ac:dyDescent="0.2">
      <c r="E8356" s="18"/>
      <c r="F8356" s="18"/>
    </row>
    <row r="8357" spans="5:6" ht="15" customHeight="1" x14ac:dyDescent="0.2">
      <c r="E8357" s="18"/>
      <c r="F8357" s="18"/>
    </row>
    <row r="8358" spans="5:6" ht="15" customHeight="1" x14ac:dyDescent="0.2">
      <c r="E8358" s="18"/>
      <c r="F8358" s="18"/>
    </row>
    <row r="8359" spans="5:6" ht="15" customHeight="1" x14ac:dyDescent="0.2">
      <c r="E8359" s="18"/>
      <c r="F8359" s="18"/>
    </row>
    <row r="8360" spans="5:6" ht="15" customHeight="1" x14ac:dyDescent="0.2">
      <c r="E8360" s="18"/>
      <c r="F8360" s="18"/>
    </row>
    <row r="8361" spans="5:6" ht="15" customHeight="1" x14ac:dyDescent="0.2">
      <c r="E8361" s="18"/>
      <c r="F8361" s="18"/>
    </row>
    <row r="8362" spans="5:6" ht="15" customHeight="1" x14ac:dyDescent="0.2">
      <c r="E8362" s="18"/>
      <c r="F8362" s="18"/>
    </row>
    <row r="8363" spans="5:6" ht="15" customHeight="1" x14ac:dyDescent="0.2">
      <c r="E8363" s="18"/>
      <c r="F8363" s="18"/>
    </row>
    <row r="8364" spans="5:6" ht="15" customHeight="1" x14ac:dyDescent="0.2">
      <c r="E8364" s="18"/>
      <c r="F8364" s="18"/>
    </row>
    <row r="8365" spans="5:6" ht="15" customHeight="1" x14ac:dyDescent="0.2">
      <c r="E8365" s="18"/>
      <c r="F8365" s="18"/>
    </row>
    <row r="8366" spans="5:6" ht="15" customHeight="1" x14ac:dyDescent="0.2">
      <c r="E8366" s="18"/>
      <c r="F8366" s="18"/>
    </row>
    <row r="8367" spans="5:6" ht="15" customHeight="1" x14ac:dyDescent="0.2">
      <c r="E8367" s="18"/>
      <c r="F8367" s="18"/>
    </row>
    <row r="8368" spans="5:6" ht="15" customHeight="1" x14ac:dyDescent="0.2">
      <c r="E8368" s="18"/>
      <c r="F8368" s="18"/>
    </row>
    <row r="8369" spans="5:6" ht="15" customHeight="1" x14ac:dyDescent="0.2">
      <c r="E8369" s="18"/>
      <c r="F8369" s="18"/>
    </row>
    <row r="8370" spans="5:6" ht="15" customHeight="1" x14ac:dyDescent="0.2">
      <c r="E8370" s="18"/>
      <c r="F8370" s="18"/>
    </row>
    <row r="8371" spans="5:6" ht="15" customHeight="1" x14ac:dyDescent="0.2">
      <c r="E8371" s="18"/>
      <c r="F8371" s="18"/>
    </row>
    <row r="8372" spans="5:6" ht="15" customHeight="1" x14ac:dyDescent="0.2">
      <c r="E8372" s="18"/>
      <c r="F8372" s="18"/>
    </row>
    <row r="8373" spans="5:6" ht="15" customHeight="1" x14ac:dyDescent="0.2">
      <c r="E8373" s="18"/>
      <c r="F8373" s="18"/>
    </row>
    <row r="8374" spans="5:6" ht="15" customHeight="1" x14ac:dyDescent="0.2">
      <c r="E8374" s="18"/>
      <c r="F8374" s="18"/>
    </row>
    <row r="8375" spans="5:6" ht="15" customHeight="1" x14ac:dyDescent="0.2">
      <c r="E8375" s="18"/>
      <c r="F8375" s="18"/>
    </row>
    <row r="8376" spans="5:6" ht="15" customHeight="1" x14ac:dyDescent="0.2">
      <c r="E8376" s="18"/>
      <c r="F8376" s="18"/>
    </row>
    <row r="8377" spans="5:6" ht="15" customHeight="1" x14ac:dyDescent="0.2">
      <c r="E8377" s="18"/>
      <c r="F8377" s="18"/>
    </row>
    <row r="8378" spans="5:6" ht="15" customHeight="1" x14ac:dyDescent="0.2">
      <c r="E8378" s="18"/>
      <c r="F8378" s="18"/>
    </row>
    <row r="8379" spans="5:6" ht="15" customHeight="1" x14ac:dyDescent="0.2">
      <c r="E8379" s="18"/>
      <c r="F8379" s="18"/>
    </row>
    <row r="8380" spans="5:6" ht="15" customHeight="1" x14ac:dyDescent="0.2">
      <c r="E8380" s="18"/>
      <c r="F8380" s="18"/>
    </row>
    <row r="8381" spans="5:6" ht="15" customHeight="1" x14ac:dyDescent="0.2">
      <c r="E8381" s="18"/>
      <c r="F8381" s="18"/>
    </row>
    <row r="8382" spans="5:6" ht="15" customHeight="1" x14ac:dyDescent="0.2">
      <c r="E8382" s="18"/>
      <c r="F8382" s="18"/>
    </row>
    <row r="8383" spans="5:6" ht="15" customHeight="1" x14ac:dyDescent="0.2">
      <c r="E8383" s="18"/>
      <c r="F8383" s="18"/>
    </row>
    <row r="8384" spans="5:6" ht="15" customHeight="1" x14ac:dyDescent="0.2">
      <c r="E8384" s="18"/>
      <c r="F8384" s="18"/>
    </row>
    <row r="8385" spans="5:6" ht="15" customHeight="1" x14ac:dyDescent="0.2">
      <c r="E8385" s="18"/>
      <c r="F8385" s="18"/>
    </row>
    <row r="8386" spans="5:6" ht="15" customHeight="1" x14ac:dyDescent="0.2">
      <c r="E8386" s="18"/>
      <c r="F8386" s="18"/>
    </row>
    <row r="8387" spans="5:6" ht="15" customHeight="1" x14ac:dyDescent="0.2">
      <c r="E8387" s="18"/>
      <c r="F8387" s="18"/>
    </row>
    <row r="8388" spans="5:6" ht="15" customHeight="1" x14ac:dyDescent="0.2">
      <c r="E8388" s="18"/>
      <c r="F8388" s="18"/>
    </row>
    <row r="8389" spans="5:6" ht="15" customHeight="1" x14ac:dyDescent="0.2">
      <c r="E8389" s="18"/>
      <c r="F8389" s="18"/>
    </row>
    <row r="8390" spans="5:6" ht="15" customHeight="1" x14ac:dyDescent="0.2">
      <c r="E8390" s="18"/>
      <c r="F8390" s="18"/>
    </row>
    <row r="8391" spans="5:6" ht="15" customHeight="1" x14ac:dyDescent="0.2">
      <c r="E8391" s="18"/>
      <c r="F8391" s="18"/>
    </row>
    <row r="8392" spans="5:6" ht="15" customHeight="1" x14ac:dyDescent="0.2">
      <c r="E8392" s="18"/>
      <c r="F8392" s="18"/>
    </row>
    <row r="8393" spans="5:6" ht="15" customHeight="1" x14ac:dyDescent="0.2">
      <c r="E8393" s="18"/>
      <c r="F8393" s="18"/>
    </row>
    <row r="8394" spans="5:6" ht="15" customHeight="1" x14ac:dyDescent="0.2">
      <c r="E8394" s="18"/>
      <c r="F8394" s="18"/>
    </row>
    <row r="8395" spans="5:6" ht="15" customHeight="1" x14ac:dyDescent="0.2">
      <c r="E8395" s="18"/>
      <c r="F8395" s="18"/>
    </row>
    <row r="8396" spans="5:6" ht="15" customHeight="1" x14ac:dyDescent="0.2">
      <c r="E8396" s="18"/>
      <c r="F8396" s="18"/>
    </row>
    <row r="8397" spans="5:6" ht="15" customHeight="1" x14ac:dyDescent="0.2">
      <c r="E8397" s="18"/>
      <c r="F8397" s="18"/>
    </row>
    <row r="8398" spans="5:6" ht="15" customHeight="1" x14ac:dyDescent="0.2">
      <c r="E8398" s="18"/>
      <c r="F8398" s="18"/>
    </row>
    <row r="8399" spans="5:6" ht="15" customHeight="1" x14ac:dyDescent="0.2">
      <c r="E8399" s="18"/>
      <c r="F8399" s="18"/>
    </row>
    <row r="8400" spans="5:6" ht="15" customHeight="1" x14ac:dyDescent="0.2">
      <c r="E8400" s="18"/>
      <c r="F8400" s="18"/>
    </row>
    <row r="8401" spans="5:6" ht="15" customHeight="1" x14ac:dyDescent="0.2">
      <c r="E8401" s="18"/>
      <c r="F8401" s="18"/>
    </row>
    <row r="8402" spans="5:6" ht="15" customHeight="1" x14ac:dyDescent="0.2">
      <c r="E8402" s="18"/>
      <c r="F8402" s="18"/>
    </row>
    <row r="8403" spans="5:6" ht="15" customHeight="1" x14ac:dyDescent="0.2">
      <c r="E8403" s="18"/>
      <c r="F8403" s="18"/>
    </row>
    <row r="8404" spans="5:6" ht="15" customHeight="1" x14ac:dyDescent="0.2">
      <c r="E8404" s="18"/>
      <c r="F8404" s="18"/>
    </row>
    <row r="8405" spans="5:6" ht="15" customHeight="1" x14ac:dyDescent="0.2">
      <c r="E8405" s="18"/>
      <c r="F8405" s="18"/>
    </row>
    <row r="8406" spans="5:6" ht="15" customHeight="1" x14ac:dyDescent="0.2">
      <c r="E8406" s="18"/>
      <c r="F8406" s="18"/>
    </row>
    <row r="8407" spans="5:6" ht="15" customHeight="1" x14ac:dyDescent="0.2">
      <c r="E8407" s="18"/>
      <c r="F8407" s="18"/>
    </row>
    <row r="8408" spans="5:6" ht="15" customHeight="1" x14ac:dyDescent="0.2">
      <c r="E8408" s="18"/>
      <c r="F8408" s="18"/>
    </row>
    <row r="8409" spans="5:6" ht="15" customHeight="1" x14ac:dyDescent="0.2">
      <c r="E8409" s="18"/>
      <c r="F8409" s="18"/>
    </row>
    <row r="8410" spans="5:6" ht="15" customHeight="1" x14ac:dyDescent="0.2">
      <c r="E8410" s="18"/>
      <c r="F8410" s="18"/>
    </row>
    <row r="8411" spans="5:6" ht="15" customHeight="1" x14ac:dyDescent="0.2">
      <c r="E8411" s="18"/>
      <c r="F8411" s="18"/>
    </row>
    <row r="8412" spans="5:6" ht="15" customHeight="1" x14ac:dyDescent="0.2">
      <c r="E8412" s="18"/>
      <c r="F8412" s="18"/>
    </row>
    <row r="8413" spans="5:6" ht="15" customHeight="1" x14ac:dyDescent="0.2">
      <c r="E8413" s="18"/>
      <c r="F8413" s="18"/>
    </row>
    <row r="8414" spans="5:6" ht="15" customHeight="1" x14ac:dyDescent="0.2">
      <c r="E8414" s="18"/>
      <c r="F8414" s="18"/>
    </row>
    <row r="8415" spans="5:6" ht="15" customHeight="1" x14ac:dyDescent="0.2">
      <c r="E8415" s="18"/>
      <c r="F8415" s="18"/>
    </row>
    <row r="8416" spans="5:6" ht="15" customHeight="1" x14ac:dyDescent="0.2">
      <c r="E8416" s="18"/>
      <c r="F8416" s="18"/>
    </row>
    <row r="8417" spans="5:6" ht="15" customHeight="1" x14ac:dyDescent="0.2">
      <c r="E8417" s="18"/>
      <c r="F8417" s="18"/>
    </row>
    <row r="8418" spans="5:6" ht="15" customHeight="1" x14ac:dyDescent="0.2">
      <c r="E8418" s="18"/>
      <c r="F8418" s="18"/>
    </row>
    <row r="8419" spans="5:6" ht="15" customHeight="1" x14ac:dyDescent="0.2">
      <c r="E8419" s="18"/>
      <c r="F8419" s="18"/>
    </row>
    <row r="8420" spans="5:6" ht="15" customHeight="1" x14ac:dyDescent="0.2">
      <c r="E8420" s="18"/>
      <c r="F8420" s="18"/>
    </row>
    <row r="8421" spans="5:6" ht="15" customHeight="1" x14ac:dyDescent="0.2">
      <c r="E8421" s="18"/>
      <c r="F8421" s="18"/>
    </row>
    <row r="8422" spans="5:6" ht="15" customHeight="1" x14ac:dyDescent="0.2">
      <c r="E8422" s="18"/>
      <c r="F8422" s="18"/>
    </row>
    <row r="8423" spans="5:6" ht="15" customHeight="1" x14ac:dyDescent="0.2">
      <c r="E8423" s="18"/>
      <c r="F8423" s="18"/>
    </row>
    <row r="8424" spans="5:6" ht="15" customHeight="1" x14ac:dyDescent="0.2">
      <c r="E8424" s="18"/>
      <c r="F8424" s="18"/>
    </row>
    <row r="8425" spans="5:6" ht="15" customHeight="1" x14ac:dyDescent="0.2">
      <c r="E8425" s="18"/>
      <c r="F8425" s="18"/>
    </row>
    <row r="8426" spans="5:6" ht="15" customHeight="1" x14ac:dyDescent="0.2">
      <c r="E8426" s="18"/>
      <c r="F8426" s="18"/>
    </row>
    <row r="8427" spans="5:6" ht="15" customHeight="1" x14ac:dyDescent="0.2">
      <c r="E8427" s="18"/>
      <c r="F8427" s="18"/>
    </row>
    <row r="8428" spans="5:6" ht="15" customHeight="1" x14ac:dyDescent="0.2">
      <c r="E8428" s="18"/>
      <c r="F8428" s="18"/>
    </row>
    <row r="8429" spans="5:6" ht="15" customHeight="1" x14ac:dyDescent="0.2">
      <c r="E8429" s="18"/>
      <c r="F8429" s="18"/>
    </row>
    <row r="8430" spans="5:6" ht="15" customHeight="1" x14ac:dyDescent="0.2">
      <c r="E8430" s="18"/>
      <c r="F8430" s="18"/>
    </row>
    <row r="8431" spans="5:6" ht="15" customHeight="1" x14ac:dyDescent="0.2">
      <c r="E8431" s="18"/>
      <c r="F8431" s="18"/>
    </row>
    <row r="8432" spans="5:6" ht="15" customHeight="1" x14ac:dyDescent="0.2">
      <c r="E8432" s="18"/>
      <c r="F8432" s="18"/>
    </row>
    <row r="8433" spans="5:6" ht="15" customHeight="1" x14ac:dyDescent="0.2">
      <c r="E8433" s="18"/>
      <c r="F8433" s="18"/>
    </row>
    <row r="8434" spans="5:6" ht="15" customHeight="1" x14ac:dyDescent="0.2">
      <c r="E8434" s="18"/>
      <c r="F8434" s="18"/>
    </row>
    <row r="8435" spans="5:6" ht="15" customHeight="1" x14ac:dyDescent="0.2">
      <c r="E8435" s="18"/>
      <c r="F8435" s="18"/>
    </row>
    <row r="8436" spans="5:6" ht="15" customHeight="1" x14ac:dyDescent="0.2">
      <c r="E8436" s="18"/>
      <c r="F8436" s="18"/>
    </row>
    <row r="8437" spans="5:6" ht="15" customHeight="1" x14ac:dyDescent="0.2">
      <c r="E8437" s="18"/>
      <c r="F8437" s="18"/>
    </row>
    <row r="8438" spans="5:6" ht="15" customHeight="1" x14ac:dyDescent="0.2">
      <c r="E8438" s="18"/>
      <c r="F8438" s="18"/>
    </row>
    <row r="8439" spans="5:6" ht="15" customHeight="1" x14ac:dyDescent="0.2">
      <c r="E8439" s="18"/>
      <c r="F8439" s="18"/>
    </row>
    <row r="8440" spans="5:6" ht="15" customHeight="1" x14ac:dyDescent="0.2">
      <c r="E8440" s="18"/>
      <c r="F8440" s="18"/>
    </row>
    <row r="8441" spans="5:6" ht="15" customHeight="1" x14ac:dyDescent="0.2">
      <c r="E8441" s="18"/>
      <c r="F8441" s="18"/>
    </row>
    <row r="8442" spans="5:6" ht="15" customHeight="1" x14ac:dyDescent="0.2">
      <c r="E8442" s="18"/>
      <c r="F8442" s="18"/>
    </row>
    <row r="8443" spans="5:6" ht="15" customHeight="1" x14ac:dyDescent="0.2">
      <c r="E8443" s="18"/>
      <c r="F8443" s="18"/>
    </row>
    <row r="8444" spans="5:6" ht="15" customHeight="1" x14ac:dyDescent="0.2">
      <c r="E8444" s="18"/>
      <c r="F8444" s="18"/>
    </row>
    <row r="8445" spans="5:6" ht="15" customHeight="1" x14ac:dyDescent="0.2">
      <c r="E8445" s="18"/>
      <c r="F8445" s="18"/>
    </row>
    <row r="8446" spans="5:6" ht="15" customHeight="1" x14ac:dyDescent="0.2">
      <c r="E8446" s="18"/>
      <c r="F8446" s="18"/>
    </row>
    <row r="8447" spans="5:6" ht="15" customHeight="1" x14ac:dyDescent="0.2">
      <c r="E8447" s="18"/>
      <c r="F8447" s="18"/>
    </row>
    <row r="8448" spans="5:6" ht="15" customHeight="1" x14ac:dyDescent="0.2">
      <c r="E8448" s="18"/>
      <c r="F8448" s="18"/>
    </row>
    <row r="8449" spans="5:6" ht="15" customHeight="1" x14ac:dyDescent="0.2">
      <c r="E8449" s="18"/>
      <c r="F8449" s="18"/>
    </row>
    <row r="8450" spans="5:6" ht="15" customHeight="1" x14ac:dyDescent="0.2">
      <c r="E8450" s="18"/>
      <c r="F8450" s="18"/>
    </row>
    <row r="8451" spans="5:6" ht="15" customHeight="1" x14ac:dyDescent="0.2">
      <c r="E8451" s="18"/>
      <c r="F8451" s="18"/>
    </row>
    <row r="8452" spans="5:6" ht="15" customHeight="1" x14ac:dyDescent="0.2">
      <c r="E8452" s="18"/>
      <c r="F8452" s="18"/>
    </row>
    <row r="8453" spans="5:6" ht="15" customHeight="1" x14ac:dyDescent="0.2">
      <c r="E8453" s="18"/>
      <c r="F8453" s="18"/>
    </row>
    <row r="8454" spans="5:6" ht="15" customHeight="1" x14ac:dyDescent="0.2">
      <c r="E8454" s="18"/>
      <c r="F8454" s="18"/>
    </row>
    <row r="8455" spans="5:6" ht="15" customHeight="1" x14ac:dyDescent="0.2">
      <c r="E8455" s="18"/>
      <c r="F8455" s="18"/>
    </row>
    <row r="8456" spans="5:6" ht="15" customHeight="1" x14ac:dyDescent="0.2">
      <c r="E8456" s="18"/>
      <c r="F8456" s="18"/>
    </row>
    <row r="8457" spans="5:6" ht="15" customHeight="1" x14ac:dyDescent="0.2">
      <c r="E8457" s="18"/>
      <c r="F8457" s="18"/>
    </row>
    <row r="8458" spans="5:6" ht="15" customHeight="1" x14ac:dyDescent="0.2">
      <c r="E8458" s="18"/>
      <c r="F8458" s="18"/>
    </row>
    <row r="8459" spans="5:6" ht="15" customHeight="1" x14ac:dyDescent="0.2">
      <c r="E8459" s="18"/>
      <c r="F8459" s="18"/>
    </row>
    <row r="8460" spans="5:6" ht="15" customHeight="1" x14ac:dyDescent="0.2">
      <c r="E8460" s="18"/>
      <c r="F8460" s="18"/>
    </row>
    <row r="8461" spans="5:6" ht="15" customHeight="1" x14ac:dyDescent="0.2">
      <c r="E8461" s="18"/>
      <c r="F8461" s="18"/>
    </row>
    <row r="8462" spans="5:6" ht="15" customHeight="1" x14ac:dyDescent="0.2">
      <c r="E8462" s="18"/>
      <c r="F8462" s="18"/>
    </row>
    <row r="8463" spans="5:6" ht="15" customHeight="1" x14ac:dyDescent="0.2">
      <c r="E8463" s="18"/>
      <c r="F8463" s="18"/>
    </row>
    <row r="8464" spans="5:6" ht="15" customHeight="1" x14ac:dyDescent="0.2">
      <c r="E8464" s="18"/>
      <c r="F8464" s="18"/>
    </row>
    <row r="8465" spans="5:6" ht="15" customHeight="1" x14ac:dyDescent="0.2">
      <c r="E8465" s="18"/>
      <c r="F8465" s="18"/>
    </row>
    <row r="8466" spans="5:6" ht="15" customHeight="1" x14ac:dyDescent="0.2">
      <c r="E8466" s="18"/>
      <c r="F8466" s="18"/>
    </row>
    <row r="8467" spans="5:6" ht="15" customHeight="1" x14ac:dyDescent="0.2">
      <c r="E8467" s="18"/>
      <c r="F8467" s="18"/>
    </row>
    <row r="8468" spans="5:6" ht="15" customHeight="1" x14ac:dyDescent="0.2">
      <c r="E8468" s="18"/>
      <c r="F8468" s="18"/>
    </row>
    <row r="8469" spans="5:6" ht="15" customHeight="1" x14ac:dyDescent="0.2">
      <c r="E8469" s="18"/>
      <c r="F8469" s="18"/>
    </row>
    <row r="8470" spans="5:6" ht="15" customHeight="1" x14ac:dyDescent="0.2">
      <c r="E8470" s="18"/>
      <c r="F8470" s="18"/>
    </row>
    <row r="8471" spans="5:6" ht="15" customHeight="1" x14ac:dyDescent="0.2">
      <c r="E8471" s="18"/>
      <c r="F8471" s="18"/>
    </row>
    <row r="8472" spans="5:6" ht="15" customHeight="1" x14ac:dyDescent="0.2">
      <c r="E8472" s="18"/>
      <c r="F8472" s="18"/>
    </row>
    <row r="8473" spans="5:6" ht="15" customHeight="1" x14ac:dyDescent="0.2">
      <c r="E8473" s="18"/>
      <c r="F8473" s="18"/>
    </row>
    <row r="8474" spans="5:6" ht="15" customHeight="1" x14ac:dyDescent="0.2">
      <c r="E8474" s="18"/>
      <c r="F8474" s="18"/>
    </row>
    <row r="8475" spans="5:6" ht="15" customHeight="1" x14ac:dyDescent="0.2">
      <c r="E8475" s="18"/>
      <c r="F8475" s="18"/>
    </row>
    <row r="8476" spans="5:6" ht="15" customHeight="1" x14ac:dyDescent="0.2">
      <c r="E8476" s="18"/>
      <c r="F8476" s="18"/>
    </row>
    <row r="8477" spans="5:6" ht="15" customHeight="1" x14ac:dyDescent="0.2">
      <c r="E8477" s="18"/>
      <c r="F8477" s="18"/>
    </row>
    <row r="8478" spans="5:6" ht="15" customHeight="1" x14ac:dyDescent="0.2">
      <c r="E8478" s="18"/>
      <c r="F8478" s="18"/>
    </row>
    <row r="8479" spans="5:6" ht="15" customHeight="1" x14ac:dyDescent="0.2">
      <c r="E8479" s="18"/>
      <c r="F8479" s="18"/>
    </row>
    <row r="8480" spans="5:6" ht="15" customHeight="1" x14ac:dyDescent="0.2">
      <c r="E8480" s="18"/>
      <c r="F8480" s="18"/>
    </row>
    <row r="8481" spans="5:6" ht="15" customHeight="1" x14ac:dyDescent="0.2">
      <c r="E8481" s="18"/>
      <c r="F8481" s="18"/>
    </row>
    <row r="8482" spans="5:6" ht="15" customHeight="1" x14ac:dyDescent="0.2">
      <c r="E8482" s="18"/>
      <c r="F8482" s="18"/>
    </row>
    <row r="8483" spans="5:6" ht="15" customHeight="1" x14ac:dyDescent="0.2">
      <c r="E8483" s="18"/>
      <c r="F8483" s="18"/>
    </row>
    <row r="8484" spans="5:6" ht="15" customHeight="1" x14ac:dyDescent="0.2">
      <c r="E8484" s="18"/>
      <c r="F8484" s="18"/>
    </row>
    <row r="8485" spans="5:6" ht="15" customHeight="1" x14ac:dyDescent="0.2">
      <c r="E8485" s="18"/>
      <c r="F8485" s="18"/>
    </row>
    <row r="8486" spans="5:6" ht="15" customHeight="1" x14ac:dyDescent="0.2">
      <c r="E8486" s="18"/>
      <c r="F8486" s="18"/>
    </row>
    <row r="8487" spans="5:6" ht="15" customHeight="1" x14ac:dyDescent="0.2">
      <c r="E8487" s="18"/>
      <c r="F8487" s="18"/>
    </row>
    <row r="8488" spans="5:6" ht="15" customHeight="1" x14ac:dyDescent="0.2">
      <c r="E8488" s="18"/>
      <c r="F8488" s="18"/>
    </row>
    <row r="8489" spans="5:6" ht="15" customHeight="1" x14ac:dyDescent="0.2">
      <c r="E8489" s="18"/>
      <c r="F8489" s="18"/>
    </row>
    <row r="8490" spans="5:6" ht="15" customHeight="1" x14ac:dyDescent="0.2">
      <c r="E8490" s="18"/>
      <c r="F8490" s="18"/>
    </row>
    <row r="8491" spans="5:6" ht="15" customHeight="1" x14ac:dyDescent="0.2">
      <c r="E8491" s="18"/>
      <c r="F8491" s="18"/>
    </row>
    <row r="8492" spans="5:6" ht="15" customHeight="1" x14ac:dyDescent="0.2">
      <c r="E8492" s="18"/>
      <c r="F8492" s="18"/>
    </row>
    <row r="8493" spans="5:6" ht="15" customHeight="1" x14ac:dyDescent="0.2">
      <c r="E8493" s="18"/>
      <c r="F8493" s="18"/>
    </row>
    <row r="8494" spans="5:6" ht="15" customHeight="1" x14ac:dyDescent="0.2">
      <c r="E8494" s="18"/>
      <c r="F8494" s="18"/>
    </row>
    <row r="8495" spans="5:6" ht="15" customHeight="1" x14ac:dyDescent="0.2">
      <c r="E8495" s="18"/>
      <c r="F8495" s="18"/>
    </row>
    <row r="8496" spans="5:6" ht="15" customHeight="1" x14ac:dyDescent="0.2">
      <c r="E8496" s="18"/>
      <c r="F8496" s="18"/>
    </row>
    <row r="8497" spans="5:6" ht="15" customHeight="1" x14ac:dyDescent="0.2">
      <c r="E8497" s="18"/>
      <c r="F8497" s="18"/>
    </row>
    <row r="8498" spans="5:6" ht="15" customHeight="1" x14ac:dyDescent="0.2">
      <c r="E8498" s="18"/>
      <c r="F8498" s="18"/>
    </row>
    <row r="8499" spans="5:6" ht="15" customHeight="1" x14ac:dyDescent="0.2">
      <c r="E8499" s="18"/>
      <c r="F8499" s="18"/>
    </row>
    <row r="8500" spans="5:6" ht="15" customHeight="1" x14ac:dyDescent="0.2">
      <c r="E8500" s="18"/>
      <c r="F8500" s="18"/>
    </row>
    <row r="8501" spans="5:6" ht="15" customHeight="1" x14ac:dyDescent="0.2">
      <c r="E8501" s="18"/>
      <c r="F8501" s="18"/>
    </row>
    <row r="8502" spans="5:6" ht="15" customHeight="1" x14ac:dyDescent="0.2">
      <c r="E8502" s="18"/>
      <c r="F8502" s="18"/>
    </row>
    <row r="8503" spans="5:6" ht="15" customHeight="1" x14ac:dyDescent="0.2">
      <c r="E8503" s="18"/>
      <c r="F8503" s="18"/>
    </row>
    <row r="8504" spans="5:6" ht="15" customHeight="1" x14ac:dyDescent="0.2">
      <c r="E8504" s="18"/>
      <c r="F8504" s="18"/>
    </row>
    <row r="8505" spans="5:6" ht="15" customHeight="1" x14ac:dyDescent="0.2">
      <c r="E8505" s="18"/>
      <c r="F8505" s="18"/>
    </row>
    <row r="8506" spans="5:6" ht="15" customHeight="1" x14ac:dyDescent="0.2">
      <c r="E8506" s="18"/>
      <c r="F8506" s="18"/>
    </row>
    <row r="8507" spans="5:6" ht="15" customHeight="1" x14ac:dyDescent="0.2">
      <c r="E8507" s="18"/>
      <c r="F8507" s="18"/>
    </row>
    <row r="8508" spans="5:6" ht="15" customHeight="1" x14ac:dyDescent="0.2">
      <c r="E8508" s="18"/>
      <c r="F8508" s="18"/>
    </row>
    <row r="8509" spans="5:6" ht="15" customHeight="1" x14ac:dyDescent="0.2">
      <c r="E8509" s="18"/>
      <c r="F8509" s="18"/>
    </row>
    <row r="8510" spans="5:6" ht="15" customHeight="1" x14ac:dyDescent="0.2">
      <c r="E8510" s="18"/>
      <c r="F8510" s="18"/>
    </row>
    <row r="8511" spans="5:6" ht="15" customHeight="1" x14ac:dyDescent="0.2">
      <c r="E8511" s="18"/>
      <c r="F8511" s="18"/>
    </row>
    <row r="8512" spans="5:6" ht="15" customHeight="1" x14ac:dyDescent="0.2">
      <c r="E8512" s="18"/>
      <c r="F8512" s="18"/>
    </row>
    <row r="8513" spans="5:6" ht="15" customHeight="1" x14ac:dyDescent="0.2">
      <c r="E8513" s="18"/>
      <c r="F8513" s="18"/>
    </row>
    <row r="8514" spans="5:6" ht="15" customHeight="1" x14ac:dyDescent="0.2">
      <c r="E8514" s="18"/>
      <c r="F8514" s="18"/>
    </row>
    <row r="8515" spans="5:6" ht="15" customHeight="1" x14ac:dyDescent="0.2">
      <c r="E8515" s="18"/>
      <c r="F8515" s="18"/>
    </row>
    <row r="8516" spans="5:6" ht="15" customHeight="1" x14ac:dyDescent="0.2">
      <c r="E8516" s="18"/>
      <c r="F8516" s="18"/>
    </row>
    <row r="8517" spans="5:6" ht="15" customHeight="1" x14ac:dyDescent="0.2">
      <c r="E8517" s="18"/>
      <c r="F8517" s="18"/>
    </row>
    <row r="8518" spans="5:6" ht="15" customHeight="1" x14ac:dyDescent="0.2">
      <c r="E8518" s="18"/>
      <c r="F8518" s="18"/>
    </row>
    <row r="8519" spans="5:6" ht="15" customHeight="1" x14ac:dyDescent="0.2">
      <c r="E8519" s="18"/>
      <c r="F8519" s="18"/>
    </row>
    <row r="8520" spans="5:6" ht="15" customHeight="1" x14ac:dyDescent="0.2">
      <c r="E8520" s="18"/>
      <c r="F8520" s="18"/>
    </row>
    <row r="8521" spans="5:6" ht="15" customHeight="1" x14ac:dyDescent="0.2">
      <c r="E8521" s="18"/>
      <c r="F8521" s="18"/>
    </row>
    <row r="8522" spans="5:6" ht="15" customHeight="1" x14ac:dyDescent="0.2">
      <c r="E8522" s="18"/>
      <c r="F8522" s="18"/>
    </row>
    <row r="8523" spans="5:6" ht="15" customHeight="1" x14ac:dyDescent="0.2">
      <c r="E8523" s="18"/>
      <c r="F8523" s="18"/>
    </row>
    <row r="8524" spans="5:6" ht="15" customHeight="1" x14ac:dyDescent="0.2">
      <c r="E8524" s="18"/>
      <c r="F8524" s="18"/>
    </row>
    <row r="8525" spans="5:6" ht="15" customHeight="1" x14ac:dyDescent="0.2">
      <c r="E8525" s="18"/>
      <c r="F8525" s="18"/>
    </row>
    <row r="8526" spans="5:6" ht="15" customHeight="1" x14ac:dyDescent="0.2">
      <c r="E8526" s="18"/>
      <c r="F8526" s="18"/>
    </row>
    <row r="8527" spans="5:6" ht="15" customHeight="1" x14ac:dyDescent="0.2">
      <c r="E8527" s="18"/>
      <c r="F8527" s="18"/>
    </row>
    <row r="8528" spans="5:6" ht="15" customHeight="1" x14ac:dyDescent="0.2">
      <c r="E8528" s="18"/>
      <c r="F8528" s="18"/>
    </row>
    <row r="8529" spans="5:6" ht="15" customHeight="1" x14ac:dyDescent="0.2">
      <c r="E8529" s="18"/>
      <c r="F8529" s="18"/>
    </row>
    <row r="8530" spans="5:6" ht="15" customHeight="1" x14ac:dyDescent="0.2">
      <c r="E8530" s="18"/>
      <c r="F8530" s="18"/>
    </row>
    <row r="8531" spans="5:6" ht="15" customHeight="1" x14ac:dyDescent="0.2">
      <c r="E8531" s="18"/>
      <c r="F8531" s="18"/>
    </row>
    <row r="8532" spans="5:6" ht="15" customHeight="1" x14ac:dyDescent="0.2">
      <c r="E8532" s="18"/>
      <c r="F8532" s="18"/>
    </row>
    <row r="8533" spans="5:6" ht="15" customHeight="1" x14ac:dyDescent="0.2">
      <c r="E8533" s="18"/>
      <c r="F8533" s="18"/>
    </row>
    <row r="8534" spans="5:6" ht="15" customHeight="1" x14ac:dyDescent="0.2">
      <c r="E8534" s="18"/>
      <c r="F8534" s="18"/>
    </row>
    <row r="8535" spans="5:6" ht="15" customHeight="1" x14ac:dyDescent="0.2">
      <c r="E8535" s="18"/>
      <c r="F8535" s="18"/>
    </row>
    <row r="8536" spans="5:6" ht="15" customHeight="1" x14ac:dyDescent="0.2">
      <c r="E8536" s="18"/>
      <c r="F8536" s="18"/>
    </row>
    <row r="8537" spans="5:6" ht="15" customHeight="1" x14ac:dyDescent="0.2">
      <c r="E8537" s="18"/>
      <c r="F8537" s="18"/>
    </row>
    <row r="8538" spans="5:6" ht="15" customHeight="1" x14ac:dyDescent="0.2">
      <c r="E8538" s="18"/>
      <c r="F8538" s="18"/>
    </row>
    <row r="8539" spans="5:6" ht="15" customHeight="1" x14ac:dyDescent="0.2">
      <c r="E8539" s="18"/>
      <c r="F8539" s="18"/>
    </row>
    <row r="8540" spans="5:6" ht="15" customHeight="1" x14ac:dyDescent="0.2">
      <c r="E8540" s="18"/>
      <c r="F8540" s="18"/>
    </row>
    <row r="8541" spans="5:6" ht="15" customHeight="1" x14ac:dyDescent="0.2">
      <c r="E8541" s="18"/>
      <c r="F8541" s="18"/>
    </row>
    <row r="8542" spans="5:6" ht="15" customHeight="1" x14ac:dyDescent="0.2">
      <c r="E8542" s="18"/>
      <c r="F8542" s="18"/>
    </row>
    <row r="8543" spans="5:6" ht="15" customHeight="1" x14ac:dyDescent="0.2">
      <c r="E8543" s="18"/>
      <c r="F8543" s="18"/>
    </row>
    <row r="8544" spans="5:6" ht="15" customHeight="1" x14ac:dyDescent="0.2">
      <c r="E8544" s="18"/>
      <c r="F8544" s="18"/>
    </row>
    <row r="8545" spans="5:6" ht="15" customHeight="1" x14ac:dyDescent="0.2">
      <c r="E8545" s="18"/>
      <c r="F8545" s="18"/>
    </row>
    <row r="8546" spans="5:6" ht="15" customHeight="1" x14ac:dyDescent="0.2">
      <c r="E8546" s="18"/>
      <c r="F8546" s="18"/>
    </row>
    <row r="8547" spans="5:6" ht="15" customHeight="1" x14ac:dyDescent="0.2">
      <c r="E8547" s="18"/>
      <c r="F8547" s="18"/>
    </row>
    <row r="8548" spans="5:6" ht="15" customHeight="1" x14ac:dyDescent="0.2">
      <c r="E8548" s="18"/>
      <c r="F8548" s="18"/>
    </row>
    <row r="8549" spans="5:6" ht="15" customHeight="1" x14ac:dyDescent="0.2">
      <c r="E8549" s="18"/>
      <c r="F8549" s="18"/>
    </row>
    <row r="8550" spans="5:6" ht="15" customHeight="1" x14ac:dyDescent="0.2">
      <c r="E8550" s="18"/>
      <c r="F8550" s="18"/>
    </row>
    <row r="8551" spans="5:6" ht="15" customHeight="1" x14ac:dyDescent="0.2">
      <c r="E8551" s="18"/>
      <c r="F8551" s="18"/>
    </row>
    <row r="8552" spans="5:6" ht="15" customHeight="1" x14ac:dyDescent="0.2">
      <c r="E8552" s="18"/>
      <c r="F8552" s="18"/>
    </row>
    <row r="8553" spans="5:6" ht="15" customHeight="1" x14ac:dyDescent="0.2">
      <c r="E8553" s="18"/>
      <c r="F8553" s="18"/>
    </row>
    <row r="8554" spans="5:6" ht="15" customHeight="1" x14ac:dyDescent="0.2">
      <c r="E8554" s="18"/>
      <c r="F8554" s="18"/>
    </row>
    <row r="8555" spans="5:6" ht="15" customHeight="1" x14ac:dyDescent="0.2">
      <c r="E8555" s="18"/>
      <c r="F8555" s="18"/>
    </row>
    <row r="8556" spans="5:6" ht="15" customHeight="1" x14ac:dyDescent="0.2">
      <c r="E8556" s="18"/>
      <c r="F8556" s="18"/>
    </row>
    <row r="8557" spans="5:6" ht="15" customHeight="1" x14ac:dyDescent="0.2">
      <c r="E8557" s="18"/>
      <c r="F8557" s="18"/>
    </row>
    <row r="8558" spans="5:6" ht="15" customHeight="1" x14ac:dyDescent="0.2">
      <c r="E8558" s="18"/>
      <c r="F8558" s="18"/>
    </row>
    <row r="8559" spans="5:6" ht="15" customHeight="1" x14ac:dyDescent="0.2">
      <c r="E8559" s="18"/>
      <c r="F8559" s="18"/>
    </row>
    <row r="8560" spans="5:6" ht="15" customHeight="1" x14ac:dyDescent="0.2">
      <c r="E8560" s="18"/>
      <c r="F8560" s="18"/>
    </row>
    <row r="8561" spans="5:6" ht="15" customHeight="1" x14ac:dyDescent="0.2">
      <c r="E8561" s="18"/>
      <c r="F8561" s="18"/>
    </row>
    <row r="8562" spans="5:6" ht="15" customHeight="1" x14ac:dyDescent="0.2">
      <c r="E8562" s="18"/>
      <c r="F8562" s="18"/>
    </row>
    <row r="8563" spans="5:6" ht="15" customHeight="1" x14ac:dyDescent="0.2">
      <c r="E8563" s="18"/>
      <c r="F8563" s="18"/>
    </row>
    <row r="8564" spans="5:6" ht="15" customHeight="1" x14ac:dyDescent="0.2">
      <c r="E8564" s="18"/>
      <c r="F8564" s="18"/>
    </row>
    <row r="8565" spans="5:6" ht="15" customHeight="1" x14ac:dyDescent="0.2">
      <c r="E8565" s="18"/>
      <c r="F8565" s="18"/>
    </row>
    <row r="8566" spans="5:6" ht="15" customHeight="1" x14ac:dyDescent="0.2">
      <c r="E8566" s="18"/>
      <c r="F8566" s="18"/>
    </row>
    <row r="8567" spans="5:6" ht="15" customHeight="1" x14ac:dyDescent="0.2">
      <c r="E8567" s="18"/>
      <c r="F8567" s="18"/>
    </row>
    <row r="8568" spans="5:6" ht="15" customHeight="1" x14ac:dyDescent="0.2">
      <c r="E8568" s="18"/>
      <c r="F8568" s="18"/>
    </row>
    <row r="8569" spans="5:6" ht="15" customHeight="1" x14ac:dyDescent="0.2">
      <c r="E8569" s="18"/>
      <c r="F8569" s="18"/>
    </row>
    <row r="8570" spans="5:6" ht="15" customHeight="1" x14ac:dyDescent="0.2">
      <c r="E8570" s="18"/>
      <c r="F8570" s="18"/>
    </row>
    <row r="8571" spans="5:6" ht="15" customHeight="1" x14ac:dyDescent="0.2">
      <c r="E8571" s="18"/>
      <c r="F8571" s="18"/>
    </row>
    <row r="8572" spans="5:6" ht="15" customHeight="1" x14ac:dyDescent="0.2">
      <c r="E8572" s="18"/>
      <c r="F8572" s="18"/>
    </row>
    <row r="8573" spans="5:6" ht="15" customHeight="1" x14ac:dyDescent="0.2">
      <c r="E8573" s="18"/>
      <c r="F8573" s="18"/>
    </row>
    <row r="8574" spans="5:6" ht="15" customHeight="1" x14ac:dyDescent="0.2">
      <c r="E8574" s="18"/>
      <c r="F8574" s="18"/>
    </row>
    <row r="8575" spans="5:6" ht="15" customHeight="1" x14ac:dyDescent="0.2">
      <c r="E8575" s="18"/>
      <c r="F8575" s="18"/>
    </row>
    <row r="8576" spans="5:6" ht="15" customHeight="1" x14ac:dyDescent="0.2">
      <c r="E8576" s="18"/>
      <c r="F8576" s="18"/>
    </row>
    <row r="8577" spans="5:6" ht="15" customHeight="1" x14ac:dyDescent="0.2">
      <c r="E8577" s="18"/>
      <c r="F8577" s="18"/>
    </row>
    <row r="8578" spans="5:6" ht="15" customHeight="1" x14ac:dyDescent="0.2">
      <c r="E8578" s="18"/>
      <c r="F8578" s="18"/>
    </row>
    <row r="8579" spans="5:6" ht="15" customHeight="1" x14ac:dyDescent="0.2">
      <c r="E8579" s="18"/>
      <c r="F8579" s="18"/>
    </row>
    <row r="8580" spans="5:6" ht="15" customHeight="1" x14ac:dyDescent="0.2">
      <c r="E8580" s="18"/>
      <c r="F8580" s="18"/>
    </row>
    <row r="8581" spans="5:6" ht="15" customHeight="1" x14ac:dyDescent="0.2">
      <c r="E8581" s="18"/>
      <c r="F8581" s="18"/>
    </row>
    <row r="8582" spans="5:6" ht="15" customHeight="1" x14ac:dyDescent="0.2">
      <c r="E8582" s="18"/>
      <c r="F8582" s="18"/>
    </row>
    <row r="8583" spans="5:6" ht="15" customHeight="1" x14ac:dyDescent="0.2">
      <c r="E8583" s="18"/>
      <c r="F8583" s="18"/>
    </row>
    <row r="8584" spans="5:6" ht="15" customHeight="1" x14ac:dyDescent="0.2">
      <c r="E8584" s="18"/>
      <c r="F8584" s="18"/>
    </row>
    <row r="8585" spans="5:6" ht="15" customHeight="1" x14ac:dyDescent="0.2">
      <c r="E8585" s="18"/>
      <c r="F8585" s="18"/>
    </row>
    <row r="8586" spans="5:6" ht="15" customHeight="1" x14ac:dyDescent="0.2">
      <c r="E8586" s="18"/>
      <c r="F8586" s="18"/>
    </row>
    <row r="8587" spans="5:6" ht="15" customHeight="1" x14ac:dyDescent="0.2">
      <c r="E8587" s="18"/>
      <c r="F8587" s="18"/>
    </row>
    <row r="8588" spans="5:6" ht="15" customHeight="1" x14ac:dyDescent="0.2">
      <c r="E8588" s="18"/>
      <c r="F8588" s="18"/>
    </row>
    <row r="8589" spans="5:6" ht="15" customHeight="1" x14ac:dyDescent="0.2">
      <c r="E8589" s="18"/>
      <c r="F8589" s="18"/>
    </row>
    <row r="8590" spans="5:6" ht="15" customHeight="1" x14ac:dyDescent="0.2">
      <c r="E8590" s="18"/>
      <c r="F8590" s="18"/>
    </row>
    <row r="8591" spans="5:6" ht="15" customHeight="1" x14ac:dyDescent="0.2">
      <c r="E8591" s="18"/>
      <c r="F8591" s="18"/>
    </row>
    <row r="8592" spans="5:6" ht="15" customHeight="1" x14ac:dyDescent="0.2">
      <c r="E8592" s="18"/>
      <c r="F8592" s="18"/>
    </row>
    <row r="8593" spans="5:6" ht="15" customHeight="1" x14ac:dyDescent="0.2">
      <c r="E8593" s="18"/>
      <c r="F8593" s="18"/>
    </row>
    <row r="8594" spans="5:6" ht="15" customHeight="1" x14ac:dyDescent="0.2">
      <c r="E8594" s="18"/>
      <c r="F8594" s="18"/>
    </row>
    <row r="8595" spans="5:6" ht="15" customHeight="1" x14ac:dyDescent="0.2">
      <c r="E8595" s="18"/>
      <c r="F8595" s="18"/>
    </row>
    <row r="8596" spans="5:6" ht="15" customHeight="1" x14ac:dyDescent="0.2">
      <c r="E8596" s="18"/>
      <c r="F8596" s="18"/>
    </row>
    <row r="8597" spans="5:6" ht="15" customHeight="1" x14ac:dyDescent="0.2">
      <c r="E8597" s="18"/>
      <c r="F8597" s="18"/>
    </row>
    <row r="8598" spans="5:6" ht="15" customHeight="1" x14ac:dyDescent="0.2">
      <c r="E8598" s="18"/>
      <c r="F8598" s="18"/>
    </row>
    <row r="8599" spans="5:6" ht="15" customHeight="1" x14ac:dyDescent="0.2">
      <c r="E8599" s="18"/>
      <c r="F8599" s="18"/>
    </row>
    <row r="8600" spans="5:6" ht="15" customHeight="1" x14ac:dyDescent="0.2">
      <c r="E8600" s="18"/>
      <c r="F8600" s="18"/>
    </row>
    <row r="8601" spans="5:6" ht="15" customHeight="1" x14ac:dyDescent="0.2">
      <c r="E8601" s="18"/>
      <c r="F8601" s="18"/>
    </row>
    <row r="8602" spans="5:6" ht="15" customHeight="1" x14ac:dyDescent="0.2">
      <c r="E8602" s="18"/>
      <c r="F8602" s="18"/>
    </row>
    <row r="8603" spans="5:6" ht="15" customHeight="1" x14ac:dyDescent="0.2">
      <c r="E8603" s="18"/>
      <c r="F8603" s="18"/>
    </row>
    <row r="8604" spans="5:6" ht="15" customHeight="1" x14ac:dyDescent="0.2">
      <c r="E8604" s="18"/>
      <c r="F8604" s="18"/>
    </row>
    <row r="8605" spans="5:6" ht="15" customHeight="1" x14ac:dyDescent="0.2">
      <c r="E8605" s="18"/>
      <c r="F8605" s="18"/>
    </row>
    <row r="8606" spans="5:6" ht="15" customHeight="1" x14ac:dyDescent="0.2">
      <c r="E8606" s="18"/>
      <c r="F8606" s="18"/>
    </row>
    <row r="8607" spans="5:6" ht="15" customHeight="1" x14ac:dyDescent="0.2">
      <c r="E8607" s="18"/>
      <c r="F8607" s="18"/>
    </row>
    <row r="8608" spans="5:6" ht="15" customHeight="1" x14ac:dyDescent="0.2">
      <c r="E8608" s="18"/>
      <c r="F8608" s="18"/>
    </row>
    <row r="8609" spans="5:6" ht="15" customHeight="1" x14ac:dyDescent="0.2">
      <c r="E8609" s="18"/>
      <c r="F8609" s="18"/>
    </row>
    <row r="8610" spans="5:6" ht="15" customHeight="1" x14ac:dyDescent="0.2">
      <c r="E8610" s="18"/>
      <c r="F8610" s="18"/>
    </row>
    <row r="8611" spans="5:6" ht="15" customHeight="1" x14ac:dyDescent="0.2">
      <c r="E8611" s="18"/>
      <c r="F8611" s="18"/>
    </row>
    <row r="8612" spans="5:6" ht="15" customHeight="1" x14ac:dyDescent="0.2">
      <c r="E8612" s="18"/>
      <c r="F8612" s="18"/>
    </row>
    <row r="8613" spans="5:6" ht="15" customHeight="1" x14ac:dyDescent="0.2">
      <c r="E8613" s="18"/>
      <c r="F8613" s="18"/>
    </row>
    <row r="8614" spans="5:6" ht="15" customHeight="1" x14ac:dyDescent="0.2">
      <c r="E8614" s="18"/>
      <c r="F8614" s="18"/>
    </row>
    <row r="8615" spans="5:6" ht="15" customHeight="1" x14ac:dyDescent="0.2">
      <c r="E8615" s="18"/>
      <c r="F8615" s="18"/>
    </row>
    <row r="8616" spans="5:6" ht="15" customHeight="1" x14ac:dyDescent="0.2">
      <c r="E8616" s="18"/>
      <c r="F8616" s="18"/>
    </row>
    <row r="8617" spans="5:6" ht="15" customHeight="1" x14ac:dyDescent="0.2">
      <c r="E8617" s="18"/>
      <c r="F8617" s="18"/>
    </row>
    <row r="8618" spans="5:6" ht="15" customHeight="1" x14ac:dyDescent="0.2">
      <c r="E8618" s="18"/>
      <c r="F8618" s="18"/>
    </row>
    <row r="8619" spans="5:6" ht="15" customHeight="1" x14ac:dyDescent="0.2">
      <c r="E8619" s="18"/>
      <c r="F8619" s="18"/>
    </row>
    <row r="8620" spans="5:6" ht="15" customHeight="1" x14ac:dyDescent="0.2">
      <c r="E8620" s="18"/>
      <c r="F8620" s="18"/>
    </row>
    <row r="8621" spans="5:6" ht="15" customHeight="1" x14ac:dyDescent="0.2">
      <c r="E8621" s="18"/>
      <c r="F8621" s="18"/>
    </row>
    <row r="8622" spans="5:6" ht="15" customHeight="1" x14ac:dyDescent="0.2">
      <c r="E8622" s="18"/>
      <c r="F8622" s="18"/>
    </row>
    <row r="8623" spans="5:6" ht="15" customHeight="1" x14ac:dyDescent="0.2">
      <c r="E8623" s="18"/>
      <c r="F8623" s="18"/>
    </row>
    <row r="8624" spans="5:6" ht="15" customHeight="1" x14ac:dyDescent="0.2">
      <c r="E8624" s="18"/>
      <c r="F8624" s="18"/>
    </row>
    <row r="8625" spans="5:6" ht="15" customHeight="1" x14ac:dyDescent="0.2">
      <c r="E8625" s="18"/>
      <c r="F8625" s="18"/>
    </row>
    <row r="8626" spans="5:6" ht="15" customHeight="1" x14ac:dyDescent="0.2">
      <c r="E8626" s="18"/>
      <c r="F8626" s="18"/>
    </row>
    <row r="8627" spans="5:6" ht="15" customHeight="1" x14ac:dyDescent="0.2">
      <c r="E8627" s="18"/>
      <c r="F8627" s="18"/>
    </row>
    <row r="8628" spans="5:6" ht="15" customHeight="1" x14ac:dyDescent="0.2">
      <c r="E8628" s="18"/>
      <c r="F8628" s="18"/>
    </row>
    <row r="8629" spans="5:6" ht="15" customHeight="1" x14ac:dyDescent="0.2">
      <c r="E8629" s="18"/>
      <c r="F8629" s="18"/>
    </row>
    <row r="8630" spans="5:6" ht="15" customHeight="1" x14ac:dyDescent="0.2">
      <c r="E8630" s="18"/>
      <c r="F8630" s="18"/>
    </row>
    <row r="8631" spans="5:6" ht="15" customHeight="1" x14ac:dyDescent="0.2">
      <c r="E8631" s="18"/>
      <c r="F8631" s="18"/>
    </row>
    <row r="8632" spans="5:6" ht="15" customHeight="1" x14ac:dyDescent="0.2">
      <c r="E8632" s="18"/>
      <c r="F8632" s="18"/>
    </row>
    <row r="8633" spans="5:6" ht="15" customHeight="1" x14ac:dyDescent="0.2">
      <c r="E8633" s="18"/>
      <c r="F8633" s="18"/>
    </row>
    <row r="8634" spans="5:6" ht="15" customHeight="1" x14ac:dyDescent="0.2">
      <c r="E8634" s="18"/>
      <c r="F8634" s="18"/>
    </row>
    <row r="8635" spans="5:6" ht="15" customHeight="1" x14ac:dyDescent="0.2">
      <c r="E8635" s="18"/>
      <c r="F8635" s="18"/>
    </row>
    <row r="8636" spans="5:6" ht="15" customHeight="1" x14ac:dyDescent="0.2">
      <c r="E8636" s="18"/>
      <c r="F8636" s="18"/>
    </row>
    <row r="8637" spans="5:6" ht="15" customHeight="1" x14ac:dyDescent="0.2">
      <c r="E8637" s="18"/>
      <c r="F8637" s="18"/>
    </row>
    <row r="8638" spans="5:6" ht="15" customHeight="1" x14ac:dyDescent="0.2">
      <c r="E8638" s="18"/>
      <c r="F8638" s="18"/>
    </row>
    <row r="8639" spans="5:6" ht="15" customHeight="1" x14ac:dyDescent="0.2">
      <c r="E8639" s="18"/>
      <c r="F8639" s="18"/>
    </row>
    <row r="8640" spans="5:6" ht="15" customHeight="1" x14ac:dyDescent="0.2">
      <c r="E8640" s="18"/>
      <c r="F8640" s="18"/>
    </row>
    <row r="8641" spans="5:6" ht="15" customHeight="1" x14ac:dyDescent="0.2">
      <c r="E8641" s="18"/>
      <c r="F8641" s="18"/>
    </row>
    <row r="8642" spans="5:6" ht="15" customHeight="1" x14ac:dyDescent="0.2">
      <c r="E8642" s="18"/>
      <c r="F8642" s="18"/>
    </row>
    <row r="8643" spans="5:6" ht="15" customHeight="1" x14ac:dyDescent="0.2">
      <c r="E8643" s="18"/>
      <c r="F8643" s="18"/>
    </row>
    <row r="8644" spans="5:6" ht="15" customHeight="1" x14ac:dyDescent="0.2">
      <c r="E8644" s="18"/>
      <c r="F8644" s="18"/>
    </row>
    <row r="8645" spans="5:6" ht="15" customHeight="1" x14ac:dyDescent="0.2">
      <c r="E8645" s="18"/>
      <c r="F8645" s="18"/>
    </row>
    <row r="8646" spans="5:6" ht="15" customHeight="1" x14ac:dyDescent="0.2">
      <c r="E8646" s="18"/>
      <c r="F8646" s="18"/>
    </row>
    <row r="8647" spans="5:6" ht="15" customHeight="1" x14ac:dyDescent="0.2">
      <c r="E8647" s="18"/>
      <c r="F8647" s="18"/>
    </row>
    <row r="8648" spans="5:6" ht="15" customHeight="1" x14ac:dyDescent="0.2">
      <c r="E8648" s="18"/>
      <c r="F8648" s="18"/>
    </row>
    <row r="8649" spans="5:6" ht="15" customHeight="1" x14ac:dyDescent="0.2">
      <c r="E8649" s="18"/>
      <c r="F8649" s="18"/>
    </row>
    <row r="8650" spans="5:6" ht="15" customHeight="1" x14ac:dyDescent="0.2">
      <c r="E8650" s="18"/>
      <c r="F8650" s="18"/>
    </row>
    <row r="8651" spans="5:6" ht="15" customHeight="1" x14ac:dyDescent="0.2">
      <c r="E8651" s="18"/>
      <c r="F8651" s="18"/>
    </row>
    <row r="8652" spans="5:6" ht="15" customHeight="1" x14ac:dyDescent="0.2">
      <c r="E8652" s="18"/>
      <c r="F8652" s="18"/>
    </row>
    <row r="8653" spans="5:6" ht="15" customHeight="1" x14ac:dyDescent="0.2">
      <c r="E8653" s="18"/>
      <c r="F8653" s="18"/>
    </row>
    <row r="8654" spans="5:6" ht="15" customHeight="1" x14ac:dyDescent="0.2">
      <c r="E8654" s="18"/>
      <c r="F8654" s="18"/>
    </row>
    <row r="8655" spans="5:6" ht="15" customHeight="1" x14ac:dyDescent="0.2">
      <c r="E8655" s="18"/>
      <c r="F8655" s="18"/>
    </row>
    <row r="8656" spans="5:6" ht="15" customHeight="1" x14ac:dyDescent="0.2">
      <c r="E8656" s="18"/>
      <c r="F8656" s="18"/>
    </row>
    <row r="8657" spans="5:6" ht="15" customHeight="1" x14ac:dyDescent="0.2">
      <c r="E8657" s="18"/>
      <c r="F8657" s="18"/>
    </row>
    <row r="8658" spans="5:6" ht="15" customHeight="1" x14ac:dyDescent="0.2">
      <c r="E8658" s="18"/>
      <c r="F8658" s="18"/>
    </row>
    <row r="8659" spans="5:6" ht="15" customHeight="1" x14ac:dyDescent="0.2">
      <c r="E8659" s="18"/>
      <c r="F8659" s="18"/>
    </row>
    <row r="8660" spans="5:6" ht="15" customHeight="1" x14ac:dyDescent="0.2">
      <c r="E8660" s="18"/>
      <c r="F8660" s="18"/>
    </row>
    <row r="8661" spans="5:6" ht="15" customHeight="1" x14ac:dyDescent="0.2">
      <c r="E8661" s="18"/>
      <c r="F8661" s="18"/>
    </row>
    <row r="8662" spans="5:6" ht="15" customHeight="1" x14ac:dyDescent="0.2">
      <c r="E8662" s="18"/>
      <c r="F8662" s="18"/>
    </row>
    <row r="8663" spans="5:6" ht="15" customHeight="1" x14ac:dyDescent="0.2">
      <c r="E8663" s="18"/>
      <c r="F8663" s="18"/>
    </row>
    <row r="8664" spans="5:6" ht="15" customHeight="1" x14ac:dyDescent="0.2">
      <c r="E8664" s="18"/>
      <c r="F8664" s="18"/>
    </row>
    <row r="8665" spans="5:6" ht="15" customHeight="1" x14ac:dyDescent="0.2">
      <c r="E8665" s="18"/>
      <c r="F8665" s="18"/>
    </row>
    <row r="8666" spans="5:6" ht="15" customHeight="1" x14ac:dyDescent="0.2">
      <c r="E8666" s="18"/>
      <c r="F8666" s="18"/>
    </row>
    <row r="8667" spans="5:6" ht="15" customHeight="1" x14ac:dyDescent="0.2">
      <c r="E8667" s="18"/>
      <c r="F8667" s="18"/>
    </row>
    <row r="8668" spans="5:6" ht="15" customHeight="1" x14ac:dyDescent="0.2">
      <c r="E8668" s="18"/>
      <c r="F8668" s="18"/>
    </row>
    <row r="8669" spans="5:6" ht="15" customHeight="1" x14ac:dyDescent="0.2">
      <c r="E8669" s="18"/>
      <c r="F8669" s="18"/>
    </row>
    <row r="8670" spans="5:6" ht="15" customHeight="1" x14ac:dyDescent="0.2">
      <c r="E8670" s="18"/>
      <c r="F8670" s="18"/>
    </row>
    <row r="8671" spans="5:6" ht="15" customHeight="1" x14ac:dyDescent="0.2">
      <c r="E8671" s="18"/>
      <c r="F8671" s="18"/>
    </row>
    <row r="8672" spans="5:6" ht="15" customHeight="1" x14ac:dyDescent="0.2">
      <c r="E8672" s="18"/>
      <c r="F8672" s="18"/>
    </row>
    <row r="8673" spans="5:6" ht="15" customHeight="1" x14ac:dyDescent="0.2">
      <c r="E8673" s="18"/>
      <c r="F8673" s="18"/>
    </row>
    <row r="8674" spans="5:6" ht="15" customHeight="1" x14ac:dyDescent="0.2">
      <c r="E8674" s="18"/>
      <c r="F8674" s="18"/>
    </row>
    <row r="8675" spans="5:6" ht="15" customHeight="1" x14ac:dyDescent="0.2">
      <c r="E8675" s="18"/>
      <c r="F8675" s="18"/>
    </row>
    <row r="8676" spans="5:6" ht="15" customHeight="1" x14ac:dyDescent="0.2">
      <c r="E8676" s="18"/>
      <c r="F8676" s="18"/>
    </row>
    <row r="8677" spans="5:6" ht="15" customHeight="1" x14ac:dyDescent="0.2">
      <c r="E8677" s="18"/>
      <c r="F8677" s="18"/>
    </row>
    <row r="8678" spans="5:6" ht="15" customHeight="1" x14ac:dyDescent="0.2">
      <c r="E8678" s="18"/>
      <c r="F8678" s="18"/>
    </row>
    <row r="8679" spans="5:6" ht="15" customHeight="1" x14ac:dyDescent="0.2">
      <c r="E8679" s="18"/>
      <c r="F8679" s="18"/>
    </row>
    <row r="8680" spans="5:6" ht="15" customHeight="1" x14ac:dyDescent="0.2">
      <c r="E8680" s="18"/>
      <c r="F8680" s="18"/>
    </row>
    <row r="8681" spans="5:6" ht="15" customHeight="1" x14ac:dyDescent="0.2">
      <c r="E8681" s="18"/>
      <c r="F8681" s="18"/>
    </row>
    <row r="8682" spans="5:6" ht="15" customHeight="1" x14ac:dyDescent="0.2">
      <c r="E8682" s="18"/>
      <c r="F8682" s="18"/>
    </row>
    <row r="8683" spans="5:6" ht="15" customHeight="1" x14ac:dyDescent="0.2">
      <c r="E8683" s="18"/>
      <c r="F8683" s="18"/>
    </row>
    <row r="8684" spans="5:6" ht="15" customHeight="1" x14ac:dyDescent="0.2">
      <c r="E8684" s="18"/>
      <c r="F8684" s="18"/>
    </row>
    <row r="8685" spans="5:6" ht="15" customHeight="1" x14ac:dyDescent="0.2">
      <c r="E8685" s="18"/>
      <c r="F8685" s="18"/>
    </row>
    <row r="8686" spans="5:6" ht="15" customHeight="1" x14ac:dyDescent="0.2">
      <c r="E8686" s="18"/>
      <c r="F8686" s="18"/>
    </row>
    <row r="8687" spans="5:6" ht="15" customHeight="1" x14ac:dyDescent="0.2">
      <c r="E8687" s="18"/>
      <c r="F8687" s="18"/>
    </row>
    <row r="8688" spans="5:6" ht="15" customHeight="1" x14ac:dyDescent="0.2">
      <c r="E8688" s="18"/>
      <c r="F8688" s="18"/>
    </row>
    <row r="8689" spans="5:6" ht="15" customHeight="1" x14ac:dyDescent="0.2">
      <c r="E8689" s="18"/>
      <c r="F8689" s="18"/>
    </row>
    <row r="8690" spans="5:6" ht="15" customHeight="1" x14ac:dyDescent="0.2">
      <c r="E8690" s="18"/>
      <c r="F8690" s="18"/>
    </row>
    <row r="8691" spans="5:6" ht="15" customHeight="1" x14ac:dyDescent="0.2">
      <c r="E8691" s="18"/>
      <c r="F8691" s="18"/>
    </row>
    <row r="8692" spans="5:6" ht="15" customHeight="1" x14ac:dyDescent="0.2">
      <c r="E8692" s="18"/>
      <c r="F8692" s="18"/>
    </row>
    <row r="8693" spans="5:6" ht="15" customHeight="1" x14ac:dyDescent="0.2">
      <c r="E8693" s="18"/>
      <c r="F8693" s="18"/>
    </row>
    <row r="8694" spans="5:6" ht="15" customHeight="1" x14ac:dyDescent="0.2">
      <c r="E8694" s="18"/>
      <c r="F8694" s="18"/>
    </row>
    <row r="8695" spans="5:6" ht="15" customHeight="1" x14ac:dyDescent="0.2">
      <c r="E8695" s="18"/>
      <c r="F8695" s="18"/>
    </row>
    <row r="8696" spans="5:6" ht="15" customHeight="1" x14ac:dyDescent="0.2">
      <c r="E8696" s="18"/>
      <c r="F8696" s="18"/>
    </row>
    <row r="8697" spans="5:6" ht="15" customHeight="1" x14ac:dyDescent="0.2">
      <c r="E8697" s="18"/>
      <c r="F8697" s="18"/>
    </row>
    <row r="8698" spans="5:6" ht="15" customHeight="1" x14ac:dyDescent="0.2">
      <c r="E8698" s="18"/>
      <c r="F8698" s="18"/>
    </row>
    <row r="8699" spans="5:6" ht="15" customHeight="1" x14ac:dyDescent="0.2">
      <c r="E8699" s="18"/>
      <c r="F8699" s="18"/>
    </row>
    <row r="8700" spans="5:6" ht="15" customHeight="1" x14ac:dyDescent="0.2">
      <c r="E8700" s="18"/>
      <c r="F8700" s="18"/>
    </row>
    <row r="8701" spans="5:6" ht="15" customHeight="1" x14ac:dyDescent="0.2">
      <c r="E8701" s="18"/>
      <c r="F8701" s="18"/>
    </row>
    <row r="8702" spans="5:6" ht="15" customHeight="1" x14ac:dyDescent="0.2">
      <c r="E8702" s="18"/>
      <c r="F8702" s="18"/>
    </row>
    <row r="8703" spans="5:6" ht="15" customHeight="1" x14ac:dyDescent="0.2">
      <c r="E8703" s="18"/>
      <c r="F8703" s="18"/>
    </row>
    <row r="8704" spans="5:6" ht="15" customHeight="1" x14ac:dyDescent="0.2">
      <c r="E8704" s="18"/>
      <c r="F8704" s="18"/>
    </row>
    <row r="8705" spans="5:6" ht="15" customHeight="1" x14ac:dyDescent="0.2">
      <c r="E8705" s="18"/>
      <c r="F8705" s="18"/>
    </row>
    <row r="8706" spans="5:6" ht="15" customHeight="1" x14ac:dyDescent="0.2">
      <c r="E8706" s="18"/>
      <c r="F8706" s="18"/>
    </row>
    <row r="8707" spans="5:6" ht="15" customHeight="1" x14ac:dyDescent="0.2">
      <c r="E8707" s="18"/>
      <c r="F8707" s="18"/>
    </row>
    <row r="8708" spans="5:6" ht="15" customHeight="1" x14ac:dyDescent="0.2">
      <c r="E8708" s="18"/>
      <c r="F8708" s="18"/>
    </row>
    <row r="8709" spans="5:6" ht="15" customHeight="1" x14ac:dyDescent="0.2">
      <c r="E8709" s="18"/>
      <c r="F8709" s="18"/>
    </row>
    <row r="8710" spans="5:6" ht="15" customHeight="1" x14ac:dyDescent="0.2">
      <c r="E8710" s="18"/>
      <c r="F8710" s="18"/>
    </row>
    <row r="8711" spans="5:6" ht="15" customHeight="1" x14ac:dyDescent="0.2">
      <c r="E8711" s="18"/>
      <c r="F8711" s="18"/>
    </row>
    <row r="8712" spans="5:6" ht="15" customHeight="1" x14ac:dyDescent="0.2">
      <c r="E8712" s="18"/>
      <c r="F8712" s="18"/>
    </row>
    <row r="8713" spans="5:6" ht="15" customHeight="1" x14ac:dyDescent="0.2">
      <c r="E8713" s="18"/>
      <c r="F8713" s="18"/>
    </row>
    <row r="8714" spans="5:6" ht="15" customHeight="1" x14ac:dyDescent="0.2">
      <c r="E8714" s="18"/>
      <c r="F8714" s="18"/>
    </row>
    <row r="8715" spans="5:6" ht="15" customHeight="1" x14ac:dyDescent="0.2">
      <c r="E8715" s="18"/>
      <c r="F8715" s="18"/>
    </row>
    <row r="8716" spans="5:6" ht="15" customHeight="1" x14ac:dyDescent="0.2">
      <c r="E8716" s="18"/>
      <c r="F8716" s="18"/>
    </row>
    <row r="8717" spans="5:6" ht="15" customHeight="1" x14ac:dyDescent="0.2">
      <c r="E8717" s="18"/>
      <c r="F8717" s="18"/>
    </row>
    <row r="8718" spans="5:6" ht="15" customHeight="1" x14ac:dyDescent="0.2">
      <c r="E8718" s="18"/>
      <c r="F8718" s="18"/>
    </row>
    <row r="8719" spans="5:6" ht="15" customHeight="1" x14ac:dyDescent="0.2">
      <c r="E8719" s="18"/>
      <c r="F8719" s="18"/>
    </row>
    <row r="8720" spans="5:6" ht="15" customHeight="1" x14ac:dyDescent="0.2">
      <c r="E8720" s="18"/>
      <c r="F8720" s="18"/>
    </row>
    <row r="8721" spans="5:6" ht="15" customHeight="1" x14ac:dyDescent="0.2">
      <c r="E8721" s="18"/>
      <c r="F8721" s="18"/>
    </row>
    <row r="8722" spans="5:6" ht="15" customHeight="1" x14ac:dyDescent="0.2">
      <c r="E8722" s="18"/>
      <c r="F8722" s="18"/>
    </row>
    <row r="8723" spans="5:6" ht="15" customHeight="1" x14ac:dyDescent="0.2">
      <c r="E8723" s="18"/>
      <c r="F8723" s="18"/>
    </row>
    <row r="8724" spans="5:6" ht="15" customHeight="1" x14ac:dyDescent="0.2">
      <c r="E8724" s="18"/>
      <c r="F8724" s="18"/>
    </row>
    <row r="8725" spans="5:6" ht="15" customHeight="1" x14ac:dyDescent="0.2">
      <c r="E8725" s="18"/>
      <c r="F8725" s="18"/>
    </row>
    <row r="8726" spans="5:6" ht="15" customHeight="1" x14ac:dyDescent="0.2">
      <c r="E8726" s="18"/>
      <c r="F8726" s="18"/>
    </row>
    <row r="8727" spans="5:6" ht="15" customHeight="1" x14ac:dyDescent="0.2">
      <c r="E8727" s="18"/>
      <c r="F8727" s="18"/>
    </row>
    <row r="8728" spans="5:6" ht="15" customHeight="1" x14ac:dyDescent="0.2">
      <c r="E8728" s="18"/>
      <c r="F8728" s="18"/>
    </row>
    <row r="8729" spans="5:6" ht="15" customHeight="1" x14ac:dyDescent="0.2">
      <c r="E8729" s="18"/>
      <c r="F8729" s="18"/>
    </row>
    <row r="8730" spans="5:6" ht="15" customHeight="1" x14ac:dyDescent="0.2">
      <c r="E8730" s="18"/>
      <c r="F8730" s="18"/>
    </row>
    <row r="8731" spans="5:6" ht="15" customHeight="1" x14ac:dyDescent="0.2">
      <c r="E8731" s="18"/>
      <c r="F8731" s="18"/>
    </row>
    <row r="8732" spans="5:6" ht="15" customHeight="1" x14ac:dyDescent="0.2">
      <c r="E8732" s="18"/>
      <c r="F8732" s="18"/>
    </row>
    <row r="8733" spans="5:6" ht="15" customHeight="1" x14ac:dyDescent="0.2">
      <c r="E8733" s="18"/>
      <c r="F8733" s="18"/>
    </row>
    <row r="8734" spans="5:6" ht="15" customHeight="1" x14ac:dyDescent="0.2">
      <c r="E8734" s="18"/>
      <c r="F8734" s="18"/>
    </row>
    <row r="8735" spans="5:6" ht="15" customHeight="1" x14ac:dyDescent="0.2">
      <c r="E8735" s="18"/>
      <c r="F8735" s="18"/>
    </row>
    <row r="8736" spans="5:6" ht="15" customHeight="1" x14ac:dyDescent="0.2">
      <c r="E8736" s="18"/>
      <c r="F8736" s="18"/>
    </row>
    <row r="8737" spans="5:6" ht="15" customHeight="1" x14ac:dyDescent="0.2">
      <c r="E8737" s="18"/>
      <c r="F8737" s="18"/>
    </row>
    <row r="8738" spans="5:6" ht="15" customHeight="1" x14ac:dyDescent="0.2">
      <c r="E8738" s="18"/>
      <c r="F8738" s="18"/>
    </row>
    <row r="8739" spans="5:6" ht="15" customHeight="1" x14ac:dyDescent="0.2">
      <c r="E8739" s="18"/>
      <c r="F8739" s="18"/>
    </row>
    <row r="8740" spans="5:6" ht="15" customHeight="1" x14ac:dyDescent="0.2">
      <c r="E8740" s="18"/>
      <c r="F8740" s="18"/>
    </row>
    <row r="8741" spans="5:6" ht="15" customHeight="1" x14ac:dyDescent="0.2">
      <c r="E8741" s="18"/>
      <c r="F8741" s="18"/>
    </row>
    <row r="8742" spans="5:6" ht="15" customHeight="1" x14ac:dyDescent="0.2">
      <c r="E8742" s="18"/>
      <c r="F8742" s="18"/>
    </row>
    <row r="8743" spans="5:6" ht="15" customHeight="1" x14ac:dyDescent="0.2">
      <c r="E8743" s="18"/>
      <c r="F8743" s="18"/>
    </row>
    <row r="8744" spans="5:6" ht="15" customHeight="1" x14ac:dyDescent="0.2">
      <c r="E8744" s="18"/>
      <c r="F8744" s="18"/>
    </row>
    <row r="8745" spans="5:6" ht="15" customHeight="1" x14ac:dyDescent="0.2">
      <c r="E8745" s="18"/>
      <c r="F8745" s="18"/>
    </row>
    <row r="8746" spans="5:6" ht="15" customHeight="1" x14ac:dyDescent="0.2">
      <c r="E8746" s="18"/>
      <c r="F8746" s="18"/>
    </row>
    <row r="8747" spans="5:6" ht="15" customHeight="1" x14ac:dyDescent="0.2">
      <c r="E8747" s="18"/>
      <c r="F8747" s="18"/>
    </row>
    <row r="8748" spans="5:6" ht="15" customHeight="1" x14ac:dyDescent="0.2">
      <c r="E8748" s="18"/>
      <c r="F8748" s="18"/>
    </row>
    <row r="8749" spans="5:6" ht="15" customHeight="1" x14ac:dyDescent="0.2">
      <c r="E8749" s="18"/>
      <c r="F8749" s="18"/>
    </row>
    <row r="8750" spans="5:6" ht="15" customHeight="1" x14ac:dyDescent="0.2">
      <c r="E8750" s="18"/>
      <c r="F8750" s="18"/>
    </row>
    <row r="8751" spans="5:6" ht="15" customHeight="1" x14ac:dyDescent="0.2">
      <c r="E8751" s="18"/>
      <c r="F8751" s="18"/>
    </row>
    <row r="8752" spans="5:6" ht="15" customHeight="1" x14ac:dyDescent="0.2">
      <c r="E8752" s="18"/>
      <c r="F8752" s="18"/>
    </row>
    <row r="8753" spans="5:6" ht="15" customHeight="1" x14ac:dyDescent="0.2">
      <c r="E8753" s="18"/>
      <c r="F8753" s="18"/>
    </row>
    <row r="8754" spans="5:6" ht="15" customHeight="1" x14ac:dyDescent="0.2">
      <c r="E8754" s="18"/>
      <c r="F8754" s="18"/>
    </row>
    <row r="8755" spans="5:6" ht="15" customHeight="1" x14ac:dyDescent="0.2">
      <c r="E8755" s="18"/>
      <c r="F8755" s="18"/>
    </row>
    <row r="8756" spans="5:6" ht="15" customHeight="1" x14ac:dyDescent="0.2">
      <c r="E8756" s="18"/>
      <c r="F8756" s="18"/>
    </row>
    <row r="8757" spans="5:6" ht="15" customHeight="1" x14ac:dyDescent="0.2">
      <c r="E8757" s="18"/>
      <c r="F8757" s="18"/>
    </row>
    <row r="8758" spans="5:6" ht="15" customHeight="1" x14ac:dyDescent="0.2">
      <c r="E8758" s="18"/>
      <c r="F8758" s="18"/>
    </row>
    <row r="8759" spans="5:6" ht="15" customHeight="1" x14ac:dyDescent="0.2">
      <c r="E8759" s="18"/>
      <c r="F8759" s="18"/>
    </row>
    <row r="8760" spans="5:6" ht="15" customHeight="1" x14ac:dyDescent="0.2">
      <c r="E8760" s="18"/>
      <c r="F8760" s="18"/>
    </row>
    <row r="8761" spans="5:6" ht="15" customHeight="1" x14ac:dyDescent="0.2">
      <c r="E8761" s="18"/>
      <c r="F8761" s="18"/>
    </row>
    <row r="8762" spans="5:6" ht="15" customHeight="1" x14ac:dyDescent="0.2">
      <c r="E8762" s="18"/>
      <c r="F8762" s="18"/>
    </row>
    <row r="8763" spans="5:6" ht="15" customHeight="1" x14ac:dyDescent="0.2">
      <c r="E8763" s="18"/>
      <c r="F8763" s="18"/>
    </row>
    <row r="8764" spans="5:6" ht="15" customHeight="1" x14ac:dyDescent="0.2">
      <c r="E8764" s="18"/>
      <c r="F8764" s="18"/>
    </row>
    <row r="8765" spans="5:6" ht="15" customHeight="1" x14ac:dyDescent="0.2">
      <c r="E8765" s="18"/>
      <c r="F8765" s="18"/>
    </row>
    <row r="8766" spans="5:6" ht="15" customHeight="1" x14ac:dyDescent="0.2">
      <c r="E8766" s="18"/>
      <c r="F8766" s="18"/>
    </row>
    <row r="8767" spans="5:6" ht="15" customHeight="1" x14ac:dyDescent="0.2">
      <c r="E8767" s="18"/>
      <c r="F8767" s="18"/>
    </row>
    <row r="8768" spans="5:6" ht="15" customHeight="1" x14ac:dyDescent="0.2">
      <c r="E8768" s="18"/>
      <c r="F8768" s="18"/>
    </row>
    <row r="8769" spans="5:6" ht="15" customHeight="1" x14ac:dyDescent="0.2">
      <c r="E8769" s="18"/>
      <c r="F8769" s="18"/>
    </row>
    <row r="8770" spans="5:6" ht="15" customHeight="1" x14ac:dyDescent="0.2">
      <c r="E8770" s="18"/>
      <c r="F8770" s="18"/>
    </row>
    <row r="8771" spans="5:6" ht="15" customHeight="1" x14ac:dyDescent="0.2">
      <c r="E8771" s="18"/>
      <c r="F8771" s="18"/>
    </row>
    <row r="8772" spans="5:6" ht="15" customHeight="1" x14ac:dyDescent="0.2">
      <c r="E8772" s="18"/>
      <c r="F8772" s="18"/>
    </row>
    <row r="8773" spans="5:6" ht="15" customHeight="1" x14ac:dyDescent="0.2">
      <c r="E8773" s="18"/>
      <c r="F8773" s="18"/>
    </row>
    <row r="8774" spans="5:6" ht="15" customHeight="1" x14ac:dyDescent="0.2">
      <c r="E8774" s="18"/>
      <c r="F8774" s="18"/>
    </row>
    <row r="8775" spans="5:6" ht="15" customHeight="1" x14ac:dyDescent="0.2">
      <c r="E8775" s="18"/>
      <c r="F8775" s="18"/>
    </row>
    <row r="8776" spans="5:6" ht="15" customHeight="1" x14ac:dyDescent="0.2">
      <c r="E8776" s="18"/>
      <c r="F8776" s="18"/>
    </row>
    <row r="8777" spans="5:6" ht="15" customHeight="1" x14ac:dyDescent="0.2">
      <c r="E8777" s="18"/>
      <c r="F8777" s="18"/>
    </row>
    <row r="8778" spans="5:6" ht="15" customHeight="1" x14ac:dyDescent="0.2">
      <c r="E8778" s="18"/>
      <c r="F8778" s="18"/>
    </row>
    <row r="8779" spans="5:6" ht="15" customHeight="1" x14ac:dyDescent="0.2">
      <c r="E8779" s="18"/>
      <c r="F8779" s="18"/>
    </row>
    <row r="8780" spans="5:6" ht="15" customHeight="1" x14ac:dyDescent="0.2">
      <c r="E8780" s="18"/>
      <c r="F8780" s="18"/>
    </row>
    <row r="8781" spans="5:6" ht="15" customHeight="1" x14ac:dyDescent="0.2">
      <c r="E8781" s="18"/>
      <c r="F8781" s="18"/>
    </row>
    <row r="8782" spans="5:6" ht="15" customHeight="1" x14ac:dyDescent="0.2">
      <c r="E8782" s="18"/>
      <c r="F8782" s="18"/>
    </row>
    <row r="8783" spans="5:6" ht="15" customHeight="1" x14ac:dyDescent="0.2">
      <c r="E8783" s="18"/>
      <c r="F8783" s="18"/>
    </row>
    <row r="8784" spans="5:6" ht="15" customHeight="1" x14ac:dyDescent="0.2">
      <c r="E8784" s="18"/>
      <c r="F8784" s="18"/>
    </row>
    <row r="8785" spans="5:6" ht="15" customHeight="1" x14ac:dyDescent="0.2">
      <c r="E8785" s="18"/>
      <c r="F8785" s="18"/>
    </row>
    <row r="8786" spans="5:6" ht="15" customHeight="1" x14ac:dyDescent="0.2">
      <c r="E8786" s="18"/>
      <c r="F8786" s="18"/>
    </row>
    <row r="8787" spans="5:6" ht="15" customHeight="1" x14ac:dyDescent="0.2">
      <c r="E8787" s="18"/>
      <c r="F8787" s="18"/>
    </row>
    <row r="8788" spans="5:6" ht="15" customHeight="1" x14ac:dyDescent="0.2">
      <c r="E8788" s="18"/>
      <c r="F8788" s="18"/>
    </row>
    <row r="8789" spans="5:6" ht="15" customHeight="1" x14ac:dyDescent="0.2">
      <c r="E8789" s="18"/>
      <c r="F8789" s="18"/>
    </row>
    <row r="8790" spans="5:6" ht="15" customHeight="1" x14ac:dyDescent="0.2">
      <c r="E8790" s="18"/>
      <c r="F8790" s="18"/>
    </row>
    <row r="8791" spans="5:6" ht="15" customHeight="1" x14ac:dyDescent="0.2">
      <c r="E8791" s="18"/>
      <c r="F8791" s="18"/>
    </row>
    <row r="8792" spans="5:6" ht="15" customHeight="1" x14ac:dyDescent="0.2">
      <c r="E8792" s="18"/>
      <c r="F8792" s="18"/>
    </row>
    <row r="8793" spans="5:6" ht="15" customHeight="1" x14ac:dyDescent="0.2">
      <c r="E8793" s="18"/>
      <c r="F8793" s="18"/>
    </row>
    <row r="8794" spans="5:6" ht="15" customHeight="1" x14ac:dyDescent="0.2">
      <c r="E8794" s="18"/>
      <c r="F8794" s="18"/>
    </row>
    <row r="8795" spans="5:6" ht="15" customHeight="1" x14ac:dyDescent="0.2">
      <c r="E8795" s="18"/>
      <c r="F8795" s="18"/>
    </row>
    <row r="8796" spans="5:6" ht="15" customHeight="1" x14ac:dyDescent="0.2">
      <c r="E8796" s="18"/>
      <c r="F8796" s="18"/>
    </row>
    <row r="8797" spans="5:6" ht="15" customHeight="1" x14ac:dyDescent="0.2">
      <c r="E8797" s="18"/>
      <c r="F8797" s="18"/>
    </row>
    <row r="8798" spans="5:6" ht="15" customHeight="1" x14ac:dyDescent="0.2">
      <c r="E8798" s="18"/>
      <c r="F8798" s="18"/>
    </row>
    <row r="8799" spans="5:6" ht="15" customHeight="1" x14ac:dyDescent="0.2">
      <c r="E8799" s="18"/>
      <c r="F8799" s="18"/>
    </row>
    <row r="8800" spans="5:6" ht="15" customHeight="1" x14ac:dyDescent="0.2">
      <c r="E8800" s="18"/>
      <c r="F8800" s="18"/>
    </row>
    <row r="8801" spans="5:6" ht="15" customHeight="1" x14ac:dyDescent="0.2">
      <c r="E8801" s="18"/>
      <c r="F8801" s="18"/>
    </row>
    <row r="8802" spans="5:6" ht="15" customHeight="1" x14ac:dyDescent="0.2">
      <c r="E8802" s="18"/>
      <c r="F8802" s="18"/>
    </row>
    <row r="8803" spans="5:6" ht="15" customHeight="1" x14ac:dyDescent="0.2">
      <c r="E8803" s="18"/>
      <c r="F8803" s="18"/>
    </row>
    <row r="8804" spans="5:6" ht="15" customHeight="1" x14ac:dyDescent="0.2">
      <c r="E8804" s="18"/>
      <c r="F8804" s="18"/>
    </row>
    <row r="8805" spans="5:6" ht="15" customHeight="1" x14ac:dyDescent="0.2">
      <c r="E8805" s="18"/>
      <c r="F8805" s="18"/>
    </row>
    <row r="8806" spans="5:6" ht="15" customHeight="1" x14ac:dyDescent="0.2">
      <c r="E8806" s="18"/>
      <c r="F8806" s="18"/>
    </row>
    <row r="8807" spans="5:6" ht="15" customHeight="1" x14ac:dyDescent="0.2">
      <c r="E8807" s="18"/>
      <c r="F8807" s="18"/>
    </row>
    <row r="8808" spans="5:6" ht="15" customHeight="1" x14ac:dyDescent="0.2">
      <c r="E8808" s="18"/>
      <c r="F8808" s="18"/>
    </row>
    <row r="8809" spans="5:6" ht="15" customHeight="1" x14ac:dyDescent="0.2">
      <c r="E8809" s="18"/>
      <c r="F8809" s="18"/>
    </row>
    <row r="8810" spans="5:6" ht="15" customHeight="1" x14ac:dyDescent="0.2">
      <c r="E8810" s="18"/>
      <c r="F8810" s="18"/>
    </row>
    <row r="8811" spans="5:6" ht="15" customHeight="1" x14ac:dyDescent="0.2">
      <c r="E8811" s="18"/>
      <c r="F8811" s="18"/>
    </row>
    <row r="8812" spans="5:6" ht="15" customHeight="1" x14ac:dyDescent="0.2">
      <c r="E8812" s="18"/>
      <c r="F8812" s="18"/>
    </row>
    <row r="8813" spans="5:6" ht="15" customHeight="1" x14ac:dyDescent="0.2">
      <c r="E8813" s="18"/>
      <c r="F8813" s="18"/>
    </row>
    <row r="8814" spans="5:6" ht="15" customHeight="1" x14ac:dyDescent="0.2">
      <c r="E8814" s="18"/>
      <c r="F8814" s="18"/>
    </row>
    <row r="8815" spans="5:6" ht="15" customHeight="1" x14ac:dyDescent="0.2">
      <c r="E8815" s="18"/>
      <c r="F8815" s="18"/>
    </row>
    <row r="8816" spans="5:6" ht="15" customHeight="1" x14ac:dyDescent="0.2">
      <c r="E8816" s="18"/>
      <c r="F8816" s="18"/>
    </row>
    <row r="8817" spans="5:6" ht="15" customHeight="1" x14ac:dyDescent="0.2">
      <c r="E8817" s="18"/>
      <c r="F8817" s="18"/>
    </row>
    <row r="8818" spans="5:6" ht="15" customHeight="1" x14ac:dyDescent="0.2">
      <c r="E8818" s="18"/>
      <c r="F8818" s="18"/>
    </row>
    <row r="8819" spans="5:6" ht="15" customHeight="1" x14ac:dyDescent="0.2">
      <c r="E8819" s="18"/>
      <c r="F8819" s="18"/>
    </row>
    <row r="8820" spans="5:6" ht="15" customHeight="1" x14ac:dyDescent="0.2">
      <c r="E8820" s="18"/>
      <c r="F8820" s="18"/>
    </row>
    <row r="8821" spans="5:6" ht="15" customHeight="1" x14ac:dyDescent="0.2">
      <c r="E8821" s="18"/>
      <c r="F8821" s="18"/>
    </row>
    <row r="8822" spans="5:6" ht="15" customHeight="1" x14ac:dyDescent="0.2">
      <c r="E8822" s="18"/>
      <c r="F8822" s="18"/>
    </row>
    <row r="8823" spans="5:6" ht="15" customHeight="1" x14ac:dyDescent="0.2">
      <c r="E8823" s="18"/>
      <c r="F8823" s="18"/>
    </row>
    <row r="8824" spans="5:6" ht="15" customHeight="1" x14ac:dyDescent="0.2">
      <c r="E8824" s="18"/>
      <c r="F8824" s="18"/>
    </row>
    <row r="8825" spans="5:6" ht="15" customHeight="1" x14ac:dyDescent="0.2">
      <c r="E8825" s="18"/>
      <c r="F8825" s="18"/>
    </row>
    <row r="8826" spans="5:6" ht="15" customHeight="1" x14ac:dyDescent="0.2">
      <c r="E8826" s="18"/>
      <c r="F8826" s="18"/>
    </row>
    <row r="8827" spans="5:6" ht="15" customHeight="1" x14ac:dyDescent="0.2">
      <c r="E8827" s="18"/>
      <c r="F8827" s="18"/>
    </row>
    <row r="8828" spans="5:6" ht="15" customHeight="1" x14ac:dyDescent="0.2">
      <c r="E8828" s="18"/>
      <c r="F8828" s="18"/>
    </row>
    <row r="8829" spans="5:6" ht="15" customHeight="1" x14ac:dyDescent="0.2">
      <c r="E8829" s="18"/>
      <c r="F8829" s="18"/>
    </row>
    <row r="8830" spans="5:6" ht="15" customHeight="1" x14ac:dyDescent="0.2">
      <c r="E8830" s="18"/>
      <c r="F8830" s="18"/>
    </row>
    <row r="8831" spans="5:6" ht="15" customHeight="1" x14ac:dyDescent="0.2">
      <c r="E8831" s="18"/>
      <c r="F8831" s="18"/>
    </row>
    <row r="8832" spans="5:6" ht="15" customHeight="1" x14ac:dyDescent="0.2">
      <c r="E8832" s="18"/>
      <c r="F8832" s="18"/>
    </row>
    <row r="8833" spans="5:6" ht="15" customHeight="1" x14ac:dyDescent="0.2">
      <c r="E8833" s="18"/>
      <c r="F8833" s="18"/>
    </row>
    <row r="8834" spans="5:6" ht="15" customHeight="1" x14ac:dyDescent="0.2">
      <c r="E8834" s="18"/>
      <c r="F8834" s="18"/>
    </row>
    <row r="8835" spans="5:6" ht="15" customHeight="1" x14ac:dyDescent="0.2">
      <c r="E8835" s="18"/>
      <c r="F8835" s="18"/>
    </row>
    <row r="8836" spans="5:6" ht="15" customHeight="1" x14ac:dyDescent="0.2">
      <c r="E8836" s="18"/>
      <c r="F8836" s="18"/>
    </row>
    <row r="8837" spans="5:6" ht="15" customHeight="1" x14ac:dyDescent="0.2">
      <c r="E8837" s="18"/>
      <c r="F8837" s="18"/>
    </row>
    <row r="8838" spans="5:6" ht="15" customHeight="1" x14ac:dyDescent="0.2">
      <c r="E8838" s="18"/>
      <c r="F8838" s="18"/>
    </row>
    <row r="8839" spans="5:6" ht="15" customHeight="1" x14ac:dyDescent="0.2">
      <c r="E8839" s="18"/>
      <c r="F8839" s="18"/>
    </row>
    <row r="8840" spans="5:6" ht="15" customHeight="1" x14ac:dyDescent="0.2">
      <c r="E8840" s="18"/>
      <c r="F8840" s="18"/>
    </row>
    <row r="8841" spans="5:6" ht="15" customHeight="1" x14ac:dyDescent="0.2">
      <c r="E8841" s="18"/>
      <c r="F8841" s="18"/>
    </row>
    <row r="8842" spans="5:6" ht="15" customHeight="1" x14ac:dyDescent="0.2">
      <c r="E8842" s="18"/>
      <c r="F8842" s="18"/>
    </row>
    <row r="8843" spans="5:6" ht="15" customHeight="1" x14ac:dyDescent="0.2">
      <c r="E8843" s="18"/>
      <c r="F8843" s="18"/>
    </row>
    <row r="8844" spans="5:6" ht="15" customHeight="1" x14ac:dyDescent="0.2">
      <c r="E8844" s="18"/>
      <c r="F8844" s="18"/>
    </row>
    <row r="8845" spans="5:6" ht="15" customHeight="1" x14ac:dyDescent="0.2">
      <c r="E8845" s="18"/>
      <c r="F8845" s="18"/>
    </row>
    <row r="8846" spans="5:6" ht="15" customHeight="1" x14ac:dyDescent="0.2">
      <c r="E8846" s="18"/>
      <c r="F8846" s="18"/>
    </row>
    <row r="8847" spans="5:6" ht="15" customHeight="1" x14ac:dyDescent="0.2">
      <c r="E8847" s="18"/>
      <c r="F8847" s="18"/>
    </row>
    <row r="8848" spans="5:6" ht="15" customHeight="1" x14ac:dyDescent="0.2">
      <c r="E8848" s="18"/>
      <c r="F8848" s="18"/>
    </row>
    <row r="8849" spans="5:6" ht="15" customHeight="1" x14ac:dyDescent="0.2">
      <c r="E8849" s="18"/>
      <c r="F8849" s="18"/>
    </row>
    <row r="8850" spans="5:6" ht="15" customHeight="1" x14ac:dyDescent="0.2">
      <c r="E8850" s="18"/>
      <c r="F8850" s="18"/>
    </row>
    <row r="8851" spans="5:6" ht="15" customHeight="1" x14ac:dyDescent="0.2">
      <c r="E8851" s="18"/>
      <c r="F8851" s="18"/>
    </row>
    <row r="8852" spans="5:6" ht="15" customHeight="1" x14ac:dyDescent="0.2">
      <c r="E8852" s="18"/>
      <c r="F8852" s="18"/>
    </row>
    <row r="8853" spans="5:6" ht="15" customHeight="1" x14ac:dyDescent="0.2">
      <c r="E8853" s="18"/>
      <c r="F8853" s="18"/>
    </row>
    <row r="8854" spans="5:6" ht="15" customHeight="1" x14ac:dyDescent="0.2">
      <c r="E8854" s="18"/>
      <c r="F8854" s="18"/>
    </row>
    <row r="8855" spans="5:6" ht="15" customHeight="1" x14ac:dyDescent="0.2">
      <c r="E8855" s="18"/>
      <c r="F8855" s="18"/>
    </row>
    <row r="8856" spans="5:6" ht="15" customHeight="1" x14ac:dyDescent="0.2">
      <c r="E8856" s="18"/>
      <c r="F8856" s="18"/>
    </row>
    <row r="8857" spans="5:6" ht="15" customHeight="1" x14ac:dyDescent="0.2">
      <c r="E8857" s="18"/>
      <c r="F8857" s="18"/>
    </row>
    <row r="8858" spans="5:6" ht="15" customHeight="1" x14ac:dyDescent="0.2">
      <c r="E8858" s="18"/>
      <c r="F8858" s="18"/>
    </row>
    <row r="8859" spans="5:6" ht="15" customHeight="1" x14ac:dyDescent="0.2">
      <c r="E8859" s="18"/>
      <c r="F8859" s="18"/>
    </row>
    <row r="8860" spans="5:6" ht="15" customHeight="1" x14ac:dyDescent="0.2">
      <c r="E8860" s="18"/>
      <c r="F8860" s="18"/>
    </row>
    <row r="8861" spans="5:6" ht="15" customHeight="1" x14ac:dyDescent="0.2">
      <c r="E8861" s="18"/>
      <c r="F8861" s="18"/>
    </row>
    <row r="8862" spans="5:6" ht="15" customHeight="1" x14ac:dyDescent="0.2">
      <c r="E8862" s="18"/>
      <c r="F8862" s="18"/>
    </row>
    <row r="8863" spans="5:6" ht="15" customHeight="1" x14ac:dyDescent="0.2">
      <c r="E8863" s="18"/>
      <c r="F8863" s="18"/>
    </row>
    <row r="8864" spans="5:6" ht="15" customHeight="1" x14ac:dyDescent="0.2">
      <c r="E8864" s="18"/>
      <c r="F8864" s="18"/>
    </row>
    <row r="8865" spans="5:6" ht="15" customHeight="1" x14ac:dyDescent="0.2">
      <c r="E8865" s="18"/>
      <c r="F8865" s="18"/>
    </row>
    <row r="8866" spans="5:6" ht="15" customHeight="1" x14ac:dyDescent="0.2">
      <c r="E8866" s="18"/>
      <c r="F8866" s="18"/>
    </row>
    <row r="8867" spans="5:6" ht="15" customHeight="1" x14ac:dyDescent="0.2">
      <c r="E8867" s="18"/>
      <c r="F8867" s="18"/>
    </row>
    <row r="8868" spans="5:6" ht="15" customHeight="1" x14ac:dyDescent="0.2">
      <c r="E8868" s="18"/>
      <c r="F8868" s="18"/>
    </row>
    <row r="8869" spans="5:6" ht="15" customHeight="1" x14ac:dyDescent="0.2">
      <c r="E8869" s="18"/>
      <c r="F8869" s="18"/>
    </row>
    <row r="8870" spans="5:6" ht="15" customHeight="1" x14ac:dyDescent="0.2">
      <c r="E8870" s="18"/>
      <c r="F8870" s="18"/>
    </row>
    <row r="8871" spans="5:6" ht="15" customHeight="1" x14ac:dyDescent="0.2">
      <c r="E8871" s="18"/>
      <c r="F8871" s="18"/>
    </row>
    <row r="8872" spans="5:6" ht="15" customHeight="1" x14ac:dyDescent="0.2">
      <c r="E8872" s="18"/>
      <c r="F8872" s="18"/>
    </row>
    <row r="8873" spans="5:6" ht="15" customHeight="1" x14ac:dyDescent="0.2">
      <c r="E8873" s="18"/>
      <c r="F8873" s="18"/>
    </row>
    <row r="8874" spans="5:6" ht="15" customHeight="1" x14ac:dyDescent="0.2">
      <c r="E8874" s="18"/>
      <c r="F8874" s="18"/>
    </row>
    <row r="8875" spans="5:6" ht="15" customHeight="1" x14ac:dyDescent="0.2">
      <c r="E8875" s="18"/>
      <c r="F8875" s="18"/>
    </row>
    <row r="8876" spans="5:6" ht="15" customHeight="1" x14ac:dyDescent="0.2">
      <c r="E8876" s="18"/>
      <c r="F8876" s="18"/>
    </row>
    <row r="8877" spans="5:6" ht="15" customHeight="1" x14ac:dyDescent="0.2">
      <c r="E8877" s="18"/>
      <c r="F8877" s="18"/>
    </row>
    <row r="8878" spans="5:6" ht="15" customHeight="1" x14ac:dyDescent="0.2">
      <c r="E8878" s="18"/>
      <c r="F8878" s="18"/>
    </row>
    <row r="8879" spans="5:6" ht="15" customHeight="1" x14ac:dyDescent="0.2">
      <c r="E8879" s="18"/>
      <c r="F8879" s="18"/>
    </row>
    <row r="8880" spans="5:6" ht="15" customHeight="1" x14ac:dyDescent="0.2">
      <c r="E8880" s="18"/>
      <c r="F8880" s="18"/>
    </row>
    <row r="8881" spans="5:6" ht="15" customHeight="1" x14ac:dyDescent="0.2">
      <c r="E8881" s="18"/>
      <c r="F8881" s="18"/>
    </row>
    <row r="8882" spans="5:6" ht="15" customHeight="1" x14ac:dyDescent="0.2">
      <c r="E8882" s="18"/>
      <c r="F8882" s="18"/>
    </row>
    <row r="8883" spans="5:6" ht="15" customHeight="1" x14ac:dyDescent="0.2">
      <c r="E8883" s="18"/>
      <c r="F8883" s="18"/>
    </row>
    <row r="8884" spans="5:6" ht="15" customHeight="1" x14ac:dyDescent="0.2">
      <c r="E8884" s="18"/>
      <c r="F8884" s="18"/>
    </row>
    <row r="8885" spans="5:6" ht="15" customHeight="1" x14ac:dyDescent="0.2">
      <c r="E8885" s="18"/>
      <c r="F8885" s="18"/>
    </row>
    <row r="8886" spans="5:6" ht="15" customHeight="1" x14ac:dyDescent="0.2">
      <c r="E8886" s="18"/>
      <c r="F8886" s="18"/>
    </row>
    <row r="8887" spans="5:6" ht="15" customHeight="1" x14ac:dyDescent="0.2">
      <c r="E8887" s="18"/>
      <c r="F8887" s="18"/>
    </row>
    <row r="8888" spans="5:6" ht="15" customHeight="1" x14ac:dyDescent="0.2">
      <c r="E8888" s="18"/>
      <c r="F8888" s="18"/>
    </row>
    <row r="8889" spans="5:6" ht="15" customHeight="1" x14ac:dyDescent="0.2">
      <c r="E8889" s="18"/>
      <c r="F8889" s="18"/>
    </row>
    <row r="8890" spans="5:6" ht="15" customHeight="1" x14ac:dyDescent="0.2">
      <c r="E8890" s="18"/>
      <c r="F8890" s="18"/>
    </row>
    <row r="8891" spans="5:6" ht="15" customHeight="1" x14ac:dyDescent="0.2">
      <c r="E8891" s="18"/>
      <c r="F8891" s="18"/>
    </row>
    <row r="8892" spans="5:6" ht="15" customHeight="1" x14ac:dyDescent="0.2">
      <c r="E8892" s="18"/>
      <c r="F8892" s="18"/>
    </row>
    <row r="8893" spans="5:6" ht="15" customHeight="1" x14ac:dyDescent="0.2">
      <c r="E8893" s="18"/>
      <c r="F8893" s="18"/>
    </row>
    <row r="8894" spans="5:6" ht="15" customHeight="1" x14ac:dyDescent="0.2">
      <c r="E8894" s="18"/>
      <c r="F8894" s="18"/>
    </row>
    <row r="8895" spans="5:6" ht="15" customHeight="1" x14ac:dyDescent="0.2">
      <c r="E8895" s="18"/>
      <c r="F8895" s="18"/>
    </row>
    <row r="8896" spans="5:6" ht="15" customHeight="1" x14ac:dyDescent="0.2">
      <c r="E8896" s="18"/>
      <c r="F8896" s="18"/>
    </row>
    <row r="8897" spans="5:6" ht="15" customHeight="1" x14ac:dyDescent="0.2">
      <c r="E8897" s="18"/>
      <c r="F8897" s="18"/>
    </row>
    <row r="8898" spans="5:6" ht="15" customHeight="1" x14ac:dyDescent="0.2">
      <c r="E8898" s="18"/>
      <c r="F8898" s="18"/>
    </row>
    <row r="8899" spans="5:6" ht="15" customHeight="1" x14ac:dyDescent="0.2">
      <c r="E8899" s="18"/>
      <c r="F8899" s="18"/>
    </row>
    <row r="8900" spans="5:6" ht="15" customHeight="1" x14ac:dyDescent="0.2">
      <c r="E8900" s="18"/>
      <c r="F8900" s="18"/>
    </row>
    <row r="8901" spans="5:6" ht="15" customHeight="1" x14ac:dyDescent="0.2">
      <c r="E8901" s="18"/>
      <c r="F8901" s="18"/>
    </row>
    <row r="8902" spans="5:6" ht="15" customHeight="1" x14ac:dyDescent="0.2">
      <c r="E8902" s="18"/>
      <c r="F8902" s="18"/>
    </row>
    <row r="8903" spans="5:6" ht="15" customHeight="1" x14ac:dyDescent="0.2">
      <c r="E8903" s="18"/>
      <c r="F8903" s="18"/>
    </row>
    <row r="8904" spans="5:6" ht="15" customHeight="1" x14ac:dyDescent="0.2">
      <c r="E8904" s="18"/>
      <c r="F8904" s="18"/>
    </row>
    <row r="8905" spans="5:6" ht="15" customHeight="1" x14ac:dyDescent="0.2">
      <c r="E8905" s="18"/>
      <c r="F8905" s="18"/>
    </row>
    <row r="8906" spans="5:6" ht="15" customHeight="1" x14ac:dyDescent="0.2">
      <c r="E8906" s="18"/>
      <c r="F8906" s="18"/>
    </row>
    <row r="8907" spans="5:6" ht="15" customHeight="1" x14ac:dyDescent="0.2">
      <c r="E8907" s="18"/>
      <c r="F8907" s="18"/>
    </row>
    <row r="8908" spans="5:6" ht="15" customHeight="1" x14ac:dyDescent="0.2">
      <c r="E8908" s="18"/>
      <c r="F8908" s="18"/>
    </row>
    <row r="8909" spans="5:6" ht="15" customHeight="1" x14ac:dyDescent="0.2">
      <c r="E8909" s="18"/>
      <c r="F8909" s="18"/>
    </row>
    <row r="8910" spans="5:6" ht="15" customHeight="1" x14ac:dyDescent="0.2">
      <c r="E8910" s="18"/>
      <c r="F8910" s="18"/>
    </row>
    <row r="8911" spans="5:6" ht="15" customHeight="1" x14ac:dyDescent="0.2">
      <c r="E8911" s="18"/>
      <c r="F8911" s="18"/>
    </row>
    <row r="8912" spans="5:6" ht="15" customHeight="1" x14ac:dyDescent="0.2">
      <c r="E8912" s="18"/>
      <c r="F8912" s="18"/>
    </row>
    <row r="8913" spans="5:6" ht="15" customHeight="1" x14ac:dyDescent="0.2">
      <c r="E8913" s="18"/>
      <c r="F8913" s="18"/>
    </row>
    <row r="8914" spans="5:6" ht="15" customHeight="1" x14ac:dyDescent="0.2">
      <c r="E8914" s="18"/>
      <c r="F8914" s="18"/>
    </row>
    <row r="8915" spans="5:6" ht="15" customHeight="1" x14ac:dyDescent="0.2">
      <c r="E8915" s="18"/>
      <c r="F8915" s="18"/>
    </row>
    <row r="8916" spans="5:6" ht="15" customHeight="1" x14ac:dyDescent="0.2">
      <c r="E8916" s="18"/>
      <c r="F8916" s="18"/>
    </row>
    <row r="8917" spans="5:6" ht="15" customHeight="1" x14ac:dyDescent="0.2">
      <c r="E8917" s="18"/>
      <c r="F8917" s="18"/>
    </row>
    <row r="8918" spans="5:6" ht="15" customHeight="1" x14ac:dyDescent="0.2">
      <c r="E8918" s="18"/>
      <c r="F8918" s="18"/>
    </row>
    <row r="8919" spans="5:6" ht="15" customHeight="1" x14ac:dyDescent="0.2">
      <c r="E8919" s="18"/>
      <c r="F8919" s="18"/>
    </row>
    <row r="8920" spans="5:6" ht="15" customHeight="1" x14ac:dyDescent="0.2">
      <c r="E8920" s="18"/>
      <c r="F8920" s="18"/>
    </row>
    <row r="8921" spans="5:6" ht="15" customHeight="1" x14ac:dyDescent="0.2">
      <c r="E8921" s="18"/>
      <c r="F8921" s="18"/>
    </row>
    <row r="8922" spans="5:6" ht="15" customHeight="1" x14ac:dyDescent="0.2">
      <c r="E8922" s="18"/>
      <c r="F8922" s="18"/>
    </row>
    <row r="8923" spans="5:6" ht="15" customHeight="1" x14ac:dyDescent="0.2">
      <c r="E8923" s="18"/>
      <c r="F8923" s="18"/>
    </row>
    <row r="8924" spans="5:6" ht="15" customHeight="1" x14ac:dyDescent="0.2">
      <c r="E8924" s="18"/>
      <c r="F8924" s="18"/>
    </row>
    <row r="8925" spans="5:6" ht="15" customHeight="1" x14ac:dyDescent="0.2">
      <c r="E8925" s="18"/>
      <c r="F8925" s="18"/>
    </row>
    <row r="8926" spans="5:6" ht="15" customHeight="1" x14ac:dyDescent="0.2">
      <c r="E8926" s="18"/>
      <c r="F8926" s="18"/>
    </row>
    <row r="8927" spans="5:6" ht="15" customHeight="1" x14ac:dyDescent="0.2">
      <c r="E8927" s="18"/>
      <c r="F8927" s="18"/>
    </row>
    <row r="8928" spans="5:6" ht="15" customHeight="1" x14ac:dyDescent="0.2">
      <c r="E8928" s="18"/>
      <c r="F8928" s="18"/>
    </row>
    <row r="8929" spans="5:6" ht="15" customHeight="1" x14ac:dyDescent="0.2">
      <c r="E8929" s="18"/>
      <c r="F8929" s="18"/>
    </row>
    <row r="8930" spans="5:6" ht="15" customHeight="1" x14ac:dyDescent="0.2">
      <c r="E8930" s="18"/>
      <c r="F8930" s="18"/>
    </row>
    <row r="8931" spans="5:6" ht="15" customHeight="1" x14ac:dyDescent="0.2">
      <c r="E8931" s="18"/>
      <c r="F8931" s="18"/>
    </row>
    <row r="8932" spans="5:6" ht="15" customHeight="1" x14ac:dyDescent="0.2">
      <c r="E8932" s="18"/>
      <c r="F8932" s="18"/>
    </row>
    <row r="8933" spans="5:6" ht="15" customHeight="1" x14ac:dyDescent="0.2">
      <c r="E8933" s="18"/>
      <c r="F8933" s="18"/>
    </row>
    <row r="8934" spans="5:6" ht="15" customHeight="1" x14ac:dyDescent="0.2">
      <c r="E8934" s="18"/>
      <c r="F8934" s="18"/>
    </row>
    <row r="8935" spans="5:6" ht="15" customHeight="1" x14ac:dyDescent="0.2">
      <c r="E8935" s="18"/>
      <c r="F8935" s="18"/>
    </row>
    <row r="8936" spans="5:6" ht="15" customHeight="1" x14ac:dyDescent="0.2">
      <c r="E8936" s="18"/>
      <c r="F8936" s="18"/>
    </row>
    <row r="8937" spans="5:6" ht="15" customHeight="1" x14ac:dyDescent="0.2">
      <c r="E8937" s="18"/>
      <c r="F8937" s="18"/>
    </row>
    <row r="8938" spans="5:6" ht="15" customHeight="1" x14ac:dyDescent="0.2">
      <c r="E8938" s="18"/>
      <c r="F8938" s="18"/>
    </row>
    <row r="8939" spans="5:6" ht="15" customHeight="1" x14ac:dyDescent="0.2">
      <c r="E8939" s="18"/>
      <c r="F8939" s="18"/>
    </row>
    <row r="8940" spans="5:6" ht="15" customHeight="1" x14ac:dyDescent="0.2">
      <c r="E8940" s="18"/>
      <c r="F8940" s="18"/>
    </row>
    <row r="8941" spans="5:6" ht="15" customHeight="1" x14ac:dyDescent="0.2">
      <c r="E8941" s="18"/>
      <c r="F8941" s="18"/>
    </row>
    <row r="8942" spans="5:6" ht="15" customHeight="1" x14ac:dyDescent="0.2">
      <c r="E8942" s="18"/>
      <c r="F8942" s="18"/>
    </row>
    <row r="8943" spans="5:6" ht="15" customHeight="1" x14ac:dyDescent="0.2">
      <c r="E8943" s="18"/>
      <c r="F8943" s="18"/>
    </row>
    <row r="8944" spans="5:6" ht="15" customHeight="1" x14ac:dyDescent="0.2">
      <c r="E8944" s="18"/>
      <c r="F8944" s="18"/>
    </row>
    <row r="8945" spans="5:6" ht="15" customHeight="1" x14ac:dyDescent="0.2">
      <c r="E8945" s="18"/>
      <c r="F8945" s="18"/>
    </row>
    <row r="8946" spans="5:6" ht="15" customHeight="1" x14ac:dyDescent="0.2">
      <c r="E8946" s="18"/>
      <c r="F8946" s="18"/>
    </row>
    <row r="8947" spans="5:6" ht="15" customHeight="1" x14ac:dyDescent="0.2">
      <c r="E8947" s="18"/>
      <c r="F8947" s="18"/>
    </row>
    <row r="8948" spans="5:6" ht="15" customHeight="1" x14ac:dyDescent="0.2">
      <c r="E8948" s="18"/>
      <c r="F8948" s="18"/>
    </row>
    <row r="8949" spans="5:6" ht="15" customHeight="1" x14ac:dyDescent="0.2">
      <c r="E8949" s="18"/>
      <c r="F8949" s="18"/>
    </row>
    <row r="8950" spans="5:6" ht="15" customHeight="1" x14ac:dyDescent="0.2">
      <c r="E8950" s="18"/>
      <c r="F8950" s="18"/>
    </row>
    <row r="8951" spans="5:6" ht="15" customHeight="1" x14ac:dyDescent="0.2">
      <c r="E8951" s="18"/>
      <c r="F8951" s="18"/>
    </row>
    <row r="8952" spans="5:6" ht="15" customHeight="1" x14ac:dyDescent="0.2">
      <c r="E8952" s="18"/>
      <c r="F8952" s="18"/>
    </row>
    <row r="8953" spans="5:6" ht="15" customHeight="1" x14ac:dyDescent="0.2">
      <c r="E8953" s="18"/>
      <c r="F8953" s="18"/>
    </row>
    <row r="8954" spans="5:6" ht="15" customHeight="1" x14ac:dyDescent="0.2">
      <c r="E8954" s="18"/>
      <c r="F8954" s="18"/>
    </row>
    <row r="8955" spans="5:6" ht="15" customHeight="1" x14ac:dyDescent="0.2">
      <c r="E8955" s="18"/>
      <c r="F8955" s="18"/>
    </row>
    <row r="8956" spans="5:6" ht="15" customHeight="1" x14ac:dyDescent="0.2">
      <c r="E8956" s="18"/>
      <c r="F8956" s="18"/>
    </row>
    <row r="8957" spans="5:6" ht="15" customHeight="1" x14ac:dyDescent="0.2">
      <c r="E8957" s="18"/>
      <c r="F8957" s="18"/>
    </row>
    <row r="8958" spans="5:6" ht="15" customHeight="1" x14ac:dyDescent="0.2">
      <c r="E8958" s="18"/>
      <c r="F8958" s="18"/>
    </row>
    <row r="8959" spans="5:6" ht="15" customHeight="1" x14ac:dyDescent="0.2">
      <c r="E8959" s="18"/>
      <c r="F8959" s="18"/>
    </row>
    <row r="8960" spans="5:6" ht="15" customHeight="1" x14ac:dyDescent="0.2">
      <c r="E8960" s="18"/>
      <c r="F8960" s="18"/>
    </row>
    <row r="8961" spans="5:6" ht="15" customHeight="1" x14ac:dyDescent="0.2">
      <c r="E8961" s="18"/>
      <c r="F8961" s="18"/>
    </row>
    <row r="8962" spans="5:6" ht="15" customHeight="1" x14ac:dyDescent="0.2">
      <c r="E8962" s="18"/>
      <c r="F8962" s="18"/>
    </row>
    <row r="8963" spans="5:6" ht="15" customHeight="1" x14ac:dyDescent="0.2">
      <c r="E8963" s="18"/>
      <c r="F8963" s="18"/>
    </row>
    <row r="8964" spans="5:6" ht="15" customHeight="1" x14ac:dyDescent="0.2">
      <c r="E8964" s="18"/>
      <c r="F8964" s="18"/>
    </row>
    <row r="8965" spans="5:6" ht="15" customHeight="1" x14ac:dyDescent="0.2">
      <c r="E8965" s="18"/>
      <c r="F8965" s="18"/>
    </row>
    <row r="8966" spans="5:6" ht="15" customHeight="1" x14ac:dyDescent="0.2">
      <c r="E8966" s="18"/>
      <c r="F8966" s="18"/>
    </row>
    <row r="8967" spans="5:6" ht="15" customHeight="1" x14ac:dyDescent="0.2">
      <c r="E8967" s="18"/>
      <c r="F8967" s="18"/>
    </row>
    <row r="8968" spans="5:6" ht="15" customHeight="1" x14ac:dyDescent="0.2">
      <c r="E8968" s="18"/>
      <c r="F8968" s="18"/>
    </row>
    <row r="8969" spans="5:6" ht="15" customHeight="1" x14ac:dyDescent="0.2">
      <c r="E8969" s="18"/>
      <c r="F8969" s="18"/>
    </row>
    <row r="8970" spans="5:6" ht="15" customHeight="1" x14ac:dyDescent="0.2">
      <c r="E8970" s="18"/>
      <c r="F8970" s="18"/>
    </row>
    <row r="8971" spans="5:6" ht="15" customHeight="1" x14ac:dyDescent="0.2">
      <c r="E8971" s="18"/>
      <c r="F8971" s="18"/>
    </row>
    <row r="8972" spans="5:6" ht="15" customHeight="1" x14ac:dyDescent="0.2">
      <c r="E8972" s="18"/>
      <c r="F8972" s="18"/>
    </row>
    <row r="8973" spans="5:6" ht="15" customHeight="1" x14ac:dyDescent="0.2">
      <c r="E8973" s="18"/>
      <c r="F8973" s="18"/>
    </row>
    <row r="8974" spans="5:6" ht="15" customHeight="1" x14ac:dyDescent="0.2">
      <c r="E8974" s="18"/>
      <c r="F8974" s="18"/>
    </row>
    <row r="8975" spans="5:6" ht="15" customHeight="1" x14ac:dyDescent="0.2">
      <c r="E8975" s="18"/>
      <c r="F8975" s="18"/>
    </row>
    <row r="8976" spans="5:6" ht="15" customHeight="1" x14ac:dyDescent="0.2">
      <c r="E8976" s="18"/>
      <c r="F8976" s="18"/>
    </row>
    <row r="8977" spans="5:6" ht="15" customHeight="1" x14ac:dyDescent="0.2">
      <c r="E8977" s="18"/>
      <c r="F8977" s="18"/>
    </row>
    <row r="8978" spans="5:6" ht="15" customHeight="1" x14ac:dyDescent="0.2">
      <c r="E8978" s="18"/>
      <c r="F8978" s="18"/>
    </row>
    <row r="8979" spans="5:6" ht="15" customHeight="1" x14ac:dyDescent="0.2">
      <c r="E8979" s="18"/>
      <c r="F8979" s="18"/>
    </row>
    <row r="8980" spans="5:6" ht="15" customHeight="1" x14ac:dyDescent="0.2">
      <c r="E8980" s="18"/>
      <c r="F8980" s="18"/>
    </row>
    <row r="8981" spans="5:6" ht="15" customHeight="1" x14ac:dyDescent="0.2">
      <c r="E8981" s="18"/>
      <c r="F8981" s="18"/>
    </row>
    <row r="8982" spans="5:6" ht="15" customHeight="1" x14ac:dyDescent="0.2">
      <c r="E8982" s="18"/>
      <c r="F8982" s="18"/>
    </row>
    <row r="8983" spans="5:6" ht="15" customHeight="1" x14ac:dyDescent="0.2">
      <c r="E8983" s="18"/>
      <c r="F8983" s="18"/>
    </row>
    <row r="8984" spans="5:6" ht="15" customHeight="1" x14ac:dyDescent="0.2">
      <c r="E8984" s="18"/>
      <c r="F8984" s="18"/>
    </row>
    <row r="8985" spans="5:6" ht="15" customHeight="1" x14ac:dyDescent="0.2">
      <c r="E8985" s="18"/>
      <c r="F8985" s="18"/>
    </row>
    <row r="8986" spans="5:6" ht="15" customHeight="1" x14ac:dyDescent="0.2">
      <c r="E8986" s="18"/>
      <c r="F8986" s="18"/>
    </row>
    <row r="8987" spans="5:6" ht="15" customHeight="1" x14ac:dyDescent="0.2">
      <c r="E8987" s="18"/>
      <c r="F8987" s="18"/>
    </row>
    <row r="8988" spans="5:6" ht="15" customHeight="1" x14ac:dyDescent="0.2">
      <c r="E8988" s="18"/>
      <c r="F8988" s="18"/>
    </row>
    <row r="8989" spans="5:6" ht="15" customHeight="1" x14ac:dyDescent="0.2">
      <c r="E8989" s="18"/>
      <c r="F8989" s="18"/>
    </row>
    <row r="8990" spans="5:6" ht="15" customHeight="1" x14ac:dyDescent="0.2">
      <c r="E8990" s="18"/>
      <c r="F8990" s="18"/>
    </row>
    <row r="8991" spans="5:6" ht="15" customHeight="1" x14ac:dyDescent="0.2">
      <c r="E8991" s="18"/>
      <c r="F8991" s="18"/>
    </row>
    <row r="8992" spans="5:6" ht="15" customHeight="1" x14ac:dyDescent="0.2">
      <c r="E8992" s="18"/>
      <c r="F8992" s="18"/>
    </row>
    <row r="8993" spans="5:6" ht="15" customHeight="1" x14ac:dyDescent="0.2">
      <c r="E8993" s="18"/>
      <c r="F8993" s="18"/>
    </row>
    <row r="8994" spans="5:6" ht="15" customHeight="1" x14ac:dyDescent="0.2">
      <c r="E8994" s="18"/>
      <c r="F8994" s="18"/>
    </row>
    <row r="8995" spans="5:6" ht="15" customHeight="1" x14ac:dyDescent="0.2">
      <c r="E8995" s="18"/>
      <c r="F8995" s="18"/>
    </row>
    <row r="8996" spans="5:6" ht="15" customHeight="1" x14ac:dyDescent="0.2">
      <c r="E8996" s="18"/>
      <c r="F8996" s="18"/>
    </row>
    <row r="8997" spans="5:6" ht="15" customHeight="1" x14ac:dyDescent="0.2">
      <c r="E8997" s="18"/>
      <c r="F8997" s="18"/>
    </row>
    <row r="8998" spans="5:6" ht="15" customHeight="1" x14ac:dyDescent="0.2">
      <c r="E8998" s="18"/>
      <c r="F8998" s="18"/>
    </row>
    <row r="8999" spans="5:6" ht="15" customHeight="1" x14ac:dyDescent="0.2">
      <c r="E8999" s="18"/>
      <c r="F8999" s="18"/>
    </row>
    <row r="9000" spans="5:6" ht="15" customHeight="1" x14ac:dyDescent="0.2">
      <c r="E9000" s="18"/>
      <c r="F9000" s="18"/>
    </row>
    <row r="9001" spans="5:6" ht="15" customHeight="1" x14ac:dyDescent="0.2">
      <c r="E9001" s="18"/>
      <c r="F9001" s="18"/>
    </row>
    <row r="9002" spans="5:6" ht="15" customHeight="1" x14ac:dyDescent="0.2">
      <c r="E9002" s="18"/>
      <c r="F9002" s="18"/>
    </row>
    <row r="9003" spans="5:6" ht="15" customHeight="1" x14ac:dyDescent="0.2">
      <c r="E9003" s="18"/>
      <c r="F9003" s="18"/>
    </row>
    <row r="9004" spans="5:6" ht="15" customHeight="1" x14ac:dyDescent="0.2">
      <c r="E9004" s="18"/>
      <c r="F9004" s="18"/>
    </row>
    <row r="9005" spans="5:6" ht="15" customHeight="1" x14ac:dyDescent="0.2">
      <c r="E9005" s="18"/>
      <c r="F9005" s="18"/>
    </row>
    <row r="9006" spans="5:6" ht="15" customHeight="1" x14ac:dyDescent="0.2">
      <c r="E9006" s="18"/>
      <c r="F9006" s="18"/>
    </row>
    <row r="9007" spans="5:6" ht="15" customHeight="1" x14ac:dyDescent="0.2">
      <c r="E9007" s="18"/>
      <c r="F9007" s="18"/>
    </row>
    <row r="9008" spans="5:6" ht="15" customHeight="1" x14ac:dyDescent="0.2">
      <c r="E9008" s="18"/>
      <c r="F9008" s="18"/>
    </row>
    <row r="9009" spans="5:6" ht="15" customHeight="1" x14ac:dyDescent="0.2">
      <c r="E9009" s="18"/>
      <c r="F9009" s="18"/>
    </row>
    <row r="9010" spans="5:6" ht="15" customHeight="1" x14ac:dyDescent="0.2">
      <c r="E9010" s="18"/>
      <c r="F9010" s="18"/>
    </row>
    <row r="9011" spans="5:6" ht="15" customHeight="1" x14ac:dyDescent="0.2">
      <c r="E9011" s="18"/>
      <c r="F9011" s="18"/>
    </row>
    <row r="9012" spans="5:6" ht="15" customHeight="1" x14ac:dyDescent="0.2">
      <c r="E9012" s="18"/>
      <c r="F9012" s="18"/>
    </row>
    <row r="9013" spans="5:6" ht="15" customHeight="1" x14ac:dyDescent="0.2">
      <c r="E9013" s="18"/>
      <c r="F9013" s="18"/>
    </row>
    <row r="9014" spans="5:6" ht="15" customHeight="1" x14ac:dyDescent="0.2">
      <c r="E9014" s="18"/>
      <c r="F9014" s="18"/>
    </row>
    <row r="9015" spans="5:6" ht="15" customHeight="1" x14ac:dyDescent="0.2">
      <c r="E9015" s="18"/>
      <c r="F9015" s="18"/>
    </row>
    <row r="9016" spans="5:6" ht="15" customHeight="1" x14ac:dyDescent="0.2">
      <c r="E9016" s="18"/>
      <c r="F9016" s="18"/>
    </row>
    <row r="9017" spans="5:6" ht="15" customHeight="1" x14ac:dyDescent="0.2">
      <c r="E9017" s="18"/>
      <c r="F9017" s="18"/>
    </row>
    <row r="9018" spans="5:6" ht="15" customHeight="1" x14ac:dyDescent="0.2">
      <c r="E9018" s="18"/>
      <c r="F9018" s="18"/>
    </row>
    <row r="9019" spans="5:6" ht="15" customHeight="1" x14ac:dyDescent="0.2">
      <c r="E9019" s="18"/>
      <c r="F9019" s="18"/>
    </row>
    <row r="9020" spans="5:6" ht="15" customHeight="1" x14ac:dyDescent="0.2">
      <c r="E9020" s="18"/>
      <c r="F9020" s="18"/>
    </row>
    <row r="9021" spans="5:6" ht="15" customHeight="1" x14ac:dyDescent="0.2">
      <c r="E9021" s="18"/>
      <c r="F9021" s="18"/>
    </row>
    <row r="9022" spans="5:6" ht="15" customHeight="1" x14ac:dyDescent="0.2">
      <c r="E9022" s="18"/>
      <c r="F9022" s="18"/>
    </row>
    <row r="9023" spans="5:6" ht="15" customHeight="1" x14ac:dyDescent="0.2">
      <c r="E9023" s="18"/>
      <c r="F9023" s="18"/>
    </row>
    <row r="9024" spans="5:6" ht="15" customHeight="1" x14ac:dyDescent="0.2">
      <c r="E9024" s="18"/>
      <c r="F9024" s="18"/>
    </row>
    <row r="9025" spans="5:6" ht="15" customHeight="1" x14ac:dyDescent="0.2">
      <c r="E9025" s="18"/>
      <c r="F9025" s="18"/>
    </row>
    <row r="9026" spans="5:6" ht="15" customHeight="1" x14ac:dyDescent="0.2">
      <c r="E9026" s="18"/>
      <c r="F9026" s="18"/>
    </row>
    <row r="9027" spans="5:6" ht="15" customHeight="1" x14ac:dyDescent="0.2">
      <c r="E9027" s="18"/>
      <c r="F9027" s="18"/>
    </row>
    <row r="9028" spans="5:6" ht="15" customHeight="1" x14ac:dyDescent="0.2">
      <c r="E9028" s="18"/>
      <c r="F9028" s="18"/>
    </row>
    <row r="9029" spans="5:6" ht="15" customHeight="1" x14ac:dyDescent="0.2">
      <c r="E9029" s="18"/>
      <c r="F9029" s="18"/>
    </row>
    <row r="9030" spans="5:6" ht="15" customHeight="1" x14ac:dyDescent="0.2">
      <c r="E9030" s="18"/>
      <c r="F9030" s="18"/>
    </row>
    <row r="9031" spans="5:6" ht="15" customHeight="1" x14ac:dyDescent="0.2">
      <c r="E9031" s="18"/>
      <c r="F9031" s="18"/>
    </row>
    <row r="9032" spans="5:6" ht="15" customHeight="1" x14ac:dyDescent="0.2">
      <c r="E9032" s="18"/>
      <c r="F9032" s="18"/>
    </row>
    <row r="9033" spans="5:6" ht="15" customHeight="1" x14ac:dyDescent="0.2">
      <c r="E9033" s="18"/>
      <c r="F9033" s="18"/>
    </row>
    <row r="9034" spans="5:6" ht="15" customHeight="1" x14ac:dyDescent="0.2">
      <c r="E9034" s="18"/>
      <c r="F9034" s="18"/>
    </row>
    <row r="9035" spans="5:6" ht="15" customHeight="1" x14ac:dyDescent="0.2">
      <c r="E9035" s="18"/>
      <c r="F9035" s="18"/>
    </row>
    <row r="9036" spans="5:6" ht="15" customHeight="1" x14ac:dyDescent="0.2">
      <c r="E9036" s="18"/>
      <c r="F9036" s="18"/>
    </row>
    <row r="9037" spans="5:6" ht="15" customHeight="1" x14ac:dyDescent="0.2">
      <c r="E9037" s="18"/>
      <c r="F9037" s="18"/>
    </row>
    <row r="9038" spans="5:6" ht="15" customHeight="1" x14ac:dyDescent="0.2">
      <c r="E9038" s="18"/>
      <c r="F9038" s="18"/>
    </row>
    <row r="9039" spans="5:6" ht="15" customHeight="1" x14ac:dyDescent="0.2">
      <c r="E9039" s="18"/>
      <c r="F9039" s="18"/>
    </row>
    <row r="9040" spans="5:6" ht="15" customHeight="1" x14ac:dyDescent="0.2">
      <c r="E9040" s="18"/>
      <c r="F9040" s="18"/>
    </row>
    <row r="9041" spans="5:6" ht="15" customHeight="1" x14ac:dyDescent="0.2">
      <c r="E9041" s="18"/>
      <c r="F9041" s="18"/>
    </row>
    <row r="9042" spans="5:6" ht="15" customHeight="1" x14ac:dyDescent="0.2">
      <c r="E9042" s="18"/>
      <c r="F9042" s="18"/>
    </row>
    <row r="9043" spans="5:6" ht="15" customHeight="1" x14ac:dyDescent="0.2">
      <c r="E9043" s="18"/>
      <c r="F9043" s="18"/>
    </row>
    <row r="9044" spans="5:6" ht="15" customHeight="1" x14ac:dyDescent="0.2">
      <c r="E9044" s="18"/>
      <c r="F9044" s="18"/>
    </row>
    <row r="9045" spans="5:6" ht="15" customHeight="1" x14ac:dyDescent="0.2">
      <c r="E9045" s="18"/>
      <c r="F9045" s="18"/>
    </row>
    <row r="9046" spans="5:6" ht="15" customHeight="1" x14ac:dyDescent="0.2">
      <c r="E9046" s="18"/>
      <c r="F9046" s="18"/>
    </row>
    <row r="9047" spans="5:6" ht="15" customHeight="1" x14ac:dyDescent="0.2">
      <c r="E9047" s="18"/>
      <c r="F9047" s="18"/>
    </row>
    <row r="9048" spans="5:6" ht="15" customHeight="1" x14ac:dyDescent="0.2">
      <c r="E9048" s="18"/>
      <c r="F9048" s="18"/>
    </row>
    <row r="9049" spans="5:6" ht="15" customHeight="1" x14ac:dyDescent="0.2">
      <c r="E9049" s="18"/>
      <c r="F9049" s="18"/>
    </row>
    <row r="9050" spans="5:6" ht="15" customHeight="1" x14ac:dyDescent="0.2">
      <c r="E9050" s="18"/>
      <c r="F9050" s="18"/>
    </row>
    <row r="9051" spans="5:6" ht="15" customHeight="1" x14ac:dyDescent="0.2">
      <c r="E9051" s="18"/>
      <c r="F9051" s="18"/>
    </row>
    <row r="9052" spans="5:6" ht="15" customHeight="1" x14ac:dyDescent="0.2">
      <c r="E9052" s="18"/>
      <c r="F9052" s="18"/>
    </row>
    <row r="9053" spans="5:6" ht="15" customHeight="1" x14ac:dyDescent="0.2">
      <c r="E9053" s="18"/>
      <c r="F9053" s="18"/>
    </row>
    <row r="9054" spans="5:6" ht="15" customHeight="1" x14ac:dyDescent="0.2">
      <c r="E9054" s="18"/>
      <c r="F9054" s="18"/>
    </row>
    <row r="9055" spans="5:6" ht="15" customHeight="1" x14ac:dyDescent="0.2">
      <c r="E9055" s="18"/>
      <c r="F9055" s="18"/>
    </row>
    <row r="9056" spans="5:6" ht="15" customHeight="1" x14ac:dyDescent="0.2">
      <c r="E9056" s="18"/>
      <c r="F9056" s="18"/>
    </row>
    <row r="9057" spans="5:6" ht="15" customHeight="1" x14ac:dyDescent="0.2">
      <c r="E9057" s="18"/>
      <c r="F9057" s="18"/>
    </row>
    <row r="9058" spans="5:6" ht="15" customHeight="1" x14ac:dyDescent="0.2">
      <c r="E9058" s="18"/>
      <c r="F9058" s="18"/>
    </row>
    <row r="9059" spans="5:6" ht="15" customHeight="1" x14ac:dyDescent="0.2">
      <c r="E9059" s="18"/>
      <c r="F9059" s="18"/>
    </row>
    <row r="9060" spans="5:6" ht="15" customHeight="1" x14ac:dyDescent="0.2">
      <c r="E9060" s="18"/>
      <c r="F9060" s="18"/>
    </row>
    <row r="9061" spans="5:6" ht="15" customHeight="1" x14ac:dyDescent="0.2">
      <c r="E9061" s="18"/>
      <c r="F9061" s="18"/>
    </row>
    <row r="9062" spans="5:6" ht="15" customHeight="1" x14ac:dyDescent="0.2">
      <c r="E9062" s="18"/>
      <c r="F9062" s="18"/>
    </row>
    <row r="9063" spans="5:6" ht="15" customHeight="1" x14ac:dyDescent="0.2">
      <c r="E9063" s="18"/>
      <c r="F9063" s="18"/>
    </row>
    <row r="9064" spans="5:6" ht="15" customHeight="1" x14ac:dyDescent="0.2">
      <c r="E9064" s="18"/>
      <c r="F9064" s="18"/>
    </row>
    <row r="9065" spans="5:6" ht="15" customHeight="1" x14ac:dyDescent="0.2">
      <c r="E9065" s="18"/>
      <c r="F9065" s="18"/>
    </row>
    <row r="9066" spans="5:6" ht="15" customHeight="1" x14ac:dyDescent="0.2">
      <c r="E9066" s="18"/>
      <c r="F9066" s="18"/>
    </row>
    <row r="9067" spans="5:6" ht="15" customHeight="1" x14ac:dyDescent="0.2">
      <c r="E9067" s="18"/>
      <c r="F9067" s="18"/>
    </row>
    <row r="9068" spans="5:6" ht="15" customHeight="1" x14ac:dyDescent="0.2">
      <c r="E9068" s="18"/>
      <c r="F9068" s="18"/>
    </row>
    <row r="9069" spans="5:6" ht="15" customHeight="1" x14ac:dyDescent="0.2">
      <c r="E9069" s="18"/>
      <c r="F9069" s="18"/>
    </row>
    <row r="9070" spans="5:6" ht="15" customHeight="1" x14ac:dyDescent="0.2">
      <c r="E9070" s="18"/>
      <c r="F9070" s="18"/>
    </row>
    <row r="9071" spans="5:6" ht="15" customHeight="1" x14ac:dyDescent="0.2">
      <c r="E9071" s="18"/>
      <c r="F9071" s="18"/>
    </row>
    <row r="9072" spans="5:6" ht="15" customHeight="1" x14ac:dyDescent="0.2">
      <c r="E9072" s="18"/>
      <c r="F9072" s="18"/>
    </row>
    <row r="9073" spans="5:6" ht="15" customHeight="1" x14ac:dyDescent="0.2">
      <c r="E9073" s="18"/>
      <c r="F9073" s="18"/>
    </row>
    <row r="9074" spans="5:6" ht="15" customHeight="1" x14ac:dyDescent="0.2">
      <c r="E9074" s="18"/>
      <c r="F9074" s="18"/>
    </row>
    <row r="9075" spans="5:6" ht="15" customHeight="1" x14ac:dyDescent="0.2">
      <c r="E9075" s="18"/>
      <c r="F9075" s="18"/>
    </row>
    <row r="9076" spans="5:6" ht="15" customHeight="1" x14ac:dyDescent="0.2">
      <c r="E9076" s="18"/>
      <c r="F9076" s="18"/>
    </row>
    <row r="9077" spans="5:6" ht="15" customHeight="1" x14ac:dyDescent="0.2">
      <c r="E9077" s="18"/>
      <c r="F9077" s="18"/>
    </row>
    <row r="9078" spans="5:6" ht="15" customHeight="1" x14ac:dyDescent="0.2">
      <c r="E9078" s="18"/>
      <c r="F9078" s="18"/>
    </row>
    <row r="9079" spans="5:6" ht="15" customHeight="1" x14ac:dyDescent="0.2">
      <c r="E9079" s="18"/>
      <c r="F9079" s="18"/>
    </row>
    <row r="9080" spans="5:6" ht="15" customHeight="1" x14ac:dyDescent="0.2">
      <c r="E9080" s="18"/>
      <c r="F9080" s="18"/>
    </row>
    <row r="9081" spans="5:6" ht="15" customHeight="1" x14ac:dyDescent="0.2">
      <c r="E9081" s="18"/>
      <c r="F9081" s="18"/>
    </row>
    <row r="9082" spans="5:6" ht="15" customHeight="1" x14ac:dyDescent="0.2">
      <c r="E9082" s="18"/>
      <c r="F9082" s="18"/>
    </row>
    <row r="9083" spans="5:6" ht="15" customHeight="1" x14ac:dyDescent="0.2">
      <c r="E9083" s="18"/>
      <c r="F9083" s="18"/>
    </row>
    <row r="9084" spans="5:6" ht="15" customHeight="1" x14ac:dyDescent="0.2">
      <c r="E9084" s="18"/>
      <c r="F9084" s="18"/>
    </row>
    <row r="9085" spans="5:6" ht="15" customHeight="1" x14ac:dyDescent="0.2">
      <c r="E9085" s="18"/>
      <c r="F9085" s="18"/>
    </row>
    <row r="9086" spans="5:6" ht="15" customHeight="1" x14ac:dyDescent="0.2">
      <c r="E9086" s="18"/>
      <c r="F9086" s="18"/>
    </row>
    <row r="9087" spans="5:6" ht="15" customHeight="1" x14ac:dyDescent="0.2">
      <c r="E9087" s="18"/>
      <c r="F9087" s="18"/>
    </row>
    <row r="9088" spans="5:6" ht="15" customHeight="1" x14ac:dyDescent="0.2">
      <c r="E9088" s="18"/>
      <c r="F9088" s="18"/>
    </row>
    <row r="9089" spans="5:6" ht="15" customHeight="1" x14ac:dyDescent="0.2">
      <c r="E9089" s="18"/>
      <c r="F9089" s="18"/>
    </row>
    <row r="9090" spans="5:6" ht="15" customHeight="1" x14ac:dyDescent="0.2">
      <c r="E9090" s="18"/>
      <c r="F9090" s="18"/>
    </row>
    <row r="9091" spans="5:6" ht="15" customHeight="1" x14ac:dyDescent="0.2">
      <c r="E9091" s="18"/>
      <c r="F9091" s="18"/>
    </row>
    <row r="9092" spans="5:6" ht="15" customHeight="1" x14ac:dyDescent="0.2">
      <c r="E9092" s="18"/>
      <c r="F9092" s="18"/>
    </row>
    <row r="9093" spans="5:6" ht="15" customHeight="1" x14ac:dyDescent="0.2">
      <c r="E9093" s="18"/>
      <c r="F9093" s="18"/>
    </row>
    <row r="9094" spans="5:6" ht="15" customHeight="1" x14ac:dyDescent="0.2">
      <c r="E9094" s="18"/>
      <c r="F9094" s="18"/>
    </row>
    <row r="9095" spans="5:6" ht="15" customHeight="1" x14ac:dyDescent="0.2">
      <c r="E9095" s="18"/>
      <c r="F9095" s="18"/>
    </row>
    <row r="9096" spans="5:6" ht="15" customHeight="1" x14ac:dyDescent="0.2">
      <c r="E9096" s="18"/>
      <c r="F9096" s="18"/>
    </row>
    <row r="9097" spans="5:6" ht="15" customHeight="1" x14ac:dyDescent="0.2">
      <c r="E9097" s="18"/>
      <c r="F9097" s="18"/>
    </row>
    <row r="9098" spans="5:6" ht="15" customHeight="1" x14ac:dyDescent="0.2">
      <c r="E9098" s="18"/>
      <c r="F9098" s="18"/>
    </row>
    <row r="9099" spans="5:6" ht="15" customHeight="1" x14ac:dyDescent="0.2">
      <c r="E9099" s="18"/>
      <c r="F9099" s="18"/>
    </row>
    <row r="9100" spans="5:6" ht="15" customHeight="1" x14ac:dyDescent="0.2">
      <c r="E9100" s="18"/>
      <c r="F9100" s="18"/>
    </row>
    <row r="9101" spans="5:6" ht="15" customHeight="1" x14ac:dyDescent="0.2">
      <c r="E9101" s="18"/>
      <c r="F9101" s="18"/>
    </row>
    <row r="9102" spans="5:6" ht="15" customHeight="1" x14ac:dyDescent="0.2">
      <c r="E9102" s="18"/>
      <c r="F9102" s="18"/>
    </row>
    <row r="9103" spans="5:6" ht="15" customHeight="1" x14ac:dyDescent="0.2">
      <c r="E9103" s="18"/>
      <c r="F9103" s="18"/>
    </row>
    <row r="9104" spans="5:6" ht="15" customHeight="1" x14ac:dyDescent="0.2">
      <c r="E9104" s="18"/>
      <c r="F9104" s="18"/>
    </row>
    <row r="9105" spans="5:6" ht="15" customHeight="1" x14ac:dyDescent="0.2">
      <c r="E9105" s="18"/>
      <c r="F9105" s="18"/>
    </row>
    <row r="9106" spans="5:6" ht="15" customHeight="1" x14ac:dyDescent="0.2">
      <c r="E9106" s="18"/>
      <c r="F9106" s="18"/>
    </row>
    <row r="9107" spans="5:6" ht="15" customHeight="1" x14ac:dyDescent="0.2">
      <c r="E9107" s="18"/>
      <c r="F9107" s="18"/>
    </row>
    <row r="9108" spans="5:6" ht="15" customHeight="1" x14ac:dyDescent="0.2">
      <c r="E9108" s="18"/>
      <c r="F9108" s="18"/>
    </row>
    <row r="9109" spans="5:6" ht="15" customHeight="1" x14ac:dyDescent="0.2">
      <c r="E9109" s="18"/>
      <c r="F9109" s="18"/>
    </row>
    <row r="9110" spans="5:6" ht="15" customHeight="1" x14ac:dyDescent="0.2">
      <c r="E9110" s="18"/>
      <c r="F9110" s="18"/>
    </row>
    <row r="9111" spans="5:6" ht="15" customHeight="1" x14ac:dyDescent="0.2">
      <c r="E9111" s="18"/>
      <c r="F9111" s="18"/>
    </row>
    <row r="9112" spans="5:6" ht="15" customHeight="1" x14ac:dyDescent="0.2">
      <c r="E9112" s="18"/>
      <c r="F9112" s="18"/>
    </row>
    <row r="9113" spans="5:6" ht="15" customHeight="1" x14ac:dyDescent="0.2">
      <c r="E9113" s="18"/>
      <c r="F9113" s="18"/>
    </row>
    <row r="9114" spans="5:6" ht="15" customHeight="1" x14ac:dyDescent="0.2">
      <c r="E9114" s="18"/>
      <c r="F9114" s="18"/>
    </row>
    <row r="9115" spans="5:6" ht="15" customHeight="1" x14ac:dyDescent="0.2">
      <c r="E9115" s="18"/>
      <c r="F9115" s="18"/>
    </row>
    <row r="9116" spans="5:6" ht="15" customHeight="1" x14ac:dyDescent="0.2">
      <c r="E9116" s="18"/>
      <c r="F9116" s="18"/>
    </row>
    <row r="9117" spans="5:6" ht="15" customHeight="1" x14ac:dyDescent="0.2">
      <c r="E9117" s="18"/>
      <c r="F9117" s="18"/>
    </row>
    <row r="9118" spans="5:6" ht="15" customHeight="1" x14ac:dyDescent="0.2">
      <c r="E9118" s="18"/>
      <c r="F9118" s="18"/>
    </row>
    <row r="9119" spans="5:6" ht="15" customHeight="1" x14ac:dyDescent="0.2">
      <c r="E9119" s="18"/>
      <c r="F9119" s="18"/>
    </row>
    <row r="9120" spans="5:6" ht="15" customHeight="1" x14ac:dyDescent="0.2">
      <c r="E9120" s="18"/>
      <c r="F9120" s="18"/>
    </row>
    <row r="9121" spans="5:6" ht="15" customHeight="1" x14ac:dyDescent="0.2">
      <c r="E9121" s="18"/>
      <c r="F9121" s="18"/>
    </row>
    <row r="9122" spans="5:6" ht="15" customHeight="1" x14ac:dyDescent="0.2">
      <c r="E9122" s="18"/>
      <c r="F9122" s="18"/>
    </row>
    <row r="9123" spans="5:6" ht="15" customHeight="1" x14ac:dyDescent="0.2">
      <c r="E9123" s="18"/>
      <c r="F9123" s="18"/>
    </row>
    <row r="9124" spans="5:6" ht="15" customHeight="1" x14ac:dyDescent="0.2">
      <c r="E9124" s="18"/>
      <c r="F9124" s="18"/>
    </row>
    <row r="9125" spans="5:6" ht="15" customHeight="1" x14ac:dyDescent="0.2">
      <c r="E9125" s="18"/>
      <c r="F9125" s="18"/>
    </row>
    <row r="9126" spans="5:6" ht="15" customHeight="1" x14ac:dyDescent="0.2">
      <c r="E9126" s="18"/>
      <c r="F9126" s="18"/>
    </row>
    <row r="9127" spans="5:6" ht="15" customHeight="1" x14ac:dyDescent="0.2">
      <c r="E9127" s="18"/>
      <c r="F9127" s="18"/>
    </row>
    <row r="9128" spans="5:6" ht="15" customHeight="1" x14ac:dyDescent="0.2">
      <c r="E9128" s="18"/>
      <c r="F9128" s="18"/>
    </row>
    <row r="9129" spans="5:6" ht="15" customHeight="1" x14ac:dyDescent="0.2">
      <c r="E9129" s="18"/>
      <c r="F9129" s="18"/>
    </row>
    <row r="9130" spans="5:6" ht="15" customHeight="1" x14ac:dyDescent="0.2">
      <c r="E9130" s="18"/>
      <c r="F9130" s="18"/>
    </row>
    <row r="9131" spans="5:6" ht="15" customHeight="1" x14ac:dyDescent="0.2">
      <c r="E9131" s="18"/>
      <c r="F9131" s="18"/>
    </row>
    <row r="9132" spans="5:6" ht="15" customHeight="1" x14ac:dyDescent="0.2">
      <c r="E9132" s="18"/>
      <c r="F9132" s="18"/>
    </row>
    <row r="9133" spans="5:6" ht="15" customHeight="1" x14ac:dyDescent="0.2">
      <c r="E9133" s="18"/>
      <c r="F9133" s="18"/>
    </row>
    <row r="9134" spans="5:6" ht="15" customHeight="1" x14ac:dyDescent="0.2">
      <c r="E9134" s="18"/>
      <c r="F9134" s="18"/>
    </row>
    <row r="9135" spans="5:6" ht="15" customHeight="1" x14ac:dyDescent="0.2">
      <c r="E9135" s="18"/>
      <c r="F9135" s="18"/>
    </row>
    <row r="9136" spans="5:6" ht="15" customHeight="1" x14ac:dyDescent="0.2">
      <c r="E9136" s="18"/>
      <c r="F9136" s="18"/>
    </row>
    <row r="9137" spans="5:6" ht="15" customHeight="1" x14ac:dyDescent="0.2">
      <c r="E9137" s="18"/>
      <c r="F9137" s="18"/>
    </row>
    <row r="9138" spans="5:6" ht="15" customHeight="1" x14ac:dyDescent="0.2">
      <c r="E9138" s="18"/>
      <c r="F9138" s="18"/>
    </row>
    <row r="9139" spans="5:6" ht="15" customHeight="1" x14ac:dyDescent="0.2">
      <c r="E9139" s="18"/>
      <c r="F9139" s="18"/>
    </row>
    <row r="9140" spans="5:6" ht="15" customHeight="1" x14ac:dyDescent="0.2">
      <c r="E9140" s="18"/>
      <c r="F9140" s="18"/>
    </row>
    <row r="9141" spans="5:6" ht="15" customHeight="1" x14ac:dyDescent="0.2">
      <c r="E9141" s="18"/>
      <c r="F9141" s="18"/>
    </row>
    <row r="9142" spans="5:6" ht="15" customHeight="1" x14ac:dyDescent="0.2">
      <c r="E9142" s="18"/>
      <c r="F9142" s="18"/>
    </row>
    <row r="9143" spans="5:6" ht="15" customHeight="1" x14ac:dyDescent="0.2">
      <c r="E9143" s="18"/>
      <c r="F9143" s="18"/>
    </row>
    <row r="9144" spans="5:6" ht="15" customHeight="1" x14ac:dyDescent="0.2">
      <c r="E9144" s="18"/>
      <c r="F9144" s="18"/>
    </row>
    <row r="9145" spans="5:6" ht="15" customHeight="1" x14ac:dyDescent="0.2">
      <c r="E9145" s="18"/>
      <c r="F9145" s="18"/>
    </row>
    <row r="9146" spans="5:6" ht="15" customHeight="1" x14ac:dyDescent="0.2">
      <c r="E9146" s="18"/>
      <c r="F9146" s="18"/>
    </row>
    <row r="9147" spans="5:6" ht="15" customHeight="1" x14ac:dyDescent="0.2">
      <c r="E9147" s="18"/>
      <c r="F9147" s="18"/>
    </row>
    <row r="9148" spans="5:6" ht="15" customHeight="1" x14ac:dyDescent="0.2">
      <c r="E9148" s="18"/>
      <c r="F9148" s="18"/>
    </row>
    <row r="9149" spans="5:6" ht="15" customHeight="1" x14ac:dyDescent="0.2">
      <c r="E9149" s="18"/>
      <c r="F9149" s="18"/>
    </row>
    <row r="9150" spans="5:6" ht="15" customHeight="1" x14ac:dyDescent="0.2">
      <c r="E9150" s="18"/>
      <c r="F9150" s="18"/>
    </row>
    <row r="9151" spans="5:6" ht="15" customHeight="1" x14ac:dyDescent="0.2">
      <c r="E9151" s="18"/>
      <c r="F9151" s="18"/>
    </row>
    <row r="9152" spans="5:6" ht="15" customHeight="1" x14ac:dyDescent="0.2">
      <c r="E9152" s="18"/>
      <c r="F9152" s="18"/>
    </row>
    <row r="9153" spans="5:6" ht="15" customHeight="1" x14ac:dyDescent="0.2">
      <c r="E9153" s="18"/>
      <c r="F9153" s="18"/>
    </row>
    <row r="9154" spans="5:6" ht="15" customHeight="1" x14ac:dyDescent="0.2">
      <c r="E9154" s="18"/>
      <c r="F9154" s="18"/>
    </row>
    <row r="9155" spans="5:6" ht="15" customHeight="1" x14ac:dyDescent="0.2">
      <c r="E9155" s="18"/>
      <c r="F9155" s="18"/>
    </row>
    <row r="9156" spans="5:6" ht="15" customHeight="1" x14ac:dyDescent="0.2">
      <c r="E9156" s="18"/>
      <c r="F9156" s="18"/>
    </row>
    <row r="9157" spans="5:6" ht="15" customHeight="1" x14ac:dyDescent="0.2">
      <c r="E9157" s="18"/>
      <c r="F9157" s="18"/>
    </row>
    <row r="9158" spans="5:6" ht="15" customHeight="1" x14ac:dyDescent="0.2">
      <c r="E9158" s="18"/>
      <c r="F9158" s="18"/>
    </row>
    <row r="9159" spans="5:6" ht="15" customHeight="1" x14ac:dyDescent="0.2">
      <c r="E9159" s="18"/>
      <c r="F9159" s="18"/>
    </row>
    <row r="9160" spans="5:6" ht="15" customHeight="1" x14ac:dyDescent="0.2">
      <c r="E9160" s="18"/>
      <c r="F9160" s="18"/>
    </row>
    <row r="9161" spans="5:6" ht="15" customHeight="1" x14ac:dyDescent="0.2">
      <c r="E9161" s="18"/>
      <c r="F9161" s="18"/>
    </row>
    <row r="9162" spans="5:6" ht="15" customHeight="1" x14ac:dyDescent="0.2">
      <c r="E9162" s="18"/>
      <c r="F9162" s="18"/>
    </row>
    <row r="9163" spans="5:6" ht="15" customHeight="1" x14ac:dyDescent="0.2">
      <c r="E9163" s="18"/>
      <c r="F9163" s="18"/>
    </row>
    <row r="9164" spans="5:6" ht="15" customHeight="1" x14ac:dyDescent="0.2">
      <c r="E9164" s="18"/>
      <c r="F9164" s="18"/>
    </row>
    <row r="9165" spans="5:6" ht="15" customHeight="1" x14ac:dyDescent="0.2">
      <c r="E9165" s="18"/>
      <c r="F9165" s="18"/>
    </row>
    <row r="9166" spans="5:6" ht="15" customHeight="1" x14ac:dyDescent="0.2">
      <c r="E9166" s="18"/>
      <c r="F9166" s="18"/>
    </row>
    <row r="9167" spans="5:6" ht="15" customHeight="1" x14ac:dyDescent="0.2">
      <c r="E9167" s="18"/>
      <c r="F9167" s="18"/>
    </row>
    <row r="9168" spans="5:6" ht="15" customHeight="1" x14ac:dyDescent="0.2">
      <c r="E9168" s="18"/>
      <c r="F9168" s="18"/>
    </row>
    <row r="9169" spans="5:6" ht="15" customHeight="1" x14ac:dyDescent="0.2">
      <c r="E9169" s="18"/>
      <c r="F9169" s="18"/>
    </row>
    <row r="9170" spans="5:6" ht="15" customHeight="1" x14ac:dyDescent="0.2">
      <c r="E9170" s="18"/>
      <c r="F9170" s="18"/>
    </row>
    <row r="9171" spans="5:6" ht="15" customHeight="1" x14ac:dyDescent="0.2">
      <c r="E9171" s="18"/>
      <c r="F9171" s="18"/>
    </row>
    <row r="9172" spans="5:6" ht="15" customHeight="1" x14ac:dyDescent="0.2">
      <c r="E9172" s="18"/>
      <c r="F9172" s="18"/>
    </row>
    <row r="9173" spans="5:6" ht="15" customHeight="1" x14ac:dyDescent="0.2">
      <c r="E9173" s="18"/>
      <c r="F9173" s="18"/>
    </row>
    <row r="9174" spans="5:6" ht="15" customHeight="1" x14ac:dyDescent="0.2">
      <c r="E9174" s="18"/>
      <c r="F9174" s="18"/>
    </row>
    <row r="9175" spans="5:6" ht="15" customHeight="1" x14ac:dyDescent="0.2">
      <c r="E9175" s="18"/>
      <c r="F9175" s="18"/>
    </row>
    <row r="9176" spans="5:6" ht="15" customHeight="1" x14ac:dyDescent="0.2">
      <c r="E9176" s="18"/>
      <c r="F9176" s="18"/>
    </row>
    <row r="9177" spans="5:6" ht="15" customHeight="1" x14ac:dyDescent="0.2">
      <c r="E9177" s="18"/>
      <c r="F9177" s="18"/>
    </row>
    <row r="9178" spans="5:6" ht="15" customHeight="1" x14ac:dyDescent="0.2">
      <c r="E9178" s="18"/>
      <c r="F9178" s="18"/>
    </row>
    <row r="9179" spans="5:6" ht="15" customHeight="1" x14ac:dyDescent="0.2">
      <c r="E9179" s="18"/>
      <c r="F9179" s="18"/>
    </row>
    <row r="9180" spans="5:6" ht="15" customHeight="1" x14ac:dyDescent="0.2">
      <c r="E9180" s="18"/>
      <c r="F9180" s="18"/>
    </row>
    <row r="9181" spans="5:6" ht="15" customHeight="1" x14ac:dyDescent="0.2">
      <c r="E9181" s="18"/>
      <c r="F9181" s="18"/>
    </row>
    <row r="9182" spans="5:6" ht="15" customHeight="1" x14ac:dyDescent="0.2">
      <c r="E9182" s="18"/>
      <c r="F9182" s="18"/>
    </row>
    <row r="9183" spans="5:6" ht="15" customHeight="1" x14ac:dyDescent="0.2">
      <c r="E9183" s="18"/>
      <c r="F9183" s="18"/>
    </row>
    <row r="9184" spans="5:6" ht="15" customHeight="1" x14ac:dyDescent="0.2">
      <c r="E9184" s="18"/>
      <c r="F9184" s="18"/>
    </row>
    <row r="9185" spans="5:6" ht="15" customHeight="1" x14ac:dyDescent="0.2">
      <c r="E9185" s="18"/>
      <c r="F9185" s="18"/>
    </row>
    <row r="9186" spans="5:6" ht="15" customHeight="1" x14ac:dyDescent="0.2">
      <c r="E9186" s="18"/>
      <c r="F9186" s="18"/>
    </row>
    <row r="9187" spans="5:6" ht="15" customHeight="1" x14ac:dyDescent="0.2">
      <c r="E9187" s="18"/>
      <c r="F9187" s="18"/>
    </row>
    <row r="9188" spans="5:6" ht="15" customHeight="1" x14ac:dyDescent="0.2">
      <c r="E9188" s="18"/>
      <c r="F9188" s="18"/>
    </row>
    <row r="9189" spans="5:6" ht="15" customHeight="1" x14ac:dyDescent="0.2">
      <c r="E9189" s="18"/>
      <c r="F9189" s="18"/>
    </row>
    <row r="9190" spans="5:6" ht="15" customHeight="1" x14ac:dyDescent="0.2">
      <c r="E9190" s="18"/>
      <c r="F9190" s="18"/>
    </row>
    <row r="9191" spans="5:6" ht="15" customHeight="1" x14ac:dyDescent="0.2">
      <c r="E9191" s="18"/>
      <c r="F9191" s="18"/>
    </row>
    <row r="9192" spans="5:6" ht="15" customHeight="1" x14ac:dyDescent="0.2">
      <c r="E9192" s="18"/>
      <c r="F9192" s="18"/>
    </row>
    <row r="9193" spans="5:6" ht="15" customHeight="1" x14ac:dyDescent="0.2">
      <c r="E9193" s="18"/>
      <c r="F9193" s="18"/>
    </row>
    <row r="9194" spans="5:6" ht="15" customHeight="1" x14ac:dyDescent="0.2">
      <c r="E9194" s="18"/>
      <c r="F9194" s="18"/>
    </row>
    <row r="9195" spans="5:6" ht="15" customHeight="1" x14ac:dyDescent="0.2">
      <c r="E9195" s="18"/>
      <c r="F9195" s="18"/>
    </row>
    <row r="9196" spans="5:6" ht="15" customHeight="1" x14ac:dyDescent="0.2">
      <c r="E9196" s="18"/>
      <c r="F9196" s="18"/>
    </row>
    <row r="9197" spans="5:6" ht="15" customHeight="1" x14ac:dyDescent="0.2">
      <c r="E9197" s="18"/>
      <c r="F9197" s="18"/>
    </row>
    <row r="9198" spans="5:6" ht="15" customHeight="1" x14ac:dyDescent="0.2">
      <c r="E9198" s="18"/>
      <c r="F9198" s="18"/>
    </row>
    <row r="9199" spans="5:6" ht="15" customHeight="1" x14ac:dyDescent="0.2">
      <c r="E9199" s="18"/>
      <c r="F9199" s="18"/>
    </row>
    <row r="9200" spans="5:6" ht="15" customHeight="1" x14ac:dyDescent="0.2">
      <c r="E9200" s="18"/>
      <c r="F9200" s="18"/>
    </row>
    <row r="9201" spans="5:6" ht="15" customHeight="1" x14ac:dyDescent="0.2">
      <c r="E9201" s="18"/>
      <c r="F9201" s="18"/>
    </row>
    <row r="9202" spans="5:6" ht="15" customHeight="1" x14ac:dyDescent="0.2">
      <c r="E9202" s="18"/>
      <c r="F9202" s="18"/>
    </row>
    <row r="9203" spans="5:6" ht="15" customHeight="1" x14ac:dyDescent="0.2">
      <c r="E9203" s="18"/>
      <c r="F9203" s="18"/>
    </row>
    <row r="9204" spans="5:6" ht="15" customHeight="1" x14ac:dyDescent="0.2">
      <c r="E9204" s="18"/>
      <c r="F9204" s="18"/>
    </row>
    <row r="9205" spans="5:6" ht="15" customHeight="1" x14ac:dyDescent="0.2">
      <c r="E9205" s="18"/>
      <c r="F9205" s="18"/>
    </row>
    <row r="9206" spans="5:6" ht="15" customHeight="1" x14ac:dyDescent="0.2">
      <c r="E9206" s="18"/>
      <c r="F9206" s="18"/>
    </row>
    <row r="9207" spans="5:6" ht="15" customHeight="1" x14ac:dyDescent="0.2">
      <c r="E9207" s="18"/>
      <c r="F9207" s="18"/>
    </row>
    <row r="9208" spans="5:6" ht="15" customHeight="1" x14ac:dyDescent="0.2">
      <c r="E9208" s="18"/>
      <c r="F9208" s="18"/>
    </row>
    <row r="9209" spans="5:6" ht="15" customHeight="1" x14ac:dyDescent="0.2">
      <c r="E9209" s="18"/>
      <c r="F9209" s="18"/>
    </row>
    <row r="9210" spans="5:6" ht="15" customHeight="1" x14ac:dyDescent="0.2">
      <c r="E9210" s="18"/>
      <c r="F9210" s="18"/>
    </row>
    <row r="9211" spans="5:6" ht="15" customHeight="1" x14ac:dyDescent="0.2">
      <c r="E9211" s="18"/>
      <c r="F9211" s="18"/>
    </row>
    <row r="9212" spans="5:6" ht="15" customHeight="1" x14ac:dyDescent="0.2">
      <c r="E9212" s="18"/>
      <c r="F9212" s="18"/>
    </row>
    <row r="9213" spans="5:6" ht="15" customHeight="1" x14ac:dyDescent="0.2">
      <c r="E9213" s="18"/>
      <c r="F9213" s="18"/>
    </row>
    <row r="9214" spans="5:6" ht="15" customHeight="1" x14ac:dyDescent="0.2">
      <c r="E9214" s="18"/>
      <c r="F9214" s="18"/>
    </row>
    <row r="9215" spans="5:6" ht="15" customHeight="1" x14ac:dyDescent="0.2">
      <c r="E9215" s="18"/>
      <c r="F9215" s="18"/>
    </row>
    <row r="9216" spans="5:6" ht="15" customHeight="1" x14ac:dyDescent="0.2">
      <c r="E9216" s="18"/>
      <c r="F9216" s="18"/>
    </row>
    <row r="9217" spans="5:6" ht="15" customHeight="1" x14ac:dyDescent="0.2">
      <c r="E9217" s="18"/>
      <c r="F9217" s="18"/>
    </row>
    <row r="9218" spans="5:6" ht="15" customHeight="1" x14ac:dyDescent="0.2">
      <c r="E9218" s="18"/>
      <c r="F9218" s="18"/>
    </row>
    <row r="9219" spans="5:6" ht="15" customHeight="1" x14ac:dyDescent="0.2">
      <c r="E9219" s="18"/>
      <c r="F9219" s="18"/>
    </row>
    <row r="9220" spans="5:6" ht="15" customHeight="1" x14ac:dyDescent="0.2">
      <c r="E9220" s="18"/>
      <c r="F9220" s="18"/>
    </row>
    <row r="9221" spans="5:6" ht="15" customHeight="1" x14ac:dyDescent="0.2">
      <c r="E9221" s="18"/>
      <c r="F9221" s="18"/>
    </row>
    <row r="9222" spans="5:6" ht="15" customHeight="1" x14ac:dyDescent="0.2">
      <c r="E9222" s="18"/>
      <c r="F9222" s="18"/>
    </row>
    <row r="9223" spans="5:6" ht="15" customHeight="1" x14ac:dyDescent="0.2">
      <c r="E9223" s="18"/>
      <c r="F9223" s="18"/>
    </row>
    <row r="9224" spans="5:6" ht="15" customHeight="1" x14ac:dyDescent="0.2">
      <c r="E9224" s="18"/>
      <c r="F9224" s="18"/>
    </row>
    <row r="9225" spans="5:6" ht="15" customHeight="1" x14ac:dyDescent="0.2">
      <c r="E9225" s="18"/>
      <c r="F9225" s="18"/>
    </row>
    <row r="9226" spans="5:6" ht="15" customHeight="1" x14ac:dyDescent="0.2">
      <c r="E9226" s="18"/>
      <c r="F9226" s="18"/>
    </row>
    <row r="9227" spans="5:6" ht="15" customHeight="1" x14ac:dyDescent="0.2">
      <c r="E9227" s="18"/>
      <c r="F9227" s="18"/>
    </row>
    <row r="9228" spans="5:6" ht="15" customHeight="1" x14ac:dyDescent="0.2">
      <c r="E9228" s="18"/>
      <c r="F9228" s="18"/>
    </row>
    <row r="9229" spans="5:6" ht="15" customHeight="1" x14ac:dyDescent="0.2">
      <c r="E9229" s="18"/>
      <c r="F9229" s="18"/>
    </row>
    <row r="9230" spans="5:6" ht="15" customHeight="1" x14ac:dyDescent="0.2">
      <c r="E9230" s="18"/>
      <c r="F9230" s="18"/>
    </row>
    <row r="9231" spans="5:6" ht="15" customHeight="1" x14ac:dyDescent="0.2">
      <c r="E9231" s="18"/>
      <c r="F9231" s="18"/>
    </row>
    <row r="9232" spans="5:6" ht="15" customHeight="1" x14ac:dyDescent="0.2">
      <c r="E9232" s="18"/>
      <c r="F9232" s="18"/>
    </row>
    <row r="9233" spans="5:6" ht="15" customHeight="1" x14ac:dyDescent="0.2">
      <c r="E9233" s="18"/>
      <c r="F9233" s="18"/>
    </row>
    <row r="9234" spans="5:6" ht="15" customHeight="1" x14ac:dyDescent="0.2">
      <c r="E9234" s="18"/>
      <c r="F9234" s="18"/>
    </row>
    <row r="9235" spans="5:6" ht="15" customHeight="1" x14ac:dyDescent="0.2">
      <c r="E9235" s="18"/>
      <c r="F9235" s="18"/>
    </row>
    <row r="9236" spans="5:6" ht="15" customHeight="1" x14ac:dyDescent="0.2">
      <c r="E9236" s="18"/>
      <c r="F9236" s="18"/>
    </row>
    <row r="9237" spans="5:6" ht="15" customHeight="1" x14ac:dyDescent="0.2">
      <c r="E9237" s="18"/>
      <c r="F9237" s="18"/>
    </row>
    <row r="9238" spans="5:6" ht="15" customHeight="1" x14ac:dyDescent="0.2">
      <c r="E9238" s="18"/>
      <c r="F9238" s="18"/>
    </row>
    <row r="9239" spans="5:6" ht="15" customHeight="1" x14ac:dyDescent="0.2">
      <c r="E9239" s="18"/>
      <c r="F9239" s="18"/>
    </row>
    <row r="9240" spans="5:6" ht="15" customHeight="1" x14ac:dyDescent="0.2">
      <c r="E9240" s="18"/>
      <c r="F9240" s="18"/>
    </row>
    <row r="9241" spans="5:6" ht="15" customHeight="1" x14ac:dyDescent="0.2">
      <c r="E9241" s="18"/>
      <c r="F9241" s="18"/>
    </row>
    <row r="9242" spans="5:6" ht="15" customHeight="1" x14ac:dyDescent="0.2">
      <c r="E9242" s="18"/>
      <c r="F9242" s="18"/>
    </row>
    <row r="9243" spans="5:6" ht="15" customHeight="1" x14ac:dyDescent="0.2">
      <c r="E9243" s="18"/>
      <c r="F9243" s="18"/>
    </row>
    <row r="9244" spans="5:6" ht="15" customHeight="1" x14ac:dyDescent="0.2">
      <c r="E9244" s="18"/>
      <c r="F9244" s="18"/>
    </row>
    <row r="9245" spans="5:6" ht="15" customHeight="1" x14ac:dyDescent="0.2">
      <c r="E9245" s="18"/>
      <c r="F9245" s="18"/>
    </row>
    <row r="9246" spans="5:6" ht="15" customHeight="1" x14ac:dyDescent="0.2">
      <c r="E9246" s="18"/>
      <c r="F9246" s="18"/>
    </row>
    <row r="9247" spans="5:6" ht="15" customHeight="1" x14ac:dyDescent="0.2">
      <c r="E9247" s="18"/>
      <c r="F9247" s="18"/>
    </row>
    <row r="9248" spans="5:6" ht="15" customHeight="1" x14ac:dyDescent="0.2">
      <c r="E9248" s="18"/>
      <c r="F9248" s="18"/>
    </row>
    <row r="9249" spans="5:6" ht="15" customHeight="1" x14ac:dyDescent="0.2">
      <c r="E9249" s="18"/>
      <c r="F9249" s="18"/>
    </row>
    <row r="9250" spans="5:6" ht="15" customHeight="1" x14ac:dyDescent="0.2">
      <c r="E9250" s="18"/>
      <c r="F9250" s="18"/>
    </row>
    <row r="9251" spans="5:6" ht="15" customHeight="1" x14ac:dyDescent="0.2">
      <c r="E9251" s="18"/>
      <c r="F9251" s="18"/>
    </row>
    <row r="9252" spans="5:6" ht="15" customHeight="1" x14ac:dyDescent="0.2">
      <c r="E9252" s="18"/>
      <c r="F9252" s="18"/>
    </row>
    <row r="9253" spans="5:6" ht="15" customHeight="1" x14ac:dyDescent="0.2">
      <c r="E9253" s="18"/>
      <c r="F9253" s="18"/>
    </row>
    <row r="9254" spans="5:6" ht="15" customHeight="1" x14ac:dyDescent="0.2">
      <c r="E9254" s="18"/>
      <c r="F9254" s="18"/>
    </row>
    <row r="9255" spans="5:6" ht="15" customHeight="1" x14ac:dyDescent="0.2">
      <c r="E9255" s="18"/>
      <c r="F9255" s="18"/>
    </row>
    <row r="9256" spans="5:6" ht="15" customHeight="1" x14ac:dyDescent="0.2">
      <c r="E9256" s="18"/>
      <c r="F9256" s="18"/>
    </row>
    <row r="9257" spans="5:6" ht="15" customHeight="1" x14ac:dyDescent="0.2">
      <c r="E9257" s="18"/>
      <c r="F9257" s="18"/>
    </row>
    <row r="9258" spans="5:6" ht="15" customHeight="1" x14ac:dyDescent="0.2">
      <c r="E9258" s="18"/>
      <c r="F9258" s="18"/>
    </row>
    <row r="9259" spans="5:6" ht="15" customHeight="1" x14ac:dyDescent="0.2">
      <c r="E9259" s="18"/>
      <c r="F9259" s="18"/>
    </row>
    <row r="9260" spans="5:6" ht="15" customHeight="1" x14ac:dyDescent="0.2">
      <c r="E9260" s="18"/>
      <c r="F9260" s="18"/>
    </row>
    <row r="9261" spans="5:6" ht="15" customHeight="1" x14ac:dyDescent="0.2">
      <c r="E9261" s="18"/>
      <c r="F9261" s="18"/>
    </row>
    <row r="9262" spans="5:6" ht="15" customHeight="1" x14ac:dyDescent="0.2">
      <c r="E9262" s="18"/>
      <c r="F9262" s="18"/>
    </row>
    <row r="9263" spans="5:6" ht="15" customHeight="1" x14ac:dyDescent="0.2">
      <c r="E9263" s="18"/>
      <c r="F9263" s="18"/>
    </row>
    <row r="9264" spans="5:6" ht="15" customHeight="1" x14ac:dyDescent="0.2">
      <c r="E9264" s="18"/>
      <c r="F9264" s="18"/>
    </row>
    <row r="9265" spans="5:6" ht="15" customHeight="1" x14ac:dyDescent="0.2">
      <c r="E9265" s="18"/>
      <c r="F9265" s="18"/>
    </row>
    <row r="9266" spans="5:6" ht="15" customHeight="1" x14ac:dyDescent="0.2">
      <c r="E9266" s="18"/>
      <c r="F9266" s="18"/>
    </row>
    <row r="9267" spans="5:6" ht="15" customHeight="1" x14ac:dyDescent="0.2">
      <c r="E9267" s="18"/>
      <c r="F9267" s="18"/>
    </row>
    <row r="9268" spans="5:6" ht="15" customHeight="1" x14ac:dyDescent="0.2">
      <c r="E9268" s="18"/>
      <c r="F9268" s="18"/>
    </row>
    <row r="9269" spans="5:6" ht="15" customHeight="1" x14ac:dyDescent="0.2">
      <c r="E9269" s="18"/>
      <c r="F9269" s="18"/>
    </row>
    <row r="9270" spans="5:6" ht="15" customHeight="1" x14ac:dyDescent="0.2">
      <c r="E9270" s="18"/>
      <c r="F9270" s="18"/>
    </row>
    <row r="9271" spans="5:6" ht="15" customHeight="1" x14ac:dyDescent="0.2">
      <c r="E9271" s="18"/>
      <c r="F9271" s="18"/>
    </row>
    <row r="9272" spans="5:6" ht="15" customHeight="1" x14ac:dyDescent="0.2">
      <c r="E9272" s="18"/>
      <c r="F9272" s="18"/>
    </row>
    <row r="9273" spans="5:6" ht="15" customHeight="1" x14ac:dyDescent="0.2">
      <c r="E9273" s="18"/>
      <c r="F9273" s="18"/>
    </row>
    <row r="9274" spans="5:6" ht="15" customHeight="1" x14ac:dyDescent="0.2">
      <c r="E9274" s="18"/>
      <c r="F9274" s="18"/>
    </row>
    <row r="9275" spans="5:6" ht="15" customHeight="1" x14ac:dyDescent="0.2">
      <c r="E9275" s="18"/>
      <c r="F9275" s="18"/>
    </row>
    <row r="9276" spans="5:6" ht="15" customHeight="1" x14ac:dyDescent="0.2">
      <c r="E9276" s="18"/>
      <c r="F9276" s="18"/>
    </row>
    <row r="9277" spans="5:6" ht="15" customHeight="1" x14ac:dyDescent="0.2">
      <c r="E9277" s="18"/>
      <c r="F9277" s="18"/>
    </row>
    <row r="9278" spans="5:6" ht="15" customHeight="1" x14ac:dyDescent="0.2">
      <c r="E9278" s="18"/>
      <c r="F9278" s="18"/>
    </row>
    <row r="9279" spans="5:6" ht="15" customHeight="1" x14ac:dyDescent="0.2">
      <c r="E9279" s="18"/>
      <c r="F9279" s="18"/>
    </row>
    <row r="9280" spans="5:6" ht="15" customHeight="1" x14ac:dyDescent="0.2">
      <c r="E9280" s="18"/>
      <c r="F9280" s="18"/>
    </row>
    <row r="9281" spans="5:6" ht="15" customHeight="1" x14ac:dyDescent="0.2">
      <c r="E9281" s="18"/>
      <c r="F9281" s="18"/>
    </row>
    <row r="9282" spans="5:6" ht="15" customHeight="1" x14ac:dyDescent="0.2">
      <c r="E9282" s="18"/>
      <c r="F9282" s="18"/>
    </row>
    <row r="9283" spans="5:6" ht="15" customHeight="1" x14ac:dyDescent="0.2">
      <c r="E9283" s="18"/>
      <c r="F9283" s="18"/>
    </row>
    <row r="9284" spans="5:6" ht="15" customHeight="1" x14ac:dyDescent="0.2">
      <c r="E9284" s="18"/>
      <c r="F9284" s="18"/>
    </row>
    <row r="9285" spans="5:6" ht="15" customHeight="1" x14ac:dyDescent="0.2">
      <c r="E9285" s="18"/>
      <c r="F9285" s="18"/>
    </row>
    <row r="9286" spans="5:6" ht="15" customHeight="1" x14ac:dyDescent="0.2">
      <c r="E9286" s="18"/>
      <c r="F9286" s="18"/>
    </row>
    <row r="9287" spans="5:6" ht="15" customHeight="1" x14ac:dyDescent="0.2">
      <c r="E9287" s="18"/>
      <c r="F9287" s="18"/>
    </row>
    <row r="9288" spans="5:6" ht="15" customHeight="1" x14ac:dyDescent="0.2">
      <c r="E9288" s="18"/>
      <c r="F9288" s="18"/>
    </row>
    <row r="9289" spans="5:6" ht="15" customHeight="1" x14ac:dyDescent="0.2">
      <c r="E9289" s="18"/>
      <c r="F9289" s="18"/>
    </row>
    <row r="9290" spans="5:6" ht="15" customHeight="1" x14ac:dyDescent="0.2">
      <c r="E9290" s="18"/>
      <c r="F9290" s="18"/>
    </row>
    <row r="9291" spans="5:6" ht="15" customHeight="1" x14ac:dyDescent="0.2">
      <c r="E9291" s="18"/>
      <c r="F9291" s="18"/>
    </row>
    <row r="9292" spans="5:6" ht="15" customHeight="1" x14ac:dyDescent="0.2">
      <c r="E9292" s="18"/>
      <c r="F9292" s="18"/>
    </row>
    <row r="9293" spans="5:6" ht="15" customHeight="1" x14ac:dyDescent="0.2">
      <c r="E9293" s="18"/>
      <c r="F9293" s="18"/>
    </row>
    <row r="9294" spans="5:6" ht="15" customHeight="1" x14ac:dyDescent="0.2">
      <c r="E9294" s="18"/>
      <c r="F9294" s="18"/>
    </row>
    <row r="9295" spans="5:6" ht="15" customHeight="1" x14ac:dyDescent="0.2">
      <c r="E9295" s="18"/>
      <c r="F9295" s="18"/>
    </row>
    <row r="9296" spans="5:6" ht="15" customHeight="1" x14ac:dyDescent="0.2">
      <c r="E9296" s="18"/>
      <c r="F9296" s="18"/>
    </row>
    <row r="9297" spans="5:6" ht="15" customHeight="1" x14ac:dyDescent="0.2">
      <c r="E9297" s="18"/>
      <c r="F9297" s="18"/>
    </row>
    <row r="9298" spans="5:6" ht="15" customHeight="1" x14ac:dyDescent="0.2">
      <c r="E9298" s="18"/>
      <c r="F9298" s="18"/>
    </row>
    <row r="9299" spans="5:6" ht="15" customHeight="1" x14ac:dyDescent="0.2">
      <c r="E9299" s="18"/>
      <c r="F9299" s="18"/>
    </row>
    <row r="9300" spans="5:6" ht="15" customHeight="1" x14ac:dyDescent="0.2">
      <c r="E9300" s="18"/>
      <c r="F9300" s="18"/>
    </row>
    <row r="9301" spans="5:6" ht="15" customHeight="1" x14ac:dyDescent="0.2">
      <c r="E9301" s="18"/>
      <c r="F9301" s="18"/>
    </row>
    <row r="9302" spans="5:6" ht="15" customHeight="1" x14ac:dyDescent="0.2">
      <c r="E9302" s="18"/>
      <c r="F9302" s="18"/>
    </row>
    <row r="9303" spans="5:6" ht="15" customHeight="1" x14ac:dyDescent="0.2">
      <c r="E9303" s="18"/>
      <c r="F9303" s="18"/>
    </row>
    <row r="9304" spans="5:6" ht="15" customHeight="1" x14ac:dyDescent="0.2">
      <c r="E9304" s="18"/>
      <c r="F9304" s="18"/>
    </row>
    <row r="9305" spans="5:6" ht="15" customHeight="1" x14ac:dyDescent="0.2">
      <c r="E9305" s="18"/>
      <c r="F9305" s="18"/>
    </row>
    <row r="9306" spans="5:6" ht="15" customHeight="1" x14ac:dyDescent="0.2">
      <c r="E9306" s="18"/>
      <c r="F9306" s="18"/>
    </row>
    <row r="9307" spans="5:6" ht="15" customHeight="1" x14ac:dyDescent="0.2">
      <c r="E9307" s="18"/>
      <c r="F9307" s="18"/>
    </row>
    <row r="9308" spans="5:6" ht="15" customHeight="1" x14ac:dyDescent="0.2">
      <c r="E9308" s="18"/>
      <c r="F9308" s="18"/>
    </row>
    <row r="9309" spans="5:6" ht="15" customHeight="1" x14ac:dyDescent="0.2">
      <c r="E9309" s="18"/>
      <c r="F9309" s="18"/>
    </row>
    <row r="9310" spans="5:6" ht="15" customHeight="1" x14ac:dyDescent="0.2">
      <c r="E9310" s="18"/>
      <c r="F9310" s="18"/>
    </row>
    <row r="9311" spans="5:6" ht="15" customHeight="1" x14ac:dyDescent="0.2">
      <c r="E9311" s="18"/>
      <c r="F9311" s="18"/>
    </row>
    <row r="9312" spans="5:6" ht="15" customHeight="1" x14ac:dyDescent="0.2">
      <c r="E9312" s="18"/>
      <c r="F9312" s="18"/>
    </row>
    <row r="9313" spans="5:6" ht="15" customHeight="1" x14ac:dyDescent="0.2">
      <c r="E9313" s="18"/>
      <c r="F9313" s="18"/>
    </row>
    <row r="9314" spans="5:6" ht="15" customHeight="1" x14ac:dyDescent="0.2">
      <c r="E9314" s="18"/>
      <c r="F9314" s="18"/>
    </row>
    <row r="9315" spans="5:6" ht="15" customHeight="1" x14ac:dyDescent="0.2">
      <c r="E9315" s="18"/>
      <c r="F9315" s="18"/>
    </row>
    <row r="9316" spans="5:6" ht="15" customHeight="1" x14ac:dyDescent="0.2">
      <c r="E9316" s="18"/>
      <c r="F9316" s="18"/>
    </row>
    <row r="9317" spans="5:6" ht="15" customHeight="1" x14ac:dyDescent="0.2">
      <c r="E9317" s="18"/>
      <c r="F9317" s="18"/>
    </row>
    <row r="9318" spans="5:6" ht="15" customHeight="1" x14ac:dyDescent="0.2">
      <c r="E9318" s="18"/>
      <c r="F9318" s="18"/>
    </row>
    <row r="9319" spans="5:6" ht="15" customHeight="1" x14ac:dyDescent="0.2">
      <c r="E9319" s="18"/>
      <c r="F9319" s="18"/>
    </row>
    <row r="9320" spans="5:6" ht="15" customHeight="1" x14ac:dyDescent="0.2">
      <c r="E9320" s="18"/>
      <c r="F9320" s="18"/>
    </row>
    <row r="9321" spans="5:6" ht="15" customHeight="1" x14ac:dyDescent="0.2">
      <c r="E9321" s="18"/>
      <c r="F9321" s="18"/>
    </row>
    <row r="9322" spans="5:6" ht="15" customHeight="1" x14ac:dyDescent="0.2">
      <c r="E9322" s="18"/>
      <c r="F9322" s="18"/>
    </row>
    <row r="9323" spans="5:6" ht="15" customHeight="1" x14ac:dyDescent="0.2">
      <c r="E9323" s="18"/>
      <c r="F9323" s="18"/>
    </row>
    <row r="9324" spans="5:6" ht="15" customHeight="1" x14ac:dyDescent="0.2">
      <c r="E9324" s="18"/>
      <c r="F9324" s="18"/>
    </row>
    <row r="9325" spans="5:6" ht="15" customHeight="1" x14ac:dyDescent="0.2">
      <c r="E9325" s="18"/>
      <c r="F9325" s="18"/>
    </row>
    <row r="9326" spans="5:6" ht="15" customHeight="1" x14ac:dyDescent="0.2">
      <c r="E9326" s="18"/>
      <c r="F9326" s="18"/>
    </row>
    <row r="9327" spans="5:6" ht="15" customHeight="1" x14ac:dyDescent="0.2">
      <c r="E9327" s="18"/>
      <c r="F9327" s="18"/>
    </row>
    <row r="9328" spans="5:6" ht="15" customHeight="1" x14ac:dyDescent="0.2">
      <c r="E9328" s="18"/>
      <c r="F9328" s="18"/>
    </row>
    <row r="9329" spans="5:6" ht="15" customHeight="1" x14ac:dyDescent="0.2">
      <c r="E9329" s="18"/>
      <c r="F9329" s="18"/>
    </row>
    <row r="9330" spans="5:6" ht="15" customHeight="1" x14ac:dyDescent="0.2">
      <c r="E9330" s="18"/>
      <c r="F9330" s="18"/>
    </row>
    <row r="9331" spans="5:6" ht="15" customHeight="1" x14ac:dyDescent="0.2">
      <c r="E9331" s="18"/>
      <c r="F9331" s="18"/>
    </row>
    <row r="9332" spans="5:6" ht="15" customHeight="1" x14ac:dyDescent="0.2">
      <c r="E9332" s="18"/>
      <c r="F9332" s="18"/>
    </row>
    <row r="9333" spans="5:6" ht="15" customHeight="1" x14ac:dyDescent="0.2">
      <c r="E9333" s="18"/>
      <c r="F9333" s="18"/>
    </row>
    <row r="9334" spans="5:6" ht="15" customHeight="1" x14ac:dyDescent="0.2">
      <c r="E9334" s="18"/>
      <c r="F9334" s="18"/>
    </row>
    <row r="9335" spans="5:6" ht="15" customHeight="1" x14ac:dyDescent="0.2">
      <c r="E9335" s="18"/>
      <c r="F9335" s="18"/>
    </row>
    <row r="9336" spans="5:6" ht="15" customHeight="1" x14ac:dyDescent="0.2">
      <c r="E9336" s="18"/>
      <c r="F9336" s="18"/>
    </row>
    <row r="9337" spans="5:6" ht="15" customHeight="1" x14ac:dyDescent="0.2">
      <c r="E9337" s="18"/>
      <c r="F9337" s="18"/>
    </row>
    <row r="9338" spans="5:6" ht="15" customHeight="1" x14ac:dyDescent="0.2">
      <c r="E9338" s="18"/>
      <c r="F9338" s="18"/>
    </row>
    <row r="9339" spans="5:6" ht="15" customHeight="1" x14ac:dyDescent="0.2">
      <c r="E9339" s="18"/>
      <c r="F9339" s="18"/>
    </row>
    <row r="9340" spans="5:6" ht="15" customHeight="1" x14ac:dyDescent="0.2">
      <c r="E9340" s="18"/>
      <c r="F9340" s="18"/>
    </row>
    <row r="9341" spans="5:6" ht="15" customHeight="1" x14ac:dyDescent="0.2">
      <c r="E9341" s="18"/>
      <c r="F9341" s="18"/>
    </row>
    <row r="9342" spans="5:6" ht="15" customHeight="1" x14ac:dyDescent="0.2">
      <c r="E9342" s="18"/>
      <c r="F9342" s="18"/>
    </row>
    <row r="9343" spans="5:6" ht="15" customHeight="1" x14ac:dyDescent="0.2">
      <c r="E9343" s="18"/>
      <c r="F9343" s="18"/>
    </row>
    <row r="9344" spans="5:6" ht="15" customHeight="1" x14ac:dyDescent="0.2">
      <c r="E9344" s="18"/>
      <c r="F9344" s="18"/>
    </row>
    <row r="9345" spans="5:6" ht="15" customHeight="1" x14ac:dyDescent="0.2">
      <c r="E9345" s="18"/>
      <c r="F9345" s="18"/>
    </row>
    <row r="9346" spans="5:6" ht="15" customHeight="1" x14ac:dyDescent="0.2">
      <c r="E9346" s="18"/>
      <c r="F9346" s="18"/>
    </row>
    <row r="9347" spans="5:6" ht="15" customHeight="1" x14ac:dyDescent="0.2">
      <c r="E9347" s="18"/>
      <c r="F9347" s="18"/>
    </row>
    <row r="9348" spans="5:6" ht="15" customHeight="1" x14ac:dyDescent="0.2">
      <c r="E9348" s="18"/>
      <c r="F9348" s="18"/>
    </row>
    <row r="9349" spans="5:6" ht="15" customHeight="1" x14ac:dyDescent="0.2">
      <c r="E9349" s="18"/>
      <c r="F9349" s="18"/>
    </row>
    <row r="9350" spans="5:6" ht="15" customHeight="1" x14ac:dyDescent="0.2">
      <c r="E9350" s="18"/>
      <c r="F9350" s="18"/>
    </row>
    <row r="9351" spans="5:6" ht="15" customHeight="1" x14ac:dyDescent="0.2">
      <c r="E9351" s="18"/>
      <c r="F9351" s="18"/>
    </row>
    <row r="9352" spans="5:6" ht="15" customHeight="1" x14ac:dyDescent="0.2">
      <c r="E9352" s="18"/>
      <c r="F9352" s="18"/>
    </row>
    <row r="9353" spans="5:6" ht="15" customHeight="1" x14ac:dyDescent="0.2">
      <c r="E9353" s="18"/>
      <c r="F9353" s="18"/>
    </row>
    <row r="9354" spans="5:6" ht="15" customHeight="1" x14ac:dyDescent="0.2">
      <c r="E9354" s="18"/>
      <c r="F9354" s="18"/>
    </row>
    <row r="9355" spans="5:6" ht="15" customHeight="1" x14ac:dyDescent="0.2">
      <c r="E9355" s="18"/>
      <c r="F9355" s="18"/>
    </row>
    <row r="9356" spans="5:6" ht="15" customHeight="1" x14ac:dyDescent="0.2">
      <c r="E9356" s="18"/>
      <c r="F9356" s="18"/>
    </row>
    <row r="9357" spans="5:6" ht="15" customHeight="1" x14ac:dyDescent="0.2">
      <c r="E9357" s="18"/>
      <c r="F9357" s="18"/>
    </row>
    <row r="9358" spans="5:6" ht="15" customHeight="1" x14ac:dyDescent="0.2">
      <c r="E9358" s="18"/>
      <c r="F9358" s="18"/>
    </row>
    <row r="9359" spans="5:6" ht="15" customHeight="1" x14ac:dyDescent="0.2">
      <c r="E9359" s="18"/>
      <c r="F9359" s="18"/>
    </row>
    <row r="9360" spans="5:6" ht="15" customHeight="1" x14ac:dyDescent="0.2">
      <c r="E9360" s="18"/>
      <c r="F9360" s="18"/>
    </row>
    <row r="9361" spans="5:6" ht="15" customHeight="1" x14ac:dyDescent="0.2">
      <c r="E9361" s="18"/>
      <c r="F9361" s="18"/>
    </row>
    <row r="9362" spans="5:6" ht="15" customHeight="1" x14ac:dyDescent="0.2">
      <c r="E9362" s="18"/>
      <c r="F9362" s="18"/>
    </row>
    <row r="9363" spans="5:6" ht="15" customHeight="1" x14ac:dyDescent="0.2">
      <c r="E9363" s="18"/>
      <c r="F9363" s="18"/>
    </row>
    <row r="9364" spans="5:6" ht="15" customHeight="1" x14ac:dyDescent="0.2">
      <c r="E9364" s="18"/>
      <c r="F9364" s="18"/>
    </row>
    <row r="9365" spans="5:6" ht="15" customHeight="1" x14ac:dyDescent="0.2">
      <c r="E9365" s="18"/>
      <c r="F9365" s="18"/>
    </row>
    <row r="9366" spans="5:6" ht="15" customHeight="1" x14ac:dyDescent="0.2">
      <c r="E9366" s="18"/>
      <c r="F9366" s="18"/>
    </row>
    <row r="9367" spans="5:6" ht="15" customHeight="1" x14ac:dyDescent="0.2">
      <c r="E9367" s="18"/>
      <c r="F9367" s="18"/>
    </row>
    <row r="9368" spans="5:6" ht="15" customHeight="1" x14ac:dyDescent="0.2">
      <c r="E9368" s="18"/>
      <c r="F9368" s="18"/>
    </row>
    <row r="9369" spans="5:6" ht="15" customHeight="1" x14ac:dyDescent="0.2">
      <c r="E9369" s="18"/>
      <c r="F9369" s="18"/>
    </row>
    <row r="9370" spans="5:6" ht="15" customHeight="1" x14ac:dyDescent="0.2">
      <c r="E9370" s="18"/>
      <c r="F9370" s="18"/>
    </row>
    <row r="9371" spans="5:6" ht="15" customHeight="1" x14ac:dyDescent="0.2">
      <c r="E9371" s="18"/>
      <c r="F9371" s="18"/>
    </row>
    <row r="9372" spans="5:6" ht="15" customHeight="1" x14ac:dyDescent="0.2">
      <c r="E9372" s="18"/>
      <c r="F9372" s="18"/>
    </row>
    <row r="9373" spans="5:6" ht="15" customHeight="1" x14ac:dyDescent="0.2">
      <c r="E9373" s="18"/>
      <c r="F9373" s="18"/>
    </row>
    <row r="9374" spans="5:6" ht="15" customHeight="1" x14ac:dyDescent="0.2">
      <c r="E9374" s="18"/>
      <c r="F9374" s="18"/>
    </row>
    <row r="9375" spans="5:6" ht="15" customHeight="1" x14ac:dyDescent="0.2">
      <c r="E9375" s="18"/>
      <c r="F9375" s="18"/>
    </row>
    <row r="9376" spans="5:6" ht="15" customHeight="1" x14ac:dyDescent="0.2">
      <c r="E9376" s="18"/>
      <c r="F9376" s="18"/>
    </row>
    <row r="9377" spans="5:6" ht="15" customHeight="1" x14ac:dyDescent="0.2">
      <c r="E9377" s="18"/>
      <c r="F9377" s="18"/>
    </row>
    <row r="9378" spans="5:6" ht="15" customHeight="1" x14ac:dyDescent="0.2">
      <c r="E9378" s="18"/>
      <c r="F9378" s="18"/>
    </row>
    <row r="9379" spans="5:6" ht="15" customHeight="1" x14ac:dyDescent="0.2">
      <c r="E9379" s="18"/>
      <c r="F9379" s="18"/>
    </row>
    <row r="9380" spans="5:6" ht="15" customHeight="1" x14ac:dyDescent="0.2">
      <c r="E9380" s="18"/>
      <c r="F9380" s="18"/>
    </row>
    <row r="9381" spans="5:6" ht="15" customHeight="1" x14ac:dyDescent="0.2">
      <c r="E9381" s="18"/>
      <c r="F9381" s="18"/>
    </row>
    <row r="9382" spans="5:6" ht="15" customHeight="1" x14ac:dyDescent="0.2">
      <c r="E9382" s="18"/>
      <c r="F9382" s="18"/>
    </row>
    <row r="9383" spans="5:6" ht="15" customHeight="1" x14ac:dyDescent="0.2">
      <c r="E9383" s="18"/>
      <c r="F9383" s="18"/>
    </row>
    <row r="9384" spans="5:6" ht="15" customHeight="1" x14ac:dyDescent="0.2">
      <c r="E9384" s="18"/>
      <c r="F9384" s="18"/>
    </row>
    <row r="9385" spans="5:6" ht="15" customHeight="1" x14ac:dyDescent="0.2">
      <c r="E9385" s="18"/>
      <c r="F9385" s="18"/>
    </row>
    <row r="9386" spans="5:6" ht="15" customHeight="1" x14ac:dyDescent="0.2">
      <c r="E9386" s="18"/>
      <c r="F9386" s="18"/>
    </row>
    <row r="9387" spans="5:6" ht="15" customHeight="1" x14ac:dyDescent="0.2">
      <c r="E9387" s="18"/>
      <c r="F9387" s="18"/>
    </row>
    <row r="9388" spans="5:6" ht="15" customHeight="1" x14ac:dyDescent="0.2">
      <c r="E9388" s="18"/>
      <c r="F9388" s="18"/>
    </row>
    <row r="9389" spans="5:6" ht="15" customHeight="1" x14ac:dyDescent="0.2">
      <c r="E9389" s="18"/>
      <c r="F9389" s="18"/>
    </row>
    <row r="9390" spans="5:6" ht="15" customHeight="1" x14ac:dyDescent="0.2">
      <c r="E9390" s="18"/>
      <c r="F9390" s="18"/>
    </row>
    <row r="9391" spans="5:6" ht="15" customHeight="1" x14ac:dyDescent="0.2">
      <c r="E9391" s="18"/>
      <c r="F9391" s="18"/>
    </row>
    <row r="9392" spans="5:6" ht="15" customHeight="1" x14ac:dyDescent="0.2">
      <c r="E9392" s="18"/>
      <c r="F9392" s="18"/>
    </row>
    <row r="9393" spans="5:6" ht="15" customHeight="1" x14ac:dyDescent="0.2">
      <c r="E9393" s="18"/>
      <c r="F9393" s="18"/>
    </row>
    <row r="9394" spans="5:6" ht="15" customHeight="1" x14ac:dyDescent="0.2">
      <c r="E9394" s="18"/>
      <c r="F9394" s="18"/>
    </row>
    <row r="9395" spans="5:6" ht="15" customHeight="1" x14ac:dyDescent="0.2">
      <c r="E9395" s="18"/>
      <c r="F9395" s="18"/>
    </row>
    <row r="9396" spans="5:6" ht="15" customHeight="1" x14ac:dyDescent="0.2">
      <c r="E9396" s="18"/>
      <c r="F9396" s="18"/>
    </row>
    <row r="9397" spans="5:6" ht="15" customHeight="1" x14ac:dyDescent="0.2">
      <c r="E9397" s="18"/>
      <c r="F9397" s="18"/>
    </row>
    <row r="9398" spans="5:6" ht="15" customHeight="1" x14ac:dyDescent="0.2">
      <c r="E9398" s="18"/>
      <c r="F9398" s="18"/>
    </row>
    <row r="9399" spans="5:6" ht="15" customHeight="1" x14ac:dyDescent="0.2">
      <c r="E9399" s="18"/>
      <c r="F9399" s="18"/>
    </row>
    <row r="9400" spans="5:6" ht="15" customHeight="1" x14ac:dyDescent="0.2">
      <c r="E9400" s="18"/>
      <c r="F9400" s="18"/>
    </row>
    <row r="9401" spans="5:6" ht="15" customHeight="1" x14ac:dyDescent="0.2">
      <c r="E9401" s="18"/>
      <c r="F9401" s="18"/>
    </row>
    <row r="9402" spans="5:6" ht="15" customHeight="1" x14ac:dyDescent="0.2">
      <c r="E9402" s="18"/>
      <c r="F9402" s="18"/>
    </row>
    <row r="9403" spans="5:6" ht="15" customHeight="1" x14ac:dyDescent="0.2">
      <c r="E9403" s="18"/>
      <c r="F9403" s="18"/>
    </row>
    <row r="9404" spans="5:6" ht="15" customHeight="1" x14ac:dyDescent="0.2">
      <c r="E9404" s="18"/>
      <c r="F9404" s="18"/>
    </row>
    <row r="9405" spans="5:6" ht="15" customHeight="1" x14ac:dyDescent="0.2">
      <c r="E9405" s="18"/>
      <c r="F9405" s="18"/>
    </row>
    <row r="9406" spans="5:6" ht="15" customHeight="1" x14ac:dyDescent="0.2">
      <c r="E9406" s="18"/>
      <c r="F9406" s="18"/>
    </row>
    <row r="9407" spans="5:6" ht="15" customHeight="1" x14ac:dyDescent="0.2">
      <c r="E9407" s="18"/>
      <c r="F9407" s="18"/>
    </row>
    <row r="9408" spans="5:6" ht="15" customHeight="1" x14ac:dyDescent="0.2">
      <c r="E9408" s="18"/>
      <c r="F9408" s="18"/>
    </row>
    <row r="9409" spans="5:6" ht="15" customHeight="1" x14ac:dyDescent="0.2">
      <c r="E9409" s="18"/>
      <c r="F9409" s="18"/>
    </row>
    <row r="9410" spans="5:6" ht="15" customHeight="1" x14ac:dyDescent="0.2">
      <c r="E9410" s="18"/>
      <c r="F9410" s="18"/>
    </row>
    <row r="9411" spans="5:6" ht="15" customHeight="1" x14ac:dyDescent="0.2">
      <c r="E9411" s="18"/>
      <c r="F9411" s="18"/>
    </row>
    <row r="9412" spans="5:6" ht="15" customHeight="1" x14ac:dyDescent="0.2">
      <c r="E9412" s="18"/>
      <c r="F9412" s="18"/>
    </row>
    <row r="9413" spans="5:6" ht="15" customHeight="1" x14ac:dyDescent="0.2">
      <c r="E9413" s="18"/>
      <c r="F9413" s="18"/>
    </row>
    <row r="9414" spans="5:6" ht="15" customHeight="1" x14ac:dyDescent="0.2">
      <c r="E9414" s="18"/>
      <c r="F9414" s="18"/>
    </row>
    <row r="9415" spans="5:6" ht="15" customHeight="1" x14ac:dyDescent="0.2">
      <c r="E9415" s="18"/>
      <c r="F9415" s="18"/>
    </row>
    <row r="9416" spans="5:6" ht="15" customHeight="1" x14ac:dyDescent="0.2">
      <c r="E9416" s="18"/>
      <c r="F9416" s="18"/>
    </row>
    <row r="9417" spans="5:6" ht="15" customHeight="1" x14ac:dyDescent="0.2">
      <c r="E9417" s="18"/>
      <c r="F9417" s="18"/>
    </row>
    <row r="9418" spans="5:6" ht="15" customHeight="1" x14ac:dyDescent="0.2">
      <c r="E9418" s="18"/>
      <c r="F9418" s="18"/>
    </row>
    <row r="9419" spans="5:6" ht="15" customHeight="1" x14ac:dyDescent="0.2">
      <c r="E9419" s="18"/>
      <c r="F9419" s="18"/>
    </row>
    <row r="9420" spans="5:6" ht="15" customHeight="1" x14ac:dyDescent="0.2">
      <c r="E9420" s="18"/>
      <c r="F9420" s="18"/>
    </row>
    <row r="9421" spans="5:6" ht="15" customHeight="1" x14ac:dyDescent="0.2">
      <c r="E9421" s="18"/>
      <c r="F9421" s="18"/>
    </row>
    <row r="9422" spans="5:6" ht="15" customHeight="1" x14ac:dyDescent="0.2">
      <c r="E9422" s="18"/>
      <c r="F9422" s="18"/>
    </row>
    <row r="9423" spans="5:6" ht="15" customHeight="1" x14ac:dyDescent="0.2">
      <c r="E9423" s="18"/>
      <c r="F9423" s="18"/>
    </row>
    <row r="9424" spans="5:6" ht="15" customHeight="1" x14ac:dyDescent="0.2">
      <c r="E9424" s="18"/>
      <c r="F9424" s="18"/>
    </row>
    <row r="9425" spans="5:6" ht="15" customHeight="1" x14ac:dyDescent="0.2">
      <c r="E9425" s="18"/>
      <c r="F9425" s="18"/>
    </row>
    <row r="9426" spans="5:6" ht="15" customHeight="1" x14ac:dyDescent="0.2">
      <c r="E9426" s="18"/>
      <c r="F9426" s="18"/>
    </row>
    <row r="9427" spans="5:6" ht="15" customHeight="1" x14ac:dyDescent="0.2">
      <c r="E9427" s="18"/>
      <c r="F9427" s="18"/>
    </row>
    <row r="9428" spans="5:6" ht="15" customHeight="1" x14ac:dyDescent="0.2">
      <c r="E9428" s="18"/>
      <c r="F9428" s="18"/>
    </row>
    <row r="9429" spans="5:6" ht="15" customHeight="1" x14ac:dyDescent="0.2">
      <c r="E9429" s="18"/>
      <c r="F9429" s="18"/>
    </row>
    <row r="9430" spans="5:6" ht="15" customHeight="1" x14ac:dyDescent="0.2">
      <c r="E9430" s="18"/>
      <c r="F9430" s="18"/>
    </row>
    <row r="9431" spans="5:6" ht="15" customHeight="1" x14ac:dyDescent="0.2">
      <c r="E9431" s="18"/>
      <c r="F9431" s="18"/>
    </row>
    <row r="9432" spans="5:6" ht="15" customHeight="1" x14ac:dyDescent="0.2">
      <c r="E9432" s="18"/>
      <c r="F9432" s="18"/>
    </row>
    <row r="9433" spans="5:6" ht="15" customHeight="1" x14ac:dyDescent="0.2">
      <c r="E9433" s="18"/>
      <c r="F9433" s="18"/>
    </row>
    <row r="9434" spans="5:6" ht="15" customHeight="1" x14ac:dyDescent="0.2">
      <c r="E9434" s="18"/>
      <c r="F9434" s="18"/>
    </row>
    <row r="9435" spans="5:6" ht="15" customHeight="1" x14ac:dyDescent="0.2">
      <c r="E9435" s="18"/>
      <c r="F9435" s="18"/>
    </row>
    <row r="9436" spans="5:6" ht="15" customHeight="1" x14ac:dyDescent="0.2">
      <c r="E9436" s="18"/>
      <c r="F9436" s="18"/>
    </row>
    <row r="9437" spans="5:6" ht="15" customHeight="1" x14ac:dyDescent="0.2">
      <c r="E9437" s="18"/>
      <c r="F9437" s="18"/>
    </row>
    <row r="9438" spans="5:6" ht="15" customHeight="1" x14ac:dyDescent="0.2">
      <c r="E9438" s="18"/>
      <c r="F9438" s="18"/>
    </row>
    <row r="9439" spans="5:6" ht="15" customHeight="1" x14ac:dyDescent="0.2">
      <c r="E9439" s="18"/>
      <c r="F9439" s="18"/>
    </row>
    <row r="9440" spans="5:6" ht="15" customHeight="1" x14ac:dyDescent="0.2">
      <c r="E9440" s="18"/>
      <c r="F9440" s="18"/>
    </row>
    <row r="9441" spans="5:6" ht="15" customHeight="1" x14ac:dyDescent="0.2">
      <c r="E9441" s="18"/>
      <c r="F9441" s="18"/>
    </row>
    <row r="9442" spans="5:6" ht="15" customHeight="1" x14ac:dyDescent="0.2">
      <c r="E9442" s="18"/>
      <c r="F9442" s="18"/>
    </row>
    <row r="9443" spans="5:6" ht="15" customHeight="1" x14ac:dyDescent="0.2">
      <c r="E9443" s="18"/>
      <c r="F9443" s="18"/>
    </row>
    <row r="9444" spans="5:6" ht="15" customHeight="1" x14ac:dyDescent="0.2">
      <c r="E9444" s="18"/>
      <c r="F9444" s="18"/>
    </row>
    <row r="9445" spans="5:6" ht="15" customHeight="1" x14ac:dyDescent="0.2">
      <c r="E9445" s="18"/>
      <c r="F9445" s="18"/>
    </row>
    <row r="9446" spans="5:6" ht="15" customHeight="1" x14ac:dyDescent="0.2">
      <c r="E9446" s="18"/>
      <c r="F9446" s="18"/>
    </row>
    <row r="9447" spans="5:6" ht="15" customHeight="1" x14ac:dyDescent="0.2">
      <c r="E9447" s="18"/>
      <c r="F9447" s="18"/>
    </row>
    <row r="9448" spans="5:6" ht="15" customHeight="1" x14ac:dyDescent="0.2">
      <c r="E9448" s="18"/>
      <c r="F9448" s="18"/>
    </row>
    <row r="9449" spans="5:6" ht="15" customHeight="1" x14ac:dyDescent="0.2">
      <c r="E9449" s="18"/>
      <c r="F9449" s="18"/>
    </row>
    <row r="9450" spans="5:6" ht="15" customHeight="1" x14ac:dyDescent="0.2">
      <c r="E9450" s="18"/>
      <c r="F9450" s="18"/>
    </row>
    <row r="9451" spans="5:6" ht="15" customHeight="1" x14ac:dyDescent="0.2">
      <c r="E9451" s="18"/>
      <c r="F9451" s="18"/>
    </row>
    <row r="9452" spans="5:6" ht="15" customHeight="1" x14ac:dyDescent="0.2">
      <c r="E9452" s="18"/>
      <c r="F9452" s="18"/>
    </row>
    <row r="9453" spans="5:6" ht="15" customHeight="1" x14ac:dyDescent="0.2">
      <c r="E9453" s="18"/>
      <c r="F9453" s="18"/>
    </row>
    <row r="9454" spans="5:6" ht="15" customHeight="1" x14ac:dyDescent="0.2">
      <c r="E9454" s="18"/>
      <c r="F9454" s="18"/>
    </row>
    <row r="9455" spans="5:6" ht="15" customHeight="1" x14ac:dyDescent="0.2">
      <c r="E9455" s="18"/>
      <c r="F9455" s="18"/>
    </row>
    <row r="9456" spans="5:6" ht="15" customHeight="1" x14ac:dyDescent="0.2">
      <c r="E9456" s="18"/>
      <c r="F9456" s="18"/>
    </row>
    <row r="9457" spans="5:6" ht="15" customHeight="1" x14ac:dyDescent="0.2">
      <c r="E9457" s="18"/>
      <c r="F9457" s="18"/>
    </row>
    <row r="9458" spans="5:6" ht="15" customHeight="1" x14ac:dyDescent="0.2">
      <c r="E9458" s="18"/>
      <c r="F9458" s="18"/>
    </row>
    <row r="9459" spans="5:6" ht="15" customHeight="1" x14ac:dyDescent="0.2">
      <c r="E9459" s="18"/>
      <c r="F9459" s="18"/>
    </row>
    <row r="9460" spans="5:6" ht="15" customHeight="1" x14ac:dyDescent="0.2">
      <c r="E9460" s="18"/>
      <c r="F9460" s="18"/>
    </row>
    <row r="9461" spans="5:6" ht="15" customHeight="1" x14ac:dyDescent="0.2">
      <c r="E9461" s="18"/>
      <c r="F9461" s="18"/>
    </row>
    <row r="9462" spans="5:6" ht="15" customHeight="1" x14ac:dyDescent="0.2">
      <c r="E9462" s="18"/>
      <c r="F9462" s="18"/>
    </row>
    <row r="9463" spans="5:6" ht="15" customHeight="1" x14ac:dyDescent="0.2">
      <c r="E9463" s="18"/>
      <c r="F9463" s="18"/>
    </row>
    <row r="9464" spans="5:6" ht="15" customHeight="1" x14ac:dyDescent="0.2">
      <c r="E9464" s="18"/>
      <c r="F9464" s="18"/>
    </row>
    <row r="9465" spans="5:6" ht="15" customHeight="1" x14ac:dyDescent="0.2">
      <c r="E9465" s="18"/>
      <c r="F9465" s="18"/>
    </row>
    <row r="9466" spans="5:6" ht="15" customHeight="1" x14ac:dyDescent="0.2">
      <c r="E9466" s="18"/>
      <c r="F9466" s="18"/>
    </row>
    <row r="9467" spans="5:6" ht="15" customHeight="1" x14ac:dyDescent="0.2">
      <c r="E9467" s="18"/>
      <c r="F9467" s="18"/>
    </row>
    <row r="9468" spans="5:6" ht="15" customHeight="1" x14ac:dyDescent="0.2">
      <c r="E9468" s="18"/>
      <c r="F9468" s="18"/>
    </row>
    <row r="9469" spans="5:6" ht="15" customHeight="1" x14ac:dyDescent="0.2">
      <c r="E9469" s="18"/>
      <c r="F9469" s="18"/>
    </row>
    <row r="9470" spans="5:6" ht="15" customHeight="1" x14ac:dyDescent="0.2">
      <c r="E9470" s="18"/>
      <c r="F9470" s="18"/>
    </row>
    <row r="9471" spans="5:6" ht="15" customHeight="1" x14ac:dyDescent="0.2">
      <c r="E9471" s="18"/>
      <c r="F9471" s="18"/>
    </row>
    <row r="9472" spans="5:6" ht="15" customHeight="1" x14ac:dyDescent="0.2">
      <c r="E9472" s="18"/>
      <c r="F9472" s="18"/>
    </row>
    <row r="9473" spans="5:6" ht="15" customHeight="1" x14ac:dyDescent="0.2">
      <c r="E9473" s="18"/>
      <c r="F9473" s="18"/>
    </row>
    <row r="9474" spans="5:6" ht="15" customHeight="1" x14ac:dyDescent="0.2">
      <c r="E9474" s="18"/>
      <c r="F9474" s="18"/>
    </row>
    <row r="9475" spans="5:6" ht="15" customHeight="1" x14ac:dyDescent="0.2">
      <c r="E9475" s="18"/>
      <c r="F9475" s="18"/>
    </row>
    <row r="9476" spans="5:6" ht="15" customHeight="1" x14ac:dyDescent="0.2">
      <c r="E9476" s="18"/>
      <c r="F9476" s="18"/>
    </row>
    <row r="9477" spans="5:6" ht="15" customHeight="1" x14ac:dyDescent="0.2">
      <c r="E9477" s="18"/>
      <c r="F9477" s="18"/>
    </row>
    <row r="9478" spans="5:6" ht="15" customHeight="1" x14ac:dyDescent="0.2">
      <c r="E9478" s="18"/>
      <c r="F9478" s="18"/>
    </row>
    <row r="9479" spans="5:6" ht="15" customHeight="1" x14ac:dyDescent="0.2">
      <c r="E9479" s="18"/>
      <c r="F9479" s="18"/>
    </row>
    <row r="9480" spans="5:6" ht="15" customHeight="1" x14ac:dyDescent="0.2">
      <c r="E9480" s="18"/>
      <c r="F9480" s="18"/>
    </row>
    <row r="9481" spans="5:6" ht="15" customHeight="1" x14ac:dyDescent="0.2">
      <c r="E9481" s="18"/>
      <c r="F9481" s="18"/>
    </row>
    <row r="9482" spans="5:6" ht="15" customHeight="1" x14ac:dyDescent="0.2">
      <c r="E9482" s="18"/>
      <c r="F9482" s="18"/>
    </row>
    <row r="9483" spans="5:6" ht="15" customHeight="1" x14ac:dyDescent="0.2">
      <c r="E9483" s="18"/>
      <c r="F9483" s="18"/>
    </row>
    <row r="9484" spans="5:6" ht="15" customHeight="1" x14ac:dyDescent="0.2">
      <c r="E9484" s="18"/>
      <c r="F9484" s="18"/>
    </row>
    <row r="9485" spans="5:6" ht="15" customHeight="1" x14ac:dyDescent="0.2">
      <c r="E9485" s="18"/>
      <c r="F9485" s="18"/>
    </row>
    <row r="9486" spans="5:6" ht="15" customHeight="1" x14ac:dyDescent="0.2">
      <c r="E9486" s="18"/>
      <c r="F9486" s="18"/>
    </row>
    <row r="9487" spans="5:6" ht="15" customHeight="1" x14ac:dyDescent="0.2">
      <c r="E9487" s="18"/>
      <c r="F9487" s="18"/>
    </row>
    <row r="9488" spans="5:6" ht="15" customHeight="1" x14ac:dyDescent="0.2">
      <c r="E9488" s="18"/>
      <c r="F9488" s="18"/>
    </row>
    <row r="9489" spans="5:6" ht="15" customHeight="1" x14ac:dyDescent="0.2">
      <c r="E9489" s="18"/>
      <c r="F9489" s="18"/>
    </row>
    <row r="9490" spans="5:6" ht="15" customHeight="1" x14ac:dyDescent="0.2">
      <c r="E9490" s="18"/>
      <c r="F9490" s="18"/>
    </row>
    <row r="9491" spans="5:6" ht="15" customHeight="1" x14ac:dyDescent="0.2">
      <c r="E9491" s="18"/>
      <c r="F9491" s="18"/>
    </row>
    <row r="9492" spans="5:6" ht="15" customHeight="1" x14ac:dyDescent="0.2">
      <c r="E9492" s="18"/>
      <c r="F9492" s="18"/>
    </row>
    <row r="9493" spans="5:6" ht="15" customHeight="1" x14ac:dyDescent="0.2">
      <c r="E9493" s="18"/>
      <c r="F9493" s="18"/>
    </row>
    <row r="9494" spans="5:6" ht="15" customHeight="1" x14ac:dyDescent="0.2">
      <c r="E9494" s="18"/>
      <c r="F9494" s="18"/>
    </row>
    <row r="9495" spans="5:6" ht="15" customHeight="1" x14ac:dyDescent="0.2">
      <c r="E9495" s="18"/>
      <c r="F9495" s="18"/>
    </row>
    <row r="9496" spans="5:6" ht="15" customHeight="1" x14ac:dyDescent="0.2">
      <c r="E9496" s="18"/>
      <c r="F9496" s="18"/>
    </row>
    <row r="9497" spans="5:6" ht="15" customHeight="1" x14ac:dyDescent="0.2">
      <c r="E9497" s="18"/>
      <c r="F9497" s="18"/>
    </row>
    <row r="9498" spans="5:6" ht="15" customHeight="1" x14ac:dyDescent="0.2">
      <c r="E9498" s="18"/>
      <c r="F9498" s="18"/>
    </row>
    <row r="9499" spans="5:6" ht="15" customHeight="1" x14ac:dyDescent="0.2">
      <c r="E9499" s="18"/>
      <c r="F9499" s="18"/>
    </row>
    <row r="9500" spans="5:6" ht="15" customHeight="1" x14ac:dyDescent="0.2">
      <c r="E9500" s="18"/>
      <c r="F9500" s="18"/>
    </row>
    <row r="9501" spans="5:6" ht="15" customHeight="1" x14ac:dyDescent="0.2">
      <c r="E9501" s="18"/>
      <c r="F9501" s="18"/>
    </row>
    <row r="9502" spans="5:6" ht="15" customHeight="1" x14ac:dyDescent="0.2">
      <c r="E9502" s="18"/>
      <c r="F9502" s="18"/>
    </row>
    <row r="9503" spans="5:6" ht="15" customHeight="1" x14ac:dyDescent="0.2">
      <c r="E9503" s="18"/>
      <c r="F9503" s="18"/>
    </row>
    <row r="9504" spans="5:6" ht="15" customHeight="1" x14ac:dyDescent="0.2">
      <c r="E9504" s="18"/>
      <c r="F9504" s="18"/>
    </row>
    <row r="9505" spans="5:6" ht="15" customHeight="1" x14ac:dyDescent="0.2">
      <c r="E9505" s="18"/>
      <c r="F9505" s="18"/>
    </row>
    <row r="9506" spans="5:6" ht="15" customHeight="1" x14ac:dyDescent="0.2">
      <c r="E9506" s="18"/>
      <c r="F9506" s="18"/>
    </row>
    <row r="9507" spans="5:6" ht="15" customHeight="1" x14ac:dyDescent="0.2">
      <c r="E9507" s="18"/>
      <c r="F9507" s="18"/>
    </row>
    <row r="9508" spans="5:6" ht="15" customHeight="1" x14ac:dyDescent="0.2">
      <c r="E9508" s="18"/>
      <c r="F9508" s="18"/>
    </row>
    <row r="9509" spans="5:6" ht="15" customHeight="1" x14ac:dyDescent="0.2">
      <c r="E9509" s="18"/>
      <c r="F9509" s="18"/>
    </row>
    <row r="9510" spans="5:6" ht="15" customHeight="1" x14ac:dyDescent="0.2">
      <c r="E9510" s="18"/>
      <c r="F9510" s="18"/>
    </row>
    <row r="9511" spans="5:6" ht="15" customHeight="1" x14ac:dyDescent="0.2">
      <c r="E9511" s="18"/>
      <c r="F9511" s="18"/>
    </row>
    <row r="9512" spans="5:6" ht="15" customHeight="1" x14ac:dyDescent="0.2">
      <c r="E9512" s="18"/>
      <c r="F9512" s="18"/>
    </row>
    <row r="9513" spans="5:6" ht="15" customHeight="1" x14ac:dyDescent="0.2">
      <c r="E9513" s="18"/>
      <c r="F9513" s="18"/>
    </row>
    <row r="9514" spans="5:6" ht="15" customHeight="1" x14ac:dyDescent="0.2">
      <c r="E9514" s="18"/>
      <c r="F9514" s="18"/>
    </row>
    <row r="9515" spans="5:6" ht="15" customHeight="1" x14ac:dyDescent="0.2">
      <c r="E9515" s="18"/>
      <c r="F9515" s="18"/>
    </row>
    <row r="9516" spans="5:6" ht="15" customHeight="1" x14ac:dyDescent="0.2">
      <c r="E9516" s="18"/>
      <c r="F9516" s="18"/>
    </row>
    <row r="9517" spans="5:6" ht="15" customHeight="1" x14ac:dyDescent="0.2">
      <c r="E9517" s="18"/>
      <c r="F9517" s="18"/>
    </row>
    <row r="9518" spans="5:6" ht="15" customHeight="1" x14ac:dyDescent="0.2">
      <c r="E9518" s="18"/>
      <c r="F9518" s="18"/>
    </row>
    <row r="9519" spans="5:6" ht="15" customHeight="1" x14ac:dyDescent="0.2">
      <c r="E9519" s="18"/>
      <c r="F9519" s="18"/>
    </row>
    <row r="9520" spans="5:6" ht="15" customHeight="1" x14ac:dyDescent="0.2">
      <c r="E9520" s="18"/>
      <c r="F9520" s="18"/>
    </row>
    <row r="9521" spans="5:6" ht="15" customHeight="1" x14ac:dyDescent="0.2">
      <c r="E9521" s="18"/>
      <c r="F9521" s="18"/>
    </row>
    <row r="9522" spans="5:6" ht="15" customHeight="1" x14ac:dyDescent="0.2">
      <c r="E9522" s="18"/>
      <c r="F9522" s="18"/>
    </row>
    <row r="9523" spans="5:6" ht="15" customHeight="1" x14ac:dyDescent="0.2">
      <c r="E9523" s="18"/>
      <c r="F9523" s="18"/>
    </row>
    <row r="9524" spans="5:6" ht="15" customHeight="1" x14ac:dyDescent="0.2">
      <c r="E9524" s="18"/>
      <c r="F9524" s="18"/>
    </row>
    <row r="9525" spans="5:6" ht="15" customHeight="1" x14ac:dyDescent="0.2">
      <c r="E9525" s="18"/>
      <c r="F9525" s="18"/>
    </row>
    <row r="9526" spans="5:6" ht="15" customHeight="1" x14ac:dyDescent="0.2">
      <c r="E9526" s="18"/>
      <c r="F9526" s="18"/>
    </row>
    <row r="9527" spans="5:6" ht="15" customHeight="1" x14ac:dyDescent="0.2">
      <c r="E9527" s="18"/>
      <c r="F9527" s="18"/>
    </row>
    <row r="9528" spans="5:6" ht="15" customHeight="1" x14ac:dyDescent="0.2">
      <c r="E9528" s="18"/>
      <c r="F9528" s="18"/>
    </row>
    <row r="9529" spans="5:6" ht="15" customHeight="1" x14ac:dyDescent="0.2">
      <c r="E9529" s="18"/>
      <c r="F9529" s="18"/>
    </row>
    <row r="9530" spans="5:6" ht="15" customHeight="1" x14ac:dyDescent="0.2">
      <c r="E9530" s="18"/>
      <c r="F9530" s="18"/>
    </row>
    <row r="9531" spans="5:6" ht="15" customHeight="1" x14ac:dyDescent="0.2">
      <c r="E9531" s="18"/>
      <c r="F9531" s="18"/>
    </row>
    <row r="9532" spans="5:6" ht="15" customHeight="1" x14ac:dyDescent="0.2">
      <c r="E9532" s="18"/>
      <c r="F9532" s="18"/>
    </row>
    <row r="9533" spans="5:6" ht="15" customHeight="1" x14ac:dyDescent="0.2">
      <c r="E9533" s="18"/>
      <c r="F9533" s="18"/>
    </row>
    <row r="9534" spans="5:6" ht="15" customHeight="1" x14ac:dyDescent="0.2">
      <c r="E9534" s="18"/>
      <c r="F9534" s="18"/>
    </row>
    <row r="9535" spans="5:6" ht="15" customHeight="1" x14ac:dyDescent="0.2">
      <c r="E9535" s="18"/>
      <c r="F9535" s="18"/>
    </row>
    <row r="9536" spans="5:6" ht="15" customHeight="1" x14ac:dyDescent="0.2">
      <c r="E9536" s="18"/>
      <c r="F9536" s="18"/>
    </row>
    <row r="9537" spans="5:6" ht="15" customHeight="1" x14ac:dyDescent="0.2">
      <c r="E9537" s="18"/>
      <c r="F9537" s="18"/>
    </row>
    <row r="9538" spans="5:6" ht="15" customHeight="1" x14ac:dyDescent="0.2">
      <c r="E9538" s="18"/>
      <c r="F9538" s="18"/>
    </row>
    <row r="9539" spans="5:6" ht="15" customHeight="1" x14ac:dyDescent="0.2">
      <c r="E9539" s="18"/>
      <c r="F9539" s="18"/>
    </row>
    <row r="9540" spans="5:6" ht="15" customHeight="1" x14ac:dyDescent="0.2">
      <c r="E9540" s="18"/>
      <c r="F9540" s="18"/>
    </row>
    <row r="9541" spans="5:6" ht="15" customHeight="1" x14ac:dyDescent="0.2">
      <c r="E9541" s="18"/>
      <c r="F9541" s="18"/>
    </row>
    <row r="9542" spans="5:6" ht="15" customHeight="1" x14ac:dyDescent="0.2">
      <c r="E9542" s="18"/>
      <c r="F9542" s="18"/>
    </row>
    <row r="9543" spans="5:6" ht="15" customHeight="1" x14ac:dyDescent="0.2">
      <c r="E9543" s="18"/>
      <c r="F9543" s="18"/>
    </row>
    <row r="9544" spans="5:6" ht="15" customHeight="1" x14ac:dyDescent="0.2">
      <c r="E9544" s="18"/>
      <c r="F9544" s="18"/>
    </row>
    <row r="9545" spans="5:6" ht="15" customHeight="1" x14ac:dyDescent="0.2">
      <c r="E9545" s="18"/>
      <c r="F9545" s="18"/>
    </row>
    <row r="9546" spans="5:6" ht="15" customHeight="1" x14ac:dyDescent="0.2">
      <c r="E9546" s="18"/>
      <c r="F9546" s="18"/>
    </row>
    <row r="9547" spans="5:6" ht="15" customHeight="1" x14ac:dyDescent="0.2">
      <c r="E9547" s="18"/>
      <c r="F9547" s="18"/>
    </row>
    <row r="9548" spans="5:6" ht="15" customHeight="1" x14ac:dyDescent="0.2">
      <c r="E9548" s="18"/>
      <c r="F9548" s="18"/>
    </row>
    <row r="9549" spans="5:6" ht="15" customHeight="1" x14ac:dyDescent="0.2">
      <c r="E9549" s="18"/>
      <c r="F9549" s="18"/>
    </row>
    <row r="9550" spans="5:6" ht="15" customHeight="1" x14ac:dyDescent="0.2">
      <c r="E9550" s="18"/>
      <c r="F9550" s="18"/>
    </row>
    <row r="9551" spans="5:6" ht="15" customHeight="1" x14ac:dyDescent="0.2">
      <c r="E9551" s="18"/>
      <c r="F9551" s="18"/>
    </row>
    <row r="9552" spans="5:6" ht="15" customHeight="1" x14ac:dyDescent="0.2">
      <c r="E9552" s="18"/>
      <c r="F9552" s="18"/>
    </row>
    <row r="9553" spans="5:6" ht="15" customHeight="1" x14ac:dyDescent="0.2">
      <c r="E9553" s="18"/>
      <c r="F9553" s="18"/>
    </row>
    <row r="9554" spans="5:6" ht="15" customHeight="1" x14ac:dyDescent="0.2">
      <c r="E9554" s="18"/>
      <c r="F9554" s="18"/>
    </row>
    <row r="9555" spans="5:6" ht="15" customHeight="1" x14ac:dyDescent="0.2">
      <c r="E9555" s="18"/>
      <c r="F9555" s="18"/>
    </row>
    <row r="9556" spans="5:6" ht="15" customHeight="1" x14ac:dyDescent="0.2">
      <c r="E9556" s="18"/>
      <c r="F9556" s="18"/>
    </row>
    <row r="9557" spans="5:6" ht="15" customHeight="1" x14ac:dyDescent="0.2">
      <c r="E9557" s="18"/>
      <c r="F9557" s="18"/>
    </row>
    <row r="9558" spans="5:6" ht="15" customHeight="1" x14ac:dyDescent="0.2">
      <c r="E9558" s="18"/>
      <c r="F9558" s="18"/>
    </row>
    <row r="9559" spans="5:6" ht="15" customHeight="1" x14ac:dyDescent="0.2">
      <c r="E9559" s="18"/>
      <c r="F9559" s="18"/>
    </row>
    <row r="9560" spans="5:6" ht="15" customHeight="1" x14ac:dyDescent="0.2">
      <c r="E9560" s="18"/>
      <c r="F9560" s="18"/>
    </row>
    <row r="9561" spans="5:6" ht="15" customHeight="1" x14ac:dyDescent="0.2">
      <c r="E9561" s="18"/>
      <c r="F9561" s="18"/>
    </row>
    <row r="9562" spans="5:6" ht="15" customHeight="1" x14ac:dyDescent="0.2">
      <c r="E9562" s="18"/>
      <c r="F9562" s="18"/>
    </row>
    <row r="9563" spans="5:6" ht="15" customHeight="1" x14ac:dyDescent="0.2">
      <c r="E9563" s="18"/>
      <c r="F9563" s="18"/>
    </row>
    <row r="9564" spans="5:6" ht="15" customHeight="1" x14ac:dyDescent="0.2">
      <c r="E9564" s="18"/>
      <c r="F9564" s="18"/>
    </row>
    <row r="9565" spans="5:6" ht="15" customHeight="1" x14ac:dyDescent="0.2">
      <c r="E9565" s="18"/>
      <c r="F9565" s="18"/>
    </row>
    <row r="9566" spans="5:6" ht="15" customHeight="1" x14ac:dyDescent="0.2">
      <c r="E9566" s="18"/>
      <c r="F9566" s="18"/>
    </row>
    <row r="9567" spans="5:6" ht="15" customHeight="1" x14ac:dyDescent="0.2">
      <c r="E9567" s="18"/>
      <c r="F9567" s="18"/>
    </row>
    <row r="9568" spans="5:6" ht="15" customHeight="1" x14ac:dyDescent="0.2">
      <c r="E9568" s="18"/>
      <c r="F9568" s="18"/>
    </row>
    <row r="9569" spans="5:6" ht="15" customHeight="1" x14ac:dyDescent="0.2">
      <c r="E9569" s="18"/>
      <c r="F9569" s="18"/>
    </row>
    <row r="9570" spans="5:6" ht="15" customHeight="1" x14ac:dyDescent="0.2">
      <c r="E9570" s="18"/>
      <c r="F9570" s="18"/>
    </row>
    <row r="9571" spans="5:6" ht="15" customHeight="1" x14ac:dyDescent="0.2">
      <c r="E9571" s="18"/>
      <c r="F9571" s="18"/>
    </row>
    <row r="9572" spans="5:6" ht="15" customHeight="1" x14ac:dyDescent="0.2">
      <c r="E9572" s="18"/>
      <c r="F9572" s="18"/>
    </row>
    <row r="9573" spans="5:6" ht="15" customHeight="1" x14ac:dyDescent="0.2">
      <c r="E9573" s="18"/>
      <c r="F9573" s="18"/>
    </row>
    <row r="9574" spans="5:6" ht="15" customHeight="1" x14ac:dyDescent="0.2">
      <c r="E9574" s="18"/>
      <c r="F9574" s="18"/>
    </row>
    <row r="9575" spans="5:6" ht="15" customHeight="1" x14ac:dyDescent="0.2">
      <c r="E9575" s="18"/>
      <c r="F9575" s="18"/>
    </row>
    <row r="9576" spans="5:6" ht="15" customHeight="1" x14ac:dyDescent="0.2">
      <c r="E9576" s="18"/>
      <c r="F9576" s="18"/>
    </row>
    <row r="9577" spans="5:6" ht="15" customHeight="1" x14ac:dyDescent="0.2">
      <c r="E9577" s="18"/>
      <c r="F9577" s="18"/>
    </row>
    <row r="9578" spans="5:6" ht="15" customHeight="1" x14ac:dyDescent="0.2">
      <c r="E9578" s="18"/>
      <c r="F9578" s="18"/>
    </row>
    <row r="9579" spans="5:6" ht="15" customHeight="1" x14ac:dyDescent="0.2">
      <c r="E9579" s="18"/>
      <c r="F9579" s="18"/>
    </row>
    <row r="9580" spans="5:6" ht="15" customHeight="1" x14ac:dyDescent="0.2">
      <c r="E9580" s="18"/>
      <c r="F9580" s="18"/>
    </row>
    <row r="9581" spans="5:6" ht="15" customHeight="1" x14ac:dyDescent="0.2">
      <c r="E9581" s="18"/>
      <c r="F9581" s="18"/>
    </row>
    <row r="9582" spans="5:6" ht="15" customHeight="1" x14ac:dyDescent="0.2">
      <c r="E9582" s="18"/>
      <c r="F9582" s="18"/>
    </row>
    <row r="9583" spans="5:6" ht="15" customHeight="1" x14ac:dyDescent="0.2">
      <c r="E9583" s="18"/>
      <c r="F9583" s="18"/>
    </row>
    <row r="9584" spans="5:6" ht="15" customHeight="1" x14ac:dyDescent="0.2">
      <c r="E9584" s="18"/>
      <c r="F9584" s="18"/>
    </row>
    <row r="9585" spans="5:6" ht="15" customHeight="1" x14ac:dyDescent="0.2">
      <c r="E9585" s="18"/>
      <c r="F9585" s="18"/>
    </row>
    <row r="9586" spans="5:6" ht="15" customHeight="1" x14ac:dyDescent="0.2">
      <c r="E9586" s="18"/>
      <c r="F9586" s="18"/>
    </row>
    <row r="9587" spans="5:6" ht="15" customHeight="1" x14ac:dyDescent="0.2">
      <c r="E9587" s="18"/>
      <c r="F9587" s="18"/>
    </row>
    <row r="9588" spans="5:6" ht="15" customHeight="1" x14ac:dyDescent="0.2">
      <c r="E9588" s="18"/>
      <c r="F9588" s="18"/>
    </row>
    <row r="9589" spans="5:6" ht="15" customHeight="1" x14ac:dyDescent="0.2">
      <c r="E9589" s="18"/>
      <c r="F9589" s="18"/>
    </row>
    <row r="9590" spans="5:6" ht="15" customHeight="1" x14ac:dyDescent="0.2">
      <c r="E9590" s="18"/>
      <c r="F9590" s="18"/>
    </row>
    <row r="9591" spans="5:6" ht="15" customHeight="1" x14ac:dyDescent="0.2">
      <c r="E9591" s="18"/>
      <c r="F9591" s="18"/>
    </row>
    <row r="9592" spans="5:6" ht="15" customHeight="1" x14ac:dyDescent="0.2">
      <c r="E9592" s="18"/>
      <c r="F9592" s="18"/>
    </row>
    <row r="9593" spans="5:6" ht="15" customHeight="1" x14ac:dyDescent="0.2">
      <c r="E9593" s="18"/>
      <c r="F9593" s="18"/>
    </row>
    <row r="9594" spans="5:6" ht="15" customHeight="1" x14ac:dyDescent="0.2">
      <c r="E9594" s="18"/>
      <c r="F9594" s="18"/>
    </row>
    <row r="9595" spans="5:6" ht="15" customHeight="1" x14ac:dyDescent="0.2">
      <c r="E9595" s="18"/>
      <c r="F9595" s="18"/>
    </row>
    <row r="9596" spans="5:6" ht="15" customHeight="1" x14ac:dyDescent="0.2">
      <c r="E9596" s="18"/>
      <c r="F9596" s="18"/>
    </row>
    <row r="9597" spans="5:6" ht="15" customHeight="1" x14ac:dyDescent="0.2">
      <c r="E9597" s="18"/>
      <c r="F9597" s="18"/>
    </row>
    <row r="9598" spans="5:6" ht="15" customHeight="1" x14ac:dyDescent="0.2">
      <c r="E9598" s="18"/>
      <c r="F9598" s="18"/>
    </row>
    <row r="9599" spans="5:6" ht="15" customHeight="1" x14ac:dyDescent="0.2">
      <c r="E9599" s="18"/>
      <c r="F9599" s="18"/>
    </row>
    <row r="9600" spans="5:6" ht="15" customHeight="1" x14ac:dyDescent="0.2">
      <c r="E9600" s="18"/>
      <c r="F9600" s="18"/>
    </row>
    <row r="9601" spans="5:6" ht="15" customHeight="1" x14ac:dyDescent="0.2">
      <c r="E9601" s="18"/>
      <c r="F9601" s="18"/>
    </row>
    <row r="9602" spans="5:6" ht="15" customHeight="1" x14ac:dyDescent="0.2">
      <c r="E9602" s="18"/>
      <c r="F9602" s="18"/>
    </row>
    <row r="9603" spans="5:6" ht="15" customHeight="1" x14ac:dyDescent="0.2">
      <c r="E9603" s="18"/>
      <c r="F9603" s="18"/>
    </row>
    <row r="9604" spans="5:6" ht="15" customHeight="1" x14ac:dyDescent="0.2">
      <c r="E9604" s="18"/>
      <c r="F9604" s="18"/>
    </row>
    <row r="9605" spans="5:6" ht="15" customHeight="1" x14ac:dyDescent="0.2">
      <c r="E9605" s="18"/>
      <c r="F9605" s="18"/>
    </row>
    <row r="9606" spans="5:6" ht="15" customHeight="1" x14ac:dyDescent="0.2">
      <c r="E9606" s="18"/>
      <c r="F9606" s="18"/>
    </row>
    <row r="9607" spans="5:6" ht="15" customHeight="1" x14ac:dyDescent="0.2">
      <c r="E9607" s="18"/>
      <c r="F9607" s="18"/>
    </row>
    <row r="9608" spans="5:6" ht="15" customHeight="1" x14ac:dyDescent="0.2">
      <c r="E9608" s="18"/>
      <c r="F9608" s="18"/>
    </row>
    <row r="9609" spans="5:6" ht="15" customHeight="1" x14ac:dyDescent="0.2">
      <c r="E9609" s="18"/>
      <c r="F9609" s="18"/>
    </row>
    <row r="9610" spans="5:6" ht="15" customHeight="1" x14ac:dyDescent="0.2">
      <c r="E9610" s="18"/>
      <c r="F9610" s="18"/>
    </row>
    <row r="9611" spans="5:6" ht="15" customHeight="1" x14ac:dyDescent="0.2">
      <c r="E9611" s="18"/>
      <c r="F9611" s="18"/>
    </row>
    <row r="9612" spans="5:6" ht="15" customHeight="1" x14ac:dyDescent="0.2">
      <c r="E9612" s="18"/>
      <c r="F9612" s="18"/>
    </row>
    <row r="9613" spans="5:6" ht="15" customHeight="1" x14ac:dyDescent="0.2">
      <c r="E9613" s="18"/>
      <c r="F9613" s="18"/>
    </row>
    <row r="9614" spans="5:6" ht="15" customHeight="1" x14ac:dyDescent="0.2">
      <c r="E9614" s="18"/>
      <c r="F9614" s="18"/>
    </row>
    <row r="9615" spans="5:6" ht="15" customHeight="1" x14ac:dyDescent="0.2">
      <c r="E9615" s="18"/>
      <c r="F9615" s="18"/>
    </row>
    <row r="9616" spans="5:6" ht="15" customHeight="1" x14ac:dyDescent="0.2">
      <c r="E9616" s="18"/>
      <c r="F9616" s="18"/>
    </row>
    <row r="9617" spans="5:6" ht="15" customHeight="1" x14ac:dyDescent="0.2">
      <c r="E9617" s="18"/>
      <c r="F9617" s="18"/>
    </row>
    <row r="9618" spans="5:6" ht="15" customHeight="1" x14ac:dyDescent="0.2">
      <c r="E9618" s="18"/>
      <c r="F9618" s="18"/>
    </row>
    <row r="9619" spans="5:6" ht="15" customHeight="1" x14ac:dyDescent="0.2">
      <c r="E9619" s="18"/>
      <c r="F9619" s="18"/>
    </row>
    <row r="9620" spans="5:6" ht="15" customHeight="1" x14ac:dyDescent="0.2">
      <c r="E9620" s="18"/>
      <c r="F9620" s="18"/>
    </row>
    <row r="9621" spans="5:6" ht="15" customHeight="1" x14ac:dyDescent="0.2">
      <c r="E9621" s="18"/>
      <c r="F9621" s="18"/>
    </row>
    <row r="9622" spans="5:6" ht="15" customHeight="1" x14ac:dyDescent="0.2">
      <c r="E9622" s="18"/>
      <c r="F9622" s="18"/>
    </row>
    <row r="9623" spans="5:6" ht="15" customHeight="1" x14ac:dyDescent="0.2">
      <c r="E9623" s="18"/>
      <c r="F9623" s="18"/>
    </row>
    <row r="9624" spans="5:6" ht="15" customHeight="1" x14ac:dyDescent="0.2">
      <c r="E9624" s="18"/>
      <c r="F9624" s="18"/>
    </row>
    <row r="9625" spans="5:6" ht="15" customHeight="1" x14ac:dyDescent="0.2">
      <c r="E9625" s="18"/>
      <c r="F9625" s="18"/>
    </row>
    <row r="9626" spans="5:6" ht="15" customHeight="1" x14ac:dyDescent="0.2">
      <c r="E9626" s="18"/>
      <c r="F9626" s="18"/>
    </row>
    <row r="9627" spans="5:6" ht="15" customHeight="1" x14ac:dyDescent="0.2">
      <c r="E9627" s="18"/>
      <c r="F9627" s="18"/>
    </row>
    <row r="9628" spans="5:6" ht="15" customHeight="1" x14ac:dyDescent="0.2">
      <c r="E9628" s="18"/>
      <c r="F9628" s="18"/>
    </row>
    <row r="9629" spans="5:6" ht="15" customHeight="1" x14ac:dyDescent="0.2">
      <c r="E9629" s="18"/>
      <c r="F9629" s="18"/>
    </row>
    <row r="9630" spans="5:6" ht="15" customHeight="1" x14ac:dyDescent="0.2">
      <c r="E9630" s="18"/>
      <c r="F9630" s="18"/>
    </row>
    <row r="9631" spans="5:6" ht="15" customHeight="1" x14ac:dyDescent="0.2">
      <c r="E9631" s="18"/>
      <c r="F9631" s="18"/>
    </row>
    <row r="9632" spans="5:6" ht="15" customHeight="1" x14ac:dyDescent="0.2">
      <c r="E9632" s="18"/>
      <c r="F9632" s="18"/>
    </row>
    <row r="9633" spans="5:6" ht="15" customHeight="1" x14ac:dyDescent="0.2">
      <c r="E9633" s="18"/>
      <c r="F9633" s="18"/>
    </row>
    <row r="9634" spans="5:6" ht="15" customHeight="1" x14ac:dyDescent="0.2">
      <c r="E9634" s="18"/>
      <c r="F9634" s="18"/>
    </row>
    <row r="9635" spans="5:6" ht="15" customHeight="1" x14ac:dyDescent="0.2">
      <c r="E9635" s="18"/>
      <c r="F9635" s="18"/>
    </row>
    <row r="9636" spans="5:6" ht="15" customHeight="1" x14ac:dyDescent="0.2">
      <c r="E9636" s="18"/>
      <c r="F9636" s="18"/>
    </row>
    <row r="9637" spans="5:6" ht="15" customHeight="1" x14ac:dyDescent="0.2">
      <c r="E9637" s="18"/>
      <c r="F9637" s="18"/>
    </row>
    <row r="9638" spans="5:6" ht="15" customHeight="1" x14ac:dyDescent="0.2">
      <c r="E9638" s="18"/>
      <c r="F9638" s="18"/>
    </row>
    <row r="9639" spans="5:6" ht="15" customHeight="1" x14ac:dyDescent="0.2">
      <c r="E9639" s="18"/>
      <c r="F9639" s="18"/>
    </row>
    <row r="9640" spans="5:6" ht="15" customHeight="1" x14ac:dyDescent="0.2">
      <c r="E9640" s="18"/>
      <c r="F9640" s="18"/>
    </row>
    <row r="9641" spans="5:6" ht="15" customHeight="1" x14ac:dyDescent="0.2">
      <c r="E9641" s="18"/>
      <c r="F9641" s="18"/>
    </row>
    <row r="9642" spans="5:6" ht="15" customHeight="1" x14ac:dyDescent="0.2">
      <c r="E9642" s="18"/>
      <c r="F9642" s="18"/>
    </row>
    <row r="9643" spans="5:6" ht="15" customHeight="1" x14ac:dyDescent="0.2">
      <c r="E9643" s="18"/>
      <c r="F9643" s="18"/>
    </row>
    <row r="9644" spans="5:6" ht="15" customHeight="1" x14ac:dyDescent="0.2">
      <c r="E9644" s="18"/>
      <c r="F9644" s="18"/>
    </row>
    <row r="9645" spans="5:6" ht="15" customHeight="1" x14ac:dyDescent="0.2">
      <c r="E9645" s="18"/>
      <c r="F9645" s="18"/>
    </row>
    <row r="9646" spans="5:6" ht="15" customHeight="1" x14ac:dyDescent="0.2">
      <c r="E9646" s="18"/>
      <c r="F9646" s="18"/>
    </row>
    <row r="9647" spans="5:6" ht="15" customHeight="1" x14ac:dyDescent="0.2">
      <c r="E9647" s="18"/>
      <c r="F9647" s="18"/>
    </row>
    <row r="9648" spans="5:6" ht="15" customHeight="1" x14ac:dyDescent="0.2">
      <c r="E9648" s="18"/>
      <c r="F9648" s="18"/>
    </row>
    <row r="9649" spans="5:6" ht="15" customHeight="1" x14ac:dyDescent="0.2">
      <c r="E9649" s="18"/>
      <c r="F9649" s="18"/>
    </row>
    <row r="9650" spans="5:6" ht="15" customHeight="1" x14ac:dyDescent="0.2">
      <c r="E9650" s="18"/>
      <c r="F9650" s="18"/>
    </row>
    <row r="9651" spans="5:6" ht="15" customHeight="1" x14ac:dyDescent="0.2">
      <c r="E9651" s="18"/>
      <c r="F9651" s="18"/>
    </row>
    <row r="9652" spans="5:6" ht="15" customHeight="1" x14ac:dyDescent="0.2">
      <c r="E9652" s="18"/>
      <c r="F9652" s="18"/>
    </row>
    <row r="9653" spans="5:6" ht="15" customHeight="1" x14ac:dyDescent="0.2">
      <c r="E9653" s="18"/>
      <c r="F9653" s="18"/>
    </row>
    <row r="9654" spans="5:6" ht="15" customHeight="1" x14ac:dyDescent="0.2">
      <c r="E9654" s="18"/>
      <c r="F9654" s="18"/>
    </row>
    <row r="9655" spans="5:6" ht="15" customHeight="1" x14ac:dyDescent="0.2">
      <c r="E9655" s="18"/>
      <c r="F9655" s="18"/>
    </row>
    <row r="9656" spans="5:6" ht="15" customHeight="1" x14ac:dyDescent="0.2">
      <c r="E9656" s="18"/>
      <c r="F9656" s="18"/>
    </row>
    <row r="9657" spans="5:6" ht="15" customHeight="1" x14ac:dyDescent="0.2">
      <c r="E9657" s="18"/>
      <c r="F9657" s="18"/>
    </row>
    <row r="9658" spans="5:6" ht="15" customHeight="1" x14ac:dyDescent="0.2">
      <c r="E9658" s="18"/>
      <c r="F9658" s="18"/>
    </row>
    <row r="9659" spans="5:6" ht="15" customHeight="1" x14ac:dyDescent="0.2">
      <c r="E9659" s="18"/>
      <c r="F9659" s="18"/>
    </row>
    <row r="9660" spans="5:6" ht="15" customHeight="1" x14ac:dyDescent="0.2">
      <c r="E9660" s="18"/>
      <c r="F9660" s="18"/>
    </row>
    <row r="9661" spans="5:6" ht="15" customHeight="1" x14ac:dyDescent="0.2">
      <c r="E9661" s="18"/>
      <c r="F9661" s="18"/>
    </row>
    <row r="9662" spans="5:6" ht="15" customHeight="1" x14ac:dyDescent="0.2">
      <c r="E9662" s="18"/>
      <c r="F9662" s="18"/>
    </row>
    <row r="9663" spans="5:6" ht="15" customHeight="1" x14ac:dyDescent="0.2">
      <c r="E9663" s="18"/>
      <c r="F9663" s="18"/>
    </row>
    <row r="9664" spans="5:6" ht="15" customHeight="1" x14ac:dyDescent="0.2">
      <c r="E9664" s="18"/>
      <c r="F9664" s="18"/>
    </row>
    <row r="9665" spans="5:6" ht="15" customHeight="1" x14ac:dyDescent="0.2">
      <c r="E9665" s="18"/>
      <c r="F9665" s="18"/>
    </row>
    <row r="9666" spans="5:6" ht="15" customHeight="1" x14ac:dyDescent="0.2">
      <c r="E9666" s="18"/>
      <c r="F9666" s="18"/>
    </row>
    <row r="9667" spans="5:6" ht="15" customHeight="1" x14ac:dyDescent="0.2">
      <c r="E9667" s="18"/>
      <c r="F9667" s="18"/>
    </row>
    <row r="9668" spans="5:6" ht="15" customHeight="1" x14ac:dyDescent="0.2">
      <c r="E9668" s="18"/>
      <c r="F9668" s="18"/>
    </row>
    <row r="9669" spans="5:6" ht="15" customHeight="1" x14ac:dyDescent="0.2">
      <c r="E9669" s="18"/>
      <c r="F9669" s="18"/>
    </row>
    <row r="9670" spans="5:6" ht="15" customHeight="1" x14ac:dyDescent="0.2">
      <c r="E9670" s="18"/>
      <c r="F9670" s="18"/>
    </row>
    <row r="9671" spans="5:6" ht="15" customHeight="1" x14ac:dyDescent="0.2">
      <c r="E9671" s="18"/>
      <c r="F9671" s="18"/>
    </row>
    <row r="9672" spans="5:6" ht="15" customHeight="1" x14ac:dyDescent="0.2">
      <c r="E9672" s="18"/>
      <c r="F9672" s="18"/>
    </row>
    <row r="9673" spans="5:6" ht="15" customHeight="1" x14ac:dyDescent="0.2">
      <c r="E9673" s="18"/>
      <c r="F9673" s="18"/>
    </row>
    <row r="9674" spans="5:6" ht="15" customHeight="1" x14ac:dyDescent="0.2">
      <c r="E9674" s="18"/>
      <c r="F9674" s="18"/>
    </row>
    <row r="9675" spans="5:6" ht="15" customHeight="1" x14ac:dyDescent="0.2">
      <c r="E9675" s="18"/>
      <c r="F9675" s="18"/>
    </row>
    <row r="9676" spans="5:6" ht="15" customHeight="1" x14ac:dyDescent="0.2">
      <c r="E9676" s="18"/>
      <c r="F9676" s="18"/>
    </row>
    <row r="9677" spans="5:6" ht="15" customHeight="1" x14ac:dyDescent="0.2">
      <c r="E9677" s="18"/>
      <c r="F9677" s="18"/>
    </row>
    <row r="9678" spans="5:6" ht="15" customHeight="1" x14ac:dyDescent="0.2">
      <c r="E9678" s="18"/>
      <c r="F9678" s="18"/>
    </row>
    <row r="9679" spans="5:6" ht="15" customHeight="1" x14ac:dyDescent="0.2">
      <c r="E9679" s="18"/>
      <c r="F9679" s="18"/>
    </row>
    <row r="9680" spans="5:6" ht="15" customHeight="1" x14ac:dyDescent="0.2">
      <c r="E9680" s="18"/>
      <c r="F9680" s="18"/>
    </row>
    <row r="9681" spans="5:6" ht="15" customHeight="1" x14ac:dyDescent="0.2">
      <c r="E9681" s="18"/>
      <c r="F9681" s="18"/>
    </row>
    <row r="9682" spans="5:6" ht="15" customHeight="1" x14ac:dyDescent="0.2">
      <c r="E9682" s="18"/>
      <c r="F9682" s="18"/>
    </row>
    <row r="9683" spans="5:6" ht="15" customHeight="1" x14ac:dyDescent="0.2">
      <c r="E9683" s="18"/>
      <c r="F9683" s="18"/>
    </row>
    <row r="9684" spans="5:6" ht="15" customHeight="1" x14ac:dyDescent="0.2">
      <c r="E9684" s="18"/>
      <c r="F9684" s="18"/>
    </row>
    <row r="9685" spans="5:6" ht="15" customHeight="1" x14ac:dyDescent="0.2">
      <c r="E9685" s="18"/>
      <c r="F9685" s="18"/>
    </row>
    <row r="9686" spans="5:6" ht="15" customHeight="1" x14ac:dyDescent="0.2">
      <c r="E9686" s="18"/>
      <c r="F9686" s="18"/>
    </row>
    <row r="9687" spans="5:6" ht="15" customHeight="1" x14ac:dyDescent="0.2">
      <c r="E9687" s="18"/>
      <c r="F9687" s="18"/>
    </row>
    <row r="9688" spans="5:6" ht="15" customHeight="1" x14ac:dyDescent="0.2">
      <c r="E9688" s="18"/>
      <c r="F9688" s="18"/>
    </row>
    <row r="9689" spans="5:6" ht="15" customHeight="1" x14ac:dyDescent="0.2">
      <c r="E9689" s="18"/>
      <c r="F9689" s="18"/>
    </row>
    <row r="9690" spans="5:6" ht="15" customHeight="1" x14ac:dyDescent="0.2">
      <c r="E9690" s="18"/>
      <c r="F9690" s="18"/>
    </row>
    <row r="9691" spans="5:6" ht="15" customHeight="1" x14ac:dyDescent="0.2">
      <c r="E9691" s="18"/>
      <c r="F9691" s="18"/>
    </row>
    <row r="9692" spans="5:6" ht="15" customHeight="1" x14ac:dyDescent="0.2">
      <c r="E9692" s="18"/>
      <c r="F9692" s="18"/>
    </row>
    <row r="9693" spans="5:6" ht="15" customHeight="1" x14ac:dyDescent="0.2">
      <c r="E9693" s="18"/>
      <c r="F9693" s="18"/>
    </row>
    <row r="9694" spans="5:6" ht="15" customHeight="1" x14ac:dyDescent="0.2">
      <c r="E9694" s="18"/>
      <c r="F9694" s="18"/>
    </row>
    <row r="9695" spans="5:6" ht="15" customHeight="1" x14ac:dyDescent="0.2">
      <c r="E9695" s="18"/>
      <c r="F9695" s="18"/>
    </row>
    <row r="9696" spans="5:6" ht="15" customHeight="1" x14ac:dyDescent="0.2">
      <c r="E9696" s="18"/>
      <c r="F9696" s="18"/>
    </row>
    <row r="9697" spans="5:6" ht="15" customHeight="1" x14ac:dyDescent="0.2">
      <c r="E9697" s="18"/>
      <c r="F9697" s="18"/>
    </row>
    <row r="9698" spans="5:6" ht="15" customHeight="1" x14ac:dyDescent="0.2">
      <c r="E9698" s="18"/>
      <c r="F9698" s="18"/>
    </row>
    <row r="9699" spans="5:6" ht="15" customHeight="1" x14ac:dyDescent="0.2">
      <c r="E9699" s="18"/>
      <c r="F9699" s="18"/>
    </row>
    <row r="9700" spans="5:6" ht="15" customHeight="1" x14ac:dyDescent="0.2">
      <c r="E9700" s="18"/>
      <c r="F9700" s="18"/>
    </row>
    <row r="9701" spans="5:6" ht="15" customHeight="1" x14ac:dyDescent="0.2">
      <c r="E9701" s="18"/>
      <c r="F9701" s="18"/>
    </row>
    <row r="9702" spans="5:6" ht="15" customHeight="1" x14ac:dyDescent="0.2">
      <c r="E9702" s="18"/>
      <c r="F9702" s="18"/>
    </row>
    <row r="9703" spans="5:6" ht="15" customHeight="1" x14ac:dyDescent="0.2">
      <c r="E9703" s="18"/>
      <c r="F9703" s="18"/>
    </row>
    <row r="9704" spans="5:6" ht="15" customHeight="1" x14ac:dyDescent="0.2">
      <c r="E9704" s="18"/>
      <c r="F9704" s="18"/>
    </row>
    <row r="9705" spans="5:6" ht="15" customHeight="1" x14ac:dyDescent="0.2">
      <c r="E9705" s="18"/>
      <c r="F9705" s="18"/>
    </row>
    <row r="9706" spans="5:6" ht="15" customHeight="1" x14ac:dyDescent="0.2">
      <c r="E9706" s="18"/>
      <c r="F9706" s="18"/>
    </row>
    <row r="9707" spans="5:6" ht="15" customHeight="1" x14ac:dyDescent="0.2">
      <c r="E9707" s="18"/>
      <c r="F9707" s="18"/>
    </row>
    <row r="9708" spans="5:6" ht="15" customHeight="1" x14ac:dyDescent="0.2">
      <c r="E9708" s="18"/>
      <c r="F9708" s="18"/>
    </row>
    <row r="9709" spans="5:6" ht="15" customHeight="1" x14ac:dyDescent="0.2">
      <c r="E9709" s="18"/>
      <c r="F9709" s="18"/>
    </row>
    <row r="9710" spans="5:6" ht="15" customHeight="1" x14ac:dyDescent="0.2">
      <c r="E9710" s="18"/>
      <c r="F9710" s="18"/>
    </row>
    <row r="9711" spans="5:6" ht="15" customHeight="1" x14ac:dyDescent="0.2">
      <c r="E9711" s="18"/>
      <c r="F9711" s="18"/>
    </row>
    <row r="9712" spans="5:6" ht="15" customHeight="1" x14ac:dyDescent="0.2">
      <c r="E9712" s="18"/>
      <c r="F9712" s="18"/>
    </row>
    <row r="9713" spans="5:6" ht="15" customHeight="1" x14ac:dyDescent="0.2">
      <c r="E9713" s="18"/>
      <c r="F9713" s="18"/>
    </row>
    <row r="9714" spans="5:6" ht="15" customHeight="1" x14ac:dyDescent="0.2">
      <c r="E9714" s="18"/>
      <c r="F9714" s="18"/>
    </row>
    <row r="9715" spans="5:6" ht="15" customHeight="1" x14ac:dyDescent="0.2">
      <c r="E9715" s="18"/>
      <c r="F9715" s="18"/>
    </row>
    <row r="9716" spans="5:6" ht="15" customHeight="1" x14ac:dyDescent="0.2">
      <c r="E9716" s="18"/>
      <c r="F9716" s="18"/>
    </row>
    <row r="9717" spans="5:6" ht="15" customHeight="1" x14ac:dyDescent="0.2">
      <c r="E9717" s="18"/>
      <c r="F9717" s="18"/>
    </row>
    <row r="9718" spans="5:6" ht="15" customHeight="1" x14ac:dyDescent="0.2">
      <c r="E9718" s="18"/>
      <c r="F9718" s="18"/>
    </row>
    <row r="9719" spans="5:6" ht="15" customHeight="1" x14ac:dyDescent="0.2">
      <c r="E9719" s="18"/>
      <c r="F9719" s="18"/>
    </row>
    <row r="9720" spans="5:6" ht="15" customHeight="1" x14ac:dyDescent="0.2">
      <c r="E9720" s="18"/>
      <c r="F9720" s="18"/>
    </row>
    <row r="9721" spans="5:6" ht="15" customHeight="1" x14ac:dyDescent="0.2">
      <c r="E9721" s="18"/>
      <c r="F9721" s="18"/>
    </row>
    <row r="9722" spans="5:6" ht="15" customHeight="1" x14ac:dyDescent="0.2">
      <c r="E9722" s="18"/>
      <c r="F9722" s="18"/>
    </row>
    <row r="9723" spans="5:6" ht="15" customHeight="1" x14ac:dyDescent="0.2">
      <c r="E9723" s="18"/>
      <c r="F9723" s="18"/>
    </row>
    <row r="9724" spans="5:6" ht="15" customHeight="1" x14ac:dyDescent="0.2">
      <c r="E9724" s="18"/>
      <c r="F9724" s="18"/>
    </row>
    <row r="9725" spans="5:6" ht="15" customHeight="1" x14ac:dyDescent="0.2">
      <c r="E9725" s="18"/>
      <c r="F9725" s="18"/>
    </row>
    <row r="9726" spans="5:6" ht="15" customHeight="1" x14ac:dyDescent="0.2">
      <c r="E9726" s="18"/>
      <c r="F9726" s="18"/>
    </row>
    <row r="9727" spans="5:6" ht="15" customHeight="1" x14ac:dyDescent="0.2">
      <c r="E9727" s="18"/>
      <c r="F9727" s="18"/>
    </row>
    <row r="9728" spans="5:6" ht="15" customHeight="1" x14ac:dyDescent="0.2">
      <c r="E9728" s="18"/>
      <c r="F9728" s="18"/>
    </row>
    <row r="9729" spans="5:6" ht="15" customHeight="1" x14ac:dyDescent="0.2">
      <c r="E9729" s="18"/>
      <c r="F9729" s="18"/>
    </row>
    <row r="9730" spans="5:6" ht="15" customHeight="1" x14ac:dyDescent="0.2">
      <c r="E9730" s="18"/>
      <c r="F9730" s="18"/>
    </row>
    <row r="9731" spans="5:6" ht="15" customHeight="1" x14ac:dyDescent="0.2">
      <c r="E9731" s="18"/>
      <c r="F9731" s="18"/>
    </row>
    <row r="9732" spans="5:6" ht="15" customHeight="1" x14ac:dyDescent="0.2">
      <c r="E9732" s="18"/>
      <c r="F9732" s="18"/>
    </row>
    <row r="9733" spans="5:6" ht="15" customHeight="1" x14ac:dyDescent="0.2">
      <c r="E9733" s="18"/>
      <c r="F9733" s="18"/>
    </row>
    <row r="9734" spans="5:6" ht="15" customHeight="1" x14ac:dyDescent="0.2">
      <c r="E9734" s="18"/>
      <c r="F9734" s="18"/>
    </row>
    <row r="9735" spans="5:6" ht="15" customHeight="1" x14ac:dyDescent="0.2">
      <c r="E9735" s="18"/>
      <c r="F9735" s="18"/>
    </row>
    <row r="9736" spans="5:6" ht="15" customHeight="1" x14ac:dyDescent="0.2">
      <c r="E9736" s="18"/>
      <c r="F9736" s="18"/>
    </row>
    <row r="9737" spans="5:6" ht="15" customHeight="1" x14ac:dyDescent="0.2">
      <c r="E9737" s="18"/>
      <c r="F9737" s="18"/>
    </row>
    <row r="9738" spans="5:6" ht="15" customHeight="1" x14ac:dyDescent="0.2">
      <c r="E9738" s="18"/>
      <c r="F9738" s="18"/>
    </row>
    <row r="9739" spans="5:6" ht="15" customHeight="1" x14ac:dyDescent="0.2">
      <c r="E9739" s="18"/>
      <c r="F9739" s="18"/>
    </row>
    <row r="9740" spans="5:6" ht="15" customHeight="1" x14ac:dyDescent="0.2">
      <c r="E9740" s="18"/>
      <c r="F9740" s="18"/>
    </row>
    <row r="9741" spans="5:6" ht="15" customHeight="1" x14ac:dyDescent="0.2">
      <c r="E9741" s="18"/>
      <c r="F9741" s="18"/>
    </row>
    <row r="9742" spans="5:6" ht="15" customHeight="1" x14ac:dyDescent="0.2">
      <c r="E9742" s="18"/>
      <c r="F9742" s="18"/>
    </row>
    <row r="9743" spans="5:6" ht="15" customHeight="1" x14ac:dyDescent="0.2">
      <c r="E9743" s="18"/>
      <c r="F9743" s="18"/>
    </row>
    <row r="9744" spans="5:6" ht="15" customHeight="1" x14ac:dyDescent="0.2">
      <c r="E9744" s="18"/>
      <c r="F9744" s="18"/>
    </row>
    <row r="9745" spans="5:6" ht="15" customHeight="1" x14ac:dyDescent="0.2">
      <c r="E9745" s="18"/>
      <c r="F9745" s="18"/>
    </row>
    <row r="9746" spans="5:6" ht="15" customHeight="1" x14ac:dyDescent="0.2">
      <c r="E9746" s="18"/>
      <c r="F9746" s="18"/>
    </row>
    <row r="9747" spans="5:6" ht="15" customHeight="1" x14ac:dyDescent="0.2">
      <c r="E9747" s="18"/>
      <c r="F9747" s="18"/>
    </row>
    <row r="9748" spans="5:6" ht="15" customHeight="1" x14ac:dyDescent="0.2">
      <c r="E9748" s="18"/>
      <c r="F9748" s="18"/>
    </row>
    <row r="9749" spans="5:6" ht="15" customHeight="1" x14ac:dyDescent="0.2">
      <c r="E9749" s="18"/>
      <c r="F9749" s="18"/>
    </row>
    <row r="9750" spans="5:6" ht="15" customHeight="1" x14ac:dyDescent="0.2">
      <c r="E9750" s="18"/>
      <c r="F9750" s="18"/>
    </row>
    <row r="9751" spans="5:6" ht="15" customHeight="1" x14ac:dyDescent="0.2">
      <c r="E9751" s="18"/>
      <c r="F9751" s="18"/>
    </row>
    <row r="9752" spans="5:6" ht="15" customHeight="1" x14ac:dyDescent="0.2">
      <c r="E9752" s="18"/>
      <c r="F9752" s="18"/>
    </row>
    <row r="9753" spans="5:6" ht="15" customHeight="1" x14ac:dyDescent="0.2">
      <c r="E9753" s="18"/>
      <c r="F9753" s="18"/>
    </row>
    <row r="9754" spans="5:6" ht="15" customHeight="1" x14ac:dyDescent="0.2">
      <c r="E9754" s="18"/>
      <c r="F9754" s="18"/>
    </row>
    <row r="9755" spans="5:6" ht="15" customHeight="1" x14ac:dyDescent="0.2">
      <c r="E9755" s="18"/>
      <c r="F9755" s="18"/>
    </row>
    <row r="9756" spans="5:6" ht="15" customHeight="1" x14ac:dyDescent="0.2">
      <c r="E9756" s="18"/>
      <c r="F9756" s="18"/>
    </row>
    <row r="9757" spans="5:6" ht="15" customHeight="1" x14ac:dyDescent="0.2">
      <c r="E9757" s="18"/>
      <c r="F9757" s="18"/>
    </row>
    <row r="9758" spans="5:6" ht="15" customHeight="1" x14ac:dyDescent="0.2">
      <c r="E9758" s="18"/>
      <c r="F9758" s="18"/>
    </row>
    <row r="9759" spans="5:6" ht="15" customHeight="1" x14ac:dyDescent="0.2">
      <c r="E9759" s="18"/>
      <c r="F9759" s="18"/>
    </row>
    <row r="9760" spans="5:6" ht="15" customHeight="1" x14ac:dyDescent="0.2">
      <c r="E9760" s="18"/>
      <c r="F9760" s="18"/>
    </row>
    <row r="9761" spans="5:6" ht="15" customHeight="1" x14ac:dyDescent="0.2">
      <c r="E9761" s="18"/>
      <c r="F9761" s="18"/>
    </row>
    <row r="9762" spans="5:6" ht="15" customHeight="1" x14ac:dyDescent="0.2">
      <c r="E9762" s="18"/>
      <c r="F9762" s="18"/>
    </row>
    <row r="9763" spans="5:6" ht="15" customHeight="1" x14ac:dyDescent="0.2">
      <c r="E9763" s="18"/>
      <c r="F9763" s="18"/>
    </row>
    <row r="9764" spans="5:6" ht="15" customHeight="1" x14ac:dyDescent="0.2">
      <c r="E9764" s="18"/>
      <c r="F9764" s="18"/>
    </row>
    <row r="9765" spans="5:6" ht="15" customHeight="1" x14ac:dyDescent="0.2">
      <c r="E9765" s="18"/>
      <c r="F9765" s="18"/>
    </row>
    <row r="9766" spans="5:6" ht="15" customHeight="1" x14ac:dyDescent="0.2">
      <c r="E9766" s="18"/>
      <c r="F9766" s="18"/>
    </row>
    <row r="9767" spans="5:6" ht="15" customHeight="1" x14ac:dyDescent="0.2">
      <c r="E9767" s="18"/>
      <c r="F9767" s="18"/>
    </row>
    <row r="9768" spans="5:6" ht="15" customHeight="1" x14ac:dyDescent="0.2">
      <c r="E9768" s="18"/>
      <c r="F9768" s="18"/>
    </row>
    <row r="9769" spans="5:6" ht="15" customHeight="1" x14ac:dyDescent="0.2">
      <c r="E9769" s="18"/>
      <c r="F9769" s="18"/>
    </row>
    <row r="9770" spans="5:6" ht="15" customHeight="1" x14ac:dyDescent="0.2">
      <c r="E9770" s="18"/>
      <c r="F9770" s="18"/>
    </row>
    <row r="9771" spans="5:6" ht="15" customHeight="1" x14ac:dyDescent="0.2">
      <c r="E9771" s="18"/>
      <c r="F9771" s="18"/>
    </row>
    <row r="9772" spans="5:6" ht="15" customHeight="1" x14ac:dyDescent="0.2">
      <c r="E9772" s="18"/>
      <c r="F9772" s="18"/>
    </row>
    <row r="9773" spans="5:6" ht="15" customHeight="1" x14ac:dyDescent="0.2">
      <c r="E9773" s="18"/>
      <c r="F9773" s="18"/>
    </row>
    <row r="9774" spans="5:6" ht="15" customHeight="1" x14ac:dyDescent="0.2">
      <c r="E9774" s="18"/>
      <c r="F9774" s="18"/>
    </row>
    <row r="9775" spans="5:6" ht="15" customHeight="1" x14ac:dyDescent="0.2">
      <c r="E9775" s="18"/>
      <c r="F9775" s="18"/>
    </row>
    <row r="9776" spans="5:6" ht="15" customHeight="1" x14ac:dyDescent="0.2">
      <c r="E9776" s="18"/>
      <c r="F9776" s="18"/>
    </row>
    <row r="9777" spans="5:6" ht="15" customHeight="1" x14ac:dyDescent="0.2">
      <c r="E9777" s="18"/>
      <c r="F9777" s="18"/>
    </row>
    <row r="9778" spans="5:6" ht="15" customHeight="1" x14ac:dyDescent="0.2">
      <c r="E9778" s="18"/>
      <c r="F9778" s="18"/>
    </row>
    <row r="9779" spans="5:6" ht="15" customHeight="1" x14ac:dyDescent="0.2">
      <c r="E9779" s="18"/>
      <c r="F9779" s="18"/>
    </row>
    <row r="9780" spans="5:6" ht="15" customHeight="1" x14ac:dyDescent="0.2">
      <c r="E9780" s="18"/>
      <c r="F9780" s="18"/>
    </row>
    <row r="9781" spans="5:6" ht="15" customHeight="1" x14ac:dyDescent="0.2">
      <c r="E9781" s="18"/>
      <c r="F9781" s="18"/>
    </row>
    <row r="9782" spans="5:6" ht="15" customHeight="1" x14ac:dyDescent="0.2">
      <c r="E9782" s="18"/>
      <c r="F9782" s="18"/>
    </row>
    <row r="9783" spans="5:6" ht="15" customHeight="1" x14ac:dyDescent="0.2">
      <c r="E9783" s="18"/>
      <c r="F9783" s="18"/>
    </row>
    <row r="9784" spans="5:6" ht="15" customHeight="1" x14ac:dyDescent="0.2">
      <c r="E9784" s="18"/>
      <c r="F9784" s="18"/>
    </row>
    <row r="9785" spans="5:6" ht="15" customHeight="1" x14ac:dyDescent="0.2">
      <c r="E9785" s="18"/>
      <c r="F9785" s="18"/>
    </row>
    <row r="9786" spans="5:6" ht="15" customHeight="1" x14ac:dyDescent="0.2">
      <c r="E9786" s="18"/>
      <c r="F9786" s="18"/>
    </row>
    <row r="9787" spans="5:6" ht="15" customHeight="1" x14ac:dyDescent="0.2">
      <c r="E9787" s="18"/>
      <c r="F9787" s="18"/>
    </row>
    <row r="9788" spans="5:6" ht="15" customHeight="1" x14ac:dyDescent="0.2">
      <c r="E9788" s="18"/>
      <c r="F9788" s="18"/>
    </row>
    <row r="9789" spans="5:6" ht="15" customHeight="1" x14ac:dyDescent="0.2">
      <c r="E9789" s="18"/>
      <c r="F9789" s="18"/>
    </row>
    <row r="9790" spans="5:6" ht="15" customHeight="1" x14ac:dyDescent="0.2">
      <c r="E9790" s="18"/>
      <c r="F9790" s="18"/>
    </row>
    <row r="9791" spans="5:6" ht="15" customHeight="1" x14ac:dyDescent="0.2">
      <c r="E9791" s="18"/>
      <c r="F9791" s="18"/>
    </row>
    <row r="9792" spans="5:6" ht="15" customHeight="1" x14ac:dyDescent="0.2">
      <c r="E9792" s="18"/>
      <c r="F9792" s="18"/>
    </row>
    <row r="9793" spans="5:6" ht="15" customHeight="1" x14ac:dyDescent="0.2">
      <c r="E9793" s="18"/>
      <c r="F9793" s="18"/>
    </row>
    <row r="9794" spans="5:6" ht="15" customHeight="1" x14ac:dyDescent="0.2">
      <c r="E9794" s="18"/>
      <c r="F9794" s="18"/>
    </row>
    <row r="9795" spans="5:6" ht="15" customHeight="1" x14ac:dyDescent="0.2">
      <c r="E9795" s="18"/>
      <c r="F9795" s="18"/>
    </row>
    <row r="9796" spans="5:6" ht="15" customHeight="1" x14ac:dyDescent="0.2">
      <c r="E9796" s="18"/>
      <c r="F9796" s="18"/>
    </row>
    <row r="9797" spans="5:6" ht="15" customHeight="1" x14ac:dyDescent="0.2">
      <c r="E9797" s="18"/>
      <c r="F9797" s="18"/>
    </row>
    <row r="9798" spans="5:6" ht="15" customHeight="1" x14ac:dyDescent="0.2">
      <c r="E9798" s="18"/>
      <c r="F9798" s="18"/>
    </row>
    <row r="9799" spans="5:6" ht="15" customHeight="1" x14ac:dyDescent="0.2">
      <c r="E9799" s="18"/>
      <c r="F9799" s="18"/>
    </row>
    <row r="9800" spans="5:6" ht="15" customHeight="1" x14ac:dyDescent="0.2">
      <c r="E9800" s="18"/>
      <c r="F9800" s="18"/>
    </row>
    <row r="9801" spans="5:6" ht="15" customHeight="1" x14ac:dyDescent="0.2">
      <c r="E9801" s="18"/>
      <c r="F9801" s="18"/>
    </row>
    <row r="9802" spans="5:6" ht="15" customHeight="1" x14ac:dyDescent="0.2">
      <c r="E9802" s="18"/>
      <c r="F9802" s="18"/>
    </row>
    <row r="9803" spans="5:6" ht="15" customHeight="1" x14ac:dyDescent="0.2">
      <c r="E9803" s="18"/>
      <c r="F9803" s="18"/>
    </row>
    <row r="9804" spans="5:6" ht="15" customHeight="1" x14ac:dyDescent="0.2">
      <c r="E9804" s="18"/>
      <c r="F9804" s="18"/>
    </row>
    <row r="9805" spans="5:6" ht="15" customHeight="1" x14ac:dyDescent="0.2">
      <c r="E9805" s="18"/>
      <c r="F9805" s="18"/>
    </row>
    <row r="9806" spans="5:6" ht="15" customHeight="1" x14ac:dyDescent="0.2">
      <c r="E9806" s="18"/>
      <c r="F9806" s="18"/>
    </row>
    <row r="9807" spans="5:6" ht="15" customHeight="1" x14ac:dyDescent="0.2">
      <c r="E9807" s="18"/>
      <c r="F9807" s="18"/>
    </row>
    <row r="9808" spans="5:6" ht="15" customHeight="1" x14ac:dyDescent="0.2">
      <c r="E9808" s="18"/>
      <c r="F9808" s="18"/>
    </row>
    <row r="9809" spans="5:6" ht="15" customHeight="1" x14ac:dyDescent="0.2">
      <c r="E9809" s="18"/>
      <c r="F9809" s="18"/>
    </row>
    <row r="9810" spans="5:6" ht="15" customHeight="1" x14ac:dyDescent="0.2">
      <c r="E9810" s="18"/>
      <c r="F9810" s="18"/>
    </row>
    <row r="9811" spans="5:6" ht="15" customHeight="1" x14ac:dyDescent="0.2">
      <c r="E9811" s="18"/>
      <c r="F9811" s="18"/>
    </row>
    <row r="9812" spans="5:6" ht="15" customHeight="1" x14ac:dyDescent="0.2">
      <c r="E9812" s="18"/>
      <c r="F9812" s="18"/>
    </row>
    <row r="9813" spans="5:6" ht="15" customHeight="1" x14ac:dyDescent="0.2">
      <c r="E9813" s="18"/>
      <c r="F9813" s="18"/>
    </row>
    <row r="9814" spans="5:6" ht="15" customHeight="1" x14ac:dyDescent="0.2">
      <c r="E9814" s="18"/>
      <c r="F9814" s="18"/>
    </row>
    <row r="9815" spans="5:6" ht="15" customHeight="1" x14ac:dyDescent="0.2">
      <c r="E9815" s="18"/>
      <c r="F9815" s="18"/>
    </row>
    <row r="9816" spans="5:6" ht="15" customHeight="1" x14ac:dyDescent="0.2">
      <c r="E9816" s="18"/>
      <c r="F9816" s="18"/>
    </row>
    <row r="9817" spans="5:6" ht="15" customHeight="1" x14ac:dyDescent="0.2">
      <c r="E9817" s="18"/>
      <c r="F9817" s="18"/>
    </row>
    <row r="9818" spans="5:6" ht="15" customHeight="1" x14ac:dyDescent="0.2">
      <c r="E9818" s="18"/>
      <c r="F9818" s="18"/>
    </row>
    <row r="9819" spans="5:6" ht="15" customHeight="1" x14ac:dyDescent="0.2">
      <c r="E9819" s="18"/>
      <c r="F9819" s="18"/>
    </row>
    <row r="9820" spans="5:6" ht="15" customHeight="1" x14ac:dyDescent="0.2">
      <c r="E9820" s="18"/>
      <c r="F9820" s="18"/>
    </row>
    <row r="9821" spans="5:6" ht="15" customHeight="1" x14ac:dyDescent="0.2">
      <c r="E9821" s="18"/>
      <c r="F9821" s="18"/>
    </row>
    <row r="9822" spans="5:6" ht="15" customHeight="1" x14ac:dyDescent="0.2">
      <c r="E9822" s="18"/>
      <c r="F9822" s="18"/>
    </row>
    <row r="9823" spans="5:6" ht="15" customHeight="1" x14ac:dyDescent="0.2">
      <c r="E9823" s="18"/>
      <c r="F9823" s="18"/>
    </row>
    <row r="9824" spans="5:6" ht="15" customHeight="1" x14ac:dyDescent="0.2">
      <c r="E9824" s="18"/>
      <c r="F9824" s="18"/>
    </row>
    <row r="9825" spans="5:6" ht="15" customHeight="1" x14ac:dyDescent="0.2">
      <c r="E9825" s="18"/>
      <c r="F9825" s="18"/>
    </row>
    <row r="9826" spans="5:6" ht="15" customHeight="1" x14ac:dyDescent="0.2">
      <c r="E9826" s="18"/>
      <c r="F9826" s="18"/>
    </row>
    <row r="9827" spans="5:6" ht="15" customHeight="1" x14ac:dyDescent="0.2">
      <c r="E9827" s="18"/>
      <c r="F9827" s="18"/>
    </row>
    <row r="9828" spans="5:6" ht="15" customHeight="1" x14ac:dyDescent="0.2">
      <c r="E9828" s="18"/>
      <c r="F9828" s="18"/>
    </row>
    <row r="9829" spans="5:6" ht="15" customHeight="1" x14ac:dyDescent="0.2">
      <c r="E9829" s="18"/>
      <c r="F9829" s="18"/>
    </row>
    <row r="9830" spans="5:6" ht="15" customHeight="1" x14ac:dyDescent="0.2">
      <c r="E9830" s="18"/>
      <c r="F9830" s="18"/>
    </row>
    <row r="9831" spans="5:6" ht="15" customHeight="1" x14ac:dyDescent="0.2">
      <c r="E9831" s="18"/>
      <c r="F9831" s="18"/>
    </row>
    <row r="9832" spans="5:6" ht="15" customHeight="1" x14ac:dyDescent="0.2">
      <c r="E9832" s="18"/>
      <c r="F9832" s="18"/>
    </row>
    <row r="9833" spans="5:6" ht="15" customHeight="1" x14ac:dyDescent="0.2">
      <c r="E9833" s="18"/>
      <c r="F9833" s="18"/>
    </row>
    <row r="9834" spans="5:6" ht="15" customHeight="1" x14ac:dyDescent="0.2">
      <c r="E9834" s="18"/>
      <c r="F9834" s="18"/>
    </row>
    <row r="9835" spans="5:6" ht="15" customHeight="1" x14ac:dyDescent="0.2">
      <c r="E9835" s="18"/>
      <c r="F9835" s="18"/>
    </row>
    <row r="9836" spans="5:6" ht="15" customHeight="1" x14ac:dyDescent="0.2">
      <c r="E9836" s="18"/>
      <c r="F9836" s="18"/>
    </row>
    <row r="9837" spans="5:6" ht="15" customHeight="1" x14ac:dyDescent="0.2">
      <c r="E9837" s="18"/>
      <c r="F9837" s="18"/>
    </row>
    <row r="9838" spans="5:6" ht="15" customHeight="1" x14ac:dyDescent="0.2">
      <c r="E9838" s="18"/>
      <c r="F9838" s="18"/>
    </row>
    <row r="9839" spans="5:6" ht="15" customHeight="1" x14ac:dyDescent="0.2">
      <c r="E9839" s="18"/>
      <c r="F9839" s="18"/>
    </row>
    <row r="9840" spans="5:6" ht="15" customHeight="1" x14ac:dyDescent="0.2">
      <c r="E9840" s="18"/>
      <c r="F9840" s="18"/>
    </row>
    <row r="9841" spans="5:6" ht="15" customHeight="1" x14ac:dyDescent="0.2">
      <c r="E9841" s="18"/>
      <c r="F9841" s="18"/>
    </row>
    <row r="9842" spans="5:6" ht="15" customHeight="1" x14ac:dyDescent="0.2">
      <c r="E9842" s="18"/>
      <c r="F9842" s="18"/>
    </row>
    <row r="9843" spans="5:6" ht="15" customHeight="1" x14ac:dyDescent="0.2">
      <c r="E9843" s="18"/>
      <c r="F9843" s="18"/>
    </row>
    <row r="9844" spans="5:6" ht="15" customHeight="1" x14ac:dyDescent="0.2">
      <c r="E9844" s="18"/>
      <c r="F9844" s="18"/>
    </row>
    <row r="9845" spans="5:6" ht="15" customHeight="1" x14ac:dyDescent="0.2">
      <c r="E9845" s="18"/>
      <c r="F9845" s="18"/>
    </row>
    <row r="9846" spans="5:6" ht="15" customHeight="1" x14ac:dyDescent="0.2">
      <c r="E9846" s="18"/>
      <c r="F9846" s="18"/>
    </row>
    <row r="9847" spans="5:6" ht="15" customHeight="1" x14ac:dyDescent="0.2">
      <c r="E9847" s="18"/>
      <c r="F9847" s="18"/>
    </row>
    <row r="9848" spans="5:6" ht="15" customHeight="1" x14ac:dyDescent="0.2">
      <c r="E9848" s="18"/>
      <c r="F9848" s="18"/>
    </row>
    <row r="9849" spans="5:6" ht="15" customHeight="1" x14ac:dyDescent="0.2">
      <c r="E9849" s="18"/>
      <c r="F9849" s="18"/>
    </row>
    <row r="9850" spans="5:6" ht="15" customHeight="1" x14ac:dyDescent="0.2">
      <c r="E9850" s="18"/>
      <c r="F9850" s="18"/>
    </row>
    <row r="9851" spans="5:6" ht="15" customHeight="1" x14ac:dyDescent="0.2">
      <c r="E9851" s="18"/>
      <c r="F9851" s="18"/>
    </row>
    <row r="9852" spans="5:6" ht="15" customHeight="1" x14ac:dyDescent="0.2">
      <c r="E9852" s="18"/>
      <c r="F9852" s="18"/>
    </row>
    <row r="9853" spans="5:6" ht="15" customHeight="1" x14ac:dyDescent="0.2">
      <c r="E9853" s="18"/>
      <c r="F9853" s="18"/>
    </row>
    <row r="9854" spans="5:6" ht="15" customHeight="1" x14ac:dyDescent="0.2">
      <c r="E9854" s="18"/>
      <c r="F9854" s="18"/>
    </row>
    <row r="9855" spans="5:6" ht="15" customHeight="1" x14ac:dyDescent="0.2">
      <c r="E9855" s="18"/>
      <c r="F9855" s="18"/>
    </row>
    <row r="9856" spans="5:6" ht="15" customHeight="1" x14ac:dyDescent="0.2">
      <c r="E9856" s="18"/>
      <c r="F9856" s="18"/>
    </row>
    <row r="9857" spans="5:6" ht="15" customHeight="1" x14ac:dyDescent="0.2">
      <c r="E9857" s="18"/>
      <c r="F9857" s="18"/>
    </row>
    <row r="9858" spans="5:6" ht="15" customHeight="1" x14ac:dyDescent="0.2">
      <c r="E9858" s="18"/>
      <c r="F9858" s="18"/>
    </row>
    <row r="9859" spans="5:6" ht="15" customHeight="1" x14ac:dyDescent="0.2">
      <c r="E9859" s="18"/>
      <c r="F9859" s="18"/>
    </row>
    <row r="9860" spans="5:6" ht="15" customHeight="1" x14ac:dyDescent="0.2">
      <c r="E9860" s="18"/>
      <c r="F9860" s="18"/>
    </row>
    <row r="9861" spans="5:6" ht="15" customHeight="1" x14ac:dyDescent="0.2">
      <c r="E9861" s="18"/>
      <c r="F9861" s="18"/>
    </row>
    <row r="9862" spans="5:6" ht="15" customHeight="1" x14ac:dyDescent="0.2">
      <c r="E9862" s="18"/>
      <c r="F9862" s="18"/>
    </row>
    <row r="9863" spans="5:6" ht="15" customHeight="1" x14ac:dyDescent="0.2">
      <c r="E9863" s="18"/>
      <c r="F9863" s="18"/>
    </row>
    <row r="9864" spans="5:6" ht="15" customHeight="1" x14ac:dyDescent="0.2">
      <c r="E9864" s="18"/>
      <c r="F9864" s="18"/>
    </row>
    <row r="9865" spans="5:6" ht="15" customHeight="1" x14ac:dyDescent="0.2">
      <c r="E9865" s="18"/>
      <c r="F9865" s="18"/>
    </row>
    <row r="9866" spans="5:6" ht="15" customHeight="1" x14ac:dyDescent="0.2">
      <c r="E9866" s="18"/>
      <c r="F9866" s="18"/>
    </row>
    <row r="9867" spans="5:6" ht="15" customHeight="1" x14ac:dyDescent="0.2">
      <c r="E9867" s="18"/>
      <c r="F9867" s="18"/>
    </row>
    <row r="9868" spans="5:6" ht="15" customHeight="1" x14ac:dyDescent="0.2">
      <c r="E9868" s="18"/>
      <c r="F9868" s="18"/>
    </row>
    <row r="9869" spans="5:6" ht="15" customHeight="1" x14ac:dyDescent="0.2">
      <c r="E9869" s="18"/>
      <c r="F9869" s="18"/>
    </row>
    <row r="9870" spans="5:6" ht="15" customHeight="1" x14ac:dyDescent="0.2">
      <c r="E9870" s="18"/>
      <c r="F9870" s="18"/>
    </row>
    <row r="9871" spans="5:6" ht="15" customHeight="1" x14ac:dyDescent="0.2">
      <c r="E9871" s="18"/>
      <c r="F9871" s="18"/>
    </row>
    <row r="9872" spans="5:6" ht="15" customHeight="1" x14ac:dyDescent="0.2">
      <c r="E9872" s="18"/>
      <c r="F9872" s="18"/>
    </row>
    <row r="9873" spans="5:6" ht="15" customHeight="1" x14ac:dyDescent="0.2">
      <c r="E9873" s="18"/>
      <c r="F9873" s="18"/>
    </row>
    <row r="9874" spans="5:6" ht="15" customHeight="1" x14ac:dyDescent="0.2">
      <c r="E9874" s="18"/>
      <c r="F9874" s="18"/>
    </row>
    <row r="9875" spans="5:6" ht="15" customHeight="1" x14ac:dyDescent="0.2">
      <c r="E9875" s="18"/>
      <c r="F9875" s="18"/>
    </row>
    <row r="9876" spans="5:6" ht="15" customHeight="1" x14ac:dyDescent="0.2">
      <c r="E9876" s="18"/>
      <c r="F9876" s="18"/>
    </row>
    <row r="9877" spans="5:6" ht="15" customHeight="1" x14ac:dyDescent="0.2">
      <c r="E9877" s="18"/>
      <c r="F9877" s="18"/>
    </row>
    <row r="9878" spans="5:6" ht="15" customHeight="1" x14ac:dyDescent="0.2">
      <c r="E9878" s="18"/>
      <c r="F9878" s="18"/>
    </row>
    <row r="9879" spans="5:6" ht="15" customHeight="1" x14ac:dyDescent="0.2">
      <c r="E9879" s="18"/>
      <c r="F9879" s="18"/>
    </row>
    <row r="9880" spans="5:6" ht="15" customHeight="1" x14ac:dyDescent="0.2">
      <c r="E9880" s="18"/>
      <c r="F9880" s="18"/>
    </row>
    <row r="9881" spans="5:6" ht="15" customHeight="1" x14ac:dyDescent="0.2">
      <c r="E9881" s="18"/>
      <c r="F9881" s="18"/>
    </row>
    <row r="9882" spans="5:6" ht="15" customHeight="1" x14ac:dyDescent="0.2">
      <c r="E9882" s="18"/>
      <c r="F9882" s="18"/>
    </row>
    <row r="9883" spans="5:6" ht="15" customHeight="1" x14ac:dyDescent="0.2">
      <c r="E9883" s="18"/>
      <c r="F9883" s="18"/>
    </row>
    <row r="9884" spans="5:6" ht="15" customHeight="1" x14ac:dyDescent="0.2">
      <c r="E9884" s="18"/>
      <c r="F9884" s="18"/>
    </row>
    <row r="9885" spans="5:6" ht="15" customHeight="1" x14ac:dyDescent="0.2">
      <c r="E9885" s="18"/>
      <c r="F9885" s="18"/>
    </row>
    <row r="9886" spans="5:6" ht="15" customHeight="1" x14ac:dyDescent="0.2">
      <c r="E9886" s="18"/>
      <c r="F9886" s="18"/>
    </row>
    <row r="9887" spans="5:6" ht="15" customHeight="1" x14ac:dyDescent="0.2">
      <c r="E9887" s="18"/>
      <c r="F9887" s="18"/>
    </row>
    <row r="9888" spans="5:6" ht="15" customHeight="1" x14ac:dyDescent="0.2">
      <c r="E9888" s="18"/>
      <c r="F9888" s="18"/>
    </row>
    <row r="9889" spans="5:6" ht="15" customHeight="1" x14ac:dyDescent="0.2">
      <c r="E9889" s="18"/>
      <c r="F9889" s="18"/>
    </row>
    <row r="9890" spans="5:6" ht="15" customHeight="1" x14ac:dyDescent="0.2">
      <c r="E9890" s="18"/>
      <c r="F9890" s="18"/>
    </row>
    <row r="9891" spans="5:6" ht="15" customHeight="1" x14ac:dyDescent="0.2">
      <c r="E9891" s="18"/>
      <c r="F9891" s="18"/>
    </row>
    <row r="9892" spans="5:6" ht="15" customHeight="1" x14ac:dyDescent="0.2">
      <c r="E9892" s="18"/>
      <c r="F9892" s="18"/>
    </row>
    <row r="9893" spans="5:6" ht="15" customHeight="1" x14ac:dyDescent="0.2">
      <c r="E9893" s="18"/>
      <c r="F9893" s="18"/>
    </row>
    <row r="9894" spans="5:6" ht="15" customHeight="1" x14ac:dyDescent="0.2">
      <c r="E9894" s="18"/>
      <c r="F9894" s="18"/>
    </row>
    <row r="9895" spans="5:6" ht="15" customHeight="1" x14ac:dyDescent="0.2">
      <c r="E9895" s="18"/>
      <c r="F9895" s="18"/>
    </row>
    <row r="9896" spans="5:6" ht="15" customHeight="1" x14ac:dyDescent="0.2">
      <c r="E9896" s="18"/>
      <c r="F9896" s="18"/>
    </row>
    <row r="9897" spans="5:6" ht="15" customHeight="1" x14ac:dyDescent="0.2">
      <c r="E9897" s="18"/>
      <c r="F9897" s="18"/>
    </row>
    <row r="9898" spans="5:6" ht="15" customHeight="1" x14ac:dyDescent="0.2">
      <c r="E9898" s="18"/>
      <c r="F9898" s="18"/>
    </row>
    <row r="9899" spans="5:6" ht="15" customHeight="1" x14ac:dyDescent="0.2">
      <c r="E9899" s="18"/>
      <c r="F9899" s="18"/>
    </row>
    <row r="9900" spans="5:6" ht="15" customHeight="1" x14ac:dyDescent="0.2">
      <c r="E9900" s="18"/>
      <c r="F9900" s="18"/>
    </row>
    <row r="9901" spans="5:6" ht="15" customHeight="1" x14ac:dyDescent="0.2">
      <c r="E9901" s="18"/>
      <c r="F9901" s="18"/>
    </row>
    <row r="9902" spans="5:6" ht="15" customHeight="1" x14ac:dyDescent="0.2">
      <c r="E9902" s="18"/>
      <c r="F9902" s="18"/>
    </row>
    <row r="9903" spans="5:6" ht="15" customHeight="1" x14ac:dyDescent="0.2">
      <c r="E9903" s="18"/>
      <c r="F9903" s="18"/>
    </row>
    <row r="9904" spans="5:6" ht="15" customHeight="1" x14ac:dyDescent="0.2">
      <c r="E9904" s="18"/>
      <c r="F9904" s="18"/>
    </row>
    <row r="9905" spans="5:6" ht="15" customHeight="1" x14ac:dyDescent="0.2">
      <c r="E9905" s="18"/>
      <c r="F9905" s="18"/>
    </row>
    <row r="9906" spans="5:6" ht="15" customHeight="1" x14ac:dyDescent="0.2">
      <c r="E9906" s="18"/>
      <c r="F9906" s="18"/>
    </row>
    <row r="9907" spans="5:6" ht="15" customHeight="1" x14ac:dyDescent="0.2">
      <c r="E9907" s="18"/>
      <c r="F9907" s="18"/>
    </row>
    <row r="9908" spans="5:6" ht="15" customHeight="1" x14ac:dyDescent="0.2">
      <c r="E9908" s="18"/>
      <c r="F9908" s="18"/>
    </row>
    <row r="9909" spans="5:6" ht="15" customHeight="1" x14ac:dyDescent="0.2">
      <c r="E9909" s="18"/>
      <c r="F9909" s="18"/>
    </row>
    <row r="9910" spans="5:6" ht="15" customHeight="1" x14ac:dyDescent="0.2">
      <c r="E9910" s="18"/>
      <c r="F9910" s="18"/>
    </row>
    <row r="9911" spans="5:6" ht="15" customHeight="1" x14ac:dyDescent="0.2">
      <c r="E9911" s="18"/>
      <c r="F9911" s="18"/>
    </row>
    <row r="9912" spans="5:6" ht="15" customHeight="1" x14ac:dyDescent="0.2">
      <c r="E9912" s="18"/>
      <c r="F9912" s="18"/>
    </row>
    <row r="9913" spans="5:6" ht="15" customHeight="1" x14ac:dyDescent="0.2">
      <c r="E9913" s="18"/>
      <c r="F9913" s="18"/>
    </row>
    <row r="9914" spans="5:6" ht="15" customHeight="1" x14ac:dyDescent="0.2">
      <c r="E9914" s="18"/>
      <c r="F9914" s="18"/>
    </row>
    <row r="9915" spans="5:6" ht="15" customHeight="1" x14ac:dyDescent="0.2">
      <c r="E9915" s="18"/>
      <c r="F9915" s="18"/>
    </row>
    <row r="9916" spans="5:6" ht="15" customHeight="1" x14ac:dyDescent="0.2">
      <c r="E9916" s="18"/>
      <c r="F9916" s="18"/>
    </row>
    <row r="9917" spans="5:6" ht="15" customHeight="1" x14ac:dyDescent="0.2">
      <c r="E9917" s="18"/>
      <c r="F9917" s="18"/>
    </row>
    <row r="9918" spans="5:6" ht="15" customHeight="1" x14ac:dyDescent="0.2">
      <c r="E9918" s="18"/>
      <c r="F9918" s="18"/>
    </row>
    <row r="9919" spans="5:6" ht="15" customHeight="1" x14ac:dyDescent="0.2">
      <c r="E9919" s="18"/>
      <c r="F9919" s="18"/>
    </row>
    <row r="9920" spans="5:6" ht="15" customHeight="1" x14ac:dyDescent="0.2">
      <c r="E9920" s="18"/>
      <c r="F9920" s="18"/>
    </row>
    <row r="9921" spans="5:6" ht="15" customHeight="1" x14ac:dyDescent="0.2">
      <c r="E9921" s="18"/>
      <c r="F9921" s="18"/>
    </row>
    <row r="9922" spans="5:6" ht="15" customHeight="1" x14ac:dyDescent="0.2">
      <c r="E9922" s="18"/>
      <c r="F9922" s="18"/>
    </row>
    <row r="9923" spans="5:6" ht="15" customHeight="1" x14ac:dyDescent="0.2">
      <c r="E9923" s="18"/>
      <c r="F9923" s="18"/>
    </row>
    <row r="9924" spans="5:6" ht="15" customHeight="1" x14ac:dyDescent="0.2">
      <c r="E9924" s="18"/>
      <c r="F9924" s="18"/>
    </row>
    <row r="9925" spans="5:6" ht="15" customHeight="1" x14ac:dyDescent="0.2">
      <c r="E9925" s="18"/>
      <c r="F9925" s="18"/>
    </row>
    <row r="9926" spans="5:6" ht="15" customHeight="1" x14ac:dyDescent="0.2">
      <c r="E9926" s="18"/>
      <c r="F9926" s="18"/>
    </row>
    <row r="9927" spans="5:6" ht="15" customHeight="1" x14ac:dyDescent="0.2">
      <c r="E9927" s="18"/>
      <c r="F9927" s="18"/>
    </row>
    <row r="9928" spans="5:6" ht="15" customHeight="1" x14ac:dyDescent="0.2">
      <c r="E9928" s="18"/>
      <c r="F9928" s="18"/>
    </row>
    <row r="9929" spans="5:6" ht="15" customHeight="1" x14ac:dyDescent="0.2">
      <c r="E9929" s="18"/>
      <c r="F9929" s="18"/>
    </row>
    <row r="9930" spans="5:6" ht="15" customHeight="1" x14ac:dyDescent="0.2">
      <c r="E9930" s="18"/>
      <c r="F9930" s="18"/>
    </row>
    <row r="9931" spans="5:6" ht="15" customHeight="1" x14ac:dyDescent="0.2">
      <c r="E9931" s="18"/>
      <c r="F9931" s="18"/>
    </row>
    <row r="9932" spans="5:6" ht="15" customHeight="1" x14ac:dyDescent="0.2">
      <c r="E9932" s="18"/>
      <c r="F9932" s="18"/>
    </row>
    <row r="9933" spans="5:6" ht="15" customHeight="1" x14ac:dyDescent="0.2">
      <c r="E9933" s="18"/>
      <c r="F9933" s="18"/>
    </row>
    <row r="9934" spans="5:6" ht="15" customHeight="1" x14ac:dyDescent="0.2">
      <c r="E9934" s="18"/>
      <c r="F9934" s="18"/>
    </row>
    <row r="9935" spans="5:6" ht="15" customHeight="1" x14ac:dyDescent="0.2">
      <c r="E9935" s="18"/>
      <c r="F9935" s="18"/>
    </row>
    <row r="9936" spans="5:6" ht="15" customHeight="1" x14ac:dyDescent="0.2">
      <c r="E9936" s="18"/>
      <c r="F9936" s="18"/>
    </row>
    <row r="9937" spans="5:6" ht="15" customHeight="1" x14ac:dyDescent="0.2">
      <c r="E9937" s="18"/>
      <c r="F9937" s="18"/>
    </row>
    <row r="9938" spans="5:6" ht="15" customHeight="1" x14ac:dyDescent="0.2">
      <c r="E9938" s="18"/>
      <c r="F9938" s="18"/>
    </row>
    <row r="9939" spans="5:6" ht="15" customHeight="1" x14ac:dyDescent="0.2">
      <c r="E9939" s="18"/>
      <c r="F9939" s="18"/>
    </row>
    <row r="9940" spans="5:6" ht="15" customHeight="1" x14ac:dyDescent="0.2">
      <c r="E9940" s="18"/>
      <c r="F9940" s="18"/>
    </row>
    <row r="9941" spans="5:6" ht="15" customHeight="1" x14ac:dyDescent="0.2">
      <c r="E9941" s="18"/>
      <c r="F9941" s="18"/>
    </row>
    <row r="9942" spans="5:6" ht="15" customHeight="1" x14ac:dyDescent="0.2">
      <c r="E9942" s="18"/>
      <c r="F9942" s="18"/>
    </row>
    <row r="9943" spans="5:6" ht="15" customHeight="1" x14ac:dyDescent="0.2">
      <c r="E9943" s="18"/>
      <c r="F9943" s="18"/>
    </row>
    <row r="9944" spans="5:6" ht="15" customHeight="1" x14ac:dyDescent="0.2">
      <c r="E9944" s="18"/>
      <c r="F9944" s="18"/>
    </row>
    <row r="9945" spans="5:6" ht="15" customHeight="1" x14ac:dyDescent="0.2">
      <c r="E9945" s="18"/>
      <c r="F9945" s="18"/>
    </row>
    <row r="9946" spans="5:6" ht="15" customHeight="1" x14ac:dyDescent="0.2">
      <c r="E9946" s="18"/>
      <c r="F9946" s="18"/>
    </row>
    <row r="9947" spans="5:6" ht="15" customHeight="1" x14ac:dyDescent="0.2">
      <c r="E9947" s="18"/>
      <c r="F9947" s="18"/>
    </row>
    <row r="9948" spans="5:6" ht="15" customHeight="1" x14ac:dyDescent="0.2">
      <c r="E9948" s="18"/>
      <c r="F9948" s="18"/>
    </row>
    <row r="9949" spans="5:6" ht="15" customHeight="1" x14ac:dyDescent="0.2">
      <c r="E9949" s="18"/>
      <c r="F9949" s="18"/>
    </row>
    <row r="9950" spans="5:6" ht="15" customHeight="1" x14ac:dyDescent="0.2">
      <c r="E9950" s="18"/>
      <c r="F9950" s="18"/>
    </row>
    <row r="9951" spans="5:6" ht="15" customHeight="1" x14ac:dyDescent="0.2">
      <c r="E9951" s="18"/>
      <c r="F9951" s="18"/>
    </row>
    <row r="9952" spans="5:6" ht="15" customHeight="1" x14ac:dyDescent="0.2">
      <c r="E9952" s="18"/>
      <c r="F9952" s="18"/>
    </row>
    <row r="9953" spans="5:6" ht="15" customHeight="1" x14ac:dyDescent="0.2">
      <c r="E9953" s="18"/>
      <c r="F9953" s="18"/>
    </row>
    <row r="9954" spans="5:6" ht="15" customHeight="1" x14ac:dyDescent="0.2">
      <c r="E9954" s="18"/>
      <c r="F9954" s="18"/>
    </row>
    <row r="9955" spans="5:6" ht="15" customHeight="1" x14ac:dyDescent="0.2">
      <c r="E9955" s="18"/>
      <c r="F9955" s="18"/>
    </row>
    <row r="9956" spans="5:6" ht="15" customHeight="1" x14ac:dyDescent="0.2">
      <c r="E9956" s="18"/>
      <c r="F9956" s="18"/>
    </row>
    <row r="9957" spans="5:6" ht="15" customHeight="1" x14ac:dyDescent="0.2">
      <c r="E9957" s="18"/>
      <c r="F9957" s="18"/>
    </row>
    <row r="9958" spans="5:6" ht="15" customHeight="1" x14ac:dyDescent="0.2">
      <c r="E9958" s="18"/>
      <c r="F9958" s="18"/>
    </row>
    <row r="9959" spans="5:6" ht="15" customHeight="1" x14ac:dyDescent="0.2">
      <c r="E9959" s="18"/>
      <c r="F9959" s="18"/>
    </row>
    <row r="9960" spans="5:6" ht="15" customHeight="1" x14ac:dyDescent="0.2">
      <c r="E9960" s="18"/>
      <c r="F9960" s="18"/>
    </row>
    <row r="9961" spans="5:6" ht="15" customHeight="1" x14ac:dyDescent="0.2">
      <c r="E9961" s="18"/>
      <c r="F9961" s="18"/>
    </row>
    <row r="9962" spans="5:6" ht="15" customHeight="1" x14ac:dyDescent="0.2">
      <c r="E9962" s="18"/>
      <c r="F9962" s="18"/>
    </row>
    <row r="9963" spans="5:6" ht="15" customHeight="1" x14ac:dyDescent="0.2">
      <c r="E9963" s="18"/>
      <c r="F9963" s="18"/>
    </row>
    <row r="9964" spans="5:6" ht="15" customHeight="1" x14ac:dyDescent="0.2">
      <c r="E9964" s="18"/>
      <c r="F9964" s="18"/>
    </row>
    <row r="9965" spans="5:6" ht="15" customHeight="1" x14ac:dyDescent="0.2">
      <c r="E9965" s="18"/>
      <c r="F9965" s="18"/>
    </row>
    <row r="9966" spans="5:6" ht="15" customHeight="1" x14ac:dyDescent="0.2">
      <c r="E9966" s="18"/>
      <c r="F9966" s="18"/>
    </row>
    <row r="9967" spans="5:6" ht="15" customHeight="1" x14ac:dyDescent="0.2">
      <c r="E9967" s="18"/>
      <c r="F9967" s="18"/>
    </row>
    <row r="9968" spans="5:6" ht="15" customHeight="1" x14ac:dyDescent="0.2">
      <c r="E9968" s="18"/>
      <c r="F9968" s="18"/>
    </row>
    <row r="9969" spans="5:6" ht="15" customHeight="1" x14ac:dyDescent="0.2">
      <c r="E9969" s="18"/>
      <c r="F9969" s="18"/>
    </row>
    <row r="9970" spans="5:6" ht="15" customHeight="1" x14ac:dyDescent="0.2">
      <c r="E9970" s="18"/>
      <c r="F9970" s="18"/>
    </row>
    <row r="9971" spans="5:6" ht="15" customHeight="1" x14ac:dyDescent="0.2">
      <c r="E9971" s="18"/>
      <c r="F9971" s="18"/>
    </row>
    <row r="9972" spans="5:6" ht="15" customHeight="1" x14ac:dyDescent="0.2">
      <c r="E9972" s="18"/>
      <c r="F9972" s="18"/>
    </row>
    <row r="9973" spans="5:6" ht="15" customHeight="1" x14ac:dyDescent="0.2">
      <c r="E9973" s="18"/>
      <c r="F9973" s="18"/>
    </row>
    <row r="9974" spans="5:6" ht="15" customHeight="1" x14ac:dyDescent="0.2">
      <c r="E9974" s="18"/>
      <c r="F9974" s="18"/>
    </row>
    <row r="9975" spans="5:6" ht="15" customHeight="1" x14ac:dyDescent="0.2">
      <c r="E9975" s="18"/>
      <c r="F9975" s="18"/>
    </row>
    <row r="9976" spans="5:6" ht="15" customHeight="1" x14ac:dyDescent="0.2">
      <c r="E9976" s="18"/>
      <c r="F9976" s="18"/>
    </row>
    <row r="9977" spans="5:6" ht="15" customHeight="1" x14ac:dyDescent="0.2">
      <c r="E9977" s="18"/>
      <c r="F9977" s="18"/>
    </row>
    <row r="9978" spans="5:6" ht="15" customHeight="1" x14ac:dyDescent="0.2">
      <c r="E9978" s="18"/>
      <c r="F9978" s="18"/>
    </row>
    <row r="9979" spans="5:6" ht="15" customHeight="1" x14ac:dyDescent="0.2">
      <c r="E9979" s="18"/>
      <c r="F9979" s="18"/>
    </row>
    <row r="9980" spans="5:6" ht="15" customHeight="1" x14ac:dyDescent="0.2">
      <c r="E9980" s="18"/>
      <c r="F9980" s="18"/>
    </row>
    <row r="9981" spans="5:6" ht="15" customHeight="1" x14ac:dyDescent="0.2">
      <c r="E9981" s="18"/>
      <c r="F9981" s="18"/>
    </row>
    <row r="9982" spans="5:6" ht="15" customHeight="1" x14ac:dyDescent="0.2">
      <c r="E9982" s="18"/>
      <c r="F9982" s="18"/>
    </row>
    <row r="9983" spans="5:6" ht="15" customHeight="1" x14ac:dyDescent="0.2">
      <c r="E9983" s="18"/>
      <c r="F9983" s="18"/>
    </row>
    <row r="9984" spans="5:6" ht="15" customHeight="1" x14ac:dyDescent="0.2">
      <c r="E9984" s="18"/>
      <c r="F9984" s="18"/>
    </row>
    <row r="9985" spans="5:6" ht="15" customHeight="1" x14ac:dyDescent="0.2">
      <c r="E9985" s="18"/>
      <c r="F9985" s="18"/>
    </row>
    <row r="9986" spans="5:6" ht="15" customHeight="1" x14ac:dyDescent="0.2">
      <c r="E9986" s="18"/>
      <c r="F9986" s="18"/>
    </row>
    <row r="9987" spans="5:6" ht="15" customHeight="1" x14ac:dyDescent="0.2">
      <c r="E9987" s="18"/>
      <c r="F9987" s="18"/>
    </row>
    <row r="9988" spans="5:6" ht="15" customHeight="1" x14ac:dyDescent="0.2">
      <c r="E9988" s="18"/>
      <c r="F9988" s="18"/>
    </row>
    <row r="9989" spans="5:6" ht="15" customHeight="1" x14ac:dyDescent="0.2">
      <c r="E9989" s="18"/>
      <c r="F9989" s="18"/>
    </row>
    <row r="9990" spans="5:6" ht="15" customHeight="1" x14ac:dyDescent="0.2">
      <c r="E9990" s="18"/>
      <c r="F9990" s="18"/>
    </row>
    <row r="9991" spans="5:6" ht="15" customHeight="1" x14ac:dyDescent="0.2">
      <c r="E9991" s="18"/>
      <c r="F9991" s="18"/>
    </row>
    <row r="9992" spans="5:6" ht="15" customHeight="1" x14ac:dyDescent="0.2">
      <c r="E9992" s="18"/>
      <c r="F9992" s="18"/>
    </row>
    <row r="9993" spans="5:6" ht="15" customHeight="1" x14ac:dyDescent="0.2">
      <c r="E9993" s="18"/>
      <c r="F9993" s="18"/>
    </row>
    <row r="9994" spans="5:6" ht="15" customHeight="1" x14ac:dyDescent="0.2">
      <c r="E9994" s="18"/>
      <c r="F9994" s="18"/>
    </row>
    <row r="9995" spans="5:6" ht="15" customHeight="1" x14ac:dyDescent="0.2">
      <c r="E9995" s="18"/>
      <c r="F9995" s="18"/>
    </row>
    <row r="9996" spans="5:6" ht="15" customHeight="1" x14ac:dyDescent="0.2">
      <c r="E9996" s="18"/>
      <c r="F9996" s="18"/>
    </row>
    <row r="9997" spans="5:6" ht="15" customHeight="1" x14ac:dyDescent="0.2">
      <c r="E9997" s="18"/>
      <c r="F9997" s="18"/>
    </row>
    <row r="9998" spans="5:6" ht="15" customHeight="1" x14ac:dyDescent="0.2">
      <c r="E9998" s="18"/>
      <c r="F9998" s="18"/>
    </row>
    <row r="9999" spans="5:6" ht="15" customHeight="1" x14ac:dyDescent="0.2">
      <c r="E9999" s="18"/>
      <c r="F9999" s="18"/>
    </row>
    <row r="10000" spans="5:6" ht="15" customHeight="1" x14ac:dyDescent="0.2">
      <c r="E10000" s="18"/>
      <c r="F10000" s="18"/>
    </row>
    <row r="10001" spans="5:6" ht="15" customHeight="1" x14ac:dyDescent="0.2">
      <c r="E10001" s="18"/>
      <c r="F10001" s="18"/>
    </row>
    <row r="10002" spans="5:6" ht="15" customHeight="1" x14ac:dyDescent="0.2">
      <c r="E10002" s="18"/>
      <c r="F10002" s="18"/>
    </row>
    <row r="10003" spans="5:6" ht="15" customHeight="1" x14ac:dyDescent="0.2">
      <c r="E10003" s="18"/>
      <c r="F10003" s="18"/>
    </row>
    <row r="10004" spans="5:6" ht="15" customHeight="1" x14ac:dyDescent="0.2">
      <c r="E10004" s="18"/>
      <c r="F10004" s="18"/>
    </row>
    <row r="10005" spans="5:6" ht="15" customHeight="1" x14ac:dyDescent="0.2">
      <c r="E10005" s="18"/>
      <c r="F10005" s="18"/>
    </row>
    <row r="10006" spans="5:6" ht="15" customHeight="1" x14ac:dyDescent="0.2">
      <c r="E10006" s="18"/>
      <c r="F10006" s="18"/>
    </row>
    <row r="10007" spans="5:6" ht="15" customHeight="1" x14ac:dyDescent="0.2">
      <c r="E10007" s="18"/>
      <c r="F10007" s="18"/>
    </row>
    <row r="10008" spans="5:6" ht="15" customHeight="1" x14ac:dyDescent="0.2">
      <c r="E10008" s="18"/>
      <c r="F10008" s="18"/>
    </row>
    <row r="10009" spans="5:6" ht="15" customHeight="1" x14ac:dyDescent="0.2">
      <c r="E10009" s="18"/>
      <c r="F10009" s="18"/>
    </row>
    <row r="10010" spans="5:6" ht="15" customHeight="1" x14ac:dyDescent="0.2">
      <c r="E10010" s="18"/>
      <c r="F10010" s="18"/>
    </row>
    <row r="10011" spans="5:6" ht="15" customHeight="1" x14ac:dyDescent="0.2">
      <c r="E10011" s="18"/>
      <c r="F10011" s="18"/>
    </row>
    <row r="10012" spans="5:6" ht="15" customHeight="1" x14ac:dyDescent="0.2">
      <c r="E10012" s="18"/>
      <c r="F10012" s="18"/>
    </row>
    <row r="10013" spans="5:6" ht="15" customHeight="1" x14ac:dyDescent="0.2">
      <c r="E10013" s="18"/>
      <c r="F10013" s="18"/>
    </row>
    <row r="10014" spans="5:6" ht="15" customHeight="1" x14ac:dyDescent="0.2">
      <c r="E10014" s="18"/>
      <c r="F10014" s="18"/>
    </row>
    <row r="10015" spans="5:6" ht="15" customHeight="1" x14ac:dyDescent="0.2">
      <c r="E10015" s="18"/>
      <c r="F10015" s="18"/>
    </row>
    <row r="10016" spans="5:6" ht="15" customHeight="1" x14ac:dyDescent="0.2">
      <c r="E10016" s="18"/>
      <c r="F10016" s="18"/>
    </row>
    <row r="10017" spans="5:6" ht="15" customHeight="1" x14ac:dyDescent="0.2">
      <c r="E10017" s="18"/>
      <c r="F10017" s="18"/>
    </row>
    <row r="10018" spans="5:6" ht="15" customHeight="1" x14ac:dyDescent="0.2">
      <c r="E10018" s="18"/>
      <c r="F10018" s="18"/>
    </row>
    <row r="10019" spans="5:6" ht="15" customHeight="1" x14ac:dyDescent="0.2">
      <c r="E10019" s="18"/>
      <c r="F10019" s="18"/>
    </row>
    <row r="10020" spans="5:6" ht="15" customHeight="1" x14ac:dyDescent="0.2">
      <c r="E10020" s="18"/>
      <c r="F10020" s="18"/>
    </row>
    <row r="10021" spans="5:6" ht="15" customHeight="1" x14ac:dyDescent="0.2">
      <c r="E10021" s="18"/>
      <c r="F10021" s="18"/>
    </row>
    <row r="10022" spans="5:6" ht="15" customHeight="1" x14ac:dyDescent="0.2">
      <c r="E10022" s="18"/>
      <c r="F10022" s="18"/>
    </row>
    <row r="10023" spans="5:6" ht="15" customHeight="1" x14ac:dyDescent="0.2">
      <c r="E10023" s="18"/>
      <c r="F10023" s="18"/>
    </row>
    <row r="10024" spans="5:6" ht="15" customHeight="1" x14ac:dyDescent="0.2">
      <c r="E10024" s="18"/>
      <c r="F10024" s="18"/>
    </row>
    <row r="10025" spans="5:6" ht="15" customHeight="1" x14ac:dyDescent="0.2">
      <c r="E10025" s="18"/>
      <c r="F10025" s="18"/>
    </row>
    <row r="10026" spans="5:6" ht="15" customHeight="1" x14ac:dyDescent="0.2">
      <c r="E10026" s="18"/>
      <c r="F10026" s="18"/>
    </row>
    <row r="10027" spans="5:6" ht="15" customHeight="1" x14ac:dyDescent="0.2">
      <c r="E10027" s="18"/>
      <c r="F10027" s="18"/>
    </row>
    <row r="10028" spans="5:6" ht="15" customHeight="1" x14ac:dyDescent="0.2">
      <c r="E10028" s="18"/>
      <c r="F10028" s="18"/>
    </row>
    <row r="10029" spans="5:6" ht="15" customHeight="1" x14ac:dyDescent="0.2">
      <c r="E10029" s="18"/>
      <c r="F10029" s="18"/>
    </row>
    <row r="10030" spans="5:6" ht="15" customHeight="1" x14ac:dyDescent="0.2">
      <c r="E10030" s="18"/>
      <c r="F10030" s="18"/>
    </row>
    <row r="10031" spans="5:6" ht="15" customHeight="1" x14ac:dyDescent="0.2">
      <c r="E10031" s="18"/>
      <c r="F10031" s="18"/>
    </row>
    <row r="10032" spans="5:6" ht="15" customHeight="1" x14ac:dyDescent="0.2">
      <c r="E10032" s="18"/>
      <c r="F10032" s="18"/>
    </row>
    <row r="10033" spans="5:6" ht="15" customHeight="1" x14ac:dyDescent="0.2">
      <c r="E10033" s="18"/>
      <c r="F10033" s="18"/>
    </row>
    <row r="10034" spans="5:6" ht="15" customHeight="1" x14ac:dyDescent="0.2">
      <c r="E10034" s="18"/>
      <c r="F10034" s="18"/>
    </row>
    <row r="10035" spans="5:6" ht="15" customHeight="1" x14ac:dyDescent="0.2">
      <c r="E10035" s="18"/>
      <c r="F10035" s="18"/>
    </row>
    <row r="10036" spans="5:6" ht="15" customHeight="1" x14ac:dyDescent="0.2">
      <c r="E10036" s="18"/>
      <c r="F10036" s="18"/>
    </row>
    <row r="10037" spans="5:6" ht="15" customHeight="1" x14ac:dyDescent="0.2">
      <c r="E10037" s="18"/>
      <c r="F10037" s="18"/>
    </row>
    <row r="10038" spans="5:6" ht="15" customHeight="1" x14ac:dyDescent="0.2">
      <c r="E10038" s="18"/>
      <c r="F10038" s="18"/>
    </row>
    <row r="10039" spans="5:6" ht="15" customHeight="1" x14ac:dyDescent="0.2">
      <c r="E10039" s="18"/>
      <c r="F10039" s="18"/>
    </row>
    <row r="10040" spans="5:6" ht="15" customHeight="1" x14ac:dyDescent="0.2">
      <c r="E10040" s="18"/>
      <c r="F10040" s="18"/>
    </row>
    <row r="10041" spans="5:6" ht="15" customHeight="1" x14ac:dyDescent="0.2">
      <c r="E10041" s="18"/>
      <c r="F10041" s="18"/>
    </row>
    <row r="10042" spans="5:6" ht="15" customHeight="1" x14ac:dyDescent="0.2">
      <c r="E10042" s="18"/>
      <c r="F10042" s="18"/>
    </row>
    <row r="10043" spans="5:6" ht="15" customHeight="1" x14ac:dyDescent="0.2">
      <c r="E10043" s="18"/>
      <c r="F10043" s="18"/>
    </row>
    <row r="10044" spans="5:6" ht="15" customHeight="1" x14ac:dyDescent="0.2">
      <c r="E10044" s="18"/>
      <c r="F10044" s="18"/>
    </row>
    <row r="10045" spans="5:6" ht="15" customHeight="1" x14ac:dyDescent="0.2">
      <c r="E10045" s="18"/>
      <c r="F10045" s="18"/>
    </row>
    <row r="10046" spans="5:6" ht="15" customHeight="1" x14ac:dyDescent="0.2">
      <c r="E10046" s="18"/>
      <c r="F10046" s="18"/>
    </row>
    <row r="10047" spans="5:6" ht="15" customHeight="1" x14ac:dyDescent="0.2">
      <c r="E10047" s="18"/>
      <c r="F10047" s="18"/>
    </row>
    <row r="10048" spans="5:6" ht="15" customHeight="1" x14ac:dyDescent="0.2">
      <c r="E10048" s="18"/>
      <c r="F10048" s="18"/>
    </row>
    <row r="10049" spans="5:6" ht="15" customHeight="1" x14ac:dyDescent="0.2">
      <c r="E10049" s="18"/>
      <c r="F10049" s="18"/>
    </row>
    <row r="10050" spans="5:6" ht="15" customHeight="1" x14ac:dyDescent="0.2">
      <c r="E10050" s="18"/>
      <c r="F10050" s="18"/>
    </row>
    <row r="10051" spans="5:6" ht="15" customHeight="1" x14ac:dyDescent="0.2">
      <c r="E10051" s="18"/>
      <c r="F10051" s="18"/>
    </row>
    <row r="10052" spans="5:6" ht="15" customHeight="1" x14ac:dyDescent="0.2">
      <c r="E10052" s="18"/>
      <c r="F10052" s="18"/>
    </row>
    <row r="10053" spans="5:6" ht="15" customHeight="1" x14ac:dyDescent="0.2">
      <c r="E10053" s="18"/>
      <c r="F10053" s="18"/>
    </row>
    <row r="10054" spans="5:6" ht="15" customHeight="1" x14ac:dyDescent="0.2">
      <c r="E10054" s="18"/>
      <c r="F10054" s="18"/>
    </row>
    <row r="10055" spans="5:6" ht="15" customHeight="1" x14ac:dyDescent="0.2">
      <c r="E10055" s="18"/>
      <c r="F10055" s="18"/>
    </row>
    <row r="10056" spans="5:6" ht="15" customHeight="1" x14ac:dyDescent="0.2">
      <c r="E10056" s="18"/>
      <c r="F10056" s="18"/>
    </row>
    <row r="10057" spans="5:6" ht="15" customHeight="1" x14ac:dyDescent="0.2">
      <c r="E10057" s="18"/>
      <c r="F10057" s="18"/>
    </row>
    <row r="10058" spans="5:6" ht="15" customHeight="1" x14ac:dyDescent="0.2">
      <c r="E10058" s="18"/>
      <c r="F10058" s="18"/>
    </row>
    <row r="10059" spans="5:6" ht="15" customHeight="1" x14ac:dyDescent="0.2">
      <c r="E10059" s="18"/>
      <c r="F10059" s="18"/>
    </row>
    <row r="10060" spans="5:6" ht="15" customHeight="1" x14ac:dyDescent="0.2">
      <c r="E10060" s="18"/>
      <c r="F10060" s="18"/>
    </row>
    <row r="10061" spans="5:6" ht="15" customHeight="1" x14ac:dyDescent="0.2">
      <c r="E10061" s="18"/>
      <c r="F10061" s="18"/>
    </row>
    <row r="10062" spans="5:6" ht="15" customHeight="1" x14ac:dyDescent="0.2">
      <c r="E10062" s="18"/>
      <c r="F10062" s="18"/>
    </row>
    <row r="10063" spans="5:6" ht="15" customHeight="1" x14ac:dyDescent="0.2">
      <c r="E10063" s="18"/>
      <c r="F10063" s="18"/>
    </row>
    <row r="10064" spans="5:6" ht="15" customHeight="1" x14ac:dyDescent="0.2">
      <c r="E10064" s="18"/>
      <c r="F10064" s="18"/>
    </row>
    <row r="10065" spans="5:6" ht="15" customHeight="1" x14ac:dyDescent="0.2">
      <c r="E10065" s="18"/>
      <c r="F10065" s="18"/>
    </row>
    <row r="10066" spans="5:6" ht="15" customHeight="1" x14ac:dyDescent="0.2">
      <c r="E10066" s="18"/>
      <c r="F10066" s="18"/>
    </row>
    <row r="10067" spans="5:6" ht="15" customHeight="1" x14ac:dyDescent="0.2">
      <c r="E10067" s="18"/>
      <c r="F10067" s="18"/>
    </row>
    <row r="10068" spans="5:6" ht="15" customHeight="1" x14ac:dyDescent="0.2">
      <c r="E10068" s="18"/>
      <c r="F10068" s="18"/>
    </row>
    <row r="10069" spans="5:6" ht="15" customHeight="1" x14ac:dyDescent="0.2">
      <c r="E10069" s="18"/>
      <c r="F10069" s="18"/>
    </row>
    <row r="10070" spans="5:6" ht="15" customHeight="1" x14ac:dyDescent="0.2">
      <c r="E10070" s="18"/>
      <c r="F10070" s="18"/>
    </row>
    <row r="10071" spans="5:6" ht="15" customHeight="1" x14ac:dyDescent="0.2">
      <c r="E10071" s="18"/>
      <c r="F10071" s="18"/>
    </row>
    <row r="10072" spans="5:6" ht="15" customHeight="1" x14ac:dyDescent="0.2">
      <c r="E10072" s="18"/>
      <c r="F10072" s="18"/>
    </row>
    <row r="10073" spans="5:6" ht="15" customHeight="1" x14ac:dyDescent="0.2">
      <c r="E10073" s="18"/>
      <c r="F10073" s="18"/>
    </row>
    <row r="10074" spans="5:6" ht="15" customHeight="1" x14ac:dyDescent="0.2">
      <c r="E10074" s="18"/>
      <c r="F10074" s="18"/>
    </row>
    <row r="10075" spans="5:6" ht="15" customHeight="1" x14ac:dyDescent="0.2">
      <c r="E10075" s="18"/>
      <c r="F10075" s="18"/>
    </row>
    <row r="10076" spans="5:6" ht="15" customHeight="1" x14ac:dyDescent="0.2">
      <c r="E10076" s="18"/>
      <c r="F10076" s="18"/>
    </row>
    <row r="10077" spans="5:6" ht="15" customHeight="1" x14ac:dyDescent="0.2">
      <c r="E10077" s="18"/>
      <c r="F10077" s="18"/>
    </row>
    <row r="10078" spans="5:6" ht="15" customHeight="1" x14ac:dyDescent="0.2">
      <c r="E10078" s="18"/>
      <c r="F10078" s="18"/>
    </row>
    <row r="10079" spans="5:6" ht="15" customHeight="1" x14ac:dyDescent="0.2">
      <c r="E10079" s="18"/>
      <c r="F10079" s="18"/>
    </row>
    <row r="10080" spans="5:6" ht="15" customHeight="1" x14ac:dyDescent="0.2">
      <c r="E10080" s="18"/>
      <c r="F10080" s="18"/>
    </row>
    <row r="10081" spans="5:6" ht="15" customHeight="1" x14ac:dyDescent="0.2">
      <c r="E10081" s="18"/>
      <c r="F10081" s="18"/>
    </row>
    <row r="10082" spans="5:6" ht="15" customHeight="1" x14ac:dyDescent="0.2">
      <c r="E10082" s="18"/>
      <c r="F10082" s="18"/>
    </row>
    <row r="10083" spans="5:6" ht="15" customHeight="1" x14ac:dyDescent="0.2">
      <c r="E10083" s="18"/>
      <c r="F10083" s="18"/>
    </row>
    <row r="10084" spans="5:6" ht="15" customHeight="1" x14ac:dyDescent="0.2">
      <c r="E10084" s="18"/>
      <c r="F10084" s="18"/>
    </row>
    <row r="10085" spans="5:6" ht="15" customHeight="1" x14ac:dyDescent="0.2">
      <c r="E10085" s="18"/>
      <c r="F10085" s="18"/>
    </row>
    <row r="10086" spans="5:6" ht="15" customHeight="1" x14ac:dyDescent="0.2">
      <c r="E10086" s="18"/>
      <c r="F10086" s="18"/>
    </row>
    <row r="10087" spans="5:6" ht="15" customHeight="1" x14ac:dyDescent="0.2">
      <c r="E10087" s="18"/>
      <c r="F10087" s="18"/>
    </row>
    <row r="10088" spans="5:6" ht="15" customHeight="1" x14ac:dyDescent="0.2">
      <c r="E10088" s="18"/>
      <c r="F10088" s="18"/>
    </row>
    <row r="10089" spans="5:6" ht="15" customHeight="1" x14ac:dyDescent="0.2">
      <c r="E10089" s="18"/>
      <c r="F10089" s="18"/>
    </row>
    <row r="10090" spans="5:6" ht="15" customHeight="1" x14ac:dyDescent="0.2">
      <c r="E10090" s="18"/>
      <c r="F10090" s="18"/>
    </row>
    <row r="10091" spans="5:6" ht="15" customHeight="1" x14ac:dyDescent="0.2">
      <c r="E10091" s="18"/>
      <c r="F10091" s="18"/>
    </row>
    <row r="10092" spans="5:6" ht="15" customHeight="1" x14ac:dyDescent="0.2">
      <c r="E10092" s="18"/>
      <c r="F10092" s="18"/>
    </row>
    <row r="10093" spans="5:6" ht="15" customHeight="1" x14ac:dyDescent="0.2">
      <c r="E10093" s="18"/>
      <c r="F10093" s="18"/>
    </row>
    <row r="10094" spans="5:6" ht="15" customHeight="1" x14ac:dyDescent="0.2">
      <c r="E10094" s="18"/>
      <c r="F10094" s="18"/>
    </row>
    <row r="10095" spans="5:6" ht="15" customHeight="1" x14ac:dyDescent="0.2">
      <c r="E10095" s="18"/>
      <c r="F10095" s="18"/>
    </row>
    <row r="10096" spans="5:6" ht="15" customHeight="1" x14ac:dyDescent="0.2">
      <c r="E10096" s="18"/>
      <c r="F10096" s="18"/>
    </row>
    <row r="10097" spans="5:6" ht="15" customHeight="1" x14ac:dyDescent="0.2">
      <c r="E10097" s="18"/>
      <c r="F10097" s="18"/>
    </row>
    <row r="10098" spans="5:6" ht="15" customHeight="1" x14ac:dyDescent="0.2">
      <c r="E10098" s="18"/>
      <c r="F10098" s="18"/>
    </row>
    <row r="10099" spans="5:6" ht="15" customHeight="1" x14ac:dyDescent="0.2">
      <c r="E10099" s="18"/>
      <c r="F10099" s="18"/>
    </row>
    <row r="10100" spans="5:6" ht="15" customHeight="1" x14ac:dyDescent="0.2">
      <c r="E10100" s="18"/>
      <c r="F10100" s="18"/>
    </row>
    <row r="10101" spans="5:6" ht="15" customHeight="1" x14ac:dyDescent="0.2">
      <c r="E10101" s="18"/>
      <c r="F10101" s="18"/>
    </row>
    <row r="10102" spans="5:6" ht="15" customHeight="1" x14ac:dyDescent="0.2">
      <c r="E10102" s="18"/>
      <c r="F10102" s="18"/>
    </row>
    <row r="10103" spans="5:6" ht="15" customHeight="1" x14ac:dyDescent="0.2">
      <c r="E10103" s="18"/>
      <c r="F10103" s="18"/>
    </row>
    <row r="10104" spans="5:6" ht="15" customHeight="1" x14ac:dyDescent="0.2">
      <c r="E10104" s="18"/>
      <c r="F10104" s="18"/>
    </row>
    <row r="10105" spans="5:6" ht="15" customHeight="1" x14ac:dyDescent="0.2">
      <c r="E10105" s="18"/>
      <c r="F10105" s="18"/>
    </row>
    <row r="10106" spans="5:6" ht="15" customHeight="1" x14ac:dyDescent="0.2">
      <c r="E10106" s="18"/>
      <c r="F10106" s="18"/>
    </row>
    <row r="10107" spans="5:6" ht="15" customHeight="1" x14ac:dyDescent="0.2">
      <c r="E10107" s="18"/>
      <c r="F10107" s="18"/>
    </row>
    <row r="10108" spans="5:6" ht="15" customHeight="1" x14ac:dyDescent="0.2">
      <c r="E10108" s="18"/>
      <c r="F10108" s="18"/>
    </row>
    <row r="10109" spans="5:6" ht="15" customHeight="1" x14ac:dyDescent="0.2">
      <c r="E10109" s="18"/>
      <c r="F10109" s="18"/>
    </row>
    <row r="10110" spans="5:6" ht="15" customHeight="1" x14ac:dyDescent="0.2">
      <c r="E10110" s="18"/>
      <c r="F10110" s="18"/>
    </row>
    <row r="10111" spans="5:6" ht="15" customHeight="1" x14ac:dyDescent="0.2">
      <c r="E10111" s="18"/>
      <c r="F10111" s="18"/>
    </row>
    <row r="10112" spans="5:6" ht="15" customHeight="1" x14ac:dyDescent="0.2">
      <c r="E10112" s="18"/>
      <c r="F10112" s="18"/>
    </row>
    <row r="10113" spans="5:6" ht="15" customHeight="1" x14ac:dyDescent="0.2">
      <c r="E10113" s="18"/>
      <c r="F10113" s="18"/>
    </row>
    <row r="10114" spans="5:6" ht="15" customHeight="1" x14ac:dyDescent="0.2">
      <c r="E10114" s="18"/>
      <c r="F10114" s="18"/>
    </row>
    <row r="10115" spans="5:6" ht="15" customHeight="1" x14ac:dyDescent="0.2">
      <c r="E10115" s="18"/>
      <c r="F10115" s="18"/>
    </row>
    <row r="10116" spans="5:6" ht="15" customHeight="1" x14ac:dyDescent="0.2">
      <c r="E10116" s="18"/>
      <c r="F10116" s="18"/>
    </row>
    <row r="10117" spans="5:6" ht="15" customHeight="1" x14ac:dyDescent="0.2">
      <c r="E10117" s="18"/>
      <c r="F10117" s="18"/>
    </row>
    <row r="10118" spans="5:6" ht="15" customHeight="1" x14ac:dyDescent="0.2">
      <c r="E10118" s="18"/>
      <c r="F10118" s="18"/>
    </row>
    <row r="10119" spans="5:6" ht="15" customHeight="1" x14ac:dyDescent="0.2">
      <c r="E10119" s="18"/>
      <c r="F10119" s="18"/>
    </row>
    <row r="10120" spans="5:6" ht="15" customHeight="1" x14ac:dyDescent="0.2">
      <c r="E10120" s="18"/>
      <c r="F10120" s="18"/>
    </row>
    <row r="10121" spans="5:6" ht="15" customHeight="1" x14ac:dyDescent="0.2">
      <c r="E10121" s="18"/>
      <c r="F10121" s="18"/>
    </row>
    <row r="10122" spans="5:6" ht="15" customHeight="1" x14ac:dyDescent="0.2">
      <c r="E10122" s="18"/>
      <c r="F10122" s="18"/>
    </row>
    <row r="10123" spans="5:6" ht="15" customHeight="1" x14ac:dyDescent="0.2">
      <c r="E10123" s="18"/>
      <c r="F10123" s="18"/>
    </row>
    <row r="10124" spans="5:6" ht="15" customHeight="1" x14ac:dyDescent="0.2">
      <c r="E10124" s="18"/>
      <c r="F10124" s="18"/>
    </row>
    <row r="10125" spans="5:6" ht="15" customHeight="1" x14ac:dyDescent="0.2">
      <c r="E10125" s="18"/>
      <c r="F10125" s="18"/>
    </row>
    <row r="10126" spans="5:6" ht="15" customHeight="1" x14ac:dyDescent="0.2">
      <c r="E10126" s="18"/>
      <c r="F10126" s="18"/>
    </row>
    <row r="10127" spans="5:6" ht="15" customHeight="1" x14ac:dyDescent="0.2">
      <c r="E10127" s="18"/>
      <c r="F10127" s="18"/>
    </row>
    <row r="10128" spans="5:6" ht="15" customHeight="1" x14ac:dyDescent="0.2">
      <c r="E10128" s="18"/>
      <c r="F10128" s="18"/>
    </row>
    <row r="10129" spans="5:6" ht="15" customHeight="1" x14ac:dyDescent="0.2">
      <c r="E10129" s="18"/>
      <c r="F10129" s="18"/>
    </row>
    <row r="10130" spans="5:6" ht="15" customHeight="1" x14ac:dyDescent="0.2">
      <c r="E10130" s="18"/>
      <c r="F10130" s="18"/>
    </row>
    <row r="10131" spans="5:6" ht="15" customHeight="1" x14ac:dyDescent="0.2">
      <c r="E10131" s="18"/>
      <c r="F10131" s="18"/>
    </row>
    <row r="10132" spans="5:6" ht="15" customHeight="1" x14ac:dyDescent="0.2">
      <c r="E10132" s="18"/>
      <c r="F10132" s="18"/>
    </row>
    <row r="10133" spans="5:6" ht="15" customHeight="1" x14ac:dyDescent="0.2">
      <c r="E10133" s="18"/>
      <c r="F10133" s="18"/>
    </row>
    <row r="10134" spans="5:6" ht="15" customHeight="1" x14ac:dyDescent="0.2">
      <c r="E10134" s="18"/>
      <c r="F10134" s="18"/>
    </row>
    <row r="10135" spans="5:6" ht="15" customHeight="1" x14ac:dyDescent="0.2">
      <c r="E10135" s="18"/>
      <c r="F10135" s="18"/>
    </row>
    <row r="10136" spans="5:6" ht="15" customHeight="1" x14ac:dyDescent="0.2">
      <c r="E10136" s="18"/>
      <c r="F10136" s="18"/>
    </row>
    <row r="10137" spans="5:6" ht="15" customHeight="1" x14ac:dyDescent="0.2">
      <c r="E10137" s="18"/>
      <c r="F10137" s="18"/>
    </row>
    <row r="10138" spans="5:6" ht="15" customHeight="1" x14ac:dyDescent="0.2">
      <c r="E10138" s="18"/>
      <c r="F10138" s="18"/>
    </row>
    <row r="10139" spans="5:6" ht="15" customHeight="1" x14ac:dyDescent="0.2">
      <c r="E10139" s="18"/>
      <c r="F10139" s="18"/>
    </row>
    <row r="10140" spans="5:6" ht="15" customHeight="1" x14ac:dyDescent="0.2">
      <c r="E10140" s="18"/>
      <c r="F10140" s="18"/>
    </row>
    <row r="10141" spans="5:6" ht="15" customHeight="1" x14ac:dyDescent="0.2">
      <c r="E10141" s="18"/>
      <c r="F10141" s="18"/>
    </row>
    <row r="10142" spans="5:6" ht="15" customHeight="1" x14ac:dyDescent="0.2">
      <c r="E10142" s="18"/>
      <c r="F10142" s="18"/>
    </row>
    <row r="10143" spans="5:6" ht="15" customHeight="1" x14ac:dyDescent="0.2">
      <c r="E10143" s="18"/>
      <c r="F10143" s="18"/>
    </row>
    <row r="10144" spans="5:6" ht="15" customHeight="1" x14ac:dyDescent="0.2">
      <c r="E10144" s="18"/>
      <c r="F10144" s="18"/>
    </row>
    <row r="10145" spans="5:6" ht="15" customHeight="1" x14ac:dyDescent="0.2">
      <c r="E10145" s="18"/>
      <c r="F10145" s="18"/>
    </row>
    <row r="10146" spans="5:6" ht="15" customHeight="1" x14ac:dyDescent="0.2">
      <c r="E10146" s="18"/>
      <c r="F10146" s="18"/>
    </row>
    <row r="10147" spans="5:6" ht="15" customHeight="1" x14ac:dyDescent="0.2">
      <c r="E10147" s="18"/>
      <c r="F10147" s="18"/>
    </row>
    <row r="10148" spans="5:6" ht="15" customHeight="1" x14ac:dyDescent="0.2">
      <c r="E10148" s="18"/>
      <c r="F10148" s="18"/>
    </row>
    <row r="10149" spans="5:6" ht="15" customHeight="1" x14ac:dyDescent="0.2">
      <c r="E10149" s="18"/>
      <c r="F10149" s="18"/>
    </row>
    <row r="10150" spans="5:6" ht="15" customHeight="1" x14ac:dyDescent="0.2">
      <c r="E10150" s="18"/>
      <c r="F10150" s="18"/>
    </row>
    <row r="10151" spans="5:6" ht="15" customHeight="1" x14ac:dyDescent="0.2">
      <c r="E10151" s="18"/>
      <c r="F10151" s="18"/>
    </row>
    <row r="10152" spans="5:6" ht="15" customHeight="1" x14ac:dyDescent="0.2">
      <c r="E10152" s="18"/>
      <c r="F10152" s="18"/>
    </row>
    <row r="10153" spans="5:6" ht="15" customHeight="1" x14ac:dyDescent="0.2">
      <c r="E10153" s="18"/>
      <c r="F10153" s="18"/>
    </row>
    <row r="10154" spans="5:6" ht="15" customHeight="1" x14ac:dyDescent="0.2">
      <c r="E10154" s="18"/>
      <c r="F10154" s="18"/>
    </row>
    <row r="10155" spans="5:6" ht="15" customHeight="1" x14ac:dyDescent="0.2">
      <c r="E10155" s="18"/>
      <c r="F10155" s="18"/>
    </row>
    <row r="10156" spans="5:6" ht="15" customHeight="1" x14ac:dyDescent="0.2">
      <c r="E10156" s="18"/>
      <c r="F10156" s="18"/>
    </row>
    <row r="10157" spans="5:6" ht="15" customHeight="1" x14ac:dyDescent="0.2">
      <c r="E10157" s="18"/>
      <c r="F10157" s="18"/>
    </row>
    <row r="10158" spans="5:6" ht="15" customHeight="1" x14ac:dyDescent="0.2">
      <c r="E10158" s="18"/>
      <c r="F10158" s="18"/>
    </row>
    <row r="10159" spans="5:6" ht="15" customHeight="1" x14ac:dyDescent="0.2">
      <c r="E10159" s="18"/>
      <c r="F10159" s="18"/>
    </row>
    <row r="10160" spans="5:6" ht="15" customHeight="1" x14ac:dyDescent="0.2">
      <c r="E10160" s="18"/>
      <c r="F10160" s="18"/>
    </row>
    <row r="10161" spans="5:6" ht="15" customHeight="1" x14ac:dyDescent="0.2">
      <c r="E10161" s="18"/>
      <c r="F10161" s="18"/>
    </row>
    <row r="10162" spans="5:6" ht="15" customHeight="1" x14ac:dyDescent="0.2">
      <c r="E10162" s="18"/>
      <c r="F10162" s="18"/>
    </row>
    <row r="10163" spans="5:6" ht="15" customHeight="1" x14ac:dyDescent="0.2">
      <c r="E10163" s="18"/>
      <c r="F10163" s="18"/>
    </row>
    <row r="10164" spans="5:6" ht="15" customHeight="1" x14ac:dyDescent="0.2">
      <c r="E10164" s="18"/>
      <c r="F10164" s="18"/>
    </row>
    <row r="10165" spans="5:6" ht="15" customHeight="1" x14ac:dyDescent="0.2">
      <c r="E10165" s="18"/>
      <c r="F10165" s="18"/>
    </row>
    <row r="10166" spans="5:6" ht="15" customHeight="1" x14ac:dyDescent="0.2">
      <c r="E10166" s="18"/>
      <c r="F10166" s="18"/>
    </row>
    <row r="10167" spans="5:6" ht="15" customHeight="1" x14ac:dyDescent="0.2">
      <c r="E10167" s="18"/>
      <c r="F10167" s="18"/>
    </row>
    <row r="10168" spans="5:6" ht="15" customHeight="1" x14ac:dyDescent="0.2">
      <c r="E10168" s="18"/>
      <c r="F10168" s="18"/>
    </row>
    <row r="10169" spans="5:6" ht="15" customHeight="1" x14ac:dyDescent="0.2">
      <c r="E10169" s="18"/>
      <c r="F10169" s="18"/>
    </row>
    <row r="10170" spans="5:6" ht="15" customHeight="1" x14ac:dyDescent="0.2">
      <c r="E10170" s="18"/>
      <c r="F10170" s="18"/>
    </row>
    <row r="10171" spans="5:6" ht="15" customHeight="1" x14ac:dyDescent="0.2">
      <c r="E10171" s="18"/>
      <c r="F10171" s="18"/>
    </row>
    <row r="10172" spans="5:6" ht="15" customHeight="1" x14ac:dyDescent="0.2">
      <c r="E10172" s="18"/>
      <c r="F10172" s="18"/>
    </row>
    <row r="10173" spans="5:6" ht="15" customHeight="1" x14ac:dyDescent="0.2">
      <c r="E10173" s="18"/>
      <c r="F10173" s="18"/>
    </row>
    <row r="10174" spans="5:6" ht="15" customHeight="1" x14ac:dyDescent="0.2">
      <c r="E10174" s="18"/>
      <c r="F10174" s="18"/>
    </row>
    <row r="10175" spans="5:6" ht="15" customHeight="1" x14ac:dyDescent="0.2">
      <c r="E10175" s="18"/>
      <c r="F10175" s="18"/>
    </row>
    <row r="10176" spans="5:6" ht="15" customHeight="1" x14ac:dyDescent="0.2">
      <c r="E10176" s="18"/>
      <c r="F10176" s="18"/>
    </row>
    <row r="10177" spans="5:6" ht="15" customHeight="1" x14ac:dyDescent="0.2">
      <c r="E10177" s="18"/>
      <c r="F10177" s="18"/>
    </row>
    <row r="10178" spans="5:6" ht="15" customHeight="1" x14ac:dyDescent="0.2">
      <c r="E10178" s="18"/>
      <c r="F10178" s="18"/>
    </row>
    <row r="10179" spans="5:6" ht="15" customHeight="1" x14ac:dyDescent="0.2">
      <c r="E10179" s="18"/>
      <c r="F10179" s="18"/>
    </row>
    <row r="10180" spans="5:6" ht="15" customHeight="1" x14ac:dyDescent="0.2">
      <c r="E10180" s="18"/>
      <c r="F10180" s="18"/>
    </row>
    <row r="10181" spans="5:6" ht="15" customHeight="1" x14ac:dyDescent="0.2">
      <c r="E10181" s="18"/>
      <c r="F10181" s="18"/>
    </row>
    <row r="10182" spans="5:6" ht="15" customHeight="1" x14ac:dyDescent="0.2">
      <c r="E10182" s="18"/>
      <c r="F10182" s="18"/>
    </row>
    <row r="10183" spans="5:6" ht="15" customHeight="1" x14ac:dyDescent="0.2">
      <c r="E10183" s="18"/>
      <c r="F10183" s="18"/>
    </row>
    <row r="10184" spans="5:6" ht="15" customHeight="1" x14ac:dyDescent="0.2">
      <c r="E10184" s="18"/>
      <c r="F10184" s="18"/>
    </row>
    <row r="10185" spans="5:6" ht="15" customHeight="1" x14ac:dyDescent="0.2">
      <c r="E10185" s="18"/>
      <c r="F10185" s="18"/>
    </row>
    <row r="10186" spans="5:6" ht="15" customHeight="1" x14ac:dyDescent="0.2">
      <c r="E10186" s="18"/>
      <c r="F10186" s="18"/>
    </row>
    <row r="10187" spans="5:6" ht="15" customHeight="1" x14ac:dyDescent="0.2">
      <c r="E10187" s="18"/>
      <c r="F10187" s="18"/>
    </row>
    <row r="10188" spans="5:6" ht="15" customHeight="1" x14ac:dyDescent="0.2">
      <c r="E10188" s="18"/>
      <c r="F10188" s="18"/>
    </row>
    <row r="10189" spans="5:6" ht="15" customHeight="1" x14ac:dyDescent="0.2">
      <c r="E10189" s="18"/>
      <c r="F10189" s="18"/>
    </row>
    <row r="10190" spans="5:6" ht="15" customHeight="1" x14ac:dyDescent="0.2">
      <c r="E10190" s="18"/>
      <c r="F10190" s="18"/>
    </row>
    <row r="10191" spans="5:6" ht="15" customHeight="1" x14ac:dyDescent="0.2">
      <c r="E10191" s="18"/>
      <c r="F10191" s="18"/>
    </row>
    <row r="10192" spans="5:6" ht="15" customHeight="1" x14ac:dyDescent="0.2">
      <c r="E10192" s="18"/>
      <c r="F10192" s="18"/>
    </row>
    <row r="10193" spans="5:6" ht="15" customHeight="1" x14ac:dyDescent="0.2">
      <c r="E10193" s="18"/>
      <c r="F10193" s="18"/>
    </row>
    <row r="10194" spans="5:6" ht="15" customHeight="1" x14ac:dyDescent="0.2">
      <c r="E10194" s="18"/>
      <c r="F10194" s="18"/>
    </row>
    <row r="10195" spans="5:6" ht="15" customHeight="1" x14ac:dyDescent="0.2">
      <c r="E10195" s="18"/>
      <c r="F10195" s="18"/>
    </row>
    <row r="10196" spans="5:6" ht="15" customHeight="1" x14ac:dyDescent="0.2">
      <c r="E10196" s="18"/>
      <c r="F10196" s="18"/>
    </row>
    <row r="10197" spans="5:6" ht="15" customHeight="1" x14ac:dyDescent="0.2">
      <c r="E10197" s="18"/>
      <c r="F10197" s="18"/>
    </row>
    <row r="10198" spans="5:6" ht="15" customHeight="1" x14ac:dyDescent="0.2">
      <c r="E10198" s="18"/>
      <c r="F10198" s="18"/>
    </row>
    <row r="10199" spans="5:6" ht="15" customHeight="1" x14ac:dyDescent="0.2">
      <c r="E10199" s="18"/>
      <c r="F10199" s="18"/>
    </row>
    <row r="10200" spans="5:6" ht="15" customHeight="1" x14ac:dyDescent="0.2">
      <c r="E10200" s="18"/>
      <c r="F10200" s="18"/>
    </row>
    <row r="10201" spans="5:6" ht="15" customHeight="1" x14ac:dyDescent="0.2">
      <c r="E10201" s="18"/>
      <c r="F10201" s="18"/>
    </row>
    <row r="10202" spans="5:6" ht="15" customHeight="1" x14ac:dyDescent="0.2">
      <c r="E10202" s="18"/>
      <c r="F10202" s="18"/>
    </row>
    <row r="10203" spans="5:6" ht="15" customHeight="1" x14ac:dyDescent="0.2">
      <c r="E10203" s="18"/>
      <c r="F10203" s="18"/>
    </row>
    <row r="10204" spans="5:6" ht="15" customHeight="1" x14ac:dyDescent="0.2">
      <c r="E10204" s="18"/>
      <c r="F10204" s="18"/>
    </row>
    <row r="10205" spans="5:6" ht="15" customHeight="1" x14ac:dyDescent="0.2">
      <c r="E10205" s="18"/>
      <c r="F10205" s="18"/>
    </row>
    <row r="10206" spans="5:6" ht="15" customHeight="1" x14ac:dyDescent="0.2">
      <c r="E10206" s="18"/>
      <c r="F10206" s="18"/>
    </row>
    <row r="10207" spans="5:6" ht="15" customHeight="1" x14ac:dyDescent="0.2">
      <c r="E10207" s="18"/>
      <c r="F10207" s="18"/>
    </row>
    <row r="10208" spans="5:6" ht="15" customHeight="1" x14ac:dyDescent="0.2">
      <c r="E10208" s="18"/>
      <c r="F10208" s="18"/>
    </row>
    <row r="10209" spans="5:6" ht="15" customHeight="1" x14ac:dyDescent="0.2">
      <c r="E10209" s="18"/>
      <c r="F10209" s="18"/>
    </row>
    <row r="10210" spans="5:6" ht="15" customHeight="1" x14ac:dyDescent="0.2">
      <c r="E10210" s="18"/>
      <c r="F10210" s="18"/>
    </row>
    <row r="10211" spans="5:6" ht="15" customHeight="1" x14ac:dyDescent="0.2">
      <c r="E10211" s="18"/>
      <c r="F10211" s="18"/>
    </row>
    <row r="10212" spans="5:6" ht="15" customHeight="1" x14ac:dyDescent="0.2">
      <c r="E10212" s="18"/>
      <c r="F10212" s="18"/>
    </row>
    <row r="10213" spans="5:6" ht="15" customHeight="1" x14ac:dyDescent="0.2">
      <c r="E10213" s="18"/>
      <c r="F10213" s="18"/>
    </row>
    <row r="10214" spans="5:6" ht="15" customHeight="1" x14ac:dyDescent="0.2">
      <c r="E10214" s="18"/>
      <c r="F10214" s="18"/>
    </row>
    <row r="10215" spans="5:6" ht="15" customHeight="1" x14ac:dyDescent="0.2">
      <c r="E10215" s="18"/>
      <c r="F10215" s="18"/>
    </row>
    <row r="10216" spans="5:6" ht="15" customHeight="1" x14ac:dyDescent="0.2">
      <c r="E10216" s="18"/>
      <c r="F10216" s="18"/>
    </row>
    <row r="10217" spans="5:6" ht="15" customHeight="1" x14ac:dyDescent="0.2">
      <c r="E10217" s="18"/>
      <c r="F10217" s="18"/>
    </row>
    <row r="10218" spans="5:6" ht="15" customHeight="1" x14ac:dyDescent="0.2">
      <c r="E10218" s="18"/>
      <c r="F10218" s="18"/>
    </row>
    <row r="10219" spans="5:6" ht="15" customHeight="1" x14ac:dyDescent="0.2">
      <c r="E10219" s="18"/>
      <c r="F10219" s="18"/>
    </row>
    <row r="10220" spans="5:6" ht="15" customHeight="1" x14ac:dyDescent="0.2">
      <c r="E10220" s="18"/>
      <c r="F10220" s="18"/>
    </row>
    <row r="10221" spans="5:6" ht="15" customHeight="1" x14ac:dyDescent="0.2">
      <c r="E10221" s="18"/>
      <c r="F10221" s="18"/>
    </row>
    <row r="10222" spans="5:6" ht="15" customHeight="1" x14ac:dyDescent="0.2">
      <c r="E10222" s="18"/>
      <c r="F10222" s="18"/>
    </row>
    <row r="10223" spans="5:6" ht="15" customHeight="1" x14ac:dyDescent="0.2">
      <c r="E10223" s="18"/>
      <c r="F10223" s="18"/>
    </row>
    <row r="10224" spans="5:6" ht="15" customHeight="1" x14ac:dyDescent="0.2">
      <c r="E10224" s="18"/>
      <c r="F10224" s="18"/>
    </row>
    <row r="10225" spans="5:6" ht="15" customHeight="1" x14ac:dyDescent="0.2">
      <c r="E10225" s="18"/>
      <c r="F10225" s="18"/>
    </row>
    <row r="10226" spans="5:6" ht="15" customHeight="1" x14ac:dyDescent="0.2">
      <c r="E10226" s="18"/>
      <c r="F10226" s="18"/>
    </row>
    <row r="10227" spans="5:6" ht="15" customHeight="1" x14ac:dyDescent="0.2">
      <c r="E10227" s="18"/>
      <c r="F10227" s="18"/>
    </row>
    <row r="10228" spans="5:6" ht="15" customHeight="1" x14ac:dyDescent="0.2">
      <c r="E10228" s="18"/>
      <c r="F10228" s="18"/>
    </row>
    <row r="10229" spans="5:6" ht="15" customHeight="1" x14ac:dyDescent="0.2">
      <c r="E10229" s="18"/>
      <c r="F10229" s="18"/>
    </row>
    <row r="10230" spans="5:6" ht="15" customHeight="1" x14ac:dyDescent="0.2">
      <c r="E10230" s="18"/>
      <c r="F10230" s="18"/>
    </row>
    <row r="10231" spans="5:6" ht="15" customHeight="1" x14ac:dyDescent="0.2">
      <c r="E10231" s="18"/>
      <c r="F10231" s="18"/>
    </row>
    <row r="10232" spans="5:6" ht="15" customHeight="1" x14ac:dyDescent="0.2">
      <c r="E10232" s="18"/>
      <c r="F10232" s="18"/>
    </row>
    <row r="10233" spans="5:6" ht="15" customHeight="1" x14ac:dyDescent="0.2">
      <c r="E10233" s="18"/>
      <c r="F10233" s="18"/>
    </row>
    <row r="10234" spans="5:6" ht="15" customHeight="1" x14ac:dyDescent="0.2">
      <c r="E10234" s="18"/>
      <c r="F10234" s="18"/>
    </row>
    <row r="10235" spans="5:6" ht="15" customHeight="1" x14ac:dyDescent="0.2">
      <c r="E10235" s="18"/>
      <c r="F10235" s="18"/>
    </row>
    <row r="10236" spans="5:6" ht="15" customHeight="1" x14ac:dyDescent="0.2">
      <c r="E10236" s="18"/>
      <c r="F10236" s="18"/>
    </row>
    <row r="10237" spans="5:6" ht="15" customHeight="1" x14ac:dyDescent="0.2">
      <c r="E10237" s="18"/>
      <c r="F10237" s="18"/>
    </row>
    <row r="10238" spans="5:6" ht="15" customHeight="1" x14ac:dyDescent="0.2">
      <c r="E10238" s="18"/>
      <c r="F10238" s="18"/>
    </row>
    <row r="10239" spans="5:6" ht="15" customHeight="1" x14ac:dyDescent="0.2">
      <c r="E10239" s="18"/>
      <c r="F10239" s="18"/>
    </row>
    <row r="10240" spans="5:6" ht="15" customHeight="1" x14ac:dyDescent="0.2">
      <c r="E10240" s="18"/>
      <c r="F10240" s="18"/>
    </row>
    <row r="10241" spans="5:6" ht="15" customHeight="1" x14ac:dyDescent="0.2">
      <c r="E10241" s="18"/>
      <c r="F10241" s="18"/>
    </row>
    <row r="10242" spans="5:6" ht="15" customHeight="1" x14ac:dyDescent="0.2">
      <c r="E10242" s="18"/>
      <c r="F10242" s="18"/>
    </row>
    <row r="10243" spans="5:6" ht="15" customHeight="1" x14ac:dyDescent="0.2">
      <c r="E10243" s="18"/>
      <c r="F10243" s="18"/>
    </row>
    <row r="10244" spans="5:6" ht="15" customHeight="1" x14ac:dyDescent="0.2">
      <c r="E10244" s="18"/>
      <c r="F10244" s="18"/>
    </row>
    <row r="10245" spans="5:6" ht="15" customHeight="1" x14ac:dyDescent="0.2">
      <c r="E10245" s="18"/>
      <c r="F10245" s="18"/>
    </row>
    <row r="10246" spans="5:6" ht="15" customHeight="1" x14ac:dyDescent="0.2">
      <c r="E10246" s="18"/>
      <c r="F10246" s="18"/>
    </row>
    <row r="10247" spans="5:6" ht="15" customHeight="1" x14ac:dyDescent="0.2">
      <c r="E10247" s="18"/>
      <c r="F10247" s="18"/>
    </row>
    <row r="10248" spans="5:6" ht="15" customHeight="1" x14ac:dyDescent="0.2">
      <c r="E10248" s="18"/>
      <c r="F10248" s="18"/>
    </row>
    <row r="10249" spans="5:6" ht="15" customHeight="1" x14ac:dyDescent="0.2">
      <c r="E10249" s="18"/>
      <c r="F10249" s="18"/>
    </row>
    <row r="10250" spans="5:6" ht="15" customHeight="1" x14ac:dyDescent="0.2">
      <c r="E10250" s="18"/>
      <c r="F10250" s="18"/>
    </row>
    <row r="10251" spans="5:6" ht="15" customHeight="1" x14ac:dyDescent="0.2">
      <c r="E10251" s="18"/>
      <c r="F10251" s="18"/>
    </row>
    <row r="10252" spans="5:6" ht="15" customHeight="1" x14ac:dyDescent="0.2">
      <c r="E10252" s="18"/>
      <c r="F10252" s="18"/>
    </row>
    <row r="10253" spans="5:6" ht="15" customHeight="1" x14ac:dyDescent="0.2">
      <c r="E10253" s="18"/>
      <c r="F10253" s="18"/>
    </row>
    <row r="10254" spans="5:6" ht="15" customHeight="1" x14ac:dyDescent="0.2">
      <c r="E10254" s="18"/>
      <c r="F10254" s="18"/>
    </row>
    <row r="10255" spans="5:6" ht="15" customHeight="1" x14ac:dyDescent="0.2">
      <c r="E10255" s="18"/>
      <c r="F10255" s="18"/>
    </row>
    <row r="10256" spans="5:6" ht="15" customHeight="1" x14ac:dyDescent="0.2">
      <c r="E10256" s="18"/>
      <c r="F10256" s="18"/>
    </row>
    <row r="10257" spans="5:6" ht="15" customHeight="1" x14ac:dyDescent="0.2">
      <c r="E10257" s="18"/>
      <c r="F10257" s="18"/>
    </row>
    <row r="10258" spans="5:6" ht="15" customHeight="1" x14ac:dyDescent="0.2">
      <c r="E10258" s="18"/>
      <c r="F10258" s="18"/>
    </row>
    <row r="10259" spans="5:6" ht="15" customHeight="1" x14ac:dyDescent="0.2">
      <c r="E10259" s="18"/>
      <c r="F10259" s="18"/>
    </row>
    <row r="10260" spans="5:6" ht="15" customHeight="1" x14ac:dyDescent="0.2">
      <c r="E10260" s="18"/>
      <c r="F10260" s="18"/>
    </row>
    <row r="10261" spans="5:6" ht="15" customHeight="1" x14ac:dyDescent="0.2">
      <c r="E10261" s="18"/>
      <c r="F10261" s="18"/>
    </row>
    <row r="10262" spans="5:6" ht="15" customHeight="1" x14ac:dyDescent="0.2">
      <c r="E10262" s="18"/>
      <c r="F10262" s="18"/>
    </row>
    <row r="10263" spans="5:6" ht="15" customHeight="1" x14ac:dyDescent="0.2">
      <c r="E10263" s="18"/>
      <c r="F10263" s="18"/>
    </row>
    <row r="10264" spans="5:6" ht="15" customHeight="1" x14ac:dyDescent="0.2">
      <c r="E10264" s="18"/>
      <c r="F10264" s="18"/>
    </row>
    <row r="10265" spans="5:6" ht="15" customHeight="1" x14ac:dyDescent="0.2">
      <c r="E10265" s="18"/>
      <c r="F10265" s="18"/>
    </row>
    <row r="10266" spans="5:6" ht="15" customHeight="1" x14ac:dyDescent="0.2">
      <c r="E10266" s="18"/>
      <c r="F10266" s="18"/>
    </row>
    <row r="10267" spans="5:6" ht="15" customHeight="1" x14ac:dyDescent="0.2">
      <c r="E10267" s="18"/>
      <c r="F10267" s="18"/>
    </row>
    <row r="10268" spans="5:6" ht="15" customHeight="1" x14ac:dyDescent="0.2">
      <c r="E10268" s="18"/>
      <c r="F10268" s="18"/>
    </row>
    <row r="10269" spans="5:6" ht="15" customHeight="1" x14ac:dyDescent="0.2">
      <c r="E10269" s="18"/>
      <c r="F10269" s="18"/>
    </row>
    <row r="10270" spans="5:6" ht="15" customHeight="1" x14ac:dyDescent="0.2">
      <c r="E10270" s="18"/>
      <c r="F10270" s="18"/>
    </row>
    <row r="10271" spans="5:6" ht="15" customHeight="1" x14ac:dyDescent="0.2">
      <c r="E10271" s="18"/>
      <c r="F10271" s="18"/>
    </row>
    <row r="10272" spans="5:6" ht="15" customHeight="1" x14ac:dyDescent="0.2">
      <c r="E10272" s="18"/>
      <c r="F10272" s="18"/>
    </row>
    <row r="10273" spans="5:6" ht="15" customHeight="1" x14ac:dyDescent="0.2">
      <c r="E10273" s="18"/>
      <c r="F10273" s="18"/>
    </row>
    <row r="10274" spans="5:6" ht="15" customHeight="1" x14ac:dyDescent="0.2">
      <c r="E10274" s="18"/>
      <c r="F10274" s="18"/>
    </row>
    <row r="10275" spans="5:6" ht="15" customHeight="1" x14ac:dyDescent="0.2">
      <c r="E10275" s="18"/>
      <c r="F10275" s="18"/>
    </row>
    <row r="10276" spans="5:6" ht="15" customHeight="1" x14ac:dyDescent="0.2">
      <c r="E10276" s="18"/>
      <c r="F10276" s="18"/>
    </row>
    <row r="10277" spans="5:6" ht="15" customHeight="1" x14ac:dyDescent="0.2">
      <c r="E10277" s="18"/>
      <c r="F10277" s="18"/>
    </row>
    <row r="10278" spans="5:6" ht="15" customHeight="1" x14ac:dyDescent="0.2">
      <c r="E10278" s="18"/>
      <c r="F10278" s="18"/>
    </row>
    <row r="10279" spans="5:6" ht="15" customHeight="1" x14ac:dyDescent="0.2">
      <c r="E10279" s="18"/>
      <c r="F10279" s="18"/>
    </row>
    <row r="10280" spans="5:6" ht="15" customHeight="1" x14ac:dyDescent="0.2">
      <c r="E10280" s="18"/>
      <c r="F10280" s="18"/>
    </row>
    <row r="10281" spans="5:6" ht="15" customHeight="1" x14ac:dyDescent="0.2">
      <c r="E10281" s="18"/>
      <c r="F10281" s="18"/>
    </row>
    <row r="10282" spans="5:6" ht="15" customHeight="1" x14ac:dyDescent="0.2">
      <c r="E10282" s="18"/>
      <c r="F10282" s="18"/>
    </row>
    <row r="10283" spans="5:6" ht="15" customHeight="1" x14ac:dyDescent="0.2">
      <c r="E10283" s="18"/>
      <c r="F10283" s="18"/>
    </row>
    <row r="10284" spans="5:6" ht="15" customHeight="1" x14ac:dyDescent="0.2">
      <c r="E10284" s="18"/>
      <c r="F10284" s="18"/>
    </row>
    <row r="10285" spans="5:6" ht="15" customHeight="1" x14ac:dyDescent="0.2">
      <c r="E10285" s="18"/>
      <c r="F10285" s="18"/>
    </row>
    <row r="10286" spans="5:6" ht="15" customHeight="1" x14ac:dyDescent="0.2">
      <c r="E10286" s="18"/>
      <c r="F10286" s="18"/>
    </row>
    <row r="10287" spans="5:6" ht="15" customHeight="1" x14ac:dyDescent="0.2">
      <c r="E10287" s="18"/>
      <c r="F10287" s="18"/>
    </row>
    <row r="10288" spans="5:6" ht="15" customHeight="1" x14ac:dyDescent="0.2">
      <c r="E10288" s="18"/>
      <c r="F10288" s="18"/>
    </row>
    <row r="10289" spans="5:6" ht="15" customHeight="1" x14ac:dyDescent="0.2">
      <c r="E10289" s="18"/>
      <c r="F10289" s="18"/>
    </row>
    <row r="10290" spans="5:6" ht="15" customHeight="1" x14ac:dyDescent="0.2">
      <c r="E10290" s="18"/>
      <c r="F10290" s="18"/>
    </row>
    <row r="10291" spans="5:6" ht="15" customHeight="1" x14ac:dyDescent="0.2">
      <c r="E10291" s="18"/>
      <c r="F10291" s="18"/>
    </row>
    <row r="10292" spans="5:6" ht="15" customHeight="1" x14ac:dyDescent="0.2">
      <c r="E10292" s="18"/>
      <c r="F10292" s="18"/>
    </row>
    <row r="10293" spans="5:6" ht="15" customHeight="1" x14ac:dyDescent="0.2">
      <c r="E10293" s="18"/>
      <c r="F10293" s="18"/>
    </row>
    <row r="10294" spans="5:6" ht="15" customHeight="1" x14ac:dyDescent="0.2">
      <c r="E10294" s="18"/>
      <c r="F10294" s="18"/>
    </row>
    <row r="10295" spans="5:6" ht="15" customHeight="1" x14ac:dyDescent="0.2">
      <c r="E10295" s="18"/>
      <c r="F10295" s="18"/>
    </row>
    <row r="10296" spans="5:6" ht="15" customHeight="1" x14ac:dyDescent="0.2">
      <c r="E10296" s="18"/>
      <c r="F10296" s="18"/>
    </row>
    <row r="10297" spans="5:6" ht="15" customHeight="1" x14ac:dyDescent="0.2">
      <c r="E10297" s="18"/>
      <c r="F10297" s="18"/>
    </row>
    <row r="10298" spans="5:6" ht="15" customHeight="1" x14ac:dyDescent="0.2">
      <c r="E10298" s="18"/>
      <c r="F10298" s="18"/>
    </row>
    <row r="10299" spans="5:6" ht="15" customHeight="1" x14ac:dyDescent="0.2">
      <c r="E10299" s="18"/>
      <c r="F10299" s="18"/>
    </row>
    <row r="10300" spans="5:6" ht="15" customHeight="1" x14ac:dyDescent="0.2">
      <c r="E10300" s="18"/>
      <c r="F10300" s="18"/>
    </row>
    <row r="10301" spans="5:6" ht="15" customHeight="1" x14ac:dyDescent="0.2">
      <c r="E10301" s="18"/>
      <c r="F10301" s="18"/>
    </row>
    <row r="10302" spans="5:6" ht="15" customHeight="1" x14ac:dyDescent="0.2">
      <c r="E10302" s="18"/>
      <c r="F10302" s="18"/>
    </row>
    <row r="10303" spans="5:6" ht="15" customHeight="1" x14ac:dyDescent="0.2">
      <c r="E10303" s="18"/>
      <c r="F10303" s="18"/>
    </row>
    <row r="10304" spans="5:6" ht="15" customHeight="1" x14ac:dyDescent="0.2">
      <c r="E10304" s="18"/>
      <c r="F10304" s="18"/>
    </row>
    <row r="10305" spans="5:6" ht="15" customHeight="1" x14ac:dyDescent="0.2">
      <c r="E10305" s="18"/>
      <c r="F10305" s="18"/>
    </row>
    <row r="10306" spans="5:6" ht="15" customHeight="1" x14ac:dyDescent="0.2">
      <c r="E10306" s="18"/>
      <c r="F10306" s="18"/>
    </row>
    <row r="10307" spans="5:6" ht="15" customHeight="1" x14ac:dyDescent="0.2">
      <c r="E10307" s="18"/>
      <c r="F10307" s="18"/>
    </row>
    <row r="10308" spans="5:6" ht="15" customHeight="1" x14ac:dyDescent="0.2">
      <c r="E10308" s="18"/>
      <c r="F10308" s="18"/>
    </row>
    <row r="10309" spans="5:6" ht="15" customHeight="1" x14ac:dyDescent="0.2">
      <c r="E10309" s="18"/>
      <c r="F10309" s="18"/>
    </row>
    <row r="10310" spans="5:6" ht="15" customHeight="1" x14ac:dyDescent="0.2">
      <c r="E10310" s="18"/>
      <c r="F10310" s="18"/>
    </row>
    <row r="10311" spans="5:6" ht="15" customHeight="1" x14ac:dyDescent="0.2">
      <c r="E10311" s="18"/>
      <c r="F10311" s="18"/>
    </row>
    <row r="10312" spans="5:6" ht="15" customHeight="1" x14ac:dyDescent="0.2">
      <c r="E10312" s="18"/>
      <c r="F10312" s="18"/>
    </row>
    <row r="10313" spans="5:6" ht="15" customHeight="1" x14ac:dyDescent="0.2">
      <c r="E10313" s="18"/>
      <c r="F10313" s="18"/>
    </row>
    <row r="10314" spans="5:6" ht="15" customHeight="1" x14ac:dyDescent="0.2">
      <c r="E10314" s="18"/>
      <c r="F10314" s="18"/>
    </row>
    <row r="10315" spans="5:6" ht="15" customHeight="1" x14ac:dyDescent="0.2">
      <c r="E10315" s="18"/>
      <c r="F10315" s="18"/>
    </row>
    <row r="10316" spans="5:6" ht="15" customHeight="1" x14ac:dyDescent="0.2">
      <c r="E10316" s="18"/>
      <c r="F10316" s="18"/>
    </row>
    <row r="10317" spans="5:6" ht="15" customHeight="1" x14ac:dyDescent="0.2">
      <c r="E10317" s="18"/>
      <c r="F10317" s="18"/>
    </row>
    <row r="10318" spans="5:6" ht="15" customHeight="1" x14ac:dyDescent="0.2">
      <c r="E10318" s="18"/>
      <c r="F10318" s="18"/>
    </row>
    <row r="10319" spans="5:6" ht="15" customHeight="1" x14ac:dyDescent="0.2">
      <c r="E10319" s="18"/>
      <c r="F10319" s="18"/>
    </row>
    <row r="10320" spans="5:6" ht="15" customHeight="1" x14ac:dyDescent="0.2">
      <c r="E10320" s="18"/>
      <c r="F10320" s="18"/>
    </row>
    <row r="10321" spans="5:6" ht="15" customHeight="1" x14ac:dyDescent="0.2">
      <c r="E10321" s="18"/>
      <c r="F10321" s="18"/>
    </row>
    <row r="10322" spans="5:6" ht="15" customHeight="1" x14ac:dyDescent="0.2">
      <c r="E10322" s="18"/>
      <c r="F10322" s="18"/>
    </row>
    <row r="10323" spans="5:6" ht="15" customHeight="1" x14ac:dyDescent="0.2">
      <c r="E10323" s="18"/>
      <c r="F10323" s="18"/>
    </row>
    <row r="10324" spans="5:6" ht="15" customHeight="1" x14ac:dyDescent="0.2">
      <c r="E10324" s="18"/>
      <c r="F10324" s="18"/>
    </row>
    <row r="10325" spans="5:6" ht="15" customHeight="1" x14ac:dyDescent="0.2">
      <c r="E10325" s="18"/>
      <c r="F10325" s="18"/>
    </row>
    <row r="10326" spans="5:6" ht="15" customHeight="1" x14ac:dyDescent="0.2">
      <c r="E10326" s="18"/>
      <c r="F10326" s="18"/>
    </row>
    <row r="10327" spans="5:6" ht="15" customHeight="1" x14ac:dyDescent="0.2">
      <c r="E10327" s="18"/>
      <c r="F10327" s="18"/>
    </row>
    <row r="10328" spans="5:6" ht="15" customHeight="1" x14ac:dyDescent="0.2">
      <c r="E10328" s="18"/>
      <c r="F10328" s="18"/>
    </row>
    <row r="10329" spans="5:6" ht="15" customHeight="1" x14ac:dyDescent="0.2">
      <c r="E10329" s="18"/>
      <c r="F10329" s="18"/>
    </row>
    <row r="10330" spans="5:6" ht="15" customHeight="1" x14ac:dyDescent="0.2">
      <c r="E10330" s="18"/>
      <c r="F10330" s="18"/>
    </row>
    <row r="10331" spans="5:6" ht="15" customHeight="1" x14ac:dyDescent="0.2">
      <c r="E10331" s="18"/>
      <c r="F10331" s="18"/>
    </row>
    <row r="10332" spans="5:6" ht="15" customHeight="1" x14ac:dyDescent="0.2">
      <c r="E10332" s="18"/>
      <c r="F10332" s="18"/>
    </row>
    <row r="10333" spans="5:6" ht="15" customHeight="1" x14ac:dyDescent="0.2">
      <c r="E10333" s="18"/>
      <c r="F10333" s="18"/>
    </row>
    <row r="10334" spans="5:6" ht="15" customHeight="1" x14ac:dyDescent="0.2">
      <c r="E10334" s="18"/>
      <c r="F10334" s="18"/>
    </row>
    <row r="10335" spans="5:6" ht="15" customHeight="1" x14ac:dyDescent="0.2">
      <c r="E10335" s="18"/>
      <c r="F10335" s="18"/>
    </row>
    <row r="10336" spans="5:6" ht="15" customHeight="1" x14ac:dyDescent="0.2">
      <c r="E10336" s="18"/>
      <c r="F10336" s="18"/>
    </row>
    <row r="10337" spans="5:6" ht="15" customHeight="1" x14ac:dyDescent="0.2">
      <c r="E10337" s="18"/>
      <c r="F10337" s="18"/>
    </row>
    <row r="10338" spans="5:6" ht="15" customHeight="1" x14ac:dyDescent="0.2">
      <c r="E10338" s="18"/>
      <c r="F10338" s="18"/>
    </row>
    <row r="10339" spans="5:6" ht="15" customHeight="1" x14ac:dyDescent="0.2">
      <c r="E10339" s="18"/>
      <c r="F10339" s="18"/>
    </row>
    <row r="10340" spans="5:6" ht="15" customHeight="1" x14ac:dyDescent="0.2">
      <c r="E10340" s="18"/>
      <c r="F10340" s="18"/>
    </row>
    <row r="10341" spans="5:6" ht="15" customHeight="1" x14ac:dyDescent="0.2">
      <c r="E10341" s="18"/>
      <c r="F10341" s="18"/>
    </row>
    <row r="10342" spans="5:6" ht="15" customHeight="1" x14ac:dyDescent="0.2">
      <c r="E10342" s="18"/>
      <c r="F10342" s="18"/>
    </row>
    <row r="10343" spans="5:6" ht="15" customHeight="1" x14ac:dyDescent="0.2">
      <c r="E10343" s="18"/>
      <c r="F10343" s="18"/>
    </row>
    <row r="10344" spans="5:6" ht="15" customHeight="1" x14ac:dyDescent="0.2">
      <c r="E10344" s="18"/>
      <c r="F10344" s="18"/>
    </row>
    <row r="10345" spans="5:6" ht="15" customHeight="1" x14ac:dyDescent="0.2">
      <c r="E10345" s="18"/>
      <c r="F10345" s="18"/>
    </row>
    <row r="10346" spans="5:6" ht="15" customHeight="1" x14ac:dyDescent="0.2">
      <c r="E10346" s="18"/>
      <c r="F10346" s="18"/>
    </row>
    <row r="10347" spans="5:6" ht="15" customHeight="1" x14ac:dyDescent="0.2">
      <c r="E10347" s="18"/>
      <c r="F10347" s="18"/>
    </row>
    <row r="10348" spans="5:6" ht="15" customHeight="1" x14ac:dyDescent="0.2">
      <c r="E10348" s="18"/>
      <c r="F10348" s="18"/>
    </row>
    <row r="10349" spans="5:6" ht="15" customHeight="1" x14ac:dyDescent="0.2">
      <c r="E10349" s="18"/>
      <c r="F10349" s="18"/>
    </row>
    <row r="10350" spans="5:6" ht="15" customHeight="1" x14ac:dyDescent="0.2">
      <c r="E10350" s="18"/>
      <c r="F10350" s="18"/>
    </row>
    <row r="10351" spans="5:6" ht="15" customHeight="1" x14ac:dyDescent="0.2">
      <c r="E10351" s="18"/>
      <c r="F10351" s="18"/>
    </row>
    <row r="10352" spans="5:6" ht="15" customHeight="1" x14ac:dyDescent="0.2">
      <c r="E10352" s="18"/>
      <c r="F10352" s="18"/>
    </row>
    <row r="10353" spans="5:6" ht="15" customHeight="1" x14ac:dyDescent="0.2">
      <c r="E10353" s="18"/>
      <c r="F10353" s="18"/>
    </row>
    <row r="10354" spans="5:6" ht="15" customHeight="1" x14ac:dyDescent="0.2">
      <c r="E10354" s="18"/>
      <c r="F10354" s="18"/>
    </row>
    <row r="10355" spans="5:6" ht="15" customHeight="1" x14ac:dyDescent="0.2">
      <c r="E10355" s="18"/>
      <c r="F10355" s="18"/>
    </row>
    <row r="10356" spans="5:6" ht="15" customHeight="1" x14ac:dyDescent="0.2">
      <c r="E10356" s="18"/>
      <c r="F10356" s="18"/>
    </row>
    <row r="10357" spans="5:6" ht="15" customHeight="1" x14ac:dyDescent="0.2">
      <c r="E10357" s="18"/>
      <c r="F10357" s="18"/>
    </row>
    <row r="10358" spans="5:6" ht="15" customHeight="1" x14ac:dyDescent="0.2">
      <c r="E10358" s="18"/>
      <c r="F10358" s="18"/>
    </row>
    <row r="10359" spans="5:6" ht="15" customHeight="1" x14ac:dyDescent="0.2">
      <c r="E10359" s="18"/>
      <c r="F10359" s="18"/>
    </row>
    <row r="10360" spans="5:6" ht="15" customHeight="1" x14ac:dyDescent="0.2">
      <c r="E10360" s="18"/>
      <c r="F10360" s="18"/>
    </row>
    <row r="10361" spans="5:6" ht="15" customHeight="1" x14ac:dyDescent="0.2">
      <c r="E10361" s="18"/>
      <c r="F10361" s="18"/>
    </row>
    <row r="10362" spans="5:6" ht="15" customHeight="1" x14ac:dyDescent="0.2">
      <c r="E10362" s="18"/>
      <c r="F10362" s="18"/>
    </row>
    <row r="10363" spans="5:6" ht="15" customHeight="1" x14ac:dyDescent="0.2">
      <c r="E10363" s="18"/>
      <c r="F10363" s="18"/>
    </row>
    <row r="10364" spans="5:6" ht="15" customHeight="1" x14ac:dyDescent="0.2">
      <c r="E10364" s="18"/>
      <c r="F10364" s="18"/>
    </row>
    <row r="10365" spans="5:6" ht="15" customHeight="1" x14ac:dyDescent="0.2">
      <c r="E10365" s="18"/>
      <c r="F10365" s="18"/>
    </row>
    <row r="10366" spans="5:6" ht="15" customHeight="1" x14ac:dyDescent="0.2">
      <c r="E10366" s="18"/>
      <c r="F10366" s="18"/>
    </row>
    <row r="10367" spans="5:6" ht="15" customHeight="1" x14ac:dyDescent="0.2">
      <c r="E10367" s="18"/>
      <c r="F10367" s="18"/>
    </row>
    <row r="10368" spans="5:6" ht="15" customHeight="1" x14ac:dyDescent="0.2">
      <c r="E10368" s="18"/>
      <c r="F10368" s="18"/>
    </row>
    <row r="10369" spans="5:6" ht="15" customHeight="1" x14ac:dyDescent="0.2">
      <c r="E10369" s="18"/>
      <c r="F10369" s="18"/>
    </row>
    <row r="10370" spans="5:6" ht="15" customHeight="1" x14ac:dyDescent="0.2">
      <c r="E10370" s="18"/>
      <c r="F10370" s="18"/>
    </row>
    <row r="10371" spans="5:6" ht="15" customHeight="1" x14ac:dyDescent="0.2">
      <c r="E10371" s="18"/>
      <c r="F10371" s="18"/>
    </row>
    <row r="10372" spans="5:6" ht="15" customHeight="1" x14ac:dyDescent="0.2">
      <c r="E10372" s="18"/>
      <c r="F10372" s="18"/>
    </row>
    <row r="10373" spans="5:6" ht="15" customHeight="1" x14ac:dyDescent="0.2">
      <c r="E10373" s="18"/>
      <c r="F10373" s="18"/>
    </row>
    <row r="10374" spans="5:6" ht="15" customHeight="1" x14ac:dyDescent="0.2">
      <c r="E10374" s="18"/>
      <c r="F10374" s="18"/>
    </row>
    <row r="10375" spans="5:6" ht="15" customHeight="1" x14ac:dyDescent="0.2">
      <c r="E10375" s="18"/>
      <c r="F10375" s="18"/>
    </row>
    <row r="10376" spans="5:6" ht="15" customHeight="1" x14ac:dyDescent="0.2">
      <c r="E10376" s="18"/>
      <c r="F10376" s="18"/>
    </row>
    <row r="10377" spans="5:6" ht="15" customHeight="1" x14ac:dyDescent="0.2">
      <c r="E10377" s="18"/>
      <c r="F10377" s="18"/>
    </row>
    <row r="10378" spans="5:6" ht="15" customHeight="1" x14ac:dyDescent="0.2">
      <c r="E10378" s="18"/>
      <c r="F10378" s="18"/>
    </row>
    <row r="10379" spans="5:6" ht="15" customHeight="1" x14ac:dyDescent="0.2">
      <c r="E10379" s="18"/>
      <c r="F10379" s="18"/>
    </row>
    <row r="10380" spans="5:6" ht="15" customHeight="1" x14ac:dyDescent="0.2">
      <c r="E10380" s="18"/>
      <c r="F10380" s="18"/>
    </row>
    <row r="10381" spans="5:6" ht="15" customHeight="1" x14ac:dyDescent="0.2">
      <c r="E10381" s="18"/>
      <c r="F10381" s="18"/>
    </row>
    <row r="10382" spans="5:6" ht="15" customHeight="1" x14ac:dyDescent="0.2">
      <c r="E10382" s="18"/>
      <c r="F10382" s="18"/>
    </row>
    <row r="10383" spans="5:6" ht="15" customHeight="1" x14ac:dyDescent="0.2">
      <c r="E10383" s="18"/>
      <c r="F10383" s="18"/>
    </row>
    <row r="10384" spans="5:6" ht="15" customHeight="1" x14ac:dyDescent="0.2">
      <c r="E10384" s="18"/>
      <c r="F10384" s="18"/>
    </row>
    <row r="10385" spans="5:6" ht="15" customHeight="1" x14ac:dyDescent="0.2">
      <c r="E10385" s="18"/>
      <c r="F10385" s="18"/>
    </row>
    <row r="10386" spans="5:6" ht="15" customHeight="1" x14ac:dyDescent="0.2">
      <c r="E10386" s="18"/>
      <c r="F10386" s="18"/>
    </row>
    <row r="10387" spans="5:6" ht="15" customHeight="1" x14ac:dyDescent="0.2">
      <c r="E10387" s="18"/>
      <c r="F10387" s="18"/>
    </row>
    <row r="10388" spans="5:6" ht="15" customHeight="1" x14ac:dyDescent="0.2">
      <c r="E10388" s="18"/>
      <c r="F10388" s="18"/>
    </row>
    <row r="10389" spans="5:6" ht="15" customHeight="1" x14ac:dyDescent="0.2">
      <c r="E10389" s="18"/>
      <c r="F10389" s="18"/>
    </row>
    <row r="10390" spans="5:6" ht="15" customHeight="1" x14ac:dyDescent="0.2">
      <c r="E10390" s="18"/>
      <c r="F10390" s="18"/>
    </row>
    <row r="10391" spans="5:6" ht="15" customHeight="1" x14ac:dyDescent="0.2">
      <c r="E10391" s="18"/>
      <c r="F10391" s="18"/>
    </row>
    <row r="10392" spans="5:6" ht="15" customHeight="1" x14ac:dyDescent="0.2">
      <c r="E10392" s="18"/>
      <c r="F10392" s="18"/>
    </row>
    <row r="10393" spans="5:6" ht="15" customHeight="1" x14ac:dyDescent="0.2">
      <c r="E10393" s="18"/>
      <c r="F10393" s="18"/>
    </row>
    <row r="10394" spans="5:6" ht="15" customHeight="1" x14ac:dyDescent="0.2">
      <c r="E10394" s="18"/>
      <c r="F10394" s="18"/>
    </row>
    <row r="10395" spans="5:6" ht="15" customHeight="1" x14ac:dyDescent="0.2">
      <c r="E10395" s="18"/>
      <c r="F10395" s="18"/>
    </row>
    <row r="10396" spans="5:6" ht="15" customHeight="1" x14ac:dyDescent="0.2">
      <c r="E10396" s="18"/>
      <c r="F10396" s="18"/>
    </row>
    <row r="10397" spans="5:6" ht="15" customHeight="1" x14ac:dyDescent="0.2">
      <c r="E10397" s="18"/>
      <c r="F10397" s="18"/>
    </row>
    <row r="10398" spans="5:6" ht="15" customHeight="1" x14ac:dyDescent="0.2">
      <c r="E10398" s="18"/>
      <c r="F10398" s="18"/>
    </row>
    <row r="10399" spans="5:6" ht="15" customHeight="1" x14ac:dyDescent="0.2">
      <c r="E10399" s="18"/>
      <c r="F10399" s="18"/>
    </row>
    <row r="10400" spans="5:6" ht="15" customHeight="1" x14ac:dyDescent="0.2">
      <c r="E10400" s="18"/>
      <c r="F10400" s="18"/>
    </row>
    <row r="10401" spans="5:6" ht="15" customHeight="1" x14ac:dyDescent="0.2">
      <c r="E10401" s="18"/>
      <c r="F10401" s="18"/>
    </row>
    <row r="10402" spans="5:6" ht="15" customHeight="1" x14ac:dyDescent="0.2">
      <c r="E10402" s="18"/>
      <c r="F10402" s="18"/>
    </row>
    <row r="10403" spans="5:6" ht="15" customHeight="1" x14ac:dyDescent="0.2">
      <c r="E10403" s="18"/>
      <c r="F10403" s="18"/>
    </row>
    <row r="10404" spans="5:6" ht="15" customHeight="1" x14ac:dyDescent="0.2">
      <c r="E10404" s="18"/>
      <c r="F10404" s="18"/>
    </row>
    <row r="10405" spans="5:6" ht="15" customHeight="1" x14ac:dyDescent="0.2">
      <c r="E10405" s="18"/>
      <c r="F10405" s="18"/>
    </row>
    <row r="10406" spans="5:6" ht="15" customHeight="1" x14ac:dyDescent="0.2">
      <c r="E10406" s="18"/>
      <c r="F10406" s="18"/>
    </row>
    <row r="10407" spans="5:6" ht="15" customHeight="1" x14ac:dyDescent="0.2">
      <c r="E10407" s="18"/>
      <c r="F10407" s="18"/>
    </row>
    <row r="10408" spans="5:6" ht="15" customHeight="1" x14ac:dyDescent="0.2">
      <c r="E10408" s="18"/>
      <c r="F10408" s="18"/>
    </row>
    <row r="10409" spans="5:6" ht="15" customHeight="1" x14ac:dyDescent="0.2">
      <c r="E10409" s="18"/>
      <c r="F10409" s="18"/>
    </row>
    <row r="10410" spans="5:6" ht="15" customHeight="1" x14ac:dyDescent="0.2">
      <c r="E10410" s="18"/>
      <c r="F10410" s="18"/>
    </row>
    <row r="10411" spans="5:6" ht="15" customHeight="1" x14ac:dyDescent="0.2">
      <c r="E10411" s="18"/>
      <c r="F10411" s="18"/>
    </row>
    <row r="10412" spans="5:6" ht="15" customHeight="1" x14ac:dyDescent="0.2">
      <c r="E10412" s="18"/>
      <c r="F10412" s="18"/>
    </row>
    <row r="10413" spans="5:6" ht="15" customHeight="1" x14ac:dyDescent="0.2">
      <c r="E10413" s="18"/>
      <c r="F10413" s="18"/>
    </row>
    <row r="10414" spans="5:6" ht="15" customHeight="1" x14ac:dyDescent="0.2">
      <c r="E10414" s="18"/>
      <c r="F10414" s="18"/>
    </row>
    <row r="10415" spans="5:6" ht="15" customHeight="1" x14ac:dyDescent="0.2">
      <c r="E10415" s="18"/>
      <c r="F10415" s="18"/>
    </row>
    <row r="10416" spans="5:6" ht="15" customHeight="1" x14ac:dyDescent="0.2">
      <c r="E10416" s="18"/>
      <c r="F10416" s="18"/>
    </row>
    <row r="10417" spans="5:6" ht="15" customHeight="1" x14ac:dyDescent="0.2">
      <c r="E10417" s="18"/>
      <c r="F10417" s="18"/>
    </row>
    <row r="10418" spans="5:6" ht="15" customHeight="1" x14ac:dyDescent="0.2">
      <c r="E10418" s="18"/>
      <c r="F10418" s="18"/>
    </row>
    <row r="10419" spans="5:6" ht="15" customHeight="1" x14ac:dyDescent="0.2">
      <c r="E10419" s="18"/>
      <c r="F10419" s="18"/>
    </row>
    <row r="10420" spans="5:6" ht="15" customHeight="1" x14ac:dyDescent="0.2">
      <c r="E10420" s="18"/>
      <c r="F10420" s="18"/>
    </row>
    <row r="10421" spans="5:6" ht="15" customHeight="1" x14ac:dyDescent="0.2">
      <c r="E10421" s="18"/>
      <c r="F10421" s="18"/>
    </row>
    <row r="10422" spans="5:6" ht="15" customHeight="1" x14ac:dyDescent="0.2">
      <c r="E10422" s="18"/>
      <c r="F10422" s="18"/>
    </row>
    <row r="10423" spans="5:6" ht="15" customHeight="1" x14ac:dyDescent="0.2">
      <c r="E10423" s="18"/>
      <c r="F10423" s="18"/>
    </row>
    <row r="10424" spans="5:6" ht="15" customHeight="1" x14ac:dyDescent="0.2">
      <c r="E10424" s="18"/>
      <c r="F10424" s="18"/>
    </row>
    <row r="10425" spans="5:6" ht="15" customHeight="1" x14ac:dyDescent="0.2">
      <c r="E10425" s="18"/>
      <c r="F10425" s="18"/>
    </row>
    <row r="10426" spans="5:6" ht="15" customHeight="1" x14ac:dyDescent="0.2">
      <c r="E10426" s="18"/>
      <c r="F10426" s="18"/>
    </row>
    <row r="10427" spans="5:6" ht="15" customHeight="1" x14ac:dyDescent="0.2">
      <c r="E10427" s="18"/>
      <c r="F10427" s="18"/>
    </row>
    <row r="10428" spans="5:6" ht="15" customHeight="1" x14ac:dyDescent="0.2">
      <c r="E10428" s="18"/>
      <c r="F10428" s="18"/>
    </row>
    <row r="10429" spans="5:6" ht="15" customHeight="1" x14ac:dyDescent="0.2">
      <c r="E10429" s="18"/>
      <c r="F10429" s="18"/>
    </row>
    <row r="10430" spans="5:6" ht="15" customHeight="1" x14ac:dyDescent="0.2">
      <c r="E10430" s="18"/>
      <c r="F10430" s="18"/>
    </row>
    <row r="10431" spans="5:6" ht="15" customHeight="1" x14ac:dyDescent="0.2">
      <c r="E10431" s="18"/>
      <c r="F10431" s="18"/>
    </row>
    <row r="10432" spans="5:6" ht="15" customHeight="1" x14ac:dyDescent="0.2">
      <c r="E10432" s="18"/>
      <c r="F10432" s="18"/>
    </row>
    <row r="10433" spans="5:6" ht="15" customHeight="1" x14ac:dyDescent="0.2">
      <c r="E10433" s="18"/>
      <c r="F10433" s="18"/>
    </row>
    <row r="10434" spans="5:6" ht="15" customHeight="1" x14ac:dyDescent="0.2">
      <c r="E10434" s="18"/>
      <c r="F10434" s="18"/>
    </row>
    <row r="10435" spans="5:6" ht="15" customHeight="1" x14ac:dyDescent="0.2">
      <c r="E10435" s="18"/>
      <c r="F10435" s="18"/>
    </row>
    <row r="10436" spans="5:6" ht="15" customHeight="1" x14ac:dyDescent="0.2">
      <c r="E10436" s="18"/>
      <c r="F10436" s="18"/>
    </row>
    <row r="10437" spans="5:6" ht="15" customHeight="1" x14ac:dyDescent="0.2">
      <c r="E10437" s="18"/>
      <c r="F10437" s="18"/>
    </row>
    <row r="10438" spans="5:6" ht="15" customHeight="1" x14ac:dyDescent="0.2">
      <c r="E10438" s="18"/>
      <c r="F10438" s="18"/>
    </row>
    <row r="10439" spans="5:6" ht="15" customHeight="1" x14ac:dyDescent="0.2">
      <c r="E10439" s="18"/>
      <c r="F10439" s="18"/>
    </row>
    <row r="10440" spans="5:6" ht="15" customHeight="1" x14ac:dyDescent="0.2">
      <c r="E10440" s="18"/>
      <c r="F10440" s="18"/>
    </row>
    <row r="10441" spans="5:6" ht="15" customHeight="1" x14ac:dyDescent="0.2">
      <c r="E10441" s="18"/>
      <c r="F10441" s="18"/>
    </row>
    <row r="10442" spans="5:6" ht="15" customHeight="1" x14ac:dyDescent="0.2">
      <c r="E10442" s="18"/>
      <c r="F10442" s="18"/>
    </row>
    <row r="10443" spans="5:6" ht="15" customHeight="1" x14ac:dyDescent="0.2">
      <c r="E10443" s="18"/>
      <c r="F10443" s="18"/>
    </row>
    <row r="10444" spans="5:6" ht="15" customHeight="1" x14ac:dyDescent="0.2">
      <c r="E10444" s="18"/>
      <c r="F10444" s="18"/>
    </row>
    <row r="10445" spans="5:6" ht="15" customHeight="1" x14ac:dyDescent="0.2">
      <c r="E10445" s="18"/>
      <c r="F10445" s="18"/>
    </row>
    <row r="10446" spans="5:6" ht="15" customHeight="1" x14ac:dyDescent="0.2">
      <c r="E10446" s="18"/>
      <c r="F10446" s="18"/>
    </row>
    <row r="10447" spans="5:6" ht="15" customHeight="1" x14ac:dyDescent="0.2">
      <c r="E10447" s="18"/>
      <c r="F10447" s="18"/>
    </row>
    <row r="10448" spans="5:6" ht="15" customHeight="1" x14ac:dyDescent="0.2">
      <c r="E10448" s="18"/>
      <c r="F10448" s="18"/>
    </row>
    <row r="10449" spans="5:6" ht="15" customHeight="1" x14ac:dyDescent="0.2">
      <c r="E10449" s="18"/>
      <c r="F10449" s="18"/>
    </row>
    <row r="10450" spans="5:6" ht="15" customHeight="1" x14ac:dyDescent="0.2">
      <c r="E10450" s="18"/>
      <c r="F10450" s="18"/>
    </row>
    <row r="10451" spans="5:6" ht="15" customHeight="1" x14ac:dyDescent="0.2">
      <c r="E10451" s="18"/>
      <c r="F10451" s="18"/>
    </row>
    <row r="10452" spans="5:6" ht="15" customHeight="1" x14ac:dyDescent="0.2">
      <c r="E10452" s="18"/>
      <c r="F10452" s="18"/>
    </row>
    <row r="10453" spans="5:6" ht="15" customHeight="1" x14ac:dyDescent="0.2">
      <c r="E10453" s="18"/>
      <c r="F10453" s="18"/>
    </row>
    <row r="10454" spans="5:6" ht="15" customHeight="1" x14ac:dyDescent="0.2">
      <c r="E10454" s="18"/>
      <c r="F10454" s="18"/>
    </row>
    <row r="10455" spans="5:6" ht="15" customHeight="1" x14ac:dyDescent="0.2">
      <c r="E10455" s="18"/>
      <c r="F10455" s="18"/>
    </row>
    <row r="10456" spans="5:6" ht="15" customHeight="1" x14ac:dyDescent="0.2">
      <c r="E10456" s="18"/>
      <c r="F10456" s="18"/>
    </row>
    <row r="10457" spans="5:6" ht="15" customHeight="1" x14ac:dyDescent="0.2">
      <c r="E10457" s="18"/>
      <c r="F10457" s="18"/>
    </row>
    <row r="10458" spans="5:6" ht="15" customHeight="1" x14ac:dyDescent="0.2">
      <c r="E10458" s="18"/>
      <c r="F10458" s="18"/>
    </row>
    <row r="10459" spans="5:6" ht="15" customHeight="1" x14ac:dyDescent="0.2">
      <c r="E10459" s="18"/>
      <c r="F10459" s="18"/>
    </row>
    <row r="10460" spans="5:6" ht="15" customHeight="1" x14ac:dyDescent="0.2">
      <c r="E10460" s="18"/>
      <c r="F10460" s="18"/>
    </row>
    <row r="10461" spans="5:6" ht="15" customHeight="1" x14ac:dyDescent="0.2">
      <c r="E10461" s="18"/>
      <c r="F10461" s="18"/>
    </row>
    <row r="10462" spans="5:6" ht="15" customHeight="1" x14ac:dyDescent="0.2">
      <c r="E10462" s="18"/>
      <c r="F10462" s="18"/>
    </row>
    <row r="10463" spans="5:6" ht="15" customHeight="1" x14ac:dyDescent="0.2">
      <c r="E10463" s="18"/>
      <c r="F10463" s="18"/>
    </row>
    <row r="10464" spans="5:6" ht="15" customHeight="1" x14ac:dyDescent="0.2">
      <c r="E10464" s="18"/>
      <c r="F10464" s="18"/>
    </row>
    <row r="10465" spans="5:6" ht="15" customHeight="1" x14ac:dyDescent="0.2">
      <c r="E10465" s="18"/>
      <c r="F10465" s="18"/>
    </row>
    <row r="10466" spans="5:6" ht="15" customHeight="1" x14ac:dyDescent="0.2">
      <c r="E10466" s="18"/>
      <c r="F10466" s="18"/>
    </row>
    <row r="10467" spans="5:6" ht="15" customHeight="1" x14ac:dyDescent="0.2">
      <c r="E10467" s="18"/>
      <c r="F10467" s="18"/>
    </row>
    <row r="10468" spans="5:6" ht="15" customHeight="1" x14ac:dyDescent="0.2">
      <c r="E10468" s="18"/>
      <c r="F10468" s="18"/>
    </row>
    <row r="10469" spans="5:6" ht="15" customHeight="1" x14ac:dyDescent="0.2">
      <c r="E10469" s="18"/>
      <c r="F10469" s="18"/>
    </row>
    <row r="10470" spans="5:6" ht="15" customHeight="1" x14ac:dyDescent="0.2">
      <c r="E10470" s="18"/>
      <c r="F10470" s="18"/>
    </row>
    <row r="10471" spans="5:6" ht="15" customHeight="1" x14ac:dyDescent="0.2">
      <c r="E10471" s="18"/>
      <c r="F10471" s="18"/>
    </row>
    <row r="10472" spans="5:6" ht="15" customHeight="1" x14ac:dyDescent="0.2">
      <c r="E10472" s="18"/>
      <c r="F10472" s="18"/>
    </row>
    <row r="10473" spans="5:6" ht="15" customHeight="1" x14ac:dyDescent="0.2">
      <c r="E10473" s="18"/>
      <c r="F10473" s="18"/>
    </row>
    <row r="10474" spans="5:6" ht="15" customHeight="1" x14ac:dyDescent="0.2">
      <c r="E10474" s="18"/>
      <c r="F10474" s="18"/>
    </row>
    <row r="10475" spans="5:6" ht="15" customHeight="1" x14ac:dyDescent="0.2">
      <c r="E10475" s="18"/>
      <c r="F10475" s="18"/>
    </row>
    <row r="10476" spans="5:6" ht="15" customHeight="1" x14ac:dyDescent="0.2">
      <c r="E10476" s="18"/>
      <c r="F10476" s="18"/>
    </row>
    <row r="10477" spans="5:6" ht="15" customHeight="1" x14ac:dyDescent="0.2">
      <c r="E10477" s="18"/>
      <c r="F10477" s="18"/>
    </row>
    <row r="10478" spans="5:6" ht="15" customHeight="1" x14ac:dyDescent="0.2">
      <c r="E10478" s="18"/>
      <c r="F10478" s="18"/>
    </row>
    <row r="10479" spans="5:6" ht="15" customHeight="1" x14ac:dyDescent="0.2">
      <c r="E10479" s="18"/>
      <c r="F10479" s="18"/>
    </row>
    <row r="10480" spans="5:6" ht="15" customHeight="1" x14ac:dyDescent="0.2">
      <c r="E10480" s="18"/>
      <c r="F10480" s="18"/>
    </row>
    <row r="10481" spans="5:6" ht="15" customHeight="1" x14ac:dyDescent="0.2">
      <c r="E10481" s="18"/>
      <c r="F10481" s="18"/>
    </row>
    <row r="10482" spans="5:6" ht="15" customHeight="1" x14ac:dyDescent="0.2">
      <c r="E10482" s="18"/>
      <c r="F10482" s="18"/>
    </row>
    <row r="10483" spans="5:6" ht="15" customHeight="1" x14ac:dyDescent="0.2">
      <c r="E10483" s="18"/>
      <c r="F10483" s="18"/>
    </row>
    <row r="10484" spans="5:6" ht="15" customHeight="1" x14ac:dyDescent="0.2">
      <c r="E10484" s="18"/>
      <c r="F10484" s="18"/>
    </row>
    <row r="10485" spans="5:6" ht="15" customHeight="1" x14ac:dyDescent="0.2">
      <c r="E10485" s="18"/>
      <c r="F10485" s="18"/>
    </row>
    <row r="10486" spans="5:6" ht="15" customHeight="1" x14ac:dyDescent="0.2">
      <c r="E10486" s="18"/>
      <c r="F10486" s="18"/>
    </row>
    <row r="10487" spans="5:6" ht="15" customHeight="1" x14ac:dyDescent="0.2">
      <c r="E10487" s="18"/>
      <c r="F10487" s="18"/>
    </row>
    <row r="10488" spans="5:6" ht="15" customHeight="1" x14ac:dyDescent="0.2">
      <c r="E10488" s="18"/>
      <c r="F10488" s="18"/>
    </row>
    <row r="10489" spans="5:6" ht="15" customHeight="1" x14ac:dyDescent="0.2">
      <c r="E10489" s="18"/>
      <c r="F10489" s="18"/>
    </row>
    <row r="10490" spans="5:6" ht="15" customHeight="1" x14ac:dyDescent="0.2">
      <c r="E10490" s="18"/>
      <c r="F10490" s="18"/>
    </row>
    <row r="10491" spans="5:6" ht="15" customHeight="1" x14ac:dyDescent="0.2">
      <c r="E10491" s="18"/>
      <c r="F10491" s="18"/>
    </row>
    <row r="10492" spans="5:6" ht="15" customHeight="1" x14ac:dyDescent="0.2">
      <c r="E10492" s="18"/>
      <c r="F10492" s="18"/>
    </row>
    <row r="10493" spans="5:6" ht="15" customHeight="1" x14ac:dyDescent="0.2">
      <c r="E10493" s="18"/>
      <c r="F10493" s="18"/>
    </row>
    <row r="10494" spans="5:6" ht="15" customHeight="1" x14ac:dyDescent="0.2">
      <c r="E10494" s="18"/>
      <c r="F10494" s="18"/>
    </row>
    <row r="10495" spans="5:6" ht="15" customHeight="1" x14ac:dyDescent="0.2">
      <c r="E10495" s="18"/>
      <c r="F10495" s="18"/>
    </row>
    <row r="10496" spans="5:6" ht="15" customHeight="1" x14ac:dyDescent="0.2">
      <c r="E10496" s="18"/>
      <c r="F10496" s="18"/>
    </row>
    <row r="10497" spans="5:6" ht="15" customHeight="1" x14ac:dyDescent="0.2">
      <c r="E10497" s="18"/>
      <c r="F10497" s="18"/>
    </row>
    <row r="10498" spans="5:6" ht="15" customHeight="1" x14ac:dyDescent="0.2">
      <c r="E10498" s="18"/>
      <c r="F10498" s="18"/>
    </row>
    <row r="10499" spans="5:6" ht="15" customHeight="1" x14ac:dyDescent="0.2">
      <c r="E10499" s="18"/>
      <c r="F10499" s="18"/>
    </row>
    <row r="10500" spans="5:6" ht="15" customHeight="1" x14ac:dyDescent="0.2">
      <c r="E10500" s="18"/>
      <c r="F10500" s="18"/>
    </row>
    <row r="10501" spans="5:6" ht="15" customHeight="1" x14ac:dyDescent="0.2">
      <c r="E10501" s="18"/>
      <c r="F10501" s="18"/>
    </row>
    <row r="10502" spans="5:6" ht="15" customHeight="1" x14ac:dyDescent="0.2">
      <c r="E10502" s="18"/>
      <c r="F10502" s="18"/>
    </row>
    <row r="10503" spans="5:6" ht="15" customHeight="1" x14ac:dyDescent="0.2">
      <c r="E10503" s="18"/>
      <c r="F10503" s="18"/>
    </row>
    <row r="10504" spans="5:6" ht="15" customHeight="1" x14ac:dyDescent="0.2">
      <c r="E10504" s="18"/>
      <c r="F10504" s="18"/>
    </row>
    <row r="10505" spans="5:6" ht="15" customHeight="1" x14ac:dyDescent="0.2">
      <c r="E10505" s="18"/>
      <c r="F10505" s="18"/>
    </row>
    <row r="10506" spans="5:6" ht="15" customHeight="1" x14ac:dyDescent="0.2">
      <c r="E10506" s="18"/>
      <c r="F10506" s="18"/>
    </row>
    <row r="10507" spans="5:6" ht="15" customHeight="1" x14ac:dyDescent="0.2">
      <c r="E10507" s="18"/>
      <c r="F10507" s="18"/>
    </row>
    <row r="10508" spans="5:6" ht="15" customHeight="1" x14ac:dyDescent="0.2">
      <c r="E10508" s="18"/>
      <c r="F10508" s="18"/>
    </row>
    <row r="10509" spans="5:6" ht="15" customHeight="1" x14ac:dyDescent="0.2">
      <c r="E10509" s="18"/>
      <c r="F10509" s="18"/>
    </row>
    <row r="10510" spans="5:6" ht="15" customHeight="1" x14ac:dyDescent="0.2">
      <c r="E10510" s="18"/>
      <c r="F10510" s="18"/>
    </row>
    <row r="10511" spans="5:6" ht="15" customHeight="1" x14ac:dyDescent="0.2">
      <c r="E10511" s="18"/>
      <c r="F10511" s="18"/>
    </row>
    <row r="10512" spans="5:6" ht="15" customHeight="1" x14ac:dyDescent="0.2">
      <c r="E10512" s="18"/>
      <c r="F10512" s="18"/>
    </row>
    <row r="10513" spans="5:6" ht="15" customHeight="1" x14ac:dyDescent="0.2">
      <c r="E10513" s="18"/>
      <c r="F10513" s="18"/>
    </row>
    <row r="10514" spans="5:6" ht="15" customHeight="1" x14ac:dyDescent="0.2">
      <c r="E10514" s="18"/>
      <c r="F10514" s="18"/>
    </row>
    <row r="10515" spans="5:6" ht="15" customHeight="1" x14ac:dyDescent="0.2">
      <c r="E10515" s="18"/>
      <c r="F10515" s="18"/>
    </row>
    <row r="10516" spans="5:6" ht="15" customHeight="1" x14ac:dyDescent="0.2">
      <c r="E10516" s="18"/>
      <c r="F10516" s="18"/>
    </row>
    <row r="10517" spans="5:6" ht="15" customHeight="1" x14ac:dyDescent="0.2">
      <c r="E10517" s="18"/>
      <c r="F10517" s="18"/>
    </row>
    <row r="10518" spans="5:6" ht="15" customHeight="1" x14ac:dyDescent="0.2">
      <c r="E10518" s="18"/>
      <c r="F10518" s="18"/>
    </row>
    <row r="10519" spans="5:6" ht="15" customHeight="1" x14ac:dyDescent="0.2">
      <c r="E10519" s="18"/>
      <c r="F10519" s="18"/>
    </row>
    <row r="10520" spans="5:6" ht="15" customHeight="1" x14ac:dyDescent="0.2">
      <c r="E10520" s="18"/>
      <c r="F10520" s="18"/>
    </row>
    <row r="10521" spans="5:6" ht="15" customHeight="1" x14ac:dyDescent="0.2">
      <c r="E10521" s="18"/>
      <c r="F10521" s="18"/>
    </row>
    <row r="10522" spans="5:6" ht="15" customHeight="1" x14ac:dyDescent="0.2">
      <c r="E10522" s="18"/>
      <c r="F10522" s="18"/>
    </row>
    <row r="10523" spans="5:6" ht="15" customHeight="1" x14ac:dyDescent="0.2">
      <c r="E10523" s="18"/>
      <c r="F10523" s="18"/>
    </row>
    <row r="10524" spans="5:6" ht="15" customHeight="1" x14ac:dyDescent="0.2">
      <c r="E10524" s="18"/>
      <c r="F10524" s="18"/>
    </row>
    <row r="10525" spans="5:6" ht="15" customHeight="1" x14ac:dyDescent="0.2">
      <c r="E10525" s="18"/>
      <c r="F10525" s="18"/>
    </row>
    <row r="10526" spans="5:6" ht="15" customHeight="1" x14ac:dyDescent="0.2">
      <c r="E10526" s="18"/>
      <c r="F10526" s="18"/>
    </row>
    <row r="10527" spans="5:6" ht="15" customHeight="1" x14ac:dyDescent="0.2">
      <c r="E10527" s="18"/>
      <c r="F10527" s="18"/>
    </row>
    <row r="10528" spans="5:6" ht="15" customHeight="1" x14ac:dyDescent="0.2">
      <c r="E10528" s="18"/>
      <c r="F10528" s="18"/>
    </row>
    <row r="10529" spans="5:6" ht="15" customHeight="1" x14ac:dyDescent="0.2">
      <c r="E10529" s="18"/>
      <c r="F10529" s="18"/>
    </row>
    <row r="10530" spans="5:6" ht="15" customHeight="1" x14ac:dyDescent="0.2">
      <c r="E10530" s="18"/>
      <c r="F10530" s="18"/>
    </row>
    <row r="10531" spans="5:6" ht="15" customHeight="1" x14ac:dyDescent="0.2">
      <c r="E10531" s="18"/>
      <c r="F10531" s="18"/>
    </row>
    <row r="10532" spans="5:6" ht="15" customHeight="1" x14ac:dyDescent="0.2">
      <c r="E10532" s="18"/>
      <c r="F10532" s="18"/>
    </row>
    <row r="10533" spans="5:6" ht="15" customHeight="1" x14ac:dyDescent="0.2">
      <c r="E10533" s="18"/>
      <c r="F10533" s="18"/>
    </row>
    <row r="10534" spans="5:6" ht="15" customHeight="1" x14ac:dyDescent="0.2">
      <c r="E10534" s="18"/>
      <c r="F10534" s="18"/>
    </row>
    <row r="10535" spans="5:6" ht="15" customHeight="1" x14ac:dyDescent="0.2">
      <c r="E10535" s="18"/>
      <c r="F10535" s="18"/>
    </row>
    <row r="10536" spans="5:6" ht="15" customHeight="1" x14ac:dyDescent="0.2">
      <c r="E10536" s="18"/>
      <c r="F10536" s="18"/>
    </row>
    <row r="10537" spans="5:6" ht="15" customHeight="1" x14ac:dyDescent="0.2">
      <c r="E10537" s="18"/>
      <c r="F10537" s="18"/>
    </row>
    <row r="10538" spans="5:6" ht="15" customHeight="1" x14ac:dyDescent="0.2">
      <c r="E10538" s="18"/>
      <c r="F10538" s="18"/>
    </row>
    <row r="10539" spans="5:6" ht="15" customHeight="1" x14ac:dyDescent="0.2">
      <c r="E10539" s="18"/>
      <c r="F10539" s="18"/>
    </row>
    <row r="10540" spans="5:6" ht="15" customHeight="1" x14ac:dyDescent="0.2">
      <c r="E10540" s="18"/>
      <c r="F10540" s="18"/>
    </row>
    <row r="10541" spans="5:6" ht="15" customHeight="1" x14ac:dyDescent="0.2">
      <c r="E10541" s="18"/>
      <c r="F10541" s="18"/>
    </row>
    <row r="10542" spans="5:6" ht="15" customHeight="1" x14ac:dyDescent="0.2">
      <c r="E10542" s="18"/>
      <c r="F10542" s="18"/>
    </row>
    <row r="10543" spans="5:6" ht="15" customHeight="1" x14ac:dyDescent="0.2">
      <c r="E10543" s="18"/>
      <c r="F10543" s="18"/>
    </row>
    <row r="10544" spans="5:6" ht="15" customHeight="1" x14ac:dyDescent="0.2">
      <c r="E10544" s="18"/>
      <c r="F10544" s="18"/>
    </row>
    <row r="10545" spans="5:6" ht="15" customHeight="1" x14ac:dyDescent="0.2">
      <c r="E10545" s="18"/>
      <c r="F10545" s="18"/>
    </row>
    <row r="10546" spans="5:6" ht="15" customHeight="1" x14ac:dyDescent="0.2">
      <c r="E10546" s="18"/>
      <c r="F10546" s="18"/>
    </row>
    <row r="10547" spans="5:6" ht="15" customHeight="1" x14ac:dyDescent="0.2">
      <c r="E10547" s="18"/>
      <c r="F10547" s="18"/>
    </row>
    <row r="10548" spans="5:6" ht="15" customHeight="1" x14ac:dyDescent="0.2">
      <c r="E10548" s="18"/>
      <c r="F10548" s="18"/>
    </row>
    <row r="10549" spans="5:6" ht="15" customHeight="1" x14ac:dyDescent="0.2">
      <c r="E10549" s="18"/>
      <c r="F10549" s="18"/>
    </row>
    <row r="10550" spans="5:6" ht="15" customHeight="1" x14ac:dyDescent="0.2">
      <c r="E10550" s="18"/>
      <c r="F10550" s="18"/>
    </row>
    <row r="10551" spans="5:6" ht="15" customHeight="1" x14ac:dyDescent="0.2">
      <c r="E10551" s="18"/>
      <c r="F10551" s="18"/>
    </row>
    <row r="10552" spans="5:6" ht="15" customHeight="1" x14ac:dyDescent="0.2">
      <c r="E10552" s="18"/>
      <c r="F10552" s="18"/>
    </row>
    <row r="10553" spans="5:6" ht="15" customHeight="1" x14ac:dyDescent="0.2">
      <c r="E10553" s="18"/>
      <c r="F10553" s="18"/>
    </row>
    <row r="10554" spans="5:6" ht="15" customHeight="1" x14ac:dyDescent="0.2">
      <c r="E10554" s="18"/>
      <c r="F10554" s="18"/>
    </row>
    <row r="10555" spans="5:6" ht="15" customHeight="1" x14ac:dyDescent="0.2">
      <c r="E10555" s="18"/>
      <c r="F10555" s="18"/>
    </row>
    <row r="10556" spans="5:6" ht="15" customHeight="1" x14ac:dyDescent="0.2">
      <c r="E10556" s="18"/>
      <c r="F10556" s="18"/>
    </row>
    <row r="10557" spans="5:6" ht="15" customHeight="1" x14ac:dyDescent="0.2">
      <c r="E10557" s="18"/>
      <c r="F10557" s="18"/>
    </row>
    <row r="10558" spans="5:6" ht="15" customHeight="1" x14ac:dyDescent="0.2">
      <c r="E10558" s="18"/>
      <c r="F10558" s="18"/>
    </row>
    <row r="10559" spans="5:6" ht="15" customHeight="1" x14ac:dyDescent="0.2">
      <c r="E10559" s="18"/>
      <c r="F10559" s="18"/>
    </row>
    <row r="10560" spans="5:6" ht="15" customHeight="1" x14ac:dyDescent="0.2">
      <c r="E10560" s="18"/>
      <c r="F10560" s="18"/>
    </row>
    <row r="10561" spans="5:6" ht="15" customHeight="1" x14ac:dyDescent="0.2">
      <c r="E10561" s="18"/>
      <c r="F10561" s="18"/>
    </row>
    <row r="10562" spans="5:6" ht="15" customHeight="1" x14ac:dyDescent="0.2">
      <c r="E10562" s="18"/>
      <c r="F10562" s="18"/>
    </row>
    <row r="10563" spans="5:6" ht="15" customHeight="1" x14ac:dyDescent="0.2">
      <c r="E10563" s="18"/>
      <c r="F10563" s="18"/>
    </row>
    <row r="10564" spans="5:6" ht="15" customHeight="1" x14ac:dyDescent="0.2">
      <c r="E10564" s="18"/>
      <c r="F10564" s="18"/>
    </row>
    <row r="10565" spans="5:6" ht="15" customHeight="1" x14ac:dyDescent="0.2">
      <c r="E10565" s="18"/>
      <c r="F10565" s="18"/>
    </row>
    <row r="10566" spans="5:6" ht="15" customHeight="1" x14ac:dyDescent="0.2">
      <c r="E10566" s="18"/>
      <c r="F10566" s="18"/>
    </row>
    <row r="10567" spans="5:6" ht="15" customHeight="1" x14ac:dyDescent="0.2">
      <c r="E10567" s="18"/>
      <c r="F10567" s="18"/>
    </row>
    <row r="10568" spans="5:6" ht="15" customHeight="1" x14ac:dyDescent="0.2">
      <c r="E10568" s="18"/>
      <c r="F10568" s="18"/>
    </row>
    <row r="10569" spans="5:6" ht="15" customHeight="1" x14ac:dyDescent="0.2">
      <c r="E10569" s="18"/>
      <c r="F10569" s="18"/>
    </row>
    <row r="10570" spans="5:6" ht="15" customHeight="1" x14ac:dyDescent="0.2">
      <c r="E10570" s="18"/>
      <c r="F10570" s="18"/>
    </row>
    <row r="10571" spans="5:6" ht="15" customHeight="1" x14ac:dyDescent="0.2">
      <c r="E10571" s="18"/>
      <c r="F10571" s="18"/>
    </row>
    <row r="10572" spans="5:6" ht="15" customHeight="1" x14ac:dyDescent="0.2">
      <c r="E10572" s="18"/>
      <c r="F10572" s="18"/>
    </row>
    <row r="10573" spans="5:6" ht="15" customHeight="1" x14ac:dyDescent="0.2">
      <c r="E10573" s="18"/>
      <c r="F10573" s="18"/>
    </row>
    <row r="10574" spans="5:6" ht="15" customHeight="1" x14ac:dyDescent="0.2">
      <c r="E10574" s="18"/>
      <c r="F10574" s="18"/>
    </row>
    <row r="10575" spans="5:6" ht="15" customHeight="1" x14ac:dyDescent="0.2">
      <c r="E10575" s="18"/>
      <c r="F10575" s="18"/>
    </row>
    <row r="10576" spans="5:6" ht="15" customHeight="1" x14ac:dyDescent="0.2">
      <c r="E10576" s="18"/>
      <c r="F10576" s="18"/>
    </row>
    <row r="10577" spans="5:6" ht="15" customHeight="1" x14ac:dyDescent="0.2">
      <c r="E10577" s="18"/>
      <c r="F10577" s="18"/>
    </row>
    <row r="10578" spans="5:6" ht="15" customHeight="1" x14ac:dyDescent="0.2">
      <c r="E10578" s="18"/>
      <c r="F10578" s="18"/>
    </row>
    <row r="10579" spans="5:6" ht="15" customHeight="1" x14ac:dyDescent="0.2">
      <c r="E10579" s="18"/>
      <c r="F10579" s="18"/>
    </row>
    <row r="10580" spans="5:6" ht="15" customHeight="1" x14ac:dyDescent="0.2">
      <c r="E10580" s="18"/>
      <c r="F10580" s="18"/>
    </row>
    <row r="10581" spans="5:6" ht="15" customHeight="1" x14ac:dyDescent="0.2">
      <c r="E10581" s="18"/>
      <c r="F10581" s="18"/>
    </row>
    <row r="10582" spans="5:6" ht="15" customHeight="1" x14ac:dyDescent="0.2">
      <c r="E10582" s="18"/>
      <c r="F10582" s="18"/>
    </row>
    <row r="10583" spans="5:6" ht="15" customHeight="1" x14ac:dyDescent="0.2">
      <c r="E10583" s="18"/>
      <c r="F10583" s="18"/>
    </row>
    <row r="10584" spans="5:6" ht="15" customHeight="1" x14ac:dyDescent="0.2">
      <c r="E10584" s="18"/>
      <c r="F10584" s="18"/>
    </row>
    <row r="10585" spans="5:6" ht="15" customHeight="1" x14ac:dyDescent="0.2">
      <c r="E10585" s="18"/>
      <c r="F10585" s="18"/>
    </row>
    <row r="10586" spans="5:6" ht="15" customHeight="1" x14ac:dyDescent="0.2">
      <c r="E10586" s="18"/>
      <c r="F10586" s="18"/>
    </row>
    <row r="10587" spans="5:6" ht="15" customHeight="1" x14ac:dyDescent="0.2">
      <c r="E10587" s="18"/>
      <c r="F10587" s="18"/>
    </row>
    <row r="10588" spans="5:6" ht="15" customHeight="1" x14ac:dyDescent="0.2">
      <c r="E10588" s="18"/>
      <c r="F10588" s="18"/>
    </row>
    <row r="10589" spans="5:6" ht="15" customHeight="1" x14ac:dyDescent="0.2">
      <c r="E10589" s="18"/>
      <c r="F10589" s="18"/>
    </row>
    <row r="10590" spans="5:6" ht="15" customHeight="1" x14ac:dyDescent="0.2">
      <c r="E10590" s="18"/>
      <c r="F10590" s="18"/>
    </row>
    <row r="10591" spans="5:6" ht="15" customHeight="1" x14ac:dyDescent="0.2">
      <c r="E10591" s="18"/>
      <c r="F10591" s="18"/>
    </row>
    <row r="10592" spans="5:6" ht="15" customHeight="1" x14ac:dyDescent="0.2">
      <c r="E10592" s="18"/>
      <c r="F10592" s="18"/>
    </row>
    <row r="10593" spans="5:6" ht="15" customHeight="1" x14ac:dyDescent="0.2">
      <c r="E10593" s="18"/>
      <c r="F10593" s="18"/>
    </row>
    <row r="10594" spans="5:6" ht="15" customHeight="1" x14ac:dyDescent="0.2">
      <c r="E10594" s="18"/>
      <c r="F10594" s="18"/>
    </row>
    <row r="10595" spans="5:6" ht="15" customHeight="1" x14ac:dyDescent="0.2">
      <c r="E10595" s="18"/>
      <c r="F10595" s="18"/>
    </row>
    <row r="10596" spans="5:6" ht="15" customHeight="1" x14ac:dyDescent="0.2">
      <c r="E10596" s="18"/>
      <c r="F10596" s="18"/>
    </row>
    <row r="10597" spans="5:6" ht="15" customHeight="1" x14ac:dyDescent="0.2">
      <c r="E10597" s="18"/>
      <c r="F10597" s="18"/>
    </row>
    <row r="10598" spans="5:6" ht="15" customHeight="1" x14ac:dyDescent="0.2">
      <c r="E10598" s="18"/>
      <c r="F10598" s="18"/>
    </row>
    <row r="10599" spans="5:6" ht="15" customHeight="1" x14ac:dyDescent="0.2">
      <c r="E10599" s="18"/>
      <c r="F10599" s="18"/>
    </row>
    <row r="10600" spans="5:6" ht="15" customHeight="1" x14ac:dyDescent="0.2">
      <c r="E10600" s="18"/>
      <c r="F10600" s="18"/>
    </row>
    <row r="10601" spans="5:6" ht="15" customHeight="1" x14ac:dyDescent="0.2">
      <c r="E10601" s="18"/>
      <c r="F10601" s="18"/>
    </row>
    <row r="10602" spans="5:6" ht="15" customHeight="1" x14ac:dyDescent="0.2">
      <c r="E10602" s="18"/>
      <c r="F10602" s="18"/>
    </row>
    <row r="10603" spans="5:6" ht="15" customHeight="1" x14ac:dyDescent="0.2">
      <c r="E10603" s="18"/>
      <c r="F10603" s="18"/>
    </row>
    <row r="10604" spans="5:6" ht="15" customHeight="1" x14ac:dyDescent="0.2">
      <c r="E10604" s="18"/>
      <c r="F10604" s="18"/>
    </row>
    <row r="10605" spans="5:6" ht="15" customHeight="1" x14ac:dyDescent="0.2">
      <c r="E10605" s="18"/>
      <c r="F10605" s="18"/>
    </row>
    <row r="10606" spans="5:6" ht="15" customHeight="1" x14ac:dyDescent="0.2">
      <c r="E10606" s="18"/>
      <c r="F10606" s="18"/>
    </row>
    <row r="10607" spans="5:6" ht="15" customHeight="1" x14ac:dyDescent="0.2">
      <c r="E10607" s="18"/>
      <c r="F10607" s="18"/>
    </row>
    <row r="10608" spans="5:6" ht="15" customHeight="1" x14ac:dyDescent="0.2">
      <c r="E10608" s="18"/>
      <c r="F10608" s="18"/>
    </row>
    <row r="10609" spans="5:6" ht="15" customHeight="1" x14ac:dyDescent="0.2">
      <c r="E10609" s="18"/>
      <c r="F10609" s="18"/>
    </row>
    <row r="10610" spans="5:6" ht="15" customHeight="1" x14ac:dyDescent="0.2">
      <c r="E10610" s="18"/>
      <c r="F10610" s="18"/>
    </row>
    <row r="10611" spans="5:6" ht="15" customHeight="1" x14ac:dyDescent="0.2">
      <c r="E10611" s="18"/>
      <c r="F10611" s="18"/>
    </row>
    <row r="10612" spans="5:6" ht="15" customHeight="1" x14ac:dyDescent="0.2">
      <c r="E10612" s="18"/>
      <c r="F10612" s="18"/>
    </row>
    <row r="10613" spans="5:6" ht="15" customHeight="1" x14ac:dyDescent="0.2">
      <c r="E10613" s="18"/>
      <c r="F10613" s="18"/>
    </row>
    <row r="10614" spans="5:6" ht="15" customHeight="1" x14ac:dyDescent="0.2">
      <c r="E10614" s="18"/>
      <c r="F10614" s="18"/>
    </row>
    <row r="10615" spans="5:6" ht="15" customHeight="1" x14ac:dyDescent="0.2">
      <c r="E10615" s="18"/>
      <c r="F10615" s="18"/>
    </row>
    <row r="10616" spans="5:6" ht="15" customHeight="1" x14ac:dyDescent="0.2">
      <c r="E10616" s="18"/>
      <c r="F10616" s="18"/>
    </row>
    <row r="10617" spans="5:6" ht="15" customHeight="1" x14ac:dyDescent="0.2">
      <c r="E10617" s="18"/>
      <c r="F10617" s="18"/>
    </row>
    <row r="10618" spans="5:6" ht="15" customHeight="1" x14ac:dyDescent="0.2">
      <c r="E10618" s="18"/>
      <c r="F10618" s="18"/>
    </row>
    <row r="10619" spans="5:6" ht="15" customHeight="1" x14ac:dyDescent="0.2">
      <c r="E10619" s="18"/>
      <c r="F10619" s="18"/>
    </row>
    <row r="10620" spans="5:6" ht="15" customHeight="1" x14ac:dyDescent="0.2">
      <c r="E10620" s="18"/>
      <c r="F10620" s="18"/>
    </row>
    <row r="10621" spans="5:6" ht="15" customHeight="1" x14ac:dyDescent="0.2">
      <c r="E10621" s="18"/>
      <c r="F10621" s="18"/>
    </row>
    <row r="10622" spans="5:6" ht="15" customHeight="1" x14ac:dyDescent="0.2">
      <c r="E10622" s="18"/>
      <c r="F10622" s="18"/>
    </row>
    <row r="10623" spans="5:6" ht="15" customHeight="1" x14ac:dyDescent="0.2">
      <c r="E10623" s="18"/>
      <c r="F10623" s="18"/>
    </row>
    <row r="10624" spans="5:6" ht="15" customHeight="1" x14ac:dyDescent="0.2">
      <c r="E10624" s="18"/>
      <c r="F10624" s="18"/>
    </row>
    <row r="10625" spans="5:6" ht="15" customHeight="1" x14ac:dyDescent="0.2">
      <c r="E10625" s="18"/>
      <c r="F10625" s="18"/>
    </row>
    <row r="10626" spans="5:6" ht="15" customHeight="1" x14ac:dyDescent="0.2">
      <c r="E10626" s="18"/>
      <c r="F10626" s="18"/>
    </row>
    <row r="10627" spans="5:6" ht="15" customHeight="1" x14ac:dyDescent="0.2">
      <c r="E10627" s="18"/>
      <c r="F10627" s="18"/>
    </row>
    <row r="10628" spans="5:6" ht="15" customHeight="1" x14ac:dyDescent="0.2">
      <c r="E10628" s="18"/>
      <c r="F10628" s="18"/>
    </row>
    <row r="10629" spans="5:6" ht="15" customHeight="1" x14ac:dyDescent="0.2">
      <c r="E10629" s="18"/>
      <c r="F10629" s="18"/>
    </row>
    <row r="10630" spans="5:6" ht="15" customHeight="1" x14ac:dyDescent="0.2">
      <c r="E10630" s="18"/>
      <c r="F10630" s="18"/>
    </row>
    <row r="10631" spans="5:6" ht="15" customHeight="1" x14ac:dyDescent="0.2">
      <c r="E10631" s="18"/>
      <c r="F10631" s="18"/>
    </row>
    <row r="10632" spans="5:6" ht="15" customHeight="1" x14ac:dyDescent="0.2">
      <c r="E10632" s="18"/>
      <c r="F10632" s="18"/>
    </row>
    <row r="10633" spans="5:6" ht="15" customHeight="1" x14ac:dyDescent="0.2">
      <c r="E10633" s="18"/>
      <c r="F10633" s="18"/>
    </row>
    <row r="10634" spans="5:6" ht="15" customHeight="1" x14ac:dyDescent="0.2">
      <c r="E10634" s="18"/>
      <c r="F10634" s="18"/>
    </row>
    <row r="10635" spans="5:6" ht="15" customHeight="1" x14ac:dyDescent="0.2">
      <c r="E10635" s="18"/>
      <c r="F10635" s="18"/>
    </row>
    <row r="10636" spans="5:6" ht="15" customHeight="1" x14ac:dyDescent="0.2">
      <c r="E10636" s="18"/>
      <c r="F10636" s="18"/>
    </row>
    <row r="10637" spans="5:6" ht="15" customHeight="1" x14ac:dyDescent="0.2">
      <c r="E10637" s="18"/>
      <c r="F10637" s="18"/>
    </row>
    <row r="10638" spans="5:6" ht="15" customHeight="1" x14ac:dyDescent="0.2">
      <c r="E10638" s="18"/>
      <c r="F10638" s="18"/>
    </row>
    <row r="10639" spans="5:6" ht="15" customHeight="1" x14ac:dyDescent="0.2">
      <c r="E10639" s="18"/>
      <c r="F10639" s="18"/>
    </row>
    <row r="10640" spans="5:6" ht="15" customHeight="1" x14ac:dyDescent="0.2">
      <c r="E10640" s="18"/>
      <c r="F10640" s="18"/>
    </row>
    <row r="10641" spans="5:6" ht="15" customHeight="1" x14ac:dyDescent="0.2">
      <c r="E10641" s="18"/>
      <c r="F10641" s="18"/>
    </row>
    <row r="10642" spans="5:6" ht="15" customHeight="1" x14ac:dyDescent="0.2">
      <c r="E10642" s="18"/>
      <c r="F10642" s="18"/>
    </row>
    <row r="10643" spans="5:6" ht="15" customHeight="1" x14ac:dyDescent="0.2">
      <c r="E10643" s="18"/>
      <c r="F10643" s="18"/>
    </row>
    <row r="10644" spans="5:6" ht="15" customHeight="1" x14ac:dyDescent="0.2">
      <c r="E10644" s="18"/>
      <c r="F10644" s="18"/>
    </row>
    <row r="10645" spans="5:6" ht="15" customHeight="1" x14ac:dyDescent="0.2">
      <c r="E10645" s="18"/>
      <c r="F10645" s="18"/>
    </row>
    <row r="10646" spans="5:6" ht="15" customHeight="1" x14ac:dyDescent="0.2">
      <c r="E10646" s="18"/>
      <c r="F10646" s="18"/>
    </row>
    <row r="10647" spans="5:6" ht="15" customHeight="1" x14ac:dyDescent="0.2">
      <c r="E10647" s="18"/>
      <c r="F10647" s="18"/>
    </row>
    <row r="10648" spans="5:6" ht="15" customHeight="1" x14ac:dyDescent="0.2">
      <c r="E10648" s="18"/>
      <c r="F10648" s="18"/>
    </row>
    <row r="10649" spans="5:6" ht="15" customHeight="1" x14ac:dyDescent="0.2">
      <c r="E10649" s="18"/>
      <c r="F10649" s="18"/>
    </row>
    <row r="10650" spans="5:6" ht="15" customHeight="1" x14ac:dyDescent="0.2">
      <c r="E10650" s="18"/>
      <c r="F10650" s="18"/>
    </row>
    <row r="10651" spans="5:6" ht="15" customHeight="1" x14ac:dyDescent="0.2">
      <c r="E10651" s="18"/>
      <c r="F10651" s="18"/>
    </row>
    <row r="10652" spans="5:6" ht="15" customHeight="1" x14ac:dyDescent="0.2">
      <c r="E10652" s="18"/>
      <c r="F10652" s="18"/>
    </row>
    <row r="10653" spans="5:6" ht="15" customHeight="1" x14ac:dyDescent="0.2">
      <c r="E10653" s="18"/>
      <c r="F10653" s="18"/>
    </row>
    <row r="10654" spans="5:6" ht="15" customHeight="1" x14ac:dyDescent="0.2">
      <c r="E10654" s="18"/>
      <c r="F10654" s="18"/>
    </row>
    <row r="10655" spans="5:6" ht="15" customHeight="1" x14ac:dyDescent="0.2">
      <c r="E10655" s="18"/>
      <c r="F10655" s="18"/>
    </row>
    <row r="10656" spans="5:6" ht="15" customHeight="1" x14ac:dyDescent="0.2">
      <c r="E10656" s="18"/>
      <c r="F10656" s="18"/>
    </row>
    <row r="10657" spans="5:6" ht="15" customHeight="1" x14ac:dyDescent="0.2">
      <c r="E10657" s="18"/>
      <c r="F10657" s="18"/>
    </row>
    <row r="10658" spans="5:6" ht="15" customHeight="1" x14ac:dyDescent="0.2">
      <c r="E10658" s="18"/>
      <c r="F10658" s="18"/>
    </row>
    <row r="10659" spans="5:6" ht="15" customHeight="1" x14ac:dyDescent="0.2">
      <c r="E10659" s="18"/>
      <c r="F10659" s="18"/>
    </row>
    <row r="10660" spans="5:6" ht="15" customHeight="1" x14ac:dyDescent="0.2">
      <c r="E10660" s="18"/>
      <c r="F10660" s="18"/>
    </row>
    <row r="10661" spans="5:6" ht="15" customHeight="1" x14ac:dyDescent="0.2">
      <c r="E10661" s="18"/>
      <c r="F10661" s="18"/>
    </row>
    <row r="10662" spans="5:6" ht="15" customHeight="1" x14ac:dyDescent="0.2">
      <c r="E10662" s="18"/>
      <c r="F10662" s="18"/>
    </row>
    <row r="10663" spans="5:6" ht="15" customHeight="1" x14ac:dyDescent="0.2">
      <c r="E10663" s="18"/>
      <c r="F10663" s="18"/>
    </row>
    <row r="10664" spans="5:6" ht="15" customHeight="1" x14ac:dyDescent="0.2">
      <c r="E10664" s="18"/>
      <c r="F10664" s="18"/>
    </row>
    <row r="10665" spans="5:6" ht="15" customHeight="1" x14ac:dyDescent="0.2">
      <c r="E10665" s="18"/>
      <c r="F10665" s="18"/>
    </row>
    <row r="10666" spans="5:6" ht="15" customHeight="1" x14ac:dyDescent="0.2">
      <c r="E10666" s="18"/>
      <c r="F10666" s="18"/>
    </row>
    <row r="10667" spans="5:6" ht="15" customHeight="1" x14ac:dyDescent="0.2">
      <c r="E10667" s="18"/>
      <c r="F10667" s="18"/>
    </row>
    <row r="10668" spans="5:6" ht="15" customHeight="1" x14ac:dyDescent="0.2">
      <c r="E10668" s="18"/>
      <c r="F10668" s="18"/>
    </row>
    <row r="10669" spans="5:6" ht="15" customHeight="1" x14ac:dyDescent="0.2">
      <c r="E10669" s="18"/>
      <c r="F10669" s="18"/>
    </row>
    <row r="10670" spans="5:6" ht="15" customHeight="1" x14ac:dyDescent="0.2">
      <c r="E10670" s="18"/>
      <c r="F10670" s="18"/>
    </row>
    <row r="10671" spans="5:6" ht="15" customHeight="1" x14ac:dyDescent="0.2">
      <c r="E10671" s="18"/>
      <c r="F10671" s="18"/>
    </row>
    <row r="10672" spans="5:6" ht="15" customHeight="1" x14ac:dyDescent="0.2">
      <c r="E10672" s="18"/>
      <c r="F10672" s="18"/>
    </row>
    <row r="10673" spans="5:6" ht="15" customHeight="1" x14ac:dyDescent="0.2">
      <c r="E10673" s="18"/>
      <c r="F10673" s="18"/>
    </row>
    <row r="10674" spans="5:6" ht="15" customHeight="1" x14ac:dyDescent="0.2">
      <c r="E10674" s="18"/>
      <c r="F10674" s="18"/>
    </row>
    <row r="10675" spans="5:6" ht="15" customHeight="1" x14ac:dyDescent="0.2">
      <c r="E10675" s="18"/>
      <c r="F10675" s="18"/>
    </row>
    <row r="10676" spans="5:6" ht="15" customHeight="1" x14ac:dyDescent="0.2">
      <c r="E10676" s="18"/>
      <c r="F10676" s="18"/>
    </row>
    <row r="10677" spans="5:6" ht="15" customHeight="1" x14ac:dyDescent="0.2">
      <c r="E10677" s="18"/>
      <c r="F10677" s="18"/>
    </row>
    <row r="10678" spans="5:6" ht="15" customHeight="1" x14ac:dyDescent="0.2">
      <c r="E10678" s="18"/>
      <c r="F10678" s="18"/>
    </row>
    <row r="10679" spans="5:6" ht="15" customHeight="1" x14ac:dyDescent="0.2">
      <c r="E10679" s="18"/>
      <c r="F10679" s="18"/>
    </row>
    <row r="10680" spans="5:6" ht="15" customHeight="1" x14ac:dyDescent="0.2">
      <c r="E10680" s="18"/>
      <c r="F10680" s="18"/>
    </row>
    <row r="10681" spans="5:6" ht="15" customHeight="1" x14ac:dyDescent="0.2">
      <c r="E10681" s="18"/>
      <c r="F10681" s="18"/>
    </row>
    <row r="10682" spans="5:6" ht="15" customHeight="1" x14ac:dyDescent="0.2">
      <c r="E10682" s="18"/>
      <c r="F10682" s="18"/>
    </row>
    <row r="10683" spans="5:6" ht="15" customHeight="1" x14ac:dyDescent="0.2">
      <c r="E10683" s="18"/>
      <c r="F10683" s="18"/>
    </row>
    <row r="10684" spans="5:6" ht="15" customHeight="1" x14ac:dyDescent="0.2">
      <c r="E10684" s="18"/>
      <c r="F10684" s="18"/>
    </row>
    <row r="10685" spans="5:6" ht="15" customHeight="1" x14ac:dyDescent="0.2">
      <c r="E10685" s="18"/>
      <c r="F10685" s="18"/>
    </row>
    <row r="10686" spans="5:6" ht="15" customHeight="1" x14ac:dyDescent="0.2">
      <c r="E10686" s="18"/>
      <c r="F10686" s="18"/>
    </row>
    <row r="10687" spans="5:6" ht="15" customHeight="1" x14ac:dyDescent="0.2">
      <c r="E10687" s="18"/>
      <c r="F10687" s="18"/>
    </row>
    <row r="10688" spans="5:6" ht="15" customHeight="1" x14ac:dyDescent="0.2">
      <c r="E10688" s="18"/>
      <c r="F10688" s="18"/>
    </row>
    <row r="10689" spans="5:6" ht="15" customHeight="1" x14ac:dyDescent="0.2">
      <c r="E10689" s="18"/>
      <c r="F10689" s="18"/>
    </row>
    <row r="10690" spans="5:6" ht="15" customHeight="1" x14ac:dyDescent="0.2">
      <c r="E10690" s="18"/>
      <c r="F10690" s="18"/>
    </row>
    <row r="10691" spans="5:6" ht="15" customHeight="1" x14ac:dyDescent="0.2">
      <c r="E10691" s="18"/>
      <c r="F10691" s="18"/>
    </row>
    <row r="10692" spans="5:6" ht="15" customHeight="1" x14ac:dyDescent="0.2">
      <c r="E10692" s="18"/>
      <c r="F10692" s="18"/>
    </row>
    <row r="10693" spans="5:6" ht="15" customHeight="1" x14ac:dyDescent="0.2">
      <c r="E10693" s="18"/>
      <c r="F10693" s="18"/>
    </row>
    <row r="10694" spans="5:6" ht="15" customHeight="1" x14ac:dyDescent="0.2">
      <c r="E10694" s="18"/>
      <c r="F10694" s="18"/>
    </row>
    <row r="10695" spans="5:6" ht="15" customHeight="1" x14ac:dyDescent="0.2">
      <c r="E10695" s="18"/>
      <c r="F10695" s="18"/>
    </row>
    <row r="10696" spans="5:6" ht="15" customHeight="1" x14ac:dyDescent="0.2">
      <c r="E10696" s="18"/>
      <c r="F10696" s="18"/>
    </row>
    <row r="10697" spans="5:6" ht="15" customHeight="1" x14ac:dyDescent="0.2">
      <c r="E10697" s="18"/>
      <c r="F10697" s="18"/>
    </row>
    <row r="10698" spans="5:6" ht="15" customHeight="1" x14ac:dyDescent="0.2">
      <c r="E10698" s="18"/>
      <c r="F10698" s="18"/>
    </row>
    <row r="10699" spans="5:6" ht="15" customHeight="1" x14ac:dyDescent="0.2">
      <c r="E10699" s="18"/>
      <c r="F10699" s="18"/>
    </row>
    <row r="10700" spans="5:6" ht="15" customHeight="1" x14ac:dyDescent="0.2">
      <c r="E10700" s="18"/>
      <c r="F10700" s="18"/>
    </row>
    <row r="10701" spans="5:6" ht="15" customHeight="1" x14ac:dyDescent="0.2">
      <c r="E10701" s="18"/>
      <c r="F10701" s="18"/>
    </row>
    <row r="10702" spans="5:6" ht="15" customHeight="1" x14ac:dyDescent="0.2">
      <c r="E10702" s="18"/>
      <c r="F10702" s="18"/>
    </row>
    <row r="10703" spans="5:6" ht="15" customHeight="1" x14ac:dyDescent="0.2">
      <c r="E10703" s="18"/>
      <c r="F10703" s="18"/>
    </row>
    <row r="10704" spans="5:6" ht="15" customHeight="1" x14ac:dyDescent="0.2">
      <c r="E10704" s="18"/>
      <c r="F10704" s="18"/>
    </row>
    <row r="10705" spans="5:6" ht="15" customHeight="1" x14ac:dyDescent="0.2">
      <c r="E10705" s="18"/>
      <c r="F10705" s="18"/>
    </row>
    <row r="10706" spans="5:6" ht="15" customHeight="1" x14ac:dyDescent="0.2">
      <c r="E10706" s="18"/>
      <c r="F10706" s="18"/>
    </row>
    <row r="10707" spans="5:6" ht="15" customHeight="1" x14ac:dyDescent="0.2">
      <c r="E10707" s="18"/>
      <c r="F10707" s="18"/>
    </row>
    <row r="10708" spans="5:6" ht="15" customHeight="1" x14ac:dyDescent="0.2">
      <c r="E10708" s="18"/>
      <c r="F10708" s="18"/>
    </row>
    <row r="10709" spans="5:6" ht="15" customHeight="1" x14ac:dyDescent="0.2">
      <c r="E10709" s="18"/>
      <c r="F10709" s="18"/>
    </row>
    <row r="10710" spans="5:6" ht="15" customHeight="1" x14ac:dyDescent="0.2">
      <c r="E10710" s="18"/>
      <c r="F10710" s="18"/>
    </row>
    <row r="10711" spans="5:6" ht="15" customHeight="1" x14ac:dyDescent="0.2">
      <c r="E10711" s="18"/>
      <c r="F10711" s="18"/>
    </row>
    <row r="10712" spans="5:6" ht="15" customHeight="1" x14ac:dyDescent="0.2">
      <c r="E10712" s="18"/>
      <c r="F10712" s="18"/>
    </row>
    <row r="10713" spans="5:6" ht="15" customHeight="1" x14ac:dyDescent="0.2">
      <c r="E10713" s="18"/>
      <c r="F10713" s="18"/>
    </row>
    <row r="10714" spans="5:6" ht="15" customHeight="1" x14ac:dyDescent="0.2">
      <c r="E10714" s="18"/>
      <c r="F10714" s="18"/>
    </row>
    <row r="10715" spans="5:6" ht="15" customHeight="1" x14ac:dyDescent="0.2">
      <c r="E10715" s="18"/>
      <c r="F10715" s="18"/>
    </row>
    <row r="10716" spans="5:6" ht="15" customHeight="1" x14ac:dyDescent="0.2">
      <c r="E10716" s="18"/>
      <c r="F10716" s="18"/>
    </row>
    <row r="10717" spans="5:6" ht="15" customHeight="1" x14ac:dyDescent="0.2">
      <c r="E10717" s="18"/>
      <c r="F10717" s="18"/>
    </row>
    <row r="10718" spans="5:6" ht="15" customHeight="1" x14ac:dyDescent="0.2">
      <c r="E10718" s="18"/>
      <c r="F10718" s="18"/>
    </row>
    <row r="10719" spans="5:6" ht="15" customHeight="1" x14ac:dyDescent="0.2">
      <c r="E10719" s="18"/>
      <c r="F10719" s="18"/>
    </row>
    <row r="10720" spans="5:6" ht="15" customHeight="1" x14ac:dyDescent="0.2">
      <c r="E10720" s="18"/>
      <c r="F10720" s="18"/>
    </row>
    <row r="10721" spans="5:6" ht="15" customHeight="1" x14ac:dyDescent="0.2">
      <c r="E10721" s="18"/>
      <c r="F10721" s="18"/>
    </row>
    <row r="10722" spans="5:6" ht="15" customHeight="1" x14ac:dyDescent="0.2">
      <c r="E10722" s="18"/>
      <c r="F10722" s="18"/>
    </row>
    <row r="10723" spans="5:6" ht="15" customHeight="1" x14ac:dyDescent="0.2">
      <c r="E10723" s="18"/>
      <c r="F10723" s="18"/>
    </row>
    <row r="10724" spans="5:6" ht="15" customHeight="1" x14ac:dyDescent="0.2">
      <c r="E10724" s="18"/>
      <c r="F10724" s="18"/>
    </row>
    <row r="10725" spans="5:6" ht="15" customHeight="1" x14ac:dyDescent="0.2">
      <c r="E10725" s="18"/>
      <c r="F10725" s="18"/>
    </row>
    <row r="10726" spans="5:6" ht="15" customHeight="1" x14ac:dyDescent="0.2">
      <c r="E10726" s="18"/>
      <c r="F10726" s="18"/>
    </row>
    <row r="10727" spans="5:6" ht="15" customHeight="1" x14ac:dyDescent="0.2">
      <c r="E10727" s="18"/>
      <c r="F10727" s="18"/>
    </row>
    <row r="10728" spans="5:6" ht="15" customHeight="1" x14ac:dyDescent="0.2">
      <c r="E10728" s="18"/>
      <c r="F10728" s="18"/>
    </row>
    <row r="10729" spans="5:6" ht="15" customHeight="1" x14ac:dyDescent="0.2">
      <c r="E10729" s="18"/>
      <c r="F10729" s="18"/>
    </row>
    <row r="10730" spans="5:6" ht="15" customHeight="1" x14ac:dyDescent="0.2">
      <c r="E10730" s="18"/>
      <c r="F10730" s="18"/>
    </row>
    <row r="10731" spans="5:6" ht="15" customHeight="1" x14ac:dyDescent="0.2">
      <c r="E10731" s="18"/>
      <c r="F10731" s="18"/>
    </row>
    <row r="10732" spans="5:6" ht="15" customHeight="1" x14ac:dyDescent="0.2">
      <c r="E10732" s="18"/>
      <c r="F10732" s="18"/>
    </row>
    <row r="10733" spans="5:6" ht="15" customHeight="1" x14ac:dyDescent="0.2">
      <c r="E10733" s="18"/>
      <c r="F10733" s="18"/>
    </row>
    <row r="10734" spans="5:6" ht="15" customHeight="1" x14ac:dyDescent="0.2">
      <c r="E10734" s="18"/>
      <c r="F10734" s="18"/>
    </row>
    <row r="10735" spans="5:6" ht="15" customHeight="1" x14ac:dyDescent="0.2">
      <c r="E10735" s="18"/>
      <c r="F10735" s="18"/>
    </row>
    <row r="10736" spans="5:6" ht="15" customHeight="1" x14ac:dyDescent="0.2">
      <c r="E10736" s="18"/>
      <c r="F10736" s="18"/>
    </row>
    <row r="10737" spans="5:6" ht="15" customHeight="1" x14ac:dyDescent="0.2">
      <c r="E10737" s="18"/>
      <c r="F10737" s="18"/>
    </row>
    <row r="10738" spans="5:6" ht="15" customHeight="1" x14ac:dyDescent="0.2">
      <c r="E10738" s="18"/>
      <c r="F10738" s="18"/>
    </row>
    <row r="10739" spans="5:6" ht="15" customHeight="1" x14ac:dyDescent="0.2">
      <c r="E10739" s="18"/>
      <c r="F10739" s="18"/>
    </row>
    <row r="10740" spans="5:6" ht="15" customHeight="1" x14ac:dyDescent="0.2">
      <c r="E10740" s="18"/>
      <c r="F10740" s="18"/>
    </row>
    <row r="10741" spans="5:6" ht="15" customHeight="1" x14ac:dyDescent="0.2">
      <c r="E10741" s="18"/>
      <c r="F10741" s="18"/>
    </row>
    <row r="10742" spans="5:6" ht="15" customHeight="1" x14ac:dyDescent="0.2">
      <c r="E10742" s="18"/>
      <c r="F10742" s="18"/>
    </row>
    <row r="10743" spans="5:6" ht="15" customHeight="1" x14ac:dyDescent="0.2">
      <c r="E10743" s="18"/>
      <c r="F10743" s="18"/>
    </row>
    <row r="10744" spans="5:6" ht="15" customHeight="1" x14ac:dyDescent="0.2">
      <c r="E10744" s="18"/>
      <c r="F10744" s="18"/>
    </row>
    <row r="10745" spans="5:6" ht="15" customHeight="1" x14ac:dyDescent="0.2">
      <c r="E10745" s="18"/>
      <c r="F10745" s="18"/>
    </row>
    <row r="10746" spans="5:6" ht="15" customHeight="1" x14ac:dyDescent="0.2">
      <c r="E10746" s="18"/>
      <c r="F10746" s="18"/>
    </row>
    <row r="10747" spans="5:6" ht="15" customHeight="1" x14ac:dyDescent="0.2">
      <c r="E10747" s="18"/>
      <c r="F10747" s="18"/>
    </row>
    <row r="10748" spans="5:6" ht="15" customHeight="1" x14ac:dyDescent="0.2">
      <c r="E10748" s="18"/>
      <c r="F10748" s="18"/>
    </row>
    <row r="10749" spans="5:6" ht="15" customHeight="1" x14ac:dyDescent="0.2">
      <c r="E10749" s="18"/>
      <c r="F10749" s="18"/>
    </row>
    <row r="10750" spans="5:6" ht="15" customHeight="1" x14ac:dyDescent="0.2">
      <c r="E10750" s="18"/>
      <c r="F10750" s="18"/>
    </row>
    <row r="10751" spans="5:6" ht="15" customHeight="1" x14ac:dyDescent="0.2">
      <c r="E10751" s="18"/>
      <c r="F10751" s="18"/>
    </row>
    <row r="10752" spans="5:6" ht="15" customHeight="1" x14ac:dyDescent="0.2">
      <c r="E10752" s="18"/>
      <c r="F10752" s="18"/>
    </row>
    <row r="10753" spans="5:6" ht="15" customHeight="1" x14ac:dyDescent="0.2">
      <c r="E10753" s="18"/>
      <c r="F10753" s="18"/>
    </row>
    <row r="10754" spans="5:6" ht="15" customHeight="1" x14ac:dyDescent="0.2">
      <c r="E10754" s="18"/>
      <c r="F10754" s="18"/>
    </row>
    <row r="10755" spans="5:6" ht="15" customHeight="1" x14ac:dyDescent="0.2">
      <c r="E10755" s="18"/>
      <c r="F10755" s="18"/>
    </row>
    <row r="10756" spans="5:6" ht="15" customHeight="1" x14ac:dyDescent="0.2">
      <c r="E10756" s="18"/>
      <c r="F10756" s="18"/>
    </row>
    <row r="10757" spans="5:6" ht="15" customHeight="1" x14ac:dyDescent="0.2">
      <c r="E10757" s="18"/>
      <c r="F10757" s="18"/>
    </row>
    <row r="10758" spans="5:6" ht="15" customHeight="1" x14ac:dyDescent="0.2">
      <c r="E10758" s="18"/>
      <c r="F10758" s="18"/>
    </row>
    <row r="10759" spans="5:6" ht="15" customHeight="1" x14ac:dyDescent="0.2">
      <c r="E10759" s="18"/>
      <c r="F10759" s="18"/>
    </row>
    <row r="10760" spans="5:6" ht="15" customHeight="1" x14ac:dyDescent="0.2">
      <c r="E10760" s="18"/>
      <c r="F10760" s="18"/>
    </row>
    <row r="10761" spans="5:6" ht="15" customHeight="1" x14ac:dyDescent="0.2">
      <c r="E10761" s="18"/>
      <c r="F10761" s="18"/>
    </row>
    <row r="10762" spans="5:6" ht="15" customHeight="1" x14ac:dyDescent="0.2">
      <c r="E10762" s="18"/>
      <c r="F10762" s="18"/>
    </row>
    <row r="10763" spans="5:6" ht="15" customHeight="1" x14ac:dyDescent="0.2">
      <c r="E10763" s="18"/>
      <c r="F10763" s="18"/>
    </row>
    <row r="10764" spans="5:6" ht="15" customHeight="1" x14ac:dyDescent="0.2">
      <c r="E10764" s="18"/>
      <c r="F10764" s="18"/>
    </row>
    <row r="10765" spans="5:6" ht="15" customHeight="1" x14ac:dyDescent="0.2">
      <c r="E10765" s="18"/>
      <c r="F10765" s="18"/>
    </row>
    <row r="10766" spans="5:6" ht="15" customHeight="1" x14ac:dyDescent="0.2">
      <c r="E10766" s="18"/>
      <c r="F10766" s="18"/>
    </row>
    <row r="10767" spans="5:6" ht="15" customHeight="1" x14ac:dyDescent="0.2">
      <c r="E10767" s="18"/>
      <c r="F10767" s="18"/>
    </row>
    <row r="10768" spans="5:6" ht="15" customHeight="1" x14ac:dyDescent="0.2">
      <c r="E10768" s="18"/>
      <c r="F10768" s="18"/>
    </row>
    <row r="10769" spans="5:6" ht="15" customHeight="1" x14ac:dyDescent="0.2">
      <c r="E10769" s="18"/>
      <c r="F10769" s="18"/>
    </row>
    <row r="10770" spans="5:6" ht="15" customHeight="1" x14ac:dyDescent="0.2">
      <c r="E10770" s="18"/>
      <c r="F10770" s="18"/>
    </row>
    <row r="10771" spans="5:6" ht="15" customHeight="1" x14ac:dyDescent="0.2">
      <c r="E10771" s="18"/>
      <c r="F10771" s="18"/>
    </row>
    <row r="10772" spans="5:6" ht="15" customHeight="1" x14ac:dyDescent="0.2">
      <c r="E10772" s="18"/>
      <c r="F10772" s="18"/>
    </row>
    <row r="10773" spans="5:6" ht="15" customHeight="1" x14ac:dyDescent="0.2">
      <c r="E10773" s="18"/>
      <c r="F10773" s="18"/>
    </row>
    <row r="10774" spans="5:6" ht="15" customHeight="1" x14ac:dyDescent="0.2">
      <c r="E10774" s="18"/>
      <c r="F10774" s="18"/>
    </row>
    <row r="10775" spans="5:6" ht="15" customHeight="1" x14ac:dyDescent="0.2">
      <c r="E10775" s="18"/>
      <c r="F10775" s="18"/>
    </row>
    <row r="10776" spans="5:6" ht="15" customHeight="1" x14ac:dyDescent="0.2">
      <c r="E10776" s="18"/>
      <c r="F10776" s="18"/>
    </row>
    <row r="10777" spans="5:6" ht="15" customHeight="1" x14ac:dyDescent="0.2">
      <c r="E10777" s="18"/>
      <c r="F10777" s="18"/>
    </row>
    <row r="10778" spans="5:6" ht="15" customHeight="1" x14ac:dyDescent="0.2">
      <c r="E10778" s="18"/>
      <c r="F10778" s="18"/>
    </row>
    <row r="10779" spans="5:6" ht="15" customHeight="1" x14ac:dyDescent="0.2">
      <c r="E10779" s="18"/>
      <c r="F10779" s="18"/>
    </row>
    <row r="10780" spans="5:6" ht="15" customHeight="1" x14ac:dyDescent="0.2">
      <c r="E10780" s="18"/>
      <c r="F10780" s="18"/>
    </row>
    <row r="10781" spans="5:6" ht="15" customHeight="1" x14ac:dyDescent="0.2">
      <c r="E10781" s="18"/>
      <c r="F10781" s="18"/>
    </row>
    <row r="10782" spans="5:6" ht="15" customHeight="1" x14ac:dyDescent="0.2">
      <c r="E10782" s="18"/>
      <c r="F10782" s="18"/>
    </row>
    <row r="10783" spans="5:6" ht="15" customHeight="1" x14ac:dyDescent="0.2">
      <c r="E10783" s="18"/>
      <c r="F10783" s="18"/>
    </row>
    <row r="10784" spans="5:6" ht="15" customHeight="1" x14ac:dyDescent="0.2">
      <c r="E10784" s="18"/>
      <c r="F10784" s="18"/>
    </row>
    <row r="10785" spans="5:6" ht="15" customHeight="1" x14ac:dyDescent="0.2">
      <c r="E10785" s="18"/>
      <c r="F10785" s="18"/>
    </row>
    <row r="10786" spans="5:6" ht="15" customHeight="1" x14ac:dyDescent="0.2">
      <c r="E10786" s="18"/>
      <c r="F10786" s="18"/>
    </row>
    <row r="10787" spans="5:6" ht="15" customHeight="1" x14ac:dyDescent="0.2">
      <c r="E10787" s="18"/>
      <c r="F10787" s="18"/>
    </row>
    <row r="10788" spans="5:6" ht="15" customHeight="1" x14ac:dyDescent="0.2">
      <c r="E10788" s="18"/>
      <c r="F10788" s="18"/>
    </row>
    <row r="10789" spans="5:6" ht="15" customHeight="1" x14ac:dyDescent="0.2">
      <c r="E10789" s="18"/>
      <c r="F10789" s="18"/>
    </row>
    <row r="10790" spans="5:6" ht="15" customHeight="1" x14ac:dyDescent="0.2">
      <c r="E10790" s="18"/>
      <c r="F10790" s="18"/>
    </row>
    <row r="10791" spans="5:6" ht="15" customHeight="1" x14ac:dyDescent="0.2">
      <c r="E10791" s="18"/>
      <c r="F10791" s="18"/>
    </row>
    <row r="10792" spans="5:6" ht="15" customHeight="1" x14ac:dyDescent="0.2">
      <c r="E10792" s="18"/>
      <c r="F10792" s="18"/>
    </row>
    <row r="10793" spans="5:6" ht="15" customHeight="1" x14ac:dyDescent="0.2">
      <c r="E10793" s="18"/>
      <c r="F10793" s="18"/>
    </row>
    <row r="10794" spans="5:6" ht="15" customHeight="1" x14ac:dyDescent="0.2">
      <c r="E10794" s="18"/>
      <c r="F10794" s="18"/>
    </row>
    <row r="10795" spans="5:6" ht="15" customHeight="1" x14ac:dyDescent="0.2">
      <c r="E10795" s="18"/>
      <c r="F10795" s="18"/>
    </row>
    <row r="10796" spans="5:6" ht="15" customHeight="1" x14ac:dyDescent="0.2">
      <c r="E10796" s="18"/>
      <c r="F10796" s="18"/>
    </row>
    <row r="10797" spans="5:6" ht="15" customHeight="1" x14ac:dyDescent="0.2">
      <c r="E10797" s="18"/>
      <c r="F10797" s="18"/>
    </row>
    <row r="10798" spans="5:6" ht="15" customHeight="1" x14ac:dyDescent="0.2">
      <c r="E10798" s="18"/>
      <c r="F10798" s="18"/>
    </row>
    <row r="10799" spans="5:6" ht="15" customHeight="1" x14ac:dyDescent="0.2">
      <c r="E10799" s="18"/>
      <c r="F10799" s="18"/>
    </row>
    <row r="10800" spans="5:6" ht="15" customHeight="1" x14ac:dyDescent="0.2">
      <c r="E10800" s="18"/>
      <c r="F10800" s="18"/>
    </row>
    <row r="10801" spans="5:6" ht="15" customHeight="1" x14ac:dyDescent="0.2">
      <c r="E10801" s="18"/>
      <c r="F10801" s="18"/>
    </row>
    <row r="10802" spans="5:6" ht="15" customHeight="1" x14ac:dyDescent="0.2">
      <c r="E10802" s="18"/>
      <c r="F10802" s="18"/>
    </row>
    <row r="10803" spans="5:6" ht="15" customHeight="1" x14ac:dyDescent="0.2">
      <c r="E10803" s="18"/>
      <c r="F10803" s="18"/>
    </row>
    <row r="10804" spans="5:6" ht="15" customHeight="1" x14ac:dyDescent="0.2">
      <c r="E10804" s="18"/>
      <c r="F10804" s="18"/>
    </row>
    <row r="10805" spans="5:6" ht="15" customHeight="1" x14ac:dyDescent="0.2">
      <c r="E10805" s="18"/>
      <c r="F10805" s="18"/>
    </row>
    <row r="10806" spans="5:6" ht="15" customHeight="1" x14ac:dyDescent="0.2">
      <c r="E10806" s="18"/>
      <c r="F10806" s="18"/>
    </row>
    <row r="10807" spans="5:6" ht="15" customHeight="1" x14ac:dyDescent="0.2">
      <c r="E10807" s="18"/>
      <c r="F10807" s="18"/>
    </row>
    <row r="10808" spans="5:6" ht="15" customHeight="1" x14ac:dyDescent="0.2">
      <c r="E10808" s="18"/>
      <c r="F10808" s="18"/>
    </row>
    <row r="10809" spans="5:6" ht="15" customHeight="1" x14ac:dyDescent="0.2">
      <c r="E10809" s="18"/>
      <c r="F10809" s="18"/>
    </row>
    <row r="10810" spans="5:6" ht="15" customHeight="1" x14ac:dyDescent="0.2">
      <c r="E10810" s="18"/>
      <c r="F10810" s="18"/>
    </row>
    <row r="10811" spans="5:6" ht="15" customHeight="1" x14ac:dyDescent="0.2">
      <c r="E10811" s="18"/>
      <c r="F10811" s="18"/>
    </row>
    <row r="10812" spans="5:6" ht="15" customHeight="1" x14ac:dyDescent="0.2">
      <c r="E10812" s="18"/>
      <c r="F10812" s="18"/>
    </row>
    <row r="10813" spans="5:6" ht="15" customHeight="1" x14ac:dyDescent="0.2">
      <c r="E10813" s="18"/>
      <c r="F10813" s="18"/>
    </row>
    <row r="10814" spans="5:6" ht="15" customHeight="1" x14ac:dyDescent="0.2">
      <c r="E10814" s="18"/>
      <c r="F10814" s="18"/>
    </row>
    <row r="10815" spans="5:6" ht="15" customHeight="1" x14ac:dyDescent="0.2">
      <c r="E10815" s="18"/>
      <c r="F10815" s="18"/>
    </row>
    <row r="10816" spans="5:6" ht="15" customHeight="1" x14ac:dyDescent="0.2">
      <c r="E10816" s="18"/>
      <c r="F10816" s="18"/>
    </row>
    <row r="10817" spans="5:6" ht="15" customHeight="1" x14ac:dyDescent="0.2">
      <c r="E10817" s="18"/>
      <c r="F10817" s="18"/>
    </row>
    <row r="10818" spans="5:6" ht="15" customHeight="1" x14ac:dyDescent="0.2">
      <c r="E10818" s="18"/>
      <c r="F10818" s="18"/>
    </row>
    <row r="10819" spans="5:6" ht="15" customHeight="1" x14ac:dyDescent="0.2">
      <c r="E10819" s="18"/>
      <c r="F10819" s="18"/>
    </row>
    <row r="10820" spans="5:6" ht="15" customHeight="1" x14ac:dyDescent="0.2">
      <c r="E10820" s="18"/>
      <c r="F10820" s="18"/>
    </row>
    <row r="10821" spans="5:6" ht="15" customHeight="1" x14ac:dyDescent="0.2">
      <c r="E10821" s="18"/>
      <c r="F10821" s="18"/>
    </row>
    <row r="10822" spans="5:6" ht="15" customHeight="1" x14ac:dyDescent="0.2">
      <c r="E10822" s="18"/>
      <c r="F10822" s="18"/>
    </row>
    <row r="10823" spans="5:6" ht="15" customHeight="1" x14ac:dyDescent="0.2">
      <c r="E10823" s="18"/>
      <c r="F10823" s="18"/>
    </row>
    <row r="10824" spans="5:6" ht="15" customHeight="1" x14ac:dyDescent="0.2">
      <c r="E10824" s="18"/>
      <c r="F10824" s="18"/>
    </row>
    <row r="10825" spans="5:6" ht="15" customHeight="1" x14ac:dyDescent="0.2">
      <c r="E10825" s="18"/>
      <c r="F10825" s="18"/>
    </row>
    <row r="10826" spans="5:6" ht="15" customHeight="1" x14ac:dyDescent="0.2">
      <c r="E10826" s="18"/>
      <c r="F10826" s="18"/>
    </row>
    <row r="10827" spans="5:6" ht="15" customHeight="1" x14ac:dyDescent="0.2">
      <c r="E10827" s="18"/>
      <c r="F10827" s="18"/>
    </row>
    <row r="10828" spans="5:6" ht="15" customHeight="1" x14ac:dyDescent="0.2">
      <c r="E10828" s="18"/>
      <c r="F10828" s="18"/>
    </row>
    <row r="10829" spans="5:6" ht="15" customHeight="1" x14ac:dyDescent="0.2">
      <c r="E10829" s="18"/>
      <c r="F10829" s="18"/>
    </row>
    <row r="10830" spans="5:6" ht="15" customHeight="1" x14ac:dyDescent="0.2">
      <c r="E10830" s="18"/>
      <c r="F10830" s="18"/>
    </row>
    <row r="10831" spans="5:6" ht="15" customHeight="1" x14ac:dyDescent="0.2">
      <c r="E10831" s="18"/>
      <c r="F10831" s="18"/>
    </row>
    <row r="10832" spans="5:6" ht="15" customHeight="1" x14ac:dyDescent="0.2">
      <c r="E10832" s="18"/>
      <c r="F10832" s="18"/>
    </row>
    <row r="10833" spans="5:6" ht="15" customHeight="1" x14ac:dyDescent="0.2">
      <c r="E10833" s="18"/>
      <c r="F10833" s="18"/>
    </row>
    <row r="10834" spans="5:6" ht="15" customHeight="1" x14ac:dyDescent="0.2">
      <c r="E10834" s="18"/>
      <c r="F10834" s="18"/>
    </row>
    <row r="10835" spans="5:6" ht="15" customHeight="1" x14ac:dyDescent="0.2">
      <c r="E10835" s="18"/>
      <c r="F10835" s="18"/>
    </row>
    <row r="10836" spans="5:6" ht="15" customHeight="1" x14ac:dyDescent="0.2">
      <c r="E10836" s="18"/>
      <c r="F10836" s="18"/>
    </row>
    <row r="10837" spans="5:6" ht="15" customHeight="1" x14ac:dyDescent="0.2">
      <c r="E10837" s="18"/>
      <c r="F10837" s="18"/>
    </row>
    <row r="10838" spans="5:6" ht="15" customHeight="1" x14ac:dyDescent="0.2">
      <c r="E10838" s="18"/>
      <c r="F10838" s="18"/>
    </row>
    <row r="10839" spans="5:6" ht="15" customHeight="1" x14ac:dyDescent="0.2">
      <c r="E10839" s="18"/>
      <c r="F10839" s="18"/>
    </row>
    <row r="10840" spans="5:6" ht="15" customHeight="1" x14ac:dyDescent="0.2">
      <c r="E10840" s="18"/>
      <c r="F10840" s="18"/>
    </row>
    <row r="10841" spans="5:6" ht="15" customHeight="1" x14ac:dyDescent="0.2">
      <c r="E10841" s="18"/>
      <c r="F10841" s="18"/>
    </row>
    <row r="10842" spans="5:6" ht="15" customHeight="1" x14ac:dyDescent="0.2">
      <c r="E10842" s="18"/>
      <c r="F10842" s="18"/>
    </row>
    <row r="10843" spans="5:6" ht="15" customHeight="1" x14ac:dyDescent="0.2">
      <c r="E10843" s="18"/>
      <c r="F10843" s="18"/>
    </row>
    <row r="10844" spans="5:6" ht="15" customHeight="1" x14ac:dyDescent="0.2">
      <c r="E10844" s="18"/>
      <c r="F10844" s="18"/>
    </row>
    <row r="10845" spans="5:6" ht="15" customHeight="1" x14ac:dyDescent="0.2">
      <c r="E10845" s="18"/>
      <c r="F10845" s="18"/>
    </row>
    <row r="10846" spans="5:6" ht="15" customHeight="1" x14ac:dyDescent="0.2">
      <c r="E10846" s="18"/>
      <c r="F10846" s="18"/>
    </row>
    <row r="10847" spans="5:6" ht="15" customHeight="1" x14ac:dyDescent="0.2">
      <c r="E10847" s="18"/>
      <c r="F10847" s="18"/>
    </row>
    <row r="10848" spans="5:6" ht="15" customHeight="1" x14ac:dyDescent="0.2">
      <c r="E10848" s="18"/>
      <c r="F10848" s="18"/>
    </row>
    <row r="10849" spans="5:6" ht="15" customHeight="1" x14ac:dyDescent="0.2">
      <c r="E10849" s="18"/>
      <c r="F10849" s="18"/>
    </row>
    <row r="10850" spans="5:6" ht="15" customHeight="1" x14ac:dyDescent="0.2">
      <c r="E10850" s="18"/>
      <c r="F10850" s="18"/>
    </row>
    <row r="10851" spans="5:6" ht="15" customHeight="1" x14ac:dyDescent="0.2">
      <c r="E10851" s="18"/>
      <c r="F10851" s="18"/>
    </row>
    <row r="10852" spans="5:6" ht="15" customHeight="1" x14ac:dyDescent="0.2">
      <c r="E10852" s="18"/>
      <c r="F10852" s="18"/>
    </row>
    <row r="10853" spans="5:6" ht="15" customHeight="1" x14ac:dyDescent="0.2">
      <c r="E10853" s="18"/>
      <c r="F10853" s="18"/>
    </row>
    <row r="10854" spans="5:6" ht="15" customHeight="1" x14ac:dyDescent="0.2">
      <c r="E10854" s="18"/>
      <c r="F10854" s="18"/>
    </row>
    <row r="10855" spans="5:6" ht="15" customHeight="1" x14ac:dyDescent="0.2">
      <c r="E10855" s="18"/>
      <c r="F10855" s="18"/>
    </row>
    <row r="10856" spans="5:6" ht="15" customHeight="1" x14ac:dyDescent="0.2">
      <c r="E10856" s="18"/>
      <c r="F10856" s="18"/>
    </row>
    <row r="10857" spans="5:6" ht="15" customHeight="1" x14ac:dyDescent="0.2">
      <c r="E10857" s="18"/>
      <c r="F10857" s="18"/>
    </row>
    <row r="10858" spans="5:6" ht="15" customHeight="1" x14ac:dyDescent="0.2">
      <c r="E10858" s="18"/>
      <c r="F10858" s="18"/>
    </row>
    <row r="10859" spans="5:6" ht="15" customHeight="1" x14ac:dyDescent="0.2">
      <c r="E10859" s="18"/>
      <c r="F10859" s="18"/>
    </row>
    <row r="10860" spans="5:6" ht="15" customHeight="1" x14ac:dyDescent="0.2">
      <c r="E10860" s="18"/>
      <c r="F10860" s="18"/>
    </row>
    <row r="10861" spans="5:6" ht="15" customHeight="1" x14ac:dyDescent="0.2">
      <c r="E10861" s="18"/>
      <c r="F10861" s="18"/>
    </row>
    <row r="10862" spans="5:6" ht="15" customHeight="1" x14ac:dyDescent="0.2">
      <c r="E10862" s="18"/>
      <c r="F10862" s="18"/>
    </row>
    <row r="10863" spans="5:6" ht="15" customHeight="1" x14ac:dyDescent="0.2">
      <c r="E10863" s="18"/>
      <c r="F10863" s="18"/>
    </row>
    <row r="10864" spans="5:6" ht="15" customHeight="1" x14ac:dyDescent="0.2">
      <c r="E10864" s="18"/>
      <c r="F10864" s="18"/>
    </row>
    <row r="10865" spans="5:6" ht="15" customHeight="1" x14ac:dyDescent="0.2">
      <c r="E10865" s="18"/>
      <c r="F10865" s="18"/>
    </row>
    <row r="10866" spans="5:6" ht="15" customHeight="1" x14ac:dyDescent="0.2">
      <c r="E10866" s="18"/>
      <c r="F10866" s="18"/>
    </row>
    <row r="10867" spans="5:6" ht="15" customHeight="1" x14ac:dyDescent="0.2">
      <c r="E10867" s="18"/>
      <c r="F10867" s="18"/>
    </row>
    <row r="10868" spans="5:6" ht="15" customHeight="1" x14ac:dyDescent="0.2">
      <c r="E10868" s="18"/>
      <c r="F10868" s="18"/>
    </row>
    <row r="10869" spans="5:6" ht="15" customHeight="1" x14ac:dyDescent="0.2">
      <c r="E10869" s="18"/>
      <c r="F10869" s="18"/>
    </row>
    <row r="10870" spans="5:6" ht="15" customHeight="1" x14ac:dyDescent="0.2">
      <c r="E10870" s="18"/>
      <c r="F10870" s="18"/>
    </row>
    <row r="10871" spans="5:6" ht="15" customHeight="1" x14ac:dyDescent="0.2">
      <c r="E10871" s="18"/>
      <c r="F10871" s="18"/>
    </row>
    <row r="10872" spans="5:6" ht="15" customHeight="1" x14ac:dyDescent="0.2">
      <c r="E10872" s="18"/>
      <c r="F10872" s="18"/>
    </row>
    <row r="10873" spans="5:6" ht="15" customHeight="1" x14ac:dyDescent="0.2">
      <c r="E10873" s="18"/>
      <c r="F10873" s="18"/>
    </row>
    <row r="10874" spans="5:6" ht="15" customHeight="1" x14ac:dyDescent="0.2">
      <c r="E10874" s="18"/>
      <c r="F10874" s="18"/>
    </row>
    <row r="10875" spans="5:6" ht="15" customHeight="1" x14ac:dyDescent="0.2">
      <c r="E10875" s="18"/>
      <c r="F10875" s="18"/>
    </row>
    <row r="10876" spans="5:6" ht="15" customHeight="1" x14ac:dyDescent="0.2">
      <c r="E10876" s="18"/>
      <c r="F10876" s="18"/>
    </row>
    <row r="10877" spans="5:6" ht="15" customHeight="1" x14ac:dyDescent="0.2">
      <c r="E10877" s="18"/>
      <c r="F10877" s="18"/>
    </row>
    <row r="10878" spans="5:6" ht="15" customHeight="1" x14ac:dyDescent="0.2">
      <c r="E10878" s="18"/>
      <c r="F10878" s="18"/>
    </row>
    <row r="10879" spans="5:6" ht="15" customHeight="1" x14ac:dyDescent="0.2">
      <c r="E10879" s="18"/>
      <c r="F10879" s="18"/>
    </row>
    <row r="10880" spans="5:6" ht="15" customHeight="1" x14ac:dyDescent="0.2">
      <c r="E10880" s="18"/>
      <c r="F10880" s="18"/>
    </row>
    <row r="10881" spans="5:6" ht="15" customHeight="1" x14ac:dyDescent="0.2">
      <c r="E10881" s="18"/>
      <c r="F10881" s="18"/>
    </row>
    <row r="10882" spans="5:6" ht="15" customHeight="1" x14ac:dyDescent="0.2">
      <c r="E10882" s="18"/>
      <c r="F10882" s="18"/>
    </row>
    <row r="10883" spans="5:6" ht="15" customHeight="1" x14ac:dyDescent="0.2">
      <c r="E10883" s="18"/>
      <c r="F10883" s="18"/>
    </row>
    <row r="10884" spans="5:6" ht="15" customHeight="1" x14ac:dyDescent="0.2">
      <c r="E10884" s="18"/>
      <c r="F10884" s="18"/>
    </row>
    <row r="10885" spans="5:6" ht="15" customHeight="1" x14ac:dyDescent="0.2">
      <c r="E10885" s="18"/>
      <c r="F10885" s="18"/>
    </row>
    <row r="10886" spans="5:6" ht="15" customHeight="1" x14ac:dyDescent="0.2">
      <c r="E10886" s="18"/>
      <c r="F10886" s="18"/>
    </row>
    <row r="10887" spans="5:6" ht="15" customHeight="1" x14ac:dyDescent="0.2">
      <c r="E10887" s="18"/>
      <c r="F10887" s="18"/>
    </row>
    <row r="10888" spans="5:6" ht="15" customHeight="1" x14ac:dyDescent="0.2">
      <c r="E10888" s="18"/>
      <c r="F10888" s="18"/>
    </row>
    <row r="10889" spans="5:6" ht="15" customHeight="1" x14ac:dyDescent="0.2">
      <c r="E10889" s="18"/>
      <c r="F10889" s="18"/>
    </row>
    <row r="10890" spans="5:6" ht="15" customHeight="1" x14ac:dyDescent="0.2">
      <c r="E10890" s="18"/>
      <c r="F10890" s="18"/>
    </row>
    <row r="10891" spans="5:6" ht="15" customHeight="1" x14ac:dyDescent="0.2">
      <c r="E10891" s="18"/>
      <c r="F10891" s="18"/>
    </row>
    <row r="10892" spans="5:6" ht="15" customHeight="1" x14ac:dyDescent="0.2">
      <c r="E10892" s="18"/>
      <c r="F10892" s="18"/>
    </row>
    <row r="10893" spans="5:6" ht="15" customHeight="1" x14ac:dyDescent="0.2">
      <c r="E10893" s="18"/>
      <c r="F10893" s="18"/>
    </row>
    <row r="10894" spans="5:6" ht="15" customHeight="1" x14ac:dyDescent="0.2">
      <c r="E10894" s="18"/>
      <c r="F10894" s="18"/>
    </row>
    <row r="10895" spans="5:6" ht="15" customHeight="1" x14ac:dyDescent="0.2">
      <c r="E10895" s="18"/>
      <c r="F10895" s="18"/>
    </row>
    <row r="10896" spans="5:6" ht="15" customHeight="1" x14ac:dyDescent="0.2">
      <c r="E10896" s="18"/>
      <c r="F10896" s="18"/>
    </row>
    <row r="10897" spans="5:6" ht="15" customHeight="1" x14ac:dyDescent="0.2">
      <c r="E10897" s="18"/>
      <c r="F10897" s="18"/>
    </row>
    <row r="10898" spans="5:6" ht="15" customHeight="1" x14ac:dyDescent="0.2">
      <c r="E10898" s="18"/>
      <c r="F10898" s="18"/>
    </row>
    <row r="10899" spans="5:6" ht="15" customHeight="1" x14ac:dyDescent="0.2">
      <c r="E10899" s="18"/>
      <c r="F10899" s="18"/>
    </row>
    <row r="10900" spans="5:6" ht="15" customHeight="1" x14ac:dyDescent="0.2">
      <c r="E10900" s="18"/>
      <c r="F10900" s="18"/>
    </row>
    <row r="10901" spans="5:6" ht="15" customHeight="1" x14ac:dyDescent="0.2">
      <c r="E10901" s="18"/>
      <c r="F10901" s="18"/>
    </row>
    <row r="10902" spans="5:6" ht="15" customHeight="1" x14ac:dyDescent="0.2">
      <c r="E10902" s="18"/>
      <c r="F10902" s="18"/>
    </row>
    <row r="10903" spans="5:6" ht="15" customHeight="1" x14ac:dyDescent="0.2">
      <c r="E10903" s="18"/>
      <c r="F10903" s="18"/>
    </row>
    <row r="10904" spans="5:6" ht="15" customHeight="1" x14ac:dyDescent="0.2">
      <c r="E10904" s="18"/>
      <c r="F10904" s="18"/>
    </row>
    <row r="10905" spans="5:6" ht="15" customHeight="1" x14ac:dyDescent="0.2">
      <c r="E10905" s="18"/>
      <c r="F10905" s="18"/>
    </row>
    <row r="10906" spans="5:6" ht="15" customHeight="1" x14ac:dyDescent="0.2">
      <c r="E10906" s="18"/>
      <c r="F10906" s="18"/>
    </row>
    <row r="10907" spans="5:6" ht="15" customHeight="1" x14ac:dyDescent="0.2">
      <c r="E10907" s="18"/>
      <c r="F10907" s="18"/>
    </row>
    <row r="10908" spans="5:6" ht="15" customHeight="1" x14ac:dyDescent="0.2">
      <c r="E10908" s="18"/>
      <c r="F10908" s="18"/>
    </row>
    <row r="10909" spans="5:6" ht="15" customHeight="1" x14ac:dyDescent="0.2">
      <c r="E10909" s="18"/>
      <c r="F10909" s="18"/>
    </row>
    <row r="10910" spans="5:6" ht="15" customHeight="1" x14ac:dyDescent="0.2">
      <c r="E10910" s="18"/>
      <c r="F10910" s="18"/>
    </row>
    <row r="10911" spans="5:6" ht="15" customHeight="1" x14ac:dyDescent="0.2">
      <c r="E10911" s="18"/>
      <c r="F10911" s="18"/>
    </row>
    <row r="10912" spans="5:6" ht="15" customHeight="1" x14ac:dyDescent="0.2">
      <c r="E10912" s="18"/>
      <c r="F10912" s="18"/>
    </row>
    <row r="10913" spans="5:6" ht="15" customHeight="1" x14ac:dyDescent="0.2">
      <c r="E10913" s="18"/>
      <c r="F10913" s="18"/>
    </row>
    <row r="10914" spans="5:6" ht="15" customHeight="1" x14ac:dyDescent="0.2">
      <c r="E10914" s="18"/>
      <c r="F10914" s="18"/>
    </row>
    <row r="10915" spans="5:6" ht="15" customHeight="1" x14ac:dyDescent="0.2">
      <c r="E10915" s="18"/>
      <c r="F10915" s="18"/>
    </row>
    <row r="10916" spans="5:6" ht="15" customHeight="1" x14ac:dyDescent="0.2">
      <c r="E10916" s="18"/>
      <c r="F10916" s="18"/>
    </row>
    <row r="10917" spans="5:6" ht="15" customHeight="1" x14ac:dyDescent="0.2">
      <c r="E10917" s="18"/>
      <c r="F10917" s="18"/>
    </row>
    <row r="10918" spans="5:6" ht="15" customHeight="1" x14ac:dyDescent="0.2">
      <c r="E10918" s="18"/>
      <c r="F10918" s="18"/>
    </row>
    <row r="10919" spans="5:6" ht="15" customHeight="1" x14ac:dyDescent="0.2">
      <c r="E10919" s="18"/>
      <c r="F10919" s="18"/>
    </row>
    <row r="10920" spans="5:6" ht="15" customHeight="1" x14ac:dyDescent="0.2">
      <c r="E10920" s="18"/>
      <c r="F10920" s="18"/>
    </row>
    <row r="10921" spans="5:6" ht="15" customHeight="1" x14ac:dyDescent="0.2">
      <c r="E10921" s="18"/>
      <c r="F10921" s="18"/>
    </row>
    <row r="10922" spans="5:6" ht="15" customHeight="1" x14ac:dyDescent="0.2">
      <c r="E10922" s="18"/>
      <c r="F10922" s="18"/>
    </row>
    <row r="10923" spans="5:6" ht="15" customHeight="1" x14ac:dyDescent="0.2">
      <c r="E10923" s="18"/>
      <c r="F10923" s="18"/>
    </row>
    <row r="10924" spans="5:6" ht="15" customHeight="1" x14ac:dyDescent="0.2">
      <c r="E10924" s="18"/>
      <c r="F10924" s="18"/>
    </row>
    <row r="10925" spans="5:6" ht="15" customHeight="1" x14ac:dyDescent="0.2">
      <c r="E10925" s="18"/>
      <c r="F10925" s="18"/>
    </row>
    <row r="10926" spans="5:6" ht="15" customHeight="1" x14ac:dyDescent="0.2">
      <c r="E10926" s="18"/>
      <c r="F10926" s="18"/>
    </row>
    <row r="10927" spans="5:6" ht="15" customHeight="1" x14ac:dyDescent="0.2">
      <c r="E10927" s="18"/>
      <c r="F10927" s="18"/>
    </row>
    <row r="10928" spans="5:6" ht="15" customHeight="1" x14ac:dyDescent="0.2">
      <c r="E10928" s="18"/>
      <c r="F10928" s="18"/>
    </row>
    <row r="10929" spans="5:6" ht="15" customHeight="1" x14ac:dyDescent="0.2">
      <c r="E10929" s="18"/>
      <c r="F10929" s="18"/>
    </row>
    <row r="10930" spans="5:6" ht="15" customHeight="1" x14ac:dyDescent="0.2">
      <c r="E10930" s="18"/>
      <c r="F10930" s="18"/>
    </row>
    <row r="10931" spans="5:6" ht="15" customHeight="1" x14ac:dyDescent="0.2">
      <c r="E10931" s="18"/>
      <c r="F10931" s="18"/>
    </row>
    <row r="10932" spans="5:6" ht="15" customHeight="1" x14ac:dyDescent="0.2">
      <c r="E10932" s="18"/>
      <c r="F10932" s="18"/>
    </row>
    <row r="10933" spans="5:6" ht="15" customHeight="1" x14ac:dyDescent="0.2">
      <c r="E10933" s="18"/>
      <c r="F10933" s="18"/>
    </row>
    <row r="10934" spans="5:6" ht="15" customHeight="1" x14ac:dyDescent="0.2">
      <c r="E10934" s="18"/>
      <c r="F10934" s="18"/>
    </row>
    <row r="10935" spans="5:6" ht="15" customHeight="1" x14ac:dyDescent="0.2">
      <c r="E10935" s="18"/>
      <c r="F10935" s="18"/>
    </row>
    <row r="10936" spans="5:6" ht="15" customHeight="1" x14ac:dyDescent="0.2">
      <c r="E10936" s="18"/>
      <c r="F10936" s="18"/>
    </row>
    <row r="10937" spans="5:6" ht="15" customHeight="1" x14ac:dyDescent="0.2">
      <c r="E10937" s="18"/>
      <c r="F10937" s="18"/>
    </row>
    <row r="10938" spans="5:6" ht="15" customHeight="1" x14ac:dyDescent="0.2">
      <c r="E10938" s="18"/>
      <c r="F10938" s="18"/>
    </row>
    <row r="10939" spans="5:6" ht="15" customHeight="1" x14ac:dyDescent="0.2">
      <c r="E10939" s="18"/>
      <c r="F10939" s="18"/>
    </row>
    <row r="10940" spans="5:6" ht="15" customHeight="1" x14ac:dyDescent="0.2">
      <c r="E10940" s="18"/>
      <c r="F10940" s="18"/>
    </row>
    <row r="10941" spans="5:6" ht="15" customHeight="1" x14ac:dyDescent="0.2">
      <c r="E10941" s="18"/>
      <c r="F10941" s="18"/>
    </row>
    <row r="10942" spans="5:6" ht="15" customHeight="1" x14ac:dyDescent="0.2">
      <c r="E10942" s="18"/>
      <c r="F10942" s="18"/>
    </row>
    <row r="10943" spans="5:6" ht="15" customHeight="1" x14ac:dyDescent="0.2">
      <c r="E10943" s="18"/>
      <c r="F10943" s="18"/>
    </row>
    <row r="10944" spans="5:6" ht="15" customHeight="1" x14ac:dyDescent="0.2">
      <c r="E10944" s="18"/>
      <c r="F10944" s="18"/>
    </row>
    <row r="10945" spans="5:6" ht="15" customHeight="1" x14ac:dyDescent="0.2">
      <c r="E10945" s="18"/>
      <c r="F10945" s="18"/>
    </row>
    <row r="10946" spans="5:6" ht="15" customHeight="1" x14ac:dyDescent="0.2">
      <c r="E10946" s="18"/>
      <c r="F10946" s="18"/>
    </row>
    <row r="10947" spans="5:6" ht="15" customHeight="1" x14ac:dyDescent="0.2">
      <c r="E10947" s="18"/>
      <c r="F10947" s="18"/>
    </row>
    <row r="10948" spans="5:6" ht="15" customHeight="1" x14ac:dyDescent="0.2">
      <c r="E10948" s="18"/>
      <c r="F10948" s="18"/>
    </row>
    <row r="10949" spans="5:6" ht="15" customHeight="1" x14ac:dyDescent="0.2">
      <c r="E10949" s="18"/>
      <c r="F10949" s="18"/>
    </row>
    <row r="10950" spans="5:6" ht="15" customHeight="1" x14ac:dyDescent="0.2">
      <c r="E10950" s="18"/>
      <c r="F10950" s="18"/>
    </row>
    <row r="10951" spans="5:6" ht="15" customHeight="1" x14ac:dyDescent="0.2">
      <c r="E10951" s="18"/>
      <c r="F10951" s="18"/>
    </row>
    <row r="10952" spans="5:6" ht="15" customHeight="1" x14ac:dyDescent="0.2">
      <c r="E10952" s="18"/>
      <c r="F10952" s="18"/>
    </row>
    <row r="10953" spans="5:6" ht="15" customHeight="1" x14ac:dyDescent="0.2">
      <c r="E10953" s="18"/>
      <c r="F10953" s="18"/>
    </row>
    <row r="10954" spans="5:6" ht="15" customHeight="1" x14ac:dyDescent="0.2">
      <c r="E10954" s="18"/>
      <c r="F10954" s="18"/>
    </row>
    <row r="10955" spans="5:6" ht="15" customHeight="1" x14ac:dyDescent="0.2">
      <c r="E10955" s="18"/>
      <c r="F10955" s="18"/>
    </row>
    <row r="10956" spans="5:6" ht="15" customHeight="1" x14ac:dyDescent="0.2">
      <c r="E10956" s="18"/>
      <c r="F10956" s="18"/>
    </row>
    <row r="10957" spans="5:6" ht="15" customHeight="1" x14ac:dyDescent="0.2">
      <c r="E10957" s="18"/>
      <c r="F10957" s="18"/>
    </row>
    <row r="10958" spans="5:6" ht="15" customHeight="1" x14ac:dyDescent="0.2">
      <c r="E10958" s="18"/>
      <c r="F10958" s="18"/>
    </row>
    <row r="10959" spans="5:6" ht="15" customHeight="1" x14ac:dyDescent="0.2">
      <c r="E10959" s="18"/>
      <c r="F10959" s="18"/>
    </row>
    <row r="10960" spans="5:6" ht="15" customHeight="1" x14ac:dyDescent="0.2">
      <c r="E10960" s="18"/>
      <c r="F10960" s="18"/>
    </row>
    <row r="10961" spans="5:6" ht="15" customHeight="1" x14ac:dyDescent="0.2">
      <c r="E10961" s="18"/>
      <c r="F10961" s="18"/>
    </row>
    <row r="10962" spans="5:6" ht="15" customHeight="1" x14ac:dyDescent="0.2">
      <c r="E10962" s="18"/>
      <c r="F10962" s="18"/>
    </row>
    <row r="10963" spans="5:6" ht="15" customHeight="1" x14ac:dyDescent="0.2">
      <c r="E10963" s="18"/>
      <c r="F10963" s="18"/>
    </row>
    <row r="10964" spans="5:6" ht="15" customHeight="1" x14ac:dyDescent="0.2">
      <c r="E10964" s="18"/>
      <c r="F10964" s="18"/>
    </row>
    <row r="10965" spans="5:6" ht="15" customHeight="1" x14ac:dyDescent="0.2">
      <c r="E10965" s="18"/>
      <c r="F10965" s="18"/>
    </row>
    <row r="10966" spans="5:6" ht="15" customHeight="1" x14ac:dyDescent="0.2">
      <c r="E10966" s="18"/>
      <c r="F10966" s="18"/>
    </row>
    <row r="10967" spans="5:6" ht="15" customHeight="1" x14ac:dyDescent="0.2">
      <c r="E10967" s="18"/>
      <c r="F10967" s="18"/>
    </row>
    <row r="10968" spans="5:6" ht="15" customHeight="1" x14ac:dyDescent="0.2">
      <c r="E10968" s="18"/>
      <c r="F10968" s="18"/>
    </row>
    <row r="10969" spans="5:6" ht="15" customHeight="1" x14ac:dyDescent="0.2">
      <c r="E10969" s="18"/>
      <c r="F10969" s="18"/>
    </row>
    <row r="10970" spans="5:6" ht="15" customHeight="1" x14ac:dyDescent="0.2">
      <c r="E10970" s="18"/>
      <c r="F10970" s="18"/>
    </row>
    <row r="10971" spans="5:6" ht="15" customHeight="1" x14ac:dyDescent="0.2">
      <c r="E10971" s="18"/>
      <c r="F10971" s="18"/>
    </row>
    <row r="10972" spans="5:6" ht="15" customHeight="1" x14ac:dyDescent="0.2">
      <c r="E10972" s="18"/>
      <c r="F10972" s="18"/>
    </row>
    <row r="10973" spans="5:6" ht="15" customHeight="1" x14ac:dyDescent="0.2">
      <c r="E10973" s="18"/>
      <c r="F10973" s="18"/>
    </row>
    <row r="10974" spans="5:6" ht="15" customHeight="1" x14ac:dyDescent="0.2">
      <c r="E10974" s="18"/>
      <c r="F10974" s="18"/>
    </row>
    <row r="10975" spans="5:6" ht="15" customHeight="1" x14ac:dyDescent="0.2">
      <c r="E10975" s="18"/>
      <c r="F10975" s="18"/>
    </row>
    <row r="10976" spans="5:6" ht="15" customHeight="1" x14ac:dyDescent="0.2">
      <c r="E10976" s="18"/>
      <c r="F10976" s="18"/>
    </row>
    <row r="10977" spans="5:6" ht="15" customHeight="1" x14ac:dyDescent="0.2">
      <c r="E10977" s="18"/>
      <c r="F10977" s="18"/>
    </row>
    <row r="10978" spans="5:6" ht="15" customHeight="1" x14ac:dyDescent="0.2">
      <c r="E10978" s="18"/>
      <c r="F10978" s="18"/>
    </row>
    <row r="10979" spans="5:6" ht="15" customHeight="1" x14ac:dyDescent="0.2">
      <c r="E10979" s="18"/>
      <c r="F10979" s="18"/>
    </row>
    <row r="10980" spans="5:6" ht="15" customHeight="1" x14ac:dyDescent="0.2">
      <c r="E10980" s="18"/>
      <c r="F10980" s="18"/>
    </row>
    <row r="10981" spans="5:6" ht="15" customHeight="1" x14ac:dyDescent="0.2">
      <c r="E10981" s="18"/>
      <c r="F10981" s="18"/>
    </row>
    <row r="10982" spans="5:6" ht="15" customHeight="1" x14ac:dyDescent="0.2">
      <c r="E10982" s="18"/>
      <c r="F10982" s="18"/>
    </row>
    <row r="10983" spans="5:6" ht="15" customHeight="1" x14ac:dyDescent="0.2">
      <c r="E10983" s="18"/>
      <c r="F10983" s="18"/>
    </row>
    <row r="10984" spans="5:6" ht="15" customHeight="1" x14ac:dyDescent="0.2">
      <c r="E10984" s="18"/>
      <c r="F10984" s="18"/>
    </row>
    <row r="10985" spans="5:6" ht="15" customHeight="1" x14ac:dyDescent="0.2">
      <c r="E10985" s="18"/>
      <c r="F10985" s="18"/>
    </row>
    <row r="10986" spans="5:6" ht="15" customHeight="1" x14ac:dyDescent="0.2">
      <c r="E10986" s="18"/>
      <c r="F10986" s="18"/>
    </row>
    <row r="10987" spans="5:6" ht="15" customHeight="1" x14ac:dyDescent="0.2">
      <c r="E10987" s="18"/>
      <c r="F10987" s="18"/>
    </row>
    <row r="10988" spans="5:6" ht="15" customHeight="1" x14ac:dyDescent="0.2">
      <c r="E10988" s="18"/>
      <c r="F10988" s="18"/>
    </row>
    <row r="10989" spans="5:6" ht="15" customHeight="1" x14ac:dyDescent="0.2">
      <c r="E10989" s="18"/>
      <c r="F10989" s="18"/>
    </row>
    <row r="10990" spans="5:6" ht="15" customHeight="1" x14ac:dyDescent="0.2">
      <c r="E10990" s="18"/>
      <c r="F10990" s="18"/>
    </row>
    <row r="10991" spans="5:6" ht="15" customHeight="1" x14ac:dyDescent="0.2">
      <c r="E10991" s="18"/>
      <c r="F10991" s="18"/>
    </row>
    <row r="10992" spans="5:6" ht="15" customHeight="1" x14ac:dyDescent="0.2">
      <c r="E10992" s="18"/>
      <c r="F10992" s="18"/>
    </row>
    <row r="10993" spans="5:6" ht="15" customHeight="1" x14ac:dyDescent="0.2">
      <c r="E10993" s="18"/>
      <c r="F10993" s="18"/>
    </row>
    <row r="10994" spans="5:6" ht="15" customHeight="1" x14ac:dyDescent="0.2">
      <c r="E10994" s="18"/>
      <c r="F10994" s="18"/>
    </row>
    <row r="10995" spans="5:6" ht="15" customHeight="1" x14ac:dyDescent="0.2">
      <c r="E10995" s="18"/>
      <c r="F10995" s="18"/>
    </row>
    <row r="10996" spans="5:6" ht="15" customHeight="1" x14ac:dyDescent="0.2">
      <c r="E10996" s="18"/>
      <c r="F10996" s="18"/>
    </row>
    <row r="10997" spans="5:6" ht="15" customHeight="1" x14ac:dyDescent="0.2">
      <c r="E10997" s="18"/>
      <c r="F10997" s="18"/>
    </row>
    <row r="10998" spans="5:6" ht="15" customHeight="1" x14ac:dyDescent="0.2">
      <c r="E10998" s="18"/>
      <c r="F10998" s="18"/>
    </row>
    <row r="10999" spans="5:6" ht="15" customHeight="1" x14ac:dyDescent="0.2">
      <c r="E10999" s="18"/>
      <c r="F10999" s="18"/>
    </row>
    <row r="11000" spans="5:6" ht="15" customHeight="1" x14ac:dyDescent="0.2">
      <c r="E11000" s="18"/>
      <c r="F11000" s="18"/>
    </row>
    <row r="11001" spans="5:6" ht="15" customHeight="1" x14ac:dyDescent="0.2">
      <c r="E11001" s="18"/>
      <c r="F11001" s="18"/>
    </row>
    <row r="11002" spans="5:6" ht="15" customHeight="1" x14ac:dyDescent="0.2">
      <c r="E11002" s="18"/>
      <c r="F11002" s="18"/>
    </row>
    <row r="11003" spans="5:6" ht="15" customHeight="1" x14ac:dyDescent="0.2">
      <c r="E11003" s="18"/>
      <c r="F11003" s="18"/>
    </row>
    <row r="11004" spans="5:6" ht="15" customHeight="1" x14ac:dyDescent="0.2">
      <c r="E11004" s="18"/>
      <c r="F11004" s="18"/>
    </row>
    <row r="11005" spans="5:6" ht="15" customHeight="1" x14ac:dyDescent="0.2">
      <c r="E11005" s="18"/>
      <c r="F11005" s="18"/>
    </row>
    <row r="11006" spans="5:6" ht="15" customHeight="1" x14ac:dyDescent="0.2">
      <c r="E11006" s="18"/>
      <c r="F11006" s="18"/>
    </row>
    <row r="11007" spans="5:6" ht="15" customHeight="1" x14ac:dyDescent="0.2">
      <c r="E11007" s="18"/>
      <c r="F11007" s="18"/>
    </row>
    <row r="11008" spans="5:6" ht="15" customHeight="1" x14ac:dyDescent="0.2">
      <c r="E11008" s="18"/>
      <c r="F11008" s="18"/>
    </row>
    <row r="11009" spans="5:6" ht="15" customHeight="1" x14ac:dyDescent="0.2">
      <c r="E11009" s="18"/>
      <c r="F11009" s="18"/>
    </row>
    <row r="11010" spans="5:6" ht="15" customHeight="1" x14ac:dyDescent="0.2">
      <c r="E11010" s="18"/>
      <c r="F11010" s="18"/>
    </row>
    <row r="11011" spans="5:6" ht="15" customHeight="1" x14ac:dyDescent="0.2">
      <c r="E11011" s="18"/>
      <c r="F11011" s="18"/>
    </row>
    <row r="11012" spans="5:6" ht="15" customHeight="1" x14ac:dyDescent="0.2">
      <c r="E11012" s="18"/>
      <c r="F11012" s="18"/>
    </row>
    <row r="11013" spans="5:6" ht="15" customHeight="1" x14ac:dyDescent="0.2">
      <c r="E11013" s="18"/>
      <c r="F11013" s="18"/>
    </row>
    <row r="11014" spans="5:6" ht="15" customHeight="1" x14ac:dyDescent="0.2">
      <c r="E11014" s="18"/>
      <c r="F11014" s="18"/>
    </row>
    <row r="11015" spans="5:6" ht="15" customHeight="1" x14ac:dyDescent="0.2">
      <c r="E11015" s="18"/>
      <c r="F11015" s="18"/>
    </row>
    <row r="11016" spans="5:6" ht="15" customHeight="1" x14ac:dyDescent="0.2">
      <c r="E11016" s="18"/>
      <c r="F11016" s="18"/>
    </row>
    <row r="11017" spans="5:6" ht="15" customHeight="1" x14ac:dyDescent="0.2">
      <c r="E11017" s="18"/>
      <c r="F11017" s="18"/>
    </row>
    <row r="11018" spans="5:6" ht="15" customHeight="1" x14ac:dyDescent="0.2">
      <c r="E11018" s="18"/>
      <c r="F11018" s="18"/>
    </row>
    <row r="11019" spans="5:6" ht="15" customHeight="1" x14ac:dyDescent="0.2">
      <c r="E11019" s="18"/>
      <c r="F11019" s="18"/>
    </row>
    <row r="11020" spans="5:6" ht="15" customHeight="1" x14ac:dyDescent="0.2">
      <c r="E11020" s="18"/>
      <c r="F11020" s="18"/>
    </row>
    <row r="11021" spans="5:6" ht="15" customHeight="1" x14ac:dyDescent="0.2">
      <c r="E11021" s="18"/>
      <c r="F11021" s="18"/>
    </row>
    <row r="11022" spans="5:6" ht="15" customHeight="1" x14ac:dyDescent="0.2">
      <c r="E11022" s="18"/>
      <c r="F11022" s="18"/>
    </row>
    <row r="11023" spans="5:6" ht="15" customHeight="1" x14ac:dyDescent="0.2">
      <c r="E11023" s="18"/>
      <c r="F11023" s="18"/>
    </row>
    <row r="11024" spans="5:6" ht="15" customHeight="1" x14ac:dyDescent="0.2">
      <c r="E11024" s="18"/>
      <c r="F11024" s="18"/>
    </row>
    <row r="11025" spans="5:6" ht="15" customHeight="1" x14ac:dyDescent="0.2">
      <c r="E11025" s="18"/>
      <c r="F11025" s="18"/>
    </row>
    <row r="11026" spans="5:6" ht="15" customHeight="1" x14ac:dyDescent="0.2">
      <c r="E11026" s="18"/>
      <c r="F11026" s="18"/>
    </row>
    <row r="11027" spans="5:6" ht="15" customHeight="1" x14ac:dyDescent="0.2">
      <c r="E11027" s="18"/>
      <c r="F11027" s="18"/>
    </row>
    <row r="11028" spans="5:6" ht="15" customHeight="1" x14ac:dyDescent="0.2">
      <c r="E11028" s="18"/>
      <c r="F11028" s="18"/>
    </row>
    <row r="11029" spans="5:6" ht="15" customHeight="1" x14ac:dyDescent="0.2">
      <c r="E11029" s="18"/>
      <c r="F11029" s="18"/>
    </row>
    <row r="11030" spans="5:6" ht="15" customHeight="1" x14ac:dyDescent="0.2">
      <c r="E11030" s="18"/>
      <c r="F11030" s="18"/>
    </row>
    <row r="11031" spans="5:6" ht="15" customHeight="1" x14ac:dyDescent="0.2">
      <c r="E11031" s="18"/>
      <c r="F11031" s="18"/>
    </row>
    <row r="11032" spans="5:6" ht="15" customHeight="1" x14ac:dyDescent="0.2">
      <c r="E11032" s="18"/>
      <c r="F11032" s="18"/>
    </row>
    <row r="11033" spans="5:6" ht="15" customHeight="1" x14ac:dyDescent="0.2">
      <c r="E11033" s="18"/>
      <c r="F11033" s="18"/>
    </row>
    <row r="11034" spans="5:6" ht="15" customHeight="1" x14ac:dyDescent="0.2">
      <c r="E11034" s="18"/>
      <c r="F11034" s="18"/>
    </row>
    <row r="11035" spans="5:6" ht="15" customHeight="1" x14ac:dyDescent="0.2">
      <c r="E11035" s="18"/>
      <c r="F11035" s="18"/>
    </row>
    <row r="11036" spans="5:6" ht="15" customHeight="1" x14ac:dyDescent="0.2">
      <c r="E11036" s="18"/>
      <c r="F11036" s="18"/>
    </row>
    <row r="11037" spans="5:6" ht="15" customHeight="1" x14ac:dyDescent="0.2">
      <c r="E11037" s="18"/>
      <c r="F11037" s="18"/>
    </row>
    <row r="11038" spans="5:6" ht="15" customHeight="1" x14ac:dyDescent="0.2">
      <c r="E11038" s="18"/>
      <c r="F11038" s="18"/>
    </row>
    <row r="11039" spans="5:6" ht="15" customHeight="1" x14ac:dyDescent="0.2">
      <c r="E11039" s="18"/>
      <c r="F11039" s="18"/>
    </row>
    <row r="11040" spans="5:6" ht="15" customHeight="1" x14ac:dyDescent="0.2">
      <c r="E11040" s="18"/>
      <c r="F11040" s="18"/>
    </row>
    <row r="11041" spans="5:6" ht="15" customHeight="1" x14ac:dyDescent="0.2">
      <c r="E11041" s="18"/>
      <c r="F11041" s="18"/>
    </row>
    <row r="11042" spans="5:6" ht="15" customHeight="1" x14ac:dyDescent="0.2">
      <c r="E11042" s="18"/>
      <c r="F11042" s="18"/>
    </row>
    <row r="11043" spans="5:6" ht="15" customHeight="1" x14ac:dyDescent="0.2">
      <c r="E11043" s="18"/>
      <c r="F11043" s="18"/>
    </row>
    <row r="11044" spans="5:6" ht="15" customHeight="1" x14ac:dyDescent="0.2">
      <c r="E11044" s="18"/>
      <c r="F11044" s="18"/>
    </row>
    <row r="11045" spans="5:6" ht="15" customHeight="1" x14ac:dyDescent="0.2">
      <c r="E11045" s="18"/>
      <c r="F11045" s="18"/>
    </row>
    <row r="11046" spans="5:6" ht="15" customHeight="1" x14ac:dyDescent="0.2">
      <c r="E11046" s="18"/>
      <c r="F11046" s="18"/>
    </row>
    <row r="11047" spans="5:6" ht="15" customHeight="1" x14ac:dyDescent="0.2">
      <c r="E11047" s="18"/>
      <c r="F11047" s="18"/>
    </row>
    <row r="11048" spans="5:6" ht="15" customHeight="1" x14ac:dyDescent="0.2">
      <c r="E11048" s="18"/>
      <c r="F11048" s="18"/>
    </row>
    <row r="11049" spans="5:6" ht="15" customHeight="1" x14ac:dyDescent="0.2">
      <c r="E11049" s="18"/>
      <c r="F11049" s="18"/>
    </row>
    <row r="11050" spans="5:6" ht="15" customHeight="1" x14ac:dyDescent="0.2">
      <c r="E11050" s="18"/>
      <c r="F11050" s="18"/>
    </row>
    <row r="11051" spans="5:6" ht="15" customHeight="1" x14ac:dyDescent="0.2">
      <c r="E11051" s="18"/>
      <c r="F11051" s="18"/>
    </row>
    <row r="11052" spans="5:6" ht="15" customHeight="1" x14ac:dyDescent="0.2">
      <c r="E11052" s="18"/>
      <c r="F11052" s="18"/>
    </row>
    <row r="11053" spans="5:6" ht="15" customHeight="1" x14ac:dyDescent="0.2">
      <c r="E11053" s="18"/>
      <c r="F11053" s="18"/>
    </row>
    <row r="11054" spans="5:6" ht="15" customHeight="1" x14ac:dyDescent="0.2">
      <c r="E11054" s="18"/>
      <c r="F11054" s="18"/>
    </row>
    <row r="11055" spans="5:6" ht="15" customHeight="1" x14ac:dyDescent="0.2">
      <c r="E11055" s="18"/>
      <c r="F11055" s="18"/>
    </row>
    <row r="11056" spans="5:6" ht="15" customHeight="1" x14ac:dyDescent="0.2">
      <c r="E11056" s="18"/>
      <c r="F11056" s="18"/>
    </row>
    <row r="11057" spans="5:6" ht="15" customHeight="1" x14ac:dyDescent="0.2">
      <c r="E11057" s="18"/>
      <c r="F11057" s="18"/>
    </row>
    <row r="11058" spans="5:6" ht="15" customHeight="1" x14ac:dyDescent="0.2">
      <c r="E11058" s="18"/>
      <c r="F11058" s="18"/>
    </row>
    <row r="11059" spans="5:6" ht="15" customHeight="1" x14ac:dyDescent="0.2">
      <c r="E11059" s="18"/>
      <c r="F11059" s="18"/>
    </row>
    <row r="11060" spans="5:6" ht="15" customHeight="1" x14ac:dyDescent="0.2">
      <c r="E11060" s="18"/>
      <c r="F11060" s="18"/>
    </row>
    <row r="11061" spans="5:6" ht="15" customHeight="1" x14ac:dyDescent="0.2">
      <c r="E11061" s="18"/>
      <c r="F11061" s="18"/>
    </row>
    <row r="11062" spans="5:6" ht="15" customHeight="1" x14ac:dyDescent="0.2">
      <c r="E11062" s="18"/>
      <c r="F11062" s="18"/>
    </row>
    <row r="11063" spans="5:6" ht="15" customHeight="1" x14ac:dyDescent="0.2">
      <c r="E11063" s="18"/>
      <c r="F11063" s="18"/>
    </row>
    <row r="11064" spans="5:6" ht="15" customHeight="1" x14ac:dyDescent="0.2">
      <c r="E11064" s="18"/>
      <c r="F11064" s="18"/>
    </row>
    <row r="11065" spans="5:6" ht="15" customHeight="1" x14ac:dyDescent="0.2">
      <c r="E11065" s="18"/>
      <c r="F11065" s="18"/>
    </row>
    <row r="11066" spans="5:6" ht="15" customHeight="1" x14ac:dyDescent="0.2">
      <c r="E11066" s="18"/>
      <c r="F11066" s="18"/>
    </row>
    <row r="11067" spans="5:6" ht="15" customHeight="1" x14ac:dyDescent="0.2">
      <c r="E11067" s="18"/>
      <c r="F11067" s="18"/>
    </row>
    <row r="11068" spans="5:6" ht="15" customHeight="1" x14ac:dyDescent="0.2">
      <c r="E11068" s="18"/>
      <c r="F11068" s="18"/>
    </row>
    <row r="11069" spans="5:6" ht="15" customHeight="1" x14ac:dyDescent="0.2">
      <c r="E11069" s="18"/>
      <c r="F11069" s="18"/>
    </row>
    <row r="11070" spans="5:6" ht="15" customHeight="1" x14ac:dyDescent="0.2">
      <c r="E11070" s="18"/>
      <c r="F11070" s="18"/>
    </row>
    <row r="11071" spans="5:6" ht="15" customHeight="1" x14ac:dyDescent="0.2">
      <c r="E11071" s="18"/>
      <c r="F11071" s="18"/>
    </row>
    <row r="11072" spans="5:6" ht="15" customHeight="1" x14ac:dyDescent="0.2">
      <c r="E11072" s="18"/>
      <c r="F11072" s="18"/>
    </row>
    <row r="11073" spans="5:6" ht="15" customHeight="1" x14ac:dyDescent="0.2">
      <c r="E11073" s="18"/>
      <c r="F11073" s="18"/>
    </row>
    <row r="11074" spans="5:6" ht="15" customHeight="1" x14ac:dyDescent="0.2">
      <c r="E11074" s="18"/>
      <c r="F11074" s="18"/>
    </row>
    <row r="11075" spans="5:6" ht="15" customHeight="1" x14ac:dyDescent="0.2">
      <c r="E11075" s="18"/>
      <c r="F11075" s="18"/>
    </row>
    <row r="11076" spans="5:6" ht="15" customHeight="1" x14ac:dyDescent="0.2">
      <c r="E11076" s="18"/>
      <c r="F11076" s="18"/>
    </row>
    <row r="11077" spans="5:6" ht="15" customHeight="1" x14ac:dyDescent="0.2">
      <c r="E11077" s="18"/>
      <c r="F11077" s="18"/>
    </row>
    <row r="11078" spans="5:6" ht="15" customHeight="1" x14ac:dyDescent="0.2">
      <c r="E11078" s="18"/>
      <c r="F11078" s="18"/>
    </row>
    <row r="11079" spans="5:6" ht="15" customHeight="1" x14ac:dyDescent="0.2">
      <c r="E11079" s="18"/>
      <c r="F11079" s="18"/>
    </row>
    <row r="11080" spans="5:6" ht="15" customHeight="1" x14ac:dyDescent="0.2">
      <c r="E11080" s="18"/>
      <c r="F11080" s="18"/>
    </row>
    <row r="11081" spans="5:6" ht="15" customHeight="1" x14ac:dyDescent="0.2">
      <c r="E11081" s="18"/>
      <c r="F11081" s="18"/>
    </row>
    <row r="11082" spans="5:6" ht="15" customHeight="1" x14ac:dyDescent="0.2">
      <c r="E11082" s="18"/>
      <c r="F11082" s="18"/>
    </row>
    <row r="11083" spans="5:6" ht="15" customHeight="1" x14ac:dyDescent="0.2">
      <c r="E11083" s="18"/>
      <c r="F11083" s="18"/>
    </row>
    <row r="11084" spans="5:6" ht="15" customHeight="1" x14ac:dyDescent="0.2">
      <c r="E11084" s="18"/>
      <c r="F11084" s="18"/>
    </row>
    <row r="11085" spans="5:6" ht="15" customHeight="1" x14ac:dyDescent="0.2">
      <c r="E11085" s="18"/>
      <c r="F11085" s="18"/>
    </row>
    <row r="11086" spans="5:6" ht="15" customHeight="1" x14ac:dyDescent="0.2">
      <c r="E11086" s="18"/>
      <c r="F11086" s="18"/>
    </row>
    <row r="11087" spans="5:6" ht="15" customHeight="1" x14ac:dyDescent="0.2">
      <c r="E11087" s="18"/>
      <c r="F11087" s="18"/>
    </row>
    <row r="11088" spans="5:6" ht="15" customHeight="1" x14ac:dyDescent="0.2">
      <c r="E11088" s="18"/>
      <c r="F11088" s="18"/>
    </row>
    <row r="11089" spans="5:6" ht="15" customHeight="1" x14ac:dyDescent="0.2">
      <c r="E11089" s="18"/>
      <c r="F11089" s="18"/>
    </row>
    <row r="11090" spans="5:6" ht="15" customHeight="1" x14ac:dyDescent="0.2">
      <c r="E11090" s="18"/>
      <c r="F11090" s="18"/>
    </row>
    <row r="11091" spans="5:6" ht="15" customHeight="1" x14ac:dyDescent="0.2">
      <c r="E11091" s="18"/>
      <c r="F11091" s="18"/>
    </row>
    <row r="11092" spans="5:6" ht="15" customHeight="1" x14ac:dyDescent="0.2">
      <c r="E11092" s="18"/>
      <c r="F11092" s="18"/>
    </row>
    <row r="11093" spans="5:6" ht="15" customHeight="1" x14ac:dyDescent="0.2">
      <c r="E11093" s="18"/>
      <c r="F11093" s="18"/>
    </row>
    <row r="11094" spans="5:6" ht="15" customHeight="1" x14ac:dyDescent="0.2">
      <c r="E11094" s="18"/>
      <c r="F11094" s="18"/>
    </row>
    <row r="11095" spans="5:6" ht="15" customHeight="1" x14ac:dyDescent="0.2">
      <c r="E11095" s="18"/>
      <c r="F11095" s="18"/>
    </row>
    <row r="11096" spans="5:6" ht="15" customHeight="1" x14ac:dyDescent="0.2">
      <c r="E11096" s="18"/>
      <c r="F11096" s="18"/>
    </row>
    <row r="11097" spans="5:6" ht="15" customHeight="1" x14ac:dyDescent="0.2">
      <c r="E11097" s="18"/>
      <c r="F11097" s="18"/>
    </row>
    <row r="11098" spans="5:6" ht="15" customHeight="1" x14ac:dyDescent="0.2">
      <c r="E11098" s="18"/>
      <c r="F11098" s="18"/>
    </row>
    <row r="11099" spans="5:6" ht="15" customHeight="1" x14ac:dyDescent="0.2">
      <c r="E11099" s="18"/>
      <c r="F11099" s="18"/>
    </row>
    <row r="11100" spans="5:6" ht="15" customHeight="1" x14ac:dyDescent="0.2">
      <c r="E11100" s="18"/>
      <c r="F11100" s="18"/>
    </row>
    <row r="11101" spans="5:6" ht="15" customHeight="1" x14ac:dyDescent="0.2">
      <c r="E11101" s="18"/>
      <c r="F11101" s="18"/>
    </row>
    <row r="11102" spans="5:6" ht="15" customHeight="1" x14ac:dyDescent="0.2">
      <c r="E11102" s="18"/>
      <c r="F11102" s="18"/>
    </row>
    <row r="11103" spans="5:6" ht="15" customHeight="1" x14ac:dyDescent="0.2">
      <c r="E11103" s="18"/>
      <c r="F11103" s="18"/>
    </row>
    <row r="11104" spans="5:6" ht="15" customHeight="1" x14ac:dyDescent="0.2">
      <c r="E11104" s="18"/>
      <c r="F11104" s="18"/>
    </row>
    <row r="11105" spans="5:6" ht="15" customHeight="1" x14ac:dyDescent="0.2">
      <c r="E11105" s="18"/>
      <c r="F11105" s="18"/>
    </row>
    <row r="11106" spans="5:6" ht="15" customHeight="1" x14ac:dyDescent="0.2">
      <c r="E11106" s="18"/>
      <c r="F11106" s="18"/>
    </row>
    <row r="11107" spans="5:6" ht="15" customHeight="1" x14ac:dyDescent="0.2">
      <c r="E11107" s="18"/>
      <c r="F11107" s="18"/>
    </row>
    <row r="11108" spans="5:6" ht="15" customHeight="1" x14ac:dyDescent="0.2">
      <c r="E11108" s="18"/>
      <c r="F11108" s="18"/>
    </row>
    <row r="11109" spans="5:6" ht="15" customHeight="1" x14ac:dyDescent="0.2">
      <c r="E11109" s="18"/>
      <c r="F11109" s="18"/>
    </row>
    <row r="11110" spans="5:6" ht="15" customHeight="1" x14ac:dyDescent="0.2">
      <c r="E11110" s="18"/>
      <c r="F11110" s="18"/>
    </row>
    <row r="11111" spans="5:6" ht="15" customHeight="1" x14ac:dyDescent="0.2">
      <c r="E11111" s="18"/>
      <c r="F11111" s="18"/>
    </row>
    <row r="11112" spans="5:6" ht="15" customHeight="1" x14ac:dyDescent="0.2">
      <c r="E11112" s="18"/>
      <c r="F11112" s="18"/>
    </row>
    <row r="11113" spans="5:6" ht="15" customHeight="1" x14ac:dyDescent="0.2">
      <c r="E11113" s="18"/>
      <c r="F11113" s="18"/>
    </row>
    <row r="11114" spans="5:6" ht="15" customHeight="1" x14ac:dyDescent="0.2">
      <c r="E11114" s="18"/>
      <c r="F11114" s="18"/>
    </row>
    <row r="11115" spans="5:6" ht="15" customHeight="1" x14ac:dyDescent="0.2">
      <c r="E11115" s="18"/>
      <c r="F11115" s="18"/>
    </row>
    <row r="11116" spans="5:6" ht="15" customHeight="1" x14ac:dyDescent="0.2">
      <c r="E11116" s="18"/>
      <c r="F11116" s="18"/>
    </row>
    <row r="11117" spans="5:6" ht="15" customHeight="1" x14ac:dyDescent="0.2">
      <c r="E11117" s="18"/>
      <c r="F11117" s="18"/>
    </row>
    <row r="11118" spans="5:6" ht="15" customHeight="1" x14ac:dyDescent="0.2">
      <c r="E11118" s="18"/>
      <c r="F11118" s="18"/>
    </row>
    <row r="11119" spans="5:6" ht="15" customHeight="1" x14ac:dyDescent="0.2">
      <c r="E11119" s="18"/>
      <c r="F11119" s="18"/>
    </row>
    <row r="11120" spans="5:6" ht="15" customHeight="1" x14ac:dyDescent="0.2">
      <c r="E11120" s="18"/>
      <c r="F11120" s="18"/>
    </row>
    <row r="11121" spans="5:6" ht="15" customHeight="1" x14ac:dyDescent="0.2">
      <c r="E11121" s="18"/>
      <c r="F11121" s="18"/>
    </row>
    <row r="11122" spans="5:6" ht="15" customHeight="1" x14ac:dyDescent="0.2">
      <c r="E11122" s="18"/>
      <c r="F11122" s="18"/>
    </row>
    <row r="11123" spans="5:6" ht="15" customHeight="1" x14ac:dyDescent="0.2">
      <c r="E11123" s="18"/>
      <c r="F11123" s="18"/>
    </row>
    <row r="11124" spans="5:6" ht="15" customHeight="1" x14ac:dyDescent="0.2">
      <c r="E11124" s="18"/>
      <c r="F11124" s="18"/>
    </row>
    <row r="11125" spans="5:6" ht="15" customHeight="1" x14ac:dyDescent="0.2">
      <c r="E11125" s="18"/>
      <c r="F11125" s="18"/>
    </row>
    <row r="11126" spans="5:6" ht="15" customHeight="1" x14ac:dyDescent="0.2">
      <c r="E11126" s="18"/>
      <c r="F11126" s="18"/>
    </row>
    <row r="11127" spans="5:6" ht="15" customHeight="1" x14ac:dyDescent="0.2">
      <c r="E11127" s="18"/>
      <c r="F11127" s="18"/>
    </row>
    <row r="11128" spans="5:6" ht="15" customHeight="1" x14ac:dyDescent="0.2">
      <c r="E11128" s="18"/>
      <c r="F11128" s="18"/>
    </row>
    <row r="11129" spans="5:6" ht="15" customHeight="1" x14ac:dyDescent="0.2">
      <c r="E11129" s="18"/>
      <c r="F11129" s="18"/>
    </row>
    <row r="11130" spans="5:6" ht="15" customHeight="1" x14ac:dyDescent="0.2">
      <c r="E11130" s="18"/>
      <c r="F11130" s="18"/>
    </row>
    <row r="11131" spans="5:6" ht="15" customHeight="1" x14ac:dyDescent="0.2">
      <c r="E11131" s="18"/>
      <c r="F11131" s="18"/>
    </row>
    <row r="11132" spans="5:6" ht="15" customHeight="1" x14ac:dyDescent="0.2">
      <c r="E11132" s="18"/>
      <c r="F11132" s="18"/>
    </row>
    <row r="11133" spans="5:6" ht="15" customHeight="1" x14ac:dyDescent="0.2">
      <c r="E11133" s="18"/>
      <c r="F11133" s="18"/>
    </row>
    <row r="11134" spans="5:6" ht="15" customHeight="1" x14ac:dyDescent="0.2">
      <c r="E11134" s="18"/>
      <c r="F11134" s="18"/>
    </row>
    <row r="11135" spans="5:6" ht="15" customHeight="1" x14ac:dyDescent="0.2">
      <c r="E11135" s="18"/>
      <c r="F11135" s="18"/>
    </row>
    <row r="11136" spans="5:6" ht="15" customHeight="1" x14ac:dyDescent="0.2">
      <c r="E11136" s="18"/>
      <c r="F11136" s="18"/>
    </row>
    <row r="11137" spans="5:6" ht="15" customHeight="1" x14ac:dyDescent="0.2">
      <c r="E11137" s="18"/>
      <c r="F11137" s="18"/>
    </row>
    <row r="11138" spans="5:6" ht="15" customHeight="1" x14ac:dyDescent="0.2">
      <c r="E11138" s="18"/>
      <c r="F11138" s="18"/>
    </row>
    <row r="11139" spans="5:6" ht="15" customHeight="1" x14ac:dyDescent="0.2">
      <c r="E11139" s="18"/>
      <c r="F11139" s="18"/>
    </row>
    <row r="11140" spans="5:6" ht="15" customHeight="1" x14ac:dyDescent="0.2">
      <c r="E11140" s="18"/>
      <c r="F11140" s="18"/>
    </row>
    <row r="11141" spans="5:6" ht="15" customHeight="1" x14ac:dyDescent="0.2">
      <c r="E11141" s="18"/>
      <c r="F11141" s="18"/>
    </row>
    <row r="11142" spans="5:6" ht="15" customHeight="1" x14ac:dyDescent="0.2">
      <c r="E11142" s="18"/>
      <c r="F11142" s="18"/>
    </row>
    <row r="11143" spans="5:6" ht="15" customHeight="1" x14ac:dyDescent="0.2">
      <c r="E11143" s="18"/>
      <c r="F11143" s="18"/>
    </row>
    <row r="11144" spans="5:6" ht="15" customHeight="1" x14ac:dyDescent="0.2">
      <c r="E11144" s="18"/>
      <c r="F11144" s="18"/>
    </row>
    <row r="11145" spans="5:6" ht="15" customHeight="1" x14ac:dyDescent="0.2">
      <c r="E11145" s="18"/>
      <c r="F11145" s="18"/>
    </row>
    <row r="11146" spans="5:6" ht="15" customHeight="1" x14ac:dyDescent="0.2">
      <c r="E11146" s="18"/>
      <c r="F11146" s="18"/>
    </row>
    <row r="11147" spans="5:6" ht="15" customHeight="1" x14ac:dyDescent="0.2">
      <c r="E11147" s="18"/>
      <c r="F11147" s="18"/>
    </row>
    <row r="11148" spans="5:6" ht="15" customHeight="1" x14ac:dyDescent="0.2">
      <c r="E11148" s="18"/>
      <c r="F11148" s="18"/>
    </row>
    <row r="11149" spans="5:6" ht="15" customHeight="1" x14ac:dyDescent="0.2">
      <c r="E11149" s="18"/>
      <c r="F11149" s="18"/>
    </row>
    <row r="11150" spans="5:6" ht="15" customHeight="1" x14ac:dyDescent="0.2">
      <c r="E11150" s="18"/>
      <c r="F11150" s="18"/>
    </row>
    <row r="11151" spans="5:6" ht="15" customHeight="1" x14ac:dyDescent="0.2">
      <c r="E11151" s="18"/>
      <c r="F11151" s="18"/>
    </row>
    <row r="11152" spans="5:6" ht="15" customHeight="1" x14ac:dyDescent="0.2">
      <c r="E11152" s="18"/>
      <c r="F11152" s="18"/>
    </row>
    <row r="11153" spans="5:6" ht="15" customHeight="1" x14ac:dyDescent="0.2">
      <c r="E11153" s="18"/>
      <c r="F11153" s="18"/>
    </row>
    <row r="11154" spans="5:6" ht="15" customHeight="1" x14ac:dyDescent="0.2">
      <c r="E11154" s="18"/>
      <c r="F11154" s="18"/>
    </row>
    <row r="11155" spans="5:6" ht="15" customHeight="1" x14ac:dyDescent="0.2">
      <c r="E11155" s="18"/>
      <c r="F11155" s="18"/>
    </row>
    <row r="11156" spans="5:6" ht="15" customHeight="1" x14ac:dyDescent="0.2">
      <c r="E11156" s="18"/>
      <c r="F11156" s="18"/>
    </row>
    <row r="11157" spans="5:6" ht="15" customHeight="1" x14ac:dyDescent="0.2">
      <c r="E11157" s="18"/>
      <c r="F11157" s="18"/>
    </row>
    <row r="11158" spans="5:6" ht="15" customHeight="1" x14ac:dyDescent="0.2">
      <c r="E11158" s="18"/>
      <c r="F11158" s="18"/>
    </row>
    <row r="11159" spans="5:6" ht="15" customHeight="1" x14ac:dyDescent="0.2">
      <c r="E11159" s="18"/>
      <c r="F11159" s="18"/>
    </row>
    <row r="11160" spans="5:6" ht="15" customHeight="1" x14ac:dyDescent="0.2">
      <c r="E11160" s="18"/>
      <c r="F11160" s="18"/>
    </row>
    <row r="11161" spans="5:6" ht="15" customHeight="1" x14ac:dyDescent="0.2">
      <c r="E11161" s="18"/>
      <c r="F11161" s="18"/>
    </row>
    <row r="11162" spans="5:6" ht="15" customHeight="1" x14ac:dyDescent="0.2">
      <c r="E11162" s="18"/>
      <c r="F11162" s="18"/>
    </row>
    <row r="11163" spans="5:6" ht="15" customHeight="1" x14ac:dyDescent="0.2">
      <c r="E11163" s="18"/>
      <c r="F11163" s="18"/>
    </row>
    <row r="11164" spans="5:6" ht="15" customHeight="1" x14ac:dyDescent="0.2">
      <c r="E11164" s="18"/>
      <c r="F11164" s="18"/>
    </row>
    <row r="11165" spans="5:6" ht="15" customHeight="1" x14ac:dyDescent="0.2">
      <c r="E11165" s="18"/>
      <c r="F11165" s="18"/>
    </row>
    <row r="11166" spans="5:6" ht="15" customHeight="1" x14ac:dyDescent="0.2">
      <c r="E11166" s="18"/>
      <c r="F11166" s="18"/>
    </row>
    <row r="11167" spans="5:6" ht="15" customHeight="1" x14ac:dyDescent="0.2">
      <c r="E11167" s="18"/>
      <c r="F11167" s="18"/>
    </row>
    <row r="11168" spans="5:6" ht="15" customHeight="1" x14ac:dyDescent="0.2">
      <c r="E11168" s="18"/>
      <c r="F11168" s="18"/>
    </row>
    <row r="11169" spans="5:6" ht="15" customHeight="1" x14ac:dyDescent="0.2">
      <c r="E11169" s="18"/>
      <c r="F11169" s="18"/>
    </row>
    <row r="11170" spans="5:6" ht="15" customHeight="1" x14ac:dyDescent="0.2">
      <c r="E11170" s="18"/>
      <c r="F11170" s="18"/>
    </row>
    <row r="11171" spans="5:6" ht="15" customHeight="1" x14ac:dyDescent="0.2">
      <c r="E11171" s="18"/>
      <c r="F11171" s="18"/>
    </row>
    <row r="11172" spans="5:6" ht="15" customHeight="1" x14ac:dyDescent="0.2">
      <c r="E11172" s="18"/>
      <c r="F11172" s="18"/>
    </row>
    <row r="11173" spans="5:6" ht="15" customHeight="1" x14ac:dyDescent="0.2">
      <c r="E11173" s="18"/>
      <c r="F11173" s="18"/>
    </row>
    <row r="11174" spans="5:6" ht="15" customHeight="1" x14ac:dyDescent="0.2">
      <c r="E11174" s="18"/>
      <c r="F11174" s="18"/>
    </row>
    <row r="11175" spans="5:6" ht="15" customHeight="1" x14ac:dyDescent="0.2">
      <c r="E11175" s="18"/>
      <c r="F11175" s="18"/>
    </row>
    <row r="11176" spans="5:6" ht="15" customHeight="1" x14ac:dyDescent="0.2">
      <c r="E11176" s="18"/>
      <c r="F11176" s="18"/>
    </row>
    <row r="11177" spans="5:6" ht="15" customHeight="1" x14ac:dyDescent="0.2">
      <c r="E11177" s="18"/>
      <c r="F11177" s="18"/>
    </row>
    <row r="11178" spans="5:6" ht="15" customHeight="1" x14ac:dyDescent="0.2">
      <c r="E11178" s="18"/>
      <c r="F11178" s="18"/>
    </row>
    <row r="11179" spans="5:6" ht="15" customHeight="1" x14ac:dyDescent="0.2">
      <c r="E11179" s="18"/>
      <c r="F11179" s="18"/>
    </row>
    <row r="11180" spans="5:6" ht="15" customHeight="1" x14ac:dyDescent="0.2">
      <c r="E11180" s="18"/>
      <c r="F11180" s="18"/>
    </row>
    <row r="11181" spans="5:6" ht="15" customHeight="1" x14ac:dyDescent="0.2">
      <c r="E11181" s="18"/>
      <c r="F11181" s="18"/>
    </row>
    <row r="11182" spans="5:6" ht="15" customHeight="1" x14ac:dyDescent="0.2">
      <c r="E11182" s="18"/>
      <c r="F11182" s="18"/>
    </row>
    <row r="11183" spans="5:6" ht="15" customHeight="1" x14ac:dyDescent="0.2">
      <c r="E11183" s="18"/>
      <c r="F11183" s="18"/>
    </row>
    <row r="11184" spans="5:6" ht="15" customHeight="1" x14ac:dyDescent="0.2">
      <c r="E11184" s="18"/>
      <c r="F11184" s="18"/>
    </row>
    <row r="11185" spans="5:6" ht="15" customHeight="1" x14ac:dyDescent="0.2">
      <c r="E11185" s="18"/>
      <c r="F11185" s="18"/>
    </row>
    <row r="11186" spans="5:6" ht="15" customHeight="1" x14ac:dyDescent="0.2">
      <c r="E11186" s="18"/>
      <c r="F11186" s="18"/>
    </row>
    <row r="11187" spans="5:6" ht="15" customHeight="1" x14ac:dyDescent="0.2">
      <c r="E11187" s="18"/>
      <c r="F11187" s="18"/>
    </row>
    <row r="11188" spans="5:6" ht="15" customHeight="1" x14ac:dyDescent="0.2">
      <c r="E11188" s="18"/>
      <c r="F11188" s="18"/>
    </row>
    <row r="11189" spans="5:6" ht="15" customHeight="1" x14ac:dyDescent="0.2">
      <c r="E11189" s="18"/>
      <c r="F11189" s="18"/>
    </row>
    <row r="11190" spans="5:6" ht="15" customHeight="1" x14ac:dyDescent="0.2">
      <c r="E11190" s="18"/>
      <c r="F11190" s="18"/>
    </row>
    <row r="11191" spans="5:6" ht="15" customHeight="1" x14ac:dyDescent="0.2">
      <c r="E11191" s="18"/>
      <c r="F11191" s="18"/>
    </row>
    <row r="11192" spans="5:6" ht="15" customHeight="1" x14ac:dyDescent="0.2">
      <c r="E11192" s="18"/>
      <c r="F11192" s="18"/>
    </row>
    <row r="11193" spans="5:6" ht="15" customHeight="1" x14ac:dyDescent="0.2">
      <c r="E11193" s="18"/>
      <c r="F11193" s="18"/>
    </row>
    <row r="11194" spans="5:6" ht="15" customHeight="1" x14ac:dyDescent="0.2">
      <c r="E11194" s="18"/>
      <c r="F11194" s="18"/>
    </row>
    <row r="11195" spans="5:6" ht="15" customHeight="1" x14ac:dyDescent="0.2">
      <c r="E11195" s="18"/>
      <c r="F11195" s="18"/>
    </row>
    <row r="11196" spans="5:6" ht="15" customHeight="1" x14ac:dyDescent="0.2">
      <c r="E11196" s="18"/>
      <c r="F11196" s="18"/>
    </row>
    <row r="11197" spans="5:6" ht="15" customHeight="1" x14ac:dyDescent="0.2">
      <c r="E11197" s="18"/>
      <c r="F11197" s="18"/>
    </row>
    <row r="11198" spans="5:6" ht="15" customHeight="1" x14ac:dyDescent="0.2">
      <c r="E11198" s="18"/>
      <c r="F11198" s="18"/>
    </row>
    <row r="11199" spans="5:6" ht="15" customHeight="1" x14ac:dyDescent="0.2">
      <c r="E11199" s="18"/>
      <c r="F11199" s="18"/>
    </row>
    <row r="11200" spans="5:6" ht="15" customHeight="1" x14ac:dyDescent="0.2">
      <c r="E11200" s="18"/>
      <c r="F11200" s="18"/>
    </row>
    <row r="11201" spans="5:6" ht="15" customHeight="1" x14ac:dyDescent="0.2">
      <c r="E11201" s="18"/>
      <c r="F11201" s="18"/>
    </row>
    <row r="11202" spans="5:6" ht="15" customHeight="1" x14ac:dyDescent="0.2">
      <c r="E11202" s="18"/>
      <c r="F11202" s="18"/>
    </row>
    <row r="11203" spans="5:6" ht="15" customHeight="1" x14ac:dyDescent="0.2">
      <c r="E11203" s="18"/>
      <c r="F11203" s="18"/>
    </row>
    <row r="11204" spans="5:6" ht="15" customHeight="1" x14ac:dyDescent="0.2">
      <c r="E11204" s="18"/>
      <c r="F11204" s="18"/>
    </row>
    <row r="11205" spans="5:6" ht="15" customHeight="1" x14ac:dyDescent="0.2">
      <c r="E11205" s="18"/>
      <c r="F11205" s="18"/>
    </row>
    <row r="11206" spans="5:6" ht="15" customHeight="1" x14ac:dyDescent="0.2">
      <c r="E11206" s="18"/>
      <c r="F11206" s="18"/>
    </row>
    <row r="11207" spans="5:6" ht="15" customHeight="1" x14ac:dyDescent="0.2">
      <c r="E11207" s="18"/>
      <c r="F11207" s="18"/>
    </row>
    <row r="11208" spans="5:6" ht="15" customHeight="1" x14ac:dyDescent="0.2">
      <c r="E11208" s="18"/>
      <c r="F11208" s="18"/>
    </row>
    <row r="11209" spans="5:6" ht="15" customHeight="1" x14ac:dyDescent="0.2">
      <c r="E11209" s="18"/>
      <c r="F11209" s="18"/>
    </row>
    <row r="11210" spans="5:6" ht="15" customHeight="1" x14ac:dyDescent="0.2">
      <c r="E11210" s="18"/>
      <c r="F11210" s="18"/>
    </row>
    <row r="11211" spans="5:6" ht="15" customHeight="1" x14ac:dyDescent="0.2">
      <c r="E11211" s="18"/>
      <c r="F11211" s="18"/>
    </row>
    <row r="11212" spans="5:6" ht="15" customHeight="1" x14ac:dyDescent="0.2">
      <c r="E11212" s="18"/>
      <c r="F11212" s="18"/>
    </row>
    <row r="11213" spans="5:6" ht="15" customHeight="1" x14ac:dyDescent="0.2">
      <c r="E11213" s="18"/>
      <c r="F11213" s="18"/>
    </row>
    <row r="11214" spans="5:6" ht="15" customHeight="1" x14ac:dyDescent="0.2">
      <c r="E11214" s="18"/>
      <c r="F11214" s="18"/>
    </row>
    <row r="11215" spans="5:6" ht="15" customHeight="1" x14ac:dyDescent="0.2">
      <c r="E11215" s="18"/>
      <c r="F11215" s="18"/>
    </row>
    <row r="11216" spans="5:6" ht="15" customHeight="1" x14ac:dyDescent="0.2">
      <c r="E11216" s="18"/>
      <c r="F11216" s="18"/>
    </row>
    <row r="11217" spans="5:6" ht="15" customHeight="1" x14ac:dyDescent="0.2">
      <c r="E11217" s="18"/>
      <c r="F11217" s="18"/>
    </row>
    <row r="11218" spans="5:6" ht="15" customHeight="1" x14ac:dyDescent="0.2">
      <c r="E11218" s="18"/>
      <c r="F11218" s="18"/>
    </row>
    <row r="11219" spans="5:6" ht="15" customHeight="1" x14ac:dyDescent="0.2">
      <c r="E11219" s="18"/>
      <c r="F11219" s="18"/>
    </row>
    <row r="11220" spans="5:6" ht="15" customHeight="1" x14ac:dyDescent="0.2">
      <c r="E11220" s="18"/>
      <c r="F11220" s="18"/>
    </row>
    <row r="11221" spans="5:6" ht="15" customHeight="1" x14ac:dyDescent="0.2">
      <c r="E11221" s="18"/>
      <c r="F11221" s="18"/>
    </row>
    <row r="11222" spans="5:6" ht="15" customHeight="1" x14ac:dyDescent="0.2">
      <c r="E11222" s="18"/>
      <c r="F11222" s="18"/>
    </row>
    <row r="11223" spans="5:6" ht="15" customHeight="1" x14ac:dyDescent="0.2">
      <c r="E11223" s="18"/>
      <c r="F11223" s="18"/>
    </row>
    <row r="11224" spans="5:6" ht="15" customHeight="1" x14ac:dyDescent="0.2">
      <c r="E11224" s="18"/>
      <c r="F11224" s="18"/>
    </row>
    <row r="11225" spans="5:6" ht="15" customHeight="1" x14ac:dyDescent="0.2">
      <c r="E11225" s="18"/>
      <c r="F11225" s="18"/>
    </row>
    <row r="11226" spans="5:6" ht="15" customHeight="1" x14ac:dyDescent="0.2">
      <c r="E11226" s="18"/>
      <c r="F11226" s="18"/>
    </row>
    <row r="11227" spans="5:6" ht="15" customHeight="1" x14ac:dyDescent="0.2">
      <c r="E11227" s="18"/>
      <c r="F11227" s="18"/>
    </row>
    <row r="11228" spans="5:6" ht="15" customHeight="1" x14ac:dyDescent="0.2">
      <c r="E11228" s="18"/>
      <c r="F11228" s="18"/>
    </row>
    <row r="11229" spans="5:6" ht="15" customHeight="1" x14ac:dyDescent="0.2">
      <c r="E11229" s="18"/>
      <c r="F11229" s="18"/>
    </row>
    <row r="11230" spans="5:6" ht="15" customHeight="1" x14ac:dyDescent="0.2">
      <c r="E11230" s="18"/>
      <c r="F11230" s="18"/>
    </row>
    <row r="11231" spans="5:6" ht="15" customHeight="1" x14ac:dyDescent="0.2">
      <c r="E11231" s="18"/>
      <c r="F11231" s="18"/>
    </row>
    <row r="11232" spans="5:6" ht="15" customHeight="1" x14ac:dyDescent="0.2">
      <c r="E11232" s="18"/>
      <c r="F11232" s="18"/>
    </row>
    <row r="11233" spans="5:6" ht="15" customHeight="1" x14ac:dyDescent="0.2">
      <c r="E11233" s="18"/>
      <c r="F11233" s="18"/>
    </row>
    <row r="11234" spans="5:6" ht="15" customHeight="1" x14ac:dyDescent="0.2">
      <c r="E11234" s="18"/>
      <c r="F11234" s="18"/>
    </row>
    <row r="11235" spans="5:6" ht="15" customHeight="1" x14ac:dyDescent="0.2">
      <c r="E11235" s="18"/>
      <c r="F11235" s="18"/>
    </row>
    <row r="11236" spans="5:6" ht="15" customHeight="1" x14ac:dyDescent="0.2">
      <c r="E11236" s="18"/>
      <c r="F11236" s="18"/>
    </row>
    <row r="11237" spans="5:6" ht="15" customHeight="1" x14ac:dyDescent="0.2">
      <c r="E11237" s="18"/>
      <c r="F11237" s="18"/>
    </row>
    <row r="11238" spans="5:6" ht="15" customHeight="1" x14ac:dyDescent="0.2">
      <c r="E11238" s="18"/>
      <c r="F11238" s="18"/>
    </row>
    <row r="11239" spans="5:6" ht="15" customHeight="1" x14ac:dyDescent="0.2">
      <c r="E11239" s="18"/>
      <c r="F11239" s="18"/>
    </row>
    <row r="11240" spans="5:6" ht="15" customHeight="1" x14ac:dyDescent="0.2">
      <c r="E11240" s="18"/>
      <c r="F11240" s="18"/>
    </row>
    <row r="11241" spans="5:6" ht="15" customHeight="1" x14ac:dyDescent="0.2">
      <c r="E11241" s="18"/>
      <c r="F11241" s="18"/>
    </row>
    <row r="11242" spans="5:6" ht="15" customHeight="1" x14ac:dyDescent="0.2">
      <c r="E11242" s="18"/>
      <c r="F11242" s="18"/>
    </row>
    <row r="11243" spans="5:6" ht="15" customHeight="1" x14ac:dyDescent="0.2">
      <c r="E11243" s="18"/>
      <c r="F11243" s="18"/>
    </row>
    <row r="11244" spans="5:6" ht="15" customHeight="1" x14ac:dyDescent="0.2">
      <c r="E11244" s="18"/>
      <c r="F11244" s="18"/>
    </row>
    <row r="11245" spans="5:6" ht="15" customHeight="1" x14ac:dyDescent="0.2">
      <c r="E11245" s="18"/>
      <c r="F11245" s="18"/>
    </row>
    <row r="11246" spans="5:6" ht="15" customHeight="1" x14ac:dyDescent="0.2">
      <c r="E11246" s="18"/>
      <c r="F11246" s="18"/>
    </row>
    <row r="11247" spans="5:6" ht="15" customHeight="1" x14ac:dyDescent="0.2">
      <c r="E11247" s="18"/>
      <c r="F11247" s="18"/>
    </row>
    <row r="11248" spans="5:6" ht="15" customHeight="1" x14ac:dyDescent="0.2">
      <c r="E11248" s="18"/>
      <c r="F11248" s="18"/>
    </row>
    <row r="11249" spans="5:6" ht="15" customHeight="1" x14ac:dyDescent="0.2">
      <c r="E11249" s="18"/>
      <c r="F11249" s="18"/>
    </row>
    <row r="11250" spans="5:6" ht="15" customHeight="1" x14ac:dyDescent="0.2">
      <c r="E11250" s="18"/>
      <c r="F11250" s="18"/>
    </row>
    <row r="11251" spans="5:6" ht="15" customHeight="1" x14ac:dyDescent="0.2">
      <c r="E11251" s="18"/>
      <c r="F11251" s="18"/>
    </row>
    <row r="11252" spans="5:6" ht="15" customHeight="1" x14ac:dyDescent="0.2">
      <c r="E11252" s="18"/>
      <c r="F11252" s="18"/>
    </row>
    <row r="11253" spans="5:6" ht="15" customHeight="1" x14ac:dyDescent="0.2">
      <c r="E11253" s="18"/>
      <c r="F11253" s="18"/>
    </row>
    <row r="11254" spans="5:6" ht="15" customHeight="1" x14ac:dyDescent="0.2">
      <c r="E11254" s="18"/>
      <c r="F11254" s="18"/>
    </row>
    <row r="11255" spans="5:6" ht="15" customHeight="1" x14ac:dyDescent="0.2">
      <c r="E11255" s="18"/>
      <c r="F11255" s="18"/>
    </row>
    <row r="11256" spans="5:6" ht="15" customHeight="1" x14ac:dyDescent="0.2">
      <c r="E11256" s="18"/>
      <c r="F11256" s="18"/>
    </row>
    <row r="11257" spans="5:6" ht="15" customHeight="1" x14ac:dyDescent="0.2">
      <c r="E11257" s="18"/>
      <c r="F11257" s="18"/>
    </row>
    <row r="11258" spans="5:6" ht="15" customHeight="1" x14ac:dyDescent="0.2">
      <c r="E11258" s="18"/>
      <c r="F11258" s="18"/>
    </row>
    <row r="11259" spans="5:6" ht="15" customHeight="1" x14ac:dyDescent="0.2">
      <c r="E11259" s="18"/>
      <c r="F11259" s="18"/>
    </row>
    <row r="11260" spans="5:6" ht="15" customHeight="1" x14ac:dyDescent="0.2">
      <c r="E11260" s="18"/>
      <c r="F11260" s="18"/>
    </row>
    <row r="11261" spans="5:6" ht="15" customHeight="1" x14ac:dyDescent="0.2">
      <c r="E11261" s="18"/>
      <c r="F11261" s="18"/>
    </row>
    <row r="11262" spans="5:6" ht="15" customHeight="1" x14ac:dyDescent="0.2">
      <c r="E11262" s="18"/>
      <c r="F11262" s="18"/>
    </row>
    <row r="11263" spans="5:6" ht="15" customHeight="1" x14ac:dyDescent="0.2">
      <c r="E11263" s="18"/>
      <c r="F11263" s="18"/>
    </row>
    <row r="11264" spans="5:6" ht="15" customHeight="1" x14ac:dyDescent="0.2">
      <c r="E11264" s="18"/>
      <c r="F11264" s="18"/>
    </row>
    <row r="11265" spans="5:6" ht="15" customHeight="1" x14ac:dyDescent="0.2">
      <c r="E11265" s="18"/>
      <c r="F11265" s="18"/>
    </row>
    <row r="11266" spans="5:6" ht="15" customHeight="1" x14ac:dyDescent="0.2">
      <c r="E11266" s="18"/>
      <c r="F11266" s="18"/>
    </row>
    <row r="11267" spans="5:6" ht="15" customHeight="1" x14ac:dyDescent="0.2">
      <c r="E11267" s="18"/>
      <c r="F11267" s="18"/>
    </row>
    <row r="11268" spans="5:6" ht="15" customHeight="1" x14ac:dyDescent="0.2">
      <c r="E11268" s="18"/>
      <c r="F11268" s="18"/>
    </row>
    <row r="11269" spans="5:6" ht="15" customHeight="1" x14ac:dyDescent="0.2">
      <c r="E11269" s="18"/>
      <c r="F11269" s="18"/>
    </row>
    <row r="11270" spans="5:6" ht="15" customHeight="1" x14ac:dyDescent="0.2">
      <c r="E11270" s="18"/>
      <c r="F11270" s="18"/>
    </row>
    <row r="11271" spans="5:6" ht="15" customHeight="1" x14ac:dyDescent="0.2">
      <c r="E11271" s="18"/>
      <c r="F11271" s="18"/>
    </row>
    <row r="11272" spans="5:6" ht="15" customHeight="1" x14ac:dyDescent="0.2">
      <c r="E11272" s="18"/>
      <c r="F11272" s="18"/>
    </row>
    <row r="11273" spans="5:6" ht="15" customHeight="1" x14ac:dyDescent="0.2">
      <c r="E11273" s="18"/>
      <c r="F11273" s="18"/>
    </row>
    <row r="11274" spans="5:6" ht="15" customHeight="1" x14ac:dyDescent="0.2">
      <c r="E11274" s="18"/>
      <c r="F11274" s="18"/>
    </row>
    <row r="11275" spans="5:6" ht="15" customHeight="1" x14ac:dyDescent="0.2">
      <c r="E11275" s="18"/>
      <c r="F11275" s="18"/>
    </row>
    <row r="11276" spans="5:6" ht="15" customHeight="1" x14ac:dyDescent="0.2">
      <c r="E11276" s="18"/>
      <c r="F11276" s="18"/>
    </row>
    <row r="11277" spans="5:6" ht="15" customHeight="1" x14ac:dyDescent="0.2">
      <c r="E11277" s="18"/>
      <c r="F11277" s="18"/>
    </row>
    <row r="11278" spans="5:6" ht="15" customHeight="1" x14ac:dyDescent="0.2">
      <c r="E11278" s="18"/>
      <c r="F11278" s="18"/>
    </row>
    <row r="11279" spans="5:6" ht="15" customHeight="1" x14ac:dyDescent="0.2">
      <c r="E11279" s="18"/>
      <c r="F11279" s="18"/>
    </row>
    <row r="11280" spans="5:6" ht="15" customHeight="1" x14ac:dyDescent="0.2">
      <c r="E11280" s="18"/>
      <c r="F11280" s="18"/>
    </row>
    <row r="11281" spans="5:6" ht="15" customHeight="1" x14ac:dyDescent="0.2">
      <c r="E11281" s="18"/>
      <c r="F11281" s="18"/>
    </row>
    <row r="11282" spans="5:6" ht="15" customHeight="1" x14ac:dyDescent="0.2">
      <c r="E11282" s="18"/>
      <c r="F11282" s="18"/>
    </row>
    <row r="11283" spans="5:6" ht="15" customHeight="1" x14ac:dyDescent="0.2">
      <c r="E11283" s="18"/>
      <c r="F11283" s="18"/>
    </row>
    <row r="11284" spans="5:6" ht="15" customHeight="1" x14ac:dyDescent="0.2">
      <c r="E11284" s="18"/>
      <c r="F11284" s="18"/>
    </row>
    <row r="11285" spans="5:6" ht="15" customHeight="1" x14ac:dyDescent="0.2">
      <c r="E11285" s="18"/>
      <c r="F11285" s="18"/>
    </row>
    <row r="11286" spans="5:6" ht="15" customHeight="1" x14ac:dyDescent="0.2">
      <c r="E11286" s="18"/>
      <c r="F11286" s="18"/>
    </row>
    <row r="11287" spans="5:6" ht="15" customHeight="1" x14ac:dyDescent="0.2">
      <c r="E11287" s="18"/>
      <c r="F11287" s="18"/>
    </row>
    <row r="11288" spans="5:6" ht="15" customHeight="1" x14ac:dyDescent="0.2">
      <c r="E11288" s="18"/>
      <c r="F11288" s="18"/>
    </row>
    <row r="11289" spans="5:6" ht="15" customHeight="1" x14ac:dyDescent="0.2">
      <c r="E11289" s="18"/>
      <c r="F11289" s="18"/>
    </row>
    <row r="11290" spans="5:6" ht="15" customHeight="1" x14ac:dyDescent="0.2">
      <c r="E11290" s="18"/>
      <c r="F11290" s="18"/>
    </row>
    <row r="11291" spans="5:6" ht="15" customHeight="1" x14ac:dyDescent="0.2">
      <c r="E11291" s="18"/>
      <c r="F11291" s="18"/>
    </row>
    <row r="11292" spans="5:6" ht="15" customHeight="1" x14ac:dyDescent="0.2">
      <c r="E11292" s="18"/>
      <c r="F11292" s="18"/>
    </row>
    <row r="11293" spans="5:6" ht="15" customHeight="1" x14ac:dyDescent="0.2">
      <c r="E11293" s="18"/>
      <c r="F11293" s="18"/>
    </row>
    <row r="11294" spans="5:6" ht="15" customHeight="1" x14ac:dyDescent="0.2">
      <c r="E11294" s="18"/>
      <c r="F11294" s="18"/>
    </row>
    <row r="11295" spans="5:6" ht="15" customHeight="1" x14ac:dyDescent="0.2">
      <c r="E11295" s="18"/>
      <c r="F11295" s="18"/>
    </row>
    <row r="11296" spans="5:6" ht="15" customHeight="1" x14ac:dyDescent="0.2">
      <c r="E11296" s="18"/>
      <c r="F11296" s="18"/>
    </row>
    <row r="11297" spans="5:6" ht="15" customHeight="1" x14ac:dyDescent="0.2">
      <c r="E11297" s="18"/>
      <c r="F11297" s="18"/>
    </row>
    <row r="11298" spans="5:6" ht="15" customHeight="1" x14ac:dyDescent="0.2">
      <c r="E11298" s="18"/>
      <c r="F11298" s="18"/>
    </row>
    <row r="11299" spans="5:6" ht="15" customHeight="1" x14ac:dyDescent="0.2">
      <c r="E11299" s="18"/>
      <c r="F11299" s="18"/>
    </row>
    <row r="11300" spans="5:6" ht="15" customHeight="1" x14ac:dyDescent="0.2">
      <c r="E11300" s="18"/>
      <c r="F11300" s="18"/>
    </row>
    <row r="11301" spans="5:6" ht="15" customHeight="1" x14ac:dyDescent="0.2">
      <c r="E11301" s="18"/>
      <c r="F11301" s="18"/>
    </row>
    <row r="11302" spans="5:6" ht="15" customHeight="1" x14ac:dyDescent="0.2">
      <c r="E11302" s="18"/>
      <c r="F11302" s="18"/>
    </row>
    <row r="11303" spans="5:6" ht="15" customHeight="1" x14ac:dyDescent="0.2">
      <c r="E11303" s="18"/>
      <c r="F11303" s="18"/>
    </row>
    <row r="11304" spans="5:6" ht="15" customHeight="1" x14ac:dyDescent="0.2">
      <c r="E11304" s="18"/>
      <c r="F11304" s="18"/>
    </row>
    <row r="11305" spans="5:6" ht="15" customHeight="1" x14ac:dyDescent="0.2">
      <c r="E11305" s="18"/>
      <c r="F11305" s="18"/>
    </row>
    <row r="11306" spans="5:6" ht="15" customHeight="1" x14ac:dyDescent="0.2">
      <c r="E11306" s="18"/>
      <c r="F11306" s="18"/>
    </row>
    <row r="11307" spans="5:6" ht="15" customHeight="1" x14ac:dyDescent="0.2">
      <c r="E11307" s="18"/>
      <c r="F11307" s="18"/>
    </row>
    <row r="11308" spans="5:6" ht="15" customHeight="1" x14ac:dyDescent="0.2">
      <c r="E11308" s="18"/>
      <c r="F11308" s="18"/>
    </row>
    <row r="11309" spans="5:6" ht="15" customHeight="1" x14ac:dyDescent="0.2">
      <c r="E11309" s="18"/>
      <c r="F11309" s="18"/>
    </row>
    <row r="11310" spans="5:6" ht="15" customHeight="1" x14ac:dyDescent="0.2">
      <c r="E11310" s="18"/>
      <c r="F11310" s="18"/>
    </row>
    <row r="11311" spans="5:6" ht="15" customHeight="1" x14ac:dyDescent="0.2">
      <c r="E11311" s="18"/>
      <c r="F11311" s="18"/>
    </row>
    <row r="11312" spans="5:6" ht="15" customHeight="1" x14ac:dyDescent="0.2">
      <c r="E11312" s="18"/>
      <c r="F11312" s="18"/>
    </row>
    <row r="11313" spans="5:6" ht="15" customHeight="1" x14ac:dyDescent="0.2">
      <c r="E11313" s="18"/>
      <c r="F11313" s="18"/>
    </row>
    <row r="11314" spans="5:6" ht="15" customHeight="1" x14ac:dyDescent="0.2">
      <c r="E11314" s="18"/>
      <c r="F11314" s="18"/>
    </row>
    <row r="11315" spans="5:6" ht="15" customHeight="1" x14ac:dyDescent="0.2">
      <c r="E11315" s="18"/>
      <c r="F11315" s="18"/>
    </row>
    <row r="11316" spans="5:6" ht="15" customHeight="1" x14ac:dyDescent="0.2">
      <c r="E11316" s="18"/>
      <c r="F11316" s="18"/>
    </row>
    <row r="11317" spans="5:6" ht="15" customHeight="1" x14ac:dyDescent="0.2">
      <c r="E11317" s="18"/>
      <c r="F11317" s="18"/>
    </row>
    <row r="11318" spans="5:6" ht="15" customHeight="1" x14ac:dyDescent="0.2">
      <c r="E11318" s="18"/>
      <c r="F11318" s="18"/>
    </row>
    <row r="11319" spans="5:6" ht="15" customHeight="1" x14ac:dyDescent="0.2">
      <c r="E11319" s="18"/>
      <c r="F11319" s="18"/>
    </row>
    <row r="11320" spans="5:6" ht="15" customHeight="1" x14ac:dyDescent="0.2">
      <c r="E11320" s="18"/>
      <c r="F11320" s="18"/>
    </row>
    <row r="11321" spans="5:6" ht="15" customHeight="1" x14ac:dyDescent="0.2">
      <c r="E11321" s="18"/>
      <c r="F11321" s="18"/>
    </row>
    <row r="11322" spans="5:6" ht="15" customHeight="1" x14ac:dyDescent="0.2">
      <c r="E11322" s="18"/>
      <c r="F11322" s="18"/>
    </row>
    <row r="11323" spans="5:6" ht="15" customHeight="1" x14ac:dyDescent="0.2">
      <c r="E11323" s="18"/>
      <c r="F11323" s="18"/>
    </row>
    <row r="11324" spans="5:6" ht="15" customHeight="1" x14ac:dyDescent="0.2">
      <c r="E11324" s="18"/>
      <c r="F11324" s="18"/>
    </row>
    <row r="11325" spans="5:6" ht="15" customHeight="1" x14ac:dyDescent="0.2">
      <c r="E11325" s="18"/>
      <c r="F11325" s="18"/>
    </row>
    <row r="11326" spans="5:6" ht="15" customHeight="1" x14ac:dyDescent="0.2">
      <c r="E11326" s="18"/>
      <c r="F11326" s="18"/>
    </row>
    <row r="11327" spans="5:6" ht="15" customHeight="1" x14ac:dyDescent="0.2">
      <c r="E11327" s="18"/>
      <c r="F11327" s="18"/>
    </row>
    <row r="11328" spans="5:6" ht="15" customHeight="1" x14ac:dyDescent="0.2">
      <c r="E11328" s="18"/>
      <c r="F11328" s="18"/>
    </row>
    <row r="11329" spans="5:6" ht="15" customHeight="1" x14ac:dyDescent="0.2">
      <c r="E11329" s="18"/>
      <c r="F11329" s="18"/>
    </row>
    <row r="11330" spans="5:6" ht="15" customHeight="1" x14ac:dyDescent="0.2">
      <c r="E11330" s="18"/>
      <c r="F11330" s="18"/>
    </row>
    <row r="11331" spans="5:6" ht="15" customHeight="1" x14ac:dyDescent="0.2">
      <c r="E11331" s="18"/>
      <c r="F11331" s="18"/>
    </row>
    <row r="11332" spans="5:6" ht="15" customHeight="1" x14ac:dyDescent="0.2">
      <c r="E11332" s="18"/>
      <c r="F11332" s="18"/>
    </row>
    <row r="11333" spans="5:6" ht="15" customHeight="1" x14ac:dyDescent="0.2">
      <c r="E11333" s="18"/>
      <c r="F11333" s="18"/>
    </row>
    <row r="11334" spans="5:6" ht="15" customHeight="1" x14ac:dyDescent="0.2">
      <c r="E11334" s="18"/>
      <c r="F11334" s="18"/>
    </row>
    <row r="11335" spans="5:6" ht="15" customHeight="1" x14ac:dyDescent="0.2">
      <c r="E11335" s="18"/>
      <c r="F11335" s="18"/>
    </row>
    <row r="11336" spans="5:6" ht="15" customHeight="1" x14ac:dyDescent="0.2">
      <c r="E11336" s="18"/>
      <c r="F11336" s="18"/>
    </row>
    <row r="11337" spans="5:6" ht="15" customHeight="1" x14ac:dyDescent="0.2">
      <c r="E11337" s="18"/>
      <c r="F11337" s="18"/>
    </row>
    <row r="11338" spans="5:6" ht="15" customHeight="1" x14ac:dyDescent="0.2">
      <c r="E11338" s="18"/>
      <c r="F11338" s="18"/>
    </row>
    <row r="11339" spans="5:6" ht="15" customHeight="1" x14ac:dyDescent="0.2">
      <c r="E11339" s="18"/>
      <c r="F11339" s="18"/>
    </row>
    <row r="11340" spans="5:6" ht="15" customHeight="1" x14ac:dyDescent="0.2">
      <c r="E11340" s="18"/>
      <c r="F11340" s="18"/>
    </row>
    <row r="11341" spans="5:6" ht="15" customHeight="1" x14ac:dyDescent="0.2">
      <c r="E11341" s="18"/>
      <c r="F11341" s="18"/>
    </row>
    <row r="11342" spans="5:6" ht="15" customHeight="1" x14ac:dyDescent="0.2">
      <c r="E11342" s="18"/>
      <c r="F11342" s="18"/>
    </row>
    <row r="11343" spans="5:6" ht="15" customHeight="1" x14ac:dyDescent="0.2">
      <c r="E11343" s="18"/>
      <c r="F11343" s="18"/>
    </row>
    <row r="11344" spans="5:6" ht="15" customHeight="1" x14ac:dyDescent="0.2">
      <c r="E11344" s="18"/>
      <c r="F11344" s="18"/>
    </row>
    <row r="11345" spans="5:6" ht="15" customHeight="1" x14ac:dyDescent="0.2">
      <c r="E11345" s="18"/>
      <c r="F11345" s="18"/>
    </row>
    <row r="11346" spans="5:6" ht="15" customHeight="1" x14ac:dyDescent="0.2">
      <c r="E11346" s="18"/>
      <c r="F11346" s="18"/>
    </row>
    <row r="11347" spans="5:6" ht="15" customHeight="1" x14ac:dyDescent="0.2">
      <c r="E11347" s="18"/>
      <c r="F11347" s="18"/>
    </row>
    <row r="11348" spans="5:6" ht="15" customHeight="1" x14ac:dyDescent="0.2">
      <c r="E11348" s="18"/>
      <c r="F11348" s="18"/>
    </row>
    <row r="11349" spans="5:6" ht="15" customHeight="1" x14ac:dyDescent="0.2">
      <c r="E11349" s="18"/>
      <c r="F11349" s="18"/>
    </row>
    <row r="11350" spans="5:6" ht="15" customHeight="1" x14ac:dyDescent="0.2">
      <c r="E11350" s="18"/>
      <c r="F11350" s="18"/>
    </row>
    <row r="11351" spans="5:6" ht="15" customHeight="1" x14ac:dyDescent="0.2">
      <c r="E11351" s="18"/>
      <c r="F11351" s="18"/>
    </row>
    <row r="11352" spans="5:6" ht="15" customHeight="1" x14ac:dyDescent="0.2">
      <c r="E11352" s="18"/>
      <c r="F11352" s="18"/>
    </row>
    <row r="11353" spans="5:6" ht="15" customHeight="1" x14ac:dyDescent="0.2">
      <c r="E11353" s="18"/>
      <c r="F11353" s="18"/>
    </row>
    <row r="11354" spans="5:6" ht="15" customHeight="1" x14ac:dyDescent="0.2">
      <c r="E11354" s="18"/>
      <c r="F11354" s="18"/>
    </row>
    <row r="11355" spans="5:6" ht="15" customHeight="1" x14ac:dyDescent="0.2">
      <c r="E11355" s="18"/>
      <c r="F11355" s="18"/>
    </row>
    <row r="11356" spans="5:6" ht="15" customHeight="1" x14ac:dyDescent="0.2">
      <c r="E11356" s="18"/>
      <c r="F11356" s="18"/>
    </row>
    <row r="11357" spans="5:6" ht="15" customHeight="1" x14ac:dyDescent="0.2">
      <c r="E11357" s="18"/>
      <c r="F11357" s="18"/>
    </row>
    <row r="11358" spans="5:6" ht="15" customHeight="1" x14ac:dyDescent="0.2">
      <c r="E11358" s="18"/>
      <c r="F11358" s="18"/>
    </row>
    <row r="11359" spans="5:6" ht="15" customHeight="1" x14ac:dyDescent="0.2">
      <c r="E11359" s="18"/>
      <c r="F11359" s="18"/>
    </row>
    <row r="11360" spans="5:6" ht="15" customHeight="1" x14ac:dyDescent="0.2">
      <c r="E11360" s="18"/>
      <c r="F11360" s="18"/>
    </row>
    <row r="11361" spans="5:6" ht="15" customHeight="1" x14ac:dyDescent="0.2">
      <c r="E11361" s="18"/>
      <c r="F11361" s="18"/>
    </row>
    <row r="11362" spans="5:6" ht="15" customHeight="1" x14ac:dyDescent="0.2">
      <c r="E11362" s="18"/>
      <c r="F11362" s="18"/>
    </row>
    <row r="11363" spans="5:6" ht="15" customHeight="1" x14ac:dyDescent="0.2">
      <c r="E11363" s="18"/>
      <c r="F11363" s="18"/>
    </row>
    <row r="11364" spans="5:6" ht="15" customHeight="1" x14ac:dyDescent="0.2">
      <c r="E11364" s="18"/>
      <c r="F11364" s="18"/>
    </row>
    <row r="11365" spans="5:6" ht="15" customHeight="1" x14ac:dyDescent="0.2">
      <c r="E11365" s="18"/>
      <c r="F11365" s="18"/>
    </row>
    <row r="11366" spans="5:6" ht="15" customHeight="1" x14ac:dyDescent="0.2">
      <c r="E11366" s="18"/>
      <c r="F11366" s="18"/>
    </row>
    <row r="11367" spans="5:6" ht="15" customHeight="1" x14ac:dyDescent="0.2">
      <c r="E11367" s="18"/>
      <c r="F11367" s="18"/>
    </row>
    <row r="11368" spans="5:6" ht="15" customHeight="1" x14ac:dyDescent="0.2">
      <c r="E11368" s="18"/>
      <c r="F11368" s="18"/>
    </row>
    <row r="11369" spans="5:6" ht="15" customHeight="1" x14ac:dyDescent="0.2">
      <c r="E11369" s="18"/>
      <c r="F11369" s="18"/>
    </row>
    <row r="11370" spans="5:6" ht="15" customHeight="1" x14ac:dyDescent="0.2">
      <c r="E11370" s="18"/>
      <c r="F11370" s="18"/>
    </row>
    <row r="11371" spans="5:6" ht="15" customHeight="1" x14ac:dyDescent="0.2">
      <c r="E11371" s="18"/>
      <c r="F11371" s="18"/>
    </row>
    <row r="11372" spans="5:6" ht="15" customHeight="1" x14ac:dyDescent="0.2">
      <c r="E11372" s="18"/>
      <c r="F11372" s="18"/>
    </row>
    <row r="11373" spans="5:6" ht="15" customHeight="1" x14ac:dyDescent="0.2">
      <c r="E11373" s="18"/>
      <c r="F11373" s="18"/>
    </row>
    <row r="11374" spans="5:6" ht="15" customHeight="1" x14ac:dyDescent="0.2">
      <c r="E11374" s="18"/>
      <c r="F11374" s="18"/>
    </row>
    <row r="11375" spans="5:6" ht="15" customHeight="1" x14ac:dyDescent="0.2">
      <c r="E11375" s="18"/>
      <c r="F11375" s="18"/>
    </row>
    <row r="11376" spans="5:6" ht="15" customHeight="1" x14ac:dyDescent="0.2">
      <c r="E11376" s="18"/>
      <c r="F11376" s="18"/>
    </row>
    <row r="11377" spans="5:6" ht="15" customHeight="1" x14ac:dyDescent="0.2">
      <c r="E11377" s="18"/>
      <c r="F11377" s="18"/>
    </row>
    <row r="11378" spans="5:6" ht="15" customHeight="1" x14ac:dyDescent="0.2">
      <c r="E11378" s="18"/>
      <c r="F11378" s="18"/>
    </row>
    <row r="11379" spans="5:6" ht="15" customHeight="1" x14ac:dyDescent="0.2">
      <c r="E11379" s="18"/>
      <c r="F11379" s="18"/>
    </row>
    <row r="11380" spans="5:6" ht="15" customHeight="1" x14ac:dyDescent="0.2">
      <c r="E11380" s="18"/>
      <c r="F11380" s="18"/>
    </row>
    <row r="11381" spans="5:6" ht="15" customHeight="1" x14ac:dyDescent="0.2">
      <c r="E11381" s="18"/>
      <c r="F11381" s="18"/>
    </row>
    <row r="11382" spans="5:6" ht="15" customHeight="1" x14ac:dyDescent="0.2">
      <c r="E11382" s="18"/>
      <c r="F11382" s="18"/>
    </row>
    <row r="11383" spans="5:6" ht="15" customHeight="1" x14ac:dyDescent="0.2">
      <c r="E11383" s="18"/>
      <c r="F11383" s="18"/>
    </row>
    <row r="11384" spans="5:6" ht="15" customHeight="1" x14ac:dyDescent="0.2">
      <c r="E11384" s="18"/>
      <c r="F11384" s="18"/>
    </row>
    <row r="11385" spans="5:6" ht="15" customHeight="1" x14ac:dyDescent="0.2">
      <c r="E11385" s="18"/>
      <c r="F11385" s="18"/>
    </row>
    <row r="11386" spans="5:6" ht="15" customHeight="1" x14ac:dyDescent="0.2">
      <c r="E11386" s="18"/>
      <c r="F11386" s="18"/>
    </row>
    <row r="11387" spans="5:6" ht="15" customHeight="1" x14ac:dyDescent="0.2">
      <c r="E11387" s="18"/>
      <c r="F11387" s="18"/>
    </row>
    <row r="11388" spans="5:6" ht="15" customHeight="1" x14ac:dyDescent="0.2">
      <c r="E11388" s="18"/>
      <c r="F11388" s="18"/>
    </row>
    <row r="11389" spans="5:6" ht="15" customHeight="1" x14ac:dyDescent="0.2">
      <c r="E11389" s="18"/>
      <c r="F11389" s="18"/>
    </row>
    <row r="11390" spans="5:6" ht="15" customHeight="1" x14ac:dyDescent="0.2">
      <c r="E11390" s="18"/>
      <c r="F11390" s="18"/>
    </row>
    <row r="11391" spans="5:6" ht="15" customHeight="1" x14ac:dyDescent="0.2">
      <c r="E11391" s="18"/>
      <c r="F11391" s="18"/>
    </row>
    <row r="11392" spans="5:6" ht="15" customHeight="1" x14ac:dyDescent="0.2">
      <c r="E11392" s="18"/>
      <c r="F11392" s="18"/>
    </row>
    <row r="11393" spans="5:6" ht="15" customHeight="1" x14ac:dyDescent="0.2">
      <c r="E11393" s="18"/>
      <c r="F11393" s="18"/>
    </row>
    <row r="11394" spans="5:6" ht="15" customHeight="1" x14ac:dyDescent="0.2">
      <c r="E11394" s="18"/>
      <c r="F11394" s="18"/>
    </row>
    <row r="11395" spans="5:6" ht="15" customHeight="1" x14ac:dyDescent="0.2">
      <c r="E11395" s="18"/>
      <c r="F11395" s="18"/>
    </row>
    <row r="11396" spans="5:6" ht="15" customHeight="1" x14ac:dyDescent="0.2">
      <c r="E11396" s="18"/>
      <c r="F11396" s="18"/>
    </row>
    <row r="11397" spans="5:6" ht="15" customHeight="1" x14ac:dyDescent="0.2">
      <c r="E11397" s="18"/>
      <c r="F11397" s="18"/>
    </row>
    <row r="11398" spans="5:6" ht="15" customHeight="1" x14ac:dyDescent="0.2">
      <c r="E11398" s="18"/>
      <c r="F11398" s="18"/>
    </row>
    <row r="11399" spans="5:6" ht="15" customHeight="1" x14ac:dyDescent="0.2">
      <c r="E11399" s="18"/>
      <c r="F11399" s="18"/>
    </row>
    <row r="11400" spans="5:6" ht="15" customHeight="1" x14ac:dyDescent="0.2">
      <c r="E11400" s="18"/>
      <c r="F11400" s="18"/>
    </row>
    <row r="11401" spans="5:6" ht="15" customHeight="1" x14ac:dyDescent="0.2">
      <c r="E11401" s="18"/>
      <c r="F11401" s="18"/>
    </row>
    <row r="11402" spans="5:6" ht="15" customHeight="1" x14ac:dyDescent="0.2">
      <c r="E11402" s="18"/>
      <c r="F11402" s="18"/>
    </row>
    <row r="11403" spans="5:6" ht="15" customHeight="1" x14ac:dyDescent="0.2">
      <c r="E11403" s="18"/>
      <c r="F11403" s="18"/>
    </row>
    <row r="11404" spans="5:6" ht="15" customHeight="1" x14ac:dyDescent="0.2">
      <c r="E11404" s="18"/>
      <c r="F11404" s="18"/>
    </row>
    <row r="11405" spans="5:6" ht="15" customHeight="1" x14ac:dyDescent="0.2">
      <c r="E11405" s="18"/>
      <c r="F11405" s="18"/>
    </row>
    <row r="11406" spans="5:6" ht="15" customHeight="1" x14ac:dyDescent="0.2">
      <c r="E11406" s="18"/>
      <c r="F11406" s="18"/>
    </row>
    <row r="11407" spans="5:6" ht="15" customHeight="1" x14ac:dyDescent="0.2">
      <c r="E11407" s="18"/>
      <c r="F11407" s="18"/>
    </row>
    <row r="11408" spans="5:6" ht="15" customHeight="1" x14ac:dyDescent="0.2">
      <c r="E11408" s="18"/>
      <c r="F11408" s="18"/>
    </row>
    <row r="11409" spans="5:6" ht="15" customHeight="1" x14ac:dyDescent="0.2">
      <c r="E11409" s="18"/>
      <c r="F11409" s="18"/>
    </row>
    <row r="11410" spans="5:6" ht="15" customHeight="1" x14ac:dyDescent="0.2">
      <c r="E11410" s="18"/>
      <c r="F11410" s="18"/>
    </row>
    <row r="11411" spans="5:6" ht="15" customHeight="1" x14ac:dyDescent="0.2">
      <c r="E11411" s="18"/>
      <c r="F11411" s="18"/>
    </row>
    <row r="11412" spans="5:6" ht="15" customHeight="1" x14ac:dyDescent="0.2">
      <c r="E11412" s="18"/>
      <c r="F11412" s="18"/>
    </row>
    <row r="11413" spans="5:6" ht="15" customHeight="1" x14ac:dyDescent="0.2">
      <c r="E11413" s="18"/>
      <c r="F11413" s="18"/>
    </row>
    <row r="11414" spans="5:6" ht="15" customHeight="1" x14ac:dyDescent="0.2">
      <c r="E11414" s="18"/>
      <c r="F11414" s="18"/>
    </row>
    <row r="11415" spans="5:6" ht="15" customHeight="1" x14ac:dyDescent="0.2">
      <c r="E11415" s="18"/>
      <c r="F11415" s="18"/>
    </row>
    <row r="11416" spans="5:6" ht="15" customHeight="1" x14ac:dyDescent="0.2">
      <c r="E11416" s="18"/>
      <c r="F11416" s="18"/>
    </row>
    <row r="11417" spans="5:6" ht="15" customHeight="1" x14ac:dyDescent="0.2">
      <c r="E11417" s="18"/>
      <c r="F11417" s="18"/>
    </row>
    <row r="11418" spans="5:6" ht="15" customHeight="1" x14ac:dyDescent="0.2">
      <c r="E11418" s="18"/>
      <c r="F11418" s="18"/>
    </row>
    <row r="11419" spans="5:6" ht="15" customHeight="1" x14ac:dyDescent="0.2">
      <c r="E11419" s="18"/>
      <c r="F11419" s="18"/>
    </row>
    <row r="11420" spans="5:6" ht="15" customHeight="1" x14ac:dyDescent="0.2">
      <c r="E11420" s="18"/>
      <c r="F11420" s="18"/>
    </row>
    <row r="11421" spans="5:6" ht="15" customHeight="1" x14ac:dyDescent="0.2">
      <c r="E11421" s="18"/>
      <c r="F11421" s="18"/>
    </row>
    <row r="11422" spans="5:6" ht="15" customHeight="1" x14ac:dyDescent="0.2">
      <c r="E11422" s="18"/>
      <c r="F11422" s="18"/>
    </row>
    <row r="11423" spans="5:6" ht="15" customHeight="1" x14ac:dyDescent="0.2">
      <c r="E11423" s="18"/>
      <c r="F11423" s="18"/>
    </row>
    <row r="11424" spans="5:6" ht="15" customHeight="1" x14ac:dyDescent="0.2">
      <c r="E11424" s="18"/>
      <c r="F11424" s="18"/>
    </row>
    <row r="11425" spans="5:6" ht="15" customHeight="1" x14ac:dyDescent="0.2">
      <c r="E11425" s="18"/>
      <c r="F11425" s="18"/>
    </row>
    <row r="11426" spans="5:6" ht="15" customHeight="1" x14ac:dyDescent="0.2">
      <c r="E11426" s="18"/>
      <c r="F11426" s="18"/>
    </row>
    <row r="11427" spans="5:6" ht="15" customHeight="1" x14ac:dyDescent="0.2">
      <c r="E11427" s="18"/>
      <c r="F11427" s="18"/>
    </row>
    <row r="11428" spans="5:6" ht="15" customHeight="1" x14ac:dyDescent="0.2">
      <c r="E11428" s="18"/>
      <c r="F11428" s="18"/>
    </row>
    <row r="11429" spans="5:6" ht="15" customHeight="1" x14ac:dyDescent="0.2">
      <c r="E11429" s="18"/>
      <c r="F11429" s="18"/>
    </row>
    <row r="11430" spans="5:6" ht="15" customHeight="1" x14ac:dyDescent="0.2">
      <c r="E11430" s="18"/>
      <c r="F11430" s="18"/>
    </row>
    <row r="11431" spans="5:6" ht="15" customHeight="1" x14ac:dyDescent="0.2">
      <c r="E11431" s="18"/>
      <c r="F11431" s="18"/>
    </row>
    <row r="11432" spans="5:6" ht="15" customHeight="1" x14ac:dyDescent="0.2">
      <c r="E11432" s="18"/>
      <c r="F11432" s="18"/>
    </row>
    <row r="11433" spans="5:6" ht="15" customHeight="1" x14ac:dyDescent="0.2">
      <c r="E11433" s="18"/>
      <c r="F11433" s="18"/>
    </row>
    <row r="11434" spans="5:6" ht="15" customHeight="1" x14ac:dyDescent="0.2">
      <c r="E11434" s="18"/>
      <c r="F11434" s="18"/>
    </row>
    <row r="11435" spans="5:6" ht="15" customHeight="1" x14ac:dyDescent="0.2">
      <c r="E11435" s="18"/>
      <c r="F11435" s="18"/>
    </row>
    <row r="11436" spans="5:6" ht="15" customHeight="1" x14ac:dyDescent="0.2">
      <c r="E11436" s="18"/>
      <c r="F11436" s="18"/>
    </row>
    <row r="11437" spans="5:6" ht="15" customHeight="1" x14ac:dyDescent="0.2">
      <c r="E11437" s="18"/>
      <c r="F11437" s="18"/>
    </row>
    <row r="11438" spans="5:6" ht="15" customHeight="1" x14ac:dyDescent="0.2">
      <c r="E11438" s="18"/>
      <c r="F11438" s="18"/>
    </row>
    <row r="11439" spans="5:6" ht="15" customHeight="1" x14ac:dyDescent="0.2">
      <c r="E11439" s="18"/>
      <c r="F11439" s="18"/>
    </row>
    <row r="11440" spans="5:6" ht="15" customHeight="1" x14ac:dyDescent="0.2">
      <c r="E11440" s="18"/>
      <c r="F11440" s="18"/>
    </row>
    <row r="11441" spans="5:6" ht="15" customHeight="1" x14ac:dyDescent="0.2">
      <c r="E11441" s="18"/>
      <c r="F11441" s="18"/>
    </row>
    <row r="11442" spans="5:6" ht="15" customHeight="1" x14ac:dyDescent="0.2">
      <c r="E11442" s="18"/>
      <c r="F11442" s="18"/>
    </row>
    <row r="11443" spans="5:6" ht="15" customHeight="1" x14ac:dyDescent="0.2">
      <c r="E11443" s="18"/>
      <c r="F11443" s="18"/>
    </row>
    <row r="11444" spans="5:6" ht="15" customHeight="1" x14ac:dyDescent="0.2">
      <c r="E11444" s="18"/>
      <c r="F11444" s="18"/>
    </row>
    <row r="11445" spans="5:6" ht="15" customHeight="1" x14ac:dyDescent="0.2">
      <c r="E11445" s="18"/>
      <c r="F11445" s="18"/>
    </row>
    <row r="11446" spans="5:6" ht="15" customHeight="1" x14ac:dyDescent="0.2">
      <c r="E11446" s="18"/>
      <c r="F11446" s="18"/>
    </row>
    <row r="11447" spans="5:6" ht="15" customHeight="1" x14ac:dyDescent="0.2">
      <c r="E11447" s="18"/>
      <c r="F11447" s="18"/>
    </row>
    <row r="11448" spans="5:6" ht="15" customHeight="1" x14ac:dyDescent="0.2">
      <c r="E11448" s="18"/>
      <c r="F11448" s="18"/>
    </row>
    <row r="11449" spans="5:6" ht="15" customHeight="1" x14ac:dyDescent="0.2">
      <c r="E11449" s="18"/>
      <c r="F11449" s="18"/>
    </row>
    <row r="11450" spans="5:6" ht="15" customHeight="1" x14ac:dyDescent="0.2">
      <c r="E11450" s="18"/>
      <c r="F11450" s="18"/>
    </row>
    <row r="11451" spans="5:6" ht="15" customHeight="1" x14ac:dyDescent="0.2">
      <c r="E11451" s="18"/>
      <c r="F11451" s="18"/>
    </row>
    <row r="11452" spans="5:6" ht="15" customHeight="1" x14ac:dyDescent="0.2">
      <c r="E11452" s="18"/>
      <c r="F11452" s="18"/>
    </row>
    <row r="11453" spans="5:6" ht="15" customHeight="1" x14ac:dyDescent="0.2">
      <c r="E11453" s="18"/>
      <c r="F11453" s="18"/>
    </row>
    <row r="11454" spans="5:6" ht="15" customHeight="1" x14ac:dyDescent="0.2">
      <c r="E11454" s="18"/>
      <c r="F11454" s="18"/>
    </row>
    <row r="11455" spans="5:6" ht="15" customHeight="1" x14ac:dyDescent="0.2">
      <c r="E11455" s="18"/>
      <c r="F11455" s="18"/>
    </row>
    <row r="11456" spans="5:6" ht="15" customHeight="1" x14ac:dyDescent="0.2">
      <c r="E11456" s="18"/>
      <c r="F11456" s="18"/>
    </row>
    <row r="11457" spans="5:6" ht="15" customHeight="1" x14ac:dyDescent="0.2">
      <c r="E11457" s="18"/>
      <c r="F11457" s="18"/>
    </row>
    <row r="11458" spans="5:6" ht="15" customHeight="1" x14ac:dyDescent="0.2">
      <c r="E11458" s="18"/>
      <c r="F11458" s="18"/>
    </row>
    <row r="11459" spans="5:6" ht="15" customHeight="1" x14ac:dyDescent="0.2">
      <c r="E11459" s="18"/>
      <c r="F11459" s="18"/>
    </row>
    <row r="11460" spans="5:6" ht="15" customHeight="1" x14ac:dyDescent="0.2">
      <c r="E11460" s="18"/>
      <c r="F11460" s="18"/>
    </row>
    <row r="11461" spans="5:6" ht="15" customHeight="1" x14ac:dyDescent="0.2">
      <c r="E11461" s="18"/>
      <c r="F11461" s="18"/>
    </row>
    <row r="11462" spans="5:6" ht="15" customHeight="1" x14ac:dyDescent="0.2">
      <c r="E11462" s="18"/>
      <c r="F11462" s="18"/>
    </row>
    <row r="11463" spans="5:6" ht="15" customHeight="1" x14ac:dyDescent="0.2">
      <c r="E11463" s="18"/>
      <c r="F11463" s="18"/>
    </row>
    <row r="11464" spans="5:6" ht="15" customHeight="1" x14ac:dyDescent="0.2">
      <c r="E11464" s="18"/>
      <c r="F11464" s="18"/>
    </row>
    <row r="11465" spans="5:6" ht="15" customHeight="1" x14ac:dyDescent="0.2">
      <c r="E11465" s="18"/>
      <c r="F11465" s="18"/>
    </row>
    <row r="11466" spans="5:6" ht="15" customHeight="1" x14ac:dyDescent="0.2">
      <c r="E11466" s="18"/>
      <c r="F11466" s="18"/>
    </row>
    <row r="11467" spans="5:6" ht="15" customHeight="1" x14ac:dyDescent="0.2">
      <c r="E11467" s="18"/>
      <c r="F11467" s="18"/>
    </row>
    <row r="11468" spans="5:6" ht="15" customHeight="1" x14ac:dyDescent="0.2">
      <c r="E11468" s="18"/>
      <c r="F11468" s="18"/>
    </row>
    <row r="11469" spans="5:6" ht="15" customHeight="1" x14ac:dyDescent="0.2">
      <c r="E11469" s="18"/>
      <c r="F11469" s="18"/>
    </row>
    <row r="11470" spans="5:6" ht="15" customHeight="1" x14ac:dyDescent="0.2">
      <c r="E11470" s="18"/>
      <c r="F11470" s="18"/>
    </row>
    <row r="11471" spans="5:6" ht="15" customHeight="1" x14ac:dyDescent="0.2">
      <c r="E11471" s="18"/>
      <c r="F11471" s="18"/>
    </row>
    <row r="11472" spans="5:6" ht="15" customHeight="1" x14ac:dyDescent="0.2">
      <c r="E11472" s="18"/>
      <c r="F11472" s="18"/>
    </row>
    <row r="11473" spans="5:6" ht="15" customHeight="1" x14ac:dyDescent="0.2">
      <c r="E11473" s="18"/>
      <c r="F11473" s="18"/>
    </row>
    <row r="11474" spans="5:6" ht="15" customHeight="1" x14ac:dyDescent="0.2">
      <c r="E11474" s="18"/>
      <c r="F11474" s="18"/>
    </row>
    <row r="11475" spans="5:6" ht="15" customHeight="1" x14ac:dyDescent="0.2">
      <c r="E11475" s="18"/>
      <c r="F11475" s="18"/>
    </row>
    <row r="11476" spans="5:6" ht="15" customHeight="1" x14ac:dyDescent="0.2">
      <c r="E11476" s="18"/>
      <c r="F11476" s="18"/>
    </row>
    <row r="11477" spans="5:6" ht="15" customHeight="1" x14ac:dyDescent="0.2">
      <c r="E11477" s="18"/>
      <c r="F11477" s="18"/>
    </row>
    <row r="11478" spans="5:6" ht="15" customHeight="1" x14ac:dyDescent="0.2">
      <c r="E11478" s="18"/>
      <c r="F11478" s="18"/>
    </row>
    <row r="11479" spans="5:6" ht="15" customHeight="1" x14ac:dyDescent="0.2">
      <c r="E11479" s="18"/>
      <c r="F11479" s="18"/>
    </row>
    <row r="11480" spans="5:6" ht="15" customHeight="1" x14ac:dyDescent="0.2">
      <c r="E11480" s="18"/>
      <c r="F11480" s="18"/>
    </row>
    <row r="11481" spans="5:6" ht="15" customHeight="1" x14ac:dyDescent="0.2">
      <c r="E11481" s="18"/>
      <c r="F11481" s="18"/>
    </row>
    <row r="11482" spans="5:6" ht="15" customHeight="1" x14ac:dyDescent="0.2">
      <c r="E11482" s="18"/>
      <c r="F11482" s="18"/>
    </row>
    <row r="11483" spans="5:6" ht="15" customHeight="1" x14ac:dyDescent="0.2">
      <c r="E11483" s="18"/>
      <c r="F11483" s="18"/>
    </row>
    <row r="11484" spans="5:6" ht="15" customHeight="1" x14ac:dyDescent="0.2">
      <c r="E11484" s="18"/>
      <c r="F11484" s="18"/>
    </row>
    <row r="11485" spans="5:6" ht="15" customHeight="1" x14ac:dyDescent="0.2">
      <c r="E11485" s="18"/>
      <c r="F11485" s="18"/>
    </row>
    <row r="11486" spans="5:6" ht="15" customHeight="1" x14ac:dyDescent="0.2">
      <c r="E11486" s="18"/>
      <c r="F11486" s="18"/>
    </row>
    <row r="11487" spans="5:6" ht="15" customHeight="1" x14ac:dyDescent="0.2">
      <c r="E11487" s="18"/>
      <c r="F11487" s="18"/>
    </row>
    <row r="11488" spans="5:6" ht="15" customHeight="1" x14ac:dyDescent="0.2">
      <c r="E11488" s="18"/>
      <c r="F11488" s="18"/>
    </row>
    <row r="11489" spans="5:6" ht="15" customHeight="1" x14ac:dyDescent="0.2">
      <c r="E11489" s="18"/>
      <c r="F11489" s="18"/>
    </row>
    <row r="11490" spans="5:6" ht="15" customHeight="1" x14ac:dyDescent="0.2">
      <c r="E11490" s="18"/>
      <c r="F11490" s="18"/>
    </row>
    <row r="11491" spans="5:6" ht="15" customHeight="1" x14ac:dyDescent="0.2">
      <c r="E11491" s="18"/>
      <c r="F11491" s="18"/>
    </row>
    <row r="11492" spans="5:6" ht="15" customHeight="1" x14ac:dyDescent="0.2">
      <c r="E11492" s="18"/>
      <c r="F11492" s="18"/>
    </row>
    <row r="11493" spans="5:6" ht="15" customHeight="1" x14ac:dyDescent="0.2">
      <c r="E11493" s="18"/>
      <c r="F11493" s="18"/>
    </row>
    <row r="11494" spans="5:6" ht="15" customHeight="1" x14ac:dyDescent="0.2">
      <c r="E11494" s="18"/>
      <c r="F11494" s="18"/>
    </row>
    <row r="11495" spans="5:6" ht="15" customHeight="1" x14ac:dyDescent="0.2">
      <c r="E11495" s="18"/>
      <c r="F11495" s="18"/>
    </row>
    <row r="11496" spans="5:6" ht="15" customHeight="1" x14ac:dyDescent="0.2">
      <c r="E11496" s="18"/>
      <c r="F11496" s="18"/>
    </row>
    <row r="11497" spans="5:6" ht="15" customHeight="1" x14ac:dyDescent="0.2">
      <c r="E11497" s="18"/>
      <c r="F11497" s="18"/>
    </row>
    <row r="11498" spans="5:6" ht="15" customHeight="1" x14ac:dyDescent="0.2">
      <c r="E11498" s="18"/>
      <c r="F11498" s="18"/>
    </row>
    <row r="11499" spans="5:6" ht="15" customHeight="1" x14ac:dyDescent="0.2">
      <c r="E11499" s="18"/>
      <c r="F11499" s="18"/>
    </row>
    <row r="11500" spans="5:6" ht="15" customHeight="1" x14ac:dyDescent="0.2">
      <c r="E11500" s="18"/>
      <c r="F11500" s="18"/>
    </row>
    <row r="11501" spans="5:6" ht="15" customHeight="1" x14ac:dyDescent="0.2">
      <c r="E11501" s="18"/>
      <c r="F11501" s="18"/>
    </row>
    <row r="11502" spans="5:6" ht="15" customHeight="1" x14ac:dyDescent="0.2">
      <c r="E11502" s="18"/>
      <c r="F11502" s="18"/>
    </row>
    <row r="11503" spans="5:6" ht="15" customHeight="1" x14ac:dyDescent="0.2">
      <c r="E11503" s="18"/>
      <c r="F11503" s="18"/>
    </row>
    <row r="11504" spans="5:6" ht="15" customHeight="1" x14ac:dyDescent="0.2">
      <c r="E11504" s="18"/>
      <c r="F11504" s="18"/>
    </row>
    <row r="11505" spans="5:6" ht="15" customHeight="1" x14ac:dyDescent="0.2">
      <c r="E11505" s="18"/>
      <c r="F11505" s="18"/>
    </row>
    <row r="11506" spans="5:6" ht="15" customHeight="1" x14ac:dyDescent="0.2">
      <c r="E11506" s="18"/>
      <c r="F11506" s="18"/>
    </row>
    <row r="11507" spans="5:6" ht="15" customHeight="1" x14ac:dyDescent="0.2">
      <c r="E11507" s="18"/>
      <c r="F11507" s="18"/>
    </row>
    <row r="11508" spans="5:6" ht="15" customHeight="1" x14ac:dyDescent="0.2">
      <c r="E11508" s="18"/>
      <c r="F11508" s="18"/>
    </row>
    <row r="11509" spans="5:6" ht="15" customHeight="1" x14ac:dyDescent="0.2">
      <c r="E11509" s="18"/>
      <c r="F11509" s="18"/>
    </row>
    <row r="11510" spans="5:6" ht="15" customHeight="1" x14ac:dyDescent="0.2">
      <c r="E11510" s="18"/>
      <c r="F11510" s="18"/>
    </row>
    <row r="11511" spans="5:6" ht="15" customHeight="1" x14ac:dyDescent="0.2">
      <c r="E11511" s="18"/>
      <c r="F11511" s="18"/>
    </row>
    <row r="11512" spans="5:6" ht="15" customHeight="1" x14ac:dyDescent="0.2">
      <c r="E11512" s="18"/>
      <c r="F11512" s="18"/>
    </row>
    <row r="11513" spans="5:6" ht="15" customHeight="1" x14ac:dyDescent="0.2">
      <c r="E11513" s="18"/>
      <c r="F11513" s="18"/>
    </row>
    <row r="11514" spans="5:6" ht="15" customHeight="1" x14ac:dyDescent="0.2">
      <c r="E11514" s="18"/>
      <c r="F11514" s="18"/>
    </row>
    <row r="11515" spans="5:6" ht="15" customHeight="1" x14ac:dyDescent="0.2">
      <c r="E11515" s="18"/>
      <c r="F11515" s="18"/>
    </row>
    <row r="11516" spans="5:6" ht="15" customHeight="1" x14ac:dyDescent="0.2">
      <c r="E11516" s="18"/>
      <c r="F11516" s="18"/>
    </row>
    <row r="11517" spans="5:6" ht="15" customHeight="1" x14ac:dyDescent="0.2">
      <c r="E11517" s="18"/>
      <c r="F11517" s="18"/>
    </row>
    <row r="11518" spans="5:6" ht="15" customHeight="1" x14ac:dyDescent="0.2">
      <c r="E11518" s="18"/>
      <c r="F11518" s="18"/>
    </row>
    <row r="11519" spans="5:6" ht="15" customHeight="1" x14ac:dyDescent="0.2">
      <c r="E11519" s="18"/>
      <c r="F11519" s="18"/>
    </row>
    <row r="11520" spans="5:6" ht="15" customHeight="1" x14ac:dyDescent="0.2">
      <c r="E11520" s="18"/>
      <c r="F11520" s="18"/>
    </row>
    <row r="11521" spans="5:6" ht="15" customHeight="1" x14ac:dyDescent="0.2">
      <c r="E11521" s="18"/>
      <c r="F11521" s="18"/>
    </row>
    <row r="11522" spans="5:6" ht="15" customHeight="1" x14ac:dyDescent="0.2">
      <c r="E11522" s="18"/>
      <c r="F11522" s="18"/>
    </row>
    <row r="11523" spans="5:6" ht="15" customHeight="1" x14ac:dyDescent="0.2">
      <c r="E11523" s="18"/>
      <c r="F11523" s="18"/>
    </row>
    <row r="11524" spans="5:6" ht="15" customHeight="1" x14ac:dyDescent="0.2">
      <c r="E11524" s="18"/>
      <c r="F11524" s="18"/>
    </row>
    <row r="11525" spans="5:6" ht="15" customHeight="1" x14ac:dyDescent="0.2">
      <c r="E11525" s="18"/>
      <c r="F11525" s="18"/>
    </row>
    <row r="11526" spans="5:6" ht="15" customHeight="1" x14ac:dyDescent="0.2">
      <c r="E11526" s="18"/>
      <c r="F11526" s="18"/>
    </row>
    <row r="11527" spans="5:6" ht="15" customHeight="1" x14ac:dyDescent="0.2">
      <c r="E11527" s="18"/>
      <c r="F11527" s="18"/>
    </row>
    <row r="11528" spans="5:6" ht="15" customHeight="1" x14ac:dyDescent="0.2">
      <c r="E11528" s="18"/>
      <c r="F11528" s="18"/>
    </row>
    <row r="11529" spans="5:6" ht="15" customHeight="1" x14ac:dyDescent="0.2">
      <c r="E11529" s="18"/>
      <c r="F11529" s="18"/>
    </row>
    <row r="11530" spans="5:6" ht="15" customHeight="1" x14ac:dyDescent="0.2">
      <c r="E11530" s="18"/>
      <c r="F11530" s="18"/>
    </row>
    <row r="11531" spans="5:6" ht="15" customHeight="1" x14ac:dyDescent="0.2">
      <c r="E11531" s="18"/>
      <c r="F11531" s="18"/>
    </row>
    <row r="11532" spans="5:6" ht="15" customHeight="1" x14ac:dyDescent="0.2">
      <c r="E11532" s="18"/>
      <c r="F11532" s="18"/>
    </row>
    <row r="11533" spans="5:6" ht="15" customHeight="1" x14ac:dyDescent="0.2">
      <c r="E11533" s="18"/>
      <c r="F11533" s="18"/>
    </row>
    <row r="11534" spans="5:6" ht="15" customHeight="1" x14ac:dyDescent="0.2">
      <c r="E11534" s="18"/>
      <c r="F11534" s="18"/>
    </row>
    <row r="11535" spans="5:6" ht="15" customHeight="1" x14ac:dyDescent="0.2">
      <c r="E11535" s="18"/>
      <c r="F11535" s="18"/>
    </row>
    <row r="11536" spans="5:6" ht="15" customHeight="1" x14ac:dyDescent="0.2">
      <c r="E11536" s="18"/>
      <c r="F11536" s="18"/>
    </row>
    <row r="11537" spans="5:6" ht="15" customHeight="1" x14ac:dyDescent="0.2">
      <c r="E11537" s="18"/>
      <c r="F11537" s="18"/>
    </row>
    <row r="11538" spans="5:6" ht="15" customHeight="1" x14ac:dyDescent="0.2">
      <c r="E11538" s="18"/>
      <c r="F11538" s="18"/>
    </row>
    <row r="11539" spans="5:6" ht="15" customHeight="1" x14ac:dyDescent="0.2">
      <c r="E11539" s="18"/>
      <c r="F11539" s="18"/>
    </row>
    <row r="11540" spans="5:6" ht="15" customHeight="1" x14ac:dyDescent="0.2">
      <c r="E11540" s="18"/>
      <c r="F11540" s="18"/>
    </row>
    <row r="11541" spans="5:6" ht="15" customHeight="1" x14ac:dyDescent="0.2">
      <c r="E11541" s="18"/>
      <c r="F11541" s="18"/>
    </row>
    <row r="11542" spans="5:6" ht="15" customHeight="1" x14ac:dyDescent="0.2">
      <c r="E11542" s="18"/>
      <c r="F11542" s="18"/>
    </row>
    <row r="11543" spans="5:6" ht="15" customHeight="1" x14ac:dyDescent="0.2">
      <c r="E11543" s="18"/>
      <c r="F11543" s="18"/>
    </row>
    <row r="11544" spans="5:6" ht="15" customHeight="1" x14ac:dyDescent="0.2">
      <c r="E11544" s="18"/>
      <c r="F11544" s="18"/>
    </row>
    <row r="11545" spans="5:6" ht="15" customHeight="1" x14ac:dyDescent="0.2">
      <c r="E11545" s="18"/>
      <c r="F11545" s="18"/>
    </row>
    <row r="11546" spans="5:6" ht="15" customHeight="1" x14ac:dyDescent="0.2">
      <c r="E11546" s="18"/>
      <c r="F11546" s="18"/>
    </row>
    <row r="11547" spans="5:6" ht="15" customHeight="1" x14ac:dyDescent="0.2">
      <c r="E11547" s="18"/>
      <c r="F11547" s="18"/>
    </row>
    <row r="11548" spans="5:6" ht="15" customHeight="1" x14ac:dyDescent="0.2">
      <c r="E11548" s="18"/>
      <c r="F11548" s="18"/>
    </row>
    <row r="11549" spans="5:6" ht="15" customHeight="1" x14ac:dyDescent="0.2">
      <c r="E11549" s="18"/>
      <c r="F11549" s="18"/>
    </row>
    <row r="11550" spans="5:6" ht="15" customHeight="1" x14ac:dyDescent="0.2">
      <c r="E11550" s="18"/>
      <c r="F11550" s="18"/>
    </row>
    <row r="11551" spans="5:6" ht="15" customHeight="1" x14ac:dyDescent="0.2">
      <c r="E11551" s="18"/>
      <c r="F11551" s="18"/>
    </row>
    <row r="11552" spans="5:6" ht="15" customHeight="1" x14ac:dyDescent="0.2">
      <c r="E11552" s="18"/>
      <c r="F11552" s="18"/>
    </row>
    <row r="11553" spans="5:6" ht="15" customHeight="1" x14ac:dyDescent="0.2">
      <c r="E11553" s="18"/>
      <c r="F11553" s="18"/>
    </row>
    <row r="11554" spans="5:6" ht="15" customHeight="1" x14ac:dyDescent="0.2">
      <c r="E11554" s="18"/>
      <c r="F11554" s="18"/>
    </row>
    <row r="11555" spans="5:6" ht="15" customHeight="1" x14ac:dyDescent="0.2">
      <c r="E11555" s="18"/>
      <c r="F11555" s="18"/>
    </row>
    <row r="11556" spans="5:6" ht="15" customHeight="1" x14ac:dyDescent="0.2">
      <c r="E11556" s="18"/>
      <c r="F11556" s="18"/>
    </row>
    <row r="11557" spans="5:6" ht="15" customHeight="1" x14ac:dyDescent="0.2">
      <c r="E11557" s="18"/>
      <c r="F11557" s="18"/>
    </row>
    <row r="11558" spans="5:6" ht="15" customHeight="1" x14ac:dyDescent="0.2">
      <c r="E11558" s="18"/>
      <c r="F11558" s="18"/>
    </row>
    <row r="11559" spans="5:6" ht="15" customHeight="1" x14ac:dyDescent="0.2">
      <c r="E11559" s="18"/>
      <c r="F11559" s="18"/>
    </row>
    <row r="11560" spans="5:6" ht="15" customHeight="1" x14ac:dyDescent="0.2">
      <c r="E11560" s="18"/>
      <c r="F11560" s="18"/>
    </row>
    <row r="11561" spans="5:6" ht="15" customHeight="1" x14ac:dyDescent="0.2">
      <c r="E11561" s="18"/>
      <c r="F11561" s="18"/>
    </row>
    <row r="11562" spans="5:6" ht="15" customHeight="1" x14ac:dyDescent="0.2">
      <c r="E11562" s="18"/>
      <c r="F11562" s="18"/>
    </row>
    <row r="11563" spans="5:6" ht="15" customHeight="1" x14ac:dyDescent="0.2">
      <c r="E11563" s="18"/>
      <c r="F11563" s="18"/>
    </row>
    <row r="11564" spans="5:6" ht="15" customHeight="1" x14ac:dyDescent="0.2">
      <c r="E11564" s="18"/>
      <c r="F11564" s="18"/>
    </row>
    <row r="11565" spans="5:6" ht="15" customHeight="1" x14ac:dyDescent="0.2">
      <c r="E11565" s="18"/>
      <c r="F11565" s="18"/>
    </row>
    <row r="11566" spans="5:6" ht="15" customHeight="1" x14ac:dyDescent="0.2">
      <c r="E11566" s="18"/>
      <c r="F11566" s="18"/>
    </row>
    <row r="11567" spans="5:6" ht="15" customHeight="1" x14ac:dyDescent="0.2">
      <c r="E11567" s="18"/>
      <c r="F11567" s="18"/>
    </row>
    <row r="11568" spans="5:6" ht="15" customHeight="1" x14ac:dyDescent="0.2">
      <c r="E11568" s="18"/>
      <c r="F11568" s="18"/>
    </row>
    <row r="11569" spans="5:6" ht="15" customHeight="1" x14ac:dyDescent="0.2">
      <c r="E11569" s="18"/>
      <c r="F11569" s="18"/>
    </row>
    <row r="11570" spans="5:6" ht="15" customHeight="1" x14ac:dyDescent="0.2">
      <c r="E11570" s="18"/>
      <c r="F11570" s="18"/>
    </row>
    <row r="11571" spans="5:6" ht="15" customHeight="1" x14ac:dyDescent="0.2">
      <c r="E11571" s="18"/>
      <c r="F11571" s="18"/>
    </row>
    <row r="11572" spans="5:6" ht="15" customHeight="1" x14ac:dyDescent="0.2">
      <c r="E11572" s="18"/>
      <c r="F11572" s="18"/>
    </row>
    <row r="11573" spans="5:6" ht="15" customHeight="1" x14ac:dyDescent="0.2">
      <c r="E11573" s="18"/>
      <c r="F11573" s="18"/>
    </row>
    <row r="11574" spans="5:6" ht="15" customHeight="1" x14ac:dyDescent="0.2">
      <c r="E11574" s="18"/>
      <c r="F11574" s="18"/>
    </row>
    <row r="11575" spans="5:6" ht="15" customHeight="1" x14ac:dyDescent="0.2">
      <c r="E11575" s="18"/>
      <c r="F11575" s="18"/>
    </row>
    <row r="11576" spans="5:6" ht="15" customHeight="1" x14ac:dyDescent="0.2">
      <c r="E11576" s="18"/>
      <c r="F11576" s="18"/>
    </row>
    <row r="11577" spans="5:6" ht="15" customHeight="1" x14ac:dyDescent="0.2">
      <c r="E11577" s="18"/>
      <c r="F11577" s="18"/>
    </row>
    <row r="11578" spans="5:6" ht="15" customHeight="1" x14ac:dyDescent="0.2">
      <c r="E11578" s="18"/>
      <c r="F11578" s="18"/>
    </row>
    <row r="11579" spans="5:6" ht="15" customHeight="1" x14ac:dyDescent="0.2">
      <c r="E11579" s="18"/>
      <c r="F11579" s="18"/>
    </row>
    <row r="11580" spans="5:6" ht="15" customHeight="1" x14ac:dyDescent="0.2">
      <c r="E11580" s="18"/>
      <c r="F11580" s="18"/>
    </row>
    <row r="11581" spans="5:6" ht="15" customHeight="1" x14ac:dyDescent="0.2">
      <c r="E11581" s="18"/>
      <c r="F11581" s="18"/>
    </row>
    <row r="11582" spans="5:6" ht="15" customHeight="1" x14ac:dyDescent="0.2">
      <c r="E11582" s="18"/>
      <c r="F11582" s="18"/>
    </row>
    <row r="11583" spans="5:6" ht="15" customHeight="1" x14ac:dyDescent="0.2">
      <c r="E11583" s="18"/>
      <c r="F11583" s="18"/>
    </row>
    <row r="11584" spans="5:6" ht="15" customHeight="1" x14ac:dyDescent="0.2">
      <c r="E11584" s="18"/>
      <c r="F11584" s="18"/>
    </row>
    <row r="11585" spans="5:6" ht="15" customHeight="1" x14ac:dyDescent="0.2">
      <c r="E11585" s="18"/>
      <c r="F11585" s="18"/>
    </row>
    <row r="11586" spans="5:6" ht="15" customHeight="1" x14ac:dyDescent="0.2">
      <c r="E11586" s="18"/>
      <c r="F11586" s="18"/>
    </row>
    <row r="11587" spans="5:6" ht="15" customHeight="1" x14ac:dyDescent="0.2">
      <c r="E11587" s="18"/>
      <c r="F11587" s="18"/>
    </row>
    <row r="11588" spans="5:6" ht="15" customHeight="1" x14ac:dyDescent="0.2">
      <c r="E11588" s="18"/>
      <c r="F11588" s="18"/>
    </row>
    <row r="11589" spans="5:6" ht="15" customHeight="1" x14ac:dyDescent="0.2">
      <c r="E11589" s="18"/>
      <c r="F11589" s="18"/>
    </row>
    <row r="11590" spans="5:6" ht="15" customHeight="1" x14ac:dyDescent="0.2">
      <c r="E11590" s="18"/>
      <c r="F11590" s="18"/>
    </row>
    <row r="11591" spans="5:6" ht="15" customHeight="1" x14ac:dyDescent="0.2">
      <c r="E11591" s="18"/>
      <c r="F11591" s="18"/>
    </row>
    <row r="11592" spans="5:6" ht="15" customHeight="1" x14ac:dyDescent="0.2">
      <c r="E11592" s="18"/>
      <c r="F11592" s="18"/>
    </row>
    <row r="11593" spans="5:6" ht="15" customHeight="1" x14ac:dyDescent="0.2">
      <c r="E11593" s="18"/>
      <c r="F11593" s="18"/>
    </row>
    <row r="11594" spans="5:6" ht="15" customHeight="1" x14ac:dyDescent="0.2">
      <c r="E11594" s="18"/>
      <c r="F11594" s="18"/>
    </row>
    <row r="11595" spans="5:6" ht="15" customHeight="1" x14ac:dyDescent="0.2">
      <c r="E11595" s="18"/>
      <c r="F11595" s="18"/>
    </row>
    <row r="11596" spans="5:6" ht="15" customHeight="1" x14ac:dyDescent="0.2">
      <c r="E11596" s="18"/>
      <c r="F11596" s="18"/>
    </row>
    <row r="11597" spans="5:6" ht="15" customHeight="1" x14ac:dyDescent="0.2">
      <c r="E11597" s="18"/>
      <c r="F11597" s="18"/>
    </row>
    <row r="11598" spans="5:6" ht="15" customHeight="1" x14ac:dyDescent="0.2">
      <c r="E11598" s="18"/>
      <c r="F11598" s="18"/>
    </row>
    <row r="11599" spans="5:6" ht="15" customHeight="1" x14ac:dyDescent="0.2">
      <c r="E11599" s="18"/>
      <c r="F11599" s="18"/>
    </row>
    <row r="11600" spans="5:6" ht="15" customHeight="1" x14ac:dyDescent="0.2">
      <c r="E11600" s="18"/>
      <c r="F11600" s="18"/>
    </row>
    <row r="11601" spans="5:6" ht="15" customHeight="1" x14ac:dyDescent="0.2">
      <c r="E11601" s="18"/>
      <c r="F11601" s="18"/>
    </row>
    <row r="11602" spans="5:6" ht="15" customHeight="1" x14ac:dyDescent="0.2">
      <c r="E11602" s="18"/>
      <c r="F11602" s="18"/>
    </row>
    <row r="11603" spans="5:6" ht="15" customHeight="1" x14ac:dyDescent="0.2">
      <c r="E11603" s="18"/>
      <c r="F11603" s="18"/>
    </row>
    <row r="11604" spans="5:6" ht="15" customHeight="1" x14ac:dyDescent="0.2">
      <c r="E11604" s="18"/>
      <c r="F11604" s="18"/>
    </row>
    <row r="11605" spans="5:6" ht="15" customHeight="1" x14ac:dyDescent="0.2">
      <c r="E11605" s="18"/>
      <c r="F11605" s="18"/>
    </row>
    <row r="11606" spans="5:6" ht="15" customHeight="1" x14ac:dyDescent="0.2">
      <c r="E11606" s="18"/>
      <c r="F11606" s="18"/>
    </row>
    <row r="11607" spans="5:6" ht="15" customHeight="1" x14ac:dyDescent="0.2">
      <c r="E11607" s="18"/>
      <c r="F11607" s="18"/>
    </row>
    <row r="11608" spans="5:6" ht="15" customHeight="1" x14ac:dyDescent="0.2">
      <c r="E11608" s="18"/>
      <c r="F11608" s="18"/>
    </row>
    <row r="11609" spans="5:6" ht="15" customHeight="1" x14ac:dyDescent="0.2">
      <c r="E11609" s="18"/>
      <c r="F11609" s="18"/>
    </row>
    <row r="11610" spans="5:6" ht="15" customHeight="1" x14ac:dyDescent="0.2">
      <c r="E11610" s="18"/>
      <c r="F11610" s="18"/>
    </row>
    <row r="11611" spans="5:6" ht="15" customHeight="1" x14ac:dyDescent="0.2">
      <c r="E11611" s="18"/>
      <c r="F11611" s="18"/>
    </row>
    <row r="11612" spans="5:6" ht="15" customHeight="1" x14ac:dyDescent="0.2">
      <c r="E11612" s="18"/>
      <c r="F11612" s="18"/>
    </row>
    <row r="11613" spans="5:6" ht="15" customHeight="1" x14ac:dyDescent="0.2">
      <c r="E11613" s="18"/>
      <c r="F11613" s="18"/>
    </row>
    <row r="11614" spans="5:6" ht="15" customHeight="1" x14ac:dyDescent="0.2">
      <c r="E11614" s="18"/>
      <c r="F11614" s="18"/>
    </row>
    <row r="11615" spans="5:6" ht="15" customHeight="1" x14ac:dyDescent="0.2">
      <c r="E11615" s="18"/>
      <c r="F11615" s="18"/>
    </row>
    <row r="11616" spans="5:6" ht="15" customHeight="1" x14ac:dyDescent="0.2">
      <c r="E11616" s="18"/>
      <c r="F11616" s="18"/>
    </row>
    <row r="11617" spans="5:6" ht="15" customHeight="1" x14ac:dyDescent="0.2">
      <c r="E11617" s="18"/>
      <c r="F11617" s="18"/>
    </row>
    <row r="11618" spans="5:6" ht="15" customHeight="1" x14ac:dyDescent="0.2">
      <c r="E11618" s="18"/>
      <c r="F11618" s="18"/>
    </row>
    <row r="11619" spans="5:6" ht="15" customHeight="1" x14ac:dyDescent="0.2">
      <c r="E11619" s="18"/>
      <c r="F11619" s="18"/>
    </row>
    <row r="11620" spans="5:6" ht="15" customHeight="1" x14ac:dyDescent="0.2">
      <c r="E11620" s="18"/>
      <c r="F11620" s="18"/>
    </row>
    <row r="11621" spans="5:6" ht="15" customHeight="1" x14ac:dyDescent="0.2">
      <c r="E11621" s="18"/>
      <c r="F11621" s="18"/>
    </row>
    <row r="11622" spans="5:6" ht="15" customHeight="1" x14ac:dyDescent="0.2">
      <c r="E11622" s="18"/>
      <c r="F11622" s="18"/>
    </row>
    <row r="11623" spans="5:6" ht="15" customHeight="1" x14ac:dyDescent="0.2">
      <c r="E11623" s="18"/>
      <c r="F11623" s="18"/>
    </row>
    <row r="11624" spans="5:6" ht="15" customHeight="1" x14ac:dyDescent="0.2">
      <c r="E11624" s="18"/>
      <c r="F11624" s="18"/>
    </row>
    <row r="11625" spans="5:6" ht="15" customHeight="1" x14ac:dyDescent="0.2">
      <c r="E11625" s="18"/>
      <c r="F11625" s="18"/>
    </row>
    <row r="11626" spans="5:6" ht="15" customHeight="1" x14ac:dyDescent="0.2">
      <c r="E11626" s="18"/>
      <c r="F11626" s="18"/>
    </row>
    <row r="11627" spans="5:6" ht="15" customHeight="1" x14ac:dyDescent="0.2">
      <c r="E11627" s="18"/>
      <c r="F11627" s="18"/>
    </row>
    <row r="11628" spans="5:6" ht="15" customHeight="1" x14ac:dyDescent="0.2">
      <c r="E11628" s="18"/>
      <c r="F11628" s="18"/>
    </row>
    <row r="11629" spans="5:6" ht="15" customHeight="1" x14ac:dyDescent="0.2">
      <c r="E11629" s="18"/>
      <c r="F11629" s="18"/>
    </row>
    <row r="11630" spans="5:6" ht="15" customHeight="1" x14ac:dyDescent="0.2">
      <c r="E11630" s="18"/>
      <c r="F11630" s="18"/>
    </row>
    <row r="11631" spans="5:6" ht="15" customHeight="1" x14ac:dyDescent="0.2">
      <c r="E11631" s="18"/>
      <c r="F11631" s="18"/>
    </row>
    <row r="11632" spans="5:6" ht="15" customHeight="1" x14ac:dyDescent="0.2">
      <c r="E11632" s="18"/>
      <c r="F11632" s="18"/>
    </row>
    <row r="11633" spans="5:6" ht="15" customHeight="1" x14ac:dyDescent="0.2">
      <c r="E11633" s="18"/>
      <c r="F11633" s="18"/>
    </row>
    <row r="11634" spans="5:6" ht="15" customHeight="1" x14ac:dyDescent="0.2">
      <c r="E11634" s="18"/>
      <c r="F11634" s="18"/>
    </row>
    <row r="11635" spans="5:6" ht="15" customHeight="1" x14ac:dyDescent="0.2">
      <c r="E11635" s="18"/>
      <c r="F11635" s="18"/>
    </row>
    <row r="11636" spans="5:6" ht="15" customHeight="1" x14ac:dyDescent="0.2">
      <c r="E11636" s="18"/>
      <c r="F11636" s="18"/>
    </row>
    <row r="11637" spans="5:6" ht="15" customHeight="1" x14ac:dyDescent="0.2">
      <c r="E11637" s="18"/>
      <c r="F11637" s="18"/>
    </row>
    <row r="11638" spans="5:6" ht="15" customHeight="1" x14ac:dyDescent="0.2">
      <c r="E11638" s="18"/>
      <c r="F11638" s="18"/>
    </row>
    <row r="11639" spans="5:6" ht="15" customHeight="1" x14ac:dyDescent="0.2">
      <c r="E11639" s="18"/>
      <c r="F11639" s="18"/>
    </row>
    <row r="11640" spans="5:6" ht="15" customHeight="1" x14ac:dyDescent="0.2">
      <c r="E11640" s="18"/>
      <c r="F11640" s="18"/>
    </row>
    <row r="11641" spans="5:6" ht="15" customHeight="1" x14ac:dyDescent="0.2">
      <c r="E11641" s="18"/>
      <c r="F11641" s="18"/>
    </row>
    <row r="11642" spans="5:6" ht="15" customHeight="1" x14ac:dyDescent="0.2">
      <c r="E11642" s="18"/>
      <c r="F11642" s="18"/>
    </row>
    <row r="11643" spans="5:6" ht="15" customHeight="1" x14ac:dyDescent="0.2">
      <c r="E11643" s="18"/>
      <c r="F11643" s="18"/>
    </row>
    <row r="11644" spans="5:6" ht="15" customHeight="1" x14ac:dyDescent="0.2">
      <c r="E11644" s="18"/>
      <c r="F11644" s="18"/>
    </row>
    <row r="11645" spans="5:6" ht="15" customHeight="1" x14ac:dyDescent="0.2">
      <c r="E11645" s="18"/>
      <c r="F11645" s="18"/>
    </row>
    <row r="11646" spans="5:6" ht="15" customHeight="1" x14ac:dyDescent="0.2">
      <c r="E11646" s="18"/>
      <c r="F11646" s="18"/>
    </row>
    <row r="11647" spans="5:6" ht="15" customHeight="1" x14ac:dyDescent="0.2">
      <c r="E11647" s="18"/>
      <c r="F11647" s="18"/>
    </row>
    <row r="11648" spans="5:6" ht="15" customHeight="1" x14ac:dyDescent="0.2">
      <c r="E11648" s="18"/>
      <c r="F11648" s="18"/>
    </row>
    <row r="11649" spans="5:6" ht="15" customHeight="1" x14ac:dyDescent="0.2">
      <c r="E11649" s="18"/>
      <c r="F11649" s="18"/>
    </row>
    <row r="11650" spans="5:6" ht="15" customHeight="1" x14ac:dyDescent="0.2">
      <c r="E11650" s="18"/>
      <c r="F11650" s="18"/>
    </row>
    <row r="11651" spans="5:6" ht="15" customHeight="1" x14ac:dyDescent="0.2">
      <c r="E11651" s="18"/>
      <c r="F11651" s="18"/>
    </row>
    <row r="11652" spans="5:6" ht="15" customHeight="1" x14ac:dyDescent="0.2">
      <c r="E11652" s="18"/>
      <c r="F11652" s="18"/>
    </row>
    <row r="11653" spans="5:6" ht="15" customHeight="1" x14ac:dyDescent="0.2">
      <c r="E11653" s="18"/>
      <c r="F11653" s="18"/>
    </row>
    <row r="11654" spans="5:6" ht="15" customHeight="1" x14ac:dyDescent="0.2">
      <c r="E11654" s="18"/>
      <c r="F11654" s="18"/>
    </row>
    <row r="11655" spans="5:6" ht="15" customHeight="1" x14ac:dyDescent="0.2">
      <c r="E11655" s="18"/>
      <c r="F11655" s="18"/>
    </row>
    <row r="11656" spans="5:6" ht="15" customHeight="1" x14ac:dyDescent="0.2">
      <c r="E11656" s="18"/>
      <c r="F11656" s="18"/>
    </row>
    <row r="11657" spans="5:6" ht="15" customHeight="1" x14ac:dyDescent="0.2">
      <c r="E11657" s="18"/>
      <c r="F11657" s="18"/>
    </row>
    <row r="11658" spans="5:6" ht="15" customHeight="1" x14ac:dyDescent="0.2">
      <c r="E11658" s="18"/>
      <c r="F11658" s="18"/>
    </row>
    <row r="11659" spans="5:6" ht="15" customHeight="1" x14ac:dyDescent="0.2">
      <c r="E11659" s="18"/>
      <c r="F11659" s="18"/>
    </row>
    <row r="11660" spans="5:6" ht="15" customHeight="1" x14ac:dyDescent="0.2">
      <c r="E11660" s="18"/>
      <c r="F11660" s="18"/>
    </row>
    <row r="11661" spans="5:6" ht="15" customHeight="1" x14ac:dyDescent="0.2">
      <c r="E11661" s="18"/>
      <c r="F11661" s="18"/>
    </row>
    <row r="11662" spans="5:6" ht="15" customHeight="1" x14ac:dyDescent="0.2">
      <c r="E11662" s="18"/>
      <c r="F11662" s="18"/>
    </row>
    <row r="11663" spans="5:6" ht="15" customHeight="1" x14ac:dyDescent="0.2">
      <c r="E11663" s="18"/>
      <c r="F11663" s="18"/>
    </row>
    <row r="11664" spans="5:6" ht="15" customHeight="1" x14ac:dyDescent="0.2">
      <c r="E11664" s="18"/>
      <c r="F11664" s="18"/>
    </row>
    <row r="11665" spans="5:6" ht="15" customHeight="1" x14ac:dyDescent="0.2">
      <c r="E11665" s="18"/>
      <c r="F11665" s="18"/>
    </row>
    <row r="11666" spans="5:6" ht="15" customHeight="1" x14ac:dyDescent="0.2">
      <c r="E11666" s="18"/>
      <c r="F11666" s="18"/>
    </row>
    <row r="11667" spans="5:6" ht="15" customHeight="1" x14ac:dyDescent="0.2">
      <c r="E11667" s="18"/>
      <c r="F11667" s="18"/>
    </row>
    <row r="11668" spans="5:6" ht="15" customHeight="1" x14ac:dyDescent="0.2">
      <c r="E11668" s="18"/>
      <c r="F11668" s="18"/>
    </row>
    <row r="11669" spans="5:6" ht="15" customHeight="1" x14ac:dyDescent="0.2">
      <c r="E11669" s="18"/>
      <c r="F11669" s="18"/>
    </row>
    <row r="11670" spans="5:6" ht="15" customHeight="1" x14ac:dyDescent="0.2">
      <c r="E11670" s="18"/>
      <c r="F11670" s="18"/>
    </row>
    <row r="11671" spans="5:6" ht="15" customHeight="1" x14ac:dyDescent="0.2">
      <c r="E11671" s="18"/>
      <c r="F11671" s="18"/>
    </row>
    <row r="11672" spans="5:6" ht="15" customHeight="1" x14ac:dyDescent="0.2">
      <c r="E11672" s="18"/>
      <c r="F11672" s="18"/>
    </row>
    <row r="11673" spans="5:6" ht="15" customHeight="1" x14ac:dyDescent="0.2">
      <c r="E11673" s="18"/>
      <c r="F11673" s="18"/>
    </row>
    <row r="11674" spans="5:6" ht="15" customHeight="1" x14ac:dyDescent="0.2">
      <c r="E11674" s="18"/>
      <c r="F11674" s="18"/>
    </row>
    <row r="11675" spans="5:6" ht="15" customHeight="1" x14ac:dyDescent="0.2">
      <c r="E11675" s="18"/>
      <c r="F11675" s="18"/>
    </row>
    <row r="11676" spans="5:6" ht="15" customHeight="1" x14ac:dyDescent="0.2">
      <c r="E11676" s="18"/>
      <c r="F11676" s="18"/>
    </row>
    <row r="11677" spans="5:6" ht="15" customHeight="1" x14ac:dyDescent="0.2">
      <c r="E11677" s="18"/>
      <c r="F11677" s="18"/>
    </row>
    <row r="11678" spans="5:6" ht="15" customHeight="1" x14ac:dyDescent="0.2">
      <c r="E11678" s="18"/>
      <c r="F11678" s="18"/>
    </row>
    <row r="11679" spans="5:6" ht="15" customHeight="1" x14ac:dyDescent="0.2">
      <c r="E11679" s="18"/>
      <c r="F11679" s="18"/>
    </row>
    <row r="11680" spans="5:6" ht="15" customHeight="1" x14ac:dyDescent="0.2">
      <c r="E11680" s="18"/>
      <c r="F11680" s="18"/>
    </row>
    <row r="11681" spans="5:6" ht="15" customHeight="1" x14ac:dyDescent="0.2">
      <c r="E11681" s="18"/>
      <c r="F11681" s="18"/>
    </row>
    <row r="11682" spans="5:6" ht="15" customHeight="1" x14ac:dyDescent="0.2">
      <c r="E11682" s="18"/>
      <c r="F11682" s="18"/>
    </row>
    <row r="11683" spans="5:6" ht="15" customHeight="1" x14ac:dyDescent="0.2">
      <c r="E11683" s="18"/>
      <c r="F11683" s="18"/>
    </row>
    <row r="11684" spans="5:6" ht="15" customHeight="1" x14ac:dyDescent="0.2">
      <c r="E11684" s="18"/>
      <c r="F11684" s="18"/>
    </row>
    <row r="11685" spans="5:6" ht="15" customHeight="1" x14ac:dyDescent="0.2">
      <c r="E11685" s="18"/>
      <c r="F11685" s="18"/>
    </row>
    <row r="11686" spans="5:6" ht="15" customHeight="1" x14ac:dyDescent="0.2">
      <c r="E11686" s="18"/>
      <c r="F11686" s="18"/>
    </row>
    <row r="11687" spans="5:6" ht="15" customHeight="1" x14ac:dyDescent="0.2">
      <c r="E11687" s="18"/>
      <c r="F11687" s="18"/>
    </row>
    <row r="11688" spans="5:6" ht="15" customHeight="1" x14ac:dyDescent="0.2">
      <c r="E11688" s="18"/>
      <c r="F11688" s="18"/>
    </row>
    <row r="11689" spans="5:6" ht="15" customHeight="1" x14ac:dyDescent="0.2">
      <c r="E11689" s="18"/>
      <c r="F11689" s="18"/>
    </row>
    <row r="11690" spans="5:6" ht="15" customHeight="1" x14ac:dyDescent="0.2">
      <c r="E11690" s="18"/>
      <c r="F11690" s="18"/>
    </row>
    <row r="11691" spans="5:6" ht="15" customHeight="1" x14ac:dyDescent="0.2">
      <c r="E11691" s="18"/>
      <c r="F11691" s="18"/>
    </row>
    <row r="11692" spans="5:6" ht="15" customHeight="1" x14ac:dyDescent="0.2">
      <c r="E11692" s="18"/>
      <c r="F11692" s="18"/>
    </row>
    <row r="11693" spans="5:6" ht="15" customHeight="1" x14ac:dyDescent="0.2">
      <c r="E11693" s="18"/>
      <c r="F11693" s="18"/>
    </row>
    <row r="11694" spans="5:6" ht="15" customHeight="1" x14ac:dyDescent="0.2">
      <c r="E11694" s="18"/>
      <c r="F11694" s="18"/>
    </row>
    <row r="11695" spans="5:6" ht="15" customHeight="1" x14ac:dyDescent="0.2">
      <c r="E11695" s="18"/>
      <c r="F11695" s="18"/>
    </row>
    <row r="11696" spans="5:6" ht="15" customHeight="1" x14ac:dyDescent="0.2">
      <c r="E11696" s="18"/>
      <c r="F11696" s="18"/>
    </row>
    <row r="11697" spans="5:6" ht="15" customHeight="1" x14ac:dyDescent="0.2">
      <c r="E11697" s="18"/>
      <c r="F11697" s="18"/>
    </row>
    <row r="11698" spans="5:6" ht="15" customHeight="1" x14ac:dyDescent="0.2">
      <c r="E11698" s="18"/>
      <c r="F11698" s="18"/>
    </row>
    <row r="11699" spans="5:6" ht="15" customHeight="1" x14ac:dyDescent="0.2">
      <c r="E11699" s="18"/>
      <c r="F11699" s="18"/>
    </row>
    <row r="11700" spans="5:6" ht="15" customHeight="1" x14ac:dyDescent="0.2">
      <c r="E11700" s="18"/>
      <c r="F11700" s="18"/>
    </row>
    <row r="11701" spans="5:6" ht="15" customHeight="1" x14ac:dyDescent="0.2">
      <c r="E11701" s="18"/>
      <c r="F11701" s="18"/>
    </row>
    <row r="11702" spans="5:6" ht="15" customHeight="1" x14ac:dyDescent="0.2">
      <c r="E11702" s="18"/>
      <c r="F11702" s="18"/>
    </row>
    <row r="11703" spans="5:6" ht="15" customHeight="1" x14ac:dyDescent="0.2">
      <c r="E11703" s="18"/>
      <c r="F11703" s="18"/>
    </row>
    <row r="11704" spans="5:6" ht="15" customHeight="1" x14ac:dyDescent="0.2">
      <c r="E11704" s="18"/>
      <c r="F11704" s="18"/>
    </row>
    <row r="11705" spans="5:6" ht="15" customHeight="1" x14ac:dyDescent="0.2">
      <c r="E11705" s="18"/>
      <c r="F11705" s="18"/>
    </row>
    <row r="11706" spans="5:6" ht="15" customHeight="1" x14ac:dyDescent="0.2">
      <c r="E11706" s="18"/>
      <c r="F11706" s="18"/>
    </row>
    <row r="11707" spans="5:6" ht="15" customHeight="1" x14ac:dyDescent="0.2">
      <c r="E11707" s="18"/>
      <c r="F11707" s="18"/>
    </row>
    <row r="11708" spans="5:6" ht="15" customHeight="1" x14ac:dyDescent="0.2">
      <c r="E11708" s="18"/>
      <c r="F11708" s="18"/>
    </row>
    <row r="11709" spans="5:6" ht="15" customHeight="1" x14ac:dyDescent="0.2">
      <c r="E11709" s="18"/>
      <c r="F11709" s="18"/>
    </row>
    <row r="11710" spans="5:6" ht="15" customHeight="1" x14ac:dyDescent="0.2">
      <c r="E11710" s="18"/>
      <c r="F11710" s="18"/>
    </row>
    <row r="11711" spans="5:6" ht="15" customHeight="1" x14ac:dyDescent="0.2">
      <c r="E11711" s="18"/>
      <c r="F11711" s="18"/>
    </row>
    <row r="11712" spans="5:6" ht="15" customHeight="1" x14ac:dyDescent="0.2">
      <c r="E11712" s="18"/>
      <c r="F11712" s="18"/>
    </row>
    <row r="11713" spans="5:6" ht="15" customHeight="1" x14ac:dyDescent="0.2">
      <c r="E11713" s="18"/>
      <c r="F11713" s="18"/>
    </row>
    <row r="11714" spans="5:6" ht="15" customHeight="1" x14ac:dyDescent="0.2">
      <c r="E11714" s="18"/>
      <c r="F11714" s="18"/>
    </row>
    <row r="11715" spans="5:6" ht="15" customHeight="1" x14ac:dyDescent="0.2">
      <c r="E11715" s="18"/>
      <c r="F11715" s="18"/>
    </row>
    <row r="11716" spans="5:6" ht="15" customHeight="1" x14ac:dyDescent="0.2">
      <c r="E11716" s="18"/>
      <c r="F11716" s="18"/>
    </row>
    <row r="11717" spans="5:6" ht="15" customHeight="1" x14ac:dyDescent="0.2">
      <c r="E11717" s="18"/>
      <c r="F11717" s="18"/>
    </row>
    <row r="11718" spans="5:6" ht="15" customHeight="1" x14ac:dyDescent="0.2">
      <c r="E11718" s="18"/>
      <c r="F11718" s="18"/>
    </row>
    <row r="11719" spans="5:6" ht="15" customHeight="1" x14ac:dyDescent="0.2">
      <c r="E11719" s="18"/>
      <c r="F11719" s="18"/>
    </row>
    <row r="11720" spans="5:6" ht="15" customHeight="1" x14ac:dyDescent="0.2">
      <c r="E11720" s="18"/>
      <c r="F11720" s="18"/>
    </row>
    <row r="11721" spans="5:6" ht="15" customHeight="1" x14ac:dyDescent="0.2">
      <c r="E11721" s="18"/>
      <c r="F11721" s="18"/>
    </row>
    <row r="11722" spans="5:6" ht="15" customHeight="1" x14ac:dyDescent="0.2">
      <c r="E11722" s="18"/>
      <c r="F11722" s="18"/>
    </row>
    <row r="11723" spans="5:6" ht="15" customHeight="1" x14ac:dyDescent="0.2">
      <c r="E11723" s="18"/>
      <c r="F11723" s="18"/>
    </row>
    <row r="11724" spans="5:6" ht="15" customHeight="1" x14ac:dyDescent="0.2">
      <c r="E11724" s="18"/>
      <c r="F11724" s="18"/>
    </row>
    <row r="11725" spans="5:6" ht="15" customHeight="1" x14ac:dyDescent="0.2">
      <c r="E11725" s="18"/>
      <c r="F11725" s="18"/>
    </row>
    <row r="11726" spans="5:6" ht="15" customHeight="1" x14ac:dyDescent="0.2">
      <c r="E11726" s="18"/>
      <c r="F11726" s="18"/>
    </row>
    <row r="11727" spans="5:6" ht="15" customHeight="1" x14ac:dyDescent="0.2">
      <c r="E11727" s="18"/>
      <c r="F11727" s="18"/>
    </row>
    <row r="11728" spans="5:6" ht="15" customHeight="1" x14ac:dyDescent="0.2">
      <c r="E11728" s="18"/>
      <c r="F11728" s="18"/>
    </row>
    <row r="11729" spans="5:6" ht="15" customHeight="1" x14ac:dyDescent="0.2">
      <c r="E11729" s="18"/>
      <c r="F11729" s="18"/>
    </row>
    <row r="11730" spans="5:6" ht="15" customHeight="1" x14ac:dyDescent="0.2">
      <c r="E11730" s="18"/>
      <c r="F11730" s="18"/>
    </row>
    <row r="11731" spans="5:6" ht="15" customHeight="1" x14ac:dyDescent="0.2">
      <c r="E11731" s="18"/>
      <c r="F11731" s="18"/>
    </row>
    <row r="11732" spans="5:6" ht="15" customHeight="1" x14ac:dyDescent="0.2">
      <c r="E11732" s="18"/>
      <c r="F11732" s="18"/>
    </row>
    <row r="11733" spans="5:6" ht="15" customHeight="1" x14ac:dyDescent="0.2">
      <c r="E11733" s="18"/>
      <c r="F11733" s="18"/>
    </row>
    <row r="11734" spans="5:6" ht="15" customHeight="1" x14ac:dyDescent="0.2">
      <c r="E11734" s="18"/>
      <c r="F11734" s="18"/>
    </row>
    <row r="11735" spans="5:6" ht="15" customHeight="1" x14ac:dyDescent="0.2">
      <c r="E11735" s="18"/>
      <c r="F11735" s="18"/>
    </row>
    <row r="11736" spans="5:6" ht="15" customHeight="1" x14ac:dyDescent="0.2">
      <c r="E11736" s="18"/>
      <c r="F11736" s="18"/>
    </row>
    <row r="11737" spans="5:6" ht="15" customHeight="1" x14ac:dyDescent="0.2">
      <c r="E11737" s="18"/>
      <c r="F11737" s="18"/>
    </row>
    <row r="11738" spans="5:6" ht="15" customHeight="1" x14ac:dyDescent="0.2">
      <c r="E11738" s="18"/>
      <c r="F11738" s="18"/>
    </row>
    <row r="11739" spans="5:6" ht="15" customHeight="1" x14ac:dyDescent="0.2">
      <c r="E11739" s="18"/>
      <c r="F11739" s="18"/>
    </row>
    <row r="11740" spans="5:6" ht="15" customHeight="1" x14ac:dyDescent="0.2">
      <c r="E11740" s="18"/>
      <c r="F11740" s="18"/>
    </row>
    <row r="11741" spans="5:6" ht="15" customHeight="1" x14ac:dyDescent="0.2">
      <c r="E11741" s="18"/>
      <c r="F11741" s="18"/>
    </row>
    <row r="11742" spans="5:6" ht="15" customHeight="1" x14ac:dyDescent="0.2">
      <c r="E11742" s="18"/>
      <c r="F11742" s="18"/>
    </row>
    <row r="11743" spans="5:6" ht="15" customHeight="1" x14ac:dyDescent="0.2">
      <c r="E11743" s="18"/>
      <c r="F11743" s="18"/>
    </row>
    <row r="11744" spans="5:6" ht="15" customHeight="1" x14ac:dyDescent="0.2">
      <c r="E11744" s="18"/>
      <c r="F11744" s="18"/>
    </row>
    <row r="11745" spans="5:6" ht="15" customHeight="1" x14ac:dyDescent="0.2">
      <c r="E11745" s="18"/>
      <c r="F11745" s="18"/>
    </row>
    <row r="11746" spans="5:6" ht="15" customHeight="1" x14ac:dyDescent="0.2">
      <c r="E11746" s="18"/>
      <c r="F11746" s="18"/>
    </row>
    <row r="11747" spans="5:6" ht="15" customHeight="1" x14ac:dyDescent="0.2">
      <c r="E11747" s="18"/>
      <c r="F11747" s="18"/>
    </row>
    <row r="11748" spans="5:6" ht="15" customHeight="1" x14ac:dyDescent="0.2">
      <c r="E11748" s="18"/>
      <c r="F11748" s="18"/>
    </row>
    <row r="11749" spans="5:6" ht="15" customHeight="1" x14ac:dyDescent="0.2">
      <c r="E11749" s="18"/>
      <c r="F11749" s="18"/>
    </row>
    <row r="11750" spans="5:6" ht="15" customHeight="1" x14ac:dyDescent="0.2">
      <c r="E11750" s="18"/>
      <c r="F11750" s="18"/>
    </row>
    <row r="11751" spans="5:6" ht="15" customHeight="1" x14ac:dyDescent="0.2">
      <c r="E11751" s="18"/>
      <c r="F11751" s="18"/>
    </row>
    <row r="11752" spans="5:6" ht="15" customHeight="1" x14ac:dyDescent="0.2">
      <c r="E11752" s="18"/>
      <c r="F11752" s="18"/>
    </row>
    <row r="11753" spans="5:6" ht="15" customHeight="1" x14ac:dyDescent="0.2">
      <c r="E11753" s="18"/>
      <c r="F11753" s="18"/>
    </row>
    <row r="11754" spans="5:6" ht="15" customHeight="1" x14ac:dyDescent="0.2">
      <c r="E11754" s="18"/>
      <c r="F11754" s="18"/>
    </row>
    <row r="11755" spans="5:6" ht="15" customHeight="1" x14ac:dyDescent="0.2">
      <c r="E11755" s="18"/>
      <c r="F11755" s="18"/>
    </row>
    <row r="11756" spans="5:6" ht="15" customHeight="1" x14ac:dyDescent="0.2">
      <c r="E11756" s="18"/>
      <c r="F11756" s="18"/>
    </row>
    <row r="11757" spans="5:6" ht="15" customHeight="1" x14ac:dyDescent="0.2">
      <c r="E11757" s="18"/>
      <c r="F11757" s="18"/>
    </row>
    <row r="11758" spans="5:6" ht="15" customHeight="1" x14ac:dyDescent="0.2">
      <c r="E11758" s="18"/>
      <c r="F11758" s="18"/>
    </row>
    <row r="11759" spans="5:6" ht="15" customHeight="1" x14ac:dyDescent="0.2">
      <c r="E11759" s="18"/>
      <c r="F11759" s="18"/>
    </row>
    <row r="11760" spans="5:6" ht="15" customHeight="1" x14ac:dyDescent="0.2">
      <c r="E11760" s="18"/>
      <c r="F11760" s="18"/>
    </row>
    <row r="11761" spans="5:6" ht="15" customHeight="1" x14ac:dyDescent="0.2">
      <c r="E11761" s="18"/>
      <c r="F11761" s="18"/>
    </row>
    <row r="11762" spans="5:6" ht="15" customHeight="1" x14ac:dyDescent="0.2">
      <c r="E11762" s="18"/>
      <c r="F11762" s="18"/>
    </row>
    <row r="11763" spans="5:6" ht="15" customHeight="1" x14ac:dyDescent="0.2">
      <c r="E11763" s="18"/>
      <c r="F11763" s="18"/>
    </row>
    <row r="11764" spans="5:6" ht="15" customHeight="1" x14ac:dyDescent="0.2">
      <c r="E11764" s="18"/>
      <c r="F11764" s="18"/>
    </row>
    <row r="11765" spans="5:6" ht="15" customHeight="1" x14ac:dyDescent="0.2">
      <c r="E11765" s="18"/>
      <c r="F11765" s="18"/>
    </row>
    <row r="11766" spans="5:6" ht="15" customHeight="1" x14ac:dyDescent="0.2">
      <c r="E11766" s="18"/>
      <c r="F11766" s="18"/>
    </row>
    <row r="11767" spans="5:6" ht="15" customHeight="1" x14ac:dyDescent="0.2">
      <c r="E11767" s="18"/>
      <c r="F11767" s="18"/>
    </row>
    <row r="11768" spans="5:6" ht="15" customHeight="1" x14ac:dyDescent="0.2">
      <c r="E11768" s="18"/>
      <c r="F11768" s="18"/>
    </row>
    <row r="11769" spans="5:6" ht="15" customHeight="1" x14ac:dyDescent="0.2">
      <c r="E11769" s="18"/>
      <c r="F11769" s="18"/>
    </row>
    <row r="11770" spans="5:6" ht="15" customHeight="1" x14ac:dyDescent="0.2">
      <c r="E11770" s="18"/>
      <c r="F11770" s="18"/>
    </row>
    <row r="11771" spans="5:6" ht="15" customHeight="1" x14ac:dyDescent="0.2">
      <c r="E11771" s="18"/>
      <c r="F11771" s="18"/>
    </row>
    <row r="11772" spans="5:6" ht="15" customHeight="1" x14ac:dyDescent="0.2">
      <c r="E11772" s="18"/>
      <c r="F11772" s="18"/>
    </row>
    <row r="11773" spans="5:6" ht="15" customHeight="1" x14ac:dyDescent="0.2">
      <c r="E11773" s="18"/>
      <c r="F11773" s="18"/>
    </row>
    <row r="11774" spans="5:6" ht="15" customHeight="1" x14ac:dyDescent="0.2">
      <c r="E11774" s="18"/>
      <c r="F11774" s="18"/>
    </row>
    <row r="11775" spans="5:6" ht="15" customHeight="1" x14ac:dyDescent="0.2">
      <c r="E11775" s="18"/>
      <c r="F11775" s="18"/>
    </row>
    <row r="11776" spans="5:6" ht="15" customHeight="1" x14ac:dyDescent="0.2">
      <c r="E11776" s="18"/>
      <c r="F11776" s="18"/>
    </row>
    <row r="11777" spans="5:6" ht="15" customHeight="1" x14ac:dyDescent="0.2">
      <c r="E11777" s="18"/>
      <c r="F11777" s="18"/>
    </row>
    <row r="11778" spans="5:6" ht="15" customHeight="1" x14ac:dyDescent="0.2">
      <c r="E11778" s="18"/>
      <c r="F11778" s="18"/>
    </row>
    <row r="11779" spans="5:6" ht="15" customHeight="1" x14ac:dyDescent="0.2">
      <c r="E11779" s="18"/>
      <c r="F11779" s="18"/>
    </row>
    <row r="11780" spans="5:6" ht="15" customHeight="1" x14ac:dyDescent="0.2">
      <c r="E11780" s="18"/>
      <c r="F11780" s="18"/>
    </row>
    <row r="11781" spans="5:6" ht="15" customHeight="1" x14ac:dyDescent="0.2">
      <c r="E11781" s="18"/>
      <c r="F11781" s="18"/>
    </row>
    <row r="11782" spans="5:6" ht="15" customHeight="1" x14ac:dyDescent="0.2">
      <c r="E11782" s="18"/>
      <c r="F11782" s="18"/>
    </row>
    <row r="11783" spans="5:6" ht="15" customHeight="1" x14ac:dyDescent="0.2">
      <c r="E11783" s="18"/>
      <c r="F11783" s="18"/>
    </row>
    <row r="11784" spans="5:6" ht="15" customHeight="1" x14ac:dyDescent="0.2">
      <c r="E11784" s="18"/>
      <c r="F11784" s="18"/>
    </row>
    <row r="11785" spans="5:6" ht="15" customHeight="1" x14ac:dyDescent="0.2">
      <c r="E11785" s="18"/>
      <c r="F11785" s="18"/>
    </row>
    <row r="11786" spans="5:6" ht="15" customHeight="1" x14ac:dyDescent="0.2">
      <c r="E11786" s="18"/>
      <c r="F11786" s="18"/>
    </row>
    <row r="11787" spans="5:6" ht="15" customHeight="1" x14ac:dyDescent="0.2">
      <c r="E11787" s="18"/>
      <c r="F11787" s="18"/>
    </row>
    <row r="11788" spans="5:6" ht="15" customHeight="1" x14ac:dyDescent="0.2">
      <c r="E11788" s="18"/>
      <c r="F11788" s="18"/>
    </row>
    <row r="11789" spans="5:6" ht="15" customHeight="1" x14ac:dyDescent="0.2">
      <c r="E11789" s="18"/>
      <c r="F11789" s="18"/>
    </row>
    <row r="11790" spans="5:6" ht="15" customHeight="1" x14ac:dyDescent="0.2">
      <c r="E11790" s="18"/>
      <c r="F11790" s="18"/>
    </row>
    <row r="11791" spans="5:6" ht="15" customHeight="1" x14ac:dyDescent="0.2">
      <c r="E11791" s="18"/>
      <c r="F11791" s="18"/>
    </row>
    <row r="11792" spans="5:6" ht="15" customHeight="1" x14ac:dyDescent="0.2">
      <c r="E11792" s="18"/>
      <c r="F11792" s="18"/>
    </row>
    <row r="11793" spans="5:6" ht="15" customHeight="1" x14ac:dyDescent="0.2">
      <c r="E11793" s="18"/>
      <c r="F11793" s="18"/>
    </row>
    <row r="11794" spans="5:6" ht="15" customHeight="1" x14ac:dyDescent="0.2">
      <c r="E11794" s="18"/>
      <c r="F11794" s="18"/>
    </row>
    <row r="11795" spans="5:6" ht="15" customHeight="1" x14ac:dyDescent="0.2">
      <c r="E11795" s="18"/>
      <c r="F11795" s="18"/>
    </row>
    <row r="11796" spans="5:6" ht="15" customHeight="1" x14ac:dyDescent="0.2">
      <c r="E11796" s="18"/>
      <c r="F11796" s="18"/>
    </row>
    <row r="11797" spans="5:6" ht="15" customHeight="1" x14ac:dyDescent="0.2">
      <c r="E11797" s="18"/>
      <c r="F11797" s="18"/>
    </row>
    <row r="11798" spans="5:6" ht="15" customHeight="1" x14ac:dyDescent="0.2">
      <c r="E11798" s="18"/>
      <c r="F11798" s="18"/>
    </row>
    <row r="11799" spans="5:6" ht="15" customHeight="1" x14ac:dyDescent="0.2">
      <c r="E11799" s="18"/>
      <c r="F11799" s="18"/>
    </row>
    <row r="11800" spans="5:6" ht="15" customHeight="1" x14ac:dyDescent="0.2">
      <c r="E11800" s="18"/>
      <c r="F11800" s="18"/>
    </row>
    <row r="11801" spans="5:6" ht="15" customHeight="1" x14ac:dyDescent="0.2">
      <c r="E11801" s="18"/>
      <c r="F11801" s="18"/>
    </row>
    <row r="11802" spans="5:6" ht="15" customHeight="1" x14ac:dyDescent="0.2">
      <c r="E11802" s="18"/>
      <c r="F11802" s="18"/>
    </row>
    <row r="11803" spans="5:6" ht="15" customHeight="1" x14ac:dyDescent="0.2">
      <c r="E11803" s="18"/>
      <c r="F11803" s="18"/>
    </row>
    <row r="11804" spans="5:6" ht="15" customHeight="1" x14ac:dyDescent="0.2">
      <c r="E11804" s="18"/>
      <c r="F11804" s="18"/>
    </row>
    <row r="11805" spans="5:6" ht="15" customHeight="1" x14ac:dyDescent="0.2">
      <c r="E11805" s="18"/>
      <c r="F11805" s="18"/>
    </row>
    <row r="11806" spans="5:6" ht="15" customHeight="1" x14ac:dyDescent="0.2">
      <c r="E11806" s="18"/>
      <c r="F11806" s="18"/>
    </row>
    <row r="11807" spans="5:6" ht="15" customHeight="1" x14ac:dyDescent="0.2">
      <c r="E11807" s="18"/>
      <c r="F11807" s="18"/>
    </row>
    <row r="11808" spans="5:6" ht="15" customHeight="1" x14ac:dyDescent="0.2">
      <c r="E11808" s="18"/>
      <c r="F11808" s="18"/>
    </row>
    <row r="11809" spans="5:6" ht="15" customHeight="1" x14ac:dyDescent="0.2">
      <c r="E11809" s="18"/>
      <c r="F11809" s="18"/>
    </row>
    <row r="11810" spans="5:6" ht="15" customHeight="1" x14ac:dyDescent="0.2">
      <c r="E11810" s="18"/>
      <c r="F11810" s="18"/>
    </row>
    <row r="11811" spans="5:6" ht="15" customHeight="1" x14ac:dyDescent="0.2">
      <c r="E11811" s="18"/>
      <c r="F11811" s="18"/>
    </row>
    <row r="11812" spans="5:6" ht="15" customHeight="1" x14ac:dyDescent="0.2">
      <c r="E11812" s="18"/>
      <c r="F11812" s="18"/>
    </row>
    <row r="11813" spans="5:6" ht="15" customHeight="1" x14ac:dyDescent="0.2">
      <c r="E11813" s="18"/>
      <c r="F11813" s="18"/>
    </row>
    <row r="11814" spans="5:6" ht="15" customHeight="1" x14ac:dyDescent="0.2">
      <c r="E11814" s="18"/>
      <c r="F11814" s="18"/>
    </row>
    <row r="11815" spans="5:6" ht="15" customHeight="1" x14ac:dyDescent="0.2">
      <c r="E11815" s="18"/>
      <c r="F11815" s="18"/>
    </row>
    <row r="11816" spans="5:6" ht="15" customHeight="1" x14ac:dyDescent="0.2">
      <c r="E11816" s="18"/>
      <c r="F11816" s="18"/>
    </row>
    <row r="11817" spans="5:6" ht="15" customHeight="1" x14ac:dyDescent="0.2">
      <c r="E11817" s="18"/>
      <c r="F11817" s="18"/>
    </row>
    <row r="11818" spans="5:6" ht="15" customHeight="1" x14ac:dyDescent="0.2">
      <c r="E11818" s="18"/>
      <c r="F11818" s="18"/>
    </row>
    <row r="11819" spans="5:6" ht="15" customHeight="1" x14ac:dyDescent="0.2">
      <c r="E11819" s="18"/>
      <c r="F11819" s="18"/>
    </row>
    <row r="11820" spans="5:6" ht="15" customHeight="1" x14ac:dyDescent="0.2">
      <c r="E11820" s="18"/>
      <c r="F11820" s="18"/>
    </row>
    <row r="11821" spans="5:6" ht="15" customHeight="1" x14ac:dyDescent="0.2">
      <c r="E11821" s="18"/>
      <c r="F11821" s="18"/>
    </row>
    <row r="11822" spans="5:6" ht="15" customHeight="1" x14ac:dyDescent="0.2">
      <c r="E11822" s="18"/>
      <c r="F11822" s="18"/>
    </row>
    <row r="11823" spans="5:6" ht="15" customHeight="1" x14ac:dyDescent="0.2">
      <c r="E11823" s="18"/>
      <c r="F11823" s="18"/>
    </row>
    <row r="11824" spans="5:6" ht="15" customHeight="1" x14ac:dyDescent="0.2">
      <c r="E11824" s="18"/>
      <c r="F11824" s="18"/>
    </row>
    <row r="11825" spans="5:6" ht="15" customHeight="1" x14ac:dyDescent="0.2">
      <c r="E11825" s="18"/>
      <c r="F11825" s="18"/>
    </row>
    <row r="11826" spans="5:6" ht="15" customHeight="1" x14ac:dyDescent="0.2">
      <c r="E11826" s="18"/>
      <c r="F11826" s="18"/>
    </row>
    <row r="11827" spans="5:6" ht="15" customHeight="1" x14ac:dyDescent="0.2">
      <c r="E11827" s="18"/>
      <c r="F11827" s="18"/>
    </row>
    <row r="11828" spans="5:6" ht="15" customHeight="1" x14ac:dyDescent="0.2">
      <c r="E11828" s="18"/>
      <c r="F11828" s="18"/>
    </row>
    <row r="11829" spans="5:6" ht="15" customHeight="1" x14ac:dyDescent="0.2">
      <c r="E11829" s="18"/>
      <c r="F11829" s="18"/>
    </row>
    <row r="11830" spans="5:6" ht="15" customHeight="1" x14ac:dyDescent="0.2">
      <c r="E11830" s="18"/>
      <c r="F11830" s="18"/>
    </row>
    <row r="11831" spans="5:6" ht="15" customHeight="1" x14ac:dyDescent="0.2">
      <c r="E11831" s="18"/>
      <c r="F11831" s="18"/>
    </row>
    <row r="11832" spans="5:6" ht="15" customHeight="1" x14ac:dyDescent="0.2">
      <c r="E11832" s="18"/>
      <c r="F11832" s="18"/>
    </row>
    <row r="11833" spans="5:6" ht="15" customHeight="1" x14ac:dyDescent="0.2">
      <c r="E11833" s="18"/>
      <c r="F11833" s="18"/>
    </row>
    <row r="11834" spans="5:6" ht="15" customHeight="1" x14ac:dyDescent="0.2">
      <c r="E11834" s="18"/>
      <c r="F11834" s="18"/>
    </row>
    <row r="11835" spans="5:6" ht="15" customHeight="1" x14ac:dyDescent="0.2">
      <c r="E11835" s="18"/>
      <c r="F11835" s="18"/>
    </row>
    <row r="11836" spans="5:6" ht="15" customHeight="1" x14ac:dyDescent="0.2">
      <c r="E11836" s="18"/>
      <c r="F11836" s="18"/>
    </row>
    <row r="11837" spans="5:6" ht="15" customHeight="1" x14ac:dyDescent="0.2">
      <c r="E11837" s="18"/>
      <c r="F11837" s="18"/>
    </row>
    <row r="11838" spans="5:6" ht="15" customHeight="1" x14ac:dyDescent="0.2">
      <c r="E11838" s="18"/>
      <c r="F11838" s="18"/>
    </row>
    <row r="11839" spans="5:6" ht="15" customHeight="1" x14ac:dyDescent="0.2">
      <c r="E11839" s="18"/>
      <c r="F11839" s="18"/>
    </row>
    <row r="11840" spans="5:6" ht="15" customHeight="1" x14ac:dyDescent="0.2">
      <c r="E11840" s="18"/>
      <c r="F11840" s="18"/>
    </row>
    <row r="11841" spans="5:6" ht="15" customHeight="1" x14ac:dyDescent="0.2">
      <c r="E11841" s="18"/>
      <c r="F11841" s="18"/>
    </row>
    <row r="11842" spans="5:6" ht="15" customHeight="1" x14ac:dyDescent="0.2">
      <c r="E11842" s="18"/>
      <c r="F11842" s="18"/>
    </row>
    <row r="11843" spans="5:6" ht="15" customHeight="1" x14ac:dyDescent="0.2">
      <c r="E11843" s="18"/>
      <c r="F11843" s="18"/>
    </row>
    <row r="11844" spans="5:6" ht="15" customHeight="1" x14ac:dyDescent="0.2">
      <c r="E11844" s="18"/>
      <c r="F11844" s="18"/>
    </row>
    <row r="11845" spans="5:6" ht="15" customHeight="1" x14ac:dyDescent="0.2">
      <c r="E11845" s="18"/>
      <c r="F11845" s="18"/>
    </row>
    <row r="11846" spans="5:6" ht="15" customHeight="1" x14ac:dyDescent="0.2">
      <c r="E11846" s="18"/>
      <c r="F11846" s="18"/>
    </row>
    <row r="11847" spans="5:6" ht="15" customHeight="1" x14ac:dyDescent="0.2">
      <c r="E11847" s="18"/>
      <c r="F11847" s="18"/>
    </row>
    <row r="11848" spans="5:6" ht="15" customHeight="1" x14ac:dyDescent="0.2">
      <c r="E11848" s="18"/>
      <c r="F11848" s="18"/>
    </row>
    <row r="11849" spans="5:6" ht="15" customHeight="1" x14ac:dyDescent="0.2">
      <c r="E11849" s="18"/>
      <c r="F11849" s="18"/>
    </row>
    <row r="11850" spans="5:6" ht="15" customHeight="1" x14ac:dyDescent="0.2">
      <c r="E11850" s="18"/>
      <c r="F11850" s="18"/>
    </row>
    <row r="11851" spans="5:6" ht="15" customHeight="1" x14ac:dyDescent="0.2">
      <c r="E11851" s="18"/>
      <c r="F11851" s="18"/>
    </row>
    <row r="11852" spans="5:6" ht="15" customHeight="1" x14ac:dyDescent="0.2">
      <c r="E11852" s="18"/>
      <c r="F11852" s="18"/>
    </row>
    <row r="11853" spans="5:6" ht="15" customHeight="1" x14ac:dyDescent="0.2">
      <c r="E11853" s="18"/>
      <c r="F11853" s="18"/>
    </row>
    <row r="11854" spans="5:6" ht="15" customHeight="1" x14ac:dyDescent="0.2">
      <c r="E11854" s="18"/>
      <c r="F11854" s="18"/>
    </row>
    <row r="11855" spans="5:6" ht="15" customHeight="1" x14ac:dyDescent="0.2">
      <c r="E11855" s="18"/>
      <c r="F11855" s="18"/>
    </row>
    <row r="11856" spans="5:6" ht="15" customHeight="1" x14ac:dyDescent="0.2">
      <c r="E11856" s="18"/>
      <c r="F11856" s="18"/>
    </row>
    <row r="11857" spans="5:6" ht="15" customHeight="1" x14ac:dyDescent="0.2">
      <c r="E11857" s="18"/>
      <c r="F11857" s="18"/>
    </row>
    <row r="11858" spans="5:6" ht="15" customHeight="1" x14ac:dyDescent="0.2">
      <c r="E11858" s="18"/>
      <c r="F11858" s="18"/>
    </row>
    <row r="11859" spans="5:6" ht="15" customHeight="1" x14ac:dyDescent="0.2">
      <c r="E11859" s="18"/>
      <c r="F11859" s="18"/>
    </row>
    <row r="11860" spans="5:6" ht="15" customHeight="1" x14ac:dyDescent="0.2">
      <c r="E11860" s="18"/>
      <c r="F11860" s="18"/>
    </row>
    <row r="11861" spans="5:6" ht="15" customHeight="1" x14ac:dyDescent="0.2">
      <c r="E11861" s="18"/>
      <c r="F11861" s="18"/>
    </row>
    <row r="11862" spans="5:6" ht="15" customHeight="1" x14ac:dyDescent="0.2">
      <c r="E11862" s="18"/>
      <c r="F11862" s="18"/>
    </row>
    <row r="11863" spans="5:6" ht="15" customHeight="1" x14ac:dyDescent="0.2">
      <c r="E11863" s="18"/>
      <c r="F11863" s="18"/>
    </row>
    <row r="11864" spans="5:6" ht="15" customHeight="1" x14ac:dyDescent="0.2">
      <c r="E11864" s="18"/>
      <c r="F11864" s="18"/>
    </row>
    <row r="11865" spans="5:6" ht="15" customHeight="1" x14ac:dyDescent="0.2">
      <c r="E11865" s="18"/>
      <c r="F11865" s="18"/>
    </row>
    <row r="11866" spans="5:6" ht="15" customHeight="1" x14ac:dyDescent="0.2">
      <c r="E11866" s="18"/>
      <c r="F11866" s="18"/>
    </row>
    <row r="11867" spans="5:6" ht="15" customHeight="1" x14ac:dyDescent="0.2">
      <c r="E11867" s="18"/>
      <c r="F11867" s="18"/>
    </row>
    <row r="11868" spans="5:6" ht="15" customHeight="1" x14ac:dyDescent="0.2">
      <c r="E11868" s="18"/>
      <c r="F11868" s="18"/>
    </row>
    <row r="11869" spans="5:6" ht="15" customHeight="1" x14ac:dyDescent="0.2">
      <c r="E11869" s="18"/>
      <c r="F11869" s="18"/>
    </row>
    <row r="11870" spans="5:6" ht="15" customHeight="1" x14ac:dyDescent="0.2">
      <c r="E11870" s="18"/>
      <c r="F11870" s="18"/>
    </row>
    <row r="11871" spans="5:6" ht="15" customHeight="1" x14ac:dyDescent="0.2">
      <c r="E11871" s="18"/>
      <c r="F11871" s="18"/>
    </row>
    <row r="11872" spans="5:6" ht="15" customHeight="1" x14ac:dyDescent="0.2">
      <c r="E11872" s="18"/>
      <c r="F11872" s="18"/>
    </row>
    <row r="11873" spans="5:6" ht="15" customHeight="1" x14ac:dyDescent="0.2">
      <c r="E11873" s="18"/>
      <c r="F11873" s="18"/>
    </row>
    <row r="11874" spans="5:6" ht="15" customHeight="1" x14ac:dyDescent="0.2">
      <c r="E11874" s="18"/>
      <c r="F11874" s="18"/>
    </row>
    <row r="11875" spans="5:6" ht="15" customHeight="1" x14ac:dyDescent="0.2">
      <c r="E11875" s="18"/>
      <c r="F11875" s="18"/>
    </row>
    <row r="11876" spans="5:6" ht="15" customHeight="1" x14ac:dyDescent="0.2">
      <c r="E11876" s="18"/>
      <c r="F11876" s="18"/>
    </row>
    <row r="11877" spans="5:6" ht="15" customHeight="1" x14ac:dyDescent="0.2">
      <c r="E11877" s="18"/>
      <c r="F11877" s="18"/>
    </row>
    <row r="11878" spans="5:6" ht="15" customHeight="1" x14ac:dyDescent="0.2">
      <c r="E11878" s="18"/>
      <c r="F11878" s="18"/>
    </row>
    <row r="11879" spans="5:6" ht="15" customHeight="1" x14ac:dyDescent="0.2">
      <c r="E11879" s="18"/>
      <c r="F11879" s="18"/>
    </row>
    <row r="11880" spans="5:6" ht="15" customHeight="1" x14ac:dyDescent="0.2">
      <c r="E11880" s="18"/>
      <c r="F11880" s="18"/>
    </row>
    <row r="11881" spans="5:6" ht="15" customHeight="1" x14ac:dyDescent="0.2">
      <c r="E11881" s="18"/>
      <c r="F11881" s="18"/>
    </row>
    <row r="11882" spans="5:6" ht="15" customHeight="1" x14ac:dyDescent="0.2">
      <c r="E11882" s="18"/>
      <c r="F11882" s="18"/>
    </row>
    <row r="11883" spans="5:6" ht="15" customHeight="1" x14ac:dyDescent="0.2">
      <c r="E11883" s="18"/>
      <c r="F11883" s="18"/>
    </row>
    <row r="11884" spans="5:6" ht="15" customHeight="1" x14ac:dyDescent="0.2">
      <c r="E11884" s="18"/>
      <c r="F11884" s="18"/>
    </row>
    <row r="11885" spans="5:6" ht="15" customHeight="1" x14ac:dyDescent="0.2">
      <c r="E11885" s="18"/>
      <c r="F11885" s="18"/>
    </row>
    <row r="11886" spans="5:6" ht="15" customHeight="1" x14ac:dyDescent="0.2">
      <c r="E11886" s="18"/>
      <c r="F11886" s="18"/>
    </row>
    <row r="11887" spans="5:6" ht="15" customHeight="1" x14ac:dyDescent="0.2">
      <c r="E11887" s="18"/>
      <c r="F11887" s="18"/>
    </row>
    <row r="11888" spans="5:6" ht="15" customHeight="1" x14ac:dyDescent="0.2">
      <c r="E11888" s="18"/>
      <c r="F11888" s="18"/>
    </row>
    <row r="11889" spans="5:6" ht="15" customHeight="1" x14ac:dyDescent="0.2">
      <c r="E11889" s="18"/>
      <c r="F11889" s="18"/>
    </row>
    <row r="11890" spans="5:6" ht="15" customHeight="1" x14ac:dyDescent="0.2">
      <c r="E11890" s="18"/>
      <c r="F11890" s="18"/>
    </row>
    <row r="11891" spans="5:6" ht="15" customHeight="1" x14ac:dyDescent="0.2">
      <c r="E11891" s="18"/>
      <c r="F11891" s="18"/>
    </row>
    <row r="11892" spans="5:6" ht="15" customHeight="1" x14ac:dyDescent="0.2">
      <c r="E11892" s="18"/>
      <c r="F11892" s="18"/>
    </row>
    <row r="11893" spans="5:6" ht="15" customHeight="1" x14ac:dyDescent="0.2">
      <c r="E11893" s="18"/>
      <c r="F11893" s="18"/>
    </row>
    <row r="11894" spans="5:6" ht="15" customHeight="1" x14ac:dyDescent="0.2">
      <c r="E11894" s="18"/>
      <c r="F11894" s="18"/>
    </row>
    <row r="11895" spans="5:6" ht="15" customHeight="1" x14ac:dyDescent="0.2">
      <c r="E11895" s="18"/>
      <c r="F11895" s="18"/>
    </row>
    <row r="11896" spans="5:6" ht="15" customHeight="1" x14ac:dyDescent="0.2">
      <c r="E11896" s="18"/>
      <c r="F11896" s="18"/>
    </row>
    <row r="11897" spans="5:6" ht="15" customHeight="1" x14ac:dyDescent="0.2">
      <c r="E11897" s="18"/>
      <c r="F11897" s="18"/>
    </row>
    <row r="11898" spans="5:6" ht="15" customHeight="1" x14ac:dyDescent="0.2">
      <c r="E11898" s="18"/>
      <c r="F11898" s="18"/>
    </row>
    <row r="11899" spans="5:6" ht="15" customHeight="1" x14ac:dyDescent="0.2">
      <c r="E11899" s="18"/>
      <c r="F11899" s="18"/>
    </row>
    <row r="11900" spans="5:6" ht="15" customHeight="1" x14ac:dyDescent="0.2">
      <c r="E11900" s="18"/>
      <c r="F11900" s="18"/>
    </row>
    <row r="11901" spans="5:6" ht="15" customHeight="1" x14ac:dyDescent="0.2">
      <c r="E11901" s="18"/>
      <c r="F11901" s="18"/>
    </row>
    <row r="11902" spans="5:6" ht="15" customHeight="1" x14ac:dyDescent="0.2">
      <c r="E11902" s="18"/>
      <c r="F11902" s="18"/>
    </row>
    <row r="11903" spans="5:6" ht="15" customHeight="1" x14ac:dyDescent="0.2">
      <c r="E11903" s="18"/>
      <c r="F11903" s="18"/>
    </row>
    <row r="11904" spans="5:6" ht="15" customHeight="1" x14ac:dyDescent="0.2">
      <c r="E11904" s="18"/>
      <c r="F11904" s="18"/>
    </row>
    <row r="11905" spans="5:6" ht="15" customHeight="1" x14ac:dyDescent="0.2">
      <c r="E11905" s="18"/>
      <c r="F11905" s="18"/>
    </row>
    <row r="11906" spans="5:6" ht="15" customHeight="1" x14ac:dyDescent="0.2">
      <c r="E11906" s="18"/>
      <c r="F11906" s="18"/>
    </row>
    <row r="11907" spans="5:6" ht="15" customHeight="1" x14ac:dyDescent="0.2">
      <c r="E11907" s="18"/>
      <c r="F11907" s="18"/>
    </row>
    <row r="11908" spans="5:6" ht="15" customHeight="1" x14ac:dyDescent="0.2">
      <c r="E11908" s="18"/>
      <c r="F11908" s="18"/>
    </row>
    <row r="11909" spans="5:6" ht="15" customHeight="1" x14ac:dyDescent="0.2">
      <c r="E11909" s="18"/>
      <c r="F11909" s="18"/>
    </row>
    <row r="11910" spans="5:6" ht="15" customHeight="1" x14ac:dyDescent="0.2">
      <c r="E11910" s="18"/>
      <c r="F11910" s="18"/>
    </row>
    <row r="11911" spans="5:6" ht="15" customHeight="1" x14ac:dyDescent="0.2">
      <c r="E11911" s="18"/>
      <c r="F11911" s="18"/>
    </row>
    <row r="11912" spans="5:6" ht="15" customHeight="1" x14ac:dyDescent="0.2">
      <c r="E11912" s="18"/>
      <c r="F11912" s="18"/>
    </row>
    <row r="11913" spans="5:6" ht="15" customHeight="1" x14ac:dyDescent="0.2">
      <c r="E11913" s="18"/>
      <c r="F11913" s="18"/>
    </row>
    <row r="11914" spans="5:6" ht="15" customHeight="1" x14ac:dyDescent="0.2">
      <c r="E11914" s="18"/>
      <c r="F11914" s="18"/>
    </row>
    <row r="11915" spans="5:6" ht="15" customHeight="1" x14ac:dyDescent="0.2">
      <c r="E11915" s="18"/>
      <c r="F11915" s="18"/>
    </row>
    <row r="11916" spans="5:6" ht="15" customHeight="1" x14ac:dyDescent="0.2">
      <c r="E11916" s="18"/>
      <c r="F11916" s="18"/>
    </row>
    <row r="11917" spans="5:6" ht="15" customHeight="1" x14ac:dyDescent="0.2">
      <c r="E11917" s="18"/>
      <c r="F11917" s="18"/>
    </row>
    <row r="11918" spans="5:6" ht="15" customHeight="1" x14ac:dyDescent="0.2">
      <c r="E11918" s="18"/>
      <c r="F11918" s="18"/>
    </row>
    <row r="11919" spans="5:6" ht="15" customHeight="1" x14ac:dyDescent="0.2">
      <c r="E11919" s="18"/>
      <c r="F11919" s="18"/>
    </row>
    <row r="11920" spans="5:6" ht="15" customHeight="1" x14ac:dyDescent="0.2">
      <c r="E11920" s="18"/>
      <c r="F11920" s="18"/>
    </row>
    <row r="11921" spans="5:6" ht="15" customHeight="1" x14ac:dyDescent="0.2">
      <c r="E11921" s="18"/>
      <c r="F11921" s="18"/>
    </row>
    <row r="11922" spans="5:6" ht="15" customHeight="1" x14ac:dyDescent="0.2">
      <c r="E11922" s="18"/>
      <c r="F11922" s="18"/>
    </row>
    <row r="11923" spans="5:6" ht="15" customHeight="1" x14ac:dyDescent="0.2">
      <c r="E11923" s="18"/>
      <c r="F11923" s="18"/>
    </row>
    <row r="11924" spans="5:6" ht="15" customHeight="1" x14ac:dyDescent="0.2">
      <c r="E11924" s="18"/>
      <c r="F11924" s="18"/>
    </row>
    <row r="11925" spans="5:6" ht="15" customHeight="1" x14ac:dyDescent="0.2">
      <c r="E11925" s="18"/>
      <c r="F11925" s="18"/>
    </row>
    <row r="11926" spans="5:6" ht="15" customHeight="1" x14ac:dyDescent="0.2">
      <c r="E11926" s="18"/>
      <c r="F11926" s="18"/>
    </row>
    <row r="11927" spans="5:6" ht="15" customHeight="1" x14ac:dyDescent="0.2">
      <c r="E11927" s="18"/>
      <c r="F11927" s="18"/>
    </row>
    <row r="11928" spans="5:6" ht="15" customHeight="1" x14ac:dyDescent="0.2">
      <c r="E11928" s="18"/>
      <c r="F11928" s="18"/>
    </row>
    <row r="11929" spans="5:6" ht="15" customHeight="1" x14ac:dyDescent="0.2">
      <c r="E11929" s="18"/>
      <c r="F11929" s="18"/>
    </row>
    <row r="11930" spans="5:6" ht="15" customHeight="1" x14ac:dyDescent="0.2">
      <c r="E11930" s="18"/>
      <c r="F11930" s="18"/>
    </row>
    <row r="11931" spans="5:6" ht="15" customHeight="1" x14ac:dyDescent="0.2">
      <c r="E11931" s="18"/>
      <c r="F11931" s="18"/>
    </row>
    <row r="11932" spans="5:6" ht="15" customHeight="1" x14ac:dyDescent="0.2">
      <c r="E11932" s="18"/>
      <c r="F11932" s="18"/>
    </row>
    <row r="11933" spans="5:6" ht="15" customHeight="1" x14ac:dyDescent="0.2">
      <c r="E11933" s="18"/>
      <c r="F11933" s="18"/>
    </row>
    <row r="11934" spans="5:6" ht="15" customHeight="1" x14ac:dyDescent="0.2">
      <c r="E11934" s="18"/>
      <c r="F11934" s="18"/>
    </row>
    <row r="11935" spans="5:6" ht="15" customHeight="1" x14ac:dyDescent="0.2">
      <c r="E11935" s="18"/>
      <c r="F11935" s="18"/>
    </row>
    <row r="11936" spans="5:6" ht="15" customHeight="1" x14ac:dyDescent="0.2">
      <c r="E11936" s="18"/>
      <c r="F11936" s="18"/>
    </row>
    <row r="11937" spans="5:6" ht="15" customHeight="1" x14ac:dyDescent="0.2">
      <c r="E11937" s="18"/>
      <c r="F11937" s="18"/>
    </row>
    <row r="11938" spans="5:6" ht="15" customHeight="1" x14ac:dyDescent="0.2">
      <c r="E11938" s="18"/>
      <c r="F11938" s="18"/>
    </row>
    <row r="11939" spans="5:6" ht="15" customHeight="1" x14ac:dyDescent="0.2">
      <c r="E11939" s="18"/>
      <c r="F11939" s="18"/>
    </row>
    <row r="11940" spans="5:6" ht="15" customHeight="1" x14ac:dyDescent="0.2">
      <c r="E11940" s="18"/>
      <c r="F11940" s="18"/>
    </row>
    <row r="11941" spans="5:6" ht="15" customHeight="1" x14ac:dyDescent="0.2">
      <c r="E11941" s="18"/>
      <c r="F11941" s="18"/>
    </row>
    <row r="11942" spans="5:6" ht="15" customHeight="1" x14ac:dyDescent="0.2">
      <c r="E11942" s="18"/>
      <c r="F11942" s="18"/>
    </row>
    <row r="11943" spans="5:6" ht="15" customHeight="1" x14ac:dyDescent="0.2">
      <c r="E11943" s="18"/>
      <c r="F11943" s="18"/>
    </row>
    <row r="11944" spans="5:6" ht="15" customHeight="1" x14ac:dyDescent="0.2">
      <c r="E11944" s="18"/>
      <c r="F11944" s="18"/>
    </row>
    <row r="11945" spans="5:6" ht="15" customHeight="1" x14ac:dyDescent="0.2">
      <c r="E11945" s="18"/>
      <c r="F11945" s="18"/>
    </row>
    <row r="11946" spans="5:6" ht="15" customHeight="1" x14ac:dyDescent="0.2">
      <c r="E11946" s="18"/>
      <c r="F11946" s="18"/>
    </row>
    <row r="11947" spans="5:6" ht="15" customHeight="1" x14ac:dyDescent="0.2">
      <c r="E11947" s="18"/>
      <c r="F11947" s="18"/>
    </row>
    <row r="11948" spans="5:6" ht="15" customHeight="1" x14ac:dyDescent="0.2">
      <c r="E11948" s="18"/>
      <c r="F11948" s="18"/>
    </row>
    <row r="11949" spans="5:6" ht="15" customHeight="1" x14ac:dyDescent="0.2">
      <c r="E11949" s="18"/>
      <c r="F11949" s="18"/>
    </row>
    <row r="11950" spans="5:6" ht="15" customHeight="1" x14ac:dyDescent="0.2">
      <c r="E11950" s="18"/>
      <c r="F11950" s="18"/>
    </row>
    <row r="11951" spans="5:6" ht="15" customHeight="1" x14ac:dyDescent="0.2">
      <c r="E11951" s="18"/>
      <c r="F11951" s="18"/>
    </row>
    <row r="11952" spans="5:6" ht="15" customHeight="1" x14ac:dyDescent="0.2">
      <c r="E11952" s="18"/>
      <c r="F11952" s="18"/>
    </row>
    <row r="11953" spans="5:6" ht="15" customHeight="1" x14ac:dyDescent="0.2">
      <c r="E11953" s="18"/>
      <c r="F11953" s="18"/>
    </row>
    <row r="11954" spans="5:6" ht="15" customHeight="1" x14ac:dyDescent="0.2">
      <c r="E11954" s="18"/>
      <c r="F11954" s="18"/>
    </row>
    <row r="11955" spans="5:6" ht="15" customHeight="1" x14ac:dyDescent="0.2">
      <c r="E11955" s="18"/>
      <c r="F11955" s="18"/>
    </row>
    <row r="11956" spans="5:6" ht="15" customHeight="1" x14ac:dyDescent="0.2">
      <c r="E11956" s="18"/>
      <c r="F11956" s="18"/>
    </row>
    <row r="11957" spans="5:6" ht="15" customHeight="1" x14ac:dyDescent="0.2">
      <c r="E11957" s="18"/>
      <c r="F11957" s="18"/>
    </row>
    <row r="11958" spans="5:6" ht="15" customHeight="1" x14ac:dyDescent="0.2">
      <c r="E11958" s="18"/>
      <c r="F11958" s="18"/>
    </row>
    <row r="11959" spans="5:6" ht="15" customHeight="1" x14ac:dyDescent="0.2">
      <c r="E11959" s="18"/>
      <c r="F11959" s="18"/>
    </row>
    <row r="11960" spans="5:6" ht="15" customHeight="1" x14ac:dyDescent="0.2">
      <c r="E11960" s="18"/>
      <c r="F11960" s="18"/>
    </row>
    <row r="11961" spans="5:6" ht="15" customHeight="1" x14ac:dyDescent="0.2">
      <c r="E11961" s="18"/>
      <c r="F11961" s="18"/>
    </row>
    <row r="11962" spans="5:6" ht="15" customHeight="1" x14ac:dyDescent="0.2">
      <c r="E11962" s="18"/>
      <c r="F11962" s="18"/>
    </row>
    <row r="11963" spans="5:6" ht="15" customHeight="1" x14ac:dyDescent="0.2">
      <c r="E11963" s="18"/>
      <c r="F11963" s="18"/>
    </row>
    <row r="11964" spans="5:6" ht="15" customHeight="1" x14ac:dyDescent="0.2">
      <c r="E11964" s="18"/>
      <c r="F11964" s="18"/>
    </row>
    <row r="11965" spans="5:6" ht="15" customHeight="1" x14ac:dyDescent="0.2">
      <c r="E11965" s="18"/>
      <c r="F11965" s="18"/>
    </row>
    <row r="11966" spans="5:6" ht="15" customHeight="1" x14ac:dyDescent="0.2">
      <c r="E11966" s="18"/>
      <c r="F11966" s="18"/>
    </row>
    <row r="11967" spans="5:6" ht="15" customHeight="1" x14ac:dyDescent="0.2">
      <c r="E11967" s="18"/>
      <c r="F11967" s="18"/>
    </row>
    <row r="11968" spans="5:6" ht="15" customHeight="1" x14ac:dyDescent="0.2">
      <c r="E11968" s="18"/>
      <c r="F11968" s="18"/>
    </row>
    <row r="11969" spans="5:6" ht="15" customHeight="1" x14ac:dyDescent="0.2">
      <c r="E11969" s="18"/>
      <c r="F11969" s="18"/>
    </row>
    <row r="11970" spans="5:6" ht="15" customHeight="1" x14ac:dyDescent="0.2">
      <c r="E11970" s="18"/>
      <c r="F11970" s="18"/>
    </row>
    <row r="11971" spans="5:6" ht="15" customHeight="1" x14ac:dyDescent="0.2">
      <c r="E11971" s="18"/>
      <c r="F11971" s="18"/>
    </row>
    <row r="11972" spans="5:6" ht="15" customHeight="1" x14ac:dyDescent="0.2">
      <c r="E11972" s="18"/>
      <c r="F11972" s="18"/>
    </row>
    <row r="11973" spans="5:6" ht="15" customHeight="1" x14ac:dyDescent="0.2">
      <c r="E11973" s="18"/>
      <c r="F11973" s="18"/>
    </row>
    <row r="11974" spans="5:6" ht="15" customHeight="1" x14ac:dyDescent="0.2">
      <c r="E11974" s="18"/>
      <c r="F11974" s="18"/>
    </row>
    <row r="11975" spans="5:6" ht="15" customHeight="1" x14ac:dyDescent="0.2">
      <c r="E11975" s="18"/>
      <c r="F11975" s="18"/>
    </row>
    <row r="11976" spans="5:6" ht="15" customHeight="1" x14ac:dyDescent="0.2">
      <c r="E11976" s="18"/>
      <c r="F11976" s="18"/>
    </row>
    <row r="11977" spans="5:6" ht="15" customHeight="1" x14ac:dyDescent="0.2">
      <c r="E11977" s="18"/>
      <c r="F11977" s="18"/>
    </row>
    <row r="11978" spans="5:6" ht="15" customHeight="1" x14ac:dyDescent="0.2">
      <c r="E11978" s="18"/>
      <c r="F11978" s="18"/>
    </row>
    <row r="11979" spans="5:6" ht="15" customHeight="1" x14ac:dyDescent="0.2">
      <c r="E11979" s="18"/>
      <c r="F11979" s="18"/>
    </row>
    <row r="11980" spans="5:6" ht="15" customHeight="1" x14ac:dyDescent="0.2">
      <c r="E11980" s="18"/>
      <c r="F11980" s="18"/>
    </row>
    <row r="11981" spans="5:6" ht="15" customHeight="1" x14ac:dyDescent="0.2">
      <c r="E11981" s="18"/>
      <c r="F11981" s="18"/>
    </row>
    <row r="11982" spans="5:6" ht="15" customHeight="1" x14ac:dyDescent="0.2">
      <c r="E11982" s="18"/>
      <c r="F11982" s="18"/>
    </row>
    <row r="11983" spans="5:6" ht="15" customHeight="1" x14ac:dyDescent="0.2">
      <c r="E11983" s="18"/>
      <c r="F11983" s="18"/>
    </row>
    <row r="11984" spans="5:6" ht="15" customHeight="1" x14ac:dyDescent="0.2">
      <c r="E11984" s="18"/>
      <c r="F11984" s="18"/>
    </row>
    <row r="11985" spans="5:6" ht="15" customHeight="1" x14ac:dyDescent="0.2">
      <c r="E11985" s="18"/>
      <c r="F11985" s="18"/>
    </row>
    <row r="11986" spans="5:6" ht="15" customHeight="1" x14ac:dyDescent="0.2">
      <c r="E11986" s="18"/>
      <c r="F11986" s="18"/>
    </row>
    <row r="11987" spans="5:6" ht="15" customHeight="1" x14ac:dyDescent="0.2">
      <c r="E11987" s="18"/>
      <c r="F11987" s="18"/>
    </row>
    <row r="11988" spans="5:6" ht="15" customHeight="1" x14ac:dyDescent="0.2">
      <c r="E11988" s="18"/>
      <c r="F11988" s="18"/>
    </row>
    <row r="11989" spans="5:6" ht="15" customHeight="1" x14ac:dyDescent="0.2">
      <c r="E11989" s="18"/>
      <c r="F11989" s="18"/>
    </row>
    <row r="11990" spans="5:6" ht="15" customHeight="1" x14ac:dyDescent="0.2">
      <c r="E11990" s="18"/>
      <c r="F11990" s="18"/>
    </row>
    <row r="11991" spans="5:6" ht="15" customHeight="1" x14ac:dyDescent="0.2">
      <c r="E11991" s="18"/>
      <c r="F11991" s="18"/>
    </row>
    <row r="11992" spans="5:6" ht="15" customHeight="1" x14ac:dyDescent="0.2">
      <c r="E11992" s="18"/>
      <c r="F11992" s="18"/>
    </row>
    <row r="11993" spans="5:6" ht="15" customHeight="1" x14ac:dyDescent="0.2">
      <c r="E11993" s="18"/>
      <c r="F11993" s="18"/>
    </row>
    <row r="11994" spans="5:6" ht="15" customHeight="1" x14ac:dyDescent="0.2">
      <c r="E11994" s="18"/>
      <c r="F11994" s="18"/>
    </row>
    <row r="11995" spans="5:6" ht="15" customHeight="1" x14ac:dyDescent="0.2">
      <c r="E11995" s="18"/>
      <c r="F11995" s="18"/>
    </row>
    <row r="11996" spans="5:6" ht="15" customHeight="1" x14ac:dyDescent="0.2">
      <c r="E11996" s="18"/>
      <c r="F11996" s="18"/>
    </row>
    <row r="11997" spans="5:6" ht="15" customHeight="1" x14ac:dyDescent="0.2">
      <c r="E11997" s="18"/>
      <c r="F11997" s="18"/>
    </row>
    <row r="11998" spans="5:6" ht="15" customHeight="1" x14ac:dyDescent="0.2">
      <c r="E11998" s="18"/>
      <c r="F11998" s="18"/>
    </row>
    <row r="11999" spans="5:6" ht="15" customHeight="1" x14ac:dyDescent="0.2">
      <c r="E11999" s="18"/>
      <c r="F11999" s="18"/>
    </row>
    <row r="12000" spans="5:6" ht="15" customHeight="1" x14ac:dyDescent="0.2">
      <c r="E12000" s="18"/>
      <c r="F12000" s="18"/>
    </row>
    <row r="12001" spans="5:6" ht="15" customHeight="1" x14ac:dyDescent="0.2">
      <c r="E12001" s="18"/>
      <c r="F12001" s="18"/>
    </row>
    <row r="12002" spans="5:6" ht="15" customHeight="1" x14ac:dyDescent="0.2">
      <c r="E12002" s="18"/>
      <c r="F12002" s="18"/>
    </row>
    <row r="12003" spans="5:6" ht="15" customHeight="1" x14ac:dyDescent="0.2">
      <c r="E12003" s="18"/>
      <c r="F12003" s="18"/>
    </row>
    <row r="12004" spans="5:6" ht="15" customHeight="1" x14ac:dyDescent="0.2">
      <c r="E12004" s="18"/>
      <c r="F12004" s="18"/>
    </row>
    <row r="12005" spans="5:6" ht="15" customHeight="1" x14ac:dyDescent="0.2">
      <c r="E12005" s="18"/>
      <c r="F12005" s="18"/>
    </row>
    <row r="12006" spans="5:6" ht="15" customHeight="1" x14ac:dyDescent="0.2">
      <c r="E12006" s="18"/>
      <c r="F12006" s="18"/>
    </row>
    <row r="12007" spans="5:6" ht="15" customHeight="1" x14ac:dyDescent="0.2">
      <c r="E12007" s="18"/>
      <c r="F12007" s="18"/>
    </row>
    <row r="12008" spans="5:6" ht="15" customHeight="1" x14ac:dyDescent="0.2">
      <c r="E12008" s="18"/>
      <c r="F12008" s="18"/>
    </row>
    <row r="12009" spans="5:6" ht="15" customHeight="1" x14ac:dyDescent="0.2">
      <c r="E12009" s="18"/>
      <c r="F12009" s="18"/>
    </row>
    <row r="12010" spans="5:6" ht="15" customHeight="1" x14ac:dyDescent="0.2">
      <c r="E12010" s="18"/>
      <c r="F12010" s="18"/>
    </row>
    <row r="12011" spans="5:6" ht="15" customHeight="1" x14ac:dyDescent="0.2">
      <c r="E12011" s="18"/>
      <c r="F12011" s="18"/>
    </row>
    <row r="12012" spans="5:6" ht="15" customHeight="1" x14ac:dyDescent="0.2">
      <c r="E12012" s="18"/>
      <c r="F12012" s="18"/>
    </row>
    <row r="12013" spans="5:6" ht="15" customHeight="1" x14ac:dyDescent="0.2">
      <c r="E12013" s="18"/>
      <c r="F12013" s="18"/>
    </row>
    <row r="12014" spans="5:6" ht="15" customHeight="1" x14ac:dyDescent="0.2">
      <c r="E12014" s="18"/>
      <c r="F12014" s="18"/>
    </row>
    <row r="12015" spans="5:6" ht="15" customHeight="1" x14ac:dyDescent="0.2">
      <c r="E12015" s="18"/>
      <c r="F12015" s="18"/>
    </row>
    <row r="12016" spans="5:6" ht="15" customHeight="1" x14ac:dyDescent="0.2">
      <c r="E12016" s="18"/>
      <c r="F12016" s="18"/>
    </row>
    <row r="12017" spans="5:6" ht="15" customHeight="1" x14ac:dyDescent="0.2">
      <c r="E12017" s="18"/>
      <c r="F12017" s="18"/>
    </row>
    <row r="12018" spans="5:6" ht="15" customHeight="1" x14ac:dyDescent="0.2">
      <c r="E12018" s="18"/>
      <c r="F12018" s="18"/>
    </row>
    <row r="12019" spans="5:6" ht="15" customHeight="1" x14ac:dyDescent="0.2">
      <c r="E12019" s="18"/>
      <c r="F12019" s="18"/>
    </row>
    <row r="12020" spans="5:6" ht="15" customHeight="1" x14ac:dyDescent="0.2">
      <c r="E12020" s="18"/>
      <c r="F12020" s="18"/>
    </row>
    <row r="12021" spans="5:6" ht="15" customHeight="1" x14ac:dyDescent="0.2">
      <c r="E12021" s="18"/>
      <c r="F12021" s="18"/>
    </row>
    <row r="12022" spans="5:6" ht="15" customHeight="1" x14ac:dyDescent="0.2">
      <c r="E12022" s="18"/>
      <c r="F12022" s="18"/>
    </row>
    <row r="12023" spans="5:6" ht="15" customHeight="1" x14ac:dyDescent="0.2">
      <c r="E12023" s="18"/>
      <c r="F12023" s="18"/>
    </row>
    <row r="12024" spans="5:6" ht="15" customHeight="1" x14ac:dyDescent="0.2">
      <c r="E12024" s="18"/>
      <c r="F12024" s="18"/>
    </row>
    <row r="12025" spans="5:6" ht="15" customHeight="1" x14ac:dyDescent="0.2">
      <c r="E12025" s="18"/>
      <c r="F12025" s="18"/>
    </row>
    <row r="12026" spans="5:6" ht="15" customHeight="1" x14ac:dyDescent="0.2">
      <c r="E12026" s="18"/>
      <c r="F12026" s="18"/>
    </row>
    <row r="12027" spans="5:6" ht="15" customHeight="1" x14ac:dyDescent="0.2">
      <c r="E12027" s="18"/>
      <c r="F12027" s="18"/>
    </row>
    <row r="12028" spans="5:6" ht="15" customHeight="1" x14ac:dyDescent="0.2">
      <c r="E12028" s="18"/>
      <c r="F12028" s="18"/>
    </row>
    <row r="12029" spans="5:6" ht="15" customHeight="1" x14ac:dyDescent="0.2">
      <c r="E12029" s="18"/>
      <c r="F12029" s="18"/>
    </row>
    <row r="12030" spans="5:6" ht="15" customHeight="1" x14ac:dyDescent="0.2">
      <c r="E12030" s="18"/>
      <c r="F12030" s="18"/>
    </row>
    <row r="12031" spans="5:6" ht="15" customHeight="1" x14ac:dyDescent="0.2">
      <c r="E12031" s="18"/>
      <c r="F12031" s="18"/>
    </row>
    <row r="12032" spans="5:6" ht="15" customHeight="1" x14ac:dyDescent="0.2">
      <c r="E12032" s="18"/>
      <c r="F12032" s="18"/>
    </row>
    <row r="12033" spans="5:6" ht="15" customHeight="1" x14ac:dyDescent="0.2">
      <c r="E12033" s="18"/>
      <c r="F12033" s="18"/>
    </row>
    <row r="12034" spans="5:6" ht="15" customHeight="1" x14ac:dyDescent="0.2">
      <c r="E12034" s="18"/>
      <c r="F12034" s="18"/>
    </row>
    <row r="12035" spans="5:6" ht="15" customHeight="1" x14ac:dyDescent="0.2">
      <c r="E12035" s="18"/>
      <c r="F12035" s="18"/>
    </row>
    <row r="12036" spans="5:6" ht="15" customHeight="1" x14ac:dyDescent="0.2">
      <c r="E12036" s="18"/>
      <c r="F12036" s="18"/>
    </row>
    <row r="12037" spans="5:6" ht="15" customHeight="1" x14ac:dyDescent="0.2">
      <c r="E12037" s="18"/>
      <c r="F12037" s="18"/>
    </row>
    <row r="12038" spans="5:6" ht="15" customHeight="1" x14ac:dyDescent="0.2">
      <c r="E12038" s="18"/>
      <c r="F12038" s="18"/>
    </row>
    <row r="12039" spans="5:6" ht="15" customHeight="1" x14ac:dyDescent="0.2">
      <c r="E12039" s="18"/>
      <c r="F12039" s="18"/>
    </row>
    <row r="12040" spans="5:6" ht="15" customHeight="1" x14ac:dyDescent="0.2">
      <c r="E12040" s="18"/>
      <c r="F12040" s="18"/>
    </row>
    <row r="12041" spans="5:6" ht="15" customHeight="1" x14ac:dyDescent="0.2">
      <c r="E12041" s="18"/>
      <c r="F12041" s="18"/>
    </row>
    <row r="12042" spans="5:6" ht="15" customHeight="1" x14ac:dyDescent="0.2">
      <c r="E12042" s="18"/>
      <c r="F12042" s="18"/>
    </row>
    <row r="12043" spans="5:6" ht="15" customHeight="1" x14ac:dyDescent="0.2">
      <c r="E12043" s="18"/>
      <c r="F12043" s="18"/>
    </row>
    <row r="12044" spans="5:6" ht="15" customHeight="1" x14ac:dyDescent="0.2">
      <c r="E12044" s="18"/>
      <c r="F12044" s="18"/>
    </row>
    <row r="12045" spans="5:6" ht="15" customHeight="1" x14ac:dyDescent="0.2">
      <c r="E12045" s="18"/>
      <c r="F12045" s="18"/>
    </row>
    <row r="12046" spans="5:6" ht="15" customHeight="1" x14ac:dyDescent="0.2">
      <c r="E12046" s="18"/>
      <c r="F12046" s="18"/>
    </row>
    <row r="12047" spans="5:6" ht="15" customHeight="1" x14ac:dyDescent="0.2">
      <c r="E12047" s="18"/>
      <c r="F12047" s="18"/>
    </row>
    <row r="12048" spans="5:6" ht="15" customHeight="1" x14ac:dyDescent="0.2">
      <c r="E12048" s="18"/>
      <c r="F12048" s="18"/>
    </row>
    <row r="12049" spans="5:6" ht="15" customHeight="1" x14ac:dyDescent="0.2">
      <c r="E12049" s="18"/>
      <c r="F12049" s="18"/>
    </row>
    <row r="12050" spans="5:6" ht="15" customHeight="1" x14ac:dyDescent="0.2">
      <c r="E12050" s="18"/>
      <c r="F12050" s="18"/>
    </row>
    <row r="12051" spans="5:6" ht="15" customHeight="1" x14ac:dyDescent="0.2">
      <c r="E12051" s="18"/>
      <c r="F12051" s="18"/>
    </row>
    <row r="12052" spans="5:6" ht="15" customHeight="1" x14ac:dyDescent="0.2">
      <c r="E12052" s="18"/>
      <c r="F12052" s="18"/>
    </row>
    <row r="12053" spans="5:6" ht="15" customHeight="1" x14ac:dyDescent="0.2">
      <c r="E12053" s="18"/>
      <c r="F12053" s="18"/>
    </row>
    <row r="12054" spans="5:6" ht="15" customHeight="1" x14ac:dyDescent="0.2">
      <c r="E12054" s="18"/>
      <c r="F12054" s="18"/>
    </row>
    <row r="12055" spans="5:6" ht="15" customHeight="1" x14ac:dyDescent="0.2">
      <c r="E12055" s="18"/>
      <c r="F12055" s="18"/>
    </row>
    <row r="12056" spans="5:6" ht="15" customHeight="1" x14ac:dyDescent="0.2">
      <c r="E12056" s="18"/>
      <c r="F12056" s="18"/>
    </row>
    <row r="12057" spans="5:6" ht="15" customHeight="1" x14ac:dyDescent="0.2">
      <c r="E12057" s="18"/>
      <c r="F12057" s="18"/>
    </row>
    <row r="12058" spans="5:6" ht="15" customHeight="1" x14ac:dyDescent="0.2">
      <c r="E12058" s="18"/>
      <c r="F12058" s="18"/>
    </row>
    <row r="12059" spans="5:6" ht="15" customHeight="1" x14ac:dyDescent="0.2">
      <c r="E12059" s="18"/>
      <c r="F12059" s="18"/>
    </row>
    <row r="12060" spans="5:6" ht="15" customHeight="1" x14ac:dyDescent="0.2">
      <c r="E12060" s="18"/>
      <c r="F12060" s="18"/>
    </row>
    <row r="12061" spans="5:6" ht="15" customHeight="1" x14ac:dyDescent="0.2">
      <c r="E12061" s="18"/>
      <c r="F12061" s="18"/>
    </row>
    <row r="12062" spans="5:6" ht="15" customHeight="1" x14ac:dyDescent="0.2">
      <c r="E12062" s="18"/>
      <c r="F12062" s="18"/>
    </row>
    <row r="12063" spans="5:6" ht="15" customHeight="1" x14ac:dyDescent="0.2">
      <c r="E12063" s="18"/>
      <c r="F12063" s="18"/>
    </row>
    <row r="12064" spans="5:6" ht="15" customHeight="1" x14ac:dyDescent="0.2">
      <c r="E12064" s="18"/>
      <c r="F12064" s="18"/>
    </row>
    <row r="12065" spans="5:6" ht="15" customHeight="1" x14ac:dyDescent="0.2">
      <c r="E12065" s="18"/>
      <c r="F12065" s="18"/>
    </row>
    <row r="12066" spans="5:6" ht="15" customHeight="1" x14ac:dyDescent="0.2">
      <c r="E12066" s="18"/>
      <c r="F12066" s="18"/>
    </row>
    <row r="12067" spans="5:6" ht="15" customHeight="1" x14ac:dyDescent="0.2">
      <c r="E12067" s="18"/>
      <c r="F12067" s="18"/>
    </row>
    <row r="12068" spans="5:6" ht="15" customHeight="1" x14ac:dyDescent="0.2">
      <c r="E12068" s="18"/>
      <c r="F12068" s="18"/>
    </row>
    <row r="12069" spans="5:6" ht="15" customHeight="1" x14ac:dyDescent="0.2">
      <c r="E12069" s="18"/>
      <c r="F12069" s="18"/>
    </row>
    <row r="12070" spans="5:6" ht="15" customHeight="1" x14ac:dyDescent="0.2">
      <c r="E12070" s="18"/>
      <c r="F12070" s="18"/>
    </row>
    <row r="12071" spans="5:6" ht="15" customHeight="1" x14ac:dyDescent="0.2">
      <c r="E12071" s="18"/>
      <c r="F12071" s="18"/>
    </row>
    <row r="12072" spans="5:6" ht="15" customHeight="1" x14ac:dyDescent="0.2">
      <c r="E12072" s="18"/>
      <c r="F12072" s="18"/>
    </row>
    <row r="12073" spans="5:6" ht="15" customHeight="1" x14ac:dyDescent="0.2">
      <c r="E12073" s="18"/>
      <c r="F12073" s="18"/>
    </row>
    <row r="12074" spans="5:6" ht="15" customHeight="1" x14ac:dyDescent="0.2">
      <c r="E12074" s="18"/>
      <c r="F12074" s="18"/>
    </row>
    <row r="12075" spans="5:6" ht="15" customHeight="1" x14ac:dyDescent="0.2">
      <c r="E12075" s="18"/>
      <c r="F12075" s="18"/>
    </row>
    <row r="12076" spans="5:6" ht="15" customHeight="1" x14ac:dyDescent="0.2">
      <c r="E12076" s="18"/>
      <c r="F12076" s="18"/>
    </row>
    <row r="12077" spans="5:6" ht="15" customHeight="1" x14ac:dyDescent="0.2">
      <c r="E12077" s="18"/>
      <c r="F12077" s="18"/>
    </row>
    <row r="12078" spans="5:6" ht="15" customHeight="1" x14ac:dyDescent="0.2">
      <c r="E12078" s="18"/>
      <c r="F12078" s="18"/>
    </row>
    <row r="12079" spans="5:6" ht="15" customHeight="1" x14ac:dyDescent="0.2">
      <c r="E12079" s="18"/>
      <c r="F12079" s="18"/>
    </row>
    <row r="12080" spans="5:6" ht="15" customHeight="1" x14ac:dyDescent="0.2">
      <c r="E12080" s="18"/>
      <c r="F12080" s="18"/>
    </row>
    <row r="12081" spans="5:6" ht="15" customHeight="1" x14ac:dyDescent="0.2">
      <c r="E12081" s="18"/>
      <c r="F12081" s="18"/>
    </row>
    <row r="12082" spans="5:6" ht="15" customHeight="1" x14ac:dyDescent="0.2">
      <c r="E12082" s="18"/>
      <c r="F12082" s="18"/>
    </row>
    <row r="12083" spans="5:6" ht="15" customHeight="1" x14ac:dyDescent="0.2">
      <c r="E12083" s="18"/>
      <c r="F12083" s="18"/>
    </row>
    <row r="12084" spans="5:6" ht="15" customHeight="1" x14ac:dyDescent="0.2">
      <c r="E12084" s="18"/>
      <c r="F12084" s="18"/>
    </row>
    <row r="12085" spans="5:6" ht="15" customHeight="1" x14ac:dyDescent="0.2">
      <c r="E12085" s="18"/>
      <c r="F12085" s="18"/>
    </row>
    <row r="12086" spans="5:6" ht="15" customHeight="1" x14ac:dyDescent="0.2">
      <c r="E12086" s="18"/>
      <c r="F12086" s="18"/>
    </row>
    <row r="12087" spans="5:6" ht="15" customHeight="1" x14ac:dyDescent="0.2">
      <c r="E12087" s="18"/>
      <c r="F12087" s="18"/>
    </row>
    <row r="12088" spans="5:6" ht="15" customHeight="1" x14ac:dyDescent="0.2">
      <c r="E12088" s="18"/>
      <c r="F12088" s="18"/>
    </row>
    <row r="12089" spans="5:6" ht="15" customHeight="1" x14ac:dyDescent="0.2">
      <c r="E12089" s="18"/>
      <c r="F12089" s="18"/>
    </row>
    <row r="12090" spans="5:6" ht="15" customHeight="1" x14ac:dyDescent="0.2">
      <c r="E12090" s="18"/>
      <c r="F12090" s="18"/>
    </row>
    <row r="12091" spans="5:6" ht="15" customHeight="1" x14ac:dyDescent="0.2">
      <c r="E12091" s="18"/>
      <c r="F12091" s="18"/>
    </row>
    <row r="12092" spans="5:6" ht="15" customHeight="1" x14ac:dyDescent="0.2">
      <c r="E12092" s="18"/>
      <c r="F12092" s="18"/>
    </row>
    <row r="12093" spans="5:6" ht="15" customHeight="1" x14ac:dyDescent="0.2">
      <c r="E12093" s="18"/>
      <c r="F12093" s="18"/>
    </row>
    <row r="12094" spans="5:6" ht="15" customHeight="1" x14ac:dyDescent="0.2">
      <c r="E12094" s="18"/>
      <c r="F12094" s="18"/>
    </row>
    <row r="12095" spans="5:6" ht="15" customHeight="1" x14ac:dyDescent="0.2">
      <c r="E12095" s="18"/>
      <c r="F12095" s="18"/>
    </row>
    <row r="12096" spans="5:6" ht="15" customHeight="1" x14ac:dyDescent="0.2">
      <c r="E12096" s="18"/>
      <c r="F12096" s="18"/>
    </row>
    <row r="12097" spans="5:6" ht="15" customHeight="1" x14ac:dyDescent="0.2">
      <c r="E12097" s="18"/>
      <c r="F12097" s="18"/>
    </row>
    <row r="12098" spans="5:6" ht="15" customHeight="1" x14ac:dyDescent="0.2">
      <c r="E12098" s="18"/>
      <c r="F12098" s="18"/>
    </row>
    <row r="12099" spans="5:6" ht="15" customHeight="1" x14ac:dyDescent="0.2">
      <c r="E12099" s="18"/>
      <c r="F12099" s="18"/>
    </row>
    <row r="12100" spans="5:6" ht="15" customHeight="1" x14ac:dyDescent="0.2">
      <c r="E12100" s="18"/>
      <c r="F12100" s="18"/>
    </row>
    <row r="12101" spans="5:6" ht="15" customHeight="1" x14ac:dyDescent="0.2">
      <c r="E12101" s="18"/>
      <c r="F12101" s="18"/>
    </row>
    <row r="12102" spans="5:6" ht="15" customHeight="1" x14ac:dyDescent="0.2">
      <c r="E12102" s="18"/>
      <c r="F12102" s="18"/>
    </row>
    <row r="12103" spans="5:6" ht="15" customHeight="1" x14ac:dyDescent="0.2">
      <c r="E12103" s="18"/>
      <c r="F12103" s="18"/>
    </row>
    <row r="12104" spans="5:6" ht="15" customHeight="1" x14ac:dyDescent="0.2">
      <c r="E12104" s="18"/>
      <c r="F12104" s="18"/>
    </row>
    <row r="12105" spans="5:6" ht="15" customHeight="1" x14ac:dyDescent="0.2">
      <c r="E12105" s="18"/>
      <c r="F12105" s="18"/>
    </row>
    <row r="12106" spans="5:6" ht="15" customHeight="1" x14ac:dyDescent="0.2">
      <c r="E12106" s="18"/>
      <c r="F12106" s="18"/>
    </row>
    <row r="12107" spans="5:6" ht="15" customHeight="1" x14ac:dyDescent="0.2">
      <c r="E12107" s="18"/>
      <c r="F12107" s="18"/>
    </row>
    <row r="12108" spans="5:6" ht="15" customHeight="1" x14ac:dyDescent="0.2">
      <c r="E12108" s="18"/>
      <c r="F12108" s="18"/>
    </row>
    <row r="12109" spans="5:6" ht="15" customHeight="1" x14ac:dyDescent="0.2">
      <c r="E12109" s="18"/>
      <c r="F12109" s="18"/>
    </row>
    <row r="12110" spans="5:6" ht="15" customHeight="1" x14ac:dyDescent="0.2">
      <c r="E12110" s="18"/>
      <c r="F12110" s="18"/>
    </row>
    <row r="12111" spans="5:6" ht="15" customHeight="1" x14ac:dyDescent="0.2">
      <c r="E12111" s="18"/>
      <c r="F12111" s="18"/>
    </row>
    <row r="12112" spans="5:6" ht="15" customHeight="1" x14ac:dyDescent="0.2">
      <c r="E12112" s="18"/>
      <c r="F12112" s="18"/>
    </row>
    <row r="12113" spans="5:6" ht="15" customHeight="1" x14ac:dyDescent="0.2">
      <c r="E12113" s="18"/>
      <c r="F12113" s="18"/>
    </row>
    <row r="12114" spans="5:6" ht="15" customHeight="1" x14ac:dyDescent="0.2">
      <c r="E12114" s="18"/>
      <c r="F12114" s="18"/>
    </row>
    <row r="12115" spans="5:6" ht="15" customHeight="1" x14ac:dyDescent="0.2">
      <c r="E12115" s="18"/>
      <c r="F12115" s="18"/>
    </row>
    <row r="12116" spans="5:6" ht="15" customHeight="1" x14ac:dyDescent="0.2">
      <c r="E12116" s="18"/>
      <c r="F12116" s="18"/>
    </row>
    <row r="12117" spans="5:6" ht="15" customHeight="1" x14ac:dyDescent="0.2">
      <c r="E12117" s="18"/>
      <c r="F12117" s="18"/>
    </row>
    <row r="12118" spans="5:6" ht="15" customHeight="1" x14ac:dyDescent="0.2">
      <c r="E12118" s="18"/>
      <c r="F12118" s="18"/>
    </row>
    <row r="12119" spans="5:6" ht="15" customHeight="1" x14ac:dyDescent="0.2">
      <c r="E12119" s="18"/>
      <c r="F12119" s="18"/>
    </row>
    <row r="12120" spans="5:6" ht="15" customHeight="1" x14ac:dyDescent="0.2">
      <c r="E12120" s="18"/>
      <c r="F12120" s="18"/>
    </row>
    <row r="12121" spans="5:6" ht="15" customHeight="1" x14ac:dyDescent="0.2">
      <c r="E12121" s="18"/>
      <c r="F12121" s="18"/>
    </row>
    <row r="12122" spans="5:6" ht="15" customHeight="1" x14ac:dyDescent="0.2">
      <c r="E12122" s="18"/>
      <c r="F12122" s="18"/>
    </row>
    <row r="12123" spans="5:6" ht="15" customHeight="1" x14ac:dyDescent="0.2">
      <c r="E12123" s="18"/>
      <c r="F12123" s="18"/>
    </row>
    <row r="12124" spans="5:6" ht="15" customHeight="1" x14ac:dyDescent="0.2">
      <c r="E12124" s="18"/>
      <c r="F12124" s="18"/>
    </row>
    <row r="12125" spans="5:6" ht="15" customHeight="1" x14ac:dyDescent="0.2">
      <c r="E12125" s="18"/>
      <c r="F12125" s="18"/>
    </row>
    <row r="12126" spans="5:6" ht="15" customHeight="1" x14ac:dyDescent="0.2">
      <c r="E12126" s="18"/>
      <c r="F12126" s="18"/>
    </row>
    <row r="12127" spans="5:6" ht="15" customHeight="1" x14ac:dyDescent="0.2">
      <c r="E12127" s="18"/>
      <c r="F12127" s="18"/>
    </row>
    <row r="12128" spans="5:6" ht="15" customHeight="1" x14ac:dyDescent="0.2">
      <c r="E12128" s="18"/>
      <c r="F12128" s="18"/>
    </row>
    <row r="12129" spans="5:6" ht="15" customHeight="1" x14ac:dyDescent="0.2">
      <c r="E12129" s="18"/>
      <c r="F12129" s="18"/>
    </row>
    <row r="12130" spans="5:6" ht="15" customHeight="1" x14ac:dyDescent="0.2">
      <c r="E12130" s="18"/>
      <c r="F12130" s="18"/>
    </row>
    <row r="12131" spans="5:6" ht="15" customHeight="1" x14ac:dyDescent="0.2">
      <c r="E12131" s="18"/>
      <c r="F12131" s="18"/>
    </row>
    <row r="12132" spans="5:6" ht="15" customHeight="1" x14ac:dyDescent="0.2">
      <c r="E12132" s="18"/>
      <c r="F12132" s="18"/>
    </row>
    <row r="12133" spans="5:6" ht="15" customHeight="1" x14ac:dyDescent="0.2">
      <c r="E12133" s="18"/>
      <c r="F12133" s="18"/>
    </row>
    <row r="12134" spans="5:6" ht="15" customHeight="1" x14ac:dyDescent="0.2">
      <c r="E12134" s="18"/>
      <c r="F12134" s="18"/>
    </row>
    <row r="12135" spans="5:6" ht="15" customHeight="1" x14ac:dyDescent="0.2">
      <c r="E12135" s="18"/>
      <c r="F12135" s="18"/>
    </row>
    <row r="12136" spans="5:6" ht="15" customHeight="1" x14ac:dyDescent="0.2">
      <c r="E12136" s="18"/>
      <c r="F12136" s="18"/>
    </row>
    <row r="12137" spans="5:6" ht="15" customHeight="1" x14ac:dyDescent="0.2">
      <c r="E12137" s="18"/>
      <c r="F12137" s="18"/>
    </row>
    <row r="12138" spans="5:6" ht="15" customHeight="1" x14ac:dyDescent="0.2">
      <c r="E12138" s="18"/>
      <c r="F12138" s="18"/>
    </row>
    <row r="12139" spans="5:6" ht="15" customHeight="1" x14ac:dyDescent="0.2">
      <c r="E12139" s="18"/>
      <c r="F12139" s="18"/>
    </row>
    <row r="12140" spans="5:6" ht="15" customHeight="1" x14ac:dyDescent="0.2">
      <c r="E12140" s="18"/>
      <c r="F12140" s="18"/>
    </row>
    <row r="12141" spans="5:6" ht="15" customHeight="1" x14ac:dyDescent="0.2">
      <c r="E12141" s="18"/>
      <c r="F12141" s="18"/>
    </row>
    <row r="12142" spans="5:6" ht="15" customHeight="1" x14ac:dyDescent="0.2">
      <c r="E12142" s="18"/>
      <c r="F12142" s="18"/>
    </row>
    <row r="12143" spans="5:6" ht="15" customHeight="1" x14ac:dyDescent="0.2">
      <c r="E12143" s="18"/>
      <c r="F12143" s="18"/>
    </row>
    <row r="12144" spans="5:6" ht="15" customHeight="1" x14ac:dyDescent="0.2">
      <c r="E12144" s="18"/>
      <c r="F12144" s="18"/>
    </row>
    <row r="12145" spans="5:6" ht="15" customHeight="1" x14ac:dyDescent="0.2">
      <c r="E12145" s="18"/>
      <c r="F12145" s="18"/>
    </row>
    <row r="12146" spans="5:6" ht="15" customHeight="1" x14ac:dyDescent="0.2">
      <c r="E12146" s="18"/>
      <c r="F12146" s="18"/>
    </row>
    <row r="12147" spans="5:6" ht="15" customHeight="1" x14ac:dyDescent="0.2">
      <c r="E12147" s="18"/>
      <c r="F12147" s="18"/>
    </row>
    <row r="12148" spans="5:6" ht="15" customHeight="1" x14ac:dyDescent="0.2">
      <c r="E12148" s="18"/>
      <c r="F12148" s="18"/>
    </row>
    <row r="12149" spans="5:6" ht="15" customHeight="1" x14ac:dyDescent="0.2">
      <c r="E12149" s="18"/>
      <c r="F12149" s="18"/>
    </row>
    <row r="12150" spans="5:6" ht="15" customHeight="1" x14ac:dyDescent="0.2">
      <c r="E12150" s="18"/>
      <c r="F12150" s="18"/>
    </row>
    <row r="12151" spans="5:6" ht="15" customHeight="1" x14ac:dyDescent="0.2">
      <c r="E12151" s="18"/>
      <c r="F12151" s="18"/>
    </row>
    <row r="12152" spans="5:6" ht="15" customHeight="1" x14ac:dyDescent="0.2">
      <c r="E12152" s="18"/>
      <c r="F12152" s="18"/>
    </row>
    <row r="12153" spans="5:6" ht="15" customHeight="1" x14ac:dyDescent="0.2">
      <c r="E12153" s="18"/>
      <c r="F12153" s="18"/>
    </row>
    <row r="12154" spans="5:6" ht="15" customHeight="1" x14ac:dyDescent="0.2">
      <c r="E12154" s="18"/>
      <c r="F12154" s="18"/>
    </row>
    <row r="12155" spans="5:6" ht="15" customHeight="1" x14ac:dyDescent="0.2">
      <c r="E12155" s="18"/>
      <c r="F12155" s="18"/>
    </row>
    <row r="12156" spans="5:6" ht="15" customHeight="1" x14ac:dyDescent="0.2">
      <c r="E12156" s="18"/>
      <c r="F12156" s="18"/>
    </row>
    <row r="12157" spans="5:6" ht="15" customHeight="1" x14ac:dyDescent="0.2">
      <c r="E12157" s="18"/>
      <c r="F12157" s="18"/>
    </row>
    <row r="12158" spans="5:6" ht="15" customHeight="1" x14ac:dyDescent="0.2">
      <c r="E12158" s="18"/>
      <c r="F12158" s="18"/>
    </row>
    <row r="12159" spans="5:6" ht="15" customHeight="1" x14ac:dyDescent="0.2">
      <c r="E12159" s="18"/>
      <c r="F12159" s="18"/>
    </row>
    <row r="12160" spans="5:6" ht="15" customHeight="1" x14ac:dyDescent="0.2">
      <c r="E12160" s="18"/>
      <c r="F12160" s="18"/>
    </row>
    <row r="12161" spans="5:6" ht="15" customHeight="1" x14ac:dyDescent="0.2">
      <c r="E12161" s="18"/>
      <c r="F12161" s="18"/>
    </row>
    <row r="12162" spans="5:6" ht="15" customHeight="1" x14ac:dyDescent="0.2">
      <c r="E12162" s="18"/>
      <c r="F12162" s="18"/>
    </row>
    <row r="12163" spans="5:6" ht="15" customHeight="1" x14ac:dyDescent="0.2">
      <c r="E12163" s="18"/>
      <c r="F12163" s="18"/>
    </row>
    <row r="12164" spans="5:6" ht="15" customHeight="1" x14ac:dyDescent="0.2">
      <c r="E12164" s="18"/>
      <c r="F12164" s="18"/>
    </row>
    <row r="12165" spans="5:6" ht="15" customHeight="1" x14ac:dyDescent="0.2">
      <c r="E12165" s="18"/>
      <c r="F12165" s="18"/>
    </row>
    <row r="12166" spans="5:6" ht="15" customHeight="1" x14ac:dyDescent="0.2">
      <c r="E12166" s="18"/>
      <c r="F12166" s="18"/>
    </row>
    <row r="12167" spans="5:6" ht="15" customHeight="1" x14ac:dyDescent="0.2">
      <c r="E12167" s="18"/>
      <c r="F12167" s="18"/>
    </row>
    <row r="12168" spans="5:6" ht="15" customHeight="1" x14ac:dyDescent="0.2">
      <c r="E12168" s="18"/>
      <c r="F12168" s="18"/>
    </row>
    <row r="12169" spans="5:6" ht="15" customHeight="1" x14ac:dyDescent="0.2">
      <c r="E12169" s="18"/>
      <c r="F12169" s="18"/>
    </row>
    <row r="12170" spans="5:6" ht="15" customHeight="1" x14ac:dyDescent="0.2">
      <c r="E12170" s="18"/>
      <c r="F12170" s="18"/>
    </row>
    <row r="12171" spans="5:6" ht="15" customHeight="1" x14ac:dyDescent="0.2">
      <c r="E12171" s="18"/>
      <c r="F12171" s="18"/>
    </row>
    <row r="12172" spans="5:6" ht="15" customHeight="1" x14ac:dyDescent="0.2">
      <c r="E12172" s="18"/>
      <c r="F12172" s="18"/>
    </row>
    <row r="12173" spans="5:6" ht="15" customHeight="1" x14ac:dyDescent="0.2">
      <c r="E12173" s="18"/>
      <c r="F12173" s="18"/>
    </row>
    <row r="12174" spans="5:6" ht="15" customHeight="1" x14ac:dyDescent="0.2">
      <c r="E12174" s="18"/>
      <c r="F12174" s="18"/>
    </row>
    <row r="12175" spans="5:6" ht="15" customHeight="1" x14ac:dyDescent="0.2">
      <c r="E12175" s="18"/>
      <c r="F12175" s="18"/>
    </row>
    <row r="12176" spans="5:6" ht="15" customHeight="1" x14ac:dyDescent="0.2">
      <c r="E12176" s="18"/>
      <c r="F12176" s="18"/>
    </row>
    <row r="12177" spans="5:6" ht="15" customHeight="1" x14ac:dyDescent="0.2">
      <c r="E12177" s="18"/>
      <c r="F12177" s="18"/>
    </row>
    <row r="12178" spans="5:6" ht="15" customHeight="1" x14ac:dyDescent="0.2">
      <c r="E12178" s="18"/>
      <c r="F12178" s="18"/>
    </row>
    <row r="12179" spans="5:6" ht="15" customHeight="1" x14ac:dyDescent="0.2">
      <c r="E12179" s="18"/>
      <c r="F12179" s="18"/>
    </row>
    <row r="12180" spans="5:6" ht="15" customHeight="1" x14ac:dyDescent="0.2">
      <c r="E12180" s="18"/>
      <c r="F12180" s="18"/>
    </row>
    <row r="12181" spans="5:6" ht="15" customHeight="1" x14ac:dyDescent="0.2">
      <c r="E12181" s="18"/>
      <c r="F12181" s="18"/>
    </row>
    <row r="12182" spans="5:6" ht="15" customHeight="1" x14ac:dyDescent="0.2">
      <c r="E12182" s="18"/>
      <c r="F12182" s="18"/>
    </row>
    <row r="12183" spans="5:6" ht="15" customHeight="1" x14ac:dyDescent="0.2">
      <c r="E12183" s="18"/>
      <c r="F12183" s="18"/>
    </row>
    <row r="12184" spans="5:6" ht="15" customHeight="1" x14ac:dyDescent="0.2">
      <c r="E12184" s="18"/>
      <c r="F12184" s="18"/>
    </row>
    <row r="12185" spans="5:6" ht="15" customHeight="1" x14ac:dyDescent="0.2">
      <c r="E12185" s="18"/>
      <c r="F12185" s="18"/>
    </row>
    <row r="12186" spans="5:6" ht="15" customHeight="1" x14ac:dyDescent="0.2">
      <c r="E12186" s="18"/>
      <c r="F12186" s="18"/>
    </row>
    <row r="12187" spans="5:6" ht="15" customHeight="1" x14ac:dyDescent="0.2">
      <c r="E12187" s="18"/>
      <c r="F12187" s="18"/>
    </row>
    <row r="12188" spans="5:6" ht="15" customHeight="1" x14ac:dyDescent="0.2">
      <c r="E12188" s="18"/>
      <c r="F12188" s="18"/>
    </row>
    <row r="12189" spans="5:6" ht="15" customHeight="1" x14ac:dyDescent="0.2">
      <c r="E12189" s="18"/>
      <c r="F12189" s="18"/>
    </row>
    <row r="12190" spans="5:6" ht="15" customHeight="1" x14ac:dyDescent="0.2">
      <c r="E12190" s="18"/>
      <c r="F12190" s="18"/>
    </row>
    <row r="12191" spans="5:6" ht="15" customHeight="1" x14ac:dyDescent="0.2">
      <c r="E12191" s="18"/>
      <c r="F12191" s="18"/>
    </row>
    <row r="12192" spans="5:6" ht="15" customHeight="1" x14ac:dyDescent="0.2">
      <c r="E12192" s="18"/>
      <c r="F12192" s="18"/>
    </row>
    <row r="12193" spans="5:6" ht="15" customHeight="1" x14ac:dyDescent="0.2">
      <c r="E12193" s="18"/>
      <c r="F12193" s="18"/>
    </row>
    <row r="12194" spans="5:6" ht="15" customHeight="1" x14ac:dyDescent="0.2">
      <c r="E12194" s="18"/>
      <c r="F12194" s="18"/>
    </row>
    <row r="12195" spans="5:6" ht="15" customHeight="1" x14ac:dyDescent="0.2">
      <c r="E12195" s="18"/>
      <c r="F12195" s="18"/>
    </row>
    <row r="12196" spans="5:6" ht="15" customHeight="1" x14ac:dyDescent="0.2">
      <c r="E12196" s="18"/>
      <c r="F12196" s="18"/>
    </row>
    <row r="12197" spans="5:6" ht="15" customHeight="1" x14ac:dyDescent="0.2">
      <c r="E12197" s="18"/>
      <c r="F12197" s="18"/>
    </row>
    <row r="12198" spans="5:6" ht="15" customHeight="1" x14ac:dyDescent="0.2">
      <c r="E12198" s="18"/>
      <c r="F12198" s="18"/>
    </row>
    <row r="12199" spans="5:6" ht="15" customHeight="1" x14ac:dyDescent="0.2">
      <c r="E12199" s="18"/>
      <c r="F12199" s="18"/>
    </row>
    <row r="12200" spans="5:6" ht="15" customHeight="1" x14ac:dyDescent="0.2">
      <c r="E12200" s="18"/>
      <c r="F12200" s="18"/>
    </row>
    <row r="12201" spans="5:6" ht="15" customHeight="1" x14ac:dyDescent="0.2">
      <c r="E12201" s="18"/>
      <c r="F12201" s="18"/>
    </row>
    <row r="12202" spans="5:6" ht="15" customHeight="1" x14ac:dyDescent="0.2">
      <c r="E12202" s="18"/>
      <c r="F12202" s="18"/>
    </row>
    <row r="12203" spans="5:6" ht="15" customHeight="1" x14ac:dyDescent="0.2">
      <c r="E12203" s="18"/>
      <c r="F12203" s="18"/>
    </row>
    <row r="12204" spans="5:6" ht="15" customHeight="1" x14ac:dyDescent="0.2">
      <c r="E12204" s="18"/>
      <c r="F12204" s="18"/>
    </row>
    <row r="12205" spans="5:6" ht="15" customHeight="1" x14ac:dyDescent="0.2">
      <c r="E12205" s="18"/>
      <c r="F12205" s="18"/>
    </row>
    <row r="12206" spans="5:6" ht="15" customHeight="1" x14ac:dyDescent="0.2">
      <c r="E12206" s="18"/>
      <c r="F12206" s="18"/>
    </row>
    <row r="12207" spans="5:6" ht="15" customHeight="1" x14ac:dyDescent="0.2">
      <c r="E12207" s="18"/>
      <c r="F12207" s="18"/>
    </row>
    <row r="12208" spans="5:6" ht="15" customHeight="1" x14ac:dyDescent="0.2">
      <c r="E12208" s="18"/>
      <c r="F12208" s="18"/>
    </row>
    <row r="12209" spans="5:6" ht="15" customHeight="1" x14ac:dyDescent="0.2">
      <c r="E12209" s="18"/>
      <c r="F12209" s="18"/>
    </row>
    <row r="12210" spans="5:6" ht="15" customHeight="1" x14ac:dyDescent="0.2">
      <c r="E12210" s="18"/>
      <c r="F12210" s="18"/>
    </row>
    <row r="12211" spans="5:6" ht="15" customHeight="1" x14ac:dyDescent="0.2">
      <c r="E12211" s="18"/>
      <c r="F12211" s="18"/>
    </row>
    <row r="12212" spans="5:6" ht="15" customHeight="1" x14ac:dyDescent="0.2">
      <c r="E12212" s="18"/>
      <c r="F12212" s="18"/>
    </row>
    <row r="12213" spans="5:6" ht="15" customHeight="1" x14ac:dyDescent="0.2">
      <c r="E12213" s="18"/>
      <c r="F12213" s="18"/>
    </row>
    <row r="12214" spans="5:6" ht="15" customHeight="1" x14ac:dyDescent="0.2">
      <c r="E12214" s="18"/>
      <c r="F12214" s="18"/>
    </row>
    <row r="12215" spans="5:6" ht="15" customHeight="1" x14ac:dyDescent="0.2">
      <c r="E12215" s="18"/>
      <c r="F12215" s="18"/>
    </row>
    <row r="12216" spans="5:6" ht="15" customHeight="1" x14ac:dyDescent="0.2">
      <c r="E12216" s="18"/>
      <c r="F12216" s="18"/>
    </row>
    <row r="12217" spans="5:6" ht="15" customHeight="1" x14ac:dyDescent="0.2">
      <c r="E12217" s="18"/>
      <c r="F12217" s="18"/>
    </row>
    <row r="12218" spans="5:6" ht="15" customHeight="1" x14ac:dyDescent="0.2">
      <c r="E12218" s="18"/>
      <c r="F12218" s="18"/>
    </row>
    <row r="12219" spans="5:6" ht="15" customHeight="1" x14ac:dyDescent="0.2">
      <c r="E12219" s="18"/>
      <c r="F12219" s="18"/>
    </row>
    <row r="12220" spans="5:6" ht="15" customHeight="1" x14ac:dyDescent="0.2">
      <c r="E12220" s="18"/>
      <c r="F12220" s="18"/>
    </row>
    <row r="12221" spans="5:6" ht="15" customHeight="1" x14ac:dyDescent="0.2">
      <c r="E12221" s="18"/>
      <c r="F12221" s="18"/>
    </row>
    <row r="12222" spans="5:6" ht="15" customHeight="1" x14ac:dyDescent="0.2">
      <c r="E12222" s="18"/>
      <c r="F12222" s="18"/>
    </row>
    <row r="12223" spans="5:6" ht="15" customHeight="1" x14ac:dyDescent="0.2">
      <c r="E12223" s="18"/>
      <c r="F12223" s="18"/>
    </row>
    <row r="12224" spans="5:6" ht="15" customHeight="1" x14ac:dyDescent="0.2">
      <c r="E12224" s="18"/>
      <c r="F12224" s="18"/>
    </row>
    <row r="12225" spans="5:6" ht="15" customHeight="1" x14ac:dyDescent="0.2">
      <c r="E12225" s="18"/>
      <c r="F12225" s="18"/>
    </row>
    <row r="12226" spans="5:6" ht="15" customHeight="1" x14ac:dyDescent="0.2">
      <c r="E12226" s="18"/>
      <c r="F12226" s="18"/>
    </row>
    <row r="12227" spans="5:6" ht="15" customHeight="1" x14ac:dyDescent="0.2">
      <c r="E12227" s="18"/>
      <c r="F12227" s="18"/>
    </row>
    <row r="12228" spans="5:6" ht="15" customHeight="1" x14ac:dyDescent="0.2">
      <c r="E12228" s="18"/>
      <c r="F12228" s="18"/>
    </row>
    <row r="12229" spans="5:6" ht="15" customHeight="1" x14ac:dyDescent="0.2">
      <c r="E12229" s="18"/>
      <c r="F12229" s="18"/>
    </row>
    <row r="12230" spans="5:6" ht="15" customHeight="1" x14ac:dyDescent="0.2">
      <c r="E12230" s="18"/>
      <c r="F12230" s="18"/>
    </row>
    <row r="12231" spans="5:6" ht="15" customHeight="1" x14ac:dyDescent="0.2">
      <c r="E12231" s="18"/>
      <c r="F12231" s="18"/>
    </row>
    <row r="12232" spans="5:6" ht="15" customHeight="1" x14ac:dyDescent="0.2">
      <c r="E12232" s="18"/>
      <c r="F12232" s="18"/>
    </row>
    <row r="12233" spans="5:6" ht="15" customHeight="1" x14ac:dyDescent="0.2">
      <c r="E12233" s="18"/>
      <c r="F12233" s="18"/>
    </row>
    <row r="12234" spans="5:6" ht="15" customHeight="1" x14ac:dyDescent="0.2">
      <c r="E12234" s="18"/>
      <c r="F12234" s="18"/>
    </row>
    <row r="12235" spans="5:6" ht="15" customHeight="1" x14ac:dyDescent="0.2">
      <c r="E12235" s="18"/>
      <c r="F12235" s="18"/>
    </row>
    <row r="12236" spans="5:6" ht="15" customHeight="1" x14ac:dyDescent="0.2">
      <c r="E12236" s="18"/>
      <c r="F12236" s="18"/>
    </row>
    <row r="12237" spans="5:6" ht="15" customHeight="1" x14ac:dyDescent="0.2">
      <c r="E12237" s="18"/>
      <c r="F12237" s="18"/>
    </row>
    <row r="12238" spans="5:6" ht="15" customHeight="1" x14ac:dyDescent="0.2">
      <c r="E12238" s="18"/>
      <c r="F12238" s="18"/>
    </row>
    <row r="12239" spans="5:6" ht="15" customHeight="1" x14ac:dyDescent="0.2">
      <c r="E12239" s="18"/>
      <c r="F12239" s="18"/>
    </row>
    <row r="12240" spans="5:6" ht="15" customHeight="1" x14ac:dyDescent="0.2">
      <c r="E12240" s="18"/>
      <c r="F12240" s="18"/>
    </row>
    <row r="12241" spans="5:6" ht="15" customHeight="1" x14ac:dyDescent="0.2">
      <c r="E12241" s="18"/>
      <c r="F12241" s="18"/>
    </row>
    <row r="12242" spans="5:6" ht="15" customHeight="1" x14ac:dyDescent="0.2">
      <c r="E12242" s="18"/>
      <c r="F12242" s="18"/>
    </row>
    <row r="12243" spans="5:6" ht="15" customHeight="1" x14ac:dyDescent="0.2">
      <c r="E12243" s="18"/>
      <c r="F12243" s="18"/>
    </row>
    <row r="12244" spans="5:6" ht="15" customHeight="1" x14ac:dyDescent="0.2">
      <c r="E12244" s="18"/>
      <c r="F12244" s="18"/>
    </row>
    <row r="12245" spans="5:6" ht="15" customHeight="1" x14ac:dyDescent="0.2">
      <c r="E12245" s="18"/>
      <c r="F12245" s="18"/>
    </row>
    <row r="12246" spans="5:6" ht="15" customHeight="1" x14ac:dyDescent="0.2">
      <c r="E12246" s="18"/>
      <c r="F12246" s="18"/>
    </row>
    <row r="12247" spans="5:6" ht="15" customHeight="1" x14ac:dyDescent="0.2">
      <c r="E12247" s="18"/>
      <c r="F12247" s="18"/>
    </row>
    <row r="12248" spans="5:6" ht="15" customHeight="1" x14ac:dyDescent="0.2">
      <c r="E12248" s="18"/>
      <c r="F12248" s="18"/>
    </row>
    <row r="12249" spans="5:6" ht="15" customHeight="1" x14ac:dyDescent="0.2">
      <c r="E12249" s="18"/>
      <c r="F12249" s="18"/>
    </row>
    <row r="12250" spans="5:6" ht="15" customHeight="1" x14ac:dyDescent="0.2">
      <c r="E12250" s="18"/>
      <c r="F12250" s="18"/>
    </row>
    <row r="12251" spans="5:6" ht="15" customHeight="1" x14ac:dyDescent="0.2">
      <c r="E12251" s="18"/>
      <c r="F12251" s="18"/>
    </row>
    <row r="12252" spans="5:6" ht="15" customHeight="1" x14ac:dyDescent="0.2">
      <c r="E12252" s="18"/>
      <c r="F12252" s="18"/>
    </row>
    <row r="12253" spans="5:6" ht="15" customHeight="1" x14ac:dyDescent="0.2">
      <c r="E12253" s="18"/>
      <c r="F12253" s="18"/>
    </row>
    <row r="12254" spans="5:6" ht="15" customHeight="1" x14ac:dyDescent="0.2">
      <c r="E12254" s="18"/>
      <c r="F12254" s="18"/>
    </row>
    <row r="12255" spans="5:6" ht="15" customHeight="1" x14ac:dyDescent="0.2">
      <c r="E12255" s="18"/>
      <c r="F12255" s="18"/>
    </row>
    <row r="12256" spans="5:6" ht="15" customHeight="1" x14ac:dyDescent="0.2">
      <c r="E12256" s="18"/>
      <c r="F12256" s="18"/>
    </row>
    <row r="12257" spans="5:6" ht="15" customHeight="1" x14ac:dyDescent="0.2">
      <c r="E12257" s="18"/>
      <c r="F12257" s="18"/>
    </row>
    <row r="12258" spans="5:6" ht="15" customHeight="1" x14ac:dyDescent="0.2">
      <c r="E12258" s="18"/>
      <c r="F12258" s="18"/>
    </row>
    <row r="12259" spans="5:6" ht="15" customHeight="1" x14ac:dyDescent="0.2">
      <c r="E12259" s="18"/>
      <c r="F12259" s="18"/>
    </row>
    <row r="12260" spans="5:6" ht="15" customHeight="1" x14ac:dyDescent="0.2">
      <c r="E12260" s="18"/>
      <c r="F12260" s="18"/>
    </row>
    <row r="12261" spans="5:6" ht="15" customHeight="1" x14ac:dyDescent="0.2">
      <c r="E12261" s="18"/>
      <c r="F12261" s="18"/>
    </row>
    <row r="12262" spans="5:6" ht="15" customHeight="1" x14ac:dyDescent="0.2">
      <c r="E12262" s="18"/>
      <c r="F12262" s="18"/>
    </row>
    <row r="12263" spans="5:6" ht="15" customHeight="1" x14ac:dyDescent="0.2">
      <c r="E12263" s="18"/>
      <c r="F12263" s="18"/>
    </row>
    <row r="12264" spans="5:6" ht="15" customHeight="1" x14ac:dyDescent="0.2">
      <c r="E12264" s="18"/>
      <c r="F12264" s="18"/>
    </row>
    <row r="12265" spans="5:6" ht="15" customHeight="1" x14ac:dyDescent="0.2">
      <c r="E12265" s="18"/>
      <c r="F12265" s="18"/>
    </row>
    <row r="12266" spans="5:6" ht="15" customHeight="1" x14ac:dyDescent="0.2">
      <c r="E12266" s="18"/>
      <c r="F12266" s="18"/>
    </row>
    <row r="12267" spans="5:6" ht="15" customHeight="1" x14ac:dyDescent="0.2">
      <c r="E12267" s="18"/>
      <c r="F12267" s="18"/>
    </row>
    <row r="12268" spans="5:6" ht="15" customHeight="1" x14ac:dyDescent="0.2">
      <c r="E12268" s="18"/>
      <c r="F12268" s="18"/>
    </row>
    <row r="12269" spans="5:6" ht="15" customHeight="1" x14ac:dyDescent="0.2">
      <c r="E12269" s="18"/>
      <c r="F12269" s="18"/>
    </row>
    <row r="12270" spans="5:6" ht="15" customHeight="1" x14ac:dyDescent="0.2">
      <c r="E12270" s="18"/>
      <c r="F12270" s="18"/>
    </row>
    <row r="12271" spans="5:6" ht="15" customHeight="1" x14ac:dyDescent="0.2">
      <c r="E12271" s="18"/>
      <c r="F12271" s="18"/>
    </row>
    <row r="12272" spans="5:6" ht="15" customHeight="1" x14ac:dyDescent="0.2">
      <c r="E12272" s="18"/>
      <c r="F12272" s="18"/>
    </row>
    <row r="12273" spans="5:6" ht="15" customHeight="1" x14ac:dyDescent="0.2">
      <c r="E12273" s="18"/>
      <c r="F12273" s="18"/>
    </row>
    <row r="12274" spans="5:6" ht="15" customHeight="1" x14ac:dyDescent="0.2">
      <c r="E12274" s="18"/>
      <c r="F12274" s="18"/>
    </row>
    <row r="12275" spans="5:6" ht="15" customHeight="1" x14ac:dyDescent="0.2">
      <c r="E12275" s="18"/>
      <c r="F12275" s="18"/>
    </row>
    <row r="12276" spans="5:6" ht="15" customHeight="1" x14ac:dyDescent="0.2">
      <c r="E12276" s="18"/>
      <c r="F12276" s="18"/>
    </row>
    <row r="12277" spans="5:6" ht="15" customHeight="1" x14ac:dyDescent="0.2">
      <c r="E12277" s="18"/>
      <c r="F12277" s="18"/>
    </row>
    <row r="12278" spans="5:6" ht="15" customHeight="1" x14ac:dyDescent="0.2">
      <c r="E12278" s="18"/>
      <c r="F12278" s="18"/>
    </row>
    <row r="12279" spans="5:6" ht="15" customHeight="1" x14ac:dyDescent="0.2">
      <c r="E12279" s="18"/>
      <c r="F12279" s="18"/>
    </row>
    <row r="12280" spans="5:6" ht="15" customHeight="1" x14ac:dyDescent="0.2">
      <c r="E12280" s="18"/>
      <c r="F12280" s="18"/>
    </row>
    <row r="12281" spans="5:6" ht="15" customHeight="1" x14ac:dyDescent="0.2">
      <c r="E12281" s="18"/>
      <c r="F12281" s="18"/>
    </row>
    <row r="12282" spans="5:6" ht="15" customHeight="1" x14ac:dyDescent="0.2">
      <c r="E12282" s="18"/>
      <c r="F12282" s="18"/>
    </row>
    <row r="12283" spans="5:6" ht="15" customHeight="1" x14ac:dyDescent="0.2">
      <c r="E12283" s="18"/>
      <c r="F12283" s="18"/>
    </row>
    <row r="12284" spans="5:6" ht="15" customHeight="1" x14ac:dyDescent="0.2">
      <c r="E12284" s="18"/>
      <c r="F12284" s="18"/>
    </row>
    <row r="12285" spans="5:6" ht="15" customHeight="1" x14ac:dyDescent="0.2">
      <c r="E12285" s="18"/>
      <c r="F12285" s="18"/>
    </row>
    <row r="12286" spans="5:6" ht="15" customHeight="1" x14ac:dyDescent="0.2">
      <c r="E12286" s="18"/>
      <c r="F12286" s="18"/>
    </row>
    <row r="12287" spans="5:6" ht="15" customHeight="1" x14ac:dyDescent="0.2">
      <c r="E12287" s="18"/>
      <c r="F12287" s="18"/>
    </row>
    <row r="12288" spans="5:6" ht="15" customHeight="1" x14ac:dyDescent="0.2">
      <c r="E12288" s="18"/>
      <c r="F12288" s="18"/>
    </row>
    <row r="12289" spans="5:6" ht="15" customHeight="1" x14ac:dyDescent="0.2">
      <c r="E12289" s="18"/>
      <c r="F12289" s="18"/>
    </row>
    <row r="12290" spans="5:6" ht="15" customHeight="1" x14ac:dyDescent="0.2">
      <c r="E12290" s="18"/>
      <c r="F12290" s="18"/>
    </row>
    <row r="12291" spans="5:6" ht="15" customHeight="1" x14ac:dyDescent="0.2">
      <c r="E12291" s="18"/>
      <c r="F12291" s="18"/>
    </row>
    <row r="12292" spans="5:6" ht="15" customHeight="1" x14ac:dyDescent="0.2">
      <c r="E12292" s="18"/>
      <c r="F12292" s="18"/>
    </row>
    <row r="12293" spans="5:6" ht="15" customHeight="1" x14ac:dyDescent="0.2">
      <c r="E12293" s="18"/>
      <c r="F12293" s="18"/>
    </row>
    <row r="12294" spans="5:6" ht="15" customHeight="1" x14ac:dyDescent="0.2">
      <c r="E12294" s="18"/>
      <c r="F12294" s="18"/>
    </row>
    <row r="12295" spans="5:6" ht="15" customHeight="1" x14ac:dyDescent="0.2">
      <c r="E12295" s="18"/>
      <c r="F12295" s="18"/>
    </row>
    <row r="12296" spans="5:6" ht="15" customHeight="1" x14ac:dyDescent="0.2">
      <c r="E12296" s="18"/>
      <c r="F12296" s="18"/>
    </row>
    <row r="12297" spans="5:6" ht="15" customHeight="1" x14ac:dyDescent="0.2">
      <c r="E12297" s="18"/>
      <c r="F12297" s="18"/>
    </row>
    <row r="12298" spans="5:6" ht="15" customHeight="1" x14ac:dyDescent="0.2">
      <c r="E12298" s="18"/>
      <c r="F12298" s="18"/>
    </row>
    <row r="12299" spans="5:6" ht="15" customHeight="1" x14ac:dyDescent="0.2">
      <c r="E12299" s="18"/>
      <c r="F12299" s="18"/>
    </row>
    <row r="12300" spans="5:6" ht="15" customHeight="1" x14ac:dyDescent="0.2">
      <c r="E12300" s="18"/>
      <c r="F12300" s="18"/>
    </row>
    <row r="12301" spans="5:6" ht="15" customHeight="1" x14ac:dyDescent="0.2">
      <c r="E12301" s="18"/>
      <c r="F12301" s="18"/>
    </row>
    <row r="12302" spans="5:6" ht="15" customHeight="1" x14ac:dyDescent="0.2">
      <c r="E12302" s="18"/>
      <c r="F12302" s="18"/>
    </row>
    <row r="12303" spans="5:6" ht="15" customHeight="1" x14ac:dyDescent="0.2">
      <c r="E12303" s="18"/>
      <c r="F12303" s="18"/>
    </row>
    <row r="12304" spans="5:6" ht="15" customHeight="1" x14ac:dyDescent="0.2">
      <c r="E12304" s="18"/>
      <c r="F12304" s="18"/>
    </row>
    <row r="12305" spans="5:6" ht="15" customHeight="1" x14ac:dyDescent="0.2">
      <c r="E12305" s="18"/>
      <c r="F12305" s="18"/>
    </row>
    <row r="12306" spans="5:6" ht="15" customHeight="1" x14ac:dyDescent="0.2">
      <c r="E12306" s="18"/>
      <c r="F12306" s="18"/>
    </row>
    <row r="12307" spans="5:6" ht="15" customHeight="1" x14ac:dyDescent="0.2">
      <c r="E12307" s="18"/>
      <c r="F12307" s="18"/>
    </row>
    <row r="12308" spans="5:6" ht="15" customHeight="1" x14ac:dyDescent="0.2">
      <c r="E12308" s="18"/>
      <c r="F12308" s="18"/>
    </row>
    <row r="12309" spans="5:6" ht="15" customHeight="1" x14ac:dyDescent="0.2">
      <c r="E12309" s="18"/>
      <c r="F12309" s="18"/>
    </row>
    <row r="12310" spans="5:6" ht="15" customHeight="1" x14ac:dyDescent="0.2">
      <c r="E12310" s="18"/>
      <c r="F12310" s="18"/>
    </row>
    <row r="12311" spans="5:6" ht="15" customHeight="1" x14ac:dyDescent="0.2">
      <c r="E12311" s="18"/>
      <c r="F12311" s="18"/>
    </row>
    <row r="12312" spans="5:6" ht="15" customHeight="1" x14ac:dyDescent="0.2">
      <c r="E12312" s="18"/>
      <c r="F12312" s="18"/>
    </row>
    <row r="12313" spans="5:6" ht="15" customHeight="1" x14ac:dyDescent="0.2">
      <c r="E12313" s="18"/>
      <c r="F12313" s="18"/>
    </row>
    <row r="12314" spans="5:6" ht="15" customHeight="1" x14ac:dyDescent="0.2">
      <c r="E12314" s="18"/>
      <c r="F12314" s="18"/>
    </row>
    <row r="12315" spans="5:6" ht="15" customHeight="1" x14ac:dyDescent="0.2">
      <c r="E12315" s="18"/>
      <c r="F12315" s="18"/>
    </row>
    <row r="12316" spans="5:6" ht="15" customHeight="1" x14ac:dyDescent="0.2">
      <c r="E12316" s="18"/>
      <c r="F12316" s="18"/>
    </row>
    <row r="12317" spans="5:6" ht="15" customHeight="1" x14ac:dyDescent="0.2">
      <c r="E12317" s="18"/>
      <c r="F12317" s="18"/>
    </row>
    <row r="12318" spans="5:6" ht="15" customHeight="1" x14ac:dyDescent="0.2">
      <c r="E12318" s="18"/>
      <c r="F12318" s="18"/>
    </row>
    <row r="12319" spans="5:6" ht="15" customHeight="1" x14ac:dyDescent="0.2">
      <c r="E12319" s="18"/>
      <c r="F12319" s="18"/>
    </row>
    <row r="12320" spans="5:6" ht="15" customHeight="1" x14ac:dyDescent="0.2">
      <c r="E12320" s="18"/>
      <c r="F12320" s="18"/>
    </row>
    <row r="12321" spans="5:6" ht="15" customHeight="1" x14ac:dyDescent="0.2">
      <c r="E12321" s="18"/>
      <c r="F12321" s="18"/>
    </row>
    <row r="12322" spans="5:6" ht="15" customHeight="1" x14ac:dyDescent="0.2">
      <c r="E12322" s="18"/>
      <c r="F12322" s="18"/>
    </row>
    <row r="12323" spans="5:6" ht="15" customHeight="1" x14ac:dyDescent="0.2">
      <c r="E12323" s="18"/>
      <c r="F12323" s="18"/>
    </row>
    <row r="12324" spans="5:6" ht="15" customHeight="1" x14ac:dyDescent="0.2">
      <c r="E12324" s="18"/>
      <c r="F12324" s="18"/>
    </row>
    <row r="12325" spans="5:6" ht="15" customHeight="1" x14ac:dyDescent="0.2">
      <c r="E12325" s="18"/>
      <c r="F12325" s="18"/>
    </row>
    <row r="12326" spans="5:6" ht="15" customHeight="1" x14ac:dyDescent="0.2">
      <c r="E12326" s="18"/>
      <c r="F12326" s="18"/>
    </row>
    <row r="12327" spans="5:6" ht="15" customHeight="1" x14ac:dyDescent="0.2">
      <c r="E12327" s="18"/>
      <c r="F12327" s="18"/>
    </row>
    <row r="12328" spans="5:6" ht="15" customHeight="1" x14ac:dyDescent="0.2">
      <c r="E12328" s="18"/>
      <c r="F12328" s="18"/>
    </row>
    <row r="12329" spans="5:6" ht="15" customHeight="1" x14ac:dyDescent="0.2">
      <c r="E12329" s="18"/>
      <c r="F12329" s="18"/>
    </row>
    <row r="12330" spans="5:6" ht="15" customHeight="1" x14ac:dyDescent="0.2">
      <c r="E12330" s="18"/>
      <c r="F12330" s="18"/>
    </row>
    <row r="12331" spans="5:6" ht="15" customHeight="1" x14ac:dyDescent="0.2">
      <c r="E12331" s="18"/>
      <c r="F12331" s="18"/>
    </row>
    <row r="12332" spans="5:6" ht="15" customHeight="1" x14ac:dyDescent="0.2">
      <c r="E12332" s="18"/>
      <c r="F12332" s="18"/>
    </row>
    <row r="12333" spans="5:6" ht="15" customHeight="1" x14ac:dyDescent="0.2">
      <c r="E12333" s="18"/>
      <c r="F12333" s="18"/>
    </row>
    <row r="12334" spans="5:6" ht="15" customHeight="1" x14ac:dyDescent="0.2">
      <c r="E12334" s="18"/>
      <c r="F12334" s="18"/>
    </row>
    <row r="12335" spans="5:6" ht="15" customHeight="1" x14ac:dyDescent="0.2">
      <c r="E12335" s="18"/>
      <c r="F12335" s="18"/>
    </row>
    <row r="12336" spans="5:6" ht="15" customHeight="1" x14ac:dyDescent="0.2">
      <c r="E12336" s="18"/>
      <c r="F12336" s="18"/>
    </row>
    <row r="12337" spans="5:6" ht="15" customHeight="1" x14ac:dyDescent="0.2">
      <c r="E12337" s="18"/>
      <c r="F12337" s="18"/>
    </row>
    <row r="12338" spans="5:6" ht="15" customHeight="1" x14ac:dyDescent="0.2">
      <c r="E12338" s="18"/>
      <c r="F12338" s="18"/>
    </row>
    <row r="12339" spans="5:6" ht="15" customHeight="1" x14ac:dyDescent="0.2">
      <c r="E12339" s="18"/>
      <c r="F12339" s="18"/>
    </row>
    <row r="12340" spans="5:6" ht="15" customHeight="1" x14ac:dyDescent="0.2">
      <c r="E12340" s="18"/>
      <c r="F12340" s="18"/>
    </row>
    <row r="12341" spans="5:6" ht="15" customHeight="1" x14ac:dyDescent="0.2">
      <c r="E12341" s="18"/>
      <c r="F12341" s="18"/>
    </row>
    <row r="12342" spans="5:6" ht="15" customHeight="1" x14ac:dyDescent="0.2">
      <c r="E12342" s="18"/>
      <c r="F12342" s="18"/>
    </row>
    <row r="12343" spans="5:6" ht="15" customHeight="1" x14ac:dyDescent="0.2">
      <c r="E12343" s="18"/>
      <c r="F12343" s="18"/>
    </row>
    <row r="12344" spans="5:6" ht="15" customHeight="1" x14ac:dyDescent="0.2">
      <c r="E12344" s="18"/>
      <c r="F12344" s="18"/>
    </row>
    <row r="12345" spans="5:6" ht="15" customHeight="1" x14ac:dyDescent="0.2">
      <c r="E12345" s="18"/>
      <c r="F12345" s="18"/>
    </row>
    <row r="12346" spans="5:6" ht="15" customHeight="1" x14ac:dyDescent="0.2">
      <c r="E12346" s="18"/>
      <c r="F12346" s="18"/>
    </row>
    <row r="12347" spans="5:6" ht="15" customHeight="1" x14ac:dyDescent="0.2">
      <c r="E12347" s="18"/>
      <c r="F12347" s="18"/>
    </row>
    <row r="12348" spans="5:6" ht="15" customHeight="1" x14ac:dyDescent="0.2">
      <c r="E12348" s="18"/>
      <c r="F12348" s="18"/>
    </row>
    <row r="12349" spans="5:6" ht="15" customHeight="1" x14ac:dyDescent="0.2">
      <c r="E12349" s="18"/>
      <c r="F12349" s="18"/>
    </row>
    <row r="12350" spans="5:6" ht="15" customHeight="1" x14ac:dyDescent="0.2">
      <c r="E12350" s="18"/>
      <c r="F12350" s="18"/>
    </row>
    <row r="12351" spans="5:6" ht="15" customHeight="1" x14ac:dyDescent="0.2">
      <c r="E12351" s="18"/>
      <c r="F12351" s="18"/>
    </row>
    <row r="12352" spans="5:6" ht="15" customHeight="1" x14ac:dyDescent="0.2">
      <c r="E12352" s="18"/>
      <c r="F12352" s="18"/>
    </row>
    <row r="12353" spans="5:6" ht="15" customHeight="1" x14ac:dyDescent="0.2">
      <c r="E12353" s="18"/>
      <c r="F12353" s="18"/>
    </row>
    <row r="12354" spans="5:6" ht="15" customHeight="1" x14ac:dyDescent="0.2">
      <c r="E12354" s="18"/>
      <c r="F12354" s="18"/>
    </row>
    <row r="12355" spans="5:6" ht="15" customHeight="1" x14ac:dyDescent="0.2">
      <c r="E12355" s="18"/>
      <c r="F12355" s="18"/>
    </row>
    <row r="12356" spans="5:6" ht="15" customHeight="1" x14ac:dyDescent="0.2">
      <c r="E12356" s="18"/>
      <c r="F12356" s="18"/>
    </row>
    <row r="12357" spans="5:6" ht="15" customHeight="1" x14ac:dyDescent="0.2">
      <c r="E12357" s="18"/>
      <c r="F12357" s="18"/>
    </row>
    <row r="12358" spans="5:6" ht="15" customHeight="1" x14ac:dyDescent="0.2">
      <c r="E12358" s="18"/>
      <c r="F12358" s="18"/>
    </row>
    <row r="12359" spans="5:6" ht="15" customHeight="1" x14ac:dyDescent="0.2">
      <c r="E12359" s="18"/>
      <c r="F12359" s="18"/>
    </row>
    <row r="12360" spans="5:6" ht="15" customHeight="1" x14ac:dyDescent="0.2">
      <c r="E12360" s="18"/>
      <c r="F12360" s="18"/>
    </row>
    <row r="12361" spans="5:6" ht="15" customHeight="1" x14ac:dyDescent="0.2">
      <c r="E12361" s="18"/>
      <c r="F12361" s="18"/>
    </row>
    <row r="12362" spans="5:6" ht="15" customHeight="1" x14ac:dyDescent="0.2">
      <c r="E12362" s="18"/>
      <c r="F12362" s="18"/>
    </row>
    <row r="12363" spans="5:6" ht="15" customHeight="1" x14ac:dyDescent="0.2">
      <c r="E12363" s="18"/>
      <c r="F12363" s="18"/>
    </row>
    <row r="12364" spans="5:6" ht="15" customHeight="1" x14ac:dyDescent="0.2">
      <c r="E12364" s="18"/>
      <c r="F12364" s="18"/>
    </row>
    <row r="12365" spans="5:6" ht="15" customHeight="1" x14ac:dyDescent="0.2">
      <c r="E12365" s="18"/>
      <c r="F12365" s="18"/>
    </row>
    <row r="12366" spans="5:6" ht="15" customHeight="1" x14ac:dyDescent="0.2">
      <c r="E12366" s="18"/>
      <c r="F12366" s="18"/>
    </row>
    <row r="12367" spans="5:6" ht="15" customHeight="1" x14ac:dyDescent="0.2">
      <c r="E12367" s="18"/>
      <c r="F12367" s="18"/>
    </row>
    <row r="12368" spans="5:6" ht="15" customHeight="1" x14ac:dyDescent="0.2">
      <c r="E12368" s="18"/>
      <c r="F12368" s="18"/>
    </row>
    <row r="12369" spans="5:6" ht="15" customHeight="1" x14ac:dyDescent="0.2">
      <c r="E12369" s="18"/>
      <c r="F12369" s="18"/>
    </row>
    <row r="12370" spans="5:6" ht="15" customHeight="1" x14ac:dyDescent="0.2">
      <c r="E12370" s="18"/>
      <c r="F12370" s="18"/>
    </row>
    <row r="12371" spans="5:6" ht="15" customHeight="1" x14ac:dyDescent="0.2">
      <c r="E12371" s="18"/>
      <c r="F12371" s="18"/>
    </row>
    <row r="12372" spans="5:6" ht="15" customHeight="1" x14ac:dyDescent="0.2">
      <c r="E12372" s="18"/>
      <c r="F12372" s="18"/>
    </row>
    <row r="12373" spans="5:6" ht="15" customHeight="1" x14ac:dyDescent="0.2">
      <c r="E12373" s="18"/>
      <c r="F12373" s="18"/>
    </row>
    <row r="12374" spans="5:6" ht="15" customHeight="1" x14ac:dyDescent="0.2">
      <c r="E12374" s="18"/>
      <c r="F12374" s="18"/>
    </row>
    <row r="12375" spans="5:6" ht="15" customHeight="1" x14ac:dyDescent="0.2">
      <c r="E12375" s="18"/>
      <c r="F12375" s="18"/>
    </row>
    <row r="12376" spans="5:6" ht="15" customHeight="1" x14ac:dyDescent="0.2">
      <c r="E12376" s="18"/>
      <c r="F12376" s="18"/>
    </row>
    <row r="12377" spans="5:6" ht="15" customHeight="1" x14ac:dyDescent="0.2">
      <c r="E12377" s="18"/>
      <c r="F12377" s="18"/>
    </row>
    <row r="12378" spans="5:6" ht="15" customHeight="1" x14ac:dyDescent="0.2">
      <c r="E12378" s="18"/>
      <c r="F12378" s="18"/>
    </row>
    <row r="12379" spans="5:6" ht="15" customHeight="1" x14ac:dyDescent="0.2">
      <c r="E12379" s="18"/>
      <c r="F12379" s="18"/>
    </row>
    <row r="12380" spans="5:6" ht="15" customHeight="1" x14ac:dyDescent="0.2">
      <c r="E12380" s="18"/>
      <c r="F12380" s="18"/>
    </row>
    <row r="12381" spans="5:6" ht="15" customHeight="1" x14ac:dyDescent="0.2">
      <c r="E12381" s="18"/>
      <c r="F12381" s="18"/>
    </row>
    <row r="12382" spans="5:6" ht="15" customHeight="1" x14ac:dyDescent="0.2">
      <c r="E12382" s="18"/>
      <c r="F12382" s="18"/>
    </row>
    <row r="12383" spans="5:6" ht="15" customHeight="1" x14ac:dyDescent="0.2">
      <c r="E12383" s="18"/>
      <c r="F12383" s="18"/>
    </row>
    <row r="12384" spans="5:6" ht="15" customHeight="1" x14ac:dyDescent="0.2">
      <c r="E12384" s="18"/>
      <c r="F12384" s="18"/>
    </row>
    <row r="12385" spans="5:6" ht="15" customHeight="1" x14ac:dyDescent="0.2">
      <c r="E12385" s="18"/>
      <c r="F12385" s="18"/>
    </row>
    <row r="12386" spans="5:6" ht="15" customHeight="1" x14ac:dyDescent="0.2">
      <c r="E12386" s="18"/>
      <c r="F12386" s="18"/>
    </row>
    <row r="12387" spans="5:6" ht="15" customHeight="1" x14ac:dyDescent="0.2">
      <c r="E12387" s="18"/>
      <c r="F12387" s="18"/>
    </row>
    <row r="12388" spans="5:6" ht="15" customHeight="1" x14ac:dyDescent="0.2">
      <c r="E12388" s="18"/>
      <c r="F12388" s="18"/>
    </row>
    <row r="12389" spans="5:6" ht="15" customHeight="1" x14ac:dyDescent="0.2">
      <c r="E12389" s="18"/>
      <c r="F12389" s="18"/>
    </row>
    <row r="12390" spans="5:6" ht="15" customHeight="1" x14ac:dyDescent="0.2">
      <c r="E12390" s="18"/>
      <c r="F12390" s="18"/>
    </row>
    <row r="12391" spans="5:6" ht="15" customHeight="1" x14ac:dyDescent="0.2">
      <c r="E12391" s="18"/>
      <c r="F12391" s="18"/>
    </row>
    <row r="12392" spans="5:6" ht="15" customHeight="1" x14ac:dyDescent="0.2">
      <c r="E12392" s="18"/>
      <c r="F12392" s="18"/>
    </row>
    <row r="12393" spans="5:6" ht="15" customHeight="1" x14ac:dyDescent="0.2">
      <c r="E12393" s="18"/>
      <c r="F12393" s="18"/>
    </row>
    <row r="12394" spans="5:6" ht="15" customHeight="1" x14ac:dyDescent="0.2">
      <c r="E12394" s="18"/>
      <c r="F12394" s="18"/>
    </row>
    <row r="12395" spans="5:6" ht="15" customHeight="1" x14ac:dyDescent="0.2">
      <c r="E12395" s="18"/>
      <c r="F12395" s="18"/>
    </row>
    <row r="12396" spans="5:6" ht="15" customHeight="1" x14ac:dyDescent="0.2">
      <c r="E12396" s="18"/>
      <c r="F12396" s="18"/>
    </row>
    <row r="12397" spans="5:6" ht="15" customHeight="1" x14ac:dyDescent="0.2">
      <c r="E12397" s="18"/>
      <c r="F12397" s="18"/>
    </row>
    <row r="12398" spans="5:6" ht="15" customHeight="1" x14ac:dyDescent="0.2">
      <c r="E12398" s="18"/>
      <c r="F12398" s="18"/>
    </row>
    <row r="12399" spans="5:6" ht="15" customHeight="1" x14ac:dyDescent="0.2">
      <c r="E12399" s="18"/>
      <c r="F12399" s="18"/>
    </row>
    <row r="12400" spans="5:6" ht="15" customHeight="1" x14ac:dyDescent="0.2">
      <c r="E12400" s="18"/>
      <c r="F12400" s="18"/>
    </row>
    <row r="12401" spans="5:6" ht="15" customHeight="1" x14ac:dyDescent="0.2">
      <c r="E12401" s="18"/>
      <c r="F12401" s="18"/>
    </row>
    <row r="12402" spans="5:6" ht="15" customHeight="1" x14ac:dyDescent="0.2">
      <c r="E12402" s="18"/>
      <c r="F12402" s="18"/>
    </row>
    <row r="12403" spans="5:6" ht="15" customHeight="1" x14ac:dyDescent="0.2">
      <c r="E12403" s="18"/>
      <c r="F12403" s="18"/>
    </row>
    <row r="12404" spans="5:6" ht="15" customHeight="1" x14ac:dyDescent="0.2">
      <c r="E12404" s="18"/>
      <c r="F12404" s="18"/>
    </row>
    <row r="12405" spans="5:6" ht="15" customHeight="1" x14ac:dyDescent="0.2">
      <c r="E12405" s="18"/>
      <c r="F12405" s="18"/>
    </row>
    <row r="12406" spans="5:6" ht="15" customHeight="1" x14ac:dyDescent="0.2">
      <c r="E12406" s="18"/>
      <c r="F12406" s="18"/>
    </row>
    <row r="12407" spans="5:6" ht="15" customHeight="1" x14ac:dyDescent="0.2">
      <c r="E12407" s="18"/>
      <c r="F12407" s="18"/>
    </row>
    <row r="12408" spans="5:6" ht="15" customHeight="1" x14ac:dyDescent="0.2">
      <c r="E12408" s="18"/>
      <c r="F12408" s="18"/>
    </row>
    <row r="12409" spans="5:6" ht="15" customHeight="1" x14ac:dyDescent="0.2">
      <c r="E12409" s="18"/>
      <c r="F12409" s="18"/>
    </row>
    <row r="12410" spans="5:6" ht="15" customHeight="1" x14ac:dyDescent="0.2">
      <c r="E12410" s="18"/>
      <c r="F12410" s="18"/>
    </row>
    <row r="12411" spans="5:6" ht="15" customHeight="1" x14ac:dyDescent="0.2">
      <c r="E12411" s="18"/>
      <c r="F12411" s="18"/>
    </row>
    <row r="12412" spans="5:6" ht="15" customHeight="1" x14ac:dyDescent="0.2">
      <c r="E12412" s="18"/>
      <c r="F12412" s="18"/>
    </row>
    <row r="12413" spans="5:6" ht="15" customHeight="1" x14ac:dyDescent="0.2">
      <c r="E12413" s="18"/>
      <c r="F12413" s="18"/>
    </row>
    <row r="12414" spans="5:6" ht="15" customHeight="1" x14ac:dyDescent="0.2">
      <c r="E12414" s="18"/>
      <c r="F12414" s="18"/>
    </row>
    <row r="12415" spans="5:6" ht="15" customHeight="1" x14ac:dyDescent="0.2">
      <c r="E12415" s="18"/>
      <c r="F12415" s="18"/>
    </row>
    <row r="12416" spans="5:6" ht="15" customHeight="1" x14ac:dyDescent="0.2">
      <c r="E12416" s="18"/>
      <c r="F12416" s="18"/>
    </row>
    <row r="12417" spans="5:6" ht="15" customHeight="1" x14ac:dyDescent="0.2">
      <c r="E12417" s="18"/>
      <c r="F12417" s="18"/>
    </row>
    <row r="12418" spans="5:6" ht="15" customHeight="1" x14ac:dyDescent="0.2">
      <c r="E12418" s="18"/>
      <c r="F12418" s="18"/>
    </row>
    <row r="12419" spans="5:6" ht="15" customHeight="1" x14ac:dyDescent="0.2">
      <c r="E12419" s="18"/>
      <c r="F12419" s="18"/>
    </row>
    <row r="12420" spans="5:6" ht="15" customHeight="1" x14ac:dyDescent="0.2">
      <c r="E12420" s="18"/>
      <c r="F12420" s="18"/>
    </row>
    <row r="12421" spans="5:6" ht="15" customHeight="1" x14ac:dyDescent="0.2">
      <c r="E12421" s="18"/>
      <c r="F12421" s="18"/>
    </row>
    <row r="12422" spans="5:6" ht="15" customHeight="1" x14ac:dyDescent="0.2">
      <c r="E12422" s="18"/>
      <c r="F12422" s="18"/>
    </row>
    <row r="12423" spans="5:6" ht="15" customHeight="1" x14ac:dyDescent="0.2">
      <c r="E12423" s="18"/>
      <c r="F12423" s="18"/>
    </row>
    <row r="12424" spans="5:6" ht="15" customHeight="1" x14ac:dyDescent="0.2">
      <c r="E12424" s="18"/>
      <c r="F12424" s="18"/>
    </row>
    <row r="12425" spans="5:6" ht="15" customHeight="1" x14ac:dyDescent="0.2">
      <c r="E12425" s="18"/>
      <c r="F12425" s="18"/>
    </row>
    <row r="12426" spans="5:6" ht="15" customHeight="1" x14ac:dyDescent="0.2">
      <c r="E12426" s="18"/>
      <c r="F12426" s="18"/>
    </row>
    <row r="12427" spans="5:6" ht="15" customHeight="1" x14ac:dyDescent="0.2">
      <c r="E12427" s="18"/>
      <c r="F12427" s="18"/>
    </row>
    <row r="12428" spans="5:6" ht="15" customHeight="1" x14ac:dyDescent="0.2">
      <c r="E12428" s="18"/>
      <c r="F12428" s="18"/>
    </row>
    <row r="12429" spans="5:6" ht="15" customHeight="1" x14ac:dyDescent="0.2">
      <c r="E12429" s="18"/>
      <c r="F12429" s="18"/>
    </row>
    <row r="12430" spans="5:6" ht="15" customHeight="1" x14ac:dyDescent="0.2">
      <c r="E12430" s="18"/>
      <c r="F12430" s="18"/>
    </row>
    <row r="12431" spans="5:6" ht="15" customHeight="1" x14ac:dyDescent="0.2">
      <c r="E12431" s="18"/>
      <c r="F12431" s="18"/>
    </row>
    <row r="12432" spans="5:6" ht="15" customHeight="1" x14ac:dyDescent="0.2">
      <c r="E12432" s="18"/>
      <c r="F12432" s="18"/>
    </row>
    <row r="12433" spans="5:6" ht="15" customHeight="1" x14ac:dyDescent="0.2">
      <c r="E12433" s="18"/>
      <c r="F12433" s="18"/>
    </row>
    <row r="12434" spans="5:6" ht="15" customHeight="1" x14ac:dyDescent="0.2">
      <c r="E12434" s="18"/>
      <c r="F12434" s="18"/>
    </row>
    <row r="12435" spans="5:6" ht="15" customHeight="1" x14ac:dyDescent="0.2">
      <c r="E12435" s="18"/>
      <c r="F12435" s="18"/>
    </row>
    <row r="12436" spans="5:6" ht="15" customHeight="1" x14ac:dyDescent="0.2">
      <c r="E12436" s="18"/>
      <c r="F12436" s="18"/>
    </row>
    <row r="12437" spans="5:6" ht="15" customHeight="1" x14ac:dyDescent="0.2">
      <c r="E12437" s="18"/>
      <c r="F12437" s="18"/>
    </row>
    <row r="12438" spans="5:6" ht="15" customHeight="1" x14ac:dyDescent="0.2">
      <c r="E12438" s="18"/>
      <c r="F12438" s="18"/>
    </row>
    <row r="12439" spans="5:6" ht="15" customHeight="1" x14ac:dyDescent="0.2">
      <c r="E12439" s="18"/>
      <c r="F12439" s="18"/>
    </row>
    <row r="12440" spans="5:6" ht="15" customHeight="1" x14ac:dyDescent="0.2">
      <c r="E12440" s="18"/>
      <c r="F12440" s="18"/>
    </row>
    <row r="12441" spans="5:6" ht="15" customHeight="1" x14ac:dyDescent="0.2">
      <c r="E12441" s="18"/>
      <c r="F12441" s="18"/>
    </row>
    <row r="12442" spans="5:6" ht="15" customHeight="1" x14ac:dyDescent="0.2">
      <c r="E12442" s="18"/>
      <c r="F12442" s="18"/>
    </row>
    <row r="12443" spans="5:6" ht="15" customHeight="1" x14ac:dyDescent="0.2">
      <c r="E12443" s="18"/>
      <c r="F12443" s="18"/>
    </row>
    <row r="12444" spans="5:6" ht="15" customHeight="1" x14ac:dyDescent="0.2">
      <c r="E12444" s="18"/>
      <c r="F12444" s="18"/>
    </row>
    <row r="12445" spans="5:6" ht="15" customHeight="1" x14ac:dyDescent="0.2">
      <c r="E12445" s="18"/>
      <c r="F12445" s="18"/>
    </row>
    <row r="12446" spans="5:6" ht="15" customHeight="1" x14ac:dyDescent="0.2">
      <c r="E12446" s="18"/>
      <c r="F12446" s="18"/>
    </row>
    <row r="12447" spans="5:6" ht="15" customHeight="1" x14ac:dyDescent="0.2">
      <c r="E12447" s="18"/>
      <c r="F12447" s="18"/>
    </row>
    <row r="12448" spans="5:6" ht="15" customHeight="1" x14ac:dyDescent="0.2">
      <c r="E12448" s="18"/>
      <c r="F12448" s="18"/>
    </row>
    <row r="12449" spans="5:6" ht="15" customHeight="1" x14ac:dyDescent="0.2">
      <c r="E12449" s="18"/>
      <c r="F12449" s="18"/>
    </row>
    <row r="12450" spans="5:6" ht="15" customHeight="1" x14ac:dyDescent="0.2">
      <c r="E12450" s="18"/>
      <c r="F12450" s="18"/>
    </row>
    <row r="12451" spans="5:6" ht="15" customHeight="1" x14ac:dyDescent="0.2">
      <c r="E12451" s="18"/>
      <c r="F12451" s="18"/>
    </row>
    <row r="12452" spans="5:6" ht="15" customHeight="1" x14ac:dyDescent="0.2">
      <c r="E12452" s="18"/>
      <c r="F12452" s="18"/>
    </row>
    <row r="12453" spans="5:6" ht="15" customHeight="1" x14ac:dyDescent="0.2">
      <c r="E12453" s="18"/>
      <c r="F12453" s="18"/>
    </row>
    <row r="12454" spans="5:6" ht="15" customHeight="1" x14ac:dyDescent="0.2">
      <c r="E12454" s="18"/>
      <c r="F12454" s="18"/>
    </row>
    <row r="12455" spans="5:6" ht="15" customHeight="1" x14ac:dyDescent="0.2">
      <c r="E12455" s="18"/>
      <c r="F12455" s="18"/>
    </row>
    <row r="12456" spans="5:6" ht="15" customHeight="1" x14ac:dyDescent="0.2">
      <c r="E12456" s="18"/>
      <c r="F12456" s="18"/>
    </row>
    <row r="12457" spans="5:6" ht="15" customHeight="1" x14ac:dyDescent="0.2">
      <c r="E12457" s="18"/>
      <c r="F12457" s="18"/>
    </row>
    <row r="12458" spans="5:6" ht="15" customHeight="1" x14ac:dyDescent="0.2">
      <c r="E12458" s="18"/>
      <c r="F12458" s="18"/>
    </row>
    <row r="12459" spans="5:6" ht="15" customHeight="1" x14ac:dyDescent="0.2">
      <c r="E12459" s="18"/>
      <c r="F12459" s="18"/>
    </row>
    <row r="12460" spans="5:6" ht="15" customHeight="1" x14ac:dyDescent="0.2">
      <c r="E12460" s="18"/>
      <c r="F12460" s="18"/>
    </row>
    <row r="12461" spans="5:6" ht="15" customHeight="1" x14ac:dyDescent="0.2">
      <c r="E12461" s="18"/>
      <c r="F12461" s="18"/>
    </row>
    <row r="12462" spans="5:6" ht="15" customHeight="1" x14ac:dyDescent="0.2">
      <c r="E12462" s="18"/>
      <c r="F12462" s="18"/>
    </row>
    <row r="12463" spans="5:6" ht="15" customHeight="1" x14ac:dyDescent="0.2">
      <c r="E12463" s="18"/>
      <c r="F12463" s="18"/>
    </row>
    <row r="12464" spans="5:6" ht="15" customHeight="1" x14ac:dyDescent="0.2">
      <c r="E12464" s="18"/>
      <c r="F12464" s="18"/>
    </row>
    <row r="12465" spans="5:6" ht="15" customHeight="1" x14ac:dyDescent="0.2">
      <c r="E12465" s="18"/>
      <c r="F12465" s="18"/>
    </row>
    <row r="12466" spans="5:6" ht="15" customHeight="1" x14ac:dyDescent="0.2">
      <c r="E12466" s="18"/>
      <c r="F12466" s="18"/>
    </row>
    <row r="12467" spans="5:6" ht="15" customHeight="1" x14ac:dyDescent="0.2">
      <c r="E12467" s="18"/>
      <c r="F12467" s="18"/>
    </row>
    <row r="12468" spans="5:6" ht="15" customHeight="1" x14ac:dyDescent="0.2">
      <c r="E12468" s="18"/>
      <c r="F12468" s="18"/>
    </row>
    <row r="12469" spans="5:6" ht="15" customHeight="1" x14ac:dyDescent="0.2">
      <c r="E12469" s="18"/>
      <c r="F12469" s="18"/>
    </row>
    <row r="12470" spans="5:6" ht="15" customHeight="1" x14ac:dyDescent="0.2">
      <c r="E12470" s="18"/>
      <c r="F12470" s="18"/>
    </row>
    <row r="12471" spans="5:6" ht="15" customHeight="1" x14ac:dyDescent="0.2">
      <c r="E12471" s="18"/>
      <c r="F12471" s="18"/>
    </row>
    <row r="12472" spans="5:6" ht="15" customHeight="1" x14ac:dyDescent="0.2">
      <c r="E12472" s="18"/>
      <c r="F12472" s="18"/>
    </row>
    <row r="12473" spans="5:6" ht="15" customHeight="1" x14ac:dyDescent="0.2">
      <c r="E12473" s="18"/>
      <c r="F12473" s="18"/>
    </row>
    <row r="12474" spans="5:6" ht="15" customHeight="1" x14ac:dyDescent="0.2">
      <c r="E12474" s="18"/>
      <c r="F12474" s="18"/>
    </row>
    <row r="12475" spans="5:6" ht="15" customHeight="1" x14ac:dyDescent="0.2">
      <c r="E12475" s="18"/>
      <c r="F12475" s="18"/>
    </row>
    <row r="12476" spans="5:6" ht="15" customHeight="1" x14ac:dyDescent="0.2">
      <c r="E12476" s="18"/>
      <c r="F12476" s="18"/>
    </row>
    <row r="12477" spans="5:6" ht="15" customHeight="1" x14ac:dyDescent="0.2">
      <c r="E12477" s="18"/>
      <c r="F12477" s="18"/>
    </row>
    <row r="12478" spans="5:6" ht="15" customHeight="1" x14ac:dyDescent="0.2">
      <c r="E12478" s="18"/>
      <c r="F12478" s="18"/>
    </row>
    <row r="12479" spans="5:6" ht="15" customHeight="1" x14ac:dyDescent="0.2">
      <c r="E12479" s="18"/>
      <c r="F12479" s="18"/>
    </row>
    <row r="12480" spans="5:6" ht="15" customHeight="1" x14ac:dyDescent="0.2">
      <c r="E12480" s="18"/>
      <c r="F12480" s="18"/>
    </row>
    <row r="12481" spans="5:6" ht="15" customHeight="1" x14ac:dyDescent="0.2">
      <c r="E12481" s="18"/>
      <c r="F12481" s="18"/>
    </row>
    <row r="12482" spans="5:6" ht="15" customHeight="1" x14ac:dyDescent="0.2">
      <c r="E12482" s="18"/>
      <c r="F12482" s="18"/>
    </row>
    <row r="12483" spans="5:6" ht="15" customHeight="1" x14ac:dyDescent="0.2">
      <c r="E12483" s="18"/>
      <c r="F12483" s="18"/>
    </row>
    <row r="12484" spans="5:6" ht="15" customHeight="1" x14ac:dyDescent="0.2">
      <c r="E12484" s="18"/>
      <c r="F12484" s="18"/>
    </row>
    <row r="12485" spans="5:6" ht="15" customHeight="1" x14ac:dyDescent="0.2">
      <c r="E12485" s="18"/>
      <c r="F12485" s="18"/>
    </row>
    <row r="12486" spans="5:6" ht="15" customHeight="1" x14ac:dyDescent="0.2">
      <c r="E12486" s="18"/>
      <c r="F12486" s="18"/>
    </row>
    <row r="12487" spans="5:6" ht="15" customHeight="1" x14ac:dyDescent="0.2">
      <c r="E12487" s="18"/>
      <c r="F12487" s="18"/>
    </row>
    <row r="12488" spans="5:6" ht="15" customHeight="1" x14ac:dyDescent="0.2">
      <c r="E12488" s="18"/>
      <c r="F12488" s="18"/>
    </row>
    <row r="12489" spans="5:6" ht="15" customHeight="1" x14ac:dyDescent="0.2">
      <c r="E12489" s="18"/>
      <c r="F12489" s="18"/>
    </row>
    <row r="12490" spans="5:6" ht="15" customHeight="1" x14ac:dyDescent="0.2">
      <c r="E12490" s="18"/>
      <c r="F12490" s="18"/>
    </row>
    <row r="12491" spans="5:6" ht="15" customHeight="1" x14ac:dyDescent="0.2">
      <c r="E12491" s="18"/>
      <c r="F12491" s="18"/>
    </row>
    <row r="12492" spans="5:6" ht="15" customHeight="1" x14ac:dyDescent="0.2">
      <c r="E12492" s="18"/>
      <c r="F12492" s="18"/>
    </row>
    <row r="12493" spans="5:6" ht="15" customHeight="1" x14ac:dyDescent="0.2">
      <c r="E12493" s="18"/>
      <c r="F12493" s="18"/>
    </row>
    <row r="12494" spans="5:6" ht="15" customHeight="1" x14ac:dyDescent="0.2">
      <c r="E12494" s="18"/>
      <c r="F12494" s="18"/>
    </row>
    <row r="12495" spans="5:6" ht="15" customHeight="1" x14ac:dyDescent="0.2">
      <c r="E12495" s="18"/>
      <c r="F12495" s="18"/>
    </row>
    <row r="12496" spans="5:6" ht="15" customHeight="1" x14ac:dyDescent="0.2">
      <c r="E12496" s="18"/>
      <c r="F12496" s="18"/>
    </row>
    <row r="12497" spans="5:6" ht="15" customHeight="1" x14ac:dyDescent="0.2">
      <c r="E12497" s="18"/>
      <c r="F12497" s="18"/>
    </row>
    <row r="12498" spans="5:6" ht="15" customHeight="1" x14ac:dyDescent="0.2">
      <c r="E12498" s="18"/>
      <c r="F12498" s="18"/>
    </row>
    <row r="12499" spans="5:6" ht="15" customHeight="1" x14ac:dyDescent="0.2">
      <c r="E12499" s="18"/>
      <c r="F12499" s="18"/>
    </row>
    <row r="12500" spans="5:6" ht="15" customHeight="1" x14ac:dyDescent="0.2">
      <c r="E12500" s="18"/>
      <c r="F12500" s="18"/>
    </row>
    <row r="12501" spans="5:6" ht="15" customHeight="1" x14ac:dyDescent="0.2">
      <c r="E12501" s="18"/>
      <c r="F12501" s="18"/>
    </row>
    <row r="12502" spans="5:6" ht="15" customHeight="1" x14ac:dyDescent="0.2">
      <c r="E12502" s="18"/>
      <c r="F12502" s="18"/>
    </row>
    <row r="12503" spans="5:6" ht="15" customHeight="1" x14ac:dyDescent="0.2">
      <c r="E12503" s="18"/>
      <c r="F12503" s="18"/>
    </row>
    <row r="12504" spans="5:6" ht="15" customHeight="1" x14ac:dyDescent="0.2">
      <c r="E12504" s="18"/>
      <c r="F12504" s="18"/>
    </row>
    <row r="12505" spans="5:6" ht="15" customHeight="1" x14ac:dyDescent="0.2">
      <c r="E12505" s="18"/>
      <c r="F12505" s="18"/>
    </row>
    <row r="12506" spans="5:6" ht="15" customHeight="1" x14ac:dyDescent="0.2">
      <c r="E12506" s="18"/>
      <c r="F12506" s="18"/>
    </row>
    <row r="12507" spans="5:6" ht="15" customHeight="1" x14ac:dyDescent="0.2">
      <c r="E12507" s="18"/>
      <c r="F12507" s="18"/>
    </row>
    <row r="12508" spans="5:6" ht="15" customHeight="1" x14ac:dyDescent="0.2">
      <c r="E12508" s="18"/>
      <c r="F12508" s="18"/>
    </row>
    <row r="12509" spans="5:6" ht="15" customHeight="1" x14ac:dyDescent="0.2">
      <c r="E12509" s="18"/>
      <c r="F12509" s="18"/>
    </row>
    <row r="12510" spans="5:6" ht="15" customHeight="1" x14ac:dyDescent="0.2">
      <c r="E12510" s="18"/>
      <c r="F12510" s="18"/>
    </row>
    <row r="12511" spans="5:6" ht="15" customHeight="1" x14ac:dyDescent="0.2">
      <c r="E12511" s="18"/>
      <c r="F12511" s="18"/>
    </row>
    <row r="12512" spans="5:6" ht="15" customHeight="1" x14ac:dyDescent="0.2">
      <c r="E12512" s="18"/>
      <c r="F12512" s="18"/>
    </row>
    <row r="12513" spans="5:6" ht="15" customHeight="1" x14ac:dyDescent="0.2">
      <c r="E12513" s="18"/>
      <c r="F12513" s="18"/>
    </row>
    <row r="12514" spans="5:6" ht="15" customHeight="1" x14ac:dyDescent="0.2">
      <c r="E12514" s="18"/>
      <c r="F12514" s="18"/>
    </row>
    <row r="12515" spans="5:6" ht="15" customHeight="1" x14ac:dyDescent="0.2">
      <c r="E12515" s="18"/>
      <c r="F12515" s="18"/>
    </row>
    <row r="12516" spans="5:6" ht="15" customHeight="1" x14ac:dyDescent="0.2">
      <c r="E12516" s="18"/>
      <c r="F12516" s="18"/>
    </row>
    <row r="12517" spans="5:6" ht="15" customHeight="1" x14ac:dyDescent="0.2">
      <c r="E12517" s="18"/>
      <c r="F12517" s="18"/>
    </row>
    <row r="12518" spans="5:6" ht="15" customHeight="1" x14ac:dyDescent="0.2">
      <c r="E12518" s="18"/>
      <c r="F12518" s="18"/>
    </row>
    <row r="12519" spans="5:6" ht="15" customHeight="1" x14ac:dyDescent="0.2">
      <c r="E12519" s="18"/>
      <c r="F12519" s="18"/>
    </row>
    <row r="12520" spans="5:6" ht="15" customHeight="1" x14ac:dyDescent="0.2">
      <c r="E12520" s="18"/>
      <c r="F12520" s="18"/>
    </row>
    <row r="12521" spans="5:6" ht="15" customHeight="1" x14ac:dyDescent="0.2">
      <c r="E12521" s="18"/>
      <c r="F12521" s="18"/>
    </row>
    <row r="12522" spans="5:6" ht="15" customHeight="1" x14ac:dyDescent="0.2">
      <c r="E12522" s="18"/>
      <c r="F12522" s="18"/>
    </row>
    <row r="12523" spans="5:6" ht="15" customHeight="1" x14ac:dyDescent="0.2">
      <c r="E12523" s="18"/>
      <c r="F12523" s="18"/>
    </row>
    <row r="12524" spans="5:6" ht="15" customHeight="1" x14ac:dyDescent="0.2">
      <c r="E12524" s="18"/>
      <c r="F12524" s="18"/>
    </row>
    <row r="12525" spans="5:6" ht="15" customHeight="1" x14ac:dyDescent="0.2">
      <c r="E12525" s="18"/>
      <c r="F12525" s="18"/>
    </row>
    <row r="12526" spans="5:6" ht="15" customHeight="1" x14ac:dyDescent="0.2">
      <c r="E12526" s="18"/>
      <c r="F12526" s="18"/>
    </row>
    <row r="12527" spans="5:6" ht="15" customHeight="1" x14ac:dyDescent="0.2">
      <c r="E12527" s="18"/>
      <c r="F12527" s="18"/>
    </row>
    <row r="12528" spans="5:6" ht="15" customHeight="1" x14ac:dyDescent="0.2">
      <c r="E12528" s="18"/>
      <c r="F12528" s="18"/>
    </row>
    <row r="12529" spans="5:6" ht="15" customHeight="1" x14ac:dyDescent="0.2">
      <c r="E12529" s="18"/>
      <c r="F12529" s="18"/>
    </row>
    <row r="12530" spans="5:6" ht="15" customHeight="1" x14ac:dyDescent="0.2">
      <c r="E12530" s="18"/>
      <c r="F12530" s="18"/>
    </row>
    <row r="12531" spans="5:6" ht="15" customHeight="1" x14ac:dyDescent="0.2">
      <c r="E12531" s="18"/>
      <c r="F12531" s="18"/>
    </row>
    <row r="12532" spans="5:6" ht="15" customHeight="1" x14ac:dyDescent="0.2">
      <c r="E12532" s="18"/>
      <c r="F12532" s="18"/>
    </row>
    <row r="12533" spans="5:6" ht="15" customHeight="1" x14ac:dyDescent="0.2">
      <c r="E12533" s="18"/>
      <c r="F12533" s="18"/>
    </row>
    <row r="12534" spans="5:6" ht="15" customHeight="1" x14ac:dyDescent="0.2">
      <c r="E12534" s="18"/>
      <c r="F12534" s="18"/>
    </row>
    <row r="12535" spans="5:6" ht="15" customHeight="1" x14ac:dyDescent="0.2">
      <c r="E12535" s="18"/>
      <c r="F12535" s="18"/>
    </row>
    <row r="12536" spans="5:6" ht="15" customHeight="1" x14ac:dyDescent="0.2">
      <c r="E12536" s="18"/>
      <c r="F12536" s="18"/>
    </row>
    <row r="12537" spans="5:6" ht="15" customHeight="1" x14ac:dyDescent="0.2">
      <c r="E12537" s="18"/>
      <c r="F12537" s="18"/>
    </row>
    <row r="12538" spans="5:6" ht="15" customHeight="1" x14ac:dyDescent="0.2">
      <c r="E12538" s="18"/>
      <c r="F12538" s="18"/>
    </row>
    <row r="12539" spans="5:6" ht="15" customHeight="1" x14ac:dyDescent="0.2">
      <c r="E12539" s="18"/>
      <c r="F12539" s="18"/>
    </row>
    <row r="12540" spans="5:6" ht="15" customHeight="1" x14ac:dyDescent="0.2">
      <c r="E12540" s="18"/>
      <c r="F12540" s="18"/>
    </row>
    <row r="12541" spans="5:6" ht="15" customHeight="1" x14ac:dyDescent="0.2">
      <c r="E12541" s="18"/>
      <c r="F12541" s="18"/>
    </row>
    <row r="12542" spans="5:6" ht="15" customHeight="1" x14ac:dyDescent="0.2">
      <c r="E12542" s="18"/>
      <c r="F12542" s="18"/>
    </row>
    <row r="12543" spans="5:6" ht="15" customHeight="1" x14ac:dyDescent="0.2">
      <c r="E12543" s="18"/>
      <c r="F12543" s="18"/>
    </row>
    <row r="12544" spans="5:6" ht="15" customHeight="1" x14ac:dyDescent="0.2">
      <c r="E12544" s="18"/>
      <c r="F12544" s="18"/>
    </row>
    <row r="12545" spans="5:6" ht="15" customHeight="1" x14ac:dyDescent="0.2">
      <c r="E12545" s="18"/>
      <c r="F12545" s="18"/>
    </row>
    <row r="12546" spans="5:6" ht="15" customHeight="1" x14ac:dyDescent="0.2">
      <c r="E12546" s="18"/>
      <c r="F12546" s="18"/>
    </row>
    <row r="12547" spans="5:6" ht="15" customHeight="1" x14ac:dyDescent="0.2">
      <c r="E12547" s="18"/>
      <c r="F12547" s="18"/>
    </row>
    <row r="12548" spans="5:6" ht="15" customHeight="1" x14ac:dyDescent="0.2">
      <c r="E12548" s="18"/>
      <c r="F12548" s="18"/>
    </row>
    <row r="12549" spans="5:6" ht="15" customHeight="1" x14ac:dyDescent="0.2">
      <c r="E12549" s="18"/>
      <c r="F12549" s="18"/>
    </row>
    <row r="12550" spans="5:6" ht="15" customHeight="1" x14ac:dyDescent="0.2">
      <c r="E12550" s="18"/>
      <c r="F12550" s="18"/>
    </row>
    <row r="12551" spans="5:6" ht="15" customHeight="1" x14ac:dyDescent="0.2">
      <c r="E12551" s="18"/>
      <c r="F12551" s="18"/>
    </row>
    <row r="12552" spans="5:6" ht="15" customHeight="1" x14ac:dyDescent="0.2">
      <c r="E12552" s="18"/>
      <c r="F12552" s="18"/>
    </row>
    <row r="12553" spans="5:6" ht="15" customHeight="1" x14ac:dyDescent="0.2">
      <c r="E12553" s="18"/>
      <c r="F12553" s="18"/>
    </row>
    <row r="12554" spans="5:6" ht="15" customHeight="1" x14ac:dyDescent="0.2">
      <c r="E12554" s="18"/>
      <c r="F12554" s="18"/>
    </row>
    <row r="12555" spans="5:6" ht="15" customHeight="1" x14ac:dyDescent="0.2">
      <c r="E12555" s="18"/>
      <c r="F12555" s="18"/>
    </row>
    <row r="12556" spans="5:6" ht="15" customHeight="1" x14ac:dyDescent="0.2">
      <c r="E12556" s="18"/>
      <c r="F12556" s="18"/>
    </row>
    <row r="12557" spans="5:6" ht="15" customHeight="1" x14ac:dyDescent="0.2">
      <c r="E12557" s="18"/>
      <c r="F12557" s="18"/>
    </row>
    <row r="12558" spans="5:6" ht="15" customHeight="1" x14ac:dyDescent="0.2">
      <c r="E12558" s="18"/>
      <c r="F12558" s="18"/>
    </row>
    <row r="12559" spans="5:6" ht="15" customHeight="1" x14ac:dyDescent="0.2">
      <c r="E12559" s="18"/>
      <c r="F12559" s="18"/>
    </row>
    <row r="12560" spans="5:6" ht="15" customHeight="1" x14ac:dyDescent="0.2">
      <c r="E12560" s="18"/>
      <c r="F12560" s="18"/>
    </row>
    <row r="12561" spans="5:6" ht="15" customHeight="1" x14ac:dyDescent="0.2">
      <c r="E12561" s="18"/>
      <c r="F12561" s="18"/>
    </row>
    <row r="12562" spans="5:6" ht="15" customHeight="1" x14ac:dyDescent="0.2">
      <c r="E12562" s="18"/>
      <c r="F12562" s="18"/>
    </row>
    <row r="12563" spans="5:6" ht="15" customHeight="1" x14ac:dyDescent="0.2">
      <c r="E12563" s="18"/>
      <c r="F12563" s="18"/>
    </row>
    <row r="12564" spans="5:6" ht="15" customHeight="1" x14ac:dyDescent="0.2">
      <c r="E12564" s="18"/>
      <c r="F12564" s="18"/>
    </row>
    <row r="12565" spans="5:6" ht="15" customHeight="1" x14ac:dyDescent="0.2">
      <c r="E12565" s="18"/>
      <c r="F12565" s="18"/>
    </row>
    <row r="12566" spans="5:6" ht="15" customHeight="1" x14ac:dyDescent="0.2">
      <c r="E12566" s="18"/>
      <c r="F12566" s="18"/>
    </row>
    <row r="12567" spans="5:6" ht="15" customHeight="1" x14ac:dyDescent="0.2">
      <c r="E12567" s="18"/>
      <c r="F12567" s="18"/>
    </row>
    <row r="12568" spans="5:6" ht="15" customHeight="1" x14ac:dyDescent="0.2">
      <c r="E12568" s="18"/>
      <c r="F12568" s="18"/>
    </row>
    <row r="12569" spans="5:6" ht="15" customHeight="1" x14ac:dyDescent="0.2">
      <c r="E12569" s="18"/>
      <c r="F12569" s="18"/>
    </row>
    <row r="12570" spans="5:6" ht="15" customHeight="1" x14ac:dyDescent="0.2">
      <c r="E12570" s="18"/>
      <c r="F12570" s="18"/>
    </row>
    <row r="12571" spans="5:6" ht="15" customHeight="1" x14ac:dyDescent="0.2">
      <c r="E12571" s="18"/>
      <c r="F12571" s="18"/>
    </row>
    <row r="12572" spans="5:6" ht="15" customHeight="1" x14ac:dyDescent="0.2">
      <c r="E12572" s="18"/>
      <c r="F12572" s="18"/>
    </row>
    <row r="12573" spans="5:6" ht="15" customHeight="1" x14ac:dyDescent="0.2">
      <c r="E12573" s="18"/>
      <c r="F12573" s="18"/>
    </row>
    <row r="12574" spans="5:6" ht="15" customHeight="1" x14ac:dyDescent="0.2">
      <c r="E12574" s="18"/>
      <c r="F12574" s="18"/>
    </row>
    <row r="12575" spans="5:6" ht="15" customHeight="1" x14ac:dyDescent="0.2">
      <c r="E12575" s="18"/>
      <c r="F12575" s="18"/>
    </row>
    <row r="12576" spans="5:6" ht="15" customHeight="1" x14ac:dyDescent="0.2">
      <c r="E12576" s="18"/>
      <c r="F12576" s="18"/>
    </row>
    <row r="12577" spans="5:6" ht="15" customHeight="1" x14ac:dyDescent="0.2">
      <c r="E12577" s="18"/>
      <c r="F12577" s="18"/>
    </row>
    <row r="12578" spans="5:6" ht="15" customHeight="1" x14ac:dyDescent="0.2">
      <c r="E12578" s="18"/>
      <c r="F12578" s="18"/>
    </row>
    <row r="12579" spans="5:6" ht="15" customHeight="1" x14ac:dyDescent="0.2">
      <c r="E12579" s="18"/>
      <c r="F12579" s="18"/>
    </row>
    <row r="12580" spans="5:6" ht="15" customHeight="1" x14ac:dyDescent="0.2">
      <c r="E12580" s="18"/>
      <c r="F12580" s="18"/>
    </row>
    <row r="12581" spans="5:6" ht="15" customHeight="1" x14ac:dyDescent="0.2">
      <c r="E12581" s="18"/>
      <c r="F12581" s="18"/>
    </row>
    <row r="12582" spans="5:6" ht="15" customHeight="1" x14ac:dyDescent="0.2">
      <c r="E12582" s="18"/>
      <c r="F12582" s="18"/>
    </row>
    <row r="12583" spans="5:6" ht="15" customHeight="1" x14ac:dyDescent="0.2">
      <c r="E12583" s="18"/>
      <c r="F12583" s="18"/>
    </row>
    <row r="12584" spans="5:6" ht="15" customHeight="1" x14ac:dyDescent="0.2">
      <c r="E12584" s="18"/>
      <c r="F12584" s="18"/>
    </row>
    <row r="12585" spans="5:6" ht="15" customHeight="1" x14ac:dyDescent="0.2">
      <c r="E12585" s="18"/>
      <c r="F12585" s="18"/>
    </row>
    <row r="12586" spans="5:6" ht="15" customHeight="1" x14ac:dyDescent="0.2">
      <c r="E12586" s="18"/>
      <c r="F12586" s="18"/>
    </row>
    <row r="12587" spans="5:6" ht="15" customHeight="1" x14ac:dyDescent="0.2">
      <c r="E12587" s="18"/>
      <c r="F12587" s="18"/>
    </row>
    <row r="12588" spans="5:6" ht="15" customHeight="1" x14ac:dyDescent="0.2">
      <c r="E12588" s="18"/>
      <c r="F12588" s="18"/>
    </row>
    <row r="12589" spans="5:6" ht="15" customHeight="1" x14ac:dyDescent="0.2">
      <c r="E12589" s="18"/>
      <c r="F12589" s="18"/>
    </row>
    <row r="12590" spans="5:6" ht="15" customHeight="1" x14ac:dyDescent="0.2">
      <c r="E12590" s="18"/>
      <c r="F12590" s="18"/>
    </row>
    <row r="12591" spans="5:6" ht="15" customHeight="1" x14ac:dyDescent="0.2">
      <c r="E12591" s="18"/>
      <c r="F12591" s="18"/>
    </row>
    <row r="12592" spans="5:6" ht="15" customHeight="1" x14ac:dyDescent="0.2">
      <c r="E12592" s="18"/>
      <c r="F12592" s="18"/>
    </row>
    <row r="12593" spans="5:6" ht="15" customHeight="1" x14ac:dyDescent="0.2">
      <c r="E12593" s="18"/>
      <c r="F12593" s="18"/>
    </row>
    <row r="12594" spans="5:6" ht="15" customHeight="1" x14ac:dyDescent="0.2">
      <c r="E12594" s="18"/>
      <c r="F12594" s="18"/>
    </row>
    <row r="12595" spans="5:6" ht="15" customHeight="1" x14ac:dyDescent="0.2">
      <c r="E12595" s="18"/>
      <c r="F12595" s="18"/>
    </row>
    <row r="12596" spans="5:6" ht="15" customHeight="1" x14ac:dyDescent="0.2">
      <c r="E12596" s="18"/>
      <c r="F12596" s="18"/>
    </row>
    <row r="12597" spans="5:6" ht="15" customHeight="1" x14ac:dyDescent="0.2">
      <c r="E12597" s="18"/>
      <c r="F12597" s="18"/>
    </row>
    <row r="12598" spans="5:6" ht="15" customHeight="1" x14ac:dyDescent="0.2">
      <c r="E12598" s="18"/>
      <c r="F12598" s="18"/>
    </row>
    <row r="12599" spans="5:6" ht="15" customHeight="1" x14ac:dyDescent="0.2">
      <c r="E12599" s="18"/>
      <c r="F12599" s="18"/>
    </row>
    <row r="12600" spans="5:6" ht="15" customHeight="1" x14ac:dyDescent="0.2">
      <c r="E12600" s="18"/>
      <c r="F12600" s="18"/>
    </row>
    <row r="12601" spans="5:6" ht="15" customHeight="1" x14ac:dyDescent="0.2">
      <c r="E12601" s="18"/>
      <c r="F12601" s="18"/>
    </row>
    <row r="12602" spans="5:6" ht="15" customHeight="1" x14ac:dyDescent="0.2">
      <c r="E12602" s="18"/>
      <c r="F12602" s="18"/>
    </row>
    <row r="12603" spans="5:6" ht="15" customHeight="1" x14ac:dyDescent="0.2">
      <c r="E12603" s="18"/>
      <c r="F12603" s="18"/>
    </row>
    <row r="12604" spans="5:6" ht="15" customHeight="1" x14ac:dyDescent="0.2">
      <c r="E12604" s="18"/>
      <c r="F12604" s="18"/>
    </row>
    <row r="12605" spans="5:6" ht="15" customHeight="1" x14ac:dyDescent="0.2">
      <c r="E12605" s="18"/>
      <c r="F12605" s="18"/>
    </row>
    <row r="12606" spans="5:6" ht="15" customHeight="1" x14ac:dyDescent="0.2">
      <c r="E12606" s="18"/>
      <c r="F12606" s="18"/>
    </row>
    <row r="12607" spans="5:6" ht="15" customHeight="1" x14ac:dyDescent="0.2">
      <c r="E12607" s="18"/>
      <c r="F12607" s="18"/>
    </row>
    <row r="12608" spans="5:6" ht="15" customHeight="1" x14ac:dyDescent="0.2">
      <c r="E12608" s="18"/>
      <c r="F12608" s="18"/>
    </row>
    <row r="12609" spans="5:6" ht="15" customHeight="1" x14ac:dyDescent="0.2">
      <c r="E12609" s="18"/>
      <c r="F12609" s="18"/>
    </row>
    <row r="12610" spans="5:6" ht="15" customHeight="1" x14ac:dyDescent="0.2">
      <c r="E12610" s="18"/>
      <c r="F12610" s="18"/>
    </row>
    <row r="12611" spans="5:6" ht="15" customHeight="1" x14ac:dyDescent="0.2">
      <c r="E12611" s="18"/>
      <c r="F12611" s="18"/>
    </row>
    <row r="12612" spans="5:6" ht="15" customHeight="1" x14ac:dyDescent="0.2">
      <c r="E12612" s="18"/>
      <c r="F12612" s="18"/>
    </row>
    <row r="12613" spans="5:6" ht="15" customHeight="1" x14ac:dyDescent="0.2">
      <c r="E12613" s="18"/>
      <c r="F12613" s="18"/>
    </row>
    <row r="12614" spans="5:6" ht="15" customHeight="1" x14ac:dyDescent="0.2">
      <c r="E12614" s="18"/>
      <c r="F12614" s="18"/>
    </row>
    <row r="12615" spans="5:6" ht="15" customHeight="1" x14ac:dyDescent="0.2">
      <c r="E12615" s="18"/>
      <c r="F12615" s="18"/>
    </row>
    <row r="12616" spans="5:6" ht="15" customHeight="1" x14ac:dyDescent="0.2">
      <c r="E12616" s="18"/>
      <c r="F12616" s="18"/>
    </row>
    <row r="12617" spans="5:6" ht="15" customHeight="1" x14ac:dyDescent="0.2">
      <c r="E12617" s="18"/>
      <c r="F12617" s="18"/>
    </row>
    <row r="12618" spans="5:6" ht="15" customHeight="1" x14ac:dyDescent="0.2">
      <c r="E12618" s="18"/>
      <c r="F12618" s="18"/>
    </row>
    <row r="12619" spans="5:6" ht="15" customHeight="1" x14ac:dyDescent="0.2">
      <c r="E12619" s="18"/>
      <c r="F12619" s="18"/>
    </row>
    <row r="12620" spans="5:6" ht="15" customHeight="1" x14ac:dyDescent="0.2">
      <c r="E12620" s="18"/>
      <c r="F12620" s="18"/>
    </row>
    <row r="12621" spans="5:6" ht="15" customHeight="1" x14ac:dyDescent="0.2">
      <c r="E12621" s="18"/>
      <c r="F12621" s="18"/>
    </row>
    <row r="12622" spans="5:6" ht="15" customHeight="1" x14ac:dyDescent="0.2">
      <c r="E12622" s="18"/>
      <c r="F12622" s="18"/>
    </row>
    <row r="12623" spans="5:6" ht="15" customHeight="1" x14ac:dyDescent="0.2">
      <c r="E12623" s="18"/>
      <c r="F12623" s="18"/>
    </row>
    <row r="12624" spans="5:6" ht="15" customHeight="1" x14ac:dyDescent="0.2">
      <c r="E12624" s="18"/>
      <c r="F12624" s="18"/>
    </row>
    <row r="12625" spans="5:6" ht="15" customHeight="1" x14ac:dyDescent="0.2">
      <c r="E12625" s="18"/>
      <c r="F12625" s="18"/>
    </row>
    <row r="12626" spans="5:6" ht="15" customHeight="1" x14ac:dyDescent="0.2">
      <c r="E12626" s="18"/>
      <c r="F12626" s="18"/>
    </row>
    <row r="12627" spans="5:6" ht="15" customHeight="1" x14ac:dyDescent="0.2">
      <c r="E12627" s="18"/>
      <c r="F12627" s="18"/>
    </row>
    <row r="12628" spans="5:6" ht="15" customHeight="1" x14ac:dyDescent="0.2">
      <c r="E12628" s="18"/>
      <c r="F12628" s="18"/>
    </row>
    <row r="12629" spans="5:6" ht="15" customHeight="1" x14ac:dyDescent="0.2">
      <c r="E12629" s="18"/>
      <c r="F12629" s="18"/>
    </row>
    <row r="12630" spans="5:6" ht="15" customHeight="1" x14ac:dyDescent="0.2">
      <c r="E12630" s="18"/>
      <c r="F12630" s="18"/>
    </row>
    <row r="12631" spans="5:6" ht="15" customHeight="1" x14ac:dyDescent="0.2">
      <c r="E12631" s="18"/>
      <c r="F12631" s="18"/>
    </row>
    <row r="12632" spans="5:6" ht="15" customHeight="1" x14ac:dyDescent="0.2">
      <c r="E12632" s="18"/>
      <c r="F12632" s="18"/>
    </row>
    <row r="12633" spans="5:6" ht="15" customHeight="1" x14ac:dyDescent="0.2">
      <c r="E12633" s="18"/>
      <c r="F12633" s="18"/>
    </row>
    <row r="12634" spans="5:6" ht="15" customHeight="1" x14ac:dyDescent="0.2">
      <c r="E12634" s="18"/>
      <c r="F12634" s="18"/>
    </row>
    <row r="12635" spans="5:6" ht="15" customHeight="1" x14ac:dyDescent="0.2">
      <c r="E12635" s="18"/>
      <c r="F12635" s="18"/>
    </row>
    <row r="12636" spans="5:6" ht="15" customHeight="1" x14ac:dyDescent="0.2">
      <c r="E12636" s="18"/>
      <c r="F12636" s="18"/>
    </row>
    <row r="12637" spans="5:6" ht="15" customHeight="1" x14ac:dyDescent="0.2">
      <c r="E12637" s="18"/>
      <c r="F12637" s="18"/>
    </row>
    <row r="12638" spans="5:6" ht="15" customHeight="1" x14ac:dyDescent="0.2">
      <c r="E12638" s="18"/>
      <c r="F12638" s="18"/>
    </row>
    <row r="12639" spans="5:6" ht="15" customHeight="1" x14ac:dyDescent="0.2">
      <c r="E12639" s="18"/>
      <c r="F12639" s="18"/>
    </row>
    <row r="12640" spans="5:6" ht="15" customHeight="1" x14ac:dyDescent="0.2">
      <c r="E12640" s="18"/>
      <c r="F12640" s="18"/>
    </row>
    <row r="12641" spans="5:6" ht="15" customHeight="1" x14ac:dyDescent="0.2">
      <c r="E12641" s="18"/>
      <c r="F12641" s="18"/>
    </row>
    <row r="12642" spans="5:6" ht="15" customHeight="1" x14ac:dyDescent="0.2">
      <c r="E12642" s="18"/>
      <c r="F12642" s="18"/>
    </row>
    <row r="12643" spans="5:6" ht="15" customHeight="1" x14ac:dyDescent="0.2">
      <c r="E12643" s="18"/>
      <c r="F12643" s="18"/>
    </row>
    <row r="12644" spans="5:6" ht="15" customHeight="1" x14ac:dyDescent="0.2">
      <c r="E12644" s="18"/>
      <c r="F12644" s="18"/>
    </row>
    <row r="12645" spans="5:6" ht="15" customHeight="1" x14ac:dyDescent="0.2">
      <c r="E12645" s="18"/>
      <c r="F12645" s="18"/>
    </row>
    <row r="12646" spans="5:6" ht="15" customHeight="1" x14ac:dyDescent="0.2">
      <c r="E12646" s="18"/>
      <c r="F12646" s="18"/>
    </row>
    <row r="12647" spans="5:6" ht="15" customHeight="1" x14ac:dyDescent="0.2">
      <c r="E12647" s="18"/>
      <c r="F12647" s="18"/>
    </row>
    <row r="12648" spans="5:6" ht="15" customHeight="1" x14ac:dyDescent="0.2">
      <c r="E12648" s="18"/>
      <c r="F12648" s="18"/>
    </row>
    <row r="12649" spans="5:6" ht="15" customHeight="1" x14ac:dyDescent="0.2">
      <c r="E12649" s="18"/>
      <c r="F12649" s="18"/>
    </row>
    <row r="12650" spans="5:6" ht="15" customHeight="1" x14ac:dyDescent="0.2">
      <c r="E12650" s="18"/>
      <c r="F12650" s="18"/>
    </row>
    <row r="12651" spans="5:6" ht="15" customHeight="1" x14ac:dyDescent="0.2">
      <c r="E12651" s="18"/>
      <c r="F12651" s="18"/>
    </row>
    <row r="12652" spans="5:6" ht="15" customHeight="1" x14ac:dyDescent="0.2">
      <c r="E12652" s="18"/>
      <c r="F12652" s="18"/>
    </row>
    <row r="12653" spans="5:6" ht="15" customHeight="1" x14ac:dyDescent="0.2">
      <c r="E12653" s="18"/>
      <c r="F12653" s="18"/>
    </row>
    <row r="12654" spans="5:6" ht="15" customHeight="1" x14ac:dyDescent="0.2">
      <c r="E12654" s="18"/>
      <c r="F12654" s="18"/>
    </row>
    <row r="12655" spans="5:6" ht="15" customHeight="1" x14ac:dyDescent="0.2">
      <c r="E12655" s="18"/>
      <c r="F12655" s="18"/>
    </row>
    <row r="12656" spans="5:6" ht="15" customHeight="1" x14ac:dyDescent="0.2">
      <c r="E12656" s="18"/>
      <c r="F12656" s="18"/>
    </row>
    <row r="12657" spans="5:6" ht="15" customHeight="1" x14ac:dyDescent="0.2">
      <c r="E12657" s="18"/>
      <c r="F12657" s="18"/>
    </row>
    <row r="12658" spans="5:6" ht="15" customHeight="1" x14ac:dyDescent="0.2">
      <c r="E12658" s="18"/>
      <c r="F12658" s="18"/>
    </row>
    <row r="12659" spans="5:6" ht="15" customHeight="1" x14ac:dyDescent="0.2">
      <c r="E12659" s="18"/>
      <c r="F12659" s="18"/>
    </row>
    <row r="12660" spans="5:6" ht="15" customHeight="1" x14ac:dyDescent="0.2">
      <c r="E12660" s="18"/>
      <c r="F12660" s="18"/>
    </row>
    <row r="12661" spans="5:6" ht="15" customHeight="1" x14ac:dyDescent="0.2">
      <c r="E12661" s="18"/>
      <c r="F12661" s="18"/>
    </row>
    <row r="12662" spans="5:6" ht="15" customHeight="1" x14ac:dyDescent="0.2">
      <c r="E12662" s="18"/>
      <c r="F12662" s="18"/>
    </row>
    <row r="12663" spans="5:6" ht="15" customHeight="1" x14ac:dyDescent="0.2">
      <c r="E12663" s="18"/>
      <c r="F12663" s="18"/>
    </row>
    <row r="12664" spans="5:6" ht="15" customHeight="1" x14ac:dyDescent="0.2">
      <c r="E12664" s="18"/>
      <c r="F12664" s="18"/>
    </row>
    <row r="12665" spans="5:6" ht="15" customHeight="1" x14ac:dyDescent="0.2">
      <c r="E12665" s="18"/>
      <c r="F12665" s="18"/>
    </row>
    <row r="12666" spans="5:6" ht="15" customHeight="1" x14ac:dyDescent="0.2">
      <c r="E12666" s="18"/>
      <c r="F12666" s="18"/>
    </row>
    <row r="12667" spans="5:6" ht="15" customHeight="1" x14ac:dyDescent="0.2">
      <c r="E12667" s="18"/>
      <c r="F12667" s="18"/>
    </row>
    <row r="12668" spans="5:6" ht="15" customHeight="1" x14ac:dyDescent="0.2">
      <c r="E12668" s="18"/>
      <c r="F12668" s="18"/>
    </row>
    <row r="12669" spans="5:6" ht="15" customHeight="1" x14ac:dyDescent="0.2">
      <c r="E12669" s="18"/>
      <c r="F12669" s="18"/>
    </row>
    <row r="12670" spans="5:6" ht="15" customHeight="1" x14ac:dyDescent="0.2">
      <c r="E12670" s="18"/>
      <c r="F12670" s="18"/>
    </row>
    <row r="12671" spans="5:6" ht="15" customHeight="1" x14ac:dyDescent="0.2">
      <c r="E12671" s="18"/>
      <c r="F12671" s="18"/>
    </row>
    <row r="12672" spans="5:6" ht="15" customHeight="1" x14ac:dyDescent="0.2">
      <c r="E12672" s="18"/>
      <c r="F12672" s="18"/>
    </row>
    <row r="12673" spans="5:6" ht="15" customHeight="1" x14ac:dyDescent="0.2">
      <c r="E12673" s="18"/>
      <c r="F12673" s="18"/>
    </row>
    <row r="12674" spans="5:6" ht="15" customHeight="1" x14ac:dyDescent="0.2">
      <c r="E12674" s="18"/>
      <c r="F12674" s="18"/>
    </row>
    <row r="12675" spans="5:6" ht="15" customHeight="1" x14ac:dyDescent="0.2">
      <c r="E12675" s="18"/>
      <c r="F12675" s="18"/>
    </row>
    <row r="12676" spans="5:6" ht="15" customHeight="1" x14ac:dyDescent="0.2">
      <c r="E12676" s="18"/>
      <c r="F12676" s="18"/>
    </row>
    <row r="12677" spans="5:6" ht="15" customHeight="1" x14ac:dyDescent="0.2">
      <c r="E12677" s="18"/>
      <c r="F12677" s="18"/>
    </row>
    <row r="12678" spans="5:6" ht="15" customHeight="1" x14ac:dyDescent="0.2">
      <c r="E12678" s="18"/>
      <c r="F12678" s="18"/>
    </row>
    <row r="12679" spans="5:6" ht="15" customHeight="1" x14ac:dyDescent="0.2">
      <c r="E12679" s="18"/>
      <c r="F12679" s="18"/>
    </row>
    <row r="12680" spans="5:6" ht="15" customHeight="1" x14ac:dyDescent="0.2">
      <c r="E12680" s="18"/>
      <c r="F12680" s="18"/>
    </row>
    <row r="12681" spans="5:6" ht="15" customHeight="1" x14ac:dyDescent="0.2">
      <c r="E12681" s="18"/>
      <c r="F12681" s="18"/>
    </row>
    <row r="12682" spans="5:6" ht="15" customHeight="1" x14ac:dyDescent="0.2">
      <c r="E12682" s="18"/>
      <c r="F12682" s="18"/>
    </row>
    <row r="12683" spans="5:6" ht="15" customHeight="1" x14ac:dyDescent="0.2">
      <c r="E12683" s="18"/>
      <c r="F12683" s="18"/>
    </row>
    <row r="12684" spans="5:6" ht="15" customHeight="1" x14ac:dyDescent="0.2">
      <c r="E12684" s="18"/>
      <c r="F12684" s="18"/>
    </row>
    <row r="12685" spans="5:6" ht="15" customHeight="1" x14ac:dyDescent="0.2">
      <c r="E12685" s="18"/>
      <c r="F12685" s="18"/>
    </row>
    <row r="12686" spans="5:6" ht="15" customHeight="1" x14ac:dyDescent="0.2">
      <c r="E12686" s="18"/>
      <c r="F12686" s="18"/>
    </row>
    <row r="12687" spans="5:6" ht="15" customHeight="1" x14ac:dyDescent="0.2">
      <c r="E12687" s="18"/>
      <c r="F12687" s="18"/>
    </row>
    <row r="12688" spans="5:6" ht="15" customHeight="1" x14ac:dyDescent="0.2">
      <c r="E12688" s="18"/>
      <c r="F12688" s="18"/>
    </row>
    <row r="12689" spans="5:6" ht="15" customHeight="1" x14ac:dyDescent="0.2">
      <c r="E12689" s="18"/>
      <c r="F12689" s="18"/>
    </row>
    <row r="12690" spans="5:6" ht="15" customHeight="1" x14ac:dyDescent="0.2">
      <c r="E12690" s="18"/>
      <c r="F12690" s="18"/>
    </row>
    <row r="12691" spans="5:6" ht="15" customHeight="1" x14ac:dyDescent="0.2">
      <c r="E12691" s="18"/>
      <c r="F12691" s="18"/>
    </row>
    <row r="12692" spans="5:6" ht="15" customHeight="1" x14ac:dyDescent="0.2">
      <c r="E12692" s="18"/>
      <c r="F12692" s="18"/>
    </row>
    <row r="12693" spans="5:6" ht="15" customHeight="1" x14ac:dyDescent="0.2">
      <c r="E12693" s="18"/>
      <c r="F12693" s="18"/>
    </row>
    <row r="12694" spans="5:6" ht="15" customHeight="1" x14ac:dyDescent="0.2">
      <c r="E12694" s="18"/>
      <c r="F12694" s="18"/>
    </row>
    <row r="12695" spans="5:6" ht="15" customHeight="1" x14ac:dyDescent="0.2">
      <c r="E12695" s="18"/>
      <c r="F12695" s="18"/>
    </row>
    <row r="12696" spans="5:6" ht="15" customHeight="1" x14ac:dyDescent="0.2">
      <c r="E12696" s="18"/>
      <c r="F12696" s="18"/>
    </row>
    <row r="12697" spans="5:6" ht="15" customHeight="1" x14ac:dyDescent="0.2">
      <c r="E12697" s="18"/>
      <c r="F12697" s="18"/>
    </row>
    <row r="12698" spans="5:6" ht="15" customHeight="1" x14ac:dyDescent="0.2">
      <c r="E12698" s="18"/>
      <c r="F12698" s="18"/>
    </row>
    <row r="12699" spans="5:6" ht="15" customHeight="1" x14ac:dyDescent="0.2">
      <c r="E12699" s="18"/>
      <c r="F12699" s="18"/>
    </row>
    <row r="12700" spans="5:6" ht="15" customHeight="1" x14ac:dyDescent="0.2">
      <c r="E12700" s="18"/>
      <c r="F12700" s="18"/>
    </row>
    <row r="12701" spans="5:6" ht="15" customHeight="1" x14ac:dyDescent="0.2">
      <c r="E12701" s="18"/>
      <c r="F12701" s="18"/>
    </row>
    <row r="12702" spans="5:6" ht="15" customHeight="1" x14ac:dyDescent="0.2">
      <c r="E12702" s="18"/>
      <c r="F12702" s="18"/>
    </row>
    <row r="12703" spans="5:6" ht="15" customHeight="1" x14ac:dyDescent="0.2">
      <c r="E12703" s="18"/>
      <c r="F12703" s="18"/>
    </row>
    <row r="12704" spans="5:6" ht="15" customHeight="1" x14ac:dyDescent="0.2">
      <c r="E12704" s="18"/>
      <c r="F12704" s="18"/>
    </row>
    <row r="12705" spans="5:6" ht="15" customHeight="1" x14ac:dyDescent="0.2">
      <c r="E12705" s="18"/>
      <c r="F12705" s="18"/>
    </row>
    <row r="12706" spans="5:6" ht="15" customHeight="1" x14ac:dyDescent="0.2">
      <c r="E12706" s="18"/>
      <c r="F12706" s="18"/>
    </row>
    <row r="12707" spans="5:6" ht="15" customHeight="1" x14ac:dyDescent="0.2">
      <c r="E12707" s="18"/>
      <c r="F12707" s="18"/>
    </row>
    <row r="12708" spans="5:6" ht="15" customHeight="1" x14ac:dyDescent="0.2">
      <c r="E12708" s="18"/>
      <c r="F12708" s="18"/>
    </row>
    <row r="12709" spans="5:6" ht="15" customHeight="1" x14ac:dyDescent="0.2">
      <c r="E12709" s="18"/>
      <c r="F12709" s="18"/>
    </row>
    <row r="12710" spans="5:6" ht="15" customHeight="1" x14ac:dyDescent="0.2">
      <c r="E12710" s="18"/>
      <c r="F12710" s="18"/>
    </row>
    <row r="12711" spans="5:6" ht="15" customHeight="1" x14ac:dyDescent="0.2">
      <c r="E12711" s="18"/>
      <c r="F12711" s="18"/>
    </row>
    <row r="12712" spans="5:6" ht="15" customHeight="1" x14ac:dyDescent="0.2">
      <c r="E12712" s="18"/>
      <c r="F12712" s="18"/>
    </row>
    <row r="12713" spans="5:6" ht="15" customHeight="1" x14ac:dyDescent="0.2">
      <c r="E12713" s="18"/>
      <c r="F12713" s="18"/>
    </row>
    <row r="12714" spans="5:6" ht="15" customHeight="1" x14ac:dyDescent="0.2">
      <c r="E12714" s="18"/>
      <c r="F12714" s="18"/>
    </row>
    <row r="12715" spans="5:6" ht="15" customHeight="1" x14ac:dyDescent="0.2">
      <c r="E12715" s="18"/>
      <c r="F12715" s="18"/>
    </row>
    <row r="12716" spans="5:6" ht="15" customHeight="1" x14ac:dyDescent="0.2">
      <c r="E12716" s="18"/>
      <c r="F12716" s="18"/>
    </row>
    <row r="12717" spans="5:6" ht="15" customHeight="1" x14ac:dyDescent="0.2">
      <c r="E12717" s="18"/>
      <c r="F12717" s="18"/>
    </row>
    <row r="12718" spans="5:6" ht="15" customHeight="1" x14ac:dyDescent="0.2">
      <c r="E12718" s="18"/>
      <c r="F12718" s="18"/>
    </row>
    <row r="12719" spans="5:6" ht="15" customHeight="1" x14ac:dyDescent="0.2">
      <c r="E12719" s="18"/>
      <c r="F12719" s="18"/>
    </row>
    <row r="12720" spans="5:6" ht="15" customHeight="1" x14ac:dyDescent="0.2">
      <c r="E12720" s="18"/>
      <c r="F12720" s="18"/>
    </row>
    <row r="12721" spans="5:6" ht="15" customHeight="1" x14ac:dyDescent="0.2">
      <c r="E12721" s="18"/>
      <c r="F12721" s="18"/>
    </row>
    <row r="12722" spans="5:6" ht="15" customHeight="1" x14ac:dyDescent="0.2">
      <c r="E12722" s="18"/>
      <c r="F12722" s="18"/>
    </row>
    <row r="12723" spans="5:6" ht="15" customHeight="1" x14ac:dyDescent="0.2">
      <c r="E12723" s="18"/>
      <c r="F12723" s="18"/>
    </row>
    <row r="12724" spans="5:6" ht="15" customHeight="1" x14ac:dyDescent="0.2">
      <c r="E12724" s="18"/>
      <c r="F12724" s="18"/>
    </row>
    <row r="12725" spans="5:6" ht="15" customHeight="1" x14ac:dyDescent="0.2">
      <c r="E12725" s="18"/>
      <c r="F12725" s="18"/>
    </row>
    <row r="12726" spans="5:6" ht="15" customHeight="1" x14ac:dyDescent="0.2">
      <c r="E12726" s="18"/>
      <c r="F12726" s="18"/>
    </row>
    <row r="12727" spans="5:6" ht="15" customHeight="1" x14ac:dyDescent="0.2">
      <c r="E12727" s="18"/>
      <c r="F12727" s="18"/>
    </row>
    <row r="12728" spans="5:6" ht="15" customHeight="1" x14ac:dyDescent="0.2">
      <c r="E12728" s="18"/>
      <c r="F12728" s="18"/>
    </row>
    <row r="12729" spans="5:6" ht="15" customHeight="1" x14ac:dyDescent="0.2">
      <c r="E12729" s="18"/>
      <c r="F12729" s="18"/>
    </row>
    <row r="12730" spans="5:6" ht="15" customHeight="1" x14ac:dyDescent="0.2">
      <c r="E12730" s="18"/>
      <c r="F12730" s="18"/>
    </row>
    <row r="12731" spans="5:6" ht="15" customHeight="1" x14ac:dyDescent="0.2">
      <c r="E12731" s="18"/>
      <c r="F12731" s="18"/>
    </row>
    <row r="12732" spans="5:6" ht="15" customHeight="1" x14ac:dyDescent="0.2">
      <c r="E12732" s="18"/>
      <c r="F12732" s="18"/>
    </row>
    <row r="12733" spans="5:6" ht="15" customHeight="1" x14ac:dyDescent="0.2">
      <c r="E12733" s="18"/>
      <c r="F12733" s="18"/>
    </row>
    <row r="12734" spans="5:6" ht="15" customHeight="1" x14ac:dyDescent="0.2">
      <c r="E12734" s="18"/>
      <c r="F12734" s="18"/>
    </row>
    <row r="12735" spans="5:6" ht="15" customHeight="1" x14ac:dyDescent="0.2">
      <c r="E12735" s="18"/>
      <c r="F12735" s="18"/>
    </row>
    <row r="12736" spans="5:6" ht="15" customHeight="1" x14ac:dyDescent="0.2">
      <c r="E12736" s="18"/>
      <c r="F12736" s="18"/>
    </row>
    <row r="12737" spans="5:6" ht="15" customHeight="1" x14ac:dyDescent="0.2">
      <c r="E12737" s="18"/>
      <c r="F12737" s="18"/>
    </row>
    <row r="12738" spans="5:6" ht="15" customHeight="1" x14ac:dyDescent="0.2">
      <c r="E12738" s="18"/>
      <c r="F12738" s="18"/>
    </row>
    <row r="12739" spans="5:6" ht="15" customHeight="1" x14ac:dyDescent="0.2">
      <c r="E12739" s="18"/>
      <c r="F12739" s="18"/>
    </row>
    <row r="12740" spans="5:6" ht="15" customHeight="1" x14ac:dyDescent="0.2">
      <c r="E12740" s="18"/>
      <c r="F12740" s="18"/>
    </row>
    <row r="12741" spans="5:6" ht="15" customHeight="1" x14ac:dyDescent="0.2">
      <c r="E12741" s="18"/>
      <c r="F12741" s="18"/>
    </row>
    <row r="12742" spans="5:6" ht="15" customHeight="1" x14ac:dyDescent="0.2">
      <c r="E12742" s="18"/>
      <c r="F12742" s="18"/>
    </row>
    <row r="12743" spans="5:6" ht="15" customHeight="1" x14ac:dyDescent="0.2">
      <c r="E12743" s="18"/>
      <c r="F12743" s="18"/>
    </row>
    <row r="12744" spans="5:6" ht="15" customHeight="1" x14ac:dyDescent="0.2">
      <c r="E12744" s="18"/>
      <c r="F12744" s="18"/>
    </row>
    <row r="12745" spans="5:6" ht="15" customHeight="1" x14ac:dyDescent="0.2">
      <c r="E12745" s="18"/>
      <c r="F12745" s="18"/>
    </row>
    <row r="12746" spans="5:6" ht="15" customHeight="1" x14ac:dyDescent="0.2">
      <c r="E12746" s="18"/>
      <c r="F12746" s="18"/>
    </row>
    <row r="12747" spans="5:6" ht="15" customHeight="1" x14ac:dyDescent="0.2">
      <c r="E12747" s="18"/>
      <c r="F12747" s="18"/>
    </row>
    <row r="12748" spans="5:6" ht="15" customHeight="1" x14ac:dyDescent="0.2">
      <c r="E12748" s="18"/>
      <c r="F12748" s="18"/>
    </row>
    <row r="12749" spans="5:6" ht="15" customHeight="1" x14ac:dyDescent="0.2">
      <c r="E12749" s="18"/>
      <c r="F12749" s="18"/>
    </row>
    <row r="12750" spans="5:6" ht="15" customHeight="1" x14ac:dyDescent="0.2">
      <c r="E12750" s="18"/>
      <c r="F12750" s="18"/>
    </row>
    <row r="12751" spans="5:6" ht="15" customHeight="1" x14ac:dyDescent="0.2">
      <c r="E12751" s="18"/>
      <c r="F12751" s="18"/>
    </row>
    <row r="12752" spans="5:6" ht="15" customHeight="1" x14ac:dyDescent="0.2">
      <c r="E12752" s="18"/>
      <c r="F12752" s="18"/>
    </row>
    <row r="12753" spans="5:6" ht="15" customHeight="1" x14ac:dyDescent="0.2">
      <c r="E12753" s="18"/>
      <c r="F12753" s="18"/>
    </row>
    <row r="12754" spans="5:6" ht="15" customHeight="1" x14ac:dyDescent="0.2">
      <c r="E12754" s="18"/>
      <c r="F12754" s="18"/>
    </row>
    <row r="12755" spans="5:6" ht="15" customHeight="1" x14ac:dyDescent="0.2">
      <c r="E12755" s="18"/>
      <c r="F12755" s="18"/>
    </row>
    <row r="12756" spans="5:6" ht="15" customHeight="1" x14ac:dyDescent="0.2">
      <c r="E12756" s="18"/>
      <c r="F12756" s="18"/>
    </row>
    <row r="12757" spans="5:6" ht="15" customHeight="1" x14ac:dyDescent="0.2">
      <c r="E12757" s="18"/>
      <c r="F12757" s="18"/>
    </row>
    <row r="12758" spans="5:6" ht="15" customHeight="1" x14ac:dyDescent="0.2">
      <c r="E12758" s="18"/>
      <c r="F12758" s="18"/>
    </row>
    <row r="12759" spans="5:6" ht="15" customHeight="1" x14ac:dyDescent="0.2">
      <c r="E12759" s="18"/>
      <c r="F12759" s="18"/>
    </row>
    <row r="12760" spans="5:6" ht="15" customHeight="1" x14ac:dyDescent="0.2">
      <c r="E12760" s="18"/>
      <c r="F12760" s="18"/>
    </row>
    <row r="12761" spans="5:6" ht="15" customHeight="1" x14ac:dyDescent="0.2">
      <c r="E12761" s="18"/>
      <c r="F12761" s="18"/>
    </row>
    <row r="12762" spans="5:6" ht="15" customHeight="1" x14ac:dyDescent="0.2">
      <c r="E12762" s="18"/>
      <c r="F12762" s="18"/>
    </row>
    <row r="12763" spans="5:6" ht="15" customHeight="1" x14ac:dyDescent="0.2">
      <c r="E12763" s="18"/>
      <c r="F12763" s="18"/>
    </row>
    <row r="12764" spans="5:6" ht="15" customHeight="1" x14ac:dyDescent="0.2">
      <c r="E12764" s="18"/>
      <c r="F12764" s="18"/>
    </row>
    <row r="12765" spans="5:6" ht="15" customHeight="1" x14ac:dyDescent="0.2">
      <c r="E12765" s="18"/>
      <c r="F12765" s="18"/>
    </row>
    <row r="12766" spans="5:6" ht="15" customHeight="1" x14ac:dyDescent="0.2">
      <c r="E12766" s="18"/>
      <c r="F12766" s="18"/>
    </row>
    <row r="12767" spans="5:6" ht="15" customHeight="1" x14ac:dyDescent="0.2">
      <c r="E12767" s="18"/>
      <c r="F12767" s="18"/>
    </row>
    <row r="12768" spans="5:6" ht="15" customHeight="1" x14ac:dyDescent="0.2">
      <c r="E12768" s="18"/>
      <c r="F12768" s="18"/>
    </row>
    <row r="12769" spans="5:6" ht="15" customHeight="1" x14ac:dyDescent="0.2">
      <c r="E12769" s="18"/>
      <c r="F12769" s="18"/>
    </row>
    <row r="12770" spans="5:6" ht="15" customHeight="1" x14ac:dyDescent="0.2">
      <c r="E12770" s="18"/>
      <c r="F12770" s="18"/>
    </row>
    <row r="12771" spans="5:6" ht="15" customHeight="1" x14ac:dyDescent="0.2">
      <c r="E12771" s="18"/>
      <c r="F12771" s="18"/>
    </row>
    <row r="12772" spans="5:6" ht="15" customHeight="1" x14ac:dyDescent="0.2">
      <c r="E12772" s="18"/>
      <c r="F12772" s="18"/>
    </row>
    <row r="12773" spans="5:6" ht="15" customHeight="1" x14ac:dyDescent="0.2">
      <c r="E12773" s="18"/>
      <c r="F12773" s="18"/>
    </row>
    <row r="12774" spans="5:6" ht="15" customHeight="1" x14ac:dyDescent="0.2">
      <c r="E12774" s="18"/>
      <c r="F12774" s="18"/>
    </row>
    <row r="12775" spans="5:6" ht="15" customHeight="1" x14ac:dyDescent="0.2">
      <c r="E12775" s="18"/>
      <c r="F12775" s="18"/>
    </row>
    <row r="12776" spans="5:6" ht="15" customHeight="1" x14ac:dyDescent="0.2">
      <c r="E12776" s="18"/>
      <c r="F12776" s="18"/>
    </row>
    <row r="12777" spans="5:6" ht="15" customHeight="1" x14ac:dyDescent="0.2">
      <c r="E12777" s="18"/>
      <c r="F12777" s="18"/>
    </row>
    <row r="12778" spans="5:6" ht="15" customHeight="1" x14ac:dyDescent="0.2">
      <c r="E12778" s="18"/>
      <c r="F12778" s="18"/>
    </row>
    <row r="12779" spans="5:6" ht="15" customHeight="1" x14ac:dyDescent="0.2">
      <c r="E12779" s="18"/>
      <c r="F12779" s="18"/>
    </row>
    <row r="12780" spans="5:6" ht="15" customHeight="1" x14ac:dyDescent="0.2">
      <c r="E12780" s="18"/>
      <c r="F12780" s="18"/>
    </row>
    <row r="12781" spans="5:6" ht="15" customHeight="1" x14ac:dyDescent="0.2">
      <c r="E12781" s="18"/>
      <c r="F12781" s="18"/>
    </row>
    <row r="12782" spans="5:6" ht="15" customHeight="1" x14ac:dyDescent="0.2">
      <c r="E12782" s="18"/>
      <c r="F12782" s="18"/>
    </row>
    <row r="12783" spans="5:6" ht="15" customHeight="1" x14ac:dyDescent="0.2">
      <c r="E12783" s="18"/>
      <c r="F12783" s="18"/>
    </row>
    <row r="12784" spans="5:6" ht="15" customHeight="1" x14ac:dyDescent="0.2">
      <c r="E12784" s="18"/>
      <c r="F12784" s="18"/>
    </row>
    <row r="12785" spans="5:6" ht="15" customHeight="1" x14ac:dyDescent="0.2">
      <c r="E12785" s="18"/>
      <c r="F12785" s="18"/>
    </row>
    <row r="12786" spans="5:6" ht="15" customHeight="1" x14ac:dyDescent="0.2">
      <c r="E12786" s="18"/>
      <c r="F12786" s="18"/>
    </row>
    <row r="12787" spans="5:6" ht="15" customHeight="1" x14ac:dyDescent="0.2">
      <c r="E12787" s="18"/>
      <c r="F12787" s="18"/>
    </row>
    <row r="12788" spans="5:6" ht="15" customHeight="1" x14ac:dyDescent="0.2">
      <c r="E12788" s="18"/>
      <c r="F12788" s="18"/>
    </row>
    <row r="12789" spans="5:6" ht="15" customHeight="1" x14ac:dyDescent="0.2">
      <c r="E12789" s="18"/>
      <c r="F12789" s="18"/>
    </row>
    <row r="12790" spans="5:6" ht="15" customHeight="1" x14ac:dyDescent="0.2">
      <c r="E12790" s="18"/>
      <c r="F12790" s="18"/>
    </row>
    <row r="12791" spans="5:6" ht="15" customHeight="1" x14ac:dyDescent="0.2">
      <c r="E12791" s="18"/>
      <c r="F12791" s="18"/>
    </row>
    <row r="12792" spans="5:6" ht="15" customHeight="1" x14ac:dyDescent="0.2">
      <c r="E12792" s="18"/>
      <c r="F12792" s="18"/>
    </row>
    <row r="12793" spans="5:6" ht="15" customHeight="1" x14ac:dyDescent="0.2">
      <c r="E12793" s="18"/>
      <c r="F12793" s="18"/>
    </row>
    <row r="12794" spans="5:6" ht="15" customHeight="1" x14ac:dyDescent="0.2">
      <c r="E12794" s="18"/>
      <c r="F12794" s="18"/>
    </row>
    <row r="12795" spans="5:6" ht="15" customHeight="1" x14ac:dyDescent="0.2">
      <c r="E12795" s="18"/>
      <c r="F12795" s="18"/>
    </row>
    <row r="12796" spans="5:6" ht="15" customHeight="1" x14ac:dyDescent="0.2">
      <c r="E12796" s="18"/>
      <c r="F12796" s="18"/>
    </row>
    <row r="12797" spans="5:6" ht="15" customHeight="1" x14ac:dyDescent="0.2">
      <c r="E12797" s="18"/>
      <c r="F12797" s="18"/>
    </row>
    <row r="12798" spans="5:6" ht="15" customHeight="1" x14ac:dyDescent="0.2">
      <c r="E12798" s="18"/>
      <c r="F12798" s="18"/>
    </row>
    <row r="12799" spans="5:6" ht="15" customHeight="1" x14ac:dyDescent="0.2">
      <c r="E12799" s="18"/>
      <c r="F12799" s="18"/>
    </row>
    <row r="12800" spans="5:6" ht="15" customHeight="1" x14ac:dyDescent="0.2">
      <c r="E12800" s="18"/>
      <c r="F12800" s="18"/>
    </row>
    <row r="12801" spans="5:6" ht="15" customHeight="1" x14ac:dyDescent="0.2">
      <c r="E12801" s="18"/>
      <c r="F12801" s="18"/>
    </row>
    <row r="12802" spans="5:6" ht="15" customHeight="1" x14ac:dyDescent="0.2">
      <c r="E12802" s="18"/>
      <c r="F12802" s="18"/>
    </row>
    <row r="12803" spans="5:6" ht="15" customHeight="1" x14ac:dyDescent="0.2">
      <c r="E12803" s="18"/>
      <c r="F12803" s="18"/>
    </row>
    <row r="12804" spans="5:6" ht="15" customHeight="1" x14ac:dyDescent="0.2">
      <c r="E12804" s="18"/>
      <c r="F12804" s="18"/>
    </row>
    <row r="12805" spans="5:6" ht="15" customHeight="1" x14ac:dyDescent="0.2">
      <c r="E12805" s="18"/>
      <c r="F12805" s="18"/>
    </row>
    <row r="12806" spans="5:6" ht="15" customHeight="1" x14ac:dyDescent="0.2">
      <c r="E12806" s="18"/>
      <c r="F12806" s="18"/>
    </row>
    <row r="12807" spans="5:6" ht="15" customHeight="1" x14ac:dyDescent="0.2">
      <c r="E12807" s="18"/>
      <c r="F12807" s="18"/>
    </row>
    <row r="12808" spans="5:6" ht="15" customHeight="1" x14ac:dyDescent="0.2">
      <c r="E12808" s="18"/>
      <c r="F12808" s="18"/>
    </row>
    <row r="12809" spans="5:6" ht="15" customHeight="1" x14ac:dyDescent="0.2">
      <c r="E12809" s="18"/>
      <c r="F12809" s="18"/>
    </row>
    <row r="12810" spans="5:6" ht="15" customHeight="1" x14ac:dyDescent="0.2">
      <c r="E12810" s="18"/>
      <c r="F12810" s="18"/>
    </row>
    <row r="12811" spans="5:6" ht="15" customHeight="1" x14ac:dyDescent="0.2">
      <c r="E12811" s="18"/>
      <c r="F12811" s="18"/>
    </row>
    <row r="12812" spans="5:6" ht="15" customHeight="1" x14ac:dyDescent="0.2">
      <c r="E12812" s="18"/>
      <c r="F12812" s="18"/>
    </row>
    <row r="12813" spans="5:6" ht="15" customHeight="1" x14ac:dyDescent="0.2">
      <c r="E12813" s="18"/>
      <c r="F12813" s="18"/>
    </row>
    <row r="12814" spans="5:6" ht="15" customHeight="1" x14ac:dyDescent="0.2">
      <c r="E12814" s="18"/>
      <c r="F12814" s="18"/>
    </row>
    <row r="12815" spans="5:6" ht="15" customHeight="1" x14ac:dyDescent="0.2">
      <c r="E12815" s="18"/>
      <c r="F12815" s="18"/>
    </row>
    <row r="12816" spans="5:6" ht="15" customHeight="1" x14ac:dyDescent="0.2">
      <c r="E12816" s="18"/>
      <c r="F12816" s="18"/>
    </row>
    <row r="12817" spans="5:6" ht="15" customHeight="1" x14ac:dyDescent="0.2">
      <c r="E12817" s="18"/>
      <c r="F12817" s="18"/>
    </row>
    <row r="12818" spans="5:6" ht="15" customHeight="1" x14ac:dyDescent="0.2">
      <c r="E12818" s="18"/>
      <c r="F12818" s="18"/>
    </row>
    <row r="12819" spans="5:6" ht="15" customHeight="1" x14ac:dyDescent="0.2">
      <c r="E12819" s="18"/>
      <c r="F12819" s="18"/>
    </row>
    <row r="12820" spans="5:6" ht="15" customHeight="1" x14ac:dyDescent="0.2">
      <c r="E12820" s="18"/>
      <c r="F12820" s="18"/>
    </row>
    <row r="12821" spans="5:6" ht="15" customHeight="1" x14ac:dyDescent="0.2">
      <c r="E12821" s="18"/>
      <c r="F12821" s="18"/>
    </row>
    <row r="12822" spans="5:6" ht="15" customHeight="1" x14ac:dyDescent="0.2">
      <c r="E12822" s="18"/>
      <c r="F12822" s="18"/>
    </row>
    <row r="12823" spans="5:6" ht="15" customHeight="1" x14ac:dyDescent="0.2">
      <c r="E12823" s="18"/>
      <c r="F12823" s="18"/>
    </row>
    <row r="12824" spans="5:6" ht="15" customHeight="1" x14ac:dyDescent="0.2">
      <c r="E12824" s="18"/>
      <c r="F12824" s="18"/>
    </row>
    <row r="12825" spans="5:6" ht="15" customHeight="1" x14ac:dyDescent="0.2">
      <c r="E12825" s="18"/>
      <c r="F12825" s="18"/>
    </row>
    <row r="12826" spans="5:6" ht="15" customHeight="1" x14ac:dyDescent="0.2">
      <c r="E12826" s="18"/>
      <c r="F12826" s="18"/>
    </row>
    <row r="12827" spans="5:6" ht="15" customHeight="1" x14ac:dyDescent="0.2">
      <c r="E12827" s="18"/>
      <c r="F12827" s="18"/>
    </row>
    <row r="12828" spans="5:6" ht="15" customHeight="1" x14ac:dyDescent="0.2">
      <c r="E12828" s="18"/>
      <c r="F12828" s="18"/>
    </row>
    <row r="12829" spans="5:6" ht="15" customHeight="1" x14ac:dyDescent="0.2">
      <c r="E12829" s="18"/>
      <c r="F12829" s="18"/>
    </row>
    <row r="12830" spans="5:6" ht="15" customHeight="1" x14ac:dyDescent="0.2">
      <c r="E12830" s="18"/>
      <c r="F12830" s="18"/>
    </row>
    <row r="12831" spans="5:6" ht="15" customHeight="1" x14ac:dyDescent="0.2">
      <c r="E12831" s="18"/>
      <c r="F12831" s="18"/>
    </row>
    <row r="12832" spans="5:6" ht="15" customHeight="1" x14ac:dyDescent="0.2">
      <c r="E12832" s="18"/>
      <c r="F12832" s="18"/>
    </row>
    <row r="12833" spans="5:6" ht="15" customHeight="1" x14ac:dyDescent="0.2">
      <c r="E12833" s="18"/>
      <c r="F12833" s="18"/>
    </row>
    <row r="12834" spans="5:6" ht="15" customHeight="1" x14ac:dyDescent="0.2">
      <c r="E12834" s="18"/>
      <c r="F12834" s="18"/>
    </row>
    <row r="12835" spans="5:6" ht="15" customHeight="1" x14ac:dyDescent="0.2">
      <c r="E12835" s="18"/>
      <c r="F12835" s="18"/>
    </row>
    <row r="12836" spans="5:6" ht="15" customHeight="1" x14ac:dyDescent="0.2">
      <c r="E12836" s="18"/>
      <c r="F12836" s="18"/>
    </row>
    <row r="12837" spans="5:6" ht="15" customHeight="1" x14ac:dyDescent="0.2">
      <c r="E12837" s="18"/>
      <c r="F12837" s="18"/>
    </row>
    <row r="12838" spans="5:6" ht="15" customHeight="1" x14ac:dyDescent="0.2">
      <c r="E12838" s="18"/>
      <c r="F12838" s="18"/>
    </row>
    <row r="12839" spans="5:6" ht="15" customHeight="1" x14ac:dyDescent="0.2">
      <c r="E12839" s="18"/>
      <c r="F12839" s="18"/>
    </row>
    <row r="12840" spans="5:6" ht="15" customHeight="1" x14ac:dyDescent="0.2">
      <c r="E12840" s="18"/>
      <c r="F12840" s="18"/>
    </row>
    <row r="12841" spans="5:6" ht="15" customHeight="1" x14ac:dyDescent="0.2">
      <c r="E12841" s="18"/>
      <c r="F12841" s="18"/>
    </row>
    <row r="12842" spans="5:6" ht="15" customHeight="1" x14ac:dyDescent="0.2">
      <c r="E12842" s="18"/>
      <c r="F12842" s="18"/>
    </row>
    <row r="12843" spans="5:6" ht="15" customHeight="1" x14ac:dyDescent="0.2">
      <c r="E12843" s="18"/>
      <c r="F12843" s="18"/>
    </row>
    <row r="12844" spans="5:6" ht="15" customHeight="1" x14ac:dyDescent="0.2">
      <c r="E12844" s="18"/>
      <c r="F12844" s="18"/>
    </row>
    <row r="12845" spans="5:6" ht="15" customHeight="1" x14ac:dyDescent="0.2">
      <c r="E12845" s="18"/>
      <c r="F12845" s="18"/>
    </row>
    <row r="12846" spans="5:6" ht="15" customHeight="1" x14ac:dyDescent="0.2">
      <c r="E12846" s="18"/>
      <c r="F12846" s="18"/>
    </row>
    <row r="12847" spans="5:6" ht="15" customHeight="1" x14ac:dyDescent="0.2">
      <c r="E12847" s="18"/>
      <c r="F12847" s="18"/>
    </row>
    <row r="12848" spans="5:6" ht="15" customHeight="1" x14ac:dyDescent="0.2">
      <c r="E12848" s="18"/>
      <c r="F12848" s="18"/>
    </row>
    <row r="12849" spans="5:6" ht="15" customHeight="1" x14ac:dyDescent="0.2">
      <c r="E12849" s="18"/>
      <c r="F12849" s="18"/>
    </row>
    <row r="12850" spans="5:6" ht="15" customHeight="1" x14ac:dyDescent="0.2">
      <c r="E12850" s="18"/>
      <c r="F12850" s="18"/>
    </row>
    <row r="12851" spans="5:6" ht="15" customHeight="1" x14ac:dyDescent="0.2">
      <c r="E12851" s="18"/>
      <c r="F12851" s="18"/>
    </row>
    <row r="12852" spans="5:6" ht="15" customHeight="1" x14ac:dyDescent="0.2">
      <c r="E12852" s="18"/>
      <c r="F12852" s="18"/>
    </row>
    <row r="12853" spans="5:6" ht="15" customHeight="1" x14ac:dyDescent="0.2">
      <c r="E12853" s="18"/>
      <c r="F12853" s="18"/>
    </row>
    <row r="12854" spans="5:6" ht="15" customHeight="1" x14ac:dyDescent="0.2">
      <c r="E12854" s="18"/>
      <c r="F12854" s="18"/>
    </row>
    <row r="12855" spans="5:6" ht="15" customHeight="1" x14ac:dyDescent="0.2">
      <c r="E12855" s="18"/>
      <c r="F12855" s="18"/>
    </row>
    <row r="12856" spans="5:6" ht="15" customHeight="1" x14ac:dyDescent="0.2">
      <c r="E12856" s="18"/>
      <c r="F12856" s="18"/>
    </row>
    <row r="12857" spans="5:6" ht="15" customHeight="1" x14ac:dyDescent="0.2">
      <c r="E12857" s="18"/>
      <c r="F12857" s="18"/>
    </row>
    <row r="12858" spans="5:6" ht="15" customHeight="1" x14ac:dyDescent="0.2">
      <c r="E12858" s="18"/>
      <c r="F12858" s="18"/>
    </row>
    <row r="12859" spans="5:6" ht="15" customHeight="1" x14ac:dyDescent="0.2">
      <c r="E12859" s="18"/>
      <c r="F12859" s="18"/>
    </row>
    <row r="12860" spans="5:6" ht="15" customHeight="1" x14ac:dyDescent="0.2">
      <c r="E12860" s="18"/>
      <c r="F12860" s="18"/>
    </row>
    <row r="12861" spans="5:6" ht="15" customHeight="1" x14ac:dyDescent="0.2">
      <c r="E12861" s="18"/>
      <c r="F12861" s="18"/>
    </row>
    <row r="12862" spans="5:6" ht="15" customHeight="1" x14ac:dyDescent="0.2">
      <c r="E12862" s="18"/>
      <c r="F12862" s="18"/>
    </row>
    <row r="12863" spans="5:6" ht="15" customHeight="1" x14ac:dyDescent="0.2">
      <c r="E12863" s="18"/>
      <c r="F12863" s="18"/>
    </row>
    <row r="12864" spans="5:6" ht="15" customHeight="1" x14ac:dyDescent="0.2">
      <c r="E12864" s="18"/>
      <c r="F12864" s="18"/>
    </row>
    <row r="12865" spans="5:6" ht="15" customHeight="1" x14ac:dyDescent="0.2">
      <c r="E12865" s="18"/>
      <c r="F12865" s="18"/>
    </row>
    <row r="12866" spans="5:6" ht="15" customHeight="1" x14ac:dyDescent="0.2">
      <c r="E12866" s="18"/>
      <c r="F12866" s="18"/>
    </row>
    <row r="12867" spans="5:6" ht="15" customHeight="1" x14ac:dyDescent="0.2">
      <c r="E12867" s="18"/>
      <c r="F12867" s="18"/>
    </row>
    <row r="12868" spans="5:6" ht="15" customHeight="1" x14ac:dyDescent="0.2">
      <c r="E12868" s="18"/>
      <c r="F12868" s="18"/>
    </row>
    <row r="12869" spans="5:6" ht="15" customHeight="1" x14ac:dyDescent="0.2">
      <c r="E12869" s="18"/>
      <c r="F12869" s="18"/>
    </row>
    <row r="12870" spans="5:6" ht="15" customHeight="1" x14ac:dyDescent="0.2">
      <c r="E12870" s="18"/>
      <c r="F12870" s="18"/>
    </row>
    <row r="12871" spans="5:6" ht="15" customHeight="1" x14ac:dyDescent="0.2">
      <c r="E12871" s="18"/>
      <c r="F12871" s="18"/>
    </row>
    <row r="12872" spans="5:6" ht="15" customHeight="1" x14ac:dyDescent="0.2">
      <c r="E12872" s="18"/>
      <c r="F12872" s="18"/>
    </row>
    <row r="12873" spans="5:6" ht="15" customHeight="1" x14ac:dyDescent="0.2">
      <c r="E12873" s="18"/>
      <c r="F12873" s="18"/>
    </row>
    <row r="12874" spans="5:6" ht="15" customHeight="1" x14ac:dyDescent="0.2">
      <c r="E12874" s="18"/>
      <c r="F12874" s="18"/>
    </row>
    <row r="12875" spans="5:6" ht="15" customHeight="1" x14ac:dyDescent="0.2">
      <c r="E12875" s="18"/>
      <c r="F12875" s="18"/>
    </row>
    <row r="12876" spans="5:6" ht="15" customHeight="1" x14ac:dyDescent="0.2">
      <c r="E12876" s="18"/>
      <c r="F12876" s="18"/>
    </row>
    <row r="12877" spans="5:6" ht="15" customHeight="1" x14ac:dyDescent="0.2">
      <c r="E12877" s="18"/>
      <c r="F12877" s="18"/>
    </row>
    <row r="12878" spans="5:6" ht="15" customHeight="1" x14ac:dyDescent="0.2">
      <c r="E12878" s="18"/>
      <c r="F12878" s="18"/>
    </row>
    <row r="12879" spans="5:6" ht="15" customHeight="1" x14ac:dyDescent="0.2">
      <c r="E12879" s="18"/>
      <c r="F12879" s="18"/>
    </row>
    <row r="12880" spans="5:6" ht="15" customHeight="1" x14ac:dyDescent="0.2">
      <c r="E12880" s="18"/>
      <c r="F12880" s="18"/>
    </row>
    <row r="12881" spans="5:6" ht="15" customHeight="1" x14ac:dyDescent="0.2">
      <c r="E12881" s="18"/>
      <c r="F12881" s="18"/>
    </row>
    <row r="12882" spans="5:6" ht="15" customHeight="1" x14ac:dyDescent="0.2">
      <c r="E12882" s="18"/>
      <c r="F12882" s="18"/>
    </row>
    <row r="12883" spans="5:6" ht="15" customHeight="1" x14ac:dyDescent="0.2">
      <c r="E12883" s="18"/>
      <c r="F12883" s="18"/>
    </row>
    <row r="12884" spans="5:6" ht="15" customHeight="1" x14ac:dyDescent="0.2">
      <c r="E12884" s="18"/>
      <c r="F12884" s="18"/>
    </row>
    <row r="12885" spans="5:6" ht="15" customHeight="1" x14ac:dyDescent="0.2">
      <c r="E12885" s="18"/>
      <c r="F12885" s="18"/>
    </row>
    <row r="12886" spans="5:6" ht="15" customHeight="1" x14ac:dyDescent="0.2">
      <c r="E12886" s="18"/>
      <c r="F12886" s="18"/>
    </row>
    <row r="12887" spans="5:6" ht="15" customHeight="1" x14ac:dyDescent="0.2">
      <c r="E12887" s="18"/>
      <c r="F12887" s="18"/>
    </row>
    <row r="12888" spans="5:6" ht="15" customHeight="1" x14ac:dyDescent="0.2">
      <c r="E12888" s="18"/>
      <c r="F12888" s="18"/>
    </row>
    <row r="12889" spans="5:6" ht="15" customHeight="1" x14ac:dyDescent="0.2">
      <c r="E12889" s="18"/>
      <c r="F12889" s="18"/>
    </row>
    <row r="12890" spans="5:6" ht="15" customHeight="1" x14ac:dyDescent="0.2">
      <c r="E12890" s="18"/>
      <c r="F12890" s="18"/>
    </row>
    <row r="12891" spans="5:6" ht="15" customHeight="1" x14ac:dyDescent="0.2">
      <c r="E12891" s="18"/>
      <c r="F12891" s="18"/>
    </row>
    <row r="12892" spans="5:6" ht="15" customHeight="1" x14ac:dyDescent="0.2">
      <c r="E12892" s="18"/>
      <c r="F12892" s="18"/>
    </row>
    <row r="12893" spans="5:6" ht="15" customHeight="1" x14ac:dyDescent="0.2">
      <c r="E12893" s="18"/>
      <c r="F12893" s="18"/>
    </row>
    <row r="12894" spans="5:6" ht="15" customHeight="1" x14ac:dyDescent="0.2">
      <c r="E12894" s="18"/>
      <c r="F12894" s="18"/>
    </row>
    <row r="12895" spans="5:6" ht="15" customHeight="1" x14ac:dyDescent="0.2">
      <c r="E12895" s="18"/>
      <c r="F12895" s="18"/>
    </row>
    <row r="12896" spans="5:6" ht="15" customHeight="1" x14ac:dyDescent="0.2">
      <c r="E12896" s="18"/>
      <c r="F12896" s="18"/>
    </row>
    <row r="12897" spans="5:6" ht="15" customHeight="1" x14ac:dyDescent="0.2">
      <c r="E12897" s="18"/>
      <c r="F12897" s="18"/>
    </row>
    <row r="12898" spans="5:6" ht="15" customHeight="1" x14ac:dyDescent="0.2">
      <c r="E12898" s="18"/>
      <c r="F12898" s="18"/>
    </row>
    <row r="12899" spans="5:6" ht="15" customHeight="1" x14ac:dyDescent="0.2">
      <c r="E12899" s="18"/>
      <c r="F12899" s="18"/>
    </row>
    <row r="12900" spans="5:6" ht="15" customHeight="1" x14ac:dyDescent="0.2">
      <c r="E12900" s="18"/>
      <c r="F12900" s="18"/>
    </row>
    <row r="12901" spans="5:6" ht="15" customHeight="1" x14ac:dyDescent="0.2">
      <c r="E12901" s="18"/>
      <c r="F12901" s="18"/>
    </row>
    <row r="12902" spans="5:6" ht="15" customHeight="1" x14ac:dyDescent="0.2">
      <c r="E12902" s="18"/>
      <c r="F12902" s="18"/>
    </row>
    <row r="12903" spans="5:6" ht="15" customHeight="1" x14ac:dyDescent="0.2">
      <c r="E12903" s="18"/>
      <c r="F12903" s="18"/>
    </row>
    <row r="12904" spans="5:6" ht="15" customHeight="1" x14ac:dyDescent="0.2">
      <c r="E12904" s="18"/>
      <c r="F12904" s="18"/>
    </row>
    <row r="12905" spans="5:6" ht="15" customHeight="1" x14ac:dyDescent="0.2">
      <c r="E12905" s="18"/>
      <c r="F12905" s="18"/>
    </row>
    <row r="12906" spans="5:6" ht="15" customHeight="1" x14ac:dyDescent="0.2">
      <c r="E12906" s="18"/>
      <c r="F12906" s="18"/>
    </row>
    <row r="12907" spans="5:6" ht="15" customHeight="1" x14ac:dyDescent="0.2">
      <c r="E12907" s="18"/>
      <c r="F12907" s="18"/>
    </row>
    <row r="12908" spans="5:6" ht="15" customHeight="1" x14ac:dyDescent="0.2">
      <c r="E12908" s="18"/>
      <c r="F12908" s="18"/>
    </row>
    <row r="12909" spans="5:6" ht="15" customHeight="1" x14ac:dyDescent="0.2">
      <c r="E12909" s="18"/>
      <c r="F12909" s="18"/>
    </row>
    <row r="12910" spans="5:6" ht="15" customHeight="1" x14ac:dyDescent="0.2">
      <c r="E12910" s="18"/>
      <c r="F12910" s="18"/>
    </row>
    <row r="12911" spans="5:6" ht="15" customHeight="1" x14ac:dyDescent="0.2">
      <c r="E12911" s="18"/>
      <c r="F12911" s="18"/>
    </row>
    <row r="12912" spans="5:6" ht="15" customHeight="1" x14ac:dyDescent="0.2">
      <c r="E12912" s="18"/>
      <c r="F12912" s="18"/>
    </row>
    <row r="12913" spans="5:6" ht="15" customHeight="1" x14ac:dyDescent="0.2">
      <c r="E12913" s="18"/>
      <c r="F12913" s="18"/>
    </row>
    <row r="12914" spans="5:6" ht="15" customHeight="1" x14ac:dyDescent="0.2">
      <c r="E12914" s="18"/>
      <c r="F12914" s="18"/>
    </row>
    <row r="12915" spans="5:6" ht="15" customHeight="1" x14ac:dyDescent="0.2">
      <c r="E12915" s="18"/>
      <c r="F12915" s="18"/>
    </row>
    <row r="12916" spans="5:6" ht="15" customHeight="1" x14ac:dyDescent="0.2">
      <c r="E12916" s="18"/>
      <c r="F12916" s="18"/>
    </row>
    <row r="12917" spans="5:6" ht="15" customHeight="1" x14ac:dyDescent="0.2">
      <c r="E12917" s="18"/>
      <c r="F12917" s="18"/>
    </row>
    <row r="12918" spans="5:6" ht="15" customHeight="1" x14ac:dyDescent="0.2">
      <c r="E12918" s="18"/>
      <c r="F12918" s="18"/>
    </row>
    <row r="12919" spans="5:6" ht="15" customHeight="1" x14ac:dyDescent="0.2">
      <c r="E12919" s="18"/>
      <c r="F12919" s="18"/>
    </row>
    <row r="12920" spans="5:6" ht="15" customHeight="1" x14ac:dyDescent="0.2">
      <c r="E12920" s="18"/>
      <c r="F12920" s="18"/>
    </row>
    <row r="12921" spans="5:6" ht="15" customHeight="1" x14ac:dyDescent="0.2">
      <c r="E12921" s="18"/>
      <c r="F12921" s="18"/>
    </row>
    <row r="12922" spans="5:6" ht="15" customHeight="1" x14ac:dyDescent="0.2">
      <c r="E12922" s="18"/>
      <c r="F12922" s="18"/>
    </row>
    <row r="12923" spans="5:6" ht="15" customHeight="1" x14ac:dyDescent="0.2">
      <c r="E12923" s="18"/>
      <c r="F12923" s="18"/>
    </row>
    <row r="12924" spans="5:6" ht="15" customHeight="1" x14ac:dyDescent="0.2">
      <c r="E12924" s="18"/>
      <c r="F12924" s="18"/>
    </row>
    <row r="12925" spans="5:6" ht="15" customHeight="1" x14ac:dyDescent="0.2">
      <c r="E12925" s="18"/>
      <c r="F12925" s="18"/>
    </row>
    <row r="12926" spans="5:6" ht="15" customHeight="1" x14ac:dyDescent="0.2">
      <c r="E12926" s="18"/>
      <c r="F12926" s="18"/>
    </row>
    <row r="12927" spans="5:6" ht="15" customHeight="1" x14ac:dyDescent="0.2">
      <c r="E12927" s="18"/>
      <c r="F12927" s="18"/>
    </row>
    <row r="12928" spans="5:6" ht="15" customHeight="1" x14ac:dyDescent="0.2">
      <c r="E12928" s="18"/>
      <c r="F12928" s="18"/>
    </row>
    <row r="12929" spans="5:6" ht="15" customHeight="1" x14ac:dyDescent="0.2">
      <c r="E12929" s="18"/>
      <c r="F12929" s="18"/>
    </row>
    <row r="12930" spans="5:6" ht="15" customHeight="1" x14ac:dyDescent="0.2">
      <c r="E12930" s="18"/>
      <c r="F12930" s="18"/>
    </row>
    <row r="12931" spans="5:6" ht="15" customHeight="1" x14ac:dyDescent="0.2">
      <c r="E12931" s="18"/>
      <c r="F12931" s="18"/>
    </row>
    <row r="12932" spans="5:6" ht="15" customHeight="1" x14ac:dyDescent="0.2">
      <c r="E12932" s="18"/>
      <c r="F12932" s="18"/>
    </row>
    <row r="12933" spans="5:6" ht="15" customHeight="1" x14ac:dyDescent="0.2">
      <c r="E12933" s="18"/>
      <c r="F12933" s="18"/>
    </row>
    <row r="12934" spans="5:6" ht="15" customHeight="1" x14ac:dyDescent="0.2">
      <c r="E12934" s="18"/>
      <c r="F12934" s="18"/>
    </row>
    <row r="12935" spans="5:6" ht="15" customHeight="1" x14ac:dyDescent="0.2">
      <c r="E12935" s="18"/>
      <c r="F12935" s="18"/>
    </row>
    <row r="12936" spans="5:6" ht="15" customHeight="1" x14ac:dyDescent="0.2">
      <c r="E12936" s="18"/>
      <c r="F12936" s="18"/>
    </row>
    <row r="12937" spans="5:6" ht="15" customHeight="1" x14ac:dyDescent="0.2">
      <c r="E12937" s="18"/>
      <c r="F12937" s="18"/>
    </row>
    <row r="12938" spans="5:6" ht="15" customHeight="1" x14ac:dyDescent="0.2">
      <c r="E12938" s="18"/>
      <c r="F12938" s="18"/>
    </row>
    <row r="12939" spans="5:6" ht="15" customHeight="1" x14ac:dyDescent="0.2">
      <c r="E12939" s="18"/>
      <c r="F12939" s="18"/>
    </row>
    <row r="12940" spans="5:6" ht="15" customHeight="1" x14ac:dyDescent="0.2">
      <c r="E12940" s="18"/>
      <c r="F12940" s="18"/>
    </row>
    <row r="12941" spans="5:6" ht="15" customHeight="1" x14ac:dyDescent="0.2">
      <c r="E12941" s="18"/>
      <c r="F12941" s="18"/>
    </row>
    <row r="12942" spans="5:6" ht="15" customHeight="1" x14ac:dyDescent="0.2">
      <c r="E12942" s="18"/>
      <c r="F12942" s="18"/>
    </row>
    <row r="12943" spans="5:6" ht="15" customHeight="1" x14ac:dyDescent="0.2">
      <c r="E12943" s="18"/>
      <c r="F12943" s="18"/>
    </row>
    <row r="12944" spans="5:6" ht="15" customHeight="1" x14ac:dyDescent="0.2">
      <c r="E12944" s="18"/>
      <c r="F12944" s="18"/>
    </row>
    <row r="12945" spans="5:6" ht="15" customHeight="1" x14ac:dyDescent="0.2">
      <c r="E12945" s="18"/>
      <c r="F12945" s="18"/>
    </row>
    <row r="12946" spans="5:6" ht="15" customHeight="1" x14ac:dyDescent="0.2">
      <c r="E12946" s="18"/>
      <c r="F12946" s="18"/>
    </row>
    <row r="12947" spans="5:6" ht="15" customHeight="1" x14ac:dyDescent="0.2">
      <c r="E12947" s="18"/>
      <c r="F12947" s="18"/>
    </row>
    <row r="12948" spans="5:6" ht="15" customHeight="1" x14ac:dyDescent="0.2">
      <c r="E12948" s="18"/>
      <c r="F12948" s="18"/>
    </row>
    <row r="12949" spans="5:6" ht="15" customHeight="1" x14ac:dyDescent="0.2">
      <c r="E12949" s="18"/>
      <c r="F12949" s="18"/>
    </row>
    <row r="12950" spans="5:6" ht="15" customHeight="1" x14ac:dyDescent="0.2">
      <c r="E12950" s="18"/>
      <c r="F12950" s="18"/>
    </row>
    <row r="12951" spans="5:6" ht="15" customHeight="1" x14ac:dyDescent="0.2">
      <c r="E12951" s="18"/>
      <c r="F12951" s="18"/>
    </row>
    <row r="12952" spans="5:6" ht="15" customHeight="1" x14ac:dyDescent="0.2">
      <c r="E12952" s="18"/>
      <c r="F12952" s="18"/>
    </row>
    <row r="12953" spans="5:6" ht="15" customHeight="1" x14ac:dyDescent="0.2">
      <c r="E12953" s="18"/>
      <c r="F12953" s="18"/>
    </row>
    <row r="12954" spans="5:6" ht="15" customHeight="1" x14ac:dyDescent="0.2">
      <c r="E12954" s="18"/>
      <c r="F12954" s="18"/>
    </row>
    <row r="12955" spans="5:6" ht="15" customHeight="1" x14ac:dyDescent="0.2">
      <c r="E12955" s="18"/>
      <c r="F12955" s="18"/>
    </row>
    <row r="12956" spans="5:6" ht="15" customHeight="1" x14ac:dyDescent="0.2">
      <c r="E12956" s="18"/>
      <c r="F12956" s="18"/>
    </row>
    <row r="12957" spans="5:6" ht="15" customHeight="1" x14ac:dyDescent="0.2">
      <c r="E12957" s="18"/>
      <c r="F12957" s="18"/>
    </row>
    <row r="12958" spans="5:6" ht="15" customHeight="1" x14ac:dyDescent="0.2">
      <c r="E12958" s="18"/>
      <c r="F12958" s="18"/>
    </row>
    <row r="12959" spans="5:6" ht="15" customHeight="1" x14ac:dyDescent="0.2">
      <c r="E12959" s="18"/>
      <c r="F12959" s="18"/>
    </row>
    <row r="12960" spans="5:6" ht="15" customHeight="1" x14ac:dyDescent="0.2">
      <c r="E12960" s="18"/>
      <c r="F12960" s="18"/>
    </row>
    <row r="12961" spans="5:6" ht="15" customHeight="1" x14ac:dyDescent="0.2">
      <c r="E12961" s="18"/>
      <c r="F12961" s="18"/>
    </row>
    <row r="12962" spans="5:6" ht="15" customHeight="1" x14ac:dyDescent="0.2">
      <c r="E12962" s="18"/>
      <c r="F12962" s="18"/>
    </row>
    <row r="12963" spans="5:6" ht="15" customHeight="1" x14ac:dyDescent="0.2">
      <c r="E12963" s="18"/>
      <c r="F12963" s="18"/>
    </row>
    <row r="12964" spans="5:6" ht="15" customHeight="1" x14ac:dyDescent="0.2">
      <c r="E12964" s="18"/>
      <c r="F12964" s="18"/>
    </row>
    <row r="12965" spans="5:6" ht="15" customHeight="1" x14ac:dyDescent="0.2">
      <c r="E12965" s="18"/>
      <c r="F12965" s="18"/>
    </row>
    <row r="12966" spans="5:6" ht="15" customHeight="1" x14ac:dyDescent="0.2">
      <c r="E12966" s="18"/>
      <c r="F12966" s="18"/>
    </row>
    <row r="12967" spans="5:6" ht="15" customHeight="1" x14ac:dyDescent="0.2">
      <c r="E12967" s="18"/>
      <c r="F12967" s="18"/>
    </row>
    <row r="12968" spans="5:6" ht="15" customHeight="1" x14ac:dyDescent="0.2">
      <c r="E12968" s="18"/>
      <c r="F12968" s="18"/>
    </row>
    <row r="12969" spans="5:6" ht="15" customHeight="1" x14ac:dyDescent="0.2">
      <c r="E12969" s="18"/>
      <c r="F12969" s="18"/>
    </row>
    <row r="12970" spans="5:6" ht="15" customHeight="1" x14ac:dyDescent="0.2">
      <c r="E12970" s="18"/>
      <c r="F12970" s="18"/>
    </row>
    <row r="12971" spans="5:6" ht="15" customHeight="1" x14ac:dyDescent="0.2">
      <c r="E12971" s="18"/>
      <c r="F12971" s="18"/>
    </row>
    <row r="12972" spans="5:6" ht="15" customHeight="1" x14ac:dyDescent="0.2">
      <c r="E12972" s="18"/>
      <c r="F12972" s="18"/>
    </row>
    <row r="12973" spans="5:6" ht="15" customHeight="1" x14ac:dyDescent="0.2">
      <c r="E12973" s="18"/>
      <c r="F12973" s="18"/>
    </row>
    <row r="12974" spans="5:6" ht="15" customHeight="1" x14ac:dyDescent="0.2">
      <c r="E12974" s="18"/>
      <c r="F12974" s="18"/>
    </row>
    <row r="12975" spans="5:6" ht="15" customHeight="1" x14ac:dyDescent="0.2">
      <c r="E12975" s="18"/>
      <c r="F12975" s="18"/>
    </row>
    <row r="12976" spans="5:6" ht="15" customHeight="1" x14ac:dyDescent="0.2">
      <c r="E12976" s="18"/>
      <c r="F12976" s="18"/>
    </row>
    <row r="12977" spans="5:6" ht="15" customHeight="1" x14ac:dyDescent="0.2">
      <c r="E12977" s="18"/>
      <c r="F12977" s="18"/>
    </row>
    <row r="12978" spans="5:6" ht="15" customHeight="1" x14ac:dyDescent="0.2">
      <c r="E12978" s="18"/>
      <c r="F12978" s="18"/>
    </row>
    <row r="12979" spans="5:6" ht="15" customHeight="1" x14ac:dyDescent="0.2">
      <c r="E12979" s="18"/>
      <c r="F12979" s="18"/>
    </row>
    <row r="12980" spans="5:6" ht="15" customHeight="1" x14ac:dyDescent="0.2">
      <c r="E12980" s="18"/>
      <c r="F12980" s="18"/>
    </row>
    <row r="12981" spans="5:6" ht="15" customHeight="1" x14ac:dyDescent="0.2">
      <c r="E12981" s="18"/>
      <c r="F12981" s="18"/>
    </row>
    <row r="12982" spans="5:6" ht="15" customHeight="1" x14ac:dyDescent="0.2">
      <c r="E12982" s="18"/>
      <c r="F12982" s="18"/>
    </row>
    <row r="12983" spans="5:6" ht="15" customHeight="1" x14ac:dyDescent="0.2">
      <c r="E12983" s="18"/>
      <c r="F12983" s="18"/>
    </row>
    <row r="12984" spans="5:6" ht="15" customHeight="1" x14ac:dyDescent="0.2">
      <c r="E12984" s="18"/>
      <c r="F12984" s="18"/>
    </row>
    <row r="12985" spans="5:6" ht="15" customHeight="1" x14ac:dyDescent="0.2">
      <c r="E12985" s="18"/>
      <c r="F12985" s="18"/>
    </row>
    <row r="12986" spans="5:6" ht="15" customHeight="1" x14ac:dyDescent="0.2">
      <c r="E12986" s="18"/>
      <c r="F12986" s="18"/>
    </row>
    <row r="12987" spans="5:6" ht="15" customHeight="1" x14ac:dyDescent="0.2">
      <c r="E12987" s="18"/>
      <c r="F12987" s="18"/>
    </row>
    <row r="12988" spans="5:6" ht="15" customHeight="1" x14ac:dyDescent="0.2">
      <c r="E12988" s="18"/>
      <c r="F12988" s="18"/>
    </row>
    <row r="12989" spans="5:6" ht="15" customHeight="1" x14ac:dyDescent="0.2">
      <c r="E12989" s="18"/>
      <c r="F12989" s="18"/>
    </row>
    <row r="12990" spans="5:6" ht="15" customHeight="1" x14ac:dyDescent="0.2">
      <c r="E12990" s="18"/>
      <c r="F12990" s="18"/>
    </row>
    <row r="12991" spans="5:6" ht="15" customHeight="1" x14ac:dyDescent="0.2">
      <c r="E12991" s="18"/>
      <c r="F12991" s="18"/>
    </row>
    <row r="12992" spans="5:6" ht="15" customHeight="1" x14ac:dyDescent="0.2">
      <c r="E12992" s="18"/>
      <c r="F12992" s="18"/>
    </row>
    <row r="12993" spans="5:6" ht="15" customHeight="1" x14ac:dyDescent="0.2">
      <c r="E12993" s="18"/>
      <c r="F12993" s="18"/>
    </row>
    <row r="12994" spans="5:6" ht="15" customHeight="1" x14ac:dyDescent="0.2">
      <c r="E12994" s="18"/>
      <c r="F12994" s="18"/>
    </row>
    <row r="12995" spans="5:6" ht="15" customHeight="1" x14ac:dyDescent="0.2">
      <c r="E12995" s="18"/>
      <c r="F12995" s="18"/>
    </row>
    <row r="12996" spans="5:6" ht="15" customHeight="1" x14ac:dyDescent="0.2">
      <c r="E12996" s="18"/>
      <c r="F12996" s="18"/>
    </row>
    <row r="12997" spans="5:6" ht="15" customHeight="1" x14ac:dyDescent="0.2">
      <c r="E12997" s="18"/>
      <c r="F12997" s="18"/>
    </row>
    <row r="12998" spans="5:6" ht="15" customHeight="1" x14ac:dyDescent="0.2">
      <c r="E12998" s="18"/>
      <c r="F12998" s="18"/>
    </row>
    <row r="12999" spans="5:6" ht="15" customHeight="1" x14ac:dyDescent="0.2">
      <c r="E12999" s="18"/>
      <c r="F12999" s="18"/>
    </row>
    <row r="13000" spans="5:6" ht="15" customHeight="1" x14ac:dyDescent="0.2">
      <c r="E13000" s="18"/>
      <c r="F13000" s="18"/>
    </row>
    <row r="13001" spans="5:6" ht="15" customHeight="1" x14ac:dyDescent="0.2">
      <c r="E13001" s="18"/>
      <c r="F13001" s="18"/>
    </row>
    <row r="13002" spans="5:6" ht="15" customHeight="1" x14ac:dyDescent="0.2">
      <c r="E13002" s="18"/>
      <c r="F13002" s="18"/>
    </row>
    <row r="13003" spans="5:6" ht="15" customHeight="1" x14ac:dyDescent="0.2">
      <c r="E13003" s="18"/>
      <c r="F13003" s="18"/>
    </row>
    <row r="13004" spans="5:6" ht="15" customHeight="1" x14ac:dyDescent="0.2">
      <c r="E13004" s="18"/>
      <c r="F13004" s="18"/>
    </row>
    <row r="13005" spans="5:6" ht="15" customHeight="1" x14ac:dyDescent="0.2">
      <c r="E13005" s="18"/>
      <c r="F13005" s="18"/>
    </row>
    <row r="13006" spans="5:6" ht="15" customHeight="1" x14ac:dyDescent="0.2">
      <c r="E13006" s="18"/>
      <c r="F13006" s="18"/>
    </row>
    <row r="13007" spans="5:6" ht="15" customHeight="1" x14ac:dyDescent="0.2">
      <c r="E13007" s="18"/>
      <c r="F13007" s="18"/>
    </row>
    <row r="13008" spans="5:6" ht="15" customHeight="1" x14ac:dyDescent="0.2">
      <c r="E13008" s="18"/>
      <c r="F13008" s="18"/>
    </row>
    <row r="13009" spans="5:6" ht="15" customHeight="1" x14ac:dyDescent="0.2">
      <c r="E13009" s="18"/>
      <c r="F13009" s="18"/>
    </row>
    <row r="13010" spans="5:6" ht="15" customHeight="1" x14ac:dyDescent="0.2">
      <c r="E13010" s="18"/>
      <c r="F13010" s="18"/>
    </row>
    <row r="13011" spans="5:6" ht="15" customHeight="1" x14ac:dyDescent="0.2">
      <c r="E13011" s="18"/>
      <c r="F13011" s="18"/>
    </row>
    <row r="13012" spans="5:6" ht="15" customHeight="1" x14ac:dyDescent="0.2">
      <c r="E13012" s="18"/>
      <c r="F13012" s="18"/>
    </row>
    <row r="13013" spans="5:6" ht="15" customHeight="1" x14ac:dyDescent="0.2">
      <c r="E13013" s="18"/>
      <c r="F13013" s="18"/>
    </row>
    <row r="13014" spans="5:6" ht="15" customHeight="1" x14ac:dyDescent="0.2">
      <c r="E13014" s="18"/>
      <c r="F13014" s="18"/>
    </row>
    <row r="13015" spans="5:6" ht="15" customHeight="1" x14ac:dyDescent="0.2">
      <c r="E13015" s="18"/>
      <c r="F13015" s="18"/>
    </row>
    <row r="13016" spans="5:6" ht="15" customHeight="1" x14ac:dyDescent="0.2">
      <c r="E13016" s="18"/>
      <c r="F13016" s="18"/>
    </row>
    <row r="13017" spans="5:6" ht="15" customHeight="1" x14ac:dyDescent="0.2">
      <c r="E13017" s="18"/>
      <c r="F13017" s="18"/>
    </row>
    <row r="13018" spans="5:6" ht="15" customHeight="1" x14ac:dyDescent="0.2">
      <c r="E13018" s="18"/>
      <c r="F13018" s="18"/>
    </row>
    <row r="13019" spans="5:6" ht="15" customHeight="1" x14ac:dyDescent="0.2">
      <c r="E13019" s="18"/>
      <c r="F13019" s="18"/>
    </row>
    <row r="13020" spans="5:6" ht="15" customHeight="1" x14ac:dyDescent="0.2">
      <c r="E13020" s="18"/>
      <c r="F13020" s="18"/>
    </row>
    <row r="13021" spans="5:6" ht="15" customHeight="1" x14ac:dyDescent="0.2">
      <c r="E13021" s="18"/>
      <c r="F13021" s="18"/>
    </row>
    <row r="13022" spans="5:6" ht="15" customHeight="1" x14ac:dyDescent="0.2">
      <c r="E13022" s="18"/>
      <c r="F13022" s="18"/>
    </row>
    <row r="13023" spans="5:6" ht="15" customHeight="1" x14ac:dyDescent="0.2">
      <c r="E13023" s="18"/>
      <c r="F13023" s="18"/>
    </row>
    <row r="13024" spans="5:6" ht="15" customHeight="1" x14ac:dyDescent="0.2">
      <c r="E13024" s="18"/>
      <c r="F13024" s="18"/>
    </row>
    <row r="13025" spans="5:6" ht="15" customHeight="1" x14ac:dyDescent="0.2">
      <c r="E13025" s="18"/>
      <c r="F13025" s="18"/>
    </row>
    <row r="13026" spans="5:6" ht="15" customHeight="1" x14ac:dyDescent="0.2">
      <c r="E13026" s="18"/>
      <c r="F13026" s="18"/>
    </row>
    <row r="13027" spans="5:6" ht="15" customHeight="1" x14ac:dyDescent="0.2">
      <c r="E13027" s="18"/>
      <c r="F13027" s="18"/>
    </row>
    <row r="13028" spans="5:6" ht="15" customHeight="1" x14ac:dyDescent="0.2">
      <c r="E13028" s="18"/>
      <c r="F13028" s="18"/>
    </row>
    <row r="13029" spans="5:6" ht="15" customHeight="1" x14ac:dyDescent="0.2">
      <c r="E13029" s="18"/>
      <c r="F13029" s="18"/>
    </row>
    <row r="13030" spans="5:6" ht="15" customHeight="1" x14ac:dyDescent="0.2">
      <c r="E13030" s="18"/>
      <c r="F13030" s="18"/>
    </row>
    <row r="13031" spans="5:6" ht="15" customHeight="1" x14ac:dyDescent="0.2">
      <c r="E13031" s="18"/>
      <c r="F13031" s="18"/>
    </row>
    <row r="13032" spans="5:6" ht="15" customHeight="1" x14ac:dyDescent="0.2">
      <c r="E13032" s="18"/>
      <c r="F13032" s="18"/>
    </row>
    <row r="13033" spans="5:6" ht="15" customHeight="1" x14ac:dyDescent="0.2">
      <c r="E13033" s="18"/>
      <c r="F13033" s="18"/>
    </row>
    <row r="13034" spans="5:6" ht="15" customHeight="1" x14ac:dyDescent="0.2">
      <c r="E13034" s="18"/>
      <c r="F13034" s="18"/>
    </row>
    <row r="13035" spans="5:6" ht="15" customHeight="1" x14ac:dyDescent="0.2">
      <c r="E13035" s="18"/>
      <c r="F13035" s="18"/>
    </row>
    <row r="13036" spans="5:6" ht="15" customHeight="1" x14ac:dyDescent="0.2">
      <c r="E13036" s="18"/>
      <c r="F13036" s="18"/>
    </row>
    <row r="13037" spans="5:6" ht="15" customHeight="1" x14ac:dyDescent="0.2">
      <c r="E13037" s="18"/>
      <c r="F13037" s="18"/>
    </row>
    <row r="13038" spans="5:6" ht="15" customHeight="1" x14ac:dyDescent="0.2">
      <c r="E13038" s="18"/>
      <c r="F13038" s="18"/>
    </row>
    <row r="13039" spans="5:6" ht="15" customHeight="1" x14ac:dyDescent="0.2">
      <c r="E13039" s="18"/>
      <c r="F13039" s="18"/>
    </row>
    <row r="13040" spans="5:6" ht="15" customHeight="1" x14ac:dyDescent="0.2">
      <c r="E13040" s="18"/>
      <c r="F13040" s="18"/>
    </row>
    <row r="13041" spans="5:6" ht="15" customHeight="1" x14ac:dyDescent="0.2">
      <c r="E13041" s="18"/>
      <c r="F13041" s="18"/>
    </row>
    <row r="13042" spans="5:6" ht="15" customHeight="1" x14ac:dyDescent="0.2">
      <c r="E13042" s="18"/>
      <c r="F13042" s="18"/>
    </row>
    <row r="13043" spans="5:6" ht="15" customHeight="1" x14ac:dyDescent="0.2">
      <c r="E13043" s="18"/>
      <c r="F13043" s="18"/>
    </row>
    <row r="13044" spans="5:6" ht="15" customHeight="1" x14ac:dyDescent="0.2">
      <c r="E13044" s="18"/>
      <c r="F13044" s="18"/>
    </row>
    <row r="13045" spans="5:6" ht="15" customHeight="1" x14ac:dyDescent="0.2">
      <c r="E13045" s="18"/>
      <c r="F13045" s="18"/>
    </row>
    <row r="13046" spans="5:6" ht="15" customHeight="1" x14ac:dyDescent="0.2">
      <c r="E13046" s="18"/>
      <c r="F13046" s="18"/>
    </row>
    <row r="13047" spans="5:6" ht="15" customHeight="1" x14ac:dyDescent="0.2">
      <c r="E13047" s="18"/>
      <c r="F13047" s="18"/>
    </row>
    <row r="13048" spans="5:6" ht="15" customHeight="1" x14ac:dyDescent="0.2">
      <c r="E13048" s="18"/>
      <c r="F13048" s="18"/>
    </row>
    <row r="13049" spans="5:6" ht="15" customHeight="1" x14ac:dyDescent="0.2">
      <c r="E13049" s="18"/>
      <c r="F13049" s="18"/>
    </row>
    <row r="13050" spans="5:6" ht="15" customHeight="1" x14ac:dyDescent="0.2">
      <c r="E13050" s="18"/>
      <c r="F13050" s="18"/>
    </row>
    <row r="13051" spans="5:6" ht="15" customHeight="1" x14ac:dyDescent="0.2">
      <c r="E13051" s="18"/>
      <c r="F13051" s="18"/>
    </row>
    <row r="13052" spans="5:6" ht="15" customHeight="1" x14ac:dyDescent="0.2">
      <c r="E13052" s="18"/>
      <c r="F13052" s="18"/>
    </row>
    <row r="13053" spans="5:6" ht="15" customHeight="1" x14ac:dyDescent="0.2">
      <c r="E13053" s="18"/>
      <c r="F13053" s="18"/>
    </row>
    <row r="13054" spans="5:6" ht="15" customHeight="1" x14ac:dyDescent="0.2">
      <c r="E13054" s="18"/>
      <c r="F13054" s="18"/>
    </row>
    <row r="13055" spans="5:6" ht="15" customHeight="1" x14ac:dyDescent="0.2">
      <c r="E13055" s="18"/>
      <c r="F13055" s="18"/>
    </row>
    <row r="13056" spans="5:6" ht="15" customHeight="1" x14ac:dyDescent="0.2">
      <c r="E13056" s="18"/>
      <c r="F13056" s="18"/>
    </row>
    <row r="13057" spans="5:6" ht="15" customHeight="1" x14ac:dyDescent="0.2">
      <c r="E13057" s="18"/>
      <c r="F13057" s="18"/>
    </row>
    <row r="13058" spans="5:6" ht="15" customHeight="1" x14ac:dyDescent="0.2">
      <c r="E13058" s="18"/>
      <c r="F13058" s="18"/>
    </row>
    <row r="13059" spans="5:6" ht="15" customHeight="1" x14ac:dyDescent="0.2">
      <c r="E13059" s="18"/>
      <c r="F13059" s="18"/>
    </row>
    <row r="13060" spans="5:6" ht="15" customHeight="1" x14ac:dyDescent="0.2">
      <c r="E13060" s="18"/>
      <c r="F13060" s="18"/>
    </row>
    <row r="13061" spans="5:6" ht="15" customHeight="1" x14ac:dyDescent="0.2">
      <c r="E13061" s="18"/>
      <c r="F13061" s="18"/>
    </row>
    <row r="13062" spans="5:6" ht="15" customHeight="1" x14ac:dyDescent="0.2">
      <c r="E13062" s="18"/>
      <c r="F13062" s="18"/>
    </row>
    <row r="13063" spans="5:6" ht="15" customHeight="1" x14ac:dyDescent="0.2">
      <c r="E13063" s="18"/>
      <c r="F13063" s="18"/>
    </row>
    <row r="13064" spans="5:6" ht="15" customHeight="1" x14ac:dyDescent="0.2">
      <c r="E13064" s="18"/>
      <c r="F13064" s="18"/>
    </row>
    <row r="13065" spans="5:6" ht="15" customHeight="1" x14ac:dyDescent="0.2">
      <c r="E13065" s="18"/>
      <c r="F13065" s="18"/>
    </row>
    <row r="13066" spans="5:6" ht="15" customHeight="1" x14ac:dyDescent="0.2">
      <c r="E13066" s="18"/>
      <c r="F13066" s="18"/>
    </row>
    <row r="13067" spans="5:6" ht="15" customHeight="1" x14ac:dyDescent="0.2">
      <c r="E13067" s="18"/>
      <c r="F13067" s="18"/>
    </row>
    <row r="13068" spans="5:6" ht="15" customHeight="1" x14ac:dyDescent="0.2">
      <c r="E13068" s="18"/>
      <c r="F13068" s="18"/>
    </row>
    <row r="13069" spans="5:6" ht="15" customHeight="1" x14ac:dyDescent="0.2">
      <c r="E13069" s="18"/>
      <c r="F13069" s="18"/>
    </row>
    <row r="13070" spans="5:6" ht="15" customHeight="1" x14ac:dyDescent="0.2">
      <c r="E13070" s="18"/>
      <c r="F13070" s="18"/>
    </row>
    <row r="13071" spans="5:6" ht="15" customHeight="1" x14ac:dyDescent="0.2">
      <c r="E13071" s="18"/>
      <c r="F13071" s="18"/>
    </row>
    <row r="13072" spans="5:6" ht="15" customHeight="1" x14ac:dyDescent="0.2">
      <c r="E13072" s="18"/>
      <c r="F13072" s="18"/>
    </row>
    <row r="13073" spans="5:6" ht="15" customHeight="1" x14ac:dyDescent="0.2">
      <c r="E13073" s="18"/>
      <c r="F13073" s="18"/>
    </row>
    <row r="13074" spans="5:6" ht="15" customHeight="1" x14ac:dyDescent="0.2">
      <c r="E13074" s="18"/>
      <c r="F13074" s="18"/>
    </row>
    <row r="13075" spans="5:6" ht="15" customHeight="1" x14ac:dyDescent="0.2">
      <c r="E13075" s="18"/>
      <c r="F13075" s="18"/>
    </row>
    <row r="13076" spans="5:6" ht="15" customHeight="1" x14ac:dyDescent="0.2">
      <c r="E13076" s="18"/>
      <c r="F13076" s="18"/>
    </row>
    <row r="13077" spans="5:6" ht="15" customHeight="1" x14ac:dyDescent="0.2">
      <c r="E13077" s="18"/>
      <c r="F13077" s="18"/>
    </row>
    <row r="13078" spans="5:6" ht="15" customHeight="1" x14ac:dyDescent="0.2">
      <c r="E13078" s="18"/>
      <c r="F13078" s="18"/>
    </row>
    <row r="13079" spans="5:6" ht="15" customHeight="1" x14ac:dyDescent="0.2">
      <c r="E13079" s="18"/>
      <c r="F13079" s="18"/>
    </row>
    <row r="13080" spans="5:6" ht="15" customHeight="1" x14ac:dyDescent="0.2">
      <c r="E13080" s="18"/>
      <c r="F13080" s="18"/>
    </row>
    <row r="13081" spans="5:6" ht="15" customHeight="1" x14ac:dyDescent="0.2">
      <c r="E13081" s="18"/>
      <c r="F13081" s="18"/>
    </row>
    <row r="13082" spans="5:6" ht="15" customHeight="1" x14ac:dyDescent="0.2">
      <c r="E13082" s="18"/>
      <c r="F13082" s="18"/>
    </row>
    <row r="13083" spans="5:6" ht="15" customHeight="1" x14ac:dyDescent="0.2">
      <c r="E13083" s="18"/>
      <c r="F13083" s="18"/>
    </row>
    <row r="13084" spans="5:6" ht="15" customHeight="1" x14ac:dyDescent="0.2">
      <c r="E13084" s="18"/>
      <c r="F13084" s="18"/>
    </row>
    <row r="13085" spans="5:6" ht="15" customHeight="1" x14ac:dyDescent="0.2">
      <c r="E13085" s="18"/>
      <c r="F13085" s="18"/>
    </row>
    <row r="13086" spans="5:6" ht="15" customHeight="1" x14ac:dyDescent="0.2">
      <c r="E13086" s="18"/>
      <c r="F13086" s="18"/>
    </row>
    <row r="13087" spans="5:6" ht="15" customHeight="1" x14ac:dyDescent="0.2">
      <c r="E13087" s="18"/>
      <c r="F13087" s="18"/>
    </row>
    <row r="13088" spans="5:6" ht="15" customHeight="1" x14ac:dyDescent="0.2">
      <c r="E13088" s="18"/>
      <c r="F13088" s="18"/>
    </row>
    <row r="13089" spans="5:6" ht="15" customHeight="1" x14ac:dyDescent="0.2">
      <c r="E13089" s="18"/>
      <c r="F13089" s="18"/>
    </row>
    <row r="13090" spans="5:6" ht="15" customHeight="1" x14ac:dyDescent="0.2">
      <c r="E13090" s="18"/>
      <c r="F13090" s="18"/>
    </row>
    <row r="13091" spans="5:6" ht="15" customHeight="1" x14ac:dyDescent="0.2">
      <c r="E13091" s="18"/>
      <c r="F13091" s="18"/>
    </row>
    <row r="13092" spans="5:6" ht="15" customHeight="1" x14ac:dyDescent="0.2">
      <c r="E13092" s="18"/>
      <c r="F13092" s="18"/>
    </row>
    <row r="13093" spans="5:6" ht="15" customHeight="1" x14ac:dyDescent="0.2">
      <c r="E13093" s="18"/>
      <c r="F13093" s="18"/>
    </row>
    <row r="13094" spans="5:6" ht="15" customHeight="1" x14ac:dyDescent="0.2">
      <c r="E13094" s="18"/>
      <c r="F13094" s="18"/>
    </row>
    <row r="13095" spans="5:6" ht="15" customHeight="1" x14ac:dyDescent="0.2">
      <c r="E13095" s="18"/>
      <c r="F13095" s="18"/>
    </row>
    <row r="13096" spans="5:6" ht="15" customHeight="1" x14ac:dyDescent="0.2">
      <c r="E13096" s="18"/>
      <c r="F13096" s="18"/>
    </row>
    <row r="13097" spans="5:6" ht="15" customHeight="1" x14ac:dyDescent="0.2">
      <c r="E13097" s="18"/>
      <c r="F13097" s="18"/>
    </row>
    <row r="13098" spans="5:6" ht="15" customHeight="1" x14ac:dyDescent="0.2">
      <c r="E13098" s="18"/>
      <c r="F13098" s="18"/>
    </row>
    <row r="13099" spans="5:6" ht="15" customHeight="1" x14ac:dyDescent="0.2">
      <c r="E13099" s="18"/>
      <c r="F13099" s="18"/>
    </row>
    <row r="13100" spans="5:6" ht="15" customHeight="1" x14ac:dyDescent="0.2">
      <c r="E13100" s="18"/>
      <c r="F13100" s="18"/>
    </row>
    <row r="13101" spans="5:6" ht="15" customHeight="1" x14ac:dyDescent="0.2">
      <c r="E13101" s="18"/>
      <c r="F13101" s="18"/>
    </row>
    <row r="13102" spans="5:6" ht="15" customHeight="1" x14ac:dyDescent="0.2">
      <c r="E13102" s="18"/>
      <c r="F13102" s="18"/>
    </row>
    <row r="13103" spans="5:6" ht="15" customHeight="1" x14ac:dyDescent="0.2">
      <c r="E13103" s="18"/>
      <c r="F13103" s="18"/>
    </row>
    <row r="13104" spans="5:6" ht="15" customHeight="1" x14ac:dyDescent="0.2">
      <c r="E13104" s="18"/>
      <c r="F13104" s="18"/>
    </row>
    <row r="13105" spans="5:6" ht="15" customHeight="1" x14ac:dyDescent="0.2">
      <c r="E13105" s="18"/>
      <c r="F13105" s="18"/>
    </row>
    <row r="13106" spans="5:6" ht="15" customHeight="1" x14ac:dyDescent="0.2">
      <c r="E13106" s="18"/>
      <c r="F13106" s="18"/>
    </row>
    <row r="13107" spans="5:6" ht="15" customHeight="1" x14ac:dyDescent="0.2">
      <c r="E13107" s="18"/>
      <c r="F13107" s="18"/>
    </row>
    <row r="13108" spans="5:6" ht="15" customHeight="1" x14ac:dyDescent="0.2">
      <c r="E13108" s="18"/>
      <c r="F13108" s="18"/>
    </row>
    <row r="13109" spans="5:6" ht="15" customHeight="1" x14ac:dyDescent="0.2">
      <c r="E13109" s="18"/>
      <c r="F13109" s="18"/>
    </row>
    <row r="13110" spans="5:6" ht="15" customHeight="1" x14ac:dyDescent="0.2">
      <c r="E13110" s="18"/>
      <c r="F13110" s="18"/>
    </row>
    <row r="13111" spans="5:6" ht="15" customHeight="1" x14ac:dyDescent="0.2">
      <c r="E13111" s="18"/>
      <c r="F13111" s="18"/>
    </row>
    <row r="13112" spans="5:6" ht="15" customHeight="1" x14ac:dyDescent="0.2">
      <c r="E13112" s="18"/>
      <c r="F13112" s="18"/>
    </row>
    <row r="13113" spans="5:6" ht="15" customHeight="1" x14ac:dyDescent="0.2">
      <c r="E13113" s="18"/>
      <c r="F13113" s="18"/>
    </row>
    <row r="13114" spans="5:6" ht="15" customHeight="1" x14ac:dyDescent="0.2">
      <c r="E13114" s="18"/>
      <c r="F13114" s="18"/>
    </row>
    <row r="13115" spans="5:6" ht="15" customHeight="1" x14ac:dyDescent="0.2">
      <c r="E13115" s="18"/>
      <c r="F13115" s="18"/>
    </row>
    <row r="13116" spans="5:6" ht="15" customHeight="1" x14ac:dyDescent="0.2">
      <c r="E13116" s="18"/>
      <c r="F13116" s="18"/>
    </row>
    <row r="13117" spans="5:6" ht="15" customHeight="1" x14ac:dyDescent="0.2">
      <c r="E13117" s="18"/>
      <c r="F13117" s="18"/>
    </row>
    <row r="13118" spans="5:6" ht="15" customHeight="1" x14ac:dyDescent="0.2">
      <c r="E13118" s="18"/>
      <c r="F13118" s="18"/>
    </row>
    <row r="13119" spans="5:6" ht="15" customHeight="1" x14ac:dyDescent="0.2">
      <c r="E13119" s="18"/>
      <c r="F13119" s="18"/>
    </row>
    <row r="13120" spans="5:6" ht="15" customHeight="1" x14ac:dyDescent="0.2">
      <c r="E13120" s="18"/>
      <c r="F13120" s="18"/>
    </row>
    <row r="13121" spans="5:6" ht="15" customHeight="1" x14ac:dyDescent="0.2">
      <c r="E13121" s="18"/>
      <c r="F13121" s="18"/>
    </row>
    <row r="13122" spans="5:6" ht="15" customHeight="1" x14ac:dyDescent="0.2">
      <c r="E13122" s="18"/>
      <c r="F13122" s="18"/>
    </row>
    <row r="13123" spans="5:6" ht="15" customHeight="1" x14ac:dyDescent="0.2">
      <c r="E13123" s="18"/>
      <c r="F13123" s="18"/>
    </row>
    <row r="13124" spans="5:6" ht="15" customHeight="1" x14ac:dyDescent="0.2">
      <c r="E13124" s="18"/>
      <c r="F13124" s="18"/>
    </row>
    <row r="13125" spans="5:6" ht="15" customHeight="1" x14ac:dyDescent="0.2">
      <c r="E13125" s="18"/>
      <c r="F13125" s="18"/>
    </row>
    <row r="13126" spans="5:6" ht="15" customHeight="1" x14ac:dyDescent="0.2">
      <c r="E13126" s="18"/>
      <c r="F13126" s="18"/>
    </row>
    <row r="13127" spans="5:6" ht="15" customHeight="1" x14ac:dyDescent="0.2">
      <c r="E13127" s="18"/>
      <c r="F13127" s="18"/>
    </row>
    <row r="13128" spans="5:6" ht="15" customHeight="1" x14ac:dyDescent="0.2">
      <c r="E13128" s="18"/>
      <c r="F13128" s="18"/>
    </row>
    <row r="13129" spans="5:6" ht="15" customHeight="1" x14ac:dyDescent="0.2">
      <c r="E13129" s="18"/>
      <c r="F13129" s="18"/>
    </row>
    <row r="13130" spans="5:6" ht="15" customHeight="1" x14ac:dyDescent="0.2">
      <c r="E13130" s="18"/>
      <c r="F13130" s="18"/>
    </row>
    <row r="13131" spans="5:6" ht="15" customHeight="1" x14ac:dyDescent="0.2">
      <c r="E13131" s="18"/>
      <c r="F13131" s="18"/>
    </row>
    <row r="13132" spans="5:6" ht="15" customHeight="1" x14ac:dyDescent="0.2">
      <c r="E13132" s="18"/>
      <c r="F13132" s="18"/>
    </row>
    <row r="13133" spans="5:6" ht="15" customHeight="1" x14ac:dyDescent="0.2">
      <c r="E13133" s="18"/>
      <c r="F13133" s="18"/>
    </row>
    <row r="13134" spans="5:6" ht="15" customHeight="1" x14ac:dyDescent="0.2">
      <c r="E13134" s="18"/>
      <c r="F13134" s="18"/>
    </row>
    <row r="13135" spans="5:6" ht="15" customHeight="1" x14ac:dyDescent="0.2">
      <c r="E13135" s="18"/>
      <c r="F13135" s="18"/>
    </row>
    <row r="13136" spans="5:6" ht="15" customHeight="1" x14ac:dyDescent="0.2">
      <c r="E13136" s="18"/>
      <c r="F13136" s="18"/>
    </row>
    <row r="13137" spans="5:6" ht="15" customHeight="1" x14ac:dyDescent="0.2">
      <c r="E13137" s="18"/>
      <c r="F13137" s="18"/>
    </row>
    <row r="13138" spans="5:6" ht="15" customHeight="1" x14ac:dyDescent="0.2">
      <c r="E13138" s="18"/>
      <c r="F13138" s="18"/>
    </row>
    <row r="13139" spans="5:6" ht="15" customHeight="1" x14ac:dyDescent="0.2">
      <c r="E13139" s="18"/>
      <c r="F13139" s="18"/>
    </row>
    <row r="13140" spans="5:6" ht="15" customHeight="1" x14ac:dyDescent="0.2">
      <c r="E13140" s="18"/>
      <c r="F13140" s="18"/>
    </row>
    <row r="13141" spans="5:6" ht="15" customHeight="1" x14ac:dyDescent="0.2">
      <c r="E13141" s="18"/>
      <c r="F13141" s="18"/>
    </row>
    <row r="13142" spans="5:6" ht="15" customHeight="1" x14ac:dyDescent="0.2">
      <c r="E13142" s="18"/>
      <c r="F13142" s="18"/>
    </row>
    <row r="13143" spans="5:6" ht="15" customHeight="1" x14ac:dyDescent="0.2">
      <c r="E13143" s="18"/>
      <c r="F13143" s="18"/>
    </row>
    <row r="13144" spans="5:6" ht="15" customHeight="1" x14ac:dyDescent="0.2">
      <c r="E13144" s="18"/>
      <c r="F13144" s="18"/>
    </row>
    <row r="13145" spans="5:6" ht="15" customHeight="1" x14ac:dyDescent="0.2">
      <c r="E13145" s="18"/>
      <c r="F13145" s="18"/>
    </row>
    <row r="13146" spans="5:6" ht="15" customHeight="1" x14ac:dyDescent="0.2">
      <c r="E13146" s="18"/>
      <c r="F13146" s="18"/>
    </row>
    <row r="13147" spans="5:6" ht="15" customHeight="1" x14ac:dyDescent="0.2">
      <c r="E13147" s="18"/>
      <c r="F13147" s="18"/>
    </row>
    <row r="13148" spans="5:6" ht="15" customHeight="1" x14ac:dyDescent="0.2">
      <c r="E13148" s="18"/>
      <c r="F13148" s="18"/>
    </row>
    <row r="13149" spans="5:6" ht="15" customHeight="1" x14ac:dyDescent="0.2">
      <c r="E13149" s="18"/>
      <c r="F13149" s="18"/>
    </row>
    <row r="13150" spans="5:6" ht="15" customHeight="1" x14ac:dyDescent="0.2">
      <c r="E13150" s="18"/>
      <c r="F13150" s="18"/>
    </row>
    <row r="13151" spans="5:6" ht="15" customHeight="1" x14ac:dyDescent="0.2">
      <c r="E13151" s="18"/>
      <c r="F13151" s="18"/>
    </row>
    <row r="13152" spans="5:6" ht="15" customHeight="1" x14ac:dyDescent="0.2">
      <c r="E13152" s="18"/>
      <c r="F13152" s="18"/>
    </row>
    <row r="13153" spans="5:6" ht="15" customHeight="1" x14ac:dyDescent="0.2">
      <c r="E13153" s="18"/>
      <c r="F13153" s="18"/>
    </row>
    <row r="13154" spans="5:6" ht="15" customHeight="1" x14ac:dyDescent="0.2">
      <c r="E13154" s="18"/>
      <c r="F13154" s="18"/>
    </row>
    <row r="13155" spans="5:6" ht="15" customHeight="1" x14ac:dyDescent="0.2">
      <c r="E13155" s="18"/>
      <c r="F13155" s="18"/>
    </row>
    <row r="13156" spans="5:6" ht="15" customHeight="1" x14ac:dyDescent="0.2">
      <c r="E13156" s="18"/>
      <c r="F13156" s="18"/>
    </row>
    <row r="13157" spans="5:6" ht="15" customHeight="1" x14ac:dyDescent="0.2">
      <c r="E13157" s="18"/>
      <c r="F13157" s="18"/>
    </row>
    <row r="13158" spans="5:6" ht="15" customHeight="1" x14ac:dyDescent="0.2">
      <c r="E13158" s="18"/>
      <c r="F13158" s="18"/>
    </row>
    <row r="13159" spans="5:6" ht="15" customHeight="1" x14ac:dyDescent="0.2">
      <c r="E13159" s="18"/>
      <c r="F13159" s="18"/>
    </row>
    <row r="13160" spans="5:6" ht="15" customHeight="1" x14ac:dyDescent="0.2">
      <c r="E13160" s="18"/>
      <c r="F13160" s="18"/>
    </row>
    <row r="13161" spans="5:6" ht="15" customHeight="1" x14ac:dyDescent="0.2">
      <c r="E13161" s="18"/>
      <c r="F13161" s="18"/>
    </row>
    <row r="13162" spans="5:6" ht="15" customHeight="1" x14ac:dyDescent="0.2">
      <c r="E13162" s="18"/>
      <c r="F13162" s="18"/>
    </row>
    <row r="13163" spans="5:6" ht="15" customHeight="1" x14ac:dyDescent="0.2">
      <c r="E13163" s="18"/>
      <c r="F13163" s="18"/>
    </row>
    <row r="13164" spans="5:6" ht="15" customHeight="1" x14ac:dyDescent="0.2">
      <c r="E13164" s="18"/>
      <c r="F13164" s="18"/>
    </row>
    <row r="13165" spans="5:6" ht="15" customHeight="1" x14ac:dyDescent="0.2">
      <c r="E13165" s="18"/>
      <c r="F13165" s="18"/>
    </row>
    <row r="13166" spans="5:6" ht="15" customHeight="1" x14ac:dyDescent="0.2">
      <c r="E13166" s="18"/>
      <c r="F13166" s="18"/>
    </row>
    <row r="13167" spans="5:6" ht="15" customHeight="1" x14ac:dyDescent="0.2">
      <c r="E13167" s="18"/>
      <c r="F13167" s="18"/>
    </row>
    <row r="13168" spans="5:6" ht="15" customHeight="1" x14ac:dyDescent="0.2">
      <c r="E13168" s="18"/>
      <c r="F13168" s="18"/>
    </row>
    <row r="13169" spans="5:6" ht="15" customHeight="1" x14ac:dyDescent="0.2">
      <c r="E13169" s="18"/>
      <c r="F13169" s="18"/>
    </row>
    <row r="13170" spans="5:6" ht="15" customHeight="1" x14ac:dyDescent="0.2">
      <c r="E13170" s="18"/>
      <c r="F13170" s="18"/>
    </row>
    <row r="13171" spans="5:6" ht="15" customHeight="1" x14ac:dyDescent="0.2">
      <c r="E13171" s="18"/>
      <c r="F13171" s="18"/>
    </row>
    <row r="13172" spans="5:6" ht="15" customHeight="1" x14ac:dyDescent="0.2">
      <c r="E13172" s="18"/>
      <c r="F13172" s="18"/>
    </row>
    <row r="13173" spans="5:6" ht="15" customHeight="1" x14ac:dyDescent="0.2">
      <c r="E13173" s="18"/>
      <c r="F13173" s="18"/>
    </row>
    <row r="13174" spans="5:6" ht="15" customHeight="1" x14ac:dyDescent="0.2">
      <c r="E13174" s="18"/>
      <c r="F13174" s="18"/>
    </row>
    <row r="13175" spans="5:6" ht="15" customHeight="1" x14ac:dyDescent="0.2">
      <c r="E13175" s="18"/>
      <c r="F13175" s="18"/>
    </row>
    <row r="13176" spans="5:6" ht="15" customHeight="1" x14ac:dyDescent="0.2">
      <c r="E13176" s="18"/>
      <c r="F13176" s="18"/>
    </row>
    <row r="13177" spans="5:6" ht="15" customHeight="1" x14ac:dyDescent="0.2">
      <c r="E13177" s="18"/>
      <c r="F13177" s="18"/>
    </row>
    <row r="13178" spans="5:6" ht="15" customHeight="1" x14ac:dyDescent="0.2">
      <c r="E13178" s="18"/>
      <c r="F13178" s="18"/>
    </row>
    <row r="13179" spans="5:6" ht="15" customHeight="1" x14ac:dyDescent="0.2">
      <c r="E13179" s="18"/>
      <c r="F13179" s="18"/>
    </row>
    <row r="13180" spans="5:6" ht="15" customHeight="1" x14ac:dyDescent="0.2">
      <c r="E13180" s="18"/>
      <c r="F13180" s="18"/>
    </row>
    <row r="13181" spans="5:6" ht="15" customHeight="1" x14ac:dyDescent="0.2">
      <c r="E13181" s="18"/>
      <c r="F13181" s="18"/>
    </row>
    <row r="13182" spans="5:6" ht="15" customHeight="1" x14ac:dyDescent="0.2">
      <c r="E13182" s="18"/>
      <c r="F13182" s="18"/>
    </row>
    <row r="13183" spans="5:6" ht="15" customHeight="1" x14ac:dyDescent="0.2">
      <c r="E13183" s="18"/>
      <c r="F13183" s="18"/>
    </row>
    <row r="13184" spans="5:6" ht="15" customHeight="1" x14ac:dyDescent="0.2">
      <c r="E13184" s="18"/>
      <c r="F13184" s="18"/>
    </row>
    <row r="13185" spans="5:6" ht="15" customHeight="1" x14ac:dyDescent="0.2">
      <c r="E13185" s="18"/>
      <c r="F13185" s="18"/>
    </row>
    <row r="13186" spans="5:6" ht="15" customHeight="1" x14ac:dyDescent="0.2">
      <c r="E13186" s="18"/>
      <c r="F13186" s="18"/>
    </row>
    <row r="13187" spans="5:6" ht="15" customHeight="1" x14ac:dyDescent="0.2">
      <c r="E13187" s="18"/>
      <c r="F13187" s="18"/>
    </row>
    <row r="13188" spans="5:6" ht="15" customHeight="1" x14ac:dyDescent="0.2">
      <c r="E13188" s="18"/>
      <c r="F13188" s="18"/>
    </row>
    <row r="13189" spans="5:6" ht="15" customHeight="1" x14ac:dyDescent="0.2">
      <c r="E13189" s="18"/>
      <c r="F13189" s="18"/>
    </row>
    <row r="13190" spans="5:6" ht="15" customHeight="1" x14ac:dyDescent="0.2">
      <c r="E13190" s="18"/>
      <c r="F13190" s="18"/>
    </row>
    <row r="13191" spans="5:6" ht="15" customHeight="1" x14ac:dyDescent="0.2">
      <c r="E13191" s="18"/>
      <c r="F13191" s="18"/>
    </row>
    <row r="13192" spans="5:6" ht="15" customHeight="1" x14ac:dyDescent="0.2">
      <c r="E13192" s="18"/>
      <c r="F13192" s="18"/>
    </row>
    <row r="13193" spans="5:6" ht="15" customHeight="1" x14ac:dyDescent="0.2">
      <c r="E13193" s="18"/>
      <c r="F13193" s="18"/>
    </row>
    <row r="13194" spans="5:6" ht="15" customHeight="1" x14ac:dyDescent="0.2">
      <c r="E13194" s="18"/>
      <c r="F13194" s="18"/>
    </row>
    <row r="13195" spans="5:6" ht="15" customHeight="1" x14ac:dyDescent="0.2">
      <c r="E13195" s="18"/>
      <c r="F13195" s="18"/>
    </row>
    <row r="13196" spans="5:6" ht="15" customHeight="1" x14ac:dyDescent="0.2">
      <c r="E13196" s="18"/>
      <c r="F13196" s="18"/>
    </row>
    <row r="13197" spans="5:6" ht="15" customHeight="1" x14ac:dyDescent="0.2">
      <c r="E13197" s="18"/>
      <c r="F13197" s="18"/>
    </row>
    <row r="13198" spans="5:6" ht="15" customHeight="1" x14ac:dyDescent="0.2">
      <c r="E13198" s="18"/>
      <c r="F13198" s="18"/>
    </row>
    <row r="13199" spans="5:6" ht="15" customHeight="1" x14ac:dyDescent="0.2">
      <c r="E13199" s="18"/>
      <c r="F13199" s="18"/>
    </row>
    <row r="13200" spans="5:6" ht="15" customHeight="1" x14ac:dyDescent="0.2">
      <c r="E13200" s="18"/>
      <c r="F13200" s="18"/>
    </row>
    <row r="13201" spans="5:6" ht="15" customHeight="1" x14ac:dyDescent="0.2">
      <c r="E13201" s="18"/>
      <c r="F13201" s="18"/>
    </row>
    <row r="13202" spans="5:6" ht="15" customHeight="1" x14ac:dyDescent="0.2">
      <c r="E13202" s="18"/>
      <c r="F13202" s="18"/>
    </row>
    <row r="13203" spans="5:6" ht="15" customHeight="1" x14ac:dyDescent="0.2">
      <c r="E13203" s="18"/>
      <c r="F13203" s="18"/>
    </row>
    <row r="13204" spans="5:6" ht="15" customHeight="1" x14ac:dyDescent="0.2">
      <c r="E13204" s="18"/>
      <c r="F13204" s="18"/>
    </row>
    <row r="13205" spans="5:6" ht="15" customHeight="1" x14ac:dyDescent="0.2">
      <c r="E13205" s="18"/>
      <c r="F13205" s="18"/>
    </row>
    <row r="13206" spans="5:6" ht="15" customHeight="1" x14ac:dyDescent="0.2">
      <c r="E13206" s="18"/>
      <c r="F13206" s="18"/>
    </row>
    <row r="13207" spans="5:6" ht="15" customHeight="1" x14ac:dyDescent="0.2">
      <c r="E13207" s="18"/>
      <c r="F13207" s="18"/>
    </row>
    <row r="13208" spans="5:6" ht="15" customHeight="1" x14ac:dyDescent="0.2">
      <c r="E13208" s="18"/>
      <c r="F13208" s="18"/>
    </row>
    <row r="13209" spans="5:6" ht="15" customHeight="1" x14ac:dyDescent="0.2">
      <c r="E13209" s="18"/>
      <c r="F13209" s="18"/>
    </row>
    <row r="13210" spans="5:6" ht="15" customHeight="1" x14ac:dyDescent="0.2">
      <c r="E13210" s="18"/>
      <c r="F13210" s="18"/>
    </row>
    <row r="13211" spans="5:6" ht="15" customHeight="1" x14ac:dyDescent="0.2">
      <c r="E13211" s="18"/>
      <c r="F13211" s="18"/>
    </row>
    <row r="13212" spans="5:6" ht="15" customHeight="1" x14ac:dyDescent="0.2">
      <c r="E13212" s="18"/>
      <c r="F13212" s="18"/>
    </row>
    <row r="13213" spans="5:6" ht="15" customHeight="1" x14ac:dyDescent="0.2">
      <c r="E13213" s="18"/>
      <c r="F13213" s="18"/>
    </row>
    <row r="13214" spans="5:6" ht="15" customHeight="1" x14ac:dyDescent="0.2">
      <c r="E13214" s="18"/>
      <c r="F13214" s="18"/>
    </row>
    <row r="13215" spans="5:6" ht="15" customHeight="1" x14ac:dyDescent="0.2">
      <c r="E13215" s="18"/>
      <c r="F13215" s="18"/>
    </row>
    <row r="13216" spans="5:6" ht="15" customHeight="1" x14ac:dyDescent="0.2">
      <c r="E13216" s="18"/>
      <c r="F13216" s="18"/>
    </row>
    <row r="13217" spans="5:6" ht="15" customHeight="1" x14ac:dyDescent="0.2">
      <c r="E13217" s="18"/>
      <c r="F13217" s="18"/>
    </row>
    <row r="13218" spans="5:6" ht="15" customHeight="1" x14ac:dyDescent="0.2">
      <c r="E13218" s="18"/>
      <c r="F13218" s="18"/>
    </row>
    <row r="13219" spans="5:6" ht="15" customHeight="1" x14ac:dyDescent="0.2">
      <c r="E13219" s="18"/>
      <c r="F13219" s="18"/>
    </row>
    <row r="13220" spans="5:6" ht="15" customHeight="1" x14ac:dyDescent="0.2">
      <c r="E13220" s="18"/>
      <c r="F13220" s="18"/>
    </row>
    <row r="13221" spans="5:6" ht="15" customHeight="1" x14ac:dyDescent="0.2">
      <c r="E13221" s="18"/>
      <c r="F13221" s="18"/>
    </row>
    <row r="13222" spans="5:6" ht="15" customHeight="1" x14ac:dyDescent="0.2">
      <c r="E13222" s="18"/>
      <c r="F13222" s="18"/>
    </row>
    <row r="13223" spans="5:6" ht="15" customHeight="1" x14ac:dyDescent="0.2">
      <c r="E13223" s="18"/>
      <c r="F13223" s="18"/>
    </row>
    <row r="13224" spans="5:6" ht="15" customHeight="1" x14ac:dyDescent="0.2">
      <c r="E13224" s="18"/>
      <c r="F13224" s="18"/>
    </row>
    <row r="13225" spans="5:6" ht="15" customHeight="1" x14ac:dyDescent="0.2">
      <c r="E13225" s="18"/>
      <c r="F13225" s="18"/>
    </row>
    <row r="13226" spans="5:6" ht="15" customHeight="1" x14ac:dyDescent="0.2">
      <c r="E13226" s="18"/>
      <c r="F13226" s="18"/>
    </row>
    <row r="13227" spans="5:6" ht="15" customHeight="1" x14ac:dyDescent="0.2">
      <c r="E13227" s="18"/>
      <c r="F13227" s="18"/>
    </row>
    <row r="13228" spans="5:6" ht="15" customHeight="1" x14ac:dyDescent="0.2">
      <c r="E13228" s="18"/>
      <c r="F13228" s="18"/>
    </row>
    <row r="13229" spans="5:6" ht="15" customHeight="1" x14ac:dyDescent="0.2">
      <c r="E13229" s="18"/>
      <c r="F13229" s="18"/>
    </row>
    <row r="13230" spans="5:6" ht="15" customHeight="1" x14ac:dyDescent="0.2">
      <c r="E13230" s="18"/>
      <c r="F13230" s="18"/>
    </row>
    <row r="13231" spans="5:6" ht="15" customHeight="1" x14ac:dyDescent="0.2">
      <c r="E13231" s="18"/>
      <c r="F13231" s="18"/>
    </row>
    <row r="13232" spans="5:6" ht="15" customHeight="1" x14ac:dyDescent="0.2">
      <c r="E13232" s="18"/>
      <c r="F13232" s="18"/>
    </row>
    <row r="13233" spans="5:6" ht="15" customHeight="1" x14ac:dyDescent="0.2">
      <c r="E13233" s="18"/>
      <c r="F13233" s="18"/>
    </row>
    <row r="13234" spans="5:6" ht="15" customHeight="1" x14ac:dyDescent="0.2">
      <c r="E13234" s="18"/>
      <c r="F13234" s="18"/>
    </row>
    <row r="13235" spans="5:6" ht="15" customHeight="1" x14ac:dyDescent="0.2">
      <c r="E13235" s="18"/>
      <c r="F13235" s="18"/>
    </row>
    <row r="13236" spans="5:6" ht="15" customHeight="1" x14ac:dyDescent="0.2">
      <c r="E13236" s="18"/>
      <c r="F13236" s="18"/>
    </row>
    <row r="13237" spans="5:6" ht="15" customHeight="1" x14ac:dyDescent="0.2">
      <c r="E13237" s="18"/>
      <c r="F13237" s="18"/>
    </row>
    <row r="13238" spans="5:6" ht="15" customHeight="1" x14ac:dyDescent="0.2">
      <c r="E13238" s="18"/>
      <c r="F13238" s="18"/>
    </row>
    <row r="13239" spans="5:6" ht="15" customHeight="1" x14ac:dyDescent="0.2">
      <c r="E13239" s="18"/>
      <c r="F13239" s="18"/>
    </row>
    <row r="13240" spans="5:6" ht="15" customHeight="1" x14ac:dyDescent="0.2">
      <c r="E13240" s="18"/>
      <c r="F13240" s="18"/>
    </row>
    <row r="13241" spans="5:6" ht="15" customHeight="1" x14ac:dyDescent="0.2">
      <c r="E13241" s="18"/>
      <c r="F13241" s="18"/>
    </row>
    <row r="13242" spans="5:6" ht="15" customHeight="1" x14ac:dyDescent="0.2">
      <c r="E13242" s="18"/>
      <c r="F13242" s="18"/>
    </row>
    <row r="13243" spans="5:6" ht="15" customHeight="1" x14ac:dyDescent="0.2">
      <c r="E13243" s="18"/>
      <c r="F13243" s="18"/>
    </row>
    <row r="13244" spans="5:6" ht="15" customHeight="1" x14ac:dyDescent="0.2">
      <c r="E13244" s="18"/>
      <c r="F13244" s="18"/>
    </row>
    <row r="13245" spans="5:6" ht="15" customHeight="1" x14ac:dyDescent="0.2">
      <c r="E13245" s="18"/>
      <c r="F13245" s="18"/>
    </row>
    <row r="13246" spans="5:6" ht="15" customHeight="1" x14ac:dyDescent="0.2">
      <c r="E13246" s="18"/>
      <c r="F13246" s="18"/>
    </row>
    <row r="13247" spans="5:6" ht="15" customHeight="1" x14ac:dyDescent="0.2">
      <c r="E13247" s="18"/>
      <c r="F13247" s="18"/>
    </row>
    <row r="13248" spans="5:6" ht="15" customHeight="1" x14ac:dyDescent="0.2">
      <c r="E13248" s="18"/>
      <c r="F13248" s="18"/>
    </row>
    <row r="13249" spans="5:6" ht="15" customHeight="1" x14ac:dyDescent="0.2">
      <c r="E13249" s="18"/>
      <c r="F13249" s="18"/>
    </row>
    <row r="13250" spans="5:6" ht="15" customHeight="1" x14ac:dyDescent="0.2">
      <c r="E13250" s="18"/>
      <c r="F13250" s="18"/>
    </row>
    <row r="13251" spans="5:6" ht="15" customHeight="1" x14ac:dyDescent="0.2">
      <c r="E13251" s="18"/>
      <c r="F13251" s="18"/>
    </row>
    <row r="13252" spans="5:6" ht="15" customHeight="1" x14ac:dyDescent="0.2">
      <c r="E13252" s="18"/>
      <c r="F13252" s="18"/>
    </row>
    <row r="13253" spans="5:6" ht="15" customHeight="1" x14ac:dyDescent="0.2">
      <c r="E13253" s="18"/>
      <c r="F13253" s="18"/>
    </row>
    <row r="13254" spans="5:6" ht="15" customHeight="1" x14ac:dyDescent="0.2">
      <c r="E13254" s="18"/>
      <c r="F13254" s="18"/>
    </row>
    <row r="13255" spans="5:6" ht="15" customHeight="1" x14ac:dyDescent="0.2">
      <c r="E13255" s="18"/>
      <c r="F13255" s="18"/>
    </row>
    <row r="13256" spans="5:6" ht="15" customHeight="1" x14ac:dyDescent="0.2">
      <c r="E13256" s="18"/>
      <c r="F13256" s="18"/>
    </row>
    <row r="13257" spans="5:6" ht="15" customHeight="1" x14ac:dyDescent="0.2">
      <c r="E13257" s="18"/>
      <c r="F13257" s="18"/>
    </row>
    <row r="13258" spans="5:6" ht="15" customHeight="1" x14ac:dyDescent="0.2">
      <c r="E13258" s="18"/>
      <c r="F13258" s="18"/>
    </row>
    <row r="13259" spans="5:6" ht="15" customHeight="1" x14ac:dyDescent="0.2">
      <c r="E13259" s="18"/>
      <c r="F13259" s="18"/>
    </row>
    <row r="13260" spans="5:6" ht="15" customHeight="1" x14ac:dyDescent="0.2">
      <c r="E13260" s="18"/>
      <c r="F13260" s="18"/>
    </row>
    <row r="13261" spans="5:6" ht="15" customHeight="1" x14ac:dyDescent="0.2">
      <c r="E13261" s="18"/>
      <c r="F13261" s="18"/>
    </row>
    <row r="13262" spans="5:6" ht="15" customHeight="1" x14ac:dyDescent="0.2">
      <c r="E13262" s="18"/>
      <c r="F13262" s="18"/>
    </row>
    <row r="13263" spans="5:6" ht="15" customHeight="1" x14ac:dyDescent="0.2">
      <c r="E13263" s="18"/>
      <c r="F13263" s="18"/>
    </row>
    <row r="13264" spans="5:6" ht="15" customHeight="1" x14ac:dyDescent="0.2">
      <c r="E13264" s="18"/>
      <c r="F13264" s="18"/>
    </row>
    <row r="13265" spans="5:6" ht="15" customHeight="1" x14ac:dyDescent="0.2">
      <c r="E13265" s="18"/>
      <c r="F13265" s="18"/>
    </row>
    <row r="13266" spans="5:6" ht="15" customHeight="1" x14ac:dyDescent="0.2">
      <c r="E13266" s="18"/>
      <c r="F13266" s="18"/>
    </row>
    <row r="13267" spans="5:6" ht="15" customHeight="1" x14ac:dyDescent="0.2">
      <c r="E13267" s="18"/>
      <c r="F13267" s="18"/>
    </row>
    <row r="13268" spans="5:6" ht="15" customHeight="1" x14ac:dyDescent="0.2">
      <c r="E13268" s="18"/>
      <c r="F13268" s="18"/>
    </row>
    <row r="13269" spans="5:6" ht="15" customHeight="1" x14ac:dyDescent="0.2">
      <c r="E13269" s="18"/>
      <c r="F13269" s="18"/>
    </row>
    <row r="13270" spans="5:6" ht="15" customHeight="1" x14ac:dyDescent="0.2">
      <c r="E13270" s="18"/>
      <c r="F13270" s="18"/>
    </row>
    <row r="13271" spans="5:6" ht="15" customHeight="1" x14ac:dyDescent="0.2">
      <c r="E13271" s="18"/>
      <c r="F13271" s="18"/>
    </row>
    <row r="13272" spans="5:6" ht="15" customHeight="1" x14ac:dyDescent="0.2">
      <c r="E13272" s="18"/>
      <c r="F13272" s="18"/>
    </row>
    <row r="13273" spans="5:6" ht="15" customHeight="1" x14ac:dyDescent="0.2">
      <c r="E13273" s="18"/>
      <c r="F13273" s="18"/>
    </row>
    <row r="13274" spans="5:6" ht="15" customHeight="1" x14ac:dyDescent="0.2">
      <c r="E13274" s="18"/>
      <c r="F13274" s="18"/>
    </row>
    <row r="13275" spans="5:6" ht="15" customHeight="1" x14ac:dyDescent="0.2">
      <c r="E13275" s="18"/>
      <c r="F13275" s="18"/>
    </row>
    <row r="13276" spans="5:6" ht="15" customHeight="1" x14ac:dyDescent="0.2">
      <c r="E13276" s="18"/>
      <c r="F13276" s="18"/>
    </row>
    <row r="13277" spans="5:6" ht="15" customHeight="1" x14ac:dyDescent="0.2">
      <c r="E13277" s="18"/>
      <c r="F13277" s="18"/>
    </row>
    <row r="13278" spans="5:6" ht="15" customHeight="1" x14ac:dyDescent="0.2">
      <c r="E13278" s="18"/>
      <c r="F13278" s="18"/>
    </row>
    <row r="13279" spans="5:6" ht="15" customHeight="1" x14ac:dyDescent="0.2">
      <c r="E13279" s="18"/>
      <c r="F13279" s="18"/>
    </row>
    <row r="13280" spans="5:6" ht="15" customHeight="1" x14ac:dyDescent="0.2">
      <c r="E13280" s="18"/>
      <c r="F13280" s="18"/>
    </row>
    <row r="13281" spans="5:6" ht="15" customHeight="1" x14ac:dyDescent="0.2">
      <c r="E13281" s="18"/>
      <c r="F13281" s="18"/>
    </row>
    <row r="13282" spans="5:6" ht="15" customHeight="1" x14ac:dyDescent="0.2">
      <c r="E13282" s="18"/>
      <c r="F13282" s="18"/>
    </row>
    <row r="13283" spans="5:6" ht="15" customHeight="1" x14ac:dyDescent="0.2">
      <c r="E13283" s="18"/>
      <c r="F13283" s="18"/>
    </row>
    <row r="13284" spans="5:6" ht="15" customHeight="1" x14ac:dyDescent="0.2">
      <c r="E13284" s="18"/>
      <c r="F13284" s="18"/>
    </row>
    <row r="13285" spans="5:6" ht="15" customHeight="1" x14ac:dyDescent="0.2">
      <c r="E13285" s="18"/>
      <c r="F13285" s="18"/>
    </row>
    <row r="13286" spans="5:6" ht="15" customHeight="1" x14ac:dyDescent="0.2">
      <c r="E13286" s="18"/>
      <c r="F13286" s="18"/>
    </row>
    <row r="13287" spans="5:6" ht="15" customHeight="1" x14ac:dyDescent="0.2">
      <c r="E13287" s="18"/>
      <c r="F13287" s="18"/>
    </row>
    <row r="13288" spans="5:6" ht="15" customHeight="1" x14ac:dyDescent="0.2">
      <c r="E13288" s="18"/>
      <c r="F13288" s="18"/>
    </row>
    <row r="13289" spans="5:6" ht="15" customHeight="1" x14ac:dyDescent="0.2">
      <c r="E13289" s="18"/>
      <c r="F13289" s="18"/>
    </row>
    <row r="13290" spans="5:6" ht="15" customHeight="1" x14ac:dyDescent="0.2">
      <c r="E13290" s="18"/>
      <c r="F13290" s="18"/>
    </row>
    <row r="13291" spans="5:6" ht="15" customHeight="1" x14ac:dyDescent="0.2">
      <c r="E13291" s="18"/>
      <c r="F13291" s="18"/>
    </row>
    <row r="13292" spans="5:6" ht="15" customHeight="1" x14ac:dyDescent="0.2">
      <c r="E13292" s="18"/>
      <c r="F13292" s="18"/>
    </row>
    <row r="13293" spans="5:6" ht="15" customHeight="1" x14ac:dyDescent="0.2">
      <c r="E13293" s="18"/>
      <c r="F13293" s="18"/>
    </row>
    <row r="13294" spans="5:6" ht="15" customHeight="1" x14ac:dyDescent="0.2">
      <c r="E13294" s="18"/>
      <c r="F13294" s="18"/>
    </row>
    <row r="13295" spans="5:6" ht="15" customHeight="1" x14ac:dyDescent="0.2">
      <c r="E13295" s="18"/>
      <c r="F13295" s="18"/>
    </row>
    <row r="13296" spans="5:6" ht="15" customHeight="1" x14ac:dyDescent="0.2">
      <c r="E13296" s="18"/>
      <c r="F13296" s="18"/>
    </row>
    <row r="13297" spans="5:6" ht="15" customHeight="1" x14ac:dyDescent="0.2">
      <c r="E13297" s="18"/>
      <c r="F13297" s="18"/>
    </row>
    <row r="13298" spans="5:6" ht="15" customHeight="1" x14ac:dyDescent="0.2">
      <c r="E13298" s="18"/>
      <c r="F13298" s="18"/>
    </row>
    <row r="13299" spans="5:6" ht="15" customHeight="1" x14ac:dyDescent="0.2">
      <c r="E13299" s="18"/>
      <c r="F13299" s="18"/>
    </row>
    <row r="13300" spans="5:6" ht="15" customHeight="1" x14ac:dyDescent="0.2">
      <c r="E13300" s="18"/>
      <c r="F13300" s="18"/>
    </row>
    <row r="13301" spans="5:6" ht="15" customHeight="1" x14ac:dyDescent="0.2">
      <c r="E13301" s="18"/>
      <c r="F13301" s="18"/>
    </row>
    <row r="13302" spans="5:6" ht="15" customHeight="1" x14ac:dyDescent="0.2">
      <c r="E13302" s="18"/>
      <c r="F13302" s="18"/>
    </row>
    <row r="13303" spans="5:6" ht="15" customHeight="1" x14ac:dyDescent="0.2">
      <c r="E13303" s="18"/>
      <c r="F13303" s="18"/>
    </row>
    <row r="13304" spans="5:6" ht="15" customHeight="1" x14ac:dyDescent="0.2">
      <c r="E13304" s="18"/>
      <c r="F13304" s="18"/>
    </row>
    <row r="13305" spans="5:6" ht="15" customHeight="1" x14ac:dyDescent="0.2">
      <c r="E13305" s="18"/>
      <c r="F13305" s="18"/>
    </row>
    <row r="13306" spans="5:6" ht="15" customHeight="1" x14ac:dyDescent="0.2">
      <c r="E13306" s="18"/>
      <c r="F13306" s="18"/>
    </row>
    <row r="13307" spans="5:6" ht="15" customHeight="1" x14ac:dyDescent="0.2">
      <c r="E13307" s="18"/>
      <c r="F13307" s="18"/>
    </row>
    <row r="13308" spans="5:6" ht="15" customHeight="1" x14ac:dyDescent="0.2">
      <c r="E13308" s="18"/>
      <c r="F13308" s="18"/>
    </row>
    <row r="13309" spans="5:6" ht="15" customHeight="1" x14ac:dyDescent="0.2">
      <c r="E13309" s="18"/>
      <c r="F13309" s="18"/>
    </row>
    <row r="13310" spans="5:6" ht="15" customHeight="1" x14ac:dyDescent="0.2">
      <c r="E13310" s="18"/>
      <c r="F13310" s="18"/>
    </row>
    <row r="13311" spans="5:6" ht="15" customHeight="1" x14ac:dyDescent="0.2">
      <c r="E13311" s="18"/>
      <c r="F13311" s="18"/>
    </row>
    <row r="13312" spans="5:6" ht="15" customHeight="1" x14ac:dyDescent="0.2">
      <c r="E13312" s="18"/>
      <c r="F13312" s="18"/>
    </row>
    <row r="13313" spans="5:6" ht="15" customHeight="1" x14ac:dyDescent="0.2">
      <c r="E13313" s="18"/>
      <c r="F13313" s="18"/>
    </row>
    <row r="13314" spans="5:6" ht="15" customHeight="1" x14ac:dyDescent="0.2">
      <c r="E13314" s="18"/>
      <c r="F13314" s="18"/>
    </row>
    <row r="13315" spans="5:6" ht="15" customHeight="1" x14ac:dyDescent="0.2">
      <c r="E13315" s="18"/>
      <c r="F13315" s="18"/>
    </row>
    <row r="13316" spans="5:6" ht="15" customHeight="1" x14ac:dyDescent="0.2">
      <c r="E13316" s="18"/>
      <c r="F13316" s="18"/>
    </row>
    <row r="13317" spans="5:6" ht="15" customHeight="1" x14ac:dyDescent="0.2">
      <c r="E13317" s="18"/>
      <c r="F13317" s="18"/>
    </row>
    <row r="13318" spans="5:6" ht="15" customHeight="1" x14ac:dyDescent="0.2">
      <c r="E13318" s="18"/>
      <c r="F13318" s="18"/>
    </row>
    <row r="13319" spans="5:6" ht="15" customHeight="1" x14ac:dyDescent="0.2">
      <c r="E13319" s="18"/>
      <c r="F13319" s="18"/>
    </row>
    <row r="13320" spans="5:6" ht="15" customHeight="1" x14ac:dyDescent="0.2">
      <c r="E13320" s="18"/>
      <c r="F13320" s="18"/>
    </row>
    <row r="13321" spans="5:6" ht="15" customHeight="1" x14ac:dyDescent="0.2">
      <c r="E13321" s="18"/>
      <c r="F13321" s="18"/>
    </row>
    <row r="13322" spans="5:6" ht="15" customHeight="1" x14ac:dyDescent="0.2">
      <c r="E13322" s="18"/>
      <c r="F13322" s="18"/>
    </row>
    <row r="13323" spans="5:6" ht="15" customHeight="1" x14ac:dyDescent="0.2">
      <c r="E13323" s="18"/>
      <c r="F13323" s="18"/>
    </row>
    <row r="13324" spans="5:6" ht="15" customHeight="1" x14ac:dyDescent="0.2">
      <c r="E13324" s="18"/>
      <c r="F13324" s="18"/>
    </row>
    <row r="13325" spans="5:6" ht="15" customHeight="1" x14ac:dyDescent="0.2">
      <c r="E13325" s="18"/>
      <c r="F13325" s="18"/>
    </row>
    <row r="13326" spans="5:6" ht="15" customHeight="1" x14ac:dyDescent="0.2">
      <c r="E13326" s="18"/>
      <c r="F13326" s="18"/>
    </row>
    <row r="13327" spans="5:6" ht="15" customHeight="1" x14ac:dyDescent="0.2">
      <c r="E13327" s="18"/>
      <c r="F13327" s="18"/>
    </row>
    <row r="13328" spans="5:6" ht="15" customHeight="1" x14ac:dyDescent="0.2">
      <c r="E13328" s="18"/>
      <c r="F13328" s="18"/>
    </row>
    <row r="13329" spans="5:6" ht="15" customHeight="1" x14ac:dyDescent="0.2">
      <c r="E13329" s="18"/>
      <c r="F13329" s="18"/>
    </row>
    <row r="13330" spans="5:6" ht="15" customHeight="1" x14ac:dyDescent="0.2">
      <c r="E13330" s="18"/>
      <c r="F13330" s="18"/>
    </row>
    <row r="13331" spans="5:6" ht="15" customHeight="1" x14ac:dyDescent="0.2">
      <c r="E13331" s="18"/>
      <c r="F13331" s="18"/>
    </row>
    <row r="13332" spans="5:6" ht="15" customHeight="1" x14ac:dyDescent="0.2">
      <c r="E13332" s="18"/>
      <c r="F13332" s="18"/>
    </row>
    <row r="13333" spans="5:6" ht="15" customHeight="1" x14ac:dyDescent="0.2">
      <c r="E13333" s="18"/>
      <c r="F13333" s="18"/>
    </row>
    <row r="13334" spans="5:6" ht="15" customHeight="1" x14ac:dyDescent="0.2">
      <c r="E13334" s="18"/>
      <c r="F13334" s="18"/>
    </row>
    <row r="13335" spans="5:6" ht="15" customHeight="1" x14ac:dyDescent="0.2">
      <c r="E13335" s="18"/>
      <c r="F13335" s="18"/>
    </row>
    <row r="13336" spans="5:6" ht="15" customHeight="1" x14ac:dyDescent="0.2">
      <c r="E13336" s="18"/>
      <c r="F13336" s="18"/>
    </row>
    <row r="13337" spans="5:6" ht="15" customHeight="1" x14ac:dyDescent="0.2">
      <c r="E13337" s="18"/>
      <c r="F13337" s="18"/>
    </row>
    <row r="13338" spans="5:6" ht="15" customHeight="1" x14ac:dyDescent="0.2">
      <c r="E13338" s="18"/>
      <c r="F13338" s="18"/>
    </row>
    <row r="13339" spans="5:6" ht="15" customHeight="1" x14ac:dyDescent="0.2">
      <c r="E13339" s="18"/>
      <c r="F13339" s="18"/>
    </row>
    <row r="13340" spans="5:6" ht="15" customHeight="1" x14ac:dyDescent="0.2">
      <c r="E13340" s="18"/>
      <c r="F13340" s="18"/>
    </row>
    <row r="13341" spans="5:6" ht="15" customHeight="1" x14ac:dyDescent="0.2">
      <c r="E13341" s="18"/>
      <c r="F13341" s="18"/>
    </row>
    <row r="13342" spans="5:6" ht="15" customHeight="1" x14ac:dyDescent="0.2">
      <c r="E13342" s="18"/>
      <c r="F13342" s="18"/>
    </row>
    <row r="13343" spans="5:6" ht="15" customHeight="1" x14ac:dyDescent="0.2">
      <c r="E13343" s="18"/>
      <c r="F13343" s="18"/>
    </row>
    <row r="13344" spans="5:6" ht="15" customHeight="1" x14ac:dyDescent="0.2">
      <c r="E13344" s="18"/>
      <c r="F13344" s="18"/>
    </row>
    <row r="13345" spans="5:6" ht="15" customHeight="1" x14ac:dyDescent="0.2">
      <c r="E13345" s="18"/>
      <c r="F13345" s="18"/>
    </row>
    <row r="13346" spans="5:6" ht="15" customHeight="1" x14ac:dyDescent="0.2">
      <c r="E13346" s="18"/>
      <c r="F13346" s="18"/>
    </row>
    <row r="13347" spans="5:6" ht="15" customHeight="1" x14ac:dyDescent="0.2">
      <c r="E13347" s="18"/>
      <c r="F13347" s="18"/>
    </row>
    <row r="13348" spans="5:6" ht="15" customHeight="1" x14ac:dyDescent="0.2">
      <c r="E13348" s="18"/>
      <c r="F13348" s="18"/>
    </row>
    <row r="13349" spans="5:6" ht="15" customHeight="1" x14ac:dyDescent="0.2">
      <c r="E13349" s="18"/>
      <c r="F13349" s="18"/>
    </row>
    <row r="13350" spans="5:6" ht="15" customHeight="1" x14ac:dyDescent="0.2">
      <c r="E13350" s="18"/>
      <c r="F13350" s="18"/>
    </row>
    <row r="13351" spans="5:6" ht="15" customHeight="1" x14ac:dyDescent="0.2">
      <c r="E13351" s="18"/>
      <c r="F13351" s="18"/>
    </row>
    <row r="13352" spans="5:6" ht="15" customHeight="1" x14ac:dyDescent="0.2">
      <c r="E13352" s="18"/>
      <c r="F13352" s="18"/>
    </row>
    <row r="13353" spans="5:6" ht="15" customHeight="1" x14ac:dyDescent="0.2">
      <c r="E13353" s="18"/>
      <c r="F13353" s="18"/>
    </row>
    <row r="13354" spans="5:6" ht="15" customHeight="1" x14ac:dyDescent="0.2">
      <c r="E13354" s="18"/>
      <c r="F13354" s="18"/>
    </row>
    <row r="13355" spans="5:6" ht="15" customHeight="1" x14ac:dyDescent="0.2">
      <c r="E13355" s="18"/>
      <c r="F13355" s="18"/>
    </row>
    <row r="13356" spans="5:6" ht="15" customHeight="1" x14ac:dyDescent="0.2">
      <c r="E13356" s="18"/>
      <c r="F13356" s="18"/>
    </row>
    <row r="13357" spans="5:6" ht="15" customHeight="1" x14ac:dyDescent="0.2">
      <c r="E13357" s="18"/>
      <c r="F13357" s="18"/>
    </row>
    <row r="13358" spans="5:6" ht="15" customHeight="1" x14ac:dyDescent="0.2">
      <c r="E13358" s="18"/>
      <c r="F13358" s="18"/>
    </row>
    <row r="13359" spans="5:6" ht="15" customHeight="1" x14ac:dyDescent="0.2">
      <c r="E13359" s="18"/>
      <c r="F13359" s="18"/>
    </row>
    <row r="13360" spans="5:6" ht="15" customHeight="1" x14ac:dyDescent="0.2">
      <c r="E13360" s="18"/>
      <c r="F13360" s="18"/>
    </row>
    <row r="13361" spans="5:6" ht="15" customHeight="1" x14ac:dyDescent="0.2">
      <c r="E13361" s="18"/>
      <c r="F13361" s="18"/>
    </row>
    <row r="13362" spans="5:6" ht="15" customHeight="1" x14ac:dyDescent="0.2">
      <c r="E13362" s="18"/>
      <c r="F13362" s="18"/>
    </row>
    <row r="13363" spans="5:6" ht="15" customHeight="1" x14ac:dyDescent="0.2">
      <c r="E13363" s="18"/>
      <c r="F13363" s="18"/>
    </row>
    <row r="13364" spans="5:6" ht="15" customHeight="1" x14ac:dyDescent="0.2">
      <c r="E13364" s="18"/>
      <c r="F13364" s="18"/>
    </row>
    <row r="13365" spans="5:6" ht="15" customHeight="1" x14ac:dyDescent="0.2">
      <c r="E13365" s="18"/>
      <c r="F13365" s="18"/>
    </row>
    <row r="13366" spans="5:6" ht="15" customHeight="1" x14ac:dyDescent="0.2">
      <c r="E13366" s="18"/>
      <c r="F13366" s="18"/>
    </row>
    <row r="13367" spans="5:6" ht="15" customHeight="1" x14ac:dyDescent="0.2">
      <c r="E13367" s="18"/>
      <c r="F13367" s="18"/>
    </row>
    <row r="13368" spans="5:6" ht="15" customHeight="1" x14ac:dyDescent="0.2">
      <c r="E13368" s="18"/>
      <c r="F13368" s="18"/>
    </row>
    <row r="13369" spans="5:6" ht="15" customHeight="1" x14ac:dyDescent="0.2">
      <c r="E13369" s="18"/>
      <c r="F13369" s="18"/>
    </row>
    <row r="13370" spans="5:6" ht="15" customHeight="1" x14ac:dyDescent="0.2">
      <c r="E13370" s="18"/>
      <c r="F13370" s="18"/>
    </row>
    <row r="13371" spans="5:6" ht="15" customHeight="1" x14ac:dyDescent="0.2">
      <c r="E13371" s="18"/>
      <c r="F13371" s="18"/>
    </row>
    <row r="13372" spans="5:6" ht="15" customHeight="1" x14ac:dyDescent="0.2">
      <c r="E13372" s="18"/>
      <c r="F13372" s="18"/>
    </row>
    <row r="13373" spans="5:6" ht="15" customHeight="1" x14ac:dyDescent="0.2">
      <c r="E13373" s="18"/>
      <c r="F13373" s="18"/>
    </row>
    <row r="13374" spans="5:6" ht="15" customHeight="1" x14ac:dyDescent="0.2">
      <c r="E13374" s="18"/>
      <c r="F13374" s="18"/>
    </row>
    <row r="13375" spans="5:6" ht="15" customHeight="1" x14ac:dyDescent="0.2">
      <c r="E13375" s="18"/>
      <c r="F13375" s="18"/>
    </row>
    <row r="13376" spans="5:6" ht="15" customHeight="1" x14ac:dyDescent="0.2">
      <c r="E13376" s="18"/>
      <c r="F13376" s="18"/>
    </row>
    <row r="13377" spans="5:6" ht="15" customHeight="1" x14ac:dyDescent="0.2">
      <c r="E13377" s="18"/>
      <c r="F13377" s="18"/>
    </row>
    <row r="13378" spans="5:6" ht="15" customHeight="1" x14ac:dyDescent="0.2">
      <c r="E13378" s="18"/>
      <c r="F13378" s="18"/>
    </row>
    <row r="13379" spans="5:6" ht="15" customHeight="1" x14ac:dyDescent="0.2">
      <c r="E13379" s="18"/>
      <c r="F13379" s="18"/>
    </row>
    <row r="13380" spans="5:6" ht="15" customHeight="1" x14ac:dyDescent="0.2">
      <c r="E13380" s="18"/>
      <c r="F13380" s="18"/>
    </row>
    <row r="13381" spans="5:6" ht="15" customHeight="1" x14ac:dyDescent="0.2">
      <c r="E13381" s="18"/>
      <c r="F13381" s="18"/>
    </row>
    <row r="13382" spans="5:6" ht="15" customHeight="1" x14ac:dyDescent="0.2">
      <c r="E13382" s="18"/>
      <c r="F13382" s="18"/>
    </row>
    <row r="13383" spans="5:6" ht="15" customHeight="1" x14ac:dyDescent="0.2">
      <c r="E13383" s="18"/>
      <c r="F13383" s="18"/>
    </row>
    <row r="13384" spans="5:6" ht="15" customHeight="1" x14ac:dyDescent="0.2">
      <c r="E13384" s="18"/>
      <c r="F13384" s="18"/>
    </row>
    <row r="13385" spans="5:6" ht="15" customHeight="1" x14ac:dyDescent="0.2">
      <c r="E13385" s="18"/>
      <c r="F13385" s="18"/>
    </row>
    <row r="13386" spans="5:6" ht="15" customHeight="1" x14ac:dyDescent="0.2">
      <c r="E13386" s="18"/>
      <c r="F13386" s="18"/>
    </row>
    <row r="13387" spans="5:6" ht="15" customHeight="1" x14ac:dyDescent="0.2">
      <c r="E13387" s="18"/>
      <c r="F13387" s="18"/>
    </row>
    <row r="13388" spans="5:6" ht="15" customHeight="1" x14ac:dyDescent="0.2">
      <c r="E13388" s="18"/>
      <c r="F13388" s="18"/>
    </row>
    <row r="13389" spans="5:6" ht="15" customHeight="1" x14ac:dyDescent="0.2">
      <c r="E13389" s="18"/>
      <c r="F13389" s="18"/>
    </row>
    <row r="13390" spans="5:6" ht="15" customHeight="1" x14ac:dyDescent="0.2">
      <c r="E13390" s="18"/>
      <c r="F13390" s="18"/>
    </row>
    <row r="13391" spans="5:6" ht="15" customHeight="1" x14ac:dyDescent="0.2">
      <c r="E13391" s="18"/>
      <c r="F13391" s="18"/>
    </row>
    <row r="13392" spans="5:6" ht="15" customHeight="1" x14ac:dyDescent="0.2">
      <c r="E13392" s="18"/>
      <c r="F13392" s="18"/>
    </row>
    <row r="13393" spans="5:6" ht="15" customHeight="1" x14ac:dyDescent="0.2">
      <c r="E13393" s="18"/>
      <c r="F13393" s="18"/>
    </row>
    <row r="13394" spans="5:6" ht="15" customHeight="1" x14ac:dyDescent="0.2">
      <c r="E13394" s="18"/>
      <c r="F13394" s="18"/>
    </row>
    <row r="13395" spans="5:6" ht="15" customHeight="1" x14ac:dyDescent="0.2">
      <c r="E13395" s="18"/>
      <c r="F13395" s="18"/>
    </row>
    <row r="13396" spans="5:6" ht="15" customHeight="1" x14ac:dyDescent="0.2">
      <c r="E13396" s="18"/>
      <c r="F13396" s="18"/>
    </row>
    <row r="13397" spans="5:6" ht="15" customHeight="1" x14ac:dyDescent="0.2">
      <c r="E13397" s="18"/>
      <c r="F13397" s="18"/>
    </row>
    <row r="13398" spans="5:6" ht="15" customHeight="1" x14ac:dyDescent="0.2">
      <c r="E13398" s="18"/>
      <c r="F13398" s="18"/>
    </row>
    <row r="13399" spans="5:6" ht="15" customHeight="1" x14ac:dyDescent="0.2">
      <c r="E13399" s="18"/>
      <c r="F13399" s="18"/>
    </row>
    <row r="13400" spans="5:6" ht="15" customHeight="1" x14ac:dyDescent="0.2">
      <c r="E13400" s="18"/>
      <c r="F13400" s="18"/>
    </row>
    <row r="13401" spans="5:6" ht="15" customHeight="1" x14ac:dyDescent="0.2">
      <c r="E13401" s="18"/>
      <c r="F13401" s="18"/>
    </row>
    <row r="13402" spans="5:6" ht="15" customHeight="1" x14ac:dyDescent="0.2">
      <c r="E13402" s="18"/>
      <c r="F13402" s="18"/>
    </row>
    <row r="13403" spans="5:6" ht="15" customHeight="1" x14ac:dyDescent="0.2">
      <c r="E13403" s="18"/>
      <c r="F13403" s="18"/>
    </row>
    <row r="13404" spans="5:6" ht="15" customHeight="1" x14ac:dyDescent="0.2">
      <c r="E13404" s="18"/>
      <c r="F13404" s="18"/>
    </row>
    <row r="13405" spans="5:6" ht="15" customHeight="1" x14ac:dyDescent="0.2">
      <c r="E13405" s="18"/>
      <c r="F13405" s="18"/>
    </row>
    <row r="13406" spans="5:6" ht="15" customHeight="1" x14ac:dyDescent="0.2">
      <c r="E13406" s="18"/>
      <c r="F13406" s="18"/>
    </row>
    <row r="13407" spans="5:6" ht="15" customHeight="1" x14ac:dyDescent="0.2">
      <c r="E13407" s="18"/>
      <c r="F13407" s="18"/>
    </row>
    <row r="13408" spans="5:6" ht="15" customHeight="1" x14ac:dyDescent="0.2">
      <c r="E13408" s="18"/>
      <c r="F13408" s="18"/>
    </row>
    <row r="13409" spans="5:6" ht="15" customHeight="1" x14ac:dyDescent="0.2">
      <c r="E13409" s="18"/>
      <c r="F13409" s="18"/>
    </row>
    <row r="13410" spans="5:6" ht="15" customHeight="1" x14ac:dyDescent="0.2">
      <c r="E13410" s="18"/>
      <c r="F13410" s="18"/>
    </row>
    <row r="13411" spans="5:6" ht="15" customHeight="1" x14ac:dyDescent="0.2">
      <c r="E13411" s="18"/>
      <c r="F13411" s="18"/>
    </row>
    <row r="13412" spans="5:6" ht="15" customHeight="1" x14ac:dyDescent="0.2">
      <c r="E13412" s="18"/>
      <c r="F13412" s="18"/>
    </row>
    <row r="13413" spans="5:6" ht="15" customHeight="1" x14ac:dyDescent="0.2">
      <c r="E13413" s="18"/>
      <c r="F13413" s="18"/>
    </row>
    <row r="13414" spans="5:6" ht="15" customHeight="1" x14ac:dyDescent="0.2">
      <c r="E13414" s="18"/>
      <c r="F13414" s="18"/>
    </row>
    <row r="13415" spans="5:6" ht="15" customHeight="1" x14ac:dyDescent="0.2">
      <c r="E13415" s="18"/>
      <c r="F13415" s="18"/>
    </row>
    <row r="13416" spans="5:6" ht="15" customHeight="1" x14ac:dyDescent="0.2">
      <c r="E13416" s="18"/>
      <c r="F13416" s="18"/>
    </row>
    <row r="13417" spans="5:6" ht="15" customHeight="1" x14ac:dyDescent="0.2">
      <c r="E13417" s="18"/>
      <c r="F13417" s="18"/>
    </row>
    <row r="13418" spans="5:6" ht="15" customHeight="1" x14ac:dyDescent="0.2">
      <c r="E13418" s="18"/>
      <c r="F13418" s="18"/>
    </row>
    <row r="13419" spans="5:6" ht="15" customHeight="1" x14ac:dyDescent="0.2">
      <c r="E13419" s="18"/>
      <c r="F13419" s="18"/>
    </row>
    <row r="13420" spans="5:6" ht="15" customHeight="1" x14ac:dyDescent="0.2">
      <c r="E13420" s="18"/>
      <c r="F13420" s="18"/>
    </row>
    <row r="13421" spans="5:6" ht="15" customHeight="1" x14ac:dyDescent="0.2">
      <c r="E13421" s="18"/>
      <c r="F13421" s="18"/>
    </row>
    <row r="13422" spans="5:6" ht="15" customHeight="1" x14ac:dyDescent="0.2">
      <c r="E13422" s="18"/>
      <c r="F13422" s="18"/>
    </row>
    <row r="13423" spans="5:6" ht="15" customHeight="1" x14ac:dyDescent="0.2">
      <c r="E13423" s="18"/>
      <c r="F13423" s="18"/>
    </row>
    <row r="13424" spans="5:6" ht="15" customHeight="1" x14ac:dyDescent="0.2">
      <c r="E13424" s="18"/>
      <c r="F13424" s="18"/>
    </row>
    <row r="13425" spans="5:6" ht="15" customHeight="1" x14ac:dyDescent="0.2">
      <c r="E13425" s="18"/>
      <c r="F13425" s="18"/>
    </row>
    <row r="13426" spans="5:6" ht="15" customHeight="1" x14ac:dyDescent="0.2">
      <c r="E13426" s="18"/>
      <c r="F13426" s="18"/>
    </row>
    <row r="13427" spans="5:6" ht="15" customHeight="1" x14ac:dyDescent="0.2">
      <c r="E13427" s="18"/>
      <c r="F13427" s="18"/>
    </row>
    <row r="13428" spans="5:6" ht="15" customHeight="1" x14ac:dyDescent="0.2">
      <c r="E13428" s="18"/>
      <c r="F13428" s="18"/>
    </row>
    <row r="13429" spans="5:6" ht="15" customHeight="1" x14ac:dyDescent="0.2">
      <c r="E13429" s="18"/>
      <c r="F13429" s="18"/>
    </row>
    <row r="13430" spans="5:6" ht="15" customHeight="1" x14ac:dyDescent="0.2">
      <c r="E13430" s="18"/>
      <c r="F13430" s="18"/>
    </row>
    <row r="13431" spans="5:6" ht="15" customHeight="1" x14ac:dyDescent="0.2">
      <c r="E13431" s="18"/>
      <c r="F13431" s="18"/>
    </row>
    <row r="13432" spans="5:6" ht="15" customHeight="1" x14ac:dyDescent="0.2">
      <c r="E13432" s="18"/>
      <c r="F13432" s="18"/>
    </row>
    <row r="13433" spans="5:6" ht="15" customHeight="1" x14ac:dyDescent="0.2">
      <c r="E13433" s="18"/>
      <c r="F13433" s="18"/>
    </row>
    <row r="13434" spans="5:6" ht="15" customHeight="1" x14ac:dyDescent="0.2">
      <c r="E13434" s="18"/>
      <c r="F13434" s="18"/>
    </row>
    <row r="13435" spans="5:6" ht="15" customHeight="1" x14ac:dyDescent="0.2">
      <c r="E13435" s="18"/>
      <c r="F13435" s="18"/>
    </row>
    <row r="13436" spans="5:6" ht="15" customHeight="1" x14ac:dyDescent="0.2">
      <c r="E13436" s="18"/>
      <c r="F13436" s="18"/>
    </row>
    <row r="13437" spans="5:6" ht="15" customHeight="1" x14ac:dyDescent="0.2">
      <c r="E13437" s="18"/>
      <c r="F13437" s="18"/>
    </row>
    <row r="13438" spans="5:6" ht="15" customHeight="1" x14ac:dyDescent="0.2">
      <c r="E13438" s="18"/>
      <c r="F13438" s="18"/>
    </row>
    <row r="13439" spans="5:6" ht="15" customHeight="1" x14ac:dyDescent="0.2">
      <c r="E13439" s="18"/>
      <c r="F13439" s="18"/>
    </row>
    <row r="13440" spans="5:6" ht="15" customHeight="1" x14ac:dyDescent="0.2">
      <c r="E13440" s="18"/>
      <c r="F13440" s="18"/>
    </row>
    <row r="13441" spans="5:6" ht="15" customHeight="1" x14ac:dyDescent="0.2">
      <c r="E13441" s="18"/>
      <c r="F13441" s="18"/>
    </row>
    <row r="13442" spans="5:6" ht="15" customHeight="1" x14ac:dyDescent="0.2">
      <c r="E13442" s="18"/>
      <c r="F13442" s="18"/>
    </row>
    <row r="13443" spans="5:6" ht="15" customHeight="1" x14ac:dyDescent="0.2">
      <c r="E13443" s="18"/>
      <c r="F13443" s="18"/>
    </row>
    <row r="13444" spans="5:6" ht="15" customHeight="1" x14ac:dyDescent="0.2">
      <c r="E13444" s="18"/>
      <c r="F13444" s="18"/>
    </row>
    <row r="13445" spans="5:6" ht="15" customHeight="1" x14ac:dyDescent="0.2">
      <c r="E13445" s="18"/>
      <c r="F13445" s="18"/>
    </row>
    <row r="13446" spans="5:6" ht="15" customHeight="1" x14ac:dyDescent="0.2">
      <c r="E13446" s="18"/>
      <c r="F13446" s="18"/>
    </row>
    <row r="13447" spans="5:6" ht="15" customHeight="1" x14ac:dyDescent="0.2">
      <c r="E13447" s="18"/>
      <c r="F13447" s="18"/>
    </row>
    <row r="13448" spans="5:6" ht="15" customHeight="1" x14ac:dyDescent="0.2">
      <c r="E13448" s="18"/>
      <c r="F13448" s="18"/>
    </row>
    <row r="13449" spans="5:6" ht="15" customHeight="1" x14ac:dyDescent="0.2">
      <c r="E13449" s="18"/>
      <c r="F13449" s="18"/>
    </row>
    <row r="13450" spans="5:6" ht="15" customHeight="1" x14ac:dyDescent="0.2">
      <c r="E13450" s="18"/>
      <c r="F13450" s="18"/>
    </row>
    <row r="13451" spans="5:6" ht="15" customHeight="1" x14ac:dyDescent="0.2">
      <c r="E13451" s="18"/>
      <c r="F13451" s="18"/>
    </row>
    <row r="13452" spans="5:6" ht="15" customHeight="1" x14ac:dyDescent="0.2">
      <c r="E13452" s="18"/>
      <c r="F13452" s="18"/>
    </row>
    <row r="13453" spans="5:6" ht="15" customHeight="1" x14ac:dyDescent="0.2">
      <c r="E13453" s="18"/>
      <c r="F13453" s="18"/>
    </row>
    <row r="13454" spans="5:6" ht="15" customHeight="1" x14ac:dyDescent="0.2">
      <c r="E13454" s="18"/>
      <c r="F13454" s="18"/>
    </row>
    <row r="13455" spans="5:6" ht="15" customHeight="1" x14ac:dyDescent="0.2">
      <c r="E13455" s="18"/>
      <c r="F13455" s="18"/>
    </row>
    <row r="13456" spans="5:6" ht="15" customHeight="1" x14ac:dyDescent="0.2">
      <c r="E13456" s="18"/>
      <c r="F13456" s="18"/>
    </row>
    <row r="13457" spans="5:6" ht="15" customHeight="1" x14ac:dyDescent="0.2">
      <c r="E13457" s="18"/>
      <c r="F13457" s="18"/>
    </row>
    <row r="13458" spans="5:6" ht="15" customHeight="1" x14ac:dyDescent="0.2">
      <c r="E13458" s="18"/>
      <c r="F13458" s="18"/>
    </row>
    <row r="13459" spans="5:6" ht="15" customHeight="1" x14ac:dyDescent="0.2">
      <c r="E13459" s="18"/>
      <c r="F13459" s="18"/>
    </row>
    <row r="13460" spans="5:6" ht="15" customHeight="1" x14ac:dyDescent="0.2">
      <c r="E13460" s="18"/>
      <c r="F13460" s="18"/>
    </row>
    <row r="13461" spans="5:6" ht="15" customHeight="1" x14ac:dyDescent="0.2">
      <c r="E13461" s="18"/>
      <c r="F13461" s="18"/>
    </row>
    <row r="13462" spans="5:6" ht="15" customHeight="1" x14ac:dyDescent="0.2">
      <c r="E13462" s="18"/>
      <c r="F13462" s="18"/>
    </row>
    <row r="13463" spans="5:6" ht="15" customHeight="1" x14ac:dyDescent="0.2">
      <c r="E13463" s="18"/>
      <c r="F13463" s="18"/>
    </row>
    <row r="13464" spans="5:6" ht="15" customHeight="1" x14ac:dyDescent="0.2">
      <c r="E13464" s="18"/>
      <c r="F13464" s="18"/>
    </row>
    <row r="13465" spans="5:6" ht="15" customHeight="1" x14ac:dyDescent="0.2">
      <c r="E13465" s="18"/>
      <c r="F13465" s="18"/>
    </row>
    <row r="13466" spans="5:6" ht="15" customHeight="1" x14ac:dyDescent="0.2">
      <c r="E13466" s="18"/>
      <c r="F13466" s="18"/>
    </row>
    <row r="13467" spans="5:6" ht="15" customHeight="1" x14ac:dyDescent="0.2">
      <c r="E13467" s="18"/>
      <c r="F13467" s="18"/>
    </row>
    <row r="13468" spans="5:6" ht="15" customHeight="1" x14ac:dyDescent="0.2">
      <c r="E13468" s="18"/>
      <c r="F13468" s="18"/>
    </row>
    <row r="13469" spans="5:6" ht="15" customHeight="1" x14ac:dyDescent="0.2">
      <c r="E13469" s="18"/>
      <c r="F13469" s="18"/>
    </row>
    <row r="13470" spans="5:6" ht="15" customHeight="1" x14ac:dyDescent="0.2">
      <c r="E13470" s="18"/>
      <c r="F13470" s="18"/>
    </row>
    <row r="13471" spans="5:6" ht="15" customHeight="1" x14ac:dyDescent="0.2">
      <c r="E13471" s="18"/>
      <c r="F13471" s="18"/>
    </row>
    <row r="13472" spans="5:6" ht="15" customHeight="1" x14ac:dyDescent="0.2">
      <c r="E13472" s="18"/>
      <c r="F13472" s="18"/>
    </row>
    <row r="13473" spans="5:6" ht="15" customHeight="1" x14ac:dyDescent="0.2">
      <c r="E13473" s="18"/>
      <c r="F13473" s="18"/>
    </row>
    <row r="13474" spans="5:6" ht="15" customHeight="1" x14ac:dyDescent="0.2">
      <c r="E13474" s="18"/>
      <c r="F13474" s="18"/>
    </row>
    <row r="13475" spans="5:6" ht="15" customHeight="1" x14ac:dyDescent="0.2">
      <c r="E13475" s="18"/>
      <c r="F13475" s="18"/>
    </row>
    <row r="13476" spans="5:6" ht="15" customHeight="1" x14ac:dyDescent="0.2">
      <c r="E13476" s="18"/>
      <c r="F13476" s="18"/>
    </row>
    <row r="13477" spans="5:6" ht="15" customHeight="1" x14ac:dyDescent="0.2">
      <c r="E13477" s="18"/>
      <c r="F13477" s="18"/>
    </row>
    <row r="13478" spans="5:6" ht="15" customHeight="1" x14ac:dyDescent="0.2">
      <c r="E13478" s="18"/>
      <c r="F13478" s="18"/>
    </row>
    <row r="13479" spans="5:6" ht="15" customHeight="1" x14ac:dyDescent="0.2">
      <c r="E13479" s="18"/>
      <c r="F13479" s="18"/>
    </row>
    <row r="13480" spans="5:6" ht="15" customHeight="1" x14ac:dyDescent="0.2">
      <c r="E13480" s="18"/>
      <c r="F13480" s="18"/>
    </row>
    <row r="13481" spans="5:6" ht="15" customHeight="1" x14ac:dyDescent="0.2">
      <c r="E13481" s="18"/>
      <c r="F13481" s="18"/>
    </row>
    <row r="13482" spans="5:6" ht="15" customHeight="1" x14ac:dyDescent="0.2">
      <c r="E13482" s="18"/>
      <c r="F13482" s="18"/>
    </row>
    <row r="13483" spans="5:6" ht="15" customHeight="1" x14ac:dyDescent="0.2">
      <c r="E13483" s="18"/>
      <c r="F13483" s="18"/>
    </row>
    <row r="13484" spans="5:6" ht="15" customHeight="1" x14ac:dyDescent="0.2">
      <c r="E13484" s="18"/>
      <c r="F13484" s="18"/>
    </row>
    <row r="13485" spans="5:6" ht="15" customHeight="1" x14ac:dyDescent="0.2">
      <c r="E13485" s="18"/>
      <c r="F13485" s="18"/>
    </row>
    <row r="13486" spans="5:6" ht="15" customHeight="1" x14ac:dyDescent="0.2">
      <c r="E13486" s="18"/>
      <c r="F13486" s="18"/>
    </row>
    <row r="13487" spans="5:6" ht="15" customHeight="1" x14ac:dyDescent="0.2">
      <c r="E13487" s="18"/>
      <c r="F13487" s="18"/>
    </row>
    <row r="13488" spans="5:6" ht="15" customHeight="1" x14ac:dyDescent="0.2">
      <c r="E13488" s="18"/>
      <c r="F13488" s="18"/>
    </row>
    <row r="13489" spans="5:6" ht="15" customHeight="1" x14ac:dyDescent="0.2">
      <c r="E13489" s="18"/>
      <c r="F13489" s="18"/>
    </row>
    <row r="13490" spans="5:6" ht="15" customHeight="1" x14ac:dyDescent="0.2">
      <c r="E13490" s="18"/>
      <c r="F13490" s="18"/>
    </row>
    <row r="13491" spans="5:6" ht="15" customHeight="1" x14ac:dyDescent="0.2">
      <c r="E13491" s="18"/>
      <c r="F13491" s="18"/>
    </row>
    <row r="13492" spans="5:6" ht="15" customHeight="1" x14ac:dyDescent="0.2">
      <c r="E13492" s="18"/>
      <c r="F13492" s="18"/>
    </row>
    <row r="13493" spans="5:6" ht="15" customHeight="1" x14ac:dyDescent="0.2">
      <c r="E13493" s="18"/>
      <c r="F13493" s="18"/>
    </row>
    <row r="13494" spans="5:6" ht="15" customHeight="1" x14ac:dyDescent="0.2">
      <c r="E13494" s="18"/>
      <c r="F13494" s="18"/>
    </row>
    <row r="13495" spans="5:6" ht="15" customHeight="1" x14ac:dyDescent="0.2">
      <c r="E13495" s="18"/>
      <c r="F13495" s="18"/>
    </row>
    <row r="13496" spans="5:6" ht="15" customHeight="1" x14ac:dyDescent="0.2">
      <c r="E13496" s="18"/>
      <c r="F13496" s="18"/>
    </row>
    <row r="13497" spans="5:6" ht="15" customHeight="1" x14ac:dyDescent="0.2">
      <c r="E13497" s="18"/>
      <c r="F13497" s="18"/>
    </row>
    <row r="13498" spans="5:6" ht="15" customHeight="1" x14ac:dyDescent="0.2">
      <c r="E13498" s="18"/>
      <c r="F13498" s="18"/>
    </row>
    <row r="13499" spans="5:6" ht="15" customHeight="1" x14ac:dyDescent="0.2">
      <c r="E13499" s="18"/>
      <c r="F13499" s="18"/>
    </row>
    <row r="13500" spans="5:6" ht="15" customHeight="1" x14ac:dyDescent="0.2">
      <c r="E13500" s="18"/>
      <c r="F13500" s="18"/>
    </row>
    <row r="13501" spans="5:6" ht="15" customHeight="1" x14ac:dyDescent="0.2">
      <c r="E13501" s="18"/>
      <c r="F13501" s="18"/>
    </row>
    <row r="13502" spans="5:6" ht="15" customHeight="1" x14ac:dyDescent="0.2">
      <c r="E13502" s="18"/>
      <c r="F13502" s="18"/>
    </row>
    <row r="13503" spans="5:6" ht="15" customHeight="1" x14ac:dyDescent="0.2">
      <c r="E13503" s="18"/>
      <c r="F13503" s="18"/>
    </row>
    <row r="13504" spans="5:6" ht="15" customHeight="1" x14ac:dyDescent="0.2">
      <c r="E13504" s="18"/>
      <c r="F13504" s="18"/>
    </row>
    <row r="13505" spans="5:6" ht="15" customHeight="1" x14ac:dyDescent="0.2">
      <c r="E13505" s="18"/>
      <c r="F13505" s="18"/>
    </row>
    <row r="13506" spans="5:6" ht="15" customHeight="1" x14ac:dyDescent="0.2">
      <c r="E13506" s="18"/>
      <c r="F13506" s="18"/>
    </row>
    <row r="13507" spans="5:6" ht="15" customHeight="1" x14ac:dyDescent="0.2">
      <c r="E13507" s="18"/>
      <c r="F13507" s="18"/>
    </row>
    <row r="13508" spans="5:6" ht="15" customHeight="1" x14ac:dyDescent="0.2">
      <c r="E13508" s="18"/>
      <c r="F13508" s="18"/>
    </row>
    <row r="13509" spans="5:6" ht="15" customHeight="1" x14ac:dyDescent="0.2">
      <c r="E13509" s="18"/>
      <c r="F13509" s="18"/>
    </row>
    <row r="13510" spans="5:6" ht="15" customHeight="1" x14ac:dyDescent="0.2">
      <c r="E13510" s="18"/>
      <c r="F13510" s="18"/>
    </row>
    <row r="13511" spans="5:6" ht="15" customHeight="1" x14ac:dyDescent="0.2">
      <c r="E13511" s="18"/>
      <c r="F13511" s="18"/>
    </row>
    <row r="13512" spans="5:6" ht="15" customHeight="1" x14ac:dyDescent="0.2">
      <c r="E13512" s="18"/>
      <c r="F13512" s="18"/>
    </row>
    <row r="13513" spans="5:6" ht="15" customHeight="1" x14ac:dyDescent="0.2">
      <c r="E13513" s="18"/>
      <c r="F13513" s="18"/>
    </row>
    <row r="13514" spans="5:6" ht="15" customHeight="1" x14ac:dyDescent="0.2">
      <c r="E13514" s="18"/>
      <c r="F13514" s="18"/>
    </row>
    <row r="13515" spans="5:6" ht="15" customHeight="1" x14ac:dyDescent="0.2">
      <c r="E13515" s="18"/>
      <c r="F13515" s="18"/>
    </row>
    <row r="13516" spans="5:6" ht="15" customHeight="1" x14ac:dyDescent="0.2">
      <c r="E13516" s="18"/>
      <c r="F13516" s="18"/>
    </row>
    <row r="13517" spans="5:6" ht="15" customHeight="1" x14ac:dyDescent="0.2">
      <c r="E13517" s="18"/>
      <c r="F13517" s="18"/>
    </row>
    <row r="13518" spans="5:6" ht="15" customHeight="1" x14ac:dyDescent="0.2">
      <c r="E13518" s="18"/>
      <c r="F13518" s="18"/>
    </row>
    <row r="13519" spans="5:6" ht="15" customHeight="1" x14ac:dyDescent="0.2">
      <c r="E13519" s="18"/>
      <c r="F13519" s="18"/>
    </row>
    <row r="13520" spans="5:6" ht="15" customHeight="1" x14ac:dyDescent="0.2">
      <c r="E13520" s="18"/>
      <c r="F13520" s="18"/>
    </row>
    <row r="13521" spans="5:6" ht="15" customHeight="1" x14ac:dyDescent="0.2">
      <c r="E13521" s="18"/>
      <c r="F13521" s="18"/>
    </row>
    <row r="13522" spans="5:6" ht="15" customHeight="1" x14ac:dyDescent="0.2">
      <c r="E13522" s="18"/>
      <c r="F13522" s="18"/>
    </row>
    <row r="13523" spans="5:6" ht="15" customHeight="1" x14ac:dyDescent="0.2">
      <c r="E13523" s="18"/>
      <c r="F13523" s="18"/>
    </row>
    <row r="13524" spans="5:6" ht="15" customHeight="1" x14ac:dyDescent="0.2">
      <c r="E13524" s="18"/>
      <c r="F13524" s="18"/>
    </row>
    <row r="13525" spans="5:6" ht="15" customHeight="1" x14ac:dyDescent="0.2">
      <c r="E13525" s="18"/>
      <c r="F13525" s="18"/>
    </row>
    <row r="13526" spans="5:6" ht="15" customHeight="1" x14ac:dyDescent="0.2">
      <c r="E13526" s="18"/>
      <c r="F13526" s="18"/>
    </row>
    <row r="13527" spans="5:6" ht="15" customHeight="1" x14ac:dyDescent="0.2">
      <c r="E13527" s="18"/>
      <c r="F13527" s="18"/>
    </row>
    <row r="13528" spans="5:6" ht="15" customHeight="1" x14ac:dyDescent="0.2">
      <c r="E13528" s="18"/>
      <c r="F13528" s="18"/>
    </row>
    <row r="13529" spans="5:6" ht="15" customHeight="1" x14ac:dyDescent="0.2">
      <c r="E13529" s="18"/>
      <c r="F13529" s="18"/>
    </row>
    <row r="13530" spans="5:6" ht="15" customHeight="1" x14ac:dyDescent="0.2">
      <c r="E13530" s="18"/>
      <c r="F13530" s="18"/>
    </row>
    <row r="13531" spans="5:6" ht="15" customHeight="1" x14ac:dyDescent="0.2">
      <c r="E13531" s="18"/>
      <c r="F13531" s="18"/>
    </row>
    <row r="13532" spans="5:6" ht="15" customHeight="1" x14ac:dyDescent="0.2">
      <c r="E13532" s="18"/>
      <c r="F13532" s="18"/>
    </row>
    <row r="13533" spans="5:6" ht="15" customHeight="1" x14ac:dyDescent="0.2">
      <c r="E13533" s="18"/>
      <c r="F13533" s="18"/>
    </row>
    <row r="13534" spans="5:6" ht="15" customHeight="1" x14ac:dyDescent="0.2">
      <c r="E13534" s="18"/>
      <c r="F13534" s="18"/>
    </row>
    <row r="13535" spans="5:6" ht="15" customHeight="1" x14ac:dyDescent="0.2">
      <c r="E13535" s="18"/>
      <c r="F13535" s="18"/>
    </row>
    <row r="13536" spans="5:6" ht="15" customHeight="1" x14ac:dyDescent="0.2">
      <c r="E13536" s="18"/>
      <c r="F13536" s="18"/>
    </row>
    <row r="13537" spans="5:6" ht="15" customHeight="1" x14ac:dyDescent="0.2">
      <c r="E13537" s="18"/>
      <c r="F13537" s="18"/>
    </row>
    <row r="13538" spans="5:6" ht="15" customHeight="1" x14ac:dyDescent="0.2">
      <c r="E13538" s="18"/>
      <c r="F13538" s="18"/>
    </row>
    <row r="13539" spans="5:6" ht="15" customHeight="1" x14ac:dyDescent="0.2">
      <c r="E13539" s="18"/>
      <c r="F13539" s="18"/>
    </row>
    <row r="13540" spans="5:6" ht="15" customHeight="1" x14ac:dyDescent="0.2">
      <c r="E13540" s="18"/>
      <c r="F13540" s="18"/>
    </row>
    <row r="13541" spans="5:6" ht="15" customHeight="1" x14ac:dyDescent="0.2">
      <c r="E13541" s="18"/>
      <c r="F13541" s="18"/>
    </row>
    <row r="13542" spans="5:6" ht="15" customHeight="1" x14ac:dyDescent="0.2">
      <c r="E13542" s="18"/>
      <c r="F13542" s="18"/>
    </row>
    <row r="13543" spans="5:6" ht="15" customHeight="1" x14ac:dyDescent="0.2">
      <c r="E13543" s="18"/>
      <c r="F13543" s="18"/>
    </row>
    <row r="13544" spans="5:6" ht="15" customHeight="1" x14ac:dyDescent="0.2">
      <c r="E13544" s="18"/>
      <c r="F13544" s="18"/>
    </row>
    <row r="13545" spans="5:6" ht="15" customHeight="1" x14ac:dyDescent="0.2">
      <c r="E13545" s="18"/>
      <c r="F13545" s="18"/>
    </row>
    <row r="13546" spans="5:6" ht="15" customHeight="1" x14ac:dyDescent="0.2">
      <c r="E13546" s="18"/>
      <c r="F13546" s="18"/>
    </row>
    <row r="13547" spans="5:6" ht="15" customHeight="1" x14ac:dyDescent="0.2">
      <c r="E13547" s="18"/>
      <c r="F13547" s="18"/>
    </row>
    <row r="13548" spans="5:6" ht="15" customHeight="1" x14ac:dyDescent="0.2">
      <c r="E13548" s="18"/>
      <c r="F13548" s="18"/>
    </row>
    <row r="13549" spans="5:6" ht="15" customHeight="1" x14ac:dyDescent="0.2">
      <c r="E13549" s="18"/>
      <c r="F13549" s="18"/>
    </row>
    <row r="13550" spans="5:6" ht="15" customHeight="1" x14ac:dyDescent="0.2">
      <c r="E13550" s="18"/>
      <c r="F13550" s="18"/>
    </row>
    <row r="13551" spans="5:6" ht="15" customHeight="1" x14ac:dyDescent="0.2">
      <c r="E13551" s="18"/>
      <c r="F13551" s="18"/>
    </row>
    <row r="13552" spans="5:6" ht="15" customHeight="1" x14ac:dyDescent="0.2">
      <c r="E13552" s="18"/>
      <c r="F13552" s="18"/>
    </row>
    <row r="13553" spans="5:6" ht="15" customHeight="1" x14ac:dyDescent="0.2">
      <c r="E13553" s="18"/>
      <c r="F13553" s="18"/>
    </row>
    <row r="13554" spans="5:6" ht="15" customHeight="1" x14ac:dyDescent="0.2">
      <c r="E13554" s="18"/>
      <c r="F13554" s="18"/>
    </row>
    <row r="13555" spans="5:6" ht="15" customHeight="1" x14ac:dyDescent="0.2">
      <c r="E13555" s="18"/>
      <c r="F13555" s="18"/>
    </row>
    <row r="13556" spans="5:6" ht="15" customHeight="1" x14ac:dyDescent="0.2">
      <c r="E13556" s="18"/>
      <c r="F13556" s="18"/>
    </row>
    <row r="13557" spans="5:6" ht="15" customHeight="1" x14ac:dyDescent="0.2">
      <c r="E13557" s="18"/>
      <c r="F13557" s="18"/>
    </row>
    <row r="13558" spans="5:6" ht="15" customHeight="1" x14ac:dyDescent="0.2">
      <c r="E13558" s="18"/>
      <c r="F13558" s="18"/>
    </row>
    <row r="13559" spans="5:6" ht="15" customHeight="1" x14ac:dyDescent="0.2">
      <c r="E13559" s="18"/>
      <c r="F13559" s="18"/>
    </row>
    <row r="13560" spans="5:6" ht="15" customHeight="1" x14ac:dyDescent="0.2">
      <c r="E13560" s="18"/>
      <c r="F13560" s="18"/>
    </row>
    <row r="13561" spans="5:6" ht="15" customHeight="1" x14ac:dyDescent="0.2">
      <c r="E13561" s="18"/>
      <c r="F13561" s="18"/>
    </row>
    <row r="13562" spans="5:6" ht="15" customHeight="1" x14ac:dyDescent="0.2">
      <c r="E13562" s="18"/>
      <c r="F13562" s="18"/>
    </row>
    <row r="13563" spans="5:6" ht="15" customHeight="1" x14ac:dyDescent="0.2">
      <c r="E13563" s="18"/>
      <c r="F13563" s="18"/>
    </row>
    <row r="13564" spans="5:6" ht="15" customHeight="1" x14ac:dyDescent="0.2">
      <c r="E13564" s="18"/>
      <c r="F13564" s="18"/>
    </row>
    <row r="13565" spans="5:6" ht="15" customHeight="1" x14ac:dyDescent="0.2">
      <c r="E13565" s="18"/>
      <c r="F13565" s="18"/>
    </row>
    <row r="13566" spans="5:6" ht="15" customHeight="1" x14ac:dyDescent="0.2">
      <c r="E13566" s="18"/>
      <c r="F13566" s="18"/>
    </row>
    <row r="13567" spans="5:6" ht="15" customHeight="1" x14ac:dyDescent="0.2">
      <c r="E13567" s="18"/>
      <c r="F13567" s="18"/>
    </row>
    <row r="13568" spans="5:6" ht="15" customHeight="1" x14ac:dyDescent="0.2">
      <c r="E13568" s="18"/>
      <c r="F13568" s="18"/>
    </row>
    <row r="13569" spans="5:6" ht="15" customHeight="1" x14ac:dyDescent="0.2">
      <c r="E13569" s="18"/>
      <c r="F13569" s="18"/>
    </row>
    <row r="13570" spans="5:6" ht="15" customHeight="1" x14ac:dyDescent="0.2">
      <c r="E13570" s="18"/>
      <c r="F13570" s="18"/>
    </row>
    <row r="13571" spans="5:6" ht="15" customHeight="1" x14ac:dyDescent="0.2">
      <c r="E13571" s="18"/>
      <c r="F13571" s="18"/>
    </row>
    <row r="13572" spans="5:6" ht="15" customHeight="1" x14ac:dyDescent="0.2">
      <c r="E13572" s="18"/>
      <c r="F13572" s="18"/>
    </row>
    <row r="13573" spans="5:6" ht="15" customHeight="1" x14ac:dyDescent="0.2">
      <c r="E13573" s="18"/>
      <c r="F13573" s="18"/>
    </row>
    <row r="13574" spans="5:6" ht="15" customHeight="1" x14ac:dyDescent="0.2">
      <c r="E13574" s="18"/>
      <c r="F13574" s="18"/>
    </row>
    <row r="13575" spans="5:6" ht="15" customHeight="1" x14ac:dyDescent="0.2">
      <c r="E13575" s="18"/>
      <c r="F13575" s="18"/>
    </row>
    <row r="13576" spans="5:6" ht="15" customHeight="1" x14ac:dyDescent="0.2">
      <c r="E13576" s="18"/>
      <c r="F13576" s="18"/>
    </row>
    <row r="13577" spans="5:6" ht="15" customHeight="1" x14ac:dyDescent="0.2">
      <c r="E13577" s="18"/>
      <c r="F13577" s="18"/>
    </row>
    <row r="13578" spans="5:6" ht="15" customHeight="1" x14ac:dyDescent="0.2">
      <c r="E13578" s="18"/>
      <c r="F13578" s="18"/>
    </row>
    <row r="13579" spans="5:6" ht="15" customHeight="1" x14ac:dyDescent="0.2">
      <c r="E13579" s="18"/>
      <c r="F13579" s="18"/>
    </row>
    <row r="13580" spans="5:6" ht="15" customHeight="1" x14ac:dyDescent="0.2">
      <c r="E13580" s="18"/>
      <c r="F13580" s="18"/>
    </row>
    <row r="13581" spans="5:6" ht="15" customHeight="1" x14ac:dyDescent="0.2">
      <c r="E13581" s="18"/>
      <c r="F13581" s="18"/>
    </row>
    <row r="13582" spans="5:6" ht="15" customHeight="1" x14ac:dyDescent="0.2">
      <c r="E13582" s="18"/>
      <c r="F13582" s="18"/>
    </row>
    <row r="13583" spans="5:6" ht="15" customHeight="1" x14ac:dyDescent="0.2">
      <c r="E13583" s="18"/>
      <c r="F13583" s="18"/>
    </row>
    <row r="13584" spans="5:6" ht="15" customHeight="1" x14ac:dyDescent="0.2">
      <c r="E13584" s="18"/>
      <c r="F13584" s="18"/>
    </row>
    <row r="13585" spans="5:6" ht="15" customHeight="1" x14ac:dyDescent="0.2">
      <c r="E13585" s="18"/>
      <c r="F13585" s="18"/>
    </row>
    <row r="13586" spans="5:6" ht="15" customHeight="1" x14ac:dyDescent="0.2">
      <c r="E13586" s="18"/>
      <c r="F13586" s="18"/>
    </row>
    <row r="13587" spans="5:6" ht="15" customHeight="1" x14ac:dyDescent="0.2">
      <c r="E13587" s="18"/>
      <c r="F13587" s="18"/>
    </row>
    <row r="13588" spans="5:6" ht="15" customHeight="1" x14ac:dyDescent="0.2">
      <c r="E13588" s="18"/>
      <c r="F13588" s="18"/>
    </row>
    <row r="13589" spans="5:6" ht="15" customHeight="1" x14ac:dyDescent="0.2">
      <c r="E13589" s="18"/>
      <c r="F13589" s="18"/>
    </row>
    <row r="13590" spans="5:6" ht="15" customHeight="1" x14ac:dyDescent="0.2">
      <c r="E13590" s="18"/>
      <c r="F13590" s="18"/>
    </row>
    <row r="13591" spans="5:6" ht="15" customHeight="1" x14ac:dyDescent="0.2">
      <c r="E13591" s="18"/>
      <c r="F13591" s="18"/>
    </row>
    <row r="13592" spans="5:6" ht="15" customHeight="1" x14ac:dyDescent="0.2">
      <c r="E13592" s="18"/>
      <c r="F13592" s="18"/>
    </row>
    <row r="13593" spans="5:6" ht="15" customHeight="1" x14ac:dyDescent="0.2">
      <c r="E13593" s="18"/>
      <c r="F13593" s="18"/>
    </row>
    <row r="13594" spans="5:6" ht="15" customHeight="1" x14ac:dyDescent="0.2">
      <c r="E13594" s="18"/>
      <c r="F13594" s="18"/>
    </row>
    <row r="13595" spans="5:6" ht="15" customHeight="1" x14ac:dyDescent="0.2">
      <c r="E13595" s="18"/>
      <c r="F13595" s="18"/>
    </row>
    <row r="13596" spans="5:6" ht="15" customHeight="1" x14ac:dyDescent="0.2">
      <c r="E13596" s="18"/>
      <c r="F13596" s="18"/>
    </row>
    <row r="13597" spans="5:6" ht="15" customHeight="1" x14ac:dyDescent="0.2">
      <c r="E13597" s="18"/>
      <c r="F13597" s="18"/>
    </row>
    <row r="13598" spans="5:6" ht="15" customHeight="1" x14ac:dyDescent="0.2">
      <c r="E13598" s="18"/>
      <c r="F13598" s="18"/>
    </row>
    <row r="13599" spans="5:6" ht="15" customHeight="1" x14ac:dyDescent="0.2">
      <c r="E13599" s="18"/>
      <c r="F13599" s="18"/>
    </row>
    <row r="13600" spans="5:6" ht="15" customHeight="1" x14ac:dyDescent="0.2">
      <c r="E13600" s="18"/>
      <c r="F13600" s="18"/>
    </row>
    <row r="13601" spans="5:6" ht="15" customHeight="1" x14ac:dyDescent="0.2">
      <c r="E13601" s="18"/>
      <c r="F13601" s="18"/>
    </row>
    <row r="13602" spans="5:6" ht="15" customHeight="1" x14ac:dyDescent="0.2">
      <c r="E13602" s="18"/>
      <c r="F13602" s="18"/>
    </row>
    <row r="13603" spans="5:6" ht="15" customHeight="1" x14ac:dyDescent="0.2">
      <c r="E13603" s="18"/>
      <c r="F13603" s="18"/>
    </row>
    <row r="13604" spans="5:6" ht="15" customHeight="1" x14ac:dyDescent="0.2">
      <c r="E13604" s="18"/>
      <c r="F13604" s="18"/>
    </row>
    <row r="13605" spans="5:6" ht="15" customHeight="1" x14ac:dyDescent="0.2">
      <c r="E13605" s="18"/>
      <c r="F13605" s="18"/>
    </row>
    <row r="13606" spans="5:6" ht="15" customHeight="1" x14ac:dyDescent="0.2">
      <c r="E13606" s="18"/>
      <c r="F13606" s="18"/>
    </row>
    <row r="13607" spans="5:6" ht="15" customHeight="1" x14ac:dyDescent="0.2">
      <c r="E13607" s="18"/>
      <c r="F13607" s="18"/>
    </row>
    <row r="13608" spans="5:6" ht="15" customHeight="1" x14ac:dyDescent="0.2">
      <c r="E13608" s="18"/>
      <c r="F13608" s="18"/>
    </row>
    <row r="13609" spans="5:6" ht="15" customHeight="1" x14ac:dyDescent="0.2">
      <c r="E13609" s="18"/>
      <c r="F13609" s="18"/>
    </row>
    <row r="13610" spans="5:6" ht="15" customHeight="1" x14ac:dyDescent="0.2">
      <c r="E13610" s="18"/>
      <c r="F13610" s="18"/>
    </row>
    <row r="13611" spans="5:6" ht="15" customHeight="1" x14ac:dyDescent="0.2">
      <c r="E13611" s="18"/>
      <c r="F13611" s="18"/>
    </row>
    <row r="13612" spans="5:6" ht="15" customHeight="1" x14ac:dyDescent="0.2">
      <c r="E13612" s="18"/>
      <c r="F13612" s="18"/>
    </row>
    <row r="13613" spans="5:6" ht="15" customHeight="1" x14ac:dyDescent="0.2">
      <c r="E13613" s="18"/>
      <c r="F13613" s="18"/>
    </row>
    <row r="13614" spans="5:6" ht="15" customHeight="1" x14ac:dyDescent="0.2">
      <c r="E13614" s="18"/>
      <c r="F13614" s="18"/>
    </row>
    <row r="13615" spans="5:6" ht="15" customHeight="1" x14ac:dyDescent="0.2">
      <c r="E13615" s="18"/>
      <c r="F13615" s="18"/>
    </row>
    <row r="13616" spans="5:6" ht="15" customHeight="1" x14ac:dyDescent="0.2">
      <c r="E13616" s="18"/>
      <c r="F13616" s="18"/>
    </row>
    <row r="13617" spans="5:6" ht="15" customHeight="1" x14ac:dyDescent="0.2">
      <c r="E13617" s="18"/>
      <c r="F13617" s="18"/>
    </row>
    <row r="13618" spans="5:6" ht="15" customHeight="1" x14ac:dyDescent="0.2">
      <c r="E13618" s="18"/>
      <c r="F13618" s="18"/>
    </row>
    <row r="13619" spans="5:6" ht="15" customHeight="1" x14ac:dyDescent="0.2">
      <c r="E13619" s="18"/>
      <c r="F13619" s="18"/>
    </row>
    <row r="13620" spans="5:6" ht="15" customHeight="1" x14ac:dyDescent="0.2">
      <c r="E13620" s="18"/>
      <c r="F13620" s="18"/>
    </row>
    <row r="13621" spans="5:6" ht="15" customHeight="1" x14ac:dyDescent="0.2">
      <c r="E13621" s="18"/>
      <c r="F13621" s="18"/>
    </row>
    <row r="13622" spans="5:6" ht="15" customHeight="1" x14ac:dyDescent="0.2">
      <c r="E13622" s="18"/>
      <c r="F13622" s="18"/>
    </row>
    <row r="13623" spans="5:6" ht="15" customHeight="1" x14ac:dyDescent="0.2">
      <c r="E13623" s="18"/>
      <c r="F13623" s="18"/>
    </row>
    <row r="13624" spans="5:6" ht="15" customHeight="1" x14ac:dyDescent="0.2">
      <c r="E13624" s="18"/>
      <c r="F13624" s="18"/>
    </row>
    <row r="13625" spans="5:6" ht="15" customHeight="1" x14ac:dyDescent="0.2">
      <c r="E13625" s="18"/>
      <c r="F13625" s="18"/>
    </row>
    <row r="13626" spans="5:6" ht="15" customHeight="1" x14ac:dyDescent="0.2">
      <c r="E13626" s="18"/>
      <c r="F13626" s="18"/>
    </row>
    <row r="13627" spans="5:6" ht="15" customHeight="1" x14ac:dyDescent="0.2">
      <c r="E13627" s="18"/>
      <c r="F13627" s="18"/>
    </row>
    <row r="13628" spans="5:6" ht="15" customHeight="1" x14ac:dyDescent="0.2">
      <c r="E13628" s="18"/>
      <c r="F13628" s="18"/>
    </row>
    <row r="13629" spans="5:6" ht="15" customHeight="1" x14ac:dyDescent="0.2">
      <c r="E13629" s="18"/>
      <c r="F13629" s="18"/>
    </row>
    <row r="13630" spans="5:6" ht="15" customHeight="1" x14ac:dyDescent="0.2">
      <c r="E13630" s="18"/>
      <c r="F13630" s="18"/>
    </row>
    <row r="13631" spans="5:6" ht="15" customHeight="1" x14ac:dyDescent="0.2">
      <c r="E13631" s="18"/>
      <c r="F13631" s="18"/>
    </row>
    <row r="13632" spans="5:6" ht="15" customHeight="1" x14ac:dyDescent="0.2">
      <c r="E13632" s="18"/>
      <c r="F13632" s="18"/>
    </row>
    <row r="13633" spans="5:6" ht="15" customHeight="1" x14ac:dyDescent="0.2">
      <c r="E13633" s="18"/>
      <c r="F13633" s="18"/>
    </row>
    <row r="13634" spans="5:6" ht="15" customHeight="1" x14ac:dyDescent="0.2">
      <c r="E13634" s="18"/>
      <c r="F13634" s="18"/>
    </row>
    <row r="13635" spans="5:6" ht="15" customHeight="1" x14ac:dyDescent="0.2">
      <c r="E13635" s="18"/>
      <c r="F13635" s="18"/>
    </row>
    <row r="13636" spans="5:6" ht="15" customHeight="1" x14ac:dyDescent="0.2">
      <c r="E13636" s="18"/>
      <c r="F13636" s="18"/>
    </row>
    <row r="13637" spans="5:6" ht="15" customHeight="1" x14ac:dyDescent="0.2">
      <c r="E13637" s="18"/>
      <c r="F13637" s="18"/>
    </row>
    <row r="13638" spans="5:6" ht="15" customHeight="1" x14ac:dyDescent="0.2">
      <c r="E13638" s="18"/>
      <c r="F13638" s="18"/>
    </row>
    <row r="13639" spans="5:6" ht="15" customHeight="1" x14ac:dyDescent="0.2">
      <c r="E13639" s="18"/>
      <c r="F13639" s="18"/>
    </row>
    <row r="13640" spans="5:6" ht="15" customHeight="1" x14ac:dyDescent="0.2">
      <c r="E13640" s="18"/>
      <c r="F13640" s="18"/>
    </row>
    <row r="13641" spans="5:6" ht="15" customHeight="1" x14ac:dyDescent="0.2">
      <c r="E13641" s="18"/>
      <c r="F13641" s="18"/>
    </row>
    <row r="13642" spans="5:6" ht="15" customHeight="1" x14ac:dyDescent="0.2">
      <c r="E13642" s="18"/>
      <c r="F13642" s="18"/>
    </row>
    <row r="13643" spans="5:6" ht="15" customHeight="1" x14ac:dyDescent="0.2">
      <c r="E13643" s="18"/>
      <c r="F13643" s="18"/>
    </row>
    <row r="13644" spans="5:6" ht="15" customHeight="1" x14ac:dyDescent="0.2">
      <c r="E13644" s="18"/>
      <c r="F13644" s="18"/>
    </row>
    <row r="13645" spans="5:6" ht="15" customHeight="1" x14ac:dyDescent="0.2">
      <c r="E13645" s="18"/>
      <c r="F13645" s="18"/>
    </row>
    <row r="13646" spans="5:6" ht="15" customHeight="1" x14ac:dyDescent="0.2">
      <c r="E13646" s="18"/>
      <c r="F13646" s="18"/>
    </row>
    <row r="13647" spans="5:6" ht="15" customHeight="1" x14ac:dyDescent="0.2">
      <c r="E13647" s="18"/>
      <c r="F13647" s="18"/>
    </row>
    <row r="13648" spans="5:6" ht="15" customHeight="1" x14ac:dyDescent="0.2">
      <c r="E13648" s="18"/>
      <c r="F13648" s="18"/>
    </row>
    <row r="13649" spans="5:6" ht="15" customHeight="1" x14ac:dyDescent="0.2">
      <c r="E13649" s="18"/>
      <c r="F13649" s="18"/>
    </row>
    <row r="13650" spans="5:6" ht="15" customHeight="1" x14ac:dyDescent="0.2">
      <c r="E13650" s="18"/>
      <c r="F13650" s="18"/>
    </row>
    <row r="13651" spans="5:6" ht="15" customHeight="1" x14ac:dyDescent="0.2">
      <c r="E13651" s="18"/>
      <c r="F13651" s="18"/>
    </row>
    <row r="13652" spans="5:6" ht="15" customHeight="1" x14ac:dyDescent="0.2">
      <c r="E13652" s="18"/>
      <c r="F13652" s="18"/>
    </row>
    <row r="13653" spans="5:6" ht="15" customHeight="1" x14ac:dyDescent="0.2">
      <c r="E13653" s="18"/>
      <c r="F13653" s="18"/>
    </row>
    <row r="13654" spans="5:6" ht="15" customHeight="1" x14ac:dyDescent="0.2">
      <c r="E13654" s="18"/>
      <c r="F13654" s="18"/>
    </row>
    <row r="13655" spans="5:6" ht="15" customHeight="1" x14ac:dyDescent="0.2">
      <c r="E13655" s="18"/>
      <c r="F13655" s="18"/>
    </row>
    <row r="13656" spans="5:6" ht="15" customHeight="1" x14ac:dyDescent="0.2">
      <c r="E13656" s="18"/>
      <c r="F13656" s="18"/>
    </row>
    <row r="13657" spans="5:6" ht="15" customHeight="1" x14ac:dyDescent="0.2">
      <c r="E13657" s="18"/>
      <c r="F13657" s="18"/>
    </row>
    <row r="13658" spans="5:6" ht="15" customHeight="1" x14ac:dyDescent="0.2">
      <c r="E13658" s="18"/>
      <c r="F13658" s="18"/>
    </row>
    <row r="13659" spans="5:6" ht="15" customHeight="1" x14ac:dyDescent="0.2">
      <c r="E13659" s="18"/>
      <c r="F13659" s="18"/>
    </row>
    <row r="13660" spans="5:6" ht="15" customHeight="1" x14ac:dyDescent="0.2">
      <c r="E13660" s="18"/>
      <c r="F13660" s="18"/>
    </row>
    <row r="13661" spans="5:6" ht="15" customHeight="1" x14ac:dyDescent="0.2">
      <c r="E13661" s="18"/>
      <c r="F13661" s="18"/>
    </row>
    <row r="13662" spans="5:6" ht="15" customHeight="1" x14ac:dyDescent="0.2">
      <c r="E13662" s="18"/>
      <c r="F13662" s="18"/>
    </row>
    <row r="13663" spans="5:6" ht="15" customHeight="1" x14ac:dyDescent="0.2">
      <c r="E13663" s="18"/>
      <c r="F13663" s="18"/>
    </row>
    <row r="13664" spans="5:6" ht="15" customHeight="1" x14ac:dyDescent="0.2">
      <c r="E13664" s="18"/>
      <c r="F13664" s="18"/>
    </row>
    <row r="13665" spans="5:6" ht="15" customHeight="1" x14ac:dyDescent="0.2">
      <c r="E13665" s="18"/>
      <c r="F13665" s="18"/>
    </row>
    <row r="13666" spans="5:6" ht="15" customHeight="1" x14ac:dyDescent="0.2">
      <c r="E13666" s="18"/>
      <c r="F13666" s="18"/>
    </row>
    <row r="13667" spans="5:6" ht="15" customHeight="1" x14ac:dyDescent="0.2">
      <c r="E13667" s="18"/>
      <c r="F13667" s="18"/>
    </row>
    <row r="13668" spans="5:6" ht="15" customHeight="1" x14ac:dyDescent="0.2">
      <c r="E13668" s="18"/>
      <c r="F13668" s="18"/>
    </row>
    <row r="13669" spans="5:6" ht="15" customHeight="1" x14ac:dyDescent="0.2">
      <c r="E13669" s="18"/>
      <c r="F13669" s="18"/>
    </row>
    <row r="13670" spans="5:6" ht="15" customHeight="1" x14ac:dyDescent="0.2">
      <c r="E13670" s="18"/>
      <c r="F13670" s="18"/>
    </row>
    <row r="13671" spans="5:6" ht="15" customHeight="1" x14ac:dyDescent="0.2">
      <c r="E13671" s="18"/>
      <c r="F13671" s="18"/>
    </row>
    <row r="13672" spans="5:6" ht="15" customHeight="1" x14ac:dyDescent="0.2">
      <c r="E13672" s="18"/>
      <c r="F13672" s="18"/>
    </row>
    <row r="13673" spans="5:6" ht="15" customHeight="1" x14ac:dyDescent="0.2">
      <c r="E13673" s="18"/>
      <c r="F13673" s="18"/>
    </row>
    <row r="13674" spans="5:6" ht="15" customHeight="1" x14ac:dyDescent="0.2">
      <c r="E13674" s="18"/>
      <c r="F13674" s="18"/>
    </row>
    <row r="13675" spans="5:6" ht="15" customHeight="1" x14ac:dyDescent="0.2">
      <c r="E13675" s="18"/>
      <c r="F13675" s="18"/>
    </row>
    <row r="13676" spans="5:6" ht="15" customHeight="1" x14ac:dyDescent="0.2">
      <c r="E13676" s="18"/>
      <c r="F13676" s="18"/>
    </row>
    <row r="13677" spans="5:6" ht="15" customHeight="1" x14ac:dyDescent="0.2">
      <c r="E13677" s="18"/>
      <c r="F13677" s="18"/>
    </row>
    <row r="13678" spans="5:6" ht="15" customHeight="1" x14ac:dyDescent="0.2">
      <c r="E13678" s="18"/>
      <c r="F13678" s="18"/>
    </row>
    <row r="13679" spans="5:6" ht="15" customHeight="1" x14ac:dyDescent="0.2">
      <c r="E13679" s="18"/>
      <c r="F13679" s="18"/>
    </row>
    <row r="13680" spans="5:6" ht="15" customHeight="1" x14ac:dyDescent="0.2">
      <c r="E13680" s="18"/>
      <c r="F13680" s="18"/>
    </row>
    <row r="13681" spans="5:6" ht="15" customHeight="1" x14ac:dyDescent="0.2">
      <c r="E13681" s="18"/>
      <c r="F13681" s="18"/>
    </row>
    <row r="13682" spans="5:6" ht="15" customHeight="1" x14ac:dyDescent="0.2">
      <c r="E13682" s="18"/>
      <c r="F13682" s="18"/>
    </row>
    <row r="13683" spans="5:6" ht="15" customHeight="1" x14ac:dyDescent="0.2">
      <c r="E13683" s="18"/>
      <c r="F13683" s="18"/>
    </row>
    <row r="13684" spans="5:6" ht="15" customHeight="1" x14ac:dyDescent="0.2">
      <c r="E13684" s="18"/>
      <c r="F13684" s="18"/>
    </row>
    <row r="13685" spans="5:6" ht="15" customHeight="1" x14ac:dyDescent="0.2">
      <c r="E13685" s="18"/>
      <c r="F13685" s="18"/>
    </row>
    <row r="13686" spans="5:6" ht="15" customHeight="1" x14ac:dyDescent="0.2">
      <c r="E13686" s="18"/>
      <c r="F13686" s="18"/>
    </row>
    <row r="13687" spans="5:6" ht="15" customHeight="1" x14ac:dyDescent="0.2">
      <c r="E13687" s="18"/>
      <c r="F13687" s="18"/>
    </row>
    <row r="13688" spans="5:6" ht="15" customHeight="1" x14ac:dyDescent="0.2">
      <c r="E13688" s="18"/>
      <c r="F13688" s="18"/>
    </row>
    <row r="13689" spans="5:6" ht="15" customHeight="1" x14ac:dyDescent="0.2">
      <c r="E13689" s="18"/>
      <c r="F13689" s="18"/>
    </row>
    <row r="13690" spans="5:6" ht="15" customHeight="1" x14ac:dyDescent="0.2">
      <c r="E13690" s="18"/>
      <c r="F13690" s="18"/>
    </row>
    <row r="13691" spans="5:6" ht="15" customHeight="1" x14ac:dyDescent="0.2">
      <c r="E13691" s="18"/>
      <c r="F13691" s="18"/>
    </row>
    <row r="13692" spans="5:6" ht="15" customHeight="1" x14ac:dyDescent="0.2">
      <c r="E13692" s="18"/>
      <c r="F13692" s="18"/>
    </row>
    <row r="13693" spans="5:6" ht="15" customHeight="1" x14ac:dyDescent="0.2">
      <c r="E13693" s="18"/>
      <c r="F13693" s="18"/>
    </row>
    <row r="13694" spans="5:6" ht="15" customHeight="1" x14ac:dyDescent="0.2">
      <c r="E13694" s="18"/>
      <c r="F13694" s="18"/>
    </row>
    <row r="13695" spans="5:6" ht="15" customHeight="1" x14ac:dyDescent="0.2">
      <c r="E13695" s="18"/>
      <c r="F13695" s="18"/>
    </row>
    <row r="13696" spans="5:6" ht="15" customHeight="1" x14ac:dyDescent="0.2">
      <c r="E13696" s="18"/>
      <c r="F13696" s="18"/>
    </row>
    <row r="13697" spans="5:6" ht="15" customHeight="1" x14ac:dyDescent="0.2">
      <c r="E13697" s="18"/>
      <c r="F13697" s="18"/>
    </row>
    <row r="13698" spans="5:6" ht="15" customHeight="1" x14ac:dyDescent="0.2">
      <c r="E13698" s="18"/>
      <c r="F13698" s="18"/>
    </row>
    <row r="13699" spans="5:6" ht="15" customHeight="1" x14ac:dyDescent="0.2">
      <c r="E13699" s="18"/>
      <c r="F13699" s="18"/>
    </row>
    <row r="13700" spans="5:6" ht="15" customHeight="1" x14ac:dyDescent="0.2">
      <c r="E13700" s="18"/>
      <c r="F13700" s="18"/>
    </row>
    <row r="13701" spans="5:6" ht="15" customHeight="1" x14ac:dyDescent="0.2">
      <c r="E13701" s="18"/>
      <c r="F13701" s="18"/>
    </row>
    <row r="13702" spans="5:6" ht="15" customHeight="1" x14ac:dyDescent="0.2">
      <c r="E13702" s="18"/>
      <c r="F13702" s="18"/>
    </row>
    <row r="13703" spans="5:6" ht="15" customHeight="1" x14ac:dyDescent="0.2">
      <c r="E13703" s="18"/>
      <c r="F13703" s="18"/>
    </row>
    <row r="13704" spans="5:6" ht="15" customHeight="1" x14ac:dyDescent="0.2">
      <c r="E13704" s="18"/>
      <c r="F13704" s="18"/>
    </row>
    <row r="13705" spans="5:6" ht="15" customHeight="1" x14ac:dyDescent="0.2">
      <c r="E13705" s="18"/>
      <c r="F13705" s="18"/>
    </row>
    <row r="13706" spans="5:6" ht="15" customHeight="1" x14ac:dyDescent="0.2">
      <c r="E13706" s="18"/>
      <c r="F13706" s="18"/>
    </row>
    <row r="13707" spans="5:6" ht="15" customHeight="1" x14ac:dyDescent="0.2">
      <c r="E13707" s="18"/>
      <c r="F13707" s="18"/>
    </row>
    <row r="13708" spans="5:6" ht="15" customHeight="1" x14ac:dyDescent="0.2">
      <c r="E13708" s="18"/>
      <c r="F13708" s="18"/>
    </row>
    <row r="13709" spans="5:6" ht="15" customHeight="1" x14ac:dyDescent="0.2">
      <c r="E13709" s="18"/>
      <c r="F13709" s="18"/>
    </row>
    <row r="13710" spans="5:6" ht="15" customHeight="1" x14ac:dyDescent="0.2">
      <c r="E13710" s="18"/>
      <c r="F13710" s="18"/>
    </row>
    <row r="13711" spans="5:6" ht="15" customHeight="1" x14ac:dyDescent="0.2">
      <c r="E13711" s="18"/>
      <c r="F13711" s="18"/>
    </row>
    <row r="13712" spans="5:6" ht="15" customHeight="1" x14ac:dyDescent="0.2">
      <c r="E13712" s="18"/>
      <c r="F13712" s="18"/>
    </row>
    <row r="13713" spans="5:6" ht="15" customHeight="1" x14ac:dyDescent="0.2">
      <c r="E13713" s="18"/>
      <c r="F13713" s="18"/>
    </row>
    <row r="13714" spans="5:6" ht="15" customHeight="1" x14ac:dyDescent="0.2">
      <c r="E13714" s="18"/>
      <c r="F13714" s="18"/>
    </row>
    <row r="13715" spans="5:6" ht="15" customHeight="1" x14ac:dyDescent="0.2">
      <c r="E13715" s="18"/>
      <c r="F13715" s="18"/>
    </row>
    <row r="13716" spans="5:6" ht="15" customHeight="1" x14ac:dyDescent="0.2">
      <c r="E13716" s="18"/>
      <c r="F13716" s="18"/>
    </row>
    <row r="13717" spans="5:6" ht="15" customHeight="1" x14ac:dyDescent="0.2">
      <c r="E13717" s="18"/>
      <c r="F13717" s="18"/>
    </row>
    <row r="13718" spans="5:6" ht="15" customHeight="1" x14ac:dyDescent="0.2">
      <c r="E13718" s="18"/>
      <c r="F13718" s="18"/>
    </row>
    <row r="13719" spans="5:6" ht="15" customHeight="1" x14ac:dyDescent="0.2">
      <c r="E13719" s="18"/>
      <c r="F13719" s="18"/>
    </row>
    <row r="13720" spans="5:6" ht="15" customHeight="1" x14ac:dyDescent="0.2">
      <c r="E13720" s="18"/>
      <c r="F13720" s="18"/>
    </row>
    <row r="13721" spans="5:6" ht="15" customHeight="1" x14ac:dyDescent="0.2">
      <c r="E13721" s="18"/>
      <c r="F13721" s="18"/>
    </row>
    <row r="13722" spans="5:6" ht="15" customHeight="1" x14ac:dyDescent="0.2">
      <c r="E13722" s="18"/>
      <c r="F13722" s="18"/>
    </row>
    <row r="13723" spans="5:6" ht="15" customHeight="1" x14ac:dyDescent="0.2">
      <c r="E13723" s="18"/>
      <c r="F13723" s="18"/>
    </row>
    <row r="13724" spans="5:6" ht="15" customHeight="1" x14ac:dyDescent="0.2">
      <c r="E13724" s="18"/>
      <c r="F13724" s="18"/>
    </row>
    <row r="13725" spans="5:6" ht="15" customHeight="1" x14ac:dyDescent="0.2">
      <c r="E13725" s="18"/>
      <c r="F13725" s="18"/>
    </row>
    <row r="13726" spans="5:6" ht="15" customHeight="1" x14ac:dyDescent="0.2">
      <c r="E13726" s="18"/>
      <c r="F13726" s="18"/>
    </row>
    <row r="13727" spans="5:6" ht="15" customHeight="1" x14ac:dyDescent="0.2">
      <c r="E13727" s="18"/>
      <c r="F13727" s="18"/>
    </row>
    <row r="13728" spans="5:6" ht="15" customHeight="1" x14ac:dyDescent="0.2">
      <c r="E13728" s="18"/>
      <c r="F13728" s="18"/>
    </row>
    <row r="13729" spans="5:6" ht="15" customHeight="1" x14ac:dyDescent="0.2">
      <c r="E13729" s="18"/>
      <c r="F13729" s="18"/>
    </row>
    <row r="13730" spans="5:6" ht="15" customHeight="1" x14ac:dyDescent="0.2">
      <c r="E13730" s="18"/>
      <c r="F13730" s="18"/>
    </row>
    <row r="13731" spans="5:6" ht="15" customHeight="1" x14ac:dyDescent="0.2">
      <c r="E13731" s="18"/>
      <c r="F13731" s="18"/>
    </row>
    <row r="13732" spans="5:6" ht="15" customHeight="1" x14ac:dyDescent="0.2">
      <c r="E13732" s="18"/>
      <c r="F13732" s="18"/>
    </row>
    <row r="13733" spans="5:6" ht="15" customHeight="1" x14ac:dyDescent="0.2">
      <c r="E13733" s="18"/>
      <c r="F13733" s="18"/>
    </row>
    <row r="13734" spans="5:6" ht="15" customHeight="1" x14ac:dyDescent="0.2">
      <c r="E13734" s="18"/>
      <c r="F13734" s="18"/>
    </row>
    <row r="13735" spans="5:6" ht="15" customHeight="1" x14ac:dyDescent="0.2">
      <c r="E13735" s="18"/>
      <c r="F13735" s="18"/>
    </row>
    <row r="13736" spans="5:6" ht="15" customHeight="1" x14ac:dyDescent="0.2">
      <c r="E13736" s="18"/>
      <c r="F13736" s="18"/>
    </row>
    <row r="13737" spans="5:6" ht="15" customHeight="1" x14ac:dyDescent="0.2">
      <c r="E13737" s="18"/>
      <c r="F13737" s="18"/>
    </row>
    <row r="13738" spans="5:6" ht="15" customHeight="1" x14ac:dyDescent="0.2">
      <c r="E13738" s="18"/>
      <c r="F13738" s="18"/>
    </row>
    <row r="13739" spans="5:6" ht="15" customHeight="1" x14ac:dyDescent="0.2">
      <c r="E13739" s="18"/>
      <c r="F13739" s="18"/>
    </row>
    <row r="13740" spans="5:6" ht="15" customHeight="1" x14ac:dyDescent="0.2">
      <c r="E13740" s="18"/>
      <c r="F13740" s="18"/>
    </row>
    <row r="13741" spans="5:6" ht="15" customHeight="1" x14ac:dyDescent="0.2">
      <c r="E13741" s="18"/>
      <c r="F13741" s="18"/>
    </row>
    <row r="13742" spans="5:6" ht="15" customHeight="1" x14ac:dyDescent="0.2">
      <c r="E13742" s="18"/>
      <c r="F13742" s="18"/>
    </row>
    <row r="13743" spans="5:6" ht="15" customHeight="1" x14ac:dyDescent="0.2">
      <c r="E13743" s="18"/>
      <c r="F13743" s="18"/>
    </row>
    <row r="13744" spans="5:6" ht="15" customHeight="1" x14ac:dyDescent="0.2">
      <c r="E13744" s="18"/>
      <c r="F13744" s="18"/>
    </row>
    <row r="13745" spans="5:6" ht="15" customHeight="1" x14ac:dyDescent="0.2">
      <c r="E13745" s="18"/>
      <c r="F13745" s="18"/>
    </row>
    <row r="13746" spans="5:6" ht="15" customHeight="1" x14ac:dyDescent="0.2">
      <c r="E13746" s="18"/>
      <c r="F13746" s="18"/>
    </row>
    <row r="13747" spans="5:6" ht="15" customHeight="1" x14ac:dyDescent="0.2">
      <c r="E13747" s="18"/>
      <c r="F13747" s="18"/>
    </row>
    <row r="13748" spans="5:6" ht="15" customHeight="1" x14ac:dyDescent="0.2">
      <c r="E13748" s="18"/>
      <c r="F13748" s="18"/>
    </row>
    <row r="13749" spans="5:6" ht="15" customHeight="1" x14ac:dyDescent="0.2">
      <c r="E13749" s="18"/>
      <c r="F13749" s="18"/>
    </row>
    <row r="13750" spans="5:6" ht="15" customHeight="1" x14ac:dyDescent="0.2">
      <c r="E13750" s="18"/>
      <c r="F13750" s="18"/>
    </row>
    <row r="13751" spans="5:6" ht="15" customHeight="1" x14ac:dyDescent="0.2">
      <c r="E13751" s="18"/>
      <c r="F13751" s="18"/>
    </row>
    <row r="13752" spans="5:6" ht="15" customHeight="1" x14ac:dyDescent="0.2">
      <c r="E13752" s="18"/>
      <c r="F13752" s="18"/>
    </row>
    <row r="13753" spans="5:6" ht="15" customHeight="1" x14ac:dyDescent="0.2">
      <c r="E13753" s="18"/>
      <c r="F13753" s="18"/>
    </row>
    <row r="13754" spans="5:6" ht="15" customHeight="1" x14ac:dyDescent="0.2">
      <c r="E13754" s="18"/>
      <c r="F13754" s="18"/>
    </row>
    <row r="13755" spans="5:6" ht="15" customHeight="1" x14ac:dyDescent="0.2">
      <c r="E13755" s="18"/>
      <c r="F13755" s="18"/>
    </row>
    <row r="13756" spans="5:6" ht="15" customHeight="1" x14ac:dyDescent="0.2">
      <c r="E13756" s="18"/>
      <c r="F13756" s="18"/>
    </row>
    <row r="13757" spans="5:6" ht="15" customHeight="1" x14ac:dyDescent="0.2">
      <c r="E13757" s="18"/>
      <c r="F13757" s="18"/>
    </row>
    <row r="13758" spans="5:6" ht="15" customHeight="1" x14ac:dyDescent="0.2">
      <c r="E13758" s="18"/>
      <c r="F13758" s="18"/>
    </row>
    <row r="13759" spans="5:6" ht="15" customHeight="1" x14ac:dyDescent="0.2">
      <c r="E13759" s="18"/>
      <c r="F13759" s="18"/>
    </row>
    <row r="13760" spans="5:6" ht="15" customHeight="1" x14ac:dyDescent="0.2">
      <c r="E13760" s="18"/>
      <c r="F13760" s="18"/>
    </row>
    <row r="13761" spans="5:6" ht="15" customHeight="1" x14ac:dyDescent="0.2">
      <c r="E13761" s="18"/>
      <c r="F13761" s="18"/>
    </row>
    <row r="13762" spans="5:6" ht="15" customHeight="1" x14ac:dyDescent="0.2">
      <c r="E13762" s="18"/>
      <c r="F13762" s="18"/>
    </row>
    <row r="13763" spans="5:6" ht="15" customHeight="1" x14ac:dyDescent="0.2">
      <c r="E13763" s="18"/>
      <c r="F13763" s="18"/>
    </row>
    <row r="13764" spans="5:6" ht="15" customHeight="1" x14ac:dyDescent="0.2">
      <c r="E13764" s="18"/>
      <c r="F13764" s="18"/>
    </row>
    <row r="13765" spans="5:6" ht="15" customHeight="1" x14ac:dyDescent="0.2">
      <c r="E13765" s="18"/>
      <c r="F13765" s="18"/>
    </row>
    <row r="13766" spans="5:6" ht="15" customHeight="1" x14ac:dyDescent="0.2">
      <c r="E13766" s="18"/>
      <c r="F13766" s="18"/>
    </row>
    <row r="13767" spans="5:6" ht="15" customHeight="1" x14ac:dyDescent="0.2">
      <c r="E13767" s="18"/>
      <c r="F13767" s="18"/>
    </row>
    <row r="13768" spans="5:6" ht="15" customHeight="1" x14ac:dyDescent="0.2">
      <c r="E13768" s="18"/>
      <c r="F13768" s="18"/>
    </row>
    <row r="13769" spans="5:6" ht="15" customHeight="1" x14ac:dyDescent="0.2">
      <c r="E13769" s="18"/>
      <c r="F13769" s="18"/>
    </row>
    <row r="13770" spans="5:6" ht="15" customHeight="1" x14ac:dyDescent="0.2">
      <c r="E13770" s="18"/>
      <c r="F13770" s="18"/>
    </row>
    <row r="13771" spans="5:6" ht="15" customHeight="1" x14ac:dyDescent="0.2">
      <c r="E13771" s="18"/>
      <c r="F13771" s="18"/>
    </row>
    <row r="13772" spans="5:6" ht="15" customHeight="1" x14ac:dyDescent="0.2">
      <c r="E13772" s="18"/>
      <c r="F13772" s="18"/>
    </row>
    <row r="13773" spans="5:6" ht="15" customHeight="1" x14ac:dyDescent="0.2">
      <c r="E13773" s="18"/>
      <c r="F13773" s="18"/>
    </row>
    <row r="13774" spans="5:6" ht="15" customHeight="1" x14ac:dyDescent="0.2">
      <c r="E13774" s="18"/>
      <c r="F13774" s="18"/>
    </row>
    <row r="13775" spans="5:6" ht="15" customHeight="1" x14ac:dyDescent="0.2">
      <c r="E13775" s="18"/>
      <c r="F13775" s="18"/>
    </row>
    <row r="13776" spans="5:6" ht="15" customHeight="1" x14ac:dyDescent="0.2">
      <c r="E13776" s="18"/>
      <c r="F13776" s="18"/>
    </row>
    <row r="13777" spans="5:6" ht="15" customHeight="1" x14ac:dyDescent="0.2">
      <c r="E13777" s="18"/>
      <c r="F13777" s="18"/>
    </row>
    <row r="13778" spans="5:6" ht="15" customHeight="1" x14ac:dyDescent="0.2">
      <c r="E13778" s="18"/>
      <c r="F13778" s="18"/>
    </row>
    <row r="13779" spans="5:6" ht="15" customHeight="1" x14ac:dyDescent="0.2">
      <c r="E13779" s="18"/>
      <c r="F13779" s="18"/>
    </row>
    <row r="13780" spans="5:6" ht="15" customHeight="1" x14ac:dyDescent="0.2">
      <c r="E13780" s="18"/>
      <c r="F13780" s="18"/>
    </row>
    <row r="13781" spans="5:6" ht="15" customHeight="1" x14ac:dyDescent="0.2">
      <c r="E13781" s="18"/>
      <c r="F13781" s="18"/>
    </row>
    <row r="13782" spans="5:6" ht="15" customHeight="1" x14ac:dyDescent="0.2">
      <c r="E13782" s="18"/>
      <c r="F13782" s="18"/>
    </row>
    <row r="13783" spans="5:6" ht="15" customHeight="1" x14ac:dyDescent="0.2">
      <c r="E13783" s="18"/>
      <c r="F13783" s="18"/>
    </row>
    <row r="13784" spans="5:6" ht="15" customHeight="1" x14ac:dyDescent="0.2">
      <c r="E13784" s="18"/>
      <c r="F13784" s="18"/>
    </row>
    <row r="13785" spans="5:6" ht="15" customHeight="1" x14ac:dyDescent="0.2">
      <c r="E13785" s="18"/>
      <c r="F13785" s="18"/>
    </row>
    <row r="13786" spans="5:6" ht="15" customHeight="1" x14ac:dyDescent="0.2">
      <c r="E13786" s="18"/>
      <c r="F13786" s="18"/>
    </row>
    <row r="13787" spans="5:6" ht="15" customHeight="1" x14ac:dyDescent="0.2">
      <c r="E13787" s="18"/>
      <c r="F13787" s="18"/>
    </row>
    <row r="13788" spans="5:6" ht="15" customHeight="1" x14ac:dyDescent="0.2">
      <c r="E13788" s="18"/>
      <c r="F13788" s="18"/>
    </row>
    <row r="13789" spans="5:6" ht="15" customHeight="1" x14ac:dyDescent="0.2">
      <c r="E13789" s="18"/>
      <c r="F13789" s="18"/>
    </row>
    <row r="13790" spans="5:6" ht="15" customHeight="1" x14ac:dyDescent="0.2">
      <c r="E13790" s="18"/>
      <c r="F13790" s="18"/>
    </row>
    <row r="13791" spans="5:6" ht="15" customHeight="1" x14ac:dyDescent="0.2">
      <c r="E13791" s="18"/>
      <c r="F13791" s="18"/>
    </row>
    <row r="13792" spans="5:6" ht="15" customHeight="1" x14ac:dyDescent="0.2">
      <c r="E13792" s="18"/>
      <c r="F13792" s="18"/>
    </row>
    <row r="13793" spans="5:6" ht="15" customHeight="1" x14ac:dyDescent="0.2">
      <c r="E13793" s="18"/>
      <c r="F13793" s="18"/>
    </row>
    <row r="13794" spans="5:6" ht="15" customHeight="1" x14ac:dyDescent="0.2">
      <c r="E13794" s="18"/>
      <c r="F13794" s="18"/>
    </row>
    <row r="13795" spans="5:6" ht="15" customHeight="1" x14ac:dyDescent="0.2">
      <c r="E13795" s="18"/>
      <c r="F13795" s="18"/>
    </row>
    <row r="13796" spans="5:6" ht="15" customHeight="1" x14ac:dyDescent="0.2">
      <c r="E13796" s="18"/>
      <c r="F13796" s="18"/>
    </row>
    <row r="13797" spans="5:6" ht="15" customHeight="1" x14ac:dyDescent="0.2">
      <c r="E13797" s="18"/>
      <c r="F13797" s="18"/>
    </row>
    <row r="13798" spans="5:6" ht="15" customHeight="1" x14ac:dyDescent="0.2">
      <c r="E13798" s="18"/>
      <c r="F13798" s="18"/>
    </row>
    <row r="13799" spans="5:6" ht="15" customHeight="1" x14ac:dyDescent="0.2">
      <c r="E13799" s="18"/>
      <c r="F13799" s="18"/>
    </row>
    <row r="13800" spans="5:6" ht="15" customHeight="1" x14ac:dyDescent="0.2">
      <c r="E13800" s="18"/>
      <c r="F13800" s="18"/>
    </row>
    <row r="13801" spans="5:6" ht="15" customHeight="1" x14ac:dyDescent="0.2">
      <c r="E13801" s="18"/>
      <c r="F13801" s="18"/>
    </row>
    <row r="13802" spans="5:6" ht="15" customHeight="1" x14ac:dyDescent="0.2">
      <c r="E13802" s="18"/>
      <c r="F13802" s="18"/>
    </row>
    <row r="13803" spans="5:6" ht="15" customHeight="1" x14ac:dyDescent="0.2">
      <c r="E13803" s="18"/>
      <c r="F13803" s="18"/>
    </row>
    <row r="13804" spans="5:6" ht="15" customHeight="1" x14ac:dyDescent="0.2">
      <c r="E13804" s="18"/>
      <c r="F13804" s="18"/>
    </row>
    <row r="13805" spans="5:6" ht="15" customHeight="1" x14ac:dyDescent="0.2">
      <c r="E13805" s="18"/>
      <c r="F13805" s="18"/>
    </row>
    <row r="13806" spans="5:6" ht="15" customHeight="1" x14ac:dyDescent="0.2">
      <c r="E13806" s="18"/>
      <c r="F13806" s="18"/>
    </row>
    <row r="13807" spans="5:6" ht="15" customHeight="1" x14ac:dyDescent="0.2">
      <c r="E13807" s="18"/>
      <c r="F13807" s="18"/>
    </row>
    <row r="13808" spans="5:6" ht="15" customHeight="1" x14ac:dyDescent="0.2">
      <c r="E13808" s="18"/>
      <c r="F13808" s="18"/>
    </row>
    <row r="13809" spans="5:6" ht="15" customHeight="1" x14ac:dyDescent="0.2">
      <c r="E13809" s="18"/>
      <c r="F13809" s="18"/>
    </row>
    <row r="13810" spans="5:6" ht="15" customHeight="1" x14ac:dyDescent="0.2">
      <c r="E13810" s="18"/>
      <c r="F13810" s="18"/>
    </row>
    <row r="13811" spans="5:6" ht="15" customHeight="1" x14ac:dyDescent="0.2">
      <c r="E13811" s="18"/>
      <c r="F13811" s="18"/>
    </row>
    <row r="13812" spans="5:6" ht="15" customHeight="1" x14ac:dyDescent="0.2">
      <c r="E13812" s="18"/>
      <c r="F13812" s="18"/>
    </row>
    <row r="13813" spans="5:6" ht="15" customHeight="1" x14ac:dyDescent="0.2">
      <c r="E13813" s="18"/>
      <c r="F13813" s="18"/>
    </row>
    <row r="13814" spans="5:6" ht="15" customHeight="1" x14ac:dyDescent="0.2">
      <c r="E13814" s="18"/>
      <c r="F13814" s="18"/>
    </row>
    <row r="13815" spans="5:6" ht="15" customHeight="1" x14ac:dyDescent="0.2">
      <c r="E13815" s="18"/>
      <c r="F13815" s="18"/>
    </row>
    <row r="13816" spans="5:6" ht="15" customHeight="1" x14ac:dyDescent="0.2">
      <c r="E13816" s="18"/>
      <c r="F13816" s="18"/>
    </row>
    <row r="13817" spans="5:6" ht="15" customHeight="1" x14ac:dyDescent="0.2">
      <c r="E13817" s="18"/>
      <c r="F13817" s="18"/>
    </row>
    <row r="13818" spans="5:6" ht="15" customHeight="1" x14ac:dyDescent="0.2">
      <c r="E13818" s="18"/>
      <c r="F13818" s="18"/>
    </row>
    <row r="13819" spans="5:6" ht="15" customHeight="1" x14ac:dyDescent="0.2">
      <c r="E13819" s="18"/>
      <c r="F13819" s="18"/>
    </row>
    <row r="13820" spans="5:6" ht="15" customHeight="1" x14ac:dyDescent="0.2">
      <c r="E13820" s="18"/>
      <c r="F13820" s="18"/>
    </row>
    <row r="13821" spans="5:6" ht="15" customHeight="1" x14ac:dyDescent="0.2">
      <c r="E13821" s="18"/>
      <c r="F13821" s="18"/>
    </row>
    <row r="13822" spans="5:6" ht="15" customHeight="1" x14ac:dyDescent="0.2">
      <c r="E13822" s="18"/>
      <c r="F13822" s="18"/>
    </row>
    <row r="13823" spans="5:6" ht="15" customHeight="1" x14ac:dyDescent="0.2">
      <c r="E13823" s="18"/>
      <c r="F13823" s="18"/>
    </row>
    <row r="13824" spans="5:6" ht="15" customHeight="1" x14ac:dyDescent="0.2">
      <c r="E13824" s="18"/>
      <c r="F13824" s="18"/>
    </row>
    <row r="13825" spans="5:6" ht="15" customHeight="1" x14ac:dyDescent="0.2">
      <c r="E13825" s="18"/>
      <c r="F13825" s="18"/>
    </row>
    <row r="13826" spans="5:6" ht="15" customHeight="1" x14ac:dyDescent="0.2">
      <c r="E13826" s="18"/>
      <c r="F13826" s="18"/>
    </row>
    <row r="13827" spans="5:6" ht="15" customHeight="1" x14ac:dyDescent="0.2">
      <c r="E13827" s="18"/>
      <c r="F13827" s="18"/>
    </row>
    <row r="13828" spans="5:6" ht="15" customHeight="1" x14ac:dyDescent="0.2">
      <c r="E13828" s="18"/>
      <c r="F13828" s="18"/>
    </row>
    <row r="13829" spans="5:6" ht="15" customHeight="1" x14ac:dyDescent="0.2">
      <c r="E13829" s="18"/>
      <c r="F13829" s="18"/>
    </row>
    <row r="13830" spans="5:6" ht="15" customHeight="1" x14ac:dyDescent="0.2">
      <c r="E13830" s="18"/>
      <c r="F13830" s="18"/>
    </row>
    <row r="13831" spans="5:6" ht="15" customHeight="1" x14ac:dyDescent="0.2">
      <c r="E13831" s="18"/>
      <c r="F13831" s="18"/>
    </row>
    <row r="13832" spans="5:6" ht="15" customHeight="1" x14ac:dyDescent="0.2">
      <c r="E13832" s="18"/>
      <c r="F13832" s="18"/>
    </row>
    <row r="13833" spans="5:6" ht="15" customHeight="1" x14ac:dyDescent="0.2">
      <c r="E13833" s="18"/>
      <c r="F13833" s="18"/>
    </row>
    <row r="13834" spans="5:6" ht="15" customHeight="1" x14ac:dyDescent="0.2">
      <c r="E13834" s="18"/>
      <c r="F13834" s="18"/>
    </row>
    <row r="13835" spans="5:6" ht="15" customHeight="1" x14ac:dyDescent="0.2">
      <c r="E13835" s="18"/>
      <c r="F13835" s="18"/>
    </row>
    <row r="13836" spans="5:6" ht="15" customHeight="1" x14ac:dyDescent="0.2">
      <c r="E13836" s="18"/>
      <c r="F13836" s="18"/>
    </row>
    <row r="13837" spans="5:6" ht="15" customHeight="1" x14ac:dyDescent="0.2">
      <c r="E13837" s="18"/>
      <c r="F13837" s="18"/>
    </row>
    <row r="13838" spans="5:6" ht="15" customHeight="1" x14ac:dyDescent="0.2">
      <c r="E13838" s="18"/>
      <c r="F13838" s="18"/>
    </row>
    <row r="13839" spans="5:6" ht="15" customHeight="1" x14ac:dyDescent="0.2">
      <c r="E13839" s="18"/>
      <c r="F13839" s="18"/>
    </row>
    <row r="13840" spans="5:6" ht="15" customHeight="1" x14ac:dyDescent="0.2">
      <c r="E13840" s="18"/>
      <c r="F13840" s="18"/>
    </row>
    <row r="13841" spans="5:6" ht="15" customHeight="1" x14ac:dyDescent="0.2">
      <c r="E13841" s="18"/>
      <c r="F13841" s="18"/>
    </row>
    <row r="13842" spans="5:6" ht="15" customHeight="1" x14ac:dyDescent="0.2">
      <c r="E13842" s="18"/>
      <c r="F13842" s="18"/>
    </row>
    <row r="13843" spans="5:6" ht="15" customHeight="1" x14ac:dyDescent="0.2">
      <c r="E13843" s="18"/>
      <c r="F13843" s="18"/>
    </row>
    <row r="13844" spans="5:6" ht="15" customHeight="1" x14ac:dyDescent="0.2">
      <c r="E13844" s="18"/>
      <c r="F13844" s="18"/>
    </row>
    <row r="13845" spans="5:6" ht="15" customHeight="1" x14ac:dyDescent="0.2">
      <c r="E13845" s="18"/>
      <c r="F13845" s="18"/>
    </row>
    <row r="13846" spans="5:6" ht="15" customHeight="1" x14ac:dyDescent="0.2">
      <c r="E13846" s="18"/>
      <c r="F13846" s="18"/>
    </row>
    <row r="13847" spans="5:6" ht="15" customHeight="1" x14ac:dyDescent="0.2">
      <c r="E13847" s="18"/>
      <c r="F13847" s="18"/>
    </row>
    <row r="13848" spans="5:6" ht="15" customHeight="1" x14ac:dyDescent="0.2">
      <c r="E13848" s="18"/>
      <c r="F13848" s="18"/>
    </row>
    <row r="13849" spans="5:6" ht="15" customHeight="1" x14ac:dyDescent="0.2">
      <c r="E13849" s="18"/>
      <c r="F13849" s="18"/>
    </row>
    <row r="13850" spans="5:6" ht="15" customHeight="1" x14ac:dyDescent="0.2">
      <c r="E13850" s="18"/>
      <c r="F13850" s="18"/>
    </row>
    <row r="13851" spans="5:6" ht="15" customHeight="1" x14ac:dyDescent="0.2">
      <c r="E13851" s="18"/>
      <c r="F13851" s="18"/>
    </row>
    <row r="13852" spans="5:6" ht="15" customHeight="1" x14ac:dyDescent="0.2">
      <c r="E13852" s="18"/>
      <c r="F13852" s="18"/>
    </row>
    <row r="13853" spans="5:6" ht="15" customHeight="1" x14ac:dyDescent="0.2">
      <c r="E13853" s="18"/>
      <c r="F13853" s="18"/>
    </row>
    <row r="13854" spans="5:6" ht="15" customHeight="1" x14ac:dyDescent="0.2">
      <c r="E13854" s="18"/>
      <c r="F13854" s="18"/>
    </row>
    <row r="13855" spans="5:6" ht="15" customHeight="1" x14ac:dyDescent="0.2">
      <c r="E13855" s="18"/>
      <c r="F13855" s="18"/>
    </row>
    <row r="13856" spans="5:6" ht="15" customHeight="1" x14ac:dyDescent="0.2">
      <c r="E13856" s="18"/>
      <c r="F13856" s="18"/>
    </row>
    <row r="13857" spans="5:6" ht="15" customHeight="1" x14ac:dyDescent="0.2">
      <c r="E13857" s="18"/>
      <c r="F13857" s="18"/>
    </row>
    <row r="13858" spans="5:6" ht="15" customHeight="1" x14ac:dyDescent="0.2">
      <c r="E13858" s="18"/>
      <c r="F13858" s="18"/>
    </row>
    <row r="13859" spans="5:6" ht="15" customHeight="1" x14ac:dyDescent="0.2">
      <c r="E13859" s="18"/>
      <c r="F13859" s="18"/>
    </row>
    <row r="13860" spans="5:6" ht="15" customHeight="1" x14ac:dyDescent="0.2">
      <c r="E13860" s="18"/>
      <c r="F13860" s="18"/>
    </row>
    <row r="13861" spans="5:6" ht="15" customHeight="1" x14ac:dyDescent="0.2">
      <c r="E13861" s="18"/>
      <c r="F13861" s="18"/>
    </row>
    <row r="13862" spans="5:6" ht="15" customHeight="1" x14ac:dyDescent="0.2">
      <c r="E13862" s="18"/>
      <c r="F13862" s="18"/>
    </row>
    <row r="13863" spans="5:6" ht="15" customHeight="1" x14ac:dyDescent="0.2">
      <c r="E13863" s="18"/>
      <c r="F13863" s="18"/>
    </row>
    <row r="13864" spans="5:6" ht="15" customHeight="1" x14ac:dyDescent="0.2">
      <c r="E13864" s="18"/>
      <c r="F13864" s="18"/>
    </row>
    <row r="13865" spans="5:6" ht="15" customHeight="1" x14ac:dyDescent="0.2">
      <c r="E13865" s="18"/>
      <c r="F13865" s="18"/>
    </row>
    <row r="13866" spans="5:6" ht="15" customHeight="1" x14ac:dyDescent="0.2">
      <c r="E13866" s="18"/>
      <c r="F13866" s="18"/>
    </row>
    <row r="13867" spans="5:6" ht="15" customHeight="1" x14ac:dyDescent="0.2">
      <c r="E13867" s="18"/>
      <c r="F13867" s="18"/>
    </row>
    <row r="13868" spans="5:6" ht="15" customHeight="1" x14ac:dyDescent="0.2">
      <c r="E13868" s="18"/>
      <c r="F13868" s="18"/>
    </row>
    <row r="13869" spans="5:6" ht="15" customHeight="1" x14ac:dyDescent="0.2">
      <c r="E13869" s="18"/>
      <c r="F13869" s="18"/>
    </row>
    <row r="13870" spans="5:6" ht="15" customHeight="1" x14ac:dyDescent="0.2">
      <c r="E13870" s="18"/>
      <c r="F13870" s="18"/>
    </row>
    <row r="13871" spans="5:6" ht="15" customHeight="1" x14ac:dyDescent="0.2">
      <c r="E13871" s="18"/>
      <c r="F13871" s="18"/>
    </row>
    <row r="13872" spans="5:6" ht="15" customHeight="1" x14ac:dyDescent="0.2">
      <c r="E13872" s="18"/>
      <c r="F13872" s="18"/>
    </row>
    <row r="13873" spans="5:6" ht="15" customHeight="1" x14ac:dyDescent="0.2">
      <c r="E13873" s="18"/>
      <c r="F13873" s="18"/>
    </row>
    <row r="13874" spans="5:6" ht="15" customHeight="1" x14ac:dyDescent="0.2">
      <c r="E13874" s="18"/>
      <c r="F13874" s="18"/>
    </row>
    <row r="13875" spans="5:6" ht="15" customHeight="1" x14ac:dyDescent="0.2">
      <c r="E13875" s="18"/>
      <c r="F13875" s="18"/>
    </row>
    <row r="13876" spans="5:6" ht="15" customHeight="1" x14ac:dyDescent="0.2">
      <c r="E13876" s="18"/>
      <c r="F13876" s="18"/>
    </row>
    <row r="13877" spans="5:6" ht="15" customHeight="1" x14ac:dyDescent="0.2">
      <c r="E13877" s="18"/>
      <c r="F13877" s="18"/>
    </row>
    <row r="13878" spans="5:6" ht="15" customHeight="1" x14ac:dyDescent="0.2">
      <c r="E13878" s="18"/>
      <c r="F13878" s="18"/>
    </row>
    <row r="13879" spans="5:6" ht="15" customHeight="1" x14ac:dyDescent="0.2">
      <c r="E13879" s="18"/>
      <c r="F13879" s="18"/>
    </row>
    <row r="13880" spans="5:6" ht="15" customHeight="1" x14ac:dyDescent="0.2">
      <c r="E13880" s="18"/>
      <c r="F13880" s="18"/>
    </row>
    <row r="13881" spans="5:6" ht="15" customHeight="1" x14ac:dyDescent="0.2">
      <c r="E13881" s="18"/>
      <c r="F13881" s="18"/>
    </row>
    <row r="13882" spans="5:6" ht="15" customHeight="1" x14ac:dyDescent="0.2">
      <c r="E13882" s="18"/>
      <c r="F13882" s="18"/>
    </row>
    <row r="13883" spans="5:6" ht="15" customHeight="1" x14ac:dyDescent="0.2">
      <c r="E13883" s="18"/>
      <c r="F13883" s="18"/>
    </row>
    <row r="13884" spans="5:6" ht="15" customHeight="1" x14ac:dyDescent="0.2">
      <c r="E13884" s="18"/>
      <c r="F13884" s="18"/>
    </row>
    <row r="13885" spans="5:6" ht="15" customHeight="1" x14ac:dyDescent="0.2">
      <c r="E13885" s="18"/>
      <c r="F13885" s="18"/>
    </row>
    <row r="13886" spans="5:6" ht="15" customHeight="1" x14ac:dyDescent="0.2">
      <c r="E13886" s="18"/>
      <c r="F13886" s="18"/>
    </row>
    <row r="13887" spans="5:6" ht="15" customHeight="1" x14ac:dyDescent="0.2">
      <c r="E13887" s="18"/>
      <c r="F13887" s="18"/>
    </row>
    <row r="13888" spans="5:6" ht="15" customHeight="1" x14ac:dyDescent="0.2">
      <c r="E13888" s="18"/>
      <c r="F13888" s="18"/>
    </row>
    <row r="13889" spans="5:6" ht="15" customHeight="1" x14ac:dyDescent="0.2">
      <c r="E13889" s="18"/>
      <c r="F13889" s="18"/>
    </row>
    <row r="13890" spans="5:6" ht="15" customHeight="1" x14ac:dyDescent="0.2">
      <c r="E13890" s="18"/>
      <c r="F13890" s="18"/>
    </row>
    <row r="13891" spans="5:6" ht="15" customHeight="1" x14ac:dyDescent="0.2">
      <c r="E13891" s="18"/>
      <c r="F13891" s="18"/>
    </row>
    <row r="13892" spans="5:6" ht="15" customHeight="1" x14ac:dyDescent="0.2">
      <c r="E13892" s="18"/>
      <c r="F13892" s="18"/>
    </row>
    <row r="13893" spans="5:6" ht="15" customHeight="1" x14ac:dyDescent="0.2">
      <c r="E13893" s="18"/>
      <c r="F13893" s="18"/>
    </row>
    <row r="13894" spans="5:6" ht="15" customHeight="1" x14ac:dyDescent="0.2">
      <c r="E13894" s="18"/>
      <c r="F13894" s="18"/>
    </row>
    <row r="13895" spans="5:6" ht="15" customHeight="1" x14ac:dyDescent="0.2">
      <c r="E13895" s="18"/>
      <c r="F13895" s="18"/>
    </row>
    <row r="13896" spans="5:6" ht="15" customHeight="1" x14ac:dyDescent="0.2">
      <c r="E13896" s="18"/>
      <c r="F13896" s="18"/>
    </row>
    <row r="13897" spans="5:6" ht="15" customHeight="1" x14ac:dyDescent="0.2">
      <c r="E13897" s="18"/>
      <c r="F13897" s="18"/>
    </row>
    <row r="13898" spans="5:6" ht="15" customHeight="1" x14ac:dyDescent="0.2">
      <c r="E13898" s="18"/>
      <c r="F13898" s="18"/>
    </row>
    <row r="13899" spans="5:6" ht="15" customHeight="1" x14ac:dyDescent="0.2">
      <c r="E13899" s="18"/>
      <c r="F13899" s="18"/>
    </row>
    <row r="13900" spans="5:6" ht="15" customHeight="1" x14ac:dyDescent="0.2">
      <c r="E13900" s="18"/>
      <c r="F13900" s="18"/>
    </row>
    <row r="13901" spans="5:6" ht="15" customHeight="1" x14ac:dyDescent="0.2">
      <c r="E13901" s="18"/>
      <c r="F13901" s="18"/>
    </row>
    <row r="13902" spans="5:6" ht="15" customHeight="1" x14ac:dyDescent="0.2">
      <c r="E13902" s="18"/>
      <c r="F13902" s="18"/>
    </row>
    <row r="13903" spans="5:6" ht="15" customHeight="1" x14ac:dyDescent="0.2">
      <c r="E13903" s="18"/>
      <c r="F13903" s="18"/>
    </row>
    <row r="13904" spans="5:6" ht="15" customHeight="1" x14ac:dyDescent="0.2">
      <c r="E13904" s="18"/>
      <c r="F13904" s="18"/>
    </row>
    <row r="13905" spans="5:6" ht="15" customHeight="1" x14ac:dyDescent="0.2">
      <c r="E13905" s="18"/>
      <c r="F13905" s="18"/>
    </row>
    <row r="13906" spans="5:6" ht="15" customHeight="1" x14ac:dyDescent="0.2">
      <c r="E13906" s="18"/>
      <c r="F13906" s="18"/>
    </row>
    <row r="13907" spans="5:6" ht="15" customHeight="1" x14ac:dyDescent="0.2">
      <c r="E13907" s="18"/>
      <c r="F13907" s="18"/>
    </row>
    <row r="13908" spans="5:6" ht="15" customHeight="1" x14ac:dyDescent="0.2">
      <c r="E13908" s="18"/>
      <c r="F13908" s="18"/>
    </row>
    <row r="13909" spans="5:6" ht="15" customHeight="1" x14ac:dyDescent="0.2">
      <c r="E13909" s="18"/>
      <c r="F13909" s="18"/>
    </row>
    <row r="13910" spans="5:6" ht="15" customHeight="1" x14ac:dyDescent="0.2">
      <c r="E13910" s="18"/>
      <c r="F13910" s="18"/>
    </row>
    <row r="13911" spans="5:6" ht="15" customHeight="1" x14ac:dyDescent="0.2">
      <c r="E13911" s="18"/>
      <c r="F13911" s="18"/>
    </row>
    <row r="13912" spans="5:6" ht="15" customHeight="1" x14ac:dyDescent="0.2">
      <c r="E13912" s="18"/>
      <c r="F13912" s="18"/>
    </row>
    <row r="13913" spans="5:6" ht="15" customHeight="1" x14ac:dyDescent="0.2">
      <c r="E13913" s="18"/>
      <c r="F13913" s="18"/>
    </row>
    <row r="13914" spans="5:6" ht="15" customHeight="1" x14ac:dyDescent="0.2">
      <c r="E13914" s="18"/>
      <c r="F13914" s="18"/>
    </row>
    <row r="13915" spans="5:6" ht="15" customHeight="1" x14ac:dyDescent="0.2">
      <c r="E13915" s="18"/>
      <c r="F13915" s="18"/>
    </row>
    <row r="13916" spans="5:6" ht="15" customHeight="1" x14ac:dyDescent="0.2">
      <c r="E13916" s="18"/>
      <c r="F13916" s="18"/>
    </row>
    <row r="13917" spans="5:6" ht="15" customHeight="1" x14ac:dyDescent="0.2">
      <c r="E13917" s="18"/>
      <c r="F13917" s="18"/>
    </row>
    <row r="13918" spans="5:6" ht="15" customHeight="1" x14ac:dyDescent="0.2">
      <c r="E13918" s="18"/>
      <c r="F13918" s="18"/>
    </row>
    <row r="13919" spans="5:6" ht="15" customHeight="1" x14ac:dyDescent="0.2">
      <c r="E13919" s="18"/>
      <c r="F13919" s="18"/>
    </row>
    <row r="13920" spans="5:6" ht="15" customHeight="1" x14ac:dyDescent="0.2">
      <c r="E13920" s="18"/>
      <c r="F13920" s="18"/>
    </row>
    <row r="13921" spans="5:6" ht="15" customHeight="1" x14ac:dyDescent="0.2">
      <c r="E13921" s="18"/>
      <c r="F13921" s="18"/>
    </row>
    <row r="13922" spans="5:6" ht="15" customHeight="1" x14ac:dyDescent="0.2">
      <c r="E13922" s="18"/>
      <c r="F13922" s="18"/>
    </row>
    <row r="13923" spans="5:6" ht="15" customHeight="1" x14ac:dyDescent="0.2">
      <c r="E13923" s="18"/>
      <c r="F13923" s="18"/>
    </row>
    <row r="13924" spans="5:6" ht="15" customHeight="1" x14ac:dyDescent="0.2">
      <c r="E13924" s="18"/>
      <c r="F13924" s="18"/>
    </row>
    <row r="13925" spans="5:6" ht="15" customHeight="1" x14ac:dyDescent="0.2">
      <c r="E13925" s="18"/>
      <c r="F13925" s="18"/>
    </row>
    <row r="13926" spans="5:6" ht="15" customHeight="1" x14ac:dyDescent="0.2">
      <c r="E13926" s="18"/>
      <c r="F13926" s="18"/>
    </row>
    <row r="13927" spans="5:6" ht="15" customHeight="1" x14ac:dyDescent="0.2">
      <c r="E13927" s="18"/>
      <c r="F13927" s="18"/>
    </row>
    <row r="13928" spans="5:6" ht="15" customHeight="1" x14ac:dyDescent="0.2">
      <c r="E13928" s="18"/>
      <c r="F13928" s="18"/>
    </row>
    <row r="13929" spans="5:6" ht="15" customHeight="1" x14ac:dyDescent="0.2">
      <c r="E13929" s="18"/>
      <c r="F13929" s="18"/>
    </row>
    <row r="13930" spans="5:6" ht="15" customHeight="1" x14ac:dyDescent="0.2">
      <c r="E13930" s="18"/>
      <c r="F13930" s="18"/>
    </row>
    <row r="13931" spans="5:6" ht="15" customHeight="1" x14ac:dyDescent="0.2">
      <c r="E13931" s="18"/>
      <c r="F13931" s="18"/>
    </row>
    <row r="13932" spans="5:6" ht="15" customHeight="1" x14ac:dyDescent="0.2">
      <c r="E13932" s="18"/>
      <c r="F13932" s="18"/>
    </row>
    <row r="13933" spans="5:6" ht="15" customHeight="1" x14ac:dyDescent="0.2">
      <c r="E13933" s="18"/>
      <c r="F13933" s="18"/>
    </row>
    <row r="13934" spans="5:6" ht="15" customHeight="1" x14ac:dyDescent="0.2">
      <c r="E13934" s="18"/>
      <c r="F13934" s="18"/>
    </row>
    <row r="13935" spans="5:6" ht="15" customHeight="1" x14ac:dyDescent="0.2">
      <c r="E13935" s="18"/>
      <c r="F13935" s="18"/>
    </row>
    <row r="13936" spans="5:6" ht="15" customHeight="1" x14ac:dyDescent="0.2">
      <c r="E13936" s="18"/>
      <c r="F13936" s="18"/>
    </row>
    <row r="13937" spans="5:6" ht="15" customHeight="1" x14ac:dyDescent="0.2">
      <c r="E13937" s="18"/>
      <c r="F13937" s="18"/>
    </row>
    <row r="13938" spans="5:6" ht="15" customHeight="1" x14ac:dyDescent="0.2">
      <c r="E13938" s="18"/>
      <c r="F13938" s="18"/>
    </row>
    <row r="13939" spans="5:6" ht="15" customHeight="1" x14ac:dyDescent="0.2">
      <c r="E13939" s="18"/>
      <c r="F13939" s="18"/>
    </row>
    <row r="13940" spans="5:6" ht="15" customHeight="1" x14ac:dyDescent="0.2">
      <c r="E13940" s="18"/>
      <c r="F13940" s="18"/>
    </row>
    <row r="13941" spans="5:6" ht="15" customHeight="1" x14ac:dyDescent="0.2">
      <c r="E13941" s="18"/>
      <c r="F13941" s="18"/>
    </row>
    <row r="13942" spans="5:6" ht="15" customHeight="1" x14ac:dyDescent="0.2">
      <c r="E13942" s="18"/>
      <c r="F13942" s="18"/>
    </row>
    <row r="13943" spans="5:6" ht="15" customHeight="1" x14ac:dyDescent="0.2">
      <c r="E13943" s="18"/>
      <c r="F13943" s="18"/>
    </row>
    <row r="13944" spans="5:6" ht="15" customHeight="1" x14ac:dyDescent="0.2">
      <c r="E13944" s="18"/>
      <c r="F13944" s="18"/>
    </row>
    <row r="13945" spans="5:6" ht="15" customHeight="1" x14ac:dyDescent="0.2">
      <c r="E13945" s="18"/>
      <c r="F13945" s="18"/>
    </row>
    <row r="13946" spans="5:6" ht="15" customHeight="1" x14ac:dyDescent="0.2">
      <c r="E13946" s="18"/>
      <c r="F13946" s="18"/>
    </row>
    <row r="13947" spans="5:6" ht="15" customHeight="1" x14ac:dyDescent="0.2">
      <c r="E13947" s="18"/>
      <c r="F13947" s="18"/>
    </row>
    <row r="13948" spans="5:6" ht="15" customHeight="1" x14ac:dyDescent="0.2">
      <c r="E13948" s="18"/>
      <c r="F13948" s="18"/>
    </row>
    <row r="13949" spans="5:6" ht="15" customHeight="1" x14ac:dyDescent="0.2">
      <c r="E13949" s="18"/>
      <c r="F13949" s="18"/>
    </row>
    <row r="13950" spans="5:6" ht="15" customHeight="1" x14ac:dyDescent="0.2">
      <c r="E13950" s="18"/>
      <c r="F13950" s="18"/>
    </row>
    <row r="13951" spans="5:6" ht="15" customHeight="1" x14ac:dyDescent="0.2">
      <c r="E13951" s="18"/>
      <c r="F13951" s="18"/>
    </row>
    <row r="13952" spans="5:6" ht="15" customHeight="1" x14ac:dyDescent="0.2">
      <c r="E13952" s="18"/>
      <c r="F13952" s="18"/>
    </row>
    <row r="13953" spans="5:6" ht="15" customHeight="1" x14ac:dyDescent="0.2">
      <c r="E13953" s="18"/>
      <c r="F13953" s="18"/>
    </row>
    <row r="13954" spans="5:6" ht="15" customHeight="1" x14ac:dyDescent="0.2">
      <c r="E13954" s="18"/>
      <c r="F13954" s="18"/>
    </row>
    <row r="13955" spans="5:6" ht="15" customHeight="1" x14ac:dyDescent="0.2">
      <c r="E13955" s="18"/>
      <c r="F13955" s="18"/>
    </row>
    <row r="13956" spans="5:6" ht="15" customHeight="1" x14ac:dyDescent="0.2">
      <c r="E13956" s="18"/>
      <c r="F13956" s="18"/>
    </row>
    <row r="13957" spans="5:6" ht="15" customHeight="1" x14ac:dyDescent="0.2">
      <c r="E13957" s="18"/>
      <c r="F13957" s="18"/>
    </row>
    <row r="13958" spans="5:6" ht="15" customHeight="1" x14ac:dyDescent="0.2">
      <c r="E13958" s="18"/>
      <c r="F13958" s="18"/>
    </row>
    <row r="13959" spans="5:6" ht="15" customHeight="1" x14ac:dyDescent="0.2">
      <c r="E13959" s="18"/>
      <c r="F13959" s="18"/>
    </row>
    <row r="13960" spans="5:6" ht="15" customHeight="1" x14ac:dyDescent="0.2">
      <c r="E13960" s="18"/>
      <c r="F13960" s="18"/>
    </row>
    <row r="13961" spans="5:6" ht="15" customHeight="1" x14ac:dyDescent="0.2">
      <c r="E13961" s="18"/>
      <c r="F13961" s="18"/>
    </row>
    <row r="13962" spans="5:6" ht="15" customHeight="1" x14ac:dyDescent="0.2">
      <c r="E13962" s="18"/>
      <c r="F13962" s="18"/>
    </row>
    <row r="13963" spans="5:6" ht="15" customHeight="1" x14ac:dyDescent="0.2">
      <c r="E13963" s="18"/>
      <c r="F13963" s="18"/>
    </row>
    <row r="13964" spans="5:6" ht="15" customHeight="1" x14ac:dyDescent="0.2">
      <c r="E13964" s="18"/>
      <c r="F13964" s="18"/>
    </row>
    <row r="13965" spans="5:6" ht="15" customHeight="1" x14ac:dyDescent="0.2">
      <c r="E13965" s="18"/>
      <c r="F13965" s="18"/>
    </row>
    <row r="13966" spans="5:6" ht="15" customHeight="1" x14ac:dyDescent="0.2">
      <c r="E13966" s="18"/>
      <c r="F13966" s="18"/>
    </row>
    <row r="13967" spans="5:6" ht="15" customHeight="1" x14ac:dyDescent="0.2">
      <c r="E13967" s="18"/>
      <c r="F13967" s="18"/>
    </row>
    <row r="13968" spans="5:6" ht="15" customHeight="1" x14ac:dyDescent="0.2">
      <c r="E13968" s="18"/>
      <c r="F13968" s="18"/>
    </row>
    <row r="13969" spans="5:6" ht="15" customHeight="1" x14ac:dyDescent="0.2">
      <c r="E13969" s="18"/>
      <c r="F13969" s="18"/>
    </row>
    <row r="13970" spans="5:6" ht="15" customHeight="1" x14ac:dyDescent="0.2">
      <c r="E13970" s="18"/>
      <c r="F13970" s="18"/>
    </row>
    <row r="13971" spans="5:6" ht="15" customHeight="1" x14ac:dyDescent="0.2">
      <c r="E13971" s="18"/>
      <c r="F13971" s="18"/>
    </row>
    <row r="13972" spans="5:6" ht="15" customHeight="1" x14ac:dyDescent="0.2">
      <c r="E13972" s="18"/>
      <c r="F13972" s="18"/>
    </row>
    <row r="13973" spans="5:6" ht="15" customHeight="1" x14ac:dyDescent="0.2">
      <c r="E13973" s="18"/>
      <c r="F13973" s="18"/>
    </row>
    <row r="13974" spans="5:6" ht="15" customHeight="1" x14ac:dyDescent="0.2">
      <c r="E13974" s="18"/>
      <c r="F13974" s="18"/>
    </row>
    <row r="13975" spans="5:6" ht="15" customHeight="1" x14ac:dyDescent="0.2">
      <c r="E13975" s="18"/>
      <c r="F13975" s="18"/>
    </row>
    <row r="13976" spans="5:6" ht="15" customHeight="1" x14ac:dyDescent="0.2">
      <c r="E13976" s="18"/>
      <c r="F13976" s="18"/>
    </row>
    <row r="13977" spans="5:6" ht="15" customHeight="1" x14ac:dyDescent="0.2">
      <c r="E13977" s="18"/>
      <c r="F13977" s="18"/>
    </row>
    <row r="13978" spans="5:6" ht="15" customHeight="1" x14ac:dyDescent="0.2">
      <c r="E13978" s="18"/>
      <c r="F13978" s="18"/>
    </row>
    <row r="13979" spans="5:6" ht="15" customHeight="1" x14ac:dyDescent="0.2">
      <c r="E13979" s="18"/>
      <c r="F13979" s="18"/>
    </row>
    <row r="13980" spans="5:6" ht="15" customHeight="1" x14ac:dyDescent="0.2">
      <c r="E13980" s="18"/>
      <c r="F13980" s="18"/>
    </row>
    <row r="13981" spans="5:6" ht="15" customHeight="1" x14ac:dyDescent="0.2">
      <c r="E13981" s="18"/>
      <c r="F13981" s="18"/>
    </row>
    <row r="13982" spans="5:6" ht="15" customHeight="1" x14ac:dyDescent="0.2">
      <c r="E13982" s="18"/>
      <c r="F13982" s="18"/>
    </row>
    <row r="13983" spans="5:6" ht="15" customHeight="1" x14ac:dyDescent="0.2">
      <c r="E13983" s="18"/>
      <c r="F13983" s="18"/>
    </row>
    <row r="13984" spans="5:6" ht="15" customHeight="1" x14ac:dyDescent="0.2">
      <c r="E13984" s="18"/>
      <c r="F13984" s="18"/>
    </row>
    <row r="13985" spans="5:6" ht="15" customHeight="1" x14ac:dyDescent="0.2">
      <c r="E13985" s="18"/>
      <c r="F13985" s="18"/>
    </row>
    <row r="13986" spans="5:6" ht="15" customHeight="1" x14ac:dyDescent="0.2">
      <c r="E13986" s="18"/>
      <c r="F13986" s="18"/>
    </row>
    <row r="13987" spans="5:6" ht="15" customHeight="1" x14ac:dyDescent="0.2">
      <c r="E13987" s="18"/>
      <c r="F13987" s="18"/>
    </row>
    <row r="13988" spans="5:6" ht="15" customHeight="1" x14ac:dyDescent="0.2">
      <c r="E13988" s="18"/>
      <c r="F13988" s="18"/>
    </row>
    <row r="13989" spans="5:6" ht="15" customHeight="1" x14ac:dyDescent="0.2">
      <c r="E13989" s="18"/>
      <c r="F13989" s="18"/>
    </row>
    <row r="13990" spans="5:6" ht="15" customHeight="1" x14ac:dyDescent="0.2">
      <c r="E13990" s="18"/>
      <c r="F13990" s="18"/>
    </row>
    <row r="13991" spans="5:6" ht="15" customHeight="1" x14ac:dyDescent="0.2">
      <c r="E13991" s="18"/>
      <c r="F13991" s="18"/>
    </row>
    <row r="13992" spans="5:6" ht="15" customHeight="1" x14ac:dyDescent="0.2">
      <c r="E13992" s="18"/>
      <c r="F13992" s="18"/>
    </row>
    <row r="13993" spans="5:6" ht="15" customHeight="1" x14ac:dyDescent="0.2">
      <c r="E13993" s="18"/>
      <c r="F13993" s="18"/>
    </row>
    <row r="13994" spans="5:6" ht="15" customHeight="1" x14ac:dyDescent="0.2">
      <c r="E13994" s="18"/>
      <c r="F13994" s="18"/>
    </row>
    <row r="13995" spans="5:6" ht="15" customHeight="1" x14ac:dyDescent="0.2">
      <c r="E13995" s="18"/>
      <c r="F13995" s="18"/>
    </row>
    <row r="13996" spans="5:6" ht="15" customHeight="1" x14ac:dyDescent="0.2">
      <c r="E13996" s="18"/>
      <c r="F13996" s="18"/>
    </row>
    <row r="13997" spans="5:6" ht="15" customHeight="1" x14ac:dyDescent="0.2">
      <c r="E13997" s="18"/>
      <c r="F13997" s="18"/>
    </row>
    <row r="13998" spans="5:6" ht="15" customHeight="1" x14ac:dyDescent="0.2">
      <c r="E13998" s="18"/>
      <c r="F13998" s="18"/>
    </row>
    <row r="13999" spans="5:6" ht="15" customHeight="1" x14ac:dyDescent="0.2">
      <c r="E13999" s="18"/>
      <c r="F13999" s="18"/>
    </row>
    <row r="14000" spans="5:6" ht="15" customHeight="1" x14ac:dyDescent="0.2">
      <c r="E14000" s="18"/>
      <c r="F14000" s="18"/>
    </row>
    <row r="14001" spans="5:6" ht="15" customHeight="1" x14ac:dyDescent="0.2">
      <c r="E14001" s="18"/>
      <c r="F14001" s="18"/>
    </row>
    <row r="14002" spans="5:6" ht="15" customHeight="1" x14ac:dyDescent="0.2">
      <c r="E14002" s="18"/>
      <c r="F14002" s="18"/>
    </row>
    <row r="14003" spans="5:6" ht="15" customHeight="1" x14ac:dyDescent="0.2">
      <c r="E14003" s="18"/>
      <c r="F14003" s="18"/>
    </row>
    <row r="14004" spans="5:6" ht="15" customHeight="1" x14ac:dyDescent="0.2">
      <c r="E14004" s="18"/>
      <c r="F14004" s="18"/>
    </row>
    <row r="14005" spans="5:6" ht="15" customHeight="1" x14ac:dyDescent="0.2">
      <c r="E14005" s="18"/>
      <c r="F14005" s="18"/>
    </row>
    <row r="14006" spans="5:6" ht="15" customHeight="1" x14ac:dyDescent="0.2">
      <c r="E14006" s="18"/>
      <c r="F14006" s="18"/>
    </row>
    <row r="14007" spans="5:6" ht="15" customHeight="1" x14ac:dyDescent="0.2">
      <c r="E14007" s="18"/>
      <c r="F14007" s="18"/>
    </row>
    <row r="14008" spans="5:6" ht="15" customHeight="1" x14ac:dyDescent="0.2">
      <c r="E14008" s="18"/>
      <c r="F14008" s="18"/>
    </row>
    <row r="14009" spans="5:6" ht="15" customHeight="1" x14ac:dyDescent="0.2">
      <c r="E14009" s="18"/>
      <c r="F14009" s="18"/>
    </row>
    <row r="14010" spans="5:6" ht="15" customHeight="1" x14ac:dyDescent="0.2">
      <c r="E14010" s="18"/>
      <c r="F14010" s="18"/>
    </row>
    <row r="14011" spans="5:6" ht="15" customHeight="1" x14ac:dyDescent="0.2">
      <c r="E14011" s="18"/>
      <c r="F14011" s="18"/>
    </row>
    <row r="14012" spans="5:6" ht="15" customHeight="1" x14ac:dyDescent="0.2">
      <c r="E14012" s="18"/>
      <c r="F14012" s="18"/>
    </row>
    <row r="14013" spans="5:6" ht="15" customHeight="1" x14ac:dyDescent="0.2">
      <c r="E14013" s="18"/>
      <c r="F14013" s="18"/>
    </row>
    <row r="14014" spans="5:6" ht="15" customHeight="1" x14ac:dyDescent="0.2">
      <c r="E14014" s="18"/>
      <c r="F14014" s="18"/>
    </row>
    <row r="14015" spans="5:6" ht="15" customHeight="1" x14ac:dyDescent="0.2">
      <c r="E14015" s="18"/>
      <c r="F14015" s="18"/>
    </row>
    <row r="14016" spans="5:6" ht="15" customHeight="1" x14ac:dyDescent="0.2">
      <c r="E14016" s="18"/>
      <c r="F14016" s="18"/>
    </row>
    <row r="14017" spans="5:6" ht="15" customHeight="1" x14ac:dyDescent="0.2">
      <c r="E14017" s="18"/>
      <c r="F14017" s="18"/>
    </row>
    <row r="14018" spans="5:6" ht="15" customHeight="1" x14ac:dyDescent="0.2">
      <c r="E14018" s="18"/>
      <c r="F14018" s="18"/>
    </row>
    <row r="14019" spans="5:6" ht="15" customHeight="1" x14ac:dyDescent="0.2">
      <c r="E14019" s="18"/>
      <c r="F14019" s="18"/>
    </row>
    <row r="14020" spans="5:6" ht="15" customHeight="1" x14ac:dyDescent="0.2">
      <c r="E14020" s="18"/>
      <c r="F14020" s="18"/>
    </row>
    <row r="14021" spans="5:6" ht="15" customHeight="1" x14ac:dyDescent="0.2">
      <c r="E14021" s="18"/>
      <c r="F14021" s="18"/>
    </row>
    <row r="14022" spans="5:6" ht="15" customHeight="1" x14ac:dyDescent="0.2">
      <c r="E14022" s="18"/>
      <c r="F14022" s="18"/>
    </row>
    <row r="14023" spans="5:6" ht="15" customHeight="1" x14ac:dyDescent="0.2">
      <c r="E14023" s="18"/>
      <c r="F14023" s="18"/>
    </row>
    <row r="14024" spans="5:6" ht="15" customHeight="1" x14ac:dyDescent="0.2">
      <c r="E14024" s="18"/>
      <c r="F14024" s="18"/>
    </row>
    <row r="14025" spans="5:6" ht="15" customHeight="1" x14ac:dyDescent="0.2">
      <c r="E14025" s="18"/>
      <c r="F14025" s="18"/>
    </row>
    <row r="14026" spans="5:6" ht="15" customHeight="1" x14ac:dyDescent="0.2">
      <c r="E14026" s="18"/>
      <c r="F14026" s="18"/>
    </row>
    <row r="14027" spans="5:6" ht="15" customHeight="1" x14ac:dyDescent="0.2">
      <c r="E14027" s="18"/>
      <c r="F14027" s="18"/>
    </row>
    <row r="14028" spans="5:6" ht="15" customHeight="1" x14ac:dyDescent="0.2">
      <c r="E14028" s="18"/>
      <c r="F14028" s="18"/>
    </row>
    <row r="14029" spans="5:6" ht="15" customHeight="1" x14ac:dyDescent="0.2">
      <c r="E14029" s="18"/>
      <c r="F14029" s="18"/>
    </row>
    <row r="14030" spans="5:6" ht="15" customHeight="1" x14ac:dyDescent="0.2">
      <c r="E14030" s="18"/>
      <c r="F14030" s="18"/>
    </row>
    <row r="14031" spans="5:6" ht="15" customHeight="1" x14ac:dyDescent="0.2">
      <c r="E14031" s="18"/>
      <c r="F14031" s="18"/>
    </row>
    <row r="14032" spans="5:6" ht="15" customHeight="1" x14ac:dyDescent="0.2">
      <c r="E14032" s="18"/>
      <c r="F14032" s="18"/>
    </row>
    <row r="14033" spans="5:6" ht="15" customHeight="1" x14ac:dyDescent="0.2">
      <c r="E14033" s="18"/>
      <c r="F14033" s="18"/>
    </row>
    <row r="14034" spans="5:6" ht="15" customHeight="1" x14ac:dyDescent="0.2">
      <c r="E14034" s="18"/>
      <c r="F14034" s="18"/>
    </row>
    <row r="14035" spans="5:6" ht="15" customHeight="1" x14ac:dyDescent="0.2">
      <c r="E14035" s="18"/>
      <c r="F14035" s="18"/>
    </row>
    <row r="14036" spans="5:6" ht="15" customHeight="1" x14ac:dyDescent="0.2">
      <c r="E14036" s="18"/>
      <c r="F14036" s="18"/>
    </row>
    <row r="14037" spans="5:6" ht="15" customHeight="1" x14ac:dyDescent="0.2">
      <c r="E14037" s="18"/>
      <c r="F14037" s="18"/>
    </row>
    <row r="14038" spans="5:6" ht="15" customHeight="1" x14ac:dyDescent="0.2">
      <c r="E14038" s="18"/>
      <c r="F14038" s="18"/>
    </row>
    <row r="14039" spans="5:6" ht="15" customHeight="1" x14ac:dyDescent="0.2">
      <c r="E14039" s="18"/>
      <c r="F14039" s="18"/>
    </row>
    <row r="14040" spans="5:6" ht="15" customHeight="1" x14ac:dyDescent="0.2">
      <c r="E14040" s="18"/>
      <c r="F14040" s="18"/>
    </row>
    <row r="14041" spans="5:6" ht="15" customHeight="1" x14ac:dyDescent="0.2">
      <c r="E14041" s="18"/>
      <c r="F14041" s="18"/>
    </row>
    <row r="14042" spans="5:6" ht="15" customHeight="1" x14ac:dyDescent="0.2">
      <c r="E14042" s="18"/>
      <c r="F14042" s="18"/>
    </row>
    <row r="14043" spans="5:6" ht="15" customHeight="1" x14ac:dyDescent="0.2">
      <c r="E14043" s="18"/>
      <c r="F14043" s="18"/>
    </row>
    <row r="14044" spans="5:6" ht="15" customHeight="1" x14ac:dyDescent="0.2">
      <c r="E14044" s="18"/>
      <c r="F14044" s="18"/>
    </row>
    <row r="14045" spans="5:6" ht="15" customHeight="1" x14ac:dyDescent="0.2">
      <c r="E14045" s="18"/>
      <c r="F14045" s="18"/>
    </row>
    <row r="14046" spans="5:6" ht="15" customHeight="1" x14ac:dyDescent="0.2">
      <c r="E14046" s="18"/>
      <c r="F14046" s="18"/>
    </row>
    <row r="14047" spans="5:6" ht="15" customHeight="1" x14ac:dyDescent="0.2">
      <c r="E14047" s="18"/>
      <c r="F14047" s="18"/>
    </row>
    <row r="14048" spans="5:6" ht="15" customHeight="1" x14ac:dyDescent="0.2">
      <c r="E14048" s="18"/>
      <c r="F14048" s="18"/>
    </row>
    <row r="14049" spans="5:6" ht="15" customHeight="1" x14ac:dyDescent="0.2">
      <c r="E14049" s="18"/>
      <c r="F14049" s="18"/>
    </row>
    <row r="14050" spans="5:6" ht="15" customHeight="1" x14ac:dyDescent="0.2">
      <c r="E14050" s="18"/>
      <c r="F14050" s="18"/>
    </row>
    <row r="14051" spans="5:6" ht="15" customHeight="1" x14ac:dyDescent="0.2">
      <c r="E14051" s="18"/>
      <c r="F14051" s="18"/>
    </row>
    <row r="14052" spans="5:6" ht="15" customHeight="1" x14ac:dyDescent="0.2">
      <c r="E14052" s="18"/>
      <c r="F14052" s="18"/>
    </row>
    <row r="14053" spans="5:6" ht="15" customHeight="1" x14ac:dyDescent="0.2">
      <c r="E14053" s="18"/>
      <c r="F14053" s="18"/>
    </row>
    <row r="14054" spans="5:6" ht="15" customHeight="1" x14ac:dyDescent="0.2">
      <c r="E14054" s="18"/>
      <c r="F14054" s="18"/>
    </row>
    <row r="14055" spans="5:6" ht="15" customHeight="1" x14ac:dyDescent="0.2">
      <c r="E14055" s="18"/>
      <c r="F14055" s="18"/>
    </row>
    <row r="14056" spans="5:6" ht="15" customHeight="1" x14ac:dyDescent="0.2">
      <c r="E14056" s="18"/>
      <c r="F14056" s="18"/>
    </row>
    <row r="14057" spans="5:6" ht="15" customHeight="1" x14ac:dyDescent="0.2">
      <c r="E14057" s="18"/>
      <c r="F14057" s="18"/>
    </row>
    <row r="14058" spans="5:6" ht="15" customHeight="1" x14ac:dyDescent="0.2">
      <c r="E14058" s="18"/>
      <c r="F14058" s="18"/>
    </row>
    <row r="14059" spans="5:6" ht="15" customHeight="1" x14ac:dyDescent="0.2">
      <c r="E14059" s="18"/>
      <c r="F14059" s="18"/>
    </row>
    <row r="14060" spans="5:6" ht="15" customHeight="1" x14ac:dyDescent="0.2">
      <c r="E14060" s="18"/>
      <c r="F14060" s="18"/>
    </row>
    <row r="14061" spans="5:6" ht="15" customHeight="1" x14ac:dyDescent="0.2">
      <c r="E14061" s="18"/>
      <c r="F14061" s="18"/>
    </row>
    <row r="14062" spans="5:6" ht="15" customHeight="1" x14ac:dyDescent="0.2">
      <c r="E14062" s="18"/>
      <c r="F14062" s="18"/>
    </row>
    <row r="14063" spans="5:6" ht="15" customHeight="1" x14ac:dyDescent="0.2">
      <c r="E14063" s="18"/>
      <c r="F14063" s="18"/>
    </row>
    <row r="14064" spans="5:6" ht="15" customHeight="1" x14ac:dyDescent="0.2">
      <c r="E14064" s="18"/>
      <c r="F14064" s="18"/>
    </row>
    <row r="14065" spans="5:6" ht="15" customHeight="1" x14ac:dyDescent="0.2">
      <c r="E14065" s="18"/>
      <c r="F14065" s="18"/>
    </row>
    <row r="14066" spans="5:6" ht="15" customHeight="1" x14ac:dyDescent="0.2">
      <c r="E14066" s="18"/>
      <c r="F14066" s="18"/>
    </row>
    <row r="14067" spans="5:6" ht="15" customHeight="1" x14ac:dyDescent="0.2">
      <c r="E14067" s="18"/>
      <c r="F14067" s="18"/>
    </row>
    <row r="14068" spans="5:6" ht="15" customHeight="1" x14ac:dyDescent="0.2">
      <c r="E14068" s="18"/>
      <c r="F14068" s="18"/>
    </row>
    <row r="14069" spans="5:6" ht="15" customHeight="1" x14ac:dyDescent="0.2">
      <c r="E14069" s="18"/>
      <c r="F14069" s="18"/>
    </row>
    <row r="14070" spans="5:6" ht="15" customHeight="1" x14ac:dyDescent="0.2">
      <c r="E14070" s="18"/>
      <c r="F14070" s="18"/>
    </row>
    <row r="14071" spans="5:6" ht="15" customHeight="1" x14ac:dyDescent="0.2">
      <c r="E14071" s="18"/>
      <c r="F14071" s="18"/>
    </row>
    <row r="14072" spans="5:6" ht="15" customHeight="1" x14ac:dyDescent="0.2">
      <c r="E14072" s="18"/>
      <c r="F14072" s="18"/>
    </row>
    <row r="14073" spans="5:6" ht="15" customHeight="1" x14ac:dyDescent="0.2">
      <c r="E14073" s="18"/>
      <c r="F14073" s="18"/>
    </row>
    <row r="14074" spans="5:6" ht="15" customHeight="1" x14ac:dyDescent="0.2">
      <c r="E14074" s="18"/>
      <c r="F14074" s="18"/>
    </row>
    <row r="14075" spans="5:6" ht="15" customHeight="1" x14ac:dyDescent="0.2">
      <c r="E14075" s="18"/>
      <c r="F14075" s="18"/>
    </row>
    <row r="14076" spans="5:6" ht="15" customHeight="1" x14ac:dyDescent="0.2">
      <c r="E14076" s="18"/>
      <c r="F14076" s="18"/>
    </row>
    <row r="14077" spans="5:6" ht="15" customHeight="1" x14ac:dyDescent="0.2">
      <c r="E14077" s="18"/>
      <c r="F14077" s="18"/>
    </row>
    <row r="14078" spans="5:6" ht="15" customHeight="1" x14ac:dyDescent="0.2">
      <c r="E14078" s="18"/>
      <c r="F14078" s="18"/>
    </row>
    <row r="14079" spans="5:6" ht="15" customHeight="1" x14ac:dyDescent="0.2">
      <c r="E14079" s="18"/>
      <c r="F14079" s="18"/>
    </row>
    <row r="14080" spans="5:6" ht="15" customHeight="1" x14ac:dyDescent="0.2">
      <c r="E14080" s="18"/>
      <c r="F14080" s="18"/>
    </row>
    <row r="14081" spans="5:6" ht="15" customHeight="1" x14ac:dyDescent="0.2">
      <c r="E14081" s="18"/>
      <c r="F14081" s="18"/>
    </row>
    <row r="14082" spans="5:6" ht="15" customHeight="1" x14ac:dyDescent="0.2">
      <c r="E14082" s="18"/>
      <c r="F14082" s="18"/>
    </row>
    <row r="14083" spans="5:6" ht="15" customHeight="1" x14ac:dyDescent="0.2">
      <c r="E14083" s="18"/>
      <c r="F14083" s="18"/>
    </row>
    <row r="14084" spans="5:6" ht="15" customHeight="1" x14ac:dyDescent="0.2">
      <c r="E14084" s="18"/>
      <c r="F14084" s="18"/>
    </row>
    <row r="14085" spans="5:6" ht="15" customHeight="1" x14ac:dyDescent="0.2">
      <c r="E14085" s="18"/>
      <c r="F14085" s="18"/>
    </row>
    <row r="14086" spans="5:6" ht="15" customHeight="1" x14ac:dyDescent="0.2">
      <c r="E14086" s="18"/>
      <c r="F14086" s="18"/>
    </row>
    <row r="14087" spans="5:6" ht="15" customHeight="1" x14ac:dyDescent="0.2">
      <c r="E14087" s="18"/>
      <c r="F14087" s="18"/>
    </row>
    <row r="14088" spans="5:6" ht="15" customHeight="1" x14ac:dyDescent="0.2">
      <c r="E14088" s="18"/>
      <c r="F14088" s="18"/>
    </row>
    <row r="14089" spans="5:6" ht="15" customHeight="1" x14ac:dyDescent="0.2">
      <c r="E14089" s="18"/>
      <c r="F14089" s="18"/>
    </row>
    <row r="14090" spans="5:6" ht="15" customHeight="1" x14ac:dyDescent="0.2">
      <c r="E14090" s="18"/>
      <c r="F14090" s="18"/>
    </row>
    <row r="14091" spans="5:6" ht="15" customHeight="1" x14ac:dyDescent="0.2">
      <c r="E14091" s="18"/>
      <c r="F14091" s="18"/>
    </row>
    <row r="14092" spans="5:6" ht="15" customHeight="1" x14ac:dyDescent="0.2">
      <c r="E14092" s="18"/>
      <c r="F14092" s="18"/>
    </row>
    <row r="14093" spans="5:6" ht="15" customHeight="1" x14ac:dyDescent="0.2">
      <c r="E14093" s="18"/>
      <c r="F14093" s="18"/>
    </row>
    <row r="14094" spans="5:6" ht="15" customHeight="1" x14ac:dyDescent="0.2">
      <c r="E14094" s="18"/>
      <c r="F14094" s="18"/>
    </row>
    <row r="14095" spans="5:6" ht="15" customHeight="1" x14ac:dyDescent="0.2">
      <c r="E14095" s="18"/>
      <c r="F14095" s="18"/>
    </row>
    <row r="14096" spans="5:6" ht="15" customHeight="1" x14ac:dyDescent="0.2">
      <c r="E14096" s="18"/>
      <c r="F14096" s="18"/>
    </row>
    <row r="14097" spans="5:6" ht="15" customHeight="1" x14ac:dyDescent="0.2">
      <c r="E14097" s="18"/>
      <c r="F14097" s="18"/>
    </row>
    <row r="14098" spans="5:6" ht="15" customHeight="1" x14ac:dyDescent="0.2">
      <c r="E14098" s="18"/>
      <c r="F14098" s="18"/>
    </row>
    <row r="14099" spans="5:6" ht="15" customHeight="1" x14ac:dyDescent="0.2">
      <c r="E14099" s="18"/>
      <c r="F14099" s="18"/>
    </row>
    <row r="14100" spans="5:6" ht="15" customHeight="1" x14ac:dyDescent="0.2">
      <c r="E14100" s="18"/>
      <c r="F14100" s="18"/>
    </row>
    <row r="14101" spans="5:6" ht="15" customHeight="1" x14ac:dyDescent="0.2">
      <c r="E14101" s="18"/>
      <c r="F14101" s="18"/>
    </row>
    <row r="14102" spans="5:6" ht="15" customHeight="1" x14ac:dyDescent="0.2">
      <c r="E14102" s="18"/>
      <c r="F14102" s="18"/>
    </row>
    <row r="14103" spans="5:6" ht="15" customHeight="1" x14ac:dyDescent="0.2">
      <c r="E14103" s="18"/>
      <c r="F14103" s="18"/>
    </row>
    <row r="14104" spans="5:6" ht="15" customHeight="1" x14ac:dyDescent="0.2">
      <c r="E14104" s="18"/>
      <c r="F14104" s="18"/>
    </row>
    <row r="14105" spans="5:6" ht="15" customHeight="1" x14ac:dyDescent="0.2">
      <c r="E14105" s="18"/>
      <c r="F14105" s="18"/>
    </row>
    <row r="14106" spans="5:6" ht="15" customHeight="1" x14ac:dyDescent="0.2">
      <c r="E14106" s="18"/>
      <c r="F14106" s="18"/>
    </row>
    <row r="14107" spans="5:6" ht="15" customHeight="1" x14ac:dyDescent="0.2">
      <c r="E14107" s="18"/>
      <c r="F14107" s="18"/>
    </row>
    <row r="14108" spans="5:6" ht="15" customHeight="1" x14ac:dyDescent="0.2">
      <c r="E14108" s="18"/>
      <c r="F14108" s="18"/>
    </row>
    <row r="14109" spans="5:6" ht="15" customHeight="1" x14ac:dyDescent="0.2">
      <c r="E14109" s="18"/>
      <c r="F14109" s="18"/>
    </row>
    <row r="14110" spans="5:6" ht="15" customHeight="1" x14ac:dyDescent="0.2">
      <c r="E14110" s="18"/>
      <c r="F14110" s="18"/>
    </row>
    <row r="14111" spans="5:6" ht="15" customHeight="1" x14ac:dyDescent="0.2">
      <c r="E14111" s="18"/>
      <c r="F14111" s="18"/>
    </row>
    <row r="14112" spans="5:6" ht="15" customHeight="1" x14ac:dyDescent="0.2">
      <c r="E14112" s="18"/>
      <c r="F14112" s="18"/>
    </row>
    <row r="14113" spans="5:6" ht="15" customHeight="1" x14ac:dyDescent="0.2">
      <c r="E14113" s="18"/>
      <c r="F14113" s="18"/>
    </row>
    <row r="14114" spans="5:6" ht="15" customHeight="1" x14ac:dyDescent="0.2">
      <c r="E14114" s="18"/>
      <c r="F14114" s="18"/>
    </row>
    <row r="14115" spans="5:6" ht="15" customHeight="1" x14ac:dyDescent="0.2">
      <c r="E14115" s="18"/>
      <c r="F14115" s="18"/>
    </row>
    <row r="14116" spans="5:6" ht="15" customHeight="1" x14ac:dyDescent="0.2">
      <c r="E14116" s="18"/>
      <c r="F14116" s="18"/>
    </row>
    <row r="14117" spans="5:6" ht="15" customHeight="1" x14ac:dyDescent="0.2">
      <c r="E14117" s="18"/>
      <c r="F14117" s="18"/>
    </row>
    <row r="14118" spans="5:6" ht="15" customHeight="1" x14ac:dyDescent="0.2">
      <c r="E14118" s="18"/>
      <c r="F14118" s="18"/>
    </row>
    <row r="14119" spans="5:6" ht="15" customHeight="1" x14ac:dyDescent="0.2">
      <c r="E14119" s="18"/>
      <c r="F14119" s="18"/>
    </row>
    <row r="14120" spans="5:6" ht="15" customHeight="1" x14ac:dyDescent="0.2">
      <c r="E14120" s="18"/>
      <c r="F14120" s="18"/>
    </row>
    <row r="14121" spans="5:6" ht="15" customHeight="1" x14ac:dyDescent="0.2">
      <c r="E14121" s="18"/>
      <c r="F14121" s="18"/>
    </row>
    <row r="14122" spans="5:6" ht="15" customHeight="1" x14ac:dyDescent="0.2">
      <c r="E14122" s="18"/>
      <c r="F14122" s="18"/>
    </row>
    <row r="14123" spans="5:6" ht="15" customHeight="1" x14ac:dyDescent="0.2">
      <c r="E14123" s="18"/>
      <c r="F14123" s="18"/>
    </row>
    <row r="14124" spans="5:6" ht="15" customHeight="1" x14ac:dyDescent="0.2">
      <c r="E14124" s="18"/>
      <c r="F14124" s="18"/>
    </row>
    <row r="14125" spans="5:6" ht="15" customHeight="1" x14ac:dyDescent="0.2">
      <c r="E14125" s="18"/>
      <c r="F14125" s="18"/>
    </row>
    <row r="14126" spans="5:6" ht="15" customHeight="1" x14ac:dyDescent="0.2">
      <c r="E14126" s="18"/>
      <c r="F14126" s="18"/>
    </row>
    <row r="14127" spans="5:6" ht="15" customHeight="1" x14ac:dyDescent="0.2">
      <c r="E14127" s="18"/>
      <c r="F14127" s="18"/>
    </row>
    <row r="14128" spans="5:6" ht="15" customHeight="1" x14ac:dyDescent="0.2">
      <c r="E14128" s="18"/>
      <c r="F14128" s="18"/>
    </row>
    <row r="14129" spans="5:6" ht="15" customHeight="1" x14ac:dyDescent="0.2">
      <c r="E14129" s="18"/>
      <c r="F14129" s="18"/>
    </row>
    <row r="14130" spans="5:6" ht="15" customHeight="1" x14ac:dyDescent="0.2">
      <c r="E14130" s="18"/>
      <c r="F14130" s="18"/>
    </row>
    <row r="14131" spans="5:6" ht="15" customHeight="1" x14ac:dyDescent="0.2">
      <c r="E14131" s="18"/>
      <c r="F14131" s="18"/>
    </row>
    <row r="14132" spans="5:6" ht="15" customHeight="1" x14ac:dyDescent="0.2">
      <c r="E14132" s="18"/>
      <c r="F14132" s="18"/>
    </row>
    <row r="14133" spans="5:6" ht="15" customHeight="1" x14ac:dyDescent="0.2">
      <c r="E14133" s="18"/>
      <c r="F14133" s="18"/>
    </row>
    <row r="14134" spans="5:6" ht="15" customHeight="1" x14ac:dyDescent="0.2">
      <c r="E14134" s="18"/>
      <c r="F14134" s="18"/>
    </row>
    <row r="14135" spans="5:6" ht="15" customHeight="1" x14ac:dyDescent="0.2">
      <c r="E14135" s="18"/>
      <c r="F14135" s="18"/>
    </row>
    <row r="14136" spans="5:6" ht="15" customHeight="1" x14ac:dyDescent="0.2">
      <c r="E14136" s="18"/>
      <c r="F14136" s="18"/>
    </row>
    <row r="14137" spans="5:6" ht="15" customHeight="1" x14ac:dyDescent="0.2">
      <c r="E14137" s="18"/>
      <c r="F14137" s="18"/>
    </row>
    <row r="14138" spans="5:6" ht="15" customHeight="1" x14ac:dyDescent="0.2">
      <c r="E14138" s="18"/>
      <c r="F14138" s="18"/>
    </row>
    <row r="14139" spans="5:6" ht="15" customHeight="1" x14ac:dyDescent="0.2">
      <c r="E14139" s="18"/>
      <c r="F14139" s="18"/>
    </row>
    <row r="14140" spans="5:6" ht="15" customHeight="1" x14ac:dyDescent="0.2">
      <c r="E14140" s="18"/>
      <c r="F14140" s="18"/>
    </row>
    <row r="14141" spans="5:6" ht="15" customHeight="1" x14ac:dyDescent="0.2">
      <c r="E14141" s="18"/>
      <c r="F14141" s="18"/>
    </row>
    <row r="14142" spans="5:6" ht="15" customHeight="1" x14ac:dyDescent="0.2">
      <c r="E14142" s="18"/>
      <c r="F14142" s="18"/>
    </row>
    <row r="14143" spans="5:6" ht="15" customHeight="1" x14ac:dyDescent="0.2">
      <c r="E14143" s="18"/>
      <c r="F14143" s="18"/>
    </row>
    <row r="14144" spans="5:6" ht="15" customHeight="1" x14ac:dyDescent="0.2">
      <c r="E14144" s="18"/>
      <c r="F14144" s="18"/>
    </row>
    <row r="14145" spans="5:6" ht="15" customHeight="1" x14ac:dyDescent="0.2">
      <c r="E14145" s="18"/>
      <c r="F14145" s="18"/>
    </row>
    <row r="14146" spans="5:6" ht="15" customHeight="1" x14ac:dyDescent="0.2">
      <c r="E14146" s="18"/>
      <c r="F14146" s="18"/>
    </row>
    <row r="14147" spans="5:6" ht="15" customHeight="1" x14ac:dyDescent="0.2">
      <c r="E14147" s="18"/>
      <c r="F14147" s="18"/>
    </row>
    <row r="14148" spans="5:6" ht="15" customHeight="1" x14ac:dyDescent="0.2">
      <c r="E14148" s="18"/>
      <c r="F14148" s="18"/>
    </row>
    <row r="14149" spans="5:6" ht="15" customHeight="1" x14ac:dyDescent="0.2">
      <c r="E14149" s="18"/>
      <c r="F14149" s="18"/>
    </row>
    <row r="14150" spans="5:6" ht="15" customHeight="1" x14ac:dyDescent="0.2">
      <c r="E14150" s="18"/>
      <c r="F14150" s="18"/>
    </row>
    <row r="14151" spans="5:6" ht="15" customHeight="1" x14ac:dyDescent="0.2">
      <c r="E14151" s="18"/>
      <c r="F14151" s="18"/>
    </row>
    <row r="14152" spans="5:6" ht="15" customHeight="1" x14ac:dyDescent="0.2">
      <c r="E14152" s="18"/>
      <c r="F14152" s="18"/>
    </row>
    <row r="14153" spans="5:6" ht="15" customHeight="1" x14ac:dyDescent="0.2">
      <c r="E14153" s="18"/>
      <c r="F14153" s="18"/>
    </row>
    <row r="14154" spans="5:6" ht="15" customHeight="1" x14ac:dyDescent="0.2">
      <c r="E14154" s="18"/>
      <c r="F14154" s="18"/>
    </row>
    <row r="14155" spans="5:6" ht="15" customHeight="1" x14ac:dyDescent="0.2">
      <c r="E14155" s="18"/>
      <c r="F14155" s="18"/>
    </row>
    <row r="14156" spans="5:6" ht="15" customHeight="1" x14ac:dyDescent="0.2">
      <c r="E14156" s="18"/>
      <c r="F14156" s="18"/>
    </row>
    <row r="14157" spans="5:6" ht="15" customHeight="1" x14ac:dyDescent="0.2">
      <c r="E14157" s="18"/>
      <c r="F14157" s="18"/>
    </row>
    <row r="14158" spans="5:6" ht="15" customHeight="1" x14ac:dyDescent="0.2">
      <c r="E14158" s="18"/>
      <c r="F14158" s="18"/>
    </row>
    <row r="14159" spans="5:6" ht="15" customHeight="1" x14ac:dyDescent="0.2">
      <c r="E14159" s="18"/>
      <c r="F14159" s="18"/>
    </row>
    <row r="14160" spans="5:6" ht="15" customHeight="1" x14ac:dyDescent="0.2">
      <c r="E14160" s="18"/>
      <c r="F14160" s="18"/>
    </row>
    <row r="14161" spans="5:6" ht="15" customHeight="1" x14ac:dyDescent="0.2">
      <c r="E14161" s="18"/>
      <c r="F14161" s="18"/>
    </row>
    <row r="14162" spans="5:6" ht="15" customHeight="1" x14ac:dyDescent="0.2">
      <c r="E14162" s="18"/>
      <c r="F14162" s="18"/>
    </row>
    <row r="14163" spans="5:6" ht="15" customHeight="1" x14ac:dyDescent="0.2">
      <c r="E14163" s="18"/>
      <c r="F14163" s="18"/>
    </row>
    <row r="14164" spans="5:6" ht="15" customHeight="1" x14ac:dyDescent="0.2">
      <c r="E14164" s="18"/>
      <c r="F14164" s="18"/>
    </row>
    <row r="14165" spans="5:6" ht="15" customHeight="1" x14ac:dyDescent="0.2">
      <c r="E14165" s="18"/>
      <c r="F14165" s="18"/>
    </row>
    <row r="14166" spans="5:6" ht="15" customHeight="1" x14ac:dyDescent="0.2">
      <c r="E14166" s="18"/>
      <c r="F14166" s="18"/>
    </row>
    <row r="14167" spans="5:6" ht="15" customHeight="1" x14ac:dyDescent="0.2">
      <c r="E14167" s="18"/>
      <c r="F14167" s="18"/>
    </row>
    <row r="14168" spans="5:6" ht="15" customHeight="1" x14ac:dyDescent="0.2">
      <c r="E14168" s="18"/>
      <c r="F14168" s="18"/>
    </row>
    <row r="14169" spans="5:6" ht="15" customHeight="1" x14ac:dyDescent="0.2">
      <c r="E14169" s="18"/>
      <c r="F14169" s="18"/>
    </row>
    <row r="14170" spans="5:6" ht="15" customHeight="1" x14ac:dyDescent="0.2">
      <c r="E14170" s="18"/>
      <c r="F14170" s="18"/>
    </row>
    <row r="14171" spans="5:6" ht="15" customHeight="1" x14ac:dyDescent="0.2">
      <c r="E14171" s="18"/>
      <c r="F14171" s="18"/>
    </row>
    <row r="14172" spans="5:6" ht="15" customHeight="1" x14ac:dyDescent="0.2">
      <c r="E14172" s="18"/>
      <c r="F14172" s="18"/>
    </row>
    <row r="14173" spans="5:6" ht="15" customHeight="1" x14ac:dyDescent="0.2">
      <c r="E14173" s="18"/>
      <c r="F14173" s="18"/>
    </row>
    <row r="14174" spans="5:6" ht="15" customHeight="1" x14ac:dyDescent="0.2">
      <c r="E14174" s="18"/>
      <c r="F14174" s="18"/>
    </row>
    <row r="14175" spans="5:6" ht="15" customHeight="1" x14ac:dyDescent="0.2">
      <c r="E14175" s="18"/>
      <c r="F14175" s="18"/>
    </row>
    <row r="14176" spans="5:6" ht="15" customHeight="1" x14ac:dyDescent="0.2">
      <c r="E14176" s="18"/>
      <c r="F14176" s="18"/>
    </row>
    <row r="14177" spans="5:6" ht="15" customHeight="1" x14ac:dyDescent="0.2">
      <c r="E14177" s="18"/>
      <c r="F14177" s="18"/>
    </row>
    <row r="14178" spans="5:6" ht="15" customHeight="1" x14ac:dyDescent="0.2">
      <c r="E14178" s="18"/>
      <c r="F14178" s="18"/>
    </row>
    <row r="14179" spans="5:6" ht="15" customHeight="1" x14ac:dyDescent="0.2">
      <c r="E14179" s="18"/>
      <c r="F14179" s="18"/>
    </row>
    <row r="14180" spans="5:6" ht="15" customHeight="1" x14ac:dyDescent="0.2">
      <c r="E14180" s="18"/>
      <c r="F14180" s="18"/>
    </row>
    <row r="14181" spans="5:6" ht="15" customHeight="1" x14ac:dyDescent="0.2">
      <c r="E14181" s="18"/>
      <c r="F14181" s="18"/>
    </row>
    <row r="14182" spans="5:6" ht="15" customHeight="1" x14ac:dyDescent="0.2">
      <c r="E14182" s="18"/>
      <c r="F14182" s="18"/>
    </row>
    <row r="14183" spans="5:6" ht="15" customHeight="1" x14ac:dyDescent="0.2">
      <c r="E14183" s="18"/>
      <c r="F14183" s="18"/>
    </row>
    <row r="14184" spans="5:6" ht="15" customHeight="1" x14ac:dyDescent="0.2">
      <c r="E14184" s="18"/>
      <c r="F14184" s="18"/>
    </row>
    <row r="14185" spans="5:6" ht="15" customHeight="1" x14ac:dyDescent="0.2">
      <c r="E14185" s="18"/>
      <c r="F14185" s="18"/>
    </row>
    <row r="14186" spans="5:6" ht="15" customHeight="1" x14ac:dyDescent="0.2">
      <c r="E14186" s="18"/>
      <c r="F14186" s="18"/>
    </row>
    <row r="14187" spans="5:6" ht="15" customHeight="1" x14ac:dyDescent="0.2">
      <c r="E14187" s="18"/>
      <c r="F14187" s="18"/>
    </row>
    <row r="14188" spans="5:6" ht="15" customHeight="1" x14ac:dyDescent="0.2">
      <c r="E14188" s="18"/>
      <c r="F14188" s="18"/>
    </row>
    <row r="14189" spans="5:6" ht="15" customHeight="1" x14ac:dyDescent="0.2">
      <c r="E14189" s="18"/>
      <c r="F14189" s="18"/>
    </row>
    <row r="14190" spans="5:6" ht="15" customHeight="1" x14ac:dyDescent="0.2">
      <c r="E14190" s="18"/>
      <c r="F14190" s="18"/>
    </row>
    <row r="14191" spans="5:6" ht="15" customHeight="1" x14ac:dyDescent="0.2">
      <c r="E14191" s="18"/>
      <c r="F14191" s="18"/>
    </row>
    <row r="14192" spans="5:6" ht="15" customHeight="1" x14ac:dyDescent="0.2">
      <c r="E14192" s="18"/>
      <c r="F14192" s="18"/>
    </row>
    <row r="14193" spans="5:6" ht="15" customHeight="1" x14ac:dyDescent="0.2">
      <c r="E14193" s="18"/>
      <c r="F14193" s="18"/>
    </row>
    <row r="14194" spans="5:6" ht="15" customHeight="1" x14ac:dyDescent="0.2">
      <c r="E14194" s="18"/>
      <c r="F14194" s="18"/>
    </row>
    <row r="14195" spans="5:6" ht="15" customHeight="1" x14ac:dyDescent="0.2">
      <c r="E14195" s="18"/>
      <c r="F14195" s="18"/>
    </row>
    <row r="14196" spans="5:6" ht="15" customHeight="1" x14ac:dyDescent="0.2">
      <c r="E14196" s="18"/>
      <c r="F14196" s="18"/>
    </row>
    <row r="14197" spans="5:6" ht="15" customHeight="1" x14ac:dyDescent="0.2">
      <c r="E14197" s="18"/>
      <c r="F14197" s="18"/>
    </row>
    <row r="14198" spans="5:6" ht="15" customHeight="1" x14ac:dyDescent="0.2">
      <c r="E14198" s="18"/>
      <c r="F14198" s="18"/>
    </row>
    <row r="14199" spans="5:6" ht="15" customHeight="1" x14ac:dyDescent="0.2">
      <c r="E14199" s="18"/>
      <c r="F14199" s="18"/>
    </row>
    <row r="14200" spans="5:6" ht="15" customHeight="1" x14ac:dyDescent="0.2">
      <c r="E14200" s="18"/>
      <c r="F14200" s="18"/>
    </row>
    <row r="14201" spans="5:6" ht="15" customHeight="1" x14ac:dyDescent="0.2">
      <c r="E14201" s="18"/>
      <c r="F14201" s="18"/>
    </row>
    <row r="14202" spans="5:6" ht="15" customHeight="1" x14ac:dyDescent="0.2">
      <c r="E14202" s="18"/>
      <c r="F14202" s="18"/>
    </row>
    <row r="14203" spans="5:6" ht="15" customHeight="1" x14ac:dyDescent="0.2">
      <c r="E14203" s="18"/>
      <c r="F14203" s="18"/>
    </row>
    <row r="14204" spans="5:6" ht="15" customHeight="1" x14ac:dyDescent="0.2">
      <c r="E14204" s="18"/>
      <c r="F14204" s="18"/>
    </row>
    <row r="14205" spans="5:6" ht="15" customHeight="1" x14ac:dyDescent="0.2">
      <c r="E14205" s="18"/>
      <c r="F14205" s="18"/>
    </row>
    <row r="14206" spans="5:6" ht="15" customHeight="1" x14ac:dyDescent="0.2">
      <c r="E14206" s="18"/>
      <c r="F14206" s="18"/>
    </row>
    <row r="14207" spans="5:6" ht="15" customHeight="1" x14ac:dyDescent="0.2">
      <c r="E14207" s="18"/>
      <c r="F14207" s="18"/>
    </row>
    <row r="14208" spans="5:6" ht="15" customHeight="1" x14ac:dyDescent="0.2">
      <c r="E14208" s="18"/>
      <c r="F14208" s="18"/>
    </row>
    <row r="14209" spans="5:6" ht="15" customHeight="1" x14ac:dyDescent="0.2">
      <c r="E14209" s="18"/>
      <c r="F14209" s="18"/>
    </row>
    <row r="14210" spans="5:6" ht="15" customHeight="1" x14ac:dyDescent="0.2">
      <c r="E14210" s="18"/>
      <c r="F14210" s="18"/>
    </row>
    <row r="14211" spans="5:6" ht="15" customHeight="1" x14ac:dyDescent="0.2">
      <c r="E14211" s="18"/>
      <c r="F14211" s="18"/>
    </row>
    <row r="14212" spans="5:6" ht="15" customHeight="1" x14ac:dyDescent="0.2">
      <c r="E14212" s="18"/>
      <c r="F14212" s="18"/>
    </row>
    <row r="14213" spans="5:6" ht="15" customHeight="1" x14ac:dyDescent="0.2">
      <c r="E14213" s="18"/>
      <c r="F14213" s="18"/>
    </row>
    <row r="14214" spans="5:6" ht="15" customHeight="1" x14ac:dyDescent="0.2">
      <c r="E14214" s="18"/>
      <c r="F14214" s="18"/>
    </row>
    <row r="14215" spans="5:6" ht="15" customHeight="1" x14ac:dyDescent="0.2">
      <c r="E14215" s="18"/>
      <c r="F14215" s="18"/>
    </row>
    <row r="14216" spans="5:6" ht="15" customHeight="1" x14ac:dyDescent="0.2">
      <c r="E14216" s="18"/>
      <c r="F14216" s="18"/>
    </row>
    <row r="14217" spans="5:6" ht="15" customHeight="1" x14ac:dyDescent="0.2">
      <c r="E14217" s="18"/>
      <c r="F14217" s="18"/>
    </row>
    <row r="14218" spans="5:6" ht="15" customHeight="1" x14ac:dyDescent="0.2">
      <c r="E14218" s="18"/>
      <c r="F14218" s="18"/>
    </row>
    <row r="14219" spans="5:6" ht="15" customHeight="1" x14ac:dyDescent="0.2">
      <c r="E14219" s="18"/>
      <c r="F14219" s="18"/>
    </row>
    <row r="14220" spans="5:6" ht="15" customHeight="1" x14ac:dyDescent="0.2">
      <c r="E14220" s="18"/>
      <c r="F14220" s="18"/>
    </row>
    <row r="14221" spans="5:6" ht="15" customHeight="1" x14ac:dyDescent="0.2">
      <c r="E14221" s="18"/>
      <c r="F14221" s="18"/>
    </row>
    <row r="14222" spans="5:6" ht="15" customHeight="1" x14ac:dyDescent="0.2">
      <c r="E14222" s="18"/>
      <c r="F14222" s="18"/>
    </row>
    <row r="14223" spans="5:6" ht="15" customHeight="1" x14ac:dyDescent="0.2">
      <c r="E14223" s="18"/>
      <c r="F14223" s="18"/>
    </row>
    <row r="14224" spans="5:6" ht="15" customHeight="1" x14ac:dyDescent="0.2">
      <c r="E14224" s="18"/>
      <c r="F14224" s="18"/>
    </row>
    <row r="14225" spans="5:6" ht="15" customHeight="1" x14ac:dyDescent="0.2">
      <c r="E14225" s="18"/>
      <c r="F14225" s="18"/>
    </row>
    <row r="14226" spans="5:6" ht="15" customHeight="1" x14ac:dyDescent="0.2">
      <c r="E14226" s="18"/>
      <c r="F14226" s="18"/>
    </row>
    <row r="14227" spans="5:6" ht="15" customHeight="1" x14ac:dyDescent="0.2">
      <c r="E14227" s="18"/>
      <c r="F14227" s="18"/>
    </row>
    <row r="14228" spans="5:6" ht="15" customHeight="1" x14ac:dyDescent="0.2">
      <c r="E14228" s="18"/>
      <c r="F14228" s="18"/>
    </row>
    <row r="14229" spans="5:6" ht="15" customHeight="1" x14ac:dyDescent="0.2">
      <c r="E14229" s="18"/>
      <c r="F14229" s="18"/>
    </row>
    <row r="14230" spans="5:6" ht="15" customHeight="1" x14ac:dyDescent="0.2">
      <c r="E14230" s="18"/>
      <c r="F14230" s="18"/>
    </row>
    <row r="14231" spans="5:6" ht="15" customHeight="1" x14ac:dyDescent="0.2">
      <c r="E14231" s="18"/>
      <c r="F14231" s="18"/>
    </row>
    <row r="14232" spans="5:6" ht="15" customHeight="1" x14ac:dyDescent="0.2">
      <c r="E14232" s="18"/>
      <c r="F14232" s="18"/>
    </row>
    <row r="14233" spans="5:6" ht="15" customHeight="1" x14ac:dyDescent="0.2">
      <c r="E14233" s="18"/>
      <c r="F14233" s="18"/>
    </row>
    <row r="14234" spans="5:6" ht="15" customHeight="1" x14ac:dyDescent="0.2">
      <c r="E14234" s="18"/>
      <c r="F14234" s="18"/>
    </row>
    <row r="14235" spans="5:6" ht="15" customHeight="1" x14ac:dyDescent="0.2">
      <c r="E14235" s="18"/>
      <c r="F14235" s="18"/>
    </row>
    <row r="14236" spans="5:6" ht="15" customHeight="1" x14ac:dyDescent="0.2">
      <c r="E14236" s="18"/>
      <c r="F14236" s="18"/>
    </row>
    <row r="14237" spans="5:6" ht="15" customHeight="1" x14ac:dyDescent="0.2">
      <c r="E14237" s="18"/>
      <c r="F14237" s="18"/>
    </row>
    <row r="14238" spans="5:6" ht="15" customHeight="1" x14ac:dyDescent="0.2">
      <c r="E14238" s="18"/>
      <c r="F14238" s="18"/>
    </row>
    <row r="14239" spans="5:6" ht="15" customHeight="1" x14ac:dyDescent="0.2">
      <c r="E14239" s="18"/>
      <c r="F14239" s="18"/>
    </row>
    <row r="14240" spans="5:6" ht="15" customHeight="1" x14ac:dyDescent="0.2">
      <c r="E14240" s="18"/>
      <c r="F14240" s="18"/>
    </row>
    <row r="14241" spans="5:6" ht="15" customHeight="1" x14ac:dyDescent="0.2">
      <c r="E14241" s="18"/>
      <c r="F14241" s="18"/>
    </row>
    <row r="14242" spans="5:6" ht="15" customHeight="1" x14ac:dyDescent="0.2">
      <c r="E14242" s="18"/>
      <c r="F14242" s="18"/>
    </row>
    <row r="14243" spans="5:6" ht="15" customHeight="1" x14ac:dyDescent="0.2">
      <c r="E14243" s="18"/>
      <c r="F14243" s="18"/>
    </row>
    <row r="14244" spans="5:6" ht="15" customHeight="1" x14ac:dyDescent="0.2">
      <c r="E14244" s="18"/>
      <c r="F14244" s="18"/>
    </row>
    <row r="14245" spans="5:6" ht="15" customHeight="1" x14ac:dyDescent="0.2">
      <c r="E14245" s="18"/>
      <c r="F14245" s="18"/>
    </row>
    <row r="14246" spans="5:6" ht="15" customHeight="1" x14ac:dyDescent="0.2">
      <c r="E14246" s="18"/>
      <c r="F14246" s="18"/>
    </row>
    <row r="14247" spans="5:6" ht="15" customHeight="1" x14ac:dyDescent="0.2">
      <c r="E14247" s="18"/>
      <c r="F14247" s="18"/>
    </row>
    <row r="14248" spans="5:6" ht="15" customHeight="1" x14ac:dyDescent="0.2">
      <c r="E14248" s="18"/>
      <c r="F14248" s="18"/>
    </row>
    <row r="14249" spans="5:6" ht="15" customHeight="1" x14ac:dyDescent="0.2">
      <c r="E14249" s="18"/>
      <c r="F14249" s="18"/>
    </row>
    <row r="14250" spans="5:6" ht="15" customHeight="1" x14ac:dyDescent="0.2">
      <c r="E14250" s="18"/>
      <c r="F14250" s="18"/>
    </row>
    <row r="14251" spans="5:6" ht="15" customHeight="1" x14ac:dyDescent="0.2">
      <c r="E14251" s="18"/>
      <c r="F14251" s="18"/>
    </row>
    <row r="14252" spans="5:6" ht="15" customHeight="1" x14ac:dyDescent="0.2">
      <c r="E14252" s="18"/>
      <c r="F14252" s="18"/>
    </row>
    <row r="14253" spans="5:6" ht="15" customHeight="1" x14ac:dyDescent="0.2">
      <c r="E14253" s="18"/>
      <c r="F14253" s="18"/>
    </row>
    <row r="14254" spans="5:6" ht="15" customHeight="1" x14ac:dyDescent="0.2">
      <c r="E14254" s="18"/>
      <c r="F14254" s="18"/>
    </row>
    <row r="14255" spans="5:6" ht="15" customHeight="1" x14ac:dyDescent="0.2">
      <c r="E14255" s="18"/>
      <c r="F14255" s="18"/>
    </row>
    <row r="14256" spans="5:6" ht="15" customHeight="1" x14ac:dyDescent="0.2">
      <c r="E14256" s="18"/>
      <c r="F14256" s="18"/>
    </row>
    <row r="14257" spans="5:6" ht="15" customHeight="1" x14ac:dyDescent="0.2">
      <c r="E14257" s="18"/>
      <c r="F14257" s="18"/>
    </row>
    <row r="14258" spans="5:6" ht="15" customHeight="1" x14ac:dyDescent="0.2">
      <c r="E14258" s="18"/>
      <c r="F14258" s="18"/>
    </row>
    <row r="14259" spans="5:6" ht="15" customHeight="1" x14ac:dyDescent="0.2">
      <c r="E14259" s="18"/>
      <c r="F14259" s="18"/>
    </row>
    <row r="14260" spans="5:6" ht="15" customHeight="1" x14ac:dyDescent="0.2">
      <c r="E14260" s="18"/>
      <c r="F14260" s="18"/>
    </row>
    <row r="14261" spans="5:6" ht="15" customHeight="1" x14ac:dyDescent="0.2">
      <c r="E14261" s="18"/>
      <c r="F14261" s="18"/>
    </row>
    <row r="14262" spans="5:6" ht="15" customHeight="1" x14ac:dyDescent="0.2">
      <c r="E14262" s="18"/>
      <c r="F14262" s="18"/>
    </row>
    <row r="14263" spans="5:6" ht="15" customHeight="1" x14ac:dyDescent="0.2">
      <c r="E14263" s="18"/>
      <c r="F14263" s="18"/>
    </row>
    <row r="14264" spans="5:6" ht="15" customHeight="1" x14ac:dyDescent="0.2">
      <c r="E14264" s="18"/>
      <c r="F14264" s="18"/>
    </row>
    <row r="14265" spans="5:6" ht="15" customHeight="1" x14ac:dyDescent="0.2">
      <c r="E14265" s="18"/>
      <c r="F14265" s="18"/>
    </row>
    <row r="14266" spans="5:6" ht="15" customHeight="1" x14ac:dyDescent="0.2">
      <c r="E14266" s="18"/>
      <c r="F14266" s="18"/>
    </row>
    <row r="14267" spans="5:6" ht="15" customHeight="1" x14ac:dyDescent="0.2">
      <c r="E14267" s="18"/>
      <c r="F14267" s="18"/>
    </row>
    <row r="14268" spans="5:6" ht="15" customHeight="1" x14ac:dyDescent="0.2">
      <c r="E14268" s="18"/>
      <c r="F14268" s="18"/>
    </row>
    <row r="14269" spans="5:6" ht="15" customHeight="1" x14ac:dyDescent="0.2">
      <c r="E14269" s="18"/>
      <c r="F14269" s="18"/>
    </row>
    <row r="14270" spans="5:6" ht="15" customHeight="1" x14ac:dyDescent="0.2">
      <c r="E14270" s="18"/>
      <c r="F14270" s="18"/>
    </row>
    <row r="14271" spans="5:6" ht="15" customHeight="1" x14ac:dyDescent="0.2">
      <c r="E14271" s="18"/>
      <c r="F14271" s="18"/>
    </row>
    <row r="14272" spans="5:6" ht="15" customHeight="1" x14ac:dyDescent="0.2">
      <c r="E14272" s="18"/>
      <c r="F14272" s="18"/>
    </row>
    <row r="14273" spans="5:6" ht="15" customHeight="1" x14ac:dyDescent="0.2">
      <c r="E14273" s="18"/>
      <c r="F14273" s="18"/>
    </row>
    <row r="14274" spans="5:6" ht="15" customHeight="1" x14ac:dyDescent="0.2">
      <c r="E14274" s="18"/>
      <c r="F14274" s="18"/>
    </row>
    <row r="14275" spans="5:6" ht="15" customHeight="1" x14ac:dyDescent="0.2">
      <c r="E14275" s="18"/>
      <c r="F14275" s="18"/>
    </row>
    <row r="14276" spans="5:6" ht="15" customHeight="1" x14ac:dyDescent="0.2">
      <c r="E14276" s="18"/>
      <c r="F14276" s="18"/>
    </row>
    <row r="14277" spans="5:6" ht="15" customHeight="1" x14ac:dyDescent="0.2">
      <c r="E14277" s="18"/>
      <c r="F14277" s="18"/>
    </row>
    <row r="14278" spans="5:6" ht="15" customHeight="1" x14ac:dyDescent="0.2">
      <c r="E14278" s="18"/>
      <c r="F14278" s="18"/>
    </row>
    <row r="14279" spans="5:6" ht="15" customHeight="1" x14ac:dyDescent="0.2">
      <c r="E14279" s="18"/>
      <c r="F14279" s="18"/>
    </row>
    <row r="14280" spans="5:6" ht="15" customHeight="1" x14ac:dyDescent="0.2">
      <c r="E14280" s="18"/>
      <c r="F14280" s="18"/>
    </row>
    <row r="14281" spans="5:6" ht="15" customHeight="1" x14ac:dyDescent="0.2">
      <c r="E14281" s="18"/>
      <c r="F14281" s="18"/>
    </row>
    <row r="14282" spans="5:6" ht="15" customHeight="1" x14ac:dyDescent="0.2">
      <c r="E14282" s="18"/>
      <c r="F14282" s="18"/>
    </row>
    <row r="14283" spans="5:6" ht="15" customHeight="1" x14ac:dyDescent="0.2">
      <c r="E14283" s="18"/>
      <c r="F14283" s="18"/>
    </row>
    <row r="14284" spans="5:6" ht="15" customHeight="1" x14ac:dyDescent="0.2">
      <c r="E14284" s="18"/>
      <c r="F14284" s="18"/>
    </row>
    <row r="14285" spans="5:6" ht="15" customHeight="1" x14ac:dyDescent="0.2">
      <c r="E14285" s="18"/>
      <c r="F14285" s="18"/>
    </row>
    <row r="14286" spans="5:6" ht="15" customHeight="1" x14ac:dyDescent="0.2">
      <c r="E14286" s="18"/>
      <c r="F14286" s="18"/>
    </row>
    <row r="14287" spans="5:6" ht="15" customHeight="1" x14ac:dyDescent="0.2">
      <c r="E14287" s="18"/>
      <c r="F14287" s="18"/>
    </row>
    <row r="14288" spans="5:6" ht="15" customHeight="1" x14ac:dyDescent="0.2">
      <c r="E14288" s="18"/>
      <c r="F14288" s="18"/>
    </row>
    <row r="14289" spans="5:6" ht="15" customHeight="1" x14ac:dyDescent="0.2">
      <c r="E14289" s="18"/>
      <c r="F14289" s="18"/>
    </row>
    <row r="14290" spans="5:6" ht="15" customHeight="1" x14ac:dyDescent="0.2">
      <c r="E14290" s="18"/>
      <c r="F14290" s="18"/>
    </row>
    <row r="14291" spans="5:6" ht="15" customHeight="1" x14ac:dyDescent="0.2">
      <c r="E14291" s="18"/>
      <c r="F14291" s="18"/>
    </row>
    <row r="14292" spans="5:6" ht="15" customHeight="1" x14ac:dyDescent="0.2">
      <c r="E14292" s="18"/>
      <c r="F14292" s="18"/>
    </row>
    <row r="14293" spans="5:6" ht="15" customHeight="1" x14ac:dyDescent="0.2">
      <c r="E14293" s="18"/>
      <c r="F14293" s="18"/>
    </row>
    <row r="14294" spans="5:6" ht="15" customHeight="1" x14ac:dyDescent="0.2">
      <c r="E14294" s="18"/>
      <c r="F14294" s="18"/>
    </row>
    <row r="14295" spans="5:6" ht="15" customHeight="1" x14ac:dyDescent="0.2">
      <c r="E14295" s="18"/>
      <c r="F14295" s="18"/>
    </row>
    <row r="14296" spans="5:6" ht="15" customHeight="1" x14ac:dyDescent="0.2">
      <c r="E14296" s="18"/>
      <c r="F14296" s="18"/>
    </row>
    <row r="14297" spans="5:6" ht="15" customHeight="1" x14ac:dyDescent="0.2">
      <c r="E14297" s="18"/>
      <c r="F14297" s="18"/>
    </row>
    <row r="14298" spans="5:6" ht="15" customHeight="1" x14ac:dyDescent="0.2">
      <c r="E14298" s="18"/>
      <c r="F14298" s="18"/>
    </row>
    <row r="14299" spans="5:6" ht="15" customHeight="1" x14ac:dyDescent="0.2">
      <c r="E14299" s="18"/>
      <c r="F14299" s="18"/>
    </row>
    <row r="14300" spans="5:6" ht="15" customHeight="1" x14ac:dyDescent="0.2">
      <c r="E14300" s="18"/>
      <c r="F14300" s="18"/>
    </row>
    <row r="14301" spans="5:6" ht="15" customHeight="1" x14ac:dyDescent="0.2">
      <c r="E14301" s="18"/>
      <c r="F14301" s="18"/>
    </row>
    <row r="14302" spans="5:6" ht="15" customHeight="1" x14ac:dyDescent="0.2">
      <c r="E14302" s="18"/>
      <c r="F14302" s="18"/>
    </row>
    <row r="14303" spans="5:6" ht="15" customHeight="1" x14ac:dyDescent="0.2">
      <c r="E14303" s="18"/>
      <c r="F14303" s="18"/>
    </row>
    <row r="14304" spans="5:6" ht="15" customHeight="1" x14ac:dyDescent="0.2">
      <c r="E14304" s="18"/>
      <c r="F14304" s="18"/>
    </row>
    <row r="14305" spans="5:6" ht="15" customHeight="1" x14ac:dyDescent="0.2">
      <c r="E14305" s="18"/>
      <c r="F14305" s="18"/>
    </row>
    <row r="14306" spans="5:6" ht="15" customHeight="1" x14ac:dyDescent="0.2">
      <c r="E14306" s="18"/>
      <c r="F14306" s="18"/>
    </row>
    <row r="14307" spans="5:6" ht="15" customHeight="1" x14ac:dyDescent="0.2">
      <c r="E14307" s="18"/>
      <c r="F14307" s="18"/>
    </row>
    <row r="14308" spans="5:6" ht="15" customHeight="1" x14ac:dyDescent="0.2">
      <c r="E14308" s="18"/>
      <c r="F14308" s="18"/>
    </row>
    <row r="14309" spans="5:6" ht="15" customHeight="1" x14ac:dyDescent="0.2">
      <c r="E14309" s="18"/>
      <c r="F14309" s="18"/>
    </row>
    <row r="14310" spans="5:6" ht="15" customHeight="1" x14ac:dyDescent="0.2">
      <c r="E14310" s="18"/>
      <c r="F14310" s="18"/>
    </row>
    <row r="14311" spans="5:6" ht="15" customHeight="1" x14ac:dyDescent="0.2">
      <c r="E14311" s="18"/>
      <c r="F14311" s="18"/>
    </row>
    <row r="14312" spans="5:6" ht="15" customHeight="1" x14ac:dyDescent="0.2">
      <c r="E14312" s="18"/>
      <c r="F14312" s="18"/>
    </row>
    <row r="14313" spans="5:6" ht="15" customHeight="1" x14ac:dyDescent="0.2">
      <c r="E14313" s="18"/>
      <c r="F14313" s="18"/>
    </row>
    <row r="14314" spans="5:6" ht="15" customHeight="1" x14ac:dyDescent="0.2">
      <c r="E14314" s="18"/>
      <c r="F14314" s="18"/>
    </row>
    <row r="14315" spans="5:6" ht="15" customHeight="1" x14ac:dyDescent="0.2">
      <c r="E14315" s="18"/>
      <c r="F14315" s="18"/>
    </row>
    <row r="14316" spans="5:6" ht="15" customHeight="1" x14ac:dyDescent="0.2">
      <c r="E14316" s="18"/>
      <c r="F14316" s="18"/>
    </row>
    <row r="14317" spans="5:6" ht="15" customHeight="1" x14ac:dyDescent="0.2">
      <c r="E14317" s="18"/>
      <c r="F14317" s="18"/>
    </row>
    <row r="14318" spans="5:6" ht="15" customHeight="1" x14ac:dyDescent="0.2">
      <c r="E14318" s="18"/>
      <c r="F14318" s="18"/>
    </row>
    <row r="14319" spans="5:6" ht="15" customHeight="1" x14ac:dyDescent="0.2">
      <c r="E14319" s="18"/>
      <c r="F14319" s="18"/>
    </row>
    <row r="14320" spans="5:6" ht="15" customHeight="1" x14ac:dyDescent="0.2">
      <c r="E14320" s="18"/>
      <c r="F14320" s="18"/>
    </row>
    <row r="14321" spans="5:6" ht="15" customHeight="1" x14ac:dyDescent="0.2">
      <c r="E14321" s="18"/>
      <c r="F14321" s="18"/>
    </row>
    <row r="14322" spans="5:6" ht="15" customHeight="1" x14ac:dyDescent="0.2">
      <c r="E14322" s="18"/>
      <c r="F14322" s="18"/>
    </row>
    <row r="14323" spans="5:6" ht="15" customHeight="1" x14ac:dyDescent="0.2">
      <c r="E14323" s="18"/>
      <c r="F14323" s="18"/>
    </row>
    <row r="14324" spans="5:6" ht="15" customHeight="1" x14ac:dyDescent="0.2">
      <c r="E14324" s="18"/>
      <c r="F14324" s="18"/>
    </row>
    <row r="14325" spans="5:6" ht="15" customHeight="1" x14ac:dyDescent="0.2">
      <c r="E14325" s="18"/>
      <c r="F14325" s="18"/>
    </row>
    <row r="14326" spans="5:6" ht="15" customHeight="1" x14ac:dyDescent="0.2">
      <c r="E14326" s="18"/>
      <c r="F14326" s="18"/>
    </row>
    <row r="14327" spans="5:6" ht="15" customHeight="1" x14ac:dyDescent="0.2">
      <c r="E14327" s="18"/>
      <c r="F14327" s="18"/>
    </row>
    <row r="14328" spans="5:6" ht="15" customHeight="1" x14ac:dyDescent="0.2">
      <c r="E14328" s="18"/>
      <c r="F14328" s="18"/>
    </row>
    <row r="14329" spans="5:6" ht="15" customHeight="1" x14ac:dyDescent="0.2">
      <c r="E14329" s="18"/>
      <c r="F14329" s="18"/>
    </row>
    <row r="14330" spans="5:6" ht="15" customHeight="1" x14ac:dyDescent="0.2">
      <c r="E14330" s="18"/>
      <c r="F14330" s="18"/>
    </row>
    <row r="14331" spans="5:6" ht="15" customHeight="1" x14ac:dyDescent="0.2">
      <c r="E14331" s="18"/>
      <c r="F14331" s="18"/>
    </row>
    <row r="14332" spans="5:6" ht="15" customHeight="1" x14ac:dyDescent="0.2">
      <c r="E14332" s="18"/>
      <c r="F14332" s="18"/>
    </row>
    <row r="14333" spans="5:6" ht="15" customHeight="1" x14ac:dyDescent="0.2">
      <c r="E14333" s="18"/>
      <c r="F14333" s="18"/>
    </row>
    <row r="14334" spans="5:6" ht="15" customHeight="1" x14ac:dyDescent="0.2">
      <c r="E14334" s="18"/>
      <c r="F14334" s="18"/>
    </row>
    <row r="14335" spans="5:6" ht="15" customHeight="1" x14ac:dyDescent="0.2">
      <c r="E14335" s="18"/>
      <c r="F14335" s="18"/>
    </row>
    <row r="14336" spans="5:6" ht="15" customHeight="1" x14ac:dyDescent="0.2">
      <c r="E14336" s="18"/>
      <c r="F14336" s="18"/>
    </row>
    <row r="14337" spans="5:6" ht="15" customHeight="1" x14ac:dyDescent="0.2">
      <c r="E14337" s="18"/>
      <c r="F14337" s="18"/>
    </row>
    <row r="14338" spans="5:6" ht="15" customHeight="1" x14ac:dyDescent="0.2">
      <c r="E14338" s="18"/>
      <c r="F14338" s="18"/>
    </row>
    <row r="14339" spans="5:6" ht="15" customHeight="1" x14ac:dyDescent="0.2">
      <c r="E14339" s="18"/>
      <c r="F14339" s="18"/>
    </row>
    <row r="14340" spans="5:6" ht="15" customHeight="1" x14ac:dyDescent="0.2">
      <c r="E14340" s="18"/>
      <c r="F14340" s="18"/>
    </row>
    <row r="14341" spans="5:6" ht="15" customHeight="1" x14ac:dyDescent="0.2">
      <c r="E14341" s="18"/>
      <c r="F14341" s="18"/>
    </row>
    <row r="14342" spans="5:6" ht="15" customHeight="1" x14ac:dyDescent="0.2">
      <c r="E14342" s="18"/>
      <c r="F14342" s="18"/>
    </row>
    <row r="14343" spans="5:6" ht="15" customHeight="1" x14ac:dyDescent="0.2">
      <c r="E14343" s="18"/>
      <c r="F14343" s="18"/>
    </row>
    <row r="14344" spans="5:6" ht="15" customHeight="1" x14ac:dyDescent="0.2">
      <c r="E14344" s="18"/>
      <c r="F14344" s="18"/>
    </row>
    <row r="14345" spans="5:6" ht="15" customHeight="1" x14ac:dyDescent="0.2">
      <c r="E14345" s="18"/>
      <c r="F14345" s="18"/>
    </row>
    <row r="14346" spans="5:6" ht="15" customHeight="1" x14ac:dyDescent="0.2">
      <c r="E14346" s="18"/>
      <c r="F14346" s="18"/>
    </row>
    <row r="14347" spans="5:6" ht="15" customHeight="1" x14ac:dyDescent="0.2">
      <c r="E14347" s="18"/>
      <c r="F14347" s="18"/>
    </row>
    <row r="14348" spans="5:6" ht="15" customHeight="1" x14ac:dyDescent="0.2">
      <c r="E14348" s="18"/>
      <c r="F14348" s="18"/>
    </row>
    <row r="14349" spans="5:6" ht="15" customHeight="1" x14ac:dyDescent="0.2">
      <c r="E14349" s="18"/>
      <c r="F14349" s="18"/>
    </row>
    <row r="14350" spans="5:6" ht="15" customHeight="1" x14ac:dyDescent="0.2">
      <c r="E14350" s="18"/>
      <c r="F14350" s="18"/>
    </row>
    <row r="14351" spans="5:6" ht="15" customHeight="1" x14ac:dyDescent="0.2">
      <c r="E14351" s="18"/>
      <c r="F14351" s="18"/>
    </row>
    <row r="14352" spans="5:6" ht="15" customHeight="1" x14ac:dyDescent="0.2">
      <c r="E14352" s="18"/>
      <c r="F14352" s="18"/>
    </row>
    <row r="14353" spans="5:6" ht="15" customHeight="1" x14ac:dyDescent="0.2">
      <c r="E14353" s="18"/>
      <c r="F14353" s="18"/>
    </row>
    <row r="14354" spans="5:6" ht="15" customHeight="1" x14ac:dyDescent="0.2">
      <c r="E14354" s="18"/>
      <c r="F14354" s="18"/>
    </row>
    <row r="14355" spans="5:6" ht="15" customHeight="1" x14ac:dyDescent="0.2">
      <c r="E14355" s="18"/>
      <c r="F14355" s="18"/>
    </row>
    <row r="14356" spans="5:6" ht="15" customHeight="1" x14ac:dyDescent="0.2">
      <c r="E14356" s="18"/>
      <c r="F14356" s="18"/>
    </row>
    <row r="14357" spans="5:6" ht="15" customHeight="1" x14ac:dyDescent="0.2">
      <c r="E14357" s="18"/>
      <c r="F14357" s="18"/>
    </row>
    <row r="14358" spans="5:6" ht="15" customHeight="1" x14ac:dyDescent="0.2">
      <c r="E14358" s="18"/>
      <c r="F14358" s="18"/>
    </row>
    <row r="14359" spans="5:6" ht="15" customHeight="1" x14ac:dyDescent="0.2">
      <c r="E14359" s="18"/>
      <c r="F14359" s="18"/>
    </row>
    <row r="14360" spans="5:6" ht="15" customHeight="1" x14ac:dyDescent="0.2">
      <c r="E14360" s="18"/>
      <c r="F14360" s="18"/>
    </row>
    <row r="14361" spans="5:6" ht="15" customHeight="1" x14ac:dyDescent="0.2">
      <c r="E14361" s="18"/>
      <c r="F14361" s="18"/>
    </row>
    <row r="14362" spans="5:6" ht="15" customHeight="1" x14ac:dyDescent="0.2">
      <c r="E14362" s="18"/>
      <c r="F14362" s="18"/>
    </row>
    <row r="14363" spans="5:6" ht="15" customHeight="1" x14ac:dyDescent="0.2">
      <c r="E14363" s="18"/>
      <c r="F14363" s="18"/>
    </row>
    <row r="14364" spans="5:6" ht="15" customHeight="1" x14ac:dyDescent="0.2">
      <c r="E14364" s="18"/>
      <c r="F14364" s="18"/>
    </row>
    <row r="14365" spans="5:6" ht="15" customHeight="1" x14ac:dyDescent="0.2">
      <c r="E14365" s="18"/>
      <c r="F14365" s="18"/>
    </row>
    <row r="14366" spans="5:6" ht="15" customHeight="1" x14ac:dyDescent="0.2">
      <c r="E14366" s="18"/>
      <c r="F14366" s="18"/>
    </row>
    <row r="14367" spans="5:6" ht="15" customHeight="1" x14ac:dyDescent="0.2">
      <c r="E14367" s="18"/>
      <c r="F14367" s="18"/>
    </row>
    <row r="14368" spans="5:6" ht="15" customHeight="1" x14ac:dyDescent="0.2">
      <c r="E14368" s="18"/>
      <c r="F14368" s="18"/>
    </row>
    <row r="14369" spans="5:6" ht="15" customHeight="1" x14ac:dyDescent="0.2">
      <c r="E14369" s="18"/>
      <c r="F14369" s="18"/>
    </row>
    <row r="14370" spans="5:6" ht="15" customHeight="1" x14ac:dyDescent="0.2">
      <c r="E14370" s="18"/>
      <c r="F14370" s="18"/>
    </row>
    <row r="14371" spans="5:6" ht="15" customHeight="1" x14ac:dyDescent="0.2">
      <c r="E14371" s="18"/>
      <c r="F14371" s="18"/>
    </row>
    <row r="14372" spans="5:6" ht="15" customHeight="1" x14ac:dyDescent="0.2">
      <c r="E14372" s="18"/>
      <c r="F14372" s="18"/>
    </row>
    <row r="14373" spans="5:6" ht="15" customHeight="1" x14ac:dyDescent="0.2">
      <c r="E14373" s="18"/>
      <c r="F14373" s="18"/>
    </row>
    <row r="14374" spans="5:6" ht="15" customHeight="1" x14ac:dyDescent="0.2">
      <c r="E14374" s="18"/>
      <c r="F14374" s="18"/>
    </row>
    <row r="14375" spans="5:6" ht="15" customHeight="1" x14ac:dyDescent="0.2">
      <c r="E14375" s="18"/>
      <c r="F14375" s="18"/>
    </row>
    <row r="14376" spans="5:6" ht="15" customHeight="1" x14ac:dyDescent="0.2">
      <c r="E14376" s="18"/>
      <c r="F14376" s="18"/>
    </row>
    <row r="14377" spans="5:6" ht="15" customHeight="1" x14ac:dyDescent="0.2">
      <c r="E14377" s="18"/>
      <c r="F14377" s="18"/>
    </row>
    <row r="14378" spans="5:6" ht="15" customHeight="1" x14ac:dyDescent="0.2">
      <c r="E14378" s="18"/>
      <c r="F14378" s="18"/>
    </row>
    <row r="14379" spans="5:6" ht="15" customHeight="1" x14ac:dyDescent="0.2">
      <c r="E14379" s="18"/>
      <c r="F14379" s="18"/>
    </row>
    <row r="14380" spans="5:6" ht="15" customHeight="1" x14ac:dyDescent="0.2">
      <c r="E14380" s="18"/>
      <c r="F14380" s="18"/>
    </row>
    <row r="14381" spans="5:6" ht="15" customHeight="1" x14ac:dyDescent="0.2">
      <c r="E14381" s="18"/>
      <c r="F14381" s="18"/>
    </row>
    <row r="14382" spans="5:6" ht="15" customHeight="1" x14ac:dyDescent="0.2">
      <c r="E14382" s="18"/>
      <c r="F14382" s="18"/>
    </row>
    <row r="14383" spans="5:6" ht="15" customHeight="1" x14ac:dyDescent="0.2">
      <c r="E14383" s="18"/>
      <c r="F14383" s="18"/>
    </row>
    <row r="14384" spans="5:6" ht="15" customHeight="1" x14ac:dyDescent="0.2">
      <c r="E14384" s="18"/>
      <c r="F14384" s="18"/>
    </row>
    <row r="14385" spans="5:6" ht="15" customHeight="1" x14ac:dyDescent="0.2">
      <c r="E14385" s="18"/>
      <c r="F14385" s="18"/>
    </row>
    <row r="14386" spans="5:6" ht="15" customHeight="1" x14ac:dyDescent="0.2">
      <c r="E14386" s="18"/>
      <c r="F14386" s="18"/>
    </row>
    <row r="14387" spans="5:6" ht="15" customHeight="1" x14ac:dyDescent="0.2">
      <c r="E14387" s="18"/>
      <c r="F14387" s="18"/>
    </row>
    <row r="14388" spans="5:6" ht="15" customHeight="1" x14ac:dyDescent="0.2">
      <c r="E14388" s="18"/>
      <c r="F14388" s="18"/>
    </row>
    <row r="14389" spans="5:6" ht="15" customHeight="1" x14ac:dyDescent="0.2">
      <c r="E14389" s="18"/>
      <c r="F14389" s="18"/>
    </row>
    <row r="14390" spans="5:6" ht="15" customHeight="1" x14ac:dyDescent="0.2">
      <c r="E14390" s="18"/>
      <c r="F14390" s="18"/>
    </row>
    <row r="14391" spans="5:6" ht="15" customHeight="1" x14ac:dyDescent="0.2">
      <c r="E14391" s="18"/>
      <c r="F14391" s="18"/>
    </row>
    <row r="14392" spans="5:6" ht="15" customHeight="1" x14ac:dyDescent="0.2">
      <c r="E14392" s="18"/>
      <c r="F14392" s="18"/>
    </row>
    <row r="14393" spans="5:6" ht="15" customHeight="1" x14ac:dyDescent="0.2">
      <c r="E14393" s="18"/>
      <c r="F14393" s="18"/>
    </row>
    <row r="14394" spans="5:6" ht="15" customHeight="1" x14ac:dyDescent="0.2">
      <c r="E14394" s="18"/>
      <c r="F14394" s="18"/>
    </row>
    <row r="14395" spans="5:6" ht="15" customHeight="1" x14ac:dyDescent="0.2">
      <c r="E14395" s="18"/>
      <c r="F14395" s="18"/>
    </row>
    <row r="14396" spans="5:6" ht="15" customHeight="1" x14ac:dyDescent="0.2">
      <c r="E14396" s="18"/>
      <c r="F14396" s="18"/>
    </row>
    <row r="14397" spans="5:6" ht="15" customHeight="1" x14ac:dyDescent="0.2">
      <c r="E14397" s="18"/>
      <c r="F14397" s="18"/>
    </row>
    <row r="14398" spans="5:6" ht="15" customHeight="1" x14ac:dyDescent="0.2">
      <c r="E14398" s="18"/>
      <c r="F14398" s="18"/>
    </row>
    <row r="14399" spans="5:6" ht="15" customHeight="1" x14ac:dyDescent="0.2">
      <c r="E14399" s="18"/>
      <c r="F14399" s="18"/>
    </row>
    <row r="14400" spans="5:6" ht="15" customHeight="1" x14ac:dyDescent="0.2">
      <c r="E14400" s="18"/>
      <c r="F14400" s="18"/>
    </row>
    <row r="14401" spans="5:6" ht="15" customHeight="1" x14ac:dyDescent="0.2">
      <c r="E14401" s="18"/>
      <c r="F14401" s="18"/>
    </row>
    <row r="14402" spans="5:6" ht="15" customHeight="1" x14ac:dyDescent="0.2">
      <c r="E14402" s="18"/>
      <c r="F14402" s="18"/>
    </row>
    <row r="14403" spans="5:6" ht="15" customHeight="1" x14ac:dyDescent="0.2">
      <c r="E14403" s="18"/>
      <c r="F14403" s="18"/>
    </row>
    <row r="14404" spans="5:6" ht="15" customHeight="1" x14ac:dyDescent="0.2">
      <c r="E14404" s="18"/>
      <c r="F14404" s="18"/>
    </row>
    <row r="14405" spans="5:6" ht="15" customHeight="1" x14ac:dyDescent="0.2">
      <c r="E14405" s="18"/>
      <c r="F14405" s="18"/>
    </row>
    <row r="14406" spans="5:6" ht="15" customHeight="1" x14ac:dyDescent="0.2">
      <c r="E14406" s="18"/>
      <c r="F14406" s="18"/>
    </row>
    <row r="14407" spans="5:6" ht="15" customHeight="1" x14ac:dyDescent="0.2">
      <c r="E14407" s="18"/>
      <c r="F14407" s="18"/>
    </row>
    <row r="14408" spans="5:6" ht="15" customHeight="1" x14ac:dyDescent="0.2">
      <c r="E14408" s="18"/>
      <c r="F14408" s="18"/>
    </row>
    <row r="14409" spans="5:6" ht="15" customHeight="1" x14ac:dyDescent="0.2">
      <c r="E14409" s="18"/>
      <c r="F14409" s="18"/>
    </row>
    <row r="14410" spans="5:6" ht="15" customHeight="1" x14ac:dyDescent="0.2">
      <c r="E14410" s="18"/>
      <c r="F14410" s="18"/>
    </row>
    <row r="14411" spans="5:6" ht="15" customHeight="1" x14ac:dyDescent="0.2">
      <c r="E14411" s="18"/>
      <c r="F14411" s="18"/>
    </row>
    <row r="14412" spans="5:6" ht="15" customHeight="1" x14ac:dyDescent="0.2">
      <c r="E14412" s="18"/>
      <c r="F14412" s="18"/>
    </row>
    <row r="14413" spans="5:6" ht="15" customHeight="1" x14ac:dyDescent="0.2">
      <c r="E14413" s="18"/>
      <c r="F14413" s="18"/>
    </row>
    <row r="14414" spans="5:6" ht="15" customHeight="1" x14ac:dyDescent="0.2">
      <c r="E14414" s="18"/>
      <c r="F14414" s="18"/>
    </row>
    <row r="14415" spans="5:6" ht="15" customHeight="1" x14ac:dyDescent="0.2">
      <c r="E14415" s="18"/>
      <c r="F14415" s="18"/>
    </row>
    <row r="14416" spans="5:6" ht="15" customHeight="1" x14ac:dyDescent="0.2">
      <c r="E14416" s="18"/>
      <c r="F14416" s="18"/>
    </row>
    <row r="14417" spans="5:6" ht="15" customHeight="1" x14ac:dyDescent="0.2">
      <c r="E14417" s="18"/>
      <c r="F14417" s="18"/>
    </row>
    <row r="14418" spans="5:6" ht="15" customHeight="1" x14ac:dyDescent="0.2">
      <c r="E14418" s="18"/>
      <c r="F14418" s="18"/>
    </row>
    <row r="14419" spans="5:6" ht="15" customHeight="1" x14ac:dyDescent="0.2">
      <c r="E14419" s="18"/>
      <c r="F14419" s="18"/>
    </row>
    <row r="14420" spans="5:6" ht="15" customHeight="1" x14ac:dyDescent="0.2">
      <c r="E14420" s="18"/>
      <c r="F14420" s="18"/>
    </row>
    <row r="14421" spans="5:6" ht="15" customHeight="1" x14ac:dyDescent="0.2">
      <c r="E14421" s="18"/>
      <c r="F14421" s="18"/>
    </row>
    <row r="14422" spans="5:6" ht="15" customHeight="1" x14ac:dyDescent="0.2">
      <c r="E14422" s="18"/>
      <c r="F14422" s="18"/>
    </row>
    <row r="14423" spans="5:6" ht="15" customHeight="1" x14ac:dyDescent="0.2">
      <c r="E14423" s="18"/>
      <c r="F14423" s="18"/>
    </row>
    <row r="14424" spans="5:6" ht="15" customHeight="1" x14ac:dyDescent="0.2">
      <c r="E14424" s="18"/>
      <c r="F14424" s="18"/>
    </row>
    <row r="14425" spans="5:6" ht="15" customHeight="1" x14ac:dyDescent="0.2">
      <c r="E14425" s="18"/>
      <c r="F14425" s="18"/>
    </row>
    <row r="14426" spans="5:6" ht="15" customHeight="1" x14ac:dyDescent="0.2">
      <c r="E14426" s="18"/>
      <c r="F14426" s="18"/>
    </row>
    <row r="14427" spans="5:6" ht="15" customHeight="1" x14ac:dyDescent="0.2">
      <c r="E14427" s="18"/>
      <c r="F14427" s="18"/>
    </row>
    <row r="14428" spans="5:6" ht="15" customHeight="1" x14ac:dyDescent="0.2">
      <c r="E14428" s="18"/>
      <c r="F14428" s="18"/>
    </row>
    <row r="14429" spans="5:6" ht="15" customHeight="1" x14ac:dyDescent="0.2">
      <c r="E14429" s="18"/>
      <c r="F14429" s="18"/>
    </row>
    <row r="14430" spans="5:6" ht="15" customHeight="1" x14ac:dyDescent="0.2">
      <c r="E14430" s="18"/>
      <c r="F14430" s="18"/>
    </row>
    <row r="14431" spans="5:6" ht="15" customHeight="1" x14ac:dyDescent="0.2">
      <c r="E14431" s="18"/>
      <c r="F14431" s="18"/>
    </row>
    <row r="14432" spans="5:6" ht="15" customHeight="1" x14ac:dyDescent="0.2">
      <c r="E14432" s="18"/>
      <c r="F14432" s="18"/>
    </row>
    <row r="14433" spans="5:6" ht="15" customHeight="1" x14ac:dyDescent="0.2">
      <c r="E14433" s="18"/>
      <c r="F14433" s="18"/>
    </row>
    <row r="14434" spans="5:6" ht="15" customHeight="1" x14ac:dyDescent="0.2">
      <c r="E14434" s="18"/>
      <c r="F14434" s="18"/>
    </row>
    <row r="14435" spans="5:6" ht="15" customHeight="1" x14ac:dyDescent="0.2">
      <c r="E14435" s="18"/>
      <c r="F14435" s="18"/>
    </row>
    <row r="14436" spans="5:6" ht="15" customHeight="1" x14ac:dyDescent="0.2">
      <c r="E14436" s="18"/>
      <c r="F14436" s="18"/>
    </row>
    <row r="14437" spans="5:6" ht="15" customHeight="1" x14ac:dyDescent="0.2">
      <c r="E14437" s="18"/>
      <c r="F14437" s="18"/>
    </row>
    <row r="14438" spans="5:6" ht="15" customHeight="1" x14ac:dyDescent="0.2">
      <c r="E14438" s="18"/>
      <c r="F14438" s="18"/>
    </row>
    <row r="14439" spans="5:6" ht="15" customHeight="1" x14ac:dyDescent="0.2">
      <c r="E14439" s="18"/>
      <c r="F14439" s="18"/>
    </row>
    <row r="14440" spans="5:6" ht="15" customHeight="1" x14ac:dyDescent="0.2">
      <c r="E14440" s="18"/>
      <c r="F14440" s="18"/>
    </row>
    <row r="14441" spans="5:6" ht="15" customHeight="1" x14ac:dyDescent="0.2">
      <c r="E14441" s="18"/>
      <c r="F14441" s="18"/>
    </row>
    <row r="14442" spans="5:6" ht="15" customHeight="1" x14ac:dyDescent="0.2">
      <c r="E14442" s="18"/>
      <c r="F14442" s="18"/>
    </row>
    <row r="14443" spans="5:6" ht="15" customHeight="1" x14ac:dyDescent="0.2">
      <c r="E14443" s="18"/>
      <c r="F14443" s="18"/>
    </row>
    <row r="14444" spans="5:6" ht="15" customHeight="1" x14ac:dyDescent="0.2">
      <c r="E14444" s="18"/>
      <c r="F14444" s="18"/>
    </row>
    <row r="14445" spans="5:6" ht="15" customHeight="1" x14ac:dyDescent="0.2">
      <c r="E14445" s="18"/>
      <c r="F14445" s="18"/>
    </row>
    <row r="14446" spans="5:6" ht="15" customHeight="1" x14ac:dyDescent="0.2">
      <c r="E14446" s="18"/>
      <c r="F14446" s="18"/>
    </row>
    <row r="14447" spans="5:6" ht="15" customHeight="1" x14ac:dyDescent="0.2">
      <c r="E14447" s="18"/>
      <c r="F14447" s="18"/>
    </row>
    <row r="14448" spans="5:6" ht="15" customHeight="1" x14ac:dyDescent="0.2">
      <c r="E14448" s="18"/>
      <c r="F14448" s="18"/>
    </row>
    <row r="14449" spans="5:6" ht="15" customHeight="1" x14ac:dyDescent="0.2">
      <c r="E14449" s="18"/>
      <c r="F14449" s="18"/>
    </row>
    <row r="14450" spans="5:6" ht="15" customHeight="1" x14ac:dyDescent="0.2">
      <c r="E14450" s="18"/>
      <c r="F14450" s="18"/>
    </row>
    <row r="14451" spans="5:6" ht="15" customHeight="1" x14ac:dyDescent="0.2">
      <c r="E14451" s="18"/>
      <c r="F14451" s="18"/>
    </row>
    <row r="14452" spans="5:6" ht="15" customHeight="1" x14ac:dyDescent="0.2">
      <c r="E14452" s="18"/>
      <c r="F14452" s="18"/>
    </row>
    <row r="14453" spans="5:6" ht="15" customHeight="1" x14ac:dyDescent="0.2">
      <c r="E14453" s="18"/>
      <c r="F14453" s="18"/>
    </row>
    <row r="14454" spans="5:6" ht="15" customHeight="1" x14ac:dyDescent="0.2">
      <c r="E14454" s="18"/>
      <c r="F14454" s="18"/>
    </row>
    <row r="14455" spans="5:6" ht="15" customHeight="1" x14ac:dyDescent="0.2">
      <c r="E14455" s="18"/>
      <c r="F14455" s="18"/>
    </row>
    <row r="14456" spans="5:6" ht="15" customHeight="1" x14ac:dyDescent="0.2">
      <c r="E14456" s="18"/>
      <c r="F14456" s="18"/>
    </row>
    <row r="14457" spans="5:6" ht="15" customHeight="1" x14ac:dyDescent="0.2">
      <c r="E14457" s="18"/>
      <c r="F14457" s="18"/>
    </row>
    <row r="14458" spans="5:6" ht="15" customHeight="1" x14ac:dyDescent="0.2">
      <c r="E14458" s="18"/>
      <c r="F14458" s="18"/>
    </row>
    <row r="14459" spans="5:6" ht="15" customHeight="1" x14ac:dyDescent="0.2">
      <c r="E14459" s="18"/>
      <c r="F14459" s="18"/>
    </row>
    <row r="14460" spans="5:6" ht="15" customHeight="1" x14ac:dyDescent="0.2">
      <c r="E14460" s="18"/>
      <c r="F14460" s="18"/>
    </row>
    <row r="14461" spans="5:6" ht="15" customHeight="1" x14ac:dyDescent="0.2">
      <c r="E14461" s="18"/>
      <c r="F14461" s="18"/>
    </row>
    <row r="14462" spans="5:6" ht="15" customHeight="1" x14ac:dyDescent="0.2">
      <c r="E14462" s="18"/>
      <c r="F14462" s="18"/>
    </row>
    <row r="14463" spans="5:6" ht="15" customHeight="1" x14ac:dyDescent="0.2">
      <c r="E14463" s="18"/>
      <c r="F14463" s="18"/>
    </row>
    <row r="14464" spans="5:6" ht="15" customHeight="1" x14ac:dyDescent="0.2">
      <c r="E14464" s="18"/>
      <c r="F14464" s="18"/>
    </row>
    <row r="14465" spans="5:6" ht="15" customHeight="1" x14ac:dyDescent="0.2">
      <c r="E14465" s="18"/>
      <c r="F14465" s="18"/>
    </row>
    <row r="14466" spans="5:6" ht="15" customHeight="1" x14ac:dyDescent="0.2">
      <c r="E14466" s="18"/>
      <c r="F14466" s="18"/>
    </row>
    <row r="14467" spans="5:6" ht="15" customHeight="1" x14ac:dyDescent="0.2">
      <c r="E14467" s="18"/>
      <c r="F14467" s="18"/>
    </row>
    <row r="14468" spans="5:6" ht="15" customHeight="1" x14ac:dyDescent="0.2">
      <c r="E14468" s="18"/>
      <c r="F14468" s="18"/>
    </row>
    <row r="14469" spans="5:6" ht="15" customHeight="1" x14ac:dyDescent="0.2">
      <c r="E14469" s="18"/>
      <c r="F14469" s="18"/>
    </row>
    <row r="14470" spans="5:6" ht="15" customHeight="1" x14ac:dyDescent="0.2">
      <c r="E14470" s="18"/>
      <c r="F14470" s="18"/>
    </row>
    <row r="14471" spans="5:6" ht="15" customHeight="1" x14ac:dyDescent="0.2">
      <c r="E14471" s="18"/>
      <c r="F14471" s="18"/>
    </row>
    <row r="14472" spans="5:6" ht="15" customHeight="1" x14ac:dyDescent="0.2">
      <c r="E14472" s="18"/>
      <c r="F14472" s="18"/>
    </row>
    <row r="14473" spans="5:6" ht="15" customHeight="1" x14ac:dyDescent="0.2">
      <c r="E14473" s="18"/>
      <c r="F14473" s="18"/>
    </row>
    <row r="14474" spans="5:6" ht="15" customHeight="1" x14ac:dyDescent="0.2">
      <c r="E14474" s="18"/>
      <c r="F14474" s="18"/>
    </row>
    <row r="14475" spans="5:6" ht="15" customHeight="1" x14ac:dyDescent="0.2">
      <c r="E14475" s="18"/>
      <c r="F14475" s="18"/>
    </row>
    <row r="14476" spans="5:6" ht="15" customHeight="1" x14ac:dyDescent="0.2">
      <c r="E14476" s="18"/>
      <c r="F14476" s="18"/>
    </row>
    <row r="14477" spans="5:6" ht="15" customHeight="1" x14ac:dyDescent="0.2">
      <c r="E14477" s="18"/>
      <c r="F14477" s="18"/>
    </row>
    <row r="14478" spans="5:6" ht="15" customHeight="1" x14ac:dyDescent="0.2">
      <c r="E14478" s="18"/>
      <c r="F14478" s="18"/>
    </row>
    <row r="14479" spans="5:6" ht="15" customHeight="1" x14ac:dyDescent="0.2">
      <c r="E14479" s="18"/>
      <c r="F14479" s="18"/>
    </row>
    <row r="14480" spans="5:6" ht="15" customHeight="1" x14ac:dyDescent="0.2">
      <c r="E14480" s="18"/>
      <c r="F14480" s="18"/>
    </row>
    <row r="14481" spans="5:6" ht="15" customHeight="1" x14ac:dyDescent="0.2">
      <c r="E14481" s="18"/>
      <c r="F14481" s="18"/>
    </row>
    <row r="14482" spans="5:6" ht="15" customHeight="1" x14ac:dyDescent="0.2">
      <c r="E14482" s="18"/>
      <c r="F14482" s="18"/>
    </row>
    <row r="14483" spans="5:6" ht="15" customHeight="1" x14ac:dyDescent="0.2">
      <c r="E14483" s="18"/>
      <c r="F14483" s="18"/>
    </row>
    <row r="14484" spans="5:6" ht="15" customHeight="1" x14ac:dyDescent="0.2">
      <c r="E14484" s="18"/>
      <c r="F14484" s="18"/>
    </row>
    <row r="14485" spans="5:6" ht="15" customHeight="1" x14ac:dyDescent="0.2">
      <c r="E14485" s="18"/>
      <c r="F14485" s="18"/>
    </row>
    <row r="14486" spans="5:6" ht="15" customHeight="1" x14ac:dyDescent="0.2">
      <c r="E14486" s="18"/>
      <c r="F14486" s="18"/>
    </row>
    <row r="14487" spans="5:6" ht="15" customHeight="1" x14ac:dyDescent="0.2">
      <c r="E14487" s="18"/>
      <c r="F14487" s="18"/>
    </row>
    <row r="14488" spans="5:6" ht="15" customHeight="1" x14ac:dyDescent="0.2">
      <c r="E14488" s="18"/>
      <c r="F14488" s="18"/>
    </row>
    <row r="14489" spans="5:6" ht="15" customHeight="1" x14ac:dyDescent="0.2">
      <c r="E14489" s="18"/>
      <c r="F14489" s="18"/>
    </row>
    <row r="14490" spans="5:6" ht="15" customHeight="1" x14ac:dyDescent="0.2">
      <c r="E14490" s="18"/>
      <c r="F14490" s="18"/>
    </row>
    <row r="14491" spans="5:6" ht="15" customHeight="1" x14ac:dyDescent="0.2">
      <c r="E14491" s="18"/>
      <c r="F14491" s="18"/>
    </row>
    <row r="14492" spans="5:6" ht="15" customHeight="1" x14ac:dyDescent="0.2">
      <c r="E14492" s="18"/>
      <c r="F14492" s="18"/>
    </row>
    <row r="14493" spans="5:6" ht="15" customHeight="1" x14ac:dyDescent="0.2">
      <c r="E14493" s="18"/>
      <c r="F14493" s="18"/>
    </row>
    <row r="14494" spans="5:6" ht="15" customHeight="1" x14ac:dyDescent="0.2">
      <c r="E14494" s="18"/>
      <c r="F14494" s="18"/>
    </row>
    <row r="14495" spans="5:6" ht="15" customHeight="1" x14ac:dyDescent="0.2">
      <c r="E14495" s="18"/>
      <c r="F14495" s="18"/>
    </row>
    <row r="14496" spans="5:6" ht="15" customHeight="1" x14ac:dyDescent="0.2">
      <c r="E14496" s="18"/>
      <c r="F14496" s="18"/>
    </row>
    <row r="14497" spans="5:6" ht="15" customHeight="1" x14ac:dyDescent="0.2">
      <c r="E14497" s="18"/>
      <c r="F14497" s="18"/>
    </row>
    <row r="14498" spans="5:6" ht="15" customHeight="1" x14ac:dyDescent="0.2">
      <c r="E14498" s="18"/>
      <c r="F14498" s="18"/>
    </row>
    <row r="14499" spans="5:6" ht="15" customHeight="1" x14ac:dyDescent="0.2">
      <c r="E14499" s="18"/>
      <c r="F14499" s="18"/>
    </row>
    <row r="14500" spans="5:6" ht="15" customHeight="1" x14ac:dyDescent="0.2">
      <c r="E14500" s="18"/>
      <c r="F14500" s="18"/>
    </row>
    <row r="14501" spans="5:6" ht="15" customHeight="1" x14ac:dyDescent="0.2">
      <c r="E14501" s="18"/>
      <c r="F14501" s="18"/>
    </row>
    <row r="14502" spans="5:6" ht="15" customHeight="1" x14ac:dyDescent="0.2">
      <c r="E14502" s="18"/>
      <c r="F14502" s="18"/>
    </row>
    <row r="14503" spans="5:6" ht="15" customHeight="1" x14ac:dyDescent="0.2">
      <c r="E14503" s="18"/>
      <c r="F14503" s="18"/>
    </row>
    <row r="14504" spans="5:6" ht="15" customHeight="1" x14ac:dyDescent="0.2">
      <c r="E14504" s="18"/>
      <c r="F14504" s="18"/>
    </row>
    <row r="14505" spans="5:6" ht="15" customHeight="1" x14ac:dyDescent="0.2">
      <c r="E14505" s="18"/>
      <c r="F14505" s="18"/>
    </row>
    <row r="14506" spans="5:6" ht="15" customHeight="1" x14ac:dyDescent="0.2">
      <c r="E14506" s="18"/>
      <c r="F14506" s="18"/>
    </row>
    <row r="14507" spans="5:6" ht="15" customHeight="1" x14ac:dyDescent="0.2">
      <c r="E14507" s="18"/>
      <c r="F14507" s="18"/>
    </row>
    <row r="14508" spans="5:6" ht="15" customHeight="1" x14ac:dyDescent="0.2">
      <c r="E14508" s="18"/>
      <c r="F14508" s="18"/>
    </row>
    <row r="14509" spans="5:6" ht="15" customHeight="1" x14ac:dyDescent="0.2">
      <c r="E14509" s="18"/>
      <c r="F14509" s="18"/>
    </row>
    <row r="14510" spans="5:6" ht="15" customHeight="1" x14ac:dyDescent="0.2">
      <c r="E14510" s="18"/>
      <c r="F14510" s="18"/>
    </row>
    <row r="14511" spans="5:6" ht="15" customHeight="1" x14ac:dyDescent="0.2">
      <c r="E14511" s="18"/>
      <c r="F14511" s="18"/>
    </row>
    <row r="14512" spans="5:6" ht="15" customHeight="1" x14ac:dyDescent="0.2">
      <c r="E14512" s="18"/>
      <c r="F14512" s="18"/>
    </row>
    <row r="14513" spans="5:6" ht="15" customHeight="1" x14ac:dyDescent="0.2">
      <c r="E14513" s="18"/>
      <c r="F14513" s="18"/>
    </row>
    <row r="14514" spans="5:6" ht="15" customHeight="1" x14ac:dyDescent="0.2">
      <c r="E14514" s="18"/>
      <c r="F14514" s="18"/>
    </row>
    <row r="14515" spans="5:6" ht="15" customHeight="1" x14ac:dyDescent="0.2">
      <c r="E14515" s="18"/>
      <c r="F14515" s="18"/>
    </row>
    <row r="14516" spans="5:6" ht="15" customHeight="1" x14ac:dyDescent="0.2">
      <c r="E14516" s="18"/>
      <c r="F14516" s="18"/>
    </row>
    <row r="14517" spans="5:6" ht="15" customHeight="1" x14ac:dyDescent="0.2">
      <c r="E14517" s="18"/>
      <c r="F14517" s="18"/>
    </row>
    <row r="14518" spans="5:6" ht="15" customHeight="1" x14ac:dyDescent="0.2">
      <c r="E14518" s="18"/>
      <c r="F14518" s="18"/>
    </row>
    <row r="14519" spans="5:6" ht="15" customHeight="1" x14ac:dyDescent="0.2">
      <c r="E14519" s="18"/>
      <c r="F14519" s="18"/>
    </row>
    <row r="14520" spans="5:6" ht="15" customHeight="1" x14ac:dyDescent="0.2">
      <c r="E14520" s="18"/>
      <c r="F14520" s="18"/>
    </row>
    <row r="14521" spans="5:6" ht="15" customHeight="1" x14ac:dyDescent="0.2">
      <c r="E14521" s="18"/>
      <c r="F14521" s="18"/>
    </row>
    <row r="14522" spans="5:6" ht="15" customHeight="1" x14ac:dyDescent="0.2">
      <c r="E14522" s="18"/>
      <c r="F14522" s="18"/>
    </row>
    <row r="14523" spans="5:6" ht="15" customHeight="1" x14ac:dyDescent="0.2">
      <c r="E14523" s="18"/>
      <c r="F14523" s="18"/>
    </row>
    <row r="14524" spans="5:6" ht="15" customHeight="1" x14ac:dyDescent="0.2">
      <c r="E14524" s="18"/>
      <c r="F14524" s="18"/>
    </row>
    <row r="14525" spans="5:6" ht="15" customHeight="1" x14ac:dyDescent="0.2">
      <c r="E14525" s="18"/>
      <c r="F14525" s="18"/>
    </row>
    <row r="14526" spans="5:6" ht="15" customHeight="1" x14ac:dyDescent="0.2">
      <c r="E14526" s="18"/>
      <c r="F14526" s="18"/>
    </row>
    <row r="14527" spans="5:6" ht="15" customHeight="1" x14ac:dyDescent="0.2">
      <c r="E14527" s="18"/>
      <c r="F14527" s="18"/>
    </row>
    <row r="14528" spans="5:6" ht="15" customHeight="1" x14ac:dyDescent="0.2">
      <c r="E14528" s="18"/>
      <c r="F14528" s="18"/>
    </row>
    <row r="14529" spans="5:6" ht="15" customHeight="1" x14ac:dyDescent="0.2">
      <c r="E14529" s="18"/>
      <c r="F14529" s="18"/>
    </row>
    <row r="14530" spans="5:6" ht="15" customHeight="1" x14ac:dyDescent="0.2">
      <c r="E14530" s="18"/>
      <c r="F14530" s="18"/>
    </row>
    <row r="14531" spans="5:6" ht="15" customHeight="1" x14ac:dyDescent="0.2">
      <c r="E14531" s="18"/>
      <c r="F14531" s="18"/>
    </row>
    <row r="14532" spans="5:6" ht="15" customHeight="1" x14ac:dyDescent="0.2">
      <c r="E14532" s="18"/>
      <c r="F14532" s="18"/>
    </row>
    <row r="14533" spans="5:6" ht="15" customHeight="1" x14ac:dyDescent="0.2">
      <c r="E14533" s="18"/>
      <c r="F14533" s="18"/>
    </row>
    <row r="14534" spans="5:6" ht="15" customHeight="1" x14ac:dyDescent="0.2">
      <c r="E14534" s="18"/>
      <c r="F14534" s="18"/>
    </row>
    <row r="14535" spans="5:6" ht="15" customHeight="1" x14ac:dyDescent="0.2">
      <c r="E14535" s="18"/>
      <c r="F14535" s="18"/>
    </row>
    <row r="14536" spans="5:6" ht="15" customHeight="1" x14ac:dyDescent="0.2">
      <c r="E14536" s="18"/>
      <c r="F14536" s="18"/>
    </row>
    <row r="14537" spans="5:6" ht="15" customHeight="1" x14ac:dyDescent="0.2">
      <c r="E14537" s="18"/>
      <c r="F14537" s="18"/>
    </row>
    <row r="14538" spans="5:6" ht="15" customHeight="1" x14ac:dyDescent="0.2">
      <c r="E14538" s="18"/>
      <c r="F14538" s="18"/>
    </row>
    <row r="14539" spans="5:6" ht="15" customHeight="1" x14ac:dyDescent="0.2">
      <c r="E14539" s="18"/>
      <c r="F14539" s="18"/>
    </row>
    <row r="14540" spans="5:6" ht="15" customHeight="1" x14ac:dyDescent="0.2">
      <c r="E14540" s="18"/>
      <c r="F14540" s="18"/>
    </row>
    <row r="14541" spans="5:6" ht="15" customHeight="1" x14ac:dyDescent="0.2">
      <c r="E14541" s="18"/>
      <c r="F14541" s="18"/>
    </row>
    <row r="14542" spans="5:6" ht="15" customHeight="1" x14ac:dyDescent="0.2">
      <c r="E14542" s="18"/>
      <c r="F14542" s="18"/>
    </row>
    <row r="14543" spans="5:6" ht="15" customHeight="1" x14ac:dyDescent="0.2">
      <c r="E14543" s="18"/>
      <c r="F14543" s="18"/>
    </row>
    <row r="14544" spans="5:6" ht="15" customHeight="1" x14ac:dyDescent="0.2">
      <c r="E14544" s="18"/>
      <c r="F14544" s="18"/>
    </row>
    <row r="14545" spans="5:6" ht="15" customHeight="1" x14ac:dyDescent="0.2">
      <c r="E14545" s="18"/>
      <c r="F14545" s="18"/>
    </row>
    <row r="14546" spans="5:6" ht="15" customHeight="1" x14ac:dyDescent="0.2">
      <c r="E14546" s="18"/>
      <c r="F14546" s="18"/>
    </row>
    <row r="14547" spans="5:6" ht="15" customHeight="1" x14ac:dyDescent="0.2">
      <c r="E14547" s="18"/>
      <c r="F14547" s="18"/>
    </row>
    <row r="14548" spans="5:6" ht="15" customHeight="1" x14ac:dyDescent="0.2">
      <c r="E14548" s="18"/>
      <c r="F14548" s="18"/>
    </row>
    <row r="14549" spans="5:6" ht="15" customHeight="1" x14ac:dyDescent="0.2">
      <c r="E14549" s="18"/>
      <c r="F14549" s="18"/>
    </row>
    <row r="14550" spans="5:6" ht="15" customHeight="1" x14ac:dyDescent="0.2">
      <c r="E14550" s="18"/>
      <c r="F14550" s="18"/>
    </row>
    <row r="14551" spans="5:6" ht="15" customHeight="1" x14ac:dyDescent="0.2">
      <c r="E14551" s="18"/>
      <c r="F14551" s="18"/>
    </row>
    <row r="14552" spans="5:6" ht="15" customHeight="1" x14ac:dyDescent="0.2">
      <c r="E14552" s="18"/>
      <c r="F14552" s="18"/>
    </row>
    <row r="14553" spans="5:6" ht="15" customHeight="1" x14ac:dyDescent="0.2">
      <c r="E14553" s="18"/>
      <c r="F14553" s="18"/>
    </row>
    <row r="14554" spans="5:6" ht="15" customHeight="1" x14ac:dyDescent="0.2">
      <c r="E14554" s="18"/>
      <c r="F14554" s="18"/>
    </row>
    <row r="14555" spans="5:6" ht="15" customHeight="1" x14ac:dyDescent="0.2">
      <c r="E14555" s="18"/>
      <c r="F14555" s="18"/>
    </row>
    <row r="14556" spans="5:6" ht="15" customHeight="1" x14ac:dyDescent="0.2">
      <c r="E14556" s="18"/>
      <c r="F14556" s="18"/>
    </row>
    <row r="14557" spans="5:6" ht="15" customHeight="1" x14ac:dyDescent="0.2">
      <c r="E14557" s="18"/>
      <c r="F14557" s="18"/>
    </row>
    <row r="14558" spans="5:6" ht="15" customHeight="1" x14ac:dyDescent="0.2">
      <c r="E14558" s="18"/>
      <c r="F14558" s="18"/>
    </row>
    <row r="14559" spans="5:6" ht="15" customHeight="1" x14ac:dyDescent="0.2">
      <c r="E14559" s="18"/>
      <c r="F14559" s="18"/>
    </row>
    <row r="14560" spans="5:6" ht="15" customHeight="1" x14ac:dyDescent="0.2">
      <c r="E14560" s="18"/>
      <c r="F14560" s="18"/>
    </row>
    <row r="14561" spans="5:6" ht="15" customHeight="1" x14ac:dyDescent="0.2">
      <c r="E14561" s="18"/>
      <c r="F14561" s="18"/>
    </row>
    <row r="14562" spans="5:6" ht="15" customHeight="1" x14ac:dyDescent="0.2">
      <c r="E14562" s="18"/>
      <c r="F14562" s="18"/>
    </row>
    <row r="14563" spans="5:6" ht="15" customHeight="1" x14ac:dyDescent="0.2">
      <c r="E14563" s="18"/>
      <c r="F14563" s="18"/>
    </row>
    <row r="14564" spans="5:6" ht="15" customHeight="1" x14ac:dyDescent="0.2">
      <c r="E14564" s="18"/>
      <c r="F14564" s="18"/>
    </row>
    <row r="14565" spans="5:6" ht="15" customHeight="1" x14ac:dyDescent="0.2">
      <c r="E14565" s="18"/>
      <c r="F14565" s="18"/>
    </row>
    <row r="14566" spans="5:6" ht="15" customHeight="1" x14ac:dyDescent="0.2">
      <c r="E14566" s="18"/>
      <c r="F14566" s="18"/>
    </row>
    <row r="14567" spans="5:6" ht="15" customHeight="1" x14ac:dyDescent="0.2">
      <c r="E14567" s="18"/>
      <c r="F14567" s="18"/>
    </row>
    <row r="14568" spans="5:6" ht="15" customHeight="1" x14ac:dyDescent="0.2">
      <c r="E14568" s="18"/>
      <c r="F14568" s="18"/>
    </row>
    <row r="14569" spans="5:6" ht="15" customHeight="1" x14ac:dyDescent="0.2">
      <c r="E14569" s="18"/>
      <c r="F14569" s="18"/>
    </row>
    <row r="14570" spans="5:6" ht="15" customHeight="1" x14ac:dyDescent="0.2">
      <c r="E14570" s="18"/>
      <c r="F14570" s="18"/>
    </row>
    <row r="14571" spans="5:6" ht="15" customHeight="1" x14ac:dyDescent="0.2">
      <c r="E14571" s="18"/>
      <c r="F14571" s="18"/>
    </row>
    <row r="14572" spans="5:6" ht="15" customHeight="1" x14ac:dyDescent="0.2">
      <c r="E14572" s="18"/>
      <c r="F14572" s="18"/>
    </row>
    <row r="14573" spans="5:6" ht="15" customHeight="1" x14ac:dyDescent="0.2">
      <c r="E14573" s="18"/>
      <c r="F14573" s="18"/>
    </row>
    <row r="14574" spans="5:6" ht="15" customHeight="1" x14ac:dyDescent="0.2">
      <c r="E14574" s="18"/>
      <c r="F14574" s="18"/>
    </row>
    <row r="14575" spans="5:6" ht="15" customHeight="1" x14ac:dyDescent="0.2">
      <c r="E14575" s="18"/>
      <c r="F14575" s="18"/>
    </row>
    <row r="14576" spans="5:6" ht="15" customHeight="1" x14ac:dyDescent="0.2">
      <c r="E14576" s="18"/>
      <c r="F14576" s="18"/>
    </row>
    <row r="14577" spans="5:6" ht="15" customHeight="1" x14ac:dyDescent="0.2">
      <c r="E14577" s="18"/>
      <c r="F14577" s="18"/>
    </row>
    <row r="14578" spans="5:6" ht="15" customHeight="1" x14ac:dyDescent="0.2">
      <c r="E14578" s="18"/>
      <c r="F14578" s="18"/>
    </row>
    <row r="14579" spans="5:6" ht="15" customHeight="1" x14ac:dyDescent="0.2">
      <c r="E14579" s="18"/>
      <c r="F14579" s="18"/>
    </row>
    <row r="14580" spans="5:6" ht="15" customHeight="1" x14ac:dyDescent="0.2">
      <c r="E14580" s="18"/>
      <c r="F14580" s="18"/>
    </row>
    <row r="14581" spans="5:6" ht="15" customHeight="1" x14ac:dyDescent="0.2">
      <c r="E14581" s="18"/>
      <c r="F14581" s="18"/>
    </row>
    <row r="14582" spans="5:6" ht="15" customHeight="1" x14ac:dyDescent="0.2">
      <c r="E14582" s="18"/>
      <c r="F14582" s="18"/>
    </row>
    <row r="14583" spans="5:6" ht="15" customHeight="1" x14ac:dyDescent="0.2">
      <c r="E14583" s="18"/>
      <c r="F14583" s="18"/>
    </row>
    <row r="14584" spans="5:6" ht="15" customHeight="1" x14ac:dyDescent="0.2">
      <c r="E14584" s="18"/>
      <c r="F14584" s="18"/>
    </row>
    <row r="14585" spans="5:6" ht="15" customHeight="1" x14ac:dyDescent="0.2">
      <c r="E14585" s="18"/>
      <c r="F14585" s="18"/>
    </row>
    <row r="14586" spans="5:6" ht="15" customHeight="1" x14ac:dyDescent="0.2">
      <c r="E14586" s="18"/>
      <c r="F14586" s="18"/>
    </row>
    <row r="14587" spans="5:6" ht="15" customHeight="1" x14ac:dyDescent="0.2">
      <c r="E14587" s="18"/>
      <c r="F14587" s="18"/>
    </row>
    <row r="14588" spans="5:6" ht="15" customHeight="1" x14ac:dyDescent="0.2">
      <c r="E14588" s="18"/>
      <c r="F14588" s="18"/>
    </row>
    <row r="14589" spans="5:6" ht="15" customHeight="1" x14ac:dyDescent="0.2">
      <c r="E14589" s="18"/>
      <c r="F14589" s="18"/>
    </row>
    <row r="14590" spans="5:6" ht="15" customHeight="1" x14ac:dyDescent="0.2">
      <c r="E14590" s="18"/>
      <c r="F14590" s="18"/>
    </row>
    <row r="14591" spans="5:6" ht="15" customHeight="1" x14ac:dyDescent="0.2">
      <c r="E14591" s="18"/>
      <c r="F14591" s="18"/>
    </row>
    <row r="14592" spans="5:6" ht="15" customHeight="1" x14ac:dyDescent="0.2">
      <c r="E14592" s="18"/>
      <c r="F14592" s="18"/>
    </row>
    <row r="14593" spans="5:6" ht="15" customHeight="1" x14ac:dyDescent="0.2">
      <c r="E14593" s="18"/>
      <c r="F14593" s="18"/>
    </row>
    <row r="14594" spans="5:6" ht="15" customHeight="1" x14ac:dyDescent="0.2">
      <c r="E14594" s="18"/>
      <c r="F14594" s="18"/>
    </row>
    <row r="14595" spans="5:6" ht="15" customHeight="1" x14ac:dyDescent="0.2">
      <c r="E14595" s="18"/>
      <c r="F14595" s="18"/>
    </row>
    <row r="14596" spans="5:6" ht="15" customHeight="1" x14ac:dyDescent="0.2">
      <c r="E14596" s="18"/>
      <c r="F14596" s="18"/>
    </row>
    <row r="14597" spans="5:6" ht="15" customHeight="1" x14ac:dyDescent="0.2">
      <c r="E14597" s="18"/>
      <c r="F14597" s="18"/>
    </row>
    <row r="14598" spans="5:6" ht="15" customHeight="1" x14ac:dyDescent="0.2">
      <c r="E14598" s="18"/>
      <c r="F14598" s="18"/>
    </row>
    <row r="14599" spans="5:6" ht="15" customHeight="1" x14ac:dyDescent="0.2">
      <c r="E14599" s="18"/>
      <c r="F14599" s="18"/>
    </row>
    <row r="14600" spans="5:6" ht="15" customHeight="1" x14ac:dyDescent="0.2">
      <c r="E14600" s="18"/>
      <c r="F14600" s="18"/>
    </row>
    <row r="14601" spans="5:6" ht="15" customHeight="1" x14ac:dyDescent="0.2">
      <c r="E14601" s="18"/>
      <c r="F14601" s="18"/>
    </row>
    <row r="14602" spans="5:6" ht="15" customHeight="1" x14ac:dyDescent="0.2">
      <c r="E14602" s="18"/>
      <c r="F14602" s="18"/>
    </row>
    <row r="14603" spans="5:6" ht="15" customHeight="1" x14ac:dyDescent="0.2">
      <c r="E14603" s="18"/>
      <c r="F14603" s="18"/>
    </row>
    <row r="14604" spans="5:6" ht="15" customHeight="1" x14ac:dyDescent="0.2">
      <c r="E14604" s="18"/>
      <c r="F14604" s="18"/>
    </row>
    <row r="14605" spans="5:6" ht="15" customHeight="1" x14ac:dyDescent="0.2">
      <c r="E14605" s="18"/>
      <c r="F14605" s="18"/>
    </row>
    <row r="14606" spans="5:6" ht="15" customHeight="1" x14ac:dyDescent="0.2">
      <c r="E14606" s="18"/>
      <c r="F14606" s="18"/>
    </row>
    <row r="14607" spans="5:6" ht="15" customHeight="1" x14ac:dyDescent="0.2">
      <c r="E14607" s="18"/>
      <c r="F14607" s="18"/>
    </row>
    <row r="14608" spans="5:6" ht="15" customHeight="1" x14ac:dyDescent="0.2">
      <c r="E14608" s="18"/>
      <c r="F14608" s="18"/>
    </row>
    <row r="14609" spans="5:6" ht="15" customHeight="1" x14ac:dyDescent="0.2">
      <c r="E14609" s="18"/>
      <c r="F14609" s="18"/>
    </row>
    <row r="14610" spans="5:6" ht="15" customHeight="1" x14ac:dyDescent="0.2">
      <c r="E14610" s="18"/>
      <c r="F14610" s="18"/>
    </row>
    <row r="14611" spans="5:6" ht="15" customHeight="1" x14ac:dyDescent="0.2">
      <c r="E14611" s="18"/>
      <c r="F14611" s="18"/>
    </row>
    <row r="14612" spans="5:6" ht="15" customHeight="1" x14ac:dyDescent="0.2">
      <c r="E14612" s="18"/>
      <c r="F14612" s="18"/>
    </row>
    <row r="14613" spans="5:6" ht="15" customHeight="1" x14ac:dyDescent="0.2">
      <c r="E14613" s="18"/>
      <c r="F14613" s="18"/>
    </row>
    <row r="14614" spans="5:6" ht="15" customHeight="1" x14ac:dyDescent="0.2">
      <c r="E14614" s="18"/>
      <c r="F14614" s="18"/>
    </row>
    <row r="14615" spans="5:6" ht="15" customHeight="1" x14ac:dyDescent="0.2">
      <c r="E14615" s="18"/>
      <c r="F14615" s="18"/>
    </row>
    <row r="14616" spans="5:6" ht="15" customHeight="1" x14ac:dyDescent="0.2">
      <c r="E14616" s="18"/>
      <c r="F14616" s="18"/>
    </row>
    <row r="14617" spans="5:6" ht="15" customHeight="1" x14ac:dyDescent="0.2">
      <c r="E14617" s="18"/>
      <c r="F14617" s="18"/>
    </row>
    <row r="14618" spans="5:6" ht="15" customHeight="1" x14ac:dyDescent="0.2">
      <c r="E14618" s="18"/>
      <c r="F14618" s="18"/>
    </row>
    <row r="14619" spans="5:6" ht="15" customHeight="1" x14ac:dyDescent="0.2">
      <c r="E14619" s="18"/>
      <c r="F14619" s="18"/>
    </row>
    <row r="14620" spans="5:6" ht="15" customHeight="1" x14ac:dyDescent="0.2">
      <c r="E14620" s="18"/>
      <c r="F14620" s="18"/>
    </row>
    <row r="14621" spans="5:6" ht="15" customHeight="1" x14ac:dyDescent="0.2">
      <c r="E14621" s="18"/>
      <c r="F14621" s="18"/>
    </row>
    <row r="14622" spans="5:6" ht="15" customHeight="1" x14ac:dyDescent="0.2">
      <c r="E14622" s="18"/>
      <c r="F14622" s="18"/>
    </row>
    <row r="14623" spans="5:6" ht="15" customHeight="1" x14ac:dyDescent="0.2">
      <c r="E14623" s="18"/>
      <c r="F14623" s="18"/>
    </row>
    <row r="14624" spans="5:6" ht="15" customHeight="1" x14ac:dyDescent="0.2">
      <c r="E14624" s="18"/>
      <c r="F14624" s="18"/>
    </row>
    <row r="14625" spans="5:6" ht="15" customHeight="1" x14ac:dyDescent="0.2">
      <c r="E14625" s="18"/>
      <c r="F14625" s="18"/>
    </row>
    <row r="14626" spans="5:6" ht="15" customHeight="1" x14ac:dyDescent="0.2">
      <c r="E14626" s="18"/>
      <c r="F14626" s="18"/>
    </row>
    <row r="14627" spans="5:6" ht="15" customHeight="1" x14ac:dyDescent="0.2">
      <c r="E14627" s="18"/>
      <c r="F14627" s="18"/>
    </row>
    <row r="14628" spans="5:6" ht="15" customHeight="1" x14ac:dyDescent="0.2">
      <c r="E14628" s="18"/>
      <c r="F14628" s="18"/>
    </row>
    <row r="14629" spans="5:6" ht="15" customHeight="1" x14ac:dyDescent="0.2">
      <c r="E14629" s="18"/>
      <c r="F14629" s="18"/>
    </row>
    <row r="14630" spans="5:6" ht="15" customHeight="1" x14ac:dyDescent="0.2">
      <c r="E14630" s="18"/>
      <c r="F14630" s="18"/>
    </row>
    <row r="14631" spans="5:6" ht="15" customHeight="1" x14ac:dyDescent="0.2">
      <c r="E14631" s="18"/>
      <c r="F14631" s="18"/>
    </row>
    <row r="14632" spans="5:6" ht="15" customHeight="1" x14ac:dyDescent="0.2">
      <c r="E14632" s="18"/>
      <c r="F14632" s="18"/>
    </row>
    <row r="14633" spans="5:6" ht="15" customHeight="1" x14ac:dyDescent="0.2">
      <c r="E14633" s="18"/>
      <c r="F14633" s="18"/>
    </row>
    <row r="14634" spans="5:6" ht="15" customHeight="1" x14ac:dyDescent="0.2">
      <c r="E14634" s="18"/>
      <c r="F14634" s="18"/>
    </row>
    <row r="14635" spans="5:6" ht="15" customHeight="1" x14ac:dyDescent="0.2">
      <c r="E14635" s="18"/>
      <c r="F14635" s="18"/>
    </row>
    <row r="14636" spans="5:6" ht="15" customHeight="1" x14ac:dyDescent="0.2">
      <c r="E14636" s="18"/>
      <c r="F14636" s="18"/>
    </row>
    <row r="14637" spans="5:6" ht="15" customHeight="1" x14ac:dyDescent="0.2">
      <c r="E14637" s="18"/>
      <c r="F14637" s="18"/>
    </row>
    <row r="14638" spans="5:6" ht="15" customHeight="1" x14ac:dyDescent="0.2">
      <c r="E14638" s="18"/>
      <c r="F14638" s="18"/>
    </row>
    <row r="14639" spans="5:6" ht="15" customHeight="1" x14ac:dyDescent="0.2">
      <c r="E14639" s="18"/>
      <c r="F14639" s="18"/>
    </row>
    <row r="14640" spans="5:6" ht="15" customHeight="1" x14ac:dyDescent="0.2">
      <c r="E14640" s="18"/>
      <c r="F14640" s="18"/>
    </row>
    <row r="14641" spans="5:6" ht="15" customHeight="1" x14ac:dyDescent="0.2">
      <c r="E14641" s="18"/>
      <c r="F14641" s="18"/>
    </row>
    <row r="14642" spans="5:6" ht="15" customHeight="1" x14ac:dyDescent="0.2">
      <c r="E14642" s="18"/>
      <c r="F14642" s="18"/>
    </row>
    <row r="14643" spans="5:6" ht="15" customHeight="1" x14ac:dyDescent="0.2">
      <c r="E14643" s="18"/>
      <c r="F14643" s="18"/>
    </row>
    <row r="14644" spans="5:6" ht="15" customHeight="1" x14ac:dyDescent="0.2">
      <c r="E14644" s="18"/>
      <c r="F14644" s="18"/>
    </row>
    <row r="14645" spans="5:6" ht="15" customHeight="1" x14ac:dyDescent="0.2">
      <c r="E14645" s="18"/>
      <c r="F14645" s="18"/>
    </row>
    <row r="14646" spans="5:6" ht="15" customHeight="1" x14ac:dyDescent="0.2">
      <c r="E14646" s="18"/>
      <c r="F14646" s="18"/>
    </row>
    <row r="14647" spans="5:6" ht="15" customHeight="1" x14ac:dyDescent="0.2">
      <c r="E14647" s="18"/>
      <c r="F14647" s="18"/>
    </row>
    <row r="14648" spans="5:6" ht="15" customHeight="1" x14ac:dyDescent="0.2">
      <c r="E14648" s="18"/>
      <c r="F14648" s="18"/>
    </row>
    <row r="14649" spans="5:6" ht="15" customHeight="1" x14ac:dyDescent="0.2">
      <c r="E14649" s="18"/>
      <c r="F14649" s="18"/>
    </row>
    <row r="14650" spans="5:6" ht="15" customHeight="1" x14ac:dyDescent="0.2">
      <c r="E14650" s="18"/>
      <c r="F14650" s="18"/>
    </row>
    <row r="14651" spans="5:6" ht="15" customHeight="1" x14ac:dyDescent="0.2">
      <c r="E14651" s="18"/>
      <c r="F14651" s="18"/>
    </row>
    <row r="14652" spans="5:6" ht="15" customHeight="1" x14ac:dyDescent="0.2">
      <c r="E14652" s="18"/>
      <c r="F14652" s="18"/>
    </row>
    <row r="14653" spans="5:6" ht="15" customHeight="1" x14ac:dyDescent="0.2">
      <c r="E14653" s="18"/>
      <c r="F14653" s="18"/>
    </row>
    <row r="14654" spans="5:6" ht="15" customHeight="1" x14ac:dyDescent="0.2">
      <c r="E14654" s="18"/>
      <c r="F14654" s="18"/>
    </row>
    <row r="14655" spans="5:6" ht="15" customHeight="1" x14ac:dyDescent="0.2">
      <c r="E14655" s="18"/>
      <c r="F14655" s="18"/>
    </row>
    <row r="14656" spans="5:6" ht="15" customHeight="1" x14ac:dyDescent="0.2">
      <c r="E14656" s="18"/>
      <c r="F14656" s="18"/>
    </row>
    <row r="14657" spans="5:6" ht="15" customHeight="1" x14ac:dyDescent="0.2">
      <c r="E14657" s="18"/>
      <c r="F14657" s="18"/>
    </row>
    <row r="14658" spans="5:6" ht="15" customHeight="1" x14ac:dyDescent="0.2">
      <c r="E14658" s="18"/>
      <c r="F14658" s="18"/>
    </row>
    <row r="14659" spans="5:6" ht="15" customHeight="1" x14ac:dyDescent="0.2">
      <c r="E14659" s="18"/>
      <c r="F14659" s="18"/>
    </row>
    <row r="14660" spans="5:6" ht="15" customHeight="1" x14ac:dyDescent="0.2">
      <c r="E14660" s="18"/>
      <c r="F14660" s="18"/>
    </row>
    <row r="14661" spans="5:6" ht="15" customHeight="1" x14ac:dyDescent="0.2">
      <c r="E14661" s="18"/>
      <c r="F14661" s="18"/>
    </row>
    <row r="14662" spans="5:6" ht="15" customHeight="1" x14ac:dyDescent="0.2">
      <c r="E14662" s="18"/>
      <c r="F14662" s="18"/>
    </row>
    <row r="14663" spans="5:6" ht="15" customHeight="1" x14ac:dyDescent="0.2">
      <c r="E14663" s="18"/>
      <c r="F14663" s="18"/>
    </row>
    <row r="14664" spans="5:6" ht="15" customHeight="1" x14ac:dyDescent="0.2">
      <c r="E14664" s="18"/>
      <c r="F14664" s="18"/>
    </row>
    <row r="14665" spans="5:6" ht="15" customHeight="1" x14ac:dyDescent="0.2">
      <c r="E14665" s="18"/>
      <c r="F14665" s="18"/>
    </row>
    <row r="14666" spans="5:6" ht="15" customHeight="1" x14ac:dyDescent="0.2">
      <c r="E14666" s="18"/>
      <c r="F14666" s="18"/>
    </row>
    <row r="14667" spans="5:6" ht="15" customHeight="1" x14ac:dyDescent="0.2">
      <c r="E14667" s="18"/>
      <c r="F14667" s="18"/>
    </row>
    <row r="14668" spans="5:6" ht="15" customHeight="1" x14ac:dyDescent="0.2">
      <c r="E14668" s="18"/>
      <c r="F14668" s="18"/>
    </row>
    <row r="14669" spans="5:6" ht="15" customHeight="1" x14ac:dyDescent="0.2">
      <c r="E14669" s="18"/>
      <c r="F14669" s="18"/>
    </row>
    <row r="14670" spans="5:6" ht="15" customHeight="1" x14ac:dyDescent="0.2">
      <c r="E14670" s="18"/>
      <c r="F14670" s="18"/>
    </row>
    <row r="14671" spans="5:6" ht="15" customHeight="1" x14ac:dyDescent="0.2">
      <c r="E14671" s="18"/>
      <c r="F14671" s="18"/>
    </row>
    <row r="14672" spans="5:6" ht="15" customHeight="1" x14ac:dyDescent="0.2">
      <c r="E14672" s="18"/>
      <c r="F14672" s="18"/>
    </row>
    <row r="14673" spans="5:6" ht="15" customHeight="1" x14ac:dyDescent="0.2">
      <c r="E14673" s="18"/>
      <c r="F14673" s="18"/>
    </row>
    <row r="14674" spans="5:6" ht="15" customHeight="1" x14ac:dyDescent="0.2">
      <c r="E14674" s="18"/>
      <c r="F14674" s="18"/>
    </row>
    <row r="14675" spans="5:6" ht="15" customHeight="1" x14ac:dyDescent="0.2">
      <c r="E14675" s="18"/>
      <c r="F14675" s="18"/>
    </row>
    <row r="14676" spans="5:6" ht="15" customHeight="1" x14ac:dyDescent="0.2">
      <c r="E14676" s="18"/>
      <c r="F14676" s="18"/>
    </row>
    <row r="14677" spans="5:6" ht="15" customHeight="1" x14ac:dyDescent="0.2">
      <c r="E14677" s="18"/>
      <c r="F14677" s="18"/>
    </row>
    <row r="14678" spans="5:6" ht="15" customHeight="1" x14ac:dyDescent="0.2">
      <c r="E14678" s="18"/>
      <c r="F14678" s="18"/>
    </row>
    <row r="14679" spans="5:6" ht="15" customHeight="1" x14ac:dyDescent="0.2">
      <c r="E14679" s="18"/>
      <c r="F14679" s="18"/>
    </row>
    <row r="14680" spans="5:6" ht="15" customHeight="1" x14ac:dyDescent="0.2">
      <c r="E14680" s="18"/>
      <c r="F14680" s="18"/>
    </row>
    <row r="14681" spans="5:6" ht="15" customHeight="1" x14ac:dyDescent="0.2">
      <c r="E14681" s="18"/>
      <c r="F14681" s="18"/>
    </row>
    <row r="14682" spans="5:6" ht="15" customHeight="1" x14ac:dyDescent="0.2">
      <c r="E14682" s="18"/>
      <c r="F14682" s="18"/>
    </row>
    <row r="14683" spans="5:6" ht="15" customHeight="1" x14ac:dyDescent="0.2">
      <c r="E14683" s="18"/>
      <c r="F14683" s="18"/>
    </row>
    <row r="14684" spans="5:6" ht="15" customHeight="1" x14ac:dyDescent="0.2">
      <c r="E14684" s="18"/>
      <c r="F14684" s="18"/>
    </row>
    <row r="14685" spans="5:6" ht="15" customHeight="1" x14ac:dyDescent="0.2">
      <c r="E14685" s="18"/>
      <c r="F14685" s="18"/>
    </row>
    <row r="14686" spans="5:6" ht="15" customHeight="1" x14ac:dyDescent="0.2">
      <c r="E14686" s="18"/>
      <c r="F14686" s="18"/>
    </row>
    <row r="14687" spans="5:6" ht="15" customHeight="1" x14ac:dyDescent="0.2">
      <c r="E14687" s="18"/>
      <c r="F14687" s="18"/>
    </row>
    <row r="14688" spans="5:6" ht="15" customHeight="1" x14ac:dyDescent="0.2">
      <c r="E14688" s="18"/>
      <c r="F14688" s="18"/>
    </row>
    <row r="14689" spans="5:6" ht="15" customHeight="1" x14ac:dyDescent="0.2">
      <c r="E14689" s="18"/>
      <c r="F14689" s="18"/>
    </row>
    <row r="14690" spans="5:6" ht="15" customHeight="1" x14ac:dyDescent="0.2">
      <c r="E14690" s="18"/>
      <c r="F14690" s="18"/>
    </row>
    <row r="14691" spans="5:6" ht="15" customHeight="1" x14ac:dyDescent="0.2">
      <c r="E14691" s="18"/>
      <c r="F14691" s="18"/>
    </row>
    <row r="14692" spans="5:6" ht="15" customHeight="1" x14ac:dyDescent="0.2">
      <c r="E14692" s="18"/>
      <c r="F14692" s="18"/>
    </row>
    <row r="14693" spans="5:6" ht="15" customHeight="1" x14ac:dyDescent="0.2">
      <c r="E14693" s="18"/>
      <c r="F14693" s="18"/>
    </row>
    <row r="14694" spans="5:6" ht="15" customHeight="1" x14ac:dyDescent="0.2">
      <c r="E14694" s="18"/>
      <c r="F14694" s="18"/>
    </row>
    <row r="14695" spans="5:6" ht="15" customHeight="1" x14ac:dyDescent="0.2">
      <c r="E14695" s="18"/>
      <c r="F14695" s="18"/>
    </row>
    <row r="14696" spans="5:6" ht="15" customHeight="1" x14ac:dyDescent="0.2">
      <c r="E14696" s="18"/>
      <c r="F14696" s="18"/>
    </row>
    <row r="14697" spans="5:6" ht="15" customHeight="1" x14ac:dyDescent="0.2">
      <c r="E14697" s="18"/>
      <c r="F14697" s="18"/>
    </row>
    <row r="14698" spans="5:6" ht="15" customHeight="1" x14ac:dyDescent="0.2">
      <c r="E14698" s="18"/>
      <c r="F14698" s="18"/>
    </row>
    <row r="14699" spans="5:6" ht="15" customHeight="1" x14ac:dyDescent="0.2">
      <c r="E14699" s="18"/>
      <c r="F14699" s="18"/>
    </row>
    <row r="14700" spans="5:6" ht="15" customHeight="1" x14ac:dyDescent="0.2">
      <c r="E14700" s="18"/>
      <c r="F14700" s="18"/>
    </row>
    <row r="14701" spans="5:6" ht="15" customHeight="1" x14ac:dyDescent="0.2">
      <c r="E14701" s="18"/>
      <c r="F14701" s="18"/>
    </row>
    <row r="14702" spans="5:6" ht="15" customHeight="1" x14ac:dyDescent="0.2">
      <c r="E14702" s="18"/>
      <c r="F14702" s="18"/>
    </row>
    <row r="14703" spans="5:6" ht="15" customHeight="1" x14ac:dyDescent="0.2">
      <c r="E14703" s="18"/>
      <c r="F14703" s="18"/>
    </row>
    <row r="14704" spans="5:6" ht="15" customHeight="1" x14ac:dyDescent="0.2">
      <c r="E14704" s="18"/>
      <c r="F14704" s="18"/>
    </row>
    <row r="14705" spans="5:6" ht="15" customHeight="1" x14ac:dyDescent="0.2">
      <c r="E14705" s="18"/>
      <c r="F14705" s="18"/>
    </row>
    <row r="14706" spans="5:6" ht="15" customHeight="1" x14ac:dyDescent="0.2">
      <c r="E14706" s="18"/>
      <c r="F14706" s="18"/>
    </row>
    <row r="14707" spans="5:6" ht="15" customHeight="1" x14ac:dyDescent="0.2">
      <c r="E14707" s="18"/>
      <c r="F14707" s="18"/>
    </row>
    <row r="14708" spans="5:6" ht="15" customHeight="1" x14ac:dyDescent="0.2">
      <c r="E14708" s="18"/>
      <c r="F14708" s="18"/>
    </row>
    <row r="14709" spans="5:6" ht="15" customHeight="1" x14ac:dyDescent="0.2">
      <c r="E14709" s="18"/>
      <c r="F14709" s="18"/>
    </row>
    <row r="14710" spans="5:6" ht="15" customHeight="1" x14ac:dyDescent="0.2">
      <c r="E14710" s="18"/>
      <c r="F14710" s="18"/>
    </row>
    <row r="14711" spans="5:6" ht="15" customHeight="1" x14ac:dyDescent="0.2">
      <c r="E14711" s="18"/>
      <c r="F14711" s="18"/>
    </row>
    <row r="14712" spans="5:6" ht="15" customHeight="1" x14ac:dyDescent="0.2">
      <c r="E14712" s="18"/>
      <c r="F14712" s="18"/>
    </row>
    <row r="14713" spans="5:6" ht="15" customHeight="1" x14ac:dyDescent="0.2">
      <c r="E14713" s="18"/>
      <c r="F14713" s="18"/>
    </row>
    <row r="14714" spans="5:6" ht="15" customHeight="1" x14ac:dyDescent="0.2">
      <c r="E14714" s="18"/>
      <c r="F14714" s="18"/>
    </row>
    <row r="14715" spans="5:6" ht="15" customHeight="1" x14ac:dyDescent="0.2">
      <c r="E14715" s="18"/>
      <c r="F14715" s="18"/>
    </row>
    <row r="14716" spans="5:6" ht="15" customHeight="1" x14ac:dyDescent="0.2">
      <c r="E14716" s="18"/>
      <c r="F14716" s="18"/>
    </row>
    <row r="14717" spans="5:6" ht="15" customHeight="1" x14ac:dyDescent="0.2">
      <c r="E14717" s="18"/>
      <c r="F14717" s="18"/>
    </row>
    <row r="14718" spans="5:6" ht="15" customHeight="1" x14ac:dyDescent="0.2">
      <c r="E14718" s="18"/>
      <c r="F14718" s="18"/>
    </row>
    <row r="14719" spans="5:6" ht="15" customHeight="1" x14ac:dyDescent="0.2">
      <c r="E14719" s="18"/>
      <c r="F14719" s="18"/>
    </row>
    <row r="14720" spans="5:6" ht="15" customHeight="1" x14ac:dyDescent="0.2">
      <c r="E14720" s="18"/>
      <c r="F14720" s="18"/>
    </row>
    <row r="14721" spans="5:6" ht="15" customHeight="1" x14ac:dyDescent="0.2">
      <c r="E14721" s="18"/>
      <c r="F14721" s="18"/>
    </row>
    <row r="14722" spans="5:6" ht="15" customHeight="1" x14ac:dyDescent="0.2">
      <c r="E14722" s="18"/>
      <c r="F14722" s="18"/>
    </row>
    <row r="14723" spans="5:6" ht="15" customHeight="1" x14ac:dyDescent="0.2">
      <c r="E14723" s="18"/>
      <c r="F14723" s="18"/>
    </row>
    <row r="14724" spans="5:6" ht="15" customHeight="1" x14ac:dyDescent="0.2">
      <c r="E14724" s="18"/>
      <c r="F14724" s="18"/>
    </row>
    <row r="14725" spans="5:6" ht="15" customHeight="1" x14ac:dyDescent="0.2">
      <c r="E14725" s="18"/>
      <c r="F14725" s="18"/>
    </row>
    <row r="14726" spans="5:6" ht="15" customHeight="1" x14ac:dyDescent="0.2">
      <c r="E14726" s="18"/>
      <c r="F14726" s="18"/>
    </row>
    <row r="14727" spans="5:6" ht="15" customHeight="1" x14ac:dyDescent="0.2">
      <c r="E14727" s="18"/>
      <c r="F14727" s="18"/>
    </row>
    <row r="14728" spans="5:6" ht="15" customHeight="1" x14ac:dyDescent="0.2">
      <c r="E14728" s="18"/>
      <c r="F14728" s="18"/>
    </row>
    <row r="14729" spans="5:6" ht="15" customHeight="1" x14ac:dyDescent="0.2">
      <c r="E14729" s="18"/>
      <c r="F14729" s="18"/>
    </row>
    <row r="14730" spans="5:6" ht="15" customHeight="1" x14ac:dyDescent="0.2">
      <c r="E14730" s="18"/>
      <c r="F14730" s="18"/>
    </row>
    <row r="14731" spans="5:6" ht="15" customHeight="1" x14ac:dyDescent="0.2">
      <c r="E14731" s="18"/>
      <c r="F14731" s="18"/>
    </row>
    <row r="14732" spans="5:6" ht="15" customHeight="1" x14ac:dyDescent="0.2">
      <c r="E14732" s="18"/>
      <c r="F14732" s="18"/>
    </row>
    <row r="14733" spans="5:6" ht="15" customHeight="1" x14ac:dyDescent="0.2">
      <c r="E14733" s="18"/>
      <c r="F14733" s="18"/>
    </row>
    <row r="14734" spans="5:6" ht="15" customHeight="1" x14ac:dyDescent="0.2">
      <c r="E14734" s="18"/>
      <c r="F14734" s="18"/>
    </row>
    <row r="14735" spans="5:6" ht="15" customHeight="1" x14ac:dyDescent="0.2">
      <c r="E14735" s="18"/>
      <c r="F14735" s="18"/>
    </row>
    <row r="14736" spans="5:6" ht="15" customHeight="1" x14ac:dyDescent="0.2">
      <c r="E14736" s="18"/>
      <c r="F14736" s="18"/>
    </row>
    <row r="14737" spans="5:6" ht="15" customHeight="1" x14ac:dyDescent="0.2">
      <c r="E14737" s="18"/>
      <c r="F14737" s="18"/>
    </row>
    <row r="14738" spans="5:6" ht="15" customHeight="1" x14ac:dyDescent="0.2">
      <c r="E14738" s="18"/>
      <c r="F14738" s="18"/>
    </row>
    <row r="14739" spans="5:6" ht="15" customHeight="1" x14ac:dyDescent="0.2">
      <c r="E14739" s="18"/>
      <c r="F14739" s="18"/>
    </row>
    <row r="14740" spans="5:6" ht="15" customHeight="1" x14ac:dyDescent="0.2">
      <c r="E14740" s="18"/>
      <c r="F14740" s="18"/>
    </row>
    <row r="14741" spans="5:6" ht="15" customHeight="1" x14ac:dyDescent="0.2">
      <c r="E14741" s="18"/>
      <c r="F14741" s="18"/>
    </row>
    <row r="14742" spans="5:6" ht="15" customHeight="1" x14ac:dyDescent="0.2">
      <c r="E14742" s="18"/>
      <c r="F14742" s="18"/>
    </row>
    <row r="14743" spans="5:6" ht="15" customHeight="1" x14ac:dyDescent="0.2">
      <c r="E14743" s="18"/>
      <c r="F14743" s="18"/>
    </row>
    <row r="14744" spans="5:6" ht="15" customHeight="1" x14ac:dyDescent="0.2">
      <c r="E14744" s="18"/>
      <c r="F14744" s="18"/>
    </row>
    <row r="14745" spans="5:6" ht="15" customHeight="1" x14ac:dyDescent="0.2">
      <c r="E14745" s="18"/>
      <c r="F14745" s="18"/>
    </row>
    <row r="14746" spans="5:6" ht="15" customHeight="1" x14ac:dyDescent="0.2">
      <c r="E14746" s="18"/>
      <c r="F14746" s="18"/>
    </row>
    <row r="14747" spans="5:6" ht="15" customHeight="1" x14ac:dyDescent="0.2">
      <c r="E14747" s="18"/>
      <c r="F14747" s="18"/>
    </row>
    <row r="14748" spans="5:6" ht="15" customHeight="1" x14ac:dyDescent="0.2">
      <c r="E14748" s="18"/>
      <c r="F14748" s="18"/>
    </row>
    <row r="14749" spans="5:6" ht="15" customHeight="1" x14ac:dyDescent="0.2">
      <c r="E14749" s="18"/>
      <c r="F14749" s="18"/>
    </row>
    <row r="14750" spans="5:6" ht="15" customHeight="1" x14ac:dyDescent="0.2">
      <c r="E14750" s="18"/>
      <c r="F14750" s="18"/>
    </row>
    <row r="14751" spans="5:6" ht="15" customHeight="1" x14ac:dyDescent="0.2">
      <c r="E14751" s="18"/>
      <c r="F14751" s="18"/>
    </row>
    <row r="14752" spans="5:6" ht="15" customHeight="1" x14ac:dyDescent="0.2">
      <c r="E14752" s="18"/>
      <c r="F14752" s="18"/>
    </row>
    <row r="14753" spans="5:6" ht="15" customHeight="1" x14ac:dyDescent="0.2">
      <c r="E14753" s="18"/>
      <c r="F14753" s="18"/>
    </row>
    <row r="14754" spans="5:6" ht="15" customHeight="1" x14ac:dyDescent="0.2">
      <c r="E14754" s="18"/>
      <c r="F14754" s="18"/>
    </row>
    <row r="14755" spans="5:6" ht="15" customHeight="1" x14ac:dyDescent="0.2">
      <c r="E14755" s="18"/>
      <c r="F14755" s="18"/>
    </row>
    <row r="14756" spans="5:6" ht="15" customHeight="1" x14ac:dyDescent="0.2">
      <c r="E14756" s="18"/>
      <c r="F14756" s="18"/>
    </row>
    <row r="14757" spans="5:6" ht="15" customHeight="1" x14ac:dyDescent="0.2">
      <c r="E14757" s="18"/>
      <c r="F14757" s="18"/>
    </row>
    <row r="14758" spans="5:6" ht="15" customHeight="1" x14ac:dyDescent="0.2">
      <c r="E14758" s="18"/>
      <c r="F14758" s="18"/>
    </row>
    <row r="14759" spans="5:6" ht="15" customHeight="1" x14ac:dyDescent="0.2">
      <c r="E14759" s="18"/>
      <c r="F14759" s="18"/>
    </row>
    <row r="14760" spans="5:6" ht="15" customHeight="1" x14ac:dyDescent="0.2">
      <c r="E14760" s="18"/>
      <c r="F14760" s="18"/>
    </row>
    <row r="14761" spans="5:6" ht="15" customHeight="1" x14ac:dyDescent="0.2">
      <c r="E14761" s="18"/>
      <c r="F14761" s="18"/>
    </row>
    <row r="14762" spans="5:6" ht="15" customHeight="1" x14ac:dyDescent="0.2">
      <c r="E14762" s="18"/>
      <c r="F14762" s="18"/>
    </row>
    <row r="14763" spans="5:6" ht="15" customHeight="1" x14ac:dyDescent="0.2">
      <c r="E14763" s="18"/>
      <c r="F14763" s="18"/>
    </row>
    <row r="14764" spans="5:6" ht="15" customHeight="1" x14ac:dyDescent="0.2">
      <c r="E14764" s="18"/>
      <c r="F14764" s="18"/>
    </row>
    <row r="14765" spans="5:6" ht="15" customHeight="1" x14ac:dyDescent="0.2">
      <c r="E14765" s="18"/>
      <c r="F14765" s="18"/>
    </row>
    <row r="14766" spans="5:6" ht="15" customHeight="1" x14ac:dyDescent="0.2">
      <c r="E14766" s="18"/>
      <c r="F14766" s="18"/>
    </row>
    <row r="14767" spans="5:6" ht="15" customHeight="1" x14ac:dyDescent="0.2">
      <c r="E14767" s="18"/>
      <c r="F14767" s="18"/>
    </row>
    <row r="14768" spans="5:6" ht="15" customHeight="1" x14ac:dyDescent="0.2">
      <c r="E14768" s="18"/>
      <c r="F14768" s="18"/>
    </row>
    <row r="14769" spans="5:6" ht="15" customHeight="1" x14ac:dyDescent="0.2">
      <c r="E14769" s="18"/>
      <c r="F14769" s="18"/>
    </row>
    <row r="14770" spans="5:6" ht="15" customHeight="1" x14ac:dyDescent="0.2">
      <c r="E14770" s="18"/>
      <c r="F14770" s="18"/>
    </row>
    <row r="14771" spans="5:6" ht="15" customHeight="1" x14ac:dyDescent="0.2">
      <c r="E14771" s="18"/>
      <c r="F14771" s="18"/>
    </row>
    <row r="14772" spans="5:6" ht="15" customHeight="1" x14ac:dyDescent="0.2">
      <c r="E14772" s="18"/>
      <c r="F14772" s="18"/>
    </row>
    <row r="14773" spans="5:6" ht="15" customHeight="1" x14ac:dyDescent="0.2">
      <c r="E14773" s="18"/>
      <c r="F14773" s="18"/>
    </row>
    <row r="14774" spans="5:6" ht="15" customHeight="1" x14ac:dyDescent="0.2">
      <c r="E14774" s="18"/>
      <c r="F14774" s="18"/>
    </row>
    <row r="14775" spans="5:6" ht="15" customHeight="1" x14ac:dyDescent="0.2">
      <c r="E14775" s="18"/>
      <c r="F14775" s="18"/>
    </row>
    <row r="14776" spans="5:6" ht="15" customHeight="1" x14ac:dyDescent="0.2">
      <c r="E14776" s="18"/>
      <c r="F14776" s="18"/>
    </row>
    <row r="14777" spans="5:6" ht="15" customHeight="1" x14ac:dyDescent="0.2">
      <c r="E14777" s="18"/>
      <c r="F14777" s="18"/>
    </row>
    <row r="14778" spans="5:6" ht="15" customHeight="1" x14ac:dyDescent="0.2">
      <c r="E14778" s="18"/>
      <c r="F14778" s="18"/>
    </row>
    <row r="14779" spans="5:6" ht="15" customHeight="1" x14ac:dyDescent="0.2">
      <c r="E14779" s="18"/>
      <c r="F14779" s="18"/>
    </row>
    <row r="14780" spans="5:6" ht="15" customHeight="1" x14ac:dyDescent="0.2">
      <c r="E14780" s="18"/>
      <c r="F14780" s="18"/>
    </row>
    <row r="14781" spans="5:6" ht="15" customHeight="1" x14ac:dyDescent="0.2">
      <c r="E14781" s="18"/>
      <c r="F14781" s="18"/>
    </row>
    <row r="14782" spans="5:6" ht="15" customHeight="1" x14ac:dyDescent="0.2">
      <c r="E14782" s="18"/>
      <c r="F14782" s="18"/>
    </row>
    <row r="14783" spans="5:6" ht="15" customHeight="1" x14ac:dyDescent="0.2">
      <c r="E14783" s="18"/>
      <c r="F14783" s="18"/>
    </row>
    <row r="14784" spans="5:6" ht="15" customHeight="1" x14ac:dyDescent="0.2">
      <c r="E14784" s="18"/>
      <c r="F14784" s="18"/>
    </row>
    <row r="14785" spans="5:6" ht="15" customHeight="1" x14ac:dyDescent="0.2">
      <c r="E14785" s="18"/>
      <c r="F14785" s="18"/>
    </row>
    <row r="14786" spans="5:6" ht="15" customHeight="1" x14ac:dyDescent="0.2">
      <c r="E14786" s="18"/>
      <c r="F14786" s="18"/>
    </row>
    <row r="14787" spans="5:6" ht="15" customHeight="1" x14ac:dyDescent="0.2">
      <c r="E14787" s="18"/>
      <c r="F14787" s="18"/>
    </row>
    <row r="14788" spans="5:6" ht="15" customHeight="1" x14ac:dyDescent="0.2">
      <c r="E14788" s="18"/>
      <c r="F14788" s="18"/>
    </row>
    <row r="14789" spans="5:6" ht="15" customHeight="1" x14ac:dyDescent="0.2">
      <c r="E14789" s="18"/>
      <c r="F14789" s="18"/>
    </row>
    <row r="14790" spans="5:6" ht="15" customHeight="1" x14ac:dyDescent="0.2">
      <c r="E14790" s="18"/>
      <c r="F14790" s="18"/>
    </row>
    <row r="14791" spans="5:6" ht="15" customHeight="1" x14ac:dyDescent="0.2">
      <c r="E14791" s="18"/>
      <c r="F14791" s="18"/>
    </row>
    <row r="14792" spans="5:6" ht="15" customHeight="1" x14ac:dyDescent="0.2">
      <c r="E14792" s="18"/>
      <c r="F14792" s="18"/>
    </row>
    <row r="14793" spans="5:6" ht="15" customHeight="1" x14ac:dyDescent="0.2">
      <c r="E14793" s="18"/>
      <c r="F14793" s="18"/>
    </row>
    <row r="14794" spans="5:6" ht="15" customHeight="1" x14ac:dyDescent="0.2">
      <c r="E14794" s="18"/>
      <c r="F14794" s="18"/>
    </row>
    <row r="14795" spans="5:6" ht="15" customHeight="1" x14ac:dyDescent="0.2">
      <c r="E14795" s="18"/>
      <c r="F14795" s="18"/>
    </row>
    <row r="14796" spans="5:6" ht="15" customHeight="1" x14ac:dyDescent="0.2">
      <c r="E14796" s="18"/>
      <c r="F14796" s="18"/>
    </row>
    <row r="14797" spans="5:6" ht="15" customHeight="1" x14ac:dyDescent="0.2">
      <c r="E14797" s="18"/>
      <c r="F14797" s="18"/>
    </row>
    <row r="14798" spans="5:6" ht="15" customHeight="1" x14ac:dyDescent="0.2">
      <c r="E14798" s="18"/>
      <c r="F14798" s="18"/>
    </row>
    <row r="14799" spans="5:6" ht="15" customHeight="1" x14ac:dyDescent="0.2">
      <c r="E14799" s="18"/>
      <c r="F14799" s="18"/>
    </row>
    <row r="14800" spans="5:6" ht="15" customHeight="1" x14ac:dyDescent="0.2">
      <c r="E14800" s="18"/>
      <c r="F14800" s="18"/>
    </row>
    <row r="14801" spans="5:6" ht="15" customHeight="1" x14ac:dyDescent="0.2">
      <c r="E14801" s="18"/>
      <c r="F14801" s="18"/>
    </row>
    <row r="14802" spans="5:6" ht="15" customHeight="1" x14ac:dyDescent="0.2">
      <c r="E14802" s="18"/>
      <c r="F14802" s="18"/>
    </row>
    <row r="14803" spans="5:6" ht="15" customHeight="1" x14ac:dyDescent="0.2">
      <c r="E14803" s="18"/>
      <c r="F14803" s="18"/>
    </row>
    <row r="14804" spans="5:6" ht="15" customHeight="1" x14ac:dyDescent="0.2">
      <c r="E14804" s="18"/>
      <c r="F14804" s="18"/>
    </row>
    <row r="14805" spans="5:6" ht="15" customHeight="1" x14ac:dyDescent="0.2">
      <c r="E14805" s="18"/>
      <c r="F14805" s="18"/>
    </row>
    <row r="14806" spans="5:6" ht="15" customHeight="1" x14ac:dyDescent="0.2">
      <c r="E14806" s="18"/>
      <c r="F14806" s="18"/>
    </row>
    <row r="14807" spans="5:6" ht="15" customHeight="1" x14ac:dyDescent="0.2">
      <c r="E14807" s="18"/>
      <c r="F14807" s="18"/>
    </row>
    <row r="14808" spans="5:6" ht="15" customHeight="1" x14ac:dyDescent="0.2">
      <c r="E14808" s="18"/>
      <c r="F14808" s="18"/>
    </row>
    <row r="14809" spans="5:6" ht="15" customHeight="1" x14ac:dyDescent="0.2">
      <c r="E14809" s="18"/>
      <c r="F14809" s="18"/>
    </row>
    <row r="14810" spans="5:6" ht="15" customHeight="1" x14ac:dyDescent="0.2">
      <c r="E14810" s="18"/>
      <c r="F14810" s="18"/>
    </row>
    <row r="14811" spans="5:6" ht="15" customHeight="1" x14ac:dyDescent="0.2">
      <c r="E14811" s="18"/>
      <c r="F14811" s="18"/>
    </row>
    <row r="14812" spans="5:6" ht="15" customHeight="1" x14ac:dyDescent="0.2">
      <c r="E14812" s="18"/>
      <c r="F14812" s="18"/>
    </row>
    <row r="14813" spans="5:6" ht="15" customHeight="1" x14ac:dyDescent="0.2">
      <c r="E14813" s="18"/>
      <c r="F14813" s="18"/>
    </row>
    <row r="14814" spans="5:6" ht="15" customHeight="1" x14ac:dyDescent="0.2">
      <c r="E14814" s="18"/>
      <c r="F14814" s="18"/>
    </row>
    <row r="14815" spans="5:6" ht="15" customHeight="1" x14ac:dyDescent="0.2">
      <c r="E14815" s="18"/>
      <c r="F14815" s="18"/>
    </row>
    <row r="14816" spans="5:6" ht="15" customHeight="1" x14ac:dyDescent="0.2">
      <c r="E14816" s="18"/>
      <c r="F14816" s="18"/>
    </row>
    <row r="14817" spans="5:6" ht="15" customHeight="1" x14ac:dyDescent="0.2">
      <c r="E14817" s="18"/>
      <c r="F14817" s="18"/>
    </row>
    <row r="14818" spans="5:6" ht="15" customHeight="1" x14ac:dyDescent="0.2">
      <c r="E14818" s="18"/>
      <c r="F14818" s="18"/>
    </row>
    <row r="14819" spans="5:6" ht="15" customHeight="1" x14ac:dyDescent="0.2">
      <c r="E14819" s="18"/>
      <c r="F14819" s="18"/>
    </row>
    <row r="14820" spans="5:6" ht="15" customHeight="1" x14ac:dyDescent="0.2">
      <c r="E14820" s="18"/>
      <c r="F14820" s="18"/>
    </row>
    <row r="14821" spans="5:6" ht="15" customHeight="1" x14ac:dyDescent="0.2">
      <c r="E14821" s="18"/>
      <c r="F14821" s="18"/>
    </row>
    <row r="14822" spans="5:6" ht="15" customHeight="1" x14ac:dyDescent="0.2">
      <c r="E14822" s="18"/>
      <c r="F14822" s="18"/>
    </row>
    <row r="14823" spans="5:6" ht="15" customHeight="1" x14ac:dyDescent="0.2">
      <c r="E14823" s="18"/>
      <c r="F14823" s="18"/>
    </row>
    <row r="14824" spans="5:6" ht="15" customHeight="1" x14ac:dyDescent="0.2">
      <c r="E14824" s="18"/>
      <c r="F14824" s="18"/>
    </row>
    <row r="14825" spans="5:6" ht="15" customHeight="1" x14ac:dyDescent="0.2">
      <c r="E14825" s="18"/>
      <c r="F14825" s="18"/>
    </row>
    <row r="14826" spans="5:6" ht="15" customHeight="1" x14ac:dyDescent="0.2">
      <c r="E14826" s="18"/>
      <c r="F14826" s="18"/>
    </row>
    <row r="14827" spans="5:6" ht="15" customHeight="1" x14ac:dyDescent="0.2">
      <c r="E14827" s="18"/>
      <c r="F14827" s="18"/>
    </row>
    <row r="14828" spans="5:6" ht="15" customHeight="1" x14ac:dyDescent="0.2">
      <c r="E14828" s="18"/>
      <c r="F14828" s="18"/>
    </row>
    <row r="14829" spans="5:6" ht="15" customHeight="1" x14ac:dyDescent="0.2">
      <c r="E14829" s="18"/>
      <c r="F14829" s="18"/>
    </row>
    <row r="14830" spans="5:6" ht="15" customHeight="1" x14ac:dyDescent="0.2">
      <c r="E14830" s="18"/>
      <c r="F14830" s="18"/>
    </row>
    <row r="14831" spans="5:6" ht="15" customHeight="1" x14ac:dyDescent="0.2">
      <c r="E14831" s="18"/>
      <c r="F14831" s="18"/>
    </row>
    <row r="14832" spans="5:6" ht="15" customHeight="1" x14ac:dyDescent="0.2">
      <c r="E14832" s="18"/>
      <c r="F14832" s="18"/>
    </row>
    <row r="14833" spans="5:6" ht="15" customHeight="1" x14ac:dyDescent="0.2">
      <c r="E14833" s="18"/>
      <c r="F14833" s="18"/>
    </row>
    <row r="14834" spans="5:6" ht="15" customHeight="1" x14ac:dyDescent="0.2">
      <c r="E14834" s="18"/>
      <c r="F14834" s="18"/>
    </row>
    <row r="14835" spans="5:6" ht="15" customHeight="1" x14ac:dyDescent="0.2">
      <c r="E14835" s="18"/>
      <c r="F14835" s="18"/>
    </row>
    <row r="14836" spans="5:6" ht="15" customHeight="1" x14ac:dyDescent="0.2">
      <c r="E14836" s="18"/>
      <c r="F14836" s="18"/>
    </row>
    <row r="14837" spans="5:6" ht="15" customHeight="1" x14ac:dyDescent="0.2">
      <c r="E14837" s="18"/>
      <c r="F14837" s="18"/>
    </row>
    <row r="14838" spans="5:6" ht="15" customHeight="1" x14ac:dyDescent="0.2">
      <c r="E14838" s="18"/>
      <c r="F14838" s="18"/>
    </row>
    <row r="14839" spans="5:6" ht="15" customHeight="1" x14ac:dyDescent="0.2">
      <c r="E14839" s="18"/>
      <c r="F14839" s="18"/>
    </row>
    <row r="14840" spans="5:6" ht="15" customHeight="1" x14ac:dyDescent="0.2">
      <c r="E14840" s="18"/>
      <c r="F14840" s="18"/>
    </row>
    <row r="14841" spans="5:6" ht="15" customHeight="1" x14ac:dyDescent="0.2">
      <c r="E14841" s="18"/>
      <c r="F14841" s="18"/>
    </row>
    <row r="14842" spans="5:6" ht="15" customHeight="1" x14ac:dyDescent="0.2">
      <c r="E14842" s="18"/>
      <c r="F14842" s="18"/>
    </row>
    <row r="14843" spans="5:6" ht="15" customHeight="1" x14ac:dyDescent="0.2">
      <c r="E14843" s="18"/>
      <c r="F14843" s="18"/>
    </row>
    <row r="14844" spans="5:6" ht="15" customHeight="1" x14ac:dyDescent="0.2">
      <c r="E14844" s="18"/>
      <c r="F14844" s="18"/>
    </row>
    <row r="14845" spans="5:6" ht="15" customHeight="1" x14ac:dyDescent="0.2">
      <c r="E14845" s="18"/>
      <c r="F14845" s="18"/>
    </row>
    <row r="14846" spans="5:6" ht="15" customHeight="1" x14ac:dyDescent="0.2">
      <c r="E14846" s="18"/>
      <c r="F14846" s="18"/>
    </row>
    <row r="14847" spans="5:6" ht="15" customHeight="1" x14ac:dyDescent="0.2">
      <c r="E14847" s="18"/>
      <c r="F14847" s="18"/>
    </row>
    <row r="14848" spans="5:6" ht="15" customHeight="1" x14ac:dyDescent="0.2">
      <c r="E14848" s="18"/>
      <c r="F14848" s="18"/>
    </row>
    <row r="14849" spans="5:6" ht="15" customHeight="1" x14ac:dyDescent="0.2">
      <c r="E14849" s="18"/>
      <c r="F14849" s="18"/>
    </row>
    <row r="14850" spans="5:6" ht="15" customHeight="1" x14ac:dyDescent="0.2">
      <c r="E14850" s="18"/>
      <c r="F14850" s="18"/>
    </row>
    <row r="14851" spans="5:6" ht="15" customHeight="1" x14ac:dyDescent="0.2">
      <c r="E14851" s="18"/>
      <c r="F14851" s="18"/>
    </row>
    <row r="14852" spans="5:6" ht="15" customHeight="1" x14ac:dyDescent="0.2">
      <c r="E14852" s="18"/>
      <c r="F14852" s="18"/>
    </row>
    <row r="14853" spans="5:6" ht="15" customHeight="1" x14ac:dyDescent="0.2">
      <c r="E14853" s="18"/>
      <c r="F14853" s="18"/>
    </row>
    <row r="14854" spans="5:6" ht="15" customHeight="1" x14ac:dyDescent="0.2">
      <c r="E14854" s="18"/>
      <c r="F14854" s="18"/>
    </row>
    <row r="14855" spans="5:6" ht="15" customHeight="1" x14ac:dyDescent="0.2">
      <c r="E14855" s="18"/>
      <c r="F14855" s="18"/>
    </row>
    <row r="14856" spans="5:6" ht="15" customHeight="1" x14ac:dyDescent="0.2">
      <c r="E14856" s="18"/>
      <c r="F14856" s="18"/>
    </row>
    <row r="14857" spans="5:6" ht="15" customHeight="1" x14ac:dyDescent="0.2">
      <c r="E14857" s="18"/>
      <c r="F14857" s="18"/>
    </row>
    <row r="14858" spans="5:6" ht="15" customHeight="1" x14ac:dyDescent="0.2">
      <c r="E14858" s="18"/>
      <c r="F14858" s="18"/>
    </row>
    <row r="14859" spans="5:6" ht="15" customHeight="1" x14ac:dyDescent="0.2">
      <c r="E14859" s="18"/>
      <c r="F14859" s="18"/>
    </row>
    <row r="14860" spans="5:6" ht="15" customHeight="1" x14ac:dyDescent="0.2">
      <c r="E14860" s="18"/>
      <c r="F14860" s="18"/>
    </row>
    <row r="14861" spans="5:6" ht="15" customHeight="1" x14ac:dyDescent="0.2">
      <c r="E14861" s="18"/>
      <c r="F14861" s="18"/>
    </row>
    <row r="14862" spans="5:6" ht="15" customHeight="1" x14ac:dyDescent="0.2">
      <c r="E14862" s="18"/>
      <c r="F14862" s="18"/>
    </row>
    <row r="14863" spans="5:6" ht="15" customHeight="1" x14ac:dyDescent="0.2">
      <c r="E14863" s="18"/>
      <c r="F14863" s="18"/>
    </row>
    <row r="14864" spans="5:6" ht="15" customHeight="1" x14ac:dyDescent="0.2">
      <c r="E14864" s="18"/>
      <c r="F14864" s="18"/>
    </row>
    <row r="14865" spans="5:6" ht="15" customHeight="1" x14ac:dyDescent="0.2">
      <c r="E14865" s="18"/>
      <c r="F14865" s="18"/>
    </row>
    <row r="14866" spans="5:6" ht="15" customHeight="1" x14ac:dyDescent="0.2">
      <c r="E14866" s="18"/>
      <c r="F14866" s="18"/>
    </row>
    <row r="14867" spans="5:6" ht="15" customHeight="1" x14ac:dyDescent="0.2">
      <c r="E14867" s="18"/>
      <c r="F14867" s="18"/>
    </row>
    <row r="14868" spans="5:6" ht="15" customHeight="1" x14ac:dyDescent="0.2">
      <c r="E14868" s="18"/>
      <c r="F14868" s="18"/>
    </row>
    <row r="14869" spans="5:6" ht="15" customHeight="1" x14ac:dyDescent="0.2">
      <c r="E14869" s="18"/>
      <c r="F14869" s="18"/>
    </row>
    <row r="14870" spans="5:6" ht="15" customHeight="1" x14ac:dyDescent="0.2">
      <c r="E14870" s="18"/>
      <c r="F14870" s="18"/>
    </row>
    <row r="14871" spans="5:6" ht="15" customHeight="1" x14ac:dyDescent="0.2">
      <c r="E14871" s="18"/>
      <c r="F14871" s="18"/>
    </row>
    <row r="14872" spans="5:6" ht="15" customHeight="1" x14ac:dyDescent="0.2">
      <c r="E14872" s="18"/>
      <c r="F14872" s="18"/>
    </row>
    <row r="14873" spans="5:6" ht="15" customHeight="1" x14ac:dyDescent="0.2">
      <c r="E14873" s="18"/>
      <c r="F14873" s="18"/>
    </row>
    <row r="14874" spans="5:6" ht="15" customHeight="1" x14ac:dyDescent="0.2">
      <c r="E14874" s="18"/>
      <c r="F14874" s="18"/>
    </row>
    <row r="14875" spans="5:6" ht="15" customHeight="1" x14ac:dyDescent="0.2">
      <c r="E14875" s="18"/>
      <c r="F14875" s="18"/>
    </row>
    <row r="14876" spans="5:6" ht="15" customHeight="1" x14ac:dyDescent="0.2">
      <c r="E14876" s="18"/>
      <c r="F14876" s="18"/>
    </row>
    <row r="14877" spans="5:6" ht="15" customHeight="1" x14ac:dyDescent="0.2">
      <c r="E14877" s="18"/>
      <c r="F14877" s="18"/>
    </row>
    <row r="14878" spans="5:6" ht="15" customHeight="1" x14ac:dyDescent="0.2">
      <c r="E14878" s="18"/>
      <c r="F14878" s="18"/>
    </row>
    <row r="14879" spans="5:6" ht="15" customHeight="1" x14ac:dyDescent="0.2">
      <c r="E14879" s="18"/>
      <c r="F14879" s="18"/>
    </row>
    <row r="14880" spans="5:6" ht="15" customHeight="1" x14ac:dyDescent="0.2">
      <c r="E14880" s="18"/>
      <c r="F14880" s="18"/>
    </row>
    <row r="14881" spans="5:6" ht="15" customHeight="1" x14ac:dyDescent="0.2">
      <c r="E14881" s="18"/>
      <c r="F14881" s="18"/>
    </row>
    <row r="14882" spans="5:6" ht="15" customHeight="1" x14ac:dyDescent="0.2">
      <c r="E14882" s="18"/>
      <c r="F14882" s="18"/>
    </row>
    <row r="14883" spans="5:6" ht="15" customHeight="1" x14ac:dyDescent="0.2">
      <c r="E14883" s="18"/>
      <c r="F14883" s="18"/>
    </row>
    <row r="14884" spans="5:6" ht="15" customHeight="1" x14ac:dyDescent="0.2">
      <c r="E14884" s="18"/>
      <c r="F14884" s="18"/>
    </row>
    <row r="14885" spans="5:6" ht="15" customHeight="1" x14ac:dyDescent="0.2">
      <c r="E14885" s="18"/>
      <c r="F14885" s="18"/>
    </row>
    <row r="14886" spans="5:6" ht="15" customHeight="1" x14ac:dyDescent="0.2">
      <c r="E14886" s="18"/>
      <c r="F14886" s="18"/>
    </row>
    <row r="14887" spans="5:6" ht="15" customHeight="1" x14ac:dyDescent="0.2">
      <c r="E14887" s="18"/>
      <c r="F14887" s="18"/>
    </row>
    <row r="14888" spans="5:6" ht="15" customHeight="1" x14ac:dyDescent="0.2">
      <c r="E14888" s="18"/>
      <c r="F14888" s="18"/>
    </row>
    <row r="14889" spans="5:6" ht="15" customHeight="1" x14ac:dyDescent="0.2">
      <c r="E14889" s="18"/>
      <c r="F14889" s="18"/>
    </row>
    <row r="14890" spans="5:6" ht="15" customHeight="1" x14ac:dyDescent="0.2">
      <c r="E14890" s="18"/>
      <c r="F14890" s="18"/>
    </row>
    <row r="14891" spans="5:6" ht="15" customHeight="1" x14ac:dyDescent="0.2">
      <c r="E14891" s="18"/>
      <c r="F14891" s="18"/>
    </row>
    <row r="14892" spans="5:6" ht="15" customHeight="1" x14ac:dyDescent="0.2">
      <c r="E14892" s="18"/>
      <c r="F14892" s="18"/>
    </row>
    <row r="14893" spans="5:6" ht="15" customHeight="1" x14ac:dyDescent="0.2">
      <c r="E14893" s="18"/>
      <c r="F14893" s="18"/>
    </row>
    <row r="14894" spans="5:6" ht="15" customHeight="1" x14ac:dyDescent="0.2">
      <c r="E14894" s="18"/>
      <c r="F14894" s="18"/>
    </row>
    <row r="14895" spans="5:6" ht="15" customHeight="1" x14ac:dyDescent="0.2">
      <c r="E14895" s="18"/>
      <c r="F14895" s="18"/>
    </row>
    <row r="14896" spans="5:6" ht="15" customHeight="1" x14ac:dyDescent="0.2">
      <c r="E14896" s="18"/>
      <c r="F14896" s="18"/>
    </row>
    <row r="14897" spans="5:6" ht="15" customHeight="1" x14ac:dyDescent="0.2">
      <c r="E14897" s="18"/>
      <c r="F14897" s="18"/>
    </row>
    <row r="14898" spans="5:6" ht="15" customHeight="1" x14ac:dyDescent="0.2">
      <c r="E14898" s="18"/>
      <c r="F14898" s="18"/>
    </row>
    <row r="14899" spans="5:6" ht="15" customHeight="1" x14ac:dyDescent="0.2">
      <c r="E14899" s="18"/>
      <c r="F14899" s="18"/>
    </row>
    <row r="14900" spans="5:6" ht="15" customHeight="1" x14ac:dyDescent="0.2">
      <c r="E14900" s="18"/>
      <c r="F14900" s="18"/>
    </row>
    <row r="14901" spans="5:6" ht="15" customHeight="1" x14ac:dyDescent="0.2">
      <c r="E14901" s="18"/>
      <c r="F14901" s="18"/>
    </row>
    <row r="14902" spans="5:6" ht="15" customHeight="1" x14ac:dyDescent="0.2">
      <c r="E14902" s="18"/>
      <c r="F14902" s="18"/>
    </row>
    <row r="14903" spans="5:6" ht="15" customHeight="1" x14ac:dyDescent="0.2">
      <c r="E14903" s="18"/>
      <c r="F14903" s="18"/>
    </row>
    <row r="14904" spans="5:6" ht="15" customHeight="1" x14ac:dyDescent="0.2">
      <c r="E14904" s="18"/>
      <c r="F14904" s="18"/>
    </row>
    <row r="14905" spans="5:6" ht="15" customHeight="1" x14ac:dyDescent="0.2">
      <c r="E14905" s="18"/>
      <c r="F14905" s="18"/>
    </row>
    <row r="14906" spans="5:6" ht="15" customHeight="1" x14ac:dyDescent="0.2">
      <c r="E14906" s="18"/>
      <c r="F14906" s="18"/>
    </row>
    <row r="14907" spans="5:6" ht="15" customHeight="1" x14ac:dyDescent="0.2">
      <c r="E14907" s="18"/>
      <c r="F14907" s="18"/>
    </row>
    <row r="14908" spans="5:6" ht="15" customHeight="1" x14ac:dyDescent="0.2">
      <c r="E14908" s="18"/>
      <c r="F14908" s="18"/>
    </row>
    <row r="14909" spans="5:6" ht="15" customHeight="1" x14ac:dyDescent="0.2">
      <c r="E14909" s="18"/>
      <c r="F14909" s="18"/>
    </row>
    <row r="14910" spans="5:6" ht="15" customHeight="1" x14ac:dyDescent="0.2">
      <c r="E14910" s="18"/>
      <c r="F14910" s="18"/>
    </row>
    <row r="14911" spans="5:6" ht="15" customHeight="1" x14ac:dyDescent="0.2">
      <c r="E14911" s="18"/>
      <c r="F14911" s="18"/>
    </row>
    <row r="14912" spans="5:6" ht="15" customHeight="1" x14ac:dyDescent="0.2">
      <c r="E14912" s="18"/>
      <c r="F14912" s="18"/>
    </row>
    <row r="14913" spans="5:6" ht="15" customHeight="1" x14ac:dyDescent="0.2">
      <c r="E14913" s="18"/>
      <c r="F14913" s="18"/>
    </row>
    <row r="14914" spans="5:6" ht="15" customHeight="1" x14ac:dyDescent="0.2">
      <c r="E14914" s="18"/>
      <c r="F14914" s="18"/>
    </row>
    <row r="14915" spans="5:6" ht="15" customHeight="1" x14ac:dyDescent="0.2">
      <c r="E14915" s="18"/>
      <c r="F14915" s="18"/>
    </row>
    <row r="14916" spans="5:6" ht="15" customHeight="1" x14ac:dyDescent="0.2">
      <c r="E14916" s="18"/>
      <c r="F14916" s="18"/>
    </row>
    <row r="14917" spans="5:6" ht="15" customHeight="1" x14ac:dyDescent="0.2">
      <c r="E14917" s="18"/>
      <c r="F14917" s="18"/>
    </row>
    <row r="14918" spans="5:6" ht="15" customHeight="1" x14ac:dyDescent="0.2">
      <c r="E14918" s="18"/>
      <c r="F14918" s="18"/>
    </row>
    <row r="14919" spans="5:6" ht="15" customHeight="1" x14ac:dyDescent="0.2">
      <c r="E14919" s="18"/>
      <c r="F14919" s="18"/>
    </row>
    <row r="14920" spans="5:6" ht="15" customHeight="1" x14ac:dyDescent="0.2">
      <c r="E14920" s="18"/>
      <c r="F14920" s="18"/>
    </row>
    <row r="14921" spans="5:6" ht="15" customHeight="1" x14ac:dyDescent="0.2">
      <c r="E14921" s="18"/>
      <c r="F14921" s="18"/>
    </row>
    <row r="14922" spans="5:6" ht="15" customHeight="1" x14ac:dyDescent="0.2">
      <c r="E14922" s="18"/>
      <c r="F14922" s="18"/>
    </row>
    <row r="14923" spans="5:6" ht="15" customHeight="1" x14ac:dyDescent="0.2">
      <c r="E14923" s="18"/>
      <c r="F14923" s="18"/>
    </row>
    <row r="14924" spans="5:6" ht="15" customHeight="1" x14ac:dyDescent="0.2">
      <c r="E14924" s="18"/>
      <c r="F14924" s="18"/>
    </row>
    <row r="14925" spans="5:6" ht="15" customHeight="1" x14ac:dyDescent="0.2">
      <c r="E14925" s="18"/>
      <c r="F14925" s="18"/>
    </row>
    <row r="14926" spans="5:6" ht="15" customHeight="1" x14ac:dyDescent="0.2">
      <c r="E14926" s="18"/>
      <c r="F14926" s="18"/>
    </row>
    <row r="14927" spans="5:6" ht="15" customHeight="1" x14ac:dyDescent="0.2">
      <c r="E14927" s="18"/>
      <c r="F14927" s="18"/>
    </row>
    <row r="14928" spans="5:6" ht="15" customHeight="1" x14ac:dyDescent="0.2">
      <c r="E14928" s="18"/>
      <c r="F14928" s="18"/>
    </row>
    <row r="14929" spans="5:6" ht="15" customHeight="1" x14ac:dyDescent="0.2">
      <c r="E14929" s="18"/>
      <c r="F14929" s="18"/>
    </row>
    <row r="14930" spans="5:6" ht="15" customHeight="1" x14ac:dyDescent="0.2">
      <c r="E14930" s="18"/>
      <c r="F14930" s="18"/>
    </row>
    <row r="14931" spans="5:6" ht="15" customHeight="1" x14ac:dyDescent="0.2">
      <c r="E14931" s="18"/>
      <c r="F14931" s="18"/>
    </row>
    <row r="14932" spans="5:6" ht="15" customHeight="1" x14ac:dyDescent="0.2">
      <c r="E14932" s="18"/>
      <c r="F14932" s="18"/>
    </row>
    <row r="14933" spans="5:6" ht="15" customHeight="1" x14ac:dyDescent="0.2">
      <c r="E14933" s="18"/>
      <c r="F14933" s="18"/>
    </row>
    <row r="14934" spans="5:6" ht="15" customHeight="1" x14ac:dyDescent="0.2">
      <c r="E14934" s="18"/>
      <c r="F14934" s="18"/>
    </row>
    <row r="14935" spans="5:6" ht="15" customHeight="1" x14ac:dyDescent="0.2">
      <c r="E14935" s="18"/>
      <c r="F14935" s="18"/>
    </row>
    <row r="14936" spans="5:6" ht="15" customHeight="1" x14ac:dyDescent="0.2">
      <c r="E14936" s="18"/>
      <c r="F14936" s="18"/>
    </row>
    <row r="14937" spans="5:6" ht="15" customHeight="1" x14ac:dyDescent="0.2">
      <c r="E14937" s="18"/>
      <c r="F14937" s="18"/>
    </row>
    <row r="14938" spans="5:6" ht="15" customHeight="1" x14ac:dyDescent="0.2">
      <c r="E14938" s="18"/>
      <c r="F14938" s="18"/>
    </row>
    <row r="14939" spans="5:6" ht="15" customHeight="1" x14ac:dyDescent="0.2">
      <c r="E14939" s="18"/>
      <c r="F14939" s="18"/>
    </row>
    <row r="14940" spans="5:6" ht="15" customHeight="1" x14ac:dyDescent="0.2">
      <c r="E14940" s="18"/>
      <c r="F14940" s="18"/>
    </row>
    <row r="14941" spans="5:6" ht="15" customHeight="1" x14ac:dyDescent="0.2">
      <c r="E14941" s="18"/>
      <c r="F14941" s="18"/>
    </row>
    <row r="14942" spans="5:6" ht="15" customHeight="1" x14ac:dyDescent="0.2">
      <c r="E14942" s="18"/>
      <c r="F14942" s="18"/>
    </row>
    <row r="14943" spans="5:6" ht="15" customHeight="1" x14ac:dyDescent="0.2">
      <c r="E14943" s="18"/>
      <c r="F14943" s="18"/>
    </row>
    <row r="14944" spans="5:6" ht="15" customHeight="1" x14ac:dyDescent="0.2">
      <c r="E14944" s="18"/>
      <c r="F14944" s="18"/>
    </row>
    <row r="14945" spans="5:6" ht="15" customHeight="1" x14ac:dyDescent="0.2">
      <c r="E14945" s="18"/>
      <c r="F14945" s="18"/>
    </row>
    <row r="14946" spans="5:6" ht="15" customHeight="1" x14ac:dyDescent="0.2">
      <c r="E14946" s="18"/>
      <c r="F14946" s="18"/>
    </row>
    <row r="14947" spans="5:6" ht="15" customHeight="1" x14ac:dyDescent="0.2">
      <c r="E14947" s="18"/>
      <c r="F14947" s="18"/>
    </row>
    <row r="14948" spans="5:6" ht="15" customHeight="1" x14ac:dyDescent="0.2">
      <c r="E14948" s="18"/>
      <c r="F14948" s="18"/>
    </row>
    <row r="14949" spans="5:6" ht="15" customHeight="1" x14ac:dyDescent="0.2">
      <c r="E14949" s="18"/>
      <c r="F14949" s="18"/>
    </row>
    <row r="14950" spans="5:6" ht="15" customHeight="1" x14ac:dyDescent="0.2">
      <c r="E14950" s="18"/>
      <c r="F14950" s="18"/>
    </row>
    <row r="14951" spans="5:6" ht="15" customHeight="1" x14ac:dyDescent="0.2">
      <c r="E14951" s="18"/>
      <c r="F14951" s="18"/>
    </row>
    <row r="14952" spans="5:6" ht="15" customHeight="1" x14ac:dyDescent="0.2">
      <c r="E14952" s="18"/>
      <c r="F14952" s="18"/>
    </row>
    <row r="14953" spans="5:6" ht="15" customHeight="1" x14ac:dyDescent="0.2">
      <c r="E14953" s="18"/>
      <c r="F14953" s="18"/>
    </row>
    <row r="14954" spans="5:6" ht="15" customHeight="1" x14ac:dyDescent="0.2">
      <c r="E14954" s="18"/>
      <c r="F14954" s="18"/>
    </row>
    <row r="14955" spans="5:6" ht="15" customHeight="1" x14ac:dyDescent="0.2">
      <c r="E14955" s="18"/>
      <c r="F14955" s="18"/>
    </row>
    <row r="14956" spans="5:6" ht="15" customHeight="1" x14ac:dyDescent="0.2">
      <c r="E14956" s="18"/>
      <c r="F14956" s="18"/>
    </row>
    <row r="14957" spans="5:6" ht="15" customHeight="1" x14ac:dyDescent="0.2">
      <c r="E14957" s="18"/>
      <c r="F14957" s="18"/>
    </row>
    <row r="14958" spans="5:6" ht="15" customHeight="1" x14ac:dyDescent="0.2">
      <c r="E14958" s="18"/>
      <c r="F14958" s="18"/>
    </row>
    <row r="14959" spans="5:6" ht="15" customHeight="1" x14ac:dyDescent="0.2">
      <c r="E14959" s="18"/>
      <c r="F14959" s="18"/>
    </row>
    <row r="14960" spans="5:6" ht="15" customHeight="1" x14ac:dyDescent="0.2">
      <c r="E14960" s="18"/>
      <c r="F14960" s="18"/>
    </row>
    <row r="14961" spans="5:6" ht="15" customHeight="1" x14ac:dyDescent="0.2">
      <c r="E14961" s="18"/>
      <c r="F14961" s="18"/>
    </row>
    <row r="14962" spans="5:6" ht="15" customHeight="1" x14ac:dyDescent="0.2">
      <c r="E14962" s="18"/>
      <c r="F14962" s="18"/>
    </row>
    <row r="14963" spans="5:6" ht="15" customHeight="1" x14ac:dyDescent="0.2">
      <c r="E14963" s="18"/>
      <c r="F14963" s="18"/>
    </row>
    <row r="14964" spans="5:6" ht="15" customHeight="1" x14ac:dyDescent="0.2">
      <c r="E14964" s="18"/>
      <c r="F14964" s="18"/>
    </row>
    <row r="14965" spans="5:6" ht="15" customHeight="1" x14ac:dyDescent="0.2">
      <c r="E14965" s="18"/>
      <c r="F14965" s="18"/>
    </row>
    <row r="14966" spans="5:6" ht="15" customHeight="1" x14ac:dyDescent="0.2">
      <c r="E14966" s="18"/>
      <c r="F14966" s="18"/>
    </row>
    <row r="14967" spans="5:6" ht="15" customHeight="1" x14ac:dyDescent="0.2">
      <c r="E14967" s="18"/>
      <c r="F14967" s="18"/>
    </row>
    <row r="14968" spans="5:6" ht="15" customHeight="1" x14ac:dyDescent="0.2">
      <c r="E14968" s="18"/>
      <c r="F14968" s="18"/>
    </row>
    <row r="14969" spans="5:6" ht="15" customHeight="1" x14ac:dyDescent="0.2">
      <c r="E14969" s="18"/>
      <c r="F14969" s="18"/>
    </row>
    <row r="14970" spans="5:6" ht="15" customHeight="1" x14ac:dyDescent="0.2">
      <c r="E14970" s="18"/>
      <c r="F14970" s="18"/>
    </row>
    <row r="14971" spans="5:6" ht="15" customHeight="1" x14ac:dyDescent="0.2">
      <c r="E14971" s="18"/>
      <c r="F14971" s="18"/>
    </row>
    <row r="14972" spans="5:6" ht="15" customHeight="1" x14ac:dyDescent="0.2">
      <c r="E14972" s="18"/>
      <c r="F14972" s="18"/>
    </row>
    <row r="14973" spans="5:6" ht="15" customHeight="1" x14ac:dyDescent="0.2">
      <c r="E14973" s="18"/>
      <c r="F14973" s="18"/>
    </row>
    <row r="14974" spans="5:6" ht="15" customHeight="1" x14ac:dyDescent="0.2">
      <c r="E14974" s="18"/>
      <c r="F14974" s="18"/>
    </row>
    <row r="14975" spans="5:6" ht="15" customHeight="1" x14ac:dyDescent="0.2">
      <c r="E14975" s="18"/>
      <c r="F14975" s="18"/>
    </row>
    <row r="14976" spans="5:6" ht="15" customHeight="1" x14ac:dyDescent="0.2">
      <c r="E14976" s="18"/>
      <c r="F14976" s="18"/>
    </row>
    <row r="14977" spans="5:6" ht="15" customHeight="1" x14ac:dyDescent="0.2">
      <c r="E14977" s="18"/>
      <c r="F14977" s="18"/>
    </row>
    <row r="14978" spans="5:6" ht="15" customHeight="1" x14ac:dyDescent="0.2">
      <c r="E14978" s="18"/>
      <c r="F14978" s="18"/>
    </row>
    <row r="14979" spans="5:6" ht="15" customHeight="1" x14ac:dyDescent="0.2">
      <c r="E14979" s="18"/>
      <c r="F14979" s="18"/>
    </row>
    <row r="14980" spans="5:6" ht="15" customHeight="1" x14ac:dyDescent="0.2">
      <c r="E14980" s="18"/>
      <c r="F14980" s="18"/>
    </row>
    <row r="14981" spans="5:6" ht="15" customHeight="1" x14ac:dyDescent="0.2">
      <c r="E14981" s="18"/>
      <c r="F14981" s="18"/>
    </row>
    <row r="14982" spans="5:6" ht="15" customHeight="1" x14ac:dyDescent="0.2">
      <c r="E14982" s="18"/>
      <c r="F14982" s="18"/>
    </row>
    <row r="14983" spans="5:6" ht="15" customHeight="1" x14ac:dyDescent="0.2">
      <c r="E14983" s="18"/>
      <c r="F14983" s="18"/>
    </row>
    <row r="14984" spans="5:6" ht="15" customHeight="1" x14ac:dyDescent="0.2">
      <c r="E14984" s="18"/>
      <c r="F14984" s="18"/>
    </row>
    <row r="14985" spans="5:6" ht="15" customHeight="1" x14ac:dyDescent="0.2">
      <c r="E14985" s="18"/>
      <c r="F14985" s="18"/>
    </row>
    <row r="14986" spans="5:6" ht="15" customHeight="1" x14ac:dyDescent="0.2">
      <c r="E14986" s="18"/>
      <c r="F14986" s="18"/>
    </row>
    <row r="14987" spans="5:6" ht="15" customHeight="1" x14ac:dyDescent="0.2">
      <c r="E14987" s="18"/>
      <c r="F14987" s="18"/>
    </row>
    <row r="14988" spans="5:6" ht="15" customHeight="1" x14ac:dyDescent="0.2">
      <c r="E14988" s="18"/>
      <c r="F14988" s="18"/>
    </row>
    <row r="14989" spans="5:6" ht="15" customHeight="1" x14ac:dyDescent="0.2">
      <c r="E14989" s="18"/>
      <c r="F14989" s="18"/>
    </row>
    <row r="14990" spans="5:6" ht="15" customHeight="1" x14ac:dyDescent="0.2">
      <c r="E14990" s="18"/>
      <c r="F14990" s="18"/>
    </row>
    <row r="14991" spans="5:6" ht="15" customHeight="1" x14ac:dyDescent="0.2">
      <c r="E14991" s="18"/>
      <c r="F14991" s="18"/>
    </row>
    <row r="14992" spans="5:6" ht="15" customHeight="1" x14ac:dyDescent="0.2">
      <c r="E14992" s="18"/>
      <c r="F14992" s="18"/>
    </row>
    <row r="14993" spans="5:6" ht="15" customHeight="1" x14ac:dyDescent="0.2">
      <c r="E14993" s="18"/>
      <c r="F14993" s="18"/>
    </row>
    <row r="14994" spans="5:6" ht="15" customHeight="1" x14ac:dyDescent="0.2">
      <c r="E14994" s="18"/>
      <c r="F14994" s="18"/>
    </row>
    <row r="14995" spans="5:6" ht="15" customHeight="1" x14ac:dyDescent="0.2">
      <c r="E14995" s="18"/>
      <c r="F14995" s="18"/>
    </row>
    <row r="14996" spans="5:6" ht="15" customHeight="1" x14ac:dyDescent="0.2">
      <c r="E14996" s="18"/>
      <c r="F14996" s="18"/>
    </row>
    <row r="14997" spans="5:6" ht="15" customHeight="1" x14ac:dyDescent="0.2">
      <c r="E14997" s="18"/>
      <c r="F14997" s="18"/>
    </row>
    <row r="14998" spans="5:6" ht="15" customHeight="1" x14ac:dyDescent="0.2">
      <c r="E14998" s="18"/>
      <c r="F14998" s="18"/>
    </row>
    <row r="14999" spans="5:6" ht="15" customHeight="1" x14ac:dyDescent="0.2">
      <c r="E14999" s="18"/>
      <c r="F14999" s="18"/>
    </row>
    <row r="15000" spans="5:6" ht="15" customHeight="1" x14ac:dyDescent="0.2">
      <c r="E15000" s="18"/>
      <c r="F15000" s="18"/>
    </row>
    <row r="15001" spans="5:6" ht="15" customHeight="1" x14ac:dyDescent="0.2">
      <c r="E15001" s="18"/>
      <c r="F15001" s="18"/>
    </row>
    <row r="15002" spans="5:6" ht="15" customHeight="1" x14ac:dyDescent="0.2">
      <c r="E15002" s="18"/>
      <c r="F15002" s="18"/>
    </row>
    <row r="15003" spans="5:6" ht="15" customHeight="1" x14ac:dyDescent="0.2">
      <c r="E15003" s="18"/>
      <c r="F15003" s="18"/>
    </row>
    <row r="15004" spans="5:6" ht="15" customHeight="1" x14ac:dyDescent="0.2">
      <c r="E15004" s="18"/>
      <c r="F15004" s="18"/>
    </row>
    <row r="15005" spans="5:6" ht="15" customHeight="1" x14ac:dyDescent="0.2">
      <c r="E15005" s="18"/>
      <c r="F15005" s="18"/>
    </row>
    <row r="15006" spans="5:6" ht="15" customHeight="1" x14ac:dyDescent="0.2">
      <c r="E15006" s="18"/>
      <c r="F15006" s="18"/>
    </row>
    <row r="15007" spans="5:6" ht="15" customHeight="1" x14ac:dyDescent="0.2">
      <c r="E15007" s="18"/>
      <c r="F15007" s="18"/>
    </row>
    <row r="15008" spans="5:6" ht="15" customHeight="1" x14ac:dyDescent="0.2">
      <c r="E15008" s="18"/>
      <c r="F15008" s="18"/>
    </row>
    <row r="15009" spans="5:6" ht="15" customHeight="1" x14ac:dyDescent="0.2">
      <c r="E15009" s="18"/>
      <c r="F15009" s="18"/>
    </row>
    <row r="15010" spans="5:6" ht="15" customHeight="1" x14ac:dyDescent="0.2">
      <c r="E15010" s="18"/>
      <c r="F15010" s="18"/>
    </row>
    <row r="15011" spans="5:6" ht="15" customHeight="1" x14ac:dyDescent="0.2">
      <c r="E15011" s="18"/>
      <c r="F15011" s="18"/>
    </row>
    <row r="15012" spans="5:6" ht="15" customHeight="1" x14ac:dyDescent="0.2">
      <c r="E15012" s="18"/>
      <c r="F15012" s="18"/>
    </row>
    <row r="15013" spans="5:6" ht="15" customHeight="1" x14ac:dyDescent="0.2">
      <c r="E15013" s="18"/>
      <c r="F15013" s="18"/>
    </row>
    <row r="15014" spans="5:6" ht="15" customHeight="1" x14ac:dyDescent="0.2">
      <c r="E15014" s="18"/>
      <c r="F15014" s="18"/>
    </row>
    <row r="15015" spans="5:6" ht="15" customHeight="1" x14ac:dyDescent="0.2">
      <c r="E15015" s="18"/>
      <c r="F15015" s="18"/>
    </row>
    <row r="15016" spans="5:6" ht="15" customHeight="1" x14ac:dyDescent="0.2">
      <c r="E15016" s="18"/>
      <c r="F15016" s="18"/>
    </row>
    <row r="15017" spans="5:6" ht="15" customHeight="1" x14ac:dyDescent="0.2">
      <c r="E15017" s="18"/>
      <c r="F15017" s="18"/>
    </row>
    <row r="15018" spans="5:6" ht="15" customHeight="1" x14ac:dyDescent="0.2">
      <c r="E15018" s="18"/>
      <c r="F15018" s="18"/>
    </row>
    <row r="15019" spans="5:6" ht="15" customHeight="1" x14ac:dyDescent="0.2">
      <c r="E15019" s="18"/>
      <c r="F15019" s="18"/>
    </row>
    <row r="15020" spans="5:6" ht="15" customHeight="1" x14ac:dyDescent="0.2">
      <c r="E15020" s="18"/>
      <c r="F15020" s="18"/>
    </row>
    <row r="15021" spans="5:6" ht="15" customHeight="1" x14ac:dyDescent="0.2">
      <c r="E15021" s="18"/>
      <c r="F15021" s="18"/>
    </row>
    <row r="15022" spans="5:6" ht="15" customHeight="1" x14ac:dyDescent="0.2">
      <c r="E15022" s="18"/>
      <c r="F15022" s="18"/>
    </row>
    <row r="15023" spans="5:6" ht="15" customHeight="1" x14ac:dyDescent="0.2">
      <c r="E15023" s="18"/>
      <c r="F15023" s="18"/>
    </row>
    <row r="15024" spans="5:6" ht="15" customHeight="1" x14ac:dyDescent="0.2">
      <c r="E15024" s="18"/>
      <c r="F15024" s="18"/>
    </row>
    <row r="15025" spans="5:6" ht="15" customHeight="1" x14ac:dyDescent="0.2">
      <c r="E15025" s="18"/>
      <c r="F15025" s="18"/>
    </row>
    <row r="15026" spans="5:6" ht="15" customHeight="1" x14ac:dyDescent="0.2">
      <c r="E15026" s="18"/>
      <c r="F15026" s="18"/>
    </row>
    <row r="15027" spans="5:6" ht="15" customHeight="1" x14ac:dyDescent="0.2">
      <c r="E15027" s="18"/>
      <c r="F15027" s="18"/>
    </row>
    <row r="15028" spans="5:6" ht="15" customHeight="1" x14ac:dyDescent="0.2">
      <c r="E15028" s="18"/>
      <c r="F15028" s="18"/>
    </row>
    <row r="15029" spans="5:6" ht="15" customHeight="1" x14ac:dyDescent="0.2">
      <c r="E15029" s="18"/>
      <c r="F15029" s="18"/>
    </row>
    <row r="15030" spans="5:6" ht="15" customHeight="1" x14ac:dyDescent="0.2">
      <c r="E15030" s="18"/>
      <c r="F15030" s="18"/>
    </row>
    <row r="15031" spans="5:6" ht="15" customHeight="1" x14ac:dyDescent="0.2">
      <c r="E15031" s="18"/>
      <c r="F15031" s="18"/>
    </row>
    <row r="15032" spans="5:6" ht="15" customHeight="1" x14ac:dyDescent="0.2">
      <c r="E15032" s="18"/>
      <c r="F15032" s="18"/>
    </row>
    <row r="15033" spans="5:6" ht="15" customHeight="1" x14ac:dyDescent="0.2">
      <c r="E15033" s="18"/>
      <c r="F15033" s="18"/>
    </row>
    <row r="15034" spans="5:6" ht="15" customHeight="1" x14ac:dyDescent="0.2">
      <c r="E15034" s="18"/>
      <c r="F15034" s="18"/>
    </row>
    <row r="15035" spans="5:6" ht="15" customHeight="1" x14ac:dyDescent="0.2">
      <c r="E15035" s="18"/>
      <c r="F15035" s="18"/>
    </row>
    <row r="15036" spans="5:6" ht="15" customHeight="1" x14ac:dyDescent="0.2">
      <c r="E15036" s="18"/>
      <c r="F15036" s="18"/>
    </row>
    <row r="15037" spans="5:6" ht="15" customHeight="1" x14ac:dyDescent="0.2">
      <c r="E15037" s="18"/>
      <c r="F15037" s="18"/>
    </row>
    <row r="15038" spans="5:6" ht="15" customHeight="1" x14ac:dyDescent="0.2">
      <c r="E15038" s="18"/>
      <c r="F15038" s="18"/>
    </row>
    <row r="15039" spans="5:6" ht="15" customHeight="1" x14ac:dyDescent="0.2">
      <c r="E15039" s="18"/>
      <c r="F15039" s="18"/>
    </row>
    <row r="15040" spans="5:6" ht="15" customHeight="1" x14ac:dyDescent="0.2">
      <c r="E15040" s="18"/>
      <c r="F15040" s="18"/>
    </row>
    <row r="15041" spans="5:6" ht="15" customHeight="1" x14ac:dyDescent="0.2">
      <c r="E15041" s="18"/>
      <c r="F15041" s="18"/>
    </row>
    <row r="15042" spans="5:6" ht="15" customHeight="1" x14ac:dyDescent="0.2">
      <c r="E15042" s="18"/>
      <c r="F15042" s="18"/>
    </row>
    <row r="15043" spans="5:6" ht="15" customHeight="1" x14ac:dyDescent="0.2">
      <c r="E15043" s="18"/>
      <c r="F15043" s="18"/>
    </row>
    <row r="15044" spans="5:6" ht="15" customHeight="1" x14ac:dyDescent="0.2">
      <c r="E15044" s="18"/>
      <c r="F15044" s="18"/>
    </row>
    <row r="15045" spans="5:6" ht="15" customHeight="1" x14ac:dyDescent="0.2">
      <c r="E15045" s="18"/>
      <c r="F15045" s="18"/>
    </row>
    <row r="15046" spans="5:6" ht="15" customHeight="1" x14ac:dyDescent="0.2">
      <c r="E15046" s="18"/>
      <c r="F15046" s="18"/>
    </row>
    <row r="15047" spans="5:6" ht="15" customHeight="1" x14ac:dyDescent="0.2">
      <c r="E15047" s="18"/>
      <c r="F15047" s="18"/>
    </row>
    <row r="15048" spans="5:6" ht="15" customHeight="1" x14ac:dyDescent="0.2">
      <c r="E15048" s="18"/>
      <c r="F15048" s="18"/>
    </row>
    <row r="15049" spans="5:6" ht="15" customHeight="1" x14ac:dyDescent="0.2">
      <c r="E15049" s="18"/>
      <c r="F15049" s="18"/>
    </row>
    <row r="15050" spans="5:6" ht="15" customHeight="1" x14ac:dyDescent="0.2">
      <c r="E15050" s="18"/>
      <c r="F15050" s="18"/>
    </row>
    <row r="15051" spans="5:6" ht="15" customHeight="1" x14ac:dyDescent="0.2">
      <c r="E15051" s="18"/>
      <c r="F15051" s="18"/>
    </row>
    <row r="15052" spans="5:6" ht="15" customHeight="1" x14ac:dyDescent="0.2">
      <c r="E15052" s="18"/>
      <c r="F15052" s="18"/>
    </row>
    <row r="15053" spans="5:6" ht="15" customHeight="1" x14ac:dyDescent="0.2">
      <c r="E15053" s="18"/>
      <c r="F15053" s="18"/>
    </row>
    <row r="15054" spans="5:6" ht="15" customHeight="1" x14ac:dyDescent="0.2">
      <c r="E15054" s="18"/>
      <c r="F15054" s="18"/>
    </row>
    <row r="15055" spans="5:6" ht="15" customHeight="1" x14ac:dyDescent="0.2">
      <c r="E15055" s="18"/>
      <c r="F15055" s="18"/>
    </row>
    <row r="15056" spans="5:6" ht="15" customHeight="1" x14ac:dyDescent="0.2">
      <c r="E15056" s="18"/>
      <c r="F15056" s="18"/>
    </row>
    <row r="15057" spans="5:6" ht="15" customHeight="1" x14ac:dyDescent="0.2">
      <c r="E15057" s="18"/>
      <c r="F15057" s="18"/>
    </row>
    <row r="15058" spans="5:6" ht="15" customHeight="1" x14ac:dyDescent="0.2">
      <c r="E15058" s="18"/>
      <c r="F15058" s="18"/>
    </row>
    <row r="15059" spans="5:6" ht="15" customHeight="1" x14ac:dyDescent="0.2">
      <c r="E15059" s="18"/>
      <c r="F15059" s="18"/>
    </row>
    <row r="15060" spans="5:6" ht="15" customHeight="1" x14ac:dyDescent="0.2">
      <c r="E15060" s="18"/>
      <c r="F15060" s="18"/>
    </row>
    <row r="15061" spans="5:6" ht="15" customHeight="1" x14ac:dyDescent="0.2">
      <c r="E15061" s="18"/>
      <c r="F15061" s="18"/>
    </row>
    <row r="15062" spans="5:6" ht="15" customHeight="1" x14ac:dyDescent="0.2">
      <c r="E15062" s="18"/>
      <c r="F15062" s="18"/>
    </row>
    <row r="15063" spans="5:6" ht="15" customHeight="1" x14ac:dyDescent="0.2">
      <c r="E15063" s="18"/>
      <c r="F15063" s="18"/>
    </row>
    <row r="15064" spans="5:6" ht="15" customHeight="1" x14ac:dyDescent="0.2">
      <c r="E15064" s="18"/>
      <c r="F15064" s="18"/>
    </row>
    <row r="15065" spans="5:6" ht="15" customHeight="1" x14ac:dyDescent="0.2">
      <c r="E15065" s="18"/>
      <c r="F15065" s="18"/>
    </row>
    <row r="15066" spans="5:6" ht="15" customHeight="1" x14ac:dyDescent="0.2">
      <c r="E15066" s="18"/>
      <c r="F15066" s="18"/>
    </row>
    <row r="15067" spans="5:6" ht="15" customHeight="1" x14ac:dyDescent="0.2">
      <c r="E15067" s="18"/>
      <c r="F15067" s="18"/>
    </row>
    <row r="15068" spans="5:6" ht="15" customHeight="1" x14ac:dyDescent="0.2">
      <c r="E15068" s="18"/>
      <c r="F15068" s="18"/>
    </row>
    <row r="15069" spans="5:6" ht="15" customHeight="1" x14ac:dyDescent="0.2">
      <c r="E15069" s="18"/>
      <c r="F15069" s="18"/>
    </row>
    <row r="15070" spans="5:6" ht="15" customHeight="1" x14ac:dyDescent="0.2">
      <c r="E15070" s="18"/>
      <c r="F15070" s="18"/>
    </row>
    <row r="15071" spans="5:6" ht="15" customHeight="1" x14ac:dyDescent="0.2">
      <c r="E15071" s="18"/>
      <c r="F15071" s="18"/>
    </row>
    <row r="15072" spans="5:6" ht="15" customHeight="1" x14ac:dyDescent="0.2">
      <c r="E15072" s="18"/>
      <c r="F15072" s="18"/>
    </row>
    <row r="15073" spans="5:6" ht="15" customHeight="1" x14ac:dyDescent="0.2">
      <c r="E15073" s="18"/>
      <c r="F15073" s="18"/>
    </row>
    <row r="15074" spans="5:6" ht="15" customHeight="1" x14ac:dyDescent="0.2">
      <c r="E15074" s="18"/>
      <c r="F15074" s="18"/>
    </row>
    <row r="15075" spans="5:6" ht="15" customHeight="1" x14ac:dyDescent="0.2">
      <c r="E15075" s="18"/>
      <c r="F15075" s="18"/>
    </row>
    <row r="15076" spans="5:6" ht="15" customHeight="1" x14ac:dyDescent="0.2">
      <c r="E15076" s="18"/>
      <c r="F15076" s="18"/>
    </row>
    <row r="15077" spans="5:6" ht="15" customHeight="1" x14ac:dyDescent="0.2">
      <c r="E15077" s="18"/>
      <c r="F15077" s="18"/>
    </row>
    <row r="15078" spans="5:6" ht="15" customHeight="1" x14ac:dyDescent="0.2">
      <c r="E15078" s="18"/>
      <c r="F15078" s="18"/>
    </row>
    <row r="15079" spans="5:6" ht="15" customHeight="1" x14ac:dyDescent="0.2">
      <c r="E15079" s="18"/>
      <c r="F15079" s="18"/>
    </row>
    <row r="15080" spans="5:6" ht="15" customHeight="1" x14ac:dyDescent="0.2">
      <c r="E15080" s="18"/>
      <c r="F15080" s="18"/>
    </row>
    <row r="15081" spans="5:6" ht="15" customHeight="1" x14ac:dyDescent="0.2">
      <c r="E15081" s="18"/>
      <c r="F15081" s="18"/>
    </row>
    <row r="15082" spans="5:6" ht="15" customHeight="1" x14ac:dyDescent="0.2">
      <c r="E15082" s="18"/>
      <c r="F15082" s="18"/>
    </row>
    <row r="15083" spans="5:6" ht="15" customHeight="1" x14ac:dyDescent="0.2">
      <c r="E15083" s="18"/>
      <c r="F15083" s="18"/>
    </row>
    <row r="15084" spans="5:6" ht="15" customHeight="1" x14ac:dyDescent="0.2">
      <c r="E15084" s="18"/>
      <c r="F15084" s="18"/>
    </row>
    <row r="15085" spans="5:6" ht="15" customHeight="1" x14ac:dyDescent="0.2">
      <c r="E15085" s="18"/>
      <c r="F15085" s="18"/>
    </row>
    <row r="15086" spans="5:6" ht="15" customHeight="1" x14ac:dyDescent="0.2">
      <c r="E15086" s="18"/>
      <c r="F15086" s="18"/>
    </row>
    <row r="15087" spans="5:6" ht="15" customHeight="1" x14ac:dyDescent="0.2">
      <c r="E15087" s="18"/>
      <c r="F15087" s="18"/>
    </row>
    <row r="15088" spans="5:6" ht="15" customHeight="1" x14ac:dyDescent="0.2">
      <c r="E15088" s="18"/>
      <c r="F15088" s="18"/>
    </row>
    <row r="15089" spans="5:6" ht="15" customHeight="1" x14ac:dyDescent="0.2">
      <c r="E15089" s="18"/>
      <c r="F15089" s="18"/>
    </row>
    <row r="15090" spans="5:6" ht="15" customHeight="1" x14ac:dyDescent="0.2">
      <c r="E15090" s="18"/>
      <c r="F15090" s="18"/>
    </row>
    <row r="15091" spans="5:6" ht="15" customHeight="1" x14ac:dyDescent="0.2">
      <c r="E15091" s="18"/>
      <c r="F15091" s="18"/>
    </row>
    <row r="15092" spans="5:6" ht="15" customHeight="1" x14ac:dyDescent="0.2">
      <c r="E15092" s="18"/>
      <c r="F15092" s="18"/>
    </row>
    <row r="15093" spans="5:6" ht="15" customHeight="1" x14ac:dyDescent="0.2">
      <c r="E15093" s="18"/>
      <c r="F15093" s="18"/>
    </row>
    <row r="15094" spans="5:6" ht="15" customHeight="1" x14ac:dyDescent="0.2">
      <c r="E15094" s="18"/>
      <c r="F15094" s="18"/>
    </row>
    <row r="15095" spans="5:6" ht="15" customHeight="1" x14ac:dyDescent="0.2">
      <c r="E15095" s="18"/>
      <c r="F15095" s="18"/>
    </row>
    <row r="15096" spans="5:6" ht="15" customHeight="1" x14ac:dyDescent="0.2">
      <c r="E15096" s="18"/>
      <c r="F15096" s="18"/>
    </row>
    <row r="15097" spans="5:6" ht="15" customHeight="1" x14ac:dyDescent="0.2">
      <c r="E15097" s="18"/>
      <c r="F15097" s="18"/>
    </row>
    <row r="15098" spans="5:6" ht="15" customHeight="1" x14ac:dyDescent="0.2">
      <c r="E15098" s="18"/>
      <c r="F15098" s="18"/>
    </row>
    <row r="15099" spans="5:6" ht="15" customHeight="1" x14ac:dyDescent="0.2">
      <c r="E15099" s="18"/>
      <c r="F15099" s="18"/>
    </row>
    <row r="15100" spans="5:6" ht="15" customHeight="1" x14ac:dyDescent="0.2">
      <c r="E15100" s="18"/>
      <c r="F15100" s="18"/>
    </row>
    <row r="15101" spans="5:6" ht="15" customHeight="1" x14ac:dyDescent="0.2">
      <c r="E15101" s="18"/>
      <c r="F15101" s="18"/>
    </row>
    <row r="15102" spans="5:6" ht="15" customHeight="1" x14ac:dyDescent="0.2">
      <c r="E15102" s="18"/>
      <c r="F15102" s="18"/>
    </row>
    <row r="15103" spans="5:6" ht="15" customHeight="1" x14ac:dyDescent="0.2">
      <c r="E15103" s="18"/>
      <c r="F15103" s="18"/>
    </row>
    <row r="15104" spans="5:6" ht="15" customHeight="1" x14ac:dyDescent="0.2">
      <c r="E15104" s="18"/>
      <c r="F15104" s="18"/>
    </row>
    <row r="15105" spans="5:6" ht="15" customHeight="1" x14ac:dyDescent="0.2">
      <c r="E15105" s="18"/>
      <c r="F15105" s="18"/>
    </row>
    <row r="15106" spans="5:6" ht="15" customHeight="1" x14ac:dyDescent="0.2">
      <c r="E15106" s="18"/>
      <c r="F15106" s="18"/>
    </row>
    <row r="15107" spans="5:6" ht="15" customHeight="1" x14ac:dyDescent="0.2">
      <c r="E15107" s="18"/>
      <c r="F15107" s="18"/>
    </row>
    <row r="15108" spans="5:6" ht="15" customHeight="1" x14ac:dyDescent="0.2">
      <c r="E15108" s="18"/>
      <c r="F15108" s="18"/>
    </row>
    <row r="15109" spans="5:6" ht="15" customHeight="1" x14ac:dyDescent="0.2">
      <c r="E15109" s="18"/>
      <c r="F15109" s="18"/>
    </row>
    <row r="15110" spans="5:6" ht="15" customHeight="1" x14ac:dyDescent="0.2">
      <c r="E15110" s="18"/>
      <c r="F15110" s="18"/>
    </row>
    <row r="15111" spans="5:6" ht="15" customHeight="1" x14ac:dyDescent="0.2">
      <c r="E15111" s="18"/>
      <c r="F15111" s="18"/>
    </row>
    <row r="15112" spans="5:6" ht="15" customHeight="1" x14ac:dyDescent="0.2">
      <c r="E15112" s="18"/>
      <c r="F15112" s="18"/>
    </row>
    <row r="15113" spans="5:6" ht="15" customHeight="1" x14ac:dyDescent="0.2">
      <c r="E15113" s="18"/>
      <c r="F15113" s="18"/>
    </row>
    <row r="15114" spans="5:6" ht="15" customHeight="1" x14ac:dyDescent="0.2">
      <c r="E15114" s="18"/>
      <c r="F15114" s="18"/>
    </row>
    <row r="15115" spans="5:6" ht="15" customHeight="1" x14ac:dyDescent="0.2">
      <c r="E15115" s="18"/>
      <c r="F15115" s="18"/>
    </row>
    <row r="15116" spans="5:6" ht="15" customHeight="1" x14ac:dyDescent="0.2">
      <c r="E15116" s="18"/>
      <c r="F15116" s="18"/>
    </row>
    <row r="15117" spans="5:6" ht="15" customHeight="1" x14ac:dyDescent="0.2">
      <c r="E15117" s="18"/>
      <c r="F15117" s="18"/>
    </row>
    <row r="15118" spans="5:6" ht="15" customHeight="1" x14ac:dyDescent="0.2">
      <c r="E15118" s="18"/>
      <c r="F15118" s="18"/>
    </row>
    <row r="15119" spans="5:6" ht="15" customHeight="1" x14ac:dyDescent="0.2">
      <c r="E15119" s="18"/>
      <c r="F15119" s="18"/>
    </row>
    <row r="15120" spans="5:6" ht="15" customHeight="1" x14ac:dyDescent="0.2">
      <c r="E15120" s="18"/>
      <c r="F15120" s="18"/>
    </row>
    <row r="15121" spans="5:6" ht="15" customHeight="1" x14ac:dyDescent="0.2">
      <c r="E15121" s="18"/>
      <c r="F15121" s="18"/>
    </row>
    <row r="15122" spans="5:6" ht="15" customHeight="1" x14ac:dyDescent="0.2">
      <c r="E15122" s="18"/>
      <c r="F15122" s="18"/>
    </row>
    <row r="15123" spans="5:6" ht="15" customHeight="1" x14ac:dyDescent="0.2">
      <c r="E15123" s="18"/>
      <c r="F15123" s="18"/>
    </row>
    <row r="15124" spans="5:6" ht="15" customHeight="1" x14ac:dyDescent="0.2">
      <c r="E15124" s="18"/>
      <c r="F15124" s="18"/>
    </row>
    <row r="15125" spans="5:6" ht="15" customHeight="1" x14ac:dyDescent="0.2">
      <c r="E15125" s="18"/>
      <c r="F15125" s="18"/>
    </row>
    <row r="15126" spans="5:6" ht="15" customHeight="1" x14ac:dyDescent="0.2">
      <c r="E15126" s="18"/>
      <c r="F15126" s="18"/>
    </row>
    <row r="15127" spans="5:6" ht="15" customHeight="1" x14ac:dyDescent="0.2">
      <c r="E15127" s="18"/>
      <c r="F15127" s="18"/>
    </row>
    <row r="15128" spans="5:6" ht="15" customHeight="1" x14ac:dyDescent="0.2">
      <c r="E15128" s="18"/>
      <c r="F15128" s="18"/>
    </row>
    <row r="15129" spans="5:6" ht="15" customHeight="1" x14ac:dyDescent="0.2">
      <c r="E15129" s="18"/>
      <c r="F15129" s="18"/>
    </row>
    <row r="15130" spans="5:6" ht="15" customHeight="1" x14ac:dyDescent="0.2">
      <c r="E15130" s="18"/>
      <c r="F15130" s="18"/>
    </row>
    <row r="15131" spans="5:6" ht="15" customHeight="1" x14ac:dyDescent="0.2">
      <c r="E15131" s="18"/>
      <c r="F15131" s="18"/>
    </row>
    <row r="15132" spans="5:6" ht="15" customHeight="1" x14ac:dyDescent="0.2">
      <c r="E15132" s="18"/>
      <c r="F15132" s="18"/>
    </row>
    <row r="15133" spans="5:6" ht="15" customHeight="1" x14ac:dyDescent="0.2">
      <c r="E15133" s="18"/>
      <c r="F15133" s="18"/>
    </row>
    <row r="15134" spans="5:6" ht="15" customHeight="1" x14ac:dyDescent="0.2">
      <c r="E15134" s="18"/>
      <c r="F15134" s="18"/>
    </row>
    <row r="15135" spans="5:6" ht="15" customHeight="1" x14ac:dyDescent="0.2">
      <c r="E15135" s="18"/>
      <c r="F15135" s="18"/>
    </row>
    <row r="15136" spans="5:6" ht="15" customHeight="1" x14ac:dyDescent="0.2">
      <c r="E15136" s="18"/>
      <c r="F15136" s="18"/>
    </row>
    <row r="15137" spans="5:6" ht="15" customHeight="1" x14ac:dyDescent="0.2">
      <c r="E15137" s="18"/>
      <c r="F15137" s="18"/>
    </row>
    <row r="15138" spans="5:6" ht="15" customHeight="1" x14ac:dyDescent="0.2">
      <c r="E15138" s="18"/>
      <c r="F15138" s="18"/>
    </row>
    <row r="15139" spans="5:6" ht="15" customHeight="1" x14ac:dyDescent="0.2">
      <c r="E15139" s="18"/>
      <c r="F15139" s="18"/>
    </row>
    <row r="15140" spans="5:6" ht="15" customHeight="1" x14ac:dyDescent="0.2">
      <c r="E15140" s="18"/>
      <c r="F15140" s="18"/>
    </row>
    <row r="15141" spans="5:6" ht="15" customHeight="1" x14ac:dyDescent="0.2">
      <c r="E15141" s="18"/>
      <c r="F15141" s="18"/>
    </row>
    <row r="15142" spans="5:6" ht="15" customHeight="1" x14ac:dyDescent="0.2">
      <c r="E15142" s="18"/>
      <c r="F15142" s="18"/>
    </row>
    <row r="15143" spans="5:6" ht="15" customHeight="1" x14ac:dyDescent="0.2">
      <c r="E15143" s="18"/>
      <c r="F15143" s="18"/>
    </row>
    <row r="15144" spans="5:6" ht="15" customHeight="1" x14ac:dyDescent="0.2">
      <c r="E15144" s="18"/>
      <c r="F15144" s="18"/>
    </row>
    <row r="15145" spans="5:6" ht="15" customHeight="1" x14ac:dyDescent="0.2">
      <c r="E15145" s="18"/>
      <c r="F15145" s="18"/>
    </row>
    <row r="15146" spans="5:6" ht="15" customHeight="1" x14ac:dyDescent="0.2">
      <c r="E15146" s="18"/>
      <c r="F15146" s="18"/>
    </row>
    <row r="15147" spans="5:6" ht="15" customHeight="1" x14ac:dyDescent="0.2">
      <c r="E15147" s="18"/>
      <c r="F15147" s="18"/>
    </row>
    <row r="15148" spans="5:6" ht="15" customHeight="1" x14ac:dyDescent="0.2">
      <c r="E15148" s="18"/>
      <c r="F15148" s="18"/>
    </row>
    <row r="15149" spans="5:6" ht="15" customHeight="1" x14ac:dyDescent="0.2">
      <c r="E15149" s="18"/>
      <c r="F15149" s="18"/>
    </row>
    <row r="15150" spans="5:6" ht="15" customHeight="1" x14ac:dyDescent="0.2">
      <c r="E15150" s="18"/>
      <c r="F15150" s="18"/>
    </row>
    <row r="15151" spans="5:6" ht="15" customHeight="1" x14ac:dyDescent="0.2">
      <c r="E15151" s="18"/>
      <c r="F15151" s="18"/>
    </row>
    <row r="15152" spans="5:6" ht="15" customHeight="1" x14ac:dyDescent="0.2">
      <c r="E15152" s="18"/>
      <c r="F15152" s="18"/>
    </row>
    <row r="15153" spans="5:6" ht="15" customHeight="1" x14ac:dyDescent="0.2">
      <c r="E15153" s="18"/>
      <c r="F15153" s="18"/>
    </row>
    <row r="15154" spans="5:6" ht="15" customHeight="1" x14ac:dyDescent="0.2">
      <c r="E15154" s="18"/>
      <c r="F15154" s="18"/>
    </row>
    <row r="15155" spans="5:6" ht="15" customHeight="1" x14ac:dyDescent="0.2">
      <c r="E15155" s="18"/>
      <c r="F15155" s="18"/>
    </row>
    <row r="15156" spans="5:6" ht="15" customHeight="1" x14ac:dyDescent="0.2">
      <c r="E15156" s="18"/>
      <c r="F15156" s="18"/>
    </row>
    <row r="15157" spans="5:6" ht="15" customHeight="1" x14ac:dyDescent="0.2">
      <c r="E15157" s="18"/>
      <c r="F15157" s="18"/>
    </row>
    <row r="15158" spans="5:6" ht="15" customHeight="1" x14ac:dyDescent="0.2">
      <c r="E15158" s="18"/>
      <c r="F15158" s="18"/>
    </row>
    <row r="15159" spans="5:6" ht="15" customHeight="1" x14ac:dyDescent="0.2">
      <c r="E15159" s="18"/>
      <c r="F15159" s="18"/>
    </row>
    <row r="15160" spans="5:6" ht="15" customHeight="1" x14ac:dyDescent="0.2">
      <c r="E15160" s="18"/>
      <c r="F15160" s="18"/>
    </row>
    <row r="15161" spans="5:6" ht="15" customHeight="1" x14ac:dyDescent="0.2">
      <c r="E15161" s="18"/>
      <c r="F15161" s="18"/>
    </row>
    <row r="15162" spans="5:6" ht="15" customHeight="1" x14ac:dyDescent="0.2">
      <c r="E15162" s="18"/>
      <c r="F15162" s="18"/>
    </row>
    <row r="15163" spans="5:6" ht="15" customHeight="1" x14ac:dyDescent="0.2">
      <c r="E15163" s="18"/>
      <c r="F15163" s="18"/>
    </row>
    <row r="15164" spans="5:6" ht="15" customHeight="1" x14ac:dyDescent="0.2">
      <c r="E15164" s="18"/>
      <c r="F15164" s="18"/>
    </row>
    <row r="15165" spans="5:6" ht="15" customHeight="1" x14ac:dyDescent="0.2">
      <c r="E15165" s="18"/>
      <c r="F15165" s="18"/>
    </row>
    <row r="15166" spans="5:6" ht="15" customHeight="1" x14ac:dyDescent="0.2">
      <c r="E15166" s="18"/>
      <c r="F15166" s="18"/>
    </row>
    <row r="15167" spans="5:6" ht="15" customHeight="1" x14ac:dyDescent="0.2">
      <c r="E15167" s="18"/>
      <c r="F15167" s="18"/>
    </row>
    <row r="15168" spans="5:6" ht="15" customHeight="1" x14ac:dyDescent="0.2">
      <c r="E15168" s="18"/>
      <c r="F15168" s="18"/>
    </row>
    <row r="15169" spans="5:6" ht="15" customHeight="1" x14ac:dyDescent="0.2">
      <c r="E15169" s="18"/>
      <c r="F15169" s="18"/>
    </row>
    <row r="15170" spans="5:6" ht="15" customHeight="1" x14ac:dyDescent="0.2">
      <c r="E15170" s="18"/>
      <c r="F15170" s="18"/>
    </row>
    <row r="15171" spans="5:6" ht="15" customHeight="1" x14ac:dyDescent="0.2">
      <c r="E15171" s="18"/>
      <c r="F15171" s="18"/>
    </row>
    <row r="15172" spans="5:6" ht="15" customHeight="1" x14ac:dyDescent="0.2">
      <c r="E15172" s="18"/>
      <c r="F15172" s="18"/>
    </row>
    <row r="15173" spans="5:6" ht="15" customHeight="1" x14ac:dyDescent="0.2">
      <c r="E15173" s="18"/>
      <c r="F15173" s="18"/>
    </row>
    <row r="15174" spans="5:6" ht="15" customHeight="1" x14ac:dyDescent="0.2">
      <c r="E15174" s="18"/>
      <c r="F15174" s="18"/>
    </row>
    <row r="15175" spans="5:6" ht="15" customHeight="1" x14ac:dyDescent="0.2">
      <c r="E15175" s="18"/>
      <c r="F15175" s="18"/>
    </row>
    <row r="15176" spans="5:6" ht="15" customHeight="1" x14ac:dyDescent="0.2">
      <c r="E15176" s="18"/>
      <c r="F15176" s="18"/>
    </row>
    <row r="15177" spans="5:6" ht="15" customHeight="1" x14ac:dyDescent="0.2">
      <c r="E15177" s="18"/>
      <c r="F15177" s="18"/>
    </row>
    <row r="15178" spans="5:6" ht="15" customHeight="1" x14ac:dyDescent="0.2">
      <c r="E15178" s="18"/>
      <c r="F15178" s="18"/>
    </row>
    <row r="15179" spans="5:6" ht="15" customHeight="1" x14ac:dyDescent="0.2">
      <c r="E15179" s="18"/>
      <c r="F15179" s="18"/>
    </row>
    <row r="15180" spans="5:6" ht="15" customHeight="1" x14ac:dyDescent="0.2">
      <c r="E15180" s="18"/>
      <c r="F15180" s="18"/>
    </row>
    <row r="15181" spans="5:6" ht="15" customHeight="1" x14ac:dyDescent="0.2">
      <c r="E15181" s="18"/>
      <c r="F15181" s="18"/>
    </row>
    <row r="15182" spans="5:6" ht="15" customHeight="1" x14ac:dyDescent="0.2">
      <c r="E15182" s="18"/>
      <c r="F15182" s="18"/>
    </row>
    <row r="15183" spans="5:6" ht="15" customHeight="1" x14ac:dyDescent="0.2">
      <c r="E15183" s="18"/>
      <c r="F15183" s="18"/>
    </row>
    <row r="15184" spans="5:6" ht="15" customHeight="1" x14ac:dyDescent="0.2">
      <c r="E15184" s="18"/>
      <c r="F15184" s="18"/>
    </row>
    <row r="15185" spans="5:6" ht="15" customHeight="1" x14ac:dyDescent="0.2">
      <c r="E15185" s="18"/>
      <c r="F15185" s="18"/>
    </row>
    <row r="15186" spans="5:6" ht="15" customHeight="1" x14ac:dyDescent="0.2">
      <c r="E15186" s="18"/>
      <c r="F15186" s="18"/>
    </row>
    <row r="15187" spans="5:6" ht="15" customHeight="1" x14ac:dyDescent="0.2">
      <c r="E15187" s="18"/>
      <c r="F15187" s="18"/>
    </row>
    <row r="15188" spans="5:6" ht="15" customHeight="1" x14ac:dyDescent="0.2">
      <c r="E15188" s="18"/>
      <c r="F15188" s="18"/>
    </row>
    <row r="15189" spans="5:6" ht="15" customHeight="1" x14ac:dyDescent="0.2">
      <c r="E15189" s="18"/>
      <c r="F15189" s="18"/>
    </row>
    <row r="15190" spans="5:6" ht="15" customHeight="1" x14ac:dyDescent="0.2">
      <c r="E15190" s="18"/>
      <c r="F15190" s="18"/>
    </row>
    <row r="15191" spans="5:6" ht="15" customHeight="1" x14ac:dyDescent="0.2">
      <c r="E15191" s="18"/>
      <c r="F15191" s="18"/>
    </row>
    <row r="15192" spans="5:6" ht="15" customHeight="1" x14ac:dyDescent="0.2">
      <c r="E15192" s="18"/>
      <c r="F15192" s="18"/>
    </row>
    <row r="15193" spans="5:6" ht="15" customHeight="1" x14ac:dyDescent="0.2">
      <c r="E15193" s="18"/>
      <c r="F15193" s="18"/>
    </row>
    <row r="15194" spans="5:6" ht="15" customHeight="1" x14ac:dyDescent="0.2">
      <c r="E15194" s="18"/>
      <c r="F15194" s="18"/>
    </row>
    <row r="15195" spans="5:6" ht="15" customHeight="1" x14ac:dyDescent="0.2">
      <c r="E15195" s="18"/>
      <c r="F15195" s="18"/>
    </row>
    <row r="15196" spans="5:6" ht="15" customHeight="1" x14ac:dyDescent="0.2">
      <c r="E15196" s="18"/>
      <c r="F15196" s="18"/>
    </row>
    <row r="15197" spans="5:6" ht="15" customHeight="1" x14ac:dyDescent="0.2">
      <c r="E15197" s="18"/>
      <c r="F15197" s="18"/>
    </row>
    <row r="15198" spans="5:6" ht="15" customHeight="1" x14ac:dyDescent="0.2">
      <c r="E15198" s="18"/>
      <c r="F15198" s="18"/>
    </row>
    <row r="15199" spans="5:6" ht="15" customHeight="1" x14ac:dyDescent="0.2">
      <c r="E15199" s="18"/>
      <c r="F15199" s="18"/>
    </row>
    <row r="15200" spans="5:6" ht="15" customHeight="1" x14ac:dyDescent="0.2">
      <c r="E15200" s="18"/>
      <c r="F15200" s="18"/>
    </row>
    <row r="15201" spans="5:6" ht="15" customHeight="1" x14ac:dyDescent="0.2">
      <c r="E15201" s="18"/>
      <c r="F15201" s="18"/>
    </row>
    <row r="15202" spans="5:6" ht="15" customHeight="1" x14ac:dyDescent="0.2">
      <c r="E15202" s="18"/>
      <c r="F15202" s="18"/>
    </row>
    <row r="15203" spans="5:6" ht="15" customHeight="1" x14ac:dyDescent="0.2">
      <c r="E15203" s="18"/>
      <c r="F15203" s="18"/>
    </row>
    <row r="15204" spans="5:6" ht="15" customHeight="1" x14ac:dyDescent="0.2">
      <c r="E15204" s="18"/>
      <c r="F15204" s="18"/>
    </row>
    <row r="15205" spans="5:6" ht="15" customHeight="1" x14ac:dyDescent="0.2">
      <c r="E15205" s="18"/>
      <c r="F15205" s="18"/>
    </row>
    <row r="15206" spans="5:6" ht="15" customHeight="1" x14ac:dyDescent="0.2">
      <c r="E15206" s="18"/>
      <c r="F15206" s="18"/>
    </row>
    <row r="15207" spans="5:6" ht="15" customHeight="1" x14ac:dyDescent="0.2">
      <c r="E15207" s="18"/>
      <c r="F15207" s="18"/>
    </row>
    <row r="15208" spans="5:6" ht="15" customHeight="1" x14ac:dyDescent="0.2">
      <c r="E15208" s="18"/>
      <c r="F15208" s="18"/>
    </row>
    <row r="15209" spans="5:6" ht="15" customHeight="1" x14ac:dyDescent="0.2">
      <c r="E15209" s="18"/>
      <c r="F15209" s="18"/>
    </row>
    <row r="15210" spans="5:6" ht="15" customHeight="1" x14ac:dyDescent="0.2">
      <c r="E15210" s="18"/>
      <c r="F15210" s="18"/>
    </row>
    <row r="15211" spans="5:6" ht="15" customHeight="1" x14ac:dyDescent="0.2">
      <c r="E15211" s="18"/>
      <c r="F15211" s="18"/>
    </row>
    <row r="15212" spans="5:6" ht="15" customHeight="1" x14ac:dyDescent="0.2">
      <c r="E15212" s="18"/>
      <c r="F15212" s="18"/>
    </row>
    <row r="15213" spans="5:6" ht="15" customHeight="1" x14ac:dyDescent="0.2">
      <c r="E15213" s="18"/>
      <c r="F15213" s="18"/>
    </row>
    <row r="15214" spans="5:6" ht="15" customHeight="1" x14ac:dyDescent="0.2">
      <c r="E15214" s="18"/>
      <c r="F15214" s="18"/>
    </row>
    <row r="15215" spans="5:6" ht="15" customHeight="1" x14ac:dyDescent="0.2">
      <c r="E15215" s="18"/>
      <c r="F15215" s="18"/>
    </row>
    <row r="15216" spans="5:6" ht="15" customHeight="1" x14ac:dyDescent="0.2">
      <c r="E15216" s="18"/>
      <c r="F15216" s="18"/>
    </row>
    <row r="15217" spans="5:6" ht="15" customHeight="1" x14ac:dyDescent="0.2">
      <c r="E15217" s="18"/>
      <c r="F15217" s="18"/>
    </row>
    <row r="15218" spans="5:6" ht="15" customHeight="1" x14ac:dyDescent="0.2">
      <c r="E15218" s="18"/>
      <c r="F15218" s="18"/>
    </row>
    <row r="15219" spans="5:6" ht="15" customHeight="1" x14ac:dyDescent="0.2">
      <c r="E15219" s="18"/>
      <c r="F15219" s="18"/>
    </row>
    <row r="15220" spans="5:6" ht="15" customHeight="1" x14ac:dyDescent="0.2">
      <c r="E15220" s="18"/>
      <c r="F15220" s="18"/>
    </row>
    <row r="15221" spans="5:6" ht="15" customHeight="1" x14ac:dyDescent="0.2">
      <c r="E15221" s="18"/>
      <c r="F15221" s="18"/>
    </row>
    <row r="15222" spans="5:6" ht="15" customHeight="1" x14ac:dyDescent="0.2">
      <c r="E15222" s="18"/>
      <c r="F15222" s="18"/>
    </row>
    <row r="15223" spans="5:6" ht="15" customHeight="1" x14ac:dyDescent="0.2">
      <c r="E15223" s="18"/>
      <c r="F15223" s="18"/>
    </row>
    <row r="15224" spans="5:6" ht="15" customHeight="1" x14ac:dyDescent="0.2">
      <c r="E15224" s="18"/>
      <c r="F15224" s="18"/>
    </row>
    <row r="15225" spans="5:6" ht="15" customHeight="1" x14ac:dyDescent="0.2">
      <c r="E15225" s="18"/>
      <c r="F15225" s="18"/>
    </row>
    <row r="15226" spans="5:6" ht="15" customHeight="1" x14ac:dyDescent="0.2">
      <c r="E15226" s="18"/>
      <c r="F15226" s="18"/>
    </row>
    <row r="15227" spans="5:6" ht="15" customHeight="1" x14ac:dyDescent="0.2">
      <c r="E15227" s="18"/>
      <c r="F15227" s="18"/>
    </row>
    <row r="15228" spans="5:6" ht="15" customHeight="1" x14ac:dyDescent="0.2">
      <c r="E15228" s="18"/>
      <c r="F15228" s="18"/>
    </row>
    <row r="15229" spans="5:6" ht="15" customHeight="1" x14ac:dyDescent="0.2">
      <c r="E15229" s="18"/>
      <c r="F15229" s="18"/>
    </row>
    <row r="15230" spans="5:6" ht="15" customHeight="1" x14ac:dyDescent="0.2">
      <c r="E15230" s="18"/>
      <c r="F15230" s="18"/>
    </row>
    <row r="15231" spans="5:6" ht="15" customHeight="1" x14ac:dyDescent="0.2">
      <c r="E15231" s="18"/>
      <c r="F15231" s="18"/>
    </row>
    <row r="15232" spans="5:6" ht="15" customHeight="1" x14ac:dyDescent="0.2">
      <c r="E15232" s="18"/>
      <c r="F15232" s="18"/>
    </row>
    <row r="15233" spans="5:6" ht="15" customHeight="1" x14ac:dyDescent="0.2">
      <c r="E15233" s="18"/>
      <c r="F15233" s="18"/>
    </row>
    <row r="15234" spans="5:6" ht="15" customHeight="1" x14ac:dyDescent="0.2">
      <c r="E15234" s="18"/>
      <c r="F15234" s="18"/>
    </row>
    <row r="15235" spans="5:6" ht="15" customHeight="1" x14ac:dyDescent="0.2">
      <c r="E15235" s="18"/>
      <c r="F15235" s="18"/>
    </row>
    <row r="15236" spans="5:6" ht="15" customHeight="1" x14ac:dyDescent="0.2">
      <c r="E15236" s="18"/>
      <c r="F15236" s="18"/>
    </row>
    <row r="15237" spans="5:6" ht="15" customHeight="1" x14ac:dyDescent="0.2">
      <c r="E15237" s="18"/>
      <c r="F15237" s="18"/>
    </row>
    <row r="15238" spans="5:6" ht="15" customHeight="1" x14ac:dyDescent="0.2">
      <c r="E15238" s="18"/>
      <c r="F15238" s="18"/>
    </row>
    <row r="15239" spans="5:6" ht="15" customHeight="1" x14ac:dyDescent="0.2">
      <c r="E15239" s="18"/>
      <c r="F15239" s="18"/>
    </row>
    <row r="15240" spans="5:6" ht="15" customHeight="1" x14ac:dyDescent="0.2">
      <c r="E15240" s="18"/>
      <c r="F15240" s="18"/>
    </row>
    <row r="15241" spans="5:6" ht="15" customHeight="1" x14ac:dyDescent="0.2">
      <c r="E15241" s="18"/>
      <c r="F15241" s="18"/>
    </row>
    <row r="15242" spans="5:6" ht="15" customHeight="1" x14ac:dyDescent="0.2">
      <c r="E15242" s="18"/>
      <c r="F15242" s="18"/>
    </row>
    <row r="15243" spans="5:6" ht="15" customHeight="1" x14ac:dyDescent="0.2">
      <c r="E15243" s="18"/>
      <c r="F15243" s="18"/>
    </row>
    <row r="15244" spans="5:6" ht="15" customHeight="1" x14ac:dyDescent="0.2">
      <c r="E15244" s="18"/>
      <c r="F15244" s="18"/>
    </row>
    <row r="15245" spans="5:6" ht="15" customHeight="1" x14ac:dyDescent="0.2">
      <c r="E15245" s="18"/>
      <c r="F15245" s="18"/>
    </row>
    <row r="15246" spans="5:6" ht="15" customHeight="1" x14ac:dyDescent="0.2">
      <c r="E15246" s="18"/>
      <c r="F15246" s="18"/>
    </row>
    <row r="15247" spans="5:6" ht="15" customHeight="1" x14ac:dyDescent="0.2">
      <c r="E15247" s="18"/>
      <c r="F15247" s="18"/>
    </row>
    <row r="15248" spans="5:6" ht="15" customHeight="1" x14ac:dyDescent="0.2">
      <c r="E15248" s="18"/>
      <c r="F15248" s="18"/>
    </row>
    <row r="15249" spans="5:6" ht="15" customHeight="1" x14ac:dyDescent="0.2">
      <c r="E15249" s="18"/>
      <c r="F15249" s="18"/>
    </row>
    <row r="15250" spans="5:6" ht="15" customHeight="1" x14ac:dyDescent="0.2">
      <c r="E15250" s="18"/>
      <c r="F15250" s="18"/>
    </row>
    <row r="15251" spans="5:6" ht="15" customHeight="1" x14ac:dyDescent="0.2">
      <c r="E15251" s="18"/>
      <c r="F15251" s="18"/>
    </row>
    <row r="15252" spans="5:6" ht="15" customHeight="1" x14ac:dyDescent="0.2">
      <c r="E15252" s="18"/>
      <c r="F15252" s="18"/>
    </row>
    <row r="15253" spans="5:6" ht="15" customHeight="1" x14ac:dyDescent="0.2">
      <c r="E15253" s="18"/>
      <c r="F15253" s="18"/>
    </row>
    <row r="15254" spans="5:6" ht="15" customHeight="1" x14ac:dyDescent="0.2">
      <c r="E15254" s="18"/>
      <c r="F15254" s="18"/>
    </row>
    <row r="15255" spans="5:6" ht="15" customHeight="1" x14ac:dyDescent="0.2">
      <c r="E15255" s="18"/>
      <c r="F15255" s="18"/>
    </row>
    <row r="15256" spans="5:6" ht="15" customHeight="1" x14ac:dyDescent="0.2">
      <c r="E15256" s="18"/>
      <c r="F15256" s="18"/>
    </row>
    <row r="15257" spans="5:6" ht="15" customHeight="1" x14ac:dyDescent="0.2">
      <c r="E15257" s="18"/>
      <c r="F15257" s="18"/>
    </row>
    <row r="15258" spans="5:6" ht="15" customHeight="1" x14ac:dyDescent="0.2">
      <c r="E15258" s="18"/>
      <c r="F15258" s="18"/>
    </row>
    <row r="15259" spans="5:6" ht="15" customHeight="1" x14ac:dyDescent="0.2">
      <c r="E15259" s="18"/>
      <c r="F15259" s="18"/>
    </row>
    <row r="15260" spans="5:6" ht="15" customHeight="1" x14ac:dyDescent="0.2">
      <c r="E15260" s="18"/>
      <c r="F15260" s="18"/>
    </row>
    <row r="15261" spans="5:6" ht="15" customHeight="1" x14ac:dyDescent="0.2">
      <c r="E15261" s="18"/>
      <c r="F15261" s="18"/>
    </row>
    <row r="15262" spans="5:6" ht="15" customHeight="1" x14ac:dyDescent="0.2">
      <c r="E15262" s="18"/>
      <c r="F15262" s="18"/>
    </row>
    <row r="15263" spans="5:6" ht="15" customHeight="1" x14ac:dyDescent="0.2">
      <c r="E15263" s="18"/>
      <c r="F15263" s="18"/>
    </row>
    <row r="15264" spans="5:6" ht="15" customHeight="1" x14ac:dyDescent="0.2">
      <c r="E15264" s="18"/>
      <c r="F15264" s="18"/>
    </row>
    <row r="15265" spans="5:6" ht="15" customHeight="1" x14ac:dyDescent="0.2">
      <c r="E15265" s="18"/>
      <c r="F15265" s="18"/>
    </row>
    <row r="15266" spans="5:6" ht="15" customHeight="1" x14ac:dyDescent="0.2">
      <c r="E15266" s="18"/>
      <c r="F15266" s="18"/>
    </row>
    <row r="15267" spans="5:6" ht="15" customHeight="1" x14ac:dyDescent="0.2">
      <c r="E15267" s="18"/>
      <c r="F15267" s="18"/>
    </row>
    <row r="15268" spans="5:6" ht="15" customHeight="1" x14ac:dyDescent="0.2">
      <c r="E15268" s="18"/>
      <c r="F15268" s="18"/>
    </row>
    <row r="15269" spans="5:6" ht="15" customHeight="1" x14ac:dyDescent="0.2">
      <c r="E15269" s="18"/>
      <c r="F15269" s="18"/>
    </row>
    <row r="15270" spans="5:6" ht="15" customHeight="1" x14ac:dyDescent="0.2">
      <c r="E15270" s="18"/>
      <c r="F15270" s="18"/>
    </row>
    <row r="15271" spans="5:6" ht="15" customHeight="1" x14ac:dyDescent="0.2">
      <c r="E15271" s="18"/>
      <c r="F15271" s="18"/>
    </row>
    <row r="15272" spans="5:6" ht="15" customHeight="1" x14ac:dyDescent="0.2">
      <c r="E15272" s="18"/>
      <c r="F15272" s="18"/>
    </row>
    <row r="15273" spans="5:6" ht="15" customHeight="1" x14ac:dyDescent="0.2">
      <c r="E15273" s="18"/>
      <c r="F15273" s="18"/>
    </row>
    <row r="15274" spans="5:6" ht="15" customHeight="1" x14ac:dyDescent="0.2">
      <c r="E15274" s="18"/>
      <c r="F15274" s="18"/>
    </row>
    <row r="15275" spans="5:6" ht="15" customHeight="1" x14ac:dyDescent="0.2">
      <c r="E15275" s="18"/>
      <c r="F15275" s="18"/>
    </row>
    <row r="15276" spans="5:6" ht="15" customHeight="1" x14ac:dyDescent="0.2">
      <c r="E15276" s="18"/>
      <c r="F15276" s="18"/>
    </row>
    <row r="15277" spans="5:6" ht="15" customHeight="1" x14ac:dyDescent="0.2">
      <c r="E15277" s="18"/>
      <c r="F15277" s="18"/>
    </row>
    <row r="15278" spans="5:6" ht="15" customHeight="1" x14ac:dyDescent="0.2">
      <c r="E15278" s="18"/>
      <c r="F15278" s="18"/>
    </row>
    <row r="15279" spans="5:6" ht="15" customHeight="1" x14ac:dyDescent="0.2">
      <c r="E15279" s="18"/>
      <c r="F15279" s="18"/>
    </row>
    <row r="15280" spans="5:6" ht="15" customHeight="1" x14ac:dyDescent="0.2">
      <c r="E15280" s="18"/>
      <c r="F15280" s="18"/>
    </row>
    <row r="15281" spans="5:6" ht="15" customHeight="1" x14ac:dyDescent="0.2">
      <c r="E15281" s="18"/>
      <c r="F15281" s="18"/>
    </row>
    <row r="15282" spans="5:6" ht="15" customHeight="1" x14ac:dyDescent="0.2">
      <c r="E15282" s="18"/>
      <c r="F15282" s="18"/>
    </row>
    <row r="15283" spans="5:6" ht="15" customHeight="1" x14ac:dyDescent="0.2">
      <c r="E15283" s="18"/>
      <c r="F15283" s="18"/>
    </row>
    <row r="15284" spans="5:6" ht="15" customHeight="1" x14ac:dyDescent="0.2">
      <c r="E15284" s="18"/>
      <c r="F15284" s="18"/>
    </row>
    <row r="15285" spans="5:6" ht="15" customHeight="1" x14ac:dyDescent="0.2">
      <c r="E15285" s="18"/>
      <c r="F15285" s="18"/>
    </row>
    <row r="15286" spans="5:6" ht="15" customHeight="1" x14ac:dyDescent="0.2">
      <c r="E15286" s="18"/>
      <c r="F15286" s="18"/>
    </row>
    <row r="15287" spans="5:6" ht="15" customHeight="1" x14ac:dyDescent="0.2">
      <c r="E15287" s="18"/>
      <c r="F15287" s="18"/>
    </row>
    <row r="15288" spans="5:6" ht="15" customHeight="1" x14ac:dyDescent="0.2">
      <c r="E15288" s="18"/>
      <c r="F15288" s="18"/>
    </row>
    <row r="15289" spans="5:6" ht="15" customHeight="1" x14ac:dyDescent="0.2">
      <c r="E15289" s="18"/>
      <c r="F15289" s="18"/>
    </row>
    <row r="15290" spans="5:6" ht="15" customHeight="1" x14ac:dyDescent="0.2">
      <c r="E15290" s="18"/>
      <c r="F15290" s="18"/>
    </row>
    <row r="15291" spans="5:6" ht="15" customHeight="1" x14ac:dyDescent="0.2">
      <c r="E15291" s="18"/>
      <c r="F15291" s="18"/>
    </row>
    <row r="15292" spans="5:6" ht="15" customHeight="1" x14ac:dyDescent="0.2">
      <c r="E15292" s="18"/>
      <c r="F15292" s="18"/>
    </row>
    <row r="15293" spans="5:6" ht="15" customHeight="1" x14ac:dyDescent="0.2">
      <c r="E15293" s="18"/>
      <c r="F15293" s="18"/>
    </row>
    <row r="15294" spans="5:6" ht="15" customHeight="1" x14ac:dyDescent="0.2">
      <c r="E15294" s="18"/>
      <c r="F15294" s="18"/>
    </row>
    <row r="15295" spans="5:6" ht="15" customHeight="1" x14ac:dyDescent="0.2">
      <c r="E15295" s="18"/>
      <c r="F15295" s="18"/>
    </row>
    <row r="15296" spans="5:6" ht="15" customHeight="1" x14ac:dyDescent="0.2">
      <c r="E15296" s="18"/>
      <c r="F15296" s="18"/>
    </row>
    <row r="15297" spans="5:6" ht="15" customHeight="1" x14ac:dyDescent="0.2">
      <c r="E15297" s="18"/>
      <c r="F15297" s="18"/>
    </row>
    <row r="15298" spans="5:6" ht="15" customHeight="1" x14ac:dyDescent="0.2">
      <c r="E15298" s="18"/>
      <c r="F15298" s="18"/>
    </row>
    <row r="15299" spans="5:6" ht="15" customHeight="1" x14ac:dyDescent="0.2">
      <c r="E15299" s="18"/>
      <c r="F15299" s="18"/>
    </row>
    <row r="15300" spans="5:6" ht="15" customHeight="1" x14ac:dyDescent="0.2">
      <c r="E15300" s="18"/>
      <c r="F15300" s="18"/>
    </row>
    <row r="15301" spans="5:6" ht="15" customHeight="1" x14ac:dyDescent="0.2">
      <c r="E15301" s="18"/>
      <c r="F15301" s="18"/>
    </row>
    <row r="15302" spans="5:6" ht="15" customHeight="1" x14ac:dyDescent="0.2">
      <c r="E15302" s="18"/>
      <c r="F15302" s="18"/>
    </row>
    <row r="15303" spans="5:6" ht="15" customHeight="1" x14ac:dyDescent="0.2">
      <c r="E15303" s="18"/>
      <c r="F15303" s="18"/>
    </row>
    <row r="15304" spans="5:6" ht="15" customHeight="1" x14ac:dyDescent="0.2">
      <c r="E15304" s="18"/>
      <c r="F15304" s="18"/>
    </row>
    <row r="15305" spans="5:6" ht="15" customHeight="1" x14ac:dyDescent="0.2">
      <c r="E15305" s="18"/>
      <c r="F15305" s="18"/>
    </row>
    <row r="15306" spans="5:6" ht="15" customHeight="1" x14ac:dyDescent="0.2">
      <c r="E15306" s="18"/>
      <c r="F15306" s="18"/>
    </row>
    <row r="15307" spans="5:6" ht="15" customHeight="1" x14ac:dyDescent="0.2">
      <c r="E15307" s="18"/>
      <c r="F15307" s="18"/>
    </row>
    <row r="15308" spans="5:6" ht="15" customHeight="1" x14ac:dyDescent="0.2">
      <c r="E15308" s="18"/>
      <c r="F15308" s="18"/>
    </row>
    <row r="15309" spans="5:6" ht="15" customHeight="1" x14ac:dyDescent="0.2">
      <c r="E15309" s="18"/>
      <c r="F15309" s="18"/>
    </row>
    <row r="15310" spans="5:6" ht="15" customHeight="1" x14ac:dyDescent="0.2">
      <c r="E15310" s="18"/>
      <c r="F15310" s="18"/>
    </row>
    <row r="15311" spans="5:6" ht="15" customHeight="1" x14ac:dyDescent="0.2">
      <c r="E15311" s="18"/>
      <c r="F15311" s="18"/>
    </row>
    <row r="15312" spans="5:6" ht="15" customHeight="1" x14ac:dyDescent="0.2">
      <c r="E15312" s="18"/>
      <c r="F15312" s="18"/>
    </row>
    <row r="15313" spans="5:6" ht="15" customHeight="1" x14ac:dyDescent="0.2">
      <c r="E15313" s="18"/>
      <c r="F15313" s="18"/>
    </row>
    <row r="15314" spans="5:6" ht="15" customHeight="1" x14ac:dyDescent="0.2">
      <c r="E15314" s="18"/>
      <c r="F15314" s="18"/>
    </row>
    <row r="15315" spans="5:6" ht="15" customHeight="1" x14ac:dyDescent="0.2">
      <c r="E15315" s="18"/>
      <c r="F15315" s="18"/>
    </row>
    <row r="15316" spans="5:6" ht="15" customHeight="1" x14ac:dyDescent="0.2">
      <c r="E15316" s="18"/>
      <c r="F15316" s="18"/>
    </row>
    <row r="15317" spans="5:6" ht="15" customHeight="1" x14ac:dyDescent="0.2">
      <c r="E15317" s="18"/>
      <c r="F15317" s="18"/>
    </row>
    <row r="15318" spans="5:6" ht="15" customHeight="1" x14ac:dyDescent="0.2">
      <c r="E15318" s="18"/>
      <c r="F15318" s="18"/>
    </row>
    <row r="15319" spans="5:6" ht="15" customHeight="1" x14ac:dyDescent="0.2">
      <c r="E15319" s="18"/>
      <c r="F15319" s="18"/>
    </row>
    <row r="15320" spans="5:6" ht="15" customHeight="1" x14ac:dyDescent="0.2">
      <c r="E15320" s="18"/>
      <c r="F15320" s="18"/>
    </row>
    <row r="15321" spans="5:6" ht="15" customHeight="1" x14ac:dyDescent="0.2">
      <c r="E15321" s="18"/>
      <c r="F15321" s="18"/>
    </row>
    <row r="15322" spans="5:6" ht="15" customHeight="1" x14ac:dyDescent="0.2">
      <c r="E15322" s="18"/>
      <c r="F15322" s="18"/>
    </row>
    <row r="15323" spans="5:6" ht="15" customHeight="1" x14ac:dyDescent="0.2">
      <c r="E15323" s="18"/>
      <c r="F15323" s="18"/>
    </row>
    <row r="15324" spans="5:6" ht="15" customHeight="1" x14ac:dyDescent="0.2">
      <c r="E15324" s="18"/>
      <c r="F15324" s="18"/>
    </row>
    <row r="15325" spans="5:6" ht="15" customHeight="1" x14ac:dyDescent="0.2">
      <c r="E15325" s="18"/>
      <c r="F15325" s="18"/>
    </row>
    <row r="15326" spans="5:6" ht="15" customHeight="1" x14ac:dyDescent="0.2">
      <c r="E15326" s="18"/>
      <c r="F15326" s="18"/>
    </row>
    <row r="15327" spans="5:6" ht="15" customHeight="1" x14ac:dyDescent="0.2">
      <c r="E15327" s="18"/>
      <c r="F15327" s="18"/>
    </row>
    <row r="15328" spans="5:6" ht="15" customHeight="1" x14ac:dyDescent="0.2">
      <c r="E15328" s="18"/>
      <c r="F15328" s="18"/>
    </row>
    <row r="15329" spans="5:6" ht="15" customHeight="1" x14ac:dyDescent="0.2">
      <c r="E15329" s="18"/>
      <c r="F15329" s="18"/>
    </row>
    <row r="15330" spans="5:6" ht="15" customHeight="1" x14ac:dyDescent="0.2">
      <c r="E15330" s="18"/>
      <c r="F15330" s="18"/>
    </row>
    <row r="15331" spans="5:6" ht="15" customHeight="1" x14ac:dyDescent="0.2">
      <c r="E15331" s="18"/>
      <c r="F15331" s="18"/>
    </row>
    <row r="15332" spans="5:6" ht="15" customHeight="1" x14ac:dyDescent="0.2">
      <c r="E15332" s="18"/>
      <c r="F15332" s="18"/>
    </row>
    <row r="15333" spans="5:6" ht="15" customHeight="1" x14ac:dyDescent="0.2">
      <c r="E15333" s="18"/>
      <c r="F15333" s="18"/>
    </row>
    <row r="15334" spans="5:6" ht="15" customHeight="1" x14ac:dyDescent="0.2">
      <c r="E15334" s="18"/>
      <c r="F15334" s="18"/>
    </row>
    <row r="15335" spans="5:6" ht="15" customHeight="1" x14ac:dyDescent="0.2">
      <c r="E15335" s="18"/>
      <c r="F15335" s="18"/>
    </row>
    <row r="15336" spans="5:6" ht="15" customHeight="1" x14ac:dyDescent="0.2">
      <c r="E15336" s="18"/>
      <c r="F15336" s="18"/>
    </row>
    <row r="15337" spans="5:6" ht="15" customHeight="1" x14ac:dyDescent="0.2">
      <c r="E15337" s="18"/>
      <c r="F15337" s="18"/>
    </row>
    <row r="15338" spans="5:6" ht="15" customHeight="1" x14ac:dyDescent="0.2">
      <c r="E15338" s="18"/>
      <c r="F15338" s="18"/>
    </row>
    <row r="15339" spans="5:6" ht="15" customHeight="1" x14ac:dyDescent="0.2">
      <c r="E15339" s="18"/>
      <c r="F15339" s="18"/>
    </row>
    <row r="15340" spans="5:6" ht="15" customHeight="1" x14ac:dyDescent="0.2">
      <c r="E15340" s="18"/>
      <c r="F15340" s="18"/>
    </row>
    <row r="15341" spans="5:6" ht="15" customHeight="1" x14ac:dyDescent="0.2">
      <c r="E15341" s="18"/>
      <c r="F15341" s="18"/>
    </row>
    <row r="15342" spans="5:6" ht="15" customHeight="1" x14ac:dyDescent="0.2">
      <c r="E15342" s="18"/>
      <c r="F15342" s="18"/>
    </row>
    <row r="15343" spans="5:6" ht="15" customHeight="1" x14ac:dyDescent="0.2">
      <c r="E15343" s="18"/>
      <c r="F15343" s="18"/>
    </row>
    <row r="15344" spans="5:6" ht="15" customHeight="1" x14ac:dyDescent="0.2">
      <c r="E15344" s="18"/>
      <c r="F15344" s="18"/>
    </row>
    <row r="15345" spans="5:6" ht="15" customHeight="1" x14ac:dyDescent="0.2">
      <c r="E15345" s="18"/>
      <c r="F15345" s="18"/>
    </row>
    <row r="15346" spans="5:6" ht="15" customHeight="1" x14ac:dyDescent="0.2">
      <c r="E15346" s="18"/>
      <c r="F15346" s="18"/>
    </row>
    <row r="15347" spans="5:6" ht="15" customHeight="1" x14ac:dyDescent="0.2">
      <c r="E15347" s="18"/>
      <c r="F15347" s="18"/>
    </row>
    <row r="15348" spans="5:6" ht="15" customHeight="1" x14ac:dyDescent="0.2">
      <c r="E15348" s="18"/>
      <c r="F15348" s="18"/>
    </row>
    <row r="15349" spans="5:6" ht="15" customHeight="1" x14ac:dyDescent="0.2">
      <c r="E15349" s="18"/>
      <c r="F15349" s="18"/>
    </row>
    <row r="15350" spans="5:6" ht="15" customHeight="1" x14ac:dyDescent="0.2">
      <c r="E15350" s="18"/>
      <c r="F15350" s="18"/>
    </row>
    <row r="15351" spans="5:6" ht="15" customHeight="1" x14ac:dyDescent="0.2">
      <c r="E15351" s="18"/>
      <c r="F15351" s="18"/>
    </row>
    <row r="15352" spans="5:6" ht="15" customHeight="1" x14ac:dyDescent="0.2">
      <c r="E15352" s="18"/>
      <c r="F15352" s="18"/>
    </row>
    <row r="15353" spans="5:6" ht="15" customHeight="1" x14ac:dyDescent="0.2">
      <c r="E15353" s="18"/>
      <c r="F15353" s="18"/>
    </row>
    <row r="15354" spans="5:6" ht="15" customHeight="1" x14ac:dyDescent="0.2">
      <c r="E15354" s="18"/>
      <c r="F15354" s="18"/>
    </row>
    <row r="15355" spans="5:6" ht="15" customHeight="1" x14ac:dyDescent="0.2">
      <c r="E15355" s="18"/>
      <c r="F15355" s="18"/>
    </row>
    <row r="15356" spans="5:6" ht="15" customHeight="1" x14ac:dyDescent="0.2">
      <c r="E15356" s="18"/>
      <c r="F15356" s="18"/>
    </row>
    <row r="15357" spans="5:6" ht="15" customHeight="1" x14ac:dyDescent="0.2">
      <c r="E15357" s="18"/>
      <c r="F15357" s="18"/>
    </row>
    <row r="15358" spans="5:6" ht="15" customHeight="1" x14ac:dyDescent="0.2">
      <c r="E15358" s="18"/>
      <c r="F15358" s="18"/>
    </row>
    <row r="15359" spans="5:6" ht="15" customHeight="1" x14ac:dyDescent="0.2">
      <c r="E15359" s="18"/>
      <c r="F15359" s="18"/>
    </row>
    <row r="15360" spans="5:6" ht="15" customHeight="1" x14ac:dyDescent="0.2">
      <c r="E15360" s="18"/>
      <c r="F15360" s="18"/>
    </row>
    <row r="15361" spans="5:6" ht="15" customHeight="1" x14ac:dyDescent="0.2">
      <c r="E15361" s="18"/>
      <c r="F15361" s="18"/>
    </row>
    <row r="15362" spans="5:6" ht="15" customHeight="1" x14ac:dyDescent="0.2">
      <c r="E15362" s="18"/>
      <c r="F15362" s="18"/>
    </row>
    <row r="15363" spans="5:6" ht="15" customHeight="1" x14ac:dyDescent="0.2">
      <c r="E15363" s="18"/>
      <c r="F15363" s="18"/>
    </row>
    <row r="15364" spans="5:6" ht="15" customHeight="1" x14ac:dyDescent="0.2">
      <c r="E15364" s="18"/>
      <c r="F15364" s="18"/>
    </row>
    <row r="15365" spans="5:6" ht="15" customHeight="1" x14ac:dyDescent="0.2">
      <c r="E15365" s="18"/>
      <c r="F15365" s="18"/>
    </row>
    <row r="15366" spans="5:6" ht="15" customHeight="1" x14ac:dyDescent="0.2">
      <c r="E15366" s="18"/>
      <c r="F15366" s="18"/>
    </row>
    <row r="15367" spans="5:6" ht="15" customHeight="1" x14ac:dyDescent="0.2">
      <c r="E15367" s="18"/>
      <c r="F15367" s="18"/>
    </row>
    <row r="15368" spans="5:6" ht="15" customHeight="1" x14ac:dyDescent="0.2">
      <c r="E15368" s="18"/>
      <c r="F15368" s="18"/>
    </row>
    <row r="15369" spans="5:6" ht="15" customHeight="1" x14ac:dyDescent="0.2">
      <c r="E15369" s="18"/>
      <c r="F15369" s="18"/>
    </row>
    <row r="15370" spans="5:6" ht="15" customHeight="1" x14ac:dyDescent="0.2">
      <c r="E15370" s="18"/>
      <c r="F15370" s="18"/>
    </row>
    <row r="15371" spans="5:6" ht="15" customHeight="1" x14ac:dyDescent="0.2">
      <c r="E15371" s="18"/>
      <c r="F15371" s="18"/>
    </row>
    <row r="15372" spans="5:6" ht="15" customHeight="1" x14ac:dyDescent="0.2">
      <c r="E15372" s="18"/>
      <c r="F15372" s="18"/>
    </row>
    <row r="15373" spans="5:6" ht="15" customHeight="1" x14ac:dyDescent="0.2">
      <c r="E15373" s="18"/>
      <c r="F15373" s="18"/>
    </row>
    <row r="15374" spans="5:6" ht="15" customHeight="1" x14ac:dyDescent="0.2">
      <c r="E15374" s="18"/>
      <c r="F15374" s="18"/>
    </row>
    <row r="15375" spans="5:6" ht="15" customHeight="1" x14ac:dyDescent="0.2">
      <c r="E15375" s="18"/>
      <c r="F15375" s="18"/>
    </row>
    <row r="15376" spans="5:6" ht="15" customHeight="1" x14ac:dyDescent="0.2">
      <c r="E15376" s="18"/>
      <c r="F15376" s="18"/>
    </row>
    <row r="15377" spans="5:6" ht="15" customHeight="1" x14ac:dyDescent="0.2">
      <c r="E15377" s="18"/>
      <c r="F15377" s="18"/>
    </row>
    <row r="15378" spans="5:6" ht="15" customHeight="1" x14ac:dyDescent="0.2">
      <c r="E15378" s="18"/>
      <c r="F15378" s="18"/>
    </row>
    <row r="15379" spans="5:6" ht="15" customHeight="1" x14ac:dyDescent="0.2">
      <c r="E15379" s="18"/>
      <c r="F15379" s="18"/>
    </row>
    <row r="15380" spans="5:6" ht="15" customHeight="1" x14ac:dyDescent="0.2">
      <c r="E15380" s="18"/>
      <c r="F15380" s="18"/>
    </row>
    <row r="15381" spans="5:6" ht="15" customHeight="1" x14ac:dyDescent="0.2">
      <c r="E15381" s="18"/>
      <c r="F15381" s="18"/>
    </row>
    <row r="15382" spans="5:6" ht="15" customHeight="1" x14ac:dyDescent="0.2">
      <c r="E15382" s="18"/>
      <c r="F15382" s="18"/>
    </row>
    <row r="15383" spans="5:6" ht="15" customHeight="1" x14ac:dyDescent="0.2">
      <c r="E15383" s="18"/>
      <c r="F15383" s="18"/>
    </row>
    <row r="15384" spans="5:6" ht="15" customHeight="1" x14ac:dyDescent="0.2">
      <c r="E15384" s="18"/>
      <c r="F15384" s="18"/>
    </row>
    <row r="15385" spans="5:6" ht="15" customHeight="1" x14ac:dyDescent="0.2">
      <c r="E15385" s="18"/>
      <c r="F15385" s="18"/>
    </row>
    <row r="15386" spans="5:6" ht="15" customHeight="1" x14ac:dyDescent="0.2">
      <c r="E15386" s="18"/>
      <c r="F15386" s="18"/>
    </row>
    <row r="15387" spans="5:6" ht="15" customHeight="1" x14ac:dyDescent="0.2">
      <c r="E15387" s="18"/>
      <c r="F15387" s="18"/>
    </row>
    <row r="15388" spans="5:6" ht="15" customHeight="1" x14ac:dyDescent="0.2">
      <c r="E15388" s="18"/>
      <c r="F15388" s="18"/>
    </row>
    <row r="15389" spans="5:6" ht="15" customHeight="1" x14ac:dyDescent="0.2">
      <c r="E15389" s="18"/>
      <c r="F15389" s="18"/>
    </row>
    <row r="15390" spans="5:6" ht="15" customHeight="1" x14ac:dyDescent="0.2">
      <c r="E15390" s="18"/>
      <c r="F15390" s="18"/>
    </row>
    <row r="15391" spans="5:6" ht="15" customHeight="1" x14ac:dyDescent="0.2">
      <c r="E15391" s="18"/>
      <c r="F15391" s="18"/>
    </row>
    <row r="15392" spans="5:6" ht="15" customHeight="1" x14ac:dyDescent="0.2">
      <c r="E15392" s="18"/>
      <c r="F15392" s="18"/>
    </row>
    <row r="15393" spans="5:6" ht="15" customHeight="1" x14ac:dyDescent="0.2">
      <c r="E15393" s="18"/>
      <c r="F15393" s="18"/>
    </row>
    <row r="15394" spans="5:6" ht="15" customHeight="1" x14ac:dyDescent="0.2">
      <c r="E15394" s="18"/>
      <c r="F15394" s="18"/>
    </row>
    <row r="15395" spans="5:6" ht="15" customHeight="1" x14ac:dyDescent="0.2">
      <c r="E15395" s="18"/>
      <c r="F15395" s="18"/>
    </row>
    <row r="15396" spans="5:6" ht="15" customHeight="1" x14ac:dyDescent="0.2">
      <c r="E15396" s="18"/>
      <c r="F15396" s="18"/>
    </row>
    <row r="15397" spans="5:6" ht="15" customHeight="1" x14ac:dyDescent="0.2">
      <c r="E15397" s="18"/>
      <c r="F15397" s="18"/>
    </row>
    <row r="15398" spans="5:6" ht="15" customHeight="1" x14ac:dyDescent="0.2">
      <c r="E15398" s="18"/>
      <c r="F15398" s="18"/>
    </row>
    <row r="15399" spans="5:6" ht="15" customHeight="1" x14ac:dyDescent="0.2">
      <c r="E15399" s="18"/>
      <c r="F15399" s="18"/>
    </row>
    <row r="15400" spans="5:6" ht="15" customHeight="1" x14ac:dyDescent="0.2">
      <c r="E15400" s="18"/>
      <c r="F15400" s="18"/>
    </row>
    <row r="15401" spans="5:6" ht="15" customHeight="1" x14ac:dyDescent="0.2">
      <c r="E15401" s="18"/>
      <c r="F15401" s="18"/>
    </row>
    <row r="15402" spans="5:6" ht="15" customHeight="1" x14ac:dyDescent="0.2">
      <c r="E15402" s="18"/>
      <c r="F15402" s="18"/>
    </row>
    <row r="15403" spans="5:6" ht="15" customHeight="1" x14ac:dyDescent="0.2">
      <c r="E15403" s="18"/>
      <c r="F15403" s="18"/>
    </row>
    <row r="15404" spans="5:6" ht="15" customHeight="1" x14ac:dyDescent="0.2">
      <c r="E15404" s="18"/>
      <c r="F15404" s="18"/>
    </row>
    <row r="15405" spans="5:6" ht="15" customHeight="1" x14ac:dyDescent="0.2">
      <c r="E15405" s="18"/>
      <c r="F15405" s="18"/>
    </row>
    <row r="15406" spans="5:6" ht="15" customHeight="1" x14ac:dyDescent="0.2">
      <c r="E15406" s="18"/>
      <c r="F15406" s="18"/>
    </row>
    <row r="15407" spans="5:6" ht="15" customHeight="1" x14ac:dyDescent="0.2">
      <c r="E15407" s="18"/>
      <c r="F15407" s="18"/>
    </row>
    <row r="15408" spans="5:6" ht="15" customHeight="1" x14ac:dyDescent="0.2">
      <c r="E15408" s="18"/>
      <c r="F15408" s="18"/>
    </row>
    <row r="15409" spans="5:6" ht="15" customHeight="1" x14ac:dyDescent="0.2">
      <c r="E15409" s="18"/>
      <c r="F15409" s="18"/>
    </row>
    <row r="15410" spans="5:6" ht="15" customHeight="1" x14ac:dyDescent="0.2">
      <c r="E15410" s="18"/>
      <c r="F15410" s="18"/>
    </row>
    <row r="15411" spans="5:6" ht="15" customHeight="1" x14ac:dyDescent="0.2">
      <c r="E15411" s="18"/>
      <c r="F15411" s="18"/>
    </row>
    <row r="15412" spans="5:6" ht="15" customHeight="1" x14ac:dyDescent="0.2">
      <c r="E15412" s="18"/>
      <c r="F15412" s="18"/>
    </row>
    <row r="15413" spans="5:6" ht="15" customHeight="1" x14ac:dyDescent="0.2">
      <c r="E15413" s="18"/>
      <c r="F15413" s="18"/>
    </row>
    <row r="15414" spans="5:6" ht="15" customHeight="1" x14ac:dyDescent="0.2">
      <c r="E15414" s="18"/>
      <c r="F15414" s="18"/>
    </row>
    <row r="15415" spans="5:6" ht="15" customHeight="1" x14ac:dyDescent="0.2">
      <c r="E15415" s="18"/>
      <c r="F15415" s="18"/>
    </row>
    <row r="15416" spans="5:6" ht="15" customHeight="1" x14ac:dyDescent="0.2">
      <c r="E15416" s="18"/>
      <c r="F15416" s="18"/>
    </row>
    <row r="15417" spans="5:6" ht="15" customHeight="1" x14ac:dyDescent="0.2">
      <c r="E15417" s="18"/>
      <c r="F15417" s="18"/>
    </row>
    <row r="15418" spans="5:6" ht="15" customHeight="1" x14ac:dyDescent="0.2">
      <c r="E15418" s="18"/>
      <c r="F15418" s="18"/>
    </row>
    <row r="15419" spans="5:6" ht="15" customHeight="1" x14ac:dyDescent="0.2">
      <c r="E15419" s="18"/>
      <c r="F15419" s="18"/>
    </row>
    <row r="15420" spans="5:6" ht="15" customHeight="1" x14ac:dyDescent="0.2">
      <c r="E15420" s="18"/>
      <c r="F15420" s="18"/>
    </row>
    <row r="15421" spans="5:6" ht="15" customHeight="1" x14ac:dyDescent="0.2">
      <c r="E15421" s="18"/>
      <c r="F15421" s="18"/>
    </row>
    <row r="15422" spans="5:6" ht="15" customHeight="1" x14ac:dyDescent="0.2">
      <c r="E15422" s="18"/>
      <c r="F15422" s="18"/>
    </row>
    <row r="15423" spans="5:6" ht="15" customHeight="1" x14ac:dyDescent="0.2">
      <c r="E15423" s="18"/>
      <c r="F15423" s="18"/>
    </row>
    <row r="15424" spans="5:6" ht="15" customHeight="1" x14ac:dyDescent="0.2">
      <c r="E15424" s="18"/>
      <c r="F15424" s="18"/>
    </row>
    <row r="15425" spans="5:6" ht="15" customHeight="1" x14ac:dyDescent="0.2">
      <c r="E15425" s="18"/>
      <c r="F15425" s="18"/>
    </row>
    <row r="15426" spans="5:6" ht="15" customHeight="1" x14ac:dyDescent="0.2">
      <c r="E15426" s="18"/>
      <c r="F15426" s="18"/>
    </row>
    <row r="15427" spans="5:6" ht="15" customHeight="1" x14ac:dyDescent="0.2">
      <c r="E15427" s="18"/>
      <c r="F15427" s="18"/>
    </row>
    <row r="15428" spans="5:6" ht="15" customHeight="1" x14ac:dyDescent="0.2">
      <c r="E15428" s="18"/>
      <c r="F15428" s="18"/>
    </row>
    <row r="15429" spans="5:6" ht="15" customHeight="1" x14ac:dyDescent="0.2">
      <c r="E15429" s="18"/>
      <c r="F15429" s="18"/>
    </row>
    <row r="15430" spans="5:6" ht="15" customHeight="1" x14ac:dyDescent="0.2">
      <c r="E15430" s="18"/>
      <c r="F15430" s="18"/>
    </row>
    <row r="15431" spans="5:6" ht="15" customHeight="1" x14ac:dyDescent="0.2">
      <c r="E15431" s="18"/>
      <c r="F15431" s="18"/>
    </row>
    <row r="15432" spans="5:6" ht="15" customHeight="1" x14ac:dyDescent="0.2">
      <c r="E15432" s="18"/>
      <c r="F15432" s="18"/>
    </row>
    <row r="15433" spans="5:6" ht="15" customHeight="1" x14ac:dyDescent="0.2">
      <c r="E15433" s="18"/>
      <c r="F15433" s="18"/>
    </row>
    <row r="15434" spans="5:6" ht="15" customHeight="1" x14ac:dyDescent="0.2">
      <c r="E15434" s="18"/>
      <c r="F15434" s="18"/>
    </row>
    <row r="15435" spans="5:6" ht="15" customHeight="1" x14ac:dyDescent="0.2">
      <c r="E15435" s="18"/>
      <c r="F15435" s="18"/>
    </row>
    <row r="15436" spans="5:6" ht="15" customHeight="1" x14ac:dyDescent="0.2">
      <c r="E15436" s="18"/>
      <c r="F15436" s="18"/>
    </row>
    <row r="15437" spans="5:6" ht="15" customHeight="1" x14ac:dyDescent="0.2">
      <c r="E15437" s="18"/>
      <c r="F15437" s="18"/>
    </row>
    <row r="15438" spans="5:6" ht="15" customHeight="1" x14ac:dyDescent="0.2">
      <c r="E15438" s="18"/>
      <c r="F15438" s="18"/>
    </row>
    <row r="15439" spans="5:6" ht="15" customHeight="1" x14ac:dyDescent="0.2">
      <c r="E15439" s="18"/>
      <c r="F15439" s="18"/>
    </row>
    <row r="15440" spans="5:6" ht="15" customHeight="1" x14ac:dyDescent="0.2">
      <c r="E15440" s="18"/>
      <c r="F15440" s="18"/>
    </row>
    <row r="15441" spans="5:6" ht="15" customHeight="1" x14ac:dyDescent="0.2">
      <c r="E15441" s="18"/>
      <c r="F15441" s="18"/>
    </row>
    <row r="15442" spans="5:6" ht="15" customHeight="1" x14ac:dyDescent="0.2">
      <c r="E15442" s="18"/>
      <c r="F15442" s="18"/>
    </row>
    <row r="15443" spans="5:6" ht="15" customHeight="1" x14ac:dyDescent="0.2">
      <c r="E15443" s="18"/>
      <c r="F15443" s="18"/>
    </row>
    <row r="15444" spans="5:6" ht="15" customHeight="1" x14ac:dyDescent="0.2">
      <c r="E15444" s="18"/>
      <c r="F15444" s="18"/>
    </row>
    <row r="15445" spans="5:6" ht="15" customHeight="1" x14ac:dyDescent="0.2">
      <c r="E15445" s="18"/>
      <c r="F15445" s="18"/>
    </row>
    <row r="15446" spans="5:6" ht="15" customHeight="1" x14ac:dyDescent="0.2">
      <c r="E15446" s="18"/>
      <c r="F15446" s="18"/>
    </row>
    <row r="15447" spans="5:6" ht="15" customHeight="1" x14ac:dyDescent="0.2">
      <c r="E15447" s="18"/>
      <c r="F15447" s="18"/>
    </row>
    <row r="15448" spans="5:6" ht="15" customHeight="1" x14ac:dyDescent="0.2">
      <c r="E15448" s="18"/>
      <c r="F15448" s="18"/>
    </row>
    <row r="15449" spans="5:6" ht="15" customHeight="1" x14ac:dyDescent="0.2">
      <c r="E15449" s="18"/>
      <c r="F15449" s="18"/>
    </row>
    <row r="15450" spans="5:6" ht="15" customHeight="1" x14ac:dyDescent="0.2">
      <c r="E15450" s="18"/>
      <c r="F15450" s="18"/>
    </row>
    <row r="15451" spans="5:6" ht="15" customHeight="1" x14ac:dyDescent="0.2">
      <c r="E15451" s="18"/>
      <c r="F15451" s="18"/>
    </row>
    <row r="15452" spans="5:6" ht="15" customHeight="1" x14ac:dyDescent="0.2">
      <c r="E15452" s="18"/>
      <c r="F15452" s="18"/>
    </row>
    <row r="15453" spans="5:6" ht="15" customHeight="1" x14ac:dyDescent="0.2">
      <c r="E15453" s="18"/>
      <c r="F15453" s="18"/>
    </row>
    <row r="15454" spans="5:6" ht="15" customHeight="1" x14ac:dyDescent="0.2">
      <c r="E15454" s="18"/>
      <c r="F15454" s="18"/>
    </row>
    <row r="15455" spans="5:6" ht="15" customHeight="1" x14ac:dyDescent="0.2">
      <c r="E15455" s="18"/>
      <c r="F15455" s="18"/>
    </row>
    <row r="15456" spans="5:6" ht="15" customHeight="1" x14ac:dyDescent="0.2">
      <c r="E15456" s="18"/>
      <c r="F15456" s="18"/>
    </row>
    <row r="15457" spans="5:6" ht="15" customHeight="1" x14ac:dyDescent="0.2">
      <c r="E15457" s="18"/>
      <c r="F15457" s="18"/>
    </row>
    <row r="15458" spans="5:6" ht="15" customHeight="1" x14ac:dyDescent="0.2">
      <c r="E15458" s="18"/>
      <c r="F15458" s="18"/>
    </row>
    <row r="15459" spans="5:6" ht="15" customHeight="1" x14ac:dyDescent="0.2">
      <c r="E15459" s="18"/>
      <c r="F15459" s="18"/>
    </row>
    <row r="15460" spans="5:6" ht="15" customHeight="1" x14ac:dyDescent="0.2">
      <c r="E15460" s="18"/>
      <c r="F15460" s="18"/>
    </row>
    <row r="15461" spans="5:6" ht="15" customHeight="1" x14ac:dyDescent="0.2">
      <c r="E15461" s="18"/>
      <c r="F15461" s="18"/>
    </row>
    <row r="15462" spans="5:6" ht="15" customHeight="1" x14ac:dyDescent="0.2">
      <c r="E15462" s="18"/>
      <c r="F15462" s="18"/>
    </row>
    <row r="15463" spans="5:6" ht="15" customHeight="1" x14ac:dyDescent="0.2">
      <c r="E15463" s="18"/>
      <c r="F15463" s="18"/>
    </row>
    <row r="15464" spans="5:6" ht="15" customHeight="1" x14ac:dyDescent="0.2">
      <c r="E15464" s="18"/>
      <c r="F15464" s="18"/>
    </row>
    <row r="15465" spans="5:6" ht="15" customHeight="1" x14ac:dyDescent="0.2">
      <c r="E15465" s="18"/>
      <c r="F15465" s="18"/>
    </row>
    <row r="15466" spans="5:6" ht="15" customHeight="1" x14ac:dyDescent="0.2">
      <c r="E15466" s="18"/>
      <c r="F15466" s="18"/>
    </row>
    <row r="15467" spans="5:6" ht="15" customHeight="1" x14ac:dyDescent="0.2">
      <c r="E15467" s="18"/>
      <c r="F15467" s="18"/>
    </row>
    <row r="15468" spans="5:6" ht="15" customHeight="1" x14ac:dyDescent="0.2">
      <c r="E15468" s="18"/>
      <c r="F15468" s="18"/>
    </row>
    <row r="15469" spans="5:6" ht="15" customHeight="1" x14ac:dyDescent="0.2">
      <c r="E15469" s="18"/>
      <c r="F15469" s="18"/>
    </row>
    <row r="15470" spans="5:6" ht="15" customHeight="1" x14ac:dyDescent="0.2">
      <c r="E15470" s="18"/>
      <c r="F15470" s="18"/>
    </row>
    <row r="15471" spans="5:6" ht="15" customHeight="1" x14ac:dyDescent="0.2">
      <c r="E15471" s="18"/>
      <c r="F15471" s="18"/>
    </row>
    <row r="15472" spans="5:6" ht="15" customHeight="1" x14ac:dyDescent="0.2">
      <c r="E15472" s="18"/>
      <c r="F15472" s="18"/>
    </row>
    <row r="15473" spans="5:6" ht="15" customHeight="1" x14ac:dyDescent="0.2">
      <c r="E15473" s="18"/>
      <c r="F15473" s="18"/>
    </row>
    <row r="15474" spans="5:6" ht="15" customHeight="1" x14ac:dyDescent="0.2">
      <c r="E15474" s="18"/>
      <c r="F15474" s="18"/>
    </row>
    <row r="15475" spans="5:6" ht="15" customHeight="1" x14ac:dyDescent="0.2">
      <c r="E15475" s="18"/>
      <c r="F15475" s="18"/>
    </row>
    <row r="15476" spans="5:6" ht="15" customHeight="1" x14ac:dyDescent="0.2">
      <c r="E15476" s="18"/>
      <c r="F15476" s="18"/>
    </row>
    <row r="15477" spans="5:6" ht="15" customHeight="1" x14ac:dyDescent="0.2">
      <c r="E15477" s="18"/>
      <c r="F15477" s="18"/>
    </row>
    <row r="15478" spans="5:6" ht="15" customHeight="1" x14ac:dyDescent="0.2">
      <c r="E15478" s="18"/>
      <c r="F15478" s="18"/>
    </row>
    <row r="15479" spans="5:6" ht="15" customHeight="1" x14ac:dyDescent="0.2">
      <c r="E15479" s="18"/>
      <c r="F15479" s="18"/>
    </row>
    <row r="15480" spans="5:6" ht="15" customHeight="1" x14ac:dyDescent="0.2">
      <c r="E15480" s="18"/>
      <c r="F15480" s="18"/>
    </row>
    <row r="15481" spans="5:6" ht="15" customHeight="1" x14ac:dyDescent="0.2">
      <c r="E15481" s="18"/>
      <c r="F15481" s="18"/>
    </row>
    <row r="15482" spans="5:6" ht="15" customHeight="1" x14ac:dyDescent="0.2">
      <c r="E15482" s="18"/>
      <c r="F15482" s="18"/>
    </row>
    <row r="15483" spans="5:6" ht="15" customHeight="1" x14ac:dyDescent="0.2">
      <c r="E15483" s="18"/>
      <c r="F15483" s="18"/>
    </row>
    <row r="15484" spans="5:6" ht="15" customHeight="1" x14ac:dyDescent="0.2">
      <c r="E15484" s="18"/>
      <c r="F15484" s="18"/>
    </row>
    <row r="15485" spans="5:6" ht="15" customHeight="1" x14ac:dyDescent="0.2">
      <c r="E15485" s="18"/>
      <c r="F15485" s="18"/>
    </row>
    <row r="15486" spans="5:6" ht="15" customHeight="1" x14ac:dyDescent="0.2">
      <c r="E15486" s="18"/>
      <c r="F15486" s="18"/>
    </row>
    <row r="15487" spans="5:6" ht="15" customHeight="1" x14ac:dyDescent="0.2">
      <c r="E15487" s="18"/>
      <c r="F15487" s="18"/>
    </row>
    <row r="15488" spans="5:6" ht="15" customHeight="1" x14ac:dyDescent="0.2">
      <c r="E15488" s="18"/>
      <c r="F15488" s="18"/>
    </row>
    <row r="15489" spans="5:6" ht="15" customHeight="1" x14ac:dyDescent="0.2">
      <c r="E15489" s="18"/>
      <c r="F15489" s="18"/>
    </row>
    <row r="15490" spans="5:6" ht="15" customHeight="1" x14ac:dyDescent="0.2">
      <c r="E15490" s="18"/>
      <c r="F15490" s="18"/>
    </row>
    <row r="15491" spans="5:6" ht="15" customHeight="1" x14ac:dyDescent="0.2">
      <c r="E15491" s="18"/>
      <c r="F15491" s="18"/>
    </row>
    <row r="15492" spans="5:6" ht="15" customHeight="1" x14ac:dyDescent="0.2">
      <c r="E15492" s="18"/>
      <c r="F15492" s="18"/>
    </row>
    <row r="15493" spans="5:6" ht="15" customHeight="1" x14ac:dyDescent="0.2">
      <c r="E15493" s="18"/>
      <c r="F15493" s="18"/>
    </row>
    <row r="15494" spans="5:6" ht="15" customHeight="1" x14ac:dyDescent="0.2">
      <c r="E15494" s="18"/>
      <c r="F15494" s="18"/>
    </row>
    <row r="15495" spans="5:6" ht="15" customHeight="1" x14ac:dyDescent="0.2">
      <c r="E15495" s="18"/>
      <c r="F15495" s="18"/>
    </row>
    <row r="15496" spans="5:6" ht="15" customHeight="1" x14ac:dyDescent="0.2">
      <c r="E15496" s="18"/>
      <c r="F15496" s="18"/>
    </row>
    <row r="15497" spans="5:6" ht="15" customHeight="1" x14ac:dyDescent="0.2">
      <c r="E15497" s="18"/>
      <c r="F15497" s="18"/>
    </row>
    <row r="15498" spans="5:6" ht="15" customHeight="1" x14ac:dyDescent="0.2">
      <c r="E15498" s="18"/>
      <c r="F15498" s="18"/>
    </row>
    <row r="15499" spans="5:6" ht="15" customHeight="1" x14ac:dyDescent="0.2">
      <c r="E15499" s="18"/>
      <c r="F15499" s="18"/>
    </row>
    <row r="15500" spans="5:6" ht="15" customHeight="1" x14ac:dyDescent="0.2">
      <c r="E15500" s="18"/>
      <c r="F15500" s="18"/>
    </row>
    <row r="15501" spans="5:6" ht="15" customHeight="1" x14ac:dyDescent="0.2">
      <c r="E15501" s="18"/>
      <c r="F15501" s="18"/>
    </row>
    <row r="15502" spans="5:6" ht="15" customHeight="1" x14ac:dyDescent="0.2">
      <c r="E15502" s="18"/>
      <c r="F15502" s="18"/>
    </row>
    <row r="15503" spans="5:6" ht="15" customHeight="1" x14ac:dyDescent="0.2">
      <c r="E15503" s="18"/>
      <c r="F15503" s="18"/>
    </row>
    <row r="15504" spans="5:6" ht="15" customHeight="1" x14ac:dyDescent="0.2">
      <c r="E15504" s="18"/>
      <c r="F15504" s="18"/>
    </row>
    <row r="15505" spans="5:6" ht="15" customHeight="1" x14ac:dyDescent="0.2">
      <c r="E15505" s="18"/>
      <c r="F15505" s="18"/>
    </row>
    <row r="15506" spans="5:6" ht="15" customHeight="1" x14ac:dyDescent="0.2">
      <c r="E15506" s="18"/>
      <c r="F15506" s="18"/>
    </row>
    <row r="15507" spans="5:6" ht="15" customHeight="1" x14ac:dyDescent="0.2">
      <c r="E15507" s="18"/>
      <c r="F15507" s="18"/>
    </row>
    <row r="15508" spans="5:6" ht="15" customHeight="1" x14ac:dyDescent="0.2">
      <c r="E15508" s="18"/>
      <c r="F15508" s="18"/>
    </row>
    <row r="15509" spans="5:6" ht="15" customHeight="1" x14ac:dyDescent="0.2">
      <c r="E15509" s="18"/>
      <c r="F15509" s="18"/>
    </row>
    <row r="15510" spans="5:6" ht="15" customHeight="1" x14ac:dyDescent="0.2">
      <c r="E15510" s="18"/>
      <c r="F15510" s="18"/>
    </row>
    <row r="15511" spans="5:6" ht="15" customHeight="1" x14ac:dyDescent="0.2">
      <c r="E15511" s="18"/>
      <c r="F15511" s="18"/>
    </row>
    <row r="15512" spans="5:6" ht="15" customHeight="1" x14ac:dyDescent="0.2">
      <c r="E15512" s="18"/>
      <c r="F15512" s="18"/>
    </row>
    <row r="15513" spans="5:6" ht="15" customHeight="1" x14ac:dyDescent="0.2">
      <c r="E15513" s="18"/>
      <c r="F15513" s="18"/>
    </row>
    <row r="15514" spans="5:6" ht="15" customHeight="1" x14ac:dyDescent="0.2">
      <c r="E15514" s="18"/>
      <c r="F15514" s="18"/>
    </row>
    <row r="15515" spans="5:6" ht="15" customHeight="1" x14ac:dyDescent="0.2">
      <c r="E15515" s="18"/>
      <c r="F15515" s="18"/>
    </row>
    <row r="15516" spans="5:6" ht="15" customHeight="1" x14ac:dyDescent="0.2">
      <c r="E15516" s="18"/>
      <c r="F15516" s="18"/>
    </row>
    <row r="15517" spans="5:6" ht="15" customHeight="1" x14ac:dyDescent="0.2">
      <c r="E15517" s="18"/>
      <c r="F15517" s="18"/>
    </row>
    <row r="15518" spans="5:6" ht="15" customHeight="1" x14ac:dyDescent="0.2">
      <c r="E15518" s="18"/>
      <c r="F15518" s="18"/>
    </row>
    <row r="15519" spans="5:6" ht="15" customHeight="1" x14ac:dyDescent="0.2">
      <c r="E15519" s="18"/>
      <c r="F15519" s="18"/>
    </row>
    <row r="15520" spans="5:6" ht="15" customHeight="1" x14ac:dyDescent="0.2">
      <c r="E15520" s="18"/>
      <c r="F15520" s="18"/>
    </row>
    <row r="15521" spans="5:6" ht="15" customHeight="1" x14ac:dyDescent="0.2">
      <c r="E15521" s="18"/>
      <c r="F15521" s="18"/>
    </row>
    <row r="15522" spans="5:6" ht="15" customHeight="1" x14ac:dyDescent="0.2">
      <c r="E15522" s="18"/>
      <c r="F15522" s="18"/>
    </row>
    <row r="15523" spans="5:6" ht="15" customHeight="1" x14ac:dyDescent="0.2">
      <c r="E15523" s="18"/>
      <c r="F15523" s="18"/>
    </row>
    <row r="15524" spans="5:6" ht="15" customHeight="1" x14ac:dyDescent="0.2">
      <c r="E15524" s="18"/>
      <c r="F15524" s="18"/>
    </row>
    <row r="15525" spans="5:6" ht="15" customHeight="1" x14ac:dyDescent="0.2">
      <c r="E15525" s="18"/>
      <c r="F15525" s="18"/>
    </row>
    <row r="15526" spans="5:6" ht="15" customHeight="1" x14ac:dyDescent="0.2">
      <c r="E15526" s="18"/>
      <c r="F15526" s="18"/>
    </row>
    <row r="15527" spans="5:6" ht="15" customHeight="1" x14ac:dyDescent="0.2">
      <c r="E15527" s="18"/>
      <c r="F15527" s="18"/>
    </row>
    <row r="15528" spans="5:6" ht="15" customHeight="1" x14ac:dyDescent="0.2">
      <c r="E15528" s="18"/>
      <c r="F15528" s="18"/>
    </row>
    <row r="15529" spans="5:6" ht="15" customHeight="1" x14ac:dyDescent="0.2">
      <c r="E15529" s="18"/>
      <c r="F15529" s="18"/>
    </row>
    <row r="15530" spans="5:6" ht="15" customHeight="1" x14ac:dyDescent="0.2">
      <c r="E15530" s="18"/>
      <c r="F15530" s="18"/>
    </row>
    <row r="15531" spans="5:6" ht="15" customHeight="1" x14ac:dyDescent="0.2">
      <c r="E15531" s="18"/>
      <c r="F15531" s="18"/>
    </row>
    <row r="15532" spans="5:6" ht="15" customHeight="1" x14ac:dyDescent="0.2">
      <c r="E15532" s="18"/>
      <c r="F15532" s="18"/>
    </row>
    <row r="15533" spans="5:6" ht="15" customHeight="1" x14ac:dyDescent="0.2">
      <c r="E15533" s="18"/>
      <c r="F15533" s="18"/>
    </row>
    <row r="15534" spans="5:6" ht="15" customHeight="1" x14ac:dyDescent="0.2">
      <c r="E15534" s="18"/>
      <c r="F15534" s="18"/>
    </row>
    <row r="15535" spans="5:6" ht="15" customHeight="1" x14ac:dyDescent="0.2">
      <c r="E15535" s="18"/>
      <c r="F15535" s="18"/>
    </row>
    <row r="15536" spans="5:6" ht="15" customHeight="1" x14ac:dyDescent="0.2">
      <c r="E15536" s="18"/>
      <c r="F15536" s="18"/>
    </row>
    <row r="15537" spans="5:6" ht="15" customHeight="1" x14ac:dyDescent="0.2">
      <c r="E15537" s="18"/>
      <c r="F15537" s="18"/>
    </row>
    <row r="15538" spans="5:6" ht="15" customHeight="1" x14ac:dyDescent="0.2">
      <c r="E15538" s="18"/>
      <c r="F15538" s="18"/>
    </row>
    <row r="15539" spans="5:6" ht="15" customHeight="1" x14ac:dyDescent="0.2">
      <c r="E15539" s="18"/>
      <c r="F15539" s="18"/>
    </row>
    <row r="15540" spans="5:6" ht="15" customHeight="1" x14ac:dyDescent="0.2">
      <c r="E15540" s="18"/>
      <c r="F15540" s="18"/>
    </row>
    <row r="15541" spans="5:6" ht="15" customHeight="1" x14ac:dyDescent="0.2">
      <c r="E15541" s="18"/>
      <c r="F15541" s="18"/>
    </row>
    <row r="15542" spans="5:6" ht="15" customHeight="1" x14ac:dyDescent="0.2">
      <c r="E15542" s="18"/>
      <c r="F15542" s="18"/>
    </row>
    <row r="15543" spans="5:6" ht="15" customHeight="1" x14ac:dyDescent="0.2">
      <c r="E15543" s="18"/>
      <c r="F15543" s="18"/>
    </row>
    <row r="15544" spans="5:6" ht="15" customHeight="1" x14ac:dyDescent="0.2">
      <c r="E15544" s="18"/>
      <c r="F15544" s="18"/>
    </row>
    <row r="15545" spans="5:6" ht="15" customHeight="1" x14ac:dyDescent="0.2">
      <c r="E15545" s="18"/>
      <c r="F15545" s="18"/>
    </row>
    <row r="15546" spans="5:6" ht="15" customHeight="1" x14ac:dyDescent="0.2">
      <c r="E15546" s="18"/>
      <c r="F15546" s="18"/>
    </row>
    <row r="15547" spans="5:6" ht="15" customHeight="1" x14ac:dyDescent="0.2">
      <c r="E15547" s="18"/>
      <c r="F15547" s="18"/>
    </row>
    <row r="15548" spans="5:6" ht="15" customHeight="1" x14ac:dyDescent="0.2">
      <c r="E15548" s="18"/>
      <c r="F15548" s="18"/>
    </row>
    <row r="15549" spans="5:6" ht="15" customHeight="1" x14ac:dyDescent="0.2">
      <c r="E15549" s="18"/>
      <c r="F15549" s="18"/>
    </row>
    <row r="15550" spans="5:6" ht="15" customHeight="1" x14ac:dyDescent="0.2">
      <c r="E15550" s="18"/>
      <c r="F15550" s="18"/>
    </row>
    <row r="15551" spans="5:6" ht="15" customHeight="1" x14ac:dyDescent="0.2">
      <c r="E15551" s="18"/>
      <c r="F15551" s="18"/>
    </row>
    <row r="15552" spans="5:6" ht="15" customHeight="1" x14ac:dyDescent="0.2">
      <c r="E15552" s="18"/>
      <c r="F15552" s="18"/>
    </row>
    <row r="15553" spans="5:6" ht="15" customHeight="1" x14ac:dyDescent="0.2">
      <c r="E15553" s="18"/>
      <c r="F15553" s="18"/>
    </row>
    <row r="15554" spans="5:6" ht="15" customHeight="1" x14ac:dyDescent="0.2">
      <c r="E15554" s="18"/>
      <c r="F15554" s="18"/>
    </row>
    <row r="15555" spans="5:6" ht="15" customHeight="1" x14ac:dyDescent="0.2">
      <c r="E15555" s="18"/>
      <c r="F15555" s="18"/>
    </row>
    <row r="15556" spans="5:6" ht="15" customHeight="1" x14ac:dyDescent="0.2">
      <c r="E15556" s="18"/>
      <c r="F15556" s="18"/>
    </row>
    <row r="15557" spans="5:6" ht="15" customHeight="1" x14ac:dyDescent="0.2">
      <c r="E15557" s="18"/>
      <c r="F15557" s="18"/>
    </row>
    <row r="15558" spans="5:6" ht="15" customHeight="1" x14ac:dyDescent="0.2">
      <c r="E15558" s="18"/>
      <c r="F15558" s="18"/>
    </row>
    <row r="15559" spans="5:6" ht="15" customHeight="1" x14ac:dyDescent="0.2">
      <c r="E15559" s="18"/>
      <c r="F15559" s="18"/>
    </row>
    <row r="15560" spans="5:6" ht="15" customHeight="1" x14ac:dyDescent="0.2">
      <c r="E15560" s="18"/>
      <c r="F15560" s="18"/>
    </row>
    <row r="15561" spans="5:6" ht="15" customHeight="1" x14ac:dyDescent="0.2">
      <c r="E15561" s="18"/>
      <c r="F15561" s="18"/>
    </row>
    <row r="15562" spans="5:6" ht="15" customHeight="1" x14ac:dyDescent="0.2">
      <c r="E15562" s="18"/>
      <c r="F15562" s="18"/>
    </row>
    <row r="15563" spans="5:6" ht="15" customHeight="1" x14ac:dyDescent="0.2">
      <c r="E15563" s="18"/>
      <c r="F15563" s="18"/>
    </row>
    <row r="15564" spans="5:6" ht="15" customHeight="1" x14ac:dyDescent="0.2">
      <c r="E15564" s="18"/>
      <c r="F15564" s="18"/>
    </row>
    <row r="15565" spans="5:6" ht="15" customHeight="1" x14ac:dyDescent="0.2">
      <c r="E15565" s="18"/>
      <c r="F15565" s="18"/>
    </row>
    <row r="15566" spans="5:6" ht="15" customHeight="1" x14ac:dyDescent="0.2">
      <c r="E15566" s="18"/>
      <c r="F15566" s="18"/>
    </row>
    <row r="15567" spans="5:6" ht="15" customHeight="1" x14ac:dyDescent="0.2">
      <c r="E15567" s="18"/>
      <c r="F15567" s="18"/>
    </row>
    <row r="15568" spans="5:6" ht="15" customHeight="1" x14ac:dyDescent="0.2">
      <c r="E15568" s="18"/>
      <c r="F15568" s="18"/>
    </row>
    <row r="15569" spans="5:6" ht="15" customHeight="1" x14ac:dyDescent="0.2">
      <c r="E15569" s="18"/>
      <c r="F15569" s="18"/>
    </row>
    <row r="15570" spans="5:6" ht="15" customHeight="1" x14ac:dyDescent="0.2">
      <c r="E15570" s="18"/>
      <c r="F15570" s="18"/>
    </row>
    <row r="15571" spans="5:6" ht="15" customHeight="1" x14ac:dyDescent="0.2">
      <c r="E15571" s="18"/>
      <c r="F15571" s="18"/>
    </row>
    <row r="15572" spans="5:6" ht="15" customHeight="1" x14ac:dyDescent="0.2">
      <c r="E15572" s="18"/>
      <c r="F15572" s="18"/>
    </row>
    <row r="15573" spans="5:6" ht="15" customHeight="1" x14ac:dyDescent="0.2">
      <c r="E15573" s="18"/>
      <c r="F15573" s="18"/>
    </row>
    <row r="15574" spans="5:6" ht="15" customHeight="1" x14ac:dyDescent="0.2">
      <c r="E15574" s="18"/>
      <c r="F15574" s="18"/>
    </row>
    <row r="15575" spans="5:6" ht="15" customHeight="1" x14ac:dyDescent="0.2">
      <c r="E15575" s="18"/>
      <c r="F15575" s="18"/>
    </row>
    <row r="15576" spans="5:6" ht="15" customHeight="1" x14ac:dyDescent="0.2">
      <c r="E15576" s="18"/>
      <c r="F15576" s="18"/>
    </row>
    <row r="15577" spans="5:6" ht="15" customHeight="1" x14ac:dyDescent="0.2">
      <c r="E15577" s="18"/>
      <c r="F15577" s="18"/>
    </row>
    <row r="15578" spans="5:6" ht="15" customHeight="1" x14ac:dyDescent="0.2">
      <c r="E15578" s="18"/>
      <c r="F15578" s="18"/>
    </row>
    <row r="15579" spans="5:6" ht="15" customHeight="1" x14ac:dyDescent="0.2">
      <c r="E15579" s="18"/>
      <c r="F15579" s="18"/>
    </row>
    <row r="15580" spans="5:6" ht="15" customHeight="1" x14ac:dyDescent="0.2">
      <c r="E15580" s="18"/>
      <c r="F15580" s="18"/>
    </row>
    <row r="15581" spans="5:6" ht="15" customHeight="1" x14ac:dyDescent="0.2">
      <c r="E15581" s="18"/>
      <c r="F15581" s="18"/>
    </row>
    <row r="15582" spans="5:6" ht="15" customHeight="1" x14ac:dyDescent="0.2">
      <c r="E15582" s="18"/>
      <c r="F15582" s="18"/>
    </row>
    <row r="15583" spans="5:6" ht="15" customHeight="1" x14ac:dyDescent="0.2">
      <c r="E15583" s="18"/>
      <c r="F15583" s="18"/>
    </row>
    <row r="15584" spans="5:6" ht="15" customHeight="1" x14ac:dyDescent="0.2">
      <c r="E15584" s="18"/>
      <c r="F15584" s="18"/>
    </row>
    <row r="15585" spans="5:6" ht="15" customHeight="1" x14ac:dyDescent="0.2">
      <c r="E15585" s="18"/>
      <c r="F15585" s="18"/>
    </row>
    <row r="15586" spans="5:6" ht="15" customHeight="1" x14ac:dyDescent="0.2">
      <c r="E15586" s="18"/>
      <c r="F15586" s="18"/>
    </row>
    <row r="15587" spans="5:6" ht="15" customHeight="1" x14ac:dyDescent="0.2">
      <c r="E15587" s="18"/>
      <c r="F15587" s="18"/>
    </row>
    <row r="15588" spans="5:6" ht="15" customHeight="1" x14ac:dyDescent="0.2">
      <c r="E15588" s="18"/>
      <c r="F15588" s="18"/>
    </row>
    <row r="15589" spans="5:6" ht="15" customHeight="1" x14ac:dyDescent="0.2">
      <c r="E15589" s="18"/>
      <c r="F15589" s="18"/>
    </row>
    <row r="15590" spans="5:6" ht="15" customHeight="1" x14ac:dyDescent="0.2">
      <c r="E15590" s="18"/>
      <c r="F15590" s="18"/>
    </row>
    <row r="15591" spans="5:6" ht="15" customHeight="1" x14ac:dyDescent="0.2">
      <c r="E15591" s="18"/>
      <c r="F15591" s="18"/>
    </row>
    <row r="15592" spans="5:6" ht="15" customHeight="1" x14ac:dyDescent="0.2">
      <c r="E15592" s="18"/>
      <c r="F15592" s="18"/>
    </row>
    <row r="15593" spans="5:6" ht="15" customHeight="1" x14ac:dyDescent="0.2">
      <c r="E15593" s="18"/>
      <c r="F15593" s="18"/>
    </row>
    <row r="15594" spans="5:6" ht="15" customHeight="1" x14ac:dyDescent="0.2">
      <c r="E15594" s="18"/>
      <c r="F15594" s="18"/>
    </row>
    <row r="15595" spans="5:6" ht="15" customHeight="1" x14ac:dyDescent="0.2">
      <c r="E15595" s="18"/>
      <c r="F15595" s="18"/>
    </row>
    <row r="15596" spans="5:6" ht="15" customHeight="1" x14ac:dyDescent="0.2">
      <c r="E15596" s="18"/>
      <c r="F15596" s="18"/>
    </row>
    <row r="15597" spans="5:6" ht="15" customHeight="1" x14ac:dyDescent="0.2">
      <c r="E15597" s="18"/>
      <c r="F15597" s="18"/>
    </row>
    <row r="15598" spans="5:6" ht="15" customHeight="1" x14ac:dyDescent="0.2">
      <c r="E15598" s="18"/>
      <c r="F15598" s="18"/>
    </row>
    <row r="15599" spans="5:6" ht="15" customHeight="1" x14ac:dyDescent="0.2">
      <c r="E15599" s="18"/>
      <c r="F15599" s="18"/>
    </row>
    <row r="15600" spans="5:6" ht="15" customHeight="1" x14ac:dyDescent="0.2">
      <c r="E15600" s="18"/>
      <c r="F15600" s="18"/>
    </row>
    <row r="15601" spans="5:6" ht="15" customHeight="1" x14ac:dyDescent="0.2">
      <c r="E15601" s="18"/>
      <c r="F15601" s="18"/>
    </row>
    <row r="15602" spans="5:6" ht="15" customHeight="1" x14ac:dyDescent="0.2">
      <c r="E15602" s="18"/>
      <c r="F15602" s="18"/>
    </row>
    <row r="15603" spans="5:6" ht="15" customHeight="1" x14ac:dyDescent="0.2">
      <c r="E15603" s="18"/>
      <c r="F15603" s="18"/>
    </row>
    <row r="15604" spans="5:6" ht="15" customHeight="1" x14ac:dyDescent="0.2">
      <c r="E15604" s="18"/>
      <c r="F15604" s="18"/>
    </row>
    <row r="15605" spans="5:6" ht="15" customHeight="1" x14ac:dyDescent="0.2">
      <c r="E15605" s="18"/>
      <c r="F15605" s="18"/>
    </row>
    <row r="15606" spans="5:6" ht="15" customHeight="1" x14ac:dyDescent="0.2">
      <c r="E15606" s="18"/>
      <c r="F15606" s="18"/>
    </row>
    <row r="15607" spans="5:6" ht="15" customHeight="1" x14ac:dyDescent="0.2">
      <c r="E15607" s="18"/>
      <c r="F15607" s="18"/>
    </row>
    <row r="15608" spans="5:6" ht="15" customHeight="1" x14ac:dyDescent="0.2">
      <c r="E15608" s="18"/>
      <c r="F15608" s="18"/>
    </row>
    <row r="15609" spans="5:6" ht="15" customHeight="1" x14ac:dyDescent="0.2">
      <c r="E15609" s="18"/>
      <c r="F15609" s="18"/>
    </row>
    <row r="15610" spans="5:6" ht="15" customHeight="1" x14ac:dyDescent="0.2">
      <c r="E15610" s="18"/>
      <c r="F15610" s="18"/>
    </row>
    <row r="15611" spans="5:6" ht="15" customHeight="1" x14ac:dyDescent="0.2">
      <c r="E15611" s="18"/>
      <c r="F15611" s="18"/>
    </row>
    <row r="15612" spans="5:6" ht="15" customHeight="1" x14ac:dyDescent="0.2">
      <c r="E15612" s="18"/>
      <c r="F15612" s="18"/>
    </row>
    <row r="15613" spans="5:6" ht="15" customHeight="1" x14ac:dyDescent="0.2">
      <c r="E15613" s="18"/>
      <c r="F15613" s="18"/>
    </row>
    <row r="15614" spans="5:6" ht="15" customHeight="1" x14ac:dyDescent="0.2">
      <c r="E15614" s="18"/>
      <c r="F15614" s="18"/>
    </row>
    <row r="15615" spans="5:6" ht="15" customHeight="1" x14ac:dyDescent="0.2">
      <c r="E15615" s="18"/>
      <c r="F15615" s="18"/>
    </row>
    <row r="15616" spans="5:6" ht="15" customHeight="1" x14ac:dyDescent="0.2">
      <c r="E15616" s="18"/>
      <c r="F15616" s="18"/>
    </row>
    <row r="15617" spans="5:6" ht="15" customHeight="1" x14ac:dyDescent="0.2">
      <c r="E15617" s="18"/>
      <c r="F15617" s="18"/>
    </row>
    <row r="15618" spans="5:6" ht="15" customHeight="1" x14ac:dyDescent="0.2">
      <c r="E15618" s="18"/>
      <c r="F15618" s="18"/>
    </row>
    <row r="15619" spans="5:6" ht="15" customHeight="1" x14ac:dyDescent="0.2">
      <c r="E15619" s="18"/>
      <c r="F15619" s="18"/>
    </row>
    <row r="15620" spans="5:6" ht="15" customHeight="1" x14ac:dyDescent="0.2">
      <c r="E15620" s="18"/>
      <c r="F15620" s="18"/>
    </row>
    <row r="15621" spans="5:6" ht="15" customHeight="1" x14ac:dyDescent="0.2">
      <c r="E15621" s="18"/>
      <c r="F15621" s="18"/>
    </row>
    <row r="15622" spans="5:6" ht="15" customHeight="1" x14ac:dyDescent="0.2">
      <c r="E15622" s="18"/>
      <c r="F15622" s="18"/>
    </row>
    <row r="15623" spans="5:6" ht="15" customHeight="1" x14ac:dyDescent="0.2">
      <c r="E15623" s="18"/>
      <c r="F15623" s="18"/>
    </row>
    <row r="15624" spans="5:6" ht="15" customHeight="1" x14ac:dyDescent="0.2">
      <c r="E15624" s="18"/>
      <c r="F15624" s="18"/>
    </row>
    <row r="15625" spans="5:6" ht="15" customHeight="1" x14ac:dyDescent="0.2">
      <c r="E15625" s="18"/>
      <c r="F15625" s="18"/>
    </row>
    <row r="15626" spans="5:6" ht="15" customHeight="1" x14ac:dyDescent="0.2">
      <c r="E15626" s="18"/>
      <c r="F15626" s="18"/>
    </row>
    <row r="15627" spans="5:6" ht="15" customHeight="1" x14ac:dyDescent="0.2">
      <c r="E15627" s="18"/>
      <c r="F15627" s="18"/>
    </row>
    <row r="15628" spans="5:6" ht="15" customHeight="1" x14ac:dyDescent="0.2">
      <c r="E15628" s="18"/>
      <c r="F15628" s="18"/>
    </row>
    <row r="15629" spans="5:6" ht="15" customHeight="1" x14ac:dyDescent="0.2">
      <c r="E15629" s="18"/>
      <c r="F15629" s="18"/>
    </row>
    <row r="15630" spans="5:6" ht="15" customHeight="1" x14ac:dyDescent="0.2">
      <c r="E15630" s="18"/>
      <c r="F15630" s="18"/>
    </row>
    <row r="15631" spans="5:6" ht="15" customHeight="1" x14ac:dyDescent="0.2">
      <c r="E15631" s="18"/>
      <c r="F15631" s="18"/>
    </row>
    <row r="15632" spans="5:6" ht="15" customHeight="1" x14ac:dyDescent="0.2">
      <c r="E15632" s="18"/>
      <c r="F15632" s="18"/>
    </row>
    <row r="15633" spans="5:6" ht="15" customHeight="1" x14ac:dyDescent="0.2">
      <c r="E15633" s="18"/>
      <c r="F15633" s="18"/>
    </row>
    <row r="15634" spans="5:6" ht="15" customHeight="1" x14ac:dyDescent="0.2">
      <c r="E15634" s="18"/>
      <c r="F15634" s="18"/>
    </row>
    <row r="15635" spans="5:6" ht="15" customHeight="1" x14ac:dyDescent="0.2">
      <c r="E15635" s="18"/>
      <c r="F15635" s="18"/>
    </row>
    <row r="15636" spans="5:6" ht="15" customHeight="1" x14ac:dyDescent="0.2">
      <c r="E15636" s="18"/>
      <c r="F15636" s="18"/>
    </row>
    <row r="15637" spans="5:6" ht="15" customHeight="1" x14ac:dyDescent="0.2">
      <c r="E15637" s="18"/>
      <c r="F15637" s="18"/>
    </row>
    <row r="15638" spans="5:6" ht="15" customHeight="1" x14ac:dyDescent="0.2">
      <c r="E15638" s="18"/>
      <c r="F15638" s="18"/>
    </row>
    <row r="15639" spans="5:6" ht="15" customHeight="1" x14ac:dyDescent="0.2">
      <c r="E15639" s="18"/>
      <c r="F15639" s="18"/>
    </row>
    <row r="15640" spans="5:6" ht="15" customHeight="1" x14ac:dyDescent="0.2">
      <c r="E15640" s="18"/>
      <c r="F15640" s="18"/>
    </row>
    <row r="15641" spans="5:6" ht="15" customHeight="1" x14ac:dyDescent="0.2">
      <c r="E15641" s="18"/>
      <c r="F15641" s="18"/>
    </row>
    <row r="15642" spans="5:6" ht="15" customHeight="1" x14ac:dyDescent="0.2">
      <c r="E15642" s="18"/>
      <c r="F15642" s="18"/>
    </row>
    <row r="15643" spans="5:6" ht="15" customHeight="1" x14ac:dyDescent="0.2">
      <c r="E15643" s="18"/>
      <c r="F15643" s="18"/>
    </row>
    <row r="15644" spans="5:6" ht="15" customHeight="1" x14ac:dyDescent="0.2">
      <c r="E15644" s="18"/>
      <c r="F15644" s="18"/>
    </row>
    <row r="15645" spans="5:6" ht="15" customHeight="1" x14ac:dyDescent="0.2">
      <c r="E15645" s="18"/>
      <c r="F15645" s="18"/>
    </row>
    <row r="15646" spans="5:6" ht="15" customHeight="1" x14ac:dyDescent="0.2">
      <c r="E15646" s="18"/>
      <c r="F15646" s="18"/>
    </row>
    <row r="15647" spans="5:6" ht="15" customHeight="1" x14ac:dyDescent="0.2">
      <c r="E15647" s="18"/>
      <c r="F15647" s="18"/>
    </row>
    <row r="15648" spans="5:6" ht="15" customHeight="1" x14ac:dyDescent="0.2">
      <c r="E15648" s="18"/>
      <c r="F15648" s="18"/>
    </row>
    <row r="15649" spans="5:6" ht="15" customHeight="1" x14ac:dyDescent="0.2">
      <c r="E15649" s="18"/>
      <c r="F15649" s="18"/>
    </row>
    <row r="15650" spans="5:6" ht="15" customHeight="1" x14ac:dyDescent="0.2">
      <c r="E15650" s="18"/>
      <c r="F15650" s="18"/>
    </row>
    <row r="15651" spans="5:6" ht="15" customHeight="1" x14ac:dyDescent="0.2">
      <c r="E15651" s="18"/>
      <c r="F15651" s="18"/>
    </row>
    <row r="15652" spans="5:6" ht="15" customHeight="1" x14ac:dyDescent="0.2">
      <c r="E15652" s="18"/>
      <c r="F15652" s="18"/>
    </row>
    <row r="15653" spans="5:6" ht="15" customHeight="1" x14ac:dyDescent="0.2">
      <c r="E15653" s="18"/>
      <c r="F15653" s="18"/>
    </row>
    <row r="15654" spans="5:6" ht="15" customHeight="1" x14ac:dyDescent="0.2">
      <c r="E15654" s="18"/>
      <c r="F15654" s="18"/>
    </row>
    <row r="15655" spans="5:6" ht="15" customHeight="1" x14ac:dyDescent="0.2">
      <c r="E15655" s="18"/>
      <c r="F15655" s="18"/>
    </row>
    <row r="15656" spans="5:6" ht="15" customHeight="1" x14ac:dyDescent="0.2">
      <c r="E15656" s="18"/>
      <c r="F15656" s="18"/>
    </row>
    <row r="15657" spans="5:6" ht="15" customHeight="1" x14ac:dyDescent="0.2">
      <c r="E15657" s="18"/>
      <c r="F15657" s="18"/>
    </row>
    <row r="15658" spans="5:6" ht="15" customHeight="1" x14ac:dyDescent="0.2">
      <c r="E15658" s="18"/>
      <c r="F15658" s="18"/>
    </row>
    <row r="15659" spans="5:6" ht="15" customHeight="1" x14ac:dyDescent="0.2">
      <c r="E15659" s="18"/>
      <c r="F15659" s="18"/>
    </row>
    <row r="15660" spans="5:6" ht="15" customHeight="1" x14ac:dyDescent="0.2">
      <c r="E15660" s="18"/>
      <c r="F15660" s="18"/>
    </row>
    <row r="15661" spans="5:6" ht="15" customHeight="1" x14ac:dyDescent="0.2">
      <c r="E15661" s="18"/>
      <c r="F15661" s="18"/>
    </row>
    <row r="15662" spans="5:6" ht="15" customHeight="1" x14ac:dyDescent="0.2">
      <c r="E15662" s="18"/>
      <c r="F15662" s="18"/>
    </row>
    <row r="15663" spans="5:6" ht="15" customHeight="1" x14ac:dyDescent="0.2">
      <c r="E15663" s="18"/>
      <c r="F15663" s="18"/>
    </row>
    <row r="15664" spans="5:6" ht="15" customHeight="1" x14ac:dyDescent="0.2">
      <c r="E15664" s="18"/>
      <c r="F15664" s="18"/>
    </row>
    <row r="15665" spans="5:6" ht="15" customHeight="1" x14ac:dyDescent="0.2">
      <c r="E15665" s="18"/>
      <c r="F15665" s="18"/>
    </row>
    <row r="15666" spans="5:6" ht="15" customHeight="1" x14ac:dyDescent="0.2">
      <c r="E15666" s="18"/>
      <c r="F15666" s="18"/>
    </row>
    <row r="15667" spans="5:6" ht="15" customHeight="1" x14ac:dyDescent="0.2">
      <c r="E15667" s="18"/>
      <c r="F15667" s="18"/>
    </row>
    <row r="15668" spans="5:6" ht="15" customHeight="1" x14ac:dyDescent="0.2">
      <c r="E15668" s="18"/>
      <c r="F15668" s="18"/>
    </row>
    <row r="15669" spans="5:6" ht="15" customHeight="1" x14ac:dyDescent="0.2">
      <c r="E15669" s="18"/>
      <c r="F15669" s="18"/>
    </row>
    <row r="15670" spans="5:6" ht="15" customHeight="1" x14ac:dyDescent="0.2">
      <c r="E15670" s="18"/>
      <c r="F15670" s="18"/>
    </row>
    <row r="15671" spans="5:6" ht="15" customHeight="1" x14ac:dyDescent="0.2">
      <c r="E15671" s="18"/>
      <c r="F15671" s="18"/>
    </row>
    <row r="15672" spans="5:6" ht="15" customHeight="1" x14ac:dyDescent="0.2">
      <c r="E15672" s="18"/>
      <c r="F15672" s="18"/>
    </row>
    <row r="15673" spans="5:6" ht="15" customHeight="1" x14ac:dyDescent="0.2">
      <c r="E15673" s="18"/>
      <c r="F15673" s="18"/>
    </row>
    <row r="15674" spans="5:6" ht="15" customHeight="1" x14ac:dyDescent="0.2">
      <c r="E15674" s="18"/>
      <c r="F15674" s="18"/>
    </row>
    <row r="15675" spans="5:6" ht="15" customHeight="1" x14ac:dyDescent="0.2">
      <c r="E15675" s="18"/>
      <c r="F15675" s="18"/>
    </row>
    <row r="15676" spans="5:6" ht="15" customHeight="1" x14ac:dyDescent="0.2">
      <c r="E15676" s="18"/>
      <c r="F15676" s="18"/>
    </row>
    <row r="15677" spans="5:6" ht="15" customHeight="1" x14ac:dyDescent="0.2">
      <c r="E15677" s="18"/>
      <c r="F15677" s="18"/>
    </row>
    <row r="15678" spans="5:6" ht="15" customHeight="1" x14ac:dyDescent="0.2">
      <c r="E15678" s="18"/>
      <c r="F15678" s="18"/>
    </row>
    <row r="15679" spans="5:6" ht="15" customHeight="1" x14ac:dyDescent="0.2">
      <c r="E15679" s="18"/>
      <c r="F15679" s="18"/>
    </row>
    <row r="15680" spans="5:6" ht="15" customHeight="1" x14ac:dyDescent="0.2">
      <c r="E15680" s="18"/>
      <c r="F15680" s="18"/>
    </row>
    <row r="15681" spans="5:6" ht="15" customHeight="1" x14ac:dyDescent="0.2">
      <c r="E15681" s="18"/>
      <c r="F15681" s="18"/>
    </row>
    <row r="15682" spans="5:6" ht="15" customHeight="1" x14ac:dyDescent="0.2">
      <c r="E15682" s="18"/>
      <c r="F15682" s="18"/>
    </row>
    <row r="15683" spans="5:6" ht="15" customHeight="1" x14ac:dyDescent="0.2">
      <c r="E15683" s="18"/>
      <c r="F15683" s="18"/>
    </row>
    <row r="15684" spans="5:6" ht="15" customHeight="1" x14ac:dyDescent="0.2">
      <c r="E15684" s="18"/>
      <c r="F15684" s="18"/>
    </row>
    <row r="15685" spans="5:6" ht="15" customHeight="1" x14ac:dyDescent="0.2">
      <c r="E15685" s="18"/>
      <c r="F15685" s="18"/>
    </row>
    <row r="15686" spans="5:6" ht="15" customHeight="1" x14ac:dyDescent="0.2">
      <c r="E15686" s="18"/>
      <c r="F15686" s="18"/>
    </row>
    <row r="15687" spans="5:6" ht="15" customHeight="1" x14ac:dyDescent="0.2">
      <c r="E15687" s="18"/>
      <c r="F15687" s="18"/>
    </row>
    <row r="15688" spans="5:6" ht="15" customHeight="1" x14ac:dyDescent="0.2">
      <c r="E15688" s="18"/>
      <c r="F15688" s="18"/>
    </row>
    <row r="15689" spans="5:6" ht="15" customHeight="1" x14ac:dyDescent="0.2">
      <c r="E15689" s="18"/>
      <c r="F15689" s="18"/>
    </row>
    <row r="15690" spans="5:6" ht="15" customHeight="1" x14ac:dyDescent="0.2">
      <c r="E15690" s="18"/>
      <c r="F15690" s="18"/>
    </row>
    <row r="15691" spans="5:6" ht="15" customHeight="1" x14ac:dyDescent="0.2">
      <c r="E15691" s="18"/>
      <c r="F15691" s="18"/>
    </row>
    <row r="15692" spans="5:6" ht="15" customHeight="1" x14ac:dyDescent="0.2">
      <c r="E15692" s="18"/>
      <c r="F15692" s="18"/>
    </row>
    <row r="15693" spans="5:6" ht="15" customHeight="1" x14ac:dyDescent="0.2">
      <c r="E15693" s="18"/>
      <c r="F15693" s="18"/>
    </row>
    <row r="15694" spans="5:6" ht="15" customHeight="1" x14ac:dyDescent="0.2">
      <c r="E15694" s="18"/>
      <c r="F15694" s="18"/>
    </row>
    <row r="15695" spans="5:6" ht="15" customHeight="1" x14ac:dyDescent="0.2">
      <c r="E15695" s="18"/>
      <c r="F15695" s="18"/>
    </row>
    <row r="15696" spans="5:6" ht="15" customHeight="1" x14ac:dyDescent="0.2">
      <c r="E15696" s="18"/>
      <c r="F15696" s="18"/>
    </row>
    <row r="15697" spans="5:6" ht="15" customHeight="1" x14ac:dyDescent="0.2">
      <c r="E15697" s="18"/>
      <c r="F15697" s="18"/>
    </row>
    <row r="15698" spans="5:6" ht="15" customHeight="1" x14ac:dyDescent="0.2">
      <c r="E15698" s="18"/>
      <c r="F15698" s="18"/>
    </row>
    <row r="15699" spans="5:6" ht="15" customHeight="1" x14ac:dyDescent="0.2">
      <c r="E15699" s="18"/>
      <c r="F15699" s="18"/>
    </row>
    <row r="15700" spans="5:6" ht="15" customHeight="1" x14ac:dyDescent="0.2">
      <c r="E15700" s="18"/>
      <c r="F15700" s="18"/>
    </row>
    <row r="15701" spans="5:6" ht="15" customHeight="1" x14ac:dyDescent="0.2">
      <c r="E15701" s="18"/>
      <c r="F15701" s="18"/>
    </row>
    <row r="15702" spans="5:6" ht="15" customHeight="1" x14ac:dyDescent="0.2">
      <c r="E15702" s="18"/>
      <c r="F15702" s="18"/>
    </row>
    <row r="15703" spans="5:6" ht="15" customHeight="1" x14ac:dyDescent="0.2">
      <c r="E15703" s="18"/>
      <c r="F15703" s="18"/>
    </row>
    <row r="15704" spans="5:6" ht="15" customHeight="1" x14ac:dyDescent="0.2">
      <c r="E15704" s="18"/>
      <c r="F15704" s="18"/>
    </row>
    <row r="15705" spans="5:6" ht="15" customHeight="1" x14ac:dyDescent="0.2">
      <c r="E15705" s="18"/>
      <c r="F15705" s="18"/>
    </row>
    <row r="15706" spans="5:6" ht="15" customHeight="1" x14ac:dyDescent="0.2">
      <c r="E15706" s="18"/>
      <c r="F15706" s="18"/>
    </row>
    <row r="15707" spans="5:6" ht="15" customHeight="1" x14ac:dyDescent="0.2">
      <c r="E15707" s="18"/>
      <c r="F15707" s="18"/>
    </row>
    <row r="15708" spans="5:6" ht="15" customHeight="1" x14ac:dyDescent="0.2">
      <c r="E15708" s="18"/>
      <c r="F15708" s="18"/>
    </row>
    <row r="15709" spans="5:6" ht="15" customHeight="1" x14ac:dyDescent="0.2">
      <c r="E15709" s="18"/>
      <c r="F15709" s="18"/>
    </row>
    <row r="15710" spans="5:6" ht="15" customHeight="1" x14ac:dyDescent="0.2">
      <c r="E15710" s="18"/>
      <c r="F15710" s="18"/>
    </row>
    <row r="15711" spans="5:6" ht="15" customHeight="1" x14ac:dyDescent="0.2">
      <c r="E15711" s="18"/>
      <c r="F15711" s="18"/>
    </row>
    <row r="15712" spans="5:6" ht="15" customHeight="1" x14ac:dyDescent="0.2">
      <c r="E15712" s="18"/>
      <c r="F15712" s="18"/>
    </row>
    <row r="15713" spans="5:6" ht="15" customHeight="1" x14ac:dyDescent="0.2">
      <c r="E15713" s="18"/>
      <c r="F15713" s="18"/>
    </row>
    <row r="15714" spans="5:6" ht="15" customHeight="1" x14ac:dyDescent="0.2">
      <c r="E15714" s="18"/>
      <c r="F15714" s="18"/>
    </row>
    <row r="15715" spans="5:6" ht="15" customHeight="1" x14ac:dyDescent="0.2">
      <c r="E15715" s="18"/>
      <c r="F15715" s="18"/>
    </row>
    <row r="15716" spans="5:6" ht="15" customHeight="1" x14ac:dyDescent="0.2">
      <c r="E15716" s="18"/>
      <c r="F15716" s="18"/>
    </row>
    <row r="15717" spans="5:6" ht="15" customHeight="1" x14ac:dyDescent="0.2">
      <c r="E15717" s="18"/>
      <c r="F15717" s="18"/>
    </row>
    <row r="15718" spans="5:6" ht="15" customHeight="1" x14ac:dyDescent="0.2">
      <c r="E15718" s="18"/>
      <c r="F15718" s="18"/>
    </row>
    <row r="15719" spans="5:6" ht="15" customHeight="1" x14ac:dyDescent="0.2">
      <c r="E15719" s="18"/>
      <c r="F15719" s="18"/>
    </row>
    <row r="15720" spans="5:6" ht="15" customHeight="1" x14ac:dyDescent="0.2">
      <c r="E15720" s="18"/>
      <c r="F15720" s="18"/>
    </row>
    <row r="15721" spans="5:6" ht="15" customHeight="1" x14ac:dyDescent="0.2">
      <c r="E15721" s="18"/>
      <c r="F15721" s="18"/>
    </row>
    <row r="15722" spans="5:6" ht="15" customHeight="1" x14ac:dyDescent="0.2">
      <c r="E15722" s="18"/>
      <c r="F15722" s="18"/>
    </row>
    <row r="15723" spans="5:6" ht="15" customHeight="1" x14ac:dyDescent="0.2">
      <c r="E15723" s="18"/>
      <c r="F15723" s="18"/>
    </row>
    <row r="15724" spans="5:6" ht="15" customHeight="1" x14ac:dyDescent="0.2">
      <c r="E15724" s="18"/>
      <c r="F15724" s="18"/>
    </row>
    <row r="15725" spans="5:6" ht="15" customHeight="1" x14ac:dyDescent="0.2">
      <c r="E15725" s="18"/>
      <c r="F15725" s="18"/>
    </row>
    <row r="15726" spans="5:6" ht="15" customHeight="1" x14ac:dyDescent="0.2">
      <c r="E15726" s="18"/>
      <c r="F15726" s="18"/>
    </row>
    <row r="15727" spans="5:6" ht="15" customHeight="1" x14ac:dyDescent="0.2">
      <c r="E15727" s="18"/>
      <c r="F15727" s="18"/>
    </row>
    <row r="15728" spans="5:6" ht="15" customHeight="1" x14ac:dyDescent="0.2">
      <c r="E15728" s="18"/>
      <c r="F15728" s="18"/>
    </row>
    <row r="15729" spans="5:6" ht="15" customHeight="1" x14ac:dyDescent="0.2">
      <c r="E15729" s="18"/>
      <c r="F15729" s="18"/>
    </row>
    <row r="15730" spans="5:6" ht="15" customHeight="1" x14ac:dyDescent="0.2">
      <c r="E15730" s="18"/>
      <c r="F15730" s="18"/>
    </row>
    <row r="15731" spans="5:6" ht="15" customHeight="1" x14ac:dyDescent="0.2">
      <c r="E15731" s="18"/>
      <c r="F15731" s="18"/>
    </row>
    <row r="15732" spans="5:6" ht="15" customHeight="1" x14ac:dyDescent="0.2">
      <c r="E15732" s="18"/>
      <c r="F15732" s="18"/>
    </row>
    <row r="15733" spans="5:6" ht="15" customHeight="1" x14ac:dyDescent="0.2">
      <c r="E15733" s="18"/>
      <c r="F15733" s="18"/>
    </row>
    <row r="15734" spans="5:6" ht="15" customHeight="1" x14ac:dyDescent="0.2">
      <c r="E15734" s="18"/>
      <c r="F15734" s="18"/>
    </row>
    <row r="15735" spans="5:6" ht="15" customHeight="1" x14ac:dyDescent="0.2">
      <c r="E15735" s="18"/>
      <c r="F15735" s="18"/>
    </row>
    <row r="15736" spans="5:6" ht="15" customHeight="1" x14ac:dyDescent="0.2">
      <c r="E15736" s="18"/>
      <c r="F15736" s="18"/>
    </row>
    <row r="15737" spans="5:6" ht="15" customHeight="1" x14ac:dyDescent="0.2">
      <c r="E15737" s="18"/>
      <c r="F15737" s="18"/>
    </row>
    <row r="15738" spans="5:6" ht="15" customHeight="1" x14ac:dyDescent="0.2">
      <c r="E15738" s="18"/>
      <c r="F15738" s="18"/>
    </row>
    <row r="15739" spans="5:6" ht="15" customHeight="1" x14ac:dyDescent="0.2">
      <c r="E15739" s="18"/>
      <c r="F15739" s="18"/>
    </row>
    <row r="15740" spans="5:6" ht="15" customHeight="1" x14ac:dyDescent="0.2">
      <c r="E15740" s="18"/>
      <c r="F15740" s="18"/>
    </row>
    <row r="15741" spans="5:6" ht="15" customHeight="1" x14ac:dyDescent="0.2">
      <c r="E15741" s="18"/>
      <c r="F15741" s="18"/>
    </row>
    <row r="15742" spans="5:6" ht="15" customHeight="1" x14ac:dyDescent="0.2">
      <c r="E15742" s="18"/>
      <c r="F15742" s="18"/>
    </row>
    <row r="15743" spans="5:6" ht="15" customHeight="1" x14ac:dyDescent="0.2">
      <c r="E15743" s="18"/>
      <c r="F15743" s="18"/>
    </row>
    <row r="15744" spans="5:6" ht="15" customHeight="1" x14ac:dyDescent="0.2">
      <c r="E15744" s="18"/>
      <c r="F15744" s="18"/>
    </row>
    <row r="15745" spans="5:6" ht="15" customHeight="1" x14ac:dyDescent="0.2">
      <c r="E15745" s="18"/>
      <c r="F15745" s="18"/>
    </row>
    <row r="15746" spans="5:6" ht="15" customHeight="1" x14ac:dyDescent="0.2">
      <c r="E15746" s="18"/>
      <c r="F15746" s="18"/>
    </row>
    <row r="15747" spans="5:6" ht="15" customHeight="1" x14ac:dyDescent="0.2">
      <c r="E15747" s="18"/>
      <c r="F15747" s="18"/>
    </row>
    <row r="15748" spans="5:6" ht="15" customHeight="1" x14ac:dyDescent="0.2">
      <c r="E15748" s="18"/>
      <c r="F15748" s="18"/>
    </row>
    <row r="15749" spans="5:6" ht="15" customHeight="1" x14ac:dyDescent="0.2">
      <c r="E15749" s="18"/>
      <c r="F15749" s="18"/>
    </row>
    <row r="15750" spans="5:6" ht="15" customHeight="1" x14ac:dyDescent="0.2">
      <c r="E15750" s="18"/>
      <c r="F15750" s="18"/>
    </row>
    <row r="15751" spans="5:6" ht="15" customHeight="1" x14ac:dyDescent="0.2">
      <c r="E15751" s="18"/>
      <c r="F15751" s="18"/>
    </row>
    <row r="15752" spans="5:6" ht="15" customHeight="1" x14ac:dyDescent="0.2">
      <c r="E15752" s="18"/>
      <c r="F15752" s="18"/>
    </row>
    <row r="15753" spans="5:6" ht="15" customHeight="1" x14ac:dyDescent="0.2">
      <c r="E15753" s="18"/>
      <c r="F15753" s="18"/>
    </row>
    <row r="15754" spans="5:6" ht="15" customHeight="1" x14ac:dyDescent="0.2">
      <c r="E15754" s="18"/>
      <c r="F15754" s="18"/>
    </row>
    <row r="15755" spans="5:6" ht="15" customHeight="1" x14ac:dyDescent="0.2">
      <c r="E15755" s="18"/>
      <c r="F15755" s="18"/>
    </row>
    <row r="15756" spans="5:6" ht="15" customHeight="1" x14ac:dyDescent="0.2">
      <c r="E15756" s="18"/>
      <c r="F15756" s="18"/>
    </row>
    <row r="15757" spans="5:6" ht="15" customHeight="1" x14ac:dyDescent="0.2">
      <c r="E15757" s="18"/>
      <c r="F15757" s="18"/>
    </row>
    <row r="15758" spans="5:6" ht="15" customHeight="1" x14ac:dyDescent="0.2">
      <c r="E15758" s="18"/>
      <c r="F15758" s="18"/>
    </row>
    <row r="15759" spans="5:6" ht="15" customHeight="1" x14ac:dyDescent="0.2">
      <c r="E15759" s="18"/>
      <c r="F15759" s="18"/>
    </row>
    <row r="15760" spans="5:6" ht="15" customHeight="1" x14ac:dyDescent="0.2">
      <c r="E15760" s="18"/>
      <c r="F15760" s="18"/>
    </row>
    <row r="15761" spans="5:6" ht="15" customHeight="1" x14ac:dyDescent="0.2">
      <c r="E15761" s="18"/>
      <c r="F15761" s="18"/>
    </row>
    <row r="15762" spans="5:6" ht="15" customHeight="1" x14ac:dyDescent="0.2">
      <c r="E15762" s="18"/>
      <c r="F15762" s="18"/>
    </row>
    <row r="15763" spans="5:6" ht="15" customHeight="1" x14ac:dyDescent="0.2">
      <c r="E15763" s="18"/>
      <c r="F15763" s="18"/>
    </row>
    <row r="15764" spans="5:6" ht="15" customHeight="1" x14ac:dyDescent="0.2">
      <c r="E15764" s="18"/>
      <c r="F15764" s="18"/>
    </row>
    <row r="15765" spans="5:6" ht="15" customHeight="1" x14ac:dyDescent="0.2">
      <c r="E15765" s="18"/>
      <c r="F15765" s="18"/>
    </row>
    <row r="15766" spans="5:6" ht="15" customHeight="1" x14ac:dyDescent="0.2">
      <c r="E15766" s="18"/>
      <c r="F15766" s="18"/>
    </row>
    <row r="15767" spans="5:6" ht="15" customHeight="1" x14ac:dyDescent="0.2">
      <c r="E15767" s="18"/>
      <c r="F15767" s="18"/>
    </row>
    <row r="15768" spans="5:6" ht="15" customHeight="1" x14ac:dyDescent="0.2">
      <c r="E15768" s="18"/>
      <c r="F15768" s="18"/>
    </row>
    <row r="15769" spans="5:6" ht="15" customHeight="1" x14ac:dyDescent="0.2">
      <c r="E15769" s="18"/>
      <c r="F15769" s="18"/>
    </row>
    <row r="15770" spans="5:6" ht="15" customHeight="1" x14ac:dyDescent="0.2">
      <c r="E15770" s="18"/>
      <c r="F15770" s="18"/>
    </row>
    <row r="15771" spans="5:6" ht="15" customHeight="1" x14ac:dyDescent="0.2">
      <c r="E15771" s="18"/>
      <c r="F15771" s="18"/>
    </row>
    <row r="15772" spans="5:6" ht="15" customHeight="1" x14ac:dyDescent="0.2">
      <c r="E15772" s="18"/>
      <c r="F15772" s="18"/>
    </row>
    <row r="15773" spans="5:6" ht="15" customHeight="1" x14ac:dyDescent="0.2">
      <c r="E15773" s="18"/>
      <c r="F15773" s="18"/>
    </row>
    <row r="15774" spans="5:6" ht="15" customHeight="1" x14ac:dyDescent="0.2">
      <c r="E15774" s="18"/>
      <c r="F15774" s="18"/>
    </row>
    <row r="15775" spans="5:6" ht="15" customHeight="1" x14ac:dyDescent="0.2">
      <c r="E15775" s="18"/>
      <c r="F15775" s="18"/>
    </row>
    <row r="15776" spans="5:6" ht="15" customHeight="1" x14ac:dyDescent="0.2">
      <c r="E15776" s="18"/>
      <c r="F15776" s="18"/>
    </row>
    <row r="15777" spans="5:6" ht="15" customHeight="1" x14ac:dyDescent="0.2">
      <c r="E15777" s="18"/>
      <c r="F15777" s="18"/>
    </row>
    <row r="15778" spans="5:6" ht="15" customHeight="1" x14ac:dyDescent="0.2">
      <c r="E15778" s="18"/>
      <c r="F15778" s="18"/>
    </row>
    <row r="15779" spans="5:6" ht="15" customHeight="1" x14ac:dyDescent="0.2">
      <c r="E15779" s="18"/>
      <c r="F15779" s="18"/>
    </row>
    <row r="15780" spans="5:6" ht="15" customHeight="1" x14ac:dyDescent="0.2">
      <c r="E15780" s="18"/>
      <c r="F15780" s="18"/>
    </row>
    <row r="15781" spans="5:6" ht="15" customHeight="1" x14ac:dyDescent="0.2">
      <c r="E15781" s="18"/>
      <c r="F15781" s="18"/>
    </row>
    <row r="15782" spans="5:6" ht="15" customHeight="1" x14ac:dyDescent="0.2">
      <c r="E15782" s="18"/>
      <c r="F15782" s="18"/>
    </row>
    <row r="15783" spans="5:6" ht="15" customHeight="1" x14ac:dyDescent="0.2">
      <c r="E15783" s="18"/>
      <c r="F15783" s="18"/>
    </row>
    <row r="15784" spans="5:6" ht="15" customHeight="1" x14ac:dyDescent="0.2">
      <c r="E15784" s="18"/>
      <c r="F15784" s="18"/>
    </row>
    <row r="15785" spans="5:6" ht="15" customHeight="1" x14ac:dyDescent="0.2">
      <c r="E15785" s="18"/>
      <c r="F15785" s="18"/>
    </row>
    <row r="15786" spans="5:6" ht="15" customHeight="1" x14ac:dyDescent="0.2">
      <c r="E15786" s="18"/>
      <c r="F15786" s="18"/>
    </row>
    <row r="15787" spans="5:6" ht="15" customHeight="1" x14ac:dyDescent="0.2">
      <c r="E15787" s="18"/>
      <c r="F15787" s="18"/>
    </row>
    <row r="15788" spans="5:6" ht="15" customHeight="1" x14ac:dyDescent="0.2">
      <c r="E15788" s="18"/>
      <c r="F15788" s="18"/>
    </row>
    <row r="15789" spans="5:6" ht="15" customHeight="1" x14ac:dyDescent="0.2">
      <c r="E15789" s="18"/>
      <c r="F15789" s="18"/>
    </row>
    <row r="15790" spans="5:6" ht="15" customHeight="1" x14ac:dyDescent="0.2">
      <c r="E15790" s="18"/>
      <c r="F15790" s="18"/>
    </row>
    <row r="15791" spans="5:6" ht="15" customHeight="1" x14ac:dyDescent="0.2">
      <c r="E15791" s="18"/>
      <c r="F15791" s="18"/>
    </row>
    <row r="15792" spans="5:6" ht="15" customHeight="1" x14ac:dyDescent="0.2">
      <c r="E15792" s="18"/>
      <c r="F15792" s="18"/>
    </row>
    <row r="15793" spans="5:6" ht="15" customHeight="1" x14ac:dyDescent="0.2">
      <c r="E15793" s="18"/>
      <c r="F15793" s="18"/>
    </row>
    <row r="15794" spans="5:6" ht="15" customHeight="1" x14ac:dyDescent="0.2">
      <c r="E15794" s="18"/>
      <c r="F15794" s="18"/>
    </row>
    <row r="15795" spans="5:6" ht="15" customHeight="1" x14ac:dyDescent="0.2">
      <c r="E15795" s="18"/>
      <c r="F15795" s="18"/>
    </row>
    <row r="15796" spans="5:6" ht="15" customHeight="1" x14ac:dyDescent="0.2">
      <c r="E15796" s="18"/>
      <c r="F15796" s="18"/>
    </row>
    <row r="15797" spans="5:6" ht="15" customHeight="1" x14ac:dyDescent="0.2">
      <c r="E15797" s="18"/>
      <c r="F15797" s="18"/>
    </row>
    <row r="15798" spans="5:6" ht="15" customHeight="1" x14ac:dyDescent="0.2">
      <c r="E15798" s="18"/>
      <c r="F15798" s="18"/>
    </row>
    <row r="15799" spans="5:6" ht="15" customHeight="1" x14ac:dyDescent="0.2">
      <c r="E15799" s="18"/>
      <c r="F15799" s="18"/>
    </row>
    <row r="15800" spans="5:6" ht="15" customHeight="1" x14ac:dyDescent="0.2">
      <c r="E15800" s="18"/>
      <c r="F15800" s="18"/>
    </row>
    <row r="15801" spans="5:6" ht="15" customHeight="1" x14ac:dyDescent="0.2">
      <c r="E15801" s="18"/>
      <c r="F15801" s="18"/>
    </row>
    <row r="15802" spans="5:6" ht="15" customHeight="1" x14ac:dyDescent="0.2">
      <c r="E15802" s="18"/>
      <c r="F15802" s="18"/>
    </row>
    <row r="15803" spans="5:6" ht="15" customHeight="1" x14ac:dyDescent="0.2">
      <c r="E15803" s="18"/>
      <c r="F15803" s="18"/>
    </row>
    <row r="15804" spans="5:6" ht="15" customHeight="1" x14ac:dyDescent="0.2">
      <c r="E15804" s="18"/>
      <c r="F15804" s="18"/>
    </row>
    <row r="15805" spans="5:6" ht="15" customHeight="1" x14ac:dyDescent="0.2">
      <c r="E15805" s="18"/>
      <c r="F15805" s="18"/>
    </row>
    <row r="15806" spans="5:6" ht="15" customHeight="1" x14ac:dyDescent="0.2">
      <c r="E15806" s="18"/>
      <c r="F15806" s="18"/>
    </row>
    <row r="15807" spans="5:6" ht="15" customHeight="1" x14ac:dyDescent="0.2">
      <c r="E15807" s="18"/>
      <c r="F15807" s="18"/>
    </row>
    <row r="15808" spans="5:6" ht="15" customHeight="1" x14ac:dyDescent="0.2">
      <c r="E15808" s="18"/>
      <c r="F15808" s="18"/>
    </row>
    <row r="15809" spans="5:6" ht="15" customHeight="1" x14ac:dyDescent="0.2">
      <c r="E15809" s="18"/>
      <c r="F15809" s="18"/>
    </row>
    <row r="15810" spans="5:6" ht="15" customHeight="1" x14ac:dyDescent="0.2">
      <c r="E15810" s="18"/>
      <c r="F15810" s="18"/>
    </row>
    <row r="15811" spans="5:6" ht="15" customHeight="1" x14ac:dyDescent="0.2">
      <c r="E15811" s="18"/>
      <c r="F15811" s="18"/>
    </row>
    <row r="15812" spans="5:6" ht="15" customHeight="1" x14ac:dyDescent="0.2">
      <c r="E15812" s="18"/>
      <c r="F15812" s="18"/>
    </row>
    <row r="15813" spans="5:6" ht="15" customHeight="1" x14ac:dyDescent="0.2">
      <c r="E15813" s="18"/>
      <c r="F15813" s="18"/>
    </row>
    <row r="15814" spans="5:6" ht="15" customHeight="1" x14ac:dyDescent="0.2">
      <c r="E15814" s="18"/>
      <c r="F15814" s="18"/>
    </row>
    <row r="15815" spans="5:6" ht="15" customHeight="1" x14ac:dyDescent="0.2">
      <c r="E15815" s="18"/>
      <c r="F15815" s="18"/>
    </row>
    <row r="15816" spans="5:6" ht="15" customHeight="1" x14ac:dyDescent="0.2">
      <c r="E15816" s="18"/>
      <c r="F15816" s="18"/>
    </row>
    <row r="15817" spans="5:6" ht="15" customHeight="1" x14ac:dyDescent="0.2">
      <c r="E15817" s="18"/>
      <c r="F15817" s="18"/>
    </row>
    <row r="15818" spans="5:6" ht="15" customHeight="1" x14ac:dyDescent="0.2">
      <c r="E15818" s="18"/>
      <c r="F15818" s="18"/>
    </row>
    <row r="15819" spans="5:6" ht="15" customHeight="1" x14ac:dyDescent="0.2">
      <c r="E15819" s="18"/>
      <c r="F15819" s="18"/>
    </row>
    <row r="15820" spans="5:6" ht="15" customHeight="1" x14ac:dyDescent="0.2">
      <c r="E15820" s="18"/>
      <c r="F15820" s="18"/>
    </row>
    <row r="15821" spans="5:6" ht="15" customHeight="1" x14ac:dyDescent="0.2">
      <c r="E15821" s="18"/>
      <c r="F15821" s="18"/>
    </row>
    <row r="15822" spans="5:6" ht="15" customHeight="1" x14ac:dyDescent="0.2">
      <c r="E15822" s="18"/>
      <c r="F15822" s="18"/>
    </row>
    <row r="15823" spans="5:6" ht="15" customHeight="1" x14ac:dyDescent="0.2">
      <c r="E15823" s="18"/>
      <c r="F15823" s="18"/>
    </row>
    <row r="15824" spans="5:6" ht="15" customHeight="1" x14ac:dyDescent="0.2">
      <c r="E15824" s="18"/>
      <c r="F15824" s="18"/>
    </row>
    <row r="15825" spans="5:6" ht="15" customHeight="1" x14ac:dyDescent="0.2">
      <c r="E15825" s="18"/>
      <c r="F15825" s="18"/>
    </row>
    <row r="15826" spans="5:6" ht="15" customHeight="1" x14ac:dyDescent="0.2">
      <c r="E15826" s="18"/>
      <c r="F15826" s="18"/>
    </row>
    <row r="15827" spans="5:6" ht="15" customHeight="1" x14ac:dyDescent="0.2">
      <c r="E15827" s="18"/>
      <c r="F15827" s="18"/>
    </row>
    <row r="15828" spans="5:6" ht="15" customHeight="1" x14ac:dyDescent="0.2">
      <c r="E15828" s="18"/>
      <c r="F15828" s="18"/>
    </row>
    <row r="15829" spans="5:6" ht="15" customHeight="1" x14ac:dyDescent="0.2">
      <c r="E15829" s="18"/>
      <c r="F15829" s="18"/>
    </row>
    <row r="15830" spans="5:6" ht="15" customHeight="1" x14ac:dyDescent="0.2">
      <c r="E15830" s="18"/>
      <c r="F15830" s="18"/>
    </row>
    <row r="15831" spans="5:6" ht="15" customHeight="1" x14ac:dyDescent="0.2">
      <c r="E15831" s="18"/>
      <c r="F15831" s="18"/>
    </row>
    <row r="15832" spans="5:6" ht="15" customHeight="1" x14ac:dyDescent="0.2">
      <c r="E15832" s="18"/>
      <c r="F15832" s="18"/>
    </row>
    <row r="15833" spans="5:6" ht="15" customHeight="1" x14ac:dyDescent="0.2">
      <c r="E15833" s="18"/>
      <c r="F15833" s="18"/>
    </row>
    <row r="15834" spans="5:6" ht="15" customHeight="1" x14ac:dyDescent="0.2">
      <c r="E15834" s="18"/>
      <c r="F15834" s="18"/>
    </row>
    <row r="15835" spans="5:6" ht="15" customHeight="1" x14ac:dyDescent="0.2">
      <c r="E15835" s="18"/>
      <c r="F15835" s="18"/>
    </row>
    <row r="15836" spans="5:6" ht="15" customHeight="1" x14ac:dyDescent="0.2">
      <c r="E15836" s="18"/>
      <c r="F15836" s="18"/>
    </row>
    <row r="15837" spans="5:6" ht="15" customHeight="1" x14ac:dyDescent="0.2">
      <c r="E15837" s="18"/>
      <c r="F15837" s="18"/>
    </row>
    <row r="15838" spans="5:6" ht="15" customHeight="1" x14ac:dyDescent="0.2">
      <c r="E15838" s="18"/>
      <c r="F15838" s="18"/>
    </row>
    <row r="15839" spans="5:6" ht="15" customHeight="1" x14ac:dyDescent="0.2">
      <c r="E15839" s="18"/>
      <c r="F15839" s="18"/>
    </row>
    <row r="15840" spans="5:6" ht="15" customHeight="1" x14ac:dyDescent="0.2">
      <c r="E15840" s="18"/>
      <c r="F15840" s="18"/>
    </row>
    <row r="15841" spans="5:6" ht="15" customHeight="1" x14ac:dyDescent="0.2">
      <c r="E15841" s="18"/>
      <c r="F15841" s="18"/>
    </row>
    <row r="15842" spans="5:6" ht="15" customHeight="1" x14ac:dyDescent="0.2">
      <c r="E15842" s="18"/>
      <c r="F15842" s="18"/>
    </row>
    <row r="15843" spans="5:6" ht="15" customHeight="1" x14ac:dyDescent="0.2">
      <c r="E15843" s="18"/>
      <c r="F15843" s="18"/>
    </row>
    <row r="15844" spans="5:6" ht="15" customHeight="1" x14ac:dyDescent="0.2">
      <c r="E15844" s="18"/>
      <c r="F15844" s="18"/>
    </row>
    <row r="15845" spans="5:6" ht="15" customHeight="1" x14ac:dyDescent="0.2">
      <c r="E15845" s="18"/>
      <c r="F15845" s="18"/>
    </row>
    <row r="15846" spans="5:6" ht="15" customHeight="1" x14ac:dyDescent="0.2">
      <c r="E15846" s="18"/>
      <c r="F15846" s="18"/>
    </row>
    <row r="15847" spans="5:6" ht="15" customHeight="1" x14ac:dyDescent="0.2">
      <c r="E15847" s="18"/>
      <c r="F15847" s="18"/>
    </row>
    <row r="15848" spans="5:6" ht="15" customHeight="1" x14ac:dyDescent="0.2">
      <c r="E15848" s="18"/>
      <c r="F15848" s="18"/>
    </row>
    <row r="15849" spans="5:6" ht="15" customHeight="1" x14ac:dyDescent="0.2">
      <c r="E15849" s="18"/>
      <c r="F15849" s="18"/>
    </row>
    <row r="15850" spans="5:6" ht="15" customHeight="1" x14ac:dyDescent="0.2">
      <c r="E15850" s="18"/>
      <c r="F15850" s="18"/>
    </row>
    <row r="15851" spans="5:6" ht="15" customHeight="1" x14ac:dyDescent="0.2">
      <c r="E15851" s="18"/>
      <c r="F15851" s="18"/>
    </row>
    <row r="15852" spans="5:6" ht="15" customHeight="1" x14ac:dyDescent="0.2">
      <c r="E15852" s="18"/>
      <c r="F15852" s="18"/>
    </row>
    <row r="15853" spans="5:6" ht="15" customHeight="1" x14ac:dyDescent="0.2">
      <c r="E15853" s="18"/>
      <c r="F15853" s="18"/>
    </row>
    <row r="15854" spans="5:6" ht="15" customHeight="1" x14ac:dyDescent="0.2">
      <c r="E15854" s="18"/>
      <c r="F15854" s="18"/>
    </row>
    <row r="15855" spans="5:6" ht="15" customHeight="1" x14ac:dyDescent="0.2">
      <c r="E15855" s="18"/>
      <c r="F15855" s="18"/>
    </row>
    <row r="15856" spans="5:6" ht="15" customHeight="1" x14ac:dyDescent="0.2">
      <c r="E15856" s="18"/>
      <c r="F15856" s="18"/>
    </row>
    <row r="15857" spans="5:6" ht="15" customHeight="1" x14ac:dyDescent="0.2">
      <c r="E15857" s="18"/>
      <c r="F15857" s="18"/>
    </row>
    <row r="15858" spans="5:6" ht="15" customHeight="1" x14ac:dyDescent="0.2">
      <c r="E15858" s="18"/>
      <c r="F15858" s="18"/>
    </row>
    <row r="15859" spans="5:6" ht="15" customHeight="1" x14ac:dyDescent="0.2">
      <c r="E15859" s="18"/>
      <c r="F15859" s="18"/>
    </row>
    <row r="15860" spans="5:6" ht="15" customHeight="1" x14ac:dyDescent="0.2">
      <c r="E15860" s="18"/>
      <c r="F15860" s="18"/>
    </row>
    <row r="15861" spans="5:6" ht="15" customHeight="1" x14ac:dyDescent="0.2">
      <c r="E15861" s="18"/>
      <c r="F15861" s="18"/>
    </row>
    <row r="15862" spans="5:6" ht="15" customHeight="1" x14ac:dyDescent="0.2">
      <c r="E15862" s="18"/>
      <c r="F15862" s="18"/>
    </row>
    <row r="15863" spans="5:6" ht="15" customHeight="1" x14ac:dyDescent="0.2">
      <c r="E15863" s="18"/>
      <c r="F15863" s="18"/>
    </row>
    <row r="15864" spans="5:6" ht="15" customHeight="1" x14ac:dyDescent="0.2">
      <c r="E15864" s="18"/>
      <c r="F15864" s="18"/>
    </row>
    <row r="15865" spans="5:6" ht="15" customHeight="1" x14ac:dyDescent="0.2">
      <c r="E15865" s="18"/>
      <c r="F15865" s="18"/>
    </row>
    <row r="15866" spans="5:6" ht="15" customHeight="1" x14ac:dyDescent="0.2">
      <c r="E15866" s="18"/>
      <c r="F15866" s="18"/>
    </row>
    <row r="15867" spans="5:6" ht="15" customHeight="1" x14ac:dyDescent="0.2">
      <c r="E15867" s="18"/>
      <c r="F15867" s="18"/>
    </row>
    <row r="15868" spans="5:6" ht="15" customHeight="1" x14ac:dyDescent="0.2">
      <c r="E15868" s="18"/>
      <c r="F15868" s="18"/>
    </row>
    <row r="15869" spans="5:6" ht="15" customHeight="1" x14ac:dyDescent="0.2">
      <c r="E15869" s="18"/>
      <c r="F15869" s="18"/>
    </row>
    <row r="15870" spans="5:6" ht="15" customHeight="1" x14ac:dyDescent="0.2">
      <c r="E15870" s="18"/>
      <c r="F15870" s="18"/>
    </row>
    <row r="15871" spans="5:6" ht="15" customHeight="1" x14ac:dyDescent="0.2">
      <c r="E15871" s="18"/>
      <c r="F15871" s="18"/>
    </row>
    <row r="15872" spans="5:6" ht="15" customHeight="1" x14ac:dyDescent="0.2">
      <c r="E15872" s="18"/>
      <c r="F15872" s="18"/>
    </row>
    <row r="15873" spans="5:6" ht="15" customHeight="1" x14ac:dyDescent="0.2">
      <c r="E15873" s="18"/>
      <c r="F15873" s="18"/>
    </row>
    <row r="15874" spans="5:6" ht="15" customHeight="1" x14ac:dyDescent="0.2">
      <c r="E15874" s="18"/>
      <c r="F15874" s="18"/>
    </row>
    <row r="15875" spans="5:6" ht="15" customHeight="1" x14ac:dyDescent="0.2">
      <c r="E15875" s="18"/>
      <c r="F15875" s="18"/>
    </row>
    <row r="15876" spans="5:6" ht="15" customHeight="1" x14ac:dyDescent="0.2">
      <c r="E15876" s="18"/>
      <c r="F15876" s="18"/>
    </row>
    <row r="15877" spans="5:6" ht="15" customHeight="1" x14ac:dyDescent="0.2">
      <c r="E15877" s="18"/>
      <c r="F15877" s="18"/>
    </row>
    <row r="15878" spans="5:6" ht="15" customHeight="1" x14ac:dyDescent="0.2">
      <c r="E15878" s="18"/>
      <c r="F15878" s="18"/>
    </row>
    <row r="15879" spans="5:6" ht="15" customHeight="1" x14ac:dyDescent="0.2">
      <c r="E15879" s="18"/>
      <c r="F15879" s="18"/>
    </row>
    <row r="15880" spans="5:6" ht="15" customHeight="1" x14ac:dyDescent="0.2">
      <c r="E15880" s="18"/>
      <c r="F15880" s="18"/>
    </row>
    <row r="15881" spans="5:6" ht="15" customHeight="1" x14ac:dyDescent="0.2">
      <c r="E15881" s="18"/>
      <c r="F15881" s="18"/>
    </row>
    <row r="15882" spans="5:6" ht="15" customHeight="1" x14ac:dyDescent="0.2">
      <c r="E15882" s="18"/>
      <c r="F15882" s="18"/>
    </row>
    <row r="15883" spans="5:6" ht="15" customHeight="1" x14ac:dyDescent="0.2">
      <c r="E15883" s="18"/>
      <c r="F15883" s="18"/>
    </row>
    <row r="15884" spans="5:6" ht="15" customHeight="1" x14ac:dyDescent="0.2">
      <c r="E15884" s="18"/>
      <c r="F15884" s="18"/>
    </row>
    <row r="15885" spans="5:6" ht="15" customHeight="1" x14ac:dyDescent="0.2">
      <c r="E15885" s="18"/>
      <c r="F15885" s="18"/>
    </row>
    <row r="15886" spans="5:6" ht="15" customHeight="1" x14ac:dyDescent="0.2">
      <c r="E15886" s="18"/>
      <c r="F15886" s="18"/>
    </row>
    <row r="15887" spans="5:6" ht="15" customHeight="1" x14ac:dyDescent="0.2">
      <c r="E15887" s="18"/>
      <c r="F15887" s="18"/>
    </row>
    <row r="15888" spans="5:6" ht="15" customHeight="1" x14ac:dyDescent="0.2">
      <c r="E15888" s="18"/>
      <c r="F15888" s="18"/>
    </row>
    <row r="15889" spans="5:6" ht="15" customHeight="1" x14ac:dyDescent="0.2">
      <c r="E15889" s="18"/>
      <c r="F15889" s="18"/>
    </row>
    <row r="15890" spans="5:6" ht="15" customHeight="1" x14ac:dyDescent="0.2">
      <c r="E15890" s="18"/>
      <c r="F15890" s="18"/>
    </row>
    <row r="15891" spans="5:6" ht="15" customHeight="1" x14ac:dyDescent="0.2">
      <c r="E15891" s="18"/>
      <c r="F15891" s="18"/>
    </row>
    <row r="15892" spans="5:6" ht="15" customHeight="1" x14ac:dyDescent="0.2">
      <c r="E15892" s="18"/>
      <c r="F15892" s="18"/>
    </row>
    <row r="15893" spans="5:6" ht="15" customHeight="1" x14ac:dyDescent="0.2">
      <c r="E15893" s="18"/>
      <c r="F15893" s="18"/>
    </row>
    <row r="15894" spans="5:6" ht="15" customHeight="1" x14ac:dyDescent="0.2">
      <c r="E15894" s="18"/>
      <c r="F15894" s="18"/>
    </row>
    <row r="15895" spans="5:6" ht="15" customHeight="1" x14ac:dyDescent="0.2">
      <c r="E15895" s="18"/>
      <c r="F15895" s="18"/>
    </row>
    <row r="15896" spans="5:6" ht="15" customHeight="1" x14ac:dyDescent="0.2">
      <c r="E15896" s="18"/>
      <c r="F15896" s="18"/>
    </row>
    <row r="15897" spans="5:6" ht="15" customHeight="1" x14ac:dyDescent="0.2">
      <c r="E15897" s="18"/>
      <c r="F15897" s="18"/>
    </row>
    <row r="15898" spans="5:6" ht="15" customHeight="1" x14ac:dyDescent="0.2">
      <c r="E15898" s="18"/>
      <c r="F15898" s="18"/>
    </row>
    <row r="15899" spans="5:6" ht="15" customHeight="1" x14ac:dyDescent="0.2">
      <c r="E15899" s="18"/>
      <c r="F15899" s="18"/>
    </row>
    <row r="15900" spans="5:6" ht="15" customHeight="1" x14ac:dyDescent="0.2">
      <c r="E15900" s="18"/>
      <c r="F15900" s="18"/>
    </row>
    <row r="15901" spans="5:6" ht="15" customHeight="1" x14ac:dyDescent="0.2">
      <c r="E15901" s="18"/>
      <c r="F15901" s="18"/>
    </row>
    <row r="15902" spans="5:6" ht="15" customHeight="1" x14ac:dyDescent="0.2">
      <c r="E15902" s="18"/>
      <c r="F15902" s="18"/>
    </row>
    <row r="15903" spans="5:6" ht="15" customHeight="1" x14ac:dyDescent="0.2">
      <c r="E15903" s="18"/>
      <c r="F15903" s="18"/>
    </row>
    <row r="15904" spans="5:6" ht="15" customHeight="1" x14ac:dyDescent="0.2">
      <c r="E15904" s="18"/>
      <c r="F15904" s="18"/>
    </row>
    <row r="15905" spans="5:6" ht="15" customHeight="1" x14ac:dyDescent="0.2">
      <c r="E15905" s="18"/>
      <c r="F15905" s="18"/>
    </row>
    <row r="15906" spans="5:6" ht="15" customHeight="1" x14ac:dyDescent="0.2">
      <c r="E15906" s="18"/>
      <c r="F15906" s="18"/>
    </row>
    <row r="15907" spans="5:6" ht="15" customHeight="1" x14ac:dyDescent="0.2">
      <c r="E15907" s="18"/>
      <c r="F15907" s="18"/>
    </row>
    <row r="15908" spans="5:6" ht="15" customHeight="1" x14ac:dyDescent="0.2">
      <c r="E15908" s="18"/>
      <c r="F15908" s="18"/>
    </row>
    <row r="15909" spans="5:6" ht="15" customHeight="1" x14ac:dyDescent="0.2">
      <c r="E15909" s="18"/>
      <c r="F15909" s="18"/>
    </row>
    <row r="15910" spans="5:6" ht="15" customHeight="1" x14ac:dyDescent="0.2">
      <c r="E15910" s="18"/>
      <c r="F15910" s="18"/>
    </row>
    <row r="15911" spans="5:6" ht="15" customHeight="1" x14ac:dyDescent="0.2">
      <c r="E15911" s="18"/>
      <c r="F15911" s="18"/>
    </row>
    <row r="15912" spans="5:6" ht="15" customHeight="1" x14ac:dyDescent="0.2">
      <c r="E15912" s="18"/>
      <c r="F15912" s="18"/>
    </row>
    <row r="15913" spans="5:6" ht="15" customHeight="1" x14ac:dyDescent="0.2">
      <c r="E15913" s="18"/>
      <c r="F15913" s="18"/>
    </row>
    <row r="15914" spans="5:6" ht="15" customHeight="1" x14ac:dyDescent="0.2">
      <c r="E15914" s="18"/>
      <c r="F15914" s="18"/>
    </row>
    <row r="15915" spans="5:6" ht="15" customHeight="1" x14ac:dyDescent="0.2">
      <c r="E15915" s="18"/>
      <c r="F15915" s="18"/>
    </row>
    <row r="15916" spans="5:6" ht="15" customHeight="1" x14ac:dyDescent="0.2">
      <c r="E15916" s="18"/>
      <c r="F15916" s="18"/>
    </row>
    <row r="15917" spans="5:6" ht="15" customHeight="1" x14ac:dyDescent="0.2">
      <c r="E15917" s="18"/>
      <c r="F15917" s="18"/>
    </row>
    <row r="15918" spans="5:6" ht="15" customHeight="1" x14ac:dyDescent="0.2">
      <c r="E15918" s="18"/>
      <c r="F15918" s="18"/>
    </row>
    <row r="15919" spans="5:6" ht="15" customHeight="1" x14ac:dyDescent="0.2">
      <c r="E15919" s="18"/>
      <c r="F15919" s="18"/>
    </row>
    <row r="15920" spans="5:6" ht="15" customHeight="1" x14ac:dyDescent="0.2">
      <c r="E15920" s="18"/>
      <c r="F15920" s="18"/>
    </row>
    <row r="15921" spans="5:6" ht="15" customHeight="1" x14ac:dyDescent="0.2">
      <c r="E15921" s="18"/>
      <c r="F15921" s="18"/>
    </row>
    <row r="15922" spans="5:6" ht="15" customHeight="1" x14ac:dyDescent="0.2">
      <c r="E15922" s="18"/>
      <c r="F15922" s="18"/>
    </row>
    <row r="15923" spans="5:6" ht="15" customHeight="1" x14ac:dyDescent="0.2">
      <c r="E15923" s="18"/>
      <c r="F15923" s="18"/>
    </row>
    <row r="15924" spans="5:6" ht="15" customHeight="1" x14ac:dyDescent="0.2">
      <c r="E15924" s="18"/>
      <c r="F15924" s="18"/>
    </row>
    <row r="15925" spans="5:6" ht="15" customHeight="1" x14ac:dyDescent="0.2">
      <c r="E15925" s="18"/>
      <c r="F15925" s="18"/>
    </row>
    <row r="15926" spans="5:6" ht="15" customHeight="1" x14ac:dyDescent="0.2">
      <c r="E15926" s="18"/>
      <c r="F15926" s="18"/>
    </row>
    <row r="15927" spans="5:6" ht="15" customHeight="1" x14ac:dyDescent="0.2">
      <c r="E15927" s="18"/>
      <c r="F15927" s="18"/>
    </row>
    <row r="15928" spans="5:6" ht="15" customHeight="1" x14ac:dyDescent="0.2">
      <c r="E15928" s="18"/>
      <c r="F15928" s="18"/>
    </row>
    <row r="15929" spans="5:6" ht="15" customHeight="1" x14ac:dyDescent="0.2">
      <c r="E15929" s="18"/>
      <c r="F15929" s="18"/>
    </row>
    <row r="15930" spans="5:6" ht="15" customHeight="1" x14ac:dyDescent="0.2">
      <c r="E15930" s="18"/>
      <c r="F15930" s="18"/>
    </row>
    <row r="15931" spans="5:6" ht="15" customHeight="1" x14ac:dyDescent="0.2">
      <c r="E15931" s="18"/>
      <c r="F15931" s="18"/>
    </row>
    <row r="15932" spans="5:6" ht="15" customHeight="1" x14ac:dyDescent="0.2">
      <c r="E15932" s="18"/>
      <c r="F15932" s="18"/>
    </row>
    <row r="15933" spans="5:6" ht="15" customHeight="1" x14ac:dyDescent="0.2">
      <c r="E15933" s="18"/>
      <c r="F15933" s="18"/>
    </row>
    <row r="15934" spans="5:6" ht="15" customHeight="1" x14ac:dyDescent="0.2">
      <c r="E15934" s="18"/>
      <c r="F15934" s="18"/>
    </row>
    <row r="15935" spans="5:6" ht="15" customHeight="1" x14ac:dyDescent="0.2">
      <c r="E15935" s="18"/>
      <c r="F15935" s="18"/>
    </row>
    <row r="15936" spans="5:6" ht="15" customHeight="1" x14ac:dyDescent="0.2">
      <c r="E15936" s="18"/>
      <c r="F15936" s="18"/>
    </row>
    <row r="15937" spans="5:6" ht="15" customHeight="1" x14ac:dyDescent="0.2">
      <c r="E15937" s="18"/>
      <c r="F15937" s="18"/>
    </row>
    <row r="15938" spans="5:6" ht="15" customHeight="1" x14ac:dyDescent="0.2">
      <c r="E15938" s="18"/>
      <c r="F15938" s="18"/>
    </row>
    <row r="15939" spans="5:6" ht="15" customHeight="1" x14ac:dyDescent="0.2">
      <c r="E15939" s="18"/>
      <c r="F15939" s="18"/>
    </row>
    <row r="15940" spans="5:6" ht="15" customHeight="1" x14ac:dyDescent="0.2">
      <c r="E15940" s="18"/>
      <c r="F15940" s="18"/>
    </row>
    <row r="15941" spans="5:6" ht="15" customHeight="1" x14ac:dyDescent="0.2">
      <c r="E15941" s="18"/>
      <c r="F15941" s="18"/>
    </row>
    <row r="15942" spans="5:6" ht="15" customHeight="1" x14ac:dyDescent="0.2">
      <c r="E15942" s="18"/>
      <c r="F15942" s="18"/>
    </row>
    <row r="15943" spans="5:6" ht="15" customHeight="1" x14ac:dyDescent="0.2">
      <c r="E15943" s="18"/>
      <c r="F15943" s="18"/>
    </row>
    <row r="15944" spans="5:6" ht="15" customHeight="1" x14ac:dyDescent="0.2">
      <c r="E15944" s="18"/>
      <c r="F15944" s="18"/>
    </row>
    <row r="15945" spans="5:6" ht="15" customHeight="1" x14ac:dyDescent="0.2">
      <c r="E15945" s="18"/>
      <c r="F15945" s="18"/>
    </row>
    <row r="15946" spans="5:6" ht="15" customHeight="1" x14ac:dyDescent="0.2">
      <c r="E15946" s="18"/>
      <c r="F15946" s="18"/>
    </row>
    <row r="15947" spans="5:6" ht="15" customHeight="1" x14ac:dyDescent="0.2">
      <c r="E15947" s="18"/>
      <c r="F15947" s="18"/>
    </row>
    <row r="15948" spans="5:6" ht="15" customHeight="1" x14ac:dyDescent="0.2">
      <c r="E15948" s="18"/>
      <c r="F15948" s="18"/>
    </row>
    <row r="15949" spans="5:6" ht="15" customHeight="1" x14ac:dyDescent="0.2">
      <c r="E15949" s="18"/>
      <c r="F15949" s="18"/>
    </row>
    <row r="15950" spans="5:6" ht="15" customHeight="1" x14ac:dyDescent="0.2">
      <c r="E15950" s="18"/>
      <c r="F15950" s="18"/>
    </row>
    <row r="15951" spans="5:6" ht="15" customHeight="1" x14ac:dyDescent="0.2">
      <c r="E15951" s="18"/>
      <c r="F15951" s="18"/>
    </row>
    <row r="15952" spans="5:6" ht="15" customHeight="1" x14ac:dyDescent="0.2">
      <c r="E15952" s="18"/>
      <c r="F15952" s="18"/>
    </row>
    <row r="15953" spans="5:6" ht="15" customHeight="1" x14ac:dyDescent="0.2">
      <c r="E15953" s="18"/>
      <c r="F15953" s="18"/>
    </row>
    <row r="15954" spans="5:6" ht="15" customHeight="1" x14ac:dyDescent="0.2">
      <c r="E15954" s="18"/>
      <c r="F15954" s="18"/>
    </row>
    <row r="15955" spans="5:6" ht="15" customHeight="1" x14ac:dyDescent="0.2">
      <c r="E15955" s="18"/>
      <c r="F15955" s="18"/>
    </row>
    <row r="15956" spans="5:6" ht="15" customHeight="1" x14ac:dyDescent="0.2">
      <c r="E15956" s="18"/>
      <c r="F15956" s="18"/>
    </row>
    <row r="15957" spans="5:6" ht="15" customHeight="1" x14ac:dyDescent="0.2">
      <c r="E15957" s="18"/>
      <c r="F15957" s="18"/>
    </row>
    <row r="15958" spans="5:6" ht="15" customHeight="1" x14ac:dyDescent="0.2">
      <c r="E15958" s="18"/>
      <c r="F15958" s="18"/>
    </row>
    <row r="15959" spans="5:6" ht="15" customHeight="1" x14ac:dyDescent="0.2">
      <c r="E15959" s="18"/>
      <c r="F15959" s="18"/>
    </row>
    <row r="15960" spans="5:6" ht="15" customHeight="1" x14ac:dyDescent="0.2">
      <c r="E15960" s="18"/>
      <c r="F15960" s="18"/>
    </row>
    <row r="15961" spans="5:6" ht="15" customHeight="1" x14ac:dyDescent="0.2">
      <c r="E15961" s="18"/>
      <c r="F15961" s="18"/>
    </row>
    <row r="15962" spans="5:6" ht="15" customHeight="1" x14ac:dyDescent="0.2">
      <c r="E15962" s="18"/>
      <c r="F15962" s="18"/>
    </row>
    <row r="15963" spans="5:6" ht="15" customHeight="1" x14ac:dyDescent="0.2">
      <c r="E15963" s="18"/>
      <c r="F15963" s="18"/>
    </row>
    <row r="15964" spans="5:6" ht="15" customHeight="1" x14ac:dyDescent="0.2">
      <c r="E15964" s="18"/>
      <c r="F15964" s="18"/>
    </row>
    <row r="15965" spans="5:6" ht="15" customHeight="1" x14ac:dyDescent="0.2">
      <c r="E15965" s="18"/>
      <c r="F15965" s="18"/>
    </row>
    <row r="15966" spans="5:6" ht="15" customHeight="1" x14ac:dyDescent="0.2">
      <c r="E15966" s="18"/>
      <c r="F15966" s="18"/>
    </row>
    <row r="15967" spans="5:6" ht="15" customHeight="1" x14ac:dyDescent="0.2">
      <c r="E15967" s="18"/>
      <c r="F15967" s="18"/>
    </row>
    <row r="15968" spans="5:6" ht="15" customHeight="1" x14ac:dyDescent="0.2">
      <c r="E15968" s="18"/>
      <c r="F15968" s="18"/>
    </row>
    <row r="15969" spans="5:6" ht="15" customHeight="1" x14ac:dyDescent="0.2">
      <c r="E15969" s="18"/>
      <c r="F15969" s="18"/>
    </row>
    <row r="15970" spans="5:6" ht="15" customHeight="1" x14ac:dyDescent="0.2">
      <c r="E15970" s="18"/>
      <c r="F15970" s="18"/>
    </row>
    <row r="15971" spans="5:6" ht="15" customHeight="1" x14ac:dyDescent="0.2">
      <c r="E15971" s="18"/>
      <c r="F15971" s="18"/>
    </row>
    <row r="15972" spans="5:6" ht="15" customHeight="1" x14ac:dyDescent="0.2">
      <c r="E15972" s="18"/>
      <c r="F15972" s="18"/>
    </row>
    <row r="15973" spans="5:6" ht="15" customHeight="1" x14ac:dyDescent="0.2">
      <c r="E15973" s="18"/>
      <c r="F15973" s="18"/>
    </row>
    <row r="15974" spans="5:6" ht="15" customHeight="1" x14ac:dyDescent="0.2">
      <c r="E15974" s="18"/>
      <c r="F15974" s="18"/>
    </row>
    <row r="15975" spans="5:6" ht="15" customHeight="1" x14ac:dyDescent="0.2">
      <c r="E15975" s="18"/>
      <c r="F15975" s="18"/>
    </row>
    <row r="15976" spans="5:6" ht="15" customHeight="1" x14ac:dyDescent="0.2">
      <c r="E15976" s="18"/>
      <c r="F15976" s="18"/>
    </row>
    <row r="15977" spans="5:6" ht="15" customHeight="1" x14ac:dyDescent="0.2">
      <c r="E15977" s="18"/>
      <c r="F15977" s="18"/>
    </row>
    <row r="15978" spans="5:6" ht="15" customHeight="1" x14ac:dyDescent="0.2">
      <c r="E15978" s="18"/>
      <c r="F15978" s="18"/>
    </row>
    <row r="15979" spans="5:6" ht="15" customHeight="1" x14ac:dyDescent="0.2">
      <c r="E15979" s="18"/>
      <c r="F15979" s="18"/>
    </row>
    <row r="15980" spans="5:6" ht="15" customHeight="1" x14ac:dyDescent="0.2">
      <c r="E15980" s="18"/>
      <c r="F15980" s="18"/>
    </row>
    <row r="15981" spans="5:6" ht="15" customHeight="1" x14ac:dyDescent="0.2">
      <c r="E15981" s="18"/>
      <c r="F15981" s="18"/>
    </row>
    <row r="15982" spans="5:6" ht="15" customHeight="1" x14ac:dyDescent="0.2">
      <c r="E15982" s="18"/>
      <c r="F15982" s="18"/>
    </row>
    <row r="15983" spans="5:6" ht="15" customHeight="1" x14ac:dyDescent="0.2">
      <c r="E15983" s="18"/>
      <c r="F15983" s="18"/>
    </row>
    <row r="15984" spans="5:6" ht="15" customHeight="1" x14ac:dyDescent="0.2">
      <c r="E15984" s="18"/>
      <c r="F15984" s="18"/>
    </row>
    <row r="15985" spans="5:6" ht="15" customHeight="1" x14ac:dyDescent="0.2">
      <c r="E15985" s="18"/>
      <c r="F15985" s="18"/>
    </row>
    <row r="15986" spans="5:6" ht="15" customHeight="1" x14ac:dyDescent="0.2">
      <c r="E15986" s="18"/>
      <c r="F15986" s="18"/>
    </row>
    <row r="15987" spans="5:6" ht="15" customHeight="1" x14ac:dyDescent="0.2">
      <c r="E15987" s="18"/>
      <c r="F15987" s="18"/>
    </row>
    <row r="15988" spans="5:6" ht="15" customHeight="1" x14ac:dyDescent="0.2">
      <c r="E15988" s="18"/>
      <c r="F15988" s="18"/>
    </row>
    <row r="15989" spans="5:6" ht="15" customHeight="1" x14ac:dyDescent="0.2">
      <c r="E15989" s="18"/>
      <c r="F15989" s="18"/>
    </row>
    <row r="15990" spans="5:6" ht="15" customHeight="1" x14ac:dyDescent="0.2">
      <c r="E15990" s="18"/>
      <c r="F15990" s="18"/>
    </row>
    <row r="15991" spans="5:6" ht="15" customHeight="1" x14ac:dyDescent="0.2">
      <c r="E15991" s="18"/>
      <c r="F15991" s="18"/>
    </row>
    <row r="15992" spans="5:6" ht="15" customHeight="1" x14ac:dyDescent="0.2">
      <c r="E15992" s="18"/>
      <c r="F15992" s="18"/>
    </row>
    <row r="15993" spans="5:6" ht="15" customHeight="1" x14ac:dyDescent="0.2">
      <c r="E15993" s="18"/>
      <c r="F15993" s="18"/>
    </row>
    <row r="15994" spans="5:6" ht="15" customHeight="1" x14ac:dyDescent="0.2">
      <c r="E15994" s="18"/>
      <c r="F15994" s="18"/>
    </row>
    <row r="15995" spans="5:6" ht="15" customHeight="1" x14ac:dyDescent="0.2">
      <c r="E15995" s="18"/>
      <c r="F15995" s="18"/>
    </row>
    <row r="15996" spans="5:6" ht="15" customHeight="1" x14ac:dyDescent="0.2">
      <c r="E15996" s="18"/>
      <c r="F15996" s="18"/>
    </row>
    <row r="15997" spans="5:6" ht="15" customHeight="1" x14ac:dyDescent="0.2">
      <c r="E15997" s="18"/>
      <c r="F15997" s="18"/>
    </row>
    <row r="15998" spans="5:6" ht="15" customHeight="1" x14ac:dyDescent="0.2">
      <c r="E15998" s="18"/>
      <c r="F15998" s="18"/>
    </row>
    <row r="15999" spans="5:6" ht="15" customHeight="1" x14ac:dyDescent="0.2">
      <c r="E15999" s="18"/>
      <c r="F15999" s="18"/>
    </row>
    <row r="16000" spans="5:6" ht="15" customHeight="1" x14ac:dyDescent="0.2">
      <c r="E16000" s="18"/>
      <c r="F16000" s="18"/>
    </row>
    <row r="16001" spans="5:6" ht="15" customHeight="1" x14ac:dyDescent="0.2">
      <c r="E16001" s="18"/>
      <c r="F16001" s="18"/>
    </row>
    <row r="16002" spans="5:6" ht="15" customHeight="1" x14ac:dyDescent="0.2">
      <c r="E16002" s="18"/>
      <c r="F16002" s="18"/>
    </row>
    <row r="16003" spans="5:6" ht="15" customHeight="1" x14ac:dyDescent="0.2">
      <c r="E16003" s="18"/>
      <c r="F16003" s="18"/>
    </row>
    <row r="16004" spans="5:6" ht="15" customHeight="1" x14ac:dyDescent="0.2">
      <c r="E16004" s="18"/>
      <c r="F16004" s="18"/>
    </row>
    <row r="16005" spans="5:6" ht="15" customHeight="1" x14ac:dyDescent="0.2">
      <c r="E16005" s="18"/>
      <c r="F16005" s="18"/>
    </row>
    <row r="16006" spans="5:6" ht="15" customHeight="1" x14ac:dyDescent="0.2">
      <c r="E16006" s="18"/>
      <c r="F16006" s="18"/>
    </row>
    <row r="16007" spans="5:6" ht="15" customHeight="1" x14ac:dyDescent="0.2">
      <c r="E16007" s="18"/>
      <c r="F16007" s="18"/>
    </row>
    <row r="16008" spans="5:6" ht="15" customHeight="1" x14ac:dyDescent="0.2">
      <c r="E16008" s="18"/>
      <c r="F16008" s="18"/>
    </row>
    <row r="16009" spans="5:6" ht="15" customHeight="1" x14ac:dyDescent="0.2">
      <c r="E16009" s="18"/>
      <c r="F16009" s="18"/>
    </row>
    <row r="16010" spans="5:6" ht="15" customHeight="1" x14ac:dyDescent="0.2">
      <c r="E16010" s="18"/>
      <c r="F16010" s="18"/>
    </row>
    <row r="16011" spans="5:6" ht="15" customHeight="1" x14ac:dyDescent="0.2">
      <c r="E16011" s="18"/>
      <c r="F16011" s="18"/>
    </row>
    <row r="16012" spans="5:6" ht="15" customHeight="1" x14ac:dyDescent="0.2">
      <c r="E16012" s="18"/>
      <c r="F16012" s="18"/>
    </row>
    <row r="16013" spans="5:6" ht="15" customHeight="1" x14ac:dyDescent="0.2">
      <c r="E16013" s="18"/>
      <c r="F16013" s="18"/>
    </row>
    <row r="16014" spans="5:6" ht="15" customHeight="1" x14ac:dyDescent="0.2">
      <c r="E16014" s="18"/>
      <c r="F16014" s="18"/>
    </row>
    <row r="16015" spans="5:6" ht="15" customHeight="1" x14ac:dyDescent="0.2">
      <c r="E16015" s="18"/>
      <c r="F16015" s="18"/>
    </row>
    <row r="16016" spans="5:6" ht="15" customHeight="1" x14ac:dyDescent="0.2">
      <c r="E16016" s="18"/>
      <c r="F16016" s="18"/>
    </row>
    <row r="16017" spans="5:6" ht="15" customHeight="1" x14ac:dyDescent="0.2">
      <c r="E16017" s="18"/>
      <c r="F16017" s="18"/>
    </row>
    <row r="16018" spans="5:6" ht="15" customHeight="1" x14ac:dyDescent="0.2">
      <c r="E16018" s="18"/>
      <c r="F16018" s="18"/>
    </row>
    <row r="16019" spans="5:6" ht="15" customHeight="1" x14ac:dyDescent="0.2">
      <c r="E16019" s="18"/>
      <c r="F16019" s="18"/>
    </row>
    <row r="16020" spans="5:6" ht="15" customHeight="1" x14ac:dyDescent="0.2">
      <c r="E16020" s="18"/>
      <c r="F16020" s="18"/>
    </row>
    <row r="16021" spans="5:6" ht="15" customHeight="1" x14ac:dyDescent="0.2">
      <c r="E16021" s="18"/>
      <c r="F16021" s="18"/>
    </row>
    <row r="16022" spans="5:6" ht="15" customHeight="1" x14ac:dyDescent="0.2">
      <c r="E16022" s="18"/>
      <c r="F16022" s="18"/>
    </row>
    <row r="16023" spans="5:6" ht="15" customHeight="1" x14ac:dyDescent="0.2">
      <c r="E16023" s="18"/>
      <c r="F16023" s="18"/>
    </row>
    <row r="16024" spans="5:6" ht="15" customHeight="1" x14ac:dyDescent="0.2">
      <c r="E16024" s="18"/>
      <c r="F16024" s="18"/>
    </row>
    <row r="16025" spans="5:6" ht="15" customHeight="1" x14ac:dyDescent="0.2">
      <c r="E16025" s="18"/>
      <c r="F16025" s="18"/>
    </row>
    <row r="16026" spans="5:6" ht="15" customHeight="1" x14ac:dyDescent="0.2">
      <c r="E16026" s="18"/>
      <c r="F16026" s="18"/>
    </row>
    <row r="16027" spans="5:6" ht="15" customHeight="1" x14ac:dyDescent="0.2">
      <c r="E16027" s="18"/>
      <c r="F16027" s="18"/>
    </row>
    <row r="16028" spans="5:6" ht="15" customHeight="1" x14ac:dyDescent="0.2">
      <c r="E16028" s="18"/>
      <c r="F16028" s="18"/>
    </row>
    <row r="16029" spans="5:6" ht="15" customHeight="1" x14ac:dyDescent="0.2">
      <c r="E16029" s="18"/>
      <c r="F16029" s="18"/>
    </row>
    <row r="16030" spans="5:6" ht="15" customHeight="1" x14ac:dyDescent="0.2">
      <c r="E16030" s="18"/>
      <c r="F16030" s="18"/>
    </row>
    <row r="16031" spans="5:6" ht="15" customHeight="1" x14ac:dyDescent="0.2">
      <c r="E16031" s="18"/>
      <c r="F16031" s="18"/>
    </row>
    <row r="16032" spans="5:6" ht="15" customHeight="1" x14ac:dyDescent="0.2">
      <c r="E16032" s="18"/>
      <c r="F16032" s="18"/>
    </row>
    <row r="16033" spans="5:6" ht="15" customHeight="1" x14ac:dyDescent="0.2">
      <c r="E16033" s="18"/>
      <c r="F16033" s="18"/>
    </row>
    <row r="16034" spans="5:6" ht="15" customHeight="1" x14ac:dyDescent="0.2">
      <c r="E16034" s="18"/>
      <c r="F16034" s="18"/>
    </row>
    <row r="16035" spans="5:6" ht="15" customHeight="1" x14ac:dyDescent="0.2">
      <c r="E16035" s="18"/>
      <c r="F16035" s="18"/>
    </row>
    <row r="16036" spans="5:6" ht="15" customHeight="1" x14ac:dyDescent="0.2">
      <c r="E16036" s="18"/>
      <c r="F16036" s="18"/>
    </row>
    <row r="16037" spans="5:6" ht="15" customHeight="1" x14ac:dyDescent="0.2">
      <c r="E16037" s="18"/>
      <c r="F16037" s="18"/>
    </row>
    <row r="16038" spans="5:6" ht="15" customHeight="1" x14ac:dyDescent="0.2">
      <c r="E16038" s="18"/>
      <c r="F16038" s="18"/>
    </row>
    <row r="16039" spans="5:6" ht="15" customHeight="1" x14ac:dyDescent="0.2">
      <c r="E16039" s="18"/>
      <c r="F16039" s="18"/>
    </row>
    <row r="16040" spans="5:6" ht="15" customHeight="1" x14ac:dyDescent="0.2">
      <c r="E16040" s="18"/>
      <c r="F16040" s="18"/>
    </row>
    <row r="16041" spans="5:6" ht="15" customHeight="1" x14ac:dyDescent="0.2">
      <c r="E16041" s="18"/>
      <c r="F16041" s="18"/>
    </row>
    <row r="16042" spans="5:6" ht="15" customHeight="1" x14ac:dyDescent="0.2">
      <c r="E16042" s="18"/>
      <c r="F16042" s="18"/>
    </row>
    <row r="16043" spans="5:6" ht="15" customHeight="1" x14ac:dyDescent="0.2">
      <c r="E16043" s="18"/>
      <c r="F16043" s="18"/>
    </row>
    <row r="16044" spans="5:6" ht="15" customHeight="1" x14ac:dyDescent="0.2">
      <c r="E16044" s="18"/>
      <c r="F16044" s="18"/>
    </row>
    <row r="16045" spans="5:6" ht="15" customHeight="1" x14ac:dyDescent="0.2">
      <c r="E16045" s="18"/>
      <c r="F16045" s="18"/>
    </row>
    <row r="16046" spans="5:6" ht="15" customHeight="1" x14ac:dyDescent="0.2">
      <c r="E16046" s="18"/>
      <c r="F16046" s="18"/>
    </row>
    <row r="16047" spans="5:6" ht="15" customHeight="1" x14ac:dyDescent="0.2">
      <c r="E16047" s="18"/>
      <c r="F16047" s="18"/>
    </row>
    <row r="16048" spans="5:6" ht="15" customHeight="1" x14ac:dyDescent="0.2">
      <c r="E16048" s="18"/>
      <c r="F16048" s="18"/>
    </row>
    <row r="16049" spans="5:6" ht="15" customHeight="1" x14ac:dyDescent="0.2">
      <c r="E16049" s="18"/>
      <c r="F16049" s="18"/>
    </row>
    <row r="16050" spans="5:6" ht="15" customHeight="1" x14ac:dyDescent="0.2">
      <c r="E16050" s="18"/>
      <c r="F16050" s="18"/>
    </row>
    <row r="16051" spans="5:6" ht="15" customHeight="1" x14ac:dyDescent="0.2">
      <c r="E16051" s="18"/>
      <c r="F16051" s="18"/>
    </row>
    <row r="16052" spans="5:6" ht="15" customHeight="1" x14ac:dyDescent="0.2">
      <c r="E16052" s="18"/>
      <c r="F16052" s="18"/>
    </row>
    <row r="16053" spans="5:6" ht="15" customHeight="1" x14ac:dyDescent="0.2">
      <c r="E16053" s="18"/>
      <c r="F16053" s="18"/>
    </row>
    <row r="16054" spans="5:6" ht="15" customHeight="1" x14ac:dyDescent="0.2">
      <c r="E16054" s="18"/>
      <c r="F16054" s="18"/>
    </row>
    <row r="16055" spans="5:6" ht="15" customHeight="1" x14ac:dyDescent="0.2">
      <c r="E16055" s="18"/>
      <c r="F16055" s="18"/>
    </row>
    <row r="16056" spans="5:6" ht="15" customHeight="1" x14ac:dyDescent="0.2">
      <c r="E16056" s="18"/>
      <c r="F16056" s="18"/>
    </row>
    <row r="16057" spans="5:6" ht="15" customHeight="1" x14ac:dyDescent="0.2">
      <c r="E16057" s="18"/>
      <c r="F16057" s="18"/>
    </row>
    <row r="16058" spans="5:6" ht="15" customHeight="1" x14ac:dyDescent="0.2">
      <c r="E16058" s="18"/>
      <c r="F16058" s="18"/>
    </row>
    <row r="16059" spans="5:6" ht="15" customHeight="1" x14ac:dyDescent="0.2">
      <c r="E16059" s="18"/>
      <c r="F16059" s="18"/>
    </row>
    <row r="16060" spans="5:6" ht="15" customHeight="1" x14ac:dyDescent="0.2">
      <c r="E16060" s="18"/>
      <c r="F16060" s="18"/>
    </row>
    <row r="16061" spans="5:6" ht="15" customHeight="1" x14ac:dyDescent="0.2">
      <c r="E16061" s="18"/>
      <c r="F16061" s="18"/>
    </row>
    <row r="16062" spans="5:6" ht="15" customHeight="1" x14ac:dyDescent="0.2">
      <c r="E16062" s="18"/>
      <c r="F16062" s="18"/>
    </row>
    <row r="16063" spans="5:6" ht="15" customHeight="1" x14ac:dyDescent="0.2">
      <c r="E16063" s="18"/>
      <c r="F16063" s="18"/>
    </row>
    <row r="16064" spans="5:6" ht="15" customHeight="1" x14ac:dyDescent="0.2">
      <c r="E16064" s="18"/>
      <c r="F16064" s="18"/>
    </row>
    <row r="16065" spans="5:6" ht="15" customHeight="1" x14ac:dyDescent="0.2">
      <c r="E16065" s="18"/>
      <c r="F16065" s="18"/>
    </row>
    <row r="16066" spans="5:6" ht="15" customHeight="1" x14ac:dyDescent="0.2">
      <c r="E16066" s="18"/>
      <c r="F16066" s="18"/>
    </row>
    <row r="16067" spans="5:6" ht="15" customHeight="1" x14ac:dyDescent="0.2">
      <c r="E16067" s="18"/>
      <c r="F16067" s="18"/>
    </row>
    <row r="16068" spans="5:6" ht="15" customHeight="1" x14ac:dyDescent="0.2">
      <c r="E16068" s="18"/>
      <c r="F16068" s="18"/>
    </row>
    <row r="16069" spans="5:6" ht="15" customHeight="1" x14ac:dyDescent="0.2">
      <c r="E16069" s="18"/>
      <c r="F16069" s="18"/>
    </row>
    <row r="16070" spans="5:6" ht="15" customHeight="1" x14ac:dyDescent="0.2">
      <c r="E16070" s="18"/>
      <c r="F16070" s="18"/>
    </row>
    <row r="16071" spans="5:6" ht="15" customHeight="1" x14ac:dyDescent="0.2">
      <c r="E16071" s="18"/>
      <c r="F16071" s="18"/>
    </row>
    <row r="16072" spans="5:6" ht="15" customHeight="1" x14ac:dyDescent="0.2">
      <c r="E16072" s="18"/>
      <c r="F16072" s="18"/>
    </row>
    <row r="16073" spans="5:6" ht="15" customHeight="1" x14ac:dyDescent="0.2">
      <c r="E16073" s="18"/>
      <c r="F16073" s="18"/>
    </row>
    <row r="16074" spans="5:6" ht="15" customHeight="1" x14ac:dyDescent="0.2">
      <c r="E16074" s="18"/>
      <c r="F16074" s="18"/>
    </row>
    <row r="16075" spans="5:6" ht="15" customHeight="1" x14ac:dyDescent="0.2">
      <c r="E16075" s="18"/>
      <c r="F16075" s="18"/>
    </row>
    <row r="16076" spans="5:6" ht="15" customHeight="1" x14ac:dyDescent="0.2">
      <c r="E16076" s="18"/>
      <c r="F16076" s="18"/>
    </row>
    <row r="16077" spans="5:6" ht="15" customHeight="1" x14ac:dyDescent="0.2">
      <c r="E16077" s="18"/>
      <c r="F16077" s="18"/>
    </row>
    <row r="16078" spans="5:6" ht="15" customHeight="1" x14ac:dyDescent="0.2">
      <c r="E16078" s="18"/>
      <c r="F16078" s="18"/>
    </row>
    <row r="16079" spans="5:6" ht="15" customHeight="1" x14ac:dyDescent="0.2">
      <c r="E16079" s="18"/>
      <c r="F16079" s="18"/>
    </row>
    <row r="16080" spans="5:6" ht="15" customHeight="1" x14ac:dyDescent="0.2">
      <c r="E16080" s="18"/>
      <c r="F16080" s="18"/>
    </row>
    <row r="16081" spans="5:6" ht="15" customHeight="1" x14ac:dyDescent="0.2">
      <c r="E16081" s="18"/>
      <c r="F16081" s="18"/>
    </row>
    <row r="16082" spans="5:6" ht="15" customHeight="1" x14ac:dyDescent="0.2">
      <c r="E16082" s="18"/>
      <c r="F16082" s="18"/>
    </row>
    <row r="16083" spans="5:6" ht="15" customHeight="1" x14ac:dyDescent="0.2">
      <c r="E16083" s="18"/>
      <c r="F16083" s="18"/>
    </row>
    <row r="16084" spans="5:6" ht="15" customHeight="1" x14ac:dyDescent="0.2">
      <c r="E16084" s="18"/>
      <c r="F16084" s="18"/>
    </row>
    <row r="16085" spans="5:6" ht="15" customHeight="1" x14ac:dyDescent="0.2">
      <c r="E16085" s="18"/>
      <c r="F16085" s="18"/>
    </row>
    <row r="16086" spans="5:6" ht="15" customHeight="1" x14ac:dyDescent="0.2">
      <c r="E16086" s="18"/>
      <c r="F16086" s="18"/>
    </row>
    <row r="16087" spans="5:6" ht="15" customHeight="1" x14ac:dyDescent="0.2">
      <c r="E16087" s="18"/>
      <c r="F16087" s="18"/>
    </row>
    <row r="16088" spans="5:6" ht="15" customHeight="1" x14ac:dyDescent="0.2">
      <c r="E16088" s="18"/>
      <c r="F16088" s="18"/>
    </row>
    <row r="16089" spans="5:6" ht="15" customHeight="1" x14ac:dyDescent="0.2">
      <c r="E16089" s="18"/>
      <c r="F16089" s="18"/>
    </row>
    <row r="16090" spans="5:6" ht="15" customHeight="1" x14ac:dyDescent="0.2">
      <c r="E16090" s="18"/>
      <c r="F16090" s="18"/>
    </row>
    <row r="16091" spans="5:6" ht="15" customHeight="1" x14ac:dyDescent="0.2">
      <c r="E16091" s="18"/>
      <c r="F16091" s="18"/>
    </row>
    <row r="16092" spans="5:6" ht="15" customHeight="1" x14ac:dyDescent="0.2">
      <c r="E16092" s="18"/>
      <c r="F16092" s="18"/>
    </row>
    <row r="16093" spans="5:6" ht="15" customHeight="1" x14ac:dyDescent="0.2">
      <c r="E16093" s="18"/>
      <c r="F16093" s="18"/>
    </row>
    <row r="16094" spans="5:6" ht="15" customHeight="1" x14ac:dyDescent="0.2">
      <c r="E16094" s="18"/>
      <c r="F16094" s="18"/>
    </row>
    <row r="16095" spans="5:6" ht="15" customHeight="1" x14ac:dyDescent="0.2">
      <c r="E16095" s="18"/>
      <c r="F16095" s="18"/>
    </row>
    <row r="16096" spans="5:6" ht="15" customHeight="1" x14ac:dyDescent="0.2">
      <c r="E16096" s="18"/>
      <c r="F16096" s="18"/>
    </row>
    <row r="16097" spans="5:6" ht="15" customHeight="1" x14ac:dyDescent="0.2">
      <c r="E16097" s="18"/>
      <c r="F16097" s="18"/>
    </row>
    <row r="16098" spans="5:6" ht="15" customHeight="1" x14ac:dyDescent="0.2">
      <c r="E16098" s="18"/>
      <c r="F16098" s="18"/>
    </row>
    <row r="16099" spans="5:6" ht="15" customHeight="1" x14ac:dyDescent="0.2">
      <c r="E16099" s="18"/>
      <c r="F16099" s="18"/>
    </row>
    <row r="16100" spans="5:6" ht="15" customHeight="1" x14ac:dyDescent="0.2">
      <c r="E16100" s="18"/>
      <c r="F16100" s="18"/>
    </row>
    <row r="16101" spans="5:6" ht="15" customHeight="1" x14ac:dyDescent="0.2">
      <c r="E16101" s="18"/>
      <c r="F16101" s="18"/>
    </row>
    <row r="16102" spans="5:6" ht="15" customHeight="1" x14ac:dyDescent="0.2">
      <c r="E16102" s="18"/>
      <c r="F16102" s="18"/>
    </row>
    <row r="16103" spans="5:6" ht="15" customHeight="1" x14ac:dyDescent="0.2">
      <c r="E16103" s="18"/>
      <c r="F16103" s="18"/>
    </row>
    <row r="16104" spans="5:6" ht="15" customHeight="1" x14ac:dyDescent="0.2">
      <c r="E16104" s="18"/>
      <c r="F16104" s="18"/>
    </row>
    <row r="16105" spans="5:6" ht="15" customHeight="1" x14ac:dyDescent="0.2">
      <c r="E16105" s="18"/>
      <c r="F16105" s="18"/>
    </row>
    <row r="16106" spans="5:6" ht="15" customHeight="1" x14ac:dyDescent="0.2">
      <c r="E16106" s="18"/>
      <c r="F16106" s="18"/>
    </row>
    <row r="16107" spans="5:6" ht="15" customHeight="1" x14ac:dyDescent="0.2">
      <c r="E16107" s="18"/>
      <c r="F16107" s="18"/>
    </row>
    <row r="16108" spans="5:6" ht="15" customHeight="1" x14ac:dyDescent="0.2">
      <c r="E16108" s="18"/>
      <c r="F16108" s="18"/>
    </row>
    <row r="16109" spans="5:6" ht="15" customHeight="1" x14ac:dyDescent="0.2">
      <c r="E16109" s="18"/>
      <c r="F16109" s="18"/>
    </row>
    <row r="16110" spans="5:6" ht="15" customHeight="1" x14ac:dyDescent="0.2">
      <c r="E16110" s="18"/>
      <c r="F16110" s="18"/>
    </row>
    <row r="16111" spans="5:6" ht="15" customHeight="1" x14ac:dyDescent="0.2">
      <c r="E16111" s="18"/>
      <c r="F16111" s="18"/>
    </row>
    <row r="16112" spans="5:6" ht="15" customHeight="1" x14ac:dyDescent="0.2">
      <c r="E16112" s="18"/>
      <c r="F16112" s="18"/>
    </row>
    <row r="16113" spans="5:6" ht="15" customHeight="1" x14ac:dyDescent="0.2">
      <c r="E16113" s="18"/>
      <c r="F16113" s="18"/>
    </row>
    <row r="16114" spans="5:6" ht="15" customHeight="1" x14ac:dyDescent="0.2">
      <c r="E16114" s="18"/>
      <c r="F16114" s="18"/>
    </row>
    <row r="16115" spans="5:6" ht="15" customHeight="1" x14ac:dyDescent="0.2">
      <c r="E16115" s="18"/>
      <c r="F16115" s="18"/>
    </row>
    <row r="16116" spans="5:6" ht="15" customHeight="1" x14ac:dyDescent="0.2">
      <c r="E16116" s="18"/>
      <c r="F16116" s="18"/>
    </row>
    <row r="16117" spans="5:6" ht="15" customHeight="1" x14ac:dyDescent="0.2">
      <c r="E16117" s="18"/>
      <c r="F16117" s="18"/>
    </row>
    <row r="16118" spans="5:6" ht="15" customHeight="1" x14ac:dyDescent="0.2">
      <c r="E16118" s="18"/>
      <c r="F16118" s="18"/>
    </row>
    <row r="16119" spans="5:6" ht="15" customHeight="1" x14ac:dyDescent="0.2">
      <c r="E16119" s="18"/>
      <c r="F16119" s="18"/>
    </row>
    <row r="16120" spans="5:6" ht="15" customHeight="1" x14ac:dyDescent="0.2">
      <c r="E16120" s="18"/>
      <c r="F16120" s="18"/>
    </row>
    <row r="16121" spans="5:6" ht="15" customHeight="1" x14ac:dyDescent="0.2">
      <c r="E16121" s="18"/>
      <c r="F16121" s="18"/>
    </row>
    <row r="16122" spans="5:6" ht="15" customHeight="1" x14ac:dyDescent="0.2">
      <c r="E16122" s="18"/>
      <c r="F16122" s="18"/>
    </row>
    <row r="16123" spans="5:6" ht="15" customHeight="1" x14ac:dyDescent="0.2">
      <c r="E16123" s="18"/>
      <c r="F16123" s="18"/>
    </row>
    <row r="16124" spans="5:6" ht="15" customHeight="1" x14ac:dyDescent="0.2">
      <c r="E16124" s="18"/>
      <c r="F16124" s="18"/>
    </row>
    <row r="16125" spans="5:6" ht="15" customHeight="1" x14ac:dyDescent="0.2">
      <c r="E16125" s="18"/>
      <c r="F16125" s="18"/>
    </row>
    <row r="16126" spans="5:6" ht="15" customHeight="1" x14ac:dyDescent="0.2">
      <c r="E16126" s="18"/>
      <c r="F16126" s="18"/>
    </row>
    <row r="16127" spans="5:6" ht="15" customHeight="1" x14ac:dyDescent="0.2">
      <c r="E16127" s="18"/>
      <c r="F16127" s="18"/>
    </row>
    <row r="16128" spans="5:6" ht="15" customHeight="1" x14ac:dyDescent="0.2">
      <c r="E16128" s="18"/>
      <c r="F16128" s="18"/>
    </row>
    <row r="16129" spans="5:6" ht="15" customHeight="1" x14ac:dyDescent="0.2">
      <c r="E16129" s="18"/>
      <c r="F16129" s="18"/>
    </row>
    <row r="16130" spans="5:6" ht="15" customHeight="1" x14ac:dyDescent="0.2">
      <c r="E16130" s="18"/>
      <c r="F16130" s="18"/>
    </row>
    <row r="16131" spans="5:6" ht="15" customHeight="1" x14ac:dyDescent="0.2">
      <c r="E16131" s="18"/>
      <c r="F16131" s="18"/>
    </row>
    <row r="16132" spans="5:6" ht="15" customHeight="1" x14ac:dyDescent="0.2">
      <c r="E16132" s="18"/>
      <c r="F16132" s="18"/>
    </row>
    <row r="16133" spans="5:6" ht="15" customHeight="1" x14ac:dyDescent="0.2">
      <c r="E16133" s="18"/>
      <c r="F16133" s="18"/>
    </row>
    <row r="16134" spans="5:6" ht="15" customHeight="1" x14ac:dyDescent="0.2">
      <c r="E16134" s="18"/>
      <c r="F16134" s="18"/>
    </row>
    <row r="16135" spans="5:6" ht="15" customHeight="1" x14ac:dyDescent="0.2">
      <c r="E16135" s="18"/>
      <c r="F16135" s="18"/>
    </row>
    <row r="16136" spans="5:6" ht="15" customHeight="1" x14ac:dyDescent="0.2">
      <c r="E16136" s="18"/>
      <c r="F16136" s="18"/>
    </row>
    <row r="16137" spans="5:6" ht="15" customHeight="1" x14ac:dyDescent="0.2">
      <c r="E16137" s="18"/>
      <c r="F16137" s="18"/>
    </row>
    <row r="16138" spans="5:6" ht="15" customHeight="1" x14ac:dyDescent="0.2">
      <c r="E16138" s="18"/>
      <c r="F16138" s="18"/>
    </row>
    <row r="16139" spans="5:6" ht="15" customHeight="1" x14ac:dyDescent="0.2">
      <c r="E16139" s="18"/>
      <c r="F16139" s="18"/>
    </row>
    <row r="16140" spans="5:6" ht="15" customHeight="1" x14ac:dyDescent="0.2">
      <c r="E16140" s="18"/>
      <c r="F16140" s="18"/>
    </row>
    <row r="16141" spans="5:6" ht="15" customHeight="1" x14ac:dyDescent="0.2">
      <c r="E16141" s="18"/>
      <c r="F16141" s="18"/>
    </row>
    <row r="16142" spans="5:6" ht="15" customHeight="1" x14ac:dyDescent="0.2">
      <c r="E16142" s="18"/>
      <c r="F16142" s="18"/>
    </row>
    <row r="16143" spans="5:6" ht="15" customHeight="1" x14ac:dyDescent="0.2">
      <c r="E16143" s="18"/>
      <c r="F16143" s="18"/>
    </row>
    <row r="16144" spans="5:6" ht="15" customHeight="1" x14ac:dyDescent="0.2">
      <c r="E16144" s="18"/>
      <c r="F16144" s="18"/>
    </row>
    <row r="16145" spans="5:6" ht="15" customHeight="1" x14ac:dyDescent="0.2">
      <c r="E16145" s="18"/>
      <c r="F16145" s="18"/>
    </row>
    <row r="16146" spans="5:6" ht="15" customHeight="1" x14ac:dyDescent="0.2">
      <c r="E16146" s="18"/>
      <c r="F16146" s="18"/>
    </row>
    <row r="16147" spans="5:6" ht="15" customHeight="1" x14ac:dyDescent="0.2">
      <c r="E16147" s="18"/>
      <c r="F16147" s="18"/>
    </row>
    <row r="16148" spans="5:6" ht="15" customHeight="1" x14ac:dyDescent="0.2">
      <c r="E16148" s="18"/>
      <c r="F16148" s="18"/>
    </row>
    <row r="16149" spans="5:6" ht="15" customHeight="1" x14ac:dyDescent="0.2">
      <c r="E16149" s="18"/>
      <c r="F16149" s="18"/>
    </row>
    <row r="16150" spans="5:6" ht="15" customHeight="1" x14ac:dyDescent="0.2">
      <c r="E16150" s="18"/>
      <c r="F16150" s="18"/>
    </row>
    <row r="16151" spans="5:6" ht="15" customHeight="1" x14ac:dyDescent="0.2">
      <c r="E16151" s="18"/>
      <c r="F16151" s="18"/>
    </row>
    <row r="16152" spans="5:6" ht="15" customHeight="1" x14ac:dyDescent="0.2">
      <c r="E16152" s="18"/>
      <c r="F16152" s="18"/>
    </row>
    <row r="16153" spans="5:6" ht="15" customHeight="1" x14ac:dyDescent="0.2">
      <c r="E16153" s="18"/>
      <c r="F16153" s="18"/>
    </row>
    <row r="16154" spans="5:6" ht="15" customHeight="1" x14ac:dyDescent="0.2">
      <c r="E16154" s="18"/>
      <c r="F16154" s="18"/>
    </row>
    <row r="16155" spans="5:6" ht="15" customHeight="1" x14ac:dyDescent="0.2">
      <c r="E16155" s="18"/>
      <c r="F16155" s="18"/>
    </row>
    <row r="16156" spans="5:6" ht="15" customHeight="1" x14ac:dyDescent="0.2">
      <c r="E16156" s="18"/>
      <c r="F16156" s="18"/>
    </row>
    <row r="16157" spans="5:6" ht="15" customHeight="1" x14ac:dyDescent="0.2">
      <c r="E16157" s="18"/>
      <c r="F16157" s="18"/>
    </row>
    <row r="16158" spans="5:6" ht="15" customHeight="1" x14ac:dyDescent="0.2">
      <c r="E16158" s="18"/>
      <c r="F16158" s="18"/>
    </row>
    <row r="16159" spans="5:6" ht="15" customHeight="1" x14ac:dyDescent="0.2">
      <c r="E16159" s="18"/>
      <c r="F16159" s="18"/>
    </row>
    <row r="16160" spans="5:6" ht="15" customHeight="1" x14ac:dyDescent="0.2">
      <c r="E16160" s="18"/>
      <c r="F16160" s="18"/>
    </row>
    <row r="16161" spans="5:6" ht="15" customHeight="1" x14ac:dyDescent="0.2">
      <c r="E16161" s="18"/>
      <c r="F16161" s="18"/>
    </row>
    <row r="16162" spans="5:6" ht="15" customHeight="1" x14ac:dyDescent="0.2">
      <c r="E16162" s="18"/>
      <c r="F16162" s="18"/>
    </row>
    <row r="16163" spans="5:6" ht="15" customHeight="1" x14ac:dyDescent="0.2">
      <c r="E16163" s="18"/>
      <c r="F16163" s="18"/>
    </row>
    <row r="16164" spans="5:6" ht="15" customHeight="1" x14ac:dyDescent="0.2">
      <c r="E16164" s="18"/>
      <c r="F16164" s="18"/>
    </row>
    <row r="16165" spans="5:6" ht="15" customHeight="1" x14ac:dyDescent="0.2">
      <c r="E16165" s="18"/>
      <c r="F16165" s="18"/>
    </row>
    <row r="16166" spans="5:6" ht="15" customHeight="1" x14ac:dyDescent="0.2">
      <c r="E16166" s="18"/>
      <c r="F16166" s="18"/>
    </row>
    <row r="16167" spans="5:6" ht="15" customHeight="1" x14ac:dyDescent="0.2">
      <c r="E16167" s="18"/>
      <c r="F16167" s="18"/>
    </row>
    <row r="16168" spans="5:6" ht="15" customHeight="1" x14ac:dyDescent="0.2">
      <c r="E16168" s="18"/>
      <c r="F16168" s="18"/>
    </row>
    <row r="16169" spans="5:6" ht="15" customHeight="1" x14ac:dyDescent="0.2">
      <c r="E16169" s="18"/>
      <c r="F16169" s="18"/>
    </row>
    <row r="16170" spans="5:6" ht="15" customHeight="1" x14ac:dyDescent="0.2">
      <c r="E16170" s="18"/>
      <c r="F16170" s="18"/>
    </row>
    <row r="16171" spans="5:6" ht="15" customHeight="1" x14ac:dyDescent="0.2">
      <c r="E16171" s="18"/>
      <c r="F16171" s="18"/>
    </row>
    <row r="16172" spans="5:6" ht="15" customHeight="1" x14ac:dyDescent="0.2">
      <c r="E16172" s="18"/>
      <c r="F16172" s="18"/>
    </row>
    <row r="16173" spans="5:6" ht="15" customHeight="1" x14ac:dyDescent="0.2">
      <c r="E16173" s="18"/>
      <c r="F16173" s="18"/>
    </row>
    <row r="16174" spans="5:6" ht="15" customHeight="1" x14ac:dyDescent="0.2">
      <c r="E16174" s="18"/>
      <c r="F16174" s="18"/>
    </row>
    <row r="16175" spans="5:6" ht="15" customHeight="1" x14ac:dyDescent="0.2">
      <c r="E16175" s="18"/>
      <c r="F16175" s="18"/>
    </row>
    <row r="16176" spans="5:6" ht="15" customHeight="1" x14ac:dyDescent="0.2">
      <c r="E16176" s="18"/>
      <c r="F16176" s="18"/>
    </row>
    <row r="16177" spans="5:6" ht="15" customHeight="1" x14ac:dyDescent="0.2">
      <c r="E16177" s="18"/>
      <c r="F16177" s="18"/>
    </row>
    <row r="16178" spans="5:6" ht="15" customHeight="1" x14ac:dyDescent="0.2">
      <c r="E16178" s="18"/>
      <c r="F16178" s="18"/>
    </row>
    <row r="16179" spans="5:6" ht="15" customHeight="1" x14ac:dyDescent="0.2">
      <c r="E16179" s="18"/>
      <c r="F16179" s="18"/>
    </row>
    <row r="16180" spans="5:6" ht="15" customHeight="1" x14ac:dyDescent="0.2">
      <c r="E16180" s="18"/>
      <c r="F16180" s="18"/>
    </row>
    <row r="16181" spans="5:6" ht="15" customHeight="1" x14ac:dyDescent="0.2">
      <c r="E16181" s="18"/>
      <c r="F16181" s="18"/>
    </row>
    <row r="16182" spans="5:6" ht="15" customHeight="1" x14ac:dyDescent="0.2">
      <c r="E16182" s="18"/>
      <c r="F16182" s="18"/>
    </row>
    <row r="16183" spans="5:6" ht="15" customHeight="1" x14ac:dyDescent="0.2">
      <c r="E16183" s="18"/>
      <c r="F16183" s="18"/>
    </row>
    <row r="16184" spans="5:6" ht="15" customHeight="1" x14ac:dyDescent="0.2">
      <c r="E16184" s="18"/>
      <c r="F16184" s="18"/>
    </row>
    <row r="16185" spans="5:6" ht="15" customHeight="1" x14ac:dyDescent="0.2">
      <c r="E16185" s="18"/>
      <c r="F16185" s="18"/>
    </row>
    <row r="16186" spans="5:6" ht="15" customHeight="1" x14ac:dyDescent="0.2">
      <c r="E16186" s="18"/>
      <c r="F16186" s="18"/>
    </row>
    <row r="16187" spans="5:6" ht="15" customHeight="1" x14ac:dyDescent="0.2">
      <c r="E16187" s="18"/>
      <c r="F16187" s="18"/>
    </row>
    <row r="16188" spans="5:6" ht="15" customHeight="1" x14ac:dyDescent="0.2">
      <c r="E16188" s="18"/>
      <c r="F16188" s="18"/>
    </row>
    <row r="16189" spans="5:6" ht="15" customHeight="1" x14ac:dyDescent="0.2">
      <c r="E16189" s="18"/>
      <c r="F16189" s="18"/>
    </row>
    <row r="16190" spans="5:6" ht="15" customHeight="1" x14ac:dyDescent="0.2">
      <c r="E16190" s="18"/>
      <c r="F16190" s="18"/>
    </row>
    <row r="16191" spans="5:6" ht="15" customHeight="1" x14ac:dyDescent="0.2">
      <c r="E16191" s="18"/>
      <c r="F16191" s="18"/>
    </row>
    <row r="16192" spans="5:6" ht="15" customHeight="1" x14ac:dyDescent="0.2">
      <c r="E16192" s="18"/>
      <c r="F16192" s="18"/>
    </row>
    <row r="16193" spans="5:6" ht="15" customHeight="1" x14ac:dyDescent="0.2">
      <c r="E16193" s="18"/>
      <c r="F16193" s="18"/>
    </row>
    <row r="16194" spans="5:6" ht="15" customHeight="1" x14ac:dyDescent="0.2">
      <c r="E16194" s="18"/>
      <c r="F16194" s="18"/>
    </row>
    <row r="16195" spans="5:6" ht="15" customHeight="1" x14ac:dyDescent="0.2">
      <c r="E16195" s="18"/>
      <c r="F16195" s="18"/>
    </row>
    <row r="16196" spans="5:6" ht="15" customHeight="1" x14ac:dyDescent="0.2">
      <c r="E16196" s="18"/>
      <c r="F16196" s="18"/>
    </row>
    <row r="16197" spans="5:6" ht="15" customHeight="1" x14ac:dyDescent="0.2">
      <c r="E16197" s="18"/>
      <c r="F16197" s="18"/>
    </row>
    <row r="16198" spans="5:6" ht="15" customHeight="1" x14ac:dyDescent="0.2">
      <c r="E16198" s="18"/>
      <c r="F16198" s="18"/>
    </row>
    <row r="16199" spans="5:6" ht="15" customHeight="1" x14ac:dyDescent="0.2">
      <c r="E16199" s="18"/>
      <c r="F16199" s="18"/>
    </row>
    <row r="16200" spans="5:6" ht="15" customHeight="1" x14ac:dyDescent="0.2">
      <c r="E16200" s="18"/>
      <c r="F16200" s="18"/>
    </row>
    <row r="16201" spans="5:6" ht="15" customHeight="1" x14ac:dyDescent="0.2">
      <c r="E16201" s="18"/>
      <c r="F16201" s="18"/>
    </row>
    <row r="16202" spans="5:6" ht="15" customHeight="1" x14ac:dyDescent="0.2">
      <c r="E16202" s="18"/>
      <c r="F16202" s="18"/>
    </row>
    <row r="16203" spans="5:6" ht="15" customHeight="1" x14ac:dyDescent="0.2">
      <c r="E16203" s="18"/>
      <c r="F16203" s="18"/>
    </row>
    <row r="16204" spans="5:6" ht="15" customHeight="1" x14ac:dyDescent="0.2">
      <c r="E16204" s="18"/>
      <c r="F16204" s="18"/>
    </row>
    <row r="16205" spans="5:6" ht="15" customHeight="1" x14ac:dyDescent="0.2">
      <c r="E16205" s="18"/>
      <c r="F16205" s="18"/>
    </row>
    <row r="16206" spans="5:6" ht="15" customHeight="1" x14ac:dyDescent="0.2">
      <c r="E16206" s="18"/>
      <c r="F16206" s="18"/>
    </row>
    <row r="16207" spans="5:6" ht="15" customHeight="1" x14ac:dyDescent="0.2">
      <c r="E16207" s="18"/>
      <c r="F16207" s="18"/>
    </row>
    <row r="16208" spans="5:6" ht="15" customHeight="1" x14ac:dyDescent="0.2">
      <c r="E16208" s="18"/>
      <c r="F16208" s="18"/>
    </row>
    <row r="16209" spans="5:6" ht="15" customHeight="1" x14ac:dyDescent="0.2">
      <c r="E16209" s="18"/>
      <c r="F16209" s="18"/>
    </row>
    <row r="16210" spans="5:6" ht="15" customHeight="1" x14ac:dyDescent="0.2">
      <c r="E16210" s="18"/>
      <c r="F16210" s="18"/>
    </row>
    <row r="16211" spans="5:6" ht="15" customHeight="1" x14ac:dyDescent="0.2">
      <c r="E16211" s="18"/>
      <c r="F16211" s="18"/>
    </row>
    <row r="16212" spans="5:6" ht="15" customHeight="1" x14ac:dyDescent="0.2">
      <c r="E16212" s="18"/>
      <c r="F16212" s="18"/>
    </row>
    <row r="16213" spans="5:6" ht="15" customHeight="1" x14ac:dyDescent="0.2">
      <c r="E16213" s="18"/>
      <c r="F16213" s="18"/>
    </row>
    <row r="16214" spans="5:6" ht="15" customHeight="1" x14ac:dyDescent="0.2">
      <c r="E16214" s="18"/>
      <c r="F16214" s="18"/>
    </row>
    <row r="16215" spans="5:6" ht="15" customHeight="1" x14ac:dyDescent="0.2">
      <c r="E16215" s="18"/>
      <c r="F16215" s="18"/>
    </row>
    <row r="16216" spans="5:6" ht="15" customHeight="1" x14ac:dyDescent="0.2">
      <c r="E16216" s="18"/>
      <c r="F16216" s="18"/>
    </row>
    <row r="16217" spans="5:6" ht="15" customHeight="1" x14ac:dyDescent="0.2">
      <c r="E16217" s="18"/>
      <c r="F16217" s="18"/>
    </row>
    <row r="16218" spans="5:6" ht="15" customHeight="1" x14ac:dyDescent="0.2">
      <c r="E16218" s="18"/>
      <c r="F16218" s="18"/>
    </row>
    <row r="16219" spans="5:6" ht="15" customHeight="1" x14ac:dyDescent="0.2">
      <c r="E16219" s="18"/>
      <c r="F16219" s="18"/>
    </row>
    <row r="16220" spans="5:6" ht="15" customHeight="1" x14ac:dyDescent="0.2">
      <c r="E16220" s="18"/>
      <c r="F16220" s="18"/>
    </row>
    <row r="16221" spans="5:6" ht="15" customHeight="1" x14ac:dyDescent="0.2">
      <c r="E16221" s="18"/>
      <c r="F16221" s="18"/>
    </row>
    <row r="16222" spans="5:6" ht="15" customHeight="1" x14ac:dyDescent="0.2">
      <c r="E16222" s="18"/>
      <c r="F16222" s="18"/>
    </row>
    <row r="16223" spans="5:6" ht="15" customHeight="1" x14ac:dyDescent="0.2">
      <c r="E16223" s="18"/>
      <c r="F16223" s="18"/>
    </row>
    <row r="16224" spans="5:6" ht="15" customHeight="1" x14ac:dyDescent="0.2">
      <c r="E16224" s="18"/>
      <c r="F16224" s="18"/>
    </row>
    <row r="16225" spans="5:6" ht="15" customHeight="1" x14ac:dyDescent="0.2">
      <c r="E16225" s="18"/>
      <c r="F16225" s="18"/>
    </row>
    <row r="16226" spans="5:6" ht="15" customHeight="1" x14ac:dyDescent="0.2">
      <c r="E16226" s="18"/>
      <c r="F16226" s="18"/>
    </row>
    <row r="16227" spans="5:6" ht="15" customHeight="1" x14ac:dyDescent="0.2">
      <c r="E16227" s="18"/>
      <c r="F16227" s="18"/>
    </row>
    <row r="16228" spans="5:6" ht="15" customHeight="1" x14ac:dyDescent="0.2">
      <c r="E16228" s="18"/>
      <c r="F16228" s="18"/>
    </row>
    <row r="16229" spans="5:6" ht="15" customHeight="1" x14ac:dyDescent="0.2">
      <c r="E16229" s="18"/>
      <c r="F16229" s="18"/>
    </row>
    <row r="16230" spans="5:6" ht="15" customHeight="1" x14ac:dyDescent="0.2">
      <c r="E16230" s="18"/>
      <c r="F16230" s="18"/>
    </row>
    <row r="16231" spans="5:6" ht="15" customHeight="1" x14ac:dyDescent="0.2">
      <c r="E16231" s="18"/>
      <c r="F16231" s="18"/>
    </row>
    <row r="16232" spans="5:6" ht="15" customHeight="1" x14ac:dyDescent="0.2">
      <c r="E16232" s="18"/>
      <c r="F16232" s="18"/>
    </row>
    <row r="16233" spans="5:6" ht="15" customHeight="1" x14ac:dyDescent="0.2">
      <c r="E16233" s="18"/>
      <c r="F16233" s="18"/>
    </row>
    <row r="16234" spans="5:6" ht="15" customHeight="1" x14ac:dyDescent="0.2">
      <c r="E16234" s="18"/>
      <c r="F16234" s="18"/>
    </row>
    <row r="16235" spans="5:6" ht="15" customHeight="1" x14ac:dyDescent="0.2">
      <c r="E16235" s="18"/>
      <c r="F16235" s="18"/>
    </row>
    <row r="16236" spans="5:6" ht="15" customHeight="1" x14ac:dyDescent="0.2">
      <c r="E16236" s="18"/>
      <c r="F16236" s="18"/>
    </row>
    <row r="16237" spans="5:6" ht="15" customHeight="1" x14ac:dyDescent="0.2">
      <c r="E16237" s="18"/>
      <c r="F16237" s="18"/>
    </row>
    <row r="16238" spans="5:6" ht="15" customHeight="1" x14ac:dyDescent="0.2">
      <c r="E16238" s="18"/>
      <c r="F16238" s="18"/>
    </row>
    <row r="16239" spans="5:6" ht="15" customHeight="1" x14ac:dyDescent="0.2">
      <c r="E16239" s="18"/>
      <c r="F16239" s="18"/>
    </row>
    <row r="16240" spans="5:6" ht="15" customHeight="1" x14ac:dyDescent="0.2">
      <c r="E16240" s="18"/>
      <c r="F16240" s="18"/>
    </row>
    <row r="16241" spans="5:6" ht="15" customHeight="1" x14ac:dyDescent="0.2">
      <c r="E16241" s="18"/>
      <c r="F16241" s="18"/>
    </row>
    <row r="16242" spans="5:6" ht="15" customHeight="1" x14ac:dyDescent="0.2">
      <c r="E16242" s="18"/>
      <c r="F16242" s="18"/>
    </row>
    <row r="16243" spans="5:6" ht="15" customHeight="1" x14ac:dyDescent="0.2">
      <c r="E16243" s="18"/>
      <c r="F16243" s="18"/>
    </row>
    <row r="16244" spans="5:6" ht="15" customHeight="1" x14ac:dyDescent="0.2">
      <c r="E16244" s="18"/>
      <c r="F16244" s="18"/>
    </row>
    <row r="16245" spans="5:6" ht="15" customHeight="1" x14ac:dyDescent="0.2">
      <c r="E16245" s="18"/>
      <c r="F16245" s="18"/>
    </row>
    <row r="16246" spans="5:6" ht="15" customHeight="1" x14ac:dyDescent="0.2">
      <c r="E16246" s="18"/>
      <c r="F16246" s="18"/>
    </row>
    <row r="16247" spans="5:6" ht="15" customHeight="1" x14ac:dyDescent="0.2">
      <c r="E16247" s="18"/>
      <c r="F16247" s="18"/>
    </row>
    <row r="16248" spans="5:6" ht="15" customHeight="1" x14ac:dyDescent="0.2">
      <c r="E16248" s="18"/>
      <c r="F16248" s="18"/>
    </row>
    <row r="16249" spans="5:6" ht="15" customHeight="1" x14ac:dyDescent="0.2">
      <c r="E16249" s="18"/>
      <c r="F16249" s="18"/>
    </row>
    <row r="16250" spans="5:6" ht="15" customHeight="1" x14ac:dyDescent="0.2">
      <c r="E16250" s="18"/>
      <c r="F16250" s="18"/>
    </row>
    <row r="16251" spans="5:6" ht="15" customHeight="1" x14ac:dyDescent="0.2">
      <c r="E16251" s="18"/>
      <c r="F16251" s="18"/>
    </row>
    <row r="16252" spans="5:6" ht="15" customHeight="1" x14ac:dyDescent="0.2">
      <c r="E16252" s="18"/>
      <c r="F16252" s="18"/>
    </row>
    <row r="16253" spans="5:6" ht="15" customHeight="1" x14ac:dyDescent="0.2">
      <c r="E16253" s="18"/>
      <c r="F16253" s="18"/>
    </row>
    <row r="16254" spans="5:6" ht="15" customHeight="1" x14ac:dyDescent="0.2">
      <c r="E16254" s="18"/>
      <c r="F16254" s="18"/>
    </row>
    <row r="16255" spans="5:6" ht="15" customHeight="1" x14ac:dyDescent="0.2">
      <c r="E16255" s="18"/>
      <c r="F16255" s="18"/>
    </row>
    <row r="16256" spans="5:6" ht="15" customHeight="1" x14ac:dyDescent="0.2">
      <c r="E16256" s="18"/>
      <c r="F16256" s="18"/>
    </row>
    <row r="16257" spans="5:6" ht="15" customHeight="1" x14ac:dyDescent="0.2">
      <c r="E16257" s="18"/>
      <c r="F16257" s="18"/>
    </row>
    <row r="16258" spans="5:6" ht="15" customHeight="1" x14ac:dyDescent="0.2">
      <c r="E16258" s="18"/>
      <c r="F16258" s="18"/>
    </row>
    <row r="16259" spans="5:6" ht="15" customHeight="1" x14ac:dyDescent="0.2">
      <c r="E16259" s="18"/>
      <c r="F16259" s="18"/>
    </row>
    <row r="16260" spans="5:6" ht="15" customHeight="1" x14ac:dyDescent="0.2">
      <c r="E16260" s="18"/>
      <c r="F16260" s="18"/>
    </row>
    <row r="16261" spans="5:6" ht="15" customHeight="1" x14ac:dyDescent="0.2">
      <c r="E16261" s="18"/>
      <c r="F16261" s="18"/>
    </row>
    <row r="16262" spans="5:6" ht="15" customHeight="1" x14ac:dyDescent="0.2">
      <c r="E16262" s="18"/>
      <c r="F16262" s="18"/>
    </row>
    <row r="16263" spans="5:6" ht="15" customHeight="1" x14ac:dyDescent="0.2">
      <c r="E16263" s="18"/>
      <c r="F16263" s="18"/>
    </row>
    <row r="16264" spans="5:6" ht="15" customHeight="1" x14ac:dyDescent="0.2">
      <c r="E16264" s="18"/>
      <c r="F16264" s="18"/>
    </row>
    <row r="16265" spans="5:6" ht="15" customHeight="1" x14ac:dyDescent="0.2">
      <c r="E16265" s="18"/>
      <c r="F16265" s="18"/>
    </row>
    <row r="16266" spans="5:6" ht="15" customHeight="1" x14ac:dyDescent="0.2">
      <c r="E16266" s="18"/>
      <c r="F16266" s="18"/>
    </row>
    <row r="16267" spans="5:6" ht="15" customHeight="1" x14ac:dyDescent="0.2">
      <c r="E16267" s="18"/>
      <c r="F16267" s="18"/>
    </row>
    <row r="16268" spans="5:6" ht="15" customHeight="1" x14ac:dyDescent="0.2">
      <c r="E16268" s="18"/>
      <c r="F16268" s="18"/>
    </row>
    <row r="16269" spans="5:6" ht="15" customHeight="1" x14ac:dyDescent="0.2">
      <c r="E16269" s="18"/>
      <c r="F16269" s="18"/>
    </row>
    <row r="16270" spans="5:6" ht="15" customHeight="1" x14ac:dyDescent="0.2">
      <c r="E16270" s="18"/>
      <c r="F16270" s="18"/>
    </row>
    <row r="16271" spans="5:6" ht="15" customHeight="1" x14ac:dyDescent="0.2">
      <c r="E16271" s="18"/>
      <c r="F16271" s="18"/>
    </row>
    <row r="16272" spans="5:6" ht="15" customHeight="1" x14ac:dyDescent="0.2">
      <c r="E16272" s="18"/>
      <c r="F16272" s="18"/>
    </row>
    <row r="16273" spans="5:6" ht="15" customHeight="1" x14ac:dyDescent="0.2">
      <c r="E16273" s="18"/>
      <c r="F16273" s="18"/>
    </row>
    <row r="16274" spans="5:6" ht="15" customHeight="1" x14ac:dyDescent="0.2">
      <c r="E16274" s="18"/>
      <c r="F16274" s="18"/>
    </row>
    <row r="16275" spans="5:6" ht="15" customHeight="1" x14ac:dyDescent="0.2">
      <c r="E16275" s="18"/>
      <c r="F16275" s="18"/>
    </row>
    <row r="16276" spans="5:6" ht="15" customHeight="1" x14ac:dyDescent="0.2">
      <c r="E16276" s="18"/>
      <c r="F16276" s="18"/>
    </row>
    <row r="16277" spans="5:6" ht="15" customHeight="1" x14ac:dyDescent="0.2">
      <c r="E16277" s="18"/>
      <c r="F16277" s="18"/>
    </row>
    <row r="16278" spans="5:6" ht="15" customHeight="1" x14ac:dyDescent="0.2">
      <c r="E16278" s="18"/>
      <c r="F16278" s="18"/>
    </row>
    <row r="16279" spans="5:6" ht="15" customHeight="1" x14ac:dyDescent="0.2">
      <c r="E16279" s="18"/>
      <c r="F16279" s="18"/>
    </row>
    <row r="16280" spans="5:6" ht="15" customHeight="1" x14ac:dyDescent="0.2">
      <c r="E16280" s="18"/>
      <c r="F16280" s="18"/>
    </row>
    <row r="16281" spans="5:6" ht="15" customHeight="1" x14ac:dyDescent="0.2">
      <c r="E16281" s="18"/>
      <c r="F16281" s="18"/>
    </row>
    <row r="16282" spans="5:6" ht="15" customHeight="1" x14ac:dyDescent="0.2">
      <c r="E16282" s="18"/>
      <c r="F16282" s="18"/>
    </row>
    <row r="16283" spans="5:6" ht="15" customHeight="1" x14ac:dyDescent="0.2">
      <c r="E16283" s="18"/>
      <c r="F16283" s="18"/>
    </row>
    <row r="16284" spans="5:6" ht="15" customHeight="1" x14ac:dyDescent="0.2">
      <c r="E16284" s="18"/>
      <c r="F16284" s="18"/>
    </row>
    <row r="16285" spans="5:6" ht="15" customHeight="1" x14ac:dyDescent="0.2">
      <c r="E16285" s="18"/>
      <c r="F16285" s="18"/>
    </row>
    <row r="16286" spans="5:6" ht="15" customHeight="1" x14ac:dyDescent="0.2">
      <c r="E16286" s="18"/>
      <c r="F16286" s="18"/>
    </row>
    <row r="16287" spans="5:6" ht="15" customHeight="1" x14ac:dyDescent="0.2">
      <c r="E16287" s="18"/>
      <c r="F16287" s="18"/>
    </row>
    <row r="16288" spans="5:6" ht="15" customHeight="1" x14ac:dyDescent="0.2">
      <c r="E16288" s="18"/>
      <c r="F16288" s="18"/>
    </row>
    <row r="16289" spans="5:6" ht="15" customHeight="1" x14ac:dyDescent="0.2">
      <c r="E16289" s="18"/>
      <c r="F16289" s="18"/>
    </row>
    <row r="16290" spans="5:6" ht="15" customHeight="1" x14ac:dyDescent="0.2">
      <c r="E16290" s="18"/>
      <c r="F16290" s="18"/>
    </row>
    <row r="16291" spans="5:6" ht="15" customHeight="1" x14ac:dyDescent="0.2">
      <c r="E16291" s="18"/>
      <c r="F16291" s="18"/>
    </row>
    <row r="16292" spans="5:6" ht="15" customHeight="1" x14ac:dyDescent="0.2">
      <c r="E16292" s="18"/>
      <c r="F16292" s="18"/>
    </row>
    <row r="16293" spans="5:6" ht="15" customHeight="1" x14ac:dyDescent="0.2">
      <c r="E16293" s="18"/>
      <c r="F16293" s="18"/>
    </row>
    <row r="16294" spans="5:6" ht="15" customHeight="1" x14ac:dyDescent="0.2">
      <c r="E16294" s="18"/>
      <c r="F16294" s="18"/>
    </row>
    <row r="16295" spans="5:6" ht="15" customHeight="1" x14ac:dyDescent="0.2">
      <c r="E16295" s="18"/>
      <c r="F16295" s="18"/>
    </row>
    <row r="16296" spans="5:6" ht="15" customHeight="1" x14ac:dyDescent="0.2">
      <c r="E16296" s="18"/>
      <c r="F16296" s="18"/>
    </row>
    <row r="16297" spans="5:6" ht="15" customHeight="1" x14ac:dyDescent="0.2">
      <c r="E16297" s="18"/>
      <c r="F16297" s="18"/>
    </row>
    <row r="16298" spans="5:6" ht="15" customHeight="1" x14ac:dyDescent="0.2">
      <c r="E16298" s="18"/>
      <c r="F16298" s="18"/>
    </row>
    <row r="16299" spans="5:6" ht="15" customHeight="1" x14ac:dyDescent="0.2">
      <c r="E16299" s="18"/>
      <c r="F16299" s="18"/>
    </row>
    <row r="16300" spans="5:6" ht="15" customHeight="1" x14ac:dyDescent="0.2">
      <c r="E16300" s="18"/>
      <c r="F16300" s="18"/>
    </row>
    <row r="16301" spans="5:6" ht="15" customHeight="1" x14ac:dyDescent="0.2">
      <c r="E16301" s="18"/>
      <c r="F16301" s="18"/>
    </row>
    <row r="16302" spans="5:6" ht="15" customHeight="1" x14ac:dyDescent="0.2">
      <c r="E16302" s="18"/>
      <c r="F16302" s="18"/>
    </row>
    <row r="16303" spans="5:6" ht="15" customHeight="1" x14ac:dyDescent="0.2">
      <c r="E16303" s="18"/>
      <c r="F16303" s="18"/>
    </row>
    <row r="16304" spans="5:6" ht="15" customHeight="1" x14ac:dyDescent="0.2">
      <c r="E16304" s="18"/>
      <c r="F16304" s="18"/>
    </row>
    <row r="16305" spans="5:6" ht="15" customHeight="1" x14ac:dyDescent="0.2">
      <c r="E16305" s="18"/>
      <c r="F16305" s="18"/>
    </row>
    <row r="16306" spans="5:6" ht="15" customHeight="1" x14ac:dyDescent="0.2">
      <c r="E16306" s="18"/>
      <c r="F16306" s="18"/>
    </row>
    <row r="16307" spans="5:6" ht="15" customHeight="1" x14ac:dyDescent="0.2">
      <c r="E16307" s="18"/>
      <c r="F16307" s="18"/>
    </row>
    <row r="16308" spans="5:6" ht="15" customHeight="1" x14ac:dyDescent="0.2">
      <c r="E16308" s="18"/>
      <c r="F16308" s="18"/>
    </row>
    <row r="16309" spans="5:6" ht="15" customHeight="1" x14ac:dyDescent="0.2">
      <c r="E16309" s="18"/>
      <c r="F16309" s="18"/>
    </row>
    <row r="16310" spans="5:6" ht="15" customHeight="1" x14ac:dyDescent="0.2">
      <c r="E16310" s="18"/>
      <c r="F16310" s="18"/>
    </row>
    <row r="16311" spans="5:6" ht="15" customHeight="1" x14ac:dyDescent="0.2">
      <c r="E16311" s="18"/>
      <c r="F16311" s="18"/>
    </row>
    <row r="16312" spans="5:6" ht="15" customHeight="1" x14ac:dyDescent="0.2">
      <c r="E16312" s="18"/>
      <c r="F16312" s="18"/>
    </row>
    <row r="16313" spans="5:6" ht="15" customHeight="1" x14ac:dyDescent="0.2">
      <c r="E16313" s="18"/>
      <c r="F16313" s="18"/>
    </row>
    <row r="16314" spans="5:6" ht="15" customHeight="1" x14ac:dyDescent="0.2">
      <c r="E16314" s="18"/>
      <c r="F16314" s="18"/>
    </row>
    <row r="16315" spans="5:6" ht="15" customHeight="1" x14ac:dyDescent="0.2">
      <c r="E16315" s="18"/>
      <c r="F16315" s="18"/>
    </row>
    <row r="16316" spans="5:6" ht="15" customHeight="1" x14ac:dyDescent="0.2">
      <c r="E16316" s="18"/>
      <c r="F16316" s="18"/>
    </row>
    <row r="16317" spans="5:6" ht="15" customHeight="1" x14ac:dyDescent="0.2">
      <c r="E16317" s="18"/>
      <c r="F16317" s="18"/>
    </row>
    <row r="16318" spans="5:6" ht="15" customHeight="1" x14ac:dyDescent="0.2">
      <c r="E16318" s="18"/>
      <c r="F16318" s="18"/>
    </row>
    <row r="16319" spans="5:6" ht="15" customHeight="1" x14ac:dyDescent="0.2">
      <c r="E16319" s="18"/>
      <c r="F16319" s="18"/>
    </row>
    <row r="16320" spans="5:6" ht="15" customHeight="1" x14ac:dyDescent="0.2">
      <c r="E16320" s="18"/>
      <c r="F16320" s="18"/>
    </row>
    <row r="16321" spans="5:6" ht="15" customHeight="1" x14ac:dyDescent="0.2">
      <c r="E16321" s="18"/>
      <c r="F16321" s="18"/>
    </row>
    <row r="16322" spans="5:6" ht="15" customHeight="1" x14ac:dyDescent="0.2">
      <c r="E16322" s="18"/>
      <c r="F16322" s="18"/>
    </row>
    <row r="16323" spans="5:6" ht="15" customHeight="1" x14ac:dyDescent="0.2">
      <c r="E16323" s="18"/>
      <c r="F16323" s="18"/>
    </row>
    <row r="16324" spans="5:6" ht="15" customHeight="1" x14ac:dyDescent="0.2">
      <c r="E16324" s="18"/>
      <c r="F16324" s="18"/>
    </row>
    <row r="16325" spans="5:6" ht="15" customHeight="1" x14ac:dyDescent="0.2">
      <c r="E16325" s="18"/>
      <c r="F16325" s="18"/>
    </row>
    <row r="16326" spans="5:6" ht="15" customHeight="1" x14ac:dyDescent="0.2">
      <c r="E16326" s="18"/>
      <c r="F16326" s="18"/>
    </row>
    <row r="16327" spans="5:6" ht="15" customHeight="1" x14ac:dyDescent="0.2">
      <c r="E16327" s="18"/>
      <c r="F16327" s="18"/>
    </row>
    <row r="16328" spans="5:6" ht="15" customHeight="1" x14ac:dyDescent="0.2">
      <c r="E16328" s="18"/>
      <c r="F16328" s="18"/>
    </row>
    <row r="16329" spans="5:6" ht="15" customHeight="1" x14ac:dyDescent="0.2">
      <c r="E16329" s="18"/>
      <c r="F16329" s="18"/>
    </row>
    <row r="16330" spans="5:6" ht="15" customHeight="1" x14ac:dyDescent="0.2">
      <c r="E16330" s="18"/>
      <c r="F16330" s="18"/>
    </row>
    <row r="16331" spans="5:6" ht="15" customHeight="1" x14ac:dyDescent="0.2">
      <c r="E16331" s="18"/>
      <c r="F16331" s="18"/>
    </row>
    <row r="16332" spans="5:6" ht="15" customHeight="1" x14ac:dyDescent="0.2">
      <c r="E16332" s="18"/>
      <c r="F16332" s="18"/>
    </row>
    <row r="16333" spans="5:6" ht="15" customHeight="1" x14ac:dyDescent="0.2">
      <c r="E16333" s="18"/>
      <c r="F16333" s="18"/>
    </row>
    <row r="16334" spans="5:6" ht="15" customHeight="1" x14ac:dyDescent="0.2">
      <c r="E16334" s="18"/>
      <c r="F16334" s="18"/>
    </row>
    <row r="16335" spans="5:6" ht="15" customHeight="1" x14ac:dyDescent="0.2">
      <c r="E16335" s="18"/>
      <c r="F16335" s="18"/>
    </row>
    <row r="16336" spans="5:6" ht="15" customHeight="1" x14ac:dyDescent="0.2">
      <c r="E16336" s="18"/>
      <c r="F16336" s="18"/>
    </row>
    <row r="16337" spans="5:6" ht="15" customHeight="1" x14ac:dyDescent="0.2">
      <c r="E16337" s="18"/>
      <c r="F16337" s="18"/>
    </row>
    <row r="16338" spans="5:6" ht="15" customHeight="1" x14ac:dyDescent="0.2">
      <c r="E16338" s="18"/>
      <c r="F16338" s="18"/>
    </row>
    <row r="16339" spans="5:6" ht="15" customHeight="1" x14ac:dyDescent="0.2">
      <c r="E16339" s="18"/>
      <c r="F16339" s="18"/>
    </row>
    <row r="16340" spans="5:6" ht="15" customHeight="1" x14ac:dyDescent="0.2">
      <c r="E16340" s="18"/>
      <c r="F16340" s="18"/>
    </row>
    <row r="16341" spans="5:6" ht="15" customHeight="1" x14ac:dyDescent="0.2">
      <c r="E16341" s="18"/>
      <c r="F16341" s="18"/>
    </row>
    <row r="16342" spans="5:6" ht="15" customHeight="1" x14ac:dyDescent="0.2">
      <c r="E16342" s="18"/>
      <c r="F16342" s="18"/>
    </row>
    <row r="16343" spans="5:6" ht="15" customHeight="1" x14ac:dyDescent="0.2">
      <c r="E16343" s="18"/>
      <c r="F16343" s="18"/>
    </row>
    <row r="16344" spans="5:6" ht="15" customHeight="1" x14ac:dyDescent="0.2">
      <c r="E16344" s="18"/>
      <c r="F16344" s="18"/>
    </row>
    <row r="16345" spans="5:6" ht="15" customHeight="1" x14ac:dyDescent="0.2">
      <c r="E16345" s="18"/>
      <c r="F16345" s="18"/>
    </row>
    <row r="16346" spans="5:6" ht="15" customHeight="1" x14ac:dyDescent="0.2">
      <c r="E16346" s="18"/>
      <c r="F16346" s="18"/>
    </row>
    <row r="16347" spans="5:6" ht="15" customHeight="1" x14ac:dyDescent="0.2">
      <c r="E16347" s="18"/>
      <c r="F16347" s="18"/>
    </row>
    <row r="16348" spans="5:6" ht="15" customHeight="1" x14ac:dyDescent="0.2">
      <c r="E16348" s="18"/>
      <c r="F16348" s="18"/>
    </row>
    <row r="16349" spans="5:6" ht="15" customHeight="1" x14ac:dyDescent="0.2">
      <c r="E16349" s="18"/>
      <c r="F16349" s="18"/>
    </row>
    <row r="16350" spans="5:6" ht="15" customHeight="1" x14ac:dyDescent="0.2">
      <c r="E16350" s="18"/>
      <c r="F16350" s="18"/>
    </row>
    <row r="16351" spans="5:6" ht="15" customHeight="1" x14ac:dyDescent="0.2">
      <c r="E16351" s="18"/>
      <c r="F16351" s="18"/>
    </row>
    <row r="16352" spans="5:6" ht="15" customHeight="1" x14ac:dyDescent="0.2">
      <c r="E16352" s="18"/>
      <c r="F16352" s="18"/>
    </row>
    <row r="16353" spans="5:6" ht="15" customHeight="1" x14ac:dyDescent="0.2">
      <c r="E16353" s="18"/>
      <c r="F16353" s="18"/>
    </row>
    <row r="16354" spans="5:6" ht="15" customHeight="1" x14ac:dyDescent="0.2">
      <c r="E16354" s="18"/>
      <c r="F16354" s="18"/>
    </row>
    <row r="16355" spans="5:6" ht="15" customHeight="1" x14ac:dyDescent="0.2">
      <c r="E16355" s="18"/>
      <c r="F16355" s="18"/>
    </row>
    <row r="16356" spans="5:6" ht="15" customHeight="1" x14ac:dyDescent="0.2">
      <c r="E16356" s="18"/>
      <c r="F16356" s="18"/>
    </row>
    <row r="16357" spans="5:6" ht="15" customHeight="1" x14ac:dyDescent="0.2">
      <c r="E16357" s="18"/>
      <c r="F16357" s="18"/>
    </row>
    <row r="16358" spans="5:6" ht="15" customHeight="1" x14ac:dyDescent="0.2">
      <c r="E16358" s="18"/>
      <c r="F16358" s="18"/>
    </row>
    <row r="16359" spans="5:6" ht="15" customHeight="1" x14ac:dyDescent="0.2">
      <c r="E16359" s="18"/>
      <c r="F16359" s="18"/>
    </row>
    <row r="16360" spans="5:6" ht="15" customHeight="1" x14ac:dyDescent="0.2">
      <c r="E16360" s="18"/>
      <c r="F16360" s="18"/>
    </row>
    <row r="16361" spans="5:6" ht="15" customHeight="1" x14ac:dyDescent="0.2">
      <c r="E16361" s="18"/>
      <c r="F16361" s="18"/>
    </row>
    <row r="16362" spans="5:6" ht="15" customHeight="1" x14ac:dyDescent="0.2">
      <c r="E16362" s="18"/>
      <c r="F16362" s="18"/>
    </row>
    <row r="16363" spans="5:6" ht="15" customHeight="1" x14ac:dyDescent="0.2">
      <c r="E16363" s="18"/>
      <c r="F16363" s="18"/>
    </row>
    <row r="16364" spans="5:6" ht="15" customHeight="1" x14ac:dyDescent="0.2">
      <c r="E16364" s="18"/>
      <c r="F16364" s="18"/>
    </row>
    <row r="16365" spans="5:6" ht="15" customHeight="1" x14ac:dyDescent="0.2">
      <c r="E16365" s="18"/>
      <c r="F16365" s="18"/>
    </row>
    <row r="16366" spans="5:6" ht="15" customHeight="1" x14ac:dyDescent="0.2">
      <c r="E16366" s="18"/>
      <c r="F16366" s="18"/>
    </row>
    <row r="16367" spans="5:6" ht="15" customHeight="1" x14ac:dyDescent="0.2">
      <c r="E16367" s="18"/>
      <c r="F16367" s="18"/>
    </row>
    <row r="16368" spans="5:6" ht="15" customHeight="1" x14ac:dyDescent="0.2">
      <c r="E16368" s="18"/>
      <c r="F16368" s="18"/>
    </row>
    <row r="16369" spans="5:6" ht="15" customHeight="1" x14ac:dyDescent="0.2">
      <c r="E16369" s="18"/>
      <c r="F16369" s="18"/>
    </row>
    <row r="16370" spans="5:6" ht="15" customHeight="1" x14ac:dyDescent="0.2">
      <c r="E16370" s="18"/>
      <c r="F16370" s="18"/>
    </row>
    <row r="16371" spans="5:6" ht="15" customHeight="1" x14ac:dyDescent="0.2">
      <c r="E16371" s="18"/>
      <c r="F16371" s="18"/>
    </row>
    <row r="16372" spans="5:6" ht="15" customHeight="1" x14ac:dyDescent="0.2">
      <c r="E16372" s="18"/>
      <c r="F16372" s="18"/>
    </row>
    <row r="16373" spans="5:6" ht="15" customHeight="1" x14ac:dyDescent="0.2">
      <c r="E16373" s="18"/>
      <c r="F16373" s="18"/>
    </row>
    <row r="16374" spans="5:6" ht="15" customHeight="1" x14ac:dyDescent="0.2">
      <c r="E16374" s="18"/>
      <c r="F16374" s="18"/>
    </row>
    <row r="16375" spans="5:6" ht="15" customHeight="1" x14ac:dyDescent="0.2">
      <c r="E16375" s="18"/>
      <c r="F16375" s="18"/>
    </row>
    <row r="16376" spans="5:6" ht="15" customHeight="1" x14ac:dyDescent="0.2">
      <c r="E16376" s="18"/>
      <c r="F16376" s="18"/>
    </row>
    <row r="16377" spans="5:6" ht="15" customHeight="1" x14ac:dyDescent="0.2">
      <c r="E16377" s="18"/>
      <c r="F16377" s="18"/>
    </row>
    <row r="16378" spans="5:6" ht="15" customHeight="1" x14ac:dyDescent="0.2">
      <c r="E16378" s="18"/>
      <c r="F16378" s="18"/>
    </row>
    <row r="16379" spans="5:6" ht="15" customHeight="1" x14ac:dyDescent="0.2">
      <c r="E16379" s="18"/>
      <c r="F16379" s="18"/>
    </row>
    <row r="16380" spans="5:6" ht="15" customHeight="1" x14ac:dyDescent="0.2">
      <c r="E16380" s="18"/>
      <c r="F16380" s="18"/>
    </row>
    <row r="16381" spans="5:6" ht="15" customHeight="1" x14ac:dyDescent="0.2">
      <c r="E16381" s="18"/>
      <c r="F16381" s="18"/>
    </row>
    <row r="16382" spans="5:6" ht="15" customHeight="1" x14ac:dyDescent="0.2">
      <c r="E16382" s="18"/>
      <c r="F16382" s="18"/>
    </row>
    <row r="16383" spans="5:6" ht="15" customHeight="1" x14ac:dyDescent="0.2">
      <c r="E16383" s="18"/>
      <c r="F16383" s="18"/>
    </row>
    <row r="16384" spans="5:6" ht="15" customHeight="1" x14ac:dyDescent="0.2">
      <c r="E16384" s="18"/>
      <c r="F16384" s="18"/>
    </row>
    <row r="16385" spans="5:6" ht="15" customHeight="1" x14ac:dyDescent="0.2">
      <c r="E16385" s="18"/>
      <c r="F16385" s="18"/>
    </row>
    <row r="16386" spans="5:6" ht="15" customHeight="1" x14ac:dyDescent="0.2">
      <c r="E16386" s="18"/>
      <c r="F16386" s="18"/>
    </row>
    <row r="16387" spans="5:6" ht="15" customHeight="1" x14ac:dyDescent="0.2">
      <c r="E16387" s="18"/>
      <c r="F16387" s="18"/>
    </row>
    <row r="16388" spans="5:6" ht="15" customHeight="1" x14ac:dyDescent="0.2">
      <c r="E16388" s="18"/>
      <c r="F16388" s="18"/>
    </row>
    <row r="16389" spans="5:6" ht="15" customHeight="1" x14ac:dyDescent="0.2">
      <c r="E16389" s="18"/>
      <c r="F16389" s="18"/>
    </row>
    <row r="16390" spans="5:6" ht="15" customHeight="1" x14ac:dyDescent="0.2">
      <c r="E16390" s="18"/>
      <c r="F16390" s="18"/>
    </row>
    <row r="16391" spans="5:6" ht="15" customHeight="1" x14ac:dyDescent="0.2">
      <c r="E16391" s="18"/>
      <c r="F16391" s="18"/>
    </row>
    <row r="16392" spans="5:6" ht="15" customHeight="1" x14ac:dyDescent="0.2">
      <c r="E16392" s="18"/>
      <c r="F16392" s="18"/>
    </row>
    <row r="16393" spans="5:6" ht="15" customHeight="1" x14ac:dyDescent="0.2">
      <c r="E16393" s="18"/>
      <c r="F16393" s="18"/>
    </row>
    <row r="16394" spans="5:6" ht="15" customHeight="1" x14ac:dyDescent="0.2">
      <c r="E16394" s="18"/>
      <c r="F16394" s="18"/>
    </row>
    <row r="16395" spans="5:6" ht="15" customHeight="1" x14ac:dyDescent="0.2">
      <c r="E16395" s="18"/>
      <c r="F16395" s="18"/>
    </row>
    <row r="16396" spans="5:6" ht="15" customHeight="1" x14ac:dyDescent="0.2">
      <c r="E16396" s="18"/>
      <c r="F16396" s="18"/>
    </row>
    <row r="16397" spans="5:6" ht="15" customHeight="1" x14ac:dyDescent="0.2">
      <c r="E16397" s="18"/>
      <c r="F16397" s="18"/>
    </row>
    <row r="16398" spans="5:6" ht="15" customHeight="1" x14ac:dyDescent="0.2">
      <c r="E16398" s="18"/>
      <c r="F16398" s="18"/>
    </row>
    <row r="16399" spans="5:6" ht="15" customHeight="1" x14ac:dyDescent="0.2">
      <c r="E16399" s="18"/>
      <c r="F16399" s="18"/>
    </row>
    <row r="16400" spans="5:6" ht="15" customHeight="1" x14ac:dyDescent="0.2">
      <c r="E16400" s="18"/>
      <c r="F16400" s="18"/>
    </row>
    <row r="16401" spans="5:6" ht="15" customHeight="1" x14ac:dyDescent="0.2">
      <c r="E16401" s="18"/>
      <c r="F16401" s="18"/>
    </row>
    <row r="16402" spans="5:6" ht="15" customHeight="1" x14ac:dyDescent="0.2">
      <c r="E16402" s="18"/>
      <c r="F16402" s="18"/>
    </row>
    <row r="16403" spans="5:6" ht="15" customHeight="1" x14ac:dyDescent="0.2">
      <c r="E16403" s="18"/>
      <c r="F16403" s="18"/>
    </row>
    <row r="16404" spans="5:6" ht="15" customHeight="1" x14ac:dyDescent="0.2">
      <c r="E16404" s="18"/>
      <c r="F16404" s="18"/>
    </row>
    <row r="16405" spans="5:6" ht="15" customHeight="1" x14ac:dyDescent="0.2">
      <c r="E16405" s="18"/>
      <c r="F16405" s="18"/>
    </row>
    <row r="16406" spans="5:6" ht="15" customHeight="1" x14ac:dyDescent="0.2">
      <c r="E16406" s="18"/>
      <c r="F16406" s="18"/>
    </row>
    <row r="16407" spans="5:6" ht="15" customHeight="1" x14ac:dyDescent="0.2">
      <c r="E16407" s="18"/>
      <c r="F16407" s="18"/>
    </row>
    <row r="16408" spans="5:6" ht="15" customHeight="1" x14ac:dyDescent="0.2">
      <c r="E16408" s="18"/>
      <c r="F16408" s="18"/>
    </row>
    <row r="16409" spans="5:6" ht="15" customHeight="1" x14ac:dyDescent="0.2">
      <c r="E16409" s="18"/>
      <c r="F16409" s="18"/>
    </row>
    <row r="16410" spans="5:6" ht="15" customHeight="1" x14ac:dyDescent="0.2">
      <c r="E16410" s="18"/>
      <c r="F16410" s="18"/>
    </row>
    <row r="16411" spans="5:6" ht="15" customHeight="1" x14ac:dyDescent="0.2">
      <c r="E16411" s="18"/>
      <c r="F16411" s="18"/>
    </row>
    <row r="16412" spans="5:6" ht="15" customHeight="1" x14ac:dyDescent="0.2">
      <c r="E16412" s="18"/>
      <c r="F16412" s="18"/>
    </row>
    <row r="16413" spans="5:6" ht="15" customHeight="1" x14ac:dyDescent="0.2">
      <c r="E16413" s="18"/>
      <c r="F16413" s="18"/>
    </row>
    <row r="16414" spans="5:6" ht="15" customHeight="1" x14ac:dyDescent="0.2">
      <c r="E16414" s="18"/>
      <c r="F16414" s="18"/>
    </row>
    <row r="16415" spans="5:6" ht="15" customHeight="1" x14ac:dyDescent="0.2">
      <c r="E16415" s="18"/>
      <c r="F16415" s="18"/>
    </row>
    <row r="16416" spans="5:6" ht="15" customHeight="1" x14ac:dyDescent="0.2">
      <c r="E16416" s="18"/>
      <c r="F16416" s="18"/>
    </row>
    <row r="16417" spans="5:6" ht="15" customHeight="1" x14ac:dyDescent="0.2">
      <c r="E16417" s="18"/>
      <c r="F16417" s="18"/>
    </row>
    <row r="16418" spans="5:6" ht="15" customHeight="1" x14ac:dyDescent="0.2">
      <c r="E16418" s="18"/>
      <c r="F16418" s="18"/>
    </row>
    <row r="16419" spans="5:6" ht="15" customHeight="1" x14ac:dyDescent="0.2">
      <c r="E16419" s="18"/>
      <c r="F16419" s="18"/>
    </row>
    <row r="16420" spans="5:6" ht="15" customHeight="1" x14ac:dyDescent="0.2">
      <c r="E16420" s="18"/>
      <c r="F16420" s="18"/>
    </row>
    <row r="16421" spans="5:6" ht="15" customHeight="1" x14ac:dyDescent="0.2">
      <c r="E16421" s="18"/>
      <c r="F16421" s="18"/>
    </row>
    <row r="16422" spans="5:6" ht="15" customHeight="1" x14ac:dyDescent="0.2">
      <c r="E16422" s="18"/>
      <c r="F16422" s="18"/>
    </row>
    <row r="16423" spans="5:6" ht="15" customHeight="1" x14ac:dyDescent="0.2">
      <c r="E16423" s="18"/>
      <c r="F16423" s="18"/>
    </row>
    <row r="16424" spans="5:6" ht="15" customHeight="1" x14ac:dyDescent="0.2">
      <c r="E16424" s="18"/>
      <c r="F16424" s="18"/>
    </row>
    <row r="16425" spans="5:6" ht="15" customHeight="1" x14ac:dyDescent="0.2">
      <c r="E16425" s="18"/>
      <c r="F16425" s="18"/>
    </row>
    <row r="16426" spans="5:6" ht="15" customHeight="1" x14ac:dyDescent="0.2">
      <c r="E16426" s="18"/>
      <c r="F16426" s="18"/>
    </row>
    <row r="16427" spans="5:6" ht="15" customHeight="1" x14ac:dyDescent="0.2">
      <c r="E16427" s="18"/>
      <c r="F16427" s="18"/>
    </row>
    <row r="16428" spans="5:6" ht="15" customHeight="1" x14ac:dyDescent="0.2">
      <c r="E16428" s="18"/>
      <c r="F16428" s="18"/>
    </row>
    <row r="16429" spans="5:6" ht="15" customHeight="1" x14ac:dyDescent="0.2">
      <c r="E16429" s="18"/>
      <c r="F16429" s="18"/>
    </row>
    <row r="16430" spans="5:6" ht="15" customHeight="1" x14ac:dyDescent="0.2">
      <c r="E16430" s="18"/>
      <c r="F16430" s="18"/>
    </row>
    <row r="16431" spans="5:6" ht="15" customHeight="1" x14ac:dyDescent="0.2">
      <c r="E16431" s="18"/>
      <c r="F16431" s="18"/>
    </row>
    <row r="16432" spans="5:6" ht="15" customHeight="1" x14ac:dyDescent="0.2">
      <c r="E16432" s="18"/>
      <c r="F16432" s="18"/>
    </row>
    <row r="16433" spans="5:6" ht="15" customHeight="1" x14ac:dyDescent="0.2">
      <c r="E16433" s="18"/>
      <c r="F16433" s="18"/>
    </row>
    <row r="16434" spans="5:6" ht="15" customHeight="1" x14ac:dyDescent="0.2">
      <c r="E16434" s="18"/>
      <c r="F16434" s="18"/>
    </row>
    <row r="16435" spans="5:6" ht="15" customHeight="1" x14ac:dyDescent="0.2">
      <c r="E16435" s="18"/>
      <c r="F16435" s="18"/>
    </row>
    <row r="16436" spans="5:6" ht="15" customHeight="1" x14ac:dyDescent="0.2">
      <c r="E16436" s="18"/>
      <c r="F16436" s="18"/>
    </row>
    <row r="16437" spans="5:6" ht="15" customHeight="1" x14ac:dyDescent="0.2">
      <c r="E16437" s="18"/>
      <c r="F16437" s="18"/>
    </row>
    <row r="16438" spans="5:6" ht="15" customHeight="1" x14ac:dyDescent="0.2">
      <c r="E16438" s="18"/>
      <c r="F16438" s="18"/>
    </row>
    <row r="16439" spans="5:6" ht="15" customHeight="1" x14ac:dyDescent="0.2">
      <c r="E16439" s="18"/>
      <c r="F16439" s="18"/>
    </row>
    <row r="16440" spans="5:6" ht="15" customHeight="1" x14ac:dyDescent="0.2">
      <c r="E16440" s="18"/>
      <c r="F16440" s="18"/>
    </row>
    <row r="16441" spans="5:6" ht="15" customHeight="1" x14ac:dyDescent="0.2">
      <c r="E16441" s="18"/>
      <c r="F16441" s="18"/>
    </row>
    <row r="16442" spans="5:6" ht="15" customHeight="1" x14ac:dyDescent="0.2">
      <c r="E16442" s="18"/>
      <c r="F16442" s="18"/>
    </row>
    <row r="16443" spans="5:6" ht="15" customHeight="1" x14ac:dyDescent="0.2">
      <c r="E16443" s="18"/>
      <c r="F16443" s="18"/>
    </row>
    <row r="16444" spans="5:6" ht="15" customHeight="1" x14ac:dyDescent="0.2">
      <c r="E16444" s="18"/>
      <c r="F16444" s="18"/>
    </row>
    <row r="16445" spans="5:6" ht="15" customHeight="1" x14ac:dyDescent="0.2">
      <c r="E16445" s="18"/>
      <c r="F16445" s="18"/>
    </row>
    <row r="16446" spans="5:6" ht="15" customHeight="1" x14ac:dyDescent="0.2">
      <c r="E16446" s="18"/>
      <c r="F16446" s="18"/>
    </row>
    <row r="16447" spans="5:6" ht="15" customHeight="1" x14ac:dyDescent="0.2">
      <c r="E16447" s="18"/>
      <c r="F16447" s="18"/>
    </row>
    <row r="16448" spans="5:6" ht="15" customHeight="1" x14ac:dyDescent="0.2">
      <c r="E16448" s="18"/>
      <c r="F16448" s="18"/>
    </row>
    <row r="16449" spans="5:6" ht="15" customHeight="1" x14ac:dyDescent="0.2">
      <c r="E16449" s="18"/>
      <c r="F16449" s="18"/>
    </row>
    <row r="16450" spans="5:6" ht="15" customHeight="1" x14ac:dyDescent="0.2">
      <c r="E16450" s="18"/>
      <c r="F16450" s="18"/>
    </row>
    <row r="16451" spans="5:6" ht="15" customHeight="1" x14ac:dyDescent="0.2">
      <c r="E16451" s="18"/>
      <c r="F16451" s="18"/>
    </row>
    <row r="16452" spans="5:6" ht="15" customHeight="1" x14ac:dyDescent="0.2">
      <c r="E16452" s="18"/>
      <c r="F16452" s="18"/>
    </row>
    <row r="16453" spans="5:6" ht="15" customHeight="1" x14ac:dyDescent="0.2">
      <c r="E16453" s="18"/>
      <c r="F16453" s="18"/>
    </row>
    <row r="16454" spans="5:6" ht="15" customHeight="1" x14ac:dyDescent="0.2">
      <c r="E16454" s="18"/>
      <c r="F16454" s="18"/>
    </row>
    <row r="16455" spans="5:6" ht="15" customHeight="1" x14ac:dyDescent="0.2">
      <c r="E16455" s="18"/>
      <c r="F16455" s="18"/>
    </row>
    <row r="16456" spans="5:6" ht="15" customHeight="1" x14ac:dyDescent="0.2">
      <c r="E16456" s="18"/>
      <c r="F16456" s="18"/>
    </row>
    <row r="16457" spans="5:6" ht="15" customHeight="1" x14ac:dyDescent="0.2">
      <c r="E16457" s="18"/>
      <c r="F16457" s="18"/>
    </row>
    <row r="16458" spans="5:6" ht="15" customHeight="1" x14ac:dyDescent="0.2">
      <c r="E16458" s="18"/>
      <c r="F16458" s="18"/>
    </row>
    <row r="16459" spans="5:6" ht="15" customHeight="1" x14ac:dyDescent="0.2">
      <c r="E16459" s="18"/>
      <c r="F16459" s="18"/>
    </row>
    <row r="16460" spans="5:6" ht="15" customHeight="1" x14ac:dyDescent="0.2">
      <c r="E16460" s="18"/>
      <c r="F16460" s="18"/>
    </row>
    <row r="16461" spans="5:6" ht="15" customHeight="1" x14ac:dyDescent="0.2">
      <c r="E16461" s="18"/>
      <c r="F16461" s="18"/>
    </row>
    <row r="16462" spans="5:6" ht="15" customHeight="1" x14ac:dyDescent="0.2">
      <c r="E16462" s="18"/>
      <c r="F16462" s="18"/>
    </row>
    <row r="16463" spans="5:6" ht="15" customHeight="1" x14ac:dyDescent="0.2">
      <c r="E16463" s="18"/>
      <c r="F16463" s="18"/>
    </row>
    <row r="16464" spans="5:6" ht="15" customHeight="1" x14ac:dyDescent="0.2">
      <c r="E16464" s="18"/>
      <c r="F16464" s="18"/>
    </row>
    <row r="16465" spans="5:6" ht="15" customHeight="1" x14ac:dyDescent="0.2">
      <c r="E16465" s="18"/>
      <c r="F16465" s="18"/>
    </row>
    <row r="16466" spans="5:6" ht="15" customHeight="1" x14ac:dyDescent="0.2">
      <c r="E16466" s="18"/>
      <c r="F16466" s="18"/>
    </row>
    <row r="16467" spans="5:6" ht="15" customHeight="1" x14ac:dyDescent="0.2">
      <c r="E16467" s="18"/>
      <c r="F16467" s="18"/>
    </row>
    <row r="16468" spans="5:6" ht="15" customHeight="1" x14ac:dyDescent="0.2">
      <c r="E16468" s="18"/>
      <c r="F16468" s="18"/>
    </row>
    <row r="16469" spans="5:6" ht="15" customHeight="1" x14ac:dyDescent="0.2">
      <c r="E16469" s="18"/>
      <c r="F16469" s="18"/>
    </row>
    <row r="16470" spans="5:6" ht="15" customHeight="1" x14ac:dyDescent="0.2">
      <c r="E16470" s="18"/>
      <c r="F16470" s="18"/>
    </row>
    <row r="16471" spans="5:6" ht="15" customHeight="1" x14ac:dyDescent="0.2">
      <c r="E16471" s="18"/>
      <c r="F16471" s="18"/>
    </row>
    <row r="16472" spans="5:6" ht="15" customHeight="1" x14ac:dyDescent="0.2">
      <c r="E16472" s="18"/>
      <c r="F16472" s="18"/>
    </row>
    <row r="16473" spans="5:6" ht="15" customHeight="1" x14ac:dyDescent="0.2">
      <c r="E16473" s="18"/>
      <c r="F16473" s="18"/>
    </row>
    <row r="16474" spans="5:6" ht="15" customHeight="1" x14ac:dyDescent="0.2">
      <c r="E16474" s="18"/>
      <c r="F16474" s="18"/>
    </row>
    <row r="16475" spans="5:6" ht="15" customHeight="1" x14ac:dyDescent="0.2">
      <c r="E16475" s="18"/>
      <c r="F16475" s="18"/>
    </row>
    <row r="16476" spans="5:6" ht="15" customHeight="1" x14ac:dyDescent="0.2">
      <c r="E16476" s="18"/>
      <c r="F16476" s="18"/>
    </row>
    <row r="16477" spans="5:6" ht="15" customHeight="1" x14ac:dyDescent="0.2">
      <c r="E16477" s="18"/>
      <c r="F16477" s="18"/>
    </row>
    <row r="16478" spans="5:6" ht="15" customHeight="1" x14ac:dyDescent="0.2">
      <c r="E16478" s="18"/>
      <c r="F16478" s="18"/>
    </row>
    <row r="16479" spans="5:6" ht="15" customHeight="1" x14ac:dyDescent="0.2">
      <c r="E16479" s="18"/>
      <c r="F16479" s="18"/>
    </row>
    <row r="16480" spans="5:6" ht="15" customHeight="1" x14ac:dyDescent="0.2">
      <c r="E16480" s="18"/>
      <c r="F16480" s="18"/>
    </row>
    <row r="16481" spans="5:6" ht="15" customHeight="1" x14ac:dyDescent="0.2">
      <c r="E16481" s="18"/>
      <c r="F16481" s="18"/>
    </row>
    <row r="16482" spans="5:6" ht="15" customHeight="1" x14ac:dyDescent="0.2">
      <c r="E16482" s="18"/>
      <c r="F16482" s="18"/>
    </row>
    <row r="16483" spans="5:6" ht="15" customHeight="1" x14ac:dyDescent="0.2">
      <c r="E16483" s="18"/>
      <c r="F16483" s="18"/>
    </row>
    <row r="16484" spans="5:6" ht="15" customHeight="1" x14ac:dyDescent="0.2">
      <c r="E16484" s="18"/>
      <c r="F16484" s="18"/>
    </row>
    <row r="16485" spans="5:6" ht="15" customHeight="1" x14ac:dyDescent="0.2">
      <c r="E16485" s="18"/>
      <c r="F16485" s="18"/>
    </row>
    <row r="16486" spans="5:6" ht="15" customHeight="1" x14ac:dyDescent="0.2">
      <c r="E16486" s="18"/>
      <c r="F16486" s="18"/>
    </row>
    <row r="16487" spans="5:6" ht="15" customHeight="1" x14ac:dyDescent="0.2">
      <c r="E16487" s="18"/>
      <c r="F16487" s="18"/>
    </row>
    <row r="16488" spans="5:6" ht="15" customHeight="1" x14ac:dyDescent="0.2">
      <c r="E16488" s="18"/>
      <c r="F16488" s="18"/>
    </row>
    <row r="16489" spans="5:6" ht="15" customHeight="1" x14ac:dyDescent="0.2">
      <c r="E16489" s="18"/>
      <c r="F16489" s="18"/>
    </row>
    <row r="16490" spans="5:6" ht="15" customHeight="1" x14ac:dyDescent="0.2">
      <c r="E16490" s="18"/>
      <c r="F16490" s="18"/>
    </row>
    <row r="16491" spans="5:6" ht="15" customHeight="1" x14ac:dyDescent="0.2">
      <c r="E16491" s="18"/>
      <c r="F16491" s="18"/>
    </row>
    <row r="16492" spans="5:6" ht="15" customHeight="1" x14ac:dyDescent="0.2">
      <c r="E16492" s="18"/>
      <c r="F16492" s="18"/>
    </row>
    <row r="16493" spans="5:6" ht="15" customHeight="1" x14ac:dyDescent="0.2">
      <c r="E16493" s="18"/>
      <c r="F16493" s="18"/>
    </row>
    <row r="16494" spans="5:6" ht="15" customHeight="1" x14ac:dyDescent="0.2">
      <c r="E16494" s="18"/>
      <c r="F16494" s="18"/>
    </row>
    <row r="16495" spans="5:6" ht="15" customHeight="1" x14ac:dyDescent="0.2">
      <c r="E16495" s="18"/>
      <c r="F16495" s="18"/>
    </row>
    <row r="16496" spans="5:6" ht="15" customHeight="1" x14ac:dyDescent="0.2">
      <c r="E16496" s="18"/>
      <c r="F16496" s="18"/>
    </row>
    <row r="16497" spans="5:6" ht="15" customHeight="1" x14ac:dyDescent="0.2">
      <c r="E16497" s="18"/>
      <c r="F16497" s="18"/>
    </row>
    <row r="16498" spans="5:6" ht="15" customHeight="1" x14ac:dyDescent="0.2">
      <c r="E16498" s="18"/>
      <c r="F16498" s="18"/>
    </row>
    <row r="16499" spans="5:6" ht="15" customHeight="1" x14ac:dyDescent="0.2">
      <c r="E16499" s="18"/>
      <c r="F16499" s="18"/>
    </row>
    <row r="16500" spans="5:6" ht="15" customHeight="1" x14ac:dyDescent="0.2">
      <c r="E16500" s="18"/>
      <c r="F16500" s="18"/>
    </row>
    <row r="16501" spans="5:6" ht="15" customHeight="1" x14ac:dyDescent="0.2">
      <c r="E16501" s="18"/>
      <c r="F16501" s="18"/>
    </row>
    <row r="16502" spans="5:6" ht="15" customHeight="1" x14ac:dyDescent="0.2">
      <c r="E16502" s="18"/>
      <c r="F16502" s="18"/>
    </row>
    <row r="16503" spans="5:6" ht="15" customHeight="1" x14ac:dyDescent="0.2">
      <c r="E16503" s="18"/>
      <c r="F16503" s="18"/>
    </row>
    <row r="16504" spans="5:6" ht="15" customHeight="1" x14ac:dyDescent="0.2">
      <c r="E16504" s="18"/>
      <c r="F16504" s="18"/>
    </row>
    <row r="16505" spans="5:6" ht="15" customHeight="1" x14ac:dyDescent="0.2">
      <c r="E16505" s="18"/>
      <c r="F16505" s="18"/>
    </row>
    <row r="16506" spans="5:6" ht="15" customHeight="1" x14ac:dyDescent="0.2">
      <c r="E16506" s="18"/>
      <c r="F16506" s="18"/>
    </row>
    <row r="16507" spans="5:6" ht="15" customHeight="1" x14ac:dyDescent="0.2">
      <c r="E16507" s="18"/>
      <c r="F16507" s="18"/>
    </row>
    <row r="16508" spans="5:6" ht="15" customHeight="1" x14ac:dyDescent="0.2">
      <c r="E16508" s="18"/>
      <c r="F16508" s="18"/>
    </row>
    <row r="16509" spans="5:6" ht="15" customHeight="1" x14ac:dyDescent="0.2">
      <c r="E16509" s="18"/>
      <c r="F16509" s="18"/>
    </row>
    <row r="16510" spans="5:6" ht="15" customHeight="1" x14ac:dyDescent="0.2">
      <c r="E16510" s="18"/>
      <c r="F16510" s="18"/>
    </row>
    <row r="16511" spans="5:6" ht="15" customHeight="1" x14ac:dyDescent="0.2">
      <c r="E16511" s="18"/>
      <c r="F16511" s="18"/>
    </row>
    <row r="16512" spans="5:6" ht="15" customHeight="1" x14ac:dyDescent="0.2">
      <c r="E16512" s="18"/>
      <c r="F16512" s="18"/>
    </row>
    <row r="16513" spans="5:6" ht="15" customHeight="1" x14ac:dyDescent="0.2">
      <c r="E16513" s="18"/>
      <c r="F16513" s="18"/>
    </row>
    <row r="16514" spans="5:6" ht="15" customHeight="1" x14ac:dyDescent="0.2">
      <c r="E16514" s="18"/>
      <c r="F16514" s="18"/>
    </row>
    <row r="16515" spans="5:6" ht="15" customHeight="1" x14ac:dyDescent="0.2">
      <c r="E16515" s="18"/>
      <c r="F16515" s="18"/>
    </row>
    <row r="16516" spans="5:6" ht="15" customHeight="1" x14ac:dyDescent="0.2">
      <c r="E16516" s="18"/>
      <c r="F16516" s="18"/>
    </row>
    <row r="16517" spans="5:6" ht="15" customHeight="1" x14ac:dyDescent="0.2">
      <c r="E16517" s="18"/>
      <c r="F16517" s="18"/>
    </row>
    <row r="16518" spans="5:6" ht="15" customHeight="1" x14ac:dyDescent="0.2">
      <c r="E16518" s="18"/>
      <c r="F16518" s="18"/>
    </row>
    <row r="16519" spans="5:6" ht="15" customHeight="1" x14ac:dyDescent="0.2">
      <c r="E16519" s="18"/>
      <c r="F16519" s="18"/>
    </row>
    <row r="16520" spans="5:6" ht="15" customHeight="1" x14ac:dyDescent="0.2">
      <c r="E16520" s="18"/>
      <c r="F16520" s="18"/>
    </row>
    <row r="16521" spans="5:6" ht="15" customHeight="1" x14ac:dyDescent="0.2">
      <c r="E16521" s="18"/>
      <c r="F16521" s="18"/>
    </row>
    <row r="16522" spans="5:6" ht="15" customHeight="1" x14ac:dyDescent="0.2">
      <c r="E16522" s="18"/>
      <c r="F16522" s="18"/>
    </row>
    <row r="16523" spans="5:6" ht="15" customHeight="1" x14ac:dyDescent="0.2">
      <c r="E16523" s="18"/>
      <c r="F16523" s="18"/>
    </row>
    <row r="16524" spans="5:6" ht="15" customHeight="1" x14ac:dyDescent="0.2">
      <c r="E16524" s="18"/>
      <c r="F16524" s="18"/>
    </row>
    <row r="16525" spans="5:6" ht="15" customHeight="1" x14ac:dyDescent="0.2">
      <c r="E16525" s="18"/>
      <c r="F16525" s="18"/>
    </row>
    <row r="16526" spans="5:6" ht="15" customHeight="1" x14ac:dyDescent="0.2">
      <c r="E16526" s="18"/>
      <c r="F16526" s="18"/>
    </row>
    <row r="16527" spans="5:6" ht="15" customHeight="1" x14ac:dyDescent="0.2">
      <c r="E16527" s="18"/>
      <c r="F16527" s="18"/>
    </row>
    <row r="16528" spans="5:6" ht="15" customHeight="1" x14ac:dyDescent="0.2">
      <c r="E16528" s="18"/>
      <c r="F16528" s="18"/>
    </row>
    <row r="16529" spans="5:6" ht="15" customHeight="1" x14ac:dyDescent="0.2">
      <c r="E16529" s="18"/>
      <c r="F16529" s="18"/>
    </row>
    <row r="16530" spans="5:6" ht="15" customHeight="1" x14ac:dyDescent="0.2">
      <c r="E16530" s="18"/>
      <c r="F16530" s="18"/>
    </row>
    <row r="16531" spans="5:6" ht="15" customHeight="1" x14ac:dyDescent="0.2">
      <c r="E16531" s="18"/>
      <c r="F16531" s="18"/>
    </row>
    <row r="16532" spans="5:6" ht="15" customHeight="1" x14ac:dyDescent="0.2">
      <c r="E16532" s="18"/>
      <c r="F16532" s="18"/>
    </row>
    <row r="16533" spans="5:6" ht="15" customHeight="1" x14ac:dyDescent="0.2">
      <c r="E16533" s="18"/>
      <c r="F16533" s="18"/>
    </row>
    <row r="16534" spans="5:6" ht="15" customHeight="1" x14ac:dyDescent="0.2">
      <c r="E16534" s="18"/>
      <c r="F16534" s="18"/>
    </row>
    <row r="16535" spans="5:6" ht="15" customHeight="1" x14ac:dyDescent="0.2">
      <c r="E16535" s="18"/>
      <c r="F16535" s="18"/>
    </row>
    <row r="16536" spans="5:6" ht="15" customHeight="1" x14ac:dyDescent="0.2">
      <c r="E16536" s="18"/>
      <c r="F16536" s="18"/>
    </row>
    <row r="16537" spans="5:6" ht="15" customHeight="1" x14ac:dyDescent="0.2">
      <c r="E16537" s="18"/>
      <c r="F16537" s="18"/>
    </row>
    <row r="16538" spans="5:6" ht="15" customHeight="1" x14ac:dyDescent="0.2">
      <c r="E16538" s="18"/>
      <c r="F16538" s="18"/>
    </row>
    <row r="16539" spans="5:6" ht="15" customHeight="1" x14ac:dyDescent="0.2">
      <c r="E16539" s="18"/>
      <c r="F16539" s="18"/>
    </row>
    <row r="16540" spans="5:6" ht="15" customHeight="1" x14ac:dyDescent="0.2">
      <c r="E16540" s="18"/>
      <c r="F16540" s="18"/>
    </row>
    <row r="16541" spans="5:6" ht="15" customHeight="1" x14ac:dyDescent="0.2">
      <c r="E16541" s="18"/>
      <c r="F16541" s="18"/>
    </row>
    <row r="16542" spans="5:6" ht="15" customHeight="1" x14ac:dyDescent="0.2">
      <c r="E16542" s="18"/>
      <c r="F16542" s="18"/>
    </row>
    <row r="16543" spans="5:6" ht="15" customHeight="1" x14ac:dyDescent="0.2">
      <c r="E16543" s="18"/>
      <c r="F16543" s="18"/>
    </row>
    <row r="16544" spans="5:6" ht="15" customHeight="1" x14ac:dyDescent="0.2">
      <c r="E16544" s="18"/>
      <c r="F16544" s="18"/>
    </row>
    <row r="16545" spans="5:6" ht="15" customHeight="1" x14ac:dyDescent="0.2">
      <c r="E16545" s="18"/>
      <c r="F16545" s="18"/>
    </row>
    <row r="16546" spans="5:6" ht="15" customHeight="1" x14ac:dyDescent="0.2">
      <c r="E16546" s="18"/>
      <c r="F16546" s="18"/>
    </row>
    <row r="16547" spans="5:6" ht="15" customHeight="1" x14ac:dyDescent="0.2">
      <c r="E16547" s="18"/>
      <c r="F16547" s="18"/>
    </row>
    <row r="16548" spans="5:6" ht="15" customHeight="1" x14ac:dyDescent="0.2">
      <c r="E16548" s="18"/>
      <c r="F16548" s="18"/>
    </row>
    <row r="16549" spans="5:6" ht="15" customHeight="1" x14ac:dyDescent="0.2">
      <c r="E16549" s="18"/>
      <c r="F16549" s="18"/>
    </row>
    <row r="16550" spans="5:6" ht="15" customHeight="1" x14ac:dyDescent="0.2">
      <c r="E16550" s="18"/>
      <c r="F16550" s="18"/>
    </row>
    <row r="16551" spans="5:6" ht="15" customHeight="1" x14ac:dyDescent="0.2">
      <c r="E16551" s="18"/>
      <c r="F16551" s="18"/>
    </row>
    <row r="16552" spans="5:6" ht="15" customHeight="1" x14ac:dyDescent="0.2">
      <c r="E16552" s="18"/>
      <c r="F16552" s="18"/>
    </row>
    <row r="16553" spans="5:6" ht="15" customHeight="1" x14ac:dyDescent="0.2">
      <c r="E16553" s="18"/>
      <c r="F16553" s="18"/>
    </row>
    <row r="16554" spans="5:6" ht="15" customHeight="1" x14ac:dyDescent="0.2">
      <c r="E16554" s="18"/>
      <c r="F16554" s="18"/>
    </row>
    <row r="16555" spans="5:6" ht="15" customHeight="1" x14ac:dyDescent="0.2">
      <c r="E16555" s="18"/>
      <c r="F16555" s="18"/>
    </row>
    <row r="16556" spans="5:6" ht="15" customHeight="1" x14ac:dyDescent="0.2">
      <c r="E16556" s="18"/>
      <c r="F16556" s="18"/>
    </row>
    <row r="16557" spans="5:6" ht="15" customHeight="1" x14ac:dyDescent="0.2">
      <c r="E16557" s="18"/>
      <c r="F16557" s="18"/>
    </row>
    <row r="16558" spans="5:6" ht="15" customHeight="1" x14ac:dyDescent="0.2">
      <c r="E16558" s="18"/>
      <c r="F16558" s="18"/>
    </row>
    <row r="16559" spans="5:6" ht="15" customHeight="1" x14ac:dyDescent="0.2">
      <c r="E16559" s="18"/>
      <c r="F16559" s="18"/>
    </row>
    <row r="16560" spans="5:6" ht="15" customHeight="1" x14ac:dyDescent="0.2">
      <c r="E16560" s="18"/>
      <c r="F16560" s="18"/>
    </row>
    <row r="16561" spans="5:6" ht="15" customHeight="1" x14ac:dyDescent="0.2">
      <c r="E16561" s="18"/>
      <c r="F16561" s="18"/>
    </row>
    <row r="16562" spans="5:6" ht="15" customHeight="1" x14ac:dyDescent="0.2">
      <c r="E16562" s="18"/>
      <c r="F16562" s="18"/>
    </row>
    <row r="16563" spans="5:6" ht="15" customHeight="1" x14ac:dyDescent="0.2">
      <c r="E16563" s="18"/>
      <c r="F16563" s="18"/>
    </row>
    <row r="16564" spans="5:6" ht="15" customHeight="1" x14ac:dyDescent="0.2">
      <c r="E16564" s="18"/>
      <c r="F16564" s="18"/>
    </row>
    <row r="16565" spans="5:6" ht="15" customHeight="1" x14ac:dyDescent="0.2">
      <c r="E16565" s="18"/>
      <c r="F16565" s="18"/>
    </row>
    <row r="16566" spans="5:6" ht="15" customHeight="1" x14ac:dyDescent="0.2">
      <c r="E16566" s="18"/>
      <c r="F16566" s="18"/>
    </row>
    <row r="16567" spans="5:6" ht="15" customHeight="1" x14ac:dyDescent="0.2">
      <c r="E16567" s="18"/>
      <c r="F16567" s="18"/>
    </row>
    <row r="16568" spans="5:6" ht="15" customHeight="1" x14ac:dyDescent="0.2">
      <c r="E16568" s="18"/>
      <c r="F16568" s="18"/>
    </row>
    <row r="16569" spans="5:6" ht="15" customHeight="1" x14ac:dyDescent="0.2">
      <c r="E16569" s="18"/>
      <c r="F16569" s="18"/>
    </row>
    <row r="16570" spans="5:6" ht="15" customHeight="1" x14ac:dyDescent="0.2">
      <c r="E16570" s="18"/>
      <c r="F16570" s="18"/>
    </row>
    <row r="16571" spans="5:6" ht="15" customHeight="1" x14ac:dyDescent="0.2">
      <c r="E16571" s="18"/>
      <c r="F16571" s="18"/>
    </row>
    <row r="16572" spans="5:6" ht="15" customHeight="1" x14ac:dyDescent="0.2">
      <c r="E16572" s="18"/>
      <c r="F16572" s="18"/>
    </row>
    <row r="16573" spans="5:6" ht="15" customHeight="1" x14ac:dyDescent="0.2">
      <c r="E16573" s="18"/>
      <c r="F16573" s="18"/>
    </row>
    <row r="16574" spans="5:6" ht="15" customHeight="1" x14ac:dyDescent="0.2">
      <c r="E16574" s="18"/>
      <c r="F16574" s="18"/>
    </row>
    <row r="16575" spans="5:6" ht="15" customHeight="1" x14ac:dyDescent="0.2">
      <c r="E16575" s="18"/>
      <c r="F16575" s="18"/>
    </row>
    <row r="16576" spans="5:6" ht="15" customHeight="1" x14ac:dyDescent="0.2">
      <c r="E16576" s="18"/>
      <c r="F16576" s="18"/>
    </row>
    <row r="16577" spans="5:6" ht="15" customHeight="1" x14ac:dyDescent="0.2">
      <c r="E16577" s="18"/>
      <c r="F16577" s="18"/>
    </row>
    <row r="16578" spans="5:6" ht="15" customHeight="1" x14ac:dyDescent="0.2">
      <c r="E16578" s="18"/>
      <c r="F16578" s="18"/>
    </row>
    <row r="16579" spans="5:6" ht="15" customHeight="1" x14ac:dyDescent="0.2">
      <c r="E16579" s="18"/>
      <c r="F16579" s="18"/>
    </row>
    <row r="16580" spans="5:6" ht="15" customHeight="1" x14ac:dyDescent="0.2">
      <c r="E16580" s="18"/>
      <c r="F16580" s="18"/>
    </row>
    <row r="16581" spans="5:6" ht="15" customHeight="1" x14ac:dyDescent="0.2">
      <c r="E16581" s="18"/>
      <c r="F16581" s="18"/>
    </row>
    <row r="16582" spans="5:6" ht="15" customHeight="1" x14ac:dyDescent="0.2">
      <c r="E16582" s="18"/>
      <c r="F16582" s="18"/>
    </row>
    <row r="16583" spans="5:6" ht="15" customHeight="1" x14ac:dyDescent="0.2">
      <c r="E16583" s="18"/>
      <c r="F16583" s="18"/>
    </row>
    <row r="16584" spans="5:6" ht="15" customHeight="1" x14ac:dyDescent="0.2">
      <c r="E16584" s="18"/>
      <c r="F16584" s="18"/>
    </row>
    <row r="16585" spans="5:6" ht="15" customHeight="1" x14ac:dyDescent="0.2">
      <c r="E16585" s="18"/>
      <c r="F16585" s="18"/>
    </row>
    <row r="16586" spans="5:6" ht="15" customHeight="1" x14ac:dyDescent="0.2">
      <c r="E16586" s="18"/>
      <c r="F16586" s="18"/>
    </row>
    <row r="16587" spans="5:6" ht="15" customHeight="1" x14ac:dyDescent="0.2">
      <c r="E16587" s="18"/>
      <c r="F16587" s="18"/>
    </row>
    <row r="16588" spans="5:6" ht="15" customHeight="1" x14ac:dyDescent="0.2">
      <c r="E16588" s="18"/>
      <c r="F16588" s="18"/>
    </row>
    <row r="16589" spans="5:6" ht="15" customHeight="1" x14ac:dyDescent="0.2">
      <c r="E16589" s="18"/>
      <c r="F16589" s="18"/>
    </row>
    <row r="16590" spans="5:6" ht="15" customHeight="1" x14ac:dyDescent="0.2">
      <c r="E16590" s="18"/>
      <c r="F16590" s="18"/>
    </row>
    <row r="16591" spans="5:6" ht="15" customHeight="1" x14ac:dyDescent="0.2">
      <c r="E16591" s="18"/>
      <c r="F16591" s="18"/>
    </row>
    <row r="16592" spans="5:6" ht="15" customHeight="1" x14ac:dyDescent="0.2">
      <c r="E16592" s="18"/>
      <c r="F16592" s="18"/>
    </row>
    <row r="16593" spans="5:6" ht="15" customHeight="1" x14ac:dyDescent="0.2">
      <c r="E16593" s="18"/>
      <c r="F16593" s="18"/>
    </row>
    <row r="16594" spans="5:6" ht="15" customHeight="1" x14ac:dyDescent="0.2">
      <c r="E16594" s="18"/>
      <c r="F16594" s="18"/>
    </row>
    <row r="16595" spans="5:6" ht="15" customHeight="1" x14ac:dyDescent="0.2">
      <c r="E16595" s="18"/>
      <c r="F16595" s="18"/>
    </row>
    <row r="16596" spans="5:6" ht="15" customHeight="1" x14ac:dyDescent="0.2">
      <c r="E16596" s="18"/>
      <c r="F16596" s="18"/>
    </row>
    <row r="16597" spans="5:6" ht="15" customHeight="1" x14ac:dyDescent="0.2">
      <c r="E16597" s="18"/>
      <c r="F16597" s="18"/>
    </row>
    <row r="16598" spans="5:6" ht="15" customHeight="1" x14ac:dyDescent="0.2">
      <c r="E16598" s="18"/>
      <c r="F16598" s="18"/>
    </row>
    <row r="16599" spans="5:6" ht="15" customHeight="1" x14ac:dyDescent="0.2">
      <c r="E16599" s="18"/>
      <c r="F16599" s="18"/>
    </row>
    <row r="16600" spans="5:6" ht="15" customHeight="1" x14ac:dyDescent="0.2">
      <c r="E16600" s="18"/>
      <c r="F16600" s="18"/>
    </row>
    <row r="16601" spans="5:6" ht="15" customHeight="1" x14ac:dyDescent="0.2">
      <c r="E16601" s="18"/>
      <c r="F16601" s="18"/>
    </row>
    <row r="16602" spans="5:6" ht="15" customHeight="1" x14ac:dyDescent="0.2">
      <c r="E16602" s="18"/>
      <c r="F16602" s="18"/>
    </row>
    <row r="16603" spans="5:6" ht="15" customHeight="1" x14ac:dyDescent="0.2">
      <c r="E16603" s="18"/>
      <c r="F16603" s="18"/>
    </row>
    <row r="16604" spans="5:6" ht="15" customHeight="1" x14ac:dyDescent="0.2">
      <c r="E16604" s="18"/>
      <c r="F16604" s="18"/>
    </row>
    <row r="16605" spans="5:6" ht="15" customHeight="1" x14ac:dyDescent="0.2">
      <c r="E16605" s="18"/>
      <c r="F16605" s="18"/>
    </row>
    <row r="16606" spans="5:6" ht="15" customHeight="1" x14ac:dyDescent="0.2">
      <c r="E16606" s="18"/>
      <c r="F16606" s="18"/>
    </row>
    <row r="16607" spans="5:6" ht="15" customHeight="1" x14ac:dyDescent="0.2">
      <c r="E16607" s="18"/>
      <c r="F16607" s="18"/>
    </row>
    <row r="16608" spans="5:6" ht="15" customHeight="1" x14ac:dyDescent="0.2">
      <c r="E16608" s="18"/>
      <c r="F16608" s="18"/>
    </row>
    <row r="16609" spans="5:6" ht="15" customHeight="1" x14ac:dyDescent="0.2">
      <c r="E16609" s="18"/>
      <c r="F16609" s="18"/>
    </row>
    <row r="16610" spans="5:6" ht="15" customHeight="1" x14ac:dyDescent="0.2">
      <c r="E16610" s="18"/>
      <c r="F16610" s="18"/>
    </row>
    <row r="16611" spans="5:6" ht="15" customHeight="1" x14ac:dyDescent="0.2">
      <c r="E16611" s="18"/>
      <c r="F16611" s="18"/>
    </row>
    <row r="16612" spans="5:6" ht="15" customHeight="1" x14ac:dyDescent="0.2">
      <c r="E16612" s="18"/>
      <c r="F16612" s="18"/>
    </row>
    <row r="16613" spans="5:6" ht="15" customHeight="1" x14ac:dyDescent="0.2">
      <c r="E16613" s="18"/>
      <c r="F16613" s="18"/>
    </row>
    <row r="16614" spans="5:6" ht="15" customHeight="1" x14ac:dyDescent="0.2">
      <c r="E16614" s="18"/>
      <c r="F16614" s="18"/>
    </row>
    <row r="16615" spans="5:6" ht="15" customHeight="1" x14ac:dyDescent="0.2">
      <c r="E16615" s="18"/>
      <c r="F16615" s="18"/>
    </row>
    <row r="16616" spans="5:6" ht="15" customHeight="1" x14ac:dyDescent="0.2">
      <c r="E16616" s="18"/>
      <c r="F16616" s="18"/>
    </row>
    <row r="16617" spans="5:6" ht="15" customHeight="1" x14ac:dyDescent="0.2">
      <c r="E16617" s="18"/>
      <c r="F16617" s="18"/>
    </row>
    <row r="16618" spans="5:6" ht="15" customHeight="1" x14ac:dyDescent="0.2">
      <c r="E16618" s="18"/>
      <c r="F16618" s="18"/>
    </row>
    <row r="16619" spans="5:6" ht="15" customHeight="1" x14ac:dyDescent="0.2">
      <c r="E16619" s="18"/>
      <c r="F16619" s="18"/>
    </row>
    <row r="16620" spans="5:6" ht="15" customHeight="1" x14ac:dyDescent="0.2">
      <c r="E16620" s="18"/>
      <c r="F16620" s="18"/>
    </row>
    <row r="16621" spans="5:6" ht="15" customHeight="1" x14ac:dyDescent="0.2">
      <c r="E16621" s="18"/>
      <c r="F16621" s="18"/>
    </row>
    <row r="16622" spans="5:6" ht="15" customHeight="1" x14ac:dyDescent="0.2">
      <c r="E16622" s="18"/>
      <c r="F16622" s="18"/>
    </row>
    <row r="16623" spans="5:6" ht="15" customHeight="1" x14ac:dyDescent="0.2">
      <c r="E16623" s="18"/>
      <c r="F16623" s="18"/>
    </row>
    <row r="16624" spans="5:6" ht="15" customHeight="1" x14ac:dyDescent="0.2">
      <c r="E16624" s="18"/>
      <c r="F16624" s="18"/>
    </row>
    <row r="16625" spans="5:6" ht="15" customHeight="1" x14ac:dyDescent="0.2">
      <c r="E16625" s="18"/>
      <c r="F16625" s="18"/>
    </row>
    <row r="16626" spans="5:6" ht="15" customHeight="1" x14ac:dyDescent="0.2">
      <c r="E16626" s="18"/>
      <c r="F16626" s="18"/>
    </row>
    <row r="16627" spans="5:6" ht="15" customHeight="1" x14ac:dyDescent="0.2">
      <c r="E16627" s="18"/>
      <c r="F16627" s="18"/>
    </row>
    <row r="16628" spans="5:6" ht="15" customHeight="1" x14ac:dyDescent="0.2">
      <c r="E16628" s="18"/>
      <c r="F16628" s="18"/>
    </row>
    <row r="16629" spans="5:6" ht="15" customHeight="1" x14ac:dyDescent="0.2">
      <c r="E16629" s="18"/>
      <c r="F16629" s="18"/>
    </row>
    <row r="16630" spans="5:6" ht="15" customHeight="1" x14ac:dyDescent="0.2">
      <c r="E16630" s="18"/>
      <c r="F16630" s="18"/>
    </row>
    <row r="16631" spans="5:6" ht="15" customHeight="1" x14ac:dyDescent="0.2">
      <c r="E16631" s="18"/>
      <c r="F16631" s="18"/>
    </row>
    <row r="16632" spans="5:6" ht="15" customHeight="1" x14ac:dyDescent="0.2">
      <c r="E16632" s="18"/>
      <c r="F16632" s="18"/>
    </row>
    <row r="16633" spans="5:6" ht="15" customHeight="1" x14ac:dyDescent="0.2">
      <c r="E16633" s="18"/>
      <c r="F16633" s="18"/>
    </row>
    <row r="16634" spans="5:6" ht="15" customHeight="1" x14ac:dyDescent="0.2">
      <c r="E16634" s="18"/>
      <c r="F16634" s="18"/>
    </row>
    <row r="16635" spans="5:6" ht="15" customHeight="1" x14ac:dyDescent="0.2">
      <c r="E16635" s="18"/>
      <c r="F16635" s="18"/>
    </row>
    <row r="16636" spans="5:6" ht="15" customHeight="1" x14ac:dyDescent="0.2">
      <c r="E16636" s="18"/>
      <c r="F16636" s="18"/>
    </row>
    <row r="16637" spans="5:6" ht="15" customHeight="1" x14ac:dyDescent="0.2">
      <c r="E16637" s="18"/>
      <c r="F16637" s="18"/>
    </row>
    <row r="16638" spans="5:6" ht="15" customHeight="1" x14ac:dyDescent="0.2">
      <c r="E16638" s="18"/>
      <c r="F16638" s="18"/>
    </row>
    <row r="16639" spans="5:6" ht="15" customHeight="1" x14ac:dyDescent="0.2">
      <c r="E16639" s="18"/>
      <c r="F16639" s="18"/>
    </row>
    <row r="16640" spans="5:6" ht="15" customHeight="1" x14ac:dyDescent="0.2">
      <c r="E16640" s="18"/>
      <c r="F16640" s="18"/>
    </row>
    <row r="16641" spans="5:6" ht="15" customHeight="1" x14ac:dyDescent="0.2">
      <c r="E16641" s="18"/>
      <c r="F16641" s="18"/>
    </row>
    <row r="16642" spans="5:6" ht="15" customHeight="1" x14ac:dyDescent="0.2">
      <c r="E16642" s="18"/>
      <c r="F16642" s="18"/>
    </row>
    <row r="16643" spans="5:6" ht="15" customHeight="1" x14ac:dyDescent="0.2">
      <c r="E16643" s="18"/>
      <c r="F16643" s="18"/>
    </row>
    <row r="16644" spans="5:6" ht="15" customHeight="1" x14ac:dyDescent="0.2">
      <c r="E16644" s="18"/>
      <c r="F16644" s="18"/>
    </row>
    <row r="16645" spans="5:6" ht="15" customHeight="1" x14ac:dyDescent="0.2">
      <c r="E16645" s="18"/>
      <c r="F16645" s="18"/>
    </row>
    <row r="16646" spans="5:6" ht="15" customHeight="1" x14ac:dyDescent="0.2">
      <c r="E16646" s="18"/>
      <c r="F16646" s="18"/>
    </row>
    <row r="16647" spans="5:6" ht="15" customHeight="1" x14ac:dyDescent="0.2">
      <c r="E16647" s="18"/>
      <c r="F16647" s="18"/>
    </row>
    <row r="16648" spans="5:6" ht="15" customHeight="1" x14ac:dyDescent="0.2">
      <c r="E16648" s="18"/>
      <c r="F16648" s="18"/>
    </row>
    <row r="16649" spans="5:6" ht="15" customHeight="1" x14ac:dyDescent="0.2">
      <c r="E16649" s="18"/>
      <c r="F16649" s="18"/>
    </row>
    <row r="16650" spans="5:6" ht="15" customHeight="1" x14ac:dyDescent="0.2">
      <c r="E16650" s="18"/>
      <c r="F16650" s="18"/>
    </row>
    <row r="16651" spans="5:6" ht="15" customHeight="1" x14ac:dyDescent="0.2">
      <c r="E16651" s="18"/>
      <c r="F16651" s="18"/>
    </row>
    <row r="16652" spans="5:6" ht="15" customHeight="1" x14ac:dyDescent="0.2">
      <c r="E16652" s="18"/>
      <c r="F16652" s="18"/>
    </row>
    <row r="16653" spans="5:6" ht="15" customHeight="1" x14ac:dyDescent="0.2">
      <c r="E16653" s="18"/>
      <c r="F16653" s="18"/>
    </row>
    <row r="16654" spans="5:6" ht="15" customHeight="1" x14ac:dyDescent="0.2">
      <c r="E16654" s="18"/>
      <c r="F16654" s="18"/>
    </row>
    <row r="16655" spans="5:6" ht="15" customHeight="1" x14ac:dyDescent="0.2">
      <c r="E16655" s="18"/>
      <c r="F16655" s="18"/>
    </row>
    <row r="16656" spans="5:6" ht="15" customHeight="1" x14ac:dyDescent="0.2">
      <c r="E16656" s="18"/>
      <c r="F16656" s="18"/>
    </row>
    <row r="16657" spans="5:6" ht="15" customHeight="1" x14ac:dyDescent="0.2">
      <c r="E16657" s="18"/>
      <c r="F16657" s="18"/>
    </row>
    <row r="16658" spans="5:6" ht="15" customHeight="1" x14ac:dyDescent="0.2">
      <c r="E16658" s="18"/>
      <c r="F16658" s="18"/>
    </row>
    <row r="16659" spans="5:6" ht="15" customHeight="1" x14ac:dyDescent="0.2">
      <c r="E16659" s="18"/>
      <c r="F16659" s="18"/>
    </row>
    <row r="16660" spans="5:6" ht="15" customHeight="1" x14ac:dyDescent="0.2">
      <c r="E16660" s="18"/>
      <c r="F16660" s="18"/>
    </row>
    <row r="16661" spans="5:6" ht="15" customHeight="1" x14ac:dyDescent="0.2">
      <c r="E16661" s="18"/>
      <c r="F16661" s="18"/>
    </row>
    <row r="16662" spans="5:6" ht="15" customHeight="1" x14ac:dyDescent="0.2">
      <c r="E16662" s="18"/>
      <c r="F16662" s="18"/>
    </row>
    <row r="16663" spans="5:6" ht="15" customHeight="1" x14ac:dyDescent="0.2">
      <c r="E16663" s="18"/>
      <c r="F16663" s="18"/>
    </row>
    <row r="16664" spans="5:6" ht="15" customHeight="1" x14ac:dyDescent="0.2">
      <c r="E16664" s="18"/>
      <c r="F16664" s="18"/>
    </row>
    <row r="16665" spans="5:6" ht="15" customHeight="1" x14ac:dyDescent="0.2">
      <c r="E16665" s="18"/>
      <c r="F16665" s="18"/>
    </row>
    <row r="16666" spans="5:6" ht="15" customHeight="1" x14ac:dyDescent="0.2">
      <c r="E16666" s="18"/>
      <c r="F16666" s="18"/>
    </row>
    <row r="16667" spans="5:6" ht="15" customHeight="1" x14ac:dyDescent="0.2">
      <c r="E16667" s="18"/>
      <c r="F16667" s="18"/>
    </row>
    <row r="16668" spans="5:6" ht="15" customHeight="1" x14ac:dyDescent="0.2">
      <c r="E16668" s="18"/>
      <c r="F16668" s="18"/>
    </row>
    <row r="16669" spans="5:6" ht="15" customHeight="1" x14ac:dyDescent="0.2">
      <c r="E16669" s="18"/>
      <c r="F16669" s="18"/>
    </row>
    <row r="16670" spans="5:6" ht="15" customHeight="1" x14ac:dyDescent="0.2">
      <c r="E16670" s="18"/>
      <c r="F16670" s="18"/>
    </row>
    <row r="16671" spans="5:6" ht="15" customHeight="1" x14ac:dyDescent="0.2">
      <c r="E16671" s="18"/>
      <c r="F16671" s="18"/>
    </row>
    <row r="16672" spans="5:6" ht="15" customHeight="1" x14ac:dyDescent="0.2">
      <c r="E16672" s="18"/>
      <c r="F16672" s="18"/>
    </row>
    <row r="16673" spans="5:6" ht="15" customHeight="1" x14ac:dyDescent="0.2">
      <c r="E16673" s="18"/>
      <c r="F16673" s="18"/>
    </row>
    <row r="16674" spans="5:6" ht="15" customHeight="1" x14ac:dyDescent="0.2">
      <c r="E16674" s="18"/>
      <c r="F16674" s="18"/>
    </row>
    <row r="16675" spans="5:6" ht="15" customHeight="1" x14ac:dyDescent="0.2">
      <c r="E16675" s="18"/>
      <c r="F16675" s="18"/>
    </row>
    <row r="16676" spans="5:6" ht="15" customHeight="1" x14ac:dyDescent="0.2">
      <c r="E16676" s="18"/>
      <c r="F16676" s="18"/>
    </row>
    <row r="16677" spans="5:6" ht="15" customHeight="1" x14ac:dyDescent="0.2">
      <c r="E16677" s="18"/>
      <c r="F16677" s="18"/>
    </row>
    <row r="16678" spans="5:6" ht="15" customHeight="1" x14ac:dyDescent="0.2">
      <c r="E16678" s="18"/>
      <c r="F16678" s="18"/>
    </row>
    <row r="16679" spans="5:6" ht="15" customHeight="1" x14ac:dyDescent="0.2">
      <c r="E16679" s="18"/>
      <c r="F16679" s="18"/>
    </row>
    <row r="16680" spans="5:6" ht="15" customHeight="1" x14ac:dyDescent="0.2">
      <c r="E16680" s="18"/>
      <c r="F16680" s="18"/>
    </row>
    <row r="16681" spans="5:6" ht="15" customHeight="1" x14ac:dyDescent="0.2">
      <c r="E16681" s="18"/>
      <c r="F16681" s="18"/>
    </row>
    <row r="16682" spans="5:6" ht="15" customHeight="1" x14ac:dyDescent="0.2">
      <c r="E16682" s="18"/>
      <c r="F16682" s="18"/>
    </row>
    <row r="16683" spans="5:6" ht="15" customHeight="1" x14ac:dyDescent="0.2">
      <c r="E16683" s="18"/>
      <c r="F16683" s="18"/>
    </row>
    <row r="16684" spans="5:6" ht="15" customHeight="1" x14ac:dyDescent="0.2">
      <c r="E16684" s="18"/>
      <c r="F16684" s="18"/>
    </row>
    <row r="16685" spans="5:6" ht="15" customHeight="1" x14ac:dyDescent="0.2">
      <c r="E16685" s="18"/>
      <c r="F16685" s="18"/>
    </row>
    <row r="16686" spans="5:6" ht="15" customHeight="1" x14ac:dyDescent="0.2">
      <c r="E16686" s="18"/>
      <c r="F16686" s="18"/>
    </row>
    <row r="16687" spans="5:6" ht="15" customHeight="1" x14ac:dyDescent="0.2">
      <c r="E16687" s="18"/>
      <c r="F16687" s="18"/>
    </row>
    <row r="16688" spans="5:6" ht="15" customHeight="1" x14ac:dyDescent="0.2">
      <c r="E16688" s="18"/>
      <c r="F16688" s="18"/>
    </row>
    <row r="16689" spans="5:6" ht="15" customHeight="1" x14ac:dyDescent="0.2">
      <c r="E16689" s="18"/>
      <c r="F16689" s="18"/>
    </row>
    <row r="16690" spans="5:6" ht="15" customHeight="1" x14ac:dyDescent="0.2">
      <c r="E16690" s="18"/>
      <c r="F16690" s="18"/>
    </row>
    <row r="16691" spans="5:6" ht="15" customHeight="1" x14ac:dyDescent="0.2">
      <c r="E16691" s="18"/>
      <c r="F16691" s="18"/>
    </row>
    <row r="16692" spans="5:6" ht="15" customHeight="1" x14ac:dyDescent="0.2">
      <c r="E16692" s="18"/>
      <c r="F16692" s="18"/>
    </row>
    <row r="16693" spans="5:6" ht="15" customHeight="1" x14ac:dyDescent="0.2">
      <c r="E16693" s="18"/>
      <c r="F16693" s="18"/>
    </row>
    <row r="16694" spans="5:6" ht="15" customHeight="1" x14ac:dyDescent="0.2">
      <c r="E16694" s="18"/>
      <c r="F16694" s="18"/>
    </row>
    <row r="16695" spans="5:6" ht="15" customHeight="1" x14ac:dyDescent="0.2">
      <c r="E16695" s="18"/>
      <c r="F16695" s="18"/>
    </row>
    <row r="16696" spans="5:6" ht="15" customHeight="1" x14ac:dyDescent="0.2">
      <c r="E16696" s="18"/>
      <c r="F16696" s="18"/>
    </row>
    <row r="16697" spans="5:6" ht="15" customHeight="1" x14ac:dyDescent="0.2">
      <c r="E16697" s="18"/>
      <c r="F16697" s="18"/>
    </row>
    <row r="16698" spans="5:6" ht="15" customHeight="1" x14ac:dyDescent="0.2">
      <c r="E16698" s="18"/>
      <c r="F16698" s="18"/>
    </row>
    <row r="16699" spans="5:6" ht="15" customHeight="1" x14ac:dyDescent="0.2">
      <c r="E16699" s="18"/>
      <c r="F16699" s="18"/>
    </row>
    <row r="16700" spans="5:6" ht="15" customHeight="1" x14ac:dyDescent="0.2">
      <c r="E16700" s="18"/>
      <c r="F16700" s="18"/>
    </row>
    <row r="16701" spans="5:6" ht="15" customHeight="1" x14ac:dyDescent="0.2">
      <c r="E16701" s="18"/>
      <c r="F16701" s="18"/>
    </row>
    <row r="16702" spans="5:6" ht="15" customHeight="1" x14ac:dyDescent="0.2">
      <c r="E16702" s="18"/>
      <c r="F16702" s="18"/>
    </row>
    <row r="16703" spans="5:6" ht="15" customHeight="1" x14ac:dyDescent="0.2">
      <c r="E16703" s="18"/>
      <c r="F16703" s="18"/>
    </row>
    <row r="16704" spans="5:6" ht="15" customHeight="1" x14ac:dyDescent="0.2">
      <c r="E16704" s="18"/>
      <c r="F16704" s="18"/>
    </row>
    <row r="16705" spans="5:6" ht="15" customHeight="1" x14ac:dyDescent="0.2">
      <c r="E16705" s="18"/>
      <c r="F16705" s="18"/>
    </row>
    <row r="16706" spans="5:6" ht="15" customHeight="1" x14ac:dyDescent="0.2">
      <c r="E16706" s="18"/>
      <c r="F16706" s="18"/>
    </row>
    <row r="16707" spans="5:6" ht="15" customHeight="1" x14ac:dyDescent="0.2">
      <c r="E16707" s="18"/>
      <c r="F16707" s="18"/>
    </row>
    <row r="16708" spans="5:6" ht="15" customHeight="1" x14ac:dyDescent="0.2">
      <c r="E16708" s="18"/>
      <c r="F16708" s="18"/>
    </row>
    <row r="16709" spans="5:6" ht="15" customHeight="1" x14ac:dyDescent="0.2">
      <c r="E16709" s="18"/>
      <c r="F16709" s="18"/>
    </row>
    <row r="16710" spans="5:6" ht="15" customHeight="1" x14ac:dyDescent="0.2">
      <c r="E16710" s="18"/>
      <c r="F16710" s="18"/>
    </row>
    <row r="16711" spans="5:6" ht="15" customHeight="1" x14ac:dyDescent="0.2">
      <c r="E16711" s="18"/>
      <c r="F16711" s="18"/>
    </row>
    <row r="16712" spans="5:6" ht="15" customHeight="1" x14ac:dyDescent="0.2">
      <c r="E16712" s="18"/>
      <c r="F16712" s="18"/>
    </row>
    <row r="16713" spans="5:6" ht="15" customHeight="1" x14ac:dyDescent="0.2">
      <c r="E16713" s="18"/>
      <c r="F16713" s="18"/>
    </row>
    <row r="16714" spans="5:6" ht="15" customHeight="1" x14ac:dyDescent="0.2">
      <c r="E16714" s="18"/>
      <c r="F16714" s="18"/>
    </row>
    <row r="16715" spans="5:6" ht="15" customHeight="1" x14ac:dyDescent="0.2">
      <c r="E16715" s="18"/>
      <c r="F16715" s="18"/>
    </row>
    <row r="16716" spans="5:6" ht="15" customHeight="1" x14ac:dyDescent="0.2">
      <c r="E16716" s="18"/>
      <c r="F16716" s="18"/>
    </row>
    <row r="16717" spans="5:6" ht="15" customHeight="1" x14ac:dyDescent="0.2">
      <c r="E16717" s="18"/>
      <c r="F16717" s="18"/>
    </row>
    <row r="16718" spans="5:6" ht="15" customHeight="1" x14ac:dyDescent="0.2">
      <c r="E16718" s="18"/>
      <c r="F16718" s="18"/>
    </row>
    <row r="16719" spans="5:6" ht="15" customHeight="1" x14ac:dyDescent="0.2">
      <c r="E16719" s="18"/>
      <c r="F16719" s="18"/>
    </row>
    <row r="16720" spans="5:6" ht="15" customHeight="1" x14ac:dyDescent="0.2">
      <c r="E16720" s="18"/>
      <c r="F16720" s="18"/>
    </row>
    <row r="16721" spans="5:6" ht="15" customHeight="1" x14ac:dyDescent="0.2">
      <c r="E16721" s="18"/>
      <c r="F16721" s="18"/>
    </row>
    <row r="16722" spans="5:6" ht="15" customHeight="1" x14ac:dyDescent="0.2">
      <c r="E16722" s="18"/>
      <c r="F16722" s="18"/>
    </row>
    <row r="16723" spans="5:6" ht="15" customHeight="1" x14ac:dyDescent="0.2">
      <c r="E16723" s="18"/>
      <c r="F16723" s="18"/>
    </row>
    <row r="16724" spans="5:6" ht="15" customHeight="1" x14ac:dyDescent="0.2">
      <c r="E16724" s="18"/>
      <c r="F16724" s="18"/>
    </row>
    <row r="16725" spans="5:6" ht="15" customHeight="1" x14ac:dyDescent="0.2">
      <c r="E16725" s="18"/>
      <c r="F16725" s="18"/>
    </row>
    <row r="16726" spans="5:6" ht="15" customHeight="1" x14ac:dyDescent="0.2">
      <c r="E16726" s="18"/>
      <c r="F16726" s="18"/>
    </row>
    <row r="16727" spans="5:6" ht="15" customHeight="1" x14ac:dyDescent="0.2">
      <c r="E16727" s="18"/>
      <c r="F16727" s="18"/>
    </row>
    <row r="16728" spans="5:6" ht="15" customHeight="1" x14ac:dyDescent="0.2">
      <c r="E16728" s="18"/>
      <c r="F16728" s="18"/>
    </row>
    <row r="16729" spans="5:6" ht="15" customHeight="1" x14ac:dyDescent="0.2">
      <c r="E16729" s="18"/>
      <c r="F16729" s="18"/>
    </row>
    <row r="16730" spans="5:6" ht="15" customHeight="1" x14ac:dyDescent="0.2">
      <c r="E16730" s="18"/>
      <c r="F16730" s="18"/>
    </row>
    <row r="16731" spans="5:6" ht="15" customHeight="1" x14ac:dyDescent="0.2">
      <c r="E16731" s="18"/>
      <c r="F16731" s="18"/>
    </row>
    <row r="16732" spans="5:6" ht="15" customHeight="1" x14ac:dyDescent="0.2">
      <c r="E16732" s="18"/>
      <c r="F16732" s="18"/>
    </row>
    <row r="16733" spans="5:6" ht="15" customHeight="1" x14ac:dyDescent="0.2">
      <c r="E16733" s="18"/>
      <c r="F16733" s="18"/>
    </row>
    <row r="16734" spans="5:6" ht="15" customHeight="1" x14ac:dyDescent="0.2">
      <c r="E16734" s="18"/>
      <c r="F16734" s="18"/>
    </row>
    <row r="16735" spans="5:6" ht="15" customHeight="1" x14ac:dyDescent="0.2">
      <c r="E16735" s="18"/>
      <c r="F16735" s="18"/>
    </row>
    <row r="16736" spans="5:6" ht="15" customHeight="1" x14ac:dyDescent="0.2">
      <c r="E16736" s="18"/>
      <c r="F16736" s="18"/>
    </row>
    <row r="16737" spans="5:6" ht="15" customHeight="1" x14ac:dyDescent="0.2">
      <c r="E16737" s="18"/>
      <c r="F16737" s="18"/>
    </row>
    <row r="16738" spans="5:6" ht="15" customHeight="1" x14ac:dyDescent="0.2">
      <c r="E16738" s="18"/>
      <c r="F16738" s="18"/>
    </row>
    <row r="16739" spans="5:6" ht="15" customHeight="1" x14ac:dyDescent="0.2">
      <c r="E16739" s="18"/>
      <c r="F16739" s="18"/>
    </row>
    <row r="16740" spans="5:6" ht="15" customHeight="1" x14ac:dyDescent="0.2">
      <c r="E16740" s="18"/>
      <c r="F16740" s="18"/>
    </row>
    <row r="16741" spans="5:6" ht="15" customHeight="1" x14ac:dyDescent="0.2">
      <c r="E16741" s="18"/>
      <c r="F16741" s="18"/>
    </row>
    <row r="16742" spans="5:6" ht="15" customHeight="1" x14ac:dyDescent="0.2">
      <c r="E16742" s="18"/>
      <c r="F16742" s="18"/>
    </row>
    <row r="16743" spans="5:6" ht="15" customHeight="1" x14ac:dyDescent="0.2">
      <c r="E16743" s="18"/>
      <c r="F16743" s="18"/>
    </row>
    <row r="16744" spans="5:6" ht="15" customHeight="1" x14ac:dyDescent="0.2">
      <c r="E16744" s="18"/>
      <c r="F16744" s="18"/>
    </row>
    <row r="16745" spans="5:6" ht="15" customHeight="1" x14ac:dyDescent="0.2">
      <c r="E16745" s="18"/>
      <c r="F16745" s="18"/>
    </row>
    <row r="16746" spans="5:6" ht="15" customHeight="1" x14ac:dyDescent="0.2">
      <c r="E16746" s="18"/>
      <c r="F16746" s="18"/>
    </row>
    <row r="16747" spans="5:6" ht="15" customHeight="1" x14ac:dyDescent="0.2">
      <c r="E16747" s="18"/>
      <c r="F16747" s="18"/>
    </row>
    <row r="16748" spans="5:6" ht="15" customHeight="1" x14ac:dyDescent="0.2">
      <c r="E16748" s="18"/>
      <c r="F16748" s="18"/>
    </row>
    <row r="16749" spans="5:6" ht="15" customHeight="1" x14ac:dyDescent="0.2">
      <c r="E16749" s="18"/>
      <c r="F16749" s="18"/>
    </row>
    <row r="16750" spans="5:6" ht="15" customHeight="1" x14ac:dyDescent="0.2">
      <c r="E16750" s="18"/>
      <c r="F16750" s="18"/>
    </row>
    <row r="16751" spans="5:6" ht="15" customHeight="1" x14ac:dyDescent="0.2">
      <c r="E16751" s="18"/>
      <c r="F16751" s="18"/>
    </row>
    <row r="16752" spans="5:6" ht="15" customHeight="1" x14ac:dyDescent="0.2">
      <c r="E16752" s="18"/>
      <c r="F16752" s="18"/>
    </row>
    <row r="16753" spans="5:6" ht="15" customHeight="1" x14ac:dyDescent="0.2">
      <c r="E16753" s="18"/>
      <c r="F16753" s="18"/>
    </row>
    <row r="16754" spans="5:6" ht="15" customHeight="1" x14ac:dyDescent="0.2">
      <c r="E16754" s="18"/>
      <c r="F16754" s="18"/>
    </row>
    <row r="16755" spans="5:6" ht="15" customHeight="1" x14ac:dyDescent="0.2">
      <c r="E16755" s="18"/>
      <c r="F16755" s="18"/>
    </row>
    <row r="16756" spans="5:6" ht="15" customHeight="1" x14ac:dyDescent="0.2">
      <c r="E16756" s="18"/>
      <c r="F16756" s="18"/>
    </row>
    <row r="16757" spans="5:6" ht="15" customHeight="1" x14ac:dyDescent="0.2">
      <c r="E16757" s="18"/>
      <c r="F16757" s="18"/>
    </row>
    <row r="16758" spans="5:6" ht="15" customHeight="1" x14ac:dyDescent="0.2">
      <c r="E16758" s="18"/>
      <c r="F16758" s="18"/>
    </row>
    <row r="16759" spans="5:6" ht="15" customHeight="1" x14ac:dyDescent="0.2">
      <c r="E16759" s="18"/>
      <c r="F16759" s="18"/>
    </row>
    <row r="16760" spans="5:6" ht="15" customHeight="1" x14ac:dyDescent="0.2">
      <c r="E16760" s="18"/>
      <c r="F16760" s="18"/>
    </row>
    <row r="16761" spans="5:6" ht="15" customHeight="1" x14ac:dyDescent="0.2">
      <c r="E16761" s="18"/>
      <c r="F16761" s="18"/>
    </row>
    <row r="16762" spans="5:6" ht="15" customHeight="1" x14ac:dyDescent="0.2">
      <c r="E16762" s="18"/>
      <c r="F16762" s="18"/>
    </row>
    <row r="16763" spans="5:6" ht="15" customHeight="1" x14ac:dyDescent="0.2">
      <c r="E16763" s="18"/>
      <c r="F16763" s="18"/>
    </row>
    <row r="16764" spans="5:6" ht="15" customHeight="1" x14ac:dyDescent="0.2">
      <c r="E16764" s="18"/>
      <c r="F16764" s="18"/>
    </row>
    <row r="16765" spans="5:6" ht="15" customHeight="1" x14ac:dyDescent="0.2">
      <c r="E16765" s="18"/>
      <c r="F16765" s="18"/>
    </row>
    <row r="16766" spans="5:6" ht="15" customHeight="1" x14ac:dyDescent="0.2">
      <c r="E16766" s="18"/>
      <c r="F16766" s="18"/>
    </row>
    <row r="16767" spans="5:6" ht="15" customHeight="1" x14ac:dyDescent="0.2">
      <c r="E16767" s="18"/>
      <c r="F16767" s="18"/>
    </row>
    <row r="16768" spans="5:6" ht="15" customHeight="1" x14ac:dyDescent="0.2">
      <c r="E16768" s="18"/>
      <c r="F16768" s="18"/>
    </row>
    <row r="16769" spans="5:6" ht="15" customHeight="1" x14ac:dyDescent="0.2">
      <c r="E16769" s="18"/>
      <c r="F16769" s="18"/>
    </row>
    <row r="16770" spans="5:6" ht="15" customHeight="1" x14ac:dyDescent="0.2">
      <c r="E16770" s="18"/>
      <c r="F16770" s="18"/>
    </row>
    <row r="16771" spans="5:6" ht="15" customHeight="1" x14ac:dyDescent="0.2">
      <c r="E16771" s="18"/>
      <c r="F16771" s="18"/>
    </row>
    <row r="16772" spans="5:6" ht="15" customHeight="1" x14ac:dyDescent="0.2">
      <c r="E16772" s="18"/>
      <c r="F16772" s="18"/>
    </row>
    <row r="16773" spans="5:6" ht="15" customHeight="1" x14ac:dyDescent="0.2">
      <c r="E16773" s="18"/>
      <c r="F16773" s="18"/>
    </row>
    <row r="16774" spans="5:6" ht="15" customHeight="1" x14ac:dyDescent="0.2">
      <c r="E16774" s="18"/>
      <c r="F16774" s="18"/>
    </row>
    <row r="16775" spans="5:6" ht="15" customHeight="1" x14ac:dyDescent="0.2">
      <c r="E16775" s="18"/>
      <c r="F16775" s="18"/>
    </row>
    <row r="16776" spans="5:6" ht="15" customHeight="1" x14ac:dyDescent="0.2">
      <c r="E16776" s="18"/>
      <c r="F16776" s="18"/>
    </row>
    <row r="16777" spans="5:6" ht="15" customHeight="1" x14ac:dyDescent="0.2">
      <c r="E16777" s="18"/>
      <c r="F16777" s="18"/>
    </row>
    <row r="16778" spans="5:6" ht="15" customHeight="1" x14ac:dyDescent="0.2">
      <c r="E16778" s="18"/>
      <c r="F16778" s="18"/>
    </row>
    <row r="16779" spans="5:6" ht="15" customHeight="1" x14ac:dyDescent="0.2">
      <c r="E16779" s="18"/>
      <c r="F16779" s="18"/>
    </row>
    <row r="16780" spans="5:6" ht="15" customHeight="1" x14ac:dyDescent="0.2">
      <c r="E16780" s="18"/>
      <c r="F16780" s="18"/>
    </row>
    <row r="16781" spans="5:6" ht="15" customHeight="1" x14ac:dyDescent="0.2">
      <c r="E16781" s="18"/>
      <c r="F16781" s="18"/>
    </row>
    <row r="16782" spans="5:6" ht="15" customHeight="1" x14ac:dyDescent="0.2">
      <c r="E16782" s="18"/>
      <c r="F16782" s="18"/>
    </row>
    <row r="16783" spans="5:6" ht="15" customHeight="1" x14ac:dyDescent="0.2">
      <c r="E16783" s="18"/>
      <c r="F16783" s="18"/>
    </row>
    <row r="16784" spans="5:6" ht="15" customHeight="1" x14ac:dyDescent="0.2">
      <c r="E16784" s="18"/>
      <c r="F16784" s="18"/>
    </row>
    <row r="16785" spans="5:6" ht="15" customHeight="1" x14ac:dyDescent="0.2">
      <c r="E16785" s="18"/>
      <c r="F16785" s="18"/>
    </row>
    <row r="16786" spans="5:6" ht="15" customHeight="1" x14ac:dyDescent="0.2">
      <c r="E16786" s="18"/>
      <c r="F16786" s="18"/>
    </row>
    <row r="16787" spans="5:6" ht="15" customHeight="1" x14ac:dyDescent="0.2">
      <c r="E16787" s="18"/>
      <c r="F16787" s="18"/>
    </row>
    <row r="16788" spans="5:6" ht="15" customHeight="1" x14ac:dyDescent="0.2">
      <c r="E16788" s="18"/>
      <c r="F16788" s="18"/>
    </row>
    <row r="16789" spans="5:6" ht="15" customHeight="1" x14ac:dyDescent="0.2">
      <c r="E16789" s="18"/>
      <c r="F16789" s="18"/>
    </row>
    <row r="16790" spans="5:6" ht="15" customHeight="1" x14ac:dyDescent="0.2">
      <c r="E16790" s="18"/>
      <c r="F16790" s="18"/>
    </row>
    <row r="16791" spans="5:6" ht="15" customHeight="1" x14ac:dyDescent="0.2">
      <c r="E16791" s="18"/>
      <c r="F16791" s="18"/>
    </row>
    <row r="16792" spans="5:6" ht="15" customHeight="1" x14ac:dyDescent="0.2">
      <c r="E16792" s="18"/>
      <c r="F16792" s="18"/>
    </row>
    <row r="16793" spans="5:6" ht="15" customHeight="1" x14ac:dyDescent="0.2">
      <c r="E16793" s="18"/>
      <c r="F16793" s="18"/>
    </row>
    <row r="16794" spans="5:6" ht="15" customHeight="1" x14ac:dyDescent="0.2">
      <c r="E16794" s="18"/>
      <c r="F16794" s="18"/>
    </row>
    <row r="16795" spans="5:6" ht="15" customHeight="1" x14ac:dyDescent="0.2">
      <c r="E16795" s="18"/>
      <c r="F16795" s="18"/>
    </row>
    <row r="16796" spans="5:6" ht="15" customHeight="1" x14ac:dyDescent="0.2">
      <c r="E16796" s="18"/>
      <c r="F16796" s="18"/>
    </row>
    <row r="16797" spans="5:6" ht="15" customHeight="1" x14ac:dyDescent="0.2">
      <c r="E16797" s="18"/>
      <c r="F16797" s="18"/>
    </row>
    <row r="16798" spans="5:6" ht="15" customHeight="1" x14ac:dyDescent="0.2">
      <c r="E16798" s="18"/>
      <c r="F16798" s="18"/>
    </row>
    <row r="16799" spans="5:6" ht="15" customHeight="1" x14ac:dyDescent="0.2">
      <c r="E16799" s="18"/>
      <c r="F16799" s="18"/>
    </row>
    <row r="16800" spans="5:6" ht="15" customHeight="1" x14ac:dyDescent="0.2">
      <c r="E16800" s="18"/>
      <c r="F16800" s="18"/>
    </row>
    <row r="16801" spans="5:6" ht="15" customHeight="1" x14ac:dyDescent="0.2">
      <c r="E16801" s="18"/>
      <c r="F16801" s="18"/>
    </row>
    <row r="16802" spans="5:6" ht="15" customHeight="1" x14ac:dyDescent="0.2">
      <c r="E16802" s="18"/>
      <c r="F16802" s="18"/>
    </row>
    <row r="16803" spans="5:6" ht="15" customHeight="1" x14ac:dyDescent="0.2">
      <c r="E16803" s="18"/>
      <c r="F16803" s="18"/>
    </row>
    <row r="16804" spans="5:6" ht="15" customHeight="1" x14ac:dyDescent="0.2">
      <c r="E16804" s="18"/>
      <c r="F16804" s="18"/>
    </row>
    <row r="16805" spans="5:6" ht="15" customHeight="1" x14ac:dyDescent="0.2">
      <c r="E16805" s="18"/>
      <c r="F16805" s="18"/>
    </row>
    <row r="16806" spans="5:6" ht="15" customHeight="1" x14ac:dyDescent="0.2">
      <c r="E16806" s="18"/>
      <c r="F16806" s="18"/>
    </row>
    <row r="16807" spans="5:6" ht="15" customHeight="1" x14ac:dyDescent="0.2">
      <c r="E16807" s="18"/>
      <c r="F16807" s="18"/>
    </row>
    <row r="16808" spans="5:6" ht="15" customHeight="1" x14ac:dyDescent="0.2">
      <c r="E16808" s="18"/>
      <c r="F16808" s="18"/>
    </row>
    <row r="16809" spans="5:6" ht="15" customHeight="1" x14ac:dyDescent="0.2">
      <c r="E16809" s="18"/>
      <c r="F16809" s="18"/>
    </row>
    <row r="16810" spans="5:6" ht="15" customHeight="1" x14ac:dyDescent="0.2">
      <c r="E16810" s="18"/>
      <c r="F16810" s="18"/>
    </row>
    <row r="16811" spans="5:6" ht="15" customHeight="1" x14ac:dyDescent="0.2">
      <c r="E16811" s="18"/>
      <c r="F16811" s="18"/>
    </row>
    <row r="16812" spans="5:6" ht="15" customHeight="1" x14ac:dyDescent="0.2">
      <c r="E16812" s="18"/>
      <c r="F16812" s="18"/>
    </row>
    <row r="16813" spans="5:6" ht="15" customHeight="1" x14ac:dyDescent="0.2">
      <c r="E16813" s="18"/>
      <c r="F16813" s="18"/>
    </row>
    <row r="16814" spans="5:6" ht="15" customHeight="1" x14ac:dyDescent="0.2">
      <c r="E16814" s="18"/>
      <c r="F16814" s="18"/>
    </row>
    <row r="16815" spans="5:6" ht="15" customHeight="1" x14ac:dyDescent="0.2">
      <c r="E16815" s="18"/>
      <c r="F16815" s="18"/>
    </row>
    <row r="16816" spans="5:6" ht="15" customHeight="1" x14ac:dyDescent="0.2">
      <c r="E16816" s="18"/>
      <c r="F16816" s="18"/>
    </row>
    <row r="16817" spans="5:6" ht="15" customHeight="1" x14ac:dyDescent="0.2">
      <c r="E16817" s="18"/>
      <c r="F16817" s="18"/>
    </row>
    <row r="16818" spans="5:6" ht="15" customHeight="1" x14ac:dyDescent="0.2">
      <c r="E16818" s="18"/>
      <c r="F16818" s="18"/>
    </row>
    <row r="16819" spans="5:6" ht="15" customHeight="1" x14ac:dyDescent="0.2">
      <c r="E16819" s="18"/>
      <c r="F16819" s="18"/>
    </row>
    <row r="16820" spans="5:6" ht="15" customHeight="1" x14ac:dyDescent="0.2">
      <c r="E16820" s="18"/>
      <c r="F16820" s="18"/>
    </row>
    <row r="16821" spans="5:6" ht="15" customHeight="1" x14ac:dyDescent="0.2">
      <c r="E16821" s="18"/>
      <c r="F16821" s="18"/>
    </row>
    <row r="16822" spans="5:6" ht="15" customHeight="1" x14ac:dyDescent="0.2">
      <c r="E16822" s="18"/>
      <c r="F16822" s="18"/>
    </row>
    <row r="16823" spans="5:6" ht="15" customHeight="1" x14ac:dyDescent="0.2">
      <c r="E16823" s="18"/>
      <c r="F16823" s="18"/>
    </row>
    <row r="16824" spans="5:6" ht="15" customHeight="1" x14ac:dyDescent="0.2">
      <c r="E16824" s="18"/>
      <c r="F16824" s="18"/>
    </row>
    <row r="16825" spans="5:6" ht="15" customHeight="1" x14ac:dyDescent="0.2">
      <c r="E16825" s="18"/>
      <c r="F16825" s="18"/>
    </row>
    <row r="16826" spans="5:6" ht="15" customHeight="1" x14ac:dyDescent="0.2">
      <c r="E16826" s="18"/>
      <c r="F16826" s="18"/>
    </row>
    <row r="16827" spans="5:6" ht="15" customHeight="1" x14ac:dyDescent="0.2">
      <c r="E16827" s="18"/>
      <c r="F16827" s="18"/>
    </row>
    <row r="16828" spans="5:6" ht="15" customHeight="1" x14ac:dyDescent="0.2">
      <c r="E16828" s="18"/>
      <c r="F16828" s="18"/>
    </row>
    <row r="16829" spans="5:6" ht="15" customHeight="1" x14ac:dyDescent="0.2">
      <c r="E16829" s="18"/>
      <c r="F16829" s="18"/>
    </row>
    <row r="16830" spans="5:6" ht="15" customHeight="1" x14ac:dyDescent="0.2">
      <c r="E16830" s="18"/>
      <c r="F16830" s="18"/>
    </row>
    <row r="16831" spans="5:6" ht="15" customHeight="1" x14ac:dyDescent="0.2">
      <c r="E16831" s="18"/>
      <c r="F16831" s="18"/>
    </row>
    <row r="16832" spans="5:6" ht="15" customHeight="1" x14ac:dyDescent="0.2">
      <c r="E16832" s="18"/>
      <c r="F16832" s="18"/>
    </row>
    <row r="16833" spans="5:6" ht="15" customHeight="1" x14ac:dyDescent="0.2">
      <c r="E16833" s="18"/>
      <c r="F16833" s="18"/>
    </row>
    <row r="16834" spans="5:6" ht="15" customHeight="1" x14ac:dyDescent="0.2">
      <c r="E16834" s="18"/>
      <c r="F16834" s="18"/>
    </row>
    <row r="16835" spans="5:6" ht="15" customHeight="1" x14ac:dyDescent="0.2">
      <c r="E16835" s="18"/>
      <c r="F16835" s="18"/>
    </row>
    <row r="16836" spans="5:6" ht="15" customHeight="1" x14ac:dyDescent="0.2">
      <c r="E16836" s="18"/>
      <c r="F16836" s="18"/>
    </row>
    <row r="16837" spans="5:6" ht="15" customHeight="1" x14ac:dyDescent="0.2">
      <c r="E16837" s="18"/>
      <c r="F16837" s="18"/>
    </row>
    <row r="16838" spans="5:6" ht="15" customHeight="1" x14ac:dyDescent="0.2">
      <c r="E16838" s="18"/>
      <c r="F16838" s="18"/>
    </row>
    <row r="16839" spans="5:6" ht="15" customHeight="1" x14ac:dyDescent="0.2">
      <c r="E16839" s="18"/>
      <c r="F16839" s="18"/>
    </row>
    <row r="16840" spans="5:6" ht="15" customHeight="1" x14ac:dyDescent="0.2">
      <c r="E16840" s="18"/>
      <c r="F16840" s="18"/>
    </row>
    <row r="16841" spans="5:6" ht="15" customHeight="1" x14ac:dyDescent="0.2">
      <c r="E16841" s="18"/>
      <c r="F16841" s="18"/>
    </row>
    <row r="16842" spans="5:6" ht="15" customHeight="1" x14ac:dyDescent="0.2">
      <c r="E16842" s="18"/>
      <c r="F16842" s="18"/>
    </row>
    <row r="16843" spans="5:6" ht="15" customHeight="1" x14ac:dyDescent="0.2">
      <c r="E16843" s="18"/>
      <c r="F16843" s="18"/>
    </row>
    <row r="16844" spans="5:6" ht="15" customHeight="1" x14ac:dyDescent="0.2">
      <c r="E16844" s="18"/>
      <c r="F16844" s="18"/>
    </row>
    <row r="16845" spans="5:6" ht="15" customHeight="1" x14ac:dyDescent="0.2">
      <c r="E16845" s="18"/>
      <c r="F16845" s="18"/>
    </row>
    <row r="16846" spans="5:6" ht="15" customHeight="1" x14ac:dyDescent="0.2">
      <c r="E16846" s="18"/>
      <c r="F16846" s="18"/>
    </row>
    <row r="16847" spans="5:6" ht="15" customHeight="1" x14ac:dyDescent="0.2">
      <c r="E16847" s="18"/>
      <c r="F16847" s="18"/>
    </row>
    <row r="16848" spans="5:6" ht="15" customHeight="1" x14ac:dyDescent="0.2">
      <c r="E16848" s="18"/>
      <c r="F16848" s="18"/>
    </row>
    <row r="16849" spans="5:6" ht="15" customHeight="1" x14ac:dyDescent="0.2">
      <c r="E16849" s="18"/>
      <c r="F16849" s="18"/>
    </row>
    <row r="16850" spans="5:6" ht="15" customHeight="1" x14ac:dyDescent="0.2">
      <c r="E16850" s="18"/>
      <c r="F16850" s="18"/>
    </row>
    <row r="16851" spans="5:6" ht="15" customHeight="1" x14ac:dyDescent="0.2">
      <c r="E16851" s="18"/>
      <c r="F16851" s="18"/>
    </row>
    <row r="16852" spans="5:6" ht="15" customHeight="1" x14ac:dyDescent="0.2">
      <c r="E16852" s="18"/>
      <c r="F16852" s="18"/>
    </row>
    <row r="16853" spans="5:6" ht="15" customHeight="1" x14ac:dyDescent="0.2">
      <c r="E16853" s="18"/>
      <c r="F16853" s="18"/>
    </row>
    <row r="16854" spans="5:6" ht="15" customHeight="1" x14ac:dyDescent="0.2">
      <c r="E16854" s="18"/>
      <c r="F16854" s="18"/>
    </row>
    <row r="16855" spans="5:6" ht="15" customHeight="1" x14ac:dyDescent="0.2">
      <c r="E16855" s="18"/>
      <c r="F16855" s="18"/>
    </row>
    <row r="16856" spans="5:6" ht="15" customHeight="1" x14ac:dyDescent="0.2">
      <c r="E16856" s="18"/>
      <c r="F16856" s="18"/>
    </row>
    <row r="16857" spans="5:6" ht="15" customHeight="1" x14ac:dyDescent="0.2">
      <c r="E16857" s="18"/>
      <c r="F16857" s="18"/>
    </row>
    <row r="16858" spans="5:6" ht="15" customHeight="1" x14ac:dyDescent="0.2">
      <c r="E16858" s="18"/>
      <c r="F16858" s="18"/>
    </row>
    <row r="16859" spans="5:6" ht="15" customHeight="1" x14ac:dyDescent="0.2">
      <c r="E16859" s="18"/>
      <c r="F16859" s="18"/>
    </row>
    <row r="16860" spans="5:6" ht="15" customHeight="1" x14ac:dyDescent="0.2">
      <c r="E16860" s="18"/>
      <c r="F16860" s="18"/>
    </row>
    <row r="16861" spans="5:6" ht="15" customHeight="1" x14ac:dyDescent="0.2">
      <c r="E16861" s="18"/>
      <c r="F16861" s="18"/>
    </row>
    <row r="16862" spans="5:6" ht="15" customHeight="1" x14ac:dyDescent="0.2">
      <c r="E16862" s="18"/>
      <c r="F16862" s="18"/>
    </row>
    <row r="16863" spans="5:6" ht="15" customHeight="1" x14ac:dyDescent="0.2">
      <c r="E16863" s="18"/>
      <c r="F16863" s="18"/>
    </row>
    <row r="16864" spans="5:6" ht="15" customHeight="1" x14ac:dyDescent="0.2">
      <c r="E16864" s="18"/>
      <c r="F16864" s="18"/>
    </row>
    <row r="16865" spans="5:6" ht="15" customHeight="1" x14ac:dyDescent="0.2">
      <c r="E16865" s="18"/>
      <c r="F16865" s="18"/>
    </row>
    <row r="16866" spans="5:6" ht="15" customHeight="1" x14ac:dyDescent="0.2">
      <c r="E16866" s="18"/>
      <c r="F16866" s="18"/>
    </row>
    <row r="16867" spans="5:6" ht="15" customHeight="1" x14ac:dyDescent="0.2">
      <c r="E16867" s="18"/>
      <c r="F16867" s="18"/>
    </row>
    <row r="16868" spans="5:6" ht="15" customHeight="1" x14ac:dyDescent="0.2">
      <c r="E16868" s="18"/>
      <c r="F16868" s="18"/>
    </row>
    <row r="16869" spans="5:6" ht="15" customHeight="1" x14ac:dyDescent="0.2">
      <c r="E16869" s="18"/>
      <c r="F16869" s="18"/>
    </row>
    <row r="16870" spans="5:6" ht="15" customHeight="1" x14ac:dyDescent="0.2">
      <c r="E16870" s="18"/>
      <c r="F16870" s="18"/>
    </row>
    <row r="16871" spans="5:6" ht="15" customHeight="1" x14ac:dyDescent="0.2">
      <c r="E16871" s="18"/>
      <c r="F16871" s="18"/>
    </row>
    <row r="16872" spans="5:6" ht="15" customHeight="1" x14ac:dyDescent="0.2">
      <c r="E16872" s="18"/>
      <c r="F16872" s="18"/>
    </row>
    <row r="16873" spans="5:6" ht="15" customHeight="1" x14ac:dyDescent="0.2">
      <c r="E16873" s="18"/>
      <c r="F16873" s="18"/>
    </row>
    <row r="16874" spans="5:6" ht="15" customHeight="1" x14ac:dyDescent="0.2">
      <c r="E16874" s="18"/>
      <c r="F16874" s="18"/>
    </row>
    <row r="16875" spans="5:6" ht="15" customHeight="1" x14ac:dyDescent="0.2">
      <c r="E16875" s="18"/>
      <c r="F16875" s="18"/>
    </row>
    <row r="16876" spans="5:6" ht="15" customHeight="1" x14ac:dyDescent="0.2">
      <c r="E16876" s="18"/>
      <c r="F16876" s="18"/>
    </row>
    <row r="16877" spans="5:6" ht="15" customHeight="1" x14ac:dyDescent="0.2">
      <c r="E16877" s="18"/>
      <c r="F16877" s="18"/>
    </row>
    <row r="16878" spans="5:6" ht="15" customHeight="1" x14ac:dyDescent="0.2">
      <c r="E16878" s="18"/>
      <c r="F16878" s="18"/>
    </row>
    <row r="16879" spans="5:6" ht="15" customHeight="1" x14ac:dyDescent="0.2">
      <c r="E16879" s="18"/>
      <c r="F16879" s="18"/>
    </row>
    <row r="16880" spans="5:6" ht="15" customHeight="1" x14ac:dyDescent="0.2">
      <c r="E16880" s="18"/>
      <c r="F16880" s="18"/>
    </row>
    <row r="16881" spans="5:6" ht="15" customHeight="1" x14ac:dyDescent="0.2">
      <c r="E16881" s="18"/>
      <c r="F16881" s="18"/>
    </row>
    <row r="16882" spans="5:6" ht="15" customHeight="1" x14ac:dyDescent="0.2">
      <c r="E16882" s="18"/>
      <c r="F16882" s="18"/>
    </row>
    <row r="16883" spans="5:6" ht="15" customHeight="1" x14ac:dyDescent="0.2">
      <c r="E16883" s="18"/>
      <c r="F16883" s="18"/>
    </row>
    <row r="16884" spans="5:6" ht="15" customHeight="1" x14ac:dyDescent="0.2">
      <c r="E16884" s="18"/>
      <c r="F16884" s="18"/>
    </row>
    <row r="16885" spans="5:6" ht="15" customHeight="1" x14ac:dyDescent="0.2">
      <c r="E16885" s="18"/>
      <c r="F16885" s="18"/>
    </row>
    <row r="16886" spans="5:6" ht="15" customHeight="1" x14ac:dyDescent="0.2">
      <c r="E16886" s="18"/>
      <c r="F16886" s="18"/>
    </row>
    <row r="16887" spans="5:6" ht="15" customHeight="1" x14ac:dyDescent="0.2">
      <c r="E16887" s="18"/>
      <c r="F16887" s="18"/>
    </row>
    <row r="16888" spans="5:6" ht="15" customHeight="1" x14ac:dyDescent="0.2">
      <c r="E16888" s="18"/>
      <c r="F16888" s="18"/>
    </row>
    <row r="16889" spans="5:6" ht="15" customHeight="1" x14ac:dyDescent="0.2">
      <c r="E16889" s="18"/>
      <c r="F16889" s="18"/>
    </row>
    <row r="16890" spans="5:6" ht="15" customHeight="1" x14ac:dyDescent="0.2">
      <c r="E16890" s="18"/>
      <c r="F16890" s="18"/>
    </row>
    <row r="16891" spans="5:6" ht="15" customHeight="1" x14ac:dyDescent="0.2">
      <c r="E16891" s="18"/>
      <c r="F16891" s="18"/>
    </row>
    <row r="16892" spans="5:6" ht="15" customHeight="1" x14ac:dyDescent="0.2">
      <c r="E16892" s="18"/>
      <c r="F16892" s="18"/>
    </row>
    <row r="16893" spans="5:6" ht="15" customHeight="1" x14ac:dyDescent="0.2">
      <c r="E16893" s="18"/>
      <c r="F16893" s="18"/>
    </row>
    <row r="16894" spans="5:6" ht="15" customHeight="1" x14ac:dyDescent="0.2">
      <c r="E16894" s="18"/>
      <c r="F16894" s="18"/>
    </row>
    <row r="16895" spans="5:6" ht="15" customHeight="1" x14ac:dyDescent="0.2">
      <c r="E16895" s="18"/>
      <c r="F16895" s="18"/>
    </row>
    <row r="16896" spans="5:6" ht="15" customHeight="1" x14ac:dyDescent="0.2">
      <c r="E16896" s="18"/>
      <c r="F16896" s="18"/>
    </row>
    <row r="16897" spans="5:6" ht="15" customHeight="1" x14ac:dyDescent="0.2">
      <c r="E16897" s="18"/>
      <c r="F16897" s="18"/>
    </row>
    <row r="16898" spans="5:6" ht="15" customHeight="1" x14ac:dyDescent="0.2">
      <c r="E16898" s="18"/>
      <c r="F16898" s="18"/>
    </row>
    <row r="16899" spans="5:6" ht="15" customHeight="1" x14ac:dyDescent="0.2">
      <c r="E16899" s="18"/>
      <c r="F16899" s="18"/>
    </row>
    <row r="16900" spans="5:6" ht="15" customHeight="1" x14ac:dyDescent="0.2">
      <c r="E16900" s="18"/>
      <c r="F16900" s="18"/>
    </row>
    <row r="16901" spans="5:6" ht="15" customHeight="1" x14ac:dyDescent="0.2">
      <c r="E16901" s="18"/>
      <c r="F16901" s="18"/>
    </row>
    <row r="16902" spans="5:6" ht="15" customHeight="1" x14ac:dyDescent="0.2">
      <c r="E16902" s="18"/>
      <c r="F16902" s="18"/>
    </row>
    <row r="16903" spans="5:6" ht="15" customHeight="1" x14ac:dyDescent="0.2">
      <c r="E16903" s="18"/>
      <c r="F16903" s="18"/>
    </row>
    <row r="16904" spans="5:6" ht="15" customHeight="1" x14ac:dyDescent="0.2">
      <c r="E16904" s="18"/>
      <c r="F16904" s="18"/>
    </row>
    <row r="16905" spans="5:6" ht="15" customHeight="1" x14ac:dyDescent="0.2">
      <c r="E16905" s="18"/>
      <c r="F16905" s="18"/>
    </row>
    <row r="16906" spans="5:6" ht="15" customHeight="1" x14ac:dyDescent="0.2">
      <c r="E16906" s="18"/>
      <c r="F16906" s="18"/>
    </row>
    <row r="16907" spans="5:6" ht="15" customHeight="1" x14ac:dyDescent="0.2">
      <c r="E16907" s="18"/>
      <c r="F16907" s="18"/>
    </row>
    <row r="16908" spans="5:6" ht="15" customHeight="1" x14ac:dyDescent="0.2">
      <c r="E16908" s="18"/>
      <c r="F16908" s="18"/>
    </row>
    <row r="16909" spans="5:6" ht="15" customHeight="1" x14ac:dyDescent="0.2">
      <c r="E16909" s="18"/>
      <c r="F16909" s="18"/>
    </row>
    <row r="16910" spans="5:6" ht="15" customHeight="1" x14ac:dyDescent="0.2">
      <c r="E16910" s="18"/>
      <c r="F16910" s="18"/>
    </row>
    <row r="16911" spans="5:6" ht="15" customHeight="1" x14ac:dyDescent="0.2">
      <c r="E16911" s="18"/>
      <c r="F16911" s="18"/>
    </row>
    <row r="16912" spans="5:6" ht="15" customHeight="1" x14ac:dyDescent="0.2">
      <c r="E16912" s="18"/>
      <c r="F16912" s="18"/>
    </row>
    <row r="16913" spans="5:6" ht="15" customHeight="1" x14ac:dyDescent="0.2">
      <c r="E16913" s="18"/>
      <c r="F16913" s="18"/>
    </row>
    <row r="16914" spans="5:6" ht="15" customHeight="1" x14ac:dyDescent="0.2">
      <c r="E16914" s="18"/>
      <c r="F16914" s="18"/>
    </row>
    <row r="16915" spans="5:6" ht="15" customHeight="1" x14ac:dyDescent="0.2">
      <c r="E16915" s="18"/>
      <c r="F16915" s="18"/>
    </row>
    <row r="16916" spans="5:6" ht="15" customHeight="1" x14ac:dyDescent="0.2">
      <c r="E16916" s="18"/>
      <c r="F16916" s="18"/>
    </row>
    <row r="16917" spans="5:6" ht="15" customHeight="1" x14ac:dyDescent="0.2">
      <c r="E16917" s="18"/>
      <c r="F16917" s="18"/>
    </row>
    <row r="16918" spans="5:6" ht="15" customHeight="1" x14ac:dyDescent="0.2">
      <c r="E16918" s="18"/>
      <c r="F16918" s="18"/>
    </row>
    <row r="16919" spans="5:6" ht="15" customHeight="1" x14ac:dyDescent="0.2">
      <c r="E16919" s="18"/>
      <c r="F16919" s="18"/>
    </row>
    <row r="16920" spans="5:6" ht="15" customHeight="1" x14ac:dyDescent="0.2">
      <c r="E16920" s="18"/>
      <c r="F16920" s="18"/>
    </row>
    <row r="16921" spans="5:6" ht="15" customHeight="1" x14ac:dyDescent="0.2">
      <c r="E16921" s="18"/>
      <c r="F16921" s="18"/>
    </row>
    <row r="16922" spans="5:6" ht="15" customHeight="1" x14ac:dyDescent="0.2">
      <c r="E16922" s="18"/>
      <c r="F16922" s="18"/>
    </row>
    <row r="16923" spans="5:6" ht="15" customHeight="1" x14ac:dyDescent="0.2">
      <c r="E16923" s="18"/>
      <c r="F16923" s="18"/>
    </row>
    <row r="16924" spans="5:6" ht="15" customHeight="1" x14ac:dyDescent="0.2">
      <c r="E16924" s="18"/>
      <c r="F16924" s="18"/>
    </row>
    <row r="16925" spans="5:6" ht="15" customHeight="1" x14ac:dyDescent="0.2">
      <c r="E16925" s="18"/>
      <c r="F16925" s="18"/>
    </row>
    <row r="16926" spans="5:6" ht="15" customHeight="1" x14ac:dyDescent="0.2">
      <c r="E16926" s="18"/>
      <c r="F16926" s="18"/>
    </row>
    <row r="16927" spans="5:6" ht="15" customHeight="1" x14ac:dyDescent="0.2">
      <c r="E16927" s="18"/>
      <c r="F16927" s="18"/>
    </row>
    <row r="16928" spans="5:6" ht="15" customHeight="1" x14ac:dyDescent="0.2">
      <c r="E16928" s="18"/>
      <c r="F16928" s="18"/>
    </row>
    <row r="16929" spans="5:6" ht="15" customHeight="1" x14ac:dyDescent="0.2">
      <c r="E16929" s="18"/>
      <c r="F16929" s="18"/>
    </row>
    <row r="16930" spans="5:6" ht="15" customHeight="1" x14ac:dyDescent="0.2">
      <c r="E16930" s="18"/>
      <c r="F16930" s="18"/>
    </row>
    <row r="16931" spans="5:6" ht="15" customHeight="1" x14ac:dyDescent="0.2">
      <c r="E16931" s="18"/>
      <c r="F16931" s="18"/>
    </row>
    <row r="16932" spans="5:6" ht="15" customHeight="1" x14ac:dyDescent="0.2">
      <c r="E16932" s="18"/>
      <c r="F16932" s="18"/>
    </row>
    <row r="16933" spans="5:6" ht="15" customHeight="1" x14ac:dyDescent="0.2">
      <c r="E16933" s="18"/>
      <c r="F16933" s="18"/>
    </row>
    <row r="16934" spans="5:6" ht="15" customHeight="1" x14ac:dyDescent="0.2">
      <c r="E16934" s="18"/>
      <c r="F16934" s="18"/>
    </row>
    <row r="16935" spans="5:6" ht="15" customHeight="1" x14ac:dyDescent="0.2">
      <c r="E16935" s="18"/>
      <c r="F16935" s="18"/>
    </row>
    <row r="16936" spans="5:6" ht="15" customHeight="1" x14ac:dyDescent="0.2">
      <c r="E16936" s="18"/>
      <c r="F16936" s="18"/>
    </row>
    <row r="16937" spans="5:6" ht="15" customHeight="1" x14ac:dyDescent="0.2">
      <c r="E16937" s="18"/>
      <c r="F16937" s="18"/>
    </row>
    <row r="16938" spans="5:6" ht="15" customHeight="1" x14ac:dyDescent="0.2">
      <c r="E16938" s="18"/>
      <c r="F16938" s="18"/>
    </row>
    <row r="16939" spans="5:6" ht="15" customHeight="1" x14ac:dyDescent="0.2">
      <c r="E16939" s="18"/>
      <c r="F16939" s="18"/>
    </row>
    <row r="16940" spans="5:6" ht="15" customHeight="1" x14ac:dyDescent="0.2">
      <c r="E16940" s="18"/>
      <c r="F16940" s="18"/>
    </row>
    <row r="16941" spans="5:6" ht="15" customHeight="1" x14ac:dyDescent="0.2">
      <c r="E16941" s="18"/>
      <c r="F16941" s="18"/>
    </row>
    <row r="16942" spans="5:6" ht="15" customHeight="1" x14ac:dyDescent="0.2">
      <c r="E16942" s="18"/>
      <c r="F16942" s="18"/>
    </row>
    <row r="16943" spans="5:6" ht="15" customHeight="1" x14ac:dyDescent="0.2">
      <c r="E16943" s="18"/>
      <c r="F16943" s="18"/>
    </row>
    <row r="16944" spans="5:6" ht="15" customHeight="1" x14ac:dyDescent="0.2">
      <c r="E16944" s="18"/>
      <c r="F16944" s="18"/>
    </row>
    <row r="16945" spans="5:6" ht="15" customHeight="1" x14ac:dyDescent="0.2">
      <c r="E16945" s="18"/>
      <c r="F16945" s="18"/>
    </row>
    <row r="16946" spans="5:6" ht="15" customHeight="1" x14ac:dyDescent="0.2">
      <c r="E16946" s="18"/>
      <c r="F16946" s="18"/>
    </row>
    <row r="16947" spans="5:6" ht="15" customHeight="1" x14ac:dyDescent="0.2">
      <c r="E16947" s="18"/>
      <c r="F16947" s="18"/>
    </row>
    <row r="16948" spans="5:6" ht="15" customHeight="1" x14ac:dyDescent="0.2">
      <c r="E16948" s="18"/>
      <c r="F16948" s="18"/>
    </row>
    <row r="16949" spans="5:6" ht="15" customHeight="1" x14ac:dyDescent="0.2">
      <c r="E16949" s="18"/>
      <c r="F16949" s="18"/>
    </row>
    <row r="16950" spans="5:6" ht="15" customHeight="1" x14ac:dyDescent="0.2">
      <c r="E16950" s="18"/>
      <c r="F16950" s="18"/>
    </row>
    <row r="16951" spans="5:6" ht="15" customHeight="1" x14ac:dyDescent="0.2">
      <c r="E16951" s="18"/>
      <c r="F16951" s="18"/>
    </row>
    <row r="16952" spans="5:6" ht="15" customHeight="1" x14ac:dyDescent="0.2">
      <c r="E16952" s="18"/>
      <c r="F16952" s="18"/>
    </row>
    <row r="16953" spans="5:6" ht="15" customHeight="1" x14ac:dyDescent="0.2">
      <c r="E16953" s="18"/>
      <c r="F16953" s="18"/>
    </row>
    <row r="16954" spans="5:6" ht="15" customHeight="1" x14ac:dyDescent="0.2">
      <c r="E16954" s="18"/>
      <c r="F16954" s="18"/>
    </row>
    <row r="16955" spans="5:6" ht="15" customHeight="1" x14ac:dyDescent="0.2">
      <c r="E16955" s="18"/>
      <c r="F16955" s="18"/>
    </row>
    <row r="16956" spans="5:6" ht="15" customHeight="1" x14ac:dyDescent="0.2">
      <c r="E16956" s="18"/>
      <c r="F16956" s="18"/>
    </row>
    <row r="16957" spans="5:6" ht="15" customHeight="1" x14ac:dyDescent="0.2">
      <c r="E16957" s="18"/>
      <c r="F16957" s="18"/>
    </row>
    <row r="16958" spans="5:6" ht="15" customHeight="1" x14ac:dyDescent="0.2">
      <c r="E16958" s="18"/>
      <c r="F16958" s="18"/>
    </row>
    <row r="16959" spans="5:6" ht="15" customHeight="1" x14ac:dyDescent="0.2">
      <c r="E16959" s="18"/>
      <c r="F16959" s="18"/>
    </row>
    <row r="16960" spans="5:6" ht="15" customHeight="1" x14ac:dyDescent="0.2">
      <c r="E16960" s="18"/>
      <c r="F16960" s="18"/>
    </row>
    <row r="16961" spans="5:6" ht="15" customHeight="1" x14ac:dyDescent="0.2">
      <c r="E16961" s="18"/>
      <c r="F16961" s="18"/>
    </row>
    <row r="16962" spans="5:6" ht="15" customHeight="1" x14ac:dyDescent="0.2">
      <c r="E16962" s="18"/>
      <c r="F16962" s="18"/>
    </row>
    <row r="16963" spans="5:6" ht="15" customHeight="1" x14ac:dyDescent="0.2">
      <c r="E16963" s="18"/>
      <c r="F16963" s="18"/>
    </row>
    <row r="16964" spans="5:6" ht="15" customHeight="1" x14ac:dyDescent="0.2">
      <c r="E16964" s="18"/>
      <c r="F16964" s="18"/>
    </row>
    <row r="16965" spans="5:6" ht="15" customHeight="1" x14ac:dyDescent="0.2">
      <c r="E16965" s="18"/>
      <c r="F16965" s="18"/>
    </row>
    <row r="16966" spans="5:6" ht="15" customHeight="1" x14ac:dyDescent="0.2">
      <c r="E16966" s="18"/>
      <c r="F16966" s="18"/>
    </row>
    <row r="16967" spans="5:6" ht="15" customHeight="1" x14ac:dyDescent="0.2">
      <c r="E16967" s="18"/>
      <c r="F16967" s="18"/>
    </row>
    <row r="16968" spans="5:6" ht="15" customHeight="1" x14ac:dyDescent="0.2">
      <c r="E16968" s="18"/>
      <c r="F16968" s="18"/>
    </row>
    <row r="16969" spans="5:6" ht="15" customHeight="1" x14ac:dyDescent="0.2">
      <c r="E16969" s="18"/>
      <c r="F16969" s="18"/>
    </row>
    <row r="16970" spans="5:6" ht="15" customHeight="1" x14ac:dyDescent="0.2">
      <c r="E16970" s="18"/>
      <c r="F16970" s="18"/>
    </row>
    <row r="16971" spans="5:6" ht="15" customHeight="1" x14ac:dyDescent="0.2">
      <c r="E16971" s="18"/>
      <c r="F16971" s="18"/>
    </row>
    <row r="16972" spans="5:6" ht="15" customHeight="1" x14ac:dyDescent="0.2">
      <c r="E16972" s="18"/>
      <c r="F16972" s="18"/>
    </row>
    <row r="16973" spans="5:6" ht="15" customHeight="1" x14ac:dyDescent="0.2">
      <c r="E16973" s="18"/>
      <c r="F16973" s="18"/>
    </row>
    <row r="16974" spans="5:6" ht="15" customHeight="1" x14ac:dyDescent="0.2">
      <c r="E16974" s="18"/>
      <c r="F16974" s="18"/>
    </row>
    <row r="16975" spans="5:6" ht="15" customHeight="1" x14ac:dyDescent="0.2">
      <c r="E16975" s="18"/>
      <c r="F16975" s="18"/>
    </row>
    <row r="16976" spans="5:6" ht="15" customHeight="1" x14ac:dyDescent="0.2">
      <c r="E16976" s="18"/>
      <c r="F16976" s="18"/>
    </row>
    <row r="16977" spans="5:6" ht="15" customHeight="1" x14ac:dyDescent="0.2">
      <c r="E16977" s="18"/>
      <c r="F16977" s="18"/>
    </row>
    <row r="16978" spans="5:6" ht="15" customHeight="1" x14ac:dyDescent="0.2">
      <c r="E16978" s="18"/>
      <c r="F16978" s="18"/>
    </row>
    <row r="16979" spans="5:6" ht="15" customHeight="1" x14ac:dyDescent="0.2">
      <c r="E16979" s="18"/>
      <c r="F16979" s="18"/>
    </row>
    <row r="16980" spans="5:6" ht="15" customHeight="1" x14ac:dyDescent="0.2">
      <c r="E16980" s="18"/>
      <c r="F16980" s="18"/>
    </row>
    <row r="16981" spans="5:6" ht="15" customHeight="1" x14ac:dyDescent="0.2">
      <c r="E16981" s="18"/>
      <c r="F16981" s="18"/>
    </row>
    <row r="16982" spans="5:6" ht="15" customHeight="1" x14ac:dyDescent="0.2">
      <c r="E16982" s="18"/>
      <c r="F16982" s="18"/>
    </row>
    <row r="16983" spans="5:6" ht="15" customHeight="1" x14ac:dyDescent="0.2">
      <c r="E16983" s="18"/>
      <c r="F16983" s="18"/>
    </row>
    <row r="16984" spans="5:6" ht="15" customHeight="1" x14ac:dyDescent="0.2">
      <c r="E16984" s="18"/>
      <c r="F16984" s="18"/>
    </row>
    <row r="16985" spans="5:6" ht="15" customHeight="1" x14ac:dyDescent="0.2">
      <c r="E16985" s="18"/>
      <c r="F16985" s="18"/>
    </row>
    <row r="16986" spans="5:6" ht="15" customHeight="1" x14ac:dyDescent="0.2">
      <c r="E16986" s="18"/>
      <c r="F16986" s="18"/>
    </row>
    <row r="16987" spans="5:6" ht="15" customHeight="1" x14ac:dyDescent="0.2">
      <c r="E16987" s="18"/>
      <c r="F16987" s="18"/>
    </row>
    <row r="16988" spans="5:6" ht="15" customHeight="1" x14ac:dyDescent="0.2">
      <c r="E16988" s="18"/>
      <c r="F16988" s="18"/>
    </row>
    <row r="16989" spans="5:6" ht="15" customHeight="1" x14ac:dyDescent="0.2">
      <c r="E16989" s="18"/>
      <c r="F16989" s="18"/>
    </row>
    <row r="16990" spans="5:6" ht="15" customHeight="1" x14ac:dyDescent="0.2">
      <c r="E16990" s="18"/>
      <c r="F16990" s="18"/>
    </row>
    <row r="16991" spans="5:6" ht="15" customHeight="1" x14ac:dyDescent="0.2">
      <c r="E16991" s="18"/>
      <c r="F16991" s="18"/>
    </row>
    <row r="16992" spans="5:6" ht="15" customHeight="1" x14ac:dyDescent="0.2">
      <c r="E16992" s="18"/>
      <c r="F16992" s="18"/>
    </row>
    <row r="16993" spans="5:6" ht="15" customHeight="1" x14ac:dyDescent="0.2">
      <c r="E16993" s="18"/>
      <c r="F16993" s="18"/>
    </row>
    <row r="16994" spans="5:6" ht="15" customHeight="1" x14ac:dyDescent="0.2">
      <c r="E16994" s="18"/>
      <c r="F16994" s="18"/>
    </row>
    <row r="16995" spans="5:6" ht="15" customHeight="1" x14ac:dyDescent="0.2">
      <c r="E16995" s="18"/>
      <c r="F16995" s="18"/>
    </row>
    <row r="16996" spans="5:6" ht="15" customHeight="1" x14ac:dyDescent="0.2">
      <c r="E16996" s="18"/>
      <c r="F16996" s="18"/>
    </row>
    <row r="16997" spans="5:6" ht="15" customHeight="1" x14ac:dyDescent="0.2">
      <c r="E16997" s="18"/>
      <c r="F16997" s="18"/>
    </row>
    <row r="16998" spans="5:6" ht="15" customHeight="1" x14ac:dyDescent="0.2">
      <c r="E16998" s="18"/>
      <c r="F16998" s="18"/>
    </row>
    <row r="16999" spans="5:6" ht="15" customHeight="1" x14ac:dyDescent="0.2">
      <c r="E16999" s="18"/>
      <c r="F16999" s="18"/>
    </row>
    <row r="17000" spans="5:6" ht="15" customHeight="1" x14ac:dyDescent="0.2">
      <c r="E17000" s="18"/>
      <c r="F17000" s="18"/>
    </row>
    <row r="17001" spans="5:6" ht="15" customHeight="1" x14ac:dyDescent="0.2">
      <c r="E17001" s="18"/>
      <c r="F17001" s="18"/>
    </row>
    <row r="17002" spans="5:6" ht="15" customHeight="1" x14ac:dyDescent="0.2">
      <c r="E17002" s="18"/>
      <c r="F17002" s="18"/>
    </row>
    <row r="17003" spans="5:6" ht="15" customHeight="1" x14ac:dyDescent="0.2">
      <c r="E17003" s="18"/>
      <c r="F17003" s="18"/>
    </row>
    <row r="17004" spans="5:6" ht="15" customHeight="1" x14ac:dyDescent="0.2">
      <c r="E17004" s="18"/>
      <c r="F17004" s="18"/>
    </row>
    <row r="17005" spans="5:6" ht="15" customHeight="1" x14ac:dyDescent="0.2">
      <c r="E17005" s="18"/>
      <c r="F17005" s="18"/>
    </row>
    <row r="17006" spans="5:6" ht="15" customHeight="1" x14ac:dyDescent="0.2">
      <c r="E17006" s="18"/>
      <c r="F17006" s="18"/>
    </row>
    <row r="17007" spans="5:6" ht="15" customHeight="1" x14ac:dyDescent="0.2">
      <c r="E17007" s="18"/>
      <c r="F17007" s="18"/>
    </row>
    <row r="17008" spans="5:6" ht="15" customHeight="1" x14ac:dyDescent="0.2">
      <c r="E17008" s="18"/>
      <c r="F17008" s="18"/>
    </row>
    <row r="17009" spans="5:6" ht="15" customHeight="1" x14ac:dyDescent="0.2">
      <c r="E17009" s="18"/>
      <c r="F17009" s="18"/>
    </row>
    <row r="17010" spans="5:6" ht="15" customHeight="1" x14ac:dyDescent="0.2">
      <c r="E17010" s="18"/>
      <c r="F17010" s="18"/>
    </row>
    <row r="17011" spans="5:6" ht="15" customHeight="1" x14ac:dyDescent="0.2">
      <c r="E17011" s="18"/>
      <c r="F17011" s="18"/>
    </row>
    <row r="17012" spans="5:6" ht="15" customHeight="1" x14ac:dyDescent="0.2">
      <c r="E17012" s="18"/>
      <c r="F17012" s="18"/>
    </row>
    <row r="17013" spans="5:6" ht="15" customHeight="1" x14ac:dyDescent="0.2">
      <c r="E17013" s="18"/>
      <c r="F17013" s="18"/>
    </row>
    <row r="17014" spans="5:6" ht="15" customHeight="1" x14ac:dyDescent="0.2">
      <c r="E17014" s="18"/>
      <c r="F17014" s="18"/>
    </row>
    <row r="17015" spans="5:6" ht="15" customHeight="1" x14ac:dyDescent="0.2">
      <c r="E17015" s="18"/>
      <c r="F17015" s="18"/>
    </row>
    <row r="17016" spans="5:6" ht="15" customHeight="1" x14ac:dyDescent="0.2">
      <c r="E17016" s="18"/>
      <c r="F17016" s="18"/>
    </row>
    <row r="17017" spans="5:6" ht="15" customHeight="1" x14ac:dyDescent="0.2">
      <c r="E17017" s="18"/>
      <c r="F17017" s="18"/>
    </row>
    <row r="17018" spans="5:6" ht="15" customHeight="1" x14ac:dyDescent="0.2">
      <c r="E17018" s="18"/>
      <c r="F17018" s="18"/>
    </row>
    <row r="17019" spans="5:6" ht="15" customHeight="1" x14ac:dyDescent="0.2">
      <c r="E17019" s="18"/>
      <c r="F17019" s="18"/>
    </row>
    <row r="17020" spans="5:6" ht="15" customHeight="1" x14ac:dyDescent="0.2">
      <c r="E17020" s="18"/>
      <c r="F17020" s="18"/>
    </row>
    <row r="17021" spans="5:6" ht="15" customHeight="1" x14ac:dyDescent="0.2">
      <c r="E17021" s="18"/>
      <c r="F17021" s="18"/>
    </row>
    <row r="17022" spans="5:6" ht="15" customHeight="1" x14ac:dyDescent="0.2">
      <c r="E17022" s="18"/>
      <c r="F17022" s="18"/>
    </row>
    <row r="17023" spans="5:6" ht="15" customHeight="1" x14ac:dyDescent="0.2">
      <c r="E17023" s="18"/>
      <c r="F17023" s="18"/>
    </row>
    <row r="17024" spans="5:6" ht="15" customHeight="1" x14ac:dyDescent="0.2">
      <c r="E17024" s="18"/>
      <c r="F17024" s="18"/>
    </row>
    <row r="17025" spans="5:6" ht="15" customHeight="1" x14ac:dyDescent="0.2">
      <c r="E17025" s="18"/>
      <c r="F17025" s="18"/>
    </row>
    <row r="17026" spans="5:6" ht="15" customHeight="1" x14ac:dyDescent="0.2">
      <c r="E17026" s="18"/>
      <c r="F17026" s="18"/>
    </row>
    <row r="17027" spans="5:6" ht="15" customHeight="1" x14ac:dyDescent="0.2">
      <c r="E17027" s="18"/>
      <c r="F17027" s="18"/>
    </row>
    <row r="17028" spans="5:6" ht="15" customHeight="1" x14ac:dyDescent="0.2">
      <c r="E17028" s="18"/>
      <c r="F17028" s="18"/>
    </row>
    <row r="17029" spans="5:6" ht="15" customHeight="1" x14ac:dyDescent="0.2">
      <c r="E17029" s="18"/>
      <c r="F17029" s="18"/>
    </row>
    <row r="17030" spans="5:6" ht="15" customHeight="1" x14ac:dyDescent="0.2">
      <c r="E17030" s="18"/>
      <c r="F17030" s="18"/>
    </row>
    <row r="17031" spans="5:6" ht="15" customHeight="1" x14ac:dyDescent="0.2">
      <c r="E17031" s="18"/>
      <c r="F17031" s="18"/>
    </row>
    <row r="17032" spans="5:6" ht="15" customHeight="1" x14ac:dyDescent="0.2">
      <c r="E17032" s="18"/>
      <c r="F17032" s="18"/>
    </row>
    <row r="17033" spans="5:6" ht="15" customHeight="1" x14ac:dyDescent="0.2">
      <c r="E17033" s="18"/>
      <c r="F17033" s="18"/>
    </row>
    <row r="17034" spans="5:6" ht="15" customHeight="1" x14ac:dyDescent="0.2">
      <c r="E17034" s="18"/>
      <c r="F17034" s="18"/>
    </row>
    <row r="17035" spans="5:6" ht="15" customHeight="1" x14ac:dyDescent="0.2">
      <c r="E17035" s="18"/>
      <c r="F17035" s="18"/>
    </row>
    <row r="17036" spans="5:6" ht="15" customHeight="1" x14ac:dyDescent="0.2">
      <c r="E17036" s="18"/>
      <c r="F17036" s="18"/>
    </row>
    <row r="17037" spans="5:6" ht="15" customHeight="1" x14ac:dyDescent="0.2">
      <c r="E17037" s="18"/>
      <c r="F17037" s="18"/>
    </row>
    <row r="17038" spans="5:6" ht="15" customHeight="1" x14ac:dyDescent="0.2">
      <c r="E17038" s="18"/>
      <c r="F17038" s="18"/>
    </row>
    <row r="17039" spans="5:6" ht="15" customHeight="1" x14ac:dyDescent="0.2">
      <c r="E17039" s="18"/>
      <c r="F17039" s="18"/>
    </row>
    <row r="17040" spans="5:6" ht="15" customHeight="1" x14ac:dyDescent="0.2">
      <c r="E17040" s="18"/>
      <c r="F17040" s="18"/>
    </row>
    <row r="17041" spans="5:6" ht="15" customHeight="1" x14ac:dyDescent="0.2">
      <c r="E17041" s="18"/>
      <c r="F17041" s="18"/>
    </row>
    <row r="17042" spans="5:6" ht="15" customHeight="1" x14ac:dyDescent="0.2">
      <c r="E17042" s="18"/>
      <c r="F17042" s="18"/>
    </row>
    <row r="17043" spans="5:6" ht="15" customHeight="1" x14ac:dyDescent="0.2">
      <c r="E17043" s="18"/>
      <c r="F17043" s="18"/>
    </row>
    <row r="17044" spans="5:6" ht="15" customHeight="1" x14ac:dyDescent="0.2">
      <c r="E17044" s="18"/>
      <c r="F17044" s="18"/>
    </row>
    <row r="17045" spans="5:6" ht="15" customHeight="1" x14ac:dyDescent="0.2">
      <c r="E17045" s="18"/>
      <c r="F17045" s="18"/>
    </row>
    <row r="17046" spans="5:6" ht="15" customHeight="1" x14ac:dyDescent="0.2">
      <c r="E17046" s="18"/>
      <c r="F17046" s="18"/>
    </row>
    <row r="17047" spans="5:6" ht="15" customHeight="1" x14ac:dyDescent="0.2">
      <c r="E17047" s="18"/>
      <c r="F17047" s="18"/>
    </row>
    <row r="17048" spans="5:6" ht="15" customHeight="1" x14ac:dyDescent="0.2">
      <c r="E17048" s="18"/>
      <c r="F17048" s="18"/>
    </row>
    <row r="17049" spans="5:6" ht="15" customHeight="1" x14ac:dyDescent="0.2">
      <c r="E17049" s="18"/>
      <c r="F17049" s="18"/>
    </row>
    <row r="17050" spans="5:6" ht="15" customHeight="1" x14ac:dyDescent="0.2">
      <c r="E17050" s="18"/>
      <c r="F17050" s="18"/>
    </row>
    <row r="17051" spans="5:6" ht="15" customHeight="1" x14ac:dyDescent="0.2">
      <c r="E17051" s="18"/>
      <c r="F17051" s="18"/>
    </row>
    <row r="17052" spans="5:6" ht="15" customHeight="1" x14ac:dyDescent="0.2">
      <c r="E17052" s="18"/>
      <c r="F17052" s="18"/>
    </row>
    <row r="17053" spans="5:6" ht="15" customHeight="1" x14ac:dyDescent="0.2">
      <c r="E17053" s="18"/>
      <c r="F17053" s="18"/>
    </row>
    <row r="17054" spans="5:6" ht="15" customHeight="1" x14ac:dyDescent="0.2">
      <c r="E17054" s="18"/>
      <c r="F17054" s="18"/>
    </row>
    <row r="17055" spans="5:6" ht="15" customHeight="1" x14ac:dyDescent="0.2">
      <c r="E17055" s="18"/>
      <c r="F17055" s="18"/>
    </row>
    <row r="17056" spans="5:6" ht="15" customHeight="1" x14ac:dyDescent="0.2">
      <c r="E17056" s="18"/>
      <c r="F17056" s="18"/>
    </row>
    <row r="17057" spans="5:6" ht="15" customHeight="1" x14ac:dyDescent="0.2">
      <c r="E17057" s="18"/>
      <c r="F17057" s="18"/>
    </row>
    <row r="17058" spans="5:6" ht="15" customHeight="1" x14ac:dyDescent="0.2">
      <c r="E17058" s="18"/>
      <c r="F17058" s="18"/>
    </row>
    <row r="17059" spans="5:6" ht="15" customHeight="1" x14ac:dyDescent="0.2">
      <c r="E17059" s="18"/>
      <c r="F17059" s="18"/>
    </row>
    <row r="17060" spans="5:6" ht="15" customHeight="1" x14ac:dyDescent="0.2">
      <c r="E17060" s="18"/>
      <c r="F17060" s="18"/>
    </row>
    <row r="17061" spans="5:6" ht="15" customHeight="1" x14ac:dyDescent="0.2">
      <c r="E17061" s="18"/>
      <c r="F17061" s="18"/>
    </row>
    <row r="17062" spans="5:6" ht="15" customHeight="1" x14ac:dyDescent="0.2">
      <c r="E17062" s="18"/>
      <c r="F17062" s="18"/>
    </row>
    <row r="17063" spans="5:6" ht="15" customHeight="1" x14ac:dyDescent="0.2">
      <c r="E17063" s="18"/>
      <c r="F17063" s="18"/>
    </row>
    <row r="17064" spans="5:6" ht="15" customHeight="1" x14ac:dyDescent="0.2">
      <c r="E17064" s="18"/>
      <c r="F17064" s="18"/>
    </row>
    <row r="17065" spans="5:6" ht="15" customHeight="1" x14ac:dyDescent="0.2">
      <c r="E17065" s="18"/>
      <c r="F17065" s="18"/>
    </row>
    <row r="17066" spans="5:6" ht="15" customHeight="1" x14ac:dyDescent="0.2">
      <c r="E17066" s="18"/>
      <c r="F17066" s="18"/>
    </row>
    <row r="17067" spans="5:6" ht="15" customHeight="1" x14ac:dyDescent="0.2">
      <c r="E17067" s="18"/>
      <c r="F17067" s="18"/>
    </row>
    <row r="17068" spans="5:6" ht="15" customHeight="1" x14ac:dyDescent="0.2">
      <c r="E17068" s="18"/>
      <c r="F17068" s="18"/>
    </row>
    <row r="17069" spans="5:6" ht="15" customHeight="1" x14ac:dyDescent="0.2">
      <c r="E17069" s="18"/>
      <c r="F17069" s="18"/>
    </row>
    <row r="17070" spans="5:6" ht="15" customHeight="1" x14ac:dyDescent="0.2">
      <c r="E17070" s="18"/>
      <c r="F17070" s="18"/>
    </row>
    <row r="17071" spans="5:6" ht="15" customHeight="1" x14ac:dyDescent="0.2">
      <c r="E17071" s="18"/>
      <c r="F17071" s="18"/>
    </row>
    <row r="17072" spans="5:6" ht="15" customHeight="1" x14ac:dyDescent="0.2">
      <c r="E17072" s="18"/>
      <c r="F17072" s="18"/>
    </row>
    <row r="17073" spans="5:6" ht="15" customHeight="1" x14ac:dyDescent="0.2">
      <c r="E17073" s="18"/>
      <c r="F17073" s="18"/>
    </row>
    <row r="17074" spans="5:6" ht="15" customHeight="1" x14ac:dyDescent="0.2">
      <c r="E17074" s="18"/>
      <c r="F17074" s="18"/>
    </row>
    <row r="17075" spans="5:6" ht="15" customHeight="1" x14ac:dyDescent="0.2">
      <c r="E17075" s="18"/>
      <c r="F17075" s="18"/>
    </row>
    <row r="17076" spans="5:6" ht="15" customHeight="1" x14ac:dyDescent="0.2">
      <c r="E17076" s="18"/>
      <c r="F17076" s="18"/>
    </row>
    <row r="17077" spans="5:6" ht="15" customHeight="1" x14ac:dyDescent="0.2">
      <c r="E17077" s="18"/>
      <c r="F17077" s="18"/>
    </row>
    <row r="17078" spans="5:6" ht="15" customHeight="1" x14ac:dyDescent="0.2">
      <c r="E17078" s="18"/>
      <c r="F17078" s="18"/>
    </row>
    <row r="17079" spans="5:6" ht="15" customHeight="1" x14ac:dyDescent="0.2">
      <c r="E17079" s="18"/>
      <c r="F17079" s="18"/>
    </row>
    <row r="17080" spans="5:6" ht="15" customHeight="1" x14ac:dyDescent="0.2">
      <c r="E17080" s="18"/>
      <c r="F17080" s="18"/>
    </row>
    <row r="17081" spans="5:6" ht="15" customHeight="1" x14ac:dyDescent="0.2">
      <c r="E17081" s="18"/>
      <c r="F17081" s="18"/>
    </row>
    <row r="17082" spans="5:6" ht="15" customHeight="1" x14ac:dyDescent="0.2">
      <c r="E17082" s="18"/>
      <c r="F17082" s="18"/>
    </row>
    <row r="17083" spans="5:6" ht="15" customHeight="1" x14ac:dyDescent="0.2">
      <c r="E17083" s="18"/>
      <c r="F17083" s="18"/>
    </row>
    <row r="17084" spans="5:6" ht="15" customHeight="1" x14ac:dyDescent="0.2">
      <c r="E17084" s="18"/>
      <c r="F17084" s="18"/>
    </row>
    <row r="17085" spans="5:6" ht="15" customHeight="1" x14ac:dyDescent="0.2">
      <c r="E17085" s="18"/>
      <c r="F17085" s="18"/>
    </row>
    <row r="17086" spans="5:6" ht="15" customHeight="1" x14ac:dyDescent="0.2">
      <c r="E17086" s="18"/>
      <c r="F17086" s="18"/>
    </row>
    <row r="17087" spans="5:6" ht="15" customHeight="1" x14ac:dyDescent="0.2">
      <c r="E17087" s="18"/>
      <c r="F17087" s="18"/>
    </row>
    <row r="17088" spans="5:6" ht="15" customHeight="1" x14ac:dyDescent="0.2">
      <c r="E17088" s="18"/>
      <c r="F17088" s="18"/>
    </row>
    <row r="17089" spans="5:6" ht="15" customHeight="1" x14ac:dyDescent="0.2">
      <c r="E17089" s="18"/>
      <c r="F17089" s="18"/>
    </row>
    <row r="17090" spans="5:6" ht="15" customHeight="1" x14ac:dyDescent="0.2">
      <c r="E17090" s="18"/>
      <c r="F17090" s="18"/>
    </row>
    <row r="17091" spans="5:6" ht="15" customHeight="1" x14ac:dyDescent="0.2">
      <c r="E17091" s="18"/>
      <c r="F17091" s="18"/>
    </row>
    <row r="17092" spans="5:6" ht="15" customHeight="1" x14ac:dyDescent="0.2">
      <c r="E17092" s="18"/>
      <c r="F17092" s="18"/>
    </row>
    <row r="17093" spans="5:6" ht="15" customHeight="1" x14ac:dyDescent="0.2">
      <c r="E17093" s="18"/>
      <c r="F17093" s="18"/>
    </row>
    <row r="17094" spans="5:6" ht="15" customHeight="1" x14ac:dyDescent="0.2">
      <c r="E17094" s="18"/>
      <c r="F17094" s="18"/>
    </row>
    <row r="17095" spans="5:6" ht="15" customHeight="1" x14ac:dyDescent="0.2">
      <c r="E17095" s="18"/>
      <c r="F17095" s="18"/>
    </row>
    <row r="17096" spans="5:6" ht="15" customHeight="1" x14ac:dyDescent="0.2">
      <c r="E17096" s="18"/>
      <c r="F17096" s="18"/>
    </row>
    <row r="17097" spans="5:6" ht="15" customHeight="1" x14ac:dyDescent="0.2">
      <c r="E17097" s="18"/>
      <c r="F17097" s="18"/>
    </row>
    <row r="17098" spans="5:6" ht="15" customHeight="1" x14ac:dyDescent="0.2">
      <c r="E17098" s="18"/>
      <c r="F17098" s="18"/>
    </row>
    <row r="17099" spans="5:6" ht="15" customHeight="1" x14ac:dyDescent="0.2">
      <c r="E17099" s="18"/>
      <c r="F17099" s="18"/>
    </row>
    <row r="17100" spans="5:6" ht="15" customHeight="1" x14ac:dyDescent="0.2">
      <c r="E17100" s="18"/>
      <c r="F17100" s="18"/>
    </row>
    <row r="17101" spans="5:6" ht="15" customHeight="1" x14ac:dyDescent="0.2">
      <c r="E17101" s="18"/>
      <c r="F17101" s="18"/>
    </row>
    <row r="17102" spans="5:6" ht="15" customHeight="1" x14ac:dyDescent="0.2">
      <c r="E17102" s="18"/>
      <c r="F17102" s="18"/>
    </row>
    <row r="17103" spans="5:6" ht="15" customHeight="1" x14ac:dyDescent="0.2">
      <c r="E17103" s="18"/>
      <c r="F17103" s="18"/>
    </row>
    <row r="17104" spans="5:6" ht="15" customHeight="1" x14ac:dyDescent="0.2">
      <c r="E17104" s="18"/>
      <c r="F17104" s="18"/>
    </row>
    <row r="17105" spans="5:6" ht="15" customHeight="1" x14ac:dyDescent="0.2">
      <c r="E17105" s="18"/>
      <c r="F17105" s="18"/>
    </row>
    <row r="17106" spans="5:6" ht="15" customHeight="1" x14ac:dyDescent="0.2">
      <c r="E17106" s="18"/>
      <c r="F17106" s="18"/>
    </row>
    <row r="17107" spans="5:6" ht="15" customHeight="1" x14ac:dyDescent="0.2">
      <c r="E17107" s="18"/>
      <c r="F17107" s="18"/>
    </row>
    <row r="17108" spans="5:6" ht="15" customHeight="1" x14ac:dyDescent="0.2">
      <c r="E17108" s="18"/>
      <c r="F17108" s="18"/>
    </row>
    <row r="17109" spans="5:6" ht="15" customHeight="1" x14ac:dyDescent="0.2">
      <c r="E17109" s="18"/>
      <c r="F17109" s="18"/>
    </row>
    <row r="17110" spans="5:6" ht="15" customHeight="1" x14ac:dyDescent="0.2">
      <c r="E17110" s="18"/>
      <c r="F17110" s="18"/>
    </row>
    <row r="17111" spans="5:6" ht="15" customHeight="1" x14ac:dyDescent="0.2">
      <c r="E17111" s="18"/>
      <c r="F17111" s="18"/>
    </row>
    <row r="17112" spans="5:6" ht="15" customHeight="1" x14ac:dyDescent="0.2">
      <c r="E17112" s="18"/>
      <c r="F17112" s="18"/>
    </row>
    <row r="17113" spans="5:6" ht="15" customHeight="1" x14ac:dyDescent="0.2">
      <c r="E17113" s="18"/>
      <c r="F17113" s="18"/>
    </row>
    <row r="17114" spans="5:6" ht="15" customHeight="1" x14ac:dyDescent="0.2">
      <c r="E17114" s="18"/>
      <c r="F17114" s="18"/>
    </row>
    <row r="17115" spans="5:6" ht="15" customHeight="1" x14ac:dyDescent="0.2">
      <c r="E17115" s="18"/>
      <c r="F17115" s="18"/>
    </row>
    <row r="17116" spans="5:6" ht="15" customHeight="1" x14ac:dyDescent="0.2">
      <c r="E17116" s="18"/>
      <c r="F17116" s="18"/>
    </row>
    <row r="17117" spans="5:6" ht="15" customHeight="1" x14ac:dyDescent="0.2">
      <c r="E17117" s="18"/>
      <c r="F17117" s="18"/>
    </row>
    <row r="17118" spans="5:6" ht="15" customHeight="1" x14ac:dyDescent="0.2">
      <c r="E17118" s="18"/>
      <c r="F17118" s="18"/>
    </row>
    <row r="17119" spans="5:6" ht="15" customHeight="1" x14ac:dyDescent="0.2">
      <c r="E17119" s="18"/>
      <c r="F17119" s="18"/>
    </row>
    <row r="17120" spans="5:6" ht="15" customHeight="1" x14ac:dyDescent="0.2">
      <c r="E17120" s="18"/>
      <c r="F17120" s="18"/>
    </row>
    <row r="17121" spans="5:6" ht="15" customHeight="1" x14ac:dyDescent="0.2">
      <c r="E17121" s="18"/>
      <c r="F17121" s="18"/>
    </row>
    <row r="17122" spans="5:6" ht="15" customHeight="1" x14ac:dyDescent="0.2">
      <c r="E17122" s="18"/>
      <c r="F17122" s="18"/>
    </row>
    <row r="17123" spans="5:6" ht="15" customHeight="1" x14ac:dyDescent="0.2">
      <c r="E17123" s="18"/>
      <c r="F17123" s="18"/>
    </row>
    <row r="17124" spans="5:6" ht="15" customHeight="1" x14ac:dyDescent="0.2">
      <c r="E17124" s="18"/>
      <c r="F17124" s="18"/>
    </row>
    <row r="17125" spans="5:6" ht="15" customHeight="1" x14ac:dyDescent="0.2">
      <c r="E17125" s="18"/>
      <c r="F17125" s="18"/>
    </row>
    <row r="17126" spans="5:6" ht="15" customHeight="1" x14ac:dyDescent="0.2">
      <c r="E17126" s="18"/>
      <c r="F17126" s="18"/>
    </row>
    <row r="17127" spans="5:6" ht="15" customHeight="1" x14ac:dyDescent="0.2">
      <c r="E17127" s="18"/>
      <c r="F17127" s="18"/>
    </row>
    <row r="17128" spans="5:6" ht="15" customHeight="1" x14ac:dyDescent="0.2">
      <c r="E17128" s="18"/>
      <c r="F17128" s="18"/>
    </row>
    <row r="17129" spans="5:6" ht="15" customHeight="1" x14ac:dyDescent="0.2">
      <c r="E17129" s="18"/>
      <c r="F17129" s="18"/>
    </row>
    <row r="17130" spans="5:6" ht="15" customHeight="1" x14ac:dyDescent="0.2">
      <c r="E17130" s="18"/>
      <c r="F17130" s="18"/>
    </row>
    <row r="17131" spans="5:6" ht="15" customHeight="1" x14ac:dyDescent="0.2">
      <c r="E17131" s="18"/>
      <c r="F17131" s="18"/>
    </row>
    <row r="17132" spans="5:6" ht="15" customHeight="1" x14ac:dyDescent="0.2">
      <c r="E17132" s="18"/>
      <c r="F17132" s="18"/>
    </row>
    <row r="17133" spans="5:6" ht="15" customHeight="1" x14ac:dyDescent="0.2">
      <c r="E17133" s="18"/>
      <c r="F17133" s="18"/>
    </row>
    <row r="17134" spans="5:6" ht="15" customHeight="1" x14ac:dyDescent="0.2">
      <c r="E17134" s="18"/>
      <c r="F17134" s="18"/>
    </row>
    <row r="17135" spans="5:6" ht="15" customHeight="1" x14ac:dyDescent="0.2">
      <c r="E17135" s="18"/>
      <c r="F17135" s="18"/>
    </row>
    <row r="17136" spans="5:6" ht="15" customHeight="1" x14ac:dyDescent="0.2">
      <c r="E17136" s="18"/>
      <c r="F17136" s="18"/>
    </row>
    <row r="17137" spans="5:6" ht="15" customHeight="1" x14ac:dyDescent="0.2">
      <c r="E17137" s="18"/>
      <c r="F17137" s="18"/>
    </row>
    <row r="17138" spans="5:6" ht="15" customHeight="1" x14ac:dyDescent="0.2">
      <c r="E17138" s="18"/>
      <c r="F17138" s="18"/>
    </row>
    <row r="17139" spans="5:6" ht="15" customHeight="1" x14ac:dyDescent="0.2">
      <c r="E17139" s="18"/>
      <c r="F17139" s="18"/>
    </row>
    <row r="17140" spans="5:6" ht="15" customHeight="1" x14ac:dyDescent="0.2">
      <c r="E17140" s="18"/>
      <c r="F17140" s="18"/>
    </row>
    <row r="17141" spans="5:6" ht="15" customHeight="1" x14ac:dyDescent="0.2">
      <c r="E17141" s="18"/>
      <c r="F17141" s="18"/>
    </row>
    <row r="17142" spans="5:6" ht="15" customHeight="1" x14ac:dyDescent="0.2">
      <c r="E17142" s="18"/>
      <c r="F17142" s="18"/>
    </row>
    <row r="17143" spans="5:6" ht="15" customHeight="1" x14ac:dyDescent="0.2">
      <c r="E17143" s="18"/>
      <c r="F17143" s="18"/>
    </row>
    <row r="17144" spans="5:6" ht="15" customHeight="1" x14ac:dyDescent="0.2">
      <c r="E17144" s="18"/>
      <c r="F17144" s="18"/>
    </row>
    <row r="17145" spans="5:6" ht="15" customHeight="1" x14ac:dyDescent="0.2">
      <c r="E17145" s="18"/>
      <c r="F17145" s="18"/>
    </row>
    <row r="17146" spans="5:6" ht="15" customHeight="1" x14ac:dyDescent="0.2">
      <c r="E17146" s="18"/>
      <c r="F17146" s="18"/>
    </row>
    <row r="17147" spans="5:6" ht="15" customHeight="1" x14ac:dyDescent="0.2">
      <c r="E17147" s="18"/>
      <c r="F17147" s="18"/>
    </row>
    <row r="17148" spans="5:6" ht="15" customHeight="1" x14ac:dyDescent="0.2">
      <c r="E17148" s="18"/>
      <c r="F17148" s="18"/>
    </row>
    <row r="17149" spans="5:6" ht="15" customHeight="1" x14ac:dyDescent="0.2">
      <c r="E17149" s="18"/>
      <c r="F17149" s="18"/>
    </row>
    <row r="17150" spans="5:6" ht="15" customHeight="1" x14ac:dyDescent="0.2">
      <c r="E17150" s="18"/>
      <c r="F17150" s="18"/>
    </row>
    <row r="17151" spans="5:6" ht="15" customHeight="1" x14ac:dyDescent="0.2">
      <c r="E17151" s="18"/>
      <c r="F17151" s="18"/>
    </row>
    <row r="17152" spans="5:6" ht="15" customHeight="1" x14ac:dyDescent="0.2">
      <c r="E17152" s="18"/>
      <c r="F17152" s="18"/>
    </row>
    <row r="17153" spans="5:6" ht="15" customHeight="1" x14ac:dyDescent="0.2">
      <c r="E17153" s="18"/>
      <c r="F17153" s="18"/>
    </row>
    <row r="17154" spans="5:6" ht="15" customHeight="1" x14ac:dyDescent="0.2">
      <c r="E17154" s="18"/>
      <c r="F17154" s="18"/>
    </row>
    <row r="17155" spans="5:6" ht="15" customHeight="1" x14ac:dyDescent="0.2">
      <c r="E17155" s="18"/>
      <c r="F17155" s="18"/>
    </row>
    <row r="17156" spans="5:6" ht="15" customHeight="1" x14ac:dyDescent="0.2">
      <c r="E17156" s="18"/>
      <c r="F17156" s="18"/>
    </row>
    <row r="17157" spans="5:6" ht="15" customHeight="1" x14ac:dyDescent="0.2">
      <c r="E17157" s="18"/>
      <c r="F17157" s="18"/>
    </row>
    <row r="17158" spans="5:6" ht="15" customHeight="1" x14ac:dyDescent="0.2">
      <c r="E17158" s="18"/>
      <c r="F17158" s="18"/>
    </row>
    <row r="17159" spans="5:6" ht="15" customHeight="1" x14ac:dyDescent="0.2">
      <c r="E17159" s="18"/>
      <c r="F17159" s="18"/>
    </row>
    <row r="17160" spans="5:6" ht="15" customHeight="1" x14ac:dyDescent="0.2">
      <c r="E17160" s="18"/>
      <c r="F17160" s="18"/>
    </row>
    <row r="17161" spans="5:6" ht="15" customHeight="1" x14ac:dyDescent="0.2">
      <c r="E17161" s="18"/>
      <c r="F17161" s="18"/>
    </row>
    <row r="17162" spans="5:6" ht="15" customHeight="1" x14ac:dyDescent="0.2">
      <c r="E17162" s="18"/>
      <c r="F17162" s="18"/>
    </row>
    <row r="17163" spans="5:6" ht="15" customHeight="1" x14ac:dyDescent="0.2">
      <c r="E17163" s="18"/>
      <c r="F17163" s="18"/>
    </row>
    <row r="17164" spans="5:6" ht="15" customHeight="1" x14ac:dyDescent="0.2">
      <c r="E17164" s="18"/>
      <c r="F17164" s="18"/>
    </row>
    <row r="17165" spans="5:6" ht="15" customHeight="1" x14ac:dyDescent="0.2">
      <c r="E17165" s="18"/>
      <c r="F17165" s="18"/>
    </row>
    <row r="17166" spans="5:6" ht="15" customHeight="1" x14ac:dyDescent="0.2">
      <c r="E17166" s="18"/>
      <c r="F17166" s="18"/>
    </row>
    <row r="17167" spans="5:6" ht="15" customHeight="1" x14ac:dyDescent="0.2">
      <c r="E17167" s="18"/>
      <c r="F17167" s="18"/>
    </row>
    <row r="17168" spans="5:6" ht="15" customHeight="1" x14ac:dyDescent="0.2">
      <c r="E17168" s="18"/>
      <c r="F17168" s="18"/>
    </row>
    <row r="17169" spans="5:6" ht="15" customHeight="1" x14ac:dyDescent="0.2">
      <c r="E17169" s="18"/>
      <c r="F17169" s="18"/>
    </row>
    <row r="17170" spans="5:6" ht="15" customHeight="1" x14ac:dyDescent="0.2">
      <c r="E17170" s="18"/>
      <c r="F17170" s="18"/>
    </row>
    <row r="17171" spans="5:6" ht="15" customHeight="1" x14ac:dyDescent="0.2">
      <c r="E17171" s="18"/>
      <c r="F17171" s="18"/>
    </row>
    <row r="17172" spans="5:6" ht="15" customHeight="1" x14ac:dyDescent="0.2">
      <c r="E17172" s="18"/>
      <c r="F17172" s="18"/>
    </row>
    <row r="17173" spans="5:6" ht="15" customHeight="1" x14ac:dyDescent="0.2">
      <c r="E17173" s="18"/>
      <c r="F17173" s="18"/>
    </row>
    <row r="17174" spans="5:6" ht="15" customHeight="1" x14ac:dyDescent="0.2">
      <c r="E17174" s="18"/>
      <c r="F17174" s="18"/>
    </row>
    <row r="17175" spans="5:6" ht="15" customHeight="1" x14ac:dyDescent="0.2">
      <c r="E17175" s="18"/>
      <c r="F17175" s="18"/>
    </row>
    <row r="17176" spans="5:6" ht="15" customHeight="1" x14ac:dyDescent="0.2">
      <c r="E17176" s="18"/>
      <c r="F17176" s="18"/>
    </row>
    <row r="17177" spans="5:6" ht="15" customHeight="1" x14ac:dyDescent="0.2">
      <c r="E17177" s="18"/>
      <c r="F17177" s="18"/>
    </row>
    <row r="17178" spans="5:6" ht="15" customHeight="1" x14ac:dyDescent="0.2">
      <c r="E17178" s="18"/>
      <c r="F17178" s="18"/>
    </row>
    <row r="17179" spans="5:6" ht="15" customHeight="1" x14ac:dyDescent="0.2">
      <c r="E17179" s="18"/>
      <c r="F17179" s="18"/>
    </row>
    <row r="17180" spans="5:6" ht="15" customHeight="1" x14ac:dyDescent="0.2">
      <c r="E17180" s="18"/>
      <c r="F17180" s="18"/>
    </row>
    <row r="17181" spans="5:6" ht="15" customHeight="1" x14ac:dyDescent="0.2">
      <c r="E17181" s="18"/>
      <c r="F17181" s="18"/>
    </row>
    <row r="17182" spans="5:6" ht="15" customHeight="1" x14ac:dyDescent="0.2">
      <c r="E17182" s="18"/>
      <c r="F17182" s="18"/>
    </row>
    <row r="17183" spans="5:6" ht="15" customHeight="1" x14ac:dyDescent="0.2">
      <c r="E17183" s="18"/>
      <c r="F17183" s="18"/>
    </row>
    <row r="17184" spans="5:6" ht="15" customHeight="1" x14ac:dyDescent="0.2">
      <c r="E17184" s="18"/>
      <c r="F17184" s="18"/>
    </row>
    <row r="17185" spans="5:6" ht="15" customHeight="1" x14ac:dyDescent="0.2">
      <c r="E17185" s="18"/>
      <c r="F17185" s="18"/>
    </row>
    <row r="17186" spans="5:6" ht="15" customHeight="1" x14ac:dyDescent="0.2">
      <c r="E17186" s="18"/>
      <c r="F17186" s="18"/>
    </row>
    <row r="17187" spans="5:6" ht="15" customHeight="1" x14ac:dyDescent="0.2">
      <c r="E17187" s="18"/>
      <c r="F17187" s="18"/>
    </row>
    <row r="17188" spans="5:6" ht="15" customHeight="1" x14ac:dyDescent="0.2">
      <c r="E17188" s="18"/>
      <c r="F17188" s="18"/>
    </row>
    <row r="17189" spans="5:6" ht="15" customHeight="1" x14ac:dyDescent="0.2">
      <c r="E17189" s="18"/>
      <c r="F17189" s="18"/>
    </row>
    <row r="17190" spans="5:6" ht="15" customHeight="1" x14ac:dyDescent="0.2">
      <c r="E17190" s="18"/>
      <c r="F17190" s="18"/>
    </row>
    <row r="17191" spans="5:6" ht="15" customHeight="1" x14ac:dyDescent="0.2">
      <c r="E17191" s="18"/>
      <c r="F17191" s="18"/>
    </row>
    <row r="17192" spans="5:6" ht="15" customHeight="1" x14ac:dyDescent="0.2">
      <c r="E17192" s="18"/>
      <c r="F17192" s="18"/>
    </row>
    <row r="17193" spans="5:6" ht="15" customHeight="1" x14ac:dyDescent="0.2">
      <c r="E17193" s="18"/>
      <c r="F17193" s="18"/>
    </row>
    <row r="17194" spans="5:6" ht="15" customHeight="1" x14ac:dyDescent="0.2">
      <c r="E17194" s="18"/>
      <c r="F17194" s="18"/>
    </row>
    <row r="17195" spans="5:6" ht="15" customHeight="1" x14ac:dyDescent="0.2">
      <c r="E17195" s="18"/>
      <c r="F17195" s="18"/>
    </row>
    <row r="17196" spans="5:6" ht="15" customHeight="1" x14ac:dyDescent="0.2">
      <c r="E17196" s="18"/>
      <c r="F17196" s="18"/>
    </row>
    <row r="17197" spans="5:6" ht="15" customHeight="1" x14ac:dyDescent="0.2">
      <c r="E17197" s="18"/>
      <c r="F17197" s="18"/>
    </row>
    <row r="17198" spans="5:6" ht="15" customHeight="1" x14ac:dyDescent="0.2">
      <c r="E17198" s="18"/>
      <c r="F17198" s="18"/>
    </row>
    <row r="17199" spans="5:6" ht="15" customHeight="1" x14ac:dyDescent="0.2">
      <c r="E17199" s="18"/>
      <c r="F17199" s="18"/>
    </row>
    <row r="17200" spans="5:6" ht="15" customHeight="1" x14ac:dyDescent="0.2">
      <c r="E17200" s="18"/>
      <c r="F17200" s="18"/>
    </row>
    <row r="17201" spans="5:6" ht="15" customHeight="1" x14ac:dyDescent="0.2">
      <c r="E17201" s="18"/>
      <c r="F17201" s="18"/>
    </row>
    <row r="17202" spans="5:6" ht="15" customHeight="1" x14ac:dyDescent="0.2">
      <c r="E17202" s="18"/>
      <c r="F17202" s="18"/>
    </row>
    <row r="17203" spans="5:6" ht="15" customHeight="1" x14ac:dyDescent="0.2">
      <c r="E17203" s="18"/>
      <c r="F17203" s="18"/>
    </row>
    <row r="17204" spans="5:6" ht="15" customHeight="1" x14ac:dyDescent="0.2">
      <c r="E17204" s="18"/>
      <c r="F17204" s="18"/>
    </row>
    <row r="17205" spans="5:6" ht="15" customHeight="1" x14ac:dyDescent="0.2">
      <c r="E17205" s="18"/>
      <c r="F17205" s="18"/>
    </row>
    <row r="17206" spans="5:6" ht="15" customHeight="1" x14ac:dyDescent="0.2">
      <c r="E17206" s="18"/>
      <c r="F17206" s="18"/>
    </row>
    <row r="17207" spans="5:6" ht="15" customHeight="1" x14ac:dyDescent="0.2">
      <c r="E17207" s="18"/>
      <c r="F17207" s="18"/>
    </row>
    <row r="17208" spans="5:6" ht="15" customHeight="1" x14ac:dyDescent="0.2">
      <c r="E17208" s="18"/>
      <c r="F17208" s="18"/>
    </row>
    <row r="17209" spans="5:6" ht="15" customHeight="1" x14ac:dyDescent="0.2">
      <c r="E17209" s="18"/>
      <c r="F17209" s="18"/>
    </row>
    <row r="17210" spans="5:6" ht="15" customHeight="1" x14ac:dyDescent="0.2">
      <c r="E17210" s="18"/>
      <c r="F17210" s="18"/>
    </row>
    <row r="17211" spans="5:6" ht="15" customHeight="1" x14ac:dyDescent="0.2">
      <c r="E17211" s="18"/>
      <c r="F17211" s="18"/>
    </row>
    <row r="17212" spans="5:6" ht="15" customHeight="1" x14ac:dyDescent="0.2">
      <c r="E17212" s="18"/>
      <c r="F17212" s="18"/>
    </row>
    <row r="17213" spans="5:6" ht="15" customHeight="1" x14ac:dyDescent="0.2">
      <c r="E17213" s="18"/>
      <c r="F17213" s="18"/>
    </row>
    <row r="17214" spans="5:6" ht="15" customHeight="1" x14ac:dyDescent="0.2">
      <c r="E17214" s="18"/>
      <c r="F17214" s="18"/>
    </row>
    <row r="17215" spans="5:6" ht="15" customHeight="1" x14ac:dyDescent="0.2">
      <c r="E17215" s="18"/>
      <c r="F17215" s="18"/>
    </row>
    <row r="17216" spans="5:6" ht="15" customHeight="1" x14ac:dyDescent="0.2">
      <c r="E17216" s="18"/>
      <c r="F17216" s="18"/>
    </row>
    <row r="17217" spans="5:6" ht="15" customHeight="1" x14ac:dyDescent="0.2">
      <c r="E17217" s="18"/>
      <c r="F17217" s="18"/>
    </row>
    <row r="17218" spans="5:6" ht="15" customHeight="1" x14ac:dyDescent="0.2">
      <c r="E17218" s="18"/>
      <c r="F17218" s="18"/>
    </row>
    <row r="17219" spans="5:6" ht="15" customHeight="1" x14ac:dyDescent="0.2">
      <c r="E17219" s="18"/>
      <c r="F17219" s="18"/>
    </row>
    <row r="17220" spans="5:6" ht="15" customHeight="1" x14ac:dyDescent="0.2">
      <c r="E17220" s="18"/>
      <c r="F17220" s="18"/>
    </row>
    <row r="17221" spans="5:6" ht="15" customHeight="1" x14ac:dyDescent="0.2">
      <c r="E17221" s="18"/>
      <c r="F17221" s="18"/>
    </row>
    <row r="17222" spans="5:6" ht="15" customHeight="1" x14ac:dyDescent="0.2">
      <c r="E17222" s="18"/>
      <c r="F17222" s="18"/>
    </row>
    <row r="17223" spans="5:6" ht="15" customHeight="1" x14ac:dyDescent="0.2">
      <c r="E17223" s="18"/>
      <c r="F17223" s="18"/>
    </row>
    <row r="17224" spans="5:6" ht="15" customHeight="1" x14ac:dyDescent="0.2">
      <c r="E17224" s="18"/>
      <c r="F17224" s="18"/>
    </row>
    <row r="17225" spans="5:6" ht="15" customHeight="1" x14ac:dyDescent="0.2">
      <c r="E17225" s="18"/>
      <c r="F17225" s="18"/>
    </row>
    <row r="17226" spans="5:6" ht="15" customHeight="1" x14ac:dyDescent="0.2">
      <c r="E17226" s="18"/>
      <c r="F17226" s="18"/>
    </row>
    <row r="17227" spans="5:6" ht="15" customHeight="1" x14ac:dyDescent="0.2">
      <c r="E17227" s="18"/>
      <c r="F17227" s="18"/>
    </row>
    <row r="17228" spans="5:6" ht="15" customHeight="1" x14ac:dyDescent="0.2">
      <c r="E17228" s="18"/>
      <c r="F17228" s="18"/>
    </row>
    <row r="17229" spans="5:6" ht="15" customHeight="1" x14ac:dyDescent="0.2">
      <c r="E17229" s="18"/>
      <c r="F17229" s="18"/>
    </row>
    <row r="17230" spans="5:6" ht="15" customHeight="1" x14ac:dyDescent="0.2">
      <c r="E17230" s="18"/>
      <c r="F17230" s="18"/>
    </row>
    <row r="17231" spans="5:6" ht="15" customHeight="1" x14ac:dyDescent="0.2">
      <c r="E17231" s="18"/>
      <c r="F17231" s="18"/>
    </row>
    <row r="17232" spans="5:6" ht="15" customHeight="1" x14ac:dyDescent="0.2">
      <c r="E17232" s="18"/>
      <c r="F17232" s="18"/>
    </row>
    <row r="17233" spans="5:6" ht="15" customHeight="1" x14ac:dyDescent="0.2">
      <c r="E17233" s="18"/>
      <c r="F17233" s="18"/>
    </row>
    <row r="17234" spans="5:6" ht="15" customHeight="1" x14ac:dyDescent="0.2">
      <c r="E17234" s="18"/>
      <c r="F17234" s="18"/>
    </row>
    <row r="17235" spans="5:6" ht="15" customHeight="1" x14ac:dyDescent="0.2">
      <c r="E17235" s="18"/>
      <c r="F17235" s="18"/>
    </row>
    <row r="17236" spans="5:6" ht="15" customHeight="1" x14ac:dyDescent="0.2">
      <c r="E17236" s="18"/>
      <c r="F17236" s="18"/>
    </row>
    <row r="17237" spans="5:6" ht="15" customHeight="1" x14ac:dyDescent="0.2">
      <c r="E17237" s="18"/>
      <c r="F17237" s="18"/>
    </row>
    <row r="17238" spans="5:6" ht="15" customHeight="1" x14ac:dyDescent="0.2">
      <c r="E17238" s="18"/>
      <c r="F17238" s="18"/>
    </row>
    <row r="17239" spans="5:6" ht="15" customHeight="1" x14ac:dyDescent="0.2">
      <c r="E17239" s="18"/>
      <c r="F17239" s="18"/>
    </row>
    <row r="17240" spans="5:6" ht="15" customHeight="1" x14ac:dyDescent="0.2">
      <c r="E17240" s="18"/>
      <c r="F17240" s="18"/>
    </row>
    <row r="17241" spans="5:6" ht="15" customHeight="1" x14ac:dyDescent="0.2">
      <c r="E17241" s="18"/>
      <c r="F17241" s="18"/>
    </row>
    <row r="17242" spans="5:6" ht="15" customHeight="1" x14ac:dyDescent="0.2">
      <c r="E17242" s="18"/>
      <c r="F17242" s="18"/>
    </row>
    <row r="17243" spans="5:6" ht="15" customHeight="1" x14ac:dyDescent="0.2">
      <c r="E17243" s="18"/>
      <c r="F17243" s="18"/>
    </row>
    <row r="17244" spans="5:6" ht="15" customHeight="1" x14ac:dyDescent="0.2">
      <c r="E17244" s="18"/>
      <c r="F17244" s="18"/>
    </row>
    <row r="17245" spans="5:6" ht="15" customHeight="1" x14ac:dyDescent="0.2">
      <c r="E17245" s="18"/>
      <c r="F17245" s="18"/>
    </row>
    <row r="17246" spans="5:6" ht="15" customHeight="1" x14ac:dyDescent="0.2">
      <c r="E17246" s="18"/>
      <c r="F17246" s="18"/>
    </row>
    <row r="17247" spans="5:6" ht="15" customHeight="1" x14ac:dyDescent="0.2">
      <c r="E17247" s="18"/>
      <c r="F17247" s="18"/>
    </row>
    <row r="17248" spans="5:6" ht="15" customHeight="1" x14ac:dyDescent="0.2">
      <c r="E17248" s="18"/>
      <c r="F17248" s="18"/>
    </row>
    <row r="17249" spans="5:6" ht="15" customHeight="1" x14ac:dyDescent="0.2">
      <c r="E17249" s="18"/>
      <c r="F17249" s="18"/>
    </row>
    <row r="17250" spans="5:6" ht="15" customHeight="1" x14ac:dyDescent="0.2">
      <c r="E17250" s="18"/>
      <c r="F17250" s="18"/>
    </row>
    <row r="17251" spans="5:6" ht="15" customHeight="1" x14ac:dyDescent="0.2">
      <c r="E17251" s="18"/>
      <c r="F17251" s="18"/>
    </row>
    <row r="17252" spans="5:6" ht="15" customHeight="1" x14ac:dyDescent="0.2">
      <c r="E17252" s="18"/>
      <c r="F17252" s="18"/>
    </row>
    <row r="17253" spans="5:6" ht="15" customHeight="1" x14ac:dyDescent="0.2">
      <c r="E17253" s="18"/>
      <c r="F17253" s="18"/>
    </row>
    <row r="17254" spans="5:6" ht="15" customHeight="1" x14ac:dyDescent="0.2">
      <c r="E17254" s="18"/>
      <c r="F17254" s="18"/>
    </row>
    <row r="17255" spans="5:6" ht="15" customHeight="1" x14ac:dyDescent="0.2">
      <c r="E17255" s="18"/>
      <c r="F17255" s="18"/>
    </row>
    <row r="17256" spans="5:6" ht="15" customHeight="1" x14ac:dyDescent="0.2">
      <c r="E17256" s="18"/>
      <c r="F17256" s="18"/>
    </row>
    <row r="17257" spans="5:6" ht="15" customHeight="1" x14ac:dyDescent="0.2">
      <c r="E17257" s="18"/>
      <c r="F17257" s="18"/>
    </row>
    <row r="17258" spans="5:6" ht="15" customHeight="1" x14ac:dyDescent="0.2">
      <c r="E17258" s="18"/>
      <c r="F17258" s="18"/>
    </row>
    <row r="17259" spans="5:6" ht="15" customHeight="1" x14ac:dyDescent="0.2">
      <c r="E17259" s="18"/>
      <c r="F17259" s="18"/>
    </row>
    <row r="17260" spans="5:6" ht="15" customHeight="1" x14ac:dyDescent="0.2">
      <c r="E17260" s="18"/>
      <c r="F17260" s="18"/>
    </row>
    <row r="17261" spans="5:6" ht="15" customHeight="1" x14ac:dyDescent="0.2">
      <c r="E17261" s="18"/>
      <c r="F17261" s="18"/>
    </row>
    <row r="17262" spans="5:6" ht="15" customHeight="1" x14ac:dyDescent="0.2">
      <c r="E17262" s="18"/>
      <c r="F17262" s="18"/>
    </row>
    <row r="17263" spans="5:6" ht="15" customHeight="1" x14ac:dyDescent="0.2">
      <c r="E17263" s="18"/>
      <c r="F17263" s="18"/>
    </row>
    <row r="17264" spans="5:6" ht="15" customHeight="1" x14ac:dyDescent="0.2">
      <c r="E17264" s="18"/>
      <c r="F17264" s="18"/>
    </row>
    <row r="17265" spans="5:6" ht="15" customHeight="1" x14ac:dyDescent="0.2">
      <c r="E17265" s="18"/>
      <c r="F17265" s="18"/>
    </row>
    <row r="17266" spans="5:6" ht="15" customHeight="1" x14ac:dyDescent="0.2">
      <c r="E17266" s="18"/>
      <c r="F17266" s="18"/>
    </row>
    <row r="17267" spans="5:6" ht="15" customHeight="1" x14ac:dyDescent="0.2">
      <c r="E17267" s="18"/>
      <c r="F17267" s="18"/>
    </row>
    <row r="17268" spans="5:6" ht="15" customHeight="1" x14ac:dyDescent="0.2">
      <c r="E17268" s="18"/>
      <c r="F17268" s="18"/>
    </row>
    <row r="17269" spans="5:6" ht="15" customHeight="1" x14ac:dyDescent="0.2">
      <c r="E17269" s="18"/>
      <c r="F17269" s="18"/>
    </row>
    <row r="17270" spans="5:6" ht="15" customHeight="1" x14ac:dyDescent="0.2">
      <c r="E17270" s="18"/>
      <c r="F17270" s="18"/>
    </row>
    <row r="17271" spans="5:6" ht="15" customHeight="1" x14ac:dyDescent="0.2">
      <c r="E17271" s="18"/>
      <c r="F17271" s="18"/>
    </row>
    <row r="17272" spans="5:6" ht="15" customHeight="1" x14ac:dyDescent="0.2">
      <c r="E17272" s="18"/>
      <c r="F17272" s="18"/>
    </row>
    <row r="17273" spans="5:6" ht="15" customHeight="1" x14ac:dyDescent="0.2">
      <c r="E17273" s="18"/>
      <c r="F17273" s="18"/>
    </row>
    <row r="17274" spans="5:6" ht="15" customHeight="1" x14ac:dyDescent="0.2">
      <c r="E17274" s="18"/>
      <c r="F17274" s="18"/>
    </row>
    <row r="17275" spans="5:6" ht="15" customHeight="1" x14ac:dyDescent="0.2">
      <c r="E17275" s="18"/>
      <c r="F17275" s="18"/>
    </row>
    <row r="17276" spans="5:6" ht="15" customHeight="1" x14ac:dyDescent="0.2">
      <c r="E17276" s="18"/>
      <c r="F17276" s="18"/>
    </row>
    <row r="17277" spans="5:6" ht="15" customHeight="1" x14ac:dyDescent="0.2">
      <c r="E17277" s="18"/>
      <c r="F17277" s="18"/>
    </row>
    <row r="17278" spans="5:6" ht="15" customHeight="1" x14ac:dyDescent="0.2">
      <c r="E17278" s="18"/>
      <c r="F17278" s="18"/>
    </row>
    <row r="17279" spans="5:6" ht="15" customHeight="1" x14ac:dyDescent="0.2">
      <c r="E17279" s="18"/>
      <c r="F17279" s="18"/>
    </row>
    <row r="17280" spans="5:6" ht="15" customHeight="1" x14ac:dyDescent="0.2">
      <c r="E17280" s="18"/>
      <c r="F17280" s="18"/>
    </row>
    <row r="17281" spans="5:6" ht="15" customHeight="1" x14ac:dyDescent="0.2">
      <c r="E17281" s="18"/>
      <c r="F17281" s="18"/>
    </row>
    <row r="17282" spans="5:6" ht="15" customHeight="1" x14ac:dyDescent="0.2">
      <c r="E17282" s="18"/>
      <c r="F17282" s="18"/>
    </row>
    <row r="17283" spans="5:6" ht="15" customHeight="1" x14ac:dyDescent="0.2">
      <c r="E17283" s="18"/>
      <c r="F17283" s="18"/>
    </row>
    <row r="17284" spans="5:6" ht="15" customHeight="1" x14ac:dyDescent="0.2">
      <c r="E17284" s="18"/>
      <c r="F17284" s="18"/>
    </row>
    <row r="17285" spans="5:6" ht="15" customHeight="1" x14ac:dyDescent="0.2">
      <c r="E17285" s="18"/>
      <c r="F17285" s="18"/>
    </row>
    <row r="17286" spans="5:6" ht="15" customHeight="1" x14ac:dyDescent="0.2">
      <c r="E17286" s="18"/>
      <c r="F17286" s="18"/>
    </row>
    <row r="17287" spans="5:6" ht="15" customHeight="1" x14ac:dyDescent="0.2">
      <c r="E17287" s="18"/>
      <c r="F17287" s="18"/>
    </row>
    <row r="17288" spans="5:6" ht="15" customHeight="1" x14ac:dyDescent="0.2">
      <c r="E17288" s="18"/>
      <c r="F17288" s="18"/>
    </row>
    <row r="17289" spans="5:6" ht="15" customHeight="1" x14ac:dyDescent="0.2">
      <c r="E17289" s="18"/>
      <c r="F17289" s="18"/>
    </row>
    <row r="17290" spans="5:6" ht="15" customHeight="1" x14ac:dyDescent="0.2">
      <c r="E17290" s="18"/>
      <c r="F17290" s="18"/>
    </row>
    <row r="17291" spans="5:6" ht="15" customHeight="1" x14ac:dyDescent="0.2">
      <c r="E17291" s="18"/>
      <c r="F17291" s="18"/>
    </row>
    <row r="17292" spans="5:6" ht="15" customHeight="1" x14ac:dyDescent="0.2">
      <c r="E17292" s="18"/>
      <c r="F17292" s="18"/>
    </row>
    <row r="17293" spans="5:6" ht="15" customHeight="1" x14ac:dyDescent="0.2">
      <c r="E17293" s="18"/>
      <c r="F17293" s="18"/>
    </row>
    <row r="17294" spans="5:6" ht="15" customHeight="1" x14ac:dyDescent="0.2">
      <c r="E17294" s="18"/>
      <c r="F17294" s="18"/>
    </row>
    <row r="17295" spans="5:6" ht="15" customHeight="1" x14ac:dyDescent="0.2">
      <c r="E17295" s="18"/>
      <c r="F17295" s="18"/>
    </row>
    <row r="17296" spans="5:6" ht="15" customHeight="1" x14ac:dyDescent="0.2">
      <c r="E17296" s="18"/>
      <c r="F17296" s="18"/>
    </row>
    <row r="17297" spans="5:6" ht="15" customHeight="1" x14ac:dyDescent="0.2">
      <c r="E17297" s="18"/>
      <c r="F17297" s="18"/>
    </row>
    <row r="17298" spans="5:6" ht="15" customHeight="1" x14ac:dyDescent="0.2">
      <c r="E17298" s="18"/>
      <c r="F17298" s="18"/>
    </row>
    <row r="17299" spans="5:6" ht="15" customHeight="1" x14ac:dyDescent="0.2">
      <c r="E17299" s="18"/>
      <c r="F17299" s="18"/>
    </row>
    <row r="17300" spans="5:6" ht="15" customHeight="1" x14ac:dyDescent="0.2">
      <c r="E17300" s="18"/>
      <c r="F17300" s="18"/>
    </row>
    <row r="17301" spans="5:6" ht="15" customHeight="1" x14ac:dyDescent="0.2">
      <c r="E17301" s="18"/>
      <c r="F17301" s="18"/>
    </row>
    <row r="17302" spans="5:6" ht="15" customHeight="1" x14ac:dyDescent="0.2">
      <c r="E17302" s="18"/>
      <c r="F17302" s="18"/>
    </row>
    <row r="17303" spans="5:6" ht="15" customHeight="1" x14ac:dyDescent="0.2">
      <c r="E17303" s="18"/>
      <c r="F17303" s="18"/>
    </row>
    <row r="17304" spans="5:6" ht="15" customHeight="1" x14ac:dyDescent="0.2">
      <c r="E17304" s="18"/>
      <c r="F17304" s="18"/>
    </row>
    <row r="17305" spans="5:6" ht="15" customHeight="1" x14ac:dyDescent="0.2">
      <c r="E17305" s="18"/>
      <c r="F17305" s="18"/>
    </row>
    <row r="17306" spans="5:6" ht="15" customHeight="1" x14ac:dyDescent="0.2">
      <c r="E17306" s="18"/>
      <c r="F17306" s="18"/>
    </row>
    <row r="17307" spans="5:6" ht="15" customHeight="1" x14ac:dyDescent="0.2">
      <c r="E17307" s="18"/>
      <c r="F17307" s="18"/>
    </row>
    <row r="17308" spans="5:6" ht="15" customHeight="1" x14ac:dyDescent="0.2">
      <c r="E17308" s="18"/>
      <c r="F17308" s="18"/>
    </row>
    <row r="17309" spans="5:6" ht="15" customHeight="1" x14ac:dyDescent="0.2">
      <c r="E17309" s="18"/>
      <c r="F17309" s="18"/>
    </row>
    <row r="17310" spans="5:6" ht="15" customHeight="1" x14ac:dyDescent="0.2">
      <c r="E17310" s="18"/>
      <c r="F17310" s="18"/>
    </row>
    <row r="17311" spans="5:6" ht="15" customHeight="1" x14ac:dyDescent="0.2">
      <c r="E17311" s="18"/>
      <c r="F17311" s="18"/>
    </row>
    <row r="17312" spans="5:6" ht="15" customHeight="1" x14ac:dyDescent="0.2">
      <c r="E17312" s="18"/>
      <c r="F17312" s="18"/>
    </row>
    <row r="17313" spans="5:6" ht="15" customHeight="1" x14ac:dyDescent="0.2">
      <c r="E17313" s="18"/>
      <c r="F17313" s="18"/>
    </row>
    <row r="17314" spans="5:6" ht="15" customHeight="1" x14ac:dyDescent="0.2">
      <c r="E17314" s="18"/>
      <c r="F17314" s="18"/>
    </row>
    <row r="17315" spans="5:6" ht="15" customHeight="1" x14ac:dyDescent="0.2">
      <c r="E17315" s="18"/>
      <c r="F17315" s="18"/>
    </row>
    <row r="17316" spans="5:6" ht="15" customHeight="1" x14ac:dyDescent="0.2">
      <c r="E17316" s="18"/>
      <c r="F17316" s="18"/>
    </row>
    <row r="17317" spans="5:6" ht="15" customHeight="1" x14ac:dyDescent="0.2">
      <c r="E17317" s="18"/>
      <c r="F17317" s="18"/>
    </row>
    <row r="17318" spans="5:6" ht="15" customHeight="1" x14ac:dyDescent="0.2">
      <c r="E17318" s="18"/>
      <c r="F17318" s="18"/>
    </row>
    <row r="17319" spans="5:6" ht="15" customHeight="1" x14ac:dyDescent="0.2">
      <c r="E17319" s="18"/>
      <c r="F17319" s="18"/>
    </row>
    <row r="17320" spans="5:6" ht="15" customHeight="1" x14ac:dyDescent="0.2">
      <c r="E17320" s="18"/>
      <c r="F17320" s="18"/>
    </row>
    <row r="17321" spans="5:6" ht="15" customHeight="1" x14ac:dyDescent="0.2">
      <c r="E17321" s="18"/>
      <c r="F17321" s="18"/>
    </row>
    <row r="17322" spans="5:6" ht="15" customHeight="1" x14ac:dyDescent="0.2">
      <c r="E17322" s="18"/>
      <c r="F17322" s="18"/>
    </row>
    <row r="17323" spans="5:6" ht="15" customHeight="1" x14ac:dyDescent="0.2">
      <c r="E17323" s="18"/>
      <c r="F17323" s="18"/>
    </row>
    <row r="17324" spans="5:6" ht="15" customHeight="1" x14ac:dyDescent="0.2">
      <c r="E17324" s="18"/>
      <c r="F17324" s="18"/>
    </row>
    <row r="17325" spans="5:6" ht="15" customHeight="1" x14ac:dyDescent="0.2">
      <c r="E17325" s="18"/>
      <c r="F17325" s="18"/>
    </row>
    <row r="17326" spans="5:6" ht="15" customHeight="1" x14ac:dyDescent="0.2">
      <c r="E17326" s="18"/>
      <c r="F17326" s="18"/>
    </row>
    <row r="17327" spans="5:6" ht="15" customHeight="1" x14ac:dyDescent="0.2">
      <c r="E17327" s="18"/>
      <c r="F17327" s="18"/>
    </row>
    <row r="17328" spans="5:6" ht="15" customHeight="1" x14ac:dyDescent="0.2">
      <c r="E17328" s="18"/>
      <c r="F17328" s="18"/>
    </row>
    <row r="17329" spans="5:6" ht="15" customHeight="1" x14ac:dyDescent="0.2">
      <c r="E17329" s="18"/>
      <c r="F17329" s="18"/>
    </row>
    <row r="17330" spans="5:6" ht="15" customHeight="1" x14ac:dyDescent="0.2">
      <c r="E17330" s="18"/>
      <c r="F17330" s="18"/>
    </row>
    <row r="17331" spans="5:6" ht="15" customHeight="1" x14ac:dyDescent="0.2">
      <c r="E17331" s="18"/>
      <c r="F17331" s="18"/>
    </row>
    <row r="17332" spans="5:6" ht="15" customHeight="1" x14ac:dyDescent="0.2">
      <c r="E17332" s="18"/>
      <c r="F17332" s="18"/>
    </row>
    <row r="17333" spans="5:6" ht="15" customHeight="1" x14ac:dyDescent="0.2">
      <c r="E17333" s="18"/>
      <c r="F17333" s="18"/>
    </row>
    <row r="17334" spans="5:6" ht="15" customHeight="1" x14ac:dyDescent="0.2">
      <c r="E17334" s="18"/>
      <c r="F17334" s="18"/>
    </row>
    <row r="17335" spans="5:6" ht="15" customHeight="1" x14ac:dyDescent="0.2">
      <c r="E17335" s="18"/>
      <c r="F17335" s="18"/>
    </row>
    <row r="17336" spans="5:6" ht="15" customHeight="1" x14ac:dyDescent="0.2">
      <c r="E17336" s="18"/>
      <c r="F17336" s="18"/>
    </row>
    <row r="17337" spans="5:6" ht="15" customHeight="1" x14ac:dyDescent="0.2">
      <c r="E17337" s="18"/>
      <c r="F17337" s="18"/>
    </row>
    <row r="17338" spans="5:6" ht="15" customHeight="1" x14ac:dyDescent="0.2">
      <c r="E17338" s="18"/>
      <c r="F17338" s="18"/>
    </row>
    <row r="17339" spans="5:6" ht="15" customHeight="1" x14ac:dyDescent="0.2">
      <c r="E17339" s="18"/>
      <c r="F17339" s="18"/>
    </row>
    <row r="17340" spans="5:6" ht="15" customHeight="1" x14ac:dyDescent="0.2">
      <c r="E17340" s="18"/>
      <c r="F17340" s="18"/>
    </row>
    <row r="17341" spans="5:6" ht="15" customHeight="1" x14ac:dyDescent="0.2">
      <c r="E17341" s="18"/>
      <c r="F17341" s="18"/>
    </row>
    <row r="17342" spans="5:6" ht="15" customHeight="1" x14ac:dyDescent="0.2">
      <c r="E17342" s="18"/>
      <c r="F17342" s="18"/>
    </row>
    <row r="17343" spans="5:6" ht="15" customHeight="1" x14ac:dyDescent="0.2">
      <c r="E17343" s="18"/>
      <c r="F17343" s="18"/>
    </row>
    <row r="17344" spans="5:6" ht="15" customHeight="1" x14ac:dyDescent="0.2">
      <c r="E17344" s="18"/>
      <c r="F17344" s="18"/>
    </row>
    <row r="17345" spans="5:6" ht="15" customHeight="1" x14ac:dyDescent="0.2">
      <c r="E17345" s="18"/>
      <c r="F17345" s="18"/>
    </row>
    <row r="17346" spans="5:6" ht="15" customHeight="1" x14ac:dyDescent="0.2">
      <c r="E17346" s="18"/>
      <c r="F17346" s="18"/>
    </row>
    <row r="17347" spans="5:6" ht="15" customHeight="1" x14ac:dyDescent="0.2">
      <c r="E17347" s="18"/>
      <c r="F17347" s="18"/>
    </row>
    <row r="17348" spans="5:6" ht="15" customHeight="1" x14ac:dyDescent="0.2">
      <c r="E17348" s="18"/>
      <c r="F17348" s="18"/>
    </row>
    <row r="17349" spans="5:6" ht="15" customHeight="1" x14ac:dyDescent="0.2">
      <c r="E17349" s="18"/>
      <c r="F17349" s="18"/>
    </row>
    <row r="17350" spans="5:6" ht="15" customHeight="1" x14ac:dyDescent="0.2">
      <c r="E17350" s="18"/>
      <c r="F17350" s="18"/>
    </row>
    <row r="17351" spans="5:6" ht="15" customHeight="1" x14ac:dyDescent="0.2">
      <c r="E17351" s="18"/>
      <c r="F17351" s="18"/>
    </row>
    <row r="17352" spans="5:6" ht="15" customHeight="1" x14ac:dyDescent="0.2">
      <c r="E17352" s="18"/>
      <c r="F17352" s="18"/>
    </row>
    <row r="17353" spans="5:6" ht="15" customHeight="1" x14ac:dyDescent="0.2">
      <c r="E17353" s="18"/>
      <c r="F17353" s="18"/>
    </row>
    <row r="17354" spans="5:6" ht="15" customHeight="1" x14ac:dyDescent="0.2">
      <c r="E17354" s="18"/>
      <c r="F17354" s="18"/>
    </row>
    <row r="17355" spans="5:6" ht="15" customHeight="1" x14ac:dyDescent="0.2">
      <c r="E17355" s="18"/>
      <c r="F17355" s="18"/>
    </row>
    <row r="17356" spans="5:6" ht="15" customHeight="1" x14ac:dyDescent="0.2">
      <c r="E17356" s="18"/>
      <c r="F17356" s="18"/>
    </row>
    <row r="17357" spans="5:6" ht="15" customHeight="1" x14ac:dyDescent="0.2">
      <c r="E17357" s="18"/>
      <c r="F17357" s="18"/>
    </row>
    <row r="17358" spans="5:6" ht="15" customHeight="1" x14ac:dyDescent="0.2">
      <c r="E17358" s="18"/>
      <c r="F17358" s="18"/>
    </row>
    <row r="17359" spans="5:6" ht="15" customHeight="1" x14ac:dyDescent="0.2">
      <c r="E17359" s="18"/>
      <c r="F17359" s="18"/>
    </row>
    <row r="17360" spans="5:6" ht="15" customHeight="1" x14ac:dyDescent="0.2">
      <c r="E17360" s="18"/>
      <c r="F17360" s="18"/>
    </row>
    <row r="17361" spans="5:6" ht="15" customHeight="1" x14ac:dyDescent="0.2">
      <c r="E17361" s="18"/>
      <c r="F17361" s="18"/>
    </row>
    <row r="17362" spans="5:6" ht="15" customHeight="1" x14ac:dyDescent="0.2">
      <c r="E17362" s="18"/>
      <c r="F17362" s="18"/>
    </row>
    <row r="17363" spans="5:6" ht="15" customHeight="1" x14ac:dyDescent="0.2">
      <c r="E17363" s="18"/>
      <c r="F17363" s="18"/>
    </row>
    <row r="17364" spans="5:6" ht="15" customHeight="1" x14ac:dyDescent="0.2">
      <c r="E17364" s="18"/>
      <c r="F17364" s="18"/>
    </row>
    <row r="17365" spans="5:6" ht="15" customHeight="1" x14ac:dyDescent="0.2">
      <c r="E17365" s="18"/>
      <c r="F17365" s="18"/>
    </row>
    <row r="17366" spans="5:6" ht="15" customHeight="1" x14ac:dyDescent="0.2">
      <c r="E17366" s="18"/>
      <c r="F17366" s="18"/>
    </row>
    <row r="17367" spans="5:6" ht="15" customHeight="1" x14ac:dyDescent="0.2">
      <c r="E17367" s="18"/>
      <c r="F17367" s="18"/>
    </row>
    <row r="17368" spans="5:6" ht="15" customHeight="1" x14ac:dyDescent="0.2">
      <c r="E17368" s="18"/>
      <c r="F17368" s="18"/>
    </row>
    <row r="17369" spans="5:6" ht="15" customHeight="1" x14ac:dyDescent="0.2">
      <c r="E17369" s="18"/>
      <c r="F17369" s="18"/>
    </row>
    <row r="17370" spans="5:6" ht="15" customHeight="1" x14ac:dyDescent="0.2">
      <c r="E17370" s="18"/>
      <c r="F17370" s="18"/>
    </row>
    <row r="17371" spans="5:6" ht="15" customHeight="1" x14ac:dyDescent="0.2">
      <c r="E17371" s="18"/>
      <c r="F17371" s="18"/>
    </row>
    <row r="17372" spans="5:6" ht="15" customHeight="1" x14ac:dyDescent="0.2">
      <c r="E17372" s="18"/>
      <c r="F17372" s="18"/>
    </row>
    <row r="17373" spans="5:6" ht="15" customHeight="1" x14ac:dyDescent="0.2">
      <c r="E17373" s="18"/>
      <c r="F17373" s="18"/>
    </row>
    <row r="17374" spans="5:6" ht="15" customHeight="1" x14ac:dyDescent="0.2">
      <c r="E17374" s="18"/>
      <c r="F17374" s="18"/>
    </row>
    <row r="17375" spans="5:6" ht="15" customHeight="1" x14ac:dyDescent="0.2">
      <c r="E17375" s="18"/>
      <c r="F17375" s="18"/>
    </row>
    <row r="17376" spans="5:6" ht="15" customHeight="1" x14ac:dyDescent="0.2">
      <c r="E17376" s="18"/>
      <c r="F17376" s="18"/>
    </row>
    <row r="17377" spans="5:6" ht="15" customHeight="1" x14ac:dyDescent="0.2">
      <c r="E17377" s="18"/>
      <c r="F17377" s="18"/>
    </row>
    <row r="17378" spans="5:6" ht="15" customHeight="1" x14ac:dyDescent="0.2">
      <c r="E17378" s="18"/>
      <c r="F17378" s="18"/>
    </row>
    <row r="17379" spans="5:6" ht="15" customHeight="1" x14ac:dyDescent="0.2">
      <c r="E17379" s="18"/>
      <c r="F17379" s="18"/>
    </row>
    <row r="17380" spans="5:6" ht="15" customHeight="1" x14ac:dyDescent="0.2">
      <c r="E17380" s="18"/>
      <c r="F17380" s="18"/>
    </row>
    <row r="17381" spans="5:6" ht="15" customHeight="1" x14ac:dyDescent="0.2">
      <c r="E17381" s="18"/>
      <c r="F17381" s="18"/>
    </row>
    <row r="17382" spans="5:6" ht="15" customHeight="1" x14ac:dyDescent="0.2">
      <c r="E17382" s="18"/>
      <c r="F17382" s="18"/>
    </row>
    <row r="17383" spans="5:6" ht="15" customHeight="1" x14ac:dyDescent="0.2">
      <c r="E17383" s="18"/>
      <c r="F17383" s="18"/>
    </row>
    <row r="17384" spans="5:6" ht="15" customHeight="1" x14ac:dyDescent="0.2">
      <c r="E17384" s="18"/>
      <c r="F17384" s="18"/>
    </row>
    <row r="17385" spans="5:6" ht="15" customHeight="1" x14ac:dyDescent="0.2">
      <c r="E17385" s="18"/>
      <c r="F17385" s="18"/>
    </row>
    <row r="17386" spans="5:6" ht="15" customHeight="1" x14ac:dyDescent="0.2">
      <c r="E17386" s="18"/>
      <c r="F17386" s="18"/>
    </row>
    <row r="17387" spans="5:6" ht="15" customHeight="1" x14ac:dyDescent="0.2">
      <c r="E17387" s="18"/>
      <c r="F17387" s="18"/>
    </row>
    <row r="17388" spans="5:6" ht="15" customHeight="1" x14ac:dyDescent="0.2">
      <c r="E17388" s="18"/>
      <c r="F17388" s="18"/>
    </row>
    <row r="17389" spans="5:6" ht="15" customHeight="1" x14ac:dyDescent="0.2">
      <c r="E17389" s="18"/>
      <c r="F17389" s="18"/>
    </row>
    <row r="17390" spans="5:6" ht="15" customHeight="1" x14ac:dyDescent="0.2">
      <c r="E17390" s="18"/>
      <c r="F17390" s="18"/>
    </row>
    <row r="17391" spans="5:6" ht="15" customHeight="1" x14ac:dyDescent="0.2">
      <c r="E17391" s="18"/>
      <c r="F17391" s="18"/>
    </row>
    <row r="17392" spans="5:6" ht="15" customHeight="1" x14ac:dyDescent="0.2">
      <c r="E17392" s="18"/>
      <c r="F17392" s="18"/>
    </row>
    <row r="17393" spans="5:6" ht="15" customHeight="1" x14ac:dyDescent="0.2">
      <c r="E17393" s="18"/>
      <c r="F17393" s="18"/>
    </row>
    <row r="17394" spans="5:6" ht="15" customHeight="1" x14ac:dyDescent="0.2">
      <c r="E17394" s="18"/>
      <c r="F17394" s="18"/>
    </row>
    <row r="17395" spans="5:6" ht="15" customHeight="1" x14ac:dyDescent="0.2">
      <c r="E17395" s="18"/>
      <c r="F17395" s="18"/>
    </row>
    <row r="17396" spans="5:6" ht="15" customHeight="1" x14ac:dyDescent="0.2">
      <c r="E17396" s="18"/>
      <c r="F17396" s="18"/>
    </row>
    <row r="17397" spans="5:6" ht="15" customHeight="1" x14ac:dyDescent="0.2">
      <c r="E17397" s="18"/>
      <c r="F17397" s="18"/>
    </row>
    <row r="17398" spans="5:6" ht="15" customHeight="1" x14ac:dyDescent="0.2">
      <c r="E17398" s="18"/>
      <c r="F17398" s="18"/>
    </row>
    <row r="17399" spans="5:6" ht="15" customHeight="1" x14ac:dyDescent="0.2">
      <c r="E17399" s="18"/>
      <c r="F17399" s="18"/>
    </row>
    <row r="17400" spans="5:6" ht="15" customHeight="1" x14ac:dyDescent="0.2">
      <c r="E17400" s="18"/>
      <c r="F17400" s="18"/>
    </row>
    <row r="17401" spans="5:6" ht="15" customHeight="1" x14ac:dyDescent="0.2">
      <c r="E17401" s="18"/>
      <c r="F17401" s="18"/>
    </row>
    <row r="17402" spans="5:6" ht="15" customHeight="1" x14ac:dyDescent="0.2">
      <c r="E17402" s="18"/>
      <c r="F17402" s="18"/>
    </row>
    <row r="17403" spans="5:6" ht="15" customHeight="1" x14ac:dyDescent="0.2">
      <c r="E17403" s="18"/>
      <c r="F17403" s="18"/>
    </row>
    <row r="17404" spans="5:6" ht="15" customHeight="1" x14ac:dyDescent="0.2">
      <c r="E17404" s="18"/>
      <c r="F17404" s="18"/>
    </row>
    <row r="17405" spans="5:6" ht="15" customHeight="1" x14ac:dyDescent="0.2">
      <c r="E17405" s="18"/>
      <c r="F17405" s="18"/>
    </row>
    <row r="17406" spans="5:6" ht="15" customHeight="1" x14ac:dyDescent="0.2">
      <c r="E17406" s="18"/>
      <c r="F17406" s="18"/>
    </row>
    <row r="17407" spans="5:6" ht="15" customHeight="1" x14ac:dyDescent="0.2">
      <c r="E17407" s="18"/>
      <c r="F17407" s="18"/>
    </row>
    <row r="17408" spans="5:6" ht="15" customHeight="1" x14ac:dyDescent="0.2">
      <c r="E17408" s="18"/>
      <c r="F17408" s="18"/>
    </row>
    <row r="17409" spans="5:6" ht="15" customHeight="1" x14ac:dyDescent="0.2">
      <c r="E17409" s="18"/>
      <c r="F17409" s="18"/>
    </row>
    <row r="17410" spans="5:6" ht="15" customHeight="1" x14ac:dyDescent="0.2">
      <c r="E17410" s="18"/>
      <c r="F17410" s="18"/>
    </row>
    <row r="17411" spans="5:6" ht="15" customHeight="1" x14ac:dyDescent="0.2">
      <c r="E17411" s="18"/>
      <c r="F17411" s="18"/>
    </row>
    <row r="17412" spans="5:6" ht="15" customHeight="1" x14ac:dyDescent="0.2">
      <c r="E17412" s="18"/>
      <c r="F17412" s="18"/>
    </row>
    <row r="17413" spans="5:6" ht="15" customHeight="1" x14ac:dyDescent="0.2">
      <c r="E17413" s="18"/>
      <c r="F17413" s="18"/>
    </row>
    <row r="17414" spans="5:6" ht="15" customHeight="1" x14ac:dyDescent="0.2">
      <c r="E17414" s="18"/>
      <c r="F17414" s="18"/>
    </row>
    <row r="17415" spans="5:6" ht="15" customHeight="1" x14ac:dyDescent="0.2">
      <c r="E17415" s="18"/>
      <c r="F17415" s="18"/>
    </row>
    <row r="17416" spans="5:6" ht="15" customHeight="1" x14ac:dyDescent="0.2">
      <c r="E17416" s="18"/>
      <c r="F17416" s="18"/>
    </row>
    <row r="17417" spans="5:6" ht="15" customHeight="1" x14ac:dyDescent="0.2">
      <c r="E17417" s="18"/>
      <c r="F17417" s="18"/>
    </row>
    <row r="17418" spans="5:6" ht="15" customHeight="1" x14ac:dyDescent="0.2">
      <c r="E17418" s="18"/>
      <c r="F17418" s="18"/>
    </row>
    <row r="17419" spans="5:6" ht="15" customHeight="1" x14ac:dyDescent="0.2">
      <c r="E17419" s="18"/>
      <c r="F17419" s="18"/>
    </row>
    <row r="17420" spans="5:6" ht="15" customHeight="1" x14ac:dyDescent="0.2">
      <c r="E17420" s="18"/>
      <c r="F17420" s="18"/>
    </row>
    <row r="17421" spans="5:6" ht="15" customHeight="1" x14ac:dyDescent="0.2">
      <c r="E17421" s="18"/>
      <c r="F17421" s="18"/>
    </row>
    <row r="17422" spans="5:6" ht="15" customHeight="1" x14ac:dyDescent="0.2">
      <c r="E17422" s="18"/>
      <c r="F17422" s="18"/>
    </row>
    <row r="17423" spans="5:6" ht="15" customHeight="1" x14ac:dyDescent="0.2">
      <c r="E17423" s="18"/>
      <c r="F17423" s="18"/>
    </row>
    <row r="17424" spans="5:6" ht="15" customHeight="1" x14ac:dyDescent="0.2">
      <c r="E17424" s="18"/>
      <c r="F17424" s="18"/>
    </row>
    <row r="17425" spans="5:6" ht="15" customHeight="1" x14ac:dyDescent="0.2">
      <c r="E17425" s="18"/>
      <c r="F17425" s="18"/>
    </row>
    <row r="17426" spans="5:6" ht="15" customHeight="1" x14ac:dyDescent="0.2">
      <c r="E17426" s="18"/>
      <c r="F17426" s="18"/>
    </row>
    <row r="17427" spans="5:6" ht="15" customHeight="1" x14ac:dyDescent="0.2">
      <c r="E17427" s="18"/>
      <c r="F17427" s="18"/>
    </row>
    <row r="17428" spans="5:6" ht="15" customHeight="1" x14ac:dyDescent="0.2">
      <c r="E17428" s="18"/>
      <c r="F17428" s="18"/>
    </row>
    <row r="17429" spans="5:6" ht="15" customHeight="1" x14ac:dyDescent="0.2">
      <c r="E17429" s="18"/>
      <c r="F17429" s="18"/>
    </row>
    <row r="17430" spans="5:6" ht="15" customHeight="1" x14ac:dyDescent="0.2">
      <c r="E17430" s="18"/>
      <c r="F17430" s="18"/>
    </row>
    <row r="17431" spans="5:6" ht="15" customHeight="1" x14ac:dyDescent="0.2">
      <c r="E17431" s="18"/>
      <c r="F17431" s="18"/>
    </row>
    <row r="17432" spans="5:6" ht="15" customHeight="1" x14ac:dyDescent="0.2">
      <c r="E17432" s="18"/>
      <c r="F17432" s="18"/>
    </row>
    <row r="17433" spans="5:6" ht="15" customHeight="1" x14ac:dyDescent="0.2">
      <c r="E17433" s="18"/>
      <c r="F17433" s="18"/>
    </row>
    <row r="17434" spans="5:6" ht="15" customHeight="1" x14ac:dyDescent="0.2">
      <c r="E17434" s="18"/>
      <c r="F17434" s="18"/>
    </row>
    <row r="17435" spans="5:6" ht="15" customHeight="1" x14ac:dyDescent="0.2">
      <c r="E17435" s="18"/>
      <c r="F17435" s="18"/>
    </row>
    <row r="17436" spans="5:6" ht="15" customHeight="1" x14ac:dyDescent="0.2">
      <c r="E17436" s="18"/>
      <c r="F17436" s="18"/>
    </row>
    <row r="17437" spans="5:6" ht="15" customHeight="1" x14ac:dyDescent="0.2">
      <c r="E17437" s="18"/>
      <c r="F17437" s="18"/>
    </row>
    <row r="17438" spans="5:6" ht="15" customHeight="1" x14ac:dyDescent="0.2">
      <c r="E17438" s="18"/>
      <c r="F17438" s="18"/>
    </row>
    <row r="17439" spans="5:6" ht="15" customHeight="1" x14ac:dyDescent="0.2">
      <c r="E17439" s="18"/>
      <c r="F17439" s="18"/>
    </row>
    <row r="17440" spans="5:6" ht="15" customHeight="1" x14ac:dyDescent="0.2">
      <c r="E17440" s="18"/>
      <c r="F17440" s="18"/>
    </row>
    <row r="17441" spans="5:6" ht="15" customHeight="1" x14ac:dyDescent="0.2">
      <c r="E17441" s="18"/>
      <c r="F17441" s="18"/>
    </row>
    <row r="17442" spans="5:6" ht="15" customHeight="1" x14ac:dyDescent="0.2">
      <c r="E17442" s="18"/>
      <c r="F17442" s="18"/>
    </row>
    <row r="17443" spans="5:6" ht="15" customHeight="1" x14ac:dyDescent="0.2">
      <c r="E17443" s="18"/>
      <c r="F17443" s="18"/>
    </row>
    <row r="17444" spans="5:6" ht="15" customHeight="1" x14ac:dyDescent="0.2">
      <c r="E17444" s="18"/>
      <c r="F17444" s="18"/>
    </row>
    <row r="17445" spans="5:6" ht="15" customHeight="1" x14ac:dyDescent="0.2">
      <c r="E17445" s="18"/>
      <c r="F17445" s="18"/>
    </row>
    <row r="17446" spans="5:6" ht="15" customHeight="1" x14ac:dyDescent="0.2">
      <c r="E17446" s="18"/>
      <c r="F17446" s="18"/>
    </row>
    <row r="17447" spans="5:6" ht="15" customHeight="1" x14ac:dyDescent="0.2">
      <c r="E17447" s="18"/>
      <c r="F17447" s="18"/>
    </row>
    <row r="17448" spans="5:6" ht="15" customHeight="1" x14ac:dyDescent="0.2">
      <c r="E17448" s="18"/>
      <c r="F17448" s="18"/>
    </row>
    <row r="17449" spans="5:6" ht="15" customHeight="1" x14ac:dyDescent="0.2">
      <c r="E17449" s="18"/>
      <c r="F17449" s="18"/>
    </row>
    <row r="17450" spans="5:6" ht="15" customHeight="1" x14ac:dyDescent="0.2">
      <c r="E17450" s="18"/>
      <c r="F17450" s="18"/>
    </row>
    <row r="17451" spans="5:6" ht="15" customHeight="1" x14ac:dyDescent="0.2">
      <c r="E17451" s="18"/>
      <c r="F17451" s="18"/>
    </row>
    <row r="17452" spans="5:6" ht="15" customHeight="1" x14ac:dyDescent="0.2">
      <c r="E17452" s="18"/>
      <c r="F17452" s="18"/>
    </row>
    <row r="17453" spans="5:6" ht="15" customHeight="1" x14ac:dyDescent="0.2">
      <c r="E17453" s="18"/>
      <c r="F17453" s="18"/>
    </row>
    <row r="17454" spans="5:6" ht="15" customHeight="1" x14ac:dyDescent="0.2">
      <c r="E17454" s="18"/>
      <c r="F17454" s="18"/>
    </row>
    <row r="17455" spans="5:6" ht="15" customHeight="1" x14ac:dyDescent="0.2">
      <c r="E17455" s="18"/>
      <c r="F17455" s="18"/>
    </row>
    <row r="17456" spans="5:6" ht="15" customHeight="1" x14ac:dyDescent="0.2">
      <c r="E17456" s="18"/>
      <c r="F17456" s="18"/>
    </row>
    <row r="17457" spans="5:6" ht="15" customHeight="1" x14ac:dyDescent="0.2">
      <c r="E17457" s="18"/>
      <c r="F17457" s="18"/>
    </row>
    <row r="17458" spans="5:6" ht="15" customHeight="1" x14ac:dyDescent="0.2">
      <c r="E17458" s="18"/>
      <c r="F17458" s="18"/>
    </row>
    <row r="17459" spans="5:6" ht="15" customHeight="1" x14ac:dyDescent="0.2">
      <c r="E17459" s="18"/>
      <c r="F17459" s="18"/>
    </row>
    <row r="17460" spans="5:6" ht="15" customHeight="1" x14ac:dyDescent="0.2">
      <c r="E17460" s="18"/>
      <c r="F17460" s="18"/>
    </row>
    <row r="17461" spans="5:6" ht="15" customHeight="1" x14ac:dyDescent="0.2">
      <c r="E17461" s="18"/>
      <c r="F17461" s="18"/>
    </row>
    <row r="17462" spans="5:6" ht="15" customHeight="1" x14ac:dyDescent="0.2">
      <c r="E17462" s="18"/>
      <c r="F17462" s="18"/>
    </row>
    <row r="17463" spans="5:6" ht="15" customHeight="1" x14ac:dyDescent="0.2">
      <c r="E17463" s="18"/>
      <c r="F17463" s="18"/>
    </row>
    <row r="17464" spans="5:6" ht="15" customHeight="1" x14ac:dyDescent="0.2">
      <c r="E17464" s="18"/>
      <c r="F17464" s="18"/>
    </row>
    <row r="17465" spans="5:6" ht="15" customHeight="1" x14ac:dyDescent="0.2">
      <c r="E17465" s="18"/>
      <c r="F17465" s="18"/>
    </row>
    <row r="17466" spans="5:6" ht="15" customHeight="1" x14ac:dyDescent="0.2">
      <c r="E17466" s="18"/>
      <c r="F17466" s="18"/>
    </row>
    <row r="17467" spans="5:6" ht="15" customHeight="1" x14ac:dyDescent="0.2">
      <c r="E17467" s="18"/>
      <c r="F17467" s="18"/>
    </row>
    <row r="17468" spans="5:6" ht="15" customHeight="1" x14ac:dyDescent="0.2">
      <c r="E17468" s="18"/>
      <c r="F17468" s="18"/>
    </row>
    <row r="17469" spans="5:6" ht="15" customHeight="1" x14ac:dyDescent="0.2">
      <c r="E17469" s="18"/>
      <c r="F17469" s="18"/>
    </row>
    <row r="17470" spans="5:6" ht="15" customHeight="1" x14ac:dyDescent="0.2">
      <c r="E17470" s="18"/>
      <c r="F17470" s="18"/>
    </row>
    <row r="17471" spans="5:6" ht="15" customHeight="1" x14ac:dyDescent="0.2">
      <c r="E17471" s="18"/>
      <c r="F17471" s="18"/>
    </row>
    <row r="17472" spans="5:6" ht="15" customHeight="1" x14ac:dyDescent="0.2">
      <c r="E17472" s="18"/>
      <c r="F17472" s="18"/>
    </row>
    <row r="17473" spans="5:6" ht="15" customHeight="1" x14ac:dyDescent="0.2">
      <c r="E17473" s="18"/>
      <c r="F17473" s="18"/>
    </row>
    <row r="17474" spans="5:6" ht="15" customHeight="1" x14ac:dyDescent="0.2">
      <c r="E17474" s="18"/>
      <c r="F17474" s="18"/>
    </row>
    <row r="17475" spans="5:6" ht="15" customHeight="1" x14ac:dyDescent="0.2">
      <c r="E17475" s="18"/>
      <c r="F17475" s="18"/>
    </row>
    <row r="17476" spans="5:6" ht="15" customHeight="1" x14ac:dyDescent="0.2">
      <c r="E17476" s="18"/>
      <c r="F17476" s="18"/>
    </row>
    <row r="17477" spans="5:6" ht="15" customHeight="1" x14ac:dyDescent="0.2">
      <c r="E17477" s="18"/>
      <c r="F17477" s="18"/>
    </row>
    <row r="17478" spans="5:6" ht="15" customHeight="1" x14ac:dyDescent="0.2">
      <c r="E17478" s="18"/>
      <c r="F17478" s="18"/>
    </row>
    <row r="17479" spans="5:6" ht="15" customHeight="1" x14ac:dyDescent="0.2">
      <c r="E17479" s="18"/>
      <c r="F17479" s="18"/>
    </row>
    <row r="17480" spans="5:6" ht="15" customHeight="1" x14ac:dyDescent="0.2">
      <c r="E17480" s="18"/>
      <c r="F17480" s="18"/>
    </row>
    <row r="17481" spans="5:6" ht="15" customHeight="1" x14ac:dyDescent="0.2">
      <c r="E17481" s="18"/>
      <c r="F17481" s="18"/>
    </row>
    <row r="17482" spans="5:6" ht="15" customHeight="1" x14ac:dyDescent="0.2">
      <c r="E17482" s="18"/>
      <c r="F17482" s="18"/>
    </row>
    <row r="17483" spans="5:6" ht="15" customHeight="1" x14ac:dyDescent="0.2">
      <c r="E17483" s="18"/>
      <c r="F17483" s="18"/>
    </row>
    <row r="17484" spans="5:6" ht="15" customHeight="1" x14ac:dyDescent="0.2">
      <c r="E17484" s="18"/>
      <c r="F17484" s="18"/>
    </row>
    <row r="17485" spans="5:6" ht="15" customHeight="1" x14ac:dyDescent="0.2">
      <c r="E17485" s="18"/>
      <c r="F17485" s="18"/>
    </row>
    <row r="17486" spans="5:6" ht="15" customHeight="1" x14ac:dyDescent="0.2">
      <c r="E17486" s="18"/>
      <c r="F17486" s="18"/>
    </row>
    <row r="17487" spans="5:6" ht="15" customHeight="1" x14ac:dyDescent="0.2">
      <c r="E17487" s="18"/>
      <c r="F17487" s="18"/>
    </row>
    <row r="17488" spans="5:6" ht="15" customHeight="1" x14ac:dyDescent="0.2">
      <c r="E17488" s="18"/>
      <c r="F17488" s="18"/>
    </row>
    <row r="17489" spans="5:6" ht="15" customHeight="1" x14ac:dyDescent="0.2">
      <c r="E17489" s="18"/>
      <c r="F17489" s="18"/>
    </row>
    <row r="17490" spans="5:6" ht="15" customHeight="1" x14ac:dyDescent="0.2">
      <c r="E17490" s="18"/>
      <c r="F17490" s="18"/>
    </row>
    <row r="17491" spans="5:6" ht="15" customHeight="1" x14ac:dyDescent="0.2">
      <c r="E17491" s="18"/>
      <c r="F17491" s="18"/>
    </row>
    <row r="17492" spans="5:6" ht="15" customHeight="1" x14ac:dyDescent="0.2">
      <c r="E17492" s="18"/>
      <c r="F17492" s="18"/>
    </row>
    <row r="17493" spans="5:6" ht="15" customHeight="1" x14ac:dyDescent="0.2">
      <c r="E17493" s="18"/>
      <c r="F17493" s="18"/>
    </row>
    <row r="17494" spans="5:6" ht="15" customHeight="1" x14ac:dyDescent="0.2">
      <c r="E17494" s="18"/>
      <c r="F17494" s="18"/>
    </row>
    <row r="17495" spans="5:6" ht="15" customHeight="1" x14ac:dyDescent="0.2">
      <c r="E17495" s="18"/>
      <c r="F17495" s="18"/>
    </row>
    <row r="17496" spans="5:6" ht="15" customHeight="1" x14ac:dyDescent="0.2">
      <c r="E17496" s="18"/>
      <c r="F17496" s="18"/>
    </row>
    <row r="17497" spans="5:6" ht="15" customHeight="1" x14ac:dyDescent="0.2">
      <c r="E17497" s="18"/>
      <c r="F17497" s="18"/>
    </row>
    <row r="17498" spans="5:6" ht="15" customHeight="1" x14ac:dyDescent="0.2">
      <c r="E17498" s="18"/>
      <c r="F17498" s="18"/>
    </row>
    <row r="17499" spans="5:6" ht="15" customHeight="1" x14ac:dyDescent="0.2">
      <c r="E17499" s="18"/>
      <c r="F17499" s="18"/>
    </row>
    <row r="17500" spans="5:6" ht="15" customHeight="1" x14ac:dyDescent="0.2">
      <c r="E17500" s="18"/>
      <c r="F17500" s="18"/>
    </row>
    <row r="17501" spans="5:6" ht="15" customHeight="1" x14ac:dyDescent="0.2">
      <c r="E17501" s="18"/>
      <c r="F17501" s="18"/>
    </row>
    <row r="17502" spans="5:6" ht="15" customHeight="1" x14ac:dyDescent="0.2">
      <c r="E17502" s="18"/>
      <c r="F17502" s="18"/>
    </row>
    <row r="17503" spans="5:6" ht="15" customHeight="1" x14ac:dyDescent="0.2">
      <c r="E17503" s="18"/>
      <c r="F17503" s="18"/>
    </row>
    <row r="17504" spans="5:6" ht="15" customHeight="1" x14ac:dyDescent="0.2">
      <c r="E17504" s="18"/>
      <c r="F17504" s="18"/>
    </row>
    <row r="17505" spans="5:6" ht="15" customHeight="1" x14ac:dyDescent="0.2">
      <c r="E17505" s="18"/>
      <c r="F17505" s="18"/>
    </row>
    <row r="17506" spans="5:6" ht="15" customHeight="1" x14ac:dyDescent="0.2">
      <c r="E17506" s="18"/>
      <c r="F17506" s="18"/>
    </row>
    <row r="17507" spans="5:6" ht="15" customHeight="1" x14ac:dyDescent="0.2">
      <c r="E17507" s="18"/>
      <c r="F17507" s="18"/>
    </row>
    <row r="17508" spans="5:6" ht="15" customHeight="1" x14ac:dyDescent="0.2">
      <c r="E17508" s="18"/>
      <c r="F17508" s="18"/>
    </row>
    <row r="17509" spans="5:6" ht="15" customHeight="1" x14ac:dyDescent="0.2">
      <c r="E17509" s="18"/>
      <c r="F17509" s="18"/>
    </row>
    <row r="17510" spans="5:6" ht="15" customHeight="1" x14ac:dyDescent="0.2">
      <c r="E17510" s="18"/>
      <c r="F17510" s="18"/>
    </row>
    <row r="17511" spans="5:6" ht="15" customHeight="1" x14ac:dyDescent="0.2">
      <c r="E17511" s="18"/>
      <c r="F17511" s="18"/>
    </row>
    <row r="17512" spans="5:6" ht="15" customHeight="1" x14ac:dyDescent="0.2">
      <c r="E17512" s="18"/>
      <c r="F17512" s="18"/>
    </row>
    <row r="17513" spans="5:6" ht="15" customHeight="1" x14ac:dyDescent="0.2">
      <c r="E17513" s="18"/>
      <c r="F17513" s="18"/>
    </row>
    <row r="17514" spans="5:6" ht="15" customHeight="1" x14ac:dyDescent="0.2">
      <c r="E17514" s="18"/>
      <c r="F17514" s="18"/>
    </row>
    <row r="17515" spans="5:6" ht="15" customHeight="1" x14ac:dyDescent="0.2">
      <c r="E17515" s="18"/>
      <c r="F17515" s="18"/>
    </row>
    <row r="17516" spans="5:6" ht="15" customHeight="1" x14ac:dyDescent="0.2">
      <c r="E17516" s="18"/>
      <c r="F17516" s="18"/>
    </row>
    <row r="17517" spans="5:6" ht="15" customHeight="1" x14ac:dyDescent="0.2">
      <c r="E17517" s="18"/>
      <c r="F17517" s="18"/>
    </row>
    <row r="17518" spans="5:6" ht="15" customHeight="1" x14ac:dyDescent="0.2">
      <c r="E17518" s="18"/>
      <c r="F17518" s="18"/>
    </row>
    <row r="17519" spans="5:6" ht="15" customHeight="1" x14ac:dyDescent="0.2">
      <c r="E17519" s="18"/>
      <c r="F17519" s="18"/>
    </row>
    <row r="17520" spans="5:6" ht="15" customHeight="1" x14ac:dyDescent="0.2">
      <c r="E17520" s="18"/>
      <c r="F17520" s="18"/>
    </row>
    <row r="17521" spans="5:6" ht="15" customHeight="1" x14ac:dyDescent="0.2">
      <c r="E17521" s="18"/>
      <c r="F17521" s="18"/>
    </row>
    <row r="17522" spans="5:6" ht="15" customHeight="1" x14ac:dyDescent="0.2">
      <c r="E17522" s="18"/>
      <c r="F17522" s="18"/>
    </row>
    <row r="17523" spans="5:6" ht="15" customHeight="1" x14ac:dyDescent="0.2">
      <c r="E17523" s="18"/>
      <c r="F17523" s="18"/>
    </row>
    <row r="17524" spans="5:6" ht="15" customHeight="1" x14ac:dyDescent="0.2">
      <c r="E17524" s="18"/>
      <c r="F17524" s="18"/>
    </row>
    <row r="17525" spans="5:6" ht="15" customHeight="1" x14ac:dyDescent="0.2">
      <c r="E17525" s="18"/>
      <c r="F17525" s="18"/>
    </row>
    <row r="17526" spans="5:6" ht="15" customHeight="1" x14ac:dyDescent="0.2">
      <c r="E17526" s="18"/>
      <c r="F17526" s="18"/>
    </row>
    <row r="17527" spans="5:6" ht="15" customHeight="1" x14ac:dyDescent="0.2">
      <c r="E17527" s="18"/>
      <c r="F17527" s="18"/>
    </row>
    <row r="17528" spans="5:6" ht="15" customHeight="1" x14ac:dyDescent="0.2">
      <c r="E17528" s="18"/>
      <c r="F17528" s="18"/>
    </row>
    <row r="17529" spans="5:6" ht="15" customHeight="1" x14ac:dyDescent="0.2">
      <c r="E17529" s="18"/>
      <c r="F17529" s="18"/>
    </row>
    <row r="17530" spans="5:6" ht="15" customHeight="1" x14ac:dyDescent="0.2">
      <c r="E17530" s="18"/>
      <c r="F17530" s="18"/>
    </row>
    <row r="17531" spans="5:6" ht="15" customHeight="1" x14ac:dyDescent="0.2">
      <c r="E17531" s="18"/>
      <c r="F17531" s="18"/>
    </row>
    <row r="17532" spans="5:6" ht="15" customHeight="1" x14ac:dyDescent="0.2">
      <c r="E17532" s="18"/>
      <c r="F17532" s="18"/>
    </row>
    <row r="17533" spans="5:6" ht="15" customHeight="1" x14ac:dyDescent="0.2">
      <c r="E17533" s="18"/>
      <c r="F17533" s="18"/>
    </row>
    <row r="17534" spans="5:6" ht="15" customHeight="1" x14ac:dyDescent="0.2">
      <c r="E17534" s="18"/>
      <c r="F17534" s="18"/>
    </row>
    <row r="17535" spans="5:6" ht="15" customHeight="1" x14ac:dyDescent="0.2">
      <c r="E17535" s="18"/>
      <c r="F17535" s="18"/>
    </row>
    <row r="17536" spans="5:6" ht="15" customHeight="1" x14ac:dyDescent="0.2">
      <c r="E17536" s="18"/>
      <c r="F17536" s="18"/>
    </row>
    <row r="17537" spans="5:6" ht="15" customHeight="1" x14ac:dyDescent="0.2">
      <c r="E17537" s="18"/>
      <c r="F17537" s="18"/>
    </row>
    <row r="17538" spans="5:6" ht="15" customHeight="1" x14ac:dyDescent="0.2">
      <c r="E17538" s="18"/>
      <c r="F17538" s="18"/>
    </row>
    <row r="17539" spans="5:6" ht="15" customHeight="1" x14ac:dyDescent="0.2">
      <c r="E17539" s="18"/>
      <c r="F17539" s="18"/>
    </row>
    <row r="17540" spans="5:6" ht="15" customHeight="1" x14ac:dyDescent="0.2">
      <c r="E17540" s="18"/>
      <c r="F17540" s="18"/>
    </row>
    <row r="17541" spans="5:6" ht="15" customHeight="1" x14ac:dyDescent="0.2">
      <c r="E17541" s="18"/>
      <c r="F17541" s="18"/>
    </row>
    <row r="17542" spans="5:6" ht="15" customHeight="1" x14ac:dyDescent="0.2">
      <c r="E17542" s="18"/>
      <c r="F17542" s="18"/>
    </row>
    <row r="17543" spans="5:6" ht="15" customHeight="1" x14ac:dyDescent="0.2">
      <c r="E17543" s="18"/>
      <c r="F17543" s="18"/>
    </row>
    <row r="17544" spans="5:6" ht="15" customHeight="1" x14ac:dyDescent="0.2">
      <c r="E17544" s="18"/>
      <c r="F17544" s="18"/>
    </row>
    <row r="17545" spans="5:6" ht="15" customHeight="1" x14ac:dyDescent="0.2">
      <c r="E17545" s="18"/>
      <c r="F17545" s="18"/>
    </row>
    <row r="17546" spans="5:6" ht="15" customHeight="1" x14ac:dyDescent="0.2">
      <c r="E17546" s="18"/>
      <c r="F17546" s="18"/>
    </row>
    <row r="17547" spans="5:6" ht="15" customHeight="1" x14ac:dyDescent="0.2">
      <c r="E17547" s="18"/>
      <c r="F17547" s="18"/>
    </row>
    <row r="17548" spans="5:6" ht="15" customHeight="1" x14ac:dyDescent="0.2">
      <c r="E17548" s="18"/>
      <c r="F17548" s="18"/>
    </row>
    <row r="17549" spans="5:6" ht="15" customHeight="1" x14ac:dyDescent="0.2">
      <c r="E17549" s="18"/>
      <c r="F17549" s="18"/>
    </row>
    <row r="17550" spans="5:6" ht="15" customHeight="1" x14ac:dyDescent="0.2">
      <c r="E17550" s="18"/>
      <c r="F17550" s="18"/>
    </row>
    <row r="17551" spans="5:6" ht="15" customHeight="1" x14ac:dyDescent="0.2">
      <c r="E17551" s="18"/>
      <c r="F17551" s="18"/>
    </row>
    <row r="17552" spans="5:6" ht="15" customHeight="1" x14ac:dyDescent="0.2">
      <c r="E17552" s="18"/>
      <c r="F17552" s="18"/>
    </row>
    <row r="17553" spans="5:6" ht="15" customHeight="1" x14ac:dyDescent="0.2">
      <c r="E17553" s="18"/>
      <c r="F17553" s="18"/>
    </row>
    <row r="17554" spans="5:6" ht="15" customHeight="1" x14ac:dyDescent="0.2">
      <c r="E17554" s="18"/>
      <c r="F17554" s="18"/>
    </row>
    <row r="17555" spans="5:6" ht="15" customHeight="1" x14ac:dyDescent="0.2">
      <c r="E17555" s="18"/>
      <c r="F17555" s="18"/>
    </row>
    <row r="17556" spans="5:6" ht="15" customHeight="1" x14ac:dyDescent="0.2">
      <c r="E17556" s="18"/>
      <c r="F17556" s="18"/>
    </row>
    <row r="17557" spans="5:6" ht="15" customHeight="1" x14ac:dyDescent="0.2">
      <c r="E17557" s="18"/>
      <c r="F17557" s="18"/>
    </row>
    <row r="17558" spans="5:6" ht="15" customHeight="1" x14ac:dyDescent="0.2">
      <c r="E17558" s="18"/>
      <c r="F17558" s="18"/>
    </row>
    <row r="17559" spans="5:6" ht="15" customHeight="1" x14ac:dyDescent="0.2">
      <c r="E17559" s="18"/>
      <c r="F17559" s="18"/>
    </row>
    <row r="17560" spans="5:6" ht="15" customHeight="1" x14ac:dyDescent="0.2">
      <c r="E17560" s="18"/>
      <c r="F17560" s="18"/>
    </row>
    <row r="17561" spans="5:6" ht="15" customHeight="1" x14ac:dyDescent="0.2">
      <c r="E17561" s="18"/>
      <c r="F17561" s="18"/>
    </row>
    <row r="17562" spans="5:6" ht="15" customHeight="1" x14ac:dyDescent="0.2">
      <c r="E17562" s="18"/>
      <c r="F17562" s="18"/>
    </row>
    <row r="17563" spans="5:6" ht="15" customHeight="1" x14ac:dyDescent="0.2">
      <c r="E17563" s="18"/>
      <c r="F17563" s="18"/>
    </row>
    <row r="17564" spans="5:6" ht="15" customHeight="1" x14ac:dyDescent="0.2">
      <c r="E17564" s="18"/>
      <c r="F17564" s="18"/>
    </row>
    <row r="17565" spans="5:6" ht="15" customHeight="1" x14ac:dyDescent="0.2">
      <c r="E17565" s="18"/>
      <c r="F17565" s="18"/>
    </row>
    <row r="17566" spans="5:6" ht="15" customHeight="1" x14ac:dyDescent="0.2">
      <c r="E17566" s="18"/>
      <c r="F17566" s="18"/>
    </row>
    <row r="17567" spans="5:6" ht="15" customHeight="1" x14ac:dyDescent="0.2">
      <c r="E17567" s="18"/>
      <c r="F17567" s="18"/>
    </row>
    <row r="17568" spans="5:6" ht="15" customHeight="1" x14ac:dyDescent="0.2">
      <c r="E17568" s="18"/>
      <c r="F17568" s="18"/>
    </row>
    <row r="17569" spans="5:6" ht="15" customHeight="1" x14ac:dyDescent="0.2">
      <c r="E17569" s="18"/>
      <c r="F17569" s="18"/>
    </row>
    <row r="17570" spans="5:6" ht="15" customHeight="1" x14ac:dyDescent="0.2">
      <c r="E17570" s="18"/>
      <c r="F17570" s="18"/>
    </row>
    <row r="17571" spans="5:6" ht="15" customHeight="1" x14ac:dyDescent="0.2">
      <c r="E17571" s="18"/>
      <c r="F17571" s="18"/>
    </row>
    <row r="17572" spans="5:6" ht="15" customHeight="1" x14ac:dyDescent="0.2">
      <c r="E17572" s="18"/>
      <c r="F17572" s="18"/>
    </row>
    <row r="17573" spans="5:6" ht="15" customHeight="1" x14ac:dyDescent="0.2">
      <c r="E17573" s="18"/>
      <c r="F17573" s="18"/>
    </row>
    <row r="17574" spans="5:6" ht="15" customHeight="1" x14ac:dyDescent="0.2">
      <c r="E17574" s="18"/>
      <c r="F17574" s="18"/>
    </row>
    <row r="17575" spans="5:6" ht="15" customHeight="1" x14ac:dyDescent="0.2">
      <c r="E17575" s="18"/>
      <c r="F17575" s="18"/>
    </row>
    <row r="17576" spans="5:6" ht="15" customHeight="1" x14ac:dyDescent="0.2">
      <c r="E17576" s="18"/>
      <c r="F17576" s="18"/>
    </row>
    <row r="17577" spans="5:6" ht="15" customHeight="1" x14ac:dyDescent="0.2">
      <c r="E17577" s="18"/>
      <c r="F17577" s="18"/>
    </row>
    <row r="17578" spans="5:6" ht="15" customHeight="1" x14ac:dyDescent="0.2">
      <c r="E17578" s="18"/>
      <c r="F17578" s="18"/>
    </row>
    <row r="17579" spans="5:6" ht="15" customHeight="1" x14ac:dyDescent="0.2">
      <c r="E17579" s="18"/>
      <c r="F17579" s="18"/>
    </row>
    <row r="17580" spans="5:6" ht="15" customHeight="1" x14ac:dyDescent="0.2">
      <c r="E17580" s="18"/>
      <c r="F17580" s="18"/>
    </row>
    <row r="17581" spans="5:6" ht="15" customHeight="1" x14ac:dyDescent="0.2">
      <c r="E17581" s="18"/>
      <c r="F17581" s="18"/>
    </row>
    <row r="17582" spans="5:6" ht="15" customHeight="1" x14ac:dyDescent="0.2">
      <c r="E17582" s="18"/>
      <c r="F17582" s="18"/>
    </row>
    <row r="17583" spans="5:6" ht="15" customHeight="1" x14ac:dyDescent="0.2">
      <c r="E17583" s="18"/>
      <c r="F17583" s="18"/>
    </row>
    <row r="17584" spans="5:6" ht="15" customHeight="1" x14ac:dyDescent="0.2">
      <c r="E17584" s="18"/>
      <c r="F17584" s="18"/>
    </row>
    <row r="17585" spans="5:6" ht="15" customHeight="1" x14ac:dyDescent="0.2">
      <c r="E17585" s="18"/>
      <c r="F17585" s="18"/>
    </row>
    <row r="17586" spans="5:6" ht="15" customHeight="1" x14ac:dyDescent="0.2">
      <c r="E17586" s="18"/>
      <c r="F17586" s="18"/>
    </row>
    <row r="17587" spans="5:6" ht="15" customHeight="1" x14ac:dyDescent="0.2">
      <c r="E17587" s="18"/>
      <c r="F17587" s="18"/>
    </row>
    <row r="17588" spans="5:6" ht="15" customHeight="1" x14ac:dyDescent="0.2">
      <c r="E17588" s="18"/>
      <c r="F17588" s="18"/>
    </row>
    <row r="17589" spans="5:6" ht="15" customHeight="1" x14ac:dyDescent="0.2">
      <c r="E17589" s="18"/>
      <c r="F17589" s="18"/>
    </row>
    <row r="17590" spans="5:6" ht="15" customHeight="1" x14ac:dyDescent="0.2">
      <c r="E17590" s="18"/>
      <c r="F17590" s="18"/>
    </row>
    <row r="17591" spans="5:6" ht="15" customHeight="1" x14ac:dyDescent="0.2">
      <c r="E17591" s="18"/>
      <c r="F17591" s="18"/>
    </row>
    <row r="17592" spans="5:6" ht="15" customHeight="1" x14ac:dyDescent="0.2">
      <c r="E17592" s="18"/>
      <c r="F17592" s="18"/>
    </row>
    <row r="17593" spans="5:6" ht="15" customHeight="1" x14ac:dyDescent="0.2">
      <c r="E17593" s="18"/>
      <c r="F17593" s="18"/>
    </row>
    <row r="17594" spans="5:6" ht="15" customHeight="1" x14ac:dyDescent="0.2">
      <c r="E17594" s="18"/>
      <c r="F17594" s="18"/>
    </row>
    <row r="17595" spans="5:6" ht="15" customHeight="1" x14ac:dyDescent="0.2">
      <c r="E17595" s="18"/>
      <c r="F17595" s="18"/>
    </row>
    <row r="17596" spans="5:6" ht="15" customHeight="1" x14ac:dyDescent="0.2">
      <c r="E17596" s="18"/>
      <c r="F17596" s="18"/>
    </row>
    <row r="17597" spans="5:6" ht="15" customHeight="1" x14ac:dyDescent="0.2">
      <c r="E17597" s="18"/>
      <c r="F17597" s="18"/>
    </row>
    <row r="17598" spans="5:6" ht="15" customHeight="1" x14ac:dyDescent="0.2">
      <c r="E17598" s="18"/>
      <c r="F17598" s="18"/>
    </row>
    <row r="17599" spans="5:6" ht="15" customHeight="1" x14ac:dyDescent="0.2">
      <c r="E17599" s="18"/>
      <c r="F17599" s="18"/>
    </row>
    <row r="17600" spans="5:6" ht="15" customHeight="1" x14ac:dyDescent="0.2">
      <c r="E17600" s="18"/>
      <c r="F17600" s="18"/>
    </row>
    <row r="17601" spans="5:6" ht="15" customHeight="1" x14ac:dyDescent="0.2">
      <c r="E17601" s="18"/>
      <c r="F17601" s="18"/>
    </row>
    <row r="17602" spans="5:6" ht="15" customHeight="1" x14ac:dyDescent="0.2">
      <c r="E17602" s="18"/>
      <c r="F17602" s="18"/>
    </row>
    <row r="17603" spans="5:6" ht="15" customHeight="1" x14ac:dyDescent="0.2">
      <c r="E17603" s="18"/>
      <c r="F17603" s="18"/>
    </row>
    <row r="17604" spans="5:6" ht="15" customHeight="1" x14ac:dyDescent="0.2">
      <c r="E17604" s="18"/>
      <c r="F17604" s="18"/>
    </row>
    <row r="17605" spans="5:6" ht="15" customHeight="1" x14ac:dyDescent="0.2">
      <c r="E17605" s="18"/>
      <c r="F17605" s="18"/>
    </row>
    <row r="17606" spans="5:6" ht="15" customHeight="1" x14ac:dyDescent="0.2">
      <c r="E17606" s="18"/>
      <c r="F17606" s="18"/>
    </row>
    <row r="17607" spans="5:6" ht="15" customHeight="1" x14ac:dyDescent="0.2">
      <c r="E17607" s="18"/>
      <c r="F17607" s="18"/>
    </row>
    <row r="17608" spans="5:6" ht="15" customHeight="1" x14ac:dyDescent="0.2">
      <c r="E17608" s="18"/>
      <c r="F17608" s="18"/>
    </row>
    <row r="17609" spans="5:6" ht="15" customHeight="1" x14ac:dyDescent="0.2">
      <c r="E17609" s="18"/>
      <c r="F17609" s="18"/>
    </row>
    <row r="17610" spans="5:6" ht="15" customHeight="1" x14ac:dyDescent="0.2">
      <c r="E17610" s="18"/>
      <c r="F17610" s="18"/>
    </row>
    <row r="17611" spans="5:6" ht="15" customHeight="1" x14ac:dyDescent="0.2">
      <c r="E17611" s="18"/>
      <c r="F17611" s="18"/>
    </row>
    <row r="17612" spans="5:6" ht="15" customHeight="1" x14ac:dyDescent="0.2">
      <c r="E17612" s="18"/>
      <c r="F17612" s="18"/>
    </row>
    <row r="17613" spans="5:6" ht="15" customHeight="1" x14ac:dyDescent="0.2">
      <c r="E17613" s="18"/>
      <c r="F17613" s="18"/>
    </row>
    <row r="17614" spans="5:6" ht="15" customHeight="1" x14ac:dyDescent="0.2">
      <c r="E17614" s="18"/>
      <c r="F17614" s="18"/>
    </row>
    <row r="17615" spans="5:6" ht="15" customHeight="1" x14ac:dyDescent="0.2">
      <c r="E17615" s="18"/>
      <c r="F17615" s="18"/>
    </row>
    <row r="17616" spans="5:6" ht="15" customHeight="1" x14ac:dyDescent="0.2">
      <c r="E17616" s="18"/>
      <c r="F17616" s="18"/>
    </row>
    <row r="17617" spans="5:6" ht="15" customHeight="1" x14ac:dyDescent="0.2">
      <c r="E17617" s="18"/>
      <c r="F17617" s="18"/>
    </row>
    <row r="17618" spans="5:6" ht="15" customHeight="1" x14ac:dyDescent="0.2">
      <c r="E17618" s="18"/>
      <c r="F17618" s="18"/>
    </row>
    <row r="17619" spans="5:6" ht="15" customHeight="1" x14ac:dyDescent="0.2">
      <c r="E17619" s="18"/>
      <c r="F17619" s="18"/>
    </row>
    <row r="17620" spans="5:6" ht="15" customHeight="1" x14ac:dyDescent="0.2">
      <c r="E17620" s="18"/>
      <c r="F17620" s="18"/>
    </row>
    <row r="17621" spans="5:6" ht="15" customHeight="1" x14ac:dyDescent="0.2">
      <c r="E17621" s="18"/>
      <c r="F17621" s="18"/>
    </row>
    <row r="17622" spans="5:6" ht="15" customHeight="1" x14ac:dyDescent="0.2">
      <c r="E17622" s="18"/>
      <c r="F17622" s="18"/>
    </row>
    <row r="17623" spans="5:6" ht="15" customHeight="1" x14ac:dyDescent="0.2">
      <c r="E17623" s="18"/>
      <c r="F17623" s="18"/>
    </row>
    <row r="17624" spans="5:6" ht="15" customHeight="1" x14ac:dyDescent="0.2">
      <c r="E17624" s="18"/>
      <c r="F17624" s="18"/>
    </row>
    <row r="17625" spans="5:6" ht="15" customHeight="1" x14ac:dyDescent="0.2">
      <c r="E17625" s="18"/>
      <c r="F17625" s="18"/>
    </row>
    <row r="17626" spans="5:6" ht="15" customHeight="1" x14ac:dyDescent="0.2">
      <c r="E17626" s="18"/>
      <c r="F17626" s="18"/>
    </row>
    <row r="17627" spans="5:6" ht="15" customHeight="1" x14ac:dyDescent="0.2">
      <c r="E17627" s="18"/>
      <c r="F17627" s="18"/>
    </row>
    <row r="17628" spans="5:6" ht="15" customHeight="1" x14ac:dyDescent="0.2">
      <c r="E17628" s="18"/>
      <c r="F17628" s="18"/>
    </row>
    <row r="17629" spans="5:6" ht="15" customHeight="1" x14ac:dyDescent="0.2">
      <c r="E17629" s="18"/>
      <c r="F17629" s="18"/>
    </row>
    <row r="17630" spans="5:6" ht="15" customHeight="1" x14ac:dyDescent="0.2">
      <c r="E17630" s="18"/>
      <c r="F17630" s="18"/>
    </row>
    <row r="17631" spans="5:6" ht="15" customHeight="1" x14ac:dyDescent="0.2">
      <c r="E17631" s="18"/>
      <c r="F17631" s="18"/>
    </row>
    <row r="17632" spans="5:6" ht="15" customHeight="1" x14ac:dyDescent="0.2">
      <c r="E17632" s="18"/>
      <c r="F17632" s="18"/>
    </row>
    <row r="17633" spans="5:6" ht="15" customHeight="1" x14ac:dyDescent="0.2">
      <c r="E17633" s="18"/>
      <c r="F17633" s="18"/>
    </row>
    <row r="17634" spans="5:6" ht="15" customHeight="1" x14ac:dyDescent="0.2">
      <c r="E17634" s="18"/>
      <c r="F17634" s="18"/>
    </row>
    <row r="17635" spans="5:6" ht="15" customHeight="1" x14ac:dyDescent="0.2">
      <c r="E17635" s="18"/>
      <c r="F17635" s="18"/>
    </row>
    <row r="17636" spans="5:6" ht="15" customHeight="1" x14ac:dyDescent="0.2">
      <c r="E17636" s="18"/>
      <c r="F17636" s="18"/>
    </row>
    <row r="17637" spans="5:6" ht="15" customHeight="1" x14ac:dyDescent="0.2">
      <c r="E17637" s="18"/>
      <c r="F17637" s="18"/>
    </row>
    <row r="17638" spans="5:6" ht="15" customHeight="1" x14ac:dyDescent="0.2">
      <c r="E17638" s="18"/>
      <c r="F17638" s="18"/>
    </row>
    <row r="17639" spans="5:6" ht="15" customHeight="1" x14ac:dyDescent="0.2">
      <c r="E17639" s="18"/>
      <c r="F17639" s="18"/>
    </row>
    <row r="17640" spans="5:6" ht="15" customHeight="1" x14ac:dyDescent="0.2">
      <c r="E17640" s="18"/>
      <c r="F17640" s="18"/>
    </row>
    <row r="17641" spans="5:6" ht="15" customHeight="1" x14ac:dyDescent="0.2">
      <c r="E17641" s="18"/>
      <c r="F17641" s="18"/>
    </row>
    <row r="17642" spans="5:6" ht="15" customHeight="1" x14ac:dyDescent="0.2">
      <c r="E17642" s="18"/>
      <c r="F17642" s="18"/>
    </row>
    <row r="17643" spans="5:6" ht="15" customHeight="1" x14ac:dyDescent="0.2">
      <c r="E17643" s="18"/>
      <c r="F17643" s="18"/>
    </row>
    <row r="17644" spans="5:6" ht="15" customHeight="1" x14ac:dyDescent="0.2">
      <c r="E17644" s="18"/>
      <c r="F17644" s="18"/>
    </row>
    <row r="17645" spans="5:6" ht="15" customHeight="1" x14ac:dyDescent="0.2">
      <c r="E17645" s="18"/>
      <c r="F17645" s="18"/>
    </row>
    <row r="17646" spans="5:6" ht="15" customHeight="1" x14ac:dyDescent="0.2">
      <c r="E17646" s="18"/>
      <c r="F17646" s="18"/>
    </row>
    <row r="17647" spans="5:6" ht="15" customHeight="1" x14ac:dyDescent="0.2">
      <c r="E17647" s="18"/>
      <c r="F17647" s="18"/>
    </row>
    <row r="17648" spans="5:6" ht="15" customHeight="1" x14ac:dyDescent="0.2">
      <c r="E17648" s="18"/>
      <c r="F17648" s="18"/>
    </row>
    <row r="17649" spans="5:6" ht="15" customHeight="1" x14ac:dyDescent="0.2">
      <c r="E17649" s="18"/>
      <c r="F17649" s="18"/>
    </row>
    <row r="17650" spans="5:6" ht="15" customHeight="1" x14ac:dyDescent="0.2">
      <c r="E17650" s="18"/>
      <c r="F17650" s="18"/>
    </row>
    <row r="17651" spans="5:6" ht="15" customHeight="1" x14ac:dyDescent="0.2">
      <c r="E17651" s="18"/>
      <c r="F17651" s="18"/>
    </row>
    <row r="17652" spans="5:6" ht="15" customHeight="1" x14ac:dyDescent="0.2">
      <c r="E17652" s="18"/>
      <c r="F17652" s="18"/>
    </row>
    <row r="17653" spans="5:6" ht="15" customHeight="1" x14ac:dyDescent="0.2">
      <c r="E17653" s="18"/>
      <c r="F17653" s="18"/>
    </row>
    <row r="17654" spans="5:6" ht="15" customHeight="1" x14ac:dyDescent="0.2">
      <c r="E17654" s="18"/>
      <c r="F17654" s="18"/>
    </row>
    <row r="17655" spans="5:6" ht="15" customHeight="1" x14ac:dyDescent="0.2">
      <c r="E17655" s="18"/>
      <c r="F17655" s="18"/>
    </row>
    <row r="17656" spans="5:6" ht="15" customHeight="1" x14ac:dyDescent="0.2">
      <c r="E17656" s="18"/>
      <c r="F17656" s="18"/>
    </row>
    <row r="17657" spans="5:6" ht="15" customHeight="1" x14ac:dyDescent="0.2">
      <c r="E17657" s="18"/>
      <c r="F17657" s="18"/>
    </row>
    <row r="17658" spans="5:6" ht="15" customHeight="1" x14ac:dyDescent="0.2">
      <c r="E17658" s="18"/>
      <c r="F17658" s="18"/>
    </row>
    <row r="17659" spans="5:6" ht="15" customHeight="1" x14ac:dyDescent="0.2">
      <c r="E17659" s="18"/>
      <c r="F17659" s="18"/>
    </row>
    <row r="17660" spans="5:6" ht="15" customHeight="1" x14ac:dyDescent="0.2">
      <c r="E17660" s="18"/>
      <c r="F17660" s="18"/>
    </row>
    <row r="17661" spans="5:6" ht="15" customHeight="1" x14ac:dyDescent="0.2">
      <c r="E17661" s="18"/>
      <c r="F17661" s="18"/>
    </row>
    <row r="17662" spans="5:6" ht="15" customHeight="1" x14ac:dyDescent="0.2">
      <c r="E17662" s="18"/>
      <c r="F17662" s="18"/>
    </row>
    <row r="17663" spans="5:6" ht="15" customHeight="1" x14ac:dyDescent="0.2">
      <c r="E17663" s="18"/>
      <c r="F17663" s="18"/>
    </row>
    <row r="17664" spans="5:6" ht="15" customHeight="1" x14ac:dyDescent="0.2">
      <c r="E17664" s="18"/>
      <c r="F17664" s="18"/>
    </row>
    <row r="17665" spans="5:6" ht="15" customHeight="1" x14ac:dyDescent="0.2">
      <c r="E17665" s="18"/>
      <c r="F17665" s="18"/>
    </row>
    <row r="17666" spans="5:6" ht="15" customHeight="1" x14ac:dyDescent="0.2">
      <c r="E17666" s="18"/>
      <c r="F17666" s="18"/>
    </row>
    <row r="17667" spans="5:6" ht="15" customHeight="1" x14ac:dyDescent="0.2">
      <c r="E17667" s="18"/>
      <c r="F17667" s="18"/>
    </row>
    <row r="17668" spans="5:6" ht="15" customHeight="1" x14ac:dyDescent="0.2">
      <c r="E17668" s="18"/>
      <c r="F17668" s="18"/>
    </row>
    <row r="17669" spans="5:6" ht="15" customHeight="1" x14ac:dyDescent="0.2">
      <c r="E17669" s="18"/>
      <c r="F17669" s="18"/>
    </row>
    <row r="17670" spans="5:6" ht="15" customHeight="1" x14ac:dyDescent="0.2">
      <c r="E17670" s="18"/>
      <c r="F17670" s="18"/>
    </row>
    <row r="17671" spans="5:6" ht="15" customHeight="1" x14ac:dyDescent="0.2">
      <c r="E17671" s="18"/>
      <c r="F17671" s="18"/>
    </row>
    <row r="17672" spans="5:6" ht="15" customHeight="1" x14ac:dyDescent="0.2">
      <c r="E17672" s="18"/>
      <c r="F17672" s="18"/>
    </row>
    <row r="17673" spans="5:6" ht="15" customHeight="1" x14ac:dyDescent="0.2">
      <c r="E17673" s="18"/>
      <c r="F17673" s="18"/>
    </row>
    <row r="17674" spans="5:6" ht="15" customHeight="1" x14ac:dyDescent="0.2">
      <c r="E17674" s="18"/>
      <c r="F17674" s="18"/>
    </row>
    <row r="17675" spans="5:6" ht="15" customHeight="1" x14ac:dyDescent="0.2">
      <c r="E17675" s="18"/>
      <c r="F17675" s="18"/>
    </row>
    <row r="17676" spans="5:6" ht="15" customHeight="1" x14ac:dyDescent="0.2">
      <c r="E17676" s="18"/>
      <c r="F17676" s="18"/>
    </row>
    <row r="17677" spans="5:6" ht="15" customHeight="1" x14ac:dyDescent="0.2">
      <c r="E17677" s="18"/>
      <c r="F17677" s="18"/>
    </row>
    <row r="17678" spans="5:6" ht="15" customHeight="1" x14ac:dyDescent="0.2">
      <c r="E17678" s="18"/>
      <c r="F17678" s="18"/>
    </row>
    <row r="17679" spans="5:6" ht="15" customHeight="1" x14ac:dyDescent="0.2">
      <c r="E17679" s="18"/>
      <c r="F17679" s="18"/>
    </row>
    <row r="17680" spans="5:6" ht="15" customHeight="1" x14ac:dyDescent="0.2">
      <c r="E17680" s="18"/>
      <c r="F17680" s="18"/>
    </row>
    <row r="17681" spans="5:6" ht="15" customHeight="1" x14ac:dyDescent="0.2">
      <c r="E17681" s="18"/>
      <c r="F17681" s="18"/>
    </row>
    <row r="17682" spans="5:6" ht="15" customHeight="1" x14ac:dyDescent="0.2">
      <c r="E17682" s="18"/>
      <c r="F17682" s="18"/>
    </row>
    <row r="17683" spans="5:6" ht="15" customHeight="1" x14ac:dyDescent="0.2">
      <c r="E17683" s="18"/>
      <c r="F17683" s="18"/>
    </row>
    <row r="17684" spans="5:6" ht="15" customHeight="1" x14ac:dyDescent="0.2">
      <c r="E17684" s="18"/>
      <c r="F17684" s="18"/>
    </row>
    <row r="17685" spans="5:6" ht="15" customHeight="1" x14ac:dyDescent="0.2">
      <c r="E17685" s="18"/>
      <c r="F17685" s="18"/>
    </row>
    <row r="17686" spans="5:6" ht="15" customHeight="1" x14ac:dyDescent="0.2">
      <c r="E17686" s="18"/>
      <c r="F17686" s="18"/>
    </row>
    <row r="17687" spans="5:6" ht="15" customHeight="1" x14ac:dyDescent="0.2">
      <c r="E17687" s="18"/>
      <c r="F17687" s="18"/>
    </row>
    <row r="17688" spans="5:6" ht="15" customHeight="1" x14ac:dyDescent="0.2">
      <c r="E17688" s="18"/>
      <c r="F17688" s="18"/>
    </row>
    <row r="17689" spans="5:6" ht="15" customHeight="1" x14ac:dyDescent="0.2">
      <c r="E17689" s="18"/>
      <c r="F17689" s="18"/>
    </row>
    <row r="17690" spans="5:6" ht="15" customHeight="1" x14ac:dyDescent="0.2">
      <c r="E17690" s="18"/>
      <c r="F17690" s="18"/>
    </row>
    <row r="17691" spans="5:6" ht="15" customHeight="1" x14ac:dyDescent="0.2">
      <c r="E17691" s="18"/>
      <c r="F17691" s="18"/>
    </row>
    <row r="17692" spans="5:6" ht="15" customHeight="1" x14ac:dyDescent="0.2">
      <c r="E17692" s="18"/>
      <c r="F17692" s="18"/>
    </row>
    <row r="17693" spans="5:6" ht="15" customHeight="1" x14ac:dyDescent="0.2">
      <c r="E17693" s="18"/>
      <c r="F17693" s="18"/>
    </row>
    <row r="17694" spans="5:6" ht="15" customHeight="1" x14ac:dyDescent="0.2">
      <c r="E17694" s="18"/>
      <c r="F17694" s="18"/>
    </row>
    <row r="17695" spans="5:6" ht="15" customHeight="1" x14ac:dyDescent="0.2">
      <c r="E17695" s="18"/>
      <c r="F17695" s="18"/>
    </row>
    <row r="17696" spans="5:6" ht="15" customHeight="1" x14ac:dyDescent="0.2">
      <c r="E17696" s="18"/>
      <c r="F17696" s="18"/>
    </row>
    <row r="17697" spans="5:6" ht="15" customHeight="1" x14ac:dyDescent="0.2">
      <c r="E17697" s="18"/>
      <c r="F17697" s="18"/>
    </row>
    <row r="17698" spans="5:6" ht="15" customHeight="1" x14ac:dyDescent="0.2">
      <c r="E17698" s="18"/>
      <c r="F17698" s="18"/>
    </row>
    <row r="17699" spans="5:6" ht="15" customHeight="1" x14ac:dyDescent="0.2">
      <c r="E17699" s="18"/>
      <c r="F17699" s="18"/>
    </row>
    <row r="17700" spans="5:6" ht="15" customHeight="1" x14ac:dyDescent="0.2">
      <c r="E17700" s="18"/>
      <c r="F17700" s="18"/>
    </row>
    <row r="17701" spans="5:6" ht="15" customHeight="1" x14ac:dyDescent="0.2">
      <c r="E17701" s="18"/>
      <c r="F17701" s="18"/>
    </row>
    <row r="17702" spans="5:6" ht="15" customHeight="1" x14ac:dyDescent="0.2">
      <c r="E17702" s="18"/>
      <c r="F17702" s="18"/>
    </row>
    <row r="17703" spans="5:6" ht="15" customHeight="1" x14ac:dyDescent="0.2">
      <c r="E17703" s="18"/>
      <c r="F17703" s="18"/>
    </row>
    <row r="17704" spans="5:6" ht="15" customHeight="1" x14ac:dyDescent="0.2">
      <c r="E17704" s="18"/>
      <c r="F17704" s="18"/>
    </row>
    <row r="17705" spans="5:6" ht="15" customHeight="1" x14ac:dyDescent="0.2">
      <c r="E17705" s="18"/>
      <c r="F17705" s="18"/>
    </row>
    <row r="17706" spans="5:6" ht="15" customHeight="1" x14ac:dyDescent="0.2">
      <c r="E17706" s="18"/>
      <c r="F17706" s="18"/>
    </row>
    <row r="17707" spans="5:6" ht="15" customHeight="1" x14ac:dyDescent="0.2">
      <c r="E17707" s="18"/>
      <c r="F17707" s="18"/>
    </row>
    <row r="17708" spans="5:6" ht="15" customHeight="1" x14ac:dyDescent="0.2">
      <c r="E17708" s="18"/>
      <c r="F17708" s="18"/>
    </row>
    <row r="17709" spans="5:6" ht="15" customHeight="1" x14ac:dyDescent="0.2">
      <c r="E17709" s="18"/>
      <c r="F17709" s="18"/>
    </row>
    <row r="17710" spans="5:6" ht="15" customHeight="1" x14ac:dyDescent="0.2">
      <c r="E17710" s="18"/>
      <c r="F17710" s="18"/>
    </row>
    <row r="17711" spans="5:6" ht="15" customHeight="1" x14ac:dyDescent="0.2">
      <c r="E17711" s="18"/>
      <c r="F17711" s="18"/>
    </row>
    <row r="17712" spans="5:6" ht="15" customHeight="1" x14ac:dyDescent="0.2">
      <c r="E17712" s="18"/>
      <c r="F17712" s="18"/>
    </row>
    <row r="17713" spans="5:6" ht="15" customHeight="1" x14ac:dyDescent="0.2">
      <c r="E17713" s="18"/>
      <c r="F17713" s="18"/>
    </row>
    <row r="17714" spans="5:6" ht="15" customHeight="1" x14ac:dyDescent="0.2">
      <c r="E17714" s="18"/>
      <c r="F17714" s="18"/>
    </row>
    <row r="17715" spans="5:6" ht="15" customHeight="1" x14ac:dyDescent="0.2">
      <c r="E17715" s="18"/>
      <c r="F17715" s="18"/>
    </row>
    <row r="17716" spans="5:6" ht="15" customHeight="1" x14ac:dyDescent="0.2">
      <c r="E17716" s="18"/>
      <c r="F17716" s="18"/>
    </row>
    <row r="17717" spans="5:6" ht="15" customHeight="1" x14ac:dyDescent="0.2">
      <c r="E17717" s="18"/>
      <c r="F17717" s="18"/>
    </row>
    <row r="17718" spans="5:6" ht="15" customHeight="1" x14ac:dyDescent="0.2">
      <c r="E17718" s="18"/>
      <c r="F17718" s="18"/>
    </row>
    <row r="17719" spans="5:6" ht="15" customHeight="1" x14ac:dyDescent="0.2">
      <c r="E17719" s="18"/>
      <c r="F17719" s="18"/>
    </row>
    <row r="17720" spans="5:6" ht="15" customHeight="1" x14ac:dyDescent="0.2">
      <c r="E17720" s="18"/>
      <c r="F17720" s="18"/>
    </row>
    <row r="17721" spans="5:6" ht="15" customHeight="1" x14ac:dyDescent="0.2">
      <c r="E17721" s="18"/>
      <c r="F17721" s="18"/>
    </row>
    <row r="17722" spans="5:6" ht="15" customHeight="1" x14ac:dyDescent="0.2">
      <c r="E17722" s="18"/>
      <c r="F17722" s="18"/>
    </row>
    <row r="17723" spans="5:6" ht="15" customHeight="1" x14ac:dyDescent="0.2">
      <c r="E17723" s="18"/>
      <c r="F17723" s="18"/>
    </row>
    <row r="17724" spans="5:6" ht="15" customHeight="1" x14ac:dyDescent="0.2">
      <c r="E17724" s="18"/>
      <c r="F17724" s="18"/>
    </row>
    <row r="17725" spans="5:6" ht="15" customHeight="1" x14ac:dyDescent="0.2">
      <c r="E17725" s="18"/>
      <c r="F17725" s="18"/>
    </row>
    <row r="17726" spans="5:6" ht="15" customHeight="1" x14ac:dyDescent="0.2">
      <c r="E17726" s="18"/>
      <c r="F17726" s="18"/>
    </row>
    <row r="17727" spans="5:6" ht="15" customHeight="1" x14ac:dyDescent="0.2">
      <c r="E17727" s="18"/>
      <c r="F17727" s="18"/>
    </row>
    <row r="17728" spans="5:6" ht="15" customHeight="1" x14ac:dyDescent="0.2">
      <c r="E17728" s="18"/>
      <c r="F17728" s="18"/>
    </row>
    <row r="17729" spans="5:6" ht="15" customHeight="1" x14ac:dyDescent="0.2">
      <c r="E17729" s="18"/>
      <c r="F17729" s="18"/>
    </row>
    <row r="17730" spans="5:6" ht="15" customHeight="1" x14ac:dyDescent="0.2">
      <c r="E17730" s="18"/>
      <c r="F17730" s="18"/>
    </row>
    <row r="17731" spans="5:6" ht="15" customHeight="1" x14ac:dyDescent="0.2">
      <c r="E17731" s="18"/>
      <c r="F17731" s="18"/>
    </row>
    <row r="17732" spans="5:6" ht="15" customHeight="1" x14ac:dyDescent="0.2">
      <c r="E17732" s="18"/>
      <c r="F17732" s="18"/>
    </row>
    <row r="17733" spans="5:6" ht="15" customHeight="1" x14ac:dyDescent="0.2">
      <c r="E17733" s="18"/>
      <c r="F17733" s="18"/>
    </row>
    <row r="17734" spans="5:6" ht="15" customHeight="1" x14ac:dyDescent="0.2">
      <c r="E17734" s="18"/>
      <c r="F17734" s="18"/>
    </row>
    <row r="17735" spans="5:6" ht="15" customHeight="1" x14ac:dyDescent="0.2">
      <c r="E17735" s="18"/>
      <c r="F17735" s="18"/>
    </row>
    <row r="17736" spans="5:6" ht="15" customHeight="1" x14ac:dyDescent="0.2">
      <c r="E17736" s="18"/>
      <c r="F17736" s="18"/>
    </row>
    <row r="17737" spans="5:6" ht="15" customHeight="1" x14ac:dyDescent="0.2">
      <c r="E17737" s="18"/>
      <c r="F17737" s="18"/>
    </row>
    <row r="17738" spans="5:6" ht="15" customHeight="1" x14ac:dyDescent="0.2">
      <c r="E17738" s="18"/>
      <c r="F17738" s="18"/>
    </row>
    <row r="17739" spans="5:6" ht="15" customHeight="1" x14ac:dyDescent="0.2">
      <c r="E17739" s="18"/>
      <c r="F17739" s="18"/>
    </row>
    <row r="17740" spans="5:6" ht="15" customHeight="1" x14ac:dyDescent="0.2">
      <c r="E17740" s="18"/>
      <c r="F17740" s="18"/>
    </row>
    <row r="17741" spans="5:6" ht="15" customHeight="1" x14ac:dyDescent="0.2">
      <c r="E17741" s="18"/>
      <c r="F17741" s="18"/>
    </row>
    <row r="17742" spans="5:6" ht="15" customHeight="1" x14ac:dyDescent="0.2">
      <c r="E17742" s="18"/>
      <c r="F17742" s="18"/>
    </row>
    <row r="17743" spans="5:6" ht="15" customHeight="1" x14ac:dyDescent="0.2">
      <c r="E17743" s="18"/>
      <c r="F17743" s="18"/>
    </row>
    <row r="17744" spans="5:6" ht="15" customHeight="1" x14ac:dyDescent="0.2">
      <c r="E17744" s="18"/>
      <c r="F17744" s="18"/>
    </row>
    <row r="17745" spans="5:6" ht="15" customHeight="1" x14ac:dyDescent="0.2">
      <c r="E17745" s="18"/>
      <c r="F17745" s="18"/>
    </row>
    <row r="17746" spans="5:6" ht="15" customHeight="1" x14ac:dyDescent="0.2">
      <c r="E17746" s="18"/>
      <c r="F17746" s="18"/>
    </row>
    <row r="17747" spans="5:6" ht="15" customHeight="1" x14ac:dyDescent="0.2">
      <c r="E17747" s="18"/>
      <c r="F17747" s="18"/>
    </row>
    <row r="17748" spans="5:6" ht="15" customHeight="1" x14ac:dyDescent="0.2">
      <c r="E17748" s="18"/>
      <c r="F17748" s="18"/>
    </row>
    <row r="17749" spans="5:6" ht="15" customHeight="1" x14ac:dyDescent="0.2">
      <c r="E17749" s="18"/>
      <c r="F17749" s="18"/>
    </row>
    <row r="17750" spans="5:6" ht="15" customHeight="1" x14ac:dyDescent="0.2">
      <c r="E17750" s="18"/>
      <c r="F17750" s="18"/>
    </row>
    <row r="17751" spans="5:6" ht="15" customHeight="1" x14ac:dyDescent="0.2">
      <c r="E17751" s="18"/>
      <c r="F17751" s="18"/>
    </row>
    <row r="17752" spans="5:6" ht="15" customHeight="1" x14ac:dyDescent="0.2">
      <c r="E17752" s="18"/>
      <c r="F17752" s="18"/>
    </row>
    <row r="17753" spans="5:6" ht="15" customHeight="1" x14ac:dyDescent="0.2">
      <c r="E17753" s="18"/>
      <c r="F17753" s="18"/>
    </row>
    <row r="17754" spans="5:6" ht="15" customHeight="1" x14ac:dyDescent="0.2">
      <c r="E17754" s="18"/>
      <c r="F17754" s="18"/>
    </row>
    <row r="17755" spans="5:6" ht="15" customHeight="1" x14ac:dyDescent="0.2">
      <c r="E17755" s="18"/>
      <c r="F17755" s="18"/>
    </row>
    <row r="17756" spans="5:6" ht="15" customHeight="1" x14ac:dyDescent="0.2">
      <c r="E17756" s="18"/>
      <c r="F17756" s="18"/>
    </row>
    <row r="17757" spans="5:6" ht="15" customHeight="1" x14ac:dyDescent="0.2">
      <c r="E17757" s="18"/>
      <c r="F17757" s="18"/>
    </row>
    <row r="17758" spans="5:6" ht="15" customHeight="1" x14ac:dyDescent="0.2">
      <c r="E17758" s="18"/>
      <c r="F17758" s="18"/>
    </row>
    <row r="17759" spans="5:6" ht="15" customHeight="1" x14ac:dyDescent="0.2">
      <c r="E17759" s="18"/>
      <c r="F17759" s="18"/>
    </row>
    <row r="17760" spans="5:6" ht="15" customHeight="1" x14ac:dyDescent="0.2">
      <c r="E17760" s="18"/>
      <c r="F17760" s="18"/>
    </row>
    <row r="17761" spans="5:6" ht="15" customHeight="1" x14ac:dyDescent="0.2">
      <c r="E17761" s="18"/>
      <c r="F17761" s="18"/>
    </row>
    <row r="17762" spans="5:6" ht="15" customHeight="1" x14ac:dyDescent="0.2">
      <c r="E17762" s="18"/>
      <c r="F17762" s="18"/>
    </row>
    <row r="17763" spans="5:6" ht="15" customHeight="1" x14ac:dyDescent="0.2">
      <c r="E17763" s="18"/>
      <c r="F17763" s="18"/>
    </row>
    <row r="17764" spans="5:6" ht="15" customHeight="1" x14ac:dyDescent="0.2">
      <c r="E17764" s="18"/>
      <c r="F17764" s="18"/>
    </row>
    <row r="17765" spans="5:6" ht="15" customHeight="1" x14ac:dyDescent="0.2">
      <c r="E17765" s="18"/>
      <c r="F17765" s="18"/>
    </row>
    <row r="17766" spans="5:6" ht="15" customHeight="1" x14ac:dyDescent="0.2">
      <c r="E17766" s="18"/>
      <c r="F17766" s="18"/>
    </row>
    <row r="17767" spans="5:6" ht="15" customHeight="1" x14ac:dyDescent="0.2">
      <c r="E17767" s="18"/>
      <c r="F17767" s="18"/>
    </row>
    <row r="17768" spans="5:6" ht="15" customHeight="1" x14ac:dyDescent="0.2">
      <c r="E17768" s="18"/>
      <c r="F17768" s="18"/>
    </row>
    <row r="17769" spans="5:6" ht="15" customHeight="1" x14ac:dyDescent="0.2">
      <c r="E17769" s="18"/>
      <c r="F17769" s="18"/>
    </row>
    <row r="17770" spans="5:6" ht="15" customHeight="1" x14ac:dyDescent="0.2">
      <c r="E17770" s="18"/>
      <c r="F17770" s="18"/>
    </row>
    <row r="17771" spans="5:6" ht="15" customHeight="1" x14ac:dyDescent="0.2">
      <c r="E17771" s="18"/>
      <c r="F17771" s="18"/>
    </row>
    <row r="17772" spans="5:6" ht="15" customHeight="1" x14ac:dyDescent="0.2">
      <c r="E17772" s="18"/>
      <c r="F17772" s="18"/>
    </row>
    <row r="17773" spans="5:6" ht="15" customHeight="1" x14ac:dyDescent="0.2">
      <c r="E17773" s="18"/>
      <c r="F17773" s="18"/>
    </row>
    <row r="17774" spans="5:6" ht="15" customHeight="1" x14ac:dyDescent="0.2">
      <c r="E17774" s="18"/>
      <c r="F17774" s="18"/>
    </row>
    <row r="17775" spans="5:6" ht="15" customHeight="1" x14ac:dyDescent="0.2">
      <c r="E17775" s="18"/>
      <c r="F17775" s="18"/>
    </row>
    <row r="17776" spans="5:6" ht="15" customHeight="1" x14ac:dyDescent="0.2">
      <c r="E17776" s="18"/>
      <c r="F17776" s="18"/>
    </row>
    <row r="17777" spans="5:6" ht="15" customHeight="1" x14ac:dyDescent="0.2">
      <c r="E17777" s="18"/>
      <c r="F17777" s="18"/>
    </row>
    <row r="17778" spans="5:6" ht="15" customHeight="1" x14ac:dyDescent="0.2">
      <c r="E17778" s="18"/>
      <c r="F17778" s="18"/>
    </row>
    <row r="17779" spans="5:6" ht="15" customHeight="1" x14ac:dyDescent="0.2">
      <c r="E17779" s="18"/>
      <c r="F17779" s="18"/>
    </row>
    <row r="17780" spans="5:6" ht="15" customHeight="1" x14ac:dyDescent="0.2">
      <c r="E17780" s="18"/>
      <c r="F17780" s="18"/>
    </row>
    <row r="17781" spans="5:6" ht="15" customHeight="1" x14ac:dyDescent="0.2">
      <c r="E17781" s="18"/>
      <c r="F17781" s="18"/>
    </row>
    <row r="17782" spans="5:6" ht="15" customHeight="1" x14ac:dyDescent="0.2">
      <c r="E17782" s="18"/>
      <c r="F17782" s="18"/>
    </row>
    <row r="17783" spans="5:6" ht="15" customHeight="1" x14ac:dyDescent="0.2">
      <c r="E17783" s="18"/>
      <c r="F17783" s="18"/>
    </row>
    <row r="17784" spans="5:6" ht="15" customHeight="1" x14ac:dyDescent="0.2">
      <c r="E17784" s="18"/>
      <c r="F17784" s="18"/>
    </row>
    <row r="17785" spans="5:6" ht="15" customHeight="1" x14ac:dyDescent="0.2">
      <c r="E17785" s="18"/>
      <c r="F17785" s="18"/>
    </row>
    <row r="17786" spans="5:6" ht="15" customHeight="1" x14ac:dyDescent="0.2">
      <c r="E17786" s="18"/>
      <c r="F17786" s="18"/>
    </row>
    <row r="17787" spans="5:6" ht="15" customHeight="1" x14ac:dyDescent="0.2">
      <c r="E17787" s="18"/>
      <c r="F17787" s="18"/>
    </row>
    <row r="17788" spans="5:6" ht="15" customHeight="1" x14ac:dyDescent="0.2">
      <c r="E17788" s="18"/>
      <c r="F17788" s="18"/>
    </row>
    <row r="17789" spans="5:6" ht="15" customHeight="1" x14ac:dyDescent="0.2">
      <c r="E17789" s="18"/>
      <c r="F17789" s="18"/>
    </row>
    <row r="17790" spans="5:6" ht="15" customHeight="1" x14ac:dyDescent="0.2">
      <c r="E17790" s="18"/>
      <c r="F17790" s="18"/>
    </row>
    <row r="17791" spans="5:6" ht="15" customHeight="1" x14ac:dyDescent="0.2">
      <c r="E17791" s="18"/>
      <c r="F17791" s="18"/>
    </row>
    <row r="17792" spans="5:6" ht="15" customHeight="1" x14ac:dyDescent="0.2">
      <c r="E17792" s="18"/>
      <c r="F17792" s="18"/>
    </row>
    <row r="17793" spans="5:6" ht="15" customHeight="1" x14ac:dyDescent="0.2">
      <c r="E17793" s="18"/>
      <c r="F17793" s="18"/>
    </row>
    <row r="17794" spans="5:6" ht="15" customHeight="1" x14ac:dyDescent="0.2">
      <c r="E17794" s="18"/>
      <c r="F17794" s="18"/>
    </row>
    <row r="17795" spans="5:6" ht="15" customHeight="1" x14ac:dyDescent="0.2">
      <c r="E17795" s="18"/>
      <c r="F17795" s="18"/>
    </row>
    <row r="17796" spans="5:6" ht="15" customHeight="1" x14ac:dyDescent="0.2">
      <c r="E17796" s="18"/>
      <c r="F17796" s="18"/>
    </row>
    <row r="17797" spans="5:6" ht="15" customHeight="1" x14ac:dyDescent="0.2">
      <c r="E17797" s="18"/>
      <c r="F17797" s="18"/>
    </row>
    <row r="17798" spans="5:6" ht="15" customHeight="1" x14ac:dyDescent="0.2">
      <c r="E17798" s="18"/>
      <c r="F17798" s="18"/>
    </row>
    <row r="17799" spans="5:6" ht="15" customHeight="1" x14ac:dyDescent="0.2">
      <c r="E17799" s="18"/>
      <c r="F17799" s="18"/>
    </row>
    <row r="17800" spans="5:6" ht="15" customHeight="1" x14ac:dyDescent="0.2">
      <c r="E17800" s="18"/>
      <c r="F17800" s="18"/>
    </row>
    <row r="17801" spans="5:6" ht="15" customHeight="1" x14ac:dyDescent="0.2">
      <c r="E17801" s="18"/>
      <c r="F17801" s="18"/>
    </row>
    <row r="17802" spans="5:6" ht="15" customHeight="1" x14ac:dyDescent="0.2">
      <c r="E17802" s="18"/>
      <c r="F17802" s="18"/>
    </row>
    <row r="17803" spans="5:6" ht="15" customHeight="1" x14ac:dyDescent="0.2">
      <c r="E17803" s="18"/>
      <c r="F17803" s="18"/>
    </row>
    <row r="17804" spans="5:6" ht="15" customHeight="1" x14ac:dyDescent="0.2">
      <c r="E17804" s="18"/>
      <c r="F17804" s="18"/>
    </row>
    <row r="17805" spans="5:6" ht="15" customHeight="1" x14ac:dyDescent="0.2">
      <c r="E17805" s="18"/>
      <c r="F17805" s="18"/>
    </row>
    <row r="17806" spans="5:6" ht="15" customHeight="1" x14ac:dyDescent="0.2">
      <c r="E17806" s="18"/>
      <c r="F17806" s="18"/>
    </row>
    <row r="17807" spans="5:6" ht="15" customHeight="1" x14ac:dyDescent="0.2">
      <c r="E17807" s="18"/>
      <c r="F17807" s="18"/>
    </row>
    <row r="17808" spans="5:6" ht="15" customHeight="1" x14ac:dyDescent="0.2">
      <c r="E17808" s="18"/>
      <c r="F17808" s="18"/>
    </row>
    <row r="17809" spans="5:6" ht="15" customHeight="1" x14ac:dyDescent="0.2">
      <c r="E17809" s="18"/>
      <c r="F17809" s="18"/>
    </row>
    <row r="17810" spans="5:6" ht="15" customHeight="1" x14ac:dyDescent="0.2">
      <c r="E17810" s="18"/>
      <c r="F17810" s="18"/>
    </row>
    <row r="17811" spans="5:6" ht="15" customHeight="1" x14ac:dyDescent="0.2">
      <c r="E17811" s="18"/>
      <c r="F17811" s="18"/>
    </row>
    <row r="17812" spans="5:6" ht="15" customHeight="1" x14ac:dyDescent="0.2">
      <c r="E17812" s="18"/>
      <c r="F17812" s="18"/>
    </row>
    <row r="17813" spans="5:6" ht="15" customHeight="1" x14ac:dyDescent="0.2">
      <c r="E17813" s="18"/>
      <c r="F17813" s="18"/>
    </row>
    <row r="17814" spans="5:6" ht="15" customHeight="1" x14ac:dyDescent="0.2">
      <c r="E17814" s="18"/>
      <c r="F17814" s="18"/>
    </row>
    <row r="17815" spans="5:6" ht="15" customHeight="1" x14ac:dyDescent="0.2">
      <c r="E17815" s="18"/>
      <c r="F17815" s="18"/>
    </row>
    <row r="17816" spans="5:6" ht="15" customHeight="1" x14ac:dyDescent="0.2">
      <c r="E17816" s="18"/>
      <c r="F17816" s="18"/>
    </row>
    <row r="17817" spans="5:6" ht="15" customHeight="1" x14ac:dyDescent="0.2">
      <c r="E17817" s="18"/>
      <c r="F17817" s="18"/>
    </row>
    <row r="17818" spans="5:6" ht="15" customHeight="1" x14ac:dyDescent="0.2">
      <c r="E17818" s="18"/>
      <c r="F17818" s="18"/>
    </row>
    <row r="17819" spans="5:6" ht="15" customHeight="1" x14ac:dyDescent="0.2">
      <c r="E17819" s="18"/>
      <c r="F17819" s="18"/>
    </row>
    <row r="17820" spans="5:6" ht="15" customHeight="1" x14ac:dyDescent="0.2">
      <c r="E17820" s="18"/>
      <c r="F17820" s="18"/>
    </row>
    <row r="17821" spans="5:6" ht="15" customHeight="1" x14ac:dyDescent="0.2">
      <c r="E17821" s="18"/>
      <c r="F17821" s="18"/>
    </row>
    <row r="17822" spans="5:6" ht="15" customHeight="1" x14ac:dyDescent="0.2">
      <c r="E17822" s="18"/>
      <c r="F17822" s="18"/>
    </row>
    <row r="17823" spans="5:6" ht="15" customHeight="1" x14ac:dyDescent="0.2">
      <c r="E17823" s="18"/>
      <c r="F17823" s="18"/>
    </row>
    <row r="17824" spans="5:6" ht="15" customHeight="1" x14ac:dyDescent="0.2">
      <c r="E17824" s="18"/>
      <c r="F17824" s="18"/>
    </row>
    <row r="17825" spans="5:6" ht="15" customHeight="1" x14ac:dyDescent="0.2">
      <c r="E17825" s="18"/>
      <c r="F17825" s="18"/>
    </row>
    <row r="17826" spans="5:6" ht="15" customHeight="1" x14ac:dyDescent="0.2">
      <c r="E17826" s="18"/>
      <c r="F17826" s="18"/>
    </row>
    <row r="17827" spans="5:6" ht="15" customHeight="1" x14ac:dyDescent="0.2">
      <c r="E17827" s="18"/>
      <c r="F17827" s="18"/>
    </row>
    <row r="17828" spans="5:6" ht="15" customHeight="1" x14ac:dyDescent="0.2">
      <c r="E17828" s="18"/>
      <c r="F17828" s="18"/>
    </row>
    <row r="17829" spans="5:6" ht="15" customHeight="1" x14ac:dyDescent="0.2">
      <c r="E17829" s="18"/>
      <c r="F17829" s="18"/>
    </row>
    <row r="17830" spans="5:6" ht="15" customHeight="1" x14ac:dyDescent="0.2">
      <c r="E17830" s="18"/>
      <c r="F17830" s="18"/>
    </row>
    <row r="17831" spans="5:6" ht="15" customHeight="1" x14ac:dyDescent="0.2">
      <c r="E17831" s="18"/>
      <c r="F17831" s="18"/>
    </row>
    <row r="17832" spans="5:6" ht="15" customHeight="1" x14ac:dyDescent="0.2">
      <c r="E17832" s="18"/>
      <c r="F17832" s="18"/>
    </row>
    <row r="17833" spans="5:6" ht="15" customHeight="1" x14ac:dyDescent="0.2">
      <c r="E17833" s="18"/>
      <c r="F17833" s="18"/>
    </row>
    <row r="17834" spans="5:6" ht="15" customHeight="1" x14ac:dyDescent="0.2">
      <c r="E17834" s="18"/>
      <c r="F17834" s="18"/>
    </row>
    <row r="17835" spans="5:6" ht="15" customHeight="1" x14ac:dyDescent="0.2">
      <c r="E17835" s="18"/>
      <c r="F17835" s="18"/>
    </row>
    <row r="17836" spans="5:6" ht="15" customHeight="1" x14ac:dyDescent="0.2">
      <c r="E17836" s="18"/>
      <c r="F17836" s="18"/>
    </row>
    <row r="17837" spans="5:6" ht="15" customHeight="1" x14ac:dyDescent="0.2">
      <c r="E17837" s="18"/>
      <c r="F17837" s="18"/>
    </row>
    <row r="17838" spans="5:6" ht="15" customHeight="1" x14ac:dyDescent="0.2">
      <c r="E17838" s="18"/>
      <c r="F17838" s="18"/>
    </row>
    <row r="17839" spans="5:6" ht="15" customHeight="1" x14ac:dyDescent="0.2">
      <c r="E17839" s="18"/>
      <c r="F17839" s="18"/>
    </row>
    <row r="17840" spans="5:6" ht="15" customHeight="1" x14ac:dyDescent="0.2">
      <c r="E17840" s="18"/>
      <c r="F17840" s="18"/>
    </row>
    <row r="17841" spans="5:6" ht="15" customHeight="1" x14ac:dyDescent="0.2">
      <c r="E17841" s="18"/>
      <c r="F17841" s="18"/>
    </row>
    <row r="17842" spans="5:6" ht="15" customHeight="1" x14ac:dyDescent="0.2">
      <c r="E17842" s="18"/>
      <c r="F17842" s="18"/>
    </row>
    <row r="17843" spans="5:6" ht="15" customHeight="1" x14ac:dyDescent="0.2">
      <c r="E17843" s="18"/>
      <c r="F17843" s="18"/>
    </row>
    <row r="17844" spans="5:6" ht="15" customHeight="1" x14ac:dyDescent="0.2">
      <c r="E17844" s="18"/>
      <c r="F17844" s="18"/>
    </row>
    <row r="17845" spans="5:6" ht="15" customHeight="1" x14ac:dyDescent="0.2">
      <c r="E17845" s="18"/>
      <c r="F17845" s="18"/>
    </row>
    <row r="17846" spans="5:6" ht="15" customHeight="1" x14ac:dyDescent="0.2">
      <c r="E17846" s="18"/>
      <c r="F17846" s="18"/>
    </row>
    <row r="17847" spans="5:6" ht="15" customHeight="1" x14ac:dyDescent="0.2">
      <c r="E17847" s="18"/>
      <c r="F17847" s="18"/>
    </row>
    <row r="17848" spans="5:6" ht="15" customHeight="1" x14ac:dyDescent="0.2">
      <c r="E17848" s="18"/>
      <c r="F17848" s="18"/>
    </row>
    <row r="17849" spans="5:6" ht="15" customHeight="1" x14ac:dyDescent="0.2">
      <c r="E17849" s="18"/>
      <c r="F17849" s="18"/>
    </row>
    <row r="17850" spans="5:6" ht="15" customHeight="1" x14ac:dyDescent="0.2">
      <c r="E17850" s="18"/>
      <c r="F17850" s="18"/>
    </row>
    <row r="17851" spans="5:6" ht="15" customHeight="1" x14ac:dyDescent="0.2">
      <c r="E17851" s="18"/>
      <c r="F17851" s="18"/>
    </row>
    <row r="17852" spans="5:6" ht="15" customHeight="1" x14ac:dyDescent="0.2">
      <c r="E17852" s="18"/>
      <c r="F17852" s="18"/>
    </row>
    <row r="17853" spans="5:6" ht="15" customHeight="1" x14ac:dyDescent="0.2">
      <c r="E17853" s="18"/>
      <c r="F17853" s="18"/>
    </row>
    <row r="17854" spans="5:6" ht="15" customHeight="1" x14ac:dyDescent="0.2">
      <c r="E17854" s="18"/>
      <c r="F17854" s="18"/>
    </row>
    <row r="17855" spans="5:6" ht="15" customHeight="1" x14ac:dyDescent="0.2">
      <c r="E17855" s="18"/>
      <c r="F17855" s="18"/>
    </row>
    <row r="17856" spans="5:6" ht="15" customHeight="1" x14ac:dyDescent="0.2">
      <c r="E17856" s="18"/>
      <c r="F17856" s="18"/>
    </row>
    <row r="17857" spans="5:6" ht="15" customHeight="1" x14ac:dyDescent="0.2">
      <c r="E17857" s="18"/>
      <c r="F17857" s="18"/>
    </row>
    <row r="17858" spans="5:6" ht="15" customHeight="1" x14ac:dyDescent="0.2">
      <c r="E17858" s="18"/>
      <c r="F17858" s="18"/>
    </row>
    <row r="17859" spans="5:6" ht="15" customHeight="1" x14ac:dyDescent="0.2">
      <c r="E17859" s="18"/>
      <c r="F17859" s="18"/>
    </row>
    <row r="17860" spans="5:6" ht="15" customHeight="1" x14ac:dyDescent="0.2">
      <c r="E17860" s="18"/>
      <c r="F17860" s="18"/>
    </row>
    <row r="17861" spans="5:6" ht="15" customHeight="1" x14ac:dyDescent="0.2">
      <c r="E17861" s="18"/>
      <c r="F17861" s="18"/>
    </row>
    <row r="17862" spans="5:6" ht="15" customHeight="1" x14ac:dyDescent="0.2">
      <c r="E17862" s="18"/>
      <c r="F17862" s="18"/>
    </row>
    <row r="17863" spans="5:6" ht="15" customHeight="1" x14ac:dyDescent="0.2">
      <c r="E17863" s="18"/>
      <c r="F17863" s="18"/>
    </row>
    <row r="17864" spans="5:6" ht="15" customHeight="1" x14ac:dyDescent="0.2">
      <c r="E17864" s="18"/>
      <c r="F17864" s="18"/>
    </row>
    <row r="17865" spans="5:6" ht="15" customHeight="1" x14ac:dyDescent="0.2">
      <c r="E17865" s="18"/>
      <c r="F17865" s="18"/>
    </row>
    <row r="17866" spans="5:6" ht="15" customHeight="1" x14ac:dyDescent="0.2">
      <c r="E17866" s="18"/>
      <c r="F17866" s="18"/>
    </row>
    <row r="17867" spans="5:6" ht="15" customHeight="1" x14ac:dyDescent="0.2">
      <c r="E17867" s="18"/>
      <c r="F17867" s="18"/>
    </row>
    <row r="17868" spans="5:6" ht="15" customHeight="1" x14ac:dyDescent="0.2">
      <c r="E17868" s="18"/>
      <c r="F17868" s="18"/>
    </row>
    <row r="17869" spans="5:6" ht="15" customHeight="1" x14ac:dyDescent="0.2">
      <c r="E17869" s="18"/>
      <c r="F17869" s="18"/>
    </row>
    <row r="17870" spans="5:6" ht="15" customHeight="1" x14ac:dyDescent="0.2">
      <c r="E17870" s="18"/>
      <c r="F17870" s="18"/>
    </row>
    <row r="17871" spans="5:6" ht="15" customHeight="1" x14ac:dyDescent="0.2">
      <c r="E17871" s="18"/>
      <c r="F17871" s="18"/>
    </row>
    <row r="17872" spans="5:6" ht="15" customHeight="1" x14ac:dyDescent="0.2">
      <c r="E17872" s="18"/>
      <c r="F17872" s="18"/>
    </row>
    <row r="17873" spans="5:6" ht="15" customHeight="1" x14ac:dyDescent="0.2">
      <c r="E17873" s="18"/>
      <c r="F17873" s="18"/>
    </row>
    <row r="17874" spans="5:6" ht="15" customHeight="1" x14ac:dyDescent="0.2">
      <c r="E17874" s="18"/>
      <c r="F17874" s="18"/>
    </row>
    <row r="17875" spans="5:6" ht="15" customHeight="1" x14ac:dyDescent="0.2">
      <c r="E17875" s="18"/>
      <c r="F17875" s="18"/>
    </row>
    <row r="17876" spans="5:6" ht="15" customHeight="1" x14ac:dyDescent="0.2">
      <c r="E17876" s="18"/>
      <c r="F17876" s="18"/>
    </row>
    <row r="17877" spans="5:6" ht="15" customHeight="1" x14ac:dyDescent="0.2">
      <c r="E17877" s="18"/>
      <c r="F17877" s="18"/>
    </row>
    <row r="17878" spans="5:6" ht="15" customHeight="1" x14ac:dyDescent="0.2">
      <c r="E17878" s="18"/>
      <c r="F17878" s="18"/>
    </row>
    <row r="17879" spans="5:6" ht="15" customHeight="1" x14ac:dyDescent="0.2">
      <c r="E17879" s="18"/>
      <c r="F17879" s="18"/>
    </row>
    <row r="17880" spans="5:6" ht="15" customHeight="1" x14ac:dyDescent="0.2">
      <c r="E17880" s="18"/>
      <c r="F17880" s="18"/>
    </row>
    <row r="17881" spans="5:6" ht="15" customHeight="1" x14ac:dyDescent="0.2">
      <c r="E17881" s="18"/>
      <c r="F17881" s="18"/>
    </row>
    <row r="17882" spans="5:6" ht="15" customHeight="1" x14ac:dyDescent="0.2">
      <c r="E17882" s="18"/>
      <c r="F17882" s="18"/>
    </row>
    <row r="17883" spans="5:6" ht="15" customHeight="1" x14ac:dyDescent="0.2">
      <c r="E17883" s="18"/>
      <c r="F17883" s="18"/>
    </row>
    <row r="17884" spans="5:6" ht="15" customHeight="1" x14ac:dyDescent="0.2">
      <c r="E17884" s="18"/>
      <c r="F17884" s="18"/>
    </row>
    <row r="17885" spans="5:6" ht="15" customHeight="1" x14ac:dyDescent="0.2">
      <c r="E17885" s="18"/>
      <c r="F17885" s="18"/>
    </row>
    <row r="17886" spans="5:6" ht="15" customHeight="1" x14ac:dyDescent="0.2">
      <c r="E17886" s="18"/>
      <c r="F17886" s="18"/>
    </row>
    <row r="17887" spans="5:6" ht="15" customHeight="1" x14ac:dyDescent="0.2">
      <c r="E17887" s="18"/>
      <c r="F17887" s="18"/>
    </row>
    <row r="17888" spans="5:6" ht="15" customHeight="1" x14ac:dyDescent="0.2">
      <c r="E17888" s="18"/>
      <c r="F17888" s="18"/>
    </row>
    <row r="17889" spans="5:6" ht="15" customHeight="1" x14ac:dyDescent="0.2">
      <c r="E17889" s="18"/>
      <c r="F17889" s="18"/>
    </row>
    <row r="17890" spans="5:6" ht="15" customHeight="1" x14ac:dyDescent="0.2">
      <c r="E17890" s="18"/>
      <c r="F17890" s="18"/>
    </row>
    <row r="17891" spans="5:6" ht="15" customHeight="1" x14ac:dyDescent="0.2">
      <c r="E17891" s="18"/>
      <c r="F17891" s="18"/>
    </row>
    <row r="17892" spans="5:6" ht="15" customHeight="1" x14ac:dyDescent="0.2">
      <c r="E17892" s="18"/>
      <c r="F17892" s="18"/>
    </row>
    <row r="17893" spans="5:6" ht="15" customHeight="1" x14ac:dyDescent="0.2">
      <c r="E17893" s="18"/>
      <c r="F17893" s="18"/>
    </row>
    <row r="17894" spans="5:6" ht="15" customHeight="1" x14ac:dyDescent="0.2">
      <c r="E17894" s="18"/>
      <c r="F17894" s="18"/>
    </row>
    <row r="17895" spans="5:6" ht="15" customHeight="1" x14ac:dyDescent="0.2">
      <c r="E17895" s="18"/>
      <c r="F17895" s="18"/>
    </row>
    <row r="17896" spans="5:6" ht="15" customHeight="1" x14ac:dyDescent="0.2">
      <c r="E17896" s="18"/>
      <c r="F17896" s="18"/>
    </row>
    <row r="17897" spans="5:6" ht="15" customHeight="1" x14ac:dyDescent="0.2">
      <c r="E17897" s="18"/>
      <c r="F17897" s="18"/>
    </row>
    <row r="17898" spans="5:6" ht="15" customHeight="1" x14ac:dyDescent="0.2">
      <c r="E17898" s="18"/>
      <c r="F17898" s="18"/>
    </row>
    <row r="17899" spans="5:6" ht="15" customHeight="1" x14ac:dyDescent="0.2">
      <c r="E17899" s="18"/>
      <c r="F17899" s="18"/>
    </row>
    <row r="17900" spans="5:6" ht="15" customHeight="1" x14ac:dyDescent="0.2">
      <c r="E17900" s="18"/>
      <c r="F17900" s="18"/>
    </row>
    <row r="17901" spans="5:6" ht="15" customHeight="1" x14ac:dyDescent="0.2">
      <c r="E17901" s="18"/>
      <c r="F17901" s="18"/>
    </row>
    <row r="17902" spans="5:6" ht="15" customHeight="1" x14ac:dyDescent="0.2">
      <c r="E17902" s="18"/>
      <c r="F17902" s="18"/>
    </row>
    <row r="17903" spans="5:6" ht="15" customHeight="1" x14ac:dyDescent="0.2">
      <c r="E17903" s="18"/>
      <c r="F17903" s="18"/>
    </row>
    <row r="17904" spans="5:6" ht="15" customHeight="1" x14ac:dyDescent="0.2">
      <c r="E17904" s="18"/>
      <c r="F17904" s="18"/>
    </row>
    <row r="17905" spans="5:6" ht="15" customHeight="1" x14ac:dyDescent="0.2">
      <c r="E17905" s="18"/>
      <c r="F17905" s="18"/>
    </row>
    <row r="17906" spans="5:6" ht="15" customHeight="1" x14ac:dyDescent="0.2">
      <c r="E17906" s="18"/>
      <c r="F17906" s="18"/>
    </row>
    <row r="17907" spans="5:6" ht="15" customHeight="1" x14ac:dyDescent="0.2">
      <c r="E17907" s="18"/>
      <c r="F17907" s="18"/>
    </row>
    <row r="17908" spans="5:6" ht="15" customHeight="1" x14ac:dyDescent="0.2">
      <c r="E17908" s="18"/>
      <c r="F17908" s="18"/>
    </row>
    <row r="17909" spans="5:6" ht="15" customHeight="1" x14ac:dyDescent="0.2">
      <c r="E17909" s="18"/>
      <c r="F17909" s="18"/>
    </row>
    <row r="17910" spans="5:6" ht="15" customHeight="1" x14ac:dyDescent="0.2">
      <c r="E17910" s="18"/>
      <c r="F17910" s="18"/>
    </row>
    <row r="17911" spans="5:6" ht="15" customHeight="1" x14ac:dyDescent="0.2">
      <c r="E17911" s="18"/>
      <c r="F17911" s="18"/>
    </row>
    <row r="17912" spans="5:6" ht="15" customHeight="1" x14ac:dyDescent="0.2">
      <c r="E17912" s="18"/>
      <c r="F17912" s="18"/>
    </row>
    <row r="17913" spans="5:6" ht="15" customHeight="1" x14ac:dyDescent="0.2">
      <c r="E17913" s="18"/>
      <c r="F17913" s="18"/>
    </row>
    <row r="17914" spans="5:6" ht="15" customHeight="1" x14ac:dyDescent="0.2">
      <c r="E17914" s="18"/>
      <c r="F17914" s="18"/>
    </row>
    <row r="17915" spans="5:6" ht="15" customHeight="1" x14ac:dyDescent="0.2">
      <c r="E17915" s="18"/>
      <c r="F17915" s="18"/>
    </row>
    <row r="17916" spans="5:6" ht="15" customHeight="1" x14ac:dyDescent="0.2">
      <c r="E17916" s="18"/>
      <c r="F17916" s="18"/>
    </row>
    <row r="17917" spans="5:6" ht="15" customHeight="1" x14ac:dyDescent="0.2">
      <c r="E17917" s="18"/>
      <c r="F17917" s="18"/>
    </row>
    <row r="17918" spans="5:6" ht="15" customHeight="1" x14ac:dyDescent="0.2">
      <c r="E17918" s="18"/>
      <c r="F17918" s="18"/>
    </row>
    <row r="17919" spans="5:6" ht="15" customHeight="1" x14ac:dyDescent="0.2">
      <c r="E17919" s="18"/>
      <c r="F17919" s="18"/>
    </row>
    <row r="17920" spans="5:6" ht="15" customHeight="1" x14ac:dyDescent="0.2">
      <c r="E17920" s="18"/>
      <c r="F17920" s="18"/>
    </row>
    <row r="17921" spans="5:6" ht="15" customHeight="1" x14ac:dyDescent="0.2">
      <c r="E17921" s="18"/>
      <c r="F17921" s="18"/>
    </row>
    <row r="17922" spans="5:6" ht="15" customHeight="1" x14ac:dyDescent="0.2">
      <c r="E17922" s="18"/>
      <c r="F17922" s="18"/>
    </row>
    <row r="17923" spans="5:6" ht="15" customHeight="1" x14ac:dyDescent="0.2">
      <c r="E17923" s="18"/>
      <c r="F17923" s="18"/>
    </row>
    <row r="17924" spans="5:6" ht="15" customHeight="1" x14ac:dyDescent="0.2">
      <c r="E17924" s="18"/>
      <c r="F17924" s="18"/>
    </row>
    <row r="17925" spans="5:6" ht="15" customHeight="1" x14ac:dyDescent="0.2">
      <c r="E17925" s="18"/>
      <c r="F17925" s="18"/>
    </row>
    <row r="17926" spans="5:6" ht="15" customHeight="1" x14ac:dyDescent="0.2">
      <c r="E17926" s="18"/>
      <c r="F17926" s="18"/>
    </row>
    <row r="17927" spans="5:6" ht="15" customHeight="1" x14ac:dyDescent="0.2">
      <c r="E17927" s="18"/>
      <c r="F17927" s="18"/>
    </row>
    <row r="17928" spans="5:6" ht="15" customHeight="1" x14ac:dyDescent="0.2">
      <c r="E17928" s="18"/>
      <c r="F17928" s="18"/>
    </row>
    <row r="17929" spans="5:6" ht="15" customHeight="1" x14ac:dyDescent="0.2">
      <c r="E17929" s="18"/>
      <c r="F17929" s="18"/>
    </row>
    <row r="17930" spans="5:6" ht="15" customHeight="1" x14ac:dyDescent="0.2">
      <c r="E17930" s="18"/>
      <c r="F17930" s="18"/>
    </row>
    <row r="17931" spans="5:6" ht="15" customHeight="1" x14ac:dyDescent="0.2">
      <c r="E17931" s="18"/>
      <c r="F17931" s="18"/>
    </row>
    <row r="17932" spans="5:6" ht="15" customHeight="1" x14ac:dyDescent="0.2">
      <c r="E17932" s="18"/>
      <c r="F17932" s="18"/>
    </row>
    <row r="17933" spans="5:6" ht="15" customHeight="1" x14ac:dyDescent="0.2">
      <c r="E17933" s="18"/>
      <c r="F17933" s="18"/>
    </row>
    <row r="17934" spans="5:6" ht="15" customHeight="1" x14ac:dyDescent="0.2">
      <c r="E17934" s="18"/>
      <c r="F17934" s="18"/>
    </row>
    <row r="17935" spans="5:6" ht="15" customHeight="1" x14ac:dyDescent="0.2">
      <c r="E17935" s="18"/>
      <c r="F17935" s="18"/>
    </row>
    <row r="17936" spans="5:6" ht="15" customHeight="1" x14ac:dyDescent="0.2">
      <c r="E17936" s="18"/>
      <c r="F17936" s="18"/>
    </row>
    <row r="17937" spans="5:6" ht="15" customHeight="1" x14ac:dyDescent="0.2">
      <c r="E17937" s="18"/>
      <c r="F17937" s="18"/>
    </row>
    <row r="17938" spans="5:6" ht="15" customHeight="1" x14ac:dyDescent="0.2">
      <c r="E17938" s="18"/>
      <c r="F17938" s="18"/>
    </row>
    <row r="17939" spans="5:6" ht="15" customHeight="1" x14ac:dyDescent="0.2">
      <c r="E17939" s="18"/>
      <c r="F17939" s="18"/>
    </row>
    <row r="17940" spans="5:6" ht="15" customHeight="1" x14ac:dyDescent="0.2">
      <c r="E17940" s="18"/>
      <c r="F17940" s="18"/>
    </row>
    <row r="17941" spans="5:6" ht="15" customHeight="1" x14ac:dyDescent="0.2">
      <c r="E17941" s="18"/>
      <c r="F17941" s="18"/>
    </row>
    <row r="17942" spans="5:6" ht="15" customHeight="1" x14ac:dyDescent="0.2">
      <c r="E17942" s="18"/>
      <c r="F17942" s="18"/>
    </row>
    <row r="17943" spans="5:6" ht="15" customHeight="1" x14ac:dyDescent="0.2">
      <c r="E17943" s="18"/>
      <c r="F17943" s="18"/>
    </row>
    <row r="17944" spans="5:6" ht="15" customHeight="1" x14ac:dyDescent="0.2">
      <c r="E17944" s="18"/>
      <c r="F17944" s="18"/>
    </row>
    <row r="17945" spans="5:6" ht="15" customHeight="1" x14ac:dyDescent="0.2">
      <c r="E17945" s="18"/>
      <c r="F17945" s="18"/>
    </row>
    <row r="17946" spans="5:6" ht="15" customHeight="1" x14ac:dyDescent="0.2">
      <c r="E17946" s="18"/>
      <c r="F17946" s="18"/>
    </row>
    <row r="17947" spans="5:6" ht="15" customHeight="1" x14ac:dyDescent="0.2">
      <c r="E17947" s="18"/>
      <c r="F17947" s="18"/>
    </row>
    <row r="17948" spans="5:6" ht="15" customHeight="1" x14ac:dyDescent="0.2">
      <c r="E17948" s="18"/>
      <c r="F17948" s="18"/>
    </row>
    <row r="17949" spans="5:6" ht="15" customHeight="1" x14ac:dyDescent="0.2">
      <c r="E17949" s="18"/>
      <c r="F17949" s="18"/>
    </row>
    <row r="17950" spans="5:6" ht="15" customHeight="1" x14ac:dyDescent="0.2">
      <c r="E17950" s="18"/>
      <c r="F17950" s="18"/>
    </row>
    <row r="17951" spans="5:6" ht="15" customHeight="1" x14ac:dyDescent="0.2">
      <c r="E17951" s="18"/>
      <c r="F17951" s="18"/>
    </row>
    <row r="17952" spans="5:6" ht="15" customHeight="1" x14ac:dyDescent="0.2">
      <c r="E17952" s="18"/>
      <c r="F17952" s="18"/>
    </row>
    <row r="17953" spans="5:6" ht="15" customHeight="1" x14ac:dyDescent="0.2">
      <c r="E17953" s="18"/>
      <c r="F17953" s="18"/>
    </row>
    <row r="17954" spans="5:6" ht="15" customHeight="1" x14ac:dyDescent="0.2">
      <c r="E17954" s="18"/>
      <c r="F17954" s="18"/>
    </row>
    <row r="17955" spans="5:6" ht="15" customHeight="1" x14ac:dyDescent="0.2">
      <c r="E17955" s="18"/>
      <c r="F17955" s="18"/>
    </row>
    <row r="17956" spans="5:6" ht="15" customHeight="1" x14ac:dyDescent="0.2">
      <c r="E17956" s="18"/>
      <c r="F17956" s="18"/>
    </row>
    <row r="17957" spans="5:6" ht="15" customHeight="1" x14ac:dyDescent="0.2">
      <c r="E17957" s="18"/>
      <c r="F17957" s="18"/>
    </row>
    <row r="17958" spans="5:6" ht="15" customHeight="1" x14ac:dyDescent="0.2">
      <c r="E17958" s="18"/>
      <c r="F17958" s="18"/>
    </row>
    <row r="17959" spans="5:6" ht="15" customHeight="1" x14ac:dyDescent="0.2">
      <c r="E17959" s="18"/>
      <c r="F17959" s="18"/>
    </row>
    <row r="17960" spans="5:6" ht="15" customHeight="1" x14ac:dyDescent="0.2">
      <c r="E17960" s="18"/>
      <c r="F17960" s="18"/>
    </row>
    <row r="17961" spans="5:6" ht="15" customHeight="1" x14ac:dyDescent="0.2">
      <c r="E17961" s="18"/>
      <c r="F17961" s="18"/>
    </row>
    <row r="17962" spans="5:6" ht="15" customHeight="1" x14ac:dyDescent="0.2">
      <c r="E17962" s="18"/>
      <c r="F17962" s="18"/>
    </row>
    <row r="17963" spans="5:6" ht="15" customHeight="1" x14ac:dyDescent="0.2">
      <c r="E17963" s="18"/>
      <c r="F17963" s="18"/>
    </row>
    <row r="17964" spans="5:6" ht="15" customHeight="1" x14ac:dyDescent="0.2">
      <c r="E17964" s="18"/>
      <c r="F17964" s="18"/>
    </row>
    <row r="17965" spans="5:6" ht="15" customHeight="1" x14ac:dyDescent="0.2">
      <c r="E17965" s="18"/>
      <c r="F17965" s="18"/>
    </row>
    <row r="17966" spans="5:6" ht="15" customHeight="1" x14ac:dyDescent="0.2">
      <c r="E17966" s="18"/>
      <c r="F17966" s="18"/>
    </row>
    <row r="17967" spans="5:6" ht="15" customHeight="1" x14ac:dyDescent="0.2">
      <c r="E17967" s="18"/>
      <c r="F17967" s="18"/>
    </row>
    <row r="17968" spans="5:6" ht="15" customHeight="1" x14ac:dyDescent="0.2">
      <c r="E17968" s="18"/>
      <c r="F17968" s="18"/>
    </row>
    <row r="17969" spans="5:6" ht="15" customHeight="1" x14ac:dyDescent="0.2">
      <c r="E17969" s="18"/>
      <c r="F17969" s="18"/>
    </row>
    <row r="17970" spans="5:6" ht="15" customHeight="1" x14ac:dyDescent="0.2">
      <c r="E17970" s="18"/>
      <c r="F17970" s="18"/>
    </row>
    <row r="17971" spans="5:6" ht="15" customHeight="1" x14ac:dyDescent="0.2">
      <c r="E17971" s="18"/>
      <c r="F17971" s="18"/>
    </row>
    <row r="17972" spans="5:6" ht="15" customHeight="1" x14ac:dyDescent="0.2">
      <c r="E17972" s="18"/>
      <c r="F17972" s="18"/>
    </row>
    <row r="17973" spans="5:6" ht="15" customHeight="1" x14ac:dyDescent="0.2">
      <c r="E17973" s="18"/>
      <c r="F17973" s="18"/>
    </row>
    <row r="17974" spans="5:6" ht="15" customHeight="1" x14ac:dyDescent="0.2">
      <c r="E17974" s="18"/>
      <c r="F17974" s="18"/>
    </row>
    <row r="17975" spans="5:6" ht="15" customHeight="1" x14ac:dyDescent="0.2">
      <c r="E17975" s="18"/>
      <c r="F17975" s="18"/>
    </row>
    <row r="17976" spans="5:6" ht="15" customHeight="1" x14ac:dyDescent="0.2">
      <c r="E17976" s="18"/>
      <c r="F17976" s="18"/>
    </row>
    <row r="17977" spans="5:6" ht="15" customHeight="1" x14ac:dyDescent="0.2">
      <c r="E17977" s="18"/>
      <c r="F17977" s="18"/>
    </row>
    <row r="17978" spans="5:6" ht="15" customHeight="1" x14ac:dyDescent="0.2">
      <c r="E17978" s="18"/>
      <c r="F17978" s="18"/>
    </row>
    <row r="17979" spans="5:6" ht="15" customHeight="1" x14ac:dyDescent="0.2">
      <c r="E17979" s="18"/>
      <c r="F17979" s="18"/>
    </row>
    <row r="17980" spans="5:6" ht="15" customHeight="1" x14ac:dyDescent="0.2">
      <c r="E17980" s="18"/>
      <c r="F17980" s="18"/>
    </row>
    <row r="17981" spans="5:6" ht="15" customHeight="1" x14ac:dyDescent="0.2">
      <c r="E17981" s="18"/>
      <c r="F17981" s="18"/>
    </row>
    <row r="17982" spans="5:6" ht="15" customHeight="1" x14ac:dyDescent="0.2">
      <c r="E17982" s="18"/>
      <c r="F17982" s="18"/>
    </row>
    <row r="17983" spans="5:6" ht="15" customHeight="1" x14ac:dyDescent="0.2">
      <c r="E17983" s="18"/>
      <c r="F17983" s="18"/>
    </row>
    <row r="17984" spans="5:6" ht="15" customHeight="1" x14ac:dyDescent="0.2">
      <c r="E17984" s="18"/>
      <c r="F17984" s="18"/>
    </row>
    <row r="17985" spans="5:6" ht="15" customHeight="1" x14ac:dyDescent="0.2">
      <c r="E17985" s="18"/>
      <c r="F17985" s="18"/>
    </row>
    <row r="17986" spans="5:6" ht="15" customHeight="1" x14ac:dyDescent="0.2">
      <c r="E17986" s="18"/>
      <c r="F17986" s="18"/>
    </row>
    <row r="17987" spans="5:6" ht="15" customHeight="1" x14ac:dyDescent="0.2">
      <c r="E17987" s="18"/>
      <c r="F17987" s="18"/>
    </row>
    <row r="17988" spans="5:6" ht="15" customHeight="1" x14ac:dyDescent="0.2">
      <c r="E17988" s="18"/>
      <c r="F17988" s="18"/>
    </row>
    <row r="17989" spans="5:6" ht="15" customHeight="1" x14ac:dyDescent="0.2">
      <c r="E17989" s="18"/>
      <c r="F17989" s="18"/>
    </row>
    <row r="17990" spans="5:6" ht="15" customHeight="1" x14ac:dyDescent="0.2">
      <c r="E17990" s="18"/>
      <c r="F17990" s="18"/>
    </row>
    <row r="17991" spans="5:6" ht="15" customHeight="1" x14ac:dyDescent="0.2">
      <c r="E17991" s="18"/>
      <c r="F17991" s="18"/>
    </row>
    <row r="17992" spans="5:6" ht="15" customHeight="1" x14ac:dyDescent="0.2">
      <c r="E17992" s="18"/>
      <c r="F17992" s="18"/>
    </row>
    <row r="17993" spans="5:6" ht="15" customHeight="1" x14ac:dyDescent="0.2">
      <c r="E17993" s="18"/>
      <c r="F17993" s="18"/>
    </row>
    <row r="17994" spans="5:6" ht="15" customHeight="1" x14ac:dyDescent="0.2">
      <c r="E17994" s="18"/>
      <c r="F17994" s="18"/>
    </row>
    <row r="17995" spans="5:6" ht="15" customHeight="1" x14ac:dyDescent="0.2">
      <c r="E17995" s="18"/>
      <c r="F17995" s="18"/>
    </row>
    <row r="17996" spans="5:6" ht="15" customHeight="1" x14ac:dyDescent="0.2">
      <c r="E17996" s="18"/>
      <c r="F17996" s="18"/>
    </row>
    <row r="17997" spans="5:6" ht="15" customHeight="1" x14ac:dyDescent="0.2">
      <c r="E17997" s="18"/>
      <c r="F17997" s="18"/>
    </row>
    <row r="17998" spans="5:6" ht="15" customHeight="1" x14ac:dyDescent="0.2">
      <c r="E17998" s="18"/>
      <c r="F17998" s="18"/>
    </row>
    <row r="17999" spans="5:6" ht="15" customHeight="1" x14ac:dyDescent="0.2">
      <c r="E17999" s="18"/>
      <c r="F17999" s="18"/>
    </row>
    <row r="18000" spans="5:6" ht="15" customHeight="1" x14ac:dyDescent="0.2">
      <c r="E18000" s="18"/>
      <c r="F18000" s="18"/>
    </row>
    <row r="18001" spans="5:6" ht="15" customHeight="1" x14ac:dyDescent="0.2">
      <c r="E18001" s="18"/>
      <c r="F18001" s="18"/>
    </row>
    <row r="18002" spans="5:6" ht="15" customHeight="1" x14ac:dyDescent="0.2">
      <c r="E18002" s="18"/>
      <c r="F18002" s="18"/>
    </row>
    <row r="18003" spans="5:6" ht="15" customHeight="1" x14ac:dyDescent="0.2">
      <c r="E18003" s="18"/>
      <c r="F18003" s="18"/>
    </row>
    <row r="18004" spans="5:6" ht="15" customHeight="1" x14ac:dyDescent="0.2">
      <c r="E18004" s="18"/>
      <c r="F18004" s="18"/>
    </row>
    <row r="18005" spans="5:6" ht="15" customHeight="1" x14ac:dyDescent="0.2">
      <c r="E18005" s="18"/>
      <c r="F18005" s="18"/>
    </row>
    <row r="18006" spans="5:6" ht="15" customHeight="1" x14ac:dyDescent="0.2">
      <c r="E18006" s="18"/>
      <c r="F18006" s="18"/>
    </row>
    <row r="18007" spans="5:6" ht="15" customHeight="1" x14ac:dyDescent="0.2">
      <c r="E18007" s="18"/>
      <c r="F18007" s="18"/>
    </row>
    <row r="18008" spans="5:6" ht="15" customHeight="1" x14ac:dyDescent="0.2">
      <c r="E18008" s="18"/>
      <c r="F18008" s="18"/>
    </row>
    <row r="18009" spans="5:6" ht="15" customHeight="1" x14ac:dyDescent="0.2">
      <c r="E18009" s="18"/>
      <c r="F18009" s="18"/>
    </row>
    <row r="18010" spans="5:6" ht="15" customHeight="1" x14ac:dyDescent="0.2">
      <c r="E18010" s="18"/>
      <c r="F18010" s="18"/>
    </row>
    <row r="18011" spans="5:6" ht="15" customHeight="1" x14ac:dyDescent="0.2">
      <c r="E18011" s="18"/>
      <c r="F18011" s="18"/>
    </row>
    <row r="18012" spans="5:6" ht="15" customHeight="1" x14ac:dyDescent="0.2">
      <c r="E18012" s="18"/>
      <c r="F18012" s="18"/>
    </row>
    <row r="18013" spans="5:6" ht="15" customHeight="1" x14ac:dyDescent="0.2">
      <c r="E18013" s="18"/>
      <c r="F18013" s="18"/>
    </row>
    <row r="18014" spans="5:6" ht="15" customHeight="1" x14ac:dyDescent="0.2">
      <c r="E18014" s="18"/>
      <c r="F18014" s="18"/>
    </row>
    <row r="18015" spans="5:6" ht="15" customHeight="1" x14ac:dyDescent="0.2">
      <c r="E18015" s="18"/>
      <c r="F18015" s="18"/>
    </row>
    <row r="18016" spans="5:6" ht="15" customHeight="1" x14ac:dyDescent="0.2">
      <c r="E18016" s="18"/>
      <c r="F18016" s="18"/>
    </row>
    <row r="18017" spans="5:6" ht="15" customHeight="1" x14ac:dyDescent="0.2">
      <c r="E18017" s="18"/>
      <c r="F18017" s="18"/>
    </row>
    <row r="18018" spans="5:6" ht="15" customHeight="1" x14ac:dyDescent="0.2">
      <c r="E18018" s="18"/>
      <c r="F18018" s="18"/>
    </row>
    <row r="18019" spans="5:6" ht="15" customHeight="1" x14ac:dyDescent="0.2">
      <c r="E18019" s="18"/>
      <c r="F18019" s="18"/>
    </row>
    <row r="18020" spans="5:6" ht="15" customHeight="1" x14ac:dyDescent="0.2">
      <c r="E18020" s="18"/>
      <c r="F18020" s="18"/>
    </row>
    <row r="18021" spans="5:6" ht="15" customHeight="1" x14ac:dyDescent="0.2">
      <c r="E18021" s="18"/>
      <c r="F18021" s="18"/>
    </row>
    <row r="18022" spans="5:6" ht="15" customHeight="1" x14ac:dyDescent="0.2">
      <c r="E18022" s="18"/>
      <c r="F18022" s="18"/>
    </row>
    <row r="18023" spans="5:6" ht="15" customHeight="1" x14ac:dyDescent="0.2">
      <c r="E18023" s="18"/>
      <c r="F18023" s="18"/>
    </row>
    <row r="18024" spans="5:6" ht="15" customHeight="1" x14ac:dyDescent="0.2">
      <c r="E18024" s="18"/>
      <c r="F18024" s="18"/>
    </row>
    <row r="18025" spans="5:6" ht="15" customHeight="1" x14ac:dyDescent="0.2">
      <c r="E18025" s="18"/>
      <c r="F18025" s="18"/>
    </row>
    <row r="18026" spans="5:6" ht="15" customHeight="1" x14ac:dyDescent="0.2">
      <c r="E18026" s="18"/>
      <c r="F18026" s="18"/>
    </row>
    <row r="18027" spans="5:6" ht="15" customHeight="1" x14ac:dyDescent="0.2">
      <c r="E18027" s="18"/>
      <c r="F18027" s="18"/>
    </row>
    <row r="18028" spans="5:6" ht="15" customHeight="1" x14ac:dyDescent="0.2">
      <c r="E18028" s="18"/>
      <c r="F18028" s="18"/>
    </row>
    <row r="18029" spans="5:6" ht="15" customHeight="1" x14ac:dyDescent="0.2">
      <c r="E18029" s="18"/>
      <c r="F18029" s="18"/>
    </row>
    <row r="18030" spans="5:6" ht="15" customHeight="1" x14ac:dyDescent="0.2">
      <c r="E18030" s="18"/>
      <c r="F18030" s="18"/>
    </row>
    <row r="18031" spans="5:6" ht="15" customHeight="1" x14ac:dyDescent="0.2">
      <c r="E18031" s="18"/>
      <c r="F18031" s="18"/>
    </row>
    <row r="18032" spans="5:6" ht="15" customHeight="1" x14ac:dyDescent="0.2">
      <c r="E18032" s="18"/>
      <c r="F18032" s="18"/>
    </row>
    <row r="18033" spans="5:6" ht="15" customHeight="1" x14ac:dyDescent="0.2">
      <c r="E18033" s="18"/>
      <c r="F18033" s="18"/>
    </row>
    <row r="18034" spans="5:6" ht="15" customHeight="1" x14ac:dyDescent="0.2">
      <c r="E18034" s="18"/>
      <c r="F18034" s="18"/>
    </row>
    <row r="18035" spans="5:6" ht="15" customHeight="1" x14ac:dyDescent="0.2">
      <c r="E18035" s="18"/>
      <c r="F18035" s="18"/>
    </row>
    <row r="18036" spans="5:6" ht="15" customHeight="1" x14ac:dyDescent="0.2">
      <c r="E18036" s="18"/>
      <c r="F18036" s="18"/>
    </row>
    <row r="18037" spans="5:6" ht="15" customHeight="1" x14ac:dyDescent="0.2">
      <c r="E18037" s="18"/>
      <c r="F18037" s="18"/>
    </row>
    <row r="18038" spans="5:6" ht="15" customHeight="1" x14ac:dyDescent="0.2">
      <c r="E18038" s="18"/>
      <c r="F18038" s="18"/>
    </row>
    <row r="18039" spans="5:6" ht="15" customHeight="1" x14ac:dyDescent="0.2">
      <c r="E18039" s="18"/>
      <c r="F18039" s="18"/>
    </row>
    <row r="18040" spans="5:6" ht="15" customHeight="1" x14ac:dyDescent="0.2">
      <c r="E18040" s="18"/>
      <c r="F18040" s="18"/>
    </row>
    <row r="18041" spans="5:6" ht="15" customHeight="1" x14ac:dyDescent="0.2">
      <c r="E18041" s="18"/>
      <c r="F18041" s="18"/>
    </row>
    <row r="18042" spans="5:6" ht="15" customHeight="1" x14ac:dyDescent="0.2">
      <c r="E18042" s="18"/>
      <c r="F18042" s="18"/>
    </row>
    <row r="18043" spans="5:6" ht="15" customHeight="1" x14ac:dyDescent="0.2">
      <c r="E18043" s="18"/>
      <c r="F18043" s="18"/>
    </row>
    <row r="18044" spans="5:6" ht="15" customHeight="1" x14ac:dyDescent="0.2">
      <c r="E18044" s="18"/>
      <c r="F18044" s="18"/>
    </row>
    <row r="18045" spans="5:6" ht="15" customHeight="1" x14ac:dyDescent="0.2">
      <c r="E18045" s="18"/>
      <c r="F18045" s="18"/>
    </row>
    <row r="18046" spans="5:6" ht="15" customHeight="1" x14ac:dyDescent="0.2">
      <c r="E18046" s="18"/>
      <c r="F18046" s="18"/>
    </row>
    <row r="18047" spans="5:6" ht="15" customHeight="1" x14ac:dyDescent="0.2">
      <c r="E18047" s="18"/>
      <c r="F18047" s="18"/>
    </row>
    <row r="18048" spans="5:6" ht="15" customHeight="1" x14ac:dyDescent="0.2">
      <c r="E18048" s="18"/>
      <c r="F18048" s="18"/>
    </row>
    <row r="18049" spans="5:6" ht="15" customHeight="1" x14ac:dyDescent="0.2">
      <c r="E18049" s="18"/>
      <c r="F18049" s="18"/>
    </row>
    <row r="18050" spans="5:6" ht="15" customHeight="1" x14ac:dyDescent="0.2">
      <c r="E18050" s="18"/>
      <c r="F18050" s="18"/>
    </row>
    <row r="18051" spans="5:6" ht="15" customHeight="1" x14ac:dyDescent="0.2">
      <c r="E18051" s="18"/>
      <c r="F18051" s="18"/>
    </row>
    <row r="18052" spans="5:6" ht="15" customHeight="1" x14ac:dyDescent="0.2">
      <c r="E18052" s="18"/>
      <c r="F18052" s="18"/>
    </row>
    <row r="18053" spans="5:6" ht="15" customHeight="1" x14ac:dyDescent="0.2">
      <c r="E18053" s="18"/>
      <c r="F18053" s="18"/>
    </row>
    <row r="18054" spans="5:6" ht="15" customHeight="1" x14ac:dyDescent="0.2">
      <c r="E18054" s="18"/>
      <c r="F18054" s="18"/>
    </row>
    <row r="18055" spans="5:6" ht="15" customHeight="1" x14ac:dyDescent="0.2">
      <c r="E18055" s="18"/>
      <c r="F18055" s="18"/>
    </row>
    <row r="18056" spans="5:6" ht="15" customHeight="1" x14ac:dyDescent="0.2">
      <c r="E18056" s="18"/>
      <c r="F18056" s="18"/>
    </row>
    <row r="18057" spans="5:6" ht="15" customHeight="1" x14ac:dyDescent="0.2">
      <c r="E18057" s="18"/>
      <c r="F18057" s="18"/>
    </row>
    <row r="18058" spans="5:6" ht="15" customHeight="1" x14ac:dyDescent="0.2">
      <c r="E18058" s="18"/>
      <c r="F18058" s="18"/>
    </row>
    <row r="18059" spans="5:6" ht="15" customHeight="1" x14ac:dyDescent="0.2">
      <c r="E18059" s="18"/>
      <c r="F18059" s="18"/>
    </row>
    <row r="18060" spans="5:6" ht="15" customHeight="1" x14ac:dyDescent="0.2">
      <c r="E18060" s="18"/>
      <c r="F18060" s="18"/>
    </row>
    <row r="18061" spans="5:6" ht="15" customHeight="1" x14ac:dyDescent="0.2">
      <c r="E18061" s="18"/>
      <c r="F18061" s="18"/>
    </row>
    <row r="18062" spans="5:6" ht="15" customHeight="1" x14ac:dyDescent="0.2">
      <c r="E18062" s="18"/>
      <c r="F18062" s="18"/>
    </row>
    <row r="18063" spans="5:6" ht="15" customHeight="1" x14ac:dyDescent="0.2">
      <c r="E18063" s="18"/>
      <c r="F18063" s="18"/>
    </row>
    <row r="18064" spans="5:6" ht="15" customHeight="1" x14ac:dyDescent="0.2">
      <c r="E18064" s="18"/>
      <c r="F18064" s="18"/>
    </row>
    <row r="18065" spans="5:6" ht="15" customHeight="1" x14ac:dyDescent="0.2">
      <c r="E18065" s="18"/>
      <c r="F18065" s="18"/>
    </row>
    <row r="18066" spans="5:6" ht="15" customHeight="1" x14ac:dyDescent="0.2">
      <c r="E18066" s="18"/>
      <c r="F18066" s="18"/>
    </row>
    <row r="18067" spans="5:6" ht="15" customHeight="1" x14ac:dyDescent="0.2">
      <c r="E18067" s="18"/>
      <c r="F18067" s="18"/>
    </row>
    <row r="18068" spans="5:6" ht="15" customHeight="1" x14ac:dyDescent="0.2">
      <c r="E18068" s="18"/>
      <c r="F18068" s="18"/>
    </row>
    <row r="18069" spans="5:6" ht="15" customHeight="1" x14ac:dyDescent="0.2">
      <c r="E18069" s="18"/>
      <c r="F18069" s="18"/>
    </row>
    <row r="18070" spans="5:6" ht="15" customHeight="1" x14ac:dyDescent="0.2">
      <c r="E18070" s="18"/>
      <c r="F18070" s="18"/>
    </row>
    <row r="18071" spans="5:6" ht="15" customHeight="1" x14ac:dyDescent="0.2">
      <c r="E18071" s="18"/>
      <c r="F18071" s="18"/>
    </row>
    <row r="18072" spans="5:6" ht="15" customHeight="1" x14ac:dyDescent="0.2">
      <c r="E18072" s="18"/>
      <c r="F18072" s="18"/>
    </row>
    <row r="18073" spans="5:6" ht="15" customHeight="1" x14ac:dyDescent="0.2">
      <c r="E18073" s="18"/>
      <c r="F18073" s="18"/>
    </row>
    <row r="18074" spans="5:6" ht="15" customHeight="1" x14ac:dyDescent="0.2">
      <c r="E18074" s="18"/>
      <c r="F18074" s="18"/>
    </row>
    <row r="18075" spans="5:6" ht="15" customHeight="1" x14ac:dyDescent="0.2">
      <c r="E18075" s="18"/>
      <c r="F18075" s="18"/>
    </row>
    <row r="18076" spans="5:6" ht="15" customHeight="1" x14ac:dyDescent="0.2">
      <c r="E18076" s="18"/>
      <c r="F18076" s="18"/>
    </row>
    <row r="18077" spans="5:6" ht="15" customHeight="1" x14ac:dyDescent="0.2">
      <c r="E18077" s="18"/>
      <c r="F18077" s="18"/>
    </row>
    <row r="18078" spans="5:6" ht="15" customHeight="1" x14ac:dyDescent="0.2">
      <c r="E18078" s="18"/>
      <c r="F18078" s="18"/>
    </row>
    <row r="18079" spans="5:6" ht="15" customHeight="1" x14ac:dyDescent="0.2">
      <c r="E18079" s="18"/>
      <c r="F18079" s="18"/>
    </row>
    <row r="18080" spans="5:6" ht="15" customHeight="1" x14ac:dyDescent="0.2">
      <c r="E18080" s="18"/>
      <c r="F18080" s="18"/>
    </row>
    <row r="18081" spans="5:6" ht="15" customHeight="1" x14ac:dyDescent="0.2">
      <c r="E18081" s="18"/>
      <c r="F18081" s="18"/>
    </row>
    <row r="18082" spans="5:6" ht="15" customHeight="1" x14ac:dyDescent="0.2">
      <c r="E18082" s="18"/>
      <c r="F18082" s="18"/>
    </row>
    <row r="18083" spans="5:6" ht="15" customHeight="1" x14ac:dyDescent="0.2">
      <c r="E18083" s="18"/>
      <c r="F18083" s="18"/>
    </row>
    <row r="18084" spans="5:6" ht="15" customHeight="1" x14ac:dyDescent="0.2">
      <c r="E18084" s="18"/>
      <c r="F18084" s="18"/>
    </row>
    <row r="18085" spans="5:6" ht="15" customHeight="1" x14ac:dyDescent="0.2">
      <c r="E18085" s="18"/>
      <c r="F18085" s="18"/>
    </row>
    <row r="18086" spans="5:6" ht="15" customHeight="1" x14ac:dyDescent="0.2">
      <c r="E18086" s="18"/>
      <c r="F18086" s="18"/>
    </row>
    <row r="18087" spans="5:6" ht="15" customHeight="1" x14ac:dyDescent="0.2">
      <c r="E18087" s="18"/>
      <c r="F18087" s="18"/>
    </row>
    <row r="18088" spans="5:6" ht="15" customHeight="1" x14ac:dyDescent="0.2">
      <c r="E18088" s="18"/>
      <c r="F18088" s="18"/>
    </row>
    <row r="18089" spans="5:6" ht="15" customHeight="1" x14ac:dyDescent="0.2">
      <c r="E18089" s="18"/>
      <c r="F18089" s="18"/>
    </row>
    <row r="18090" spans="5:6" ht="15" customHeight="1" x14ac:dyDescent="0.2">
      <c r="E18090" s="18"/>
      <c r="F18090" s="18"/>
    </row>
    <row r="18091" spans="5:6" ht="15" customHeight="1" x14ac:dyDescent="0.2">
      <c r="E18091" s="18"/>
      <c r="F18091" s="18"/>
    </row>
    <row r="18092" spans="5:6" ht="15" customHeight="1" x14ac:dyDescent="0.2">
      <c r="E18092" s="18"/>
      <c r="F18092" s="18"/>
    </row>
    <row r="18093" spans="5:6" ht="15" customHeight="1" x14ac:dyDescent="0.2">
      <c r="E18093" s="18"/>
      <c r="F18093" s="18"/>
    </row>
    <row r="18094" spans="5:6" ht="15" customHeight="1" x14ac:dyDescent="0.2">
      <c r="E18094" s="18"/>
      <c r="F18094" s="18"/>
    </row>
    <row r="18095" spans="5:6" ht="15" customHeight="1" x14ac:dyDescent="0.2">
      <c r="E18095" s="18"/>
      <c r="F18095" s="18"/>
    </row>
    <row r="18096" spans="5:6" ht="15" customHeight="1" x14ac:dyDescent="0.2">
      <c r="E18096" s="18"/>
      <c r="F18096" s="18"/>
    </row>
    <row r="18097" spans="5:6" ht="15" customHeight="1" x14ac:dyDescent="0.2">
      <c r="E18097" s="18"/>
      <c r="F18097" s="18"/>
    </row>
    <row r="18098" spans="5:6" ht="15" customHeight="1" x14ac:dyDescent="0.2">
      <c r="E18098" s="18"/>
      <c r="F18098" s="18"/>
    </row>
    <row r="18099" spans="5:6" ht="15" customHeight="1" x14ac:dyDescent="0.2">
      <c r="E18099" s="18"/>
      <c r="F18099" s="18"/>
    </row>
    <row r="18100" spans="5:6" ht="15" customHeight="1" x14ac:dyDescent="0.2">
      <c r="E18100" s="18"/>
      <c r="F18100" s="18"/>
    </row>
    <row r="18101" spans="5:6" ht="15" customHeight="1" x14ac:dyDescent="0.2">
      <c r="E18101" s="18"/>
      <c r="F18101" s="18"/>
    </row>
    <row r="18102" spans="5:6" ht="15" customHeight="1" x14ac:dyDescent="0.2">
      <c r="E18102" s="18"/>
      <c r="F18102" s="18"/>
    </row>
    <row r="18103" spans="5:6" ht="15" customHeight="1" x14ac:dyDescent="0.2">
      <c r="E18103" s="18"/>
      <c r="F18103" s="18"/>
    </row>
    <row r="18104" spans="5:6" ht="15" customHeight="1" x14ac:dyDescent="0.2">
      <c r="E18104" s="18"/>
      <c r="F18104" s="18"/>
    </row>
    <row r="18105" spans="5:6" ht="15" customHeight="1" x14ac:dyDescent="0.2">
      <c r="E18105" s="18"/>
      <c r="F18105" s="18"/>
    </row>
    <row r="18106" spans="5:6" ht="15" customHeight="1" x14ac:dyDescent="0.2">
      <c r="E18106" s="18"/>
      <c r="F18106" s="18"/>
    </row>
    <row r="18107" spans="5:6" ht="15" customHeight="1" x14ac:dyDescent="0.2">
      <c r="E18107" s="18"/>
      <c r="F18107" s="18"/>
    </row>
    <row r="18108" spans="5:6" ht="15" customHeight="1" x14ac:dyDescent="0.2">
      <c r="E18108" s="18"/>
      <c r="F18108" s="18"/>
    </row>
    <row r="18109" spans="5:6" ht="15" customHeight="1" x14ac:dyDescent="0.2">
      <c r="E18109" s="18"/>
      <c r="F18109" s="18"/>
    </row>
    <row r="18110" spans="5:6" ht="15" customHeight="1" x14ac:dyDescent="0.2">
      <c r="E18110" s="18"/>
      <c r="F18110" s="18"/>
    </row>
    <row r="18111" spans="5:6" ht="15" customHeight="1" x14ac:dyDescent="0.2">
      <c r="E18111" s="18"/>
      <c r="F18111" s="18"/>
    </row>
    <row r="18112" spans="5:6" ht="15" customHeight="1" x14ac:dyDescent="0.2">
      <c r="E18112" s="18"/>
      <c r="F18112" s="18"/>
    </row>
    <row r="18113" spans="5:6" ht="15" customHeight="1" x14ac:dyDescent="0.2">
      <c r="E18113" s="18"/>
      <c r="F18113" s="18"/>
    </row>
    <row r="18114" spans="5:6" ht="15" customHeight="1" x14ac:dyDescent="0.2">
      <c r="E18114" s="18"/>
      <c r="F18114" s="18"/>
    </row>
    <row r="18115" spans="5:6" ht="15" customHeight="1" x14ac:dyDescent="0.2">
      <c r="E18115" s="18"/>
      <c r="F18115" s="18"/>
    </row>
    <row r="18116" spans="5:6" ht="15" customHeight="1" x14ac:dyDescent="0.2">
      <c r="E18116" s="18"/>
      <c r="F18116" s="18"/>
    </row>
    <row r="18117" spans="5:6" ht="15" customHeight="1" x14ac:dyDescent="0.2">
      <c r="E18117" s="18"/>
      <c r="F18117" s="18"/>
    </row>
    <row r="18118" spans="5:6" ht="15" customHeight="1" x14ac:dyDescent="0.2">
      <c r="E18118" s="18"/>
      <c r="F18118" s="18"/>
    </row>
    <row r="18119" spans="5:6" ht="15" customHeight="1" x14ac:dyDescent="0.2">
      <c r="E18119" s="18"/>
      <c r="F18119" s="18"/>
    </row>
    <row r="18120" spans="5:6" ht="15" customHeight="1" x14ac:dyDescent="0.2">
      <c r="E18120" s="18"/>
      <c r="F18120" s="18"/>
    </row>
    <row r="18121" spans="5:6" ht="15" customHeight="1" x14ac:dyDescent="0.2">
      <c r="E18121" s="18"/>
      <c r="F18121" s="18"/>
    </row>
    <row r="18122" spans="5:6" ht="15" customHeight="1" x14ac:dyDescent="0.2">
      <c r="E18122" s="18"/>
      <c r="F18122" s="18"/>
    </row>
    <row r="18123" spans="5:6" ht="15" customHeight="1" x14ac:dyDescent="0.2">
      <c r="E18123" s="18"/>
      <c r="F18123" s="18"/>
    </row>
    <row r="18124" spans="5:6" ht="15" customHeight="1" x14ac:dyDescent="0.2">
      <c r="E18124" s="18"/>
      <c r="F18124" s="18"/>
    </row>
    <row r="18125" spans="5:6" ht="15" customHeight="1" x14ac:dyDescent="0.2">
      <c r="E18125" s="18"/>
      <c r="F18125" s="18"/>
    </row>
    <row r="18126" spans="5:6" ht="15" customHeight="1" x14ac:dyDescent="0.2">
      <c r="E18126" s="18"/>
      <c r="F18126" s="18"/>
    </row>
    <row r="18127" spans="5:6" ht="15" customHeight="1" x14ac:dyDescent="0.2">
      <c r="E18127" s="18"/>
      <c r="F18127" s="18"/>
    </row>
    <row r="18128" spans="5:6" ht="15" customHeight="1" x14ac:dyDescent="0.2">
      <c r="E18128" s="18"/>
      <c r="F18128" s="18"/>
    </row>
    <row r="18129" spans="5:6" ht="15" customHeight="1" x14ac:dyDescent="0.2">
      <c r="E18129" s="18"/>
      <c r="F18129" s="18"/>
    </row>
    <row r="18130" spans="5:6" ht="15" customHeight="1" x14ac:dyDescent="0.2">
      <c r="E18130" s="18"/>
      <c r="F18130" s="18"/>
    </row>
    <row r="18131" spans="5:6" ht="15" customHeight="1" x14ac:dyDescent="0.2">
      <c r="E18131" s="18"/>
      <c r="F18131" s="18"/>
    </row>
    <row r="18132" spans="5:6" ht="15" customHeight="1" x14ac:dyDescent="0.2">
      <c r="E18132" s="18"/>
      <c r="F18132" s="18"/>
    </row>
    <row r="18133" spans="5:6" ht="15" customHeight="1" x14ac:dyDescent="0.2">
      <c r="E18133" s="18"/>
      <c r="F18133" s="18"/>
    </row>
    <row r="18134" spans="5:6" ht="15" customHeight="1" x14ac:dyDescent="0.2">
      <c r="E18134" s="18"/>
      <c r="F18134" s="18"/>
    </row>
    <row r="18135" spans="5:6" ht="15" customHeight="1" x14ac:dyDescent="0.2">
      <c r="E18135" s="18"/>
      <c r="F18135" s="18"/>
    </row>
    <row r="18136" spans="5:6" ht="15" customHeight="1" x14ac:dyDescent="0.2">
      <c r="E18136" s="18"/>
      <c r="F18136" s="18"/>
    </row>
    <row r="18137" spans="5:6" ht="15" customHeight="1" x14ac:dyDescent="0.2">
      <c r="E18137" s="18"/>
      <c r="F18137" s="18"/>
    </row>
    <row r="18138" spans="5:6" ht="15" customHeight="1" x14ac:dyDescent="0.2">
      <c r="E18138" s="18"/>
      <c r="F18138" s="18"/>
    </row>
    <row r="18139" spans="5:6" ht="15" customHeight="1" x14ac:dyDescent="0.2">
      <c r="E18139" s="18"/>
      <c r="F18139" s="18"/>
    </row>
    <row r="18140" spans="5:6" ht="15" customHeight="1" x14ac:dyDescent="0.2">
      <c r="E18140" s="18"/>
      <c r="F18140" s="18"/>
    </row>
    <row r="18141" spans="5:6" ht="15" customHeight="1" x14ac:dyDescent="0.2">
      <c r="E18141" s="18"/>
      <c r="F18141" s="18"/>
    </row>
    <row r="18142" spans="5:6" ht="15" customHeight="1" x14ac:dyDescent="0.2">
      <c r="E18142" s="18"/>
      <c r="F18142" s="18"/>
    </row>
    <row r="18143" spans="5:6" ht="15" customHeight="1" x14ac:dyDescent="0.2">
      <c r="E18143" s="18"/>
      <c r="F18143" s="18"/>
    </row>
    <row r="18144" spans="5:6" ht="15" customHeight="1" x14ac:dyDescent="0.2">
      <c r="E18144" s="18"/>
      <c r="F18144" s="18"/>
    </row>
    <row r="18145" spans="5:6" ht="15" customHeight="1" x14ac:dyDescent="0.2">
      <c r="E18145" s="18"/>
      <c r="F18145" s="18"/>
    </row>
    <row r="18146" spans="5:6" ht="15" customHeight="1" x14ac:dyDescent="0.2">
      <c r="E18146" s="18"/>
      <c r="F18146" s="18"/>
    </row>
    <row r="18147" spans="5:6" ht="15" customHeight="1" x14ac:dyDescent="0.2">
      <c r="E18147" s="18"/>
      <c r="F18147" s="18"/>
    </row>
    <row r="18148" spans="5:6" ht="15" customHeight="1" x14ac:dyDescent="0.2">
      <c r="E18148" s="18"/>
      <c r="F18148" s="18"/>
    </row>
    <row r="18149" spans="5:6" ht="15" customHeight="1" x14ac:dyDescent="0.2">
      <c r="E18149" s="18"/>
      <c r="F18149" s="18"/>
    </row>
    <row r="18150" spans="5:6" ht="15" customHeight="1" x14ac:dyDescent="0.2">
      <c r="E18150" s="18"/>
      <c r="F18150" s="18"/>
    </row>
    <row r="18151" spans="5:6" ht="15" customHeight="1" x14ac:dyDescent="0.2">
      <c r="E18151" s="18"/>
      <c r="F18151" s="18"/>
    </row>
    <row r="18152" spans="5:6" ht="15" customHeight="1" x14ac:dyDescent="0.2">
      <c r="E18152" s="18"/>
      <c r="F18152" s="18"/>
    </row>
    <row r="18153" spans="5:6" ht="15" customHeight="1" x14ac:dyDescent="0.2">
      <c r="E18153" s="18"/>
      <c r="F18153" s="18"/>
    </row>
    <row r="18154" spans="5:6" ht="15" customHeight="1" x14ac:dyDescent="0.2">
      <c r="E18154" s="18"/>
      <c r="F18154" s="18"/>
    </row>
    <row r="18155" spans="5:6" ht="15" customHeight="1" x14ac:dyDescent="0.2">
      <c r="E18155" s="18"/>
      <c r="F18155" s="18"/>
    </row>
    <row r="18156" spans="5:6" ht="15" customHeight="1" x14ac:dyDescent="0.2">
      <c r="E18156" s="18"/>
      <c r="F18156" s="18"/>
    </row>
    <row r="18157" spans="5:6" ht="15" customHeight="1" x14ac:dyDescent="0.2">
      <c r="E18157" s="18"/>
      <c r="F18157" s="18"/>
    </row>
    <row r="18158" spans="5:6" ht="15" customHeight="1" x14ac:dyDescent="0.2">
      <c r="E18158" s="18"/>
      <c r="F18158" s="18"/>
    </row>
    <row r="18159" spans="5:6" ht="15" customHeight="1" x14ac:dyDescent="0.2">
      <c r="E18159" s="18"/>
      <c r="F18159" s="18"/>
    </row>
    <row r="18160" spans="5:6" ht="15" customHeight="1" x14ac:dyDescent="0.2">
      <c r="E18160" s="18"/>
      <c r="F18160" s="18"/>
    </row>
    <row r="18161" spans="5:6" ht="15" customHeight="1" x14ac:dyDescent="0.2">
      <c r="E18161" s="18"/>
      <c r="F18161" s="18"/>
    </row>
    <row r="18162" spans="5:6" ht="15" customHeight="1" x14ac:dyDescent="0.2">
      <c r="E18162" s="18"/>
      <c r="F18162" s="18"/>
    </row>
    <row r="18163" spans="5:6" ht="15" customHeight="1" x14ac:dyDescent="0.2">
      <c r="E18163" s="18"/>
      <c r="F18163" s="18"/>
    </row>
    <row r="18164" spans="5:6" ht="15" customHeight="1" x14ac:dyDescent="0.2">
      <c r="E18164" s="18"/>
      <c r="F18164" s="18"/>
    </row>
    <row r="18165" spans="5:6" ht="15" customHeight="1" x14ac:dyDescent="0.2">
      <c r="E18165" s="18"/>
      <c r="F18165" s="18"/>
    </row>
    <row r="18166" spans="5:6" ht="15" customHeight="1" x14ac:dyDescent="0.2">
      <c r="E18166" s="18"/>
      <c r="F18166" s="18"/>
    </row>
    <row r="18167" spans="5:6" ht="15" customHeight="1" x14ac:dyDescent="0.2">
      <c r="E18167" s="18"/>
      <c r="F18167" s="18"/>
    </row>
    <row r="18168" spans="5:6" ht="15" customHeight="1" x14ac:dyDescent="0.2">
      <c r="E18168" s="18"/>
      <c r="F18168" s="18"/>
    </row>
    <row r="18169" spans="5:6" ht="15" customHeight="1" x14ac:dyDescent="0.2">
      <c r="E18169" s="18"/>
      <c r="F18169" s="18"/>
    </row>
    <row r="18170" spans="5:6" ht="15" customHeight="1" x14ac:dyDescent="0.2">
      <c r="E18170" s="18"/>
      <c r="F18170" s="18"/>
    </row>
    <row r="18171" spans="5:6" ht="15" customHeight="1" x14ac:dyDescent="0.2">
      <c r="E18171" s="18"/>
      <c r="F18171" s="18"/>
    </row>
    <row r="18172" spans="5:6" ht="15" customHeight="1" x14ac:dyDescent="0.2">
      <c r="E18172" s="18"/>
      <c r="F18172" s="18"/>
    </row>
    <row r="18173" spans="5:6" ht="15" customHeight="1" x14ac:dyDescent="0.2">
      <c r="E18173" s="18"/>
      <c r="F18173" s="18"/>
    </row>
    <row r="18174" spans="5:6" ht="15" customHeight="1" x14ac:dyDescent="0.2">
      <c r="E18174" s="18"/>
      <c r="F18174" s="18"/>
    </row>
    <row r="18175" spans="5:6" ht="15" customHeight="1" x14ac:dyDescent="0.2">
      <c r="E18175" s="18"/>
      <c r="F18175" s="18"/>
    </row>
    <row r="18176" spans="5:6" ht="15" customHeight="1" x14ac:dyDescent="0.2">
      <c r="E18176" s="18"/>
      <c r="F18176" s="18"/>
    </row>
    <row r="18177" spans="5:6" ht="15" customHeight="1" x14ac:dyDescent="0.2">
      <c r="E18177" s="18"/>
      <c r="F18177" s="18"/>
    </row>
    <row r="18178" spans="5:6" ht="15" customHeight="1" x14ac:dyDescent="0.2">
      <c r="E18178" s="18"/>
      <c r="F18178" s="18"/>
    </row>
    <row r="18179" spans="5:6" ht="15" customHeight="1" x14ac:dyDescent="0.2">
      <c r="E18179" s="18"/>
      <c r="F18179" s="18"/>
    </row>
    <row r="18180" spans="5:6" ht="15" customHeight="1" x14ac:dyDescent="0.2">
      <c r="E18180" s="18"/>
      <c r="F18180" s="18"/>
    </row>
    <row r="18181" spans="5:6" ht="15" customHeight="1" x14ac:dyDescent="0.2">
      <c r="E18181" s="18"/>
      <c r="F18181" s="18"/>
    </row>
    <row r="18182" spans="5:6" ht="15" customHeight="1" x14ac:dyDescent="0.2">
      <c r="E18182" s="18"/>
      <c r="F18182" s="18"/>
    </row>
    <row r="18183" spans="5:6" ht="15" customHeight="1" x14ac:dyDescent="0.2">
      <c r="E18183" s="18"/>
      <c r="F18183" s="18"/>
    </row>
    <row r="18184" spans="5:6" ht="15" customHeight="1" x14ac:dyDescent="0.2">
      <c r="E18184" s="18"/>
      <c r="F18184" s="18"/>
    </row>
    <row r="18185" spans="5:6" ht="15" customHeight="1" x14ac:dyDescent="0.2">
      <c r="E18185" s="18"/>
      <c r="F18185" s="18"/>
    </row>
    <row r="18186" spans="5:6" ht="15" customHeight="1" x14ac:dyDescent="0.2">
      <c r="E18186" s="18"/>
      <c r="F18186" s="18"/>
    </row>
    <row r="18187" spans="5:6" ht="15" customHeight="1" x14ac:dyDescent="0.2">
      <c r="E18187" s="18"/>
      <c r="F18187" s="18"/>
    </row>
    <row r="18188" spans="5:6" ht="15" customHeight="1" x14ac:dyDescent="0.2">
      <c r="E18188" s="18"/>
      <c r="F18188" s="18"/>
    </row>
    <row r="18189" spans="5:6" ht="15" customHeight="1" x14ac:dyDescent="0.2">
      <c r="E18189" s="18"/>
      <c r="F18189" s="18"/>
    </row>
    <row r="18190" spans="5:6" ht="15" customHeight="1" x14ac:dyDescent="0.2">
      <c r="E18190" s="18"/>
      <c r="F18190" s="18"/>
    </row>
    <row r="18191" spans="5:6" ht="15" customHeight="1" x14ac:dyDescent="0.2">
      <c r="E18191" s="18"/>
      <c r="F18191" s="18"/>
    </row>
    <row r="18192" spans="5:6" ht="15" customHeight="1" x14ac:dyDescent="0.2">
      <c r="E18192" s="18"/>
      <c r="F18192" s="18"/>
    </row>
    <row r="18193" spans="5:6" ht="15" customHeight="1" x14ac:dyDescent="0.2">
      <c r="E18193" s="18"/>
      <c r="F18193" s="18"/>
    </row>
    <row r="18194" spans="5:6" ht="15" customHeight="1" x14ac:dyDescent="0.2">
      <c r="E18194" s="18"/>
      <c r="F18194" s="18"/>
    </row>
    <row r="18195" spans="5:6" ht="15" customHeight="1" x14ac:dyDescent="0.2">
      <c r="E18195" s="18"/>
      <c r="F18195" s="18"/>
    </row>
    <row r="18196" spans="5:6" ht="15" customHeight="1" x14ac:dyDescent="0.2">
      <c r="E18196" s="18"/>
      <c r="F18196" s="18"/>
    </row>
    <row r="18197" spans="5:6" ht="15" customHeight="1" x14ac:dyDescent="0.2">
      <c r="E18197" s="18"/>
      <c r="F18197" s="18"/>
    </row>
    <row r="18198" spans="5:6" ht="15" customHeight="1" x14ac:dyDescent="0.2">
      <c r="E18198" s="18"/>
      <c r="F18198" s="18"/>
    </row>
    <row r="18199" spans="5:6" ht="15" customHeight="1" x14ac:dyDescent="0.2">
      <c r="E18199" s="18"/>
      <c r="F18199" s="18"/>
    </row>
    <row r="18200" spans="5:6" ht="15" customHeight="1" x14ac:dyDescent="0.2">
      <c r="E18200" s="18"/>
      <c r="F18200" s="18"/>
    </row>
    <row r="18201" spans="5:6" ht="15" customHeight="1" x14ac:dyDescent="0.2">
      <c r="E18201" s="18"/>
      <c r="F18201" s="18"/>
    </row>
    <row r="18202" spans="5:6" ht="15" customHeight="1" x14ac:dyDescent="0.2">
      <c r="E18202" s="18"/>
      <c r="F18202" s="18"/>
    </row>
    <row r="18203" spans="5:6" ht="15" customHeight="1" x14ac:dyDescent="0.2">
      <c r="E18203" s="18"/>
      <c r="F18203" s="18"/>
    </row>
    <row r="18204" spans="5:6" ht="15" customHeight="1" x14ac:dyDescent="0.2">
      <c r="E18204" s="18"/>
      <c r="F18204" s="18"/>
    </row>
    <row r="18205" spans="5:6" ht="15" customHeight="1" x14ac:dyDescent="0.2">
      <c r="E18205" s="18"/>
      <c r="F18205" s="18"/>
    </row>
    <row r="18206" spans="5:6" ht="15" customHeight="1" x14ac:dyDescent="0.2">
      <c r="E18206" s="18"/>
      <c r="F18206" s="18"/>
    </row>
    <row r="18207" spans="5:6" ht="15" customHeight="1" x14ac:dyDescent="0.2">
      <c r="E18207" s="18"/>
      <c r="F18207" s="18"/>
    </row>
    <row r="18208" spans="5:6" ht="15" customHeight="1" x14ac:dyDescent="0.2">
      <c r="E18208" s="18"/>
      <c r="F18208" s="18"/>
    </row>
    <row r="18209" spans="5:6" ht="15" customHeight="1" x14ac:dyDescent="0.2">
      <c r="E18209" s="18"/>
      <c r="F18209" s="18"/>
    </row>
    <row r="18210" spans="5:6" ht="15" customHeight="1" x14ac:dyDescent="0.2">
      <c r="E18210" s="18"/>
      <c r="F18210" s="18"/>
    </row>
    <row r="18211" spans="5:6" ht="15" customHeight="1" x14ac:dyDescent="0.2">
      <c r="E18211" s="18"/>
      <c r="F18211" s="18"/>
    </row>
    <row r="18212" spans="5:6" ht="15" customHeight="1" x14ac:dyDescent="0.2">
      <c r="E18212" s="18"/>
      <c r="F18212" s="18"/>
    </row>
    <row r="18213" spans="5:6" ht="15" customHeight="1" x14ac:dyDescent="0.2">
      <c r="E18213" s="18"/>
      <c r="F18213" s="18"/>
    </row>
    <row r="18214" spans="5:6" ht="15" customHeight="1" x14ac:dyDescent="0.2">
      <c r="E18214" s="18"/>
      <c r="F18214" s="18"/>
    </row>
    <row r="18215" spans="5:6" ht="15" customHeight="1" x14ac:dyDescent="0.2">
      <c r="E18215" s="18"/>
      <c r="F18215" s="18"/>
    </row>
    <row r="18216" spans="5:6" ht="15" customHeight="1" x14ac:dyDescent="0.2">
      <c r="E18216" s="18"/>
      <c r="F18216" s="18"/>
    </row>
    <row r="18217" spans="5:6" ht="15" customHeight="1" x14ac:dyDescent="0.2">
      <c r="E18217" s="18"/>
      <c r="F18217" s="18"/>
    </row>
    <row r="18218" spans="5:6" ht="15" customHeight="1" x14ac:dyDescent="0.2">
      <c r="E18218" s="18"/>
      <c r="F18218" s="18"/>
    </row>
    <row r="18219" spans="5:6" ht="15" customHeight="1" x14ac:dyDescent="0.2">
      <c r="E18219" s="18"/>
      <c r="F18219" s="18"/>
    </row>
    <row r="18220" spans="5:6" ht="15" customHeight="1" x14ac:dyDescent="0.2">
      <c r="E18220" s="18"/>
      <c r="F18220" s="18"/>
    </row>
    <row r="18221" spans="5:6" ht="15" customHeight="1" x14ac:dyDescent="0.2">
      <c r="E18221" s="18"/>
      <c r="F18221" s="18"/>
    </row>
    <row r="18222" spans="5:6" ht="15" customHeight="1" x14ac:dyDescent="0.2">
      <c r="E18222" s="18"/>
      <c r="F18222" s="18"/>
    </row>
    <row r="18223" spans="5:6" ht="15" customHeight="1" x14ac:dyDescent="0.2">
      <c r="E18223" s="18"/>
      <c r="F18223" s="18"/>
    </row>
    <row r="18224" spans="5:6" ht="15" customHeight="1" x14ac:dyDescent="0.2">
      <c r="E18224" s="18"/>
      <c r="F18224" s="18"/>
    </row>
    <row r="18225" spans="5:6" ht="15" customHeight="1" x14ac:dyDescent="0.2">
      <c r="E18225" s="18"/>
      <c r="F18225" s="18"/>
    </row>
    <row r="18226" spans="5:6" ht="15" customHeight="1" x14ac:dyDescent="0.2">
      <c r="E18226" s="18"/>
      <c r="F18226" s="18"/>
    </row>
    <row r="18227" spans="5:6" ht="15" customHeight="1" x14ac:dyDescent="0.2">
      <c r="E18227" s="18"/>
      <c r="F18227" s="18"/>
    </row>
    <row r="18228" spans="5:6" ht="15" customHeight="1" x14ac:dyDescent="0.2">
      <c r="E18228" s="18"/>
      <c r="F18228" s="18"/>
    </row>
    <row r="18229" spans="5:6" ht="15" customHeight="1" x14ac:dyDescent="0.2">
      <c r="E18229" s="18"/>
      <c r="F18229" s="18"/>
    </row>
    <row r="18230" spans="5:6" ht="15" customHeight="1" x14ac:dyDescent="0.2">
      <c r="E18230" s="18"/>
      <c r="F18230" s="18"/>
    </row>
    <row r="18231" spans="5:6" ht="15" customHeight="1" x14ac:dyDescent="0.2">
      <c r="E18231" s="18"/>
      <c r="F18231" s="18"/>
    </row>
    <row r="18232" spans="5:6" ht="15" customHeight="1" x14ac:dyDescent="0.2">
      <c r="E18232" s="18"/>
      <c r="F18232" s="18"/>
    </row>
    <row r="18233" spans="5:6" ht="15" customHeight="1" x14ac:dyDescent="0.2">
      <c r="E18233" s="18"/>
      <c r="F18233" s="18"/>
    </row>
    <row r="18234" spans="5:6" ht="15" customHeight="1" x14ac:dyDescent="0.2">
      <c r="E18234" s="18"/>
      <c r="F18234" s="18"/>
    </row>
    <row r="18235" spans="5:6" ht="15" customHeight="1" x14ac:dyDescent="0.2">
      <c r="E18235" s="18"/>
      <c r="F18235" s="18"/>
    </row>
    <row r="18236" spans="5:6" ht="15" customHeight="1" x14ac:dyDescent="0.2">
      <c r="E18236" s="18"/>
      <c r="F18236" s="18"/>
    </row>
    <row r="18237" spans="5:6" ht="15" customHeight="1" x14ac:dyDescent="0.2">
      <c r="E18237" s="18"/>
      <c r="F18237" s="18"/>
    </row>
    <row r="18238" spans="5:6" ht="15" customHeight="1" x14ac:dyDescent="0.2">
      <c r="E18238" s="18"/>
      <c r="F18238" s="18"/>
    </row>
    <row r="18239" spans="5:6" ht="15" customHeight="1" x14ac:dyDescent="0.2">
      <c r="E18239" s="18"/>
      <c r="F18239" s="18"/>
    </row>
    <row r="18240" spans="5:6" ht="15" customHeight="1" x14ac:dyDescent="0.2">
      <c r="E18240" s="18"/>
      <c r="F18240" s="18"/>
    </row>
    <row r="18241" spans="5:6" ht="15" customHeight="1" x14ac:dyDescent="0.2">
      <c r="E18241" s="18"/>
      <c r="F18241" s="18"/>
    </row>
    <row r="18242" spans="5:6" ht="15" customHeight="1" x14ac:dyDescent="0.2">
      <c r="E18242" s="18"/>
      <c r="F18242" s="18"/>
    </row>
    <row r="18243" spans="5:6" ht="15" customHeight="1" x14ac:dyDescent="0.2">
      <c r="E18243" s="18"/>
      <c r="F18243" s="18"/>
    </row>
    <row r="18244" spans="5:6" ht="15" customHeight="1" x14ac:dyDescent="0.2">
      <c r="E18244" s="18"/>
      <c r="F18244" s="18"/>
    </row>
    <row r="18245" spans="5:6" ht="15" customHeight="1" x14ac:dyDescent="0.2">
      <c r="E18245" s="18"/>
      <c r="F18245" s="18"/>
    </row>
    <row r="18246" spans="5:6" ht="15" customHeight="1" x14ac:dyDescent="0.2">
      <c r="E18246" s="18"/>
      <c r="F18246" s="18"/>
    </row>
    <row r="18247" spans="5:6" ht="15" customHeight="1" x14ac:dyDescent="0.2">
      <c r="E18247" s="18"/>
      <c r="F18247" s="18"/>
    </row>
    <row r="18248" spans="5:6" ht="15" customHeight="1" x14ac:dyDescent="0.2">
      <c r="E18248" s="18"/>
      <c r="F18248" s="18"/>
    </row>
    <row r="18249" spans="5:6" ht="15" customHeight="1" x14ac:dyDescent="0.2">
      <c r="E18249" s="18"/>
      <c r="F18249" s="18"/>
    </row>
    <row r="18250" spans="5:6" ht="15" customHeight="1" x14ac:dyDescent="0.2">
      <c r="E18250" s="18"/>
      <c r="F18250" s="18"/>
    </row>
    <row r="18251" spans="5:6" ht="15" customHeight="1" x14ac:dyDescent="0.2">
      <c r="E18251" s="18"/>
      <c r="F18251" s="18"/>
    </row>
    <row r="18252" spans="5:6" ht="15" customHeight="1" x14ac:dyDescent="0.2">
      <c r="E18252" s="18"/>
      <c r="F18252" s="18"/>
    </row>
    <row r="18253" spans="5:6" ht="15" customHeight="1" x14ac:dyDescent="0.2">
      <c r="E18253" s="18"/>
      <c r="F18253" s="18"/>
    </row>
    <row r="18254" spans="5:6" ht="15" customHeight="1" x14ac:dyDescent="0.2">
      <c r="E18254" s="18"/>
      <c r="F18254" s="18"/>
    </row>
    <row r="18255" spans="5:6" ht="15" customHeight="1" x14ac:dyDescent="0.2">
      <c r="E18255" s="18"/>
      <c r="F18255" s="18"/>
    </row>
    <row r="18256" spans="5:6" ht="15" customHeight="1" x14ac:dyDescent="0.2">
      <c r="E18256" s="18"/>
      <c r="F18256" s="18"/>
    </row>
    <row r="18257" spans="5:6" ht="15" customHeight="1" x14ac:dyDescent="0.2">
      <c r="E18257" s="18"/>
      <c r="F18257" s="18"/>
    </row>
    <row r="18258" spans="5:6" ht="15" customHeight="1" x14ac:dyDescent="0.2">
      <c r="E18258" s="18"/>
      <c r="F18258" s="18"/>
    </row>
    <row r="18259" spans="5:6" ht="15" customHeight="1" x14ac:dyDescent="0.2">
      <c r="E18259" s="18"/>
      <c r="F18259" s="18"/>
    </row>
    <row r="18260" spans="5:6" ht="15" customHeight="1" x14ac:dyDescent="0.2">
      <c r="E18260" s="18"/>
      <c r="F18260" s="18"/>
    </row>
    <row r="18261" spans="5:6" ht="15" customHeight="1" x14ac:dyDescent="0.2">
      <c r="E18261" s="18"/>
      <c r="F18261" s="18"/>
    </row>
    <row r="18262" spans="5:6" ht="15" customHeight="1" x14ac:dyDescent="0.2">
      <c r="E18262" s="18"/>
      <c r="F18262" s="18"/>
    </row>
    <row r="18263" spans="5:6" ht="15" customHeight="1" x14ac:dyDescent="0.2">
      <c r="E18263" s="18"/>
      <c r="F18263" s="18"/>
    </row>
    <row r="18264" spans="5:6" ht="15" customHeight="1" x14ac:dyDescent="0.2">
      <c r="E18264" s="18"/>
      <c r="F18264" s="18"/>
    </row>
    <row r="18265" spans="5:6" ht="15" customHeight="1" x14ac:dyDescent="0.2">
      <c r="E18265" s="18"/>
      <c r="F18265" s="18"/>
    </row>
    <row r="18266" spans="5:6" ht="15" customHeight="1" x14ac:dyDescent="0.2">
      <c r="E18266" s="18"/>
      <c r="F18266" s="18"/>
    </row>
    <row r="18267" spans="5:6" ht="15" customHeight="1" x14ac:dyDescent="0.2">
      <c r="E18267" s="18"/>
      <c r="F18267" s="18"/>
    </row>
    <row r="18268" spans="5:6" ht="15" customHeight="1" x14ac:dyDescent="0.2">
      <c r="E18268" s="18"/>
      <c r="F18268" s="18"/>
    </row>
    <row r="18269" spans="5:6" ht="15" customHeight="1" x14ac:dyDescent="0.2">
      <c r="E18269" s="18"/>
      <c r="F18269" s="18"/>
    </row>
    <row r="18270" spans="5:6" ht="15" customHeight="1" x14ac:dyDescent="0.2">
      <c r="E18270" s="18"/>
      <c r="F18270" s="18"/>
    </row>
    <row r="18271" spans="5:6" ht="15" customHeight="1" x14ac:dyDescent="0.2">
      <c r="E18271" s="18"/>
      <c r="F18271" s="18"/>
    </row>
    <row r="18272" spans="5:6" ht="15" customHeight="1" x14ac:dyDescent="0.2">
      <c r="E18272" s="18"/>
      <c r="F18272" s="18"/>
    </row>
    <row r="18273" spans="5:6" ht="15" customHeight="1" x14ac:dyDescent="0.2">
      <c r="E18273" s="18"/>
      <c r="F18273" s="18"/>
    </row>
    <row r="18274" spans="5:6" ht="15" customHeight="1" x14ac:dyDescent="0.2">
      <c r="E18274" s="18"/>
      <c r="F18274" s="18"/>
    </row>
    <row r="18275" spans="5:6" ht="15" customHeight="1" x14ac:dyDescent="0.2">
      <c r="E18275" s="18"/>
      <c r="F18275" s="18"/>
    </row>
    <row r="18276" spans="5:6" ht="15" customHeight="1" x14ac:dyDescent="0.2">
      <c r="E18276" s="18"/>
      <c r="F18276" s="18"/>
    </row>
    <row r="18277" spans="5:6" ht="15" customHeight="1" x14ac:dyDescent="0.2">
      <c r="E18277" s="18"/>
      <c r="F18277" s="18"/>
    </row>
    <row r="18278" spans="5:6" ht="15" customHeight="1" x14ac:dyDescent="0.2">
      <c r="E18278" s="18"/>
      <c r="F18278" s="18"/>
    </row>
    <row r="18279" spans="5:6" ht="15" customHeight="1" x14ac:dyDescent="0.2">
      <c r="E18279" s="18"/>
      <c r="F18279" s="18"/>
    </row>
    <row r="18280" spans="5:6" ht="15" customHeight="1" x14ac:dyDescent="0.2">
      <c r="E18280" s="18"/>
      <c r="F18280" s="18"/>
    </row>
    <row r="18281" spans="5:6" ht="15" customHeight="1" x14ac:dyDescent="0.2">
      <c r="E18281" s="18"/>
      <c r="F18281" s="18"/>
    </row>
    <row r="18282" spans="5:6" ht="15" customHeight="1" x14ac:dyDescent="0.2">
      <c r="E18282" s="18"/>
      <c r="F18282" s="18"/>
    </row>
    <row r="18283" spans="5:6" ht="15" customHeight="1" x14ac:dyDescent="0.2">
      <c r="E18283" s="18"/>
      <c r="F18283" s="18"/>
    </row>
    <row r="18284" spans="5:6" ht="15" customHeight="1" x14ac:dyDescent="0.2">
      <c r="E18284" s="18"/>
      <c r="F18284" s="18"/>
    </row>
    <row r="18285" spans="5:6" ht="15" customHeight="1" x14ac:dyDescent="0.2">
      <c r="E18285" s="18"/>
      <c r="F18285" s="18"/>
    </row>
    <row r="18286" spans="5:6" ht="15" customHeight="1" x14ac:dyDescent="0.2">
      <c r="E18286" s="18"/>
      <c r="F18286" s="18"/>
    </row>
    <row r="18287" spans="5:6" ht="15" customHeight="1" x14ac:dyDescent="0.2">
      <c r="E18287" s="18"/>
      <c r="F18287" s="18"/>
    </row>
    <row r="18288" spans="5:6" ht="15" customHeight="1" x14ac:dyDescent="0.2">
      <c r="E18288" s="18"/>
      <c r="F18288" s="18"/>
    </row>
    <row r="18289" spans="5:6" ht="15" customHeight="1" x14ac:dyDescent="0.2">
      <c r="E18289" s="18"/>
      <c r="F18289" s="18"/>
    </row>
    <row r="18290" spans="5:6" ht="15" customHeight="1" x14ac:dyDescent="0.2">
      <c r="E18290" s="18"/>
      <c r="F18290" s="18"/>
    </row>
    <row r="18291" spans="5:6" ht="15" customHeight="1" x14ac:dyDescent="0.2">
      <c r="E18291" s="18"/>
      <c r="F18291" s="18"/>
    </row>
    <row r="18292" spans="5:6" ht="15" customHeight="1" x14ac:dyDescent="0.2">
      <c r="E18292" s="18"/>
      <c r="F18292" s="18"/>
    </row>
    <row r="18293" spans="5:6" ht="15" customHeight="1" x14ac:dyDescent="0.2">
      <c r="E18293" s="18"/>
      <c r="F18293" s="18"/>
    </row>
    <row r="18294" spans="5:6" ht="15" customHeight="1" x14ac:dyDescent="0.2">
      <c r="E18294" s="18"/>
      <c r="F18294" s="18"/>
    </row>
    <row r="18295" spans="5:6" ht="15" customHeight="1" x14ac:dyDescent="0.2">
      <c r="E18295" s="18"/>
      <c r="F18295" s="18"/>
    </row>
    <row r="18296" spans="5:6" ht="15" customHeight="1" x14ac:dyDescent="0.2">
      <c r="E18296" s="18"/>
      <c r="F18296" s="18"/>
    </row>
    <row r="18297" spans="5:6" ht="15" customHeight="1" x14ac:dyDescent="0.2">
      <c r="E18297" s="18"/>
      <c r="F18297" s="18"/>
    </row>
    <row r="18298" spans="5:6" ht="15" customHeight="1" x14ac:dyDescent="0.2">
      <c r="E18298" s="18"/>
      <c r="F18298" s="18"/>
    </row>
    <row r="18299" spans="5:6" ht="15" customHeight="1" x14ac:dyDescent="0.2">
      <c r="E18299" s="18"/>
      <c r="F18299" s="18"/>
    </row>
    <row r="18300" spans="5:6" ht="15" customHeight="1" x14ac:dyDescent="0.2">
      <c r="E18300" s="18"/>
      <c r="F18300" s="18"/>
    </row>
    <row r="18301" spans="5:6" ht="15" customHeight="1" x14ac:dyDescent="0.2">
      <c r="E18301" s="18"/>
      <c r="F18301" s="18"/>
    </row>
    <row r="18302" spans="5:6" ht="15" customHeight="1" x14ac:dyDescent="0.2">
      <c r="E18302" s="18"/>
      <c r="F18302" s="18"/>
    </row>
    <row r="18303" spans="5:6" ht="15" customHeight="1" x14ac:dyDescent="0.2">
      <c r="E18303" s="18"/>
      <c r="F18303" s="18"/>
    </row>
    <row r="18304" spans="5:6" ht="15" customHeight="1" x14ac:dyDescent="0.2">
      <c r="E18304" s="18"/>
      <c r="F18304" s="18"/>
    </row>
    <row r="18305" spans="5:6" ht="15" customHeight="1" x14ac:dyDescent="0.2">
      <c r="E18305" s="18"/>
      <c r="F18305" s="18"/>
    </row>
    <row r="18306" spans="5:6" ht="15" customHeight="1" x14ac:dyDescent="0.2">
      <c r="E18306" s="18"/>
      <c r="F18306" s="18"/>
    </row>
    <row r="18307" spans="5:6" ht="15" customHeight="1" x14ac:dyDescent="0.2">
      <c r="E18307" s="18"/>
      <c r="F18307" s="18"/>
    </row>
    <row r="18308" spans="5:6" ht="15" customHeight="1" x14ac:dyDescent="0.2">
      <c r="E18308" s="18"/>
      <c r="F18308" s="18"/>
    </row>
    <row r="18309" spans="5:6" ht="15" customHeight="1" x14ac:dyDescent="0.2">
      <c r="E18309" s="18"/>
      <c r="F18309" s="18"/>
    </row>
    <row r="18310" spans="5:6" ht="15" customHeight="1" x14ac:dyDescent="0.2">
      <c r="E18310" s="18"/>
      <c r="F18310" s="18"/>
    </row>
    <row r="18311" spans="5:6" ht="15" customHeight="1" x14ac:dyDescent="0.2">
      <c r="E18311" s="18"/>
      <c r="F18311" s="18"/>
    </row>
    <row r="18312" spans="5:6" ht="15" customHeight="1" x14ac:dyDescent="0.2">
      <c r="E18312" s="18"/>
      <c r="F18312" s="18"/>
    </row>
    <row r="18313" spans="5:6" ht="15" customHeight="1" x14ac:dyDescent="0.2">
      <c r="E18313" s="18"/>
      <c r="F18313" s="18"/>
    </row>
    <row r="18314" spans="5:6" ht="15" customHeight="1" x14ac:dyDescent="0.2">
      <c r="E18314" s="18"/>
      <c r="F18314" s="18"/>
    </row>
    <row r="18315" spans="5:6" ht="15" customHeight="1" x14ac:dyDescent="0.2">
      <c r="E18315" s="18"/>
      <c r="F18315" s="18"/>
    </row>
    <row r="18316" spans="5:6" ht="15" customHeight="1" x14ac:dyDescent="0.2">
      <c r="E18316" s="18"/>
      <c r="F18316" s="18"/>
    </row>
    <row r="18317" spans="5:6" ht="15" customHeight="1" x14ac:dyDescent="0.2">
      <c r="E18317" s="18"/>
      <c r="F18317" s="18"/>
    </row>
    <row r="18318" spans="5:6" ht="15" customHeight="1" x14ac:dyDescent="0.2">
      <c r="E18318" s="18"/>
      <c r="F18318" s="18"/>
    </row>
    <row r="18319" spans="5:6" ht="15" customHeight="1" x14ac:dyDescent="0.2">
      <c r="E18319" s="18"/>
      <c r="F18319" s="18"/>
    </row>
    <row r="18320" spans="5:6" ht="15" customHeight="1" x14ac:dyDescent="0.2">
      <c r="E18320" s="18"/>
      <c r="F18320" s="18"/>
    </row>
    <row r="18321" spans="5:6" ht="15" customHeight="1" x14ac:dyDescent="0.2">
      <c r="E18321" s="18"/>
      <c r="F18321" s="18"/>
    </row>
    <row r="18322" spans="5:6" ht="15" customHeight="1" x14ac:dyDescent="0.2">
      <c r="E18322" s="18"/>
      <c r="F18322" s="18"/>
    </row>
    <row r="18323" spans="5:6" ht="15" customHeight="1" x14ac:dyDescent="0.2">
      <c r="E18323" s="18"/>
      <c r="F18323" s="18"/>
    </row>
    <row r="18324" spans="5:6" ht="15" customHeight="1" x14ac:dyDescent="0.2">
      <c r="E18324" s="18"/>
      <c r="F18324" s="18"/>
    </row>
    <row r="18325" spans="5:6" ht="15" customHeight="1" x14ac:dyDescent="0.2">
      <c r="E18325" s="18"/>
      <c r="F18325" s="18"/>
    </row>
    <row r="18326" spans="5:6" ht="15" customHeight="1" x14ac:dyDescent="0.2">
      <c r="E18326" s="18"/>
      <c r="F18326" s="18"/>
    </row>
    <row r="18327" spans="5:6" ht="15" customHeight="1" x14ac:dyDescent="0.2">
      <c r="E18327" s="18"/>
      <c r="F18327" s="18"/>
    </row>
    <row r="18328" spans="5:6" ht="15" customHeight="1" x14ac:dyDescent="0.2">
      <c r="E18328" s="18"/>
      <c r="F18328" s="18"/>
    </row>
    <row r="18329" spans="5:6" ht="15" customHeight="1" x14ac:dyDescent="0.2">
      <c r="E18329" s="18"/>
      <c r="F18329" s="18"/>
    </row>
    <row r="18330" spans="5:6" ht="15" customHeight="1" x14ac:dyDescent="0.2">
      <c r="E18330" s="18"/>
      <c r="F18330" s="18"/>
    </row>
    <row r="18331" spans="5:6" ht="15" customHeight="1" x14ac:dyDescent="0.2">
      <c r="E18331" s="18"/>
      <c r="F18331" s="18"/>
    </row>
    <row r="18332" spans="5:6" ht="15" customHeight="1" x14ac:dyDescent="0.2">
      <c r="E18332" s="18"/>
      <c r="F18332" s="18"/>
    </row>
    <row r="18333" spans="5:6" ht="15" customHeight="1" x14ac:dyDescent="0.2">
      <c r="E18333" s="18"/>
      <c r="F18333" s="18"/>
    </row>
    <row r="18334" spans="5:6" ht="15" customHeight="1" x14ac:dyDescent="0.2">
      <c r="E18334" s="18"/>
      <c r="F18334" s="18"/>
    </row>
    <row r="18335" spans="5:6" ht="15" customHeight="1" x14ac:dyDescent="0.2">
      <c r="E18335" s="18"/>
      <c r="F18335" s="18"/>
    </row>
    <row r="18336" spans="5:6" ht="15" customHeight="1" x14ac:dyDescent="0.2">
      <c r="E18336" s="18"/>
      <c r="F18336" s="18"/>
    </row>
    <row r="18337" spans="5:6" ht="15" customHeight="1" x14ac:dyDescent="0.2">
      <c r="E18337" s="18"/>
      <c r="F18337" s="18"/>
    </row>
    <row r="18338" spans="5:6" ht="15" customHeight="1" x14ac:dyDescent="0.2">
      <c r="E18338" s="18"/>
      <c r="F18338" s="18"/>
    </row>
    <row r="18339" spans="5:6" ht="15" customHeight="1" x14ac:dyDescent="0.2">
      <c r="E18339" s="18"/>
      <c r="F18339" s="18"/>
    </row>
    <row r="18340" spans="5:6" ht="15" customHeight="1" x14ac:dyDescent="0.2">
      <c r="E18340" s="18"/>
      <c r="F18340" s="18"/>
    </row>
    <row r="18341" spans="5:6" ht="15" customHeight="1" x14ac:dyDescent="0.2">
      <c r="E18341" s="18"/>
      <c r="F18341" s="18"/>
    </row>
    <row r="18342" spans="5:6" ht="15" customHeight="1" x14ac:dyDescent="0.2">
      <c r="E18342" s="18"/>
      <c r="F18342" s="18"/>
    </row>
    <row r="18343" spans="5:6" ht="15" customHeight="1" x14ac:dyDescent="0.2">
      <c r="E18343" s="18"/>
      <c r="F18343" s="18"/>
    </row>
    <row r="18344" spans="5:6" ht="15" customHeight="1" x14ac:dyDescent="0.2">
      <c r="E18344" s="18"/>
      <c r="F18344" s="18"/>
    </row>
    <row r="18345" spans="5:6" ht="15" customHeight="1" x14ac:dyDescent="0.2">
      <c r="E18345" s="18"/>
      <c r="F18345" s="18"/>
    </row>
    <row r="18346" spans="5:6" ht="15" customHeight="1" x14ac:dyDescent="0.2">
      <c r="E18346" s="18"/>
      <c r="F18346" s="18"/>
    </row>
    <row r="18347" spans="5:6" ht="15" customHeight="1" x14ac:dyDescent="0.2">
      <c r="E18347" s="18"/>
      <c r="F18347" s="18"/>
    </row>
    <row r="18348" spans="5:6" ht="15" customHeight="1" x14ac:dyDescent="0.2">
      <c r="E18348" s="18"/>
      <c r="F18348" s="18"/>
    </row>
    <row r="18349" spans="5:6" ht="15" customHeight="1" x14ac:dyDescent="0.2">
      <c r="E18349" s="18"/>
      <c r="F18349" s="18"/>
    </row>
    <row r="18350" spans="5:6" ht="15" customHeight="1" x14ac:dyDescent="0.2">
      <c r="E18350" s="18"/>
      <c r="F18350" s="18"/>
    </row>
    <row r="18351" spans="5:6" ht="15" customHeight="1" x14ac:dyDescent="0.2">
      <c r="E18351" s="18"/>
      <c r="F18351" s="18"/>
    </row>
    <row r="18352" spans="5:6" ht="15" customHeight="1" x14ac:dyDescent="0.2">
      <c r="E18352" s="18"/>
      <c r="F18352" s="18"/>
    </row>
    <row r="18353" spans="5:6" ht="15" customHeight="1" x14ac:dyDescent="0.2">
      <c r="E18353" s="18"/>
      <c r="F18353" s="18"/>
    </row>
    <row r="18354" spans="5:6" ht="15" customHeight="1" x14ac:dyDescent="0.2">
      <c r="E18354" s="18"/>
      <c r="F18354" s="18"/>
    </row>
    <row r="18355" spans="5:6" ht="15" customHeight="1" x14ac:dyDescent="0.2">
      <c r="E18355" s="18"/>
      <c r="F18355" s="18"/>
    </row>
    <row r="18356" spans="5:6" ht="15" customHeight="1" x14ac:dyDescent="0.2">
      <c r="E18356" s="18"/>
      <c r="F18356" s="18"/>
    </row>
    <row r="18357" spans="5:6" ht="15" customHeight="1" x14ac:dyDescent="0.2">
      <c r="E18357" s="18"/>
      <c r="F18357" s="18"/>
    </row>
    <row r="18358" spans="5:6" ht="15" customHeight="1" x14ac:dyDescent="0.2">
      <c r="E18358" s="18"/>
      <c r="F18358" s="18"/>
    </row>
    <row r="18359" spans="5:6" ht="15" customHeight="1" x14ac:dyDescent="0.2">
      <c r="E18359" s="18"/>
      <c r="F18359" s="18"/>
    </row>
    <row r="18360" spans="5:6" ht="15" customHeight="1" x14ac:dyDescent="0.2">
      <c r="E18360" s="18"/>
      <c r="F18360" s="18"/>
    </row>
    <row r="18361" spans="5:6" ht="15" customHeight="1" x14ac:dyDescent="0.2">
      <c r="E18361" s="18"/>
      <c r="F18361" s="18"/>
    </row>
    <row r="18362" spans="5:6" ht="15" customHeight="1" x14ac:dyDescent="0.2">
      <c r="E18362" s="18"/>
      <c r="F18362" s="18"/>
    </row>
    <row r="18363" spans="5:6" ht="15" customHeight="1" x14ac:dyDescent="0.2">
      <c r="E18363" s="18"/>
      <c r="F18363" s="18"/>
    </row>
    <row r="18364" spans="5:6" ht="15" customHeight="1" x14ac:dyDescent="0.2">
      <c r="E18364" s="18"/>
      <c r="F18364" s="18"/>
    </row>
    <row r="18365" spans="5:6" ht="15" customHeight="1" x14ac:dyDescent="0.2">
      <c r="E18365" s="18"/>
      <c r="F18365" s="18"/>
    </row>
    <row r="18366" spans="5:6" ht="15" customHeight="1" x14ac:dyDescent="0.2">
      <c r="E18366" s="18"/>
      <c r="F18366" s="18"/>
    </row>
    <row r="18367" spans="5:6" ht="15" customHeight="1" x14ac:dyDescent="0.2">
      <c r="E18367" s="18"/>
      <c r="F18367" s="18"/>
    </row>
    <row r="18368" spans="5:6" ht="15" customHeight="1" x14ac:dyDescent="0.2">
      <c r="E18368" s="18"/>
      <c r="F18368" s="18"/>
    </row>
    <row r="18369" spans="5:6" ht="15" customHeight="1" x14ac:dyDescent="0.2">
      <c r="E18369" s="18"/>
      <c r="F18369" s="18"/>
    </row>
    <row r="18370" spans="5:6" ht="15" customHeight="1" x14ac:dyDescent="0.2">
      <c r="E18370" s="18"/>
      <c r="F18370" s="18"/>
    </row>
    <row r="18371" spans="5:6" ht="15" customHeight="1" x14ac:dyDescent="0.2">
      <c r="E18371" s="18"/>
      <c r="F18371" s="18"/>
    </row>
    <row r="18372" spans="5:6" ht="15" customHeight="1" x14ac:dyDescent="0.2">
      <c r="E18372" s="18"/>
      <c r="F18372" s="18"/>
    </row>
    <row r="18373" spans="5:6" ht="15" customHeight="1" x14ac:dyDescent="0.2">
      <c r="E18373" s="18"/>
      <c r="F18373" s="18"/>
    </row>
    <row r="18374" spans="5:6" ht="15" customHeight="1" x14ac:dyDescent="0.2">
      <c r="E18374" s="18"/>
      <c r="F18374" s="18"/>
    </row>
    <row r="18375" spans="5:6" ht="15" customHeight="1" x14ac:dyDescent="0.2">
      <c r="E18375" s="18"/>
      <c r="F18375" s="18"/>
    </row>
    <row r="18376" spans="5:6" ht="15" customHeight="1" x14ac:dyDescent="0.2">
      <c r="E18376" s="18"/>
      <c r="F18376" s="18"/>
    </row>
    <row r="18377" spans="5:6" ht="15" customHeight="1" x14ac:dyDescent="0.2">
      <c r="E18377" s="18"/>
      <c r="F18377" s="18"/>
    </row>
    <row r="18378" spans="5:6" ht="15" customHeight="1" x14ac:dyDescent="0.2">
      <c r="E18378" s="18"/>
      <c r="F18378" s="18"/>
    </row>
    <row r="18379" spans="5:6" ht="15" customHeight="1" x14ac:dyDescent="0.2">
      <c r="E18379" s="18"/>
      <c r="F18379" s="18"/>
    </row>
    <row r="18380" spans="5:6" ht="15" customHeight="1" x14ac:dyDescent="0.2">
      <c r="E18380" s="18"/>
      <c r="F18380" s="18"/>
    </row>
    <row r="18381" spans="5:6" ht="15" customHeight="1" x14ac:dyDescent="0.2">
      <c r="E18381" s="18"/>
      <c r="F18381" s="18"/>
    </row>
    <row r="18382" spans="5:6" ht="15" customHeight="1" x14ac:dyDescent="0.2">
      <c r="E18382" s="18"/>
      <c r="F18382" s="18"/>
    </row>
    <row r="18383" spans="5:6" ht="15" customHeight="1" x14ac:dyDescent="0.2">
      <c r="E18383" s="18"/>
      <c r="F18383" s="18"/>
    </row>
    <row r="18384" spans="5:6" ht="15" customHeight="1" x14ac:dyDescent="0.2">
      <c r="E18384" s="18"/>
      <c r="F18384" s="18"/>
    </row>
    <row r="18385" spans="5:6" ht="15" customHeight="1" x14ac:dyDescent="0.2">
      <c r="E18385" s="18"/>
      <c r="F18385" s="18"/>
    </row>
    <row r="18386" spans="5:6" ht="15" customHeight="1" x14ac:dyDescent="0.2">
      <c r="E18386" s="18"/>
      <c r="F18386" s="18"/>
    </row>
    <row r="18387" spans="5:6" ht="15" customHeight="1" x14ac:dyDescent="0.2">
      <c r="E18387" s="18"/>
      <c r="F18387" s="18"/>
    </row>
    <row r="18388" spans="5:6" ht="15" customHeight="1" x14ac:dyDescent="0.2">
      <c r="E18388" s="18"/>
      <c r="F18388" s="18"/>
    </row>
    <row r="18389" spans="5:6" ht="15" customHeight="1" x14ac:dyDescent="0.2">
      <c r="E18389" s="18"/>
      <c r="F18389" s="18"/>
    </row>
    <row r="18390" spans="5:6" ht="15" customHeight="1" x14ac:dyDescent="0.2">
      <c r="E18390" s="18"/>
      <c r="F18390" s="18"/>
    </row>
    <row r="18391" spans="5:6" ht="15" customHeight="1" x14ac:dyDescent="0.2">
      <c r="E18391" s="18"/>
      <c r="F18391" s="18"/>
    </row>
    <row r="18392" spans="5:6" ht="15" customHeight="1" x14ac:dyDescent="0.2">
      <c r="E18392" s="18"/>
      <c r="F18392" s="18"/>
    </row>
    <row r="18393" spans="5:6" ht="15" customHeight="1" x14ac:dyDescent="0.2">
      <c r="E18393" s="18"/>
      <c r="F18393" s="18"/>
    </row>
    <row r="18394" spans="5:6" ht="15" customHeight="1" x14ac:dyDescent="0.2">
      <c r="E18394" s="18"/>
      <c r="F18394" s="18"/>
    </row>
    <row r="18395" spans="5:6" ht="15" customHeight="1" x14ac:dyDescent="0.2">
      <c r="E18395" s="18"/>
      <c r="F18395" s="18"/>
    </row>
    <row r="18396" spans="5:6" ht="15" customHeight="1" x14ac:dyDescent="0.2">
      <c r="E18396" s="18"/>
      <c r="F18396" s="18"/>
    </row>
    <row r="18397" spans="5:6" ht="15" customHeight="1" x14ac:dyDescent="0.2">
      <c r="E18397" s="18"/>
      <c r="F18397" s="18"/>
    </row>
    <row r="18398" spans="5:6" ht="15" customHeight="1" x14ac:dyDescent="0.2">
      <c r="E18398" s="18"/>
      <c r="F18398" s="18"/>
    </row>
    <row r="18399" spans="5:6" ht="15" customHeight="1" x14ac:dyDescent="0.2">
      <c r="E18399" s="18"/>
      <c r="F18399" s="18"/>
    </row>
    <row r="18400" spans="5:6" ht="15" customHeight="1" x14ac:dyDescent="0.2">
      <c r="E18400" s="18"/>
      <c r="F18400" s="18"/>
    </row>
    <row r="18401" spans="5:6" ht="15" customHeight="1" x14ac:dyDescent="0.2">
      <c r="E18401" s="18"/>
      <c r="F18401" s="18"/>
    </row>
    <row r="18402" spans="5:6" ht="15" customHeight="1" x14ac:dyDescent="0.2">
      <c r="E18402" s="18"/>
      <c r="F18402" s="18"/>
    </row>
    <row r="18403" spans="5:6" ht="15" customHeight="1" x14ac:dyDescent="0.2">
      <c r="E18403" s="18"/>
      <c r="F18403" s="18"/>
    </row>
    <row r="18404" spans="5:6" ht="15" customHeight="1" x14ac:dyDescent="0.2">
      <c r="E18404" s="18"/>
      <c r="F18404" s="18"/>
    </row>
    <row r="18405" spans="5:6" ht="15" customHeight="1" x14ac:dyDescent="0.2">
      <c r="E18405" s="18"/>
      <c r="F18405" s="18"/>
    </row>
    <row r="18406" spans="5:6" ht="15" customHeight="1" x14ac:dyDescent="0.2">
      <c r="E18406" s="18"/>
      <c r="F18406" s="18"/>
    </row>
    <row r="18407" spans="5:6" ht="15" customHeight="1" x14ac:dyDescent="0.2">
      <c r="E18407" s="18"/>
      <c r="F18407" s="18"/>
    </row>
    <row r="18408" spans="5:6" ht="15" customHeight="1" x14ac:dyDescent="0.2">
      <c r="E18408" s="18"/>
      <c r="F18408" s="18"/>
    </row>
    <row r="18409" spans="5:6" ht="15" customHeight="1" x14ac:dyDescent="0.2">
      <c r="E18409" s="18"/>
      <c r="F18409" s="18"/>
    </row>
    <row r="18410" spans="5:6" ht="15" customHeight="1" x14ac:dyDescent="0.2">
      <c r="E18410" s="18"/>
      <c r="F18410" s="18"/>
    </row>
    <row r="18411" spans="5:6" ht="15" customHeight="1" x14ac:dyDescent="0.2">
      <c r="E18411" s="18"/>
      <c r="F18411" s="18"/>
    </row>
    <row r="18412" spans="5:6" ht="15" customHeight="1" x14ac:dyDescent="0.2">
      <c r="E18412" s="18"/>
      <c r="F18412" s="18"/>
    </row>
    <row r="18413" spans="5:6" ht="15" customHeight="1" x14ac:dyDescent="0.2">
      <c r="E18413" s="18"/>
      <c r="F18413" s="18"/>
    </row>
    <row r="18414" spans="5:6" ht="15" customHeight="1" x14ac:dyDescent="0.2">
      <c r="E18414" s="18"/>
      <c r="F18414" s="18"/>
    </row>
    <row r="18415" spans="5:6" ht="15" customHeight="1" x14ac:dyDescent="0.2">
      <c r="E18415" s="18"/>
      <c r="F18415" s="18"/>
    </row>
    <row r="18416" spans="5:6" ht="15" customHeight="1" x14ac:dyDescent="0.2">
      <c r="E18416" s="18"/>
      <c r="F18416" s="18"/>
    </row>
    <row r="18417" spans="5:6" ht="15" customHeight="1" x14ac:dyDescent="0.2">
      <c r="E18417" s="18"/>
      <c r="F18417" s="18"/>
    </row>
    <row r="18418" spans="5:6" ht="15" customHeight="1" x14ac:dyDescent="0.2">
      <c r="E18418" s="18"/>
      <c r="F18418" s="18"/>
    </row>
    <row r="18419" spans="5:6" ht="15" customHeight="1" x14ac:dyDescent="0.2">
      <c r="E18419" s="18"/>
      <c r="F18419" s="18"/>
    </row>
    <row r="18420" spans="5:6" ht="15" customHeight="1" x14ac:dyDescent="0.2">
      <c r="E18420" s="18"/>
      <c r="F18420" s="18"/>
    </row>
    <row r="18421" spans="5:6" ht="15" customHeight="1" x14ac:dyDescent="0.2">
      <c r="E18421" s="18"/>
      <c r="F18421" s="18"/>
    </row>
    <row r="18422" spans="5:6" ht="15" customHeight="1" x14ac:dyDescent="0.2">
      <c r="E18422" s="18"/>
      <c r="F18422" s="18"/>
    </row>
    <row r="18423" spans="5:6" ht="15" customHeight="1" x14ac:dyDescent="0.2">
      <c r="E18423" s="18"/>
      <c r="F18423" s="18"/>
    </row>
    <row r="18424" spans="5:6" ht="15" customHeight="1" x14ac:dyDescent="0.2">
      <c r="E18424" s="18"/>
      <c r="F18424" s="18"/>
    </row>
    <row r="18425" spans="5:6" ht="15" customHeight="1" x14ac:dyDescent="0.2">
      <c r="E18425" s="18"/>
      <c r="F18425" s="18"/>
    </row>
    <row r="18426" spans="5:6" ht="15" customHeight="1" x14ac:dyDescent="0.2">
      <c r="E18426" s="18"/>
      <c r="F18426" s="18"/>
    </row>
    <row r="18427" spans="5:6" ht="15" customHeight="1" x14ac:dyDescent="0.2">
      <c r="E18427" s="18"/>
      <c r="F18427" s="18"/>
    </row>
    <row r="18428" spans="5:6" ht="15" customHeight="1" x14ac:dyDescent="0.2">
      <c r="E18428" s="18"/>
      <c r="F18428" s="18"/>
    </row>
    <row r="18429" spans="5:6" ht="15" customHeight="1" x14ac:dyDescent="0.2">
      <c r="E18429" s="18"/>
      <c r="F18429" s="18"/>
    </row>
    <row r="18430" spans="5:6" ht="15" customHeight="1" x14ac:dyDescent="0.2">
      <c r="E18430" s="18"/>
      <c r="F18430" s="18"/>
    </row>
    <row r="18431" spans="5:6" ht="15" customHeight="1" x14ac:dyDescent="0.2">
      <c r="E18431" s="18"/>
      <c r="F18431" s="18"/>
    </row>
    <row r="18432" spans="5:6" ht="15" customHeight="1" x14ac:dyDescent="0.2">
      <c r="E18432" s="18"/>
      <c r="F18432" s="18"/>
    </row>
    <row r="18433" spans="5:6" ht="15" customHeight="1" x14ac:dyDescent="0.2">
      <c r="E18433" s="18"/>
      <c r="F18433" s="18"/>
    </row>
    <row r="18434" spans="5:6" ht="15" customHeight="1" x14ac:dyDescent="0.2">
      <c r="E18434" s="18"/>
      <c r="F18434" s="18"/>
    </row>
    <row r="18435" spans="5:6" ht="15" customHeight="1" x14ac:dyDescent="0.2">
      <c r="E18435" s="18"/>
      <c r="F18435" s="18"/>
    </row>
    <row r="18436" spans="5:6" ht="15" customHeight="1" x14ac:dyDescent="0.2">
      <c r="E18436" s="18"/>
      <c r="F18436" s="18"/>
    </row>
    <row r="18437" spans="5:6" ht="15" customHeight="1" x14ac:dyDescent="0.2">
      <c r="E18437" s="18"/>
      <c r="F18437" s="18"/>
    </row>
    <row r="18438" spans="5:6" ht="15" customHeight="1" x14ac:dyDescent="0.2">
      <c r="E18438" s="18"/>
      <c r="F18438" s="18"/>
    </row>
    <row r="18439" spans="5:6" ht="15" customHeight="1" x14ac:dyDescent="0.2">
      <c r="E18439" s="18"/>
      <c r="F18439" s="18"/>
    </row>
    <row r="18440" spans="5:6" ht="15" customHeight="1" x14ac:dyDescent="0.2">
      <c r="E18440" s="18"/>
      <c r="F18440" s="18"/>
    </row>
    <row r="18441" spans="5:6" ht="15" customHeight="1" x14ac:dyDescent="0.2">
      <c r="E18441" s="18"/>
      <c r="F18441" s="18"/>
    </row>
    <row r="18442" spans="5:6" ht="15" customHeight="1" x14ac:dyDescent="0.2">
      <c r="E18442" s="18"/>
      <c r="F18442" s="18"/>
    </row>
    <row r="18443" spans="5:6" ht="15" customHeight="1" x14ac:dyDescent="0.2">
      <c r="E18443" s="18"/>
      <c r="F18443" s="18"/>
    </row>
    <row r="18444" spans="5:6" ht="15" customHeight="1" x14ac:dyDescent="0.2">
      <c r="E18444" s="18"/>
      <c r="F18444" s="18"/>
    </row>
    <row r="18445" spans="5:6" ht="15" customHeight="1" x14ac:dyDescent="0.2">
      <c r="E18445" s="18"/>
      <c r="F18445" s="18"/>
    </row>
    <row r="18446" spans="5:6" ht="15" customHeight="1" x14ac:dyDescent="0.2">
      <c r="E18446" s="18"/>
      <c r="F18446" s="18"/>
    </row>
    <row r="18447" spans="5:6" ht="15" customHeight="1" x14ac:dyDescent="0.2">
      <c r="E18447" s="18"/>
      <c r="F18447" s="18"/>
    </row>
    <row r="18448" spans="5:6" ht="15" customHeight="1" x14ac:dyDescent="0.2">
      <c r="E18448" s="18"/>
      <c r="F18448" s="18"/>
    </row>
    <row r="18449" spans="5:6" ht="15" customHeight="1" x14ac:dyDescent="0.2">
      <c r="E18449" s="18"/>
      <c r="F18449" s="18"/>
    </row>
    <row r="18450" spans="5:6" ht="15" customHeight="1" x14ac:dyDescent="0.2">
      <c r="E18450" s="18"/>
      <c r="F18450" s="18"/>
    </row>
    <row r="18451" spans="5:6" ht="15" customHeight="1" x14ac:dyDescent="0.2">
      <c r="E18451" s="18"/>
      <c r="F18451" s="18"/>
    </row>
    <row r="18452" spans="5:6" ht="15" customHeight="1" x14ac:dyDescent="0.2">
      <c r="E18452" s="18"/>
      <c r="F18452" s="18"/>
    </row>
    <row r="18453" spans="5:6" ht="15" customHeight="1" x14ac:dyDescent="0.2">
      <c r="E18453" s="18"/>
      <c r="F18453" s="18"/>
    </row>
    <row r="18454" spans="5:6" ht="15" customHeight="1" x14ac:dyDescent="0.2">
      <c r="E18454" s="18"/>
      <c r="F18454" s="18"/>
    </row>
    <row r="18455" spans="5:6" ht="15" customHeight="1" x14ac:dyDescent="0.2">
      <c r="E18455" s="18"/>
      <c r="F18455" s="18"/>
    </row>
    <row r="18456" spans="5:6" ht="15" customHeight="1" x14ac:dyDescent="0.2">
      <c r="E18456" s="18"/>
      <c r="F18456" s="18"/>
    </row>
    <row r="18457" spans="5:6" ht="15" customHeight="1" x14ac:dyDescent="0.2">
      <c r="E18457" s="18"/>
      <c r="F18457" s="18"/>
    </row>
    <row r="18458" spans="5:6" ht="15" customHeight="1" x14ac:dyDescent="0.2">
      <c r="E18458" s="18"/>
      <c r="F18458" s="18"/>
    </row>
    <row r="18459" spans="5:6" ht="15" customHeight="1" x14ac:dyDescent="0.2">
      <c r="E18459" s="18"/>
      <c r="F18459" s="18"/>
    </row>
    <row r="18460" spans="5:6" ht="15" customHeight="1" x14ac:dyDescent="0.2">
      <c r="E18460" s="18"/>
      <c r="F18460" s="18"/>
    </row>
    <row r="18461" spans="5:6" ht="15" customHeight="1" x14ac:dyDescent="0.2">
      <c r="E18461" s="18"/>
      <c r="F18461" s="18"/>
    </row>
    <row r="18462" spans="5:6" ht="15" customHeight="1" x14ac:dyDescent="0.2">
      <c r="E18462" s="18"/>
      <c r="F18462" s="18"/>
    </row>
    <row r="18463" spans="5:6" ht="15" customHeight="1" x14ac:dyDescent="0.2">
      <c r="E18463" s="18"/>
      <c r="F18463" s="18"/>
    </row>
    <row r="18464" spans="5:6" ht="15" customHeight="1" x14ac:dyDescent="0.2">
      <c r="E18464" s="18"/>
      <c r="F18464" s="18"/>
    </row>
    <row r="18465" spans="5:6" ht="15" customHeight="1" x14ac:dyDescent="0.2">
      <c r="E18465" s="18"/>
      <c r="F18465" s="18"/>
    </row>
    <row r="18466" spans="5:6" ht="15" customHeight="1" x14ac:dyDescent="0.2">
      <c r="E18466" s="18"/>
      <c r="F18466" s="18"/>
    </row>
    <row r="18467" spans="5:6" ht="15" customHeight="1" x14ac:dyDescent="0.2">
      <c r="E18467" s="18"/>
      <c r="F18467" s="18"/>
    </row>
    <row r="18468" spans="5:6" ht="15" customHeight="1" x14ac:dyDescent="0.2">
      <c r="E18468" s="18"/>
      <c r="F18468" s="18"/>
    </row>
    <row r="18469" spans="5:6" ht="15" customHeight="1" x14ac:dyDescent="0.2">
      <c r="E18469" s="18"/>
      <c r="F18469" s="18"/>
    </row>
    <row r="18470" spans="5:6" ht="15" customHeight="1" x14ac:dyDescent="0.2">
      <c r="E18470" s="18"/>
      <c r="F18470" s="18"/>
    </row>
    <row r="18471" spans="5:6" ht="15" customHeight="1" x14ac:dyDescent="0.2">
      <c r="E18471" s="18"/>
      <c r="F18471" s="18"/>
    </row>
    <row r="18472" spans="5:6" ht="15" customHeight="1" x14ac:dyDescent="0.2">
      <c r="E18472" s="18"/>
      <c r="F18472" s="18"/>
    </row>
    <row r="18473" spans="5:6" ht="15" customHeight="1" x14ac:dyDescent="0.2">
      <c r="E18473" s="18"/>
      <c r="F18473" s="18"/>
    </row>
    <row r="18474" spans="5:6" ht="15" customHeight="1" x14ac:dyDescent="0.2">
      <c r="E18474" s="18"/>
      <c r="F18474" s="18"/>
    </row>
    <row r="18475" spans="5:6" ht="15" customHeight="1" x14ac:dyDescent="0.2">
      <c r="E18475" s="18"/>
      <c r="F18475" s="18"/>
    </row>
    <row r="18476" spans="5:6" ht="15" customHeight="1" x14ac:dyDescent="0.2">
      <c r="E18476" s="18"/>
      <c r="F18476" s="18"/>
    </row>
    <row r="18477" spans="5:6" ht="15" customHeight="1" x14ac:dyDescent="0.2">
      <c r="E18477" s="18"/>
      <c r="F18477" s="18"/>
    </row>
    <row r="18478" spans="5:6" ht="15" customHeight="1" x14ac:dyDescent="0.2">
      <c r="E18478" s="18"/>
      <c r="F18478" s="18"/>
    </row>
    <row r="18479" spans="5:6" ht="15" customHeight="1" x14ac:dyDescent="0.2">
      <c r="E18479" s="18"/>
      <c r="F18479" s="18"/>
    </row>
    <row r="18480" spans="5:6" ht="15" customHeight="1" x14ac:dyDescent="0.2">
      <c r="E18480" s="18"/>
      <c r="F18480" s="18"/>
    </row>
    <row r="18481" spans="5:6" ht="15" customHeight="1" x14ac:dyDescent="0.2">
      <c r="E18481" s="18"/>
      <c r="F18481" s="18"/>
    </row>
    <row r="18482" spans="5:6" ht="15" customHeight="1" x14ac:dyDescent="0.2">
      <c r="E18482" s="18"/>
      <c r="F18482" s="18"/>
    </row>
    <row r="18483" spans="5:6" ht="15" customHeight="1" x14ac:dyDescent="0.2">
      <c r="E18483" s="18"/>
      <c r="F18483" s="18"/>
    </row>
    <row r="18484" spans="5:6" ht="15" customHeight="1" x14ac:dyDescent="0.2">
      <c r="E18484" s="18"/>
      <c r="F18484" s="18"/>
    </row>
    <row r="18485" spans="5:6" ht="15" customHeight="1" x14ac:dyDescent="0.2">
      <c r="E18485" s="18"/>
      <c r="F18485" s="18"/>
    </row>
    <row r="18486" spans="5:6" ht="15" customHeight="1" x14ac:dyDescent="0.2">
      <c r="E18486" s="18"/>
      <c r="F18486" s="18"/>
    </row>
    <row r="18487" spans="5:6" ht="15" customHeight="1" x14ac:dyDescent="0.2">
      <c r="E18487" s="18"/>
      <c r="F18487" s="18"/>
    </row>
    <row r="18488" spans="5:6" ht="15" customHeight="1" x14ac:dyDescent="0.2">
      <c r="E18488" s="18"/>
      <c r="F18488" s="18"/>
    </row>
    <row r="18489" spans="5:6" ht="15" customHeight="1" x14ac:dyDescent="0.2">
      <c r="E18489" s="18"/>
      <c r="F18489" s="18"/>
    </row>
    <row r="18490" spans="5:6" ht="15" customHeight="1" x14ac:dyDescent="0.2">
      <c r="E18490" s="18"/>
      <c r="F18490" s="18"/>
    </row>
    <row r="18491" spans="5:6" ht="15" customHeight="1" x14ac:dyDescent="0.2">
      <c r="E18491" s="18"/>
      <c r="F18491" s="18"/>
    </row>
    <row r="18492" spans="5:6" ht="15" customHeight="1" x14ac:dyDescent="0.2">
      <c r="E18492" s="18"/>
      <c r="F18492" s="18"/>
    </row>
    <row r="18493" spans="5:6" ht="15" customHeight="1" x14ac:dyDescent="0.2">
      <c r="E18493" s="18"/>
      <c r="F18493" s="18"/>
    </row>
    <row r="18494" spans="5:6" ht="15" customHeight="1" x14ac:dyDescent="0.2">
      <c r="E18494" s="18"/>
      <c r="F18494" s="18"/>
    </row>
    <row r="18495" spans="5:6" ht="15" customHeight="1" x14ac:dyDescent="0.2">
      <c r="E18495" s="18"/>
      <c r="F18495" s="18"/>
    </row>
    <row r="18496" spans="5:6" ht="15" customHeight="1" x14ac:dyDescent="0.2">
      <c r="E18496" s="18"/>
      <c r="F18496" s="18"/>
    </row>
    <row r="18497" spans="5:6" ht="15" customHeight="1" x14ac:dyDescent="0.2">
      <c r="E18497" s="18"/>
      <c r="F18497" s="18"/>
    </row>
    <row r="18498" spans="5:6" ht="15" customHeight="1" x14ac:dyDescent="0.2">
      <c r="E18498" s="18"/>
      <c r="F18498" s="18"/>
    </row>
    <row r="18499" spans="5:6" ht="15" customHeight="1" x14ac:dyDescent="0.2">
      <c r="E18499" s="18"/>
      <c r="F18499" s="18"/>
    </row>
    <row r="18500" spans="5:6" ht="15" customHeight="1" x14ac:dyDescent="0.2">
      <c r="E18500" s="18"/>
      <c r="F18500" s="18"/>
    </row>
    <row r="18501" spans="5:6" ht="15" customHeight="1" x14ac:dyDescent="0.2">
      <c r="E18501" s="18"/>
      <c r="F18501" s="18"/>
    </row>
    <row r="18502" spans="5:6" ht="15" customHeight="1" x14ac:dyDescent="0.2">
      <c r="E18502" s="18"/>
      <c r="F18502" s="18"/>
    </row>
    <row r="18503" spans="5:6" ht="15" customHeight="1" x14ac:dyDescent="0.2">
      <c r="E18503" s="18"/>
      <c r="F18503" s="18"/>
    </row>
    <row r="18504" spans="5:6" ht="15" customHeight="1" x14ac:dyDescent="0.2">
      <c r="E18504" s="18"/>
      <c r="F18504" s="18"/>
    </row>
    <row r="18505" spans="5:6" ht="15" customHeight="1" x14ac:dyDescent="0.2">
      <c r="E18505" s="18"/>
      <c r="F18505" s="18"/>
    </row>
    <row r="18506" spans="5:6" ht="15" customHeight="1" x14ac:dyDescent="0.2">
      <c r="E18506" s="18"/>
      <c r="F18506" s="18"/>
    </row>
    <row r="18507" spans="5:6" ht="15" customHeight="1" x14ac:dyDescent="0.2">
      <c r="E18507" s="18"/>
      <c r="F18507" s="18"/>
    </row>
    <row r="18508" spans="5:6" ht="15" customHeight="1" x14ac:dyDescent="0.2">
      <c r="E18508" s="18"/>
      <c r="F18508" s="18"/>
    </row>
    <row r="18509" spans="5:6" ht="15" customHeight="1" x14ac:dyDescent="0.2">
      <c r="E18509" s="18"/>
      <c r="F18509" s="18"/>
    </row>
    <row r="18510" spans="5:6" ht="15" customHeight="1" x14ac:dyDescent="0.2">
      <c r="E18510" s="18"/>
      <c r="F18510" s="18"/>
    </row>
    <row r="18511" spans="5:6" ht="15" customHeight="1" x14ac:dyDescent="0.2">
      <c r="E18511" s="18"/>
      <c r="F18511" s="18"/>
    </row>
    <row r="18512" spans="5:6" ht="15" customHeight="1" x14ac:dyDescent="0.2">
      <c r="E18512" s="18"/>
      <c r="F18512" s="18"/>
    </row>
    <row r="18513" spans="5:6" ht="15" customHeight="1" x14ac:dyDescent="0.2">
      <c r="E18513" s="18"/>
      <c r="F18513" s="18"/>
    </row>
    <row r="18514" spans="5:6" ht="15" customHeight="1" x14ac:dyDescent="0.2">
      <c r="E18514" s="18"/>
      <c r="F18514" s="18"/>
    </row>
    <row r="18515" spans="5:6" ht="15" customHeight="1" x14ac:dyDescent="0.2">
      <c r="E18515" s="18"/>
      <c r="F18515" s="18"/>
    </row>
    <row r="18516" spans="5:6" ht="15" customHeight="1" x14ac:dyDescent="0.2">
      <c r="E18516" s="18"/>
      <c r="F18516" s="18"/>
    </row>
    <row r="18517" spans="5:6" ht="15" customHeight="1" x14ac:dyDescent="0.2">
      <c r="E18517" s="18"/>
      <c r="F18517" s="18"/>
    </row>
    <row r="18518" spans="5:6" ht="15" customHeight="1" x14ac:dyDescent="0.2">
      <c r="E18518" s="18"/>
      <c r="F18518" s="18"/>
    </row>
    <row r="18519" spans="5:6" ht="15" customHeight="1" x14ac:dyDescent="0.2">
      <c r="E18519" s="18"/>
      <c r="F18519" s="18"/>
    </row>
    <row r="18520" spans="5:6" ht="15" customHeight="1" x14ac:dyDescent="0.2">
      <c r="E18520" s="18"/>
      <c r="F18520" s="18"/>
    </row>
    <row r="18521" spans="5:6" ht="15" customHeight="1" x14ac:dyDescent="0.2">
      <c r="E18521" s="18"/>
      <c r="F18521" s="18"/>
    </row>
    <row r="18522" spans="5:6" ht="15" customHeight="1" x14ac:dyDescent="0.2">
      <c r="E18522" s="18"/>
      <c r="F18522" s="18"/>
    </row>
    <row r="18523" spans="5:6" ht="15" customHeight="1" x14ac:dyDescent="0.2">
      <c r="E18523" s="18"/>
      <c r="F18523" s="18"/>
    </row>
    <row r="18524" spans="5:6" ht="15" customHeight="1" x14ac:dyDescent="0.2">
      <c r="E18524" s="18"/>
      <c r="F18524" s="18"/>
    </row>
    <row r="18525" spans="5:6" ht="15" customHeight="1" x14ac:dyDescent="0.2">
      <c r="E18525" s="18"/>
      <c r="F18525" s="18"/>
    </row>
    <row r="18526" spans="5:6" ht="15" customHeight="1" x14ac:dyDescent="0.2">
      <c r="E18526" s="18"/>
      <c r="F18526" s="18"/>
    </row>
    <row r="18527" spans="5:6" ht="15" customHeight="1" x14ac:dyDescent="0.2">
      <c r="E18527" s="18"/>
      <c r="F18527" s="18"/>
    </row>
    <row r="18528" spans="5:6" ht="15" customHeight="1" x14ac:dyDescent="0.2">
      <c r="E18528" s="18"/>
      <c r="F18528" s="18"/>
    </row>
    <row r="18529" spans="5:6" ht="15" customHeight="1" x14ac:dyDescent="0.2">
      <c r="E18529" s="18"/>
      <c r="F18529" s="18"/>
    </row>
    <row r="18530" spans="5:6" ht="15" customHeight="1" x14ac:dyDescent="0.2">
      <c r="E18530" s="18"/>
      <c r="F18530" s="18"/>
    </row>
    <row r="18531" spans="5:6" ht="15" customHeight="1" x14ac:dyDescent="0.2">
      <c r="E18531" s="18"/>
      <c r="F18531" s="18"/>
    </row>
    <row r="18532" spans="5:6" ht="15" customHeight="1" x14ac:dyDescent="0.2">
      <c r="E18532" s="18"/>
      <c r="F18532" s="18"/>
    </row>
    <row r="18533" spans="5:6" ht="15" customHeight="1" x14ac:dyDescent="0.2">
      <c r="E18533" s="18"/>
      <c r="F18533" s="18"/>
    </row>
    <row r="18534" spans="5:6" ht="15" customHeight="1" x14ac:dyDescent="0.2">
      <c r="E18534" s="18"/>
      <c r="F18534" s="18"/>
    </row>
    <row r="18535" spans="5:6" ht="15" customHeight="1" x14ac:dyDescent="0.2">
      <c r="E18535" s="18"/>
      <c r="F18535" s="18"/>
    </row>
    <row r="18536" spans="5:6" ht="15" customHeight="1" x14ac:dyDescent="0.2">
      <c r="E18536" s="18"/>
      <c r="F18536" s="18"/>
    </row>
    <row r="18537" spans="5:6" ht="15" customHeight="1" x14ac:dyDescent="0.2">
      <c r="E18537" s="18"/>
      <c r="F18537" s="18"/>
    </row>
    <row r="18538" spans="5:6" ht="15" customHeight="1" x14ac:dyDescent="0.2">
      <c r="E18538" s="18"/>
      <c r="F18538" s="18"/>
    </row>
    <row r="18539" spans="5:6" ht="15" customHeight="1" x14ac:dyDescent="0.2">
      <c r="E18539" s="18"/>
      <c r="F18539" s="18"/>
    </row>
    <row r="18540" spans="5:6" ht="15" customHeight="1" x14ac:dyDescent="0.2">
      <c r="E18540" s="18"/>
      <c r="F18540" s="18"/>
    </row>
    <row r="18541" spans="5:6" ht="15" customHeight="1" x14ac:dyDescent="0.2">
      <c r="E18541" s="18"/>
      <c r="F18541" s="18"/>
    </row>
    <row r="18542" spans="5:6" ht="15" customHeight="1" x14ac:dyDescent="0.2">
      <c r="E18542" s="18"/>
      <c r="F18542" s="18"/>
    </row>
    <row r="18543" spans="5:6" ht="15" customHeight="1" x14ac:dyDescent="0.2">
      <c r="E18543" s="18"/>
      <c r="F18543" s="18"/>
    </row>
    <row r="18544" spans="5:6" ht="15" customHeight="1" x14ac:dyDescent="0.2">
      <c r="E18544" s="18"/>
      <c r="F18544" s="18"/>
    </row>
    <row r="18545" spans="5:6" ht="15" customHeight="1" x14ac:dyDescent="0.2">
      <c r="E18545" s="18"/>
      <c r="F18545" s="18"/>
    </row>
    <row r="18546" spans="5:6" ht="15" customHeight="1" x14ac:dyDescent="0.2">
      <c r="E18546" s="18"/>
      <c r="F18546" s="18"/>
    </row>
    <row r="18547" spans="5:6" ht="15" customHeight="1" x14ac:dyDescent="0.2">
      <c r="E18547" s="18"/>
      <c r="F18547" s="18"/>
    </row>
    <row r="18548" spans="5:6" ht="15" customHeight="1" x14ac:dyDescent="0.2">
      <c r="E18548" s="18"/>
      <c r="F18548" s="18"/>
    </row>
    <row r="18549" spans="5:6" ht="15" customHeight="1" x14ac:dyDescent="0.2">
      <c r="E18549" s="18"/>
      <c r="F18549" s="18"/>
    </row>
    <row r="18550" spans="5:6" ht="15" customHeight="1" x14ac:dyDescent="0.2">
      <c r="E18550" s="18"/>
      <c r="F18550" s="18"/>
    </row>
    <row r="18551" spans="5:6" ht="15" customHeight="1" x14ac:dyDescent="0.2">
      <c r="E18551" s="18"/>
      <c r="F18551" s="18"/>
    </row>
    <row r="18552" spans="5:6" ht="15" customHeight="1" x14ac:dyDescent="0.2">
      <c r="E18552" s="18"/>
      <c r="F18552" s="18"/>
    </row>
    <row r="18553" spans="5:6" ht="15" customHeight="1" x14ac:dyDescent="0.2">
      <c r="E18553" s="18"/>
      <c r="F18553" s="18"/>
    </row>
    <row r="18554" spans="5:6" ht="15" customHeight="1" x14ac:dyDescent="0.2">
      <c r="E18554" s="18"/>
      <c r="F18554" s="18"/>
    </row>
    <row r="18555" spans="5:6" ht="15" customHeight="1" x14ac:dyDescent="0.2">
      <c r="E18555" s="18"/>
      <c r="F18555" s="18"/>
    </row>
    <row r="18556" spans="5:6" ht="15" customHeight="1" x14ac:dyDescent="0.2">
      <c r="E18556" s="18"/>
      <c r="F18556" s="18"/>
    </row>
    <row r="18557" spans="5:6" ht="15" customHeight="1" x14ac:dyDescent="0.2">
      <c r="E18557" s="18"/>
      <c r="F18557" s="18"/>
    </row>
    <row r="18558" spans="5:6" ht="15" customHeight="1" x14ac:dyDescent="0.2">
      <c r="E18558" s="18"/>
      <c r="F18558" s="18"/>
    </row>
    <row r="18559" spans="5:6" ht="15" customHeight="1" x14ac:dyDescent="0.2">
      <c r="E18559" s="18"/>
      <c r="F18559" s="18"/>
    </row>
    <row r="18560" spans="5:6" ht="15" customHeight="1" x14ac:dyDescent="0.2">
      <c r="E18560" s="18"/>
      <c r="F18560" s="18"/>
    </row>
    <row r="18561" spans="5:6" ht="15" customHeight="1" x14ac:dyDescent="0.2">
      <c r="E18561" s="18"/>
      <c r="F18561" s="18"/>
    </row>
    <row r="18562" spans="5:6" ht="15" customHeight="1" x14ac:dyDescent="0.2">
      <c r="E18562" s="18"/>
      <c r="F18562" s="18"/>
    </row>
    <row r="18563" spans="5:6" ht="15" customHeight="1" x14ac:dyDescent="0.2">
      <c r="E18563" s="18"/>
      <c r="F18563" s="18"/>
    </row>
    <row r="18564" spans="5:6" ht="15" customHeight="1" x14ac:dyDescent="0.2">
      <c r="E18564" s="18"/>
      <c r="F18564" s="18"/>
    </row>
    <row r="18565" spans="5:6" ht="15" customHeight="1" x14ac:dyDescent="0.2">
      <c r="E18565" s="18"/>
      <c r="F18565" s="18"/>
    </row>
    <row r="18566" spans="5:6" ht="15" customHeight="1" x14ac:dyDescent="0.2">
      <c r="E18566" s="18"/>
      <c r="F18566" s="18"/>
    </row>
    <row r="18567" spans="5:6" ht="15" customHeight="1" x14ac:dyDescent="0.2">
      <c r="E18567" s="18"/>
      <c r="F18567" s="18"/>
    </row>
    <row r="18568" spans="5:6" ht="15" customHeight="1" x14ac:dyDescent="0.2">
      <c r="E18568" s="18"/>
      <c r="F18568" s="18"/>
    </row>
    <row r="18569" spans="5:6" ht="15" customHeight="1" x14ac:dyDescent="0.2">
      <c r="E18569" s="18"/>
      <c r="F18569" s="18"/>
    </row>
    <row r="18570" spans="5:6" ht="15" customHeight="1" x14ac:dyDescent="0.2">
      <c r="E18570" s="18"/>
      <c r="F18570" s="18"/>
    </row>
    <row r="18571" spans="5:6" ht="15" customHeight="1" x14ac:dyDescent="0.2">
      <c r="E18571" s="18"/>
      <c r="F18571" s="18"/>
    </row>
    <row r="18572" spans="5:6" ht="15" customHeight="1" x14ac:dyDescent="0.2">
      <c r="E18572" s="18"/>
      <c r="F18572" s="18"/>
    </row>
    <row r="18573" spans="5:6" ht="15" customHeight="1" x14ac:dyDescent="0.2">
      <c r="E18573" s="18"/>
      <c r="F18573" s="18"/>
    </row>
    <row r="18574" spans="5:6" ht="15" customHeight="1" x14ac:dyDescent="0.2">
      <c r="E18574" s="18"/>
      <c r="F18574" s="18"/>
    </row>
    <row r="18575" spans="5:6" ht="15" customHeight="1" x14ac:dyDescent="0.2">
      <c r="E18575" s="18"/>
      <c r="F18575" s="18"/>
    </row>
    <row r="18576" spans="5:6" ht="15" customHeight="1" x14ac:dyDescent="0.2">
      <c r="E18576" s="18"/>
      <c r="F18576" s="18"/>
    </row>
    <row r="18577" spans="5:6" ht="15" customHeight="1" x14ac:dyDescent="0.2">
      <c r="E18577" s="18"/>
      <c r="F18577" s="18"/>
    </row>
    <row r="18578" spans="5:6" ht="15" customHeight="1" x14ac:dyDescent="0.2">
      <c r="E18578" s="18"/>
      <c r="F18578" s="18"/>
    </row>
    <row r="18579" spans="5:6" ht="15" customHeight="1" x14ac:dyDescent="0.2">
      <c r="E18579" s="18"/>
      <c r="F18579" s="18"/>
    </row>
    <row r="18580" spans="5:6" ht="15" customHeight="1" x14ac:dyDescent="0.2">
      <c r="E18580" s="18"/>
      <c r="F18580" s="18"/>
    </row>
    <row r="18581" spans="5:6" ht="15" customHeight="1" x14ac:dyDescent="0.2">
      <c r="E18581" s="18"/>
      <c r="F18581" s="18"/>
    </row>
    <row r="18582" spans="5:6" ht="15" customHeight="1" x14ac:dyDescent="0.2">
      <c r="E18582" s="18"/>
      <c r="F18582" s="18"/>
    </row>
    <row r="18583" spans="5:6" ht="15" customHeight="1" x14ac:dyDescent="0.2">
      <c r="E18583" s="18"/>
      <c r="F18583" s="18"/>
    </row>
    <row r="18584" spans="5:6" ht="15" customHeight="1" x14ac:dyDescent="0.2">
      <c r="E18584" s="18"/>
      <c r="F18584" s="18"/>
    </row>
    <row r="18585" spans="5:6" ht="15" customHeight="1" x14ac:dyDescent="0.2">
      <c r="E18585" s="18"/>
      <c r="F18585" s="18"/>
    </row>
    <row r="18586" spans="5:6" ht="15" customHeight="1" x14ac:dyDescent="0.2">
      <c r="E18586" s="18"/>
      <c r="F18586" s="18"/>
    </row>
    <row r="18587" spans="5:6" ht="15" customHeight="1" x14ac:dyDescent="0.2">
      <c r="E18587" s="18"/>
      <c r="F18587" s="18"/>
    </row>
    <row r="18588" spans="5:6" ht="15" customHeight="1" x14ac:dyDescent="0.2">
      <c r="E18588" s="18"/>
      <c r="F18588" s="18"/>
    </row>
    <row r="18589" spans="5:6" ht="15" customHeight="1" x14ac:dyDescent="0.2">
      <c r="E18589" s="18"/>
      <c r="F18589" s="18"/>
    </row>
    <row r="18590" spans="5:6" ht="15" customHeight="1" x14ac:dyDescent="0.2">
      <c r="E18590" s="18"/>
      <c r="F18590" s="18"/>
    </row>
    <row r="18591" spans="5:6" ht="15" customHeight="1" x14ac:dyDescent="0.2">
      <c r="E18591" s="18"/>
      <c r="F18591" s="18"/>
    </row>
    <row r="18592" spans="5:6" ht="15" customHeight="1" x14ac:dyDescent="0.2">
      <c r="E18592" s="18"/>
      <c r="F18592" s="18"/>
    </row>
    <row r="18593" spans="5:6" ht="15" customHeight="1" x14ac:dyDescent="0.2">
      <c r="E18593" s="18"/>
      <c r="F18593" s="18"/>
    </row>
    <row r="18594" spans="5:6" ht="15" customHeight="1" x14ac:dyDescent="0.2">
      <c r="E18594" s="18"/>
      <c r="F18594" s="18"/>
    </row>
    <row r="18595" spans="5:6" ht="15" customHeight="1" x14ac:dyDescent="0.2">
      <c r="E18595" s="18"/>
      <c r="F18595" s="18"/>
    </row>
    <row r="18596" spans="5:6" ht="15" customHeight="1" x14ac:dyDescent="0.2">
      <c r="E18596" s="18"/>
      <c r="F18596" s="18"/>
    </row>
    <row r="18597" spans="5:6" ht="15" customHeight="1" x14ac:dyDescent="0.2">
      <c r="E18597" s="18"/>
      <c r="F18597" s="18"/>
    </row>
    <row r="18598" spans="5:6" ht="15" customHeight="1" x14ac:dyDescent="0.2">
      <c r="E18598" s="18"/>
      <c r="F18598" s="18"/>
    </row>
    <row r="18599" spans="5:6" ht="15" customHeight="1" x14ac:dyDescent="0.2">
      <c r="E18599" s="18"/>
      <c r="F18599" s="18"/>
    </row>
    <row r="18600" spans="5:6" ht="15" customHeight="1" x14ac:dyDescent="0.2">
      <c r="E18600" s="18"/>
      <c r="F18600" s="18"/>
    </row>
    <row r="18601" spans="5:6" ht="15" customHeight="1" x14ac:dyDescent="0.2">
      <c r="E18601" s="18"/>
      <c r="F18601" s="18"/>
    </row>
    <row r="18602" spans="5:6" ht="15" customHeight="1" x14ac:dyDescent="0.2">
      <c r="E18602" s="18"/>
      <c r="F18602" s="18"/>
    </row>
    <row r="18603" spans="5:6" ht="15" customHeight="1" x14ac:dyDescent="0.2">
      <c r="E18603" s="18"/>
      <c r="F18603" s="18"/>
    </row>
    <row r="18604" spans="5:6" ht="15" customHeight="1" x14ac:dyDescent="0.2">
      <c r="E18604" s="18"/>
      <c r="F18604" s="18"/>
    </row>
    <row r="18605" spans="5:6" ht="15" customHeight="1" x14ac:dyDescent="0.2">
      <c r="E18605" s="18"/>
      <c r="F18605" s="18"/>
    </row>
    <row r="18606" spans="5:6" ht="15" customHeight="1" x14ac:dyDescent="0.2">
      <c r="E18606" s="18"/>
      <c r="F18606" s="18"/>
    </row>
    <row r="18607" spans="5:6" ht="15" customHeight="1" x14ac:dyDescent="0.2">
      <c r="E18607" s="18"/>
      <c r="F18607" s="18"/>
    </row>
    <row r="18608" spans="5:6" ht="15" customHeight="1" x14ac:dyDescent="0.2">
      <c r="E18608" s="18"/>
      <c r="F18608" s="18"/>
    </row>
    <row r="18609" spans="5:6" ht="15" customHeight="1" x14ac:dyDescent="0.2">
      <c r="E18609" s="18"/>
      <c r="F18609" s="18"/>
    </row>
    <row r="18610" spans="5:6" ht="15" customHeight="1" x14ac:dyDescent="0.2">
      <c r="E18610" s="18"/>
      <c r="F18610" s="18"/>
    </row>
    <row r="18611" spans="5:6" ht="15" customHeight="1" x14ac:dyDescent="0.2">
      <c r="E18611" s="18"/>
      <c r="F18611" s="18"/>
    </row>
    <row r="18612" spans="5:6" ht="15" customHeight="1" x14ac:dyDescent="0.2">
      <c r="E18612" s="18"/>
      <c r="F18612" s="18"/>
    </row>
    <row r="18613" spans="5:6" ht="15" customHeight="1" x14ac:dyDescent="0.2">
      <c r="E18613" s="18"/>
      <c r="F18613" s="18"/>
    </row>
    <row r="18614" spans="5:6" ht="15" customHeight="1" x14ac:dyDescent="0.2">
      <c r="E18614" s="18"/>
      <c r="F18614" s="18"/>
    </row>
    <row r="18615" spans="5:6" ht="15" customHeight="1" x14ac:dyDescent="0.2">
      <c r="E18615" s="18"/>
      <c r="F18615" s="18"/>
    </row>
    <row r="18616" spans="5:6" ht="15" customHeight="1" x14ac:dyDescent="0.2">
      <c r="E18616" s="18"/>
      <c r="F18616" s="18"/>
    </row>
    <row r="18617" spans="5:6" ht="15" customHeight="1" x14ac:dyDescent="0.2">
      <c r="E18617" s="18"/>
      <c r="F18617" s="18"/>
    </row>
    <row r="18618" spans="5:6" ht="15" customHeight="1" x14ac:dyDescent="0.2">
      <c r="E18618" s="18"/>
      <c r="F18618" s="18"/>
    </row>
    <row r="18619" spans="5:6" ht="15" customHeight="1" x14ac:dyDescent="0.2">
      <c r="E18619" s="18"/>
      <c r="F18619" s="18"/>
    </row>
    <row r="18620" spans="5:6" ht="15" customHeight="1" x14ac:dyDescent="0.2">
      <c r="E18620" s="18"/>
      <c r="F18620" s="18"/>
    </row>
    <row r="18621" spans="5:6" ht="15" customHeight="1" x14ac:dyDescent="0.2">
      <c r="E18621" s="18"/>
      <c r="F18621" s="18"/>
    </row>
    <row r="18622" spans="5:6" ht="15" customHeight="1" x14ac:dyDescent="0.2">
      <c r="E18622" s="18"/>
      <c r="F18622" s="18"/>
    </row>
    <row r="18623" spans="5:6" ht="15" customHeight="1" x14ac:dyDescent="0.2">
      <c r="E18623" s="18"/>
      <c r="F18623" s="18"/>
    </row>
    <row r="18624" spans="5:6" ht="15" customHeight="1" x14ac:dyDescent="0.2">
      <c r="E18624" s="18"/>
      <c r="F18624" s="18"/>
    </row>
    <row r="18625" spans="5:6" ht="15" customHeight="1" x14ac:dyDescent="0.2">
      <c r="E18625" s="18"/>
      <c r="F18625" s="18"/>
    </row>
    <row r="18626" spans="5:6" ht="15" customHeight="1" x14ac:dyDescent="0.2">
      <c r="E18626" s="18"/>
      <c r="F18626" s="18"/>
    </row>
    <row r="18627" spans="5:6" ht="15" customHeight="1" x14ac:dyDescent="0.2">
      <c r="E18627" s="18"/>
      <c r="F18627" s="18"/>
    </row>
    <row r="18628" spans="5:6" ht="15" customHeight="1" x14ac:dyDescent="0.2">
      <c r="E18628" s="18"/>
      <c r="F18628" s="18"/>
    </row>
    <row r="18629" spans="5:6" ht="15" customHeight="1" x14ac:dyDescent="0.2">
      <c r="E18629" s="18"/>
      <c r="F18629" s="18"/>
    </row>
    <row r="18630" spans="5:6" ht="15" customHeight="1" x14ac:dyDescent="0.2">
      <c r="E18630" s="18"/>
      <c r="F18630" s="18"/>
    </row>
    <row r="18631" spans="5:6" ht="15" customHeight="1" x14ac:dyDescent="0.2">
      <c r="E18631" s="18"/>
      <c r="F18631" s="18"/>
    </row>
    <row r="18632" spans="5:6" ht="15" customHeight="1" x14ac:dyDescent="0.2">
      <c r="E18632" s="18"/>
      <c r="F18632" s="18"/>
    </row>
    <row r="18633" spans="5:6" ht="15" customHeight="1" x14ac:dyDescent="0.2">
      <c r="E18633" s="18"/>
      <c r="F18633" s="18"/>
    </row>
    <row r="18634" spans="5:6" ht="15" customHeight="1" x14ac:dyDescent="0.2">
      <c r="E18634" s="18"/>
      <c r="F18634" s="18"/>
    </row>
    <row r="18635" spans="5:6" ht="15" customHeight="1" x14ac:dyDescent="0.2">
      <c r="E18635" s="18"/>
      <c r="F18635" s="18"/>
    </row>
    <row r="18636" spans="5:6" ht="15" customHeight="1" x14ac:dyDescent="0.2">
      <c r="E18636" s="18"/>
      <c r="F18636" s="18"/>
    </row>
    <row r="18637" spans="5:6" ht="15" customHeight="1" x14ac:dyDescent="0.2">
      <c r="E18637" s="18"/>
      <c r="F18637" s="18"/>
    </row>
    <row r="18638" spans="5:6" ht="15" customHeight="1" x14ac:dyDescent="0.2">
      <c r="E18638" s="18"/>
      <c r="F18638" s="18"/>
    </row>
    <row r="18639" spans="5:6" ht="15" customHeight="1" x14ac:dyDescent="0.2">
      <c r="E18639" s="18"/>
      <c r="F18639" s="18"/>
    </row>
    <row r="18640" spans="5:6" ht="15" customHeight="1" x14ac:dyDescent="0.2">
      <c r="E18640" s="18"/>
      <c r="F18640" s="18"/>
    </row>
    <row r="18641" spans="5:6" ht="15" customHeight="1" x14ac:dyDescent="0.2">
      <c r="E18641" s="18"/>
      <c r="F18641" s="18"/>
    </row>
    <row r="18642" spans="5:6" ht="15" customHeight="1" x14ac:dyDescent="0.2">
      <c r="E18642" s="18"/>
      <c r="F18642" s="18"/>
    </row>
    <row r="18643" spans="5:6" ht="15" customHeight="1" x14ac:dyDescent="0.2">
      <c r="E18643" s="18"/>
      <c r="F18643" s="18"/>
    </row>
    <row r="18644" spans="5:6" ht="15" customHeight="1" x14ac:dyDescent="0.2">
      <c r="E18644" s="18"/>
      <c r="F18644" s="18"/>
    </row>
    <row r="18645" spans="5:6" ht="15" customHeight="1" x14ac:dyDescent="0.2">
      <c r="E18645" s="18"/>
      <c r="F18645" s="18"/>
    </row>
    <row r="18646" spans="5:6" ht="15" customHeight="1" x14ac:dyDescent="0.2">
      <c r="E18646" s="18"/>
      <c r="F18646" s="18"/>
    </row>
    <row r="18647" spans="5:6" ht="15" customHeight="1" x14ac:dyDescent="0.2">
      <c r="E18647" s="18"/>
      <c r="F18647" s="18"/>
    </row>
    <row r="18648" spans="5:6" ht="15" customHeight="1" x14ac:dyDescent="0.2">
      <c r="E18648" s="18"/>
      <c r="F18648" s="18"/>
    </row>
    <row r="18649" spans="5:6" ht="15" customHeight="1" x14ac:dyDescent="0.2">
      <c r="E18649" s="18"/>
      <c r="F18649" s="18"/>
    </row>
    <row r="18650" spans="5:6" ht="15" customHeight="1" x14ac:dyDescent="0.2">
      <c r="E18650" s="18"/>
      <c r="F18650" s="18"/>
    </row>
    <row r="18651" spans="5:6" ht="15" customHeight="1" x14ac:dyDescent="0.2">
      <c r="E18651" s="18"/>
      <c r="F18651" s="18"/>
    </row>
    <row r="18652" spans="5:6" ht="15" customHeight="1" x14ac:dyDescent="0.2">
      <c r="E18652" s="18"/>
      <c r="F18652" s="18"/>
    </row>
    <row r="18653" spans="5:6" ht="15" customHeight="1" x14ac:dyDescent="0.2">
      <c r="E18653" s="18"/>
      <c r="F18653" s="18"/>
    </row>
    <row r="18654" spans="5:6" ht="15" customHeight="1" x14ac:dyDescent="0.2">
      <c r="E18654" s="18"/>
      <c r="F18654" s="18"/>
    </row>
    <row r="18655" spans="5:6" ht="15" customHeight="1" x14ac:dyDescent="0.2">
      <c r="E18655" s="18"/>
      <c r="F18655" s="18"/>
    </row>
    <row r="18656" spans="5:6" ht="15" customHeight="1" x14ac:dyDescent="0.2">
      <c r="E18656" s="18"/>
      <c r="F18656" s="18"/>
    </row>
    <row r="18657" spans="5:6" ht="15" customHeight="1" x14ac:dyDescent="0.2">
      <c r="E18657" s="18"/>
      <c r="F18657" s="18"/>
    </row>
    <row r="18658" spans="5:6" ht="15" customHeight="1" x14ac:dyDescent="0.2">
      <c r="E18658" s="18"/>
      <c r="F18658" s="18"/>
    </row>
    <row r="18659" spans="5:6" ht="15" customHeight="1" x14ac:dyDescent="0.2">
      <c r="E18659" s="18"/>
      <c r="F18659" s="18"/>
    </row>
    <row r="18660" spans="5:6" ht="15" customHeight="1" x14ac:dyDescent="0.2">
      <c r="E18660" s="18"/>
      <c r="F18660" s="18"/>
    </row>
    <row r="18661" spans="5:6" ht="15" customHeight="1" x14ac:dyDescent="0.2">
      <c r="E18661" s="18"/>
      <c r="F18661" s="18"/>
    </row>
    <row r="18662" spans="5:6" ht="15" customHeight="1" x14ac:dyDescent="0.2">
      <c r="E18662" s="18"/>
      <c r="F18662" s="18"/>
    </row>
    <row r="18663" spans="5:6" ht="15" customHeight="1" x14ac:dyDescent="0.2">
      <c r="E18663" s="18"/>
      <c r="F18663" s="18"/>
    </row>
    <row r="18664" spans="5:6" ht="15" customHeight="1" x14ac:dyDescent="0.2">
      <c r="E18664" s="18"/>
      <c r="F18664" s="18"/>
    </row>
    <row r="18665" spans="5:6" ht="15" customHeight="1" x14ac:dyDescent="0.2">
      <c r="E18665" s="18"/>
      <c r="F18665" s="18"/>
    </row>
    <row r="18666" spans="5:6" ht="15" customHeight="1" x14ac:dyDescent="0.2">
      <c r="E18666" s="18"/>
      <c r="F18666" s="18"/>
    </row>
    <row r="18667" spans="5:6" ht="15" customHeight="1" x14ac:dyDescent="0.2">
      <c r="E18667" s="18"/>
      <c r="F18667" s="18"/>
    </row>
    <row r="18668" spans="5:6" ht="15" customHeight="1" x14ac:dyDescent="0.2">
      <c r="E18668" s="18"/>
      <c r="F18668" s="18"/>
    </row>
    <row r="18669" spans="5:6" ht="15" customHeight="1" x14ac:dyDescent="0.2">
      <c r="E18669" s="18"/>
      <c r="F18669" s="18"/>
    </row>
    <row r="18670" spans="5:6" ht="15" customHeight="1" x14ac:dyDescent="0.2">
      <c r="E18670" s="18"/>
      <c r="F18670" s="18"/>
    </row>
    <row r="18671" spans="5:6" ht="15" customHeight="1" x14ac:dyDescent="0.2">
      <c r="E18671" s="18"/>
      <c r="F18671" s="18"/>
    </row>
    <row r="18672" spans="5:6" ht="15" customHeight="1" x14ac:dyDescent="0.2">
      <c r="E18672" s="18"/>
      <c r="F18672" s="18"/>
    </row>
    <row r="18673" spans="5:6" ht="15" customHeight="1" x14ac:dyDescent="0.2">
      <c r="E18673" s="18"/>
      <c r="F18673" s="18"/>
    </row>
    <row r="18674" spans="5:6" ht="15" customHeight="1" x14ac:dyDescent="0.2">
      <c r="E18674" s="18"/>
      <c r="F18674" s="18"/>
    </row>
    <row r="18675" spans="5:6" ht="15" customHeight="1" x14ac:dyDescent="0.2">
      <c r="E18675" s="18"/>
      <c r="F18675" s="18"/>
    </row>
    <row r="18676" spans="5:6" ht="15" customHeight="1" x14ac:dyDescent="0.2">
      <c r="E18676" s="18"/>
      <c r="F18676" s="18"/>
    </row>
    <row r="18677" spans="5:6" ht="15" customHeight="1" x14ac:dyDescent="0.2">
      <c r="E18677" s="18"/>
      <c r="F18677" s="18"/>
    </row>
    <row r="18678" spans="5:6" ht="15" customHeight="1" x14ac:dyDescent="0.2">
      <c r="E18678" s="18"/>
      <c r="F18678" s="18"/>
    </row>
    <row r="18679" spans="5:6" ht="15" customHeight="1" x14ac:dyDescent="0.2">
      <c r="E18679" s="18"/>
      <c r="F18679" s="18"/>
    </row>
    <row r="18680" spans="5:6" ht="15" customHeight="1" x14ac:dyDescent="0.2">
      <c r="E18680" s="18"/>
      <c r="F18680" s="18"/>
    </row>
    <row r="18681" spans="5:6" ht="15" customHeight="1" x14ac:dyDescent="0.2">
      <c r="E18681" s="18"/>
      <c r="F18681" s="18"/>
    </row>
    <row r="18682" spans="5:6" ht="15" customHeight="1" x14ac:dyDescent="0.2">
      <c r="E18682" s="18"/>
      <c r="F18682" s="18"/>
    </row>
    <row r="18683" spans="5:6" ht="15" customHeight="1" x14ac:dyDescent="0.2">
      <c r="E18683" s="18"/>
      <c r="F18683" s="18"/>
    </row>
    <row r="18684" spans="5:6" ht="15" customHeight="1" x14ac:dyDescent="0.2">
      <c r="E18684" s="18"/>
      <c r="F18684" s="18"/>
    </row>
    <row r="18685" spans="5:6" ht="15" customHeight="1" x14ac:dyDescent="0.2">
      <c r="E18685" s="18"/>
      <c r="F18685" s="18"/>
    </row>
    <row r="18686" spans="5:6" ht="15" customHeight="1" x14ac:dyDescent="0.2">
      <c r="E18686" s="18"/>
      <c r="F18686" s="18"/>
    </row>
    <row r="18687" spans="5:6" ht="15" customHeight="1" x14ac:dyDescent="0.2">
      <c r="E18687" s="18"/>
      <c r="F18687" s="18"/>
    </row>
    <row r="18688" spans="5:6" ht="15" customHeight="1" x14ac:dyDescent="0.2">
      <c r="E18688" s="18"/>
      <c r="F18688" s="18"/>
    </row>
    <row r="18689" spans="5:6" ht="15" customHeight="1" x14ac:dyDescent="0.2">
      <c r="E18689" s="18"/>
      <c r="F18689" s="18"/>
    </row>
    <row r="18690" spans="5:6" ht="15" customHeight="1" x14ac:dyDescent="0.2">
      <c r="E18690" s="18"/>
      <c r="F18690" s="18"/>
    </row>
    <row r="18691" spans="5:6" ht="15" customHeight="1" x14ac:dyDescent="0.2">
      <c r="E18691" s="18"/>
      <c r="F18691" s="18"/>
    </row>
    <row r="18692" spans="5:6" ht="15" customHeight="1" x14ac:dyDescent="0.2">
      <c r="E18692" s="18"/>
      <c r="F18692" s="18"/>
    </row>
    <row r="18693" spans="5:6" ht="15" customHeight="1" x14ac:dyDescent="0.2">
      <c r="E18693" s="18"/>
      <c r="F18693" s="18"/>
    </row>
    <row r="18694" spans="5:6" ht="15" customHeight="1" x14ac:dyDescent="0.2">
      <c r="E18694" s="18"/>
      <c r="F18694" s="18"/>
    </row>
    <row r="18695" spans="5:6" ht="15" customHeight="1" x14ac:dyDescent="0.2">
      <c r="E18695" s="18"/>
      <c r="F18695" s="18"/>
    </row>
    <row r="18696" spans="5:6" ht="15" customHeight="1" x14ac:dyDescent="0.2">
      <c r="E18696" s="18"/>
      <c r="F18696" s="18"/>
    </row>
    <row r="18697" spans="5:6" ht="15" customHeight="1" x14ac:dyDescent="0.2">
      <c r="E18697" s="18"/>
      <c r="F18697" s="18"/>
    </row>
    <row r="18698" spans="5:6" ht="15" customHeight="1" x14ac:dyDescent="0.2">
      <c r="E18698" s="18"/>
      <c r="F18698" s="18"/>
    </row>
    <row r="18699" spans="5:6" ht="15" customHeight="1" x14ac:dyDescent="0.2">
      <c r="E18699" s="18"/>
      <c r="F18699" s="18"/>
    </row>
    <row r="18700" spans="5:6" ht="15" customHeight="1" x14ac:dyDescent="0.2">
      <c r="E18700" s="18"/>
      <c r="F18700" s="18"/>
    </row>
    <row r="18701" spans="5:6" ht="15" customHeight="1" x14ac:dyDescent="0.2">
      <c r="E18701" s="18"/>
      <c r="F18701" s="18"/>
    </row>
    <row r="18702" spans="5:6" ht="15" customHeight="1" x14ac:dyDescent="0.2">
      <c r="E18702" s="18"/>
      <c r="F18702" s="18"/>
    </row>
    <row r="18703" spans="5:6" ht="15" customHeight="1" x14ac:dyDescent="0.2">
      <c r="E18703" s="18"/>
      <c r="F18703" s="18"/>
    </row>
    <row r="18704" spans="5:6" ht="15" customHeight="1" x14ac:dyDescent="0.2">
      <c r="E18704" s="18"/>
      <c r="F18704" s="18"/>
    </row>
    <row r="18705" spans="5:6" ht="15" customHeight="1" x14ac:dyDescent="0.2">
      <c r="E18705" s="18"/>
      <c r="F18705" s="18"/>
    </row>
    <row r="18706" spans="5:6" ht="15" customHeight="1" x14ac:dyDescent="0.2">
      <c r="E18706" s="18"/>
      <c r="F18706" s="18"/>
    </row>
    <row r="18707" spans="5:6" ht="15" customHeight="1" x14ac:dyDescent="0.2">
      <c r="E18707" s="18"/>
      <c r="F18707" s="18"/>
    </row>
    <row r="18708" spans="5:6" ht="15" customHeight="1" x14ac:dyDescent="0.2">
      <c r="E18708" s="18"/>
      <c r="F18708" s="18"/>
    </row>
    <row r="18709" spans="5:6" ht="15" customHeight="1" x14ac:dyDescent="0.2">
      <c r="E18709" s="18"/>
      <c r="F18709" s="18"/>
    </row>
    <row r="18710" spans="5:6" ht="15" customHeight="1" x14ac:dyDescent="0.2">
      <c r="E18710" s="18"/>
      <c r="F18710" s="18"/>
    </row>
    <row r="18711" spans="5:6" ht="15" customHeight="1" x14ac:dyDescent="0.2">
      <c r="E18711" s="18"/>
      <c r="F18711" s="18"/>
    </row>
    <row r="18712" spans="5:6" ht="15" customHeight="1" x14ac:dyDescent="0.2">
      <c r="E18712" s="18"/>
      <c r="F18712" s="18"/>
    </row>
    <row r="18713" spans="5:6" ht="15" customHeight="1" x14ac:dyDescent="0.2">
      <c r="E18713" s="18"/>
      <c r="F18713" s="18"/>
    </row>
    <row r="18714" spans="5:6" ht="15" customHeight="1" x14ac:dyDescent="0.2">
      <c r="E18714" s="18"/>
      <c r="F18714" s="18"/>
    </row>
    <row r="18715" spans="5:6" ht="15" customHeight="1" x14ac:dyDescent="0.2">
      <c r="E18715" s="18"/>
      <c r="F18715" s="18"/>
    </row>
    <row r="18716" spans="5:6" ht="15" customHeight="1" x14ac:dyDescent="0.2">
      <c r="E18716" s="18"/>
      <c r="F18716" s="18"/>
    </row>
    <row r="18717" spans="5:6" ht="15" customHeight="1" x14ac:dyDescent="0.2">
      <c r="E18717" s="18"/>
      <c r="F18717" s="18"/>
    </row>
    <row r="18718" spans="5:6" ht="15" customHeight="1" x14ac:dyDescent="0.2">
      <c r="E18718" s="18"/>
      <c r="F18718" s="18"/>
    </row>
    <row r="18719" spans="5:6" ht="15" customHeight="1" x14ac:dyDescent="0.2">
      <c r="E18719" s="18"/>
      <c r="F18719" s="18"/>
    </row>
    <row r="18720" spans="5:6" ht="15" customHeight="1" x14ac:dyDescent="0.2">
      <c r="E18720" s="18"/>
      <c r="F18720" s="18"/>
    </row>
    <row r="18721" spans="5:6" ht="15" customHeight="1" x14ac:dyDescent="0.2">
      <c r="E18721" s="18"/>
      <c r="F18721" s="18"/>
    </row>
    <row r="18722" spans="5:6" ht="15" customHeight="1" x14ac:dyDescent="0.2">
      <c r="E18722" s="18"/>
      <c r="F18722" s="18"/>
    </row>
    <row r="18723" spans="5:6" ht="15" customHeight="1" x14ac:dyDescent="0.2">
      <c r="E18723" s="18"/>
      <c r="F18723" s="18"/>
    </row>
    <row r="18724" spans="5:6" ht="15" customHeight="1" x14ac:dyDescent="0.2">
      <c r="E18724" s="18"/>
      <c r="F18724" s="18"/>
    </row>
    <row r="18725" spans="5:6" ht="15" customHeight="1" x14ac:dyDescent="0.2">
      <c r="E18725" s="18"/>
      <c r="F18725" s="18"/>
    </row>
    <row r="18726" spans="5:6" ht="15" customHeight="1" x14ac:dyDescent="0.2">
      <c r="E18726" s="18"/>
      <c r="F18726" s="18"/>
    </row>
    <row r="18727" spans="5:6" ht="15" customHeight="1" x14ac:dyDescent="0.2">
      <c r="E18727" s="18"/>
      <c r="F18727" s="18"/>
    </row>
    <row r="18728" spans="5:6" ht="15" customHeight="1" x14ac:dyDescent="0.2">
      <c r="E18728" s="18"/>
      <c r="F18728" s="18"/>
    </row>
    <row r="18729" spans="5:6" ht="15" customHeight="1" x14ac:dyDescent="0.2">
      <c r="E18729" s="18"/>
      <c r="F18729" s="18"/>
    </row>
    <row r="18730" spans="5:6" ht="15" customHeight="1" x14ac:dyDescent="0.2">
      <c r="E18730" s="18"/>
      <c r="F18730" s="18"/>
    </row>
    <row r="18731" spans="5:6" ht="15" customHeight="1" x14ac:dyDescent="0.2">
      <c r="E18731" s="18"/>
      <c r="F18731" s="18"/>
    </row>
    <row r="18732" spans="5:6" ht="15" customHeight="1" x14ac:dyDescent="0.2">
      <c r="E18732" s="18"/>
      <c r="F18732" s="18"/>
    </row>
    <row r="18733" spans="5:6" ht="15" customHeight="1" x14ac:dyDescent="0.2">
      <c r="E18733" s="18"/>
      <c r="F18733" s="18"/>
    </row>
    <row r="18734" spans="5:6" ht="15" customHeight="1" x14ac:dyDescent="0.2">
      <c r="E18734" s="18"/>
      <c r="F18734" s="18"/>
    </row>
    <row r="18735" spans="5:6" ht="15" customHeight="1" x14ac:dyDescent="0.2">
      <c r="E18735" s="18"/>
      <c r="F18735" s="18"/>
    </row>
    <row r="18736" spans="5:6" ht="15" customHeight="1" x14ac:dyDescent="0.2">
      <c r="E18736" s="18"/>
      <c r="F18736" s="18"/>
    </row>
    <row r="18737" spans="5:6" ht="15" customHeight="1" x14ac:dyDescent="0.2">
      <c r="E18737" s="18"/>
      <c r="F18737" s="18"/>
    </row>
    <row r="18738" spans="5:6" ht="15" customHeight="1" x14ac:dyDescent="0.2">
      <c r="E18738" s="18"/>
      <c r="F18738" s="18"/>
    </row>
    <row r="18739" spans="5:6" ht="15" customHeight="1" x14ac:dyDescent="0.2">
      <c r="E18739" s="18"/>
      <c r="F18739" s="18"/>
    </row>
    <row r="18740" spans="5:6" ht="15" customHeight="1" x14ac:dyDescent="0.2">
      <c r="E18740" s="18"/>
      <c r="F18740" s="18"/>
    </row>
    <row r="18741" spans="5:6" ht="15" customHeight="1" x14ac:dyDescent="0.2">
      <c r="E18741" s="18"/>
      <c r="F18741" s="18"/>
    </row>
    <row r="18742" spans="5:6" ht="15" customHeight="1" x14ac:dyDescent="0.2">
      <c r="E18742" s="18"/>
      <c r="F18742" s="18"/>
    </row>
    <row r="18743" spans="5:6" ht="15" customHeight="1" x14ac:dyDescent="0.2">
      <c r="E18743" s="18"/>
      <c r="F18743" s="18"/>
    </row>
    <row r="18744" spans="5:6" ht="15" customHeight="1" x14ac:dyDescent="0.2">
      <c r="E18744" s="18"/>
      <c r="F18744" s="18"/>
    </row>
    <row r="18745" spans="5:6" ht="15" customHeight="1" x14ac:dyDescent="0.2">
      <c r="E18745" s="18"/>
      <c r="F18745" s="18"/>
    </row>
    <row r="18746" spans="5:6" ht="15" customHeight="1" x14ac:dyDescent="0.2">
      <c r="E18746" s="18"/>
      <c r="F18746" s="18"/>
    </row>
    <row r="18747" spans="5:6" ht="15" customHeight="1" x14ac:dyDescent="0.2">
      <c r="E18747" s="18"/>
      <c r="F18747" s="18"/>
    </row>
    <row r="18748" spans="5:6" ht="15" customHeight="1" x14ac:dyDescent="0.2">
      <c r="E18748" s="18"/>
      <c r="F18748" s="18"/>
    </row>
    <row r="18749" spans="5:6" ht="15" customHeight="1" x14ac:dyDescent="0.2">
      <c r="E18749" s="18"/>
      <c r="F18749" s="18"/>
    </row>
    <row r="18750" spans="5:6" ht="15" customHeight="1" x14ac:dyDescent="0.2">
      <c r="E18750" s="18"/>
      <c r="F18750" s="18"/>
    </row>
    <row r="18751" spans="5:6" ht="15" customHeight="1" x14ac:dyDescent="0.2">
      <c r="E18751" s="18"/>
      <c r="F18751" s="18"/>
    </row>
    <row r="18752" spans="5:6" ht="15" customHeight="1" x14ac:dyDescent="0.2">
      <c r="E18752" s="18"/>
      <c r="F18752" s="18"/>
    </row>
    <row r="18753" spans="5:6" ht="15" customHeight="1" x14ac:dyDescent="0.2">
      <c r="E18753" s="18"/>
      <c r="F18753" s="18"/>
    </row>
    <row r="18754" spans="5:6" ht="15" customHeight="1" x14ac:dyDescent="0.2">
      <c r="E18754" s="18"/>
      <c r="F18754" s="18"/>
    </row>
    <row r="18755" spans="5:6" ht="15" customHeight="1" x14ac:dyDescent="0.2">
      <c r="E18755" s="18"/>
      <c r="F18755" s="18"/>
    </row>
    <row r="18756" spans="5:6" ht="15" customHeight="1" x14ac:dyDescent="0.2">
      <c r="E18756" s="18"/>
      <c r="F18756" s="18"/>
    </row>
    <row r="18757" spans="5:6" ht="15" customHeight="1" x14ac:dyDescent="0.2">
      <c r="E18757" s="18"/>
      <c r="F18757" s="18"/>
    </row>
    <row r="18758" spans="5:6" ht="15" customHeight="1" x14ac:dyDescent="0.2">
      <c r="E18758" s="18"/>
      <c r="F18758" s="18"/>
    </row>
    <row r="18759" spans="5:6" ht="15" customHeight="1" x14ac:dyDescent="0.2">
      <c r="E18759" s="18"/>
      <c r="F18759" s="18"/>
    </row>
    <row r="18760" spans="5:6" ht="15" customHeight="1" x14ac:dyDescent="0.2">
      <c r="E18760" s="18"/>
      <c r="F18760" s="18"/>
    </row>
    <row r="18761" spans="5:6" ht="15" customHeight="1" x14ac:dyDescent="0.2">
      <c r="E18761" s="18"/>
      <c r="F18761" s="18"/>
    </row>
    <row r="18762" spans="5:6" ht="15" customHeight="1" x14ac:dyDescent="0.2">
      <c r="E18762" s="18"/>
      <c r="F18762" s="18"/>
    </row>
    <row r="18763" spans="5:6" ht="15" customHeight="1" x14ac:dyDescent="0.2">
      <c r="E18763" s="18"/>
      <c r="F18763" s="18"/>
    </row>
    <row r="18764" spans="5:6" ht="15" customHeight="1" x14ac:dyDescent="0.2">
      <c r="E18764" s="18"/>
      <c r="F18764" s="18"/>
    </row>
    <row r="18765" spans="5:6" ht="15" customHeight="1" x14ac:dyDescent="0.2">
      <c r="E18765" s="18"/>
      <c r="F18765" s="18"/>
    </row>
    <row r="18766" spans="5:6" ht="15" customHeight="1" x14ac:dyDescent="0.2">
      <c r="E18766" s="18"/>
      <c r="F18766" s="18"/>
    </row>
    <row r="18767" spans="5:6" ht="15" customHeight="1" x14ac:dyDescent="0.2">
      <c r="E18767" s="18"/>
      <c r="F18767" s="18"/>
    </row>
    <row r="18768" spans="5:6" ht="15" customHeight="1" x14ac:dyDescent="0.2">
      <c r="E18768" s="18"/>
      <c r="F18768" s="18"/>
    </row>
    <row r="18769" spans="5:6" ht="15" customHeight="1" x14ac:dyDescent="0.2">
      <c r="E18769" s="18"/>
      <c r="F18769" s="18"/>
    </row>
    <row r="18770" spans="5:6" ht="15" customHeight="1" x14ac:dyDescent="0.2">
      <c r="E18770" s="18"/>
      <c r="F18770" s="18"/>
    </row>
    <row r="18771" spans="5:6" ht="15" customHeight="1" x14ac:dyDescent="0.2">
      <c r="E18771" s="18"/>
      <c r="F18771" s="18"/>
    </row>
    <row r="18772" spans="5:6" ht="15" customHeight="1" x14ac:dyDescent="0.2">
      <c r="E18772" s="18"/>
      <c r="F18772" s="18"/>
    </row>
    <row r="18773" spans="5:6" ht="15" customHeight="1" x14ac:dyDescent="0.2">
      <c r="E18773" s="18"/>
      <c r="F18773" s="18"/>
    </row>
    <row r="18774" spans="5:6" ht="15" customHeight="1" x14ac:dyDescent="0.2">
      <c r="E18774" s="18"/>
      <c r="F18774" s="18"/>
    </row>
    <row r="18775" spans="5:6" ht="15" customHeight="1" x14ac:dyDescent="0.2">
      <c r="E18775" s="18"/>
      <c r="F18775" s="18"/>
    </row>
    <row r="18776" spans="5:6" ht="15" customHeight="1" x14ac:dyDescent="0.2">
      <c r="E18776" s="18"/>
      <c r="F18776" s="18"/>
    </row>
    <row r="18777" spans="5:6" ht="15" customHeight="1" x14ac:dyDescent="0.2">
      <c r="E18777" s="18"/>
      <c r="F18777" s="18"/>
    </row>
    <row r="18778" spans="5:6" ht="15" customHeight="1" x14ac:dyDescent="0.2">
      <c r="E18778" s="18"/>
      <c r="F18778" s="18"/>
    </row>
    <row r="18779" spans="5:6" ht="15" customHeight="1" x14ac:dyDescent="0.2">
      <c r="E18779" s="18"/>
      <c r="F18779" s="18"/>
    </row>
    <row r="18780" spans="5:6" ht="15" customHeight="1" x14ac:dyDescent="0.2">
      <c r="E18780" s="18"/>
      <c r="F18780" s="18"/>
    </row>
    <row r="18781" spans="5:6" ht="15" customHeight="1" x14ac:dyDescent="0.2">
      <c r="E18781" s="18"/>
      <c r="F18781" s="18"/>
    </row>
    <row r="18782" spans="5:6" ht="15" customHeight="1" x14ac:dyDescent="0.2">
      <c r="E18782" s="18"/>
      <c r="F18782" s="18"/>
    </row>
    <row r="18783" spans="5:6" ht="15" customHeight="1" x14ac:dyDescent="0.2">
      <c r="E18783" s="18"/>
      <c r="F18783" s="18"/>
    </row>
    <row r="18784" spans="5:6" ht="15" customHeight="1" x14ac:dyDescent="0.2">
      <c r="E18784" s="18"/>
      <c r="F18784" s="18"/>
    </row>
    <row r="18785" spans="5:6" ht="15" customHeight="1" x14ac:dyDescent="0.2">
      <c r="E18785" s="18"/>
      <c r="F18785" s="18"/>
    </row>
    <row r="18786" spans="5:6" ht="15" customHeight="1" x14ac:dyDescent="0.2">
      <c r="E18786" s="18"/>
      <c r="F18786" s="18"/>
    </row>
    <row r="18787" spans="5:6" ht="15" customHeight="1" x14ac:dyDescent="0.2">
      <c r="E18787" s="18"/>
      <c r="F18787" s="18"/>
    </row>
    <row r="18788" spans="5:6" ht="15" customHeight="1" x14ac:dyDescent="0.2">
      <c r="E18788" s="18"/>
      <c r="F18788" s="18"/>
    </row>
    <row r="18789" spans="5:6" ht="15" customHeight="1" x14ac:dyDescent="0.2">
      <c r="E18789" s="18"/>
      <c r="F18789" s="18"/>
    </row>
    <row r="18790" spans="5:6" ht="15" customHeight="1" x14ac:dyDescent="0.2">
      <c r="E18790" s="18"/>
      <c r="F18790" s="18"/>
    </row>
    <row r="18791" spans="5:6" ht="15" customHeight="1" x14ac:dyDescent="0.2">
      <c r="E18791" s="18"/>
      <c r="F18791" s="18"/>
    </row>
    <row r="18792" spans="5:6" ht="15" customHeight="1" x14ac:dyDescent="0.2">
      <c r="E18792" s="18"/>
      <c r="F18792" s="18"/>
    </row>
    <row r="18793" spans="5:6" ht="15" customHeight="1" x14ac:dyDescent="0.2">
      <c r="E18793" s="18"/>
      <c r="F18793" s="18"/>
    </row>
    <row r="18794" spans="5:6" ht="15" customHeight="1" x14ac:dyDescent="0.2">
      <c r="E18794" s="18"/>
      <c r="F18794" s="18"/>
    </row>
    <row r="18795" spans="5:6" ht="15" customHeight="1" x14ac:dyDescent="0.2">
      <c r="E18795" s="18"/>
      <c r="F18795" s="18"/>
    </row>
    <row r="18796" spans="5:6" ht="15" customHeight="1" x14ac:dyDescent="0.2">
      <c r="E18796" s="18"/>
      <c r="F18796" s="18"/>
    </row>
    <row r="18797" spans="5:6" ht="15" customHeight="1" x14ac:dyDescent="0.2">
      <c r="E18797" s="18"/>
      <c r="F18797" s="18"/>
    </row>
    <row r="18798" spans="5:6" ht="15" customHeight="1" x14ac:dyDescent="0.2">
      <c r="E18798" s="18"/>
      <c r="F18798" s="18"/>
    </row>
    <row r="18799" spans="5:6" ht="15" customHeight="1" x14ac:dyDescent="0.2">
      <c r="E18799" s="18"/>
      <c r="F18799" s="18"/>
    </row>
    <row r="18800" spans="5:6" ht="15" customHeight="1" x14ac:dyDescent="0.2">
      <c r="E18800" s="18"/>
      <c r="F18800" s="18"/>
    </row>
    <row r="18801" spans="5:6" ht="15" customHeight="1" x14ac:dyDescent="0.2">
      <c r="E18801" s="18"/>
      <c r="F18801" s="18"/>
    </row>
    <row r="18802" spans="5:6" ht="15" customHeight="1" x14ac:dyDescent="0.2">
      <c r="E18802" s="18"/>
      <c r="F18802" s="18"/>
    </row>
    <row r="18803" spans="5:6" ht="15" customHeight="1" x14ac:dyDescent="0.2">
      <c r="E18803" s="18"/>
      <c r="F18803" s="18"/>
    </row>
    <row r="18804" spans="5:6" ht="15" customHeight="1" x14ac:dyDescent="0.2">
      <c r="E18804" s="18"/>
      <c r="F18804" s="18"/>
    </row>
    <row r="18805" spans="5:6" ht="15" customHeight="1" x14ac:dyDescent="0.2">
      <c r="E18805" s="18"/>
      <c r="F18805" s="18"/>
    </row>
    <row r="18806" spans="5:6" ht="15" customHeight="1" x14ac:dyDescent="0.2">
      <c r="E18806" s="18"/>
      <c r="F18806" s="18"/>
    </row>
    <row r="18807" spans="5:6" ht="15" customHeight="1" x14ac:dyDescent="0.2">
      <c r="E18807" s="18"/>
      <c r="F18807" s="18"/>
    </row>
    <row r="18808" spans="5:6" ht="15" customHeight="1" x14ac:dyDescent="0.2">
      <c r="E18808" s="18"/>
      <c r="F18808" s="18"/>
    </row>
    <row r="18809" spans="5:6" ht="15" customHeight="1" x14ac:dyDescent="0.2">
      <c r="E18809" s="18"/>
      <c r="F18809" s="18"/>
    </row>
    <row r="18810" spans="5:6" ht="15" customHeight="1" x14ac:dyDescent="0.2">
      <c r="E18810" s="18"/>
      <c r="F18810" s="18"/>
    </row>
    <row r="18811" spans="5:6" ht="15" customHeight="1" x14ac:dyDescent="0.2">
      <c r="E18811" s="18"/>
      <c r="F18811" s="18"/>
    </row>
    <row r="18812" spans="5:6" ht="15" customHeight="1" x14ac:dyDescent="0.2">
      <c r="E18812" s="18"/>
      <c r="F18812" s="18"/>
    </row>
    <row r="18813" spans="5:6" ht="15" customHeight="1" x14ac:dyDescent="0.2">
      <c r="E18813" s="18"/>
      <c r="F18813" s="18"/>
    </row>
    <row r="18814" spans="5:6" ht="15" customHeight="1" x14ac:dyDescent="0.2">
      <c r="E18814" s="18"/>
      <c r="F18814" s="18"/>
    </row>
    <row r="18815" spans="5:6" ht="15" customHeight="1" x14ac:dyDescent="0.2">
      <c r="E18815" s="18"/>
      <c r="F18815" s="18"/>
    </row>
    <row r="18816" spans="5:6" ht="15" customHeight="1" x14ac:dyDescent="0.2">
      <c r="E18816" s="18"/>
      <c r="F18816" s="18"/>
    </row>
    <row r="18817" spans="5:6" ht="15" customHeight="1" x14ac:dyDescent="0.2">
      <c r="E18817" s="18"/>
      <c r="F18817" s="18"/>
    </row>
    <row r="18818" spans="5:6" ht="15" customHeight="1" x14ac:dyDescent="0.2">
      <c r="E18818" s="18"/>
      <c r="F18818" s="18"/>
    </row>
    <row r="18819" spans="5:6" ht="15" customHeight="1" x14ac:dyDescent="0.2">
      <c r="E18819" s="18"/>
      <c r="F18819" s="18"/>
    </row>
    <row r="18820" spans="5:6" ht="15" customHeight="1" x14ac:dyDescent="0.2">
      <c r="E18820" s="18"/>
      <c r="F18820" s="18"/>
    </row>
    <row r="18821" spans="5:6" ht="15" customHeight="1" x14ac:dyDescent="0.2">
      <c r="E18821" s="18"/>
      <c r="F18821" s="18"/>
    </row>
    <row r="18822" spans="5:6" ht="15" customHeight="1" x14ac:dyDescent="0.2">
      <c r="E18822" s="18"/>
      <c r="F18822" s="18"/>
    </row>
    <row r="18823" spans="5:6" ht="15" customHeight="1" x14ac:dyDescent="0.2">
      <c r="E18823" s="18"/>
      <c r="F18823" s="18"/>
    </row>
    <row r="18824" spans="5:6" ht="15" customHeight="1" x14ac:dyDescent="0.2">
      <c r="E18824" s="18"/>
      <c r="F18824" s="18"/>
    </row>
    <row r="18825" spans="5:6" ht="15" customHeight="1" x14ac:dyDescent="0.2">
      <c r="E18825" s="18"/>
      <c r="F18825" s="18"/>
    </row>
    <row r="18826" spans="5:6" ht="15" customHeight="1" x14ac:dyDescent="0.2">
      <c r="E18826" s="18"/>
      <c r="F18826" s="18"/>
    </row>
    <row r="18827" spans="5:6" ht="15" customHeight="1" x14ac:dyDescent="0.2">
      <c r="E18827" s="18"/>
      <c r="F18827" s="18"/>
    </row>
    <row r="18828" spans="5:6" ht="15" customHeight="1" x14ac:dyDescent="0.2">
      <c r="E18828" s="18"/>
      <c r="F18828" s="18"/>
    </row>
    <row r="18829" spans="5:6" ht="15" customHeight="1" x14ac:dyDescent="0.2">
      <c r="E18829" s="18"/>
      <c r="F18829" s="18"/>
    </row>
    <row r="18830" spans="5:6" ht="15" customHeight="1" x14ac:dyDescent="0.2">
      <c r="E18830" s="18"/>
      <c r="F18830" s="18"/>
    </row>
    <row r="18831" spans="5:6" ht="15" customHeight="1" x14ac:dyDescent="0.2">
      <c r="E18831" s="18"/>
      <c r="F18831" s="18"/>
    </row>
    <row r="18832" spans="5:6" ht="15" customHeight="1" x14ac:dyDescent="0.2">
      <c r="E18832" s="18"/>
      <c r="F18832" s="18"/>
    </row>
    <row r="18833" spans="5:6" ht="15" customHeight="1" x14ac:dyDescent="0.2">
      <c r="E18833" s="18"/>
      <c r="F18833" s="18"/>
    </row>
    <row r="18834" spans="5:6" ht="15" customHeight="1" x14ac:dyDescent="0.2">
      <c r="E18834" s="18"/>
      <c r="F18834" s="18"/>
    </row>
    <row r="18835" spans="5:6" ht="15" customHeight="1" x14ac:dyDescent="0.2">
      <c r="E18835" s="18"/>
      <c r="F18835" s="18"/>
    </row>
    <row r="18836" spans="5:6" ht="15" customHeight="1" x14ac:dyDescent="0.2">
      <c r="E18836" s="18"/>
      <c r="F18836" s="18"/>
    </row>
    <row r="18837" spans="5:6" ht="15" customHeight="1" x14ac:dyDescent="0.2">
      <c r="E18837" s="18"/>
      <c r="F18837" s="18"/>
    </row>
    <row r="18838" spans="5:6" ht="15" customHeight="1" x14ac:dyDescent="0.2">
      <c r="E18838" s="18"/>
      <c r="F18838" s="18"/>
    </row>
    <row r="18839" spans="5:6" ht="15" customHeight="1" x14ac:dyDescent="0.2">
      <c r="E18839" s="18"/>
      <c r="F18839" s="18"/>
    </row>
    <row r="18840" spans="5:6" ht="15" customHeight="1" x14ac:dyDescent="0.2">
      <c r="E18840" s="18"/>
      <c r="F18840" s="18"/>
    </row>
    <row r="18841" spans="5:6" ht="15" customHeight="1" x14ac:dyDescent="0.2">
      <c r="E18841" s="18"/>
      <c r="F18841" s="18"/>
    </row>
    <row r="18842" spans="5:6" ht="15" customHeight="1" x14ac:dyDescent="0.2">
      <c r="E18842" s="18"/>
      <c r="F18842" s="18"/>
    </row>
    <row r="18843" spans="5:6" ht="15" customHeight="1" x14ac:dyDescent="0.2">
      <c r="E18843" s="18"/>
      <c r="F18843" s="18"/>
    </row>
    <row r="18844" spans="5:6" ht="15" customHeight="1" x14ac:dyDescent="0.2">
      <c r="E18844" s="18"/>
      <c r="F18844" s="18"/>
    </row>
    <row r="18845" spans="5:6" ht="15" customHeight="1" x14ac:dyDescent="0.2">
      <c r="E18845" s="18"/>
      <c r="F18845" s="18"/>
    </row>
    <row r="18846" spans="5:6" ht="15" customHeight="1" x14ac:dyDescent="0.2">
      <c r="E18846" s="18"/>
      <c r="F18846" s="18"/>
    </row>
    <row r="18847" spans="5:6" ht="15" customHeight="1" x14ac:dyDescent="0.2">
      <c r="E18847" s="18"/>
      <c r="F18847" s="18"/>
    </row>
    <row r="18848" spans="5:6" ht="15" customHeight="1" x14ac:dyDescent="0.2">
      <c r="E18848" s="18"/>
      <c r="F18848" s="18"/>
    </row>
    <row r="18849" spans="5:6" ht="15" customHeight="1" x14ac:dyDescent="0.2">
      <c r="E18849" s="18"/>
      <c r="F18849" s="18"/>
    </row>
    <row r="18850" spans="5:6" ht="15" customHeight="1" x14ac:dyDescent="0.2">
      <c r="E18850" s="18"/>
      <c r="F18850" s="18"/>
    </row>
    <row r="18851" spans="5:6" ht="15" customHeight="1" x14ac:dyDescent="0.2">
      <c r="E18851" s="18"/>
      <c r="F18851" s="18"/>
    </row>
    <row r="18852" spans="5:6" ht="15" customHeight="1" x14ac:dyDescent="0.2">
      <c r="E18852" s="18"/>
      <c r="F18852" s="18"/>
    </row>
    <row r="18853" spans="5:6" ht="15" customHeight="1" x14ac:dyDescent="0.2">
      <c r="E18853" s="18"/>
      <c r="F18853" s="18"/>
    </row>
    <row r="18854" spans="5:6" ht="15" customHeight="1" x14ac:dyDescent="0.2">
      <c r="E18854" s="18"/>
      <c r="F18854" s="18"/>
    </row>
    <row r="18855" spans="5:6" ht="15" customHeight="1" x14ac:dyDescent="0.2">
      <c r="E18855" s="18"/>
      <c r="F18855" s="18"/>
    </row>
    <row r="18856" spans="5:6" ht="15" customHeight="1" x14ac:dyDescent="0.2">
      <c r="E18856" s="18"/>
      <c r="F18856" s="18"/>
    </row>
    <row r="18857" spans="5:6" ht="15" customHeight="1" x14ac:dyDescent="0.2">
      <c r="E18857" s="18"/>
      <c r="F18857" s="18"/>
    </row>
    <row r="18858" spans="5:6" ht="15" customHeight="1" x14ac:dyDescent="0.2">
      <c r="E18858" s="18"/>
      <c r="F18858" s="18"/>
    </row>
    <row r="18859" spans="5:6" ht="15" customHeight="1" x14ac:dyDescent="0.2">
      <c r="E18859" s="18"/>
      <c r="F18859" s="18"/>
    </row>
    <row r="18860" spans="5:6" ht="15" customHeight="1" x14ac:dyDescent="0.2">
      <c r="E18860" s="18"/>
      <c r="F18860" s="18"/>
    </row>
    <row r="18861" spans="5:6" ht="15" customHeight="1" x14ac:dyDescent="0.2">
      <c r="E18861" s="18"/>
      <c r="F18861" s="18"/>
    </row>
    <row r="18862" spans="5:6" ht="15" customHeight="1" x14ac:dyDescent="0.2">
      <c r="E18862" s="18"/>
      <c r="F18862" s="18"/>
    </row>
    <row r="18863" spans="5:6" ht="15" customHeight="1" x14ac:dyDescent="0.2">
      <c r="E18863" s="18"/>
      <c r="F18863" s="18"/>
    </row>
    <row r="18864" spans="5:6" ht="15" customHeight="1" x14ac:dyDescent="0.2">
      <c r="E18864" s="18"/>
      <c r="F18864" s="18"/>
    </row>
    <row r="18865" spans="5:6" ht="15" customHeight="1" x14ac:dyDescent="0.2">
      <c r="E18865" s="18"/>
      <c r="F18865" s="18"/>
    </row>
    <row r="18866" spans="5:6" ht="15" customHeight="1" x14ac:dyDescent="0.2">
      <c r="E18866" s="18"/>
      <c r="F18866" s="18"/>
    </row>
    <row r="18867" spans="5:6" ht="15" customHeight="1" x14ac:dyDescent="0.2">
      <c r="E18867" s="18"/>
      <c r="F18867" s="18"/>
    </row>
    <row r="18868" spans="5:6" ht="15" customHeight="1" x14ac:dyDescent="0.2">
      <c r="E18868" s="18"/>
      <c r="F18868" s="18"/>
    </row>
    <row r="18869" spans="5:6" ht="15" customHeight="1" x14ac:dyDescent="0.2">
      <c r="E18869" s="18"/>
      <c r="F18869" s="18"/>
    </row>
    <row r="18870" spans="5:6" ht="15" customHeight="1" x14ac:dyDescent="0.2">
      <c r="E18870" s="18"/>
      <c r="F18870" s="18"/>
    </row>
    <row r="18871" spans="5:6" ht="15" customHeight="1" x14ac:dyDescent="0.2">
      <c r="E18871" s="18"/>
      <c r="F18871" s="18"/>
    </row>
    <row r="18872" spans="5:6" ht="15" customHeight="1" x14ac:dyDescent="0.2">
      <c r="E18872" s="18"/>
      <c r="F18872" s="18"/>
    </row>
    <row r="18873" spans="5:6" ht="15" customHeight="1" x14ac:dyDescent="0.2">
      <c r="E18873" s="18"/>
      <c r="F18873" s="18"/>
    </row>
    <row r="18874" spans="5:6" ht="15" customHeight="1" x14ac:dyDescent="0.2">
      <c r="E18874" s="18"/>
      <c r="F18874" s="18"/>
    </row>
    <row r="18875" spans="5:6" ht="15" customHeight="1" x14ac:dyDescent="0.2">
      <c r="E18875" s="18"/>
      <c r="F18875" s="18"/>
    </row>
    <row r="18876" spans="5:6" ht="15" customHeight="1" x14ac:dyDescent="0.2">
      <c r="E18876" s="18"/>
      <c r="F18876" s="18"/>
    </row>
    <row r="18877" spans="5:6" ht="15" customHeight="1" x14ac:dyDescent="0.2">
      <c r="E18877" s="18"/>
      <c r="F18877" s="18"/>
    </row>
    <row r="18878" spans="5:6" ht="15" customHeight="1" x14ac:dyDescent="0.2">
      <c r="E18878" s="18"/>
      <c r="F18878" s="18"/>
    </row>
    <row r="18879" spans="5:6" ht="15" customHeight="1" x14ac:dyDescent="0.2">
      <c r="E18879" s="18"/>
      <c r="F18879" s="18"/>
    </row>
    <row r="18880" spans="5:6" ht="15" customHeight="1" x14ac:dyDescent="0.2">
      <c r="E18880" s="18"/>
      <c r="F18880" s="18"/>
    </row>
    <row r="18881" spans="5:6" ht="15" customHeight="1" x14ac:dyDescent="0.2">
      <c r="E18881" s="18"/>
      <c r="F18881" s="18"/>
    </row>
    <row r="18882" spans="5:6" ht="15" customHeight="1" x14ac:dyDescent="0.2">
      <c r="E18882" s="18"/>
      <c r="F18882" s="18"/>
    </row>
    <row r="18883" spans="5:6" ht="15" customHeight="1" x14ac:dyDescent="0.2">
      <c r="E18883" s="18"/>
      <c r="F18883" s="18"/>
    </row>
    <row r="18884" spans="5:6" ht="15" customHeight="1" x14ac:dyDescent="0.2">
      <c r="E18884" s="18"/>
      <c r="F18884" s="18"/>
    </row>
    <row r="18885" spans="5:6" ht="15" customHeight="1" x14ac:dyDescent="0.2">
      <c r="E18885" s="18"/>
      <c r="F18885" s="18"/>
    </row>
    <row r="18886" spans="5:6" ht="15" customHeight="1" x14ac:dyDescent="0.2">
      <c r="E18886" s="18"/>
      <c r="F18886" s="18"/>
    </row>
    <row r="18887" spans="5:6" ht="15" customHeight="1" x14ac:dyDescent="0.2">
      <c r="E18887" s="18"/>
      <c r="F18887" s="18"/>
    </row>
    <row r="18888" spans="5:6" ht="15" customHeight="1" x14ac:dyDescent="0.2">
      <c r="E18888" s="18"/>
      <c r="F18888" s="18"/>
    </row>
    <row r="18889" spans="5:6" ht="15" customHeight="1" x14ac:dyDescent="0.2">
      <c r="E18889" s="18"/>
      <c r="F18889" s="18"/>
    </row>
    <row r="18890" spans="5:6" ht="15" customHeight="1" x14ac:dyDescent="0.2">
      <c r="E18890" s="18"/>
      <c r="F18890" s="18"/>
    </row>
    <row r="18891" spans="5:6" ht="15" customHeight="1" x14ac:dyDescent="0.2">
      <c r="E18891" s="18"/>
      <c r="F18891" s="18"/>
    </row>
    <row r="18892" spans="5:6" ht="15" customHeight="1" x14ac:dyDescent="0.2">
      <c r="E18892" s="18"/>
      <c r="F18892" s="18"/>
    </row>
    <row r="18893" spans="5:6" ht="15" customHeight="1" x14ac:dyDescent="0.2">
      <c r="E18893" s="18"/>
      <c r="F18893" s="18"/>
    </row>
    <row r="18894" spans="5:6" ht="15" customHeight="1" x14ac:dyDescent="0.2">
      <c r="E18894" s="18"/>
      <c r="F18894" s="18"/>
    </row>
    <row r="18895" spans="5:6" ht="15" customHeight="1" x14ac:dyDescent="0.2">
      <c r="E18895" s="18"/>
      <c r="F18895" s="18"/>
    </row>
    <row r="18896" spans="5:6" ht="15" customHeight="1" x14ac:dyDescent="0.2">
      <c r="E18896" s="18"/>
      <c r="F18896" s="18"/>
    </row>
    <row r="18897" spans="5:6" ht="15" customHeight="1" x14ac:dyDescent="0.2">
      <c r="E18897" s="18"/>
      <c r="F18897" s="18"/>
    </row>
    <row r="18898" spans="5:6" ht="15" customHeight="1" x14ac:dyDescent="0.2">
      <c r="E18898" s="18"/>
      <c r="F18898" s="18"/>
    </row>
    <row r="18899" spans="5:6" ht="15" customHeight="1" x14ac:dyDescent="0.2">
      <c r="E18899" s="18"/>
      <c r="F18899" s="18"/>
    </row>
    <row r="18900" spans="5:6" ht="15" customHeight="1" x14ac:dyDescent="0.2">
      <c r="E18900" s="18"/>
      <c r="F18900" s="18"/>
    </row>
    <row r="18901" spans="5:6" ht="15" customHeight="1" x14ac:dyDescent="0.2">
      <c r="E18901" s="18"/>
      <c r="F18901" s="18"/>
    </row>
    <row r="18902" spans="5:6" ht="15" customHeight="1" x14ac:dyDescent="0.2">
      <c r="E18902" s="18"/>
      <c r="F18902" s="18"/>
    </row>
    <row r="18903" spans="5:6" ht="15" customHeight="1" x14ac:dyDescent="0.2">
      <c r="E18903" s="18"/>
      <c r="F18903" s="18"/>
    </row>
    <row r="18904" spans="5:6" ht="15" customHeight="1" x14ac:dyDescent="0.2">
      <c r="E18904" s="18"/>
      <c r="F18904" s="18"/>
    </row>
    <row r="18905" spans="5:6" ht="15" customHeight="1" x14ac:dyDescent="0.2">
      <c r="E18905" s="18"/>
      <c r="F18905" s="18"/>
    </row>
    <row r="18906" spans="5:6" ht="15" customHeight="1" x14ac:dyDescent="0.2">
      <c r="E18906" s="18"/>
      <c r="F18906" s="18"/>
    </row>
    <row r="18907" spans="5:6" ht="15" customHeight="1" x14ac:dyDescent="0.2">
      <c r="E18907" s="18"/>
      <c r="F18907" s="18"/>
    </row>
    <row r="18908" spans="5:6" ht="15" customHeight="1" x14ac:dyDescent="0.2">
      <c r="E18908" s="18"/>
      <c r="F18908" s="18"/>
    </row>
    <row r="18909" spans="5:6" ht="15" customHeight="1" x14ac:dyDescent="0.2">
      <c r="E18909" s="18"/>
      <c r="F18909" s="18"/>
    </row>
    <row r="18910" spans="5:6" ht="15" customHeight="1" x14ac:dyDescent="0.2">
      <c r="E18910" s="18"/>
      <c r="F18910" s="18"/>
    </row>
    <row r="18911" spans="5:6" ht="15" customHeight="1" x14ac:dyDescent="0.2">
      <c r="E18911" s="18"/>
      <c r="F18911" s="18"/>
    </row>
    <row r="18912" spans="5:6" ht="15" customHeight="1" x14ac:dyDescent="0.2">
      <c r="E18912" s="18"/>
      <c r="F18912" s="18"/>
    </row>
    <row r="18913" spans="5:6" ht="15" customHeight="1" x14ac:dyDescent="0.2">
      <c r="E18913" s="18"/>
      <c r="F18913" s="18"/>
    </row>
    <row r="18914" spans="5:6" ht="15" customHeight="1" x14ac:dyDescent="0.2">
      <c r="E18914" s="18"/>
      <c r="F18914" s="18"/>
    </row>
    <row r="18915" spans="5:6" ht="15" customHeight="1" x14ac:dyDescent="0.2">
      <c r="E18915" s="18"/>
      <c r="F18915" s="18"/>
    </row>
    <row r="18916" spans="5:6" ht="15" customHeight="1" x14ac:dyDescent="0.2">
      <c r="E18916" s="18"/>
      <c r="F18916" s="18"/>
    </row>
    <row r="18917" spans="5:6" ht="15" customHeight="1" x14ac:dyDescent="0.2">
      <c r="E18917" s="18"/>
      <c r="F18917" s="18"/>
    </row>
    <row r="18918" spans="5:6" ht="15" customHeight="1" x14ac:dyDescent="0.2">
      <c r="E18918" s="18"/>
      <c r="F18918" s="18"/>
    </row>
    <row r="18919" spans="5:6" ht="15" customHeight="1" x14ac:dyDescent="0.2">
      <c r="E18919" s="18"/>
      <c r="F18919" s="18"/>
    </row>
    <row r="18920" spans="5:6" ht="15" customHeight="1" x14ac:dyDescent="0.2">
      <c r="E18920" s="18"/>
      <c r="F18920" s="18"/>
    </row>
    <row r="18921" spans="5:6" ht="15" customHeight="1" x14ac:dyDescent="0.2">
      <c r="E18921" s="18"/>
      <c r="F18921" s="18"/>
    </row>
    <row r="18922" spans="5:6" ht="15" customHeight="1" x14ac:dyDescent="0.2">
      <c r="E18922" s="18"/>
      <c r="F18922" s="18"/>
    </row>
    <row r="18923" spans="5:6" ht="15" customHeight="1" x14ac:dyDescent="0.2">
      <c r="E18923" s="18"/>
      <c r="F18923" s="18"/>
    </row>
    <row r="18924" spans="5:6" ht="15" customHeight="1" x14ac:dyDescent="0.2">
      <c r="E18924" s="18"/>
      <c r="F18924" s="18"/>
    </row>
    <row r="18925" spans="5:6" ht="15" customHeight="1" x14ac:dyDescent="0.2">
      <c r="E18925" s="18"/>
      <c r="F18925" s="18"/>
    </row>
    <row r="18926" spans="5:6" ht="15" customHeight="1" x14ac:dyDescent="0.2">
      <c r="E18926" s="18"/>
      <c r="F18926" s="18"/>
    </row>
    <row r="18927" spans="5:6" ht="15" customHeight="1" x14ac:dyDescent="0.2">
      <c r="E18927" s="18"/>
      <c r="F18927" s="18"/>
    </row>
    <row r="18928" spans="5:6" ht="15" customHeight="1" x14ac:dyDescent="0.2">
      <c r="E18928" s="18"/>
      <c r="F18928" s="18"/>
    </row>
    <row r="18929" spans="5:6" ht="15" customHeight="1" x14ac:dyDescent="0.2">
      <c r="E18929" s="18"/>
      <c r="F18929" s="18"/>
    </row>
    <row r="18930" spans="5:6" ht="15" customHeight="1" x14ac:dyDescent="0.2">
      <c r="E18930" s="18"/>
      <c r="F18930" s="18"/>
    </row>
    <row r="18931" spans="5:6" ht="15" customHeight="1" x14ac:dyDescent="0.2">
      <c r="E18931" s="18"/>
      <c r="F18931" s="18"/>
    </row>
    <row r="18932" spans="5:6" ht="15" customHeight="1" x14ac:dyDescent="0.2">
      <c r="E18932" s="18"/>
      <c r="F18932" s="18"/>
    </row>
    <row r="18933" spans="5:6" ht="15" customHeight="1" x14ac:dyDescent="0.2">
      <c r="E18933" s="18"/>
      <c r="F18933" s="18"/>
    </row>
    <row r="18934" spans="5:6" ht="15" customHeight="1" x14ac:dyDescent="0.2">
      <c r="E18934" s="18"/>
      <c r="F18934" s="18"/>
    </row>
    <row r="18935" spans="5:6" ht="15" customHeight="1" x14ac:dyDescent="0.2">
      <c r="E18935" s="18"/>
      <c r="F18935" s="18"/>
    </row>
    <row r="18936" spans="5:6" ht="15" customHeight="1" x14ac:dyDescent="0.2">
      <c r="E18936" s="18"/>
      <c r="F18936" s="18"/>
    </row>
    <row r="18937" spans="5:6" ht="15" customHeight="1" x14ac:dyDescent="0.2">
      <c r="E18937" s="18"/>
      <c r="F18937" s="18"/>
    </row>
    <row r="18938" spans="5:6" ht="15" customHeight="1" x14ac:dyDescent="0.2">
      <c r="E18938" s="18"/>
      <c r="F18938" s="18"/>
    </row>
    <row r="18939" spans="5:6" ht="15" customHeight="1" x14ac:dyDescent="0.2">
      <c r="E18939" s="18"/>
      <c r="F18939" s="18"/>
    </row>
    <row r="18940" spans="5:6" ht="15" customHeight="1" x14ac:dyDescent="0.2">
      <c r="E18940" s="18"/>
      <c r="F18940" s="18"/>
    </row>
    <row r="18941" spans="5:6" ht="15" customHeight="1" x14ac:dyDescent="0.2">
      <c r="E18941" s="18"/>
      <c r="F18941" s="18"/>
    </row>
    <row r="18942" spans="5:6" ht="15" customHeight="1" x14ac:dyDescent="0.2">
      <c r="E18942" s="18"/>
      <c r="F18942" s="18"/>
    </row>
    <row r="18943" spans="5:6" ht="15" customHeight="1" x14ac:dyDescent="0.2">
      <c r="E18943" s="18"/>
      <c r="F18943" s="18"/>
    </row>
    <row r="18944" spans="5:6" ht="15" customHeight="1" x14ac:dyDescent="0.2">
      <c r="E18944" s="18"/>
      <c r="F18944" s="18"/>
    </row>
    <row r="18945" spans="5:6" ht="15" customHeight="1" x14ac:dyDescent="0.2">
      <c r="E18945" s="18"/>
      <c r="F18945" s="18"/>
    </row>
    <row r="18946" spans="5:6" ht="15" customHeight="1" x14ac:dyDescent="0.2">
      <c r="E18946" s="18"/>
      <c r="F18946" s="18"/>
    </row>
    <row r="18947" spans="5:6" ht="15" customHeight="1" x14ac:dyDescent="0.2">
      <c r="E18947" s="18"/>
      <c r="F18947" s="18"/>
    </row>
    <row r="18948" spans="5:6" ht="15" customHeight="1" x14ac:dyDescent="0.2">
      <c r="E18948" s="18"/>
      <c r="F18948" s="18"/>
    </row>
    <row r="18949" spans="5:6" ht="15" customHeight="1" x14ac:dyDescent="0.2">
      <c r="E18949" s="18"/>
      <c r="F18949" s="18"/>
    </row>
    <row r="18950" spans="5:6" ht="15" customHeight="1" x14ac:dyDescent="0.2">
      <c r="E18950" s="18"/>
      <c r="F18950" s="18"/>
    </row>
    <row r="18951" spans="5:6" ht="15" customHeight="1" x14ac:dyDescent="0.2">
      <c r="E18951" s="18"/>
      <c r="F18951" s="18"/>
    </row>
    <row r="18952" spans="5:6" ht="15" customHeight="1" x14ac:dyDescent="0.2">
      <c r="E18952" s="18"/>
      <c r="F18952" s="18"/>
    </row>
    <row r="18953" spans="5:6" ht="15" customHeight="1" x14ac:dyDescent="0.2">
      <c r="E18953" s="18"/>
      <c r="F18953" s="18"/>
    </row>
    <row r="18954" spans="5:6" ht="15" customHeight="1" x14ac:dyDescent="0.2">
      <c r="E18954" s="18"/>
      <c r="F18954" s="18"/>
    </row>
    <row r="18955" spans="5:6" ht="15" customHeight="1" x14ac:dyDescent="0.2">
      <c r="E18955" s="18"/>
      <c r="F18955" s="18"/>
    </row>
    <row r="18956" spans="5:6" ht="15" customHeight="1" x14ac:dyDescent="0.2">
      <c r="E18956" s="18"/>
      <c r="F18956" s="18"/>
    </row>
    <row r="18957" spans="5:6" ht="15" customHeight="1" x14ac:dyDescent="0.2">
      <c r="E18957" s="18"/>
      <c r="F18957" s="18"/>
    </row>
    <row r="18958" spans="5:6" ht="15" customHeight="1" x14ac:dyDescent="0.2">
      <c r="E18958" s="18"/>
      <c r="F18958" s="18"/>
    </row>
    <row r="18959" spans="5:6" ht="15" customHeight="1" x14ac:dyDescent="0.2">
      <c r="E18959" s="18"/>
      <c r="F18959" s="18"/>
    </row>
    <row r="18960" spans="5:6" ht="15" customHeight="1" x14ac:dyDescent="0.2">
      <c r="E18960" s="18"/>
      <c r="F18960" s="18"/>
    </row>
    <row r="18961" spans="5:6" ht="15" customHeight="1" x14ac:dyDescent="0.2">
      <c r="E18961" s="18"/>
      <c r="F18961" s="18"/>
    </row>
    <row r="18962" spans="5:6" ht="15" customHeight="1" x14ac:dyDescent="0.2">
      <c r="E18962" s="18"/>
      <c r="F18962" s="18"/>
    </row>
    <row r="18963" spans="5:6" ht="15" customHeight="1" x14ac:dyDescent="0.2">
      <c r="E18963" s="18"/>
      <c r="F18963" s="18"/>
    </row>
    <row r="18964" spans="5:6" ht="15" customHeight="1" x14ac:dyDescent="0.2">
      <c r="E18964" s="18"/>
      <c r="F18964" s="18"/>
    </row>
    <row r="18965" spans="5:6" ht="15" customHeight="1" x14ac:dyDescent="0.2">
      <c r="E18965" s="18"/>
      <c r="F18965" s="18"/>
    </row>
    <row r="18966" spans="5:6" ht="15" customHeight="1" x14ac:dyDescent="0.2">
      <c r="E18966" s="18"/>
      <c r="F18966" s="18"/>
    </row>
    <row r="18967" spans="5:6" ht="15" customHeight="1" x14ac:dyDescent="0.2">
      <c r="E18967" s="18"/>
      <c r="F18967" s="18"/>
    </row>
    <row r="18968" spans="5:6" ht="15" customHeight="1" x14ac:dyDescent="0.2">
      <c r="E18968" s="18"/>
      <c r="F18968" s="18"/>
    </row>
    <row r="18969" spans="5:6" ht="15" customHeight="1" x14ac:dyDescent="0.2">
      <c r="E18969" s="18"/>
      <c r="F18969" s="18"/>
    </row>
    <row r="18970" spans="5:6" ht="15" customHeight="1" x14ac:dyDescent="0.2">
      <c r="E18970" s="18"/>
      <c r="F18970" s="18"/>
    </row>
    <row r="18971" spans="5:6" ht="15" customHeight="1" x14ac:dyDescent="0.2">
      <c r="E18971" s="18"/>
      <c r="F18971" s="18"/>
    </row>
    <row r="18972" spans="5:6" ht="15" customHeight="1" x14ac:dyDescent="0.2">
      <c r="E18972" s="18"/>
      <c r="F18972" s="18"/>
    </row>
    <row r="18973" spans="5:6" ht="15" customHeight="1" x14ac:dyDescent="0.2">
      <c r="E18973" s="18"/>
      <c r="F18973" s="18"/>
    </row>
    <row r="18974" spans="5:6" ht="15" customHeight="1" x14ac:dyDescent="0.2">
      <c r="E18974" s="18"/>
      <c r="F18974" s="18"/>
    </row>
    <row r="18975" spans="5:6" ht="15" customHeight="1" x14ac:dyDescent="0.2">
      <c r="E18975" s="18"/>
      <c r="F18975" s="18"/>
    </row>
    <row r="18976" spans="5:6" ht="15" customHeight="1" x14ac:dyDescent="0.2">
      <c r="E18976" s="18"/>
      <c r="F18976" s="18"/>
    </row>
    <row r="18977" spans="5:6" ht="15" customHeight="1" x14ac:dyDescent="0.2">
      <c r="E18977" s="18"/>
      <c r="F18977" s="18"/>
    </row>
    <row r="18978" spans="5:6" ht="15" customHeight="1" x14ac:dyDescent="0.2">
      <c r="E18978" s="18"/>
      <c r="F18978" s="18"/>
    </row>
    <row r="18979" spans="5:6" ht="15" customHeight="1" x14ac:dyDescent="0.2">
      <c r="E18979" s="18"/>
      <c r="F18979" s="18"/>
    </row>
    <row r="18980" spans="5:6" ht="15" customHeight="1" x14ac:dyDescent="0.2">
      <c r="E18980" s="18"/>
      <c r="F18980" s="18"/>
    </row>
    <row r="18981" spans="5:6" ht="15" customHeight="1" x14ac:dyDescent="0.2">
      <c r="E18981" s="18"/>
      <c r="F18981" s="18"/>
    </row>
    <row r="18982" spans="5:6" ht="15" customHeight="1" x14ac:dyDescent="0.2">
      <c r="E18982" s="18"/>
      <c r="F18982" s="18"/>
    </row>
    <row r="18983" spans="5:6" ht="15" customHeight="1" x14ac:dyDescent="0.2">
      <c r="E18983" s="18"/>
      <c r="F18983" s="18"/>
    </row>
    <row r="18984" spans="5:6" ht="15" customHeight="1" x14ac:dyDescent="0.2">
      <c r="E18984" s="18"/>
      <c r="F18984" s="18"/>
    </row>
    <row r="18985" spans="5:6" ht="15" customHeight="1" x14ac:dyDescent="0.2">
      <c r="E18985" s="18"/>
      <c r="F18985" s="18"/>
    </row>
    <row r="18986" spans="5:6" ht="15" customHeight="1" x14ac:dyDescent="0.2">
      <c r="E18986" s="18"/>
      <c r="F18986" s="18"/>
    </row>
    <row r="18987" spans="5:6" ht="15" customHeight="1" x14ac:dyDescent="0.2">
      <c r="E18987" s="18"/>
      <c r="F18987" s="18"/>
    </row>
    <row r="18988" spans="5:6" ht="15" customHeight="1" x14ac:dyDescent="0.2">
      <c r="E18988" s="18"/>
      <c r="F18988" s="18"/>
    </row>
    <row r="18989" spans="5:6" ht="15" customHeight="1" x14ac:dyDescent="0.2">
      <c r="E18989" s="18"/>
      <c r="F18989" s="18"/>
    </row>
    <row r="18990" spans="5:6" ht="15" customHeight="1" x14ac:dyDescent="0.2">
      <c r="E18990" s="18"/>
      <c r="F18990" s="18"/>
    </row>
    <row r="18991" spans="5:6" ht="15" customHeight="1" x14ac:dyDescent="0.2">
      <c r="E18991" s="18"/>
      <c r="F18991" s="18"/>
    </row>
    <row r="18992" spans="5:6" ht="15" customHeight="1" x14ac:dyDescent="0.2">
      <c r="E18992" s="18"/>
      <c r="F18992" s="18"/>
    </row>
    <row r="18993" spans="5:6" ht="15" customHeight="1" x14ac:dyDescent="0.2">
      <c r="E18993" s="18"/>
      <c r="F18993" s="18"/>
    </row>
    <row r="18994" spans="5:6" ht="15" customHeight="1" x14ac:dyDescent="0.2">
      <c r="E18994" s="18"/>
      <c r="F18994" s="18"/>
    </row>
    <row r="18995" spans="5:6" ht="15" customHeight="1" x14ac:dyDescent="0.2">
      <c r="E18995" s="18"/>
      <c r="F18995" s="18"/>
    </row>
    <row r="18996" spans="5:6" ht="15" customHeight="1" x14ac:dyDescent="0.2">
      <c r="E18996" s="18"/>
      <c r="F18996" s="18"/>
    </row>
    <row r="18997" spans="5:6" ht="15" customHeight="1" x14ac:dyDescent="0.2">
      <c r="E18997" s="18"/>
      <c r="F18997" s="18"/>
    </row>
    <row r="18998" spans="5:6" ht="15" customHeight="1" x14ac:dyDescent="0.2">
      <c r="E18998" s="18"/>
      <c r="F18998" s="18"/>
    </row>
    <row r="18999" spans="5:6" ht="15" customHeight="1" x14ac:dyDescent="0.2">
      <c r="E18999" s="18"/>
      <c r="F18999" s="18"/>
    </row>
    <row r="19000" spans="5:6" ht="15" customHeight="1" x14ac:dyDescent="0.2">
      <c r="E19000" s="18"/>
      <c r="F19000" s="18"/>
    </row>
    <row r="19001" spans="5:6" ht="15" customHeight="1" x14ac:dyDescent="0.2">
      <c r="E19001" s="18"/>
      <c r="F19001" s="18"/>
    </row>
    <row r="19002" spans="5:6" ht="15" customHeight="1" x14ac:dyDescent="0.2">
      <c r="E19002" s="18"/>
      <c r="F19002" s="18"/>
    </row>
    <row r="19003" spans="5:6" ht="15" customHeight="1" x14ac:dyDescent="0.2">
      <c r="E19003" s="18"/>
      <c r="F19003" s="18"/>
    </row>
    <row r="19004" spans="5:6" ht="15" customHeight="1" x14ac:dyDescent="0.2">
      <c r="E19004" s="18"/>
      <c r="F19004" s="18"/>
    </row>
    <row r="19005" spans="5:6" ht="15" customHeight="1" x14ac:dyDescent="0.2">
      <c r="E19005" s="18"/>
      <c r="F19005" s="18"/>
    </row>
    <row r="19006" spans="5:6" ht="15" customHeight="1" x14ac:dyDescent="0.2">
      <c r="E19006" s="18"/>
      <c r="F19006" s="18"/>
    </row>
    <row r="19007" spans="5:6" ht="15" customHeight="1" x14ac:dyDescent="0.2">
      <c r="E19007" s="18"/>
      <c r="F19007" s="18"/>
    </row>
    <row r="19008" spans="5:6" ht="15" customHeight="1" x14ac:dyDescent="0.2">
      <c r="E19008" s="18"/>
      <c r="F19008" s="18"/>
    </row>
    <row r="19009" spans="5:6" ht="15" customHeight="1" x14ac:dyDescent="0.2">
      <c r="E19009" s="18"/>
      <c r="F19009" s="18"/>
    </row>
    <row r="19010" spans="5:6" ht="15" customHeight="1" x14ac:dyDescent="0.2">
      <c r="E19010" s="18"/>
      <c r="F19010" s="18"/>
    </row>
    <row r="19011" spans="5:6" ht="15" customHeight="1" x14ac:dyDescent="0.2">
      <c r="E19011" s="18"/>
      <c r="F19011" s="18"/>
    </row>
    <row r="19012" spans="5:6" ht="15" customHeight="1" x14ac:dyDescent="0.2">
      <c r="E19012" s="18"/>
      <c r="F19012" s="18"/>
    </row>
    <row r="19013" spans="5:6" ht="15" customHeight="1" x14ac:dyDescent="0.2">
      <c r="E19013" s="18"/>
      <c r="F19013" s="18"/>
    </row>
    <row r="19014" spans="5:6" ht="15" customHeight="1" x14ac:dyDescent="0.2">
      <c r="E19014" s="18"/>
      <c r="F19014" s="18"/>
    </row>
    <row r="19015" spans="5:6" ht="15" customHeight="1" x14ac:dyDescent="0.2">
      <c r="E19015" s="18"/>
      <c r="F19015" s="18"/>
    </row>
    <row r="19016" spans="5:6" ht="15" customHeight="1" x14ac:dyDescent="0.2">
      <c r="E19016" s="18"/>
      <c r="F19016" s="18"/>
    </row>
    <row r="19017" spans="5:6" ht="15" customHeight="1" x14ac:dyDescent="0.2">
      <c r="E19017" s="18"/>
      <c r="F19017" s="18"/>
    </row>
    <row r="19018" spans="5:6" ht="15" customHeight="1" x14ac:dyDescent="0.2">
      <c r="E19018" s="18"/>
      <c r="F19018" s="18"/>
    </row>
    <row r="19019" spans="5:6" ht="15" customHeight="1" x14ac:dyDescent="0.2">
      <c r="E19019" s="18"/>
      <c r="F19019" s="18"/>
    </row>
    <row r="19020" spans="5:6" ht="15" customHeight="1" x14ac:dyDescent="0.2">
      <c r="E19020" s="18"/>
      <c r="F19020" s="18"/>
    </row>
    <row r="19021" spans="5:6" ht="15" customHeight="1" x14ac:dyDescent="0.2">
      <c r="E19021" s="18"/>
      <c r="F19021" s="18"/>
    </row>
    <row r="19022" spans="5:6" ht="15" customHeight="1" x14ac:dyDescent="0.2">
      <c r="E19022" s="18"/>
      <c r="F19022" s="18"/>
    </row>
    <row r="19023" spans="5:6" ht="15" customHeight="1" x14ac:dyDescent="0.2">
      <c r="E19023" s="18"/>
      <c r="F19023" s="18"/>
    </row>
    <row r="19024" spans="5:6" ht="15" customHeight="1" x14ac:dyDescent="0.2">
      <c r="E19024" s="18"/>
      <c r="F19024" s="18"/>
    </row>
    <row r="19025" spans="5:6" ht="15" customHeight="1" x14ac:dyDescent="0.2">
      <c r="E19025" s="18"/>
      <c r="F19025" s="18"/>
    </row>
    <row r="19026" spans="5:6" ht="15" customHeight="1" x14ac:dyDescent="0.2">
      <c r="E19026" s="18"/>
      <c r="F19026" s="18"/>
    </row>
    <row r="19027" spans="5:6" ht="15" customHeight="1" x14ac:dyDescent="0.2">
      <c r="E19027" s="18"/>
      <c r="F19027" s="18"/>
    </row>
    <row r="19028" spans="5:6" ht="15" customHeight="1" x14ac:dyDescent="0.2">
      <c r="E19028" s="18"/>
      <c r="F19028" s="18"/>
    </row>
    <row r="19029" spans="5:6" ht="15" customHeight="1" x14ac:dyDescent="0.2">
      <c r="E19029" s="18"/>
      <c r="F19029" s="18"/>
    </row>
    <row r="19030" spans="5:6" ht="15" customHeight="1" x14ac:dyDescent="0.2">
      <c r="E19030" s="18"/>
      <c r="F19030" s="18"/>
    </row>
    <row r="19031" spans="5:6" ht="15" customHeight="1" x14ac:dyDescent="0.2">
      <c r="E19031" s="18"/>
      <c r="F19031" s="18"/>
    </row>
    <row r="19032" spans="5:6" ht="15" customHeight="1" x14ac:dyDescent="0.2">
      <c r="E19032" s="18"/>
      <c r="F19032" s="18"/>
    </row>
    <row r="19033" spans="5:6" ht="15" customHeight="1" x14ac:dyDescent="0.2">
      <c r="E19033" s="18"/>
      <c r="F19033" s="18"/>
    </row>
    <row r="19034" spans="5:6" ht="15" customHeight="1" x14ac:dyDescent="0.2">
      <c r="E19034" s="18"/>
      <c r="F19034" s="18"/>
    </row>
    <row r="19035" spans="5:6" ht="15" customHeight="1" x14ac:dyDescent="0.2">
      <c r="E19035" s="18"/>
      <c r="F19035" s="18"/>
    </row>
    <row r="19036" spans="5:6" ht="15" customHeight="1" x14ac:dyDescent="0.2">
      <c r="E19036" s="18"/>
      <c r="F19036" s="18"/>
    </row>
    <row r="19037" spans="5:6" ht="15" customHeight="1" x14ac:dyDescent="0.2">
      <c r="E19037" s="18"/>
      <c r="F19037" s="18"/>
    </row>
    <row r="19038" spans="5:6" ht="15" customHeight="1" x14ac:dyDescent="0.2">
      <c r="E19038" s="18"/>
      <c r="F19038" s="18"/>
    </row>
    <row r="19039" spans="5:6" ht="15" customHeight="1" x14ac:dyDescent="0.2">
      <c r="E19039" s="18"/>
      <c r="F19039" s="18"/>
    </row>
    <row r="19040" spans="5:6" ht="15" customHeight="1" x14ac:dyDescent="0.2">
      <c r="E19040" s="18"/>
      <c r="F19040" s="18"/>
    </row>
    <row r="19041" spans="5:6" ht="15" customHeight="1" x14ac:dyDescent="0.2">
      <c r="E19041" s="18"/>
      <c r="F19041" s="18"/>
    </row>
    <row r="19042" spans="5:6" ht="15" customHeight="1" x14ac:dyDescent="0.2">
      <c r="E19042" s="18"/>
      <c r="F19042" s="18"/>
    </row>
    <row r="19043" spans="5:6" ht="15" customHeight="1" x14ac:dyDescent="0.2">
      <c r="E19043" s="18"/>
      <c r="F19043" s="18"/>
    </row>
    <row r="19044" spans="5:6" ht="15" customHeight="1" x14ac:dyDescent="0.2">
      <c r="E19044" s="18"/>
      <c r="F19044" s="18"/>
    </row>
    <row r="19045" spans="5:6" ht="15" customHeight="1" x14ac:dyDescent="0.2">
      <c r="E19045" s="18"/>
      <c r="F19045" s="18"/>
    </row>
    <row r="19046" spans="5:6" ht="15" customHeight="1" x14ac:dyDescent="0.2">
      <c r="E19046" s="18"/>
      <c r="F19046" s="18"/>
    </row>
    <row r="19047" spans="5:6" ht="15" customHeight="1" x14ac:dyDescent="0.2">
      <c r="E19047" s="18"/>
      <c r="F19047" s="18"/>
    </row>
    <row r="19048" spans="5:6" ht="15" customHeight="1" x14ac:dyDescent="0.2">
      <c r="E19048" s="18"/>
      <c r="F19048" s="18"/>
    </row>
    <row r="19049" spans="5:6" ht="15" customHeight="1" x14ac:dyDescent="0.2">
      <c r="E19049" s="18"/>
      <c r="F19049" s="18"/>
    </row>
    <row r="19050" spans="5:6" ht="15" customHeight="1" x14ac:dyDescent="0.2">
      <c r="E19050" s="18"/>
      <c r="F19050" s="18"/>
    </row>
    <row r="19051" spans="5:6" ht="15" customHeight="1" x14ac:dyDescent="0.2">
      <c r="E19051" s="18"/>
      <c r="F19051" s="18"/>
    </row>
    <row r="19052" spans="5:6" ht="15" customHeight="1" x14ac:dyDescent="0.2">
      <c r="E19052" s="18"/>
      <c r="F19052" s="18"/>
    </row>
    <row r="19053" spans="5:6" ht="15" customHeight="1" x14ac:dyDescent="0.2">
      <c r="E19053" s="18"/>
      <c r="F19053" s="18"/>
    </row>
    <row r="19054" spans="5:6" ht="15" customHeight="1" x14ac:dyDescent="0.2">
      <c r="E19054" s="18"/>
      <c r="F19054" s="18"/>
    </row>
    <row r="19055" spans="5:6" ht="15" customHeight="1" x14ac:dyDescent="0.2">
      <c r="E19055" s="18"/>
      <c r="F19055" s="18"/>
    </row>
    <row r="19056" spans="5:6" ht="15" customHeight="1" x14ac:dyDescent="0.2">
      <c r="E19056" s="18"/>
      <c r="F19056" s="18"/>
    </row>
    <row r="19057" spans="5:6" ht="15" customHeight="1" x14ac:dyDescent="0.2">
      <c r="E19057" s="18"/>
      <c r="F19057" s="18"/>
    </row>
    <row r="19058" spans="5:6" ht="15" customHeight="1" x14ac:dyDescent="0.2">
      <c r="E19058" s="18"/>
      <c r="F19058" s="18"/>
    </row>
    <row r="19059" spans="5:6" ht="15" customHeight="1" x14ac:dyDescent="0.2">
      <c r="E19059" s="18"/>
      <c r="F19059" s="18"/>
    </row>
    <row r="19060" spans="5:6" ht="15" customHeight="1" x14ac:dyDescent="0.2">
      <c r="E19060" s="18"/>
      <c r="F19060" s="18"/>
    </row>
    <row r="19061" spans="5:6" ht="15" customHeight="1" x14ac:dyDescent="0.2">
      <c r="E19061" s="18"/>
      <c r="F19061" s="18"/>
    </row>
    <row r="19062" spans="5:6" ht="15" customHeight="1" x14ac:dyDescent="0.2">
      <c r="E19062" s="18"/>
      <c r="F19062" s="18"/>
    </row>
    <row r="19063" spans="5:6" ht="15" customHeight="1" x14ac:dyDescent="0.2">
      <c r="E19063" s="18"/>
      <c r="F19063" s="18"/>
    </row>
    <row r="19064" spans="5:6" ht="15" customHeight="1" x14ac:dyDescent="0.2">
      <c r="E19064" s="18"/>
      <c r="F19064" s="18"/>
    </row>
    <row r="19065" spans="5:6" ht="15" customHeight="1" x14ac:dyDescent="0.2">
      <c r="E19065" s="18"/>
      <c r="F19065" s="18"/>
    </row>
    <row r="19066" spans="5:6" ht="15" customHeight="1" x14ac:dyDescent="0.2">
      <c r="E19066" s="18"/>
      <c r="F19066" s="18"/>
    </row>
    <row r="19067" spans="5:6" ht="15" customHeight="1" x14ac:dyDescent="0.2">
      <c r="E19067" s="18"/>
      <c r="F19067" s="18"/>
    </row>
    <row r="19068" spans="5:6" ht="15" customHeight="1" x14ac:dyDescent="0.2">
      <c r="E19068" s="18"/>
      <c r="F19068" s="18"/>
    </row>
    <row r="19069" spans="5:6" ht="15" customHeight="1" x14ac:dyDescent="0.2">
      <c r="E19069" s="18"/>
      <c r="F19069" s="18"/>
    </row>
    <row r="19070" spans="5:6" ht="15" customHeight="1" x14ac:dyDescent="0.2">
      <c r="E19070" s="18"/>
      <c r="F19070" s="18"/>
    </row>
    <row r="19071" spans="5:6" ht="15" customHeight="1" x14ac:dyDescent="0.2">
      <c r="E19071" s="18"/>
      <c r="F19071" s="18"/>
    </row>
    <row r="19072" spans="5:6" ht="15" customHeight="1" x14ac:dyDescent="0.2">
      <c r="E19072" s="18"/>
      <c r="F19072" s="18"/>
    </row>
    <row r="19073" spans="5:6" ht="15" customHeight="1" x14ac:dyDescent="0.2">
      <c r="E19073" s="18"/>
      <c r="F19073" s="18"/>
    </row>
    <row r="19074" spans="5:6" ht="15" customHeight="1" x14ac:dyDescent="0.2">
      <c r="E19074" s="18"/>
      <c r="F19074" s="18"/>
    </row>
    <row r="19075" spans="5:6" ht="15" customHeight="1" x14ac:dyDescent="0.2">
      <c r="E19075" s="18"/>
      <c r="F19075" s="18"/>
    </row>
    <row r="19076" spans="5:6" ht="15" customHeight="1" x14ac:dyDescent="0.2">
      <c r="E19076" s="18"/>
      <c r="F19076" s="18"/>
    </row>
    <row r="19077" spans="5:6" ht="15" customHeight="1" x14ac:dyDescent="0.2">
      <c r="E19077" s="18"/>
      <c r="F19077" s="18"/>
    </row>
    <row r="19078" spans="5:6" ht="15" customHeight="1" x14ac:dyDescent="0.2">
      <c r="E19078" s="18"/>
      <c r="F19078" s="18"/>
    </row>
    <row r="19079" spans="5:6" ht="15" customHeight="1" x14ac:dyDescent="0.2">
      <c r="E19079" s="18"/>
      <c r="F19079" s="18"/>
    </row>
    <row r="19080" spans="5:6" ht="15" customHeight="1" x14ac:dyDescent="0.2">
      <c r="E19080" s="18"/>
      <c r="F19080" s="18"/>
    </row>
    <row r="19081" spans="5:6" ht="15" customHeight="1" x14ac:dyDescent="0.2">
      <c r="E19081" s="18"/>
      <c r="F19081" s="18"/>
    </row>
    <row r="19082" spans="5:6" ht="15" customHeight="1" x14ac:dyDescent="0.2">
      <c r="E19082" s="18"/>
      <c r="F19082" s="18"/>
    </row>
    <row r="19083" spans="5:6" ht="15" customHeight="1" x14ac:dyDescent="0.2">
      <c r="E19083" s="18"/>
      <c r="F19083" s="18"/>
    </row>
    <row r="19084" spans="5:6" ht="15" customHeight="1" x14ac:dyDescent="0.2">
      <c r="E19084" s="18"/>
      <c r="F19084" s="18"/>
    </row>
    <row r="19085" spans="5:6" ht="15" customHeight="1" x14ac:dyDescent="0.2">
      <c r="E19085" s="18"/>
      <c r="F19085" s="18"/>
    </row>
    <row r="19086" spans="5:6" ht="15" customHeight="1" x14ac:dyDescent="0.2">
      <c r="E19086" s="18"/>
      <c r="F19086" s="18"/>
    </row>
    <row r="19087" spans="5:6" ht="15" customHeight="1" x14ac:dyDescent="0.2">
      <c r="E19087" s="18"/>
      <c r="F19087" s="18"/>
    </row>
    <row r="19088" spans="5:6" ht="15" customHeight="1" x14ac:dyDescent="0.2">
      <c r="E19088" s="18"/>
      <c r="F19088" s="18"/>
    </row>
    <row r="19089" spans="5:6" ht="15" customHeight="1" x14ac:dyDescent="0.2">
      <c r="E19089" s="18"/>
      <c r="F19089" s="18"/>
    </row>
    <row r="19090" spans="5:6" ht="15" customHeight="1" x14ac:dyDescent="0.2">
      <c r="E19090" s="18"/>
      <c r="F19090" s="18"/>
    </row>
    <row r="19091" spans="5:6" ht="15" customHeight="1" x14ac:dyDescent="0.2">
      <c r="E19091" s="18"/>
      <c r="F19091" s="18"/>
    </row>
    <row r="19092" spans="5:6" ht="15" customHeight="1" x14ac:dyDescent="0.2">
      <c r="E19092" s="18"/>
      <c r="F19092" s="18"/>
    </row>
    <row r="19093" spans="5:6" ht="15" customHeight="1" x14ac:dyDescent="0.2">
      <c r="E19093" s="18"/>
      <c r="F19093" s="18"/>
    </row>
    <row r="19094" spans="5:6" ht="15" customHeight="1" x14ac:dyDescent="0.2">
      <c r="E19094" s="18"/>
      <c r="F19094" s="18"/>
    </row>
    <row r="19095" spans="5:6" ht="15" customHeight="1" x14ac:dyDescent="0.2">
      <c r="E19095" s="18"/>
      <c r="F19095" s="18"/>
    </row>
    <row r="19096" spans="5:6" ht="15" customHeight="1" x14ac:dyDescent="0.2">
      <c r="E19096" s="18"/>
      <c r="F19096" s="18"/>
    </row>
    <row r="19097" spans="5:6" ht="15" customHeight="1" x14ac:dyDescent="0.2">
      <c r="E19097" s="18"/>
      <c r="F19097" s="18"/>
    </row>
    <row r="19098" spans="5:6" ht="15" customHeight="1" x14ac:dyDescent="0.2">
      <c r="E19098" s="18"/>
      <c r="F19098" s="18"/>
    </row>
    <row r="19099" spans="5:6" ht="15" customHeight="1" x14ac:dyDescent="0.2">
      <c r="E19099" s="18"/>
      <c r="F19099" s="18"/>
    </row>
    <row r="19100" spans="5:6" ht="15" customHeight="1" x14ac:dyDescent="0.2">
      <c r="E19100" s="18"/>
      <c r="F19100" s="18"/>
    </row>
    <row r="19101" spans="5:6" ht="15" customHeight="1" x14ac:dyDescent="0.2">
      <c r="E19101" s="18"/>
      <c r="F19101" s="18"/>
    </row>
    <row r="19102" spans="5:6" ht="15" customHeight="1" x14ac:dyDescent="0.2">
      <c r="E19102" s="18"/>
      <c r="F19102" s="18"/>
    </row>
    <row r="19103" spans="5:6" ht="15" customHeight="1" x14ac:dyDescent="0.2">
      <c r="E19103" s="18"/>
      <c r="F19103" s="18"/>
    </row>
    <row r="19104" spans="5:6" ht="15" customHeight="1" x14ac:dyDescent="0.2">
      <c r="E19104" s="18"/>
      <c r="F19104" s="18"/>
    </row>
    <row r="19105" spans="5:6" ht="15" customHeight="1" x14ac:dyDescent="0.2">
      <c r="E19105" s="18"/>
      <c r="F19105" s="18"/>
    </row>
    <row r="19106" spans="5:6" ht="15" customHeight="1" x14ac:dyDescent="0.2">
      <c r="E19106" s="18"/>
      <c r="F19106" s="18"/>
    </row>
    <row r="19107" spans="5:6" ht="15" customHeight="1" x14ac:dyDescent="0.2">
      <c r="E19107" s="18"/>
      <c r="F19107" s="18"/>
    </row>
    <row r="19108" spans="5:6" ht="15" customHeight="1" x14ac:dyDescent="0.2">
      <c r="E19108" s="18"/>
      <c r="F19108" s="18"/>
    </row>
    <row r="19109" spans="5:6" ht="15" customHeight="1" x14ac:dyDescent="0.2">
      <c r="E19109" s="18"/>
      <c r="F19109" s="18"/>
    </row>
    <row r="19110" spans="5:6" ht="15" customHeight="1" x14ac:dyDescent="0.2">
      <c r="E19110" s="18"/>
      <c r="F19110" s="18"/>
    </row>
    <row r="19111" spans="5:6" ht="15" customHeight="1" x14ac:dyDescent="0.2">
      <c r="E19111" s="18"/>
      <c r="F19111" s="18"/>
    </row>
    <row r="19112" spans="5:6" ht="15" customHeight="1" x14ac:dyDescent="0.2">
      <c r="E19112" s="18"/>
      <c r="F19112" s="18"/>
    </row>
    <row r="19113" spans="5:6" ht="15" customHeight="1" x14ac:dyDescent="0.2">
      <c r="E19113" s="18"/>
      <c r="F19113" s="18"/>
    </row>
    <row r="19114" spans="5:6" ht="15" customHeight="1" x14ac:dyDescent="0.2">
      <c r="E19114" s="18"/>
      <c r="F19114" s="18"/>
    </row>
    <row r="19115" spans="5:6" ht="15" customHeight="1" x14ac:dyDescent="0.2">
      <c r="E19115" s="18"/>
      <c r="F19115" s="18"/>
    </row>
    <row r="19116" spans="5:6" ht="15" customHeight="1" x14ac:dyDescent="0.2">
      <c r="E19116" s="18"/>
      <c r="F19116" s="18"/>
    </row>
    <row r="19117" spans="5:6" ht="15" customHeight="1" x14ac:dyDescent="0.2">
      <c r="E19117" s="18"/>
      <c r="F19117" s="18"/>
    </row>
    <row r="19118" spans="5:6" ht="15" customHeight="1" x14ac:dyDescent="0.2">
      <c r="E19118" s="18"/>
      <c r="F19118" s="18"/>
    </row>
    <row r="19119" spans="5:6" ht="15" customHeight="1" x14ac:dyDescent="0.2">
      <c r="E19119" s="18"/>
      <c r="F19119" s="18"/>
    </row>
    <row r="19120" spans="5:6" ht="15" customHeight="1" x14ac:dyDescent="0.2">
      <c r="E19120" s="18"/>
      <c r="F19120" s="18"/>
    </row>
    <row r="19121" spans="5:6" ht="15" customHeight="1" x14ac:dyDescent="0.2">
      <c r="E19121" s="18"/>
      <c r="F19121" s="18"/>
    </row>
    <row r="19122" spans="5:6" ht="15" customHeight="1" x14ac:dyDescent="0.2">
      <c r="E19122" s="18"/>
      <c r="F19122" s="18"/>
    </row>
    <row r="19123" spans="5:6" ht="15" customHeight="1" x14ac:dyDescent="0.2">
      <c r="E19123" s="18"/>
      <c r="F19123" s="18"/>
    </row>
    <row r="19124" spans="5:6" ht="15" customHeight="1" x14ac:dyDescent="0.2">
      <c r="E19124" s="18"/>
      <c r="F19124" s="18"/>
    </row>
    <row r="19125" spans="5:6" ht="15" customHeight="1" x14ac:dyDescent="0.2">
      <c r="E19125" s="18"/>
      <c r="F19125" s="18"/>
    </row>
    <row r="19126" spans="5:6" ht="15" customHeight="1" x14ac:dyDescent="0.2">
      <c r="E19126" s="18"/>
      <c r="F19126" s="18"/>
    </row>
    <row r="19127" spans="5:6" ht="15" customHeight="1" x14ac:dyDescent="0.2">
      <c r="E19127" s="18"/>
      <c r="F19127" s="18"/>
    </row>
    <row r="19128" spans="5:6" ht="15" customHeight="1" x14ac:dyDescent="0.2">
      <c r="E19128" s="18"/>
      <c r="F19128" s="18"/>
    </row>
    <row r="19129" spans="5:6" ht="15" customHeight="1" x14ac:dyDescent="0.2">
      <c r="E19129" s="18"/>
      <c r="F19129" s="18"/>
    </row>
    <row r="19130" spans="5:6" ht="15" customHeight="1" x14ac:dyDescent="0.2">
      <c r="E19130" s="18"/>
      <c r="F19130" s="18"/>
    </row>
    <row r="19131" spans="5:6" ht="15" customHeight="1" x14ac:dyDescent="0.2">
      <c r="E19131" s="18"/>
      <c r="F19131" s="18"/>
    </row>
    <row r="19132" spans="5:6" ht="15" customHeight="1" x14ac:dyDescent="0.2">
      <c r="E19132" s="18"/>
      <c r="F19132" s="18"/>
    </row>
    <row r="19133" spans="5:6" ht="15" customHeight="1" x14ac:dyDescent="0.2">
      <c r="E19133" s="18"/>
      <c r="F19133" s="18"/>
    </row>
    <row r="19134" spans="5:6" ht="15" customHeight="1" x14ac:dyDescent="0.2">
      <c r="E19134" s="18"/>
      <c r="F19134" s="18"/>
    </row>
    <row r="19135" spans="5:6" ht="15" customHeight="1" x14ac:dyDescent="0.2">
      <c r="E19135" s="18"/>
      <c r="F19135" s="18"/>
    </row>
    <row r="19136" spans="5:6" ht="15" customHeight="1" x14ac:dyDescent="0.2">
      <c r="E19136" s="18"/>
      <c r="F19136" s="18"/>
    </row>
    <row r="19137" spans="5:6" ht="15" customHeight="1" x14ac:dyDescent="0.2">
      <c r="E19137" s="18"/>
      <c r="F19137" s="18"/>
    </row>
    <row r="19138" spans="5:6" ht="15" customHeight="1" x14ac:dyDescent="0.2">
      <c r="E19138" s="18"/>
      <c r="F19138" s="18"/>
    </row>
    <row r="19139" spans="5:6" ht="15" customHeight="1" x14ac:dyDescent="0.2">
      <c r="E19139" s="18"/>
      <c r="F19139" s="18"/>
    </row>
    <row r="19140" spans="5:6" ht="15" customHeight="1" x14ac:dyDescent="0.2">
      <c r="E19140" s="18"/>
      <c r="F19140" s="18"/>
    </row>
    <row r="19141" spans="5:6" ht="15" customHeight="1" x14ac:dyDescent="0.2">
      <c r="E19141" s="18"/>
      <c r="F19141" s="18"/>
    </row>
    <row r="19142" spans="5:6" ht="15" customHeight="1" x14ac:dyDescent="0.2">
      <c r="E19142" s="18"/>
      <c r="F19142" s="18"/>
    </row>
    <row r="19143" spans="5:6" ht="15" customHeight="1" x14ac:dyDescent="0.2">
      <c r="E19143" s="18"/>
      <c r="F19143" s="18"/>
    </row>
    <row r="19144" spans="5:6" ht="15" customHeight="1" x14ac:dyDescent="0.2">
      <c r="E19144" s="18"/>
      <c r="F19144" s="18"/>
    </row>
    <row r="19145" spans="5:6" ht="15" customHeight="1" x14ac:dyDescent="0.2">
      <c r="E19145" s="18"/>
      <c r="F19145" s="18"/>
    </row>
    <row r="19146" spans="5:6" ht="15" customHeight="1" x14ac:dyDescent="0.2">
      <c r="E19146" s="18"/>
      <c r="F19146" s="18"/>
    </row>
    <row r="19147" spans="5:6" ht="15" customHeight="1" x14ac:dyDescent="0.2">
      <c r="E19147" s="18"/>
      <c r="F19147" s="18"/>
    </row>
    <row r="19148" spans="5:6" ht="15" customHeight="1" x14ac:dyDescent="0.2">
      <c r="E19148" s="18"/>
      <c r="F19148" s="18"/>
    </row>
    <row r="19149" spans="5:6" ht="15" customHeight="1" x14ac:dyDescent="0.2">
      <c r="E19149" s="18"/>
      <c r="F19149" s="18"/>
    </row>
    <row r="19150" spans="5:6" ht="15" customHeight="1" x14ac:dyDescent="0.2">
      <c r="E19150" s="18"/>
      <c r="F19150" s="18"/>
    </row>
    <row r="19151" spans="5:6" ht="15" customHeight="1" x14ac:dyDescent="0.2">
      <c r="E19151" s="18"/>
      <c r="F19151" s="18"/>
    </row>
    <row r="19152" spans="5:6" ht="15" customHeight="1" x14ac:dyDescent="0.2">
      <c r="E19152" s="18"/>
      <c r="F19152" s="18"/>
    </row>
    <row r="19153" spans="5:6" ht="15" customHeight="1" x14ac:dyDescent="0.2">
      <c r="E19153" s="18"/>
      <c r="F19153" s="18"/>
    </row>
    <row r="19154" spans="5:6" ht="15" customHeight="1" x14ac:dyDescent="0.2">
      <c r="E19154" s="18"/>
      <c r="F19154" s="18"/>
    </row>
    <row r="19155" spans="5:6" ht="15" customHeight="1" x14ac:dyDescent="0.2">
      <c r="E19155" s="18"/>
      <c r="F19155" s="18"/>
    </row>
    <row r="19156" spans="5:6" ht="15" customHeight="1" x14ac:dyDescent="0.2">
      <c r="E19156" s="18"/>
      <c r="F19156" s="18"/>
    </row>
    <row r="19157" spans="5:6" ht="15" customHeight="1" x14ac:dyDescent="0.2">
      <c r="E19157" s="18"/>
      <c r="F19157" s="18"/>
    </row>
    <row r="19158" spans="5:6" ht="15" customHeight="1" x14ac:dyDescent="0.2">
      <c r="E19158" s="18"/>
      <c r="F19158" s="18"/>
    </row>
    <row r="19159" spans="5:6" ht="15" customHeight="1" x14ac:dyDescent="0.2">
      <c r="E19159" s="18"/>
      <c r="F19159" s="18"/>
    </row>
    <row r="19160" spans="5:6" ht="15" customHeight="1" x14ac:dyDescent="0.2">
      <c r="E19160" s="18"/>
      <c r="F19160" s="18"/>
    </row>
    <row r="19161" spans="5:6" ht="15" customHeight="1" x14ac:dyDescent="0.2">
      <c r="E19161" s="18"/>
      <c r="F19161" s="18"/>
    </row>
    <row r="19162" spans="5:6" ht="15" customHeight="1" x14ac:dyDescent="0.2">
      <c r="E19162" s="18"/>
      <c r="F19162" s="18"/>
    </row>
    <row r="19163" spans="5:6" ht="15" customHeight="1" x14ac:dyDescent="0.2">
      <c r="E19163" s="18"/>
      <c r="F19163" s="18"/>
    </row>
    <row r="19164" spans="5:6" ht="15" customHeight="1" x14ac:dyDescent="0.2">
      <c r="E19164" s="18"/>
      <c r="F19164" s="18"/>
    </row>
    <row r="19165" spans="5:6" ht="15" customHeight="1" x14ac:dyDescent="0.2">
      <c r="E19165" s="18"/>
      <c r="F19165" s="18"/>
    </row>
    <row r="19166" spans="5:6" ht="15" customHeight="1" x14ac:dyDescent="0.2">
      <c r="E19166" s="18"/>
      <c r="F19166" s="18"/>
    </row>
    <row r="19167" spans="5:6" ht="15" customHeight="1" x14ac:dyDescent="0.2">
      <c r="E19167" s="18"/>
      <c r="F19167" s="18"/>
    </row>
    <row r="19168" spans="5:6" ht="15" customHeight="1" x14ac:dyDescent="0.2">
      <c r="E19168" s="18"/>
      <c r="F19168" s="18"/>
    </row>
    <row r="19169" spans="5:6" ht="15" customHeight="1" x14ac:dyDescent="0.2">
      <c r="E19169" s="18"/>
      <c r="F19169" s="18"/>
    </row>
    <row r="19170" spans="5:6" ht="15" customHeight="1" x14ac:dyDescent="0.2">
      <c r="E19170" s="18"/>
      <c r="F19170" s="18"/>
    </row>
    <row r="19171" spans="5:6" ht="15" customHeight="1" x14ac:dyDescent="0.2">
      <c r="E19171" s="18"/>
      <c r="F19171" s="18"/>
    </row>
    <row r="19172" spans="5:6" ht="15" customHeight="1" x14ac:dyDescent="0.2">
      <c r="E19172" s="18"/>
      <c r="F19172" s="18"/>
    </row>
    <row r="19173" spans="5:6" ht="15" customHeight="1" x14ac:dyDescent="0.2">
      <c r="E19173" s="18"/>
      <c r="F19173" s="18"/>
    </row>
    <row r="19174" spans="5:6" ht="15" customHeight="1" x14ac:dyDescent="0.2">
      <c r="E19174" s="18"/>
      <c r="F19174" s="18"/>
    </row>
    <row r="19175" spans="5:6" ht="15" customHeight="1" x14ac:dyDescent="0.2">
      <c r="E19175" s="18"/>
      <c r="F19175" s="18"/>
    </row>
    <row r="19176" spans="5:6" ht="15" customHeight="1" x14ac:dyDescent="0.2">
      <c r="E19176" s="18"/>
      <c r="F19176" s="18"/>
    </row>
    <row r="19177" spans="5:6" ht="15" customHeight="1" x14ac:dyDescent="0.2">
      <c r="E19177" s="18"/>
      <c r="F19177" s="18"/>
    </row>
    <row r="19178" spans="5:6" ht="15" customHeight="1" x14ac:dyDescent="0.2">
      <c r="E19178" s="18"/>
      <c r="F19178" s="18"/>
    </row>
    <row r="19179" spans="5:6" ht="15" customHeight="1" x14ac:dyDescent="0.2">
      <c r="E19179" s="18"/>
      <c r="F19179" s="18"/>
    </row>
    <row r="19180" spans="5:6" ht="15" customHeight="1" x14ac:dyDescent="0.2">
      <c r="E19180" s="18"/>
      <c r="F19180" s="18"/>
    </row>
    <row r="19181" spans="5:6" ht="15" customHeight="1" x14ac:dyDescent="0.2">
      <c r="E19181" s="18"/>
      <c r="F19181" s="18"/>
    </row>
    <row r="19182" spans="5:6" ht="15" customHeight="1" x14ac:dyDescent="0.2">
      <c r="E19182" s="18"/>
      <c r="F19182" s="18"/>
    </row>
    <row r="19183" spans="5:6" ht="15" customHeight="1" x14ac:dyDescent="0.2">
      <c r="E19183" s="18"/>
      <c r="F19183" s="18"/>
    </row>
    <row r="19184" spans="5:6" ht="15" customHeight="1" x14ac:dyDescent="0.2">
      <c r="E19184" s="18"/>
      <c r="F19184" s="18"/>
    </row>
    <row r="19185" spans="5:6" ht="15" customHeight="1" x14ac:dyDescent="0.2">
      <c r="E19185" s="18"/>
      <c r="F19185" s="18"/>
    </row>
    <row r="19186" spans="5:6" ht="15" customHeight="1" x14ac:dyDescent="0.2">
      <c r="E19186" s="18"/>
      <c r="F19186" s="18"/>
    </row>
    <row r="19187" spans="5:6" ht="15" customHeight="1" x14ac:dyDescent="0.2">
      <c r="E19187" s="18"/>
      <c r="F19187" s="18"/>
    </row>
    <row r="19188" spans="5:6" ht="15" customHeight="1" x14ac:dyDescent="0.2">
      <c r="E19188" s="18"/>
      <c r="F19188" s="18"/>
    </row>
    <row r="19189" spans="5:6" ht="15" customHeight="1" x14ac:dyDescent="0.2">
      <c r="E19189" s="18"/>
      <c r="F19189" s="18"/>
    </row>
    <row r="19190" spans="5:6" ht="15" customHeight="1" x14ac:dyDescent="0.2">
      <c r="E19190" s="18"/>
      <c r="F19190" s="18"/>
    </row>
    <row r="19191" spans="5:6" ht="15" customHeight="1" x14ac:dyDescent="0.2">
      <c r="E19191" s="18"/>
      <c r="F19191" s="18"/>
    </row>
    <row r="19192" spans="5:6" ht="15" customHeight="1" x14ac:dyDescent="0.2">
      <c r="E19192" s="18"/>
      <c r="F19192" s="18"/>
    </row>
    <row r="19193" spans="5:6" ht="15" customHeight="1" x14ac:dyDescent="0.2">
      <c r="E19193" s="18"/>
      <c r="F19193" s="18"/>
    </row>
    <row r="19194" spans="5:6" ht="15" customHeight="1" x14ac:dyDescent="0.2">
      <c r="E19194" s="18"/>
      <c r="F19194" s="18"/>
    </row>
    <row r="19195" spans="5:6" ht="15" customHeight="1" x14ac:dyDescent="0.2">
      <c r="E19195" s="18"/>
      <c r="F19195" s="18"/>
    </row>
    <row r="19196" spans="5:6" ht="15" customHeight="1" x14ac:dyDescent="0.2">
      <c r="E19196" s="18"/>
      <c r="F19196" s="18"/>
    </row>
    <row r="19197" spans="5:6" ht="15" customHeight="1" x14ac:dyDescent="0.2">
      <c r="E19197" s="18"/>
      <c r="F19197" s="18"/>
    </row>
    <row r="19198" spans="5:6" ht="15" customHeight="1" x14ac:dyDescent="0.2">
      <c r="E19198" s="18"/>
      <c r="F19198" s="18"/>
    </row>
    <row r="19199" spans="5:6" ht="15" customHeight="1" x14ac:dyDescent="0.2">
      <c r="E19199" s="18"/>
      <c r="F19199" s="18"/>
    </row>
    <row r="19200" spans="5:6" ht="15" customHeight="1" x14ac:dyDescent="0.2">
      <c r="E19200" s="18"/>
      <c r="F19200" s="18"/>
    </row>
    <row r="19201" spans="5:6" ht="15" customHeight="1" x14ac:dyDescent="0.2">
      <c r="E19201" s="18"/>
      <c r="F19201" s="18"/>
    </row>
    <row r="19202" spans="5:6" ht="15" customHeight="1" x14ac:dyDescent="0.2">
      <c r="E19202" s="18"/>
      <c r="F19202" s="18"/>
    </row>
    <row r="19203" spans="5:6" ht="15" customHeight="1" x14ac:dyDescent="0.2">
      <c r="E19203" s="18"/>
      <c r="F19203" s="18"/>
    </row>
    <row r="19204" spans="5:6" ht="15" customHeight="1" x14ac:dyDescent="0.2">
      <c r="E19204" s="18"/>
      <c r="F19204" s="18"/>
    </row>
    <row r="19205" spans="5:6" ht="15" customHeight="1" x14ac:dyDescent="0.2">
      <c r="E19205" s="18"/>
      <c r="F19205" s="18"/>
    </row>
    <row r="19206" spans="5:6" ht="15" customHeight="1" x14ac:dyDescent="0.2">
      <c r="E19206" s="18"/>
      <c r="F19206" s="18"/>
    </row>
    <row r="19207" spans="5:6" ht="15" customHeight="1" x14ac:dyDescent="0.2">
      <c r="E19207" s="18"/>
      <c r="F19207" s="18"/>
    </row>
    <row r="19208" spans="5:6" ht="15" customHeight="1" x14ac:dyDescent="0.2">
      <c r="E19208" s="18"/>
      <c r="F19208" s="18"/>
    </row>
    <row r="19209" spans="5:6" ht="15" customHeight="1" x14ac:dyDescent="0.2">
      <c r="E19209" s="18"/>
      <c r="F19209" s="18"/>
    </row>
    <row r="19210" spans="5:6" ht="15" customHeight="1" x14ac:dyDescent="0.2">
      <c r="E19210" s="18"/>
      <c r="F19210" s="18"/>
    </row>
    <row r="19211" spans="5:6" ht="15" customHeight="1" x14ac:dyDescent="0.2">
      <c r="E19211" s="18"/>
      <c r="F19211" s="18"/>
    </row>
    <row r="19212" spans="5:6" ht="15" customHeight="1" x14ac:dyDescent="0.2">
      <c r="E19212" s="18"/>
      <c r="F19212" s="18"/>
    </row>
    <row r="19213" spans="5:6" ht="15" customHeight="1" x14ac:dyDescent="0.2">
      <c r="E19213" s="18"/>
      <c r="F19213" s="18"/>
    </row>
    <row r="19214" spans="5:6" ht="15" customHeight="1" x14ac:dyDescent="0.2">
      <c r="E19214" s="18"/>
      <c r="F19214" s="18"/>
    </row>
    <row r="19215" spans="5:6" ht="15" customHeight="1" x14ac:dyDescent="0.2">
      <c r="E19215" s="18"/>
      <c r="F19215" s="18"/>
    </row>
    <row r="19216" spans="5:6" ht="15" customHeight="1" x14ac:dyDescent="0.2">
      <c r="E19216" s="18"/>
      <c r="F19216" s="18"/>
    </row>
    <row r="19217" spans="5:6" ht="15" customHeight="1" x14ac:dyDescent="0.2">
      <c r="E19217" s="18"/>
      <c r="F19217" s="18"/>
    </row>
    <row r="19218" spans="5:6" ht="15" customHeight="1" x14ac:dyDescent="0.2">
      <c r="E19218" s="18"/>
      <c r="F19218" s="18"/>
    </row>
    <row r="19219" spans="5:6" ht="15" customHeight="1" x14ac:dyDescent="0.2">
      <c r="E19219" s="18"/>
      <c r="F19219" s="18"/>
    </row>
    <row r="19220" spans="5:6" ht="15" customHeight="1" x14ac:dyDescent="0.2">
      <c r="E19220" s="18"/>
      <c r="F19220" s="18"/>
    </row>
    <row r="19221" spans="5:6" ht="15" customHeight="1" x14ac:dyDescent="0.2">
      <c r="E19221" s="18"/>
      <c r="F19221" s="18"/>
    </row>
    <row r="19222" spans="5:6" ht="15" customHeight="1" x14ac:dyDescent="0.2">
      <c r="E19222" s="18"/>
      <c r="F19222" s="18"/>
    </row>
    <row r="19223" spans="5:6" ht="15" customHeight="1" x14ac:dyDescent="0.2">
      <c r="E19223" s="18"/>
      <c r="F19223" s="18"/>
    </row>
    <row r="19224" spans="5:6" ht="15" customHeight="1" x14ac:dyDescent="0.2">
      <c r="E19224" s="18"/>
      <c r="F19224" s="18"/>
    </row>
    <row r="19225" spans="5:6" ht="15" customHeight="1" x14ac:dyDescent="0.2">
      <c r="E19225" s="18"/>
      <c r="F19225" s="18"/>
    </row>
    <row r="19226" spans="5:6" ht="15" customHeight="1" x14ac:dyDescent="0.2">
      <c r="E19226" s="18"/>
      <c r="F19226" s="18"/>
    </row>
    <row r="19227" spans="5:6" ht="15" customHeight="1" x14ac:dyDescent="0.2">
      <c r="E19227" s="18"/>
      <c r="F19227" s="18"/>
    </row>
    <row r="19228" spans="5:6" ht="15" customHeight="1" x14ac:dyDescent="0.2">
      <c r="E19228" s="18"/>
      <c r="F19228" s="18"/>
    </row>
    <row r="19229" spans="5:6" ht="15" customHeight="1" x14ac:dyDescent="0.2">
      <c r="E19229" s="18"/>
      <c r="F19229" s="18"/>
    </row>
    <row r="19230" spans="5:6" ht="15" customHeight="1" x14ac:dyDescent="0.2">
      <c r="E19230" s="18"/>
      <c r="F19230" s="18"/>
    </row>
    <row r="19231" spans="5:6" ht="15" customHeight="1" x14ac:dyDescent="0.2">
      <c r="E19231" s="18"/>
      <c r="F19231" s="18"/>
    </row>
    <row r="19232" spans="5:6" ht="15" customHeight="1" x14ac:dyDescent="0.2">
      <c r="E19232" s="18"/>
      <c r="F19232" s="18"/>
    </row>
    <row r="19233" spans="5:6" ht="15" customHeight="1" x14ac:dyDescent="0.2">
      <c r="E19233" s="18"/>
      <c r="F19233" s="18"/>
    </row>
    <row r="19234" spans="5:6" ht="15" customHeight="1" x14ac:dyDescent="0.2">
      <c r="E19234" s="18"/>
      <c r="F19234" s="18"/>
    </row>
    <row r="19235" spans="5:6" ht="15" customHeight="1" x14ac:dyDescent="0.2">
      <c r="E19235" s="18"/>
      <c r="F19235" s="18"/>
    </row>
    <row r="19236" spans="5:6" ht="15" customHeight="1" x14ac:dyDescent="0.2">
      <c r="E19236" s="18"/>
      <c r="F19236" s="18"/>
    </row>
    <row r="19237" spans="5:6" ht="15" customHeight="1" x14ac:dyDescent="0.2">
      <c r="E19237" s="18"/>
      <c r="F19237" s="18"/>
    </row>
    <row r="19238" spans="5:6" ht="15" customHeight="1" x14ac:dyDescent="0.2">
      <c r="E19238" s="18"/>
      <c r="F19238" s="18"/>
    </row>
    <row r="19239" spans="5:6" ht="15" customHeight="1" x14ac:dyDescent="0.2">
      <c r="E19239" s="18"/>
      <c r="F19239" s="18"/>
    </row>
    <row r="19240" spans="5:6" ht="15" customHeight="1" x14ac:dyDescent="0.2">
      <c r="E19240" s="18"/>
      <c r="F19240" s="18"/>
    </row>
    <row r="19241" spans="5:6" ht="15" customHeight="1" x14ac:dyDescent="0.2">
      <c r="E19241" s="18"/>
      <c r="F19241" s="18"/>
    </row>
    <row r="19242" spans="5:6" ht="15" customHeight="1" x14ac:dyDescent="0.2">
      <c r="E19242" s="18"/>
      <c r="F19242" s="18"/>
    </row>
    <row r="19243" spans="5:6" ht="15" customHeight="1" x14ac:dyDescent="0.2">
      <c r="E19243" s="18"/>
      <c r="F19243" s="18"/>
    </row>
    <row r="19244" spans="5:6" ht="15" customHeight="1" x14ac:dyDescent="0.2">
      <c r="E19244" s="18"/>
      <c r="F19244" s="18"/>
    </row>
    <row r="19245" spans="5:6" ht="15" customHeight="1" x14ac:dyDescent="0.2">
      <c r="E19245" s="18"/>
      <c r="F19245" s="18"/>
    </row>
    <row r="19246" spans="5:6" ht="15" customHeight="1" x14ac:dyDescent="0.2">
      <c r="E19246" s="18"/>
      <c r="F19246" s="18"/>
    </row>
    <row r="19247" spans="5:6" ht="15" customHeight="1" x14ac:dyDescent="0.2">
      <c r="E19247" s="18"/>
      <c r="F19247" s="18"/>
    </row>
    <row r="19248" spans="5:6" ht="15" customHeight="1" x14ac:dyDescent="0.2">
      <c r="E19248" s="18"/>
      <c r="F19248" s="18"/>
    </row>
    <row r="19249" spans="5:6" ht="15" customHeight="1" x14ac:dyDescent="0.2">
      <c r="E19249" s="18"/>
      <c r="F19249" s="18"/>
    </row>
    <row r="19250" spans="5:6" ht="15" customHeight="1" x14ac:dyDescent="0.2">
      <c r="E19250" s="18"/>
      <c r="F19250" s="18"/>
    </row>
    <row r="19251" spans="5:6" ht="15" customHeight="1" x14ac:dyDescent="0.2">
      <c r="E19251" s="18"/>
      <c r="F19251" s="18"/>
    </row>
    <row r="19252" spans="5:6" ht="15" customHeight="1" x14ac:dyDescent="0.2">
      <c r="E19252" s="18"/>
      <c r="F19252" s="18"/>
    </row>
    <row r="19253" spans="5:6" ht="15" customHeight="1" x14ac:dyDescent="0.2">
      <c r="E19253" s="18"/>
      <c r="F19253" s="18"/>
    </row>
    <row r="19254" spans="5:6" ht="15" customHeight="1" x14ac:dyDescent="0.2">
      <c r="E19254" s="18"/>
      <c r="F19254" s="18"/>
    </row>
    <row r="19255" spans="5:6" ht="15" customHeight="1" x14ac:dyDescent="0.2">
      <c r="E19255" s="18"/>
      <c r="F19255" s="18"/>
    </row>
    <row r="19256" spans="5:6" ht="15" customHeight="1" x14ac:dyDescent="0.2">
      <c r="E19256" s="18"/>
      <c r="F19256" s="18"/>
    </row>
    <row r="19257" spans="5:6" ht="15" customHeight="1" x14ac:dyDescent="0.2">
      <c r="E19257" s="18"/>
      <c r="F19257" s="18"/>
    </row>
    <row r="19258" spans="5:6" ht="15" customHeight="1" x14ac:dyDescent="0.2">
      <c r="E19258" s="18"/>
      <c r="F19258" s="18"/>
    </row>
    <row r="19259" spans="5:6" ht="15" customHeight="1" x14ac:dyDescent="0.2">
      <c r="E19259" s="18"/>
      <c r="F19259" s="18"/>
    </row>
    <row r="19260" spans="5:6" ht="15" customHeight="1" x14ac:dyDescent="0.2">
      <c r="E19260" s="18"/>
      <c r="F19260" s="18"/>
    </row>
    <row r="19261" spans="5:6" ht="15" customHeight="1" x14ac:dyDescent="0.2">
      <c r="E19261" s="18"/>
      <c r="F19261" s="18"/>
    </row>
    <row r="19262" spans="5:6" ht="15" customHeight="1" x14ac:dyDescent="0.2">
      <c r="E19262" s="18"/>
      <c r="F19262" s="18"/>
    </row>
    <row r="19263" spans="5:6" ht="15" customHeight="1" x14ac:dyDescent="0.2">
      <c r="E19263" s="18"/>
      <c r="F19263" s="18"/>
    </row>
    <row r="19264" spans="5:6" ht="15" customHeight="1" x14ac:dyDescent="0.2">
      <c r="E19264" s="18"/>
      <c r="F19264" s="18"/>
    </row>
    <row r="19265" spans="5:6" ht="15" customHeight="1" x14ac:dyDescent="0.2">
      <c r="E19265" s="18"/>
      <c r="F19265" s="18"/>
    </row>
    <row r="19266" spans="5:6" ht="15" customHeight="1" x14ac:dyDescent="0.2">
      <c r="E19266" s="18"/>
      <c r="F19266" s="18"/>
    </row>
    <row r="19267" spans="5:6" ht="15" customHeight="1" x14ac:dyDescent="0.2">
      <c r="E19267" s="18"/>
      <c r="F19267" s="18"/>
    </row>
    <row r="19268" spans="5:6" ht="15" customHeight="1" x14ac:dyDescent="0.2">
      <c r="E19268" s="18"/>
      <c r="F19268" s="18"/>
    </row>
    <row r="19269" spans="5:6" ht="15" customHeight="1" x14ac:dyDescent="0.2">
      <c r="E19269" s="18"/>
      <c r="F19269" s="18"/>
    </row>
    <row r="19270" spans="5:6" ht="15" customHeight="1" x14ac:dyDescent="0.2">
      <c r="E19270" s="18"/>
      <c r="F19270" s="18"/>
    </row>
    <row r="19271" spans="5:6" ht="15" customHeight="1" x14ac:dyDescent="0.2">
      <c r="E19271" s="18"/>
      <c r="F19271" s="18"/>
    </row>
    <row r="19272" spans="5:6" ht="15" customHeight="1" x14ac:dyDescent="0.2">
      <c r="E19272" s="18"/>
      <c r="F19272" s="18"/>
    </row>
    <row r="19273" spans="5:6" ht="15" customHeight="1" x14ac:dyDescent="0.2">
      <c r="E19273" s="18"/>
      <c r="F19273" s="18"/>
    </row>
    <row r="19274" spans="5:6" ht="15" customHeight="1" x14ac:dyDescent="0.2">
      <c r="E19274" s="18"/>
      <c r="F19274" s="18"/>
    </row>
    <row r="19275" spans="5:6" ht="15" customHeight="1" x14ac:dyDescent="0.2">
      <c r="E19275" s="18"/>
      <c r="F19275" s="18"/>
    </row>
    <row r="19276" spans="5:6" ht="15" customHeight="1" x14ac:dyDescent="0.2">
      <c r="E19276" s="18"/>
      <c r="F19276" s="18"/>
    </row>
    <row r="19277" spans="5:6" ht="15" customHeight="1" x14ac:dyDescent="0.2">
      <c r="E19277" s="18"/>
      <c r="F19277" s="18"/>
    </row>
    <row r="19278" spans="5:6" ht="15" customHeight="1" x14ac:dyDescent="0.2">
      <c r="E19278" s="18"/>
      <c r="F19278" s="18"/>
    </row>
    <row r="19279" spans="5:6" ht="15" customHeight="1" x14ac:dyDescent="0.2">
      <c r="E19279" s="18"/>
      <c r="F19279" s="18"/>
    </row>
    <row r="19280" spans="5:6" ht="15" customHeight="1" x14ac:dyDescent="0.2">
      <c r="E19280" s="18"/>
      <c r="F19280" s="18"/>
    </row>
    <row r="19281" spans="5:6" ht="15" customHeight="1" x14ac:dyDescent="0.2">
      <c r="E19281" s="18"/>
      <c r="F19281" s="18"/>
    </row>
    <row r="19282" spans="5:6" ht="15" customHeight="1" x14ac:dyDescent="0.2">
      <c r="E19282" s="18"/>
      <c r="F19282" s="18"/>
    </row>
    <row r="19283" spans="5:6" ht="15" customHeight="1" x14ac:dyDescent="0.2">
      <c r="E19283" s="18"/>
      <c r="F19283" s="18"/>
    </row>
    <row r="19284" spans="5:6" ht="15" customHeight="1" x14ac:dyDescent="0.2">
      <c r="E19284" s="18"/>
      <c r="F19284" s="18"/>
    </row>
    <row r="19285" spans="5:6" ht="15" customHeight="1" x14ac:dyDescent="0.2">
      <c r="E19285" s="18"/>
      <c r="F19285" s="18"/>
    </row>
    <row r="19286" spans="5:6" ht="15" customHeight="1" x14ac:dyDescent="0.2">
      <c r="E19286" s="18"/>
      <c r="F19286" s="18"/>
    </row>
    <row r="19287" spans="5:6" ht="15" customHeight="1" x14ac:dyDescent="0.2">
      <c r="E19287" s="18"/>
      <c r="F19287" s="18"/>
    </row>
    <row r="19288" spans="5:6" ht="15" customHeight="1" x14ac:dyDescent="0.2">
      <c r="E19288" s="18"/>
      <c r="F19288" s="18"/>
    </row>
    <row r="19289" spans="5:6" ht="15" customHeight="1" x14ac:dyDescent="0.2">
      <c r="E19289" s="18"/>
      <c r="F19289" s="18"/>
    </row>
    <row r="19290" spans="5:6" ht="15" customHeight="1" x14ac:dyDescent="0.2">
      <c r="E19290" s="18"/>
      <c r="F19290" s="18"/>
    </row>
    <row r="19291" spans="5:6" ht="15" customHeight="1" x14ac:dyDescent="0.2">
      <c r="E19291" s="18"/>
      <c r="F19291" s="18"/>
    </row>
    <row r="19292" spans="5:6" ht="15" customHeight="1" x14ac:dyDescent="0.2">
      <c r="E19292" s="18"/>
      <c r="F19292" s="18"/>
    </row>
    <row r="19293" spans="5:6" ht="15" customHeight="1" x14ac:dyDescent="0.2">
      <c r="E19293" s="18"/>
      <c r="F19293" s="18"/>
    </row>
    <row r="19294" spans="5:6" ht="15" customHeight="1" x14ac:dyDescent="0.2">
      <c r="E19294" s="18"/>
      <c r="F19294" s="18"/>
    </row>
    <row r="19295" spans="5:6" ht="15" customHeight="1" x14ac:dyDescent="0.2">
      <c r="E19295" s="18"/>
      <c r="F19295" s="18"/>
    </row>
    <row r="19296" spans="5:6" ht="15" customHeight="1" x14ac:dyDescent="0.2">
      <c r="E19296" s="18"/>
      <c r="F19296" s="18"/>
    </row>
    <row r="19297" spans="5:6" ht="15" customHeight="1" x14ac:dyDescent="0.2">
      <c r="E19297" s="18"/>
      <c r="F19297" s="18"/>
    </row>
    <row r="19298" spans="5:6" ht="15" customHeight="1" x14ac:dyDescent="0.2">
      <c r="E19298" s="18"/>
      <c r="F19298" s="18"/>
    </row>
    <row r="19299" spans="5:6" ht="15" customHeight="1" x14ac:dyDescent="0.2">
      <c r="E19299" s="18"/>
      <c r="F19299" s="18"/>
    </row>
    <row r="19300" spans="5:6" ht="15" customHeight="1" x14ac:dyDescent="0.2">
      <c r="E19300" s="18"/>
      <c r="F19300" s="18"/>
    </row>
    <row r="19301" spans="5:6" ht="15" customHeight="1" x14ac:dyDescent="0.2">
      <c r="E19301" s="18"/>
      <c r="F19301" s="18"/>
    </row>
    <row r="19302" spans="5:6" ht="15" customHeight="1" x14ac:dyDescent="0.2">
      <c r="E19302" s="18"/>
      <c r="F19302" s="18"/>
    </row>
    <row r="19303" spans="5:6" ht="15" customHeight="1" x14ac:dyDescent="0.2">
      <c r="E19303" s="18"/>
      <c r="F19303" s="18"/>
    </row>
    <row r="19304" spans="5:6" ht="15" customHeight="1" x14ac:dyDescent="0.2">
      <c r="E19304" s="18"/>
      <c r="F19304" s="18"/>
    </row>
    <row r="19305" spans="5:6" ht="15" customHeight="1" x14ac:dyDescent="0.2">
      <c r="E19305" s="18"/>
      <c r="F19305" s="18"/>
    </row>
    <row r="19306" spans="5:6" ht="15" customHeight="1" x14ac:dyDescent="0.2">
      <c r="E19306" s="18"/>
      <c r="F19306" s="18"/>
    </row>
    <row r="19307" spans="5:6" ht="15" customHeight="1" x14ac:dyDescent="0.2">
      <c r="E19307" s="18"/>
      <c r="F19307" s="18"/>
    </row>
    <row r="19308" spans="5:6" ht="15" customHeight="1" x14ac:dyDescent="0.2">
      <c r="E19308" s="18"/>
      <c r="F19308" s="18"/>
    </row>
    <row r="19309" spans="5:6" ht="15" customHeight="1" x14ac:dyDescent="0.2">
      <c r="E19309" s="18"/>
      <c r="F19309" s="18"/>
    </row>
    <row r="19310" spans="5:6" ht="15" customHeight="1" x14ac:dyDescent="0.2">
      <c r="E19310" s="18"/>
      <c r="F19310" s="18"/>
    </row>
    <row r="19311" spans="5:6" ht="15" customHeight="1" x14ac:dyDescent="0.2">
      <c r="E19311" s="18"/>
      <c r="F19311" s="18"/>
    </row>
    <row r="19312" spans="5:6" ht="15" customHeight="1" x14ac:dyDescent="0.2">
      <c r="E19312" s="18"/>
      <c r="F19312" s="18"/>
    </row>
    <row r="19313" spans="5:6" ht="15" customHeight="1" x14ac:dyDescent="0.2">
      <c r="E19313" s="18"/>
      <c r="F19313" s="18"/>
    </row>
    <row r="19314" spans="5:6" ht="15" customHeight="1" x14ac:dyDescent="0.2">
      <c r="E19314" s="18"/>
      <c r="F19314" s="18"/>
    </row>
    <row r="19315" spans="5:6" ht="15" customHeight="1" x14ac:dyDescent="0.2">
      <c r="E19315" s="18"/>
      <c r="F19315" s="18"/>
    </row>
    <row r="19316" spans="5:6" ht="15" customHeight="1" x14ac:dyDescent="0.2">
      <c r="E19316" s="18"/>
      <c r="F19316" s="18"/>
    </row>
    <row r="19317" spans="5:6" ht="15" customHeight="1" x14ac:dyDescent="0.2">
      <c r="E19317" s="18"/>
      <c r="F19317" s="18"/>
    </row>
    <row r="19318" spans="5:6" ht="15" customHeight="1" x14ac:dyDescent="0.2">
      <c r="E19318" s="18"/>
      <c r="F19318" s="18"/>
    </row>
    <row r="19319" spans="5:6" ht="15" customHeight="1" x14ac:dyDescent="0.2">
      <c r="E19319" s="18"/>
      <c r="F19319" s="18"/>
    </row>
    <row r="19320" spans="5:6" ht="15" customHeight="1" x14ac:dyDescent="0.2">
      <c r="E19320" s="18"/>
      <c r="F19320" s="18"/>
    </row>
    <row r="19321" spans="5:6" ht="15" customHeight="1" x14ac:dyDescent="0.2">
      <c r="E19321" s="18"/>
      <c r="F19321" s="18"/>
    </row>
    <row r="19322" spans="5:6" ht="15" customHeight="1" x14ac:dyDescent="0.2">
      <c r="E19322" s="18"/>
      <c r="F19322" s="18"/>
    </row>
    <row r="19323" spans="5:6" ht="15" customHeight="1" x14ac:dyDescent="0.2">
      <c r="E19323" s="18"/>
      <c r="F19323" s="18"/>
    </row>
    <row r="19324" spans="5:6" ht="15" customHeight="1" x14ac:dyDescent="0.2">
      <c r="E19324" s="18"/>
      <c r="F19324" s="18"/>
    </row>
    <row r="19325" spans="5:6" ht="15" customHeight="1" x14ac:dyDescent="0.2">
      <c r="E19325" s="18"/>
      <c r="F19325" s="18"/>
    </row>
    <row r="19326" spans="5:6" ht="15" customHeight="1" x14ac:dyDescent="0.2">
      <c r="E19326" s="18"/>
      <c r="F19326" s="18"/>
    </row>
    <row r="19327" spans="5:6" ht="15" customHeight="1" x14ac:dyDescent="0.2">
      <c r="E19327" s="18"/>
      <c r="F19327" s="18"/>
    </row>
    <row r="19328" spans="5:6" ht="15" customHeight="1" x14ac:dyDescent="0.2">
      <c r="E19328" s="18"/>
      <c r="F19328" s="18"/>
    </row>
    <row r="19329" spans="5:6" ht="15" customHeight="1" x14ac:dyDescent="0.2">
      <c r="E19329" s="18"/>
      <c r="F19329" s="18"/>
    </row>
    <row r="19330" spans="5:6" ht="15" customHeight="1" x14ac:dyDescent="0.2">
      <c r="E19330" s="18"/>
      <c r="F19330" s="18"/>
    </row>
    <row r="19331" spans="5:6" ht="15" customHeight="1" x14ac:dyDescent="0.2">
      <c r="E19331" s="18"/>
      <c r="F19331" s="18"/>
    </row>
    <row r="19332" spans="5:6" ht="15" customHeight="1" x14ac:dyDescent="0.2">
      <c r="E19332" s="18"/>
      <c r="F19332" s="18"/>
    </row>
    <row r="19333" spans="5:6" ht="15" customHeight="1" x14ac:dyDescent="0.2">
      <c r="E19333" s="18"/>
      <c r="F19333" s="18"/>
    </row>
    <row r="19334" spans="5:6" ht="15" customHeight="1" x14ac:dyDescent="0.2">
      <c r="E19334" s="18"/>
      <c r="F19334" s="18"/>
    </row>
    <row r="19335" spans="5:6" ht="15" customHeight="1" x14ac:dyDescent="0.2">
      <c r="E19335" s="18"/>
      <c r="F19335" s="18"/>
    </row>
    <row r="19336" spans="5:6" ht="15" customHeight="1" x14ac:dyDescent="0.2">
      <c r="E19336" s="18"/>
      <c r="F19336" s="18"/>
    </row>
    <row r="19337" spans="5:6" ht="15" customHeight="1" x14ac:dyDescent="0.2">
      <c r="E19337" s="18"/>
      <c r="F19337" s="18"/>
    </row>
    <row r="19338" spans="5:6" ht="15" customHeight="1" x14ac:dyDescent="0.2">
      <c r="E19338" s="18"/>
      <c r="F19338" s="18"/>
    </row>
    <row r="19339" spans="5:6" ht="15" customHeight="1" x14ac:dyDescent="0.2">
      <c r="E19339" s="18"/>
      <c r="F19339" s="18"/>
    </row>
    <row r="19340" spans="5:6" ht="15" customHeight="1" x14ac:dyDescent="0.2">
      <c r="E19340" s="18"/>
      <c r="F19340" s="18"/>
    </row>
    <row r="19341" spans="5:6" ht="15" customHeight="1" x14ac:dyDescent="0.2">
      <c r="E19341" s="18"/>
      <c r="F19341" s="18"/>
    </row>
    <row r="19342" spans="5:6" ht="15" customHeight="1" x14ac:dyDescent="0.2">
      <c r="E19342" s="18"/>
      <c r="F19342" s="18"/>
    </row>
    <row r="19343" spans="5:6" ht="15" customHeight="1" x14ac:dyDescent="0.2">
      <c r="E19343" s="18"/>
      <c r="F19343" s="18"/>
    </row>
    <row r="19344" spans="5:6" ht="15" customHeight="1" x14ac:dyDescent="0.2">
      <c r="E19344" s="18"/>
      <c r="F19344" s="18"/>
    </row>
    <row r="19345" spans="5:6" ht="15" customHeight="1" x14ac:dyDescent="0.2">
      <c r="E19345" s="18"/>
      <c r="F19345" s="18"/>
    </row>
    <row r="19346" spans="5:6" ht="15" customHeight="1" x14ac:dyDescent="0.2">
      <c r="E19346" s="18"/>
      <c r="F19346" s="18"/>
    </row>
    <row r="19347" spans="5:6" ht="15" customHeight="1" x14ac:dyDescent="0.2">
      <c r="E19347" s="18"/>
      <c r="F19347" s="18"/>
    </row>
    <row r="19348" spans="5:6" ht="15" customHeight="1" x14ac:dyDescent="0.2">
      <c r="E19348" s="18"/>
      <c r="F19348" s="18"/>
    </row>
    <row r="19349" spans="5:6" ht="15" customHeight="1" x14ac:dyDescent="0.2">
      <c r="E19349" s="18"/>
      <c r="F19349" s="18"/>
    </row>
    <row r="19350" spans="5:6" ht="15" customHeight="1" x14ac:dyDescent="0.2">
      <c r="E19350" s="18"/>
      <c r="F19350" s="18"/>
    </row>
    <row r="19351" spans="5:6" ht="15" customHeight="1" x14ac:dyDescent="0.2">
      <c r="E19351" s="18"/>
      <c r="F19351" s="18"/>
    </row>
    <row r="19352" spans="5:6" ht="15" customHeight="1" x14ac:dyDescent="0.2">
      <c r="E19352" s="18"/>
      <c r="F19352" s="18"/>
    </row>
    <row r="19353" spans="5:6" ht="15" customHeight="1" x14ac:dyDescent="0.2">
      <c r="E19353" s="18"/>
      <c r="F19353" s="18"/>
    </row>
    <row r="19354" spans="5:6" ht="15" customHeight="1" x14ac:dyDescent="0.2">
      <c r="E19354" s="18"/>
      <c r="F19354" s="18"/>
    </row>
    <row r="19355" spans="5:6" ht="15" customHeight="1" x14ac:dyDescent="0.2">
      <c r="E19355" s="18"/>
      <c r="F19355" s="18"/>
    </row>
    <row r="19356" spans="5:6" ht="15" customHeight="1" x14ac:dyDescent="0.2">
      <c r="E19356" s="18"/>
      <c r="F19356" s="18"/>
    </row>
    <row r="19357" spans="5:6" ht="15" customHeight="1" x14ac:dyDescent="0.2">
      <c r="E19357" s="18"/>
      <c r="F19357" s="18"/>
    </row>
    <row r="19358" spans="5:6" ht="15" customHeight="1" x14ac:dyDescent="0.2">
      <c r="E19358" s="18"/>
      <c r="F19358" s="18"/>
    </row>
    <row r="19359" spans="5:6" ht="15" customHeight="1" x14ac:dyDescent="0.2">
      <c r="E19359" s="18"/>
      <c r="F19359" s="18"/>
    </row>
    <row r="19360" spans="5:6" ht="15" customHeight="1" x14ac:dyDescent="0.2">
      <c r="E19360" s="18"/>
      <c r="F19360" s="18"/>
    </row>
    <row r="19361" spans="5:6" ht="15" customHeight="1" x14ac:dyDescent="0.2">
      <c r="E19361" s="18"/>
      <c r="F19361" s="18"/>
    </row>
    <row r="19362" spans="5:6" ht="15" customHeight="1" x14ac:dyDescent="0.2">
      <c r="E19362" s="18"/>
      <c r="F19362" s="18"/>
    </row>
    <row r="19363" spans="5:6" ht="15" customHeight="1" x14ac:dyDescent="0.2">
      <c r="E19363" s="18"/>
      <c r="F19363" s="18"/>
    </row>
    <row r="19364" spans="5:6" ht="15" customHeight="1" x14ac:dyDescent="0.2">
      <c r="E19364" s="18"/>
      <c r="F19364" s="18"/>
    </row>
    <row r="19365" spans="5:6" ht="15" customHeight="1" x14ac:dyDescent="0.2">
      <c r="E19365" s="18"/>
      <c r="F19365" s="18"/>
    </row>
    <row r="19366" spans="5:6" ht="15" customHeight="1" x14ac:dyDescent="0.2">
      <c r="E19366" s="18"/>
      <c r="F19366" s="18"/>
    </row>
    <row r="19367" spans="5:6" ht="15" customHeight="1" x14ac:dyDescent="0.2">
      <c r="E19367" s="18"/>
      <c r="F19367" s="18"/>
    </row>
    <row r="19368" spans="5:6" ht="15" customHeight="1" x14ac:dyDescent="0.2">
      <c r="E19368" s="18"/>
      <c r="F19368" s="18"/>
    </row>
    <row r="19369" spans="5:6" ht="15" customHeight="1" x14ac:dyDescent="0.2">
      <c r="E19369" s="18"/>
      <c r="F19369" s="18"/>
    </row>
    <row r="19370" spans="5:6" ht="15" customHeight="1" x14ac:dyDescent="0.2">
      <c r="E19370" s="18"/>
      <c r="F19370" s="18"/>
    </row>
    <row r="19371" spans="5:6" ht="15" customHeight="1" x14ac:dyDescent="0.2">
      <c r="E19371" s="18"/>
      <c r="F19371" s="18"/>
    </row>
    <row r="19372" spans="5:6" ht="15" customHeight="1" x14ac:dyDescent="0.2">
      <c r="E19372" s="18"/>
      <c r="F19372" s="18"/>
    </row>
    <row r="19373" spans="5:6" ht="15" customHeight="1" x14ac:dyDescent="0.2">
      <c r="E19373" s="18"/>
      <c r="F19373" s="18"/>
    </row>
    <row r="19374" spans="5:6" ht="15" customHeight="1" x14ac:dyDescent="0.2">
      <c r="E19374" s="18"/>
      <c r="F19374" s="18"/>
    </row>
    <row r="19375" spans="5:6" ht="15" customHeight="1" x14ac:dyDescent="0.2">
      <c r="E19375" s="18"/>
      <c r="F19375" s="18"/>
    </row>
    <row r="19376" spans="5:6" ht="15" customHeight="1" x14ac:dyDescent="0.2">
      <c r="E19376" s="18"/>
      <c r="F19376" s="18"/>
    </row>
    <row r="19377" spans="5:6" ht="15" customHeight="1" x14ac:dyDescent="0.2">
      <c r="E19377" s="18"/>
      <c r="F19377" s="18"/>
    </row>
    <row r="19378" spans="5:6" ht="15" customHeight="1" x14ac:dyDescent="0.2">
      <c r="E19378" s="18"/>
      <c r="F19378" s="18"/>
    </row>
    <row r="19379" spans="5:6" ht="15" customHeight="1" x14ac:dyDescent="0.2">
      <c r="E19379" s="18"/>
      <c r="F19379" s="18"/>
    </row>
    <row r="19380" spans="5:6" ht="15" customHeight="1" x14ac:dyDescent="0.2">
      <c r="E19380" s="18"/>
      <c r="F19380" s="18"/>
    </row>
    <row r="19381" spans="5:6" ht="15" customHeight="1" x14ac:dyDescent="0.2">
      <c r="E19381" s="18"/>
      <c r="F19381" s="18"/>
    </row>
    <row r="19382" spans="5:6" ht="15" customHeight="1" x14ac:dyDescent="0.2">
      <c r="E19382" s="18"/>
      <c r="F19382" s="18"/>
    </row>
    <row r="19383" spans="5:6" ht="15" customHeight="1" x14ac:dyDescent="0.2">
      <c r="E19383" s="18"/>
      <c r="F19383" s="18"/>
    </row>
    <row r="19384" spans="5:6" ht="15" customHeight="1" x14ac:dyDescent="0.2">
      <c r="E19384" s="18"/>
      <c r="F19384" s="18"/>
    </row>
    <row r="19385" spans="5:6" ht="15" customHeight="1" x14ac:dyDescent="0.2">
      <c r="E19385" s="18"/>
      <c r="F19385" s="18"/>
    </row>
    <row r="19386" spans="5:6" ht="15" customHeight="1" x14ac:dyDescent="0.2">
      <c r="E19386" s="18"/>
      <c r="F19386" s="18"/>
    </row>
    <row r="19387" spans="5:6" ht="15" customHeight="1" x14ac:dyDescent="0.2">
      <c r="E19387" s="18"/>
      <c r="F19387" s="18"/>
    </row>
    <row r="19388" spans="5:6" ht="15" customHeight="1" x14ac:dyDescent="0.2">
      <c r="E19388" s="18"/>
      <c r="F19388" s="18"/>
    </row>
    <row r="19389" spans="5:6" ht="15" customHeight="1" x14ac:dyDescent="0.2">
      <c r="E19389" s="18"/>
      <c r="F19389" s="18"/>
    </row>
    <row r="19390" spans="5:6" ht="15" customHeight="1" x14ac:dyDescent="0.2">
      <c r="E19390" s="18"/>
      <c r="F19390" s="18"/>
    </row>
    <row r="19391" spans="5:6" ht="15" customHeight="1" x14ac:dyDescent="0.2">
      <c r="E19391" s="18"/>
      <c r="F19391" s="18"/>
    </row>
    <row r="19392" spans="5:6" ht="15" customHeight="1" x14ac:dyDescent="0.2">
      <c r="E19392" s="18"/>
      <c r="F19392" s="18"/>
    </row>
    <row r="19393" spans="5:6" ht="15" customHeight="1" x14ac:dyDescent="0.2">
      <c r="E19393" s="18"/>
      <c r="F19393" s="18"/>
    </row>
    <row r="19394" spans="5:6" ht="15" customHeight="1" x14ac:dyDescent="0.2">
      <c r="E19394" s="18"/>
      <c r="F19394" s="18"/>
    </row>
    <row r="19395" spans="5:6" ht="15" customHeight="1" x14ac:dyDescent="0.2">
      <c r="E19395" s="18"/>
      <c r="F19395" s="18"/>
    </row>
    <row r="19396" spans="5:6" ht="15" customHeight="1" x14ac:dyDescent="0.2">
      <c r="E19396" s="18"/>
      <c r="F19396" s="18"/>
    </row>
    <row r="19397" spans="5:6" ht="15" customHeight="1" x14ac:dyDescent="0.2">
      <c r="E19397" s="18"/>
      <c r="F19397" s="18"/>
    </row>
    <row r="19398" spans="5:6" ht="15" customHeight="1" x14ac:dyDescent="0.2">
      <c r="E19398" s="18"/>
      <c r="F19398" s="18"/>
    </row>
    <row r="19399" spans="5:6" ht="15" customHeight="1" x14ac:dyDescent="0.2">
      <c r="E19399" s="18"/>
      <c r="F19399" s="18"/>
    </row>
    <row r="19400" spans="5:6" ht="15" customHeight="1" x14ac:dyDescent="0.2">
      <c r="E19400" s="18"/>
      <c r="F19400" s="18"/>
    </row>
    <row r="19401" spans="5:6" ht="15" customHeight="1" x14ac:dyDescent="0.2">
      <c r="E19401" s="18"/>
      <c r="F19401" s="18"/>
    </row>
    <row r="19402" spans="5:6" ht="15" customHeight="1" x14ac:dyDescent="0.2">
      <c r="E19402" s="18"/>
      <c r="F19402" s="18"/>
    </row>
    <row r="19403" spans="5:6" ht="15" customHeight="1" x14ac:dyDescent="0.2">
      <c r="E19403" s="18"/>
      <c r="F19403" s="18"/>
    </row>
    <row r="19404" spans="5:6" ht="15" customHeight="1" x14ac:dyDescent="0.2">
      <c r="E19404" s="18"/>
      <c r="F19404" s="18"/>
    </row>
    <row r="19405" spans="5:6" ht="15" customHeight="1" x14ac:dyDescent="0.2">
      <c r="E19405" s="18"/>
      <c r="F19405" s="18"/>
    </row>
    <row r="19406" spans="5:6" ht="15" customHeight="1" x14ac:dyDescent="0.2">
      <c r="E19406" s="18"/>
      <c r="F19406" s="18"/>
    </row>
    <row r="19407" spans="5:6" ht="15" customHeight="1" x14ac:dyDescent="0.2">
      <c r="E19407" s="18"/>
      <c r="F19407" s="18"/>
    </row>
    <row r="19408" spans="5:6" ht="15" customHeight="1" x14ac:dyDescent="0.2">
      <c r="E19408" s="18"/>
      <c r="F19408" s="18"/>
    </row>
    <row r="19409" spans="5:6" ht="15" customHeight="1" x14ac:dyDescent="0.2">
      <c r="E19409" s="18"/>
      <c r="F19409" s="18"/>
    </row>
    <row r="19410" spans="5:6" ht="15" customHeight="1" x14ac:dyDescent="0.2">
      <c r="E19410" s="18"/>
      <c r="F19410" s="18"/>
    </row>
    <row r="19411" spans="5:6" ht="15" customHeight="1" x14ac:dyDescent="0.2">
      <c r="E19411" s="18"/>
      <c r="F19411" s="18"/>
    </row>
    <row r="19412" spans="5:6" ht="15" customHeight="1" x14ac:dyDescent="0.2">
      <c r="E19412" s="18"/>
      <c r="F19412" s="18"/>
    </row>
    <row r="19413" spans="5:6" ht="15" customHeight="1" x14ac:dyDescent="0.2">
      <c r="E19413" s="18"/>
      <c r="F19413" s="18"/>
    </row>
    <row r="19414" spans="5:6" ht="15" customHeight="1" x14ac:dyDescent="0.2">
      <c r="E19414" s="18"/>
      <c r="F19414" s="18"/>
    </row>
    <row r="19415" spans="5:6" ht="15" customHeight="1" x14ac:dyDescent="0.2">
      <c r="E19415" s="18"/>
      <c r="F19415" s="18"/>
    </row>
    <row r="19416" spans="5:6" ht="15" customHeight="1" x14ac:dyDescent="0.2">
      <c r="E19416" s="18"/>
      <c r="F19416" s="18"/>
    </row>
    <row r="19417" spans="5:6" ht="15" customHeight="1" x14ac:dyDescent="0.2">
      <c r="E19417" s="18"/>
      <c r="F19417" s="18"/>
    </row>
    <row r="19418" spans="5:6" ht="15" customHeight="1" x14ac:dyDescent="0.2">
      <c r="E19418" s="18"/>
      <c r="F19418" s="18"/>
    </row>
    <row r="19419" spans="5:6" ht="15" customHeight="1" x14ac:dyDescent="0.2">
      <c r="E19419" s="18"/>
      <c r="F19419" s="18"/>
    </row>
    <row r="19420" spans="5:6" ht="15" customHeight="1" x14ac:dyDescent="0.2">
      <c r="E19420" s="18"/>
      <c r="F19420" s="18"/>
    </row>
    <row r="19421" spans="5:6" ht="15" customHeight="1" x14ac:dyDescent="0.2">
      <c r="E19421" s="18"/>
      <c r="F19421" s="18"/>
    </row>
    <row r="19422" spans="5:6" ht="15" customHeight="1" x14ac:dyDescent="0.2">
      <c r="E19422" s="18"/>
      <c r="F19422" s="18"/>
    </row>
    <row r="19423" spans="5:6" ht="15" customHeight="1" x14ac:dyDescent="0.2">
      <c r="E19423" s="18"/>
      <c r="F19423" s="18"/>
    </row>
    <row r="19424" spans="5:6" ht="15" customHeight="1" x14ac:dyDescent="0.2">
      <c r="E19424" s="18"/>
      <c r="F19424" s="18"/>
    </row>
    <row r="19425" spans="5:6" ht="15" customHeight="1" x14ac:dyDescent="0.2">
      <c r="E19425" s="18"/>
      <c r="F19425" s="18"/>
    </row>
    <row r="19426" spans="5:6" ht="15" customHeight="1" x14ac:dyDescent="0.2">
      <c r="E19426" s="18"/>
      <c r="F19426" s="18"/>
    </row>
    <row r="19427" spans="5:6" ht="15" customHeight="1" x14ac:dyDescent="0.2">
      <c r="E19427" s="18"/>
      <c r="F19427" s="18"/>
    </row>
    <row r="19428" spans="5:6" ht="15" customHeight="1" x14ac:dyDescent="0.2">
      <c r="E19428" s="18"/>
      <c r="F19428" s="18"/>
    </row>
    <row r="19429" spans="5:6" ht="15" customHeight="1" x14ac:dyDescent="0.2">
      <c r="E19429" s="18"/>
      <c r="F19429" s="18"/>
    </row>
    <row r="19430" spans="5:6" ht="15" customHeight="1" x14ac:dyDescent="0.2">
      <c r="E19430" s="18"/>
      <c r="F19430" s="18"/>
    </row>
    <row r="19431" spans="5:6" ht="15" customHeight="1" x14ac:dyDescent="0.2">
      <c r="E19431" s="18"/>
      <c r="F19431" s="18"/>
    </row>
    <row r="19432" spans="5:6" ht="15" customHeight="1" x14ac:dyDescent="0.2">
      <c r="E19432" s="18"/>
      <c r="F19432" s="18"/>
    </row>
    <row r="19433" spans="5:6" ht="15" customHeight="1" x14ac:dyDescent="0.2">
      <c r="E19433" s="18"/>
      <c r="F19433" s="18"/>
    </row>
    <row r="19434" spans="5:6" ht="15" customHeight="1" x14ac:dyDescent="0.2">
      <c r="E19434" s="18"/>
      <c r="F19434" s="18"/>
    </row>
    <row r="19435" spans="5:6" ht="15" customHeight="1" x14ac:dyDescent="0.2">
      <c r="E19435" s="18"/>
      <c r="F19435" s="18"/>
    </row>
    <row r="19436" spans="5:6" ht="15" customHeight="1" x14ac:dyDescent="0.2">
      <c r="E19436" s="18"/>
      <c r="F19436" s="18"/>
    </row>
    <row r="19437" spans="5:6" ht="15" customHeight="1" x14ac:dyDescent="0.2">
      <c r="E19437" s="18"/>
      <c r="F19437" s="18"/>
    </row>
    <row r="19438" spans="5:6" ht="15" customHeight="1" x14ac:dyDescent="0.2">
      <c r="E19438" s="18"/>
      <c r="F19438" s="18"/>
    </row>
    <row r="19439" spans="5:6" ht="15" customHeight="1" x14ac:dyDescent="0.2">
      <c r="E19439" s="18"/>
      <c r="F19439" s="18"/>
    </row>
    <row r="19440" spans="5:6" ht="15" customHeight="1" x14ac:dyDescent="0.2">
      <c r="E19440" s="18"/>
      <c r="F19440" s="18"/>
    </row>
    <row r="19441" spans="5:6" ht="15" customHeight="1" x14ac:dyDescent="0.2">
      <c r="E19441" s="18"/>
      <c r="F19441" s="18"/>
    </row>
    <row r="19442" spans="5:6" ht="15" customHeight="1" x14ac:dyDescent="0.2">
      <c r="E19442" s="18"/>
      <c r="F19442" s="18"/>
    </row>
    <row r="19443" spans="5:6" ht="15" customHeight="1" x14ac:dyDescent="0.2">
      <c r="E19443" s="18"/>
      <c r="F19443" s="18"/>
    </row>
    <row r="19444" spans="5:6" ht="15" customHeight="1" x14ac:dyDescent="0.2">
      <c r="E19444" s="18"/>
      <c r="F19444" s="18"/>
    </row>
    <row r="19445" spans="5:6" ht="15" customHeight="1" x14ac:dyDescent="0.2">
      <c r="E19445" s="18"/>
      <c r="F19445" s="18"/>
    </row>
    <row r="19446" spans="5:6" ht="15" customHeight="1" x14ac:dyDescent="0.2">
      <c r="E19446" s="18"/>
      <c r="F19446" s="18"/>
    </row>
    <row r="19447" spans="5:6" ht="15" customHeight="1" x14ac:dyDescent="0.2">
      <c r="E19447" s="18"/>
      <c r="F19447" s="18"/>
    </row>
    <row r="19448" spans="5:6" ht="15" customHeight="1" x14ac:dyDescent="0.2">
      <c r="E19448" s="18"/>
      <c r="F19448" s="18"/>
    </row>
    <row r="19449" spans="5:6" ht="15" customHeight="1" x14ac:dyDescent="0.2">
      <c r="E19449" s="18"/>
      <c r="F19449" s="18"/>
    </row>
    <row r="19450" spans="5:6" ht="15" customHeight="1" x14ac:dyDescent="0.2">
      <c r="E19450" s="18"/>
      <c r="F19450" s="18"/>
    </row>
    <row r="19451" spans="5:6" ht="15" customHeight="1" x14ac:dyDescent="0.2">
      <c r="E19451" s="18"/>
      <c r="F19451" s="18"/>
    </row>
    <row r="19452" spans="5:6" ht="15" customHeight="1" x14ac:dyDescent="0.2">
      <c r="E19452" s="18"/>
      <c r="F19452" s="18"/>
    </row>
    <row r="19453" spans="5:6" ht="15" customHeight="1" x14ac:dyDescent="0.2">
      <c r="E19453" s="18"/>
      <c r="F19453" s="18"/>
    </row>
    <row r="19454" spans="5:6" ht="15" customHeight="1" x14ac:dyDescent="0.2">
      <c r="E19454" s="18"/>
      <c r="F19454" s="18"/>
    </row>
    <row r="19455" spans="5:6" ht="15" customHeight="1" x14ac:dyDescent="0.2">
      <c r="E19455" s="18"/>
      <c r="F19455" s="18"/>
    </row>
    <row r="19456" spans="5:6" ht="15" customHeight="1" x14ac:dyDescent="0.2">
      <c r="E19456" s="18"/>
      <c r="F19456" s="18"/>
    </row>
    <row r="19457" spans="5:6" ht="15" customHeight="1" x14ac:dyDescent="0.2">
      <c r="E19457" s="18"/>
      <c r="F19457" s="18"/>
    </row>
    <row r="19458" spans="5:6" ht="15" customHeight="1" x14ac:dyDescent="0.2">
      <c r="E19458" s="18"/>
      <c r="F19458" s="18"/>
    </row>
    <row r="19459" spans="5:6" ht="15" customHeight="1" x14ac:dyDescent="0.2">
      <c r="E19459" s="18"/>
      <c r="F19459" s="18"/>
    </row>
    <row r="19460" spans="5:6" ht="15" customHeight="1" x14ac:dyDescent="0.2">
      <c r="E19460" s="18"/>
      <c r="F19460" s="18"/>
    </row>
    <row r="19461" spans="5:6" ht="15" customHeight="1" x14ac:dyDescent="0.2">
      <c r="E19461" s="18"/>
      <c r="F19461" s="18"/>
    </row>
    <row r="19462" spans="5:6" ht="15" customHeight="1" x14ac:dyDescent="0.2">
      <c r="E19462" s="18"/>
      <c r="F19462" s="18"/>
    </row>
    <row r="19463" spans="5:6" ht="15" customHeight="1" x14ac:dyDescent="0.2">
      <c r="E19463" s="18"/>
      <c r="F19463" s="18"/>
    </row>
    <row r="19464" spans="5:6" ht="15" customHeight="1" x14ac:dyDescent="0.2">
      <c r="E19464" s="18"/>
      <c r="F19464" s="18"/>
    </row>
    <row r="19465" spans="5:6" ht="15" customHeight="1" x14ac:dyDescent="0.2">
      <c r="E19465" s="18"/>
      <c r="F19465" s="18"/>
    </row>
    <row r="19466" spans="5:6" ht="15" customHeight="1" x14ac:dyDescent="0.2">
      <c r="E19466" s="18"/>
      <c r="F19466" s="18"/>
    </row>
    <row r="19467" spans="5:6" ht="15" customHeight="1" x14ac:dyDescent="0.2">
      <c r="E19467" s="18"/>
      <c r="F19467" s="18"/>
    </row>
    <row r="19468" spans="5:6" ht="15" customHeight="1" x14ac:dyDescent="0.2">
      <c r="E19468" s="18"/>
      <c r="F19468" s="18"/>
    </row>
    <row r="19469" spans="5:6" ht="15" customHeight="1" x14ac:dyDescent="0.2">
      <c r="E19469" s="18"/>
      <c r="F19469" s="18"/>
    </row>
    <row r="19470" spans="5:6" ht="15" customHeight="1" x14ac:dyDescent="0.2">
      <c r="E19470" s="18"/>
      <c r="F19470" s="18"/>
    </row>
    <row r="19471" spans="5:6" ht="15" customHeight="1" x14ac:dyDescent="0.2">
      <c r="E19471" s="18"/>
      <c r="F19471" s="18"/>
    </row>
    <row r="19472" spans="5:6" ht="15" customHeight="1" x14ac:dyDescent="0.2">
      <c r="E19472" s="18"/>
      <c r="F19472" s="18"/>
    </row>
    <row r="19473" spans="5:6" ht="15" customHeight="1" x14ac:dyDescent="0.2">
      <c r="E19473" s="18"/>
      <c r="F19473" s="18"/>
    </row>
    <row r="19474" spans="5:6" ht="15" customHeight="1" x14ac:dyDescent="0.2">
      <c r="E19474" s="18"/>
      <c r="F19474" s="18"/>
    </row>
    <row r="19475" spans="5:6" ht="15" customHeight="1" x14ac:dyDescent="0.2">
      <c r="E19475" s="18"/>
      <c r="F19475" s="18"/>
    </row>
    <row r="19476" spans="5:6" ht="15" customHeight="1" x14ac:dyDescent="0.2">
      <c r="E19476" s="18"/>
      <c r="F19476" s="18"/>
    </row>
    <row r="19477" spans="5:6" ht="15" customHeight="1" x14ac:dyDescent="0.2">
      <c r="E19477" s="18"/>
      <c r="F19477" s="18"/>
    </row>
    <row r="19478" spans="5:6" ht="15" customHeight="1" x14ac:dyDescent="0.2">
      <c r="E19478" s="18"/>
      <c r="F19478" s="18"/>
    </row>
    <row r="19479" spans="5:6" ht="15" customHeight="1" x14ac:dyDescent="0.2">
      <c r="E19479" s="18"/>
      <c r="F19479" s="18"/>
    </row>
    <row r="19480" spans="5:6" ht="15" customHeight="1" x14ac:dyDescent="0.2">
      <c r="E19480" s="18"/>
      <c r="F19480" s="18"/>
    </row>
    <row r="19481" spans="5:6" ht="15" customHeight="1" x14ac:dyDescent="0.2">
      <c r="E19481" s="18"/>
      <c r="F19481" s="18"/>
    </row>
    <row r="19482" spans="5:6" ht="15" customHeight="1" x14ac:dyDescent="0.2">
      <c r="E19482" s="18"/>
      <c r="F19482" s="18"/>
    </row>
    <row r="19483" spans="5:6" ht="15" customHeight="1" x14ac:dyDescent="0.2">
      <c r="E19483" s="18"/>
      <c r="F19483" s="18"/>
    </row>
    <row r="19484" spans="5:6" ht="15" customHeight="1" x14ac:dyDescent="0.2">
      <c r="E19484" s="18"/>
      <c r="F19484" s="18"/>
    </row>
    <row r="19485" spans="5:6" ht="15" customHeight="1" x14ac:dyDescent="0.2">
      <c r="E19485" s="18"/>
      <c r="F19485" s="18"/>
    </row>
    <row r="19486" spans="5:6" ht="15" customHeight="1" x14ac:dyDescent="0.2">
      <c r="E19486" s="18"/>
      <c r="F19486" s="18"/>
    </row>
    <row r="19487" spans="5:6" ht="15" customHeight="1" x14ac:dyDescent="0.2">
      <c r="E19487" s="18"/>
      <c r="F19487" s="18"/>
    </row>
    <row r="19488" spans="5:6" ht="15" customHeight="1" x14ac:dyDescent="0.2">
      <c r="E19488" s="18"/>
      <c r="F19488" s="18"/>
    </row>
    <row r="19489" spans="5:6" ht="15" customHeight="1" x14ac:dyDescent="0.2">
      <c r="E19489" s="18"/>
      <c r="F19489" s="18"/>
    </row>
    <row r="19490" spans="5:6" ht="15" customHeight="1" x14ac:dyDescent="0.2">
      <c r="E19490" s="18"/>
      <c r="F19490" s="18"/>
    </row>
    <row r="19491" spans="5:6" ht="15" customHeight="1" x14ac:dyDescent="0.2">
      <c r="E19491" s="18"/>
      <c r="F19491" s="18"/>
    </row>
    <row r="19492" spans="5:6" ht="15" customHeight="1" x14ac:dyDescent="0.2">
      <c r="E19492" s="18"/>
      <c r="F19492" s="18"/>
    </row>
    <row r="19493" spans="5:6" ht="15" customHeight="1" x14ac:dyDescent="0.2">
      <c r="E19493" s="18"/>
      <c r="F19493" s="18"/>
    </row>
    <row r="19494" spans="5:6" ht="15" customHeight="1" x14ac:dyDescent="0.2">
      <c r="E19494" s="18"/>
      <c r="F19494" s="18"/>
    </row>
    <row r="19495" spans="5:6" ht="15" customHeight="1" x14ac:dyDescent="0.2">
      <c r="E19495" s="18"/>
      <c r="F19495" s="18"/>
    </row>
    <row r="19496" spans="5:6" ht="15" customHeight="1" x14ac:dyDescent="0.2">
      <c r="E19496" s="18"/>
      <c r="F19496" s="18"/>
    </row>
    <row r="19497" spans="5:6" ht="15" customHeight="1" x14ac:dyDescent="0.2">
      <c r="E19497" s="18"/>
      <c r="F19497" s="18"/>
    </row>
    <row r="19498" spans="5:6" ht="15" customHeight="1" x14ac:dyDescent="0.2">
      <c r="E19498" s="18"/>
      <c r="F19498" s="18"/>
    </row>
    <row r="19499" spans="5:6" ht="15" customHeight="1" x14ac:dyDescent="0.2">
      <c r="E19499" s="18"/>
      <c r="F19499" s="18"/>
    </row>
    <row r="19500" spans="5:6" ht="15" customHeight="1" x14ac:dyDescent="0.2">
      <c r="E19500" s="18"/>
      <c r="F19500" s="18"/>
    </row>
    <row r="19501" spans="5:6" ht="15" customHeight="1" x14ac:dyDescent="0.2">
      <c r="E19501" s="18"/>
      <c r="F19501" s="18"/>
    </row>
    <row r="19502" spans="5:6" ht="15" customHeight="1" x14ac:dyDescent="0.2">
      <c r="E19502" s="18"/>
      <c r="F19502" s="18"/>
    </row>
    <row r="19503" spans="5:6" ht="15" customHeight="1" x14ac:dyDescent="0.2">
      <c r="E19503" s="18"/>
      <c r="F19503" s="18"/>
    </row>
    <row r="19504" spans="5:6" ht="15" customHeight="1" x14ac:dyDescent="0.2">
      <c r="E19504" s="18"/>
      <c r="F19504" s="18"/>
    </row>
    <row r="19505" spans="5:6" ht="15" customHeight="1" x14ac:dyDescent="0.2">
      <c r="E19505" s="18"/>
      <c r="F19505" s="18"/>
    </row>
    <row r="19506" spans="5:6" ht="15" customHeight="1" x14ac:dyDescent="0.2">
      <c r="E19506" s="18"/>
      <c r="F19506" s="18"/>
    </row>
    <row r="19507" spans="5:6" ht="15" customHeight="1" x14ac:dyDescent="0.2">
      <c r="E19507" s="18"/>
      <c r="F19507" s="18"/>
    </row>
    <row r="19508" spans="5:6" ht="15" customHeight="1" x14ac:dyDescent="0.2">
      <c r="E19508" s="18"/>
      <c r="F19508" s="18"/>
    </row>
    <row r="19509" spans="5:6" ht="15" customHeight="1" x14ac:dyDescent="0.2">
      <c r="E19509" s="18"/>
      <c r="F19509" s="18"/>
    </row>
    <row r="19510" spans="5:6" ht="15" customHeight="1" x14ac:dyDescent="0.2">
      <c r="E19510" s="18"/>
      <c r="F19510" s="18"/>
    </row>
    <row r="19511" spans="5:6" ht="15" customHeight="1" x14ac:dyDescent="0.2">
      <c r="E19511" s="18"/>
      <c r="F19511" s="18"/>
    </row>
    <row r="19512" spans="5:6" ht="15" customHeight="1" x14ac:dyDescent="0.2">
      <c r="E19512" s="18"/>
      <c r="F19512" s="18"/>
    </row>
    <row r="19513" spans="5:6" ht="15" customHeight="1" x14ac:dyDescent="0.2">
      <c r="E19513" s="18"/>
      <c r="F19513" s="18"/>
    </row>
    <row r="19514" spans="5:6" ht="15" customHeight="1" x14ac:dyDescent="0.2">
      <c r="E19514" s="18"/>
      <c r="F19514" s="18"/>
    </row>
    <row r="19515" spans="5:6" ht="15" customHeight="1" x14ac:dyDescent="0.2">
      <c r="E19515" s="18"/>
      <c r="F19515" s="18"/>
    </row>
    <row r="19516" spans="5:6" ht="15" customHeight="1" x14ac:dyDescent="0.2">
      <c r="E19516" s="18"/>
      <c r="F19516" s="18"/>
    </row>
    <row r="19517" spans="5:6" ht="15" customHeight="1" x14ac:dyDescent="0.2">
      <c r="E19517" s="18"/>
      <c r="F19517" s="18"/>
    </row>
    <row r="19518" spans="5:6" ht="15" customHeight="1" x14ac:dyDescent="0.2">
      <c r="E19518" s="18"/>
      <c r="F19518" s="18"/>
    </row>
    <row r="19519" spans="5:6" ht="15" customHeight="1" x14ac:dyDescent="0.2">
      <c r="E19519" s="18"/>
      <c r="F19519" s="18"/>
    </row>
    <row r="19520" spans="5:6" ht="15" customHeight="1" x14ac:dyDescent="0.2">
      <c r="E19520" s="18"/>
      <c r="F19520" s="18"/>
    </row>
    <row r="19521" spans="5:6" ht="15" customHeight="1" x14ac:dyDescent="0.2">
      <c r="E19521" s="18"/>
      <c r="F19521" s="18"/>
    </row>
    <row r="19522" spans="5:6" ht="15" customHeight="1" x14ac:dyDescent="0.2">
      <c r="E19522" s="18"/>
      <c r="F19522" s="18"/>
    </row>
    <row r="19523" spans="5:6" ht="15" customHeight="1" x14ac:dyDescent="0.2">
      <c r="E19523" s="18"/>
      <c r="F19523" s="18"/>
    </row>
    <row r="19524" spans="5:6" ht="15" customHeight="1" x14ac:dyDescent="0.2">
      <c r="E19524" s="18"/>
      <c r="F19524" s="18"/>
    </row>
    <row r="19525" spans="5:6" ht="15" customHeight="1" x14ac:dyDescent="0.2">
      <c r="E19525" s="18"/>
      <c r="F19525" s="18"/>
    </row>
    <row r="19526" spans="5:6" ht="15" customHeight="1" x14ac:dyDescent="0.2">
      <c r="E19526" s="18"/>
      <c r="F19526" s="18"/>
    </row>
    <row r="19527" spans="5:6" ht="15" customHeight="1" x14ac:dyDescent="0.2">
      <c r="E19527" s="18"/>
      <c r="F19527" s="18"/>
    </row>
    <row r="19528" spans="5:6" ht="15" customHeight="1" x14ac:dyDescent="0.2">
      <c r="E19528" s="18"/>
      <c r="F19528" s="18"/>
    </row>
    <row r="19529" spans="5:6" ht="15" customHeight="1" x14ac:dyDescent="0.2">
      <c r="E19529" s="18"/>
      <c r="F19529" s="18"/>
    </row>
    <row r="19530" spans="5:6" ht="15" customHeight="1" x14ac:dyDescent="0.2">
      <c r="E19530" s="18"/>
      <c r="F19530" s="18"/>
    </row>
    <row r="19531" spans="5:6" ht="15" customHeight="1" x14ac:dyDescent="0.2">
      <c r="E19531" s="18"/>
      <c r="F19531" s="18"/>
    </row>
    <row r="19532" spans="5:6" ht="15" customHeight="1" x14ac:dyDescent="0.2">
      <c r="E19532" s="18"/>
      <c r="F19532" s="18"/>
    </row>
    <row r="19533" spans="5:6" ht="15" customHeight="1" x14ac:dyDescent="0.2">
      <c r="E19533" s="18"/>
      <c r="F19533" s="18"/>
    </row>
    <row r="19534" spans="5:6" ht="15" customHeight="1" x14ac:dyDescent="0.2">
      <c r="E19534" s="18"/>
      <c r="F19534" s="18"/>
    </row>
    <row r="19535" spans="5:6" ht="15" customHeight="1" x14ac:dyDescent="0.2">
      <c r="E19535" s="18"/>
      <c r="F19535" s="18"/>
    </row>
    <row r="19536" spans="5:6" ht="15" customHeight="1" x14ac:dyDescent="0.2">
      <c r="E19536" s="18"/>
      <c r="F19536" s="18"/>
    </row>
    <row r="19537" spans="5:6" ht="15" customHeight="1" x14ac:dyDescent="0.2">
      <c r="E19537" s="18"/>
      <c r="F19537" s="18"/>
    </row>
    <row r="19538" spans="5:6" ht="15" customHeight="1" x14ac:dyDescent="0.2">
      <c r="E19538" s="18"/>
      <c r="F19538" s="18"/>
    </row>
    <row r="19539" spans="5:6" ht="15" customHeight="1" x14ac:dyDescent="0.2">
      <c r="E19539" s="18"/>
      <c r="F19539" s="18"/>
    </row>
    <row r="19540" spans="5:6" ht="15" customHeight="1" x14ac:dyDescent="0.2">
      <c r="E19540" s="18"/>
      <c r="F19540" s="18"/>
    </row>
    <row r="19541" spans="5:6" ht="15" customHeight="1" x14ac:dyDescent="0.2">
      <c r="E19541" s="18"/>
      <c r="F19541" s="18"/>
    </row>
    <row r="19542" spans="5:6" ht="15" customHeight="1" x14ac:dyDescent="0.2">
      <c r="E19542" s="18"/>
      <c r="F19542" s="18"/>
    </row>
    <row r="19543" spans="5:6" ht="15" customHeight="1" x14ac:dyDescent="0.2">
      <c r="E19543" s="18"/>
      <c r="F19543" s="18"/>
    </row>
    <row r="19544" spans="5:6" ht="15" customHeight="1" x14ac:dyDescent="0.2">
      <c r="E19544" s="18"/>
      <c r="F19544" s="18"/>
    </row>
    <row r="19545" spans="5:6" ht="15" customHeight="1" x14ac:dyDescent="0.2">
      <c r="E19545" s="18"/>
      <c r="F19545" s="18"/>
    </row>
    <row r="19546" spans="5:6" ht="15" customHeight="1" x14ac:dyDescent="0.2">
      <c r="E19546" s="18"/>
      <c r="F19546" s="18"/>
    </row>
    <row r="19547" spans="5:6" ht="15" customHeight="1" x14ac:dyDescent="0.2">
      <c r="E19547" s="18"/>
      <c r="F19547" s="18"/>
    </row>
    <row r="19548" spans="5:6" ht="15" customHeight="1" x14ac:dyDescent="0.2">
      <c r="E19548" s="18"/>
      <c r="F19548" s="18"/>
    </row>
    <row r="19549" spans="5:6" ht="15" customHeight="1" x14ac:dyDescent="0.2">
      <c r="E19549" s="18"/>
      <c r="F19549" s="18"/>
    </row>
    <row r="19550" spans="5:6" ht="15" customHeight="1" x14ac:dyDescent="0.2">
      <c r="E19550" s="18"/>
      <c r="F19550" s="18"/>
    </row>
    <row r="19551" spans="5:6" ht="15" customHeight="1" x14ac:dyDescent="0.2">
      <c r="E19551" s="18"/>
      <c r="F19551" s="18"/>
    </row>
    <row r="19552" spans="5:6" ht="15" customHeight="1" x14ac:dyDescent="0.2">
      <c r="E19552" s="18"/>
      <c r="F19552" s="18"/>
    </row>
    <row r="19553" spans="5:6" ht="15" customHeight="1" x14ac:dyDescent="0.2">
      <c r="E19553" s="18"/>
      <c r="F19553" s="18"/>
    </row>
    <row r="19554" spans="5:6" ht="15" customHeight="1" x14ac:dyDescent="0.2">
      <c r="E19554" s="18"/>
      <c r="F19554" s="18"/>
    </row>
    <row r="19555" spans="5:6" ht="15" customHeight="1" x14ac:dyDescent="0.2">
      <c r="E19555" s="18"/>
      <c r="F19555" s="18"/>
    </row>
    <row r="19556" spans="5:6" ht="15" customHeight="1" x14ac:dyDescent="0.2">
      <c r="E19556" s="18"/>
      <c r="F19556" s="18"/>
    </row>
    <row r="19557" spans="5:6" ht="15" customHeight="1" x14ac:dyDescent="0.2">
      <c r="E19557" s="18"/>
      <c r="F19557" s="18"/>
    </row>
    <row r="19558" spans="5:6" ht="15" customHeight="1" x14ac:dyDescent="0.2">
      <c r="E19558" s="18"/>
      <c r="F19558" s="18"/>
    </row>
    <row r="19559" spans="5:6" ht="15" customHeight="1" x14ac:dyDescent="0.2">
      <c r="E19559" s="18"/>
      <c r="F19559" s="18"/>
    </row>
    <row r="19560" spans="5:6" ht="15" customHeight="1" x14ac:dyDescent="0.2">
      <c r="E19560" s="18"/>
      <c r="F19560" s="18"/>
    </row>
    <row r="19561" spans="5:6" ht="15" customHeight="1" x14ac:dyDescent="0.2">
      <c r="E19561" s="18"/>
      <c r="F19561" s="18"/>
    </row>
    <row r="19562" spans="5:6" ht="15" customHeight="1" x14ac:dyDescent="0.2">
      <c r="E19562" s="18"/>
      <c r="F19562" s="18"/>
    </row>
    <row r="19563" spans="5:6" ht="15" customHeight="1" x14ac:dyDescent="0.2">
      <c r="E19563" s="18"/>
      <c r="F19563" s="18"/>
    </row>
    <row r="19564" spans="5:6" ht="15" customHeight="1" x14ac:dyDescent="0.2">
      <c r="E19564" s="18"/>
      <c r="F19564" s="18"/>
    </row>
    <row r="19565" spans="5:6" ht="15" customHeight="1" x14ac:dyDescent="0.2">
      <c r="E19565" s="18"/>
      <c r="F19565" s="18"/>
    </row>
    <row r="19566" spans="5:6" ht="15" customHeight="1" x14ac:dyDescent="0.2">
      <c r="E19566" s="18"/>
      <c r="F19566" s="18"/>
    </row>
    <row r="19567" spans="5:6" ht="15" customHeight="1" x14ac:dyDescent="0.2">
      <c r="E19567" s="18"/>
      <c r="F19567" s="18"/>
    </row>
    <row r="19568" spans="5:6" ht="15" customHeight="1" x14ac:dyDescent="0.2">
      <c r="E19568" s="18"/>
      <c r="F19568" s="18"/>
    </row>
    <row r="19569" spans="5:6" ht="15" customHeight="1" x14ac:dyDescent="0.2">
      <c r="E19569" s="18"/>
      <c r="F19569" s="18"/>
    </row>
    <row r="19570" spans="5:6" ht="15" customHeight="1" x14ac:dyDescent="0.2">
      <c r="E19570" s="18"/>
      <c r="F19570" s="18"/>
    </row>
    <row r="19571" spans="5:6" ht="15" customHeight="1" x14ac:dyDescent="0.2">
      <c r="E19571" s="18"/>
      <c r="F19571" s="18"/>
    </row>
    <row r="19572" spans="5:6" ht="15" customHeight="1" x14ac:dyDescent="0.2">
      <c r="E19572" s="18"/>
      <c r="F19572" s="18"/>
    </row>
    <row r="19573" spans="5:6" ht="15" customHeight="1" x14ac:dyDescent="0.2">
      <c r="E19573" s="18"/>
      <c r="F19573" s="18"/>
    </row>
    <row r="19574" spans="5:6" ht="15" customHeight="1" x14ac:dyDescent="0.2">
      <c r="E19574" s="18"/>
      <c r="F19574" s="18"/>
    </row>
    <row r="19575" spans="5:6" ht="15" customHeight="1" x14ac:dyDescent="0.2">
      <c r="E19575" s="18"/>
      <c r="F19575" s="18"/>
    </row>
    <row r="19576" spans="5:6" ht="15" customHeight="1" x14ac:dyDescent="0.2">
      <c r="E19576" s="18"/>
      <c r="F19576" s="18"/>
    </row>
    <row r="19577" spans="5:6" ht="15" customHeight="1" x14ac:dyDescent="0.2">
      <c r="E19577" s="18"/>
      <c r="F19577" s="18"/>
    </row>
    <row r="19578" spans="5:6" ht="15" customHeight="1" x14ac:dyDescent="0.2">
      <c r="E19578" s="18"/>
      <c r="F19578" s="18"/>
    </row>
    <row r="19579" spans="5:6" ht="15" customHeight="1" x14ac:dyDescent="0.2">
      <c r="E19579" s="18"/>
      <c r="F19579" s="18"/>
    </row>
    <row r="19580" spans="5:6" ht="15" customHeight="1" x14ac:dyDescent="0.2">
      <c r="E19580" s="18"/>
      <c r="F19580" s="18"/>
    </row>
    <row r="19581" spans="5:6" ht="15" customHeight="1" x14ac:dyDescent="0.2">
      <c r="E19581" s="18"/>
      <c r="F19581" s="18"/>
    </row>
    <row r="19582" spans="5:6" ht="15" customHeight="1" x14ac:dyDescent="0.2">
      <c r="E19582" s="18"/>
      <c r="F19582" s="18"/>
    </row>
    <row r="19583" spans="5:6" ht="15" customHeight="1" x14ac:dyDescent="0.2">
      <c r="E19583" s="18"/>
      <c r="F19583" s="18"/>
    </row>
    <row r="19584" spans="5:6" ht="15" customHeight="1" x14ac:dyDescent="0.2">
      <c r="E19584" s="18"/>
      <c r="F19584" s="18"/>
    </row>
    <row r="19585" spans="5:6" ht="15" customHeight="1" x14ac:dyDescent="0.2">
      <c r="E19585" s="18"/>
      <c r="F19585" s="18"/>
    </row>
    <row r="19586" spans="5:6" ht="15" customHeight="1" x14ac:dyDescent="0.2">
      <c r="E19586" s="18"/>
      <c r="F19586" s="18"/>
    </row>
    <row r="19587" spans="5:6" ht="15" customHeight="1" x14ac:dyDescent="0.2">
      <c r="E19587" s="18"/>
      <c r="F19587" s="18"/>
    </row>
    <row r="19588" spans="5:6" ht="15" customHeight="1" x14ac:dyDescent="0.2">
      <c r="E19588" s="18"/>
      <c r="F19588" s="18"/>
    </row>
    <row r="19589" spans="5:6" ht="15" customHeight="1" x14ac:dyDescent="0.2">
      <c r="E19589" s="18"/>
      <c r="F19589" s="18"/>
    </row>
    <row r="19590" spans="5:6" ht="15" customHeight="1" x14ac:dyDescent="0.2">
      <c r="E19590" s="18"/>
      <c r="F19590" s="18"/>
    </row>
    <row r="19591" spans="5:6" ht="15" customHeight="1" x14ac:dyDescent="0.2">
      <c r="E19591" s="18"/>
      <c r="F19591" s="18"/>
    </row>
    <row r="19592" spans="5:6" ht="15" customHeight="1" x14ac:dyDescent="0.2">
      <c r="E19592" s="18"/>
      <c r="F19592" s="18"/>
    </row>
    <row r="19593" spans="5:6" ht="15" customHeight="1" x14ac:dyDescent="0.2">
      <c r="E19593" s="18"/>
      <c r="F19593" s="18"/>
    </row>
    <row r="19594" spans="5:6" ht="15" customHeight="1" x14ac:dyDescent="0.2">
      <c r="E19594" s="18"/>
      <c r="F19594" s="18"/>
    </row>
    <row r="19595" spans="5:6" ht="15" customHeight="1" x14ac:dyDescent="0.2">
      <c r="E19595" s="18"/>
      <c r="F19595" s="18"/>
    </row>
    <row r="19596" spans="5:6" ht="15" customHeight="1" x14ac:dyDescent="0.2">
      <c r="E19596" s="18"/>
      <c r="F19596" s="18"/>
    </row>
    <row r="19597" spans="5:6" ht="15" customHeight="1" x14ac:dyDescent="0.2">
      <c r="E19597" s="18"/>
      <c r="F19597" s="18"/>
    </row>
    <row r="19598" spans="5:6" ht="15" customHeight="1" x14ac:dyDescent="0.2">
      <c r="E19598" s="18"/>
      <c r="F19598" s="18"/>
    </row>
    <row r="19599" spans="5:6" ht="15" customHeight="1" x14ac:dyDescent="0.2">
      <c r="E19599" s="18"/>
      <c r="F19599" s="18"/>
    </row>
    <row r="19600" spans="5:6" ht="15" customHeight="1" x14ac:dyDescent="0.2">
      <c r="E19600" s="18"/>
      <c r="F19600" s="18"/>
    </row>
    <row r="19601" spans="5:6" ht="15" customHeight="1" x14ac:dyDescent="0.2">
      <c r="E19601" s="18"/>
      <c r="F19601" s="18"/>
    </row>
    <row r="19602" spans="5:6" ht="15" customHeight="1" x14ac:dyDescent="0.2">
      <c r="E19602" s="18"/>
      <c r="F19602" s="18"/>
    </row>
    <row r="19603" spans="5:6" ht="15" customHeight="1" x14ac:dyDescent="0.2">
      <c r="E19603" s="18"/>
      <c r="F19603" s="18"/>
    </row>
    <row r="19604" spans="5:6" ht="15" customHeight="1" x14ac:dyDescent="0.2">
      <c r="E19604" s="18"/>
      <c r="F19604" s="18"/>
    </row>
    <row r="19605" spans="5:6" ht="15" customHeight="1" x14ac:dyDescent="0.2">
      <c r="E19605" s="18"/>
      <c r="F19605" s="18"/>
    </row>
    <row r="19606" spans="5:6" ht="15" customHeight="1" x14ac:dyDescent="0.2">
      <c r="E19606" s="18"/>
      <c r="F19606" s="18"/>
    </row>
    <row r="19607" spans="5:6" ht="15" customHeight="1" x14ac:dyDescent="0.2">
      <c r="E19607" s="18"/>
      <c r="F19607" s="18"/>
    </row>
    <row r="19608" spans="5:6" ht="15" customHeight="1" x14ac:dyDescent="0.2">
      <c r="E19608" s="18"/>
      <c r="F19608" s="18"/>
    </row>
    <row r="19609" spans="5:6" ht="15" customHeight="1" x14ac:dyDescent="0.2">
      <c r="E19609" s="18"/>
      <c r="F19609" s="18"/>
    </row>
    <row r="19610" spans="5:6" ht="15" customHeight="1" x14ac:dyDescent="0.2">
      <c r="E19610" s="18"/>
      <c r="F19610" s="18"/>
    </row>
    <row r="19611" spans="5:6" ht="15" customHeight="1" x14ac:dyDescent="0.2">
      <c r="E19611" s="18"/>
      <c r="F19611" s="18"/>
    </row>
    <row r="19612" spans="5:6" ht="15" customHeight="1" x14ac:dyDescent="0.2">
      <c r="E19612" s="18"/>
      <c r="F19612" s="18"/>
    </row>
    <row r="19613" spans="5:6" ht="15" customHeight="1" x14ac:dyDescent="0.2">
      <c r="E19613" s="18"/>
      <c r="F19613" s="18"/>
    </row>
    <row r="19614" spans="5:6" ht="15" customHeight="1" x14ac:dyDescent="0.2">
      <c r="E19614" s="18"/>
      <c r="F19614" s="18"/>
    </row>
    <row r="19615" spans="5:6" ht="15" customHeight="1" x14ac:dyDescent="0.2">
      <c r="E19615" s="18"/>
      <c r="F19615" s="18"/>
    </row>
    <row r="19616" spans="5:6" ht="15" customHeight="1" x14ac:dyDescent="0.2">
      <c r="E19616" s="18"/>
      <c r="F19616" s="18"/>
    </row>
    <row r="19617" spans="5:6" ht="15" customHeight="1" x14ac:dyDescent="0.2">
      <c r="E19617" s="18"/>
      <c r="F19617" s="18"/>
    </row>
    <row r="19618" spans="5:6" ht="15" customHeight="1" x14ac:dyDescent="0.2">
      <c r="E19618" s="18"/>
      <c r="F19618" s="18"/>
    </row>
    <row r="19619" spans="5:6" ht="15" customHeight="1" x14ac:dyDescent="0.2">
      <c r="E19619" s="18"/>
      <c r="F19619" s="18"/>
    </row>
    <row r="19620" spans="5:6" ht="15" customHeight="1" x14ac:dyDescent="0.2">
      <c r="E19620" s="18"/>
      <c r="F19620" s="18"/>
    </row>
    <row r="19621" spans="5:6" ht="15" customHeight="1" x14ac:dyDescent="0.2">
      <c r="E19621" s="18"/>
      <c r="F19621" s="18"/>
    </row>
    <row r="19622" spans="5:6" ht="15" customHeight="1" x14ac:dyDescent="0.2">
      <c r="E19622" s="18"/>
      <c r="F19622" s="18"/>
    </row>
    <row r="19623" spans="5:6" ht="15" customHeight="1" x14ac:dyDescent="0.2">
      <c r="E19623" s="18"/>
      <c r="F19623" s="18"/>
    </row>
    <row r="19624" spans="5:6" ht="15" customHeight="1" x14ac:dyDescent="0.2">
      <c r="E19624" s="18"/>
      <c r="F19624" s="18"/>
    </row>
    <row r="19625" spans="5:6" ht="15" customHeight="1" x14ac:dyDescent="0.2">
      <c r="E19625" s="18"/>
      <c r="F19625" s="18"/>
    </row>
    <row r="19626" spans="5:6" ht="15" customHeight="1" x14ac:dyDescent="0.2">
      <c r="E19626" s="18"/>
      <c r="F19626" s="18"/>
    </row>
    <row r="19627" spans="5:6" ht="15" customHeight="1" x14ac:dyDescent="0.2">
      <c r="E19627" s="18"/>
      <c r="F19627" s="18"/>
    </row>
    <row r="19628" spans="5:6" ht="15" customHeight="1" x14ac:dyDescent="0.2">
      <c r="E19628" s="18"/>
      <c r="F19628" s="18"/>
    </row>
    <row r="19629" spans="5:6" ht="15" customHeight="1" x14ac:dyDescent="0.2">
      <c r="E19629" s="18"/>
      <c r="F19629" s="18"/>
    </row>
    <row r="19630" spans="5:6" ht="15" customHeight="1" x14ac:dyDescent="0.2">
      <c r="E19630" s="18"/>
      <c r="F19630" s="18"/>
    </row>
    <row r="19631" spans="5:6" ht="15" customHeight="1" x14ac:dyDescent="0.2">
      <c r="E19631" s="18"/>
      <c r="F19631" s="18"/>
    </row>
    <row r="19632" spans="5:6" ht="15" customHeight="1" x14ac:dyDescent="0.2">
      <c r="E19632" s="18"/>
      <c r="F19632" s="18"/>
    </row>
    <row r="19633" spans="5:6" ht="15" customHeight="1" x14ac:dyDescent="0.2">
      <c r="E19633" s="18"/>
      <c r="F19633" s="18"/>
    </row>
    <row r="19634" spans="5:6" ht="15" customHeight="1" x14ac:dyDescent="0.2">
      <c r="E19634" s="18"/>
      <c r="F19634" s="18"/>
    </row>
    <row r="19635" spans="5:6" ht="15" customHeight="1" x14ac:dyDescent="0.2">
      <c r="E19635" s="18"/>
      <c r="F19635" s="18"/>
    </row>
    <row r="19636" spans="5:6" ht="15" customHeight="1" x14ac:dyDescent="0.2">
      <c r="E19636" s="18"/>
      <c r="F19636" s="18"/>
    </row>
    <row r="19637" spans="5:6" ht="15" customHeight="1" x14ac:dyDescent="0.2">
      <c r="E19637" s="18"/>
      <c r="F19637" s="18"/>
    </row>
    <row r="19638" spans="5:6" ht="15" customHeight="1" x14ac:dyDescent="0.2">
      <c r="E19638" s="18"/>
      <c r="F19638" s="18"/>
    </row>
    <row r="19639" spans="5:6" ht="15" customHeight="1" x14ac:dyDescent="0.2">
      <c r="E19639" s="18"/>
      <c r="F19639" s="18"/>
    </row>
    <row r="19640" spans="5:6" ht="15" customHeight="1" x14ac:dyDescent="0.2">
      <c r="E19640" s="18"/>
      <c r="F19640" s="18"/>
    </row>
    <row r="19641" spans="5:6" ht="15" customHeight="1" x14ac:dyDescent="0.2">
      <c r="E19641" s="18"/>
      <c r="F19641" s="18"/>
    </row>
    <row r="19642" spans="5:6" ht="15" customHeight="1" x14ac:dyDescent="0.2">
      <c r="E19642" s="18"/>
      <c r="F19642" s="18"/>
    </row>
    <row r="19643" spans="5:6" ht="15" customHeight="1" x14ac:dyDescent="0.2">
      <c r="E19643" s="18"/>
      <c r="F19643" s="18"/>
    </row>
    <row r="19644" spans="5:6" ht="15" customHeight="1" x14ac:dyDescent="0.2">
      <c r="E19644" s="18"/>
      <c r="F19644" s="18"/>
    </row>
    <row r="19645" spans="5:6" ht="15" customHeight="1" x14ac:dyDescent="0.2">
      <c r="E19645" s="18"/>
      <c r="F19645" s="18"/>
    </row>
    <row r="19646" spans="5:6" ht="15" customHeight="1" x14ac:dyDescent="0.2">
      <c r="E19646" s="18"/>
      <c r="F19646" s="18"/>
    </row>
    <row r="19647" spans="5:6" ht="15" customHeight="1" x14ac:dyDescent="0.2">
      <c r="E19647" s="18"/>
      <c r="F19647" s="18"/>
    </row>
    <row r="19648" spans="5:6" ht="15" customHeight="1" x14ac:dyDescent="0.2">
      <c r="E19648" s="18"/>
      <c r="F19648" s="18"/>
    </row>
    <row r="19649" spans="5:6" ht="15" customHeight="1" x14ac:dyDescent="0.2">
      <c r="E19649" s="18"/>
      <c r="F19649" s="18"/>
    </row>
    <row r="19650" spans="5:6" ht="15" customHeight="1" x14ac:dyDescent="0.2">
      <c r="E19650" s="18"/>
      <c r="F19650" s="18"/>
    </row>
    <row r="19651" spans="5:6" ht="15" customHeight="1" x14ac:dyDescent="0.2">
      <c r="E19651" s="18"/>
      <c r="F19651" s="18"/>
    </row>
    <row r="19652" spans="5:6" ht="15" customHeight="1" x14ac:dyDescent="0.2">
      <c r="E19652" s="18"/>
      <c r="F19652" s="18"/>
    </row>
    <row r="19653" spans="5:6" ht="15" customHeight="1" x14ac:dyDescent="0.2">
      <c r="E19653" s="18"/>
      <c r="F19653" s="18"/>
    </row>
    <row r="19654" spans="5:6" ht="15" customHeight="1" x14ac:dyDescent="0.2">
      <c r="E19654" s="18"/>
      <c r="F19654" s="18"/>
    </row>
    <row r="19655" spans="5:6" ht="15" customHeight="1" x14ac:dyDescent="0.2">
      <c r="E19655" s="18"/>
      <c r="F19655" s="18"/>
    </row>
    <row r="19656" spans="5:6" ht="15" customHeight="1" x14ac:dyDescent="0.2">
      <c r="E19656" s="18"/>
      <c r="F19656" s="18"/>
    </row>
    <row r="19657" spans="5:6" ht="15" customHeight="1" x14ac:dyDescent="0.2">
      <c r="E19657" s="18"/>
      <c r="F19657" s="18"/>
    </row>
    <row r="19658" spans="5:6" ht="15" customHeight="1" x14ac:dyDescent="0.2">
      <c r="E19658" s="18"/>
      <c r="F19658" s="18"/>
    </row>
    <row r="19659" spans="5:6" ht="15" customHeight="1" x14ac:dyDescent="0.2">
      <c r="E19659" s="18"/>
      <c r="F19659" s="18"/>
    </row>
    <row r="19660" spans="5:6" ht="15" customHeight="1" x14ac:dyDescent="0.2">
      <c r="E19660" s="18"/>
      <c r="F19660" s="18"/>
    </row>
    <row r="19661" spans="5:6" ht="15" customHeight="1" x14ac:dyDescent="0.2">
      <c r="E19661" s="18"/>
      <c r="F19661" s="18"/>
    </row>
    <row r="19662" spans="5:6" ht="15" customHeight="1" x14ac:dyDescent="0.2">
      <c r="E19662" s="18"/>
      <c r="F19662" s="18"/>
    </row>
    <row r="19663" spans="5:6" ht="15" customHeight="1" x14ac:dyDescent="0.2">
      <c r="E19663" s="18"/>
      <c r="F19663" s="18"/>
    </row>
    <row r="19664" spans="5:6" ht="15" customHeight="1" x14ac:dyDescent="0.2">
      <c r="E19664" s="18"/>
      <c r="F19664" s="18"/>
    </row>
    <row r="19665" spans="5:6" ht="15" customHeight="1" x14ac:dyDescent="0.2">
      <c r="E19665" s="18"/>
      <c r="F19665" s="18"/>
    </row>
    <row r="19666" spans="5:6" ht="15" customHeight="1" x14ac:dyDescent="0.2">
      <c r="E19666" s="18"/>
      <c r="F19666" s="18"/>
    </row>
    <row r="19667" spans="5:6" ht="15" customHeight="1" x14ac:dyDescent="0.2">
      <c r="E19667" s="18"/>
      <c r="F19667" s="18"/>
    </row>
    <row r="19668" spans="5:6" ht="15" customHeight="1" x14ac:dyDescent="0.2">
      <c r="E19668" s="18"/>
      <c r="F19668" s="18"/>
    </row>
    <row r="19669" spans="5:6" ht="15" customHeight="1" x14ac:dyDescent="0.2">
      <c r="E19669" s="18"/>
      <c r="F19669" s="18"/>
    </row>
    <row r="19670" spans="5:6" ht="15" customHeight="1" x14ac:dyDescent="0.2">
      <c r="E19670" s="18"/>
      <c r="F19670" s="18"/>
    </row>
    <row r="19671" spans="5:6" ht="15" customHeight="1" x14ac:dyDescent="0.2">
      <c r="E19671" s="18"/>
      <c r="F19671" s="18"/>
    </row>
    <row r="19672" spans="5:6" ht="15" customHeight="1" x14ac:dyDescent="0.2">
      <c r="E19672" s="18"/>
      <c r="F19672" s="18"/>
    </row>
    <row r="19673" spans="5:6" ht="15" customHeight="1" x14ac:dyDescent="0.2">
      <c r="E19673" s="18"/>
      <c r="F19673" s="18"/>
    </row>
    <row r="19674" spans="5:6" ht="15" customHeight="1" x14ac:dyDescent="0.2">
      <c r="E19674" s="18"/>
      <c r="F19674" s="18"/>
    </row>
    <row r="19675" spans="5:6" ht="15" customHeight="1" x14ac:dyDescent="0.2">
      <c r="E19675" s="18"/>
      <c r="F19675" s="18"/>
    </row>
    <row r="19676" spans="5:6" ht="15" customHeight="1" x14ac:dyDescent="0.2">
      <c r="E19676" s="18"/>
      <c r="F19676" s="18"/>
    </row>
    <row r="19677" spans="5:6" ht="15" customHeight="1" x14ac:dyDescent="0.2">
      <c r="E19677" s="18"/>
      <c r="F19677" s="18"/>
    </row>
    <row r="19678" spans="5:6" ht="15" customHeight="1" x14ac:dyDescent="0.2">
      <c r="E19678" s="18"/>
      <c r="F19678" s="18"/>
    </row>
    <row r="19679" spans="5:6" ht="15" customHeight="1" x14ac:dyDescent="0.2">
      <c r="E19679" s="18"/>
      <c r="F19679" s="18"/>
    </row>
    <row r="19680" spans="5:6" ht="15" customHeight="1" x14ac:dyDescent="0.2">
      <c r="E19680" s="18"/>
      <c r="F19680" s="18"/>
    </row>
    <row r="19681" spans="5:6" ht="15" customHeight="1" x14ac:dyDescent="0.2">
      <c r="E19681" s="18"/>
      <c r="F19681" s="18"/>
    </row>
    <row r="19682" spans="5:6" ht="15" customHeight="1" x14ac:dyDescent="0.2">
      <c r="E19682" s="18"/>
      <c r="F19682" s="18"/>
    </row>
    <row r="19683" spans="5:6" ht="15" customHeight="1" x14ac:dyDescent="0.2">
      <c r="E19683" s="18"/>
      <c r="F19683" s="18"/>
    </row>
    <row r="19684" spans="5:6" ht="15" customHeight="1" x14ac:dyDescent="0.2">
      <c r="E19684" s="18"/>
      <c r="F19684" s="18"/>
    </row>
    <row r="19685" spans="5:6" ht="15" customHeight="1" x14ac:dyDescent="0.2">
      <c r="E19685" s="18"/>
      <c r="F19685" s="18"/>
    </row>
    <row r="19686" spans="5:6" ht="15" customHeight="1" x14ac:dyDescent="0.2">
      <c r="E19686" s="18"/>
      <c r="F19686" s="18"/>
    </row>
    <row r="19687" spans="5:6" ht="15" customHeight="1" x14ac:dyDescent="0.2">
      <c r="E19687" s="18"/>
      <c r="F19687" s="18"/>
    </row>
    <row r="19688" spans="5:6" ht="15" customHeight="1" x14ac:dyDescent="0.2">
      <c r="E19688" s="18"/>
      <c r="F19688" s="18"/>
    </row>
    <row r="19689" spans="5:6" ht="15" customHeight="1" x14ac:dyDescent="0.2">
      <c r="E19689" s="18"/>
      <c r="F19689" s="18"/>
    </row>
    <row r="19690" spans="5:6" ht="15" customHeight="1" x14ac:dyDescent="0.2">
      <c r="E19690" s="18"/>
      <c r="F19690" s="18"/>
    </row>
    <row r="19691" spans="5:6" ht="15" customHeight="1" x14ac:dyDescent="0.2">
      <c r="E19691" s="18"/>
      <c r="F19691" s="18"/>
    </row>
    <row r="19692" spans="5:6" ht="15" customHeight="1" x14ac:dyDescent="0.2">
      <c r="E19692" s="18"/>
      <c r="F19692" s="18"/>
    </row>
    <row r="19693" spans="5:6" ht="15" customHeight="1" x14ac:dyDescent="0.2">
      <c r="E19693" s="18"/>
      <c r="F19693" s="18"/>
    </row>
    <row r="19694" spans="5:6" ht="15" customHeight="1" x14ac:dyDescent="0.2">
      <c r="E19694" s="18"/>
      <c r="F19694" s="18"/>
    </row>
    <row r="19695" spans="5:6" ht="15" customHeight="1" x14ac:dyDescent="0.2">
      <c r="E19695" s="18"/>
      <c r="F19695" s="18"/>
    </row>
    <row r="19696" spans="5:6" ht="15" customHeight="1" x14ac:dyDescent="0.2">
      <c r="E19696" s="18"/>
      <c r="F19696" s="18"/>
    </row>
    <row r="19697" spans="5:6" ht="15" customHeight="1" x14ac:dyDescent="0.2">
      <c r="E19697" s="18"/>
      <c r="F19697" s="18"/>
    </row>
    <row r="19698" spans="5:6" ht="15" customHeight="1" x14ac:dyDescent="0.2">
      <c r="E19698" s="18"/>
      <c r="F19698" s="18"/>
    </row>
    <row r="19699" spans="5:6" ht="15" customHeight="1" x14ac:dyDescent="0.2">
      <c r="E19699" s="18"/>
      <c r="F19699" s="18"/>
    </row>
    <row r="19700" spans="5:6" ht="15" customHeight="1" x14ac:dyDescent="0.2">
      <c r="E19700" s="18"/>
      <c r="F19700" s="18"/>
    </row>
    <row r="19701" spans="5:6" ht="15" customHeight="1" x14ac:dyDescent="0.2">
      <c r="E19701" s="18"/>
      <c r="F19701" s="18"/>
    </row>
    <row r="19702" spans="5:6" ht="15" customHeight="1" x14ac:dyDescent="0.2">
      <c r="E19702" s="18"/>
      <c r="F19702" s="18"/>
    </row>
    <row r="19703" spans="5:6" ht="15" customHeight="1" x14ac:dyDescent="0.2">
      <c r="E19703" s="18"/>
      <c r="F19703" s="18"/>
    </row>
    <row r="19704" spans="5:6" ht="15" customHeight="1" x14ac:dyDescent="0.2">
      <c r="E19704" s="18"/>
      <c r="F19704" s="18"/>
    </row>
    <row r="19705" spans="5:6" ht="15" customHeight="1" x14ac:dyDescent="0.2">
      <c r="E19705" s="18"/>
      <c r="F19705" s="18"/>
    </row>
    <row r="19706" spans="5:6" ht="15" customHeight="1" x14ac:dyDescent="0.2">
      <c r="E19706" s="18"/>
      <c r="F19706" s="18"/>
    </row>
    <row r="19707" spans="5:6" ht="15" customHeight="1" x14ac:dyDescent="0.2">
      <c r="E19707" s="18"/>
      <c r="F19707" s="18"/>
    </row>
    <row r="19708" spans="5:6" ht="15" customHeight="1" x14ac:dyDescent="0.2">
      <c r="E19708" s="18"/>
      <c r="F19708" s="18"/>
    </row>
    <row r="19709" spans="5:6" ht="15" customHeight="1" x14ac:dyDescent="0.2">
      <c r="E19709" s="18"/>
      <c r="F19709" s="18"/>
    </row>
    <row r="19710" spans="5:6" ht="15" customHeight="1" x14ac:dyDescent="0.2">
      <c r="E19710" s="18"/>
      <c r="F19710" s="18"/>
    </row>
    <row r="19711" spans="5:6" ht="15" customHeight="1" x14ac:dyDescent="0.2">
      <c r="E19711" s="18"/>
      <c r="F19711" s="18"/>
    </row>
    <row r="19712" spans="5:6" ht="15" customHeight="1" x14ac:dyDescent="0.2">
      <c r="E19712" s="18"/>
      <c r="F19712" s="18"/>
    </row>
    <row r="19713" spans="5:6" ht="15" customHeight="1" x14ac:dyDescent="0.2">
      <c r="E19713" s="18"/>
      <c r="F19713" s="18"/>
    </row>
    <row r="19714" spans="5:6" ht="15" customHeight="1" x14ac:dyDescent="0.2">
      <c r="E19714" s="18"/>
      <c r="F19714" s="18"/>
    </row>
    <row r="19715" spans="5:6" ht="15" customHeight="1" x14ac:dyDescent="0.2">
      <c r="E19715" s="18"/>
      <c r="F19715" s="18"/>
    </row>
    <row r="19716" spans="5:6" ht="15" customHeight="1" x14ac:dyDescent="0.2">
      <c r="E19716" s="18"/>
      <c r="F19716" s="18"/>
    </row>
    <row r="19717" spans="5:6" ht="15" customHeight="1" x14ac:dyDescent="0.2">
      <c r="E19717" s="18"/>
      <c r="F19717" s="18"/>
    </row>
    <row r="19718" spans="5:6" ht="15" customHeight="1" x14ac:dyDescent="0.2">
      <c r="E19718" s="18"/>
      <c r="F19718" s="18"/>
    </row>
    <row r="19719" spans="5:6" ht="15" customHeight="1" x14ac:dyDescent="0.2">
      <c r="E19719" s="18"/>
      <c r="F19719" s="18"/>
    </row>
    <row r="19720" spans="5:6" ht="15" customHeight="1" x14ac:dyDescent="0.2">
      <c r="E19720" s="18"/>
      <c r="F19720" s="18"/>
    </row>
    <row r="19721" spans="5:6" ht="15" customHeight="1" x14ac:dyDescent="0.2">
      <c r="E19721" s="18"/>
      <c r="F19721" s="18"/>
    </row>
    <row r="19722" spans="5:6" ht="15" customHeight="1" x14ac:dyDescent="0.2">
      <c r="E19722" s="18"/>
      <c r="F19722" s="18"/>
    </row>
    <row r="19723" spans="5:6" ht="15" customHeight="1" x14ac:dyDescent="0.2">
      <c r="E19723" s="18"/>
      <c r="F19723" s="18"/>
    </row>
    <row r="19724" spans="5:6" ht="15" customHeight="1" x14ac:dyDescent="0.2">
      <c r="E19724" s="18"/>
      <c r="F19724" s="18"/>
    </row>
    <row r="19725" spans="5:6" ht="15" customHeight="1" x14ac:dyDescent="0.2">
      <c r="E19725" s="18"/>
      <c r="F19725" s="18"/>
    </row>
    <row r="19726" spans="5:6" ht="15" customHeight="1" x14ac:dyDescent="0.2">
      <c r="E19726" s="18"/>
      <c r="F19726" s="18"/>
    </row>
    <row r="19727" spans="5:6" ht="15" customHeight="1" x14ac:dyDescent="0.2">
      <c r="E19727" s="18"/>
      <c r="F19727" s="18"/>
    </row>
    <row r="19728" spans="5:6" ht="15" customHeight="1" x14ac:dyDescent="0.2">
      <c r="E19728" s="18"/>
      <c r="F19728" s="18"/>
    </row>
    <row r="19729" spans="5:6" ht="15" customHeight="1" x14ac:dyDescent="0.2">
      <c r="E19729" s="18"/>
      <c r="F19729" s="18"/>
    </row>
    <row r="19730" spans="5:6" ht="15" customHeight="1" x14ac:dyDescent="0.2">
      <c r="E19730" s="18"/>
      <c r="F19730" s="18"/>
    </row>
    <row r="19731" spans="5:6" ht="15" customHeight="1" x14ac:dyDescent="0.2">
      <c r="E19731" s="18"/>
      <c r="F19731" s="18"/>
    </row>
    <row r="19732" spans="5:6" ht="15" customHeight="1" x14ac:dyDescent="0.2">
      <c r="E19732" s="18"/>
      <c r="F19732" s="18"/>
    </row>
    <row r="19733" spans="5:6" ht="15" customHeight="1" x14ac:dyDescent="0.2">
      <c r="E19733" s="18"/>
      <c r="F19733" s="18"/>
    </row>
    <row r="19734" spans="5:6" ht="15" customHeight="1" x14ac:dyDescent="0.2">
      <c r="E19734" s="18"/>
      <c r="F19734" s="18"/>
    </row>
    <row r="19735" spans="5:6" ht="15" customHeight="1" x14ac:dyDescent="0.2">
      <c r="E19735" s="18"/>
      <c r="F19735" s="18"/>
    </row>
    <row r="19736" spans="5:6" ht="15" customHeight="1" x14ac:dyDescent="0.2">
      <c r="E19736" s="18"/>
      <c r="F19736" s="18"/>
    </row>
    <row r="19737" spans="5:6" ht="15" customHeight="1" x14ac:dyDescent="0.2">
      <c r="E19737" s="18"/>
      <c r="F19737" s="18"/>
    </row>
    <row r="19738" spans="5:6" ht="15" customHeight="1" x14ac:dyDescent="0.2">
      <c r="E19738" s="18"/>
      <c r="F19738" s="18"/>
    </row>
    <row r="19739" spans="5:6" ht="15" customHeight="1" x14ac:dyDescent="0.2">
      <c r="E19739" s="18"/>
      <c r="F19739" s="18"/>
    </row>
    <row r="19740" spans="5:6" ht="15" customHeight="1" x14ac:dyDescent="0.2">
      <c r="E19740" s="18"/>
      <c r="F19740" s="18"/>
    </row>
    <row r="19741" spans="5:6" ht="15" customHeight="1" x14ac:dyDescent="0.2">
      <c r="E19741" s="18"/>
      <c r="F19741" s="18"/>
    </row>
    <row r="19742" spans="5:6" ht="15" customHeight="1" x14ac:dyDescent="0.2">
      <c r="E19742" s="18"/>
      <c r="F19742" s="18"/>
    </row>
    <row r="19743" spans="5:6" ht="15" customHeight="1" x14ac:dyDescent="0.2">
      <c r="E19743" s="18"/>
      <c r="F19743" s="18"/>
    </row>
    <row r="19744" spans="5:6" ht="15" customHeight="1" x14ac:dyDescent="0.2">
      <c r="E19744" s="18"/>
      <c r="F19744" s="18"/>
    </row>
    <row r="19745" spans="5:6" ht="15" customHeight="1" x14ac:dyDescent="0.2">
      <c r="E19745" s="18"/>
      <c r="F19745" s="18"/>
    </row>
    <row r="19746" spans="5:6" ht="15" customHeight="1" x14ac:dyDescent="0.2">
      <c r="E19746" s="18"/>
      <c r="F19746" s="18"/>
    </row>
    <row r="19747" spans="5:6" ht="15" customHeight="1" x14ac:dyDescent="0.2">
      <c r="E19747" s="18"/>
      <c r="F19747" s="18"/>
    </row>
    <row r="19748" spans="5:6" ht="15" customHeight="1" x14ac:dyDescent="0.2">
      <c r="E19748" s="18"/>
      <c r="F19748" s="18"/>
    </row>
    <row r="19749" spans="5:6" ht="15" customHeight="1" x14ac:dyDescent="0.2">
      <c r="E19749" s="18"/>
      <c r="F19749" s="18"/>
    </row>
    <row r="19750" spans="5:6" ht="15" customHeight="1" x14ac:dyDescent="0.2">
      <c r="E19750" s="18"/>
      <c r="F19750" s="18"/>
    </row>
    <row r="19751" spans="5:6" ht="15" customHeight="1" x14ac:dyDescent="0.2">
      <c r="E19751" s="18"/>
      <c r="F19751" s="18"/>
    </row>
    <row r="19752" spans="5:6" ht="15" customHeight="1" x14ac:dyDescent="0.2">
      <c r="E19752" s="18"/>
      <c r="F19752" s="18"/>
    </row>
    <row r="19753" spans="5:6" ht="15" customHeight="1" x14ac:dyDescent="0.2">
      <c r="E19753" s="18"/>
      <c r="F19753" s="18"/>
    </row>
    <row r="19754" spans="5:6" ht="15" customHeight="1" x14ac:dyDescent="0.2">
      <c r="E19754" s="18"/>
      <c r="F19754" s="18"/>
    </row>
    <row r="19755" spans="5:6" ht="15" customHeight="1" x14ac:dyDescent="0.2">
      <c r="E19755" s="18"/>
      <c r="F19755" s="18"/>
    </row>
    <row r="19756" spans="5:6" ht="15" customHeight="1" x14ac:dyDescent="0.2">
      <c r="E19756" s="18"/>
      <c r="F19756" s="18"/>
    </row>
    <row r="19757" spans="5:6" ht="15" customHeight="1" x14ac:dyDescent="0.2">
      <c r="E19757" s="18"/>
      <c r="F19757" s="18"/>
    </row>
    <row r="19758" spans="5:6" ht="15" customHeight="1" x14ac:dyDescent="0.2">
      <c r="E19758" s="18"/>
      <c r="F19758" s="18"/>
    </row>
    <row r="19759" spans="5:6" ht="15" customHeight="1" x14ac:dyDescent="0.2">
      <c r="E19759" s="18"/>
      <c r="F19759" s="18"/>
    </row>
    <row r="19760" spans="5:6" ht="15" customHeight="1" x14ac:dyDescent="0.2">
      <c r="E19760" s="18"/>
      <c r="F19760" s="18"/>
    </row>
    <row r="19761" spans="5:6" ht="15" customHeight="1" x14ac:dyDescent="0.2">
      <c r="E19761" s="18"/>
      <c r="F19761" s="18"/>
    </row>
    <row r="19762" spans="5:6" ht="15" customHeight="1" x14ac:dyDescent="0.2">
      <c r="E19762" s="18"/>
      <c r="F19762" s="18"/>
    </row>
    <row r="19763" spans="5:6" ht="15" customHeight="1" x14ac:dyDescent="0.2">
      <c r="E19763" s="18"/>
      <c r="F19763" s="18"/>
    </row>
    <row r="19764" spans="5:6" ht="15" customHeight="1" x14ac:dyDescent="0.2">
      <c r="E19764" s="18"/>
      <c r="F19764" s="18"/>
    </row>
    <row r="19765" spans="5:6" ht="15" customHeight="1" x14ac:dyDescent="0.2">
      <c r="E19765" s="18"/>
      <c r="F19765" s="18"/>
    </row>
    <row r="19766" spans="5:6" ht="15" customHeight="1" x14ac:dyDescent="0.2">
      <c r="E19766" s="18"/>
      <c r="F19766" s="18"/>
    </row>
    <row r="19767" spans="5:6" ht="15" customHeight="1" x14ac:dyDescent="0.2">
      <c r="E19767" s="18"/>
      <c r="F19767" s="18"/>
    </row>
    <row r="19768" spans="5:6" ht="15" customHeight="1" x14ac:dyDescent="0.2">
      <c r="E19768" s="18"/>
      <c r="F19768" s="18"/>
    </row>
    <row r="19769" spans="5:6" ht="15" customHeight="1" x14ac:dyDescent="0.2">
      <c r="E19769" s="18"/>
      <c r="F19769" s="18"/>
    </row>
    <row r="19770" spans="5:6" ht="15" customHeight="1" x14ac:dyDescent="0.2">
      <c r="E19770" s="18"/>
      <c r="F19770" s="18"/>
    </row>
    <row r="19771" spans="5:6" ht="15" customHeight="1" x14ac:dyDescent="0.2">
      <c r="E19771" s="18"/>
      <c r="F19771" s="18"/>
    </row>
    <row r="19772" spans="5:6" ht="15" customHeight="1" x14ac:dyDescent="0.2">
      <c r="E19772" s="18"/>
      <c r="F19772" s="18"/>
    </row>
    <row r="19773" spans="5:6" ht="15" customHeight="1" x14ac:dyDescent="0.2">
      <c r="E19773" s="18"/>
      <c r="F19773" s="18"/>
    </row>
    <row r="19774" spans="5:6" ht="15" customHeight="1" x14ac:dyDescent="0.2">
      <c r="E19774" s="18"/>
      <c r="F19774" s="18"/>
    </row>
    <row r="19775" spans="5:6" ht="15" customHeight="1" x14ac:dyDescent="0.2">
      <c r="E19775" s="18"/>
      <c r="F19775" s="18"/>
    </row>
    <row r="19776" spans="5:6" ht="15" customHeight="1" x14ac:dyDescent="0.2">
      <c r="E19776" s="18"/>
      <c r="F19776" s="18"/>
    </row>
    <row r="19777" spans="5:6" ht="15" customHeight="1" x14ac:dyDescent="0.2">
      <c r="E19777" s="18"/>
      <c r="F19777" s="18"/>
    </row>
    <row r="19778" spans="5:6" ht="15" customHeight="1" x14ac:dyDescent="0.2">
      <c r="E19778" s="18"/>
      <c r="F19778" s="18"/>
    </row>
    <row r="19779" spans="5:6" ht="15" customHeight="1" x14ac:dyDescent="0.2">
      <c r="E19779" s="18"/>
      <c r="F19779" s="18"/>
    </row>
    <row r="19780" spans="5:6" ht="15" customHeight="1" x14ac:dyDescent="0.2">
      <c r="E19780" s="18"/>
      <c r="F19780" s="18"/>
    </row>
    <row r="19781" spans="5:6" ht="15" customHeight="1" x14ac:dyDescent="0.2">
      <c r="E19781" s="18"/>
      <c r="F19781" s="18"/>
    </row>
    <row r="19782" spans="5:6" ht="15" customHeight="1" x14ac:dyDescent="0.2">
      <c r="E19782" s="18"/>
      <c r="F19782" s="18"/>
    </row>
    <row r="19783" spans="5:6" ht="15" customHeight="1" x14ac:dyDescent="0.2">
      <c r="E19783" s="18"/>
      <c r="F19783" s="18"/>
    </row>
    <row r="19784" spans="5:6" ht="15" customHeight="1" x14ac:dyDescent="0.2">
      <c r="E19784" s="18"/>
      <c r="F19784" s="18"/>
    </row>
    <row r="19785" spans="5:6" ht="15" customHeight="1" x14ac:dyDescent="0.2">
      <c r="E19785" s="18"/>
      <c r="F19785" s="18"/>
    </row>
    <row r="19786" spans="5:6" ht="15" customHeight="1" x14ac:dyDescent="0.2">
      <c r="E19786" s="18"/>
      <c r="F19786" s="18"/>
    </row>
    <row r="19787" spans="5:6" ht="15" customHeight="1" x14ac:dyDescent="0.2">
      <c r="E19787" s="18"/>
      <c r="F19787" s="18"/>
    </row>
    <row r="19788" spans="5:6" ht="15" customHeight="1" x14ac:dyDescent="0.2">
      <c r="E19788" s="18"/>
      <c r="F19788" s="18"/>
    </row>
    <row r="19789" spans="5:6" ht="15" customHeight="1" x14ac:dyDescent="0.2">
      <c r="E19789" s="18"/>
      <c r="F19789" s="18"/>
    </row>
    <row r="19790" spans="5:6" ht="15" customHeight="1" x14ac:dyDescent="0.2">
      <c r="E19790" s="18"/>
      <c r="F19790" s="18"/>
    </row>
    <row r="19791" spans="5:6" ht="15" customHeight="1" x14ac:dyDescent="0.2">
      <c r="E19791" s="18"/>
      <c r="F19791" s="18"/>
    </row>
    <row r="19792" spans="5:6" ht="15" customHeight="1" x14ac:dyDescent="0.2">
      <c r="E19792" s="18"/>
      <c r="F19792" s="18"/>
    </row>
    <row r="19793" spans="5:6" ht="15" customHeight="1" x14ac:dyDescent="0.2">
      <c r="E19793" s="18"/>
      <c r="F19793" s="18"/>
    </row>
    <row r="19794" spans="5:6" ht="15" customHeight="1" x14ac:dyDescent="0.2">
      <c r="E19794" s="18"/>
      <c r="F19794" s="18"/>
    </row>
    <row r="19795" spans="5:6" ht="15" customHeight="1" x14ac:dyDescent="0.2">
      <c r="E19795" s="18"/>
      <c r="F19795" s="18"/>
    </row>
    <row r="19796" spans="5:6" ht="15" customHeight="1" x14ac:dyDescent="0.2">
      <c r="E19796" s="18"/>
      <c r="F19796" s="18"/>
    </row>
    <row r="19797" spans="5:6" ht="15" customHeight="1" x14ac:dyDescent="0.2">
      <c r="E19797" s="18"/>
      <c r="F19797" s="18"/>
    </row>
    <row r="19798" spans="5:6" ht="15" customHeight="1" x14ac:dyDescent="0.2">
      <c r="E19798" s="18"/>
      <c r="F19798" s="18"/>
    </row>
    <row r="19799" spans="5:6" ht="15" customHeight="1" x14ac:dyDescent="0.2">
      <c r="E19799" s="18"/>
      <c r="F19799" s="18"/>
    </row>
    <row r="19800" spans="5:6" ht="15" customHeight="1" x14ac:dyDescent="0.2">
      <c r="E19800" s="18"/>
      <c r="F19800" s="18"/>
    </row>
    <row r="19801" spans="5:6" ht="15" customHeight="1" x14ac:dyDescent="0.2">
      <c r="E19801" s="18"/>
      <c r="F19801" s="18"/>
    </row>
    <row r="19802" spans="5:6" ht="15" customHeight="1" x14ac:dyDescent="0.2">
      <c r="E19802" s="18"/>
      <c r="F19802" s="18"/>
    </row>
    <row r="19803" spans="5:6" ht="15" customHeight="1" x14ac:dyDescent="0.2">
      <c r="E19803" s="18"/>
      <c r="F19803" s="18"/>
    </row>
    <row r="19804" spans="5:6" ht="15" customHeight="1" x14ac:dyDescent="0.2">
      <c r="E19804" s="18"/>
      <c r="F19804" s="18"/>
    </row>
    <row r="19805" spans="5:6" ht="15" customHeight="1" x14ac:dyDescent="0.2">
      <c r="E19805" s="18"/>
      <c r="F19805" s="18"/>
    </row>
    <row r="19806" spans="5:6" ht="15" customHeight="1" x14ac:dyDescent="0.2">
      <c r="E19806" s="18"/>
      <c r="F19806" s="18"/>
    </row>
    <row r="19807" spans="5:6" ht="15" customHeight="1" x14ac:dyDescent="0.2">
      <c r="E19807" s="18"/>
      <c r="F19807" s="18"/>
    </row>
    <row r="19808" spans="5:6" ht="15" customHeight="1" x14ac:dyDescent="0.2">
      <c r="E19808" s="18"/>
      <c r="F19808" s="18"/>
    </row>
    <row r="19809" spans="5:6" ht="15" customHeight="1" x14ac:dyDescent="0.2">
      <c r="E19809" s="18"/>
      <c r="F19809" s="18"/>
    </row>
    <row r="19810" spans="5:6" ht="15" customHeight="1" x14ac:dyDescent="0.2">
      <c r="E19810" s="18"/>
      <c r="F19810" s="18"/>
    </row>
    <row r="19811" spans="5:6" ht="15" customHeight="1" x14ac:dyDescent="0.2">
      <c r="E19811" s="18"/>
      <c r="F19811" s="18"/>
    </row>
    <row r="19812" spans="5:6" ht="15" customHeight="1" x14ac:dyDescent="0.2">
      <c r="E19812" s="18"/>
      <c r="F19812" s="18"/>
    </row>
    <row r="19813" spans="5:6" ht="15" customHeight="1" x14ac:dyDescent="0.2">
      <c r="E19813" s="18"/>
      <c r="F19813" s="18"/>
    </row>
    <row r="19814" spans="5:6" ht="15" customHeight="1" x14ac:dyDescent="0.2">
      <c r="E19814" s="18"/>
      <c r="F19814" s="18"/>
    </row>
    <row r="19815" spans="5:6" ht="15" customHeight="1" x14ac:dyDescent="0.2">
      <c r="E19815" s="18"/>
      <c r="F19815" s="18"/>
    </row>
    <row r="19816" spans="5:6" ht="15" customHeight="1" x14ac:dyDescent="0.2">
      <c r="E19816" s="18"/>
      <c r="F19816" s="18"/>
    </row>
    <row r="19817" spans="5:6" ht="15" customHeight="1" x14ac:dyDescent="0.2">
      <c r="E19817" s="18"/>
      <c r="F19817" s="18"/>
    </row>
    <row r="19818" spans="5:6" ht="15" customHeight="1" x14ac:dyDescent="0.2">
      <c r="E19818" s="18"/>
      <c r="F19818" s="18"/>
    </row>
    <row r="19819" spans="5:6" ht="15" customHeight="1" x14ac:dyDescent="0.2">
      <c r="E19819" s="18"/>
      <c r="F19819" s="18"/>
    </row>
    <row r="19820" spans="5:6" ht="15" customHeight="1" x14ac:dyDescent="0.2">
      <c r="E19820" s="18"/>
      <c r="F19820" s="18"/>
    </row>
    <row r="19821" spans="5:6" ht="15" customHeight="1" x14ac:dyDescent="0.2">
      <c r="E19821" s="18"/>
      <c r="F19821" s="18"/>
    </row>
    <row r="19822" spans="5:6" ht="15" customHeight="1" x14ac:dyDescent="0.2">
      <c r="E19822" s="18"/>
      <c r="F19822" s="18"/>
    </row>
    <row r="19823" spans="5:6" ht="15" customHeight="1" x14ac:dyDescent="0.2">
      <c r="E19823" s="18"/>
      <c r="F19823" s="18"/>
    </row>
    <row r="19824" spans="5:6" ht="15" customHeight="1" x14ac:dyDescent="0.2">
      <c r="E19824" s="18"/>
      <c r="F19824" s="18"/>
    </row>
    <row r="19825" spans="5:6" ht="15" customHeight="1" x14ac:dyDescent="0.2">
      <c r="E19825" s="18"/>
      <c r="F19825" s="18"/>
    </row>
    <row r="19826" spans="5:6" ht="15" customHeight="1" x14ac:dyDescent="0.2">
      <c r="E19826" s="18"/>
      <c r="F19826" s="18"/>
    </row>
    <row r="19827" spans="5:6" ht="15" customHeight="1" x14ac:dyDescent="0.2">
      <c r="E19827" s="18"/>
      <c r="F19827" s="18"/>
    </row>
    <row r="19828" spans="5:6" ht="15" customHeight="1" x14ac:dyDescent="0.2">
      <c r="E19828" s="18"/>
      <c r="F19828" s="18"/>
    </row>
    <row r="19829" spans="5:6" ht="15" customHeight="1" x14ac:dyDescent="0.2">
      <c r="E19829" s="18"/>
      <c r="F19829" s="18"/>
    </row>
    <row r="19830" spans="5:6" ht="15" customHeight="1" x14ac:dyDescent="0.2">
      <c r="E19830" s="18"/>
      <c r="F19830" s="18"/>
    </row>
    <row r="19831" spans="5:6" ht="15" customHeight="1" x14ac:dyDescent="0.2">
      <c r="E19831" s="18"/>
      <c r="F19831" s="18"/>
    </row>
    <row r="19832" spans="5:6" ht="15" customHeight="1" x14ac:dyDescent="0.2">
      <c r="E19832" s="18"/>
      <c r="F19832" s="18"/>
    </row>
    <row r="19833" spans="5:6" ht="15" customHeight="1" x14ac:dyDescent="0.2">
      <c r="E19833" s="18"/>
      <c r="F19833" s="18"/>
    </row>
    <row r="19834" spans="5:6" ht="15" customHeight="1" x14ac:dyDescent="0.2">
      <c r="E19834" s="18"/>
      <c r="F19834" s="18"/>
    </row>
    <row r="19835" spans="5:6" ht="15" customHeight="1" x14ac:dyDescent="0.2">
      <c r="E19835" s="18"/>
      <c r="F19835" s="18"/>
    </row>
    <row r="19836" spans="5:6" ht="15" customHeight="1" x14ac:dyDescent="0.2">
      <c r="E19836" s="18"/>
      <c r="F19836" s="18"/>
    </row>
    <row r="19837" spans="5:6" ht="15" customHeight="1" x14ac:dyDescent="0.2">
      <c r="E19837" s="18"/>
      <c r="F19837" s="18"/>
    </row>
    <row r="19838" spans="5:6" ht="15" customHeight="1" x14ac:dyDescent="0.2">
      <c r="E19838" s="18"/>
      <c r="F19838" s="18"/>
    </row>
    <row r="19839" spans="5:6" ht="15" customHeight="1" x14ac:dyDescent="0.2">
      <c r="E19839" s="18"/>
      <c r="F19839" s="18"/>
    </row>
    <row r="19840" spans="5:6" ht="15" customHeight="1" x14ac:dyDescent="0.2">
      <c r="E19840" s="18"/>
      <c r="F19840" s="18"/>
    </row>
    <row r="19841" spans="5:6" ht="15" customHeight="1" x14ac:dyDescent="0.2">
      <c r="E19841" s="18"/>
      <c r="F19841" s="18"/>
    </row>
    <row r="19842" spans="5:6" ht="15" customHeight="1" x14ac:dyDescent="0.2">
      <c r="E19842" s="18"/>
      <c r="F19842" s="18"/>
    </row>
    <row r="19843" spans="5:6" ht="15" customHeight="1" x14ac:dyDescent="0.2">
      <c r="E19843" s="18"/>
      <c r="F19843" s="18"/>
    </row>
    <row r="19844" spans="5:6" ht="15" customHeight="1" x14ac:dyDescent="0.2">
      <c r="E19844" s="18"/>
      <c r="F19844" s="18"/>
    </row>
    <row r="19845" spans="5:6" ht="15" customHeight="1" x14ac:dyDescent="0.2">
      <c r="E19845" s="18"/>
      <c r="F19845" s="18"/>
    </row>
    <row r="19846" spans="5:6" ht="15" customHeight="1" x14ac:dyDescent="0.2">
      <c r="E19846" s="18"/>
      <c r="F19846" s="18"/>
    </row>
    <row r="19847" spans="5:6" ht="15" customHeight="1" x14ac:dyDescent="0.2">
      <c r="E19847" s="18"/>
      <c r="F19847" s="18"/>
    </row>
    <row r="19848" spans="5:6" ht="15" customHeight="1" x14ac:dyDescent="0.2">
      <c r="E19848" s="18"/>
      <c r="F19848" s="18"/>
    </row>
    <row r="19849" spans="5:6" ht="15" customHeight="1" x14ac:dyDescent="0.2">
      <c r="E19849" s="18"/>
      <c r="F19849" s="18"/>
    </row>
    <row r="19850" spans="5:6" ht="15" customHeight="1" x14ac:dyDescent="0.2">
      <c r="E19850" s="18"/>
      <c r="F19850" s="18"/>
    </row>
    <row r="19851" spans="5:6" ht="15" customHeight="1" x14ac:dyDescent="0.2">
      <c r="E19851" s="18"/>
      <c r="F19851" s="18"/>
    </row>
    <row r="19852" spans="5:6" ht="15" customHeight="1" x14ac:dyDescent="0.2">
      <c r="E19852" s="18"/>
      <c r="F19852" s="18"/>
    </row>
    <row r="19853" spans="5:6" ht="15" customHeight="1" x14ac:dyDescent="0.2">
      <c r="E19853" s="18"/>
      <c r="F19853" s="18"/>
    </row>
    <row r="19854" spans="5:6" ht="15" customHeight="1" x14ac:dyDescent="0.2">
      <c r="E19854" s="18"/>
      <c r="F19854" s="18"/>
    </row>
    <row r="19855" spans="5:6" ht="15" customHeight="1" x14ac:dyDescent="0.2">
      <c r="E19855" s="18"/>
      <c r="F19855" s="18"/>
    </row>
    <row r="19856" spans="5:6" ht="15" customHeight="1" x14ac:dyDescent="0.2">
      <c r="E19856" s="18"/>
      <c r="F19856" s="18"/>
    </row>
    <row r="19857" spans="5:6" ht="15" customHeight="1" x14ac:dyDescent="0.2">
      <c r="E19857" s="18"/>
      <c r="F19857" s="18"/>
    </row>
    <row r="19858" spans="5:6" ht="15" customHeight="1" x14ac:dyDescent="0.2">
      <c r="E19858" s="18"/>
      <c r="F19858" s="18"/>
    </row>
    <row r="19859" spans="5:6" ht="15" customHeight="1" x14ac:dyDescent="0.2">
      <c r="E19859" s="18"/>
      <c r="F19859" s="18"/>
    </row>
    <row r="19860" spans="5:6" ht="15" customHeight="1" x14ac:dyDescent="0.2">
      <c r="E19860" s="18"/>
      <c r="F19860" s="18"/>
    </row>
    <row r="19861" spans="5:6" ht="15" customHeight="1" x14ac:dyDescent="0.2">
      <c r="E19861" s="18"/>
      <c r="F19861" s="18"/>
    </row>
    <row r="19862" spans="5:6" ht="15" customHeight="1" x14ac:dyDescent="0.2">
      <c r="E19862" s="18"/>
      <c r="F19862" s="18"/>
    </row>
    <row r="19863" spans="5:6" ht="15" customHeight="1" x14ac:dyDescent="0.2">
      <c r="E19863" s="18"/>
      <c r="F19863" s="18"/>
    </row>
    <row r="19864" spans="5:6" ht="15" customHeight="1" x14ac:dyDescent="0.2">
      <c r="E19864" s="18"/>
      <c r="F19864" s="18"/>
    </row>
    <row r="19865" spans="5:6" ht="15" customHeight="1" x14ac:dyDescent="0.2">
      <c r="E19865" s="18"/>
      <c r="F19865" s="18"/>
    </row>
    <row r="19866" spans="5:6" ht="15" customHeight="1" x14ac:dyDescent="0.2">
      <c r="E19866" s="18"/>
      <c r="F19866" s="18"/>
    </row>
    <row r="19867" spans="5:6" ht="15" customHeight="1" x14ac:dyDescent="0.2">
      <c r="E19867" s="18"/>
      <c r="F19867" s="18"/>
    </row>
    <row r="19868" spans="5:6" ht="15" customHeight="1" x14ac:dyDescent="0.2">
      <c r="E19868" s="18"/>
      <c r="F19868" s="18"/>
    </row>
    <row r="19869" spans="5:6" ht="15" customHeight="1" x14ac:dyDescent="0.2">
      <c r="E19869" s="18"/>
      <c r="F19869" s="18"/>
    </row>
    <row r="19870" spans="5:6" ht="15" customHeight="1" x14ac:dyDescent="0.2">
      <c r="E19870" s="18"/>
      <c r="F19870" s="18"/>
    </row>
    <row r="19871" spans="5:6" ht="15" customHeight="1" x14ac:dyDescent="0.2">
      <c r="E19871" s="18"/>
      <c r="F19871" s="18"/>
    </row>
    <row r="19872" spans="5:6" ht="15" customHeight="1" x14ac:dyDescent="0.2">
      <c r="E19872" s="18"/>
      <c r="F19872" s="18"/>
    </row>
    <row r="19873" spans="5:6" ht="15" customHeight="1" x14ac:dyDescent="0.2">
      <c r="E19873" s="18"/>
      <c r="F19873" s="18"/>
    </row>
    <row r="19874" spans="5:6" ht="15" customHeight="1" x14ac:dyDescent="0.2">
      <c r="E19874" s="18"/>
      <c r="F19874" s="18"/>
    </row>
    <row r="19875" spans="5:6" ht="15" customHeight="1" x14ac:dyDescent="0.2">
      <c r="E19875" s="18"/>
      <c r="F19875" s="18"/>
    </row>
    <row r="19876" spans="5:6" ht="15" customHeight="1" x14ac:dyDescent="0.2">
      <c r="E19876" s="18"/>
      <c r="F19876" s="18"/>
    </row>
    <row r="19877" spans="5:6" ht="15" customHeight="1" x14ac:dyDescent="0.2">
      <c r="E19877" s="18"/>
      <c r="F19877" s="18"/>
    </row>
    <row r="19878" spans="5:6" ht="15" customHeight="1" x14ac:dyDescent="0.2">
      <c r="E19878" s="18"/>
      <c r="F19878" s="18"/>
    </row>
    <row r="19879" spans="5:6" ht="15" customHeight="1" x14ac:dyDescent="0.2">
      <c r="E19879" s="18"/>
      <c r="F19879" s="18"/>
    </row>
    <row r="19880" spans="5:6" ht="15" customHeight="1" x14ac:dyDescent="0.2">
      <c r="E19880" s="18"/>
      <c r="F19880" s="18"/>
    </row>
    <row r="19881" spans="5:6" ht="15" customHeight="1" x14ac:dyDescent="0.2">
      <c r="E19881" s="18"/>
      <c r="F19881" s="18"/>
    </row>
    <row r="19882" spans="5:6" ht="15" customHeight="1" x14ac:dyDescent="0.2">
      <c r="E19882" s="18"/>
      <c r="F19882" s="18"/>
    </row>
    <row r="19883" spans="5:6" ht="15" customHeight="1" x14ac:dyDescent="0.2">
      <c r="E19883" s="18"/>
      <c r="F19883" s="18"/>
    </row>
    <row r="19884" spans="5:6" ht="15" customHeight="1" x14ac:dyDescent="0.2">
      <c r="E19884" s="18"/>
      <c r="F19884" s="18"/>
    </row>
    <row r="19885" spans="5:6" ht="15" customHeight="1" x14ac:dyDescent="0.2">
      <c r="E19885" s="18"/>
      <c r="F19885" s="18"/>
    </row>
    <row r="19886" spans="5:6" ht="15" customHeight="1" x14ac:dyDescent="0.2">
      <c r="E19886" s="18"/>
      <c r="F19886" s="18"/>
    </row>
    <row r="19887" spans="5:6" ht="15" customHeight="1" x14ac:dyDescent="0.2">
      <c r="E19887" s="18"/>
      <c r="F19887" s="18"/>
    </row>
    <row r="19888" spans="5:6" ht="15" customHeight="1" x14ac:dyDescent="0.2">
      <c r="E19888" s="18"/>
      <c r="F19888" s="18"/>
    </row>
    <row r="19889" spans="5:6" ht="15" customHeight="1" x14ac:dyDescent="0.2">
      <c r="E19889" s="18"/>
      <c r="F19889" s="18"/>
    </row>
    <row r="19890" spans="5:6" ht="15" customHeight="1" x14ac:dyDescent="0.2">
      <c r="E19890" s="18"/>
      <c r="F19890" s="18"/>
    </row>
    <row r="19891" spans="5:6" ht="15" customHeight="1" x14ac:dyDescent="0.2">
      <c r="E19891" s="18"/>
      <c r="F19891" s="18"/>
    </row>
    <row r="19892" spans="5:6" ht="15" customHeight="1" x14ac:dyDescent="0.2">
      <c r="E19892" s="18"/>
      <c r="F19892" s="18"/>
    </row>
    <row r="19893" spans="5:6" ht="15" customHeight="1" x14ac:dyDescent="0.2">
      <c r="E19893" s="18"/>
      <c r="F19893" s="18"/>
    </row>
    <row r="19894" spans="5:6" ht="15" customHeight="1" x14ac:dyDescent="0.2">
      <c r="E19894" s="18"/>
      <c r="F19894" s="18"/>
    </row>
    <row r="19895" spans="5:6" ht="15" customHeight="1" x14ac:dyDescent="0.2">
      <c r="E19895" s="18"/>
      <c r="F19895" s="18"/>
    </row>
    <row r="19896" spans="5:6" ht="15" customHeight="1" x14ac:dyDescent="0.2">
      <c r="E19896" s="18"/>
      <c r="F19896" s="18"/>
    </row>
    <row r="19897" spans="5:6" ht="15" customHeight="1" x14ac:dyDescent="0.2">
      <c r="E19897" s="18"/>
      <c r="F19897" s="18"/>
    </row>
    <row r="19898" spans="5:6" ht="15" customHeight="1" x14ac:dyDescent="0.2">
      <c r="E19898" s="18"/>
      <c r="F19898" s="18"/>
    </row>
    <row r="19899" spans="5:6" ht="15" customHeight="1" x14ac:dyDescent="0.2">
      <c r="E19899" s="18"/>
      <c r="F19899" s="18"/>
    </row>
    <row r="19900" spans="5:6" ht="15" customHeight="1" x14ac:dyDescent="0.2">
      <c r="E19900" s="18"/>
      <c r="F19900" s="18"/>
    </row>
    <row r="19901" spans="5:6" ht="15" customHeight="1" x14ac:dyDescent="0.2">
      <c r="E19901" s="18"/>
      <c r="F19901" s="18"/>
    </row>
    <row r="19902" spans="5:6" ht="15" customHeight="1" x14ac:dyDescent="0.2">
      <c r="E19902" s="18"/>
      <c r="F19902" s="18"/>
    </row>
    <row r="19903" spans="5:6" ht="15" customHeight="1" x14ac:dyDescent="0.2">
      <c r="E19903" s="18"/>
      <c r="F19903" s="18"/>
    </row>
    <row r="19904" spans="5:6" ht="15" customHeight="1" x14ac:dyDescent="0.2">
      <c r="E19904" s="18"/>
      <c r="F19904" s="18"/>
    </row>
    <row r="19905" spans="5:6" ht="15" customHeight="1" x14ac:dyDescent="0.2">
      <c r="E19905" s="18"/>
      <c r="F19905" s="18"/>
    </row>
    <row r="19906" spans="5:6" ht="15" customHeight="1" x14ac:dyDescent="0.2">
      <c r="E19906" s="18"/>
      <c r="F19906" s="18"/>
    </row>
    <row r="19907" spans="5:6" ht="15" customHeight="1" x14ac:dyDescent="0.2">
      <c r="E19907" s="18"/>
      <c r="F19907" s="18"/>
    </row>
    <row r="19908" spans="5:6" ht="15" customHeight="1" x14ac:dyDescent="0.2">
      <c r="E19908" s="18"/>
      <c r="F19908" s="18"/>
    </row>
    <row r="19909" spans="5:6" ht="15" customHeight="1" x14ac:dyDescent="0.2">
      <c r="E19909" s="18"/>
      <c r="F19909" s="18"/>
    </row>
    <row r="19910" spans="5:6" ht="15" customHeight="1" x14ac:dyDescent="0.2">
      <c r="E19910" s="18"/>
      <c r="F19910" s="18"/>
    </row>
    <row r="19911" spans="5:6" ht="15" customHeight="1" x14ac:dyDescent="0.2">
      <c r="E19911" s="18"/>
      <c r="F19911" s="18"/>
    </row>
    <row r="19912" spans="5:6" ht="15" customHeight="1" x14ac:dyDescent="0.2">
      <c r="E19912" s="18"/>
      <c r="F19912" s="18"/>
    </row>
    <row r="19913" spans="5:6" ht="15" customHeight="1" x14ac:dyDescent="0.2">
      <c r="E19913" s="18"/>
      <c r="F19913" s="18"/>
    </row>
    <row r="19914" spans="5:6" ht="15" customHeight="1" x14ac:dyDescent="0.2">
      <c r="E19914" s="18"/>
      <c r="F19914" s="18"/>
    </row>
    <row r="19915" spans="5:6" ht="15" customHeight="1" x14ac:dyDescent="0.2">
      <c r="E19915" s="18"/>
      <c r="F19915" s="18"/>
    </row>
    <row r="19916" spans="5:6" ht="15" customHeight="1" x14ac:dyDescent="0.2">
      <c r="E19916" s="18"/>
      <c r="F19916" s="18"/>
    </row>
    <row r="19917" spans="5:6" ht="15" customHeight="1" x14ac:dyDescent="0.2">
      <c r="E19917" s="18"/>
      <c r="F19917" s="18"/>
    </row>
    <row r="19918" spans="5:6" ht="15" customHeight="1" x14ac:dyDescent="0.2">
      <c r="E19918" s="18"/>
      <c r="F19918" s="18"/>
    </row>
    <row r="19919" spans="5:6" ht="15" customHeight="1" x14ac:dyDescent="0.2">
      <c r="E19919" s="18"/>
      <c r="F19919" s="18"/>
    </row>
    <row r="19920" spans="5:6" ht="15" customHeight="1" x14ac:dyDescent="0.2">
      <c r="E19920" s="18"/>
      <c r="F19920" s="18"/>
    </row>
    <row r="19921" spans="5:6" ht="15" customHeight="1" x14ac:dyDescent="0.2">
      <c r="E19921" s="18"/>
      <c r="F19921" s="18"/>
    </row>
    <row r="19922" spans="5:6" ht="15" customHeight="1" x14ac:dyDescent="0.2">
      <c r="E19922" s="18"/>
      <c r="F19922" s="18"/>
    </row>
    <row r="19923" spans="5:6" ht="15" customHeight="1" x14ac:dyDescent="0.2">
      <c r="E19923" s="18"/>
      <c r="F19923" s="18"/>
    </row>
    <row r="19924" spans="5:6" ht="15" customHeight="1" x14ac:dyDescent="0.2">
      <c r="E19924" s="18"/>
      <c r="F19924" s="18"/>
    </row>
    <row r="19925" spans="5:6" ht="15" customHeight="1" x14ac:dyDescent="0.2">
      <c r="E19925" s="18"/>
      <c r="F19925" s="18"/>
    </row>
    <row r="19926" spans="5:6" ht="15" customHeight="1" x14ac:dyDescent="0.2">
      <c r="E19926" s="18"/>
      <c r="F19926" s="18"/>
    </row>
    <row r="19927" spans="5:6" ht="15" customHeight="1" x14ac:dyDescent="0.2">
      <c r="E19927" s="18"/>
      <c r="F19927" s="18"/>
    </row>
    <row r="19928" spans="5:6" ht="15" customHeight="1" x14ac:dyDescent="0.2">
      <c r="E19928" s="18"/>
      <c r="F19928" s="18"/>
    </row>
    <row r="19929" spans="5:6" ht="15" customHeight="1" x14ac:dyDescent="0.2">
      <c r="E19929" s="18"/>
      <c r="F19929" s="18"/>
    </row>
    <row r="19930" spans="5:6" ht="15" customHeight="1" x14ac:dyDescent="0.2">
      <c r="E19930" s="18"/>
      <c r="F19930" s="18"/>
    </row>
    <row r="19931" spans="5:6" ht="15" customHeight="1" x14ac:dyDescent="0.2">
      <c r="E19931" s="18"/>
      <c r="F19931" s="18"/>
    </row>
    <row r="19932" spans="5:6" ht="15" customHeight="1" x14ac:dyDescent="0.2">
      <c r="E19932" s="18"/>
      <c r="F19932" s="18"/>
    </row>
    <row r="19933" spans="5:6" ht="15" customHeight="1" x14ac:dyDescent="0.2">
      <c r="E19933" s="18"/>
      <c r="F19933" s="18"/>
    </row>
    <row r="19934" spans="5:6" ht="15" customHeight="1" x14ac:dyDescent="0.2">
      <c r="E19934" s="18"/>
      <c r="F19934" s="18"/>
    </row>
    <row r="19935" spans="5:6" ht="15" customHeight="1" x14ac:dyDescent="0.2">
      <c r="E19935" s="18"/>
      <c r="F19935" s="18"/>
    </row>
    <row r="19936" spans="5:6" ht="15" customHeight="1" x14ac:dyDescent="0.2">
      <c r="E19936" s="18"/>
      <c r="F19936" s="18"/>
    </row>
    <row r="19937" spans="5:6" ht="15" customHeight="1" x14ac:dyDescent="0.2">
      <c r="E19937" s="18"/>
      <c r="F19937" s="18"/>
    </row>
    <row r="19938" spans="5:6" ht="15" customHeight="1" x14ac:dyDescent="0.2">
      <c r="E19938" s="18"/>
      <c r="F19938" s="18"/>
    </row>
    <row r="19939" spans="5:6" ht="15" customHeight="1" x14ac:dyDescent="0.2">
      <c r="E19939" s="18"/>
      <c r="F19939" s="18"/>
    </row>
    <row r="19940" spans="5:6" ht="15" customHeight="1" x14ac:dyDescent="0.2">
      <c r="E19940" s="18"/>
      <c r="F19940" s="18"/>
    </row>
    <row r="19941" spans="5:6" ht="15" customHeight="1" x14ac:dyDescent="0.2">
      <c r="E19941" s="18"/>
      <c r="F19941" s="18"/>
    </row>
    <row r="19942" spans="5:6" ht="15" customHeight="1" x14ac:dyDescent="0.2">
      <c r="E19942" s="18"/>
      <c r="F19942" s="18"/>
    </row>
    <row r="19943" spans="5:6" ht="15" customHeight="1" x14ac:dyDescent="0.2">
      <c r="E19943" s="18"/>
      <c r="F19943" s="18"/>
    </row>
    <row r="19944" spans="5:6" ht="15" customHeight="1" x14ac:dyDescent="0.2">
      <c r="E19944" s="18"/>
      <c r="F19944" s="18"/>
    </row>
    <row r="19945" spans="5:6" ht="15" customHeight="1" x14ac:dyDescent="0.2">
      <c r="E19945" s="18"/>
      <c r="F19945" s="18"/>
    </row>
    <row r="19946" spans="5:6" ht="15" customHeight="1" x14ac:dyDescent="0.2">
      <c r="E19946" s="18"/>
      <c r="F19946" s="18"/>
    </row>
    <row r="19947" spans="5:6" ht="15" customHeight="1" x14ac:dyDescent="0.2">
      <c r="E19947" s="18"/>
      <c r="F19947" s="18"/>
    </row>
    <row r="19948" spans="5:6" ht="15" customHeight="1" x14ac:dyDescent="0.2">
      <c r="E19948" s="18"/>
      <c r="F19948" s="18"/>
    </row>
    <row r="19949" spans="5:6" ht="15" customHeight="1" x14ac:dyDescent="0.2">
      <c r="E19949" s="18"/>
      <c r="F19949" s="18"/>
    </row>
    <row r="19950" spans="5:6" ht="15" customHeight="1" x14ac:dyDescent="0.2">
      <c r="E19950" s="18"/>
      <c r="F19950" s="18"/>
    </row>
    <row r="19951" spans="5:6" ht="15" customHeight="1" x14ac:dyDescent="0.2">
      <c r="E19951" s="18"/>
      <c r="F19951" s="18"/>
    </row>
    <row r="19952" spans="5:6" ht="15" customHeight="1" x14ac:dyDescent="0.2">
      <c r="E19952" s="18"/>
      <c r="F19952" s="18"/>
    </row>
    <row r="19953" spans="5:6" ht="15" customHeight="1" x14ac:dyDescent="0.2">
      <c r="E19953" s="18"/>
      <c r="F19953" s="18"/>
    </row>
    <row r="19954" spans="5:6" ht="15" customHeight="1" x14ac:dyDescent="0.2">
      <c r="E19954" s="18"/>
      <c r="F19954" s="18"/>
    </row>
    <row r="19955" spans="5:6" ht="15" customHeight="1" x14ac:dyDescent="0.2">
      <c r="E19955" s="18"/>
      <c r="F19955" s="18"/>
    </row>
    <row r="19956" spans="5:6" ht="15" customHeight="1" x14ac:dyDescent="0.2">
      <c r="E19956" s="18"/>
      <c r="F19956" s="18"/>
    </row>
    <row r="19957" spans="5:6" ht="15" customHeight="1" x14ac:dyDescent="0.2">
      <c r="E19957" s="18"/>
      <c r="F19957" s="18"/>
    </row>
    <row r="19958" spans="5:6" ht="15" customHeight="1" x14ac:dyDescent="0.2">
      <c r="E19958" s="18"/>
      <c r="F19958" s="18"/>
    </row>
    <row r="19959" spans="5:6" ht="15" customHeight="1" x14ac:dyDescent="0.2">
      <c r="E19959" s="18"/>
      <c r="F19959" s="18"/>
    </row>
    <row r="19960" spans="5:6" ht="15" customHeight="1" x14ac:dyDescent="0.2">
      <c r="E19960" s="18"/>
      <c r="F19960" s="18"/>
    </row>
    <row r="19961" spans="5:6" ht="15" customHeight="1" x14ac:dyDescent="0.2">
      <c r="E19961" s="18"/>
      <c r="F19961" s="18"/>
    </row>
    <row r="19962" spans="5:6" ht="15" customHeight="1" x14ac:dyDescent="0.2">
      <c r="E19962" s="18"/>
      <c r="F19962" s="18"/>
    </row>
    <row r="19963" spans="5:6" ht="15" customHeight="1" x14ac:dyDescent="0.2">
      <c r="E19963" s="18"/>
      <c r="F19963" s="18"/>
    </row>
    <row r="19964" spans="5:6" ht="15" customHeight="1" x14ac:dyDescent="0.2">
      <c r="E19964" s="18"/>
      <c r="F19964" s="18"/>
    </row>
    <row r="19965" spans="5:6" ht="15" customHeight="1" x14ac:dyDescent="0.2">
      <c r="E19965" s="18"/>
      <c r="F19965" s="18"/>
    </row>
    <row r="19966" spans="5:6" ht="15" customHeight="1" x14ac:dyDescent="0.2">
      <c r="E19966" s="18"/>
      <c r="F19966" s="18"/>
    </row>
    <row r="19967" spans="5:6" ht="15" customHeight="1" x14ac:dyDescent="0.2">
      <c r="E19967" s="18"/>
      <c r="F19967" s="18"/>
    </row>
    <row r="19968" spans="5:6" ht="15" customHeight="1" x14ac:dyDescent="0.2">
      <c r="E19968" s="18"/>
      <c r="F19968" s="18"/>
    </row>
    <row r="19969" spans="5:6" ht="15" customHeight="1" x14ac:dyDescent="0.2">
      <c r="E19969" s="18"/>
      <c r="F19969" s="18"/>
    </row>
    <row r="19970" spans="5:6" ht="15" customHeight="1" x14ac:dyDescent="0.2">
      <c r="E19970" s="18"/>
      <c r="F19970" s="18"/>
    </row>
    <row r="19971" spans="5:6" ht="15" customHeight="1" x14ac:dyDescent="0.2">
      <c r="E19971" s="18"/>
      <c r="F19971" s="18"/>
    </row>
    <row r="19972" spans="5:6" ht="15" customHeight="1" x14ac:dyDescent="0.2">
      <c r="E19972" s="18"/>
      <c r="F19972" s="18"/>
    </row>
    <row r="19973" spans="5:6" ht="15" customHeight="1" x14ac:dyDescent="0.2">
      <c r="E19973" s="18"/>
      <c r="F19973" s="18"/>
    </row>
    <row r="19974" spans="5:6" ht="15" customHeight="1" x14ac:dyDescent="0.2">
      <c r="E19974" s="18"/>
      <c r="F19974" s="18"/>
    </row>
    <row r="19975" spans="5:6" ht="15" customHeight="1" x14ac:dyDescent="0.2">
      <c r="E19975" s="18"/>
      <c r="F19975" s="18"/>
    </row>
    <row r="19976" spans="5:6" ht="15" customHeight="1" x14ac:dyDescent="0.2">
      <c r="E19976" s="18"/>
      <c r="F19976" s="18"/>
    </row>
    <row r="19977" spans="5:6" ht="15" customHeight="1" x14ac:dyDescent="0.2">
      <c r="E19977" s="18"/>
      <c r="F19977" s="18"/>
    </row>
    <row r="19978" spans="5:6" ht="15" customHeight="1" x14ac:dyDescent="0.2">
      <c r="E19978" s="18"/>
      <c r="F19978" s="18"/>
    </row>
    <row r="19979" spans="5:6" ht="15" customHeight="1" x14ac:dyDescent="0.2">
      <c r="E19979" s="18"/>
      <c r="F19979" s="18"/>
    </row>
    <row r="19980" spans="5:6" ht="15" customHeight="1" x14ac:dyDescent="0.2">
      <c r="E19980" s="18"/>
      <c r="F19980" s="18"/>
    </row>
    <row r="19981" spans="5:6" ht="15" customHeight="1" x14ac:dyDescent="0.2">
      <c r="E19981" s="18"/>
      <c r="F19981" s="18"/>
    </row>
    <row r="19982" spans="5:6" ht="15" customHeight="1" x14ac:dyDescent="0.2">
      <c r="E19982" s="18"/>
      <c r="F19982" s="18"/>
    </row>
    <row r="19983" spans="5:6" ht="15" customHeight="1" x14ac:dyDescent="0.2">
      <c r="E19983" s="18"/>
      <c r="F19983" s="18"/>
    </row>
    <row r="19984" spans="5:6" ht="15" customHeight="1" x14ac:dyDescent="0.2">
      <c r="E19984" s="18"/>
      <c r="F19984" s="18"/>
    </row>
    <row r="19985" spans="5:6" ht="15" customHeight="1" x14ac:dyDescent="0.2">
      <c r="E19985" s="18"/>
      <c r="F19985" s="18"/>
    </row>
    <row r="19986" spans="5:6" ht="15" customHeight="1" x14ac:dyDescent="0.2">
      <c r="E19986" s="18"/>
      <c r="F19986" s="18"/>
    </row>
    <row r="19987" spans="5:6" ht="15" customHeight="1" x14ac:dyDescent="0.2">
      <c r="E19987" s="18"/>
      <c r="F19987" s="18"/>
    </row>
    <row r="19988" spans="5:6" ht="15" customHeight="1" x14ac:dyDescent="0.2">
      <c r="E19988" s="18"/>
      <c r="F19988" s="18"/>
    </row>
    <row r="19989" spans="5:6" ht="15" customHeight="1" x14ac:dyDescent="0.2">
      <c r="E19989" s="18"/>
      <c r="F19989" s="18"/>
    </row>
    <row r="19990" spans="5:6" ht="15" customHeight="1" x14ac:dyDescent="0.2">
      <c r="E19990" s="18"/>
      <c r="F19990" s="18"/>
    </row>
    <row r="19991" spans="5:6" ht="15" customHeight="1" x14ac:dyDescent="0.2">
      <c r="E19991" s="18"/>
      <c r="F19991" s="18"/>
    </row>
    <row r="19992" spans="5:6" ht="15" customHeight="1" x14ac:dyDescent="0.2">
      <c r="E19992" s="18"/>
      <c r="F19992" s="18"/>
    </row>
    <row r="19993" spans="5:6" ht="15" customHeight="1" x14ac:dyDescent="0.2">
      <c r="E19993" s="18"/>
      <c r="F19993" s="18"/>
    </row>
    <row r="19994" spans="5:6" ht="15" customHeight="1" x14ac:dyDescent="0.2">
      <c r="E19994" s="18"/>
      <c r="F19994" s="18"/>
    </row>
    <row r="19995" spans="5:6" ht="15" customHeight="1" x14ac:dyDescent="0.2">
      <c r="E19995" s="18"/>
      <c r="F19995" s="18"/>
    </row>
    <row r="19996" spans="5:6" ht="15" customHeight="1" x14ac:dyDescent="0.2">
      <c r="E19996" s="18"/>
      <c r="F19996" s="18"/>
    </row>
    <row r="19997" spans="5:6" ht="15" customHeight="1" x14ac:dyDescent="0.2">
      <c r="E19997" s="18"/>
      <c r="F19997" s="18"/>
    </row>
    <row r="19998" spans="5:6" ht="15" customHeight="1" x14ac:dyDescent="0.2">
      <c r="E19998" s="18"/>
      <c r="F19998" s="18"/>
    </row>
    <row r="19999" spans="5:6" ht="15" customHeight="1" x14ac:dyDescent="0.2">
      <c r="E19999" s="18"/>
      <c r="F19999" s="18"/>
    </row>
    <row r="20000" spans="5:6" ht="15" customHeight="1" x14ac:dyDescent="0.2">
      <c r="E20000" s="18"/>
      <c r="F20000" s="18"/>
    </row>
    <row r="20001" spans="5:6" ht="15" customHeight="1" x14ac:dyDescent="0.2">
      <c r="E20001" s="18"/>
      <c r="F20001" s="18"/>
    </row>
    <row r="20002" spans="5:6" ht="15" customHeight="1" x14ac:dyDescent="0.2">
      <c r="E20002" s="18"/>
      <c r="F20002" s="18"/>
    </row>
    <row r="20003" spans="5:6" ht="15" customHeight="1" x14ac:dyDescent="0.2">
      <c r="E20003" s="18"/>
      <c r="F20003" s="18"/>
    </row>
    <row r="20004" spans="5:6" ht="15" customHeight="1" x14ac:dyDescent="0.2">
      <c r="E20004" s="18"/>
      <c r="F20004" s="18"/>
    </row>
    <row r="20005" spans="5:6" ht="15" customHeight="1" x14ac:dyDescent="0.2">
      <c r="E20005" s="18"/>
      <c r="F20005" s="18"/>
    </row>
    <row r="20006" spans="5:6" ht="15" customHeight="1" x14ac:dyDescent="0.2">
      <c r="E20006" s="18"/>
      <c r="F20006" s="18"/>
    </row>
    <row r="20007" spans="5:6" ht="15" customHeight="1" x14ac:dyDescent="0.2">
      <c r="E20007" s="18"/>
      <c r="F20007" s="18"/>
    </row>
    <row r="20008" spans="5:6" ht="15" customHeight="1" x14ac:dyDescent="0.2">
      <c r="E20008" s="18"/>
      <c r="F20008" s="18"/>
    </row>
    <row r="20009" spans="5:6" ht="15" customHeight="1" x14ac:dyDescent="0.2">
      <c r="E20009" s="18"/>
      <c r="F20009" s="18"/>
    </row>
    <row r="20010" spans="5:6" ht="15" customHeight="1" x14ac:dyDescent="0.2">
      <c r="E20010" s="18"/>
      <c r="F20010" s="18"/>
    </row>
    <row r="20011" spans="5:6" ht="15" customHeight="1" x14ac:dyDescent="0.2">
      <c r="E20011" s="18"/>
      <c r="F20011" s="18"/>
    </row>
    <row r="20012" spans="5:6" ht="15" customHeight="1" x14ac:dyDescent="0.2">
      <c r="E20012" s="18"/>
      <c r="F20012" s="18"/>
    </row>
    <row r="20013" spans="5:6" ht="15" customHeight="1" x14ac:dyDescent="0.2">
      <c r="E20013" s="18"/>
      <c r="F20013" s="18"/>
    </row>
    <row r="20014" spans="5:6" ht="15" customHeight="1" x14ac:dyDescent="0.2">
      <c r="E20014" s="18"/>
      <c r="F20014" s="18"/>
    </row>
    <row r="20015" spans="5:6" ht="15" customHeight="1" x14ac:dyDescent="0.2">
      <c r="E20015" s="18"/>
      <c r="F20015" s="18"/>
    </row>
    <row r="20016" spans="5:6" ht="15" customHeight="1" x14ac:dyDescent="0.2">
      <c r="E20016" s="18"/>
      <c r="F20016" s="18"/>
    </row>
    <row r="20017" spans="5:6" ht="15" customHeight="1" x14ac:dyDescent="0.2">
      <c r="E20017" s="18"/>
      <c r="F20017" s="18"/>
    </row>
    <row r="20018" spans="5:6" ht="15" customHeight="1" x14ac:dyDescent="0.2">
      <c r="E20018" s="18"/>
      <c r="F20018" s="18"/>
    </row>
    <row r="20019" spans="5:6" ht="15" customHeight="1" x14ac:dyDescent="0.2">
      <c r="E20019" s="18"/>
      <c r="F20019" s="18"/>
    </row>
    <row r="20020" spans="5:6" ht="15" customHeight="1" x14ac:dyDescent="0.2">
      <c r="E20020" s="18"/>
      <c r="F20020" s="18"/>
    </row>
    <row r="20021" spans="5:6" ht="15" customHeight="1" x14ac:dyDescent="0.2">
      <c r="E20021" s="18"/>
      <c r="F20021" s="18"/>
    </row>
    <row r="20022" spans="5:6" ht="15" customHeight="1" x14ac:dyDescent="0.2">
      <c r="E20022" s="18"/>
      <c r="F20022" s="18"/>
    </row>
    <row r="20023" spans="5:6" ht="15" customHeight="1" x14ac:dyDescent="0.2">
      <c r="E20023" s="18"/>
      <c r="F20023" s="18"/>
    </row>
    <row r="20024" spans="5:6" ht="15" customHeight="1" x14ac:dyDescent="0.2">
      <c r="E20024" s="18"/>
      <c r="F20024" s="18"/>
    </row>
    <row r="20025" spans="5:6" ht="15" customHeight="1" x14ac:dyDescent="0.2">
      <c r="E20025" s="18"/>
      <c r="F20025" s="18"/>
    </row>
    <row r="20026" spans="5:6" ht="15" customHeight="1" x14ac:dyDescent="0.2">
      <c r="E20026" s="18"/>
      <c r="F20026" s="18"/>
    </row>
    <row r="20027" spans="5:6" ht="15" customHeight="1" x14ac:dyDescent="0.2">
      <c r="E20027" s="18"/>
      <c r="F20027" s="18"/>
    </row>
    <row r="20028" spans="5:6" ht="15" customHeight="1" x14ac:dyDescent="0.2">
      <c r="E20028" s="18"/>
      <c r="F20028" s="18"/>
    </row>
    <row r="20029" spans="5:6" ht="15" customHeight="1" x14ac:dyDescent="0.2">
      <c r="E20029" s="18"/>
      <c r="F20029" s="18"/>
    </row>
    <row r="20030" spans="5:6" ht="15" customHeight="1" x14ac:dyDescent="0.2">
      <c r="E20030" s="18"/>
      <c r="F20030" s="18"/>
    </row>
    <row r="20031" spans="5:6" ht="15" customHeight="1" x14ac:dyDescent="0.2">
      <c r="E20031" s="18"/>
      <c r="F20031" s="18"/>
    </row>
    <row r="20032" spans="5:6" ht="15" customHeight="1" x14ac:dyDescent="0.2">
      <c r="E20032" s="18"/>
      <c r="F20032" s="18"/>
    </row>
    <row r="20033" spans="5:6" ht="15" customHeight="1" x14ac:dyDescent="0.2">
      <c r="E20033" s="18"/>
      <c r="F20033" s="18"/>
    </row>
    <row r="20034" spans="5:6" ht="15" customHeight="1" x14ac:dyDescent="0.2">
      <c r="E20034" s="18"/>
      <c r="F20034" s="18"/>
    </row>
    <row r="20035" spans="5:6" ht="15" customHeight="1" x14ac:dyDescent="0.2">
      <c r="E20035" s="18"/>
      <c r="F20035" s="18"/>
    </row>
    <row r="20036" spans="5:6" ht="15" customHeight="1" x14ac:dyDescent="0.2">
      <c r="E20036" s="18"/>
      <c r="F20036" s="18"/>
    </row>
    <row r="20037" spans="5:6" ht="15" customHeight="1" x14ac:dyDescent="0.2">
      <c r="E20037" s="18"/>
      <c r="F20037" s="18"/>
    </row>
    <row r="20038" spans="5:6" ht="15" customHeight="1" x14ac:dyDescent="0.2">
      <c r="E20038" s="18"/>
      <c r="F20038" s="18"/>
    </row>
    <row r="20039" spans="5:6" ht="15" customHeight="1" x14ac:dyDescent="0.2">
      <c r="E20039" s="18"/>
      <c r="F20039" s="18"/>
    </row>
    <row r="20040" spans="5:6" ht="15" customHeight="1" x14ac:dyDescent="0.2">
      <c r="E20040" s="18"/>
      <c r="F20040" s="18"/>
    </row>
    <row r="20041" spans="5:6" ht="15" customHeight="1" x14ac:dyDescent="0.2">
      <c r="E20041" s="18"/>
      <c r="F20041" s="18"/>
    </row>
    <row r="20042" spans="5:6" ht="15" customHeight="1" x14ac:dyDescent="0.2">
      <c r="E20042" s="18"/>
      <c r="F20042" s="18"/>
    </row>
    <row r="20043" spans="5:6" ht="15" customHeight="1" x14ac:dyDescent="0.2">
      <c r="E20043" s="18"/>
      <c r="F20043" s="18"/>
    </row>
    <row r="20044" spans="5:6" ht="15" customHeight="1" x14ac:dyDescent="0.2">
      <c r="E20044" s="18"/>
      <c r="F20044" s="18"/>
    </row>
    <row r="20045" spans="5:6" ht="15" customHeight="1" x14ac:dyDescent="0.2">
      <c r="E20045" s="18"/>
      <c r="F20045" s="18"/>
    </row>
    <row r="20046" spans="5:6" ht="15" customHeight="1" x14ac:dyDescent="0.2">
      <c r="E20046" s="18"/>
      <c r="F20046" s="18"/>
    </row>
    <row r="20047" spans="5:6" ht="15" customHeight="1" x14ac:dyDescent="0.2">
      <c r="E20047" s="18"/>
      <c r="F20047" s="18"/>
    </row>
    <row r="20048" spans="5:6" ht="15" customHeight="1" x14ac:dyDescent="0.2">
      <c r="E20048" s="18"/>
      <c r="F20048" s="18"/>
    </row>
    <row r="20049" spans="5:6" ht="15" customHeight="1" x14ac:dyDescent="0.2">
      <c r="E20049" s="18"/>
      <c r="F20049" s="18"/>
    </row>
    <row r="20050" spans="5:6" ht="15" customHeight="1" x14ac:dyDescent="0.2">
      <c r="E20050" s="18"/>
      <c r="F20050" s="18"/>
    </row>
    <row r="20051" spans="5:6" ht="15" customHeight="1" x14ac:dyDescent="0.2">
      <c r="E20051" s="18"/>
      <c r="F20051" s="18"/>
    </row>
    <row r="20052" spans="5:6" ht="15" customHeight="1" x14ac:dyDescent="0.2">
      <c r="E20052" s="18"/>
      <c r="F20052" s="18"/>
    </row>
    <row r="20053" spans="5:6" ht="15" customHeight="1" x14ac:dyDescent="0.2">
      <c r="E20053" s="18"/>
      <c r="F20053" s="18"/>
    </row>
    <row r="20054" spans="5:6" ht="15" customHeight="1" x14ac:dyDescent="0.2">
      <c r="E20054" s="18"/>
      <c r="F20054" s="18"/>
    </row>
    <row r="20055" spans="5:6" ht="15" customHeight="1" x14ac:dyDescent="0.2">
      <c r="E20055" s="18"/>
      <c r="F20055" s="18"/>
    </row>
    <row r="20056" spans="5:6" ht="15" customHeight="1" x14ac:dyDescent="0.2">
      <c r="E20056" s="18"/>
      <c r="F20056" s="18"/>
    </row>
    <row r="20057" spans="5:6" ht="15" customHeight="1" x14ac:dyDescent="0.2">
      <c r="E20057" s="18"/>
      <c r="F20057" s="18"/>
    </row>
    <row r="20058" spans="5:6" ht="15" customHeight="1" x14ac:dyDescent="0.2">
      <c r="E20058" s="18"/>
      <c r="F20058" s="18"/>
    </row>
    <row r="20059" spans="5:6" ht="15" customHeight="1" x14ac:dyDescent="0.2">
      <c r="E20059" s="18"/>
      <c r="F20059" s="18"/>
    </row>
    <row r="20060" spans="5:6" ht="15" customHeight="1" x14ac:dyDescent="0.2">
      <c r="E20060" s="18"/>
      <c r="F20060" s="18"/>
    </row>
    <row r="20061" spans="5:6" ht="15" customHeight="1" x14ac:dyDescent="0.2">
      <c r="E20061" s="18"/>
      <c r="F20061" s="18"/>
    </row>
    <row r="20062" spans="5:6" ht="15" customHeight="1" x14ac:dyDescent="0.2">
      <c r="E20062" s="18"/>
      <c r="F20062" s="18"/>
    </row>
    <row r="20063" spans="5:6" ht="15" customHeight="1" x14ac:dyDescent="0.2">
      <c r="E20063" s="18"/>
      <c r="F20063" s="18"/>
    </row>
    <row r="20064" spans="5:6" ht="15" customHeight="1" x14ac:dyDescent="0.2">
      <c r="E20064" s="18"/>
      <c r="F20064" s="18"/>
    </row>
    <row r="20065" spans="5:6" ht="15" customHeight="1" x14ac:dyDescent="0.2">
      <c r="E20065" s="18"/>
      <c r="F20065" s="18"/>
    </row>
    <row r="20066" spans="5:6" ht="15" customHeight="1" x14ac:dyDescent="0.2">
      <c r="E20066" s="18"/>
      <c r="F20066" s="18"/>
    </row>
    <row r="20067" spans="5:6" ht="15" customHeight="1" x14ac:dyDescent="0.2">
      <c r="E20067" s="18"/>
      <c r="F20067" s="18"/>
    </row>
    <row r="20068" spans="5:6" ht="15" customHeight="1" x14ac:dyDescent="0.2">
      <c r="E20068" s="18"/>
      <c r="F20068" s="18"/>
    </row>
    <row r="20069" spans="5:6" ht="15" customHeight="1" x14ac:dyDescent="0.2">
      <c r="E20069" s="18"/>
      <c r="F20069" s="18"/>
    </row>
    <row r="20070" spans="5:6" ht="15" customHeight="1" x14ac:dyDescent="0.2">
      <c r="E20070" s="18"/>
      <c r="F20070" s="18"/>
    </row>
    <row r="20071" spans="5:6" ht="15" customHeight="1" x14ac:dyDescent="0.2">
      <c r="E20071" s="18"/>
      <c r="F20071" s="18"/>
    </row>
    <row r="20072" spans="5:6" ht="15" customHeight="1" x14ac:dyDescent="0.2">
      <c r="E20072" s="18"/>
      <c r="F20072" s="18"/>
    </row>
    <row r="20073" spans="5:6" ht="15" customHeight="1" x14ac:dyDescent="0.2">
      <c r="E20073" s="18"/>
      <c r="F20073" s="18"/>
    </row>
    <row r="20074" spans="5:6" ht="15" customHeight="1" x14ac:dyDescent="0.2">
      <c r="E20074" s="18"/>
      <c r="F20074" s="18"/>
    </row>
    <row r="20075" spans="5:6" ht="15" customHeight="1" x14ac:dyDescent="0.2">
      <c r="E20075" s="18"/>
      <c r="F20075" s="18"/>
    </row>
    <row r="20076" spans="5:6" ht="15" customHeight="1" x14ac:dyDescent="0.2">
      <c r="E20076" s="18"/>
      <c r="F20076" s="18"/>
    </row>
    <row r="20077" spans="5:6" ht="15" customHeight="1" x14ac:dyDescent="0.2">
      <c r="E20077" s="18"/>
      <c r="F20077" s="18"/>
    </row>
    <row r="20078" spans="5:6" ht="15" customHeight="1" x14ac:dyDescent="0.2">
      <c r="E20078" s="18"/>
      <c r="F20078" s="18"/>
    </row>
    <row r="20079" spans="5:6" ht="15" customHeight="1" x14ac:dyDescent="0.2">
      <c r="E20079" s="18"/>
      <c r="F20079" s="18"/>
    </row>
    <row r="20080" spans="5:6" ht="15" customHeight="1" x14ac:dyDescent="0.2">
      <c r="E20080" s="18"/>
      <c r="F20080" s="18"/>
    </row>
    <row r="20081" spans="5:6" ht="15" customHeight="1" x14ac:dyDescent="0.2">
      <c r="E20081" s="18"/>
      <c r="F20081" s="18"/>
    </row>
    <row r="20082" spans="5:6" ht="15" customHeight="1" x14ac:dyDescent="0.2">
      <c r="E20082" s="18"/>
      <c r="F20082" s="18"/>
    </row>
    <row r="20083" spans="5:6" ht="15" customHeight="1" x14ac:dyDescent="0.2">
      <c r="E20083" s="18"/>
      <c r="F20083" s="18"/>
    </row>
    <row r="20084" spans="5:6" ht="15" customHeight="1" x14ac:dyDescent="0.2">
      <c r="E20084" s="18"/>
      <c r="F20084" s="18"/>
    </row>
    <row r="20085" spans="5:6" ht="15" customHeight="1" x14ac:dyDescent="0.2">
      <c r="E20085" s="18"/>
      <c r="F20085" s="18"/>
    </row>
    <row r="20086" spans="5:6" ht="15" customHeight="1" x14ac:dyDescent="0.2">
      <c r="E20086" s="18"/>
      <c r="F20086" s="18"/>
    </row>
    <row r="20087" spans="5:6" ht="15" customHeight="1" x14ac:dyDescent="0.2">
      <c r="E20087" s="18"/>
      <c r="F20087" s="18"/>
    </row>
    <row r="20088" spans="5:6" ht="15" customHeight="1" x14ac:dyDescent="0.2">
      <c r="E20088" s="18"/>
      <c r="F20088" s="18"/>
    </row>
    <row r="20089" spans="5:6" ht="15" customHeight="1" x14ac:dyDescent="0.2">
      <c r="E20089" s="18"/>
      <c r="F20089" s="18"/>
    </row>
    <row r="20090" spans="5:6" ht="15" customHeight="1" x14ac:dyDescent="0.2">
      <c r="E20090" s="18"/>
      <c r="F20090" s="18"/>
    </row>
    <row r="20091" spans="5:6" ht="15" customHeight="1" x14ac:dyDescent="0.2">
      <c r="E20091" s="18"/>
      <c r="F20091" s="18"/>
    </row>
    <row r="20092" spans="5:6" ht="15" customHeight="1" x14ac:dyDescent="0.2">
      <c r="E20092" s="18"/>
      <c r="F20092" s="18"/>
    </row>
    <row r="20093" spans="5:6" ht="15" customHeight="1" x14ac:dyDescent="0.2">
      <c r="E20093" s="18"/>
      <c r="F20093" s="18"/>
    </row>
    <row r="20094" spans="5:6" ht="15" customHeight="1" x14ac:dyDescent="0.2">
      <c r="E20094" s="18"/>
      <c r="F20094" s="18"/>
    </row>
    <row r="20095" spans="5:6" ht="15" customHeight="1" x14ac:dyDescent="0.2">
      <c r="E20095" s="18"/>
      <c r="F20095" s="18"/>
    </row>
    <row r="20096" spans="5:6" ht="15" customHeight="1" x14ac:dyDescent="0.2">
      <c r="E20096" s="18"/>
      <c r="F20096" s="18"/>
    </row>
    <row r="20097" spans="5:6" ht="15" customHeight="1" x14ac:dyDescent="0.2">
      <c r="E20097" s="18"/>
      <c r="F20097" s="18"/>
    </row>
    <row r="20098" spans="5:6" ht="15" customHeight="1" x14ac:dyDescent="0.2">
      <c r="E20098" s="18"/>
      <c r="F20098" s="18"/>
    </row>
    <row r="20099" spans="5:6" ht="15" customHeight="1" x14ac:dyDescent="0.2">
      <c r="E20099" s="18"/>
      <c r="F20099" s="18"/>
    </row>
    <row r="20100" spans="5:6" ht="15" customHeight="1" x14ac:dyDescent="0.2">
      <c r="E20100" s="18"/>
      <c r="F20100" s="18"/>
    </row>
    <row r="20101" spans="5:6" ht="15" customHeight="1" x14ac:dyDescent="0.2">
      <c r="E20101" s="18"/>
      <c r="F20101" s="18"/>
    </row>
    <row r="20102" spans="5:6" ht="15" customHeight="1" x14ac:dyDescent="0.2">
      <c r="E20102" s="18"/>
      <c r="F20102" s="18"/>
    </row>
    <row r="20103" spans="5:6" ht="15" customHeight="1" x14ac:dyDescent="0.2">
      <c r="E20103" s="18"/>
      <c r="F20103" s="18"/>
    </row>
    <row r="20104" spans="5:6" ht="15" customHeight="1" x14ac:dyDescent="0.2">
      <c r="E20104" s="18"/>
      <c r="F20104" s="18"/>
    </row>
    <row r="20105" spans="5:6" ht="15" customHeight="1" x14ac:dyDescent="0.2">
      <c r="E20105" s="18"/>
      <c r="F20105" s="18"/>
    </row>
    <row r="20106" spans="5:6" ht="15" customHeight="1" x14ac:dyDescent="0.2">
      <c r="E20106" s="18"/>
      <c r="F20106" s="18"/>
    </row>
    <row r="20107" spans="5:6" ht="15" customHeight="1" x14ac:dyDescent="0.2">
      <c r="E20107" s="18"/>
      <c r="F20107" s="18"/>
    </row>
    <row r="20108" spans="5:6" ht="15" customHeight="1" x14ac:dyDescent="0.2">
      <c r="E20108" s="18"/>
      <c r="F20108" s="18"/>
    </row>
    <row r="20109" spans="5:6" ht="15" customHeight="1" x14ac:dyDescent="0.2">
      <c r="E20109" s="18"/>
      <c r="F20109" s="18"/>
    </row>
    <row r="20110" spans="5:6" ht="15" customHeight="1" x14ac:dyDescent="0.2">
      <c r="E20110" s="18"/>
      <c r="F20110" s="18"/>
    </row>
    <row r="20111" spans="5:6" ht="15" customHeight="1" x14ac:dyDescent="0.2">
      <c r="E20111" s="18"/>
      <c r="F20111" s="18"/>
    </row>
    <row r="20112" spans="5:6" ht="15" customHeight="1" x14ac:dyDescent="0.2">
      <c r="E20112" s="18"/>
      <c r="F20112" s="18"/>
    </row>
    <row r="20113" spans="5:6" ht="15" customHeight="1" x14ac:dyDescent="0.2">
      <c r="E20113" s="18"/>
      <c r="F20113" s="18"/>
    </row>
    <row r="20114" spans="5:6" ht="15" customHeight="1" x14ac:dyDescent="0.2">
      <c r="E20114" s="18"/>
      <c r="F20114" s="18"/>
    </row>
    <row r="20115" spans="5:6" ht="15" customHeight="1" x14ac:dyDescent="0.2">
      <c r="E20115" s="18"/>
      <c r="F20115" s="18"/>
    </row>
    <row r="20116" spans="5:6" ht="15" customHeight="1" x14ac:dyDescent="0.2">
      <c r="E20116" s="18"/>
      <c r="F20116" s="18"/>
    </row>
    <row r="20117" spans="5:6" ht="15" customHeight="1" x14ac:dyDescent="0.2">
      <c r="E20117" s="18"/>
      <c r="F20117" s="18"/>
    </row>
    <row r="20118" spans="5:6" ht="15" customHeight="1" x14ac:dyDescent="0.2">
      <c r="E20118" s="18"/>
      <c r="F20118" s="18"/>
    </row>
    <row r="20119" spans="5:6" ht="15" customHeight="1" x14ac:dyDescent="0.2">
      <c r="E20119" s="18"/>
      <c r="F20119" s="18"/>
    </row>
    <row r="20120" spans="5:6" ht="15" customHeight="1" x14ac:dyDescent="0.2">
      <c r="E20120" s="18"/>
      <c r="F20120" s="18"/>
    </row>
    <row r="20121" spans="5:6" ht="15" customHeight="1" x14ac:dyDescent="0.2">
      <c r="E20121" s="18"/>
      <c r="F20121" s="18"/>
    </row>
    <row r="20122" spans="5:6" ht="15" customHeight="1" x14ac:dyDescent="0.2">
      <c r="E20122" s="18"/>
      <c r="F20122" s="18"/>
    </row>
    <row r="20123" spans="5:6" ht="15" customHeight="1" x14ac:dyDescent="0.2">
      <c r="E20123" s="18"/>
      <c r="F20123" s="18"/>
    </row>
    <row r="20124" spans="5:6" ht="15" customHeight="1" x14ac:dyDescent="0.2">
      <c r="E20124" s="18"/>
      <c r="F20124" s="18"/>
    </row>
    <row r="20125" spans="5:6" ht="15" customHeight="1" x14ac:dyDescent="0.2">
      <c r="E20125" s="18"/>
      <c r="F20125" s="18"/>
    </row>
    <row r="20126" spans="5:6" ht="15" customHeight="1" x14ac:dyDescent="0.2">
      <c r="E20126" s="18"/>
      <c r="F20126" s="18"/>
    </row>
    <row r="20127" spans="5:6" ht="15" customHeight="1" x14ac:dyDescent="0.2">
      <c r="E20127" s="18"/>
      <c r="F20127" s="18"/>
    </row>
    <row r="20128" spans="5:6" ht="15" customHeight="1" x14ac:dyDescent="0.2">
      <c r="E20128" s="18"/>
      <c r="F20128" s="18"/>
    </row>
    <row r="20129" spans="5:6" ht="15" customHeight="1" x14ac:dyDescent="0.2">
      <c r="E20129" s="18"/>
      <c r="F20129" s="18"/>
    </row>
    <row r="20130" spans="5:6" ht="15" customHeight="1" x14ac:dyDescent="0.2">
      <c r="E20130" s="18"/>
      <c r="F20130" s="18"/>
    </row>
    <row r="20131" spans="5:6" ht="15" customHeight="1" x14ac:dyDescent="0.2">
      <c r="E20131" s="18"/>
      <c r="F20131" s="18"/>
    </row>
    <row r="20132" spans="5:6" ht="15" customHeight="1" x14ac:dyDescent="0.2">
      <c r="E20132" s="18"/>
      <c r="F20132" s="18"/>
    </row>
    <row r="20133" spans="5:6" ht="15" customHeight="1" x14ac:dyDescent="0.2">
      <c r="E20133" s="18"/>
      <c r="F20133" s="18"/>
    </row>
    <row r="20134" spans="5:6" ht="15" customHeight="1" x14ac:dyDescent="0.2">
      <c r="E20134" s="18"/>
      <c r="F20134" s="18"/>
    </row>
    <row r="20135" spans="5:6" ht="15" customHeight="1" x14ac:dyDescent="0.2">
      <c r="E20135" s="18"/>
      <c r="F20135" s="18"/>
    </row>
    <row r="20136" spans="5:6" ht="15" customHeight="1" x14ac:dyDescent="0.2">
      <c r="E20136" s="18"/>
      <c r="F20136" s="18"/>
    </row>
    <row r="20137" spans="5:6" ht="15" customHeight="1" x14ac:dyDescent="0.2">
      <c r="E20137" s="18"/>
      <c r="F20137" s="18"/>
    </row>
    <row r="20138" spans="5:6" ht="15" customHeight="1" x14ac:dyDescent="0.2">
      <c r="E20138" s="18"/>
      <c r="F20138" s="18"/>
    </row>
    <row r="20139" spans="5:6" ht="15" customHeight="1" x14ac:dyDescent="0.2">
      <c r="E20139" s="18"/>
      <c r="F20139" s="18"/>
    </row>
    <row r="20140" spans="5:6" ht="15" customHeight="1" x14ac:dyDescent="0.2">
      <c r="E20140" s="18"/>
      <c r="F20140" s="18"/>
    </row>
    <row r="20141" spans="5:6" ht="15" customHeight="1" x14ac:dyDescent="0.2">
      <c r="E20141" s="18"/>
      <c r="F20141" s="18"/>
    </row>
    <row r="20142" spans="5:6" ht="15" customHeight="1" x14ac:dyDescent="0.2">
      <c r="E20142" s="18"/>
      <c r="F20142" s="18"/>
    </row>
    <row r="20143" spans="5:6" ht="15" customHeight="1" x14ac:dyDescent="0.2">
      <c r="E20143" s="18"/>
      <c r="F20143" s="18"/>
    </row>
    <row r="20144" spans="5:6" ht="15" customHeight="1" x14ac:dyDescent="0.2">
      <c r="E20144" s="18"/>
      <c r="F20144" s="18"/>
    </row>
    <row r="20145" spans="5:6" ht="15" customHeight="1" x14ac:dyDescent="0.2">
      <c r="E20145" s="18"/>
      <c r="F20145" s="18"/>
    </row>
    <row r="20146" spans="5:6" ht="15" customHeight="1" x14ac:dyDescent="0.2">
      <c r="E20146" s="18"/>
      <c r="F20146" s="18"/>
    </row>
    <row r="20147" spans="5:6" ht="15" customHeight="1" x14ac:dyDescent="0.2">
      <c r="E20147" s="18"/>
      <c r="F20147" s="18"/>
    </row>
    <row r="20148" spans="5:6" ht="15" customHeight="1" x14ac:dyDescent="0.2">
      <c r="E20148" s="18"/>
      <c r="F20148" s="18"/>
    </row>
    <row r="20149" spans="5:6" ht="15" customHeight="1" x14ac:dyDescent="0.2">
      <c r="E20149" s="18"/>
      <c r="F20149" s="18"/>
    </row>
    <row r="20150" spans="5:6" ht="15" customHeight="1" x14ac:dyDescent="0.2">
      <c r="E20150" s="18"/>
      <c r="F20150" s="18"/>
    </row>
    <row r="20151" spans="5:6" ht="15" customHeight="1" x14ac:dyDescent="0.2">
      <c r="E20151" s="18"/>
      <c r="F20151" s="18"/>
    </row>
    <row r="20152" spans="5:6" ht="15" customHeight="1" x14ac:dyDescent="0.2">
      <c r="E20152" s="18"/>
      <c r="F20152" s="18"/>
    </row>
    <row r="20153" spans="5:6" ht="15" customHeight="1" x14ac:dyDescent="0.2">
      <c r="E20153" s="18"/>
      <c r="F20153" s="18"/>
    </row>
    <row r="20154" spans="5:6" ht="15" customHeight="1" x14ac:dyDescent="0.2">
      <c r="E20154" s="18"/>
      <c r="F20154" s="18"/>
    </row>
    <row r="20155" spans="5:6" ht="15" customHeight="1" x14ac:dyDescent="0.2">
      <c r="E20155" s="18"/>
      <c r="F20155" s="18"/>
    </row>
    <row r="20156" spans="5:6" ht="15" customHeight="1" x14ac:dyDescent="0.2">
      <c r="E20156" s="18"/>
      <c r="F20156" s="18"/>
    </row>
    <row r="20157" spans="5:6" ht="15" customHeight="1" x14ac:dyDescent="0.2">
      <c r="E20157" s="18"/>
      <c r="F20157" s="18"/>
    </row>
    <row r="20158" spans="5:6" ht="15" customHeight="1" x14ac:dyDescent="0.2">
      <c r="E20158" s="18"/>
      <c r="F20158" s="18"/>
    </row>
    <row r="20159" spans="5:6" ht="15" customHeight="1" x14ac:dyDescent="0.2">
      <c r="E20159" s="18"/>
      <c r="F20159" s="18"/>
    </row>
    <row r="20160" spans="5:6" ht="15" customHeight="1" x14ac:dyDescent="0.2">
      <c r="E20160" s="18"/>
      <c r="F20160" s="18"/>
    </row>
    <row r="20161" spans="5:6" ht="15" customHeight="1" x14ac:dyDescent="0.2">
      <c r="E20161" s="18"/>
      <c r="F20161" s="18"/>
    </row>
    <row r="20162" spans="5:6" ht="15" customHeight="1" x14ac:dyDescent="0.2">
      <c r="E20162" s="18"/>
      <c r="F20162" s="18"/>
    </row>
    <row r="20163" spans="5:6" ht="15" customHeight="1" x14ac:dyDescent="0.2">
      <c r="E20163" s="18"/>
      <c r="F20163" s="18"/>
    </row>
    <row r="20164" spans="5:6" ht="15" customHeight="1" x14ac:dyDescent="0.2">
      <c r="E20164" s="18"/>
      <c r="F20164" s="18"/>
    </row>
    <row r="20165" spans="5:6" ht="15" customHeight="1" x14ac:dyDescent="0.2">
      <c r="E20165" s="18"/>
      <c r="F20165" s="18"/>
    </row>
    <row r="20166" spans="5:6" ht="15" customHeight="1" x14ac:dyDescent="0.2">
      <c r="E20166" s="18"/>
      <c r="F20166" s="18"/>
    </row>
    <row r="20167" spans="5:6" ht="15" customHeight="1" x14ac:dyDescent="0.2">
      <c r="E20167" s="18"/>
      <c r="F20167" s="18"/>
    </row>
    <row r="20168" spans="5:6" ht="15" customHeight="1" x14ac:dyDescent="0.2">
      <c r="E20168" s="18"/>
      <c r="F20168" s="18"/>
    </row>
    <row r="20169" spans="5:6" ht="15" customHeight="1" x14ac:dyDescent="0.2">
      <c r="E20169" s="18"/>
      <c r="F20169" s="18"/>
    </row>
    <row r="20170" spans="5:6" ht="15" customHeight="1" x14ac:dyDescent="0.2">
      <c r="E20170" s="18"/>
      <c r="F20170" s="18"/>
    </row>
    <row r="20171" spans="5:6" ht="15" customHeight="1" x14ac:dyDescent="0.2">
      <c r="E20171" s="18"/>
      <c r="F20171" s="18"/>
    </row>
    <row r="20172" spans="5:6" ht="15" customHeight="1" x14ac:dyDescent="0.2">
      <c r="E20172" s="18"/>
      <c r="F20172" s="18"/>
    </row>
    <row r="20173" spans="5:6" ht="15" customHeight="1" x14ac:dyDescent="0.2">
      <c r="E20173" s="18"/>
      <c r="F20173" s="18"/>
    </row>
    <row r="20174" spans="5:6" ht="15" customHeight="1" x14ac:dyDescent="0.2">
      <c r="E20174" s="18"/>
      <c r="F20174" s="18"/>
    </row>
    <row r="20175" spans="5:6" ht="15" customHeight="1" x14ac:dyDescent="0.2">
      <c r="E20175" s="18"/>
      <c r="F20175" s="18"/>
    </row>
    <row r="20176" spans="5:6" ht="15" customHeight="1" x14ac:dyDescent="0.2">
      <c r="E20176" s="18"/>
      <c r="F20176" s="18"/>
    </row>
    <row r="20177" spans="5:6" ht="15" customHeight="1" x14ac:dyDescent="0.2">
      <c r="E20177" s="18"/>
      <c r="F20177" s="18"/>
    </row>
    <row r="20178" spans="5:6" ht="15" customHeight="1" x14ac:dyDescent="0.2">
      <c r="E20178" s="18"/>
      <c r="F20178" s="18"/>
    </row>
    <row r="20179" spans="5:6" ht="15" customHeight="1" x14ac:dyDescent="0.2">
      <c r="E20179" s="18"/>
      <c r="F20179" s="18"/>
    </row>
    <row r="20180" spans="5:6" ht="15" customHeight="1" x14ac:dyDescent="0.2">
      <c r="E20180" s="18"/>
      <c r="F20180" s="18"/>
    </row>
    <row r="20181" spans="5:6" ht="15" customHeight="1" x14ac:dyDescent="0.2">
      <c r="E20181" s="18"/>
      <c r="F20181" s="18"/>
    </row>
    <row r="20182" spans="5:6" ht="15" customHeight="1" x14ac:dyDescent="0.2">
      <c r="E20182" s="18"/>
      <c r="F20182" s="18"/>
    </row>
    <row r="20183" spans="5:6" ht="15" customHeight="1" x14ac:dyDescent="0.2">
      <c r="E20183" s="18"/>
      <c r="F20183" s="18"/>
    </row>
    <row r="20184" spans="5:6" ht="15" customHeight="1" x14ac:dyDescent="0.2">
      <c r="E20184" s="18"/>
      <c r="F20184" s="18"/>
    </row>
    <row r="20185" spans="5:6" ht="15" customHeight="1" x14ac:dyDescent="0.2">
      <c r="E20185" s="18"/>
      <c r="F20185" s="18"/>
    </row>
    <row r="20186" spans="5:6" ht="15" customHeight="1" x14ac:dyDescent="0.2">
      <c r="E20186" s="18"/>
      <c r="F20186" s="18"/>
    </row>
    <row r="20187" spans="5:6" ht="15" customHeight="1" x14ac:dyDescent="0.2">
      <c r="E20187" s="18"/>
      <c r="F20187" s="18"/>
    </row>
    <row r="20188" spans="5:6" ht="15" customHeight="1" x14ac:dyDescent="0.2">
      <c r="E20188" s="18"/>
      <c r="F20188" s="18"/>
    </row>
    <row r="20189" spans="5:6" ht="15" customHeight="1" x14ac:dyDescent="0.2">
      <c r="E20189" s="18"/>
      <c r="F20189" s="18"/>
    </row>
    <row r="20190" spans="5:6" ht="15" customHeight="1" x14ac:dyDescent="0.2">
      <c r="E20190" s="18"/>
      <c r="F20190" s="18"/>
    </row>
    <row r="20191" spans="5:6" ht="15" customHeight="1" x14ac:dyDescent="0.2">
      <c r="E20191" s="18"/>
      <c r="F20191" s="18"/>
    </row>
    <row r="20192" spans="5:6" ht="15" customHeight="1" x14ac:dyDescent="0.2">
      <c r="E20192" s="18"/>
      <c r="F20192" s="18"/>
    </row>
    <row r="20193" spans="5:6" ht="15" customHeight="1" x14ac:dyDescent="0.2">
      <c r="E20193" s="18"/>
      <c r="F20193" s="18"/>
    </row>
    <row r="20194" spans="5:6" ht="15" customHeight="1" x14ac:dyDescent="0.2">
      <c r="E20194" s="18"/>
      <c r="F20194" s="18"/>
    </row>
    <row r="20195" spans="5:6" ht="15" customHeight="1" x14ac:dyDescent="0.2">
      <c r="E20195" s="18"/>
      <c r="F20195" s="18"/>
    </row>
    <row r="20196" spans="5:6" ht="15" customHeight="1" x14ac:dyDescent="0.2">
      <c r="E20196" s="18"/>
      <c r="F20196" s="18"/>
    </row>
    <row r="20197" spans="5:6" ht="15" customHeight="1" x14ac:dyDescent="0.2">
      <c r="E20197" s="18"/>
      <c r="F20197" s="18"/>
    </row>
    <row r="20198" spans="5:6" ht="15" customHeight="1" x14ac:dyDescent="0.2">
      <c r="E20198" s="18"/>
      <c r="F20198" s="18"/>
    </row>
    <row r="20199" spans="5:6" ht="15" customHeight="1" x14ac:dyDescent="0.2">
      <c r="E20199" s="18"/>
      <c r="F20199" s="18"/>
    </row>
    <row r="20200" spans="5:6" ht="15" customHeight="1" x14ac:dyDescent="0.2">
      <c r="E20200" s="18"/>
      <c r="F20200" s="18"/>
    </row>
    <row r="20201" spans="5:6" ht="15" customHeight="1" x14ac:dyDescent="0.2">
      <c r="E20201" s="18"/>
      <c r="F20201" s="18"/>
    </row>
    <row r="20202" spans="5:6" ht="15" customHeight="1" x14ac:dyDescent="0.2">
      <c r="E20202" s="18"/>
      <c r="F20202" s="18"/>
    </row>
    <row r="20203" spans="5:6" ht="15" customHeight="1" x14ac:dyDescent="0.2">
      <c r="E20203" s="18"/>
      <c r="F20203" s="18"/>
    </row>
    <row r="20204" spans="5:6" ht="15" customHeight="1" x14ac:dyDescent="0.2">
      <c r="E20204" s="18"/>
      <c r="F20204" s="18"/>
    </row>
    <row r="20205" spans="5:6" ht="15" customHeight="1" x14ac:dyDescent="0.2">
      <c r="E20205" s="18"/>
      <c r="F20205" s="18"/>
    </row>
    <row r="20206" spans="5:6" ht="15" customHeight="1" x14ac:dyDescent="0.2">
      <c r="E20206" s="18"/>
      <c r="F20206" s="18"/>
    </row>
    <row r="20207" spans="5:6" ht="15" customHeight="1" x14ac:dyDescent="0.2">
      <c r="E20207" s="18"/>
      <c r="F20207" s="18"/>
    </row>
    <row r="20208" spans="5:6" ht="15" customHeight="1" x14ac:dyDescent="0.2">
      <c r="E20208" s="18"/>
      <c r="F20208" s="18"/>
    </row>
    <row r="20209" spans="5:6" ht="15" customHeight="1" x14ac:dyDescent="0.2">
      <c r="E20209" s="18"/>
      <c r="F20209" s="18"/>
    </row>
    <row r="20210" spans="5:6" ht="15" customHeight="1" x14ac:dyDescent="0.2">
      <c r="E20210" s="18"/>
      <c r="F20210" s="18"/>
    </row>
    <row r="20211" spans="5:6" ht="15" customHeight="1" x14ac:dyDescent="0.2">
      <c r="E20211" s="18"/>
      <c r="F20211" s="18"/>
    </row>
    <row r="20212" spans="5:6" ht="15" customHeight="1" x14ac:dyDescent="0.2">
      <c r="E20212" s="18"/>
      <c r="F20212" s="18"/>
    </row>
    <row r="20213" spans="5:6" ht="15" customHeight="1" x14ac:dyDescent="0.2">
      <c r="E20213" s="18"/>
      <c r="F20213" s="18"/>
    </row>
    <row r="20214" spans="5:6" ht="15" customHeight="1" x14ac:dyDescent="0.2">
      <c r="E20214" s="18"/>
      <c r="F20214" s="18"/>
    </row>
    <row r="20215" spans="5:6" ht="15" customHeight="1" x14ac:dyDescent="0.2">
      <c r="E20215" s="18"/>
      <c r="F20215" s="18"/>
    </row>
    <row r="20216" spans="5:6" ht="15" customHeight="1" x14ac:dyDescent="0.2">
      <c r="E20216" s="18"/>
      <c r="F20216" s="18"/>
    </row>
    <row r="20217" spans="5:6" ht="15" customHeight="1" x14ac:dyDescent="0.2">
      <c r="E20217" s="18"/>
      <c r="F20217" s="18"/>
    </row>
    <row r="20218" spans="5:6" ht="15" customHeight="1" x14ac:dyDescent="0.2">
      <c r="E20218" s="18"/>
      <c r="F20218" s="18"/>
    </row>
    <row r="20219" spans="5:6" ht="15" customHeight="1" x14ac:dyDescent="0.2">
      <c r="E20219" s="18"/>
      <c r="F20219" s="18"/>
    </row>
    <row r="20220" spans="5:6" ht="15" customHeight="1" x14ac:dyDescent="0.2">
      <c r="E20220" s="18"/>
      <c r="F20220" s="18"/>
    </row>
    <row r="20221" spans="5:6" ht="15" customHeight="1" x14ac:dyDescent="0.2">
      <c r="E20221" s="18"/>
      <c r="F20221" s="18"/>
    </row>
    <row r="20222" spans="5:6" ht="15" customHeight="1" x14ac:dyDescent="0.2">
      <c r="E20222" s="18"/>
      <c r="F20222" s="18"/>
    </row>
    <row r="20223" spans="5:6" ht="15" customHeight="1" x14ac:dyDescent="0.2">
      <c r="E20223" s="18"/>
      <c r="F20223" s="18"/>
    </row>
    <row r="20224" spans="5:6" ht="15" customHeight="1" x14ac:dyDescent="0.2">
      <c r="E20224" s="18"/>
      <c r="F20224" s="18"/>
    </row>
    <row r="20225" spans="5:6" ht="15" customHeight="1" x14ac:dyDescent="0.2">
      <c r="E20225" s="18"/>
      <c r="F20225" s="18"/>
    </row>
    <row r="20226" spans="5:6" ht="15" customHeight="1" x14ac:dyDescent="0.2">
      <c r="E20226" s="18"/>
      <c r="F20226" s="18"/>
    </row>
    <row r="20227" spans="5:6" ht="15" customHeight="1" x14ac:dyDescent="0.2">
      <c r="E20227" s="18"/>
      <c r="F20227" s="18"/>
    </row>
    <row r="20228" spans="5:6" ht="15" customHeight="1" x14ac:dyDescent="0.2">
      <c r="E20228" s="18"/>
      <c r="F20228" s="18"/>
    </row>
    <row r="20229" spans="5:6" ht="15" customHeight="1" x14ac:dyDescent="0.2">
      <c r="E20229" s="18"/>
      <c r="F20229" s="18"/>
    </row>
    <row r="20230" spans="5:6" ht="15" customHeight="1" x14ac:dyDescent="0.2">
      <c r="E20230" s="18"/>
      <c r="F20230" s="18"/>
    </row>
    <row r="20231" spans="5:6" ht="15" customHeight="1" x14ac:dyDescent="0.2">
      <c r="E20231" s="18"/>
      <c r="F20231" s="18"/>
    </row>
    <row r="20232" spans="5:6" ht="15" customHeight="1" x14ac:dyDescent="0.2">
      <c r="E20232" s="18"/>
      <c r="F20232" s="18"/>
    </row>
    <row r="20233" spans="5:6" ht="15" customHeight="1" x14ac:dyDescent="0.2">
      <c r="E20233" s="18"/>
      <c r="F20233" s="18"/>
    </row>
    <row r="20234" spans="5:6" ht="15" customHeight="1" x14ac:dyDescent="0.2">
      <c r="E20234" s="18"/>
      <c r="F20234" s="18"/>
    </row>
    <row r="20235" spans="5:6" ht="15" customHeight="1" x14ac:dyDescent="0.2">
      <c r="E20235" s="18"/>
      <c r="F20235" s="18"/>
    </row>
    <row r="20236" spans="5:6" ht="15" customHeight="1" x14ac:dyDescent="0.2">
      <c r="E20236" s="18"/>
      <c r="F20236" s="18"/>
    </row>
    <row r="20237" spans="5:6" ht="15" customHeight="1" x14ac:dyDescent="0.2">
      <c r="E20237" s="18"/>
      <c r="F20237" s="18"/>
    </row>
    <row r="20238" spans="5:6" ht="15" customHeight="1" x14ac:dyDescent="0.2">
      <c r="E20238" s="18"/>
      <c r="F20238" s="18"/>
    </row>
    <row r="20239" spans="5:6" ht="15" customHeight="1" x14ac:dyDescent="0.2">
      <c r="E20239" s="18"/>
      <c r="F20239" s="18"/>
    </row>
    <row r="20240" spans="5:6" ht="15" customHeight="1" x14ac:dyDescent="0.2">
      <c r="E20240" s="18"/>
      <c r="F20240" s="18"/>
    </row>
    <row r="20241" spans="5:6" ht="15" customHeight="1" x14ac:dyDescent="0.2">
      <c r="E20241" s="18"/>
      <c r="F20241" s="18"/>
    </row>
    <row r="20242" spans="5:6" ht="15" customHeight="1" x14ac:dyDescent="0.2">
      <c r="E20242" s="18"/>
      <c r="F20242" s="18"/>
    </row>
    <row r="20243" spans="5:6" ht="15" customHeight="1" x14ac:dyDescent="0.2">
      <c r="E20243" s="18"/>
      <c r="F20243" s="18"/>
    </row>
    <row r="20244" spans="5:6" ht="15" customHeight="1" x14ac:dyDescent="0.2">
      <c r="E20244" s="18"/>
      <c r="F20244" s="18"/>
    </row>
    <row r="20245" spans="5:6" ht="15" customHeight="1" x14ac:dyDescent="0.2">
      <c r="E20245" s="18"/>
      <c r="F20245" s="18"/>
    </row>
    <row r="20246" spans="5:6" ht="15" customHeight="1" x14ac:dyDescent="0.2">
      <c r="E20246" s="18"/>
      <c r="F20246" s="18"/>
    </row>
    <row r="20247" spans="5:6" ht="15" customHeight="1" x14ac:dyDescent="0.2">
      <c r="E20247" s="18"/>
      <c r="F20247" s="18"/>
    </row>
    <row r="20248" spans="5:6" ht="15" customHeight="1" x14ac:dyDescent="0.2">
      <c r="E20248" s="18"/>
      <c r="F20248" s="18"/>
    </row>
    <row r="20249" spans="5:6" ht="15" customHeight="1" x14ac:dyDescent="0.2">
      <c r="E20249" s="18"/>
      <c r="F20249" s="18"/>
    </row>
    <row r="20250" spans="5:6" ht="15" customHeight="1" x14ac:dyDescent="0.2">
      <c r="E20250" s="18"/>
      <c r="F20250" s="18"/>
    </row>
    <row r="20251" spans="5:6" ht="15" customHeight="1" x14ac:dyDescent="0.2">
      <c r="E20251" s="18"/>
      <c r="F20251" s="18"/>
    </row>
    <row r="20252" spans="5:6" ht="15" customHeight="1" x14ac:dyDescent="0.2">
      <c r="E20252" s="18"/>
      <c r="F20252" s="18"/>
    </row>
    <row r="20253" spans="5:6" ht="15" customHeight="1" x14ac:dyDescent="0.2">
      <c r="E20253" s="18"/>
      <c r="F20253" s="18"/>
    </row>
    <row r="20254" spans="5:6" ht="15" customHeight="1" x14ac:dyDescent="0.2">
      <c r="E20254" s="18"/>
      <c r="F20254" s="18"/>
    </row>
    <row r="20255" spans="5:6" ht="15" customHeight="1" x14ac:dyDescent="0.2">
      <c r="E20255" s="18"/>
      <c r="F20255" s="18"/>
    </row>
    <row r="20256" spans="5:6" ht="15" customHeight="1" x14ac:dyDescent="0.2">
      <c r="E20256" s="18"/>
      <c r="F20256" s="18"/>
    </row>
    <row r="20257" spans="5:6" ht="15" customHeight="1" x14ac:dyDescent="0.2">
      <c r="E20257" s="18"/>
      <c r="F20257" s="18"/>
    </row>
    <row r="20258" spans="5:6" ht="15" customHeight="1" x14ac:dyDescent="0.2">
      <c r="E20258" s="18"/>
      <c r="F20258" s="18"/>
    </row>
    <row r="20259" spans="5:6" ht="15" customHeight="1" x14ac:dyDescent="0.2">
      <c r="E20259" s="18"/>
      <c r="F20259" s="18"/>
    </row>
    <row r="20260" spans="5:6" ht="15" customHeight="1" x14ac:dyDescent="0.2">
      <c r="E20260" s="18"/>
      <c r="F20260" s="18"/>
    </row>
    <row r="20261" spans="5:6" ht="15" customHeight="1" x14ac:dyDescent="0.2">
      <c r="E20261" s="18"/>
      <c r="F20261" s="18"/>
    </row>
    <row r="20262" spans="5:6" ht="15" customHeight="1" x14ac:dyDescent="0.2">
      <c r="E20262" s="18"/>
      <c r="F20262" s="18"/>
    </row>
    <row r="20263" spans="5:6" ht="15" customHeight="1" x14ac:dyDescent="0.2">
      <c r="E20263" s="18"/>
      <c r="F20263" s="18"/>
    </row>
    <row r="20264" spans="5:6" ht="15" customHeight="1" x14ac:dyDescent="0.2">
      <c r="E20264" s="18"/>
      <c r="F20264" s="18"/>
    </row>
    <row r="20265" spans="5:6" ht="15" customHeight="1" x14ac:dyDescent="0.2">
      <c r="E20265" s="18"/>
      <c r="F20265" s="18"/>
    </row>
    <row r="20266" spans="5:6" ht="15" customHeight="1" x14ac:dyDescent="0.2">
      <c r="E20266" s="18"/>
      <c r="F20266" s="18"/>
    </row>
    <row r="20267" spans="5:6" ht="15" customHeight="1" x14ac:dyDescent="0.2">
      <c r="E20267" s="18"/>
      <c r="F20267" s="18"/>
    </row>
    <row r="20268" spans="5:6" ht="15" customHeight="1" x14ac:dyDescent="0.2">
      <c r="E20268" s="18"/>
      <c r="F20268" s="18"/>
    </row>
    <row r="20269" spans="5:6" ht="15" customHeight="1" x14ac:dyDescent="0.2">
      <c r="E20269" s="18"/>
      <c r="F20269" s="18"/>
    </row>
    <row r="20270" spans="5:6" ht="15" customHeight="1" x14ac:dyDescent="0.2">
      <c r="E20270" s="18"/>
      <c r="F20270" s="18"/>
    </row>
    <row r="20271" spans="5:6" ht="15" customHeight="1" x14ac:dyDescent="0.2">
      <c r="E20271" s="18"/>
      <c r="F20271" s="18"/>
    </row>
    <row r="20272" spans="5:6" ht="15" customHeight="1" x14ac:dyDescent="0.2">
      <c r="E20272" s="18"/>
      <c r="F20272" s="18"/>
    </row>
    <row r="20273" spans="5:6" ht="15" customHeight="1" x14ac:dyDescent="0.2">
      <c r="E20273" s="18"/>
      <c r="F20273" s="18"/>
    </row>
    <row r="20274" spans="5:6" ht="15" customHeight="1" x14ac:dyDescent="0.2">
      <c r="E20274" s="18"/>
      <c r="F20274" s="18"/>
    </row>
    <row r="20275" spans="5:6" ht="15" customHeight="1" x14ac:dyDescent="0.2">
      <c r="E20275" s="18"/>
      <c r="F20275" s="18"/>
    </row>
    <row r="20276" spans="5:6" ht="15" customHeight="1" x14ac:dyDescent="0.2">
      <c r="E20276" s="18"/>
      <c r="F20276" s="18"/>
    </row>
    <row r="20277" spans="5:6" ht="15" customHeight="1" x14ac:dyDescent="0.2">
      <c r="E20277" s="18"/>
      <c r="F20277" s="18"/>
    </row>
    <row r="20278" spans="5:6" ht="15" customHeight="1" x14ac:dyDescent="0.2">
      <c r="E20278" s="18"/>
      <c r="F20278" s="18"/>
    </row>
    <row r="20279" spans="5:6" ht="15" customHeight="1" x14ac:dyDescent="0.2">
      <c r="E20279" s="18"/>
      <c r="F20279" s="18"/>
    </row>
    <row r="20280" spans="5:6" ht="15" customHeight="1" x14ac:dyDescent="0.2">
      <c r="E20280" s="18"/>
      <c r="F20280" s="18"/>
    </row>
    <row r="20281" spans="5:6" ht="15" customHeight="1" x14ac:dyDescent="0.2">
      <c r="E20281" s="18"/>
      <c r="F20281" s="18"/>
    </row>
    <row r="20282" spans="5:6" ht="15" customHeight="1" x14ac:dyDescent="0.2">
      <c r="E20282" s="18"/>
      <c r="F20282" s="18"/>
    </row>
    <row r="20283" spans="5:6" ht="15" customHeight="1" x14ac:dyDescent="0.2">
      <c r="E20283" s="18"/>
      <c r="F20283" s="18"/>
    </row>
    <row r="20284" spans="5:6" ht="15" customHeight="1" x14ac:dyDescent="0.2">
      <c r="E20284" s="18"/>
      <c r="F20284" s="18"/>
    </row>
    <row r="20285" spans="5:6" ht="15" customHeight="1" x14ac:dyDescent="0.2">
      <c r="E20285" s="18"/>
      <c r="F20285" s="18"/>
    </row>
    <row r="20286" spans="5:6" ht="15" customHeight="1" x14ac:dyDescent="0.2">
      <c r="E20286" s="18"/>
      <c r="F20286" s="18"/>
    </row>
    <row r="20287" spans="5:6" ht="15" customHeight="1" x14ac:dyDescent="0.2">
      <c r="E20287" s="18"/>
      <c r="F20287" s="18"/>
    </row>
    <row r="20288" spans="5:6" ht="15" customHeight="1" x14ac:dyDescent="0.2">
      <c r="E20288" s="18"/>
      <c r="F20288" s="18"/>
    </row>
    <row r="20289" spans="5:6" ht="15" customHeight="1" x14ac:dyDescent="0.2">
      <c r="E20289" s="18"/>
      <c r="F20289" s="18"/>
    </row>
    <row r="20290" spans="5:6" ht="15" customHeight="1" x14ac:dyDescent="0.2">
      <c r="E20290" s="18"/>
      <c r="F20290" s="18"/>
    </row>
    <row r="20291" spans="5:6" ht="15" customHeight="1" x14ac:dyDescent="0.2">
      <c r="E20291" s="18"/>
      <c r="F20291" s="18"/>
    </row>
    <row r="20292" spans="5:6" ht="15" customHeight="1" x14ac:dyDescent="0.2">
      <c r="E20292" s="18"/>
      <c r="F20292" s="18"/>
    </row>
    <row r="20293" spans="5:6" ht="15" customHeight="1" x14ac:dyDescent="0.2">
      <c r="E20293" s="18"/>
      <c r="F20293" s="18"/>
    </row>
    <row r="20294" spans="5:6" ht="15" customHeight="1" x14ac:dyDescent="0.2">
      <c r="E20294" s="18"/>
      <c r="F20294" s="18"/>
    </row>
    <row r="20295" spans="5:6" ht="15" customHeight="1" x14ac:dyDescent="0.2">
      <c r="E20295" s="18"/>
      <c r="F20295" s="18"/>
    </row>
    <row r="20296" spans="5:6" ht="15" customHeight="1" x14ac:dyDescent="0.2">
      <c r="E20296" s="18"/>
      <c r="F20296" s="18"/>
    </row>
    <row r="20297" spans="5:6" ht="15" customHeight="1" x14ac:dyDescent="0.2">
      <c r="E20297" s="18"/>
      <c r="F20297" s="18"/>
    </row>
    <row r="20298" spans="5:6" ht="15" customHeight="1" x14ac:dyDescent="0.2">
      <c r="E20298" s="18"/>
      <c r="F20298" s="18"/>
    </row>
    <row r="20299" spans="5:6" ht="15" customHeight="1" x14ac:dyDescent="0.2">
      <c r="E20299" s="18"/>
      <c r="F20299" s="18"/>
    </row>
    <row r="20300" spans="5:6" ht="15" customHeight="1" x14ac:dyDescent="0.2">
      <c r="E20300" s="18"/>
      <c r="F20300" s="18"/>
    </row>
    <row r="20301" spans="5:6" ht="15" customHeight="1" x14ac:dyDescent="0.2">
      <c r="E20301" s="18"/>
      <c r="F20301" s="18"/>
    </row>
    <row r="20302" spans="5:6" ht="15" customHeight="1" x14ac:dyDescent="0.2">
      <c r="E20302" s="18"/>
      <c r="F20302" s="18"/>
    </row>
    <row r="20303" spans="5:6" ht="15" customHeight="1" x14ac:dyDescent="0.2">
      <c r="E20303" s="18"/>
      <c r="F20303" s="18"/>
    </row>
    <row r="20304" spans="5:6" ht="15" customHeight="1" x14ac:dyDescent="0.2">
      <c r="E20304" s="18"/>
      <c r="F20304" s="18"/>
    </row>
    <row r="20305" spans="5:6" ht="15" customHeight="1" x14ac:dyDescent="0.2">
      <c r="E20305" s="18"/>
      <c r="F20305" s="18"/>
    </row>
    <row r="20306" spans="5:6" ht="15" customHeight="1" x14ac:dyDescent="0.2">
      <c r="E20306" s="18"/>
      <c r="F20306" s="18"/>
    </row>
    <row r="20307" spans="5:6" ht="15" customHeight="1" x14ac:dyDescent="0.2">
      <c r="E20307" s="18"/>
      <c r="F20307" s="18"/>
    </row>
    <row r="20308" spans="5:6" ht="15" customHeight="1" x14ac:dyDescent="0.2">
      <c r="E20308" s="18"/>
      <c r="F20308" s="18"/>
    </row>
    <row r="20309" spans="5:6" ht="15" customHeight="1" x14ac:dyDescent="0.2">
      <c r="E20309" s="18"/>
      <c r="F20309" s="18"/>
    </row>
    <row r="20310" spans="5:6" ht="15" customHeight="1" x14ac:dyDescent="0.2">
      <c r="E20310" s="18"/>
      <c r="F20310" s="18"/>
    </row>
    <row r="20311" spans="5:6" ht="15" customHeight="1" x14ac:dyDescent="0.2">
      <c r="E20311" s="18"/>
      <c r="F20311" s="18"/>
    </row>
    <row r="20312" spans="5:6" ht="15" customHeight="1" x14ac:dyDescent="0.2">
      <c r="E20312" s="18"/>
      <c r="F20312" s="18"/>
    </row>
    <row r="20313" spans="5:6" ht="15" customHeight="1" x14ac:dyDescent="0.2">
      <c r="E20313" s="18"/>
      <c r="F20313" s="18"/>
    </row>
    <row r="20314" spans="5:6" ht="15" customHeight="1" x14ac:dyDescent="0.2">
      <c r="E20314" s="18"/>
      <c r="F20314" s="18"/>
    </row>
    <row r="20315" spans="5:6" ht="15" customHeight="1" x14ac:dyDescent="0.2">
      <c r="E20315" s="18"/>
      <c r="F20315" s="18"/>
    </row>
    <row r="20316" spans="5:6" ht="15" customHeight="1" x14ac:dyDescent="0.2">
      <c r="E20316" s="18"/>
      <c r="F20316" s="18"/>
    </row>
    <row r="20317" spans="5:6" ht="15" customHeight="1" x14ac:dyDescent="0.2">
      <c r="E20317" s="18"/>
      <c r="F20317" s="18"/>
    </row>
    <row r="20318" spans="5:6" ht="15" customHeight="1" x14ac:dyDescent="0.2">
      <c r="E20318" s="18"/>
      <c r="F20318" s="18"/>
    </row>
    <row r="20319" spans="5:6" ht="15" customHeight="1" x14ac:dyDescent="0.2">
      <c r="E20319" s="18"/>
      <c r="F20319" s="18"/>
    </row>
    <row r="20320" spans="5:6" ht="15" customHeight="1" x14ac:dyDescent="0.2">
      <c r="E20320" s="18"/>
      <c r="F20320" s="18"/>
    </row>
    <row r="20321" spans="5:6" ht="15" customHeight="1" x14ac:dyDescent="0.2">
      <c r="E20321" s="18"/>
      <c r="F20321" s="18"/>
    </row>
    <row r="20322" spans="5:6" ht="15" customHeight="1" x14ac:dyDescent="0.2">
      <c r="E20322" s="18"/>
      <c r="F20322" s="18"/>
    </row>
    <row r="20323" spans="5:6" ht="15" customHeight="1" x14ac:dyDescent="0.2">
      <c r="E20323" s="18"/>
      <c r="F20323" s="18"/>
    </row>
    <row r="20324" spans="5:6" ht="15" customHeight="1" x14ac:dyDescent="0.2">
      <c r="E20324" s="18"/>
      <c r="F20324" s="18"/>
    </row>
    <row r="20325" spans="5:6" ht="15" customHeight="1" x14ac:dyDescent="0.2">
      <c r="E20325" s="18"/>
      <c r="F20325" s="18"/>
    </row>
    <row r="20326" spans="5:6" ht="15" customHeight="1" x14ac:dyDescent="0.2">
      <c r="E20326" s="18"/>
      <c r="F20326" s="18"/>
    </row>
    <row r="20327" spans="5:6" ht="15" customHeight="1" x14ac:dyDescent="0.2">
      <c r="E20327" s="18"/>
      <c r="F20327" s="18"/>
    </row>
    <row r="20328" spans="5:6" ht="15" customHeight="1" x14ac:dyDescent="0.2">
      <c r="E20328" s="18"/>
      <c r="F20328" s="18"/>
    </row>
    <row r="20329" spans="5:6" ht="15" customHeight="1" x14ac:dyDescent="0.2">
      <c r="E20329" s="18"/>
      <c r="F20329" s="18"/>
    </row>
    <row r="20330" spans="5:6" ht="15" customHeight="1" x14ac:dyDescent="0.2">
      <c r="E20330" s="18"/>
      <c r="F20330" s="18"/>
    </row>
    <row r="20331" spans="5:6" ht="15" customHeight="1" x14ac:dyDescent="0.2">
      <c r="E20331" s="18"/>
      <c r="F20331" s="18"/>
    </row>
    <row r="20332" spans="5:6" ht="15" customHeight="1" x14ac:dyDescent="0.2">
      <c r="E20332" s="18"/>
      <c r="F20332" s="18"/>
    </row>
    <row r="20333" spans="5:6" ht="15" customHeight="1" x14ac:dyDescent="0.2">
      <c r="E20333" s="18"/>
      <c r="F20333" s="18"/>
    </row>
    <row r="20334" spans="5:6" ht="15" customHeight="1" x14ac:dyDescent="0.2">
      <c r="E20334" s="18"/>
      <c r="F20334" s="18"/>
    </row>
    <row r="20335" spans="5:6" ht="15" customHeight="1" x14ac:dyDescent="0.2">
      <c r="E20335" s="18"/>
      <c r="F20335" s="18"/>
    </row>
    <row r="20336" spans="5:6" ht="15" customHeight="1" x14ac:dyDescent="0.2">
      <c r="E20336" s="18"/>
      <c r="F20336" s="18"/>
    </row>
    <row r="20337" spans="5:6" ht="15" customHeight="1" x14ac:dyDescent="0.2">
      <c r="E20337" s="18"/>
      <c r="F20337" s="18"/>
    </row>
    <row r="20338" spans="5:6" ht="15" customHeight="1" x14ac:dyDescent="0.2">
      <c r="E20338" s="18"/>
      <c r="F20338" s="18"/>
    </row>
    <row r="20339" spans="5:6" ht="15" customHeight="1" x14ac:dyDescent="0.2">
      <c r="E20339" s="18"/>
      <c r="F20339" s="18"/>
    </row>
    <row r="20340" spans="5:6" ht="15" customHeight="1" x14ac:dyDescent="0.2">
      <c r="E20340" s="18"/>
      <c r="F20340" s="18"/>
    </row>
    <row r="20341" spans="5:6" ht="15" customHeight="1" x14ac:dyDescent="0.2">
      <c r="E20341" s="18"/>
      <c r="F20341" s="18"/>
    </row>
    <row r="20342" spans="5:6" ht="15" customHeight="1" x14ac:dyDescent="0.2">
      <c r="E20342" s="18"/>
      <c r="F20342" s="18"/>
    </row>
    <row r="20343" spans="5:6" ht="15" customHeight="1" x14ac:dyDescent="0.2">
      <c r="E20343" s="18"/>
      <c r="F20343" s="18"/>
    </row>
    <row r="20344" spans="5:6" ht="15" customHeight="1" x14ac:dyDescent="0.2">
      <c r="E20344" s="18"/>
      <c r="F20344" s="18"/>
    </row>
    <row r="20345" spans="5:6" ht="15" customHeight="1" x14ac:dyDescent="0.2">
      <c r="E20345" s="18"/>
      <c r="F20345" s="18"/>
    </row>
    <row r="20346" spans="5:6" ht="15" customHeight="1" x14ac:dyDescent="0.2">
      <c r="E20346" s="18"/>
      <c r="F20346" s="18"/>
    </row>
    <row r="20347" spans="5:6" ht="15" customHeight="1" x14ac:dyDescent="0.2">
      <c r="E20347" s="18"/>
      <c r="F20347" s="18"/>
    </row>
    <row r="20348" spans="5:6" ht="15" customHeight="1" x14ac:dyDescent="0.2">
      <c r="E20348" s="18"/>
      <c r="F20348" s="18"/>
    </row>
    <row r="20349" spans="5:6" ht="15" customHeight="1" x14ac:dyDescent="0.2">
      <c r="E20349" s="18"/>
      <c r="F20349" s="18"/>
    </row>
    <row r="20350" spans="5:6" ht="15" customHeight="1" x14ac:dyDescent="0.2">
      <c r="E20350" s="18"/>
      <c r="F20350" s="18"/>
    </row>
    <row r="20351" spans="5:6" ht="15" customHeight="1" x14ac:dyDescent="0.2">
      <c r="E20351" s="18"/>
      <c r="F20351" s="18"/>
    </row>
    <row r="20352" spans="5:6" ht="15" customHeight="1" x14ac:dyDescent="0.2">
      <c r="E20352" s="18"/>
      <c r="F20352" s="18"/>
    </row>
    <row r="20353" spans="5:6" ht="15" customHeight="1" x14ac:dyDescent="0.2">
      <c r="E20353" s="18"/>
      <c r="F20353" s="18"/>
    </row>
    <row r="20354" spans="5:6" ht="15" customHeight="1" x14ac:dyDescent="0.2">
      <c r="E20354" s="18"/>
      <c r="F20354" s="18"/>
    </row>
    <row r="20355" spans="5:6" ht="15" customHeight="1" x14ac:dyDescent="0.2">
      <c r="E20355" s="18"/>
      <c r="F20355" s="18"/>
    </row>
    <row r="20356" spans="5:6" ht="15" customHeight="1" x14ac:dyDescent="0.2">
      <c r="E20356" s="18"/>
      <c r="F20356" s="18"/>
    </row>
    <row r="20357" spans="5:6" ht="15" customHeight="1" x14ac:dyDescent="0.2">
      <c r="E20357" s="18"/>
      <c r="F20357" s="18"/>
    </row>
    <row r="20358" spans="5:6" ht="15" customHeight="1" x14ac:dyDescent="0.2">
      <c r="E20358" s="18"/>
      <c r="F20358" s="18"/>
    </row>
    <row r="20359" spans="5:6" ht="15" customHeight="1" x14ac:dyDescent="0.2">
      <c r="E20359" s="18"/>
      <c r="F20359" s="18"/>
    </row>
    <row r="20360" spans="5:6" ht="15" customHeight="1" x14ac:dyDescent="0.2">
      <c r="E20360" s="18"/>
      <c r="F20360" s="18"/>
    </row>
    <row r="20361" spans="5:6" ht="15" customHeight="1" x14ac:dyDescent="0.2">
      <c r="E20361" s="18"/>
      <c r="F20361" s="18"/>
    </row>
    <row r="20362" spans="5:6" ht="15" customHeight="1" x14ac:dyDescent="0.2">
      <c r="E20362" s="18"/>
      <c r="F20362" s="18"/>
    </row>
    <row r="20363" spans="5:6" ht="15" customHeight="1" x14ac:dyDescent="0.2">
      <c r="E20363" s="18"/>
      <c r="F20363" s="18"/>
    </row>
    <row r="20364" spans="5:6" ht="15" customHeight="1" x14ac:dyDescent="0.2">
      <c r="E20364" s="18"/>
      <c r="F20364" s="18"/>
    </row>
    <row r="20365" spans="5:6" ht="15" customHeight="1" x14ac:dyDescent="0.2">
      <c r="E20365" s="18"/>
      <c r="F20365" s="18"/>
    </row>
    <row r="20366" spans="5:6" ht="15" customHeight="1" x14ac:dyDescent="0.2">
      <c r="E20366" s="18"/>
      <c r="F20366" s="18"/>
    </row>
    <row r="20367" spans="5:6" ht="15" customHeight="1" x14ac:dyDescent="0.2">
      <c r="E20367" s="18"/>
      <c r="F20367" s="18"/>
    </row>
    <row r="20368" spans="5:6" ht="15" customHeight="1" x14ac:dyDescent="0.2">
      <c r="E20368" s="18"/>
      <c r="F20368" s="18"/>
    </row>
    <row r="20369" spans="5:6" ht="15" customHeight="1" x14ac:dyDescent="0.2">
      <c r="E20369" s="18"/>
      <c r="F20369" s="18"/>
    </row>
    <row r="20370" spans="5:6" ht="15" customHeight="1" x14ac:dyDescent="0.2">
      <c r="E20370" s="18"/>
      <c r="F20370" s="18"/>
    </row>
    <row r="20371" spans="5:6" ht="15" customHeight="1" x14ac:dyDescent="0.2">
      <c r="E20371" s="18"/>
      <c r="F20371" s="18"/>
    </row>
    <row r="20372" spans="5:6" ht="15" customHeight="1" x14ac:dyDescent="0.2">
      <c r="E20372" s="18"/>
      <c r="F20372" s="18"/>
    </row>
    <row r="20373" spans="5:6" ht="15" customHeight="1" x14ac:dyDescent="0.2">
      <c r="E20373" s="18"/>
      <c r="F20373" s="18"/>
    </row>
    <row r="20374" spans="5:6" ht="15" customHeight="1" x14ac:dyDescent="0.2">
      <c r="E20374" s="18"/>
      <c r="F20374" s="18"/>
    </row>
    <row r="20375" spans="5:6" ht="15" customHeight="1" x14ac:dyDescent="0.2">
      <c r="E20375" s="18"/>
      <c r="F20375" s="18"/>
    </row>
    <row r="20376" spans="5:6" ht="15" customHeight="1" x14ac:dyDescent="0.2">
      <c r="E20376" s="18"/>
      <c r="F20376" s="18"/>
    </row>
    <row r="20377" spans="5:6" ht="15" customHeight="1" x14ac:dyDescent="0.2">
      <c r="E20377" s="18"/>
      <c r="F20377" s="18"/>
    </row>
    <row r="20378" spans="5:6" ht="15" customHeight="1" x14ac:dyDescent="0.2">
      <c r="E20378" s="18"/>
      <c r="F20378" s="18"/>
    </row>
    <row r="20379" spans="5:6" ht="15" customHeight="1" x14ac:dyDescent="0.2">
      <c r="E20379" s="18"/>
      <c r="F20379" s="18"/>
    </row>
    <row r="20380" spans="5:6" ht="15" customHeight="1" x14ac:dyDescent="0.2">
      <c r="E20380" s="18"/>
      <c r="F20380" s="18"/>
    </row>
    <row r="20381" spans="5:6" ht="15" customHeight="1" x14ac:dyDescent="0.2">
      <c r="E20381" s="18"/>
      <c r="F20381" s="18"/>
    </row>
    <row r="20382" spans="5:6" ht="15" customHeight="1" x14ac:dyDescent="0.2">
      <c r="E20382" s="18"/>
      <c r="F20382" s="18"/>
    </row>
    <row r="20383" spans="5:6" ht="15" customHeight="1" x14ac:dyDescent="0.2">
      <c r="E20383" s="18"/>
      <c r="F20383" s="18"/>
    </row>
    <row r="20384" spans="5:6" ht="15" customHeight="1" x14ac:dyDescent="0.2">
      <c r="E20384" s="18"/>
      <c r="F20384" s="18"/>
    </row>
    <row r="20385" spans="5:6" ht="15" customHeight="1" x14ac:dyDescent="0.2">
      <c r="E20385" s="18"/>
      <c r="F20385" s="18"/>
    </row>
    <row r="20386" spans="5:6" ht="15" customHeight="1" x14ac:dyDescent="0.2">
      <c r="E20386" s="18"/>
      <c r="F20386" s="18"/>
    </row>
    <row r="20387" spans="5:6" ht="15" customHeight="1" x14ac:dyDescent="0.2">
      <c r="E20387" s="18"/>
      <c r="F20387" s="18"/>
    </row>
    <row r="20388" spans="5:6" ht="15" customHeight="1" x14ac:dyDescent="0.2">
      <c r="E20388" s="18"/>
      <c r="F20388" s="18"/>
    </row>
    <row r="20389" spans="5:6" ht="15" customHeight="1" x14ac:dyDescent="0.2">
      <c r="E20389" s="18"/>
      <c r="F20389" s="18"/>
    </row>
    <row r="20390" spans="5:6" ht="15" customHeight="1" x14ac:dyDescent="0.2">
      <c r="E20390" s="18"/>
      <c r="F20390" s="18"/>
    </row>
    <row r="20391" spans="5:6" ht="15" customHeight="1" x14ac:dyDescent="0.2">
      <c r="E20391" s="18"/>
      <c r="F20391" s="18"/>
    </row>
    <row r="20392" spans="5:6" ht="15" customHeight="1" x14ac:dyDescent="0.2">
      <c r="E20392" s="18"/>
      <c r="F20392" s="18"/>
    </row>
    <row r="20393" spans="5:6" ht="15" customHeight="1" x14ac:dyDescent="0.2">
      <c r="E20393" s="18"/>
      <c r="F20393" s="18"/>
    </row>
    <row r="20394" spans="5:6" ht="15" customHeight="1" x14ac:dyDescent="0.2">
      <c r="E20394" s="18"/>
      <c r="F20394" s="18"/>
    </row>
    <row r="20395" spans="5:6" ht="15" customHeight="1" x14ac:dyDescent="0.2">
      <c r="E20395" s="18"/>
      <c r="F20395" s="18"/>
    </row>
    <row r="20396" spans="5:6" ht="15" customHeight="1" x14ac:dyDescent="0.2">
      <c r="E20396" s="18"/>
      <c r="F20396" s="18"/>
    </row>
    <row r="20397" spans="5:6" ht="15" customHeight="1" x14ac:dyDescent="0.2">
      <c r="E20397" s="18"/>
      <c r="F20397" s="18"/>
    </row>
    <row r="20398" spans="5:6" ht="15" customHeight="1" x14ac:dyDescent="0.2">
      <c r="E20398" s="18"/>
      <c r="F20398" s="18"/>
    </row>
    <row r="20399" spans="5:6" ht="15" customHeight="1" x14ac:dyDescent="0.2">
      <c r="E20399" s="18"/>
      <c r="F20399" s="18"/>
    </row>
    <row r="20400" spans="5:6" ht="15" customHeight="1" x14ac:dyDescent="0.2">
      <c r="E20400" s="18"/>
      <c r="F20400" s="18"/>
    </row>
    <row r="20401" spans="5:6" ht="15" customHeight="1" x14ac:dyDescent="0.2">
      <c r="E20401" s="18"/>
      <c r="F20401" s="18"/>
    </row>
    <row r="20402" spans="5:6" ht="15" customHeight="1" x14ac:dyDescent="0.2">
      <c r="E20402" s="18"/>
      <c r="F20402" s="18"/>
    </row>
    <row r="20403" spans="5:6" ht="15" customHeight="1" x14ac:dyDescent="0.2">
      <c r="E20403" s="18"/>
      <c r="F20403" s="18"/>
    </row>
    <row r="20404" spans="5:6" ht="15" customHeight="1" x14ac:dyDescent="0.2">
      <c r="E20404" s="18"/>
      <c r="F20404" s="18"/>
    </row>
    <row r="20405" spans="5:6" ht="15" customHeight="1" x14ac:dyDescent="0.2">
      <c r="E20405" s="18"/>
      <c r="F20405" s="18"/>
    </row>
    <row r="20406" spans="5:6" ht="15" customHeight="1" x14ac:dyDescent="0.2">
      <c r="E20406" s="18"/>
      <c r="F20406" s="18"/>
    </row>
    <row r="20407" spans="5:6" ht="15" customHeight="1" x14ac:dyDescent="0.2">
      <c r="E20407" s="18"/>
      <c r="F20407" s="18"/>
    </row>
    <row r="20408" spans="5:6" ht="15" customHeight="1" x14ac:dyDescent="0.2">
      <c r="E20408" s="18"/>
      <c r="F20408" s="18"/>
    </row>
    <row r="20409" spans="5:6" ht="15" customHeight="1" x14ac:dyDescent="0.2">
      <c r="E20409" s="18"/>
      <c r="F20409" s="18"/>
    </row>
    <row r="20410" spans="5:6" ht="15" customHeight="1" x14ac:dyDescent="0.2">
      <c r="E20410" s="18"/>
      <c r="F20410" s="18"/>
    </row>
    <row r="20411" spans="5:6" ht="15" customHeight="1" x14ac:dyDescent="0.2">
      <c r="E20411" s="18"/>
      <c r="F20411" s="18"/>
    </row>
    <row r="20412" spans="5:6" ht="15" customHeight="1" x14ac:dyDescent="0.2">
      <c r="E20412" s="18"/>
      <c r="F20412" s="18"/>
    </row>
    <row r="20413" spans="5:6" ht="15" customHeight="1" x14ac:dyDescent="0.2">
      <c r="E20413" s="18"/>
      <c r="F20413" s="18"/>
    </row>
    <row r="20414" spans="5:6" ht="15" customHeight="1" x14ac:dyDescent="0.2">
      <c r="E20414" s="18"/>
      <c r="F20414" s="18"/>
    </row>
    <row r="20415" spans="5:6" ht="15" customHeight="1" x14ac:dyDescent="0.2">
      <c r="E20415" s="18"/>
      <c r="F20415" s="18"/>
    </row>
    <row r="20416" spans="5:6" ht="15" customHeight="1" x14ac:dyDescent="0.2">
      <c r="E20416" s="18"/>
      <c r="F20416" s="18"/>
    </row>
    <row r="20417" spans="5:6" ht="15" customHeight="1" x14ac:dyDescent="0.2">
      <c r="E20417" s="18"/>
      <c r="F20417" s="18"/>
    </row>
    <row r="20418" spans="5:6" ht="15" customHeight="1" x14ac:dyDescent="0.2">
      <c r="E20418" s="18"/>
      <c r="F20418" s="18"/>
    </row>
    <row r="20419" spans="5:6" ht="15" customHeight="1" x14ac:dyDescent="0.2">
      <c r="E20419" s="18"/>
      <c r="F20419" s="18"/>
    </row>
    <row r="20420" spans="5:6" ht="15" customHeight="1" x14ac:dyDescent="0.2">
      <c r="E20420" s="18"/>
      <c r="F20420" s="18"/>
    </row>
    <row r="20421" spans="5:6" ht="15" customHeight="1" x14ac:dyDescent="0.2">
      <c r="E20421" s="18"/>
      <c r="F20421" s="18"/>
    </row>
    <row r="20422" spans="5:6" ht="15" customHeight="1" x14ac:dyDescent="0.2">
      <c r="E20422" s="18"/>
      <c r="F20422" s="18"/>
    </row>
    <row r="20423" spans="5:6" ht="15" customHeight="1" x14ac:dyDescent="0.2">
      <c r="E20423" s="18"/>
      <c r="F20423" s="18"/>
    </row>
    <row r="20424" spans="5:6" ht="15" customHeight="1" x14ac:dyDescent="0.2">
      <c r="E20424" s="18"/>
      <c r="F20424" s="18"/>
    </row>
    <row r="20425" spans="5:6" ht="15" customHeight="1" x14ac:dyDescent="0.2">
      <c r="E20425" s="18"/>
      <c r="F20425" s="18"/>
    </row>
    <row r="20426" spans="5:6" ht="15" customHeight="1" x14ac:dyDescent="0.2">
      <c r="E20426" s="18"/>
      <c r="F20426" s="18"/>
    </row>
    <row r="20427" spans="5:6" ht="15" customHeight="1" x14ac:dyDescent="0.2">
      <c r="E20427" s="18"/>
      <c r="F20427" s="18"/>
    </row>
    <row r="20428" spans="5:6" ht="15" customHeight="1" x14ac:dyDescent="0.2">
      <c r="E20428" s="18"/>
      <c r="F20428" s="18"/>
    </row>
    <row r="20429" spans="5:6" ht="15" customHeight="1" x14ac:dyDescent="0.2">
      <c r="E20429" s="18"/>
      <c r="F20429" s="18"/>
    </row>
    <row r="20430" spans="5:6" ht="15" customHeight="1" x14ac:dyDescent="0.2">
      <c r="E20430" s="18"/>
      <c r="F20430" s="18"/>
    </row>
    <row r="20431" spans="5:6" ht="15" customHeight="1" x14ac:dyDescent="0.2">
      <c r="E20431" s="18"/>
      <c r="F20431" s="18"/>
    </row>
    <row r="20432" spans="5:6" ht="15" customHeight="1" x14ac:dyDescent="0.2">
      <c r="E20432" s="18"/>
      <c r="F20432" s="18"/>
    </row>
    <row r="20433" spans="5:6" ht="15" customHeight="1" x14ac:dyDescent="0.2">
      <c r="E20433" s="18"/>
      <c r="F20433" s="18"/>
    </row>
    <row r="20434" spans="5:6" ht="15" customHeight="1" x14ac:dyDescent="0.2">
      <c r="E20434" s="18"/>
      <c r="F20434" s="18"/>
    </row>
    <row r="20435" spans="5:6" ht="15" customHeight="1" x14ac:dyDescent="0.2">
      <c r="E20435" s="18"/>
      <c r="F20435" s="18"/>
    </row>
    <row r="20436" spans="5:6" ht="15" customHeight="1" x14ac:dyDescent="0.2">
      <c r="E20436" s="18"/>
      <c r="F20436" s="18"/>
    </row>
    <row r="20437" spans="5:6" ht="15" customHeight="1" x14ac:dyDescent="0.2">
      <c r="E20437" s="18"/>
      <c r="F20437" s="18"/>
    </row>
    <row r="20438" spans="5:6" ht="15" customHeight="1" x14ac:dyDescent="0.2">
      <c r="E20438" s="18"/>
      <c r="F20438" s="18"/>
    </row>
    <row r="20439" spans="5:6" ht="15" customHeight="1" x14ac:dyDescent="0.2">
      <c r="E20439" s="18"/>
      <c r="F20439" s="18"/>
    </row>
    <row r="20440" spans="5:6" ht="15" customHeight="1" x14ac:dyDescent="0.2">
      <c r="E20440" s="18"/>
      <c r="F20440" s="18"/>
    </row>
    <row r="20441" spans="5:6" ht="15" customHeight="1" x14ac:dyDescent="0.2">
      <c r="E20441" s="18"/>
      <c r="F20441" s="18"/>
    </row>
    <row r="20442" spans="5:6" ht="15" customHeight="1" x14ac:dyDescent="0.2">
      <c r="E20442" s="18"/>
      <c r="F20442" s="18"/>
    </row>
    <row r="20443" spans="5:6" ht="15" customHeight="1" x14ac:dyDescent="0.2">
      <c r="E20443" s="18"/>
      <c r="F20443" s="18"/>
    </row>
    <row r="20444" spans="5:6" ht="15" customHeight="1" x14ac:dyDescent="0.2">
      <c r="E20444" s="18"/>
      <c r="F20444" s="18"/>
    </row>
    <row r="20445" spans="5:6" ht="15" customHeight="1" x14ac:dyDescent="0.2">
      <c r="E20445" s="18"/>
      <c r="F20445" s="18"/>
    </row>
    <row r="20446" spans="5:6" ht="15" customHeight="1" x14ac:dyDescent="0.2">
      <c r="E20446" s="18"/>
      <c r="F20446" s="18"/>
    </row>
    <row r="20447" spans="5:6" ht="15" customHeight="1" x14ac:dyDescent="0.2">
      <c r="E20447" s="18"/>
      <c r="F20447" s="18"/>
    </row>
    <row r="20448" spans="5:6" ht="15" customHeight="1" x14ac:dyDescent="0.2">
      <c r="E20448" s="18"/>
      <c r="F20448" s="18"/>
    </row>
    <row r="20449" spans="5:6" ht="15" customHeight="1" x14ac:dyDescent="0.2">
      <c r="E20449" s="18"/>
      <c r="F20449" s="18"/>
    </row>
    <row r="20450" spans="5:6" ht="15" customHeight="1" x14ac:dyDescent="0.2">
      <c r="E20450" s="18"/>
      <c r="F20450" s="18"/>
    </row>
    <row r="20451" spans="5:6" ht="15" customHeight="1" x14ac:dyDescent="0.2">
      <c r="E20451" s="18"/>
      <c r="F20451" s="18"/>
    </row>
    <row r="20452" spans="5:6" ht="15" customHeight="1" x14ac:dyDescent="0.2">
      <c r="E20452" s="18"/>
      <c r="F20452" s="18"/>
    </row>
    <row r="20453" spans="5:6" ht="15" customHeight="1" x14ac:dyDescent="0.2">
      <c r="E20453" s="18"/>
      <c r="F20453" s="18"/>
    </row>
    <row r="20454" spans="5:6" ht="15" customHeight="1" x14ac:dyDescent="0.2">
      <c r="E20454" s="18"/>
      <c r="F20454" s="18"/>
    </row>
    <row r="20455" spans="5:6" ht="15" customHeight="1" x14ac:dyDescent="0.2">
      <c r="E20455" s="18"/>
      <c r="F20455" s="18"/>
    </row>
    <row r="20456" spans="5:6" ht="15" customHeight="1" x14ac:dyDescent="0.2">
      <c r="E20456" s="18"/>
      <c r="F20456" s="18"/>
    </row>
    <row r="20457" spans="5:6" ht="15" customHeight="1" x14ac:dyDescent="0.2">
      <c r="E20457" s="18"/>
      <c r="F20457" s="18"/>
    </row>
    <row r="20458" spans="5:6" ht="15" customHeight="1" x14ac:dyDescent="0.2">
      <c r="E20458" s="18"/>
      <c r="F20458" s="18"/>
    </row>
    <row r="20459" spans="5:6" ht="15" customHeight="1" x14ac:dyDescent="0.2">
      <c r="E20459" s="18"/>
      <c r="F20459" s="18"/>
    </row>
    <row r="20460" spans="5:6" ht="15" customHeight="1" x14ac:dyDescent="0.2">
      <c r="E20460" s="18"/>
      <c r="F20460" s="18"/>
    </row>
    <row r="20461" spans="5:6" ht="15" customHeight="1" x14ac:dyDescent="0.2">
      <c r="E20461" s="18"/>
      <c r="F20461" s="18"/>
    </row>
    <row r="20462" spans="5:6" ht="15" customHeight="1" x14ac:dyDescent="0.2">
      <c r="E20462" s="18"/>
      <c r="F20462" s="18"/>
    </row>
    <row r="20463" spans="5:6" ht="15" customHeight="1" x14ac:dyDescent="0.2">
      <c r="E20463" s="18"/>
      <c r="F20463" s="18"/>
    </row>
    <row r="20464" spans="5:6" ht="15" customHeight="1" x14ac:dyDescent="0.2">
      <c r="E20464" s="18"/>
      <c r="F20464" s="18"/>
    </row>
    <row r="20465" spans="5:6" ht="15" customHeight="1" x14ac:dyDescent="0.2">
      <c r="E20465" s="18"/>
      <c r="F20465" s="18"/>
    </row>
    <row r="20466" spans="5:6" ht="15" customHeight="1" x14ac:dyDescent="0.2">
      <c r="E20466" s="18"/>
      <c r="F20466" s="18"/>
    </row>
    <row r="20467" spans="5:6" ht="15" customHeight="1" x14ac:dyDescent="0.2">
      <c r="E20467" s="18"/>
      <c r="F20467" s="18"/>
    </row>
    <row r="20468" spans="5:6" ht="15" customHeight="1" x14ac:dyDescent="0.2">
      <c r="E20468" s="18"/>
      <c r="F20468" s="18"/>
    </row>
    <row r="20469" spans="5:6" ht="15" customHeight="1" x14ac:dyDescent="0.2">
      <c r="E20469" s="18"/>
      <c r="F20469" s="18"/>
    </row>
    <row r="20470" spans="5:6" ht="15" customHeight="1" x14ac:dyDescent="0.2">
      <c r="E20470" s="18"/>
      <c r="F20470" s="18"/>
    </row>
    <row r="20471" spans="5:6" ht="15" customHeight="1" x14ac:dyDescent="0.2">
      <c r="E20471" s="18"/>
      <c r="F20471" s="18"/>
    </row>
    <row r="20472" spans="5:6" ht="15" customHeight="1" x14ac:dyDescent="0.2">
      <c r="E20472" s="18"/>
      <c r="F20472" s="18"/>
    </row>
    <row r="20473" spans="5:6" ht="15" customHeight="1" x14ac:dyDescent="0.2">
      <c r="E20473" s="18"/>
      <c r="F20473" s="18"/>
    </row>
    <row r="20474" spans="5:6" ht="15" customHeight="1" x14ac:dyDescent="0.2">
      <c r="E20474" s="18"/>
      <c r="F20474" s="18"/>
    </row>
    <row r="20475" spans="5:6" ht="15" customHeight="1" x14ac:dyDescent="0.2">
      <c r="E20475" s="18"/>
      <c r="F20475" s="18"/>
    </row>
    <row r="20476" spans="5:6" ht="15" customHeight="1" x14ac:dyDescent="0.2">
      <c r="E20476" s="18"/>
      <c r="F20476" s="18"/>
    </row>
    <row r="20477" spans="5:6" ht="15" customHeight="1" x14ac:dyDescent="0.2">
      <c r="E20477" s="18"/>
      <c r="F20477" s="18"/>
    </row>
    <row r="20478" spans="5:6" ht="15" customHeight="1" x14ac:dyDescent="0.2">
      <c r="E20478" s="18"/>
      <c r="F20478" s="18"/>
    </row>
    <row r="20479" spans="5:6" ht="15" customHeight="1" x14ac:dyDescent="0.2">
      <c r="E20479" s="18"/>
      <c r="F20479" s="18"/>
    </row>
    <row r="20480" spans="5:6" ht="15" customHeight="1" x14ac:dyDescent="0.2">
      <c r="E20480" s="18"/>
      <c r="F20480" s="18"/>
    </row>
    <row r="20481" spans="5:6" ht="15" customHeight="1" x14ac:dyDescent="0.2">
      <c r="E20481" s="18"/>
      <c r="F20481" s="18"/>
    </row>
    <row r="20482" spans="5:6" ht="15" customHeight="1" x14ac:dyDescent="0.2">
      <c r="E20482" s="18"/>
      <c r="F20482" s="18"/>
    </row>
    <row r="20483" spans="5:6" ht="15" customHeight="1" x14ac:dyDescent="0.2">
      <c r="E20483" s="18"/>
      <c r="F20483" s="18"/>
    </row>
    <row r="20484" spans="5:6" ht="15" customHeight="1" x14ac:dyDescent="0.2">
      <c r="E20484" s="18"/>
      <c r="F20484" s="18"/>
    </row>
    <row r="20485" spans="5:6" ht="15" customHeight="1" x14ac:dyDescent="0.2">
      <c r="E20485" s="18"/>
      <c r="F20485" s="18"/>
    </row>
    <row r="20486" spans="5:6" ht="15" customHeight="1" x14ac:dyDescent="0.2">
      <c r="E20486" s="18"/>
      <c r="F20486" s="18"/>
    </row>
    <row r="20487" spans="5:6" ht="15" customHeight="1" x14ac:dyDescent="0.2">
      <c r="E20487" s="18"/>
      <c r="F20487" s="18"/>
    </row>
    <row r="20488" spans="5:6" ht="15" customHeight="1" x14ac:dyDescent="0.2">
      <c r="E20488" s="18"/>
      <c r="F20488" s="18"/>
    </row>
    <row r="20489" spans="5:6" ht="15" customHeight="1" x14ac:dyDescent="0.2">
      <c r="E20489" s="18"/>
      <c r="F20489" s="18"/>
    </row>
    <row r="20490" spans="5:6" ht="15" customHeight="1" x14ac:dyDescent="0.2">
      <c r="E20490" s="18"/>
      <c r="F20490" s="18"/>
    </row>
    <row r="20491" spans="5:6" ht="15" customHeight="1" x14ac:dyDescent="0.2">
      <c r="E20491" s="18"/>
      <c r="F20491" s="18"/>
    </row>
    <row r="20492" spans="5:6" ht="15" customHeight="1" x14ac:dyDescent="0.2">
      <c r="E20492" s="18"/>
      <c r="F20492" s="18"/>
    </row>
    <row r="20493" spans="5:6" ht="15" customHeight="1" x14ac:dyDescent="0.2">
      <c r="E20493" s="18"/>
      <c r="F20493" s="18"/>
    </row>
    <row r="20494" spans="5:6" ht="15" customHeight="1" x14ac:dyDescent="0.2">
      <c r="E20494" s="18"/>
      <c r="F20494" s="18"/>
    </row>
    <row r="20495" spans="5:6" ht="15" customHeight="1" x14ac:dyDescent="0.2">
      <c r="E20495" s="18"/>
      <c r="F20495" s="18"/>
    </row>
    <row r="20496" spans="5:6" ht="15" customHeight="1" x14ac:dyDescent="0.2">
      <c r="E20496" s="18"/>
      <c r="F20496" s="18"/>
    </row>
    <row r="20497" spans="5:6" ht="15" customHeight="1" x14ac:dyDescent="0.2">
      <c r="E20497" s="18"/>
      <c r="F20497" s="18"/>
    </row>
    <row r="20498" spans="5:6" ht="15" customHeight="1" x14ac:dyDescent="0.2">
      <c r="E20498" s="18"/>
      <c r="F20498" s="18"/>
    </row>
    <row r="20499" spans="5:6" ht="15" customHeight="1" x14ac:dyDescent="0.2">
      <c r="E20499" s="18"/>
      <c r="F20499" s="18"/>
    </row>
    <row r="20500" spans="5:6" ht="15" customHeight="1" x14ac:dyDescent="0.2">
      <c r="E20500" s="18"/>
      <c r="F20500" s="18"/>
    </row>
    <row r="20501" spans="5:6" ht="15" customHeight="1" x14ac:dyDescent="0.2">
      <c r="E20501" s="18"/>
      <c r="F20501" s="18"/>
    </row>
    <row r="20502" spans="5:6" ht="15" customHeight="1" x14ac:dyDescent="0.2">
      <c r="E20502" s="18"/>
      <c r="F20502" s="18"/>
    </row>
    <row r="20503" spans="5:6" ht="15" customHeight="1" x14ac:dyDescent="0.2">
      <c r="E20503" s="18"/>
      <c r="F20503" s="18"/>
    </row>
    <row r="20504" spans="5:6" ht="15" customHeight="1" x14ac:dyDescent="0.2">
      <c r="E20504" s="18"/>
      <c r="F20504" s="18"/>
    </row>
    <row r="20505" spans="5:6" ht="15" customHeight="1" x14ac:dyDescent="0.2">
      <c r="E20505" s="18"/>
      <c r="F20505" s="18"/>
    </row>
    <row r="20506" spans="5:6" ht="15" customHeight="1" x14ac:dyDescent="0.2">
      <c r="E20506" s="18"/>
      <c r="F20506" s="18"/>
    </row>
    <row r="20507" spans="5:6" ht="15" customHeight="1" x14ac:dyDescent="0.2">
      <c r="E20507" s="18"/>
      <c r="F20507" s="18"/>
    </row>
    <row r="20508" spans="5:6" ht="15" customHeight="1" x14ac:dyDescent="0.2">
      <c r="E20508" s="18"/>
      <c r="F20508" s="18"/>
    </row>
    <row r="20509" spans="5:6" ht="15" customHeight="1" x14ac:dyDescent="0.2">
      <c r="E20509" s="18"/>
      <c r="F20509" s="18"/>
    </row>
    <row r="20510" spans="5:6" ht="15" customHeight="1" x14ac:dyDescent="0.2">
      <c r="E20510" s="18"/>
      <c r="F20510" s="18"/>
    </row>
    <row r="20511" spans="5:6" ht="15" customHeight="1" x14ac:dyDescent="0.2">
      <c r="E20511" s="18"/>
      <c r="F20511" s="18"/>
    </row>
    <row r="20512" spans="5:6" ht="15" customHeight="1" x14ac:dyDescent="0.2">
      <c r="E20512" s="18"/>
      <c r="F20512" s="18"/>
    </row>
    <row r="20513" spans="5:6" ht="15" customHeight="1" x14ac:dyDescent="0.2">
      <c r="E20513" s="18"/>
      <c r="F20513" s="18"/>
    </row>
    <row r="20514" spans="5:6" ht="15" customHeight="1" x14ac:dyDescent="0.2">
      <c r="E20514" s="18"/>
      <c r="F20514" s="18"/>
    </row>
    <row r="20515" spans="5:6" ht="15" customHeight="1" x14ac:dyDescent="0.2">
      <c r="E20515" s="18"/>
      <c r="F20515" s="18"/>
    </row>
    <row r="20516" spans="5:6" ht="15" customHeight="1" x14ac:dyDescent="0.2">
      <c r="E20516" s="18"/>
      <c r="F20516" s="18"/>
    </row>
    <row r="20517" spans="5:6" ht="15" customHeight="1" x14ac:dyDescent="0.2">
      <c r="E20517" s="18"/>
      <c r="F20517" s="18"/>
    </row>
    <row r="20518" spans="5:6" ht="15" customHeight="1" x14ac:dyDescent="0.2">
      <c r="E20518" s="18"/>
      <c r="F20518" s="18"/>
    </row>
    <row r="20519" spans="5:6" ht="15" customHeight="1" x14ac:dyDescent="0.2">
      <c r="E20519" s="18"/>
      <c r="F20519" s="18"/>
    </row>
    <row r="20520" spans="5:6" ht="15" customHeight="1" x14ac:dyDescent="0.2">
      <c r="E20520" s="18"/>
      <c r="F20520" s="18"/>
    </row>
    <row r="20521" spans="5:6" ht="15" customHeight="1" x14ac:dyDescent="0.2">
      <c r="E20521" s="18"/>
      <c r="F20521" s="18"/>
    </row>
    <row r="20522" spans="5:6" ht="15" customHeight="1" x14ac:dyDescent="0.2">
      <c r="E20522" s="18"/>
      <c r="F20522" s="18"/>
    </row>
    <row r="20523" spans="5:6" ht="15" customHeight="1" x14ac:dyDescent="0.2">
      <c r="E20523" s="18"/>
      <c r="F20523" s="18"/>
    </row>
    <row r="20524" spans="5:6" ht="15" customHeight="1" x14ac:dyDescent="0.2">
      <c r="E20524" s="18"/>
      <c r="F20524" s="18"/>
    </row>
    <row r="20525" spans="5:6" ht="15" customHeight="1" x14ac:dyDescent="0.2">
      <c r="E20525" s="18"/>
      <c r="F20525" s="18"/>
    </row>
    <row r="20526" spans="5:6" ht="15" customHeight="1" x14ac:dyDescent="0.2">
      <c r="E20526" s="18"/>
      <c r="F20526" s="18"/>
    </row>
    <row r="20527" spans="5:6" ht="15" customHeight="1" x14ac:dyDescent="0.2">
      <c r="E20527" s="18"/>
      <c r="F20527" s="18"/>
    </row>
    <row r="20528" spans="5:6" ht="15" customHeight="1" x14ac:dyDescent="0.2">
      <c r="E20528" s="18"/>
      <c r="F20528" s="18"/>
    </row>
    <row r="20529" spans="5:6" ht="15" customHeight="1" x14ac:dyDescent="0.2">
      <c r="E20529" s="18"/>
      <c r="F20529" s="18"/>
    </row>
    <row r="20530" spans="5:6" ht="15" customHeight="1" x14ac:dyDescent="0.2">
      <c r="E20530" s="18"/>
      <c r="F20530" s="18"/>
    </row>
    <row r="20531" spans="5:6" ht="15" customHeight="1" x14ac:dyDescent="0.2">
      <c r="E20531" s="18"/>
      <c r="F20531" s="18"/>
    </row>
    <row r="20532" spans="5:6" ht="15" customHeight="1" x14ac:dyDescent="0.2">
      <c r="E20532" s="18"/>
      <c r="F20532" s="18"/>
    </row>
    <row r="20533" spans="5:6" ht="15" customHeight="1" x14ac:dyDescent="0.2">
      <c r="E20533" s="18"/>
      <c r="F20533" s="18"/>
    </row>
    <row r="20534" spans="5:6" ht="15" customHeight="1" x14ac:dyDescent="0.2">
      <c r="E20534" s="18"/>
      <c r="F20534" s="18"/>
    </row>
    <row r="20535" spans="5:6" ht="15" customHeight="1" x14ac:dyDescent="0.2">
      <c r="E20535" s="18"/>
      <c r="F20535" s="18"/>
    </row>
    <row r="20536" spans="5:6" ht="15" customHeight="1" x14ac:dyDescent="0.2">
      <c r="E20536" s="18"/>
      <c r="F20536" s="18"/>
    </row>
    <row r="20537" spans="5:6" ht="15" customHeight="1" x14ac:dyDescent="0.2">
      <c r="E20537" s="18"/>
      <c r="F20537" s="18"/>
    </row>
    <row r="20538" spans="5:6" ht="15" customHeight="1" x14ac:dyDescent="0.2">
      <c r="E20538" s="18"/>
      <c r="F20538" s="18"/>
    </row>
    <row r="20539" spans="5:6" ht="15" customHeight="1" x14ac:dyDescent="0.2">
      <c r="E20539" s="18"/>
      <c r="F20539" s="18"/>
    </row>
    <row r="20540" spans="5:6" ht="15" customHeight="1" x14ac:dyDescent="0.2">
      <c r="E20540" s="18"/>
      <c r="F20540" s="18"/>
    </row>
    <row r="20541" spans="5:6" ht="15" customHeight="1" x14ac:dyDescent="0.2">
      <c r="E20541" s="18"/>
      <c r="F20541" s="18"/>
    </row>
    <row r="20542" spans="5:6" ht="15" customHeight="1" x14ac:dyDescent="0.2">
      <c r="E20542" s="18"/>
      <c r="F20542" s="18"/>
    </row>
    <row r="20543" spans="5:6" ht="15" customHeight="1" x14ac:dyDescent="0.2">
      <c r="E20543" s="18"/>
      <c r="F20543" s="18"/>
    </row>
    <row r="20544" spans="5:6" ht="15" customHeight="1" x14ac:dyDescent="0.2">
      <c r="E20544" s="18"/>
      <c r="F20544" s="18"/>
    </row>
    <row r="20545" spans="5:6" ht="15" customHeight="1" x14ac:dyDescent="0.2">
      <c r="E20545" s="18"/>
      <c r="F20545" s="18"/>
    </row>
    <row r="20546" spans="5:6" ht="15" customHeight="1" x14ac:dyDescent="0.2">
      <c r="E20546" s="18"/>
      <c r="F20546" s="18"/>
    </row>
    <row r="20547" spans="5:6" ht="15" customHeight="1" x14ac:dyDescent="0.2">
      <c r="E20547" s="18"/>
      <c r="F20547" s="18"/>
    </row>
    <row r="20548" spans="5:6" ht="15" customHeight="1" x14ac:dyDescent="0.2">
      <c r="E20548" s="18"/>
      <c r="F20548" s="18"/>
    </row>
    <row r="20549" spans="5:6" ht="15" customHeight="1" x14ac:dyDescent="0.2">
      <c r="E20549" s="18"/>
      <c r="F20549" s="18"/>
    </row>
    <row r="20550" spans="5:6" ht="15" customHeight="1" x14ac:dyDescent="0.2">
      <c r="E20550" s="18"/>
      <c r="F20550" s="18"/>
    </row>
    <row r="20551" spans="5:6" ht="15" customHeight="1" x14ac:dyDescent="0.2">
      <c r="E20551" s="18"/>
      <c r="F20551" s="18"/>
    </row>
    <row r="20552" spans="5:6" ht="15" customHeight="1" x14ac:dyDescent="0.2">
      <c r="E20552" s="18"/>
      <c r="F20552" s="18"/>
    </row>
    <row r="20553" spans="5:6" ht="15" customHeight="1" x14ac:dyDescent="0.2">
      <c r="E20553" s="18"/>
      <c r="F20553" s="18"/>
    </row>
    <row r="20554" spans="5:6" ht="15" customHeight="1" x14ac:dyDescent="0.2">
      <c r="E20554" s="18"/>
      <c r="F20554" s="18"/>
    </row>
    <row r="20555" spans="5:6" ht="15" customHeight="1" x14ac:dyDescent="0.2">
      <c r="E20555" s="18"/>
      <c r="F20555" s="18"/>
    </row>
    <row r="20556" spans="5:6" ht="15" customHeight="1" x14ac:dyDescent="0.2">
      <c r="E20556" s="18"/>
      <c r="F20556" s="18"/>
    </row>
    <row r="20557" spans="5:6" ht="15" customHeight="1" x14ac:dyDescent="0.2">
      <c r="E20557" s="18"/>
      <c r="F20557" s="18"/>
    </row>
    <row r="20558" spans="5:6" ht="15" customHeight="1" x14ac:dyDescent="0.2">
      <c r="E20558" s="18"/>
      <c r="F20558" s="18"/>
    </row>
    <row r="20559" spans="5:6" ht="15" customHeight="1" x14ac:dyDescent="0.2">
      <c r="E20559" s="18"/>
      <c r="F20559" s="18"/>
    </row>
    <row r="20560" spans="5:6" ht="15" customHeight="1" x14ac:dyDescent="0.2">
      <c r="E20560" s="18"/>
      <c r="F20560" s="18"/>
    </row>
    <row r="20561" spans="5:6" ht="15" customHeight="1" x14ac:dyDescent="0.2">
      <c r="E20561" s="18"/>
      <c r="F20561" s="18"/>
    </row>
    <row r="20562" spans="5:6" ht="15" customHeight="1" x14ac:dyDescent="0.2">
      <c r="E20562" s="18"/>
      <c r="F20562" s="18"/>
    </row>
    <row r="20563" spans="5:6" ht="15" customHeight="1" x14ac:dyDescent="0.2">
      <c r="E20563" s="18"/>
      <c r="F20563" s="18"/>
    </row>
    <row r="20564" spans="5:6" ht="15" customHeight="1" x14ac:dyDescent="0.2">
      <c r="E20564" s="18"/>
      <c r="F20564" s="18"/>
    </row>
    <row r="20565" spans="5:6" ht="15" customHeight="1" x14ac:dyDescent="0.2">
      <c r="E20565" s="18"/>
      <c r="F20565" s="18"/>
    </row>
    <row r="20566" spans="5:6" ht="15" customHeight="1" x14ac:dyDescent="0.2">
      <c r="E20566" s="18"/>
      <c r="F20566" s="18"/>
    </row>
    <row r="20567" spans="5:6" ht="15" customHeight="1" x14ac:dyDescent="0.2">
      <c r="E20567" s="18"/>
      <c r="F20567" s="18"/>
    </row>
    <row r="20568" spans="5:6" ht="15" customHeight="1" x14ac:dyDescent="0.2">
      <c r="E20568" s="18"/>
      <c r="F20568" s="18"/>
    </row>
    <row r="20569" spans="5:6" ht="15" customHeight="1" x14ac:dyDescent="0.2">
      <c r="E20569" s="18"/>
      <c r="F20569" s="18"/>
    </row>
    <row r="20570" spans="5:6" ht="15" customHeight="1" x14ac:dyDescent="0.2">
      <c r="E20570" s="18"/>
      <c r="F20570" s="18"/>
    </row>
    <row r="20571" spans="5:6" ht="15" customHeight="1" x14ac:dyDescent="0.2">
      <c r="E20571" s="18"/>
      <c r="F20571" s="18"/>
    </row>
    <row r="20572" spans="5:6" ht="15" customHeight="1" x14ac:dyDescent="0.2">
      <c r="E20572" s="18"/>
      <c r="F20572" s="18"/>
    </row>
    <row r="20573" spans="5:6" ht="15" customHeight="1" x14ac:dyDescent="0.2">
      <c r="E20573" s="18"/>
      <c r="F20573" s="18"/>
    </row>
    <row r="20574" spans="5:6" ht="15" customHeight="1" x14ac:dyDescent="0.2">
      <c r="E20574" s="18"/>
      <c r="F20574" s="18"/>
    </row>
    <row r="20575" spans="5:6" ht="15" customHeight="1" x14ac:dyDescent="0.2">
      <c r="E20575" s="18"/>
      <c r="F20575" s="18"/>
    </row>
    <row r="20576" spans="5:6" ht="15" customHeight="1" x14ac:dyDescent="0.2">
      <c r="E20576" s="18"/>
      <c r="F20576" s="18"/>
    </row>
    <row r="20577" spans="5:6" ht="15" customHeight="1" x14ac:dyDescent="0.2">
      <c r="E20577" s="18"/>
      <c r="F20577" s="18"/>
    </row>
    <row r="20578" spans="5:6" ht="15" customHeight="1" x14ac:dyDescent="0.2">
      <c r="E20578" s="18"/>
      <c r="F20578" s="18"/>
    </row>
    <row r="20579" spans="5:6" ht="15" customHeight="1" x14ac:dyDescent="0.2">
      <c r="E20579" s="18"/>
      <c r="F20579" s="18"/>
    </row>
    <row r="20580" spans="5:6" ht="15" customHeight="1" x14ac:dyDescent="0.2">
      <c r="E20580" s="18"/>
      <c r="F20580" s="18"/>
    </row>
    <row r="20581" spans="5:6" ht="15" customHeight="1" x14ac:dyDescent="0.2">
      <c r="E20581" s="18"/>
      <c r="F20581" s="18"/>
    </row>
    <row r="20582" spans="5:6" ht="15" customHeight="1" x14ac:dyDescent="0.2">
      <c r="E20582" s="18"/>
      <c r="F20582" s="18"/>
    </row>
    <row r="20583" spans="5:6" ht="15" customHeight="1" x14ac:dyDescent="0.2">
      <c r="E20583" s="18"/>
      <c r="F20583" s="18"/>
    </row>
    <row r="20584" spans="5:6" ht="15" customHeight="1" x14ac:dyDescent="0.2">
      <c r="E20584" s="18"/>
      <c r="F20584" s="18"/>
    </row>
    <row r="20585" spans="5:6" ht="15" customHeight="1" x14ac:dyDescent="0.2">
      <c r="E20585" s="18"/>
      <c r="F20585" s="18"/>
    </row>
    <row r="20586" spans="5:6" ht="15" customHeight="1" x14ac:dyDescent="0.2">
      <c r="E20586" s="18"/>
      <c r="F20586" s="18"/>
    </row>
    <row r="20587" spans="5:6" ht="15" customHeight="1" x14ac:dyDescent="0.2">
      <c r="E20587" s="18"/>
      <c r="F20587" s="18"/>
    </row>
    <row r="20588" spans="5:6" ht="15" customHeight="1" x14ac:dyDescent="0.2">
      <c r="E20588" s="18"/>
      <c r="F20588" s="18"/>
    </row>
    <row r="20589" spans="5:6" ht="15" customHeight="1" x14ac:dyDescent="0.2">
      <c r="E20589" s="18"/>
      <c r="F20589" s="18"/>
    </row>
    <row r="20590" spans="5:6" ht="15" customHeight="1" x14ac:dyDescent="0.2">
      <c r="E20590" s="18"/>
      <c r="F20590" s="18"/>
    </row>
    <row r="20591" spans="5:6" ht="15" customHeight="1" x14ac:dyDescent="0.2">
      <c r="E20591" s="18"/>
      <c r="F20591" s="18"/>
    </row>
    <row r="20592" spans="5:6" ht="15" customHeight="1" x14ac:dyDescent="0.2">
      <c r="E20592" s="18"/>
      <c r="F20592" s="18"/>
    </row>
    <row r="20593" spans="5:6" ht="15" customHeight="1" x14ac:dyDescent="0.2">
      <c r="E20593" s="18"/>
      <c r="F20593" s="18"/>
    </row>
    <row r="20594" spans="5:6" ht="15" customHeight="1" x14ac:dyDescent="0.2">
      <c r="E20594" s="18"/>
      <c r="F20594" s="18"/>
    </row>
    <row r="20595" spans="5:6" ht="15" customHeight="1" x14ac:dyDescent="0.2">
      <c r="E20595" s="18"/>
      <c r="F20595" s="18"/>
    </row>
    <row r="20596" spans="5:6" ht="15" customHeight="1" x14ac:dyDescent="0.2">
      <c r="E20596" s="18"/>
      <c r="F20596" s="18"/>
    </row>
    <row r="20597" spans="5:6" ht="15" customHeight="1" x14ac:dyDescent="0.2">
      <c r="E20597" s="18"/>
      <c r="F20597" s="18"/>
    </row>
    <row r="20598" spans="5:6" ht="15" customHeight="1" x14ac:dyDescent="0.2">
      <c r="E20598" s="18"/>
      <c r="F20598" s="18"/>
    </row>
    <row r="20599" spans="5:6" ht="15" customHeight="1" x14ac:dyDescent="0.2">
      <c r="E20599" s="18"/>
      <c r="F20599" s="18"/>
    </row>
    <row r="20600" spans="5:6" ht="15" customHeight="1" x14ac:dyDescent="0.2">
      <c r="E20600" s="18"/>
      <c r="F20600" s="18"/>
    </row>
    <row r="20601" spans="5:6" ht="15" customHeight="1" x14ac:dyDescent="0.2">
      <c r="E20601" s="18"/>
      <c r="F20601" s="18"/>
    </row>
    <row r="20602" spans="5:6" ht="15" customHeight="1" x14ac:dyDescent="0.2">
      <c r="E20602" s="18"/>
      <c r="F20602" s="18"/>
    </row>
    <row r="20603" spans="5:6" ht="15" customHeight="1" x14ac:dyDescent="0.2">
      <c r="E20603" s="18"/>
      <c r="F20603" s="18"/>
    </row>
    <row r="20604" spans="5:6" ht="15" customHeight="1" x14ac:dyDescent="0.2">
      <c r="E20604" s="18"/>
      <c r="F20604" s="18"/>
    </row>
    <row r="20605" spans="5:6" ht="15" customHeight="1" x14ac:dyDescent="0.2">
      <c r="E20605" s="18"/>
      <c r="F20605" s="18"/>
    </row>
    <row r="20606" spans="5:6" ht="15" customHeight="1" x14ac:dyDescent="0.2">
      <c r="E20606" s="18"/>
      <c r="F20606" s="18"/>
    </row>
    <row r="20607" spans="5:6" ht="15" customHeight="1" x14ac:dyDescent="0.2">
      <c r="E20607" s="18"/>
      <c r="F20607" s="18"/>
    </row>
    <row r="20608" spans="5:6" ht="15" customHeight="1" x14ac:dyDescent="0.2">
      <c r="E20608" s="18"/>
      <c r="F20608" s="18"/>
    </row>
    <row r="20609" spans="5:6" ht="15" customHeight="1" x14ac:dyDescent="0.2">
      <c r="E20609" s="18"/>
      <c r="F20609" s="18"/>
    </row>
    <row r="20610" spans="5:6" ht="15" customHeight="1" x14ac:dyDescent="0.2">
      <c r="E20610" s="18"/>
      <c r="F20610" s="18"/>
    </row>
    <row r="20611" spans="5:6" ht="15" customHeight="1" x14ac:dyDescent="0.2">
      <c r="E20611" s="18"/>
      <c r="F20611" s="18"/>
    </row>
    <row r="20612" spans="5:6" ht="15" customHeight="1" x14ac:dyDescent="0.2">
      <c r="E20612" s="18"/>
      <c r="F20612" s="18"/>
    </row>
    <row r="20613" spans="5:6" ht="15" customHeight="1" x14ac:dyDescent="0.2">
      <c r="E20613" s="18"/>
      <c r="F20613" s="18"/>
    </row>
    <row r="20614" spans="5:6" ht="15" customHeight="1" x14ac:dyDescent="0.2">
      <c r="E20614" s="18"/>
      <c r="F20614" s="18"/>
    </row>
    <row r="20615" spans="5:6" ht="15" customHeight="1" x14ac:dyDescent="0.2">
      <c r="E20615" s="18"/>
      <c r="F20615" s="18"/>
    </row>
    <row r="20616" spans="5:6" ht="15" customHeight="1" x14ac:dyDescent="0.2">
      <c r="E20616" s="18"/>
      <c r="F20616" s="18"/>
    </row>
    <row r="20617" spans="5:6" ht="15" customHeight="1" x14ac:dyDescent="0.2">
      <c r="E20617" s="18"/>
      <c r="F20617" s="18"/>
    </row>
    <row r="20618" spans="5:6" ht="15" customHeight="1" x14ac:dyDescent="0.2">
      <c r="E20618" s="18"/>
      <c r="F20618" s="18"/>
    </row>
    <row r="20619" spans="5:6" ht="15" customHeight="1" x14ac:dyDescent="0.2">
      <c r="E20619" s="18"/>
      <c r="F20619" s="18"/>
    </row>
    <row r="20620" spans="5:6" ht="15" customHeight="1" x14ac:dyDescent="0.2">
      <c r="E20620" s="18"/>
      <c r="F20620" s="18"/>
    </row>
    <row r="20621" spans="5:6" ht="15" customHeight="1" x14ac:dyDescent="0.2">
      <c r="E20621" s="18"/>
      <c r="F20621" s="18"/>
    </row>
    <row r="20622" spans="5:6" ht="15" customHeight="1" x14ac:dyDescent="0.2">
      <c r="E20622" s="18"/>
      <c r="F20622" s="18"/>
    </row>
    <row r="20623" spans="5:6" ht="15" customHeight="1" x14ac:dyDescent="0.2">
      <c r="E20623" s="18"/>
      <c r="F20623" s="18"/>
    </row>
    <row r="20624" spans="5:6" ht="15" customHeight="1" x14ac:dyDescent="0.2">
      <c r="E20624" s="18"/>
      <c r="F20624" s="18"/>
    </row>
    <row r="20625" spans="5:6" ht="15" customHeight="1" x14ac:dyDescent="0.2">
      <c r="E20625" s="18"/>
      <c r="F20625" s="18"/>
    </row>
    <row r="20626" spans="5:6" ht="15" customHeight="1" x14ac:dyDescent="0.2">
      <c r="E20626" s="18"/>
      <c r="F20626" s="18"/>
    </row>
    <row r="20627" spans="5:6" ht="15" customHeight="1" x14ac:dyDescent="0.2">
      <c r="E20627" s="18"/>
      <c r="F20627" s="18"/>
    </row>
    <row r="20628" spans="5:6" ht="15" customHeight="1" x14ac:dyDescent="0.2">
      <c r="E20628" s="18"/>
      <c r="F20628" s="18"/>
    </row>
    <row r="20629" spans="5:6" ht="15" customHeight="1" x14ac:dyDescent="0.2">
      <c r="E20629" s="18"/>
      <c r="F20629" s="18"/>
    </row>
    <row r="20630" spans="5:6" ht="15" customHeight="1" x14ac:dyDescent="0.2">
      <c r="E20630" s="18"/>
      <c r="F20630" s="18"/>
    </row>
    <row r="20631" spans="5:6" ht="15" customHeight="1" x14ac:dyDescent="0.2">
      <c r="E20631" s="18"/>
      <c r="F20631" s="18"/>
    </row>
    <row r="20632" spans="5:6" ht="15" customHeight="1" x14ac:dyDescent="0.2">
      <c r="E20632" s="18"/>
      <c r="F20632" s="18"/>
    </row>
    <row r="20633" spans="5:6" ht="15" customHeight="1" x14ac:dyDescent="0.2">
      <c r="E20633" s="18"/>
      <c r="F20633" s="18"/>
    </row>
    <row r="20634" spans="5:6" ht="15" customHeight="1" x14ac:dyDescent="0.2">
      <c r="E20634" s="18"/>
      <c r="F20634" s="18"/>
    </row>
    <row r="20635" spans="5:6" ht="15" customHeight="1" x14ac:dyDescent="0.2">
      <c r="E20635" s="18"/>
      <c r="F20635" s="18"/>
    </row>
    <row r="20636" spans="5:6" ht="15" customHeight="1" x14ac:dyDescent="0.2">
      <c r="E20636" s="18"/>
      <c r="F20636" s="18"/>
    </row>
    <row r="20637" spans="5:6" ht="15" customHeight="1" x14ac:dyDescent="0.2">
      <c r="E20637" s="18"/>
      <c r="F20637" s="18"/>
    </row>
    <row r="20638" spans="5:6" ht="15" customHeight="1" x14ac:dyDescent="0.2">
      <c r="E20638" s="18"/>
      <c r="F20638" s="18"/>
    </row>
    <row r="20639" spans="5:6" ht="15" customHeight="1" x14ac:dyDescent="0.2">
      <c r="E20639" s="18"/>
      <c r="F20639" s="18"/>
    </row>
    <row r="20640" spans="5:6" ht="15" customHeight="1" x14ac:dyDescent="0.2">
      <c r="E20640" s="18"/>
      <c r="F20640" s="18"/>
    </row>
    <row r="20641" spans="5:6" ht="15" customHeight="1" x14ac:dyDescent="0.2">
      <c r="E20641" s="18"/>
      <c r="F20641" s="18"/>
    </row>
    <row r="20642" spans="5:6" ht="15" customHeight="1" x14ac:dyDescent="0.2">
      <c r="E20642" s="18"/>
      <c r="F20642" s="18"/>
    </row>
    <row r="20643" spans="5:6" ht="15" customHeight="1" x14ac:dyDescent="0.2">
      <c r="E20643" s="18"/>
      <c r="F20643" s="18"/>
    </row>
    <row r="20644" spans="5:6" ht="15" customHeight="1" x14ac:dyDescent="0.2">
      <c r="E20644" s="18"/>
      <c r="F20644" s="18"/>
    </row>
    <row r="20645" spans="5:6" ht="15" customHeight="1" x14ac:dyDescent="0.2">
      <c r="E20645" s="18"/>
      <c r="F20645" s="18"/>
    </row>
    <row r="20646" spans="5:6" ht="15" customHeight="1" x14ac:dyDescent="0.2">
      <c r="E20646" s="18"/>
      <c r="F20646" s="18"/>
    </row>
    <row r="20647" spans="5:6" ht="15" customHeight="1" x14ac:dyDescent="0.2">
      <c r="E20647" s="18"/>
      <c r="F20647" s="18"/>
    </row>
    <row r="20648" spans="5:6" ht="15" customHeight="1" x14ac:dyDescent="0.2">
      <c r="E20648" s="18"/>
      <c r="F20648" s="18"/>
    </row>
    <row r="20649" spans="5:6" ht="15" customHeight="1" x14ac:dyDescent="0.2">
      <c r="E20649" s="18"/>
      <c r="F20649" s="18"/>
    </row>
    <row r="20650" spans="5:6" ht="15" customHeight="1" x14ac:dyDescent="0.2">
      <c r="E20650" s="18"/>
      <c r="F20650" s="18"/>
    </row>
    <row r="20651" spans="5:6" ht="15" customHeight="1" x14ac:dyDescent="0.2">
      <c r="E20651" s="18"/>
      <c r="F20651" s="18"/>
    </row>
    <row r="20652" spans="5:6" ht="15" customHeight="1" x14ac:dyDescent="0.2">
      <c r="E20652" s="18"/>
      <c r="F20652" s="18"/>
    </row>
    <row r="20653" spans="5:6" ht="15" customHeight="1" x14ac:dyDescent="0.2">
      <c r="E20653" s="18"/>
      <c r="F20653" s="18"/>
    </row>
    <row r="20654" spans="5:6" ht="15" customHeight="1" x14ac:dyDescent="0.2">
      <c r="E20654" s="18"/>
      <c r="F20654" s="18"/>
    </row>
    <row r="20655" spans="5:6" ht="15" customHeight="1" x14ac:dyDescent="0.2">
      <c r="E20655" s="18"/>
      <c r="F20655" s="18"/>
    </row>
    <row r="20656" spans="5:6" ht="15" customHeight="1" x14ac:dyDescent="0.2">
      <c r="E20656" s="18"/>
      <c r="F20656" s="18"/>
    </row>
    <row r="20657" spans="5:6" ht="15" customHeight="1" x14ac:dyDescent="0.2">
      <c r="E20657" s="18"/>
      <c r="F20657" s="18"/>
    </row>
    <row r="20658" spans="5:6" ht="15" customHeight="1" x14ac:dyDescent="0.2">
      <c r="E20658" s="18"/>
      <c r="F20658" s="18"/>
    </row>
    <row r="20659" spans="5:6" ht="15" customHeight="1" x14ac:dyDescent="0.2">
      <c r="E20659" s="18"/>
      <c r="F20659" s="18"/>
    </row>
    <row r="20660" spans="5:6" ht="15" customHeight="1" x14ac:dyDescent="0.2">
      <c r="E20660" s="18"/>
      <c r="F20660" s="18"/>
    </row>
    <row r="20661" spans="5:6" ht="15" customHeight="1" x14ac:dyDescent="0.2">
      <c r="E20661" s="18"/>
      <c r="F20661" s="18"/>
    </row>
    <row r="20662" spans="5:6" ht="15" customHeight="1" x14ac:dyDescent="0.2">
      <c r="E20662" s="18"/>
      <c r="F20662" s="18"/>
    </row>
    <row r="20663" spans="5:6" ht="15" customHeight="1" x14ac:dyDescent="0.2">
      <c r="E20663" s="18"/>
      <c r="F20663" s="18"/>
    </row>
    <row r="20664" spans="5:6" ht="15" customHeight="1" x14ac:dyDescent="0.2">
      <c r="E20664" s="18"/>
      <c r="F20664" s="18"/>
    </row>
    <row r="20665" spans="5:6" ht="15" customHeight="1" x14ac:dyDescent="0.2">
      <c r="E20665" s="18"/>
      <c r="F20665" s="18"/>
    </row>
    <row r="20666" spans="5:6" ht="15" customHeight="1" x14ac:dyDescent="0.2">
      <c r="E20666" s="18"/>
      <c r="F20666" s="18"/>
    </row>
    <row r="20667" spans="5:6" ht="15" customHeight="1" x14ac:dyDescent="0.2">
      <c r="E20667" s="18"/>
      <c r="F20667" s="18"/>
    </row>
    <row r="20668" spans="5:6" ht="15" customHeight="1" x14ac:dyDescent="0.2">
      <c r="E20668" s="18"/>
      <c r="F20668" s="18"/>
    </row>
    <row r="20669" spans="5:6" ht="15" customHeight="1" x14ac:dyDescent="0.2">
      <c r="E20669" s="18"/>
      <c r="F20669" s="18"/>
    </row>
    <row r="20670" spans="5:6" ht="15" customHeight="1" x14ac:dyDescent="0.2">
      <c r="E20670" s="18"/>
      <c r="F20670" s="18"/>
    </row>
    <row r="20671" spans="5:6" ht="15" customHeight="1" x14ac:dyDescent="0.2">
      <c r="E20671" s="18"/>
      <c r="F20671" s="18"/>
    </row>
    <row r="20672" spans="5:6" ht="15" customHeight="1" x14ac:dyDescent="0.2">
      <c r="E20672" s="18"/>
      <c r="F20672" s="18"/>
    </row>
    <row r="20673" spans="5:6" ht="15" customHeight="1" x14ac:dyDescent="0.2">
      <c r="E20673" s="18"/>
      <c r="F20673" s="18"/>
    </row>
    <row r="20674" spans="5:6" ht="15" customHeight="1" x14ac:dyDescent="0.2">
      <c r="E20674" s="18"/>
      <c r="F20674" s="18"/>
    </row>
    <row r="20675" spans="5:6" ht="15" customHeight="1" x14ac:dyDescent="0.2">
      <c r="E20675" s="18"/>
      <c r="F20675" s="18"/>
    </row>
    <row r="20676" spans="5:6" ht="15" customHeight="1" x14ac:dyDescent="0.2">
      <c r="E20676" s="18"/>
      <c r="F20676" s="18"/>
    </row>
    <row r="20677" spans="5:6" ht="15" customHeight="1" x14ac:dyDescent="0.2">
      <c r="E20677" s="18"/>
      <c r="F20677" s="18"/>
    </row>
    <row r="20678" spans="5:6" ht="15" customHeight="1" x14ac:dyDescent="0.2">
      <c r="E20678" s="18"/>
      <c r="F20678" s="18"/>
    </row>
    <row r="20679" spans="5:6" ht="15" customHeight="1" x14ac:dyDescent="0.2">
      <c r="E20679" s="18"/>
      <c r="F20679" s="18"/>
    </row>
    <row r="20680" spans="5:6" ht="15" customHeight="1" x14ac:dyDescent="0.2">
      <c r="E20680" s="18"/>
      <c r="F20680" s="18"/>
    </row>
    <row r="20681" spans="5:6" ht="15" customHeight="1" x14ac:dyDescent="0.2">
      <c r="E20681" s="18"/>
      <c r="F20681" s="18"/>
    </row>
    <row r="20682" spans="5:6" ht="15" customHeight="1" x14ac:dyDescent="0.2">
      <c r="E20682" s="18"/>
      <c r="F20682" s="18"/>
    </row>
    <row r="20683" spans="5:6" ht="15" customHeight="1" x14ac:dyDescent="0.2">
      <c r="E20683" s="18"/>
      <c r="F20683" s="18"/>
    </row>
    <row r="20684" spans="5:6" ht="15" customHeight="1" x14ac:dyDescent="0.2">
      <c r="E20684" s="18"/>
      <c r="F20684" s="18"/>
    </row>
    <row r="20685" spans="5:6" ht="15" customHeight="1" x14ac:dyDescent="0.2">
      <c r="E20685" s="18"/>
      <c r="F20685" s="18"/>
    </row>
    <row r="20686" spans="5:6" ht="15" customHeight="1" x14ac:dyDescent="0.2">
      <c r="E20686" s="18"/>
      <c r="F20686" s="18"/>
    </row>
    <row r="20687" spans="5:6" ht="15" customHeight="1" x14ac:dyDescent="0.2">
      <c r="E20687" s="18"/>
      <c r="F20687" s="18"/>
    </row>
    <row r="20688" spans="5:6" ht="15" customHeight="1" x14ac:dyDescent="0.2">
      <c r="E20688" s="18"/>
      <c r="F20688" s="18"/>
    </row>
    <row r="20689" spans="5:6" ht="15" customHeight="1" x14ac:dyDescent="0.2">
      <c r="E20689" s="18"/>
      <c r="F20689" s="18"/>
    </row>
    <row r="20690" spans="5:6" ht="15" customHeight="1" x14ac:dyDescent="0.2">
      <c r="E20690" s="18"/>
      <c r="F20690" s="18"/>
    </row>
    <row r="20691" spans="5:6" ht="15" customHeight="1" x14ac:dyDescent="0.2">
      <c r="E20691" s="18"/>
      <c r="F20691" s="18"/>
    </row>
    <row r="20692" spans="5:6" ht="15" customHeight="1" x14ac:dyDescent="0.2">
      <c r="E20692" s="18"/>
      <c r="F20692" s="18"/>
    </row>
    <row r="20693" spans="5:6" ht="15" customHeight="1" x14ac:dyDescent="0.2">
      <c r="E20693" s="18"/>
      <c r="F20693" s="18"/>
    </row>
    <row r="20694" spans="5:6" ht="15" customHeight="1" x14ac:dyDescent="0.2">
      <c r="E20694" s="18"/>
      <c r="F20694" s="18"/>
    </row>
    <row r="20695" spans="5:6" ht="15" customHeight="1" x14ac:dyDescent="0.2">
      <c r="E20695" s="18"/>
      <c r="F20695" s="18"/>
    </row>
    <row r="20696" spans="5:6" ht="15" customHeight="1" x14ac:dyDescent="0.2">
      <c r="E20696" s="18"/>
      <c r="F20696" s="18"/>
    </row>
    <row r="20697" spans="5:6" ht="15" customHeight="1" x14ac:dyDescent="0.2">
      <c r="E20697" s="18"/>
      <c r="F20697" s="18"/>
    </row>
    <row r="20698" spans="5:6" ht="15" customHeight="1" x14ac:dyDescent="0.2">
      <c r="E20698" s="18"/>
      <c r="F20698" s="18"/>
    </row>
    <row r="20699" spans="5:6" ht="15" customHeight="1" x14ac:dyDescent="0.2">
      <c r="E20699" s="18"/>
      <c r="F20699" s="18"/>
    </row>
    <row r="20700" spans="5:6" ht="15" customHeight="1" x14ac:dyDescent="0.2">
      <c r="E20700" s="18"/>
      <c r="F20700" s="18"/>
    </row>
    <row r="20701" spans="5:6" ht="15" customHeight="1" x14ac:dyDescent="0.2">
      <c r="E20701" s="18"/>
      <c r="F20701" s="18"/>
    </row>
    <row r="20702" spans="5:6" ht="15" customHeight="1" x14ac:dyDescent="0.2">
      <c r="E20702" s="18"/>
      <c r="F20702" s="18"/>
    </row>
    <row r="20703" spans="5:6" ht="15" customHeight="1" x14ac:dyDescent="0.2">
      <c r="E20703" s="18"/>
      <c r="F20703" s="18"/>
    </row>
    <row r="20704" spans="5:6" ht="15" customHeight="1" x14ac:dyDescent="0.2">
      <c r="E20704" s="18"/>
      <c r="F20704" s="18"/>
    </row>
    <row r="20705" spans="5:6" ht="15" customHeight="1" x14ac:dyDescent="0.2">
      <c r="E20705" s="18"/>
      <c r="F20705" s="18"/>
    </row>
    <row r="20706" spans="5:6" ht="15" customHeight="1" x14ac:dyDescent="0.2">
      <c r="E20706" s="18"/>
      <c r="F20706" s="18"/>
    </row>
    <row r="20707" spans="5:6" ht="15" customHeight="1" x14ac:dyDescent="0.2">
      <c r="E20707" s="18"/>
      <c r="F20707" s="18"/>
    </row>
    <row r="20708" spans="5:6" ht="15" customHeight="1" x14ac:dyDescent="0.2">
      <c r="E20708" s="18"/>
      <c r="F20708" s="18"/>
    </row>
    <row r="20709" spans="5:6" ht="15" customHeight="1" x14ac:dyDescent="0.2">
      <c r="E20709" s="18"/>
      <c r="F20709" s="18"/>
    </row>
    <row r="20710" spans="5:6" ht="15" customHeight="1" x14ac:dyDescent="0.2">
      <c r="E20710" s="18"/>
      <c r="F20710" s="18"/>
    </row>
    <row r="20711" spans="5:6" ht="15" customHeight="1" x14ac:dyDescent="0.2">
      <c r="E20711" s="18"/>
      <c r="F20711" s="18"/>
    </row>
    <row r="20712" spans="5:6" ht="15" customHeight="1" x14ac:dyDescent="0.2">
      <c r="E20712" s="18"/>
      <c r="F20712" s="18"/>
    </row>
    <row r="20713" spans="5:6" ht="15" customHeight="1" x14ac:dyDescent="0.2">
      <c r="E20713" s="18"/>
      <c r="F20713" s="18"/>
    </row>
    <row r="20714" spans="5:6" ht="15" customHeight="1" x14ac:dyDescent="0.2">
      <c r="E20714" s="18"/>
      <c r="F20714" s="18"/>
    </row>
    <row r="20715" spans="5:6" ht="15" customHeight="1" x14ac:dyDescent="0.2">
      <c r="E20715" s="18"/>
      <c r="F20715" s="18"/>
    </row>
    <row r="20716" spans="5:6" ht="15" customHeight="1" x14ac:dyDescent="0.2">
      <c r="E20716" s="18"/>
      <c r="F20716" s="18"/>
    </row>
    <row r="20717" spans="5:6" ht="15" customHeight="1" x14ac:dyDescent="0.2">
      <c r="E20717" s="18"/>
      <c r="F20717" s="18"/>
    </row>
    <row r="20718" spans="5:6" ht="15" customHeight="1" x14ac:dyDescent="0.2">
      <c r="E20718" s="18"/>
      <c r="F20718" s="18"/>
    </row>
    <row r="20719" spans="5:6" ht="15" customHeight="1" x14ac:dyDescent="0.2">
      <c r="E20719" s="18"/>
      <c r="F20719" s="18"/>
    </row>
    <row r="20720" spans="5:6" ht="15" customHeight="1" x14ac:dyDescent="0.2">
      <c r="E20720" s="18"/>
      <c r="F20720" s="18"/>
    </row>
    <row r="20721" spans="5:6" ht="15" customHeight="1" x14ac:dyDescent="0.2">
      <c r="E20721" s="18"/>
      <c r="F20721" s="18"/>
    </row>
    <row r="20722" spans="5:6" ht="15" customHeight="1" x14ac:dyDescent="0.2">
      <c r="E20722" s="18"/>
      <c r="F20722" s="18"/>
    </row>
    <row r="20723" spans="5:6" ht="15" customHeight="1" x14ac:dyDescent="0.2">
      <c r="E20723" s="18"/>
      <c r="F20723" s="18"/>
    </row>
    <row r="20724" spans="5:6" ht="15" customHeight="1" x14ac:dyDescent="0.2">
      <c r="E20724" s="18"/>
      <c r="F20724" s="18"/>
    </row>
    <row r="20725" spans="5:6" ht="15" customHeight="1" x14ac:dyDescent="0.2">
      <c r="E20725" s="18"/>
      <c r="F20725" s="18"/>
    </row>
    <row r="20726" spans="5:6" ht="15" customHeight="1" x14ac:dyDescent="0.2">
      <c r="E20726" s="18"/>
      <c r="F20726" s="18"/>
    </row>
    <row r="20727" spans="5:6" ht="15" customHeight="1" x14ac:dyDescent="0.2">
      <c r="E20727" s="18"/>
      <c r="F20727" s="18"/>
    </row>
    <row r="20728" spans="5:6" ht="15" customHeight="1" x14ac:dyDescent="0.2">
      <c r="E20728" s="18"/>
      <c r="F20728" s="18"/>
    </row>
    <row r="20729" spans="5:6" ht="15" customHeight="1" x14ac:dyDescent="0.2">
      <c r="E20729" s="18"/>
      <c r="F20729" s="18"/>
    </row>
    <row r="20730" spans="5:6" ht="15" customHeight="1" x14ac:dyDescent="0.2">
      <c r="E20730" s="18"/>
      <c r="F20730" s="18"/>
    </row>
    <row r="20731" spans="5:6" ht="15" customHeight="1" x14ac:dyDescent="0.2">
      <c r="E20731" s="18"/>
      <c r="F20731" s="18"/>
    </row>
    <row r="20732" spans="5:6" ht="15" customHeight="1" x14ac:dyDescent="0.2">
      <c r="E20732" s="18"/>
      <c r="F20732" s="18"/>
    </row>
    <row r="20733" spans="5:6" ht="15" customHeight="1" x14ac:dyDescent="0.2">
      <c r="E20733" s="18"/>
      <c r="F20733" s="18"/>
    </row>
    <row r="20734" spans="5:6" ht="15" customHeight="1" x14ac:dyDescent="0.2">
      <c r="E20734" s="18"/>
      <c r="F20734" s="18"/>
    </row>
    <row r="20735" spans="5:6" ht="15" customHeight="1" x14ac:dyDescent="0.2">
      <c r="E20735" s="18"/>
      <c r="F20735" s="18"/>
    </row>
    <row r="20736" spans="5:6" ht="15" customHeight="1" x14ac:dyDescent="0.2">
      <c r="E20736" s="18"/>
      <c r="F20736" s="18"/>
    </row>
    <row r="20737" spans="5:6" ht="15" customHeight="1" x14ac:dyDescent="0.2">
      <c r="E20737" s="18"/>
      <c r="F20737" s="18"/>
    </row>
    <row r="20738" spans="5:6" ht="15" customHeight="1" x14ac:dyDescent="0.2">
      <c r="E20738" s="18"/>
      <c r="F20738" s="18"/>
    </row>
    <row r="20739" spans="5:6" ht="15" customHeight="1" x14ac:dyDescent="0.2">
      <c r="E20739" s="18"/>
      <c r="F20739" s="18"/>
    </row>
    <row r="20740" spans="5:6" ht="15" customHeight="1" x14ac:dyDescent="0.2">
      <c r="E20740" s="18"/>
      <c r="F20740" s="18"/>
    </row>
    <row r="20741" spans="5:6" ht="15" customHeight="1" x14ac:dyDescent="0.2">
      <c r="E20741" s="18"/>
      <c r="F20741" s="18"/>
    </row>
    <row r="20742" spans="5:6" ht="15" customHeight="1" x14ac:dyDescent="0.2">
      <c r="E20742" s="18"/>
      <c r="F20742" s="18"/>
    </row>
    <row r="20743" spans="5:6" ht="15" customHeight="1" x14ac:dyDescent="0.2">
      <c r="E20743" s="18"/>
      <c r="F20743" s="18"/>
    </row>
    <row r="20744" spans="5:6" ht="15" customHeight="1" x14ac:dyDescent="0.2">
      <c r="E20744" s="18"/>
      <c r="F20744" s="18"/>
    </row>
    <row r="20745" spans="5:6" ht="15" customHeight="1" x14ac:dyDescent="0.2">
      <c r="E20745" s="18"/>
      <c r="F20745" s="18"/>
    </row>
    <row r="20746" spans="5:6" ht="15" customHeight="1" x14ac:dyDescent="0.2">
      <c r="E20746" s="18"/>
      <c r="F20746" s="18"/>
    </row>
    <row r="20747" spans="5:6" ht="15" customHeight="1" x14ac:dyDescent="0.2">
      <c r="E20747" s="18"/>
      <c r="F20747" s="18"/>
    </row>
    <row r="20748" spans="5:6" ht="15" customHeight="1" x14ac:dyDescent="0.2">
      <c r="E20748" s="18"/>
      <c r="F20748" s="18"/>
    </row>
    <row r="20749" spans="5:6" ht="15" customHeight="1" x14ac:dyDescent="0.2">
      <c r="E20749" s="18"/>
      <c r="F20749" s="18"/>
    </row>
    <row r="20750" spans="5:6" ht="15" customHeight="1" x14ac:dyDescent="0.2">
      <c r="E20750" s="18"/>
      <c r="F20750" s="18"/>
    </row>
    <row r="20751" spans="5:6" ht="15" customHeight="1" x14ac:dyDescent="0.2">
      <c r="E20751" s="18"/>
      <c r="F20751" s="18"/>
    </row>
    <row r="20752" spans="5:6" ht="15" customHeight="1" x14ac:dyDescent="0.2">
      <c r="E20752" s="18"/>
      <c r="F20752" s="18"/>
    </row>
    <row r="20753" spans="5:6" ht="15" customHeight="1" x14ac:dyDescent="0.2">
      <c r="E20753" s="18"/>
      <c r="F20753" s="18"/>
    </row>
    <row r="20754" spans="5:6" ht="15" customHeight="1" x14ac:dyDescent="0.2">
      <c r="E20754" s="18"/>
      <c r="F20754" s="18"/>
    </row>
    <row r="20755" spans="5:6" ht="15" customHeight="1" x14ac:dyDescent="0.2">
      <c r="E20755" s="18"/>
      <c r="F20755" s="18"/>
    </row>
    <row r="20756" spans="5:6" ht="15" customHeight="1" x14ac:dyDescent="0.2">
      <c r="E20756" s="18"/>
      <c r="F20756" s="18"/>
    </row>
    <row r="20757" spans="5:6" ht="15" customHeight="1" x14ac:dyDescent="0.2">
      <c r="E20757" s="18"/>
      <c r="F20757" s="18"/>
    </row>
    <row r="20758" spans="5:6" ht="15" customHeight="1" x14ac:dyDescent="0.2">
      <c r="E20758" s="18"/>
      <c r="F20758" s="18"/>
    </row>
    <row r="20759" spans="5:6" ht="15" customHeight="1" x14ac:dyDescent="0.2">
      <c r="E20759" s="18"/>
      <c r="F20759" s="18"/>
    </row>
    <row r="20760" spans="5:6" ht="15" customHeight="1" x14ac:dyDescent="0.2">
      <c r="E20760" s="18"/>
      <c r="F20760" s="18"/>
    </row>
    <row r="20761" spans="5:6" ht="15" customHeight="1" x14ac:dyDescent="0.2">
      <c r="E20761" s="18"/>
      <c r="F20761" s="18"/>
    </row>
    <row r="20762" spans="5:6" ht="15" customHeight="1" x14ac:dyDescent="0.2">
      <c r="E20762" s="18"/>
      <c r="F20762" s="18"/>
    </row>
    <row r="20763" spans="5:6" ht="15" customHeight="1" x14ac:dyDescent="0.2">
      <c r="E20763" s="18"/>
      <c r="F20763" s="18"/>
    </row>
    <row r="20764" spans="5:6" ht="15" customHeight="1" x14ac:dyDescent="0.2">
      <c r="E20764" s="18"/>
      <c r="F20764" s="18"/>
    </row>
    <row r="20765" spans="5:6" ht="15" customHeight="1" x14ac:dyDescent="0.2">
      <c r="E20765" s="18"/>
      <c r="F20765" s="18"/>
    </row>
    <row r="20766" spans="5:6" ht="15" customHeight="1" x14ac:dyDescent="0.2">
      <c r="E20766" s="18"/>
      <c r="F20766" s="18"/>
    </row>
    <row r="20767" spans="5:6" ht="15" customHeight="1" x14ac:dyDescent="0.2">
      <c r="E20767" s="18"/>
      <c r="F20767" s="18"/>
    </row>
    <row r="20768" spans="5:6" ht="15" customHeight="1" x14ac:dyDescent="0.2">
      <c r="E20768" s="18"/>
      <c r="F20768" s="18"/>
    </row>
    <row r="20769" spans="5:6" ht="15" customHeight="1" x14ac:dyDescent="0.2">
      <c r="E20769" s="18"/>
      <c r="F20769" s="18"/>
    </row>
    <row r="20770" spans="5:6" ht="15" customHeight="1" x14ac:dyDescent="0.2">
      <c r="E20770" s="18"/>
      <c r="F20770" s="18"/>
    </row>
    <row r="20771" spans="5:6" ht="15" customHeight="1" x14ac:dyDescent="0.2">
      <c r="E20771" s="18"/>
      <c r="F20771" s="18"/>
    </row>
    <row r="20772" spans="5:6" ht="15" customHeight="1" x14ac:dyDescent="0.2">
      <c r="E20772" s="18"/>
      <c r="F20772" s="18"/>
    </row>
    <row r="20773" spans="5:6" ht="15" customHeight="1" x14ac:dyDescent="0.2">
      <c r="E20773" s="18"/>
      <c r="F20773" s="18"/>
    </row>
    <row r="20774" spans="5:6" ht="15" customHeight="1" x14ac:dyDescent="0.2">
      <c r="E20774" s="18"/>
      <c r="F20774" s="18"/>
    </row>
    <row r="20775" spans="5:6" ht="15" customHeight="1" x14ac:dyDescent="0.2">
      <c r="E20775" s="18"/>
      <c r="F20775" s="18"/>
    </row>
    <row r="20776" spans="5:6" ht="15" customHeight="1" x14ac:dyDescent="0.2">
      <c r="E20776" s="18"/>
      <c r="F20776" s="18"/>
    </row>
    <row r="20777" spans="5:6" ht="15" customHeight="1" x14ac:dyDescent="0.2">
      <c r="E20777" s="18"/>
      <c r="F20777" s="18"/>
    </row>
    <row r="20778" spans="5:6" ht="15" customHeight="1" x14ac:dyDescent="0.2">
      <c r="E20778" s="18"/>
      <c r="F20778" s="18"/>
    </row>
    <row r="20779" spans="5:6" ht="15" customHeight="1" x14ac:dyDescent="0.2">
      <c r="E20779" s="18"/>
      <c r="F20779" s="18"/>
    </row>
    <row r="20780" spans="5:6" ht="15" customHeight="1" x14ac:dyDescent="0.2">
      <c r="E20780" s="18"/>
      <c r="F20780" s="18"/>
    </row>
    <row r="20781" spans="5:6" ht="15" customHeight="1" x14ac:dyDescent="0.2">
      <c r="E20781" s="18"/>
      <c r="F20781" s="18"/>
    </row>
    <row r="20782" spans="5:6" ht="15" customHeight="1" x14ac:dyDescent="0.2">
      <c r="E20782" s="18"/>
      <c r="F20782" s="18"/>
    </row>
    <row r="20783" spans="5:6" ht="15" customHeight="1" x14ac:dyDescent="0.2">
      <c r="E20783" s="18"/>
      <c r="F20783" s="18"/>
    </row>
    <row r="20784" spans="5:6" ht="15" customHeight="1" x14ac:dyDescent="0.2">
      <c r="E20784" s="18"/>
      <c r="F20784" s="18"/>
    </row>
    <row r="20785" spans="5:6" ht="15" customHeight="1" x14ac:dyDescent="0.2">
      <c r="E20785" s="18"/>
      <c r="F20785" s="18"/>
    </row>
    <row r="20786" spans="5:6" ht="15" customHeight="1" x14ac:dyDescent="0.2">
      <c r="E20786" s="18"/>
      <c r="F20786" s="18"/>
    </row>
    <row r="20787" spans="5:6" ht="15" customHeight="1" x14ac:dyDescent="0.2">
      <c r="E20787" s="18"/>
      <c r="F20787" s="18"/>
    </row>
    <row r="20788" spans="5:6" ht="15" customHeight="1" x14ac:dyDescent="0.2">
      <c r="E20788" s="18"/>
      <c r="F20788" s="18"/>
    </row>
    <row r="20789" spans="5:6" ht="15" customHeight="1" x14ac:dyDescent="0.2">
      <c r="E20789" s="18"/>
      <c r="F20789" s="18"/>
    </row>
    <row r="20790" spans="5:6" ht="15" customHeight="1" x14ac:dyDescent="0.2">
      <c r="E20790" s="18"/>
      <c r="F20790" s="18"/>
    </row>
    <row r="20791" spans="5:6" ht="15" customHeight="1" x14ac:dyDescent="0.2">
      <c r="E20791" s="18"/>
      <c r="F20791" s="18"/>
    </row>
    <row r="20792" spans="5:6" ht="15" customHeight="1" x14ac:dyDescent="0.2">
      <c r="E20792" s="18"/>
      <c r="F20792" s="18"/>
    </row>
    <row r="20793" spans="5:6" ht="15" customHeight="1" x14ac:dyDescent="0.2">
      <c r="E20793" s="18"/>
      <c r="F20793" s="18"/>
    </row>
    <row r="20794" spans="5:6" ht="15" customHeight="1" x14ac:dyDescent="0.2">
      <c r="E20794" s="18"/>
      <c r="F20794" s="18"/>
    </row>
    <row r="20795" spans="5:6" ht="15" customHeight="1" x14ac:dyDescent="0.2">
      <c r="E20795" s="18"/>
      <c r="F20795" s="18"/>
    </row>
    <row r="20796" spans="5:6" ht="15" customHeight="1" x14ac:dyDescent="0.2">
      <c r="E20796" s="18"/>
      <c r="F20796" s="18"/>
    </row>
    <row r="20797" spans="5:6" ht="15" customHeight="1" x14ac:dyDescent="0.2">
      <c r="E20797" s="18"/>
      <c r="F20797" s="18"/>
    </row>
    <row r="20798" spans="5:6" ht="15" customHeight="1" x14ac:dyDescent="0.2">
      <c r="E20798" s="18"/>
      <c r="F20798" s="18"/>
    </row>
    <row r="20799" spans="5:6" ht="15" customHeight="1" x14ac:dyDescent="0.2">
      <c r="E20799" s="18"/>
      <c r="F20799" s="18"/>
    </row>
    <row r="20800" spans="5:6" ht="15" customHeight="1" x14ac:dyDescent="0.2">
      <c r="E20800" s="18"/>
      <c r="F20800" s="18"/>
    </row>
    <row r="20801" spans="5:6" ht="15" customHeight="1" x14ac:dyDescent="0.2">
      <c r="E20801" s="18"/>
      <c r="F20801" s="18"/>
    </row>
    <row r="20802" spans="5:6" ht="15" customHeight="1" x14ac:dyDescent="0.2">
      <c r="E20802" s="18"/>
      <c r="F20802" s="18"/>
    </row>
    <row r="20803" spans="5:6" ht="15" customHeight="1" x14ac:dyDescent="0.2">
      <c r="E20803" s="18"/>
      <c r="F20803" s="18"/>
    </row>
    <row r="20804" spans="5:6" ht="15" customHeight="1" x14ac:dyDescent="0.2">
      <c r="E20804" s="18"/>
      <c r="F20804" s="18"/>
    </row>
    <row r="20805" spans="5:6" ht="15" customHeight="1" x14ac:dyDescent="0.2">
      <c r="E20805" s="18"/>
      <c r="F20805" s="18"/>
    </row>
    <row r="20806" spans="5:6" ht="15" customHeight="1" x14ac:dyDescent="0.2">
      <c r="E20806" s="18"/>
      <c r="F20806" s="18"/>
    </row>
    <row r="20807" spans="5:6" ht="15" customHeight="1" x14ac:dyDescent="0.2">
      <c r="E20807" s="18"/>
      <c r="F20807" s="18"/>
    </row>
    <row r="20808" spans="5:6" ht="15" customHeight="1" x14ac:dyDescent="0.2">
      <c r="E20808" s="18"/>
      <c r="F20808" s="18"/>
    </row>
    <row r="20809" spans="5:6" ht="15" customHeight="1" x14ac:dyDescent="0.2">
      <c r="E20809" s="18"/>
      <c r="F20809" s="18"/>
    </row>
    <row r="20810" spans="5:6" ht="15" customHeight="1" x14ac:dyDescent="0.2">
      <c r="E20810" s="18"/>
      <c r="F20810" s="18"/>
    </row>
    <row r="20811" spans="5:6" ht="15" customHeight="1" x14ac:dyDescent="0.2">
      <c r="E20811" s="18"/>
      <c r="F20811" s="18"/>
    </row>
    <row r="20812" spans="5:6" ht="15" customHeight="1" x14ac:dyDescent="0.2">
      <c r="E20812" s="18"/>
      <c r="F20812" s="18"/>
    </row>
    <row r="20813" spans="5:6" ht="15" customHeight="1" x14ac:dyDescent="0.2">
      <c r="E20813" s="18"/>
      <c r="F20813" s="18"/>
    </row>
    <row r="20814" spans="5:6" ht="15" customHeight="1" x14ac:dyDescent="0.2">
      <c r="E20814" s="18"/>
      <c r="F20814" s="18"/>
    </row>
    <row r="20815" spans="5:6" ht="15" customHeight="1" x14ac:dyDescent="0.2">
      <c r="E20815" s="18"/>
      <c r="F20815" s="18"/>
    </row>
    <row r="20816" spans="5:6" ht="15" customHeight="1" x14ac:dyDescent="0.2">
      <c r="E20816" s="18"/>
      <c r="F20816" s="18"/>
    </row>
    <row r="20817" spans="5:6" ht="15" customHeight="1" x14ac:dyDescent="0.2">
      <c r="E20817" s="18"/>
      <c r="F20817" s="18"/>
    </row>
    <row r="20818" spans="5:6" ht="15" customHeight="1" x14ac:dyDescent="0.2">
      <c r="E20818" s="18"/>
      <c r="F20818" s="18"/>
    </row>
    <row r="20819" spans="5:6" ht="15" customHeight="1" x14ac:dyDescent="0.2">
      <c r="E20819" s="18"/>
      <c r="F20819" s="18"/>
    </row>
    <row r="20820" spans="5:6" ht="15" customHeight="1" x14ac:dyDescent="0.2">
      <c r="E20820" s="18"/>
      <c r="F20820" s="18"/>
    </row>
    <row r="20821" spans="5:6" ht="15" customHeight="1" x14ac:dyDescent="0.2">
      <c r="E20821" s="18"/>
      <c r="F20821" s="18"/>
    </row>
    <row r="20822" spans="5:6" ht="15" customHeight="1" x14ac:dyDescent="0.2">
      <c r="E20822" s="18"/>
      <c r="F20822" s="18"/>
    </row>
    <row r="20823" spans="5:6" ht="15" customHeight="1" x14ac:dyDescent="0.2">
      <c r="E20823" s="18"/>
      <c r="F20823" s="18"/>
    </row>
    <row r="20824" spans="5:6" ht="15" customHeight="1" x14ac:dyDescent="0.2">
      <c r="E20824" s="18"/>
      <c r="F20824" s="18"/>
    </row>
    <row r="20825" spans="5:6" ht="15" customHeight="1" x14ac:dyDescent="0.2">
      <c r="E20825" s="18"/>
      <c r="F20825" s="18"/>
    </row>
    <row r="20826" spans="5:6" ht="15" customHeight="1" x14ac:dyDescent="0.2">
      <c r="E20826" s="18"/>
      <c r="F20826" s="18"/>
    </row>
    <row r="20827" spans="5:6" ht="15" customHeight="1" x14ac:dyDescent="0.2">
      <c r="E20827" s="18"/>
      <c r="F20827" s="18"/>
    </row>
    <row r="20828" spans="5:6" ht="15" customHeight="1" x14ac:dyDescent="0.2">
      <c r="E20828" s="18"/>
      <c r="F20828" s="18"/>
    </row>
    <row r="20829" spans="5:6" ht="15" customHeight="1" x14ac:dyDescent="0.2">
      <c r="E20829" s="18"/>
      <c r="F20829" s="18"/>
    </row>
    <row r="20830" spans="5:6" ht="15" customHeight="1" x14ac:dyDescent="0.2">
      <c r="E20830" s="18"/>
      <c r="F20830" s="18"/>
    </row>
    <row r="20831" spans="5:6" ht="15" customHeight="1" x14ac:dyDescent="0.2">
      <c r="E20831" s="18"/>
      <c r="F20831" s="18"/>
    </row>
    <row r="20832" spans="5:6" ht="15" customHeight="1" x14ac:dyDescent="0.2">
      <c r="E20832" s="18"/>
      <c r="F20832" s="18"/>
    </row>
    <row r="20833" spans="5:6" ht="15" customHeight="1" x14ac:dyDescent="0.2">
      <c r="E20833" s="18"/>
      <c r="F20833" s="18"/>
    </row>
    <row r="20834" spans="5:6" ht="15" customHeight="1" x14ac:dyDescent="0.2">
      <c r="E20834" s="18"/>
      <c r="F20834" s="18"/>
    </row>
    <row r="20835" spans="5:6" ht="15" customHeight="1" x14ac:dyDescent="0.2">
      <c r="E20835" s="18"/>
      <c r="F20835" s="18"/>
    </row>
    <row r="20836" spans="5:6" ht="15" customHeight="1" x14ac:dyDescent="0.2">
      <c r="E20836" s="18"/>
      <c r="F20836" s="18"/>
    </row>
    <row r="20837" spans="5:6" ht="15" customHeight="1" x14ac:dyDescent="0.2">
      <c r="E20837" s="18"/>
      <c r="F20837" s="18"/>
    </row>
    <row r="20838" spans="5:6" ht="15" customHeight="1" x14ac:dyDescent="0.2">
      <c r="E20838" s="18"/>
      <c r="F20838" s="18"/>
    </row>
    <row r="20839" spans="5:6" ht="15" customHeight="1" x14ac:dyDescent="0.2">
      <c r="E20839" s="18"/>
      <c r="F20839" s="18"/>
    </row>
    <row r="20840" spans="5:6" ht="15" customHeight="1" x14ac:dyDescent="0.2">
      <c r="E20840" s="18"/>
      <c r="F20840" s="18"/>
    </row>
    <row r="20841" spans="5:6" ht="15" customHeight="1" x14ac:dyDescent="0.2">
      <c r="E20841" s="18"/>
      <c r="F20841" s="18"/>
    </row>
    <row r="20842" spans="5:6" ht="15" customHeight="1" x14ac:dyDescent="0.2">
      <c r="E20842" s="18"/>
      <c r="F20842" s="18"/>
    </row>
    <row r="20843" spans="5:6" ht="15" customHeight="1" x14ac:dyDescent="0.2">
      <c r="E20843" s="18"/>
      <c r="F20843" s="18"/>
    </row>
    <row r="20844" spans="5:6" ht="15" customHeight="1" x14ac:dyDescent="0.2">
      <c r="E20844" s="18"/>
      <c r="F20844" s="18"/>
    </row>
    <row r="20845" spans="5:6" ht="15" customHeight="1" x14ac:dyDescent="0.2">
      <c r="E20845" s="18"/>
      <c r="F20845" s="18"/>
    </row>
    <row r="20846" spans="5:6" ht="15" customHeight="1" x14ac:dyDescent="0.2">
      <c r="E20846" s="18"/>
      <c r="F20846" s="18"/>
    </row>
    <row r="20847" spans="5:6" ht="15" customHeight="1" x14ac:dyDescent="0.2">
      <c r="E20847" s="18"/>
      <c r="F20847" s="18"/>
    </row>
    <row r="20848" spans="5:6" ht="15" customHeight="1" x14ac:dyDescent="0.2">
      <c r="E20848" s="18"/>
      <c r="F20848" s="18"/>
    </row>
    <row r="20849" spans="5:6" ht="15" customHeight="1" x14ac:dyDescent="0.2">
      <c r="E20849" s="18"/>
      <c r="F20849" s="18"/>
    </row>
    <row r="20850" spans="5:6" ht="15" customHeight="1" x14ac:dyDescent="0.2">
      <c r="E20850" s="18"/>
      <c r="F20850" s="18"/>
    </row>
    <row r="20851" spans="5:6" ht="15" customHeight="1" x14ac:dyDescent="0.2">
      <c r="E20851" s="18"/>
      <c r="F20851" s="18"/>
    </row>
    <row r="20852" spans="5:6" ht="15" customHeight="1" x14ac:dyDescent="0.2">
      <c r="E20852" s="18"/>
      <c r="F20852" s="18"/>
    </row>
    <row r="20853" spans="5:6" ht="15" customHeight="1" x14ac:dyDescent="0.2">
      <c r="E20853" s="18"/>
      <c r="F20853" s="18"/>
    </row>
    <row r="20854" spans="5:6" ht="15" customHeight="1" x14ac:dyDescent="0.2">
      <c r="E20854" s="18"/>
      <c r="F20854" s="18"/>
    </row>
    <row r="20855" spans="5:6" ht="15" customHeight="1" x14ac:dyDescent="0.2">
      <c r="E20855" s="18"/>
      <c r="F20855" s="18"/>
    </row>
    <row r="20856" spans="5:6" ht="15" customHeight="1" x14ac:dyDescent="0.2">
      <c r="E20856" s="18"/>
      <c r="F20856" s="18"/>
    </row>
    <row r="20857" spans="5:6" ht="15" customHeight="1" x14ac:dyDescent="0.2">
      <c r="E20857" s="18"/>
      <c r="F20857" s="18"/>
    </row>
    <row r="20858" spans="5:6" ht="15" customHeight="1" x14ac:dyDescent="0.2">
      <c r="E20858" s="18"/>
      <c r="F20858" s="18"/>
    </row>
    <row r="20859" spans="5:6" ht="15" customHeight="1" x14ac:dyDescent="0.2">
      <c r="E20859" s="18"/>
      <c r="F20859" s="18"/>
    </row>
    <row r="20860" spans="5:6" ht="15" customHeight="1" x14ac:dyDescent="0.2">
      <c r="E20860" s="18"/>
      <c r="F20860" s="18"/>
    </row>
    <row r="20861" spans="5:6" ht="15" customHeight="1" x14ac:dyDescent="0.2">
      <c r="E20861" s="18"/>
      <c r="F20861" s="18"/>
    </row>
    <row r="20862" spans="5:6" ht="15" customHeight="1" x14ac:dyDescent="0.2">
      <c r="E20862" s="18"/>
      <c r="F20862" s="18"/>
    </row>
    <row r="20863" spans="5:6" ht="15" customHeight="1" x14ac:dyDescent="0.2">
      <c r="E20863" s="18"/>
      <c r="F20863" s="18"/>
    </row>
    <row r="20864" spans="5:6" ht="15" customHeight="1" x14ac:dyDescent="0.2">
      <c r="E20864" s="18"/>
      <c r="F20864" s="18"/>
    </row>
    <row r="20865" spans="5:6" ht="15" customHeight="1" x14ac:dyDescent="0.2">
      <c r="E20865" s="18"/>
      <c r="F20865" s="18"/>
    </row>
    <row r="20866" spans="5:6" ht="15" customHeight="1" x14ac:dyDescent="0.2">
      <c r="E20866" s="18"/>
      <c r="F20866" s="18"/>
    </row>
    <row r="20867" spans="5:6" ht="15" customHeight="1" x14ac:dyDescent="0.2">
      <c r="E20867" s="18"/>
      <c r="F20867" s="18"/>
    </row>
    <row r="20868" spans="5:6" ht="15" customHeight="1" x14ac:dyDescent="0.2">
      <c r="E20868" s="18"/>
      <c r="F20868" s="18"/>
    </row>
    <row r="20869" spans="5:6" ht="15" customHeight="1" x14ac:dyDescent="0.2">
      <c r="E20869" s="18"/>
      <c r="F20869" s="18"/>
    </row>
    <row r="20870" spans="5:6" ht="15" customHeight="1" x14ac:dyDescent="0.2">
      <c r="E20870" s="18"/>
      <c r="F20870" s="18"/>
    </row>
    <row r="20871" spans="5:6" ht="15" customHeight="1" x14ac:dyDescent="0.2">
      <c r="E20871" s="18"/>
      <c r="F20871" s="18"/>
    </row>
    <row r="20872" spans="5:6" ht="15" customHeight="1" x14ac:dyDescent="0.2">
      <c r="E20872" s="18"/>
      <c r="F20872" s="18"/>
    </row>
    <row r="20873" spans="5:6" ht="15" customHeight="1" x14ac:dyDescent="0.2">
      <c r="E20873" s="18"/>
      <c r="F20873" s="18"/>
    </row>
    <row r="20874" spans="5:6" ht="15" customHeight="1" x14ac:dyDescent="0.2">
      <c r="E20874" s="18"/>
      <c r="F20874" s="18"/>
    </row>
    <row r="20875" spans="5:6" ht="15" customHeight="1" x14ac:dyDescent="0.2">
      <c r="E20875" s="18"/>
      <c r="F20875" s="18"/>
    </row>
    <row r="20876" spans="5:6" ht="15" customHeight="1" x14ac:dyDescent="0.2">
      <c r="E20876" s="18"/>
      <c r="F20876" s="18"/>
    </row>
    <row r="20877" spans="5:6" ht="15" customHeight="1" x14ac:dyDescent="0.2">
      <c r="E20877" s="18"/>
      <c r="F20877" s="18"/>
    </row>
    <row r="20878" spans="5:6" ht="15" customHeight="1" x14ac:dyDescent="0.2">
      <c r="E20878" s="18"/>
      <c r="F20878" s="18"/>
    </row>
    <row r="20879" spans="5:6" ht="15" customHeight="1" x14ac:dyDescent="0.2">
      <c r="E20879" s="18"/>
      <c r="F20879" s="18"/>
    </row>
    <row r="20880" spans="5:6" ht="15" customHeight="1" x14ac:dyDescent="0.2">
      <c r="E20880" s="18"/>
      <c r="F20880" s="18"/>
    </row>
    <row r="20881" spans="5:6" ht="15" customHeight="1" x14ac:dyDescent="0.2">
      <c r="E20881" s="18"/>
      <c r="F20881" s="18"/>
    </row>
    <row r="20882" spans="5:6" ht="15" customHeight="1" x14ac:dyDescent="0.2">
      <c r="E20882" s="18"/>
      <c r="F20882" s="18"/>
    </row>
    <row r="20883" spans="5:6" ht="15" customHeight="1" x14ac:dyDescent="0.2">
      <c r="E20883" s="18"/>
      <c r="F20883" s="18"/>
    </row>
    <row r="20884" spans="5:6" ht="15" customHeight="1" x14ac:dyDescent="0.2">
      <c r="E20884" s="18"/>
      <c r="F20884" s="18"/>
    </row>
    <row r="20885" spans="5:6" ht="15" customHeight="1" x14ac:dyDescent="0.2">
      <c r="E20885" s="18"/>
      <c r="F20885" s="18"/>
    </row>
    <row r="20886" spans="5:6" ht="15" customHeight="1" x14ac:dyDescent="0.2">
      <c r="E20886" s="18"/>
      <c r="F20886" s="18"/>
    </row>
    <row r="20887" spans="5:6" ht="15" customHeight="1" x14ac:dyDescent="0.2">
      <c r="E20887" s="18"/>
      <c r="F20887" s="18"/>
    </row>
    <row r="20888" spans="5:6" ht="15" customHeight="1" x14ac:dyDescent="0.2">
      <c r="E20888" s="18"/>
      <c r="F20888" s="18"/>
    </row>
    <row r="20889" spans="5:6" ht="15" customHeight="1" x14ac:dyDescent="0.2">
      <c r="E20889" s="18"/>
      <c r="F20889" s="18"/>
    </row>
    <row r="20890" spans="5:6" ht="15" customHeight="1" x14ac:dyDescent="0.2">
      <c r="E20890" s="18"/>
      <c r="F20890" s="18"/>
    </row>
    <row r="20891" spans="5:6" ht="15" customHeight="1" x14ac:dyDescent="0.2">
      <c r="E20891" s="18"/>
      <c r="F20891" s="18"/>
    </row>
    <row r="20892" spans="5:6" ht="15" customHeight="1" x14ac:dyDescent="0.2">
      <c r="E20892" s="18"/>
      <c r="F20892" s="18"/>
    </row>
    <row r="20893" spans="5:6" ht="15" customHeight="1" x14ac:dyDescent="0.2">
      <c r="E20893" s="18"/>
      <c r="F20893" s="18"/>
    </row>
    <row r="20894" spans="5:6" ht="15" customHeight="1" x14ac:dyDescent="0.2">
      <c r="E20894" s="18"/>
      <c r="F20894" s="18"/>
    </row>
    <row r="20895" spans="5:6" ht="15" customHeight="1" x14ac:dyDescent="0.2">
      <c r="E20895" s="18"/>
      <c r="F20895" s="18"/>
    </row>
    <row r="20896" spans="5:6" ht="15" customHeight="1" x14ac:dyDescent="0.2">
      <c r="E20896" s="18"/>
      <c r="F20896" s="18"/>
    </row>
    <row r="20897" spans="5:6" ht="15" customHeight="1" x14ac:dyDescent="0.2">
      <c r="E20897" s="18"/>
      <c r="F20897" s="18"/>
    </row>
    <row r="20898" spans="5:6" ht="15" customHeight="1" x14ac:dyDescent="0.2">
      <c r="E20898" s="18"/>
      <c r="F20898" s="18"/>
    </row>
    <row r="20899" spans="5:6" ht="15" customHeight="1" x14ac:dyDescent="0.2">
      <c r="E20899" s="18"/>
      <c r="F20899" s="18"/>
    </row>
    <row r="20900" spans="5:6" ht="15" customHeight="1" x14ac:dyDescent="0.2">
      <c r="E20900" s="18"/>
      <c r="F20900" s="18"/>
    </row>
    <row r="20901" spans="5:6" ht="15" customHeight="1" x14ac:dyDescent="0.2">
      <c r="E20901" s="18"/>
      <c r="F20901" s="18"/>
    </row>
    <row r="20902" spans="5:6" ht="15" customHeight="1" x14ac:dyDescent="0.2">
      <c r="E20902" s="18"/>
      <c r="F20902" s="18"/>
    </row>
    <row r="20903" spans="5:6" ht="15" customHeight="1" x14ac:dyDescent="0.2">
      <c r="E20903" s="18"/>
      <c r="F20903" s="18"/>
    </row>
    <row r="20904" spans="5:6" ht="15" customHeight="1" x14ac:dyDescent="0.2">
      <c r="E20904" s="18"/>
      <c r="F20904" s="18"/>
    </row>
    <row r="20905" spans="5:6" ht="15" customHeight="1" x14ac:dyDescent="0.2">
      <c r="E20905" s="18"/>
      <c r="F20905" s="18"/>
    </row>
    <row r="20906" spans="5:6" ht="15" customHeight="1" x14ac:dyDescent="0.2">
      <c r="E20906" s="18"/>
      <c r="F20906" s="18"/>
    </row>
    <row r="20907" spans="5:6" ht="15" customHeight="1" x14ac:dyDescent="0.2">
      <c r="E20907" s="18"/>
      <c r="F20907" s="18"/>
    </row>
    <row r="20908" spans="5:6" ht="15" customHeight="1" x14ac:dyDescent="0.2">
      <c r="E20908" s="18"/>
      <c r="F20908" s="18"/>
    </row>
    <row r="20909" spans="5:6" ht="15" customHeight="1" x14ac:dyDescent="0.2">
      <c r="E20909" s="18"/>
      <c r="F20909" s="18"/>
    </row>
    <row r="20910" spans="5:6" ht="15" customHeight="1" x14ac:dyDescent="0.2">
      <c r="E20910" s="18"/>
      <c r="F20910" s="18"/>
    </row>
    <row r="20911" spans="5:6" ht="15" customHeight="1" x14ac:dyDescent="0.2">
      <c r="E20911" s="18"/>
      <c r="F20911" s="18"/>
    </row>
    <row r="20912" spans="5:6" ht="15" customHeight="1" x14ac:dyDescent="0.2">
      <c r="E20912" s="18"/>
      <c r="F20912" s="18"/>
    </row>
    <row r="20913" spans="5:6" ht="15" customHeight="1" x14ac:dyDescent="0.2">
      <c r="E20913" s="18"/>
      <c r="F20913" s="18"/>
    </row>
    <row r="20914" spans="5:6" ht="15" customHeight="1" x14ac:dyDescent="0.2">
      <c r="E20914" s="18"/>
      <c r="F20914" s="18"/>
    </row>
    <row r="20915" spans="5:6" ht="15" customHeight="1" x14ac:dyDescent="0.2">
      <c r="E20915" s="18"/>
      <c r="F20915" s="18"/>
    </row>
    <row r="20916" spans="5:6" ht="15" customHeight="1" x14ac:dyDescent="0.2">
      <c r="E20916" s="18"/>
      <c r="F20916" s="18"/>
    </row>
    <row r="20917" spans="5:6" ht="15" customHeight="1" x14ac:dyDescent="0.2">
      <c r="E20917" s="18"/>
      <c r="F20917" s="18"/>
    </row>
    <row r="20918" spans="5:6" ht="15" customHeight="1" x14ac:dyDescent="0.2">
      <c r="E20918" s="18"/>
      <c r="F20918" s="18"/>
    </row>
    <row r="20919" spans="5:6" ht="15" customHeight="1" x14ac:dyDescent="0.2">
      <c r="E20919" s="18"/>
      <c r="F20919" s="18"/>
    </row>
    <row r="20920" spans="5:6" ht="15" customHeight="1" x14ac:dyDescent="0.2">
      <c r="E20920" s="18"/>
      <c r="F20920" s="18"/>
    </row>
    <row r="20921" spans="5:6" ht="15" customHeight="1" x14ac:dyDescent="0.2">
      <c r="E20921" s="18"/>
      <c r="F20921" s="18"/>
    </row>
    <row r="20922" spans="5:6" ht="15" customHeight="1" x14ac:dyDescent="0.2">
      <c r="E20922" s="18"/>
      <c r="F20922" s="18"/>
    </row>
    <row r="20923" spans="5:6" ht="15" customHeight="1" x14ac:dyDescent="0.2">
      <c r="E20923" s="18"/>
      <c r="F20923" s="18"/>
    </row>
    <row r="20924" spans="5:6" ht="15" customHeight="1" x14ac:dyDescent="0.2">
      <c r="E20924" s="18"/>
      <c r="F20924" s="18"/>
    </row>
    <row r="20925" spans="5:6" ht="15" customHeight="1" x14ac:dyDescent="0.2">
      <c r="E20925" s="18"/>
      <c r="F20925" s="18"/>
    </row>
    <row r="20926" spans="5:6" ht="15" customHeight="1" x14ac:dyDescent="0.2">
      <c r="E20926" s="18"/>
      <c r="F20926" s="18"/>
    </row>
    <row r="20927" spans="5:6" ht="15" customHeight="1" x14ac:dyDescent="0.2">
      <c r="E20927" s="18"/>
      <c r="F20927" s="18"/>
    </row>
    <row r="20928" spans="5:6" ht="15" customHeight="1" x14ac:dyDescent="0.2">
      <c r="E20928" s="18"/>
      <c r="F20928" s="18"/>
    </row>
    <row r="20929" spans="5:6" ht="15" customHeight="1" x14ac:dyDescent="0.2">
      <c r="E20929" s="18"/>
      <c r="F20929" s="18"/>
    </row>
    <row r="20930" spans="5:6" ht="15" customHeight="1" x14ac:dyDescent="0.2">
      <c r="E20930" s="18"/>
      <c r="F20930" s="18"/>
    </row>
    <row r="20931" spans="5:6" ht="15" customHeight="1" x14ac:dyDescent="0.2">
      <c r="E20931" s="18"/>
      <c r="F20931" s="18"/>
    </row>
    <row r="20932" spans="5:6" ht="15" customHeight="1" x14ac:dyDescent="0.2">
      <c r="E20932" s="18"/>
      <c r="F20932" s="18"/>
    </row>
    <row r="20933" spans="5:6" ht="15" customHeight="1" x14ac:dyDescent="0.2">
      <c r="E20933" s="18"/>
      <c r="F20933" s="18"/>
    </row>
    <row r="20934" spans="5:6" ht="15" customHeight="1" x14ac:dyDescent="0.2">
      <c r="E20934" s="18"/>
      <c r="F20934" s="18"/>
    </row>
    <row r="20935" spans="5:6" ht="15" customHeight="1" x14ac:dyDescent="0.2">
      <c r="E20935" s="18"/>
      <c r="F20935" s="18"/>
    </row>
    <row r="20936" spans="5:6" ht="15" customHeight="1" x14ac:dyDescent="0.2">
      <c r="E20936" s="18"/>
      <c r="F20936" s="18"/>
    </row>
    <row r="20937" spans="5:6" ht="15" customHeight="1" x14ac:dyDescent="0.2">
      <c r="E20937" s="18"/>
      <c r="F20937" s="18"/>
    </row>
    <row r="20938" spans="5:6" ht="15" customHeight="1" x14ac:dyDescent="0.2">
      <c r="E20938" s="18"/>
      <c r="F20938" s="18"/>
    </row>
    <row r="20939" spans="5:6" ht="15" customHeight="1" x14ac:dyDescent="0.2">
      <c r="E20939" s="18"/>
      <c r="F20939" s="18"/>
    </row>
    <row r="20940" spans="5:6" ht="15" customHeight="1" x14ac:dyDescent="0.2">
      <c r="E20940" s="18"/>
      <c r="F20940" s="18"/>
    </row>
    <row r="20941" spans="5:6" ht="15" customHeight="1" x14ac:dyDescent="0.2">
      <c r="E20941" s="18"/>
      <c r="F20941" s="18"/>
    </row>
    <row r="20942" spans="5:6" ht="15" customHeight="1" x14ac:dyDescent="0.2">
      <c r="E20942" s="18"/>
      <c r="F20942" s="18"/>
    </row>
    <row r="20943" spans="5:6" ht="15" customHeight="1" x14ac:dyDescent="0.2">
      <c r="E20943" s="18"/>
      <c r="F20943" s="18"/>
    </row>
    <row r="20944" spans="5:6" ht="15" customHeight="1" x14ac:dyDescent="0.2">
      <c r="E20944" s="18"/>
      <c r="F20944" s="18"/>
    </row>
    <row r="20945" spans="5:6" ht="15" customHeight="1" x14ac:dyDescent="0.2">
      <c r="E20945" s="18"/>
      <c r="F20945" s="18"/>
    </row>
    <row r="20946" spans="5:6" ht="15" customHeight="1" x14ac:dyDescent="0.2">
      <c r="E20946" s="18"/>
      <c r="F20946" s="18"/>
    </row>
    <row r="20947" spans="5:6" ht="15" customHeight="1" x14ac:dyDescent="0.2">
      <c r="E20947" s="18"/>
      <c r="F20947" s="18"/>
    </row>
    <row r="20948" spans="5:6" ht="15" customHeight="1" x14ac:dyDescent="0.2">
      <c r="E20948" s="18"/>
      <c r="F20948" s="18"/>
    </row>
    <row r="20949" spans="5:6" ht="15" customHeight="1" x14ac:dyDescent="0.2">
      <c r="E20949" s="18"/>
      <c r="F20949" s="18"/>
    </row>
    <row r="20950" spans="5:6" ht="15" customHeight="1" x14ac:dyDescent="0.2">
      <c r="E20950" s="18"/>
      <c r="F20950" s="18"/>
    </row>
    <row r="20951" spans="5:6" ht="15" customHeight="1" x14ac:dyDescent="0.2">
      <c r="E20951" s="18"/>
      <c r="F20951" s="18"/>
    </row>
    <row r="20952" spans="5:6" ht="15" customHeight="1" x14ac:dyDescent="0.2">
      <c r="E20952" s="18"/>
      <c r="F20952" s="18"/>
    </row>
    <row r="20953" spans="5:6" ht="15" customHeight="1" x14ac:dyDescent="0.2">
      <c r="E20953" s="18"/>
      <c r="F20953" s="18"/>
    </row>
    <row r="20954" spans="5:6" ht="15" customHeight="1" x14ac:dyDescent="0.2">
      <c r="E20954" s="18"/>
      <c r="F20954" s="18"/>
    </row>
    <row r="20955" spans="5:6" ht="15" customHeight="1" x14ac:dyDescent="0.2">
      <c r="E20955" s="18"/>
      <c r="F20955" s="18"/>
    </row>
    <row r="20956" spans="5:6" ht="15" customHeight="1" x14ac:dyDescent="0.2">
      <c r="E20956" s="18"/>
      <c r="F20956" s="18"/>
    </row>
    <row r="20957" spans="5:6" ht="15" customHeight="1" x14ac:dyDescent="0.2">
      <c r="E20957" s="18"/>
      <c r="F20957" s="18"/>
    </row>
    <row r="20958" spans="5:6" ht="15" customHeight="1" x14ac:dyDescent="0.2">
      <c r="E20958" s="18"/>
      <c r="F20958" s="18"/>
    </row>
    <row r="20959" spans="5:6" ht="15" customHeight="1" x14ac:dyDescent="0.2">
      <c r="E20959" s="18"/>
      <c r="F20959" s="18"/>
    </row>
    <row r="20960" spans="5:6" ht="15" customHeight="1" x14ac:dyDescent="0.2">
      <c r="E20960" s="18"/>
      <c r="F20960" s="18"/>
    </row>
    <row r="20961" spans="5:6" ht="15" customHeight="1" x14ac:dyDescent="0.2">
      <c r="E20961" s="18"/>
      <c r="F20961" s="18"/>
    </row>
    <row r="20962" spans="5:6" ht="15" customHeight="1" x14ac:dyDescent="0.2">
      <c r="E20962" s="18"/>
      <c r="F20962" s="18"/>
    </row>
    <row r="20963" spans="5:6" ht="15" customHeight="1" x14ac:dyDescent="0.2">
      <c r="E20963" s="18"/>
      <c r="F20963" s="18"/>
    </row>
    <row r="20964" spans="5:6" ht="15" customHeight="1" x14ac:dyDescent="0.2">
      <c r="E20964" s="18"/>
      <c r="F20964" s="18"/>
    </row>
    <row r="20965" spans="5:6" ht="15" customHeight="1" x14ac:dyDescent="0.2">
      <c r="E20965" s="18"/>
      <c r="F20965" s="18"/>
    </row>
    <row r="20966" spans="5:6" ht="15" customHeight="1" x14ac:dyDescent="0.2">
      <c r="E20966" s="18"/>
      <c r="F20966" s="18"/>
    </row>
    <row r="20967" spans="5:6" ht="15" customHeight="1" x14ac:dyDescent="0.2">
      <c r="E20967" s="18"/>
      <c r="F20967" s="18"/>
    </row>
    <row r="20968" spans="5:6" ht="15" customHeight="1" x14ac:dyDescent="0.2">
      <c r="E20968" s="18"/>
      <c r="F20968" s="18"/>
    </row>
    <row r="20969" spans="5:6" ht="15" customHeight="1" x14ac:dyDescent="0.2">
      <c r="E20969" s="18"/>
      <c r="F20969" s="18"/>
    </row>
    <row r="20970" spans="5:6" ht="15" customHeight="1" x14ac:dyDescent="0.2">
      <c r="E20970" s="18"/>
      <c r="F20970" s="18"/>
    </row>
    <row r="20971" spans="5:6" ht="15" customHeight="1" x14ac:dyDescent="0.2">
      <c r="E20971" s="18"/>
      <c r="F20971" s="18"/>
    </row>
    <row r="20972" spans="5:6" ht="15" customHeight="1" x14ac:dyDescent="0.2">
      <c r="E20972" s="18"/>
      <c r="F20972" s="18"/>
    </row>
    <row r="20973" spans="5:6" ht="15" customHeight="1" x14ac:dyDescent="0.2">
      <c r="E20973" s="18"/>
      <c r="F20973" s="18"/>
    </row>
    <row r="20974" spans="5:6" ht="15" customHeight="1" x14ac:dyDescent="0.2">
      <c r="E20974" s="18"/>
      <c r="F20974" s="18"/>
    </row>
    <row r="20975" spans="5:6" ht="15" customHeight="1" x14ac:dyDescent="0.2">
      <c r="E20975" s="18"/>
      <c r="F20975" s="18"/>
    </row>
    <row r="20976" spans="5:6" ht="15" customHeight="1" x14ac:dyDescent="0.2">
      <c r="E20976" s="18"/>
      <c r="F20976" s="18"/>
    </row>
    <row r="20977" spans="5:6" ht="15" customHeight="1" x14ac:dyDescent="0.2">
      <c r="E20977" s="18"/>
      <c r="F20977" s="18"/>
    </row>
    <row r="20978" spans="5:6" ht="15" customHeight="1" x14ac:dyDescent="0.2">
      <c r="E20978" s="18"/>
      <c r="F20978" s="18"/>
    </row>
    <row r="20979" spans="5:6" ht="15" customHeight="1" x14ac:dyDescent="0.2">
      <c r="E20979" s="18"/>
      <c r="F20979" s="18"/>
    </row>
    <row r="20980" spans="5:6" ht="15" customHeight="1" x14ac:dyDescent="0.2">
      <c r="E20980" s="18"/>
      <c r="F20980" s="18"/>
    </row>
    <row r="20981" spans="5:6" ht="15" customHeight="1" x14ac:dyDescent="0.2">
      <c r="E20981" s="18"/>
      <c r="F20981" s="18"/>
    </row>
    <row r="20982" spans="5:6" ht="15" customHeight="1" x14ac:dyDescent="0.2">
      <c r="E20982" s="18"/>
      <c r="F20982" s="18"/>
    </row>
    <row r="20983" spans="5:6" ht="15" customHeight="1" x14ac:dyDescent="0.2">
      <c r="E20983" s="18"/>
      <c r="F20983" s="18"/>
    </row>
    <row r="20984" spans="5:6" ht="15" customHeight="1" x14ac:dyDescent="0.2">
      <c r="E20984" s="18"/>
      <c r="F20984" s="18"/>
    </row>
    <row r="20985" spans="5:6" ht="15" customHeight="1" x14ac:dyDescent="0.2">
      <c r="E20985" s="18"/>
      <c r="F20985" s="18"/>
    </row>
    <row r="20986" spans="5:6" ht="15" customHeight="1" x14ac:dyDescent="0.2">
      <c r="E20986" s="18"/>
      <c r="F20986" s="18"/>
    </row>
    <row r="20987" spans="5:6" ht="15" customHeight="1" x14ac:dyDescent="0.2">
      <c r="E20987" s="18"/>
      <c r="F20987" s="18"/>
    </row>
    <row r="20988" spans="5:6" ht="15" customHeight="1" x14ac:dyDescent="0.2">
      <c r="E20988" s="18"/>
      <c r="F20988" s="18"/>
    </row>
    <row r="20989" spans="5:6" ht="15" customHeight="1" x14ac:dyDescent="0.2">
      <c r="E20989" s="18"/>
      <c r="F20989" s="18"/>
    </row>
    <row r="20990" spans="5:6" ht="15" customHeight="1" x14ac:dyDescent="0.2">
      <c r="E20990" s="18"/>
      <c r="F20990" s="18"/>
    </row>
    <row r="20991" spans="5:6" ht="15" customHeight="1" x14ac:dyDescent="0.2">
      <c r="E20991" s="18"/>
      <c r="F20991" s="18"/>
    </row>
    <row r="20992" spans="5:6" ht="15" customHeight="1" x14ac:dyDescent="0.2">
      <c r="E20992" s="18"/>
      <c r="F20992" s="18"/>
    </row>
    <row r="20993" spans="5:6" ht="15" customHeight="1" x14ac:dyDescent="0.2">
      <c r="E20993" s="18"/>
      <c r="F20993" s="18"/>
    </row>
    <row r="20994" spans="5:6" ht="15" customHeight="1" x14ac:dyDescent="0.2">
      <c r="E20994" s="18"/>
      <c r="F20994" s="18"/>
    </row>
    <row r="20995" spans="5:6" ht="15" customHeight="1" x14ac:dyDescent="0.2">
      <c r="E20995" s="18"/>
      <c r="F20995" s="18"/>
    </row>
    <row r="20996" spans="5:6" ht="15" customHeight="1" x14ac:dyDescent="0.2">
      <c r="E20996" s="18"/>
      <c r="F20996" s="18"/>
    </row>
    <row r="20997" spans="5:6" ht="15" customHeight="1" x14ac:dyDescent="0.2">
      <c r="E20997" s="18"/>
      <c r="F20997" s="18"/>
    </row>
    <row r="20998" spans="5:6" ht="15" customHeight="1" x14ac:dyDescent="0.2">
      <c r="E20998" s="18"/>
      <c r="F20998" s="18"/>
    </row>
    <row r="20999" spans="5:6" ht="15" customHeight="1" x14ac:dyDescent="0.2">
      <c r="E20999" s="18"/>
      <c r="F20999" s="18"/>
    </row>
    <row r="21000" spans="5:6" ht="15" customHeight="1" x14ac:dyDescent="0.2">
      <c r="E21000" s="18"/>
      <c r="F21000" s="18"/>
    </row>
    <row r="21001" spans="5:6" ht="15" customHeight="1" x14ac:dyDescent="0.2">
      <c r="E21001" s="18"/>
      <c r="F21001" s="18"/>
    </row>
    <row r="21002" spans="5:6" ht="15" customHeight="1" x14ac:dyDescent="0.2">
      <c r="E21002" s="18"/>
      <c r="F21002" s="18"/>
    </row>
    <row r="21003" spans="5:6" ht="15" customHeight="1" x14ac:dyDescent="0.2">
      <c r="E21003" s="18"/>
      <c r="F21003" s="18"/>
    </row>
    <row r="21004" spans="5:6" ht="15" customHeight="1" x14ac:dyDescent="0.2">
      <c r="E21004" s="18"/>
      <c r="F21004" s="18"/>
    </row>
    <row r="21005" spans="5:6" ht="15" customHeight="1" x14ac:dyDescent="0.2">
      <c r="E21005" s="18"/>
      <c r="F21005" s="18"/>
    </row>
    <row r="21006" spans="5:6" ht="15" customHeight="1" x14ac:dyDescent="0.2">
      <c r="E21006" s="18"/>
      <c r="F21006" s="18"/>
    </row>
    <row r="21007" spans="5:6" ht="15" customHeight="1" x14ac:dyDescent="0.2">
      <c r="E21007" s="18"/>
      <c r="F21007" s="18"/>
    </row>
    <row r="21008" spans="5:6" ht="15" customHeight="1" x14ac:dyDescent="0.2">
      <c r="E21008" s="18"/>
      <c r="F21008" s="18"/>
    </row>
    <row r="21009" spans="5:6" ht="15" customHeight="1" x14ac:dyDescent="0.2">
      <c r="E21009" s="18"/>
      <c r="F21009" s="18"/>
    </row>
    <row r="21010" spans="5:6" ht="15" customHeight="1" x14ac:dyDescent="0.2">
      <c r="E21010" s="18"/>
      <c r="F21010" s="18"/>
    </row>
    <row r="21011" spans="5:6" ht="15" customHeight="1" x14ac:dyDescent="0.2">
      <c r="E21011" s="18"/>
      <c r="F21011" s="18"/>
    </row>
    <row r="21012" spans="5:6" ht="15" customHeight="1" x14ac:dyDescent="0.2">
      <c r="E21012" s="18"/>
      <c r="F21012" s="18"/>
    </row>
    <row r="21013" spans="5:6" ht="15" customHeight="1" x14ac:dyDescent="0.2">
      <c r="E21013" s="18"/>
      <c r="F21013" s="18"/>
    </row>
    <row r="21014" spans="5:6" ht="15" customHeight="1" x14ac:dyDescent="0.2">
      <c r="E21014" s="18"/>
      <c r="F21014" s="18"/>
    </row>
    <row r="21015" spans="5:6" ht="15" customHeight="1" x14ac:dyDescent="0.2">
      <c r="E21015" s="18"/>
      <c r="F21015" s="18"/>
    </row>
    <row r="21016" spans="5:6" ht="15" customHeight="1" x14ac:dyDescent="0.2">
      <c r="E21016" s="18"/>
      <c r="F21016" s="18"/>
    </row>
    <row r="21017" spans="5:6" ht="15" customHeight="1" x14ac:dyDescent="0.2">
      <c r="E21017" s="18"/>
      <c r="F21017" s="18"/>
    </row>
    <row r="21018" spans="5:6" ht="15" customHeight="1" x14ac:dyDescent="0.2">
      <c r="E21018" s="18"/>
      <c r="F21018" s="18"/>
    </row>
    <row r="21019" spans="5:6" ht="15" customHeight="1" x14ac:dyDescent="0.2">
      <c r="E21019" s="18"/>
      <c r="F21019" s="18"/>
    </row>
    <row r="21020" spans="5:6" ht="15" customHeight="1" x14ac:dyDescent="0.2">
      <c r="E21020" s="18"/>
      <c r="F21020" s="18"/>
    </row>
    <row r="21021" spans="5:6" ht="15" customHeight="1" x14ac:dyDescent="0.2">
      <c r="E21021" s="18"/>
      <c r="F21021" s="18"/>
    </row>
    <row r="21022" spans="5:6" ht="15" customHeight="1" x14ac:dyDescent="0.2">
      <c r="E21022" s="18"/>
      <c r="F21022" s="18"/>
    </row>
    <row r="21023" spans="5:6" ht="15" customHeight="1" x14ac:dyDescent="0.2">
      <c r="E21023" s="18"/>
      <c r="F21023" s="18"/>
    </row>
    <row r="21024" spans="5:6" ht="15" customHeight="1" x14ac:dyDescent="0.2">
      <c r="E21024" s="18"/>
      <c r="F21024" s="18"/>
    </row>
    <row r="21025" spans="5:6" ht="15" customHeight="1" x14ac:dyDescent="0.2">
      <c r="E21025" s="18"/>
      <c r="F21025" s="18"/>
    </row>
    <row r="21026" spans="5:6" ht="15" customHeight="1" x14ac:dyDescent="0.2">
      <c r="E21026" s="18"/>
      <c r="F21026" s="18"/>
    </row>
    <row r="21027" spans="5:6" ht="15" customHeight="1" x14ac:dyDescent="0.2">
      <c r="E21027" s="18"/>
      <c r="F21027" s="18"/>
    </row>
    <row r="21028" spans="5:6" ht="15" customHeight="1" x14ac:dyDescent="0.2">
      <c r="E21028" s="18"/>
      <c r="F21028" s="18"/>
    </row>
    <row r="21029" spans="5:6" ht="15" customHeight="1" x14ac:dyDescent="0.2">
      <c r="E21029" s="18"/>
      <c r="F21029" s="18"/>
    </row>
    <row r="21030" spans="5:6" ht="15" customHeight="1" x14ac:dyDescent="0.2">
      <c r="E21030" s="18"/>
      <c r="F21030" s="18"/>
    </row>
    <row r="21031" spans="5:6" ht="15" customHeight="1" x14ac:dyDescent="0.2">
      <c r="E21031" s="18"/>
      <c r="F21031" s="18"/>
    </row>
    <row r="21032" spans="5:6" ht="15" customHeight="1" x14ac:dyDescent="0.2">
      <c r="E21032" s="18"/>
      <c r="F21032" s="18"/>
    </row>
    <row r="21033" spans="5:6" ht="15" customHeight="1" x14ac:dyDescent="0.2">
      <c r="E21033" s="18"/>
      <c r="F21033" s="18"/>
    </row>
    <row r="21034" spans="5:6" ht="15" customHeight="1" x14ac:dyDescent="0.2">
      <c r="E21034" s="18"/>
      <c r="F21034" s="18"/>
    </row>
    <row r="21035" spans="5:6" ht="15" customHeight="1" x14ac:dyDescent="0.2">
      <c r="E21035" s="18"/>
      <c r="F21035" s="18"/>
    </row>
    <row r="21036" spans="5:6" ht="15" customHeight="1" x14ac:dyDescent="0.2">
      <c r="E21036" s="18"/>
      <c r="F21036" s="18"/>
    </row>
    <row r="21037" spans="5:6" ht="15" customHeight="1" x14ac:dyDescent="0.2">
      <c r="E21037" s="18"/>
      <c r="F21037" s="18"/>
    </row>
    <row r="21038" spans="5:6" ht="15" customHeight="1" x14ac:dyDescent="0.2">
      <c r="E21038" s="18"/>
      <c r="F21038" s="18"/>
    </row>
    <row r="21039" spans="5:6" ht="15" customHeight="1" x14ac:dyDescent="0.2">
      <c r="E21039" s="18"/>
      <c r="F21039" s="18"/>
    </row>
    <row r="21040" spans="5:6" ht="15" customHeight="1" x14ac:dyDescent="0.2">
      <c r="E21040" s="18"/>
      <c r="F21040" s="18"/>
    </row>
    <row r="21041" spans="5:6" ht="15" customHeight="1" x14ac:dyDescent="0.2">
      <c r="E21041" s="18"/>
      <c r="F21041" s="18"/>
    </row>
    <row r="21042" spans="5:6" ht="15" customHeight="1" x14ac:dyDescent="0.2">
      <c r="E21042" s="18"/>
      <c r="F21042" s="18"/>
    </row>
    <row r="21043" spans="5:6" ht="15" customHeight="1" x14ac:dyDescent="0.2">
      <c r="E21043" s="18"/>
      <c r="F21043" s="18"/>
    </row>
    <row r="21044" spans="5:6" ht="15" customHeight="1" x14ac:dyDescent="0.2">
      <c r="E21044" s="18"/>
      <c r="F21044" s="18"/>
    </row>
    <row r="21045" spans="5:6" ht="15" customHeight="1" x14ac:dyDescent="0.2">
      <c r="E21045" s="18"/>
      <c r="F21045" s="18"/>
    </row>
    <row r="21046" spans="5:6" ht="15" customHeight="1" x14ac:dyDescent="0.2">
      <c r="E21046" s="18"/>
      <c r="F21046" s="18"/>
    </row>
    <row r="21047" spans="5:6" ht="15" customHeight="1" x14ac:dyDescent="0.2">
      <c r="E21047" s="18"/>
      <c r="F21047" s="18"/>
    </row>
    <row r="21048" spans="5:6" ht="15" customHeight="1" x14ac:dyDescent="0.2">
      <c r="E21048" s="18"/>
      <c r="F21048" s="18"/>
    </row>
    <row r="21049" spans="5:6" ht="15" customHeight="1" x14ac:dyDescent="0.2">
      <c r="E21049" s="18"/>
      <c r="F21049" s="18"/>
    </row>
    <row r="21050" spans="5:6" ht="15" customHeight="1" x14ac:dyDescent="0.2">
      <c r="E21050" s="18"/>
      <c r="F21050" s="18"/>
    </row>
    <row r="21051" spans="5:6" ht="15" customHeight="1" x14ac:dyDescent="0.2">
      <c r="E21051" s="18"/>
      <c r="F21051" s="18"/>
    </row>
    <row r="21052" spans="5:6" ht="15" customHeight="1" x14ac:dyDescent="0.2">
      <c r="E21052" s="18"/>
      <c r="F21052" s="18"/>
    </row>
    <row r="21053" spans="5:6" ht="15" customHeight="1" x14ac:dyDescent="0.2">
      <c r="E21053" s="18"/>
      <c r="F21053" s="18"/>
    </row>
    <row r="21054" spans="5:6" ht="15" customHeight="1" x14ac:dyDescent="0.2">
      <c r="E21054" s="18"/>
      <c r="F21054" s="18"/>
    </row>
    <row r="21055" spans="5:6" ht="15" customHeight="1" x14ac:dyDescent="0.2">
      <c r="E21055" s="18"/>
      <c r="F21055" s="18"/>
    </row>
    <row r="21056" spans="5:6" ht="15" customHeight="1" x14ac:dyDescent="0.2">
      <c r="E21056" s="18"/>
      <c r="F21056" s="18"/>
    </row>
    <row r="21057" spans="5:6" ht="15" customHeight="1" x14ac:dyDescent="0.2">
      <c r="E21057" s="18"/>
      <c r="F21057" s="18"/>
    </row>
    <row r="21058" spans="5:6" ht="15" customHeight="1" x14ac:dyDescent="0.2">
      <c r="E21058" s="18"/>
      <c r="F21058" s="18"/>
    </row>
    <row r="21059" spans="5:6" ht="15" customHeight="1" x14ac:dyDescent="0.2">
      <c r="E21059" s="18"/>
      <c r="F21059" s="18"/>
    </row>
    <row r="21060" spans="5:6" ht="15" customHeight="1" x14ac:dyDescent="0.2">
      <c r="E21060" s="18"/>
      <c r="F21060" s="18"/>
    </row>
    <row r="21061" spans="5:6" ht="15" customHeight="1" x14ac:dyDescent="0.2">
      <c r="E21061" s="18"/>
      <c r="F21061" s="18"/>
    </row>
    <row r="21062" spans="5:6" ht="15" customHeight="1" x14ac:dyDescent="0.2">
      <c r="E21062" s="18"/>
      <c r="F21062" s="18"/>
    </row>
    <row r="21063" spans="5:6" ht="15" customHeight="1" x14ac:dyDescent="0.2">
      <c r="E21063" s="18"/>
      <c r="F21063" s="18"/>
    </row>
    <row r="21064" spans="5:6" ht="15" customHeight="1" x14ac:dyDescent="0.2">
      <c r="E21064" s="18"/>
      <c r="F21064" s="18"/>
    </row>
    <row r="21065" spans="5:6" ht="15" customHeight="1" x14ac:dyDescent="0.2">
      <c r="E21065" s="18"/>
      <c r="F21065" s="18"/>
    </row>
    <row r="21066" spans="5:6" ht="15" customHeight="1" x14ac:dyDescent="0.2">
      <c r="E21066" s="18"/>
      <c r="F21066" s="18"/>
    </row>
    <row r="21067" spans="5:6" ht="15" customHeight="1" x14ac:dyDescent="0.2">
      <c r="E21067" s="18"/>
      <c r="F21067" s="18"/>
    </row>
    <row r="21068" spans="5:6" ht="15" customHeight="1" x14ac:dyDescent="0.2">
      <c r="E21068" s="18"/>
      <c r="F21068" s="18"/>
    </row>
    <row r="21069" spans="5:6" ht="15" customHeight="1" x14ac:dyDescent="0.2">
      <c r="E21069" s="18"/>
      <c r="F21069" s="18"/>
    </row>
    <row r="21070" spans="5:6" ht="15" customHeight="1" x14ac:dyDescent="0.2">
      <c r="E21070" s="18"/>
      <c r="F21070" s="18"/>
    </row>
    <row r="21071" spans="5:6" ht="15" customHeight="1" x14ac:dyDescent="0.2">
      <c r="E21071" s="18"/>
      <c r="F21071" s="18"/>
    </row>
    <row r="21072" spans="5:6" ht="15" customHeight="1" x14ac:dyDescent="0.2">
      <c r="E21072" s="18"/>
      <c r="F21072" s="18"/>
    </row>
    <row r="21073" spans="5:6" ht="15" customHeight="1" x14ac:dyDescent="0.2">
      <c r="E21073" s="18"/>
      <c r="F21073" s="18"/>
    </row>
    <row r="21074" spans="5:6" ht="15" customHeight="1" x14ac:dyDescent="0.2">
      <c r="E21074" s="18"/>
      <c r="F21074" s="18"/>
    </row>
    <row r="21075" spans="5:6" ht="15" customHeight="1" x14ac:dyDescent="0.2">
      <c r="E21075" s="18"/>
      <c r="F21075" s="18"/>
    </row>
    <row r="21076" spans="5:6" ht="15" customHeight="1" x14ac:dyDescent="0.2">
      <c r="E21076" s="18"/>
      <c r="F21076" s="18"/>
    </row>
    <row r="21077" spans="5:6" ht="15" customHeight="1" x14ac:dyDescent="0.2">
      <c r="E21077" s="18"/>
      <c r="F21077" s="18"/>
    </row>
    <row r="21078" spans="5:6" ht="15" customHeight="1" x14ac:dyDescent="0.2">
      <c r="E21078" s="18"/>
      <c r="F21078" s="18"/>
    </row>
    <row r="21079" spans="5:6" ht="15" customHeight="1" x14ac:dyDescent="0.2">
      <c r="E21079" s="18"/>
      <c r="F21079" s="18"/>
    </row>
    <row r="21080" spans="5:6" ht="15" customHeight="1" x14ac:dyDescent="0.2">
      <c r="E21080" s="18"/>
      <c r="F21080" s="18"/>
    </row>
    <row r="21081" spans="5:6" ht="15" customHeight="1" x14ac:dyDescent="0.2">
      <c r="E21081" s="18"/>
      <c r="F21081" s="18"/>
    </row>
    <row r="21082" spans="5:6" ht="15" customHeight="1" x14ac:dyDescent="0.2">
      <c r="E21082" s="18"/>
      <c r="F21082" s="18"/>
    </row>
    <row r="21083" spans="5:6" ht="15" customHeight="1" x14ac:dyDescent="0.2">
      <c r="E21083" s="18"/>
      <c r="F21083" s="18"/>
    </row>
    <row r="21084" spans="5:6" ht="15" customHeight="1" x14ac:dyDescent="0.2">
      <c r="E21084" s="18"/>
      <c r="F21084" s="18"/>
    </row>
    <row r="21085" spans="5:6" ht="15" customHeight="1" x14ac:dyDescent="0.2">
      <c r="E21085" s="18"/>
      <c r="F21085" s="18"/>
    </row>
    <row r="21086" spans="5:6" ht="15" customHeight="1" x14ac:dyDescent="0.2">
      <c r="E21086" s="18"/>
      <c r="F21086" s="18"/>
    </row>
    <row r="21087" spans="5:6" ht="15" customHeight="1" x14ac:dyDescent="0.2">
      <c r="E21087" s="18"/>
      <c r="F21087" s="18"/>
    </row>
    <row r="21088" spans="5:6" ht="15" customHeight="1" x14ac:dyDescent="0.2">
      <c r="E21088" s="18"/>
      <c r="F21088" s="18"/>
    </row>
    <row r="21089" spans="5:6" ht="15" customHeight="1" x14ac:dyDescent="0.2">
      <c r="E21089" s="18"/>
      <c r="F21089" s="18"/>
    </row>
    <row r="21090" spans="5:6" ht="15" customHeight="1" x14ac:dyDescent="0.2">
      <c r="E21090" s="18"/>
      <c r="F21090" s="18"/>
    </row>
    <row r="21091" spans="5:6" ht="15" customHeight="1" x14ac:dyDescent="0.2">
      <c r="E21091" s="18"/>
      <c r="F21091" s="18"/>
    </row>
    <row r="21092" spans="5:6" ht="15" customHeight="1" x14ac:dyDescent="0.2">
      <c r="E21092" s="18"/>
      <c r="F21092" s="18"/>
    </row>
    <row r="21093" spans="5:6" ht="15" customHeight="1" x14ac:dyDescent="0.2">
      <c r="E21093" s="18"/>
      <c r="F21093" s="18"/>
    </row>
    <row r="21094" spans="5:6" ht="15" customHeight="1" x14ac:dyDescent="0.2">
      <c r="E21094" s="18"/>
      <c r="F21094" s="18"/>
    </row>
    <row r="21095" spans="5:6" ht="15" customHeight="1" x14ac:dyDescent="0.2">
      <c r="E21095" s="18"/>
      <c r="F21095" s="18"/>
    </row>
    <row r="21096" spans="5:6" ht="15" customHeight="1" x14ac:dyDescent="0.2">
      <c r="E21096" s="18"/>
      <c r="F21096" s="18"/>
    </row>
    <row r="21097" spans="5:6" ht="15" customHeight="1" x14ac:dyDescent="0.2">
      <c r="E21097" s="18"/>
      <c r="F21097" s="18"/>
    </row>
    <row r="21098" spans="5:6" ht="15" customHeight="1" x14ac:dyDescent="0.2">
      <c r="E21098" s="18"/>
      <c r="F21098" s="18"/>
    </row>
    <row r="21099" spans="5:6" ht="15" customHeight="1" x14ac:dyDescent="0.2">
      <c r="E21099" s="18"/>
      <c r="F21099" s="18"/>
    </row>
    <row r="21100" spans="5:6" ht="15" customHeight="1" x14ac:dyDescent="0.2">
      <c r="E21100" s="18"/>
      <c r="F21100" s="18"/>
    </row>
    <row r="21101" spans="5:6" ht="15" customHeight="1" x14ac:dyDescent="0.2">
      <c r="E21101" s="18"/>
      <c r="F21101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6611-2039-44E8-90BA-AD4FDA3A5D45}">
  <dimension ref="A1:L21251"/>
  <sheetViews>
    <sheetView workbookViewId="0">
      <selection activeCell="G13" sqref="G13"/>
    </sheetView>
  </sheetViews>
  <sheetFormatPr defaultColWidth="12.5703125" defaultRowHeight="12.75" x14ac:dyDescent="0.2"/>
  <cols>
    <col min="1" max="9" width="11.42578125" customWidth="1"/>
    <col min="10" max="10" width="14.28515625" bestFit="1" customWidth="1"/>
    <col min="11" max="11" width="13.5703125" bestFit="1" customWidth="1"/>
    <col min="12" max="25" width="11.42578125" customWidth="1"/>
  </cols>
  <sheetData>
    <row r="1" spans="1:12" ht="12.75" customHeight="1" x14ac:dyDescent="0.2">
      <c r="A1" s="1" t="str">
        <f>'Premium Information'!A1</f>
        <v>Insurer We</v>
      </c>
    </row>
    <row r="2" spans="1:12" ht="12.75" customHeight="1" x14ac:dyDescent="0.2">
      <c r="A2" s="1" t="str">
        <f>'Premium Information'!A2</f>
        <v>2025 Property Per risk Excess of Loss</v>
      </c>
    </row>
    <row r="3" spans="1:12" ht="12.75" customHeight="1" x14ac:dyDescent="0.2">
      <c r="A3" s="1" t="str">
        <f>'Premium Information'!A3</f>
        <v>effective date:</v>
      </c>
      <c r="B3" s="18">
        <f>'Premium Information'!B3</f>
        <v>45689</v>
      </c>
    </row>
    <row r="4" spans="1:12" ht="12.75" customHeight="1" x14ac:dyDescent="0.2"/>
    <row r="5" spans="1:12" ht="12.75" customHeight="1" x14ac:dyDescent="0.2">
      <c r="A5" s="16" t="s">
        <v>142</v>
      </c>
    </row>
    <row r="6" spans="1:12" ht="12.75" customHeight="1" x14ac:dyDescent="0.2"/>
    <row r="7" spans="1:12" ht="12.75" customHeight="1" x14ac:dyDescent="0.2">
      <c r="A7" s="1" t="str">
        <f>'Premium Information'!A7</f>
        <v>Data as of:</v>
      </c>
      <c r="B7" s="12">
        <f>'Premium Information'!B7</f>
        <v>45565</v>
      </c>
    </row>
    <row r="8" spans="1:12" ht="12.75" customHeight="1" x14ac:dyDescent="0.2">
      <c r="A8" s="1" t="str">
        <f>'Premium Information'!A8</f>
        <v>Currency:</v>
      </c>
      <c r="B8" t="str">
        <f>'Premium Information'!B8</f>
        <v>USD</v>
      </c>
    </row>
    <row r="9" spans="1:12" ht="12.75" customHeight="1" x14ac:dyDescent="0.2">
      <c r="A9" s="17"/>
    </row>
    <row r="10" spans="1:12" ht="12.75" customHeight="1" x14ac:dyDescent="0.2">
      <c r="A10" s="16" t="s">
        <v>132</v>
      </c>
      <c r="B10" t="str">
        <f>"Policies incepting between "&amp;TEXT(EOMONTH(B7,-12)+1,"Mmmm dd, yyyy")&amp;" and "&amp;TEXT(B7,"Mmmm dd, yyyy")</f>
        <v>Policies incepting between October 01, 2023 and September 30, 2024</v>
      </c>
    </row>
    <row r="11" spans="1:12" ht="12.75" customHeight="1" x14ac:dyDescent="0.2">
      <c r="A11" s="16"/>
    </row>
    <row r="12" spans="1:12" ht="12.75" customHeight="1" x14ac:dyDescent="0.2"/>
    <row r="13" spans="1:12" ht="12.75" customHeight="1" x14ac:dyDescent="0.2">
      <c r="A13" s="16" t="s">
        <v>133</v>
      </c>
      <c r="B13" s="16" t="s">
        <v>134</v>
      </c>
      <c r="C13" s="16" t="s">
        <v>135</v>
      </c>
      <c r="D13" s="16" t="s">
        <v>119</v>
      </c>
      <c r="E13" s="16" t="s">
        <v>136</v>
      </c>
      <c r="F13" s="16" t="s">
        <v>137</v>
      </c>
      <c r="G13" s="16" t="s">
        <v>103</v>
      </c>
      <c r="H13" s="16" t="s">
        <v>140</v>
      </c>
      <c r="I13" s="16" t="s">
        <v>141</v>
      </c>
      <c r="J13" s="16" t="s">
        <v>138</v>
      </c>
      <c r="K13" s="16" t="s">
        <v>120</v>
      </c>
      <c r="L13" s="16"/>
    </row>
    <row r="14" spans="1:12" ht="12.75" customHeight="1" x14ac:dyDescent="0.2">
      <c r="A14" t="s">
        <v>6420</v>
      </c>
      <c r="B14" t="s">
        <v>6421</v>
      </c>
      <c r="C14">
        <v>2023</v>
      </c>
      <c r="D14" s="18">
        <v>45200</v>
      </c>
      <c r="E14" s="18">
        <v>45565</v>
      </c>
      <c r="F14" s="18" t="s">
        <v>611</v>
      </c>
      <c r="G14" t="s">
        <v>99</v>
      </c>
      <c r="H14">
        <v>1</v>
      </c>
      <c r="I14">
        <v>2</v>
      </c>
      <c r="J14" s="27">
        <v>27709.15</v>
      </c>
      <c r="K14" s="27">
        <v>4000000</v>
      </c>
    </row>
    <row r="15" spans="1:12" ht="12.75" customHeight="1" x14ac:dyDescent="0.2">
      <c r="A15" t="s">
        <v>6422</v>
      </c>
      <c r="B15" t="s">
        <v>6423</v>
      </c>
      <c r="C15">
        <v>2023</v>
      </c>
      <c r="D15" s="18">
        <v>45200</v>
      </c>
      <c r="E15" s="18">
        <v>45565</v>
      </c>
      <c r="F15" s="18" t="s">
        <v>611</v>
      </c>
      <c r="G15" t="s">
        <v>99</v>
      </c>
      <c r="H15">
        <v>2</v>
      </c>
      <c r="I15">
        <v>2</v>
      </c>
      <c r="J15" s="27">
        <v>20536.09</v>
      </c>
      <c r="K15" s="27">
        <v>3000000</v>
      </c>
    </row>
    <row r="16" spans="1:12" ht="12.75" customHeight="1" x14ac:dyDescent="0.2">
      <c r="A16" t="s">
        <v>6424</v>
      </c>
      <c r="B16" t="s">
        <v>6425</v>
      </c>
      <c r="C16">
        <v>2023</v>
      </c>
      <c r="D16" s="18">
        <v>45200</v>
      </c>
      <c r="E16" s="18">
        <v>45565</v>
      </c>
      <c r="F16" s="18" t="s">
        <v>611</v>
      </c>
      <c r="G16" t="s">
        <v>101</v>
      </c>
      <c r="H16">
        <v>1</v>
      </c>
      <c r="I16">
        <v>1</v>
      </c>
      <c r="J16" s="27">
        <v>53442.03</v>
      </c>
      <c r="K16" s="27">
        <v>3500000</v>
      </c>
    </row>
    <row r="17" spans="1:11" ht="12.75" customHeight="1" x14ac:dyDescent="0.2">
      <c r="A17" t="s">
        <v>6426</v>
      </c>
      <c r="B17" t="s">
        <v>6427</v>
      </c>
      <c r="C17">
        <v>2023</v>
      </c>
      <c r="D17" s="18">
        <v>45200</v>
      </c>
      <c r="E17" s="18">
        <v>45565</v>
      </c>
      <c r="F17" s="18" t="s">
        <v>611</v>
      </c>
      <c r="G17" t="s">
        <v>100</v>
      </c>
      <c r="H17">
        <v>3</v>
      </c>
      <c r="I17">
        <v>3</v>
      </c>
      <c r="J17" s="27">
        <v>18546.59</v>
      </c>
      <c r="K17" s="27">
        <v>1500000</v>
      </c>
    </row>
    <row r="18" spans="1:11" ht="12.75" customHeight="1" x14ac:dyDescent="0.2">
      <c r="A18" t="s">
        <v>6428</v>
      </c>
      <c r="B18" t="s">
        <v>6429</v>
      </c>
      <c r="C18">
        <v>2023</v>
      </c>
      <c r="D18" s="18">
        <v>45201</v>
      </c>
      <c r="E18" s="18">
        <v>45566</v>
      </c>
      <c r="F18" s="18" t="s">
        <v>608</v>
      </c>
      <c r="G18" t="s">
        <v>100</v>
      </c>
      <c r="H18">
        <v>1</v>
      </c>
      <c r="I18">
        <v>1</v>
      </c>
      <c r="J18" s="27">
        <v>16590.25</v>
      </c>
      <c r="K18" s="27">
        <v>1500000</v>
      </c>
    </row>
    <row r="19" spans="1:11" ht="12.75" customHeight="1" x14ac:dyDescent="0.2">
      <c r="A19" t="s">
        <v>6430</v>
      </c>
      <c r="B19" t="s">
        <v>6431</v>
      </c>
      <c r="C19">
        <v>2023</v>
      </c>
      <c r="D19" s="18">
        <v>45201</v>
      </c>
      <c r="E19" s="18">
        <v>45566</v>
      </c>
      <c r="F19" s="18" t="s">
        <v>608</v>
      </c>
      <c r="G19" t="s">
        <v>99</v>
      </c>
      <c r="H19">
        <v>2</v>
      </c>
      <c r="I19">
        <v>2</v>
      </c>
      <c r="J19" s="27">
        <v>14098.53</v>
      </c>
      <c r="K19" s="27">
        <v>2000000</v>
      </c>
    </row>
    <row r="20" spans="1:11" ht="12.75" customHeight="1" x14ac:dyDescent="0.2">
      <c r="A20" t="s">
        <v>6432</v>
      </c>
      <c r="B20" t="s">
        <v>6433</v>
      </c>
      <c r="C20">
        <v>2023</v>
      </c>
      <c r="D20" s="18">
        <v>45201</v>
      </c>
      <c r="E20" s="18">
        <v>45566</v>
      </c>
      <c r="F20" s="18" t="s">
        <v>611</v>
      </c>
      <c r="G20" t="s">
        <v>101</v>
      </c>
      <c r="H20">
        <v>1</v>
      </c>
      <c r="I20">
        <v>2</v>
      </c>
      <c r="J20" s="27">
        <v>31017.23</v>
      </c>
      <c r="K20" s="27">
        <v>2000000</v>
      </c>
    </row>
    <row r="21" spans="1:11" ht="12.75" customHeight="1" x14ac:dyDescent="0.2">
      <c r="A21" t="s">
        <v>6434</v>
      </c>
      <c r="B21" t="s">
        <v>6435</v>
      </c>
      <c r="C21">
        <v>2023</v>
      </c>
      <c r="D21" s="18">
        <v>45201</v>
      </c>
      <c r="E21" s="18">
        <v>45566</v>
      </c>
      <c r="F21" s="18" t="s">
        <v>611</v>
      </c>
      <c r="G21" t="s">
        <v>101</v>
      </c>
      <c r="H21">
        <v>1</v>
      </c>
      <c r="I21">
        <v>1</v>
      </c>
      <c r="J21" s="27">
        <v>41672.959999999999</v>
      </c>
      <c r="K21" s="27">
        <v>2500000</v>
      </c>
    </row>
    <row r="22" spans="1:11" ht="12.75" customHeight="1" x14ac:dyDescent="0.2">
      <c r="A22" t="s">
        <v>6436</v>
      </c>
      <c r="B22" t="s">
        <v>6437</v>
      </c>
      <c r="C22">
        <v>2023</v>
      </c>
      <c r="D22" s="18">
        <v>45201</v>
      </c>
      <c r="E22" s="18">
        <v>45566</v>
      </c>
      <c r="F22" s="18" t="s">
        <v>611</v>
      </c>
      <c r="G22" t="s">
        <v>99</v>
      </c>
      <c r="H22">
        <v>1</v>
      </c>
      <c r="I22">
        <v>1</v>
      </c>
      <c r="J22" s="27">
        <v>33125.910000000003</v>
      </c>
      <c r="K22" s="27">
        <v>4500000</v>
      </c>
    </row>
    <row r="23" spans="1:11" ht="12.75" customHeight="1" x14ac:dyDescent="0.2">
      <c r="A23" t="s">
        <v>6438</v>
      </c>
      <c r="B23" t="s">
        <v>6439</v>
      </c>
      <c r="C23">
        <v>2023</v>
      </c>
      <c r="D23" s="18">
        <v>45202</v>
      </c>
      <c r="E23" s="18">
        <v>45567</v>
      </c>
      <c r="F23" s="18" t="s">
        <v>608</v>
      </c>
      <c r="G23" t="s">
        <v>101</v>
      </c>
      <c r="H23">
        <v>1</v>
      </c>
      <c r="I23">
        <v>1</v>
      </c>
      <c r="J23" s="27">
        <v>65397.96</v>
      </c>
      <c r="K23" s="27">
        <v>4000000</v>
      </c>
    </row>
    <row r="24" spans="1:11" ht="12.75" customHeight="1" x14ac:dyDescent="0.2">
      <c r="A24" t="s">
        <v>6440</v>
      </c>
      <c r="B24" t="s">
        <v>6441</v>
      </c>
      <c r="C24">
        <v>2023</v>
      </c>
      <c r="D24" s="18">
        <v>45202</v>
      </c>
      <c r="E24" s="18">
        <v>45567</v>
      </c>
      <c r="F24" s="18" t="s">
        <v>608</v>
      </c>
      <c r="G24" t="s">
        <v>102</v>
      </c>
      <c r="H24">
        <v>1</v>
      </c>
      <c r="I24">
        <v>2</v>
      </c>
      <c r="J24" s="27">
        <v>17064.080000000002</v>
      </c>
      <c r="K24" s="27">
        <v>2000000</v>
      </c>
    </row>
    <row r="25" spans="1:11" ht="12.75" customHeight="1" x14ac:dyDescent="0.2">
      <c r="A25" t="s">
        <v>6442</v>
      </c>
      <c r="B25" t="s">
        <v>6443</v>
      </c>
      <c r="C25">
        <v>2023</v>
      </c>
      <c r="D25" s="18">
        <v>45202</v>
      </c>
      <c r="E25" s="18">
        <v>45567</v>
      </c>
      <c r="F25" s="18" t="s">
        <v>611</v>
      </c>
      <c r="G25" t="s">
        <v>99</v>
      </c>
      <c r="H25">
        <v>1</v>
      </c>
      <c r="I25">
        <v>1</v>
      </c>
      <c r="J25" s="27">
        <v>64510.59</v>
      </c>
      <c r="K25" s="27">
        <v>10000000</v>
      </c>
    </row>
    <row r="26" spans="1:11" ht="12.75" customHeight="1" x14ac:dyDescent="0.2">
      <c r="A26" t="s">
        <v>6444</v>
      </c>
      <c r="B26" t="s">
        <v>6445</v>
      </c>
      <c r="C26">
        <v>2023</v>
      </c>
      <c r="D26" s="18">
        <v>45202</v>
      </c>
      <c r="E26" s="18">
        <v>45567</v>
      </c>
      <c r="F26" s="18" t="s">
        <v>611</v>
      </c>
      <c r="G26" t="s">
        <v>102</v>
      </c>
      <c r="H26">
        <v>3</v>
      </c>
      <c r="I26">
        <v>6</v>
      </c>
      <c r="J26" s="27">
        <v>24838.5</v>
      </c>
      <c r="K26" s="27">
        <v>3000000</v>
      </c>
    </row>
    <row r="27" spans="1:11" ht="12.75" customHeight="1" x14ac:dyDescent="0.2">
      <c r="A27" t="s">
        <v>6446</v>
      </c>
      <c r="B27" t="s">
        <v>6447</v>
      </c>
      <c r="C27">
        <v>2023</v>
      </c>
      <c r="D27" s="18">
        <v>45202</v>
      </c>
      <c r="E27" s="18">
        <v>45567</v>
      </c>
      <c r="F27" s="18" t="s">
        <v>611</v>
      </c>
      <c r="G27" t="s">
        <v>101</v>
      </c>
      <c r="H27">
        <v>3</v>
      </c>
      <c r="I27">
        <v>6</v>
      </c>
      <c r="J27" s="27">
        <v>30221.13</v>
      </c>
      <c r="K27" s="27">
        <v>2000000</v>
      </c>
    </row>
    <row r="28" spans="1:11" ht="12.75" customHeight="1" x14ac:dyDescent="0.2">
      <c r="A28" t="s">
        <v>6448</v>
      </c>
      <c r="B28" t="s">
        <v>6449</v>
      </c>
      <c r="C28">
        <v>2023</v>
      </c>
      <c r="D28" s="18">
        <v>45202</v>
      </c>
      <c r="E28" s="18">
        <v>45567</v>
      </c>
      <c r="F28" s="18" t="s">
        <v>611</v>
      </c>
      <c r="G28" t="s">
        <v>99</v>
      </c>
      <c r="H28">
        <v>2</v>
      </c>
      <c r="I28">
        <v>2</v>
      </c>
      <c r="J28" s="27">
        <v>37664.699999999997</v>
      </c>
      <c r="K28" s="27">
        <v>5000000</v>
      </c>
    </row>
    <row r="29" spans="1:11" ht="12.75" customHeight="1" x14ac:dyDescent="0.2">
      <c r="A29" t="s">
        <v>6450</v>
      </c>
      <c r="B29" t="s">
        <v>6451</v>
      </c>
      <c r="C29">
        <v>2023</v>
      </c>
      <c r="D29" s="18">
        <v>45202</v>
      </c>
      <c r="E29" s="18">
        <v>45567</v>
      </c>
      <c r="F29" s="18" t="s">
        <v>611</v>
      </c>
      <c r="G29" t="s">
        <v>99</v>
      </c>
      <c r="H29">
        <v>1</v>
      </c>
      <c r="I29">
        <v>1</v>
      </c>
      <c r="J29" s="27">
        <v>30097.26</v>
      </c>
      <c r="K29" s="27">
        <v>4000000</v>
      </c>
    </row>
    <row r="30" spans="1:11" ht="12.75" customHeight="1" x14ac:dyDescent="0.2">
      <c r="A30" t="s">
        <v>6452</v>
      </c>
      <c r="B30" t="s">
        <v>6453</v>
      </c>
      <c r="C30">
        <v>2023</v>
      </c>
      <c r="D30" s="18">
        <v>45202</v>
      </c>
      <c r="E30" s="18">
        <v>45567</v>
      </c>
      <c r="F30" s="18" t="s">
        <v>611</v>
      </c>
      <c r="G30" t="s">
        <v>100</v>
      </c>
      <c r="H30">
        <v>1</v>
      </c>
      <c r="I30">
        <v>1</v>
      </c>
      <c r="J30" s="27">
        <v>52483.11</v>
      </c>
      <c r="K30" s="27">
        <v>5000000</v>
      </c>
    </row>
    <row r="31" spans="1:11" ht="12.75" customHeight="1" x14ac:dyDescent="0.2">
      <c r="A31" t="s">
        <v>6454</v>
      </c>
      <c r="B31" t="s">
        <v>6455</v>
      </c>
      <c r="C31">
        <v>2023</v>
      </c>
      <c r="D31" s="18">
        <v>45202</v>
      </c>
      <c r="E31" s="18">
        <v>45567</v>
      </c>
      <c r="F31" s="18" t="s">
        <v>611</v>
      </c>
      <c r="G31" t="s">
        <v>100</v>
      </c>
      <c r="H31">
        <v>1</v>
      </c>
      <c r="I31">
        <v>2</v>
      </c>
      <c r="J31" s="27">
        <v>33311.019999999997</v>
      </c>
      <c r="K31" s="27">
        <v>3000000</v>
      </c>
    </row>
    <row r="32" spans="1:11" ht="12.75" customHeight="1" x14ac:dyDescent="0.2">
      <c r="A32" t="s">
        <v>6456</v>
      </c>
      <c r="B32" t="s">
        <v>6457</v>
      </c>
      <c r="C32">
        <v>2023</v>
      </c>
      <c r="D32" s="18">
        <v>45203</v>
      </c>
      <c r="E32" s="18">
        <v>45568</v>
      </c>
      <c r="F32" s="18" t="s">
        <v>608</v>
      </c>
      <c r="G32" t="s">
        <v>102</v>
      </c>
      <c r="H32">
        <v>1</v>
      </c>
      <c r="I32">
        <v>1</v>
      </c>
      <c r="J32" s="27">
        <v>10912.42</v>
      </c>
      <c r="K32" s="27">
        <v>1500000</v>
      </c>
    </row>
    <row r="33" spans="1:11" ht="12.75" customHeight="1" x14ac:dyDescent="0.2">
      <c r="A33" t="s">
        <v>6458</v>
      </c>
      <c r="B33" t="s">
        <v>6459</v>
      </c>
      <c r="C33">
        <v>2023</v>
      </c>
      <c r="D33" s="18">
        <v>45203</v>
      </c>
      <c r="E33" s="18">
        <v>45568</v>
      </c>
      <c r="F33" s="18" t="s">
        <v>611</v>
      </c>
      <c r="G33" t="s">
        <v>100</v>
      </c>
      <c r="H33">
        <v>3</v>
      </c>
      <c r="I33">
        <v>3</v>
      </c>
      <c r="J33" s="27">
        <v>5316.64</v>
      </c>
      <c r="K33" s="27">
        <v>500000</v>
      </c>
    </row>
    <row r="34" spans="1:11" ht="12.75" customHeight="1" x14ac:dyDescent="0.2">
      <c r="A34" t="s">
        <v>6460</v>
      </c>
      <c r="B34" t="s">
        <v>6461</v>
      </c>
      <c r="C34">
        <v>2023</v>
      </c>
      <c r="D34" s="18">
        <v>45203</v>
      </c>
      <c r="E34" s="18">
        <v>45568</v>
      </c>
      <c r="F34" s="18" t="s">
        <v>611</v>
      </c>
      <c r="G34" t="s">
        <v>99</v>
      </c>
      <c r="H34">
        <v>1</v>
      </c>
      <c r="I34">
        <v>1</v>
      </c>
      <c r="J34" s="27">
        <v>13954.46</v>
      </c>
      <c r="K34" s="27">
        <v>2000000</v>
      </c>
    </row>
    <row r="35" spans="1:11" ht="12.75" customHeight="1" x14ac:dyDescent="0.2">
      <c r="A35" t="s">
        <v>6462</v>
      </c>
      <c r="B35" t="s">
        <v>6463</v>
      </c>
      <c r="C35">
        <v>2023</v>
      </c>
      <c r="D35" s="18">
        <v>45203</v>
      </c>
      <c r="E35" s="18">
        <v>45568</v>
      </c>
      <c r="F35" s="18" t="s">
        <v>611</v>
      </c>
      <c r="G35" t="s">
        <v>102</v>
      </c>
      <c r="H35">
        <v>2</v>
      </c>
      <c r="I35">
        <v>2</v>
      </c>
      <c r="J35" s="27">
        <v>4158.33</v>
      </c>
      <c r="K35" s="27">
        <v>500000</v>
      </c>
    </row>
    <row r="36" spans="1:11" ht="12.75" customHeight="1" x14ac:dyDescent="0.2">
      <c r="A36" t="s">
        <v>6464</v>
      </c>
      <c r="B36" t="s">
        <v>6465</v>
      </c>
      <c r="C36">
        <v>2023</v>
      </c>
      <c r="D36" s="18">
        <v>45203</v>
      </c>
      <c r="E36" s="18">
        <v>45568</v>
      </c>
      <c r="F36" s="18" t="s">
        <v>611</v>
      </c>
      <c r="G36" t="s">
        <v>101</v>
      </c>
      <c r="H36">
        <v>2</v>
      </c>
      <c r="I36">
        <v>2</v>
      </c>
      <c r="J36" s="27">
        <v>158302.07999999999</v>
      </c>
      <c r="K36" s="27">
        <v>10000000</v>
      </c>
    </row>
    <row r="37" spans="1:11" ht="12.75" customHeight="1" x14ac:dyDescent="0.2">
      <c r="A37" t="s">
        <v>6466</v>
      </c>
      <c r="B37" t="s">
        <v>6467</v>
      </c>
      <c r="C37">
        <v>2023</v>
      </c>
      <c r="D37" s="18">
        <v>45203</v>
      </c>
      <c r="E37" s="18">
        <v>45568</v>
      </c>
      <c r="F37" s="18" t="s">
        <v>611</v>
      </c>
      <c r="G37" t="s">
        <v>99</v>
      </c>
      <c r="H37">
        <v>2</v>
      </c>
      <c r="I37">
        <v>4</v>
      </c>
      <c r="J37" s="27">
        <v>14789.1</v>
      </c>
      <c r="K37" s="27">
        <v>2000000</v>
      </c>
    </row>
    <row r="38" spans="1:11" ht="12.75" customHeight="1" x14ac:dyDescent="0.2">
      <c r="A38" t="s">
        <v>6468</v>
      </c>
      <c r="B38" t="s">
        <v>6469</v>
      </c>
      <c r="C38">
        <v>2023</v>
      </c>
      <c r="D38" s="18">
        <v>45204</v>
      </c>
      <c r="E38" s="18">
        <v>45569</v>
      </c>
      <c r="F38" s="18" t="s">
        <v>608</v>
      </c>
      <c r="G38" t="s">
        <v>100</v>
      </c>
      <c r="H38">
        <v>1</v>
      </c>
      <c r="I38">
        <v>1</v>
      </c>
      <c r="J38" s="27">
        <v>21135.360000000001</v>
      </c>
      <c r="K38" s="27">
        <v>2000000</v>
      </c>
    </row>
    <row r="39" spans="1:11" ht="12.75" customHeight="1" x14ac:dyDescent="0.2">
      <c r="A39" t="s">
        <v>6470</v>
      </c>
      <c r="B39" t="s">
        <v>6471</v>
      </c>
      <c r="C39">
        <v>2023</v>
      </c>
      <c r="D39" s="18">
        <v>45204</v>
      </c>
      <c r="E39" s="18">
        <v>45569</v>
      </c>
      <c r="F39" s="18" t="s">
        <v>608</v>
      </c>
      <c r="G39" t="s">
        <v>99</v>
      </c>
      <c r="H39">
        <v>1</v>
      </c>
      <c r="I39">
        <v>1</v>
      </c>
      <c r="J39" s="27">
        <v>69042.03</v>
      </c>
      <c r="K39" s="27">
        <v>10000000</v>
      </c>
    </row>
    <row r="40" spans="1:11" ht="12.75" customHeight="1" x14ac:dyDescent="0.2">
      <c r="A40" t="s">
        <v>6472</v>
      </c>
      <c r="B40" t="s">
        <v>6473</v>
      </c>
      <c r="C40">
        <v>2023</v>
      </c>
      <c r="D40" s="18">
        <v>45204</v>
      </c>
      <c r="E40" s="18">
        <v>45569</v>
      </c>
      <c r="F40" s="18" t="s">
        <v>611</v>
      </c>
      <c r="G40" t="s">
        <v>101</v>
      </c>
      <c r="H40">
        <v>2</v>
      </c>
      <c r="I40">
        <v>4</v>
      </c>
      <c r="J40" s="27">
        <v>64280.66</v>
      </c>
      <c r="K40" s="27">
        <v>4000000</v>
      </c>
    </row>
    <row r="41" spans="1:11" ht="12.75" customHeight="1" x14ac:dyDescent="0.2">
      <c r="A41" t="s">
        <v>6474</v>
      </c>
      <c r="B41" t="s">
        <v>6475</v>
      </c>
      <c r="C41">
        <v>2023</v>
      </c>
      <c r="D41" s="18">
        <v>45204</v>
      </c>
      <c r="E41" s="18">
        <v>45569</v>
      </c>
      <c r="F41" s="18" t="s">
        <v>611</v>
      </c>
      <c r="G41" t="s">
        <v>101</v>
      </c>
      <c r="H41">
        <v>1</v>
      </c>
      <c r="I41">
        <v>2</v>
      </c>
      <c r="J41" s="27">
        <v>16992.86</v>
      </c>
      <c r="K41" s="27">
        <v>1000000</v>
      </c>
    </row>
    <row r="42" spans="1:11" ht="12.75" customHeight="1" x14ac:dyDescent="0.2">
      <c r="A42" t="s">
        <v>6476</v>
      </c>
      <c r="B42" t="s">
        <v>6477</v>
      </c>
      <c r="C42">
        <v>2023</v>
      </c>
      <c r="D42" s="18">
        <v>45204</v>
      </c>
      <c r="E42" s="18">
        <v>45569</v>
      </c>
      <c r="F42" s="18" t="s">
        <v>611</v>
      </c>
      <c r="G42" t="s">
        <v>100</v>
      </c>
      <c r="H42">
        <v>1</v>
      </c>
      <c r="I42">
        <v>2</v>
      </c>
      <c r="J42" s="27">
        <v>12536.44</v>
      </c>
      <c r="K42" s="27">
        <v>1000000</v>
      </c>
    </row>
    <row r="43" spans="1:11" ht="12.75" customHeight="1" x14ac:dyDescent="0.2">
      <c r="A43" t="s">
        <v>6478</v>
      </c>
      <c r="B43" t="s">
        <v>6479</v>
      </c>
      <c r="C43">
        <v>2023</v>
      </c>
      <c r="D43" s="18">
        <v>45204</v>
      </c>
      <c r="E43" s="18">
        <v>45569</v>
      </c>
      <c r="F43" s="18" t="s">
        <v>611</v>
      </c>
      <c r="G43" t="s">
        <v>102</v>
      </c>
      <c r="H43">
        <v>1</v>
      </c>
      <c r="I43">
        <v>1</v>
      </c>
      <c r="J43" s="27">
        <v>28563.49</v>
      </c>
      <c r="K43" s="27">
        <v>4000000</v>
      </c>
    </row>
    <row r="44" spans="1:11" ht="12.75" customHeight="1" x14ac:dyDescent="0.2">
      <c r="A44" t="s">
        <v>6480</v>
      </c>
      <c r="B44" t="s">
        <v>6481</v>
      </c>
      <c r="C44">
        <v>2023</v>
      </c>
      <c r="D44" s="18">
        <v>45204</v>
      </c>
      <c r="E44" s="18">
        <v>45569</v>
      </c>
      <c r="F44" s="18" t="s">
        <v>611</v>
      </c>
      <c r="G44" t="s">
        <v>99</v>
      </c>
      <c r="H44">
        <v>2</v>
      </c>
      <c r="I44">
        <v>2</v>
      </c>
      <c r="J44" s="27">
        <v>76048.44</v>
      </c>
      <c r="K44" s="27">
        <v>10000000</v>
      </c>
    </row>
    <row r="45" spans="1:11" ht="12.75" customHeight="1" x14ac:dyDescent="0.2">
      <c r="A45" t="s">
        <v>6482</v>
      </c>
      <c r="B45" t="s">
        <v>6483</v>
      </c>
      <c r="C45">
        <v>2023</v>
      </c>
      <c r="D45" s="18">
        <v>45204</v>
      </c>
      <c r="E45" s="18">
        <v>45569</v>
      </c>
      <c r="F45" s="18" t="s">
        <v>611</v>
      </c>
      <c r="G45" t="s">
        <v>99</v>
      </c>
      <c r="H45">
        <v>2</v>
      </c>
      <c r="I45">
        <v>2</v>
      </c>
      <c r="J45" s="27">
        <v>28154.17</v>
      </c>
      <c r="K45" s="27">
        <v>4000000</v>
      </c>
    </row>
    <row r="46" spans="1:11" ht="12.75" customHeight="1" x14ac:dyDescent="0.2">
      <c r="A46" t="s">
        <v>6484</v>
      </c>
      <c r="B46" t="s">
        <v>6485</v>
      </c>
      <c r="C46">
        <v>2023</v>
      </c>
      <c r="D46" s="18">
        <v>45204</v>
      </c>
      <c r="E46" s="18">
        <v>45569</v>
      </c>
      <c r="F46" s="18" t="s">
        <v>611</v>
      </c>
      <c r="G46" t="s">
        <v>100</v>
      </c>
      <c r="H46">
        <v>1</v>
      </c>
      <c r="I46">
        <v>1</v>
      </c>
      <c r="J46" s="27">
        <v>18292.990000000002</v>
      </c>
      <c r="K46" s="27">
        <v>1500000</v>
      </c>
    </row>
    <row r="47" spans="1:11" ht="12.75" customHeight="1" x14ac:dyDescent="0.2">
      <c r="A47" t="s">
        <v>6486</v>
      </c>
      <c r="B47" t="s">
        <v>6487</v>
      </c>
      <c r="C47">
        <v>2023</v>
      </c>
      <c r="D47" s="18">
        <v>45205</v>
      </c>
      <c r="E47" s="18">
        <v>45570</v>
      </c>
      <c r="F47" s="18" t="s">
        <v>611</v>
      </c>
      <c r="G47" t="s">
        <v>102</v>
      </c>
      <c r="H47">
        <v>2</v>
      </c>
      <c r="I47">
        <v>2</v>
      </c>
      <c r="J47" s="27">
        <v>28914.54</v>
      </c>
      <c r="K47" s="27">
        <v>4000000</v>
      </c>
    </row>
    <row r="48" spans="1:11" ht="12.75" customHeight="1" x14ac:dyDescent="0.2">
      <c r="A48" t="s">
        <v>6488</v>
      </c>
      <c r="B48" t="s">
        <v>6489</v>
      </c>
      <c r="C48">
        <v>2023</v>
      </c>
      <c r="D48" s="18">
        <v>45205</v>
      </c>
      <c r="E48" s="18">
        <v>45570</v>
      </c>
      <c r="F48" s="18" t="s">
        <v>611</v>
      </c>
      <c r="G48" t="s">
        <v>100</v>
      </c>
      <c r="H48">
        <v>1</v>
      </c>
      <c r="I48">
        <v>2</v>
      </c>
      <c r="J48" s="27">
        <v>119667.71</v>
      </c>
      <c r="K48" s="27">
        <v>10000000</v>
      </c>
    </row>
    <row r="49" spans="1:11" ht="12.75" customHeight="1" x14ac:dyDescent="0.2">
      <c r="A49" t="s">
        <v>6490</v>
      </c>
      <c r="B49" t="s">
        <v>6491</v>
      </c>
      <c r="C49">
        <v>2023</v>
      </c>
      <c r="D49" s="18">
        <v>45205</v>
      </c>
      <c r="E49" s="18">
        <v>45570</v>
      </c>
      <c r="F49" s="18" t="s">
        <v>611</v>
      </c>
      <c r="G49" t="s">
        <v>102</v>
      </c>
      <c r="H49">
        <v>2</v>
      </c>
      <c r="I49">
        <v>2</v>
      </c>
      <c r="J49" s="27">
        <v>23438.45</v>
      </c>
      <c r="K49" s="27">
        <v>3000000</v>
      </c>
    </row>
    <row r="50" spans="1:11" ht="12.75" customHeight="1" x14ac:dyDescent="0.2">
      <c r="A50" t="s">
        <v>6492</v>
      </c>
      <c r="B50" t="s">
        <v>6493</v>
      </c>
      <c r="C50">
        <v>2023</v>
      </c>
      <c r="D50" s="18">
        <v>45205</v>
      </c>
      <c r="E50" s="18">
        <v>45570</v>
      </c>
      <c r="F50" s="18" t="s">
        <v>611</v>
      </c>
      <c r="G50" t="s">
        <v>101</v>
      </c>
      <c r="H50">
        <v>1</v>
      </c>
      <c r="I50">
        <v>2</v>
      </c>
      <c r="J50" s="27">
        <v>63712.98</v>
      </c>
      <c r="K50" s="27">
        <v>4500000</v>
      </c>
    </row>
    <row r="51" spans="1:11" ht="12.75" customHeight="1" x14ac:dyDescent="0.2">
      <c r="A51" t="s">
        <v>6494</v>
      </c>
      <c r="B51" t="s">
        <v>6495</v>
      </c>
      <c r="C51">
        <v>2023</v>
      </c>
      <c r="D51" s="18">
        <v>45205</v>
      </c>
      <c r="E51" s="18">
        <v>45570</v>
      </c>
      <c r="F51" s="18" t="s">
        <v>611</v>
      </c>
      <c r="G51" t="s">
        <v>101</v>
      </c>
      <c r="H51">
        <v>1</v>
      </c>
      <c r="I51">
        <v>1</v>
      </c>
      <c r="J51" s="27">
        <v>15189.52</v>
      </c>
      <c r="K51" s="27">
        <v>1000000</v>
      </c>
    </row>
    <row r="52" spans="1:11" ht="12.75" customHeight="1" x14ac:dyDescent="0.2">
      <c r="A52" t="s">
        <v>6496</v>
      </c>
      <c r="B52" t="s">
        <v>6497</v>
      </c>
      <c r="C52">
        <v>2023</v>
      </c>
      <c r="D52" s="18">
        <v>45205</v>
      </c>
      <c r="E52" s="18">
        <v>45570</v>
      </c>
      <c r="F52" s="18" t="s">
        <v>611</v>
      </c>
      <c r="G52" t="s">
        <v>102</v>
      </c>
      <c r="H52">
        <v>1</v>
      </c>
      <c r="I52">
        <v>1</v>
      </c>
      <c r="J52" s="27">
        <v>78701.509999999995</v>
      </c>
      <c r="K52" s="27">
        <v>10000000</v>
      </c>
    </row>
    <row r="53" spans="1:11" ht="12.75" customHeight="1" x14ac:dyDescent="0.2">
      <c r="A53" t="s">
        <v>6498</v>
      </c>
      <c r="B53" t="s">
        <v>6499</v>
      </c>
      <c r="C53">
        <v>2023</v>
      </c>
      <c r="D53" s="18">
        <v>45206</v>
      </c>
      <c r="E53" s="18">
        <v>45571</v>
      </c>
      <c r="F53" s="18" t="s">
        <v>608</v>
      </c>
      <c r="G53" t="s">
        <v>100</v>
      </c>
      <c r="H53">
        <v>3</v>
      </c>
      <c r="I53">
        <v>3</v>
      </c>
      <c r="J53" s="27">
        <v>50043.82</v>
      </c>
      <c r="K53" s="27">
        <v>4500000</v>
      </c>
    </row>
    <row r="54" spans="1:11" ht="12.75" customHeight="1" x14ac:dyDescent="0.2">
      <c r="A54" t="s">
        <v>6500</v>
      </c>
      <c r="B54" t="s">
        <v>6501</v>
      </c>
      <c r="C54">
        <v>2023</v>
      </c>
      <c r="D54" s="18">
        <v>45206</v>
      </c>
      <c r="E54" s="18">
        <v>45571</v>
      </c>
      <c r="F54" s="18" t="s">
        <v>608</v>
      </c>
      <c r="G54" t="s">
        <v>101</v>
      </c>
      <c r="H54">
        <v>2</v>
      </c>
      <c r="I54">
        <v>2</v>
      </c>
      <c r="J54" s="27">
        <v>159599.1</v>
      </c>
      <c r="K54" s="27">
        <v>10000000</v>
      </c>
    </row>
    <row r="55" spans="1:11" ht="12.75" customHeight="1" x14ac:dyDescent="0.2">
      <c r="A55" t="s">
        <v>6502</v>
      </c>
      <c r="B55" t="s">
        <v>6503</v>
      </c>
      <c r="C55">
        <v>2023</v>
      </c>
      <c r="D55" s="18">
        <v>45206</v>
      </c>
      <c r="E55" s="18">
        <v>45571</v>
      </c>
      <c r="F55" s="18" t="s">
        <v>611</v>
      </c>
      <c r="G55" t="s">
        <v>100</v>
      </c>
      <c r="H55">
        <v>1</v>
      </c>
      <c r="I55">
        <v>1</v>
      </c>
      <c r="J55" s="27">
        <v>22569.59</v>
      </c>
      <c r="K55" s="27">
        <v>2000000</v>
      </c>
    </row>
    <row r="56" spans="1:11" ht="12.75" customHeight="1" x14ac:dyDescent="0.2">
      <c r="A56" t="s">
        <v>6504</v>
      </c>
      <c r="B56" t="s">
        <v>6505</v>
      </c>
      <c r="C56">
        <v>2023</v>
      </c>
      <c r="D56" s="18">
        <v>45206</v>
      </c>
      <c r="E56" s="18">
        <v>45571</v>
      </c>
      <c r="F56" s="18" t="s">
        <v>611</v>
      </c>
      <c r="G56" t="s">
        <v>102</v>
      </c>
      <c r="H56">
        <v>3</v>
      </c>
      <c r="I56">
        <v>3</v>
      </c>
      <c r="J56" s="27">
        <v>76697.03</v>
      </c>
      <c r="K56" s="27">
        <v>10000000</v>
      </c>
    </row>
    <row r="57" spans="1:11" ht="12.75" customHeight="1" x14ac:dyDescent="0.2">
      <c r="A57" t="s">
        <v>6506</v>
      </c>
      <c r="B57" t="s">
        <v>6507</v>
      </c>
      <c r="C57">
        <v>2023</v>
      </c>
      <c r="D57" s="18">
        <v>45206</v>
      </c>
      <c r="E57" s="18">
        <v>45571</v>
      </c>
      <c r="F57" s="18" t="s">
        <v>611</v>
      </c>
      <c r="G57" t="s">
        <v>100</v>
      </c>
      <c r="H57">
        <v>1</v>
      </c>
      <c r="I57">
        <v>1</v>
      </c>
      <c r="J57" s="27">
        <v>21121.26</v>
      </c>
      <c r="K57" s="27">
        <v>2000000</v>
      </c>
    </row>
    <row r="58" spans="1:11" ht="12.75" customHeight="1" x14ac:dyDescent="0.2">
      <c r="A58" t="s">
        <v>6508</v>
      </c>
      <c r="B58" t="s">
        <v>6509</v>
      </c>
      <c r="C58">
        <v>2023</v>
      </c>
      <c r="D58" s="18">
        <v>45206</v>
      </c>
      <c r="E58" s="18">
        <v>45571</v>
      </c>
      <c r="F58" s="18" t="s">
        <v>611</v>
      </c>
      <c r="G58" t="s">
        <v>102</v>
      </c>
      <c r="H58">
        <v>2</v>
      </c>
      <c r="I58">
        <v>4</v>
      </c>
      <c r="J58" s="27">
        <v>7655.09</v>
      </c>
      <c r="K58" s="27">
        <v>1000000</v>
      </c>
    </row>
    <row r="59" spans="1:11" ht="12.75" customHeight="1" x14ac:dyDescent="0.2">
      <c r="A59" t="s">
        <v>6510</v>
      </c>
      <c r="B59" t="s">
        <v>6511</v>
      </c>
      <c r="C59">
        <v>2023</v>
      </c>
      <c r="D59" s="18">
        <v>45207</v>
      </c>
      <c r="E59" s="18">
        <v>45572</v>
      </c>
      <c r="F59" s="18" t="s">
        <v>611</v>
      </c>
      <c r="G59" t="s">
        <v>101</v>
      </c>
      <c r="H59">
        <v>2</v>
      </c>
      <c r="I59">
        <v>2</v>
      </c>
      <c r="J59" s="27">
        <v>14222.32</v>
      </c>
      <c r="K59" s="27">
        <v>1000000</v>
      </c>
    </row>
    <row r="60" spans="1:11" ht="12.75" customHeight="1" x14ac:dyDescent="0.2">
      <c r="A60" t="s">
        <v>6512</v>
      </c>
      <c r="B60" t="s">
        <v>6513</v>
      </c>
      <c r="C60">
        <v>2023</v>
      </c>
      <c r="D60" s="18">
        <v>45207</v>
      </c>
      <c r="E60" s="18">
        <v>45572</v>
      </c>
      <c r="F60" s="18" t="s">
        <v>611</v>
      </c>
      <c r="G60" t="s">
        <v>100</v>
      </c>
      <c r="H60">
        <v>2</v>
      </c>
      <c r="I60">
        <v>4</v>
      </c>
      <c r="J60" s="27">
        <v>50316.83</v>
      </c>
      <c r="K60" s="27">
        <v>4000000</v>
      </c>
    </row>
    <row r="61" spans="1:11" ht="12.75" customHeight="1" x14ac:dyDescent="0.2">
      <c r="A61" t="s">
        <v>6514</v>
      </c>
      <c r="B61" t="s">
        <v>6515</v>
      </c>
      <c r="C61">
        <v>2023</v>
      </c>
      <c r="D61" s="18">
        <v>45207</v>
      </c>
      <c r="E61" s="18">
        <v>45572</v>
      </c>
      <c r="F61" s="18" t="s">
        <v>611</v>
      </c>
      <c r="G61" t="s">
        <v>101</v>
      </c>
      <c r="H61">
        <v>1</v>
      </c>
      <c r="I61">
        <v>2</v>
      </c>
      <c r="J61" s="27">
        <v>15649.77</v>
      </c>
      <c r="K61" s="27">
        <v>1000000</v>
      </c>
    </row>
    <row r="62" spans="1:11" ht="12.75" customHeight="1" x14ac:dyDescent="0.2">
      <c r="A62" t="s">
        <v>6516</v>
      </c>
      <c r="B62" t="s">
        <v>6517</v>
      </c>
      <c r="C62">
        <v>2023</v>
      </c>
      <c r="D62" s="18">
        <v>45207</v>
      </c>
      <c r="E62" s="18">
        <v>45572</v>
      </c>
      <c r="F62" s="18" t="s">
        <v>611</v>
      </c>
      <c r="G62" t="s">
        <v>99</v>
      </c>
      <c r="H62">
        <v>2</v>
      </c>
      <c r="I62">
        <v>2</v>
      </c>
      <c r="J62" s="27">
        <v>21196.53</v>
      </c>
      <c r="K62" s="27">
        <v>3000000</v>
      </c>
    </row>
    <row r="63" spans="1:11" ht="12.75" customHeight="1" x14ac:dyDescent="0.2">
      <c r="A63" t="s">
        <v>6518</v>
      </c>
      <c r="B63" t="s">
        <v>6519</v>
      </c>
      <c r="C63">
        <v>2023</v>
      </c>
      <c r="D63" s="18">
        <v>45207</v>
      </c>
      <c r="E63" s="18">
        <v>45572</v>
      </c>
      <c r="F63" s="18" t="s">
        <v>611</v>
      </c>
      <c r="G63" t="s">
        <v>100</v>
      </c>
      <c r="H63">
        <v>2</v>
      </c>
      <c r="I63">
        <v>2</v>
      </c>
      <c r="J63" s="27">
        <v>117184.38</v>
      </c>
      <c r="K63" s="27">
        <v>10000000</v>
      </c>
    </row>
    <row r="64" spans="1:11" ht="12.75" customHeight="1" x14ac:dyDescent="0.2">
      <c r="A64" t="s">
        <v>6520</v>
      </c>
      <c r="B64" t="s">
        <v>6521</v>
      </c>
      <c r="C64">
        <v>2023</v>
      </c>
      <c r="D64" s="18">
        <v>45207</v>
      </c>
      <c r="E64" s="18">
        <v>45572</v>
      </c>
      <c r="F64" s="18" t="s">
        <v>611</v>
      </c>
      <c r="G64" t="s">
        <v>100</v>
      </c>
      <c r="H64">
        <v>1</v>
      </c>
      <c r="I64">
        <v>1</v>
      </c>
      <c r="J64" s="27">
        <v>20638.82</v>
      </c>
      <c r="K64" s="27">
        <v>2000000</v>
      </c>
    </row>
    <row r="65" spans="1:11" ht="12.75" customHeight="1" x14ac:dyDescent="0.2">
      <c r="A65" t="s">
        <v>6522</v>
      </c>
      <c r="B65" t="s">
        <v>6523</v>
      </c>
      <c r="C65">
        <v>2023</v>
      </c>
      <c r="D65" s="18">
        <v>45207</v>
      </c>
      <c r="E65" s="18">
        <v>45572</v>
      </c>
      <c r="F65" s="18" t="s">
        <v>611</v>
      </c>
      <c r="G65" t="s">
        <v>100</v>
      </c>
      <c r="H65">
        <v>3</v>
      </c>
      <c r="I65">
        <v>3</v>
      </c>
      <c r="J65" s="27">
        <v>39835.08</v>
      </c>
      <c r="K65" s="27">
        <v>3500000</v>
      </c>
    </row>
    <row r="66" spans="1:11" ht="12.75" customHeight="1" x14ac:dyDescent="0.2">
      <c r="A66" t="s">
        <v>6524</v>
      </c>
      <c r="B66" t="s">
        <v>6525</v>
      </c>
      <c r="C66">
        <v>2023</v>
      </c>
      <c r="D66" s="18">
        <v>45207</v>
      </c>
      <c r="E66" s="18">
        <v>45572</v>
      </c>
      <c r="F66" s="18" t="s">
        <v>611</v>
      </c>
      <c r="G66" t="s">
        <v>101</v>
      </c>
      <c r="H66">
        <v>1</v>
      </c>
      <c r="I66">
        <v>1</v>
      </c>
      <c r="J66" s="27">
        <v>50823.89</v>
      </c>
      <c r="K66" s="27">
        <v>3500000</v>
      </c>
    </row>
    <row r="67" spans="1:11" ht="12.75" customHeight="1" x14ac:dyDescent="0.2">
      <c r="A67" t="s">
        <v>6526</v>
      </c>
      <c r="B67" t="s">
        <v>6527</v>
      </c>
      <c r="C67">
        <v>2023</v>
      </c>
      <c r="D67" s="18">
        <v>45207</v>
      </c>
      <c r="E67" s="18">
        <v>45572</v>
      </c>
      <c r="F67" s="18" t="s">
        <v>611</v>
      </c>
      <c r="G67" t="s">
        <v>99</v>
      </c>
      <c r="H67">
        <v>1</v>
      </c>
      <c r="I67">
        <v>1</v>
      </c>
      <c r="J67" s="27">
        <v>13110.99</v>
      </c>
      <c r="K67" s="27">
        <v>2000000</v>
      </c>
    </row>
    <row r="68" spans="1:11" ht="12.75" customHeight="1" x14ac:dyDescent="0.2">
      <c r="A68" t="s">
        <v>6528</v>
      </c>
      <c r="B68" t="s">
        <v>6529</v>
      </c>
      <c r="C68">
        <v>2023</v>
      </c>
      <c r="D68" s="18">
        <v>45207</v>
      </c>
      <c r="E68" s="18">
        <v>45572</v>
      </c>
      <c r="F68" s="18" t="s">
        <v>611</v>
      </c>
      <c r="G68" t="s">
        <v>99</v>
      </c>
      <c r="H68">
        <v>1</v>
      </c>
      <c r="I68">
        <v>1</v>
      </c>
      <c r="J68" s="27">
        <v>38682.769999999997</v>
      </c>
      <c r="K68" s="27">
        <v>5000000</v>
      </c>
    </row>
    <row r="69" spans="1:11" ht="12.75" customHeight="1" x14ac:dyDescent="0.2">
      <c r="A69" t="s">
        <v>6530</v>
      </c>
      <c r="B69" t="s">
        <v>6531</v>
      </c>
      <c r="C69">
        <v>2023</v>
      </c>
      <c r="D69" s="18">
        <v>45207</v>
      </c>
      <c r="E69" s="18">
        <v>45572</v>
      </c>
      <c r="F69" s="18" t="s">
        <v>611</v>
      </c>
      <c r="G69" t="s">
        <v>100</v>
      </c>
      <c r="H69">
        <v>3</v>
      </c>
      <c r="I69">
        <v>6</v>
      </c>
      <c r="J69" s="27">
        <v>49166.9</v>
      </c>
      <c r="K69" s="27">
        <v>4000000</v>
      </c>
    </row>
    <row r="70" spans="1:11" ht="12.75" customHeight="1" x14ac:dyDescent="0.2">
      <c r="A70" t="s">
        <v>6532</v>
      </c>
      <c r="B70" t="s">
        <v>6533</v>
      </c>
      <c r="C70">
        <v>2023</v>
      </c>
      <c r="D70" s="18">
        <v>45208</v>
      </c>
      <c r="E70" s="18">
        <v>45573</v>
      </c>
      <c r="F70" s="18" t="s">
        <v>608</v>
      </c>
      <c r="G70" t="s">
        <v>99</v>
      </c>
      <c r="H70">
        <v>3</v>
      </c>
      <c r="I70">
        <v>6</v>
      </c>
      <c r="J70" s="27">
        <v>27054.07</v>
      </c>
      <c r="K70" s="27">
        <v>3500000</v>
      </c>
    </row>
    <row r="71" spans="1:11" ht="12.75" customHeight="1" x14ac:dyDescent="0.2">
      <c r="A71" t="s">
        <v>6534</v>
      </c>
      <c r="B71" t="s">
        <v>6535</v>
      </c>
      <c r="C71">
        <v>2023</v>
      </c>
      <c r="D71" s="18">
        <v>45208</v>
      </c>
      <c r="E71" s="18">
        <v>45573</v>
      </c>
      <c r="F71" s="18" t="s">
        <v>611</v>
      </c>
      <c r="G71" t="s">
        <v>102</v>
      </c>
      <c r="H71">
        <v>2</v>
      </c>
      <c r="I71">
        <v>2</v>
      </c>
      <c r="J71" s="27">
        <v>7933.37</v>
      </c>
      <c r="K71" s="27">
        <v>1000000</v>
      </c>
    </row>
    <row r="72" spans="1:11" ht="12.75" customHeight="1" x14ac:dyDescent="0.2">
      <c r="A72" t="s">
        <v>6536</v>
      </c>
      <c r="B72" t="s">
        <v>6537</v>
      </c>
      <c r="C72">
        <v>2023</v>
      </c>
      <c r="D72" s="18">
        <v>45208</v>
      </c>
      <c r="E72" s="18">
        <v>45573</v>
      </c>
      <c r="F72" s="18" t="s">
        <v>611</v>
      </c>
      <c r="G72" t="s">
        <v>102</v>
      </c>
      <c r="H72">
        <v>1</v>
      </c>
      <c r="I72">
        <v>1</v>
      </c>
      <c r="J72" s="27">
        <v>8337.4699999999993</v>
      </c>
      <c r="K72" s="27">
        <v>1000000</v>
      </c>
    </row>
    <row r="73" spans="1:11" ht="12.75" customHeight="1" x14ac:dyDescent="0.2">
      <c r="A73" t="s">
        <v>6538</v>
      </c>
      <c r="B73" t="s">
        <v>6539</v>
      </c>
      <c r="C73">
        <v>2023</v>
      </c>
      <c r="D73" s="18">
        <v>45208</v>
      </c>
      <c r="E73" s="18">
        <v>45573</v>
      </c>
      <c r="F73" s="18" t="s">
        <v>611</v>
      </c>
      <c r="G73" t="s">
        <v>100</v>
      </c>
      <c r="H73">
        <v>1</v>
      </c>
      <c r="I73">
        <v>2</v>
      </c>
      <c r="J73" s="27">
        <v>49548.62</v>
      </c>
      <c r="K73" s="27">
        <v>4000000</v>
      </c>
    </row>
    <row r="74" spans="1:11" ht="12.75" customHeight="1" x14ac:dyDescent="0.2">
      <c r="A74" t="s">
        <v>6540</v>
      </c>
      <c r="B74" t="s">
        <v>6541</v>
      </c>
      <c r="C74">
        <v>2023</v>
      </c>
      <c r="D74" s="18">
        <v>45208</v>
      </c>
      <c r="E74" s="18">
        <v>45573</v>
      </c>
      <c r="F74" s="18" t="s">
        <v>611</v>
      </c>
      <c r="G74" t="s">
        <v>99</v>
      </c>
      <c r="H74">
        <v>3</v>
      </c>
      <c r="I74">
        <v>3</v>
      </c>
      <c r="J74" s="27">
        <v>75975.679999999993</v>
      </c>
      <c r="K74" s="27">
        <v>10000000</v>
      </c>
    </row>
    <row r="75" spans="1:11" ht="12.75" customHeight="1" x14ac:dyDescent="0.2">
      <c r="A75" t="s">
        <v>6542</v>
      </c>
      <c r="B75" t="s">
        <v>6543</v>
      </c>
      <c r="C75">
        <v>2023</v>
      </c>
      <c r="D75" s="18">
        <v>45209</v>
      </c>
      <c r="E75" s="18">
        <v>45574</v>
      </c>
      <c r="F75" s="18" t="s">
        <v>608</v>
      </c>
      <c r="G75" t="s">
        <v>101</v>
      </c>
      <c r="H75">
        <v>2</v>
      </c>
      <c r="I75">
        <v>2</v>
      </c>
      <c r="J75" s="27">
        <v>51561.48</v>
      </c>
      <c r="K75" s="27">
        <v>3000000</v>
      </c>
    </row>
    <row r="76" spans="1:11" ht="12.75" customHeight="1" x14ac:dyDescent="0.2">
      <c r="A76" t="s">
        <v>6544</v>
      </c>
      <c r="B76" t="s">
        <v>6545</v>
      </c>
      <c r="C76">
        <v>2023</v>
      </c>
      <c r="D76" s="18">
        <v>45209</v>
      </c>
      <c r="E76" s="18">
        <v>45574</v>
      </c>
      <c r="F76" s="18" t="s">
        <v>608</v>
      </c>
      <c r="G76" t="s">
        <v>101</v>
      </c>
      <c r="H76">
        <v>1</v>
      </c>
      <c r="I76">
        <v>1</v>
      </c>
      <c r="J76" s="27">
        <v>78220.25</v>
      </c>
      <c r="K76" s="27">
        <v>5000000</v>
      </c>
    </row>
    <row r="77" spans="1:11" ht="12.75" customHeight="1" x14ac:dyDescent="0.2">
      <c r="A77" t="s">
        <v>6546</v>
      </c>
      <c r="B77" t="s">
        <v>6547</v>
      </c>
      <c r="C77">
        <v>2023</v>
      </c>
      <c r="D77" s="18">
        <v>45209</v>
      </c>
      <c r="E77" s="18">
        <v>45574</v>
      </c>
      <c r="F77" s="18" t="s">
        <v>611</v>
      </c>
      <c r="G77" t="s">
        <v>99</v>
      </c>
      <c r="H77">
        <v>1</v>
      </c>
      <c r="I77">
        <v>2</v>
      </c>
      <c r="J77" s="27">
        <v>13077.21</v>
      </c>
      <c r="K77" s="27">
        <v>2000000</v>
      </c>
    </row>
    <row r="78" spans="1:11" ht="12.75" customHeight="1" x14ac:dyDescent="0.2">
      <c r="A78" t="s">
        <v>6548</v>
      </c>
      <c r="B78" t="s">
        <v>6549</v>
      </c>
      <c r="C78">
        <v>2023</v>
      </c>
      <c r="D78" s="18">
        <v>45209</v>
      </c>
      <c r="E78" s="18">
        <v>45574</v>
      </c>
      <c r="F78" s="18" t="s">
        <v>611</v>
      </c>
      <c r="G78" t="s">
        <v>99</v>
      </c>
      <c r="H78">
        <v>2</v>
      </c>
      <c r="I78">
        <v>2</v>
      </c>
      <c r="J78" s="27">
        <v>15349.47</v>
      </c>
      <c r="K78" s="27">
        <v>2000000</v>
      </c>
    </row>
    <row r="79" spans="1:11" ht="12.75" customHeight="1" x14ac:dyDescent="0.2">
      <c r="A79" t="s">
        <v>6550</v>
      </c>
      <c r="B79" t="s">
        <v>6551</v>
      </c>
      <c r="C79">
        <v>2023</v>
      </c>
      <c r="D79" s="18">
        <v>45209</v>
      </c>
      <c r="E79" s="18">
        <v>45574</v>
      </c>
      <c r="F79" s="18" t="s">
        <v>611</v>
      </c>
      <c r="G79" t="s">
        <v>101</v>
      </c>
      <c r="H79">
        <v>1</v>
      </c>
      <c r="I79">
        <v>2</v>
      </c>
      <c r="J79" s="27">
        <v>70159.48</v>
      </c>
      <c r="K79" s="27">
        <v>4500000</v>
      </c>
    </row>
    <row r="80" spans="1:11" ht="12.75" customHeight="1" x14ac:dyDescent="0.2">
      <c r="A80" t="s">
        <v>6552</v>
      </c>
      <c r="B80" t="s">
        <v>6553</v>
      </c>
      <c r="C80">
        <v>2023</v>
      </c>
      <c r="D80" s="18">
        <v>45209</v>
      </c>
      <c r="E80" s="18">
        <v>45574</v>
      </c>
      <c r="F80" s="18" t="s">
        <v>611</v>
      </c>
      <c r="G80" t="s">
        <v>102</v>
      </c>
      <c r="H80">
        <v>2</v>
      </c>
      <c r="I80">
        <v>4</v>
      </c>
      <c r="J80" s="27">
        <v>29221.21</v>
      </c>
      <c r="K80" s="27">
        <v>4000000</v>
      </c>
    </row>
    <row r="81" spans="1:11" ht="12.75" customHeight="1" x14ac:dyDescent="0.2">
      <c r="A81" t="s">
        <v>6554</v>
      </c>
      <c r="B81" t="s">
        <v>6555</v>
      </c>
      <c r="C81">
        <v>2023</v>
      </c>
      <c r="D81" s="18">
        <v>45209</v>
      </c>
      <c r="E81" s="18">
        <v>45574</v>
      </c>
      <c r="F81" s="18" t="s">
        <v>611</v>
      </c>
      <c r="G81" t="s">
        <v>100</v>
      </c>
      <c r="H81">
        <v>1</v>
      </c>
      <c r="I81">
        <v>2</v>
      </c>
      <c r="J81" s="27">
        <v>23756.38</v>
      </c>
      <c r="K81" s="27">
        <v>2000000</v>
      </c>
    </row>
    <row r="82" spans="1:11" ht="12.75" customHeight="1" x14ac:dyDescent="0.2">
      <c r="A82" t="s">
        <v>6556</v>
      </c>
      <c r="B82" t="s">
        <v>6557</v>
      </c>
      <c r="C82">
        <v>2023</v>
      </c>
      <c r="D82" s="18">
        <v>45209</v>
      </c>
      <c r="E82" s="18">
        <v>45574</v>
      </c>
      <c r="F82" s="18" t="s">
        <v>611</v>
      </c>
      <c r="G82" t="s">
        <v>102</v>
      </c>
      <c r="H82">
        <v>1</v>
      </c>
      <c r="I82">
        <v>2</v>
      </c>
      <c r="J82" s="27">
        <v>11095.91</v>
      </c>
      <c r="K82" s="27">
        <v>1500000</v>
      </c>
    </row>
    <row r="83" spans="1:11" ht="12.75" customHeight="1" x14ac:dyDescent="0.2">
      <c r="A83" t="s">
        <v>6558</v>
      </c>
      <c r="B83" t="s">
        <v>6559</v>
      </c>
      <c r="C83">
        <v>2023</v>
      </c>
      <c r="D83" s="18">
        <v>45210</v>
      </c>
      <c r="E83" s="18">
        <v>45575</v>
      </c>
      <c r="F83" s="18" t="s">
        <v>608</v>
      </c>
      <c r="G83" t="s">
        <v>102</v>
      </c>
      <c r="H83">
        <v>1</v>
      </c>
      <c r="I83">
        <v>1</v>
      </c>
      <c r="J83" s="27">
        <v>24593.42</v>
      </c>
      <c r="K83" s="27">
        <v>3000000</v>
      </c>
    </row>
    <row r="84" spans="1:11" ht="12.75" customHeight="1" x14ac:dyDescent="0.2">
      <c r="A84" t="s">
        <v>6560</v>
      </c>
      <c r="B84" t="s">
        <v>6561</v>
      </c>
      <c r="C84">
        <v>2023</v>
      </c>
      <c r="D84" s="18">
        <v>45210</v>
      </c>
      <c r="E84" s="18">
        <v>45575</v>
      </c>
      <c r="F84" s="18" t="s">
        <v>611</v>
      </c>
      <c r="G84" t="s">
        <v>100</v>
      </c>
      <c r="H84">
        <v>2</v>
      </c>
      <c r="I84">
        <v>2</v>
      </c>
      <c r="J84" s="27">
        <v>124874.47</v>
      </c>
      <c r="K84" s="27">
        <v>10000000</v>
      </c>
    </row>
    <row r="85" spans="1:11" ht="12.75" customHeight="1" x14ac:dyDescent="0.2">
      <c r="A85" t="s">
        <v>6562</v>
      </c>
      <c r="B85" t="s">
        <v>6563</v>
      </c>
      <c r="C85">
        <v>2023</v>
      </c>
      <c r="D85" s="18">
        <v>45210</v>
      </c>
      <c r="E85" s="18">
        <v>45575</v>
      </c>
      <c r="F85" s="18" t="s">
        <v>611</v>
      </c>
      <c r="G85" t="s">
        <v>99</v>
      </c>
      <c r="H85">
        <v>1</v>
      </c>
      <c r="I85">
        <v>2</v>
      </c>
      <c r="J85" s="27">
        <v>77273.67</v>
      </c>
      <c r="K85" s="27">
        <v>10000000</v>
      </c>
    </row>
    <row r="86" spans="1:11" ht="12.75" customHeight="1" x14ac:dyDescent="0.2">
      <c r="A86" t="s">
        <v>6564</v>
      </c>
      <c r="B86" t="s">
        <v>6565</v>
      </c>
      <c r="C86">
        <v>2023</v>
      </c>
      <c r="D86" s="18">
        <v>45210</v>
      </c>
      <c r="E86" s="18">
        <v>45575</v>
      </c>
      <c r="F86" s="18" t="s">
        <v>611</v>
      </c>
      <c r="G86" t="s">
        <v>99</v>
      </c>
      <c r="H86">
        <v>2</v>
      </c>
      <c r="I86">
        <v>4</v>
      </c>
      <c r="J86" s="27">
        <v>3756.81</v>
      </c>
      <c r="K86" s="27">
        <v>500000</v>
      </c>
    </row>
    <row r="87" spans="1:11" ht="12.75" customHeight="1" x14ac:dyDescent="0.2">
      <c r="A87" t="s">
        <v>6566</v>
      </c>
      <c r="B87" t="s">
        <v>6567</v>
      </c>
      <c r="C87">
        <v>2023</v>
      </c>
      <c r="D87" s="18">
        <v>45211</v>
      </c>
      <c r="E87" s="18">
        <v>45576</v>
      </c>
      <c r="F87" s="18" t="s">
        <v>608</v>
      </c>
      <c r="G87" t="s">
        <v>102</v>
      </c>
      <c r="H87">
        <v>3</v>
      </c>
      <c r="I87">
        <v>6</v>
      </c>
      <c r="J87" s="27">
        <v>35711.760000000002</v>
      </c>
      <c r="K87" s="27">
        <v>5000000</v>
      </c>
    </row>
    <row r="88" spans="1:11" ht="12.75" customHeight="1" x14ac:dyDescent="0.2">
      <c r="A88" t="s">
        <v>6568</v>
      </c>
      <c r="B88" t="s">
        <v>6569</v>
      </c>
      <c r="C88">
        <v>2023</v>
      </c>
      <c r="D88" s="18">
        <v>45211</v>
      </c>
      <c r="E88" s="18">
        <v>45576</v>
      </c>
      <c r="F88" s="18" t="s">
        <v>611</v>
      </c>
      <c r="G88" t="s">
        <v>99</v>
      </c>
      <c r="H88">
        <v>2</v>
      </c>
      <c r="I88">
        <v>2</v>
      </c>
      <c r="J88" s="27">
        <v>70759.100000000006</v>
      </c>
      <c r="K88" s="27">
        <v>10000000</v>
      </c>
    </row>
    <row r="89" spans="1:11" ht="12.75" customHeight="1" x14ac:dyDescent="0.2">
      <c r="A89" t="s">
        <v>6570</v>
      </c>
      <c r="B89" t="s">
        <v>6571</v>
      </c>
      <c r="C89">
        <v>2023</v>
      </c>
      <c r="D89" s="18">
        <v>45211</v>
      </c>
      <c r="E89" s="18">
        <v>45576</v>
      </c>
      <c r="F89" s="18" t="s">
        <v>611</v>
      </c>
      <c r="G89" t="s">
        <v>99</v>
      </c>
      <c r="H89">
        <v>1</v>
      </c>
      <c r="I89">
        <v>2</v>
      </c>
      <c r="J89" s="27">
        <v>15684.05</v>
      </c>
      <c r="K89" s="27">
        <v>2000000</v>
      </c>
    </row>
    <row r="90" spans="1:11" ht="12.75" customHeight="1" x14ac:dyDescent="0.2">
      <c r="A90" t="s">
        <v>6572</v>
      </c>
      <c r="B90" t="s">
        <v>6573</v>
      </c>
      <c r="C90">
        <v>2023</v>
      </c>
      <c r="D90" s="18">
        <v>45211</v>
      </c>
      <c r="E90" s="18">
        <v>45576</v>
      </c>
      <c r="F90" s="18" t="s">
        <v>611</v>
      </c>
      <c r="G90" t="s">
        <v>101</v>
      </c>
      <c r="H90">
        <v>2</v>
      </c>
      <c r="I90">
        <v>4</v>
      </c>
      <c r="J90" s="27">
        <v>71149.259999999995</v>
      </c>
      <c r="K90" s="27">
        <v>5000000</v>
      </c>
    </row>
    <row r="91" spans="1:11" ht="12.75" customHeight="1" x14ac:dyDescent="0.2">
      <c r="A91" t="s">
        <v>6574</v>
      </c>
      <c r="B91" t="s">
        <v>6575</v>
      </c>
      <c r="C91">
        <v>2023</v>
      </c>
      <c r="D91" s="18">
        <v>45211</v>
      </c>
      <c r="E91" s="18">
        <v>45576</v>
      </c>
      <c r="F91" s="18" t="s">
        <v>611</v>
      </c>
      <c r="G91" t="s">
        <v>100</v>
      </c>
      <c r="H91">
        <v>1</v>
      </c>
      <c r="I91">
        <v>1</v>
      </c>
      <c r="J91" s="27">
        <v>5222.88</v>
      </c>
      <c r="K91" s="27">
        <v>500000</v>
      </c>
    </row>
    <row r="92" spans="1:11" ht="12.75" customHeight="1" x14ac:dyDescent="0.2">
      <c r="A92" t="s">
        <v>6576</v>
      </c>
      <c r="B92" t="s">
        <v>6577</v>
      </c>
      <c r="C92">
        <v>2023</v>
      </c>
      <c r="D92" s="18">
        <v>45211</v>
      </c>
      <c r="E92" s="18">
        <v>45576</v>
      </c>
      <c r="F92" s="18" t="s">
        <v>611</v>
      </c>
      <c r="G92" t="s">
        <v>100</v>
      </c>
      <c r="H92">
        <v>1</v>
      </c>
      <c r="I92">
        <v>2</v>
      </c>
      <c r="J92" s="27">
        <v>49512.08</v>
      </c>
      <c r="K92" s="27">
        <v>4000000</v>
      </c>
    </row>
    <row r="93" spans="1:11" ht="12.75" customHeight="1" x14ac:dyDescent="0.2">
      <c r="A93" t="s">
        <v>6578</v>
      </c>
      <c r="B93" t="s">
        <v>6579</v>
      </c>
      <c r="C93">
        <v>2023</v>
      </c>
      <c r="D93" s="18">
        <v>45211</v>
      </c>
      <c r="E93" s="18">
        <v>45576</v>
      </c>
      <c r="F93" s="18" t="s">
        <v>611</v>
      </c>
      <c r="G93" t="s">
        <v>102</v>
      </c>
      <c r="H93">
        <v>3</v>
      </c>
      <c r="I93">
        <v>6</v>
      </c>
      <c r="J93" s="27">
        <v>16229.18</v>
      </c>
      <c r="K93" s="27">
        <v>2000000</v>
      </c>
    </row>
    <row r="94" spans="1:11" ht="12.75" customHeight="1" x14ac:dyDescent="0.2">
      <c r="A94" t="s">
        <v>6580</v>
      </c>
      <c r="B94" t="s">
        <v>6581</v>
      </c>
      <c r="C94">
        <v>2023</v>
      </c>
      <c r="D94" s="18">
        <v>45212</v>
      </c>
      <c r="E94" s="18">
        <v>45577</v>
      </c>
      <c r="F94" s="18" t="s">
        <v>611</v>
      </c>
      <c r="G94" t="s">
        <v>101</v>
      </c>
      <c r="H94">
        <v>1</v>
      </c>
      <c r="I94">
        <v>1</v>
      </c>
      <c r="J94" s="27">
        <v>39707.519999999997</v>
      </c>
      <c r="K94" s="27">
        <v>2500000</v>
      </c>
    </row>
    <row r="95" spans="1:11" ht="12.75" customHeight="1" x14ac:dyDescent="0.2">
      <c r="A95" t="s">
        <v>6582</v>
      </c>
      <c r="B95" t="s">
        <v>6583</v>
      </c>
      <c r="C95">
        <v>2023</v>
      </c>
      <c r="D95" s="18">
        <v>45212</v>
      </c>
      <c r="E95" s="18">
        <v>45577</v>
      </c>
      <c r="F95" s="18" t="s">
        <v>611</v>
      </c>
      <c r="G95" t="s">
        <v>100</v>
      </c>
      <c r="H95">
        <v>1</v>
      </c>
      <c r="I95">
        <v>1</v>
      </c>
      <c r="J95" s="27">
        <v>42922.33</v>
      </c>
      <c r="K95" s="27">
        <v>4000000</v>
      </c>
    </row>
    <row r="96" spans="1:11" ht="12.75" customHeight="1" x14ac:dyDescent="0.2">
      <c r="A96" t="s">
        <v>6584</v>
      </c>
      <c r="B96" t="s">
        <v>6585</v>
      </c>
      <c r="C96">
        <v>2023</v>
      </c>
      <c r="D96" s="18">
        <v>45212</v>
      </c>
      <c r="E96" s="18">
        <v>45577</v>
      </c>
      <c r="F96" s="18" t="s">
        <v>611</v>
      </c>
      <c r="G96" t="s">
        <v>101</v>
      </c>
      <c r="H96">
        <v>2</v>
      </c>
      <c r="I96">
        <v>4</v>
      </c>
      <c r="J96" s="27">
        <v>72841.5</v>
      </c>
      <c r="K96" s="27">
        <v>4500000</v>
      </c>
    </row>
    <row r="97" spans="1:11" ht="12.75" customHeight="1" x14ac:dyDescent="0.2">
      <c r="A97" t="s">
        <v>6586</v>
      </c>
      <c r="B97" t="s">
        <v>6587</v>
      </c>
      <c r="C97">
        <v>2023</v>
      </c>
      <c r="D97" s="18">
        <v>45212</v>
      </c>
      <c r="E97" s="18">
        <v>45577</v>
      </c>
      <c r="F97" s="18" t="s">
        <v>611</v>
      </c>
      <c r="G97" t="s">
        <v>99</v>
      </c>
      <c r="H97">
        <v>2</v>
      </c>
      <c r="I97">
        <v>4</v>
      </c>
      <c r="J97" s="27">
        <v>23175.85</v>
      </c>
      <c r="K97" s="27">
        <v>3500000</v>
      </c>
    </row>
    <row r="98" spans="1:11" ht="12.75" customHeight="1" x14ac:dyDescent="0.2">
      <c r="A98" t="s">
        <v>6588</v>
      </c>
      <c r="B98" t="s">
        <v>6589</v>
      </c>
      <c r="C98">
        <v>2023</v>
      </c>
      <c r="D98" s="18">
        <v>45212</v>
      </c>
      <c r="E98" s="18">
        <v>45577</v>
      </c>
      <c r="F98" s="18" t="s">
        <v>611</v>
      </c>
      <c r="G98" t="s">
        <v>100</v>
      </c>
      <c r="H98">
        <v>1</v>
      </c>
      <c r="I98">
        <v>1</v>
      </c>
      <c r="J98" s="27">
        <v>22083.040000000001</v>
      </c>
      <c r="K98" s="27">
        <v>2000000</v>
      </c>
    </row>
    <row r="99" spans="1:11" ht="12.75" customHeight="1" x14ac:dyDescent="0.2">
      <c r="A99" t="s">
        <v>6590</v>
      </c>
      <c r="B99" t="s">
        <v>6591</v>
      </c>
      <c r="C99">
        <v>2023</v>
      </c>
      <c r="D99" s="18">
        <v>45212</v>
      </c>
      <c r="E99" s="18">
        <v>45577</v>
      </c>
      <c r="F99" s="18" t="s">
        <v>611</v>
      </c>
      <c r="G99" t="s">
        <v>101</v>
      </c>
      <c r="H99">
        <v>2</v>
      </c>
      <c r="I99">
        <v>2</v>
      </c>
      <c r="J99" s="27">
        <v>29932.69</v>
      </c>
      <c r="K99" s="27">
        <v>2000000</v>
      </c>
    </row>
    <row r="100" spans="1:11" ht="12.75" customHeight="1" x14ac:dyDescent="0.2">
      <c r="A100" t="s">
        <v>6592</v>
      </c>
      <c r="B100" t="s">
        <v>6593</v>
      </c>
      <c r="C100">
        <v>2023</v>
      </c>
      <c r="D100" s="18">
        <v>45212</v>
      </c>
      <c r="E100" s="18">
        <v>45577</v>
      </c>
      <c r="F100" s="18" t="s">
        <v>611</v>
      </c>
      <c r="G100" t="s">
        <v>99</v>
      </c>
      <c r="H100">
        <v>1</v>
      </c>
      <c r="I100">
        <v>2</v>
      </c>
      <c r="J100" s="27">
        <v>13602.98</v>
      </c>
      <c r="K100" s="27">
        <v>2000000</v>
      </c>
    </row>
    <row r="101" spans="1:11" ht="12.75" customHeight="1" x14ac:dyDescent="0.2">
      <c r="A101" t="s">
        <v>6594</v>
      </c>
      <c r="B101" t="s">
        <v>6595</v>
      </c>
      <c r="C101">
        <v>2023</v>
      </c>
      <c r="D101" s="18">
        <v>45212</v>
      </c>
      <c r="E101" s="18">
        <v>45577</v>
      </c>
      <c r="F101" s="18" t="s">
        <v>611</v>
      </c>
      <c r="G101" t="s">
        <v>100</v>
      </c>
      <c r="H101">
        <v>1</v>
      </c>
      <c r="I101">
        <v>1</v>
      </c>
      <c r="J101" s="27">
        <v>18332.46</v>
      </c>
      <c r="K101" s="27">
        <v>1500000</v>
      </c>
    </row>
    <row r="102" spans="1:11" ht="12.75" customHeight="1" x14ac:dyDescent="0.2">
      <c r="A102" t="s">
        <v>6596</v>
      </c>
      <c r="B102" t="s">
        <v>6597</v>
      </c>
      <c r="C102">
        <v>2023</v>
      </c>
      <c r="D102" s="18">
        <v>45213</v>
      </c>
      <c r="E102" s="18">
        <v>45578</v>
      </c>
      <c r="F102" s="18" t="s">
        <v>611</v>
      </c>
      <c r="G102" t="s">
        <v>100</v>
      </c>
      <c r="H102">
        <v>1</v>
      </c>
      <c r="I102">
        <v>1</v>
      </c>
      <c r="J102" s="27">
        <v>28673.02</v>
      </c>
      <c r="K102" s="27">
        <v>2500000</v>
      </c>
    </row>
    <row r="103" spans="1:11" ht="12.75" customHeight="1" x14ac:dyDescent="0.2">
      <c r="A103" t="s">
        <v>6598</v>
      </c>
      <c r="B103" t="s">
        <v>6599</v>
      </c>
      <c r="C103">
        <v>2023</v>
      </c>
      <c r="D103" s="18">
        <v>45213</v>
      </c>
      <c r="E103" s="18">
        <v>45578</v>
      </c>
      <c r="F103" s="18" t="s">
        <v>611</v>
      </c>
      <c r="G103" t="s">
        <v>102</v>
      </c>
      <c r="H103">
        <v>3</v>
      </c>
      <c r="I103">
        <v>6</v>
      </c>
      <c r="J103" s="27">
        <v>80765.3</v>
      </c>
      <c r="K103" s="27">
        <v>10000000</v>
      </c>
    </row>
    <row r="104" spans="1:11" ht="12.75" customHeight="1" x14ac:dyDescent="0.2">
      <c r="A104" t="s">
        <v>6600</v>
      </c>
      <c r="B104" t="s">
        <v>6601</v>
      </c>
      <c r="C104">
        <v>2023</v>
      </c>
      <c r="D104" s="18">
        <v>45214</v>
      </c>
      <c r="E104" s="18">
        <v>45579</v>
      </c>
      <c r="F104" s="18" t="s">
        <v>608</v>
      </c>
      <c r="G104" t="s">
        <v>101</v>
      </c>
      <c r="H104">
        <v>1</v>
      </c>
      <c r="I104">
        <v>1</v>
      </c>
      <c r="J104" s="27">
        <v>14618.61</v>
      </c>
      <c r="K104" s="27">
        <v>1000000</v>
      </c>
    </row>
    <row r="105" spans="1:11" ht="12.75" customHeight="1" x14ac:dyDescent="0.2">
      <c r="A105" t="s">
        <v>6602</v>
      </c>
      <c r="B105" t="s">
        <v>6603</v>
      </c>
      <c r="C105">
        <v>2023</v>
      </c>
      <c r="D105" s="18">
        <v>45214</v>
      </c>
      <c r="E105" s="18">
        <v>45579</v>
      </c>
      <c r="F105" s="18" t="s">
        <v>611</v>
      </c>
      <c r="G105" t="s">
        <v>100</v>
      </c>
      <c r="H105">
        <v>2</v>
      </c>
      <c r="I105">
        <v>2</v>
      </c>
      <c r="J105" s="27">
        <v>22216.45</v>
      </c>
      <c r="K105" s="27">
        <v>2000000</v>
      </c>
    </row>
    <row r="106" spans="1:11" ht="12.75" customHeight="1" x14ac:dyDescent="0.2">
      <c r="A106" t="s">
        <v>6604</v>
      </c>
      <c r="B106" t="s">
        <v>6605</v>
      </c>
      <c r="C106">
        <v>2023</v>
      </c>
      <c r="D106" s="18">
        <v>45214</v>
      </c>
      <c r="E106" s="18">
        <v>45579</v>
      </c>
      <c r="F106" s="18" t="s">
        <v>611</v>
      </c>
      <c r="G106" t="s">
        <v>101</v>
      </c>
      <c r="H106">
        <v>2</v>
      </c>
      <c r="I106">
        <v>2</v>
      </c>
      <c r="J106" s="27">
        <v>47143.71</v>
      </c>
      <c r="K106" s="27">
        <v>3000000</v>
      </c>
    </row>
    <row r="107" spans="1:11" ht="12.75" customHeight="1" x14ac:dyDescent="0.2">
      <c r="A107" t="s">
        <v>6606</v>
      </c>
      <c r="B107" t="s">
        <v>6607</v>
      </c>
      <c r="C107">
        <v>2023</v>
      </c>
      <c r="D107" s="18">
        <v>45214</v>
      </c>
      <c r="E107" s="18">
        <v>45579</v>
      </c>
      <c r="F107" s="18" t="s">
        <v>611</v>
      </c>
      <c r="G107" t="s">
        <v>101</v>
      </c>
      <c r="H107">
        <v>3</v>
      </c>
      <c r="I107">
        <v>3</v>
      </c>
      <c r="J107" s="27">
        <v>17016.13</v>
      </c>
      <c r="K107" s="27">
        <v>1000000</v>
      </c>
    </row>
    <row r="108" spans="1:11" ht="12.75" customHeight="1" x14ac:dyDescent="0.2">
      <c r="A108" t="s">
        <v>6608</v>
      </c>
      <c r="B108" t="s">
        <v>6609</v>
      </c>
      <c r="C108">
        <v>2023</v>
      </c>
      <c r="D108" s="18">
        <v>45214</v>
      </c>
      <c r="E108" s="18">
        <v>45579</v>
      </c>
      <c r="F108" s="18" t="s">
        <v>611</v>
      </c>
      <c r="G108" t="s">
        <v>99</v>
      </c>
      <c r="H108">
        <v>3</v>
      </c>
      <c r="I108">
        <v>3</v>
      </c>
      <c r="J108" s="27">
        <v>21777.72</v>
      </c>
      <c r="K108" s="27">
        <v>3000000</v>
      </c>
    </row>
    <row r="109" spans="1:11" ht="12.75" customHeight="1" x14ac:dyDescent="0.2">
      <c r="A109" t="s">
        <v>6610</v>
      </c>
      <c r="B109" t="s">
        <v>6611</v>
      </c>
      <c r="C109">
        <v>2023</v>
      </c>
      <c r="D109" s="18">
        <v>45214</v>
      </c>
      <c r="E109" s="18">
        <v>45579</v>
      </c>
      <c r="F109" s="18" t="s">
        <v>611</v>
      </c>
      <c r="G109" t="s">
        <v>101</v>
      </c>
      <c r="H109">
        <v>1</v>
      </c>
      <c r="I109">
        <v>1</v>
      </c>
      <c r="J109" s="27">
        <v>69507.17</v>
      </c>
      <c r="K109" s="27">
        <v>4500000</v>
      </c>
    </row>
    <row r="110" spans="1:11" ht="12.75" customHeight="1" x14ac:dyDescent="0.2">
      <c r="A110" t="s">
        <v>6612</v>
      </c>
      <c r="B110" t="s">
        <v>6613</v>
      </c>
      <c r="C110">
        <v>2023</v>
      </c>
      <c r="D110" s="18">
        <v>45215</v>
      </c>
      <c r="E110" s="18">
        <v>45580</v>
      </c>
      <c r="F110" s="18" t="s">
        <v>608</v>
      </c>
      <c r="G110" t="s">
        <v>102</v>
      </c>
      <c r="H110">
        <v>1</v>
      </c>
      <c r="I110">
        <v>1</v>
      </c>
      <c r="J110" s="27">
        <v>80324.14</v>
      </c>
      <c r="K110" s="27">
        <v>10000000</v>
      </c>
    </row>
    <row r="111" spans="1:11" ht="12.75" customHeight="1" x14ac:dyDescent="0.2">
      <c r="A111" t="s">
        <v>6614</v>
      </c>
      <c r="B111" t="s">
        <v>6615</v>
      </c>
      <c r="C111">
        <v>2023</v>
      </c>
      <c r="D111" s="18">
        <v>45215</v>
      </c>
      <c r="E111" s="18">
        <v>45580</v>
      </c>
      <c r="F111" s="18" t="s">
        <v>611</v>
      </c>
      <c r="G111" t="s">
        <v>101</v>
      </c>
      <c r="H111">
        <v>2</v>
      </c>
      <c r="I111">
        <v>2</v>
      </c>
      <c r="J111" s="27">
        <v>58084.74</v>
      </c>
      <c r="K111" s="27">
        <v>4000000</v>
      </c>
    </row>
    <row r="112" spans="1:11" ht="12.75" customHeight="1" x14ac:dyDescent="0.2">
      <c r="A112" t="s">
        <v>6616</v>
      </c>
      <c r="B112" t="s">
        <v>6617</v>
      </c>
      <c r="C112">
        <v>2023</v>
      </c>
      <c r="D112" s="18">
        <v>45215</v>
      </c>
      <c r="E112" s="18">
        <v>45580</v>
      </c>
      <c r="F112" s="18" t="s">
        <v>611</v>
      </c>
      <c r="G112" t="s">
        <v>100</v>
      </c>
      <c r="H112">
        <v>3</v>
      </c>
      <c r="I112">
        <v>3</v>
      </c>
      <c r="J112" s="27">
        <v>41511.46</v>
      </c>
      <c r="K112" s="27">
        <v>4000000</v>
      </c>
    </row>
    <row r="113" spans="1:11" ht="12.75" customHeight="1" x14ac:dyDescent="0.2">
      <c r="A113" t="s">
        <v>6618</v>
      </c>
      <c r="B113" t="s">
        <v>6619</v>
      </c>
      <c r="C113">
        <v>2023</v>
      </c>
      <c r="D113" s="18">
        <v>45215</v>
      </c>
      <c r="E113" s="18">
        <v>45580</v>
      </c>
      <c r="F113" s="18" t="s">
        <v>611</v>
      </c>
      <c r="G113" t="s">
        <v>100</v>
      </c>
      <c r="H113">
        <v>2</v>
      </c>
      <c r="I113">
        <v>4</v>
      </c>
      <c r="J113" s="27">
        <v>23657.63</v>
      </c>
      <c r="K113" s="27">
        <v>2000000</v>
      </c>
    </row>
    <row r="114" spans="1:11" ht="12.75" customHeight="1" x14ac:dyDescent="0.2">
      <c r="A114" t="s">
        <v>6620</v>
      </c>
      <c r="B114" t="s">
        <v>6621</v>
      </c>
      <c r="C114">
        <v>2023</v>
      </c>
      <c r="D114" s="18">
        <v>45215</v>
      </c>
      <c r="E114" s="18">
        <v>45580</v>
      </c>
      <c r="F114" s="18" t="s">
        <v>611</v>
      </c>
      <c r="G114" t="s">
        <v>99</v>
      </c>
      <c r="H114">
        <v>1</v>
      </c>
      <c r="I114">
        <v>1</v>
      </c>
      <c r="J114" s="27">
        <v>7579.13</v>
      </c>
      <c r="K114" s="27">
        <v>1000000</v>
      </c>
    </row>
    <row r="115" spans="1:11" ht="12.75" customHeight="1" x14ac:dyDescent="0.2">
      <c r="A115" t="s">
        <v>6622</v>
      </c>
      <c r="B115" t="s">
        <v>6623</v>
      </c>
      <c r="C115">
        <v>2023</v>
      </c>
      <c r="D115" s="18">
        <v>45216</v>
      </c>
      <c r="E115" s="18">
        <v>45581</v>
      </c>
      <c r="F115" s="18" t="s">
        <v>608</v>
      </c>
      <c r="G115" t="s">
        <v>100</v>
      </c>
      <c r="H115">
        <v>1</v>
      </c>
      <c r="I115">
        <v>1</v>
      </c>
      <c r="J115" s="27">
        <v>11680.31</v>
      </c>
      <c r="K115" s="27">
        <v>1000000</v>
      </c>
    </row>
    <row r="116" spans="1:11" ht="12.75" customHeight="1" x14ac:dyDescent="0.2">
      <c r="A116" t="s">
        <v>6624</v>
      </c>
      <c r="B116" t="s">
        <v>6625</v>
      </c>
      <c r="C116">
        <v>2023</v>
      </c>
      <c r="D116" s="18">
        <v>45216</v>
      </c>
      <c r="E116" s="18">
        <v>45581</v>
      </c>
      <c r="F116" s="18" t="s">
        <v>611</v>
      </c>
      <c r="G116" t="s">
        <v>102</v>
      </c>
      <c r="H116">
        <v>3</v>
      </c>
      <c r="I116">
        <v>6</v>
      </c>
      <c r="J116" s="27">
        <v>40219.74</v>
      </c>
      <c r="K116" s="27">
        <v>5000000</v>
      </c>
    </row>
    <row r="117" spans="1:11" ht="12.75" customHeight="1" x14ac:dyDescent="0.2">
      <c r="A117" t="s">
        <v>6626</v>
      </c>
      <c r="B117" t="s">
        <v>6627</v>
      </c>
      <c r="C117">
        <v>2023</v>
      </c>
      <c r="D117" s="18">
        <v>45216</v>
      </c>
      <c r="E117" s="18">
        <v>45581</v>
      </c>
      <c r="F117" s="18" t="s">
        <v>611</v>
      </c>
      <c r="G117" t="s">
        <v>101</v>
      </c>
      <c r="H117">
        <v>1</v>
      </c>
      <c r="I117">
        <v>1</v>
      </c>
      <c r="J117" s="27">
        <v>30777.72</v>
      </c>
      <c r="K117" s="27">
        <v>2000000</v>
      </c>
    </row>
    <row r="118" spans="1:11" ht="12.75" customHeight="1" x14ac:dyDescent="0.2">
      <c r="A118" t="s">
        <v>6628</v>
      </c>
      <c r="B118" t="s">
        <v>6629</v>
      </c>
      <c r="C118">
        <v>2023</v>
      </c>
      <c r="D118" s="18">
        <v>45216</v>
      </c>
      <c r="E118" s="18">
        <v>45581</v>
      </c>
      <c r="F118" s="18" t="s">
        <v>611</v>
      </c>
      <c r="G118" t="s">
        <v>100</v>
      </c>
      <c r="H118">
        <v>1</v>
      </c>
      <c r="I118">
        <v>1</v>
      </c>
      <c r="J118" s="27">
        <v>33281.96</v>
      </c>
      <c r="K118" s="27">
        <v>3000000</v>
      </c>
    </row>
    <row r="119" spans="1:11" ht="12.75" customHeight="1" x14ac:dyDescent="0.2">
      <c r="A119" t="s">
        <v>6630</v>
      </c>
      <c r="B119" t="s">
        <v>6631</v>
      </c>
      <c r="C119">
        <v>2023</v>
      </c>
      <c r="D119" s="18">
        <v>45216</v>
      </c>
      <c r="E119" s="18">
        <v>45581</v>
      </c>
      <c r="F119" s="18" t="s">
        <v>611</v>
      </c>
      <c r="G119" t="s">
        <v>102</v>
      </c>
      <c r="H119">
        <v>3</v>
      </c>
      <c r="I119">
        <v>6</v>
      </c>
      <c r="J119" s="27">
        <v>40729.449999999997</v>
      </c>
      <c r="K119" s="27">
        <v>5000000</v>
      </c>
    </row>
    <row r="120" spans="1:11" ht="12.75" customHeight="1" x14ac:dyDescent="0.2">
      <c r="A120" t="s">
        <v>6632</v>
      </c>
      <c r="B120" t="s">
        <v>6633</v>
      </c>
      <c r="C120">
        <v>2023</v>
      </c>
      <c r="D120" s="18">
        <v>45216</v>
      </c>
      <c r="E120" s="18">
        <v>45581</v>
      </c>
      <c r="F120" s="18" t="s">
        <v>611</v>
      </c>
      <c r="G120" t="s">
        <v>100</v>
      </c>
      <c r="H120">
        <v>1</v>
      </c>
      <c r="I120">
        <v>1</v>
      </c>
      <c r="J120" s="27">
        <v>24455.4</v>
      </c>
      <c r="K120" s="27">
        <v>2000000</v>
      </c>
    </row>
    <row r="121" spans="1:11" ht="12.75" customHeight="1" x14ac:dyDescent="0.2">
      <c r="A121" t="s">
        <v>6634</v>
      </c>
      <c r="B121" t="s">
        <v>6635</v>
      </c>
      <c r="C121">
        <v>2023</v>
      </c>
      <c r="D121" s="18">
        <v>45217</v>
      </c>
      <c r="E121" s="18">
        <v>45582</v>
      </c>
      <c r="F121" s="18" t="s">
        <v>608</v>
      </c>
      <c r="G121" t="s">
        <v>99</v>
      </c>
      <c r="H121">
        <v>1</v>
      </c>
      <c r="I121">
        <v>2</v>
      </c>
      <c r="J121" s="27">
        <v>22726.17</v>
      </c>
      <c r="K121" s="27">
        <v>3000000</v>
      </c>
    </row>
    <row r="122" spans="1:11" ht="12.75" customHeight="1" x14ac:dyDescent="0.2">
      <c r="A122" t="s">
        <v>6636</v>
      </c>
      <c r="B122" t="s">
        <v>6637</v>
      </c>
      <c r="C122">
        <v>2023</v>
      </c>
      <c r="D122" s="18">
        <v>45217</v>
      </c>
      <c r="E122" s="18">
        <v>45582</v>
      </c>
      <c r="F122" s="18" t="s">
        <v>608</v>
      </c>
      <c r="G122" t="s">
        <v>102</v>
      </c>
      <c r="H122">
        <v>2</v>
      </c>
      <c r="I122">
        <v>2</v>
      </c>
      <c r="J122" s="27">
        <v>37975.32</v>
      </c>
      <c r="K122" s="27">
        <v>5000000</v>
      </c>
    </row>
    <row r="123" spans="1:11" ht="12.75" customHeight="1" x14ac:dyDescent="0.2">
      <c r="A123" t="s">
        <v>6638</v>
      </c>
      <c r="B123" t="s">
        <v>6639</v>
      </c>
      <c r="C123">
        <v>2023</v>
      </c>
      <c r="D123" s="18">
        <v>45217</v>
      </c>
      <c r="E123" s="18">
        <v>45582</v>
      </c>
      <c r="F123" s="18" t="s">
        <v>611</v>
      </c>
      <c r="G123" t="s">
        <v>99</v>
      </c>
      <c r="H123">
        <v>1</v>
      </c>
      <c r="I123">
        <v>1</v>
      </c>
      <c r="J123" s="27">
        <v>3868.95</v>
      </c>
      <c r="K123" s="27">
        <v>500000</v>
      </c>
    </row>
    <row r="124" spans="1:11" ht="12.75" customHeight="1" x14ac:dyDescent="0.2">
      <c r="A124" t="s">
        <v>6640</v>
      </c>
      <c r="B124" t="s">
        <v>6641</v>
      </c>
      <c r="C124">
        <v>2023</v>
      </c>
      <c r="D124" s="18">
        <v>45217</v>
      </c>
      <c r="E124" s="18">
        <v>45582</v>
      </c>
      <c r="F124" s="18" t="s">
        <v>611</v>
      </c>
      <c r="G124" t="s">
        <v>100</v>
      </c>
      <c r="H124">
        <v>1</v>
      </c>
      <c r="I124">
        <v>1</v>
      </c>
      <c r="J124" s="27">
        <v>5401.98</v>
      </c>
      <c r="K124" s="27">
        <v>500000</v>
      </c>
    </row>
    <row r="125" spans="1:11" ht="12.75" customHeight="1" x14ac:dyDescent="0.2">
      <c r="A125" t="s">
        <v>6642</v>
      </c>
      <c r="B125" t="s">
        <v>6643</v>
      </c>
      <c r="C125">
        <v>2023</v>
      </c>
      <c r="D125" s="18">
        <v>45218</v>
      </c>
      <c r="E125" s="18">
        <v>45583</v>
      </c>
      <c r="F125" s="18" t="s">
        <v>608</v>
      </c>
      <c r="G125" t="s">
        <v>100</v>
      </c>
      <c r="H125">
        <v>3</v>
      </c>
      <c r="I125">
        <v>6</v>
      </c>
      <c r="J125" s="27">
        <v>48690.26</v>
      </c>
      <c r="K125" s="27">
        <v>4000000</v>
      </c>
    </row>
    <row r="126" spans="1:11" ht="12.75" customHeight="1" x14ac:dyDescent="0.2">
      <c r="A126" t="s">
        <v>6644</v>
      </c>
      <c r="B126" t="s">
        <v>6645</v>
      </c>
      <c r="C126">
        <v>2023</v>
      </c>
      <c r="D126" s="18">
        <v>45218</v>
      </c>
      <c r="E126" s="18">
        <v>45583</v>
      </c>
      <c r="F126" s="18" t="s">
        <v>611</v>
      </c>
      <c r="G126" t="s">
        <v>99</v>
      </c>
      <c r="H126">
        <v>1</v>
      </c>
      <c r="I126">
        <v>1</v>
      </c>
      <c r="J126" s="27">
        <v>38589.760000000002</v>
      </c>
      <c r="K126" s="27">
        <v>5000000</v>
      </c>
    </row>
    <row r="127" spans="1:11" ht="12.75" customHeight="1" x14ac:dyDescent="0.2">
      <c r="A127" t="s">
        <v>6646</v>
      </c>
      <c r="B127" t="s">
        <v>6647</v>
      </c>
      <c r="C127">
        <v>2023</v>
      </c>
      <c r="D127" s="18">
        <v>45218</v>
      </c>
      <c r="E127" s="18">
        <v>45583</v>
      </c>
      <c r="F127" s="18" t="s">
        <v>611</v>
      </c>
      <c r="G127" t="s">
        <v>100</v>
      </c>
      <c r="H127">
        <v>1</v>
      </c>
      <c r="I127">
        <v>1</v>
      </c>
      <c r="J127" s="27">
        <v>15941.42</v>
      </c>
      <c r="K127" s="27">
        <v>1500000</v>
      </c>
    </row>
    <row r="128" spans="1:11" ht="12.75" customHeight="1" x14ac:dyDescent="0.2">
      <c r="A128" t="s">
        <v>6648</v>
      </c>
      <c r="B128" t="s">
        <v>6649</v>
      </c>
      <c r="C128">
        <v>2023</v>
      </c>
      <c r="D128" s="18">
        <v>45218</v>
      </c>
      <c r="E128" s="18">
        <v>45583</v>
      </c>
      <c r="F128" s="18" t="s">
        <v>611</v>
      </c>
      <c r="G128" t="s">
        <v>100</v>
      </c>
      <c r="H128">
        <v>1</v>
      </c>
      <c r="I128">
        <v>1</v>
      </c>
      <c r="J128" s="27">
        <v>43513.21</v>
      </c>
      <c r="K128" s="27">
        <v>4000000</v>
      </c>
    </row>
    <row r="129" spans="1:11" ht="12.75" customHeight="1" x14ac:dyDescent="0.2">
      <c r="A129" t="s">
        <v>6650</v>
      </c>
      <c r="B129" t="s">
        <v>6651</v>
      </c>
      <c r="C129">
        <v>2023</v>
      </c>
      <c r="D129" s="18">
        <v>45219</v>
      </c>
      <c r="E129" s="18">
        <v>45584</v>
      </c>
      <c r="F129" s="18" t="s">
        <v>608</v>
      </c>
      <c r="G129" t="s">
        <v>99</v>
      </c>
      <c r="H129">
        <v>3</v>
      </c>
      <c r="I129">
        <v>3</v>
      </c>
      <c r="J129" s="27">
        <v>26579.360000000001</v>
      </c>
      <c r="K129" s="27">
        <v>4000000</v>
      </c>
    </row>
    <row r="130" spans="1:11" ht="12.75" customHeight="1" x14ac:dyDescent="0.2">
      <c r="A130" t="s">
        <v>6652</v>
      </c>
      <c r="B130" t="s">
        <v>6653</v>
      </c>
      <c r="C130">
        <v>2023</v>
      </c>
      <c r="D130" s="18">
        <v>45219</v>
      </c>
      <c r="E130" s="18">
        <v>45584</v>
      </c>
      <c r="F130" s="18" t="s">
        <v>608</v>
      </c>
      <c r="G130" t="s">
        <v>101</v>
      </c>
      <c r="H130">
        <v>2</v>
      </c>
      <c r="I130">
        <v>2</v>
      </c>
      <c r="J130" s="27">
        <v>7855.98</v>
      </c>
      <c r="K130" s="27">
        <v>500000</v>
      </c>
    </row>
    <row r="131" spans="1:11" ht="12.75" customHeight="1" x14ac:dyDescent="0.2">
      <c r="A131" t="s">
        <v>6654</v>
      </c>
      <c r="B131" t="s">
        <v>6655</v>
      </c>
      <c r="C131">
        <v>2023</v>
      </c>
      <c r="D131" s="18">
        <v>45219</v>
      </c>
      <c r="E131" s="18">
        <v>45584</v>
      </c>
      <c r="F131" s="18" t="s">
        <v>611</v>
      </c>
      <c r="G131" t="s">
        <v>101</v>
      </c>
      <c r="H131">
        <v>3</v>
      </c>
      <c r="I131">
        <v>3</v>
      </c>
      <c r="J131" s="27">
        <v>14970.06</v>
      </c>
      <c r="K131" s="27">
        <v>1000000</v>
      </c>
    </row>
    <row r="132" spans="1:11" ht="12.75" customHeight="1" x14ac:dyDescent="0.2">
      <c r="A132" t="s">
        <v>6656</v>
      </c>
      <c r="B132" t="s">
        <v>6657</v>
      </c>
      <c r="C132">
        <v>2023</v>
      </c>
      <c r="D132" s="18">
        <v>45219</v>
      </c>
      <c r="E132" s="18">
        <v>45584</v>
      </c>
      <c r="F132" s="18" t="s">
        <v>611</v>
      </c>
      <c r="G132" t="s">
        <v>100</v>
      </c>
      <c r="H132">
        <v>2</v>
      </c>
      <c r="I132">
        <v>2</v>
      </c>
      <c r="J132" s="27">
        <v>30508.9</v>
      </c>
      <c r="K132" s="27">
        <v>2500000</v>
      </c>
    </row>
    <row r="133" spans="1:11" ht="12.75" customHeight="1" x14ac:dyDescent="0.2">
      <c r="A133" t="s">
        <v>6658</v>
      </c>
      <c r="B133" t="s">
        <v>6659</v>
      </c>
      <c r="C133">
        <v>2023</v>
      </c>
      <c r="D133" s="18">
        <v>45219</v>
      </c>
      <c r="E133" s="18">
        <v>45584</v>
      </c>
      <c r="F133" s="18" t="s">
        <v>611</v>
      </c>
      <c r="G133" t="s">
        <v>99</v>
      </c>
      <c r="H133">
        <v>1</v>
      </c>
      <c r="I133">
        <v>1</v>
      </c>
      <c r="J133" s="27">
        <v>28462.44</v>
      </c>
      <c r="K133" s="27">
        <v>4000000</v>
      </c>
    </row>
    <row r="134" spans="1:11" ht="12.75" customHeight="1" x14ac:dyDescent="0.2">
      <c r="A134" t="s">
        <v>6660</v>
      </c>
      <c r="B134" t="s">
        <v>6661</v>
      </c>
      <c r="C134">
        <v>2023</v>
      </c>
      <c r="D134" s="18">
        <v>45219</v>
      </c>
      <c r="E134" s="18">
        <v>45584</v>
      </c>
      <c r="F134" s="18" t="s">
        <v>611</v>
      </c>
      <c r="G134" t="s">
        <v>100</v>
      </c>
      <c r="H134">
        <v>3</v>
      </c>
      <c r="I134">
        <v>6</v>
      </c>
      <c r="J134" s="27">
        <v>122469.81</v>
      </c>
      <c r="K134" s="27">
        <v>10000000</v>
      </c>
    </row>
    <row r="135" spans="1:11" ht="12.75" customHeight="1" x14ac:dyDescent="0.2">
      <c r="A135" t="s">
        <v>6662</v>
      </c>
      <c r="B135" t="s">
        <v>6663</v>
      </c>
      <c r="C135">
        <v>2023</v>
      </c>
      <c r="D135" s="18">
        <v>45219</v>
      </c>
      <c r="E135" s="18">
        <v>45584</v>
      </c>
      <c r="F135" s="18" t="s">
        <v>611</v>
      </c>
      <c r="G135" t="s">
        <v>102</v>
      </c>
      <c r="H135">
        <v>3</v>
      </c>
      <c r="I135">
        <v>3</v>
      </c>
      <c r="J135" s="27">
        <v>78276.81</v>
      </c>
      <c r="K135" s="27">
        <v>10000000</v>
      </c>
    </row>
    <row r="136" spans="1:11" ht="12.75" customHeight="1" x14ac:dyDescent="0.2">
      <c r="A136" t="s">
        <v>6664</v>
      </c>
      <c r="B136" t="s">
        <v>6665</v>
      </c>
      <c r="C136">
        <v>2023</v>
      </c>
      <c r="D136" s="18">
        <v>45219</v>
      </c>
      <c r="E136" s="18">
        <v>45584</v>
      </c>
      <c r="F136" s="18" t="s">
        <v>611</v>
      </c>
      <c r="G136" t="s">
        <v>99</v>
      </c>
      <c r="H136">
        <v>2</v>
      </c>
      <c r="I136">
        <v>4</v>
      </c>
      <c r="J136" s="27">
        <v>64996.03</v>
      </c>
      <c r="K136" s="27">
        <v>10000000</v>
      </c>
    </row>
    <row r="137" spans="1:11" ht="12.75" customHeight="1" x14ac:dyDescent="0.2">
      <c r="A137" t="s">
        <v>6666</v>
      </c>
      <c r="B137" t="s">
        <v>6667</v>
      </c>
      <c r="C137">
        <v>2023</v>
      </c>
      <c r="D137" s="18">
        <v>45219</v>
      </c>
      <c r="E137" s="18">
        <v>45584</v>
      </c>
      <c r="F137" s="18" t="s">
        <v>611</v>
      </c>
      <c r="G137" t="s">
        <v>101</v>
      </c>
      <c r="H137">
        <v>1</v>
      </c>
      <c r="I137">
        <v>2</v>
      </c>
      <c r="J137" s="27">
        <v>50135.24</v>
      </c>
      <c r="K137" s="27">
        <v>3000000</v>
      </c>
    </row>
    <row r="138" spans="1:11" ht="12.75" customHeight="1" x14ac:dyDescent="0.2">
      <c r="A138" t="s">
        <v>6668</v>
      </c>
      <c r="B138" t="s">
        <v>6669</v>
      </c>
      <c r="C138">
        <v>2023</v>
      </c>
      <c r="D138" s="18">
        <v>45219</v>
      </c>
      <c r="E138" s="18">
        <v>45584</v>
      </c>
      <c r="F138" s="18" t="s">
        <v>611</v>
      </c>
      <c r="G138" t="s">
        <v>101</v>
      </c>
      <c r="H138">
        <v>3</v>
      </c>
      <c r="I138">
        <v>6</v>
      </c>
      <c r="J138" s="27">
        <v>48266.98</v>
      </c>
      <c r="K138" s="27">
        <v>3000000</v>
      </c>
    </row>
    <row r="139" spans="1:11" ht="12.75" customHeight="1" x14ac:dyDescent="0.2">
      <c r="A139" t="s">
        <v>6670</v>
      </c>
      <c r="B139" t="s">
        <v>6671</v>
      </c>
      <c r="C139">
        <v>2023</v>
      </c>
      <c r="D139" s="18">
        <v>45220</v>
      </c>
      <c r="E139" s="18">
        <v>45585</v>
      </c>
      <c r="F139" s="18" t="s">
        <v>611</v>
      </c>
      <c r="G139" t="s">
        <v>99</v>
      </c>
      <c r="H139">
        <v>1</v>
      </c>
      <c r="I139">
        <v>1</v>
      </c>
      <c r="J139" s="27">
        <v>22824.09</v>
      </c>
      <c r="K139" s="27">
        <v>3000000</v>
      </c>
    </row>
    <row r="140" spans="1:11" ht="12.75" customHeight="1" x14ac:dyDescent="0.2">
      <c r="A140" t="s">
        <v>6672</v>
      </c>
      <c r="B140" t="s">
        <v>6673</v>
      </c>
      <c r="C140">
        <v>2023</v>
      </c>
      <c r="D140" s="18">
        <v>45220</v>
      </c>
      <c r="E140" s="18">
        <v>45585</v>
      </c>
      <c r="F140" s="18" t="s">
        <v>611</v>
      </c>
      <c r="G140" t="s">
        <v>101</v>
      </c>
      <c r="H140">
        <v>2</v>
      </c>
      <c r="I140">
        <v>4</v>
      </c>
      <c r="J140" s="27">
        <v>48199.43</v>
      </c>
      <c r="K140" s="27">
        <v>3000000</v>
      </c>
    </row>
    <row r="141" spans="1:11" ht="12.75" customHeight="1" x14ac:dyDescent="0.2">
      <c r="A141" t="s">
        <v>6674</v>
      </c>
      <c r="B141" t="s">
        <v>6675</v>
      </c>
      <c r="C141">
        <v>2023</v>
      </c>
      <c r="D141" s="18">
        <v>45220</v>
      </c>
      <c r="E141" s="18">
        <v>45585</v>
      </c>
      <c r="F141" s="18" t="s">
        <v>611</v>
      </c>
      <c r="G141" t="s">
        <v>100</v>
      </c>
      <c r="H141">
        <v>2</v>
      </c>
      <c r="I141">
        <v>2</v>
      </c>
      <c r="J141" s="27">
        <v>52286.16</v>
      </c>
      <c r="K141" s="27">
        <v>5000000</v>
      </c>
    </row>
    <row r="142" spans="1:11" ht="12.75" customHeight="1" x14ac:dyDescent="0.2">
      <c r="A142" t="s">
        <v>6676</v>
      </c>
      <c r="B142" t="s">
        <v>6677</v>
      </c>
      <c r="C142">
        <v>2023</v>
      </c>
      <c r="D142" s="18">
        <v>45220</v>
      </c>
      <c r="E142" s="18">
        <v>45585</v>
      </c>
      <c r="F142" s="18" t="s">
        <v>611</v>
      </c>
      <c r="G142" t="s">
        <v>101</v>
      </c>
      <c r="H142">
        <v>2</v>
      </c>
      <c r="I142">
        <v>2</v>
      </c>
      <c r="J142" s="27">
        <v>50392.65</v>
      </c>
      <c r="K142" s="27">
        <v>3000000</v>
      </c>
    </row>
    <row r="143" spans="1:11" ht="12.75" customHeight="1" x14ac:dyDescent="0.2">
      <c r="A143" t="s">
        <v>6678</v>
      </c>
      <c r="B143" t="s">
        <v>6679</v>
      </c>
      <c r="C143">
        <v>2023</v>
      </c>
      <c r="D143" s="18">
        <v>45221</v>
      </c>
      <c r="E143" s="18">
        <v>45586</v>
      </c>
      <c r="F143" s="18" t="s">
        <v>611</v>
      </c>
      <c r="G143" t="s">
        <v>100</v>
      </c>
      <c r="H143">
        <v>2</v>
      </c>
      <c r="I143">
        <v>2</v>
      </c>
      <c r="J143" s="27">
        <v>23475.919999999998</v>
      </c>
      <c r="K143" s="27">
        <v>2000000</v>
      </c>
    </row>
    <row r="144" spans="1:11" ht="12.75" customHeight="1" x14ac:dyDescent="0.2">
      <c r="A144" t="s">
        <v>6680</v>
      </c>
      <c r="B144" t="s">
        <v>6681</v>
      </c>
      <c r="C144">
        <v>2023</v>
      </c>
      <c r="D144" s="18">
        <v>45221</v>
      </c>
      <c r="E144" s="18">
        <v>45586</v>
      </c>
      <c r="F144" s="18" t="s">
        <v>611</v>
      </c>
      <c r="G144" t="s">
        <v>102</v>
      </c>
      <c r="H144">
        <v>1</v>
      </c>
      <c r="I144">
        <v>1</v>
      </c>
      <c r="J144" s="27">
        <v>7296.74</v>
      </c>
      <c r="K144" s="27">
        <v>1000000</v>
      </c>
    </row>
    <row r="145" spans="1:11" ht="12.75" customHeight="1" x14ac:dyDescent="0.2">
      <c r="A145" t="s">
        <v>6682</v>
      </c>
      <c r="B145" t="s">
        <v>6683</v>
      </c>
      <c r="C145">
        <v>2023</v>
      </c>
      <c r="D145" s="18">
        <v>45221</v>
      </c>
      <c r="E145" s="18">
        <v>45586</v>
      </c>
      <c r="F145" s="18" t="s">
        <v>611</v>
      </c>
      <c r="G145" t="s">
        <v>99</v>
      </c>
      <c r="H145">
        <v>1</v>
      </c>
      <c r="I145">
        <v>1</v>
      </c>
      <c r="J145" s="27">
        <v>13879.72</v>
      </c>
      <c r="K145" s="27">
        <v>2000000</v>
      </c>
    </row>
    <row r="146" spans="1:11" ht="12.75" customHeight="1" x14ac:dyDescent="0.2">
      <c r="A146" t="s">
        <v>6684</v>
      </c>
      <c r="B146" t="s">
        <v>6685</v>
      </c>
      <c r="C146">
        <v>2023</v>
      </c>
      <c r="D146" s="18">
        <v>45221</v>
      </c>
      <c r="E146" s="18">
        <v>45586</v>
      </c>
      <c r="F146" s="18" t="s">
        <v>611</v>
      </c>
      <c r="G146" t="s">
        <v>101</v>
      </c>
      <c r="H146">
        <v>1</v>
      </c>
      <c r="I146">
        <v>1</v>
      </c>
      <c r="J146" s="27">
        <v>14412.38</v>
      </c>
      <c r="K146" s="27">
        <v>1000000</v>
      </c>
    </row>
    <row r="147" spans="1:11" ht="12.75" customHeight="1" x14ac:dyDescent="0.2">
      <c r="A147" t="s">
        <v>6686</v>
      </c>
      <c r="B147" t="s">
        <v>6687</v>
      </c>
      <c r="C147">
        <v>2023</v>
      </c>
      <c r="D147" s="18">
        <v>45221</v>
      </c>
      <c r="E147" s="18">
        <v>45586</v>
      </c>
      <c r="F147" s="18" t="s">
        <v>611</v>
      </c>
      <c r="G147" t="s">
        <v>100</v>
      </c>
      <c r="H147">
        <v>2</v>
      </c>
      <c r="I147">
        <v>4</v>
      </c>
      <c r="J147" s="27">
        <v>26457.59</v>
      </c>
      <c r="K147" s="27">
        <v>2500000</v>
      </c>
    </row>
    <row r="148" spans="1:11" ht="12.75" customHeight="1" x14ac:dyDescent="0.2">
      <c r="A148" t="s">
        <v>6688</v>
      </c>
      <c r="B148" t="s">
        <v>6689</v>
      </c>
      <c r="C148">
        <v>2023</v>
      </c>
      <c r="D148" s="18">
        <v>45222</v>
      </c>
      <c r="E148" s="18">
        <v>45587</v>
      </c>
      <c r="F148" s="18" t="s">
        <v>611</v>
      </c>
      <c r="G148" t="s">
        <v>100</v>
      </c>
      <c r="H148">
        <v>1</v>
      </c>
      <c r="I148">
        <v>1</v>
      </c>
      <c r="J148" s="27">
        <v>111538.24000000001</v>
      </c>
      <c r="K148" s="27">
        <v>10000000</v>
      </c>
    </row>
    <row r="149" spans="1:11" ht="12.75" customHeight="1" x14ac:dyDescent="0.2">
      <c r="A149" t="s">
        <v>6690</v>
      </c>
      <c r="B149" t="s">
        <v>6691</v>
      </c>
      <c r="C149">
        <v>2023</v>
      </c>
      <c r="D149" s="18">
        <v>45222</v>
      </c>
      <c r="E149" s="18">
        <v>45587</v>
      </c>
      <c r="F149" s="18" t="s">
        <v>611</v>
      </c>
      <c r="G149" t="s">
        <v>102</v>
      </c>
      <c r="H149">
        <v>2</v>
      </c>
      <c r="I149">
        <v>2</v>
      </c>
      <c r="J149" s="27">
        <v>25749.05</v>
      </c>
      <c r="K149" s="27">
        <v>3500000</v>
      </c>
    </row>
    <row r="150" spans="1:11" ht="12.75" customHeight="1" x14ac:dyDescent="0.2">
      <c r="A150" t="s">
        <v>6692</v>
      </c>
      <c r="B150" t="s">
        <v>6693</v>
      </c>
      <c r="C150">
        <v>2023</v>
      </c>
      <c r="D150" s="18">
        <v>45223</v>
      </c>
      <c r="E150" s="18">
        <v>45588</v>
      </c>
      <c r="F150" s="18" t="s">
        <v>611</v>
      </c>
      <c r="G150" t="s">
        <v>100</v>
      </c>
      <c r="H150">
        <v>2</v>
      </c>
      <c r="I150">
        <v>2</v>
      </c>
      <c r="J150" s="27">
        <v>21555.64</v>
      </c>
      <c r="K150" s="27">
        <v>2000000</v>
      </c>
    </row>
    <row r="151" spans="1:11" ht="12.75" customHeight="1" x14ac:dyDescent="0.2">
      <c r="A151" t="s">
        <v>6694</v>
      </c>
      <c r="B151" t="s">
        <v>6695</v>
      </c>
      <c r="C151">
        <v>2023</v>
      </c>
      <c r="D151" s="18">
        <v>45223</v>
      </c>
      <c r="E151" s="18">
        <v>45588</v>
      </c>
      <c r="F151" s="18" t="s">
        <v>611</v>
      </c>
      <c r="G151" t="s">
        <v>102</v>
      </c>
      <c r="H151">
        <v>2</v>
      </c>
      <c r="I151">
        <v>4</v>
      </c>
      <c r="J151" s="27">
        <v>7431.92</v>
      </c>
      <c r="K151" s="27">
        <v>1000000</v>
      </c>
    </row>
    <row r="152" spans="1:11" ht="12.75" customHeight="1" x14ac:dyDescent="0.2">
      <c r="A152" t="s">
        <v>6696</v>
      </c>
      <c r="B152" t="s">
        <v>6697</v>
      </c>
      <c r="C152">
        <v>2023</v>
      </c>
      <c r="D152" s="18">
        <v>45223</v>
      </c>
      <c r="E152" s="18">
        <v>45588</v>
      </c>
      <c r="F152" s="18" t="s">
        <v>611</v>
      </c>
      <c r="G152" t="s">
        <v>99</v>
      </c>
      <c r="H152">
        <v>2</v>
      </c>
      <c r="I152">
        <v>2</v>
      </c>
      <c r="J152" s="27">
        <v>10822.89</v>
      </c>
      <c r="K152" s="27">
        <v>1500000</v>
      </c>
    </row>
    <row r="153" spans="1:11" ht="12.75" customHeight="1" x14ac:dyDescent="0.2">
      <c r="A153" t="s">
        <v>6698</v>
      </c>
      <c r="B153" t="s">
        <v>6699</v>
      </c>
      <c r="C153">
        <v>2023</v>
      </c>
      <c r="D153" s="18">
        <v>45223</v>
      </c>
      <c r="E153" s="18">
        <v>45588</v>
      </c>
      <c r="F153" s="18" t="s">
        <v>611</v>
      </c>
      <c r="G153" t="s">
        <v>99</v>
      </c>
      <c r="H153">
        <v>1</v>
      </c>
      <c r="I153">
        <v>2</v>
      </c>
      <c r="J153" s="27">
        <v>14799.2</v>
      </c>
      <c r="K153" s="27">
        <v>2000000</v>
      </c>
    </row>
    <row r="154" spans="1:11" ht="12.75" customHeight="1" x14ac:dyDescent="0.2">
      <c r="A154" t="s">
        <v>6700</v>
      </c>
      <c r="B154" t="s">
        <v>6701</v>
      </c>
      <c r="C154">
        <v>2023</v>
      </c>
      <c r="D154" s="18">
        <v>45223</v>
      </c>
      <c r="E154" s="18">
        <v>45588</v>
      </c>
      <c r="F154" s="18" t="s">
        <v>611</v>
      </c>
      <c r="G154" t="s">
        <v>101</v>
      </c>
      <c r="H154">
        <v>1</v>
      </c>
      <c r="I154">
        <v>2</v>
      </c>
      <c r="J154" s="27">
        <v>79816.08</v>
      </c>
      <c r="K154" s="27">
        <v>5000000</v>
      </c>
    </row>
    <row r="155" spans="1:11" ht="12.75" customHeight="1" x14ac:dyDescent="0.2">
      <c r="A155" t="s">
        <v>6702</v>
      </c>
      <c r="B155" t="s">
        <v>6703</v>
      </c>
      <c r="C155">
        <v>2023</v>
      </c>
      <c r="D155" s="18">
        <v>45224</v>
      </c>
      <c r="E155" s="18">
        <v>45589</v>
      </c>
      <c r="F155" s="18" t="s">
        <v>608</v>
      </c>
      <c r="G155" t="s">
        <v>100</v>
      </c>
      <c r="H155">
        <v>1</v>
      </c>
      <c r="I155">
        <v>2</v>
      </c>
      <c r="J155" s="27">
        <v>121880.1</v>
      </c>
      <c r="K155" s="27">
        <v>10000000</v>
      </c>
    </row>
    <row r="156" spans="1:11" ht="12.75" customHeight="1" x14ac:dyDescent="0.2">
      <c r="A156" t="s">
        <v>6704</v>
      </c>
      <c r="B156" t="s">
        <v>6705</v>
      </c>
      <c r="C156">
        <v>2023</v>
      </c>
      <c r="D156" s="18">
        <v>45224</v>
      </c>
      <c r="E156" s="18">
        <v>45589</v>
      </c>
      <c r="F156" s="18" t="s">
        <v>608</v>
      </c>
      <c r="G156" t="s">
        <v>100</v>
      </c>
      <c r="H156">
        <v>1</v>
      </c>
      <c r="I156">
        <v>2</v>
      </c>
      <c r="J156" s="27">
        <v>44025.56</v>
      </c>
      <c r="K156" s="27">
        <v>4000000</v>
      </c>
    </row>
    <row r="157" spans="1:11" ht="12.75" customHeight="1" x14ac:dyDescent="0.2">
      <c r="A157" t="s">
        <v>6706</v>
      </c>
      <c r="B157" t="s">
        <v>6707</v>
      </c>
      <c r="C157">
        <v>2023</v>
      </c>
      <c r="D157" s="18">
        <v>45224</v>
      </c>
      <c r="E157" s="18">
        <v>45589</v>
      </c>
      <c r="F157" s="18" t="s">
        <v>611</v>
      </c>
      <c r="G157" t="s">
        <v>99</v>
      </c>
      <c r="H157">
        <v>3</v>
      </c>
      <c r="I157">
        <v>6</v>
      </c>
      <c r="J157" s="27">
        <v>13445.48</v>
      </c>
      <c r="K157" s="27">
        <v>2000000</v>
      </c>
    </row>
    <row r="158" spans="1:11" ht="12.75" customHeight="1" x14ac:dyDescent="0.2">
      <c r="A158" t="s">
        <v>6708</v>
      </c>
      <c r="B158" t="s">
        <v>6709</v>
      </c>
      <c r="C158">
        <v>2023</v>
      </c>
      <c r="D158" s="18">
        <v>45224</v>
      </c>
      <c r="E158" s="18">
        <v>45589</v>
      </c>
      <c r="F158" s="18" t="s">
        <v>611</v>
      </c>
      <c r="G158" t="s">
        <v>100</v>
      </c>
      <c r="H158">
        <v>1</v>
      </c>
      <c r="I158">
        <v>2</v>
      </c>
      <c r="J158" s="27">
        <v>25092.31</v>
      </c>
      <c r="K158" s="27">
        <v>2000000</v>
      </c>
    </row>
    <row r="159" spans="1:11" ht="12.75" customHeight="1" x14ac:dyDescent="0.2">
      <c r="A159" t="s">
        <v>6710</v>
      </c>
      <c r="B159" t="s">
        <v>6711</v>
      </c>
      <c r="C159">
        <v>2023</v>
      </c>
      <c r="D159" s="18">
        <v>45224</v>
      </c>
      <c r="E159" s="18">
        <v>45589</v>
      </c>
      <c r="F159" s="18" t="s">
        <v>611</v>
      </c>
      <c r="G159" t="s">
        <v>102</v>
      </c>
      <c r="H159">
        <v>1</v>
      </c>
      <c r="I159">
        <v>2</v>
      </c>
      <c r="J159" s="27">
        <v>15694.53</v>
      </c>
      <c r="K159" s="27">
        <v>2000000</v>
      </c>
    </row>
    <row r="160" spans="1:11" ht="12.75" customHeight="1" x14ac:dyDescent="0.2">
      <c r="A160" t="s">
        <v>6712</v>
      </c>
      <c r="B160" t="s">
        <v>6713</v>
      </c>
      <c r="C160">
        <v>2023</v>
      </c>
      <c r="D160" s="18">
        <v>45224</v>
      </c>
      <c r="E160" s="18">
        <v>45589</v>
      </c>
      <c r="F160" s="18" t="s">
        <v>611</v>
      </c>
      <c r="G160" t="s">
        <v>99</v>
      </c>
      <c r="H160">
        <v>3</v>
      </c>
      <c r="I160">
        <v>6</v>
      </c>
      <c r="J160" s="27">
        <v>6466.38</v>
      </c>
      <c r="K160" s="27">
        <v>1000000</v>
      </c>
    </row>
    <row r="161" spans="1:11" ht="12.75" customHeight="1" x14ac:dyDescent="0.2">
      <c r="A161" t="s">
        <v>6714</v>
      </c>
      <c r="B161" t="s">
        <v>6715</v>
      </c>
      <c r="C161">
        <v>2023</v>
      </c>
      <c r="D161" s="18">
        <v>45224</v>
      </c>
      <c r="E161" s="18">
        <v>45589</v>
      </c>
      <c r="F161" s="18" t="s">
        <v>611</v>
      </c>
      <c r="G161" t="s">
        <v>101</v>
      </c>
      <c r="H161">
        <v>2</v>
      </c>
      <c r="I161">
        <v>2</v>
      </c>
      <c r="J161" s="27">
        <v>33398.01</v>
      </c>
      <c r="K161" s="27">
        <v>2000000</v>
      </c>
    </row>
    <row r="162" spans="1:11" ht="12.75" customHeight="1" x14ac:dyDescent="0.2">
      <c r="A162" t="s">
        <v>6716</v>
      </c>
      <c r="B162" t="s">
        <v>6717</v>
      </c>
      <c r="C162">
        <v>2023</v>
      </c>
      <c r="D162" s="18">
        <v>45225</v>
      </c>
      <c r="E162" s="18">
        <v>45590</v>
      </c>
      <c r="F162" s="18" t="s">
        <v>611</v>
      </c>
      <c r="G162" t="s">
        <v>100</v>
      </c>
      <c r="H162">
        <v>2</v>
      </c>
      <c r="I162">
        <v>2</v>
      </c>
      <c r="J162" s="27">
        <v>54786.55</v>
      </c>
      <c r="K162" s="27">
        <v>4500000</v>
      </c>
    </row>
    <row r="163" spans="1:11" ht="12.75" customHeight="1" x14ac:dyDescent="0.2">
      <c r="A163" t="s">
        <v>6718</v>
      </c>
      <c r="B163" t="s">
        <v>6719</v>
      </c>
      <c r="C163">
        <v>2023</v>
      </c>
      <c r="D163" s="18">
        <v>45225</v>
      </c>
      <c r="E163" s="18">
        <v>45590</v>
      </c>
      <c r="F163" s="18" t="s">
        <v>611</v>
      </c>
      <c r="G163" t="s">
        <v>100</v>
      </c>
      <c r="H163">
        <v>3</v>
      </c>
      <c r="I163">
        <v>3</v>
      </c>
      <c r="J163" s="27">
        <v>36672.33</v>
      </c>
      <c r="K163" s="27">
        <v>3000000</v>
      </c>
    </row>
    <row r="164" spans="1:11" ht="12.75" customHeight="1" x14ac:dyDescent="0.2">
      <c r="A164" t="s">
        <v>6720</v>
      </c>
      <c r="B164" t="s">
        <v>6721</v>
      </c>
      <c r="C164">
        <v>2023</v>
      </c>
      <c r="D164" s="18">
        <v>45225</v>
      </c>
      <c r="E164" s="18">
        <v>45590</v>
      </c>
      <c r="F164" s="18" t="s">
        <v>611</v>
      </c>
      <c r="G164" t="s">
        <v>100</v>
      </c>
      <c r="H164">
        <v>3</v>
      </c>
      <c r="I164">
        <v>3</v>
      </c>
      <c r="J164" s="27">
        <v>44059.3</v>
      </c>
      <c r="K164" s="27">
        <v>4000000</v>
      </c>
    </row>
    <row r="165" spans="1:11" ht="12.75" customHeight="1" x14ac:dyDescent="0.2">
      <c r="A165" t="s">
        <v>6722</v>
      </c>
      <c r="B165" t="s">
        <v>6723</v>
      </c>
      <c r="C165">
        <v>2023</v>
      </c>
      <c r="D165" s="18">
        <v>45225</v>
      </c>
      <c r="E165" s="18">
        <v>45590</v>
      </c>
      <c r="F165" s="18" t="s">
        <v>611</v>
      </c>
      <c r="G165" t="s">
        <v>99</v>
      </c>
      <c r="H165">
        <v>1</v>
      </c>
      <c r="I165">
        <v>1</v>
      </c>
      <c r="J165" s="27">
        <v>16682.96</v>
      </c>
      <c r="K165" s="27">
        <v>2500000</v>
      </c>
    </row>
    <row r="166" spans="1:11" ht="12.75" customHeight="1" x14ac:dyDescent="0.2">
      <c r="A166" t="s">
        <v>6724</v>
      </c>
      <c r="B166" t="s">
        <v>6725</v>
      </c>
      <c r="C166">
        <v>2023</v>
      </c>
      <c r="D166" s="18">
        <v>45225</v>
      </c>
      <c r="E166" s="18">
        <v>45590</v>
      </c>
      <c r="F166" s="18" t="s">
        <v>611</v>
      </c>
      <c r="G166" t="s">
        <v>102</v>
      </c>
      <c r="H166">
        <v>3</v>
      </c>
      <c r="I166">
        <v>3</v>
      </c>
      <c r="J166" s="27">
        <v>14475.87</v>
      </c>
      <c r="K166" s="27">
        <v>2000000</v>
      </c>
    </row>
    <row r="167" spans="1:11" ht="12.75" customHeight="1" x14ac:dyDescent="0.2">
      <c r="A167" t="s">
        <v>6726</v>
      </c>
      <c r="B167" t="s">
        <v>6727</v>
      </c>
      <c r="C167">
        <v>2023</v>
      </c>
      <c r="D167" s="18">
        <v>45226</v>
      </c>
      <c r="E167" s="18">
        <v>45591</v>
      </c>
      <c r="F167" s="18" t="s">
        <v>608</v>
      </c>
      <c r="G167" t="s">
        <v>99</v>
      </c>
      <c r="H167">
        <v>3</v>
      </c>
      <c r="I167">
        <v>3</v>
      </c>
      <c r="J167" s="27">
        <v>13462.54</v>
      </c>
      <c r="K167" s="27">
        <v>2000000</v>
      </c>
    </row>
    <row r="168" spans="1:11" ht="12.75" customHeight="1" x14ac:dyDescent="0.2">
      <c r="A168" t="s">
        <v>6728</v>
      </c>
      <c r="B168" t="s">
        <v>6729</v>
      </c>
      <c r="C168">
        <v>2023</v>
      </c>
      <c r="D168" s="18">
        <v>45226</v>
      </c>
      <c r="E168" s="18">
        <v>45591</v>
      </c>
      <c r="F168" s="18" t="s">
        <v>608</v>
      </c>
      <c r="G168" t="s">
        <v>102</v>
      </c>
      <c r="H168">
        <v>1</v>
      </c>
      <c r="I168">
        <v>1</v>
      </c>
      <c r="J168" s="27">
        <v>8115.77</v>
      </c>
      <c r="K168" s="27">
        <v>1000000</v>
      </c>
    </row>
    <row r="169" spans="1:11" ht="12.75" customHeight="1" x14ac:dyDescent="0.2">
      <c r="A169" t="s">
        <v>6730</v>
      </c>
      <c r="B169" t="s">
        <v>6731</v>
      </c>
      <c r="C169">
        <v>2023</v>
      </c>
      <c r="D169" s="18">
        <v>45226</v>
      </c>
      <c r="E169" s="18">
        <v>45591</v>
      </c>
      <c r="F169" s="18" t="s">
        <v>611</v>
      </c>
      <c r="G169" t="s">
        <v>101</v>
      </c>
      <c r="H169">
        <v>1</v>
      </c>
      <c r="I169">
        <v>1</v>
      </c>
      <c r="J169" s="27">
        <v>158521.98000000001</v>
      </c>
      <c r="K169" s="27">
        <v>10000000</v>
      </c>
    </row>
    <row r="170" spans="1:11" ht="12.75" customHeight="1" x14ac:dyDescent="0.2">
      <c r="A170" t="s">
        <v>6732</v>
      </c>
      <c r="B170" t="s">
        <v>6733</v>
      </c>
      <c r="C170">
        <v>2023</v>
      </c>
      <c r="D170" s="18">
        <v>45226</v>
      </c>
      <c r="E170" s="18">
        <v>45591</v>
      </c>
      <c r="F170" s="18" t="s">
        <v>611</v>
      </c>
      <c r="G170" t="s">
        <v>99</v>
      </c>
      <c r="H170">
        <v>3</v>
      </c>
      <c r="I170">
        <v>3</v>
      </c>
      <c r="J170" s="27">
        <v>20150.27</v>
      </c>
      <c r="K170" s="27">
        <v>3000000</v>
      </c>
    </row>
    <row r="171" spans="1:11" ht="12.75" customHeight="1" x14ac:dyDescent="0.2">
      <c r="A171" t="s">
        <v>6734</v>
      </c>
      <c r="B171" t="s">
        <v>6735</v>
      </c>
      <c r="C171">
        <v>2023</v>
      </c>
      <c r="D171" s="18">
        <v>45226</v>
      </c>
      <c r="E171" s="18">
        <v>45591</v>
      </c>
      <c r="F171" s="18" t="s">
        <v>611</v>
      </c>
      <c r="G171" t="s">
        <v>101</v>
      </c>
      <c r="H171">
        <v>1</v>
      </c>
      <c r="I171">
        <v>2</v>
      </c>
      <c r="J171" s="27">
        <v>79152.13</v>
      </c>
      <c r="K171" s="27">
        <v>5000000</v>
      </c>
    </row>
    <row r="172" spans="1:11" ht="12.75" customHeight="1" x14ac:dyDescent="0.2">
      <c r="A172" t="s">
        <v>6736</v>
      </c>
      <c r="B172" t="s">
        <v>6737</v>
      </c>
      <c r="C172">
        <v>2023</v>
      </c>
      <c r="D172" s="18">
        <v>45226</v>
      </c>
      <c r="E172" s="18">
        <v>45591</v>
      </c>
      <c r="F172" s="18" t="s">
        <v>611</v>
      </c>
      <c r="G172" t="s">
        <v>100</v>
      </c>
      <c r="H172">
        <v>1</v>
      </c>
      <c r="I172">
        <v>1</v>
      </c>
      <c r="J172" s="27">
        <v>51639.37</v>
      </c>
      <c r="K172" s="27">
        <v>5000000</v>
      </c>
    </row>
    <row r="173" spans="1:11" ht="12.75" customHeight="1" x14ac:dyDescent="0.2">
      <c r="A173" t="s">
        <v>6738</v>
      </c>
      <c r="B173" t="s">
        <v>6739</v>
      </c>
      <c r="C173">
        <v>2023</v>
      </c>
      <c r="D173" s="18">
        <v>45226</v>
      </c>
      <c r="E173" s="18">
        <v>45591</v>
      </c>
      <c r="F173" s="18" t="s">
        <v>611</v>
      </c>
      <c r="G173" t="s">
        <v>99</v>
      </c>
      <c r="H173">
        <v>1</v>
      </c>
      <c r="I173">
        <v>1</v>
      </c>
      <c r="J173" s="27">
        <v>14109.37</v>
      </c>
      <c r="K173" s="27">
        <v>2000000</v>
      </c>
    </row>
    <row r="174" spans="1:11" ht="12.75" customHeight="1" x14ac:dyDescent="0.2">
      <c r="A174" t="s">
        <v>6740</v>
      </c>
      <c r="B174" t="s">
        <v>6741</v>
      </c>
      <c r="C174">
        <v>2023</v>
      </c>
      <c r="D174" s="18">
        <v>45227</v>
      </c>
      <c r="E174" s="18">
        <v>45592</v>
      </c>
      <c r="F174" s="18" t="s">
        <v>611</v>
      </c>
      <c r="G174" t="s">
        <v>99</v>
      </c>
      <c r="H174">
        <v>1</v>
      </c>
      <c r="I174">
        <v>1</v>
      </c>
      <c r="J174" s="27">
        <v>21260.07</v>
      </c>
      <c r="K174" s="27">
        <v>3000000</v>
      </c>
    </row>
    <row r="175" spans="1:11" ht="12.75" customHeight="1" x14ac:dyDescent="0.2">
      <c r="A175" t="s">
        <v>6742</v>
      </c>
      <c r="B175" t="s">
        <v>6743</v>
      </c>
      <c r="C175">
        <v>2023</v>
      </c>
      <c r="D175" s="18">
        <v>45227</v>
      </c>
      <c r="E175" s="18">
        <v>45592</v>
      </c>
      <c r="F175" s="18" t="s">
        <v>611</v>
      </c>
      <c r="G175" t="s">
        <v>99</v>
      </c>
      <c r="H175">
        <v>1</v>
      </c>
      <c r="I175">
        <v>2</v>
      </c>
      <c r="J175" s="27">
        <v>33235.67</v>
      </c>
      <c r="K175" s="27">
        <v>5000000</v>
      </c>
    </row>
    <row r="176" spans="1:11" ht="12.75" customHeight="1" x14ac:dyDescent="0.2">
      <c r="A176" t="s">
        <v>6744</v>
      </c>
      <c r="B176" t="s">
        <v>6745</v>
      </c>
      <c r="C176">
        <v>2023</v>
      </c>
      <c r="D176" s="18">
        <v>45227</v>
      </c>
      <c r="E176" s="18">
        <v>45592</v>
      </c>
      <c r="F176" s="18" t="s">
        <v>611</v>
      </c>
      <c r="G176" t="s">
        <v>101</v>
      </c>
      <c r="H176">
        <v>2</v>
      </c>
      <c r="I176">
        <v>2</v>
      </c>
      <c r="J176" s="27">
        <v>143984.20000000001</v>
      </c>
      <c r="K176" s="27">
        <v>10000000</v>
      </c>
    </row>
    <row r="177" spans="1:11" ht="12.75" customHeight="1" x14ac:dyDescent="0.2">
      <c r="A177" t="s">
        <v>6746</v>
      </c>
      <c r="B177" t="s">
        <v>6747</v>
      </c>
      <c r="C177">
        <v>2023</v>
      </c>
      <c r="D177" s="18">
        <v>45227</v>
      </c>
      <c r="E177" s="18">
        <v>45592</v>
      </c>
      <c r="F177" s="18" t="s">
        <v>611</v>
      </c>
      <c r="G177" t="s">
        <v>99</v>
      </c>
      <c r="H177">
        <v>2</v>
      </c>
      <c r="I177">
        <v>2</v>
      </c>
      <c r="J177" s="27">
        <v>11106.06</v>
      </c>
      <c r="K177" s="27">
        <v>1500000</v>
      </c>
    </row>
    <row r="178" spans="1:11" ht="12.75" customHeight="1" x14ac:dyDescent="0.2">
      <c r="A178" t="s">
        <v>6748</v>
      </c>
      <c r="B178" t="s">
        <v>6749</v>
      </c>
      <c r="C178">
        <v>2023</v>
      </c>
      <c r="D178" s="18">
        <v>45227</v>
      </c>
      <c r="E178" s="18">
        <v>45592</v>
      </c>
      <c r="F178" s="18" t="s">
        <v>611</v>
      </c>
      <c r="G178" t="s">
        <v>101</v>
      </c>
      <c r="H178">
        <v>1</v>
      </c>
      <c r="I178">
        <v>1</v>
      </c>
      <c r="J178" s="27">
        <v>42664.79</v>
      </c>
      <c r="K178" s="27">
        <v>3000000</v>
      </c>
    </row>
    <row r="179" spans="1:11" ht="12.75" customHeight="1" x14ac:dyDescent="0.2">
      <c r="A179" t="s">
        <v>6750</v>
      </c>
      <c r="B179" t="s">
        <v>6751</v>
      </c>
      <c r="C179">
        <v>2023</v>
      </c>
      <c r="D179" s="18">
        <v>45227</v>
      </c>
      <c r="E179" s="18">
        <v>45592</v>
      </c>
      <c r="F179" s="18" t="s">
        <v>611</v>
      </c>
      <c r="G179" t="s">
        <v>100</v>
      </c>
      <c r="H179">
        <v>2</v>
      </c>
      <c r="I179">
        <v>2</v>
      </c>
      <c r="J179" s="27">
        <v>60330.02</v>
      </c>
      <c r="K179" s="27">
        <v>5000000</v>
      </c>
    </row>
    <row r="180" spans="1:11" ht="12.75" customHeight="1" x14ac:dyDescent="0.2">
      <c r="A180" t="s">
        <v>6752</v>
      </c>
      <c r="B180" t="s">
        <v>6753</v>
      </c>
      <c r="C180">
        <v>2023</v>
      </c>
      <c r="D180" s="18">
        <v>45227</v>
      </c>
      <c r="E180" s="18">
        <v>45592</v>
      </c>
      <c r="F180" s="18" t="s">
        <v>611</v>
      </c>
      <c r="G180" t="s">
        <v>99</v>
      </c>
      <c r="H180">
        <v>2</v>
      </c>
      <c r="I180">
        <v>4</v>
      </c>
      <c r="J180" s="27">
        <v>19358.3</v>
      </c>
      <c r="K180" s="27">
        <v>3000000</v>
      </c>
    </row>
    <row r="181" spans="1:11" ht="12.75" customHeight="1" x14ac:dyDescent="0.2">
      <c r="A181" t="s">
        <v>6754</v>
      </c>
      <c r="B181" t="s">
        <v>6755</v>
      </c>
      <c r="C181">
        <v>2023</v>
      </c>
      <c r="D181" s="18">
        <v>45228</v>
      </c>
      <c r="E181" s="18">
        <v>45593</v>
      </c>
      <c r="F181" s="18" t="s">
        <v>608</v>
      </c>
      <c r="G181" t="s">
        <v>101</v>
      </c>
      <c r="H181">
        <v>1</v>
      </c>
      <c r="I181">
        <v>2</v>
      </c>
      <c r="J181" s="27">
        <v>31584.15</v>
      </c>
      <c r="K181" s="27">
        <v>2000000</v>
      </c>
    </row>
    <row r="182" spans="1:11" ht="12.75" customHeight="1" x14ac:dyDescent="0.2">
      <c r="A182" t="s">
        <v>6756</v>
      </c>
      <c r="B182" t="s">
        <v>6757</v>
      </c>
      <c r="C182">
        <v>2023</v>
      </c>
      <c r="D182" s="18">
        <v>45228</v>
      </c>
      <c r="E182" s="18">
        <v>45593</v>
      </c>
      <c r="F182" s="18" t="s">
        <v>611</v>
      </c>
      <c r="G182" t="s">
        <v>100</v>
      </c>
      <c r="H182">
        <v>3</v>
      </c>
      <c r="I182">
        <v>6</v>
      </c>
      <c r="J182" s="27">
        <v>17979.38</v>
      </c>
      <c r="K182" s="27">
        <v>1500000</v>
      </c>
    </row>
    <row r="183" spans="1:11" ht="12.75" customHeight="1" x14ac:dyDescent="0.2">
      <c r="A183" t="s">
        <v>6758</v>
      </c>
      <c r="B183" t="s">
        <v>6759</v>
      </c>
      <c r="C183">
        <v>2023</v>
      </c>
      <c r="D183" s="18">
        <v>45228</v>
      </c>
      <c r="E183" s="18">
        <v>45593</v>
      </c>
      <c r="F183" s="18" t="s">
        <v>611</v>
      </c>
      <c r="G183" t="s">
        <v>101</v>
      </c>
      <c r="H183">
        <v>3</v>
      </c>
      <c r="I183">
        <v>3</v>
      </c>
      <c r="J183" s="27">
        <v>76967.67</v>
      </c>
      <c r="K183" s="27">
        <v>4500000</v>
      </c>
    </row>
    <row r="184" spans="1:11" ht="12.75" customHeight="1" x14ac:dyDescent="0.2">
      <c r="A184" t="s">
        <v>6760</v>
      </c>
      <c r="B184" t="s">
        <v>6761</v>
      </c>
      <c r="C184">
        <v>2023</v>
      </c>
      <c r="D184" s="18">
        <v>45228</v>
      </c>
      <c r="E184" s="18">
        <v>45593</v>
      </c>
      <c r="F184" s="18" t="s">
        <v>611</v>
      </c>
      <c r="G184" t="s">
        <v>99</v>
      </c>
      <c r="H184">
        <v>3</v>
      </c>
      <c r="I184">
        <v>3</v>
      </c>
      <c r="J184" s="27">
        <v>3821.37</v>
      </c>
      <c r="K184" s="27">
        <v>500000</v>
      </c>
    </row>
    <row r="185" spans="1:11" ht="12.75" customHeight="1" x14ac:dyDescent="0.2">
      <c r="A185" t="s">
        <v>6762</v>
      </c>
      <c r="B185" t="s">
        <v>6763</v>
      </c>
      <c r="C185">
        <v>2023</v>
      </c>
      <c r="D185" s="18">
        <v>45228</v>
      </c>
      <c r="E185" s="18">
        <v>45593</v>
      </c>
      <c r="F185" s="18" t="s">
        <v>611</v>
      </c>
      <c r="G185" t="s">
        <v>101</v>
      </c>
      <c r="H185">
        <v>2</v>
      </c>
      <c r="I185">
        <v>4</v>
      </c>
      <c r="J185" s="27">
        <v>159444.79</v>
      </c>
      <c r="K185" s="27">
        <v>10000000</v>
      </c>
    </row>
    <row r="186" spans="1:11" ht="12.75" customHeight="1" x14ac:dyDescent="0.2">
      <c r="A186" t="s">
        <v>6764</v>
      </c>
      <c r="B186" t="s">
        <v>6765</v>
      </c>
      <c r="C186">
        <v>2023</v>
      </c>
      <c r="D186" s="18">
        <v>45228</v>
      </c>
      <c r="E186" s="18">
        <v>45593</v>
      </c>
      <c r="F186" s="18" t="s">
        <v>611</v>
      </c>
      <c r="G186" t="s">
        <v>100</v>
      </c>
      <c r="H186">
        <v>1</v>
      </c>
      <c r="I186">
        <v>2</v>
      </c>
      <c r="J186" s="27">
        <v>23351.39</v>
      </c>
      <c r="K186" s="27">
        <v>2000000</v>
      </c>
    </row>
    <row r="187" spans="1:11" ht="12.75" customHeight="1" x14ac:dyDescent="0.2">
      <c r="A187" t="s">
        <v>6766</v>
      </c>
      <c r="B187" t="s">
        <v>6767</v>
      </c>
      <c r="C187">
        <v>2023</v>
      </c>
      <c r="D187" s="18">
        <v>45228</v>
      </c>
      <c r="E187" s="18">
        <v>45593</v>
      </c>
      <c r="F187" s="18" t="s">
        <v>611</v>
      </c>
      <c r="G187" t="s">
        <v>100</v>
      </c>
      <c r="H187">
        <v>1</v>
      </c>
      <c r="I187">
        <v>1</v>
      </c>
      <c r="J187" s="27">
        <v>57869</v>
      </c>
      <c r="K187" s="27">
        <v>5000000</v>
      </c>
    </row>
    <row r="188" spans="1:11" ht="12.75" customHeight="1" x14ac:dyDescent="0.2">
      <c r="A188" t="s">
        <v>6768</v>
      </c>
      <c r="B188" t="s">
        <v>6769</v>
      </c>
      <c r="C188">
        <v>2023</v>
      </c>
      <c r="D188" s="18">
        <v>45229</v>
      </c>
      <c r="E188" s="18">
        <v>45594</v>
      </c>
      <c r="F188" s="18" t="s">
        <v>611</v>
      </c>
      <c r="G188" t="s">
        <v>100</v>
      </c>
      <c r="H188">
        <v>1</v>
      </c>
      <c r="I188">
        <v>1</v>
      </c>
      <c r="J188" s="27">
        <v>22534.46</v>
      </c>
      <c r="K188" s="27">
        <v>2000000</v>
      </c>
    </row>
    <row r="189" spans="1:11" ht="12.75" customHeight="1" x14ac:dyDescent="0.2">
      <c r="A189" t="s">
        <v>6770</v>
      </c>
      <c r="B189" t="s">
        <v>6771</v>
      </c>
      <c r="C189">
        <v>2023</v>
      </c>
      <c r="D189" s="18">
        <v>45229</v>
      </c>
      <c r="E189" s="18">
        <v>45594</v>
      </c>
      <c r="F189" s="18" t="s">
        <v>611</v>
      </c>
      <c r="G189" t="s">
        <v>101</v>
      </c>
      <c r="H189">
        <v>3</v>
      </c>
      <c r="I189">
        <v>6</v>
      </c>
      <c r="J189" s="27">
        <v>59704.93</v>
      </c>
      <c r="K189" s="27">
        <v>4000000</v>
      </c>
    </row>
    <row r="190" spans="1:11" ht="12.75" customHeight="1" x14ac:dyDescent="0.2">
      <c r="A190" t="s">
        <v>6772</v>
      </c>
      <c r="B190" t="s">
        <v>6773</v>
      </c>
      <c r="C190">
        <v>2023</v>
      </c>
      <c r="D190" s="18">
        <v>45229</v>
      </c>
      <c r="E190" s="18">
        <v>45594</v>
      </c>
      <c r="F190" s="18" t="s">
        <v>611</v>
      </c>
      <c r="G190" t="s">
        <v>101</v>
      </c>
      <c r="H190">
        <v>1</v>
      </c>
      <c r="I190">
        <v>1</v>
      </c>
      <c r="J190" s="27">
        <v>49840.87</v>
      </c>
      <c r="K190" s="27">
        <v>3000000</v>
      </c>
    </row>
    <row r="191" spans="1:11" ht="12.75" customHeight="1" x14ac:dyDescent="0.2">
      <c r="A191" t="s">
        <v>6774</v>
      </c>
      <c r="B191" t="s">
        <v>6775</v>
      </c>
      <c r="C191">
        <v>2023</v>
      </c>
      <c r="D191" s="18">
        <v>45229</v>
      </c>
      <c r="E191" s="18">
        <v>45594</v>
      </c>
      <c r="F191" s="18" t="s">
        <v>611</v>
      </c>
      <c r="G191" t="s">
        <v>102</v>
      </c>
      <c r="H191">
        <v>1</v>
      </c>
      <c r="I191">
        <v>1</v>
      </c>
      <c r="J191" s="27">
        <v>19721.48</v>
      </c>
      <c r="K191" s="27">
        <v>2500000</v>
      </c>
    </row>
    <row r="192" spans="1:11" ht="12.75" customHeight="1" x14ac:dyDescent="0.2">
      <c r="A192" t="s">
        <v>6776</v>
      </c>
      <c r="B192" t="s">
        <v>6777</v>
      </c>
      <c r="C192">
        <v>2023</v>
      </c>
      <c r="D192" s="18">
        <v>45229</v>
      </c>
      <c r="E192" s="18">
        <v>45594</v>
      </c>
      <c r="F192" s="18" t="s">
        <v>611</v>
      </c>
      <c r="G192" t="s">
        <v>101</v>
      </c>
      <c r="H192">
        <v>3</v>
      </c>
      <c r="I192">
        <v>3</v>
      </c>
      <c r="J192" s="27">
        <v>16767.599999999999</v>
      </c>
      <c r="K192" s="27">
        <v>1000000</v>
      </c>
    </row>
    <row r="193" spans="1:11" ht="12.75" customHeight="1" x14ac:dyDescent="0.2">
      <c r="A193" t="s">
        <v>6778</v>
      </c>
      <c r="B193" t="s">
        <v>6779</v>
      </c>
      <c r="C193">
        <v>2023</v>
      </c>
      <c r="D193" s="18">
        <v>45230</v>
      </c>
      <c r="E193" s="18">
        <v>45595</v>
      </c>
      <c r="F193" s="18" t="s">
        <v>608</v>
      </c>
      <c r="G193" t="s">
        <v>99</v>
      </c>
      <c r="H193">
        <v>2</v>
      </c>
      <c r="I193">
        <v>4</v>
      </c>
      <c r="J193" s="27">
        <v>27332.19</v>
      </c>
      <c r="K193" s="27">
        <v>3500000</v>
      </c>
    </row>
    <row r="194" spans="1:11" ht="12.75" customHeight="1" x14ac:dyDescent="0.2">
      <c r="A194" t="s">
        <v>6780</v>
      </c>
      <c r="B194" t="s">
        <v>6781</v>
      </c>
      <c r="C194">
        <v>2023</v>
      </c>
      <c r="D194" s="18">
        <v>45230</v>
      </c>
      <c r="E194" s="18">
        <v>45595</v>
      </c>
      <c r="F194" s="18" t="s">
        <v>608</v>
      </c>
      <c r="G194" t="s">
        <v>102</v>
      </c>
      <c r="H194">
        <v>1</v>
      </c>
      <c r="I194">
        <v>1</v>
      </c>
      <c r="J194" s="27">
        <v>15123.71</v>
      </c>
      <c r="K194" s="27">
        <v>2000000</v>
      </c>
    </row>
    <row r="195" spans="1:11" ht="12.75" customHeight="1" x14ac:dyDescent="0.2">
      <c r="A195" t="s">
        <v>6782</v>
      </c>
      <c r="B195" t="s">
        <v>6783</v>
      </c>
      <c r="C195">
        <v>2023</v>
      </c>
      <c r="D195" s="18">
        <v>45230</v>
      </c>
      <c r="E195" s="18">
        <v>45595</v>
      </c>
      <c r="F195" s="18" t="s">
        <v>608</v>
      </c>
      <c r="G195" t="s">
        <v>101</v>
      </c>
      <c r="H195">
        <v>1</v>
      </c>
      <c r="I195">
        <v>1</v>
      </c>
      <c r="J195" s="27">
        <v>41588.14</v>
      </c>
      <c r="K195" s="27">
        <v>2500000</v>
      </c>
    </row>
    <row r="196" spans="1:11" ht="12.75" customHeight="1" x14ac:dyDescent="0.2">
      <c r="A196" t="s">
        <v>6784</v>
      </c>
      <c r="B196" t="s">
        <v>6785</v>
      </c>
      <c r="C196">
        <v>2023</v>
      </c>
      <c r="D196" s="18">
        <v>45230</v>
      </c>
      <c r="E196" s="18">
        <v>45595</v>
      </c>
      <c r="F196" s="18" t="s">
        <v>611</v>
      </c>
      <c r="G196" t="s">
        <v>100</v>
      </c>
      <c r="H196">
        <v>2</v>
      </c>
      <c r="I196">
        <v>2</v>
      </c>
      <c r="J196" s="27">
        <v>61050.33</v>
      </c>
      <c r="K196" s="27">
        <v>5000000</v>
      </c>
    </row>
    <row r="197" spans="1:11" ht="12.75" customHeight="1" x14ac:dyDescent="0.2">
      <c r="A197" t="s">
        <v>6786</v>
      </c>
      <c r="B197" t="s">
        <v>6787</v>
      </c>
      <c r="C197">
        <v>2023</v>
      </c>
      <c r="D197" s="18">
        <v>45230</v>
      </c>
      <c r="E197" s="18">
        <v>45595</v>
      </c>
      <c r="F197" s="18" t="s">
        <v>611</v>
      </c>
      <c r="G197" t="s">
        <v>100</v>
      </c>
      <c r="H197">
        <v>1</v>
      </c>
      <c r="I197">
        <v>2</v>
      </c>
      <c r="J197" s="27">
        <v>24028.57</v>
      </c>
      <c r="K197" s="27">
        <v>2000000</v>
      </c>
    </row>
    <row r="198" spans="1:11" ht="12.75" customHeight="1" x14ac:dyDescent="0.2">
      <c r="A198" t="s">
        <v>6788</v>
      </c>
      <c r="B198" t="s">
        <v>6789</v>
      </c>
      <c r="C198">
        <v>2023</v>
      </c>
      <c r="D198" s="18">
        <v>45231</v>
      </c>
      <c r="E198" s="18">
        <v>45596</v>
      </c>
      <c r="F198" s="18" t="s">
        <v>608</v>
      </c>
      <c r="G198" t="s">
        <v>101</v>
      </c>
      <c r="H198">
        <v>1</v>
      </c>
      <c r="I198">
        <v>1</v>
      </c>
      <c r="J198" s="27">
        <v>51914.64</v>
      </c>
      <c r="K198" s="27">
        <v>3500000</v>
      </c>
    </row>
    <row r="199" spans="1:11" ht="12.75" customHeight="1" x14ac:dyDescent="0.2">
      <c r="A199" t="s">
        <v>6790</v>
      </c>
      <c r="B199" t="s">
        <v>6791</v>
      </c>
      <c r="C199">
        <v>2023</v>
      </c>
      <c r="D199" s="18">
        <v>45231</v>
      </c>
      <c r="E199" s="18">
        <v>45596</v>
      </c>
      <c r="F199" s="18" t="s">
        <v>608</v>
      </c>
      <c r="G199" t="s">
        <v>100</v>
      </c>
      <c r="H199">
        <v>2</v>
      </c>
      <c r="I199">
        <v>2</v>
      </c>
      <c r="J199" s="27">
        <v>23216.01</v>
      </c>
      <c r="K199" s="27">
        <v>2000000</v>
      </c>
    </row>
    <row r="200" spans="1:11" ht="12.75" customHeight="1" x14ac:dyDescent="0.2">
      <c r="A200" t="s">
        <v>6792</v>
      </c>
      <c r="B200" t="s">
        <v>6793</v>
      </c>
      <c r="C200">
        <v>2023</v>
      </c>
      <c r="D200" s="18">
        <v>45231</v>
      </c>
      <c r="E200" s="18">
        <v>45596</v>
      </c>
      <c r="F200" s="18" t="s">
        <v>611</v>
      </c>
      <c r="G200" t="s">
        <v>99</v>
      </c>
      <c r="H200">
        <v>1</v>
      </c>
      <c r="I200">
        <v>2</v>
      </c>
      <c r="J200" s="27">
        <v>13915.86</v>
      </c>
      <c r="K200" s="27">
        <v>2000000</v>
      </c>
    </row>
    <row r="201" spans="1:11" ht="12.75" customHeight="1" x14ac:dyDescent="0.2">
      <c r="A201" t="s">
        <v>6794</v>
      </c>
      <c r="B201" t="s">
        <v>6795</v>
      </c>
      <c r="C201">
        <v>2023</v>
      </c>
      <c r="D201" s="18">
        <v>45231</v>
      </c>
      <c r="E201" s="18">
        <v>45596</v>
      </c>
      <c r="F201" s="18" t="s">
        <v>611</v>
      </c>
      <c r="G201" t="s">
        <v>99</v>
      </c>
      <c r="H201">
        <v>1</v>
      </c>
      <c r="I201">
        <v>1</v>
      </c>
      <c r="J201" s="27">
        <v>73991.490000000005</v>
      </c>
      <c r="K201" s="27">
        <v>10000000</v>
      </c>
    </row>
    <row r="202" spans="1:11" ht="12.75" customHeight="1" x14ac:dyDescent="0.2">
      <c r="A202" t="s">
        <v>6796</v>
      </c>
      <c r="B202" t="s">
        <v>6797</v>
      </c>
      <c r="C202">
        <v>2023</v>
      </c>
      <c r="D202" s="18">
        <v>45231</v>
      </c>
      <c r="E202" s="18">
        <v>45596</v>
      </c>
      <c r="F202" s="18" t="s">
        <v>611</v>
      </c>
      <c r="G202" t="s">
        <v>101</v>
      </c>
      <c r="H202">
        <v>1</v>
      </c>
      <c r="I202">
        <v>2</v>
      </c>
      <c r="J202" s="27">
        <v>28312.74</v>
      </c>
      <c r="K202" s="27">
        <v>2000000</v>
      </c>
    </row>
    <row r="203" spans="1:11" ht="12.75" customHeight="1" x14ac:dyDescent="0.2">
      <c r="A203" t="s">
        <v>6798</v>
      </c>
      <c r="B203" t="s">
        <v>6799</v>
      </c>
      <c r="C203">
        <v>2023</v>
      </c>
      <c r="D203" s="18">
        <v>45231</v>
      </c>
      <c r="E203" s="18">
        <v>45596</v>
      </c>
      <c r="F203" s="18" t="s">
        <v>611</v>
      </c>
      <c r="G203" t="s">
        <v>101</v>
      </c>
      <c r="H203">
        <v>1</v>
      </c>
      <c r="I203">
        <v>2</v>
      </c>
      <c r="J203" s="27">
        <v>64629.63</v>
      </c>
      <c r="K203" s="27">
        <v>4000000</v>
      </c>
    </row>
    <row r="204" spans="1:11" ht="12.75" customHeight="1" x14ac:dyDescent="0.2">
      <c r="A204" t="s">
        <v>6800</v>
      </c>
      <c r="B204" t="s">
        <v>6801</v>
      </c>
      <c r="C204">
        <v>2023</v>
      </c>
      <c r="D204" s="18">
        <v>45232</v>
      </c>
      <c r="E204" s="18">
        <v>45597</v>
      </c>
      <c r="F204" s="18" t="s">
        <v>611</v>
      </c>
      <c r="G204" t="s">
        <v>100</v>
      </c>
      <c r="H204">
        <v>1</v>
      </c>
      <c r="I204">
        <v>2</v>
      </c>
      <c r="J204" s="27">
        <v>11444.21</v>
      </c>
      <c r="K204" s="27">
        <v>1000000</v>
      </c>
    </row>
    <row r="205" spans="1:11" ht="12.75" customHeight="1" x14ac:dyDescent="0.2">
      <c r="A205" t="s">
        <v>6802</v>
      </c>
      <c r="B205" t="s">
        <v>6803</v>
      </c>
      <c r="C205">
        <v>2023</v>
      </c>
      <c r="D205" s="18">
        <v>45232</v>
      </c>
      <c r="E205" s="18">
        <v>45597</v>
      </c>
      <c r="F205" s="18" t="s">
        <v>611</v>
      </c>
      <c r="G205" t="s">
        <v>99</v>
      </c>
      <c r="H205">
        <v>1</v>
      </c>
      <c r="I205">
        <v>2</v>
      </c>
      <c r="J205" s="27">
        <v>37162.01</v>
      </c>
      <c r="K205" s="27">
        <v>5000000</v>
      </c>
    </row>
    <row r="206" spans="1:11" ht="12.75" customHeight="1" x14ac:dyDescent="0.2">
      <c r="A206" t="s">
        <v>6804</v>
      </c>
      <c r="B206" t="s">
        <v>6805</v>
      </c>
      <c r="C206">
        <v>2023</v>
      </c>
      <c r="D206" s="18">
        <v>45232</v>
      </c>
      <c r="E206" s="18">
        <v>45597</v>
      </c>
      <c r="F206" s="18" t="s">
        <v>611</v>
      </c>
      <c r="G206" t="s">
        <v>99</v>
      </c>
      <c r="H206">
        <v>1</v>
      </c>
      <c r="I206">
        <v>1</v>
      </c>
      <c r="J206" s="27">
        <v>14328.41</v>
      </c>
      <c r="K206" s="27">
        <v>2000000</v>
      </c>
    </row>
    <row r="207" spans="1:11" ht="12.75" customHeight="1" x14ac:dyDescent="0.2">
      <c r="A207" t="s">
        <v>6806</v>
      </c>
      <c r="B207" t="s">
        <v>6807</v>
      </c>
      <c r="C207">
        <v>2023</v>
      </c>
      <c r="D207" s="18">
        <v>45232</v>
      </c>
      <c r="E207" s="18">
        <v>45597</v>
      </c>
      <c r="F207" s="18" t="s">
        <v>611</v>
      </c>
      <c r="G207" t="s">
        <v>100</v>
      </c>
      <c r="H207">
        <v>3</v>
      </c>
      <c r="I207">
        <v>3</v>
      </c>
      <c r="J207" s="27">
        <v>41940.35</v>
      </c>
      <c r="K207" s="27">
        <v>4000000</v>
      </c>
    </row>
    <row r="208" spans="1:11" ht="12.75" customHeight="1" x14ac:dyDescent="0.2">
      <c r="A208" t="s">
        <v>6808</v>
      </c>
      <c r="B208" t="s">
        <v>6809</v>
      </c>
      <c r="C208">
        <v>2023</v>
      </c>
      <c r="D208" s="18">
        <v>45232</v>
      </c>
      <c r="E208" s="18">
        <v>45597</v>
      </c>
      <c r="F208" s="18" t="s">
        <v>611</v>
      </c>
      <c r="G208" t="s">
        <v>102</v>
      </c>
      <c r="H208">
        <v>3</v>
      </c>
      <c r="I208">
        <v>3</v>
      </c>
      <c r="J208" s="27">
        <v>84618.26</v>
      </c>
      <c r="K208" s="27">
        <v>10000000</v>
      </c>
    </row>
    <row r="209" spans="1:11" ht="12.75" customHeight="1" x14ac:dyDescent="0.2">
      <c r="A209" t="s">
        <v>6810</v>
      </c>
      <c r="B209" t="s">
        <v>6811</v>
      </c>
      <c r="C209">
        <v>2023</v>
      </c>
      <c r="D209" s="18">
        <v>45232</v>
      </c>
      <c r="E209" s="18">
        <v>45597</v>
      </c>
      <c r="F209" s="18" t="s">
        <v>611</v>
      </c>
      <c r="G209" t="s">
        <v>100</v>
      </c>
      <c r="H209">
        <v>3</v>
      </c>
      <c r="I209">
        <v>6</v>
      </c>
      <c r="J209" s="27">
        <v>108527.69</v>
      </c>
      <c r="K209" s="27">
        <v>10000000</v>
      </c>
    </row>
    <row r="210" spans="1:11" ht="12.75" customHeight="1" x14ac:dyDescent="0.2">
      <c r="A210" t="s">
        <v>6812</v>
      </c>
      <c r="B210" t="s">
        <v>6813</v>
      </c>
      <c r="C210">
        <v>2023</v>
      </c>
      <c r="D210" s="18">
        <v>45233</v>
      </c>
      <c r="E210" s="18">
        <v>45598</v>
      </c>
      <c r="F210" s="18" t="s">
        <v>611</v>
      </c>
      <c r="G210" t="s">
        <v>100</v>
      </c>
      <c r="H210">
        <v>1</v>
      </c>
      <c r="I210">
        <v>2</v>
      </c>
      <c r="J210" s="27">
        <v>6295.17</v>
      </c>
      <c r="K210" s="27">
        <v>500000</v>
      </c>
    </row>
    <row r="211" spans="1:11" ht="12.75" customHeight="1" x14ac:dyDescent="0.2">
      <c r="A211" t="s">
        <v>6814</v>
      </c>
      <c r="B211" t="s">
        <v>6815</v>
      </c>
      <c r="C211">
        <v>2023</v>
      </c>
      <c r="D211" s="18">
        <v>45233</v>
      </c>
      <c r="E211" s="18">
        <v>45598</v>
      </c>
      <c r="F211" s="18" t="s">
        <v>611</v>
      </c>
      <c r="G211" t="s">
        <v>99</v>
      </c>
      <c r="H211">
        <v>1</v>
      </c>
      <c r="I211">
        <v>2</v>
      </c>
      <c r="J211" s="27">
        <v>26671.37</v>
      </c>
      <c r="K211" s="27">
        <v>4000000</v>
      </c>
    </row>
    <row r="212" spans="1:11" ht="12.75" customHeight="1" x14ac:dyDescent="0.2">
      <c r="A212" t="s">
        <v>6816</v>
      </c>
      <c r="B212" t="s">
        <v>6817</v>
      </c>
      <c r="C212">
        <v>2023</v>
      </c>
      <c r="D212" s="18">
        <v>45233</v>
      </c>
      <c r="E212" s="18">
        <v>45598</v>
      </c>
      <c r="F212" s="18" t="s">
        <v>611</v>
      </c>
      <c r="G212" t="s">
        <v>99</v>
      </c>
      <c r="H212">
        <v>2</v>
      </c>
      <c r="I212">
        <v>4</v>
      </c>
      <c r="J212" s="27">
        <v>20724.349999999999</v>
      </c>
      <c r="K212" s="27">
        <v>3000000</v>
      </c>
    </row>
    <row r="213" spans="1:11" ht="12.75" customHeight="1" x14ac:dyDescent="0.2">
      <c r="A213" t="s">
        <v>6818</v>
      </c>
      <c r="B213" t="s">
        <v>6819</v>
      </c>
      <c r="C213">
        <v>2023</v>
      </c>
      <c r="D213" s="18">
        <v>45233</v>
      </c>
      <c r="E213" s="18">
        <v>45598</v>
      </c>
      <c r="F213" s="18" t="s">
        <v>611</v>
      </c>
      <c r="G213" t="s">
        <v>102</v>
      </c>
      <c r="H213">
        <v>1</v>
      </c>
      <c r="I213">
        <v>2</v>
      </c>
      <c r="J213" s="27">
        <v>12420.18</v>
      </c>
      <c r="K213" s="27">
        <v>1500000</v>
      </c>
    </row>
    <row r="214" spans="1:11" ht="12.75" customHeight="1" x14ac:dyDescent="0.2">
      <c r="A214" t="s">
        <v>6820</v>
      </c>
      <c r="B214" t="s">
        <v>6821</v>
      </c>
      <c r="C214">
        <v>2023</v>
      </c>
      <c r="D214" s="18">
        <v>45234</v>
      </c>
      <c r="E214" s="18">
        <v>45599</v>
      </c>
      <c r="F214" s="18" t="s">
        <v>608</v>
      </c>
      <c r="G214" t="s">
        <v>100</v>
      </c>
      <c r="H214">
        <v>1</v>
      </c>
      <c r="I214">
        <v>2</v>
      </c>
      <c r="J214" s="27">
        <v>10511.86</v>
      </c>
      <c r="K214" s="27">
        <v>1000000</v>
      </c>
    </row>
    <row r="215" spans="1:11" ht="12.75" customHeight="1" x14ac:dyDescent="0.2">
      <c r="A215" t="s">
        <v>6822</v>
      </c>
      <c r="B215" t="s">
        <v>6823</v>
      </c>
      <c r="C215">
        <v>2023</v>
      </c>
      <c r="D215" s="18">
        <v>45234</v>
      </c>
      <c r="E215" s="18">
        <v>45599</v>
      </c>
      <c r="F215" s="18" t="s">
        <v>611</v>
      </c>
      <c r="G215" t="s">
        <v>99</v>
      </c>
      <c r="H215">
        <v>1</v>
      </c>
      <c r="I215">
        <v>2</v>
      </c>
      <c r="J215" s="27">
        <v>25879.919999999998</v>
      </c>
      <c r="K215" s="27">
        <v>4000000</v>
      </c>
    </row>
    <row r="216" spans="1:11" ht="12.75" customHeight="1" x14ac:dyDescent="0.2">
      <c r="A216" t="s">
        <v>6824</v>
      </c>
      <c r="B216" t="s">
        <v>6825</v>
      </c>
      <c r="C216">
        <v>2023</v>
      </c>
      <c r="D216" s="18">
        <v>45234</v>
      </c>
      <c r="E216" s="18">
        <v>45599</v>
      </c>
      <c r="F216" s="18" t="s">
        <v>611</v>
      </c>
      <c r="G216" t="s">
        <v>100</v>
      </c>
      <c r="H216">
        <v>1</v>
      </c>
      <c r="I216">
        <v>1</v>
      </c>
      <c r="J216" s="27">
        <v>106705.61</v>
      </c>
      <c r="K216" s="27">
        <v>10000000</v>
      </c>
    </row>
    <row r="217" spans="1:11" ht="12.75" customHeight="1" x14ac:dyDescent="0.2">
      <c r="A217" t="s">
        <v>6826</v>
      </c>
      <c r="B217" t="s">
        <v>6827</v>
      </c>
      <c r="C217">
        <v>2023</v>
      </c>
      <c r="D217" s="18">
        <v>45234</v>
      </c>
      <c r="E217" s="18">
        <v>45599</v>
      </c>
      <c r="F217" s="18" t="s">
        <v>611</v>
      </c>
      <c r="G217" t="s">
        <v>101</v>
      </c>
      <c r="H217">
        <v>3</v>
      </c>
      <c r="I217">
        <v>6</v>
      </c>
      <c r="J217" s="27">
        <v>24825.38</v>
      </c>
      <c r="K217" s="27">
        <v>1500000</v>
      </c>
    </row>
    <row r="218" spans="1:11" ht="12.75" customHeight="1" x14ac:dyDescent="0.2">
      <c r="A218" t="s">
        <v>6828</v>
      </c>
      <c r="B218" t="s">
        <v>6829</v>
      </c>
      <c r="C218">
        <v>2023</v>
      </c>
      <c r="D218" s="18">
        <v>45234</v>
      </c>
      <c r="E218" s="18">
        <v>45599</v>
      </c>
      <c r="F218" s="18" t="s">
        <v>611</v>
      </c>
      <c r="G218" t="s">
        <v>99</v>
      </c>
      <c r="H218">
        <v>3</v>
      </c>
      <c r="I218">
        <v>3</v>
      </c>
      <c r="J218" s="27">
        <v>74332.12</v>
      </c>
      <c r="K218" s="27">
        <v>10000000</v>
      </c>
    </row>
    <row r="219" spans="1:11" ht="12.75" customHeight="1" x14ac:dyDescent="0.2">
      <c r="A219" t="s">
        <v>6830</v>
      </c>
      <c r="B219" t="s">
        <v>6831</v>
      </c>
      <c r="C219">
        <v>2023</v>
      </c>
      <c r="D219" s="18">
        <v>45234</v>
      </c>
      <c r="E219" s="18">
        <v>45599</v>
      </c>
      <c r="F219" s="18" t="s">
        <v>611</v>
      </c>
      <c r="G219" t="s">
        <v>102</v>
      </c>
      <c r="H219">
        <v>2</v>
      </c>
      <c r="I219">
        <v>4</v>
      </c>
      <c r="J219" s="27">
        <v>36047.449999999997</v>
      </c>
      <c r="K219" s="27">
        <v>4500000</v>
      </c>
    </row>
    <row r="220" spans="1:11" ht="12.75" customHeight="1" x14ac:dyDescent="0.2">
      <c r="A220" t="s">
        <v>6832</v>
      </c>
      <c r="B220" t="s">
        <v>6833</v>
      </c>
      <c r="C220">
        <v>2023</v>
      </c>
      <c r="D220" s="18">
        <v>45234</v>
      </c>
      <c r="E220" s="18">
        <v>45599</v>
      </c>
      <c r="F220" s="18" t="s">
        <v>611</v>
      </c>
      <c r="G220" t="s">
        <v>100</v>
      </c>
      <c r="H220">
        <v>1</v>
      </c>
      <c r="I220">
        <v>1</v>
      </c>
      <c r="J220" s="27">
        <v>22533.62</v>
      </c>
      <c r="K220" s="27">
        <v>2000000</v>
      </c>
    </row>
    <row r="221" spans="1:11" ht="12.75" customHeight="1" x14ac:dyDescent="0.2">
      <c r="A221" t="s">
        <v>6834</v>
      </c>
      <c r="B221" t="s">
        <v>6835</v>
      </c>
      <c r="C221">
        <v>2023</v>
      </c>
      <c r="D221" s="18">
        <v>45234</v>
      </c>
      <c r="E221" s="18">
        <v>45599</v>
      </c>
      <c r="F221" s="18" t="s">
        <v>611</v>
      </c>
      <c r="G221" t="s">
        <v>100</v>
      </c>
      <c r="H221">
        <v>2</v>
      </c>
      <c r="I221">
        <v>2</v>
      </c>
      <c r="J221" s="27">
        <v>35849.089999999997</v>
      </c>
      <c r="K221" s="27">
        <v>3000000</v>
      </c>
    </row>
    <row r="222" spans="1:11" ht="12.75" customHeight="1" x14ac:dyDescent="0.2">
      <c r="A222" t="s">
        <v>6836</v>
      </c>
      <c r="B222" t="s">
        <v>6837</v>
      </c>
      <c r="C222">
        <v>2023</v>
      </c>
      <c r="D222" s="18">
        <v>45234</v>
      </c>
      <c r="E222" s="18">
        <v>45599</v>
      </c>
      <c r="F222" s="18" t="s">
        <v>611</v>
      </c>
      <c r="G222" t="s">
        <v>99</v>
      </c>
      <c r="H222">
        <v>1</v>
      </c>
      <c r="I222">
        <v>2</v>
      </c>
      <c r="J222" s="27">
        <v>30543.06</v>
      </c>
      <c r="K222" s="27">
        <v>4000000</v>
      </c>
    </row>
    <row r="223" spans="1:11" ht="12.75" customHeight="1" x14ac:dyDescent="0.2">
      <c r="A223" t="s">
        <v>6838</v>
      </c>
      <c r="B223" t="s">
        <v>6839</v>
      </c>
      <c r="C223">
        <v>2023</v>
      </c>
      <c r="D223" s="18">
        <v>45235</v>
      </c>
      <c r="E223" s="18">
        <v>45600</v>
      </c>
      <c r="F223" s="18" t="s">
        <v>608</v>
      </c>
      <c r="G223" t="s">
        <v>101</v>
      </c>
      <c r="H223">
        <v>3</v>
      </c>
      <c r="I223">
        <v>3</v>
      </c>
      <c r="J223" s="27">
        <v>23362.28</v>
      </c>
      <c r="K223" s="27">
        <v>1500000</v>
      </c>
    </row>
    <row r="224" spans="1:11" ht="12.75" customHeight="1" x14ac:dyDescent="0.2">
      <c r="A224" t="s">
        <v>6840</v>
      </c>
      <c r="B224" t="s">
        <v>6841</v>
      </c>
      <c r="C224">
        <v>2023</v>
      </c>
      <c r="D224" s="18">
        <v>45235</v>
      </c>
      <c r="E224" s="18">
        <v>45600</v>
      </c>
      <c r="F224" s="18" t="s">
        <v>608</v>
      </c>
      <c r="G224" t="s">
        <v>100</v>
      </c>
      <c r="H224">
        <v>2</v>
      </c>
      <c r="I224">
        <v>2</v>
      </c>
      <c r="J224" s="27">
        <v>52100.32</v>
      </c>
      <c r="K224" s="27">
        <v>5000000</v>
      </c>
    </row>
    <row r="225" spans="1:11" ht="12.75" customHeight="1" x14ac:dyDescent="0.2">
      <c r="A225" t="s">
        <v>6842</v>
      </c>
      <c r="B225" t="s">
        <v>6843</v>
      </c>
      <c r="C225">
        <v>2023</v>
      </c>
      <c r="D225" s="18">
        <v>45235</v>
      </c>
      <c r="E225" s="18">
        <v>45600</v>
      </c>
      <c r="F225" s="18" t="s">
        <v>611</v>
      </c>
      <c r="G225" t="s">
        <v>100</v>
      </c>
      <c r="H225">
        <v>1</v>
      </c>
      <c r="I225">
        <v>1</v>
      </c>
      <c r="J225" s="27">
        <v>24675.599999999999</v>
      </c>
      <c r="K225" s="27">
        <v>2000000</v>
      </c>
    </row>
    <row r="226" spans="1:11" ht="12.75" customHeight="1" x14ac:dyDescent="0.2">
      <c r="A226" t="s">
        <v>6844</v>
      </c>
      <c r="B226" t="s">
        <v>6845</v>
      </c>
      <c r="C226">
        <v>2023</v>
      </c>
      <c r="D226" s="18">
        <v>45235</v>
      </c>
      <c r="E226" s="18">
        <v>45600</v>
      </c>
      <c r="F226" s="18" t="s">
        <v>611</v>
      </c>
      <c r="G226" t="s">
        <v>101</v>
      </c>
      <c r="H226">
        <v>1</v>
      </c>
      <c r="I226">
        <v>1</v>
      </c>
      <c r="J226" s="27">
        <v>166640.76999999999</v>
      </c>
      <c r="K226" s="27">
        <v>10000000</v>
      </c>
    </row>
    <row r="227" spans="1:11" ht="12.75" customHeight="1" x14ac:dyDescent="0.2">
      <c r="A227" t="s">
        <v>6846</v>
      </c>
      <c r="B227" t="s">
        <v>6847</v>
      </c>
      <c r="C227">
        <v>2023</v>
      </c>
      <c r="D227" s="18">
        <v>45235</v>
      </c>
      <c r="E227" s="18">
        <v>45600</v>
      </c>
      <c r="F227" s="18" t="s">
        <v>611</v>
      </c>
      <c r="G227" t="s">
        <v>101</v>
      </c>
      <c r="H227">
        <v>3</v>
      </c>
      <c r="I227">
        <v>6</v>
      </c>
      <c r="J227" s="27">
        <v>79990.490000000005</v>
      </c>
      <c r="K227" s="27">
        <v>5000000</v>
      </c>
    </row>
    <row r="228" spans="1:11" ht="12.75" customHeight="1" x14ac:dyDescent="0.2">
      <c r="A228" t="s">
        <v>6848</v>
      </c>
      <c r="B228" t="s">
        <v>6849</v>
      </c>
      <c r="C228">
        <v>2023</v>
      </c>
      <c r="D228" s="18">
        <v>45235</v>
      </c>
      <c r="E228" s="18">
        <v>45600</v>
      </c>
      <c r="F228" s="18" t="s">
        <v>611</v>
      </c>
      <c r="G228" t="s">
        <v>100</v>
      </c>
      <c r="H228">
        <v>1</v>
      </c>
      <c r="I228">
        <v>1</v>
      </c>
      <c r="J228" s="27">
        <v>49760.39</v>
      </c>
      <c r="K228" s="27">
        <v>4000000</v>
      </c>
    </row>
    <row r="229" spans="1:11" ht="12.75" customHeight="1" x14ac:dyDescent="0.2">
      <c r="A229" t="s">
        <v>6850</v>
      </c>
      <c r="B229" t="s">
        <v>6851</v>
      </c>
      <c r="C229">
        <v>2023</v>
      </c>
      <c r="D229" s="18">
        <v>45235</v>
      </c>
      <c r="E229" s="18">
        <v>45600</v>
      </c>
      <c r="F229" s="18" t="s">
        <v>611</v>
      </c>
      <c r="G229" t="s">
        <v>101</v>
      </c>
      <c r="H229">
        <v>1</v>
      </c>
      <c r="I229">
        <v>2</v>
      </c>
      <c r="J229" s="27">
        <v>33851.879999999997</v>
      </c>
      <c r="K229" s="27">
        <v>2000000</v>
      </c>
    </row>
    <row r="230" spans="1:11" ht="12.75" customHeight="1" x14ac:dyDescent="0.2">
      <c r="A230" t="s">
        <v>6852</v>
      </c>
      <c r="B230" t="s">
        <v>6853</v>
      </c>
      <c r="C230">
        <v>2023</v>
      </c>
      <c r="D230" s="18">
        <v>45235</v>
      </c>
      <c r="E230" s="18">
        <v>45600</v>
      </c>
      <c r="F230" s="18" t="s">
        <v>611</v>
      </c>
      <c r="G230" t="s">
        <v>101</v>
      </c>
      <c r="H230">
        <v>3</v>
      </c>
      <c r="I230">
        <v>3</v>
      </c>
      <c r="J230" s="27">
        <v>16297.49</v>
      </c>
      <c r="K230" s="27">
        <v>1000000</v>
      </c>
    </row>
    <row r="231" spans="1:11" ht="12.75" customHeight="1" x14ac:dyDescent="0.2">
      <c r="A231" t="s">
        <v>6854</v>
      </c>
      <c r="B231" t="s">
        <v>6855</v>
      </c>
      <c r="C231">
        <v>2023</v>
      </c>
      <c r="D231" s="18">
        <v>45235</v>
      </c>
      <c r="E231" s="18">
        <v>45600</v>
      </c>
      <c r="F231" s="18" t="s">
        <v>611</v>
      </c>
      <c r="G231" t="s">
        <v>99</v>
      </c>
      <c r="H231">
        <v>2</v>
      </c>
      <c r="I231">
        <v>4</v>
      </c>
      <c r="J231" s="27">
        <v>7465.01</v>
      </c>
      <c r="K231" s="27">
        <v>1000000</v>
      </c>
    </row>
    <row r="232" spans="1:11" ht="12.75" customHeight="1" x14ac:dyDescent="0.2">
      <c r="A232" t="s">
        <v>6856</v>
      </c>
      <c r="B232" t="s">
        <v>6857</v>
      </c>
      <c r="C232">
        <v>2023</v>
      </c>
      <c r="D232" s="18">
        <v>45235</v>
      </c>
      <c r="E232" s="18">
        <v>45600</v>
      </c>
      <c r="F232" s="18" t="s">
        <v>611</v>
      </c>
      <c r="G232" t="s">
        <v>99</v>
      </c>
      <c r="H232">
        <v>1</v>
      </c>
      <c r="I232">
        <v>1</v>
      </c>
      <c r="J232" s="27">
        <v>26001.66</v>
      </c>
      <c r="K232" s="27">
        <v>4000000</v>
      </c>
    </row>
    <row r="233" spans="1:11" ht="12.75" customHeight="1" x14ac:dyDescent="0.2">
      <c r="A233" t="s">
        <v>6858</v>
      </c>
      <c r="B233" t="s">
        <v>6859</v>
      </c>
      <c r="C233">
        <v>2023</v>
      </c>
      <c r="D233" s="18">
        <v>45236</v>
      </c>
      <c r="E233" s="18">
        <v>45601</v>
      </c>
      <c r="F233" s="18" t="s">
        <v>611</v>
      </c>
      <c r="G233" t="s">
        <v>99</v>
      </c>
      <c r="H233">
        <v>1</v>
      </c>
      <c r="I233">
        <v>2</v>
      </c>
      <c r="J233" s="27">
        <v>72011.600000000006</v>
      </c>
      <c r="K233" s="27">
        <v>10000000</v>
      </c>
    </row>
    <row r="234" spans="1:11" ht="12.75" customHeight="1" x14ac:dyDescent="0.2">
      <c r="A234" t="s">
        <v>6860</v>
      </c>
      <c r="B234" t="s">
        <v>6861</v>
      </c>
      <c r="C234">
        <v>2023</v>
      </c>
      <c r="D234" s="18">
        <v>45236</v>
      </c>
      <c r="E234" s="18">
        <v>45601</v>
      </c>
      <c r="F234" s="18" t="s">
        <v>611</v>
      </c>
      <c r="G234" t="s">
        <v>99</v>
      </c>
      <c r="H234">
        <v>3</v>
      </c>
      <c r="I234">
        <v>3</v>
      </c>
      <c r="J234" s="27">
        <v>7068.63</v>
      </c>
      <c r="K234" s="27">
        <v>1000000</v>
      </c>
    </row>
    <row r="235" spans="1:11" ht="12.75" customHeight="1" x14ac:dyDescent="0.2">
      <c r="A235" t="s">
        <v>6862</v>
      </c>
      <c r="B235" t="s">
        <v>6863</v>
      </c>
      <c r="C235">
        <v>2023</v>
      </c>
      <c r="D235" s="18">
        <v>45236</v>
      </c>
      <c r="E235" s="18">
        <v>45601</v>
      </c>
      <c r="F235" s="18" t="s">
        <v>611</v>
      </c>
      <c r="G235" t="s">
        <v>100</v>
      </c>
      <c r="H235">
        <v>2</v>
      </c>
      <c r="I235">
        <v>4</v>
      </c>
      <c r="J235" s="27">
        <v>49494.92</v>
      </c>
      <c r="K235" s="27">
        <v>4000000</v>
      </c>
    </row>
    <row r="236" spans="1:11" ht="12.75" customHeight="1" x14ac:dyDescent="0.2">
      <c r="A236" t="s">
        <v>6864</v>
      </c>
      <c r="B236" t="s">
        <v>6865</v>
      </c>
      <c r="C236">
        <v>2023</v>
      </c>
      <c r="D236" s="18">
        <v>45236</v>
      </c>
      <c r="E236" s="18">
        <v>45601</v>
      </c>
      <c r="F236" s="18" t="s">
        <v>611</v>
      </c>
      <c r="G236" t="s">
        <v>100</v>
      </c>
      <c r="H236">
        <v>2</v>
      </c>
      <c r="I236">
        <v>2</v>
      </c>
      <c r="J236" s="27">
        <v>5714.07</v>
      </c>
      <c r="K236" s="27">
        <v>500000</v>
      </c>
    </row>
    <row r="237" spans="1:11" ht="12.75" customHeight="1" x14ac:dyDescent="0.2">
      <c r="A237" t="s">
        <v>6866</v>
      </c>
      <c r="B237" t="s">
        <v>6867</v>
      </c>
      <c r="C237">
        <v>2023</v>
      </c>
      <c r="D237" s="18">
        <v>45237</v>
      </c>
      <c r="E237" s="18">
        <v>45602</v>
      </c>
      <c r="F237" s="18" t="s">
        <v>608</v>
      </c>
      <c r="G237" t="s">
        <v>99</v>
      </c>
      <c r="H237">
        <v>3</v>
      </c>
      <c r="I237">
        <v>6</v>
      </c>
      <c r="J237" s="27">
        <v>30997.31</v>
      </c>
      <c r="K237" s="27">
        <v>4500000</v>
      </c>
    </row>
    <row r="238" spans="1:11" ht="12.75" customHeight="1" x14ac:dyDescent="0.2">
      <c r="A238" t="s">
        <v>6868</v>
      </c>
      <c r="B238" t="s">
        <v>6869</v>
      </c>
      <c r="C238">
        <v>2023</v>
      </c>
      <c r="D238" s="18">
        <v>45237</v>
      </c>
      <c r="E238" s="18">
        <v>45602</v>
      </c>
      <c r="F238" s="18" t="s">
        <v>608</v>
      </c>
      <c r="G238" t="s">
        <v>101</v>
      </c>
      <c r="H238">
        <v>1</v>
      </c>
      <c r="I238">
        <v>1</v>
      </c>
      <c r="J238" s="27">
        <v>15562.35</v>
      </c>
      <c r="K238" s="27">
        <v>1000000</v>
      </c>
    </row>
    <row r="239" spans="1:11" ht="12.75" customHeight="1" x14ac:dyDescent="0.2">
      <c r="A239" t="s">
        <v>6870</v>
      </c>
      <c r="B239" t="s">
        <v>6871</v>
      </c>
      <c r="C239">
        <v>2023</v>
      </c>
      <c r="D239" s="18">
        <v>45237</v>
      </c>
      <c r="E239" s="18">
        <v>45602</v>
      </c>
      <c r="F239" s="18" t="s">
        <v>611</v>
      </c>
      <c r="G239" t="s">
        <v>101</v>
      </c>
      <c r="H239">
        <v>1</v>
      </c>
      <c r="I239">
        <v>2</v>
      </c>
      <c r="J239" s="27">
        <v>161359.13</v>
      </c>
      <c r="K239" s="27">
        <v>10000000</v>
      </c>
    </row>
    <row r="240" spans="1:11" ht="12.75" customHeight="1" x14ac:dyDescent="0.2">
      <c r="A240" t="s">
        <v>6872</v>
      </c>
      <c r="B240" t="s">
        <v>6873</v>
      </c>
      <c r="C240">
        <v>2023</v>
      </c>
      <c r="D240" s="18">
        <v>45237</v>
      </c>
      <c r="E240" s="18">
        <v>45602</v>
      </c>
      <c r="F240" s="18" t="s">
        <v>611</v>
      </c>
      <c r="G240" t="s">
        <v>100</v>
      </c>
      <c r="H240">
        <v>1</v>
      </c>
      <c r="I240">
        <v>1</v>
      </c>
      <c r="J240" s="27">
        <v>124709.05</v>
      </c>
      <c r="K240" s="27">
        <v>10000000</v>
      </c>
    </row>
    <row r="241" spans="1:11" ht="12.75" customHeight="1" x14ac:dyDescent="0.2">
      <c r="A241" t="s">
        <v>6874</v>
      </c>
      <c r="B241" t="s">
        <v>6875</v>
      </c>
      <c r="C241">
        <v>2023</v>
      </c>
      <c r="D241" s="18">
        <v>45237</v>
      </c>
      <c r="E241" s="18">
        <v>45602</v>
      </c>
      <c r="F241" s="18" t="s">
        <v>611</v>
      </c>
      <c r="G241" t="s">
        <v>99</v>
      </c>
      <c r="H241">
        <v>3</v>
      </c>
      <c r="I241">
        <v>6</v>
      </c>
      <c r="J241" s="27">
        <v>22641.119999999999</v>
      </c>
      <c r="K241" s="27">
        <v>3000000</v>
      </c>
    </row>
    <row r="242" spans="1:11" ht="12.75" customHeight="1" x14ac:dyDescent="0.2">
      <c r="A242" t="s">
        <v>6876</v>
      </c>
      <c r="B242" t="s">
        <v>6877</v>
      </c>
      <c r="C242">
        <v>2023</v>
      </c>
      <c r="D242" s="18">
        <v>45237</v>
      </c>
      <c r="E242" s="18">
        <v>45602</v>
      </c>
      <c r="F242" s="18" t="s">
        <v>611</v>
      </c>
      <c r="G242" t="s">
        <v>99</v>
      </c>
      <c r="H242">
        <v>1</v>
      </c>
      <c r="I242">
        <v>1</v>
      </c>
      <c r="J242" s="27">
        <v>14906.79</v>
      </c>
      <c r="K242" s="27">
        <v>2000000</v>
      </c>
    </row>
    <row r="243" spans="1:11" ht="12.75" customHeight="1" x14ac:dyDescent="0.2">
      <c r="A243" t="s">
        <v>6878</v>
      </c>
      <c r="B243" t="s">
        <v>6879</v>
      </c>
      <c r="C243">
        <v>2023</v>
      </c>
      <c r="D243" s="18">
        <v>45237</v>
      </c>
      <c r="E243" s="18">
        <v>45602</v>
      </c>
      <c r="F243" s="18" t="s">
        <v>611</v>
      </c>
      <c r="G243" t="s">
        <v>102</v>
      </c>
      <c r="H243">
        <v>1</v>
      </c>
      <c r="I243">
        <v>2</v>
      </c>
      <c r="J243" s="27">
        <v>21832.14</v>
      </c>
      <c r="K243" s="27">
        <v>3000000</v>
      </c>
    </row>
    <row r="244" spans="1:11" ht="12.75" customHeight="1" x14ac:dyDescent="0.2">
      <c r="A244" t="s">
        <v>6880</v>
      </c>
      <c r="B244" t="s">
        <v>6881</v>
      </c>
      <c r="C244">
        <v>2023</v>
      </c>
      <c r="D244" s="18">
        <v>45237</v>
      </c>
      <c r="E244" s="18">
        <v>45602</v>
      </c>
      <c r="F244" s="18" t="s">
        <v>611</v>
      </c>
      <c r="G244" t="s">
        <v>101</v>
      </c>
      <c r="H244">
        <v>3</v>
      </c>
      <c r="I244">
        <v>3</v>
      </c>
      <c r="J244" s="27">
        <v>82701.960000000006</v>
      </c>
      <c r="K244" s="27">
        <v>5000000</v>
      </c>
    </row>
    <row r="245" spans="1:11" ht="12.75" customHeight="1" x14ac:dyDescent="0.2">
      <c r="A245" t="s">
        <v>6882</v>
      </c>
      <c r="B245" t="s">
        <v>6883</v>
      </c>
      <c r="C245">
        <v>2023</v>
      </c>
      <c r="D245" s="18">
        <v>45238</v>
      </c>
      <c r="E245" s="18">
        <v>45603</v>
      </c>
      <c r="F245" s="18" t="s">
        <v>611</v>
      </c>
      <c r="G245" t="s">
        <v>100</v>
      </c>
      <c r="H245">
        <v>1</v>
      </c>
      <c r="I245">
        <v>1</v>
      </c>
      <c r="J245" s="27">
        <v>10580.07</v>
      </c>
      <c r="K245" s="27">
        <v>1000000</v>
      </c>
    </row>
    <row r="246" spans="1:11" ht="12.75" customHeight="1" x14ac:dyDescent="0.2">
      <c r="A246" t="s">
        <v>6884</v>
      </c>
      <c r="B246" t="s">
        <v>6885</v>
      </c>
      <c r="C246">
        <v>2023</v>
      </c>
      <c r="D246" s="18">
        <v>45238</v>
      </c>
      <c r="E246" s="18">
        <v>45603</v>
      </c>
      <c r="F246" s="18" t="s">
        <v>611</v>
      </c>
      <c r="G246" t="s">
        <v>100</v>
      </c>
      <c r="H246">
        <v>2</v>
      </c>
      <c r="I246">
        <v>4</v>
      </c>
      <c r="J246" s="27">
        <v>42677.74</v>
      </c>
      <c r="K246" s="27">
        <v>4000000</v>
      </c>
    </row>
    <row r="247" spans="1:11" ht="12.75" customHeight="1" x14ac:dyDescent="0.2">
      <c r="A247" t="s">
        <v>6886</v>
      </c>
      <c r="B247" t="s">
        <v>6887</v>
      </c>
      <c r="C247">
        <v>2023</v>
      </c>
      <c r="D247" s="18">
        <v>45238</v>
      </c>
      <c r="E247" s="18">
        <v>45603</v>
      </c>
      <c r="F247" s="18" t="s">
        <v>611</v>
      </c>
      <c r="G247" t="s">
        <v>100</v>
      </c>
      <c r="H247">
        <v>3</v>
      </c>
      <c r="I247">
        <v>3</v>
      </c>
      <c r="J247" s="27">
        <v>22068.04</v>
      </c>
      <c r="K247" s="27">
        <v>2000000</v>
      </c>
    </row>
    <row r="248" spans="1:11" ht="12.75" customHeight="1" x14ac:dyDescent="0.2">
      <c r="A248" t="s">
        <v>6888</v>
      </c>
      <c r="B248" t="s">
        <v>6889</v>
      </c>
      <c r="C248">
        <v>2023</v>
      </c>
      <c r="D248" s="18">
        <v>45238</v>
      </c>
      <c r="E248" s="18">
        <v>45603</v>
      </c>
      <c r="F248" s="18" t="s">
        <v>611</v>
      </c>
      <c r="G248" t="s">
        <v>99</v>
      </c>
      <c r="H248">
        <v>1</v>
      </c>
      <c r="I248">
        <v>1</v>
      </c>
      <c r="J248" s="27">
        <v>67458.880000000005</v>
      </c>
      <c r="K248" s="27">
        <v>10000000</v>
      </c>
    </row>
    <row r="249" spans="1:11" ht="12.75" customHeight="1" x14ac:dyDescent="0.2">
      <c r="A249" t="s">
        <v>6890</v>
      </c>
      <c r="B249" t="s">
        <v>6891</v>
      </c>
      <c r="C249">
        <v>2023</v>
      </c>
      <c r="D249" s="18">
        <v>45238</v>
      </c>
      <c r="E249" s="18">
        <v>45603</v>
      </c>
      <c r="F249" s="18" t="s">
        <v>611</v>
      </c>
      <c r="G249" t="s">
        <v>102</v>
      </c>
      <c r="H249">
        <v>2</v>
      </c>
      <c r="I249">
        <v>2</v>
      </c>
      <c r="J249" s="27">
        <v>32291.39</v>
      </c>
      <c r="K249" s="27">
        <v>4000000</v>
      </c>
    </row>
    <row r="250" spans="1:11" ht="12.75" customHeight="1" x14ac:dyDescent="0.2">
      <c r="A250" t="s">
        <v>6892</v>
      </c>
      <c r="B250" t="s">
        <v>6893</v>
      </c>
      <c r="C250">
        <v>2023</v>
      </c>
      <c r="D250" s="18">
        <v>45238</v>
      </c>
      <c r="E250" s="18">
        <v>45603</v>
      </c>
      <c r="F250" s="18" t="s">
        <v>611</v>
      </c>
      <c r="G250" t="s">
        <v>100</v>
      </c>
      <c r="H250">
        <v>1</v>
      </c>
      <c r="I250">
        <v>2</v>
      </c>
      <c r="J250" s="27">
        <v>23754.18</v>
      </c>
      <c r="K250" s="27">
        <v>2000000</v>
      </c>
    </row>
    <row r="251" spans="1:11" ht="12.75" customHeight="1" x14ac:dyDescent="0.2">
      <c r="A251" t="s">
        <v>6894</v>
      </c>
      <c r="B251" t="s">
        <v>6895</v>
      </c>
      <c r="C251">
        <v>2023</v>
      </c>
      <c r="D251" s="18">
        <v>45239</v>
      </c>
      <c r="E251" s="18">
        <v>45604</v>
      </c>
      <c r="F251" s="18" t="s">
        <v>608</v>
      </c>
      <c r="G251" t="s">
        <v>102</v>
      </c>
      <c r="H251">
        <v>2</v>
      </c>
      <c r="I251">
        <v>2</v>
      </c>
      <c r="J251" s="27">
        <v>80786</v>
      </c>
      <c r="K251" s="27">
        <v>10000000</v>
      </c>
    </row>
    <row r="252" spans="1:11" ht="12.75" customHeight="1" x14ac:dyDescent="0.2">
      <c r="A252" t="s">
        <v>6896</v>
      </c>
      <c r="B252" t="s">
        <v>6897</v>
      </c>
      <c r="C252">
        <v>2023</v>
      </c>
      <c r="D252" s="18">
        <v>45239</v>
      </c>
      <c r="E252" s="18">
        <v>45604</v>
      </c>
      <c r="F252" s="18" t="s">
        <v>611</v>
      </c>
      <c r="G252" t="s">
        <v>100</v>
      </c>
      <c r="H252">
        <v>2</v>
      </c>
      <c r="I252">
        <v>2</v>
      </c>
      <c r="J252" s="27">
        <v>51188.54</v>
      </c>
      <c r="K252" s="27">
        <v>4500000</v>
      </c>
    </row>
    <row r="253" spans="1:11" ht="12.75" customHeight="1" x14ac:dyDescent="0.2">
      <c r="A253" t="s">
        <v>6898</v>
      </c>
      <c r="B253" t="s">
        <v>6899</v>
      </c>
      <c r="C253">
        <v>2023</v>
      </c>
      <c r="D253" s="18">
        <v>45239</v>
      </c>
      <c r="E253" s="18">
        <v>45604</v>
      </c>
      <c r="F253" s="18" t="s">
        <v>611</v>
      </c>
      <c r="G253" t="s">
        <v>101</v>
      </c>
      <c r="H253">
        <v>1</v>
      </c>
      <c r="I253">
        <v>1</v>
      </c>
      <c r="J253" s="27">
        <v>7333.75</v>
      </c>
      <c r="K253" s="27">
        <v>500000</v>
      </c>
    </row>
    <row r="254" spans="1:11" ht="12.75" customHeight="1" x14ac:dyDescent="0.2">
      <c r="A254" t="s">
        <v>6900</v>
      </c>
      <c r="B254" t="s">
        <v>6901</v>
      </c>
      <c r="C254">
        <v>2023</v>
      </c>
      <c r="D254" s="18">
        <v>45239</v>
      </c>
      <c r="E254" s="18">
        <v>45604</v>
      </c>
      <c r="F254" s="18" t="s">
        <v>611</v>
      </c>
      <c r="G254" t="s">
        <v>99</v>
      </c>
      <c r="H254">
        <v>3</v>
      </c>
      <c r="I254">
        <v>6</v>
      </c>
      <c r="J254" s="27">
        <v>15695.94</v>
      </c>
      <c r="K254" s="27">
        <v>2000000</v>
      </c>
    </row>
    <row r="255" spans="1:11" ht="12.75" customHeight="1" x14ac:dyDescent="0.2">
      <c r="A255" t="s">
        <v>6902</v>
      </c>
      <c r="B255" t="s">
        <v>6903</v>
      </c>
      <c r="C255">
        <v>2023</v>
      </c>
      <c r="D255" s="18">
        <v>45240</v>
      </c>
      <c r="E255" s="18">
        <v>45605</v>
      </c>
      <c r="F255" s="18" t="s">
        <v>611</v>
      </c>
      <c r="G255" t="s">
        <v>100</v>
      </c>
      <c r="H255">
        <v>1</v>
      </c>
      <c r="I255">
        <v>2</v>
      </c>
      <c r="J255" s="27">
        <v>48713.77</v>
      </c>
      <c r="K255" s="27">
        <v>4000000</v>
      </c>
    </row>
    <row r="256" spans="1:11" ht="12.75" customHeight="1" x14ac:dyDescent="0.2">
      <c r="A256" t="s">
        <v>6904</v>
      </c>
      <c r="B256" t="s">
        <v>6905</v>
      </c>
      <c r="C256">
        <v>2023</v>
      </c>
      <c r="D256" s="18">
        <v>45240</v>
      </c>
      <c r="E256" s="18">
        <v>45605</v>
      </c>
      <c r="F256" s="18" t="s">
        <v>611</v>
      </c>
      <c r="G256" t="s">
        <v>100</v>
      </c>
      <c r="H256">
        <v>1</v>
      </c>
      <c r="I256">
        <v>1</v>
      </c>
      <c r="J256" s="27">
        <v>39235.53</v>
      </c>
      <c r="K256" s="27">
        <v>3500000</v>
      </c>
    </row>
    <row r="257" spans="1:11" ht="12.75" customHeight="1" x14ac:dyDescent="0.2">
      <c r="A257" t="s">
        <v>6906</v>
      </c>
      <c r="B257" t="s">
        <v>6907</v>
      </c>
      <c r="C257">
        <v>2023</v>
      </c>
      <c r="D257" s="18">
        <v>45240</v>
      </c>
      <c r="E257" s="18">
        <v>45605</v>
      </c>
      <c r="F257" s="18" t="s">
        <v>611</v>
      </c>
      <c r="G257" t="s">
        <v>101</v>
      </c>
      <c r="H257">
        <v>1</v>
      </c>
      <c r="I257">
        <v>2</v>
      </c>
      <c r="J257" s="27">
        <v>17068.29</v>
      </c>
      <c r="K257" s="27">
        <v>1000000</v>
      </c>
    </row>
    <row r="258" spans="1:11" ht="12.75" customHeight="1" x14ac:dyDescent="0.2">
      <c r="A258" t="s">
        <v>6908</v>
      </c>
      <c r="B258" t="s">
        <v>6909</v>
      </c>
      <c r="C258">
        <v>2023</v>
      </c>
      <c r="D258" s="18">
        <v>45240</v>
      </c>
      <c r="E258" s="18">
        <v>45605</v>
      </c>
      <c r="F258" s="18" t="s">
        <v>611</v>
      </c>
      <c r="G258" t="s">
        <v>101</v>
      </c>
      <c r="H258">
        <v>3</v>
      </c>
      <c r="I258">
        <v>3</v>
      </c>
      <c r="J258" s="27">
        <v>29561.64</v>
      </c>
      <c r="K258" s="27">
        <v>2000000</v>
      </c>
    </row>
    <row r="259" spans="1:11" ht="12.75" customHeight="1" x14ac:dyDescent="0.2">
      <c r="A259" t="s">
        <v>6910</v>
      </c>
      <c r="B259" t="s">
        <v>6911</v>
      </c>
      <c r="C259">
        <v>2023</v>
      </c>
      <c r="D259" s="18">
        <v>45240</v>
      </c>
      <c r="E259" s="18">
        <v>45605</v>
      </c>
      <c r="F259" s="18" t="s">
        <v>611</v>
      </c>
      <c r="G259" t="s">
        <v>100</v>
      </c>
      <c r="H259">
        <v>1</v>
      </c>
      <c r="I259">
        <v>1</v>
      </c>
      <c r="J259" s="27">
        <v>125712.63</v>
      </c>
      <c r="K259" s="27">
        <v>10000000</v>
      </c>
    </row>
    <row r="260" spans="1:11" ht="12.75" customHeight="1" x14ac:dyDescent="0.2">
      <c r="A260" t="s">
        <v>6912</v>
      </c>
      <c r="B260" t="s">
        <v>6913</v>
      </c>
      <c r="C260">
        <v>2023</v>
      </c>
      <c r="D260" s="18">
        <v>45240</v>
      </c>
      <c r="E260" s="18">
        <v>45605</v>
      </c>
      <c r="F260" s="18" t="s">
        <v>611</v>
      </c>
      <c r="G260" t="s">
        <v>102</v>
      </c>
      <c r="H260">
        <v>3</v>
      </c>
      <c r="I260">
        <v>6</v>
      </c>
      <c r="J260" s="27">
        <v>12181.59</v>
      </c>
      <c r="K260" s="27">
        <v>1500000</v>
      </c>
    </row>
    <row r="261" spans="1:11" ht="12.75" customHeight="1" x14ac:dyDescent="0.2">
      <c r="A261" t="s">
        <v>6914</v>
      </c>
      <c r="B261" t="s">
        <v>6915</v>
      </c>
      <c r="C261">
        <v>2023</v>
      </c>
      <c r="D261" s="18">
        <v>45240</v>
      </c>
      <c r="E261" s="18">
        <v>45605</v>
      </c>
      <c r="F261" s="18" t="s">
        <v>611</v>
      </c>
      <c r="G261" t="s">
        <v>99</v>
      </c>
      <c r="H261">
        <v>3</v>
      </c>
      <c r="I261">
        <v>6</v>
      </c>
      <c r="J261" s="27">
        <v>13031.67</v>
      </c>
      <c r="K261" s="27">
        <v>2000000</v>
      </c>
    </row>
    <row r="262" spans="1:11" ht="12.75" customHeight="1" x14ac:dyDescent="0.2">
      <c r="A262" t="s">
        <v>6916</v>
      </c>
      <c r="B262" t="s">
        <v>6917</v>
      </c>
      <c r="C262">
        <v>2023</v>
      </c>
      <c r="D262" s="18">
        <v>45240</v>
      </c>
      <c r="E262" s="18">
        <v>45605</v>
      </c>
      <c r="F262" s="18" t="s">
        <v>611</v>
      </c>
      <c r="G262" t="s">
        <v>99</v>
      </c>
      <c r="H262">
        <v>1</v>
      </c>
      <c r="I262">
        <v>1</v>
      </c>
      <c r="J262" s="27">
        <v>26132.27</v>
      </c>
      <c r="K262" s="27">
        <v>3500000</v>
      </c>
    </row>
    <row r="263" spans="1:11" ht="12.75" customHeight="1" x14ac:dyDescent="0.2">
      <c r="A263" t="s">
        <v>6918</v>
      </c>
      <c r="B263" t="s">
        <v>6919</v>
      </c>
      <c r="C263">
        <v>2023</v>
      </c>
      <c r="D263" s="18">
        <v>45240</v>
      </c>
      <c r="E263" s="18">
        <v>45605</v>
      </c>
      <c r="F263" s="18" t="s">
        <v>611</v>
      </c>
      <c r="G263" t="s">
        <v>101</v>
      </c>
      <c r="H263">
        <v>1</v>
      </c>
      <c r="I263">
        <v>1</v>
      </c>
      <c r="J263" s="27">
        <v>33769.01</v>
      </c>
      <c r="K263" s="27">
        <v>2000000</v>
      </c>
    </row>
    <row r="264" spans="1:11" ht="12.75" customHeight="1" x14ac:dyDescent="0.2">
      <c r="A264" t="s">
        <v>6920</v>
      </c>
      <c r="B264" t="s">
        <v>6921</v>
      </c>
      <c r="C264">
        <v>2023</v>
      </c>
      <c r="D264" s="18">
        <v>45241</v>
      </c>
      <c r="E264" s="18">
        <v>45606</v>
      </c>
      <c r="F264" s="18" t="s">
        <v>608</v>
      </c>
      <c r="G264" t="s">
        <v>100</v>
      </c>
      <c r="H264">
        <v>3</v>
      </c>
      <c r="I264">
        <v>3</v>
      </c>
      <c r="J264" s="27">
        <v>17046.79</v>
      </c>
      <c r="K264" s="27">
        <v>1500000</v>
      </c>
    </row>
    <row r="265" spans="1:11" ht="12.75" customHeight="1" x14ac:dyDescent="0.2">
      <c r="A265" t="s">
        <v>6922</v>
      </c>
      <c r="B265" t="s">
        <v>6923</v>
      </c>
      <c r="C265">
        <v>2023</v>
      </c>
      <c r="D265" s="18">
        <v>45241</v>
      </c>
      <c r="E265" s="18">
        <v>45606</v>
      </c>
      <c r="F265" s="18" t="s">
        <v>611</v>
      </c>
      <c r="G265" t="s">
        <v>101</v>
      </c>
      <c r="H265">
        <v>2</v>
      </c>
      <c r="I265">
        <v>2</v>
      </c>
      <c r="J265" s="27">
        <v>21381.81</v>
      </c>
      <c r="K265" s="27">
        <v>1500000</v>
      </c>
    </row>
    <row r="266" spans="1:11" ht="12.75" customHeight="1" x14ac:dyDescent="0.2">
      <c r="A266" t="s">
        <v>6924</v>
      </c>
      <c r="B266" t="s">
        <v>6925</v>
      </c>
      <c r="C266">
        <v>2023</v>
      </c>
      <c r="D266" s="18">
        <v>45241</v>
      </c>
      <c r="E266" s="18">
        <v>45606</v>
      </c>
      <c r="F266" s="18" t="s">
        <v>611</v>
      </c>
      <c r="G266" t="s">
        <v>100</v>
      </c>
      <c r="H266">
        <v>1</v>
      </c>
      <c r="I266">
        <v>1</v>
      </c>
      <c r="J266" s="27">
        <v>51776.63</v>
      </c>
      <c r="K266" s="27">
        <v>4500000</v>
      </c>
    </row>
    <row r="267" spans="1:11" ht="12.75" customHeight="1" x14ac:dyDescent="0.2">
      <c r="A267" t="s">
        <v>6926</v>
      </c>
      <c r="B267" t="s">
        <v>6927</v>
      </c>
      <c r="C267">
        <v>2023</v>
      </c>
      <c r="D267" s="18">
        <v>45241</v>
      </c>
      <c r="E267" s="18">
        <v>45606</v>
      </c>
      <c r="F267" s="18" t="s">
        <v>611</v>
      </c>
      <c r="G267" t="s">
        <v>101</v>
      </c>
      <c r="H267">
        <v>1</v>
      </c>
      <c r="I267">
        <v>1</v>
      </c>
      <c r="J267" s="27">
        <v>24237.599999999999</v>
      </c>
      <c r="K267" s="27">
        <v>1500000</v>
      </c>
    </row>
    <row r="268" spans="1:11" ht="12.75" customHeight="1" x14ac:dyDescent="0.2">
      <c r="A268" t="s">
        <v>6928</v>
      </c>
      <c r="B268" t="s">
        <v>6929</v>
      </c>
      <c r="C268">
        <v>2023</v>
      </c>
      <c r="D268" s="18">
        <v>45241</v>
      </c>
      <c r="E268" s="18">
        <v>45606</v>
      </c>
      <c r="F268" s="18" t="s">
        <v>611</v>
      </c>
      <c r="G268" t="s">
        <v>100</v>
      </c>
      <c r="H268">
        <v>3</v>
      </c>
      <c r="I268">
        <v>6</v>
      </c>
      <c r="J268" s="27">
        <v>30585.67</v>
      </c>
      <c r="K268" s="27">
        <v>2500000</v>
      </c>
    </row>
    <row r="269" spans="1:11" ht="12.75" customHeight="1" x14ac:dyDescent="0.2">
      <c r="A269" t="s">
        <v>6930</v>
      </c>
      <c r="B269" t="s">
        <v>6931</v>
      </c>
      <c r="C269">
        <v>2023</v>
      </c>
      <c r="D269" s="18">
        <v>45241</v>
      </c>
      <c r="E269" s="18">
        <v>45606</v>
      </c>
      <c r="F269" s="18" t="s">
        <v>611</v>
      </c>
      <c r="G269" t="s">
        <v>99</v>
      </c>
      <c r="H269">
        <v>1</v>
      </c>
      <c r="I269">
        <v>2</v>
      </c>
      <c r="J269" s="27">
        <v>29707.81</v>
      </c>
      <c r="K269" s="27">
        <v>4000000</v>
      </c>
    </row>
    <row r="270" spans="1:11" ht="12.75" customHeight="1" x14ac:dyDescent="0.2">
      <c r="A270" t="s">
        <v>6932</v>
      </c>
      <c r="B270" t="s">
        <v>6933</v>
      </c>
      <c r="C270">
        <v>2023</v>
      </c>
      <c r="D270" s="18">
        <v>45241</v>
      </c>
      <c r="E270" s="18">
        <v>45606</v>
      </c>
      <c r="F270" s="18" t="s">
        <v>611</v>
      </c>
      <c r="G270" t="s">
        <v>100</v>
      </c>
      <c r="H270">
        <v>3</v>
      </c>
      <c r="I270">
        <v>3</v>
      </c>
      <c r="J270" s="27">
        <v>22707.759999999998</v>
      </c>
      <c r="K270" s="27">
        <v>2000000</v>
      </c>
    </row>
    <row r="271" spans="1:11" ht="12.75" customHeight="1" x14ac:dyDescent="0.2">
      <c r="A271" t="s">
        <v>6934</v>
      </c>
      <c r="B271" t="s">
        <v>6935</v>
      </c>
      <c r="C271">
        <v>2023</v>
      </c>
      <c r="D271" s="18">
        <v>45242</v>
      </c>
      <c r="E271" s="18">
        <v>45607</v>
      </c>
      <c r="F271" s="18" t="s">
        <v>608</v>
      </c>
      <c r="G271" t="s">
        <v>102</v>
      </c>
      <c r="H271">
        <v>1</v>
      </c>
      <c r="I271">
        <v>1</v>
      </c>
      <c r="J271" s="27">
        <v>22161.11</v>
      </c>
      <c r="K271" s="27">
        <v>3000000</v>
      </c>
    </row>
    <row r="272" spans="1:11" ht="12.75" customHeight="1" x14ac:dyDescent="0.2">
      <c r="A272" t="s">
        <v>6936</v>
      </c>
      <c r="B272" t="s">
        <v>6937</v>
      </c>
      <c r="C272">
        <v>2023</v>
      </c>
      <c r="D272" s="18">
        <v>45242</v>
      </c>
      <c r="E272" s="18">
        <v>45607</v>
      </c>
      <c r="F272" s="18" t="s">
        <v>611</v>
      </c>
      <c r="G272" t="s">
        <v>99</v>
      </c>
      <c r="H272">
        <v>2</v>
      </c>
      <c r="I272">
        <v>2</v>
      </c>
      <c r="J272" s="27">
        <v>7690.88</v>
      </c>
      <c r="K272" s="27">
        <v>1000000</v>
      </c>
    </row>
    <row r="273" spans="1:11" ht="12.75" customHeight="1" x14ac:dyDescent="0.2">
      <c r="A273" t="s">
        <v>6938</v>
      </c>
      <c r="B273" t="s">
        <v>6939</v>
      </c>
      <c r="C273">
        <v>2023</v>
      </c>
      <c r="D273" s="18">
        <v>45242</v>
      </c>
      <c r="E273" s="18">
        <v>45607</v>
      </c>
      <c r="F273" s="18" t="s">
        <v>611</v>
      </c>
      <c r="G273" t="s">
        <v>99</v>
      </c>
      <c r="H273">
        <v>1</v>
      </c>
      <c r="I273">
        <v>2</v>
      </c>
      <c r="J273" s="27">
        <v>13131.06</v>
      </c>
      <c r="K273" s="27">
        <v>2000000</v>
      </c>
    </row>
    <row r="274" spans="1:11" ht="12.75" customHeight="1" x14ac:dyDescent="0.2">
      <c r="A274" t="s">
        <v>6940</v>
      </c>
      <c r="B274" t="s">
        <v>6941</v>
      </c>
      <c r="C274">
        <v>2023</v>
      </c>
      <c r="D274" s="18">
        <v>45243</v>
      </c>
      <c r="E274" s="18">
        <v>45608</v>
      </c>
      <c r="F274" s="18" t="s">
        <v>608</v>
      </c>
      <c r="G274" t="s">
        <v>100</v>
      </c>
      <c r="H274">
        <v>2</v>
      </c>
      <c r="I274">
        <v>4</v>
      </c>
      <c r="J274" s="27">
        <v>48819.040000000001</v>
      </c>
      <c r="K274" s="27">
        <v>4000000</v>
      </c>
    </row>
    <row r="275" spans="1:11" ht="12.75" customHeight="1" x14ac:dyDescent="0.2">
      <c r="A275" t="s">
        <v>6942</v>
      </c>
      <c r="B275" t="s">
        <v>6943</v>
      </c>
      <c r="C275">
        <v>2023</v>
      </c>
      <c r="D275" s="18">
        <v>45243</v>
      </c>
      <c r="E275" s="18">
        <v>45608</v>
      </c>
      <c r="F275" s="18" t="s">
        <v>608</v>
      </c>
      <c r="G275" t="s">
        <v>101</v>
      </c>
      <c r="H275">
        <v>1</v>
      </c>
      <c r="I275">
        <v>1</v>
      </c>
      <c r="J275" s="27">
        <v>63496.69</v>
      </c>
      <c r="K275" s="27">
        <v>4000000</v>
      </c>
    </row>
    <row r="276" spans="1:11" ht="12.75" customHeight="1" x14ac:dyDescent="0.2">
      <c r="A276" t="s">
        <v>6944</v>
      </c>
      <c r="B276" t="s">
        <v>6945</v>
      </c>
      <c r="C276">
        <v>2023</v>
      </c>
      <c r="D276" s="18">
        <v>45243</v>
      </c>
      <c r="E276" s="18">
        <v>45608</v>
      </c>
      <c r="F276" s="18" t="s">
        <v>608</v>
      </c>
      <c r="G276" t="s">
        <v>101</v>
      </c>
      <c r="H276">
        <v>2</v>
      </c>
      <c r="I276">
        <v>2</v>
      </c>
      <c r="J276" s="27">
        <v>14549.26</v>
      </c>
      <c r="K276" s="27">
        <v>1000000</v>
      </c>
    </row>
    <row r="277" spans="1:11" ht="12.75" customHeight="1" x14ac:dyDescent="0.2">
      <c r="A277" t="s">
        <v>6946</v>
      </c>
      <c r="B277" t="s">
        <v>6947</v>
      </c>
      <c r="C277">
        <v>2023</v>
      </c>
      <c r="D277" s="18">
        <v>45243</v>
      </c>
      <c r="E277" s="18">
        <v>45608</v>
      </c>
      <c r="F277" s="18" t="s">
        <v>611</v>
      </c>
      <c r="G277" t="s">
        <v>99</v>
      </c>
      <c r="H277">
        <v>2</v>
      </c>
      <c r="I277">
        <v>2</v>
      </c>
      <c r="J277" s="27">
        <v>27053.14</v>
      </c>
      <c r="K277" s="27">
        <v>4000000</v>
      </c>
    </row>
    <row r="278" spans="1:11" ht="12.75" customHeight="1" x14ac:dyDescent="0.2">
      <c r="A278" t="s">
        <v>6948</v>
      </c>
      <c r="B278" t="s">
        <v>6949</v>
      </c>
      <c r="C278">
        <v>2023</v>
      </c>
      <c r="D278" s="18">
        <v>45243</v>
      </c>
      <c r="E278" s="18">
        <v>45608</v>
      </c>
      <c r="F278" s="18" t="s">
        <v>611</v>
      </c>
      <c r="G278" t="s">
        <v>99</v>
      </c>
      <c r="H278">
        <v>2</v>
      </c>
      <c r="I278">
        <v>4</v>
      </c>
      <c r="J278" s="27">
        <v>23132.69</v>
      </c>
      <c r="K278" s="27">
        <v>3500000</v>
      </c>
    </row>
    <row r="279" spans="1:11" ht="12.75" customHeight="1" x14ac:dyDescent="0.2">
      <c r="A279" t="s">
        <v>6950</v>
      </c>
      <c r="B279" t="s">
        <v>6951</v>
      </c>
      <c r="C279">
        <v>2023</v>
      </c>
      <c r="D279" s="18">
        <v>45243</v>
      </c>
      <c r="E279" s="18">
        <v>45608</v>
      </c>
      <c r="F279" s="18" t="s">
        <v>611</v>
      </c>
      <c r="G279" t="s">
        <v>100</v>
      </c>
      <c r="H279">
        <v>1</v>
      </c>
      <c r="I279">
        <v>1</v>
      </c>
      <c r="J279" s="27">
        <v>11906.68</v>
      </c>
      <c r="K279" s="27">
        <v>1000000</v>
      </c>
    </row>
    <row r="280" spans="1:11" ht="12.75" customHeight="1" x14ac:dyDescent="0.2">
      <c r="A280" t="s">
        <v>6952</v>
      </c>
      <c r="B280" t="s">
        <v>6953</v>
      </c>
      <c r="C280">
        <v>2023</v>
      </c>
      <c r="D280" s="18">
        <v>45243</v>
      </c>
      <c r="E280" s="18">
        <v>45608</v>
      </c>
      <c r="F280" s="18" t="s">
        <v>611</v>
      </c>
      <c r="G280" t="s">
        <v>99</v>
      </c>
      <c r="H280">
        <v>1</v>
      </c>
      <c r="I280">
        <v>2</v>
      </c>
      <c r="J280" s="27">
        <v>15226.22</v>
      </c>
      <c r="K280" s="27">
        <v>2000000</v>
      </c>
    </row>
    <row r="281" spans="1:11" ht="12.75" customHeight="1" x14ac:dyDescent="0.2">
      <c r="A281" t="s">
        <v>6954</v>
      </c>
      <c r="B281" t="s">
        <v>6955</v>
      </c>
      <c r="C281">
        <v>2023</v>
      </c>
      <c r="D281" s="18">
        <v>45243</v>
      </c>
      <c r="E281" s="18">
        <v>45608</v>
      </c>
      <c r="F281" s="18" t="s">
        <v>611</v>
      </c>
      <c r="G281" t="s">
        <v>99</v>
      </c>
      <c r="H281">
        <v>1</v>
      </c>
      <c r="I281">
        <v>2</v>
      </c>
      <c r="J281" s="27">
        <v>69965.69</v>
      </c>
      <c r="K281" s="27">
        <v>10000000</v>
      </c>
    </row>
    <row r="282" spans="1:11" ht="12.75" customHeight="1" x14ac:dyDescent="0.2">
      <c r="A282" t="s">
        <v>6956</v>
      </c>
      <c r="B282" t="s">
        <v>6957</v>
      </c>
      <c r="C282">
        <v>2023</v>
      </c>
      <c r="D282" s="18">
        <v>45243</v>
      </c>
      <c r="E282" s="18">
        <v>45608</v>
      </c>
      <c r="F282" s="18" t="s">
        <v>611</v>
      </c>
      <c r="G282" t="s">
        <v>99</v>
      </c>
      <c r="H282">
        <v>1</v>
      </c>
      <c r="I282">
        <v>1</v>
      </c>
      <c r="J282" s="27">
        <v>11541.69</v>
      </c>
      <c r="K282" s="27">
        <v>1500000</v>
      </c>
    </row>
    <row r="283" spans="1:11" ht="12.75" customHeight="1" x14ac:dyDescent="0.2">
      <c r="A283" t="s">
        <v>6958</v>
      </c>
      <c r="B283" t="s">
        <v>6959</v>
      </c>
      <c r="C283">
        <v>2023</v>
      </c>
      <c r="D283" s="18">
        <v>45244</v>
      </c>
      <c r="E283" s="18">
        <v>45609</v>
      </c>
      <c r="F283" s="18" t="s">
        <v>611</v>
      </c>
      <c r="G283" t="s">
        <v>100</v>
      </c>
      <c r="H283">
        <v>1</v>
      </c>
      <c r="I283">
        <v>2</v>
      </c>
      <c r="J283" s="27">
        <v>60514.12</v>
      </c>
      <c r="K283" s="27">
        <v>5000000</v>
      </c>
    </row>
    <row r="284" spans="1:11" ht="12.75" customHeight="1" x14ac:dyDescent="0.2">
      <c r="A284" t="s">
        <v>6960</v>
      </c>
      <c r="B284" t="s">
        <v>6961</v>
      </c>
      <c r="C284">
        <v>2023</v>
      </c>
      <c r="D284" s="18">
        <v>45244</v>
      </c>
      <c r="E284" s="18">
        <v>45609</v>
      </c>
      <c r="F284" s="18" t="s">
        <v>611</v>
      </c>
      <c r="G284" t="s">
        <v>100</v>
      </c>
      <c r="H284">
        <v>1</v>
      </c>
      <c r="I284">
        <v>1</v>
      </c>
      <c r="J284" s="27">
        <v>33988.480000000003</v>
      </c>
      <c r="K284" s="27">
        <v>3000000</v>
      </c>
    </row>
    <row r="285" spans="1:11" ht="12.75" customHeight="1" x14ac:dyDescent="0.2">
      <c r="A285" t="s">
        <v>6962</v>
      </c>
      <c r="B285" t="s">
        <v>6963</v>
      </c>
      <c r="C285">
        <v>2023</v>
      </c>
      <c r="D285" s="18">
        <v>45244</v>
      </c>
      <c r="E285" s="18">
        <v>45609</v>
      </c>
      <c r="F285" s="18" t="s">
        <v>611</v>
      </c>
      <c r="G285" t="s">
        <v>101</v>
      </c>
      <c r="H285">
        <v>1</v>
      </c>
      <c r="I285">
        <v>2</v>
      </c>
      <c r="J285" s="27">
        <v>47695.75</v>
      </c>
      <c r="K285" s="27">
        <v>3000000</v>
      </c>
    </row>
    <row r="286" spans="1:11" ht="12.75" customHeight="1" x14ac:dyDescent="0.2">
      <c r="A286" t="s">
        <v>6964</v>
      </c>
      <c r="B286" t="s">
        <v>6965</v>
      </c>
      <c r="C286">
        <v>2023</v>
      </c>
      <c r="D286" s="18">
        <v>45244</v>
      </c>
      <c r="E286" s="18">
        <v>45609</v>
      </c>
      <c r="F286" s="18" t="s">
        <v>611</v>
      </c>
      <c r="G286" t="s">
        <v>99</v>
      </c>
      <c r="H286">
        <v>3</v>
      </c>
      <c r="I286">
        <v>3</v>
      </c>
      <c r="J286" s="27">
        <v>72707.460000000006</v>
      </c>
      <c r="K286" s="27">
        <v>10000000</v>
      </c>
    </row>
    <row r="287" spans="1:11" ht="12.75" customHeight="1" x14ac:dyDescent="0.2">
      <c r="A287" t="s">
        <v>6966</v>
      </c>
      <c r="B287" t="s">
        <v>6967</v>
      </c>
      <c r="C287">
        <v>2023</v>
      </c>
      <c r="D287" s="18">
        <v>45244</v>
      </c>
      <c r="E287" s="18">
        <v>45609</v>
      </c>
      <c r="F287" s="18" t="s">
        <v>611</v>
      </c>
      <c r="G287" t="s">
        <v>100</v>
      </c>
      <c r="H287">
        <v>2</v>
      </c>
      <c r="I287">
        <v>2</v>
      </c>
      <c r="J287" s="27">
        <v>48672.91</v>
      </c>
      <c r="K287" s="27">
        <v>4500000</v>
      </c>
    </row>
    <row r="288" spans="1:11" ht="12.75" customHeight="1" x14ac:dyDescent="0.2">
      <c r="A288" t="s">
        <v>6968</v>
      </c>
      <c r="B288" t="s">
        <v>6969</v>
      </c>
      <c r="C288">
        <v>2023</v>
      </c>
      <c r="D288" s="18">
        <v>45244</v>
      </c>
      <c r="E288" s="18">
        <v>45609</v>
      </c>
      <c r="F288" s="18" t="s">
        <v>611</v>
      </c>
      <c r="G288" t="s">
        <v>101</v>
      </c>
      <c r="H288">
        <v>2</v>
      </c>
      <c r="I288">
        <v>4</v>
      </c>
      <c r="J288" s="27">
        <v>47969.18</v>
      </c>
      <c r="K288" s="27">
        <v>3000000</v>
      </c>
    </row>
    <row r="289" spans="1:11" ht="12.75" customHeight="1" x14ac:dyDescent="0.2">
      <c r="A289" t="s">
        <v>6970</v>
      </c>
      <c r="B289" t="s">
        <v>6971</v>
      </c>
      <c r="C289">
        <v>2023</v>
      </c>
      <c r="D289" s="18">
        <v>45244</v>
      </c>
      <c r="E289" s="18">
        <v>45609</v>
      </c>
      <c r="F289" s="18" t="s">
        <v>611</v>
      </c>
      <c r="G289" t="s">
        <v>102</v>
      </c>
      <c r="H289">
        <v>1</v>
      </c>
      <c r="I289">
        <v>1</v>
      </c>
      <c r="J289" s="27">
        <v>36356.370000000003</v>
      </c>
      <c r="K289" s="27">
        <v>4500000</v>
      </c>
    </row>
    <row r="290" spans="1:11" ht="12.75" customHeight="1" x14ac:dyDescent="0.2">
      <c r="A290" t="s">
        <v>6972</v>
      </c>
      <c r="B290" t="s">
        <v>6973</v>
      </c>
      <c r="C290">
        <v>2023</v>
      </c>
      <c r="D290" s="18">
        <v>45244</v>
      </c>
      <c r="E290" s="18">
        <v>45609</v>
      </c>
      <c r="F290" s="18" t="s">
        <v>611</v>
      </c>
      <c r="G290" t="s">
        <v>99</v>
      </c>
      <c r="H290">
        <v>2</v>
      </c>
      <c r="I290">
        <v>2</v>
      </c>
      <c r="J290" s="27">
        <v>15097.82</v>
      </c>
      <c r="K290" s="27">
        <v>2000000</v>
      </c>
    </row>
    <row r="291" spans="1:11" ht="12.75" customHeight="1" x14ac:dyDescent="0.2">
      <c r="A291" t="s">
        <v>6974</v>
      </c>
      <c r="B291" t="s">
        <v>6975</v>
      </c>
      <c r="C291">
        <v>2023</v>
      </c>
      <c r="D291" s="18">
        <v>45244</v>
      </c>
      <c r="E291" s="18">
        <v>45609</v>
      </c>
      <c r="F291" s="18" t="s">
        <v>611</v>
      </c>
      <c r="G291" t="s">
        <v>101</v>
      </c>
      <c r="H291">
        <v>2</v>
      </c>
      <c r="I291">
        <v>4</v>
      </c>
      <c r="J291" s="27">
        <v>16532.8</v>
      </c>
      <c r="K291" s="27">
        <v>1000000</v>
      </c>
    </row>
    <row r="292" spans="1:11" ht="12.75" customHeight="1" x14ac:dyDescent="0.2">
      <c r="A292" t="s">
        <v>6976</v>
      </c>
      <c r="B292" t="s">
        <v>6977</v>
      </c>
      <c r="C292">
        <v>2023</v>
      </c>
      <c r="D292" s="18">
        <v>45244</v>
      </c>
      <c r="E292" s="18">
        <v>45609</v>
      </c>
      <c r="F292" s="18" t="s">
        <v>611</v>
      </c>
      <c r="G292" t="s">
        <v>100</v>
      </c>
      <c r="H292">
        <v>1</v>
      </c>
      <c r="I292">
        <v>2</v>
      </c>
      <c r="J292" s="27">
        <v>6066.9</v>
      </c>
      <c r="K292" s="27">
        <v>500000</v>
      </c>
    </row>
    <row r="293" spans="1:11" ht="12.75" customHeight="1" x14ac:dyDescent="0.2">
      <c r="A293" t="s">
        <v>6978</v>
      </c>
      <c r="B293" t="s">
        <v>6979</v>
      </c>
      <c r="C293">
        <v>2023</v>
      </c>
      <c r="D293" s="18">
        <v>45245</v>
      </c>
      <c r="E293" s="18">
        <v>45610</v>
      </c>
      <c r="F293" s="18" t="s">
        <v>611</v>
      </c>
      <c r="G293" t="s">
        <v>100</v>
      </c>
      <c r="H293">
        <v>2</v>
      </c>
      <c r="I293">
        <v>4</v>
      </c>
      <c r="J293" s="27">
        <v>46738.400000000001</v>
      </c>
      <c r="K293" s="27">
        <v>4000000</v>
      </c>
    </row>
    <row r="294" spans="1:11" ht="12.75" customHeight="1" x14ac:dyDescent="0.2">
      <c r="A294" t="s">
        <v>6980</v>
      </c>
      <c r="B294" t="s">
        <v>6981</v>
      </c>
      <c r="C294">
        <v>2023</v>
      </c>
      <c r="D294" s="18">
        <v>45245</v>
      </c>
      <c r="E294" s="18">
        <v>45610</v>
      </c>
      <c r="F294" s="18" t="s">
        <v>611</v>
      </c>
      <c r="G294" t="s">
        <v>101</v>
      </c>
      <c r="H294">
        <v>1</v>
      </c>
      <c r="I294">
        <v>1</v>
      </c>
      <c r="J294" s="27">
        <v>163016.67000000001</v>
      </c>
      <c r="K294" s="27">
        <v>10000000</v>
      </c>
    </row>
    <row r="295" spans="1:11" ht="12.75" customHeight="1" x14ac:dyDescent="0.2">
      <c r="A295" t="s">
        <v>6982</v>
      </c>
      <c r="B295" t="s">
        <v>6983</v>
      </c>
      <c r="C295">
        <v>2023</v>
      </c>
      <c r="D295" s="18">
        <v>45245</v>
      </c>
      <c r="E295" s="18">
        <v>45610</v>
      </c>
      <c r="F295" s="18" t="s">
        <v>611</v>
      </c>
      <c r="G295" t="s">
        <v>100</v>
      </c>
      <c r="H295">
        <v>2</v>
      </c>
      <c r="I295">
        <v>2</v>
      </c>
      <c r="J295" s="27">
        <v>5168.79</v>
      </c>
      <c r="K295" s="27">
        <v>500000</v>
      </c>
    </row>
    <row r="296" spans="1:11" ht="12.75" customHeight="1" x14ac:dyDescent="0.2">
      <c r="A296" t="s">
        <v>6984</v>
      </c>
      <c r="B296" t="s">
        <v>6985</v>
      </c>
      <c r="C296">
        <v>2023</v>
      </c>
      <c r="D296" s="18">
        <v>45245</v>
      </c>
      <c r="E296" s="18">
        <v>45610</v>
      </c>
      <c r="F296" s="18" t="s">
        <v>611</v>
      </c>
      <c r="G296" t="s">
        <v>100</v>
      </c>
      <c r="H296">
        <v>1</v>
      </c>
      <c r="I296">
        <v>2</v>
      </c>
      <c r="J296" s="27">
        <v>33351.050000000003</v>
      </c>
      <c r="K296" s="27">
        <v>3000000</v>
      </c>
    </row>
    <row r="297" spans="1:11" ht="12.75" customHeight="1" x14ac:dyDescent="0.2">
      <c r="A297" t="s">
        <v>6986</v>
      </c>
      <c r="B297" t="s">
        <v>6987</v>
      </c>
      <c r="C297">
        <v>2023</v>
      </c>
      <c r="D297" s="18">
        <v>45245</v>
      </c>
      <c r="E297" s="18">
        <v>45610</v>
      </c>
      <c r="F297" s="18" t="s">
        <v>611</v>
      </c>
      <c r="G297" t="s">
        <v>101</v>
      </c>
      <c r="H297">
        <v>3</v>
      </c>
      <c r="I297">
        <v>6</v>
      </c>
      <c r="J297" s="27">
        <v>76489.09</v>
      </c>
      <c r="K297" s="27">
        <v>5000000</v>
      </c>
    </row>
    <row r="298" spans="1:11" ht="12.75" customHeight="1" x14ac:dyDescent="0.2">
      <c r="A298" t="s">
        <v>6988</v>
      </c>
      <c r="B298" t="s">
        <v>6989</v>
      </c>
      <c r="C298">
        <v>2023</v>
      </c>
      <c r="D298" s="18">
        <v>45246</v>
      </c>
      <c r="E298" s="18">
        <v>45611</v>
      </c>
      <c r="F298" s="18" t="s">
        <v>611</v>
      </c>
      <c r="G298" t="s">
        <v>101</v>
      </c>
      <c r="H298">
        <v>2</v>
      </c>
      <c r="I298">
        <v>4</v>
      </c>
      <c r="J298" s="27">
        <v>68596.490000000005</v>
      </c>
      <c r="K298" s="27">
        <v>4000000</v>
      </c>
    </row>
    <row r="299" spans="1:11" ht="12.75" customHeight="1" x14ac:dyDescent="0.2">
      <c r="A299" t="s">
        <v>6990</v>
      </c>
      <c r="B299" t="s">
        <v>6991</v>
      </c>
      <c r="C299">
        <v>2023</v>
      </c>
      <c r="D299" s="18">
        <v>45246</v>
      </c>
      <c r="E299" s="18">
        <v>45611</v>
      </c>
      <c r="F299" s="18" t="s">
        <v>611</v>
      </c>
      <c r="G299" t="s">
        <v>99</v>
      </c>
      <c r="H299">
        <v>3</v>
      </c>
      <c r="I299">
        <v>3</v>
      </c>
      <c r="J299" s="27">
        <v>11523.67</v>
      </c>
      <c r="K299" s="27">
        <v>1500000</v>
      </c>
    </row>
    <row r="300" spans="1:11" ht="12.75" customHeight="1" x14ac:dyDescent="0.2">
      <c r="A300" t="s">
        <v>6992</v>
      </c>
      <c r="B300" t="s">
        <v>6993</v>
      </c>
      <c r="C300">
        <v>2023</v>
      </c>
      <c r="D300" s="18">
        <v>45246</v>
      </c>
      <c r="E300" s="18">
        <v>45611</v>
      </c>
      <c r="F300" s="18" t="s">
        <v>611</v>
      </c>
      <c r="G300" t="s">
        <v>100</v>
      </c>
      <c r="H300">
        <v>1</v>
      </c>
      <c r="I300">
        <v>1</v>
      </c>
      <c r="J300" s="27">
        <v>23129.759999999998</v>
      </c>
      <c r="K300" s="27">
        <v>2000000</v>
      </c>
    </row>
    <row r="301" spans="1:11" ht="12.75" customHeight="1" x14ac:dyDescent="0.2">
      <c r="A301" t="s">
        <v>6994</v>
      </c>
      <c r="B301" t="s">
        <v>6995</v>
      </c>
      <c r="C301">
        <v>2023</v>
      </c>
      <c r="D301" s="18">
        <v>45246</v>
      </c>
      <c r="E301" s="18">
        <v>45611</v>
      </c>
      <c r="F301" s="18" t="s">
        <v>611</v>
      </c>
      <c r="G301" t="s">
        <v>100</v>
      </c>
      <c r="H301">
        <v>3</v>
      </c>
      <c r="I301">
        <v>6</v>
      </c>
      <c r="J301" s="27">
        <v>41877.08</v>
      </c>
      <c r="K301" s="27">
        <v>3500000</v>
      </c>
    </row>
    <row r="302" spans="1:11" ht="12.75" customHeight="1" x14ac:dyDescent="0.2">
      <c r="A302" t="s">
        <v>6996</v>
      </c>
      <c r="B302" t="s">
        <v>6997</v>
      </c>
      <c r="C302">
        <v>2023</v>
      </c>
      <c r="D302" s="18">
        <v>45246</v>
      </c>
      <c r="E302" s="18">
        <v>45611</v>
      </c>
      <c r="F302" s="18" t="s">
        <v>611</v>
      </c>
      <c r="G302" t="s">
        <v>102</v>
      </c>
      <c r="H302">
        <v>1</v>
      </c>
      <c r="I302">
        <v>1</v>
      </c>
      <c r="J302" s="27">
        <v>17214.150000000001</v>
      </c>
      <c r="K302" s="27">
        <v>2000000</v>
      </c>
    </row>
    <row r="303" spans="1:11" ht="12.75" customHeight="1" x14ac:dyDescent="0.2">
      <c r="A303" t="s">
        <v>6998</v>
      </c>
      <c r="B303" t="s">
        <v>6999</v>
      </c>
      <c r="C303">
        <v>2023</v>
      </c>
      <c r="D303" s="18">
        <v>45246</v>
      </c>
      <c r="E303" s="18">
        <v>45611</v>
      </c>
      <c r="F303" s="18" t="s">
        <v>611</v>
      </c>
      <c r="G303" t="s">
        <v>99</v>
      </c>
      <c r="H303">
        <v>1</v>
      </c>
      <c r="I303">
        <v>2</v>
      </c>
      <c r="J303" s="27">
        <v>26412.240000000002</v>
      </c>
      <c r="K303" s="27">
        <v>4000000</v>
      </c>
    </row>
    <row r="304" spans="1:11" ht="12.75" customHeight="1" x14ac:dyDescent="0.2">
      <c r="A304" t="s">
        <v>7000</v>
      </c>
      <c r="B304" t="s">
        <v>7001</v>
      </c>
      <c r="C304">
        <v>2023</v>
      </c>
      <c r="D304" s="18">
        <v>45246</v>
      </c>
      <c r="E304" s="18">
        <v>45611</v>
      </c>
      <c r="F304" s="18" t="s">
        <v>611</v>
      </c>
      <c r="G304" t="s">
        <v>100</v>
      </c>
      <c r="H304">
        <v>1</v>
      </c>
      <c r="I304">
        <v>1</v>
      </c>
      <c r="J304" s="27">
        <v>109801.29</v>
      </c>
      <c r="K304" s="27">
        <v>10000000</v>
      </c>
    </row>
    <row r="305" spans="1:11" ht="12.75" customHeight="1" x14ac:dyDescent="0.2">
      <c r="A305" t="s">
        <v>7002</v>
      </c>
      <c r="B305" t="s">
        <v>7003</v>
      </c>
      <c r="C305">
        <v>2023</v>
      </c>
      <c r="D305" s="18">
        <v>45247</v>
      </c>
      <c r="E305" s="18">
        <v>45612</v>
      </c>
      <c r="F305" s="18" t="s">
        <v>611</v>
      </c>
      <c r="G305" t="s">
        <v>100</v>
      </c>
      <c r="H305">
        <v>3</v>
      </c>
      <c r="I305">
        <v>6</v>
      </c>
      <c r="J305" s="27">
        <v>12406.33</v>
      </c>
      <c r="K305" s="27">
        <v>1000000</v>
      </c>
    </row>
    <row r="306" spans="1:11" ht="12.75" customHeight="1" x14ac:dyDescent="0.2">
      <c r="A306" t="s">
        <v>7004</v>
      </c>
      <c r="B306" t="s">
        <v>7005</v>
      </c>
      <c r="C306">
        <v>2023</v>
      </c>
      <c r="D306" s="18">
        <v>45247</v>
      </c>
      <c r="E306" s="18">
        <v>45612</v>
      </c>
      <c r="F306" s="18" t="s">
        <v>611</v>
      </c>
      <c r="G306" t="s">
        <v>101</v>
      </c>
      <c r="H306">
        <v>3</v>
      </c>
      <c r="I306">
        <v>3</v>
      </c>
      <c r="J306" s="27">
        <v>57268.959999999999</v>
      </c>
      <c r="K306" s="27">
        <v>4000000</v>
      </c>
    </row>
    <row r="307" spans="1:11" ht="12.75" customHeight="1" x14ac:dyDescent="0.2">
      <c r="A307" t="s">
        <v>7006</v>
      </c>
      <c r="B307" t="s">
        <v>7007</v>
      </c>
      <c r="C307">
        <v>2023</v>
      </c>
      <c r="D307" s="18">
        <v>45247</v>
      </c>
      <c r="E307" s="18">
        <v>45612</v>
      </c>
      <c r="F307" s="18" t="s">
        <v>611</v>
      </c>
      <c r="G307" t="s">
        <v>101</v>
      </c>
      <c r="H307">
        <v>1</v>
      </c>
      <c r="I307">
        <v>1</v>
      </c>
      <c r="J307" s="27">
        <v>7933.02</v>
      </c>
      <c r="K307" s="27">
        <v>500000</v>
      </c>
    </row>
    <row r="308" spans="1:11" ht="12.75" customHeight="1" x14ac:dyDescent="0.2">
      <c r="A308" t="s">
        <v>7008</v>
      </c>
      <c r="B308" t="s">
        <v>7009</v>
      </c>
      <c r="C308">
        <v>2023</v>
      </c>
      <c r="D308" s="18">
        <v>45248</v>
      </c>
      <c r="E308" s="18">
        <v>45613</v>
      </c>
      <c r="F308" s="18" t="s">
        <v>608</v>
      </c>
      <c r="G308" t="s">
        <v>99</v>
      </c>
      <c r="H308">
        <v>1</v>
      </c>
      <c r="I308">
        <v>1</v>
      </c>
      <c r="J308" s="27">
        <v>65472.82</v>
      </c>
      <c r="K308" s="27">
        <v>10000000</v>
      </c>
    </row>
    <row r="309" spans="1:11" ht="12.75" customHeight="1" x14ac:dyDescent="0.2">
      <c r="A309" t="s">
        <v>7010</v>
      </c>
      <c r="B309" t="s">
        <v>7011</v>
      </c>
      <c r="C309">
        <v>2023</v>
      </c>
      <c r="D309" s="18">
        <v>45248</v>
      </c>
      <c r="E309" s="18">
        <v>45613</v>
      </c>
      <c r="F309" s="18" t="s">
        <v>611</v>
      </c>
      <c r="G309" t="s">
        <v>101</v>
      </c>
      <c r="H309">
        <v>1</v>
      </c>
      <c r="I309">
        <v>2</v>
      </c>
      <c r="J309" s="27">
        <v>34106.06</v>
      </c>
      <c r="K309" s="27">
        <v>2000000</v>
      </c>
    </row>
    <row r="310" spans="1:11" ht="12.75" customHeight="1" x14ac:dyDescent="0.2">
      <c r="A310" t="s">
        <v>7012</v>
      </c>
      <c r="B310" t="s">
        <v>7013</v>
      </c>
      <c r="C310">
        <v>2023</v>
      </c>
      <c r="D310" s="18">
        <v>45248</v>
      </c>
      <c r="E310" s="18">
        <v>45613</v>
      </c>
      <c r="F310" s="18" t="s">
        <v>611</v>
      </c>
      <c r="G310" t="s">
        <v>101</v>
      </c>
      <c r="H310">
        <v>2</v>
      </c>
      <c r="I310">
        <v>2</v>
      </c>
      <c r="J310" s="27">
        <v>85356.37</v>
      </c>
      <c r="K310" s="27">
        <v>5000000</v>
      </c>
    </row>
    <row r="311" spans="1:11" ht="12.75" customHeight="1" x14ac:dyDescent="0.2">
      <c r="A311" t="s">
        <v>7014</v>
      </c>
      <c r="B311" t="s">
        <v>7015</v>
      </c>
      <c r="C311">
        <v>2023</v>
      </c>
      <c r="D311" s="18">
        <v>45248</v>
      </c>
      <c r="E311" s="18">
        <v>45613</v>
      </c>
      <c r="F311" s="18" t="s">
        <v>611</v>
      </c>
      <c r="G311" t="s">
        <v>101</v>
      </c>
      <c r="H311">
        <v>2</v>
      </c>
      <c r="I311">
        <v>2</v>
      </c>
      <c r="J311" s="27">
        <v>37178.17</v>
      </c>
      <c r="K311" s="27">
        <v>2500000</v>
      </c>
    </row>
    <row r="312" spans="1:11" ht="12.75" customHeight="1" x14ac:dyDescent="0.2">
      <c r="A312" t="s">
        <v>7016</v>
      </c>
      <c r="B312" t="s">
        <v>7017</v>
      </c>
      <c r="C312">
        <v>2023</v>
      </c>
      <c r="D312" s="18">
        <v>45248</v>
      </c>
      <c r="E312" s="18">
        <v>45613</v>
      </c>
      <c r="F312" s="18" t="s">
        <v>611</v>
      </c>
      <c r="G312" t="s">
        <v>101</v>
      </c>
      <c r="H312">
        <v>3</v>
      </c>
      <c r="I312">
        <v>3</v>
      </c>
      <c r="J312" s="27">
        <v>71531.22</v>
      </c>
      <c r="K312" s="27">
        <v>5000000</v>
      </c>
    </row>
    <row r="313" spans="1:11" ht="12.75" customHeight="1" x14ac:dyDescent="0.2">
      <c r="A313" t="s">
        <v>7018</v>
      </c>
      <c r="B313" t="s">
        <v>7019</v>
      </c>
      <c r="C313">
        <v>2023</v>
      </c>
      <c r="D313" s="18">
        <v>45248</v>
      </c>
      <c r="E313" s="18">
        <v>45613</v>
      </c>
      <c r="F313" s="18" t="s">
        <v>611</v>
      </c>
      <c r="G313" t="s">
        <v>100</v>
      </c>
      <c r="H313">
        <v>3</v>
      </c>
      <c r="I313">
        <v>3</v>
      </c>
      <c r="J313" s="27">
        <v>118134.6</v>
      </c>
      <c r="K313" s="27">
        <v>10000000</v>
      </c>
    </row>
    <row r="314" spans="1:11" ht="12.75" customHeight="1" x14ac:dyDescent="0.2">
      <c r="A314" t="s">
        <v>7020</v>
      </c>
      <c r="B314" t="s">
        <v>7021</v>
      </c>
      <c r="C314">
        <v>2023</v>
      </c>
      <c r="D314" s="18">
        <v>45249</v>
      </c>
      <c r="E314" s="18">
        <v>45614</v>
      </c>
      <c r="F314" s="18" t="s">
        <v>611</v>
      </c>
      <c r="G314" t="s">
        <v>101</v>
      </c>
      <c r="H314">
        <v>1</v>
      </c>
      <c r="I314">
        <v>1</v>
      </c>
      <c r="J314" s="27">
        <v>55821.25</v>
      </c>
      <c r="K314" s="27">
        <v>3500000</v>
      </c>
    </row>
    <row r="315" spans="1:11" ht="12.75" customHeight="1" x14ac:dyDescent="0.2">
      <c r="A315" t="s">
        <v>7022</v>
      </c>
      <c r="B315" t="s">
        <v>7023</v>
      </c>
      <c r="C315">
        <v>2023</v>
      </c>
      <c r="D315" s="18">
        <v>45250</v>
      </c>
      <c r="E315" s="18">
        <v>45615</v>
      </c>
      <c r="F315" s="18" t="s">
        <v>611</v>
      </c>
      <c r="G315" t="s">
        <v>101</v>
      </c>
      <c r="H315">
        <v>2</v>
      </c>
      <c r="I315">
        <v>2</v>
      </c>
      <c r="J315" s="27">
        <v>16471.82</v>
      </c>
      <c r="K315" s="27">
        <v>1000000</v>
      </c>
    </row>
    <row r="316" spans="1:11" ht="12.75" customHeight="1" x14ac:dyDescent="0.2">
      <c r="A316" t="s">
        <v>7024</v>
      </c>
      <c r="B316" t="s">
        <v>7025</v>
      </c>
      <c r="C316">
        <v>2023</v>
      </c>
      <c r="D316" s="18">
        <v>45250</v>
      </c>
      <c r="E316" s="18">
        <v>45615</v>
      </c>
      <c r="F316" s="18" t="s">
        <v>611</v>
      </c>
      <c r="G316" t="s">
        <v>99</v>
      </c>
      <c r="H316">
        <v>2</v>
      </c>
      <c r="I316">
        <v>4</v>
      </c>
      <c r="J316" s="27">
        <v>16287.02</v>
      </c>
      <c r="K316" s="27">
        <v>2500000</v>
      </c>
    </row>
    <row r="317" spans="1:11" ht="12.75" customHeight="1" x14ac:dyDescent="0.2">
      <c r="A317" t="s">
        <v>7026</v>
      </c>
      <c r="B317" t="s">
        <v>7027</v>
      </c>
      <c r="C317">
        <v>2023</v>
      </c>
      <c r="D317" s="18">
        <v>45250</v>
      </c>
      <c r="E317" s="18">
        <v>45615</v>
      </c>
      <c r="F317" s="18" t="s">
        <v>611</v>
      </c>
      <c r="G317" t="s">
        <v>100</v>
      </c>
      <c r="H317">
        <v>3</v>
      </c>
      <c r="I317">
        <v>3</v>
      </c>
      <c r="J317" s="27">
        <v>37686.79</v>
      </c>
      <c r="K317" s="27">
        <v>3500000</v>
      </c>
    </row>
    <row r="318" spans="1:11" ht="12.75" customHeight="1" x14ac:dyDescent="0.2">
      <c r="A318" t="s">
        <v>7028</v>
      </c>
      <c r="B318" t="s">
        <v>7029</v>
      </c>
      <c r="C318">
        <v>2023</v>
      </c>
      <c r="D318" s="18">
        <v>45250</v>
      </c>
      <c r="E318" s="18">
        <v>45615</v>
      </c>
      <c r="F318" s="18" t="s">
        <v>611</v>
      </c>
      <c r="G318" t="s">
        <v>101</v>
      </c>
      <c r="H318">
        <v>2</v>
      </c>
      <c r="I318">
        <v>4</v>
      </c>
      <c r="J318" s="27">
        <v>8485.7199999999993</v>
      </c>
      <c r="K318" s="27">
        <v>500000</v>
      </c>
    </row>
    <row r="319" spans="1:11" ht="12.75" customHeight="1" x14ac:dyDescent="0.2">
      <c r="A319" t="s">
        <v>7030</v>
      </c>
      <c r="B319" t="s">
        <v>7031</v>
      </c>
      <c r="C319">
        <v>2023</v>
      </c>
      <c r="D319" s="18">
        <v>45251</v>
      </c>
      <c r="E319" s="18">
        <v>45616</v>
      </c>
      <c r="F319" s="18" t="s">
        <v>611</v>
      </c>
      <c r="G319" t="s">
        <v>100</v>
      </c>
      <c r="H319">
        <v>3</v>
      </c>
      <c r="I319">
        <v>6</v>
      </c>
      <c r="J319" s="27">
        <v>11864.35</v>
      </c>
      <c r="K319" s="27">
        <v>1000000</v>
      </c>
    </row>
    <row r="320" spans="1:11" ht="12.75" customHeight="1" x14ac:dyDescent="0.2">
      <c r="A320" t="s">
        <v>7032</v>
      </c>
      <c r="B320" t="s">
        <v>7033</v>
      </c>
      <c r="C320">
        <v>2023</v>
      </c>
      <c r="D320" s="18">
        <v>45251</v>
      </c>
      <c r="E320" s="18">
        <v>45616</v>
      </c>
      <c r="F320" s="18" t="s">
        <v>611</v>
      </c>
      <c r="G320" t="s">
        <v>100</v>
      </c>
      <c r="H320">
        <v>3</v>
      </c>
      <c r="I320">
        <v>3</v>
      </c>
      <c r="J320" s="27">
        <v>11357.48</v>
      </c>
      <c r="K320" s="27">
        <v>1000000</v>
      </c>
    </row>
    <row r="321" spans="1:11" ht="12.75" customHeight="1" x14ac:dyDescent="0.2">
      <c r="A321" t="s">
        <v>7034</v>
      </c>
      <c r="B321" t="s">
        <v>7035</v>
      </c>
      <c r="C321">
        <v>2023</v>
      </c>
      <c r="D321" s="18">
        <v>45252</v>
      </c>
      <c r="E321" s="18">
        <v>45617</v>
      </c>
      <c r="F321" s="18" t="s">
        <v>608</v>
      </c>
      <c r="G321" t="s">
        <v>101</v>
      </c>
      <c r="H321">
        <v>2</v>
      </c>
      <c r="I321">
        <v>2</v>
      </c>
      <c r="J321" s="27">
        <v>30065.040000000001</v>
      </c>
      <c r="K321" s="27">
        <v>2000000</v>
      </c>
    </row>
    <row r="322" spans="1:11" ht="12.75" customHeight="1" x14ac:dyDescent="0.2">
      <c r="A322" t="s">
        <v>7036</v>
      </c>
      <c r="B322" t="s">
        <v>7037</v>
      </c>
      <c r="C322">
        <v>2023</v>
      </c>
      <c r="D322" s="18">
        <v>45252</v>
      </c>
      <c r="E322" s="18">
        <v>45617</v>
      </c>
      <c r="F322" s="18" t="s">
        <v>611</v>
      </c>
      <c r="G322" t="s">
        <v>99</v>
      </c>
      <c r="H322">
        <v>3</v>
      </c>
      <c r="I322">
        <v>3</v>
      </c>
      <c r="J322" s="27">
        <v>14785.03</v>
      </c>
      <c r="K322" s="27">
        <v>2000000</v>
      </c>
    </row>
    <row r="323" spans="1:11" ht="12.75" customHeight="1" x14ac:dyDescent="0.2">
      <c r="A323" t="s">
        <v>7038</v>
      </c>
      <c r="B323" t="s">
        <v>7039</v>
      </c>
      <c r="C323">
        <v>2023</v>
      </c>
      <c r="D323" s="18">
        <v>45252</v>
      </c>
      <c r="E323" s="18">
        <v>45617</v>
      </c>
      <c r="F323" s="18" t="s">
        <v>611</v>
      </c>
      <c r="G323" t="s">
        <v>101</v>
      </c>
      <c r="H323">
        <v>1</v>
      </c>
      <c r="I323">
        <v>2</v>
      </c>
      <c r="J323" s="27">
        <v>32681.82</v>
      </c>
      <c r="K323" s="27">
        <v>2000000</v>
      </c>
    </row>
    <row r="324" spans="1:11" ht="12.75" customHeight="1" x14ac:dyDescent="0.2">
      <c r="A324" t="s">
        <v>7040</v>
      </c>
      <c r="B324" t="s">
        <v>7041</v>
      </c>
      <c r="C324">
        <v>2023</v>
      </c>
      <c r="D324" s="18">
        <v>45252</v>
      </c>
      <c r="E324" s="18">
        <v>45617</v>
      </c>
      <c r="F324" s="18" t="s">
        <v>611</v>
      </c>
      <c r="G324" t="s">
        <v>99</v>
      </c>
      <c r="H324">
        <v>1</v>
      </c>
      <c r="I324">
        <v>1</v>
      </c>
      <c r="J324" s="27">
        <v>77760.289999999994</v>
      </c>
      <c r="K324" s="27">
        <v>10000000</v>
      </c>
    </row>
    <row r="325" spans="1:11" ht="12.75" customHeight="1" x14ac:dyDescent="0.2">
      <c r="A325" t="s">
        <v>7042</v>
      </c>
      <c r="B325" t="s">
        <v>7043</v>
      </c>
      <c r="C325">
        <v>2023</v>
      </c>
      <c r="D325" s="18">
        <v>45252</v>
      </c>
      <c r="E325" s="18">
        <v>45617</v>
      </c>
      <c r="F325" s="18" t="s">
        <v>611</v>
      </c>
      <c r="G325" t="s">
        <v>100</v>
      </c>
      <c r="H325">
        <v>1</v>
      </c>
      <c r="I325">
        <v>1</v>
      </c>
      <c r="J325" s="27">
        <v>52845.31</v>
      </c>
      <c r="K325" s="27">
        <v>4500000</v>
      </c>
    </row>
    <row r="326" spans="1:11" ht="12.75" customHeight="1" x14ac:dyDescent="0.2">
      <c r="A326" t="s">
        <v>7044</v>
      </c>
      <c r="B326" t="s">
        <v>7045</v>
      </c>
      <c r="C326">
        <v>2023</v>
      </c>
      <c r="D326" s="18">
        <v>45252</v>
      </c>
      <c r="E326" s="18">
        <v>45617</v>
      </c>
      <c r="F326" s="18" t="s">
        <v>611</v>
      </c>
      <c r="G326" t="s">
        <v>99</v>
      </c>
      <c r="H326">
        <v>2</v>
      </c>
      <c r="I326">
        <v>4</v>
      </c>
      <c r="J326" s="27">
        <v>33355.51</v>
      </c>
      <c r="K326" s="27">
        <v>5000000</v>
      </c>
    </row>
    <row r="327" spans="1:11" ht="12.75" customHeight="1" x14ac:dyDescent="0.2">
      <c r="A327" t="s">
        <v>7046</v>
      </c>
      <c r="B327" t="s">
        <v>7047</v>
      </c>
      <c r="C327">
        <v>2023</v>
      </c>
      <c r="D327" s="18">
        <v>45252</v>
      </c>
      <c r="E327" s="18">
        <v>45617</v>
      </c>
      <c r="F327" s="18" t="s">
        <v>611</v>
      </c>
      <c r="G327" t="s">
        <v>100</v>
      </c>
      <c r="H327">
        <v>2</v>
      </c>
      <c r="I327">
        <v>2</v>
      </c>
      <c r="J327" s="27">
        <v>56205.34</v>
      </c>
      <c r="K327" s="27">
        <v>5000000</v>
      </c>
    </row>
    <row r="328" spans="1:11" ht="12.75" customHeight="1" x14ac:dyDescent="0.2">
      <c r="A328" t="s">
        <v>7048</v>
      </c>
      <c r="B328" t="s">
        <v>7049</v>
      </c>
      <c r="C328">
        <v>2023</v>
      </c>
      <c r="D328" s="18">
        <v>45252</v>
      </c>
      <c r="E328" s="18">
        <v>45617</v>
      </c>
      <c r="F328" s="18" t="s">
        <v>611</v>
      </c>
      <c r="G328" t="s">
        <v>102</v>
      </c>
      <c r="H328">
        <v>2</v>
      </c>
      <c r="I328">
        <v>2</v>
      </c>
      <c r="J328" s="27">
        <v>33823.75</v>
      </c>
      <c r="K328" s="27">
        <v>4000000</v>
      </c>
    </row>
    <row r="329" spans="1:11" ht="12.75" customHeight="1" x14ac:dyDescent="0.2">
      <c r="A329" t="s">
        <v>7050</v>
      </c>
      <c r="B329" t="s">
        <v>7051</v>
      </c>
      <c r="C329">
        <v>2023</v>
      </c>
      <c r="D329" s="18">
        <v>45253</v>
      </c>
      <c r="E329" s="18">
        <v>45618</v>
      </c>
      <c r="F329" s="18" t="s">
        <v>611</v>
      </c>
      <c r="G329" t="s">
        <v>100</v>
      </c>
      <c r="H329">
        <v>1</v>
      </c>
      <c r="I329">
        <v>2</v>
      </c>
      <c r="J329" s="27">
        <v>40292.379999999997</v>
      </c>
      <c r="K329" s="27">
        <v>3500000</v>
      </c>
    </row>
    <row r="330" spans="1:11" ht="12.75" customHeight="1" x14ac:dyDescent="0.2">
      <c r="A330" t="s">
        <v>7052</v>
      </c>
      <c r="B330" t="s">
        <v>7053</v>
      </c>
      <c r="C330">
        <v>2023</v>
      </c>
      <c r="D330" s="18">
        <v>45253</v>
      </c>
      <c r="E330" s="18">
        <v>45618</v>
      </c>
      <c r="F330" s="18" t="s">
        <v>611</v>
      </c>
      <c r="G330" t="s">
        <v>102</v>
      </c>
      <c r="H330">
        <v>2</v>
      </c>
      <c r="I330">
        <v>4</v>
      </c>
      <c r="J330" s="27">
        <v>39000.800000000003</v>
      </c>
      <c r="K330" s="27">
        <v>5000000</v>
      </c>
    </row>
    <row r="331" spans="1:11" ht="12.75" customHeight="1" x14ac:dyDescent="0.2">
      <c r="A331" t="s">
        <v>7054</v>
      </c>
      <c r="B331" t="s">
        <v>7055</v>
      </c>
      <c r="C331">
        <v>2023</v>
      </c>
      <c r="D331" s="18">
        <v>45253</v>
      </c>
      <c r="E331" s="18">
        <v>45618</v>
      </c>
      <c r="F331" s="18" t="s">
        <v>611</v>
      </c>
      <c r="G331" t="s">
        <v>100</v>
      </c>
      <c r="H331">
        <v>1</v>
      </c>
      <c r="I331">
        <v>1</v>
      </c>
      <c r="J331" s="27">
        <v>23376.82</v>
      </c>
      <c r="K331" s="27">
        <v>2000000</v>
      </c>
    </row>
    <row r="332" spans="1:11" ht="12.75" customHeight="1" x14ac:dyDescent="0.2">
      <c r="A332" t="s">
        <v>7056</v>
      </c>
      <c r="B332" t="s">
        <v>7057</v>
      </c>
      <c r="C332">
        <v>2023</v>
      </c>
      <c r="D332" s="18">
        <v>45253</v>
      </c>
      <c r="E332" s="18">
        <v>45618</v>
      </c>
      <c r="F332" s="18" t="s">
        <v>611</v>
      </c>
      <c r="G332" t="s">
        <v>100</v>
      </c>
      <c r="H332">
        <v>1</v>
      </c>
      <c r="I332">
        <v>1</v>
      </c>
      <c r="J332" s="27">
        <v>24328.55</v>
      </c>
      <c r="K332" s="27">
        <v>2000000</v>
      </c>
    </row>
    <row r="333" spans="1:11" ht="12.75" customHeight="1" x14ac:dyDescent="0.2">
      <c r="A333" t="s">
        <v>7058</v>
      </c>
      <c r="B333" t="s">
        <v>7059</v>
      </c>
      <c r="C333">
        <v>2023</v>
      </c>
      <c r="D333" s="18">
        <v>45253</v>
      </c>
      <c r="E333" s="18">
        <v>45618</v>
      </c>
      <c r="F333" s="18" t="s">
        <v>611</v>
      </c>
      <c r="G333" t="s">
        <v>101</v>
      </c>
      <c r="H333">
        <v>1</v>
      </c>
      <c r="I333">
        <v>1</v>
      </c>
      <c r="J333" s="27">
        <v>31005.35</v>
      </c>
      <c r="K333" s="27">
        <v>2000000</v>
      </c>
    </row>
    <row r="334" spans="1:11" ht="12.75" customHeight="1" x14ac:dyDescent="0.2">
      <c r="A334" t="s">
        <v>7060</v>
      </c>
      <c r="B334" t="s">
        <v>7061</v>
      </c>
      <c r="C334">
        <v>2023</v>
      </c>
      <c r="D334" s="18">
        <v>45254</v>
      </c>
      <c r="E334" s="18">
        <v>45619</v>
      </c>
      <c r="F334" s="18" t="s">
        <v>608</v>
      </c>
      <c r="G334" t="s">
        <v>101</v>
      </c>
      <c r="H334">
        <v>3</v>
      </c>
      <c r="I334">
        <v>3</v>
      </c>
      <c r="J334" s="27">
        <v>72839.710000000006</v>
      </c>
      <c r="K334" s="27">
        <v>5000000</v>
      </c>
    </row>
    <row r="335" spans="1:11" ht="12.75" customHeight="1" x14ac:dyDescent="0.2">
      <c r="A335" t="s">
        <v>7062</v>
      </c>
      <c r="B335" t="s">
        <v>7063</v>
      </c>
      <c r="C335">
        <v>2023</v>
      </c>
      <c r="D335" s="18">
        <v>45254</v>
      </c>
      <c r="E335" s="18">
        <v>45619</v>
      </c>
      <c r="F335" s="18" t="s">
        <v>611</v>
      </c>
      <c r="G335" t="s">
        <v>101</v>
      </c>
      <c r="H335">
        <v>2</v>
      </c>
      <c r="I335">
        <v>2</v>
      </c>
      <c r="J335" s="27">
        <v>60834.97</v>
      </c>
      <c r="K335" s="27">
        <v>4000000</v>
      </c>
    </row>
    <row r="336" spans="1:11" ht="12.75" customHeight="1" x14ac:dyDescent="0.2">
      <c r="A336" t="s">
        <v>7064</v>
      </c>
      <c r="B336" t="s">
        <v>7065</v>
      </c>
      <c r="C336">
        <v>2023</v>
      </c>
      <c r="D336" s="18">
        <v>45254</v>
      </c>
      <c r="E336" s="18">
        <v>45619</v>
      </c>
      <c r="F336" s="18" t="s">
        <v>611</v>
      </c>
      <c r="G336" t="s">
        <v>99</v>
      </c>
      <c r="H336">
        <v>1</v>
      </c>
      <c r="I336">
        <v>1</v>
      </c>
      <c r="J336" s="27">
        <v>69598.16</v>
      </c>
      <c r="K336" s="27">
        <v>10000000</v>
      </c>
    </row>
    <row r="337" spans="1:11" ht="12.75" customHeight="1" x14ac:dyDescent="0.2">
      <c r="A337" t="s">
        <v>7066</v>
      </c>
      <c r="B337" t="s">
        <v>7067</v>
      </c>
      <c r="C337">
        <v>2023</v>
      </c>
      <c r="D337" s="18">
        <v>45254</v>
      </c>
      <c r="E337" s="18">
        <v>45619</v>
      </c>
      <c r="F337" s="18" t="s">
        <v>611</v>
      </c>
      <c r="G337" t="s">
        <v>102</v>
      </c>
      <c r="H337">
        <v>3</v>
      </c>
      <c r="I337">
        <v>3</v>
      </c>
      <c r="J337" s="27">
        <v>41442.82</v>
      </c>
      <c r="K337" s="27">
        <v>5000000</v>
      </c>
    </row>
    <row r="338" spans="1:11" ht="12.75" customHeight="1" x14ac:dyDescent="0.2">
      <c r="A338" t="s">
        <v>7068</v>
      </c>
      <c r="B338" t="s">
        <v>7069</v>
      </c>
      <c r="C338">
        <v>2023</v>
      </c>
      <c r="D338" s="18">
        <v>45254</v>
      </c>
      <c r="E338" s="18">
        <v>45619</v>
      </c>
      <c r="F338" s="18" t="s">
        <v>611</v>
      </c>
      <c r="G338" t="s">
        <v>99</v>
      </c>
      <c r="H338">
        <v>1</v>
      </c>
      <c r="I338">
        <v>1</v>
      </c>
      <c r="J338" s="27">
        <v>19932.080000000002</v>
      </c>
      <c r="K338" s="27">
        <v>3000000</v>
      </c>
    </row>
    <row r="339" spans="1:11" ht="12.75" customHeight="1" x14ac:dyDescent="0.2">
      <c r="A339" t="s">
        <v>7070</v>
      </c>
      <c r="B339" t="s">
        <v>7071</v>
      </c>
      <c r="C339">
        <v>2023</v>
      </c>
      <c r="D339" s="18">
        <v>45254</v>
      </c>
      <c r="E339" s="18">
        <v>45619</v>
      </c>
      <c r="F339" s="18" t="s">
        <v>611</v>
      </c>
      <c r="G339" t="s">
        <v>102</v>
      </c>
      <c r="H339">
        <v>2</v>
      </c>
      <c r="I339">
        <v>2</v>
      </c>
      <c r="J339" s="27">
        <v>8222.8700000000008</v>
      </c>
      <c r="K339" s="27">
        <v>1000000</v>
      </c>
    </row>
    <row r="340" spans="1:11" ht="12.75" customHeight="1" x14ac:dyDescent="0.2">
      <c r="A340" t="s">
        <v>7072</v>
      </c>
      <c r="B340" t="s">
        <v>7073</v>
      </c>
      <c r="C340">
        <v>2023</v>
      </c>
      <c r="D340" s="18">
        <v>45255</v>
      </c>
      <c r="E340" s="18">
        <v>45620</v>
      </c>
      <c r="F340" s="18" t="s">
        <v>611</v>
      </c>
      <c r="G340" t="s">
        <v>101</v>
      </c>
      <c r="H340">
        <v>2</v>
      </c>
      <c r="I340">
        <v>2</v>
      </c>
      <c r="J340" s="27">
        <v>16085.51</v>
      </c>
      <c r="K340" s="27">
        <v>1000000</v>
      </c>
    </row>
    <row r="341" spans="1:11" ht="12.75" customHeight="1" x14ac:dyDescent="0.2">
      <c r="A341" t="s">
        <v>7074</v>
      </c>
      <c r="B341" t="s">
        <v>7075</v>
      </c>
      <c r="C341">
        <v>2023</v>
      </c>
      <c r="D341" s="18">
        <v>45255</v>
      </c>
      <c r="E341" s="18">
        <v>45620</v>
      </c>
      <c r="F341" s="18" t="s">
        <v>611</v>
      </c>
      <c r="G341" t="s">
        <v>100</v>
      </c>
      <c r="H341">
        <v>2</v>
      </c>
      <c r="I341">
        <v>2</v>
      </c>
      <c r="J341" s="27">
        <v>21199.45</v>
      </c>
      <c r="K341" s="27">
        <v>2000000</v>
      </c>
    </row>
    <row r="342" spans="1:11" ht="12.75" customHeight="1" x14ac:dyDescent="0.2">
      <c r="A342" t="s">
        <v>7076</v>
      </c>
      <c r="B342" t="s">
        <v>7077</v>
      </c>
      <c r="C342">
        <v>2023</v>
      </c>
      <c r="D342" s="18">
        <v>45255</v>
      </c>
      <c r="E342" s="18">
        <v>45620</v>
      </c>
      <c r="F342" s="18" t="s">
        <v>611</v>
      </c>
      <c r="G342" t="s">
        <v>99</v>
      </c>
      <c r="H342">
        <v>3</v>
      </c>
      <c r="I342">
        <v>3</v>
      </c>
      <c r="J342" s="27">
        <v>7699.41</v>
      </c>
      <c r="K342" s="27">
        <v>1000000</v>
      </c>
    </row>
    <row r="343" spans="1:11" ht="12.75" customHeight="1" x14ac:dyDescent="0.2">
      <c r="A343" t="s">
        <v>7078</v>
      </c>
      <c r="B343" t="s">
        <v>7079</v>
      </c>
      <c r="C343">
        <v>2023</v>
      </c>
      <c r="D343" s="18">
        <v>45255</v>
      </c>
      <c r="E343" s="18">
        <v>45620</v>
      </c>
      <c r="F343" s="18" t="s">
        <v>611</v>
      </c>
      <c r="G343" t="s">
        <v>100</v>
      </c>
      <c r="H343">
        <v>2</v>
      </c>
      <c r="I343">
        <v>4</v>
      </c>
      <c r="J343" s="27">
        <v>5347.62</v>
      </c>
      <c r="K343" s="27">
        <v>500000</v>
      </c>
    </row>
    <row r="344" spans="1:11" ht="12.75" customHeight="1" x14ac:dyDescent="0.2">
      <c r="A344" t="s">
        <v>7080</v>
      </c>
      <c r="B344" t="s">
        <v>7081</v>
      </c>
      <c r="C344">
        <v>2023</v>
      </c>
      <c r="D344" s="18">
        <v>45255</v>
      </c>
      <c r="E344" s="18">
        <v>45620</v>
      </c>
      <c r="F344" s="18" t="s">
        <v>611</v>
      </c>
      <c r="G344" t="s">
        <v>101</v>
      </c>
      <c r="H344">
        <v>3</v>
      </c>
      <c r="I344">
        <v>3</v>
      </c>
      <c r="J344" s="27">
        <v>23345.25</v>
      </c>
      <c r="K344" s="27">
        <v>1500000</v>
      </c>
    </row>
    <row r="345" spans="1:11" ht="12.75" customHeight="1" x14ac:dyDescent="0.2">
      <c r="A345" t="s">
        <v>7082</v>
      </c>
      <c r="B345" t="s">
        <v>7083</v>
      </c>
      <c r="C345">
        <v>2023</v>
      </c>
      <c r="D345" s="18">
        <v>45255</v>
      </c>
      <c r="E345" s="18">
        <v>45620</v>
      </c>
      <c r="F345" s="18" t="s">
        <v>611</v>
      </c>
      <c r="G345" t="s">
        <v>102</v>
      </c>
      <c r="H345">
        <v>1</v>
      </c>
      <c r="I345">
        <v>1</v>
      </c>
      <c r="J345" s="27">
        <v>7487.86</v>
      </c>
      <c r="K345" s="27">
        <v>1000000</v>
      </c>
    </row>
    <row r="346" spans="1:11" ht="12.75" customHeight="1" x14ac:dyDescent="0.2">
      <c r="A346" t="s">
        <v>7084</v>
      </c>
      <c r="B346" t="s">
        <v>7085</v>
      </c>
      <c r="C346">
        <v>2023</v>
      </c>
      <c r="D346" s="18">
        <v>45255</v>
      </c>
      <c r="E346" s="18">
        <v>45620</v>
      </c>
      <c r="F346" s="18" t="s">
        <v>611</v>
      </c>
      <c r="G346" t="s">
        <v>99</v>
      </c>
      <c r="H346">
        <v>2</v>
      </c>
      <c r="I346">
        <v>4</v>
      </c>
      <c r="J346" s="27">
        <v>14018.4</v>
      </c>
      <c r="K346" s="27">
        <v>2000000</v>
      </c>
    </row>
    <row r="347" spans="1:11" ht="12.75" customHeight="1" x14ac:dyDescent="0.2">
      <c r="A347" t="s">
        <v>7086</v>
      </c>
      <c r="B347" t="s">
        <v>7087</v>
      </c>
      <c r="C347">
        <v>2023</v>
      </c>
      <c r="D347" s="18">
        <v>45255</v>
      </c>
      <c r="E347" s="18">
        <v>45620</v>
      </c>
      <c r="F347" s="18" t="s">
        <v>611</v>
      </c>
      <c r="G347" t="s">
        <v>99</v>
      </c>
      <c r="H347">
        <v>1</v>
      </c>
      <c r="I347">
        <v>2</v>
      </c>
      <c r="J347" s="27">
        <v>3418.47</v>
      </c>
      <c r="K347" s="27">
        <v>500000</v>
      </c>
    </row>
    <row r="348" spans="1:11" ht="12.75" customHeight="1" x14ac:dyDescent="0.2">
      <c r="A348" t="s">
        <v>7088</v>
      </c>
      <c r="B348" t="s">
        <v>7089</v>
      </c>
      <c r="C348">
        <v>2023</v>
      </c>
      <c r="D348" s="18">
        <v>45255</v>
      </c>
      <c r="E348" s="18">
        <v>45620</v>
      </c>
      <c r="F348" s="18" t="s">
        <v>611</v>
      </c>
      <c r="G348" t="s">
        <v>99</v>
      </c>
      <c r="H348">
        <v>1</v>
      </c>
      <c r="I348">
        <v>2</v>
      </c>
      <c r="J348" s="27">
        <v>14141.35</v>
      </c>
      <c r="K348" s="27">
        <v>2000000</v>
      </c>
    </row>
    <row r="349" spans="1:11" ht="12.75" customHeight="1" x14ac:dyDescent="0.2">
      <c r="A349" t="s">
        <v>7090</v>
      </c>
      <c r="B349" t="s">
        <v>7091</v>
      </c>
      <c r="C349">
        <v>2023</v>
      </c>
      <c r="D349" s="18">
        <v>45256</v>
      </c>
      <c r="E349" s="18">
        <v>45621</v>
      </c>
      <c r="F349" s="18" t="s">
        <v>608</v>
      </c>
      <c r="G349" t="s">
        <v>99</v>
      </c>
      <c r="H349">
        <v>2</v>
      </c>
      <c r="I349">
        <v>2</v>
      </c>
      <c r="J349" s="27">
        <v>7553.92</v>
      </c>
      <c r="K349" s="27">
        <v>1000000</v>
      </c>
    </row>
    <row r="350" spans="1:11" ht="12.75" customHeight="1" x14ac:dyDescent="0.2">
      <c r="A350" t="s">
        <v>7092</v>
      </c>
      <c r="B350" t="s">
        <v>7093</v>
      </c>
      <c r="C350">
        <v>2023</v>
      </c>
      <c r="D350" s="18">
        <v>45256</v>
      </c>
      <c r="E350" s="18">
        <v>45621</v>
      </c>
      <c r="F350" s="18" t="s">
        <v>608</v>
      </c>
      <c r="G350" t="s">
        <v>102</v>
      </c>
      <c r="H350">
        <v>3</v>
      </c>
      <c r="I350">
        <v>3</v>
      </c>
      <c r="J350" s="27">
        <v>30070.81</v>
      </c>
      <c r="K350" s="27">
        <v>3500000</v>
      </c>
    </row>
    <row r="351" spans="1:11" ht="12.75" customHeight="1" x14ac:dyDescent="0.2">
      <c r="A351" t="s">
        <v>7094</v>
      </c>
      <c r="B351" t="s">
        <v>7095</v>
      </c>
      <c r="C351">
        <v>2023</v>
      </c>
      <c r="D351" s="18">
        <v>45256</v>
      </c>
      <c r="E351" s="18">
        <v>45621</v>
      </c>
      <c r="F351" s="18" t="s">
        <v>611</v>
      </c>
      <c r="G351" t="s">
        <v>100</v>
      </c>
      <c r="H351">
        <v>2</v>
      </c>
      <c r="I351">
        <v>2</v>
      </c>
      <c r="J351" s="27">
        <v>12310.88</v>
      </c>
      <c r="K351" s="27">
        <v>1000000</v>
      </c>
    </row>
    <row r="352" spans="1:11" ht="12.75" customHeight="1" x14ac:dyDescent="0.2">
      <c r="A352" t="s">
        <v>7096</v>
      </c>
      <c r="B352" t="s">
        <v>7097</v>
      </c>
      <c r="C352">
        <v>2023</v>
      </c>
      <c r="D352" s="18">
        <v>45256</v>
      </c>
      <c r="E352" s="18">
        <v>45621</v>
      </c>
      <c r="F352" s="18" t="s">
        <v>611</v>
      </c>
      <c r="G352" t="s">
        <v>99</v>
      </c>
      <c r="H352">
        <v>1</v>
      </c>
      <c r="I352">
        <v>1</v>
      </c>
      <c r="J352" s="27">
        <v>27428.81</v>
      </c>
      <c r="K352" s="27">
        <v>4000000</v>
      </c>
    </row>
    <row r="353" spans="1:11" ht="12.75" customHeight="1" x14ac:dyDescent="0.2">
      <c r="A353" t="s">
        <v>7098</v>
      </c>
      <c r="B353" t="s">
        <v>7099</v>
      </c>
      <c r="C353">
        <v>2023</v>
      </c>
      <c r="D353" s="18">
        <v>45256</v>
      </c>
      <c r="E353" s="18">
        <v>45621</v>
      </c>
      <c r="F353" s="18" t="s">
        <v>611</v>
      </c>
      <c r="G353" t="s">
        <v>101</v>
      </c>
      <c r="H353">
        <v>2</v>
      </c>
      <c r="I353">
        <v>4</v>
      </c>
      <c r="J353" s="27">
        <v>32554.25</v>
      </c>
      <c r="K353" s="27">
        <v>2000000</v>
      </c>
    </row>
    <row r="354" spans="1:11" ht="12.75" customHeight="1" x14ac:dyDescent="0.2">
      <c r="A354" t="s">
        <v>7100</v>
      </c>
      <c r="B354" t="s">
        <v>7101</v>
      </c>
      <c r="C354">
        <v>2023</v>
      </c>
      <c r="D354" s="18">
        <v>45257</v>
      </c>
      <c r="E354" s="18">
        <v>45622</v>
      </c>
      <c r="F354" s="18" t="s">
        <v>611</v>
      </c>
      <c r="G354" t="s">
        <v>99</v>
      </c>
      <c r="H354">
        <v>2</v>
      </c>
      <c r="I354">
        <v>4</v>
      </c>
      <c r="J354" s="27">
        <v>18013.62</v>
      </c>
      <c r="K354" s="27">
        <v>2500000</v>
      </c>
    </row>
    <row r="355" spans="1:11" ht="12.75" customHeight="1" x14ac:dyDescent="0.2">
      <c r="A355" t="s">
        <v>7102</v>
      </c>
      <c r="B355" t="s">
        <v>7103</v>
      </c>
      <c r="C355">
        <v>2023</v>
      </c>
      <c r="D355" s="18">
        <v>45257</v>
      </c>
      <c r="E355" s="18">
        <v>45622</v>
      </c>
      <c r="F355" s="18" t="s">
        <v>611</v>
      </c>
      <c r="G355" t="s">
        <v>102</v>
      </c>
      <c r="H355">
        <v>1</v>
      </c>
      <c r="I355">
        <v>1</v>
      </c>
      <c r="J355" s="27">
        <v>29823.29</v>
      </c>
      <c r="K355" s="27">
        <v>4000000</v>
      </c>
    </row>
    <row r="356" spans="1:11" ht="12.75" customHeight="1" x14ac:dyDescent="0.2">
      <c r="A356" t="s">
        <v>7104</v>
      </c>
      <c r="B356" t="s">
        <v>7105</v>
      </c>
      <c r="C356">
        <v>2023</v>
      </c>
      <c r="D356" s="18">
        <v>45257</v>
      </c>
      <c r="E356" s="18">
        <v>45622</v>
      </c>
      <c r="F356" s="18" t="s">
        <v>611</v>
      </c>
      <c r="G356" t="s">
        <v>100</v>
      </c>
      <c r="H356">
        <v>1</v>
      </c>
      <c r="I356">
        <v>1</v>
      </c>
      <c r="J356" s="27">
        <v>117833.18</v>
      </c>
      <c r="K356" s="27">
        <v>10000000</v>
      </c>
    </row>
    <row r="357" spans="1:11" ht="12.75" customHeight="1" x14ac:dyDescent="0.2">
      <c r="A357" t="s">
        <v>7106</v>
      </c>
      <c r="B357" t="s">
        <v>7107</v>
      </c>
      <c r="C357">
        <v>2023</v>
      </c>
      <c r="D357" s="18">
        <v>45257</v>
      </c>
      <c r="E357" s="18">
        <v>45622</v>
      </c>
      <c r="F357" s="18" t="s">
        <v>611</v>
      </c>
      <c r="G357" t="s">
        <v>99</v>
      </c>
      <c r="H357">
        <v>2</v>
      </c>
      <c r="I357">
        <v>4</v>
      </c>
      <c r="J357" s="27">
        <v>26142.7</v>
      </c>
      <c r="K357" s="27">
        <v>4000000</v>
      </c>
    </row>
    <row r="358" spans="1:11" ht="12.75" customHeight="1" x14ac:dyDescent="0.2">
      <c r="A358" t="s">
        <v>7108</v>
      </c>
      <c r="B358" t="s">
        <v>7109</v>
      </c>
      <c r="C358">
        <v>2023</v>
      </c>
      <c r="D358" s="18">
        <v>45257</v>
      </c>
      <c r="E358" s="18">
        <v>45622</v>
      </c>
      <c r="F358" s="18" t="s">
        <v>611</v>
      </c>
      <c r="G358" t="s">
        <v>102</v>
      </c>
      <c r="H358">
        <v>2</v>
      </c>
      <c r="I358">
        <v>2</v>
      </c>
      <c r="J358" s="27">
        <v>35990.22</v>
      </c>
      <c r="K358" s="27">
        <v>4500000</v>
      </c>
    </row>
    <row r="359" spans="1:11" ht="12.75" customHeight="1" x14ac:dyDescent="0.2">
      <c r="A359" t="s">
        <v>7110</v>
      </c>
      <c r="B359" t="s">
        <v>7111</v>
      </c>
      <c r="C359">
        <v>2023</v>
      </c>
      <c r="D359" s="18">
        <v>45257</v>
      </c>
      <c r="E359" s="18">
        <v>45622</v>
      </c>
      <c r="F359" s="18" t="s">
        <v>611</v>
      </c>
      <c r="G359" t="s">
        <v>99</v>
      </c>
      <c r="H359">
        <v>1</v>
      </c>
      <c r="I359">
        <v>2</v>
      </c>
      <c r="J359" s="27">
        <v>12972.12</v>
      </c>
      <c r="K359" s="27">
        <v>2000000</v>
      </c>
    </row>
    <row r="360" spans="1:11" ht="12.75" customHeight="1" x14ac:dyDescent="0.2">
      <c r="A360" t="s">
        <v>7112</v>
      </c>
      <c r="B360" t="s">
        <v>7113</v>
      </c>
      <c r="C360">
        <v>2023</v>
      </c>
      <c r="D360" s="18">
        <v>45258</v>
      </c>
      <c r="E360" s="18">
        <v>45623</v>
      </c>
      <c r="F360" s="18" t="s">
        <v>611</v>
      </c>
      <c r="G360" t="s">
        <v>101</v>
      </c>
      <c r="H360">
        <v>2</v>
      </c>
      <c r="I360">
        <v>2</v>
      </c>
      <c r="J360" s="27">
        <v>16965.37</v>
      </c>
      <c r="K360" s="27">
        <v>1000000</v>
      </c>
    </row>
    <row r="361" spans="1:11" ht="12.75" customHeight="1" x14ac:dyDescent="0.2">
      <c r="A361" t="s">
        <v>7114</v>
      </c>
      <c r="B361" t="s">
        <v>7115</v>
      </c>
      <c r="C361">
        <v>2023</v>
      </c>
      <c r="D361" s="18">
        <v>45258</v>
      </c>
      <c r="E361" s="18">
        <v>45623</v>
      </c>
      <c r="F361" s="18" t="s">
        <v>611</v>
      </c>
      <c r="G361" t="s">
        <v>100</v>
      </c>
      <c r="H361">
        <v>2</v>
      </c>
      <c r="I361">
        <v>2</v>
      </c>
      <c r="J361" s="27">
        <v>31824.560000000001</v>
      </c>
      <c r="K361" s="27">
        <v>3000000</v>
      </c>
    </row>
    <row r="362" spans="1:11" ht="12.75" customHeight="1" x14ac:dyDescent="0.2">
      <c r="A362" t="s">
        <v>7116</v>
      </c>
      <c r="B362" t="s">
        <v>7117</v>
      </c>
      <c r="C362">
        <v>2023</v>
      </c>
      <c r="D362" s="18">
        <v>45258</v>
      </c>
      <c r="E362" s="18">
        <v>45623</v>
      </c>
      <c r="F362" s="18" t="s">
        <v>611</v>
      </c>
      <c r="G362" t="s">
        <v>100</v>
      </c>
      <c r="H362">
        <v>2</v>
      </c>
      <c r="I362">
        <v>4</v>
      </c>
      <c r="J362" s="27">
        <v>11610.82</v>
      </c>
      <c r="K362" s="27">
        <v>1000000</v>
      </c>
    </row>
    <row r="363" spans="1:11" ht="12.75" customHeight="1" x14ac:dyDescent="0.2">
      <c r="A363" t="s">
        <v>7118</v>
      </c>
      <c r="B363" t="s">
        <v>7119</v>
      </c>
      <c r="C363">
        <v>2023</v>
      </c>
      <c r="D363" s="18">
        <v>45258</v>
      </c>
      <c r="E363" s="18">
        <v>45623</v>
      </c>
      <c r="F363" s="18" t="s">
        <v>611</v>
      </c>
      <c r="G363" t="s">
        <v>100</v>
      </c>
      <c r="H363">
        <v>2</v>
      </c>
      <c r="I363">
        <v>2</v>
      </c>
      <c r="J363" s="27">
        <v>12453.86</v>
      </c>
      <c r="K363" s="27">
        <v>1000000</v>
      </c>
    </row>
    <row r="364" spans="1:11" ht="12.75" customHeight="1" x14ac:dyDescent="0.2">
      <c r="A364" t="s">
        <v>7120</v>
      </c>
      <c r="B364" t="s">
        <v>7121</v>
      </c>
      <c r="C364">
        <v>2023</v>
      </c>
      <c r="D364" s="18">
        <v>45258</v>
      </c>
      <c r="E364" s="18">
        <v>45623</v>
      </c>
      <c r="F364" s="18" t="s">
        <v>611</v>
      </c>
      <c r="G364" t="s">
        <v>101</v>
      </c>
      <c r="H364">
        <v>3</v>
      </c>
      <c r="I364">
        <v>3</v>
      </c>
      <c r="J364" s="27">
        <v>76291.89</v>
      </c>
      <c r="K364" s="27">
        <v>5000000</v>
      </c>
    </row>
    <row r="365" spans="1:11" ht="12.75" customHeight="1" x14ac:dyDescent="0.2">
      <c r="A365" t="s">
        <v>7122</v>
      </c>
      <c r="B365" t="s">
        <v>7123</v>
      </c>
      <c r="C365">
        <v>2023</v>
      </c>
      <c r="D365" s="18">
        <v>45258</v>
      </c>
      <c r="E365" s="18">
        <v>45623</v>
      </c>
      <c r="F365" s="18" t="s">
        <v>611</v>
      </c>
      <c r="G365" t="s">
        <v>101</v>
      </c>
      <c r="H365">
        <v>1</v>
      </c>
      <c r="I365">
        <v>2</v>
      </c>
      <c r="J365" s="27">
        <v>22305.46</v>
      </c>
      <c r="K365" s="27">
        <v>1500000</v>
      </c>
    </row>
    <row r="366" spans="1:11" ht="12.75" customHeight="1" x14ac:dyDescent="0.2">
      <c r="A366" t="s">
        <v>7124</v>
      </c>
      <c r="B366" t="s">
        <v>7125</v>
      </c>
      <c r="C366">
        <v>2023</v>
      </c>
      <c r="D366" s="18">
        <v>45258</v>
      </c>
      <c r="E366" s="18">
        <v>45623</v>
      </c>
      <c r="F366" s="18" t="s">
        <v>611</v>
      </c>
      <c r="G366" t="s">
        <v>101</v>
      </c>
      <c r="H366">
        <v>2</v>
      </c>
      <c r="I366">
        <v>4</v>
      </c>
      <c r="J366" s="27">
        <v>33923.81</v>
      </c>
      <c r="K366" s="27">
        <v>2000000</v>
      </c>
    </row>
    <row r="367" spans="1:11" ht="12.75" customHeight="1" x14ac:dyDescent="0.2">
      <c r="A367" t="s">
        <v>7126</v>
      </c>
      <c r="B367" t="s">
        <v>7127</v>
      </c>
      <c r="C367">
        <v>2023</v>
      </c>
      <c r="D367" s="18">
        <v>45259</v>
      </c>
      <c r="E367" s="18">
        <v>45624</v>
      </c>
      <c r="F367" s="18" t="s">
        <v>611</v>
      </c>
      <c r="G367" t="s">
        <v>99</v>
      </c>
      <c r="H367">
        <v>1</v>
      </c>
      <c r="I367">
        <v>1</v>
      </c>
      <c r="J367" s="27">
        <v>14240.19</v>
      </c>
      <c r="K367" s="27">
        <v>2000000</v>
      </c>
    </row>
    <row r="368" spans="1:11" ht="12.75" customHeight="1" x14ac:dyDescent="0.2">
      <c r="A368" t="s">
        <v>7128</v>
      </c>
      <c r="B368" t="s">
        <v>7129</v>
      </c>
      <c r="C368">
        <v>2023</v>
      </c>
      <c r="D368" s="18">
        <v>45259</v>
      </c>
      <c r="E368" s="18">
        <v>45624</v>
      </c>
      <c r="F368" s="18" t="s">
        <v>611</v>
      </c>
      <c r="G368" t="s">
        <v>102</v>
      </c>
      <c r="H368">
        <v>3</v>
      </c>
      <c r="I368">
        <v>3</v>
      </c>
      <c r="J368" s="27">
        <v>17081.830000000002</v>
      </c>
      <c r="K368" s="27">
        <v>2000000</v>
      </c>
    </row>
    <row r="369" spans="1:11" ht="12.75" customHeight="1" x14ac:dyDescent="0.2">
      <c r="A369" t="s">
        <v>7130</v>
      </c>
      <c r="B369" t="s">
        <v>7131</v>
      </c>
      <c r="C369">
        <v>2023</v>
      </c>
      <c r="D369" s="18">
        <v>45259</v>
      </c>
      <c r="E369" s="18">
        <v>45624</v>
      </c>
      <c r="F369" s="18" t="s">
        <v>611</v>
      </c>
      <c r="G369" t="s">
        <v>101</v>
      </c>
      <c r="H369">
        <v>1</v>
      </c>
      <c r="I369">
        <v>1</v>
      </c>
      <c r="J369" s="27">
        <v>31244.79</v>
      </c>
      <c r="K369" s="27">
        <v>2000000</v>
      </c>
    </row>
    <row r="370" spans="1:11" ht="12.75" customHeight="1" x14ac:dyDescent="0.2">
      <c r="A370" t="s">
        <v>7132</v>
      </c>
      <c r="B370" t="s">
        <v>7133</v>
      </c>
      <c r="C370">
        <v>2023</v>
      </c>
      <c r="D370" s="18">
        <v>45259</v>
      </c>
      <c r="E370" s="18">
        <v>45624</v>
      </c>
      <c r="F370" s="18" t="s">
        <v>611</v>
      </c>
      <c r="G370" t="s">
        <v>100</v>
      </c>
      <c r="H370">
        <v>3</v>
      </c>
      <c r="I370">
        <v>3</v>
      </c>
      <c r="J370" s="27">
        <v>21168.36</v>
      </c>
      <c r="K370" s="27">
        <v>2000000</v>
      </c>
    </row>
    <row r="371" spans="1:11" ht="12.75" customHeight="1" x14ac:dyDescent="0.2">
      <c r="A371" t="s">
        <v>7134</v>
      </c>
      <c r="B371" t="s">
        <v>7135</v>
      </c>
      <c r="C371">
        <v>2023</v>
      </c>
      <c r="D371" s="18">
        <v>45259</v>
      </c>
      <c r="E371" s="18">
        <v>45624</v>
      </c>
      <c r="F371" s="18" t="s">
        <v>611</v>
      </c>
      <c r="G371" t="s">
        <v>100</v>
      </c>
      <c r="H371">
        <v>2</v>
      </c>
      <c r="I371">
        <v>2</v>
      </c>
      <c r="J371" s="27">
        <v>42240.43</v>
      </c>
      <c r="K371" s="27">
        <v>4000000</v>
      </c>
    </row>
    <row r="372" spans="1:11" ht="12.75" customHeight="1" x14ac:dyDescent="0.2">
      <c r="A372" t="s">
        <v>7136</v>
      </c>
      <c r="B372" t="s">
        <v>7137</v>
      </c>
      <c r="C372">
        <v>2023</v>
      </c>
      <c r="D372" s="18">
        <v>45259</v>
      </c>
      <c r="E372" s="18">
        <v>45624</v>
      </c>
      <c r="F372" s="18" t="s">
        <v>611</v>
      </c>
      <c r="G372" t="s">
        <v>100</v>
      </c>
      <c r="H372">
        <v>1</v>
      </c>
      <c r="I372">
        <v>1</v>
      </c>
      <c r="J372" s="27">
        <v>18889.669999999998</v>
      </c>
      <c r="K372" s="27">
        <v>1500000</v>
      </c>
    </row>
    <row r="373" spans="1:11" ht="12.75" customHeight="1" x14ac:dyDescent="0.2">
      <c r="A373" t="s">
        <v>7138</v>
      </c>
      <c r="B373" t="s">
        <v>7139</v>
      </c>
      <c r="C373">
        <v>2023</v>
      </c>
      <c r="D373" s="18">
        <v>45259</v>
      </c>
      <c r="E373" s="18">
        <v>45624</v>
      </c>
      <c r="F373" s="18" t="s">
        <v>611</v>
      </c>
      <c r="G373" t="s">
        <v>102</v>
      </c>
      <c r="H373">
        <v>1</v>
      </c>
      <c r="I373">
        <v>2</v>
      </c>
      <c r="J373" s="27">
        <v>21147.439999999999</v>
      </c>
      <c r="K373" s="27">
        <v>2500000</v>
      </c>
    </row>
    <row r="374" spans="1:11" ht="12.75" customHeight="1" x14ac:dyDescent="0.2">
      <c r="A374" t="s">
        <v>7140</v>
      </c>
      <c r="B374" t="s">
        <v>7141</v>
      </c>
      <c r="C374">
        <v>2023</v>
      </c>
      <c r="D374" s="18">
        <v>45260</v>
      </c>
      <c r="E374" s="18">
        <v>45625</v>
      </c>
      <c r="F374" s="18" t="s">
        <v>611</v>
      </c>
      <c r="G374" t="s">
        <v>101</v>
      </c>
      <c r="H374">
        <v>1</v>
      </c>
      <c r="I374">
        <v>1</v>
      </c>
      <c r="J374" s="27">
        <v>72497.149999999994</v>
      </c>
      <c r="K374" s="27">
        <v>5000000</v>
      </c>
    </row>
    <row r="375" spans="1:11" ht="12.75" customHeight="1" x14ac:dyDescent="0.2">
      <c r="A375" t="s">
        <v>7142</v>
      </c>
      <c r="B375" t="s">
        <v>7143</v>
      </c>
      <c r="C375">
        <v>2023</v>
      </c>
      <c r="D375" s="18">
        <v>45260</v>
      </c>
      <c r="E375" s="18">
        <v>45625</v>
      </c>
      <c r="F375" s="18" t="s">
        <v>611</v>
      </c>
      <c r="G375" t="s">
        <v>101</v>
      </c>
      <c r="H375">
        <v>1</v>
      </c>
      <c r="I375">
        <v>2</v>
      </c>
      <c r="J375" s="27">
        <v>29833.52</v>
      </c>
      <c r="K375" s="27">
        <v>2000000</v>
      </c>
    </row>
    <row r="376" spans="1:11" ht="12.75" customHeight="1" x14ac:dyDescent="0.2">
      <c r="A376" t="s">
        <v>7144</v>
      </c>
      <c r="B376" t="s">
        <v>7145</v>
      </c>
      <c r="C376">
        <v>2023</v>
      </c>
      <c r="D376" s="18">
        <v>45260</v>
      </c>
      <c r="E376" s="18">
        <v>45625</v>
      </c>
      <c r="F376" s="18" t="s">
        <v>611</v>
      </c>
      <c r="G376" t="s">
        <v>101</v>
      </c>
      <c r="H376">
        <v>1</v>
      </c>
      <c r="I376">
        <v>2</v>
      </c>
      <c r="J376" s="27">
        <v>66946.05</v>
      </c>
      <c r="K376" s="27">
        <v>4000000</v>
      </c>
    </row>
    <row r="377" spans="1:11" ht="12.75" customHeight="1" x14ac:dyDescent="0.2">
      <c r="A377" t="s">
        <v>7146</v>
      </c>
      <c r="B377" t="s">
        <v>7147</v>
      </c>
      <c r="C377">
        <v>2023</v>
      </c>
      <c r="D377" s="18">
        <v>45260</v>
      </c>
      <c r="E377" s="18">
        <v>45625</v>
      </c>
      <c r="F377" s="18" t="s">
        <v>611</v>
      </c>
      <c r="G377" t="s">
        <v>99</v>
      </c>
      <c r="H377">
        <v>1</v>
      </c>
      <c r="I377">
        <v>1</v>
      </c>
      <c r="J377" s="27">
        <v>27869.89</v>
      </c>
      <c r="K377" s="27">
        <v>4000000</v>
      </c>
    </row>
    <row r="378" spans="1:11" ht="12.75" customHeight="1" x14ac:dyDescent="0.2">
      <c r="A378" t="s">
        <v>7148</v>
      </c>
      <c r="B378" t="s">
        <v>7149</v>
      </c>
      <c r="C378">
        <v>2023</v>
      </c>
      <c r="D378" s="18">
        <v>45260</v>
      </c>
      <c r="E378" s="18">
        <v>45625</v>
      </c>
      <c r="F378" s="18" t="s">
        <v>611</v>
      </c>
      <c r="G378" t="s">
        <v>99</v>
      </c>
      <c r="H378">
        <v>1</v>
      </c>
      <c r="I378">
        <v>2</v>
      </c>
      <c r="J378" s="27">
        <v>11350.94</v>
      </c>
      <c r="K378" s="27">
        <v>1500000</v>
      </c>
    </row>
    <row r="379" spans="1:11" ht="12.75" customHeight="1" x14ac:dyDescent="0.2">
      <c r="A379" t="s">
        <v>7150</v>
      </c>
      <c r="B379" t="s">
        <v>7151</v>
      </c>
      <c r="C379">
        <v>2023</v>
      </c>
      <c r="D379" s="18">
        <v>45260</v>
      </c>
      <c r="E379" s="18">
        <v>45625</v>
      </c>
      <c r="F379" s="18" t="s">
        <v>611</v>
      </c>
      <c r="G379" t="s">
        <v>101</v>
      </c>
      <c r="H379">
        <v>1</v>
      </c>
      <c r="I379">
        <v>1</v>
      </c>
      <c r="J379" s="27">
        <v>78838.59</v>
      </c>
      <c r="K379" s="27">
        <v>5000000</v>
      </c>
    </row>
    <row r="380" spans="1:11" ht="12.75" customHeight="1" x14ac:dyDescent="0.2">
      <c r="A380" t="s">
        <v>7152</v>
      </c>
      <c r="B380" t="s">
        <v>7153</v>
      </c>
      <c r="C380">
        <v>2023</v>
      </c>
      <c r="D380" s="18">
        <v>45260</v>
      </c>
      <c r="E380" s="18">
        <v>45625</v>
      </c>
      <c r="F380" s="18" t="s">
        <v>611</v>
      </c>
      <c r="G380" t="s">
        <v>99</v>
      </c>
      <c r="H380">
        <v>1</v>
      </c>
      <c r="I380">
        <v>2</v>
      </c>
      <c r="J380" s="27">
        <v>14023.4</v>
      </c>
      <c r="K380" s="27">
        <v>2000000</v>
      </c>
    </row>
    <row r="381" spans="1:11" ht="12.75" customHeight="1" x14ac:dyDescent="0.2">
      <c r="A381" t="s">
        <v>7154</v>
      </c>
      <c r="B381" t="s">
        <v>7155</v>
      </c>
      <c r="C381">
        <v>2023</v>
      </c>
      <c r="D381" s="18">
        <v>45260</v>
      </c>
      <c r="E381" s="18">
        <v>45625</v>
      </c>
      <c r="F381" s="18" t="s">
        <v>611</v>
      </c>
      <c r="G381" t="s">
        <v>99</v>
      </c>
      <c r="H381">
        <v>2</v>
      </c>
      <c r="I381">
        <v>2</v>
      </c>
      <c r="J381" s="27">
        <v>6544.97</v>
      </c>
      <c r="K381" s="27">
        <v>1000000</v>
      </c>
    </row>
    <row r="382" spans="1:11" ht="12.75" customHeight="1" x14ac:dyDescent="0.2">
      <c r="A382" t="s">
        <v>7156</v>
      </c>
      <c r="B382" t="s">
        <v>7157</v>
      </c>
      <c r="C382">
        <v>2023</v>
      </c>
      <c r="D382" s="18">
        <v>45260</v>
      </c>
      <c r="E382" s="18">
        <v>45625</v>
      </c>
      <c r="F382" s="18" t="s">
        <v>611</v>
      </c>
      <c r="G382" t="s">
        <v>99</v>
      </c>
      <c r="H382">
        <v>2</v>
      </c>
      <c r="I382">
        <v>2</v>
      </c>
      <c r="J382" s="27">
        <v>20303.86</v>
      </c>
      <c r="K382" s="27">
        <v>3000000</v>
      </c>
    </row>
    <row r="383" spans="1:11" ht="12.75" customHeight="1" x14ac:dyDescent="0.2">
      <c r="A383" t="s">
        <v>7158</v>
      </c>
      <c r="B383" t="s">
        <v>7159</v>
      </c>
      <c r="C383">
        <v>2023</v>
      </c>
      <c r="D383" s="18">
        <v>45260</v>
      </c>
      <c r="E383" s="18">
        <v>45625</v>
      </c>
      <c r="F383" s="18" t="s">
        <v>611</v>
      </c>
      <c r="G383" t="s">
        <v>101</v>
      </c>
      <c r="H383">
        <v>1</v>
      </c>
      <c r="I383">
        <v>1</v>
      </c>
      <c r="J383" s="27">
        <v>44934.48</v>
      </c>
      <c r="K383" s="27">
        <v>3000000</v>
      </c>
    </row>
    <row r="384" spans="1:11" ht="12.75" customHeight="1" x14ac:dyDescent="0.2">
      <c r="A384" t="s">
        <v>7160</v>
      </c>
      <c r="B384" t="s">
        <v>7161</v>
      </c>
      <c r="C384">
        <v>2023</v>
      </c>
      <c r="D384" s="18">
        <v>45261</v>
      </c>
      <c r="E384" s="18">
        <v>45626</v>
      </c>
      <c r="F384" s="18" t="s">
        <v>608</v>
      </c>
      <c r="G384" t="s">
        <v>102</v>
      </c>
      <c r="H384">
        <v>1</v>
      </c>
      <c r="I384">
        <v>2</v>
      </c>
      <c r="J384" s="27">
        <v>31898.32</v>
      </c>
      <c r="K384" s="27">
        <v>4500000</v>
      </c>
    </row>
    <row r="385" spans="1:11" ht="12.75" customHeight="1" x14ac:dyDescent="0.2">
      <c r="A385" t="s">
        <v>7162</v>
      </c>
      <c r="B385" t="s">
        <v>7163</v>
      </c>
      <c r="C385">
        <v>2023</v>
      </c>
      <c r="D385" s="18">
        <v>45261</v>
      </c>
      <c r="E385" s="18">
        <v>45626</v>
      </c>
      <c r="F385" s="18" t="s">
        <v>611</v>
      </c>
      <c r="G385" t="s">
        <v>101</v>
      </c>
      <c r="H385">
        <v>1</v>
      </c>
      <c r="I385">
        <v>1</v>
      </c>
      <c r="J385" s="27">
        <v>31593.66</v>
      </c>
      <c r="K385" s="27">
        <v>2000000</v>
      </c>
    </row>
    <row r="386" spans="1:11" ht="12.75" customHeight="1" x14ac:dyDescent="0.2">
      <c r="A386" t="s">
        <v>7164</v>
      </c>
      <c r="B386" t="s">
        <v>7165</v>
      </c>
      <c r="C386">
        <v>2023</v>
      </c>
      <c r="D386" s="18">
        <v>45261</v>
      </c>
      <c r="E386" s="18">
        <v>45626</v>
      </c>
      <c r="F386" s="18" t="s">
        <v>611</v>
      </c>
      <c r="G386" t="s">
        <v>101</v>
      </c>
      <c r="H386">
        <v>1</v>
      </c>
      <c r="I386">
        <v>1</v>
      </c>
      <c r="J386" s="27">
        <v>58818.16</v>
      </c>
      <c r="K386" s="27">
        <v>3500000</v>
      </c>
    </row>
    <row r="387" spans="1:11" ht="12.75" customHeight="1" x14ac:dyDescent="0.2">
      <c r="A387" t="s">
        <v>7166</v>
      </c>
      <c r="B387" t="s">
        <v>7167</v>
      </c>
      <c r="C387">
        <v>2023</v>
      </c>
      <c r="D387" s="18">
        <v>45261</v>
      </c>
      <c r="E387" s="18">
        <v>45626</v>
      </c>
      <c r="F387" s="18" t="s">
        <v>611</v>
      </c>
      <c r="G387" t="s">
        <v>101</v>
      </c>
      <c r="H387">
        <v>1</v>
      </c>
      <c r="I387">
        <v>1</v>
      </c>
      <c r="J387" s="27">
        <v>25492.28</v>
      </c>
      <c r="K387" s="27">
        <v>1500000</v>
      </c>
    </row>
    <row r="388" spans="1:11" ht="12.75" customHeight="1" x14ac:dyDescent="0.2">
      <c r="A388" t="s">
        <v>7168</v>
      </c>
      <c r="B388" t="s">
        <v>7169</v>
      </c>
      <c r="C388">
        <v>2023</v>
      </c>
      <c r="D388" s="18">
        <v>45261</v>
      </c>
      <c r="E388" s="18">
        <v>45626</v>
      </c>
      <c r="F388" s="18" t="s">
        <v>611</v>
      </c>
      <c r="G388" t="s">
        <v>102</v>
      </c>
      <c r="H388">
        <v>2</v>
      </c>
      <c r="I388">
        <v>4</v>
      </c>
      <c r="J388" s="27">
        <v>41652.69</v>
      </c>
      <c r="K388" s="27">
        <v>5000000</v>
      </c>
    </row>
    <row r="389" spans="1:11" ht="12.75" customHeight="1" x14ac:dyDescent="0.2">
      <c r="A389" t="s">
        <v>7170</v>
      </c>
      <c r="B389" t="s">
        <v>7171</v>
      </c>
      <c r="C389">
        <v>2023</v>
      </c>
      <c r="D389" s="18">
        <v>45261</v>
      </c>
      <c r="E389" s="18">
        <v>45626</v>
      </c>
      <c r="F389" s="18" t="s">
        <v>611</v>
      </c>
      <c r="G389" t="s">
        <v>100</v>
      </c>
      <c r="H389">
        <v>3</v>
      </c>
      <c r="I389">
        <v>3</v>
      </c>
      <c r="J389" s="27">
        <v>10725.85</v>
      </c>
      <c r="K389" s="27">
        <v>1000000</v>
      </c>
    </row>
    <row r="390" spans="1:11" ht="12.75" customHeight="1" x14ac:dyDescent="0.2">
      <c r="A390" t="s">
        <v>7172</v>
      </c>
      <c r="B390" t="s">
        <v>7173</v>
      </c>
      <c r="C390">
        <v>2023</v>
      </c>
      <c r="D390" s="18">
        <v>45261</v>
      </c>
      <c r="E390" s="18">
        <v>45626</v>
      </c>
      <c r="F390" s="18" t="s">
        <v>611</v>
      </c>
      <c r="G390" t="s">
        <v>102</v>
      </c>
      <c r="H390">
        <v>1</v>
      </c>
      <c r="I390">
        <v>2</v>
      </c>
      <c r="J390" s="27">
        <v>28672.240000000002</v>
      </c>
      <c r="K390" s="27">
        <v>4000000</v>
      </c>
    </row>
    <row r="391" spans="1:11" ht="12.75" customHeight="1" x14ac:dyDescent="0.2">
      <c r="A391" t="s">
        <v>7174</v>
      </c>
      <c r="B391" t="s">
        <v>7175</v>
      </c>
      <c r="C391">
        <v>2023</v>
      </c>
      <c r="D391" s="18">
        <v>45262</v>
      </c>
      <c r="E391" s="18">
        <v>45627</v>
      </c>
      <c r="F391" s="18" t="s">
        <v>608</v>
      </c>
      <c r="G391" t="s">
        <v>102</v>
      </c>
      <c r="H391">
        <v>3</v>
      </c>
      <c r="I391">
        <v>6</v>
      </c>
      <c r="J391" s="27">
        <v>7089.74</v>
      </c>
      <c r="K391" s="27">
        <v>1000000</v>
      </c>
    </row>
    <row r="392" spans="1:11" ht="12.75" customHeight="1" x14ac:dyDescent="0.2">
      <c r="A392" t="s">
        <v>7176</v>
      </c>
      <c r="B392" t="s">
        <v>7177</v>
      </c>
      <c r="C392">
        <v>2023</v>
      </c>
      <c r="D392" s="18">
        <v>45262</v>
      </c>
      <c r="E392" s="18">
        <v>45627</v>
      </c>
      <c r="F392" s="18" t="s">
        <v>608</v>
      </c>
      <c r="G392" t="s">
        <v>101</v>
      </c>
      <c r="H392">
        <v>1</v>
      </c>
      <c r="I392">
        <v>1</v>
      </c>
      <c r="J392" s="27">
        <v>15402.86</v>
      </c>
      <c r="K392" s="27">
        <v>1000000</v>
      </c>
    </row>
    <row r="393" spans="1:11" ht="12.75" customHeight="1" x14ac:dyDescent="0.2">
      <c r="A393" t="s">
        <v>7178</v>
      </c>
      <c r="B393" t="s">
        <v>7179</v>
      </c>
      <c r="C393">
        <v>2023</v>
      </c>
      <c r="D393" s="18">
        <v>45262</v>
      </c>
      <c r="E393" s="18">
        <v>45627</v>
      </c>
      <c r="F393" s="18" t="s">
        <v>611</v>
      </c>
      <c r="G393" t="s">
        <v>100</v>
      </c>
      <c r="H393">
        <v>1</v>
      </c>
      <c r="I393">
        <v>1</v>
      </c>
      <c r="J393" s="27">
        <v>32913.74</v>
      </c>
      <c r="K393" s="27">
        <v>3000000</v>
      </c>
    </row>
    <row r="394" spans="1:11" ht="12.75" customHeight="1" x14ac:dyDescent="0.2">
      <c r="A394" t="s">
        <v>7180</v>
      </c>
      <c r="B394" t="s">
        <v>7181</v>
      </c>
      <c r="C394">
        <v>2023</v>
      </c>
      <c r="D394" s="18">
        <v>45262</v>
      </c>
      <c r="E394" s="18">
        <v>45627</v>
      </c>
      <c r="F394" s="18" t="s">
        <v>611</v>
      </c>
      <c r="G394" t="s">
        <v>100</v>
      </c>
      <c r="H394">
        <v>2</v>
      </c>
      <c r="I394">
        <v>2</v>
      </c>
      <c r="J394" s="27">
        <v>22396.05</v>
      </c>
      <c r="K394" s="27">
        <v>2000000</v>
      </c>
    </row>
    <row r="395" spans="1:11" ht="12.75" customHeight="1" x14ac:dyDescent="0.2">
      <c r="A395" t="s">
        <v>7182</v>
      </c>
      <c r="B395" t="s">
        <v>7183</v>
      </c>
      <c r="C395">
        <v>2023</v>
      </c>
      <c r="D395" s="18">
        <v>45262</v>
      </c>
      <c r="E395" s="18">
        <v>45627</v>
      </c>
      <c r="F395" s="18" t="s">
        <v>611</v>
      </c>
      <c r="G395" t="s">
        <v>102</v>
      </c>
      <c r="H395">
        <v>1</v>
      </c>
      <c r="I395">
        <v>1</v>
      </c>
      <c r="J395" s="27">
        <v>29751.63</v>
      </c>
      <c r="K395" s="27">
        <v>3500000</v>
      </c>
    </row>
    <row r="396" spans="1:11" ht="12.75" customHeight="1" x14ac:dyDescent="0.2">
      <c r="A396" t="s">
        <v>7184</v>
      </c>
      <c r="B396" t="s">
        <v>7185</v>
      </c>
      <c r="C396">
        <v>2023</v>
      </c>
      <c r="D396" s="18">
        <v>45262</v>
      </c>
      <c r="E396" s="18">
        <v>45627</v>
      </c>
      <c r="F396" s="18" t="s">
        <v>611</v>
      </c>
      <c r="G396" t="s">
        <v>101</v>
      </c>
      <c r="H396">
        <v>2</v>
      </c>
      <c r="I396">
        <v>2</v>
      </c>
      <c r="J396" s="27">
        <v>77285.69</v>
      </c>
      <c r="K396" s="27">
        <v>4500000</v>
      </c>
    </row>
    <row r="397" spans="1:11" ht="12.75" customHeight="1" x14ac:dyDescent="0.2">
      <c r="A397" t="s">
        <v>7186</v>
      </c>
      <c r="B397" t="s">
        <v>7187</v>
      </c>
      <c r="C397">
        <v>2023</v>
      </c>
      <c r="D397" s="18">
        <v>45262</v>
      </c>
      <c r="E397" s="18">
        <v>45627</v>
      </c>
      <c r="F397" s="18" t="s">
        <v>611</v>
      </c>
      <c r="G397" t="s">
        <v>100</v>
      </c>
      <c r="H397">
        <v>1</v>
      </c>
      <c r="I397">
        <v>2</v>
      </c>
      <c r="J397" s="27">
        <v>109541.43</v>
      </c>
      <c r="K397" s="27">
        <v>10000000</v>
      </c>
    </row>
    <row r="398" spans="1:11" ht="12.75" customHeight="1" x14ac:dyDescent="0.2">
      <c r="A398" t="s">
        <v>7188</v>
      </c>
      <c r="B398" t="s">
        <v>7189</v>
      </c>
      <c r="C398">
        <v>2023</v>
      </c>
      <c r="D398" s="18">
        <v>45262</v>
      </c>
      <c r="E398" s="18">
        <v>45627</v>
      </c>
      <c r="F398" s="18" t="s">
        <v>611</v>
      </c>
      <c r="G398" t="s">
        <v>100</v>
      </c>
      <c r="H398">
        <v>3</v>
      </c>
      <c r="I398">
        <v>3</v>
      </c>
      <c r="J398" s="27">
        <v>10363.23</v>
      </c>
      <c r="K398" s="27">
        <v>1000000</v>
      </c>
    </row>
    <row r="399" spans="1:11" ht="12.75" customHeight="1" x14ac:dyDescent="0.2">
      <c r="A399" t="s">
        <v>7190</v>
      </c>
      <c r="B399" t="s">
        <v>7191</v>
      </c>
      <c r="C399">
        <v>2023</v>
      </c>
      <c r="D399" s="18">
        <v>45262</v>
      </c>
      <c r="E399" s="18">
        <v>45627</v>
      </c>
      <c r="F399" s="18" t="s">
        <v>611</v>
      </c>
      <c r="G399" t="s">
        <v>99</v>
      </c>
      <c r="H399">
        <v>1</v>
      </c>
      <c r="I399">
        <v>1</v>
      </c>
      <c r="J399" s="27">
        <v>30251.55</v>
      </c>
      <c r="K399" s="27">
        <v>4500000</v>
      </c>
    </row>
    <row r="400" spans="1:11" ht="12.75" customHeight="1" x14ac:dyDescent="0.2">
      <c r="A400" t="s">
        <v>7192</v>
      </c>
      <c r="B400" t="s">
        <v>7193</v>
      </c>
      <c r="C400">
        <v>2023</v>
      </c>
      <c r="D400" s="18">
        <v>45262</v>
      </c>
      <c r="E400" s="18">
        <v>45627</v>
      </c>
      <c r="F400" s="18" t="s">
        <v>611</v>
      </c>
      <c r="G400" t="s">
        <v>99</v>
      </c>
      <c r="H400">
        <v>2</v>
      </c>
      <c r="I400">
        <v>2</v>
      </c>
      <c r="J400" s="27">
        <v>29811.56</v>
      </c>
      <c r="K400" s="27">
        <v>4000000</v>
      </c>
    </row>
    <row r="401" spans="1:11" ht="12.75" customHeight="1" x14ac:dyDescent="0.2">
      <c r="A401" t="s">
        <v>7194</v>
      </c>
      <c r="B401" t="s">
        <v>7195</v>
      </c>
      <c r="C401">
        <v>2023</v>
      </c>
      <c r="D401" s="18">
        <v>45264</v>
      </c>
      <c r="E401" s="18">
        <v>45629</v>
      </c>
      <c r="F401" s="18" t="s">
        <v>608</v>
      </c>
      <c r="G401" t="s">
        <v>102</v>
      </c>
      <c r="H401">
        <v>2</v>
      </c>
      <c r="I401">
        <v>2</v>
      </c>
      <c r="J401" s="27">
        <v>17207.71</v>
      </c>
      <c r="K401" s="27">
        <v>2000000</v>
      </c>
    </row>
    <row r="402" spans="1:11" ht="12.75" customHeight="1" x14ac:dyDescent="0.2">
      <c r="A402" t="s">
        <v>7196</v>
      </c>
      <c r="B402" t="s">
        <v>7197</v>
      </c>
      <c r="C402">
        <v>2023</v>
      </c>
      <c r="D402" s="18">
        <v>45264</v>
      </c>
      <c r="E402" s="18">
        <v>45629</v>
      </c>
      <c r="F402" s="18" t="s">
        <v>608</v>
      </c>
      <c r="G402" t="s">
        <v>99</v>
      </c>
      <c r="H402">
        <v>2</v>
      </c>
      <c r="I402">
        <v>4</v>
      </c>
      <c r="J402" s="27">
        <v>3880.74</v>
      </c>
      <c r="K402" s="27">
        <v>500000</v>
      </c>
    </row>
    <row r="403" spans="1:11" ht="12.75" customHeight="1" x14ac:dyDescent="0.2">
      <c r="A403" t="s">
        <v>7198</v>
      </c>
      <c r="B403" t="s">
        <v>7199</v>
      </c>
      <c r="C403">
        <v>2023</v>
      </c>
      <c r="D403" s="18">
        <v>45264</v>
      </c>
      <c r="E403" s="18">
        <v>45629</v>
      </c>
      <c r="F403" s="18" t="s">
        <v>611</v>
      </c>
      <c r="G403" t="s">
        <v>102</v>
      </c>
      <c r="H403">
        <v>2</v>
      </c>
      <c r="I403">
        <v>2</v>
      </c>
      <c r="J403" s="27">
        <v>82089.570000000007</v>
      </c>
      <c r="K403" s="27">
        <v>10000000</v>
      </c>
    </row>
    <row r="404" spans="1:11" ht="12.75" customHeight="1" x14ac:dyDescent="0.2">
      <c r="A404" t="s">
        <v>7200</v>
      </c>
      <c r="B404" t="s">
        <v>7201</v>
      </c>
      <c r="C404">
        <v>2023</v>
      </c>
      <c r="D404" s="18">
        <v>45264</v>
      </c>
      <c r="E404" s="18">
        <v>45629</v>
      </c>
      <c r="F404" s="18" t="s">
        <v>611</v>
      </c>
      <c r="G404" t="s">
        <v>100</v>
      </c>
      <c r="H404">
        <v>2</v>
      </c>
      <c r="I404">
        <v>2</v>
      </c>
      <c r="J404" s="27">
        <v>11001.25</v>
      </c>
      <c r="K404" s="27">
        <v>1000000</v>
      </c>
    </row>
    <row r="405" spans="1:11" ht="12.75" customHeight="1" x14ac:dyDescent="0.2">
      <c r="A405" t="s">
        <v>7202</v>
      </c>
      <c r="B405" t="s">
        <v>7203</v>
      </c>
      <c r="C405">
        <v>2023</v>
      </c>
      <c r="D405" s="18">
        <v>45264</v>
      </c>
      <c r="E405" s="18">
        <v>45629</v>
      </c>
      <c r="F405" s="18" t="s">
        <v>611</v>
      </c>
      <c r="G405" t="s">
        <v>101</v>
      </c>
      <c r="H405">
        <v>2</v>
      </c>
      <c r="I405">
        <v>2</v>
      </c>
      <c r="J405" s="27">
        <v>29432.17</v>
      </c>
      <c r="K405" s="27">
        <v>2000000</v>
      </c>
    </row>
    <row r="406" spans="1:11" ht="12.75" customHeight="1" x14ac:dyDescent="0.2">
      <c r="A406" t="s">
        <v>7204</v>
      </c>
      <c r="B406" t="s">
        <v>7205</v>
      </c>
      <c r="C406">
        <v>2023</v>
      </c>
      <c r="D406" s="18">
        <v>45264</v>
      </c>
      <c r="E406" s="18">
        <v>45629</v>
      </c>
      <c r="F406" s="18" t="s">
        <v>611</v>
      </c>
      <c r="G406" t="s">
        <v>99</v>
      </c>
      <c r="H406">
        <v>1</v>
      </c>
      <c r="I406">
        <v>1</v>
      </c>
      <c r="J406" s="27">
        <v>34715.49</v>
      </c>
      <c r="K406" s="27">
        <v>5000000</v>
      </c>
    </row>
    <row r="407" spans="1:11" ht="12.75" customHeight="1" x14ac:dyDescent="0.2">
      <c r="A407" t="s">
        <v>7206</v>
      </c>
      <c r="B407" t="s">
        <v>7207</v>
      </c>
      <c r="C407">
        <v>2023</v>
      </c>
      <c r="D407" s="18">
        <v>45264</v>
      </c>
      <c r="E407" s="18">
        <v>45629</v>
      </c>
      <c r="F407" s="18" t="s">
        <v>611</v>
      </c>
      <c r="G407" t="s">
        <v>101</v>
      </c>
      <c r="H407">
        <v>1</v>
      </c>
      <c r="I407">
        <v>1</v>
      </c>
      <c r="J407" s="27">
        <v>15736.13</v>
      </c>
      <c r="K407" s="27">
        <v>1000000</v>
      </c>
    </row>
    <row r="408" spans="1:11" ht="12.75" customHeight="1" x14ac:dyDescent="0.2">
      <c r="A408" t="s">
        <v>7208</v>
      </c>
      <c r="B408" t="s">
        <v>7209</v>
      </c>
      <c r="C408">
        <v>2023</v>
      </c>
      <c r="D408" s="18">
        <v>45264</v>
      </c>
      <c r="E408" s="18">
        <v>45629</v>
      </c>
      <c r="F408" s="18" t="s">
        <v>611</v>
      </c>
      <c r="G408" t="s">
        <v>99</v>
      </c>
      <c r="H408">
        <v>1</v>
      </c>
      <c r="I408">
        <v>1</v>
      </c>
      <c r="J408" s="27">
        <v>25751.89</v>
      </c>
      <c r="K408" s="27">
        <v>3500000</v>
      </c>
    </row>
    <row r="409" spans="1:11" ht="12.75" customHeight="1" x14ac:dyDescent="0.2">
      <c r="A409" t="s">
        <v>7210</v>
      </c>
      <c r="B409" t="s">
        <v>7211</v>
      </c>
      <c r="C409">
        <v>2023</v>
      </c>
      <c r="D409" s="18">
        <v>45264</v>
      </c>
      <c r="E409" s="18">
        <v>45629</v>
      </c>
      <c r="F409" s="18" t="s">
        <v>611</v>
      </c>
      <c r="G409" t="s">
        <v>99</v>
      </c>
      <c r="H409">
        <v>3</v>
      </c>
      <c r="I409">
        <v>3</v>
      </c>
      <c r="J409" s="27">
        <v>37806.519999999997</v>
      </c>
      <c r="K409" s="27">
        <v>5000000</v>
      </c>
    </row>
    <row r="410" spans="1:11" ht="12.75" customHeight="1" x14ac:dyDescent="0.2">
      <c r="A410" t="s">
        <v>7212</v>
      </c>
      <c r="B410" t="s">
        <v>7213</v>
      </c>
      <c r="C410">
        <v>2023</v>
      </c>
      <c r="D410" s="18">
        <v>45265</v>
      </c>
      <c r="E410" s="18">
        <v>45630</v>
      </c>
      <c r="F410" s="18" t="s">
        <v>608</v>
      </c>
      <c r="G410" t="s">
        <v>101</v>
      </c>
      <c r="H410">
        <v>3</v>
      </c>
      <c r="I410">
        <v>3</v>
      </c>
      <c r="J410" s="27">
        <v>32073.61</v>
      </c>
      <c r="K410" s="27">
        <v>2000000</v>
      </c>
    </row>
    <row r="411" spans="1:11" ht="12.75" customHeight="1" x14ac:dyDescent="0.2">
      <c r="A411" t="s">
        <v>7214</v>
      </c>
      <c r="B411" t="s">
        <v>7215</v>
      </c>
      <c r="C411">
        <v>2023</v>
      </c>
      <c r="D411" s="18">
        <v>45265</v>
      </c>
      <c r="E411" s="18">
        <v>45630</v>
      </c>
      <c r="F411" s="18" t="s">
        <v>608</v>
      </c>
      <c r="G411" t="s">
        <v>100</v>
      </c>
      <c r="H411">
        <v>2</v>
      </c>
      <c r="I411">
        <v>4</v>
      </c>
      <c r="J411" s="27">
        <v>21018.07</v>
      </c>
      <c r="K411" s="27">
        <v>2000000</v>
      </c>
    </row>
    <row r="412" spans="1:11" ht="12.75" customHeight="1" x14ac:dyDescent="0.2">
      <c r="A412" t="s">
        <v>7216</v>
      </c>
      <c r="B412" t="s">
        <v>7217</v>
      </c>
      <c r="C412">
        <v>2023</v>
      </c>
      <c r="D412" s="18">
        <v>45265</v>
      </c>
      <c r="E412" s="18">
        <v>45630</v>
      </c>
      <c r="F412" s="18" t="s">
        <v>608</v>
      </c>
      <c r="G412" t="s">
        <v>99</v>
      </c>
      <c r="H412">
        <v>3</v>
      </c>
      <c r="I412">
        <v>6</v>
      </c>
      <c r="J412" s="27">
        <v>3403.67</v>
      </c>
      <c r="K412" s="27">
        <v>500000</v>
      </c>
    </row>
    <row r="413" spans="1:11" ht="12.75" customHeight="1" x14ac:dyDescent="0.2">
      <c r="A413" t="s">
        <v>7218</v>
      </c>
      <c r="B413" t="s">
        <v>7219</v>
      </c>
      <c r="C413">
        <v>2023</v>
      </c>
      <c r="D413" s="18">
        <v>45265</v>
      </c>
      <c r="E413" s="18">
        <v>45630</v>
      </c>
      <c r="F413" s="18" t="s">
        <v>611</v>
      </c>
      <c r="G413" t="s">
        <v>100</v>
      </c>
      <c r="H413">
        <v>2</v>
      </c>
      <c r="I413">
        <v>4</v>
      </c>
      <c r="J413" s="27">
        <v>41706.839999999997</v>
      </c>
      <c r="K413" s="27">
        <v>4000000</v>
      </c>
    </row>
    <row r="414" spans="1:11" ht="12.75" customHeight="1" x14ac:dyDescent="0.2">
      <c r="A414" t="s">
        <v>7220</v>
      </c>
      <c r="B414" t="s">
        <v>7221</v>
      </c>
      <c r="C414">
        <v>2023</v>
      </c>
      <c r="D414" s="18">
        <v>45265</v>
      </c>
      <c r="E414" s="18">
        <v>45630</v>
      </c>
      <c r="F414" s="18" t="s">
        <v>611</v>
      </c>
      <c r="G414" t="s">
        <v>100</v>
      </c>
      <c r="H414">
        <v>1</v>
      </c>
      <c r="I414">
        <v>1</v>
      </c>
      <c r="J414" s="27">
        <v>5697.04</v>
      </c>
      <c r="K414" s="27">
        <v>500000</v>
      </c>
    </row>
    <row r="415" spans="1:11" ht="12.75" customHeight="1" x14ac:dyDescent="0.2">
      <c r="A415" t="s">
        <v>7222</v>
      </c>
      <c r="B415" t="s">
        <v>7223</v>
      </c>
      <c r="C415">
        <v>2023</v>
      </c>
      <c r="D415" s="18">
        <v>45265</v>
      </c>
      <c r="E415" s="18">
        <v>45630</v>
      </c>
      <c r="F415" s="18" t="s">
        <v>611</v>
      </c>
      <c r="G415" t="s">
        <v>99</v>
      </c>
      <c r="H415">
        <v>1</v>
      </c>
      <c r="I415">
        <v>2</v>
      </c>
      <c r="J415" s="27">
        <v>30669.49</v>
      </c>
      <c r="K415" s="27">
        <v>4000000</v>
      </c>
    </row>
    <row r="416" spans="1:11" ht="12.75" customHeight="1" x14ac:dyDescent="0.2">
      <c r="A416" t="s">
        <v>7224</v>
      </c>
      <c r="B416" t="s">
        <v>7225</v>
      </c>
      <c r="C416">
        <v>2023</v>
      </c>
      <c r="D416" s="18">
        <v>45265</v>
      </c>
      <c r="E416" s="18">
        <v>45630</v>
      </c>
      <c r="F416" s="18" t="s">
        <v>611</v>
      </c>
      <c r="G416" t="s">
        <v>101</v>
      </c>
      <c r="H416">
        <v>2</v>
      </c>
      <c r="I416">
        <v>4</v>
      </c>
      <c r="J416" s="27">
        <v>145400.64000000001</v>
      </c>
      <c r="K416" s="27">
        <v>10000000</v>
      </c>
    </row>
    <row r="417" spans="1:11" ht="12.75" customHeight="1" x14ac:dyDescent="0.2">
      <c r="A417" t="s">
        <v>7226</v>
      </c>
      <c r="B417" t="s">
        <v>7227</v>
      </c>
      <c r="C417">
        <v>2023</v>
      </c>
      <c r="D417" s="18">
        <v>45265</v>
      </c>
      <c r="E417" s="18">
        <v>45630</v>
      </c>
      <c r="F417" s="18" t="s">
        <v>611</v>
      </c>
      <c r="G417" t="s">
        <v>101</v>
      </c>
      <c r="H417">
        <v>3</v>
      </c>
      <c r="I417">
        <v>3</v>
      </c>
      <c r="J417" s="27">
        <v>144323.63</v>
      </c>
      <c r="K417" s="27">
        <v>10000000</v>
      </c>
    </row>
    <row r="418" spans="1:11" ht="12.75" customHeight="1" x14ac:dyDescent="0.2">
      <c r="A418" t="s">
        <v>7228</v>
      </c>
      <c r="B418" t="s">
        <v>7229</v>
      </c>
      <c r="C418">
        <v>2023</v>
      </c>
      <c r="D418" s="18">
        <v>45265</v>
      </c>
      <c r="E418" s="18">
        <v>45630</v>
      </c>
      <c r="F418" s="18" t="s">
        <v>611</v>
      </c>
      <c r="G418" t="s">
        <v>100</v>
      </c>
      <c r="H418">
        <v>3</v>
      </c>
      <c r="I418">
        <v>3</v>
      </c>
      <c r="J418" s="27">
        <v>44916.74</v>
      </c>
      <c r="K418" s="27">
        <v>4000000</v>
      </c>
    </row>
    <row r="419" spans="1:11" ht="12.75" customHeight="1" x14ac:dyDescent="0.2">
      <c r="A419" t="s">
        <v>7230</v>
      </c>
      <c r="B419" t="s">
        <v>7231</v>
      </c>
      <c r="C419">
        <v>2023</v>
      </c>
      <c r="D419" s="18">
        <v>45265</v>
      </c>
      <c r="E419" s="18">
        <v>45630</v>
      </c>
      <c r="F419" s="18" t="s">
        <v>611</v>
      </c>
      <c r="G419" t="s">
        <v>99</v>
      </c>
      <c r="H419">
        <v>3</v>
      </c>
      <c r="I419">
        <v>6</v>
      </c>
      <c r="J419" s="27">
        <v>11165.96</v>
      </c>
      <c r="K419" s="27">
        <v>1500000</v>
      </c>
    </row>
    <row r="420" spans="1:11" ht="12.75" customHeight="1" x14ac:dyDescent="0.2">
      <c r="A420" t="s">
        <v>7232</v>
      </c>
      <c r="B420" t="s">
        <v>7233</v>
      </c>
      <c r="C420">
        <v>2023</v>
      </c>
      <c r="D420" s="18">
        <v>45265</v>
      </c>
      <c r="E420" s="18">
        <v>45630</v>
      </c>
      <c r="F420" s="18" t="s">
        <v>611</v>
      </c>
      <c r="G420" t="s">
        <v>100</v>
      </c>
      <c r="H420">
        <v>1</v>
      </c>
      <c r="I420">
        <v>1</v>
      </c>
      <c r="J420" s="27">
        <v>22724.18</v>
      </c>
      <c r="K420" s="27">
        <v>2000000</v>
      </c>
    </row>
    <row r="421" spans="1:11" ht="12.75" customHeight="1" x14ac:dyDescent="0.2">
      <c r="A421" t="s">
        <v>7234</v>
      </c>
      <c r="B421" t="s">
        <v>7235</v>
      </c>
      <c r="C421">
        <v>2023</v>
      </c>
      <c r="D421" s="18">
        <v>45265</v>
      </c>
      <c r="E421" s="18">
        <v>45630</v>
      </c>
      <c r="F421" s="18" t="s">
        <v>611</v>
      </c>
      <c r="G421" t="s">
        <v>99</v>
      </c>
      <c r="H421">
        <v>2</v>
      </c>
      <c r="I421">
        <v>2</v>
      </c>
      <c r="J421" s="27">
        <v>66897.34</v>
      </c>
      <c r="K421" s="27">
        <v>10000000</v>
      </c>
    </row>
    <row r="422" spans="1:11" ht="12.75" customHeight="1" x14ac:dyDescent="0.2">
      <c r="A422" t="s">
        <v>7236</v>
      </c>
      <c r="B422" t="s">
        <v>7237</v>
      </c>
      <c r="C422">
        <v>2023</v>
      </c>
      <c r="D422" s="18">
        <v>45265</v>
      </c>
      <c r="E422" s="18">
        <v>45630</v>
      </c>
      <c r="F422" s="18" t="s">
        <v>611</v>
      </c>
      <c r="G422" t="s">
        <v>99</v>
      </c>
      <c r="H422">
        <v>2</v>
      </c>
      <c r="I422">
        <v>4</v>
      </c>
      <c r="J422" s="27">
        <v>27328.25</v>
      </c>
      <c r="K422" s="27">
        <v>4000000</v>
      </c>
    </row>
    <row r="423" spans="1:11" ht="12.75" customHeight="1" x14ac:dyDescent="0.2">
      <c r="A423" t="s">
        <v>7238</v>
      </c>
      <c r="B423" t="s">
        <v>7239</v>
      </c>
      <c r="C423">
        <v>2023</v>
      </c>
      <c r="D423" s="18">
        <v>45266</v>
      </c>
      <c r="E423" s="18">
        <v>45631</v>
      </c>
      <c r="F423" s="18" t="s">
        <v>608</v>
      </c>
      <c r="G423" t="s">
        <v>99</v>
      </c>
      <c r="H423">
        <v>2</v>
      </c>
      <c r="I423">
        <v>2</v>
      </c>
      <c r="J423" s="27">
        <v>65605.23</v>
      </c>
      <c r="K423" s="27">
        <v>10000000</v>
      </c>
    </row>
    <row r="424" spans="1:11" ht="12.75" customHeight="1" x14ac:dyDescent="0.2">
      <c r="A424" t="s">
        <v>7240</v>
      </c>
      <c r="B424" t="s">
        <v>7241</v>
      </c>
      <c r="C424">
        <v>2023</v>
      </c>
      <c r="D424" s="18">
        <v>45266</v>
      </c>
      <c r="E424" s="18">
        <v>45631</v>
      </c>
      <c r="F424" s="18" t="s">
        <v>611</v>
      </c>
      <c r="G424" t="s">
        <v>99</v>
      </c>
      <c r="H424">
        <v>2</v>
      </c>
      <c r="I424">
        <v>4</v>
      </c>
      <c r="J424" s="27">
        <v>6740.05</v>
      </c>
      <c r="K424" s="27">
        <v>1000000</v>
      </c>
    </row>
    <row r="425" spans="1:11" ht="12.75" customHeight="1" x14ac:dyDescent="0.2">
      <c r="A425" t="s">
        <v>7242</v>
      </c>
      <c r="B425" t="s">
        <v>7243</v>
      </c>
      <c r="C425">
        <v>2023</v>
      </c>
      <c r="D425" s="18">
        <v>45266</v>
      </c>
      <c r="E425" s="18">
        <v>45631</v>
      </c>
      <c r="F425" s="18" t="s">
        <v>611</v>
      </c>
      <c r="G425" t="s">
        <v>101</v>
      </c>
      <c r="H425">
        <v>3</v>
      </c>
      <c r="I425">
        <v>6</v>
      </c>
      <c r="J425" s="27">
        <v>73021.929999999993</v>
      </c>
      <c r="K425" s="27">
        <v>5000000</v>
      </c>
    </row>
    <row r="426" spans="1:11" ht="12.75" customHeight="1" x14ac:dyDescent="0.2">
      <c r="A426" t="s">
        <v>7244</v>
      </c>
      <c r="B426" t="s">
        <v>7245</v>
      </c>
      <c r="C426">
        <v>2023</v>
      </c>
      <c r="D426" s="18">
        <v>45266</v>
      </c>
      <c r="E426" s="18">
        <v>45631</v>
      </c>
      <c r="F426" s="18" t="s">
        <v>611</v>
      </c>
      <c r="G426" t="s">
        <v>99</v>
      </c>
      <c r="H426">
        <v>1</v>
      </c>
      <c r="I426">
        <v>2</v>
      </c>
      <c r="J426" s="27">
        <v>16778.29</v>
      </c>
      <c r="K426" s="27">
        <v>2500000</v>
      </c>
    </row>
    <row r="427" spans="1:11" ht="12.75" customHeight="1" x14ac:dyDescent="0.2">
      <c r="A427" t="s">
        <v>7246</v>
      </c>
      <c r="B427" t="s">
        <v>7247</v>
      </c>
      <c r="C427">
        <v>2023</v>
      </c>
      <c r="D427" s="18">
        <v>45266</v>
      </c>
      <c r="E427" s="18">
        <v>45631</v>
      </c>
      <c r="F427" s="18" t="s">
        <v>611</v>
      </c>
      <c r="G427" t="s">
        <v>102</v>
      </c>
      <c r="H427">
        <v>3</v>
      </c>
      <c r="I427">
        <v>6</v>
      </c>
      <c r="J427" s="27">
        <v>24694.799999999999</v>
      </c>
      <c r="K427" s="27">
        <v>3000000</v>
      </c>
    </row>
    <row r="428" spans="1:11" ht="12.75" customHeight="1" x14ac:dyDescent="0.2">
      <c r="A428" t="s">
        <v>7248</v>
      </c>
      <c r="B428" t="s">
        <v>7249</v>
      </c>
      <c r="C428">
        <v>2023</v>
      </c>
      <c r="D428" s="18">
        <v>45266</v>
      </c>
      <c r="E428" s="18">
        <v>45631</v>
      </c>
      <c r="F428" s="18" t="s">
        <v>611</v>
      </c>
      <c r="G428" t="s">
        <v>102</v>
      </c>
      <c r="H428">
        <v>1</v>
      </c>
      <c r="I428">
        <v>1</v>
      </c>
      <c r="J428" s="27">
        <v>42550.61</v>
      </c>
      <c r="K428" s="27">
        <v>5000000</v>
      </c>
    </row>
    <row r="429" spans="1:11" ht="12.75" customHeight="1" x14ac:dyDescent="0.2">
      <c r="A429" t="s">
        <v>7250</v>
      </c>
      <c r="B429" t="s">
        <v>7251</v>
      </c>
      <c r="C429">
        <v>2023</v>
      </c>
      <c r="D429" s="18">
        <v>45267</v>
      </c>
      <c r="E429" s="18">
        <v>45632</v>
      </c>
      <c r="F429" s="18" t="s">
        <v>608</v>
      </c>
      <c r="G429" t="s">
        <v>99</v>
      </c>
      <c r="H429">
        <v>2</v>
      </c>
      <c r="I429">
        <v>2</v>
      </c>
      <c r="J429" s="27">
        <v>7500.35</v>
      </c>
      <c r="K429" s="27">
        <v>1000000</v>
      </c>
    </row>
    <row r="430" spans="1:11" ht="12.75" customHeight="1" x14ac:dyDescent="0.2">
      <c r="A430" t="s">
        <v>7252</v>
      </c>
      <c r="B430" t="s">
        <v>7253</v>
      </c>
      <c r="C430">
        <v>2023</v>
      </c>
      <c r="D430" s="18">
        <v>45267</v>
      </c>
      <c r="E430" s="18">
        <v>45632</v>
      </c>
      <c r="F430" s="18" t="s">
        <v>611</v>
      </c>
      <c r="G430" t="s">
        <v>102</v>
      </c>
      <c r="H430">
        <v>1</v>
      </c>
      <c r="I430">
        <v>1</v>
      </c>
      <c r="J430" s="27">
        <v>29228.47</v>
      </c>
      <c r="K430" s="27">
        <v>4000000</v>
      </c>
    </row>
    <row r="431" spans="1:11" ht="12.75" customHeight="1" x14ac:dyDescent="0.2">
      <c r="A431" t="s">
        <v>7254</v>
      </c>
      <c r="B431" t="s">
        <v>7255</v>
      </c>
      <c r="C431">
        <v>2023</v>
      </c>
      <c r="D431" s="18">
        <v>45267</v>
      </c>
      <c r="E431" s="18">
        <v>45632</v>
      </c>
      <c r="F431" s="18" t="s">
        <v>611</v>
      </c>
      <c r="G431" t="s">
        <v>102</v>
      </c>
      <c r="H431">
        <v>1</v>
      </c>
      <c r="I431">
        <v>1</v>
      </c>
      <c r="J431" s="27">
        <v>73483.28</v>
      </c>
      <c r="K431" s="27">
        <v>10000000</v>
      </c>
    </row>
    <row r="432" spans="1:11" ht="12.75" customHeight="1" x14ac:dyDescent="0.2">
      <c r="A432" t="s">
        <v>7256</v>
      </c>
      <c r="B432" t="s">
        <v>7257</v>
      </c>
      <c r="C432">
        <v>2023</v>
      </c>
      <c r="D432" s="18">
        <v>45267</v>
      </c>
      <c r="E432" s="18">
        <v>45632</v>
      </c>
      <c r="F432" s="18" t="s">
        <v>611</v>
      </c>
      <c r="G432" t="s">
        <v>100</v>
      </c>
      <c r="H432">
        <v>3</v>
      </c>
      <c r="I432">
        <v>6</v>
      </c>
      <c r="J432" s="27">
        <v>53220.47</v>
      </c>
      <c r="K432" s="27">
        <v>5000000</v>
      </c>
    </row>
    <row r="433" spans="1:11" ht="12.75" customHeight="1" x14ac:dyDescent="0.2">
      <c r="A433" t="s">
        <v>7258</v>
      </c>
      <c r="B433" t="s">
        <v>7259</v>
      </c>
      <c r="C433">
        <v>2023</v>
      </c>
      <c r="D433" s="18">
        <v>45267</v>
      </c>
      <c r="E433" s="18">
        <v>45632</v>
      </c>
      <c r="F433" s="18" t="s">
        <v>611</v>
      </c>
      <c r="G433" t="s">
        <v>100</v>
      </c>
      <c r="H433">
        <v>1</v>
      </c>
      <c r="I433">
        <v>2</v>
      </c>
      <c r="J433" s="27">
        <v>41522.44</v>
      </c>
      <c r="K433" s="27">
        <v>4000000</v>
      </c>
    </row>
    <row r="434" spans="1:11" ht="12.75" customHeight="1" x14ac:dyDescent="0.2">
      <c r="A434" t="s">
        <v>7260</v>
      </c>
      <c r="B434" t="s">
        <v>7261</v>
      </c>
      <c r="C434">
        <v>2023</v>
      </c>
      <c r="D434" s="18">
        <v>45268</v>
      </c>
      <c r="E434" s="18">
        <v>45633</v>
      </c>
      <c r="F434" s="18" t="s">
        <v>608</v>
      </c>
      <c r="G434" t="s">
        <v>99</v>
      </c>
      <c r="H434">
        <v>1</v>
      </c>
      <c r="I434">
        <v>1</v>
      </c>
      <c r="J434" s="27">
        <v>29234.07</v>
      </c>
      <c r="K434" s="27">
        <v>4000000</v>
      </c>
    </row>
    <row r="435" spans="1:11" ht="12.75" customHeight="1" x14ac:dyDescent="0.2">
      <c r="A435" t="s">
        <v>7262</v>
      </c>
      <c r="B435" t="s">
        <v>7263</v>
      </c>
      <c r="C435">
        <v>2023</v>
      </c>
      <c r="D435" s="18">
        <v>45268</v>
      </c>
      <c r="E435" s="18">
        <v>45633</v>
      </c>
      <c r="F435" s="18" t="s">
        <v>608</v>
      </c>
      <c r="G435" t="s">
        <v>100</v>
      </c>
      <c r="H435">
        <v>2</v>
      </c>
      <c r="I435">
        <v>2</v>
      </c>
      <c r="J435" s="27">
        <v>30818.94</v>
      </c>
      <c r="K435" s="27">
        <v>2500000</v>
      </c>
    </row>
    <row r="436" spans="1:11" ht="12.75" customHeight="1" x14ac:dyDescent="0.2">
      <c r="A436" t="s">
        <v>7264</v>
      </c>
      <c r="B436" t="s">
        <v>7265</v>
      </c>
      <c r="C436">
        <v>2023</v>
      </c>
      <c r="D436" s="18">
        <v>45268</v>
      </c>
      <c r="E436" s="18">
        <v>45633</v>
      </c>
      <c r="F436" s="18" t="s">
        <v>611</v>
      </c>
      <c r="G436" t="s">
        <v>99</v>
      </c>
      <c r="H436">
        <v>1</v>
      </c>
      <c r="I436">
        <v>1</v>
      </c>
      <c r="J436" s="27">
        <v>34685.81</v>
      </c>
      <c r="K436" s="27">
        <v>5000000</v>
      </c>
    </row>
    <row r="437" spans="1:11" ht="12.75" customHeight="1" x14ac:dyDescent="0.2">
      <c r="A437" t="s">
        <v>7266</v>
      </c>
      <c r="B437" t="s">
        <v>7267</v>
      </c>
      <c r="C437">
        <v>2023</v>
      </c>
      <c r="D437" s="18">
        <v>45268</v>
      </c>
      <c r="E437" s="18">
        <v>45633</v>
      </c>
      <c r="F437" s="18" t="s">
        <v>611</v>
      </c>
      <c r="G437" t="s">
        <v>100</v>
      </c>
      <c r="H437">
        <v>1</v>
      </c>
      <c r="I437">
        <v>2</v>
      </c>
      <c r="J437" s="27">
        <v>20738.02</v>
      </c>
      <c r="K437" s="27">
        <v>2000000</v>
      </c>
    </row>
    <row r="438" spans="1:11" ht="12.75" customHeight="1" x14ac:dyDescent="0.2">
      <c r="A438" t="s">
        <v>7268</v>
      </c>
      <c r="B438" t="s">
        <v>7269</v>
      </c>
      <c r="C438">
        <v>2023</v>
      </c>
      <c r="D438" s="18">
        <v>45268</v>
      </c>
      <c r="E438" s="18">
        <v>45633</v>
      </c>
      <c r="F438" s="18" t="s">
        <v>611</v>
      </c>
      <c r="G438" t="s">
        <v>102</v>
      </c>
      <c r="H438">
        <v>2</v>
      </c>
      <c r="I438">
        <v>2</v>
      </c>
      <c r="J438" s="27">
        <v>7273.39</v>
      </c>
      <c r="K438" s="27">
        <v>1000000</v>
      </c>
    </row>
    <row r="439" spans="1:11" ht="12.75" customHeight="1" x14ac:dyDescent="0.2">
      <c r="A439" t="s">
        <v>7270</v>
      </c>
      <c r="B439" t="s">
        <v>7271</v>
      </c>
      <c r="C439">
        <v>2023</v>
      </c>
      <c r="D439" s="18">
        <v>45268</v>
      </c>
      <c r="E439" s="18">
        <v>45633</v>
      </c>
      <c r="F439" s="18" t="s">
        <v>611</v>
      </c>
      <c r="G439" t="s">
        <v>100</v>
      </c>
      <c r="H439">
        <v>1</v>
      </c>
      <c r="I439">
        <v>2</v>
      </c>
      <c r="J439" s="27">
        <v>24085.91</v>
      </c>
      <c r="K439" s="27">
        <v>2000000</v>
      </c>
    </row>
    <row r="440" spans="1:11" ht="12.75" customHeight="1" x14ac:dyDescent="0.2">
      <c r="A440" t="s">
        <v>7272</v>
      </c>
      <c r="B440" t="s">
        <v>7273</v>
      </c>
      <c r="C440">
        <v>2023</v>
      </c>
      <c r="D440" s="18">
        <v>45268</v>
      </c>
      <c r="E440" s="18">
        <v>45633</v>
      </c>
      <c r="F440" s="18" t="s">
        <v>611</v>
      </c>
      <c r="G440" t="s">
        <v>101</v>
      </c>
      <c r="H440">
        <v>2</v>
      </c>
      <c r="I440">
        <v>2</v>
      </c>
      <c r="J440" s="27">
        <v>65599.73</v>
      </c>
      <c r="K440" s="27">
        <v>4000000</v>
      </c>
    </row>
    <row r="441" spans="1:11" ht="12.75" customHeight="1" x14ac:dyDescent="0.2">
      <c r="A441" t="s">
        <v>7274</v>
      </c>
      <c r="B441" t="s">
        <v>7275</v>
      </c>
      <c r="C441">
        <v>2023</v>
      </c>
      <c r="D441" s="18">
        <v>45268</v>
      </c>
      <c r="E441" s="18">
        <v>45633</v>
      </c>
      <c r="F441" s="18" t="s">
        <v>611</v>
      </c>
      <c r="G441" t="s">
        <v>101</v>
      </c>
      <c r="H441">
        <v>1</v>
      </c>
      <c r="I441">
        <v>1</v>
      </c>
      <c r="J441" s="27">
        <v>52569.21</v>
      </c>
      <c r="K441" s="27">
        <v>3500000</v>
      </c>
    </row>
    <row r="442" spans="1:11" ht="12.75" customHeight="1" x14ac:dyDescent="0.2">
      <c r="A442" t="s">
        <v>7276</v>
      </c>
      <c r="B442" t="s">
        <v>7277</v>
      </c>
      <c r="C442">
        <v>2023</v>
      </c>
      <c r="D442" s="18">
        <v>45268</v>
      </c>
      <c r="E442" s="18">
        <v>45633</v>
      </c>
      <c r="F442" s="18" t="s">
        <v>611</v>
      </c>
      <c r="G442" t="s">
        <v>99</v>
      </c>
      <c r="H442">
        <v>1</v>
      </c>
      <c r="I442">
        <v>1</v>
      </c>
      <c r="J442" s="27">
        <v>14058.61</v>
      </c>
      <c r="K442" s="27">
        <v>2000000</v>
      </c>
    </row>
    <row r="443" spans="1:11" ht="12.75" customHeight="1" x14ac:dyDescent="0.2">
      <c r="A443" t="s">
        <v>7278</v>
      </c>
      <c r="B443" t="s">
        <v>7279</v>
      </c>
      <c r="C443">
        <v>2023</v>
      </c>
      <c r="D443" s="18">
        <v>45269</v>
      </c>
      <c r="E443" s="18">
        <v>45634</v>
      </c>
      <c r="F443" s="18" t="s">
        <v>608</v>
      </c>
      <c r="G443" t="s">
        <v>99</v>
      </c>
      <c r="H443">
        <v>1</v>
      </c>
      <c r="I443">
        <v>2</v>
      </c>
      <c r="J443" s="27">
        <v>12944.75</v>
      </c>
      <c r="K443" s="27">
        <v>2000000</v>
      </c>
    </row>
    <row r="444" spans="1:11" ht="12.75" customHeight="1" x14ac:dyDescent="0.2">
      <c r="A444" t="s">
        <v>7280</v>
      </c>
      <c r="B444" t="s">
        <v>7281</v>
      </c>
      <c r="C444">
        <v>2023</v>
      </c>
      <c r="D444" s="18">
        <v>45269</v>
      </c>
      <c r="E444" s="18">
        <v>45634</v>
      </c>
      <c r="F444" s="18" t="s">
        <v>608</v>
      </c>
      <c r="G444" t="s">
        <v>99</v>
      </c>
      <c r="H444">
        <v>1</v>
      </c>
      <c r="I444">
        <v>2</v>
      </c>
      <c r="J444" s="27">
        <v>35979.370000000003</v>
      </c>
      <c r="K444" s="27">
        <v>5000000</v>
      </c>
    </row>
    <row r="445" spans="1:11" ht="12.75" customHeight="1" x14ac:dyDescent="0.2">
      <c r="A445" t="s">
        <v>7282</v>
      </c>
      <c r="B445" t="s">
        <v>7283</v>
      </c>
      <c r="C445">
        <v>2023</v>
      </c>
      <c r="D445" s="18">
        <v>45269</v>
      </c>
      <c r="E445" s="18">
        <v>45634</v>
      </c>
      <c r="F445" s="18" t="s">
        <v>608</v>
      </c>
      <c r="G445" t="s">
        <v>101</v>
      </c>
      <c r="H445">
        <v>1</v>
      </c>
      <c r="I445">
        <v>1</v>
      </c>
      <c r="J445" s="27">
        <v>34274.85</v>
      </c>
      <c r="K445" s="27">
        <v>2000000</v>
      </c>
    </row>
    <row r="446" spans="1:11" ht="12.75" customHeight="1" x14ac:dyDescent="0.2">
      <c r="A446" t="s">
        <v>7284</v>
      </c>
      <c r="B446" t="s">
        <v>7285</v>
      </c>
      <c r="C446">
        <v>2023</v>
      </c>
      <c r="D446" s="18">
        <v>45269</v>
      </c>
      <c r="E446" s="18">
        <v>45634</v>
      </c>
      <c r="F446" s="18" t="s">
        <v>608</v>
      </c>
      <c r="G446" t="s">
        <v>100</v>
      </c>
      <c r="H446">
        <v>1</v>
      </c>
      <c r="I446">
        <v>1</v>
      </c>
      <c r="J446" s="27">
        <v>43140.28</v>
      </c>
      <c r="K446" s="27">
        <v>4000000</v>
      </c>
    </row>
    <row r="447" spans="1:11" ht="12.75" customHeight="1" x14ac:dyDescent="0.2">
      <c r="A447" t="s">
        <v>7286</v>
      </c>
      <c r="B447" t="s">
        <v>7287</v>
      </c>
      <c r="C447">
        <v>2023</v>
      </c>
      <c r="D447" s="18">
        <v>45269</v>
      </c>
      <c r="E447" s="18">
        <v>45634</v>
      </c>
      <c r="F447" s="18" t="s">
        <v>611</v>
      </c>
      <c r="G447" t="s">
        <v>100</v>
      </c>
      <c r="H447">
        <v>1</v>
      </c>
      <c r="I447">
        <v>1</v>
      </c>
      <c r="J447" s="27">
        <v>35383.67</v>
      </c>
      <c r="K447" s="27">
        <v>3000000</v>
      </c>
    </row>
    <row r="448" spans="1:11" ht="12.75" customHeight="1" x14ac:dyDescent="0.2">
      <c r="A448" t="s">
        <v>7288</v>
      </c>
      <c r="B448" t="s">
        <v>7289</v>
      </c>
      <c r="C448">
        <v>2023</v>
      </c>
      <c r="D448" s="18">
        <v>45269</v>
      </c>
      <c r="E448" s="18">
        <v>45634</v>
      </c>
      <c r="F448" s="18" t="s">
        <v>611</v>
      </c>
      <c r="G448" t="s">
        <v>99</v>
      </c>
      <c r="H448">
        <v>1</v>
      </c>
      <c r="I448">
        <v>2</v>
      </c>
      <c r="J448" s="27">
        <v>39168.76</v>
      </c>
      <c r="K448" s="27">
        <v>5000000</v>
      </c>
    </row>
    <row r="449" spans="1:11" ht="12.75" customHeight="1" x14ac:dyDescent="0.2">
      <c r="A449" t="s">
        <v>7290</v>
      </c>
      <c r="B449" t="s">
        <v>7291</v>
      </c>
      <c r="C449">
        <v>2023</v>
      </c>
      <c r="D449" s="18">
        <v>45269</v>
      </c>
      <c r="E449" s="18">
        <v>45634</v>
      </c>
      <c r="F449" s="18" t="s">
        <v>611</v>
      </c>
      <c r="G449" t="s">
        <v>101</v>
      </c>
      <c r="H449">
        <v>3</v>
      </c>
      <c r="I449">
        <v>3</v>
      </c>
      <c r="J449" s="27">
        <v>35241.480000000003</v>
      </c>
      <c r="K449" s="27">
        <v>2500000</v>
      </c>
    </row>
    <row r="450" spans="1:11" ht="12.75" customHeight="1" x14ac:dyDescent="0.2">
      <c r="A450" t="s">
        <v>7292</v>
      </c>
      <c r="B450" t="s">
        <v>7293</v>
      </c>
      <c r="C450">
        <v>2023</v>
      </c>
      <c r="D450" s="18">
        <v>45270</v>
      </c>
      <c r="E450" s="18">
        <v>45635</v>
      </c>
      <c r="F450" s="18" t="s">
        <v>608</v>
      </c>
      <c r="G450" t="s">
        <v>99</v>
      </c>
      <c r="H450">
        <v>1</v>
      </c>
      <c r="I450">
        <v>1</v>
      </c>
      <c r="J450" s="27">
        <v>6809.51</v>
      </c>
      <c r="K450" s="27">
        <v>1000000</v>
      </c>
    </row>
    <row r="451" spans="1:11" ht="12.75" customHeight="1" x14ac:dyDescent="0.2">
      <c r="A451" t="s">
        <v>7294</v>
      </c>
      <c r="B451" t="s">
        <v>7295</v>
      </c>
      <c r="C451">
        <v>2023</v>
      </c>
      <c r="D451" s="18">
        <v>45270</v>
      </c>
      <c r="E451" s="18">
        <v>45635</v>
      </c>
      <c r="F451" s="18" t="s">
        <v>611</v>
      </c>
      <c r="G451" t="s">
        <v>101</v>
      </c>
      <c r="H451">
        <v>1</v>
      </c>
      <c r="I451">
        <v>1</v>
      </c>
      <c r="J451" s="27">
        <v>8540.59</v>
      </c>
      <c r="K451" s="27">
        <v>500000</v>
      </c>
    </row>
    <row r="452" spans="1:11" ht="12.75" customHeight="1" x14ac:dyDescent="0.2">
      <c r="A452" t="s">
        <v>7296</v>
      </c>
      <c r="B452" t="s">
        <v>7297</v>
      </c>
      <c r="C452">
        <v>2023</v>
      </c>
      <c r="D452" s="18">
        <v>45270</v>
      </c>
      <c r="E452" s="18">
        <v>45635</v>
      </c>
      <c r="F452" s="18" t="s">
        <v>611</v>
      </c>
      <c r="G452" t="s">
        <v>99</v>
      </c>
      <c r="H452">
        <v>1</v>
      </c>
      <c r="I452">
        <v>2</v>
      </c>
      <c r="J452" s="27">
        <v>26549.9</v>
      </c>
      <c r="K452" s="27">
        <v>4000000</v>
      </c>
    </row>
    <row r="453" spans="1:11" ht="12.75" customHeight="1" x14ac:dyDescent="0.2">
      <c r="A453" t="s">
        <v>7298</v>
      </c>
      <c r="B453" t="s">
        <v>7299</v>
      </c>
      <c r="C453">
        <v>2023</v>
      </c>
      <c r="D453" s="18">
        <v>45270</v>
      </c>
      <c r="E453" s="18">
        <v>45635</v>
      </c>
      <c r="F453" s="18" t="s">
        <v>611</v>
      </c>
      <c r="G453" t="s">
        <v>99</v>
      </c>
      <c r="H453">
        <v>1</v>
      </c>
      <c r="I453">
        <v>2</v>
      </c>
      <c r="J453" s="27">
        <v>9930.91</v>
      </c>
      <c r="K453" s="27">
        <v>1500000</v>
      </c>
    </row>
    <row r="454" spans="1:11" ht="12.75" customHeight="1" x14ac:dyDescent="0.2">
      <c r="A454" t="s">
        <v>7300</v>
      </c>
      <c r="B454" t="s">
        <v>7301</v>
      </c>
      <c r="C454">
        <v>2023</v>
      </c>
      <c r="D454" s="18">
        <v>45271</v>
      </c>
      <c r="E454" s="18">
        <v>45636</v>
      </c>
      <c r="F454" s="18" t="s">
        <v>611</v>
      </c>
      <c r="G454" t="s">
        <v>101</v>
      </c>
      <c r="H454">
        <v>2</v>
      </c>
      <c r="I454">
        <v>4</v>
      </c>
      <c r="J454" s="27">
        <v>83626.3</v>
      </c>
      <c r="K454" s="27">
        <v>5000000</v>
      </c>
    </row>
    <row r="455" spans="1:11" ht="12.75" customHeight="1" x14ac:dyDescent="0.2">
      <c r="A455" t="s">
        <v>7302</v>
      </c>
      <c r="B455" t="s">
        <v>7303</v>
      </c>
      <c r="C455">
        <v>2023</v>
      </c>
      <c r="D455" s="18">
        <v>45271</v>
      </c>
      <c r="E455" s="18">
        <v>45636</v>
      </c>
      <c r="F455" s="18" t="s">
        <v>611</v>
      </c>
      <c r="G455" t="s">
        <v>101</v>
      </c>
      <c r="H455">
        <v>3</v>
      </c>
      <c r="I455">
        <v>3</v>
      </c>
      <c r="J455" s="27">
        <v>78446.710000000006</v>
      </c>
      <c r="K455" s="27">
        <v>5000000</v>
      </c>
    </row>
    <row r="456" spans="1:11" ht="12.75" customHeight="1" x14ac:dyDescent="0.2">
      <c r="A456" t="s">
        <v>7304</v>
      </c>
      <c r="B456" t="s">
        <v>7305</v>
      </c>
      <c r="C456">
        <v>2023</v>
      </c>
      <c r="D456" s="18">
        <v>45271</v>
      </c>
      <c r="E456" s="18">
        <v>45636</v>
      </c>
      <c r="F456" s="18" t="s">
        <v>611</v>
      </c>
      <c r="G456" t="s">
        <v>99</v>
      </c>
      <c r="H456">
        <v>2</v>
      </c>
      <c r="I456">
        <v>4</v>
      </c>
      <c r="J456" s="27">
        <v>26627.1</v>
      </c>
      <c r="K456" s="27">
        <v>4000000</v>
      </c>
    </row>
    <row r="457" spans="1:11" ht="12.75" customHeight="1" x14ac:dyDescent="0.2">
      <c r="A457" t="s">
        <v>7306</v>
      </c>
      <c r="B457" t="s">
        <v>7307</v>
      </c>
      <c r="C457">
        <v>2023</v>
      </c>
      <c r="D457" s="18">
        <v>45271</v>
      </c>
      <c r="E457" s="18">
        <v>45636</v>
      </c>
      <c r="F457" s="18" t="s">
        <v>611</v>
      </c>
      <c r="G457" t="s">
        <v>100</v>
      </c>
      <c r="H457">
        <v>2</v>
      </c>
      <c r="I457">
        <v>4</v>
      </c>
      <c r="J457" s="27">
        <v>23475.14</v>
      </c>
      <c r="K457" s="27">
        <v>2000000</v>
      </c>
    </row>
    <row r="458" spans="1:11" ht="12.75" customHeight="1" x14ac:dyDescent="0.2">
      <c r="A458" t="s">
        <v>7308</v>
      </c>
      <c r="B458" t="s">
        <v>7309</v>
      </c>
      <c r="C458">
        <v>2023</v>
      </c>
      <c r="D458" s="18">
        <v>45271</v>
      </c>
      <c r="E458" s="18">
        <v>45636</v>
      </c>
      <c r="F458" s="18" t="s">
        <v>611</v>
      </c>
      <c r="G458" t="s">
        <v>101</v>
      </c>
      <c r="H458">
        <v>1</v>
      </c>
      <c r="I458">
        <v>1</v>
      </c>
      <c r="J458" s="27">
        <v>78720.820000000007</v>
      </c>
      <c r="K458" s="27">
        <v>5000000</v>
      </c>
    </row>
    <row r="459" spans="1:11" ht="12.75" customHeight="1" x14ac:dyDescent="0.2">
      <c r="A459" t="s">
        <v>7310</v>
      </c>
      <c r="B459" t="s">
        <v>7311</v>
      </c>
      <c r="C459">
        <v>2023</v>
      </c>
      <c r="D459" s="18">
        <v>45271</v>
      </c>
      <c r="E459" s="18">
        <v>45636</v>
      </c>
      <c r="F459" s="18" t="s">
        <v>611</v>
      </c>
      <c r="G459" t="s">
        <v>101</v>
      </c>
      <c r="H459">
        <v>1</v>
      </c>
      <c r="I459">
        <v>2</v>
      </c>
      <c r="J459" s="27">
        <v>33473.760000000002</v>
      </c>
      <c r="K459" s="27">
        <v>2000000</v>
      </c>
    </row>
    <row r="460" spans="1:11" ht="12.75" customHeight="1" x14ac:dyDescent="0.2">
      <c r="A460" t="s">
        <v>7312</v>
      </c>
      <c r="B460" t="s">
        <v>7313</v>
      </c>
      <c r="C460">
        <v>2023</v>
      </c>
      <c r="D460" s="18">
        <v>45271</v>
      </c>
      <c r="E460" s="18">
        <v>45636</v>
      </c>
      <c r="F460" s="18" t="s">
        <v>611</v>
      </c>
      <c r="G460" t="s">
        <v>101</v>
      </c>
      <c r="H460">
        <v>2</v>
      </c>
      <c r="I460">
        <v>2</v>
      </c>
      <c r="J460" s="27">
        <v>7497.25</v>
      </c>
      <c r="K460" s="27">
        <v>500000</v>
      </c>
    </row>
    <row r="461" spans="1:11" ht="12.75" customHeight="1" x14ac:dyDescent="0.2">
      <c r="A461" t="s">
        <v>7314</v>
      </c>
      <c r="B461" t="s">
        <v>7315</v>
      </c>
      <c r="C461">
        <v>2023</v>
      </c>
      <c r="D461" s="18">
        <v>45271</v>
      </c>
      <c r="E461" s="18">
        <v>45636</v>
      </c>
      <c r="F461" s="18" t="s">
        <v>611</v>
      </c>
      <c r="G461" t="s">
        <v>101</v>
      </c>
      <c r="H461">
        <v>1</v>
      </c>
      <c r="I461">
        <v>2</v>
      </c>
      <c r="J461" s="27">
        <v>50166.95</v>
      </c>
      <c r="K461" s="27">
        <v>3500000</v>
      </c>
    </row>
    <row r="462" spans="1:11" ht="12.75" customHeight="1" x14ac:dyDescent="0.2">
      <c r="A462" t="s">
        <v>7316</v>
      </c>
      <c r="B462" t="s">
        <v>7317</v>
      </c>
      <c r="C462">
        <v>2023</v>
      </c>
      <c r="D462" s="18">
        <v>45271</v>
      </c>
      <c r="E462" s="18">
        <v>45636</v>
      </c>
      <c r="F462" s="18" t="s">
        <v>611</v>
      </c>
      <c r="G462" t="s">
        <v>100</v>
      </c>
      <c r="H462">
        <v>1</v>
      </c>
      <c r="I462">
        <v>2</v>
      </c>
      <c r="J462" s="27">
        <v>46713.88</v>
      </c>
      <c r="K462" s="27">
        <v>4500000</v>
      </c>
    </row>
    <row r="463" spans="1:11" ht="12.75" customHeight="1" x14ac:dyDescent="0.2">
      <c r="A463" t="s">
        <v>7318</v>
      </c>
      <c r="B463" t="s">
        <v>7319</v>
      </c>
      <c r="C463">
        <v>2023</v>
      </c>
      <c r="D463" s="18">
        <v>45271</v>
      </c>
      <c r="E463" s="18">
        <v>45636</v>
      </c>
      <c r="F463" s="18" t="s">
        <v>611</v>
      </c>
      <c r="G463" t="s">
        <v>102</v>
      </c>
      <c r="H463">
        <v>1</v>
      </c>
      <c r="I463">
        <v>1</v>
      </c>
      <c r="J463" s="27">
        <v>14623.12</v>
      </c>
      <c r="K463" s="27">
        <v>2000000</v>
      </c>
    </row>
    <row r="464" spans="1:11" ht="12.75" customHeight="1" x14ac:dyDescent="0.2">
      <c r="A464" t="s">
        <v>7320</v>
      </c>
      <c r="B464" t="s">
        <v>7321</v>
      </c>
      <c r="C464">
        <v>2023</v>
      </c>
      <c r="D464" s="18">
        <v>45272</v>
      </c>
      <c r="E464" s="18">
        <v>45637</v>
      </c>
      <c r="F464" s="18" t="s">
        <v>608</v>
      </c>
      <c r="G464" t="s">
        <v>101</v>
      </c>
      <c r="H464">
        <v>2</v>
      </c>
      <c r="I464">
        <v>4</v>
      </c>
      <c r="J464" s="27">
        <v>67429.679999999993</v>
      </c>
      <c r="K464" s="27">
        <v>4500000</v>
      </c>
    </row>
    <row r="465" spans="1:11" ht="12.75" customHeight="1" x14ac:dyDescent="0.2">
      <c r="A465" t="s">
        <v>7322</v>
      </c>
      <c r="B465" t="s">
        <v>7323</v>
      </c>
      <c r="C465">
        <v>2023</v>
      </c>
      <c r="D465" s="18">
        <v>45272</v>
      </c>
      <c r="E465" s="18">
        <v>45637</v>
      </c>
      <c r="F465" s="18" t="s">
        <v>611</v>
      </c>
      <c r="G465" t="s">
        <v>99</v>
      </c>
      <c r="H465">
        <v>2</v>
      </c>
      <c r="I465">
        <v>4</v>
      </c>
      <c r="J465" s="27">
        <v>6497.08</v>
      </c>
      <c r="K465" s="27">
        <v>1000000</v>
      </c>
    </row>
    <row r="466" spans="1:11" ht="12.75" customHeight="1" x14ac:dyDescent="0.2">
      <c r="A466" t="s">
        <v>7324</v>
      </c>
      <c r="B466" t="s">
        <v>7325</v>
      </c>
      <c r="C466">
        <v>2023</v>
      </c>
      <c r="D466" s="18">
        <v>45272</v>
      </c>
      <c r="E466" s="18">
        <v>45637</v>
      </c>
      <c r="F466" s="18" t="s">
        <v>611</v>
      </c>
      <c r="G466" t="s">
        <v>101</v>
      </c>
      <c r="H466">
        <v>2</v>
      </c>
      <c r="I466">
        <v>4</v>
      </c>
      <c r="J466" s="27">
        <v>59819.16</v>
      </c>
      <c r="K466" s="27">
        <v>3500000</v>
      </c>
    </row>
    <row r="467" spans="1:11" ht="12.75" customHeight="1" x14ac:dyDescent="0.2">
      <c r="A467" t="s">
        <v>7326</v>
      </c>
      <c r="B467" t="s">
        <v>7327</v>
      </c>
      <c r="C467">
        <v>2023</v>
      </c>
      <c r="D467" s="18">
        <v>45272</v>
      </c>
      <c r="E467" s="18">
        <v>45637</v>
      </c>
      <c r="F467" s="18" t="s">
        <v>611</v>
      </c>
      <c r="G467" t="s">
        <v>99</v>
      </c>
      <c r="H467">
        <v>2</v>
      </c>
      <c r="I467">
        <v>2</v>
      </c>
      <c r="J467" s="27">
        <v>13890.04</v>
      </c>
      <c r="K467" s="27">
        <v>2000000</v>
      </c>
    </row>
    <row r="468" spans="1:11" ht="12.75" customHeight="1" x14ac:dyDescent="0.2">
      <c r="A468" t="s">
        <v>7328</v>
      </c>
      <c r="B468" t="s">
        <v>7329</v>
      </c>
      <c r="C468">
        <v>2023</v>
      </c>
      <c r="D468" s="18">
        <v>45272</v>
      </c>
      <c r="E468" s="18">
        <v>45637</v>
      </c>
      <c r="F468" s="18" t="s">
        <v>611</v>
      </c>
      <c r="G468" t="s">
        <v>101</v>
      </c>
      <c r="H468">
        <v>1</v>
      </c>
      <c r="I468">
        <v>1</v>
      </c>
      <c r="J468" s="27">
        <v>30293.32</v>
      </c>
      <c r="K468" s="27">
        <v>2000000</v>
      </c>
    </row>
    <row r="469" spans="1:11" ht="12.75" customHeight="1" x14ac:dyDescent="0.2">
      <c r="A469" t="s">
        <v>7330</v>
      </c>
      <c r="B469" t="s">
        <v>7331</v>
      </c>
      <c r="C469">
        <v>2023</v>
      </c>
      <c r="D469" s="18">
        <v>45272</v>
      </c>
      <c r="E469" s="18">
        <v>45637</v>
      </c>
      <c r="F469" s="18" t="s">
        <v>611</v>
      </c>
      <c r="G469" t="s">
        <v>100</v>
      </c>
      <c r="H469">
        <v>1</v>
      </c>
      <c r="I469">
        <v>1</v>
      </c>
      <c r="J469" s="27">
        <v>47154.86</v>
      </c>
      <c r="K469" s="27">
        <v>4500000</v>
      </c>
    </row>
    <row r="470" spans="1:11" ht="12.75" customHeight="1" x14ac:dyDescent="0.2">
      <c r="A470" t="s">
        <v>7332</v>
      </c>
      <c r="B470" t="s">
        <v>7333</v>
      </c>
      <c r="C470">
        <v>2023</v>
      </c>
      <c r="D470" s="18">
        <v>45273</v>
      </c>
      <c r="E470" s="18">
        <v>45638</v>
      </c>
      <c r="F470" s="18" t="s">
        <v>608</v>
      </c>
      <c r="G470" t="s">
        <v>99</v>
      </c>
      <c r="H470">
        <v>1</v>
      </c>
      <c r="I470">
        <v>2</v>
      </c>
      <c r="J470" s="27">
        <v>29871.1</v>
      </c>
      <c r="K470" s="27">
        <v>4000000</v>
      </c>
    </row>
    <row r="471" spans="1:11" ht="12.75" customHeight="1" x14ac:dyDescent="0.2">
      <c r="A471" t="s">
        <v>7334</v>
      </c>
      <c r="B471" t="s">
        <v>7335</v>
      </c>
      <c r="C471">
        <v>2023</v>
      </c>
      <c r="D471" s="18">
        <v>45273</v>
      </c>
      <c r="E471" s="18">
        <v>45638</v>
      </c>
      <c r="F471" s="18" t="s">
        <v>611</v>
      </c>
      <c r="G471" t="s">
        <v>100</v>
      </c>
      <c r="H471">
        <v>1</v>
      </c>
      <c r="I471">
        <v>1</v>
      </c>
      <c r="J471" s="27">
        <v>54602.93</v>
      </c>
      <c r="K471" s="27">
        <v>4500000</v>
      </c>
    </row>
    <row r="472" spans="1:11" ht="12.75" customHeight="1" x14ac:dyDescent="0.2">
      <c r="A472" t="s">
        <v>7336</v>
      </c>
      <c r="B472" t="s">
        <v>7337</v>
      </c>
      <c r="C472">
        <v>2023</v>
      </c>
      <c r="D472" s="18">
        <v>45273</v>
      </c>
      <c r="E472" s="18">
        <v>45638</v>
      </c>
      <c r="F472" s="18" t="s">
        <v>611</v>
      </c>
      <c r="G472" t="s">
        <v>99</v>
      </c>
      <c r="H472">
        <v>1</v>
      </c>
      <c r="I472">
        <v>1</v>
      </c>
      <c r="J472" s="27">
        <v>3352.87</v>
      </c>
      <c r="K472" s="27">
        <v>500000</v>
      </c>
    </row>
    <row r="473" spans="1:11" ht="12.75" customHeight="1" x14ac:dyDescent="0.2">
      <c r="A473" t="s">
        <v>7338</v>
      </c>
      <c r="B473" t="s">
        <v>7339</v>
      </c>
      <c r="C473">
        <v>2023</v>
      </c>
      <c r="D473" s="18">
        <v>45273</v>
      </c>
      <c r="E473" s="18">
        <v>45638</v>
      </c>
      <c r="F473" s="18" t="s">
        <v>611</v>
      </c>
      <c r="G473" t="s">
        <v>102</v>
      </c>
      <c r="H473">
        <v>1</v>
      </c>
      <c r="I473">
        <v>1</v>
      </c>
      <c r="J473" s="27">
        <v>25172.58</v>
      </c>
      <c r="K473" s="27">
        <v>3000000</v>
      </c>
    </row>
    <row r="474" spans="1:11" ht="12.75" customHeight="1" x14ac:dyDescent="0.2">
      <c r="A474" t="s">
        <v>7340</v>
      </c>
      <c r="B474" t="s">
        <v>7341</v>
      </c>
      <c r="C474">
        <v>2023</v>
      </c>
      <c r="D474" s="18">
        <v>45273</v>
      </c>
      <c r="E474" s="18">
        <v>45638</v>
      </c>
      <c r="F474" s="18" t="s">
        <v>611</v>
      </c>
      <c r="G474" t="s">
        <v>100</v>
      </c>
      <c r="H474">
        <v>1</v>
      </c>
      <c r="I474">
        <v>1</v>
      </c>
      <c r="J474" s="27">
        <v>21164.6</v>
      </c>
      <c r="K474" s="27">
        <v>2000000</v>
      </c>
    </row>
    <row r="475" spans="1:11" ht="12.75" customHeight="1" x14ac:dyDescent="0.2">
      <c r="A475" t="s">
        <v>7342</v>
      </c>
      <c r="B475" t="s">
        <v>7343</v>
      </c>
      <c r="C475">
        <v>2023</v>
      </c>
      <c r="D475" s="18">
        <v>45274</v>
      </c>
      <c r="E475" s="18">
        <v>45639</v>
      </c>
      <c r="F475" s="18" t="s">
        <v>608</v>
      </c>
      <c r="G475" t="s">
        <v>99</v>
      </c>
      <c r="H475">
        <v>1</v>
      </c>
      <c r="I475">
        <v>2</v>
      </c>
      <c r="J475" s="27">
        <v>15192.9</v>
      </c>
      <c r="K475" s="27">
        <v>2000000</v>
      </c>
    </row>
    <row r="476" spans="1:11" ht="12.75" customHeight="1" x14ac:dyDescent="0.2">
      <c r="A476" t="s">
        <v>7344</v>
      </c>
      <c r="B476" t="s">
        <v>7345</v>
      </c>
      <c r="C476">
        <v>2023</v>
      </c>
      <c r="D476" s="18">
        <v>45274</v>
      </c>
      <c r="E476" s="18">
        <v>45639</v>
      </c>
      <c r="F476" s="18" t="s">
        <v>611</v>
      </c>
      <c r="G476" t="s">
        <v>100</v>
      </c>
      <c r="H476">
        <v>1</v>
      </c>
      <c r="I476">
        <v>2</v>
      </c>
      <c r="J476" s="27">
        <v>30138.73</v>
      </c>
      <c r="K476" s="27">
        <v>2500000</v>
      </c>
    </row>
    <row r="477" spans="1:11" ht="12.75" customHeight="1" x14ac:dyDescent="0.2">
      <c r="A477" t="s">
        <v>7346</v>
      </c>
      <c r="B477" t="s">
        <v>7347</v>
      </c>
      <c r="C477">
        <v>2023</v>
      </c>
      <c r="D477" s="18">
        <v>45274</v>
      </c>
      <c r="E477" s="18">
        <v>45639</v>
      </c>
      <c r="F477" s="18" t="s">
        <v>611</v>
      </c>
      <c r="G477" t="s">
        <v>100</v>
      </c>
      <c r="H477">
        <v>2</v>
      </c>
      <c r="I477">
        <v>4</v>
      </c>
      <c r="J477" s="27">
        <v>23427.75</v>
      </c>
      <c r="K477" s="27">
        <v>2000000</v>
      </c>
    </row>
    <row r="478" spans="1:11" ht="12.75" customHeight="1" x14ac:dyDescent="0.2">
      <c r="A478" t="s">
        <v>7348</v>
      </c>
      <c r="B478" t="s">
        <v>7349</v>
      </c>
      <c r="C478">
        <v>2023</v>
      </c>
      <c r="D478" s="18">
        <v>45274</v>
      </c>
      <c r="E478" s="18">
        <v>45639</v>
      </c>
      <c r="F478" s="18" t="s">
        <v>611</v>
      </c>
      <c r="G478" t="s">
        <v>101</v>
      </c>
      <c r="H478">
        <v>1</v>
      </c>
      <c r="I478">
        <v>1</v>
      </c>
      <c r="J478" s="27">
        <v>7304.26</v>
      </c>
      <c r="K478" s="27">
        <v>500000</v>
      </c>
    </row>
    <row r="479" spans="1:11" ht="12.75" customHeight="1" x14ac:dyDescent="0.2">
      <c r="A479" t="s">
        <v>7350</v>
      </c>
      <c r="B479" t="s">
        <v>7351</v>
      </c>
      <c r="C479">
        <v>2023</v>
      </c>
      <c r="D479" s="18">
        <v>45274</v>
      </c>
      <c r="E479" s="18">
        <v>45639</v>
      </c>
      <c r="F479" s="18" t="s">
        <v>611</v>
      </c>
      <c r="G479" t="s">
        <v>99</v>
      </c>
      <c r="H479">
        <v>1</v>
      </c>
      <c r="I479">
        <v>1</v>
      </c>
      <c r="J479" s="27">
        <v>3436.41</v>
      </c>
      <c r="K479" s="27">
        <v>500000</v>
      </c>
    </row>
    <row r="480" spans="1:11" ht="12.75" customHeight="1" x14ac:dyDescent="0.2">
      <c r="A480" t="s">
        <v>7352</v>
      </c>
      <c r="B480" t="s">
        <v>7353</v>
      </c>
      <c r="C480">
        <v>2023</v>
      </c>
      <c r="D480" s="18">
        <v>45274</v>
      </c>
      <c r="E480" s="18">
        <v>45639</v>
      </c>
      <c r="F480" s="18" t="s">
        <v>611</v>
      </c>
      <c r="G480" t="s">
        <v>100</v>
      </c>
      <c r="H480">
        <v>1</v>
      </c>
      <c r="I480">
        <v>1</v>
      </c>
      <c r="J480" s="27">
        <v>49081.09</v>
      </c>
      <c r="K480" s="27">
        <v>4500000</v>
      </c>
    </row>
    <row r="481" spans="1:11" ht="12.75" customHeight="1" x14ac:dyDescent="0.2">
      <c r="A481" t="s">
        <v>7354</v>
      </c>
      <c r="B481" t="s">
        <v>7355</v>
      </c>
      <c r="C481">
        <v>2023</v>
      </c>
      <c r="D481" s="18">
        <v>45275</v>
      </c>
      <c r="E481" s="18">
        <v>45640</v>
      </c>
      <c r="F481" s="18" t="s">
        <v>608</v>
      </c>
      <c r="G481" t="s">
        <v>102</v>
      </c>
      <c r="H481">
        <v>1</v>
      </c>
      <c r="I481">
        <v>1</v>
      </c>
      <c r="J481" s="27">
        <v>35356.879999999997</v>
      </c>
      <c r="K481" s="27">
        <v>4500000</v>
      </c>
    </row>
    <row r="482" spans="1:11" ht="12.75" customHeight="1" x14ac:dyDescent="0.2">
      <c r="A482" t="s">
        <v>7356</v>
      </c>
      <c r="B482" t="s">
        <v>7357</v>
      </c>
      <c r="C482">
        <v>2023</v>
      </c>
      <c r="D482" s="18">
        <v>45275</v>
      </c>
      <c r="E482" s="18">
        <v>45640</v>
      </c>
      <c r="F482" s="18" t="s">
        <v>611</v>
      </c>
      <c r="G482" t="s">
        <v>102</v>
      </c>
      <c r="H482">
        <v>3</v>
      </c>
      <c r="I482">
        <v>6</v>
      </c>
      <c r="J482" s="27">
        <v>28669.56</v>
      </c>
      <c r="K482" s="27">
        <v>3500000</v>
      </c>
    </row>
    <row r="483" spans="1:11" ht="12.75" customHeight="1" x14ac:dyDescent="0.2">
      <c r="A483" t="s">
        <v>7358</v>
      </c>
      <c r="B483" t="s">
        <v>7359</v>
      </c>
      <c r="C483">
        <v>2023</v>
      </c>
      <c r="D483" s="18">
        <v>45275</v>
      </c>
      <c r="E483" s="18">
        <v>45640</v>
      </c>
      <c r="F483" s="18" t="s">
        <v>611</v>
      </c>
      <c r="G483" t="s">
        <v>99</v>
      </c>
      <c r="H483">
        <v>2</v>
      </c>
      <c r="I483">
        <v>2</v>
      </c>
      <c r="J483" s="27">
        <v>69038.100000000006</v>
      </c>
      <c r="K483" s="27">
        <v>10000000</v>
      </c>
    </row>
    <row r="484" spans="1:11" ht="12.75" customHeight="1" x14ac:dyDescent="0.2">
      <c r="A484" t="s">
        <v>7360</v>
      </c>
      <c r="B484" t="s">
        <v>7361</v>
      </c>
      <c r="C484">
        <v>2023</v>
      </c>
      <c r="D484" s="18">
        <v>45275</v>
      </c>
      <c r="E484" s="18">
        <v>45640</v>
      </c>
      <c r="F484" s="18" t="s">
        <v>611</v>
      </c>
      <c r="G484" t="s">
        <v>102</v>
      </c>
      <c r="H484">
        <v>1</v>
      </c>
      <c r="I484">
        <v>1</v>
      </c>
      <c r="J484" s="27">
        <v>23087.68</v>
      </c>
      <c r="K484" s="27">
        <v>3000000</v>
      </c>
    </row>
    <row r="485" spans="1:11" ht="12.75" customHeight="1" x14ac:dyDescent="0.2">
      <c r="A485" t="s">
        <v>7362</v>
      </c>
      <c r="B485" t="s">
        <v>7363</v>
      </c>
      <c r="C485">
        <v>2023</v>
      </c>
      <c r="D485" s="18">
        <v>45276</v>
      </c>
      <c r="E485" s="18">
        <v>45641</v>
      </c>
      <c r="F485" s="18" t="s">
        <v>608</v>
      </c>
      <c r="G485" t="s">
        <v>101</v>
      </c>
      <c r="H485">
        <v>1</v>
      </c>
      <c r="I485">
        <v>1</v>
      </c>
      <c r="J485" s="27">
        <v>162258.63</v>
      </c>
      <c r="K485" s="27">
        <v>10000000</v>
      </c>
    </row>
    <row r="486" spans="1:11" ht="12.75" customHeight="1" x14ac:dyDescent="0.2">
      <c r="A486" t="s">
        <v>7364</v>
      </c>
      <c r="B486" t="s">
        <v>7365</v>
      </c>
      <c r="C486">
        <v>2023</v>
      </c>
      <c r="D486" s="18">
        <v>45276</v>
      </c>
      <c r="E486" s="18">
        <v>45641</v>
      </c>
      <c r="F486" s="18" t="s">
        <v>611</v>
      </c>
      <c r="G486" t="s">
        <v>102</v>
      </c>
      <c r="H486">
        <v>1</v>
      </c>
      <c r="I486">
        <v>2</v>
      </c>
      <c r="J486" s="27">
        <v>30280.799999999999</v>
      </c>
      <c r="K486" s="27">
        <v>4000000</v>
      </c>
    </row>
    <row r="487" spans="1:11" ht="12.75" customHeight="1" x14ac:dyDescent="0.2">
      <c r="A487" t="s">
        <v>7366</v>
      </c>
      <c r="B487" t="s">
        <v>7367</v>
      </c>
      <c r="C487">
        <v>2023</v>
      </c>
      <c r="D487" s="18">
        <v>45276</v>
      </c>
      <c r="E487" s="18">
        <v>45641</v>
      </c>
      <c r="F487" s="18" t="s">
        <v>611</v>
      </c>
      <c r="G487" t="s">
        <v>99</v>
      </c>
      <c r="H487">
        <v>1</v>
      </c>
      <c r="I487">
        <v>2</v>
      </c>
      <c r="J487" s="27">
        <v>7339.64</v>
      </c>
      <c r="K487" s="27">
        <v>1000000</v>
      </c>
    </row>
    <row r="488" spans="1:11" ht="12.75" customHeight="1" x14ac:dyDescent="0.2">
      <c r="A488" t="s">
        <v>7368</v>
      </c>
      <c r="B488" t="s">
        <v>7369</v>
      </c>
      <c r="C488">
        <v>2023</v>
      </c>
      <c r="D488" s="18">
        <v>45276</v>
      </c>
      <c r="E488" s="18">
        <v>45641</v>
      </c>
      <c r="F488" s="18" t="s">
        <v>611</v>
      </c>
      <c r="G488" t="s">
        <v>99</v>
      </c>
      <c r="H488">
        <v>1</v>
      </c>
      <c r="I488">
        <v>1</v>
      </c>
      <c r="J488" s="27">
        <v>76884.19</v>
      </c>
      <c r="K488" s="27">
        <v>10000000</v>
      </c>
    </row>
    <row r="489" spans="1:11" ht="12.75" customHeight="1" x14ac:dyDescent="0.2">
      <c r="A489" t="s">
        <v>7370</v>
      </c>
      <c r="B489" t="s">
        <v>7371</v>
      </c>
      <c r="C489">
        <v>2023</v>
      </c>
      <c r="D489" s="18">
        <v>45276</v>
      </c>
      <c r="E489" s="18">
        <v>45641</v>
      </c>
      <c r="F489" s="18" t="s">
        <v>611</v>
      </c>
      <c r="G489" t="s">
        <v>99</v>
      </c>
      <c r="H489">
        <v>1</v>
      </c>
      <c r="I489">
        <v>2</v>
      </c>
      <c r="J489" s="27">
        <v>37414.519999999997</v>
      </c>
      <c r="K489" s="27">
        <v>5000000</v>
      </c>
    </row>
    <row r="490" spans="1:11" ht="12.75" customHeight="1" x14ac:dyDescent="0.2">
      <c r="A490" t="s">
        <v>7372</v>
      </c>
      <c r="B490" t="s">
        <v>7373</v>
      </c>
      <c r="C490">
        <v>2023</v>
      </c>
      <c r="D490" s="18">
        <v>45277</v>
      </c>
      <c r="E490" s="18">
        <v>45642</v>
      </c>
      <c r="F490" s="18" t="s">
        <v>608</v>
      </c>
      <c r="G490" t="s">
        <v>100</v>
      </c>
      <c r="H490">
        <v>1</v>
      </c>
      <c r="I490">
        <v>2</v>
      </c>
      <c r="J490" s="27">
        <v>41897.03</v>
      </c>
      <c r="K490" s="27">
        <v>4000000</v>
      </c>
    </row>
    <row r="491" spans="1:11" ht="12.75" customHeight="1" x14ac:dyDescent="0.2">
      <c r="A491" t="s">
        <v>7374</v>
      </c>
      <c r="B491" t="s">
        <v>7375</v>
      </c>
      <c r="C491">
        <v>2023</v>
      </c>
      <c r="D491" s="18">
        <v>45277</v>
      </c>
      <c r="E491" s="18">
        <v>45642</v>
      </c>
      <c r="F491" s="18" t="s">
        <v>608</v>
      </c>
      <c r="G491" t="s">
        <v>99</v>
      </c>
      <c r="H491">
        <v>1</v>
      </c>
      <c r="I491">
        <v>1</v>
      </c>
      <c r="J491" s="27">
        <v>15223.31</v>
      </c>
      <c r="K491" s="27">
        <v>2000000</v>
      </c>
    </row>
    <row r="492" spans="1:11" ht="12.75" customHeight="1" x14ac:dyDescent="0.2">
      <c r="A492" t="s">
        <v>7376</v>
      </c>
      <c r="B492" t="s">
        <v>7377</v>
      </c>
      <c r="C492">
        <v>2023</v>
      </c>
      <c r="D492" s="18">
        <v>45277</v>
      </c>
      <c r="E492" s="18">
        <v>45642</v>
      </c>
      <c r="F492" s="18" t="s">
        <v>611</v>
      </c>
      <c r="G492" t="s">
        <v>101</v>
      </c>
      <c r="H492">
        <v>1</v>
      </c>
      <c r="I492">
        <v>1</v>
      </c>
      <c r="J492" s="27">
        <v>44905.15</v>
      </c>
      <c r="K492" s="27">
        <v>3000000</v>
      </c>
    </row>
    <row r="493" spans="1:11" ht="12.75" customHeight="1" x14ac:dyDescent="0.2">
      <c r="A493" t="s">
        <v>7378</v>
      </c>
      <c r="B493" t="s">
        <v>7379</v>
      </c>
      <c r="C493">
        <v>2023</v>
      </c>
      <c r="D493" s="18">
        <v>45277</v>
      </c>
      <c r="E493" s="18">
        <v>45642</v>
      </c>
      <c r="F493" s="18" t="s">
        <v>611</v>
      </c>
      <c r="G493" t="s">
        <v>101</v>
      </c>
      <c r="H493">
        <v>1</v>
      </c>
      <c r="I493">
        <v>1</v>
      </c>
      <c r="J493" s="27">
        <v>50616.42</v>
      </c>
      <c r="K493" s="27">
        <v>3500000</v>
      </c>
    </row>
    <row r="494" spans="1:11" ht="12.75" customHeight="1" x14ac:dyDescent="0.2">
      <c r="A494" t="s">
        <v>7380</v>
      </c>
      <c r="B494" t="s">
        <v>7381</v>
      </c>
      <c r="C494">
        <v>2023</v>
      </c>
      <c r="D494" s="18">
        <v>45277</v>
      </c>
      <c r="E494" s="18">
        <v>45642</v>
      </c>
      <c r="F494" s="18" t="s">
        <v>611</v>
      </c>
      <c r="G494" t="s">
        <v>100</v>
      </c>
      <c r="H494">
        <v>1</v>
      </c>
      <c r="I494">
        <v>2</v>
      </c>
      <c r="J494" s="27">
        <v>120541.88</v>
      </c>
      <c r="K494" s="27">
        <v>10000000</v>
      </c>
    </row>
    <row r="495" spans="1:11" ht="12.75" customHeight="1" x14ac:dyDescent="0.2">
      <c r="A495" t="s">
        <v>7382</v>
      </c>
      <c r="B495" t="s">
        <v>7383</v>
      </c>
      <c r="C495">
        <v>2023</v>
      </c>
      <c r="D495" s="18">
        <v>45277</v>
      </c>
      <c r="E495" s="18">
        <v>45642</v>
      </c>
      <c r="F495" s="18" t="s">
        <v>611</v>
      </c>
      <c r="G495" t="s">
        <v>102</v>
      </c>
      <c r="H495">
        <v>1</v>
      </c>
      <c r="I495">
        <v>1</v>
      </c>
      <c r="J495" s="27">
        <v>16623.41</v>
      </c>
      <c r="K495" s="27">
        <v>2000000</v>
      </c>
    </row>
    <row r="496" spans="1:11" ht="12.75" customHeight="1" x14ac:dyDescent="0.2">
      <c r="A496" t="s">
        <v>7384</v>
      </c>
      <c r="B496" t="s">
        <v>7385</v>
      </c>
      <c r="C496">
        <v>2023</v>
      </c>
      <c r="D496" s="18">
        <v>45277</v>
      </c>
      <c r="E496" s="18">
        <v>45642</v>
      </c>
      <c r="F496" s="18" t="s">
        <v>611</v>
      </c>
      <c r="G496" t="s">
        <v>102</v>
      </c>
      <c r="H496">
        <v>3</v>
      </c>
      <c r="I496">
        <v>6</v>
      </c>
      <c r="J496" s="27">
        <v>17100.68</v>
      </c>
      <c r="K496" s="27">
        <v>2000000</v>
      </c>
    </row>
    <row r="497" spans="1:11" ht="12.75" customHeight="1" x14ac:dyDescent="0.2">
      <c r="A497" t="s">
        <v>7386</v>
      </c>
      <c r="B497" t="s">
        <v>7387</v>
      </c>
      <c r="C497">
        <v>2023</v>
      </c>
      <c r="D497" s="18">
        <v>45277</v>
      </c>
      <c r="E497" s="18">
        <v>45642</v>
      </c>
      <c r="F497" s="18" t="s">
        <v>611</v>
      </c>
      <c r="G497" t="s">
        <v>100</v>
      </c>
      <c r="H497">
        <v>1</v>
      </c>
      <c r="I497">
        <v>2</v>
      </c>
      <c r="J497" s="27">
        <v>6184</v>
      </c>
      <c r="K497" s="27">
        <v>500000</v>
      </c>
    </row>
    <row r="498" spans="1:11" ht="12.75" customHeight="1" x14ac:dyDescent="0.2">
      <c r="A498" t="s">
        <v>7388</v>
      </c>
      <c r="B498" t="s">
        <v>7389</v>
      </c>
      <c r="C498">
        <v>2023</v>
      </c>
      <c r="D498" s="18">
        <v>45278</v>
      </c>
      <c r="E498" s="18">
        <v>45643</v>
      </c>
      <c r="F498" s="18" t="s">
        <v>608</v>
      </c>
      <c r="G498" t="s">
        <v>101</v>
      </c>
      <c r="H498">
        <v>3</v>
      </c>
      <c r="I498">
        <v>3</v>
      </c>
      <c r="J498" s="27">
        <v>72867.710000000006</v>
      </c>
      <c r="K498" s="27">
        <v>4500000</v>
      </c>
    </row>
    <row r="499" spans="1:11" ht="12.75" customHeight="1" x14ac:dyDescent="0.2">
      <c r="A499" t="s">
        <v>7390</v>
      </c>
      <c r="B499" t="s">
        <v>7391</v>
      </c>
      <c r="C499">
        <v>2023</v>
      </c>
      <c r="D499" s="18">
        <v>45278</v>
      </c>
      <c r="E499" s="18">
        <v>45643</v>
      </c>
      <c r="F499" s="18" t="s">
        <v>611</v>
      </c>
      <c r="G499" t="s">
        <v>99</v>
      </c>
      <c r="H499">
        <v>1</v>
      </c>
      <c r="I499">
        <v>1</v>
      </c>
      <c r="J499" s="27">
        <v>30191.99</v>
      </c>
      <c r="K499" s="27">
        <v>4500000</v>
      </c>
    </row>
    <row r="500" spans="1:11" ht="12.75" customHeight="1" x14ac:dyDescent="0.2">
      <c r="A500" t="s">
        <v>7392</v>
      </c>
      <c r="B500" t="s">
        <v>7393</v>
      </c>
      <c r="C500">
        <v>2023</v>
      </c>
      <c r="D500" s="18">
        <v>45278</v>
      </c>
      <c r="E500" s="18">
        <v>45643</v>
      </c>
      <c r="F500" s="18" t="s">
        <v>611</v>
      </c>
      <c r="G500" t="s">
        <v>101</v>
      </c>
      <c r="H500">
        <v>2</v>
      </c>
      <c r="I500">
        <v>2</v>
      </c>
      <c r="J500" s="27">
        <v>76957.149999999994</v>
      </c>
      <c r="K500" s="27">
        <v>5000000</v>
      </c>
    </row>
    <row r="501" spans="1:11" ht="12.75" customHeight="1" x14ac:dyDescent="0.2">
      <c r="A501" t="s">
        <v>7394</v>
      </c>
      <c r="B501" t="s">
        <v>7395</v>
      </c>
      <c r="C501">
        <v>2023</v>
      </c>
      <c r="D501" s="18">
        <v>45278</v>
      </c>
      <c r="E501" s="18">
        <v>45643</v>
      </c>
      <c r="F501" s="18" t="s">
        <v>611</v>
      </c>
      <c r="G501" t="s">
        <v>99</v>
      </c>
      <c r="H501">
        <v>3</v>
      </c>
      <c r="I501">
        <v>3</v>
      </c>
      <c r="J501" s="27">
        <v>7286.33</v>
      </c>
      <c r="K501" s="27">
        <v>1000000</v>
      </c>
    </row>
    <row r="502" spans="1:11" ht="12.75" customHeight="1" x14ac:dyDescent="0.2">
      <c r="A502" t="s">
        <v>7396</v>
      </c>
      <c r="B502" t="s">
        <v>7397</v>
      </c>
      <c r="C502">
        <v>2023</v>
      </c>
      <c r="D502" s="18">
        <v>45278</v>
      </c>
      <c r="E502" s="18">
        <v>45643</v>
      </c>
      <c r="F502" s="18" t="s">
        <v>611</v>
      </c>
      <c r="G502" t="s">
        <v>99</v>
      </c>
      <c r="H502">
        <v>2</v>
      </c>
      <c r="I502">
        <v>4</v>
      </c>
      <c r="J502" s="27">
        <v>20073.71</v>
      </c>
      <c r="K502" s="27">
        <v>3000000</v>
      </c>
    </row>
    <row r="503" spans="1:11" ht="12.75" customHeight="1" x14ac:dyDescent="0.2">
      <c r="A503" t="s">
        <v>7398</v>
      </c>
      <c r="B503" t="s">
        <v>7399</v>
      </c>
      <c r="C503">
        <v>2023</v>
      </c>
      <c r="D503" s="18">
        <v>45278</v>
      </c>
      <c r="E503" s="18">
        <v>45643</v>
      </c>
      <c r="F503" s="18" t="s">
        <v>611</v>
      </c>
      <c r="G503" t="s">
        <v>100</v>
      </c>
      <c r="H503">
        <v>3</v>
      </c>
      <c r="I503">
        <v>6</v>
      </c>
      <c r="J503" s="27">
        <v>49091.6</v>
      </c>
      <c r="K503" s="27">
        <v>4500000</v>
      </c>
    </row>
    <row r="504" spans="1:11" ht="12.75" customHeight="1" x14ac:dyDescent="0.2">
      <c r="A504" t="s">
        <v>7400</v>
      </c>
      <c r="B504" t="s">
        <v>7401</v>
      </c>
      <c r="C504">
        <v>2023</v>
      </c>
      <c r="D504" s="18">
        <v>45278</v>
      </c>
      <c r="E504" s="18">
        <v>45643</v>
      </c>
      <c r="F504" s="18" t="s">
        <v>611</v>
      </c>
      <c r="G504" t="s">
        <v>99</v>
      </c>
      <c r="H504">
        <v>2</v>
      </c>
      <c r="I504">
        <v>2</v>
      </c>
      <c r="J504" s="27">
        <v>3786.69</v>
      </c>
      <c r="K504" s="27">
        <v>500000</v>
      </c>
    </row>
    <row r="505" spans="1:11" ht="12.75" customHeight="1" x14ac:dyDescent="0.2">
      <c r="A505" t="s">
        <v>7402</v>
      </c>
      <c r="B505" t="s">
        <v>7403</v>
      </c>
      <c r="C505">
        <v>2023</v>
      </c>
      <c r="D505" s="18">
        <v>45278</v>
      </c>
      <c r="E505" s="18">
        <v>45643</v>
      </c>
      <c r="F505" s="18" t="s">
        <v>611</v>
      </c>
      <c r="G505" t="s">
        <v>100</v>
      </c>
      <c r="H505">
        <v>1</v>
      </c>
      <c r="I505">
        <v>2</v>
      </c>
      <c r="J505" s="27">
        <v>10626.89</v>
      </c>
      <c r="K505" s="27">
        <v>1000000</v>
      </c>
    </row>
    <row r="506" spans="1:11" ht="12.75" customHeight="1" x14ac:dyDescent="0.2">
      <c r="A506" t="s">
        <v>7404</v>
      </c>
      <c r="B506" t="s">
        <v>7405</v>
      </c>
      <c r="C506">
        <v>2023</v>
      </c>
      <c r="D506" s="18">
        <v>45278</v>
      </c>
      <c r="E506" s="18">
        <v>45643</v>
      </c>
      <c r="F506" s="18" t="s">
        <v>611</v>
      </c>
      <c r="G506" t="s">
        <v>99</v>
      </c>
      <c r="H506">
        <v>1</v>
      </c>
      <c r="I506">
        <v>1</v>
      </c>
      <c r="J506" s="27">
        <v>7028.56</v>
      </c>
      <c r="K506" s="27">
        <v>1000000</v>
      </c>
    </row>
    <row r="507" spans="1:11" ht="12.75" customHeight="1" x14ac:dyDescent="0.2">
      <c r="A507" t="s">
        <v>7406</v>
      </c>
      <c r="B507" t="s">
        <v>7407</v>
      </c>
      <c r="C507">
        <v>2023</v>
      </c>
      <c r="D507" s="18">
        <v>45278</v>
      </c>
      <c r="E507" s="18">
        <v>45643</v>
      </c>
      <c r="F507" s="18" t="s">
        <v>611</v>
      </c>
      <c r="G507" t="s">
        <v>100</v>
      </c>
      <c r="H507">
        <v>1</v>
      </c>
      <c r="I507">
        <v>2</v>
      </c>
      <c r="J507" s="27">
        <v>21380.76</v>
      </c>
      <c r="K507" s="27">
        <v>2000000</v>
      </c>
    </row>
    <row r="508" spans="1:11" ht="12.75" customHeight="1" x14ac:dyDescent="0.2">
      <c r="A508" t="s">
        <v>7408</v>
      </c>
      <c r="B508" t="s">
        <v>7409</v>
      </c>
      <c r="C508">
        <v>2023</v>
      </c>
      <c r="D508" s="18">
        <v>45278</v>
      </c>
      <c r="E508" s="18">
        <v>45643</v>
      </c>
      <c r="F508" s="18" t="s">
        <v>611</v>
      </c>
      <c r="G508" t="s">
        <v>101</v>
      </c>
      <c r="H508">
        <v>1</v>
      </c>
      <c r="I508">
        <v>2</v>
      </c>
      <c r="J508" s="27">
        <v>68617.86</v>
      </c>
      <c r="K508" s="27">
        <v>4000000</v>
      </c>
    </row>
    <row r="509" spans="1:11" ht="12.75" customHeight="1" x14ac:dyDescent="0.2">
      <c r="A509" t="s">
        <v>7410</v>
      </c>
      <c r="B509" t="s">
        <v>7411</v>
      </c>
      <c r="C509">
        <v>2023</v>
      </c>
      <c r="D509" s="18">
        <v>45278</v>
      </c>
      <c r="E509" s="18">
        <v>45643</v>
      </c>
      <c r="F509" s="18" t="s">
        <v>611</v>
      </c>
      <c r="G509" t="s">
        <v>99</v>
      </c>
      <c r="H509">
        <v>2</v>
      </c>
      <c r="I509">
        <v>4</v>
      </c>
      <c r="J509" s="27">
        <v>26132.75</v>
      </c>
      <c r="K509" s="27">
        <v>4000000</v>
      </c>
    </row>
    <row r="510" spans="1:11" ht="12.75" customHeight="1" x14ac:dyDescent="0.2">
      <c r="A510" t="s">
        <v>7412</v>
      </c>
      <c r="B510" t="s">
        <v>7413</v>
      </c>
      <c r="C510">
        <v>2023</v>
      </c>
      <c r="D510" s="18">
        <v>45279</v>
      </c>
      <c r="E510" s="18">
        <v>45644</v>
      </c>
      <c r="F510" s="18" t="s">
        <v>608</v>
      </c>
      <c r="G510" t="s">
        <v>100</v>
      </c>
      <c r="H510">
        <v>2</v>
      </c>
      <c r="I510">
        <v>4</v>
      </c>
      <c r="J510" s="27">
        <v>10362.66</v>
      </c>
      <c r="K510" s="27">
        <v>1000000</v>
      </c>
    </row>
    <row r="511" spans="1:11" ht="12.75" customHeight="1" x14ac:dyDescent="0.2">
      <c r="A511" t="s">
        <v>7414</v>
      </c>
      <c r="B511" t="s">
        <v>7415</v>
      </c>
      <c r="C511">
        <v>2023</v>
      </c>
      <c r="D511" s="18">
        <v>45279</v>
      </c>
      <c r="E511" s="18">
        <v>45644</v>
      </c>
      <c r="F511" s="18" t="s">
        <v>608</v>
      </c>
      <c r="G511" t="s">
        <v>99</v>
      </c>
      <c r="H511">
        <v>3</v>
      </c>
      <c r="I511">
        <v>6</v>
      </c>
      <c r="J511" s="27">
        <v>7713.58</v>
      </c>
      <c r="K511" s="27">
        <v>1000000</v>
      </c>
    </row>
    <row r="512" spans="1:11" ht="12.75" customHeight="1" x14ac:dyDescent="0.2">
      <c r="A512" t="s">
        <v>7416</v>
      </c>
      <c r="B512" t="s">
        <v>7417</v>
      </c>
      <c r="C512">
        <v>2023</v>
      </c>
      <c r="D512" s="18">
        <v>45279</v>
      </c>
      <c r="E512" s="18">
        <v>45644</v>
      </c>
      <c r="F512" s="18" t="s">
        <v>611</v>
      </c>
      <c r="G512" t="s">
        <v>102</v>
      </c>
      <c r="H512">
        <v>1</v>
      </c>
      <c r="I512">
        <v>1</v>
      </c>
      <c r="J512" s="27">
        <v>15526.11</v>
      </c>
      <c r="K512" s="27">
        <v>2000000</v>
      </c>
    </row>
    <row r="513" spans="1:11" ht="12.75" customHeight="1" x14ac:dyDescent="0.2">
      <c r="A513" t="s">
        <v>7418</v>
      </c>
      <c r="B513" t="s">
        <v>7419</v>
      </c>
      <c r="C513">
        <v>2023</v>
      </c>
      <c r="D513" s="18">
        <v>45279</v>
      </c>
      <c r="E513" s="18">
        <v>45644</v>
      </c>
      <c r="F513" s="18" t="s">
        <v>611</v>
      </c>
      <c r="G513" t="s">
        <v>101</v>
      </c>
      <c r="H513">
        <v>1</v>
      </c>
      <c r="I513">
        <v>1</v>
      </c>
      <c r="J513" s="27">
        <v>63655.55</v>
      </c>
      <c r="K513" s="27">
        <v>4000000</v>
      </c>
    </row>
    <row r="514" spans="1:11" ht="12.75" customHeight="1" x14ac:dyDescent="0.2">
      <c r="A514" t="s">
        <v>7420</v>
      </c>
      <c r="B514" t="s">
        <v>7421</v>
      </c>
      <c r="C514">
        <v>2023</v>
      </c>
      <c r="D514" s="18">
        <v>45279</v>
      </c>
      <c r="E514" s="18">
        <v>45644</v>
      </c>
      <c r="F514" s="18" t="s">
        <v>611</v>
      </c>
      <c r="G514" t="s">
        <v>99</v>
      </c>
      <c r="H514">
        <v>1</v>
      </c>
      <c r="I514">
        <v>1</v>
      </c>
      <c r="J514" s="27">
        <v>21272</v>
      </c>
      <c r="K514" s="27">
        <v>3000000</v>
      </c>
    </row>
    <row r="515" spans="1:11" ht="12.75" customHeight="1" x14ac:dyDescent="0.2">
      <c r="A515" t="s">
        <v>7422</v>
      </c>
      <c r="B515" t="s">
        <v>7423</v>
      </c>
      <c r="C515">
        <v>2023</v>
      </c>
      <c r="D515" s="18">
        <v>45279</v>
      </c>
      <c r="E515" s="18">
        <v>45644</v>
      </c>
      <c r="F515" s="18" t="s">
        <v>611</v>
      </c>
      <c r="G515" t="s">
        <v>102</v>
      </c>
      <c r="H515">
        <v>2</v>
      </c>
      <c r="I515">
        <v>4</v>
      </c>
      <c r="J515" s="27">
        <v>17095.02</v>
      </c>
      <c r="K515" s="27">
        <v>2000000</v>
      </c>
    </row>
    <row r="516" spans="1:11" ht="12.75" customHeight="1" x14ac:dyDescent="0.2">
      <c r="A516" t="s">
        <v>7424</v>
      </c>
      <c r="B516" t="s">
        <v>7425</v>
      </c>
      <c r="C516">
        <v>2023</v>
      </c>
      <c r="D516" s="18">
        <v>45279</v>
      </c>
      <c r="E516" s="18">
        <v>45644</v>
      </c>
      <c r="F516" s="18" t="s">
        <v>611</v>
      </c>
      <c r="G516" t="s">
        <v>100</v>
      </c>
      <c r="H516">
        <v>2</v>
      </c>
      <c r="I516">
        <v>4</v>
      </c>
      <c r="J516" s="27">
        <v>12397.02</v>
      </c>
      <c r="K516" s="27">
        <v>1000000</v>
      </c>
    </row>
    <row r="517" spans="1:11" ht="12.75" customHeight="1" x14ac:dyDescent="0.2">
      <c r="A517" t="s">
        <v>7426</v>
      </c>
      <c r="B517" t="s">
        <v>7427</v>
      </c>
      <c r="C517">
        <v>2023</v>
      </c>
      <c r="D517" s="18">
        <v>45279</v>
      </c>
      <c r="E517" s="18">
        <v>45644</v>
      </c>
      <c r="F517" s="18" t="s">
        <v>611</v>
      </c>
      <c r="G517" t="s">
        <v>99</v>
      </c>
      <c r="H517">
        <v>1</v>
      </c>
      <c r="I517">
        <v>2</v>
      </c>
      <c r="J517" s="27">
        <v>20599.509999999998</v>
      </c>
      <c r="K517" s="27">
        <v>3000000</v>
      </c>
    </row>
    <row r="518" spans="1:11" ht="12.75" customHeight="1" x14ac:dyDescent="0.2">
      <c r="A518" t="s">
        <v>7428</v>
      </c>
      <c r="B518" t="s">
        <v>7429</v>
      </c>
      <c r="C518">
        <v>2023</v>
      </c>
      <c r="D518" s="18">
        <v>45279</v>
      </c>
      <c r="E518" s="18">
        <v>45644</v>
      </c>
      <c r="F518" s="18" t="s">
        <v>611</v>
      </c>
      <c r="G518" t="s">
        <v>99</v>
      </c>
      <c r="H518">
        <v>2</v>
      </c>
      <c r="I518">
        <v>2</v>
      </c>
      <c r="J518" s="27">
        <v>6956.31</v>
      </c>
      <c r="K518" s="27">
        <v>1000000</v>
      </c>
    </row>
    <row r="519" spans="1:11" ht="12.75" customHeight="1" x14ac:dyDescent="0.2">
      <c r="A519" t="s">
        <v>7430</v>
      </c>
      <c r="B519" t="s">
        <v>7431</v>
      </c>
      <c r="C519">
        <v>2023</v>
      </c>
      <c r="D519" s="18">
        <v>45279</v>
      </c>
      <c r="E519" s="18">
        <v>45644</v>
      </c>
      <c r="F519" s="18" t="s">
        <v>611</v>
      </c>
      <c r="G519" t="s">
        <v>99</v>
      </c>
      <c r="H519">
        <v>1</v>
      </c>
      <c r="I519">
        <v>1</v>
      </c>
      <c r="J519" s="27">
        <v>15101.6</v>
      </c>
      <c r="K519" s="27">
        <v>2000000</v>
      </c>
    </row>
    <row r="520" spans="1:11" ht="12.75" customHeight="1" x14ac:dyDescent="0.2">
      <c r="A520" t="s">
        <v>7432</v>
      </c>
      <c r="B520" t="s">
        <v>7433</v>
      </c>
      <c r="C520">
        <v>2023</v>
      </c>
      <c r="D520" s="18">
        <v>45279</v>
      </c>
      <c r="E520" s="18">
        <v>45644</v>
      </c>
      <c r="F520" s="18" t="s">
        <v>611</v>
      </c>
      <c r="G520" t="s">
        <v>101</v>
      </c>
      <c r="H520">
        <v>1</v>
      </c>
      <c r="I520">
        <v>2</v>
      </c>
      <c r="J520" s="27">
        <v>31419.62</v>
      </c>
      <c r="K520" s="27">
        <v>2000000</v>
      </c>
    </row>
    <row r="521" spans="1:11" ht="12.75" customHeight="1" x14ac:dyDescent="0.2">
      <c r="A521" t="s">
        <v>7434</v>
      </c>
      <c r="B521" t="s">
        <v>7435</v>
      </c>
      <c r="C521">
        <v>2023</v>
      </c>
      <c r="D521" s="18">
        <v>45280</v>
      </c>
      <c r="E521" s="18">
        <v>45645</v>
      </c>
      <c r="F521" s="18" t="s">
        <v>608</v>
      </c>
      <c r="G521" t="s">
        <v>100</v>
      </c>
      <c r="H521">
        <v>2</v>
      </c>
      <c r="I521">
        <v>2</v>
      </c>
      <c r="J521" s="27">
        <v>10347.25</v>
      </c>
      <c r="K521" s="27">
        <v>1000000</v>
      </c>
    </row>
    <row r="522" spans="1:11" ht="12.75" customHeight="1" x14ac:dyDescent="0.2">
      <c r="A522" t="s">
        <v>7436</v>
      </c>
      <c r="B522" t="s">
        <v>7437</v>
      </c>
      <c r="C522">
        <v>2023</v>
      </c>
      <c r="D522" s="18">
        <v>45280</v>
      </c>
      <c r="E522" s="18">
        <v>45645</v>
      </c>
      <c r="F522" s="18" t="s">
        <v>611</v>
      </c>
      <c r="G522" t="s">
        <v>101</v>
      </c>
      <c r="H522">
        <v>2</v>
      </c>
      <c r="I522">
        <v>2</v>
      </c>
      <c r="J522" s="27">
        <v>15725.86</v>
      </c>
      <c r="K522" s="27">
        <v>1000000</v>
      </c>
    </row>
    <row r="523" spans="1:11" ht="12.75" customHeight="1" x14ac:dyDescent="0.2">
      <c r="A523" t="s">
        <v>7438</v>
      </c>
      <c r="B523" t="s">
        <v>7439</v>
      </c>
      <c r="C523">
        <v>2023</v>
      </c>
      <c r="D523" s="18">
        <v>45280</v>
      </c>
      <c r="E523" s="18">
        <v>45645</v>
      </c>
      <c r="F523" s="18" t="s">
        <v>611</v>
      </c>
      <c r="G523" t="s">
        <v>101</v>
      </c>
      <c r="H523">
        <v>1</v>
      </c>
      <c r="I523">
        <v>1</v>
      </c>
      <c r="J523" s="27">
        <v>34403</v>
      </c>
      <c r="K523" s="27">
        <v>2000000</v>
      </c>
    </row>
    <row r="524" spans="1:11" ht="12.75" customHeight="1" x14ac:dyDescent="0.2">
      <c r="A524" t="s">
        <v>7440</v>
      </c>
      <c r="B524" t="s">
        <v>7441</v>
      </c>
      <c r="C524">
        <v>2023</v>
      </c>
      <c r="D524" s="18">
        <v>45280</v>
      </c>
      <c r="E524" s="18">
        <v>45645</v>
      </c>
      <c r="F524" s="18" t="s">
        <v>611</v>
      </c>
      <c r="G524" t="s">
        <v>100</v>
      </c>
      <c r="H524">
        <v>1</v>
      </c>
      <c r="I524">
        <v>2</v>
      </c>
      <c r="J524" s="27">
        <v>45915.61</v>
      </c>
      <c r="K524" s="27">
        <v>4000000</v>
      </c>
    </row>
    <row r="525" spans="1:11" ht="12.75" customHeight="1" x14ac:dyDescent="0.2">
      <c r="A525" t="s">
        <v>7442</v>
      </c>
      <c r="B525" t="s">
        <v>7443</v>
      </c>
      <c r="C525">
        <v>2023</v>
      </c>
      <c r="D525" s="18">
        <v>45280</v>
      </c>
      <c r="E525" s="18">
        <v>45645</v>
      </c>
      <c r="F525" s="18" t="s">
        <v>611</v>
      </c>
      <c r="G525" t="s">
        <v>100</v>
      </c>
      <c r="H525">
        <v>1</v>
      </c>
      <c r="I525">
        <v>1</v>
      </c>
      <c r="J525" s="27">
        <v>10928.57</v>
      </c>
      <c r="K525" s="27">
        <v>1000000</v>
      </c>
    </row>
    <row r="526" spans="1:11" ht="12.75" customHeight="1" x14ac:dyDescent="0.2">
      <c r="A526" t="s">
        <v>7444</v>
      </c>
      <c r="B526" t="s">
        <v>7445</v>
      </c>
      <c r="C526">
        <v>2023</v>
      </c>
      <c r="D526" s="18">
        <v>45281</v>
      </c>
      <c r="E526" s="18">
        <v>45646</v>
      </c>
      <c r="F526" s="18" t="s">
        <v>608</v>
      </c>
      <c r="G526" t="s">
        <v>101</v>
      </c>
      <c r="H526">
        <v>1</v>
      </c>
      <c r="I526">
        <v>1</v>
      </c>
      <c r="J526" s="27">
        <v>15019.04</v>
      </c>
      <c r="K526" s="27">
        <v>1000000</v>
      </c>
    </row>
    <row r="527" spans="1:11" ht="12.75" customHeight="1" x14ac:dyDescent="0.2">
      <c r="A527" t="s">
        <v>7446</v>
      </c>
      <c r="B527" t="s">
        <v>7447</v>
      </c>
      <c r="C527">
        <v>2023</v>
      </c>
      <c r="D527" s="18">
        <v>45281</v>
      </c>
      <c r="E527" s="18">
        <v>45646</v>
      </c>
      <c r="F527" s="18" t="s">
        <v>608</v>
      </c>
      <c r="G527" t="s">
        <v>99</v>
      </c>
      <c r="H527">
        <v>1</v>
      </c>
      <c r="I527">
        <v>1</v>
      </c>
      <c r="J527" s="27">
        <v>13407.01</v>
      </c>
      <c r="K527" s="27">
        <v>2000000</v>
      </c>
    </row>
    <row r="528" spans="1:11" ht="12.75" customHeight="1" x14ac:dyDescent="0.2">
      <c r="A528" t="s">
        <v>7448</v>
      </c>
      <c r="B528" t="s">
        <v>7449</v>
      </c>
      <c r="C528">
        <v>2023</v>
      </c>
      <c r="D528" s="18">
        <v>45281</v>
      </c>
      <c r="E528" s="18">
        <v>45646</v>
      </c>
      <c r="F528" s="18" t="s">
        <v>611</v>
      </c>
      <c r="G528" t="s">
        <v>102</v>
      </c>
      <c r="H528">
        <v>3</v>
      </c>
      <c r="I528">
        <v>3</v>
      </c>
      <c r="J528" s="27">
        <v>42065.41</v>
      </c>
      <c r="K528" s="27">
        <v>5000000</v>
      </c>
    </row>
    <row r="529" spans="1:11" ht="12.75" customHeight="1" x14ac:dyDescent="0.2">
      <c r="A529" t="s">
        <v>7450</v>
      </c>
      <c r="B529" t="s">
        <v>7451</v>
      </c>
      <c r="C529">
        <v>2023</v>
      </c>
      <c r="D529" s="18">
        <v>45281</v>
      </c>
      <c r="E529" s="18">
        <v>45646</v>
      </c>
      <c r="F529" s="18" t="s">
        <v>611</v>
      </c>
      <c r="G529" t="s">
        <v>100</v>
      </c>
      <c r="H529">
        <v>3</v>
      </c>
      <c r="I529">
        <v>3</v>
      </c>
      <c r="J529" s="27">
        <v>34249.58</v>
      </c>
      <c r="K529" s="27">
        <v>3000000</v>
      </c>
    </row>
    <row r="530" spans="1:11" ht="12.75" customHeight="1" x14ac:dyDescent="0.2">
      <c r="A530" t="s">
        <v>7452</v>
      </c>
      <c r="B530" t="s">
        <v>7453</v>
      </c>
      <c r="C530">
        <v>2023</v>
      </c>
      <c r="D530" s="18">
        <v>45282</v>
      </c>
      <c r="E530" s="18">
        <v>45647</v>
      </c>
      <c r="F530" s="18" t="s">
        <v>608</v>
      </c>
      <c r="G530" t="s">
        <v>99</v>
      </c>
      <c r="H530">
        <v>1</v>
      </c>
      <c r="I530">
        <v>1</v>
      </c>
      <c r="J530" s="27">
        <v>6498.98</v>
      </c>
      <c r="K530" s="27">
        <v>1000000</v>
      </c>
    </row>
    <row r="531" spans="1:11" ht="12.75" customHeight="1" x14ac:dyDescent="0.2">
      <c r="A531" t="s">
        <v>7454</v>
      </c>
      <c r="B531" t="s">
        <v>7455</v>
      </c>
      <c r="C531">
        <v>2023</v>
      </c>
      <c r="D531" s="18">
        <v>45282</v>
      </c>
      <c r="E531" s="18">
        <v>45647</v>
      </c>
      <c r="F531" s="18" t="s">
        <v>611</v>
      </c>
      <c r="G531" t="s">
        <v>101</v>
      </c>
      <c r="H531">
        <v>3</v>
      </c>
      <c r="I531">
        <v>3</v>
      </c>
      <c r="J531" s="27">
        <v>68470.740000000005</v>
      </c>
      <c r="K531" s="27">
        <v>4500000</v>
      </c>
    </row>
    <row r="532" spans="1:11" ht="12.75" customHeight="1" x14ac:dyDescent="0.2">
      <c r="A532" t="s">
        <v>7456</v>
      </c>
      <c r="B532" t="s">
        <v>7457</v>
      </c>
      <c r="C532">
        <v>2023</v>
      </c>
      <c r="D532" s="18">
        <v>45282</v>
      </c>
      <c r="E532" s="18">
        <v>45647</v>
      </c>
      <c r="F532" s="18" t="s">
        <v>611</v>
      </c>
      <c r="G532" t="s">
        <v>100</v>
      </c>
      <c r="H532">
        <v>3</v>
      </c>
      <c r="I532">
        <v>6</v>
      </c>
      <c r="J532" s="27">
        <v>44255.58</v>
      </c>
      <c r="K532" s="27">
        <v>4000000</v>
      </c>
    </row>
    <row r="533" spans="1:11" ht="12.75" customHeight="1" x14ac:dyDescent="0.2">
      <c r="A533" t="s">
        <v>7458</v>
      </c>
      <c r="B533" t="s">
        <v>7459</v>
      </c>
      <c r="C533">
        <v>2023</v>
      </c>
      <c r="D533" s="18">
        <v>45283</v>
      </c>
      <c r="E533" s="18">
        <v>45648</v>
      </c>
      <c r="F533" s="18" t="s">
        <v>611</v>
      </c>
      <c r="G533" t="s">
        <v>102</v>
      </c>
      <c r="H533">
        <v>1</v>
      </c>
      <c r="I533">
        <v>1</v>
      </c>
      <c r="J533" s="27">
        <v>31781.61</v>
      </c>
      <c r="K533" s="27">
        <v>4500000</v>
      </c>
    </row>
    <row r="534" spans="1:11" ht="12.75" customHeight="1" x14ac:dyDescent="0.2">
      <c r="A534" t="s">
        <v>7460</v>
      </c>
      <c r="B534" t="s">
        <v>7461</v>
      </c>
      <c r="C534">
        <v>2023</v>
      </c>
      <c r="D534" s="18">
        <v>45283</v>
      </c>
      <c r="E534" s="18">
        <v>45648</v>
      </c>
      <c r="F534" s="18" t="s">
        <v>611</v>
      </c>
      <c r="G534" t="s">
        <v>99</v>
      </c>
      <c r="H534">
        <v>1</v>
      </c>
      <c r="I534">
        <v>2</v>
      </c>
      <c r="J534" s="27">
        <v>3476.41</v>
      </c>
      <c r="K534" s="27">
        <v>500000</v>
      </c>
    </row>
    <row r="535" spans="1:11" ht="12.75" customHeight="1" x14ac:dyDescent="0.2">
      <c r="A535" t="s">
        <v>7462</v>
      </c>
      <c r="B535" t="s">
        <v>7463</v>
      </c>
      <c r="C535">
        <v>2023</v>
      </c>
      <c r="D535" s="18">
        <v>45283</v>
      </c>
      <c r="E535" s="18">
        <v>45648</v>
      </c>
      <c r="F535" s="18" t="s">
        <v>611</v>
      </c>
      <c r="G535" t="s">
        <v>100</v>
      </c>
      <c r="H535">
        <v>1</v>
      </c>
      <c r="I535">
        <v>2</v>
      </c>
      <c r="J535" s="27">
        <v>118110.17</v>
      </c>
      <c r="K535" s="27">
        <v>10000000</v>
      </c>
    </row>
    <row r="536" spans="1:11" ht="12.75" customHeight="1" x14ac:dyDescent="0.2">
      <c r="A536" t="s">
        <v>7464</v>
      </c>
      <c r="B536" t="s">
        <v>7465</v>
      </c>
      <c r="C536">
        <v>2023</v>
      </c>
      <c r="D536" s="18">
        <v>45283</v>
      </c>
      <c r="E536" s="18">
        <v>45648</v>
      </c>
      <c r="F536" s="18" t="s">
        <v>611</v>
      </c>
      <c r="G536" t="s">
        <v>100</v>
      </c>
      <c r="H536">
        <v>1</v>
      </c>
      <c r="I536">
        <v>1</v>
      </c>
      <c r="J536" s="27">
        <v>24541.94</v>
      </c>
      <c r="K536" s="27">
        <v>2000000</v>
      </c>
    </row>
    <row r="537" spans="1:11" ht="12.75" customHeight="1" x14ac:dyDescent="0.2">
      <c r="A537" t="s">
        <v>7466</v>
      </c>
      <c r="B537" t="s">
        <v>7467</v>
      </c>
      <c r="C537">
        <v>2023</v>
      </c>
      <c r="D537" s="18">
        <v>45284</v>
      </c>
      <c r="E537" s="18">
        <v>45649</v>
      </c>
      <c r="F537" s="18" t="s">
        <v>611</v>
      </c>
      <c r="G537" t="s">
        <v>100</v>
      </c>
      <c r="H537">
        <v>1</v>
      </c>
      <c r="I537">
        <v>2</v>
      </c>
      <c r="J537" s="27">
        <v>16621.71</v>
      </c>
      <c r="K537" s="27">
        <v>1500000</v>
      </c>
    </row>
    <row r="538" spans="1:11" ht="12.75" customHeight="1" x14ac:dyDescent="0.2">
      <c r="A538" t="s">
        <v>7468</v>
      </c>
      <c r="B538" t="s">
        <v>7469</v>
      </c>
      <c r="C538">
        <v>2023</v>
      </c>
      <c r="D538" s="18">
        <v>45284</v>
      </c>
      <c r="E538" s="18">
        <v>45649</v>
      </c>
      <c r="F538" s="18" t="s">
        <v>611</v>
      </c>
      <c r="G538" t="s">
        <v>101</v>
      </c>
      <c r="H538">
        <v>1</v>
      </c>
      <c r="I538">
        <v>2</v>
      </c>
      <c r="J538" s="27">
        <v>74516.12</v>
      </c>
      <c r="K538" s="27">
        <v>5000000</v>
      </c>
    </row>
    <row r="539" spans="1:11" ht="12.75" customHeight="1" x14ac:dyDescent="0.2">
      <c r="A539" t="s">
        <v>7470</v>
      </c>
      <c r="B539" t="s">
        <v>7471</v>
      </c>
      <c r="C539">
        <v>2023</v>
      </c>
      <c r="D539" s="18">
        <v>45284</v>
      </c>
      <c r="E539" s="18">
        <v>45649</v>
      </c>
      <c r="F539" s="18" t="s">
        <v>611</v>
      </c>
      <c r="G539" t="s">
        <v>99</v>
      </c>
      <c r="H539">
        <v>1</v>
      </c>
      <c r="I539">
        <v>2</v>
      </c>
      <c r="J539" s="27">
        <v>33555.93</v>
      </c>
      <c r="K539" s="27">
        <v>5000000</v>
      </c>
    </row>
    <row r="540" spans="1:11" ht="12.75" customHeight="1" x14ac:dyDescent="0.2">
      <c r="A540" t="s">
        <v>7472</v>
      </c>
      <c r="B540" t="s">
        <v>7473</v>
      </c>
      <c r="C540">
        <v>2023</v>
      </c>
      <c r="D540" s="18">
        <v>45284</v>
      </c>
      <c r="E540" s="18">
        <v>45649</v>
      </c>
      <c r="F540" s="18" t="s">
        <v>611</v>
      </c>
      <c r="G540" t="s">
        <v>101</v>
      </c>
      <c r="H540">
        <v>3</v>
      </c>
      <c r="I540">
        <v>3</v>
      </c>
      <c r="J540" s="27">
        <v>164126.89000000001</v>
      </c>
      <c r="K540" s="27">
        <v>10000000</v>
      </c>
    </row>
    <row r="541" spans="1:11" ht="12.75" customHeight="1" x14ac:dyDescent="0.2">
      <c r="A541" t="s">
        <v>7474</v>
      </c>
      <c r="B541" t="s">
        <v>7475</v>
      </c>
      <c r="C541">
        <v>2023</v>
      </c>
      <c r="D541" s="18">
        <v>45284</v>
      </c>
      <c r="E541" s="18">
        <v>45649</v>
      </c>
      <c r="F541" s="18" t="s">
        <v>611</v>
      </c>
      <c r="G541" t="s">
        <v>99</v>
      </c>
      <c r="H541">
        <v>2</v>
      </c>
      <c r="I541">
        <v>4</v>
      </c>
      <c r="J541" s="27">
        <v>3553.94</v>
      </c>
      <c r="K541" s="27">
        <v>500000</v>
      </c>
    </row>
    <row r="542" spans="1:11" ht="12.75" customHeight="1" x14ac:dyDescent="0.2">
      <c r="A542" t="s">
        <v>7476</v>
      </c>
      <c r="B542" t="s">
        <v>7477</v>
      </c>
      <c r="C542">
        <v>2023</v>
      </c>
      <c r="D542" s="18">
        <v>45285</v>
      </c>
      <c r="E542" s="18">
        <v>45650</v>
      </c>
      <c r="F542" s="18" t="s">
        <v>611</v>
      </c>
      <c r="G542" t="s">
        <v>99</v>
      </c>
      <c r="H542">
        <v>2</v>
      </c>
      <c r="I542">
        <v>2</v>
      </c>
      <c r="J542" s="27">
        <v>32353.18</v>
      </c>
      <c r="K542" s="27">
        <v>5000000</v>
      </c>
    </row>
    <row r="543" spans="1:11" ht="12.75" customHeight="1" x14ac:dyDescent="0.2">
      <c r="A543" t="s">
        <v>7478</v>
      </c>
      <c r="B543" t="s">
        <v>7479</v>
      </c>
      <c r="C543">
        <v>2023</v>
      </c>
      <c r="D543" s="18">
        <v>45285</v>
      </c>
      <c r="E543" s="18">
        <v>45650</v>
      </c>
      <c r="F543" s="18" t="s">
        <v>611</v>
      </c>
      <c r="G543" t="s">
        <v>100</v>
      </c>
      <c r="H543">
        <v>1</v>
      </c>
      <c r="I543">
        <v>2</v>
      </c>
      <c r="J543" s="27">
        <v>23973.63</v>
      </c>
      <c r="K543" s="27">
        <v>2000000</v>
      </c>
    </row>
    <row r="544" spans="1:11" ht="12.75" customHeight="1" x14ac:dyDescent="0.2">
      <c r="A544" t="s">
        <v>7480</v>
      </c>
      <c r="B544" t="s">
        <v>7481</v>
      </c>
      <c r="C544">
        <v>2023</v>
      </c>
      <c r="D544" s="18">
        <v>45285</v>
      </c>
      <c r="E544" s="18">
        <v>45650</v>
      </c>
      <c r="F544" s="18" t="s">
        <v>611</v>
      </c>
      <c r="G544" t="s">
        <v>99</v>
      </c>
      <c r="H544">
        <v>2</v>
      </c>
      <c r="I544">
        <v>2</v>
      </c>
      <c r="J544" s="27">
        <v>19880.16</v>
      </c>
      <c r="K544" s="27">
        <v>3000000</v>
      </c>
    </row>
    <row r="545" spans="1:11" ht="12.75" customHeight="1" x14ac:dyDescent="0.2">
      <c r="A545" t="s">
        <v>7482</v>
      </c>
      <c r="B545" t="s">
        <v>7483</v>
      </c>
      <c r="C545">
        <v>2023</v>
      </c>
      <c r="D545" s="18">
        <v>45285</v>
      </c>
      <c r="E545" s="18">
        <v>45650</v>
      </c>
      <c r="F545" s="18" t="s">
        <v>611</v>
      </c>
      <c r="G545" t="s">
        <v>99</v>
      </c>
      <c r="H545">
        <v>1</v>
      </c>
      <c r="I545">
        <v>2</v>
      </c>
      <c r="J545" s="27">
        <v>15257.49</v>
      </c>
      <c r="K545" s="27">
        <v>2000000</v>
      </c>
    </row>
    <row r="546" spans="1:11" ht="12.75" customHeight="1" x14ac:dyDescent="0.2">
      <c r="A546" t="s">
        <v>7484</v>
      </c>
      <c r="B546" t="s">
        <v>7485</v>
      </c>
      <c r="C546">
        <v>2023</v>
      </c>
      <c r="D546" s="18">
        <v>45286</v>
      </c>
      <c r="E546" s="18">
        <v>45651</v>
      </c>
      <c r="F546" s="18" t="s">
        <v>608</v>
      </c>
      <c r="G546" t="s">
        <v>101</v>
      </c>
      <c r="H546">
        <v>1</v>
      </c>
      <c r="I546">
        <v>2</v>
      </c>
      <c r="J546" s="27">
        <v>61818.55</v>
      </c>
      <c r="K546" s="27">
        <v>4000000</v>
      </c>
    </row>
    <row r="547" spans="1:11" ht="12.75" customHeight="1" x14ac:dyDescent="0.2">
      <c r="A547" t="s">
        <v>7486</v>
      </c>
      <c r="B547" t="s">
        <v>7487</v>
      </c>
      <c r="C547">
        <v>2023</v>
      </c>
      <c r="D547" s="18">
        <v>45286</v>
      </c>
      <c r="E547" s="18">
        <v>45651</v>
      </c>
      <c r="F547" s="18" t="s">
        <v>611</v>
      </c>
      <c r="G547" t="s">
        <v>99</v>
      </c>
      <c r="H547">
        <v>1</v>
      </c>
      <c r="I547">
        <v>1</v>
      </c>
      <c r="J547" s="27">
        <v>6963.05</v>
      </c>
      <c r="K547" s="27">
        <v>1000000</v>
      </c>
    </row>
    <row r="548" spans="1:11" ht="12.75" customHeight="1" x14ac:dyDescent="0.2">
      <c r="A548" t="s">
        <v>7488</v>
      </c>
      <c r="B548" t="s">
        <v>7489</v>
      </c>
      <c r="C548">
        <v>2023</v>
      </c>
      <c r="D548" s="18">
        <v>45286</v>
      </c>
      <c r="E548" s="18">
        <v>45651</v>
      </c>
      <c r="F548" s="18" t="s">
        <v>611</v>
      </c>
      <c r="G548" t="s">
        <v>99</v>
      </c>
      <c r="H548">
        <v>3</v>
      </c>
      <c r="I548">
        <v>6</v>
      </c>
      <c r="J548" s="27">
        <v>14651.79</v>
      </c>
      <c r="K548" s="27">
        <v>2000000</v>
      </c>
    </row>
    <row r="549" spans="1:11" ht="12.75" customHeight="1" x14ac:dyDescent="0.2">
      <c r="A549" t="s">
        <v>7490</v>
      </c>
      <c r="B549" t="s">
        <v>7491</v>
      </c>
      <c r="C549">
        <v>2023</v>
      </c>
      <c r="D549" s="18">
        <v>45286</v>
      </c>
      <c r="E549" s="18">
        <v>45651</v>
      </c>
      <c r="F549" s="18" t="s">
        <v>611</v>
      </c>
      <c r="G549" t="s">
        <v>99</v>
      </c>
      <c r="H549">
        <v>2</v>
      </c>
      <c r="I549">
        <v>2</v>
      </c>
      <c r="J549" s="27">
        <v>15519.42</v>
      </c>
      <c r="K549" s="27">
        <v>2000000</v>
      </c>
    </row>
    <row r="550" spans="1:11" ht="12.75" customHeight="1" x14ac:dyDescent="0.2">
      <c r="A550" t="s">
        <v>7492</v>
      </c>
      <c r="B550" t="s">
        <v>7493</v>
      </c>
      <c r="C550">
        <v>2023</v>
      </c>
      <c r="D550" s="18">
        <v>45286</v>
      </c>
      <c r="E550" s="18">
        <v>45651</v>
      </c>
      <c r="F550" s="18" t="s">
        <v>611</v>
      </c>
      <c r="G550" t="s">
        <v>102</v>
      </c>
      <c r="H550">
        <v>1</v>
      </c>
      <c r="I550">
        <v>1</v>
      </c>
      <c r="J550" s="27">
        <v>25462.16</v>
      </c>
      <c r="K550" s="27">
        <v>3000000</v>
      </c>
    </row>
    <row r="551" spans="1:11" ht="12.75" customHeight="1" x14ac:dyDescent="0.2">
      <c r="A551" t="s">
        <v>7494</v>
      </c>
      <c r="B551" t="s">
        <v>7495</v>
      </c>
      <c r="C551">
        <v>2023</v>
      </c>
      <c r="D551" s="18">
        <v>45286</v>
      </c>
      <c r="E551" s="18">
        <v>45651</v>
      </c>
      <c r="F551" s="18" t="s">
        <v>611</v>
      </c>
      <c r="G551" t="s">
        <v>102</v>
      </c>
      <c r="H551">
        <v>1</v>
      </c>
      <c r="I551">
        <v>1</v>
      </c>
      <c r="J551" s="27">
        <v>31343.77</v>
      </c>
      <c r="K551" s="27">
        <v>4000000</v>
      </c>
    </row>
    <row r="552" spans="1:11" ht="12.75" customHeight="1" x14ac:dyDescent="0.2">
      <c r="A552" t="s">
        <v>7496</v>
      </c>
      <c r="B552" t="s">
        <v>7497</v>
      </c>
      <c r="C552">
        <v>2023</v>
      </c>
      <c r="D552" s="18">
        <v>45286</v>
      </c>
      <c r="E552" s="18">
        <v>45651</v>
      </c>
      <c r="F552" s="18" t="s">
        <v>611</v>
      </c>
      <c r="G552" t="s">
        <v>100</v>
      </c>
      <c r="H552">
        <v>2</v>
      </c>
      <c r="I552">
        <v>4</v>
      </c>
      <c r="J552" s="27">
        <v>121589.47</v>
      </c>
      <c r="K552" s="27">
        <v>10000000</v>
      </c>
    </row>
    <row r="553" spans="1:11" ht="12.75" customHeight="1" x14ac:dyDescent="0.2">
      <c r="A553" t="s">
        <v>7498</v>
      </c>
      <c r="B553" t="s">
        <v>7499</v>
      </c>
      <c r="C553">
        <v>2023</v>
      </c>
      <c r="D553" s="18">
        <v>45286</v>
      </c>
      <c r="E553" s="18">
        <v>45651</v>
      </c>
      <c r="F553" s="18" t="s">
        <v>611</v>
      </c>
      <c r="G553" t="s">
        <v>101</v>
      </c>
      <c r="H553">
        <v>1</v>
      </c>
      <c r="I553">
        <v>1</v>
      </c>
      <c r="J553" s="27">
        <v>32563.62</v>
      </c>
      <c r="K553" s="27">
        <v>2000000</v>
      </c>
    </row>
    <row r="554" spans="1:11" ht="12.75" customHeight="1" x14ac:dyDescent="0.2">
      <c r="A554" t="s">
        <v>7500</v>
      </c>
      <c r="B554" t="s">
        <v>7501</v>
      </c>
      <c r="C554">
        <v>2023</v>
      </c>
      <c r="D554" s="18">
        <v>45287</v>
      </c>
      <c r="E554" s="18">
        <v>45652</v>
      </c>
      <c r="F554" s="18" t="s">
        <v>608</v>
      </c>
      <c r="G554" t="s">
        <v>101</v>
      </c>
      <c r="H554">
        <v>3</v>
      </c>
      <c r="I554">
        <v>3</v>
      </c>
      <c r="J554" s="27">
        <v>51204.5</v>
      </c>
      <c r="K554" s="27">
        <v>3500000</v>
      </c>
    </row>
    <row r="555" spans="1:11" ht="12.75" customHeight="1" x14ac:dyDescent="0.2">
      <c r="A555" t="s">
        <v>7502</v>
      </c>
      <c r="B555" t="s">
        <v>7503</v>
      </c>
      <c r="C555">
        <v>2023</v>
      </c>
      <c r="D555" s="18">
        <v>45287</v>
      </c>
      <c r="E555" s="18">
        <v>45652</v>
      </c>
      <c r="F555" s="18" t="s">
        <v>608</v>
      </c>
      <c r="G555" t="s">
        <v>101</v>
      </c>
      <c r="H555">
        <v>1</v>
      </c>
      <c r="I555">
        <v>1</v>
      </c>
      <c r="J555" s="27">
        <v>75516.02</v>
      </c>
      <c r="K555" s="27">
        <v>5000000</v>
      </c>
    </row>
    <row r="556" spans="1:11" ht="12.75" customHeight="1" x14ac:dyDescent="0.2">
      <c r="A556" t="s">
        <v>7504</v>
      </c>
      <c r="B556" t="s">
        <v>7505</v>
      </c>
      <c r="C556">
        <v>2023</v>
      </c>
      <c r="D556" s="18">
        <v>45287</v>
      </c>
      <c r="E556" s="18">
        <v>45652</v>
      </c>
      <c r="F556" s="18" t="s">
        <v>608</v>
      </c>
      <c r="G556" t="s">
        <v>99</v>
      </c>
      <c r="H556">
        <v>3</v>
      </c>
      <c r="I556">
        <v>3</v>
      </c>
      <c r="J556" s="27">
        <v>17436.89</v>
      </c>
      <c r="K556" s="27">
        <v>2500000</v>
      </c>
    </row>
    <row r="557" spans="1:11" ht="12.75" customHeight="1" x14ac:dyDescent="0.2">
      <c r="A557" t="s">
        <v>7506</v>
      </c>
      <c r="B557" t="s">
        <v>7507</v>
      </c>
      <c r="C557">
        <v>2023</v>
      </c>
      <c r="D557" s="18">
        <v>45287</v>
      </c>
      <c r="E557" s="18">
        <v>45652</v>
      </c>
      <c r="F557" s="18" t="s">
        <v>611</v>
      </c>
      <c r="G557" t="s">
        <v>100</v>
      </c>
      <c r="H557">
        <v>3</v>
      </c>
      <c r="I557">
        <v>6</v>
      </c>
      <c r="J557" s="27">
        <v>44023.88</v>
      </c>
      <c r="K557" s="27">
        <v>3500000</v>
      </c>
    </row>
    <row r="558" spans="1:11" ht="12.75" customHeight="1" x14ac:dyDescent="0.2">
      <c r="A558" t="s">
        <v>7508</v>
      </c>
      <c r="B558" t="s">
        <v>7509</v>
      </c>
      <c r="C558">
        <v>2023</v>
      </c>
      <c r="D558" s="18">
        <v>45287</v>
      </c>
      <c r="E558" s="18">
        <v>45652</v>
      </c>
      <c r="F558" s="18" t="s">
        <v>611</v>
      </c>
      <c r="G558" t="s">
        <v>100</v>
      </c>
      <c r="H558">
        <v>1</v>
      </c>
      <c r="I558">
        <v>1</v>
      </c>
      <c r="J558" s="27">
        <v>28633.88</v>
      </c>
      <c r="K558" s="27">
        <v>2500000</v>
      </c>
    </row>
    <row r="559" spans="1:11" ht="12.75" customHeight="1" x14ac:dyDescent="0.2">
      <c r="A559" t="s">
        <v>7510</v>
      </c>
      <c r="B559" t="s">
        <v>7511</v>
      </c>
      <c r="C559">
        <v>2023</v>
      </c>
      <c r="D559" s="18">
        <v>45287</v>
      </c>
      <c r="E559" s="18">
        <v>45652</v>
      </c>
      <c r="F559" s="18" t="s">
        <v>611</v>
      </c>
      <c r="G559" t="s">
        <v>99</v>
      </c>
      <c r="H559">
        <v>1</v>
      </c>
      <c r="I559">
        <v>2</v>
      </c>
      <c r="J559" s="27">
        <v>25834.41</v>
      </c>
      <c r="K559" s="27">
        <v>4000000</v>
      </c>
    </row>
    <row r="560" spans="1:11" ht="12.75" customHeight="1" x14ac:dyDescent="0.2">
      <c r="A560" t="s">
        <v>7512</v>
      </c>
      <c r="B560" t="s">
        <v>7513</v>
      </c>
      <c r="C560">
        <v>2023</v>
      </c>
      <c r="D560" s="18">
        <v>45288</v>
      </c>
      <c r="E560" s="18">
        <v>45653</v>
      </c>
      <c r="F560" s="18" t="s">
        <v>611</v>
      </c>
      <c r="G560" t="s">
        <v>100</v>
      </c>
      <c r="H560">
        <v>3</v>
      </c>
      <c r="I560">
        <v>3</v>
      </c>
      <c r="J560" s="27">
        <v>117726.01</v>
      </c>
      <c r="K560" s="27">
        <v>10000000</v>
      </c>
    </row>
    <row r="561" spans="1:11" ht="12.75" customHeight="1" x14ac:dyDescent="0.2">
      <c r="A561" t="s">
        <v>7514</v>
      </c>
      <c r="B561" t="s">
        <v>7515</v>
      </c>
      <c r="C561">
        <v>2023</v>
      </c>
      <c r="D561" s="18">
        <v>45288</v>
      </c>
      <c r="E561" s="18">
        <v>45653</v>
      </c>
      <c r="F561" s="18" t="s">
        <v>611</v>
      </c>
      <c r="G561" t="s">
        <v>101</v>
      </c>
      <c r="H561">
        <v>2</v>
      </c>
      <c r="I561">
        <v>2</v>
      </c>
      <c r="J561" s="27">
        <v>15386.09</v>
      </c>
      <c r="K561" s="27">
        <v>1000000</v>
      </c>
    </row>
    <row r="562" spans="1:11" ht="12.75" customHeight="1" x14ac:dyDescent="0.2">
      <c r="A562" t="s">
        <v>7516</v>
      </c>
      <c r="B562" t="s">
        <v>7517</v>
      </c>
      <c r="C562">
        <v>2023</v>
      </c>
      <c r="D562" s="18">
        <v>45288</v>
      </c>
      <c r="E562" s="18">
        <v>45653</v>
      </c>
      <c r="F562" s="18" t="s">
        <v>611</v>
      </c>
      <c r="G562" t="s">
        <v>100</v>
      </c>
      <c r="H562">
        <v>1</v>
      </c>
      <c r="I562">
        <v>1</v>
      </c>
      <c r="J562" s="27">
        <v>11191.71</v>
      </c>
      <c r="K562" s="27">
        <v>1000000</v>
      </c>
    </row>
    <row r="563" spans="1:11" ht="12.75" customHeight="1" x14ac:dyDescent="0.2">
      <c r="A563" t="s">
        <v>7518</v>
      </c>
      <c r="B563" t="s">
        <v>7519</v>
      </c>
      <c r="C563">
        <v>2023</v>
      </c>
      <c r="D563" s="18">
        <v>45288</v>
      </c>
      <c r="E563" s="18">
        <v>45653</v>
      </c>
      <c r="F563" s="18" t="s">
        <v>611</v>
      </c>
      <c r="G563" t="s">
        <v>102</v>
      </c>
      <c r="H563">
        <v>1</v>
      </c>
      <c r="I563">
        <v>2</v>
      </c>
      <c r="J563" s="27">
        <v>30017.040000000001</v>
      </c>
      <c r="K563" s="27">
        <v>4000000</v>
      </c>
    </row>
    <row r="564" spans="1:11" ht="12.75" customHeight="1" x14ac:dyDescent="0.2">
      <c r="A564" t="s">
        <v>7520</v>
      </c>
      <c r="B564" t="s">
        <v>7521</v>
      </c>
      <c r="C564">
        <v>2023</v>
      </c>
      <c r="D564" s="18">
        <v>45288</v>
      </c>
      <c r="E564" s="18">
        <v>45653</v>
      </c>
      <c r="F564" s="18" t="s">
        <v>611</v>
      </c>
      <c r="G564" t="s">
        <v>100</v>
      </c>
      <c r="H564">
        <v>3</v>
      </c>
      <c r="I564">
        <v>6</v>
      </c>
      <c r="J564" s="27">
        <v>33230.370000000003</v>
      </c>
      <c r="K564" s="27">
        <v>3000000</v>
      </c>
    </row>
    <row r="565" spans="1:11" ht="12.75" customHeight="1" x14ac:dyDescent="0.2">
      <c r="A565" t="s">
        <v>7522</v>
      </c>
      <c r="B565" t="s">
        <v>7523</v>
      </c>
      <c r="C565">
        <v>2023</v>
      </c>
      <c r="D565" s="18">
        <v>45288</v>
      </c>
      <c r="E565" s="18">
        <v>45653</v>
      </c>
      <c r="F565" s="18" t="s">
        <v>611</v>
      </c>
      <c r="G565" t="s">
        <v>99</v>
      </c>
      <c r="H565">
        <v>1</v>
      </c>
      <c r="I565">
        <v>1</v>
      </c>
      <c r="J565" s="27">
        <v>67933.67</v>
      </c>
      <c r="K565" s="27">
        <v>10000000</v>
      </c>
    </row>
    <row r="566" spans="1:11" ht="12.75" customHeight="1" x14ac:dyDescent="0.2">
      <c r="A566" t="s">
        <v>7524</v>
      </c>
      <c r="B566" t="s">
        <v>7525</v>
      </c>
      <c r="C566">
        <v>2023</v>
      </c>
      <c r="D566" s="18">
        <v>45288</v>
      </c>
      <c r="E566" s="18">
        <v>45653</v>
      </c>
      <c r="F566" s="18" t="s">
        <v>611</v>
      </c>
      <c r="G566" t="s">
        <v>100</v>
      </c>
      <c r="H566">
        <v>1</v>
      </c>
      <c r="I566">
        <v>2</v>
      </c>
      <c r="J566" s="27">
        <v>60369.3</v>
      </c>
      <c r="K566" s="27">
        <v>5000000</v>
      </c>
    </row>
    <row r="567" spans="1:11" ht="12.75" customHeight="1" x14ac:dyDescent="0.2">
      <c r="A567" t="s">
        <v>7526</v>
      </c>
      <c r="B567" t="s">
        <v>7527</v>
      </c>
      <c r="C567">
        <v>2023</v>
      </c>
      <c r="D567" s="18">
        <v>45288</v>
      </c>
      <c r="E567" s="18">
        <v>45653</v>
      </c>
      <c r="F567" s="18" t="s">
        <v>611</v>
      </c>
      <c r="G567" t="s">
        <v>100</v>
      </c>
      <c r="H567">
        <v>2</v>
      </c>
      <c r="I567">
        <v>4</v>
      </c>
      <c r="J567" s="27">
        <v>24719.68</v>
      </c>
      <c r="K567" s="27">
        <v>2000000</v>
      </c>
    </row>
    <row r="568" spans="1:11" ht="12.75" customHeight="1" x14ac:dyDescent="0.2">
      <c r="A568" t="s">
        <v>7528</v>
      </c>
      <c r="B568" t="s">
        <v>7529</v>
      </c>
      <c r="C568">
        <v>2023</v>
      </c>
      <c r="D568" s="18">
        <v>45289</v>
      </c>
      <c r="E568" s="18">
        <v>45654</v>
      </c>
      <c r="F568" s="18" t="s">
        <v>608</v>
      </c>
      <c r="G568" t="s">
        <v>101</v>
      </c>
      <c r="H568">
        <v>1</v>
      </c>
      <c r="I568">
        <v>1</v>
      </c>
      <c r="J568" s="27">
        <v>78359.539999999994</v>
      </c>
      <c r="K568" s="27">
        <v>5000000</v>
      </c>
    </row>
    <row r="569" spans="1:11" ht="12.75" customHeight="1" x14ac:dyDescent="0.2">
      <c r="A569" t="s">
        <v>7530</v>
      </c>
      <c r="B569" t="s">
        <v>7531</v>
      </c>
      <c r="C569">
        <v>2023</v>
      </c>
      <c r="D569" s="18">
        <v>45289</v>
      </c>
      <c r="E569" s="18">
        <v>45654</v>
      </c>
      <c r="F569" s="18" t="s">
        <v>611</v>
      </c>
      <c r="G569" t="s">
        <v>100</v>
      </c>
      <c r="H569">
        <v>2</v>
      </c>
      <c r="I569">
        <v>4</v>
      </c>
      <c r="J569" s="27">
        <v>55282.6</v>
      </c>
      <c r="K569" s="27">
        <v>5000000</v>
      </c>
    </row>
    <row r="570" spans="1:11" ht="12.75" customHeight="1" x14ac:dyDescent="0.2">
      <c r="A570" t="s">
        <v>7532</v>
      </c>
      <c r="B570" t="s">
        <v>7533</v>
      </c>
      <c r="C570">
        <v>2023</v>
      </c>
      <c r="D570" s="18">
        <v>45289</v>
      </c>
      <c r="E570" s="18">
        <v>45654</v>
      </c>
      <c r="F570" s="18" t="s">
        <v>611</v>
      </c>
      <c r="G570" t="s">
        <v>99</v>
      </c>
      <c r="H570">
        <v>1</v>
      </c>
      <c r="I570">
        <v>1</v>
      </c>
      <c r="J570" s="27">
        <v>22253.87</v>
      </c>
      <c r="K570" s="27">
        <v>3000000</v>
      </c>
    </row>
    <row r="571" spans="1:11" ht="12.75" customHeight="1" x14ac:dyDescent="0.2">
      <c r="A571" t="s">
        <v>7534</v>
      </c>
      <c r="B571" t="s">
        <v>7535</v>
      </c>
      <c r="C571">
        <v>2023</v>
      </c>
      <c r="D571" s="18">
        <v>45289</v>
      </c>
      <c r="E571" s="18">
        <v>45654</v>
      </c>
      <c r="F571" s="18" t="s">
        <v>611</v>
      </c>
      <c r="G571" t="s">
        <v>101</v>
      </c>
      <c r="H571">
        <v>1</v>
      </c>
      <c r="I571">
        <v>2</v>
      </c>
      <c r="J571" s="27">
        <v>166909.53</v>
      </c>
      <c r="K571" s="27">
        <v>10000000</v>
      </c>
    </row>
    <row r="572" spans="1:11" ht="12.75" customHeight="1" x14ac:dyDescent="0.2">
      <c r="A572" t="s">
        <v>7536</v>
      </c>
      <c r="B572" t="s">
        <v>7537</v>
      </c>
      <c r="C572">
        <v>2023</v>
      </c>
      <c r="D572" s="18">
        <v>45289</v>
      </c>
      <c r="E572" s="18">
        <v>45654</v>
      </c>
      <c r="F572" s="18" t="s">
        <v>611</v>
      </c>
      <c r="G572" t="s">
        <v>101</v>
      </c>
      <c r="H572">
        <v>1</v>
      </c>
      <c r="I572">
        <v>1</v>
      </c>
      <c r="J572" s="27">
        <v>52942.29</v>
      </c>
      <c r="K572" s="27">
        <v>3500000</v>
      </c>
    </row>
    <row r="573" spans="1:11" ht="12.75" customHeight="1" x14ac:dyDescent="0.2">
      <c r="A573" t="s">
        <v>7538</v>
      </c>
      <c r="B573" t="s">
        <v>7539</v>
      </c>
      <c r="C573">
        <v>2023</v>
      </c>
      <c r="D573" s="18">
        <v>45289</v>
      </c>
      <c r="E573" s="18">
        <v>45654</v>
      </c>
      <c r="F573" s="18" t="s">
        <v>611</v>
      </c>
      <c r="G573" t="s">
        <v>100</v>
      </c>
      <c r="H573">
        <v>2</v>
      </c>
      <c r="I573">
        <v>2</v>
      </c>
      <c r="J573" s="27">
        <v>25081.91</v>
      </c>
      <c r="K573" s="27">
        <v>2000000</v>
      </c>
    </row>
    <row r="574" spans="1:11" ht="12.75" customHeight="1" x14ac:dyDescent="0.2">
      <c r="A574" t="s">
        <v>7540</v>
      </c>
      <c r="B574" t="s">
        <v>7541</v>
      </c>
      <c r="C574">
        <v>2023</v>
      </c>
      <c r="D574" s="18">
        <v>45289</v>
      </c>
      <c r="E574" s="18">
        <v>45654</v>
      </c>
      <c r="F574" s="18" t="s">
        <v>611</v>
      </c>
      <c r="G574" t="s">
        <v>102</v>
      </c>
      <c r="H574">
        <v>3</v>
      </c>
      <c r="I574">
        <v>6</v>
      </c>
      <c r="J574" s="27">
        <v>72825.37</v>
      </c>
      <c r="K574" s="27">
        <v>10000000</v>
      </c>
    </row>
    <row r="575" spans="1:11" ht="12.75" customHeight="1" x14ac:dyDescent="0.2">
      <c r="A575" t="s">
        <v>7542</v>
      </c>
      <c r="B575" t="s">
        <v>7543</v>
      </c>
      <c r="C575">
        <v>2023</v>
      </c>
      <c r="D575" s="18">
        <v>45289</v>
      </c>
      <c r="E575" s="18">
        <v>45654</v>
      </c>
      <c r="F575" s="18" t="s">
        <v>611</v>
      </c>
      <c r="G575" t="s">
        <v>100</v>
      </c>
      <c r="H575">
        <v>1</v>
      </c>
      <c r="I575">
        <v>1</v>
      </c>
      <c r="J575" s="27">
        <v>12396.55</v>
      </c>
      <c r="K575" s="27">
        <v>1000000</v>
      </c>
    </row>
    <row r="576" spans="1:11" ht="12.75" customHeight="1" x14ac:dyDescent="0.2">
      <c r="A576" t="s">
        <v>7544</v>
      </c>
      <c r="B576" t="s">
        <v>7545</v>
      </c>
      <c r="C576">
        <v>2023</v>
      </c>
      <c r="D576" s="18">
        <v>45289</v>
      </c>
      <c r="E576" s="18">
        <v>45654</v>
      </c>
      <c r="F576" s="18" t="s">
        <v>611</v>
      </c>
      <c r="G576" t="s">
        <v>99</v>
      </c>
      <c r="H576">
        <v>2</v>
      </c>
      <c r="I576">
        <v>4</v>
      </c>
      <c r="J576" s="27">
        <v>9879.02</v>
      </c>
      <c r="K576" s="27">
        <v>1500000</v>
      </c>
    </row>
    <row r="577" spans="1:11" ht="12.75" customHeight="1" x14ac:dyDescent="0.2">
      <c r="A577" t="s">
        <v>7546</v>
      </c>
      <c r="B577" t="s">
        <v>7547</v>
      </c>
      <c r="C577">
        <v>2023</v>
      </c>
      <c r="D577" s="18">
        <v>45290</v>
      </c>
      <c r="E577" s="18">
        <v>45655</v>
      </c>
      <c r="F577" s="18" t="s">
        <v>608</v>
      </c>
      <c r="G577" t="s">
        <v>99</v>
      </c>
      <c r="H577">
        <v>1</v>
      </c>
      <c r="I577">
        <v>2</v>
      </c>
      <c r="J577" s="27">
        <v>10258.049999999999</v>
      </c>
      <c r="K577" s="27">
        <v>1500000</v>
      </c>
    </row>
    <row r="578" spans="1:11" ht="12.75" customHeight="1" x14ac:dyDescent="0.2">
      <c r="A578" t="s">
        <v>7548</v>
      </c>
      <c r="B578" t="s">
        <v>7549</v>
      </c>
      <c r="C578">
        <v>2023</v>
      </c>
      <c r="D578" s="18">
        <v>45290</v>
      </c>
      <c r="E578" s="18">
        <v>45655</v>
      </c>
      <c r="F578" s="18" t="s">
        <v>608</v>
      </c>
      <c r="G578" t="s">
        <v>100</v>
      </c>
      <c r="H578">
        <v>2</v>
      </c>
      <c r="I578">
        <v>2</v>
      </c>
      <c r="J578" s="27">
        <v>24581.3</v>
      </c>
      <c r="K578" s="27">
        <v>2000000</v>
      </c>
    </row>
    <row r="579" spans="1:11" ht="12.75" customHeight="1" x14ac:dyDescent="0.2">
      <c r="A579" t="s">
        <v>7550</v>
      </c>
      <c r="B579" t="s">
        <v>7551</v>
      </c>
      <c r="C579">
        <v>2023</v>
      </c>
      <c r="D579" s="18">
        <v>45290</v>
      </c>
      <c r="E579" s="18">
        <v>45655</v>
      </c>
      <c r="F579" s="18" t="s">
        <v>611</v>
      </c>
      <c r="G579" t="s">
        <v>99</v>
      </c>
      <c r="H579">
        <v>2</v>
      </c>
      <c r="I579">
        <v>4</v>
      </c>
      <c r="J579" s="27">
        <v>13696.04</v>
      </c>
      <c r="K579" s="27">
        <v>2000000</v>
      </c>
    </row>
    <row r="580" spans="1:11" ht="12.75" customHeight="1" x14ac:dyDescent="0.2">
      <c r="A580" t="s">
        <v>7552</v>
      </c>
      <c r="B580" t="s">
        <v>7553</v>
      </c>
      <c r="C580">
        <v>2023</v>
      </c>
      <c r="D580" s="18">
        <v>45290</v>
      </c>
      <c r="E580" s="18">
        <v>45655</v>
      </c>
      <c r="F580" s="18" t="s">
        <v>611</v>
      </c>
      <c r="G580" t="s">
        <v>101</v>
      </c>
      <c r="H580">
        <v>2</v>
      </c>
      <c r="I580">
        <v>4</v>
      </c>
      <c r="J580" s="27">
        <v>74007.259999999995</v>
      </c>
      <c r="K580" s="27">
        <v>5000000</v>
      </c>
    </row>
    <row r="581" spans="1:11" ht="12.75" customHeight="1" x14ac:dyDescent="0.2">
      <c r="A581" t="s">
        <v>7554</v>
      </c>
      <c r="B581" t="s">
        <v>7555</v>
      </c>
      <c r="C581">
        <v>2023</v>
      </c>
      <c r="D581" s="18">
        <v>45290</v>
      </c>
      <c r="E581" s="18">
        <v>45655</v>
      </c>
      <c r="F581" s="18" t="s">
        <v>611</v>
      </c>
      <c r="G581" t="s">
        <v>99</v>
      </c>
      <c r="H581">
        <v>1</v>
      </c>
      <c r="I581">
        <v>1</v>
      </c>
      <c r="J581" s="27">
        <v>3631.78</v>
      </c>
      <c r="K581" s="27">
        <v>500000</v>
      </c>
    </row>
    <row r="582" spans="1:11" ht="12.75" customHeight="1" x14ac:dyDescent="0.2">
      <c r="A582" t="s">
        <v>7556</v>
      </c>
      <c r="B582" t="s">
        <v>7557</v>
      </c>
      <c r="C582">
        <v>2023</v>
      </c>
      <c r="D582" s="18">
        <v>45290</v>
      </c>
      <c r="E582" s="18">
        <v>45655</v>
      </c>
      <c r="F582" s="18" t="s">
        <v>611</v>
      </c>
      <c r="G582" t="s">
        <v>99</v>
      </c>
      <c r="H582">
        <v>1</v>
      </c>
      <c r="I582">
        <v>2</v>
      </c>
      <c r="J582" s="27">
        <v>31993.29</v>
      </c>
      <c r="K582" s="27">
        <v>4500000</v>
      </c>
    </row>
    <row r="583" spans="1:11" ht="12.75" customHeight="1" x14ac:dyDescent="0.2">
      <c r="A583" t="s">
        <v>7558</v>
      </c>
      <c r="B583" t="s">
        <v>7559</v>
      </c>
      <c r="C583">
        <v>2023</v>
      </c>
      <c r="D583" s="18">
        <v>45290</v>
      </c>
      <c r="E583" s="18">
        <v>45655</v>
      </c>
      <c r="F583" s="18" t="s">
        <v>611</v>
      </c>
      <c r="G583" t="s">
        <v>101</v>
      </c>
      <c r="H583">
        <v>1</v>
      </c>
      <c r="I583">
        <v>1</v>
      </c>
      <c r="J583" s="27">
        <v>14892.44</v>
      </c>
      <c r="K583" s="27">
        <v>1000000</v>
      </c>
    </row>
    <row r="584" spans="1:11" ht="12.75" customHeight="1" x14ac:dyDescent="0.2">
      <c r="A584" t="s">
        <v>7560</v>
      </c>
      <c r="B584" t="s">
        <v>7561</v>
      </c>
      <c r="C584">
        <v>2023</v>
      </c>
      <c r="D584" s="18">
        <v>45290</v>
      </c>
      <c r="E584" s="18">
        <v>45655</v>
      </c>
      <c r="F584" s="18" t="s">
        <v>611</v>
      </c>
      <c r="G584" t="s">
        <v>101</v>
      </c>
      <c r="H584">
        <v>2</v>
      </c>
      <c r="I584">
        <v>2</v>
      </c>
      <c r="J584" s="27">
        <v>37386.03</v>
      </c>
      <c r="K584" s="27">
        <v>2500000</v>
      </c>
    </row>
    <row r="585" spans="1:11" ht="12.75" customHeight="1" x14ac:dyDescent="0.2">
      <c r="A585" t="s">
        <v>7562</v>
      </c>
      <c r="B585" t="s">
        <v>7563</v>
      </c>
      <c r="C585">
        <v>2023</v>
      </c>
      <c r="D585" s="18">
        <v>45290</v>
      </c>
      <c r="E585" s="18">
        <v>45655</v>
      </c>
      <c r="F585" s="18" t="s">
        <v>611</v>
      </c>
      <c r="G585" t="s">
        <v>99</v>
      </c>
      <c r="H585">
        <v>1</v>
      </c>
      <c r="I585">
        <v>1</v>
      </c>
      <c r="J585" s="27">
        <v>6429.66</v>
      </c>
      <c r="K585" s="27">
        <v>1000000</v>
      </c>
    </row>
    <row r="586" spans="1:11" ht="12.75" customHeight="1" x14ac:dyDescent="0.2">
      <c r="A586" t="s">
        <v>7564</v>
      </c>
      <c r="B586" t="s">
        <v>7565</v>
      </c>
      <c r="C586">
        <v>2023</v>
      </c>
      <c r="D586" s="18">
        <v>45290</v>
      </c>
      <c r="E586" s="18">
        <v>45655</v>
      </c>
      <c r="F586" s="18" t="s">
        <v>611</v>
      </c>
      <c r="G586" t="s">
        <v>99</v>
      </c>
      <c r="H586">
        <v>1</v>
      </c>
      <c r="I586">
        <v>1</v>
      </c>
      <c r="J586" s="27">
        <v>13711.25</v>
      </c>
      <c r="K586" s="27">
        <v>2000000</v>
      </c>
    </row>
    <row r="587" spans="1:11" ht="12.75" customHeight="1" x14ac:dyDescent="0.2">
      <c r="A587" t="s">
        <v>7566</v>
      </c>
      <c r="B587" t="s">
        <v>7567</v>
      </c>
      <c r="C587">
        <v>2023</v>
      </c>
      <c r="D587" s="18">
        <v>45290</v>
      </c>
      <c r="E587" s="18">
        <v>45655</v>
      </c>
      <c r="F587" s="18" t="s">
        <v>611</v>
      </c>
      <c r="G587" t="s">
        <v>101</v>
      </c>
      <c r="H587">
        <v>2</v>
      </c>
      <c r="I587">
        <v>2</v>
      </c>
      <c r="J587" s="27">
        <v>16826.59</v>
      </c>
      <c r="K587" s="27">
        <v>1000000</v>
      </c>
    </row>
    <row r="588" spans="1:11" ht="12.75" customHeight="1" x14ac:dyDescent="0.2">
      <c r="A588" t="s">
        <v>7568</v>
      </c>
      <c r="B588" t="s">
        <v>7569</v>
      </c>
      <c r="C588">
        <v>2023</v>
      </c>
      <c r="D588" s="18">
        <v>45291</v>
      </c>
      <c r="E588" s="18">
        <v>45656</v>
      </c>
      <c r="F588" s="18" t="s">
        <v>608</v>
      </c>
      <c r="G588" t="s">
        <v>100</v>
      </c>
      <c r="H588">
        <v>1</v>
      </c>
      <c r="I588">
        <v>2</v>
      </c>
      <c r="J588" s="27">
        <v>6282.24</v>
      </c>
      <c r="K588" s="27">
        <v>500000</v>
      </c>
    </row>
    <row r="589" spans="1:11" ht="12.75" customHeight="1" x14ac:dyDescent="0.2">
      <c r="A589" t="s">
        <v>7570</v>
      </c>
      <c r="B589" t="s">
        <v>7571</v>
      </c>
      <c r="C589">
        <v>2023</v>
      </c>
      <c r="D589" s="18">
        <v>45291</v>
      </c>
      <c r="E589" s="18">
        <v>45656</v>
      </c>
      <c r="F589" s="18" t="s">
        <v>608</v>
      </c>
      <c r="G589" t="s">
        <v>100</v>
      </c>
      <c r="H589">
        <v>2</v>
      </c>
      <c r="I589">
        <v>4</v>
      </c>
      <c r="J589" s="27">
        <v>10650.3</v>
      </c>
      <c r="K589" s="27">
        <v>1000000</v>
      </c>
    </row>
    <row r="590" spans="1:11" ht="12.75" customHeight="1" x14ac:dyDescent="0.2">
      <c r="A590" t="s">
        <v>7572</v>
      </c>
      <c r="B590" t="s">
        <v>7573</v>
      </c>
      <c r="C590">
        <v>2023</v>
      </c>
      <c r="D590" s="18">
        <v>45291</v>
      </c>
      <c r="E590" s="18">
        <v>45656</v>
      </c>
      <c r="F590" s="18" t="s">
        <v>611</v>
      </c>
      <c r="G590" t="s">
        <v>101</v>
      </c>
      <c r="H590">
        <v>1</v>
      </c>
      <c r="I590">
        <v>1</v>
      </c>
      <c r="J590" s="27">
        <v>34222.199999999997</v>
      </c>
      <c r="K590" s="27">
        <v>2000000</v>
      </c>
    </row>
    <row r="591" spans="1:11" ht="12.75" customHeight="1" x14ac:dyDescent="0.2">
      <c r="A591" t="s">
        <v>7574</v>
      </c>
      <c r="B591" t="s">
        <v>7575</v>
      </c>
      <c r="C591">
        <v>2023</v>
      </c>
      <c r="D591" s="18">
        <v>45291</v>
      </c>
      <c r="E591" s="18">
        <v>45656</v>
      </c>
      <c r="F591" s="18" t="s">
        <v>611</v>
      </c>
      <c r="G591" t="s">
        <v>99</v>
      </c>
      <c r="H591">
        <v>1</v>
      </c>
      <c r="I591">
        <v>1</v>
      </c>
      <c r="J591" s="27">
        <v>6621.76</v>
      </c>
      <c r="K591" s="27">
        <v>1000000</v>
      </c>
    </row>
    <row r="592" spans="1:11" ht="12.75" customHeight="1" x14ac:dyDescent="0.2">
      <c r="A592" t="s">
        <v>7576</v>
      </c>
      <c r="B592" t="s">
        <v>7577</v>
      </c>
      <c r="C592">
        <v>2023</v>
      </c>
      <c r="D592" s="18">
        <v>45291</v>
      </c>
      <c r="E592" s="18">
        <v>45656</v>
      </c>
      <c r="F592" s="18" t="s">
        <v>611</v>
      </c>
      <c r="G592" t="s">
        <v>101</v>
      </c>
      <c r="H592">
        <v>1</v>
      </c>
      <c r="I592">
        <v>1</v>
      </c>
      <c r="J592" s="27">
        <v>60622.43</v>
      </c>
      <c r="K592" s="27">
        <v>4000000</v>
      </c>
    </row>
    <row r="593" spans="1:11" ht="12.75" customHeight="1" x14ac:dyDescent="0.2">
      <c r="A593" t="s">
        <v>7578</v>
      </c>
      <c r="B593" t="s">
        <v>7579</v>
      </c>
      <c r="C593">
        <v>2024</v>
      </c>
      <c r="D593" s="18">
        <v>45292</v>
      </c>
      <c r="E593" s="18">
        <v>45657</v>
      </c>
      <c r="F593" s="18" t="s">
        <v>608</v>
      </c>
      <c r="G593" t="s">
        <v>99</v>
      </c>
      <c r="H593">
        <v>1</v>
      </c>
      <c r="I593">
        <v>1</v>
      </c>
      <c r="J593" s="27">
        <v>7891.56</v>
      </c>
      <c r="K593" s="27">
        <v>1000000</v>
      </c>
    </row>
    <row r="594" spans="1:11" ht="12.75" customHeight="1" x14ac:dyDescent="0.2">
      <c r="A594" t="s">
        <v>7580</v>
      </c>
      <c r="B594" t="s">
        <v>7581</v>
      </c>
      <c r="C594">
        <v>2024</v>
      </c>
      <c r="D594" s="18">
        <v>45292</v>
      </c>
      <c r="E594" s="18">
        <v>45657</v>
      </c>
      <c r="F594" s="18" t="s">
        <v>611</v>
      </c>
      <c r="G594" t="s">
        <v>101</v>
      </c>
      <c r="H594">
        <v>1</v>
      </c>
      <c r="I594">
        <v>1</v>
      </c>
      <c r="J594" s="27">
        <v>50525.94</v>
      </c>
      <c r="K594" s="27">
        <v>3000000</v>
      </c>
    </row>
    <row r="595" spans="1:11" ht="12.75" customHeight="1" x14ac:dyDescent="0.2">
      <c r="A595" t="s">
        <v>7582</v>
      </c>
      <c r="B595" t="s">
        <v>7583</v>
      </c>
      <c r="C595">
        <v>2024</v>
      </c>
      <c r="D595" s="18">
        <v>45292</v>
      </c>
      <c r="E595" s="18">
        <v>45657</v>
      </c>
      <c r="F595" s="18" t="s">
        <v>611</v>
      </c>
      <c r="G595" t="s">
        <v>101</v>
      </c>
      <c r="H595">
        <v>3</v>
      </c>
      <c r="I595">
        <v>6</v>
      </c>
      <c r="J595" s="27">
        <v>47304.480000000003</v>
      </c>
      <c r="K595" s="27">
        <v>3000000</v>
      </c>
    </row>
    <row r="596" spans="1:11" ht="12.75" customHeight="1" x14ac:dyDescent="0.2">
      <c r="A596" t="s">
        <v>7584</v>
      </c>
      <c r="B596" t="s">
        <v>7585</v>
      </c>
      <c r="C596">
        <v>2024</v>
      </c>
      <c r="D596" s="18">
        <v>45292</v>
      </c>
      <c r="E596" s="18">
        <v>45657</v>
      </c>
      <c r="F596" s="18" t="s">
        <v>611</v>
      </c>
      <c r="G596" t="s">
        <v>99</v>
      </c>
      <c r="H596">
        <v>1</v>
      </c>
      <c r="I596">
        <v>2</v>
      </c>
      <c r="J596" s="27">
        <v>33168.14</v>
      </c>
      <c r="K596" s="27">
        <v>4000000</v>
      </c>
    </row>
    <row r="597" spans="1:11" ht="12.75" customHeight="1" x14ac:dyDescent="0.2">
      <c r="A597" t="s">
        <v>7586</v>
      </c>
      <c r="B597" t="s">
        <v>7587</v>
      </c>
      <c r="C597">
        <v>2024</v>
      </c>
      <c r="D597" s="18">
        <v>45292</v>
      </c>
      <c r="E597" s="18">
        <v>45657</v>
      </c>
      <c r="F597" s="18" t="s">
        <v>611</v>
      </c>
      <c r="G597" t="s">
        <v>99</v>
      </c>
      <c r="H597">
        <v>1</v>
      </c>
      <c r="I597">
        <v>1</v>
      </c>
      <c r="J597" s="27">
        <v>31769.33</v>
      </c>
      <c r="K597" s="27">
        <v>4000000</v>
      </c>
    </row>
    <row r="598" spans="1:11" ht="12.75" customHeight="1" x14ac:dyDescent="0.2">
      <c r="A598" t="s">
        <v>7588</v>
      </c>
      <c r="B598" t="s">
        <v>7589</v>
      </c>
      <c r="C598">
        <v>2024</v>
      </c>
      <c r="D598" s="18">
        <v>45293</v>
      </c>
      <c r="E598" s="18">
        <v>45658</v>
      </c>
      <c r="F598" s="18" t="s">
        <v>608</v>
      </c>
      <c r="G598" t="s">
        <v>101</v>
      </c>
      <c r="H598">
        <v>2</v>
      </c>
      <c r="I598">
        <v>2</v>
      </c>
      <c r="J598" s="27">
        <v>49102.62</v>
      </c>
      <c r="K598" s="27">
        <v>3000000</v>
      </c>
    </row>
    <row r="599" spans="1:11" ht="12.75" customHeight="1" x14ac:dyDescent="0.2">
      <c r="A599" t="s">
        <v>7590</v>
      </c>
      <c r="B599" t="s">
        <v>7591</v>
      </c>
      <c r="C599">
        <v>2024</v>
      </c>
      <c r="D599" s="18">
        <v>45293</v>
      </c>
      <c r="E599" s="18">
        <v>45658</v>
      </c>
      <c r="F599" s="18" t="s">
        <v>608</v>
      </c>
      <c r="G599" t="s">
        <v>102</v>
      </c>
      <c r="H599">
        <v>2</v>
      </c>
      <c r="I599">
        <v>4</v>
      </c>
      <c r="J599" s="27">
        <v>91724.41</v>
      </c>
      <c r="K599" s="27">
        <v>10000000</v>
      </c>
    </row>
    <row r="600" spans="1:11" ht="12.75" customHeight="1" x14ac:dyDescent="0.2">
      <c r="A600" t="s">
        <v>7592</v>
      </c>
      <c r="B600" t="s">
        <v>7593</v>
      </c>
      <c r="C600">
        <v>2024</v>
      </c>
      <c r="D600" s="18">
        <v>45293</v>
      </c>
      <c r="E600" s="18">
        <v>45658</v>
      </c>
      <c r="F600" s="18" t="s">
        <v>611</v>
      </c>
      <c r="G600" t="s">
        <v>99</v>
      </c>
      <c r="H600">
        <v>2</v>
      </c>
      <c r="I600">
        <v>4</v>
      </c>
      <c r="J600" s="27">
        <v>81013.73</v>
      </c>
      <c r="K600" s="27">
        <v>10000000</v>
      </c>
    </row>
    <row r="601" spans="1:11" ht="12.75" customHeight="1" x14ac:dyDescent="0.2">
      <c r="A601" t="s">
        <v>7594</v>
      </c>
      <c r="B601" t="s">
        <v>7595</v>
      </c>
      <c r="C601">
        <v>2024</v>
      </c>
      <c r="D601" s="18">
        <v>45293</v>
      </c>
      <c r="E601" s="18">
        <v>45658</v>
      </c>
      <c r="F601" s="18" t="s">
        <v>611</v>
      </c>
      <c r="G601" t="s">
        <v>99</v>
      </c>
      <c r="H601">
        <v>3</v>
      </c>
      <c r="I601">
        <v>6</v>
      </c>
      <c r="J601" s="27">
        <v>37534.17</v>
      </c>
      <c r="K601" s="27">
        <v>5000000</v>
      </c>
    </row>
    <row r="602" spans="1:11" ht="12.75" customHeight="1" x14ac:dyDescent="0.2">
      <c r="A602" t="s">
        <v>7596</v>
      </c>
      <c r="B602" t="s">
        <v>7597</v>
      </c>
      <c r="C602">
        <v>2024</v>
      </c>
      <c r="D602" s="18">
        <v>45293</v>
      </c>
      <c r="E602" s="18">
        <v>45658</v>
      </c>
      <c r="F602" s="18" t="s">
        <v>611</v>
      </c>
      <c r="G602" t="s">
        <v>101</v>
      </c>
      <c r="H602">
        <v>3</v>
      </c>
      <c r="I602">
        <v>3</v>
      </c>
      <c r="J602" s="27">
        <v>35832.36</v>
      </c>
      <c r="K602" s="27">
        <v>2000000</v>
      </c>
    </row>
    <row r="603" spans="1:11" ht="12.75" customHeight="1" x14ac:dyDescent="0.2">
      <c r="A603" t="s">
        <v>7598</v>
      </c>
      <c r="B603" t="s">
        <v>7599</v>
      </c>
      <c r="C603">
        <v>2024</v>
      </c>
      <c r="D603" s="18">
        <v>45293</v>
      </c>
      <c r="E603" s="18">
        <v>45658</v>
      </c>
      <c r="F603" s="18" t="s">
        <v>611</v>
      </c>
      <c r="G603" t="s">
        <v>99</v>
      </c>
      <c r="H603">
        <v>3</v>
      </c>
      <c r="I603">
        <v>6</v>
      </c>
      <c r="J603" s="27">
        <v>38204.050000000003</v>
      </c>
      <c r="K603" s="27">
        <v>5000000</v>
      </c>
    </row>
    <row r="604" spans="1:11" ht="12.75" customHeight="1" x14ac:dyDescent="0.2">
      <c r="A604" t="s">
        <v>7600</v>
      </c>
      <c r="B604" t="s">
        <v>7601</v>
      </c>
      <c r="C604">
        <v>2024</v>
      </c>
      <c r="D604" s="18">
        <v>45293</v>
      </c>
      <c r="E604" s="18">
        <v>45658</v>
      </c>
      <c r="F604" s="18" t="s">
        <v>611</v>
      </c>
      <c r="G604" t="s">
        <v>100</v>
      </c>
      <c r="H604">
        <v>1</v>
      </c>
      <c r="I604">
        <v>1</v>
      </c>
      <c r="J604" s="27">
        <v>12415.02</v>
      </c>
      <c r="K604" s="27">
        <v>1000000</v>
      </c>
    </row>
    <row r="605" spans="1:11" ht="12.75" customHeight="1" x14ac:dyDescent="0.2">
      <c r="A605" t="s">
        <v>7602</v>
      </c>
      <c r="B605" t="s">
        <v>7603</v>
      </c>
      <c r="C605">
        <v>2024</v>
      </c>
      <c r="D605" s="18">
        <v>45293</v>
      </c>
      <c r="E605" s="18">
        <v>45658</v>
      </c>
      <c r="F605" s="18" t="s">
        <v>611</v>
      </c>
      <c r="G605" t="s">
        <v>99</v>
      </c>
      <c r="H605">
        <v>1</v>
      </c>
      <c r="I605">
        <v>1</v>
      </c>
      <c r="J605" s="27">
        <v>37369.370000000003</v>
      </c>
      <c r="K605" s="27">
        <v>5000000</v>
      </c>
    </row>
    <row r="606" spans="1:11" ht="12.75" customHeight="1" x14ac:dyDescent="0.2">
      <c r="A606" t="s">
        <v>7604</v>
      </c>
      <c r="B606" t="s">
        <v>7605</v>
      </c>
      <c r="C606">
        <v>2024</v>
      </c>
      <c r="D606" s="18">
        <v>45294</v>
      </c>
      <c r="E606" s="18">
        <v>45659</v>
      </c>
      <c r="F606" s="18" t="s">
        <v>608</v>
      </c>
      <c r="G606" t="s">
        <v>99</v>
      </c>
      <c r="H606">
        <v>2</v>
      </c>
      <c r="I606">
        <v>4</v>
      </c>
      <c r="J606" s="27">
        <v>24116.58</v>
      </c>
      <c r="K606" s="27">
        <v>3000000</v>
      </c>
    </row>
    <row r="607" spans="1:11" ht="12.75" customHeight="1" x14ac:dyDescent="0.2">
      <c r="A607" t="s">
        <v>7606</v>
      </c>
      <c r="B607" t="s">
        <v>7607</v>
      </c>
      <c r="C607">
        <v>2024</v>
      </c>
      <c r="D607" s="18">
        <v>45294</v>
      </c>
      <c r="E607" s="18">
        <v>45659</v>
      </c>
      <c r="F607" s="18" t="s">
        <v>611</v>
      </c>
      <c r="G607" t="s">
        <v>100</v>
      </c>
      <c r="H607">
        <v>2</v>
      </c>
      <c r="I607">
        <v>4</v>
      </c>
      <c r="J607" s="27">
        <v>12878.45</v>
      </c>
      <c r="K607" s="27">
        <v>1000000</v>
      </c>
    </row>
    <row r="608" spans="1:11" ht="12.75" customHeight="1" x14ac:dyDescent="0.2">
      <c r="A608" t="s">
        <v>7608</v>
      </c>
      <c r="B608" t="s">
        <v>7609</v>
      </c>
      <c r="C608">
        <v>2024</v>
      </c>
      <c r="D608" s="18">
        <v>45294</v>
      </c>
      <c r="E608" s="18">
        <v>45659</v>
      </c>
      <c r="F608" s="18" t="s">
        <v>611</v>
      </c>
      <c r="G608" t="s">
        <v>100</v>
      </c>
      <c r="H608">
        <v>3</v>
      </c>
      <c r="I608">
        <v>3</v>
      </c>
      <c r="J608" s="27">
        <v>12968.4</v>
      </c>
      <c r="K608" s="27">
        <v>1000000</v>
      </c>
    </row>
    <row r="609" spans="1:11" ht="12.75" customHeight="1" x14ac:dyDescent="0.2">
      <c r="A609" t="s">
        <v>7610</v>
      </c>
      <c r="B609" t="s">
        <v>7611</v>
      </c>
      <c r="C609">
        <v>2024</v>
      </c>
      <c r="D609" s="18">
        <v>45294</v>
      </c>
      <c r="E609" s="18">
        <v>45659</v>
      </c>
      <c r="F609" s="18" t="s">
        <v>611</v>
      </c>
      <c r="G609" t="s">
        <v>101</v>
      </c>
      <c r="H609">
        <v>1</v>
      </c>
      <c r="I609">
        <v>1</v>
      </c>
      <c r="J609" s="27">
        <v>32580.38</v>
      </c>
      <c r="K609" s="27">
        <v>2000000</v>
      </c>
    </row>
    <row r="610" spans="1:11" ht="12.75" customHeight="1" x14ac:dyDescent="0.2">
      <c r="A610" t="s">
        <v>7612</v>
      </c>
      <c r="B610" t="s">
        <v>7613</v>
      </c>
      <c r="C610">
        <v>2024</v>
      </c>
      <c r="D610" s="18">
        <v>45294</v>
      </c>
      <c r="E610" s="18">
        <v>45659</v>
      </c>
      <c r="F610" s="18" t="s">
        <v>611</v>
      </c>
      <c r="G610" t="s">
        <v>101</v>
      </c>
      <c r="H610">
        <v>3</v>
      </c>
      <c r="I610">
        <v>3</v>
      </c>
      <c r="J610" s="27">
        <v>51651.62</v>
      </c>
      <c r="K610" s="27">
        <v>3000000</v>
      </c>
    </row>
    <row r="611" spans="1:11" ht="12.75" customHeight="1" x14ac:dyDescent="0.2">
      <c r="A611" t="s">
        <v>7614</v>
      </c>
      <c r="B611" t="s">
        <v>7615</v>
      </c>
      <c r="C611">
        <v>2024</v>
      </c>
      <c r="D611" s="18">
        <v>45294</v>
      </c>
      <c r="E611" s="18">
        <v>45659</v>
      </c>
      <c r="F611" s="18" t="s">
        <v>611</v>
      </c>
      <c r="G611" t="s">
        <v>99</v>
      </c>
      <c r="H611">
        <v>3</v>
      </c>
      <c r="I611">
        <v>6</v>
      </c>
      <c r="J611" s="27">
        <v>24594.76</v>
      </c>
      <c r="K611" s="27">
        <v>3000000</v>
      </c>
    </row>
    <row r="612" spans="1:11" ht="12.75" customHeight="1" x14ac:dyDescent="0.2">
      <c r="A612" t="s">
        <v>7616</v>
      </c>
      <c r="B612" t="s">
        <v>7617</v>
      </c>
      <c r="C612">
        <v>2024</v>
      </c>
      <c r="D612" s="18">
        <v>45294</v>
      </c>
      <c r="E612" s="18">
        <v>45659</v>
      </c>
      <c r="F612" s="18" t="s">
        <v>611</v>
      </c>
      <c r="G612" t="s">
        <v>100</v>
      </c>
      <c r="H612">
        <v>1</v>
      </c>
      <c r="I612">
        <v>2</v>
      </c>
      <c r="J612" s="27">
        <v>28144.18</v>
      </c>
      <c r="K612" s="27">
        <v>2000000</v>
      </c>
    </row>
    <row r="613" spans="1:11" ht="12.75" customHeight="1" x14ac:dyDescent="0.2">
      <c r="A613" t="s">
        <v>7618</v>
      </c>
      <c r="B613" t="s">
        <v>7619</v>
      </c>
      <c r="C613">
        <v>2024</v>
      </c>
      <c r="D613" s="18">
        <v>45294</v>
      </c>
      <c r="E613" s="18">
        <v>45659</v>
      </c>
      <c r="F613" s="18" t="s">
        <v>611</v>
      </c>
      <c r="G613" t="s">
        <v>99</v>
      </c>
      <c r="H613">
        <v>1</v>
      </c>
      <c r="I613">
        <v>2</v>
      </c>
      <c r="J613" s="27">
        <v>23251.63</v>
      </c>
      <c r="K613" s="27">
        <v>3000000</v>
      </c>
    </row>
    <row r="614" spans="1:11" ht="12.75" customHeight="1" x14ac:dyDescent="0.2">
      <c r="A614" t="s">
        <v>7620</v>
      </c>
      <c r="B614" t="s">
        <v>7621</v>
      </c>
      <c r="C614">
        <v>2024</v>
      </c>
      <c r="D614" s="18">
        <v>45294</v>
      </c>
      <c r="E614" s="18">
        <v>45659</v>
      </c>
      <c r="F614" s="18" t="s">
        <v>611</v>
      </c>
      <c r="G614" t="s">
        <v>99</v>
      </c>
      <c r="H614">
        <v>2</v>
      </c>
      <c r="I614">
        <v>2</v>
      </c>
      <c r="J614" s="27">
        <v>17777.650000000001</v>
      </c>
      <c r="K614" s="27">
        <v>2000000</v>
      </c>
    </row>
    <row r="615" spans="1:11" ht="12.75" customHeight="1" x14ac:dyDescent="0.2">
      <c r="A615" t="s">
        <v>7622</v>
      </c>
      <c r="B615" t="s">
        <v>7623</v>
      </c>
      <c r="C615">
        <v>2024</v>
      </c>
      <c r="D615" s="18">
        <v>45294</v>
      </c>
      <c r="E615" s="18">
        <v>45659</v>
      </c>
      <c r="F615" s="18" t="s">
        <v>611</v>
      </c>
      <c r="G615" t="s">
        <v>101</v>
      </c>
      <c r="H615">
        <v>2</v>
      </c>
      <c r="I615">
        <v>4</v>
      </c>
      <c r="J615" s="27">
        <v>47614.25</v>
      </c>
      <c r="K615" s="27">
        <v>3000000</v>
      </c>
    </row>
    <row r="616" spans="1:11" ht="12.75" customHeight="1" x14ac:dyDescent="0.2">
      <c r="A616" t="s">
        <v>7624</v>
      </c>
      <c r="B616" t="s">
        <v>7625</v>
      </c>
      <c r="C616">
        <v>2024</v>
      </c>
      <c r="D616" s="18">
        <v>45295</v>
      </c>
      <c r="E616" s="18">
        <v>45660</v>
      </c>
      <c r="F616" s="18" t="s">
        <v>608</v>
      </c>
      <c r="G616" t="s">
        <v>101</v>
      </c>
      <c r="H616">
        <v>1</v>
      </c>
      <c r="I616">
        <v>1</v>
      </c>
      <c r="J616" s="27">
        <v>65291.39</v>
      </c>
      <c r="K616" s="27">
        <v>4000000</v>
      </c>
    </row>
    <row r="617" spans="1:11" ht="12.75" customHeight="1" x14ac:dyDescent="0.2">
      <c r="A617" t="s">
        <v>7626</v>
      </c>
      <c r="B617" t="s">
        <v>7627</v>
      </c>
      <c r="C617">
        <v>2024</v>
      </c>
      <c r="D617" s="18">
        <v>45295</v>
      </c>
      <c r="E617" s="18">
        <v>45660</v>
      </c>
      <c r="F617" s="18" t="s">
        <v>608</v>
      </c>
      <c r="G617" t="s">
        <v>101</v>
      </c>
      <c r="H617">
        <v>2</v>
      </c>
      <c r="I617">
        <v>4</v>
      </c>
      <c r="J617" s="27">
        <v>79765.98</v>
      </c>
      <c r="K617" s="27">
        <v>5000000</v>
      </c>
    </row>
    <row r="618" spans="1:11" ht="12.75" customHeight="1" x14ac:dyDescent="0.2">
      <c r="A618" t="s">
        <v>7628</v>
      </c>
      <c r="B618" t="s">
        <v>7629</v>
      </c>
      <c r="C618">
        <v>2024</v>
      </c>
      <c r="D618" s="18">
        <v>45295</v>
      </c>
      <c r="E618" s="18">
        <v>45660</v>
      </c>
      <c r="F618" s="18" t="s">
        <v>608</v>
      </c>
      <c r="G618" t="s">
        <v>101</v>
      </c>
      <c r="H618">
        <v>1</v>
      </c>
      <c r="I618">
        <v>1</v>
      </c>
      <c r="J618" s="27">
        <v>18359.689999999999</v>
      </c>
      <c r="K618" s="27">
        <v>1000000</v>
      </c>
    </row>
    <row r="619" spans="1:11" ht="12.75" customHeight="1" x14ac:dyDescent="0.2">
      <c r="A619" t="s">
        <v>7630</v>
      </c>
      <c r="B619" t="s">
        <v>7631</v>
      </c>
      <c r="C619">
        <v>2024</v>
      </c>
      <c r="D619" s="18">
        <v>45295</v>
      </c>
      <c r="E619" s="18">
        <v>45660</v>
      </c>
      <c r="F619" s="18" t="s">
        <v>608</v>
      </c>
      <c r="G619" t="s">
        <v>99</v>
      </c>
      <c r="H619">
        <v>1</v>
      </c>
      <c r="I619">
        <v>1</v>
      </c>
      <c r="J619" s="27">
        <v>43116.11</v>
      </c>
      <c r="K619" s="27">
        <v>5000000</v>
      </c>
    </row>
    <row r="620" spans="1:11" ht="12.75" customHeight="1" x14ac:dyDescent="0.2">
      <c r="A620" t="s">
        <v>7632</v>
      </c>
      <c r="B620" t="s">
        <v>7633</v>
      </c>
      <c r="C620">
        <v>2024</v>
      </c>
      <c r="D620" s="18">
        <v>45295</v>
      </c>
      <c r="E620" s="18">
        <v>45660</v>
      </c>
      <c r="F620" s="18" t="s">
        <v>608</v>
      </c>
      <c r="G620" t="s">
        <v>101</v>
      </c>
      <c r="H620">
        <v>2</v>
      </c>
      <c r="I620">
        <v>2</v>
      </c>
      <c r="J620" s="27">
        <v>95748.88</v>
      </c>
      <c r="K620" s="27">
        <v>5000000</v>
      </c>
    </row>
    <row r="621" spans="1:11" ht="12.75" customHeight="1" x14ac:dyDescent="0.2">
      <c r="A621" t="s">
        <v>7634</v>
      </c>
      <c r="B621" t="s">
        <v>7635</v>
      </c>
      <c r="C621">
        <v>2024</v>
      </c>
      <c r="D621" s="18">
        <v>45295</v>
      </c>
      <c r="E621" s="18">
        <v>45660</v>
      </c>
      <c r="F621" s="18" t="s">
        <v>611</v>
      </c>
      <c r="G621" t="s">
        <v>101</v>
      </c>
      <c r="H621">
        <v>1</v>
      </c>
      <c r="I621">
        <v>1</v>
      </c>
      <c r="J621" s="27">
        <v>42598.94</v>
      </c>
      <c r="K621" s="27">
        <v>2500000</v>
      </c>
    </row>
    <row r="622" spans="1:11" ht="12.75" customHeight="1" x14ac:dyDescent="0.2">
      <c r="A622" t="s">
        <v>7636</v>
      </c>
      <c r="B622" t="s">
        <v>7637</v>
      </c>
      <c r="C622">
        <v>2024</v>
      </c>
      <c r="D622" s="18">
        <v>45295</v>
      </c>
      <c r="E622" s="18">
        <v>45660</v>
      </c>
      <c r="F622" s="18" t="s">
        <v>611</v>
      </c>
      <c r="G622" t="s">
        <v>99</v>
      </c>
      <c r="H622">
        <v>3</v>
      </c>
      <c r="I622">
        <v>6</v>
      </c>
      <c r="J622" s="27">
        <v>8230.2199999999993</v>
      </c>
      <c r="K622" s="27">
        <v>1000000</v>
      </c>
    </row>
    <row r="623" spans="1:11" ht="12.75" customHeight="1" x14ac:dyDescent="0.2">
      <c r="A623" t="s">
        <v>7638</v>
      </c>
      <c r="B623" t="s">
        <v>7639</v>
      </c>
      <c r="C623">
        <v>2024</v>
      </c>
      <c r="D623" s="18">
        <v>45295</v>
      </c>
      <c r="E623" s="18">
        <v>45660</v>
      </c>
      <c r="F623" s="18" t="s">
        <v>611</v>
      </c>
      <c r="G623" t="s">
        <v>102</v>
      </c>
      <c r="H623">
        <v>1</v>
      </c>
      <c r="I623">
        <v>1</v>
      </c>
      <c r="J623" s="27">
        <v>81941.36</v>
      </c>
      <c r="K623" s="27">
        <v>10000000</v>
      </c>
    </row>
    <row r="624" spans="1:11" ht="12.75" customHeight="1" x14ac:dyDescent="0.2">
      <c r="A624" t="s">
        <v>7640</v>
      </c>
      <c r="B624" t="s">
        <v>7641</v>
      </c>
      <c r="C624">
        <v>2024</v>
      </c>
      <c r="D624" s="18">
        <v>45295</v>
      </c>
      <c r="E624" s="18">
        <v>45660</v>
      </c>
      <c r="F624" s="18" t="s">
        <v>611</v>
      </c>
      <c r="G624" t="s">
        <v>101</v>
      </c>
      <c r="H624">
        <v>1</v>
      </c>
      <c r="I624">
        <v>2</v>
      </c>
      <c r="J624" s="27">
        <v>8567.82</v>
      </c>
      <c r="K624" s="27">
        <v>500000</v>
      </c>
    </row>
    <row r="625" spans="1:11" ht="12.75" customHeight="1" x14ac:dyDescent="0.2">
      <c r="A625" t="s">
        <v>7642</v>
      </c>
      <c r="B625" t="s">
        <v>7643</v>
      </c>
      <c r="C625">
        <v>2024</v>
      </c>
      <c r="D625" s="18">
        <v>45295</v>
      </c>
      <c r="E625" s="18">
        <v>45660</v>
      </c>
      <c r="F625" s="18" t="s">
        <v>611</v>
      </c>
      <c r="G625" t="s">
        <v>102</v>
      </c>
      <c r="H625">
        <v>2</v>
      </c>
      <c r="I625">
        <v>2</v>
      </c>
      <c r="J625" s="27">
        <v>30440.78</v>
      </c>
      <c r="K625" s="27">
        <v>3500000</v>
      </c>
    </row>
    <row r="626" spans="1:11" ht="12.75" customHeight="1" x14ac:dyDescent="0.2">
      <c r="A626" t="s">
        <v>7644</v>
      </c>
      <c r="B626" t="s">
        <v>7645</v>
      </c>
      <c r="C626">
        <v>2024</v>
      </c>
      <c r="D626" s="18">
        <v>45295</v>
      </c>
      <c r="E626" s="18">
        <v>45660</v>
      </c>
      <c r="F626" s="18" t="s">
        <v>611</v>
      </c>
      <c r="G626" t="s">
        <v>99</v>
      </c>
      <c r="H626">
        <v>2</v>
      </c>
      <c r="I626">
        <v>2</v>
      </c>
      <c r="J626" s="27">
        <v>3853.76</v>
      </c>
      <c r="K626" s="27">
        <v>500000</v>
      </c>
    </row>
    <row r="627" spans="1:11" ht="12.75" customHeight="1" x14ac:dyDescent="0.2">
      <c r="A627" t="s">
        <v>7646</v>
      </c>
      <c r="B627" t="s">
        <v>7647</v>
      </c>
      <c r="C627">
        <v>2024</v>
      </c>
      <c r="D627" s="18">
        <v>45296</v>
      </c>
      <c r="E627" s="18">
        <v>45661</v>
      </c>
      <c r="F627" s="18" t="s">
        <v>608</v>
      </c>
      <c r="G627" t="s">
        <v>102</v>
      </c>
      <c r="H627">
        <v>2</v>
      </c>
      <c r="I627">
        <v>2</v>
      </c>
      <c r="J627" s="27">
        <v>31496.78</v>
      </c>
      <c r="K627" s="27">
        <v>3500000</v>
      </c>
    </row>
    <row r="628" spans="1:11" ht="12.75" customHeight="1" x14ac:dyDescent="0.2">
      <c r="A628" t="s">
        <v>7648</v>
      </c>
      <c r="B628" t="s">
        <v>7649</v>
      </c>
      <c r="C628">
        <v>2024</v>
      </c>
      <c r="D628" s="18">
        <v>45296</v>
      </c>
      <c r="E628" s="18">
        <v>45661</v>
      </c>
      <c r="F628" s="18" t="s">
        <v>608</v>
      </c>
      <c r="G628" t="s">
        <v>100</v>
      </c>
      <c r="H628">
        <v>3</v>
      </c>
      <c r="I628">
        <v>3</v>
      </c>
      <c r="J628" s="27">
        <v>39476.129999999997</v>
      </c>
      <c r="K628" s="27">
        <v>3000000</v>
      </c>
    </row>
    <row r="629" spans="1:11" ht="12.75" customHeight="1" x14ac:dyDescent="0.2">
      <c r="A629" t="s">
        <v>7650</v>
      </c>
      <c r="B629" t="s">
        <v>7651</v>
      </c>
      <c r="C629">
        <v>2024</v>
      </c>
      <c r="D629" s="18">
        <v>45296</v>
      </c>
      <c r="E629" s="18">
        <v>45661</v>
      </c>
      <c r="F629" s="18" t="s">
        <v>608</v>
      </c>
      <c r="G629" t="s">
        <v>100</v>
      </c>
      <c r="H629">
        <v>2</v>
      </c>
      <c r="I629">
        <v>2</v>
      </c>
      <c r="J629" s="27">
        <v>70719.73</v>
      </c>
      <c r="K629" s="27">
        <v>5000000</v>
      </c>
    </row>
    <row r="630" spans="1:11" ht="12.75" customHeight="1" x14ac:dyDescent="0.2">
      <c r="A630" t="s">
        <v>7652</v>
      </c>
      <c r="B630" t="s">
        <v>7653</v>
      </c>
      <c r="C630">
        <v>2024</v>
      </c>
      <c r="D630" s="18">
        <v>45296</v>
      </c>
      <c r="E630" s="18">
        <v>45661</v>
      </c>
      <c r="F630" s="18" t="s">
        <v>611</v>
      </c>
      <c r="G630" t="s">
        <v>99</v>
      </c>
      <c r="H630">
        <v>2</v>
      </c>
      <c r="I630">
        <v>2</v>
      </c>
      <c r="J630" s="27">
        <v>34221.83</v>
      </c>
      <c r="K630" s="27">
        <v>4000000</v>
      </c>
    </row>
    <row r="631" spans="1:11" ht="12.75" customHeight="1" x14ac:dyDescent="0.2">
      <c r="A631" t="s">
        <v>7654</v>
      </c>
      <c r="B631" t="s">
        <v>7655</v>
      </c>
      <c r="C631">
        <v>2024</v>
      </c>
      <c r="D631" s="18">
        <v>45296</v>
      </c>
      <c r="E631" s="18">
        <v>45661</v>
      </c>
      <c r="F631" s="18" t="s">
        <v>611</v>
      </c>
      <c r="G631" t="s">
        <v>101</v>
      </c>
      <c r="H631">
        <v>1</v>
      </c>
      <c r="I631">
        <v>1</v>
      </c>
      <c r="J631" s="27">
        <v>32801.06</v>
      </c>
      <c r="K631" s="27">
        <v>2000000</v>
      </c>
    </row>
    <row r="632" spans="1:11" ht="12.75" customHeight="1" x14ac:dyDescent="0.2">
      <c r="A632" t="s">
        <v>7656</v>
      </c>
      <c r="B632" t="s">
        <v>7657</v>
      </c>
      <c r="C632">
        <v>2024</v>
      </c>
      <c r="D632" s="18">
        <v>45296</v>
      </c>
      <c r="E632" s="18">
        <v>45661</v>
      </c>
      <c r="F632" s="18" t="s">
        <v>611</v>
      </c>
      <c r="G632" t="s">
        <v>100</v>
      </c>
      <c r="H632">
        <v>1</v>
      </c>
      <c r="I632">
        <v>2</v>
      </c>
      <c r="J632" s="27">
        <v>68288.570000000007</v>
      </c>
      <c r="K632" s="27">
        <v>5000000</v>
      </c>
    </row>
    <row r="633" spans="1:11" ht="12.75" customHeight="1" x14ac:dyDescent="0.2">
      <c r="A633" t="s">
        <v>7658</v>
      </c>
      <c r="B633" t="s">
        <v>7659</v>
      </c>
      <c r="C633">
        <v>2024</v>
      </c>
      <c r="D633" s="18">
        <v>45296</v>
      </c>
      <c r="E633" s="18">
        <v>45661</v>
      </c>
      <c r="F633" s="18" t="s">
        <v>611</v>
      </c>
      <c r="G633" t="s">
        <v>101</v>
      </c>
      <c r="H633">
        <v>2</v>
      </c>
      <c r="I633">
        <v>4</v>
      </c>
      <c r="J633" s="27">
        <v>63113.91</v>
      </c>
      <c r="K633" s="27">
        <v>4000000</v>
      </c>
    </row>
    <row r="634" spans="1:11" ht="12.75" customHeight="1" x14ac:dyDescent="0.2">
      <c r="A634" t="s">
        <v>7660</v>
      </c>
      <c r="B634" t="s">
        <v>7661</v>
      </c>
      <c r="C634">
        <v>2024</v>
      </c>
      <c r="D634" s="18">
        <v>45296</v>
      </c>
      <c r="E634" s="18">
        <v>45661</v>
      </c>
      <c r="F634" s="18" t="s">
        <v>611</v>
      </c>
      <c r="G634" t="s">
        <v>102</v>
      </c>
      <c r="H634">
        <v>3</v>
      </c>
      <c r="I634">
        <v>6</v>
      </c>
      <c r="J634" s="27">
        <v>27526.94</v>
      </c>
      <c r="K634" s="27">
        <v>3000000</v>
      </c>
    </row>
    <row r="635" spans="1:11" ht="12.75" customHeight="1" x14ac:dyDescent="0.2">
      <c r="A635" t="s">
        <v>7662</v>
      </c>
      <c r="B635" t="s">
        <v>7663</v>
      </c>
      <c r="C635">
        <v>2024</v>
      </c>
      <c r="D635" s="18">
        <v>45296</v>
      </c>
      <c r="E635" s="18">
        <v>45661</v>
      </c>
      <c r="F635" s="18" t="s">
        <v>611</v>
      </c>
      <c r="G635" t="s">
        <v>100</v>
      </c>
      <c r="H635">
        <v>1</v>
      </c>
      <c r="I635">
        <v>1</v>
      </c>
      <c r="J635" s="27">
        <v>5883.64</v>
      </c>
      <c r="K635" s="27">
        <v>500000</v>
      </c>
    </row>
    <row r="636" spans="1:11" ht="12.75" customHeight="1" x14ac:dyDescent="0.2">
      <c r="A636" t="s">
        <v>7664</v>
      </c>
      <c r="B636" t="s">
        <v>7665</v>
      </c>
      <c r="C636">
        <v>2024</v>
      </c>
      <c r="D636" s="18">
        <v>45296</v>
      </c>
      <c r="E636" s="18">
        <v>45661</v>
      </c>
      <c r="F636" s="18" t="s">
        <v>611</v>
      </c>
      <c r="G636" t="s">
        <v>101</v>
      </c>
      <c r="H636">
        <v>1</v>
      </c>
      <c r="I636">
        <v>1</v>
      </c>
      <c r="J636" s="27">
        <v>28490.93</v>
      </c>
      <c r="K636" s="27">
        <v>1500000</v>
      </c>
    </row>
    <row r="637" spans="1:11" ht="12.75" customHeight="1" x14ac:dyDescent="0.2">
      <c r="A637" t="s">
        <v>7666</v>
      </c>
      <c r="B637" t="s">
        <v>7667</v>
      </c>
      <c r="C637">
        <v>2024</v>
      </c>
      <c r="D637" s="18">
        <v>45297</v>
      </c>
      <c r="E637" s="18">
        <v>45662</v>
      </c>
      <c r="F637" s="18" t="s">
        <v>608</v>
      </c>
      <c r="G637" t="s">
        <v>101</v>
      </c>
      <c r="H637">
        <v>1</v>
      </c>
      <c r="I637">
        <v>1</v>
      </c>
      <c r="J637" s="27">
        <v>36830.69</v>
      </c>
      <c r="K637" s="27">
        <v>2000000</v>
      </c>
    </row>
    <row r="638" spans="1:11" ht="12.75" customHeight="1" x14ac:dyDescent="0.2">
      <c r="A638" t="s">
        <v>7668</v>
      </c>
      <c r="B638" t="s">
        <v>7669</v>
      </c>
      <c r="C638">
        <v>2024</v>
      </c>
      <c r="D638" s="18">
        <v>45297</v>
      </c>
      <c r="E638" s="18">
        <v>45662</v>
      </c>
      <c r="F638" s="18" t="s">
        <v>608</v>
      </c>
      <c r="G638" t="s">
        <v>101</v>
      </c>
      <c r="H638">
        <v>1</v>
      </c>
      <c r="I638">
        <v>1</v>
      </c>
      <c r="J638" s="27">
        <v>67210.23</v>
      </c>
      <c r="K638" s="27">
        <v>4000000</v>
      </c>
    </row>
    <row r="639" spans="1:11" ht="12.75" customHeight="1" x14ac:dyDescent="0.2">
      <c r="A639" t="s">
        <v>7670</v>
      </c>
      <c r="B639" t="s">
        <v>7671</v>
      </c>
      <c r="C639">
        <v>2024</v>
      </c>
      <c r="D639" s="18">
        <v>45297</v>
      </c>
      <c r="E639" s="18">
        <v>45662</v>
      </c>
      <c r="F639" s="18" t="s">
        <v>611</v>
      </c>
      <c r="G639" t="s">
        <v>102</v>
      </c>
      <c r="H639">
        <v>2</v>
      </c>
      <c r="I639">
        <v>4</v>
      </c>
      <c r="J639" s="27">
        <v>9386.7900000000009</v>
      </c>
      <c r="K639" s="27">
        <v>1000000</v>
      </c>
    </row>
    <row r="640" spans="1:11" ht="12.75" customHeight="1" x14ac:dyDescent="0.2">
      <c r="A640" t="s">
        <v>7672</v>
      </c>
      <c r="B640" t="s">
        <v>7673</v>
      </c>
      <c r="C640">
        <v>2024</v>
      </c>
      <c r="D640" s="18">
        <v>45297</v>
      </c>
      <c r="E640" s="18">
        <v>45662</v>
      </c>
      <c r="F640" s="18" t="s">
        <v>611</v>
      </c>
      <c r="G640" t="s">
        <v>99</v>
      </c>
      <c r="H640">
        <v>3</v>
      </c>
      <c r="I640">
        <v>3</v>
      </c>
      <c r="J640" s="27">
        <v>22604.31</v>
      </c>
      <c r="K640" s="27">
        <v>3000000</v>
      </c>
    </row>
    <row r="641" spans="1:11" ht="12.75" customHeight="1" x14ac:dyDescent="0.2">
      <c r="A641" t="s">
        <v>7674</v>
      </c>
      <c r="B641" t="s">
        <v>7675</v>
      </c>
      <c r="C641">
        <v>2024</v>
      </c>
      <c r="D641" s="18">
        <v>45297</v>
      </c>
      <c r="E641" s="18">
        <v>45662</v>
      </c>
      <c r="F641" s="18" t="s">
        <v>611</v>
      </c>
      <c r="G641" t="s">
        <v>100</v>
      </c>
      <c r="H641">
        <v>2</v>
      </c>
      <c r="I641">
        <v>4</v>
      </c>
      <c r="J641" s="27">
        <v>13557.24</v>
      </c>
      <c r="K641" s="27">
        <v>1000000</v>
      </c>
    </row>
    <row r="642" spans="1:11" ht="12.75" customHeight="1" x14ac:dyDescent="0.2">
      <c r="A642" t="s">
        <v>7676</v>
      </c>
      <c r="B642" t="s">
        <v>7677</v>
      </c>
      <c r="C642">
        <v>2024</v>
      </c>
      <c r="D642" s="18">
        <v>45298</v>
      </c>
      <c r="E642" s="18">
        <v>45663</v>
      </c>
      <c r="F642" s="18" t="s">
        <v>608</v>
      </c>
      <c r="G642" t="s">
        <v>99</v>
      </c>
      <c r="H642">
        <v>1</v>
      </c>
      <c r="I642">
        <v>1</v>
      </c>
      <c r="J642" s="27">
        <v>32941.050000000003</v>
      </c>
      <c r="K642" s="27">
        <v>4000000</v>
      </c>
    </row>
    <row r="643" spans="1:11" ht="12.75" customHeight="1" x14ac:dyDescent="0.2">
      <c r="A643" t="s">
        <v>7678</v>
      </c>
      <c r="B643" t="s">
        <v>7679</v>
      </c>
      <c r="C643">
        <v>2024</v>
      </c>
      <c r="D643" s="18">
        <v>45298</v>
      </c>
      <c r="E643" s="18">
        <v>45663</v>
      </c>
      <c r="F643" s="18" t="s">
        <v>611</v>
      </c>
      <c r="G643" t="s">
        <v>102</v>
      </c>
      <c r="H643">
        <v>1</v>
      </c>
      <c r="I643">
        <v>1</v>
      </c>
      <c r="J643" s="27">
        <v>18162.77</v>
      </c>
      <c r="K643" s="27">
        <v>2000000</v>
      </c>
    </row>
    <row r="644" spans="1:11" ht="12.75" customHeight="1" x14ac:dyDescent="0.2">
      <c r="A644" t="s">
        <v>7680</v>
      </c>
      <c r="B644" t="s">
        <v>7681</v>
      </c>
      <c r="C644">
        <v>2024</v>
      </c>
      <c r="D644" s="18">
        <v>45298</v>
      </c>
      <c r="E644" s="18">
        <v>45663</v>
      </c>
      <c r="F644" s="18" t="s">
        <v>611</v>
      </c>
      <c r="G644" t="s">
        <v>100</v>
      </c>
      <c r="H644">
        <v>2</v>
      </c>
      <c r="I644">
        <v>2</v>
      </c>
      <c r="J644" s="27">
        <v>44786.48</v>
      </c>
      <c r="K644" s="27">
        <v>3500000</v>
      </c>
    </row>
    <row r="645" spans="1:11" ht="12.75" customHeight="1" x14ac:dyDescent="0.2">
      <c r="A645" t="s">
        <v>7682</v>
      </c>
      <c r="B645" t="s">
        <v>7683</v>
      </c>
      <c r="C645">
        <v>2024</v>
      </c>
      <c r="D645" s="18">
        <v>45298</v>
      </c>
      <c r="E645" s="18">
        <v>45663</v>
      </c>
      <c r="F645" s="18" t="s">
        <v>611</v>
      </c>
      <c r="G645" t="s">
        <v>101</v>
      </c>
      <c r="H645">
        <v>2</v>
      </c>
      <c r="I645">
        <v>2</v>
      </c>
      <c r="J645" s="27">
        <v>178998.51</v>
      </c>
      <c r="K645" s="27">
        <v>10000000</v>
      </c>
    </row>
    <row r="646" spans="1:11" ht="12.75" customHeight="1" x14ac:dyDescent="0.2">
      <c r="A646" t="s">
        <v>7684</v>
      </c>
      <c r="B646" t="s">
        <v>7685</v>
      </c>
      <c r="C646">
        <v>2024</v>
      </c>
      <c r="D646" s="18">
        <v>45298</v>
      </c>
      <c r="E646" s="18">
        <v>45663</v>
      </c>
      <c r="F646" s="18" t="s">
        <v>611</v>
      </c>
      <c r="G646" t="s">
        <v>99</v>
      </c>
      <c r="H646">
        <v>3</v>
      </c>
      <c r="I646">
        <v>6</v>
      </c>
      <c r="J646" s="27">
        <v>21016.13</v>
      </c>
      <c r="K646" s="27">
        <v>2500000</v>
      </c>
    </row>
    <row r="647" spans="1:11" ht="12.75" customHeight="1" x14ac:dyDescent="0.2">
      <c r="A647" t="s">
        <v>7686</v>
      </c>
      <c r="B647" t="s">
        <v>7687</v>
      </c>
      <c r="C647">
        <v>2024</v>
      </c>
      <c r="D647" s="18">
        <v>45298</v>
      </c>
      <c r="E647" s="18">
        <v>45663</v>
      </c>
      <c r="F647" s="18" t="s">
        <v>611</v>
      </c>
      <c r="G647" t="s">
        <v>99</v>
      </c>
      <c r="H647">
        <v>3</v>
      </c>
      <c r="I647">
        <v>6</v>
      </c>
      <c r="J647" s="27">
        <v>40528.19</v>
      </c>
      <c r="K647" s="27">
        <v>5000000</v>
      </c>
    </row>
    <row r="648" spans="1:11" ht="12.75" customHeight="1" x14ac:dyDescent="0.2">
      <c r="A648" t="s">
        <v>7688</v>
      </c>
      <c r="B648" t="s">
        <v>7689</v>
      </c>
      <c r="C648">
        <v>2024</v>
      </c>
      <c r="D648" s="18">
        <v>45298</v>
      </c>
      <c r="E648" s="18">
        <v>45663</v>
      </c>
      <c r="F648" s="18" t="s">
        <v>611</v>
      </c>
      <c r="G648" t="s">
        <v>100</v>
      </c>
      <c r="H648">
        <v>1</v>
      </c>
      <c r="I648">
        <v>1</v>
      </c>
      <c r="J648" s="27">
        <v>42783.95</v>
      </c>
      <c r="K648" s="27">
        <v>3000000</v>
      </c>
    </row>
    <row r="649" spans="1:11" ht="12.75" customHeight="1" x14ac:dyDescent="0.2">
      <c r="A649" t="s">
        <v>7690</v>
      </c>
      <c r="B649" t="s">
        <v>7691</v>
      </c>
      <c r="C649">
        <v>2024</v>
      </c>
      <c r="D649" s="18">
        <v>45298</v>
      </c>
      <c r="E649" s="18">
        <v>45663</v>
      </c>
      <c r="F649" s="18" t="s">
        <v>611</v>
      </c>
      <c r="G649" t="s">
        <v>99</v>
      </c>
      <c r="H649">
        <v>1</v>
      </c>
      <c r="I649">
        <v>2</v>
      </c>
      <c r="J649" s="27">
        <v>16404.2</v>
      </c>
      <c r="K649" s="27">
        <v>2000000</v>
      </c>
    </row>
    <row r="650" spans="1:11" ht="12.75" customHeight="1" x14ac:dyDescent="0.2">
      <c r="A650" t="s">
        <v>7692</v>
      </c>
      <c r="B650" t="s">
        <v>7693</v>
      </c>
      <c r="C650">
        <v>2024</v>
      </c>
      <c r="D650" s="18">
        <v>45298</v>
      </c>
      <c r="E650" s="18">
        <v>45663</v>
      </c>
      <c r="F650" s="18" t="s">
        <v>611</v>
      </c>
      <c r="G650" t="s">
        <v>99</v>
      </c>
      <c r="H650">
        <v>2</v>
      </c>
      <c r="I650">
        <v>4</v>
      </c>
      <c r="J650" s="27">
        <v>12218.66</v>
      </c>
      <c r="K650" s="27">
        <v>1500000</v>
      </c>
    </row>
    <row r="651" spans="1:11" ht="12.75" customHeight="1" x14ac:dyDescent="0.2">
      <c r="A651" t="s">
        <v>7694</v>
      </c>
      <c r="B651" t="s">
        <v>7695</v>
      </c>
      <c r="C651">
        <v>2024</v>
      </c>
      <c r="D651" s="18">
        <v>45298</v>
      </c>
      <c r="E651" s="18">
        <v>45663</v>
      </c>
      <c r="F651" s="18" t="s">
        <v>611</v>
      </c>
      <c r="G651" t="s">
        <v>101</v>
      </c>
      <c r="H651">
        <v>3</v>
      </c>
      <c r="I651">
        <v>6</v>
      </c>
      <c r="J651" s="27">
        <v>16229.33</v>
      </c>
      <c r="K651" s="27">
        <v>1000000</v>
      </c>
    </row>
    <row r="652" spans="1:11" ht="12.75" customHeight="1" x14ac:dyDescent="0.2">
      <c r="A652" t="s">
        <v>7696</v>
      </c>
      <c r="B652" t="s">
        <v>7697</v>
      </c>
      <c r="C652">
        <v>2024</v>
      </c>
      <c r="D652" s="18">
        <v>45298</v>
      </c>
      <c r="E652" s="18">
        <v>45663</v>
      </c>
      <c r="F652" s="18" t="s">
        <v>611</v>
      </c>
      <c r="G652" t="s">
        <v>101</v>
      </c>
      <c r="H652">
        <v>1</v>
      </c>
      <c r="I652">
        <v>2</v>
      </c>
      <c r="J652" s="27">
        <v>75313.649999999994</v>
      </c>
      <c r="K652" s="27">
        <v>4000000</v>
      </c>
    </row>
    <row r="653" spans="1:11" ht="12.75" customHeight="1" x14ac:dyDescent="0.2">
      <c r="A653" t="s">
        <v>7698</v>
      </c>
      <c r="B653" t="s">
        <v>7699</v>
      </c>
      <c r="C653">
        <v>2024</v>
      </c>
      <c r="D653" s="18">
        <v>45299</v>
      </c>
      <c r="E653" s="18">
        <v>45664</v>
      </c>
      <c r="F653" s="18" t="s">
        <v>608</v>
      </c>
      <c r="G653" t="s">
        <v>101</v>
      </c>
      <c r="H653">
        <v>1</v>
      </c>
      <c r="I653">
        <v>2</v>
      </c>
      <c r="J653" s="27">
        <v>18984.55</v>
      </c>
      <c r="K653" s="27">
        <v>1000000</v>
      </c>
    </row>
    <row r="654" spans="1:11" ht="12.75" customHeight="1" x14ac:dyDescent="0.2">
      <c r="A654" t="s">
        <v>7700</v>
      </c>
      <c r="B654" t="s">
        <v>7701</v>
      </c>
      <c r="C654">
        <v>2024</v>
      </c>
      <c r="D654" s="18">
        <v>45299</v>
      </c>
      <c r="E654" s="18">
        <v>45664</v>
      </c>
      <c r="F654" s="18" t="s">
        <v>608</v>
      </c>
      <c r="G654" t="s">
        <v>102</v>
      </c>
      <c r="H654">
        <v>1</v>
      </c>
      <c r="I654">
        <v>1</v>
      </c>
      <c r="J654" s="27">
        <v>33111.89</v>
      </c>
      <c r="K654" s="27">
        <v>4000000</v>
      </c>
    </row>
    <row r="655" spans="1:11" ht="12.75" customHeight="1" x14ac:dyDescent="0.2">
      <c r="A655" t="s">
        <v>7702</v>
      </c>
      <c r="B655" t="s">
        <v>7703</v>
      </c>
      <c r="C655">
        <v>2024</v>
      </c>
      <c r="D655" s="18">
        <v>45299</v>
      </c>
      <c r="E655" s="18">
        <v>45664</v>
      </c>
      <c r="F655" s="18" t="s">
        <v>611</v>
      </c>
      <c r="G655" t="s">
        <v>100</v>
      </c>
      <c r="H655">
        <v>1</v>
      </c>
      <c r="I655">
        <v>1</v>
      </c>
      <c r="J655" s="27">
        <v>12914.07</v>
      </c>
      <c r="K655" s="27">
        <v>1000000</v>
      </c>
    </row>
    <row r="656" spans="1:11" ht="12.75" customHeight="1" x14ac:dyDescent="0.2">
      <c r="A656" t="s">
        <v>7704</v>
      </c>
      <c r="B656" t="s">
        <v>7705</v>
      </c>
      <c r="C656">
        <v>2024</v>
      </c>
      <c r="D656" s="18">
        <v>45299</v>
      </c>
      <c r="E656" s="18">
        <v>45664</v>
      </c>
      <c r="F656" s="18" t="s">
        <v>611</v>
      </c>
      <c r="G656" t="s">
        <v>102</v>
      </c>
      <c r="H656">
        <v>2</v>
      </c>
      <c r="I656">
        <v>2</v>
      </c>
      <c r="J656" s="27">
        <v>37431.67</v>
      </c>
      <c r="K656" s="27">
        <v>4000000</v>
      </c>
    </row>
    <row r="657" spans="1:11" ht="12.75" customHeight="1" x14ac:dyDescent="0.2">
      <c r="A657" t="s">
        <v>7706</v>
      </c>
      <c r="B657" t="s">
        <v>7707</v>
      </c>
      <c r="C657">
        <v>2024</v>
      </c>
      <c r="D657" s="18">
        <v>45299</v>
      </c>
      <c r="E657" s="18">
        <v>45664</v>
      </c>
      <c r="F657" s="18" t="s">
        <v>611</v>
      </c>
      <c r="G657" t="s">
        <v>101</v>
      </c>
      <c r="H657">
        <v>3</v>
      </c>
      <c r="I657">
        <v>3</v>
      </c>
      <c r="J657" s="27">
        <v>36243.120000000003</v>
      </c>
      <c r="K657" s="27">
        <v>2000000</v>
      </c>
    </row>
    <row r="658" spans="1:11" ht="12.75" customHeight="1" x14ac:dyDescent="0.2">
      <c r="A658" t="s">
        <v>7708</v>
      </c>
      <c r="B658" t="s">
        <v>7709</v>
      </c>
      <c r="C658">
        <v>2024</v>
      </c>
      <c r="D658" s="18">
        <v>45299</v>
      </c>
      <c r="E658" s="18">
        <v>45664</v>
      </c>
      <c r="F658" s="18" t="s">
        <v>611</v>
      </c>
      <c r="G658" t="s">
        <v>101</v>
      </c>
      <c r="H658">
        <v>1</v>
      </c>
      <c r="I658">
        <v>1</v>
      </c>
      <c r="J658" s="27">
        <v>26094.27</v>
      </c>
      <c r="K658" s="27">
        <v>1500000</v>
      </c>
    </row>
    <row r="659" spans="1:11" ht="12.75" customHeight="1" x14ac:dyDescent="0.2">
      <c r="A659" t="s">
        <v>7710</v>
      </c>
      <c r="B659" t="s">
        <v>7711</v>
      </c>
      <c r="C659">
        <v>2024</v>
      </c>
      <c r="D659" s="18">
        <v>45299</v>
      </c>
      <c r="E659" s="18">
        <v>45664</v>
      </c>
      <c r="F659" s="18" t="s">
        <v>611</v>
      </c>
      <c r="G659" t="s">
        <v>101</v>
      </c>
      <c r="H659">
        <v>1</v>
      </c>
      <c r="I659">
        <v>2</v>
      </c>
      <c r="J659" s="27">
        <v>34870.97</v>
      </c>
      <c r="K659" s="27">
        <v>2000000</v>
      </c>
    </row>
    <row r="660" spans="1:11" ht="12.75" customHeight="1" x14ac:dyDescent="0.2">
      <c r="A660" t="s">
        <v>7712</v>
      </c>
      <c r="B660" t="s">
        <v>7713</v>
      </c>
      <c r="C660">
        <v>2024</v>
      </c>
      <c r="D660" s="18">
        <v>45299</v>
      </c>
      <c r="E660" s="18">
        <v>45664</v>
      </c>
      <c r="F660" s="18" t="s">
        <v>611</v>
      </c>
      <c r="G660" t="s">
        <v>101</v>
      </c>
      <c r="H660">
        <v>1</v>
      </c>
      <c r="I660">
        <v>1</v>
      </c>
      <c r="J660" s="27">
        <v>7856.54</v>
      </c>
      <c r="K660" s="27">
        <v>500000</v>
      </c>
    </row>
    <row r="661" spans="1:11" ht="12.75" customHeight="1" x14ac:dyDescent="0.2">
      <c r="A661" t="s">
        <v>7714</v>
      </c>
      <c r="B661" t="s">
        <v>7715</v>
      </c>
      <c r="C661">
        <v>2024</v>
      </c>
      <c r="D661" s="18">
        <v>45299</v>
      </c>
      <c r="E661" s="18">
        <v>45664</v>
      </c>
      <c r="F661" s="18" t="s">
        <v>611</v>
      </c>
      <c r="G661" t="s">
        <v>99</v>
      </c>
      <c r="H661">
        <v>1</v>
      </c>
      <c r="I661">
        <v>1</v>
      </c>
      <c r="J661" s="27">
        <v>8964.83</v>
      </c>
      <c r="K661" s="27">
        <v>1000000</v>
      </c>
    </row>
    <row r="662" spans="1:11" ht="12.75" customHeight="1" x14ac:dyDescent="0.2">
      <c r="A662" t="s">
        <v>7716</v>
      </c>
      <c r="B662" t="s">
        <v>7717</v>
      </c>
      <c r="C662">
        <v>2024</v>
      </c>
      <c r="D662" s="18">
        <v>45299</v>
      </c>
      <c r="E662" s="18">
        <v>45664</v>
      </c>
      <c r="F662" s="18" t="s">
        <v>611</v>
      </c>
      <c r="G662" t="s">
        <v>101</v>
      </c>
      <c r="H662">
        <v>2</v>
      </c>
      <c r="I662">
        <v>2</v>
      </c>
      <c r="J662" s="27">
        <v>47665.51</v>
      </c>
      <c r="K662" s="27">
        <v>2500000</v>
      </c>
    </row>
    <row r="663" spans="1:11" ht="12.75" customHeight="1" x14ac:dyDescent="0.2">
      <c r="A663" t="s">
        <v>7718</v>
      </c>
      <c r="B663" t="s">
        <v>7719</v>
      </c>
      <c r="C663">
        <v>2024</v>
      </c>
      <c r="D663" s="18">
        <v>45300</v>
      </c>
      <c r="E663" s="18">
        <v>45665</v>
      </c>
      <c r="F663" s="18" t="s">
        <v>608</v>
      </c>
      <c r="G663" t="s">
        <v>99</v>
      </c>
      <c r="H663">
        <v>1</v>
      </c>
      <c r="I663">
        <v>1</v>
      </c>
      <c r="J663" s="27">
        <v>12239.05</v>
      </c>
      <c r="K663" s="27">
        <v>1500000</v>
      </c>
    </row>
    <row r="664" spans="1:11" ht="12.75" customHeight="1" x14ac:dyDescent="0.2">
      <c r="A664" t="s">
        <v>7720</v>
      </c>
      <c r="B664" t="s">
        <v>7721</v>
      </c>
      <c r="C664">
        <v>2024</v>
      </c>
      <c r="D664" s="18">
        <v>45300</v>
      </c>
      <c r="E664" s="18">
        <v>45665</v>
      </c>
      <c r="F664" s="18" t="s">
        <v>608</v>
      </c>
      <c r="G664" t="s">
        <v>99</v>
      </c>
      <c r="H664">
        <v>2</v>
      </c>
      <c r="I664">
        <v>4</v>
      </c>
      <c r="J664" s="27">
        <v>87783.03</v>
      </c>
      <c r="K664" s="27">
        <v>10000000</v>
      </c>
    </row>
    <row r="665" spans="1:11" ht="12.75" customHeight="1" x14ac:dyDescent="0.2">
      <c r="A665" t="s">
        <v>7722</v>
      </c>
      <c r="B665" t="s">
        <v>7723</v>
      </c>
      <c r="C665">
        <v>2024</v>
      </c>
      <c r="D665" s="18">
        <v>45300</v>
      </c>
      <c r="E665" s="18">
        <v>45665</v>
      </c>
      <c r="F665" s="18" t="s">
        <v>611</v>
      </c>
      <c r="G665" t="s">
        <v>99</v>
      </c>
      <c r="H665">
        <v>2</v>
      </c>
      <c r="I665">
        <v>4</v>
      </c>
      <c r="J665" s="27">
        <v>22455.13</v>
      </c>
      <c r="K665" s="27">
        <v>3000000</v>
      </c>
    </row>
    <row r="666" spans="1:11" ht="12.75" customHeight="1" x14ac:dyDescent="0.2">
      <c r="A666" t="s">
        <v>7724</v>
      </c>
      <c r="B666" t="s">
        <v>7725</v>
      </c>
      <c r="C666">
        <v>2024</v>
      </c>
      <c r="D666" s="18">
        <v>45300</v>
      </c>
      <c r="E666" s="18">
        <v>45665</v>
      </c>
      <c r="F666" s="18" t="s">
        <v>611</v>
      </c>
      <c r="G666" t="s">
        <v>99</v>
      </c>
      <c r="H666">
        <v>1</v>
      </c>
      <c r="I666">
        <v>1</v>
      </c>
      <c r="J666" s="27">
        <v>41264.47</v>
      </c>
      <c r="K666" s="27">
        <v>5000000</v>
      </c>
    </row>
    <row r="667" spans="1:11" ht="12.75" customHeight="1" x14ac:dyDescent="0.2">
      <c r="A667" t="s">
        <v>7726</v>
      </c>
      <c r="B667" t="s">
        <v>7727</v>
      </c>
      <c r="C667">
        <v>2024</v>
      </c>
      <c r="D667" s="18">
        <v>45300</v>
      </c>
      <c r="E667" s="18">
        <v>45665</v>
      </c>
      <c r="F667" s="18" t="s">
        <v>611</v>
      </c>
      <c r="G667" t="s">
        <v>102</v>
      </c>
      <c r="H667">
        <v>2</v>
      </c>
      <c r="I667">
        <v>2</v>
      </c>
      <c r="J667" s="27">
        <v>17042.46</v>
      </c>
      <c r="K667" s="27">
        <v>2000000</v>
      </c>
    </row>
    <row r="668" spans="1:11" ht="12.75" customHeight="1" x14ac:dyDescent="0.2">
      <c r="A668" t="s">
        <v>7728</v>
      </c>
      <c r="B668" t="s">
        <v>7729</v>
      </c>
      <c r="C668">
        <v>2024</v>
      </c>
      <c r="D668" s="18">
        <v>45300</v>
      </c>
      <c r="E668" s="18">
        <v>45665</v>
      </c>
      <c r="F668" s="18" t="s">
        <v>611</v>
      </c>
      <c r="G668" t="s">
        <v>100</v>
      </c>
      <c r="H668">
        <v>3</v>
      </c>
      <c r="I668">
        <v>3</v>
      </c>
      <c r="J668" s="27">
        <v>6915.47</v>
      </c>
      <c r="K668" s="27">
        <v>500000</v>
      </c>
    </row>
    <row r="669" spans="1:11" ht="12.75" customHeight="1" x14ac:dyDescent="0.2">
      <c r="A669" t="s">
        <v>7730</v>
      </c>
      <c r="B669" t="s">
        <v>7731</v>
      </c>
      <c r="C669">
        <v>2024</v>
      </c>
      <c r="D669" s="18">
        <v>45301</v>
      </c>
      <c r="E669" s="18">
        <v>45666</v>
      </c>
      <c r="F669" s="18" t="s">
        <v>611</v>
      </c>
      <c r="G669" t="s">
        <v>102</v>
      </c>
      <c r="H669">
        <v>2</v>
      </c>
      <c r="I669">
        <v>2</v>
      </c>
      <c r="J669" s="27">
        <v>15889.53</v>
      </c>
      <c r="K669" s="27">
        <v>2000000</v>
      </c>
    </row>
    <row r="670" spans="1:11" ht="12.75" customHeight="1" x14ac:dyDescent="0.2">
      <c r="A670" t="s">
        <v>7732</v>
      </c>
      <c r="B670" t="s">
        <v>7733</v>
      </c>
      <c r="C670">
        <v>2024</v>
      </c>
      <c r="D670" s="18">
        <v>45301</v>
      </c>
      <c r="E670" s="18">
        <v>45666</v>
      </c>
      <c r="F670" s="18" t="s">
        <v>611</v>
      </c>
      <c r="G670" t="s">
        <v>101</v>
      </c>
      <c r="H670">
        <v>1</v>
      </c>
      <c r="I670">
        <v>2</v>
      </c>
      <c r="J670" s="27">
        <v>18962.21</v>
      </c>
      <c r="K670" s="27">
        <v>1000000</v>
      </c>
    </row>
    <row r="671" spans="1:11" ht="12.75" customHeight="1" x14ac:dyDescent="0.2">
      <c r="A671" t="s">
        <v>7734</v>
      </c>
      <c r="B671" t="s">
        <v>7735</v>
      </c>
      <c r="C671">
        <v>2024</v>
      </c>
      <c r="D671" s="18">
        <v>45301</v>
      </c>
      <c r="E671" s="18">
        <v>45666</v>
      </c>
      <c r="F671" s="18" t="s">
        <v>611</v>
      </c>
      <c r="G671" t="s">
        <v>100</v>
      </c>
      <c r="H671">
        <v>2</v>
      </c>
      <c r="I671">
        <v>4</v>
      </c>
      <c r="J671" s="27">
        <v>19532.37</v>
      </c>
      <c r="K671" s="27">
        <v>1500000</v>
      </c>
    </row>
    <row r="672" spans="1:11" ht="12.75" customHeight="1" x14ac:dyDescent="0.2">
      <c r="A672" t="s">
        <v>7736</v>
      </c>
      <c r="B672" t="s">
        <v>7737</v>
      </c>
      <c r="C672">
        <v>2024</v>
      </c>
      <c r="D672" s="18">
        <v>45301</v>
      </c>
      <c r="E672" s="18">
        <v>45666</v>
      </c>
      <c r="F672" s="18" t="s">
        <v>611</v>
      </c>
      <c r="G672" t="s">
        <v>99</v>
      </c>
      <c r="H672">
        <v>1</v>
      </c>
      <c r="I672">
        <v>1</v>
      </c>
      <c r="J672" s="27">
        <v>23803.25</v>
      </c>
      <c r="K672" s="27">
        <v>3000000</v>
      </c>
    </row>
    <row r="673" spans="1:11" ht="12.75" customHeight="1" x14ac:dyDescent="0.2">
      <c r="A673" t="s">
        <v>7738</v>
      </c>
      <c r="B673" t="s">
        <v>7739</v>
      </c>
      <c r="C673">
        <v>2024</v>
      </c>
      <c r="D673" s="18">
        <v>45301</v>
      </c>
      <c r="E673" s="18">
        <v>45666</v>
      </c>
      <c r="F673" s="18" t="s">
        <v>611</v>
      </c>
      <c r="G673" t="s">
        <v>101</v>
      </c>
      <c r="H673">
        <v>1</v>
      </c>
      <c r="I673">
        <v>1</v>
      </c>
      <c r="J673" s="27">
        <v>19013.330000000002</v>
      </c>
      <c r="K673" s="27">
        <v>1000000</v>
      </c>
    </row>
    <row r="674" spans="1:11" ht="12.75" customHeight="1" x14ac:dyDescent="0.2">
      <c r="A674" t="s">
        <v>7740</v>
      </c>
      <c r="B674" t="s">
        <v>7741</v>
      </c>
      <c r="C674">
        <v>2024</v>
      </c>
      <c r="D674" s="18">
        <v>45301</v>
      </c>
      <c r="E674" s="18">
        <v>45666</v>
      </c>
      <c r="F674" s="18" t="s">
        <v>611</v>
      </c>
      <c r="G674" t="s">
        <v>101</v>
      </c>
      <c r="H674">
        <v>1</v>
      </c>
      <c r="I674">
        <v>2</v>
      </c>
      <c r="J674" s="27">
        <v>82399.77</v>
      </c>
      <c r="K674" s="27">
        <v>5000000</v>
      </c>
    </row>
    <row r="675" spans="1:11" ht="12.75" customHeight="1" x14ac:dyDescent="0.2">
      <c r="A675" t="s">
        <v>7742</v>
      </c>
      <c r="B675" t="s">
        <v>7743</v>
      </c>
      <c r="C675">
        <v>2024</v>
      </c>
      <c r="D675" s="18">
        <v>45302</v>
      </c>
      <c r="E675" s="18">
        <v>45667</v>
      </c>
      <c r="F675" s="18" t="s">
        <v>608</v>
      </c>
      <c r="G675" t="s">
        <v>102</v>
      </c>
      <c r="H675">
        <v>3</v>
      </c>
      <c r="I675">
        <v>3</v>
      </c>
      <c r="J675" s="27">
        <v>17917.57</v>
      </c>
      <c r="K675" s="27">
        <v>2000000</v>
      </c>
    </row>
    <row r="676" spans="1:11" ht="12.75" customHeight="1" x14ac:dyDescent="0.2">
      <c r="A676" t="s">
        <v>7744</v>
      </c>
      <c r="B676" t="s">
        <v>7745</v>
      </c>
      <c r="C676">
        <v>2024</v>
      </c>
      <c r="D676" s="18">
        <v>45302</v>
      </c>
      <c r="E676" s="18">
        <v>45667</v>
      </c>
      <c r="F676" s="18" t="s">
        <v>608</v>
      </c>
      <c r="G676" t="s">
        <v>100</v>
      </c>
      <c r="H676">
        <v>1</v>
      </c>
      <c r="I676">
        <v>1</v>
      </c>
      <c r="J676" s="27">
        <v>11720.6</v>
      </c>
      <c r="K676" s="27">
        <v>1000000</v>
      </c>
    </row>
    <row r="677" spans="1:11" ht="12.75" customHeight="1" x14ac:dyDescent="0.2">
      <c r="A677" t="s">
        <v>7746</v>
      </c>
      <c r="B677" t="s">
        <v>7747</v>
      </c>
      <c r="C677">
        <v>2024</v>
      </c>
      <c r="D677" s="18">
        <v>45302</v>
      </c>
      <c r="E677" s="18">
        <v>45667</v>
      </c>
      <c r="F677" s="18" t="s">
        <v>608</v>
      </c>
      <c r="G677" t="s">
        <v>102</v>
      </c>
      <c r="H677">
        <v>2</v>
      </c>
      <c r="I677">
        <v>2</v>
      </c>
      <c r="J677" s="27">
        <v>89613.22</v>
      </c>
      <c r="K677" s="27">
        <v>10000000</v>
      </c>
    </row>
    <row r="678" spans="1:11" ht="12.75" customHeight="1" x14ac:dyDescent="0.2">
      <c r="A678" t="s">
        <v>7748</v>
      </c>
      <c r="B678" t="s">
        <v>7749</v>
      </c>
      <c r="C678">
        <v>2024</v>
      </c>
      <c r="D678" s="18">
        <v>45302</v>
      </c>
      <c r="E678" s="18">
        <v>45667</v>
      </c>
      <c r="F678" s="18" t="s">
        <v>611</v>
      </c>
      <c r="G678" t="s">
        <v>101</v>
      </c>
      <c r="H678">
        <v>2</v>
      </c>
      <c r="I678">
        <v>2</v>
      </c>
      <c r="J678" s="27">
        <v>35438.400000000001</v>
      </c>
      <c r="K678" s="27">
        <v>2000000</v>
      </c>
    </row>
    <row r="679" spans="1:11" ht="12.75" customHeight="1" x14ac:dyDescent="0.2">
      <c r="A679" t="s">
        <v>7750</v>
      </c>
      <c r="B679" t="s">
        <v>7751</v>
      </c>
      <c r="C679">
        <v>2024</v>
      </c>
      <c r="D679" s="18">
        <v>45302</v>
      </c>
      <c r="E679" s="18">
        <v>45667</v>
      </c>
      <c r="F679" s="18" t="s">
        <v>611</v>
      </c>
      <c r="G679" t="s">
        <v>99</v>
      </c>
      <c r="H679">
        <v>2</v>
      </c>
      <c r="I679">
        <v>2</v>
      </c>
      <c r="J679" s="27">
        <v>42570.19</v>
      </c>
      <c r="K679" s="27">
        <v>5000000</v>
      </c>
    </row>
    <row r="680" spans="1:11" ht="12.75" customHeight="1" x14ac:dyDescent="0.2">
      <c r="A680" t="s">
        <v>7752</v>
      </c>
      <c r="B680" t="s">
        <v>7753</v>
      </c>
      <c r="C680">
        <v>2024</v>
      </c>
      <c r="D680" s="18">
        <v>45302</v>
      </c>
      <c r="E680" s="18">
        <v>45667</v>
      </c>
      <c r="F680" s="18" t="s">
        <v>611</v>
      </c>
      <c r="G680" t="s">
        <v>99</v>
      </c>
      <c r="H680">
        <v>1</v>
      </c>
      <c r="I680">
        <v>2</v>
      </c>
      <c r="J680" s="27">
        <v>15409.99</v>
      </c>
      <c r="K680" s="27">
        <v>2000000</v>
      </c>
    </row>
    <row r="681" spans="1:11" ht="12.75" customHeight="1" x14ac:dyDescent="0.2">
      <c r="A681" t="s">
        <v>7754</v>
      </c>
      <c r="B681" t="s">
        <v>7755</v>
      </c>
      <c r="C681">
        <v>2024</v>
      </c>
      <c r="D681" s="18">
        <v>45302</v>
      </c>
      <c r="E681" s="18">
        <v>45667</v>
      </c>
      <c r="F681" s="18" t="s">
        <v>611</v>
      </c>
      <c r="G681" t="s">
        <v>100</v>
      </c>
      <c r="H681">
        <v>1</v>
      </c>
      <c r="I681">
        <v>1</v>
      </c>
      <c r="J681" s="27">
        <v>13561.42</v>
      </c>
      <c r="K681" s="27">
        <v>1000000</v>
      </c>
    </row>
    <row r="682" spans="1:11" ht="12.75" customHeight="1" x14ac:dyDescent="0.2">
      <c r="A682" t="s">
        <v>7756</v>
      </c>
      <c r="B682" t="s">
        <v>7757</v>
      </c>
      <c r="C682">
        <v>2024</v>
      </c>
      <c r="D682" s="18">
        <v>45302</v>
      </c>
      <c r="E682" s="18">
        <v>45667</v>
      </c>
      <c r="F682" s="18" t="s">
        <v>611</v>
      </c>
      <c r="G682" t="s">
        <v>101</v>
      </c>
      <c r="H682">
        <v>3</v>
      </c>
      <c r="I682">
        <v>6</v>
      </c>
      <c r="J682" s="27">
        <v>68428.210000000006</v>
      </c>
      <c r="K682" s="27">
        <v>4000000</v>
      </c>
    </row>
    <row r="683" spans="1:11" ht="12.75" customHeight="1" x14ac:dyDescent="0.2">
      <c r="A683" t="s">
        <v>7758</v>
      </c>
      <c r="B683" t="s">
        <v>7759</v>
      </c>
      <c r="C683">
        <v>2024</v>
      </c>
      <c r="D683" s="18">
        <v>45303</v>
      </c>
      <c r="E683" s="18">
        <v>45668</v>
      </c>
      <c r="F683" s="18" t="s">
        <v>608</v>
      </c>
      <c r="G683" t="s">
        <v>99</v>
      </c>
      <c r="H683">
        <v>3</v>
      </c>
      <c r="I683">
        <v>3</v>
      </c>
      <c r="J683" s="27">
        <v>12889.55</v>
      </c>
      <c r="K683" s="27">
        <v>1500000</v>
      </c>
    </row>
    <row r="684" spans="1:11" ht="12.75" customHeight="1" x14ac:dyDescent="0.2">
      <c r="A684" t="s">
        <v>7760</v>
      </c>
      <c r="B684" t="s">
        <v>7761</v>
      </c>
      <c r="C684">
        <v>2024</v>
      </c>
      <c r="D684" s="18">
        <v>45303</v>
      </c>
      <c r="E684" s="18">
        <v>45668</v>
      </c>
      <c r="F684" s="18" t="s">
        <v>611</v>
      </c>
      <c r="G684" t="s">
        <v>102</v>
      </c>
      <c r="H684">
        <v>2</v>
      </c>
      <c r="I684">
        <v>4</v>
      </c>
      <c r="J684" s="27">
        <v>9348.2800000000007</v>
      </c>
      <c r="K684" s="27">
        <v>1000000</v>
      </c>
    </row>
    <row r="685" spans="1:11" ht="12.75" customHeight="1" x14ac:dyDescent="0.2">
      <c r="A685" t="s">
        <v>7762</v>
      </c>
      <c r="B685" t="s">
        <v>7763</v>
      </c>
      <c r="C685">
        <v>2024</v>
      </c>
      <c r="D685" s="18">
        <v>45303</v>
      </c>
      <c r="E685" s="18">
        <v>45668</v>
      </c>
      <c r="F685" s="18" t="s">
        <v>611</v>
      </c>
      <c r="G685" t="s">
        <v>99</v>
      </c>
      <c r="H685">
        <v>1</v>
      </c>
      <c r="I685">
        <v>2</v>
      </c>
      <c r="J685" s="27">
        <v>18863.11</v>
      </c>
      <c r="K685" s="27">
        <v>2500000</v>
      </c>
    </row>
    <row r="686" spans="1:11" ht="12.75" customHeight="1" x14ac:dyDescent="0.2">
      <c r="A686" t="s">
        <v>7764</v>
      </c>
      <c r="B686" t="s">
        <v>7765</v>
      </c>
      <c r="C686">
        <v>2024</v>
      </c>
      <c r="D686" s="18">
        <v>45303</v>
      </c>
      <c r="E686" s="18">
        <v>45668</v>
      </c>
      <c r="F686" s="18" t="s">
        <v>611</v>
      </c>
      <c r="G686" t="s">
        <v>101</v>
      </c>
      <c r="H686">
        <v>2</v>
      </c>
      <c r="I686">
        <v>4</v>
      </c>
      <c r="J686" s="27">
        <v>84068.59</v>
      </c>
      <c r="K686" s="27">
        <v>4500000</v>
      </c>
    </row>
    <row r="687" spans="1:11" ht="12.75" customHeight="1" x14ac:dyDescent="0.2">
      <c r="A687" t="s">
        <v>7766</v>
      </c>
      <c r="B687" t="s">
        <v>7767</v>
      </c>
      <c r="C687">
        <v>2024</v>
      </c>
      <c r="D687" s="18">
        <v>45303</v>
      </c>
      <c r="E687" s="18">
        <v>45668</v>
      </c>
      <c r="F687" s="18" t="s">
        <v>611</v>
      </c>
      <c r="G687" t="s">
        <v>100</v>
      </c>
      <c r="H687">
        <v>3</v>
      </c>
      <c r="I687">
        <v>6</v>
      </c>
      <c r="J687" s="27">
        <v>5890.13</v>
      </c>
      <c r="K687" s="27">
        <v>500000</v>
      </c>
    </row>
    <row r="688" spans="1:11" ht="12.75" customHeight="1" x14ac:dyDescent="0.2">
      <c r="A688" t="s">
        <v>7768</v>
      </c>
      <c r="B688" t="s">
        <v>7769</v>
      </c>
      <c r="C688">
        <v>2024</v>
      </c>
      <c r="D688" s="18">
        <v>45303</v>
      </c>
      <c r="E688" s="18">
        <v>45668</v>
      </c>
      <c r="F688" s="18" t="s">
        <v>611</v>
      </c>
      <c r="G688" t="s">
        <v>99</v>
      </c>
      <c r="H688">
        <v>1</v>
      </c>
      <c r="I688">
        <v>1</v>
      </c>
      <c r="J688" s="27">
        <v>4202.37</v>
      </c>
      <c r="K688" s="27">
        <v>500000</v>
      </c>
    </row>
    <row r="689" spans="1:11" ht="12.75" customHeight="1" x14ac:dyDescent="0.2">
      <c r="A689" t="s">
        <v>7770</v>
      </c>
      <c r="B689" t="s">
        <v>7771</v>
      </c>
      <c r="C689">
        <v>2024</v>
      </c>
      <c r="D689" s="18">
        <v>45303</v>
      </c>
      <c r="E689" s="18">
        <v>45668</v>
      </c>
      <c r="F689" s="18" t="s">
        <v>611</v>
      </c>
      <c r="G689" t="s">
        <v>101</v>
      </c>
      <c r="H689">
        <v>3</v>
      </c>
      <c r="I689">
        <v>3</v>
      </c>
      <c r="J689" s="27">
        <v>15728.89</v>
      </c>
      <c r="K689" s="27">
        <v>1000000</v>
      </c>
    </row>
    <row r="690" spans="1:11" ht="12.75" customHeight="1" x14ac:dyDescent="0.2">
      <c r="A690" t="s">
        <v>7772</v>
      </c>
      <c r="B690" t="s">
        <v>7773</v>
      </c>
      <c r="C690">
        <v>2024</v>
      </c>
      <c r="D690" s="18">
        <v>45304</v>
      </c>
      <c r="E690" s="18">
        <v>45669</v>
      </c>
      <c r="F690" s="18" t="s">
        <v>608</v>
      </c>
      <c r="G690" t="s">
        <v>101</v>
      </c>
      <c r="H690">
        <v>1</v>
      </c>
      <c r="I690">
        <v>1</v>
      </c>
      <c r="J690" s="27">
        <v>37079.449999999997</v>
      </c>
      <c r="K690" s="27">
        <v>2000000</v>
      </c>
    </row>
    <row r="691" spans="1:11" ht="12.75" customHeight="1" x14ac:dyDescent="0.2">
      <c r="A691" t="s">
        <v>7774</v>
      </c>
      <c r="B691" t="s">
        <v>7775</v>
      </c>
      <c r="C691">
        <v>2024</v>
      </c>
      <c r="D691" s="18">
        <v>45304</v>
      </c>
      <c r="E691" s="18">
        <v>45669</v>
      </c>
      <c r="F691" s="18" t="s">
        <v>608</v>
      </c>
      <c r="G691" t="s">
        <v>100</v>
      </c>
      <c r="H691">
        <v>2</v>
      </c>
      <c r="I691">
        <v>2</v>
      </c>
      <c r="J691" s="27">
        <v>41018.76</v>
      </c>
      <c r="K691" s="27">
        <v>3000000</v>
      </c>
    </row>
    <row r="692" spans="1:11" ht="12.75" customHeight="1" x14ac:dyDescent="0.2">
      <c r="A692" t="s">
        <v>7776</v>
      </c>
      <c r="B692" t="s">
        <v>7777</v>
      </c>
      <c r="C692">
        <v>2024</v>
      </c>
      <c r="D692" s="18">
        <v>45304</v>
      </c>
      <c r="E692" s="18">
        <v>45669</v>
      </c>
      <c r="F692" s="18" t="s">
        <v>611</v>
      </c>
      <c r="G692" t="s">
        <v>100</v>
      </c>
      <c r="H692">
        <v>1</v>
      </c>
      <c r="I692">
        <v>1</v>
      </c>
      <c r="J692" s="27">
        <v>6772.47</v>
      </c>
      <c r="K692" s="27">
        <v>500000</v>
      </c>
    </row>
    <row r="693" spans="1:11" ht="12.75" customHeight="1" x14ac:dyDescent="0.2">
      <c r="A693" t="s">
        <v>7778</v>
      </c>
      <c r="B693" t="s">
        <v>7779</v>
      </c>
      <c r="C693">
        <v>2024</v>
      </c>
      <c r="D693" s="18">
        <v>45304</v>
      </c>
      <c r="E693" s="18">
        <v>45669</v>
      </c>
      <c r="F693" s="18" t="s">
        <v>611</v>
      </c>
      <c r="G693" t="s">
        <v>100</v>
      </c>
      <c r="H693">
        <v>1</v>
      </c>
      <c r="I693">
        <v>2</v>
      </c>
      <c r="J693" s="27">
        <v>139879.67000000001</v>
      </c>
      <c r="K693" s="27">
        <v>10000000</v>
      </c>
    </row>
    <row r="694" spans="1:11" ht="12.75" customHeight="1" x14ac:dyDescent="0.2">
      <c r="A694" t="s">
        <v>7780</v>
      </c>
      <c r="B694" t="s">
        <v>7781</v>
      </c>
      <c r="C694">
        <v>2024</v>
      </c>
      <c r="D694" s="18">
        <v>45304</v>
      </c>
      <c r="E694" s="18">
        <v>45669</v>
      </c>
      <c r="F694" s="18" t="s">
        <v>611</v>
      </c>
      <c r="G694" t="s">
        <v>99</v>
      </c>
      <c r="H694">
        <v>2</v>
      </c>
      <c r="I694">
        <v>4</v>
      </c>
      <c r="J694" s="27">
        <v>8396.65</v>
      </c>
      <c r="K694" s="27">
        <v>1000000</v>
      </c>
    </row>
    <row r="695" spans="1:11" ht="12.75" customHeight="1" x14ac:dyDescent="0.2">
      <c r="A695" t="s">
        <v>7782</v>
      </c>
      <c r="B695" t="s">
        <v>7783</v>
      </c>
      <c r="C695">
        <v>2024</v>
      </c>
      <c r="D695" s="18">
        <v>45304</v>
      </c>
      <c r="E695" s="18">
        <v>45669</v>
      </c>
      <c r="F695" s="18" t="s">
        <v>611</v>
      </c>
      <c r="G695" t="s">
        <v>101</v>
      </c>
      <c r="H695">
        <v>1</v>
      </c>
      <c r="I695">
        <v>1</v>
      </c>
      <c r="J695" s="27">
        <v>77831.990000000005</v>
      </c>
      <c r="K695" s="27">
        <v>4500000</v>
      </c>
    </row>
    <row r="696" spans="1:11" ht="12.75" customHeight="1" x14ac:dyDescent="0.2">
      <c r="A696" t="s">
        <v>7784</v>
      </c>
      <c r="B696" t="s">
        <v>7785</v>
      </c>
      <c r="C696">
        <v>2024</v>
      </c>
      <c r="D696" s="18">
        <v>45304</v>
      </c>
      <c r="E696" s="18">
        <v>45669</v>
      </c>
      <c r="F696" s="18" t="s">
        <v>611</v>
      </c>
      <c r="G696" t="s">
        <v>100</v>
      </c>
      <c r="H696">
        <v>1</v>
      </c>
      <c r="I696">
        <v>1</v>
      </c>
      <c r="J696" s="27">
        <v>42288.61</v>
      </c>
      <c r="K696" s="27">
        <v>3000000</v>
      </c>
    </row>
    <row r="697" spans="1:11" ht="12.75" customHeight="1" x14ac:dyDescent="0.2">
      <c r="A697" t="s">
        <v>7786</v>
      </c>
      <c r="B697" t="s">
        <v>7787</v>
      </c>
      <c r="C697">
        <v>2024</v>
      </c>
      <c r="D697" s="18">
        <v>45304</v>
      </c>
      <c r="E697" s="18">
        <v>45669</v>
      </c>
      <c r="F697" s="18" t="s">
        <v>611</v>
      </c>
      <c r="G697" t="s">
        <v>99</v>
      </c>
      <c r="H697">
        <v>2</v>
      </c>
      <c r="I697">
        <v>2</v>
      </c>
      <c r="J697" s="27">
        <v>8127.38</v>
      </c>
      <c r="K697" s="27">
        <v>1000000</v>
      </c>
    </row>
    <row r="698" spans="1:11" ht="12.75" customHeight="1" x14ac:dyDescent="0.2">
      <c r="A698" t="s">
        <v>7788</v>
      </c>
      <c r="B698" t="s">
        <v>7789</v>
      </c>
      <c r="C698">
        <v>2024</v>
      </c>
      <c r="D698" s="18">
        <v>45304</v>
      </c>
      <c r="E698" s="18">
        <v>45669</v>
      </c>
      <c r="F698" s="18" t="s">
        <v>611</v>
      </c>
      <c r="G698" t="s">
        <v>99</v>
      </c>
      <c r="H698">
        <v>2</v>
      </c>
      <c r="I698">
        <v>4</v>
      </c>
      <c r="J698" s="27">
        <v>17241.88</v>
      </c>
      <c r="K698" s="27">
        <v>2000000</v>
      </c>
    </row>
    <row r="699" spans="1:11" ht="12.75" customHeight="1" x14ac:dyDescent="0.2">
      <c r="A699" t="s">
        <v>7790</v>
      </c>
      <c r="B699" t="s">
        <v>7791</v>
      </c>
      <c r="C699">
        <v>2024</v>
      </c>
      <c r="D699" s="18">
        <v>45305</v>
      </c>
      <c r="E699" s="18">
        <v>45670</v>
      </c>
      <c r="F699" s="18" t="s">
        <v>608</v>
      </c>
      <c r="G699" t="s">
        <v>102</v>
      </c>
      <c r="H699">
        <v>1</v>
      </c>
      <c r="I699">
        <v>1</v>
      </c>
      <c r="J699" s="27">
        <v>17859.78</v>
      </c>
      <c r="K699" s="27">
        <v>2000000</v>
      </c>
    </row>
    <row r="700" spans="1:11" ht="12.75" customHeight="1" x14ac:dyDescent="0.2">
      <c r="A700" t="s">
        <v>7792</v>
      </c>
      <c r="B700" t="s">
        <v>7793</v>
      </c>
      <c r="C700">
        <v>2024</v>
      </c>
      <c r="D700" s="18">
        <v>45305</v>
      </c>
      <c r="E700" s="18">
        <v>45670</v>
      </c>
      <c r="F700" s="18" t="s">
        <v>611</v>
      </c>
      <c r="G700" t="s">
        <v>101</v>
      </c>
      <c r="H700">
        <v>2</v>
      </c>
      <c r="I700">
        <v>4</v>
      </c>
      <c r="J700" s="27">
        <v>34568.230000000003</v>
      </c>
      <c r="K700" s="27">
        <v>2000000</v>
      </c>
    </row>
    <row r="701" spans="1:11" ht="12.75" customHeight="1" x14ac:dyDescent="0.2">
      <c r="A701" t="s">
        <v>7794</v>
      </c>
      <c r="B701" t="s">
        <v>7795</v>
      </c>
      <c r="C701">
        <v>2024</v>
      </c>
      <c r="D701" s="18">
        <v>45305</v>
      </c>
      <c r="E701" s="18">
        <v>45670</v>
      </c>
      <c r="F701" s="18" t="s">
        <v>611</v>
      </c>
      <c r="G701" t="s">
        <v>99</v>
      </c>
      <c r="H701">
        <v>1</v>
      </c>
      <c r="I701">
        <v>1</v>
      </c>
      <c r="J701" s="27">
        <v>30564.9</v>
      </c>
      <c r="K701" s="27">
        <v>4000000</v>
      </c>
    </row>
    <row r="702" spans="1:11" ht="12.75" customHeight="1" x14ac:dyDescent="0.2">
      <c r="A702" t="s">
        <v>7796</v>
      </c>
      <c r="B702" t="s">
        <v>7797</v>
      </c>
      <c r="C702">
        <v>2024</v>
      </c>
      <c r="D702" s="18">
        <v>45305</v>
      </c>
      <c r="E702" s="18">
        <v>45670</v>
      </c>
      <c r="F702" s="18" t="s">
        <v>611</v>
      </c>
      <c r="G702" t="s">
        <v>99</v>
      </c>
      <c r="H702">
        <v>1</v>
      </c>
      <c r="I702">
        <v>1</v>
      </c>
      <c r="J702" s="27">
        <v>31106.54</v>
      </c>
      <c r="K702" s="27">
        <v>3500000</v>
      </c>
    </row>
    <row r="703" spans="1:11" ht="12.75" customHeight="1" x14ac:dyDescent="0.2">
      <c r="A703" t="s">
        <v>7798</v>
      </c>
      <c r="B703" t="s">
        <v>7799</v>
      </c>
      <c r="C703">
        <v>2024</v>
      </c>
      <c r="D703" s="18">
        <v>45305</v>
      </c>
      <c r="E703" s="18">
        <v>45670</v>
      </c>
      <c r="F703" s="18" t="s">
        <v>611</v>
      </c>
      <c r="G703" t="s">
        <v>100</v>
      </c>
      <c r="H703">
        <v>1</v>
      </c>
      <c r="I703">
        <v>2</v>
      </c>
      <c r="J703" s="27">
        <v>56986.52</v>
      </c>
      <c r="K703" s="27">
        <v>4000000</v>
      </c>
    </row>
    <row r="704" spans="1:11" ht="12.75" customHeight="1" x14ac:dyDescent="0.2">
      <c r="A704" t="s">
        <v>7800</v>
      </c>
      <c r="B704" t="s">
        <v>7801</v>
      </c>
      <c r="C704">
        <v>2024</v>
      </c>
      <c r="D704" s="18">
        <v>45305</v>
      </c>
      <c r="E704" s="18">
        <v>45670</v>
      </c>
      <c r="F704" s="18" t="s">
        <v>611</v>
      </c>
      <c r="G704" t="s">
        <v>100</v>
      </c>
      <c r="H704">
        <v>3</v>
      </c>
      <c r="I704">
        <v>3</v>
      </c>
      <c r="J704" s="27">
        <v>23572.53</v>
      </c>
      <c r="K704" s="27">
        <v>2000000</v>
      </c>
    </row>
    <row r="705" spans="1:11" ht="12.75" customHeight="1" x14ac:dyDescent="0.2">
      <c r="A705" t="s">
        <v>7802</v>
      </c>
      <c r="B705" t="s">
        <v>7803</v>
      </c>
      <c r="C705">
        <v>2024</v>
      </c>
      <c r="D705" s="18">
        <v>45305</v>
      </c>
      <c r="E705" s="18">
        <v>45670</v>
      </c>
      <c r="F705" s="18" t="s">
        <v>611</v>
      </c>
      <c r="G705" t="s">
        <v>100</v>
      </c>
      <c r="H705">
        <v>1</v>
      </c>
      <c r="I705">
        <v>2</v>
      </c>
      <c r="J705" s="27">
        <v>25446.25</v>
      </c>
      <c r="K705" s="27">
        <v>2000000</v>
      </c>
    </row>
    <row r="706" spans="1:11" ht="12.75" customHeight="1" x14ac:dyDescent="0.2">
      <c r="A706" t="s">
        <v>7804</v>
      </c>
      <c r="B706" t="s">
        <v>7805</v>
      </c>
      <c r="C706">
        <v>2024</v>
      </c>
      <c r="D706" s="18">
        <v>45305</v>
      </c>
      <c r="E706" s="18">
        <v>45670</v>
      </c>
      <c r="F706" s="18" t="s">
        <v>611</v>
      </c>
      <c r="G706" t="s">
        <v>99</v>
      </c>
      <c r="H706">
        <v>1</v>
      </c>
      <c r="I706">
        <v>1</v>
      </c>
      <c r="J706" s="27">
        <v>25998.71</v>
      </c>
      <c r="K706" s="27">
        <v>3000000</v>
      </c>
    </row>
    <row r="707" spans="1:11" ht="12.75" customHeight="1" x14ac:dyDescent="0.2">
      <c r="A707" t="s">
        <v>7806</v>
      </c>
      <c r="B707" t="s">
        <v>7807</v>
      </c>
      <c r="C707">
        <v>2024</v>
      </c>
      <c r="D707" s="18">
        <v>45305</v>
      </c>
      <c r="E707" s="18">
        <v>45670</v>
      </c>
      <c r="F707" s="18" t="s">
        <v>611</v>
      </c>
      <c r="G707" t="s">
        <v>101</v>
      </c>
      <c r="H707">
        <v>2</v>
      </c>
      <c r="I707">
        <v>4</v>
      </c>
      <c r="J707" s="27">
        <v>18479.310000000001</v>
      </c>
      <c r="K707" s="27">
        <v>1000000</v>
      </c>
    </row>
    <row r="708" spans="1:11" ht="12.75" customHeight="1" x14ac:dyDescent="0.2">
      <c r="A708" t="s">
        <v>7808</v>
      </c>
      <c r="B708" t="s">
        <v>7809</v>
      </c>
      <c r="C708">
        <v>2024</v>
      </c>
      <c r="D708" s="18">
        <v>45306</v>
      </c>
      <c r="E708" s="18">
        <v>45671</v>
      </c>
      <c r="F708" s="18" t="s">
        <v>608</v>
      </c>
      <c r="G708" t="s">
        <v>99</v>
      </c>
      <c r="H708">
        <v>1</v>
      </c>
      <c r="I708">
        <v>1</v>
      </c>
      <c r="J708" s="27">
        <v>24754.12</v>
      </c>
      <c r="K708" s="27">
        <v>3000000</v>
      </c>
    </row>
    <row r="709" spans="1:11" ht="12.75" customHeight="1" x14ac:dyDescent="0.2">
      <c r="A709" t="s">
        <v>7810</v>
      </c>
      <c r="B709" t="s">
        <v>7811</v>
      </c>
      <c r="C709">
        <v>2024</v>
      </c>
      <c r="D709" s="18">
        <v>45306</v>
      </c>
      <c r="E709" s="18">
        <v>45671</v>
      </c>
      <c r="F709" s="18" t="s">
        <v>608</v>
      </c>
      <c r="G709" t="s">
        <v>101</v>
      </c>
      <c r="H709">
        <v>2</v>
      </c>
      <c r="I709">
        <v>2</v>
      </c>
      <c r="J709" s="27">
        <v>17725.21</v>
      </c>
      <c r="K709" s="27">
        <v>1000000</v>
      </c>
    </row>
    <row r="710" spans="1:11" ht="12.75" customHeight="1" x14ac:dyDescent="0.2">
      <c r="A710" t="s">
        <v>7812</v>
      </c>
      <c r="B710" t="s">
        <v>7813</v>
      </c>
      <c r="C710">
        <v>2024</v>
      </c>
      <c r="D710" s="18">
        <v>45306</v>
      </c>
      <c r="E710" s="18">
        <v>45671</v>
      </c>
      <c r="F710" s="18" t="s">
        <v>608</v>
      </c>
      <c r="G710" t="s">
        <v>100</v>
      </c>
      <c r="H710">
        <v>2</v>
      </c>
      <c r="I710">
        <v>2</v>
      </c>
      <c r="J710" s="27">
        <v>12102.94</v>
      </c>
      <c r="K710" s="27">
        <v>1000000</v>
      </c>
    </row>
    <row r="711" spans="1:11" ht="12.75" customHeight="1" x14ac:dyDescent="0.2">
      <c r="A711" t="s">
        <v>7814</v>
      </c>
      <c r="B711" t="s">
        <v>7815</v>
      </c>
      <c r="C711">
        <v>2024</v>
      </c>
      <c r="D711" s="18">
        <v>45306</v>
      </c>
      <c r="E711" s="18">
        <v>45671</v>
      </c>
      <c r="F711" s="18" t="s">
        <v>611</v>
      </c>
      <c r="G711" t="s">
        <v>101</v>
      </c>
      <c r="H711">
        <v>1</v>
      </c>
      <c r="I711">
        <v>1</v>
      </c>
      <c r="J711" s="27">
        <v>75840.460000000006</v>
      </c>
      <c r="K711" s="27">
        <v>4000000</v>
      </c>
    </row>
    <row r="712" spans="1:11" ht="12.75" customHeight="1" x14ac:dyDescent="0.2">
      <c r="A712" t="s">
        <v>7816</v>
      </c>
      <c r="B712" t="s">
        <v>7817</v>
      </c>
      <c r="C712">
        <v>2024</v>
      </c>
      <c r="D712" s="18">
        <v>45306</v>
      </c>
      <c r="E712" s="18">
        <v>45671</v>
      </c>
      <c r="F712" s="18" t="s">
        <v>611</v>
      </c>
      <c r="G712" t="s">
        <v>101</v>
      </c>
      <c r="H712">
        <v>2</v>
      </c>
      <c r="I712">
        <v>4</v>
      </c>
      <c r="J712" s="27">
        <v>17967.03</v>
      </c>
      <c r="K712" s="27">
        <v>1000000</v>
      </c>
    </row>
    <row r="713" spans="1:11" ht="12.75" customHeight="1" x14ac:dyDescent="0.2">
      <c r="A713" t="s">
        <v>7818</v>
      </c>
      <c r="B713" t="s">
        <v>7819</v>
      </c>
      <c r="C713">
        <v>2024</v>
      </c>
      <c r="D713" s="18">
        <v>45306</v>
      </c>
      <c r="E713" s="18">
        <v>45671</v>
      </c>
      <c r="F713" s="18" t="s">
        <v>611</v>
      </c>
      <c r="G713" t="s">
        <v>99</v>
      </c>
      <c r="H713">
        <v>2</v>
      </c>
      <c r="I713">
        <v>4</v>
      </c>
      <c r="J713" s="27">
        <v>16921.48</v>
      </c>
      <c r="K713" s="27">
        <v>2000000</v>
      </c>
    </row>
    <row r="714" spans="1:11" ht="12.75" customHeight="1" x14ac:dyDescent="0.2">
      <c r="A714" t="s">
        <v>7820</v>
      </c>
      <c r="B714" t="s">
        <v>7821</v>
      </c>
      <c r="C714">
        <v>2024</v>
      </c>
      <c r="D714" s="18">
        <v>45306</v>
      </c>
      <c r="E714" s="18">
        <v>45671</v>
      </c>
      <c r="F714" s="18" t="s">
        <v>611</v>
      </c>
      <c r="G714" t="s">
        <v>100</v>
      </c>
      <c r="H714">
        <v>1</v>
      </c>
      <c r="I714">
        <v>2</v>
      </c>
      <c r="J714" s="27">
        <v>13073.53</v>
      </c>
      <c r="K714" s="27">
        <v>1000000</v>
      </c>
    </row>
    <row r="715" spans="1:11" ht="12.75" customHeight="1" x14ac:dyDescent="0.2">
      <c r="A715" t="s">
        <v>7822</v>
      </c>
      <c r="B715" t="s">
        <v>7823</v>
      </c>
      <c r="C715">
        <v>2024</v>
      </c>
      <c r="D715" s="18">
        <v>45307</v>
      </c>
      <c r="E715" s="18">
        <v>45672</v>
      </c>
      <c r="F715" s="18" t="s">
        <v>608</v>
      </c>
      <c r="G715" t="s">
        <v>99</v>
      </c>
      <c r="H715">
        <v>2</v>
      </c>
      <c r="I715">
        <v>2</v>
      </c>
      <c r="J715" s="27">
        <v>37591.68</v>
      </c>
      <c r="K715" s="27">
        <v>4500000</v>
      </c>
    </row>
    <row r="716" spans="1:11" ht="15" customHeight="1" x14ac:dyDescent="0.2">
      <c r="A716" t="s">
        <v>7824</v>
      </c>
      <c r="B716" t="s">
        <v>7825</v>
      </c>
      <c r="C716">
        <v>2024</v>
      </c>
      <c r="D716" s="18">
        <v>45307</v>
      </c>
      <c r="E716" s="18">
        <v>45672</v>
      </c>
      <c r="F716" s="18" t="s">
        <v>611</v>
      </c>
      <c r="G716" t="s">
        <v>99</v>
      </c>
      <c r="H716">
        <v>1</v>
      </c>
      <c r="I716">
        <v>2</v>
      </c>
      <c r="J716" s="27">
        <v>37102.75</v>
      </c>
      <c r="K716" s="27">
        <v>4500000</v>
      </c>
    </row>
    <row r="717" spans="1:11" ht="15" customHeight="1" x14ac:dyDescent="0.2">
      <c r="A717" t="s">
        <v>7826</v>
      </c>
      <c r="B717" t="s">
        <v>7827</v>
      </c>
      <c r="C717">
        <v>2024</v>
      </c>
      <c r="D717" s="18">
        <v>45307</v>
      </c>
      <c r="E717" s="18">
        <v>45672</v>
      </c>
      <c r="F717" s="18" t="s">
        <v>611</v>
      </c>
      <c r="G717" t="s">
        <v>100</v>
      </c>
      <c r="H717">
        <v>1</v>
      </c>
      <c r="I717">
        <v>2</v>
      </c>
      <c r="J717" s="27">
        <v>20024.64</v>
      </c>
      <c r="K717" s="27">
        <v>1500000</v>
      </c>
    </row>
    <row r="718" spans="1:11" ht="15" customHeight="1" x14ac:dyDescent="0.2">
      <c r="A718" t="s">
        <v>7828</v>
      </c>
      <c r="B718" t="s">
        <v>7829</v>
      </c>
      <c r="C718">
        <v>2024</v>
      </c>
      <c r="D718" s="18">
        <v>45307</v>
      </c>
      <c r="E718" s="18">
        <v>45672</v>
      </c>
      <c r="F718" s="18" t="s">
        <v>611</v>
      </c>
      <c r="G718" t="s">
        <v>102</v>
      </c>
      <c r="H718">
        <v>2</v>
      </c>
      <c r="I718">
        <v>4</v>
      </c>
      <c r="J718" s="27">
        <v>26212.52</v>
      </c>
      <c r="K718" s="27">
        <v>3000000</v>
      </c>
    </row>
    <row r="719" spans="1:11" ht="15" customHeight="1" x14ac:dyDescent="0.2">
      <c r="A719" t="s">
        <v>7830</v>
      </c>
      <c r="B719" t="s">
        <v>7831</v>
      </c>
      <c r="C719">
        <v>2024</v>
      </c>
      <c r="D719" s="18">
        <v>45307</v>
      </c>
      <c r="E719" s="18">
        <v>45672</v>
      </c>
      <c r="F719" s="18" t="s">
        <v>611</v>
      </c>
      <c r="G719" t="s">
        <v>101</v>
      </c>
      <c r="H719">
        <v>1</v>
      </c>
      <c r="I719">
        <v>2</v>
      </c>
      <c r="J719" s="27">
        <v>64199.67</v>
      </c>
      <c r="K719" s="27">
        <v>3500000</v>
      </c>
    </row>
    <row r="720" spans="1:11" ht="15" customHeight="1" x14ac:dyDescent="0.2">
      <c r="A720" t="s">
        <v>7832</v>
      </c>
      <c r="B720" t="s">
        <v>7833</v>
      </c>
      <c r="C720">
        <v>2024</v>
      </c>
      <c r="D720" s="18">
        <v>45307</v>
      </c>
      <c r="E720" s="18">
        <v>45672</v>
      </c>
      <c r="F720" s="18" t="s">
        <v>611</v>
      </c>
      <c r="G720" t="s">
        <v>99</v>
      </c>
      <c r="H720">
        <v>2</v>
      </c>
      <c r="I720">
        <v>2</v>
      </c>
      <c r="J720" s="27">
        <v>8716.42</v>
      </c>
      <c r="K720" s="27">
        <v>1000000</v>
      </c>
    </row>
    <row r="721" spans="1:11" ht="15" customHeight="1" x14ac:dyDescent="0.2">
      <c r="A721" t="s">
        <v>7834</v>
      </c>
      <c r="B721" t="s">
        <v>7835</v>
      </c>
      <c r="C721">
        <v>2024</v>
      </c>
      <c r="D721" s="18">
        <v>45307</v>
      </c>
      <c r="E721" s="18">
        <v>45672</v>
      </c>
      <c r="F721" s="18" t="s">
        <v>611</v>
      </c>
      <c r="G721" t="s">
        <v>101</v>
      </c>
      <c r="H721">
        <v>2</v>
      </c>
      <c r="I721">
        <v>2</v>
      </c>
      <c r="J721" s="27">
        <v>68109.52</v>
      </c>
      <c r="K721" s="27">
        <v>4000000</v>
      </c>
    </row>
    <row r="722" spans="1:11" ht="15" customHeight="1" x14ac:dyDescent="0.2">
      <c r="A722" t="s">
        <v>7836</v>
      </c>
      <c r="B722" t="s">
        <v>7837</v>
      </c>
      <c r="C722">
        <v>2024</v>
      </c>
      <c r="D722" s="18">
        <v>45307</v>
      </c>
      <c r="E722" s="18">
        <v>45672</v>
      </c>
      <c r="F722" s="18" t="s">
        <v>611</v>
      </c>
      <c r="G722" t="s">
        <v>102</v>
      </c>
      <c r="H722">
        <v>1</v>
      </c>
      <c r="I722">
        <v>1</v>
      </c>
      <c r="J722" s="27">
        <v>94080.7</v>
      </c>
      <c r="K722" s="27">
        <v>10000000</v>
      </c>
    </row>
    <row r="723" spans="1:11" ht="15" customHeight="1" x14ac:dyDescent="0.2">
      <c r="A723" t="s">
        <v>7838</v>
      </c>
      <c r="B723" t="s">
        <v>7839</v>
      </c>
      <c r="C723">
        <v>2024</v>
      </c>
      <c r="D723" s="18">
        <v>45308</v>
      </c>
      <c r="E723" s="18">
        <v>45673</v>
      </c>
      <c r="F723" s="18" t="s">
        <v>608</v>
      </c>
      <c r="G723" t="s">
        <v>101</v>
      </c>
      <c r="H723">
        <v>1</v>
      </c>
      <c r="I723">
        <v>1</v>
      </c>
      <c r="J723" s="27">
        <v>32705.19</v>
      </c>
      <c r="K723" s="27">
        <v>2000000</v>
      </c>
    </row>
    <row r="724" spans="1:11" ht="15" customHeight="1" x14ac:dyDescent="0.2">
      <c r="A724" t="s">
        <v>7840</v>
      </c>
      <c r="B724" t="s">
        <v>7841</v>
      </c>
      <c r="C724">
        <v>2024</v>
      </c>
      <c r="D724" s="18">
        <v>45308</v>
      </c>
      <c r="E724" s="18">
        <v>45673</v>
      </c>
      <c r="F724" s="18" t="s">
        <v>611</v>
      </c>
      <c r="G724" t="s">
        <v>100</v>
      </c>
      <c r="H724">
        <v>1</v>
      </c>
      <c r="I724">
        <v>2</v>
      </c>
      <c r="J724" s="27">
        <v>12059.62</v>
      </c>
      <c r="K724" s="27">
        <v>1000000</v>
      </c>
    </row>
    <row r="725" spans="1:11" ht="15" customHeight="1" x14ac:dyDescent="0.2">
      <c r="A725" t="s">
        <v>7842</v>
      </c>
      <c r="B725" t="s">
        <v>7843</v>
      </c>
      <c r="C725">
        <v>2024</v>
      </c>
      <c r="D725" s="18">
        <v>45308</v>
      </c>
      <c r="E725" s="18">
        <v>45673</v>
      </c>
      <c r="F725" s="18" t="s">
        <v>611</v>
      </c>
      <c r="G725" t="s">
        <v>101</v>
      </c>
      <c r="H725">
        <v>1</v>
      </c>
      <c r="I725">
        <v>2</v>
      </c>
      <c r="J725" s="27">
        <v>66030.23</v>
      </c>
      <c r="K725" s="27">
        <v>4000000</v>
      </c>
    </row>
    <row r="726" spans="1:11" ht="15" customHeight="1" x14ac:dyDescent="0.2">
      <c r="A726" t="s">
        <v>7844</v>
      </c>
      <c r="B726" t="s">
        <v>7845</v>
      </c>
      <c r="C726">
        <v>2024</v>
      </c>
      <c r="D726" s="18">
        <v>45308</v>
      </c>
      <c r="E726" s="18">
        <v>45673</v>
      </c>
      <c r="F726" s="18" t="s">
        <v>611</v>
      </c>
      <c r="G726" t="s">
        <v>100</v>
      </c>
      <c r="H726">
        <v>3</v>
      </c>
      <c r="I726">
        <v>6</v>
      </c>
      <c r="J726" s="27">
        <v>60372.66</v>
      </c>
      <c r="K726" s="27">
        <v>4500000</v>
      </c>
    </row>
    <row r="727" spans="1:11" ht="15" customHeight="1" x14ac:dyDescent="0.2">
      <c r="A727" t="s">
        <v>7846</v>
      </c>
      <c r="B727" t="s">
        <v>7847</v>
      </c>
      <c r="C727">
        <v>2024</v>
      </c>
      <c r="D727" s="18">
        <v>45309</v>
      </c>
      <c r="E727" s="18">
        <v>45674</v>
      </c>
      <c r="F727" s="18" t="s">
        <v>608</v>
      </c>
      <c r="G727" t="s">
        <v>101</v>
      </c>
      <c r="H727">
        <v>2</v>
      </c>
      <c r="I727">
        <v>2</v>
      </c>
      <c r="J727" s="27">
        <v>83244.240000000005</v>
      </c>
      <c r="K727" s="27">
        <v>5000000</v>
      </c>
    </row>
    <row r="728" spans="1:11" ht="15" customHeight="1" x14ac:dyDescent="0.2">
      <c r="A728" t="s">
        <v>7848</v>
      </c>
      <c r="B728" t="s">
        <v>7849</v>
      </c>
      <c r="C728">
        <v>2024</v>
      </c>
      <c r="D728" s="18">
        <v>45309</v>
      </c>
      <c r="E728" s="18">
        <v>45674</v>
      </c>
      <c r="F728" s="18" t="s">
        <v>611</v>
      </c>
      <c r="G728" t="s">
        <v>102</v>
      </c>
      <c r="H728">
        <v>2</v>
      </c>
      <c r="I728">
        <v>2</v>
      </c>
      <c r="J728" s="27">
        <v>18688.439999999999</v>
      </c>
      <c r="K728" s="27">
        <v>2000000</v>
      </c>
    </row>
    <row r="729" spans="1:11" ht="15" customHeight="1" x14ac:dyDescent="0.2">
      <c r="A729" t="s">
        <v>7850</v>
      </c>
      <c r="B729" t="s">
        <v>7851</v>
      </c>
      <c r="C729">
        <v>2024</v>
      </c>
      <c r="D729" s="18">
        <v>45309</v>
      </c>
      <c r="E729" s="18">
        <v>45674</v>
      </c>
      <c r="F729" s="18" t="s">
        <v>611</v>
      </c>
      <c r="G729" t="s">
        <v>102</v>
      </c>
      <c r="H729">
        <v>3</v>
      </c>
      <c r="I729">
        <v>3</v>
      </c>
      <c r="J729" s="27">
        <v>17484.560000000001</v>
      </c>
      <c r="K729" s="27">
        <v>2000000</v>
      </c>
    </row>
    <row r="730" spans="1:11" ht="15" customHeight="1" x14ac:dyDescent="0.2">
      <c r="A730" t="s">
        <v>7852</v>
      </c>
      <c r="B730" t="s">
        <v>7853</v>
      </c>
      <c r="C730">
        <v>2024</v>
      </c>
      <c r="D730" s="18">
        <v>45309</v>
      </c>
      <c r="E730" s="18">
        <v>45674</v>
      </c>
      <c r="F730" s="18" t="s">
        <v>611</v>
      </c>
      <c r="G730" t="s">
        <v>100</v>
      </c>
      <c r="H730">
        <v>1</v>
      </c>
      <c r="I730">
        <v>2</v>
      </c>
      <c r="J730" s="27">
        <v>52703.9</v>
      </c>
      <c r="K730" s="27">
        <v>4000000</v>
      </c>
    </row>
    <row r="731" spans="1:11" ht="15" customHeight="1" x14ac:dyDescent="0.2">
      <c r="A731" t="s">
        <v>7854</v>
      </c>
      <c r="B731" t="s">
        <v>7855</v>
      </c>
      <c r="C731">
        <v>2024</v>
      </c>
      <c r="D731" s="18">
        <v>45309</v>
      </c>
      <c r="E731" s="18">
        <v>45674</v>
      </c>
      <c r="F731" s="18" t="s">
        <v>611</v>
      </c>
      <c r="G731" t="s">
        <v>102</v>
      </c>
      <c r="H731">
        <v>1</v>
      </c>
      <c r="I731">
        <v>2</v>
      </c>
      <c r="J731" s="27">
        <v>30029.01</v>
      </c>
      <c r="K731" s="27">
        <v>3500000</v>
      </c>
    </row>
    <row r="732" spans="1:11" ht="15" customHeight="1" x14ac:dyDescent="0.2">
      <c r="A732" t="s">
        <v>7856</v>
      </c>
      <c r="B732" t="s">
        <v>7857</v>
      </c>
      <c r="C732">
        <v>2024</v>
      </c>
      <c r="D732" s="18">
        <v>45309</v>
      </c>
      <c r="E732" s="18">
        <v>45674</v>
      </c>
      <c r="F732" s="18" t="s">
        <v>611</v>
      </c>
      <c r="G732" t="s">
        <v>101</v>
      </c>
      <c r="H732">
        <v>3</v>
      </c>
      <c r="I732">
        <v>3</v>
      </c>
      <c r="J732" s="27">
        <v>37211.519999999997</v>
      </c>
      <c r="K732" s="27">
        <v>2000000</v>
      </c>
    </row>
    <row r="733" spans="1:11" ht="15" customHeight="1" x14ac:dyDescent="0.2">
      <c r="A733" t="s">
        <v>7858</v>
      </c>
      <c r="B733" t="s">
        <v>7859</v>
      </c>
      <c r="C733">
        <v>2024</v>
      </c>
      <c r="D733" s="18">
        <v>45309</v>
      </c>
      <c r="E733" s="18">
        <v>45674</v>
      </c>
      <c r="F733" s="18" t="s">
        <v>611</v>
      </c>
      <c r="G733" t="s">
        <v>101</v>
      </c>
      <c r="H733">
        <v>2</v>
      </c>
      <c r="I733">
        <v>4</v>
      </c>
      <c r="J733" s="27">
        <v>74980.78</v>
      </c>
      <c r="K733" s="27">
        <v>4500000</v>
      </c>
    </row>
    <row r="734" spans="1:11" ht="15" customHeight="1" x14ac:dyDescent="0.2">
      <c r="A734" t="s">
        <v>7860</v>
      </c>
      <c r="B734" t="s">
        <v>7861</v>
      </c>
      <c r="C734">
        <v>2024</v>
      </c>
      <c r="D734" s="18">
        <v>45310</v>
      </c>
      <c r="E734" s="18">
        <v>45675</v>
      </c>
      <c r="F734" s="18" t="s">
        <v>608</v>
      </c>
      <c r="G734" t="s">
        <v>102</v>
      </c>
      <c r="H734">
        <v>3</v>
      </c>
      <c r="I734">
        <v>3</v>
      </c>
      <c r="J734" s="27">
        <v>9414.59</v>
      </c>
      <c r="K734" s="27">
        <v>1000000</v>
      </c>
    </row>
    <row r="735" spans="1:11" ht="15" customHeight="1" x14ac:dyDescent="0.2">
      <c r="A735" t="s">
        <v>7862</v>
      </c>
      <c r="B735" t="s">
        <v>7863</v>
      </c>
      <c r="C735">
        <v>2024</v>
      </c>
      <c r="D735" s="18">
        <v>45310</v>
      </c>
      <c r="E735" s="18">
        <v>45675</v>
      </c>
      <c r="F735" s="18" t="s">
        <v>608</v>
      </c>
      <c r="G735" t="s">
        <v>102</v>
      </c>
      <c r="H735">
        <v>1</v>
      </c>
      <c r="I735">
        <v>2</v>
      </c>
      <c r="J735" s="27">
        <v>14094.56</v>
      </c>
      <c r="K735" s="27">
        <v>1500000</v>
      </c>
    </row>
    <row r="736" spans="1:11" ht="15" customHeight="1" x14ac:dyDescent="0.2">
      <c r="A736" t="s">
        <v>7864</v>
      </c>
      <c r="B736" t="s">
        <v>7865</v>
      </c>
      <c r="C736">
        <v>2024</v>
      </c>
      <c r="D736" s="18">
        <v>45310</v>
      </c>
      <c r="E736" s="18">
        <v>45675</v>
      </c>
      <c r="F736" s="18" t="s">
        <v>611</v>
      </c>
      <c r="G736" t="s">
        <v>99</v>
      </c>
      <c r="H736">
        <v>3</v>
      </c>
      <c r="I736">
        <v>3</v>
      </c>
      <c r="J736" s="27">
        <v>17058.39</v>
      </c>
      <c r="K736" s="27">
        <v>2000000</v>
      </c>
    </row>
    <row r="737" spans="1:11" ht="15" customHeight="1" x14ac:dyDescent="0.2">
      <c r="A737" t="s">
        <v>7866</v>
      </c>
      <c r="B737" t="s">
        <v>7867</v>
      </c>
      <c r="C737">
        <v>2024</v>
      </c>
      <c r="D737" s="18">
        <v>45310</v>
      </c>
      <c r="E737" s="18">
        <v>45675</v>
      </c>
      <c r="F737" s="18" t="s">
        <v>611</v>
      </c>
      <c r="G737" t="s">
        <v>100</v>
      </c>
      <c r="H737">
        <v>3</v>
      </c>
      <c r="I737">
        <v>6</v>
      </c>
      <c r="J737" s="27">
        <v>48722.19</v>
      </c>
      <c r="K737" s="27">
        <v>4000000</v>
      </c>
    </row>
    <row r="738" spans="1:11" ht="15" customHeight="1" x14ac:dyDescent="0.2">
      <c r="A738" t="s">
        <v>7868</v>
      </c>
      <c r="B738" t="s">
        <v>7869</v>
      </c>
      <c r="C738">
        <v>2024</v>
      </c>
      <c r="D738" s="18">
        <v>45310</v>
      </c>
      <c r="E738" s="18">
        <v>45675</v>
      </c>
      <c r="F738" s="18" t="s">
        <v>611</v>
      </c>
      <c r="G738" t="s">
        <v>99</v>
      </c>
      <c r="H738">
        <v>2</v>
      </c>
      <c r="I738">
        <v>2</v>
      </c>
      <c r="J738" s="27">
        <v>4353.34</v>
      </c>
      <c r="K738" s="27">
        <v>500000</v>
      </c>
    </row>
    <row r="739" spans="1:11" ht="15" customHeight="1" x14ac:dyDescent="0.2">
      <c r="A739" t="s">
        <v>7870</v>
      </c>
      <c r="B739" t="s">
        <v>7871</v>
      </c>
      <c r="C739">
        <v>2024</v>
      </c>
      <c r="D739" s="18">
        <v>45310</v>
      </c>
      <c r="E739" s="18">
        <v>45675</v>
      </c>
      <c r="F739" s="18" t="s">
        <v>611</v>
      </c>
      <c r="G739" t="s">
        <v>102</v>
      </c>
      <c r="H739">
        <v>1</v>
      </c>
      <c r="I739">
        <v>2</v>
      </c>
      <c r="J739" s="27">
        <v>19495.419999999998</v>
      </c>
      <c r="K739" s="27">
        <v>2500000</v>
      </c>
    </row>
    <row r="740" spans="1:11" ht="15" customHeight="1" x14ac:dyDescent="0.2">
      <c r="A740" t="s">
        <v>7872</v>
      </c>
      <c r="B740" t="s">
        <v>7873</v>
      </c>
      <c r="C740">
        <v>2024</v>
      </c>
      <c r="D740" s="18">
        <v>45311</v>
      </c>
      <c r="E740" s="18">
        <v>45676</v>
      </c>
      <c r="F740" s="18" t="s">
        <v>611</v>
      </c>
      <c r="G740" t="s">
        <v>99</v>
      </c>
      <c r="H740">
        <v>1</v>
      </c>
      <c r="I740">
        <v>2</v>
      </c>
      <c r="J740" s="27">
        <v>12157.22</v>
      </c>
      <c r="K740" s="27">
        <v>1500000</v>
      </c>
    </row>
    <row r="741" spans="1:11" ht="15" customHeight="1" x14ac:dyDescent="0.2">
      <c r="A741" t="s">
        <v>7874</v>
      </c>
      <c r="B741" t="s">
        <v>7875</v>
      </c>
      <c r="C741">
        <v>2024</v>
      </c>
      <c r="D741" s="18">
        <v>45311</v>
      </c>
      <c r="E741" s="18">
        <v>45676</v>
      </c>
      <c r="F741" s="18" t="s">
        <v>611</v>
      </c>
      <c r="G741" t="s">
        <v>99</v>
      </c>
      <c r="H741">
        <v>2</v>
      </c>
      <c r="I741">
        <v>4</v>
      </c>
      <c r="J741" s="27">
        <v>41109.910000000003</v>
      </c>
      <c r="K741" s="27">
        <v>5000000</v>
      </c>
    </row>
    <row r="742" spans="1:11" ht="15" customHeight="1" x14ac:dyDescent="0.2">
      <c r="A742" t="s">
        <v>7876</v>
      </c>
      <c r="B742" t="s">
        <v>7877</v>
      </c>
      <c r="C742">
        <v>2024</v>
      </c>
      <c r="D742" s="18">
        <v>45311</v>
      </c>
      <c r="E742" s="18">
        <v>45676</v>
      </c>
      <c r="F742" s="18" t="s">
        <v>611</v>
      </c>
      <c r="G742" t="s">
        <v>101</v>
      </c>
      <c r="H742">
        <v>1</v>
      </c>
      <c r="I742">
        <v>1</v>
      </c>
      <c r="J742" s="27">
        <v>64972.09</v>
      </c>
      <c r="K742" s="27">
        <v>3500000</v>
      </c>
    </row>
    <row r="743" spans="1:11" ht="15" customHeight="1" x14ac:dyDescent="0.2">
      <c r="A743" t="s">
        <v>7878</v>
      </c>
      <c r="B743" t="s">
        <v>7879</v>
      </c>
      <c r="C743">
        <v>2024</v>
      </c>
      <c r="D743" s="18">
        <v>45311</v>
      </c>
      <c r="E743" s="18">
        <v>45676</v>
      </c>
      <c r="F743" s="18" t="s">
        <v>611</v>
      </c>
      <c r="G743" t="s">
        <v>100</v>
      </c>
      <c r="H743">
        <v>2</v>
      </c>
      <c r="I743">
        <v>2</v>
      </c>
      <c r="J743" s="27">
        <v>21175.96</v>
      </c>
      <c r="K743" s="27">
        <v>1500000</v>
      </c>
    </row>
    <row r="744" spans="1:11" ht="15" customHeight="1" x14ac:dyDescent="0.2">
      <c r="A744" t="s">
        <v>7880</v>
      </c>
      <c r="B744" t="s">
        <v>7881</v>
      </c>
      <c r="C744">
        <v>2024</v>
      </c>
      <c r="D744" s="18">
        <v>45311</v>
      </c>
      <c r="E744" s="18">
        <v>45676</v>
      </c>
      <c r="F744" s="18" t="s">
        <v>611</v>
      </c>
      <c r="G744" t="s">
        <v>101</v>
      </c>
      <c r="H744">
        <v>1</v>
      </c>
      <c r="I744">
        <v>2</v>
      </c>
      <c r="J744" s="27">
        <v>92998.91</v>
      </c>
      <c r="K744" s="27">
        <v>5000000</v>
      </c>
    </row>
    <row r="745" spans="1:11" ht="15" customHeight="1" x14ac:dyDescent="0.2">
      <c r="A745" t="s">
        <v>7882</v>
      </c>
      <c r="B745" t="s">
        <v>7883</v>
      </c>
      <c r="C745">
        <v>2024</v>
      </c>
      <c r="D745" s="18">
        <v>45311</v>
      </c>
      <c r="E745" s="18">
        <v>45676</v>
      </c>
      <c r="F745" s="18" t="s">
        <v>611</v>
      </c>
      <c r="G745" t="s">
        <v>100</v>
      </c>
      <c r="H745">
        <v>3</v>
      </c>
      <c r="I745">
        <v>3</v>
      </c>
      <c r="J745" s="27">
        <v>54460.98</v>
      </c>
      <c r="K745" s="27">
        <v>4000000</v>
      </c>
    </row>
    <row r="746" spans="1:11" ht="15" customHeight="1" x14ac:dyDescent="0.2">
      <c r="A746" t="s">
        <v>7884</v>
      </c>
      <c r="B746" t="s">
        <v>7885</v>
      </c>
      <c r="C746">
        <v>2024</v>
      </c>
      <c r="D746" s="18">
        <v>45312</v>
      </c>
      <c r="E746" s="18">
        <v>45677</v>
      </c>
      <c r="F746" s="18" t="s">
        <v>608</v>
      </c>
      <c r="G746" t="s">
        <v>102</v>
      </c>
      <c r="H746">
        <v>1</v>
      </c>
      <c r="I746">
        <v>1</v>
      </c>
      <c r="J746" s="27">
        <v>18644.12</v>
      </c>
      <c r="K746" s="27">
        <v>2000000</v>
      </c>
    </row>
    <row r="747" spans="1:11" ht="15" customHeight="1" x14ac:dyDescent="0.2">
      <c r="A747" t="s">
        <v>7886</v>
      </c>
      <c r="B747" t="s">
        <v>7887</v>
      </c>
      <c r="C747">
        <v>2024</v>
      </c>
      <c r="D747" s="18">
        <v>45312</v>
      </c>
      <c r="E747" s="18">
        <v>45677</v>
      </c>
      <c r="F747" s="18" t="s">
        <v>611</v>
      </c>
      <c r="G747" t="s">
        <v>102</v>
      </c>
      <c r="H747">
        <v>3</v>
      </c>
      <c r="I747">
        <v>6</v>
      </c>
      <c r="J747" s="27">
        <v>16142.19</v>
      </c>
      <c r="K747" s="27">
        <v>2000000</v>
      </c>
    </row>
    <row r="748" spans="1:11" ht="15" customHeight="1" x14ac:dyDescent="0.2">
      <c r="A748" t="s">
        <v>7888</v>
      </c>
      <c r="B748" t="s">
        <v>7889</v>
      </c>
      <c r="C748">
        <v>2024</v>
      </c>
      <c r="D748" s="18">
        <v>45312</v>
      </c>
      <c r="E748" s="18">
        <v>45677</v>
      </c>
      <c r="F748" s="18" t="s">
        <v>611</v>
      </c>
      <c r="G748" t="s">
        <v>100</v>
      </c>
      <c r="H748">
        <v>2</v>
      </c>
      <c r="I748">
        <v>2</v>
      </c>
      <c r="J748" s="27">
        <v>60360.06</v>
      </c>
      <c r="K748" s="27">
        <v>4500000</v>
      </c>
    </row>
    <row r="749" spans="1:11" ht="15" customHeight="1" x14ac:dyDescent="0.2">
      <c r="A749" t="s">
        <v>7890</v>
      </c>
      <c r="B749" t="s">
        <v>7891</v>
      </c>
      <c r="C749">
        <v>2024</v>
      </c>
      <c r="D749" s="18">
        <v>45312</v>
      </c>
      <c r="E749" s="18">
        <v>45677</v>
      </c>
      <c r="F749" s="18" t="s">
        <v>611</v>
      </c>
      <c r="G749" t="s">
        <v>101</v>
      </c>
      <c r="H749">
        <v>1</v>
      </c>
      <c r="I749">
        <v>2</v>
      </c>
      <c r="J749" s="27">
        <v>87035.25</v>
      </c>
      <c r="K749" s="27">
        <v>5000000</v>
      </c>
    </row>
    <row r="750" spans="1:11" ht="15" customHeight="1" x14ac:dyDescent="0.2">
      <c r="A750" t="s">
        <v>7892</v>
      </c>
      <c r="B750" t="s">
        <v>7893</v>
      </c>
      <c r="C750">
        <v>2024</v>
      </c>
      <c r="D750" s="18">
        <v>45313</v>
      </c>
      <c r="E750" s="18">
        <v>45678</v>
      </c>
      <c r="F750" s="18" t="s">
        <v>608</v>
      </c>
      <c r="G750" t="s">
        <v>102</v>
      </c>
      <c r="H750">
        <v>2</v>
      </c>
      <c r="I750">
        <v>2</v>
      </c>
      <c r="J750" s="27">
        <v>80697.11</v>
      </c>
      <c r="K750" s="27">
        <v>10000000</v>
      </c>
    </row>
    <row r="751" spans="1:11" ht="15" customHeight="1" x14ac:dyDescent="0.2">
      <c r="A751" t="s">
        <v>7894</v>
      </c>
      <c r="B751" t="s">
        <v>7895</v>
      </c>
      <c r="C751">
        <v>2024</v>
      </c>
      <c r="D751" s="18">
        <v>45313</v>
      </c>
      <c r="E751" s="18">
        <v>45678</v>
      </c>
      <c r="F751" s="18" t="s">
        <v>608</v>
      </c>
      <c r="G751" t="s">
        <v>101</v>
      </c>
      <c r="H751">
        <v>1</v>
      </c>
      <c r="I751">
        <v>2</v>
      </c>
      <c r="J751" s="27">
        <v>34210.870000000003</v>
      </c>
      <c r="K751" s="27">
        <v>2000000</v>
      </c>
    </row>
    <row r="752" spans="1:11" ht="15" customHeight="1" x14ac:dyDescent="0.2">
      <c r="A752" t="s">
        <v>7896</v>
      </c>
      <c r="B752" t="s">
        <v>7897</v>
      </c>
      <c r="C752">
        <v>2024</v>
      </c>
      <c r="D752" s="18">
        <v>45313</v>
      </c>
      <c r="E752" s="18">
        <v>45678</v>
      </c>
      <c r="F752" s="18" t="s">
        <v>611</v>
      </c>
      <c r="G752" t="s">
        <v>101</v>
      </c>
      <c r="H752">
        <v>1</v>
      </c>
      <c r="I752">
        <v>1</v>
      </c>
      <c r="J752" s="27">
        <v>17306.71</v>
      </c>
      <c r="K752" s="27">
        <v>1000000</v>
      </c>
    </row>
    <row r="753" spans="1:11" ht="15" customHeight="1" x14ac:dyDescent="0.2">
      <c r="A753" t="s">
        <v>7898</v>
      </c>
      <c r="B753" t="s">
        <v>7899</v>
      </c>
      <c r="C753">
        <v>2024</v>
      </c>
      <c r="D753" s="18">
        <v>45313</v>
      </c>
      <c r="E753" s="18">
        <v>45678</v>
      </c>
      <c r="F753" s="18" t="s">
        <v>611</v>
      </c>
      <c r="G753" t="s">
        <v>99</v>
      </c>
      <c r="H753">
        <v>1</v>
      </c>
      <c r="I753">
        <v>2</v>
      </c>
      <c r="J753" s="27">
        <v>82632.259999999995</v>
      </c>
      <c r="K753" s="27">
        <v>10000000</v>
      </c>
    </row>
    <row r="754" spans="1:11" ht="15" customHeight="1" x14ac:dyDescent="0.2">
      <c r="A754" t="s">
        <v>7900</v>
      </c>
      <c r="B754" t="s">
        <v>7901</v>
      </c>
      <c r="C754">
        <v>2024</v>
      </c>
      <c r="D754" s="18">
        <v>45313</v>
      </c>
      <c r="E754" s="18">
        <v>45678</v>
      </c>
      <c r="F754" s="18" t="s">
        <v>611</v>
      </c>
      <c r="G754" t="s">
        <v>102</v>
      </c>
      <c r="H754">
        <v>1</v>
      </c>
      <c r="I754">
        <v>1</v>
      </c>
      <c r="J754" s="27">
        <v>35540.300000000003</v>
      </c>
      <c r="K754" s="27">
        <v>4500000</v>
      </c>
    </row>
    <row r="755" spans="1:11" ht="15" customHeight="1" x14ac:dyDescent="0.2">
      <c r="A755" t="s">
        <v>7902</v>
      </c>
      <c r="B755" t="s">
        <v>7903</v>
      </c>
      <c r="C755">
        <v>2024</v>
      </c>
      <c r="D755" s="18">
        <v>45313</v>
      </c>
      <c r="E755" s="18">
        <v>45678</v>
      </c>
      <c r="F755" s="18" t="s">
        <v>611</v>
      </c>
      <c r="G755" t="s">
        <v>100</v>
      </c>
      <c r="H755">
        <v>2</v>
      </c>
      <c r="I755">
        <v>2</v>
      </c>
      <c r="J755" s="27">
        <v>13826.95</v>
      </c>
      <c r="K755" s="27">
        <v>1000000</v>
      </c>
    </row>
    <row r="756" spans="1:11" ht="15" customHeight="1" x14ac:dyDescent="0.2">
      <c r="A756" t="s">
        <v>7904</v>
      </c>
      <c r="B756" t="s">
        <v>7905</v>
      </c>
      <c r="C756">
        <v>2024</v>
      </c>
      <c r="D756" s="18">
        <v>45313</v>
      </c>
      <c r="E756" s="18">
        <v>45678</v>
      </c>
      <c r="F756" s="18" t="s">
        <v>611</v>
      </c>
      <c r="G756" t="s">
        <v>101</v>
      </c>
      <c r="H756">
        <v>1</v>
      </c>
      <c r="I756">
        <v>1</v>
      </c>
      <c r="J756" s="27">
        <v>183524.16</v>
      </c>
      <c r="K756" s="27">
        <v>10000000</v>
      </c>
    </row>
    <row r="757" spans="1:11" ht="15" customHeight="1" x14ac:dyDescent="0.2">
      <c r="A757" t="s">
        <v>7906</v>
      </c>
      <c r="B757" t="s">
        <v>7907</v>
      </c>
      <c r="C757">
        <v>2024</v>
      </c>
      <c r="D757" s="18">
        <v>45313</v>
      </c>
      <c r="E757" s="18">
        <v>45678</v>
      </c>
      <c r="F757" s="18" t="s">
        <v>611</v>
      </c>
      <c r="G757" t="s">
        <v>101</v>
      </c>
      <c r="H757">
        <v>3</v>
      </c>
      <c r="I757">
        <v>3</v>
      </c>
      <c r="J757" s="27">
        <v>57934.11</v>
      </c>
      <c r="K757" s="27">
        <v>3500000</v>
      </c>
    </row>
    <row r="758" spans="1:11" ht="15" customHeight="1" x14ac:dyDescent="0.2">
      <c r="A758" t="s">
        <v>7908</v>
      </c>
      <c r="B758" t="s">
        <v>7909</v>
      </c>
      <c r="C758">
        <v>2024</v>
      </c>
      <c r="D758" s="18">
        <v>45314</v>
      </c>
      <c r="E758" s="18">
        <v>45679</v>
      </c>
      <c r="F758" s="18" t="s">
        <v>608</v>
      </c>
      <c r="G758" t="s">
        <v>99</v>
      </c>
      <c r="H758">
        <v>1</v>
      </c>
      <c r="I758">
        <v>2</v>
      </c>
      <c r="J758" s="27">
        <v>74231.520000000004</v>
      </c>
      <c r="K758" s="27">
        <v>10000000</v>
      </c>
    </row>
    <row r="759" spans="1:11" ht="15" customHeight="1" x14ac:dyDescent="0.2">
      <c r="A759" t="s">
        <v>7910</v>
      </c>
      <c r="B759" t="s">
        <v>7911</v>
      </c>
      <c r="C759">
        <v>2024</v>
      </c>
      <c r="D759" s="18">
        <v>45314</v>
      </c>
      <c r="E759" s="18">
        <v>45679</v>
      </c>
      <c r="F759" s="18" t="s">
        <v>611</v>
      </c>
      <c r="G759" t="s">
        <v>101</v>
      </c>
      <c r="H759">
        <v>1</v>
      </c>
      <c r="I759">
        <v>1</v>
      </c>
      <c r="J759" s="27">
        <v>18198.990000000002</v>
      </c>
      <c r="K759" s="27">
        <v>1000000</v>
      </c>
    </row>
    <row r="760" spans="1:11" ht="15" customHeight="1" x14ac:dyDescent="0.2">
      <c r="A760" t="s">
        <v>7912</v>
      </c>
      <c r="B760" t="s">
        <v>7913</v>
      </c>
      <c r="C760">
        <v>2024</v>
      </c>
      <c r="D760" s="18">
        <v>45314</v>
      </c>
      <c r="E760" s="18">
        <v>45679</v>
      </c>
      <c r="F760" s="18" t="s">
        <v>611</v>
      </c>
      <c r="G760" t="s">
        <v>101</v>
      </c>
      <c r="H760">
        <v>2</v>
      </c>
      <c r="I760">
        <v>4</v>
      </c>
      <c r="J760" s="27">
        <v>91478.5</v>
      </c>
      <c r="K760" s="27">
        <v>5000000</v>
      </c>
    </row>
    <row r="761" spans="1:11" ht="15" customHeight="1" x14ac:dyDescent="0.2">
      <c r="A761" t="s">
        <v>7914</v>
      </c>
      <c r="B761" t="s">
        <v>7915</v>
      </c>
      <c r="C761">
        <v>2024</v>
      </c>
      <c r="D761" s="18">
        <v>45314</v>
      </c>
      <c r="E761" s="18">
        <v>45679</v>
      </c>
      <c r="F761" s="18" t="s">
        <v>611</v>
      </c>
      <c r="G761" t="s">
        <v>99</v>
      </c>
      <c r="H761">
        <v>1</v>
      </c>
      <c r="I761">
        <v>2</v>
      </c>
      <c r="J761" s="27">
        <v>3937.61</v>
      </c>
      <c r="K761" s="27">
        <v>500000</v>
      </c>
    </row>
    <row r="762" spans="1:11" ht="15" customHeight="1" x14ac:dyDescent="0.2">
      <c r="A762" t="s">
        <v>7916</v>
      </c>
      <c r="B762" t="s">
        <v>7917</v>
      </c>
      <c r="C762">
        <v>2024</v>
      </c>
      <c r="D762" s="18">
        <v>45315</v>
      </c>
      <c r="E762" s="18">
        <v>45680</v>
      </c>
      <c r="F762" s="18" t="s">
        <v>611</v>
      </c>
      <c r="G762" t="s">
        <v>100</v>
      </c>
      <c r="H762">
        <v>2</v>
      </c>
      <c r="I762">
        <v>2</v>
      </c>
      <c r="J762" s="27">
        <v>26951.38</v>
      </c>
      <c r="K762" s="27">
        <v>2000000</v>
      </c>
    </row>
    <row r="763" spans="1:11" ht="15" customHeight="1" x14ac:dyDescent="0.2">
      <c r="A763" t="s">
        <v>7918</v>
      </c>
      <c r="B763" t="s">
        <v>7919</v>
      </c>
      <c r="C763">
        <v>2024</v>
      </c>
      <c r="D763" s="18">
        <v>45315</v>
      </c>
      <c r="E763" s="18">
        <v>45680</v>
      </c>
      <c r="F763" s="18" t="s">
        <v>611</v>
      </c>
      <c r="G763" t="s">
        <v>101</v>
      </c>
      <c r="H763">
        <v>2</v>
      </c>
      <c r="I763">
        <v>2</v>
      </c>
      <c r="J763" s="27">
        <v>67361.06</v>
      </c>
      <c r="K763" s="27">
        <v>4000000</v>
      </c>
    </row>
    <row r="764" spans="1:11" ht="15" customHeight="1" x14ac:dyDescent="0.2">
      <c r="A764" t="s">
        <v>7920</v>
      </c>
      <c r="B764" t="s">
        <v>7921</v>
      </c>
      <c r="C764">
        <v>2024</v>
      </c>
      <c r="D764" s="18">
        <v>45315</v>
      </c>
      <c r="E764" s="18">
        <v>45680</v>
      </c>
      <c r="F764" s="18" t="s">
        <v>611</v>
      </c>
      <c r="G764" t="s">
        <v>102</v>
      </c>
      <c r="H764">
        <v>2</v>
      </c>
      <c r="I764">
        <v>4</v>
      </c>
      <c r="J764" s="27">
        <v>89276.85</v>
      </c>
      <c r="K764" s="27">
        <v>10000000</v>
      </c>
    </row>
    <row r="765" spans="1:11" ht="15" customHeight="1" x14ac:dyDescent="0.2">
      <c r="A765" t="s">
        <v>7922</v>
      </c>
      <c r="B765" t="s">
        <v>7923</v>
      </c>
      <c r="C765">
        <v>2024</v>
      </c>
      <c r="D765" s="18">
        <v>45315</v>
      </c>
      <c r="E765" s="18">
        <v>45680</v>
      </c>
      <c r="F765" s="18" t="s">
        <v>611</v>
      </c>
      <c r="G765" t="s">
        <v>101</v>
      </c>
      <c r="H765">
        <v>1</v>
      </c>
      <c r="I765">
        <v>2</v>
      </c>
      <c r="J765" s="27">
        <v>31711.72</v>
      </c>
      <c r="K765" s="27">
        <v>2000000</v>
      </c>
    </row>
    <row r="766" spans="1:11" ht="15" customHeight="1" x14ac:dyDescent="0.2">
      <c r="A766" t="s">
        <v>7924</v>
      </c>
      <c r="B766" t="s">
        <v>7925</v>
      </c>
      <c r="C766">
        <v>2024</v>
      </c>
      <c r="D766" s="18">
        <v>45315</v>
      </c>
      <c r="E766" s="18">
        <v>45680</v>
      </c>
      <c r="F766" s="18" t="s">
        <v>611</v>
      </c>
      <c r="G766" t="s">
        <v>101</v>
      </c>
      <c r="H766">
        <v>1</v>
      </c>
      <c r="I766">
        <v>2</v>
      </c>
      <c r="J766" s="27">
        <v>174450.46</v>
      </c>
      <c r="K766" s="27">
        <v>10000000</v>
      </c>
    </row>
    <row r="767" spans="1:11" ht="15" customHeight="1" x14ac:dyDescent="0.2">
      <c r="A767" t="s">
        <v>7926</v>
      </c>
      <c r="B767" t="s">
        <v>7927</v>
      </c>
      <c r="C767">
        <v>2024</v>
      </c>
      <c r="D767" s="18">
        <v>45316</v>
      </c>
      <c r="E767" s="18">
        <v>45681</v>
      </c>
      <c r="F767" s="18" t="s">
        <v>608</v>
      </c>
      <c r="G767" t="s">
        <v>100</v>
      </c>
      <c r="H767">
        <v>1</v>
      </c>
      <c r="I767">
        <v>2</v>
      </c>
      <c r="J767" s="27">
        <v>26425.93</v>
      </c>
      <c r="K767" s="27">
        <v>2000000</v>
      </c>
    </row>
    <row r="768" spans="1:11" ht="15" customHeight="1" x14ac:dyDescent="0.2">
      <c r="A768" t="s">
        <v>7928</v>
      </c>
      <c r="B768" t="s">
        <v>7929</v>
      </c>
      <c r="C768">
        <v>2024</v>
      </c>
      <c r="D768" s="18">
        <v>45316</v>
      </c>
      <c r="E768" s="18">
        <v>45681</v>
      </c>
      <c r="F768" s="18" t="s">
        <v>608</v>
      </c>
      <c r="G768" t="s">
        <v>99</v>
      </c>
      <c r="H768">
        <v>2</v>
      </c>
      <c r="I768">
        <v>4</v>
      </c>
      <c r="J768" s="27">
        <v>12856.84</v>
      </c>
      <c r="K768" s="27">
        <v>1500000</v>
      </c>
    </row>
    <row r="769" spans="1:11" ht="15" customHeight="1" x14ac:dyDescent="0.2">
      <c r="A769" t="s">
        <v>7930</v>
      </c>
      <c r="B769" t="s">
        <v>7931</v>
      </c>
      <c r="C769">
        <v>2024</v>
      </c>
      <c r="D769" s="18">
        <v>45316</v>
      </c>
      <c r="E769" s="18">
        <v>45681</v>
      </c>
      <c r="F769" s="18" t="s">
        <v>611</v>
      </c>
      <c r="G769" t="s">
        <v>100</v>
      </c>
      <c r="H769">
        <v>2</v>
      </c>
      <c r="I769">
        <v>2</v>
      </c>
      <c r="J769" s="27">
        <v>43229.61</v>
      </c>
      <c r="K769" s="27">
        <v>3500000</v>
      </c>
    </row>
    <row r="770" spans="1:11" ht="15" customHeight="1" x14ac:dyDescent="0.2">
      <c r="A770" t="s">
        <v>7932</v>
      </c>
      <c r="B770" t="s">
        <v>7933</v>
      </c>
      <c r="C770">
        <v>2024</v>
      </c>
      <c r="D770" s="18">
        <v>45316</v>
      </c>
      <c r="E770" s="18">
        <v>45681</v>
      </c>
      <c r="F770" s="18" t="s">
        <v>611</v>
      </c>
      <c r="G770" t="s">
        <v>99</v>
      </c>
      <c r="H770">
        <v>1</v>
      </c>
      <c r="I770">
        <v>1</v>
      </c>
      <c r="J770" s="27">
        <v>30636.7</v>
      </c>
      <c r="K770" s="27">
        <v>4000000</v>
      </c>
    </row>
    <row r="771" spans="1:11" ht="15" customHeight="1" x14ac:dyDescent="0.2">
      <c r="A771" t="s">
        <v>7934</v>
      </c>
      <c r="B771" t="s">
        <v>7935</v>
      </c>
      <c r="C771">
        <v>2024</v>
      </c>
      <c r="D771" s="18">
        <v>45316</v>
      </c>
      <c r="E771" s="18">
        <v>45681</v>
      </c>
      <c r="F771" s="18" t="s">
        <v>611</v>
      </c>
      <c r="G771" t="s">
        <v>101</v>
      </c>
      <c r="H771">
        <v>2</v>
      </c>
      <c r="I771">
        <v>4</v>
      </c>
      <c r="J771" s="27">
        <v>32647.84</v>
      </c>
      <c r="K771" s="27">
        <v>2000000</v>
      </c>
    </row>
    <row r="772" spans="1:11" ht="15" customHeight="1" x14ac:dyDescent="0.2">
      <c r="A772" t="s">
        <v>7936</v>
      </c>
      <c r="B772" t="s">
        <v>7937</v>
      </c>
      <c r="C772">
        <v>2024</v>
      </c>
      <c r="D772" s="18">
        <v>45317</v>
      </c>
      <c r="E772" s="18">
        <v>45682</v>
      </c>
      <c r="F772" s="18" t="s">
        <v>608</v>
      </c>
      <c r="G772" t="s">
        <v>100</v>
      </c>
      <c r="H772">
        <v>2</v>
      </c>
      <c r="I772">
        <v>2</v>
      </c>
      <c r="J772" s="27">
        <v>60269.53</v>
      </c>
      <c r="K772" s="27">
        <v>4500000</v>
      </c>
    </row>
    <row r="773" spans="1:11" ht="15" customHeight="1" x14ac:dyDescent="0.2">
      <c r="A773" t="s">
        <v>7938</v>
      </c>
      <c r="B773" t="s">
        <v>7939</v>
      </c>
      <c r="C773">
        <v>2024</v>
      </c>
      <c r="D773" s="18">
        <v>45317</v>
      </c>
      <c r="E773" s="18">
        <v>45682</v>
      </c>
      <c r="F773" s="18" t="s">
        <v>608</v>
      </c>
      <c r="G773" t="s">
        <v>99</v>
      </c>
      <c r="H773">
        <v>1</v>
      </c>
      <c r="I773">
        <v>2</v>
      </c>
      <c r="J773" s="27">
        <v>34258.480000000003</v>
      </c>
      <c r="K773" s="27">
        <v>4000000</v>
      </c>
    </row>
    <row r="774" spans="1:11" ht="15" customHeight="1" x14ac:dyDescent="0.2">
      <c r="A774" t="s">
        <v>7940</v>
      </c>
      <c r="B774" t="s">
        <v>7941</v>
      </c>
      <c r="C774">
        <v>2024</v>
      </c>
      <c r="D774" s="18">
        <v>45317</v>
      </c>
      <c r="E774" s="18">
        <v>45682</v>
      </c>
      <c r="F774" s="18" t="s">
        <v>608</v>
      </c>
      <c r="G774" t="s">
        <v>100</v>
      </c>
      <c r="H774">
        <v>1</v>
      </c>
      <c r="I774">
        <v>2</v>
      </c>
      <c r="J774" s="27">
        <v>49219.01</v>
      </c>
      <c r="K774" s="27">
        <v>4000000</v>
      </c>
    </row>
    <row r="775" spans="1:11" ht="15" customHeight="1" x14ac:dyDescent="0.2">
      <c r="A775" t="s">
        <v>7942</v>
      </c>
      <c r="B775" t="s">
        <v>7943</v>
      </c>
      <c r="C775">
        <v>2024</v>
      </c>
      <c r="D775" s="18">
        <v>45317</v>
      </c>
      <c r="E775" s="18">
        <v>45682</v>
      </c>
      <c r="F775" s="18" t="s">
        <v>611</v>
      </c>
      <c r="G775" t="s">
        <v>100</v>
      </c>
      <c r="H775">
        <v>2</v>
      </c>
      <c r="I775">
        <v>2</v>
      </c>
      <c r="J775" s="27">
        <v>11915.38</v>
      </c>
      <c r="K775" s="27">
        <v>1000000</v>
      </c>
    </row>
    <row r="776" spans="1:11" ht="15" customHeight="1" x14ac:dyDescent="0.2">
      <c r="A776" t="s">
        <v>7944</v>
      </c>
      <c r="B776" t="s">
        <v>7945</v>
      </c>
      <c r="C776">
        <v>2024</v>
      </c>
      <c r="D776" s="18">
        <v>45317</v>
      </c>
      <c r="E776" s="18">
        <v>45682</v>
      </c>
      <c r="F776" s="18" t="s">
        <v>611</v>
      </c>
      <c r="G776" t="s">
        <v>101</v>
      </c>
      <c r="H776">
        <v>2</v>
      </c>
      <c r="I776">
        <v>4</v>
      </c>
      <c r="J776" s="27">
        <v>34527.64</v>
      </c>
      <c r="K776" s="27">
        <v>2000000</v>
      </c>
    </row>
    <row r="777" spans="1:11" ht="15" customHeight="1" x14ac:dyDescent="0.2">
      <c r="A777" t="s">
        <v>7946</v>
      </c>
      <c r="B777" t="s">
        <v>7947</v>
      </c>
      <c r="C777">
        <v>2024</v>
      </c>
      <c r="D777" s="18">
        <v>45317</v>
      </c>
      <c r="E777" s="18">
        <v>45682</v>
      </c>
      <c r="F777" s="18" t="s">
        <v>611</v>
      </c>
      <c r="G777" t="s">
        <v>101</v>
      </c>
      <c r="H777">
        <v>1</v>
      </c>
      <c r="I777">
        <v>1</v>
      </c>
      <c r="J777" s="27">
        <v>190456.79</v>
      </c>
      <c r="K777" s="27">
        <v>10000000</v>
      </c>
    </row>
    <row r="778" spans="1:11" ht="15" customHeight="1" x14ac:dyDescent="0.2">
      <c r="A778" t="s">
        <v>7948</v>
      </c>
      <c r="B778" t="s">
        <v>7949</v>
      </c>
      <c r="C778">
        <v>2024</v>
      </c>
      <c r="D778" s="18">
        <v>45317</v>
      </c>
      <c r="E778" s="18">
        <v>45682</v>
      </c>
      <c r="F778" s="18" t="s">
        <v>611</v>
      </c>
      <c r="G778" t="s">
        <v>101</v>
      </c>
      <c r="H778">
        <v>1</v>
      </c>
      <c r="I778">
        <v>2</v>
      </c>
      <c r="J778" s="27">
        <v>53223.88</v>
      </c>
      <c r="K778" s="27">
        <v>3000000</v>
      </c>
    </row>
    <row r="779" spans="1:11" ht="15" customHeight="1" x14ac:dyDescent="0.2">
      <c r="A779" t="s">
        <v>7950</v>
      </c>
      <c r="B779" t="s">
        <v>7951</v>
      </c>
      <c r="C779">
        <v>2024</v>
      </c>
      <c r="D779" s="18">
        <v>45318</v>
      </c>
      <c r="E779" s="18">
        <v>45683</v>
      </c>
      <c r="F779" s="18" t="s">
        <v>611</v>
      </c>
      <c r="G779" t="s">
        <v>101</v>
      </c>
      <c r="H779">
        <v>2</v>
      </c>
      <c r="I779">
        <v>4</v>
      </c>
      <c r="J779" s="27">
        <v>34860.46</v>
      </c>
      <c r="K779" s="27">
        <v>2000000</v>
      </c>
    </row>
    <row r="780" spans="1:11" ht="15" customHeight="1" x14ac:dyDescent="0.2">
      <c r="A780" t="s">
        <v>7952</v>
      </c>
      <c r="B780" t="s">
        <v>7953</v>
      </c>
      <c r="C780">
        <v>2024</v>
      </c>
      <c r="D780" s="18">
        <v>45318</v>
      </c>
      <c r="E780" s="18">
        <v>45683</v>
      </c>
      <c r="F780" s="18" t="s">
        <v>611</v>
      </c>
      <c r="G780" t="s">
        <v>101</v>
      </c>
      <c r="H780">
        <v>2</v>
      </c>
      <c r="I780">
        <v>4</v>
      </c>
      <c r="J780" s="27">
        <v>35194.33</v>
      </c>
      <c r="K780" s="27">
        <v>2000000</v>
      </c>
    </row>
    <row r="781" spans="1:11" ht="15" customHeight="1" x14ac:dyDescent="0.2">
      <c r="A781" t="s">
        <v>7954</v>
      </c>
      <c r="B781" t="s">
        <v>7955</v>
      </c>
      <c r="C781">
        <v>2024</v>
      </c>
      <c r="D781" s="18">
        <v>45318</v>
      </c>
      <c r="E781" s="18">
        <v>45683</v>
      </c>
      <c r="F781" s="18" t="s">
        <v>611</v>
      </c>
      <c r="G781" t="s">
        <v>100</v>
      </c>
      <c r="H781">
        <v>2</v>
      </c>
      <c r="I781">
        <v>4</v>
      </c>
      <c r="J781" s="27">
        <v>48673.3</v>
      </c>
      <c r="K781" s="27">
        <v>3500000</v>
      </c>
    </row>
    <row r="782" spans="1:11" ht="15" customHeight="1" x14ac:dyDescent="0.2">
      <c r="A782" t="s">
        <v>7956</v>
      </c>
      <c r="B782" t="s">
        <v>7957</v>
      </c>
      <c r="C782">
        <v>2024</v>
      </c>
      <c r="D782" s="18">
        <v>45318</v>
      </c>
      <c r="E782" s="18">
        <v>45683</v>
      </c>
      <c r="F782" s="18" t="s">
        <v>611</v>
      </c>
      <c r="G782" t="s">
        <v>102</v>
      </c>
      <c r="H782">
        <v>1</v>
      </c>
      <c r="I782">
        <v>1</v>
      </c>
      <c r="J782" s="27">
        <v>18616.12</v>
      </c>
      <c r="K782" s="27">
        <v>2000000</v>
      </c>
    </row>
    <row r="783" spans="1:11" ht="15" customHeight="1" x14ac:dyDescent="0.2">
      <c r="A783" t="s">
        <v>7958</v>
      </c>
      <c r="B783" t="s">
        <v>7959</v>
      </c>
      <c r="C783">
        <v>2024</v>
      </c>
      <c r="D783" s="18">
        <v>45318</v>
      </c>
      <c r="E783" s="18">
        <v>45683</v>
      </c>
      <c r="F783" s="18" t="s">
        <v>611</v>
      </c>
      <c r="G783" t="s">
        <v>99</v>
      </c>
      <c r="H783">
        <v>1</v>
      </c>
      <c r="I783">
        <v>1</v>
      </c>
      <c r="J783" s="27">
        <v>38639.86</v>
      </c>
      <c r="K783" s="27">
        <v>5000000</v>
      </c>
    </row>
    <row r="784" spans="1:11" ht="15" customHeight="1" x14ac:dyDescent="0.2">
      <c r="A784" t="s">
        <v>7960</v>
      </c>
      <c r="B784" t="s">
        <v>7961</v>
      </c>
      <c r="C784">
        <v>2024</v>
      </c>
      <c r="D784" s="18">
        <v>45319</v>
      </c>
      <c r="E784" s="18">
        <v>45684</v>
      </c>
      <c r="F784" s="18" t="s">
        <v>608</v>
      </c>
      <c r="G784" t="s">
        <v>102</v>
      </c>
      <c r="H784">
        <v>2</v>
      </c>
      <c r="I784">
        <v>2</v>
      </c>
      <c r="J784" s="27">
        <v>20534.759999999998</v>
      </c>
      <c r="K784" s="27">
        <v>2500000</v>
      </c>
    </row>
    <row r="785" spans="1:11" ht="15" customHeight="1" x14ac:dyDescent="0.2">
      <c r="A785" t="s">
        <v>7962</v>
      </c>
      <c r="B785" t="s">
        <v>7963</v>
      </c>
      <c r="C785">
        <v>2024</v>
      </c>
      <c r="D785" s="18">
        <v>45319</v>
      </c>
      <c r="E785" s="18">
        <v>45684</v>
      </c>
      <c r="F785" s="18" t="s">
        <v>608</v>
      </c>
      <c r="G785" t="s">
        <v>99</v>
      </c>
      <c r="H785">
        <v>2</v>
      </c>
      <c r="I785">
        <v>4</v>
      </c>
      <c r="J785" s="27">
        <v>22415.53</v>
      </c>
      <c r="K785" s="27">
        <v>3000000</v>
      </c>
    </row>
    <row r="786" spans="1:11" ht="15" customHeight="1" x14ac:dyDescent="0.2">
      <c r="A786" t="s">
        <v>7964</v>
      </c>
      <c r="B786" t="s">
        <v>7965</v>
      </c>
      <c r="C786">
        <v>2024</v>
      </c>
      <c r="D786" s="18">
        <v>45319</v>
      </c>
      <c r="E786" s="18">
        <v>45684</v>
      </c>
      <c r="F786" s="18" t="s">
        <v>608</v>
      </c>
      <c r="G786" t="s">
        <v>101</v>
      </c>
      <c r="H786">
        <v>2</v>
      </c>
      <c r="I786">
        <v>4</v>
      </c>
      <c r="J786" s="27">
        <v>62583.45</v>
      </c>
      <c r="K786" s="27">
        <v>3500000</v>
      </c>
    </row>
    <row r="787" spans="1:11" ht="15" customHeight="1" x14ac:dyDescent="0.2">
      <c r="A787" t="s">
        <v>7966</v>
      </c>
      <c r="B787" t="s">
        <v>7967</v>
      </c>
      <c r="C787">
        <v>2024</v>
      </c>
      <c r="D787" s="18">
        <v>45319</v>
      </c>
      <c r="E787" s="18">
        <v>45684</v>
      </c>
      <c r="F787" s="18" t="s">
        <v>608</v>
      </c>
      <c r="G787" t="s">
        <v>101</v>
      </c>
      <c r="H787">
        <v>1</v>
      </c>
      <c r="I787">
        <v>1</v>
      </c>
      <c r="J787" s="27">
        <v>32610.240000000002</v>
      </c>
      <c r="K787" s="27">
        <v>2000000</v>
      </c>
    </row>
    <row r="788" spans="1:11" ht="15" customHeight="1" x14ac:dyDescent="0.2">
      <c r="A788" t="s">
        <v>7968</v>
      </c>
      <c r="B788" t="s">
        <v>7969</v>
      </c>
      <c r="C788">
        <v>2024</v>
      </c>
      <c r="D788" s="18">
        <v>45319</v>
      </c>
      <c r="E788" s="18">
        <v>45684</v>
      </c>
      <c r="F788" s="18" t="s">
        <v>611</v>
      </c>
      <c r="G788" t="s">
        <v>100</v>
      </c>
      <c r="H788">
        <v>1</v>
      </c>
      <c r="I788">
        <v>2</v>
      </c>
      <c r="J788" s="27">
        <v>41387.35</v>
      </c>
      <c r="K788" s="27">
        <v>3000000</v>
      </c>
    </row>
    <row r="789" spans="1:11" ht="15" customHeight="1" x14ac:dyDescent="0.2">
      <c r="A789" t="s">
        <v>7970</v>
      </c>
      <c r="B789" t="s">
        <v>7971</v>
      </c>
      <c r="C789">
        <v>2024</v>
      </c>
      <c r="D789" s="18">
        <v>45319</v>
      </c>
      <c r="E789" s="18">
        <v>45684</v>
      </c>
      <c r="F789" s="18" t="s">
        <v>611</v>
      </c>
      <c r="G789" t="s">
        <v>101</v>
      </c>
      <c r="H789">
        <v>3</v>
      </c>
      <c r="I789">
        <v>3</v>
      </c>
      <c r="J789" s="27">
        <v>9154.42</v>
      </c>
      <c r="K789" s="27">
        <v>500000</v>
      </c>
    </row>
    <row r="790" spans="1:11" ht="15" customHeight="1" x14ac:dyDescent="0.2">
      <c r="A790" t="s">
        <v>7972</v>
      </c>
      <c r="B790" t="s">
        <v>7973</v>
      </c>
      <c r="C790">
        <v>2024</v>
      </c>
      <c r="D790" s="18">
        <v>45319</v>
      </c>
      <c r="E790" s="18">
        <v>45684</v>
      </c>
      <c r="F790" s="18" t="s">
        <v>611</v>
      </c>
      <c r="G790" t="s">
        <v>101</v>
      </c>
      <c r="H790">
        <v>1</v>
      </c>
      <c r="I790">
        <v>2</v>
      </c>
      <c r="J790" s="27">
        <v>18401.68</v>
      </c>
      <c r="K790" s="27">
        <v>1000000</v>
      </c>
    </row>
    <row r="791" spans="1:11" ht="15" customHeight="1" x14ac:dyDescent="0.2">
      <c r="A791" t="s">
        <v>7974</v>
      </c>
      <c r="B791" t="s">
        <v>7975</v>
      </c>
      <c r="C791">
        <v>2024</v>
      </c>
      <c r="D791" s="18">
        <v>45319</v>
      </c>
      <c r="E791" s="18">
        <v>45684</v>
      </c>
      <c r="F791" s="18" t="s">
        <v>611</v>
      </c>
      <c r="G791" t="s">
        <v>100</v>
      </c>
      <c r="H791">
        <v>1</v>
      </c>
      <c r="I791">
        <v>2</v>
      </c>
      <c r="J791" s="27">
        <v>61859.26</v>
      </c>
      <c r="K791" s="27">
        <v>5000000</v>
      </c>
    </row>
    <row r="792" spans="1:11" ht="15" customHeight="1" x14ac:dyDescent="0.2">
      <c r="A792" t="s">
        <v>7976</v>
      </c>
      <c r="B792" t="s">
        <v>7977</v>
      </c>
      <c r="C792">
        <v>2024</v>
      </c>
      <c r="D792" s="18">
        <v>45320</v>
      </c>
      <c r="E792" s="18">
        <v>45685</v>
      </c>
      <c r="F792" s="18" t="s">
        <v>608</v>
      </c>
      <c r="G792" t="s">
        <v>99</v>
      </c>
      <c r="H792">
        <v>2</v>
      </c>
      <c r="I792">
        <v>4</v>
      </c>
      <c r="J792" s="27">
        <v>83252.600000000006</v>
      </c>
      <c r="K792" s="27">
        <v>10000000</v>
      </c>
    </row>
    <row r="793" spans="1:11" ht="15" customHeight="1" x14ac:dyDescent="0.2">
      <c r="A793" t="s">
        <v>7978</v>
      </c>
      <c r="B793" t="s">
        <v>7979</v>
      </c>
      <c r="C793">
        <v>2024</v>
      </c>
      <c r="D793" s="18">
        <v>45320</v>
      </c>
      <c r="E793" s="18">
        <v>45685</v>
      </c>
      <c r="F793" s="18" t="s">
        <v>608</v>
      </c>
      <c r="G793" t="s">
        <v>99</v>
      </c>
      <c r="H793">
        <v>1</v>
      </c>
      <c r="I793">
        <v>1</v>
      </c>
      <c r="J793" s="27">
        <v>14905.85</v>
      </c>
      <c r="K793" s="27">
        <v>2000000</v>
      </c>
    </row>
    <row r="794" spans="1:11" ht="15" customHeight="1" x14ac:dyDescent="0.2">
      <c r="A794" t="s">
        <v>7980</v>
      </c>
      <c r="B794" t="s">
        <v>7981</v>
      </c>
      <c r="C794">
        <v>2024</v>
      </c>
      <c r="D794" s="18">
        <v>45320</v>
      </c>
      <c r="E794" s="18">
        <v>45685</v>
      </c>
      <c r="F794" s="18" t="s">
        <v>608</v>
      </c>
      <c r="G794" t="s">
        <v>101</v>
      </c>
      <c r="H794">
        <v>1</v>
      </c>
      <c r="I794">
        <v>1</v>
      </c>
      <c r="J794" s="27">
        <v>16364.14</v>
      </c>
      <c r="K794" s="27">
        <v>1000000</v>
      </c>
    </row>
    <row r="795" spans="1:11" ht="15" customHeight="1" x14ac:dyDescent="0.2">
      <c r="A795" t="s">
        <v>7982</v>
      </c>
      <c r="B795" t="s">
        <v>7983</v>
      </c>
      <c r="C795">
        <v>2024</v>
      </c>
      <c r="D795" s="18">
        <v>45320</v>
      </c>
      <c r="E795" s="18">
        <v>45685</v>
      </c>
      <c r="F795" s="18" t="s">
        <v>608</v>
      </c>
      <c r="G795" t="s">
        <v>102</v>
      </c>
      <c r="H795">
        <v>2</v>
      </c>
      <c r="I795">
        <v>2</v>
      </c>
      <c r="J795" s="27">
        <v>36216.28</v>
      </c>
      <c r="K795" s="27">
        <v>4000000</v>
      </c>
    </row>
    <row r="796" spans="1:11" ht="15" customHeight="1" x14ac:dyDescent="0.2">
      <c r="A796" t="s">
        <v>7984</v>
      </c>
      <c r="B796" t="s">
        <v>7985</v>
      </c>
      <c r="C796">
        <v>2024</v>
      </c>
      <c r="D796" s="18">
        <v>45320</v>
      </c>
      <c r="E796" s="18">
        <v>45685</v>
      </c>
      <c r="F796" s="18" t="s">
        <v>611</v>
      </c>
      <c r="G796" t="s">
        <v>101</v>
      </c>
      <c r="H796">
        <v>1</v>
      </c>
      <c r="I796">
        <v>1</v>
      </c>
      <c r="J796" s="27">
        <v>47779.92</v>
      </c>
      <c r="K796" s="27">
        <v>2500000</v>
      </c>
    </row>
    <row r="797" spans="1:11" ht="15" customHeight="1" x14ac:dyDescent="0.2">
      <c r="A797" t="s">
        <v>7986</v>
      </c>
      <c r="B797" t="s">
        <v>7987</v>
      </c>
      <c r="C797">
        <v>2024</v>
      </c>
      <c r="D797" s="18">
        <v>45320</v>
      </c>
      <c r="E797" s="18">
        <v>45685</v>
      </c>
      <c r="F797" s="18" t="s">
        <v>611</v>
      </c>
      <c r="G797" t="s">
        <v>100</v>
      </c>
      <c r="H797">
        <v>1</v>
      </c>
      <c r="I797">
        <v>1</v>
      </c>
      <c r="J797" s="27">
        <v>23483.58</v>
      </c>
      <c r="K797" s="27">
        <v>2000000</v>
      </c>
    </row>
    <row r="798" spans="1:11" ht="15" customHeight="1" x14ac:dyDescent="0.2">
      <c r="A798" t="s">
        <v>7988</v>
      </c>
      <c r="B798" t="s">
        <v>7989</v>
      </c>
      <c r="C798">
        <v>2024</v>
      </c>
      <c r="D798" s="18">
        <v>45320</v>
      </c>
      <c r="E798" s="18">
        <v>45685</v>
      </c>
      <c r="F798" s="18" t="s">
        <v>611</v>
      </c>
      <c r="G798" t="s">
        <v>99</v>
      </c>
      <c r="H798">
        <v>1</v>
      </c>
      <c r="I798">
        <v>1</v>
      </c>
      <c r="J798" s="27">
        <v>17874.11</v>
      </c>
      <c r="K798" s="27">
        <v>2000000</v>
      </c>
    </row>
    <row r="799" spans="1:11" ht="15" customHeight="1" x14ac:dyDescent="0.2">
      <c r="A799" t="s">
        <v>7990</v>
      </c>
      <c r="B799" t="s">
        <v>7991</v>
      </c>
      <c r="C799">
        <v>2024</v>
      </c>
      <c r="D799" s="18">
        <v>45320</v>
      </c>
      <c r="E799" s="18">
        <v>45685</v>
      </c>
      <c r="F799" s="18" t="s">
        <v>611</v>
      </c>
      <c r="G799" t="s">
        <v>99</v>
      </c>
      <c r="H799">
        <v>1</v>
      </c>
      <c r="I799">
        <v>2</v>
      </c>
      <c r="J799" s="27">
        <v>15850.45</v>
      </c>
      <c r="K799" s="27">
        <v>2000000</v>
      </c>
    </row>
    <row r="800" spans="1:11" ht="15" customHeight="1" x14ac:dyDescent="0.2">
      <c r="A800" t="s">
        <v>7992</v>
      </c>
      <c r="B800" t="s">
        <v>7993</v>
      </c>
      <c r="C800">
        <v>2024</v>
      </c>
      <c r="D800" s="18">
        <v>45320</v>
      </c>
      <c r="E800" s="18">
        <v>45685</v>
      </c>
      <c r="F800" s="18" t="s">
        <v>611</v>
      </c>
      <c r="G800" t="s">
        <v>99</v>
      </c>
      <c r="H800">
        <v>2</v>
      </c>
      <c r="I800">
        <v>2</v>
      </c>
      <c r="J800" s="27">
        <v>29533.52</v>
      </c>
      <c r="K800" s="27">
        <v>3500000</v>
      </c>
    </row>
    <row r="801" spans="1:11" ht="15" customHeight="1" x14ac:dyDescent="0.2">
      <c r="A801" t="s">
        <v>7994</v>
      </c>
      <c r="B801" t="s">
        <v>7995</v>
      </c>
      <c r="C801">
        <v>2024</v>
      </c>
      <c r="D801" s="18">
        <v>45321</v>
      </c>
      <c r="E801" s="18">
        <v>45686</v>
      </c>
      <c r="F801" s="18" t="s">
        <v>608</v>
      </c>
      <c r="G801" t="s">
        <v>100</v>
      </c>
      <c r="H801">
        <v>1</v>
      </c>
      <c r="I801">
        <v>1</v>
      </c>
      <c r="J801" s="27">
        <v>140351.17000000001</v>
      </c>
      <c r="K801" s="27">
        <v>10000000</v>
      </c>
    </row>
    <row r="802" spans="1:11" ht="15" customHeight="1" x14ac:dyDescent="0.2">
      <c r="A802" t="s">
        <v>7996</v>
      </c>
      <c r="B802" t="s">
        <v>7997</v>
      </c>
      <c r="C802">
        <v>2024</v>
      </c>
      <c r="D802" s="18">
        <v>45321</v>
      </c>
      <c r="E802" s="18">
        <v>45686</v>
      </c>
      <c r="F802" s="18" t="s">
        <v>611</v>
      </c>
      <c r="G802" t="s">
        <v>100</v>
      </c>
      <c r="H802">
        <v>2</v>
      </c>
      <c r="I802">
        <v>2</v>
      </c>
      <c r="J802" s="27">
        <v>63953.919999999998</v>
      </c>
      <c r="K802" s="27">
        <v>5000000</v>
      </c>
    </row>
    <row r="803" spans="1:11" ht="15" customHeight="1" x14ac:dyDescent="0.2">
      <c r="A803" t="s">
        <v>7998</v>
      </c>
      <c r="B803" t="s">
        <v>7999</v>
      </c>
      <c r="C803">
        <v>2024</v>
      </c>
      <c r="D803" s="18">
        <v>45321</v>
      </c>
      <c r="E803" s="18">
        <v>45686</v>
      </c>
      <c r="F803" s="18" t="s">
        <v>611</v>
      </c>
      <c r="G803" t="s">
        <v>101</v>
      </c>
      <c r="H803">
        <v>3</v>
      </c>
      <c r="I803">
        <v>3</v>
      </c>
      <c r="J803" s="27">
        <v>16962.52</v>
      </c>
      <c r="K803" s="27">
        <v>1000000</v>
      </c>
    </row>
    <row r="804" spans="1:11" ht="15" customHeight="1" x14ac:dyDescent="0.2">
      <c r="A804" t="s">
        <v>8000</v>
      </c>
      <c r="B804" t="s">
        <v>8001</v>
      </c>
      <c r="C804">
        <v>2024</v>
      </c>
      <c r="D804" s="18">
        <v>45321</v>
      </c>
      <c r="E804" s="18">
        <v>45686</v>
      </c>
      <c r="F804" s="18" t="s">
        <v>611</v>
      </c>
      <c r="G804" t="s">
        <v>102</v>
      </c>
      <c r="H804">
        <v>2</v>
      </c>
      <c r="I804">
        <v>2</v>
      </c>
      <c r="J804" s="27">
        <v>11761.33</v>
      </c>
      <c r="K804" s="27">
        <v>1500000</v>
      </c>
    </row>
    <row r="805" spans="1:11" ht="15" customHeight="1" x14ac:dyDescent="0.2">
      <c r="A805" t="s">
        <v>8002</v>
      </c>
      <c r="B805" t="s">
        <v>8003</v>
      </c>
      <c r="C805">
        <v>2024</v>
      </c>
      <c r="D805" s="18">
        <v>45321</v>
      </c>
      <c r="E805" s="18">
        <v>45686</v>
      </c>
      <c r="F805" s="18" t="s">
        <v>611</v>
      </c>
      <c r="G805" t="s">
        <v>101</v>
      </c>
      <c r="H805">
        <v>2</v>
      </c>
      <c r="I805">
        <v>4</v>
      </c>
      <c r="J805" s="27">
        <v>51485.39</v>
      </c>
      <c r="K805" s="27">
        <v>3000000</v>
      </c>
    </row>
    <row r="806" spans="1:11" ht="15" customHeight="1" x14ac:dyDescent="0.2">
      <c r="A806" t="s">
        <v>8004</v>
      </c>
      <c r="B806" t="s">
        <v>8005</v>
      </c>
      <c r="C806">
        <v>2024</v>
      </c>
      <c r="D806" s="18">
        <v>45321</v>
      </c>
      <c r="E806" s="18">
        <v>45686</v>
      </c>
      <c r="F806" s="18" t="s">
        <v>611</v>
      </c>
      <c r="G806" t="s">
        <v>100</v>
      </c>
      <c r="H806">
        <v>2</v>
      </c>
      <c r="I806">
        <v>2</v>
      </c>
      <c r="J806" s="27">
        <v>14260.45</v>
      </c>
      <c r="K806" s="27">
        <v>1000000</v>
      </c>
    </row>
    <row r="807" spans="1:11" ht="15" customHeight="1" x14ac:dyDescent="0.2">
      <c r="A807" t="s">
        <v>8006</v>
      </c>
      <c r="B807" t="s">
        <v>8007</v>
      </c>
      <c r="C807">
        <v>2024</v>
      </c>
      <c r="D807" s="18">
        <v>45321</v>
      </c>
      <c r="E807" s="18">
        <v>45686</v>
      </c>
      <c r="F807" s="18" t="s">
        <v>611</v>
      </c>
      <c r="G807" t="s">
        <v>101</v>
      </c>
      <c r="H807">
        <v>3</v>
      </c>
      <c r="I807">
        <v>3</v>
      </c>
      <c r="J807" s="27">
        <v>35430.75</v>
      </c>
      <c r="K807" s="27">
        <v>2000000</v>
      </c>
    </row>
    <row r="808" spans="1:11" ht="15" customHeight="1" x14ac:dyDescent="0.2">
      <c r="A808" t="s">
        <v>8008</v>
      </c>
      <c r="B808" t="s">
        <v>8009</v>
      </c>
      <c r="C808">
        <v>2024</v>
      </c>
      <c r="D808" s="18">
        <v>45322</v>
      </c>
      <c r="E808" s="18">
        <v>45687</v>
      </c>
      <c r="F808" s="18" t="s">
        <v>608</v>
      </c>
      <c r="G808" t="s">
        <v>101</v>
      </c>
      <c r="H808">
        <v>2</v>
      </c>
      <c r="I808">
        <v>2</v>
      </c>
      <c r="J808" s="27">
        <v>16229.59</v>
      </c>
      <c r="K808" s="27">
        <v>1000000</v>
      </c>
    </row>
    <row r="809" spans="1:11" ht="15" customHeight="1" x14ac:dyDescent="0.2">
      <c r="A809" t="s">
        <v>8010</v>
      </c>
      <c r="B809" t="s">
        <v>8011</v>
      </c>
      <c r="C809">
        <v>2024</v>
      </c>
      <c r="D809" s="18">
        <v>45322</v>
      </c>
      <c r="E809" s="18">
        <v>45687</v>
      </c>
      <c r="F809" s="18" t="s">
        <v>608</v>
      </c>
      <c r="G809" t="s">
        <v>102</v>
      </c>
      <c r="H809">
        <v>2</v>
      </c>
      <c r="I809">
        <v>4</v>
      </c>
      <c r="J809" s="27">
        <v>43942.04</v>
      </c>
      <c r="K809" s="27">
        <v>5000000</v>
      </c>
    </row>
    <row r="810" spans="1:11" ht="15" customHeight="1" x14ac:dyDescent="0.2">
      <c r="A810" t="s">
        <v>8012</v>
      </c>
      <c r="B810" t="s">
        <v>8013</v>
      </c>
      <c r="C810">
        <v>2024</v>
      </c>
      <c r="D810" s="18">
        <v>45322</v>
      </c>
      <c r="E810" s="18">
        <v>45687</v>
      </c>
      <c r="F810" s="18" t="s">
        <v>608</v>
      </c>
      <c r="G810" t="s">
        <v>100</v>
      </c>
      <c r="H810">
        <v>2</v>
      </c>
      <c r="I810">
        <v>4</v>
      </c>
      <c r="J810" s="27">
        <v>63644.76</v>
      </c>
      <c r="K810" s="27">
        <v>5000000</v>
      </c>
    </row>
    <row r="811" spans="1:11" ht="15" customHeight="1" x14ac:dyDescent="0.2">
      <c r="A811" t="s">
        <v>8014</v>
      </c>
      <c r="B811" t="s">
        <v>8015</v>
      </c>
      <c r="C811">
        <v>2024</v>
      </c>
      <c r="D811" s="18">
        <v>45322</v>
      </c>
      <c r="E811" s="18">
        <v>45687</v>
      </c>
      <c r="F811" s="18" t="s">
        <v>611</v>
      </c>
      <c r="G811" t="s">
        <v>99</v>
      </c>
      <c r="H811">
        <v>3</v>
      </c>
      <c r="I811">
        <v>3</v>
      </c>
      <c r="J811" s="27">
        <v>33124.050000000003</v>
      </c>
      <c r="K811" s="27">
        <v>4500000</v>
      </c>
    </row>
    <row r="812" spans="1:11" ht="15" customHeight="1" x14ac:dyDescent="0.2">
      <c r="A812" t="s">
        <v>8016</v>
      </c>
      <c r="B812" t="s">
        <v>8017</v>
      </c>
      <c r="C812">
        <v>2024</v>
      </c>
      <c r="D812" s="18">
        <v>45322</v>
      </c>
      <c r="E812" s="18">
        <v>45687</v>
      </c>
      <c r="F812" s="18" t="s">
        <v>611</v>
      </c>
      <c r="G812" t="s">
        <v>101</v>
      </c>
      <c r="H812">
        <v>2</v>
      </c>
      <c r="I812">
        <v>2</v>
      </c>
      <c r="J812" s="27">
        <v>36627.72</v>
      </c>
      <c r="K812" s="27">
        <v>2000000</v>
      </c>
    </row>
    <row r="813" spans="1:11" ht="15" customHeight="1" x14ac:dyDescent="0.2">
      <c r="A813" t="s">
        <v>8018</v>
      </c>
      <c r="B813" t="s">
        <v>8019</v>
      </c>
      <c r="C813">
        <v>2024</v>
      </c>
      <c r="D813" s="18">
        <v>45322</v>
      </c>
      <c r="E813" s="18">
        <v>45687</v>
      </c>
      <c r="F813" s="18" t="s">
        <v>611</v>
      </c>
      <c r="G813" t="s">
        <v>100</v>
      </c>
      <c r="H813">
        <v>1</v>
      </c>
      <c r="I813">
        <v>2</v>
      </c>
      <c r="J813" s="27">
        <v>69502.53</v>
      </c>
      <c r="K813" s="27">
        <v>5000000</v>
      </c>
    </row>
    <row r="814" spans="1:11" ht="15" customHeight="1" x14ac:dyDescent="0.2">
      <c r="A814" t="s">
        <v>8020</v>
      </c>
      <c r="B814" t="s">
        <v>8021</v>
      </c>
      <c r="C814">
        <v>2024</v>
      </c>
      <c r="D814" s="18">
        <v>45322</v>
      </c>
      <c r="E814" s="18">
        <v>45687</v>
      </c>
      <c r="F814" s="18" t="s">
        <v>611</v>
      </c>
      <c r="G814" t="s">
        <v>101</v>
      </c>
      <c r="H814">
        <v>1</v>
      </c>
      <c r="I814">
        <v>1</v>
      </c>
      <c r="J814" s="27">
        <v>83503.88</v>
      </c>
      <c r="K814" s="27">
        <v>5000000</v>
      </c>
    </row>
    <row r="815" spans="1:11" ht="15" customHeight="1" x14ac:dyDescent="0.2">
      <c r="A815" t="s">
        <v>8022</v>
      </c>
      <c r="B815" t="s">
        <v>8023</v>
      </c>
      <c r="C815">
        <v>2024</v>
      </c>
      <c r="D815" s="18">
        <v>45322</v>
      </c>
      <c r="E815" s="18">
        <v>45687</v>
      </c>
      <c r="F815" s="18" t="s">
        <v>611</v>
      </c>
      <c r="G815" t="s">
        <v>99</v>
      </c>
      <c r="H815">
        <v>1</v>
      </c>
      <c r="I815">
        <v>2</v>
      </c>
      <c r="J815" s="27">
        <v>38640.42</v>
      </c>
      <c r="K815" s="27">
        <v>5000000</v>
      </c>
    </row>
    <row r="816" spans="1:11" ht="15" customHeight="1" x14ac:dyDescent="0.2">
      <c r="A816" t="s">
        <v>8024</v>
      </c>
      <c r="B816" t="s">
        <v>8025</v>
      </c>
      <c r="C816">
        <v>2024</v>
      </c>
      <c r="D816" s="18">
        <v>45322</v>
      </c>
      <c r="E816" s="18">
        <v>45687</v>
      </c>
      <c r="F816" s="18" t="s">
        <v>611</v>
      </c>
      <c r="G816" t="s">
        <v>100</v>
      </c>
      <c r="H816">
        <v>2</v>
      </c>
      <c r="I816">
        <v>4</v>
      </c>
      <c r="J816" s="27">
        <v>30891.29</v>
      </c>
      <c r="K816" s="27">
        <v>2500000</v>
      </c>
    </row>
    <row r="817" spans="1:11" ht="15" customHeight="1" x14ac:dyDescent="0.2">
      <c r="A817" t="s">
        <v>8026</v>
      </c>
      <c r="B817" t="s">
        <v>8027</v>
      </c>
      <c r="C817">
        <v>2024</v>
      </c>
      <c r="D817" s="18">
        <v>45322</v>
      </c>
      <c r="E817" s="18">
        <v>45687</v>
      </c>
      <c r="F817" s="18" t="s">
        <v>611</v>
      </c>
      <c r="G817" t="s">
        <v>101</v>
      </c>
      <c r="H817">
        <v>2</v>
      </c>
      <c r="I817">
        <v>2</v>
      </c>
      <c r="J817" s="27">
        <v>57158.67</v>
      </c>
      <c r="K817" s="27">
        <v>3000000</v>
      </c>
    </row>
    <row r="818" spans="1:11" ht="15" customHeight="1" x14ac:dyDescent="0.2">
      <c r="A818" t="s">
        <v>8028</v>
      </c>
      <c r="B818" t="s">
        <v>8029</v>
      </c>
      <c r="C818">
        <v>2024</v>
      </c>
      <c r="D818" s="18">
        <v>45323</v>
      </c>
      <c r="E818" s="18">
        <v>45688</v>
      </c>
      <c r="F818" s="18" t="s">
        <v>608</v>
      </c>
      <c r="G818" t="s">
        <v>99</v>
      </c>
      <c r="H818">
        <v>2</v>
      </c>
      <c r="I818">
        <v>2</v>
      </c>
      <c r="J818" s="27">
        <v>7616.57</v>
      </c>
      <c r="K818" s="27">
        <v>1000000</v>
      </c>
    </row>
    <row r="819" spans="1:11" ht="15" customHeight="1" x14ac:dyDescent="0.2">
      <c r="A819" t="s">
        <v>8030</v>
      </c>
      <c r="B819" t="s">
        <v>8031</v>
      </c>
      <c r="C819">
        <v>2024</v>
      </c>
      <c r="D819" s="18">
        <v>45323</v>
      </c>
      <c r="E819" s="18">
        <v>45688</v>
      </c>
      <c r="F819" s="18" t="s">
        <v>608</v>
      </c>
      <c r="G819" t="s">
        <v>100</v>
      </c>
      <c r="H819">
        <v>1</v>
      </c>
      <c r="I819">
        <v>2</v>
      </c>
      <c r="J819" s="27">
        <v>60876.26</v>
      </c>
      <c r="K819" s="27">
        <v>5000000</v>
      </c>
    </row>
    <row r="820" spans="1:11" ht="15" customHeight="1" x14ac:dyDescent="0.2">
      <c r="A820" t="s">
        <v>8032</v>
      </c>
      <c r="B820" t="s">
        <v>8033</v>
      </c>
      <c r="C820">
        <v>2024</v>
      </c>
      <c r="D820" s="18">
        <v>45323</v>
      </c>
      <c r="E820" s="18">
        <v>45688</v>
      </c>
      <c r="F820" s="18" t="s">
        <v>608</v>
      </c>
      <c r="G820" t="s">
        <v>99</v>
      </c>
      <c r="H820">
        <v>1</v>
      </c>
      <c r="I820">
        <v>1</v>
      </c>
      <c r="J820" s="27">
        <v>43100.6</v>
      </c>
      <c r="K820" s="27">
        <v>5000000</v>
      </c>
    </row>
    <row r="821" spans="1:11" ht="15" customHeight="1" x14ac:dyDescent="0.2">
      <c r="A821" t="s">
        <v>8034</v>
      </c>
      <c r="B821" t="s">
        <v>8035</v>
      </c>
      <c r="C821">
        <v>2024</v>
      </c>
      <c r="D821" s="18">
        <v>45323</v>
      </c>
      <c r="E821" s="18">
        <v>45688</v>
      </c>
      <c r="F821" s="18" t="s">
        <v>611</v>
      </c>
      <c r="G821" t="s">
        <v>100</v>
      </c>
      <c r="H821">
        <v>1</v>
      </c>
      <c r="I821">
        <v>2</v>
      </c>
      <c r="J821" s="27">
        <v>12890.53</v>
      </c>
      <c r="K821" s="27">
        <v>1000000</v>
      </c>
    </row>
    <row r="822" spans="1:11" ht="15" customHeight="1" x14ac:dyDescent="0.2">
      <c r="A822" t="s">
        <v>8036</v>
      </c>
      <c r="B822" t="s">
        <v>8037</v>
      </c>
      <c r="C822">
        <v>2024</v>
      </c>
      <c r="D822" s="18">
        <v>45323</v>
      </c>
      <c r="E822" s="18">
        <v>45688</v>
      </c>
      <c r="F822" s="18" t="s">
        <v>611</v>
      </c>
      <c r="G822" t="s">
        <v>101</v>
      </c>
      <c r="H822">
        <v>2</v>
      </c>
      <c r="I822">
        <v>4</v>
      </c>
      <c r="J822" s="27">
        <v>91080.54</v>
      </c>
      <c r="K822" s="27">
        <v>5000000</v>
      </c>
    </row>
    <row r="823" spans="1:11" ht="15" customHeight="1" x14ac:dyDescent="0.2">
      <c r="A823" t="s">
        <v>8038</v>
      </c>
      <c r="B823" t="s">
        <v>8039</v>
      </c>
      <c r="C823">
        <v>2024</v>
      </c>
      <c r="D823" s="18">
        <v>45323</v>
      </c>
      <c r="E823" s="18">
        <v>45688</v>
      </c>
      <c r="F823" s="18" t="s">
        <v>611</v>
      </c>
      <c r="G823" t="s">
        <v>102</v>
      </c>
      <c r="H823">
        <v>1</v>
      </c>
      <c r="I823">
        <v>2</v>
      </c>
      <c r="J823" s="27">
        <v>20402.14</v>
      </c>
      <c r="K823" s="27">
        <v>2500000</v>
      </c>
    </row>
    <row r="824" spans="1:11" ht="15" customHeight="1" x14ac:dyDescent="0.2">
      <c r="A824" t="s">
        <v>8040</v>
      </c>
      <c r="B824" t="s">
        <v>8041</v>
      </c>
      <c r="C824">
        <v>2024</v>
      </c>
      <c r="D824" s="18">
        <v>45323</v>
      </c>
      <c r="E824" s="18">
        <v>45688</v>
      </c>
      <c r="F824" s="18" t="s">
        <v>611</v>
      </c>
      <c r="G824" t="s">
        <v>101</v>
      </c>
      <c r="H824">
        <v>3</v>
      </c>
      <c r="I824">
        <v>3</v>
      </c>
      <c r="J824" s="27">
        <v>35117.230000000003</v>
      </c>
      <c r="K824" s="27">
        <v>2000000</v>
      </c>
    </row>
    <row r="825" spans="1:11" ht="15" customHeight="1" x14ac:dyDescent="0.2">
      <c r="A825" t="s">
        <v>8042</v>
      </c>
      <c r="B825" t="s">
        <v>8043</v>
      </c>
      <c r="C825">
        <v>2024</v>
      </c>
      <c r="D825" s="18">
        <v>45323</v>
      </c>
      <c r="E825" s="18">
        <v>45688</v>
      </c>
      <c r="F825" s="18" t="s">
        <v>611</v>
      </c>
      <c r="G825" t="s">
        <v>99</v>
      </c>
      <c r="H825">
        <v>3</v>
      </c>
      <c r="I825">
        <v>3</v>
      </c>
      <c r="J825" s="27">
        <v>32096.44</v>
      </c>
      <c r="K825" s="27">
        <v>4000000</v>
      </c>
    </row>
    <row r="826" spans="1:11" ht="15" customHeight="1" x14ac:dyDescent="0.2">
      <c r="A826" t="s">
        <v>8044</v>
      </c>
      <c r="B826" t="s">
        <v>8045</v>
      </c>
      <c r="C826">
        <v>2024</v>
      </c>
      <c r="D826" s="18">
        <v>45323</v>
      </c>
      <c r="E826" s="18">
        <v>45688</v>
      </c>
      <c r="F826" s="18" t="s">
        <v>611</v>
      </c>
      <c r="G826" t="s">
        <v>99</v>
      </c>
      <c r="H826">
        <v>2</v>
      </c>
      <c r="I826">
        <v>4</v>
      </c>
      <c r="J826" s="27">
        <v>17347.919999999998</v>
      </c>
      <c r="K826" s="27">
        <v>2000000</v>
      </c>
    </row>
    <row r="827" spans="1:11" ht="15" customHeight="1" x14ac:dyDescent="0.2">
      <c r="A827" t="s">
        <v>8046</v>
      </c>
      <c r="B827" t="s">
        <v>8047</v>
      </c>
      <c r="C827">
        <v>2024</v>
      </c>
      <c r="D827" s="18">
        <v>45323</v>
      </c>
      <c r="E827" s="18">
        <v>45688</v>
      </c>
      <c r="F827" s="18" t="s">
        <v>611</v>
      </c>
      <c r="G827" t="s">
        <v>100</v>
      </c>
      <c r="H827">
        <v>2</v>
      </c>
      <c r="I827">
        <v>2</v>
      </c>
      <c r="J827" s="27">
        <v>59679.38</v>
      </c>
      <c r="K827" s="27">
        <v>4500000</v>
      </c>
    </row>
    <row r="828" spans="1:11" ht="15" customHeight="1" x14ac:dyDescent="0.2">
      <c r="A828" t="s">
        <v>8048</v>
      </c>
      <c r="B828" t="s">
        <v>8049</v>
      </c>
      <c r="C828">
        <v>2024</v>
      </c>
      <c r="D828" s="18">
        <v>45324</v>
      </c>
      <c r="E828" s="18">
        <v>45689</v>
      </c>
      <c r="F828" s="18" t="s">
        <v>611</v>
      </c>
      <c r="G828" t="s">
        <v>99</v>
      </c>
      <c r="H828">
        <v>2</v>
      </c>
      <c r="I828">
        <v>2</v>
      </c>
      <c r="J828" s="27">
        <v>42313.22</v>
      </c>
      <c r="K828" s="27">
        <v>5000000</v>
      </c>
    </row>
    <row r="829" spans="1:11" ht="15" customHeight="1" x14ac:dyDescent="0.2">
      <c r="A829" t="s">
        <v>8050</v>
      </c>
      <c r="B829" t="s">
        <v>8051</v>
      </c>
      <c r="C829">
        <v>2024</v>
      </c>
      <c r="D829" s="18">
        <v>45324</v>
      </c>
      <c r="E829" s="18">
        <v>45689</v>
      </c>
      <c r="F829" s="18" t="s">
        <v>611</v>
      </c>
      <c r="G829" t="s">
        <v>101</v>
      </c>
      <c r="H829">
        <v>1</v>
      </c>
      <c r="I829">
        <v>2</v>
      </c>
      <c r="J829" s="27">
        <v>57121.68</v>
      </c>
      <c r="K829" s="27">
        <v>3000000</v>
      </c>
    </row>
    <row r="830" spans="1:11" ht="15" customHeight="1" x14ac:dyDescent="0.2">
      <c r="A830" t="s">
        <v>8052</v>
      </c>
      <c r="B830" t="s">
        <v>8053</v>
      </c>
      <c r="C830">
        <v>2024</v>
      </c>
      <c r="D830" s="18">
        <v>45324</v>
      </c>
      <c r="E830" s="18">
        <v>45689</v>
      </c>
      <c r="F830" s="18" t="s">
        <v>611</v>
      </c>
      <c r="G830" t="s">
        <v>99</v>
      </c>
      <c r="H830">
        <v>1</v>
      </c>
      <c r="I830">
        <v>1</v>
      </c>
      <c r="J830" s="27">
        <v>17374.57</v>
      </c>
      <c r="K830" s="27">
        <v>2000000</v>
      </c>
    </row>
    <row r="831" spans="1:11" ht="15" customHeight="1" x14ac:dyDescent="0.2">
      <c r="A831" t="s">
        <v>8054</v>
      </c>
      <c r="B831" t="s">
        <v>8055</v>
      </c>
      <c r="C831">
        <v>2024</v>
      </c>
      <c r="D831" s="18">
        <v>45324</v>
      </c>
      <c r="E831" s="18">
        <v>45689</v>
      </c>
      <c r="F831" s="18" t="s">
        <v>611</v>
      </c>
      <c r="G831" t="s">
        <v>99</v>
      </c>
      <c r="H831">
        <v>2</v>
      </c>
      <c r="I831">
        <v>2</v>
      </c>
      <c r="J831" s="27">
        <v>18493.830000000002</v>
      </c>
      <c r="K831" s="27">
        <v>2500000</v>
      </c>
    </row>
    <row r="832" spans="1:11" ht="15" customHeight="1" x14ac:dyDescent="0.2">
      <c r="A832" t="s">
        <v>8056</v>
      </c>
      <c r="B832" t="s">
        <v>8057</v>
      </c>
      <c r="C832">
        <v>2024</v>
      </c>
      <c r="D832" s="18">
        <v>45325</v>
      </c>
      <c r="E832" s="18">
        <v>45690</v>
      </c>
      <c r="F832" s="18" t="s">
        <v>608</v>
      </c>
      <c r="G832" t="s">
        <v>102</v>
      </c>
      <c r="H832">
        <v>1</v>
      </c>
      <c r="I832">
        <v>2</v>
      </c>
      <c r="J832" s="27">
        <v>19751.509999999998</v>
      </c>
      <c r="K832" s="27">
        <v>2500000</v>
      </c>
    </row>
    <row r="833" spans="1:11" ht="15" customHeight="1" x14ac:dyDescent="0.2">
      <c r="A833" t="s">
        <v>8058</v>
      </c>
      <c r="B833" t="s">
        <v>8059</v>
      </c>
      <c r="C833">
        <v>2024</v>
      </c>
      <c r="D833" s="18">
        <v>45325</v>
      </c>
      <c r="E833" s="18">
        <v>45690</v>
      </c>
      <c r="F833" s="18" t="s">
        <v>608</v>
      </c>
      <c r="G833" t="s">
        <v>101</v>
      </c>
      <c r="H833">
        <v>3</v>
      </c>
      <c r="I833">
        <v>3</v>
      </c>
      <c r="J833" s="27">
        <v>65297.46</v>
      </c>
      <c r="K833" s="27">
        <v>4000000</v>
      </c>
    </row>
    <row r="834" spans="1:11" ht="15" customHeight="1" x14ac:dyDescent="0.2">
      <c r="A834" t="s">
        <v>8060</v>
      </c>
      <c r="B834" t="s">
        <v>8061</v>
      </c>
      <c r="C834">
        <v>2024</v>
      </c>
      <c r="D834" s="18">
        <v>45325</v>
      </c>
      <c r="E834" s="18">
        <v>45690</v>
      </c>
      <c r="F834" s="18" t="s">
        <v>608</v>
      </c>
      <c r="G834" t="s">
        <v>99</v>
      </c>
      <c r="H834">
        <v>1</v>
      </c>
      <c r="I834">
        <v>1</v>
      </c>
      <c r="J834" s="27">
        <v>28362.240000000002</v>
      </c>
      <c r="K834" s="27">
        <v>3500000</v>
      </c>
    </row>
    <row r="835" spans="1:11" ht="15" customHeight="1" x14ac:dyDescent="0.2">
      <c r="A835" t="s">
        <v>8062</v>
      </c>
      <c r="B835" t="s">
        <v>8063</v>
      </c>
      <c r="C835">
        <v>2024</v>
      </c>
      <c r="D835" s="18">
        <v>45325</v>
      </c>
      <c r="E835" s="18">
        <v>45690</v>
      </c>
      <c r="F835" s="18" t="s">
        <v>611</v>
      </c>
      <c r="G835" t="s">
        <v>99</v>
      </c>
      <c r="H835">
        <v>1</v>
      </c>
      <c r="I835">
        <v>1</v>
      </c>
      <c r="J835" s="27">
        <v>4430.03</v>
      </c>
      <c r="K835" s="27">
        <v>500000</v>
      </c>
    </row>
    <row r="836" spans="1:11" ht="15" customHeight="1" x14ac:dyDescent="0.2">
      <c r="A836" t="s">
        <v>8064</v>
      </c>
      <c r="B836" t="s">
        <v>8065</v>
      </c>
      <c r="C836">
        <v>2024</v>
      </c>
      <c r="D836" s="18">
        <v>45326</v>
      </c>
      <c r="E836" s="18">
        <v>45691</v>
      </c>
      <c r="F836" s="18" t="s">
        <v>608</v>
      </c>
      <c r="G836" t="s">
        <v>102</v>
      </c>
      <c r="H836">
        <v>1</v>
      </c>
      <c r="I836">
        <v>2</v>
      </c>
      <c r="J836" s="27">
        <v>45209.93</v>
      </c>
      <c r="K836" s="27">
        <v>5000000</v>
      </c>
    </row>
    <row r="837" spans="1:11" ht="15" customHeight="1" x14ac:dyDescent="0.2">
      <c r="A837" t="s">
        <v>8066</v>
      </c>
      <c r="B837" t="s">
        <v>8067</v>
      </c>
      <c r="C837">
        <v>2024</v>
      </c>
      <c r="D837" s="18">
        <v>45326</v>
      </c>
      <c r="E837" s="18">
        <v>45691</v>
      </c>
      <c r="F837" s="18" t="s">
        <v>611</v>
      </c>
      <c r="G837" t="s">
        <v>100</v>
      </c>
      <c r="H837">
        <v>1</v>
      </c>
      <c r="I837">
        <v>2</v>
      </c>
      <c r="J837" s="27">
        <v>7003.35</v>
      </c>
      <c r="K837" s="27">
        <v>500000</v>
      </c>
    </row>
    <row r="838" spans="1:11" ht="15" customHeight="1" x14ac:dyDescent="0.2">
      <c r="A838" t="s">
        <v>8068</v>
      </c>
      <c r="B838" t="s">
        <v>8069</v>
      </c>
      <c r="C838">
        <v>2024</v>
      </c>
      <c r="D838" s="18">
        <v>45326</v>
      </c>
      <c r="E838" s="18">
        <v>45691</v>
      </c>
      <c r="F838" s="18" t="s">
        <v>611</v>
      </c>
      <c r="G838" t="s">
        <v>100</v>
      </c>
      <c r="H838">
        <v>1</v>
      </c>
      <c r="I838">
        <v>2</v>
      </c>
      <c r="J838" s="27">
        <v>12376.11</v>
      </c>
      <c r="K838" s="27">
        <v>1000000</v>
      </c>
    </row>
    <row r="839" spans="1:11" ht="15" customHeight="1" x14ac:dyDescent="0.2">
      <c r="A839" t="s">
        <v>8070</v>
      </c>
      <c r="B839" t="s">
        <v>8071</v>
      </c>
      <c r="C839">
        <v>2024</v>
      </c>
      <c r="D839" s="18">
        <v>45326</v>
      </c>
      <c r="E839" s="18">
        <v>45691</v>
      </c>
      <c r="F839" s="18" t="s">
        <v>611</v>
      </c>
      <c r="G839" t="s">
        <v>99</v>
      </c>
      <c r="H839">
        <v>1</v>
      </c>
      <c r="I839">
        <v>2</v>
      </c>
      <c r="J839" s="27">
        <v>34300.120000000003</v>
      </c>
      <c r="K839" s="27">
        <v>4000000</v>
      </c>
    </row>
    <row r="840" spans="1:11" ht="15" customHeight="1" x14ac:dyDescent="0.2">
      <c r="A840" t="s">
        <v>8072</v>
      </c>
      <c r="B840" t="s">
        <v>8073</v>
      </c>
      <c r="C840">
        <v>2024</v>
      </c>
      <c r="D840" s="18">
        <v>45326</v>
      </c>
      <c r="E840" s="18">
        <v>45691</v>
      </c>
      <c r="F840" s="18" t="s">
        <v>611</v>
      </c>
      <c r="G840" t="s">
        <v>99</v>
      </c>
      <c r="H840">
        <v>2</v>
      </c>
      <c r="I840">
        <v>2</v>
      </c>
      <c r="J840" s="27">
        <v>42798.9</v>
      </c>
      <c r="K840" s="27">
        <v>5000000</v>
      </c>
    </row>
    <row r="841" spans="1:11" ht="15" customHeight="1" x14ac:dyDescent="0.2">
      <c r="A841" t="s">
        <v>8074</v>
      </c>
      <c r="B841" t="s">
        <v>8075</v>
      </c>
      <c r="C841">
        <v>2024</v>
      </c>
      <c r="D841" s="18">
        <v>45326</v>
      </c>
      <c r="E841" s="18">
        <v>45691</v>
      </c>
      <c r="F841" s="18" t="s">
        <v>611</v>
      </c>
      <c r="G841" t="s">
        <v>100</v>
      </c>
      <c r="H841">
        <v>2</v>
      </c>
      <c r="I841">
        <v>4</v>
      </c>
      <c r="J841" s="27">
        <v>28359.01</v>
      </c>
      <c r="K841" s="27">
        <v>2000000</v>
      </c>
    </row>
    <row r="842" spans="1:11" ht="15" customHeight="1" x14ac:dyDescent="0.2">
      <c r="A842" t="s">
        <v>8076</v>
      </c>
      <c r="B842" t="s">
        <v>8077</v>
      </c>
      <c r="C842">
        <v>2024</v>
      </c>
      <c r="D842" s="18">
        <v>45327</v>
      </c>
      <c r="E842" s="18">
        <v>45692</v>
      </c>
      <c r="F842" s="18" t="s">
        <v>608</v>
      </c>
      <c r="G842" t="s">
        <v>99</v>
      </c>
      <c r="H842">
        <v>2</v>
      </c>
      <c r="I842">
        <v>2</v>
      </c>
      <c r="J842" s="27">
        <v>16566.5</v>
      </c>
      <c r="K842" s="27">
        <v>2000000</v>
      </c>
    </row>
    <row r="843" spans="1:11" ht="15" customHeight="1" x14ac:dyDescent="0.2">
      <c r="A843" t="s">
        <v>8078</v>
      </c>
      <c r="B843" t="s">
        <v>8079</v>
      </c>
      <c r="C843">
        <v>2024</v>
      </c>
      <c r="D843" s="18">
        <v>45327</v>
      </c>
      <c r="E843" s="18">
        <v>45692</v>
      </c>
      <c r="F843" s="18" t="s">
        <v>608</v>
      </c>
      <c r="G843" t="s">
        <v>99</v>
      </c>
      <c r="H843">
        <v>3</v>
      </c>
      <c r="I843">
        <v>3</v>
      </c>
      <c r="J843" s="27">
        <v>15489.28</v>
      </c>
      <c r="K843" s="27">
        <v>2000000</v>
      </c>
    </row>
    <row r="844" spans="1:11" ht="15" customHeight="1" x14ac:dyDescent="0.2">
      <c r="A844" t="s">
        <v>8080</v>
      </c>
      <c r="B844" t="s">
        <v>8081</v>
      </c>
      <c r="C844">
        <v>2024</v>
      </c>
      <c r="D844" s="18">
        <v>45327</v>
      </c>
      <c r="E844" s="18">
        <v>45692</v>
      </c>
      <c r="F844" s="18" t="s">
        <v>608</v>
      </c>
      <c r="G844" t="s">
        <v>102</v>
      </c>
      <c r="H844">
        <v>3</v>
      </c>
      <c r="I844">
        <v>3</v>
      </c>
      <c r="J844" s="27">
        <v>34716.639999999999</v>
      </c>
      <c r="K844" s="27">
        <v>4000000</v>
      </c>
    </row>
    <row r="845" spans="1:11" ht="15" customHeight="1" x14ac:dyDescent="0.2">
      <c r="A845" t="s">
        <v>8082</v>
      </c>
      <c r="B845" t="s">
        <v>8083</v>
      </c>
      <c r="C845">
        <v>2024</v>
      </c>
      <c r="D845" s="18">
        <v>45327</v>
      </c>
      <c r="E845" s="18">
        <v>45692</v>
      </c>
      <c r="F845" s="18" t="s">
        <v>611</v>
      </c>
      <c r="G845" t="s">
        <v>101</v>
      </c>
      <c r="H845">
        <v>1</v>
      </c>
      <c r="I845">
        <v>1</v>
      </c>
      <c r="J845" s="27">
        <v>16717.919999999998</v>
      </c>
      <c r="K845" s="27">
        <v>1000000</v>
      </c>
    </row>
    <row r="846" spans="1:11" ht="15" customHeight="1" x14ac:dyDescent="0.2">
      <c r="A846" t="s">
        <v>8084</v>
      </c>
      <c r="B846" t="s">
        <v>8085</v>
      </c>
      <c r="C846">
        <v>2024</v>
      </c>
      <c r="D846" s="18">
        <v>45327</v>
      </c>
      <c r="E846" s="18">
        <v>45692</v>
      </c>
      <c r="F846" s="18" t="s">
        <v>611</v>
      </c>
      <c r="G846" t="s">
        <v>100</v>
      </c>
      <c r="H846">
        <v>1</v>
      </c>
      <c r="I846">
        <v>1</v>
      </c>
      <c r="J846" s="27">
        <v>66269.399999999994</v>
      </c>
      <c r="K846" s="27">
        <v>5000000</v>
      </c>
    </row>
    <row r="847" spans="1:11" ht="15" customHeight="1" x14ac:dyDescent="0.2">
      <c r="A847" t="s">
        <v>8086</v>
      </c>
      <c r="B847" t="s">
        <v>8087</v>
      </c>
      <c r="C847">
        <v>2024</v>
      </c>
      <c r="D847" s="18">
        <v>45328</v>
      </c>
      <c r="E847" s="18">
        <v>45693</v>
      </c>
      <c r="F847" s="18" t="s">
        <v>608</v>
      </c>
      <c r="G847" t="s">
        <v>100</v>
      </c>
      <c r="H847">
        <v>1</v>
      </c>
      <c r="I847">
        <v>2</v>
      </c>
      <c r="J847" s="27">
        <v>28122.7</v>
      </c>
      <c r="K847" s="27">
        <v>2000000</v>
      </c>
    </row>
    <row r="848" spans="1:11" ht="15" customHeight="1" x14ac:dyDescent="0.2">
      <c r="A848" t="s">
        <v>8088</v>
      </c>
      <c r="B848" t="s">
        <v>8089</v>
      </c>
      <c r="C848">
        <v>2024</v>
      </c>
      <c r="D848" s="18">
        <v>45328</v>
      </c>
      <c r="E848" s="18">
        <v>45693</v>
      </c>
      <c r="F848" s="18" t="s">
        <v>611</v>
      </c>
      <c r="G848" t="s">
        <v>99</v>
      </c>
      <c r="H848">
        <v>3</v>
      </c>
      <c r="I848">
        <v>6</v>
      </c>
      <c r="J848" s="27">
        <v>22336.51</v>
      </c>
      <c r="K848" s="27">
        <v>3000000</v>
      </c>
    </row>
    <row r="849" spans="1:11" ht="15" customHeight="1" x14ac:dyDescent="0.2">
      <c r="A849" t="s">
        <v>8090</v>
      </c>
      <c r="B849" t="s">
        <v>8091</v>
      </c>
      <c r="C849">
        <v>2024</v>
      </c>
      <c r="D849" s="18">
        <v>45328</v>
      </c>
      <c r="E849" s="18">
        <v>45693</v>
      </c>
      <c r="F849" s="18" t="s">
        <v>611</v>
      </c>
      <c r="G849" t="s">
        <v>100</v>
      </c>
      <c r="H849">
        <v>1</v>
      </c>
      <c r="I849">
        <v>2</v>
      </c>
      <c r="J849" s="27">
        <v>61021.8</v>
      </c>
      <c r="K849" s="27">
        <v>4500000</v>
      </c>
    </row>
    <row r="850" spans="1:11" ht="15" customHeight="1" x14ac:dyDescent="0.2">
      <c r="A850" t="s">
        <v>8092</v>
      </c>
      <c r="B850" t="s">
        <v>8093</v>
      </c>
      <c r="C850">
        <v>2024</v>
      </c>
      <c r="D850" s="18">
        <v>45328</v>
      </c>
      <c r="E850" s="18">
        <v>45693</v>
      </c>
      <c r="F850" s="18" t="s">
        <v>611</v>
      </c>
      <c r="G850" t="s">
        <v>101</v>
      </c>
      <c r="H850">
        <v>3</v>
      </c>
      <c r="I850">
        <v>3</v>
      </c>
      <c r="J850" s="27">
        <v>32845.230000000003</v>
      </c>
      <c r="K850" s="27">
        <v>2000000</v>
      </c>
    </row>
    <row r="851" spans="1:11" ht="15" customHeight="1" x14ac:dyDescent="0.2">
      <c r="A851" t="s">
        <v>8094</v>
      </c>
      <c r="B851" t="s">
        <v>8095</v>
      </c>
      <c r="C851">
        <v>2024</v>
      </c>
      <c r="D851" s="18">
        <v>45329</v>
      </c>
      <c r="E851" s="18">
        <v>45694</v>
      </c>
      <c r="F851" s="18" t="s">
        <v>608</v>
      </c>
      <c r="G851" t="s">
        <v>101</v>
      </c>
      <c r="H851">
        <v>1</v>
      </c>
      <c r="I851">
        <v>1</v>
      </c>
      <c r="J851" s="27">
        <v>161032.07</v>
      </c>
      <c r="K851" s="27">
        <v>10000000</v>
      </c>
    </row>
    <row r="852" spans="1:11" ht="15" customHeight="1" x14ac:dyDescent="0.2">
      <c r="A852" t="s">
        <v>8096</v>
      </c>
      <c r="B852" t="s">
        <v>8097</v>
      </c>
      <c r="C852">
        <v>2024</v>
      </c>
      <c r="D852" s="18">
        <v>45329</v>
      </c>
      <c r="E852" s="18">
        <v>45694</v>
      </c>
      <c r="F852" s="18" t="s">
        <v>611</v>
      </c>
      <c r="G852" t="s">
        <v>100</v>
      </c>
      <c r="H852">
        <v>3</v>
      </c>
      <c r="I852">
        <v>6</v>
      </c>
      <c r="J852" s="27">
        <v>56909.07</v>
      </c>
      <c r="K852" s="27">
        <v>4000000</v>
      </c>
    </row>
    <row r="853" spans="1:11" ht="15" customHeight="1" x14ac:dyDescent="0.2">
      <c r="A853" t="s">
        <v>8098</v>
      </c>
      <c r="B853" t="s">
        <v>8099</v>
      </c>
      <c r="C853">
        <v>2024</v>
      </c>
      <c r="D853" s="18">
        <v>45329</v>
      </c>
      <c r="E853" s="18">
        <v>45694</v>
      </c>
      <c r="F853" s="18" t="s">
        <v>611</v>
      </c>
      <c r="G853" t="s">
        <v>99</v>
      </c>
      <c r="H853">
        <v>3</v>
      </c>
      <c r="I853">
        <v>3</v>
      </c>
      <c r="J853" s="27">
        <v>15009.23</v>
      </c>
      <c r="K853" s="27">
        <v>2000000</v>
      </c>
    </row>
    <row r="854" spans="1:11" ht="15" customHeight="1" x14ac:dyDescent="0.2">
      <c r="A854" t="s">
        <v>8100</v>
      </c>
      <c r="B854" t="s">
        <v>8101</v>
      </c>
      <c r="C854">
        <v>2024</v>
      </c>
      <c r="D854" s="18">
        <v>45329</v>
      </c>
      <c r="E854" s="18">
        <v>45694</v>
      </c>
      <c r="F854" s="18" t="s">
        <v>611</v>
      </c>
      <c r="G854" t="s">
        <v>102</v>
      </c>
      <c r="H854">
        <v>1</v>
      </c>
      <c r="I854">
        <v>2</v>
      </c>
      <c r="J854" s="27">
        <v>8811.6</v>
      </c>
      <c r="K854" s="27">
        <v>1000000</v>
      </c>
    </row>
    <row r="855" spans="1:11" ht="15" customHeight="1" x14ac:dyDescent="0.2">
      <c r="A855" t="s">
        <v>8102</v>
      </c>
      <c r="B855" t="s">
        <v>8103</v>
      </c>
      <c r="C855">
        <v>2024</v>
      </c>
      <c r="D855" s="18">
        <v>45329</v>
      </c>
      <c r="E855" s="18">
        <v>45694</v>
      </c>
      <c r="F855" s="18" t="s">
        <v>611</v>
      </c>
      <c r="G855" t="s">
        <v>99</v>
      </c>
      <c r="H855">
        <v>2</v>
      </c>
      <c r="I855">
        <v>2</v>
      </c>
      <c r="J855" s="27">
        <v>8341.15</v>
      </c>
      <c r="K855" s="27">
        <v>1000000</v>
      </c>
    </row>
    <row r="856" spans="1:11" ht="15" customHeight="1" x14ac:dyDescent="0.2">
      <c r="A856" t="s">
        <v>8104</v>
      </c>
      <c r="B856" t="s">
        <v>8105</v>
      </c>
      <c r="C856">
        <v>2024</v>
      </c>
      <c r="D856" s="18">
        <v>45329</v>
      </c>
      <c r="E856" s="18">
        <v>45694</v>
      </c>
      <c r="F856" s="18" t="s">
        <v>611</v>
      </c>
      <c r="G856" t="s">
        <v>101</v>
      </c>
      <c r="H856">
        <v>3</v>
      </c>
      <c r="I856">
        <v>3</v>
      </c>
      <c r="J856" s="27">
        <v>75689.39</v>
      </c>
      <c r="K856" s="27">
        <v>4000000</v>
      </c>
    </row>
    <row r="857" spans="1:11" ht="15" customHeight="1" x14ac:dyDescent="0.2">
      <c r="A857" t="s">
        <v>8106</v>
      </c>
      <c r="B857" t="s">
        <v>8107</v>
      </c>
      <c r="C857">
        <v>2024</v>
      </c>
      <c r="D857" s="18">
        <v>45330</v>
      </c>
      <c r="E857" s="18">
        <v>45695</v>
      </c>
      <c r="F857" s="18" t="s">
        <v>608</v>
      </c>
      <c r="G857" t="s">
        <v>101</v>
      </c>
      <c r="H857">
        <v>1</v>
      </c>
      <c r="I857">
        <v>2</v>
      </c>
      <c r="J857" s="27">
        <v>37778.120000000003</v>
      </c>
      <c r="K857" s="27">
        <v>2000000</v>
      </c>
    </row>
    <row r="858" spans="1:11" ht="15" customHeight="1" x14ac:dyDescent="0.2">
      <c r="A858" t="s">
        <v>8108</v>
      </c>
      <c r="B858" t="s">
        <v>8109</v>
      </c>
      <c r="C858">
        <v>2024</v>
      </c>
      <c r="D858" s="18">
        <v>45330</v>
      </c>
      <c r="E858" s="18">
        <v>45695</v>
      </c>
      <c r="F858" s="18" t="s">
        <v>611</v>
      </c>
      <c r="G858" t="s">
        <v>100</v>
      </c>
      <c r="H858">
        <v>1</v>
      </c>
      <c r="I858">
        <v>2</v>
      </c>
      <c r="J858" s="27">
        <v>12801.34</v>
      </c>
      <c r="K858" s="27">
        <v>1000000</v>
      </c>
    </row>
    <row r="859" spans="1:11" ht="15" customHeight="1" x14ac:dyDescent="0.2">
      <c r="A859" t="s">
        <v>8110</v>
      </c>
      <c r="B859" t="s">
        <v>8111</v>
      </c>
      <c r="C859">
        <v>2024</v>
      </c>
      <c r="D859" s="18">
        <v>45330</v>
      </c>
      <c r="E859" s="18">
        <v>45695</v>
      </c>
      <c r="F859" s="18" t="s">
        <v>611</v>
      </c>
      <c r="G859" t="s">
        <v>101</v>
      </c>
      <c r="H859">
        <v>3</v>
      </c>
      <c r="I859">
        <v>3</v>
      </c>
      <c r="J859" s="27">
        <v>73300.81</v>
      </c>
      <c r="K859" s="27">
        <v>4500000</v>
      </c>
    </row>
    <row r="860" spans="1:11" ht="15" customHeight="1" x14ac:dyDescent="0.2">
      <c r="A860" t="s">
        <v>8112</v>
      </c>
      <c r="B860" t="s">
        <v>8113</v>
      </c>
      <c r="C860">
        <v>2024</v>
      </c>
      <c r="D860" s="18">
        <v>45330</v>
      </c>
      <c r="E860" s="18">
        <v>45695</v>
      </c>
      <c r="F860" s="18" t="s">
        <v>611</v>
      </c>
      <c r="G860" t="s">
        <v>100</v>
      </c>
      <c r="H860">
        <v>1</v>
      </c>
      <c r="I860">
        <v>1</v>
      </c>
      <c r="J860" s="27">
        <v>39584.300000000003</v>
      </c>
      <c r="K860" s="27">
        <v>3000000</v>
      </c>
    </row>
    <row r="861" spans="1:11" ht="15" customHeight="1" x14ac:dyDescent="0.2">
      <c r="A861" t="s">
        <v>8114</v>
      </c>
      <c r="B861" t="s">
        <v>8115</v>
      </c>
      <c r="C861">
        <v>2024</v>
      </c>
      <c r="D861" s="18">
        <v>45330</v>
      </c>
      <c r="E861" s="18">
        <v>45695</v>
      </c>
      <c r="F861" s="18" t="s">
        <v>611</v>
      </c>
      <c r="G861" t="s">
        <v>100</v>
      </c>
      <c r="H861">
        <v>1</v>
      </c>
      <c r="I861">
        <v>2</v>
      </c>
      <c r="J861" s="27">
        <v>13808.37</v>
      </c>
      <c r="K861" s="27">
        <v>1000000</v>
      </c>
    </row>
    <row r="862" spans="1:11" ht="15" customHeight="1" x14ac:dyDescent="0.2">
      <c r="A862" t="s">
        <v>8116</v>
      </c>
      <c r="B862" t="s">
        <v>8117</v>
      </c>
      <c r="C862">
        <v>2024</v>
      </c>
      <c r="D862" s="18">
        <v>45330</v>
      </c>
      <c r="E862" s="18">
        <v>45695</v>
      </c>
      <c r="F862" s="18" t="s">
        <v>611</v>
      </c>
      <c r="G862" t="s">
        <v>101</v>
      </c>
      <c r="H862">
        <v>3</v>
      </c>
      <c r="I862">
        <v>6</v>
      </c>
      <c r="J862" s="27">
        <v>28517.08</v>
      </c>
      <c r="K862" s="27">
        <v>1500000</v>
      </c>
    </row>
    <row r="863" spans="1:11" ht="15" customHeight="1" x14ac:dyDescent="0.2">
      <c r="A863" t="s">
        <v>8118</v>
      </c>
      <c r="B863" t="s">
        <v>8119</v>
      </c>
      <c r="C863">
        <v>2024</v>
      </c>
      <c r="D863" s="18">
        <v>45330</v>
      </c>
      <c r="E863" s="18">
        <v>45695</v>
      </c>
      <c r="F863" s="18" t="s">
        <v>611</v>
      </c>
      <c r="G863" t="s">
        <v>102</v>
      </c>
      <c r="H863">
        <v>3</v>
      </c>
      <c r="I863">
        <v>6</v>
      </c>
      <c r="J863" s="27">
        <v>45008.58</v>
      </c>
      <c r="K863" s="27">
        <v>5000000</v>
      </c>
    </row>
    <row r="864" spans="1:11" ht="15" customHeight="1" x14ac:dyDescent="0.2">
      <c r="A864" t="s">
        <v>8120</v>
      </c>
      <c r="B864" t="s">
        <v>8121</v>
      </c>
      <c r="C864">
        <v>2024</v>
      </c>
      <c r="D864" s="18">
        <v>45331</v>
      </c>
      <c r="E864" s="18">
        <v>45696</v>
      </c>
      <c r="F864" s="18" t="s">
        <v>611</v>
      </c>
      <c r="G864" t="s">
        <v>101</v>
      </c>
      <c r="H864">
        <v>2</v>
      </c>
      <c r="I864">
        <v>2</v>
      </c>
      <c r="J864" s="27">
        <v>92225.85</v>
      </c>
      <c r="K864" s="27">
        <v>5000000</v>
      </c>
    </row>
    <row r="865" spans="1:11" ht="15" customHeight="1" x14ac:dyDescent="0.2">
      <c r="A865" t="s">
        <v>8122</v>
      </c>
      <c r="B865" t="s">
        <v>8123</v>
      </c>
      <c r="C865">
        <v>2024</v>
      </c>
      <c r="D865" s="18">
        <v>45331</v>
      </c>
      <c r="E865" s="18">
        <v>45696</v>
      </c>
      <c r="F865" s="18" t="s">
        <v>611</v>
      </c>
      <c r="G865" t="s">
        <v>101</v>
      </c>
      <c r="H865">
        <v>1</v>
      </c>
      <c r="I865">
        <v>1</v>
      </c>
      <c r="J865" s="27">
        <v>85759.64</v>
      </c>
      <c r="K865" s="27">
        <v>5000000</v>
      </c>
    </row>
    <row r="866" spans="1:11" ht="15" customHeight="1" x14ac:dyDescent="0.2">
      <c r="A866" t="s">
        <v>8124</v>
      </c>
      <c r="B866" t="s">
        <v>8125</v>
      </c>
      <c r="C866">
        <v>2024</v>
      </c>
      <c r="D866" s="18">
        <v>45331</v>
      </c>
      <c r="E866" s="18">
        <v>45696</v>
      </c>
      <c r="F866" s="18" t="s">
        <v>611</v>
      </c>
      <c r="G866" t="s">
        <v>102</v>
      </c>
      <c r="H866">
        <v>2</v>
      </c>
      <c r="I866">
        <v>4</v>
      </c>
      <c r="J866" s="27">
        <v>12036.38</v>
      </c>
      <c r="K866" s="27">
        <v>1500000</v>
      </c>
    </row>
    <row r="867" spans="1:11" ht="15" customHeight="1" x14ac:dyDescent="0.2">
      <c r="A867" t="s">
        <v>8126</v>
      </c>
      <c r="B867" t="s">
        <v>8127</v>
      </c>
      <c r="C867">
        <v>2024</v>
      </c>
      <c r="D867" s="18">
        <v>45331</v>
      </c>
      <c r="E867" s="18">
        <v>45696</v>
      </c>
      <c r="F867" s="18" t="s">
        <v>611</v>
      </c>
      <c r="G867" t="s">
        <v>100</v>
      </c>
      <c r="H867">
        <v>2</v>
      </c>
      <c r="I867">
        <v>4</v>
      </c>
      <c r="J867" s="27">
        <v>66649.119999999995</v>
      </c>
      <c r="K867" s="27">
        <v>5000000</v>
      </c>
    </row>
    <row r="868" spans="1:11" ht="15" customHeight="1" x14ac:dyDescent="0.2">
      <c r="A868" t="s">
        <v>8128</v>
      </c>
      <c r="B868" t="s">
        <v>8129</v>
      </c>
      <c r="C868">
        <v>2024</v>
      </c>
      <c r="D868" s="18">
        <v>45331</v>
      </c>
      <c r="E868" s="18">
        <v>45696</v>
      </c>
      <c r="F868" s="18" t="s">
        <v>611</v>
      </c>
      <c r="G868" t="s">
        <v>99</v>
      </c>
      <c r="H868">
        <v>3</v>
      </c>
      <c r="I868">
        <v>3</v>
      </c>
      <c r="J868" s="27">
        <v>33668.14</v>
      </c>
      <c r="K868" s="27">
        <v>4500000</v>
      </c>
    </row>
    <row r="869" spans="1:11" ht="15" customHeight="1" x14ac:dyDescent="0.2">
      <c r="A869" t="s">
        <v>8130</v>
      </c>
      <c r="B869" t="s">
        <v>8131</v>
      </c>
      <c r="C869">
        <v>2024</v>
      </c>
      <c r="D869" s="18">
        <v>45331</v>
      </c>
      <c r="E869" s="18">
        <v>45696</v>
      </c>
      <c r="F869" s="18" t="s">
        <v>611</v>
      </c>
      <c r="G869" t="s">
        <v>99</v>
      </c>
      <c r="H869">
        <v>2</v>
      </c>
      <c r="I869">
        <v>2</v>
      </c>
      <c r="J869" s="27">
        <v>43861.02</v>
      </c>
      <c r="K869" s="27">
        <v>5000000</v>
      </c>
    </row>
    <row r="870" spans="1:11" ht="15" customHeight="1" x14ac:dyDescent="0.2">
      <c r="A870" t="s">
        <v>8132</v>
      </c>
      <c r="B870" t="s">
        <v>8133</v>
      </c>
      <c r="C870">
        <v>2024</v>
      </c>
      <c r="D870" s="18">
        <v>45331</v>
      </c>
      <c r="E870" s="18">
        <v>45696</v>
      </c>
      <c r="F870" s="18" t="s">
        <v>611</v>
      </c>
      <c r="G870" t="s">
        <v>101</v>
      </c>
      <c r="H870">
        <v>2</v>
      </c>
      <c r="I870">
        <v>2</v>
      </c>
      <c r="J870" s="27">
        <v>47300.23</v>
      </c>
      <c r="K870" s="27">
        <v>3000000</v>
      </c>
    </row>
    <row r="871" spans="1:11" ht="15" customHeight="1" x14ac:dyDescent="0.2">
      <c r="A871" t="s">
        <v>8134</v>
      </c>
      <c r="B871" t="s">
        <v>8135</v>
      </c>
      <c r="C871">
        <v>2024</v>
      </c>
      <c r="D871" s="18">
        <v>45332</v>
      </c>
      <c r="E871" s="18">
        <v>45697</v>
      </c>
      <c r="F871" s="18" t="s">
        <v>611</v>
      </c>
      <c r="G871" t="s">
        <v>102</v>
      </c>
      <c r="H871">
        <v>1</v>
      </c>
      <c r="I871">
        <v>1</v>
      </c>
      <c r="J871" s="27">
        <v>8260.41</v>
      </c>
      <c r="K871" s="27">
        <v>1000000</v>
      </c>
    </row>
    <row r="872" spans="1:11" ht="15" customHeight="1" x14ac:dyDescent="0.2">
      <c r="A872" t="s">
        <v>8136</v>
      </c>
      <c r="B872" t="s">
        <v>8137</v>
      </c>
      <c r="C872">
        <v>2024</v>
      </c>
      <c r="D872" s="18">
        <v>45332</v>
      </c>
      <c r="E872" s="18">
        <v>45697</v>
      </c>
      <c r="F872" s="18" t="s">
        <v>611</v>
      </c>
      <c r="G872" t="s">
        <v>102</v>
      </c>
      <c r="H872">
        <v>1</v>
      </c>
      <c r="I872">
        <v>1</v>
      </c>
      <c r="J872" s="27">
        <v>20393.650000000001</v>
      </c>
      <c r="K872" s="27">
        <v>2500000</v>
      </c>
    </row>
    <row r="873" spans="1:11" ht="15" customHeight="1" x14ac:dyDescent="0.2">
      <c r="A873" t="s">
        <v>8138</v>
      </c>
      <c r="B873" t="s">
        <v>8139</v>
      </c>
      <c r="C873">
        <v>2024</v>
      </c>
      <c r="D873" s="18">
        <v>45332</v>
      </c>
      <c r="E873" s="18">
        <v>45697</v>
      </c>
      <c r="F873" s="18" t="s">
        <v>611</v>
      </c>
      <c r="G873" t="s">
        <v>101</v>
      </c>
      <c r="H873">
        <v>2</v>
      </c>
      <c r="I873">
        <v>4</v>
      </c>
      <c r="J873" s="27">
        <v>16767.53</v>
      </c>
      <c r="K873" s="27">
        <v>1000000</v>
      </c>
    </row>
    <row r="874" spans="1:11" ht="15" customHeight="1" x14ac:dyDescent="0.2">
      <c r="A874" t="s">
        <v>8140</v>
      </c>
      <c r="B874" t="s">
        <v>8141</v>
      </c>
      <c r="C874">
        <v>2024</v>
      </c>
      <c r="D874" s="18">
        <v>45332</v>
      </c>
      <c r="E874" s="18">
        <v>45697</v>
      </c>
      <c r="F874" s="18" t="s">
        <v>611</v>
      </c>
      <c r="G874" t="s">
        <v>101</v>
      </c>
      <c r="H874">
        <v>1</v>
      </c>
      <c r="I874">
        <v>1</v>
      </c>
      <c r="J874" s="27">
        <v>18046.28</v>
      </c>
      <c r="K874" s="27">
        <v>1000000</v>
      </c>
    </row>
    <row r="875" spans="1:11" ht="15" customHeight="1" x14ac:dyDescent="0.2">
      <c r="A875" t="s">
        <v>8142</v>
      </c>
      <c r="B875" t="s">
        <v>8143</v>
      </c>
      <c r="C875">
        <v>2024</v>
      </c>
      <c r="D875" s="18">
        <v>45332</v>
      </c>
      <c r="E875" s="18">
        <v>45697</v>
      </c>
      <c r="F875" s="18" t="s">
        <v>611</v>
      </c>
      <c r="G875" t="s">
        <v>99</v>
      </c>
      <c r="H875">
        <v>1</v>
      </c>
      <c r="I875">
        <v>1</v>
      </c>
      <c r="J875" s="27">
        <v>29590.75</v>
      </c>
      <c r="K875" s="27">
        <v>3500000</v>
      </c>
    </row>
    <row r="876" spans="1:11" ht="15" customHeight="1" x14ac:dyDescent="0.2">
      <c r="A876" t="s">
        <v>8144</v>
      </c>
      <c r="B876" t="s">
        <v>8145</v>
      </c>
      <c r="C876">
        <v>2024</v>
      </c>
      <c r="D876" s="18">
        <v>45333</v>
      </c>
      <c r="E876" s="18">
        <v>45698</v>
      </c>
      <c r="F876" s="18" t="s">
        <v>611</v>
      </c>
      <c r="G876" t="s">
        <v>101</v>
      </c>
      <c r="H876">
        <v>2</v>
      </c>
      <c r="I876">
        <v>2</v>
      </c>
      <c r="J876" s="27">
        <v>17118.57</v>
      </c>
      <c r="K876" s="27">
        <v>1000000</v>
      </c>
    </row>
    <row r="877" spans="1:11" ht="15" customHeight="1" x14ac:dyDescent="0.2">
      <c r="A877" t="s">
        <v>8146</v>
      </c>
      <c r="B877" t="s">
        <v>8147</v>
      </c>
      <c r="C877">
        <v>2024</v>
      </c>
      <c r="D877" s="18">
        <v>45334</v>
      </c>
      <c r="E877" s="18">
        <v>45699</v>
      </c>
      <c r="F877" s="18" t="s">
        <v>608</v>
      </c>
      <c r="G877" t="s">
        <v>100</v>
      </c>
      <c r="H877">
        <v>1</v>
      </c>
      <c r="I877">
        <v>2</v>
      </c>
      <c r="J877" s="27">
        <v>31056.61</v>
      </c>
      <c r="K877" s="27">
        <v>2500000</v>
      </c>
    </row>
    <row r="878" spans="1:11" ht="15" customHeight="1" x14ac:dyDescent="0.2">
      <c r="A878" t="s">
        <v>8148</v>
      </c>
      <c r="B878" t="s">
        <v>8149</v>
      </c>
      <c r="C878">
        <v>2024</v>
      </c>
      <c r="D878" s="18">
        <v>45334</v>
      </c>
      <c r="E878" s="18">
        <v>45699</v>
      </c>
      <c r="F878" s="18" t="s">
        <v>608</v>
      </c>
      <c r="G878" t="s">
        <v>101</v>
      </c>
      <c r="H878">
        <v>3</v>
      </c>
      <c r="I878">
        <v>6</v>
      </c>
      <c r="J878" s="27">
        <v>23981.919999999998</v>
      </c>
      <c r="K878" s="27">
        <v>1500000</v>
      </c>
    </row>
    <row r="879" spans="1:11" ht="15" customHeight="1" x14ac:dyDescent="0.2">
      <c r="A879" t="s">
        <v>8150</v>
      </c>
      <c r="B879" t="s">
        <v>8151</v>
      </c>
      <c r="C879">
        <v>2024</v>
      </c>
      <c r="D879" s="18">
        <v>45334</v>
      </c>
      <c r="E879" s="18">
        <v>45699</v>
      </c>
      <c r="F879" s="18" t="s">
        <v>611</v>
      </c>
      <c r="G879" t="s">
        <v>99</v>
      </c>
      <c r="H879">
        <v>1</v>
      </c>
      <c r="I879">
        <v>1</v>
      </c>
      <c r="J879" s="27">
        <v>31312.42</v>
      </c>
      <c r="K879" s="27">
        <v>3500000</v>
      </c>
    </row>
    <row r="880" spans="1:11" ht="15" customHeight="1" x14ac:dyDescent="0.2">
      <c r="A880" t="s">
        <v>8152</v>
      </c>
      <c r="B880" t="s">
        <v>8153</v>
      </c>
      <c r="C880">
        <v>2024</v>
      </c>
      <c r="D880" s="18">
        <v>45334</v>
      </c>
      <c r="E880" s="18">
        <v>45699</v>
      </c>
      <c r="F880" s="18" t="s">
        <v>611</v>
      </c>
      <c r="G880" t="s">
        <v>99</v>
      </c>
      <c r="H880">
        <v>1</v>
      </c>
      <c r="I880">
        <v>1</v>
      </c>
      <c r="J880" s="27">
        <v>33804.519999999997</v>
      </c>
      <c r="K880" s="27">
        <v>4000000</v>
      </c>
    </row>
    <row r="881" spans="1:11" ht="15" customHeight="1" x14ac:dyDescent="0.2">
      <c r="A881" t="s">
        <v>8154</v>
      </c>
      <c r="B881" t="s">
        <v>8155</v>
      </c>
      <c r="C881">
        <v>2024</v>
      </c>
      <c r="D881" s="18">
        <v>45334</v>
      </c>
      <c r="E881" s="18">
        <v>45699</v>
      </c>
      <c r="F881" s="18" t="s">
        <v>611</v>
      </c>
      <c r="G881" t="s">
        <v>100</v>
      </c>
      <c r="H881">
        <v>2</v>
      </c>
      <c r="I881">
        <v>4</v>
      </c>
      <c r="J881" s="27">
        <v>14238.22</v>
      </c>
      <c r="K881" s="27">
        <v>1000000</v>
      </c>
    </row>
    <row r="882" spans="1:11" ht="15" customHeight="1" x14ac:dyDescent="0.2">
      <c r="A882" t="s">
        <v>8156</v>
      </c>
      <c r="B882" t="s">
        <v>8157</v>
      </c>
      <c r="C882">
        <v>2024</v>
      </c>
      <c r="D882" s="18">
        <v>45334</v>
      </c>
      <c r="E882" s="18">
        <v>45699</v>
      </c>
      <c r="F882" s="18" t="s">
        <v>611</v>
      </c>
      <c r="G882" t="s">
        <v>99</v>
      </c>
      <c r="H882">
        <v>1</v>
      </c>
      <c r="I882">
        <v>2</v>
      </c>
      <c r="J882" s="27">
        <v>38143.57</v>
      </c>
      <c r="K882" s="27">
        <v>5000000</v>
      </c>
    </row>
    <row r="883" spans="1:11" ht="15" customHeight="1" x14ac:dyDescent="0.2">
      <c r="A883" t="s">
        <v>8158</v>
      </c>
      <c r="B883" t="s">
        <v>8159</v>
      </c>
      <c r="C883">
        <v>2024</v>
      </c>
      <c r="D883" s="18">
        <v>45335</v>
      </c>
      <c r="E883" s="18">
        <v>45700</v>
      </c>
      <c r="F883" s="18" t="s">
        <v>608</v>
      </c>
      <c r="G883" t="s">
        <v>101</v>
      </c>
      <c r="H883">
        <v>2</v>
      </c>
      <c r="I883">
        <v>4</v>
      </c>
      <c r="J883" s="27">
        <v>94157.18</v>
      </c>
      <c r="K883" s="27">
        <v>5000000</v>
      </c>
    </row>
    <row r="884" spans="1:11" ht="15" customHeight="1" x14ac:dyDescent="0.2">
      <c r="A884" t="s">
        <v>8160</v>
      </c>
      <c r="B884" t="s">
        <v>8161</v>
      </c>
      <c r="C884">
        <v>2024</v>
      </c>
      <c r="D884" s="18">
        <v>45335</v>
      </c>
      <c r="E884" s="18">
        <v>45700</v>
      </c>
      <c r="F884" s="18" t="s">
        <v>608</v>
      </c>
      <c r="G884" t="s">
        <v>99</v>
      </c>
      <c r="H884">
        <v>2</v>
      </c>
      <c r="I884">
        <v>4</v>
      </c>
      <c r="J884" s="27">
        <v>8299.2800000000007</v>
      </c>
      <c r="K884" s="27">
        <v>1000000</v>
      </c>
    </row>
    <row r="885" spans="1:11" ht="15" customHeight="1" x14ac:dyDescent="0.2">
      <c r="A885" t="s">
        <v>8162</v>
      </c>
      <c r="B885" t="s">
        <v>8163</v>
      </c>
      <c r="C885">
        <v>2024</v>
      </c>
      <c r="D885" s="18">
        <v>45335</v>
      </c>
      <c r="E885" s="18">
        <v>45700</v>
      </c>
      <c r="F885" s="18" t="s">
        <v>608</v>
      </c>
      <c r="G885" t="s">
        <v>99</v>
      </c>
      <c r="H885">
        <v>1</v>
      </c>
      <c r="I885">
        <v>2</v>
      </c>
      <c r="J885" s="27">
        <v>77043.490000000005</v>
      </c>
      <c r="K885" s="27">
        <v>10000000</v>
      </c>
    </row>
    <row r="886" spans="1:11" ht="15" customHeight="1" x14ac:dyDescent="0.2">
      <c r="A886" t="s">
        <v>8164</v>
      </c>
      <c r="B886" t="s">
        <v>8165</v>
      </c>
      <c r="C886">
        <v>2024</v>
      </c>
      <c r="D886" s="18">
        <v>45335</v>
      </c>
      <c r="E886" s="18">
        <v>45700</v>
      </c>
      <c r="F886" s="18" t="s">
        <v>611</v>
      </c>
      <c r="G886" t="s">
        <v>99</v>
      </c>
      <c r="H886">
        <v>3</v>
      </c>
      <c r="I886">
        <v>3</v>
      </c>
      <c r="J886" s="27">
        <v>15654.22</v>
      </c>
      <c r="K886" s="27">
        <v>2000000</v>
      </c>
    </row>
    <row r="887" spans="1:11" ht="15" customHeight="1" x14ac:dyDescent="0.2">
      <c r="A887" t="s">
        <v>8166</v>
      </c>
      <c r="B887" t="s">
        <v>8167</v>
      </c>
      <c r="C887">
        <v>2024</v>
      </c>
      <c r="D887" s="18">
        <v>45335</v>
      </c>
      <c r="E887" s="18">
        <v>45700</v>
      </c>
      <c r="F887" s="18" t="s">
        <v>611</v>
      </c>
      <c r="G887" t="s">
        <v>102</v>
      </c>
      <c r="H887">
        <v>2</v>
      </c>
      <c r="I887">
        <v>4</v>
      </c>
      <c r="J887" s="27">
        <v>8143.87</v>
      </c>
      <c r="K887" s="27">
        <v>1000000</v>
      </c>
    </row>
    <row r="888" spans="1:11" ht="15" customHeight="1" x14ac:dyDescent="0.2">
      <c r="A888" t="s">
        <v>8168</v>
      </c>
      <c r="B888" t="s">
        <v>8169</v>
      </c>
      <c r="C888">
        <v>2024</v>
      </c>
      <c r="D888" s="18">
        <v>45335</v>
      </c>
      <c r="E888" s="18">
        <v>45700</v>
      </c>
      <c r="F888" s="18" t="s">
        <v>611</v>
      </c>
      <c r="G888" t="s">
        <v>99</v>
      </c>
      <c r="H888">
        <v>2</v>
      </c>
      <c r="I888">
        <v>4</v>
      </c>
      <c r="J888" s="27">
        <v>16532.009999999998</v>
      </c>
      <c r="K888" s="27">
        <v>2000000</v>
      </c>
    </row>
    <row r="889" spans="1:11" ht="15" customHeight="1" x14ac:dyDescent="0.2">
      <c r="A889" t="s">
        <v>8170</v>
      </c>
      <c r="B889" t="s">
        <v>8171</v>
      </c>
      <c r="C889">
        <v>2024</v>
      </c>
      <c r="D889" s="18">
        <v>45335</v>
      </c>
      <c r="E889" s="18">
        <v>45700</v>
      </c>
      <c r="F889" s="18" t="s">
        <v>611</v>
      </c>
      <c r="G889" t="s">
        <v>101</v>
      </c>
      <c r="H889">
        <v>3</v>
      </c>
      <c r="I889">
        <v>3</v>
      </c>
      <c r="J889" s="27">
        <v>31406.92</v>
      </c>
      <c r="K889" s="27">
        <v>2000000</v>
      </c>
    </row>
    <row r="890" spans="1:11" ht="15" customHeight="1" x14ac:dyDescent="0.2">
      <c r="A890" t="s">
        <v>8172</v>
      </c>
      <c r="B890" t="s">
        <v>8173</v>
      </c>
      <c r="C890">
        <v>2024</v>
      </c>
      <c r="D890" s="18">
        <v>45335</v>
      </c>
      <c r="E890" s="18">
        <v>45700</v>
      </c>
      <c r="F890" s="18" t="s">
        <v>611</v>
      </c>
      <c r="G890" t="s">
        <v>100</v>
      </c>
      <c r="H890">
        <v>3</v>
      </c>
      <c r="I890">
        <v>6</v>
      </c>
      <c r="J890" s="27">
        <v>28302.62</v>
      </c>
      <c r="K890" s="27">
        <v>2000000</v>
      </c>
    </row>
    <row r="891" spans="1:11" ht="15" customHeight="1" x14ac:dyDescent="0.2">
      <c r="A891" t="s">
        <v>8174</v>
      </c>
      <c r="B891" t="s">
        <v>8175</v>
      </c>
      <c r="C891">
        <v>2024</v>
      </c>
      <c r="D891" s="18">
        <v>45336</v>
      </c>
      <c r="E891" s="18">
        <v>45701</v>
      </c>
      <c r="F891" s="18" t="s">
        <v>608</v>
      </c>
      <c r="G891" t="s">
        <v>100</v>
      </c>
      <c r="H891">
        <v>3</v>
      </c>
      <c r="I891">
        <v>3</v>
      </c>
      <c r="J891" s="27">
        <v>25667.33</v>
      </c>
      <c r="K891" s="27">
        <v>2000000</v>
      </c>
    </row>
    <row r="892" spans="1:11" ht="15" customHeight="1" x14ac:dyDescent="0.2">
      <c r="A892" t="s">
        <v>8176</v>
      </c>
      <c r="B892" t="s">
        <v>8177</v>
      </c>
      <c r="C892">
        <v>2024</v>
      </c>
      <c r="D892" s="18">
        <v>45336</v>
      </c>
      <c r="E892" s="18">
        <v>45701</v>
      </c>
      <c r="F892" s="18" t="s">
        <v>611</v>
      </c>
      <c r="G892" t="s">
        <v>100</v>
      </c>
      <c r="H892">
        <v>3</v>
      </c>
      <c r="I892">
        <v>3</v>
      </c>
      <c r="J892" s="27">
        <v>61772.47</v>
      </c>
      <c r="K892" s="27">
        <v>4500000</v>
      </c>
    </row>
    <row r="893" spans="1:11" ht="15" customHeight="1" x14ac:dyDescent="0.2">
      <c r="A893" t="s">
        <v>8178</v>
      </c>
      <c r="B893" t="s">
        <v>8179</v>
      </c>
      <c r="C893">
        <v>2024</v>
      </c>
      <c r="D893" s="18">
        <v>45336</v>
      </c>
      <c r="E893" s="18">
        <v>45701</v>
      </c>
      <c r="F893" s="18" t="s">
        <v>611</v>
      </c>
      <c r="G893" t="s">
        <v>99</v>
      </c>
      <c r="H893">
        <v>1</v>
      </c>
      <c r="I893">
        <v>1</v>
      </c>
      <c r="J893" s="27">
        <v>35404.519999999997</v>
      </c>
      <c r="K893" s="27">
        <v>4000000</v>
      </c>
    </row>
    <row r="894" spans="1:11" ht="15" customHeight="1" x14ac:dyDescent="0.2">
      <c r="A894" t="s">
        <v>8180</v>
      </c>
      <c r="B894" t="s">
        <v>8181</v>
      </c>
      <c r="C894">
        <v>2024</v>
      </c>
      <c r="D894" s="18">
        <v>45336</v>
      </c>
      <c r="E894" s="18">
        <v>45701</v>
      </c>
      <c r="F894" s="18" t="s">
        <v>611</v>
      </c>
      <c r="G894" t="s">
        <v>99</v>
      </c>
      <c r="H894">
        <v>3</v>
      </c>
      <c r="I894">
        <v>3</v>
      </c>
      <c r="J894" s="27">
        <v>11598.67</v>
      </c>
      <c r="K894" s="27">
        <v>1500000</v>
      </c>
    </row>
    <row r="895" spans="1:11" ht="15" customHeight="1" x14ac:dyDescent="0.2">
      <c r="A895" t="s">
        <v>8182</v>
      </c>
      <c r="B895" t="s">
        <v>8183</v>
      </c>
      <c r="C895">
        <v>2024</v>
      </c>
      <c r="D895" s="18">
        <v>45336</v>
      </c>
      <c r="E895" s="18">
        <v>45701</v>
      </c>
      <c r="F895" s="18" t="s">
        <v>611</v>
      </c>
      <c r="G895" t="s">
        <v>99</v>
      </c>
      <c r="H895">
        <v>1</v>
      </c>
      <c r="I895">
        <v>1</v>
      </c>
      <c r="J895" s="27">
        <v>76598.77</v>
      </c>
      <c r="K895" s="27">
        <v>10000000</v>
      </c>
    </row>
    <row r="896" spans="1:11" ht="15" customHeight="1" x14ac:dyDescent="0.2">
      <c r="A896" t="s">
        <v>8184</v>
      </c>
      <c r="B896" t="s">
        <v>8185</v>
      </c>
      <c r="C896">
        <v>2024</v>
      </c>
      <c r="D896" s="18">
        <v>45336</v>
      </c>
      <c r="E896" s="18">
        <v>45701</v>
      </c>
      <c r="F896" s="18" t="s">
        <v>611</v>
      </c>
      <c r="G896" t="s">
        <v>100</v>
      </c>
      <c r="H896">
        <v>1</v>
      </c>
      <c r="I896">
        <v>1</v>
      </c>
      <c r="J896" s="27">
        <v>141277.97</v>
      </c>
      <c r="K896" s="27">
        <v>10000000</v>
      </c>
    </row>
    <row r="897" spans="1:11" ht="15" customHeight="1" x14ac:dyDescent="0.2">
      <c r="A897" t="s">
        <v>8186</v>
      </c>
      <c r="B897" t="s">
        <v>8187</v>
      </c>
      <c r="C897">
        <v>2024</v>
      </c>
      <c r="D897" s="18">
        <v>45336</v>
      </c>
      <c r="E897" s="18">
        <v>45701</v>
      </c>
      <c r="F897" s="18" t="s">
        <v>611</v>
      </c>
      <c r="G897" t="s">
        <v>101</v>
      </c>
      <c r="H897">
        <v>2</v>
      </c>
      <c r="I897">
        <v>2</v>
      </c>
      <c r="J897" s="27">
        <v>73775.56</v>
      </c>
      <c r="K897" s="27">
        <v>4500000</v>
      </c>
    </row>
    <row r="898" spans="1:11" ht="15" customHeight="1" x14ac:dyDescent="0.2">
      <c r="A898" t="s">
        <v>8188</v>
      </c>
      <c r="B898" t="s">
        <v>8189</v>
      </c>
      <c r="C898">
        <v>2024</v>
      </c>
      <c r="D898" s="18">
        <v>45336</v>
      </c>
      <c r="E898" s="18">
        <v>45701</v>
      </c>
      <c r="F898" s="18" t="s">
        <v>611</v>
      </c>
      <c r="G898" t="s">
        <v>101</v>
      </c>
      <c r="H898">
        <v>2</v>
      </c>
      <c r="I898">
        <v>4</v>
      </c>
      <c r="J898" s="27">
        <v>16838.990000000002</v>
      </c>
      <c r="K898" s="27">
        <v>1000000</v>
      </c>
    </row>
    <row r="899" spans="1:11" ht="15" customHeight="1" x14ac:dyDescent="0.2">
      <c r="A899" t="s">
        <v>8190</v>
      </c>
      <c r="B899" t="s">
        <v>8191</v>
      </c>
      <c r="C899">
        <v>2024</v>
      </c>
      <c r="D899" s="18">
        <v>45336</v>
      </c>
      <c r="E899" s="18">
        <v>45701</v>
      </c>
      <c r="F899" s="18" t="s">
        <v>611</v>
      </c>
      <c r="G899" t="s">
        <v>101</v>
      </c>
      <c r="H899">
        <v>1</v>
      </c>
      <c r="I899">
        <v>1</v>
      </c>
      <c r="J899" s="27">
        <v>54260.95</v>
      </c>
      <c r="K899" s="27">
        <v>3000000</v>
      </c>
    </row>
    <row r="900" spans="1:11" ht="15" customHeight="1" x14ac:dyDescent="0.2">
      <c r="A900" t="s">
        <v>8192</v>
      </c>
      <c r="B900" t="s">
        <v>8193</v>
      </c>
      <c r="C900">
        <v>2024</v>
      </c>
      <c r="D900" s="18">
        <v>45337</v>
      </c>
      <c r="E900" s="18">
        <v>45702</v>
      </c>
      <c r="F900" s="18" t="s">
        <v>608</v>
      </c>
      <c r="G900" t="s">
        <v>99</v>
      </c>
      <c r="H900">
        <v>1</v>
      </c>
      <c r="I900">
        <v>1</v>
      </c>
      <c r="J900" s="27">
        <v>24287.8</v>
      </c>
      <c r="K900" s="27">
        <v>3000000</v>
      </c>
    </row>
    <row r="901" spans="1:11" ht="15" customHeight="1" x14ac:dyDescent="0.2">
      <c r="A901" t="s">
        <v>8194</v>
      </c>
      <c r="B901" t="s">
        <v>8195</v>
      </c>
      <c r="C901">
        <v>2024</v>
      </c>
      <c r="D901" s="18">
        <v>45337</v>
      </c>
      <c r="E901" s="18">
        <v>45702</v>
      </c>
      <c r="F901" s="18" t="s">
        <v>611</v>
      </c>
      <c r="G901" t="s">
        <v>99</v>
      </c>
      <c r="H901">
        <v>2</v>
      </c>
      <c r="I901">
        <v>2</v>
      </c>
      <c r="J901" s="27">
        <v>7607.03</v>
      </c>
      <c r="K901" s="27">
        <v>1000000</v>
      </c>
    </row>
    <row r="902" spans="1:11" ht="15" customHeight="1" x14ac:dyDescent="0.2">
      <c r="A902" t="s">
        <v>8196</v>
      </c>
      <c r="B902" t="s">
        <v>8197</v>
      </c>
      <c r="C902">
        <v>2024</v>
      </c>
      <c r="D902" s="18">
        <v>45337</v>
      </c>
      <c r="E902" s="18">
        <v>45702</v>
      </c>
      <c r="F902" s="18" t="s">
        <v>611</v>
      </c>
      <c r="G902" t="s">
        <v>100</v>
      </c>
      <c r="H902">
        <v>2</v>
      </c>
      <c r="I902">
        <v>4</v>
      </c>
      <c r="J902" s="27">
        <v>65138.38</v>
      </c>
      <c r="K902" s="27">
        <v>5000000</v>
      </c>
    </row>
    <row r="903" spans="1:11" ht="15" customHeight="1" x14ac:dyDescent="0.2">
      <c r="A903" t="s">
        <v>8198</v>
      </c>
      <c r="B903" t="s">
        <v>8199</v>
      </c>
      <c r="C903">
        <v>2024</v>
      </c>
      <c r="D903" s="18">
        <v>45337</v>
      </c>
      <c r="E903" s="18">
        <v>45702</v>
      </c>
      <c r="F903" s="18" t="s">
        <v>611</v>
      </c>
      <c r="G903" t="s">
        <v>99</v>
      </c>
      <c r="H903">
        <v>2</v>
      </c>
      <c r="I903">
        <v>2</v>
      </c>
      <c r="J903" s="27">
        <v>16534.8</v>
      </c>
      <c r="K903" s="27">
        <v>2000000</v>
      </c>
    </row>
    <row r="904" spans="1:11" ht="15" customHeight="1" x14ac:dyDescent="0.2">
      <c r="A904" t="s">
        <v>8200</v>
      </c>
      <c r="B904" t="s">
        <v>8201</v>
      </c>
      <c r="C904">
        <v>2024</v>
      </c>
      <c r="D904" s="18">
        <v>45337</v>
      </c>
      <c r="E904" s="18">
        <v>45702</v>
      </c>
      <c r="F904" s="18" t="s">
        <v>611</v>
      </c>
      <c r="G904" t="s">
        <v>100</v>
      </c>
      <c r="H904">
        <v>1</v>
      </c>
      <c r="I904">
        <v>1</v>
      </c>
      <c r="J904" s="27">
        <v>32710.080000000002</v>
      </c>
      <c r="K904" s="27">
        <v>2500000</v>
      </c>
    </row>
    <row r="905" spans="1:11" ht="15" customHeight="1" x14ac:dyDescent="0.2">
      <c r="A905" t="s">
        <v>8202</v>
      </c>
      <c r="B905" t="s">
        <v>8203</v>
      </c>
      <c r="C905">
        <v>2024</v>
      </c>
      <c r="D905" s="18">
        <v>45337</v>
      </c>
      <c r="E905" s="18">
        <v>45702</v>
      </c>
      <c r="F905" s="18" t="s">
        <v>611</v>
      </c>
      <c r="G905" t="s">
        <v>99</v>
      </c>
      <c r="H905">
        <v>1</v>
      </c>
      <c r="I905">
        <v>1</v>
      </c>
      <c r="J905" s="27">
        <v>12926.42</v>
      </c>
      <c r="K905" s="27">
        <v>1500000</v>
      </c>
    </row>
    <row r="906" spans="1:11" ht="15" customHeight="1" x14ac:dyDescent="0.2">
      <c r="A906" t="s">
        <v>8204</v>
      </c>
      <c r="B906" t="s">
        <v>8205</v>
      </c>
      <c r="C906">
        <v>2024</v>
      </c>
      <c r="D906" s="18">
        <v>45337</v>
      </c>
      <c r="E906" s="18">
        <v>45702</v>
      </c>
      <c r="F906" s="18" t="s">
        <v>611</v>
      </c>
      <c r="G906" t="s">
        <v>102</v>
      </c>
      <c r="H906">
        <v>3</v>
      </c>
      <c r="I906">
        <v>3</v>
      </c>
      <c r="J906" s="27">
        <v>27397.84</v>
      </c>
      <c r="K906" s="27">
        <v>3500000</v>
      </c>
    </row>
    <row r="907" spans="1:11" ht="15" customHeight="1" x14ac:dyDescent="0.2">
      <c r="A907" t="s">
        <v>8206</v>
      </c>
      <c r="B907" t="s">
        <v>8207</v>
      </c>
      <c r="C907">
        <v>2024</v>
      </c>
      <c r="D907" s="18">
        <v>45338</v>
      </c>
      <c r="E907" s="18">
        <v>45703</v>
      </c>
      <c r="F907" s="18" t="s">
        <v>611</v>
      </c>
      <c r="G907" t="s">
        <v>101</v>
      </c>
      <c r="H907">
        <v>2</v>
      </c>
      <c r="I907">
        <v>2</v>
      </c>
      <c r="J907" s="27">
        <v>8126.48</v>
      </c>
      <c r="K907" s="27">
        <v>500000</v>
      </c>
    </row>
    <row r="908" spans="1:11" ht="15" customHeight="1" x14ac:dyDescent="0.2">
      <c r="A908" t="s">
        <v>8208</v>
      </c>
      <c r="B908" t="s">
        <v>8209</v>
      </c>
      <c r="C908">
        <v>2024</v>
      </c>
      <c r="D908" s="18">
        <v>45338</v>
      </c>
      <c r="E908" s="18">
        <v>45703</v>
      </c>
      <c r="F908" s="18" t="s">
        <v>608</v>
      </c>
      <c r="G908" t="s">
        <v>101</v>
      </c>
      <c r="H908">
        <v>1</v>
      </c>
      <c r="I908">
        <v>2</v>
      </c>
      <c r="J908" s="27">
        <v>326488.86</v>
      </c>
      <c r="K908" s="27">
        <v>1000000</v>
      </c>
    </row>
    <row r="909" spans="1:11" ht="15" customHeight="1" x14ac:dyDescent="0.2">
      <c r="A909" t="s">
        <v>8210</v>
      </c>
      <c r="B909" t="s">
        <v>8211</v>
      </c>
      <c r="C909">
        <v>2024</v>
      </c>
      <c r="D909" s="18">
        <v>45338</v>
      </c>
      <c r="E909" s="18">
        <v>45703</v>
      </c>
      <c r="F909" s="18" t="s">
        <v>611</v>
      </c>
      <c r="G909" t="s">
        <v>99</v>
      </c>
      <c r="H909">
        <v>1</v>
      </c>
      <c r="I909">
        <v>2</v>
      </c>
      <c r="J909" s="27">
        <v>14844.96</v>
      </c>
      <c r="K909" s="27">
        <v>2000000</v>
      </c>
    </row>
    <row r="910" spans="1:11" ht="15" customHeight="1" x14ac:dyDescent="0.2">
      <c r="A910" t="s">
        <v>8212</v>
      </c>
      <c r="B910" t="s">
        <v>8213</v>
      </c>
      <c r="C910">
        <v>2024</v>
      </c>
      <c r="D910" s="18">
        <v>45338</v>
      </c>
      <c r="E910" s="18">
        <v>45703</v>
      </c>
      <c r="F910" s="18" t="s">
        <v>611</v>
      </c>
      <c r="G910" t="s">
        <v>102</v>
      </c>
      <c r="H910">
        <v>3</v>
      </c>
      <c r="I910">
        <v>3</v>
      </c>
      <c r="J910" s="27">
        <v>91027.25</v>
      </c>
      <c r="K910" s="27">
        <v>10000000</v>
      </c>
    </row>
    <row r="911" spans="1:11" ht="15" customHeight="1" x14ac:dyDescent="0.2">
      <c r="A911" t="s">
        <v>8214</v>
      </c>
      <c r="B911" t="s">
        <v>8215</v>
      </c>
      <c r="C911">
        <v>2024</v>
      </c>
      <c r="D911" s="18">
        <v>45338</v>
      </c>
      <c r="E911" s="18">
        <v>45703</v>
      </c>
      <c r="F911" s="18" t="s">
        <v>611</v>
      </c>
      <c r="G911" t="s">
        <v>100</v>
      </c>
      <c r="H911">
        <v>2</v>
      </c>
      <c r="I911">
        <v>2</v>
      </c>
      <c r="J911" s="27">
        <v>63259.91</v>
      </c>
      <c r="K911" s="27">
        <v>5000000</v>
      </c>
    </row>
    <row r="912" spans="1:11" ht="15" customHeight="1" x14ac:dyDescent="0.2">
      <c r="A912" t="s">
        <v>8216</v>
      </c>
      <c r="B912" t="s">
        <v>8217</v>
      </c>
      <c r="C912">
        <v>2024</v>
      </c>
      <c r="D912" s="18">
        <v>45338</v>
      </c>
      <c r="E912" s="18">
        <v>45703</v>
      </c>
      <c r="F912" s="18" t="s">
        <v>611</v>
      </c>
      <c r="G912" t="s">
        <v>100</v>
      </c>
      <c r="H912">
        <v>2</v>
      </c>
      <c r="I912">
        <v>4</v>
      </c>
      <c r="J912" s="27">
        <v>54463.12</v>
      </c>
      <c r="K912" s="27">
        <v>4500000</v>
      </c>
    </row>
    <row r="913" spans="1:11" ht="15" customHeight="1" x14ac:dyDescent="0.2">
      <c r="A913" t="s">
        <v>8218</v>
      </c>
      <c r="B913" t="s">
        <v>8219</v>
      </c>
      <c r="C913">
        <v>2024</v>
      </c>
      <c r="D913" s="18">
        <v>45338</v>
      </c>
      <c r="E913" s="18">
        <v>45703</v>
      </c>
      <c r="F913" s="18" t="s">
        <v>611</v>
      </c>
      <c r="G913" t="s">
        <v>100</v>
      </c>
      <c r="H913">
        <v>1</v>
      </c>
      <c r="I913">
        <v>2</v>
      </c>
      <c r="J913" s="27">
        <v>142526.35999999999</v>
      </c>
      <c r="K913" s="27">
        <v>10000000</v>
      </c>
    </row>
    <row r="914" spans="1:11" ht="15" customHeight="1" x14ac:dyDescent="0.2">
      <c r="A914" t="s">
        <v>8220</v>
      </c>
      <c r="B914" t="s">
        <v>8221</v>
      </c>
      <c r="C914">
        <v>2024</v>
      </c>
      <c r="D914" s="18">
        <v>45339</v>
      </c>
      <c r="E914" s="18">
        <v>45704</v>
      </c>
      <c r="F914" s="18" t="s">
        <v>608</v>
      </c>
      <c r="G914" t="s">
        <v>99</v>
      </c>
      <c r="H914">
        <v>1</v>
      </c>
      <c r="I914">
        <v>1</v>
      </c>
      <c r="J914" s="27">
        <v>86784.06</v>
      </c>
      <c r="K914" s="27">
        <v>10000000</v>
      </c>
    </row>
    <row r="915" spans="1:11" ht="15" customHeight="1" x14ac:dyDescent="0.2">
      <c r="A915" t="s">
        <v>8222</v>
      </c>
      <c r="B915" t="s">
        <v>8223</v>
      </c>
      <c r="C915">
        <v>2024</v>
      </c>
      <c r="D915" s="18">
        <v>45339</v>
      </c>
      <c r="E915" s="18">
        <v>45704</v>
      </c>
      <c r="F915" s="18" t="s">
        <v>608</v>
      </c>
      <c r="G915" t="s">
        <v>101</v>
      </c>
      <c r="H915">
        <v>2</v>
      </c>
      <c r="I915">
        <v>2</v>
      </c>
      <c r="J915" s="27">
        <v>76177.240000000005</v>
      </c>
      <c r="K915" s="27">
        <v>4000000</v>
      </c>
    </row>
    <row r="916" spans="1:11" ht="15" customHeight="1" x14ac:dyDescent="0.2">
      <c r="A916" t="s">
        <v>8224</v>
      </c>
      <c r="B916" t="s">
        <v>8225</v>
      </c>
      <c r="C916">
        <v>2024</v>
      </c>
      <c r="D916" s="18">
        <v>45339</v>
      </c>
      <c r="E916" s="18">
        <v>45704</v>
      </c>
      <c r="F916" s="18" t="s">
        <v>608</v>
      </c>
      <c r="G916" t="s">
        <v>99</v>
      </c>
      <c r="H916">
        <v>1</v>
      </c>
      <c r="I916">
        <v>1</v>
      </c>
      <c r="J916" s="27">
        <v>15021.59</v>
      </c>
      <c r="K916" s="27">
        <v>2000000</v>
      </c>
    </row>
    <row r="917" spans="1:11" ht="15" customHeight="1" x14ac:dyDescent="0.2">
      <c r="A917" t="s">
        <v>8226</v>
      </c>
      <c r="B917" t="s">
        <v>8227</v>
      </c>
      <c r="C917">
        <v>2024</v>
      </c>
      <c r="D917" s="18">
        <v>45339</v>
      </c>
      <c r="E917" s="18">
        <v>45704</v>
      </c>
      <c r="F917" s="18" t="s">
        <v>611</v>
      </c>
      <c r="G917" t="s">
        <v>101</v>
      </c>
      <c r="H917">
        <v>2</v>
      </c>
      <c r="I917">
        <v>4</v>
      </c>
      <c r="J917" s="27">
        <v>37980.07</v>
      </c>
      <c r="K917" s="27">
        <v>2000000</v>
      </c>
    </row>
    <row r="918" spans="1:11" ht="15" customHeight="1" x14ac:dyDescent="0.2">
      <c r="A918" t="s">
        <v>8228</v>
      </c>
      <c r="B918" t="s">
        <v>8229</v>
      </c>
      <c r="C918">
        <v>2024</v>
      </c>
      <c r="D918" s="18">
        <v>45339</v>
      </c>
      <c r="E918" s="18">
        <v>45704</v>
      </c>
      <c r="F918" s="18" t="s">
        <v>611</v>
      </c>
      <c r="G918" t="s">
        <v>100</v>
      </c>
      <c r="H918">
        <v>2</v>
      </c>
      <c r="I918">
        <v>4</v>
      </c>
      <c r="J918" s="27">
        <v>27327.53</v>
      </c>
      <c r="K918" s="27">
        <v>2000000</v>
      </c>
    </row>
    <row r="919" spans="1:11" ht="15" customHeight="1" x14ac:dyDescent="0.2">
      <c r="A919" t="s">
        <v>8230</v>
      </c>
      <c r="B919" t="s">
        <v>8231</v>
      </c>
      <c r="C919">
        <v>2024</v>
      </c>
      <c r="D919" s="18">
        <v>45339</v>
      </c>
      <c r="E919" s="18">
        <v>45704</v>
      </c>
      <c r="F919" s="18" t="s">
        <v>611</v>
      </c>
      <c r="G919" t="s">
        <v>101</v>
      </c>
      <c r="H919">
        <v>1</v>
      </c>
      <c r="I919">
        <v>2</v>
      </c>
      <c r="J919" s="27">
        <v>46605.36</v>
      </c>
      <c r="K919" s="27">
        <v>2500000</v>
      </c>
    </row>
    <row r="920" spans="1:11" ht="15" customHeight="1" x14ac:dyDescent="0.2">
      <c r="A920" t="s">
        <v>8232</v>
      </c>
      <c r="B920" t="s">
        <v>8233</v>
      </c>
      <c r="C920">
        <v>2024</v>
      </c>
      <c r="D920" s="18">
        <v>45339</v>
      </c>
      <c r="E920" s="18">
        <v>45704</v>
      </c>
      <c r="F920" s="18" t="s">
        <v>611</v>
      </c>
      <c r="G920" t="s">
        <v>101</v>
      </c>
      <c r="H920">
        <v>2</v>
      </c>
      <c r="I920">
        <v>4</v>
      </c>
      <c r="J920" s="27">
        <v>84695.92</v>
      </c>
      <c r="K920" s="27">
        <v>5000000</v>
      </c>
    </row>
    <row r="921" spans="1:11" ht="15" customHeight="1" x14ac:dyDescent="0.2">
      <c r="A921" t="s">
        <v>8234</v>
      </c>
      <c r="B921" t="s">
        <v>8235</v>
      </c>
      <c r="C921">
        <v>2024</v>
      </c>
      <c r="D921" s="18">
        <v>45339</v>
      </c>
      <c r="E921" s="18">
        <v>45704</v>
      </c>
      <c r="F921" s="18" t="s">
        <v>611</v>
      </c>
      <c r="G921" t="s">
        <v>99</v>
      </c>
      <c r="H921">
        <v>3</v>
      </c>
      <c r="I921">
        <v>3</v>
      </c>
      <c r="J921" s="27">
        <v>42705.52</v>
      </c>
      <c r="K921" s="27">
        <v>5000000</v>
      </c>
    </row>
    <row r="922" spans="1:11" ht="15" customHeight="1" x14ac:dyDescent="0.2">
      <c r="A922" t="s">
        <v>8236</v>
      </c>
      <c r="B922" t="s">
        <v>8237</v>
      </c>
      <c r="C922">
        <v>2024</v>
      </c>
      <c r="D922" s="18">
        <v>45339</v>
      </c>
      <c r="E922" s="18">
        <v>45704</v>
      </c>
      <c r="F922" s="18" t="s">
        <v>611</v>
      </c>
      <c r="G922" t="s">
        <v>99</v>
      </c>
      <c r="H922">
        <v>1</v>
      </c>
      <c r="I922">
        <v>1</v>
      </c>
      <c r="J922" s="27">
        <v>33548.57</v>
      </c>
      <c r="K922" s="27">
        <v>4000000</v>
      </c>
    </row>
    <row r="923" spans="1:11" ht="15" customHeight="1" x14ac:dyDescent="0.2">
      <c r="A923" t="s">
        <v>8238</v>
      </c>
      <c r="B923" t="s">
        <v>8239</v>
      </c>
      <c r="C923">
        <v>2024</v>
      </c>
      <c r="D923" s="18">
        <v>45339</v>
      </c>
      <c r="E923" s="18">
        <v>45704</v>
      </c>
      <c r="F923" s="18" t="s">
        <v>611</v>
      </c>
      <c r="G923" t="s">
        <v>102</v>
      </c>
      <c r="H923">
        <v>3</v>
      </c>
      <c r="I923">
        <v>3</v>
      </c>
      <c r="J923" s="27">
        <v>18456.55</v>
      </c>
      <c r="K923" s="27">
        <v>2000000</v>
      </c>
    </row>
    <row r="924" spans="1:11" ht="15" customHeight="1" x14ac:dyDescent="0.2">
      <c r="A924" t="s">
        <v>8240</v>
      </c>
      <c r="B924" t="s">
        <v>8241</v>
      </c>
      <c r="C924">
        <v>2024</v>
      </c>
      <c r="D924" s="18">
        <v>45339</v>
      </c>
      <c r="E924" s="18">
        <v>45704</v>
      </c>
      <c r="F924" s="18" t="s">
        <v>611</v>
      </c>
      <c r="G924" t="s">
        <v>100</v>
      </c>
      <c r="H924">
        <v>2</v>
      </c>
      <c r="I924">
        <v>2</v>
      </c>
      <c r="J924" s="27">
        <v>13542.28</v>
      </c>
      <c r="K924" s="27">
        <v>1000000</v>
      </c>
    </row>
    <row r="925" spans="1:11" ht="15" customHeight="1" x14ac:dyDescent="0.2">
      <c r="A925" t="s">
        <v>8242</v>
      </c>
      <c r="B925" t="s">
        <v>8243</v>
      </c>
      <c r="C925">
        <v>2024</v>
      </c>
      <c r="D925" s="18">
        <v>45340</v>
      </c>
      <c r="E925" s="18">
        <v>45705</v>
      </c>
      <c r="F925" s="18" t="s">
        <v>608</v>
      </c>
      <c r="G925" t="s">
        <v>101</v>
      </c>
      <c r="H925">
        <v>3</v>
      </c>
      <c r="I925">
        <v>6</v>
      </c>
      <c r="J925" s="27">
        <v>92887.71</v>
      </c>
      <c r="K925" s="27">
        <v>5000000</v>
      </c>
    </row>
    <row r="926" spans="1:11" ht="15" customHeight="1" x14ac:dyDescent="0.2">
      <c r="A926" t="s">
        <v>8244</v>
      </c>
      <c r="B926" t="s">
        <v>8245</v>
      </c>
      <c r="C926">
        <v>2024</v>
      </c>
      <c r="D926" s="18">
        <v>45340</v>
      </c>
      <c r="E926" s="18">
        <v>45705</v>
      </c>
      <c r="F926" s="18" t="s">
        <v>611</v>
      </c>
      <c r="G926" t="s">
        <v>101</v>
      </c>
      <c r="H926">
        <v>2</v>
      </c>
      <c r="I926">
        <v>4</v>
      </c>
      <c r="J926" s="27">
        <v>91064.92</v>
      </c>
      <c r="K926" s="27">
        <v>5000000</v>
      </c>
    </row>
    <row r="927" spans="1:11" ht="15" customHeight="1" x14ac:dyDescent="0.2">
      <c r="A927" t="s">
        <v>8246</v>
      </c>
      <c r="B927" t="s">
        <v>8247</v>
      </c>
      <c r="C927">
        <v>2024</v>
      </c>
      <c r="D927" s="18">
        <v>45340</v>
      </c>
      <c r="E927" s="18">
        <v>45705</v>
      </c>
      <c r="F927" s="18" t="s">
        <v>611</v>
      </c>
      <c r="G927" t="s">
        <v>101</v>
      </c>
      <c r="H927">
        <v>2</v>
      </c>
      <c r="I927">
        <v>2</v>
      </c>
      <c r="J927" s="27">
        <v>8652.99</v>
      </c>
      <c r="K927" s="27">
        <v>500000</v>
      </c>
    </row>
    <row r="928" spans="1:11" ht="15" customHeight="1" x14ac:dyDescent="0.2">
      <c r="A928" t="s">
        <v>8248</v>
      </c>
      <c r="B928" t="s">
        <v>8249</v>
      </c>
      <c r="C928">
        <v>2024</v>
      </c>
      <c r="D928" s="18">
        <v>45340</v>
      </c>
      <c r="E928" s="18">
        <v>45705</v>
      </c>
      <c r="F928" s="18" t="s">
        <v>611</v>
      </c>
      <c r="G928" t="s">
        <v>99</v>
      </c>
      <c r="H928">
        <v>1</v>
      </c>
      <c r="I928">
        <v>1</v>
      </c>
      <c r="J928" s="27">
        <v>33784.019999999997</v>
      </c>
      <c r="K928" s="27">
        <v>4000000</v>
      </c>
    </row>
    <row r="929" spans="1:11" ht="15" customHeight="1" x14ac:dyDescent="0.2">
      <c r="A929" t="s">
        <v>8250</v>
      </c>
      <c r="B929" t="s">
        <v>8251</v>
      </c>
      <c r="C929">
        <v>2024</v>
      </c>
      <c r="D929" s="18">
        <v>45340</v>
      </c>
      <c r="E929" s="18">
        <v>45705</v>
      </c>
      <c r="F929" s="18" t="s">
        <v>611</v>
      </c>
      <c r="G929" t="s">
        <v>101</v>
      </c>
      <c r="H929">
        <v>1</v>
      </c>
      <c r="I929">
        <v>1</v>
      </c>
      <c r="J929" s="27">
        <v>41158.79</v>
      </c>
      <c r="K929" s="27">
        <v>2500000</v>
      </c>
    </row>
    <row r="930" spans="1:11" ht="15" customHeight="1" x14ac:dyDescent="0.2">
      <c r="A930" t="s">
        <v>8252</v>
      </c>
      <c r="B930" t="s">
        <v>8253</v>
      </c>
      <c r="C930">
        <v>2024</v>
      </c>
      <c r="D930" s="18">
        <v>45340</v>
      </c>
      <c r="E930" s="18">
        <v>45705</v>
      </c>
      <c r="F930" s="18" t="s">
        <v>611</v>
      </c>
      <c r="G930" t="s">
        <v>101</v>
      </c>
      <c r="H930">
        <v>2</v>
      </c>
      <c r="I930">
        <v>2</v>
      </c>
      <c r="J930" s="27">
        <v>79963.95</v>
      </c>
      <c r="K930" s="27">
        <v>5000000</v>
      </c>
    </row>
    <row r="931" spans="1:11" ht="15" customHeight="1" x14ac:dyDescent="0.2">
      <c r="A931" t="s">
        <v>8254</v>
      </c>
      <c r="B931" t="s">
        <v>8255</v>
      </c>
      <c r="C931">
        <v>2024</v>
      </c>
      <c r="D931" s="18">
        <v>45341</v>
      </c>
      <c r="E931" s="18">
        <v>45706</v>
      </c>
      <c r="F931" s="18" t="s">
        <v>608</v>
      </c>
      <c r="G931" t="s">
        <v>100</v>
      </c>
      <c r="H931">
        <v>2</v>
      </c>
      <c r="I931">
        <v>2</v>
      </c>
      <c r="J931" s="27">
        <v>25805.57</v>
      </c>
      <c r="K931" s="27">
        <v>2000000</v>
      </c>
    </row>
    <row r="932" spans="1:11" ht="15" customHeight="1" x14ac:dyDescent="0.2">
      <c r="A932" t="s">
        <v>8256</v>
      </c>
      <c r="B932" t="s">
        <v>8257</v>
      </c>
      <c r="C932">
        <v>2024</v>
      </c>
      <c r="D932" s="18">
        <v>45341</v>
      </c>
      <c r="E932" s="18">
        <v>45706</v>
      </c>
      <c r="F932" s="18" t="s">
        <v>608</v>
      </c>
      <c r="G932" t="s">
        <v>101</v>
      </c>
      <c r="H932">
        <v>1</v>
      </c>
      <c r="I932">
        <v>2</v>
      </c>
      <c r="J932" s="27">
        <v>82207.69</v>
      </c>
      <c r="K932" s="27">
        <v>4500000</v>
      </c>
    </row>
    <row r="933" spans="1:11" ht="15" customHeight="1" x14ac:dyDescent="0.2">
      <c r="A933" t="s">
        <v>8258</v>
      </c>
      <c r="B933" t="s">
        <v>8259</v>
      </c>
      <c r="C933">
        <v>2024</v>
      </c>
      <c r="D933" s="18">
        <v>45341</v>
      </c>
      <c r="E933" s="18">
        <v>45706</v>
      </c>
      <c r="F933" s="18" t="s">
        <v>611</v>
      </c>
      <c r="G933" t="s">
        <v>101</v>
      </c>
      <c r="H933">
        <v>1</v>
      </c>
      <c r="I933">
        <v>2</v>
      </c>
      <c r="J933" s="27">
        <v>76161.3</v>
      </c>
      <c r="K933" s="27">
        <v>4500000</v>
      </c>
    </row>
    <row r="934" spans="1:11" ht="15" customHeight="1" x14ac:dyDescent="0.2">
      <c r="A934" t="s">
        <v>8260</v>
      </c>
      <c r="B934" t="s">
        <v>8261</v>
      </c>
      <c r="C934">
        <v>2024</v>
      </c>
      <c r="D934" s="18">
        <v>45341</v>
      </c>
      <c r="E934" s="18">
        <v>45706</v>
      </c>
      <c r="F934" s="18" t="s">
        <v>611</v>
      </c>
      <c r="G934" t="s">
        <v>100</v>
      </c>
      <c r="H934">
        <v>1</v>
      </c>
      <c r="I934">
        <v>1</v>
      </c>
      <c r="J934" s="27">
        <v>6531.62</v>
      </c>
      <c r="K934" s="27">
        <v>500000</v>
      </c>
    </row>
    <row r="935" spans="1:11" ht="15" customHeight="1" x14ac:dyDescent="0.2">
      <c r="A935" t="s">
        <v>8262</v>
      </c>
      <c r="B935" t="s">
        <v>8263</v>
      </c>
      <c r="C935">
        <v>2024</v>
      </c>
      <c r="D935" s="18">
        <v>45341</v>
      </c>
      <c r="E935" s="18">
        <v>45706</v>
      </c>
      <c r="F935" s="18" t="s">
        <v>611</v>
      </c>
      <c r="G935" t="s">
        <v>100</v>
      </c>
      <c r="H935">
        <v>2</v>
      </c>
      <c r="I935">
        <v>4</v>
      </c>
      <c r="J935" s="27">
        <v>138146.12</v>
      </c>
      <c r="K935" s="27">
        <v>10000000</v>
      </c>
    </row>
    <row r="936" spans="1:11" ht="15" customHeight="1" x14ac:dyDescent="0.2">
      <c r="A936" t="s">
        <v>8264</v>
      </c>
      <c r="B936" t="s">
        <v>8265</v>
      </c>
      <c r="C936">
        <v>2024</v>
      </c>
      <c r="D936" s="18">
        <v>45341</v>
      </c>
      <c r="E936" s="18">
        <v>45706</v>
      </c>
      <c r="F936" s="18" t="s">
        <v>611</v>
      </c>
      <c r="G936" t="s">
        <v>100</v>
      </c>
      <c r="H936">
        <v>1</v>
      </c>
      <c r="I936">
        <v>2</v>
      </c>
      <c r="J936" s="27">
        <v>11792.39</v>
      </c>
      <c r="K936" s="27">
        <v>1000000</v>
      </c>
    </row>
    <row r="937" spans="1:11" ht="15" customHeight="1" x14ac:dyDescent="0.2">
      <c r="A937" t="s">
        <v>8266</v>
      </c>
      <c r="B937" t="s">
        <v>8267</v>
      </c>
      <c r="C937">
        <v>2024</v>
      </c>
      <c r="D937" s="18">
        <v>45342</v>
      </c>
      <c r="E937" s="18">
        <v>45707</v>
      </c>
      <c r="F937" s="18" t="s">
        <v>608</v>
      </c>
      <c r="G937" t="s">
        <v>100</v>
      </c>
      <c r="H937">
        <v>3</v>
      </c>
      <c r="I937">
        <v>3</v>
      </c>
      <c r="J937" s="27">
        <v>12000.82</v>
      </c>
      <c r="K937" s="27">
        <v>1000000</v>
      </c>
    </row>
    <row r="938" spans="1:11" ht="15" customHeight="1" x14ac:dyDescent="0.2">
      <c r="A938" t="s">
        <v>8268</v>
      </c>
      <c r="B938" t="s">
        <v>8269</v>
      </c>
      <c r="C938">
        <v>2024</v>
      </c>
      <c r="D938" s="18">
        <v>45342</v>
      </c>
      <c r="E938" s="18">
        <v>45707</v>
      </c>
      <c r="F938" s="18" t="s">
        <v>608</v>
      </c>
      <c r="G938" t="s">
        <v>100</v>
      </c>
      <c r="H938">
        <v>2</v>
      </c>
      <c r="I938">
        <v>4</v>
      </c>
      <c r="J938" s="27">
        <v>42139.94</v>
      </c>
      <c r="K938" s="27">
        <v>3500000</v>
      </c>
    </row>
    <row r="939" spans="1:11" ht="15" customHeight="1" x14ac:dyDescent="0.2">
      <c r="A939" t="s">
        <v>8270</v>
      </c>
      <c r="B939" t="s">
        <v>8271</v>
      </c>
      <c r="C939">
        <v>2024</v>
      </c>
      <c r="D939" s="18">
        <v>45342</v>
      </c>
      <c r="E939" s="18">
        <v>45707</v>
      </c>
      <c r="F939" s="18" t="s">
        <v>611</v>
      </c>
      <c r="G939" t="s">
        <v>102</v>
      </c>
      <c r="H939">
        <v>2</v>
      </c>
      <c r="I939">
        <v>2</v>
      </c>
      <c r="J939" s="27">
        <v>40469.800000000003</v>
      </c>
      <c r="K939" s="27">
        <v>5000000</v>
      </c>
    </row>
    <row r="940" spans="1:11" ht="15" customHeight="1" x14ac:dyDescent="0.2">
      <c r="A940" t="s">
        <v>8272</v>
      </c>
      <c r="B940" t="s">
        <v>8273</v>
      </c>
      <c r="C940">
        <v>2024</v>
      </c>
      <c r="D940" s="18">
        <v>45342</v>
      </c>
      <c r="E940" s="18">
        <v>45707</v>
      </c>
      <c r="F940" s="18" t="s">
        <v>611</v>
      </c>
      <c r="G940" t="s">
        <v>100</v>
      </c>
      <c r="H940">
        <v>3</v>
      </c>
      <c r="I940">
        <v>3</v>
      </c>
      <c r="J940" s="27">
        <v>54116.15</v>
      </c>
      <c r="K940" s="27">
        <v>4500000</v>
      </c>
    </row>
    <row r="941" spans="1:11" ht="15" customHeight="1" x14ac:dyDescent="0.2">
      <c r="A941" t="s">
        <v>8274</v>
      </c>
      <c r="B941" t="s">
        <v>8275</v>
      </c>
      <c r="C941">
        <v>2024</v>
      </c>
      <c r="D941" s="18">
        <v>45342</v>
      </c>
      <c r="E941" s="18">
        <v>45707</v>
      </c>
      <c r="F941" s="18" t="s">
        <v>611</v>
      </c>
      <c r="G941" t="s">
        <v>102</v>
      </c>
      <c r="H941">
        <v>3</v>
      </c>
      <c r="I941">
        <v>3</v>
      </c>
      <c r="J941" s="27">
        <v>37519.61</v>
      </c>
      <c r="K941" s="27">
        <v>4000000</v>
      </c>
    </row>
    <row r="942" spans="1:11" ht="15" customHeight="1" x14ac:dyDescent="0.2">
      <c r="A942" t="s">
        <v>8276</v>
      </c>
      <c r="B942" t="s">
        <v>8277</v>
      </c>
      <c r="C942">
        <v>2024</v>
      </c>
      <c r="D942" s="18">
        <v>45342</v>
      </c>
      <c r="E942" s="18">
        <v>45707</v>
      </c>
      <c r="F942" s="18" t="s">
        <v>611</v>
      </c>
      <c r="G942" t="s">
        <v>101</v>
      </c>
      <c r="H942">
        <v>3</v>
      </c>
      <c r="I942">
        <v>3</v>
      </c>
      <c r="J942" s="27">
        <v>178743.22</v>
      </c>
      <c r="K942" s="27">
        <v>10000000</v>
      </c>
    </row>
    <row r="943" spans="1:11" ht="15" customHeight="1" x14ac:dyDescent="0.2">
      <c r="A943" t="s">
        <v>8278</v>
      </c>
      <c r="B943" t="s">
        <v>8279</v>
      </c>
      <c r="C943">
        <v>2024</v>
      </c>
      <c r="D943" s="18">
        <v>45342</v>
      </c>
      <c r="E943" s="18">
        <v>45707</v>
      </c>
      <c r="F943" s="18" t="s">
        <v>611</v>
      </c>
      <c r="G943" t="s">
        <v>100</v>
      </c>
      <c r="H943">
        <v>1</v>
      </c>
      <c r="I943">
        <v>1</v>
      </c>
      <c r="J943" s="27">
        <v>36877.35</v>
      </c>
      <c r="K943" s="27">
        <v>3000000</v>
      </c>
    </row>
    <row r="944" spans="1:11" ht="15" customHeight="1" x14ac:dyDescent="0.2">
      <c r="A944" t="s">
        <v>8280</v>
      </c>
      <c r="B944" t="s">
        <v>8281</v>
      </c>
      <c r="C944">
        <v>2024</v>
      </c>
      <c r="D944" s="18">
        <v>45343</v>
      </c>
      <c r="E944" s="18">
        <v>45708</v>
      </c>
      <c r="F944" s="18" t="s">
        <v>608</v>
      </c>
      <c r="G944" t="s">
        <v>99</v>
      </c>
      <c r="H944">
        <v>3</v>
      </c>
      <c r="I944">
        <v>3</v>
      </c>
      <c r="J944" s="27">
        <v>7632.35</v>
      </c>
      <c r="K944" s="27">
        <v>1000000</v>
      </c>
    </row>
    <row r="945" spans="1:11" ht="15" customHeight="1" x14ac:dyDescent="0.2">
      <c r="A945" t="s">
        <v>8282</v>
      </c>
      <c r="B945" t="s">
        <v>8283</v>
      </c>
      <c r="C945">
        <v>2024</v>
      </c>
      <c r="D945" s="18">
        <v>45343</v>
      </c>
      <c r="E945" s="18">
        <v>45708</v>
      </c>
      <c r="F945" s="18" t="s">
        <v>611</v>
      </c>
      <c r="G945" t="s">
        <v>100</v>
      </c>
      <c r="H945">
        <v>1</v>
      </c>
      <c r="I945">
        <v>1</v>
      </c>
      <c r="J945" s="27">
        <v>14044.93</v>
      </c>
      <c r="K945" s="27">
        <v>1000000</v>
      </c>
    </row>
    <row r="946" spans="1:11" ht="15" customHeight="1" x14ac:dyDescent="0.2">
      <c r="A946" t="s">
        <v>8284</v>
      </c>
      <c r="B946" t="s">
        <v>8285</v>
      </c>
      <c r="C946">
        <v>2024</v>
      </c>
      <c r="D946" s="18">
        <v>45343</v>
      </c>
      <c r="E946" s="18">
        <v>45708</v>
      </c>
      <c r="F946" s="18" t="s">
        <v>611</v>
      </c>
      <c r="G946" t="s">
        <v>101</v>
      </c>
      <c r="H946">
        <v>2</v>
      </c>
      <c r="I946">
        <v>2</v>
      </c>
      <c r="J946" s="27">
        <v>33252.94</v>
      </c>
      <c r="K946" s="27">
        <v>2000000</v>
      </c>
    </row>
    <row r="947" spans="1:11" ht="15" customHeight="1" x14ac:dyDescent="0.2">
      <c r="A947" t="s">
        <v>8286</v>
      </c>
      <c r="B947" t="s">
        <v>8287</v>
      </c>
      <c r="C947">
        <v>2024</v>
      </c>
      <c r="D947" s="18">
        <v>45343</v>
      </c>
      <c r="E947" s="18">
        <v>45708</v>
      </c>
      <c r="F947" s="18" t="s">
        <v>611</v>
      </c>
      <c r="G947" t="s">
        <v>100</v>
      </c>
      <c r="H947">
        <v>1</v>
      </c>
      <c r="I947">
        <v>1</v>
      </c>
      <c r="J947" s="27">
        <v>38241.949999999997</v>
      </c>
      <c r="K947" s="27">
        <v>3000000</v>
      </c>
    </row>
    <row r="948" spans="1:11" ht="15" customHeight="1" x14ac:dyDescent="0.2">
      <c r="A948" t="s">
        <v>8288</v>
      </c>
      <c r="B948" t="s">
        <v>8289</v>
      </c>
      <c r="C948">
        <v>2024</v>
      </c>
      <c r="D948" s="18">
        <v>45343</v>
      </c>
      <c r="E948" s="18">
        <v>45708</v>
      </c>
      <c r="F948" s="18" t="s">
        <v>611</v>
      </c>
      <c r="G948" t="s">
        <v>100</v>
      </c>
      <c r="H948">
        <v>1</v>
      </c>
      <c r="I948">
        <v>1</v>
      </c>
      <c r="J948" s="27">
        <v>13195.16</v>
      </c>
      <c r="K948" s="27">
        <v>1000000</v>
      </c>
    </row>
    <row r="949" spans="1:11" ht="15" customHeight="1" x14ac:dyDescent="0.2">
      <c r="A949" t="s">
        <v>8290</v>
      </c>
      <c r="B949" t="s">
        <v>8291</v>
      </c>
      <c r="C949">
        <v>2024</v>
      </c>
      <c r="D949" s="18">
        <v>45343</v>
      </c>
      <c r="E949" s="18">
        <v>45708</v>
      </c>
      <c r="F949" s="18" t="s">
        <v>611</v>
      </c>
      <c r="G949" t="s">
        <v>101</v>
      </c>
      <c r="H949">
        <v>1</v>
      </c>
      <c r="I949">
        <v>2</v>
      </c>
      <c r="J949" s="27">
        <v>36904.92</v>
      </c>
      <c r="K949" s="27">
        <v>2000000</v>
      </c>
    </row>
    <row r="950" spans="1:11" ht="15" customHeight="1" x14ac:dyDescent="0.2">
      <c r="A950" t="s">
        <v>8292</v>
      </c>
      <c r="B950" t="s">
        <v>8293</v>
      </c>
      <c r="C950">
        <v>2024</v>
      </c>
      <c r="D950" s="18">
        <v>45343</v>
      </c>
      <c r="E950" s="18">
        <v>45708</v>
      </c>
      <c r="F950" s="18" t="s">
        <v>611</v>
      </c>
      <c r="G950" t="s">
        <v>100</v>
      </c>
      <c r="H950">
        <v>2</v>
      </c>
      <c r="I950">
        <v>2</v>
      </c>
      <c r="J950" s="27">
        <v>121303.13</v>
      </c>
      <c r="K950" s="27">
        <v>10000000</v>
      </c>
    </row>
    <row r="951" spans="1:11" ht="15" customHeight="1" x14ac:dyDescent="0.2">
      <c r="A951" t="s">
        <v>8294</v>
      </c>
      <c r="B951" t="s">
        <v>8295</v>
      </c>
      <c r="C951">
        <v>2024</v>
      </c>
      <c r="D951" s="18">
        <v>45343</v>
      </c>
      <c r="E951" s="18">
        <v>45708</v>
      </c>
      <c r="F951" s="18" t="s">
        <v>611</v>
      </c>
      <c r="G951" t="s">
        <v>100</v>
      </c>
      <c r="H951">
        <v>1</v>
      </c>
      <c r="I951">
        <v>2</v>
      </c>
      <c r="J951" s="27">
        <v>12922.11</v>
      </c>
      <c r="K951" s="27">
        <v>1000000</v>
      </c>
    </row>
    <row r="952" spans="1:11" ht="15" customHeight="1" x14ac:dyDescent="0.2">
      <c r="A952" t="s">
        <v>8296</v>
      </c>
      <c r="B952" t="s">
        <v>8297</v>
      </c>
      <c r="C952">
        <v>2024</v>
      </c>
      <c r="D952" s="18">
        <v>45344</v>
      </c>
      <c r="E952" s="18">
        <v>45709</v>
      </c>
      <c r="F952" s="18" t="s">
        <v>608</v>
      </c>
      <c r="G952" t="s">
        <v>99</v>
      </c>
      <c r="H952">
        <v>1</v>
      </c>
      <c r="I952">
        <v>1</v>
      </c>
      <c r="J952" s="27">
        <v>40311.39</v>
      </c>
      <c r="K952" s="27">
        <v>5000000</v>
      </c>
    </row>
    <row r="953" spans="1:11" ht="15" customHeight="1" x14ac:dyDescent="0.2">
      <c r="A953" t="s">
        <v>8298</v>
      </c>
      <c r="B953" t="s">
        <v>8299</v>
      </c>
      <c r="C953">
        <v>2024</v>
      </c>
      <c r="D953" s="18">
        <v>45344</v>
      </c>
      <c r="E953" s="18">
        <v>45709</v>
      </c>
      <c r="F953" s="18" t="s">
        <v>611</v>
      </c>
      <c r="G953" t="s">
        <v>100</v>
      </c>
      <c r="H953">
        <v>1</v>
      </c>
      <c r="I953">
        <v>2</v>
      </c>
      <c r="J953" s="27">
        <v>34585.03</v>
      </c>
      <c r="K953" s="27">
        <v>2500000</v>
      </c>
    </row>
    <row r="954" spans="1:11" ht="15" customHeight="1" x14ac:dyDescent="0.2">
      <c r="A954" t="s">
        <v>8300</v>
      </c>
      <c r="B954" t="s">
        <v>8301</v>
      </c>
      <c r="C954">
        <v>2024</v>
      </c>
      <c r="D954" s="18">
        <v>45344</v>
      </c>
      <c r="E954" s="18">
        <v>45709</v>
      </c>
      <c r="F954" s="18" t="s">
        <v>611</v>
      </c>
      <c r="G954" t="s">
        <v>100</v>
      </c>
      <c r="H954">
        <v>1</v>
      </c>
      <c r="I954">
        <v>1</v>
      </c>
      <c r="J954" s="27">
        <v>130797.26</v>
      </c>
      <c r="K954" s="27">
        <v>10000000</v>
      </c>
    </row>
    <row r="955" spans="1:11" ht="15" customHeight="1" x14ac:dyDescent="0.2">
      <c r="A955" t="s">
        <v>8302</v>
      </c>
      <c r="B955" t="s">
        <v>8303</v>
      </c>
      <c r="C955">
        <v>2024</v>
      </c>
      <c r="D955" s="18">
        <v>45344</v>
      </c>
      <c r="E955" s="18">
        <v>45709</v>
      </c>
      <c r="F955" s="18" t="s">
        <v>611</v>
      </c>
      <c r="G955" t="s">
        <v>101</v>
      </c>
      <c r="H955">
        <v>1</v>
      </c>
      <c r="I955">
        <v>2</v>
      </c>
      <c r="J955" s="27">
        <v>16152.68</v>
      </c>
      <c r="K955" s="27">
        <v>1000000</v>
      </c>
    </row>
    <row r="956" spans="1:11" ht="15" customHeight="1" x14ac:dyDescent="0.2">
      <c r="A956" t="s">
        <v>8304</v>
      </c>
      <c r="B956" t="s">
        <v>8305</v>
      </c>
      <c r="C956">
        <v>2024</v>
      </c>
      <c r="D956" s="18">
        <v>45344</v>
      </c>
      <c r="E956" s="18">
        <v>45709</v>
      </c>
      <c r="F956" s="18" t="s">
        <v>611</v>
      </c>
      <c r="G956" t="s">
        <v>100</v>
      </c>
      <c r="H956">
        <v>3</v>
      </c>
      <c r="I956">
        <v>3</v>
      </c>
      <c r="J956" s="27">
        <v>30661.51</v>
      </c>
      <c r="K956" s="27">
        <v>2500000</v>
      </c>
    </row>
    <row r="957" spans="1:11" ht="15" customHeight="1" x14ac:dyDescent="0.2">
      <c r="A957" t="s">
        <v>8306</v>
      </c>
      <c r="B957" t="s">
        <v>8307</v>
      </c>
      <c r="C957">
        <v>2024</v>
      </c>
      <c r="D957" s="18">
        <v>45344</v>
      </c>
      <c r="E957" s="18">
        <v>45709</v>
      </c>
      <c r="F957" s="18" t="s">
        <v>611</v>
      </c>
      <c r="G957" t="s">
        <v>99</v>
      </c>
      <c r="H957">
        <v>2</v>
      </c>
      <c r="I957">
        <v>2</v>
      </c>
      <c r="J957" s="27">
        <v>32695.61</v>
      </c>
      <c r="K957" s="27">
        <v>4000000</v>
      </c>
    </row>
    <row r="958" spans="1:11" ht="15" customHeight="1" x14ac:dyDescent="0.2">
      <c r="A958" t="s">
        <v>8308</v>
      </c>
      <c r="B958" t="s">
        <v>8309</v>
      </c>
      <c r="C958">
        <v>2024</v>
      </c>
      <c r="D958" s="18">
        <v>45344</v>
      </c>
      <c r="E958" s="18">
        <v>45709</v>
      </c>
      <c r="F958" s="18" t="s">
        <v>611</v>
      </c>
      <c r="G958" t="s">
        <v>101</v>
      </c>
      <c r="H958">
        <v>1</v>
      </c>
      <c r="I958">
        <v>1</v>
      </c>
      <c r="J958" s="27">
        <v>84274</v>
      </c>
      <c r="K958" s="27">
        <v>5000000</v>
      </c>
    </row>
    <row r="959" spans="1:11" ht="15" customHeight="1" x14ac:dyDescent="0.2">
      <c r="A959" t="s">
        <v>8310</v>
      </c>
      <c r="B959" t="s">
        <v>8311</v>
      </c>
      <c r="C959">
        <v>2024</v>
      </c>
      <c r="D959" s="18">
        <v>45344</v>
      </c>
      <c r="E959" s="18">
        <v>45709</v>
      </c>
      <c r="F959" s="18" t="s">
        <v>611</v>
      </c>
      <c r="G959" t="s">
        <v>101</v>
      </c>
      <c r="H959">
        <v>1</v>
      </c>
      <c r="I959">
        <v>1</v>
      </c>
      <c r="J959" s="27">
        <v>47206.25</v>
      </c>
      <c r="K959" s="27">
        <v>2500000</v>
      </c>
    </row>
    <row r="960" spans="1:11" ht="15" customHeight="1" x14ac:dyDescent="0.2">
      <c r="A960" t="s">
        <v>8312</v>
      </c>
      <c r="B960" t="s">
        <v>8313</v>
      </c>
      <c r="C960">
        <v>2024</v>
      </c>
      <c r="D960" s="18">
        <v>45345</v>
      </c>
      <c r="E960" s="18">
        <v>45710</v>
      </c>
      <c r="F960" s="18" t="s">
        <v>608</v>
      </c>
      <c r="G960" t="s">
        <v>99</v>
      </c>
      <c r="H960">
        <v>2</v>
      </c>
      <c r="I960">
        <v>4</v>
      </c>
      <c r="J960" s="27">
        <v>37227.199999999997</v>
      </c>
      <c r="K960" s="27">
        <v>5000000</v>
      </c>
    </row>
    <row r="961" spans="1:11" ht="15" customHeight="1" x14ac:dyDescent="0.2">
      <c r="A961" t="s">
        <v>8314</v>
      </c>
      <c r="B961" t="s">
        <v>8315</v>
      </c>
      <c r="C961">
        <v>2024</v>
      </c>
      <c r="D961" s="18">
        <v>45345</v>
      </c>
      <c r="E961" s="18">
        <v>45710</v>
      </c>
      <c r="F961" s="18" t="s">
        <v>608</v>
      </c>
      <c r="G961" t="s">
        <v>101</v>
      </c>
      <c r="H961">
        <v>1</v>
      </c>
      <c r="I961">
        <v>1</v>
      </c>
      <c r="J961" s="27">
        <v>17229.93</v>
      </c>
      <c r="K961" s="27">
        <v>1000000</v>
      </c>
    </row>
    <row r="962" spans="1:11" ht="15" customHeight="1" x14ac:dyDescent="0.2">
      <c r="A962" t="s">
        <v>8316</v>
      </c>
      <c r="B962" t="s">
        <v>8317</v>
      </c>
      <c r="C962">
        <v>2024</v>
      </c>
      <c r="D962" s="18">
        <v>45345</v>
      </c>
      <c r="E962" s="18">
        <v>45710</v>
      </c>
      <c r="F962" s="18" t="s">
        <v>611</v>
      </c>
      <c r="G962" t="s">
        <v>102</v>
      </c>
      <c r="H962">
        <v>3</v>
      </c>
      <c r="I962">
        <v>6</v>
      </c>
      <c r="J962" s="27">
        <v>9260.16</v>
      </c>
      <c r="K962" s="27">
        <v>1000000</v>
      </c>
    </row>
    <row r="963" spans="1:11" ht="15" customHeight="1" x14ac:dyDescent="0.2">
      <c r="A963" t="s">
        <v>8318</v>
      </c>
      <c r="B963" t="s">
        <v>8319</v>
      </c>
      <c r="C963">
        <v>2024</v>
      </c>
      <c r="D963" s="18">
        <v>45345</v>
      </c>
      <c r="E963" s="18">
        <v>45710</v>
      </c>
      <c r="F963" s="18" t="s">
        <v>611</v>
      </c>
      <c r="G963" t="s">
        <v>102</v>
      </c>
      <c r="H963">
        <v>1</v>
      </c>
      <c r="I963">
        <v>1</v>
      </c>
      <c r="J963" s="27">
        <v>47024.73</v>
      </c>
      <c r="K963" s="27">
        <v>5000000</v>
      </c>
    </row>
    <row r="964" spans="1:11" ht="15" customHeight="1" x14ac:dyDescent="0.2">
      <c r="A964" t="s">
        <v>8320</v>
      </c>
      <c r="B964" t="s">
        <v>8321</v>
      </c>
      <c r="C964">
        <v>2024</v>
      </c>
      <c r="D964" s="18">
        <v>45345</v>
      </c>
      <c r="E964" s="18">
        <v>45710</v>
      </c>
      <c r="F964" s="18" t="s">
        <v>611</v>
      </c>
      <c r="G964" t="s">
        <v>99</v>
      </c>
      <c r="H964">
        <v>1</v>
      </c>
      <c r="I964">
        <v>1</v>
      </c>
      <c r="J964" s="27">
        <v>15324.52</v>
      </c>
      <c r="K964" s="27">
        <v>2000000</v>
      </c>
    </row>
    <row r="965" spans="1:11" ht="15" customHeight="1" x14ac:dyDescent="0.2">
      <c r="A965" t="s">
        <v>8322</v>
      </c>
      <c r="B965" t="s">
        <v>8323</v>
      </c>
      <c r="C965">
        <v>2024</v>
      </c>
      <c r="D965" s="18">
        <v>45345</v>
      </c>
      <c r="E965" s="18">
        <v>45710</v>
      </c>
      <c r="F965" s="18" t="s">
        <v>611</v>
      </c>
      <c r="G965" t="s">
        <v>102</v>
      </c>
      <c r="H965">
        <v>2</v>
      </c>
      <c r="I965">
        <v>4</v>
      </c>
      <c r="J965" s="27">
        <v>16554.009999999998</v>
      </c>
      <c r="K965" s="27">
        <v>2000000</v>
      </c>
    </row>
    <row r="966" spans="1:11" ht="15" customHeight="1" x14ac:dyDescent="0.2">
      <c r="A966" t="s">
        <v>8324</v>
      </c>
      <c r="B966" t="s">
        <v>8325</v>
      </c>
      <c r="C966">
        <v>2024</v>
      </c>
      <c r="D966" s="18">
        <v>45345</v>
      </c>
      <c r="E966" s="18">
        <v>45710</v>
      </c>
      <c r="F966" s="18" t="s">
        <v>611</v>
      </c>
      <c r="G966" t="s">
        <v>100</v>
      </c>
      <c r="H966">
        <v>3</v>
      </c>
      <c r="I966">
        <v>3</v>
      </c>
      <c r="J966" s="27">
        <v>26040</v>
      </c>
      <c r="K966" s="27">
        <v>2000000</v>
      </c>
    </row>
    <row r="967" spans="1:11" ht="15" customHeight="1" x14ac:dyDescent="0.2">
      <c r="A967" t="s">
        <v>8326</v>
      </c>
      <c r="B967" t="s">
        <v>8327</v>
      </c>
      <c r="C967">
        <v>2024</v>
      </c>
      <c r="D967" s="18">
        <v>45345</v>
      </c>
      <c r="E967" s="18">
        <v>45710</v>
      </c>
      <c r="F967" s="18" t="s">
        <v>611</v>
      </c>
      <c r="G967" t="s">
        <v>101</v>
      </c>
      <c r="H967">
        <v>1</v>
      </c>
      <c r="I967">
        <v>2</v>
      </c>
      <c r="J967" s="27">
        <v>64369.74</v>
      </c>
      <c r="K967" s="27">
        <v>4000000</v>
      </c>
    </row>
    <row r="968" spans="1:11" ht="15" customHeight="1" x14ac:dyDescent="0.2">
      <c r="A968" t="s">
        <v>8328</v>
      </c>
      <c r="B968" t="s">
        <v>8329</v>
      </c>
      <c r="C968">
        <v>2024</v>
      </c>
      <c r="D968" s="18">
        <v>45345</v>
      </c>
      <c r="E968" s="18">
        <v>45710</v>
      </c>
      <c r="F968" s="18" t="s">
        <v>611</v>
      </c>
      <c r="G968" t="s">
        <v>102</v>
      </c>
      <c r="H968">
        <v>3</v>
      </c>
      <c r="I968">
        <v>3</v>
      </c>
      <c r="J968" s="27">
        <v>16583.88</v>
      </c>
      <c r="K968" s="27">
        <v>2000000</v>
      </c>
    </row>
    <row r="969" spans="1:11" ht="15" customHeight="1" x14ac:dyDescent="0.2">
      <c r="A969" t="s">
        <v>8330</v>
      </c>
      <c r="B969" t="s">
        <v>8331</v>
      </c>
      <c r="C969">
        <v>2024</v>
      </c>
      <c r="D969" s="18">
        <v>45345</v>
      </c>
      <c r="E969" s="18">
        <v>45710</v>
      </c>
      <c r="F969" s="18" t="s">
        <v>611</v>
      </c>
      <c r="G969" t="s">
        <v>102</v>
      </c>
      <c r="H969">
        <v>2</v>
      </c>
      <c r="I969">
        <v>2</v>
      </c>
      <c r="J969" s="27">
        <v>20263.310000000001</v>
      </c>
      <c r="K969" s="27">
        <v>2500000</v>
      </c>
    </row>
    <row r="970" spans="1:11" ht="15" customHeight="1" x14ac:dyDescent="0.2">
      <c r="A970" t="s">
        <v>8332</v>
      </c>
      <c r="B970" t="s">
        <v>8333</v>
      </c>
      <c r="C970">
        <v>2024</v>
      </c>
      <c r="D970" s="18">
        <v>45346</v>
      </c>
      <c r="E970" s="18">
        <v>45711</v>
      </c>
      <c r="F970" s="18" t="s">
        <v>611</v>
      </c>
      <c r="G970" t="s">
        <v>101</v>
      </c>
      <c r="H970">
        <v>2</v>
      </c>
      <c r="I970">
        <v>2</v>
      </c>
      <c r="J970" s="27">
        <v>86144.9</v>
      </c>
      <c r="K970" s="27">
        <v>5000000</v>
      </c>
    </row>
    <row r="971" spans="1:11" ht="15" customHeight="1" x14ac:dyDescent="0.2">
      <c r="A971" t="s">
        <v>8334</v>
      </c>
      <c r="B971" t="s">
        <v>8335</v>
      </c>
      <c r="C971">
        <v>2024</v>
      </c>
      <c r="D971" s="18">
        <v>45346</v>
      </c>
      <c r="E971" s="18">
        <v>45711</v>
      </c>
      <c r="F971" s="18" t="s">
        <v>611</v>
      </c>
      <c r="G971" t="s">
        <v>100</v>
      </c>
      <c r="H971">
        <v>1</v>
      </c>
      <c r="I971">
        <v>2</v>
      </c>
      <c r="J971" s="27">
        <v>25749.51</v>
      </c>
      <c r="K971" s="27">
        <v>2000000</v>
      </c>
    </row>
    <row r="972" spans="1:11" ht="15" customHeight="1" x14ac:dyDescent="0.2">
      <c r="A972" t="s">
        <v>8336</v>
      </c>
      <c r="B972" t="s">
        <v>8337</v>
      </c>
      <c r="C972">
        <v>2024</v>
      </c>
      <c r="D972" s="18">
        <v>45346</v>
      </c>
      <c r="E972" s="18">
        <v>45711</v>
      </c>
      <c r="F972" s="18" t="s">
        <v>611</v>
      </c>
      <c r="G972" t="s">
        <v>99</v>
      </c>
      <c r="H972">
        <v>2</v>
      </c>
      <c r="I972">
        <v>2</v>
      </c>
      <c r="J972" s="27">
        <v>26584.62</v>
      </c>
      <c r="K972" s="27">
        <v>3000000</v>
      </c>
    </row>
    <row r="973" spans="1:11" ht="15" customHeight="1" x14ac:dyDescent="0.2">
      <c r="A973" t="s">
        <v>8338</v>
      </c>
      <c r="B973" t="s">
        <v>8339</v>
      </c>
      <c r="C973">
        <v>2024</v>
      </c>
      <c r="D973" s="18">
        <v>45346</v>
      </c>
      <c r="E973" s="18">
        <v>45711</v>
      </c>
      <c r="F973" s="18" t="s">
        <v>611</v>
      </c>
      <c r="G973" t="s">
        <v>99</v>
      </c>
      <c r="H973">
        <v>2</v>
      </c>
      <c r="I973">
        <v>2</v>
      </c>
      <c r="J973" s="27">
        <v>15444.03</v>
      </c>
      <c r="K973" s="27">
        <v>2000000</v>
      </c>
    </row>
    <row r="974" spans="1:11" ht="15" customHeight="1" x14ac:dyDescent="0.2">
      <c r="A974" t="s">
        <v>8340</v>
      </c>
      <c r="B974" t="s">
        <v>8341</v>
      </c>
      <c r="C974">
        <v>2024</v>
      </c>
      <c r="D974" s="18">
        <v>45346</v>
      </c>
      <c r="E974" s="18">
        <v>45711</v>
      </c>
      <c r="F974" s="18" t="s">
        <v>611</v>
      </c>
      <c r="G974" t="s">
        <v>101</v>
      </c>
      <c r="H974">
        <v>1</v>
      </c>
      <c r="I974">
        <v>1</v>
      </c>
      <c r="J974" s="27">
        <v>60503.65</v>
      </c>
      <c r="K974" s="27">
        <v>3500000</v>
      </c>
    </row>
    <row r="975" spans="1:11" ht="15" customHeight="1" x14ac:dyDescent="0.2">
      <c r="A975" t="s">
        <v>8342</v>
      </c>
      <c r="B975" t="s">
        <v>8343</v>
      </c>
      <c r="C975">
        <v>2024</v>
      </c>
      <c r="D975" s="18">
        <v>45346</v>
      </c>
      <c r="E975" s="18">
        <v>45711</v>
      </c>
      <c r="F975" s="18" t="s">
        <v>611</v>
      </c>
      <c r="G975" t="s">
        <v>99</v>
      </c>
      <c r="H975">
        <v>1</v>
      </c>
      <c r="I975">
        <v>1</v>
      </c>
      <c r="J975" s="27">
        <v>16378.76</v>
      </c>
      <c r="K975" s="27">
        <v>2000000</v>
      </c>
    </row>
    <row r="976" spans="1:11" ht="15" customHeight="1" x14ac:dyDescent="0.2">
      <c r="A976" t="s">
        <v>8344</v>
      </c>
      <c r="B976" t="s">
        <v>8345</v>
      </c>
      <c r="C976">
        <v>2024</v>
      </c>
      <c r="D976" s="18">
        <v>45346</v>
      </c>
      <c r="E976" s="18">
        <v>45711</v>
      </c>
      <c r="F976" s="18" t="s">
        <v>611</v>
      </c>
      <c r="G976" t="s">
        <v>102</v>
      </c>
      <c r="H976">
        <v>1</v>
      </c>
      <c r="I976">
        <v>1</v>
      </c>
      <c r="J976" s="27">
        <v>18445.240000000002</v>
      </c>
      <c r="K976" s="27">
        <v>2000000</v>
      </c>
    </row>
    <row r="977" spans="1:11" ht="15" customHeight="1" x14ac:dyDescent="0.2">
      <c r="A977" t="s">
        <v>8346</v>
      </c>
      <c r="B977" t="s">
        <v>8347</v>
      </c>
      <c r="C977">
        <v>2024</v>
      </c>
      <c r="D977" s="18">
        <v>45346</v>
      </c>
      <c r="E977" s="18">
        <v>45711</v>
      </c>
      <c r="F977" s="18" t="s">
        <v>611</v>
      </c>
      <c r="G977" t="s">
        <v>99</v>
      </c>
      <c r="H977">
        <v>3</v>
      </c>
      <c r="I977">
        <v>3</v>
      </c>
      <c r="J977" s="27">
        <v>15283.38</v>
      </c>
      <c r="K977" s="27">
        <v>2000000</v>
      </c>
    </row>
    <row r="978" spans="1:11" ht="15" customHeight="1" x14ac:dyDescent="0.2">
      <c r="A978" t="s">
        <v>8348</v>
      </c>
      <c r="B978" t="s">
        <v>8349</v>
      </c>
      <c r="C978">
        <v>2024</v>
      </c>
      <c r="D978" s="18">
        <v>45346</v>
      </c>
      <c r="E978" s="18">
        <v>45711</v>
      </c>
      <c r="F978" s="18" t="s">
        <v>611</v>
      </c>
      <c r="G978" t="s">
        <v>101</v>
      </c>
      <c r="H978">
        <v>3</v>
      </c>
      <c r="I978">
        <v>3</v>
      </c>
      <c r="J978" s="27">
        <v>182403.38</v>
      </c>
      <c r="K978" s="27">
        <v>10000000</v>
      </c>
    </row>
    <row r="979" spans="1:11" ht="15" customHeight="1" x14ac:dyDescent="0.2">
      <c r="A979" t="s">
        <v>8350</v>
      </c>
      <c r="B979" t="s">
        <v>8351</v>
      </c>
      <c r="C979">
        <v>2024</v>
      </c>
      <c r="D979" s="18">
        <v>45346</v>
      </c>
      <c r="E979" s="18">
        <v>45711</v>
      </c>
      <c r="F979" s="18" t="s">
        <v>611</v>
      </c>
      <c r="G979" t="s">
        <v>101</v>
      </c>
      <c r="H979">
        <v>1</v>
      </c>
      <c r="I979">
        <v>2</v>
      </c>
      <c r="J979" s="27">
        <v>8142.44</v>
      </c>
      <c r="K979" s="27">
        <v>500000</v>
      </c>
    </row>
    <row r="980" spans="1:11" ht="15" customHeight="1" x14ac:dyDescent="0.2">
      <c r="A980" t="s">
        <v>8352</v>
      </c>
      <c r="B980" t="s">
        <v>8353</v>
      </c>
      <c r="C980">
        <v>2024</v>
      </c>
      <c r="D980" s="18">
        <v>45346</v>
      </c>
      <c r="E980" s="18">
        <v>45711</v>
      </c>
      <c r="F980" s="18" t="s">
        <v>611</v>
      </c>
      <c r="G980" t="s">
        <v>99</v>
      </c>
      <c r="H980">
        <v>1</v>
      </c>
      <c r="I980">
        <v>1</v>
      </c>
      <c r="J980" s="27">
        <v>80111.98</v>
      </c>
      <c r="K980" s="27">
        <v>10000000</v>
      </c>
    </row>
    <row r="981" spans="1:11" ht="15" customHeight="1" x14ac:dyDescent="0.2">
      <c r="A981" t="s">
        <v>8354</v>
      </c>
      <c r="B981" t="s">
        <v>8355</v>
      </c>
      <c r="C981">
        <v>2024</v>
      </c>
      <c r="D981" s="18">
        <v>45347</v>
      </c>
      <c r="E981" s="18">
        <v>45712</v>
      </c>
      <c r="F981" s="18" t="s">
        <v>608</v>
      </c>
      <c r="G981" t="s">
        <v>100</v>
      </c>
      <c r="H981">
        <v>2</v>
      </c>
      <c r="I981">
        <v>4</v>
      </c>
      <c r="J981" s="27">
        <v>24072.33</v>
      </c>
      <c r="K981" s="27">
        <v>2000000</v>
      </c>
    </row>
    <row r="982" spans="1:11" ht="15" customHeight="1" x14ac:dyDescent="0.2">
      <c r="A982" t="s">
        <v>8356</v>
      </c>
      <c r="B982" t="s">
        <v>8357</v>
      </c>
      <c r="C982">
        <v>2024</v>
      </c>
      <c r="D982" s="18">
        <v>45347</v>
      </c>
      <c r="E982" s="18">
        <v>45712</v>
      </c>
      <c r="F982" s="18" t="s">
        <v>608</v>
      </c>
      <c r="G982" t="s">
        <v>101</v>
      </c>
      <c r="H982">
        <v>1</v>
      </c>
      <c r="I982">
        <v>2</v>
      </c>
      <c r="J982" s="27">
        <v>38002.5</v>
      </c>
      <c r="K982" s="27">
        <v>2000000</v>
      </c>
    </row>
    <row r="983" spans="1:11" ht="15" customHeight="1" x14ac:dyDescent="0.2">
      <c r="A983" t="s">
        <v>8358</v>
      </c>
      <c r="B983" t="s">
        <v>8359</v>
      </c>
      <c r="C983">
        <v>2024</v>
      </c>
      <c r="D983" s="18">
        <v>45348</v>
      </c>
      <c r="E983" s="18">
        <v>45713</v>
      </c>
      <c r="F983" s="18" t="s">
        <v>608</v>
      </c>
      <c r="G983" t="s">
        <v>100</v>
      </c>
      <c r="H983">
        <v>1</v>
      </c>
      <c r="I983">
        <v>2</v>
      </c>
      <c r="J983" s="27">
        <v>46326.36</v>
      </c>
      <c r="K983" s="27">
        <v>3500000</v>
      </c>
    </row>
    <row r="984" spans="1:11" ht="15" customHeight="1" x14ac:dyDescent="0.2">
      <c r="A984" t="s">
        <v>8360</v>
      </c>
      <c r="B984" t="s">
        <v>8361</v>
      </c>
      <c r="C984">
        <v>2024</v>
      </c>
      <c r="D984" s="18">
        <v>45348</v>
      </c>
      <c r="E984" s="18">
        <v>45713</v>
      </c>
      <c r="F984" s="18" t="s">
        <v>611</v>
      </c>
      <c r="G984" t="s">
        <v>102</v>
      </c>
      <c r="H984">
        <v>2</v>
      </c>
      <c r="I984">
        <v>2</v>
      </c>
      <c r="J984" s="27">
        <v>18183.61</v>
      </c>
      <c r="K984" s="27">
        <v>2000000</v>
      </c>
    </row>
    <row r="985" spans="1:11" ht="15" customHeight="1" x14ac:dyDescent="0.2">
      <c r="A985" t="s">
        <v>8362</v>
      </c>
      <c r="B985" t="s">
        <v>8363</v>
      </c>
      <c r="C985">
        <v>2024</v>
      </c>
      <c r="D985" s="18">
        <v>45348</v>
      </c>
      <c r="E985" s="18">
        <v>45713</v>
      </c>
      <c r="F985" s="18" t="s">
        <v>611</v>
      </c>
      <c r="G985" t="s">
        <v>99</v>
      </c>
      <c r="H985">
        <v>2</v>
      </c>
      <c r="I985">
        <v>2</v>
      </c>
      <c r="J985" s="27">
        <v>7538.59</v>
      </c>
      <c r="K985" s="27">
        <v>1000000</v>
      </c>
    </row>
    <row r="986" spans="1:11" ht="15" customHeight="1" x14ac:dyDescent="0.2">
      <c r="A986" t="s">
        <v>8364</v>
      </c>
      <c r="B986" t="s">
        <v>8365</v>
      </c>
      <c r="C986">
        <v>2024</v>
      </c>
      <c r="D986" s="18">
        <v>45348</v>
      </c>
      <c r="E986" s="18">
        <v>45713</v>
      </c>
      <c r="F986" s="18" t="s">
        <v>611</v>
      </c>
      <c r="G986" t="s">
        <v>101</v>
      </c>
      <c r="H986">
        <v>3</v>
      </c>
      <c r="I986">
        <v>6</v>
      </c>
      <c r="J986" s="27">
        <v>17781.45</v>
      </c>
      <c r="K986" s="27">
        <v>1000000</v>
      </c>
    </row>
    <row r="987" spans="1:11" ht="15" customHeight="1" x14ac:dyDescent="0.2">
      <c r="A987" t="s">
        <v>8366</v>
      </c>
      <c r="B987" t="s">
        <v>8367</v>
      </c>
      <c r="C987">
        <v>2024</v>
      </c>
      <c r="D987" s="18">
        <v>45349</v>
      </c>
      <c r="E987" s="18">
        <v>45714</v>
      </c>
      <c r="F987" s="18" t="s">
        <v>608</v>
      </c>
      <c r="G987" t="s">
        <v>100</v>
      </c>
      <c r="H987">
        <v>1</v>
      </c>
      <c r="I987">
        <v>1</v>
      </c>
      <c r="J987" s="27">
        <v>38331.69</v>
      </c>
      <c r="K987" s="27">
        <v>3000000</v>
      </c>
    </row>
    <row r="988" spans="1:11" ht="15" customHeight="1" x14ac:dyDescent="0.2">
      <c r="A988" t="s">
        <v>8368</v>
      </c>
      <c r="B988" t="s">
        <v>8369</v>
      </c>
      <c r="C988">
        <v>2024</v>
      </c>
      <c r="D988" s="18">
        <v>45349</v>
      </c>
      <c r="E988" s="18">
        <v>45714</v>
      </c>
      <c r="F988" s="18" t="s">
        <v>611</v>
      </c>
      <c r="G988" t="s">
        <v>101</v>
      </c>
      <c r="H988">
        <v>1</v>
      </c>
      <c r="I988">
        <v>2</v>
      </c>
      <c r="J988" s="27">
        <v>38106.5</v>
      </c>
      <c r="K988" s="27">
        <v>2000000</v>
      </c>
    </row>
    <row r="989" spans="1:11" ht="15" customHeight="1" x14ac:dyDescent="0.2">
      <c r="A989" t="s">
        <v>8370</v>
      </c>
      <c r="B989" t="s">
        <v>8371</v>
      </c>
      <c r="C989">
        <v>2024</v>
      </c>
      <c r="D989" s="18">
        <v>45349</v>
      </c>
      <c r="E989" s="18">
        <v>45714</v>
      </c>
      <c r="F989" s="18" t="s">
        <v>611</v>
      </c>
      <c r="G989" t="s">
        <v>101</v>
      </c>
      <c r="H989">
        <v>2</v>
      </c>
      <c r="I989">
        <v>4</v>
      </c>
      <c r="J989" s="27">
        <v>84748.02</v>
      </c>
      <c r="K989" s="27">
        <v>5000000</v>
      </c>
    </row>
    <row r="990" spans="1:11" ht="15" customHeight="1" x14ac:dyDescent="0.2">
      <c r="A990" t="s">
        <v>8372</v>
      </c>
      <c r="B990" t="s">
        <v>8373</v>
      </c>
      <c r="C990">
        <v>2024</v>
      </c>
      <c r="D990" s="18">
        <v>45349</v>
      </c>
      <c r="E990" s="18">
        <v>45714</v>
      </c>
      <c r="F990" s="18" t="s">
        <v>611</v>
      </c>
      <c r="G990" t="s">
        <v>99</v>
      </c>
      <c r="H990">
        <v>1</v>
      </c>
      <c r="I990">
        <v>1</v>
      </c>
      <c r="J990" s="27">
        <v>17660.919999999998</v>
      </c>
      <c r="K990" s="27">
        <v>2000000</v>
      </c>
    </row>
    <row r="991" spans="1:11" ht="15" customHeight="1" x14ac:dyDescent="0.2">
      <c r="A991" t="s">
        <v>8374</v>
      </c>
      <c r="B991" t="s">
        <v>8375</v>
      </c>
      <c r="C991">
        <v>2024</v>
      </c>
      <c r="D991" s="18">
        <v>45349</v>
      </c>
      <c r="E991" s="18">
        <v>45714</v>
      </c>
      <c r="F991" s="18" t="s">
        <v>611</v>
      </c>
      <c r="G991" t="s">
        <v>99</v>
      </c>
      <c r="H991">
        <v>1</v>
      </c>
      <c r="I991">
        <v>2</v>
      </c>
      <c r="J991" s="27">
        <v>17291.71</v>
      </c>
      <c r="K991" s="27">
        <v>2000000</v>
      </c>
    </row>
    <row r="992" spans="1:11" ht="15" customHeight="1" x14ac:dyDescent="0.2">
      <c r="A992" t="s">
        <v>8376</v>
      </c>
      <c r="B992" t="s">
        <v>8377</v>
      </c>
      <c r="C992">
        <v>2024</v>
      </c>
      <c r="D992" s="18">
        <v>45349</v>
      </c>
      <c r="E992" s="18">
        <v>45714</v>
      </c>
      <c r="F992" s="18" t="s">
        <v>611</v>
      </c>
      <c r="G992" t="s">
        <v>102</v>
      </c>
      <c r="H992">
        <v>1</v>
      </c>
      <c r="I992">
        <v>2</v>
      </c>
      <c r="J992" s="27">
        <v>43162.21</v>
      </c>
      <c r="K992" s="27">
        <v>5000000</v>
      </c>
    </row>
    <row r="993" spans="1:11" ht="15" customHeight="1" x14ac:dyDescent="0.2">
      <c r="A993" t="s">
        <v>8378</v>
      </c>
      <c r="B993" t="s">
        <v>8379</v>
      </c>
      <c r="C993">
        <v>2024</v>
      </c>
      <c r="D993" s="18">
        <v>45349</v>
      </c>
      <c r="E993" s="18">
        <v>45714</v>
      </c>
      <c r="F993" s="18" t="s">
        <v>611</v>
      </c>
      <c r="G993" t="s">
        <v>99</v>
      </c>
      <c r="H993">
        <v>1</v>
      </c>
      <c r="I993">
        <v>1</v>
      </c>
      <c r="J993" s="27">
        <v>32019.29</v>
      </c>
      <c r="K993" s="27">
        <v>4000000</v>
      </c>
    </row>
    <row r="994" spans="1:11" ht="15" customHeight="1" x14ac:dyDescent="0.2">
      <c r="A994" t="s">
        <v>8380</v>
      </c>
      <c r="B994" t="s">
        <v>8381</v>
      </c>
      <c r="C994">
        <v>2024</v>
      </c>
      <c r="D994" s="18">
        <v>45349</v>
      </c>
      <c r="E994" s="18">
        <v>45714</v>
      </c>
      <c r="F994" s="18" t="s">
        <v>611</v>
      </c>
      <c r="G994" t="s">
        <v>101</v>
      </c>
      <c r="H994">
        <v>1</v>
      </c>
      <c r="I994">
        <v>1</v>
      </c>
      <c r="J994" s="27">
        <v>79891.850000000006</v>
      </c>
      <c r="K994" s="27">
        <v>5000000</v>
      </c>
    </row>
    <row r="995" spans="1:11" ht="15" customHeight="1" x14ac:dyDescent="0.2">
      <c r="A995" t="s">
        <v>8382</v>
      </c>
      <c r="B995" t="s">
        <v>8383</v>
      </c>
      <c r="C995">
        <v>2024</v>
      </c>
      <c r="D995" s="18">
        <v>45349</v>
      </c>
      <c r="E995" s="18">
        <v>45714</v>
      </c>
      <c r="F995" s="18" t="s">
        <v>611</v>
      </c>
      <c r="G995" t="s">
        <v>99</v>
      </c>
      <c r="H995">
        <v>2</v>
      </c>
      <c r="I995">
        <v>2</v>
      </c>
      <c r="J995" s="27">
        <v>31046.880000000001</v>
      </c>
      <c r="K995" s="27">
        <v>4000000</v>
      </c>
    </row>
    <row r="996" spans="1:11" ht="15" customHeight="1" x14ac:dyDescent="0.2">
      <c r="A996" t="s">
        <v>8384</v>
      </c>
      <c r="B996" t="s">
        <v>8385</v>
      </c>
      <c r="C996">
        <v>2024</v>
      </c>
      <c r="D996" s="18">
        <v>45350</v>
      </c>
      <c r="E996" s="18">
        <v>45715</v>
      </c>
      <c r="F996" s="18" t="s">
        <v>608</v>
      </c>
      <c r="G996" t="s">
        <v>102</v>
      </c>
      <c r="H996">
        <v>2</v>
      </c>
      <c r="I996">
        <v>4</v>
      </c>
      <c r="J996" s="27">
        <v>8210.9599999999991</v>
      </c>
      <c r="K996" s="27">
        <v>1000000</v>
      </c>
    </row>
    <row r="997" spans="1:11" ht="15" customHeight="1" x14ac:dyDescent="0.2">
      <c r="A997" t="s">
        <v>8386</v>
      </c>
      <c r="B997" t="s">
        <v>8387</v>
      </c>
      <c r="C997">
        <v>2024</v>
      </c>
      <c r="D997" s="18">
        <v>45350</v>
      </c>
      <c r="E997" s="18">
        <v>45715</v>
      </c>
      <c r="F997" s="18" t="s">
        <v>608</v>
      </c>
      <c r="G997" t="s">
        <v>100</v>
      </c>
      <c r="H997">
        <v>1</v>
      </c>
      <c r="I997">
        <v>1</v>
      </c>
      <c r="J997" s="27">
        <v>32962.18</v>
      </c>
      <c r="K997" s="27">
        <v>2500000</v>
      </c>
    </row>
    <row r="998" spans="1:11" ht="15" customHeight="1" x14ac:dyDescent="0.2">
      <c r="A998" t="s">
        <v>8388</v>
      </c>
      <c r="B998" t="s">
        <v>8389</v>
      </c>
      <c r="C998">
        <v>2024</v>
      </c>
      <c r="D998" s="18">
        <v>45350</v>
      </c>
      <c r="E998" s="18">
        <v>45715</v>
      </c>
      <c r="F998" s="18" t="s">
        <v>611</v>
      </c>
      <c r="G998" t="s">
        <v>99</v>
      </c>
      <c r="H998">
        <v>1</v>
      </c>
      <c r="I998">
        <v>1</v>
      </c>
      <c r="J998" s="27">
        <v>26002.560000000001</v>
      </c>
      <c r="K998" s="27">
        <v>3000000</v>
      </c>
    </row>
    <row r="999" spans="1:11" ht="15" customHeight="1" x14ac:dyDescent="0.2">
      <c r="A999" t="s">
        <v>8390</v>
      </c>
      <c r="B999" t="s">
        <v>8391</v>
      </c>
      <c r="C999">
        <v>2024</v>
      </c>
      <c r="D999" s="18">
        <v>45350</v>
      </c>
      <c r="E999" s="18">
        <v>45715</v>
      </c>
      <c r="F999" s="18" t="s">
        <v>611</v>
      </c>
      <c r="G999" t="s">
        <v>99</v>
      </c>
      <c r="H999">
        <v>1</v>
      </c>
      <c r="I999">
        <v>1</v>
      </c>
      <c r="J999" s="27">
        <v>23891.45</v>
      </c>
      <c r="K999" s="27">
        <v>3000000</v>
      </c>
    </row>
    <row r="1000" spans="1:11" ht="15" customHeight="1" x14ac:dyDescent="0.2">
      <c r="A1000" t="s">
        <v>8392</v>
      </c>
      <c r="B1000" t="s">
        <v>8393</v>
      </c>
      <c r="C1000">
        <v>2024</v>
      </c>
      <c r="D1000" s="18">
        <v>45350</v>
      </c>
      <c r="E1000" s="18">
        <v>45715</v>
      </c>
      <c r="F1000" s="18" t="s">
        <v>611</v>
      </c>
      <c r="G1000" t="s">
        <v>99</v>
      </c>
      <c r="H1000">
        <v>1</v>
      </c>
      <c r="I1000">
        <v>2</v>
      </c>
      <c r="J1000" s="27">
        <v>38474.6</v>
      </c>
      <c r="K1000" s="27">
        <v>5000000</v>
      </c>
    </row>
    <row r="1001" spans="1:11" ht="15" customHeight="1" x14ac:dyDescent="0.2">
      <c r="A1001" t="s">
        <v>8394</v>
      </c>
      <c r="B1001" t="s">
        <v>8395</v>
      </c>
      <c r="C1001">
        <v>2024</v>
      </c>
      <c r="D1001" s="18">
        <v>45350</v>
      </c>
      <c r="E1001" s="18">
        <v>45715</v>
      </c>
      <c r="F1001" s="18" t="s">
        <v>611</v>
      </c>
      <c r="G1001" t="s">
        <v>101</v>
      </c>
      <c r="H1001">
        <v>3</v>
      </c>
      <c r="I1001">
        <v>3</v>
      </c>
      <c r="J1001" s="27">
        <v>8303.2900000000009</v>
      </c>
      <c r="K1001" s="27">
        <v>500000</v>
      </c>
    </row>
    <row r="1002" spans="1:11" ht="15" customHeight="1" x14ac:dyDescent="0.2">
      <c r="A1002" t="s">
        <v>8396</v>
      </c>
      <c r="B1002" t="s">
        <v>8397</v>
      </c>
      <c r="C1002">
        <v>2024</v>
      </c>
      <c r="D1002" s="18">
        <v>45350</v>
      </c>
      <c r="E1002" s="18">
        <v>45715</v>
      </c>
      <c r="F1002" s="18" t="s">
        <v>611</v>
      </c>
      <c r="G1002" t="s">
        <v>101</v>
      </c>
      <c r="H1002">
        <v>2</v>
      </c>
      <c r="I1002">
        <v>2</v>
      </c>
      <c r="J1002" s="27">
        <v>17204.78</v>
      </c>
      <c r="K1002" s="27">
        <v>1000000</v>
      </c>
    </row>
    <row r="1003" spans="1:11" ht="15" customHeight="1" x14ac:dyDescent="0.2">
      <c r="A1003" t="s">
        <v>8398</v>
      </c>
      <c r="B1003" t="s">
        <v>8399</v>
      </c>
      <c r="C1003">
        <v>2024</v>
      </c>
      <c r="D1003" s="18">
        <v>45350</v>
      </c>
      <c r="E1003" s="18">
        <v>45715</v>
      </c>
      <c r="F1003" s="18" t="s">
        <v>611</v>
      </c>
      <c r="G1003" t="s">
        <v>100</v>
      </c>
      <c r="H1003">
        <v>2</v>
      </c>
      <c r="I1003">
        <v>4</v>
      </c>
      <c r="J1003" s="27">
        <v>142004.66</v>
      </c>
      <c r="K1003" s="27">
        <v>10000000</v>
      </c>
    </row>
    <row r="1004" spans="1:11" ht="15" customHeight="1" x14ac:dyDescent="0.2">
      <c r="A1004" t="s">
        <v>8400</v>
      </c>
      <c r="B1004" t="s">
        <v>8401</v>
      </c>
      <c r="C1004">
        <v>2024</v>
      </c>
      <c r="D1004" s="18">
        <v>45350</v>
      </c>
      <c r="E1004" s="18">
        <v>45715</v>
      </c>
      <c r="F1004" s="18" t="s">
        <v>611</v>
      </c>
      <c r="G1004" t="s">
        <v>101</v>
      </c>
      <c r="H1004">
        <v>1</v>
      </c>
      <c r="I1004">
        <v>2</v>
      </c>
      <c r="J1004" s="27">
        <v>15798.32</v>
      </c>
      <c r="K1004" s="27">
        <v>1000000</v>
      </c>
    </row>
    <row r="1005" spans="1:11" ht="15" customHeight="1" x14ac:dyDescent="0.2">
      <c r="A1005" t="s">
        <v>8402</v>
      </c>
      <c r="B1005" t="s">
        <v>8403</v>
      </c>
      <c r="C1005">
        <v>2024</v>
      </c>
      <c r="D1005" s="18">
        <v>45350</v>
      </c>
      <c r="E1005" s="18">
        <v>45715</v>
      </c>
      <c r="F1005" s="18" t="s">
        <v>611</v>
      </c>
      <c r="G1005" t="s">
        <v>100</v>
      </c>
      <c r="H1005">
        <v>1</v>
      </c>
      <c r="I1005">
        <v>2</v>
      </c>
      <c r="J1005" s="27">
        <v>36068.49</v>
      </c>
      <c r="K1005" s="27">
        <v>3000000</v>
      </c>
    </row>
    <row r="1006" spans="1:11" ht="15" customHeight="1" x14ac:dyDescent="0.2">
      <c r="A1006" t="s">
        <v>8404</v>
      </c>
      <c r="B1006" t="s">
        <v>8405</v>
      </c>
      <c r="C1006">
        <v>2024</v>
      </c>
      <c r="D1006" s="18">
        <v>45351</v>
      </c>
      <c r="E1006" s="18">
        <v>45715</v>
      </c>
      <c r="F1006" s="18" t="s">
        <v>608</v>
      </c>
      <c r="G1006" t="s">
        <v>101</v>
      </c>
      <c r="H1006">
        <v>1</v>
      </c>
      <c r="I1006">
        <v>1</v>
      </c>
      <c r="J1006" s="27">
        <v>32333.77</v>
      </c>
      <c r="K1006" s="27">
        <v>2000000</v>
      </c>
    </row>
    <row r="1007" spans="1:11" ht="15" customHeight="1" x14ac:dyDescent="0.2">
      <c r="A1007" t="s">
        <v>8406</v>
      </c>
      <c r="B1007" t="s">
        <v>8407</v>
      </c>
      <c r="C1007">
        <v>2024</v>
      </c>
      <c r="D1007" s="18">
        <v>45351</v>
      </c>
      <c r="E1007" s="18">
        <v>45715</v>
      </c>
      <c r="F1007" s="18" t="s">
        <v>608</v>
      </c>
      <c r="G1007" t="s">
        <v>102</v>
      </c>
      <c r="H1007">
        <v>3</v>
      </c>
      <c r="I1007">
        <v>6</v>
      </c>
      <c r="J1007" s="27">
        <v>11888.71</v>
      </c>
      <c r="K1007" s="27">
        <v>1500000</v>
      </c>
    </row>
    <row r="1008" spans="1:11" ht="15" customHeight="1" x14ac:dyDescent="0.2">
      <c r="A1008" t="s">
        <v>8408</v>
      </c>
      <c r="B1008" t="s">
        <v>8409</v>
      </c>
      <c r="C1008">
        <v>2024</v>
      </c>
      <c r="D1008" s="18">
        <v>45351</v>
      </c>
      <c r="E1008" s="18">
        <v>45715</v>
      </c>
      <c r="F1008" s="18" t="s">
        <v>608</v>
      </c>
      <c r="G1008" t="s">
        <v>100</v>
      </c>
      <c r="H1008">
        <v>1</v>
      </c>
      <c r="I1008">
        <v>1</v>
      </c>
      <c r="J1008" s="27">
        <v>62924.7</v>
      </c>
      <c r="K1008" s="27">
        <v>5000000</v>
      </c>
    </row>
    <row r="1009" spans="1:11" ht="15" customHeight="1" x14ac:dyDescent="0.2">
      <c r="A1009" t="s">
        <v>8410</v>
      </c>
      <c r="B1009" t="s">
        <v>8411</v>
      </c>
      <c r="C1009">
        <v>2024</v>
      </c>
      <c r="D1009" s="18">
        <v>45351</v>
      </c>
      <c r="E1009" s="18">
        <v>45715</v>
      </c>
      <c r="F1009" s="18" t="s">
        <v>608</v>
      </c>
      <c r="G1009" t="s">
        <v>101</v>
      </c>
      <c r="H1009">
        <v>1</v>
      </c>
      <c r="I1009">
        <v>1</v>
      </c>
      <c r="J1009" s="27">
        <v>85658.31</v>
      </c>
      <c r="K1009" s="27">
        <v>4500000</v>
      </c>
    </row>
    <row r="1010" spans="1:11" ht="15" customHeight="1" x14ac:dyDescent="0.2">
      <c r="A1010" t="s">
        <v>8412</v>
      </c>
      <c r="B1010" t="s">
        <v>8413</v>
      </c>
      <c r="C1010">
        <v>2024</v>
      </c>
      <c r="D1010" s="18">
        <v>45352</v>
      </c>
      <c r="E1010" s="18">
        <v>45716</v>
      </c>
      <c r="F1010" s="18" t="s">
        <v>608</v>
      </c>
      <c r="G1010" t="s">
        <v>100</v>
      </c>
      <c r="H1010">
        <v>1</v>
      </c>
      <c r="I1010">
        <v>1</v>
      </c>
      <c r="J1010" s="27">
        <v>24508.99</v>
      </c>
      <c r="K1010" s="27">
        <v>2000000</v>
      </c>
    </row>
    <row r="1011" spans="1:11" ht="15" customHeight="1" x14ac:dyDescent="0.2">
      <c r="A1011" t="s">
        <v>8414</v>
      </c>
      <c r="B1011" t="s">
        <v>8415</v>
      </c>
      <c r="C1011">
        <v>2024</v>
      </c>
      <c r="D1011" s="18">
        <v>45352</v>
      </c>
      <c r="E1011" s="18">
        <v>45716</v>
      </c>
      <c r="F1011" s="18" t="s">
        <v>611</v>
      </c>
      <c r="G1011" t="s">
        <v>101</v>
      </c>
      <c r="H1011">
        <v>3</v>
      </c>
      <c r="I1011">
        <v>3</v>
      </c>
      <c r="J1011" s="27">
        <v>81759.95</v>
      </c>
      <c r="K1011" s="27">
        <v>5000000</v>
      </c>
    </row>
    <row r="1012" spans="1:11" ht="15" customHeight="1" x14ac:dyDescent="0.2">
      <c r="A1012" t="s">
        <v>8416</v>
      </c>
      <c r="B1012" t="s">
        <v>8417</v>
      </c>
      <c r="C1012">
        <v>2024</v>
      </c>
      <c r="D1012" s="18">
        <v>45352</v>
      </c>
      <c r="E1012" s="18">
        <v>45716</v>
      </c>
      <c r="F1012" s="18" t="s">
        <v>611</v>
      </c>
      <c r="G1012" t="s">
        <v>102</v>
      </c>
      <c r="H1012">
        <v>2</v>
      </c>
      <c r="I1012">
        <v>4</v>
      </c>
      <c r="J1012" s="27">
        <v>24732.9</v>
      </c>
      <c r="K1012" s="27">
        <v>3000000</v>
      </c>
    </row>
    <row r="1013" spans="1:11" ht="15" customHeight="1" x14ac:dyDescent="0.2">
      <c r="A1013" t="s">
        <v>8418</v>
      </c>
      <c r="B1013" t="s">
        <v>8419</v>
      </c>
      <c r="C1013">
        <v>2024</v>
      </c>
      <c r="D1013" s="18">
        <v>45352</v>
      </c>
      <c r="E1013" s="18">
        <v>45716</v>
      </c>
      <c r="F1013" s="18" t="s">
        <v>611</v>
      </c>
      <c r="G1013" t="s">
        <v>99</v>
      </c>
      <c r="H1013">
        <v>3</v>
      </c>
      <c r="I1013">
        <v>6</v>
      </c>
      <c r="J1013" s="27">
        <v>4125.59</v>
      </c>
      <c r="K1013" s="27">
        <v>500000</v>
      </c>
    </row>
    <row r="1014" spans="1:11" ht="15" customHeight="1" x14ac:dyDescent="0.2">
      <c r="A1014" t="s">
        <v>8420</v>
      </c>
      <c r="B1014" t="s">
        <v>8421</v>
      </c>
      <c r="C1014">
        <v>2024</v>
      </c>
      <c r="D1014" s="18">
        <v>45352</v>
      </c>
      <c r="E1014" s="18">
        <v>45716</v>
      </c>
      <c r="F1014" s="18" t="s">
        <v>611</v>
      </c>
      <c r="G1014" t="s">
        <v>101</v>
      </c>
      <c r="H1014">
        <v>2</v>
      </c>
      <c r="I1014">
        <v>2</v>
      </c>
      <c r="J1014" s="27">
        <v>173414.59</v>
      </c>
      <c r="K1014" s="27">
        <v>10000000</v>
      </c>
    </row>
    <row r="1015" spans="1:11" ht="15" customHeight="1" x14ac:dyDescent="0.2">
      <c r="A1015" t="s">
        <v>8422</v>
      </c>
      <c r="B1015" t="s">
        <v>8423</v>
      </c>
      <c r="C1015">
        <v>2024</v>
      </c>
      <c r="D1015" s="18">
        <v>45352</v>
      </c>
      <c r="E1015" s="18">
        <v>45716</v>
      </c>
      <c r="F1015" s="18" t="s">
        <v>611</v>
      </c>
      <c r="G1015" t="s">
        <v>100</v>
      </c>
      <c r="H1015">
        <v>1</v>
      </c>
      <c r="I1015">
        <v>2</v>
      </c>
      <c r="J1015" s="27">
        <v>42440.72</v>
      </c>
      <c r="K1015" s="27">
        <v>3500000</v>
      </c>
    </row>
    <row r="1016" spans="1:11" ht="15" customHeight="1" x14ac:dyDescent="0.2">
      <c r="A1016" t="s">
        <v>8424</v>
      </c>
      <c r="B1016" t="s">
        <v>8425</v>
      </c>
      <c r="C1016">
        <v>2024</v>
      </c>
      <c r="D1016" s="18">
        <v>45352</v>
      </c>
      <c r="E1016" s="18">
        <v>45716</v>
      </c>
      <c r="F1016" s="18" t="s">
        <v>611</v>
      </c>
      <c r="G1016" t="s">
        <v>101</v>
      </c>
      <c r="H1016">
        <v>3</v>
      </c>
      <c r="I1016">
        <v>6</v>
      </c>
      <c r="J1016" s="27">
        <v>83413.48</v>
      </c>
      <c r="K1016" s="27">
        <v>4500000</v>
      </c>
    </row>
    <row r="1017" spans="1:11" ht="15" customHeight="1" x14ac:dyDescent="0.2">
      <c r="A1017" t="s">
        <v>8426</v>
      </c>
      <c r="B1017" t="s">
        <v>8427</v>
      </c>
      <c r="C1017">
        <v>2024</v>
      </c>
      <c r="D1017" s="18">
        <v>45352</v>
      </c>
      <c r="E1017" s="18">
        <v>45716</v>
      </c>
      <c r="F1017" s="18" t="s">
        <v>611</v>
      </c>
      <c r="G1017" t="s">
        <v>100</v>
      </c>
      <c r="H1017">
        <v>2</v>
      </c>
      <c r="I1017">
        <v>4</v>
      </c>
      <c r="J1017" s="27">
        <v>130200.21</v>
      </c>
      <c r="K1017" s="27">
        <v>10000000</v>
      </c>
    </row>
    <row r="1018" spans="1:11" ht="15" customHeight="1" x14ac:dyDescent="0.2">
      <c r="A1018" t="s">
        <v>8428</v>
      </c>
      <c r="B1018" t="s">
        <v>8429</v>
      </c>
      <c r="C1018">
        <v>2024</v>
      </c>
      <c r="D1018" s="18">
        <v>45353</v>
      </c>
      <c r="E1018" s="18">
        <v>45717</v>
      </c>
      <c r="F1018" s="18" t="s">
        <v>608</v>
      </c>
      <c r="G1018" t="s">
        <v>100</v>
      </c>
      <c r="H1018">
        <v>2</v>
      </c>
      <c r="I1018">
        <v>2</v>
      </c>
      <c r="J1018" s="27">
        <v>62684.94</v>
      </c>
      <c r="K1018" s="27">
        <v>4500000</v>
      </c>
    </row>
    <row r="1019" spans="1:11" ht="15" customHeight="1" x14ac:dyDescent="0.2">
      <c r="A1019" t="s">
        <v>8430</v>
      </c>
      <c r="B1019" t="s">
        <v>8431</v>
      </c>
      <c r="C1019">
        <v>2024</v>
      </c>
      <c r="D1019" s="18">
        <v>45353</v>
      </c>
      <c r="E1019" s="18">
        <v>45717</v>
      </c>
      <c r="F1019" s="18" t="s">
        <v>611</v>
      </c>
      <c r="G1019" t="s">
        <v>101</v>
      </c>
      <c r="H1019">
        <v>1</v>
      </c>
      <c r="I1019">
        <v>2</v>
      </c>
      <c r="J1019" s="27">
        <v>64500.2</v>
      </c>
      <c r="K1019" s="27">
        <v>3500000</v>
      </c>
    </row>
    <row r="1020" spans="1:11" ht="15" customHeight="1" x14ac:dyDescent="0.2">
      <c r="A1020" t="s">
        <v>8432</v>
      </c>
      <c r="B1020" t="s">
        <v>8433</v>
      </c>
      <c r="C1020">
        <v>2024</v>
      </c>
      <c r="D1020" s="18">
        <v>45353</v>
      </c>
      <c r="E1020" s="18">
        <v>45717</v>
      </c>
      <c r="F1020" s="18" t="s">
        <v>611</v>
      </c>
      <c r="G1020" t="s">
        <v>100</v>
      </c>
      <c r="H1020">
        <v>1</v>
      </c>
      <c r="I1020">
        <v>1</v>
      </c>
      <c r="J1020" s="27">
        <v>38762.76</v>
      </c>
      <c r="K1020" s="27">
        <v>3000000</v>
      </c>
    </row>
    <row r="1021" spans="1:11" ht="15" customHeight="1" x14ac:dyDescent="0.2">
      <c r="A1021" t="s">
        <v>8434</v>
      </c>
      <c r="B1021" t="s">
        <v>8435</v>
      </c>
      <c r="C1021">
        <v>2024</v>
      </c>
      <c r="D1021" s="18">
        <v>45353</v>
      </c>
      <c r="E1021" s="18">
        <v>45717</v>
      </c>
      <c r="F1021" s="18" t="s">
        <v>611</v>
      </c>
      <c r="G1021" t="s">
        <v>99</v>
      </c>
      <c r="H1021">
        <v>2</v>
      </c>
      <c r="I1021">
        <v>2</v>
      </c>
      <c r="J1021" s="27">
        <v>34293.370000000003</v>
      </c>
      <c r="K1021" s="27">
        <v>4000000</v>
      </c>
    </row>
    <row r="1022" spans="1:11" ht="15" customHeight="1" x14ac:dyDescent="0.2">
      <c r="A1022" t="s">
        <v>8436</v>
      </c>
      <c r="B1022" t="s">
        <v>8437</v>
      </c>
      <c r="C1022">
        <v>2024</v>
      </c>
      <c r="D1022" s="18">
        <v>45354</v>
      </c>
      <c r="E1022" s="18">
        <v>45718</v>
      </c>
      <c r="F1022" s="18" t="s">
        <v>608</v>
      </c>
      <c r="G1022" t="s">
        <v>102</v>
      </c>
      <c r="H1022">
        <v>2</v>
      </c>
      <c r="I1022">
        <v>2</v>
      </c>
      <c r="J1022" s="27">
        <v>40337</v>
      </c>
      <c r="K1022" s="27">
        <v>5000000</v>
      </c>
    </row>
    <row r="1023" spans="1:11" ht="15" customHeight="1" x14ac:dyDescent="0.2">
      <c r="A1023" t="s">
        <v>8438</v>
      </c>
      <c r="B1023" t="s">
        <v>8439</v>
      </c>
      <c r="C1023">
        <v>2024</v>
      </c>
      <c r="D1023" s="18">
        <v>45354</v>
      </c>
      <c r="E1023" s="18">
        <v>45718</v>
      </c>
      <c r="F1023" s="18" t="s">
        <v>608</v>
      </c>
      <c r="G1023" t="s">
        <v>99</v>
      </c>
      <c r="H1023">
        <v>1</v>
      </c>
      <c r="I1023">
        <v>1</v>
      </c>
      <c r="J1023" s="27">
        <v>38752.43</v>
      </c>
      <c r="K1023" s="27">
        <v>5000000</v>
      </c>
    </row>
    <row r="1024" spans="1:11" ht="15" customHeight="1" x14ac:dyDescent="0.2">
      <c r="A1024" t="s">
        <v>8440</v>
      </c>
      <c r="B1024" t="s">
        <v>8441</v>
      </c>
      <c r="C1024">
        <v>2024</v>
      </c>
      <c r="D1024" s="18">
        <v>45354</v>
      </c>
      <c r="E1024" s="18">
        <v>45718</v>
      </c>
      <c r="F1024" s="18" t="s">
        <v>608</v>
      </c>
      <c r="G1024" t="s">
        <v>101</v>
      </c>
      <c r="H1024">
        <v>1</v>
      </c>
      <c r="I1024">
        <v>1</v>
      </c>
      <c r="J1024" s="27">
        <v>8776.6299999999992</v>
      </c>
      <c r="K1024" s="27">
        <v>500000</v>
      </c>
    </row>
    <row r="1025" spans="1:11" ht="15" customHeight="1" x14ac:dyDescent="0.2">
      <c r="A1025" t="s">
        <v>8442</v>
      </c>
      <c r="B1025" t="s">
        <v>8443</v>
      </c>
      <c r="C1025">
        <v>2024</v>
      </c>
      <c r="D1025" s="18">
        <v>45354</v>
      </c>
      <c r="E1025" s="18">
        <v>45718</v>
      </c>
      <c r="F1025" s="18" t="s">
        <v>611</v>
      </c>
      <c r="G1025" t="s">
        <v>99</v>
      </c>
      <c r="H1025">
        <v>2</v>
      </c>
      <c r="I1025">
        <v>2</v>
      </c>
      <c r="J1025" s="27">
        <v>14879.1</v>
      </c>
      <c r="K1025" s="27">
        <v>2000000</v>
      </c>
    </row>
    <row r="1026" spans="1:11" ht="15" customHeight="1" x14ac:dyDescent="0.2">
      <c r="A1026" t="s">
        <v>8444</v>
      </c>
      <c r="B1026" t="s">
        <v>8445</v>
      </c>
      <c r="C1026">
        <v>2024</v>
      </c>
      <c r="D1026" s="18">
        <v>45354</v>
      </c>
      <c r="E1026" s="18">
        <v>45718</v>
      </c>
      <c r="F1026" s="18" t="s">
        <v>611</v>
      </c>
      <c r="G1026" t="s">
        <v>99</v>
      </c>
      <c r="H1026">
        <v>1</v>
      </c>
      <c r="I1026">
        <v>2</v>
      </c>
      <c r="J1026" s="27">
        <v>25775.62</v>
      </c>
      <c r="K1026" s="27">
        <v>3000000</v>
      </c>
    </row>
    <row r="1027" spans="1:11" ht="15" customHeight="1" x14ac:dyDescent="0.2">
      <c r="A1027" t="s">
        <v>8446</v>
      </c>
      <c r="B1027" t="s">
        <v>8447</v>
      </c>
      <c r="C1027">
        <v>2024</v>
      </c>
      <c r="D1027" s="18">
        <v>45354</v>
      </c>
      <c r="E1027" s="18">
        <v>45718</v>
      </c>
      <c r="F1027" s="18" t="s">
        <v>611</v>
      </c>
      <c r="G1027" t="s">
        <v>102</v>
      </c>
      <c r="H1027">
        <v>1</v>
      </c>
      <c r="I1027">
        <v>2</v>
      </c>
      <c r="J1027" s="27">
        <v>4610.3</v>
      </c>
      <c r="K1027" s="27">
        <v>500000</v>
      </c>
    </row>
    <row r="1028" spans="1:11" ht="15" customHeight="1" x14ac:dyDescent="0.2">
      <c r="A1028" t="s">
        <v>8448</v>
      </c>
      <c r="B1028" t="s">
        <v>8449</v>
      </c>
      <c r="C1028">
        <v>2024</v>
      </c>
      <c r="D1028" s="18">
        <v>45354</v>
      </c>
      <c r="E1028" s="18">
        <v>45718</v>
      </c>
      <c r="F1028" s="18" t="s">
        <v>611</v>
      </c>
      <c r="G1028" t="s">
        <v>101</v>
      </c>
      <c r="H1028">
        <v>1</v>
      </c>
      <c r="I1028">
        <v>2</v>
      </c>
      <c r="J1028" s="27">
        <v>33625.46</v>
      </c>
      <c r="K1028" s="27">
        <v>2000000</v>
      </c>
    </row>
    <row r="1029" spans="1:11" ht="15" customHeight="1" x14ac:dyDescent="0.2">
      <c r="A1029" t="s">
        <v>8450</v>
      </c>
      <c r="B1029" t="s">
        <v>8451</v>
      </c>
      <c r="C1029">
        <v>2024</v>
      </c>
      <c r="D1029" s="18">
        <v>45354</v>
      </c>
      <c r="E1029" s="18">
        <v>45718</v>
      </c>
      <c r="F1029" s="18" t="s">
        <v>611</v>
      </c>
      <c r="G1029" t="s">
        <v>99</v>
      </c>
      <c r="H1029">
        <v>1</v>
      </c>
      <c r="I1029">
        <v>2</v>
      </c>
      <c r="J1029" s="27">
        <v>23149.79</v>
      </c>
      <c r="K1029" s="27">
        <v>3000000</v>
      </c>
    </row>
    <row r="1030" spans="1:11" ht="15" customHeight="1" x14ac:dyDescent="0.2">
      <c r="A1030" t="s">
        <v>8452</v>
      </c>
      <c r="B1030" t="s">
        <v>8453</v>
      </c>
      <c r="C1030">
        <v>2024</v>
      </c>
      <c r="D1030" s="18">
        <v>45355</v>
      </c>
      <c r="E1030" s="18">
        <v>45719</v>
      </c>
      <c r="F1030" s="18" t="s">
        <v>608</v>
      </c>
      <c r="G1030" t="s">
        <v>100</v>
      </c>
      <c r="H1030">
        <v>2</v>
      </c>
      <c r="I1030">
        <v>2</v>
      </c>
      <c r="J1030" s="27">
        <v>24501.88</v>
      </c>
      <c r="K1030" s="27">
        <v>2000000</v>
      </c>
    </row>
    <row r="1031" spans="1:11" ht="15" customHeight="1" x14ac:dyDescent="0.2">
      <c r="A1031" t="s">
        <v>8454</v>
      </c>
      <c r="B1031" t="s">
        <v>8455</v>
      </c>
      <c r="C1031">
        <v>2024</v>
      </c>
      <c r="D1031" s="18">
        <v>45355</v>
      </c>
      <c r="E1031" s="18">
        <v>45719</v>
      </c>
      <c r="F1031" s="18" t="s">
        <v>611</v>
      </c>
      <c r="G1031" t="s">
        <v>100</v>
      </c>
      <c r="H1031">
        <v>2</v>
      </c>
      <c r="I1031">
        <v>2</v>
      </c>
      <c r="J1031" s="27">
        <v>119593.60000000001</v>
      </c>
      <c r="K1031" s="27">
        <v>10000000</v>
      </c>
    </row>
    <row r="1032" spans="1:11" ht="15" customHeight="1" x14ac:dyDescent="0.2">
      <c r="A1032" t="s">
        <v>8456</v>
      </c>
      <c r="B1032" t="s">
        <v>8457</v>
      </c>
      <c r="C1032">
        <v>2024</v>
      </c>
      <c r="D1032" s="18">
        <v>45355</v>
      </c>
      <c r="E1032" s="18">
        <v>45719</v>
      </c>
      <c r="F1032" s="18" t="s">
        <v>611</v>
      </c>
      <c r="G1032" t="s">
        <v>102</v>
      </c>
      <c r="H1032">
        <v>2</v>
      </c>
      <c r="I1032">
        <v>4</v>
      </c>
      <c r="J1032" s="27">
        <v>32131.9</v>
      </c>
      <c r="K1032" s="27">
        <v>3500000</v>
      </c>
    </row>
    <row r="1033" spans="1:11" ht="15" customHeight="1" x14ac:dyDescent="0.2">
      <c r="A1033" t="s">
        <v>8458</v>
      </c>
      <c r="B1033" t="s">
        <v>8459</v>
      </c>
      <c r="C1033">
        <v>2024</v>
      </c>
      <c r="D1033" s="18">
        <v>45355</v>
      </c>
      <c r="E1033" s="18">
        <v>45719</v>
      </c>
      <c r="F1033" s="18" t="s">
        <v>611</v>
      </c>
      <c r="G1033" t="s">
        <v>102</v>
      </c>
      <c r="H1033">
        <v>1</v>
      </c>
      <c r="I1033">
        <v>1</v>
      </c>
      <c r="J1033" s="27">
        <v>24831.59</v>
      </c>
      <c r="K1033" s="27">
        <v>3000000</v>
      </c>
    </row>
    <row r="1034" spans="1:11" ht="15" customHeight="1" x14ac:dyDescent="0.2">
      <c r="A1034" t="s">
        <v>8460</v>
      </c>
      <c r="B1034" t="s">
        <v>8461</v>
      </c>
      <c r="C1034">
        <v>2024</v>
      </c>
      <c r="D1034" s="18">
        <v>45355</v>
      </c>
      <c r="E1034" s="18">
        <v>45719</v>
      </c>
      <c r="F1034" s="18" t="s">
        <v>611</v>
      </c>
      <c r="G1034" t="s">
        <v>99</v>
      </c>
      <c r="H1034">
        <v>1</v>
      </c>
      <c r="I1034">
        <v>2</v>
      </c>
      <c r="J1034" s="27">
        <v>16493.91</v>
      </c>
      <c r="K1034" s="27">
        <v>2000000</v>
      </c>
    </row>
    <row r="1035" spans="1:11" ht="15" customHeight="1" x14ac:dyDescent="0.2">
      <c r="A1035" t="s">
        <v>8462</v>
      </c>
      <c r="B1035" t="s">
        <v>8463</v>
      </c>
      <c r="C1035">
        <v>2024</v>
      </c>
      <c r="D1035" s="18">
        <v>45355</v>
      </c>
      <c r="E1035" s="18">
        <v>45719</v>
      </c>
      <c r="F1035" s="18" t="s">
        <v>611</v>
      </c>
      <c r="G1035" t="s">
        <v>102</v>
      </c>
      <c r="H1035">
        <v>2</v>
      </c>
      <c r="I1035">
        <v>2</v>
      </c>
      <c r="J1035" s="27">
        <v>86876.41</v>
      </c>
      <c r="K1035" s="27">
        <v>10000000</v>
      </c>
    </row>
    <row r="1036" spans="1:11" ht="15" customHeight="1" x14ac:dyDescent="0.2">
      <c r="A1036" t="s">
        <v>8464</v>
      </c>
      <c r="B1036" t="s">
        <v>8465</v>
      </c>
      <c r="C1036">
        <v>2024</v>
      </c>
      <c r="D1036" s="18">
        <v>45355</v>
      </c>
      <c r="E1036" s="18">
        <v>45719</v>
      </c>
      <c r="F1036" s="18" t="s">
        <v>611</v>
      </c>
      <c r="G1036" t="s">
        <v>99</v>
      </c>
      <c r="H1036">
        <v>1</v>
      </c>
      <c r="I1036">
        <v>2</v>
      </c>
      <c r="J1036" s="27">
        <v>33164.86</v>
      </c>
      <c r="K1036" s="27">
        <v>4500000</v>
      </c>
    </row>
    <row r="1037" spans="1:11" ht="15" customHeight="1" x14ac:dyDescent="0.2">
      <c r="A1037" t="s">
        <v>8466</v>
      </c>
      <c r="B1037" t="s">
        <v>8467</v>
      </c>
      <c r="C1037">
        <v>2024</v>
      </c>
      <c r="D1037" s="18">
        <v>45356</v>
      </c>
      <c r="E1037" s="18">
        <v>45720</v>
      </c>
      <c r="F1037" s="18" t="s">
        <v>608</v>
      </c>
      <c r="G1037" t="s">
        <v>100</v>
      </c>
      <c r="H1037">
        <v>3</v>
      </c>
      <c r="I1037">
        <v>3</v>
      </c>
      <c r="J1037" s="27">
        <v>127161.71</v>
      </c>
      <c r="K1037" s="27">
        <v>10000000</v>
      </c>
    </row>
    <row r="1038" spans="1:11" ht="15" customHeight="1" x14ac:dyDescent="0.2">
      <c r="A1038" t="s">
        <v>8468</v>
      </c>
      <c r="B1038" t="s">
        <v>8469</v>
      </c>
      <c r="C1038">
        <v>2024</v>
      </c>
      <c r="D1038" s="18">
        <v>45356</v>
      </c>
      <c r="E1038" s="18">
        <v>45720</v>
      </c>
      <c r="F1038" s="18" t="s">
        <v>608</v>
      </c>
      <c r="G1038" t="s">
        <v>100</v>
      </c>
      <c r="H1038">
        <v>2</v>
      </c>
      <c r="I1038">
        <v>4</v>
      </c>
      <c r="J1038" s="27">
        <v>66025.42</v>
      </c>
      <c r="K1038" s="27">
        <v>5000000</v>
      </c>
    </row>
    <row r="1039" spans="1:11" ht="15" customHeight="1" x14ac:dyDescent="0.2">
      <c r="A1039" t="s">
        <v>8470</v>
      </c>
      <c r="B1039" t="s">
        <v>8471</v>
      </c>
      <c r="C1039">
        <v>2024</v>
      </c>
      <c r="D1039" s="18">
        <v>45356</v>
      </c>
      <c r="E1039" s="18">
        <v>45720</v>
      </c>
      <c r="F1039" s="18" t="s">
        <v>608</v>
      </c>
      <c r="G1039" t="s">
        <v>100</v>
      </c>
      <c r="H1039">
        <v>3</v>
      </c>
      <c r="I1039">
        <v>3</v>
      </c>
      <c r="J1039" s="27">
        <v>13232.06</v>
      </c>
      <c r="K1039" s="27">
        <v>1000000</v>
      </c>
    </row>
    <row r="1040" spans="1:11" ht="15" customHeight="1" x14ac:dyDescent="0.2">
      <c r="A1040" t="s">
        <v>8472</v>
      </c>
      <c r="B1040" t="s">
        <v>8473</v>
      </c>
      <c r="C1040">
        <v>2024</v>
      </c>
      <c r="D1040" s="18">
        <v>45356</v>
      </c>
      <c r="E1040" s="18">
        <v>45720</v>
      </c>
      <c r="F1040" s="18" t="s">
        <v>608</v>
      </c>
      <c r="G1040" t="s">
        <v>101</v>
      </c>
      <c r="H1040">
        <v>2</v>
      </c>
      <c r="I1040">
        <v>2</v>
      </c>
      <c r="J1040" s="27">
        <v>35489.26</v>
      </c>
      <c r="K1040" s="27">
        <v>2000000</v>
      </c>
    </row>
    <row r="1041" spans="1:11" ht="15" customHeight="1" x14ac:dyDescent="0.2">
      <c r="A1041" t="s">
        <v>8474</v>
      </c>
      <c r="B1041" t="s">
        <v>8475</v>
      </c>
      <c r="C1041">
        <v>2024</v>
      </c>
      <c r="D1041" s="18">
        <v>45356</v>
      </c>
      <c r="E1041" s="18">
        <v>45720</v>
      </c>
      <c r="F1041" s="18" t="s">
        <v>608</v>
      </c>
      <c r="G1041" t="s">
        <v>99</v>
      </c>
      <c r="H1041">
        <v>2</v>
      </c>
      <c r="I1041">
        <v>2</v>
      </c>
      <c r="J1041" s="27">
        <v>7783.61</v>
      </c>
      <c r="K1041" s="27">
        <v>1000000</v>
      </c>
    </row>
    <row r="1042" spans="1:11" ht="15" customHeight="1" x14ac:dyDescent="0.2">
      <c r="A1042" t="s">
        <v>8476</v>
      </c>
      <c r="B1042" t="s">
        <v>8477</v>
      </c>
      <c r="C1042">
        <v>2024</v>
      </c>
      <c r="D1042" s="18">
        <v>45356</v>
      </c>
      <c r="E1042" s="18">
        <v>45720</v>
      </c>
      <c r="F1042" s="18" t="s">
        <v>611</v>
      </c>
      <c r="G1042" t="s">
        <v>100</v>
      </c>
      <c r="H1042">
        <v>1</v>
      </c>
      <c r="I1042">
        <v>1</v>
      </c>
      <c r="J1042" s="27">
        <v>12960.21</v>
      </c>
      <c r="K1042" s="27">
        <v>1000000</v>
      </c>
    </row>
    <row r="1043" spans="1:11" ht="15" customHeight="1" x14ac:dyDescent="0.2">
      <c r="A1043" t="s">
        <v>8478</v>
      </c>
      <c r="B1043" t="s">
        <v>8479</v>
      </c>
      <c r="C1043">
        <v>2024</v>
      </c>
      <c r="D1043" s="18">
        <v>45356</v>
      </c>
      <c r="E1043" s="18">
        <v>45720</v>
      </c>
      <c r="F1043" s="18" t="s">
        <v>611</v>
      </c>
      <c r="G1043" t="s">
        <v>100</v>
      </c>
      <c r="H1043">
        <v>3</v>
      </c>
      <c r="I1043">
        <v>3</v>
      </c>
      <c r="J1043" s="27">
        <v>30460.86</v>
      </c>
      <c r="K1043" s="27">
        <v>2500000</v>
      </c>
    </row>
    <row r="1044" spans="1:11" ht="15" customHeight="1" x14ac:dyDescent="0.2">
      <c r="A1044" t="s">
        <v>8480</v>
      </c>
      <c r="B1044" t="s">
        <v>8481</v>
      </c>
      <c r="C1044">
        <v>2024</v>
      </c>
      <c r="D1044" s="18">
        <v>45356</v>
      </c>
      <c r="E1044" s="18">
        <v>45720</v>
      </c>
      <c r="F1044" s="18" t="s">
        <v>611</v>
      </c>
      <c r="G1044" t="s">
        <v>100</v>
      </c>
      <c r="H1044">
        <v>2</v>
      </c>
      <c r="I1044">
        <v>4</v>
      </c>
      <c r="J1044" s="27">
        <v>37112.050000000003</v>
      </c>
      <c r="K1044" s="27">
        <v>3000000</v>
      </c>
    </row>
    <row r="1045" spans="1:11" ht="15" customHeight="1" x14ac:dyDescent="0.2">
      <c r="A1045" t="s">
        <v>8482</v>
      </c>
      <c r="B1045" t="s">
        <v>8483</v>
      </c>
      <c r="C1045">
        <v>2024</v>
      </c>
      <c r="D1045" s="18">
        <v>45356</v>
      </c>
      <c r="E1045" s="18">
        <v>45720</v>
      </c>
      <c r="F1045" s="18" t="s">
        <v>611</v>
      </c>
      <c r="G1045" t="s">
        <v>101</v>
      </c>
      <c r="H1045">
        <v>1</v>
      </c>
      <c r="I1045">
        <v>1</v>
      </c>
      <c r="J1045" s="27">
        <v>73793.72</v>
      </c>
      <c r="K1045" s="27">
        <v>4000000</v>
      </c>
    </row>
    <row r="1046" spans="1:11" ht="15" customHeight="1" x14ac:dyDescent="0.2">
      <c r="A1046" t="s">
        <v>8484</v>
      </c>
      <c r="B1046" t="s">
        <v>8485</v>
      </c>
      <c r="C1046">
        <v>2024</v>
      </c>
      <c r="D1046" s="18">
        <v>45356</v>
      </c>
      <c r="E1046" s="18">
        <v>45720</v>
      </c>
      <c r="F1046" s="18" t="s">
        <v>611</v>
      </c>
      <c r="G1046" t="s">
        <v>99</v>
      </c>
      <c r="H1046">
        <v>1</v>
      </c>
      <c r="I1046">
        <v>1</v>
      </c>
      <c r="J1046" s="27">
        <v>27239.15</v>
      </c>
      <c r="K1046" s="27">
        <v>3500000</v>
      </c>
    </row>
    <row r="1047" spans="1:11" ht="15" customHeight="1" x14ac:dyDescent="0.2">
      <c r="A1047" t="s">
        <v>8486</v>
      </c>
      <c r="B1047" t="s">
        <v>8487</v>
      </c>
      <c r="C1047">
        <v>2024</v>
      </c>
      <c r="D1047" s="18">
        <v>45356</v>
      </c>
      <c r="E1047" s="18">
        <v>45720</v>
      </c>
      <c r="F1047" s="18" t="s">
        <v>611</v>
      </c>
      <c r="G1047" t="s">
        <v>99</v>
      </c>
      <c r="H1047">
        <v>2</v>
      </c>
      <c r="I1047">
        <v>2</v>
      </c>
      <c r="J1047" s="27">
        <v>35564.61</v>
      </c>
      <c r="K1047" s="27">
        <v>4000000</v>
      </c>
    </row>
    <row r="1048" spans="1:11" ht="15" customHeight="1" x14ac:dyDescent="0.2">
      <c r="A1048" t="s">
        <v>8488</v>
      </c>
      <c r="B1048" t="s">
        <v>8489</v>
      </c>
      <c r="C1048">
        <v>2024</v>
      </c>
      <c r="D1048" s="18">
        <v>45357</v>
      </c>
      <c r="E1048" s="18">
        <v>45721</v>
      </c>
      <c r="F1048" s="18" t="s">
        <v>608</v>
      </c>
      <c r="G1048" t="s">
        <v>99</v>
      </c>
      <c r="H1048">
        <v>2</v>
      </c>
      <c r="I1048">
        <v>4</v>
      </c>
      <c r="J1048" s="27">
        <v>19728.3</v>
      </c>
      <c r="K1048" s="27">
        <v>2500000</v>
      </c>
    </row>
    <row r="1049" spans="1:11" ht="15" customHeight="1" x14ac:dyDescent="0.2">
      <c r="A1049" t="s">
        <v>8490</v>
      </c>
      <c r="B1049" t="s">
        <v>8491</v>
      </c>
      <c r="C1049">
        <v>2024</v>
      </c>
      <c r="D1049" s="18">
        <v>45357</v>
      </c>
      <c r="E1049" s="18">
        <v>45721</v>
      </c>
      <c r="F1049" s="18" t="s">
        <v>608</v>
      </c>
      <c r="G1049" t="s">
        <v>101</v>
      </c>
      <c r="H1049">
        <v>2</v>
      </c>
      <c r="I1049">
        <v>2</v>
      </c>
      <c r="J1049" s="27">
        <v>67218.759999999995</v>
      </c>
      <c r="K1049" s="27">
        <v>4000000</v>
      </c>
    </row>
    <row r="1050" spans="1:11" ht="15" customHeight="1" x14ac:dyDescent="0.2">
      <c r="A1050" t="s">
        <v>8492</v>
      </c>
      <c r="B1050" t="s">
        <v>8493</v>
      </c>
      <c r="C1050">
        <v>2024</v>
      </c>
      <c r="D1050" s="18">
        <v>45357</v>
      </c>
      <c r="E1050" s="18">
        <v>45721</v>
      </c>
      <c r="F1050" s="18" t="s">
        <v>611</v>
      </c>
      <c r="G1050" t="s">
        <v>102</v>
      </c>
      <c r="H1050">
        <v>3</v>
      </c>
      <c r="I1050">
        <v>6</v>
      </c>
      <c r="J1050" s="27">
        <v>37449.54</v>
      </c>
      <c r="K1050" s="27">
        <v>4000000</v>
      </c>
    </row>
    <row r="1051" spans="1:11" ht="15" customHeight="1" x14ac:dyDescent="0.2">
      <c r="A1051" t="s">
        <v>8494</v>
      </c>
      <c r="B1051" t="s">
        <v>8495</v>
      </c>
      <c r="C1051">
        <v>2024</v>
      </c>
      <c r="D1051" s="18">
        <v>45357</v>
      </c>
      <c r="E1051" s="18">
        <v>45721</v>
      </c>
      <c r="F1051" s="18" t="s">
        <v>611</v>
      </c>
      <c r="G1051" t="s">
        <v>99</v>
      </c>
      <c r="H1051">
        <v>3</v>
      </c>
      <c r="I1051">
        <v>3</v>
      </c>
      <c r="J1051" s="27">
        <v>32951.08</v>
      </c>
      <c r="K1051" s="27">
        <v>4000000</v>
      </c>
    </row>
    <row r="1052" spans="1:11" ht="15" customHeight="1" x14ac:dyDescent="0.2">
      <c r="A1052" t="s">
        <v>8496</v>
      </c>
      <c r="B1052" t="s">
        <v>8497</v>
      </c>
      <c r="C1052">
        <v>2024</v>
      </c>
      <c r="D1052" s="18">
        <v>45357</v>
      </c>
      <c r="E1052" s="18">
        <v>45721</v>
      </c>
      <c r="F1052" s="18" t="s">
        <v>611</v>
      </c>
      <c r="G1052" t="s">
        <v>100</v>
      </c>
      <c r="H1052">
        <v>1</v>
      </c>
      <c r="I1052">
        <v>1</v>
      </c>
      <c r="J1052" s="27">
        <v>19523.849999999999</v>
      </c>
      <c r="K1052" s="27">
        <v>1500000</v>
      </c>
    </row>
    <row r="1053" spans="1:11" ht="15" customHeight="1" x14ac:dyDescent="0.2">
      <c r="A1053" t="s">
        <v>8498</v>
      </c>
      <c r="B1053" t="s">
        <v>8499</v>
      </c>
      <c r="C1053">
        <v>2024</v>
      </c>
      <c r="D1053" s="18">
        <v>45357</v>
      </c>
      <c r="E1053" s="18">
        <v>45721</v>
      </c>
      <c r="F1053" s="18" t="s">
        <v>611</v>
      </c>
      <c r="G1053" t="s">
        <v>101</v>
      </c>
      <c r="H1053">
        <v>1</v>
      </c>
      <c r="I1053">
        <v>2</v>
      </c>
      <c r="J1053" s="27">
        <v>81834.83</v>
      </c>
      <c r="K1053" s="27">
        <v>4500000</v>
      </c>
    </row>
    <row r="1054" spans="1:11" ht="15" customHeight="1" x14ac:dyDescent="0.2">
      <c r="A1054" t="s">
        <v>8500</v>
      </c>
      <c r="B1054" t="s">
        <v>8501</v>
      </c>
      <c r="C1054">
        <v>2024</v>
      </c>
      <c r="D1054" s="18">
        <v>45357</v>
      </c>
      <c r="E1054" s="18">
        <v>45721</v>
      </c>
      <c r="F1054" s="18" t="s">
        <v>611</v>
      </c>
      <c r="G1054" t="s">
        <v>99</v>
      </c>
      <c r="H1054">
        <v>1</v>
      </c>
      <c r="I1054">
        <v>1</v>
      </c>
      <c r="J1054" s="27">
        <v>15763.43</v>
      </c>
      <c r="K1054" s="27">
        <v>2000000</v>
      </c>
    </row>
    <row r="1055" spans="1:11" ht="15" customHeight="1" x14ac:dyDescent="0.2">
      <c r="A1055" t="s">
        <v>8502</v>
      </c>
      <c r="B1055" t="s">
        <v>8503</v>
      </c>
      <c r="C1055">
        <v>2024</v>
      </c>
      <c r="D1055" s="18">
        <v>45357</v>
      </c>
      <c r="E1055" s="18">
        <v>45721</v>
      </c>
      <c r="F1055" s="18" t="s">
        <v>611</v>
      </c>
      <c r="G1055" t="s">
        <v>100</v>
      </c>
      <c r="H1055">
        <v>1</v>
      </c>
      <c r="I1055">
        <v>1</v>
      </c>
      <c r="J1055" s="27">
        <v>28370.22</v>
      </c>
      <c r="K1055" s="27">
        <v>2000000</v>
      </c>
    </row>
    <row r="1056" spans="1:11" ht="15" customHeight="1" x14ac:dyDescent="0.2">
      <c r="A1056" t="s">
        <v>8504</v>
      </c>
      <c r="B1056" t="s">
        <v>8505</v>
      </c>
      <c r="C1056">
        <v>2024</v>
      </c>
      <c r="D1056" s="18">
        <v>45357</v>
      </c>
      <c r="E1056" s="18">
        <v>45721</v>
      </c>
      <c r="F1056" s="18" t="s">
        <v>611</v>
      </c>
      <c r="G1056" t="s">
        <v>100</v>
      </c>
      <c r="H1056">
        <v>1</v>
      </c>
      <c r="I1056">
        <v>2</v>
      </c>
      <c r="J1056" s="27">
        <v>26257.17</v>
      </c>
      <c r="K1056" s="27">
        <v>2000000</v>
      </c>
    </row>
    <row r="1057" spans="1:11" ht="15" customHeight="1" x14ac:dyDescent="0.2">
      <c r="A1057" t="s">
        <v>8506</v>
      </c>
      <c r="B1057" t="s">
        <v>8507</v>
      </c>
      <c r="C1057">
        <v>2024</v>
      </c>
      <c r="D1057" s="18">
        <v>45357</v>
      </c>
      <c r="E1057" s="18">
        <v>45721</v>
      </c>
      <c r="F1057" s="18" t="s">
        <v>611</v>
      </c>
      <c r="G1057" t="s">
        <v>101</v>
      </c>
      <c r="H1057">
        <v>2</v>
      </c>
      <c r="I1057">
        <v>4</v>
      </c>
      <c r="J1057" s="27">
        <v>42804.18</v>
      </c>
      <c r="K1057" s="27">
        <v>2500000</v>
      </c>
    </row>
    <row r="1058" spans="1:11" ht="15" customHeight="1" x14ac:dyDescent="0.2">
      <c r="A1058" t="s">
        <v>8508</v>
      </c>
      <c r="B1058" t="s">
        <v>8509</v>
      </c>
      <c r="C1058">
        <v>2024</v>
      </c>
      <c r="D1058" s="18">
        <v>45357</v>
      </c>
      <c r="E1058" s="18">
        <v>45721</v>
      </c>
      <c r="F1058" s="18" t="s">
        <v>611</v>
      </c>
      <c r="G1058" t="s">
        <v>100</v>
      </c>
      <c r="H1058">
        <v>2</v>
      </c>
      <c r="I1058">
        <v>4</v>
      </c>
      <c r="J1058" s="27">
        <v>43799.55</v>
      </c>
      <c r="K1058" s="27">
        <v>3500000</v>
      </c>
    </row>
    <row r="1059" spans="1:11" ht="15" customHeight="1" x14ac:dyDescent="0.2">
      <c r="A1059" t="s">
        <v>8510</v>
      </c>
      <c r="B1059" t="s">
        <v>8511</v>
      </c>
      <c r="C1059">
        <v>2024</v>
      </c>
      <c r="D1059" s="18">
        <v>45357</v>
      </c>
      <c r="E1059" s="18">
        <v>45721</v>
      </c>
      <c r="F1059" s="18" t="s">
        <v>611</v>
      </c>
      <c r="G1059" t="s">
        <v>100</v>
      </c>
      <c r="H1059">
        <v>1</v>
      </c>
      <c r="I1059">
        <v>2</v>
      </c>
      <c r="J1059" s="27">
        <v>24328.6</v>
      </c>
      <c r="K1059" s="27">
        <v>2000000</v>
      </c>
    </row>
    <row r="1060" spans="1:11" ht="15" customHeight="1" x14ac:dyDescent="0.2">
      <c r="A1060" t="s">
        <v>8512</v>
      </c>
      <c r="B1060" t="s">
        <v>8513</v>
      </c>
      <c r="C1060">
        <v>2024</v>
      </c>
      <c r="D1060" s="18">
        <v>45358</v>
      </c>
      <c r="E1060" s="18">
        <v>45722</v>
      </c>
      <c r="F1060" s="18" t="s">
        <v>608</v>
      </c>
      <c r="G1060" t="s">
        <v>101</v>
      </c>
      <c r="H1060">
        <v>2</v>
      </c>
      <c r="I1060">
        <v>2</v>
      </c>
      <c r="J1060" s="27">
        <v>18262.240000000002</v>
      </c>
      <c r="K1060" s="27">
        <v>1000000</v>
      </c>
    </row>
    <row r="1061" spans="1:11" ht="15" customHeight="1" x14ac:dyDescent="0.2">
      <c r="A1061" t="s">
        <v>8514</v>
      </c>
      <c r="B1061" t="s">
        <v>8515</v>
      </c>
      <c r="C1061">
        <v>2024</v>
      </c>
      <c r="D1061" s="18">
        <v>45358</v>
      </c>
      <c r="E1061" s="18">
        <v>45722</v>
      </c>
      <c r="F1061" s="18" t="s">
        <v>608</v>
      </c>
      <c r="G1061" t="s">
        <v>101</v>
      </c>
      <c r="H1061">
        <v>1</v>
      </c>
      <c r="I1061">
        <v>2</v>
      </c>
      <c r="J1061" s="27">
        <v>47288.67</v>
      </c>
      <c r="K1061" s="27">
        <v>2500000</v>
      </c>
    </row>
    <row r="1062" spans="1:11" ht="15" customHeight="1" x14ac:dyDescent="0.2">
      <c r="A1062" t="s">
        <v>8516</v>
      </c>
      <c r="B1062" t="s">
        <v>8517</v>
      </c>
      <c r="C1062">
        <v>2024</v>
      </c>
      <c r="D1062" s="18">
        <v>45358</v>
      </c>
      <c r="E1062" s="18">
        <v>45722</v>
      </c>
      <c r="F1062" s="18" t="s">
        <v>608</v>
      </c>
      <c r="G1062" t="s">
        <v>102</v>
      </c>
      <c r="H1062">
        <v>2</v>
      </c>
      <c r="I1062">
        <v>2</v>
      </c>
      <c r="J1062" s="27">
        <v>8017.69</v>
      </c>
      <c r="K1062" s="27">
        <v>1000000</v>
      </c>
    </row>
    <row r="1063" spans="1:11" ht="15" customHeight="1" x14ac:dyDescent="0.2">
      <c r="A1063" t="s">
        <v>8518</v>
      </c>
      <c r="B1063" t="s">
        <v>8519</v>
      </c>
      <c r="C1063">
        <v>2024</v>
      </c>
      <c r="D1063" s="18">
        <v>45358</v>
      </c>
      <c r="E1063" s="18">
        <v>45722</v>
      </c>
      <c r="F1063" s="18" t="s">
        <v>611</v>
      </c>
      <c r="G1063" t="s">
        <v>99</v>
      </c>
      <c r="H1063">
        <v>1</v>
      </c>
      <c r="I1063">
        <v>1</v>
      </c>
      <c r="J1063" s="27">
        <v>17088.14</v>
      </c>
      <c r="K1063" s="27">
        <v>2000000</v>
      </c>
    </row>
    <row r="1064" spans="1:11" ht="15" customHeight="1" x14ac:dyDescent="0.2">
      <c r="A1064" t="s">
        <v>8520</v>
      </c>
      <c r="B1064" t="s">
        <v>8521</v>
      </c>
      <c r="C1064">
        <v>2024</v>
      </c>
      <c r="D1064" s="18">
        <v>45358</v>
      </c>
      <c r="E1064" s="18">
        <v>45722</v>
      </c>
      <c r="F1064" s="18" t="s">
        <v>611</v>
      </c>
      <c r="G1064" t="s">
        <v>101</v>
      </c>
      <c r="H1064">
        <v>2</v>
      </c>
      <c r="I1064">
        <v>4</v>
      </c>
      <c r="J1064" s="27">
        <v>191025.4</v>
      </c>
      <c r="K1064" s="27">
        <v>10000000</v>
      </c>
    </row>
    <row r="1065" spans="1:11" ht="15" customHeight="1" x14ac:dyDescent="0.2">
      <c r="A1065" t="s">
        <v>8522</v>
      </c>
      <c r="B1065" t="s">
        <v>8523</v>
      </c>
      <c r="C1065">
        <v>2024</v>
      </c>
      <c r="D1065" s="18">
        <v>45358</v>
      </c>
      <c r="E1065" s="18">
        <v>45722</v>
      </c>
      <c r="F1065" s="18" t="s">
        <v>611</v>
      </c>
      <c r="G1065" t="s">
        <v>100</v>
      </c>
      <c r="H1065">
        <v>2</v>
      </c>
      <c r="I1065">
        <v>4</v>
      </c>
      <c r="J1065" s="27">
        <v>35215.24</v>
      </c>
      <c r="K1065" s="27">
        <v>3000000</v>
      </c>
    </row>
    <row r="1066" spans="1:11" ht="15" customHeight="1" x14ac:dyDescent="0.2">
      <c r="A1066" t="s">
        <v>8524</v>
      </c>
      <c r="B1066" t="s">
        <v>8525</v>
      </c>
      <c r="C1066">
        <v>2024</v>
      </c>
      <c r="D1066" s="18">
        <v>45358</v>
      </c>
      <c r="E1066" s="18">
        <v>45722</v>
      </c>
      <c r="F1066" s="18" t="s">
        <v>611</v>
      </c>
      <c r="G1066" t="s">
        <v>101</v>
      </c>
      <c r="H1066">
        <v>3</v>
      </c>
      <c r="I1066">
        <v>6</v>
      </c>
      <c r="J1066" s="27">
        <v>169250.99</v>
      </c>
      <c r="K1066" s="27">
        <v>10000000</v>
      </c>
    </row>
    <row r="1067" spans="1:11" ht="15" customHeight="1" x14ac:dyDescent="0.2">
      <c r="A1067" t="s">
        <v>8526</v>
      </c>
      <c r="B1067" t="s">
        <v>8527</v>
      </c>
      <c r="C1067">
        <v>2024</v>
      </c>
      <c r="D1067" s="18">
        <v>45358</v>
      </c>
      <c r="E1067" s="18">
        <v>45722</v>
      </c>
      <c r="F1067" s="18" t="s">
        <v>611</v>
      </c>
      <c r="G1067" t="s">
        <v>101</v>
      </c>
      <c r="H1067">
        <v>2</v>
      </c>
      <c r="I1067">
        <v>2</v>
      </c>
      <c r="J1067" s="27">
        <v>92122.79</v>
      </c>
      <c r="K1067" s="27">
        <v>5000000</v>
      </c>
    </row>
    <row r="1068" spans="1:11" ht="15" customHeight="1" x14ac:dyDescent="0.2">
      <c r="A1068" t="s">
        <v>8528</v>
      </c>
      <c r="B1068" t="s">
        <v>8529</v>
      </c>
      <c r="C1068">
        <v>2024</v>
      </c>
      <c r="D1068" s="18">
        <v>45358</v>
      </c>
      <c r="E1068" s="18">
        <v>45722</v>
      </c>
      <c r="F1068" s="18" t="s">
        <v>611</v>
      </c>
      <c r="G1068" t="s">
        <v>102</v>
      </c>
      <c r="H1068">
        <v>2</v>
      </c>
      <c r="I1068">
        <v>2</v>
      </c>
      <c r="J1068" s="27">
        <v>4223.05</v>
      </c>
      <c r="K1068" s="27">
        <v>500000</v>
      </c>
    </row>
    <row r="1069" spans="1:11" ht="15" customHeight="1" x14ac:dyDescent="0.2">
      <c r="A1069" t="s">
        <v>8530</v>
      </c>
      <c r="B1069" t="s">
        <v>8531</v>
      </c>
      <c r="C1069">
        <v>2024</v>
      </c>
      <c r="D1069" s="18">
        <v>45358</v>
      </c>
      <c r="E1069" s="18">
        <v>45722</v>
      </c>
      <c r="F1069" s="18" t="s">
        <v>611</v>
      </c>
      <c r="G1069" t="s">
        <v>101</v>
      </c>
      <c r="H1069">
        <v>3</v>
      </c>
      <c r="I1069">
        <v>3</v>
      </c>
      <c r="J1069" s="27">
        <v>42945.27</v>
      </c>
      <c r="K1069" s="27">
        <v>2500000</v>
      </c>
    </row>
    <row r="1070" spans="1:11" ht="15" customHeight="1" x14ac:dyDescent="0.2">
      <c r="A1070" t="s">
        <v>8532</v>
      </c>
      <c r="B1070" t="s">
        <v>8533</v>
      </c>
      <c r="C1070">
        <v>2024</v>
      </c>
      <c r="D1070" s="18">
        <v>45358</v>
      </c>
      <c r="E1070" s="18">
        <v>45722</v>
      </c>
      <c r="F1070" s="18" t="s">
        <v>611</v>
      </c>
      <c r="G1070" t="s">
        <v>99</v>
      </c>
      <c r="H1070">
        <v>1</v>
      </c>
      <c r="I1070">
        <v>1</v>
      </c>
      <c r="J1070" s="27">
        <v>16858.669999999998</v>
      </c>
      <c r="K1070" s="27">
        <v>2000000</v>
      </c>
    </row>
    <row r="1071" spans="1:11" ht="15" customHeight="1" x14ac:dyDescent="0.2">
      <c r="A1071" t="s">
        <v>8534</v>
      </c>
      <c r="B1071" t="s">
        <v>8535</v>
      </c>
      <c r="C1071">
        <v>2024</v>
      </c>
      <c r="D1071" s="18">
        <v>45358</v>
      </c>
      <c r="E1071" s="18">
        <v>45722</v>
      </c>
      <c r="F1071" s="18" t="s">
        <v>611</v>
      </c>
      <c r="G1071" t="s">
        <v>99</v>
      </c>
      <c r="H1071">
        <v>1</v>
      </c>
      <c r="I1071">
        <v>2</v>
      </c>
      <c r="J1071" s="27">
        <v>17565.71</v>
      </c>
      <c r="K1071" s="27">
        <v>2000000</v>
      </c>
    </row>
    <row r="1072" spans="1:11" ht="15" customHeight="1" x14ac:dyDescent="0.2">
      <c r="A1072" t="s">
        <v>8536</v>
      </c>
      <c r="B1072" t="s">
        <v>8537</v>
      </c>
      <c r="C1072">
        <v>2024</v>
      </c>
      <c r="D1072" s="18">
        <v>45359</v>
      </c>
      <c r="E1072" s="18">
        <v>45723</v>
      </c>
      <c r="F1072" s="18" t="s">
        <v>608</v>
      </c>
      <c r="G1072" t="s">
        <v>99</v>
      </c>
      <c r="H1072">
        <v>3</v>
      </c>
      <c r="I1072">
        <v>3</v>
      </c>
      <c r="J1072" s="27">
        <v>7786.09</v>
      </c>
      <c r="K1072" s="27">
        <v>1000000</v>
      </c>
    </row>
    <row r="1073" spans="1:11" ht="15" customHeight="1" x14ac:dyDescent="0.2">
      <c r="A1073" t="s">
        <v>8538</v>
      </c>
      <c r="B1073" t="s">
        <v>8539</v>
      </c>
      <c r="C1073">
        <v>2024</v>
      </c>
      <c r="D1073" s="18">
        <v>45359</v>
      </c>
      <c r="E1073" s="18">
        <v>45723</v>
      </c>
      <c r="F1073" s="18" t="s">
        <v>608</v>
      </c>
      <c r="G1073" t="s">
        <v>99</v>
      </c>
      <c r="H1073">
        <v>1</v>
      </c>
      <c r="I1073">
        <v>1</v>
      </c>
      <c r="J1073" s="27">
        <v>8777.77</v>
      </c>
      <c r="K1073" s="27">
        <v>1000000</v>
      </c>
    </row>
    <row r="1074" spans="1:11" ht="15" customHeight="1" x14ac:dyDescent="0.2">
      <c r="A1074" t="s">
        <v>8540</v>
      </c>
      <c r="B1074" t="s">
        <v>8541</v>
      </c>
      <c r="C1074">
        <v>2024</v>
      </c>
      <c r="D1074" s="18">
        <v>45359</v>
      </c>
      <c r="E1074" s="18">
        <v>45723</v>
      </c>
      <c r="F1074" s="18" t="s">
        <v>608</v>
      </c>
      <c r="G1074" t="s">
        <v>100</v>
      </c>
      <c r="H1074">
        <v>3</v>
      </c>
      <c r="I1074">
        <v>6</v>
      </c>
      <c r="J1074" s="27">
        <v>12819.04</v>
      </c>
      <c r="K1074" s="27">
        <v>1000000</v>
      </c>
    </row>
    <row r="1075" spans="1:11" ht="15" customHeight="1" x14ac:dyDescent="0.2">
      <c r="A1075" t="s">
        <v>8542</v>
      </c>
      <c r="B1075" t="s">
        <v>8543</v>
      </c>
      <c r="C1075">
        <v>2024</v>
      </c>
      <c r="D1075" s="18">
        <v>45359</v>
      </c>
      <c r="E1075" s="18">
        <v>45723</v>
      </c>
      <c r="F1075" s="18" t="s">
        <v>608</v>
      </c>
      <c r="G1075" t="s">
        <v>102</v>
      </c>
      <c r="H1075">
        <v>1</v>
      </c>
      <c r="I1075">
        <v>1</v>
      </c>
      <c r="J1075" s="27">
        <v>18354.41</v>
      </c>
      <c r="K1075" s="27">
        <v>2000000</v>
      </c>
    </row>
    <row r="1076" spans="1:11" ht="15" customHeight="1" x14ac:dyDescent="0.2">
      <c r="A1076" t="s">
        <v>8544</v>
      </c>
      <c r="B1076" t="s">
        <v>8545</v>
      </c>
      <c r="C1076">
        <v>2024</v>
      </c>
      <c r="D1076" s="18">
        <v>45359</v>
      </c>
      <c r="E1076" s="18">
        <v>45723</v>
      </c>
      <c r="F1076" s="18" t="s">
        <v>611</v>
      </c>
      <c r="G1076" t="s">
        <v>99</v>
      </c>
      <c r="H1076">
        <v>2</v>
      </c>
      <c r="I1076">
        <v>4</v>
      </c>
      <c r="J1076" s="27">
        <v>30979.67</v>
      </c>
      <c r="K1076" s="27">
        <v>4000000</v>
      </c>
    </row>
    <row r="1077" spans="1:11" ht="15" customHeight="1" x14ac:dyDescent="0.2">
      <c r="A1077" t="s">
        <v>8546</v>
      </c>
      <c r="B1077" t="s">
        <v>8547</v>
      </c>
      <c r="C1077">
        <v>2024</v>
      </c>
      <c r="D1077" s="18">
        <v>45359</v>
      </c>
      <c r="E1077" s="18">
        <v>45723</v>
      </c>
      <c r="F1077" s="18" t="s">
        <v>611</v>
      </c>
      <c r="G1077" t="s">
        <v>100</v>
      </c>
      <c r="H1077">
        <v>3</v>
      </c>
      <c r="I1077">
        <v>3</v>
      </c>
      <c r="J1077" s="27">
        <v>12910.38</v>
      </c>
      <c r="K1077" s="27">
        <v>1000000</v>
      </c>
    </row>
    <row r="1078" spans="1:11" ht="15" customHeight="1" x14ac:dyDescent="0.2">
      <c r="A1078" t="s">
        <v>8548</v>
      </c>
      <c r="B1078" t="s">
        <v>8549</v>
      </c>
      <c r="C1078">
        <v>2024</v>
      </c>
      <c r="D1078" s="18">
        <v>45359</v>
      </c>
      <c r="E1078" s="18">
        <v>45723</v>
      </c>
      <c r="F1078" s="18" t="s">
        <v>611</v>
      </c>
      <c r="G1078" t="s">
        <v>102</v>
      </c>
      <c r="H1078">
        <v>1</v>
      </c>
      <c r="I1078">
        <v>2</v>
      </c>
      <c r="J1078" s="27">
        <v>23440.99</v>
      </c>
      <c r="K1078" s="27">
        <v>2500000</v>
      </c>
    </row>
    <row r="1079" spans="1:11" ht="15" customHeight="1" x14ac:dyDescent="0.2">
      <c r="A1079" t="s">
        <v>8550</v>
      </c>
      <c r="B1079" t="s">
        <v>8551</v>
      </c>
      <c r="C1079">
        <v>2024</v>
      </c>
      <c r="D1079" s="18">
        <v>45359</v>
      </c>
      <c r="E1079" s="18">
        <v>45723</v>
      </c>
      <c r="F1079" s="18" t="s">
        <v>611</v>
      </c>
      <c r="G1079" t="s">
        <v>99</v>
      </c>
      <c r="H1079">
        <v>2</v>
      </c>
      <c r="I1079">
        <v>2</v>
      </c>
      <c r="J1079" s="27">
        <v>4237.1099999999997</v>
      </c>
      <c r="K1079" s="27">
        <v>500000</v>
      </c>
    </row>
    <row r="1080" spans="1:11" ht="15" customHeight="1" x14ac:dyDescent="0.2">
      <c r="A1080" t="s">
        <v>8552</v>
      </c>
      <c r="B1080" t="s">
        <v>8553</v>
      </c>
      <c r="C1080">
        <v>2024</v>
      </c>
      <c r="D1080" s="18">
        <v>45359</v>
      </c>
      <c r="E1080" s="18">
        <v>45723</v>
      </c>
      <c r="F1080" s="18" t="s">
        <v>611</v>
      </c>
      <c r="G1080" t="s">
        <v>101</v>
      </c>
      <c r="H1080">
        <v>1</v>
      </c>
      <c r="I1080">
        <v>2</v>
      </c>
      <c r="J1080" s="27">
        <v>33328.54</v>
      </c>
      <c r="K1080" s="27">
        <v>2000000</v>
      </c>
    </row>
    <row r="1081" spans="1:11" ht="15" customHeight="1" x14ac:dyDescent="0.2">
      <c r="A1081" t="s">
        <v>8554</v>
      </c>
      <c r="B1081" t="s">
        <v>8555</v>
      </c>
      <c r="C1081">
        <v>2024</v>
      </c>
      <c r="D1081" s="18">
        <v>45359</v>
      </c>
      <c r="E1081" s="18">
        <v>45723</v>
      </c>
      <c r="F1081" s="18" t="s">
        <v>611</v>
      </c>
      <c r="G1081" t="s">
        <v>99</v>
      </c>
      <c r="H1081">
        <v>1</v>
      </c>
      <c r="I1081">
        <v>1</v>
      </c>
      <c r="J1081" s="27">
        <v>20236.599999999999</v>
      </c>
      <c r="K1081" s="27">
        <v>2500000</v>
      </c>
    </row>
    <row r="1082" spans="1:11" ht="15" customHeight="1" x14ac:dyDescent="0.2">
      <c r="A1082" t="s">
        <v>8556</v>
      </c>
      <c r="B1082" t="s">
        <v>8557</v>
      </c>
      <c r="C1082">
        <v>2024</v>
      </c>
      <c r="D1082" s="18">
        <v>45360</v>
      </c>
      <c r="E1082" s="18">
        <v>45724</v>
      </c>
      <c r="F1082" s="18" t="s">
        <v>608</v>
      </c>
      <c r="G1082" t="s">
        <v>101</v>
      </c>
      <c r="H1082">
        <v>3</v>
      </c>
      <c r="I1082">
        <v>3</v>
      </c>
      <c r="J1082" s="27">
        <v>63417.67</v>
      </c>
      <c r="K1082" s="27">
        <v>4000000</v>
      </c>
    </row>
    <row r="1083" spans="1:11" ht="15" customHeight="1" x14ac:dyDescent="0.2">
      <c r="A1083" t="s">
        <v>8558</v>
      </c>
      <c r="B1083" t="s">
        <v>8559</v>
      </c>
      <c r="C1083">
        <v>2024</v>
      </c>
      <c r="D1083" s="18">
        <v>45360</v>
      </c>
      <c r="E1083" s="18">
        <v>45724</v>
      </c>
      <c r="F1083" s="18" t="s">
        <v>608</v>
      </c>
      <c r="G1083" t="s">
        <v>100</v>
      </c>
      <c r="H1083">
        <v>3</v>
      </c>
      <c r="I1083">
        <v>3</v>
      </c>
      <c r="J1083" s="27">
        <v>124098.93</v>
      </c>
      <c r="K1083" s="27">
        <v>10000000</v>
      </c>
    </row>
    <row r="1084" spans="1:11" ht="15" customHeight="1" x14ac:dyDescent="0.2">
      <c r="A1084" t="s">
        <v>8560</v>
      </c>
      <c r="B1084" t="s">
        <v>8561</v>
      </c>
      <c r="C1084">
        <v>2024</v>
      </c>
      <c r="D1084" s="18">
        <v>45360</v>
      </c>
      <c r="E1084" s="18">
        <v>45724</v>
      </c>
      <c r="F1084" s="18" t="s">
        <v>611</v>
      </c>
      <c r="G1084" t="s">
        <v>101</v>
      </c>
      <c r="H1084">
        <v>1</v>
      </c>
      <c r="I1084">
        <v>2</v>
      </c>
      <c r="J1084" s="27">
        <v>35503.660000000003</v>
      </c>
      <c r="K1084" s="27">
        <v>2000000</v>
      </c>
    </row>
    <row r="1085" spans="1:11" ht="15" customHeight="1" x14ac:dyDescent="0.2">
      <c r="A1085" t="s">
        <v>8562</v>
      </c>
      <c r="B1085" t="s">
        <v>8563</v>
      </c>
      <c r="C1085">
        <v>2024</v>
      </c>
      <c r="D1085" s="18">
        <v>45360</v>
      </c>
      <c r="E1085" s="18">
        <v>45724</v>
      </c>
      <c r="F1085" s="18" t="s">
        <v>611</v>
      </c>
      <c r="G1085" t="s">
        <v>100</v>
      </c>
      <c r="H1085">
        <v>1</v>
      </c>
      <c r="I1085">
        <v>1</v>
      </c>
      <c r="J1085" s="27">
        <v>12813.43</v>
      </c>
      <c r="K1085" s="27">
        <v>1000000</v>
      </c>
    </row>
    <row r="1086" spans="1:11" ht="15" customHeight="1" x14ac:dyDescent="0.2">
      <c r="A1086" t="s">
        <v>8564</v>
      </c>
      <c r="B1086" t="s">
        <v>8565</v>
      </c>
      <c r="C1086">
        <v>2024</v>
      </c>
      <c r="D1086" s="18">
        <v>45360</v>
      </c>
      <c r="E1086" s="18">
        <v>45724</v>
      </c>
      <c r="F1086" s="18" t="s">
        <v>611</v>
      </c>
      <c r="G1086" t="s">
        <v>101</v>
      </c>
      <c r="H1086">
        <v>2</v>
      </c>
      <c r="I1086">
        <v>2</v>
      </c>
      <c r="J1086" s="27">
        <v>165449.13</v>
      </c>
      <c r="K1086" s="27">
        <v>10000000</v>
      </c>
    </row>
    <row r="1087" spans="1:11" ht="15" customHeight="1" x14ac:dyDescent="0.2">
      <c r="A1087" t="s">
        <v>8566</v>
      </c>
      <c r="B1087" t="s">
        <v>8567</v>
      </c>
      <c r="C1087">
        <v>2024</v>
      </c>
      <c r="D1087" s="18">
        <v>45360</v>
      </c>
      <c r="E1087" s="18">
        <v>45724</v>
      </c>
      <c r="F1087" s="18" t="s">
        <v>611</v>
      </c>
      <c r="G1087" t="s">
        <v>100</v>
      </c>
      <c r="H1087">
        <v>1</v>
      </c>
      <c r="I1087">
        <v>1</v>
      </c>
      <c r="J1087" s="27">
        <v>33216.660000000003</v>
      </c>
      <c r="K1087" s="27">
        <v>2500000</v>
      </c>
    </row>
    <row r="1088" spans="1:11" ht="15" customHeight="1" x14ac:dyDescent="0.2">
      <c r="A1088" t="s">
        <v>8568</v>
      </c>
      <c r="B1088" t="s">
        <v>8569</v>
      </c>
      <c r="C1088">
        <v>2024</v>
      </c>
      <c r="D1088" s="18">
        <v>45360</v>
      </c>
      <c r="E1088" s="18">
        <v>45724</v>
      </c>
      <c r="F1088" s="18" t="s">
        <v>611</v>
      </c>
      <c r="G1088" t="s">
        <v>100</v>
      </c>
      <c r="H1088">
        <v>2</v>
      </c>
      <c r="I1088">
        <v>4</v>
      </c>
      <c r="J1088" s="27">
        <v>37979.730000000003</v>
      </c>
      <c r="K1088" s="27">
        <v>3000000</v>
      </c>
    </row>
    <row r="1089" spans="1:11" ht="15" customHeight="1" x14ac:dyDescent="0.2">
      <c r="A1089" t="s">
        <v>8570</v>
      </c>
      <c r="B1089" t="s">
        <v>8571</v>
      </c>
      <c r="C1089">
        <v>2024</v>
      </c>
      <c r="D1089" s="18">
        <v>45360</v>
      </c>
      <c r="E1089" s="18">
        <v>45724</v>
      </c>
      <c r="F1089" s="18" t="s">
        <v>611</v>
      </c>
      <c r="G1089" t="s">
        <v>101</v>
      </c>
      <c r="H1089">
        <v>2</v>
      </c>
      <c r="I1089">
        <v>2</v>
      </c>
      <c r="J1089" s="27">
        <v>183959.49</v>
      </c>
      <c r="K1089" s="27">
        <v>10000000</v>
      </c>
    </row>
    <row r="1090" spans="1:11" ht="15" customHeight="1" x14ac:dyDescent="0.2">
      <c r="A1090" t="s">
        <v>8572</v>
      </c>
      <c r="B1090" t="s">
        <v>8573</v>
      </c>
      <c r="C1090">
        <v>2024</v>
      </c>
      <c r="D1090" s="18">
        <v>45360</v>
      </c>
      <c r="E1090" s="18">
        <v>45724</v>
      </c>
      <c r="F1090" s="18" t="s">
        <v>611</v>
      </c>
      <c r="G1090" t="s">
        <v>100</v>
      </c>
      <c r="H1090">
        <v>1</v>
      </c>
      <c r="I1090">
        <v>2</v>
      </c>
      <c r="J1090" s="27">
        <v>6722.93</v>
      </c>
      <c r="K1090" s="27">
        <v>500000</v>
      </c>
    </row>
    <row r="1091" spans="1:11" ht="15" customHeight="1" x14ac:dyDescent="0.2">
      <c r="A1091" t="s">
        <v>8574</v>
      </c>
      <c r="B1091" t="s">
        <v>8575</v>
      </c>
      <c r="C1091">
        <v>2024</v>
      </c>
      <c r="D1091" s="18">
        <v>45360</v>
      </c>
      <c r="E1091" s="18">
        <v>45724</v>
      </c>
      <c r="F1091" s="18" t="s">
        <v>611</v>
      </c>
      <c r="G1091" t="s">
        <v>99</v>
      </c>
      <c r="H1091">
        <v>1</v>
      </c>
      <c r="I1091">
        <v>1</v>
      </c>
      <c r="J1091" s="27">
        <v>38354.76</v>
      </c>
      <c r="K1091" s="27">
        <v>5000000</v>
      </c>
    </row>
    <row r="1092" spans="1:11" ht="15" customHeight="1" x14ac:dyDescent="0.2">
      <c r="A1092" t="s">
        <v>8576</v>
      </c>
      <c r="B1092" t="s">
        <v>8577</v>
      </c>
      <c r="C1092">
        <v>2024</v>
      </c>
      <c r="D1092" s="18">
        <v>45361</v>
      </c>
      <c r="E1092" s="18">
        <v>45725</v>
      </c>
      <c r="F1092" s="18" t="s">
        <v>608</v>
      </c>
      <c r="G1092" t="s">
        <v>99</v>
      </c>
      <c r="H1092">
        <v>2</v>
      </c>
      <c r="I1092">
        <v>4</v>
      </c>
      <c r="J1092" s="27">
        <v>77834.880000000005</v>
      </c>
      <c r="K1092" s="27">
        <v>10000000</v>
      </c>
    </row>
    <row r="1093" spans="1:11" ht="15" customHeight="1" x14ac:dyDescent="0.2">
      <c r="A1093" t="s">
        <v>8578</v>
      </c>
      <c r="B1093" t="s">
        <v>8579</v>
      </c>
      <c r="C1093">
        <v>2024</v>
      </c>
      <c r="D1093" s="18">
        <v>45361</v>
      </c>
      <c r="E1093" s="18">
        <v>45725</v>
      </c>
      <c r="F1093" s="18" t="s">
        <v>611</v>
      </c>
      <c r="G1093" t="s">
        <v>100</v>
      </c>
      <c r="H1093">
        <v>2</v>
      </c>
      <c r="I1093">
        <v>2</v>
      </c>
      <c r="J1093" s="27">
        <v>53759.57</v>
      </c>
      <c r="K1093" s="27">
        <v>4000000</v>
      </c>
    </row>
    <row r="1094" spans="1:11" ht="15" customHeight="1" x14ac:dyDescent="0.2">
      <c r="A1094" t="s">
        <v>8580</v>
      </c>
      <c r="B1094" t="s">
        <v>8581</v>
      </c>
      <c r="C1094">
        <v>2024</v>
      </c>
      <c r="D1094" s="18">
        <v>45361</v>
      </c>
      <c r="E1094" s="18">
        <v>45725</v>
      </c>
      <c r="F1094" s="18" t="s">
        <v>611</v>
      </c>
      <c r="G1094" t="s">
        <v>100</v>
      </c>
      <c r="H1094">
        <v>3</v>
      </c>
      <c r="I1094">
        <v>3</v>
      </c>
      <c r="J1094" s="27">
        <v>19711.78</v>
      </c>
      <c r="K1094" s="27">
        <v>1500000</v>
      </c>
    </row>
    <row r="1095" spans="1:11" ht="15" customHeight="1" x14ac:dyDescent="0.2">
      <c r="A1095" t="s">
        <v>8582</v>
      </c>
      <c r="B1095" t="s">
        <v>8583</v>
      </c>
      <c r="C1095">
        <v>2024</v>
      </c>
      <c r="D1095" s="18">
        <v>45361</v>
      </c>
      <c r="E1095" s="18">
        <v>45725</v>
      </c>
      <c r="F1095" s="18" t="s">
        <v>611</v>
      </c>
      <c r="G1095" t="s">
        <v>99</v>
      </c>
      <c r="H1095">
        <v>2</v>
      </c>
      <c r="I1095">
        <v>2</v>
      </c>
      <c r="J1095" s="27">
        <v>14838.81</v>
      </c>
      <c r="K1095" s="27">
        <v>2000000</v>
      </c>
    </row>
    <row r="1096" spans="1:11" ht="15" customHeight="1" x14ac:dyDescent="0.2">
      <c r="A1096" t="s">
        <v>8584</v>
      </c>
      <c r="B1096" t="s">
        <v>8585</v>
      </c>
      <c r="C1096">
        <v>2024</v>
      </c>
      <c r="D1096" s="18">
        <v>45361</v>
      </c>
      <c r="E1096" s="18">
        <v>45725</v>
      </c>
      <c r="F1096" s="18" t="s">
        <v>611</v>
      </c>
      <c r="G1096" t="s">
        <v>99</v>
      </c>
      <c r="H1096">
        <v>1</v>
      </c>
      <c r="I1096">
        <v>2</v>
      </c>
      <c r="J1096" s="27">
        <v>25395.55</v>
      </c>
      <c r="K1096" s="27">
        <v>3000000</v>
      </c>
    </row>
    <row r="1097" spans="1:11" ht="15" customHeight="1" x14ac:dyDescent="0.2">
      <c r="A1097" t="s">
        <v>8586</v>
      </c>
      <c r="B1097" t="s">
        <v>8587</v>
      </c>
      <c r="C1097">
        <v>2024</v>
      </c>
      <c r="D1097" s="18">
        <v>45361</v>
      </c>
      <c r="E1097" s="18">
        <v>45725</v>
      </c>
      <c r="F1097" s="18" t="s">
        <v>611</v>
      </c>
      <c r="G1097" t="s">
        <v>102</v>
      </c>
      <c r="H1097">
        <v>3</v>
      </c>
      <c r="I1097">
        <v>6</v>
      </c>
      <c r="J1097" s="27">
        <v>93042.91</v>
      </c>
      <c r="K1097" s="27">
        <v>10000000</v>
      </c>
    </row>
    <row r="1098" spans="1:11" ht="15" customHeight="1" x14ac:dyDescent="0.2">
      <c r="A1098" t="s">
        <v>8588</v>
      </c>
      <c r="B1098" t="s">
        <v>8589</v>
      </c>
      <c r="C1098">
        <v>2024</v>
      </c>
      <c r="D1098" s="18">
        <v>45361</v>
      </c>
      <c r="E1098" s="18">
        <v>45725</v>
      </c>
      <c r="F1098" s="18" t="s">
        <v>611</v>
      </c>
      <c r="G1098" t="s">
        <v>101</v>
      </c>
      <c r="H1098">
        <v>2</v>
      </c>
      <c r="I1098">
        <v>4</v>
      </c>
      <c r="J1098" s="27">
        <v>65164.23</v>
      </c>
      <c r="K1098" s="27">
        <v>3500000</v>
      </c>
    </row>
    <row r="1099" spans="1:11" ht="15" customHeight="1" x14ac:dyDescent="0.2">
      <c r="A1099" t="s">
        <v>8590</v>
      </c>
      <c r="B1099" t="s">
        <v>8591</v>
      </c>
      <c r="C1099">
        <v>2024</v>
      </c>
      <c r="D1099" s="18">
        <v>45361</v>
      </c>
      <c r="E1099" s="18">
        <v>45725</v>
      </c>
      <c r="F1099" s="18" t="s">
        <v>611</v>
      </c>
      <c r="G1099" t="s">
        <v>101</v>
      </c>
      <c r="H1099">
        <v>1</v>
      </c>
      <c r="I1099">
        <v>1</v>
      </c>
      <c r="J1099" s="27">
        <v>87423.93</v>
      </c>
      <c r="K1099" s="27">
        <v>5000000</v>
      </c>
    </row>
    <row r="1100" spans="1:11" ht="15" customHeight="1" x14ac:dyDescent="0.2">
      <c r="A1100" t="s">
        <v>8592</v>
      </c>
      <c r="B1100" t="s">
        <v>8593</v>
      </c>
      <c r="C1100">
        <v>2024</v>
      </c>
      <c r="D1100" s="18">
        <v>45362</v>
      </c>
      <c r="E1100" s="18">
        <v>45726</v>
      </c>
      <c r="F1100" s="18" t="s">
        <v>608</v>
      </c>
      <c r="G1100" t="s">
        <v>100</v>
      </c>
      <c r="H1100">
        <v>2</v>
      </c>
      <c r="I1100">
        <v>2</v>
      </c>
      <c r="J1100" s="27">
        <v>41717.15</v>
      </c>
      <c r="K1100" s="27">
        <v>3000000</v>
      </c>
    </row>
    <row r="1101" spans="1:11" ht="15" customHeight="1" x14ac:dyDescent="0.2">
      <c r="A1101" t="s">
        <v>8594</v>
      </c>
      <c r="B1101" t="s">
        <v>8595</v>
      </c>
      <c r="C1101">
        <v>2024</v>
      </c>
      <c r="D1101" s="18">
        <v>45362</v>
      </c>
      <c r="E1101" s="18">
        <v>45726</v>
      </c>
      <c r="F1101" s="18" t="s">
        <v>611</v>
      </c>
      <c r="G1101" t="s">
        <v>101</v>
      </c>
      <c r="H1101">
        <v>1</v>
      </c>
      <c r="I1101">
        <v>1</v>
      </c>
      <c r="J1101" s="27">
        <v>15730.47</v>
      </c>
      <c r="K1101" s="27">
        <v>1000000</v>
      </c>
    </row>
    <row r="1102" spans="1:11" ht="15" customHeight="1" x14ac:dyDescent="0.2">
      <c r="A1102" t="s">
        <v>8596</v>
      </c>
      <c r="B1102" t="s">
        <v>8597</v>
      </c>
      <c r="C1102">
        <v>2024</v>
      </c>
      <c r="D1102" s="18">
        <v>45362</v>
      </c>
      <c r="E1102" s="18">
        <v>45726</v>
      </c>
      <c r="F1102" s="18" t="s">
        <v>611</v>
      </c>
      <c r="G1102" t="s">
        <v>102</v>
      </c>
      <c r="H1102">
        <v>1</v>
      </c>
      <c r="I1102">
        <v>1</v>
      </c>
      <c r="J1102" s="27">
        <v>45661.41</v>
      </c>
      <c r="K1102" s="27">
        <v>5000000</v>
      </c>
    </row>
    <row r="1103" spans="1:11" ht="15" customHeight="1" x14ac:dyDescent="0.2">
      <c r="A1103" t="s">
        <v>8598</v>
      </c>
      <c r="B1103" t="s">
        <v>8599</v>
      </c>
      <c r="C1103">
        <v>2024</v>
      </c>
      <c r="D1103" s="18">
        <v>45362</v>
      </c>
      <c r="E1103" s="18">
        <v>45726</v>
      </c>
      <c r="F1103" s="18" t="s">
        <v>611</v>
      </c>
      <c r="G1103" t="s">
        <v>99</v>
      </c>
      <c r="H1103">
        <v>3</v>
      </c>
      <c r="I1103">
        <v>3</v>
      </c>
      <c r="J1103" s="27">
        <v>18622</v>
      </c>
      <c r="K1103" s="27">
        <v>2500000</v>
      </c>
    </row>
    <row r="1104" spans="1:11" ht="15" customHeight="1" x14ac:dyDescent="0.2">
      <c r="A1104" t="s">
        <v>8600</v>
      </c>
      <c r="B1104" t="s">
        <v>8601</v>
      </c>
      <c r="C1104">
        <v>2024</v>
      </c>
      <c r="D1104" s="18">
        <v>45362</v>
      </c>
      <c r="E1104" s="18">
        <v>45726</v>
      </c>
      <c r="F1104" s="18" t="s">
        <v>611</v>
      </c>
      <c r="G1104" t="s">
        <v>99</v>
      </c>
      <c r="H1104">
        <v>3</v>
      </c>
      <c r="I1104">
        <v>3</v>
      </c>
      <c r="J1104" s="27">
        <v>35384.199999999997</v>
      </c>
      <c r="K1104" s="27">
        <v>4000000</v>
      </c>
    </row>
    <row r="1105" spans="1:11" ht="15" customHeight="1" x14ac:dyDescent="0.2">
      <c r="A1105" t="s">
        <v>8602</v>
      </c>
      <c r="B1105" t="s">
        <v>8603</v>
      </c>
      <c r="C1105">
        <v>2024</v>
      </c>
      <c r="D1105" s="18">
        <v>45362</v>
      </c>
      <c r="E1105" s="18">
        <v>45726</v>
      </c>
      <c r="F1105" s="18" t="s">
        <v>611</v>
      </c>
      <c r="G1105" t="s">
        <v>99</v>
      </c>
      <c r="H1105">
        <v>2</v>
      </c>
      <c r="I1105">
        <v>2</v>
      </c>
      <c r="J1105" s="27">
        <v>44747.91</v>
      </c>
      <c r="K1105" s="27">
        <v>5000000</v>
      </c>
    </row>
    <row r="1106" spans="1:11" ht="15" customHeight="1" x14ac:dyDescent="0.2">
      <c r="A1106" t="s">
        <v>8604</v>
      </c>
      <c r="B1106" t="s">
        <v>8605</v>
      </c>
      <c r="C1106">
        <v>2024</v>
      </c>
      <c r="D1106" s="18">
        <v>45362</v>
      </c>
      <c r="E1106" s="18">
        <v>45726</v>
      </c>
      <c r="F1106" s="18" t="s">
        <v>611</v>
      </c>
      <c r="G1106" t="s">
        <v>99</v>
      </c>
      <c r="H1106">
        <v>1</v>
      </c>
      <c r="I1106">
        <v>1</v>
      </c>
      <c r="J1106" s="27">
        <v>8739.31</v>
      </c>
      <c r="K1106" s="27">
        <v>1000000</v>
      </c>
    </row>
    <row r="1107" spans="1:11" ht="15" customHeight="1" x14ac:dyDescent="0.2">
      <c r="A1107" t="s">
        <v>8606</v>
      </c>
      <c r="B1107" t="s">
        <v>8607</v>
      </c>
      <c r="C1107">
        <v>2024</v>
      </c>
      <c r="D1107" s="18">
        <v>45362</v>
      </c>
      <c r="E1107" s="18">
        <v>45726</v>
      </c>
      <c r="F1107" s="18" t="s">
        <v>611</v>
      </c>
      <c r="G1107" t="s">
        <v>99</v>
      </c>
      <c r="H1107">
        <v>1</v>
      </c>
      <c r="I1107">
        <v>2</v>
      </c>
      <c r="J1107" s="27">
        <v>17363.84</v>
      </c>
      <c r="K1107" s="27">
        <v>2000000</v>
      </c>
    </row>
    <row r="1108" spans="1:11" ht="15" customHeight="1" x14ac:dyDescent="0.2">
      <c r="A1108" t="s">
        <v>8608</v>
      </c>
      <c r="B1108" t="s">
        <v>8609</v>
      </c>
      <c r="C1108">
        <v>2024</v>
      </c>
      <c r="D1108" s="18">
        <v>45363</v>
      </c>
      <c r="E1108" s="18">
        <v>45727</v>
      </c>
      <c r="F1108" s="18" t="s">
        <v>608</v>
      </c>
      <c r="G1108" t="s">
        <v>99</v>
      </c>
      <c r="H1108">
        <v>3</v>
      </c>
      <c r="I1108">
        <v>3</v>
      </c>
      <c r="J1108" s="27">
        <v>4143.46</v>
      </c>
      <c r="K1108" s="27">
        <v>500000</v>
      </c>
    </row>
    <row r="1109" spans="1:11" ht="15" customHeight="1" x14ac:dyDescent="0.2">
      <c r="A1109" t="s">
        <v>8610</v>
      </c>
      <c r="B1109" t="s">
        <v>8611</v>
      </c>
      <c r="C1109">
        <v>2024</v>
      </c>
      <c r="D1109" s="18">
        <v>45363</v>
      </c>
      <c r="E1109" s="18">
        <v>45727</v>
      </c>
      <c r="F1109" s="18" t="s">
        <v>611</v>
      </c>
      <c r="G1109" t="s">
        <v>100</v>
      </c>
      <c r="H1109">
        <v>2</v>
      </c>
      <c r="I1109">
        <v>4</v>
      </c>
      <c r="J1109" s="27">
        <v>6964.28</v>
      </c>
      <c r="K1109" s="27">
        <v>500000</v>
      </c>
    </row>
    <row r="1110" spans="1:11" ht="15" customHeight="1" x14ac:dyDescent="0.2">
      <c r="A1110" t="s">
        <v>8612</v>
      </c>
      <c r="B1110" t="s">
        <v>8613</v>
      </c>
      <c r="C1110">
        <v>2024</v>
      </c>
      <c r="D1110" s="18">
        <v>45363</v>
      </c>
      <c r="E1110" s="18">
        <v>45727</v>
      </c>
      <c r="F1110" s="18" t="s">
        <v>611</v>
      </c>
      <c r="G1110" t="s">
        <v>99</v>
      </c>
      <c r="H1110">
        <v>1</v>
      </c>
      <c r="I1110">
        <v>1</v>
      </c>
      <c r="J1110" s="27">
        <v>20389.21</v>
      </c>
      <c r="K1110" s="27">
        <v>2500000</v>
      </c>
    </row>
    <row r="1111" spans="1:11" ht="15" customHeight="1" x14ac:dyDescent="0.2">
      <c r="A1111" t="s">
        <v>8614</v>
      </c>
      <c r="B1111" t="s">
        <v>8615</v>
      </c>
      <c r="C1111">
        <v>2024</v>
      </c>
      <c r="D1111" s="18">
        <v>45363</v>
      </c>
      <c r="E1111" s="18">
        <v>45727</v>
      </c>
      <c r="F1111" s="18" t="s">
        <v>611</v>
      </c>
      <c r="G1111" t="s">
        <v>101</v>
      </c>
      <c r="H1111">
        <v>2</v>
      </c>
      <c r="I1111">
        <v>2</v>
      </c>
      <c r="J1111" s="27">
        <v>54412.639999999999</v>
      </c>
      <c r="K1111" s="27">
        <v>3000000</v>
      </c>
    </row>
    <row r="1112" spans="1:11" ht="15" customHeight="1" x14ac:dyDescent="0.2">
      <c r="A1112" t="s">
        <v>8616</v>
      </c>
      <c r="B1112" t="s">
        <v>8617</v>
      </c>
      <c r="C1112">
        <v>2024</v>
      </c>
      <c r="D1112" s="18">
        <v>45363</v>
      </c>
      <c r="E1112" s="18">
        <v>45727</v>
      </c>
      <c r="F1112" s="18" t="s">
        <v>611</v>
      </c>
      <c r="G1112" t="s">
        <v>100</v>
      </c>
      <c r="H1112">
        <v>2</v>
      </c>
      <c r="I1112">
        <v>2</v>
      </c>
      <c r="J1112" s="27">
        <v>64643.199999999997</v>
      </c>
      <c r="K1112" s="27">
        <v>5000000</v>
      </c>
    </row>
    <row r="1113" spans="1:11" ht="15" customHeight="1" x14ac:dyDescent="0.2">
      <c r="A1113" t="s">
        <v>8618</v>
      </c>
      <c r="B1113" t="s">
        <v>8619</v>
      </c>
      <c r="C1113">
        <v>2024</v>
      </c>
      <c r="D1113" s="18">
        <v>45363</v>
      </c>
      <c r="E1113" s="18">
        <v>45727</v>
      </c>
      <c r="F1113" s="18" t="s">
        <v>611</v>
      </c>
      <c r="G1113" t="s">
        <v>99</v>
      </c>
      <c r="H1113">
        <v>1</v>
      </c>
      <c r="I1113">
        <v>1</v>
      </c>
      <c r="J1113" s="27">
        <v>3910.51</v>
      </c>
      <c r="K1113" s="27">
        <v>500000</v>
      </c>
    </row>
    <row r="1114" spans="1:11" ht="15" customHeight="1" x14ac:dyDescent="0.2">
      <c r="A1114" t="s">
        <v>8620</v>
      </c>
      <c r="B1114" t="s">
        <v>8621</v>
      </c>
      <c r="C1114">
        <v>2024</v>
      </c>
      <c r="D1114" s="18">
        <v>45363</v>
      </c>
      <c r="E1114" s="18">
        <v>45727</v>
      </c>
      <c r="F1114" s="18" t="s">
        <v>611</v>
      </c>
      <c r="G1114" t="s">
        <v>99</v>
      </c>
      <c r="H1114">
        <v>1</v>
      </c>
      <c r="I1114">
        <v>2</v>
      </c>
      <c r="J1114" s="27">
        <v>13167.61</v>
      </c>
      <c r="K1114" s="27">
        <v>1500000</v>
      </c>
    </row>
    <row r="1115" spans="1:11" ht="15" customHeight="1" x14ac:dyDescent="0.2">
      <c r="A1115" t="s">
        <v>8622</v>
      </c>
      <c r="B1115" t="s">
        <v>8623</v>
      </c>
      <c r="C1115">
        <v>2024</v>
      </c>
      <c r="D1115" s="18">
        <v>45363</v>
      </c>
      <c r="E1115" s="18">
        <v>45727</v>
      </c>
      <c r="F1115" s="18" t="s">
        <v>611</v>
      </c>
      <c r="G1115" t="s">
        <v>101</v>
      </c>
      <c r="H1115">
        <v>1</v>
      </c>
      <c r="I1115">
        <v>1</v>
      </c>
      <c r="J1115" s="27">
        <v>63859.17</v>
      </c>
      <c r="K1115" s="27">
        <v>4000000</v>
      </c>
    </row>
    <row r="1116" spans="1:11" ht="15" customHeight="1" x14ac:dyDescent="0.2">
      <c r="A1116" t="s">
        <v>8624</v>
      </c>
      <c r="B1116" t="s">
        <v>8625</v>
      </c>
      <c r="C1116">
        <v>2024</v>
      </c>
      <c r="D1116" s="18">
        <v>45363</v>
      </c>
      <c r="E1116" s="18">
        <v>45727</v>
      </c>
      <c r="F1116" s="18" t="s">
        <v>611</v>
      </c>
      <c r="G1116" t="s">
        <v>102</v>
      </c>
      <c r="H1116">
        <v>1</v>
      </c>
      <c r="I1116">
        <v>1</v>
      </c>
      <c r="J1116" s="27">
        <v>27943.119999999999</v>
      </c>
      <c r="K1116" s="27">
        <v>3000000</v>
      </c>
    </row>
    <row r="1117" spans="1:11" ht="15" customHeight="1" x14ac:dyDescent="0.2">
      <c r="A1117" t="s">
        <v>8626</v>
      </c>
      <c r="B1117" t="s">
        <v>8627</v>
      </c>
      <c r="C1117">
        <v>2024</v>
      </c>
      <c r="D1117" s="18">
        <v>45364</v>
      </c>
      <c r="E1117" s="18">
        <v>45728</v>
      </c>
      <c r="F1117" s="18" t="s">
        <v>608</v>
      </c>
      <c r="G1117" t="s">
        <v>99</v>
      </c>
      <c r="H1117">
        <v>2</v>
      </c>
      <c r="I1117">
        <v>2</v>
      </c>
      <c r="J1117" s="27">
        <v>34120.129999999997</v>
      </c>
      <c r="K1117" s="27">
        <v>4000000</v>
      </c>
    </row>
    <row r="1118" spans="1:11" ht="15" customHeight="1" x14ac:dyDescent="0.2">
      <c r="A1118" t="s">
        <v>8628</v>
      </c>
      <c r="B1118" t="s">
        <v>8629</v>
      </c>
      <c r="C1118">
        <v>2024</v>
      </c>
      <c r="D1118" s="18">
        <v>45364</v>
      </c>
      <c r="E1118" s="18">
        <v>45728</v>
      </c>
      <c r="F1118" s="18" t="s">
        <v>608</v>
      </c>
      <c r="G1118" t="s">
        <v>100</v>
      </c>
      <c r="H1118">
        <v>2</v>
      </c>
      <c r="I1118">
        <v>2</v>
      </c>
      <c r="J1118" s="27">
        <v>41521.67</v>
      </c>
      <c r="K1118" s="27">
        <v>3000000</v>
      </c>
    </row>
    <row r="1119" spans="1:11" ht="15" customHeight="1" x14ac:dyDescent="0.2">
      <c r="A1119" t="s">
        <v>8630</v>
      </c>
      <c r="B1119" t="s">
        <v>8631</v>
      </c>
      <c r="C1119">
        <v>2024</v>
      </c>
      <c r="D1119" s="18">
        <v>45364</v>
      </c>
      <c r="E1119" s="18">
        <v>45728</v>
      </c>
      <c r="F1119" s="18" t="s">
        <v>611</v>
      </c>
      <c r="G1119" t="s">
        <v>99</v>
      </c>
      <c r="H1119">
        <v>2</v>
      </c>
      <c r="I1119">
        <v>4</v>
      </c>
      <c r="J1119" s="27">
        <v>18440.32</v>
      </c>
      <c r="K1119" s="27">
        <v>2500000</v>
      </c>
    </row>
    <row r="1120" spans="1:11" ht="15" customHeight="1" x14ac:dyDescent="0.2">
      <c r="A1120" t="s">
        <v>8632</v>
      </c>
      <c r="B1120" t="s">
        <v>8633</v>
      </c>
      <c r="C1120">
        <v>2024</v>
      </c>
      <c r="D1120" s="18">
        <v>45364</v>
      </c>
      <c r="E1120" s="18">
        <v>45728</v>
      </c>
      <c r="F1120" s="18" t="s">
        <v>611</v>
      </c>
      <c r="G1120" t="s">
        <v>102</v>
      </c>
      <c r="H1120">
        <v>3</v>
      </c>
      <c r="I1120">
        <v>3</v>
      </c>
      <c r="J1120" s="27">
        <v>39232.019999999997</v>
      </c>
      <c r="K1120" s="27">
        <v>5000000</v>
      </c>
    </row>
    <row r="1121" spans="1:11" ht="15" customHeight="1" x14ac:dyDescent="0.2">
      <c r="A1121" t="s">
        <v>8634</v>
      </c>
      <c r="B1121" t="s">
        <v>8635</v>
      </c>
      <c r="C1121">
        <v>2024</v>
      </c>
      <c r="D1121" s="18">
        <v>45364</v>
      </c>
      <c r="E1121" s="18">
        <v>45728</v>
      </c>
      <c r="F1121" s="18" t="s">
        <v>611</v>
      </c>
      <c r="G1121" t="s">
        <v>101</v>
      </c>
      <c r="H1121">
        <v>3</v>
      </c>
      <c r="I1121">
        <v>3</v>
      </c>
      <c r="J1121" s="27">
        <v>50014.47</v>
      </c>
      <c r="K1121" s="27">
        <v>3000000</v>
      </c>
    </row>
    <row r="1122" spans="1:11" ht="15" customHeight="1" x14ac:dyDescent="0.2">
      <c r="A1122" t="s">
        <v>8636</v>
      </c>
      <c r="B1122" t="s">
        <v>8637</v>
      </c>
      <c r="C1122">
        <v>2024</v>
      </c>
      <c r="D1122" s="18">
        <v>45365</v>
      </c>
      <c r="E1122" s="18">
        <v>45729</v>
      </c>
      <c r="F1122" s="18" t="s">
        <v>608</v>
      </c>
      <c r="G1122" t="s">
        <v>101</v>
      </c>
      <c r="H1122">
        <v>2</v>
      </c>
      <c r="I1122">
        <v>2</v>
      </c>
      <c r="J1122" s="27">
        <v>90571.98</v>
      </c>
      <c r="K1122" s="27">
        <v>5000000</v>
      </c>
    </row>
    <row r="1123" spans="1:11" ht="15" customHeight="1" x14ac:dyDescent="0.2">
      <c r="A1123" t="s">
        <v>8638</v>
      </c>
      <c r="B1123" t="s">
        <v>8639</v>
      </c>
      <c r="C1123">
        <v>2024</v>
      </c>
      <c r="D1123" s="18">
        <v>45365</v>
      </c>
      <c r="E1123" s="18">
        <v>45729</v>
      </c>
      <c r="F1123" s="18" t="s">
        <v>608</v>
      </c>
      <c r="G1123" t="s">
        <v>100</v>
      </c>
      <c r="H1123">
        <v>2</v>
      </c>
      <c r="I1123">
        <v>2</v>
      </c>
      <c r="J1123" s="27">
        <v>14025.88</v>
      </c>
      <c r="K1123" s="27">
        <v>1000000</v>
      </c>
    </row>
    <row r="1124" spans="1:11" ht="15" customHeight="1" x14ac:dyDescent="0.2">
      <c r="A1124" t="s">
        <v>8640</v>
      </c>
      <c r="B1124" t="s">
        <v>8641</v>
      </c>
      <c r="C1124">
        <v>2024</v>
      </c>
      <c r="D1124" s="18">
        <v>45365</v>
      </c>
      <c r="E1124" s="18">
        <v>45729</v>
      </c>
      <c r="F1124" s="18" t="s">
        <v>611</v>
      </c>
      <c r="G1124" t="s">
        <v>100</v>
      </c>
      <c r="H1124">
        <v>2</v>
      </c>
      <c r="I1124">
        <v>2</v>
      </c>
      <c r="J1124" s="27">
        <v>33797.120000000003</v>
      </c>
      <c r="K1124" s="27">
        <v>2500000</v>
      </c>
    </row>
    <row r="1125" spans="1:11" ht="15" customHeight="1" x14ac:dyDescent="0.2">
      <c r="A1125" t="s">
        <v>8642</v>
      </c>
      <c r="B1125" t="s">
        <v>8643</v>
      </c>
      <c r="C1125">
        <v>2024</v>
      </c>
      <c r="D1125" s="18">
        <v>45365</v>
      </c>
      <c r="E1125" s="18">
        <v>45729</v>
      </c>
      <c r="F1125" s="18" t="s">
        <v>611</v>
      </c>
      <c r="G1125" t="s">
        <v>100</v>
      </c>
      <c r="H1125">
        <v>1</v>
      </c>
      <c r="I1125">
        <v>2</v>
      </c>
      <c r="J1125" s="27">
        <v>11874.43</v>
      </c>
      <c r="K1125" s="27">
        <v>1000000</v>
      </c>
    </row>
    <row r="1126" spans="1:11" ht="15" customHeight="1" x14ac:dyDescent="0.2">
      <c r="A1126" t="s">
        <v>8644</v>
      </c>
      <c r="B1126" t="s">
        <v>8645</v>
      </c>
      <c r="C1126">
        <v>2024</v>
      </c>
      <c r="D1126" s="18">
        <v>45365</v>
      </c>
      <c r="E1126" s="18">
        <v>45729</v>
      </c>
      <c r="F1126" s="18" t="s">
        <v>611</v>
      </c>
      <c r="G1126" t="s">
        <v>102</v>
      </c>
      <c r="H1126">
        <v>2</v>
      </c>
      <c r="I1126">
        <v>2</v>
      </c>
      <c r="J1126" s="27">
        <v>9177.76</v>
      </c>
      <c r="K1126" s="27">
        <v>1000000</v>
      </c>
    </row>
    <row r="1127" spans="1:11" ht="15" customHeight="1" x14ac:dyDescent="0.2">
      <c r="A1127" t="s">
        <v>8646</v>
      </c>
      <c r="B1127" t="s">
        <v>8647</v>
      </c>
      <c r="C1127">
        <v>2024</v>
      </c>
      <c r="D1127" s="18">
        <v>45365</v>
      </c>
      <c r="E1127" s="18">
        <v>45729</v>
      </c>
      <c r="F1127" s="18" t="s">
        <v>611</v>
      </c>
      <c r="G1127" t="s">
        <v>100</v>
      </c>
      <c r="H1127">
        <v>3</v>
      </c>
      <c r="I1127">
        <v>3</v>
      </c>
      <c r="J1127" s="27">
        <v>13941.22</v>
      </c>
      <c r="K1127" s="27">
        <v>1000000</v>
      </c>
    </row>
    <row r="1128" spans="1:11" ht="15" customHeight="1" x14ac:dyDescent="0.2">
      <c r="A1128" t="s">
        <v>8648</v>
      </c>
      <c r="B1128" t="s">
        <v>8649</v>
      </c>
      <c r="C1128">
        <v>2024</v>
      </c>
      <c r="D1128" s="18">
        <v>45365</v>
      </c>
      <c r="E1128" s="18">
        <v>45729</v>
      </c>
      <c r="F1128" s="18" t="s">
        <v>611</v>
      </c>
      <c r="G1128" t="s">
        <v>100</v>
      </c>
      <c r="H1128">
        <v>1</v>
      </c>
      <c r="I1128">
        <v>2</v>
      </c>
      <c r="J1128" s="27">
        <v>38207.06</v>
      </c>
      <c r="K1128" s="27">
        <v>3000000</v>
      </c>
    </row>
    <row r="1129" spans="1:11" ht="15" customHeight="1" x14ac:dyDescent="0.2">
      <c r="A1129" t="s">
        <v>8650</v>
      </c>
      <c r="B1129" t="s">
        <v>8651</v>
      </c>
      <c r="C1129">
        <v>2024</v>
      </c>
      <c r="D1129" s="18">
        <v>45365</v>
      </c>
      <c r="E1129" s="18">
        <v>45729</v>
      </c>
      <c r="F1129" s="18" t="s">
        <v>611</v>
      </c>
      <c r="G1129" t="s">
        <v>102</v>
      </c>
      <c r="H1129">
        <v>3</v>
      </c>
      <c r="I1129">
        <v>6</v>
      </c>
      <c r="J1129" s="27">
        <v>18798.400000000001</v>
      </c>
      <c r="K1129" s="27">
        <v>2000000</v>
      </c>
    </row>
    <row r="1130" spans="1:11" ht="15" customHeight="1" x14ac:dyDescent="0.2">
      <c r="A1130" t="s">
        <v>8652</v>
      </c>
      <c r="B1130" t="s">
        <v>8653</v>
      </c>
      <c r="C1130">
        <v>2024</v>
      </c>
      <c r="D1130" s="18">
        <v>45365</v>
      </c>
      <c r="E1130" s="18">
        <v>45729</v>
      </c>
      <c r="F1130" s="18" t="s">
        <v>611</v>
      </c>
      <c r="G1130" t="s">
        <v>100</v>
      </c>
      <c r="H1130">
        <v>2</v>
      </c>
      <c r="I1130">
        <v>2</v>
      </c>
      <c r="J1130" s="27">
        <v>42038.66</v>
      </c>
      <c r="K1130" s="27">
        <v>3500000</v>
      </c>
    </row>
    <row r="1131" spans="1:11" ht="15" customHeight="1" x14ac:dyDescent="0.2">
      <c r="A1131" t="s">
        <v>8654</v>
      </c>
      <c r="B1131" t="s">
        <v>8655</v>
      </c>
      <c r="C1131">
        <v>2024</v>
      </c>
      <c r="D1131" s="18">
        <v>45366</v>
      </c>
      <c r="E1131" s="18">
        <v>45730</v>
      </c>
      <c r="F1131" s="18" t="s">
        <v>611</v>
      </c>
      <c r="G1131" t="s">
        <v>99</v>
      </c>
      <c r="H1131">
        <v>1</v>
      </c>
      <c r="I1131">
        <v>1</v>
      </c>
      <c r="J1131" s="27">
        <v>79182.759999999995</v>
      </c>
      <c r="K1131" s="27">
        <v>10000000</v>
      </c>
    </row>
    <row r="1132" spans="1:11" ht="15" customHeight="1" x14ac:dyDescent="0.2">
      <c r="A1132" t="s">
        <v>8656</v>
      </c>
      <c r="B1132" t="s">
        <v>8657</v>
      </c>
      <c r="C1132">
        <v>2024</v>
      </c>
      <c r="D1132" s="18">
        <v>45366</v>
      </c>
      <c r="E1132" s="18">
        <v>45730</v>
      </c>
      <c r="F1132" s="18" t="s">
        <v>611</v>
      </c>
      <c r="G1132" t="s">
        <v>100</v>
      </c>
      <c r="H1132">
        <v>3</v>
      </c>
      <c r="I1132">
        <v>3</v>
      </c>
      <c r="J1132" s="27">
        <v>12521.22</v>
      </c>
      <c r="K1132" s="27">
        <v>1000000</v>
      </c>
    </row>
    <row r="1133" spans="1:11" ht="15" customHeight="1" x14ac:dyDescent="0.2">
      <c r="A1133" t="s">
        <v>8658</v>
      </c>
      <c r="B1133" t="s">
        <v>8659</v>
      </c>
      <c r="C1133">
        <v>2024</v>
      </c>
      <c r="D1133" s="18">
        <v>45366</v>
      </c>
      <c r="E1133" s="18">
        <v>45730</v>
      </c>
      <c r="F1133" s="18" t="s">
        <v>611</v>
      </c>
      <c r="G1133" t="s">
        <v>100</v>
      </c>
      <c r="H1133">
        <v>2</v>
      </c>
      <c r="I1133">
        <v>2</v>
      </c>
      <c r="J1133" s="27">
        <v>56281.01</v>
      </c>
      <c r="K1133" s="27">
        <v>4500000</v>
      </c>
    </row>
    <row r="1134" spans="1:11" ht="15" customHeight="1" x14ac:dyDescent="0.2">
      <c r="A1134" t="s">
        <v>8660</v>
      </c>
      <c r="B1134" t="s">
        <v>8661</v>
      </c>
      <c r="C1134">
        <v>2024</v>
      </c>
      <c r="D1134" s="18">
        <v>45366</v>
      </c>
      <c r="E1134" s="18">
        <v>45730</v>
      </c>
      <c r="F1134" s="18" t="s">
        <v>611</v>
      </c>
      <c r="G1134" t="s">
        <v>99</v>
      </c>
      <c r="H1134">
        <v>1</v>
      </c>
      <c r="I1134">
        <v>1</v>
      </c>
      <c r="J1134" s="27">
        <v>17868.55</v>
      </c>
      <c r="K1134" s="27">
        <v>2000000</v>
      </c>
    </row>
    <row r="1135" spans="1:11" ht="15" customHeight="1" x14ac:dyDescent="0.2">
      <c r="A1135" t="s">
        <v>8662</v>
      </c>
      <c r="B1135" t="s">
        <v>8663</v>
      </c>
      <c r="C1135">
        <v>2024</v>
      </c>
      <c r="D1135" s="18">
        <v>45367</v>
      </c>
      <c r="E1135" s="18">
        <v>45731</v>
      </c>
      <c r="F1135" s="18" t="s">
        <v>608</v>
      </c>
      <c r="G1135" t="s">
        <v>102</v>
      </c>
      <c r="H1135">
        <v>2</v>
      </c>
      <c r="I1135">
        <v>4</v>
      </c>
      <c r="J1135" s="27">
        <v>37585.75</v>
      </c>
      <c r="K1135" s="27">
        <v>4000000</v>
      </c>
    </row>
    <row r="1136" spans="1:11" ht="15" customHeight="1" x14ac:dyDescent="0.2">
      <c r="A1136" t="s">
        <v>8664</v>
      </c>
      <c r="B1136" t="s">
        <v>8665</v>
      </c>
      <c r="C1136">
        <v>2024</v>
      </c>
      <c r="D1136" s="18">
        <v>45367</v>
      </c>
      <c r="E1136" s="18">
        <v>45731</v>
      </c>
      <c r="F1136" s="18" t="s">
        <v>608</v>
      </c>
      <c r="G1136" t="s">
        <v>102</v>
      </c>
      <c r="H1136">
        <v>1</v>
      </c>
      <c r="I1136">
        <v>1</v>
      </c>
      <c r="J1136" s="27">
        <v>8756.9599999999991</v>
      </c>
      <c r="K1136" s="27">
        <v>1000000</v>
      </c>
    </row>
    <row r="1137" spans="1:11" ht="15" customHeight="1" x14ac:dyDescent="0.2">
      <c r="A1137" t="s">
        <v>8666</v>
      </c>
      <c r="B1137" t="s">
        <v>8667</v>
      </c>
      <c r="C1137">
        <v>2024</v>
      </c>
      <c r="D1137" s="18">
        <v>45367</v>
      </c>
      <c r="E1137" s="18">
        <v>45731</v>
      </c>
      <c r="F1137" s="18" t="s">
        <v>608</v>
      </c>
      <c r="G1137" t="s">
        <v>100</v>
      </c>
      <c r="H1137">
        <v>3</v>
      </c>
      <c r="I1137">
        <v>6</v>
      </c>
      <c r="J1137" s="27">
        <v>28070.29</v>
      </c>
      <c r="K1137" s="27">
        <v>2000000</v>
      </c>
    </row>
    <row r="1138" spans="1:11" ht="15" customHeight="1" x14ac:dyDescent="0.2">
      <c r="A1138" t="s">
        <v>8668</v>
      </c>
      <c r="B1138" t="s">
        <v>8669</v>
      </c>
      <c r="C1138">
        <v>2024</v>
      </c>
      <c r="D1138" s="18">
        <v>45367</v>
      </c>
      <c r="E1138" s="18">
        <v>45731</v>
      </c>
      <c r="F1138" s="18" t="s">
        <v>611</v>
      </c>
      <c r="G1138" t="s">
        <v>101</v>
      </c>
      <c r="H1138">
        <v>3</v>
      </c>
      <c r="I1138">
        <v>3</v>
      </c>
      <c r="J1138" s="27">
        <v>26310.49</v>
      </c>
      <c r="K1138" s="27">
        <v>1500000</v>
      </c>
    </row>
    <row r="1139" spans="1:11" ht="15" customHeight="1" x14ac:dyDescent="0.2">
      <c r="A1139" t="s">
        <v>8670</v>
      </c>
      <c r="B1139" t="s">
        <v>8671</v>
      </c>
      <c r="C1139">
        <v>2024</v>
      </c>
      <c r="D1139" s="18">
        <v>45367</v>
      </c>
      <c r="E1139" s="18">
        <v>45731</v>
      </c>
      <c r="F1139" s="18" t="s">
        <v>611</v>
      </c>
      <c r="G1139" t="s">
        <v>100</v>
      </c>
      <c r="H1139">
        <v>1</v>
      </c>
      <c r="I1139">
        <v>2</v>
      </c>
      <c r="J1139" s="27">
        <v>62678.59</v>
      </c>
      <c r="K1139" s="27">
        <v>5000000</v>
      </c>
    </row>
    <row r="1140" spans="1:11" ht="15" customHeight="1" x14ac:dyDescent="0.2">
      <c r="A1140" t="s">
        <v>8672</v>
      </c>
      <c r="B1140" t="s">
        <v>8673</v>
      </c>
      <c r="C1140">
        <v>2024</v>
      </c>
      <c r="D1140" s="18">
        <v>45367</v>
      </c>
      <c r="E1140" s="18">
        <v>45731</v>
      </c>
      <c r="F1140" s="18" t="s">
        <v>611</v>
      </c>
      <c r="G1140" t="s">
        <v>99</v>
      </c>
      <c r="H1140">
        <v>2</v>
      </c>
      <c r="I1140">
        <v>2</v>
      </c>
      <c r="J1140" s="27">
        <v>38820.089999999997</v>
      </c>
      <c r="K1140" s="27">
        <v>4500000</v>
      </c>
    </row>
    <row r="1141" spans="1:11" ht="15" customHeight="1" x14ac:dyDescent="0.2">
      <c r="A1141" t="s">
        <v>8674</v>
      </c>
      <c r="B1141" t="s">
        <v>8675</v>
      </c>
      <c r="C1141">
        <v>2024</v>
      </c>
      <c r="D1141" s="18">
        <v>45367</v>
      </c>
      <c r="E1141" s="18">
        <v>45731</v>
      </c>
      <c r="F1141" s="18" t="s">
        <v>611</v>
      </c>
      <c r="G1141" t="s">
        <v>99</v>
      </c>
      <c r="H1141">
        <v>3</v>
      </c>
      <c r="I1141">
        <v>3</v>
      </c>
      <c r="J1141" s="27">
        <v>8743.08</v>
      </c>
      <c r="K1141" s="27">
        <v>1000000</v>
      </c>
    </row>
    <row r="1142" spans="1:11" ht="15" customHeight="1" x14ac:dyDescent="0.2">
      <c r="A1142" t="s">
        <v>8676</v>
      </c>
      <c r="B1142" t="s">
        <v>8677</v>
      </c>
      <c r="C1142">
        <v>2024</v>
      </c>
      <c r="D1142" s="18">
        <v>45367</v>
      </c>
      <c r="E1142" s="18">
        <v>45731</v>
      </c>
      <c r="F1142" s="18" t="s">
        <v>611</v>
      </c>
      <c r="G1142" t="s">
        <v>99</v>
      </c>
      <c r="H1142">
        <v>1</v>
      </c>
      <c r="I1142">
        <v>2</v>
      </c>
      <c r="J1142" s="27">
        <v>18997.919999999998</v>
      </c>
      <c r="K1142" s="27">
        <v>2500000</v>
      </c>
    </row>
    <row r="1143" spans="1:11" ht="15" customHeight="1" x14ac:dyDescent="0.2">
      <c r="A1143" t="s">
        <v>8678</v>
      </c>
      <c r="B1143" t="s">
        <v>8679</v>
      </c>
      <c r="C1143">
        <v>2024</v>
      </c>
      <c r="D1143" s="18">
        <v>45367</v>
      </c>
      <c r="E1143" s="18">
        <v>45731</v>
      </c>
      <c r="F1143" s="18" t="s">
        <v>611</v>
      </c>
      <c r="G1143" t="s">
        <v>100</v>
      </c>
      <c r="H1143">
        <v>1</v>
      </c>
      <c r="I1143">
        <v>2</v>
      </c>
      <c r="J1143" s="27">
        <v>31161.360000000001</v>
      </c>
      <c r="K1143" s="27">
        <v>2500000</v>
      </c>
    </row>
    <row r="1144" spans="1:11" ht="15" customHeight="1" x14ac:dyDescent="0.2">
      <c r="A1144" t="s">
        <v>8680</v>
      </c>
      <c r="B1144" t="s">
        <v>8681</v>
      </c>
      <c r="C1144">
        <v>2024</v>
      </c>
      <c r="D1144" s="18">
        <v>45367</v>
      </c>
      <c r="E1144" s="18">
        <v>45731</v>
      </c>
      <c r="F1144" s="18" t="s">
        <v>611</v>
      </c>
      <c r="G1144" t="s">
        <v>100</v>
      </c>
      <c r="H1144">
        <v>2</v>
      </c>
      <c r="I1144">
        <v>2</v>
      </c>
      <c r="J1144" s="27">
        <v>28409.65</v>
      </c>
      <c r="K1144" s="27">
        <v>2000000</v>
      </c>
    </row>
    <row r="1145" spans="1:11" ht="15" customHeight="1" x14ac:dyDescent="0.2">
      <c r="A1145" t="s">
        <v>8682</v>
      </c>
      <c r="B1145" t="s">
        <v>8683</v>
      </c>
      <c r="C1145">
        <v>2024</v>
      </c>
      <c r="D1145" s="18">
        <v>45368</v>
      </c>
      <c r="E1145" s="18">
        <v>45732</v>
      </c>
      <c r="F1145" s="18" t="s">
        <v>608</v>
      </c>
      <c r="G1145" t="s">
        <v>101</v>
      </c>
      <c r="H1145">
        <v>1</v>
      </c>
      <c r="I1145">
        <v>1</v>
      </c>
      <c r="J1145" s="27">
        <v>69734.09</v>
      </c>
      <c r="K1145" s="27">
        <v>4000000</v>
      </c>
    </row>
    <row r="1146" spans="1:11" ht="15" customHeight="1" x14ac:dyDescent="0.2">
      <c r="A1146" t="s">
        <v>8684</v>
      </c>
      <c r="B1146" t="s">
        <v>8685</v>
      </c>
      <c r="C1146">
        <v>2024</v>
      </c>
      <c r="D1146" s="18">
        <v>45368</v>
      </c>
      <c r="E1146" s="18">
        <v>45732</v>
      </c>
      <c r="F1146" s="18" t="s">
        <v>611</v>
      </c>
      <c r="G1146" t="s">
        <v>99</v>
      </c>
      <c r="H1146">
        <v>1</v>
      </c>
      <c r="I1146">
        <v>1</v>
      </c>
      <c r="J1146" s="27">
        <v>33524.83</v>
      </c>
      <c r="K1146" s="27">
        <v>4500000</v>
      </c>
    </row>
    <row r="1147" spans="1:11" ht="15" customHeight="1" x14ac:dyDescent="0.2">
      <c r="A1147" t="s">
        <v>8686</v>
      </c>
      <c r="B1147" t="s">
        <v>8687</v>
      </c>
      <c r="C1147">
        <v>2024</v>
      </c>
      <c r="D1147" s="18">
        <v>45368</v>
      </c>
      <c r="E1147" s="18">
        <v>45732</v>
      </c>
      <c r="F1147" s="18" t="s">
        <v>611</v>
      </c>
      <c r="G1147" t="s">
        <v>101</v>
      </c>
      <c r="H1147">
        <v>2</v>
      </c>
      <c r="I1147">
        <v>2</v>
      </c>
      <c r="J1147" s="27">
        <v>86104.84</v>
      </c>
      <c r="K1147" s="27">
        <v>5000000</v>
      </c>
    </row>
    <row r="1148" spans="1:11" ht="15" customHeight="1" x14ac:dyDescent="0.2">
      <c r="A1148" t="s">
        <v>8688</v>
      </c>
      <c r="B1148" t="s">
        <v>8689</v>
      </c>
      <c r="C1148">
        <v>2024</v>
      </c>
      <c r="D1148" s="18">
        <v>45369</v>
      </c>
      <c r="E1148" s="18">
        <v>45733</v>
      </c>
      <c r="F1148" s="18" t="s">
        <v>608</v>
      </c>
      <c r="G1148" t="s">
        <v>101</v>
      </c>
      <c r="H1148">
        <v>1</v>
      </c>
      <c r="I1148">
        <v>2</v>
      </c>
      <c r="J1148" s="27">
        <v>33328.11</v>
      </c>
      <c r="K1148" s="27">
        <v>2000000</v>
      </c>
    </row>
    <row r="1149" spans="1:11" ht="15" customHeight="1" x14ac:dyDescent="0.2">
      <c r="A1149" t="s">
        <v>8690</v>
      </c>
      <c r="B1149" t="s">
        <v>8691</v>
      </c>
      <c r="C1149">
        <v>2024</v>
      </c>
      <c r="D1149" s="18">
        <v>45369</v>
      </c>
      <c r="E1149" s="18">
        <v>45733</v>
      </c>
      <c r="F1149" s="18" t="s">
        <v>608</v>
      </c>
      <c r="G1149" t="s">
        <v>102</v>
      </c>
      <c r="H1149">
        <v>1</v>
      </c>
      <c r="I1149">
        <v>2</v>
      </c>
      <c r="J1149" s="27">
        <v>44244.7</v>
      </c>
      <c r="K1149" s="27">
        <v>5000000</v>
      </c>
    </row>
    <row r="1150" spans="1:11" ht="15" customHeight="1" x14ac:dyDescent="0.2">
      <c r="A1150" t="s">
        <v>8692</v>
      </c>
      <c r="B1150" t="s">
        <v>8693</v>
      </c>
      <c r="C1150">
        <v>2024</v>
      </c>
      <c r="D1150" s="18">
        <v>45369</v>
      </c>
      <c r="E1150" s="18">
        <v>45733</v>
      </c>
      <c r="F1150" s="18" t="s">
        <v>611</v>
      </c>
      <c r="G1150" t="s">
        <v>100</v>
      </c>
      <c r="H1150">
        <v>1</v>
      </c>
      <c r="I1150">
        <v>2</v>
      </c>
      <c r="J1150" s="27">
        <v>49914.93</v>
      </c>
      <c r="K1150" s="27">
        <v>4000000</v>
      </c>
    </row>
    <row r="1151" spans="1:11" ht="15" customHeight="1" x14ac:dyDescent="0.2">
      <c r="A1151" t="s">
        <v>8694</v>
      </c>
      <c r="B1151" t="s">
        <v>8695</v>
      </c>
      <c r="C1151">
        <v>2024</v>
      </c>
      <c r="D1151" s="18">
        <v>45369</v>
      </c>
      <c r="E1151" s="18">
        <v>45733</v>
      </c>
      <c r="F1151" s="18" t="s">
        <v>611</v>
      </c>
      <c r="G1151" t="s">
        <v>102</v>
      </c>
      <c r="H1151">
        <v>2</v>
      </c>
      <c r="I1151">
        <v>2</v>
      </c>
      <c r="J1151" s="27">
        <v>40943.96</v>
      </c>
      <c r="K1151" s="27">
        <v>5000000</v>
      </c>
    </row>
    <row r="1152" spans="1:11" ht="15" customHeight="1" x14ac:dyDescent="0.2">
      <c r="A1152" t="s">
        <v>8696</v>
      </c>
      <c r="B1152" t="s">
        <v>8697</v>
      </c>
      <c r="C1152">
        <v>2024</v>
      </c>
      <c r="D1152" s="18">
        <v>45369</v>
      </c>
      <c r="E1152" s="18">
        <v>45733</v>
      </c>
      <c r="F1152" s="18" t="s">
        <v>611</v>
      </c>
      <c r="G1152" t="s">
        <v>101</v>
      </c>
      <c r="H1152">
        <v>1</v>
      </c>
      <c r="I1152">
        <v>2</v>
      </c>
      <c r="J1152" s="27">
        <v>85538.22</v>
      </c>
      <c r="K1152" s="27">
        <v>5000000</v>
      </c>
    </row>
    <row r="1153" spans="1:11" ht="15" customHeight="1" x14ac:dyDescent="0.2">
      <c r="A1153" t="s">
        <v>8698</v>
      </c>
      <c r="B1153" t="s">
        <v>8699</v>
      </c>
      <c r="C1153">
        <v>2024</v>
      </c>
      <c r="D1153" s="18">
        <v>45369</v>
      </c>
      <c r="E1153" s="18">
        <v>45733</v>
      </c>
      <c r="F1153" s="18" t="s">
        <v>611</v>
      </c>
      <c r="G1153" t="s">
        <v>102</v>
      </c>
      <c r="H1153">
        <v>2</v>
      </c>
      <c r="I1153">
        <v>4</v>
      </c>
      <c r="J1153" s="27">
        <v>16500.14</v>
      </c>
      <c r="K1153" s="27">
        <v>2000000</v>
      </c>
    </row>
    <row r="1154" spans="1:11" ht="15" customHeight="1" x14ac:dyDescent="0.2">
      <c r="A1154" t="s">
        <v>8700</v>
      </c>
      <c r="B1154" t="s">
        <v>8701</v>
      </c>
      <c r="C1154">
        <v>2024</v>
      </c>
      <c r="D1154" s="18">
        <v>45369</v>
      </c>
      <c r="E1154" s="18">
        <v>45733</v>
      </c>
      <c r="F1154" s="18" t="s">
        <v>611</v>
      </c>
      <c r="G1154" t="s">
        <v>100</v>
      </c>
      <c r="H1154">
        <v>2</v>
      </c>
      <c r="I1154">
        <v>2</v>
      </c>
      <c r="J1154" s="27">
        <v>7092.75</v>
      </c>
      <c r="K1154" s="27">
        <v>500000</v>
      </c>
    </row>
    <row r="1155" spans="1:11" ht="15" customHeight="1" x14ac:dyDescent="0.2">
      <c r="A1155" t="s">
        <v>8702</v>
      </c>
      <c r="B1155" t="s">
        <v>8703</v>
      </c>
      <c r="C1155">
        <v>2024</v>
      </c>
      <c r="D1155" s="18">
        <v>45369</v>
      </c>
      <c r="E1155" s="18">
        <v>45733</v>
      </c>
      <c r="F1155" s="18" t="s">
        <v>611</v>
      </c>
      <c r="G1155" t="s">
        <v>99</v>
      </c>
      <c r="H1155">
        <v>2</v>
      </c>
      <c r="I1155">
        <v>2</v>
      </c>
      <c r="J1155" s="27">
        <v>89341.72</v>
      </c>
      <c r="K1155" s="27">
        <v>10000000</v>
      </c>
    </row>
    <row r="1156" spans="1:11" ht="15" customHeight="1" x14ac:dyDescent="0.2">
      <c r="A1156" t="s">
        <v>8704</v>
      </c>
      <c r="B1156" t="s">
        <v>8705</v>
      </c>
      <c r="C1156">
        <v>2024</v>
      </c>
      <c r="D1156" s="18">
        <v>45369</v>
      </c>
      <c r="E1156" s="18">
        <v>45733</v>
      </c>
      <c r="F1156" s="18" t="s">
        <v>611</v>
      </c>
      <c r="G1156" t="s">
        <v>99</v>
      </c>
      <c r="H1156">
        <v>3</v>
      </c>
      <c r="I1156">
        <v>6</v>
      </c>
      <c r="J1156" s="27">
        <v>25620.27</v>
      </c>
      <c r="K1156" s="27">
        <v>3000000</v>
      </c>
    </row>
    <row r="1157" spans="1:11" ht="15" customHeight="1" x14ac:dyDescent="0.2">
      <c r="A1157" t="s">
        <v>8706</v>
      </c>
      <c r="B1157" t="s">
        <v>8707</v>
      </c>
      <c r="C1157">
        <v>2024</v>
      </c>
      <c r="D1157" s="18">
        <v>45370</v>
      </c>
      <c r="E1157" s="18">
        <v>45734</v>
      </c>
      <c r="F1157" s="18" t="s">
        <v>608</v>
      </c>
      <c r="G1157" t="s">
        <v>101</v>
      </c>
      <c r="H1157">
        <v>2</v>
      </c>
      <c r="I1157">
        <v>4</v>
      </c>
      <c r="J1157" s="27">
        <v>59863.92</v>
      </c>
      <c r="K1157" s="27">
        <v>3500000</v>
      </c>
    </row>
    <row r="1158" spans="1:11" ht="15" customHeight="1" x14ac:dyDescent="0.2">
      <c r="A1158" t="s">
        <v>8708</v>
      </c>
      <c r="B1158" t="s">
        <v>8709</v>
      </c>
      <c r="C1158">
        <v>2024</v>
      </c>
      <c r="D1158" s="18">
        <v>45370</v>
      </c>
      <c r="E1158" s="18">
        <v>45734</v>
      </c>
      <c r="F1158" s="18" t="s">
        <v>611</v>
      </c>
      <c r="G1158" t="s">
        <v>101</v>
      </c>
      <c r="H1158">
        <v>2</v>
      </c>
      <c r="I1158">
        <v>4</v>
      </c>
      <c r="J1158" s="27">
        <v>63857.02</v>
      </c>
      <c r="K1158" s="27">
        <v>4000000</v>
      </c>
    </row>
    <row r="1159" spans="1:11" ht="15" customHeight="1" x14ac:dyDescent="0.2">
      <c r="A1159" t="s">
        <v>8710</v>
      </c>
      <c r="B1159" t="s">
        <v>8711</v>
      </c>
      <c r="C1159">
        <v>2024</v>
      </c>
      <c r="D1159" s="18">
        <v>45370</v>
      </c>
      <c r="E1159" s="18">
        <v>45734</v>
      </c>
      <c r="F1159" s="18" t="s">
        <v>611</v>
      </c>
      <c r="G1159" t="s">
        <v>100</v>
      </c>
      <c r="H1159">
        <v>1</v>
      </c>
      <c r="I1159">
        <v>1</v>
      </c>
      <c r="J1159" s="27">
        <v>43284.95</v>
      </c>
      <c r="K1159" s="27">
        <v>3500000</v>
      </c>
    </row>
    <row r="1160" spans="1:11" ht="15" customHeight="1" x14ac:dyDescent="0.2">
      <c r="A1160" t="s">
        <v>8712</v>
      </c>
      <c r="B1160" t="s">
        <v>8713</v>
      </c>
      <c r="C1160">
        <v>2024</v>
      </c>
      <c r="D1160" s="18">
        <v>45370</v>
      </c>
      <c r="E1160" s="18">
        <v>45734</v>
      </c>
      <c r="F1160" s="18" t="s">
        <v>611</v>
      </c>
      <c r="G1160" t="s">
        <v>99</v>
      </c>
      <c r="H1160">
        <v>1</v>
      </c>
      <c r="I1160">
        <v>2</v>
      </c>
      <c r="J1160" s="27">
        <v>34596.769999999997</v>
      </c>
      <c r="K1160" s="27">
        <v>4500000</v>
      </c>
    </row>
    <row r="1161" spans="1:11" ht="15" customHeight="1" x14ac:dyDescent="0.2">
      <c r="A1161" t="s">
        <v>8714</v>
      </c>
      <c r="B1161" t="s">
        <v>8715</v>
      </c>
      <c r="C1161">
        <v>2024</v>
      </c>
      <c r="D1161" s="18">
        <v>45370</v>
      </c>
      <c r="E1161" s="18">
        <v>45734</v>
      </c>
      <c r="F1161" s="18" t="s">
        <v>611</v>
      </c>
      <c r="G1161" t="s">
        <v>101</v>
      </c>
      <c r="H1161">
        <v>1</v>
      </c>
      <c r="I1161">
        <v>1</v>
      </c>
      <c r="J1161" s="27">
        <v>38176.33</v>
      </c>
      <c r="K1161" s="27">
        <v>2000000</v>
      </c>
    </row>
    <row r="1162" spans="1:11" ht="15" customHeight="1" x14ac:dyDescent="0.2">
      <c r="A1162" t="s">
        <v>8716</v>
      </c>
      <c r="B1162" t="s">
        <v>8717</v>
      </c>
      <c r="C1162">
        <v>2024</v>
      </c>
      <c r="D1162" s="18">
        <v>45370</v>
      </c>
      <c r="E1162" s="18">
        <v>45734</v>
      </c>
      <c r="F1162" s="18" t="s">
        <v>611</v>
      </c>
      <c r="G1162" t="s">
        <v>99</v>
      </c>
      <c r="H1162">
        <v>2</v>
      </c>
      <c r="I1162">
        <v>4</v>
      </c>
      <c r="J1162" s="27">
        <v>40126.99</v>
      </c>
      <c r="K1162" s="27">
        <v>5000000</v>
      </c>
    </row>
    <row r="1163" spans="1:11" ht="15" customHeight="1" x14ac:dyDescent="0.2">
      <c r="A1163" t="s">
        <v>8718</v>
      </c>
      <c r="B1163" t="s">
        <v>8719</v>
      </c>
      <c r="C1163">
        <v>2024</v>
      </c>
      <c r="D1163" s="18">
        <v>45370</v>
      </c>
      <c r="E1163" s="18">
        <v>45734</v>
      </c>
      <c r="F1163" s="18" t="s">
        <v>611</v>
      </c>
      <c r="G1163" t="s">
        <v>99</v>
      </c>
      <c r="H1163">
        <v>3</v>
      </c>
      <c r="I1163">
        <v>3</v>
      </c>
      <c r="J1163" s="27">
        <v>76020.69</v>
      </c>
      <c r="K1163" s="27">
        <v>10000000</v>
      </c>
    </row>
    <row r="1164" spans="1:11" ht="15" customHeight="1" x14ac:dyDescent="0.2">
      <c r="A1164" t="s">
        <v>8720</v>
      </c>
      <c r="B1164" t="s">
        <v>8721</v>
      </c>
      <c r="C1164">
        <v>2024</v>
      </c>
      <c r="D1164" s="18">
        <v>45370</v>
      </c>
      <c r="E1164" s="18">
        <v>45734</v>
      </c>
      <c r="F1164" s="18" t="s">
        <v>611</v>
      </c>
      <c r="G1164" t="s">
        <v>101</v>
      </c>
      <c r="H1164">
        <v>1</v>
      </c>
      <c r="I1164">
        <v>2</v>
      </c>
      <c r="J1164" s="27">
        <v>55609.5</v>
      </c>
      <c r="K1164" s="27">
        <v>3000000</v>
      </c>
    </row>
    <row r="1165" spans="1:11" ht="15" customHeight="1" x14ac:dyDescent="0.2">
      <c r="A1165" t="s">
        <v>8722</v>
      </c>
      <c r="B1165" t="s">
        <v>8723</v>
      </c>
      <c r="C1165">
        <v>2024</v>
      </c>
      <c r="D1165" s="18">
        <v>45370</v>
      </c>
      <c r="E1165" s="18">
        <v>45734</v>
      </c>
      <c r="F1165" s="18" t="s">
        <v>611</v>
      </c>
      <c r="G1165" t="s">
        <v>100</v>
      </c>
      <c r="H1165">
        <v>1</v>
      </c>
      <c r="I1165">
        <v>1</v>
      </c>
      <c r="J1165" s="27">
        <v>56140.54</v>
      </c>
      <c r="K1165" s="27">
        <v>4000000</v>
      </c>
    </row>
    <row r="1166" spans="1:11" ht="15" customHeight="1" x14ac:dyDescent="0.2">
      <c r="A1166" t="s">
        <v>8724</v>
      </c>
      <c r="B1166" t="s">
        <v>8725</v>
      </c>
      <c r="C1166">
        <v>2024</v>
      </c>
      <c r="D1166" s="18">
        <v>45371</v>
      </c>
      <c r="E1166" s="18">
        <v>45735</v>
      </c>
      <c r="F1166" s="18" t="s">
        <v>608</v>
      </c>
      <c r="G1166" t="s">
        <v>100</v>
      </c>
      <c r="H1166">
        <v>1</v>
      </c>
      <c r="I1166">
        <v>1</v>
      </c>
      <c r="J1166" s="27">
        <v>62949.38</v>
      </c>
      <c r="K1166" s="27">
        <v>4500000</v>
      </c>
    </row>
    <row r="1167" spans="1:11" ht="15" customHeight="1" x14ac:dyDescent="0.2">
      <c r="A1167" t="s">
        <v>8726</v>
      </c>
      <c r="B1167" t="s">
        <v>8727</v>
      </c>
      <c r="C1167">
        <v>2024</v>
      </c>
      <c r="D1167" s="18">
        <v>45371</v>
      </c>
      <c r="E1167" s="18">
        <v>45735</v>
      </c>
      <c r="F1167" s="18" t="s">
        <v>608</v>
      </c>
      <c r="G1167" t="s">
        <v>99</v>
      </c>
      <c r="H1167">
        <v>2</v>
      </c>
      <c r="I1167">
        <v>2</v>
      </c>
      <c r="J1167" s="27">
        <v>8497.7800000000007</v>
      </c>
      <c r="K1167" s="27">
        <v>1000000</v>
      </c>
    </row>
    <row r="1168" spans="1:11" ht="15" customHeight="1" x14ac:dyDescent="0.2">
      <c r="A1168" t="s">
        <v>8728</v>
      </c>
      <c r="B1168" t="s">
        <v>8729</v>
      </c>
      <c r="C1168">
        <v>2024</v>
      </c>
      <c r="D1168" s="18">
        <v>45371</v>
      </c>
      <c r="E1168" s="18">
        <v>45735</v>
      </c>
      <c r="F1168" s="18" t="s">
        <v>611</v>
      </c>
      <c r="G1168" t="s">
        <v>102</v>
      </c>
      <c r="H1168">
        <v>2</v>
      </c>
      <c r="I1168">
        <v>2</v>
      </c>
      <c r="J1168" s="27">
        <v>18528.060000000001</v>
      </c>
      <c r="K1168" s="27">
        <v>2000000</v>
      </c>
    </row>
    <row r="1169" spans="1:11" ht="15" customHeight="1" x14ac:dyDescent="0.2">
      <c r="A1169" t="s">
        <v>8730</v>
      </c>
      <c r="B1169" t="s">
        <v>8731</v>
      </c>
      <c r="C1169">
        <v>2024</v>
      </c>
      <c r="D1169" s="18">
        <v>45371</v>
      </c>
      <c r="E1169" s="18">
        <v>45735</v>
      </c>
      <c r="F1169" s="18" t="s">
        <v>611</v>
      </c>
      <c r="G1169" t="s">
        <v>101</v>
      </c>
      <c r="H1169">
        <v>1</v>
      </c>
      <c r="I1169">
        <v>2</v>
      </c>
      <c r="J1169" s="27">
        <v>57408.22</v>
      </c>
      <c r="K1169" s="27">
        <v>3500000</v>
      </c>
    </row>
    <row r="1170" spans="1:11" ht="15" customHeight="1" x14ac:dyDescent="0.2">
      <c r="A1170" t="s">
        <v>8732</v>
      </c>
      <c r="B1170" t="s">
        <v>8733</v>
      </c>
      <c r="C1170">
        <v>2024</v>
      </c>
      <c r="D1170" s="18">
        <v>45371</v>
      </c>
      <c r="E1170" s="18">
        <v>45735</v>
      </c>
      <c r="F1170" s="18" t="s">
        <v>611</v>
      </c>
      <c r="G1170" t="s">
        <v>100</v>
      </c>
      <c r="H1170">
        <v>1</v>
      </c>
      <c r="I1170">
        <v>1</v>
      </c>
      <c r="J1170" s="27">
        <v>139787.67000000001</v>
      </c>
      <c r="K1170" s="27">
        <v>10000000</v>
      </c>
    </row>
    <row r="1171" spans="1:11" ht="15" customHeight="1" x14ac:dyDescent="0.2">
      <c r="A1171" t="s">
        <v>8734</v>
      </c>
      <c r="B1171" t="s">
        <v>8735</v>
      </c>
      <c r="C1171">
        <v>2024</v>
      </c>
      <c r="D1171" s="18">
        <v>45371</v>
      </c>
      <c r="E1171" s="18">
        <v>45735</v>
      </c>
      <c r="F1171" s="18" t="s">
        <v>611</v>
      </c>
      <c r="G1171" t="s">
        <v>99</v>
      </c>
      <c r="H1171">
        <v>1</v>
      </c>
      <c r="I1171">
        <v>1</v>
      </c>
      <c r="J1171" s="27">
        <v>18816.29</v>
      </c>
      <c r="K1171" s="27">
        <v>2500000</v>
      </c>
    </row>
    <row r="1172" spans="1:11" ht="15" customHeight="1" x14ac:dyDescent="0.2">
      <c r="A1172" t="s">
        <v>8736</v>
      </c>
      <c r="B1172" t="s">
        <v>8737</v>
      </c>
      <c r="C1172">
        <v>2024</v>
      </c>
      <c r="D1172" s="18">
        <v>45371</v>
      </c>
      <c r="E1172" s="18">
        <v>45735</v>
      </c>
      <c r="F1172" s="18" t="s">
        <v>611</v>
      </c>
      <c r="G1172" t="s">
        <v>101</v>
      </c>
      <c r="H1172">
        <v>3</v>
      </c>
      <c r="I1172">
        <v>6</v>
      </c>
      <c r="J1172" s="27">
        <v>66484.399999999994</v>
      </c>
      <c r="K1172" s="27">
        <v>3500000</v>
      </c>
    </row>
    <row r="1173" spans="1:11" ht="15" customHeight="1" x14ac:dyDescent="0.2">
      <c r="A1173" t="s">
        <v>8738</v>
      </c>
      <c r="B1173" t="s">
        <v>8739</v>
      </c>
      <c r="C1173">
        <v>2024</v>
      </c>
      <c r="D1173" s="18">
        <v>45372</v>
      </c>
      <c r="E1173" s="18">
        <v>45736</v>
      </c>
      <c r="F1173" s="18" t="s">
        <v>608</v>
      </c>
      <c r="G1173" t="s">
        <v>99</v>
      </c>
      <c r="H1173">
        <v>2</v>
      </c>
      <c r="I1173">
        <v>4</v>
      </c>
      <c r="J1173" s="27">
        <v>32883.86</v>
      </c>
      <c r="K1173" s="27">
        <v>4000000</v>
      </c>
    </row>
    <row r="1174" spans="1:11" ht="15" customHeight="1" x14ac:dyDescent="0.2">
      <c r="A1174" t="s">
        <v>8740</v>
      </c>
      <c r="B1174" t="s">
        <v>8741</v>
      </c>
      <c r="C1174">
        <v>2024</v>
      </c>
      <c r="D1174" s="18">
        <v>45372</v>
      </c>
      <c r="E1174" s="18">
        <v>45736</v>
      </c>
      <c r="F1174" s="18" t="s">
        <v>611</v>
      </c>
      <c r="G1174" t="s">
        <v>101</v>
      </c>
      <c r="H1174">
        <v>1</v>
      </c>
      <c r="I1174">
        <v>2</v>
      </c>
      <c r="J1174" s="27">
        <v>174825.77</v>
      </c>
      <c r="K1174" s="27">
        <v>10000000</v>
      </c>
    </row>
    <row r="1175" spans="1:11" ht="15" customHeight="1" x14ac:dyDescent="0.2">
      <c r="A1175" t="s">
        <v>8742</v>
      </c>
      <c r="B1175" t="s">
        <v>8743</v>
      </c>
      <c r="C1175">
        <v>2024</v>
      </c>
      <c r="D1175" s="18">
        <v>45372</v>
      </c>
      <c r="E1175" s="18">
        <v>45736</v>
      </c>
      <c r="F1175" s="18" t="s">
        <v>611</v>
      </c>
      <c r="G1175" t="s">
        <v>101</v>
      </c>
      <c r="H1175">
        <v>1</v>
      </c>
      <c r="I1175">
        <v>1</v>
      </c>
      <c r="J1175" s="27">
        <v>79576.070000000007</v>
      </c>
      <c r="K1175" s="27">
        <v>5000000</v>
      </c>
    </row>
    <row r="1176" spans="1:11" ht="15" customHeight="1" x14ac:dyDescent="0.2">
      <c r="A1176" t="s">
        <v>8744</v>
      </c>
      <c r="B1176" t="s">
        <v>8745</v>
      </c>
      <c r="C1176">
        <v>2024</v>
      </c>
      <c r="D1176" s="18">
        <v>45372</v>
      </c>
      <c r="E1176" s="18">
        <v>45736</v>
      </c>
      <c r="F1176" s="18" t="s">
        <v>611</v>
      </c>
      <c r="G1176" t="s">
        <v>101</v>
      </c>
      <c r="H1176">
        <v>2</v>
      </c>
      <c r="I1176">
        <v>4</v>
      </c>
      <c r="J1176" s="27">
        <v>18286.810000000001</v>
      </c>
      <c r="K1176" s="27">
        <v>1000000</v>
      </c>
    </row>
    <row r="1177" spans="1:11" ht="15" customHeight="1" x14ac:dyDescent="0.2">
      <c r="A1177" t="s">
        <v>8746</v>
      </c>
      <c r="B1177" t="s">
        <v>8747</v>
      </c>
      <c r="C1177">
        <v>2024</v>
      </c>
      <c r="D1177" s="18">
        <v>45372</v>
      </c>
      <c r="E1177" s="18">
        <v>45736</v>
      </c>
      <c r="F1177" s="18" t="s">
        <v>611</v>
      </c>
      <c r="G1177" t="s">
        <v>102</v>
      </c>
      <c r="H1177">
        <v>3</v>
      </c>
      <c r="I1177">
        <v>3</v>
      </c>
      <c r="J1177" s="27">
        <v>35301.379999999997</v>
      </c>
      <c r="K1177" s="27">
        <v>4000000</v>
      </c>
    </row>
    <row r="1178" spans="1:11" ht="15" customHeight="1" x14ac:dyDescent="0.2">
      <c r="A1178" t="s">
        <v>8748</v>
      </c>
      <c r="B1178" t="s">
        <v>8749</v>
      </c>
      <c r="C1178">
        <v>2024</v>
      </c>
      <c r="D1178" s="18">
        <v>45372</v>
      </c>
      <c r="E1178" s="18">
        <v>45736</v>
      </c>
      <c r="F1178" s="18" t="s">
        <v>611</v>
      </c>
      <c r="G1178" t="s">
        <v>99</v>
      </c>
      <c r="H1178">
        <v>1</v>
      </c>
      <c r="I1178">
        <v>2</v>
      </c>
      <c r="J1178" s="27">
        <v>42651.14</v>
      </c>
      <c r="K1178" s="27">
        <v>5000000</v>
      </c>
    </row>
    <row r="1179" spans="1:11" ht="15" customHeight="1" x14ac:dyDescent="0.2">
      <c r="A1179" t="s">
        <v>8750</v>
      </c>
      <c r="B1179" t="s">
        <v>8751</v>
      </c>
      <c r="C1179">
        <v>2024</v>
      </c>
      <c r="D1179" s="18">
        <v>45373</v>
      </c>
      <c r="E1179" s="18">
        <v>45737</v>
      </c>
      <c r="F1179" s="18" t="s">
        <v>608</v>
      </c>
      <c r="G1179" t="s">
        <v>102</v>
      </c>
      <c r="H1179">
        <v>3</v>
      </c>
      <c r="I1179">
        <v>3</v>
      </c>
      <c r="J1179" s="27">
        <v>39257.83</v>
      </c>
      <c r="K1179" s="27">
        <v>4500000</v>
      </c>
    </row>
    <row r="1180" spans="1:11" ht="15" customHeight="1" x14ac:dyDescent="0.2">
      <c r="A1180" t="s">
        <v>8752</v>
      </c>
      <c r="B1180" t="s">
        <v>8753</v>
      </c>
      <c r="C1180">
        <v>2024</v>
      </c>
      <c r="D1180" s="18">
        <v>45373</v>
      </c>
      <c r="E1180" s="18">
        <v>45737</v>
      </c>
      <c r="F1180" s="18" t="s">
        <v>608</v>
      </c>
      <c r="G1180" t="s">
        <v>99</v>
      </c>
      <c r="H1180">
        <v>2</v>
      </c>
      <c r="I1180">
        <v>2</v>
      </c>
      <c r="J1180" s="27">
        <v>79221.81</v>
      </c>
      <c r="K1180" s="27">
        <v>10000000</v>
      </c>
    </row>
    <row r="1181" spans="1:11" ht="15" customHeight="1" x14ac:dyDescent="0.2">
      <c r="A1181" t="s">
        <v>8754</v>
      </c>
      <c r="B1181" t="s">
        <v>8755</v>
      </c>
      <c r="C1181">
        <v>2024</v>
      </c>
      <c r="D1181" s="18">
        <v>45373</v>
      </c>
      <c r="E1181" s="18">
        <v>45737</v>
      </c>
      <c r="F1181" s="18" t="s">
        <v>608</v>
      </c>
      <c r="G1181" t="s">
        <v>100</v>
      </c>
      <c r="H1181">
        <v>1</v>
      </c>
      <c r="I1181">
        <v>2</v>
      </c>
      <c r="J1181" s="27">
        <v>42252.99</v>
      </c>
      <c r="K1181" s="27">
        <v>3500000</v>
      </c>
    </row>
    <row r="1182" spans="1:11" ht="15" customHeight="1" x14ac:dyDescent="0.2">
      <c r="A1182" t="s">
        <v>8756</v>
      </c>
      <c r="B1182" t="s">
        <v>8757</v>
      </c>
      <c r="C1182">
        <v>2024</v>
      </c>
      <c r="D1182" s="18">
        <v>45373</v>
      </c>
      <c r="E1182" s="18">
        <v>45737</v>
      </c>
      <c r="F1182" s="18" t="s">
        <v>608</v>
      </c>
      <c r="G1182" t="s">
        <v>102</v>
      </c>
      <c r="H1182">
        <v>2</v>
      </c>
      <c r="I1182">
        <v>2</v>
      </c>
      <c r="J1182" s="27">
        <v>26496.89</v>
      </c>
      <c r="K1182" s="27">
        <v>3000000</v>
      </c>
    </row>
    <row r="1183" spans="1:11" ht="15" customHeight="1" x14ac:dyDescent="0.2">
      <c r="A1183" t="s">
        <v>8758</v>
      </c>
      <c r="B1183" t="s">
        <v>8759</v>
      </c>
      <c r="C1183">
        <v>2024</v>
      </c>
      <c r="D1183" s="18">
        <v>45373</v>
      </c>
      <c r="E1183" s="18">
        <v>45737</v>
      </c>
      <c r="F1183" s="18" t="s">
        <v>611</v>
      </c>
      <c r="G1183" t="s">
        <v>100</v>
      </c>
      <c r="H1183">
        <v>2</v>
      </c>
      <c r="I1183">
        <v>4</v>
      </c>
      <c r="J1183" s="27">
        <v>25072.55</v>
      </c>
      <c r="K1183" s="27">
        <v>2000000</v>
      </c>
    </row>
    <row r="1184" spans="1:11" ht="15" customHeight="1" x14ac:dyDescent="0.2">
      <c r="A1184" t="s">
        <v>8760</v>
      </c>
      <c r="B1184" t="s">
        <v>8761</v>
      </c>
      <c r="C1184">
        <v>2024</v>
      </c>
      <c r="D1184" s="18">
        <v>45373</v>
      </c>
      <c r="E1184" s="18">
        <v>45737</v>
      </c>
      <c r="F1184" s="18" t="s">
        <v>611</v>
      </c>
      <c r="G1184" t="s">
        <v>101</v>
      </c>
      <c r="H1184">
        <v>3</v>
      </c>
      <c r="I1184">
        <v>6</v>
      </c>
      <c r="J1184" s="27">
        <v>54630.95</v>
      </c>
      <c r="K1184" s="27">
        <v>3000000</v>
      </c>
    </row>
    <row r="1185" spans="1:11" ht="15" customHeight="1" x14ac:dyDescent="0.2">
      <c r="A1185" t="s">
        <v>8762</v>
      </c>
      <c r="B1185" t="s">
        <v>8763</v>
      </c>
      <c r="C1185">
        <v>2024</v>
      </c>
      <c r="D1185" s="18">
        <v>45373</v>
      </c>
      <c r="E1185" s="18">
        <v>45737</v>
      </c>
      <c r="F1185" s="18" t="s">
        <v>611</v>
      </c>
      <c r="G1185" t="s">
        <v>99</v>
      </c>
      <c r="H1185">
        <v>3</v>
      </c>
      <c r="I1185">
        <v>3</v>
      </c>
      <c r="J1185" s="27">
        <v>3760.59</v>
      </c>
      <c r="K1185" s="27">
        <v>500000</v>
      </c>
    </row>
    <row r="1186" spans="1:11" ht="15" customHeight="1" x14ac:dyDescent="0.2">
      <c r="A1186" t="s">
        <v>8764</v>
      </c>
      <c r="B1186" t="s">
        <v>8765</v>
      </c>
      <c r="C1186">
        <v>2024</v>
      </c>
      <c r="D1186" s="18">
        <v>45374</v>
      </c>
      <c r="E1186" s="18">
        <v>45738</v>
      </c>
      <c r="F1186" s="18" t="s">
        <v>608</v>
      </c>
      <c r="G1186" t="s">
        <v>101</v>
      </c>
      <c r="H1186">
        <v>2</v>
      </c>
      <c r="I1186">
        <v>2</v>
      </c>
      <c r="J1186" s="27">
        <v>160718.03</v>
      </c>
      <c r="K1186" s="27">
        <v>10000000</v>
      </c>
    </row>
    <row r="1187" spans="1:11" ht="15" customHeight="1" x14ac:dyDescent="0.2">
      <c r="A1187" t="s">
        <v>8766</v>
      </c>
      <c r="B1187" t="s">
        <v>8767</v>
      </c>
      <c r="C1187">
        <v>2024</v>
      </c>
      <c r="D1187" s="18">
        <v>45374</v>
      </c>
      <c r="E1187" s="18">
        <v>45738</v>
      </c>
      <c r="F1187" s="18" t="s">
        <v>608</v>
      </c>
      <c r="G1187" t="s">
        <v>99</v>
      </c>
      <c r="H1187">
        <v>1</v>
      </c>
      <c r="I1187">
        <v>2</v>
      </c>
      <c r="J1187" s="27">
        <v>26527.68</v>
      </c>
      <c r="K1187" s="27">
        <v>3000000</v>
      </c>
    </row>
    <row r="1188" spans="1:11" ht="15" customHeight="1" x14ac:dyDescent="0.2">
      <c r="A1188" t="s">
        <v>8768</v>
      </c>
      <c r="B1188" t="s">
        <v>8769</v>
      </c>
      <c r="C1188">
        <v>2024</v>
      </c>
      <c r="D1188" s="18">
        <v>45374</v>
      </c>
      <c r="E1188" s="18">
        <v>45738</v>
      </c>
      <c r="F1188" s="18" t="s">
        <v>611</v>
      </c>
      <c r="G1188" t="s">
        <v>99</v>
      </c>
      <c r="H1188">
        <v>1</v>
      </c>
      <c r="I1188">
        <v>2</v>
      </c>
      <c r="J1188" s="27">
        <v>17015.39</v>
      </c>
      <c r="K1188" s="27">
        <v>2000000</v>
      </c>
    </row>
    <row r="1189" spans="1:11" ht="15" customHeight="1" x14ac:dyDescent="0.2">
      <c r="A1189" t="s">
        <v>8770</v>
      </c>
      <c r="B1189" t="s">
        <v>8771</v>
      </c>
      <c r="C1189">
        <v>2024</v>
      </c>
      <c r="D1189" s="18">
        <v>45374</v>
      </c>
      <c r="E1189" s="18">
        <v>45738</v>
      </c>
      <c r="F1189" s="18" t="s">
        <v>611</v>
      </c>
      <c r="G1189" t="s">
        <v>100</v>
      </c>
      <c r="H1189">
        <v>1</v>
      </c>
      <c r="I1189">
        <v>1</v>
      </c>
      <c r="J1189" s="27">
        <v>14091.55</v>
      </c>
      <c r="K1189" s="27">
        <v>1000000</v>
      </c>
    </row>
    <row r="1190" spans="1:11" ht="15" customHeight="1" x14ac:dyDescent="0.2">
      <c r="A1190" t="s">
        <v>8772</v>
      </c>
      <c r="B1190" t="s">
        <v>8773</v>
      </c>
      <c r="C1190">
        <v>2024</v>
      </c>
      <c r="D1190" s="18">
        <v>45374</v>
      </c>
      <c r="E1190" s="18">
        <v>45738</v>
      </c>
      <c r="F1190" s="18" t="s">
        <v>611</v>
      </c>
      <c r="G1190" t="s">
        <v>102</v>
      </c>
      <c r="H1190">
        <v>2</v>
      </c>
      <c r="I1190">
        <v>2</v>
      </c>
      <c r="J1190" s="27">
        <v>88156.33</v>
      </c>
      <c r="K1190" s="27">
        <v>10000000</v>
      </c>
    </row>
    <row r="1191" spans="1:11" ht="15" customHeight="1" x14ac:dyDescent="0.2">
      <c r="A1191" t="s">
        <v>8774</v>
      </c>
      <c r="B1191" t="s">
        <v>8775</v>
      </c>
      <c r="C1191">
        <v>2024</v>
      </c>
      <c r="D1191" s="18">
        <v>45374</v>
      </c>
      <c r="E1191" s="18">
        <v>45738</v>
      </c>
      <c r="F1191" s="18" t="s">
        <v>611</v>
      </c>
      <c r="G1191" t="s">
        <v>100</v>
      </c>
      <c r="H1191">
        <v>1</v>
      </c>
      <c r="I1191">
        <v>1</v>
      </c>
      <c r="J1191" s="27">
        <v>50959.19</v>
      </c>
      <c r="K1191" s="27">
        <v>4000000</v>
      </c>
    </row>
    <row r="1192" spans="1:11" ht="15" customHeight="1" x14ac:dyDescent="0.2">
      <c r="A1192" t="s">
        <v>8776</v>
      </c>
      <c r="B1192" t="s">
        <v>8777</v>
      </c>
      <c r="C1192">
        <v>2024</v>
      </c>
      <c r="D1192" s="18">
        <v>45374</v>
      </c>
      <c r="E1192" s="18">
        <v>45738</v>
      </c>
      <c r="F1192" s="18" t="s">
        <v>611</v>
      </c>
      <c r="G1192" t="s">
        <v>100</v>
      </c>
      <c r="H1192">
        <v>2</v>
      </c>
      <c r="I1192">
        <v>2</v>
      </c>
      <c r="J1192" s="27">
        <v>55886.41</v>
      </c>
      <c r="K1192" s="27">
        <v>4000000</v>
      </c>
    </row>
    <row r="1193" spans="1:11" ht="15" customHeight="1" x14ac:dyDescent="0.2">
      <c r="A1193" t="s">
        <v>8778</v>
      </c>
      <c r="B1193" t="s">
        <v>8779</v>
      </c>
      <c r="C1193">
        <v>2024</v>
      </c>
      <c r="D1193" s="18">
        <v>45374</v>
      </c>
      <c r="E1193" s="18">
        <v>45738</v>
      </c>
      <c r="F1193" s="18" t="s">
        <v>611</v>
      </c>
      <c r="G1193" t="s">
        <v>101</v>
      </c>
      <c r="H1193">
        <v>3</v>
      </c>
      <c r="I1193">
        <v>3</v>
      </c>
      <c r="J1193" s="27">
        <v>73939.75</v>
      </c>
      <c r="K1193" s="27">
        <v>4500000</v>
      </c>
    </row>
    <row r="1194" spans="1:11" ht="15" customHeight="1" x14ac:dyDescent="0.2">
      <c r="A1194" t="s">
        <v>8780</v>
      </c>
      <c r="B1194" t="s">
        <v>8781</v>
      </c>
      <c r="C1194">
        <v>2024</v>
      </c>
      <c r="D1194" s="18">
        <v>45374</v>
      </c>
      <c r="E1194" s="18">
        <v>45738</v>
      </c>
      <c r="F1194" s="18" t="s">
        <v>611</v>
      </c>
      <c r="G1194" t="s">
        <v>100</v>
      </c>
      <c r="H1194">
        <v>2</v>
      </c>
      <c r="I1194">
        <v>4</v>
      </c>
      <c r="J1194" s="27">
        <v>58530.33</v>
      </c>
      <c r="K1194" s="27">
        <v>4500000</v>
      </c>
    </row>
    <row r="1195" spans="1:11" ht="15" customHeight="1" x14ac:dyDescent="0.2">
      <c r="A1195" t="s">
        <v>8782</v>
      </c>
      <c r="B1195" t="s">
        <v>8783</v>
      </c>
      <c r="C1195">
        <v>2024</v>
      </c>
      <c r="D1195" s="18">
        <v>45374</v>
      </c>
      <c r="E1195" s="18">
        <v>45738</v>
      </c>
      <c r="F1195" s="18" t="s">
        <v>611</v>
      </c>
      <c r="G1195" t="s">
        <v>99</v>
      </c>
      <c r="H1195">
        <v>2</v>
      </c>
      <c r="I1195">
        <v>4</v>
      </c>
      <c r="J1195" s="27">
        <v>21140.21</v>
      </c>
      <c r="K1195" s="27">
        <v>2500000</v>
      </c>
    </row>
    <row r="1196" spans="1:11" ht="15" customHeight="1" x14ac:dyDescent="0.2">
      <c r="A1196" t="s">
        <v>8784</v>
      </c>
      <c r="B1196" t="s">
        <v>8785</v>
      </c>
      <c r="C1196">
        <v>2024</v>
      </c>
      <c r="D1196" s="18">
        <v>45374</v>
      </c>
      <c r="E1196" s="18">
        <v>45738</v>
      </c>
      <c r="F1196" s="18" t="s">
        <v>611</v>
      </c>
      <c r="G1196" t="s">
        <v>100</v>
      </c>
      <c r="H1196">
        <v>1</v>
      </c>
      <c r="I1196">
        <v>1</v>
      </c>
      <c r="J1196" s="27">
        <v>53512.61</v>
      </c>
      <c r="K1196" s="27">
        <v>4000000</v>
      </c>
    </row>
    <row r="1197" spans="1:11" ht="15" customHeight="1" x14ac:dyDescent="0.2">
      <c r="A1197" t="s">
        <v>8786</v>
      </c>
      <c r="B1197" t="s">
        <v>8787</v>
      </c>
      <c r="C1197">
        <v>2024</v>
      </c>
      <c r="D1197" s="18">
        <v>45375</v>
      </c>
      <c r="E1197" s="18">
        <v>45739</v>
      </c>
      <c r="F1197" s="18" t="s">
        <v>608</v>
      </c>
      <c r="G1197" t="s">
        <v>101</v>
      </c>
      <c r="H1197">
        <v>1</v>
      </c>
      <c r="I1197">
        <v>1</v>
      </c>
      <c r="J1197" s="27">
        <v>54772.14</v>
      </c>
      <c r="K1197" s="27">
        <v>3000000</v>
      </c>
    </row>
    <row r="1198" spans="1:11" ht="15" customHeight="1" x14ac:dyDescent="0.2">
      <c r="A1198" t="s">
        <v>8788</v>
      </c>
      <c r="B1198" t="s">
        <v>8789</v>
      </c>
      <c r="C1198">
        <v>2024</v>
      </c>
      <c r="D1198" s="18">
        <v>45375</v>
      </c>
      <c r="E1198" s="18">
        <v>45739</v>
      </c>
      <c r="F1198" s="18" t="s">
        <v>611</v>
      </c>
      <c r="G1198" t="s">
        <v>100</v>
      </c>
      <c r="H1198">
        <v>1</v>
      </c>
      <c r="I1198">
        <v>2</v>
      </c>
      <c r="J1198" s="27">
        <v>40093.83</v>
      </c>
      <c r="K1198" s="27">
        <v>3000000</v>
      </c>
    </row>
    <row r="1199" spans="1:11" ht="15" customHeight="1" x14ac:dyDescent="0.2">
      <c r="A1199" t="s">
        <v>8790</v>
      </c>
      <c r="B1199" t="s">
        <v>8791</v>
      </c>
      <c r="C1199">
        <v>2024</v>
      </c>
      <c r="D1199" s="18">
        <v>45375</v>
      </c>
      <c r="E1199" s="18">
        <v>45739</v>
      </c>
      <c r="F1199" s="18" t="s">
        <v>611</v>
      </c>
      <c r="G1199" t="s">
        <v>102</v>
      </c>
      <c r="H1199">
        <v>2</v>
      </c>
      <c r="I1199">
        <v>4</v>
      </c>
      <c r="J1199" s="27">
        <v>28690.81</v>
      </c>
      <c r="K1199" s="27">
        <v>3500000</v>
      </c>
    </row>
    <row r="1200" spans="1:11" ht="15" customHeight="1" x14ac:dyDescent="0.2">
      <c r="A1200" t="s">
        <v>8792</v>
      </c>
      <c r="B1200" t="s">
        <v>8793</v>
      </c>
      <c r="C1200">
        <v>2024</v>
      </c>
      <c r="D1200" s="18">
        <v>45375</v>
      </c>
      <c r="E1200" s="18">
        <v>45739</v>
      </c>
      <c r="F1200" s="18" t="s">
        <v>611</v>
      </c>
      <c r="G1200" t="s">
        <v>101</v>
      </c>
      <c r="H1200">
        <v>1</v>
      </c>
      <c r="I1200">
        <v>2</v>
      </c>
      <c r="J1200" s="27">
        <v>42665.71</v>
      </c>
      <c r="K1200" s="27">
        <v>2500000</v>
      </c>
    </row>
    <row r="1201" spans="1:11" ht="15" customHeight="1" x14ac:dyDescent="0.2">
      <c r="A1201" t="s">
        <v>8794</v>
      </c>
      <c r="B1201" t="s">
        <v>8795</v>
      </c>
      <c r="C1201">
        <v>2024</v>
      </c>
      <c r="D1201" s="18">
        <v>45375</v>
      </c>
      <c r="E1201" s="18">
        <v>45739</v>
      </c>
      <c r="F1201" s="18" t="s">
        <v>611</v>
      </c>
      <c r="G1201" t="s">
        <v>100</v>
      </c>
      <c r="H1201">
        <v>1</v>
      </c>
      <c r="I1201">
        <v>1</v>
      </c>
      <c r="J1201" s="27">
        <v>71365.259999999995</v>
      </c>
      <c r="K1201" s="27">
        <v>5000000</v>
      </c>
    </row>
    <row r="1202" spans="1:11" ht="15" customHeight="1" x14ac:dyDescent="0.2">
      <c r="A1202" t="s">
        <v>8796</v>
      </c>
      <c r="B1202" t="s">
        <v>8797</v>
      </c>
      <c r="C1202">
        <v>2024</v>
      </c>
      <c r="D1202" s="18">
        <v>45375</v>
      </c>
      <c r="E1202" s="18">
        <v>45739</v>
      </c>
      <c r="F1202" s="18" t="s">
        <v>611</v>
      </c>
      <c r="G1202" t="s">
        <v>102</v>
      </c>
      <c r="H1202">
        <v>1</v>
      </c>
      <c r="I1202">
        <v>1</v>
      </c>
      <c r="J1202" s="27">
        <v>86199.63</v>
      </c>
      <c r="K1202" s="27">
        <v>10000000</v>
      </c>
    </row>
    <row r="1203" spans="1:11" ht="15" customHeight="1" x14ac:dyDescent="0.2">
      <c r="A1203" t="s">
        <v>8798</v>
      </c>
      <c r="B1203" t="s">
        <v>8799</v>
      </c>
      <c r="C1203">
        <v>2024</v>
      </c>
      <c r="D1203" s="18">
        <v>45375</v>
      </c>
      <c r="E1203" s="18">
        <v>45739</v>
      </c>
      <c r="F1203" s="18" t="s">
        <v>611</v>
      </c>
      <c r="G1203" t="s">
        <v>101</v>
      </c>
      <c r="H1203">
        <v>3</v>
      </c>
      <c r="I1203">
        <v>6</v>
      </c>
      <c r="J1203" s="27">
        <v>179747.11</v>
      </c>
      <c r="K1203" s="27">
        <v>10000000</v>
      </c>
    </row>
    <row r="1204" spans="1:11" ht="15" customHeight="1" x14ac:dyDescent="0.2">
      <c r="A1204" t="s">
        <v>8800</v>
      </c>
      <c r="B1204" t="s">
        <v>8801</v>
      </c>
      <c r="C1204">
        <v>2024</v>
      </c>
      <c r="D1204" s="18">
        <v>45376</v>
      </c>
      <c r="E1204" s="18">
        <v>45740</v>
      </c>
      <c r="F1204" s="18" t="s">
        <v>611</v>
      </c>
      <c r="G1204" t="s">
        <v>102</v>
      </c>
      <c r="H1204">
        <v>2</v>
      </c>
      <c r="I1204">
        <v>2</v>
      </c>
      <c r="J1204" s="27">
        <v>22931.53</v>
      </c>
      <c r="K1204" s="27">
        <v>2500000</v>
      </c>
    </row>
    <row r="1205" spans="1:11" ht="15" customHeight="1" x14ac:dyDescent="0.2">
      <c r="A1205" t="s">
        <v>8802</v>
      </c>
      <c r="B1205" t="s">
        <v>8803</v>
      </c>
      <c r="C1205">
        <v>2024</v>
      </c>
      <c r="D1205" s="18">
        <v>45376</v>
      </c>
      <c r="E1205" s="18">
        <v>45740</v>
      </c>
      <c r="F1205" s="18" t="s">
        <v>611</v>
      </c>
      <c r="G1205" t="s">
        <v>101</v>
      </c>
      <c r="H1205">
        <v>1</v>
      </c>
      <c r="I1205">
        <v>1</v>
      </c>
      <c r="J1205" s="27">
        <v>91951.72</v>
      </c>
      <c r="K1205" s="27">
        <v>5000000</v>
      </c>
    </row>
    <row r="1206" spans="1:11" ht="15" customHeight="1" x14ac:dyDescent="0.2">
      <c r="A1206" t="s">
        <v>8804</v>
      </c>
      <c r="B1206" t="s">
        <v>8805</v>
      </c>
      <c r="C1206">
        <v>2024</v>
      </c>
      <c r="D1206" s="18">
        <v>45376</v>
      </c>
      <c r="E1206" s="18">
        <v>45740</v>
      </c>
      <c r="F1206" s="18" t="s">
        <v>611</v>
      </c>
      <c r="G1206" t="s">
        <v>102</v>
      </c>
      <c r="H1206">
        <v>1</v>
      </c>
      <c r="I1206">
        <v>1</v>
      </c>
      <c r="J1206" s="27">
        <v>7947.99</v>
      </c>
      <c r="K1206" s="27">
        <v>1000000</v>
      </c>
    </row>
    <row r="1207" spans="1:11" ht="15" customHeight="1" x14ac:dyDescent="0.2">
      <c r="A1207" t="s">
        <v>8806</v>
      </c>
      <c r="B1207" t="s">
        <v>8807</v>
      </c>
      <c r="C1207">
        <v>2024</v>
      </c>
      <c r="D1207" s="18">
        <v>45376</v>
      </c>
      <c r="E1207" s="18">
        <v>45740</v>
      </c>
      <c r="F1207" s="18" t="s">
        <v>611</v>
      </c>
      <c r="G1207" t="s">
        <v>101</v>
      </c>
      <c r="H1207">
        <v>1</v>
      </c>
      <c r="I1207">
        <v>1</v>
      </c>
      <c r="J1207" s="27">
        <v>34469.4</v>
      </c>
      <c r="K1207" s="27">
        <v>2000000</v>
      </c>
    </row>
    <row r="1208" spans="1:11" ht="15" customHeight="1" x14ac:dyDescent="0.2">
      <c r="A1208" t="s">
        <v>8808</v>
      </c>
      <c r="B1208" t="s">
        <v>8809</v>
      </c>
      <c r="C1208">
        <v>2024</v>
      </c>
      <c r="D1208" s="18">
        <v>45376</v>
      </c>
      <c r="E1208" s="18">
        <v>45740</v>
      </c>
      <c r="F1208" s="18" t="s">
        <v>611</v>
      </c>
      <c r="G1208" t="s">
        <v>101</v>
      </c>
      <c r="H1208">
        <v>1</v>
      </c>
      <c r="I1208">
        <v>1</v>
      </c>
      <c r="J1208" s="27">
        <v>26169.66</v>
      </c>
      <c r="K1208" s="27">
        <v>1500000</v>
      </c>
    </row>
    <row r="1209" spans="1:11" ht="15" customHeight="1" x14ac:dyDescent="0.2">
      <c r="A1209" t="s">
        <v>8810</v>
      </c>
      <c r="B1209" t="s">
        <v>8811</v>
      </c>
      <c r="C1209">
        <v>2024</v>
      </c>
      <c r="D1209" s="18">
        <v>45376</v>
      </c>
      <c r="E1209" s="18">
        <v>45740</v>
      </c>
      <c r="F1209" s="18" t="s">
        <v>611</v>
      </c>
      <c r="G1209" t="s">
        <v>100</v>
      </c>
      <c r="H1209">
        <v>2</v>
      </c>
      <c r="I1209">
        <v>4</v>
      </c>
      <c r="J1209" s="27">
        <v>32080.82</v>
      </c>
      <c r="K1209" s="27">
        <v>2500000</v>
      </c>
    </row>
    <row r="1210" spans="1:11" ht="15" customHeight="1" x14ac:dyDescent="0.2">
      <c r="A1210" t="s">
        <v>8812</v>
      </c>
      <c r="B1210" t="s">
        <v>8813</v>
      </c>
      <c r="C1210">
        <v>2024</v>
      </c>
      <c r="D1210" s="18">
        <v>45377</v>
      </c>
      <c r="E1210" s="18">
        <v>45741</v>
      </c>
      <c r="F1210" s="18" t="s">
        <v>611</v>
      </c>
      <c r="G1210" t="s">
        <v>99</v>
      </c>
      <c r="H1210">
        <v>1</v>
      </c>
      <c r="I1210">
        <v>2</v>
      </c>
      <c r="J1210" s="27">
        <v>15117.5</v>
      </c>
      <c r="K1210" s="27">
        <v>2000000</v>
      </c>
    </row>
    <row r="1211" spans="1:11" ht="15" customHeight="1" x14ac:dyDescent="0.2">
      <c r="A1211" t="s">
        <v>8814</v>
      </c>
      <c r="B1211" t="s">
        <v>8815</v>
      </c>
      <c r="C1211">
        <v>2024</v>
      </c>
      <c r="D1211" s="18">
        <v>45377</v>
      </c>
      <c r="E1211" s="18">
        <v>45741</v>
      </c>
      <c r="F1211" s="18" t="s">
        <v>611</v>
      </c>
      <c r="G1211" t="s">
        <v>99</v>
      </c>
      <c r="H1211">
        <v>3</v>
      </c>
      <c r="I1211">
        <v>6</v>
      </c>
      <c r="J1211" s="27">
        <v>30466.51</v>
      </c>
      <c r="K1211" s="27">
        <v>3500000</v>
      </c>
    </row>
    <row r="1212" spans="1:11" ht="15" customHeight="1" x14ac:dyDescent="0.2">
      <c r="A1212" t="s">
        <v>8816</v>
      </c>
      <c r="B1212" t="s">
        <v>8817</v>
      </c>
      <c r="C1212">
        <v>2024</v>
      </c>
      <c r="D1212" s="18">
        <v>45377</v>
      </c>
      <c r="E1212" s="18">
        <v>45741</v>
      </c>
      <c r="F1212" s="18" t="s">
        <v>611</v>
      </c>
      <c r="G1212" t="s">
        <v>100</v>
      </c>
      <c r="H1212">
        <v>3</v>
      </c>
      <c r="I1212">
        <v>3</v>
      </c>
      <c r="J1212" s="27">
        <v>28207.31</v>
      </c>
      <c r="K1212" s="27">
        <v>2000000</v>
      </c>
    </row>
    <row r="1213" spans="1:11" ht="15" customHeight="1" x14ac:dyDescent="0.2">
      <c r="A1213" t="s">
        <v>8818</v>
      </c>
      <c r="B1213" t="s">
        <v>8819</v>
      </c>
      <c r="C1213">
        <v>2024</v>
      </c>
      <c r="D1213" s="18">
        <v>45377</v>
      </c>
      <c r="E1213" s="18">
        <v>45741</v>
      </c>
      <c r="F1213" s="18" t="s">
        <v>611</v>
      </c>
      <c r="G1213" t="s">
        <v>99</v>
      </c>
      <c r="H1213">
        <v>2</v>
      </c>
      <c r="I1213">
        <v>2</v>
      </c>
      <c r="J1213" s="27">
        <v>16941.12</v>
      </c>
      <c r="K1213" s="27">
        <v>2000000</v>
      </c>
    </row>
    <row r="1214" spans="1:11" ht="15" customHeight="1" x14ac:dyDescent="0.2">
      <c r="A1214" t="s">
        <v>8820</v>
      </c>
      <c r="B1214" t="s">
        <v>8821</v>
      </c>
      <c r="C1214">
        <v>2024</v>
      </c>
      <c r="D1214" s="18">
        <v>45377</v>
      </c>
      <c r="E1214" s="18">
        <v>45741</v>
      </c>
      <c r="F1214" s="18" t="s">
        <v>611</v>
      </c>
      <c r="G1214" t="s">
        <v>101</v>
      </c>
      <c r="H1214">
        <v>1</v>
      </c>
      <c r="I1214">
        <v>2</v>
      </c>
      <c r="J1214" s="27">
        <v>36821.879999999997</v>
      </c>
      <c r="K1214" s="27">
        <v>2000000</v>
      </c>
    </row>
    <row r="1215" spans="1:11" ht="15" customHeight="1" x14ac:dyDescent="0.2">
      <c r="A1215" t="s">
        <v>8822</v>
      </c>
      <c r="B1215" t="s">
        <v>8823</v>
      </c>
      <c r="C1215">
        <v>2024</v>
      </c>
      <c r="D1215" s="18">
        <v>45377</v>
      </c>
      <c r="E1215" s="18">
        <v>45741</v>
      </c>
      <c r="F1215" s="18" t="s">
        <v>611</v>
      </c>
      <c r="G1215" t="s">
        <v>99</v>
      </c>
      <c r="H1215">
        <v>2</v>
      </c>
      <c r="I1215">
        <v>4</v>
      </c>
      <c r="J1215" s="27">
        <v>89099.91</v>
      </c>
      <c r="K1215" s="27">
        <v>10000000</v>
      </c>
    </row>
    <row r="1216" spans="1:11" ht="15" customHeight="1" x14ac:dyDescent="0.2">
      <c r="A1216" t="s">
        <v>8824</v>
      </c>
      <c r="B1216" t="s">
        <v>8825</v>
      </c>
      <c r="C1216">
        <v>2024</v>
      </c>
      <c r="D1216" s="18">
        <v>45377</v>
      </c>
      <c r="E1216" s="18">
        <v>45741</v>
      </c>
      <c r="F1216" s="18" t="s">
        <v>611</v>
      </c>
      <c r="G1216" t="s">
        <v>100</v>
      </c>
      <c r="H1216">
        <v>1</v>
      </c>
      <c r="I1216">
        <v>2</v>
      </c>
      <c r="J1216" s="27">
        <v>17591.8</v>
      </c>
      <c r="K1216" s="27">
        <v>1500000</v>
      </c>
    </row>
    <row r="1217" spans="1:11" ht="15" customHeight="1" x14ac:dyDescent="0.2">
      <c r="A1217" t="s">
        <v>8826</v>
      </c>
      <c r="B1217" t="s">
        <v>8827</v>
      </c>
      <c r="C1217">
        <v>2024</v>
      </c>
      <c r="D1217" s="18">
        <v>45377</v>
      </c>
      <c r="E1217" s="18">
        <v>45741</v>
      </c>
      <c r="F1217" s="18" t="s">
        <v>611</v>
      </c>
      <c r="G1217" t="s">
        <v>100</v>
      </c>
      <c r="H1217">
        <v>1</v>
      </c>
      <c r="I1217">
        <v>2</v>
      </c>
      <c r="J1217" s="27">
        <v>26061.96</v>
      </c>
      <c r="K1217" s="27">
        <v>2000000</v>
      </c>
    </row>
    <row r="1218" spans="1:11" ht="15" customHeight="1" x14ac:dyDescent="0.2">
      <c r="A1218" t="s">
        <v>8828</v>
      </c>
      <c r="B1218" t="s">
        <v>8829</v>
      </c>
      <c r="C1218">
        <v>2024</v>
      </c>
      <c r="D1218" s="18">
        <v>45378</v>
      </c>
      <c r="E1218" s="18">
        <v>45742</v>
      </c>
      <c r="F1218" s="18" t="s">
        <v>608</v>
      </c>
      <c r="G1218" t="s">
        <v>100</v>
      </c>
      <c r="H1218">
        <v>2</v>
      </c>
      <c r="I1218">
        <v>4</v>
      </c>
      <c r="J1218" s="27">
        <v>25655.29</v>
      </c>
      <c r="K1218" s="27">
        <v>2000000</v>
      </c>
    </row>
    <row r="1219" spans="1:11" ht="15" customHeight="1" x14ac:dyDescent="0.2">
      <c r="A1219" t="s">
        <v>8830</v>
      </c>
      <c r="B1219" t="s">
        <v>8831</v>
      </c>
      <c r="C1219">
        <v>2024</v>
      </c>
      <c r="D1219" s="18">
        <v>45378</v>
      </c>
      <c r="E1219" s="18">
        <v>45742</v>
      </c>
      <c r="F1219" s="18" t="s">
        <v>611</v>
      </c>
      <c r="G1219" t="s">
        <v>100</v>
      </c>
      <c r="H1219">
        <v>3</v>
      </c>
      <c r="I1219">
        <v>6</v>
      </c>
      <c r="J1219" s="27">
        <v>14130.89</v>
      </c>
      <c r="K1219" s="27">
        <v>1000000</v>
      </c>
    </row>
    <row r="1220" spans="1:11" ht="15" customHeight="1" x14ac:dyDescent="0.2">
      <c r="A1220" t="s">
        <v>8832</v>
      </c>
      <c r="B1220" t="s">
        <v>8833</v>
      </c>
      <c r="C1220">
        <v>2024</v>
      </c>
      <c r="D1220" s="18">
        <v>45378</v>
      </c>
      <c r="E1220" s="18">
        <v>45742</v>
      </c>
      <c r="F1220" s="18" t="s">
        <v>611</v>
      </c>
      <c r="G1220" t="s">
        <v>99</v>
      </c>
      <c r="H1220">
        <v>1</v>
      </c>
      <c r="I1220">
        <v>1</v>
      </c>
      <c r="J1220" s="27">
        <v>43313.55</v>
      </c>
      <c r="K1220" s="27">
        <v>5000000</v>
      </c>
    </row>
    <row r="1221" spans="1:11" ht="15" customHeight="1" x14ac:dyDescent="0.2">
      <c r="A1221" t="s">
        <v>8834</v>
      </c>
      <c r="B1221" t="s">
        <v>8835</v>
      </c>
      <c r="C1221">
        <v>2024</v>
      </c>
      <c r="D1221" s="18">
        <v>45378</v>
      </c>
      <c r="E1221" s="18">
        <v>45742</v>
      </c>
      <c r="F1221" s="18" t="s">
        <v>611</v>
      </c>
      <c r="G1221" t="s">
        <v>99</v>
      </c>
      <c r="H1221">
        <v>3</v>
      </c>
      <c r="I1221">
        <v>3</v>
      </c>
      <c r="J1221" s="27">
        <v>15700.22</v>
      </c>
      <c r="K1221" s="27">
        <v>2000000</v>
      </c>
    </row>
    <row r="1222" spans="1:11" ht="15" customHeight="1" x14ac:dyDescent="0.2">
      <c r="A1222" t="s">
        <v>8836</v>
      </c>
      <c r="B1222" t="s">
        <v>8837</v>
      </c>
      <c r="C1222">
        <v>2024</v>
      </c>
      <c r="D1222" s="18">
        <v>45378</v>
      </c>
      <c r="E1222" s="18">
        <v>45742</v>
      </c>
      <c r="F1222" s="18" t="s">
        <v>611</v>
      </c>
      <c r="G1222" t="s">
        <v>100</v>
      </c>
      <c r="H1222">
        <v>2</v>
      </c>
      <c r="I1222">
        <v>4</v>
      </c>
      <c r="J1222" s="27">
        <v>20803.509999999998</v>
      </c>
      <c r="K1222" s="27">
        <v>1500000</v>
      </c>
    </row>
    <row r="1223" spans="1:11" ht="15" customHeight="1" x14ac:dyDescent="0.2">
      <c r="A1223" t="s">
        <v>8838</v>
      </c>
      <c r="B1223" t="s">
        <v>8839</v>
      </c>
      <c r="C1223">
        <v>2024</v>
      </c>
      <c r="D1223" s="18">
        <v>45378</v>
      </c>
      <c r="E1223" s="18">
        <v>45742</v>
      </c>
      <c r="F1223" s="18" t="s">
        <v>611</v>
      </c>
      <c r="G1223" t="s">
        <v>100</v>
      </c>
      <c r="H1223">
        <v>1</v>
      </c>
      <c r="I1223">
        <v>2</v>
      </c>
      <c r="J1223" s="27">
        <v>63703.199999999997</v>
      </c>
      <c r="K1223" s="27">
        <v>5000000</v>
      </c>
    </row>
    <row r="1224" spans="1:11" ht="15" customHeight="1" x14ac:dyDescent="0.2">
      <c r="A1224" t="s">
        <v>8840</v>
      </c>
      <c r="B1224" t="s">
        <v>8841</v>
      </c>
      <c r="C1224">
        <v>2024</v>
      </c>
      <c r="D1224" s="18">
        <v>45378</v>
      </c>
      <c r="E1224" s="18">
        <v>45742</v>
      </c>
      <c r="F1224" s="18" t="s">
        <v>611</v>
      </c>
      <c r="G1224" t="s">
        <v>99</v>
      </c>
      <c r="H1224">
        <v>3</v>
      </c>
      <c r="I1224">
        <v>3</v>
      </c>
      <c r="J1224" s="27">
        <v>15200.1</v>
      </c>
      <c r="K1224" s="27">
        <v>2000000</v>
      </c>
    </row>
    <row r="1225" spans="1:11" ht="15" customHeight="1" x14ac:dyDescent="0.2">
      <c r="A1225" t="s">
        <v>8842</v>
      </c>
      <c r="B1225" t="s">
        <v>8843</v>
      </c>
      <c r="C1225">
        <v>2024</v>
      </c>
      <c r="D1225" s="18">
        <v>45378</v>
      </c>
      <c r="E1225" s="18">
        <v>45742</v>
      </c>
      <c r="F1225" s="18" t="s">
        <v>611</v>
      </c>
      <c r="G1225" t="s">
        <v>100</v>
      </c>
      <c r="H1225">
        <v>2</v>
      </c>
      <c r="I1225">
        <v>4</v>
      </c>
      <c r="J1225" s="27">
        <v>53071.78</v>
      </c>
      <c r="K1225" s="27">
        <v>4000000</v>
      </c>
    </row>
    <row r="1226" spans="1:11" ht="15" customHeight="1" x14ac:dyDescent="0.2">
      <c r="A1226" t="s">
        <v>8844</v>
      </c>
      <c r="B1226" t="s">
        <v>8845</v>
      </c>
      <c r="C1226">
        <v>2024</v>
      </c>
      <c r="D1226" s="18">
        <v>45379</v>
      </c>
      <c r="E1226" s="18">
        <v>45743</v>
      </c>
      <c r="F1226" s="18" t="s">
        <v>608</v>
      </c>
      <c r="G1226" t="s">
        <v>101</v>
      </c>
      <c r="H1226">
        <v>1</v>
      </c>
      <c r="I1226">
        <v>1</v>
      </c>
      <c r="J1226" s="27">
        <v>15863.95</v>
      </c>
      <c r="K1226" s="27">
        <v>1000000</v>
      </c>
    </row>
    <row r="1227" spans="1:11" ht="15" customHeight="1" x14ac:dyDescent="0.2">
      <c r="A1227" t="s">
        <v>8846</v>
      </c>
      <c r="B1227" t="s">
        <v>8847</v>
      </c>
      <c r="C1227">
        <v>2024</v>
      </c>
      <c r="D1227" s="18">
        <v>45379</v>
      </c>
      <c r="E1227" s="18">
        <v>45743</v>
      </c>
      <c r="F1227" s="18" t="s">
        <v>608</v>
      </c>
      <c r="G1227" t="s">
        <v>101</v>
      </c>
      <c r="H1227">
        <v>1</v>
      </c>
      <c r="I1227">
        <v>2</v>
      </c>
      <c r="J1227" s="27">
        <v>32479.19</v>
      </c>
      <c r="K1227" s="27">
        <v>2000000</v>
      </c>
    </row>
    <row r="1228" spans="1:11" ht="15" customHeight="1" x14ac:dyDescent="0.2">
      <c r="A1228" t="s">
        <v>8848</v>
      </c>
      <c r="B1228" t="s">
        <v>8849</v>
      </c>
      <c r="C1228">
        <v>2024</v>
      </c>
      <c r="D1228" s="18">
        <v>45379</v>
      </c>
      <c r="E1228" s="18">
        <v>45743</v>
      </c>
      <c r="F1228" s="18" t="s">
        <v>608</v>
      </c>
      <c r="G1228" t="s">
        <v>99</v>
      </c>
      <c r="H1228">
        <v>1</v>
      </c>
      <c r="I1228">
        <v>2</v>
      </c>
      <c r="J1228" s="27">
        <v>14843.94</v>
      </c>
      <c r="K1228" s="27">
        <v>2000000</v>
      </c>
    </row>
    <row r="1229" spans="1:11" ht="15" customHeight="1" x14ac:dyDescent="0.2">
      <c r="A1229" t="s">
        <v>8850</v>
      </c>
      <c r="B1229" t="s">
        <v>8851</v>
      </c>
      <c r="C1229">
        <v>2024</v>
      </c>
      <c r="D1229" s="18">
        <v>45379</v>
      </c>
      <c r="E1229" s="18">
        <v>45743</v>
      </c>
      <c r="F1229" s="18" t="s">
        <v>608</v>
      </c>
      <c r="G1229" t="s">
        <v>100</v>
      </c>
      <c r="H1229">
        <v>1</v>
      </c>
      <c r="I1229">
        <v>2</v>
      </c>
      <c r="J1229" s="27">
        <v>137000</v>
      </c>
      <c r="K1229" s="27">
        <v>10000000</v>
      </c>
    </row>
    <row r="1230" spans="1:11" ht="15" customHeight="1" x14ac:dyDescent="0.2">
      <c r="A1230" t="s">
        <v>8852</v>
      </c>
      <c r="B1230" t="s">
        <v>8853</v>
      </c>
      <c r="C1230">
        <v>2024</v>
      </c>
      <c r="D1230" s="18">
        <v>45379</v>
      </c>
      <c r="E1230" s="18">
        <v>45743</v>
      </c>
      <c r="F1230" s="18" t="s">
        <v>611</v>
      </c>
      <c r="G1230" t="s">
        <v>99</v>
      </c>
      <c r="H1230">
        <v>3</v>
      </c>
      <c r="I1230">
        <v>6</v>
      </c>
      <c r="J1230" s="27">
        <v>7675.01</v>
      </c>
      <c r="K1230" s="27">
        <v>1000000</v>
      </c>
    </row>
    <row r="1231" spans="1:11" ht="15" customHeight="1" x14ac:dyDescent="0.2">
      <c r="A1231" t="s">
        <v>8854</v>
      </c>
      <c r="B1231" t="s">
        <v>8855</v>
      </c>
      <c r="C1231">
        <v>2024</v>
      </c>
      <c r="D1231" s="18">
        <v>45379</v>
      </c>
      <c r="E1231" s="18">
        <v>45743</v>
      </c>
      <c r="F1231" s="18" t="s">
        <v>611</v>
      </c>
      <c r="G1231" t="s">
        <v>99</v>
      </c>
      <c r="H1231">
        <v>3</v>
      </c>
      <c r="I1231">
        <v>3</v>
      </c>
      <c r="J1231" s="27">
        <v>14727.88</v>
      </c>
      <c r="K1231" s="27">
        <v>2000000</v>
      </c>
    </row>
    <row r="1232" spans="1:11" ht="15" customHeight="1" x14ac:dyDescent="0.2">
      <c r="A1232" t="s">
        <v>8856</v>
      </c>
      <c r="B1232" t="s">
        <v>8857</v>
      </c>
      <c r="C1232">
        <v>2024</v>
      </c>
      <c r="D1232" s="18">
        <v>45379</v>
      </c>
      <c r="E1232" s="18">
        <v>45743</v>
      </c>
      <c r="F1232" s="18" t="s">
        <v>611</v>
      </c>
      <c r="G1232" t="s">
        <v>102</v>
      </c>
      <c r="H1232">
        <v>3</v>
      </c>
      <c r="I1232">
        <v>6</v>
      </c>
      <c r="J1232" s="27">
        <v>40944.46</v>
      </c>
      <c r="K1232" s="27">
        <v>4500000</v>
      </c>
    </row>
    <row r="1233" spans="1:11" ht="15" customHeight="1" x14ac:dyDescent="0.2">
      <c r="A1233" t="s">
        <v>8858</v>
      </c>
      <c r="B1233" t="s">
        <v>8859</v>
      </c>
      <c r="C1233">
        <v>2024</v>
      </c>
      <c r="D1233" s="18">
        <v>45379</v>
      </c>
      <c r="E1233" s="18">
        <v>45743</v>
      </c>
      <c r="F1233" s="18" t="s">
        <v>611</v>
      </c>
      <c r="G1233" t="s">
        <v>100</v>
      </c>
      <c r="H1233">
        <v>1</v>
      </c>
      <c r="I1233">
        <v>1</v>
      </c>
      <c r="J1233" s="27">
        <v>49687.33</v>
      </c>
      <c r="K1233" s="27">
        <v>3500000</v>
      </c>
    </row>
    <row r="1234" spans="1:11" ht="15" customHeight="1" x14ac:dyDescent="0.2">
      <c r="A1234" t="s">
        <v>8860</v>
      </c>
      <c r="B1234" t="s">
        <v>8861</v>
      </c>
      <c r="C1234">
        <v>2024</v>
      </c>
      <c r="D1234" s="18">
        <v>45380</v>
      </c>
      <c r="E1234" s="18">
        <v>45744</v>
      </c>
      <c r="F1234" s="18" t="s">
        <v>611</v>
      </c>
      <c r="G1234" t="s">
        <v>100</v>
      </c>
      <c r="H1234">
        <v>1</v>
      </c>
      <c r="I1234">
        <v>1</v>
      </c>
      <c r="J1234" s="27">
        <v>27208.22</v>
      </c>
      <c r="K1234" s="27">
        <v>2000000</v>
      </c>
    </row>
    <row r="1235" spans="1:11" ht="15" customHeight="1" x14ac:dyDescent="0.2">
      <c r="A1235" t="s">
        <v>8862</v>
      </c>
      <c r="B1235" t="s">
        <v>8863</v>
      </c>
      <c r="C1235">
        <v>2024</v>
      </c>
      <c r="D1235" s="18">
        <v>45380</v>
      </c>
      <c r="E1235" s="18">
        <v>45744</v>
      </c>
      <c r="F1235" s="18" t="s">
        <v>611</v>
      </c>
      <c r="G1235" t="s">
        <v>100</v>
      </c>
      <c r="H1235">
        <v>1</v>
      </c>
      <c r="I1235">
        <v>1</v>
      </c>
      <c r="J1235" s="27">
        <v>38094.129999999997</v>
      </c>
      <c r="K1235" s="27">
        <v>3000000</v>
      </c>
    </row>
    <row r="1236" spans="1:11" ht="15" customHeight="1" x14ac:dyDescent="0.2">
      <c r="A1236" t="s">
        <v>8864</v>
      </c>
      <c r="B1236" t="s">
        <v>8865</v>
      </c>
      <c r="C1236">
        <v>2024</v>
      </c>
      <c r="D1236" s="18">
        <v>45380</v>
      </c>
      <c r="E1236" s="18">
        <v>45744</v>
      </c>
      <c r="F1236" s="18" t="s">
        <v>611</v>
      </c>
      <c r="G1236" t="s">
        <v>101</v>
      </c>
      <c r="H1236">
        <v>1</v>
      </c>
      <c r="I1236">
        <v>2</v>
      </c>
      <c r="J1236" s="27">
        <v>66215.41</v>
      </c>
      <c r="K1236" s="27">
        <v>3500000</v>
      </c>
    </row>
    <row r="1237" spans="1:11" ht="15" customHeight="1" x14ac:dyDescent="0.2">
      <c r="A1237" t="s">
        <v>8866</v>
      </c>
      <c r="B1237" t="s">
        <v>8867</v>
      </c>
      <c r="C1237">
        <v>2024</v>
      </c>
      <c r="D1237" s="18">
        <v>45380</v>
      </c>
      <c r="E1237" s="18">
        <v>45744</v>
      </c>
      <c r="F1237" s="18" t="s">
        <v>611</v>
      </c>
      <c r="G1237" t="s">
        <v>99</v>
      </c>
      <c r="H1237">
        <v>3</v>
      </c>
      <c r="I1237">
        <v>3</v>
      </c>
      <c r="J1237" s="27">
        <v>7477.57</v>
      </c>
      <c r="K1237" s="27">
        <v>1000000</v>
      </c>
    </row>
    <row r="1238" spans="1:11" ht="15" customHeight="1" x14ac:dyDescent="0.2">
      <c r="A1238" t="s">
        <v>8868</v>
      </c>
      <c r="B1238" t="s">
        <v>8869</v>
      </c>
      <c r="C1238">
        <v>2024</v>
      </c>
      <c r="D1238" s="18">
        <v>45380</v>
      </c>
      <c r="E1238" s="18">
        <v>45744</v>
      </c>
      <c r="F1238" s="18" t="s">
        <v>611</v>
      </c>
      <c r="G1238" t="s">
        <v>100</v>
      </c>
      <c r="H1238">
        <v>1</v>
      </c>
      <c r="I1238">
        <v>1</v>
      </c>
      <c r="J1238" s="27">
        <v>23952.83</v>
      </c>
      <c r="K1238" s="27">
        <v>2000000</v>
      </c>
    </row>
    <row r="1239" spans="1:11" ht="15" customHeight="1" x14ac:dyDescent="0.2">
      <c r="A1239" t="s">
        <v>8870</v>
      </c>
      <c r="B1239" t="s">
        <v>8871</v>
      </c>
      <c r="C1239">
        <v>2024</v>
      </c>
      <c r="D1239" s="18">
        <v>45380</v>
      </c>
      <c r="E1239" s="18">
        <v>45744</v>
      </c>
      <c r="F1239" s="18" t="s">
        <v>611</v>
      </c>
      <c r="G1239" t="s">
        <v>100</v>
      </c>
      <c r="H1239">
        <v>3</v>
      </c>
      <c r="I1239">
        <v>3</v>
      </c>
      <c r="J1239" s="27">
        <v>48394.42</v>
      </c>
      <c r="K1239" s="27">
        <v>3500000</v>
      </c>
    </row>
    <row r="1240" spans="1:11" ht="15" customHeight="1" x14ac:dyDescent="0.2">
      <c r="A1240" t="s">
        <v>8872</v>
      </c>
      <c r="B1240" t="s">
        <v>8873</v>
      </c>
      <c r="C1240">
        <v>2024</v>
      </c>
      <c r="D1240" s="18">
        <v>45380</v>
      </c>
      <c r="E1240" s="18">
        <v>45744</v>
      </c>
      <c r="F1240" s="18" t="s">
        <v>611</v>
      </c>
      <c r="G1240" t="s">
        <v>100</v>
      </c>
      <c r="H1240">
        <v>1</v>
      </c>
      <c r="I1240">
        <v>1</v>
      </c>
      <c r="J1240" s="27">
        <v>122009.94</v>
      </c>
      <c r="K1240" s="27">
        <v>10000000</v>
      </c>
    </row>
    <row r="1241" spans="1:11" ht="15" customHeight="1" x14ac:dyDescent="0.2">
      <c r="A1241" t="s">
        <v>8874</v>
      </c>
      <c r="B1241" t="s">
        <v>8875</v>
      </c>
      <c r="C1241">
        <v>2024</v>
      </c>
      <c r="D1241" s="18">
        <v>45381</v>
      </c>
      <c r="E1241" s="18">
        <v>45745</v>
      </c>
      <c r="F1241" s="18" t="s">
        <v>608</v>
      </c>
      <c r="G1241" t="s">
        <v>101</v>
      </c>
      <c r="H1241">
        <v>2</v>
      </c>
      <c r="I1241">
        <v>4</v>
      </c>
      <c r="J1241" s="27">
        <v>42978.58</v>
      </c>
      <c r="K1241" s="27">
        <v>2500000</v>
      </c>
    </row>
    <row r="1242" spans="1:11" ht="15" customHeight="1" x14ac:dyDescent="0.2">
      <c r="A1242" t="s">
        <v>8876</v>
      </c>
      <c r="B1242" t="s">
        <v>8877</v>
      </c>
      <c r="C1242">
        <v>2024</v>
      </c>
      <c r="D1242" s="18">
        <v>45381</v>
      </c>
      <c r="E1242" s="18">
        <v>45745</v>
      </c>
      <c r="F1242" s="18" t="s">
        <v>608</v>
      </c>
      <c r="G1242" t="s">
        <v>99</v>
      </c>
      <c r="H1242">
        <v>1</v>
      </c>
      <c r="I1242">
        <v>2</v>
      </c>
      <c r="J1242" s="27">
        <v>39443.89</v>
      </c>
      <c r="K1242" s="27">
        <v>5000000</v>
      </c>
    </row>
    <row r="1243" spans="1:11" ht="15" customHeight="1" x14ac:dyDescent="0.2">
      <c r="A1243" t="s">
        <v>8878</v>
      </c>
      <c r="B1243" t="s">
        <v>8879</v>
      </c>
      <c r="C1243">
        <v>2024</v>
      </c>
      <c r="D1243" s="18">
        <v>45381</v>
      </c>
      <c r="E1243" s="18">
        <v>45745</v>
      </c>
      <c r="F1243" s="18" t="s">
        <v>608</v>
      </c>
      <c r="G1243" t="s">
        <v>100</v>
      </c>
      <c r="H1243">
        <v>3</v>
      </c>
      <c r="I1243">
        <v>6</v>
      </c>
      <c r="J1243" s="27">
        <v>30754.25</v>
      </c>
      <c r="K1243" s="27">
        <v>2500000</v>
      </c>
    </row>
    <row r="1244" spans="1:11" ht="15" customHeight="1" x14ac:dyDescent="0.2">
      <c r="A1244" t="s">
        <v>8880</v>
      </c>
      <c r="B1244" t="s">
        <v>8881</v>
      </c>
      <c r="C1244">
        <v>2024</v>
      </c>
      <c r="D1244" s="18">
        <v>45381</v>
      </c>
      <c r="E1244" s="18">
        <v>45745</v>
      </c>
      <c r="F1244" s="18" t="s">
        <v>608</v>
      </c>
      <c r="G1244" t="s">
        <v>99</v>
      </c>
      <c r="H1244">
        <v>1</v>
      </c>
      <c r="I1244">
        <v>2</v>
      </c>
      <c r="J1244" s="27">
        <v>17223.64</v>
      </c>
      <c r="K1244" s="27">
        <v>2000000</v>
      </c>
    </row>
    <row r="1245" spans="1:11" ht="15" customHeight="1" x14ac:dyDescent="0.2">
      <c r="A1245" t="s">
        <v>8882</v>
      </c>
      <c r="B1245" t="s">
        <v>8883</v>
      </c>
      <c r="C1245">
        <v>2024</v>
      </c>
      <c r="D1245" s="18">
        <v>45381</v>
      </c>
      <c r="E1245" s="18">
        <v>45745</v>
      </c>
      <c r="F1245" s="18" t="s">
        <v>611</v>
      </c>
      <c r="G1245" t="s">
        <v>100</v>
      </c>
      <c r="H1245">
        <v>1</v>
      </c>
      <c r="I1245">
        <v>1</v>
      </c>
      <c r="J1245" s="27">
        <v>68583.58</v>
      </c>
      <c r="K1245" s="27">
        <v>5000000</v>
      </c>
    </row>
    <row r="1246" spans="1:11" ht="15" customHeight="1" x14ac:dyDescent="0.2">
      <c r="A1246" t="s">
        <v>8884</v>
      </c>
      <c r="B1246" t="s">
        <v>8885</v>
      </c>
      <c r="C1246">
        <v>2024</v>
      </c>
      <c r="D1246" s="18">
        <v>45381</v>
      </c>
      <c r="E1246" s="18">
        <v>45745</v>
      </c>
      <c r="F1246" s="18" t="s">
        <v>611</v>
      </c>
      <c r="G1246" t="s">
        <v>101</v>
      </c>
      <c r="H1246">
        <v>1</v>
      </c>
      <c r="I1246">
        <v>2</v>
      </c>
      <c r="J1246" s="27">
        <v>34472.19</v>
      </c>
      <c r="K1246" s="27">
        <v>2000000</v>
      </c>
    </row>
    <row r="1247" spans="1:11" ht="15" customHeight="1" x14ac:dyDescent="0.2">
      <c r="A1247" t="s">
        <v>8886</v>
      </c>
      <c r="B1247" t="s">
        <v>8887</v>
      </c>
      <c r="C1247">
        <v>2024</v>
      </c>
      <c r="D1247" s="18">
        <v>45381</v>
      </c>
      <c r="E1247" s="18">
        <v>45745</v>
      </c>
      <c r="F1247" s="18" t="s">
        <v>611</v>
      </c>
      <c r="G1247" t="s">
        <v>100</v>
      </c>
      <c r="H1247">
        <v>1</v>
      </c>
      <c r="I1247">
        <v>1</v>
      </c>
      <c r="J1247" s="27">
        <v>35258.32</v>
      </c>
      <c r="K1247" s="27">
        <v>3000000</v>
      </c>
    </row>
    <row r="1248" spans="1:11" ht="15" customHeight="1" x14ac:dyDescent="0.2">
      <c r="A1248" t="s">
        <v>8888</v>
      </c>
      <c r="B1248" t="s">
        <v>8889</v>
      </c>
      <c r="C1248">
        <v>2024</v>
      </c>
      <c r="D1248" s="18">
        <v>45381</v>
      </c>
      <c r="E1248" s="18">
        <v>45745</v>
      </c>
      <c r="F1248" s="18" t="s">
        <v>611</v>
      </c>
      <c r="G1248" t="s">
        <v>99</v>
      </c>
      <c r="H1248">
        <v>2</v>
      </c>
      <c r="I1248">
        <v>4</v>
      </c>
      <c r="J1248" s="27">
        <v>14765.44</v>
      </c>
      <c r="K1248" s="27">
        <v>2000000</v>
      </c>
    </row>
    <row r="1249" spans="1:11" ht="15" customHeight="1" x14ac:dyDescent="0.2">
      <c r="A1249" t="s">
        <v>8890</v>
      </c>
      <c r="B1249" t="s">
        <v>8891</v>
      </c>
      <c r="C1249">
        <v>2024</v>
      </c>
      <c r="D1249" s="18">
        <v>45381</v>
      </c>
      <c r="E1249" s="18">
        <v>45745</v>
      </c>
      <c r="F1249" s="18" t="s">
        <v>611</v>
      </c>
      <c r="G1249" t="s">
        <v>101</v>
      </c>
      <c r="H1249">
        <v>2</v>
      </c>
      <c r="I1249">
        <v>2</v>
      </c>
      <c r="J1249" s="27">
        <v>31533.09</v>
      </c>
      <c r="K1249" s="27">
        <v>2000000</v>
      </c>
    </row>
    <row r="1250" spans="1:11" ht="15" customHeight="1" x14ac:dyDescent="0.2">
      <c r="A1250" t="s">
        <v>8892</v>
      </c>
      <c r="B1250" t="s">
        <v>8893</v>
      </c>
      <c r="C1250">
        <v>2024</v>
      </c>
      <c r="D1250" s="18">
        <v>45382</v>
      </c>
      <c r="E1250" s="18">
        <v>45746</v>
      </c>
      <c r="F1250" s="18" t="s">
        <v>608</v>
      </c>
      <c r="G1250" t="s">
        <v>99</v>
      </c>
      <c r="H1250">
        <v>1</v>
      </c>
      <c r="I1250">
        <v>2</v>
      </c>
      <c r="J1250" s="27">
        <v>16470.5</v>
      </c>
      <c r="K1250" s="27">
        <v>2000000</v>
      </c>
    </row>
    <row r="1251" spans="1:11" ht="15" customHeight="1" x14ac:dyDescent="0.2">
      <c r="A1251" t="s">
        <v>8894</v>
      </c>
      <c r="B1251" t="s">
        <v>8895</v>
      </c>
      <c r="C1251">
        <v>2024</v>
      </c>
      <c r="D1251" s="18">
        <v>45382</v>
      </c>
      <c r="E1251" s="18">
        <v>45746</v>
      </c>
      <c r="F1251" s="18" t="s">
        <v>611</v>
      </c>
      <c r="G1251" t="s">
        <v>100</v>
      </c>
      <c r="H1251">
        <v>1</v>
      </c>
      <c r="I1251">
        <v>2</v>
      </c>
      <c r="J1251" s="27">
        <v>24420.34</v>
      </c>
      <c r="K1251" s="27">
        <v>2000000</v>
      </c>
    </row>
    <row r="1252" spans="1:11" ht="15" customHeight="1" x14ac:dyDescent="0.2">
      <c r="A1252" t="s">
        <v>8896</v>
      </c>
      <c r="B1252" t="s">
        <v>8897</v>
      </c>
      <c r="C1252">
        <v>2024</v>
      </c>
      <c r="D1252" s="18">
        <v>45382</v>
      </c>
      <c r="E1252" s="18">
        <v>45746</v>
      </c>
      <c r="F1252" s="18" t="s">
        <v>611</v>
      </c>
      <c r="G1252" t="s">
        <v>101</v>
      </c>
      <c r="H1252">
        <v>1</v>
      </c>
      <c r="I1252">
        <v>2</v>
      </c>
      <c r="J1252" s="27">
        <v>157880.54</v>
      </c>
      <c r="K1252" s="27">
        <v>10000000</v>
      </c>
    </row>
    <row r="1253" spans="1:11" ht="15" customHeight="1" x14ac:dyDescent="0.2">
      <c r="A1253" t="s">
        <v>8898</v>
      </c>
      <c r="B1253" t="s">
        <v>8899</v>
      </c>
      <c r="C1253">
        <v>2024</v>
      </c>
      <c r="D1253" s="18">
        <v>45382</v>
      </c>
      <c r="E1253" s="18">
        <v>45746</v>
      </c>
      <c r="F1253" s="18" t="s">
        <v>611</v>
      </c>
      <c r="G1253" t="s">
        <v>100</v>
      </c>
      <c r="H1253">
        <v>1</v>
      </c>
      <c r="I1253">
        <v>1</v>
      </c>
      <c r="J1253" s="27">
        <v>39135.08</v>
      </c>
      <c r="K1253" s="27">
        <v>3000000</v>
      </c>
    </row>
    <row r="1254" spans="1:11" ht="15" customHeight="1" x14ac:dyDescent="0.2">
      <c r="A1254" t="s">
        <v>8900</v>
      </c>
      <c r="B1254" t="s">
        <v>8901</v>
      </c>
      <c r="C1254">
        <v>2024</v>
      </c>
      <c r="D1254" s="18">
        <v>45382</v>
      </c>
      <c r="E1254" s="18">
        <v>45746</v>
      </c>
      <c r="F1254" s="18" t="s">
        <v>611</v>
      </c>
      <c r="G1254" t="s">
        <v>102</v>
      </c>
      <c r="H1254">
        <v>1</v>
      </c>
      <c r="I1254">
        <v>2</v>
      </c>
      <c r="J1254" s="27">
        <v>47022.99</v>
      </c>
      <c r="K1254" s="27">
        <v>5000000</v>
      </c>
    </row>
    <row r="1255" spans="1:11" ht="15" customHeight="1" x14ac:dyDescent="0.2">
      <c r="A1255" t="s">
        <v>8902</v>
      </c>
      <c r="B1255" t="s">
        <v>8903</v>
      </c>
      <c r="C1255">
        <v>2024</v>
      </c>
      <c r="D1255" s="18">
        <v>45382</v>
      </c>
      <c r="E1255" s="18">
        <v>45746</v>
      </c>
      <c r="F1255" s="18" t="s">
        <v>611</v>
      </c>
      <c r="G1255" t="s">
        <v>100</v>
      </c>
      <c r="H1255">
        <v>1</v>
      </c>
      <c r="I1255">
        <v>2</v>
      </c>
      <c r="J1255" s="27">
        <v>25137.51</v>
      </c>
      <c r="K1255" s="27">
        <v>2000000</v>
      </c>
    </row>
    <row r="1256" spans="1:11" ht="15" customHeight="1" x14ac:dyDescent="0.2">
      <c r="A1256" t="s">
        <v>8904</v>
      </c>
      <c r="B1256" t="s">
        <v>8905</v>
      </c>
      <c r="C1256">
        <v>2024</v>
      </c>
      <c r="D1256" s="18">
        <v>45383</v>
      </c>
      <c r="E1256" s="18">
        <v>45747</v>
      </c>
      <c r="F1256" s="18" t="s">
        <v>608</v>
      </c>
      <c r="G1256" t="s">
        <v>100</v>
      </c>
      <c r="H1256">
        <v>1</v>
      </c>
      <c r="I1256">
        <v>2</v>
      </c>
      <c r="J1256" s="27">
        <v>135382.85</v>
      </c>
      <c r="K1256" s="27">
        <v>10000000</v>
      </c>
    </row>
    <row r="1257" spans="1:11" ht="15" customHeight="1" x14ac:dyDescent="0.2">
      <c r="A1257" t="s">
        <v>8906</v>
      </c>
      <c r="B1257" t="s">
        <v>8907</v>
      </c>
      <c r="C1257">
        <v>2024</v>
      </c>
      <c r="D1257" s="18">
        <v>45383</v>
      </c>
      <c r="E1257" s="18">
        <v>45747</v>
      </c>
      <c r="F1257" s="18" t="s">
        <v>608</v>
      </c>
      <c r="G1257" t="s">
        <v>101</v>
      </c>
      <c r="H1257">
        <v>1</v>
      </c>
      <c r="I1257">
        <v>1</v>
      </c>
      <c r="J1257" s="27">
        <v>54443.07</v>
      </c>
      <c r="K1257" s="27">
        <v>3000000</v>
      </c>
    </row>
    <row r="1258" spans="1:11" ht="15" customHeight="1" x14ac:dyDescent="0.2">
      <c r="A1258" t="s">
        <v>8908</v>
      </c>
      <c r="B1258" t="s">
        <v>8909</v>
      </c>
      <c r="C1258">
        <v>2024</v>
      </c>
      <c r="D1258" s="18">
        <v>45383</v>
      </c>
      <c r="E1258" s="18">
        <v>45747</v>
      </c>
      <c r="F1258" s="18" t="s">
        <v>608</v>
      </c>
      <c r="G1258" t="s">
        <v>100</v>
      </c>
      <c r="H1258">
        <v>1</v>
      </c>
      <c r="I1258">
        <v>2</v>
      </c>
      <c r="J1258" s="27">
        <v>19105.849999999999</v>
      </c>
      <c r="K1258" s="27">
        <v>1500000</v>
      </c>
    </row>
    <row r="1259" spans="1:11" ht="15" customHeight="1" x14ac:dyDescent="0.2">
      <c r="A1259" t="s">
        <v>8910</v>
      </c>
      <c r="B1259" t="s">
        <v>8911</v>
      </c>
      <c r="C1259">
        <v>2024</v>
      </c>
      <c r="D1259" s="18">
        <v>45383</v>
      </c>
      <c r="E1259" s="18">
        <v>45747</v>
      </c>
      <c r="F1259" s="18" t="s">
        <v>611</v>
      </c>
      <c r="G1259" t="s">
        <v>101</v>
      </c>
      <c r="H1259">
        <v>1</v>
      </c>
      <c r="I1259">
        <v>2</v>
      </c>
      <c r="J1259" s="27">
        <v>46934.76</v>
      </c>
      <c r="K1259" s="27">
        <v>2500000</v>
      </c>
    </row>
    <row r="1260" spans="1:11" ht="15" customHeight="1" x14ac:dyDescent="0.2">
      <c r="A1260" t="s">
        <v>8912</v>
      </c>
      <c r="B1260" t="s">
        <v>8913</v>
      </c>
      <c r="C1260">
        <v>2024</v>
      </c>
      <c r="D1260" s="18">
        <v>45383</v>
      </c>
      <c r="E1260" s="18">
        <v>45747</v>
      </c>
      <c r="F1260" s="18" t="s">
        <v>611</v>
      </c>
      <c r="G1260" t="s">
        <v>99</v>
      </c>
      <c r="H1260">
        <v>3</v>
      </c>
      <c r="I1260">
        <v>3</v>
      </c>
      <c r="J1260" s="27">
        <v>35302.46</v>
      </c>
      <c r="K1260" s="27">
        <v>4500000</v>
      </c>
    </row>
    <row r="1261" spans="1:11" ht="15" customHeight="1" x14ac:dyDescent="0.2">
      <c r="A1261" t="s">
        <v>8914</v>
      </c>
      <c r="B1261" t="s">
        <v>8915</v>
      </c>
      <c r="C1261">
        <v>2024</v>
      </c>
      <c r="D1261" s="18">
        <v>45383</v>
      </c>
      <c r="E1261" s="18">
        <v>45747</v>
      </c>
      <c r="F1261" s="18" t="s">
        <v>611</v>
      </c>
      <c r="G1261" t="s">
        <v>101</v>
      </c>
      <c r="H1261">
        <v>3</v>
      </c>
      <c r="I1261">
        <v>3</v>
      </c>
      <c r="J1261" s="27">
        <v>37956.230000000003</v>
      </c>
      <c r="K1261" s="27">
        <v>2000000</v>
      </c>
    </row>
    <row r="1262" spans="1:11" ht="15" customHeight="1" x14ac:dyDescent="0.2">
      <c r="A1262" t="s">
        <v>8916</v>
      </c>
      <c r="B1262" t="s">
        <v>8917</v>
      </c>
      <c r="C1262">
        <v>2024</v>
      </c>
      <c r="D1262" s="18">
        <v>45383</v>
      </c>
      <c r="E1262" s="18">
        <v>45747</v>
      </c>
      <c r="F1262" s="18" t="s">
        <v>611</v>
      </c>
      <c r="G1262" t="s">
        <v>102</v>
      </c>
      <c r="H1262">
        <v>2</v>
      </c>
      <c r="I1262">
        <v>4</v>
      </c>
      <c r="J1262" s="27">
        <v>23987.19</v>
      </c>
      <c r="K1262" s="27">
        <v>3000000</v>
      </c>
    </row>
    <row r="1263" spans="1:11" ht="15" customHeight="1" x14ac:dyDescent="0.2">
      <c r="A1263" t="s">
        <v>8918</v>
      </c>
      <c r="B1263" t="s">
        <v>8919</v>
      </c>
      <c r="C1263">
        <v>2024</v>
      </c>
      <c r="D1263" s="18">
        <v>45383</v>
      </c>
      <c r="E1263" s="18">
        <v>45747</v>
      </c>
      <c r="F1263" s="18" t="s">
        <v>611</v>
      </c>
      <c r="G1263" t="s">
        <v>102</v>
      </c>
      <c r="H1263">
        <v>1</v>
      </c>
      <c r="I1263">
        <v>1</v>
      </c>
      <c r="J1263" s="27">
        <v>16471.52</v>
      </c>
      <c r="K1263" s="27">
        <v>2000000</v>
      </c>
    </row>
    <row r="1264" spans="1:11" ht="15" customHeight="1" x14ac:dyDescent="0.2">
      <c r="A1264" t="s">
        <v>8920</v>
      </c>
      <c r="B1264" t="s">
        <v>8921</v>
      </c>
      <c r="C1264">
        <v>2024</v>
      </c>
      <c r="D1264" s="18">
        <v>45383</v>
      </c>
      <c r="E1264" s="18">
        <v>45747</v>
      </c>
      <c r="F1264" s="18" t="s">
        <v>611</v>
      </c>
      <c r="G1264" t="s">
        <v>100</v>
      </c>
      <c r="H1264">
        <v>2</v>
      </c>
      <c r="I1264">
        <v>4</v>
      </c>
      <c r="J1264" s="27">
        <v>63822.12</v>
      </c>
      <c r="K1264" s="27">
        <v>4500000</v>
      </c>
    </row>
    <row r="1265" spans="1:11" ht="15" customHeight="1" x14ac:dyDescent="0.2">
      <c r="A1265" t="s">
        <v>8922</v>
      </c>
      <c r="B1265" t="s">
        <v>8923</v>
      </c>
      <c r="C1265">
        <v>2024</v>
      </c>
      <c r="D1265" s="18">
        <v>45383</v>
      </c>
      <c r="E1265" s="18">
        <v>45747</v>
      </c>
      <c r="F1265" s="18" t="s">
        <v>611</v>
      </c>
      <c r="G1265" t="s">
        <v>102</v>
      </c>
      <c r="H1265">
        <v>1</v>
      </c>
      <c r="I1265">
        <v>2</v>
      </c>
      <c r="J1265" s="27">
        <v>4616.91</v>
      </c>
      <c r="K1265" s="27">
        <v>500000</v>
      </c>
    </row>
    <row r="1266" spans="1:11" ht="15" customHeight="1" x14ac:dyDescent="0.2">
      <c r="A1266" t="s">
        <v>8924</v>
      </c>
      <c r="B1266" t="s">
        <v>8925</v>
      </c>
      <c r="C1266">
        <v>2024</v>
      </c>
      <c r="D1266" s="18">
        <v>45384</v>
      </c>
      <c r="E1266" s="18">
        <v>45748</v>
      </c>
      <c r="F1266" s="18" t="s">
        <v>608</v>
      </c>
      <c r="G1266" t="s">
        <v>99</v>
      </c>
      <c r="H1266">
        <v>1</v>
      </c>
      <c r="I1266">
        <v>2</v>
      </c>
      <c r="J1266" s="27">
        <v>17322.66</v>
      </c>
      <c r="K1266" s="27">
        <v>2000000</v>
      </c>
    </row>
    <row r="1267" spans="1:11" ht="15" customHeight="1" x14ac:dyDescent="0.2">
      <c r="A1267" t="s">
        <v>8926</v>
      </c>
      <c r="B1267" t="s">
        <v>8927</v>
      </c>
      <c r="C1267">
        <v>2024</v>
      </c>
      <c r="D1267" s="18">
        <v>45384</v>
      </c>
      <c r="E1267" s="18">
        <v>45748</v>
      </c>
      <c r="F1267" s="18" t="s">
        <v>611</v>
      </c>
      <c r="G1267" t="s">
        <v>99</v>
      </c>
      <c r="H1267">
        <v>1</v>
      </c>
      <c r="I1267">
        <v>1</v>
      </c>
      <c r="J1267" s="27">
        <v>28419.07</v>
      </c>
      <c r="K1267" s="27">
        <v>3500000</v>
      </c>
    </row>
    <row r="1268" spans="1:11" ht="15" customHeight="1" x14ac:dyDescent="0.2">
      <c r="A1268" t="s">
        <v>8928</v>
      </c>
      <c r="B1268" t="s">
        <v>8929</v>
      </c>
      <c r="C1268">
        <v>2024</v>
      </c>
      <c r="D1268" s="18">
        <v>45384</v>
      </c>
      <c r="E1268" s="18">
        <v>45748</v>
      </c>
      <c r="F1268" s="18" t="s">
        <v>611</v>
      </c>
      <c r="G1268" t="s">
        <v>102</v>
      </c>
      <c r="H1268">
        <v>2</v>
      </c>
      <c r="I1268">
        <v>4</v>
      </c>
      <c r="J1268" s="27">
        <v>35572.28</v>
      </c>
      <c r="K1268" s="27">
        <v>4000000</v>
      </c>
    </row>
    <row r="1269" spans="1:11" ht="15" customHeight="1" x14ac:dyDescent="0.2">
      <c r="A1269" t="s">
        <v>8930</v>
      </c>
      <c r="B1269" t="s">
        <v>8931</v>
      </c>
      <c r="C1269">
        <v>2024</v>
      </c>
      <c r="D1269" s="18">
        <v>45384</v>
      </c>
      <c r="E1269" s="18">
        <v>45748</v>
      </c>
      <c r="F1269" s="18" t="s">
        <v>611</v>
      </c>
      <c r="G1269" t="s">
        <v>102</v>
      </c>
      <c r="H1269">
        <v>1</v>
      </c>
      <c r="I1269">
        <v>1</v>
      </c>
      <c r="J1269" s="27">
        <v>16491.78</v>
      </c>
      <c r="K1269" s="27">
        <v>2000000</v>
      </c>
    </row>
    <row r="1270" spans="1:11" ht="15" customHeight="1" x14ac:dyDescent="0.2">
      <c r="A1270" t="s">
        <v>8932</v>
      </c>
      <c r="B1270" t="s">
        <v>8933</v>
      </c>
      <c r="C1270">
        <v>2024</v>
      </c>
      <c r="D1270" s="18">
        <v>45384</v>
      </c>
      <c r="E1270" s="18">
        <v>45748</v>
      </c>
      <c r="F1270" s="18" t="s">
        <v>611</v>
      </c>
      <c r="G1270" t="s">
        <v>99</v>
      </c>
      <c r="H1270">
        <v>1</v>
      </c>
      <c r="I1270">
        <v>1</v>
      </c>
      <c r="J1270" s="27">
        <v>17402.14</v>
      </c>
      <c r="K1270" s="27">
        <v>2000000</v>
      </c>
    </row>
    <row r="1271" spans="1:11" ht="15" customHeight="1" x14ac:dyDescent="0.2">
      <c r="A1271" t="s">
        <v>8934</v>
      </c>
      <c r="B1271" t="s">
        <v>8935</v>
      </c>
      <c r="C1271">
        <v>2024</v>
      </c>
      <c r="D1271" s="18">
        <v>45384</v>
      </c>
      <c r="E1271" s="18">
        <v>45748</v>
      </c>
      <c r="F1271" s="18" t="s">
        <v>611</v>
      </c>
      <c r="G1271" t="s">
        <v>99</v>
      </c>
      <c r="H1271">
        <v>1</v>
      </c>
      <c r="I1271">
        <v>2</v>
      </c>
      <c r="J1271" s="27">
        <v>25856.07</v>
      </c>
      <c r="K1271" s="27">
        <v>3000000</v>
      </c>
    </row>
    <row r="1272" spans="1:11" ht="15" customHeight="1" x14ac:dyDescent="0.2">
      <c r="A1272" t="s">
        <v>8936</v>
      </c>
      <c r="B1272" t="s">
        <v>8937</v>
      </c>
      <c r="C1272">
        <v>2024</v>
      </c>
      <c r="D1272" s="18">
        <v>45384</v>
      </c>
      <c r="E1272" s="18">
        <v>45748</v>
      </c>
      <c r="F1272" s="18" t="s">
        <v>611</v>
      </c>
      <c r="G1272" t="s">
        <v>99</v>
      </c>
      <c r="H1272">
        <v>3</v>
      </c>
      <c r="I1272">
        <v>3</v>
      </c>
      <c r="J1272" s="27">
        <v>7718.84</v>
      </c>
      <c r="K1272" s="27">
        <v>1000000</v>
      </c>
    </row>
    <row r="1273" spans="1:11" ht="15" customHeight="1" x14ac:dyDescent="0.2">
      <c r="A1273" t="s">
        <v>8938</v>
      </c>
      <c r="B1273" t="s">
        <v>8939</v>
      </c>
      <c r="C1273">
        <v>2024</v>
      </c>
      <c r="D1273" s="18">
        <v>45384</v>
      </c>
      <c r="E1273" s="18">
        <v>45748</v>
      </c>
      <c r="F1273" s="18" t="s">
        <v>611</v>
      </c>
      <c r="G1273" t="s">
        <v>101</v>
      </c>
      <c r="H1273">
        <v>2</v>
      </c>
      <c r="I1273">
        <v>4</v>
      </c>
      <c r="J1273" s="27">
        <v>34113.230000000003</v>
      </c>
      <c r="K1273" s="27">
        <v>2000000</v>
      </c>
    </row>
    <row r="1274" spans="1:11" ht="15" customHeight="1" x14ac:dyDescent="0.2">
      <c r="A1274" t="s">
        <v>8940</v>
      </c>
      <c r="B1274" t="s">
        <v>8941</v>
      </c>
      <c r="C1274">
        <v>2024</v>
      </c>
      <c r="D1274" s="18">
        <v>45384</v>
      </c>
      <c r="E1274" s="18">
        <v>45748</v>
      </c>
      <c r="F1274" s="18" t="s">
        <v>611</v>
      </c>
      <c r="G1274" t="s">
        <v>101</v>
      </c>
      <c r="H1274">
        <v>3</v>
      </c>
      <c r="I1274">
        <v>3</v>
      </c>
      <c r="J1274" s="27">
        <v>7868.21</v>
      </c>
      <c r="K1274" s="27">
        <v>500000</v>
      </c>
    </row>
    <row r="1275" spans="1:11" ht="15" customHeight="1" x14ac:dyDescent="0.2">
      <c r="A1275" t="s">
        <v>8942</v>
      </c>
      <c r="B1275" t="s">
        <v>8943</v>
      </c>
      <c r="C1275">
        <v>2024</v>
      </c>
      <c r="D1275" s="18">
        <v>45385</v>
      </c>
      <c r="E1275" s="18">
        <v>45749</v>
      </c>
      <c r="F1275" s="18" t="s">
        <v>611</v>
      </c>
      <c r="G1275" t="s">
        <v>99</v>
      </c>
      <c r="H1275">
        <v>1</v>
      </c>
      <c r="I1275">
        <v>2</v>
      </c>
      <c r="J1275" s="27">
        <v>15318.01</v>
      </c>
      <c r="K1275" s="27">
        <v>2000000</v>
      </c>
    </row>
    <row r="1276" spans="1:11" ht="15" customHeight="1" x14ac:dyDescent="0.2">
      <c r="A1276" t="s">
        <v>8944</v>
      </c>
      <c r="B1276" t="s">
        <v>8945</v>
      </c>
      <c r="C1276">
        <v>2024</v>
      </c>
      <c r="D1276" s="18">
        <v>45385</v>
      </c>
      <c r="E1276" s="18">
        <v>45749</v>
      </c>
      <c r="F1276" s="18" t="s">
        <v>611</v>
      </c>
      <c r="G1276" t="s">
        <v>101</v>
      </c>
      <c r="H1276">
        <v>1</v>
      </c>
      <c r="I1276">
        <v>1</v>
      </c>
      <c r="J1276" s="27">
        <v>34508.46</v>
      </c>
      <c r="K1276" s="27">
        <v>2000000</v>
      </c>
    </row>
    <row r="1277" spans="1:11" ht="15" customHeight="1" x14ac:dyDescent="0.2">
      <c r="A1277" t="s">
        <v>8946</v>
      </c>
      <c r="B1277" t="s">
        <v>8947</v>
      </c>
      <c r="C1277">
        <v>2024</v>
      </c>
      <c r="D1277" s="18">
        <v>45385</v>
      </c>
      <c r="E1277" s="18">
        <v>45749</v>
      </c>
      <c r="F1277" s="18" t="s">
        <v>611</v>
      </c>
      <c r="G1277" t="s">
        <v>100</v>
      </c>
      <c r="H1277">
        <v>1</v>
      </c>
      <c r="I1277">
        <v>1</v>
      </c>
      <c r="J1277" s="27">
        <v>51229.09</v>
      </c>
      <c r="K1277" s="27">
        <v>4000000</v>
      </c>
    </row>
    <row r="1278" spans="1:11" ht="15" customHeight="1" x14ac:dyDescent="0.2">
      <c r="A1278" t="s">
        <v>8948</v>
      </c>
      <c r="B1278" t="s">
        <v>8949</v>
      </c>
      <c r="C1278">
        <v>2024</v>
      </c>
      <c r="D1278" s="18">
        <v>45385</v>
      </c>
      <c r="E1278" s="18">
        <v>45749</v>
      </c>
      <c r="F1278" s="18" t="s">
        <v>611</v>
      </c>
      <c r="G1278" t="s">
        <v>102</v>
      </c>
      <c r="H1278">
        <v>2</v>
      </c>
      <c r="I1278">
        <v>4</v>
      </c>
      <c r="J1278" s="27">
        <v>17130.71</v>
      </c>
      <c r="K1278" s="27">
        <v>2000000</v>
      </c>
    </row>
    <row r="1279" spans="1:11" ht="15" customHeight="1" x14ac:dyDescent="0.2">
      <c r="A1279" t="s">
        <v>8950</v>
      </c>
      <c r="B1279" t="s">
        <v>8951</v>
      </c>
      <c r="C1279">
        <v>2024</v>
      </c>
      <c r="D1279" s="18">
        <v>45385</v>
      </c>
      <c r="E1279" s="18">
        <v>45749</v>
      </c>
      <c r="F1279" s="18" t="s">
        <v>611</v>
      </c>
      <c r="G1279" t="s">
        <v>99</v>
      </c>
      <c r="H1279">
        <v>1</v>
      </c>
      <c r="I1279">
        <v>1</v>
      </c>
      <c r="J1279" s="27">
        <v>17135.849999999999</v>
      </c>
      <c r="K1279" s="27">
        <v>2000000</v>
      </c>
    </row>
    <row r="1280" spans="1:11" ht="15" customHeight="1" x14ac:dyDescent="0.2">
      <c r="A1280" t="s">
        <v>8952</v>
      </c>
      <c r="B1280" t="s">
        <v>8953</v>
      </c>
      <c r="C1280">
        <v>2024</v>
      </c>
      <c r="D1280" s="18">
        <v>45386</v>
      </c>
      <c r="E1280" s="18">
        <v>45750</v>
      </c>
      <c r="F1280" s="18" t="s">
        <v>608</v>
      </c>
      <c r="G1280" t="s">
        <v>101</v>
      </c>
      <c r="H1280">
        <v>1</v>
      </c>
      <c r="I1280">
        <v>1</v>
      </c>
      <c r="J1280" s="27">
        <v>16318.57</v>
      </c>
      <c r="K1280" s="27">
        <v>1000000</v>
      </c>
    </row>
    <row r="1281" spans="1:11" ht="15" customHeight="1" x14ac:dyDescent="0.2">
      <c r="A1281" t="s">
        <v>8954</v>
      </c>
      <c r="B1281" t="s">
        <v>8955</v>
      </c>
      <c r="C1281">
        <v>2024</v>
      </c>
      <c r="D1281" s="18">
        <v>45386</v>
      </c>
      <c r="E1281" s="18">
        <v>45750</v>
      </c>
      <c r="F1281" s="18" t="s">
        <v>611</v>
      </c>
      <c r="G1281" t="s">
        <v>100</v>
      </c>
      <c r="H1281">
        <v>2</v>
      </c>
      <c r="I1281">
        <v>4</v>
      </c>
      <c r="J1281" s="27">
        <v>47049.24</v>
      </c>
      <c r="K1281" s="27">
        <v>4000000</v>
      </c>
    </row>
    <row r="1282" spans="1:11" ht="15" customHeight="1" x14ac:dyDescent="0.2">
      <c r="A1282" t="s">
        <v>8956</v>
      </c>
      <c r="B1282" t="s">
        <v>8957</v>
      </c>
      <c r="C1282">
        <v>2024</v>
      </c>
      <c r="D1282" s="18">
        <v>45386</v>
      </c>
      <c r="E1282" s="18">
        <v>45750</v>
      </c>
      <c r="F1282" s="18" t="s">
        <v>611</v>
      </c>
      <c r="G1282" t="s">
        <v>99</v>
      </c>
      <c r="H1282">
        <v>1</v>
      </c>
      <c r="I1282">
        <v>2</v>
      </c>
      <c r="J1282" s="27">
        <v>76885.23</v>
      </c>
      <c r="K1282" s="27">
        <v>10000000</v>
      </c>
    </row>
    <row r="1283" spans="1:11" ht="15" customHeight="1" x14ac:dyDescent="0.2">
      <c r="A1283" t="s">
        <v>8958</v>
      </c>
      <c r="B1283" t="s">
        <v>8959</v>
      </c>
      <c r="C1283">
        <v>2024</v>
      </c>
      <c r="D1283" s="18">
        <v>45386</v>
      </c>
      <c r="E1283" s="18">
        <v>45750</v>
      </c>
      <c r="F1283" s="18" t="s">
        <v>611</v>
      </c>
      <c r="G1283" t="s">
        <v>99</v>
      </c>
      <c r="H1283">
        <v>1</v>
      </c>
      <c r="I1283">
        <v>1</v>
      </c>
      <c r="J1283" s="27">
        <v>8260.34</v>
      </c>
      <c r="K1283" s="27">
        <v>1000000</v>
      </c>
    </row>
    <row r="1284" spans="1:11" ht="15" customHeight="1" x14ac:dyDescent="0.2">
      <c r="A1284" t="s">
        <v>8960</v>
      </c>
      <c r="B1284" t="s">
        <v>8961</v>
      </c>
      <c r="C1284">
        <v>2024</v>
      </c>
      <c r="D1284" s="18">
        <v>45386</v>
      </c>
      <c r="E1284" s="18">
        <v>45750</v>
      </c>
      <c r="F1284" s="18" t="s">
        <v>611</v>
      </c>
      <c r="G1284" t="s">
        <v>99</v>
      </c>
      <c r="H1284">
        <v>2</v>
      </c>
      <c r="I1284">
        <v>2</v>
      </c>
      <c r="J1284" s="27">
        <v>8597.4699999999993</v>
      </c>
      <c r="K1284" s="27">
        <v>1000000</v>
      </c>
    </row>
    <row r="1285" spans="1:11" ht="15" customHeight="1" x14ac:dyDescent="0.2">
      <c r="A1285" t="s">
        <v>8962</v>
      </c>
      <c r="B1285" t="s">
        <v>8963</v>
      </c>
      <c r="C1285">
        <v>2024</v>
      </c>
      <c r="D1285" s="18">
        <v>45386</v>
      </c>
      <c r="E1285" s="18">
        <v>45750</v>
      </c>
      <c r="F1285" s="18" t="s">
        <v>611</v>
      </c>
      <c r="G1285" t="s">
        <v>101</v>
      </c>
      <c r="H1285">
        <v>2</v>
      </c>
      <c r="I1285">
        <v>4</v>
      </c>
      <c r="J1285" s="27">
        <v>32475.48</v>
      </c>
      <c r="K1285" s="27">
        <v>2000000</v>
      </c>
    </row>
    <row r="1286" spans="1:11" ht="15" customHeight="1" x14ac:dyDescent="0.2">
      <c r="A1286" t="s">
        <v>8964</v>
      </c>
      <c r="B1286" t="s">
        <v>8965</v>
      </c>
      <c r="C1286">
        <v>2024</v>
      </c>
      <c r="D1286" s="18">
        <v>45387</v>
      </c>
      <c r="E1286" s="18">
        <v>45751</v>
      </c>
      <c r="F1286" s="18" t="s">
        <v>611</v>
      </c>
      <c r="G1286" t="s">
        <v>100</v>
      </c>
      <c r="H1286">
        <v>1</v>
      </c>
      <c r="I1286">
        <v>1</v>
      </c>
      <c r="J1286" s="27">
        <v>61664.19</v>
      </c>
      <c r="K1286" s="27">
        <v>5000000</v>
      </c>
    </row>
    <row r="1287" spans="1:11" ht="15" customHeight="1" x14ac:dyDescent="0.2">
      <c r="A1287" t="s">
        <v>8966</v>
      </c>
      <c r="B1287" t="s">
        <v>8967</v>
      </c>
      <c r="C1287">
        <v>2024</v>
      </c>
      <c r="D1287" s="18">
        <v>45387</v>
      </c>
      <c r="E1287" s="18">
        <v>45751</v>
      </c>
      <c r="F1287" s="18" t="s">
        <v>611</v>
      </c>
      <c r="G1287" t="s">
        <v>102</v>
      </c>
      <c r="H1287">
        <v>1</v>
      </c>
      <c r="I1287">
        <v>1</v>
      </c>
      <c r="J1287" s="27">
        <v>28995.89</v>
      </c>
      <c r="K1287" s="27">
        <v>3500000</v>
      </c>
    </row>
    <row r="1288" spans="1:11" ht="15" customHeight="1" x14ac:dyDescent="0.2">
      <c r="A1288" t="s">
        <v>8968</v>
      </c>
      <c r="B1288" t="s">
        <v>8969</v>
      </c>
      <c r="C1288">
        <v>2024</v>
      </c>
      <c r="D1288" s="18">
        <v>45387</v>
      </c>
      <c r="E1288" s="18">
        <v>45751</v>
      </c>
      <c r="F1288" s="18" t="s">
        <v>611</v>
      </c>
      <c r="G1288" t="s">
        <v>101</v>
      </c>
      <c r="H1288">
        <v>1</v>
      </c>
      <c r="I1288">
        <v>2</v>
      </c>
      <c r="J1288" s="27">
        <v>56203.28</v>
      </c>
      <c r="K1288" s="27">
        <v>3000000</v>
      </c>
    </row>
    <row r="1289" spans="1:11" ht="15" customHeight="1" x14ac:dyDescent="0.2">
      <c r="A1289" t="s">
        <v>8970</v>
      </c>
      <c r="B1289" t="s">
        <v>8971</v>
      </c>
      <c r="C1289">
        <v>2024</v>
      </c>
      <c r="D1289" s="18">
        <v>45387</v>
      </c>
      <c r="E1289" s="18">
        <v>45751</v>
      </c>
      <c r="F1289" s="18" t="s">
        <v>611</v>
      </c>
      <c r="G1289" t="s">
        <v>100</v>
      </c>
      <c r="H1289">
        <v>1</v>
      </c>
      <c r="I1289">
        <v>1</v>
      </c>
      <c r="J1289" s="27">
        <v>28434.66</v>
      </c>
      <c r="K1289" s="27">
        <v>2000000</v>
      </c>
    </row>
    <row r="1290" spans="1:11" ht="15" customHeight="1" x14ac:dyDescent="0.2">
      <c r="A1290" t="s">
        <v>8972</v>
      </c>
      <c r="B1290" t="s">
        <v>8973</v>
      </c>
      <c r="C1290">
        <v>2024</v>
      </c>
      <c r="D1290" s="18">
        <v>45387</v>
      </c>
      <c r="E1290" s="18">
        <v>45751</v>
      </c>
      <c r="F1290" s="18" t="s">
        <v>611</v>
      </c>
      <c r="G1290" t="s">
        <v>100</v>
      </c>
      <c r="H1290">
        <v>3</v>
      </c>
      <c r="I1290">
        <v>3</v>
      </c>
      <c r="J1290" s="27">
        <v>25831.65</v>
      </c>
      <c r="K1290" s="27">
        <v>2000000</v>
      </c>
    </row>
    <row r="1291" spans="1:11" ht="15" customHeight="1" x14ac:dyDescent="0.2">
      <c r="A1291" t="s">
        <v>8974</v>
      </c>
      <c r="B1291" t="s">
        <v>8975</v>
      </c>
      <c r="C1291">
        <v>2024</v>
      </c>
      <c r="D1291" s="18">
        <v>45388</v>
      </c>
      <c r="E1291" s="18">
        <v>45752</v>
      </c>
      <c r="F1291" s="18" t="s">
        <v>608</v>
      </c>
      <c r="G1291" t="s">
        <v>99</v>
      </c>
      <c r="H1291">
        <v>1</v>
      </c>
      <c r="I1291">
        <v>1</v>
      </c>
      <c r="J1291" s="27">
        <v>80578.16</v>
      </c>
      <c r="K1291" s="27">
        <v>10000000</v>
      </c>
    </row>
    <row r="1292" spans="1:11" ht="15" customHeight="1" x14ac:dyDescent="0.2">
      <c r="A1292" t="s">
        <v>8976</v>
      </c>
      <c r="B1292" t="s">
        <v>8977</v>
      </c>
      <c r="C1292">
        <v>2024</v>
      </c>
      <c r="D1292" s="18">
        <v>45388</v>
      </c>
      <c r="E1292" s="18">
        <v>45752</v>
      </c>
      <c r="F1292" s="18" t="s">
        <v>611</v>
      </c>
      <c r="G1292" t="s">
        <v>99</v>
      </c>
      <c r="H1292">
        <v>1</v>
      </c>
      <c r="I1292">
        <v>2</v>
      </c>
      <c r="J1292" s="27">
        <v>17869.61</v>
      </c>
      <c r="K1292" s="27">
        <v>2000000</v>
      </c>
    </row>
    <row r="1293" spans="1:11" ht="15" customHeight="1" x14ac:dyDescent="0.2">
      <c r="A1293" t="s">
        <v>8978</v>
      </c>
      <c r="B1293" t="s">
        <v>8979</v>
      </c>
      <c r="C1293">
        <v>2024</v>
      </c>
      <c r="D1293" s="18">
        <v>45388</v>
      </c>
      <c r="E1293" s="18">
        <v>45752</v>
      </c>
      <c r="F1293" s="18" t="s">
        <v>611</v>
      </c>
      <c r="G1293" t="s">
        <v>101</v>
      </c>
      <c r="H1293">
        <v>1</v>
      </c>
      <c r="I1293">
        <v>2</v>
      </c>
      <c r="J1293" s="27">
        <v>71460.72</v>
      </c>
      <c r="K1293" s="27">
        <v>4000000</v>
      </c>
    </row>
    <row r="1294" spans="1:11" ht="15" customHeight="1" x14ac:dyDescent="0.2">
      <c r="A1294" t="s">
        <v>8980</v>
      </c>
      <c r="B1294" t="s">
        <v>8981</v>
      </c>
      <c r="C1294">
        <v>2024</v>
      </c>
      <c r="D1294" s="18">
        <v>45388</v>
      </c>
      <c r="E1294" s="18">
        <v>45752</v>
      </c>
      <c r="F1294" s="18" t="s">
        <v>611</v>
      </c>
      <c r="G1294" t="s">
        <v>101</v>
      </c>
      <c r="H1294">
        <v>3</v>
      </c>
      <c r="I1294">
        <v>3</v>
      </c>
      <c r="J1294" s="27">
        <v>74852.509999999995</v>
      </c>
      <c r="K1294" s="27">
        <v>4000000</v>
      </c>
    </row>
    <row r="1295" spans="1:11" ht="15" customHeight="1" x14ac:dyDescent="0.2">
      <c r="A1295" t="s">
        <v>8982</v>
      </c>
      <c r="B1295" t="s">
        <v>8983</v>
      </c>
      <c r="C1295">
        <v>2024</v>
      </c>
      <c r="D1295" s="18">
        <v>45388</v>
      </c>
      <c r="E1295" s="18">
        <v>45752</v>
      </c>
      <c r="F1295" s="18" t="s">
        <v>611</v>
      </c>
      <c r="G1295" t="s">
        <v>101</v>
      </c>
      <c r="H1295">
        <v>2</v>
      </c>
      <c r="I1295">
        <v>2</v>
      </c>
      <c r="J1295" s="27">
        <v>80281.820000000007</v>
      </c>
      <c r="K1295" s="27">
        <v>5000000</v>
      </c>
    </row>
    <row r="1296" spans="1:11" ht="15" customHeight="1" x14ac:dyDescent="0.2">
      <c r="A1296" t="s">
        <v>8984</v>
      </c>
      <c r="B1296" t="s">
        <v>8985</v>
      </c>
      <c r="C1296">
        <v>2024</v>
      </c>
      <c r="D1296" s="18">
        <v>45389</v>
      </c>
      <c r="E1296" s="18">
        <v>45753</v>
      </c>
      <c r="F1296" s="18" t="s">
        <v>608</v>
      </c>
      <c r="G1296" t="s">
        <v>100</v>
      </c>
      <c r="H1296">
        <v>3</v>
      </c>
      <c r="I1296">
        <v>6</v>
      </c>
      <c r="J1296" s="27">
        <v>44369.71</v>
      </c>
      <c r="K1296" s="27">
        <v>3500000</v>
      </c>
    </row>
    <row r="1297" spans="1:11" ht="15" customHeight="1" x14ac:dyDescent="0.2">
      <c r="A1297" t="s">
        <v>8986</v>
      </c>
      <c r="B1297" t="s">
        <v>8987</v>
      </c>
      <c r="C1297">
        <v>2024</v>
      </c>
      <c r="D1297" s="18">
        <v>45389</v>
      </c>
      <c r="E1297" s="18">
        <v>45753</v>
      </c>
      <c r="F1297" s="18" t="s">
        <v>608</v>
      </c>
      <c r="G1297" t="s">
        <v>100</v>
      </c>
      <c r="H1297">
        <v>1</v>
      </c>
      <c r="I1297">
        <v>1</v>
      </c>
      <c r="J1297" s="27">
        <v>58667.44</v>
      </c>
      <c r="K1297" s="27">
        <v>4500000</v>
      </c>
    </row>
    <row r="1298" spans="1:11" ht="15" customHeight="1" x14ac:dyDescent="0.2">
      <c r="A1298" t="s">
        <v>8988</v>
      </c>
      <c r="B1298" t="s">
        <v>8989</v>
      </c>
      <c r="C1298">
        <v>2024</v>
      </c>
      <c r="D1298" s="18">
        <v>45389</v>
      </c>
      <c r="E1298" s="18">
        <v>45753</v>
      </c>
      <c r="F1298" s="18" t="s">
        <v>608</v>
      </c>
      <c r="G1298" t="s">
        <v>99</v>
      </c>
      <c r="H1298">
        <v>1</v>
      </c>
      <c r="I1298">
        <v>1</v>
      </c>
      <c r="J1298" s="27">
        <v>16521.09</v>
      </c>
      <c r="K1298" s="27">
        <v>2000000</v>
      </c>
    </row>
    <row r="1299" spans="1:11" ht="15" customHeight="1" x14ac:dyDescent="0.2">
      <c r="A1299" t="s">
        <v>8990</v>
      </c>
      <c r="B1299" t="s">
        <v>8991</v>
      </c>
      <c r="C1299">
        <v>2024</v>
      </c>
      <c r="D1299" s="18">
        <v>45389</v>
      </c>
      <c r="E1299" s="18">
        <v>45753</v>
      </c>
      <c r="F1299" s="18" t="s">
        <v>611</v>
      </c>
      <c r="G1299" t="s">
        <v>100</v>
      </c>
      <c r="H1299">
        <v>2</v>
      </c>
      <c r="I1299">
        <v>2</v>
      </c>
      <c r="J1299" s="27">
        <v>64835.72</v>
      </c>
      <c r="K1299" s="27">
        <v>5000000</v>
      </c>
    </row>
    <row r="1300" spans="1:11" ht="15" customHeight="1" x14ac:dyDescent="0.2">
      <c r="A1300" t="s">
        <v>8992</v>
      </c>
      <c r="B1300" t="s">
        <v>8993</v>
      </c>
      <c r="C1300">
        <v>2024</v>
      </c>
      <c r="D1300" s="18">
        <v>45389</v>
      </c>
      <c r="E1300" s="18">
        <v>45753</v>
      </c>
      <c r="F1300" s="18" t="s">
        <v>611</v>
      </c>
      <c r="G1300" t="s">
        <v>102</v>
      </c>
      <c r="H1300">
        <v>1</v>
      </c>
      <c r="I1300">
        <v>2</v>
      </c>
      <c r="J1300" s="27">
        <v>84763.97</v>
      </c>
      <c r="K1300" s="27">
        <v>10000000</v>
      </c>
    </row>
    <row r="1301" spans="1:11" ht="15" customHeight="1" x14ac:dyDescent="0.2">
      <c r="A1301" t="s">
        <v>8994</v>
      </c>
      <c r="B1301" t="s">
        <v>8995</v>
      </c>
      <c r="C1301">
        <v>2024</v>
      </c>
      <c r="D1301" s="18">
        <v>45389</v>
      </c>
      <c r="E1301" s="18">
        <v>45753</v>
      </c>
      <c r="F1301" s="18" t="s">
        <v>611</v>
      </c>
      <c r="G1301" t="s">
        <v>102</v>
      </c>
      <c r="H1301">
        <v>3</v>
      </c>
      <c r="I1301">
        <v>3</v>
      </c>
      <c r="J1301" s="27">
        <v>8500.66</v>
      </c>
      <c r="K1301" s="27">
        <v>1000000</v>
      </c>
    </row>
    <row r="1302" spans="1:11" ht="15" customHeight="1" x14ac:dyDescent="0.2">
      <c r="A1302" t="s">
        <v>8996</v>
      </c>
      <c r="B1302" t="s">
        <v>8997</v>
      </c>
      <c r="C1302">
        <v>2024</v>
      </c>
      <c r="D1302" s="18">
        <v>45389</v>
      </c>
      <c r="E1302" s="18">
        <v>45753</v>
      </c>
      <c r="F1302" s="18" t="s">
        <v>611</v>
      </c>
      <c r="G1302" t="s">
        <v>101</v>
      </c>
      <c r="H1302">
        <v>1</v>
      </c>
      <c r="I1302">
        <v>1</v>
      </c>
      <c r="J1302" s="27">
        <v>86740.14</v>
      </c>
      <c r="K1302" s="27">
        <v>5000000</v>
      </c>
    </row>
    <row r="1303" spans="1:11" ht="15" customHeight="1" x14ac:dyDescent="0.2">
      <c r="A1303" t="s">
        <v>8998</v>
      </c>
      <c r="B1303" t="s">
        <v>8999</v>
      </c>
      <c r="C1303">
        <v>2024</v>
      </c>
      <c r="D1303" s="18">
        <v>45390</v>
      </c>
      <c r="E1303" s="18">
        <v>45754</v>
      </c>
      <c r="F1303" s="18" t="s">
        <v>608</v>
      </c>
      <c r="G1303" t="s">
        <v>100</v>
      </c>
      <c r="H1303">
        <v>1</v>
      </c>
      <c r="I1303">
        <v>1</v>
      </c>
      <c r="J1303" s="27">
        <v>48329.5</v>
      </c>
      <c r="K1303" s="27">
        <v>4000000</v>
      </c>
    </row>
    <row r="1304" spans="1:11" ht="15" customHeight="1" x14ac:dyDescent="0.2">
      <c r="A1304" t="s">
        <v>9000</v>
      </c>
      <c r="B1304" t="s">
        <v>9001</v>
      </c>
      <c r="C1304">
        <v>2024</v>
      </c>
      <c r="D1304" s="18">
        <v>45390</v>
      </c>
      <c r="E1304" s="18">
        <v>45754</v>
      </c>
      <c r="F1304" s="18" t="s">
        <v>611</v>
      </c>
      <c r="G1304" t="s">
        <v>100</v>
      </c>
      <c r="H1304">
        <v>3</v>
      </c>
      <c r="I1304">
        <v>6</v>
      </c>
      <c r="J1304" s="27">
        <v>27669.85</v>
      </c>
      <c r="K1304" s="27">
        <v>2000000</v>
      </c>
    </row>
    <row r="1305" spans="1:11" ht="15" customHeight="1" x14ac:dyDescent="0.2">
      <c r="A1305" t="s">
        <v>9002</v>
      </c>
      <c r="B1305" t="s">
        <v>9003</v>
      </c>
      <c r="C1305">
        <v>2024</v>
      </c>
      <c r="D1305" s="18">
        <v>45390</v>
      </c>
      <c r="E1305" s="18">
        <v>45754</v>
      </c>
      <c r="F1305" s="18" t="s">
        <v>611</v>
      </c>
      <c r="G1305" t="s">
        <v>100</v>
      </c>
      <c r="H1305">
        <v>2</v>
      </c>
      <c r="I1305">
        <v>2</v>
      </c>
      <c r="J1305" s="27">
        <v>141967.82</v>
      </c>
      <c r="K1305" s="27">
        <v>10000000</v>
      </c>
    </row>
    <row r="1306" spans="1:11" ht="15" customHeight="1" x14ac:dyDescent="0.2">
      <c r="A1306" t="s">
        <v>9004</v>
      </c>
      <c r="B1306" t="s">
        <v>9005</v>
      </c>
      <c r="C1306">
        <v>2024</v>
      </c>
      <c r="D1306" s="18">
        <v>45390</v>
      </c>
      <c r="E1306" s="18">
        <v>45754</v>
      </c>
      <c r="F1306" s="18" t="s">
        <v>611</v>
      </c>
      <c r="G1306" t="s">
        <v>101</v>
      </c>
      <c r="H1306">
        <v>1</v>
      </c>
      <c r="I1306">
        <v>1</v>
      </c>
      <c r="J1306" s="27">
        <v>8688.0400000000009</v>
      </c>
      <c r="K1306" s="27">
        <v>500000</v>
      </c>
    </row>
    <row r="1307" spans="1:11" ht="15" customHeight="1" x14ac:dyDescent="0.2">
      <c r="A1307" t="s">
        <v>9006</v>
      </c>
      <c r="B1307" t="s">
        <v>9007</v>
      </c>
      <c r="C1307">
        <v>2024</v>
      </c>
      <c r="D1307" s="18">
        <v>45390</v>
      </c>
      <c r="E1307" s="18">
        <v>45754</v>
      </c>
      <c r="F1307" s="18" t="s">
        <v>611</v>
      </c>
      <c r="G1307" t="s">
        <v>99</v>
      </c>
      <c r="H1307">
        <v>1</v>
      </c>
      <c r="I1307">
        <v>2</v>
      </c>
      <c r="J1307" s="27">
        <v>32175.49</v>
      </c>
      <c r="K1307" s="27">
        <v>4000000</v>
      </c>
    </row>
    <row r="1308" spans="1:11" ht="15" customHeight="1" x14ac:dyDescent="0.2">
      <c r="A1308" t="s">
        <v>9008</v>
      </c>
      <c r="B1308" t="s">
        <v>9009</v>
      </c>
      <c r="C1308">
        <v>2024</v>
      </c>
      <c r="D1308" s="18">
        <v>45390</v>
      </c>
      <c r="E1308" s="18">
        <v>45754</v>
      </c>
      <c r="F1308" s="18" t="s">
        <v>611</v>
      </c>
      <c r="G1308" t="s">
        <v>99</v>
      </c>
      <c r="H1308">
        <v>1</v>
      </c>
      <c r="I1308">
        <v>1</v>
      </c>
      <c r="J1308" s="27">
        <v>78723.789999999994</v>
      </c>
      <c r="K1308" s="27">
        <v>10000000</v>
      </c>
    </row>
    <row r="1309" spans="1:11" ht="15" customHeight="1" x14ac:dyDescent="0.2">
      <c r="A1309" t="s">
        <v>9010</v>
      </c>
      <c r="B1309" t="s">
        <v>9011</v>
      </c>
      <c r="C1309">
        <v>2024</v>
      </c>
      <c r="D1309" s="18">
        <v>45390</v>
      </c>
      <c r="E1309" s="18">
        <v>45754</v>
      </c>
      <c r="F1309" s="18" t="s">
        <v>611</v>
      </c>
      <c r="G1309" t="s">
        <v>101</v>
      </c>
      <c r="H1309">
        <v>2</v>
      </c>
      <c r="I1309">
        <v>4</v>
      </c>
      <c r="J1309" s="27">
        <v>56955.11</v>
      </c>
      <c r="K1309" s="27">
        <v>3000000</v>
      </c>
    </row>
    <row r="1310" spans="1:11" ht="15" customHeight="1" x14ac:dyDescent="0.2">
      <c r="A1310" t="s">
        <v>9012</v>
      </c>
      <c r="B1310" t="s">
        <v>9013</v>
      </c>
      <c r="C1310">
        <v>2024</v>
      </c>
      <c r="D1310" s="18">
        <v>45390</v>
      </c>
      <c r="E1310" s="18">
        <v>45754</v>
      </c>
      <c r="F1310" s="18" t="s">
        <v>611</v>
      </c>
      <c r="G1310" t="s">
        <v>101</v>
      </c>
      <c r="H1310">
        <v>1</v>
      </c>
      <c r="I1310">
        <v>1</v>
      </c>
      <c r="J1310" s="27">
        <v>71457.05</v>
      </c>
      <c r="K1310" s="27">
        <v>4000000</v>
      </c>
    </row>
    <row r="1311" spans="1:11" ht="15" customHeight="1" x14ac:dyDescent="0.2">
      <c r="A1311" t="s">
        <v>9014</v>
      </c>
      <c r="B1311" t="s">
        <v>9015</v>
      </c>
      <c r="C1311">
        <v>2024</v>
      </c>
      <c r="D1311" s="18">
        <v>45391</v>
      </c>
      <c r="E1311" s="18">
        <v>45755</v>
      </c>
      <c r="F1311" s="18" t="s">
        <v>608</v>
      </c>
      <c r="G1311" t="s">
        <v>99</v>
      </c>
      <c r="H1311">
        <v>1</v>
      </c>
      <c r="I1311">
        <v>1</v>
      </c>
      <c r="J1311" s="27">
        <v>7564.57</v>
      </c>
      <c r="K1311" s="27">
        <v>1000000</v>
      </c>
    </row>
    <row r="1312" spans="1:11" ht="15" customHeight="1" x14ac:dyDescent="0.2">
      <c r="A1312" t="s">
        <v>9016</v>
      </c>
      <c r="B1312" t="s">
        <v>9017</v>
      </c>
      <c r="C1312">
        <v>2024</v>
      </c>
      <c r="D1312" s="18">
        <v>45391</v>
      </c>
      <c r="E1312" s="18">
        <v>45755</v>
      </c>
      <c r="F1312" s="18" t="s">
        <v>608</v>
      </c>
      <c r="G1312" t="s">
        <v>101</v>
      </c>
      <c r="H1312">
        <v>1</v>
      </c>
      <c r="I1312">
        <v>1</v>
      </c>
      <c r="J1312" s="27">
        <v>59615.42</v>
      </c>
      <c r="K1312" s="27">
        <v>3500000</v>
      </c>
    </row>
    <row r="1313" spans="1:11" ht="15" customHeight="1" x14ac:dyDescent="0.2">
      <c r="A1313" t="s">
        <v>9018</v>
      </c>
      <c r="B1313" t="s">
        <v>9019</v>
      </c>
      <c r="C1313">
        <v>2024</v>
      </c>
      <c r="D1313" s="18">
        <v>45391</v>
      </c>
      <c r="E1313" s="18">
        <v>45755</v>
      </c>
      <c r="F1313" s="18" t="s">
        <v>611</v>
      </c>
      <c r="G1313" t="s">
        <v>99</v>
      </c>
      <c r="H1313">
        <v>2</v>
      </c>
      <c r="I1313">
        <v>2</v>
      </c>
      <c r="J1313" s="27">
        <v>78134.649999999994</v>
      </c>
      <c r="K1313" s="27">
        <v>10000000</v>
      </c>
    </row>
    <row r="1314" spans="1:11" ht="15" customHeight="1" x14ac:dyDescent="0.2">
      <c r="A1314" t="s">
        <v>9020</v>
      </c>
      <c r="B1314" t="s">
        <v>9021</v>
      </c>
      <c r="C1314">
        <v>2024</v>
      </c>
      <c r="D1314" s="18">
        <v>45391</v>
      </c>
      <c r="E1314" s="18">
        <v>45755</v>
      </c>
      <c r="F1314" s="18" t="s">
        <v>611</v>
      </c>
      <c r="G1314" t="s">
        <v>102</v>
      </c>
      <c r="H1314">
        <v>1</v>
      </c>
      <c r="I1314">
        <v>2</v>
      </c>
      <c r="J1314" s="27">
        <v>44453.83</v>
      </c>
      <c r="K1314" s="27">
        <v>5000000</v>
      </c>
    </row>
    <row r="1315" spans="1:11" ht="15" customHeight="1" x14ac:dyDescent="0.2">
      <c r="A1315" t="s">
        <v>9022</v>
      </c>
      <c r="B1315" t="s">
        <v>9023</v>
      </c>
      <c r="C1315">
        <v>2024</v>
      </c>
      <c r="D1315" s="18">
        <v>45392</v>
      </c>
      <c r="E1315" s="18">
        <v>45756</v>
      </c>
      <c r="F1315" s="18" t="s">
        <v>608</v>
      </c>
      <c r="G1315" t="s">
        <v>102</v>
      </c>
      <c r="H1315">
        <v>2</v>
      </c>
      <c r="I1315">
        <v>4</v>
      </c>
      <c r="J1315" s="27">
        <v>15601.37</v>
      </c>
      <c r="K1315" s="27">
        <v>2000000</v>
      </c>
    </row>
    <row r="1316" spans="1:11" ht="15" customHeight="1" x14ac:dyDescent="0.2">
      <c r="A1316" t="s">
        <v>9024</v>
      </c>
      <c r="B1316" t="s">
        <v>9025</v>
      </c>
      <c r="C1316">
        <v>2024</v>
      </c>
      <c r="D1316" s="18">
        <v>45392</v>
      </c>
      <c r="E1316" s="18">
        <v>45756</v>
      </c>
      <c r="F1316" s="18" t="s">
        <v>611</v>
      </c>
      <c r="G1316" t="s">
        <v>99</v>
      </c>
      <c r="H1316">
        <v>2</v>
      </c>
      <c r="I1316">
        <v>2</v>
      </c>
      <c r="J1316" s="27">
        <v>25179.599999999999</v>
      </c>
      <c r="K1316" s="27">
        <v>3000000</v>
      </c>
    </row>
    <row r="1317" spans="1:11" ht="15" customHeight="1" x14ac:dyDescent="0.2">
      <c r="A1317" t="s">
        <v>9026</v>
      </c>
      <c r="B1317" t="s">
        <v>9027</v>
      </c>
      <c r="C1317">
        <v>2024</v>
      </c>
      <c r="D1317" s="18">
        <v>45392</v>
      </c>
      <c r="E1317" s="18">
        <v>45756</v>
      </c>
      <c r="F1317" s="18" t="s">
        <v>611</v>
      </c>
      <c r="G1317" t="s">
        <v>102</v>
      </c>
      <c r="H1317">
        <v>2</v>
      </c>
      <c r="I1317">
        <v>2</v>
      </c>
      <c r="J1317" s="27">
        <v>32760.11</v>
      </c>
      <c r="K1317" s="27">
        <v>4000000</v>
      </c>
    </row>
    <row r="1318" spans="1:11" ht="15" customHeight="1" x14ac:dyDescent="0.2">
      <c r="A1318" t="s">
        <v>9028</v>
      </c>
      <c r="B1318" t="s">
        <v>9029</v>
      </c>
      <c r="C1318">
        <v>2024</v>
      </c>
      <c r="D1318" s="18">
        <v>45393</v>
      </c>
      <c r="E1318" s="18">
        <v>45757</v>
      </c>
      <c r="F1318" s="18" t="s">
        <v>608</v>
      </c>
      <c r="G1318" t="s">
        <v>102</v>
      </c>
      <c r="H1318">
        <v>3</v>
      </c>
      <c r="I1318">
        <v>3</v>
      </c>
      <c r="J1318" s="27">
        <v>13670.09</v>
      </c>
      <c r="K1318" s="27">
        <v>1500000</v>
      </c>
    </row>
    <row r="1319" spans="1:11" ht="15" customHeight="1" x14ac:dyDescent="0.2">
      <c r="A1319" t="s">
        <v>9030</v>
      </c>
      <c r="B1319" t="s">
        <v>9031</v>
      </c>
      <c r="C1319">
        <v>2024</v>
      </c>
      <c r="D1319" s="18">
        <v>45393</v>
      </c>
      <c r="E1319" s="18">
        <v>45757</v>
      </c>
      <c r="F1319" s="18" t="s">
        <v>611</v>
      </c>
      <c r="G1319" t="s">
        <v>102</v>
      </c>
      <c r="H1319">
        <v>1</v>
      </c>
      <c r="I1319">
        <v>1</v>
      </c>
      <c r="J1319" s="27">
        <v>4690.53</v>
      </c>
      <c r="K1319" s="27">
        <v>500000</v>
      </c>
    </row>
    <row r="1320" spans="1:11" ht="15" customHeight="1" x14ac:dyDescent="0.2">
      <c r="A1320" t="s">
        <v>9032</v>
      </c>
      <c r="B1320" t="s">
        <v>9033</v>
      </c>
      <c r="C1320">
        <v>2024</v>
      </c>
      <c r="D1320" s="18">
        <v>45393</v>
      </c>
      <c r="E1320" s="18">
        <v>45757</v>
      </c>
      <c r="F1320" s="18" t="s">
        <v>611</v>
      </c>
      <c r="G1320" t="s">
        <v>100</v>
      </c>
      <c r="H1320">
        <v>2</v>
      </c>
      <c r="I1320">
        <v>4</v>
      </c>
      <c r="J1320" s="27">
        <v>6473.48</v>
      </c>
      <c r="K1320" s="27">
        <v>500000</v>
      </c>
    </row>
    <row r="1321" spans="1:11" ht="15" customHeight="1" x14ac:dyDescent="0.2">
      <c r="A1321" t="s">
        <v>9034</v>
      </c>
      <c r="B1321" t="s">
        <v>9035</v>
      </c>
      <c r="C1321">
        <v>2024</v>
      </c>
      <c r="D1321" s="18">
        <v>45393</v>
      </c>
      <c r="E1321" s="18">
        <v>45757</v>
      </c>
      <c r="F1321" s="18" t="s">
        <v>611</v>
      </c>
      <c r="G1321" t="s">
        <v>102</v>
      </c>
      <c r="H1321">
        <v>2</v>
      </c>
      <c r="I1321">
        <v>4</v>
      </c>
      <c r="J1321" s="27">
        <v>19867.169999999998</v>
      </c>
      <c r="K1321" s="27">
        <v>2500000</v>
      </c>
    </row>
    <row r="1322" spans="1:11" ht="15" customHeight="1" x14ac:dyDescent="0.2">
      <c r="A1322" t="s">
        <v>9036</v>
      </c>
      <c r="B1322" t="s">
        <v>9037</v>
      </c>
      <c r="C1322">
        <v>2024</v>
      </c>
      <c r="D1322" s="18">
        <v>45393</v>
      </c>
      <c r="E1322" s="18">
        <v>45757</v>
      </c>
      <c r="F1322" s="18" t="s">
        <v>611</v>
      </c>
      <c r="G1322" t="s">
        <v>102</v>
      </c>
      <c r="H1322">
        <v>3</v>
      </c>
      <c r="I1322">
        <v>6</v>
      </c>
      <c r="J1322" s="27">
        <v>41678.19</v>
      </c>
      <c r="K1322" s="27">
        <v>4500000</v>
      </c>
    </row>
    <row r="1323" spans="1:11" ht="15" customHeight="1" x14ac:dyDescent="0.2">
      <c r="A1323" t="s">
        <v>9038</v>
      </c>
      <c r="B1323" t="s">
        <v>9039</v>
      </c>
      <c r="C1323">
        <v>2024</v>
      </c>
      <c r="D1323" s="18">
        <v>45393</v>
      </c>
      <c r="E1323" s="18">
        <v>45757</v>
      </c>
      <c r="F1323" s="18" t="s">
        <v>611</v>
      </c>
      <c r="G1323" t="s">
        <v>101</v>
      </c>
      <c r="H1323">
        <v>3</v>
      </c>
      <c r="I1323">
        <v>3</v>
      </c>
      <c r="J1323" s="27">
        <v>35552.620000000003</v>
      </c>
      <c r="K1323" s="27">
        <v>2000000</v>
      </c>
    </row>
    <row r="1324" spans="1:11" ht="15" customHeight="1" x14ac:dyDescent="0.2">
      <c r="A1324" t="s">
        <v>9040</v>
      </c>
      <c r="B1324" t="s">
        <v>9041</v>
      </c>
      <c r="C1324">
        <v>2024</v>
      </c>
      <c r="D1324" s="18">
        <v>45393</v>
      </c>
      <c r="E1324" s="18">
        <v>45757</v>
      </c>
      <c r="F1324" s="18" t="s">
        <v>611</v>
      </c>
      <c r="G1324" t="s">
        <v>100</v>
      </c>
      <c r="H1324">
        <v>2</v>
      </c>
      <c r="I1324">
        <v>4</v>
      </c>
      <c r="J1324" s="27">
        <v>27566.799999999999</v>
      </c>
      <c r="K1324" s="27">
        <v>2000000</v>
      </c>
    </row>
    <row r="1325" spans="1:11" ht="15" customHeight="1" x14ac:dyDescent="0.2">
      <c r="A1325" t="s">
        <v>9042</v>
      </c>
      <c r="B1325" t="s">
        <v>9043</v>
      </c>
      <c r="C1325">
        <v>2024</v>
      </c>
      <c r="D1325" s="18">
        <v>45394</v>
      </c>
      <c r="E1325" s="18">
        <v>45758</v>
      </c>
      <c r="F1325" s="18" t="s">
        <v>608</v>
      </c>
      <c r="G1325" t="s">
        <v>100</v>
      </c>
      <c r="H1325">
        <v>2</v>
      </c>
      <c r="I1325">
        <v>4</v>
      </c>
      <c r="J1325" s="27">
        <v>33924.15</v>
      </c>
      <c r="K1325" s="27">
        <v>2500000</v>
      </c>
    </row>
    <row r="1326" spans="1:11" ht="15" customHeight="1" x14ac:dyDescent="0.2">
      <c r="A1326" t="s">
        <v>9044</v>
      </c>
      <c r="B1326" t="s">
        <v>9045</v>
      </c>
      <c r="C1326">
        <v>2024</v>
      </c>
      <c r="D1326" s="18">
        <v>45394</v>
      </c>
      <c r="E1326" s="18">
        <v>45758</v>
      </c>
      <c r="F1326" s="18" t="s">
        <v>611</v>
      </c>
      <c r="G1326" t="s">
        <v>100</v>
      </c>
      <c r="H1326">
        <v>1</v>
      </c>
      <c r="I1326">
        <v>2</v>
      </c>
      <c r="J1326" s="27">
        <v>26262.33</v>
      </c>
      <c r="K1326" s="27">
        <v>2000000</v>
      </c>
    </row>
    <row r="1327" spans="1:11" ht="15" customHeight="1" x14ac:dyDescent="0.2">
      <c r="A1327" t="s">
        <v>9046</v>
      </c>
      <c r="B1327" t="s">
        <v>9047</v>
      </c>
      <c r="C1327">
        <v>2024</v>
      </c>
      <c r="D1327" s="18">
        <v>45394</v>
      </c>
      <c r="E1327" s="18">
        <v>45758</v>
      </c>
      <c r="F1327" s="18" t="s">
        <v>611</v>
      </c>
      <c r="G1327" t="s">
        <v>100</v>
      </c>
      <c r="H1327">
        <v>3</v>
      </c>
      <c r="I1327">
        <v>6</v>
      </c>
      <c r="J1327" s="27">
        <v>12579.53</v>
      </c>
      <c r="K1327" s="27">
        <v>1000000</v>
      </c>
    </row>
    <row r="1328" spans="1:11" ht="15" customHeight="1" x14ac:dyDescent="0.2">
      <c r="A1328" t="s">
        <v>9048</v>
      </c>
      <c r="B1328" t="s">
        <v>9049</v>
      </c>
      <c r="C1328">
        <v>2024</v>
      </c>
      <c r="D1328" s="18">
        <v>45394</v>
      </c>
      <c r="E1328" s="18">
        <v>45758</v>
      </c>
      <c r="F1328" s="18" t="s">
        <v>611</v>
      </c>
      <c r="G1328" t="s">
        <v>101</v>
      </c>
      <c r="H1328">
        <v>1</v>
      </c>
      <c r="I1328">
        <v>1</v>
      </c>
      <c r="J1328" s="27">
        <v>87732.14</v>
      </c>
      <c r="K1328" s="27">
        <v>5000000</v>
      </c>
    </row>
    <row r="1329" spans="1:11" ht="15" customHeight="1" x14ac:dyDescent="0.2">
      <c r="A1329" t="s">
        <v>9050</v>
      </c>
      <c r="B1329" t="s">
        <v>9051</v>
      </c>
      <c r="C1329">
        <v>2024</v>
      </c>
      <c r="D1329" s="18">
        <v>45394</v>
      </c>
      <c r="E1329" s="18">
        <v>45758</v>
      </c>
      <c r="F1329" s="18" t="s">
        <v>611</v>
      </c>
      <c r="G1329" t="s">
        <v>102</v>
      </c>
      <c r="H1329">
        <v>3</v>
      </c>
      <c r="I1329">
        <v>6</v>
      </c>
      <c r="J1329" s="27">
        <v>4052.41</v>
      </c>
      <c r="K1329" s="27">
        <v>500000</v>
      </c>
    </row>
    <row r="1330" spans="1:11" ht="15" customHeight="1" x14ac:dyDescent="0.2">
      <c r="A1330" t="s">
        <v>9052</v>
      </c>
      <c r="B1330" t="s">
        <v>9053</v>
      </c>
      <c r="C1330">
        <v>2024</v>
      </c>
      <c r="D1330" s="18">
        <v>45394</v>
      </c>
      <c r="E1330" s="18">
        <v>45758</v>
      </c>
      <c r="F1330" s="18" t="s">
        <v>611</v>
      </c>
      <c r="G1330" t="s">
        <v>99</v>
      </c>
      <c r="H1330">
        <v>1</v>
      </c>
      <c r="I1330">
        <v>2</v>
      </c>
      <c r="J1330" s="27">
        <v>16205.51</v>
      </c>
      <c r="K1330" s="27">
        <v>2000000</v>
      </c>
    </row>
    <row r="1331" spans="1:11" ht="15" customHeight="1" x14ac:dyDescent="0.2">
      <c r="A1331" t="s">
        <v>9054</v>
      </c>
      <c r="B1331" t="s">
        <v>9055</v>
      </c>
      <c r="C1331">
        <v>2024</v>
      </c>
      <c r="D1331" s="18">
        <v>45394</v>
      </c>
      <c r="E1331" s="18">
        <v>45758</v>
      </c>
      <c r="F1331" s="18" t="s">
        <v>611</v>
      </c>
      <c r="G1331" t="s">
        <v>102</v>
      </c>
      <c r="H1331">
        <v>2</v>
      </c>
      <c r="I1331">
        <v>2</v>
      </c>
      <c r="J1331" s="27">
        <v>33100.480000000003</v>
      </c>
      <c r="K1331" s="27">
        <v>4000000</v>
      </c>
    </row>
    <row r="1332" spans="1:11" ht="15" customHeight="1" x14ac:dyDescent="0.2">
      <c r="A1332" t="s">
        <v>9056</v>
      </c>
      <c r="B1332" t="s">
        <v>9057</v>
      </c>
      <c r="C1332">
        <v>2024</v>
      </c>
      <c r="D1332" s="18">
        <v>45394</v>
      </c>
      <c r="E1332" s="18">
        <v>45758</v>
      </c>
      <c r="F1332" s="18" t="s">
        <v>611</v>
      </c>
      <c r="G1332" t="s">
        <v>100</v>
      </c>
      <c r="H1332">
        <v>1</v>
      </c>
      <c r="I1332">
        <v>2</v>
      </c>
      <c r="J1332" s="27">
        <v>11790.91</v>
      </c>
      <c r="K1332" s="27">
        <v>1000000</v>
      </c>
    </row>
    <row r="1333" spans="1:11" ht="15" customHeight="1" x14ac:dyDescent="0.2">
      <c r="A1333" t="s">
        <v>9058</v>
      </c>
      <c r="B1333" t="s">
        <v>9059</v>
      </c>
      <c r="C1333">
        <v>2024</v>
      </c>
      <c r="D1333" s="18">
        <v>45394</v>
      </c>
      <c r="E1333" s="18">
        <v>45758</v>
      </c>
      <c r="F1333" s="18" t="s">
        <v>611</v>
      </c>
      <c r="G1333" t="s">
        <v>100</v>
      </c>
      <c r="H1333">
        <v>1</v>
      </c>
      <c r="I1333">
        <v>1</v>
      </c>
      <c r="J1333" s="27">
        <v>119225.8</v>
      </c>
      <c r="K1333" s="27">
        <v>10000000</v>
      </c>
    </row>
    <row r="1334" spans="1:11" ht="15" customHeight="1" x14ac:dyDescent="0.2">
      <c r="A1334" t="s">
        <v>9060</v>
      </c>
      <c r="B1334" t="s">
        <v>9061</v>
      </c>
      <c r="C1334">
        <v>2024</v>
      </c>
      <c r="D1334" s="18">
        <v>45395</v>
      </c>
      <c r="E1334" s="18">
        <v>45759</v>
      </c>
      <c r="F1334" s="18" t="s">
        <v>608</v>
      </c>
      <c r="G1334" t="s">
        <v>101</v>
      </c>
      <c r="H1334">
        <v>1</v>
      </c>
      <c r="I1334">
        <v>2</v>
      </c>
      <c r="J1334" s="27">
        <v>32932.83</v>
      </c>
      <c r="K1334" s="27">
        <v>2000000</v>
      </c>
    </row>
    <row r="1335" spans="1:11" ht="15" customHeight="1" x14ac:dyDescent="0.2">
      <c r="A1335" t="s">
        <v>9062</v>
      </c>
      <c r="B1335" t="s">
        <v>9063</v>
      </c>
      <c r="C1335">
        <v>2024</v>
      </c>
      <c r="D1335" s="18">
        <v>45395</v>
      </c>
      <c r="E1335" s="18">
        <v>45759</v>
      </c>
      <c r="F1335" s="18" t="s">
        <v>608</v>
      </c>
      <c r="G1335" t="s">
        <v>100</v>
      </c>
      <c r="H1335">
        <v>1</v>
      </c>
      <c r="I1335">
        <v>2</v>
      </c>
      <c r="J1335" s="27">
        <v>21199.96</v>
      </c>
      <c r="K1335" s="27">
        <v>1500000</v>
      </c>
    </row>
    <row r="1336" spans="1:11" ht="15" customHeight="1" x14ac:dyDescent="0.2">
      <c r="A1336" t="s">
        <v>9064</v>
      </c>
      <c r="B1336" t="s">
        <v>9065</v>
      </c>
      <c r="C1336">
        <v>2024</v>
      </c>
      <c r="D1336" s="18">
        <v>45395</v>
      </c>
      <c r="E1336" s="18">
        <v>45759</v>
      </c>
      <c r="F1336" s="18" t="s">
        <v>608</v>
      </c>
      <c r="G1336" t="s">
        <v>100</v>
      </c>
      <c r="H1336">
        <v>1</v>
      </c>
      <c r="I1336">
        <v>2</v>
      </c>
      <c r="J1336" s="27">
        <v>13879.76</v>
      </c>
      <c r="K1336" s="27">
        <v>1000000</v>
      </c>
    </row>
    <row r="1337" spans="1:11" ht="15" customHeight="1" x14ac:dyDescent="0.2">
      <c r="A1337" t="s">
        <v>9066</v>
      </c>
      <c r="B1337" t="s">
        <v>9067</v>
      </c>
      <c r="C1337">
        <v>2024</v>
      </c>
      <c r="D1337" s="18">
        <v>45395</v>
      </c>
      <c r="E1337" s="18">
        <v>45759</v>
      </c>
      <c r="F1337" s="18" t="s">
        <v>608</v>
      </c>
      <c r="G1337" t="s">
        <v>102</v>
      </c>
      <c r="H1337">
        <v>1</v>
      </c>
      <c r="I1337">
        <v>1</v>
      </c>
      <c r="J1337" s="27">
        <v>87456.37</v>
      </c>
      <c r="K1337" s="27">
        <v>10000000</v>
      </c>
    </row>
    <row r="1338" spans="1:11" ht="15" customHeight="1" x14ac:dyDescent="0.2">
      <c r="A1338" t="s">
        <v>9068</v>
      </c>
      <c r="B1338" t="s">
        <v>9069</v>
      </c>
      <c r="C1338">
        <v>2024</v>
      </c>
      <c r="D1338" s="18">
        <v>45395</v>
      </c>
      <c r="E1338" s="18">
        <v>45759</v>
      </c>
      <c r="F1338" s="18" t="s">
        <v>611</v>
      </c>
      <c r="G1338" t="s">
        <v>100</v>
      </c>
      <c r="H1338">
        <v>1</v>
      </c>
      <c r="I1338">
        <v>1</v>
      </c>
      <c r="J1338" s="27">
        <v>5998.36</v>
      </c>
      <c r="K1338" s="27">
        <v>500000</v>
      </c>
    </row>
    <row r="1339" spans="1:11" ht="15" customHeight="1" x14ac:dyDescent="0.2">
      <c r="A1339" t="s">
        <v>9070</v>
      </c>
      <c r="B1339" t="s">
        <v>9071</v>
      </c>
      <c r="C1339">
        <v>2024</v>
      </c>
      <c r="D1339" s="18">
        <v>45395</v>
      </c>
      <c r="E1339" s="18">
        <v>45759</v>
      </c>
      <c r="F1339" s="18" t="s">
        <v>611</v>
      </c>
      <c r="G1339" t="s">
        <v>102</v>
      </c>
      <c r="H1339">
        <v>1</v>
      </c>
      <c r="I1339">
        <v>2</v>
      </c>
      <c r="J1339" s="27">
        <v>36930.35</v>
      </c>
      <c r="K1339" s="27">
        <v>4000000</v>
      </c>
    </row>
    <row r="1340" spans="1:11" ht="15" customHeight="1" x14ac:dyDescent="0.2">
      <c r="A1340" t="s">
        <v>9072</v>
      </c>
      <c r="B1340" t="s">
        <v>9073</v>
      </c>
      <c r="C1340">
        <v>2024</v>
      </c>
      <c r="D1340" s="18">
        <v>45395</v>
      </c>
      <c r="E1340" s="18">
        <v>45759</v>
      </c>
      <c r="F1340" s="18" t="s">
        <v>611</v>
      </c>
      <c r="G1340" t="s">
        <v>101</v>
      </c>
      <c r="H1340">
        <v>3</v>
      </c>
      <c r="I1340">
        <v>3</v>
      </c>
      <c r="J1340" s="27">
        <v>33944.31</v>
      </c>
      <c r="K1340" s="27">
        <v>2000000</v>
      </c>
    </row>
    <row r="1341" spans="1:11" ht="15" customHeight="1" x14ac:dyDescent="0.2">
      <c r="A1341" t="s">
        <v>9074</v>
      </c>
      <c r="B1341" t="s">
        <v>9075</v>
      </c>
      <c r="C1341">
        <v>2024</v>
      </c>
      <c r="D1341" s="18">
        <v>45395</v>
      </c>
      <c r="E1341" s="18">
        <v>45759</v>
      </c>
      <c r="F1341" s="18" t="s">
        <v>611</v>
      </c>
      <c r="G1341" t="s">
        <v>100</v>
      </c>
      <c r="H1341">
        <v>2</v>
      </c>
      <c r="I1341">
        <v>4</v>
      </c>
      <c r="J1341" s="27">
        <v>26777.22</v>
      </c>
      <c r="K1341" s="27">
        <v>2000000</v>
      </c>
    </row>
    <row r="1342" spans="1:11" ht="15" customHeight="1" x14ac:dyDescent="0.2">
      <c r="A1342" t="s">
        <v>9076</v>
      </c>
      <c r="B1342" t="s">
        <v>9077</v>
      </c>
      <c r="C1342">
        <v>2024</v>
      </c>
      <c r="D1342" s="18">
        <v>45395</v>
      </c>
      <c r="E1342" s="18">
        <v>45759</v>
      </c>
      <c r="F1342" s="18" t="s">
        <v>611</v>
      </c>
      <c r="G1342" t="s">
        <v>102</v>
      </c>
      <c r="H1342">
        <v>1</v>
      </c>
      <c r="I1342">
        <v>1</v>
      </c>
      <c r="J1342" s="27">
        <v>28538.31</v>
      </c>
      <c r="K1342" s="27">
        <v>3500000</v>
      </c>
    </row>
    <row r="1343" spans="1:11" ht="15" customHeight="1" x14ac:dyDescent="0.2">
      <c r="A1343" t="s">
        <v>9078</v>
      </c>
      <c r="B1343" t="s">
        <v>9079</v>
      </c>
      <c r="C1343">
        <v>2024</v>
      </c>
      <c r="D1343" s="18">
        <v>45396</v>
      </c>
      <c r="E1343" s="18">
        <v>45760</v>
      </c>
      <c r="F1343" s="18" t="s">
        <v>611</v>
      </c>
      <c r="G1343" t="s">
        <v>99</v>
      </c>
      <c r="H1343">
        <v>1</v>
      </c>
      <c r="I1343">
        <v>2</v>
      </c>
      <c r="J1343" s="27">
        <v>17135.830000000002</v>
      </c>
      <c r="K1343" s="27">
        <v>2000000</v>
      </c>
    </row>
    <row r="1344" spans="1:11" ht="15" customHeight="1" x14ac:dyDescent="0.2">
      <c r="A1344" t="s">
        <v>9080</v>
      </c>
      <c r="B1344" t="s">
        <v>9081</v>
      </c>
      <c r="C1344">
        <v>2024</v>
      </c>
      <c r="D1344" s="18">
        <v>45396</v>
      </c>
      <c r="E1344" s="18">
        <v>45760</v>
      </c>
      <c r="F1344" s="18" t="s">
        <v>611</v>
      </c>
      <c r="G1344" t="s">
        <v>101</v>
      </c>
      <c r="H1344">
        <v>2</v>
      </c>
      <c r="I1344">
        <v>2</v>
      </c>
      <c r="J1344" s="27">
        <v>83691.539999999994</v>
      </c>
      <c r="K1344" s="27">
        <v>4500000</v>
      </c>
    </row>
    <row r="1345" spans="1:11" ht="15" customHeight="1" x14ac:dyDescent="0.2">
      <c r="A1345" t="s">
        <v>9082</v>
      </c>
      <c r="B1345" t="s">
        <v>9083</v>
      </c>
      <c r="C1345">
        <v>2024</v>
      </c>
      <c r="D1345" s="18">
        <v>45396</v>
      </c>
      <c r="E1345" s="18">
        <v>45760</v>
      </c>
      <c r="F1345" s="18" t="s">
        <v>611</v>
      </c>
      <c r="G1345" t="s">
        <v>100</v>
      </c>
      <c r="H1345">
        <v>1</v>
      </c>
      <c r="I1345">
        <v>1</v>
      </c>
      <c r="J1345" s="27">
        <v>23708.67</v>
      </c>
      <c r="K1345" s="27">
        <v>2000000</v>
      </c>
    </row>
    <row r="1346" spans="1:11" ht="15" customHeight="1" x14ac:dyDescent="0.2">
      <c r="A1346" t="s">
        <v>9084</v>
      </c>
      <c r="B1346" t="s">
        <v>9085</v>
      </c>
      <c r="C1346">
        <v>2024</v>
      </c>
      <c r="D1346" s="18">
        <v>45396</v>
      </c>
      <c r="E1346" s="18">
        <v>45760</v>
      </c>
      <c r="F1346" s="18" t="s">
        <v>611</v>
      </c>
      <c r="G1346" t="s">
        <v>99</v>
      </c>
      <c r="H1346">
        <v>3</v>
      </c>
      <c r="I1346">
        <v>3</v>
      </c>
      <c r="J1346" s="27">
        <v>26369.48</v>
      </c>
      <c r="K1346" s="27">
        <v>3000000</v>
      </c>
    </row>
    <row r="1347" spans="1:11" ht="15" customHeight="1" x14ac:dyDescent="0.2">
      <c r="A1347" t="s">
        <v>9086</v>
      </c>
      <c r="B1347" t="s">
        <v>9087</v>
      </c>
      <c r="C1347">
        <v>2024</v>
      </c>
      <c r="D1347" s="18">
        <v>45397</v>
      </c>
      <c r="E1347" s="18">
        <v>45761</v>
      </c>
      <c r="F1347" s="18" t="s">
        <v>611</v>
      </c>
      <c r="G1347" t="s">
        <v>100</v>
      </c>
      <c r="H1347">
        <v>2</v>
      </c>
      <c r="I1347">
        <v>2</v>
      </c>
      <c r="J1347" s="27">
        <v>17979.77</v>
      </c>
      <c r="K1347" s="27">
        <v>1500000</v>
      </c>
    </row>
    <row r="1348" spans="1:11" ht="15" customHeight="1" x14ac:dyDescent="0.2">
      <c r="A1348" t="s">
        <v>9088</v>
      </c>
      <c r="B1348" t="s">
        <v>9089</v>
      </c>
      <c r="C1348">
        <v>2024</v>
      </c>
      <c r="D1348" s="18">
        <v>45397</v>
      </c>
      <c r="E1348" s="18">
        <v>45761</v>
      </c>
      <c r="F1348" s="18" t="s">
        <v>611</v>
      </c>
      <c r="G1348" t="s">
        <v>102</v>
      </c>
      <c r="H1348">
        <v>3</v>
      </c>
      <c r="I1348">
        <v>3</v>
      </c>
      <c r="J1348" s="27">
        <v>83506.14</v>
      </c>
      <c r="K1348" s="27">
        <v>10000000</v>
      </c>
    </row>
    <row r="1349" spans="1:11" ht="15" customHeight="1" x14ac:dyDescent="0.2">
      <c r="A1349" t="s">
        <v>9090</v>
      </c>
      <c r="B1349" t="s">
        <v>9091</v>
      </c>
      <c r="C1349">
        <v>2024</v>
      </c>
      <c r="D1349" s="18">
        <v>45397</v>
      </c>
      <c r="E1349" s="18">
        <v>45761</v>
      </c>
      <c r="F1349" s="18" t="s">
        <v>611</v>
      </c>
      <c r="G1349" t="s">
        <v>100</v>
      </c>
      <c r="H1349">
        <v>1</v>
      </c>
      <c r="I1349">
        <v>2</v>
      </c>
      <c r="J1349" s="27">
        <v>69675.64</v>
      </c>
      <c r="K1349" s="27">
        <v>5000000</v>
      </c>
    </row>
    <row r="1350" spans="1:11" ht="15" customHeight="1" x14ac:dyDescent="0.2">
      <c r="A1350" t="s">
        <v>9092</v>
      </c>
      <c r="B1350" t="s">
        <v>9093</v>
      </c>
      <c r="C1350">
        <v>2024</v>
      </c>
      <c r="D1350" s="18">
        <v>45397</v>
      </c>
      <c r="E1350" s="18">
        <v>45761</v>
      </c>
      <c r="F1350" s="18" t="s">
        <v>611</v>
      </c>
      <c r="G1350" t="s">
        <v>99</v>
      </c>
      <c r="H1350">
        <v>3</v>
      </c>
      <c r="I1350">
        <v>6</v>
      </c>
      <c r="J1350" s="27">
        <v>8871.2199999999993</v>
      </c>
      <c r="K1350" s="27">
        <v>1000000</v>
      </c>
    </row>
    <row r="1351" spans="1:11" ht="15" customHeight="1" x14ac:dyDescent="0.2">
      <c r="A1351" t="s">
        <v>9094</v>
      </c>
      <c r="B1351" t="s">
        <v>9095</v>
      </c>
      <c r="C1351">
        <v>2024</v>
      </c>
      <c r="D1351" s="18">
        <v>45397</v>
      </c>
      <c r="E1351" s="18">
        <v>45761</v>
      </c>
      <c r="F1351" s="18" t="s">
        <v>611</v>
      </c>
      <c r="G1351" t="s">
        <v>99</v>
      </c>
      <c r="H1351">
        <v>2</v>
      </c>
      <c r="I1351">
        <v>2</v>
      </c>
      <c r="J1351" s="27">
        <v>17342.71</v>
      </c>
      <c r="K1351" s="27">
        <v>2000000</v>
      </c>
    </row>
    <row r="1352" spans="1:11" ht="15" customHeight="1" x14ac:dyDescent="0.2">
      <c r="A1352" t="s">
        <v>9096</v>
      </c>
      <c r="B1352" t="s">
        <v>9097</v>
      </c>
      <c r="C1352">
        <v>2024</v>
      </c>
      <c r="D1352" s="18">
        <v>45397</v>
      </c>
      <c r="E1352" s="18">
        <v>45761</v>
      </c>
      <c r="F1352" s="18" t="s">
        <v>611</v>
      </c>
      <c r="G1352" t="s">
        <v>102</v>
      </c>
      <c r="H1352">
        <v>2</v>
      </c>
      <c r="I1352">
        <v>4</v>
      </c>
      <c r="J1352" s="27">
        <v>9331.7099999999991</v>
      </c>
      <c r="K1352" s="27">
        <v>1000000</v>
      </c>
    </row>
    <row r="1353" spans="1:11" ht="15" customHeight="1" x14ac:dyDescent="0.2">
      <c r="A1353" t="s">
        <v>9098</v>
      </c>
      <c r="B1353" t="s">
        <v>9099</v>
      </c>
      <c r="C1353">
        <v>2024</v>
      </c>
      <c r="D1353" s="18">
        <v>45397</v>
      </c>
      <c r="E1353" s="18">
        <v>45761</v>
      </c>
      <c r="F1353" s="18" t="s">
        <v>611</v>
      </c>
      <c r="G1353" t="s">
        <v>99</v>
      </c>
      <c r="H1353">
        <v>3</v>
      </c>
      <c r="I1353">
        <v>3</v>
      </c>
      <c r="J1353" s="27">
        <v>80396.509999999995</v>
      </c>
      <c r="K1353" s="27">
        <v>10000000</v>
      </c>
    </row>
    <row r="1354" spans="1:11" ht="15" customHeight="1" x14ac:dyDescent="0.2">
      <c r="A1354" t="s">
        <v>9100</v>
      </c>
      <c r="B1354" t="s">
        <v>9101</v>
      </c>
      <c r="C1354">
        <v>2024</v>
      </c>
      <c r="D1354" s="18">
        <v>45398</v>
      </c>
      <c r="E1354" s="18">
        <v>45762</v>
      </c>
      <c r="F1354" s="18" t="s">
        <v>608</v>
      </c>
      <c r="G1354" t="s">
        <v>99</v>
      </c>
      <c r="H1354">
        <v>3</v>
      </c>
      <c r="I1354">
        <v>3</v>
      </c>
      <c r="J1354" s="27">
        <v>43295.22</v>
      </c>
      <c r="K1354" s="27">
        <v>5000000</v>
      </c>
    </row>
    <row r="1355" spans="1:11" ht="15" customHeight="1" x14ac:dyDescent="0.2">
      <c r="A1355" t="s">
        <v>9102</v>
      </c>
      <c r="B1355" t="s">
        <v>9103</v>
      </c>
      <c r="C1355">
        <v>2024</v>
      </c>
      <c r="D1355" s="18">
        <v>45398</v>
      </c>
      <c r="E1355" s="18">
        <v>45762</v>
      </c>
      <c r="F1355" s="18" t="s">
        <v>611</v>
      </c>
      <c r="G1355" t="s">
        <v>101</v>
      </c>
      <c r="H1355">
        <v>1</v>
      </c>
      <c r="I1355">
        <v>2</v>
      </c>
      <c r="J1355" s="27">
        <v>75979.7</v>
      </c>
      <c r="K1355" s="27">
        <v>4000000</v>
      </c>
    </row>
    <row r="1356" spans="1:11" ht="15" customHeight="1" x14ac:dyDescent="0.2">
      <c r="A1356" t="s">
        <v>9104</v>
      </c>
      <c r="B1356" t="s">
        <v>9105</v>
      </c>
      <c r="C1356">
        <v>2024</v>
      </c>
      <c r="D1356" s="18">
        <v>45398</v>
      </c>
      <c r="E1356" s="18">
        <v>45762</v>
      </c>
      <c r="F1356" s="18" t="s">
        <v>611</v>
      </c>
      <c r="G1356" t="s">
        <v>101</v>
      </c>
      <c r="H1356">
        <v>1</v>
      </c>
      <c r="I1356">
        <v>2</v>
      </c>
      <c r="J1356" s="27">
        <v>15768.43</v>
      </c>
      <c r="K1356" s="27">
        <v>1000000</v>
      </c>
    </row>
    <row r="1357" spans="1:11" ht="15" customHeight="1" x14ac:dyDescent="0.2">
      <c r="A1357" t="s">
        <v>9106</v>
      </c>
      <c r="B1357" t="s">
        <v>9107</v>
      </c>
      <c r="C1357">
        <v>2024</v>
      </c>
      <c r="D1357" s="18">
        <v>45398</v>
      </c>
      <c r="E1357" s="18">
        <v>45762</v>
      </c>
      <c r="F1357" s="18" t="s">
        <v>611</v>
      </c>
      <c r="G1357" t="s">
        <v>102</v>
      </c>
      <c r="H1357">
        <v>2</v>
      </c>
      <c r="I1357">
        <v>4</v>
      </c>
      <c r="J1357" s="27">
        <v>38179.68</v>
      </c>
      <c r="K1357" s="27">
        <v>4500000</v>
      </c>
    </row>
    <row r="1358" spans="1:11" ht="15" customHeight="1" x14ac:dyDescent="0.2">
      <c r="A1358" t="s">
        <v>9108</v>
      </c>
      <c r="B1358" t="s">
        <v>9109</v>
      </c>
      <c r="C1358">
        <v>2024</v>
      </c>
      <c r="D1358" s="18">
        <v>45398</v>
      </c>
      <c r="E1358" s="18">
        <v>45762</v>
      </c>
      <c r="F1358" s="18" t="s">
        <v>611</v>
      </c>
      <c r="G1358" t="s">
        <v>100</v>
      </c>
      <c r="H1358">
        <v>2</v>
      </c>
      <c r="I1358">
        <v>2</v>
      </c>
      <c r="J1358" s="27">
        <v>12816.07</v>
      </c>
      <c r="K1358" s="27">
        <v>1000000</v>
      </c>
    </row>
    <row r="1359" spans="1:11" ht="15" customHeight="1" x14ac:dyDescent="0.2">
      <c r="A1359" t="s">
        <v>9110</v>
      </c>
      <c r="B1359" t="s">
        <v>9111</v>
      </c>
      <c r="C1359">
        <v>2024</v>
      </c>
      <c r="D1359" s="18">
        <v>45399</v>
      </c>
      <c r="E1359" s="18">
        <v>45763</v>
      </c>
      <c r="F1359" s="18" t="s">
        <v>608</v>
      </c>
      <c r="G1359" t="s">
        <v>102</v>
      </c>
      <c r="H1359">
        <v>2</v>
      </c>
      <c r="I1359">
        <v>2</v>
      </c>
      <c r="J1359" s="27">
        <v>80941.789999999994</v>
      </c>
      <c r="K1359" s="27">
        <v>10000000</v>
      </c>
    </row>
    <row r="1360" spans="1:11" ht="15" customHeight="1" x14ac:dyDescent="0.2">
      <c r="A1360" t="s">
        <v>9112</v>
      </c>
      <c r="B1360" t="s">
        <v>9113</v>
      </c>
      <c r="C1360">
        <v>2024</v>
      </c>
      <c r="D1360" s="18">
        <v>45399</v>
      </c>
      <c r="E1360" s="18">
        <v>45763</v>
      </c>
      <c r="F1360" s="18" t="s">
        <v>611</v>
      </c>
      <c r="G1360" t="s">
        <v>101</v>
      </c>
      <c r="H1360">
        <v>2</v>
      </c>
      <c r="I1360">
        <v>2</v>
      </c>
      <c r="J1360" s="27">
        <v>167297.95000000001</v>
      </c>
      <c r="K1360" s="27">
        <v>10000000</v>
      </c>
    </row>
    <row r="1361" spans="1:11" ht="15" customHeight="1" x14ac:dyDescent="0.2">
      <c r="A1361" t="s">
        <v>9114</v>
      </c>
      <c r="B1361" t="s">
        <v>9115</v>
      </c>
      <c r="C1361">
        <v>2024</v>
      </c>
      <c r="D1361" s="18">
        <v>45399</v>
      </c>
      <c r="E1361" s="18">
        <v>45763</v>
      </c>
      <c r="F1361" s="18" t="s">
        <v>611</v>
      </c>
      <c r="G1361" t="s">
        <v>102</v>
      </c>
      <c r="H1361">
        <v>1</v>
      </c>
      <c r="I1361">
        <v>1</v>
      </c>
      <c r="J1361" s="27">
        <v>15986.84</v>
      </c>
      <c r="K1361" s="27">
        <v>2000000</v>
      </c>
    </row>
    <row r="1362" spans="1:11" ht="15" customHeight="1" x14ac:dyDescent="0.2">
      <c r="A1362" t="s">
        <v>9116</v>
      </c>
      <c r="B1362" t="s">
        <v>9117</v>
      </c>
      <c r="C1362">
        <v>2024</v>
      </c>
      <c r="D1362" s="18">
        <v>45399</v>
      </c>
      <c r="E1362" s="18">
        <v>45763</v>
      </c>
      <c r="F1362" s="18" t="s">
        <v>611</v>
      </c>
      <c r="G1362" t="s">
        <v>100</v>
      </c>
      <c r="H1362">
        <v>1</v>
      </c>
      <c r="I1362">
        <v>1</v>
      </c>
      <c r="J1362" s="27">
        <v>139334.87</v>
      </c>
      <c r="K1362" s="27">
        <v>10000000</v>
      </c>
    </row>
    <row r="1363" spans="1:11" ht="15" customHeight="1" x14ac:dyDescent="0.2">
      <c r="A1363" t="s">
        <v>9118</v>
      </c>
      <c r="B1363" t="s">
        <v>9119</v>
      </c>
      <c r="C1363">
        <v>2024</v>
      </c>
      <c r="D1363" s="18">
        <v>45399</v>
      </c>
      <c r="E1363" s="18">
        <v>45763</v>
      </c>
      <c r="F1363" s="18" t="s">
        <v>611</v>
      </c>
      <c r="G1363" t="s">
        <v>102</v>
      </c>
      <c r="H1363">
        <v>1</v>
      </c>
      <c r="I1363">
        <v>2</v>
      </c>
      <c r="J1363" s="27">
        <v>77428.960000000006</v>
      </c>
      <c r="K1363" s="27">
        <v>10000000</v>
      </c>
    </row>
    <row r="1364" spans="1:11" ht="15" customHeight="1" x14ac:dyDescent="0.2">
      <c r="A1364" t="s">
        <v>9120</v>
      </c>
      <c r="B1364" t="s">
        <v>9121</v>
      </c>
      <c r="C1364">
        <v>2024</v>
      </c>
      <c r="D1364" s="18">
        <v>45399</v>
      </c>
      <c r="E1364" s="18">
        <v>45763</v>
      </c>
      <c r="F1364" s="18" t="s">
        <v>611</v>
      </c>
      <c r="G1364" t="s">
        <v>101</v>
      </c>
      <c r="H1364">
        <v>1</v>
      </c>
      <c r="I1364">
        <v>1</v>
      </c>
      <c r="J1364" s="27">
        <v>42812.07</v>
      </c>
      <c r="K1364" s="27">
        <v>2500000</v>
      </c>
    </row>
    <row r="1365" spans="1:11" ht="15" customHeight="1" x14ac:dyDescent="0.2">
      <c r="A1365" t="s">
        <v>9122</v>
      </c>
      <c r="B1365" t="s">
        <v>9123</v>
      </c>
      <c r="C1365">
        <v>2024</v>
      </c>
      <c r="D1365" s="18">
        <v>45399</v>
      </c>
      <c r="E1365" s="18">
        <v>45763</v>
      </c>
      <c r="F1365" s="18" t="s">
        <v>611</v>
      </c>
      <c r="G1365" t="s">
        <v>101</v>
      </c>
      <c r="H1365">
        <v>2</v>
      </c>
      <c r="I1365">
        <v>2</v>
      </c>
      <c r="J1365" s="27">
        <v>27340.3</v>
      </c>
      <c r="K1365" s="27">
        <v>1500000</v>
      </c>
    </row>
    <row r="1366" spans="1:11" ht="15" customHeight="1" x14ac:dyDescent="0.2">
      <c r="A1366" t="s">
        <v>9124</v>
      </c>
      <c r="B1366" t="s">
        <v>9125</v>
      </c>
      <c r="C1366">
        <v>2024</v>
      </c>
      <c r="D1366" s="18">
        <v>45400</v>
      </c>
      <c r="E1366" s="18">
        <v>45764</v>
      </c>
      <c r="F1366" s="18" t="s">
        <v>611</v>
      </c>
      <c r="G1366" t="s">
        <v>99</v>
      </c>
      <c r="H1366">
        <v>1</v>
      </c>
      <c r="I1366">
        <v>1</v>
      </c>
      <c r="J1366" s="27">
        <v>78661.509999999995</v>
      </c>
      <c r="K1366" s="27">
        <v>10000000</v>
      </c>
    </row>
    <row r="1367" spans="1:11" ht="15" customHeight="1" x14ac:dyDescent="0.2">
      <c r="A1367" t="s">
        <v>9126</v>
      </c>
      <c r="B1367" t="s">
        <v>9127</v>
      </c>
      <c r="C1367">
        <v>2024</v>
      </c>
      <c r="D1367" s="18">
        <v>45400</v>
      </c>
      <c r="E1367" s="18">
        <v>45764</v>
      </c>
      <c r="F1367" s="18" t="s">
        <v>611</v>
      </c>
      <c r="G1367" t="s">
        <v>100</v>
      </c>
      <c r="H1367">
        <v>1</v>
      </c>
      <c r="I1367">
        <v>2</v>
      </c>
      <c r="J1367" s="27">
        <v>25266</v>
      </c>
      <c r="K1367" s="27">
        <v>2000000</v>
      </c>
    </row>
    <row r="1368" spans="1:11" ht="15" customHeight="1" x14ac:dyDescent="0.2">
      <c r="A1368" t="s">
        <v>9128</v>
      </c>
      <c r="B1368" t="s">
        <v>9129</v>
      </c>
      <c r="C1368">
        <v>2024</v>
      </c>
      <c r="D1368" s="18">
        <v>45400</v>
      </c>
      <c r="E1368" s="18">
        <v>45764</v>
      </c>
      <c r="F1368" s="18" t="s">
        <v>611</v>
      </c>
      <c r="G1368" t="s">
        <v>99</v>
      </c>
      <c r="H1368">
        <v>2</v>
      </c>
      <c r="I1368">
        <v>4</v>
      </c>
      <c r="J1368" s="27">
        <v>3787.08</v>
      </c>
      <c r="K1368" s="27">
        <v>500000</v>
      </c>
    </row>
    <row r="1369" spans="1:11" ht="15" customHeight="1" x14ac:dyDescent="0.2">
      <c r="A1369" t="s">
        <v>9130</v>
      </c>
      <c r="B1369" t="s">
        <v>9131</v>
      </c>
      <c r="C1369">
        <v>2024</v>
      </c>
      <c r="D1369" s="18">
        <v>45400</v>
      </c>
      <c r="E1369" s="18">
        <v>45764</v>
      </c>
      <c r="F1369" s="18" t="s">
        <v>611</v>
      </c>
      <c r="G1369" t="s">
        <v>99</v>
      </c>
      <c r="H1369">
        <v>3</v>
      </c>
      <c r="I1369">
        <v>3</v>
      </c>
      <c r="J1369" s="27">
        <v>8957.24</v>
      </c>
      <c r="K1369" s="27">
        <v>1000000</v>
      </c>
    </row>
    <row r="1370" spans="1:11" ht="15" customHeight="1" x14ac:dyDescent="0.2">
      <c r="A1370" t="s">
        <v>9132</v>
      </c>
      <c r="B1370" t="s">
        <v>9133</v>
      </c>
      <c r="C1370">
        <v>2024</v>
      </c>
      <c r="D1370" s="18">
        <v>45400</v>
      </c>
      <c r="E1370" s="18">
        <v>45764</v>
      </c>
      <c r="F1370" s="18" t="s">
        <v>611</v>
      </c>
      <c r="G1370" t="s">
        <v>102</v>
      </c>
      <c r="H1370">
        <v>3</v>
      </c>
      <c r="I1370">
        <v>3</v>
      </c>
      <c r="J1370" s="27">
        <v>15913.84</v>
      </c>
      <c r="K1370" s="27">
        <v>2000000</v>
      </c>
    </row>
    <row r="1371" spans="1:11" ht="15" customHeight="1" x14ac:dyDescent="0.2">
      <c r="A1371" t="s">
        <v>9134</v>
      </c>
      <c r="B1371" t="s">
        <v>9135</v>
      </c>
      <c r="C1371">
        <v>2024</v>
      </c>
      <c r="D1371" s="18">
        <v>45401</v>
      </c>
      <c r="E1371" s="18">
        <v>45765</v>
      </c>
      <c r="F1371" s="18" t="s">
        <v>608</v>
      </c>
      <c r="G1371" t="s">
        <v>100</v>
      </c>
      <c r="H1371">
        <v>2</v>
      </c>
      <c r="I1371">
        <v>4</v>
      </c>
      <c r="J1371" s="27">
        <v>36822.620000000003</v>
      </c>
      <c r="K1371" s="27">
        <v>3000000</v>
      </c>
    </row>
    <row r="1372" spans="1:11" ht="15" customHeight="1" x14ac:dyDescent="0.2">
      <c r="A1372" t="s">
        <v>9136</v>
      </c>
      <c r="B1372" t="s">
        <v>9137</v>
      </c>
      <c r="C1372">
        <v>2024</v>
      </c>
      <c r="D1372" s="18">
        <v>45401</v>
      </c>
      <c r="E1372" s="18">
        <v>45765</v>
      </c>
      <c r="F1372" s="18" t="s">
        <v>611</v>
      </c>
      <c r="G1372" t="s">
        <v>101</v>
      </c>
      <c r="H1372">
        <v>1</v>
      </c>
      <c r="I1372">
        <v>2</v>
      </c>
      <c r="J1372" s="27">
        <v>60911.74</v>
      </c>
      <c r="K1372" s="27">
        <v>3500000</v>
      </c>
    </row>
    <row r="1373" spans="1:11" ht="15" customHeight="1" x14ac:dyDescent="0.2">
      <c r="A1373" t="s">
        <v>9138</v>
      </c>
      <c r="B1373" t="s">
        <v>9139</v>
      </c>
      <c r="C1373">
        <v>2024</v>
      </c>
      <c r="D1373" s="18">
        <v>45401</v>
      </c>
      <c r="E1373" s="18">
        <v>45765</v>
      </c>
      <c r="F1373" s="18" t="s">
        <v>611</v>
      </c>
      <c r="G1373" t="s">
        <v>99</v>
      </c>
      <c r="H1373">
        <v>2</v>
      </c>
      <c r="I1373">
        <v>4</v>
      </c>
      <c r="J1373" s="27">
        <v>32617.19</v>
      </c>
      <c r="K1373" s="27">
        <v>4000000</v>
      </c>
    </row>
    <row r="1374" spans="1:11" ht="15" customHeight="1" x14ac:dyDescent="0.2">
      <c r="A1374" t="s">
        <v>9140</v>
      </c>
      <c r="B1374" t="s">
        <v>9141</v>
      </c>
      <c r="C1374">
        <v>2024</v>
      </c>
      <c r="D1374" s="18">
        <v>45401</v>
      </c>
      <c r="E1374" s="18">
        <v>45765</v>
      </c>
      <c r="F1374" s="18" t="s">
        <v>611</v>
      </c>
      <c r="G1374" t="s">
        <v>102</v>
      </c>
      <c r="H1374">
        <v>1</v>
      </c>
      <c r="I1374">
        <v>1</v>
      </c>
      <c r="J1374" s="27">
        <v>12339.48</v>
      </c>
      <c r="K1374" s="27">
        <v>1500000</v>
      </c>
    </row>
    <row r="1375" spans="1:11" ht="15" customHeight="1" x14ac:dyDescent="0.2">
      <c r="A1375" t="s">
        <v>9142</v>
      </c>
      <c r="B1375" t="s">
        <v>9143</v>
      </c>
      <c r="C1375">
        <v>2024</v>
      </c>
      <c r="D1375" s="18">
        <v>45401</v>
      </c>
      <c r="E1375" s="18">
        <v>45765</v>
      </c>
      <c r="F1375" s="18" t="s">
        <v>611</v>
      </c>
      <c r="G1375" t="s">
        <v>100</v>
      </c>
      <c r="H1375">
        <v>1</v>
      </c>
      <c r="I1375">
        <v>1</v>
      </c>
      <c r="J1375" s="27">
        <v>13303.8</v>
      </c>
      <c r="K1375" s="27">
        <v>1000000</v>
      </c>
    </row>
    <row r="1376" spans="1:11" ht="15" customHeight="1" x14ac:dyDescent="0.2">
      <c r="A1376" t="s">
        <v>9144</v>
      </c>
      <c r="B1376" t="s">
        <v>9145</v>
      </c>
      <c r="C1376">
        <v>2024</v>
      </c>
      <c r="D1376" s="18">
        <v>45402</v>
      </c>
      <c r="E1376" s="18">
        <v>45766</v>
      </c>
      <c r="F1376" s="18" t="s">
        <v>608</v>
      </c>
      <c r="G1376" t="s">
        <v>99</v>
      </c>
      <c r="H1376">
        <v>3</v>
      </c>
      <c r="I1376">
        <v>6</v>
      </c>
      <c r="J1376" s="27">
        <v>11460.83</v>
      </c>
      <c r="K1376" s="27">
        <v>1500000</v>
      </c>
    </row>
    <row r="1377" spans="1:11" ht="15" customHeight="1" x14ac:dyDescent="0.2">
      <c r="A1377" t="s">
        <v>9146</v>
      </c>
      <c r="B1377" t="s">
        <v>9147</v>
      </c>
      <c r="C1377">
        <v>2024</v>
      </c>
      <c r="D1377" s="18">
        <v>45402</v>
      </c>
      <c r="E1377" s="18">
        <v>45766</v>
      </c>
      <c r="F1377" s="18" t="s">
        <v>611</v>
      </c>
      <c r="G1377" t="s">
        <v>100</v>
      </c>
      <c r="H1377">
        <v>1</v>
      </c>
      <c r="I1377">
        <v>2</v>
      </c>
      <c r="J1377" s="27">
        <v>12397.84</v>
      </c>
      <c r="K1377" s="27">
        <v>1000000</v>
      </c>
    </row>
    <row r="1378" spans="1:11" ht="15" customHeight="1" x14ac:dyDescent="0.2">
      <c r="A1378" t="s">
        <v>9148</v>
      </c>
      <c r="B1378" t="s">
        <v>9149</v>
      </c>
      <c r="C1378">
        <v>2024</v>
      </c>
      <c r="D1378" s="18">
        <v>45402</v>
      </c>
      <c r="E1378" s="18">
        <v>45766</v>
      </c>
      <c r="F1378" s="18" t="s">
        <v>611</v>
      </c>
      <c r="G1378" t="s">
        <v>101</v>
      </c>
      <c r="H1378">
        <v>2</v>
      </c>
      <c r="I1378">
        <v>2</v>
      </c>
      <c r="J1378" s="27">
        <v>16864.759999999998</v>
      </c>
      <c r="K1378" s="27">
        <v>1000000</v>
      </c>
    </row>
    <row r="1379" spans="1:11" ht="15" customHeight="1" x14ac:dyDescent="0.2">
      <c r="A1379" t="s">
        <v>9150</v>
      </c>
      <c r="B1379" t="s">
        <v>9151</v>
      </c>
      <c r="C1379">
        <v>2024</v>
      </c>
      <c r="D1379" s="18">
        <v>45402</v>
      </c>
      <c r="E1379" s="18">
        <v>45766</v>
      </c>
      <c r="F1379" s="18" t="s">
        <v>611</v>
      </c>
      <c r="G1379" t="s">
        <v>102</v>
      </c>
      <c r="H1379">
        <v>1</v>
      </c>
      <c r="I1379">
        <v>2</v>
      </c>
      <c r="J1379" s="27">
        <v>12953.09</v>
      </c>
      <c r="K1379" s="27">
        <v>1500000</v>
      </c>
    </row>
    <row r="1380" spans="1:11" ht="15" customHeight="1" x14ac:dyDescent="0.2">
      <c r="A1380" t="s">
        <v>9152</v>
      </c>
      <c r="B1380" t="s">
        <v>9153</v>
      </c>
      <c r="C1380">
        <v>2024</v>
      </c>
      <c r="D1380" s="18">
        <v>45402</v>
      </c>
      <c r="E1380" s="18">
        <v>45766</v>
      </c>
      <c r="F1380" s="18" t="s">
        <v>611</v>
      </c>
      <c r="G1380" t="s">
        <v>100</v>
      </c>
      <c r="H1380">
        <v>1</v>
      </c>
      <c r="I1380">
        <v>1</v>
      </c>
      <c r="J1380" s="27">
        <v>13982.32</v>
      </c>
      <c r="K1380" s="27">
        <v>1000000</v>
      </c>
    </row>
    <row r="1381" spans="1:11" ht="15" customHeight="1" x14ac:dyDescent="0.2">
      <c r="A1381" t="s">
        <v>9154</v>
      </c>
      <c r="B1381" t="s">
        <v>9155</v>
      </c>
      <c r="C1381">
        <v>2024</v>
      </c>
      <c r="D1381" s="18">
        <v>45402</v>
      </c>
      <c r="E1381" s="18">
        <v>45766</v>
      </c>
      <c r="F1381" s="18" t="s">
        <v>611</v>
      </c>
      <c r="G1381" t="s">
        <v>102</v>
      </c>
      <c r="H1381">
        <v>2</v>
      </c>
      <c r="I1381">
        <v>2</v>
      </c>
      <c r="J1381" s="27">
        <v>27307.08</v>
      </c>
      <c r="K1381" s="27">
        <v>3000000</v>
      </c>
    </row>
    <row r="1382" spans="1:11" ht="15" customHeight="1" x14ac:dyDescent="0.2">
      <c r="A1382" t="s">
        <v>9156</v>
      </c>
      <c r="B1382" t="s">
        <v>9157</v>
      </c>
      <c r="C1382">
        <v>2024</v>
      </c>
      <c r="D1382" s="18">
        <v>45403</v>
      </c>
      <c r="E1382" s="18">
        <v>45767</v>
      </c>
      <c r="F1382" s="18" t="s">
        <v>608</v>
      </c>
      <c r="G1382" t="s">
        <v>101</v>
      </c>
      <c r="H1382">
        <v>2</v>
      </c>
      <c r="I1382">
        <v>4</v>
      </c>
      <c r="J1382" s="27">
        <v>52601.11</v>
      </c>
      <c r="K1382" s="27">
        <v>3000000</v>
      </c>
    </row>
    <row r="1383" spans="1:11" ht="15" customHeight="1" x14ac:dyDescent="0.2">
      <c r="A1383" t="s">
        <v>9158</v>
      </c>
      <c r="B1383" t="s">
        <v>9159</v>
      </c>
      <c r="C1383">
        <v>2024</v>
      </c>
      <c r="D1383" s="18">
        <v>45403</v>
      </c>
      <c r="E1383" s="18">
        <v>45767</v>
      </c>
      <c r="F1383" s="18" t="s">
        <v>611</v>
      </c>
      <c r="G1383" t="s">
        <v>100</v>
      </c>
      <c r="H1383">
        <v>1</v>
      </c>
      <c r="I1383">
        <v>1</v>
      </c>
      <c r="J1383" s="27">
        <v>119706.71</v>
      </c>
      <c r="K1383" s="27">
        <v>10000000</v>
      </c>
    </row>
    <row r="1384" spans="1:11" ht="15" customHeight="1" x14ac:dyDescent="0.2">
      <c r="A1384" t="s">
        <v>9160</v>
      </c>
      <c r="B1384" t="s">
        <v>9161</v>
      </c>
      <c r="C1384">
        <v>2024</v>
      </c>
      <c r="D1384" s="18">
        <v>45403</v>
      </c>
      <c r="E1384" s="18">
        <v>45767</v>
      </c>
      <c r="F1384" s="18" t="s">
        <v>611</v>
      </c>
      <c r="G1384" t="s">
        <v>99</v>
      </c>
      <c r="H1384">
        <v>1</v>
      </c>
      <c r="I1384">
        <v>1</v>
      </c>
      <c r="J1384" s="27">
        <v>35422.870000000003</v>
      </c>
      <c r="K1384" s="27">
        <v>4000000</v>
      </c>
    </row>
    <row r="1385" spans="1:11" ht="15" customHeight="1" x14ac:dyDescent="0.2">
      <c r="A1385" t="s">
        <v>9162</v>
      </c>
      <c r="B1385" t="s">
        <v>9163</v>
      </c>
      <c r="C1385">
        <v>2024</v>
      </c>
      <c r="D1385" s="18">
        <v>45403</v>
      </c>
      <c r="E1385" s="18">
        <v>45767</v>
      </c>
      <c r="F1385" s="18" t="s">
        <v>611</v>
      </c>
      <c r="G1385" t="s">
        <v>101</v>
      </c>
      <c r="H1385">
        <v>1</v>
      </c>
      <c r="I1385">
        <v>1</v>
      </c>
      <c r="J1385" s="27">
        <v>33118.15</v>
      </c>
      <c r="K1385" s="27">
        <v>2000000</v>
      </c>
    </row>
    <row r="1386" spans="1:11" ht="15" customHeight="1" x14ac:dyDescent="0.2">
      <c r="A1386" t="s">
        <v>9164</v>
      </c>
      <c r="B1386" t="s">
        <v>9165</v>
      </c>
      <c r="C1386">
        <v>2024</v>
      </c>
      <c r="D1386" s="18">
        <v>45403</v>
      </c>
      <c r="E1386" s="18">
        <v>45767</v>
      </c>
      <c r="F1386" s="18" t="s">
        <v>611</v>
      </c>
      <c r="G1386" t="s">
        <v>101</v>
      </c>
      <c r="H1386">
        <v>2</v>
      </c>
      <c r="I1386">
        <v>2</v>
      </c>
      <c r="J1386" s="27">
        <v>34190.86</v>
      </c>
      <c r="K1386" s="27">
        <v>2000000</v>
      </c>
    </row>
    <row r="1387" spans="1:11" ht="15" customHeight="1" x14ac:dyDescent="0.2">
      <c r="A1387" t="s">
        <v>9166</v>
      </c>
      <c r="B1387" t="s">
        <v>9167</v>
      </c>
      <c r="C1387">
        <v>2024</v>
      </c>
      <c r="D1387" s="18">
        <v>45404</v>
      </c>
      <c r="E1387" s="18">
        <v>45768</v>
      </c>
      <c r="F1387" s="18" t="s">
        <v>611</v>
      </c>
      <c r="G1387" t="s">
        <v>102</v>
      </c>
      <c r="H1387">
        <v>1</v>
      </c>
      <c r="I1387">
        <v>2</v>
      </c>
      <c r="J1387" s="27">
        <v>44600.73</v>
      </c>
      <c r="K1387" s="27">
        <v>5000000</v>
      </c>
    </row>
    <row r="1388" spans="1:11" ht="15" customHeight="1" x14ac:dyDescent="0.2">
      <c r="A1388" t="s">
        <v>9168</v>
      </c>
      <c r="B1388" t="s">
        <v>9169</v>
      </c>
      <c r="C1388">
        <v>2024</v>
      </c>
      <c r="D1388" s="18">
        <v>45404</v>
      </c>
      <c r="E1388" s="18">
        <v>45768</v>
      </c>
      <c r="F1388" s="18" t="s">
        <v>611</v>
      </c>
      <c r="G1388" t="s">
        <v>100</v>
      </c>
      <c r="H1388">
        <v>1</v>
      </c>
      <c r="I1388">
        <v>1</v>
      </c>
      <c r="J1388" s="27">
        <v>25347.88</v>
      </c>
      <c r="K1388" s="27">
        <v>2000000</v>
      </c>
    </row>
    <row r="1389" spans="1:11" ht="15" customHeight="1" x14ac:dyDescent="0.2">
      <c r="A1389" t="s">
        <v>9170</v>
      </c>
      <c r="B1389" t="s">
        <v>9171</v>
      </c>
      <c r="C1389">
        <v>2024</v>
      </c>
      <c r="D1389" s="18">
        <v>45404</v>
      </c>
      <c r="E1389" s="18">
        <v>45768</v>
      </c>
      <c r="F1389" s="18" t="s">
        <v>611</v>
      </c>
      <c r="G1389" t="s">
        <v>100</v>
      </c>
      <c r="H1389">
        <v>1</v>
      </c>
      <c r="I1389">
        <v>2</v>
      </c>
      <c r="J1389" s="27">
        <v>23950.02</v>
      </c>
      <c r="K1389" s="27">
        <v>2000000</v>
      </c>
    </row>
    <row r="1390" spans="1:11" ht="15" customHeight="1" x14ac:dyDescent="0.2">
      <c r="A1390" t="s">
        <v>9172</v>
      </c>
      <c r="B1390" t="s">
        <v>9173</v>
      </c>
      <c r="C1390">
        <v>2024</v>
      </c>
      <c r="D1390" s="18">
        <v>45405</v>
      </c>
      <c r="E1390" s="18">
        <v>45769</v>
      </c>
      <c r="F1390" s="18" t="s">
        <v>611</v>
      </c>
      <c r="G1390" t="s">
        <v>100</v>
      </c>
      <c r="H1390">
        <v>3</v>
      </c>
      <c r="I1390">
        <v>6</v>
      </c>
      <c r="J1390" s="27">
        <v>36025.019999999997</v>
      </c>
      <c r="K1390" s="27">
        <v>3000000</v>
      </c>
    </row>
    <row r="1391" spans="1:11" ht="15" customHeight="1" x14ac:dyDescent="0.2">
      <c r="A1391" t="s">
        <v>9174</v>
      </c>
      <c r="B1391" t="s">
        <v>9175</v>
      </c>
      <c r="C1391">
        <v>2024</v>
      </c>
      <c r="D1391" s="18">
        <v>45405</v>
      </c>
      <c r="E1391" s="18">
        <v>45769</v>
      </c>
      <c r="F1391" s="18" t="s">
        <v>611</v>
      </c>
      <c r="G1391" t="s">
        <v>99</v>
      </c>
      <c r="H1391">
        <v>3</v>
      </c>
      <c r="I1391">
        <v>6</v>
      </c>
      <c r="J1391" s="27">
        <v>25959.63</v>
      </c>
      <c r="K1391" s="27">
        <v>3000000</v>
      </c>
    </row>
    <row r="1392" spans="1:11" ht="15" customHeight="1" x14ac:dyDescent="0.2">
      <c r="A1392" t="s">
        <v>9176</v>
      </c>
      <c r="B1392" t="s">
        <v>9177</v>
      </c>
      <c r="C1392">
        <v>2024</v>
      </c>
      <c r="D1392" s="18">
        <v>45405</v>
      </c>
      <c r="E1392" s="18">
        <v>45769</v>
      </c>
      <c r="F1392" s="18" t="s">
        <v>611</v>
      </c>
      <c r="G1392" t="s">
        <v>101</v>
      </c>
      <c r="H1392">
        <v>1</v>
      </c>
      <c r="I1392">
        <v>1</v>
      </c>
      <c r="J1392" s="27">
        <v>55390.54</v>
      </c>
      <c r="K1392" s="27">
        <v>3000000</v>
      </c>
    </row>
    <row r="1393" spans="1:11" ht="15" customHeight="1" x14ac:dyDescent="0.2">
      <c r="A1393" t="s">
        <v>9178</v>
      </c>
      <c r="B1393" t="s">
        <v>9179</v>
      </c>
      <c r="C1393">
        <v>2024</v>
      </c>
      <c r="D1393" s="18">
        <v>45405</v>
      </c>
      <c r="E1393" s="18">
        <v>45769</v>
      </c>
      <c r="F1393" s="18" t="s">
        <v>611</v>
      </c>
      <c r="G1393" t="s">
        <v>101</v>
      </c>
      <c r="H1393">
        <v>1</v>
      </c>
      <c r="I1393">
        <v>1</v>
      </c>
      <c r="J1393" s="27">
        <v>52754.92</v>
      </c>
      <c r="K1393" s="27">
        <v>3000000</v>
      </c>
    </row>
    <row r="1394" spans="1:11" ht="15" customHeight="1" x14ac:dyDescent="0.2">
      <c r="A1394" t="s">
        <v>9180</v>
      </c>
      <c r="B1394" t="s">
        <v>9181</v>
      </c>
      <c r="C1394">
        <v>2024</v>
      </c>
      <c r="D1394" s="18">
        <v>45405</v>
      </c>
      <c r="E1394" s="18">
        <v>45769</v>
      </c>
      <c r="F1394" s="18" t="s">
        <v>611</v>
      </c>
      <c r="G1394" t="s">
        <v>100</v>
      </c>
      <c r="H1394">
        <v>2</v>
      </c>
      <c r="I1394">
        <v>4</v>
      </c>
      <c r="J1394" s="27">
        <v>50857.87</v>
      </c>
      <c r="K1394" s="27">
        <v>4000000</v>
      </c>
    </row>
    <row r="1395" spans="1:11" ht="15" customHeight="1" x14ac:dyDescent="0.2">
      <c r="A1395" t="s">
        <v>9182</v>
      </c>
      <c r="B1395" t="s">
        <v>9183</v>
      </c>
      <c r="C1395">
        <v>2024</v>
      </c>
      <c r="D1395" s="18">
        <v>45406</v>
      </c>
      <c r="E1395" s="18">
        <v>45770</v>
      </c>
      <c r="F1395" s="18" t="s">
        <v>608</v>
      </c>
      <c r="G1395" t="s">
        <v>100</v>
      </c>
      <c r="H1395">
        <v>3</v>
      </c>
      <c r="I1395">
        <v>3</v>
      </c>
      <c r="J1395" s="27">
        <v>33142.89</v>
      </c>
      <c r="K1395" s="27">
        <v>2500000</v>
      </c>
    </row>
    <row r="1396" spans="1:11" ht="15" customHeight="1" x14ac:dyDescent="0.2">
      <c r="A1396" t="s">
        <v>9184</v>
      </c>
      <c r="B1396" t="s">
        <v>9185</v>
      </c>
      <c r="C1396">
        <v>2024</v>
      </c>
      <c r="D1396" s="18">
        <v>45406</v>
      </c>
      <c r="E1396" s="18">
        <v>45770</v>
      </c>
      <c r="F1396" s="18" t="s">
        <v>608</v>
      </c>
      <c r="G1396" t="s">
        <v>100</v>
      </c>
      <c r="H1396">
        <v>1</v>
      </c>
      <c r="I1396">
        <v>2</v>
      </c>
      <c r="J1396" s="27">
        <v>65389.919999999998</v>
      </c>
      <c r="K1396" s="27">
        <v>5000000</v>
      </c>
    </row>
    <row r="1397" spans="1:11" ht="15" customHeight="1" x14ac:dyDescent="0.2">
      <c r="A1397" t="s">
        <v>9186</v>
      </c>
      <c r="B1397" t="s">
        <v>9187</v>
      </c>
      <c r="C1397">
        <v>2024</v>
      </c>
      <c r="D1397" s="18">
        <v>45406</v>
      </c>
      <c r="E1397" s="18">
        <v>45770</v>
      </c>
      <c r="F1397" s="18" t="s">
        <v>608</v>
      </c>
      <c r="G1397" t="s">
        <v>100</v>
      </c>
      <c r="H1397">
        <v>2</v>
      </c>
      <c r="I1397">
        <v>2</v>
      </c>
      <c r="J1397" s="27">
        <v>48871.56</v>
      </c>
      <c r="K1397" s="27">
        <v>4000000</v>
      </c>
    </row>
    <row r="1398" spans="1:11" ht="15" customHeight="1" x14ac:dyDescent="0.2">
      <c r="A1398" t="s">
        <v>9188</v>
      </c>
      <c r="B1398" t="s">
        <v>9189</v>
      </c>
      <c r="C1398">
        <v>2024</v>
      </c>
      <c r="D1398" s="18">
        <v>45406</v>
      </c>
      <c r="E1398" s="18">
        <v>45770</v>
      </c>
      <c r="F1398" s="18" t="s">
        <v>608</v>
      </c>
      <c r="G1398" t="s">
        <v>102</v>
      </c>
      <c r="H1398">
        <v>3</v>
      </c>
      <c r="I1398">
        <v>3</v>
      </c>
      <c r="J1398" s="27">
        <v>32641.83</v>
      </c>
      <c r="K1398" s="27">
        <v>3500000</v>
      </c>
    </row>
    <row r="1399" spans="1:11" ht="15" customHeight="1" x14ac:dyDescent="0.2">
      <c r="A1399" t="s">
        <v>9190</v>
      </c>
      <c r="B1399" t="s">
        <v>9191</v>
      </c>
      <c r="C1399">
        <v>2024</v>
      </c>
      <c r="D1399" s="18">
        <v>45406</v>
      </c>
      <c r="E1399" s="18">
        <v>45770</v>
      </c>
      <c r="F1399" s="18" t="s">
        <v>611</v>
      </c>
      <c r="G1399" t="s">
        <v>101</v>
      </c>
      <c r="H1399">
        <v>2</v>
      </c>
      <c r="I1399">
        <v>4</v>
      </c>
      <c r="J1399" s="27">
        <v>18545.810000000001</v>
      </c>
      <c r="K1399" s="27">
        <v>1000000</v>
      </c>
    </row>
    <row r="1400" spans="1:11" ht="15" customHeight="1" x14ac:dyDescent="0.2">
      <c r="A1400" t="s">
        <v>9192</v>
      </c>
      <c r="B1400" t="s">
        <v>9193</v>
      </c>
      <c r="C1400">
        <v>2024</v>
      </c>
      <c r="D1400" s="18">
        <v>45406</v>
      </c>
      <c r="E1400" s="18">
        <v>45770</v>
      </c>
      <c r="F1400" s="18" t="s">
        <v>611</v>
      </c>
      <c r="G1400" t="s">
        <v>99</v>
      </c>
      <c r="H1400">
        <v>3</v>
      </c>
      <c r="I1400">
        <v>3</v>
      </c>
      <c r="J1400" s="27">
        <v>15998.95</v>
      </c>
      <c r="K1400" s="27">
        <v>2000000</v>
      </c>
    </row>
    <row r="1401" spans="1:11" ht="15" customHeight="1" x14ac:dyDescent="0.2">
      <c r="A1401" t="s">
        <v>9194</v>
      </c>
      <c r="B1401" t="s">
        <v>9195</v>
      </c>
      <c r="C1401">
        <v>2024</v>
      </c>
      <c r="D1401" s="18">
        <v>45406</v>
      </c>
      <c r="E1401" s="18">
        <v>45770</v>
      </c>
      <c r="F1401" s="18" t="s">
        <v>611</v>
      </c>
      <c r="G1401" t="s">
        <v>99</v>
      </c>
      <c r="H1401">
        <v>2</v>
      </c>
      <c r="I1401">
        <v>2</v>
      </c>
      <c r="J1401" s="27">
        <v>7431.76</v>
      </c>
      <c r="K1401" s="27">
        <v>1000000</v>
      </c>
    </row>
    <row r="1402" spans="1:11" ht="15" customHeight="1" x14ac:dyDescent="0.2">
      <c r="A1402" t="s">
        <v>9196</v>
      </c>
      <c r="B1402" t="s">
        <v>9197</v>
      </c>
      <c r="C1402">
        <v>2024</v>
      </c>
      <c r="D1402" s="18">
        <v>45406</v>
      </c>
      <c r="E1402" s="18">
        <v>45770</v>
      </c>
      <c r="F1402" s="18" t="s">
        <v>611</v>
      </c>
      <c r="G1402" t="s">
        <v>101</v>
      </c>
      <c r="H1402">
        <v>3</v>
      </c>
      <c r="I1402">
        <v>3</v>
      </c>
      <c r="J1402" s="27">
        <v>38245.120000000003</v>
      </c>
      <c r="K1402" s="27">
        <v>2000000</v>
      </c>
    </row>
    <row r="1403" spans="1:11" ht="15" customHeight="1" x14ac:dyDescent="0.2">
      <c r="A1403" t="s">
        <v>9198</v>
      </c>
      <c r="B1403" t="s">
        <v>9199</v>
      </c>
      <c r="C1403">
        <v>2024</v>
      </c>
      <c r="D1403" s="18">
        <v>45407</v>
      </c>
      <c r="E1403" s="18">
        <v>45771</v>
      </c>
      <c r="F1403" s="18" t="s">
        <v>608</v>
      </c>
      <c r="G1403" t="s">
        <v>101</v>
      </c>
      <c r="H1403">
        <v>1</v>
      </c>
      <c r="I1403">
        <v>1</v>
      </c>
      <c r="J1403" s="27">
        <v>75322.7</v>
      </c>
      <c r="K1403" s="27">
        <v>4000000</v>
      </c>
    </row>
    <row r="1404" spans="1:11" ht="15" customHeight="1" x14ac:dyDescent="0.2">
      <c r="A1404" t="s">
        <v>9200</v>
      </c>
      <c r="B1404" t="s">
        <v>9201</v>
      </c>
      <c r="C1404">
        <v>2024</v>
      </c>
      <c r="D1404" s="18">
        <v>45407</v>
      </c>
      <c r="E1404" s="18">
        <v>45771</v>
      </c>
      <c r="F1404" s="18" t="s">
        <v>611</v>
      </c>
      <c r="G1404" t="s">
        <v>101</v>
      </c>
      <c r="H1404">
        <v>1</v>
      </c>
      <c r="I1404">
        <v>2</v>
      </c>
      <c r="J1404" s="27">
        <v>15930.59</v>
      </c>
      <c r="K1404" s="27">
        <v>1000000</v>
      </c>
    </row>
    <row r="1405" spans="1:11" ht="15" customHeight="1" x14ac:dyDescent="0.2">
      <c r="A1405" t="s">
        <v>9202</v>
      </c>
      <c r="B1405" t="s">
        <v>9203</v>
      </c>
      <c r="C1405">
        <v>2024</v>
      </c>
      <c r="D1405" s="18">
        <v>45407</v>
      </c>
      <c r="E1405" s="18">
        <v>45771</v>
      </c>
      <c r="F1405" s="18" t="s">
        <v>611</v>
      </c>
      <c r="G1405" t="s">
        <v>102</v>
      </c>
      <c r="H1405">
        <v>1</v>
      </c>
      <c r="I1405">
        <v>1</v>
      </c>
      <c r="J1405" s="27">
        <v>12937.05</v>
      </c>
      <c r="K1405" s="27">
        <v>1500000</v>
      </c>
    </row>
    <row r="1406" spans="1:11" ht="15" customHeight="1" x14ac:dyDescent="0.2">
      <c r="A1406" t="s">
        <v>9204</v>
      </c>
      <c r="B1406" t="s">
        <v>9205</v>
      </c>
      <c r="C1406">
        <v>2024</v>
      </c>
      <c r="D1406" s="18">
        <v>45407</v>
      </c>
      <c r="E1406" s="18">
        <v>45771</v>
      </c>
      <c r="F1406" s="18" t="s">
        <v>611</v>
      </c>
      <c r="G1406" t="s">
        <v>100</v>
      </c>
      <c r="H1406">
        <v>1</v>
      </c>
      <c r="I1406">
        <v>1</v>
      </c>
      <c r="J1406" s="27">
        <v>46902.879999999997</v>
      </c>
      <c r="K1406" s="27">
        <v>3500000</v>
      </c>
    </row>
    <row r="1407" spans="1:11" ht="15" customHeight="1" x14ac:dyDescent="0.2">
      <c r="A1407" t="s">
        <v>9206</v>
      </c>
      <c r="B1407" t="s">
        <v>9207</v>
      </c>
      <c r="C1407">
        <v>2024</v>
      </c>
      <c r="D1407" s="18">
        <v>45407</v>
      </c>
      <c r="E1407" s="18">
        <v>45771</v>
      </c>
      <c r="F1407" s="18" t="s">
        <v>611</v>
      </c>
      <c r="G1407" t="s">
        <v>100</v>
      </c>
      <c r="H1407">
        <v>2</v>
      </c>
      <c r="I1407">
        <v>2</v>
      </c>
      <c r="J1407" s="27">
        <v>21010.59</v>
      </c>
      <c r="K1407" s="27">
        <v>1500000</v>
      </c>
    </row>
    <row r="1408" spans="1:11" ht="15" customHeight="1" x14ac:dyDescent="0.2">
      <c r="A1408" t="s">
        <v>9208</v>
      </c>
      <c r="B1408" t="s">
        <v>9209</v>
      </c>
      <c r="C1408">
        <v>2024</v>
      </c>
      <c r="D1408" s="18">
        <v>45407</v>
      </c>
      <c r="E1408" s="18">
        <v>45771</v>
      </c>
      <c r="F1408" s="18" t="s">
        <v>611</v>
      </c>
      <c r="G1408" t="s">
        <v>100</v>
      </c>
      <c r="H1408">
        <v>1</v>
      </c>
      <c r="I1408">
        <v>1</v>
      </c>
      <c r="J1408" s="27">
        <v>12307.16</v>
      </c>
      <c r="K1408" s="27">
        <v>1000000</v>
      </c>
    </row>
    <row r="1409" spans="1:11" ht="15" customHeight="1" x14ac:dyDescent="0.2">
      <c r="A1409" t="s">
        <v>9210</v>
      </c>
      <c r="B1409" t="s">
        <v>9211</v>
      </c>
      <c r="C1409">
        <v>2024</v>
      </c>
      <c r="D1409" s="18">
        <v>45407</v>
      </c>
      <c r="E1409" s="18">
        <v>45771</v>
      </c>
      <c r="F1409" s="18" t="s">
        <v>611</v>
      </c>
      <c r="G1409" t="s">
        <v>99</v>
      </c>
      <c r="H1409">
        <v>1</v>
      </c>
      <c r="I1409">
        <v>2</v>
      </c>
      <c r="J1409" s="27">
        <v>19029.150000000001</v>
      </c>
      <c r="K1409" s="27">
        <v>2500000</v>
      </c>
    </row>
    <row r="1410" spans="1:11" ht="15" customHeight="1" x14ac:dyDescent="0.2">
      <c r="A1410" t="s">
        <v>9212</v>
      </c>
      <c r="B1410" t="s">
        <v>9213</v>
      </c>
      <c r="C1410">
        <v>2024</v>
      </c>
      <c r="D1410" s="18">
        <v>45407</v>
      </c>
      <c r="E1410" s="18">
        <v>45771</v>
      </c>
      <c r="F1410" s="18" t="s">
        <v>611</v>
      </c>
      <c r="G1410" t="s">
        <v>101</v>
      </c>
      <c r="H1410">
        <v>2</v>
      </c>
      <c r="I1410">
        <v>4</v>
      </c>
      <c r="J1410" s="27">
        <v>51336.72</v>
      </c>
      <c r="K1410" s="27">
        <v>3000000</v>
      </c>
    </row>
    <row r="1411" spans="1:11" ht="15" customHeight="1" x14ac:dyDescent="0.2">
      <c r="A1411" t="s">
        <v>9214</v>
      </c>
      <c r="B1411" t="s">
        <v>9215</v>
      </c>
      <c r="C1411">
        <v>2024</v>
      </c>
      <c r="D1411" s="18">
        <v>45408</v>
      </c>
      <c r="E1411" s="18">
        <v>45772</v>
      </c>
      <c r="F1411" s="18" t="s">
        <v>608</v>
      </c>
      <c r="G1411" t="s">
        <v>102</v>
      </c>
      <c r="H1411">
        <v>1</v>
      </c>
      <c r="I1411">
        <v>1</v>
      </c>
      <c r="J1411" s="27">
        <v>4432.47</v>
      </c>
      <c r="K1411" s="27">
        <v>500000</v>
      </c>
    </row>
    <row r="1412" spans="1:11" ht="15" customHeight="1" x14ac:dyDescent="0.2">
      <c r="A1412" t="s">
        <v>9216</v>
      </c>
      <c r="B1412" t="s">
        <v>9217</v>
      </c>
      <c r="C1412">
        <v>2024</v>
      </c>
      <c r="D1412" s="18">
        <v>45408</v>
      </c>
      <c r="E1412" s="18">
        <v>45772</v>
      </c>
      <c r="F1412" s="18" t="s">
        <v>608</v>
      </c>
      <c r="G1412" t="s">
        <v>102</v>
      </c>
      <c r="H1412">
        <v>2</v>
      </c>
      <c r="I1412">
        <v>2</v>
      </c>
      <c r="J1412" s="27">
        <v>4121.87</v>
      </c>
      <c r="K1412" s="27">
        <v>500000</v>
      </c>
    </row>
    <row r="1413" spans="1:11" ht="15" customHeight="1" x14ac:dyDescent="0.2">
      <c r="A1413" t="s">
        <v>9218</v>
      </c>
      <c r="B1413" t="s">
        <v>9219</v>
      </c>
      <c r="C1413">
        <v>2024</v>
      </c>
      <c r="D1413" s="18">
        <v>45408</v>
      </c>
      <c r="E1413" s="18">
        <v>45772</v>
      </c>
      <c r="F1413" s="18" t="s">
        <v>611</v>
      </c>
      <c r="G1413" t="s">
        <v>100</v>
      </c>
      <c r="H1413">
        <v>2</v>
      </c>
      <c r="I1413">
        <v>2</v>
      </c>
      <c r="J1413" s="27">
        <v>13989.52</v>
      </c>
      <c r="K1413" s="27">
        <v>1000000</v>
      </c>
    </row>
    <row r="1414" spans="1:11" ht="15" customHeight="1" x14ac:dyDescent="0.2">
      <c r="A1414" t="s">
        <v>9220</v>
      </c>
      <c r="B1414" t="s">
        <v>9221</v>
      </c>
      <c r="C1414">
        <v>2024</v>
      </c>
      <c r="D1414" s="18">
        <v>45408</v>
      </c>
      <c r="E1414" s="18">
        <v>45772</v>
      </c>
      <c r="F1414" s="18" t="s">
        <v>611</v>
      </c>
      <c r="G1414" t="s">
        <v>100</v>
      </c>
      <c r="H1414">
        <v>2</v>
      </c>
      <c r="I1414">
        <v>4</v>
      </c>
      <c r="J1414" s="27">
        <v>38097.24</v>
      </c>
      <c r="K1414" s="27">
        <v>3000000</v>
      </c>
    </row>
    <row r="1415" spans="1:11" ht="15" customHeight="1" x14ac:dyDescent="0.2">
      <c r="A1415" t="s">
        <v>9222</v>
      </c>
      <c r="B1415" t="s">
        <v>9223</v>
      </c>
      <c r="C1415">
        <v>2024</v>
      </c>
      <c r="D1415" s="18">
        <v>45408</v>
      </c>
      <c r="E1415" s="18">
        <v>45772</v>
      </c>
      <c r="F1415" s="18" t="s">
        <v>611</v>
      </c>
      <c r="G1415" t="s">
        <v>99</v>
      </c>
      <c r="H1415">
        <v>1</v>
      </c>
      <c r="I1415">
        <v>1</v>
      </c>
      <c r="J1415" s="27">
        <v>43286.58</v>
      </c>
      <c r="K1415" s="27">
        <v>5000000</v>
      </c>
    </row>
    <row r="1416" spans="1:11" ht="15" customHeight="1" x14ac:dyDescent="0.2">
      <c r="A1416" t="s">
        <v>9224</v>
      </c>
      <c r="B1416" t="s">
        <v>9225</v>
      </c>
      <c r="C1416">
        <v>2024</v>
      </c>
      <c r="D1416" s="18">
        <v>45408</v>
      </c>
      <c r="E1416" s="18">
        <v>45772</v>
      </c>
      <c r="F1416" s="18" t="s">
        <v>611</v>
      </c>
      <c r="G1416" t="s">
        <v>100</v>
      </c>
      <c r="H1416">
        <v>2</v>
      </c>
      <c r="I1416">
        <v>2</v>
      </c>
      <c r="J1416" s="27">
        <v>56010.76</v>
      </c>
      <c r="K1416" s="27">
        <v>4000000</v>
      </c>
    </row>
    <row r="1417" spans="1:11" ht="15" customHeight="1" x14ac:dyDescent="0.2">
      <c r="A1417" t="s">
        <v>9226</v>
      </c>
      <c r="B1417" t="s">
        <v>9227</v>
      </c>
      <c r="C1417">
        <v>2024</v>
      </c>
      <c r="D1417" s="18">
        <v>45408</v>
      </c>
      <c r="E1417" s="18">
        <v>45772</v>
      </c>
      <c r="F1417" s="18" t="s">
        <v>611</v>
      </c>
      <c r="G1417" t="s">
        <v>99</v>
      </c>
      <c r="H1417">
        <v>1</v>
      </c>
      <c r="I1417">
        <v>1</v>
      </c>
      <c r="J1417" s="27">
        <v>19248.48</v>
      </c>
      <c r="K1417" s="27">
        <v>2500000</v>
      </c>
    </row>
    <row r="1418" spans="1:11" ht="15" customHeight="1" x14ac:dyDescent="0.2">
      <c r="A1418" t="s">
        <v>9228</v>
      </c>
      <c r="B1418" t="s">
        <v>9229</v>
      </c>
      <c r="C1418">
        <v>2024</v>
      </c>
      <c r="D1418" s="18">
        <v>45408</v>
      </c>
      <c r="E1418" s="18">
        <v>45772</v>
      </c>
      <c r="F1418" s="18" t="s">
        <v>611</v>
      </c>
      <c r="G1418" t="s">
        <v>101</v>
      </c>
      <c r="H1418">
        <v>1</v>
      </c>
      <c r="I1418">
        <v>1</v>
      </c>
      <c r="J1418" s="27">
        <v>16845.939999999999</v>
      </c>
      <c r="K1418" s="27">
        <v>1000000</v>
      </c>
    </row>
    <row r="1419" spans="1:11" ht="15" customHeight="1" x14ac:dyDescent="0.2">
      <c r="A1419" t="s">
        <v>9230</v>
      </c>
      <c r="B1419" t="s">
        <v>9231</v>
      </c>
      <c r="C1419">
        <v>2024</v>
      </c>
      <c r="D1419" s="18">
        <v>45408</v>
      </c>
      <c r="E1419" s="18">
        <v>45772</v>
      </c>
      <c r="F1419" s="18" t="s">
        <v>611</v>
      </c>
      <c r="G1419" t="s">
        <v>102</v>
      </c>
      <c r="H1419">
        <v>3</v>
      </c>
      <c r="I1419">
        <v>3</v>
      </c>
      <c r="J1419" s="27">
        <v>92815.96</v>
      </c>
      <c r="K1419" s="27">
        <v>10000000</v>
      </c>
    </row>
    <row r="1420" spans="1:11" ht="15" customHeight="1" x14ac:dyDescent="0.2">
      <c r="A1420" t="s">
        <v>9232</v>
      </c>
      <c r="B1420" t="s">
        <v>9233</v>
      </c>
      <c r="C1420">
        <v>2024</v>
      </c>
      <c r="D1420" s="18">
        <v>45409</v>
      </c>
      <c r="E1420" s="18">
        <v>45773</v>
      </c>
      <c r="F1420" s="18" t="s">
        <v>611</v>
      </c>
      <c r="G1420" t="s">
        <v>100</v>
      </c>
      <c r="H1420">
        <v>1</v>
      </c>
      <c r="I1420">
        <v>2</v>
      </c>
      <c r="J1420" s="27">
        <v>41376.019999999997</v>
      </c>
      <c r="K1420" s="27">
        <v>3000000</v>
      </c>
    </row>
    <row r="1421" spans="1:11" ht="15" customHeight="1" x14ac:dyDescent="0.2">
      <c r="A1421" t="s">
        <v>9234</v>
      </c>
      <c r="B1421" t="s">
        <v>9235</v>
      </c>
      <c r="C1421">
        <v>2024</v>
      </c>
      <c r="D1421" s="18">
        <v>45409</v>
      </c>
      <c r="E1421" s="18">
        <v>45773</v>
      </c>
      <c r="F1421" s="18" t="s">
        <v>611</v>
      </c>
      <c r="G1421" t="s">
        <v>99</v>
      </c>
      <c r="H1421">
        <v>1</v>
      </c>
      <c r="I1421">
        <v>1</v>
      </c>
      <c r="J1421" s="27">
        <v>25534.3</v>
      </c>
      <c r="K1421" s="27">
        <v>3000000</v>
      </c>
    </row>
    <row r="1422" spans="1:11" ht="15" customHeight="1" x14ac:dyDescent="0.2">
      <c r="A1422" t="s">
        <v>9236</v>
      </c>
      <c r="B1422" t="s">
        <v>9237</v>
      </c>
      <c r="C1422">
        <v>2024</v>
      </c>
      <c r="D1422" s="18">
        <v>45409</v>
      </c>
      <c r="E1422" s="18">
        <v>45773</v>
      </c>
      <c r="F1422" s="18" t="s">
        <v>611</v>
      </c>
      <c r="G1422" t="s">
        <v>102</v>
      </c>
      <c r="H1422">
        <v>1</v>
      </c>
      <c r="I1422">
        <v>2</v>
      </c>
      <c r="J1422" s="27">
        <v>9080.43</v>
      </c>
      <c r="K1422" s="27">
        <v>1000000</v>
      </c>
    </row>
    <row r="1423" spans="1:11" ht="15" customHeight="1" x14ac:dyDescent="0.2">
      <c r="A1423" t="s">
        <v>9238</v>
      </c>
      <c r="B1423" t="s">
        <v>9239</v>
      </c>
      <c r="C1423">
        <v>2024</v>
      </c>
      <c r="D1423" s="18">
        <v>45409</v>
      </c>
      <c r="E1423" s="18">
        <v>45773</v>
      </c>
      <c r="F1423" s="18" t="s">
        <v>611</v>
      </c>
      <c r="G1423" t="s">
        <v>99</v>
      </c>
      <c r="H1423">
        <v>1</v>
      </c>
      <c r="I1423">
        <v>2</v>
      </c>
      <c r="J1423" s="27">
        <v>7759.63</v>
      </c>
      <c r="K1423" s="27">
        <v>1000000</v>
      </c>
    </row>
    <row r="1424" spans="1:11" ht="15" customHeight="1" x14ac:dyDescent="0.2">
      <c r="A1424" t="s">
        <v>9240</v>
      </c>
      <c r="B1424" t="s">
        <v>9241</v>
      </c>
      <c r="C1424">
        <v>2024</v>
      </c>
      <c r="D1424" s="18">
        <v>45409</v>
      </c>
      <c r="E1424" s="18">
        <v>45773</v>
      </c>
      <c r="F1424" s="18" t="s">
        <v>611</v>
      </c>
      <c r="G1424" t="s">
        <v>99</v>
      </c>
      <c r="H1424">
        <v>1</v>
      </c>
      <c r="I1424">
        <v>1</v>
      </c>
      <c r="J1424" s="27">
        <v>25909.07</v>
      </c>
      <c r="K1424" s="27">
        <v>3000000</v>
      </c>
    </row>
    <row r="1425" spans="1:11" ht="15" customHeight="1" x14ac:dyDescent="0.2">
      <c r="A1425" t="s">
        <v>9242</v>
      </c>
      <c r="B1425" t="s">
        <v>9243</v>
      </c>
      <c r="C1425">
        <v>2024</v>
      </c>
      <c r="D1425" s="18">
        <v>45409</v>
      </c>
      <c r="E1425" s="18">
        <v>45773</v>
      </c>
      <c r="F1425" s="18" t="s">
        <v>611</v>
      </c>
      <c r="G1425" t="s">
        <v>100</v>
      </c>
      <c r="H1425">
        <v>1</v>
      </c>
      <c r="I1425">
        <v>1</v>
      </c>
      <c r="J1425" s="27">
        <v>13855.7</v>
      </c>
      <c r="K1425" s="27">
        <v>1000000</v>
      </c>
    </row>
    <row r="1426" spans="1:11" ht="15" customHeight="1" x14ac:dyDescent="0.2">
      <c r="A1426" t="s">
        <v>9244</v>
      </c>
      <c r="B1426" t="s">
        <v>9245</v>
      </c>
      <c r="C1426">
        <v>2024</v>
      </c>
      <c r="D1426" s="18">
        <v>45409</v>
      </c>
      <c r="E1426" s="18">
        <v>45773</v>
      </c>
      <c r="F1426" s="18" t="s">
        <v>611</v>
      </c>
      <c r="G1426" t="s">
        <v>99</v>
      </c>
      <c r="H1426">
        <v>1</v>
      </c>
      <c r="I1426">
        <v>2</v>
      </c>
      <c r="J1426" s="27">
        <v>29524.75</v>
      </c>
      <c r="K1426" s="27">
        <v>3500000</v>
      </c>
    </row>
    <row r="1427" spans="1:11" ht="15" customHeight="1" x14ac:dyDescent="0.2">
      <c r="A1427" t="s">
        <v>9246</v>
      </c>
      <c r="B1427" t="s">
        <v>9247</v>
      </c>
      <c r="C1427">
        <v>2024</v>
      </c>
      <c r="D1427" s="18">
        <v>45409</v>
      </c>
      <c r="E1427" s="18">
        <v>45773</v>
      </c>
      <c r="F1427" s="18" t="s">
        <v>611</v>
      </c>
      <c r="G1427" t="s">
        <v>101</v>
      </c>
      <c r="H1427">
        <v>2</v>
      </c>
      <c r="I1427">
        <v>4</v>
      </c>
      <c r="J1427" s="27">
        <v>70250.89</v>
      </c>
      <c r="K1427" s="27">
        <v>4000000</v>
      </c>
    </row>
    <row r="1428" spans="1:11" ht="15" customHeight="1" x14ac:dyDescent="0.2">
      <c r="A1428" t="s">
        <v>9248</v>
      </c>
      <c r="B1428" t="s">
        <v>9249</v>
      </c>
      <c r="C1428">
        <v>2024</v>
      </c>
      <c r="D1428" s="18">
        <v>45409</v>
      </c>
      <c r="E1428" s="18">
        <v>45773</v>
      </c>
      <c r="F1428" s="18" t="s">
        <v>611</v>
      </c>
      <c r="G1428" t="s">
        <v>100</v>
      </c>
      <c r="H1428">
        <v>1</v>
      </c>
      <c r="I1428">
        <v>2</v>
      </c>
      <c r="J1428" s="27">
        <v>13384.64</v>
      </c>
      <c r="K1428" s="27">
        <v>1000000</v>
      </c>
    </row>
    <row r="1429" spans="1:11" ht="15" customHeight="1" x14ac:dyDescent="0.2">
      <c r="A1429" t="s">
        <v>9250</v>
      </c>
      <c r="B1429" t="s">
        <v>9251</v>
      </c>
      <c r="C1429">
        <v>2024</v>
      </c>
      <c r="D1429" s="18">
        <v>45410</v>
      </c>
      <c r="E1429" s="18">
        <v>45774</v>
      </c>
      <c r="F1429" s="18" t="s">
        <v>608</v>
      </c>
      <c r="G1429" t="s">
        <v>101</v>
      </c>
      <c r="H1429">
        <v>1</v>
      </c>
      <c r="I1429">
        <v>1</v>
      </c>
      <c r="J1429" s="27">
        <v>77826.039999999994</v>
      </c>
      <c r="K1429" s="27">
        <v>4500000</v>
      </c>
    </row>
    <row r="1430" spans="1:11" ht="15" customHeight="1" x14ac:dyDescent="0.2">
      <c r="A1430" t="s">
        <v>9252</v>
      </c>
      <c r="B1430" t="s">
        <v>9253</v>
      </c>
      <c r="C1430">
        <v>2024</v>
      </c>
      <c r="D1430" s="18">
        <v>45410</v>
      </c>
      <c r="E1430" s="18">
        <v>45774</v>
      </c>
      <c r="F1430" s="18" t="s">
        <v>611</v>
      </c>
      <c r="G1430" t="s">
        <v>99</v>
      </c>
      <c r="H1430">
        <v>3</v>
      </c>
      <c r="I1430">
        <v>3</v>
      </c>
      <c r="J1430" s="27">
        <v>16761.259999999998</v>
      </c>
      <c r="K1430" s="27">
        <v>2000000</v>
      </c>
    </row>
    <row r="1431" spans="1:11" ht="15" customHeight="1" x14ac:dyDescent="0.2">
      <c r="A1431" t="s">
        <v>9254</v>
      </c>
      <c r="B1431" t="s">
        <v>9255</v>
      </c>
      <c r="C1431">
        <v>2024</v>
      </c>
      <c r="D1431" s="18">
        <v>45410</v>
      </c>
      <c r="E1431" s="18">
        <v>45774</v>
      </c>
      <c r="F1431" s="18" t="s">
        <v>611</v>
      </c>
      <c r="G1431" t="s">
        <v>100</v>
      </c>
      <c r="H1431">
        <v>1</v>
      </c>
      <c r="I1431">
        <v>1</v>
      </c>
      <c r="J1431" s="27">
        <v>24453.05</v>
      </c>
      <c r="K1431" s="27">
        <v>2000000</v>
      </c>
    </row>
    <row r="1432" spans="1:11" ht="15" customHeight="1" x14ac:dyDescent="0.2">
      <c r="A1432" t="s">
        <v>9256</v>
      </c>
      <c r="B1432" t="s">
        <v>9257</v>
      </c>
      <c r="C1432">
        <v>2024</v>
      </c>
      <c r="D1432" s="18">
        <v>45410</v>
      </c>
      <c r="E1432" s="18">
        <v>45774</v>
      </c>
      <c r="F1432" s="18" t="s">
        <v>611</v>
      </c>
      <c r="G1432" t="s">
        <v>101</v>
      </c>
      <c r="H1432">
        <v>1</v>
      </c>
      <c r="I1432">
        <v>1</v>
      </c>
      <c r="J1432" s="27">
        <v>95263.33</v>
      </c>
      <c r="K1432" s="27">
        <v>5000000</v>
      </c>
    </row>
    <row r="1433" spans="1:11" ht="15" customHeight="1" x14ac:dyDescent="0.2">
      <c r="A1433" t="s">
        <v>9258</v>
      </c>
      <c r="B1433" t="s">
        <v>9259</v>
      </c>
      <c r="C1433">
        <v>2024</v>
      </c>
      <c r="D1433" s="18">
        <v>45410</v>
      </c>
      <c r="E1433" s="18">
        <v>45774</v>
      </c>
      <c r="F1433" s="18" t="s">
        <v>611</v>
      </c>
      <c r="G1433" t="s">
        <v>99</v>
      </c>
      <c r="H1433">
        <v>1</v>
      </c>
      <c r="I1433">
        <v>1</v>
      </c>
      <c r="J1433" s="27">
        <v>32613.24</v>
      </c>
      <c r="K1433" s="27">
        <v>4000000</v>
      </c>
    </row>
    <row r="1434" spans="1:11" ht="15" customHeight="1" x14ac:dyDescent="0.2">
      <c r="A1434" t="s">
        <v>9260</v>
      </c>
      <c r="B1434" t="s">
        <v>9261</v>
      </c>
      <c r="C1434">
        <v>2024</v>
      </c>
      <c r="D1434" s="18">
        <v>45411</v>
      </c>
      <c r="E1434" s="18">
        <v>45775</v>
      </c>
      <c r="F1434" s="18" t="s">
        <v>608</v>
      </c>
      <c r="G1434" t="s">
        <v>100</v>
      </c>
      <c r="H1434">
        <v>2</v>
      </c>
      <c r="I1434">
        <v>2</v>
      </c>
      <c r="J1434" s="27">
        <v>27049.15</v>
      </c>
      <c r="K1434" s="27">
        <v>2000000</v>
      </c>
    </row>
    <row r="1435" spans="1:11" ht="15" customHeight="1" x14ac:dyDescent="0.2">
      <c r="A1435" t="s">
        <v>9262</v>
      </c>
      <c r="B1435" t="s">
        <v>9263</v>
      </c>
      <c r="C1435">
        <v>2024</v>
      </c>
      <c r="D1435" s="18">
        <v>45411</v>
      </c>
      <c r="E1435" s="18">
        <v>45775</v>
      </c>
      <c r="F1435" s="18" t="s">
        <v>608</v>
      </c>
      <c r="G1435" t="s">
        <v>101</v>
      </c>
      <c r="H1435">
        <v>1</v>
      </c>
      <c r="I1435">
        <v>2</v>
      </c>
      <c r="J1435" s="27">
        <v>84459.22</v>
      </c>
      <c r="K1435" s="27">
        <v>4500000</v>
      </c>
    </row>
    <row r="1436" spans="1:11" ht="15" customHeight="1" x14ac:dyDescent="0.2">
      <c r="A1436" t="s">
        <v>9264</v>
      </c>
      <c r="B1436" t="s">
        <v>9265</v>
      </c>
      <c r="C1436">
        <v>2024</v>
      </c>
      <c r="D1436" s="18">
        <v>45411</v>
      </c>
      <c r="E1436" s="18">
        <v>45775</v>
      </c>
      <c r="F1436" s="18" t="s">
        <v>611</v>
      </c>
      <c r="G1436" t="s">
        <v>99</v>
      </c>
      <c r="H1436">
        <v>1</v>
      </c>
      <c r="I1436">
        <v>1</v>
      </c>
      <c r="J1436" s="27">
        <v>44567.02</v>
      </c>
      <c r="K1436" s="27">
        <v>5000000</v>
      </c>
    </row>
    <row r="1437" spans="1:11" ht="15" customHeight="1" x14ac:dyDescent="0.2">
      <c r="A1437" t="s">
        <v>9266</v>
      </c>
      <c r="B1437" t="s">
        <v>9267</v>
      </c>
      <c r="C1437">
        <v>2024</v>
      </c>
      <c r="D1437" s="18">
        <v>45411</v>
      </c>
      <c r="E1437" s="18">
        <v>45775</v>
      </c>
      <c r="F1437" s="18" t="s">
        <v>611</v>
      </c>
      <c r="G1437" t="s">
        <v>102</v>
      </c>
      <c r="H1437">
        <v>2</v>
      </c>
      <c r="I1437">
        <v>2</v>
      </c>
      <c r="J1437" s="27">
        <v>7761.13</v>
      </c>
      <c r="K1437" s="27">
        <v>1000000</v>
      </c>
    </row>
    <row r="1438" spans="1:11" ht="15" customHeight="1" x14ac:dyDescent="0.2">
      <c r="A1438" t="s">
        <v>9268</v>
      </c>
      <c r="B1438" t="s">
        <v>9269</v>
      </c>
      <c r="C1438">
        <v>2024</v>
      </c>
      <c r="D1438" s="18">
        <v>45411</v>
      </c>
      <c r="E1438" s="18">
        <v>45775</v>
      </c>
      <c r="F1438" s="18" t="s">
        <v>611</v>
      </c>
      <c r="G1438" t="s">
        <v>99</v>
      </c>
      <c r="H1438">
        <v>3</v>
      </c>
      <c r="I1438">
        <v>3</v>
      </c>
      <c r="J1438" s="27">
        <v>22627.32</v>
      </c>
      <c r="K1438" s="27">
        <v>3000000</v>
      </c>
    </row>
    <row r="1439" spans="1:11" ht="15" customHeight="1" x14ac:dyDescent="0.2">
      <c r="A1439" t="s">
        <v>9270</v>
      </c>
      <c r="B1439" t="s">
        <v>9271</v>
      </c>
      <c r="C1439">
        <v>2024</v>
      </c>
      <c r="D1439" s="18">
        <v>45411</v>
      </c>
      <c r="E1439" s="18">
        <v>45775</v>
      </c>
      <c r="F1439" s="18" t="s">
        <v>611</v>
      </c>
      <c r="G1439" t="s">
        <v>102</v>
      </c>
      <c r="H1439">
        <v>2</v>
      </c>
      <c r="I1439">
        <v>4</v>
      </c>
      <c r="J1439" s="27">
        <v>9042.42</v>
      </c>
      <c r="K1439" s="27">
        <v>1000000</v>
      </c>
    </row>
    <row r="1440" spans="1:11" ht="15" customHeight="1" x14ac:dyDescent="0.2">
      <c r="A1440" t="s">
        <v>9272</v>
      </c>
      <c r="B1440" t="s">
        <v>9273</v>
      </c>
      <c r="C1440">
        <v>2024</v>
      </c>
      <c r="D1440" s="18">
        <v>45411</v>
      </c>
      <c r="E1440" s="18">
        <v>45775</v>
      </c>
      <c r="F1440" s="18" t="s">
        <v>611</v>
      </c>
      <c r="G1440" t="s">
        <v>100</v>
      </c>
      <c r="H1440">
        <v>3</v>
      </c>
      <c r="I1440">
        <v>6</v>
      </c>
      <c r="J1440" s="27">
        <v>21304.45</v>
      </c>
      <c r="K1440" s="27">
        <v>1500000</v>
      </c>
    </row>
    <row r="1441" spans="1:11" ht="15" customHeight="1" x14ac:dyDescent="0.2">
      <c r="A1441" t="s">
        <v>9274</v>
      </c>
      <c r="B1441" t="s">
        <v>9275</v>
      </c>
      <c r="C1441">
        <v>2024</v>
      </c>
      <c r="D1441" s="18">
        <v>45411</v>
      </c>
      <c r="E1441" s="18">
        <v>45775</v>
      </c>
      <c r="F1441" s="18" t="s">
        <v>611</v>
      </c>
      <c r="G1441" t="s">
        <v>100</v>
      </c>
      <c r="H1441">
        <v>3</v>
      </c>
      <c r="I1441">
        <v>6</v>
      </c>
      <c r="J1441" s="27">
        <v>6885.19</v>
      </c>
      <c r="K1441" s="27">
        <v>500000</v>
      </c>
    </row>
    <row r="1442" spans="1:11" ht="15" customHeight="1" x14ac:dyDescent="0.2">
      <c r="A1442" t="s">
        <v>9276</v>
      </c>
      <c r="B1442" t="s">
        <v>9277</v>
      </c>
      <c r="C1442">
        <v>2024</v>
      </c>
      <c r="D1442" s="18">
        <v>45411</v>
      </c>
      <c r="E1442" s="18">
        <v>45775</v>
      </c>
      <c r="F1442" s="18" t="s">
        <v>611</v>
      </c>
      <c r="G1442" t="s">
        <v>100</v>
      </c>
      <c r="H1442">
        <v>3</v>
      </c>
      <c r="I1442">
        <v>3</v>
      </c>
      <c r="J1442" s="27">
        <v>66259.47</v>
      </c>
      <c r="K1442" s="27">
        <v>5000000</v>
      </c>
    </row>
    <row r="1443" spans="1:11" ht="15" customHeight="1" x14ac:dyDescent="0.2">
      <c r="A1443" t="s">
        <v>9278</v>
      </c>
      <c r="B1443" t="s">
        <v>9279</v>
      </c>
      <c r="C1443">
        <v>2024</v>
      </c>
      <c r="D1443" s="18">
        <v>45411</v>
      </c>
      <c r="E1443" s="18">
        <v>45775</v>
      </c>
      <c r="F1443" s="18" t="s">
        <v>611</v>
      </c>
      <c r="G1443" t="s">
        <v>100</v>
      </c>
      <c r="H1443">
        <v>2</v>
      </c>
      <c r="I1443">
        <v>2</v>
      </c>
      <c r="J1443" s="27">
        <v>59084.62</v>
      </c>
      <c r="K1443" s="27">
        <v>5000000</v>
      </c>
    </row>
    <row r="1444" spans="1:11" ht="15" customHeight="1" x14ac:dyDescent="0.2">
      <c r="A1444" t="s">
        <v>9280</v>
      </c>
      <c r="B1444" t="s">
        <v>9281</v>
      </c>
      <c r="C1444">
        <v>2024</v>
      </c>
      <c r="D1444" s="18">
        <v>45411</v>
      </c>
      <c r="E1444" s="18">
        <v>45775</v>
      </c>
      <c r="F1444" s="18" t="s">
        <v>611</v>
      </c>
      <c r="G1444" t="s">
        <v>102</v>
      </c>
      <c r="H1444">
        <v>1</v>
      </c>
      <c r="I1444">
        <v>2</v>
      </c>
      <c r="J1444" s="27">
        <v>45730.36</v>
      </c>
      <c r="K1444" s="27">
        <v>5000000</v>
      </c>
    </row>
    <row r="1445" spans="1:11" ht="15" customHeight="1" x14ac:dyDescent="0.2">
      <c r="A1445" t="s">
        <v>9282</v>
      </c>
      <c r="B1445" t="s">
        <v>9283</v>
      </c>
      <c r="C1445">
        <v>2024</v>
      </c>
      <c r="D1445" s="18">
        <v>45411</v>
      </c>
      <c r="E1445" s="18">
        <v>45775</v>
      </c>
      <c r="F1445" s="18" t="s">
        <v>611</v>
      </c>
      <c r="G1445" t="s">
        <v>101</v>
      </c>
      <c r="H1445">
        <v>1</v>
      </c>
      <c r="I1445">
        <v>1</v>
      </c>
      <c r="J1445" s="27">
        <v>88471.33</v>
      </c>
      <c r="K1445" s="27">
        <v>5000000</v>
      </c>
    </row>
    <row r="1446" spans="1:11" ht="15" customHeight="1" x14ac:dyDescent="0.2">
      <c r="A1446" t="s">
        <v>9284</v>
      </c>
      <c r="B1446" t="s">
        <v>9285</v>
      </c>
      <c r="C1446">
        <v>2024</v>
      </c>
      <c r="D1446" s="18">
        <v>45412</v>
      </c>
      <c r="E1446" s="18">
        <v>45776</v>
      </c>
      <c r="F1446" s="18" t="s">
        <v>611</v>
      </c>
      <c r="G1446" t="s">
        <v>100</v>
      </c>
      <c r="H1446">
        <v>1</v>
      </c>
      <c r="I1446">
        <v>1</v>
      </c>
      <c r="J1446" s="27">
        <v>14059.53</v>
      </c>
      <c r="K1446" s="27">
        <v>1000000</v>
      </c>
    </row>
    <row r="1447" spans="1:11" ht="15" customHeight="1" x14ac:dyDescent="0.2">
      <c r="A1447" t="s">
        <v>9286</v>
      </c>
      <c r="B1447" t="s">
        <v>9287</v>
      </c>
      <c r="C1447">
        <v>2024</v>
      </c>
      <c r="D1447" s="18">
        <v>45412</v>
      </c>
      <c r="E1447" s="18">
        <v>45776</v>
      </c>
      <c r="F1447" s="18" t="s">
        <v>611</v>
      </c>
      <c r="G1447" t="s">
        <v>101</v>
      </c>
      <c r="H1447">
        <v>2</v>
      </c>
      <c r="I1447">
        <v>4</v>
      </c>
      <c r="J1447" s="27">
        <v>79800.91</v>
      </c>
      <c r="K1447" s="27">
        <v>5000000</v>
      </c>
    </row>
    <row r="1448" spans="1:11" ht="15" customHeight="1" x14ac:dyDescent="0.2">
      <c r="A1448" t="s">
        <v>9288</v>
      </c>
      <c r="B1448" t="s">
        <v>9289</v>
      </c>
      <c r="C1448">
        <v>2024</v>
      </c>
      <c r="D1448" s="18">
        <v>45413</v>
      </c>
      <c r="E1448" s="18">
        <v>45777</v>
      </c>
      <c r="F1448" s="18" t="s">
        <v>608</v>
      </c>
      <c r="G1448" t="s">
        <v>100</v>
      </c>
      <c r="H1448">
        <v>3</v>
      </c>
      <c r="I1448">
        <v>3</v>
      </c>
      <c r="J1448" s="27">
        <v>13321.23</v>
      </c>
      <c r="K1448" s="27">
        <v>1000000</v>
      </c>
    </row>
    <row r="1449" spans="1:11" ht="15" customHeight="1" x14ac:dyDescent="0.2">
      <c r="A1449" t="s">
        <v>9290</v>
      </c>
      <c r="B1449" t="s">
        <v>9291</v>
      </c>
      <c r="C1449">
        <v>2024</v>
      </c>
      <c r="D1449" s="18">
        <v>45413</v>
      </c>
      <c r="E1449" s="18">
        <v>45777</v>
      </c>
      <c r="F1449" s="18" t="s">
        <v>608</v>
      </c>
      <c r="G1449" t="s">
        <v>101</v>
      </c>
      <c r="H1449">
        <v>2</v>
      </c>
      <c r="I1449">
        <v>2</v>
      </c>
      <c r="J1449" s="27">
        <v>23532.49</v>
      </c>
      <c r="K1449" s="27">
        <v>1500000</v>
      </c>
    </row>
    <row r="1450" spans="1:11" ht="15" customHeight="1" x14ac:dyDescent="0.2">
      <c r="A1450" t="s">
        <v>9292</v>
      </c>
      <c r="B1450" t="s">
        <v>9293</v>
      </c>
      <c r="C1450">
        <v>2024</v>
      </c>
      <c r="D1450" s="18">
        <v>45413</v>
      </c>
      <c r="E1450" s="18">
        <v>45777</v>
      </c>
      <c r="F1450" s="18" t="s">
        <v>611</v>
      </c>
      <c r="G1450" t="s">
        <v>100</v>
      </c>
      <c r="H1450">
        <v>1</v>
      </c>
      <c r="I1450">
        <v>1</v>
      </c>
      <c r="J1450" s="27">
        <v>6529.37</v>
      </c>
      <c r="K1450" s="27">
        <v>500000</v>
      </c>
    </row>
    <row r="1451" spans="1:11" ht="15" customHeight="1" x14ac:dyDescent="0.2">
      <c r="A1451" t="s">
        <v>9294</v>
      </c>
      <c r="B1451" t="s">
        <v>9295</v>
      </c>
      <c r="C1451">
        <v>2024</v>
      </c>
      <c r="D1451" s="18">
        <v>45413</v>
      </c>
      <c r="E1451" s="18">
        <v>45777</v>
      </c>
      <c r="F1451" s="18" t="s">
        <v>611</v>
      </c>
      <c r="G1451" t="s">
        <v>100</v>
      </c>
      <c r="H1451">
        <v>1</v>
      </c>
      <c r="I1451">
        <v>1</v>
      </c>
      <c r="J1451" s="27">
        <v>6510.42</v>
      </c>
      <c r="K1451" s="27">
        <v>500000</v>
      </c>
    </row>
    <row r="1452" spans="1:11" ht="15" customHeight="1" x14ac:dyDescent="0.2">
      <c r="A1452" t="s">
        <v>9296</v>
      </c>
      <c r="B1452" t="s">
        <v>9297</v>
      </c>
      <c r="C1452">
        <v>2024</v>
      </c>
      <c r="D1452" s="18">
        <v>45413</v>
      </c>
      <c r="E1452" s="18">
        <v>45777</v>
      </c>
      <c r="F1452" s="18" t="s">
        <v>611</v>
      </c>
      <c r="G1452" t="s">
        <v>99</v>
      </c>
      <c r="H1452">
        <v>1</v>
      </c>
      <c r="I1452">
        <v>1</v>
      </c>
      <c r="J1452" s="27">
        <v>13437.81</v>
      </c>
      <c r="K1452" s="27">
        <v>1500000</v>
      </c>
    </row>
    <row r="1453" spans="1:11" ht="15" customHeight="1" x14ac:dyDescent="0.2">
      <c r="A1453" t="s">
        <v>9298</v>
      </c>
      <c r="B1453" t="s">
        <v>9299</v>
      </c>
      <c r="C1453">
        <v>2024</v>
      </c>
      <c r="D1453" s="18">
        <v>45413</v>
      </c>
      <c r="E1453" s="18">
        <v>45777</v>
      </c>
      <c r="F1453" s="18" t="s">
        <v>611</v>
      </c>
      <c r="G1453" t="s">
        <v>101</v>
      </c>
      <c r="H1453">
        <v>2</v>
      </c>
      <c r="I1453">
        <v>4</v>
      </c>
      <c r="J1453" s="27">
        <v>47067.48</v>
      </c>
      <c r="K1453" s="27">
        <v>2500000</v>
      </c>
    </row>
    <row r="1454" spans="1:11" ht="15" customHeight="1" x14ac:dyDescent="0.2">
      <c r="A1454" t="s">
        <v>9300</v>
      </c>
      <c r="B1454" t="s">
        <v>9301</v>
      </c>
      <c r="C1454">
        <v>2024</v>
      </c>
      <c r="D1454" s="18">
        <v>45413</v>
      </c>
      <c r="E1454" s="18">
        <v>45777</v>
      </c>
      <c r="F1454" s="18" t="s">
        <v>611</v>
      </c>
      <c r="G1454" t="s">
        <v>100</v>
      </c>
      <c r="H1454">
        <v>3</v>
      </c>
      <c r="I1454">
        <v>3</v>
      </c>
      <c r="J1454" s="27">
        <v>24380.76</v>
      </c>
      <c r="K1454" s="27">
        <v>2000000</v>
      </c>
    </row>
    <row r="1455" spans="1:11" ht="15" customHeight="1" x14ac:dyDescent="0.2">
      <c r="A1455" t="s">
        <v>9302</v>
      </c>
      <c r="B1455" t="s">
        <v>9303</v>
      </c>
      <c r="C1455">
        <v>2024</v>
      </c>
      <c r="D1455" s="18">
        <v>45413</v>
      </c>
      <c r="E1455" s="18">
        <v>45777</v>
      </c>
      <c r="F1455" s="18" t="s">
        <v>611</v>
      </c>
      <c r="G1455" t="s">
        <v>99</v>
      </c>
      <c r="H1455">
        <v>1</v>
      </c>
      <c r="I1455">
        <v>2</v>
      </c>
      <c r="J1455" s="27">
        <v>33207.589999999997</v>
      </c>
      <c r="K1455" s="27">
        <v>4000000</v>
      </c>
    </row>
    <row r="1456" spans="1:11" ht="15" customHeight="1" x14ac:dyDescent="0.2">
      <c r="A1456" t="s">
        <v>9304</v>
      </c>
      <c r="B1456" t="s">
        <v>9305</v>
      </c>
      <c r="C1456">
        <v>2024</v>
      </c>
      <c r="D1456" s="18">
        <v>45414</v>
      </c>
      <c r="E1456" s="18">
        <v>45778</v>
      </c>
      <c r="F1456" s="18" t="s">
        <v>608</v>
      </c>
      <c r="G1456" t="s">
        <v>99</v>
      </c>
      <c r="H1456">
        <v>1</v>
      </c>
      <c r="I1456">
        <v>2</v>
      </c>
      <c r="J1456" s="27">
        <v>8085.12</v>
      </c>
      <c r="K1456" s="27">
        <v>1000000</v>
      </c>
    </row>
    <row r="1457" spans="1:11" ht="15" customHeight="1" x14ac:dyDescent="0.2">
      <c r="A1457" t="s">
        <v>9306</v>
      </c>
      <c r="B1457" t="s">
        <v>9307</v>
      </c>
      <c r="C1457">
        <v>2024</v>
      </c>
      <c r="D1457" s="18">
        <v>45414</v>
      </c>
      <c r="E1457" s="18">
        <v>45778</v>
      </c>
      <c r="F1457" s="18" t="s">
        <v>611</v>
      </c>
      <c r="G1457" t="s">
        <v>99</v>
      </c>
      <c r="H1457">
        <v>1</v>
      </c>
      <c r="I1457">
        <v>1</v>
      </c>
      <c r="J1457" s="27">
        <v>14919.2</v>
      </c>
      <c r="K1457" s="27">
        <v>2000000</v>
      </c>
    </row>
    <row r="1458" spans="1:11" ht="15" customHeight="1" x14ac:dyDescent="0.2">
      <c r="A1458" t="s">
        <v>9308</v>
      </c>
      <c r="B1458" t="s">
        <v>9309</v>
      </c>
      <c r="C1458">
        <v>2024</v>
      </c>
      <c r="D1458" s="18">
        <v>45414</v>
      </c>
      <c r="E1458" s="18">
        <v>45778</v>
      </c>
      <c r="F1458" s="18" t="s">
        <v>611</v>
      </c>
      <c r="G1458" t="s">
        <v>100</v>
      </c>
      <c r="H1458">
        <v>2</v>
      </c>
      <c r="I1458">
        <v>2</v>
      </c>
      <c r="J1458" s="27">
        <v>24748.959999999999</v>
      </c>
      <c r="K1458" s="27">
        <v>2000000</v>
      </c>
    </row>
    <row r="1459" spans="1:11" ht="15" customHeight="1" x14ac:dyDescent="0.2">
      <c r="A1459" t="s">
        <v>9310</v>
      </c>
      <c r="B1459" t="s">
        <v>9311</v>
      </c>
      <c r="C1459">
        <v>2024</v>
      </c>
      <c r="D1459" s="18">
        <v>45414</v>
      </c>
      <c r="E1459" s="18">
        <v>45778</v>
      </c>
      <c r="F1459" s="18" t="s">
        <v>611</v>
      </c>
      <c r="G1459" t="s">
        <v>99</v>
      </c>
      <c r="H1459">
        <v>3</v>
      </c>
      <c r="I1459">
        <v>6</v>
      </c>
      <c r="J1459" s="27">
        <v>30338.74</v>
      </c>
      <c r="K1459" s="27">
        <v>4000000</v>
      </c>
    </row>
    <row r="1460" spans="1:11" ht="15" customHeight="1" x14ac:dyDescent="0.2">
      <c r="A1460" t="s">
        <v>9312</v>
      </c>
      <c r="B1460" t="s">
        <v>9313</v>
      </c>
      <c r="C1460">
        <v>2024</v>
      </c>
      <c r="D1460" s="18">
        <v>45414</v>
      </c>
      <c r="E1460" s="18">
        <v>45778</v>
      </c>
      <c r="F1460" s="18" t="s">
        <v>611</v>
      </c>
      <c r="G1460" t="s">
        <v>100</v>
      </c>
      <c r="H1460">
        <v>3</v>
      </c>
      <c r="I1460">
        <v>3</v>
      </c>
      <c r="J1460" s="27">
        <v>135339.38</v>
      </c>
      <c r="K1460" s="27">
        <v>10000000</v>
      </c>
    </row>
    <row r="1461" spans="1:11" ht="15" customHeight="1" x14ac:dyDescent="0.2">
      <c r="A1461" t="s">
        <v>9314</v>
      </c>
      <c r="B1461" t="s">
        <v>9315</v>
      </c>
      <c r="C1461">
        <v>2024</v>
      </c>
      <c r="D1461" s="18">
        <v>45415</v>
      </c>
      <c r="E1461" s="18">
        <v>45779</v>
      </c>
      <c r="F1461" s="18" t="s">
        <v>608</v>
      </c>
      <c r="G1461" t="s">
        <v>100</v>
      </c>
      <c r="H1461">
        <v>2</v>
      </c>
      <c r="I1461">
        <v>2</v>
      </c>
      <c r="J1461" s="27">
        <v>26582.54</v>
      </c>
      <c r="K1461" s="27">
        <v>2000000</v>
      </c>
    </row>
    <row r="1462" spans="1:11" ht="15" customHeight="1" x14ac:dyDescent="0.2">
      <c r="A1462" t="s">
        <v>9316</v>
      </c>
      <c r="B1462" t="s">
        <v>9317</v>
      </c>
      <c r="C1462">
        <v>2024</v>
      </c>
      <c r="D1462" s="18">
        <v>45415</v>
      </c>
      <c r="E1462" s="18">
        <v>45779</v>
      </c>
      <c r="F1462" s="18" t="s">
        <v>611</v>
      </c>
      <c r="G1462" t="s">
        <v>100</v>
      </c>
      <c r="H1462">
        <v>2</v>
      </c>
      <c r="I1462">
        <v>4</v>
      </c>
      <c r="J1462" s="27">
        <v>24969.96</v>
      </c>
      <c r="K1462" s="27">
        <v>2000000</v>
      </c>
    </row>
    <row r="1463" spans="1:11" ht="15" customHeight="1" x14ac:dyDescent="0.2">
      <c r="A1463" t="s">
        <v>9318</v>
      </c>
      <c r="B1463" t="s">
        <v>9319</v>
      </c>
      <c r="C1463">
        <v>2024</v>
      </c>
      <c r="D1463" s="18">
        <v>45415</v>
      </c>
      <c r="E1463" s="18">
        <v>45779</v>
      </c>
      <c r="F1463" s="18" t="s">
        <v>611</v>
      </c>
      <c r="G1463" t="s">
        <v>100</v>
      </c>
      <c r="H1463">
        <v>2</v>
      </c>
      <c r="I1463">
        <v>2</v>
      </c>
      <c r="J1463" s="27">
        <v>56336.93</v>
      </c>
      <c r="K1463" s="27">
        <v>4500000</v>
      </c>
    </row>
    <row r="1464" spans="1:11" ht="15" customHeight="1" x14ac:dyDescent="0.2">
      <c r="A1464" t="s">
        <v>9320</v>
      </c>
      <c r="B1464" t="s">
        <v>9321</v>
      </c>
      <c r="C1464">
        <v>2024</v>
      </c>
      <c r="D1464" s="18">
        <v>45415</v>
      </c>
      <c r="E1464" s="18">
        <v>45779</v>
      </c>
      <c r="F1464" s="18" t="s">
        <v>611</v>
      </c>
      <c r="G1464" t="s">
        <v>102</v>
      </c>
      <c r="H1464">
        <v>3</v>
      </c>
      <c r="I1464">
        <v>3</v>
      </c>
      <c r="J1464" s="27">
        <v>13526.91</v>
      </c>
      <c r="K1464" s="27">
        <v>1500000</v>
      </c>
    </row>
    <row r="1465" spans="1:11" ht="15" customHeight="1" x14ac:dyDescent="0.2">
      <c r="A1465" t="s">
        <v>9322</v>
      </c>
      <c r="B1465" t="s">
        <v>9323</v>
      </c>
      <c r="C1465">
        <v>2024</v>
      </c>
      <c r="D1465" s="18">
        <v>45416</v>
      </c>
      <c r="E1465" s="18">
        <v>45780</v>
      </c>
      <c r="F1465" s="18" t="s">
        <v>608</v>
      </c>
      <c r="G1465" t="s">
        <v>99</v>
      </c>
      <c r="H1465">
        <v>1</v>
      </c>
      <c r="I1465">
        <v>1</v>
      </c>
      <c r="J1465" s="27">
        <v>12999.73</v>
      </c>
      <c r="K1465" s="27">
        <v>1500000</v>
      </c>
    </row>
    <row r="1466" spans="1:11" ht="15" customHeight="1" x14ac:dyDescent="0.2">
      <c r="A1466" t="s">
        <v>9324</v>
      </c>
      <c r="B1466" t="s">
        <v>9325</v>
      </c>
      <c r="C1466">
        <v>2024</v>
      </c>
      <c r="D1466" s="18">
        <v>45416</v>
      </c>
      <c r="E1466" s="18">
        <v>45780</v>
      </c>
      <c r="F1466" s="18" t="s">
        <v>611</v>
      </c>
      <c r="G1466" t="s">
        <v>99</v>
      </c>
      <c r="H1466">
        <v>2</v>
      </c>
      <c r="I1466">
        <v>2</v>
      </c>
      <c r="J1466" s="27">
        <v>30118.02</v>
      </c>
      <c r="K1466" s="27">
        <v>3500000</v>
      </c>
    </row>
    <row r="1467" spans="1:11" ht="15" customHeight="1" x14ac:dyDescent="0.2">
      <c r="A1467" t="s">
        <v>9326</v>
      </c>
      <c r="B1467" t="s">
        <v>9327</v>
      </c>
      <c r="C1467">
        <v>2024</v>
      </c>
      <c r="D1467" s="18">
        <v>45416</v>
      </c>
      <c r="E1467" s="18">
        <v>45780</v>
      </c>
      <c r="F1467" s="18" t="s">
        <v>611</v>
      </c>
      <c r="G1467" t="s">
        <v>100</v>
      </c>
      <c r="H1467">
        <v>3</v>
      </c>
      <c r="I1467">
        <v>6</v>
      </c>
      <c r="J1467" s="27">
        <v>19527.099999999999</v>
      </c>
      <c r="K1467" s="27">
        <v>1500000</v>
      </c>
    </row>
    <row r="1468" spans="1:11" ht="15" customHeight="1" x14ac:dyDescent="0.2">
      <c r="A1468" t="s">
        <v>9328</v>
      </c>
      <c r="B1468" t="s">
        <v>9329</v>
      </c>
      <c r="C1468">
        <v>2024</v>
      </c>
      <c r="D1468" s="18">
        <v>45417</v>
      </c>
      <c r="E1468" s="18">
        <v>45781</v>
      </c>
      <c r="F1468" s="18" t="s">
        <v>608</v>
      </c>
      <c r="G1468" t="s">
        <v>101</v>
      </c>
      <c r="H1468">
        <v>1</v>
      </c>
      <c r="I1468">
        <v>1</v>
      </c>
      <c r="J1468" s="27">
        <v>187772.92</v>
      </c>
      <c r="K1468" s="27">
        <v>10000000</v>
      </c>
    </row>
    <row r="1469" spans="1:11" ht="15" customHeight="1" x14ac:dyDescent="0.2">
      <c r="A1469" t="s">
        <v>9330</v>
      </c>
      <c r="B1469" t="s">
        <v>9331</v>
      </c>
      <c r="C1469">
        <v>2024</v>
      </c>
      <c r="D1469" s="18">
        <v>45417</v>
      </c>
      <c r="E1469" s="18">
        <v>45781</v>
      </c>
      <c r="F1469" s="18" t="s">
        <v>611</v>
      </c>
      <c r="G1469" t="s">
        <v>99</v>
      </c>
      <c r="H1469">
        <v>2</v>
      </c>
      <c r="I1469">
        <v>2</v>
      </c>
      <c r="J1469" s="27">
        <v>40013.699999999997</v>
      </c>
      <c r="K1469" s="27">
        <v>4500000</v>
      </c>
    </row>
    <row r="1470" spans="1:11" ht="15" customHeight="1" x14ac:dyDescent="0.2">
      <c r="A1470" t="s">
        <v>9332</v>
      </c>
      <c r="B1470" t="s">
        <v>9333</v>
      </c>
      <c r="C1470">
        <v>2024</v>
      </c>
      <c r="D1470" s="18">
        <v>45417</v>
      </c>
      <c r="E1470" s="18">
        <v>45781</v>
      </c>
      <c r="F1470" s="18" t="s">
        <v>611</v>
      </c>
      <c r="G1470" t="s">
        <v>100</v>
      </c>
      <c r="H1470">
        <v>1</v>
      </c>
      <c r="I1470">
        <v>2</v>
      </c>
      <c r="J1470" s="27">
        <v>27815.48</v>
      </c>
      <c r="K1470" s="27">
        <v>2000000</v>
      </c>
    </row>
    <row r="1471" spans="1:11" ht="15" customHeight="1" x14ac:dyDescent="0.2">
      <c r="A1471" t="s">
        <v>9334</v>
      </c>
      <c r="B1471" t="s">
        <v>9335</v>
      </c>
      <c r="C1471">
        <v>2024</v>
      </c>
      <c r="D1471" s="18">
        <v>45417</v>
      </c>
      <c r="E1471" s="18">
        <v>45781</v>
      </c>
      <c r="F1471" s="18" t="s">
        <v>611</v>
      </c>
      <c r="G1471" t="s">
        <v>100</v>
      </c>
      <c r="H1471">
        <v>1</v>
      </c>
      <c r="I1471">
        <v>1</v>
      </c>
      <c r="J1471" s="27">
        <v>128703.89</v>
      </c>
      <c r="K1471" s="27">
        <v>10000000</v>
      </c>
    </row>
    <row r="1472" spans="1:11" ht="15" customHeight="1" x14ac:dyDescent="0.2">
      <c r="A1472" t="s">
        <v>9336</v>
      </c>
      <c r="B1472" t="s">
        <v>9337</v>
      </c>
      <c r="C1472">
        <v>2024</v>
      </c>
      <c r="D1472" s="18">
        <v>45417</v>
      </c>
      <c r="E1472" s="18">
        <v>45781</v>
      </c>
      <c r="F1472" s="18" t="s">
        <v>611</v>
      </c>
      <c r="G1472" t="s">
        <v>99</v>
      </c>
      <c r="H1472">
        <v>1</v>
      </c>
      <c r="I1472">
        <v>1</v>
      </c>
      <c r="J1472" s="27">
        <v>4127.04</v>
      </c>
      <c r="K1472" s="27">
        <v>500000</v>
      </c>
    </row>
    <row r="1473" spans="1:11" ht="15" customHeight="1" x14ac:dyDescent="0.2">
      <c r="A1473" t="s">
        <v>9338</v>
      </c>
      <c r="B1473" t="s">
        <v>9339</v>
      </c>
      <c r="C1473">
        <v>2024</v>
      </c>
      <c r="D1473" s="18">
        <v>45417</v>
      </c>
      <c r="E1473" s="18">
        <v>45781</v>
      </c>
      <c r="F1473" s="18" t="s">
        <v>611</v>
      </c>
      <c r="G1473" t="s">
        <v>100</v>
      </c>
      <c r="H1473">
        <v>1</v>
      </c>
      <c r="I1473">
        <v>1</v>
      </c>
      <c r="J1473" s="27">
        <v>27658.17</v>
      </c>
      <c r="K1473" s="27">
        <v>2000000</v>
      </c>
    </row>
    <row r="1474" spans="1:11" ht="15" customHeight="1" x14ac:dyDescent="0.2">
      <c r="A1474" t="s">
        <v>9340</v>
      </c>
      <c r="B1474" t="s">
        <v>9341</v>
      </c>
      <c r="C1474">
        <v>2024</v>
      </c>
      <c r="D1474" s="18">
        <v>45417</v>
      </c>
      <c r="E1474" s="18">
        <v>45781</v>
      </c>
      <c r="F1474" s="18" t="s">
        <v>611</v>
      </c>
      <c r="G1474" t="s">
        <v>100</v>
      </c>
      <c r="H1474">
        <v>1</v>
      </c>
      <c r="I1474">
        <v>1</v>
      </c>
      <c r="J1474" s="27">
        <v>25430.22</v>
      </c>
      <c r="K1474" s="27">
        <v>2000000</v>
      </c>
    </row>
    <row r="1475" spans="1:11" ht="15" customHeight="1" x14ac:dyDescent="0.2">
      <c r="A1475" t="s">
        <v>9342</v>
      </c>
      <c r="B1475" t="s">
        <v>9343</v>
      </c>
      <c r="C1475">
        <v>2024</v>
      </c>
      <c r="D1475" s="18">
        <v>45418</v>
      </c>
      <c r="E1475" s="18">
        <v>45782</v>
      </c>
      <c r="F1475" s="18" t="s">
        <v>608</v>
      </c>
      <c r="G1475" t="s">
        <v>101</v>
      </c>
      <c r="H1475">
        <v>1</v>
      </c>
      <c r="I1475">
        <v>2</v>
      </c>
      <c r="J1475" s="27">
        <v>67745.38</v>
      </c>
      <c r="K1475" s="27">
        <v>4000000</v>
      </c>
    </row>
    <row r="1476" spans="1:11" ht="15" customHeight="1" x14ac:dyDescent="0.2">
      <c r="A1476" t="s">
        <v>9344</v>
      </c>
      <c r="B1476" t="s">
        <v>9345</v>
      </c>
      <c r="C1476">
        <v>2024</v>
      </c>
      <c r="D1476" s="18">
        <v>45418</v>
      </c>
      <c r="E1476" s="18">
        <v>45782</v>
      </c>
      <c r="F1476" s="18" t="s">
        <v>608</v>
      </c>
      <c r="G1476" t="s">
        <v>100</v>
      </c>
      <c r="H1476">
        <v>1</v>
      </c>
      <c r="I1476">
        <v>2</v>
      </c>
      <c r="J1476" s="27">
        <v>26608.16</v>
      </c>
      <c r="K1476" s="27">
        <v>2000000</v>
      </c>
    </row>
    <row r="1477" spans="1:11" ht="15" customHeight="1" x14ac:dyDescent="0.2">
      <c r="A1477" t="s">
        <v>9346</v>
      </c>
      <c r="B1477" t="s">
        <v>9347</v>
      </c>
      <c r="C1477">
        <v>2024</v>
      </c>
      <c r="D1477" s="18">
        <v>45418</v>
      </c>
      <c r="E1477" s="18">
        <v>45782</v>
      </c>
      <c r="F1477" s="18" t="s">
        <v>611</v>
      </c>
      <c r="G1477" t="s">
        <v>99</v>
      </c>
      <c r="H1477">
        <v>1</v>
      </c>
      <c r="I1477">
        <v>2</v>
      </c>
      <c r="J1477" s="27">
        <v>78749.789999999994</v>
      </c>
      <c r="K1477" s="27">
        <v>10000000</v>
      </c>
    </row>
    <row r="1478" spans="1:11" ht="15" customHeight="1" x14ac:dyDescent="0.2">
      <c r="A1478" t="s">
        <v>9348</v>
      </c>
      <c r="B1478" t="s">
        <v>9349</v>
      </c>
      <c r="C1478">
        <v>2024</v>
      </c>
      <c r="D1478" s="18">
        <v>45418</v>
      </c>
      <c r="E1478" s="18">
        <v>45782</v>
      </c>
      <c r="F1478" s="18" t="s">
        <v>611</v>
      </c>
      <c r="G1478" t="s">
        <v>101</v>
      </c>
      <c r="H1478">
        <v>1</v>
      </c>
      <c r="I1478">
        <v>1</v>
      </c>
      <c r="J1478" s="27">
        <v>87016.92</v>
      </c>
      <c r="K1478" s="27">
        <v>5000000</v>
      </c>
    </row>
    <row r="1479" spans="1:11" ht="15" customHeight="1" x14ac:dyDescent="0.2">
      <c r="A1479" t="s">
        <v>9350</v>
      </c>
      <c r="B1479" t="s">
        <v>9351</v>
      </c>
      <c r="C1479">
        <v>2024</v>
      </c>
      <c r="D1479" s="18">
        <v>45418</v>
      </c>
      <c r="E1479" s="18">
        <v>45782</v>
      </c>
      <c r="F1479" s="18" t="s">
        <v>611</v>
      </c>
      <c r="G1479" t="s">
        <v>101</v>
      </c>
      <c r="H1479">
        <v>2</v>
      </c>
      <c r="I1479">
        <v>2</v>
      </c>
      <c r="J1479" s="27">
        <v>17815.740000000002</v>
      </c>
      <c r="K1479" s="27">
        <v>1000000</v>
      </c>
    </row>
    <row r="1480" spans="1:11" ht="15" customHeight="1" x14ac:dyDescent="0.2">
      <c r="A1480" t="s">
        <v>9352</v>
      </c>
      <c r="B1480" t="s">
        <v>9353</v>
      </c>
      <c r="C1480">
        <v>2024</v>
      </c>
      <c r="D1480" s="18">
        <v>45418</v>
      </c>
      <c r="E1480" s="18">
        <v>45782</v>
      </c>
      <c r="F1480" s="18" t="s">
        <v>611</v>
      </c>
      <c r="G1480" t="s">
        <v>102</v>
      </c>
      <c r="H1480">
        <v>1</v>
      </c>
      <c r="I1480">
        <v>1</v>
      </c>
      <c r="J1480" s="27">
        <v>33167.29</v>
      </c>
      <c r="K1480" s="27">
        <v>4000000</v>
      </c>
    </row>
    <row r="1481" spans="1:11" ht="15" customHeight="1" x14ac:dyDescent="0.2">
      <c r="A1481" t="s">
        <v>9354</v>
      </c>
      <c r="B1481" t="s">
        <v>9355</v>
      </c>
      <c r="C1481">
        <v>2024</v>
      </c>
      <c r="D1481" s="18">
        <v>45418</v>
      </c>
      <c r="E1481" s="18">
        <v>45782</v>
      </c>
      <c r="F1481" s="18" t="s">
        <v>611</v>
      </c>
      <c r="G1481" t="s">
        <v>99</v>
      </c>
      <c r="H1481">
        <v>3</v>
      </c>
      <c r="I1481">
        <v>3</v>
      </c>
      <c r="J1481" s="27">
        <v>16907.93</v>
      </c>
      <c r="K1481" s="27">
        <v>2000000</v>
      </c>
    </row>
    <row r="1482" spans="1:11" ht="15" customHeight="1" x14ac:dyDescent="0.2">
      <c r="A1482" t="s">
        <v>9356</v>
      </c>
      <c r="B1482" t="s">
        <v>9357</v>
      </c>
      <c r="C1482">
        <v>2024</v>
      </c>
      <c r="D1482" s="18">
        <v>45418</v>
      </c>
      <c r="E1482" s="18">
        <v>45782</v>
      </c>
      <c r="F1482" s="18" t="s">
        <v>611</v>
      </c>
      <c r="G1482" t="s">
        <v>99</v>
      </c>
      <c r="H1482">
        <v>3</v>
      </c>
      <c r="I1482">
        <v>6</v>
      </c>
      <c r="J1482" s="27">
        <v>26164.69</v>
      </c>
      <c r="K1482" s="27">
        <v>3500000</v>
      </c>
    </row>
    <row r="1483" spans="1:11" ht="15" customHeight="1" x14ac:dyDescent="0.2">
      <c r="A1483" t="s">
        <v>9358</v>
      </c>
      <c r="B1483" t="s">
        <v>9359</v>
      </c>
      <c r="C1483">
        <v>2024</v>
      </c>
      <c r="D1483" s="18">
        <v>45419</v>
      </c>
      <c r="E1483" s="18">
        <v>45783</v>
      </c>
      <c r="F1483" s="18" t="s">
        <v>608</v>
      </c>
      <c r="G1483" t="s">
        <v>100</v>
      </c>
      <c r="H1483">
        <v>1</v>
      </c>
      <c r="I1483">
        <v>2</v>
      </c>
      <c r="J1483" s="27">
        <v>64815.86</v>
      </c>
      <c r="K1483" s="27">
        <v>5000000</v>
      </c>
    </row>
    <row r="1484" spans="1:11" ht="15" customHeight="1" x14ac:dyDescent="0.2">
      <c r="A1484" t="s">
        <v>9360</v>
      </c>
      <c r="B1484" t="s">
        <v>9361</v>
      </c>
      <c r="C1484">
        <v>2024</v>
      </c>
      <c r="D1484" s="18">
        <v>45419</v>
      </c>
      <c r="E1484" s="18">
        <v>45783</v>
      </c>
      <c r="F1484" s="18" t="s">
        <v>608</v>
      </c>
      <c r="G1484" t="s">
        <v>100</v>
      </c>
      <c r="H1484">
        <v>2</v>
      </c>
      <c r="I1484">
        <v>2</v>
      </c>
      <c r="J1484" s="27">
        <v>47116.73</v>
      </c>
      <c r="K1484" s="27">
        <v>4000000</v>
      </c>
    </row>
    <row r="1485" spans="1:11" ht="15" customHeight="1" x14ac:dyDescent="0.2">
      <c r="A1485" t="s">
        <v>9362</v>
      </c>
      <c r="B1485" t="s">
        <v>9363</v>
      </c>
      <c r="C1485">
        <v>2024</v>
      </c>
      <c r="D1485" s="18">
        <v>45419</v>
      </c>
      <c r="E1485" s="18">
        <v>45783</v>
      </c>
      <c r="F1485" s="18" t="s">
        <v>611</v>
      </c>
      <c r="G1485" t="s">
        <v>100</v>
      </c>
      <c r="H1485">
        <v>1</v>
      </c>
      <c r="I1485">
        <v>1</v>
      </c>
      <c r="J1485" s="27">
        <v>19823.39</v>
      </c>
      <c r="K1485" s="27">
        <v>1500000</v>
      </c>
    </row>
    <row r="1486" spans="1:11" ht="15" customHeight="1" x14ac:dyDescent="0.2">
      <c r="A1486" t="s">
        <v>9364</v>
      </c>
      <c r="B1486" t="s">
        <v>9365</v>
      </c>
      <c r="C1486">
        <v>2024</v>
      </c>
      <c r="D1486" s="18">
        <v>45419</v>
      </c>
      <c r="E1486" s="18">
        <v>45783</v>
      </c>
      <c r="F1486" s="18" t="s">
        <v>611</v>
      </c>
      <c r="G1486" t="s">
        <v>101</v>
      </c>
      <c r="H1486">
        <v>1</v>
      </c>
      <c r="I1486">
        <v>2</v>
      </c>
      <c r="J1486" s="27">
        <v>182477.12</v>
      </c>
      <c r="K1486" s="27">
        <v>10000000</v>
      </c>
    </row>
    <row r="1487" spans="1:11" ht="15" customHeight="1" x14ac:dyDescent="0.2">
      <c r="A1487" t="s">
        <v>9366</v>
      </c>
      <c r="B1487" t="s">
        <v>9367</v>
      </c>
      <c r="C1487">
        <v>2024</v>
      </c>
      <c r="D1487" s="18">
        <v>45419</v>
      </c>
      <c r="E1487" s="18">
        <v>45783</v>
      </c>
      <c r="F1487" s="18" t="s">
        <v>611</v>
      </c>
      <c r="G1487" t="s">
        <v>100</v>
      </c>
      <c r="H1487">
        <v>3</v>
      </c>
      <c r="I1487">
        <v>6</v>
      </c>
      <c r="J1487" s="27">
        <v>54740.31</v>
      </c>
      <c r="K1487" s="27">
        <v>4000000</v>
      </c>
    </row>
    <row r="1488" spans="1:11" ht="15" customHeight="1" x14ac:dyDescent="0.2">
      <c r="A1488" t="s">
        <v>9368</v>
      </c>
      <c r="B1488" t="s">
        <v>9369</v>
      </c>
      <c r="C1488">
        <v>2024</v>
      </c>
      <c r="D1488" s="18">
        <v>45420</v>
      </c>
      <c r="E1488" s="18">
        <v>45784</v>
      </c>
      <c r="F1488" s="18" t="s">
        <v>608</v>
      </c>
      <c r="G1488" t="s">
        <v>101</v>
      </c>
      <c r="H1488">
        <v>1</v>
      </c>
      <c r="I1488">
        <v>1</v>
      </c>
      <c r="J1488" s="27">
        <v>56921.07</v>
      </c>
      <c r="K1488" s="27">
        <v>3000000</v>
      </c>
    </row>
    <row r="1489" spans="1:11" ht="15" customHeight="1" x14ac:dyDescent="0.2">
      <c r="A1489" t="s">
        <v>9370</v>
      </c>
      <c r="B1489" t="s">
        <v>9371</v>
      </c>
      <c r="C1489">
        <v>2024</v>
      </c>
      <c r="D1489" s="18">
        <v>45420</v>
      </c>
      <c r="E1489" s="18">
        <v>45784</v>
      </c>
      <c r="F1489" s="18" t="s">
        <v>608</v>
      </c>
      <c r="G1489" t="s">
        <v>99</v>
      </c>
      <c r="H1489">
        <v>1</v>
      </c>
      <c r="I1489">
        <v>2</v>
      </c>
      <c r="J1489" s="27">
        <v>86818.59</v>
      </c>
      <c r="K1489" s="27">
        <v>10000000</v>
      </c>
    </row>
    <row r="1490" spans="1:11" ht="15" customHeight="1" x14ac:dyDescent="0.2">
      <c r="A1490" t="s">
        <v>9372</v>
      </c>
      <c r="B1490" t="s">
        <v>9373</v>
      </c>
      <c r="C1490">
        <v>2024</v>
      </c>
      <c r="D1490" s="18">
        <v>45420</v>
      </c>
      <c r="E1490" s="18">
        <v>45784</v>
      </c>
      <c r="F1490" s="18" t="s">
        <v>608</v>
      </c>
      <c r="G1490" t="s">
        <v>100</v>
      </c>
      <c r="H1490">
        <v>1</v>
      </c>
      <c r="I1490">
        <v>1</v>
      </c>
      <c r="J1490" s="27">
        <v>6241.63</v>
      </c>
      <c r="K1490" s="27">
        <v>500000</v>
      </c>
    </row>
    <row r="1491" spans="1:11" ht="15" customHeight="1" x14ac:dyDescent="0.2">
      <c r="A1491" t="s">
        <v>9374</v>
      </c>
      <c r="B1491" t="s">
        <v>9375</v>
      </c>
      <c r="C1491">
        <v>2024</v>
      </c>
      <c r="D1491" s="18">
        <v>45420</v>
      </c>
      <c r="E1491" s="18">
        <v>45784</v>
      </c>
      <c r="F1491" s="18" t="s">
        <v>608</v>
      </c>
      <c r="G1491" t="s">
        <v>100</v>
      </c>
      <c r="H1491">
        <v>1</v>
      </c>
      <c r="I1491">
        <v>1</v>
      </c>
      <c r="J1491" s="27">
        <v>19547.21</v>
      </c>
      <c r="K1491" s="27">
        <v>1500000</v>
      </c>
    </row>
    <row r="1492" spans="1:11" ht="15" customHeight="1" x14ac:dyDescent="0.2">
      <c r="A1492" t="s">
        <v>9376</v>
      </c>
      <c r="B1492" t="s">
        <v>9377</v>
      </c>
      <c r="C1492">
        <v>2024</v>
      </c>
      <c r="D1492" s="18">
        <v>45420</v>
      </c>
      <c r="E1492" s="18">
        <v>45784</v>
      </c>
      <c r="F1492" s="18" t="s">
        <v>611</v>
      </c>
      <c r="G1492" t="s">
        <v>102</v>
      </c>
      <c r="H1492">
        <v>3</v>
      </c>
      <c r="I1492">
        <v>3</v>
      </c>
      <c r="J1492" s="27">
        <v>93876.03</v>
      </c>
      <c r="K1492" s="27">
        <v>10000000</v>
      </c>
    </row>
    <row r="1493" spans="1:11" ht="15" customHeight="1" x14ac:dyDescent="0.2">
      <c r="A1493" t="s">
        <v>9378</v>
      </c>
      <c r="B1493" t="s">
        <v>9379</v>
      </c>
      <c r="C1493">
        <v>2024</v>
      </c>
      <c r="D1493" s="18">
        <v>45420</v>
      </c>
      <c r="E1493" s="18">
        <v>45784</v>
      </c>
      <c r="F1493" s="18" t="s">
        <v>611</v>
      </c>
      <c r="G1493" t="s">
        <v>99</v>
      </c>
      <c r="H1493">
        <v>2</v>
      </c>
      <c r="I1493">
        <v>4</v>
      </c>
      <c r="J1493" s="27">
        <v>44344.97</v>
      </c>
      <c r="K1493" s="27">
        <v>5000000</v>
      </c>
    </row>
    <row r="1494" spans="1:11" ht="15" customHeight="1" x14ac:dyDescent="0.2">
      <c r="A1494" t="s">
        <v>9380</v>
      </c>
      <c r="B1494" t="s">
        <v>9381</v>
      </c>
      <c r="C1494">
        <v>2024</v>
      </c>
      <c r="D1494" s="18">
        <v>45420</v>
      </c>
      <c r="E1494" s="18">
        <v>45784</v>
      </c>
      <c r="F1494" s="18" t="s">
        <v>611</v>
      </c>
      <c r="G1494" t="s">
        <v>99</v>
      </c>
      <c r="H1494">
        <v>2</v>
      </c>
      <c r="I1494">
        <v>4</v>
      </c>
      <c r="J1494" s="27">
        <v>7722.69</v>
      </c>
      <c r="K1494" s="27">
        <v>1000000</v>
      </c>
    </row>
    <row r="1495" spans="1:11" ht="15" customHeight="1" x14ac:dyDescent="0.2">
      <c r="A1495" t="s">
        <v>9382</v>
      </c>
      <c r="B1495" t="s">
        <v>9383</v>
      </c>
      <c r="C1495">
        <v>2024</v>
      </c>
      <c r="D1495" s="18">
        <v>45420</v>
      </c>
      <c r="E1495" s="18">
        <v>45784</v>
      </c>
      <c r="F1495" s="18" t="s">
        <v>611</v>
      </c>
      <c r="G1495" t="s">
        <v>101</v>
      </c>
      <c r="H1495">
        <v>2</v>
      </c>
      <c r="I1495">
        <v>2</v>
      </c>
      <c r="J1495" s="27">
        <v>16702.02</v>
      </c>
      <c r="K1495" s="27">
        <v>1000000</v>
      </c>
    </row>
    <row r="1496" spans="1:11" ht="15" customHeight="1" x14ac:dyDescent="0.2">
      <c r="A1496" t="s">
        <v>9384</v>
      </c>
      <c r="B1496" t="s">
        <v>9385</v>
      </c>
      <c r="C1496">
        <v>2024</v>
      </c>
      <c r="D1496" s="18">
        <v>45420</v>
      </c>
      <c r="E1496" s="18">
        <v>45784</v>
      </c>
      <c r="F1496" s="18" t="s">
        <v>611</v>
      </c>
      <c r="G1496" t="s">
        <v>99</v>
      </c>
      <c r="H1496">
        <v>3</v>
      </c>
      <c r="I1496">
        <v>6</v>
      </c>
      <c r="J1496" s="27">
        <v>29250.39</v>
      </c>
      <c r="K1496" s="27">
        <v>3500000</v>
      </c>
    </row>
    <row r="1497" spans="1:11" ht="15" customHeight="1" x14ac:dyDescent="0.2">
      <c r="A1497" t="s">
        <v>9386</v>
      </c>
      <c r="B1497" t="s">
        <v>9387</v>
      </c>
      <c r="C1497">
        <v>2024</v>
      </c>
      <c r="D1497" s="18">
        <v>45421</v>
      </c>
      <c r="E1497" s="18">
        <v>45785</v>
      </c>
      <c r="F1497" s="18" t="s">
        <v>608</v>
      </c>
      <c r="G1497" t="s">
        <v>101</v>
      </c>
      <c r="H1497">
        <v>2</v>
      </c>
      <c r="I1497">
        <v>4</v>
      </c>
      <c r="J1497" s="27">
        <v>74926.720000000001</v>
      </c>
      <c r="K1497" s="27">
        <v>4500000</v>
      </c>
    </row>
    <row r="1498" spans="1:11" ht="15" customHeight="1" x14ac:dyDescent="0.2">
      <c r="A1498" t="s">
        <v>9388</v>
      </c>
      <c r="B1498" t="s">
        <v>9389</v>
      </c>
      <c r="C1498">
        <v>2024</v>
      </c>
      <c r="D1498" s="18">
        <v>45421</v>
      </c>
      <c r="E1498" s="18">
        <v>45785</v>
      </c>
      <c r="F1498" s="18" t="s">
        <v>611</v>
      </c>
      <c r="G1498" t="s">
        <v>100</v>
      </c>
      <c r="H1498">
        <v>2</v>
      </c>
      <c r="I1498">
        <v>2</v>
      </c>
      <c r="J1498" s="27">
        <v>53273.18</v>
      </c>
      <c r="K1498" s="27">
        <v>4500000</v>
      </c>
    </row>
    <row r="1499" spans="1:11" ht="15" customHeight="1" x14ac:dyDescent="0.2">
      <c r="A1499" t="s">
        <v>9390</v>
      </c>
      <c r="B1499" t="s">
        <v>9391</v>
      </c>
      <c r="C1499">
        <v>2024</v>
      </c>
      <c r="D1499" s="18">
        <v>45421</v>
      </c>
      <c r="E1499" s="18">
        <v>45785</v>
      </c>
      <c r="F1499" s="18" t="s">
        <v>611</v>
      </c>
      <c r="G1499" t="s">
        <v>102</v>
      </c>
      <c r="H1499">
        <v>3</v>
      </c>
      <c r="I1499">
        <v>3</v>
      </c>
      <c r="J1499" s="27">
        <v>7772.09</v>
      </c>
      <c r="K1499" s="27">
        <v>1000000</v>
      </c>
    </row>
    <row r="1500" spans="1:11" ht="15" customHeight="1" x14ac:dyDescent="0.2">
      <c r="A1500" t="s">
        <v>9392</v>
      </c>
      <c r="B1500" t="s">
        <v>9393</v>
      </c>
      <c r="C1500">
        <v>2024</v>
      </c>
      <c r="D1500" s="18">
        <v>45421</v>
      </c>
      <c r="E1500" s="18">
        <v>45785</v>
      </c>
      <c r="F1500" s="18" t="s">
        <v>611</v>
      </c>
      <c r="G1500" t="s">
        <v>99</v>
      </c>
      <c r="H1500">
        <v>1</v>
      </c>
      <c r="I1500">
        <v>1</v>
      </c>
      <c r="J1500" s="27">
        <v>79509.13</v>
      </c>
      <c r="K1500" s="27">
        <v>10000000</v>
      </c>
    </row>
    <row r="1501" spans="1:11" ht="15" customHeight="1" x14ac:dyDescent="0.2">
      <c r="A1501" t="s">
        <v>9394</v>
      </c>
      <c r="B1501" t="s">
        <v>9395</v>
      </c>
      <c r="C1501">
        <v>2024</v>
      </c>
      <c r="D1501" s="18">
        <v>45421</v>
      </c>
      <c r="E1501" s="18">
        <v>45785</v>
      </c>
      <c r="F1501" s="18" t="s">
        <v>611</v>
      </c>
      <c r="G1501" t="s">
        <v>101</v>
      </c>
      <c r="H1501">
        <v>3</v>
      </c>
      <c r="I1501">
        <v>3</v>
      </c>
      <c r="J1501" s="27">
        <v>158760.62</v>
      </c>
      <c r="K1501" s="27">
        <v>10000000</v>
      </c>
    </row>
    <row r="1502" spans="1:11" ht="15" customHeight="1" x14ac:dyDescent="0.2">
      <c r="A1502" t="s">
        <v>9396</v>
      </c>
      <c r="B1502" t="s">
        <v>9397</v>
      </c>
      <c r="C1502">
        <v>2024</v>
      </c>
      <c r="D1502" s="18">
        <v>45421</v>
      </c>
      <c r="E1502" s="18">
        <v>45785</v>
      </c>
      <c r="F1502" s="18" t="s">
        <v>611</v>
      </c>
      <c r="G1502" t="s">
        <v>99</v>
      </c>
      <c r="H1502">
        <v>3</v>
      </c>
      <c r="I1502">
        <v>6</v>
      </c>
      <c r="J1502" s="27">
        <v>25858.9</v>
      </c>
      <c r="K1502" s="27">
        <v>3000000</v>
      </c>
    </row>
    <row r="1503" spans="1:11" ht="15" customHeight="1" x14ac:dyDescent="0.2">
      <c r="A1503" t="s">
        <v>9398</v>
      </c>
      <c r="B1503" t="s">
        <v>9399</v>
      </c>
      <c r="C1503">
        <v>2024</v>
      </c>
      <c r="D1503" s="18">
        <v>45421</v>
      </c>
      <c r="E1503" s="18">
        <v>45785</v>
      </c>
      <c r="F1503" s="18" t="s">
        <v>611</v>
      </c>
      <c r="G1503" t="s">
        <v>100</v>
      </c>
      <c r="H1503">
        <v>1</v>
      </c>
      <c r="I1503">
        <v>1</v>
      </c>
      <c r="J1503" s="27">
        <v>69664.58</v>
      </c>
      <c r="K1503" s="27">
        <v>5000000</v>
      </c>
    </row>
    <row r="1504" spans="1:11" ht="15" customHeight="1" x14ac:dyDescent="0.2">
      <c r="A1504" t="s">
        <v>9400</v>
      </c>
      <c r="B1504" t="s">
        <v>9401</v>
      </c>
      <c r="C1504">
        <v>2024</v>
      </c>
      <c r="D1504" s="18">
        <v>45421</v>
      </c>
      <c r="E1504" s="18">
        <v>45785</v>
      </c>
      <c r="F1504" s="18" t="s">
        <v>611</v>
      </c>
      <c r="G1504" t="s">
        <v>101</v>
      </c>
      <c r="H1504">
        <v>3</v>
      </c>
      <c r="I1504">
        <v>6</v>
      </c>
      <c r="J1504" s="27">
        <v>37880.550000000003</v>
      </c>
      <c r="K1504" s="27">
        <v>2000000</v>
      </c>
    </row>
    <row r="1505" spans="1:11" ht="15" customHeight="1" x14ac:dyDescent="0.2">
      <c r="A1505" t="s">
        <v>9402</v>
      </c>
      <c r="B1505" t="s">
        <v>9403</v>
      </c>
      <c r="C1505">
        <v>2024</v>
      </c>
      <c r="D1505" s="18">
        <v>45422</v>
      </c>
      <c r="E1505" s="18">
        <v>45786</v>
      </c>
      <c r="F1505" s="18" t="s">
        <v>608</v>
      </c>
      <c r="G1505" t="s">
        <v>100</v>
      </c>
      <c r="H1505">
        <v>2</v>
      </c>
      <c r="I1505">
        <v>4</v>
      </c>
      <c r="J1505" s="27">
        <v>19608.95</v>
      </c>
      <c r="K1505" s="27">
        <v>1500000</v>
      </c>
    </row>
    <row r="1506" spans="1:11" ht="15" customHeight="1" x14ac:dyDescent="0.2">
      <c r="A1506" t="s">
        <v>9404</v>
      </c>
      <c r="B1506" t="s">
        <v>9405</v>
      </c>
      <c r="C1506">
        <v>2024</v>
      </c>
      <c r="D1506" s="18">
        <v>45422</v>
      </c>
      <c r="E1506" s="18">
        <v>45786</v>
      </c>
      <c r="F1506" s="18" t="s">
        <v>611</v>
      </c>
      <c r="G1506" t="s">
        <v>100</v>
      </c>
      <c r="H1506">
        <v>1</v>
      </c>
      <c r="I1506">
        <v>2</v>
      </c>
      <c r="J1506" s="27">
        <v>61964.88</v>
      </c>
      <c r="K1506" s="27">
        <v>5000000</v>
      </c>
    </row>
    <row r="1507" spans="1:11" ht="15" customHeight="1" x14ac:dyDescent="0.2">
      <c r="A1507" t="s">
        <v>9406</v>
      </c>
      <c r="B1507" t="s">
        <v>9407</v>
      </c>
      <c r="C1507">
        <v>2024</v>
      </c>
      <c r="D1507" s="18">
        <v>45422</v>
      </c>
      <c r="E1507" s="18">
        <v>45786</v>
      </c>
      <c r="F1507" s="18" t="s">
        <v>611</v>
      </c>
      <c r="G1507" t="s">
        <v>99</v>
      </c>
      <c r="H1507">
        <v>3</v>
      </c>
      <c r="I1507">
        <v>3</v>
      </c>
      <c r="J1507" s="27">
        <v>13279.28</v>
      </c>
      <c r="K1507" s="27">
        <v>1500000</v>
      </c>
    </row>
    <row r="1508" spans="1:11" ht="15" customHeight="1" x14ac:dyDescent="0.2">
      <c r="A1508" t="s">
        <v>9408</v>
      </c>
      <c r="B1508" t="s">
        <v>9409</v>
      </c>
      <c r="C1508">
        <v>2024</v>
      </c>
      <c r="D1508" s="18">
        <v>45423</v>
      </c>
      <c r="E1508" s="18">
        <v>45787</v>
      </c>
      <c r="F1508" s="18" t="s">
        <v>608</v>
      </c>
      <c r="G1508" t="s">
        <v>100</v>
      </c>
      <c r="H1508">
        <v>2</v>
      </c>
      <c r="I1508">
        <v>4</v>
      </c>
      <c r="J1508" s="27">
        <v>14026.22</v>
      </c>
      <c r="K1508" s="27">
        <v>1000000</v>
      </c>
    </row>
    <row r="1509" spans="1:11" ht="15" customHeight="1" x14ac:dyDescent="0.2">
      <c r="A1509" t="s">
        <v>9410</v>
      </c>
      <c r="B1509" t="s">
        <v>9411</v>
      </c>
      <c r="C1509">
        <v>2024</v>
      </c>
      <c r="D1509" s="18">
        <v>45423</v>
      </c>
      <c r="E1509" s="18">
        <v>45787</v>
      </c>
      <c r="F1509" s="18" t="s">
        <v>608</v>
      </c>
      <c r="G1509" t="s">
        <v>101</v>
      </c>
      <c r="H1509">
        <v>2</v>
      </c>
      <c r="I1509">
        <v>4</v>
      </c>
      <c r="J1509" s="27">
        <v>16780.97</v>
      </c>
      <c r="K1509" s="27">
        <v>1000000</v>
      </c>
    </row>
    <row r="1510" spans="1:11" ht="15" customHeight="1" x14ac:dyDescent="0.2">
      <c r="A1510" t="s">
        <v>9412</v>
      </c>
      <c r="B1510" t="s">
        <v>9413</v>
      </c>
      <c r="C1510">
        <v>2024</v>
      </c>
      <c r="D1510" s="18">
        <v>45423</v>
      </c>
      <c r="E1510" s="18">
        <v>45787</v>
      </c>
      <c r="F1510" s="18" t="s">
        <v>611</v>
      </c>
      <c r="G1510" t="s">
        <v>101</v>
      </c>
      <c r="H1510">
        <v>2</v>
      </c>
      <c r="I1510">
        <v>2</v>
      </c>
      <c r="J1510" s="27">
        <v>75557.350000000006</v>
      </c>
      <c r="K1510" s="27">
        <v>4000000</v>
      </c>
    </row>
    <row r="1511" spans="1:11" ht="15" customHeight="1" x14ac:dyDescent="0.2">
      <c r="A1511" t="s">
        <v>9414</v>
      </c>
      <c r="B1511" t="s">
        <v>9415</v>
      </c>
      <c r="C1511">
        <v>2024</v>
      </c>
      <c r="D1511" s="18">
        <v>45423</v>
      </c>
      <c r="E1511" s="18">
        <v>45787</v>
      </c>
      <c r="F1511" s="18" t="s">
        <v>611</v>
      </c>
      <c r="G1511" t="s">
        <v>102</v>
      </c>
      <c r="H1511">
        <v>1</v>
      </c>
      <c r="I1511">
        <v>1</v>
      </c>
      <c r="J1511" s="27">
        <v>18167.23</v>
      </c>
      <c r="K1511" s="27">
        <v>2000000</v>
      </c>
    </row>
    <row r="1512" spans="1:11" ht="15" customHeight="1" x14ac:dyDescent="0.2">
      <c r="A1512" t="s">
        <v>9416</v>
      </c>
      <c r="B1512" t="s">
        <v>9417</v>
      </c>
      <c r="C1512">
        <v>2024</v>
      </c>
      <c r="D1512" s="18">
        <v>45423</v>
      </c>
      <c r="E1512" s="18">
        <v>45787</v>
      </c>
      <c r="F1512" s="18" t="s">
        <v>611</v>
      </c>
      <c r="G1512" t="s">
        <v>99</v>
      </c>
      <c r="H1512">
        <v>1</v>
      </c>
      <c r="I1512">
        <v>1</v>
      </c>
      <c r="J1512" s="27">
        <v>30125.86</v>
      </c>
      <c r="K1512" s="27">
        <v>4000000</v>
      </c>
    </row>
    <row r="1513" spans="1:11" ht="15" customHeight="1" x14ac:dyDescent="0.2">
      <c r="A1513" t="s">
        <v>9418</v>
      </c>
      <c r="B1513" t="s">
        <v>9419</v>
      </c>
      <c r="C1513">
        <v>2024</v>
      </c>
      <c r="D1513" s="18">
        <v>45423</v>
      </c>
      <c r="E1513" s="18">
        <v>45787</v>
      </c>
      <c r="F1513" s="18" t="s">
        <v>611</v>
      </c>
      <c r="G1513" t="s">
        <v>101</v>
      </c>
      <c r="H1513">
        <v>2</v>
      </c>
      <c r="I1513">
        <v>4</v>
      </c>
      <c r="J1513" s="27">
        <v>35002.28</v>
      </c>
      <c r="K1513" s="27">
        <v>2000000</v>
      </c>
    </row>
    <row r="1514" spans="1:11" ht="15" customHeight="1" x14ac:dyDescent="0.2">
      <c r="A1514" t="s">
        <v>9420</v>
      </c>
      <c r="B1514" t="s">
        <v>9421</v>
      </c>
      <c r="C1514">
        <v>2024</v>
      </c>
      <c r="D1514" s="18">
        <v>45423</v>
      </c>
      <c r="E1514" s="18">
        <v>45787</v>
      </c>
      <c r="F1514" s="18" t="s">
        <v>611</v>
      </c>
      <c r="G1514" t="s">
        <v>100</v>
      </c>
      <c r="H1514">
        <v>1</v>
      </c>
      <c r="I1514">
        <v>2</v>
      </c>
      <c r="J1514" s="27">
        <v>25239.279999999999</v>
      </c>
      <c r="K1514" s="27">
        <v>2000000</v>
      </c>
    </row>
    <row r="1515" spans="1:11" ht="15" customHeight="1" x14ac:dyDescent="0.2">
      <c r="A1515" t="s">
        <v>9422</v>
      </c>
      <c r="B1515" t="s">
        <v>9423</v>
      </c>
      <c r="C1515">
        <v>2024</v>
      </c>
      <c r="D1515" s="18">
        <v>45423</v>
      </c>
      <c r="E1515" s="18">
        <v>45787</v>
      </c>
      <c r="F1515" s="18" t="s">
        <v>611</v>
      </c>
      <c r="G1515" t="s">
        <v>99</v>
      </c>
      <c r="H1515">
        <v>1</v>
      </c>
      <c r="I1515">
        <v>1</v>
      </c>
      <c r="J1515" s="27">
        <v>29666.38</v>
      </c>
      <c r="K1515" s="27">
        <v>4000000</v>
      </c>
    </row>
    <row r="1516" spans="1:11" ht="15" customHeight="1" x14ac:dyDescent="0.2">
      <c r="A1516" t="s">
        <v>9424</v>
      </c>
      <c r="B1516" t="s">
        <v>9425</v>
      </c>
      <c r="C1516">
        <v>2024</v>
      </c>
      <c r="D1516" s="18">
        <v>45423</v>
      </c>
      <c r="E1516" s="18">
        <v>45787</v>
      </c>
      <c r="F1516" s="18" t="s">
        <v>611</v>
      </c>
      <c r="G1516" t="s">
        <v>102</v>
      </c>
      <c r="H1516">
        <v>1</v>
      </c>
      <c r="I1516">
        <v>1</v>
      </c>
      <c r="J1516" s="27">
        <v>17478.330000000002</v>
      </c>
      <c r="K1516" s="27">
        <v>2000000</v>
      </c>
    </row>
    <row r="1517" spans="1:11" ht="15" customHeight="1" x14ac:dyDescent="0.2">
      <c r="A1517" t="s">
        <v>9426</v>
      </c>
      <c r="B1517" t="s">
        <v>9427</v>
      </c>
      <c r="C1517">
        <v>2024</v>
      </c>
      <c r="D1517" s="18">
        <v>45423</v>
      </c>
      <c r="E1517" s="18">
        <v>45787</v>
      </c>
      <c r="F1517" s="18" t="s">
        <v>611</v>
      </c>
      <c r="G1517" t="s">
        <v>101</v>
      </c>
      <c r="H1517">
        <v>2</v>
      </c>
      <c r="I1517">
        <v>4</v>
      </c>
      <c r="J1517" s="27">
        <v>32973.699999999997</v>
      </c>
      <c r="K1517" s="27">
        <v>2000000</v>
      </c>
    </row>
    <row r="1518" spans="1:11" ht="15" customHeight="1" x14ac:dyDescent="0.2">
      <c r="A1518" t="s">
        <v>9428</v>
      </c>
      <c r="B1518" t="s">
        <v>9429</v>
      </c>
      <c r="C1518">
        <v>2024</v>
      </c>
      <c r="D1518" s="18">
        <v>45424</v>
      </c>
      <c r="E1518" s="18">
        <v>45788</v>
      </c>
      <c r="F1518" s="18" t="s">
        <v>608</v>
      </c>
      <c r="G1518" t="s">
        <v>99</v>
      </c>
      <c r="H1518">
        <v>1</v>
      </c>
      <c r="I1518">
        <v>1</v>
      </c>
      <c r="J1518" s="27">
        <v>82580.98</v>
      </c>
      <c r="K1518" s="27">
        <v>10000000</v>
      </c>
    </row>
    <row r="1519" spans="1:11" ht="15" customHeight="1" x14ac:dyDescent="0.2">
      <c r="A1519" t="s">
        <v>9430</v>
      </c>
      <c r="B1519" t="s">
        <v>9431</v>
      </c>
      <c r="C1519">
        <v>2024</v>
      </c>
      <c r="D1519" s="18">
        <v>45424</v>
      </c>
      <c r="E1519" s="18">
        <v>45788</v>
      </c>
      <c r="F1519" s="18" t="s">
        <v>611</v>
      </c>
      <c r="G1519" t="s">
        <v>102</v>
      </c>
      <c r="H1519">
        <v>2</v>
      </c>
      <c r="I1519">
        <v>2</v>
      </c>
      <c r="J1519" s="27">
        <v>16949.009999999998</v>
      </c>
      <c r="K1519" s="27">
        <v>2000000</v>
      </c>
    </row>
    <row r="1520" spans="1:11" ht="15" customHeight="1" x14ac:dyDescent="0.2">
      <c r="A1520" t="s">
        <v>9432</v>
      </c>
      <c r="B1520" t="s">
        <v>9433</v>
      </c>
      <c r="C1520">
        <v>2024</v>
      </c>
      <c r="D1520" s="18">
        <v>45424</v>
      </c>
      <c r="E1520" s="18">
        <v>45788</v>
      </c>
      <c r="F1520" s="18" t="s">
        <v>611</v>
      </c>
      <c r="G1520" t="s">
        <v>102</v>
      </c>
      <c r="H1520">
        <v>1</v>
      </c>
      <c r="I1520">
        <v>1</v>
      </c>
      <c r="J1520" s="27">
        <v>4621.7299999999996</v>
      </c>
      <c r="K1520" s="27">
        <v>500000</v>
      </c>
    </row>
    <row r="1521" spans="1:11" ht="15" customHeight="1" x14ac:dyDescent="0.2">
      <c r="A1521" t="s">
        <v>9434</v>
      </c>
      <c r="B1521" t="s">
        <v>9435</v>
      </c>
      <c r="C1521">
        <v>2024</v>
      </c>
      <c r="D1521" s="18">
        <v>45424</v>
      </c>
      <c r="E1521" s="18">
        <v>45788</v>
      </c>
      <c r="F1521" s="18" t="s">
        <v>611</v>
      </c>
      <c r="G1521" t="s">
        <v>100</v>
      </c>
      <c r="H1521">
        <v>2</v>
      </c>
      <c r="I1521">
        <v>2</v>
      </c>
      <c r="J1521" s="27">
        <v>12114.47</v>
      </c>
      <c r="K1521" s="27">
        <v>1000000</v>
      </c>
    </row>
    <row r="1522" spans="1:11" ht="15" customHeight="1" x14ac:dyDescent="0.2">
      <c r="A1522" t="s">
        <v>9436</v>
      </c>
      <c r="B1522" t="s">
        <v>9437</v>
      </c>
      <c r="C1522">
        <v>2024</v>
      </c>
      <c r="D1522" s="18">
        <v>45424</v>
      </c>
      <c r="E1522" s="18">
        <v>45788</v>
      </c>
      <c r="F1522" s="18" t="s">
        <v>611</v>
      </c>
      <c r="G1522" t="s">
        <v>100</v>
      </c>
      <c r="H1522">
        <v>3</v>
      </c>
      <c r="I1522">
        <v>6</v>
      </c>
      <c r="J1522" s="27">
        <v>138074.82999999999</v>
      </c>
      <c r="K1522" s="27">
        <v>10000000</v>
      </c>
    </row>
    <row r="1523" spans="1:11" ht="15" customHeight="1" x14ac:dyDescent="0.2">
      <c r="A1523" t="s">
        <v>9438</v>
      </c>
      <c r="B1523" t="s">
        <v>9439</v>
      </c>
      <c r="C1523">
        <v>2024</v>
      </c>
      <c r="D1523" s="18">
        <v>45425</v>
      </c>
      <c r="E1523" s="18">
        <v>45789</v>
      </c>
      <c r="F1523" s="18" t="s">
        <v>608</v>
      </c>
      <c r="G1523" t="s">
        <v>99</v>
      </c>
      <c r="H1523">
        <v>3</v>
      </c>
      <c r="I1523">
        <v>3</v>
      </c>
      <c r="J1523" s="27">
        <v>7776.85</v>
      </c>
      <c r="K1523" s="27">
        <v>1000000</v>
      </c>
    </row>
    <row r="1524" spans="1:11" ht="15" customHeight="1" x14ac:dyDescent="0.2">
      <c r="A1524" t="s">
        <v>9440</v>
      </c>
      <c r="B1524" t="s">
        <v>9441</v>
      </c>
      <c r="C1524">
        <v>2024</v>
      </c>
      <c r="D1524" s="18">
        <v>45425</v>
      </c>
      <c r="E1524" s="18">
        <v>45789</v>
      </c>
      <c r="F1524" s="18" t="s">
        <v>611</v>
      </c>
      <c r="G1524" t="s">
        <v>99</v>
      </c>
      <c r="H1524">
        <v>3</v>
      </c>
      <c r="I1524">
        <v>6</v>
      </c>
      <c r="J1524" s="27">
        <v>35229.67</v>
      </c>
      <c r="K1524" s="27">
        <v>4500000</v>
      </c>
    </row>
    <row r="1525" spans="1:11" ht="15" customHeight="1" x14ac:dyDescent="0.2">
      <c r="A1525" t="s">
        <v>9442</v>
      </c>
      <c r="B1525" t="s">
        <v>9443</v>
      </c>
      <c r="C1525">
        <v>2024</v>
      </c>
      <c r="D1525" s="18">
        <v>45425</v>
      </c>
      <c r="E1525" s="18">
        <v>45789</v>
      </c>
      <c r="F1525" s="18" t="s">
        <v>611</v>
      </c>
      <c r="G1525" t="s">
        <v>100</v>
      </c>
      <c r="H1525">
        <v>3</v>
      </c>
      <c r="I1525">
        <v>3</v>
      </c>
      <c r="J1525" s="27">
        <v>13126.94</v>
      </c>
      <c r="K1525" s="27">
        <v>1000000</v>
      </c>
    </row>
    <row r="1526" spans="1:11" ht="15" customHeight="1" x14ac:dyDescent="0.2">
      <c r="A1526" t="s">
        <v>9444</v>
      </c>
      <c r="B1526" t="s">
        <v>9445</v>
      </c>
      <c r="C1526">
        <v>2024</v>
      </c>
      <c r="D1526" s="18">
        <v>45425</v>
      </c>
      <c r="E1526" s="18">
        <v>45789</v>
      </c>
      <c r="F1526" s="18" t="s">
        <v>611</v>
      </c>
      <c r="G1526" t="s">
        <v>101</v>
      </c>
      <c r="H1526">
        <v>2</v>
      </c>
      <c r="I1526">
        <v>4</v>
      </c>
      <c r="J1526" s="27">
        <v>39297.449999999997</v>
      </c>
      <c r="K1526" s="27">
        <v>2500000</v>
      </c>
    </row>
    <row r="1527" spans="1:11" ht="15" customHeight="1" x14ac:dyDescent="0.2">
      <c r="A1527" t="s">
        <v>9446</v>
      </c>
      <c r="B1527" t="s">
        <v>9447</v>
      </c>
      <c r="C1527">
        <v>2024</v>
      </c>
      <c r="D1527" s="18">
        <v>45425</v>
      </c>
      <c r="E1527" s="18">
        <v>45789</v>
      </c>
      <c r="F1527" s="18" t="s">
        <v>611</v>
      </c>
      <c r="G1527" t="s">
        <v>99</v>
      </c>
      <c r="H1527">
        <v>2</v>
      </c>
      <c r="I1527">
        <v>2</v>
      </c>
      <c r="J1527" s="27">
        <v>32100.06</v>
      </c>
      <c r="K1527" s="27">
        <v>4000000</v>
      </c>
    </row>
    <row r="1528" spans="1:11" ht="15" customHeight="1" x14ac:dyDescent="0.2">
      <c r="A1528" t="s">
        <v>9448</v>
      </c>
      <c r="B1528" t="s">
        <v>9449</v>
      </c>
      <c r="C1528">
        <v>2024</v>
      </c>
      <c r="D1528" s="18">
        <v>45425</v>
      </c>
      <c r="E1528" s="18">
        <v>45789</v>
      </c>
      <c r="F1528" s="18" t="s">
        <v>611</v>
      </c>
      <c r="G1528" t="s">
        <v>100</v>
      </c>
      <c r="H1528">
        <v>2</v>
      </c>
      <c r="I1528">
        <v>4</v>
      </c>
      <c r="J1528" s="27">
        <v>122943.35</v>
      </c>
      <c r="K1528" s="27">
        <v>10000000</v>
      </c>
    </row>
    <row r="1529" spans="1:11" ht="15" customHeight="1" x14ac:dyDescent="0.2">
      <c r="A1529" t="s">
        <v>9450</v>
      </c>
      <c r="B1529" t="s">
        <v>9451</v>
      </c>
      <c r="C1529">
        <v>2024</v>
      </c>
      <c r="D1529" s="18">
        <v>45426</v>
      </c>
      <c r="E1529" s="18">
        <v>45790</v>
      </c>
      <c r="F1529" s="18" t="s">
        <v>608</v>
      </c>
      <c r="G1529" t="s">
        <v>99</v>
      </c>
      <c r="H1529">
        <v>1</v>
      </c>
      <c r="I1529">
        <v>1</v>
      </c>
      <c r="J1529" s="27">
        <v>15339.71</v>
      </c>
      <c r="K1529" s="27">
        <v>2000000</v>
      </c>
    </row>
    <row r="1530" spans="1:11" ht="15" customHeight="1" x14ac:dyDescent="0.2">
      <c r="A1530" t="s">
        <v>9452</v>
      </c>
      <c r="B1530" t="s">
        <v>9453</v>
      </c>
      <c r="C1530">
        <v>2024</v>
      </c>
      <c r="D1530" s="18">
        <v>45426</v>
      </c>
      <c r="E1530" s="18">
        <v>45790</v>
      </c>
      <c r="F1530" s="18" t="s">
        <v>608</v>
      </c>
      <c r="G1530" t="s">
        <v>99</v>
      </c>
      <c r="H1530">
        <v>1</v>
      </c>
      <c r="I1530">
        <v>1</v>
      </c>
      <c r="J1530" s="27">
        <v>17801.09</v>
      </c>
      <c r="K1530" s="27">
        <v>2000000</v>
      </c>
    </row>
    <row r="1531" spans="1:11" ht="15" customHeight="1" x14ac:dyDescent="0.2">
      <c r="A1531" t="s">
        <v>9454</v>
      </c>
      <c r="B1531" t="s">
        <v>9455</v>
      </c>
      <c r="C1531">
        <v>2024</v>
      </c>
      <c r="D1531" s="18">
        <v>45426</v>
      </c>
      <c r="E1531" s="18">
        <v>45790</v>
      </c>
      <c r="F1531" s="18" t="s">
        <v>608</v>
      </c>
      <c r="G1531" t="s">
        <v>99</v>
      </c>
      <c r="H1531">
        <v>3</v>
      </c>
      <c r="I1531">
        <v>6</v>
      </c>
      <c r="J1531" s="27">
        <v>33515.910000000003</v>
      </c>
      <c r="K1531" s="27">
        <v>4500000</v>
      </c>
    </row>
    <row r="1532" spans="1:11" ht="15" customHeight="1" x14ac:dyDescent="0.2">
      <c r="A1532" t="s">
        <v>9456</v>
      </c>
      <c r="B1532" t="s">
        <v>9457</v>
      </c>
      <c r="C1532">
        <v>2024</v>
      </c>
      <c r="D1532" s="18">
        <v>45426</v>
      </c>
      <c r="E1532" s="18">
        <v>45790</v>
      </c>
      <c r="F1532" s="18" t="s">
        <v>608</v>
      </c>
      <c r="G1532" t="s">
        <v>99</v>
      </c>
      <c r="H1532">
        <v>3</v>
      </c>
      <c r="I1532">
        <v>3</v>
      </c>
      <c r="J1532" s="27">
        <v>20318.88</v>
      </c>
      <c r="K1532" s="27">
        <v>2500000</v>
      </c>
    </row>
    <row r="1533" spans="1:11" ht="15" customHeight="1" x14ac:dyDescent="0.2">
      <c r="A1533" t="s">
        <v>9458</v>
      </c>
      <c r="B1533" t="s">
        <v>9459</v>
      </c>
      <c r="C1533">
        <v>2024</v>
      </c>
      <c r="D1533" s="18">
        <v>45426</v>
      </c>
      <c r="E1533" s="18">
        <v>45790</v>
      </c>
      <c r="F1533" s="18" t="s">
        <v>611</v>
      </c>
      <c r="G1533" t="s">
        <v>102</v>
      </c>
      <c r="H1533">
        <v>1</v>
      </c>
      <c r="I1533">
        <v>1</v>
      </c>
      <c r="J1533" s="27">
        <v>3898.27</v>
      </c>
      <c r="K1533" s="27">
        <v>500000</v>
      </c>
    </row>
    <row r="1534" spans="1:11" ht="15" customHeight="1" x14ac:dyDescent="0.2">
      <c r="A1534" t="s">
        <v>9460</v>
      </c>
      <c r="B1534" t="s">
        <v>9461</v>
      </c>
      <c r="C1534">
        <v>2024</v>
      </c>
      <c r="D1534" s="18">
        <v>45426</v>
      </c>
      <c r="E1534" s="18">
        <v>45790</v>
      </c>
      <c r="F1534" s="18" t="s">
        <v>611</v>
      </c>
      <c r="G1534" t="s">
        <v>100</v>
      </c>
      <c r="H1534">
        <v>1</v>
      </c>
      <c r="I1534">
        <v>1</v>
      </c>
      <c r="J1534" s="27">
        <v>33650.230000000003</v>
      </c>
      <c r="K1534" s="27">
        <v>2500000</v>
      </c>
    </row>
    <row r="1535" spans="1:11" ht="15" customHeight="1" x14ac:dyDescent="0.2">
      <c r="A1535" t="s">
        <v>9462</v>
      </c>
      <c r="B1535" t="s">
        <v>9463</v>
      </c>
      <c r="C1535">
        <v>2024</v>
      </c>
      <c r="D1535" s="18">
        <v>45427</v>
      </c>
      <c r="E1535" s="18">
        <v>45791</v>
      </c>
      <c r="F1535" s="18" t="s">
        <v>611</v>
      </c>
      <c r="G1535" t="s">
        <v>101</v>
      </c>
      <c r="H1535">
        <v>1</v>
      </c>
      <c r="I1535">
        <v>1</v>
      </c>
      <c r="J1535" s="27">
        <v>63506.53</v>
      </c>
      <c r="K1535" s="27">
        <v>4000000</v>
      </c>
    </row>
    <row r="1536" spans="1:11" ht="15" customHeight="1" x14ac:dyDescent="0.2">
      <c r="A1536" t="s">
        <v>9464</v>
      </c>
      <c r="B1536" t="s">
        <v>9465</v>
      </c>
      <c r="C1536">
        <v>2024</v>
      </c>
      <c r="D1536" s="18">
        <v>45427</v>
      </c>
      <c r="E1536" s="18">
        <v>45791</v>
      </c>
      <c r="F1536" s="18" t="s">
        <v>611</v>
      </c>
      <c r="G1536" t="s">
        <v>100</v>
      </c>
      <c r="H1536">
        <v>1</v>
      </c>
      <c r="I1536">
        <v>1</v>
      </c>
      <c r="J1536" s="27">
        <v>142153.18</v>
      </c>
      <c r="K1536" s="27">
        <v>10000000</v>
      </c>
    </row>
    <row r="1537" spans="1:11" ht="15" customHeight="1" x14ac:dyDescent="0.2">
      <c r="A1537" t="s">
        <v>9466</v>
      </c>
      <c r="B1537" t="s">
        <v>9467</v>
      </c>
      <c r="C1537">
        <v>2024</v>
      </c>
      <c r="D1537" s="18">
        <v>45427</v>
      </c>
      <c r="E1537" s="18">
        <v>45791</v>
      </c>
      <c r="F1537" s="18" t="s">
        <v>611</v>
      </c>
      <c r="G1537" t="s">
        <v>100</v>
      </c>
      <c r="H1537">
        <v>2</v>
      </c>
      <c r="I1537">
        <v>2</v>
      </c>
      <c r="J1537" s="27">
        <v>13930.91</v>
      </c>
      <c r="K1537" s="27">
        <v>1000000</v>
      </c>
    </row>
    <row r="1538" spans="1:11" ht="15" customHeight="1" x14ac:dyDescent="0.2">
      <c r="A1538" t="s">
        <v>9468</v>
      </c>
      <c r="B1538" t="s">
        <v>9469</v>
      </c>
      <c r="C1538">
        <v>2024</v>
      </c>
      <c r="D1538" s="18">
        <v>45427</v>
      </c>
      <c r="E1538" s="18">
        <v>45791</v>
      </c>
      <c r="F1538" s="18" t="s">
        <v>611</v>
      </c>
      <c r="G1538" t="s">
        <v>99</v>
      </c>
      <c r="H1538">
        <v>3</v>
      </c>
      <c r="I1538">
        <v>6</v>
      </c>
      <c r="J1538" s="27">
        <v>15687.2</v>
      </c>
      <c r="K1538" s="27">
        <v>2000000</v>
      </c>
    </row>
    <row r="1539" spans="1:11" ht="15" customHeight="1" x14ac:dyDescent="0.2">
      <c r="A1539" t="s">
        <v>9470</v>
      </c>
      <c r="B1539" t="s">
        <v>9471</v>
      </c>
      <c r="C1539">
        <v>2024</v>
      </c>
      <c r="D1539" s="18">
        <v>45428</v>
      </c>
      <c r="E1539" s="18">
        <v>45792</v>
      </c>
      <c r="F1539" s="18" t="s">
        <v>608</v>
      </c>
      <c r="G1539" t="s">
        <v>101</v>
      </c>
      <c r="H1539">
        <v>2</v>
      </c>
      <c r="I1539">
        <v>4</v>
      </c>
      <c r="J1539" s="27">
        <v>31865.119999999999</v>
      </c>
      <c r="K1539" s="27">
        <v>2000000</v>
      </c>
    </row>
    <row r="1540" spans="1:11" ht="15" customHeight="1" x14ac:dyDescent="0.2">
      <c r="A1540" t="s">
        <v>9472</v>
      </c>
      <c r="B1540" t="s">
        <v>9473</v>
      </c>
      <c r="C1540">
        <v>2024</v>
      </c>
      <c r="D1540" s="18">
        <v>45428</v>
      </c>
      <c r="E1540" s="18">
        <v>45792</v>
      </c>
      <c r="F1540" s="18" t="s">
        <v>611</v>
      </c>
      <c r="G1540" t="s">
        <v>101</v>
      </c>
      <c r="H1540">
        <v>2</v>
      </c>
      <c r="I1540">
        <v>2</v>
      </c>
      <c r="J1540" s="27">
        <v>34690.75</v>
      </c>
      <c r="K1540" s="27">
        <v>2000000</v>
      </c>
    </row>
    <row r="1541" spans="1:11" ht="15" customHeight="1" x14ac:dyDescent="0.2">
      <c r="A1541" t="s">
        <v>9474</v>
      </c>
      <c r="B1541" t="s">
        <v>9475</v>
      </c>
      <c r="C1541">
        <v>2024</v>
      </c>
      <c r="D1541" s="18">
        <v>45428</v>
      </c>
      <c r="E1541" s="18">
        <v>45792</v>
      </c>
      <c r="F1541" s="18" t="s">
        <v>611</v>
      </c>
      <c r="G1541" t="s">
        <v>99</v>
      </c>
      <c r="H1541">
        <v>1</v>
      </c>
      <c r="I1541">
        <v>1</v>
      </c>
      <c r="J1541" s="27">
        <v>73800.27</v>
      </c>
      <c r="K1541" s="27">
        <v>10000000</v>
      </c>
    </row>
    <row r="1542" spans="1:11" ht="15" customHeight="1" x14ac:dyDescent="0.2">
      <c r="A1542" t="s">
        <v>9476</v>
      </c>
      <c r="B1542" t="s">
        <v>9477</v>
      </c>
      <c r="C1542">
        <v>2024</v>
      </c>
      <c r="D1542" s="18">
        <v>45428</v>
      </c>
      <c r="E1542" s="18">
        <v>45792</v>
      </c>
      <c r="F1542" s="18" t="s">
        <v>611</v>
      </c>
      <c r="G1542" t="s">
        <v>99</v>
      </c>
      <c r="H1542">
        <v>3</v>
      </c>
      <c r="I1542">
        <v>3</v>
      </c>
      <c r="J1542" s="27">
        <v>82197.179999999993</v>
      </c>
      <c r="K1542" s="27">
        <v>10000000</v>
      </c>
    </row>
    <row r="1543" spans="1:11" ht="15" customHeight="1" x14ac:dyDescent="0.2">
      <c r="A1543" t="s">
        <v>9478</v>
      </c>
      <c r="B1543" t="s">
        <v>9479</v>
      </c>
      <c r="C1543">
        <v>2024</v>
      </c>
      <c r="D1543" s="18">
        <v>45428</v>
      </c>
      <c r="E1543" s="18">
        <v>45792</v>
      </c>
      <c r="F1543" s="18" t="s">
        <v>611</v>
      </c>
      <c r="G1543" t="s">
        <v>102</v>
      </c>
      <c r="H1543">
        <v>3</v>
      </c>
      <c r="I1543">
        <v>3</v>
      </c>
      <c r="J1543" s="27">
        <v>8961.01</v>
      </c>
      <c r="K1543" s="27">
        <v>1000000</v>
      </c>
    </row>
    <row r="1544" spans="1:11" ht="15" customHeight="1" x14ac:dyDescent="0.2">
      <c r="A1544" t="s">
        <v>9480</v>
      </c>
      <c r="B1544" t="s">
        <v>9481</v>
      </c>
      <c r="C1544">
        <v>2024</v>
      </c>
      <c r="D1544" s="18">
        <v>45429</v>
      </c>
      <c r="E1544" s="18">
        <v>45793</v>
      </c>
      <c r="F1544" s="18" t="s">
        <v>608</v>
      </c>
      <c r="G1544" t="s">
        <v>99</v>
      </c>
      <c r="H1544">
        <v>3</v>
      </c>
      <c r="I1544">
        <v>3</v>
      </c>
      <c r="J1544" s="27">
        <v>15507.93</v>
      </c>
      <c r="K1544" s="27">
        <v>2000000</v>
      </c>
    </row>
    <row r="1545" spans="1:11" ht="15" customHeight="1" x14ac:dyDescent="0.2">
      <c r="A1545" t="s">
        <v>9482</v>
      </c>
      <c r="B1545" t="s">
        <v>9483</v>
      </c>
      <c r="C1545">
        <v>2024</v>
      </c>
      <c r="D1545" s="18">
        <v>45429</v>
      </c>
      <c r="E1545" s="18">
        <v>45793</v>
      </c>
      <c r="F1545" s="18" t="s">
        <v>611</v>
      </c>
      <c r="G1545" t="s">
        <v>101</v>
      </c>
      <c r="H1545">
        <v>1</v>
      </c>
      <c r="I1545">
        <v>1</v>
      </c>
      <c r="J1545" s="27">
        <v>49736.9</v>
      </c>
      <c r="K1545" s="27">
        <v>3000000</v>
      </c>
    </row>
    <row r="1546" spans="1:11" ht="15" customHeight="1" x14ac:dyDescent="0.2">
      <c r="A1546" t="s">
        <v>9484</v>
      </c>
      <c r="B1546" t="s">
        <v>9485</v>
      </c>
      <c r="C1546">
        <v>2024</v>
      </c>
      <c r="D1546" s="18">
        <v>45429</v>
      </c>
      <c r="E1546" s="18">
        <v>45793</v>
      </c>
      <c r="F1546" s="18" t="s">
        <v>611</v>
      </c>
      <c r="G1546" t="s">
        <v>100</v>
      </c>
      <c r="H1546">
        <v>1</v>
      </c>
      <c r="I1546">
        <v>2</v>
      </c>
      <c r="J1546" s="27">
        <v>56326.44</v>
      </c>
      <c r="K1546" s="27">
        <v>4500000</v>
      </c>
    </row>
    <row r="1547" spans="1:11" ht="15" customHeight="1" x14ac:dyDescent="0.2">
      <c r="A1547" t="s">
        <v>9486</v>
      </c>
      <c r="B1547" t="s">
        <v>9487</v>
      </c>
      <c r="C1547">
        <v>2024</v>
      </c>
      <c r="D1547" s="18">
        <v>45429</v>
      </c>
      <c r="E1547" s="18">
        <v>45793</v>
      </c>
      <c r="F1547" s="18" t="s">
        <v>611</v>
      </c>
      <c r="G1547" t="s">
        <v>101</v>
      </c>
      <c r="H1547">
        <v>3</v>
      </c>
      <c r="I1547">
        <v>6</v>
      </c>
      <c r="J1547" s="27">
        <v>75450.95</v>
      </c>
      <c r="K1547" s="27">
        <v>4000000</v>
      </c>
    </row>
    <row r="1548" spans="1:11" ht="15" customHeight="1" x14ac:dyDescent="0.2">
      <c r="A1548" t="s">
        <v>9488</v>
      </c>
      <c r="B1548" t="s">
        <v>9489</v>
      </c>
      <c r="C1548">
        <v>2024</v>
      </c>
      <c r="D1548" s="18">
        <v>45429</v>
      </c>
      <c r="E1548" s="18">
        <v>45793</v>
      </c>
      <c r="F1548" s="18" t="s">
        <v>611</v>
      </c>
      <c r="G1548" t="s">
        <v>100</v>
      </c>
      <c r="H1548">
        <v>2</v>
      </c>
      <c r="I1548">
        <v>4</v>
      </c>
      <c r="J1548" s="27">
        <v>125747.37</v>
      </c>
      <c r="K1548" s="27">
        <v>10000000</v>
      </c>
    </row>
    <row r="1549" spans="1:11" ht="15" customHeight="1" x14ac:dyDescent="0.2">
      <c r="A1549" t="s">
        <v>9490</v>
      </c>
      <c r="B1549" t="s">
        <v>9491</v>
      </c>
      <c r="C1549">
        <v>2024</v>
      </c>
      <c r="D1549" s="18">
        <v>45430</v>
      </c>
      <c r="E1549" s="18">
        <v>45794</v>
      </c>
      <c r="F1549" s="18" t="s">
        <v>611</v>
      </c>
      <c r="G1549" t="s">
        <v>99</v>
      </c>
      <c r="H1549">
        <v>1</v>
      </c>
      <c r="I1549">
        <v>2</v>
      </c>
      <c r="J1549" s="27">
        <v>75136.479999999996</v>
      </c>
      <c r="K1549" s="27">
        <v>10000000</v>
      </c>
    </row>
    <row r="1550" spans="1:11" ht="15" customHeight="1" x14ac:dyDescent="0.2">
      <c r="A1550" t="s">
        <v>9492</v>
      </c>
      <c r="B1550" t="s">
        <v>9493</v>
      </c>
      <c r="C1550">
        <v>2024</v>
      </c>
      <c r="D1550" s="18">
        <v>45430</v>
      </c>
      <c r="E1550" s="18">
        <v>45794</v>
      </c>
      <c r="F1550" s="18" t="s">
        <v>611</v>
      </c>
      <c r="G1550" t="s">
        <v>102</v>
      </c>
      <c r="H1550">
        <v>1</v>
      </c>
      <c r="I1550">
        <v>2</v>
      </c>
      <c r="J1550" s="27">
        <v>22810.26</v>
      </c>
      <c r="K1550" s="27">
        <v>2500000</v>
      </c>
    </row>
    <row r="1551" spans="1:11" ht="15" customHeight="1" x14ac:dyDescent="0.2">
      <c r="A1551" t="s">
        <v>9494</v>
      </c>
      <c r="B1551" t="s">
        <v>9495</v>
      </c>
      <c r="C1551">
        <v>2024</v>
      </c>
      <c r="D1551" s="18">
        <v>45431</v>
      </c>
      <c r="E1551" s="18">
        <v>45795</v>
      </c>
      <c r="F1551" s="18" t="s">
        <v>608</v>
      </c>
      <c r="G1551" t="s">
        <v>101</v>
      </c>
      <c r="H1551">
        <v>1</v>
      </c>
      <c r="I1551">
        <v>1</v>
      </c>
      <c r="J1551" s="27">
        <v>48882.12</v>
      </c>
      <c r="K1551" s="27">
        <v>3000000</v>
      </c>
    </row>
    <row r="1552" spans="1:11" ht="15" customHeight="1" x14ac:dyDescent="0.2">
      <c r="A1552" t="s">
        <v>9496</v>
      </c>
      <c r="B1552" t="s">
        <v>9497</v>
      </c>
      <c r="C1552">
        <v>2024</v>
      </c>
      <c r="D1552" s="18">
        <v>45431</v>
      </c>
      <c r="E1552" s="18">
        <v>45795</v>
      </c>
      <c r="F1552" s="18" t="s">
        <v>611</v>
      </c>
      <c r="G1552" t="s">
        <v>100</v>
      </c>
      <c r="H1552">
        <v>3</v>
      </c>
      <c r="I1552">
        <v>3</v>
      </c>
      <c r="J1552" s="27">
        <v>37415.11</v>
      </c>
      <c r="K1552" s="27">
        <v>3000000</v>
      </c>
    </row>
    <row r="1553" spans="1:11" ht="15" customHeight="1" x14ac:dyDescent="0.2">
      <c r="A1553" t="s">
        <v>9498</v>
      </c>
      <c r="B1553" t="s">
        <v>9499</v>
      </c>
      <c r="C1553">
        <v>2024</v>
      </c>
      <c r="D1553" s="18">
        <v>45431</v>
      </c>
      <c r="E1553" s="18">
        <v>45795</v>
      </c>
      <c r="F1553" s="18" t="s">
        <v>611</v>
      </c>
      <c r="G1553" t="s">
        <v>99</v>
      </c>
      <c r="H1553">
        <v>1</v>
      </c>
      <c r="I1553">
        <v>2</v>
      </c>
      <c r="J1553" s="27">
        <v>4273.2</v>
      </c>
      <c r="K1553" s="27">
        <v>500000</v>
      </c>
    </row>
    <row r="1554" spans="1:11" ht="15" customHeight="1" x14ac:dyDescent="0.2">
      <c r="A1554" t="s">
        <v>9500</v>
      </c>
      <c r="B1554" t="s">
        <v>9501</v>
      </c>
      <c r="C1554">
        <v>2024</v>
      </c>
      <c r="D1554" s="18">
        <v>45431</v>
      </c>
      <c r="E1554" s="18">
        <v>45795</v>
      </c>
      <c r="F1554" s="18" t="s">
        <v>611</v>
      </c>
      <c r="G1554" t="s">
        <v>102</v>
      </c>
      <c r="H1554">
        <v>3</v>
      </c>
      <c r="I1554">
        <v>3</v>
      </c>
      <c r="J1554" s="27">
        <v>27137.5</v>
      </c>
      <c r="K1554" s="27">
        <v>3000000</v>
      </c>
    </row>
    <row r="1555" spans="1:11" ht="15" customHeight="1" x14ac:dyDescent="0.2">
      <c r="A1555" t="s">
        <v>9502</v>
      </c>
      <c r="B1555" t="s">
        <v>9503</v>
      </c>
      <c r="C1555">
        <v>2024</v>
      </c>
      <c r="D1555" s="18">
        <v>45431</v>
      </c>
      <c r="E1555" s="18">
        <v>45795</v>
      </c>
      <c r="F1555" s="18" t="s">
        <v>611</v>
      </c>
      <c r="G1555" t="s">
        <v>100</v>
      </c>
      <c r="H1555">
        <v>2</v>
      </c>
      <c r="I1555">
        <v>2</v>
      </c>
      <c r="J1555" s="27">
        <v>34081.279999999999</v>
      </c>
      <c r="K1555" s="27">
        <v>2500000</v>
      </c>
    </row>
    <row r="1556" spans="1:11" ht="15" customHeight="1" x14ac:dyDescent="0.2">
      <c r="A1556" t="s">
        <v>9504</v>
      </c>
      <c r="B1556" t="s">
        <v>9505</v>
      </c>
      <c r="C1556">
        <v>2024</v>
      </c>
      <c r="D1556" s="18">
        <v>45431</v>
      </c>
      <c r="E1556" s="18">
        <v>45795</v>
      </c>
      <c r="F1556" s="18" t="s">
        <v>611</v>
      </c>
      <c r="G1556" t="s">
        <v>100</v>
      </c>
      <c r="H1556">
        <v>3</v>
      </c>
      <c r="I1556">
        <v>6</v>
      </c>
      <c r="J1556" s="27">
        <v>26725.84</v>
      </c>
      <c r="K1556" s="27">
        <v>2000000</v>
      </c>
    </row>
    <row r="1557" spans="1:11" ht="15" customHeight="1" x14ac:dyDescent="0.2">
      <c r="A1557" t="s">
        <v>9506</v>
      </c>
      <c r="B1557" t="s">
        <v>9507</v>
      </c>
      <c r="C1557">
        <v>2024</v>
      </c>
      <c r="D1557" s="18">
        <v>45432</v>
      </c>
      <c r="E1557" s="18">
        <v>45796</v>
      </c>
      <c r="F1557" s="18" t="s">
        <v>608</v>
      </c>
      <c r="G1557" t="s">
        <v>100</v>
      </c>
      <c r="H1557">
        <v>1</v>
      </c>
      <c r="I1557">
        <v>2</v>
      </c>
      <c r="J1557" s="27">
        <v>25037.66</v>
      </c>
      <c r="K1557" s="27">
        <v>2000000</v>
      </c>
    </row>
    <row r="1558" spans="1:11" ht="15" customHeight="1" x14ac:dyDescent="0.2">
      <c r="A1558" t="s">
        <v>9508</v>
      </c>
      <c r="B1558" t="s">
        <v>9509</v>
      </c>
      <c r="C1558">
        <v>2024</v>
      </c>
      <c r="D1558" s="18">
        <v>45432</v>
      </c>
      <c r="E1558" s="18">
        <v>45796</v>
      </c>
      <c r="F1558" s="18" t="s">
        <v>608</v>
      </c>
      <c r="G1558" t="s">
        <v>99</v>
      </c>
      <c r="H1558">
        <v>3</v>
      </c>
      <c r="I1558">
        <v>3</v>
      </c>
      <c r="J1558" s="27">
        <v>27069.18</v>
      </c>
      <c r="K1558" s="27">
        <v>3500000</v>
      </c>
    </row>
    <row r="1559" spans="1:11" ht="15" customHeight="1" x14ac:dyDescent="0.2">
      <c r="A1559" t="s">
        <v>9510</v>
      </c>
      <c r="B1559" t="s">
        <v>9511</v>
      </c>
      <c r="C1559">
        <v>2024</v>
      </c>
      <c r="D1559" s="18">
        <v>45432</v>
      </c>
      <c r="E1559" s="18">
        <v>45796</v>
      </c>
      <c r="F1559" s="18" t="s">
        <v>611</v>
      </c>
      <c r="G1559" t="s">
        <v>102</v>
      </c>
      <c r="H1559">
        <v>3</v>
      </c>
      <c r="I1559">
        <v>3</v>
      </c>
      <c r="J1559" s="27">
        <v>9082.61</v>
      </c>
      <c r="K1559" s="27">
        <v>1000000</v>
      </c>
    </row>
    <row r="1560" spans="1:11" ht="15" customHeight="1" x14ac:dyDescent="0.2">
      <c r="A1560" t="s">
        <v>9512</v>
      </c>
      <c r="B1560" t="s">
        <v>9513</v>
      </c>
      <c r="C1560">
        <v>2024</v>
      </c>
      <c r="D1560" s="18">
        <v>45432</v>
      </c>
      <c r="E1560" s="18">
        <v>45796</v>
      </c>
      <c r="F1560" s="18" t="s">
        <v>611</v>
      </c>
      <c r="G1560" t="s">
        <v>101</v>
      </c>
      <c r="H1560">
        <v>2</v>
      </c>
      <c r="I1560">
        <v>4</v>
      </c>
      <c r="J1560" s="27">
        <v>90590.57</v>
      </c>
      <c r="K1560" s="27">
        <v>5000000</v>
      </c>
    </row>
    <row r="1561" spans="1:11" ht="15" customHeight="1" x14ac:dyDescent="0.2">
      <c r="A1561" t="s">
        <v>9514</v>
      </c>
      <c r="B1561" t="s">
        <v>9515</v>
      </c>
      <c r="C1561">
        <v>2024</v>
      </c>
      <c r="D1561" s="18">
        <v>45432</v>
      </c>
      <c r="E1561" s="18">
        <v>45796</v>
      </c>
      <c r="F1561" s="18" t="s">
        <v>611</v>
      </c>
      <c r="G1561" t="s">
        <v>101</v>
      </c>
      <c r="H1561">
        <v>3</v>
      </c>
      <c r="I1561">
        <v>3</v>
      </c>
      <c r="J1561" s="27">
        <v>35169.51</v>
      </c>
      <c r="K1561" s="27">
        <v>2000000</v>
      </c>
    </row>
    <row r="1562" spans="1:11" ht="15" customHeight="1" x14ac:dyDescent="0.2">
      <c r="A1562" t="s">
        <v>9516</v>
      </c>
      <c r="B1562" t="s">
        <v>9517</v>
      </c>
      <c r="C1562">
        <v>2024</v>
      </c>
      <c r="D1562" s="18">
        <v>45432</v>
      </c>
      <c r="E1562" s="18">
        <v>45796</v>
      </c>
      <c r="F1562" s="18" t="s">
        <v>611</v>
      </c>
      <c r="G1562" t="s">
        <v>100</v>
      </c>
      <c r="H1562">
        <v>2</v>
      </c>
      <c r="I1562">
        <v>2</v>
      </c>
      <c r="J1562" s="27">
        <v>13353.45</v>
      </c>
      <c r="K1562" s="27">
        <v>1000000</v>
      </c>
    </row>
    <row r="1563" spans="1:11" ht="15" customHeight="1" x14ac:dyDescent="0.2">
      <c r="A1563" t="s">
        <v>9518</v>
      </c>
      <c r="B1563" t="s">
        <v>9519</v>
      </c>
      <c r="C1563">
        <v>2024</v>
      </c>
      <c r="D1563" s="18">
        <v>45432</v>
      </c>
      <c r="E1563" s="18">
        <v>45796</v>
      </c>
      <c r="F1563" s="18" t="s">
        <v>611</v>
      </c>
      <c r="G1563" t="s">
        <v>101</v>
      </c>
      <c r="H1563">
        <v>2</v>
      </c>
      <c r="I1563">
        <v>2</v>
      </c>
      <c r="J1563" s="27">
        <v>77746.880000000005</v>
      </c>
      <c r="K1563" s="27">
        <v>4500000</v>
      </c>
    </row>
    <row r="1564" spans="1:11" ht="15" customHeight="1" x14ac:dyDescent="0.2">
      <c r="A1564" t="s">
        <v>9520</v>
      </c>
      <c r="B1564" t="s">
        <v>9521</v>
      </c>
      <c r="C1564">
        <v>2024</v>
      </c>
      <c r="D1564" s="18">
        <v>45433</v>
      </c>
      <c r="E1564" s="18">
        <v>45797</v>
      </c>
      <c r="F1564" s="18" t="s">
        <v>608</v>
      </c>
      <c r="G1564" t="s">
        <v>99</v>
      </c>
      <c r="H1564">
        <v>1</v>
      </c>
      <c r="I1564">
        <v>2</v>
      </c>
      <c r="J1564" s="27">
        <v>12086.05</v>
      </c>
      <c r="K1564" s="27">
        <v>1500000</v>
      </c>
    </row>
    <row r="1565" spans="1:11" ht="15" customHeight="1" x14ac:dyDescent="0.2">
      <c r="A1565" t="s">
        <v>9522</v>
      </c>
      <c r="B1565" t="s">
        <v>9523</v>
      </c>
      <c r="C1565">
        <v>2024</v>
      </c>
      <c r="D1565" s="18">
        <v>45433</v>
      </c>
      <c r="E1565" s="18">
        <v>45797</v>
      </c>
      <c r="F1565" s="18" t="s">
        <v>608</v>
      </c>
      <c r="G1565" t="s">
        <v>102</v>
      </c>
      <c r="H1565">
        <v>1</v>
      </c>
      <c r="I1565">
        <v>1</v>
      </c>
      <c r="J1565" s="27">
        <v>7984.89</v>
      </c>
      <c r="K1565" s="27">
        <v>1000000</v>
      </c>
    </row>
    <row r="1566" spans="1:11" ht="15" customHeight="1" x14ac:dyDescent="0.2">
      <c r="A1566" t="s">
        <v>9524</v>
      </c>
      <c r="B1566" t="s">
        <v>9525</v>
      </c>
      <c r="C1566">
        <v>2024</v>
      </c>
      <c r="D1566" s="18">
        <v>45433</v>
      </c>
      <c r="E1566" s="18">
        <v>45797</v>
      </c>
      <c r="F1566" s="18" t="s">
        <v>611</v>
      </c>
      <c r="G1566" t="s">
        <v>100</v>
      </c>
      <c r="H1566">
        <v>3</v>
      </c>
      <c r="I1566">
        <v>3</v>
      </c>
      <c r="J1566" s="27">
        <v>58951.97</v>
      </c>
      <c r="K1566" s="27">
        <v>4500000</v>
      </c>
    </row>
    <row r="1567" spans="1:11" ht="15" customHeight="1" x14ac:dyDescent="0.2">
      <c r="A1567" t="s">
        <v>9526</v>
      </c>
      <c r="B1567" t="s">
        <v>9527</v>
      </c>
      <c r="C1567">
        <v>2024</v>
      </c>
      <c r="D1567" s="18">
        <v>45433</v>
      </c>
      <c r="E1567" s="18">
        <v>45797</v>
      </c>
      <c r="F1567" s="18" t="s">
        <v>611</v>
      </c>
      <c r="G1567" t="s">
        <v>99</v>
      </c>
      <c r="H1567">
        <v>3</v>
      </c>
      <c r="I1567">
        <v>6</v>
      </c>
      <c r="J1567" s="27">
        <v>26146.83</v>
      </c>
      <c r="K1567" s="27">
        <v>3000000</v>
      </c>
    </row>
    <row r="1568" spans="1:11" ht="15" customHeight="1" x14ac:dyDescent="0.2">
      <c r="A1568" t="s">
        <v>9528</v>
      </c>
      <c r="B1568" t="s">
        <v>9529</v>
      </c>
      <c r="C1568">
        <v>2024</v>
      </c>
      <c r="D1568" s="18">
        <v>45433</v>
      </c>
      <c r="E1568" s="18">
        <v>45797</v>
      </c>
      <c r="F1568" s="18" t="s">
        <v>611</v>
      </c>
      <c r="G1568" t="s">
        <v>100</v>
      </c>
      <c r="H1568">
        <v>3</v>
      </c>
      <c r="I1568">
        <v>3</v>
      </c>
      <c r="J1568" s="27">
        <v>24039.72</v>
      </c>
      <c r="K1568" s="27">
        <v>2000000</v>
      </c>
    </row>
    <row r="1569" spans="1:11" ht="15" customHeight="1" x14ac:dyDescent="0.2">
      <c r="A1569" t="s">
        <v>9530</v>
      </c>
      <c r="B1569" t="s">
        <v>9531</v>
      </c>
      <c r="C1569">
        <v>2024</v>
      </c>
      <c r="D1569" s="18">
        <v>45433</v>
      </c>
      <c r="E1569" s="18">
        <v>45797</v>
      </c>
      <c r="F1569" s="18" t="s">
        <v>611</v>
      </c>
      <c r="G1569" t="s">
        <v>102</v>
      </c>
      <c r="H1569">
        <v>2</v>
      </c>
      <c r="I1569">
        <v>2</v>
      </c>
      <c r="J1569" s="27">
        <v>17221.919999999998</v>
      </c>
      <c r="K1569" s="27">
        <v>2000000</v>
      </c>
    </row>
    <row r="1570" spans="1:11" ht="15" customHeight="1" x14ac:dyDescent="0.2">
      <c r="A1570" t="s">
        <v>9532</v>
      </c>
      <c r="B1570" t="s">
        <v>9533</v>
      </c>
      <c r="C1570">
        <v>2024</v>
      </c>
      <c r="D1570" s="18">
        <v>45433</v>
      </c>
      <c r="E1570" s="18">
        <v>45797</v>
      </c>
      <c r="F1570" s="18" t="s">
        <v>611</v>
      </c>
      <c r="G1570" t="s">
        <v>99</v>
      </c>
      <c r="H1570">
        <v>2</v>
      </c>
      <c r="I1570">
        <v>2</v>
      </c>
      <c r="J1570" s="27">
        <v>17106.78</v>
      </c>
      <c r="K1570" s="27">
        <v>2000000</v>
      </c>
    </row>
    <row r="1571" spans="1:11" ht="15" customHeight="1" x14ac:dyDescent="0.2">
      <c r="A1571" t="s">
        <v>9534</v>
      </c>
      <c r="B1571" t="s">
        <v>9535</v>
      </c>
      <c r="C1571">
        <v>2024</v>
      </c>
      <c r="D1571" s="18">
        <v>45434</v>
      </c>
      <c r="E1571" s="18">
        <v>45798</v>
      </c>
      <c r="F1571" s="18" t="s">
        <v>611</v>
      </c>
      <c r="G1571" t="s">
        <v>101</v>
      </c>
      <c r="H1571">
        <v>1</v>
      </c>
      <c r="I1571">
        <v>2</v>
      </c>
      <c r="J1571" s="27">
        <v>47072.68</v>
      </c>
      <c r="K1571" s="27">
        <v>2500000</v>
      </c>
    </row>
    <row r="1572" spans="1:11" ht="15" customHeight="1" x14ac:dyDescent="0.2">
      <c r="A1572" t="s">
        <v>9536</v>
      </c>
      <c r="B1572" t="s">
        <v>9537</v>
      </c>
      <c r="C1572">
        <v>2024</v>
      </c>
      <c r="D1572" s="18">
        <v>45434</v>
      </c>
      <c r="E1572" s="18">
        <v>45798</v>
      </c>
      <c r="F1572" s="18" t="s">
        <v>611</v>
      </c>
      <c r="G1572" t="s">
        <v>101</v>
      </c>
      <c r="H1572">
        <v>1</v>
      </c>
      <c r="I1572">
        <v>1</v>
      </c>
      <c r="J1572" s="27">
        <v>160828.85</v>
      </c>
      <c r="K1572" s="27">
        <v>10000000</v>
      </c>
    </row>
    <row r="1573" spans="1:11" ht="15" customHeight="1" x14ac:dyDescent="0.2">
      <c r="A1573" t="s">
        <v>9538</v>
      </c>
      <c r="B1573" t="s">
        <v>9539</v>
      </c>
      <c r="C1573">
        <v>2024</v>
      </c>
      <c r="D1573" s="18">
        <v>45434</v>
      </c>
      <c r="E1573" s="18">
        <v>45798</v>
      </c>
      <c r="F1573" s="18" t="s">
        <v>611</v>
      </c>
      <c r="G1573" t="s">
        <v>102</v>
      </c>
      <c r="H1573">
        <v>1</v>
      </c>
      <c r="I1573">
        <v>1</v>
      </c>
      <c r="J1573" s="27">
        <v>83224.759999999995</v>
      </c>
      <c r="K1573" s="27">
        <v>10000000</v>
      </c>
    </row>
    <row r="1574" spans="1:11" ht="15" customHeight="1" x14ac:dyDescent="0.2">
      <c r="A1574" t="s">
        <v>9540</v>
      </c>
      <c r="B1574" t="s">
        <v>9541</v>
      </c>
      <c r="C1574">
        <v>2024</v>
      </c>
      <c r="D1574" s="18">
        <v>45435</v>
      </c>
      <c r="E1574" s="18">
        <v>45799</v>
      </c>
      <c r="F1574" s="18" t="s">
        <v>608</v>
      </c>
      <c r="G1574" t="s">
        <v>100</v>
      </c>
      <c r="H1574">
        <v>1</v>
      </c>
      <c r="I1574">
        <v>1</v>
      </c>
      <c r="J1574" s="27">
        <v>24833.32</v>
      </c>
      <c r="K1574" s="27">
        <v>2000000</v>
      </c>
    </row>
    <row r="1575" spans="1:11" ht="15" customHeight="1" x14ac:dyDescent="0.2">
      <c r="A1575" t="s">
        <v>9542</v>
      </c>
      <c r="B1575" t="s">
        <v>9543</v>
      </c>
      <c r="C1575">
        <v>2024</v>
      </c>
      <c r="D1575" s="18">
        <v>45435</v>
      </c>
      <c r="E1575" s="18">
        <v>45799</v>
      </c>
      <c r="F1575" s="18" t="s">
        <v>608</v>
      </c>
      <c r="G1575" t="s">
        <v>99</v>
      </c>
      <c r="H1575">
        <v>1</v>
      </c>
      <c r="I1575">
        <v>1</v>
      </c>
      <c r="J1575" s="27">
        <v>29534.560000000001</v>
      </c>
      <c r="K1575" s="27">
        <v>4000000</v>
      </c>
    </row>
    <row r="1576" spans="1:11" ht="15" customHeight="1" x14ac:dyDescent="0.2">
      <c r="A1576" t="s">
        <v>9544</v>
      </c>
      <c r="B1576" t="s">
        <v>9545</v>
      </c>
      <c r="C1576">
        <v>2024</v>
      </c>
      <c r="D1576" s="18">
        <v>45435</v>
      </c>
      <c r="E1576" s="18">
        <v>45799</v>
      </c>
      <c r="F1576" s="18" t="s">
        <v>611</v>
      </c>
      <c r="G1576" t="s">
        <v>99</v>
      </c>
      <c r="H1576">
        <v>2</v>
      </c>
      <c r="I1576">
        <v>2</v>
      </c>
      <c r="J1576" s="27">
        <v>22299.59</v>
      </c>
      <c r="K1576" s="27">
        <v>3000000</v>
      </c>
    </row>
    <row r="1577" spans="1:11" ht="15" customHeight="1" x14ac:dyDescent="0.2">
      <c r="A1577" t="s">
        <v>9546</v>
      </c>
      <c r="B1577" t="s">
        <v>9547</v>
      </c>
      <c r="C1577">
        <v>2024</v>
      </c>
      <c r="D1577" s="18">
        <v>45436</v>
      </c>
      <c r="E1577" s="18">
        <v>45800</v>
      </c>
      <c r="F1577" s="18" t="s">
        <v>608</v>
      </c>
      <c r="G1577" t="s">
        <v>102</v>
      </c>
      <c r="H1577">
        <v>3</v>
      </c>
      <c r="I1577">
        <v>6</v>
      </c>
      <c r="J1577" s="27">
        <v>19843.52</v>
      </c>
      <c r="K1577" s="27">
        <v>2500000</v>
      </c>
    </row>
    <row r="1578" spans="1:11" ht="15" customHeight="1" x14ac:dyDescent="0.2">
      <c r="A1578" t="s">
        <v>9548</v>
      </c>
      <c r="B1578" t="s">
        <v>9549</v>
      </c>
      <c r="C1578">
        <v>2024</v>
      </c>
      <c r="D1578" s="18">
        <v>45436</v>
      </c>
      <c r="E1578" s="18">
        <v>45800</v>
      </c>
      <c r="F1578" s="18" t="s">
        <v>608</v>
      </c>
      <c r="G1578" t="s">
        <v>100</v>
      </c>
      <c r="H1578">
        <v>1</v>
      </c>
      <c r="I1578">
        <v>1</v>
      </c>
      <c r="J1578" s="27">
        <v>19254.330000000002</v>
      </c>
      <c r="K1578" s="27">
        <v>1500000</v>
      </c>
    </row>
    <row r="1579" spans="1:11" ht="15" customHeight="1" x14ac:dyDescent="0.2">
      <c r="A1579" t="s">
        <v>9550</v>
      </c>
      <c r="B1579" t="s">
        <v>9551</v>
      </c>
      <c r="C1579">
        <v>2024</v>
      </c>
      <c r="D1579" s="18">
        <v>45436</v>
      </c>
      <c r="E1579" s="18">
        <v>45800</v>
      </c>
      <c r="F1579" s="18" t="s">
        <v>608</v>
      </c>
      <c r="G1579" t="s">
        <v>101</v>
      </c>
      <c r="H1579">
        <v>1</v>
      </c>
      <c r="I1579">
        <v>2</v>
      </c>
      <c r="J1579" s="27">
        <v>66909.73</v>
      </c>
      <c r="K1579" s="27">
        <v>4000000</v>
      </c>
    </row>
    <row r="1580" spans="1:11" ht="15" customHeight="1" x14ac:dyDescent="0.2">
      <c r="A1580" t="s">
        <v>9552</v>
      </c>
      <c r="B1580" t="s">
        <v>9553</v>
      </c>
      <c r="C1580">
        <v>2024</v>
      </c>
      <c r="D1580" s="18">
        <v>45436</v>
      </c>
      <c r="E1580" s="18">
        <v>45800</v>
      </c>
      <c r="F1580" s="18" t="s">
        <v>611</v>
      </c>
      <c r="G1580" t="s">
        <v>99</v>
      </c>
      <c r="H1580">
        <v>1</v>
      </c>
      <c r="I1580">
        <v>1</v>
      </c>
      <c r="J1580" s="27">
        <v>4325.05</v>
      </c>
      <c r="K1580" s="27">
        <v>500000</v>
      </c>
    </row>
    <row r="1581" spans="1:11" ht="15" customHeight="1" x14ac:dyDescent="0.2">
      <c r="A1581" t="s">
        <v>9554</v>
      </c>
      <c r="B1581" t="s">
        <v>9555</v>
      </c>
      <c r="C1581">
        <v>2024</v>
      </c>
      <c r="D1581" s="18">
        <v>45436</v>
      </c>
      <c r="E1581" s="18">
        <v>45800</v>
      </c>
      <c r="F1581" s="18" t="s">
        <v>611</v>
      </c>
      <c r="G1581" t="s">
        <v>101</v>
      </c>
      <c r="H1581">
        <v>2</v>
      </c>
      <c r="I1581">
        <v>4</v>
      </c>
      <c r="J1581" s="27">
        <v>174618.56</v>
      </c>
      <c r="K1581" s="27">
        <v>10000000</v>
      </c>
    </row>
    <row r="1582" spans="1:11" ht="15" customHeight="1" x14ac:dyDescent="0.2">
      <c r="A1582" t="s">
        <v>9556</v>
      </c>
      <c r="B1582" t="s">
        <v>9557</v>
      </c>
      <c r="C1582">
        <v>2024</v>
      </c>
      <c r="D1582" s="18">
        <v>45436</v>
      </c>
      <c r="E1582" s="18">
        <v>45800</v>
      </c>
      <c r="F1582" s="18" t="s">
        <v>611</v>
      </c>
      <c r="G1582" t="s">
        <v>101</v>
      </c>
      <c r="H1582">
        <v>1</v>
      </c>
      <c r="I1582">
        <v>1</v>
      </c>
      <c r="J1582" s="27">
        <v>64659.44</v>
      </c>
      <c r="K1582" s="27">
        <v>4000000</v>
      </c>
    </row>
    <row r="1583" spans="1:11" ht="15" customHeight="1" x14ac:dyDescent="0.2">
      <c r="A1583" t="s">
        <v>9558</v>
      </c>
      <c r="B1583" t="s">
        <v>9559</v>
      </c>
      <c r="C1583">
        <v>2024</v>
      </c>
      <c r="D1583" s="18">
        <v>45437</v>
      </c>
      <c r="E1583" s="18">
        <v>45801</v>
      </c>
      <c r="F1583" s="18" t="s">
        <v>611</v>
      </c>
      <c r="G1583" t="s">
        <v>101</v>
      </c>
      <c r="H1583">
        <v>1</v>
      </c>
      <c r="I1583">
        <v>1</v>
      </c>
      <c r="J1583" s="27">
        <v>7868.88</v>
      </c>
      <c r="K1583" s="27">
        <v>500000</v>
      </c>
    </row>
    <row r="1584" spans="1:11" ht="15" customHeight="1" x14ac:dyDescent="0.2">
      <c r="A1584" t="s">
        <v>9560</v>
      </c>
      <c r="B1584" t="s">
        <v>9561</v>
      </c>
      <c r="C1584">
        <v>2024</v>
      </c>
      <c r="D1584" s="18">
        <v>45437</v>
      </c>
      <c r="E1584" s="18">
        <v>45801</v>
      </c>
      <c r="F1584" s="18" t="s">
        <v>611</v>
      </c>
      <c r="G1584" t="s">
        <v>101</v>
      </c>
      <c r="H1584">
        <v>1</v>
      </c>
      <c r="I1584">
        <v>2</v>
      </c>
      <c r="J1584" s="27">
        <v>80049.56</v>
      </c>
      <c r="K1584" s="27">
        <v>5000000</v>
      </c>
    </row>
    <row r="1585" spans="1:11" ht="15" customHeight="1" x14ac:dyDescent="0.2">
      <c r="A1585" t="s">
        <v>9562</v>
      </c>
      <c r="B1585" t="s">
        <v>9563</v>
      </c>
      <c r="C1585">
        <v>2024</v>
      </c>
      <c r="D1585" s="18">
        <v>45437</v>
      </c>
      <c r="E1585" s="18">
        <v>45801</v>
      </c>
      <c r="F1585" s="18" t="s">
        <v>611</v>
      </c>
      <c r="G1585" t="s">
        <v>100</v>
      </c>
      <c r="H1585">
        <v>2</v>
      </c>
      <c r="I1585">
        <v>4</v>
      </c>
      <c r="J1585" s="27">
        <v>18882.259999999998</v>
      </c>
      <c r="K1585" s="27">
        <v>1500000</v>
      </c>
    </row>
    <row r="1586" spans="1:11" ht="15" customHeight="1" x14ac:dyDescent="0.2">
      <c r="A1586" t="s">
        <v>9564</v>
      </c>
      <c r="B1586" t="s">
        <v>9565</v>
      </c>
      <c r="C1586">
        <v>2024</v>
      </c>
      <c r="D1586" s="18">
        <v>45437</v>
      </c>
      <c r="E1586" s="18">
        <v>45801</v>
      </c>
      <c r="F1586" s="18" t="s">
        <v>611</v>
      </c>
      <c r="G1586" t="s">
        <v>101</v>
      </c>
      <c r="H1586">
        <v>1</v>
      </c>
      <c r="I1586">
        <v>2</v>
      </c>
      <c r="J1586" s="27">
        <v>78164.52</v>
      </c>
      <c r="K1586" s="27">
        <v>4500000</v>
      </c>
    </row>
    <row r="1587" spans="1:11" ht="15" customHeight="1" x14ac:dyDescent="0.2">
      <c r="A1587" t="s">
        <v>9566</v>
      </c>
      <c r="B1587" t="s">
        <v>9567</v>
      </c>
      <c r="C1587">
        <v>2024</v>
      </c>
      <c r="D1587" s="18">
        <v>45437</v>
      </c>
      <c r="E1587" s="18">
        <v>45801</v>
      </c>
      <c r="F1587" s="18" t="s">
        <v>611</v>
      </c>
      <c r="G1587" t="s">
        <v>100</v>
      </c>
      <c r="H1587">
        <v>1</v>
      </c>
      <c r="I1587">
        <v>1</v>
      </c>
      <c r="J1587" s="27">
        <v>68893.78</v>
      </c>
      <c r="K1587" s="27">
        <v>5000000</v>
      </c>
    </row>
    <row r="1588" spans="1:11" ht="15" customHeight="1" x14ac:dyDescent="0.2">
      <c r="A1588" t="s">
        <v>9568</v>
      </c>
      <c r="B1588" t="s">
        <v>9569</v>
      </c>
      <c r="C1588">
        <v>2024</v>
      </c>
      <c r="D1588" s="18">
        <v>45437</v>
      </c>
      <c r="E1588" s="18">
        <v>45801</v>
      </c>
      <c r="F1588" s="18" t="s">
        <v>611</v>
      </c>
      <c r="G1588" t="s">
        <v>100</v>
      </c>
      <c r="H1588">
        <v>1</v>
      </c>
      <c r="I1588">
        <v>1</v>
      </c>
      <c r="J1588" s="27">
        <v>24584.97</v>
      </c>
      <c r="K1588" s="27">
        <v>2000000</v>
      </c>
    </row>
    <row r="1589" spans="1:11" ht="15" customHeight="1" x14ac:dyDescent="0.2">
      <c r="A1589" t="s">
        <v>9570</v>
      </c>
      <c r="B1589" t="s">
        <v>9571</v>
      </c>
      <c r="C1589">
        <v>2024</v>
      </c>
      <c r="D1589" s="18">
        <v>45437</v>
      </c>
      <c r="E1589" s="18">
        <v>45801</v>
      </c>
      <c r="F1589" s="18" t="s">
        <v>611</v>
      </c>
      <c r="G1589" t="s">
        <v>99</v>
      </c>
      <c r="H1589">
        <v>1</v>
      </c>
      <c r="I1589">
        <v>1</v>
      </c>
      <c r="J1589" s="27">
        <v>21268.74</v>
      </c>
      <c r="K1589" s="27">
        <v>2500000</v>
      </c>
    </row>
    <row r="1590" spans="1:11" ht="15" customHeight="1" x14ac:dyDescent="0.2">
      <c r="A1590" t="s">
        <v>9572</v>
      </c>
      <c r="B1590" t="s">
        <v>9573</v>
      </c>
      <c r="C1590">
        <v>2024</v>
      </c>
      <c r="D1590" s="18">
        <v>45437</v>
      </c>
      <c r="E1590" s="18">
        <v>45801</v>
      </c>
      <c r="F1590" s="18" t="s">
        <v>611</v>
      </c>
      <c r="G1590" t="s">
        <v>101</v>
      </c>
      <c r="H1590">
        <v>2</v>
      </c>
      <c r="I1590">
        <v>2</v>
      </c>
      <c r="J1590" s="27">
        <v>33575.25</v>
      </c>
      <c r="K1590" s="27">
        <v>2000000</v>
      </c>
    </row>
    <row r="1591" spans="1:11" ht="15" customHeight="1" x14ac:dyDescent="0.2">
      <c r="A1591" t="s">
        <v>9574</v>
      </c>
      <c r="B1591" t="s">
        <v>9575</v>
      </c>
      <c r="C1591">
        <v>2024</v>
      </c>
      <c r="D1591" s="18">
        <v>45437</v>
      </c>
      <c r="E1591" s="18">
        <v>45801</v>
      </c>
      <c r="F1591" s="18" t="s">
        <v>611</v>
      </c>
      <c r="G1591" t="s">
        <v>101</v>
      </c>
      <c r="H1591">
        <v>1</v>
      </c>
      <c r="I1591">
        <v>2</v>
      </c>
      <c r="J1591" s="27">
        <v>27733.599999999999</v>
      </c>
      <c r="K1591" s="27">
        <v>1500000</v>
      </c>
    </row>
    <row r="1592" spans="1:11" ht="15" customHeight="1" x14ac:dyDescent="0.2">
      <c r="A1592" t="s">
        <v>9576</v>
      </c>
      <c r="B1592" t="s">
        <v>9577</v>
      </c>
      <c r="C1592">
        <v>2024</v>
      </c>
      <c r="D1592" s="18">
        <v>45438</v>
      </c>
      <c r="E1592" s="18">
        <v>45802</v>
      </c>
      <c r="F1592" s="18" t="s">
        <v>608</v>
      </c>
      <c r="G1592" t="s">
        <v>102</v>
      </c>
      <c r="H1592">
        <v>2</v>
      </c>
      <c r="I1592">
        <v>2</v>
      </c>
      <c r="J1592" s="27">
        <v>4140.46</v>
      </c>
      <c r="K1592" s="27">
        <v>500000</v>
      </c>
    </row>
    <row r="1593" spans="1:11" ht="15" customHeight="1" x14ac:dyDescent="0.2">
      <c r="A1593" t="s">
        <v>9578</v>
      </c>
      <c r="B1593" t="s">
        <v>9579</v>
      </c>
      <c r="C1593">
        <v>2024</v>
      </c>
      <c r="D1593" s="18">
        <v>45438</v>
      </c>
      <c r="E1593" s="18">
        <v>45802</v>
      </c>
      <c r="F1593" s="18" t="s">
        <v>608</v>
      </c>
      <c r="G1593" t="s">
        <v>102</v>
      </c>
      <c r="H1593">
        <v>1</v>
      </c>
      <c r="I1593">
        <v>1</v>
      </c>
      <c r="J1593" s="27">
        <v>17372.57</v>
      </c>
      <c r="K1593" s="27">
        <v>2000000</v>
      </c>
    </row>
    <row r="1594" spans="1:11" ht="15" customHeight="1" x14ac:dyDescent="0.2">
      <c r="A1594" t="s">
        <v>9580</v>
      </c>
      <c r="B1594" t="s">
        <v>9581</v>
      </c>
      <c r="C1594">
        <v>2024</v>
      </c>
      <c r="D1594" s="18">
        <v>45438</v>
      </c>
      <c r="E1594" s="18">
        <v>45802</v>
      </c>
      <c r="F1594" s="18" t="s">
        <v>611</v>
      </c>
      <c r="G1594" t="s">
        <v>102</v>
      </c>
      <c r="H1594">
        <v>1</v>
      </c>
      <c r="I1594">
        <v>2</v>
      </c>
      <c r="J1594" s="27">
        <v>15953.34</v>
      </c>
      <c r="K1594" s="27">
        <v>2000000</v>
      </c>
    </row>
    <row r="1595" spans="1:11" ht="15" customHeight="1" x14ac:dyDescent="0.2">
      <c r="A1595" t="s">
        <v>9582</v>
      </c>
      <c r="B1595" t="s">
        <v>9583</v>
      </c>
      <c r="C1595">
        <v>2024</v>
      </c>
      <c r="D1595" s="18">
        <v>45438</v>
      </c>
      <c r="E1595" s="18">
        <v>45802</v>
      </c>
      <c r="F1595" s="18" t="s">
        <v>611</v>
      </c>
      <c r="G1595" t="s">
        <v>100</v>
      </c>
      <c r="H1595">
        <v>1</v>
      </c>
      <c r="I1595">
        <v>1</v>
      </c>
      <c r="J1595" s="27">
        <v>49244.34</v>
      </c>
      <c r="K1595" s="27">
        <v>4000000</v>
      </c>
    </row>
    <row r="1596" spans="1:11" ht="15" customHeight="1" x14ac:dyDescent="0.2">
      <c r="A1596" t="s">
        <v>9584</v>
      </c>
      <c r="B1596" t="s">
        <v>9585</v>
      </c>
      <c r="C1596">
        <v>2024</v>
      </c>
      <c r="D1596" s="18">
        <v>45438</v>
      </c>
      <c r="E1596" s="18">
        <v>45802</v>
      </c>
      <c r="F1596" s="18" t="s">
        <v>611</v>
      </c>
      <c r="G1596" t="s">
        <v>102</v>
      </c>
      <c r="H1596">
        <v>3</v>
      </c>
      <c r="I1596">
        <v>3</v>
      </c>
      <c r="J1596" s="27">
        <v>23096.73</v>
      </c>
      <c r="K1596" s="27">
        <v>2500000</v>
      </c>
    </row>
    <row r="1597" spans="1:11" ht="15" customHeight="1" x14ac:dyDescent="0.2">
      <c r="A1597" t="s">
        <v>9586</v>
      </c>
      <c r="B1597" t="s">
        <v>9587</v>
      </c>
      <c r="C1597">
        <v>2024</v>
      </c>
      <c r="D1597" s="18">
        <v>45439</v>
      </c>
      <c r="E1597" s="18">
        <v>45803</v>
      </c>
      <c r="F1597" s="18" t="s">
        <v>608</v>
      </c>
      <c r="G1597" t="s">
        <v>102</v>
      </c>
      <c r="H1597">
        <v>1</v>
      </c>
      <c r="I1597">
        <v>2</v>
      </c>
      <c r="J1597" s="27">
        <v>35487.199999999997</v>
      </c>
      <c r="K1597" s="27">
        <v>4000000</v>
      </c>
    </row>
    <row r="1598" spans="1:11" ht="15" customHeight="1" x14ac:dyDescent="0.2">
      <c r="A1598" t="s">
        <v>9588</v>
      </c>
      <c r="B1598" t="s">
        <v>9589</v>
      </c>
      <c r="C1598">
        <v>2024</v>
      </c>
      <c r="D1598" s="18">
        <v>45439</v>
      </c>
      <c r="E1598" s="18">
        <v>45803</v>
      </c>
      <c r="F1598" s="18" t="s">
        <v>611</v>
      </c>
      <c r="G1598" t="s">
        <v>101</v>
      </c>
      <c r="H1598">
        <v>2</v>
      </c>
      <c r="I1598">
        <v>2</v>
      </c>
      <c r="J1598" s="27">
        <v>83173.63</v>
      </c>
      <c r="K1598" s="27">
        <v>4500000</v>
      </c>
    </row>
    <row r="1599" spans="1:11" ht="15" customHeight="1" x14ac:dyDescent="0.2">
      <c r="A1599" t="s">
        <v>9590</v>
      </c>
      <c r="B1599" t="s">
        <v>9591</v>
      </c>
      <c r="C1599">
        <v>2024</v>
      </c>
      <c r="D1599" s="18">
        <v>45439</v>
      </c>
      <c r="E1599" s="18">
        <v>45803</v>
      </c>
      <c r="F1599" s="18" t="s">
        <v>611</v>
      </c>
      <c r="G1599" t="s">
        <v>100</v>
      </c>
      <c r="H1599">
        <v>2</v>
      </c>
      <c r="I1599">
        <v>4</v>
      </c>
      <c r="J1599" s="27">
        <v>12100.2</v>
      </c>
      <c r="K1599" s="27">
        <v>1000000</v>
      </c>
    </row>
    <row r="1600" spans="1:11" ht="15" customHeight="1" x14ac:dyDescent="0.2">
      <c r="A1600" t="s">
        <v>9592</v>
      </c>
      <c r="B1600" t="s">
        <v>9593</v>
      </c>
      <c r="C1600">
        <v>2024</v>
      </c>
      <c r="D1600" s="18">
        <v>45439</v>
      </c>
      <c r="E1600" s="18">
        <v>45803</v>
      </c>
      <c r="F1600" s="18" t="s">
        <v>611</v>
      </c>
      <c r="G1600" t="s">
        <v>101</v>
      </c>
      <c r="H1600">
        <v>1</v>
      </c>
      <c r="I1600">
        <v>1</v>
      </c>
      <c r="J1600" s="27">
        <v>36257.550000000003</v>
      </c>
      <c r="K1600" s="27">
        <v>2000000</v>
      </c>
    </row>
    <row r="1601" spans="1:11" ht="15" customHeight="1" x14ac:dyDescent="0.2">
      <c r="A1601" t="s">
        <v>9594</v>
      </c>
      <c r="B1601" t="s">
        <v>9595</v>
      </c>
      <c r="C1601">
        <v>2024</v>
      </c>
      <c r="D1601" s="18">
        <v>45439</v>
      </c>
      <c r="E1601" s="18">
        <v>45803</v>
      </c>
      <c r="F1601" s="18" t="s">
        <v>611</v>
      </c>
      <c r="G1601" t="s">
        <v>99</v>
      </c>
      <c r="H1601">
        <v>2</v>
      </c>
      <c r="I1601">
        <v>4</v>
      </c>
      <c r="J1601" s="27">
        <v>39570.559999999998</v>
      </c>
      <c r="K1601" s="27">
        <v>5000000</v>
      </c>
    </row>
    <row r="1602" spans="1:11" ht="15" customHeight="1" x14ac:dyDescent="0.2">
      <c r="A1602" t="s">
        <v>9596</v>
      </c>
      <c r="B1602" t="s">
        <v>9597</v>
      </c>
      <c r="C1602">
        <v>2024</v>
      </c>
      <c r="D1602" s="18">
        <v>45439</v>
      </c>
      <c r="E1602" s="18">
        <v>45803</v>
      </c>
      <c r="F1602" s="18" t="s">
        <v>611</v>
      </c>
      <c r="G1602" t="s">
        <v>101</v>
      </c>
      <c r="H1602">
        <v>1</v>
      </c>
      <c r="I1602">
        <v>2</v>
      </c>
      <c r="J1602" s="27">
        <v>65312.36</v>
      </c>
      <c r="K1602" s="27">
        <v>3500000</v>
      </c>
    </row>
    <row r="1603" spans="1:11" ht="15" customHeight="1" x14ac:dyDescent="0.2">
      <c r="A1603" t="s">
        <v>9598</v>
      </c>
      <c r="B1603" t="s">
        <v>9599</v>
      </c>
      <c r="C1603">
        <v>2024</v>
      </c>
      <c r="D1603" s="18">
        <v>45439</v>
      </c>
      <c r="E1603" s="18">
        <v>45803</v>
      </c>
      <c r="F1603" s="18" t="s">
        <v>611</v>
      </c>
      <c r="G1603" t="s">
        <v>101</v>
      </c>
      <c r="H1603">
        <v>1</v>
      </c>
      <c r="I1603">
        <v>2</v>
      </c>
      <c r="J1603" s="27">
        <v>55912.29</v>
      </c>
      <c r="K1603" s="27">
        <v>3500000</v>
      </c>
    </row>
    <row r="1604" spans="1:11" ht="15" customHeight="1" x14ac:dyDescent="0.2">
      <c r="A1604" t="s">
        <v>9600</v>
      </c>
      <c r="B1604" t="s">
        <v>9601</v>
      </c>
      <c r="C1604">
        <v>2024</v>
      </c>
      <c r="D1604" s="18">
        <v>45440</v>
      </c>
      <c r="E1604" s="18">
        <v>45804</v>
      </c>
      <c r="F1604" s="18" t="s">
        <v>608</v>
      </c>
      <c r="G1604" t="s">
        <v>101</v>
      </c>
      <c r="H1604">
        <v>2</v>
      </c>
      <c r="I1604">
        <v>2</v>
      </c>
      <c r="J1604" s="27">
        <v>71271.44</v>
      </c>
      <c r="K1604" s="27">
        <v>4000000</v>
      </c>
    </row>
    <row r="1605" spans="1:11" ht="15" customHeight="1" x14ac:dyDescent="0.2">
      <c r="A1605" t="s">
        <v>9602</v>
      </c>
      <c r="B1605" t="s">
        <v>9603</v>
      </c>
      <c r="C1605">
        <v>2024</v>
      </c>
      <c r="D1605" s="18">
        <v>45440</v>
      </c>
      <c r="E1605" s="18">
        <v>45804</v>
      </c>
      <c r="F1605" s="18" t="s">
        <v>608</v>
      </c>
      <c r="G1605" t="s">
        <v>100</v>
      </c>
      <c r="H1605">
        <v>1</v>
      </c>
      <c r="I1605">
        <v>2</v>
      </c>
      <c r="J1605" s="27">
        <v>6889.19</v>
      </c>
      <c r="K1605" s="27">
        <v>500000</v>
      </c>
    </row>
    <row r="1606" spans="1:11" ht="15" customHeight="1" x14ac:dyDescent="0.2">
      <c r="A1606" t="s">
        <v>9604</v>
      </c>
      <c r="B1606" t="s">
        <v>9605</v>
      </c>
      <c r="C1606">
        <v>2024</v>
      </c>
      <c r="D1606" s="18">
        <v>45440</v>
      </c>
      <c r="E1606" s="18">
        <v>45804</v>
      </c>
      <c r="F1606" s="18" t="s">
        <v>608</v>
      </c>
      <c r="G1606" t="s">
        <v>101</v>
      </c>
      <c r="H1606">
        <v>3</v>
      </c>
      <c r="I1606">
        <v>6</v>
      </c>
      <c r="J1606" s="27">
        <v>15916.97</v>
      </c>
      <c r="K1606" s="27">
        <v>1000000</v>
      </c>
    </row>
    <row r="1607" spans="1:11" ht="15" customHeight="1" x14ac:dyDescent="0.2">
      <c r="A1607" t="s">
        <v>9606</v>
      </c>
      <c r="B1607" t="s">
        <v>9607</v>
      </c>
      <c r="C1607">
        <v>2024</v>
      </c>
      <c r="D1607" s="18">
        <v>45440</v>
      </c>
      <c r="E1607" s="18">
        <v>45804</v>
      </c>
      <c r="F1607" s="18" t="s">
        <v>611</v>
      </c>
      <c r="G1607" t="s">
        <v>100</v>
      </c>
      <c r="H1607">
        <v>1</v>
      </c>
      <c r="I1607">
        <v>1</v>
      </c>
      <c r="J1607" s="27">
        <v>27884.45</v>
      </c>
      <c r="K1607" s="27">
        <v>2000000</v>
      </c>
    </row>
    <row r="1608" spans="1:11" ht="15" customHeight="1" x14ac:dyDescent="0.2">
      <c r="A1608" t="s">
        <v>9608</v>
      </c>
      <c r="B1608" t="s">
        <v>9609</v>
      </c>
      <c r="C1608">
        <v>2024</v>
      </c>
      <c r="D1608" s="18">
        <v>45440</v>
      </c>
      <c r="E1608" s="18">
        <v>45804</v>
      </c>
      <c r="F1608" s="18" t="s">
        <v>611</v>
      </c>
      <c r="G1608" t="s">
        <v>101</v>
      </c>
      <c r="H1608">
        <v>1</v>
      </c>
      <c r="I1608">
        <v>1</v>
      </c>
      <c r="J1608" s="27">
        <v>37491.660000000003</v>
      </c>
      <c r="K1608" s="27">
        <v>2000000</v>
      </c>
    </row>
    <row r="1609" spans="1:11" ht="15" customHeight="1" x14ac:dyDescent="0.2">
      <c r="A1609" t="s">
        <v>9610</v>
      </c>
      <c r="B1609" t="s">
        <v>9611</v>
      </c>
      <c r="C1609">
        <v>2024</v>
      </c>
      <c r="D1609" s="18">
        <v>45440</v>
      </c>
      <c r="E1609" s="18">
        <v>45804</v>
      </c>
      <c r="F1609" s="18" t="s">
        <v>611</v>
      </c>
      <c r="G1609" t="s">
        <v>99</v>
      </c>
      <c r="H1609">
        <v>3</v>
      </c>
      <c r="I1609">
        <v>6</v>
      </c>
      <c r="J1609" s="27">
        <v>38432.660000000003</v>
      </c>
      <c r="K1609" s="27">
        <v>5000000</v>
      </c>
    </row>
    <row r="1610" spans="1:11" ht="15" customHeight="1" x14ac:dyDescent="0.2">
      <c r="A1610" t="s">
        <v>9612</v>
      </c>
      <c r="B1610" t="s">
        <v>9613</v>
      </c>
      <c r="C1610">
        <v>2024</v>
      </c>
      <c r="D1610" s="18">
        <v>45440</v>
      </c>
      <c r="E1610" s="18">
        <v>45804</v>
      </c>
      <c r="F1610" s="18" t="s">
        <v>611</v>
      </c>
      <c r="G1610" t="s">
        <v>100</v>
      </c>
      <c r="H1610">
        <v>1</v>
      </c>
      <c r="I1610">
        <v>1</v>
      </c>
      <c r="J1610" s="27">
        <v>37657.21</v>
      </c>
      <c r="K1610" s="27">
        <v>3000000</v>
      </c>
    </row>
    <row r="1611" spans="1:11" ht="15" customHeight="1" x14ac:dyDescent="0.2">
      <c r="A1611" t="s">
        <v>9614</v>
      </c>
      <c r="B1611" t="s">
        <v>9615</v>
      </c>
      <c r="C1611">
        <v>2024</v>
      </c>
      <c r="D1611" s="18">
        <v>45440</v>
      </c>
      <c r="E1611" s="18">
        <v>45804</v>
      </c>
      <c r="F1611" s="18" t="s">
        <v>611</v>
      </c>
      <c r="G1611" t="s">
        <v>100</v>
      </c>
      <c r="H1611">
        <v>3</v>
      </c>
      <c r="I1611">
        <v>3</v>
      </c>
      <c r="J1611" s="27">
        <v>69522.490000000005</v>
      </c>
      <c r="K1611" s="27">
        <v>5000000</v>
      </c>
    </row>
    <row r="1612" spans="1:11" ht="15" customHeight="1" x14ac:dyDescent="0.2">
      <c r="A1612" t="s">
        <v>9616</v>
      </c>
      <c r="B1612" t="s">
        <v>9617</v>
      </c>
      <c r="C1612">
        <v>2024</v>
      </c>
      <c r="D1612" s="18">
        <v>45440</v>
      </c>
      <c r="E1612" s="18">
        <v>45804</v>
      </c>
      <c r="F1612" s="18" t="s">
        <v>611</v>
      </c>
      <c r="G1612" t="s">
        <v>99</v>
      </c>
      <c r="H1612">
        <v>2</v>
      </c>
      <c r="I1612">
        <v>4</v>
      </c>
      <c r="J1612" s="27">
        <v>16733.349999999999</v>
      </c>
      <c r="K1612" s="27">
        <v>2000000</v>
      </c>
    </row>
    <row r="1613" spans="1:11" ht="15" customHeight="1" x14ac:dyDescent="0.2">
      <c r="A1613" t="s">
        <v>9618</v>
      </c>
      <c r="B1613" t="s">
        <v>9619</v>
      </c>
      <c r="C1613">
        <v>2024</v>
      </c>
      <c r="D1613" s="18">
        <v>45440</v>
      </c>
      <c r="E1613" s="18">
        <v>45804</v>
      </c>
      <c r="F1613" s="18" t="s">
        <v>611</v>
      </c>
      <c r="G1613" t="s">
        <v>99</v>
      </c>
      <c r="H1613">
        <v>3</v>
      </c>
      <c r="I1613">
        <v>3</v>
      </c>
      <c r="J1613" s="27">
        <v>31873.1</v>
      </c>
      <c r="K1613" s="27">
        <v>4000000</v>
      </c>
    </row>
    <row r="1614" spans="1:11" ht="15" customHeight="1" x14ac:dyDescent="0.2">
      <c r="A1614" t="s">
        <v>9620</v>
      </c>
      <c r="B1614" t="s">
        <v>9621</v>
      </c>
      <c r="C1614">
        <v>2024</v>
      </c>
      <c r="D1614" s="18">
        <v>45440</v>
      </c>
      <c r="E1614" s="18">
        <v>45804</v>
      </c>
      <c r="F1614" s="18" t="s">
        <v>611</v>
      </c>
      <c r="G1614" t="s">
        <v>101</v>
      </c>
      <c r="H1614">
        <v>3</v>
      </c>
      <c r="I1614">
        <v>3</v>
      </c>
      <c r="J1614" s="27">
        <v>395377.82</v>
      </c>
      <c r="K1614" s="27">
        <v>2000000</v>
      </c>
    </row>
    <row r="1615" spans="1:11" ht="15" customHeight="1" x14ac:dyDescent="0.2">
      <c r="A1615" t="s">
        <v>9622</v>
      </c>
      <c r="B1615" t="s">
        <v>9623</v>
      </c>
      <c r="C1615">
        <v>2024</v>
      </c>
      <c r="D1615" s="18">
        <v>45440</v>
      </c>
      <c r="E1615" s="18">
        <v>45804</v>
      </c>
      <c r="F1615" s="18" t="s">
        <v>611</v>
      </c>
      <c r="G1615" t="s">
        <v>102</v>
      </c>
      <c r="H1615">
        <v>1</v>
      </c>
      <c r="I1615">
        <v>1</v>
      </c>
      <c r="J1615" s="27">
        <v>11949.96</v>
      </c>
      <c r="K1615" s="27">
        <v>1500000</v>
      </c>
    </row>
    <row r="1616" spans="1:11" ht="15" customHeight="1" x14ac:dyDescent="0.2">
      <c r="A1616" t="s">
        <v>9624</v>
      </c>
      <c r="B1616" t="s">
        <v>9625</v>
      </c>
      <c r="C1616">
        <v>2024</v>
      </c>
      <c r="D1616" s="18">
        <v>45441</v>
      </c>
      <c r="E1616" s="18">
        <v>45805</v>
      </c>
      <c r="F1616" s="18" t="s">
        <v>611</v>
      </c>
      <c r="G1616" t="s">
        <v>99</v>
      </c>
      <c r="H1616">
        <v>2</v>
      </c>
      <c r="I1616">
        <v>2</v>
      </c>
      <c r="J1616" s="27">
        <v>40611.81</v>
      </c>
      <c r="K1616" s="27">
        <v>5000000</v>
      </c>
    </row>
    <row r="1617" spans="1:11" ht="15" customHeight="1" x14ac:dyDescent="0.2">
      <c r="A1617" t="s">
        <v>9626</v>
      </c>
      <c r="B1617" t="s">
        <v>9627</v>
      </c>
      <c r="C1617">
        <v>2024</v>
      </c>
      <c r="D1617" s="18">
        <v>45441</v>
      </c>
      <c r="E1617" s="18">
        <v>45805</v>
      </c>
      <c r="F1617" s="18" t="s">
        <v>611</v>
      </c>
      <c r="G1617" t="s">
        <v>100</v>
      </c>
      <c r="H1617">
        <v>1</v>
      </c>
      <c r="I1617">
        <v>1</v>
      </c>
      <c r="J1617" s="27">
        <v>67077.539999999994</v>
      </c>
      <c r="K1617" s="27">
        <v>5000000</v>
      </c>
    </row>
    <row r="1618" spans="1:11" ht="15" customHeight="1" x14ac:dyDescent="0.2">
      <c r="A1618" t="s">
        <v>9628</v>
      </c>
      <c r="B1618" t="s">
        <v>9629</v>
      </c>
      <c r="C1618">
        <v>2024</v>
      </c>
      <c r="D1618" s="18">
        <v>45441</v>
      </c>
      <c r="E1618" s="18">
        <v>45805</v>
      </c>
      <c r="F1618" s="18" t="s">
        <v>611</v>
      </c>
      <c r="G1618" t="s">
        <v>101</v>
      </c>
      <c r="H1618">
        <v>3</v>
      </c>
      <c r="I1618">
        <v>3</v>
      </c>
      <c r="J1618" s="27">
        <v>7979.46</v>
      </c>
      <c r="K1618" s="27">
        <v>500000</v>
      </c>
    </row>
    <row r="1619" spans="1:11" ht="15" customHeight="1" x14ac:dyDescent="0.2">
      <c r="A1619" t="s">
        <v>9630</v>
      </c>
      <c r="B1619" t="s">
        <v>9631</v>
      </c>
      <c r="C1619">
        <v>2024</v>
      </c>
      <c r="D1619" s="18">
        <v>45442</v>
      </c>
      <c r="E1619" s="18">
        <v>45806</v>
      </c>
      <c r="F1619" s="18" t="s">
        <v>608</v>
      </c>
      <c r="G1619" t="s">
        <v>100</v>
      </c>
      <c r="H1619">
        <v>2</v>
      </c>
      <c r="I1619">
        <v>4</v>
      </c>
      <c r="J1619" s="27">
        <v>69375.539999999994</v>
      </c>
      <c r="K1619" s="27">
        <v>5000000</v>
      </c>
    </row>
    <row r="1620" spans="1:11" ht="15" customHeight="1" x14ac:dyDescent="0.2">
      <c r="A1620" t="s">
        <v>9632</v>
      </c>
      <c r="B1620" t="s">
        <v>9633</v>
      </c>
      <c r="C1620">
        <v>2024</v>
      </c>
      <c r="D1620" s="18">
        <v>45442</v>
      </c>
      <c r="E1620" s="18">
        <v>45806</v>
      </c>
      <c r="F1620" s="18" t="s">
        <v>608</v>
      </c>
      <c r="G1620" t="s">
        <v>101</v>
      </c>
      <c r="H1620">
        <v>1</v>
      </c>
      <c r="I1620">
        <v>2</v>
      </c>
      <c r="J1620" s="27">
        <v>8014.22</v>
      </c>
      <c r="K1620" s="27">
        <v>500000</v>
      </c>
    </row>
    <row r="1621" spans="1:11" ht="15" customHeight="1" x14ac:dyDescent="0.2">
      <c r="A1621" t="s">
        <v>9634</v>
      </c>
      <c r="B1621" t="s">
        <v>9635</v>
      </c>
      <c r="C1621">
        <v>2024</v>
      </c>
      <c r="D1621" s="18">
        <v>45442</v>
      </c>
      <c r="E1621" s="18">
        <v>45806</v>
      </c>
      <c r="F1621" s="18" t="s">
        <v>608</v>
      </c>
      <c r="G1621" t="s">
        <v>99</v>
      </c>
      <c r="H1621">
        <v>3</v>
      </c>
      <c r="I1621">
        <v>3</v>
      </c>
      <c r="J1621" s="27">
        <v>17581.990000000002</v>
      </c>
      <c r="K1621" s="27">
        <v>2000000</v>
      </c>
    </row>
    <row r="1622" spans="1:11" ht="15" customHeight="1" x14ac:dyDescent="0.2">
      <c r="A1622" t="s">
        <v>9636</v>
      </c>
      <c r="B1622" t="s">
        <v>9637</v>
      </c>
      <c r="C1622">
        <v>2024</v>
      </c>
      <c r="D1622" s="18">
        <v>45442</v>
      </c>
      <c r="E1622" s="18">
        <v>45806</v>
      </c>
      <c r="F1622" s="18" t="s">
        <v>611</v>
      </c>
      <c r="G1622" t="s">
        <v>100</v>
      </c>
      <c r="H1622">
        <v>1</v>
      </c>
      <c r="I1622">
        <v>1</v>
      </c>
      <c r="J1622" s="27">
        <v>35041.620000000003</v>
      </c>
      <c r="K1622" s="27">
        <v>2500000</v>
      </c>
    </row>
    <row r="1623" spans="1:11" ht="15" customHeight="1" x14ac:dyDescent="0.2">
      <c r="A1623" t="s">
        <v>9638</v>
      </c>
      <c r="B1623" t="s">
        <v>9639</v>
      </c>
      <c r="C1623">
        <v>2024</v>
      </c>
      <c r="D1623" s="18">
        <v>45442</v>
      </c>
      <c r="E1623" s="18">
        <v>45806</v>
      </c>
      <c r="F1623" s="18" t="s">
        <v>611</v>
      </c>
      <c r="G1623" t="s">
        <v>99</v>
      </c>
      <c r="H1623">
        <v>1</v>
      </c>
      <c r="I1623">
        <v>2</v>
      </c>
      <c r="J1623" s="27">
        <v>17453.98</v>
      </c>
      <c r="K1623" s="27">
        <v>2000000</v>
      </c>
    </row>
    <row r="1624" spans="1:11" ht="15" customHeight="1" x14ac:dyDescent="0.2">
      <c r="A1624" t="s">
        <v>9640</v>
      </c>
      <c r="B1624" t="s">
        <v>9641</v>
      </c>
      <c r="C1624">
        <v>2024</v>
      </c>
      <c r="D1624" s="18">
        <v>45442</v>
      </c>
      <c r="E1624" s="18">
        <v>45806</v>
      </c>
      <c r="F1624" s="18" t="s">
        <v>611</v>
      </c>
      <c r="G1624" t="s">
        <v>99</v>
      </c>
      <c r="H1624">
        <v>1</v>
      </c>
      <c r="I1624">
        <v>1</v>
      </c>
      <c r="J1624" s="27">
        <v>36337.07</v>
      </c>
      <c r="K1624" s="27">
        <v>4500000</v>
      </c>
    </row>
    <row r="1625" spans="1:11" ht="15" customHeight="1" x14ac:dyDescent="0.2">
      <c r="A1625" t="s">
        <v>9642</v>
      </c>
      <c r="B1625" t="s">
        <v>9643</v>
      </c>
      <c r="C1625">
        <v>2024</v>
      </c>
      <c r="D1625" s="18">
        <v>45442</v>
      </c>
      <c r="E1625" s="18">
        <v>45806</v>
      </c>
      <c r="F1625" s="18" t="s">
        <v>611</v>
      </c>
      <c r="G1625" t="s">
        <v>100</v>
      </c>
      <c r="H1625">
        <v>2</v>
      </c>
      <c r="I1625">
        <v>4</v>
      </c>
      <c r="J1625" s="27">
        <v>49525.86</v>
      </c>
      <c r="K1625" s="27">
        <v>3500000</v>
      </c>
    </row>
    <row r="1626" spans="1:11" ht="15" customHeight="1" x14ac:dyDescent="0.2">
      <c r="A1626" t="s">
        <v>9644</v>
      </c>
      <c r="B1626" t="s">
        <v>9645</v>
      </c>
      <c r="C1626">
        <v>2024</v>
      </c>
      <c r="D1626" s="18">
        <v>45442</v>
      </c>
      <c r="E1626" s="18">
        <v>45806</v>
      </c>
      <c r="F1626" s="18" t="s">
        <v>611</v>
      </c>
      <c r="G1626" t="s">
        <v>101</v>
      </c>
      <c r="H1626">
        <v>1</v>
      </c>
      <c r="I1626">
        <v>1</v>
      </c>
      <c r="J1626" s="27">
        <v>18544.580000000002</v>
      </c>
      <c r="K1626" s="27">
        <v>1000000</v>
      </c>
    </row>
    <row r="1627" spans="1:11" ht="15" customHeight="1" x14ac:dyDescent="0.2">
      <c r="A1627" t="s">
        <v>9646</v>
      </c>
      <c r="B1627" t="s">
        <v>9647</v>
      </c>
      <c r="C1627">
        <v>2024</v>
      </c>
      <c r="D1627" s="18">
        <v>45442</v>
      </c>
      <c r="E1627" s="18">
        <v>45806</v>
      </c>
      <c r="F1627" s="18" t="s">
        <v>611</v>
      </c>
      <c r="G1627" t="s">
        <v>102</v>
      </c>
      <c r="H1627">
        <v>3</v>
      </c>
      <c r="I1627">
        <v>3</v>
      </c>
      <c r="J1627" s="27">
        <v>16596.23</v>
      </c>
      <c r="K1627" s="27">
        <v>2000000</v>
      </c>
    </row>
    <row r="1628" spans="1:11" ht="15" customHeight="1" x14ac:dyDescent="0.2">
      <c r="A1628" t="s">
        <v>9648</v>
      </c>
      <c r="B1628" t="s">
        <v>9649</v>
      </c>
      <c r="C1628">
        <v>2024</v>
      </c>
      <c r="D1628" s="18">
        <v>45442</v>
      </c>
      <c r="E1628" s="18">
        <v>45806</v>
      </c>
      <c r="F1628" s="18" t="s">
        <v>611</v>
      </c>
      <c r="G1628" t="s">
        <v>101</v>
      </c>
      <c r="H1628">
        <v>2</v>
      </c>
      <c r="I1628">
        <v>2</v>
      </c>
      <c r="J1628" s="27">
        <v>32066.16</v>
      </c>
      <c r="K1628" s="27">
        <v>2000000</v>
      </c>
    </row>
    <row r="1629" spans="1:11" ht="15" customHeight="1" x14ac:dyDescent="0.2">
      <c r="A1629" t="s">
        <v>9650</v>
      </c>
      <c r="B1629" t="s">
        <v>9651</v>
      </c>
      <c r="C1629">
        <v>2024</v>
      </c>
      <c r="D1629" s="18">
        <v>45443</v>
      </c>
      <c r="E1629" s="18">
        <v>45807</v>
      </c>
      <c r="F1629" s="18" t="s">
        <v>608</v>
      </c>
      <c r="G1629" t="s">
        <v>99</v>
      </c>
      <c r="H1629">
        <v>2</v>
      </c>
      <c r="I1629">
        <v>2</v>
      </c>
      <c r="J1629" s="27">
        <v>22297.29</v>
      </c>
      <c r="K1629" s="27">
        <v>2500000</v>
      </c>
    </row>
    <row r="1630" spans="1:11" ht="15" customHeight="1" x14ac:dyDescent="0.2">
      <c r="A1630" t="s">
        <v>9652</v>
      </c>
      <c r="B1630" t="s">
        <v>9653</v>
      </c>
      <c r="C1630">
        <v>2024</v>
      </c>
      <c r="D1630" s="18">
        <v>45443</v>
      </c>
      <c r="E1630" s="18">
        <v>45807</v>
      </c>
      <c r="F1630" s="18" t="s">
        <v>611</v>
      </c>
      <c r="G1630" t="s">
        <v>100</v>
      </c>
      <c r="H1630">
        <v>3</v>
      </c>
      <c r="I1630">
        <v>3</v>
      </c>
      <c r="J1630" s="27">
        <v>13253.85</v>
      </c>
      <c r="K1630" s="27">
        <v>1000000</v>
      </c>
    </row>
    <row r="1631" spans="1:11" ht="15" customHeight="1" x14ac:dyDescent="0.2">
      <c r="A1631" t="s">
        <v>9654</v>
      </c>
      <c r="B1631" t="s">
        <v>9655</v>
      </c>
      <c r="C1631">
        <v>2024</v>
      </c>
      <c r="D1631" s="18">
        <v>45443</v>
      </c>
      <c r="E1631" s="18">
        <v>45807</v>
      </c>
      <c r="F1631" s="18" t="s">
        <v>611</v>
      </c>
      <c r="G1631" t="s">
        <v>99</v>
      </c>
      <c r="H1631">
        <v>2</v>
      </c>
      <c r="I1631">
        <v>2</v>
      </c>
      <c r="J1631" s="27">
        <v>88123.55</v>
      </c>
      <c r="K1631" s="27">
        <v>10000000</v>
      </c>
    </row>
    <row r="1632" spans="1:11" ht="15" customHeight="1" x14ac:dyDescent="0.2">
      <c r="A1632" t="s">
        <v>9656</v>
      </c>
      <c r="B1632" t="s">
        <v>9657</v>
      </c>
      <c r="C1632">
        <v>2024</v>
      </c>
      <c r="D1632" s="18">
        <v>45443</v>
      </c>
      <c r="E1632" s="18">
        <v>45807</v>
      </c>
      <c r="F1632" s="18" t="s">
        <v>611</v>
      </c>
      <c r="G1632" t="s">
        <v>101</v>
      </c>
      <c r="H1632">
        <v>1</v>
      </c>
      <c r="I1632">
        <v>1</v>
      </c>
      <c r="J1632" s="27">
        <v>73041.22</v>
      </c>
      <c r="K1632" s="27">
        <v>4000000</v>
      </c>
    </row>
    <row r="1633" spans="1:11" ht="15" customHeight="1" x14ac:dyDescent="0.2">
      <c r="A1633" t="s">
        <v>9658</v>
      </c>
      <c r="B1633" t="s">
        <v>9659</v>
      </c>
      <c r="C1633">
        <v>2024</v>
      </c>
      <c r="D1633" s="18">
        <v>45443</v>
      </c>
      <c r="E1633" s="18">
        <v>45807</v>
      </c>
      <c r="F1633" s="18" t="s">
        <v>611</v>
      </c>
      <c r="G1633" t="s">
        <v>100</v>
      </c>
      <c r="H1633">
        <v>3</v>
      </c>
      <c r="I1633">
        <v>3</v>
      </c>
      <c r="J1633" s="27">
        <v>38718.28</v>
      </c>
      <c r="K1633" s="27">
        <v>3000000</v>
      </c>
    </row>
    <row r="1634" spans="1:11" ht="15" customHeight="1" x14ac:dyDescent="0.2">
      <c r="A1634" t="s">
        <v>9660</v>
      </c>
      <c r="B1634" t="s">
        <v>9661</v>
      </c>
      <c r="C1634">
        <v>2024</v>
      </c>
      <c r="D1634" s="18">
        <v>45444</v>
      </c>
      <c r="E1634" s="18">
        <v>45808</v>
      </c>
      <c r="F1634" s="18" t="s">
        <v>608</v>
      </c>
      <c r="G1634" t="s">
        <v>102</v>
      </c>
      <c r="H1634">
        <v>2</v>
      </c>
      <c r="I1634">
        <v>2</v>
      </c>
      <c r="J1634" s="27">
        <v>8178.4</v>
      </c>
      <c r="K1634" s="27">
        <v>1000000</v>
      </c>
    </row>
    <row r="1635" spans="1:11" ht="15" customHeight="1" x14ac:dyDescent="0.2">
      <c r="A1635" t="s">
        <v>9662</v>
      </c>
      <c r="B1635" t="s">
        <v>9663</v>
      </c>
      <c r="C1635">
        <v>2024</v>
      </c>
      <c r="D1635" s="18">
        <v>45444</v>
      </c>
      <c r="E1635" s="18">
        <v>45808</v>
      </c>
      <c r="F1635" s="18" t="s">
        <v>611</v>
      </c>
      <c r="G1635" t="s">
        <v>100</v>
      </c>
      <c r="H1635">
        <v>1</v>
      </c>
      <c r="I1635">
        <v>2</v>
      </c>
      <c r="J1635" s="27">
        <v>7121.71</v>
      </c>
      <c r="K1635" s="27">
        <v>500000</v>
      </c>
    </row>
    <row r="1636" spans="1:11" ht="15" customHeight="1" x14ac:dyDescent="0.2">
      <c r="A1636" t="s">
        <v>9664</v>
      </c>
      <c r="B1636" t="s">
        <v>9665</v>
      </c>
      <c r="C1636">
        <v>2024</v>
      </c>
      <c r="D1636" s="18">
        <v>45444</v>
      </c>
      <c r="E1636" s="18">
        <v>45808</v>
      </c>
      <c r="F1636" s="18" t="s">
        <v>611</v>
      </c>
      <c r="G1636" t="s">
        <v>101</v>
      </c>
      <c r="H1636">
        <v>3</v>
      </c>
      <c r="I1636">
        <v>6</v>
      </c>
      <c r="J1636" s="27">
        <v>49041.18</v>
      </c>
      <c r="K1636" s="27">
        <v>3000000</v>
      </c>
    </row>
    <row r="1637" spans="1:11" ht="15" customHeight="1" x14ac:dyDescent="0.2">
      <c r="A1637" t="s">
        <v>9666</v>
      </c>
      <c r="B1637" t="s">
        <v>9667</v>
      </c>
      <c r="C1637">
        <v>2024</v>
      </c>
      <c r="D1637" s="18">
        <v>45444</v>
      </c>
      <c r="E1637" s="18">
        <v>45808</v>
      </c>
      <c r="F1637" s="18" t="s">
        <v>611</v>
      </c>
      <c r="G1637" t="s">
        <v>102</v>
      </c>
      <c r="H1637">
        <v>1</v>
      </c>
      <c r="I1637">
        <v>2</v>
      </c>
      <c r="J1637" s="27">
        <v>34490.32</v>
      </c>
      <c r="K1637" s="27">
        <v>4000000</v>
      </c>
    </row>
    <row r="1638" spans="1:11" ht="15" customHeight="1" x14ac:dyDescent="0.2">
      <c r="A1638" t="s">
        <v>9668</v>
      </c>
      <c r="B1638" t="s">
        <v>9669</v>
      </c>
      <c r="C1638">
        <v>2024</v>
      </c>
      <c r="D1638" s="18">
        <v>45444</v>
      </c>
      <c r="E1638" s="18">
        <v>45808</v>
      </c>
      <c r="F1638" s="18" t="s">
        <v>611</v>
      </c>
      <c r="G1638" t="s">
        <v>99</v>
      </c>
      <c r="H1638">
        <v>1</v>
      </c>
      <c r="I1638">
        <v>2</v>
      </c>
      <c r="J1638" s="27">
        <v>20973.65</v>
      </c>
      <c r="K1638" s="27">
        <v>2500000</v>
      </c>
    </row>
    <row r="1639" spans="1:11" ht="15" customHeight="1" x14ac:dyDescent="0.2">
      <c r="A1639" t="s">
        <v>9670</v>
      </c>
      <c r="B1639" t="s">
        <v>9671</v>
      </c>
      <c r="C1639">
        <v>2024</v>
      </c>
      <c r="D1639" s="18">
        <v>45444</v>
      </c>
      <c r="E1639" s="18">
        <v>45808</v>
      </c>
      <c r="F1639" s="18" t="s">
        <v>611</v>
      </c>
      <c r="G1639" t="s">
        <v>99</v>
      </c>
      <c r="H1639">
        <v>3</v>
      </c>
      <c r="I1639">
        <v>6</v>
      </c>
      <c r="J1639" s="27">
        <v>84726.3</v>
      </c>
      <c r="K1639" s="27">
        <v>10000000</v>
      </c>
    </row>
    <row r="1640" spans="1:11" ht="15" customHeight="1" x14ac:dyDescent="0.2">
      <c r="A1640" t="s">
        <v>9672</v>
      </c>
      <c r="B1640" t="s">
        <v>9673</v>
      </c>
      <c r="C1640">
        <v>2024</v>
      </c>
      <c r="D1640" s="18">
        <v>45444</v>
      </c>
      <c r="E1640" s="18">
        <v>45808</v>
      </c>
      <c r="F1640" s="18" t="s">
        <v>611</v>
      </c>
      <c r="G1640" t="s">
        <v>99</v>
      </c>
      <c r="H1640">
        <v>1</v>
      </c>
      <c r="I1640">
        <v>1</v>
      </c>
      <c r="J1640" s="27">
        <v>33253.11</v>
      </c>
      <c r="K1640" s="27">
        <v>4500000</v>
      </c>
    </row>
    <row r="1641" spans="1:11" ht="15" customHeight="1" x14ac:dyDescent="0.2">
      <c r="A1641" t="s">
        <v>9674</v>
      </c>
      <c r="B1641" t="s">
        <v>9675</v>
      </c>
      <c r="C1641">
        <v>2024</v>
      </c>
      <c r="D1641" s="18">
        <v>45444</v>
      </c>
      <c r="E1641" s="18">
        <v>45808</v>
      </c>
      <c r="F1641" s="18" t="s">
        <v>611</v>
      </c>
      <c r="G1641" t="s">
        <v>101</v>
      </c>
      <c r="H1641">
        <v>2</v>
      </c>
      <c r="I1641">
        <v>2</v>
      </c>
      <c r="J1641" s="27">
        <v>34061.910000000003</v>
      </c>
      <c r="K1641" s="27">
        <v>2000000</v>
      </c>
    </row>
    <row r="1642" spans="1:11" ht="15" customHeight="1" x14ac:dyDescent="0.2">
      <c r="A1642" t="s">
        <v>9676</v>
      </c>
      <c r="B1642" t="s">
        <v>9677</v>
      </c>
      <c r="C1642">
        <v>2024</v>
      </c>
      <c r="D1642" s="18">
        <v>45444</v>
      </c>
      <c r="E1642" s="18">
        <v>45808</v>
      </c>
      <c r="F1642" s="18" t="s">
        <v>611</v>
      </c>
      <c r="G1642" t="s">
        <v>99</v>
      </c>
      <c r="H1642">
        <v>2</v>
      </c>
      <c r="I1642">
        <v>2</v>
      </c>
      <c r="J1642" s="27">
        <v>44282.65</v>
      </c>
      <c r="K1642" s="27">
        <v>5000000</v>
      </c>
    </row>
    <row r="1643" spans="1:11" ht="15" customHeight="1" x14ac:dyDescent="0.2">
      <c r="A1643" t="s">
        <v>9678</v>
      </c>
      <c r="B1643" t="s">
        <v>9679</v>
      </c>
      <c r="C1643">
        <v>2024</v>
      </c>
      <c r="D1643" s="18">
        <v>45444</v>
      </c>
      <c r="E1643" s="18">
        <v>45808</v>
      </c>
      <c r="F1643" s="18" t="s">
        <v>611</v>
      </c>
      <c r="G1643" t="s">
        <v>101</v>
      </c>
      <c r="H1643">
        <v>1</v>
      </c>
      <c r="I1643">
        <v>2</v>
      </c>
      <c r="J1643" s="27">
        <v>31437.71</v>
      </c>
      <c r="K1643" s="27">
        <v>2000000</v>
      </c>
    </row>
    <row r="1644" spans="1:11" ht="15" customHeight="1" x14ac:dyDescent="0.2">
      <c r="A1644" t="s">
        <v>9680</v>
      </c>
      <c r="B1644" t="s">
        <v>9681</v>
      </c>
      <c r="C1644">
        <v>2024</v>
      </c>
      <c r="D1644" s="18">
        <v>45444</v>
      </c>
      <c r="E1644" s="18">
        <v>45808</v>
      </c>
      <c r="F1644" s="18" t="s">
        <v>611</v>
      </c>
      <c r="G1644" t="s">
        <v>101</v>
      </c>
      <c r="H1644">
        <v>1</v>
      </c>
      <c r="I1644">
        <v>2</v>
      </c>
      <c r="J1644" s="27">
        <v>34289.870000000003</v>
      </c>
      <c r="K1644" s="27">
        <v>2000000</v>
      </c>
    </row>
    <row r="1645" spans="1:11" ht="15" customHeight="1" x14ac:dyDescent="0.2">
      <c r="A1645" t="s">
        <v>9682</v>
      </c>
      <c r="B1645" t="s">
        <v>9683</v>
      </c>
      <c r="C1645">
        <v>2024</v>
      </c>
      <c r="D1645" s="18">
        <v>45445</v>
      </c>
      <c r="E1645" s="18">
        <v>45809</v>
      </c>
      <c r="F1645" s="18" t="s">
        <v>608</v>
      </c>
      <c r="G1645" t="s">
        <v>102</v>
      </c>
      <c r="H1645">
        <v>1</v>
      </c>
      <c r="I1645">
        <v>2</v>
      </c>
      <c r="J1645" s="27">
        <v>17654.310000000001</v>
      </c>
      <c r="K1645" s="27">
        <v>2000000</v>
      </c>
    </row>
    <row r="1646" spans="1:11" ht="15" customHeight="1" x14ac:dyDescent="0.2">
      <c r="A1646" t="s">
        <v>9684</v>
      </c>
      <c r="B1646" t="s">
        <v>9685</v>
      </c>
      <c r="C1646">
        <v>2024</v>
      </c>
      <c r="D1646" s="18">
        <v>45445</v>
      </c>
      <c r="E1646" s="18">
        <v>45809</v>
      </c>
      <c r="F1646" s="18" t="s">
        <v>611</v>
      </c>
      <c r="G1646" t="s">
        <v>100</v>
      </c>
      <c r="H1646">
        <v>1</v>
      </c>
      <c r="I1646">
        <v>2</v>
      </c>
      <c r="J1646" s="27">
        <v>36583.870000000003</v>
      </c>
      <c r="K1646" s="27">
        <v>3000000</v>
      </c>
    </row>
    <row r="1647" spans="1:11" ht="15" customHeight="1" x14ac:dyDescent="0.2">
      <c r="A1647" t="s">
        <v>9686</v>
      </c>
      <c r="B1647" t="s">
        <v>9687</v>
      </c>
      <c r="C1647">
        <v>2024</v>
      </c>
      <c r="D1647" s="18">
        <v>45445</v>
      </c>
      <c r="E1647" s="18">
        <v>45809</v>
      </c>
      <c r="F1647" s="18" t="s">
        <v>611</v>
      </c>
      <c r="G1647" t="s">
        <v>102</v>
      </c>
      <c r="H1647">
        <v>1</v>
      </c>
      <c r="I1647">
        <v>1</v>
      </c>
      <c r="J1647" s="27">
        <v>83619.350000000006</v>
      </c>
      <c r="K1647" s="27">
        <v>10000000</v>
      </c>
    </row>
    <row r="1648" spans="1:11" ht="15" customHeight="1" x14ac:dyDescent="0.2">
      <c r="A1648" t="s">
        <v>9688</v>
      </c>
      <c r="B1648" t="s">
        <v>9689</v>
      </c>
      <c r="C1648">
        <v>2024</v>
      </c>
      <c r="D1648" s="18">
        <v>45445</v>
      </c>
      <c r="E1648" s="18">
        <v>45809</v>
      </c>
      <c r="F1648" s="18" t="s">
        <v>611</v>
      </c>
      <c r="G1648" t="s">
        <v>101</v>
      </c>
      <c r="H1648">
        <v>2</v>
      </c>
      <c r="I1648">
        <v>2</v>
      </c>
      <c r="J1648" s="27">
        <v>178361.38</v>
      </c>
      <c r="K1648" s="27">
        <v>10000000</v>
      </c>
    </row>
    <row r="1649" spans="1:11" ht="15" customHeight="1" x14ac:dyDescent="0.2">
      <c r="A1649" t="s">
        <v>9690</v>
      </c>
      <c r="B1649" t="s">
        <v>9691</v>
      </c>
      <c r="C1649">
        <v>2024</v>
      </c>
      <c r="D1649" s="18">
        <v>45445</v>
      </c>
      <c r="E1649" s="18">
        <v>45809</v>
      </c>
      <c r="F1649" s="18" t="s">
        <v>611</v>
      </c>
      <c r="G1649" t="s">
        <v>101</v>
      </c>
      <c r="H1649">
        <v>1</v>
      </c>
      <c r="I1649">
        <v>2</v>
      </c>
      <c r="J1649" s="27">
        <v>32307.18</v>
      </c>
      <c r="K1649" s="27">
        <v>2000000</v>
      </c>
    </row>
    <row r="1650" spans="1:11" ht="15" customHeight="1" x14ac:dyDescent="0.2">
      <c r="A1650" t="s">
        <v>9692</v>
      </c>
      <c r="B1650" t="s">
        <v>9693</v>
      </c>
      <c r="C1650">
        <v>2024</v>
      </c>
      <c r="D1650" s="18">
        <v>45446</v>
      </c>
      <c r="E1650" s="18">
        <v>45810</v>
      </c>
      <c r="F1650" s="18" t="s">
        <v>608</v>
      </c>
      <c r="G1650" t="s">
        <v>102</v>
      </c>
      <c r="H1650">
        <v>2</v>
      </c>
      <c r="I1650">
        <v>4</v>
      </c>
      <c r="J1650" s="27">
        <v>7917.25</v>
      </c>
      <c r="K1650" s="27">
        <v>1000000</v>
      </c>
    </row>
    <row r="1651" spans="1:11" ht="15" customHeight="1" x14ac:dyDescent="0.2">
      <c r="A1651" t="s">
        <v>9694</v>
      </c>
      <c r="B1651" t="s">
        <v>9695</v>
      </c>
      <c r="C1651">
        <v>2024</v>
      </c>
      <c r="D1651" s="18">
        <v>45446</v>
      </c>
      <c r="E1651" s="18">
        <v>45810</v>
      </c>
      <c r="F1651" s="18" t="s">
        <v>608</v>
      </c>
      <c r="G1651" t="s">
        <v>99</v>
      </c>
      <c r="H1651">
        <v>2</v>
      </c>
      <c r="I1651">
        <v>2</v>
      </c>
      <c r="J1651" s="27">
        <v>25962.59</v>
      </c>
      <c r="K1651" s="27">
        <v>3500000</v>
      </c>
    </row>
    <row r="1652" spans="1:11" ht="15" customHeight="1" x14ac:dyDescent="0.2">
      <c r="A1652" t="s">
        <v>9696</v>
      </c>
      <c r="B1652" t="s">
        <v>9697</v>
      </c>
      <c r="C1652">
        <v>2024</v>
      </c>
      <c r="D1652" s="18">
        <v>45446</v>
      </c>
      <c r="E1652" s="18">
        <v>45810</v>
      </c>
      <c r="F1652" s="18" t="s">
        <v>608</v>
      </c>
      <c r="G1652" t="s">
        <v>99</v>
      </c>
      <c r="H1652">
        <v>2</v>
      </c>
      <c r="I1652">
        <v>2</v>
      </c>
      <c r="J1652" s="27">
        <v>8662.27</v>
      </c>
      <c r="K1652" s="27">
        <v>1000000</v>
      </c>
    </row>
    <row r="1653" spans="1:11" ht="15" customHeight="1" x14ac:dyDescent="0.2">
      <c r="A1653" t="s">
        <v>9698</v>
      </c>
      <c r="B1653" t="s">
        <v>9699</v>
      </c>
      <c r="C1653">
        <v>2024</v>
      </c>
      <c r="D1653" s="18">
        <v>45446</v>
      </c>
      <c r="E1653" s="18">
        <v>45810</v>
      </c>
      <c r="F1653" s="18" t="s">
        <v>608</v>
      </c>
      <c r="G1653" t="s">
        <v>101</v>
      </c>
      <c r="H1653">
        <v>1</v>
      </c>
      <c r="I1653">
        <v>2</v>
      </c>
      <c r="J1653" s="27">
        <v>33938.129999999997</v>
      </c>
      <c r="K1653" s="27">
        <v>2000000</v>
      </c>
    </row>
    <row r="1654" spans="1:11" ht="15" customHeight="1" x14ac:dyDescent="0.2">
      <c r="A1654" t="s">
        <v>9700</v>
      </c>
      <c r="B1654" t="s">
        <v>9701</v>
      </c>
      <c r="C1654">
        <v>2024</v>
      </c>
      <c r="D1654" s="18">
        <v>45446</v>
      </c>
      <c r="E1654" s="18">
        <v>45810</v>
      </c>
      <c r="F1654" s="18" t="s">
        <v>608</v>
      </c>
      <c r="G1654" t="s">
        <v>100</v>
      </c>
      <c r="H1654">
        <v>3</v>
      </c>
      <c r="I1654">
        <v>3</v>
      </c>
      <c r="J1654" s="27">
        <v>135906.35</v>
      </c>
      <c r="K1654" s="27">
        <v>10000000</v>
      </c>
    </row>
    <row r="1655" spans="1:11" ht="15" customHeight="1" x14ac:dyDescent="0.2">
      <c r="A1655" t="s">
        <v>9702</v>
      </c>
      <c r="B1655" t="s">
        <v>9703</v>
      </c>
      <c r="C1655">
        <v>2024</v>
      </c>
      <c r="D1655" s="18">
        <v>45446</v>
      </c>
      <c r="E1655" s="18">
        <v>45810</v>
      </c>
      <c r="F1655" s="18" t="s">
        <v>611</v>
      </c>
      <c r="G1655" t="s">
        <v>101</v>
      </c>
      <c r="H1655">
        <v>3</v>
      </c>
      <c r="I1655">
        <v>3</v>
      </c>
      <c r="J1655" s="27">
        <v>53020.59</v>
      </c>
      <c r="K1655" s="27">
        <v>3000000</v>
      </c>
    </row>
    <row r="1656" spans="1:11" ht="15" customHeight="1" x14ac:dyDescent="0.2">
      <c r="A1656" t="s">
        <v>9704</v>
      </c>
      <c r="B1656" t="s">
        <v>9705</v>
      </c>
      <c r="C1656">
        <v>2024</v>
      </c>
      <c r="D1656" s="18">
        <v>45446</v>
      </c>
      <c r="E1656" s="18">
        <v>45810</v>
      </c>
      <c r="F1656" s="18" t="s">
        <v>611</v>
      </c>
      <c r="G1656" t="s">
        <v>102</v>
      </c>
      <c r="H1656">
        <v>1</v>
      </c>
      <c r="I1656">
        <v>2</v>
      </c>
      <c r="J1656" s="27">
        <v>8346.99</v>
      </c>
      <c r="K1656" s="27">
        <v>1000000</v>
      </c>
    </row>
    <row r="1657" spans="1:11" ht="15" customHeight="1" x14ac:dyDescent="0.2">
      <c r="A1657" t="s">
        <v>9706</v>
      </c>
      <c r="B1657" t="s">
        <v>9707</v>
      </c>
      <c r="C1657">
        <v>2024</v>
      </c>
      <c r="D1657" s="18">
        <v>45446</v>
      </c>
      <c r="E1657" s="18">
        <v>45810</v>
      </c>
      <c r="F1657" s="18" t="s">
        <v>611</v>
      </c>
      <c r="G1657" t="s">
        <v>99</v>
      </c>
      <c r="H1657">
        <v>3</v>
      </c>
      <c r="I1657">
        <v>3</v>
      </c>
      <c r="J1657" s="27">
        <v>39746.379999999997</v>
      </c>
      <c r="K1657" s="27">
        <v>4500000</v>
      </c>
    </row>
    <row r="1658" spans="1:11" ht="15" customHeight="1" x14ac:dyDescent="0.2">
      <c r="A1658" t="s">
        <v>9708</v>
      </c>
      <c r="B1658" t="s">
        <v>9709</v>
      </c>
      <c r="C1658">
        <v>2024</v>
      </c>
      <c r="D1658" s="18">
        <v>45446</v>
      </c>
      <c r="E1658" s="18">
        <v>45810</v>
      </c>
      <c r="F1658" s="18" t="s">
        <v>611</v>
      </c>
      <c r="G1658" t="s">
        <v>99</v>
      </c>
      <c r="H1658">
        <v>1</v>
      </c>
      <c r="I1658">
        <v>1</v>
      </c>
      <c r="J1658" s="27">
        <v>4352.38</v>
      </c>
      <c r="K1658" s="27">
        <v>500000</v>
      </c>
    </row>
    <row r="1659" spans="1:11" ht="15" customHeight="1" x14ac:dyDescent="0.2">
      <c r="A1659" t="s">
        <v>9710</v>
      </c>
      <c r="B1659" t="s">
        <v>9711</v>
      </c>
      <c r="C1659">
        <v>2024</v>
      </c>
      <c r="D1659" s="18">
        <v>45447</v>
      </c>
      <c r="E1659" s="18">
        <v>45811</v>
      </c>
      <c r="F1659" s="18" t="s">
        <v>608</v>
      </c>
      <c r="G1659" t="s">
        <v>99</v>
      </c>
      <c r="H1659">
        <v>2</v>
      </c>
      <c r="I1659">
        <v>4</v>
      </c>
      <c r="J1659" s="27">
        <v>15255.68</v>
      </c>
      <c r="K1659" s="27">
        <v>2000000</v>
      </c>
    </row>
    <row r="1660" spans="1:11" ht="15" customHeight="1" x14ac:dyDescent="0.2">
      <c r="A1660" t="s">
        <v>9712</v>
      </c>
      <c r="B1660" t="s">
        <v>9713</v>
      </c>
      <c r="C1660">
        <v>2024</v>
      </c>
      <c r="D1660" s="18">
        <v>45447</v>
      </c>
      <c r="E1660" s="18">
        <v>45811</v>
      </c>
      <c r="F1660" s="18" t="s">
        <v>611</v>
      </c>
      <c r="G1660" t="s">
        <v>102</v>
      </c>
      <c r="H1660">
        <v>2</v>
      </c>
      <c r="I1660">
        <v>4</v>
      </c>
      <c r="J1660" s="27">
        <v>86122.58</v>
      </c>
      <c r="K1660" s="27">
        <v>10000000</v>
      </c>
    </row>
    <row r="1661" spans="1:11" ht="15" customHeight="1" x14ac:dyDescent="0.2">
      <c r="A1661" t="s">
        <v>9714</v>
      </c>
      <c r="B1661" t="s">
        <v>9715</v>
      </c>
      <c r="C1661">
        <v>2024</v>
      </c>
      <c r="D1661" s="18">
        <v>45447</v>
      </c>
      <c r="E1661" s="18">
        <v>45811</v>
      </c>
      <c r="F1661" s="18" t="s">
        <v>611</v>
      </c>
      <c r="G1661" t="s">
        <v>99</v>
      </c>
      <c r="H1661">
        <v>2</v>
      </c>
      <c r="I1661">
        <v>4</v>
      </c>
      <c r="J1661" s="27">
        <v>17362.91</v>
      </c>
      <c r="K1661" s="27">
        <v>2000000</v>
      </c>
    </row>
    <row r="1662" spans="1:11" ht="15" customHeight="1" x14ac:dyDescent="0.2">
      <c r="A1662" t="s">
        <v>9716</v>
      </c>
      <c r="B1662" t="s">
        <v>9717</v>
      </c>
      <c r="C1662">
        <v>2024</v>
      </c>
      <c r="D1662" s="18">
        <v>45447</v>
      </c>
      <c r="E1662" s="18">
        <v>45811</v>
      </c>
      <c r="F1662" s="18" t="s">
        <v>611</v>
      </c>
      <c r="G1662" t="s">
        <v>100</v>
      </c>
      <c r="H1662">
        <v>3</v>
      </c>
      <c r="I1662">
        <v>6</v>
      </c>
      <c r="J1662" s="27">
        <v>64967.26</v>
      </c>
      <c r="K1662" s="27">
        <v>5000000</v>
      </c>
    </row>
    <row r="1663" spans="1:11" ht="15" customHeight="1" x14ac:dyDescent="0.2">
      <c r="A1663" t="s">
        <v>9718</v>
      </c>
      <c r="B1663" t="s">
        <v>9719</v>
      </c>
      <c r="C1663">
        <v>2024</v>
      </c>
      <c r="D1663" s="18">
        <v>45447</v>
      </c>
      <c r="E1663" s="18">
        <v>45811</v>
      </c>
      <c r="F1663" s="18" t="s">
        <v>611</v>
      </c>
      <c r="G1663" t="s">
        <v>100</v>
      </c>
      <c r="H1663">
        <v>3</v>
      </c>
      <c r="I1663">
        <v>3</v>
      </c>
      <c r="J1663" s="27">
        <v>36736.589999999997</v>
      </c>
      <c r="K1663" s="27">
        <v>3000000</v>
      </c>
    </row>
    <row r="1664" spans="1:11" ht="15" customHeight="1" x14ac:dyDescent="0.2">
      <c r="A1664" t="s">
        <v>9720</v>
      </c>
      <c r="B1664" t="s">
        <v>9721</v>
      </c>
      <c r="C1664">
        <v>2024</v>
      </c>
      <c r="D1664" s="18">
        <v>45447</v>
      </c>
      <c r="E1664" s="18">
        <v>45811</v>
      </c>
      <c r="F1664" s="18" t="s">
        <v>611</v>
      </c>
      <c r="G1664" t="s">
        <v>99</v>
      </c>
      <c r="H1664">
        <v>2</v>
      </c>
      <c r="I1664">
        <v>2</v>
      </c>
      <c r="J1664" s="27">
        <v>41878.49</v>
      </c>
      <c r="K1664" s="27">
        <v>5000000</v>
      </c>
    </row>
    <row r="1665" spans="1:11" ht="15" customHeight="1" x14ac:dyDescent="0.2">
      <c r="A1665" t="s">
        <v>9722</v>
      </c>
      <c r="B1665" t="s">
        <v>9723</v>
      </c>
      <c r="C1665">
        <v>2024</v>
      </c>
      <c r="D1665" s="18">
        <v>45447</v>
      </c>
      <c r="E1665" s="18">
        <v>45811</v>
      </c>
      <c r="F1665" s="18" t="s">
        <v>611</v>
      </c>
      <c r="G1665" t="s">
        <v>100</v>
      </c>
      <c r="H1665">
        <v>1</v>
      </c>
      <c r="I1665">
        <v>2</v>
      </c>
      <c r="J1665" s="27">
        <v>126240.34</v>
      </c>
      <c r="K1665" s="27">
        <v>10000000</v>
      </c>
    </row>
    <row r="1666" spans="1:11" ht="15" customHeight="1" x14ac:dyDescent="0.2">
      <c r="A1666" t="s">
        <v>9724</v>
      </c>
      <c r="B1666" t="s">
        <v>9725</v>
      </c>
      <c r="C1666">
        <v>2024</v>
      </c>
      <c r="D1666" s="18">
        <v>45448</v>
      </c>
      <c r="E1666" s="18">
        <v>45812</v>
      </c>
      <c r="F1666" s="18" t="s">
        <v>611</v>
      </c>
      <c r="G1666" t="s">
        <v>100</v>
      </c>
      <c r="H1666">
        <v>1</v>
      </c>
      <c r="I1666">
        <v>1</v>
      </c>
      <c r="J1666" s="27">
        <v>122733.53</v>
      </c>
      <c r="K1666" s="27">
        <v>10000000</v>
      </c>
    </row>
    <row r="1667" spans="1:11" ht="15" customHeight="1" x14ac:dyDescent="0.2">
      <c r="A1667" t="s">
        <v>9726</v>
      </c>
      <c r="B1667" t="s">
        <v>9727</v>
      </c>
      <c r="C1667">
        <v>2024</v>
      </c>
      <c r="D1667" s="18">
        <v>45448</v>
      </c>
      <c r="E1667" s="18">
        <v>45812</v>
      </c>
      <c r="F1667" s="18" t="s">
        <v>611</v>
      </c>
      <c r="G1667" t="s">
        <v>100</v>
      </c>
      <c r="H1667">
        <v>2</v>
      </c>
      <c r="I1667">
        <v>4</v>
      </c>
      <c r="J1667" s="27">
        <v>11817.15</v>
      </c>
      <c r="K1667" s="27">
        <v>1000000</v>
      </c>
    </row>
    <row r="1668" spans="1:11" ht="15" customHeight="1" x14ac:dyDescent="0.2">
      <c r="A1668" t="s">
        <v>9728</v>
      </c>
      <c r="B1668" t="s">
        <v>9729</v>
      </c>
      <c r="C1668">
        <v>2024</v>
      </c>
      <c r="D1668" s="18">
        <v>45448</v>
      </c>
      <c r="E1668" s="18">
        <v>45812</v>
      </c>
      <c r="F1668" s="18" t="s">
        <v>611</v>
      </c>
      <c r="G1668" t="s">
        <v>100</v>
      </c>
      <c r="H1668">
        <v>1</v>
      </c>
      <c r="I1668">
        <v>1</v>
      </c>
      <c r="J1668" s="27">
        <v>47667.69</v>
      </c>
      <c r="K1668" s="27">
        <v>3500000</v>
      </c>
    </row>
    <row r="1669" spans="1:11" ht="15" customHeight="1" x14ac:dyDescent="0.2">
      <c r="A1669" t="s">
        <v>9730</v>
      </c>
      <c r="B1669" t="s">
        <v>9731</v>
      </c>
      <c r="C1669">
        <v>2024</v>
      </c>
      <c r="D1669" s="18">
        <v>45448</v>
      </c>
      <c r="E1669" s="18">
        <v>45812</v>
      </c>
      <c r="F1669" s="18" t="s">
        <v>611</v>
      </c>
      <c r="G1669" t="s">
        <v>101</v>
      </c>
      <c r="H1669">
        <v>3</v>
      </c>
      <c r="I1669">
        <v>3</v>
      </c>
      <c r="J1669" s="27">
        <v>38159.07</v>
      </c>
      <c r="K1669" s="27">
        <v>2000000</v>
      </c>
    </row>
    <row r="1670" spans="1:11" ht="15" customHeight="1" x14ac:dyDescent="0.2">
      <c r="A1670" t="s">
        <v>9732</v>
      </c>
      <c r="B1670" t="s">
        <v>9733</v>
      </c>
      <c r="C1670">
        <v>2024</v>
      </c>
      <c r="D1670" s="18">
        <v>45448</v>
      </c>
      <c r="E1670" s="18">
        <v>45812</v>
      </c>
      <c r="F1670" s="18" t="s">
        <v>611</v>
      </c>
      <c r="G1670" t="s">
        <v>99</v>
      </c>
      <c r="H1670">
        <v>1</v>
      </c>
      <c r="I1670">
        <v>1</v>
      </c>
      <c r="J1670" s="27">
        <v>39611.25</v>
      </c>
      <c r="K1670" s="27">
        <v>5000000</v>
      </c>
    </row>
    <row r="1671" spans="1:11" ht="15" customHeight="1" x14ac:dyDescent="0.2">
      <c r="A1671" t="s">
        <v>9734</v>
      </c>
      <c r="B1671" t="s">
        <v>9735</v>
      </c>
      <c r="C1671">
        <v>2024</v>
      </c>
      <c r="D1671" s="18">
        <v>45449</v>
      </c>
      <c r="E1671" s="18">
        <v>45813</v>
      </c>
      <c r="F1671" s="18" t="s">
        <v>608</v>
      </c>
      <c r="G1671" t="s">
        <v>102</v>
      </c>
      <c r="H1671">
        <v>2</v>
      </c>
      <c r="I1671">
        <v>2</v>
      </c>
      <c r="J1671" s="27">
        <v>23608.53</v>
      </c>
      <c r="K1671" s="27">
        <v>2500000</v>
      </c>
    </row>
    <row r="1672" spans="1:11" ht="15" customHeight="1" x14ac:dyDescent="0.2">
      <c r="A1672" t="s">
        <v>9736</v>
      </c>
      <c r="B1672" t="s">
        <v>9737</v>
      </c>
      <c r="C1672">
        <v>2024</v>
      </c>
      <c r="D1672" s="18">
        <v>45449</v>
      </c>
      <c r="E1672" s="18">
        <v>45813</v>
      </c>
      <c r="F1672" s="18" t="s">
        <v>611</v>
      </c>
      <c r="G1672" t="s">
        <v>99</v>
      </c>
      <c r="H1672">
        <v>3</v>
      </c>
      <c r="I1672">
        <v>6</v>
      </c>
      <c r="J1672" s="27">
        <v>7361.35</v>
      </c>
      <c r="K1672" s="27">
        <v>1000000</v>
      </c>
    </row>
    <row r="1673" spans="1:11" ht="15" customHeight="1" x14ac:dyDescent="0.2">
      <c r="A1673" t="s">
        <v>9738</v>
      </c>
      <c r="B1673" t="s">
        <v>9739</v>
      </c>
      <c r="C1673">
        <v>2024</v>
      </c>
      <c r="D1673" s="18">
        <v>45449</v>
      </c>
      <c r="E1673" s="18">
        <v>45813</v>
      </c>
      <c r="F1673" s="18" t="s">
        <v>611</v>
      </c>
      <c r="G1673" t="s">
        <v>101</v>
      </c>
      <c r="H1673">
        <v>2</v>
      </c>
      <c r="I1673">
        <v>4</v>
      </c>
      <c r="J1673" s="27">
        <v>90519.16</v>
      </c>
      <c r="K1673" s="27">
        <v>5000000</v>
      </c>
    </row>
    <row r="1674" spans="1:11" ht="15" customHeight="1" x14ac:dyDescent="0.2">
      <c r="A1674" t="s">
        <v>9740</v>
      </c>
      <c r="B1674" t="s">
        <v>9741</v>
      </c>
      <c r="C1674">
        <v>2024</v>
      </c>
      <c r="D1674" s="18">
        <v>45449</v>
      </c>
      <c r="E1674" s="18">
        <v>45813</v>
      </c>
      <c r="F1674" s="18" t="s">
        <v>611</v>
      </c>
      <c r="G1674" t="s">
        <v>100</v>
      </c>
      <c r="H1674">
        <v>1</v>
      </c>
      <c r="I1674">
        <v>2</v>
      </c>
      <c r="J1674" s="27">
        <v>131741.32</v>
      </c>
      <c r="K1674" s="27">
        <v>10000000</v>
      </c>
    </row>
    <row r="1675" spans="1:11" ht="15" customHeight="1" x14ac:dyDescent="0.2">
      <c r="A1675" t="s">
        <v>9742</v>
      </c>
      <c r="B1675" t="s">
        <v>9743</v>
      </c>
      <c r="C1675">
        <v>2024</v>
      </c>
      <c r="D1675" s="18">
        <v>45449</v>
      </c>
      <c r="E1675" s="18">
        <v>45813</v>
      </c>
      <c r="F1675" s="18" t="s">
        <v>611</v>
      </c>
      <c r="G1675" t="s">
        <v>101</v>
      </c>
      <c r="H1675">
        <v>1</v>
      </c>
      <c r="I1675">
        <v>1</v>
      </c>
      <c r="J1675" s="27">
        <v>49963.51</v>
      </c>
      <c r="K1675" s="27">
        <v>3000000</v>
      </c>
    </row>
    <row r="1676" spans="1:11" ht="15" customHeight="1" x14ac:dyDescent="0.2">
      <c r="A1676" t="s">
        <v>9744</v>
      </c>
      <c r="B1676" t="s">
        <v>9745</v>
      </c>
      <c r="C1676">
        <v>2024</v>
      </c>
      <c r="D1676" s="18">
        <v>45449</v>
      </c>
      <c r="E1676" s="18">
        <v>45813</v>
      </c>
      <c r="F1676" s="18" t="s">
        <v>611</v>
      </c>
      <c r="G1676" t="s">
        <v>99</v>
      </c>
      <c r="H1676">
        <v>2</v>
      </c>
      <c r="I1676">
        <v>2</v>
      </c>
      <c r="J1676" s="27">
        <v>14766.82</v>
      </c>
      <c r="K1676" s="27">
        <v>2000000</v>
      </c>
    </row>
    <row r="1677" spans="1:11" ht="15" customHeight="1" x14ac:dyDescent="0.2">
      <c r="A1677" t="s">
        <v>9746</v>
      </c>
      <c r="B1677" t="s">
        <v>9747</v>
      </c>
      <c r="C1677">
        <v>2024</v>
      </c>
      <c r="D1677" s="18">
        <v>45449</v>
      </c>
      <c r="E1677" s="18">
        <v>45813</v>
      </c>
      <c r="F1677" s="18" t="s">
        <v>611</v>
      </c>
      <c r="G1677" t="s">
        <v>102</v>
      </c>
      <c r="H1677">
        <v>3</v>
      </c>
      <c r="I1677">
        <v>3</v>
      </c>
      <c r="J1677" s="27">
        <v>44346.13</v>
      </c>
      <c r="K1677" s="27">
        <v>5000000</v>
      </c>
    </row>
    <row r="1678" spans="1:11" ht="15" customHeight="1" x14ac:dyDescent="0.2">
      <c r="A1678" t="s">
        <v>9748</v>
      </c>
      <c r="B1678" t="s">
        <v>9749</v>
      </c>
      <c r="C1678">
        <v>2024</v>
      </c>
      <c r="D1678" s="18">
        <v>45449</v>
      </c>
      <c r="E1678" s="18">
        <v>45813</v>
      </c>
      <c r="F1678" s="18" t="s">
        <v>611</v>
      </c>
      <c r="G1678" t="s">
        <v>102</v>
      </c>
      <c r="H1678">
        <v>2</v>
      </c>
      <c r="I1678">
        <v>4</v>
      </c>
      <c r="J1678" s="27">
        <v>20191.47</v>
      </c>
      <c r="K1678" s="27">
        <v>2500000</v>
      </c>
    </row>
    <row r="1679" spans="1:11" ht="15" customHeight="1" x14ac:dyDescent="0.2">
      <c r="A1679" t="s">
        <v>9750</v>
      </c>
      <c r="B1679" t="s">
        <v>9751</v>
      </c>
      <c r="C1679">
        <v>2024</v>
      </c>
      <c r="D1679" s="18">
        <v>45450</v>
      </c>
      <c r="E1679" s="18">
        <v>45814</v>
      </c>
      <c r="F1679" s="18" t="s">
        <v>608</v>
      </c>
      <c r="G1679" t="s">
        <v>101</v>
      </c>
      <c r="H1679">
        <v>1</v>
      </c>
      <c r="I1679">
        <v>1</v>
      </c>
      <c r="J1679" s="27">
        <v>40549.61</v>
      </c>
      <c r="K1679" s="27">
        <v>2500000</v>
      </c>
    </row>
    <row r="1680" spans="1:11" ht="15" customHeight="1" x14ac:dyDescent="0.2">
      <c r="A1680" t="s">
        <v>9752</v>
      </c>
      <c r="B1680" t="s">
        <v>9753</v>
      </c>
      <c r="C1680">
        <v>2024</v>
      </c>
      <c r="D1680" s="18">
        <v>45450</v>
      </c>
      <c r="E1680" s="18">
        <v>45814</v>
      </c>
      <c r="F1680" s="18" t="s">
        <v>608</v>
      </c>
      <c r="G1680" t="s">
        <v>101</v>
      </c>
      <c r="H1680">
        <v>2</v>
      </c>
      <c r="I1680">
        <v>2</v>
      </c>
      <c r="J1680" s="27">
        <v>50172.97</v>
      </c>
      <c r="K1680" s="27">
        <v>3000000</v>
      </c>
    </row>
    <row r="1681" spans="1:11" ht="15" customHeight="1" x14ac:dyDescent="0.2">
      <c r="A1681" t="s">
        <v>9754</v>
      </c>
      <c r="B1681" t="s">
        <v>9755</v>
      </c>
      <c r="C1681">
        <v>2024</v>
      </c>
      <c r="D1681" s="18">
        <v>45450</v>
      </c>
      <c r="E1681" s="18">
        <v>45814</v>
      </c>
      <c r="F1681" s="18" t="s">
        <v>611</v>
      </c>
      <c r="G1681" t="s">
        <v>99</v>
      </c>
      <c r="H1681">
        <v>1</v>
      </c>
      <c r="I1681">
        <v>2</v>
      </c>
      <c r="J1681" s="27">
        <v>7354.49</v>
      </c>
      <c r="K1681" s="27">
        <v>1000000</v>
      </c>
    </row>
    <row r="1682" spans="1:11" ht="15" customHeight="1" x14ac:dyDescent="0.2">
      <c r="A1682" t="s">
        <v>9756</v>
      </c>
      <c r="B1682" t="s">
        <v>9757</v>
      </c>
      <c r="C1682">
        <v>2024</v>
      </c>
      <c r="D1682" s="18">
        <v>45450</v>
      </c>
      <c r="E1682" s="18">
        <v>45814</v>
      </c>
      <c r="F1682" s="18" t="s">
        <v>611</v>
      </c>
      <c r="G1682" t="s">
        <v>99</v>
      </c>
      <c r="H1682">
        <v>1</v>
      </c>
      <c r="I1682">
        <v>1</v>
      </c>
      <c r="J1682" s="27">
        <v>8081.88</v>
      </c>
      <c r="K1682" s="27">
        <v>1000000</v>
      </c>
    </row>
    <row r="1683" spans="1:11" ht="15" customHeight="1" x14ac:dyDescent="0.2">
      <c r="A1683" t="s">
        <v>9758</v>
      </c>
      <c r="B1683" t="s">
        <v>9759</v>
      </c>
      <c r="C1683">
        <v>2024</v>
      </c>
      <c r="D1683" s="18">
        <v>45450</v>
      </c>
      <c r="E1683" s="18">
        <v>45814</v>
      </c>
      <c r="F1683" s="18" t="s">
        <v>611</v>
      </c>
      <c r="G1683" t="s">
        <v>100</v>
      </c>
      <c r="H1683">
        <v>1</v>
      </c>
      <c r="I1683">
        <v>1</v>
      </c>
      <c r="J1683" s="27">
        <v>13742.37</v>
      </c>
      <c r="K1683" s="27">
        <v>1000000</v>
      </c>
    </row>
    <row r="1684" spans="1:11" ht="15" customHeight="1" x14ac:dyDescent="0.2">
      <c r="A1684" t="s">
        <v>9760</v>
      </c>
      <c r="B1684" t="s">
        <v>9761</v>
      </c>
      <c r="C1684">
        <v>2024</v>
      </c>
      <c r="D1684" s="18">
        <v>45450</v>
      </c>
      <c r="E1684" s="18">
        <v>45814</v>
      </c>
      <c r="F1684" s="18" t="s">
        <v>611</v>
      </c>
      <c r="G1684" t="s">
        <v>101</v>
      </c>
      <c r="H1684">
        <v>3</v>
      </c>
      <c r="I1684">
        <v>3</v>
      </c>
      <c r="J1684" s="27">
        <v>24491.67</v>
      </c>
      <c r="K1684" s="27">
        <v>1500000</v>
      </c>
    </row>
    <row r="1685" spans="1:11" ht="15" customHeight="1" x14ac:dyDescent="0.2">
      <c r="A1685" t="s">
        <v>9762</v>
      </c>
      <c r="B1685" t="s">
        <v>9763</v>
      </c>
      <c r="C1685">
        <v>2024</v>
      </c>
      <c r="D1685" s="18">
        <v>45451</v>
      </c>
      <c r="E1685" s="18">
        <v>45815</v>
      </c>
      <c r="F1685" s="18" t="s">
        <v>611</v>
      </c>
      <c r="G1685" t="s">
        <v>99</v>
      </c>
      <c r="H1685">
        <v>2</v>
      </c>
      <c r="I1685">
        <v>2</v>
      </c>
      <c r="J1685" s="27">
        <v>75829.67</v>
      </c>
      <c r="K1685" s="27">
        <v>10000000</v>
      </c>
    </row>
    <row r="1686" spans="1:11" ht="15" customHeight="1" x14ac:dyDescent="0.2">
      <c r="A1686" t="s">
        <v>9764</v>
      </c>
      <c r="B1686" t="s">
        <v>9765</v>
      </c>
      <c r="C1686">
        <v>2024</v>
      </c>
      <c r="D1686" s="18">
        <v>45451</v>
      </c>
      <c r="E1686" s="18">
        <v>45815</v>
      </c>
      <c r="F1686" s="18" t="s">
        <v>611</v>
      </c>
      <c r="G1686" t="s">
        <v>100</v>
      </c>
      <c r="H1686">
        <v>1</v>
      </c>
      <c r="I1686">
        <v>1</v>
      </c>
      <c r="J1686" s="27">
        <v>12710.19</v>
      </c>
      <c r="K1686" s="27">
        <v>1000000</v>
      </c>
    </row>
    <row r="1687" spans="1:11" ht="15" customHeight="1" x14ac:dyDescent="0.2">
      <c r="A1687" t="s">
        <v>9766</v>
      </c>
      <c r="B1687" t="s">
        <v>9767</v>
      </c>
      <c r="C1687">
        <v>2024</v>
      </c>
      <c r="D1687" s="18">
        <v>45451</v>
      </c>
      <c r="E1687" s="18">
        <v>45815</v>
      </c>
      <c r="F1687" s="18" t="s">
        <v>611</v>
      </c>
      <c r="G1687" t="s">
        <v>101</v>
      </c>
      <c r="H1687">
        <v>3</v>
      </c>
      <c r="I1687">
        <v>6</v>
      </c>
      <c r="J1687" s="27">
        <v>42654.59</v>
      </c>
      <c r="K1687" s="27">
        <v>2500000</v>
      </c>
    </row>
    <row r="1688" spans="1:11" ht="15" customHeight="1" x14ac:dyDescent="0.2">
      <c r="A1688" t="s">
        <v>9768</v>
      </c>
      <c r="B1688" t="s">
        <v>9769</v>
      </c>
      <c r="C1688">
        <v>2024</v>
      </c>
      <c r="D1688" s="18">
        <v>45451</v>
      </c>
      <c r="E1688" s="18">
        <v>45815</v>
      </c>
      <c r="F1688" s="18" t="s">
        <v>611</v>
      </c>
      <c r="G1688" t="s">
        <v>101</v>
      </c>
      <c r="H1688">
        <v>2</v>
      </c>
      <c r="I1688">
        <v>2</v>
      </c>
      <c r="J1688" s="27">
        <v>34687.769999999997</v>
      </c>
      <c r="K1688" s="27">
        <v>2000000</v>
      </c>
    </row>
    <row r="1689" spans="1:11" ht="15" customHeight="1" x14ac:dyDescent="0.2">
      <c r="A1689" t="s">
        <v>9770</v>
      </c>
      <c r="B1689" t="s">
        <v>9771</v>
      </c>
      <c r="C1689">
        <v>2024</v>
      </c>
      <c r="D1689" s="18">
        <v>45451</v>
      </c>
      <c r="E1689" s="18">
        <v>45815</v>
      </c>
      <c r="F1689" s="18" t="s">
        <v>611</v>
      </c>
      <c r="G1689" t="s">
        <v>99</v>
      </c>
      <c r="H1689">
        <v>1</v>
      </c>
      <c r="I1689">
        <v>2</v>
      </c>
      <c r="J1689" s="27">
        <v>22872.37</v>
      </c>
      <c r="K1689" s="27">
        <v>3000000</v>
      </c>
    </row>
    <row r="1690" spans="1:11" ht="15" customHeight="1" x14ac:dyDescent="0.2">
      <c r="A1690" t="s">
        <v>9772</v>
      </c>
      <c r="B1690" t="s">
        <v>9773</v>
      </c>
      <c r="C1690">
        <v>2024</v>
      </c>
      <c r="D1690" s="18">
        <v>45451</v>
      </c>
      <c r="E1690" s="18">
        <v>45815</v>
      </c>
      <c r="F1690" s="18" t="s">
        <v>611</v>
      </c>
      <c r="G1690" t="s">
        <v>100</v>
      </c>
      <c r="H1690">
        <v>2</v>
      </c>
      <c r="I1690">
        <v>4</v>
      </c>
      <c r="J1690" s="27">
        <v>27115.69</v>
      </c>
      <c r="K1690" s="27">
        <v>2000000</v>
      </c>
    </row>
    <row r="1691" spans="1:11" ht="15" customHeight="1" x14ac:dyDescent="0.2">
      <c r="A1691" t="s">
        <v>9774</v>
      </c>
      <c r="B1691" t="s">
        <v>9775</v>
      </c>
      <c r="C1691">
        <v>2024</v>
      </c>
      <c r="D1691" s="18">
        <v>45452</v>
      </c>
      <c r="E1691" s="18">
        <v>45816</v>
      </c>
      <c r="F1691" s="18" t="s">
        <v>608</v>
      </c>
      <c r="G1691" t="s">
        <v>101</v>
      </c>
      <c r="H1691">
        <v>1</v>
      </c>
      <c r="I1691">
        <v>1</v>
      </c>
      <c r="J1691" s="27">
        <v>17201.8</v>
      </c>
      <c r="K1691" s="27">
        <v>1000000</v>
      </c>
    </row>
    <row r="1692" spans="1:11" ht="15" customHeight="1" x14ac:dyDescent="0.2">
      <c r="A1692" t="s">
        <v>9776</v>
      </c>
      <c r="B1692" t="s">
        <v>9777</v>
      </c>
      <c r="C1692">
        <v>2024</v>
      </c>
      <c r="D1692" s="18">
        <v>45452</v>
      </c>
      <c r="E1692" s="18">
        <v>45816</v>
      </c>
      <c r="F1692" s="18" t="s">
        <v>608</v>
      </c>
      <c r="G1692" t="s">
        <v>101</v>
      </c>
      <c r="H1692">
        <v>1</v>
      </c>
      <c r="I1692">
        <v>1</v>
      </c>
      <c r="J1692" s="27">
        <v>95544.77</v>
      </c>
      <c r="K1692" s="27">
        <v>5000000</v>
      </c>
    </row>
    <row r="1693" spans="1:11" ht="15" customHeight="1" x14ac:dyDescent="0.2">
      <c r="A1693" t="s">
        <v>9778</v>
      </c>
      <c r="B1693" t="s">
        <v>9779</v>
      </c>
      <c r="C1693">
        <v>2024</v>
      </c>
      <c r="D1693" s="18">
        <v>45452</v>
      </c>
      <c r="E1693" s="18">
        <v>45816</v>
      </c>
      <c r="F1693" s="18" t="s">
        <v>611</v>
      </c>
      <c r="G1693" t="s">
        <v>100</v>
      </c>
      <c r="H1693">
        <v>1</v>
      </c>
      <c r="I1693">
        <v>1</v>
      </c>
      <c r="J1693" s="27">
        <v>53714.92</v>
      </c>
      <c r="K1693" s="27">
        <v>4000000</v>
      </c>
    </row>
    <row r="1694" spans="1:11" ht="15" customHeight="1" x14ac:dyDescent="0.2">
      <c r="A1694" t="s">
        <v>9780</v>
      </c>
      <c r="B1694" t="s">
        <v>9781</v>
      </c>
      <c r="C1694">
        <v>2024</v>
      </c>
      <c r="D1694" s="18">
        <v>45452</v>
      </c>
      <c r="E1694" s="18">
        <v>45816</v>
      </c>
      <c r="F1694" s="18" t="s">
        <v>611</v>
      </c>
      <c r="G1694" t="s">
        <v>99</v>
      </c>
      <c r="H1694">
        <v>1</v>
      </c>
      <c r="I1694">
        <v>1</v>
      </c>
      <c r="J1694" s="27">
        <v>74276.460000000006</v>
      </c>
      <c r="K1694" s="27">
        <v>10000000</v>
      </c>
    </row>
    <row r="1695" spans="1:11" ht="15" customHeight="1" x14ac:dyDescent="0.2">
      <c r="A1695" t="s">
        <v>9782</v>
      </c>
      <c r="B1695" t="s">
        <v>9783</v>
      </c>
      <c r="C1695">
        <v>2024</v>
      </c>
      <c r="D1695" s="18">
        <v>45452</v>
      </c>
      <c r="E1695" s="18">
        <v>45816</v>
      </c>
      <c r="F1695" s="18" t="s">
        <v>611</v>
      </c>
      <c r="G1695" t="s">
        <v>100</v>
      </c>
      <c r="H1695">
        <v>1</v>
      </c>
      <c r="I1695">
        <v>1</v>
      </c>
      <c r="J1695" s="27">
        <v>25310.080000000002</v>
      </c>
      <c r="K1695" s="27">
        <v>2000000</v>
      </c>
    </row>
    <row r="1696" spans="1:11" ht="15" customHeight="1" x14ac:dyDescent="0.2">
      <c r="A1696" t="s">
        <v>9784</v>
      </c>
      <c r="B1696" t="s">
        <v>9785</v>
      </c>
      <c r="C1696">
        <v>2024</v>
      </c>
      <c r="D1696" s="18">
        <v>45452</v>
      </c>
      <c r="E1696" s="18">
        <v>45816</v>
      </c>
      <c r="F1696" s="18" t="s">
        <v>611</v>
      </c>
      <c r="G1696" t="s">
        <v>101</v>
      </c>
      <c r="H1696">
        <v>1</v>
      </c>
      <c r="I1696">
        <v>1</v>
      </c>
      <c r="J1696" s="27">
        <v>89964.82</v>
      </c>
      <c r="K1696" s="27">
        <v>5000000</v>
      </c>
    </row>
    <row r="1697" spans="1:11" ht="15" customHeight="1" x14ac:dyDescent="0.2">
      <c r="A1697" t="s">
        <v>9786</v>
      </c>
      <c r="B1697" t="s">
        <v>9787</v>
      </c>
      <c r="C1697">
        <v>2024</v>
      </c>
      <c r="D1697" s="18">
        <v>45452</v>
      </c>
      <c r="E1697" s="18">
        <v>45816</v>
      </c>
      <c r="F1697" s="18" t="s">
        <v>611</v>
      </c>
      <c r="G1697" t="s">
        <v>99</v>
      </c>
      <c r="H1697">
        <v>1</v>
      </c>
      <c r="I1697">
        <v>2</v>
      </c>
      <c r="J1697" s="27">
        <v>22377.78</v>
      </c>
      <c r="K1697" s="27">
        <v>2500000</v>
      </c>
    </row>
    <row r="1698" spans="1:11" ht="15" customHeight="1" x14ac:dyDescent="0.2">
      <c r="A1698" t="s">
        <v>9788</v>
      </c>
      <c r="B1698" t="s">
        <v>9789</v>
      </c>
      <c r="C1698">
        <v>2024</v>
      </c>
      <c r="D1698" s="18">
        <v>45453</v>
      </c>
      <c r="E1698" s="18">
        <v>45817</v>
      </c>
      <c r="F1698" s="18" t="s">
        <v>608</v>
      </c>
      <c r="G1698" t="s">
        <v>101</v>
      </c>
      <c r="H1698">
        <v>1</v>
      </c>
      <c r="I1698">
        <v>1</v>
      </c>
      <c r="J1698" s="27">
        <v>35728.370000000003</v>
      </c>
      <c r="K1698" s="27">
        <v>2000000</v>
      </c>
    </row>
    <row r="1699" spans="1:11" ht="15" customHeight="1" x14ac:dyDescent="0.2">
      <c r="A1699" t="s">
        <v>9790</v>
      </c>
      <c r="B1699" t="s">
        <v>9791</v>
      </c>
      <c r="C1699">
        <v>2024</v>
      </c>
      <c r="D1699" s="18">
        <v>45453</v>
      </c>
      <c r="E1699" s="18">
        <v>45817</v>
      </c>
      <c r="F1699" s="18" t="s">
        <v>608</v>
      </c>
      <c r="G1699" t="s">
        <v>99</v>
      </c>
      <c r="H1699">
        <v>1</v>
      </c>
      <c r="I1699">
        <v>2</v>
      </c>
      <c r="J1699" s="27">
        <v>32776.68</v>
      </c>
      <c r="K1699" s="27">
        <v>4000000</v>
      </c>
    </row>
    <row r="1700" spans="1:11" ht="15" customHeight="1" x14ac:dyDescent="0.2">
      <c r="A1700" t="s">
        <v>9792</v>
      </c>
      <c r="B1700" t="s">
        <v>9793</v>
      </c>
      <c r="C1700">
        <v>2024</v>
      </c>
      <c r="D1700" s="18">
        <v>45453</v>
      </c>
      <c r="E1700" s="18">
        <v>45817</v>
      </c>
      <c r="F1700" s="18" t="s">
        <v>611</v>
      </c>
      <c r="G1700" t="s">
        <v>101</v>
      </c>
      <c r="H1700">
        <v>2</v>
      </c>
      <c r="I1700">
        <v>4</v>
      </c>
      <c r="J1700" s="27">
        <v>31794.91</v>
      </c>
      <c r="K1700" s="27">
        <v>2000000</v>
      </c>
    </row>
    <row r="1701" spans="1:11" ht="15" customHeight="1" x14ac:dyDescent="0.2">
      <c r="A1701" t="s">
        <v>9794</v>
      </c>
      <c r="B1701" t="s">
        <v>9795</v>
      </c>
      <c r="C1701">
        <v>2024</v>
      </c>
      <c r="D1701" s="18">
        <v>45453</v>
      </c>
      <c r="E1701" s="18">
        <v>45817</v>
      </c>
      <c r="F1701" s="18" t="s">
        <v>611</v>
      </c>
      <c r="G1701" t="s">
        <v>100</v>
      </c>
      <c r="H1701">
        <v>2</v>
      </c>
      <c r="I1701">
        <v>2</v>
      </c>
      <c r="J1701" s="27">
        <v>24478.19</v>
      </c>
      <c r="K1701" s="27">
        <v>2000000</v>
      </c>
    </row>
    <row r="1702" spans="1:11" ht="15" customHeight="1" x14ac:dyDescent="0.2">
      <c r="A1702" t="s">
        <v>9796</v>
      </c>
      <c r="B1702" t="s">
        <v>9797</v>
      </c>
      <c r="C1702">
        <v>2024</v>
      </c>
      <c r="D1702" s="18">
        <v>45453</v>
      </c>
      <c r="E1702" s="18">
        <v>45817</v>
      </c>
      <c r="F1702" s="18" t="s">
        <v>611</v>
      </c>
      <c r="G1702" t="s">
        <v>102</v>
      </c>
      <c r="H1702">
        <v>1</v>
      </c>
      <c r="I1702">
        <v>1</v>
      </c>
      <c r="J1702" s="27">
        <v>26173.56</v>
      </c>
      <c r="K1702" s="27">
        <v>3000000</v>
      </c>
    </row>
    <row r="1703" spans="1:11" ht="15" customHeight="1" x14ac:dyDescent="0.2">
      <c r="A1703" t="s">
        <v>9798</v>
      </c>
      <c r="B1703" t="s">
        <v>9799</v>
      </c>
      <c r="C1703">
        <v>2024</v>
      </c>
      <c r="D1703" s="18">
        <v>45454</v>
      </c>
      <c r="E1703" s="18">
        <v>45818</v>
      </c>
      <c r="F1703" s="18" t="s">
        <v>608</v>
      </c>
      <c r="G1703" t="s">
        <v>102</v>
      </c>
      <c r="H1703">
        <v>2</v>
      </c>
      <c r="I1703">
        <v>4</v>
      </c>
      <c r="J1703" s="27">
        <v>24915.21</v>
      </c>
      <c r="K1703" s="27">
        <v>3000000</v>
      </c>
    </row>
    <row r="1704" spans="1:11" ht="15" customHeight="1" x14ac:dyDescent="0.2">
      <c r="A1704" t="s">
        <v>9800</v>
      </c>
      <c r="B1704" t="s">
        <v>9801</v>
      </c>
      <c r="C1704">
        <v>2024</v>
      </c>
      <c r="D1704" s="18">
        <v>45454</v>
      </c>
      <c r="E1704" s="18">
        <v>45818</v>
      </c>
      <c r="F1704" s="18" t="s">
        <v>608</v>
      </c>
      <c r="G1704" t="s">
        <v>102</v>
      </c>
      <c r="H1704">
        <v>3</v>
      </c>
      <c r="I1704">
        <v>3</v>
      </c>
      <c r="J1704" s="27">
        <v>25731.54</v>
      </c>
      <c r="K1704" s="27">
        <v>3000000</v>
      </c>
    </row>
    <row r="1705" spans="1:11" ht="15" customHeight="1" x14ac:dyDescent="0.2">
      <c r="A1705" t="s">
        <v>9802</v>
      </c>
      <c r="B1705" t="s">
        <v>9803</v>
      </c>
      <c r="C1705">
        <v>2024</v>
      </c>
      <c r="D1705" s="18">
        <v>45454</v>
      </c>
      <c r="E1705" s="18">
        <v>45818</v>
      </c>
      <c r="F1705" s="18" t="s">
        <v>611</v>
      </c>
      <c r="G1705" t="s">
        <v>101</v>
      </c>
      <c r="H1705">
        <v>2</v>
      </c>
      <c r="I1705">
        <v>4</v>
      </c>
      <c r="J1705" s="27">
        <v>168270.67</v>
      </c>
      <c r="K1705" s="27">
        <v>10000000</v>
      </c>
    </row>
    <row r="1706" spans="1:11" ht="15" customHeight="1" x14ac:dyDescent="0.2">
      <c r="A1706" t="s">
        <v>9804</v>
      </c>
      <c r="B1706" t="s">
        <v>9805</v>
      </c>
      <c r="C1706">
        <v>2024</v>
      </c>
      <c r="D1706" s="18">
        <v>45454</v>
      </c>
      <c r="E1706" s="18">
        <v>45818</v>
      </c>
      <c r="F1706" s="18" t="s">
        <v>611</v>
      </c>
      <c r="G1706" t="s">
        <v>101</v>
      </c>
      <c r="H1706">
        <v>1</v>
      </c>
      <c r="I1706">
        <v>1</v>
      </c>
      <c r="J1706" s="27">
        <v>37905.589999999997</v>
      </c>
      <c r="K1706" s="27">
        <v>2000000</v>
      </c>
    </row>
    <row r="1707" spans="1:11" ht="15" customHeight="1" x14ac:dyDescent="0.2">
      <c r="A1707" t="s">
        <v>9806</v>
      </c>
      <c r="B1707" t="s">
        <v>9807</v>
      </c>
      <c r="C1707">
        <v>2024</v>
      </c>
      <c r="D1707" s="18">
        <v>45454</v>
      </c>
      <c r="E1707" s="18">
        <v>45818</v>
      </c>
      <c r="F1707" s="18" t="s">
        <v>611</v>
      </c>
      <c r="G1707" t="s">
        <v>99</v>
      </c>
      <c r="H1707">
        <v>3</v>
      </c>
      <c r="I1707">
        <v>6</v>
      </c>
      <c r="J1707" s="27">
        <v>8284.89</v>
      </c>
      <c r="K1707" s="27">
        <v>1000000</v>
      </c>
    </row>
    <row r="1708" spans="1:11" ht="15" customHeight="1" x14ac:dyDescent="0.2">
      <c r="A1708" t="s">
        <v>9808</v>
      </c>
      <c r="B1708" t="s">
        <v>9809</v>
      </c>
      <c r="C1708">
        <v>2024</v>
      </c>
      <c r="D1708" s="18">
        <v>45455</v>
      </c>
      <c r="E1708" s="18">
        <v>45819</v>
      </c>
      <c r="F1708" s="18" t="s">
        <v>611</v>
      </c>
      <c r="G1708" t="s">
        <v>101</v>
      </c>
      <c r="H1708">
        <v>1</v>
      </c>
      <c r="I1708">
        <v>2</v>
      </c>
      <c r="J1708" s="27">
        <v>18587.310000000001</v>
      </c>
      <c r="K1708" s="27">
        <v>1000000</v>
      </c>
    </row>
    <row r="1709" spans="1:11" ht="15" customHeight="1" x14ac:dyDescent="0.2">
      <c r="A1709" t="s">
        <v>9810</v>
      </c>
      <c r="B1709" t="s">
        <v>9811</v>
      </c>
      <c r="C1709">
        <v>2024</v>
      </c>
      <c r="D1709" s="18">
        <v>45455</v>
      </c>
      <c r="E1709" s="18">
        <v>45819</v>
      </c>
      <c r="F1709" s="18" t="s">
        <v>611</v>
      </c>
      <c r="G1709" t="s">
        <v>100</v>
      </c>
      <c r="H1709">
        <v>1</v>
      </c>
      <c r="I1709">
        <v>1</v>
      </c>
      <c r="J1709" s="27">
        <v>24330.46</v>
      </c>
      <c r="K1709" s="27">
        <v>2000000</v>
      </c>
    </row>
    <row r="1710" spans="1:11" ht="15" customHeight="1" x14ac:dyDescent="0.2">
      <c r="A1710" t="s">
        <v>9812</v>
      </c>
      <c r="B1710" t="s">
        <v>9813</v>
      </c>
      <c r="C1710">
        <v>2024</v>
      </c>
      <c r="D1710" s="18">
        <v>45455</v>
      </c>
      <c r="E1710" s="18">
        <v>45819</v>
      </c>
      <c r="F1710" s="18" t="s">
        <v>611</v>
      </c>
      <c r="G1710" t="s">
        <v>100</v>
      </c>
      <c r="H1710">
        <v>3</v>
      </c>
      <c r="I1710">
        <v>6</v>
      </c>
      <c r="J1710" s="27">
        <v>70496.240000000005</v>
      </c>
      <c r="K1710" s="27">
        <v>5000000</v>
      </c>
    </row>
    <row r="1711" spans="1:11" ht="15" customHeight="1" x14ac:dyDescent="0.2">
      <c r="A1711" t="s">
        <v>9814</v>
      </c>
      <c r="B1711" t="s">
        <v>9815</v>
      </c>
      <c r="C1711">
        <v>2024</v>
      </c>
      <c r="D1711" s="18">
        <v>45455</v>
      </c>
      <c r="E1711" s="18">
        <v>45819</v>
      </c>
      <c r="F1711" s="18" t="s">
        <v>611</v>
      </c>
      <c r="G1711" t="s">
        <v>99</v>
      </c>
      <c r="H1711">
        <v>1</v>
      </c>
      <c r="I1711">
        <v>1</v>
      </c>
      <c r="J1711" s="27">
        <v>26169.46</v>
      </c>
      <c r="K1711" s="27">
        <v>3500000</v>
      </c>
    </row>
    <row r="1712" spans="1:11" ht="15" customHeight="1" x14ac:dyDescent="0.2">
      <c r="A1712" t="s">
        <v>9816</v>
      </c>
      <c r="B1712" t="s">
        <v>9817</v>
      </c>
      <c r="C1712">
        <v>2024</v>
      </c>
      <c r="D1712" s="18">
        <v>45455</v>
      </c>
      <c r="E1712" s="18">
        <v>45819</v>
      </c>
      <c r="F1712" s="18" t="s">
        <v>611</v>
      </c>
      <c r="G1712" t="s">
        <v>100</v>
      </c>
      <c r="H1712">
        <v>3</v>
      </c>
      <c r="I1712">
        <v>3</v>
      </c>
      <c r="J1712" s="27">
        <v>13326.13</v>
      </c>
      <c r="K1712" s="27">
        <v>1000000</v>
      </c>
    </row>
    <row r="1713" spans="1:11" ht="15" customHeight="1" x14ac:dyDescent="0.2">
      <c r="A1713" t="s">
        <v>9818</v>
      </c>
      <c r="B1713" t="s">
        <v>9819</v>
      </c>
      <c r="C1713">
        <v>2024</v>
      </c>
      <c r="D1713" s="18">
        <v>45455</v>
      </c>
      <c r="E1713" s="18">
        <v>45819</v>
      </c>
      <c r="F1713" s="18" t="s">
        <v>611</v>
      </c>
      <c r="G1713" t="s">
        <v>99</v>
      </c>
      <c r="H1713">
        <v>3</v>
      </c>
      <c r="I1713">
        <v>6</v>
      </c>
      <c r="J1713" s="27">
        <v>20043.41</v>
      </c>
      <c r="K1713" s="27">
        <v>2500000</v>
      </c>
    </row>
    <row r="1714" spans="1:11" ht="15" customHeight="1" x14ac:dyDescent="0.2">
      <c r="A1714" t="s">
        <v>9820</v>
      </c>
      <c r="B1714" t="s">
        <v>9821</v>
      </c>
      <c r="C1714">
        <v>2024</v>
      </c>
      <c r="D1714" s="18">
        <v>45456</v>
      </c>
      <c r="E1714" s="18">
        <v>45820</v>
      </c>
      <c r="F1714" s="18" t="s">
        <v>611</v>
      </c>
      <c r="G1714" t="s">
        <v>101</v>
      </c>
      <c r="H1714">
        <v>1</v>
      </c>
      <c r="I1714">
        <v>2</v>
      </c>
      <c r="J1714" s="27">
        <v>69086.149999999994</v>
      </c>
      <c r="K1714" s="27">
        <v>4000000</v>
      </c>
    </row>
    <row r="1715" spans="1:11" ht="15" customHeight="1" x14ac:dyDescent="0.2">
      <c r="A1715" t="s">
        <v>9822</v>
      </c>
      <c r="B1715" t="s">
        <v>9823</v>
      </c>
      <c r="C1715">
        <v>2024</v>
      </c>
      <c r="D1715" s="18">
        <v>45456</v>
      </c>
      <c r="E1715" s="18">
        <v>45820</v>
      </c>
      <c r="F1715" s="18" t="s">
        <v>611</v>
      </c>
      <c r="G1715" t="s">
        <v>99</v>
      </c>
      <c r="H1715">
        <v>2</v>
      </c>
      <c r="I1715">
        <v>4</v>
      </c>
      <c r="J1715" s="27">
        <v>34872.660000000003</v>
      </c>
      <c r="K1715" s="27">
        <v>4000000</v>
      </c>
    </row>
    <row r="1716" spans="1:11" ht="15" customHeight="1" x14ac:dyDescent="0.2">
      <c r="A1716" t="s">
        <v>9824</v>
      </c>
      <c r="B1716" t="s">
        <v>9825</v>
      </c>
      <c r="C1716">
        <v>2024</v>
      </c>
      <c r="D1716" s="18">
        <v>45456</v>
      </c>
      <c r="E1716" s="18">
        <v>45820</v>
      </c>
      <c r="F1716" s="18" t="s">
        <v>611</v>
      </c>
      <c r="G1716" t="s">
        <v>100</v>
      </c>
      <c r="H1716">
        <v>1</v>
      </c>
      <c r="I1716">
        <v>2</v>
      </c>
      <c r="J1716" s="27">
        <v>46622.559999999998</v>
      </c>
      <c r="K1716" s="27">
        <v>3500000</v>
      </c>
    </row>
    <row r="1717" spans="1:11" ht="15" customHeight="1" x14ac:dyDescent="0.2">
      <c r="A1717" t="s">
        <v>9826</v>
      </c>
      <c r="B1717" t="s">
        <v>9827</v>
      </c>
      <c r="C1717">
        <v>2024</v>
      </c>
      <c r="D1717" s="18">
        <v>45456</v>
      </c>
      <c r="E1717" s="18">
        <v>45820</v>
      </c>
      <c r="F1717" s="18" t="s">
        <v>611</v>
      </c>
      <c r="G1717" t="s">
        <v>99</v>
      </c>
      <c r="H1717">
        <v>2</v>
      </c>
      <c r="I1717">
        <v>4</v>
      </c>
      <c r="J1717" s="27">
        <v>80960.38</v>
      </c>
      <c r="K1717" s="27">
        <v>10000000</v>
      </c>
    </row>
    <row r="1718" spans="1:11" ht="15" customHeight="1" x14ac:dyDescent="0.2">
      <c r="A1718" t="s">
        <v>9828</v>
      </c>
      <c r="B1718" t="s">
        <v>9829</v>
      </c>
      <c r="C1718">
        <v>2024</v>
      </c>
      <c r="D1718" s="18">
        <v>45456</v>
      </c>
      <c r="E1718" s="18">
        <v>45820</v>
      </c>
      <c r="F1718" s="18" t="s">
        <v>611</v>
      </c>
      <c r="G1718" t="s">
        <v>99</v>
      </c>
      <c r="H1718">
        <v>3</v>
      </c>
      <c r="I1718">
        <v>3</v>
      </c>
      <c r="J1718" s="27">
        <v>86326.23</v>
      </c>
      <c r="K1718" s="27">
        <v>10000000</v>
      </c>
    </row>
    <row r="1719" spans="1:11" ht="15" customHeight="1" x14ac:dyDescent="0.2">
      <c r="A1719" t="s">
        <v>9830</v>
      </c>
      <c r="B1719" t="s">
        <v>9831</v>
      </c>
      <c r="C1719">
        <v>2024</v>
      </c>
      <c r="D1719" s="18">
        <v>45456</v>
      </c>
      <c r="E1719" s="18">
        <v>45820</v>
      </c>
      <c r="F1719" s="18" t="s">
        <v>611</v>
      </c>
      <c r="G1719" t="s">
        <v>99</v>
      </c>
      <c r="H1719">
        <v>2</v>
      </c>
      <c r="I1719">
        <v>2</v>
      </c>
      <c r="J1719" s="27">
        <v>24630.3</v>
      </c>
      <c r="K1719" s="27">
        <v>3000000</v>
      </c>
    </row>
    <row r="1720" spans="1:11" ht="15" customHeight="1" x14ac:dyDescent="0.2">
      <c r="A1720" t="s">
        <v>9832</v>
      </c>
      <c r="B1720" t="s">
        <v>9833</v>
      </c>
      <c r="C1720">
        <v>2024</v>
      </c>
      <c r="D1720" s="18">
        <v>45456</v>
      </c>
      <c r="E1720" s="18">
        <v>45820</v>
      </c>
      <c r="F1720" s="18" t="s">
        <v>611</v>
      </c>
      <c r="G1720" t="s">
        <v>101</v>
      </c>
      <c r="H1720">
        <v>1</v>
      </c>
      <c r="I1720">
        <v>1</v>
      </c>
      <c r="J1720" s="27">
        <v>37558.080000000002</v>
      </c>
      <c r="K1720" s="27">
        <v>2000000</v>
      </c>
    </row>
    <row r="1721" spans="1:11" ht="15" customHeight="1" x14ac:dyDescent="0.2">
      <c r="A1721" t="s">
        <v>9834</v>
      </c>
      <c r="B1721" t="s">
        <v>9835</v>
      </c>
      <c r="C1721">
        <v>2024</v>
      </c>
      <c r="D1721" s="18">
        <v>45456</v>
      </c>
      <c r="E1721" s="18">
        <v>45820</v>
      </c>
      <c r="F1721" s="18" t="s">
        <v>611</v>
      </c>
      <c r="G1721" t="s">
        <v>101</v>
      </c>
      <c r="H1721">
        <v>2</v>
      </c>
      <c r="I1721">
        <v>2</v>
      </c>
      <c r="J1721" s="27">
        <v>94647.7</v>
      </c>
      <c r="K1721" s="27">
        <v>5000000</v>
      </c>
    </row>
    <row r="1722" spans="1:11" ht="15" customHeight="1" x14ac:dyDescent="0.2">
      <c r="A1722" t="s">
        <v>9836</v>
      </c>
      <c r="B1722" t="s">
        <v>9837</v>
      </c>
      <c r="C1722">
        <v>2024</v>
      </c>
      <c r="D1722" s="18">
        <v>45456</v>
      </c>
      <c r="E1722" s="18">
        <v>45820</v>
      </c>
      <c r="F1722" s="18" t="s">
        <v>611</v>
      </c>
      <c r="G1722" t="s">
        <v>100</v>
      </c>
      <c r="H1722">
        <v>1</v>
      </c>
      <c r="I1722">
        <v>1</v>
      </c>
      <c r="J1722" s="27">
        <v>12908.76</v>
      </c>
      <c r="K1722" s="27">
        <v>1000000</v>
      </c>
    </row>
    <row r="1723" spans="1:11" ht="15" customHeight="1" x14ac:dyDescent="0.2">
      <c r="A1723" t="s">
        <v>9838</v>
      </c>
      <c r="B1723" t="s">
        <v>9839</v>
      </c>
      <c r="C1723">
        <v>2024</v>
      </c>
      <c r="D1723" s="18">
        <v>45457</v>
      </c>
      <c r="E1723" s="18">
        <v>45821</v>
      </c>
      <c r="F1723" s="18" t="s">
        <v>611</v>
      </c>
      <c r="G1723" t="s">
        <v>99</v>
      </c>
      <c r="H1723">
        <v>3</v>
      </c>
      <c r="I1723">
        <v>6</v>
      </c>
      <c r="J1723" s="27">
        <v>77110.94</v>
      </c>
      <c r="K1723" s="27">
        <v>10000000</v>
      </c>
    </row>
    <row r="1724" spans="1:11" ht="15" customHeight="1" x14ac:dyDescent="0.2">
      <c r="A1724" t="s">
        <v>9840</v>
      </c>
      <c r="B1724" t="s">
        <v>9841</v>
      </c>
      <c r="C1724">
        <v>2024</v>
      </c>
      <c r="D1724" s="18">
        <v>45457</v>
      </c>
      <c r="E1724" s="18">
        <v>45821</v>
      </c>
      <c r="F1724" s="18" t="s">
        <v>611</v>
      </c>
      <c r="G1724" t="s">
        <v>101</v>
      </c>
      <c r="H1724">
        <v>1</v>
      </c>
      <c r="I1724">
        <v>2</v>
      </c>
      <c r="J1724" s="27">
        <v>17797.689999999999</v>
      </c>
      <c r="K1724" s="27">
        <v>1000000</v>
      </c>
    </row>
    <row r="1725" spans="1:11" ht="15" customHeight="1" x14ac:dyDescent="0.2">
      <c r="A1725" t="s">
        <v>9842</v>
      </c>
      <c r="B1725" t="s">
        <v>9843</v>
      </c>
      <c r="C1725">
        <v>2024</v>
      </c>
      <c r="D1725" s="18">
        <v>45457</v>
      </c>
      <c r="E1725" s="18">
        <v>45821</v>
      </c>
      <c r="F1725" s="18" t="s">
        <v>611</v>
      </c>
      <c r="G1725" t="s">
        <v>99</v>
      </c>
      <c r="H1725">
        <v>2</v>
      </c>
      <c r="I1725">
        <v>2</v>
      </c>
      <c r="J1725" s="27">
        <v>30423.5</v>
      </c>
      <c r="K1725" s="27">
        <v>4000000</v>
      </c>
    </row>
    <row r="1726" spans="1:11" ht="15" customHeight="1" x14ac:dyDescent="0.2">
      <c r="A1726" t="s">
        <v>9844</v>
      </c>
      <c r="B1726" t="s">
        <v>9845</v>
      </c>
      <c r="C1726">
        <v>2024</v>
      </c>
      <c r="D1726" s="18">
        <v>45457</v>
      </c>
      <c r="E1726" s="18">
        <v>45821</v>
      </c>
      <c r="F1726" s="18" t="s">
        <v>611</v>
      </c>
      <c r="G1726" t="s">
        <v>101</v>
      </c>
      <c r="H1726">
        <v>1</v>
      </c>
      <c r="I1726">
        <v>1</v>
      </c>
      <c r="J1726" s="27">
        <v>16913.28</v>
      </c>
      <c r="K1726" s="27">
        <v>1000000</v>
      </c>
    </row>
    <row r="1727" spans="1:11" ht="15" customHeight="1" x14ac:dyDescent="0.2">
      <c r="A1727" t="s">
        <v>9846</v>
      </c>
      <c r="B1727" t="s">
        <v>9847</v>
      </c>
      <c r="C1727">
        <v>2024</v>
      </c>
      <c r="D1727" s="18">
        <v>45457</v>
      </c>
      <c r="E1727" s="18">
        <v>45821</v>
      </c>
      <c r="F1727" s="18" t="s">
        <v>611</v>
      </c>
      <c r="G1727" t="s">
        <v>99</v>
      </c>
      <c r="H1727">
        <v>1</v>
      </c>
      <c r="I1727">
        <v>1</v>
      </c>
      <c r="J1727" s="27">
        <v>11466.58</v>
      </c>
      <c r="K1727" s="27">
        <v>1500000</v>
      </c>
    </row>
    <row r="1728" spans="1:11" ht="15" customHeight="1" x14ac:dyDescent="0.2">
      <c r="A1728" t="s">
        <v>9848</v>
      </c>
      <c r="B1728" t="s">
        <v>9849</v>
      </c>
      <c r="C1728">
        <v>2024</v>
      </c>
      <c r="D1728" s="18">
        <v>45457</v>
      </c>
      <c r="E1728" s="18">
        <v>45821</v>
      </c>
      <c r="F1728" s="18" t="s">
        <v>611</v>
      </c>
      <c r="G1728" t="s">
        <v>99</v>
      </c>
      <c r="H1728">
        <v>1</v>
      </c>
      <c r="I1728">
        <v>2</v>
      </c>
      <c r="J1728" s="27">
        <v>27639.66</v>
      </c>
      <c r="K1728" s="27">
        <v>3500000</v>
      </c>
    </row>
    <row r="1729" spans="1:11" ht="15" customHeight="1" x14ac:dyDescent="0.2">
      <c r="A1729" t="s">
        <v>9850</v>
      </c>
      <c r="B1729" t="s">
        <v>9851</v>
      </c>
      <c r="C1729">
        <v>2024</v>
      </c>
      <c r="D1729" s="18">
        <v>45458</v>
      </c>
      <c r="E1729" s="18">
        <v>45822</v>
      </c>
      <c r="F1729" s="18" t="s">
        <v>611</v>
      </c>
      <c r="G1729" t="s">
        <v>99</v>
      </c>
      <c r="H1729">
        <v>1</v>
      </c>
      <c r="I1729">
        <v>2</v>
      </c>
      <c r="J1729" s="27">
        <v>23852.57</v>
      </c>
      <c r="K1729" s="27">
        <v>3000000</v>
      </c>
    </row>
    <row r="1730" spans="1:11" ht="15" customHeight="1" x14ac:dyDescent="0.2">
      <c r="A1730" t="s">
        <v>9852</v>
      </c>
      <c r="B1730" t="s">
        <v>9853</v>
      </c>
      <c r="C1730">
        <v>2024</v>
      </c>
      <c r="D1730" s="18">
        <v>45458</v>
      </c>
      <c r="E1730" s="18">
        <v>45822</v>
      </c>
      <c r="F1730" s="18" t="s">
        <v>611</v>
      </c>
      <c r="G1730" t="s">
        <v>99</v>
      </c>
      <c r="H1730">
        <v>2</v>
      </c>
      <c r="I1730">
        <v>2</v>
      </c>
      <c r="J1730" s="27">
        <v>24509.56</v>
      </c>
      <c r="K1730" s="27">
        <v>3000000</v>
      </c>
    </row>
    <row r="1731" spans="1:11" ht="15" customHeight="1" x14ac:dyDescent="0.2">
      <c r="A1731" t="s">
        <v>9854</v>
      </c>
      <c r="B1731" t="s">
        <v>9855</v>
      </c>
      <c r="C1731">
        <v>2024</v>
      </c>
      <c r="D1731" s="18">
        <v>45458</v>
      </c>
      <c r="E1731" s="18">
        <v>45822</v>
      </c>
      <c r="F1731" s="18" t="s">
        <v>611</v>
      </c>
      <c r="G1731" t="s">
        <v>102</v>
      </c>
      <c r="H1731">
        <v>3</v>
      </c>
      <c r="I1731">
        <v>3</v>
      </c>
      <c r="J1731" s="27">
        <v>26727.55</v>
      </c>
      <c r="K1731" s="27">
        <v>3000000</v>
      </c>
    </row>
    <row r="1732" spans="1:11" ht="15" customHeight="1" x14ac:dyDescent="0.2">
      <c r="A1732" t="s">
        <v>9856</v>
      </c>
      <c r="B1732" t="s">
        <v>9857</v>
      </c>
      <c r="C1732">
        <v>2024</v>
      </c>
      <c r="D1732" s="18">
        <v>45458</v>
      </c>
      <c r="E1732" s="18">
        <v>45822</v>
      </c>
      <c r="F1732" s="18" t="s">
        <v>611</v>
      </c>
      <c r="G1732" t="s">
        <v>101</v>
      </c>
      <c r="H1732">
        <v>3</v>
      </c>
      <c r="I1732">
        <v>6</v>
      </c>
      <c r="J1732" s="27">
        <v>17456.740000000002</v>
      </c>
      <c r="K1732" s="27">
        <v>1000000</v>
      </c>
    </row>
    <row r="1733" spans="1:11" ht="15" customHeight="1" x14ac:dyDescent="0.2">
      <c r="A1733" t="s">
        <v>9858</v>
      </c>
      <c r="B1733" t="s">
        <v>9859</v>
      </c>
      <c r="C1733">
        <v>2024</v>
      </c>
      <c r="D1733" s="18">
        <v>45458</v>
      </c>
      <c r="E1733" s="18">
        <v>45822</v>
      </c>
      <c r="F1733" s="18" t="s">
        <v>611</v>
      </c>
      <c r="G1733" t="s">
        <v>99</v>
      </c>
      <c r="H1733">
        <v>1</v>
      </c>
      <c r="I1733">
        <v>1</v>
      </c>
      <c r="J1733" s="27">
        <v>4251.28</v>
      </c>
      <c r="K1733" s="27">
        <v>500000</v>
      </c>
    </row>
    <row r="1734" spans="1:11" ht="15" customHeight="1" x14ac:dyDescent="0.2">
      <c r="A1734" t="s">
        <v>9860</v>
      </c>
      <c r="B1734" t="s">
        <v>9861</v>
      </c>
      <c r="C1734">
        <v>2024</v>
      </c>
      <c r="D1734" s="18">
        <v>45458</v>
      </c>
      <c r="E1734" s="18">
        <v>45822</v>
      </c>
      <c r="F1734" s="18" t="s">
        <v>611</v>
      </c>
      <c r="G1734" t="s">
        <v>99</v>
      </c>
      <c r="H1734">
        <v>2</v>
      </c>
      <c r="I1734">
        <v>2</v>
      </c>
      <c r="J1734" s="27">
        <v>87657.29</v>
      </c>
      <c r="K1734" s="27">
        <v>10000000</v>
      </c>
    </row>
    <row r="1735" spans="1:11" ht="15" customHeight="1" x14ac:dyDescent="0.2">
      <c r="A1735" t="s">
        <v>9862</v>
      </c>
      <c r="B1735" t="s">
        <v>9863</v>
      </c>
      <c r="C1735">
        <v>2024</v>
      </c>
      <c r="D1735" s="18">
        <v>45458</v>
      </c>
      <c r="E1735" s="18">
        <v>45822</v>
      </c>
      <c r="F1735" s="18" t="s">
        <v>611</v>
      </c>
      <c r="G1735" t="s">
        <v>99</v>
      </c>
      <c r="H1735">
        <v>3</v>
      </c>
      <c r="I1735">
        <v>3</v>
      </c>
      <c r="J1735" s="27">
        <v>26942.03</v>
      </c>
      <c r="K1735" s="27">
        <v>3500000</v>
      </c>
    </row>
    <row r="1736" spans="1:11" ht="15" customHeight="1" x14ac:dyDescent="0.2">
      <c r="A1736" t="s">
        <v>9864</v>
      </c>
      <c r="B1736" t="s">
        <v>9865</v>
      </c>
      <c r="C1736">
        <v>2024</v>
      </c>
      <c r="D1736" s="18">
        <v>45459</v>
      </c>
      <c r="E1736" s="18">
        <v>45823</v>
      </c>
      <c r="F1736" s="18" t="s">
        <v>608</v>
      </c>
      <c r="G1736" t="s">
        <v>99</v>
      </c>
      <c r="H1736">
        <v>2</v>
      </c>
      <c r="I1736">
        <v>2</v>
      </c>
      <c r="J1736" s="27">
        <v>25867.66</v>
      </c>
      <c r="K1736" s="27">
        <v>3000000</v>
      </c>
    </row>
    <row r="1737" spans="1:11" ht="15" customHeight="1" x14ac:dyDescent="0.2">
      <c r="A1737" t="s">
        <v>9866</v>
      </c>
      <c r="B1737" t="s">
        <v>9867</v>
      </c>
      <c r="C1737">
        <v>2024</v>
      </c>
      <c r="D1737" s="18">
        <v>45459</v>
      </c>
      <c r="E1737" s="18">
        <v>45823</v>
      </c>
      <c r="F1737" s="18" t="s">
        <v>608</v>
      </c>
      <c r="G1737" t="s">
        <v>100</v>
      </c>
      <c r="H1737">
        <v>2</v>
      </c>
      <c r="I1737">
        <v>4</v>
      </c>
      <c r="J1737" s="27">
        <v>14117.1</v>
      </c>
      <c r="K1737" s="27">
        <v>1000000</v>
      </c>
    </row>
    <row r="1738" spans="1:11" ht="15" customHeight="1" x14ac:dyDescent="0.2">
      <c r="A1738" t="s">
        <v>9868</v>
      </c>
      <c r="B1738" t="s">
        <v>9869</v>
      </c>
      <c r="C1738">
        <v>2024</v>
      </c>
      <c r="D1738" s="18">
        <v>45459</v>
      </c>
      <c r="E1738" s="18">
        <v>45823</v>
      </c>
      <c r="F1738" s="18" t="s">
        <v>611</v>
      </c>
      <c r="G1738" t="s">
        <v>101</v>
      </c>
      <c r="H1738">
        <v>1</v>
      </c>
      <c r="I1738">
        <v>1</v>
      </c>
      <c r="J1738" s="27">
        <v>73276.19</v>
      </c>
      <c r="K1738" s="27">
        <v>4000000</v>
      </c>
    </row>
    <row r="1739" spans="1:11" ht="15" customHeight="1" x14ac:dyDescent="0.2">
      <c r="A1739" t="s">
        <v>9870</v>
      </c>
      <c r="B1739" t="s">
        <v>9871</v>
      </c>
      <c r="C1739">
        <v>2024</v>
      </c>
      <c r="D1739" s="18">
        <v>45459</v>
      </c>
      <c r="E1739" s="18">
        <v>45823</v>
      </c>
      <c r="F1739" s="18" t="s">
        <v>611</v>
      </c>
      <c r="G1739" t="s">
        <v>100</v>
      </c>
      <c r="H1739">
        <v>3</v>
      </c>
      <c r="I1739">
        <v>3</v>
      </c>
      <c r="J1739" s="27">
        <v>12973.7</v>
      </c>
      <c r="K1739" s="27">
        <v>1000000</v>
      </c>
    </row>
    <row r="1740" spans="1:11" ht="15" customHeight="1" x14ac:dyDescent="0.2">
      <c r="A1740" t="s">
        <v>9872</v>
      </c>
      <c r="B1740" t="s">
        <v>9873</v>
      </c>
      <c r="C1740">
        <v>2024</v>
      </c>
      <c r="D1740" s="18">
        <v>45459</v>
      </c>
      <c r="E1740" s="18">
        <v>45823</v>
      </c>
      <c r="F1740" s="18" t="s">
        <v>611</v>
      </c>
      <c r="G1740" t="s">
        <v>102</v>
      </c>
      <c r="H1740">
        <v>3</v>
      </c>
      <c r="I1740">
        <v>6</v>
      </c>
      <c r="J1740" s="27">
        <v>36752.43</v>
      </c>
      <c r="K1740" s="27">
        <v>4000000</v>
      </c>
    </row>
    <row r="1741" spans="1:11" ht="15" customHeight="1" x14ac:dyDescent="0.2">
      <c r="A1741" t="s">
        <v>9874</v>
      </c>
      <c r="B1741" t="s">
        <v>9875</v>
      </c>
      <c r="C1741">
        <v>2024</v>
      </c>
      <c r="D1741" s="18">
        <v>45459</v>
      </c>
      <c r="E1741" s="18">
        <v>45823</v>
      </c>
      <c r="F1741" s="18" t="s">
        <v>611</v>
      </c>
      <c r="G1741" t="s">
        <v>100</v>
      </c>
      <c r="H1741">
        <v>1</v>
      </c>
      <c r="I1741">
        <v>2</v>
      </c>
      <c r="J1741" s="27">
        <v>33583.74</v>
      </c>
      <c r="K1741" s="27">
        <v>2500000</v>
      </c>
    </row>
    <row r="1742" spans="1:11" ht="15" customHeight="1" x14ac:dyDescent="0.2">
      <c r="A1742" t="s">
        <v>9876</v>
      </c>
      <c r="B1742" t="s">
        <v>9877</v>
      </c>
      <c r="C1742">
        <v>2024</v>
      </c>
      <c r="D1742" s="18">
        <v>45459</v>
      </c>
      <c r="E1742" s="18">
        <v>45823</v>
      </c>
      <c r="F1742" s="18" t="s">
        <v>611</v>
      </c>
      <c r="G1742" t="s">
        <v>102</v>
      </c>
      <c r="H1742">
        <v>3</v>
      </c>
      <c r="I1742">
        <v>3</v>
      </c>
      <c r="J1742" s="27">
        <v>88063.41</v>
      </c>
      <c r="K1742" s="27">
        <v>10000000</v>
      </c>
    </row>
    <row r="1743" spans="1:11" ht="15" customHeight="1" x14ac:dyDescent="0.2">
      <c r="A1743" t="s">
        <v>9878</v>
      </c>
      <c r="B1743" t="s">
        <v>9879</v>
      </c>
      <c r="C1743">
        <v>2024</v>
      </c>
      <c r="D1743" s="18">
        <v>45459</v>
      </c>
      <c r="E1743" s="18">
        <v>45823</v>
      </c>
      <c r="F1743" s="18" t="s">
        <v>611</v>
      </c>
      <c r="G1743" t="s">
        <v>99</v>
      </c>
      <c r="H1743">
        <v>1</v>
      </c>
      <c r="I1743">
        <v>1</v>
      </c>
      <c r="J1743" s="27">
        <v>7674.9</v>
      </c>
      <c r="K1743" s="27">
        <v>1000000</v>
      </c>
    </row>
    <row r="1744" spans="1:11" ht="15" customHeight="1" x14ac:dyDescent="0.2">
      <c r="A1744" t="s">
        <v>9880</v>
      </c>
      <c r="B1744" t="s">
        <v>9881</v>
      </c>
      <c r="C1744">
        <v>2024</v>
      </c>
      <c r="D1744" s="18">
        <v>45459</v>
      </c>
      <c r="E1744" s="18">
        <v>45823</v>
      </c>
      <c r="F1744" s="18" t="s">
        <v>611</v>
      </c>
      <c r="G1744" t="s">
        <v>102</v>
      </c>
      <c r="H1744">
        <v>1</v>
      </c>
      <c r="I1744">
        <v>2</v>
      </c>
      <c r="J1744" s="27">
        <v>8785.2000000000007</v>
      </c>
      <c r="K1744" s="27">
        <v>1000000</v>
      </c>
    </row>
    <row r="1745" spans="1:11" ht="15" customHeight="1" x14ac:dyDescent="0.2">
      <c r="A1745" t="s">
        <v>9882</v>
      </c>
      <c r="B1745" t="s">
        <v>9883</v>
      </c>
      <c r="C1745">
        <v>2024</v>
      </c>
      <c r="D1745" s="18">
        <v>45459</v>
      </c>
      <c r="E1745" s="18">
        <v>45823</v>
      </c>
      <c r="F1745" s="18" t="s">
        <v>611</v>
      </c>
      <c r="G1745" t="s">
        <v>101</v>
      </c>
      <c r="H1745">
        <v>1</v>
      </c>
      <c r="I1745">
        <v>1</v>
      </c>
      <c r="J1745" s="27">
        <v>81080.600000000006</v>
      </c>
      <c r="K1745" s="27">
        <v>4500000</v>
      </c>
    </row>
    <row r="1746" spans="1:11" ht="15" customHeight="1" x14ac:dyDescent="0.2">
      <c r="A1746" t="s">
        <v>9884</v>
      </c>
      <c r="B1746" t="s">
        <v>9885</v>
      </c>
      <c r="C1746">
        <v>2024</v>
      </c>
      <c r="D1746" s="18">
        <v>45460</v>
      </c>
      <c r="E1746" s="18">
        <v>45824</v>
      </c>
      <c r="F1746" s="18" t="s">
        <v>608</v>
      </c>
      <c r="G1746" t="s">
        <v>101</v>
      </c>
      <c r="H1746">
        <v>2</v>
      </c>
      <c r="I1746">
        <v>4</v>
      </c>
      <c r="J1746" s="27">
        <v>17405.560000000001</v>
      </c>
      <c r="K1746" s="27">
        <v>1000000</v>
      </c>
    </row>
    <row r="1747" spans="1:11" ht="15" customHeight="1" x14ac:dyDescent="0.2">
      <c r="A1747" t="s">
        <v>9886</v>
      </c>
      <c r="B1747" t="s">
        <v>9887</v>
      </c>
      <c r="C1747">
        <v>2024</v>
      </c>
      <c r="D1747" s="18">
        <v>45460</v>
      </c>
      <c r="E1747" s="18">
        <v>45824</v>
      </c>
      <c r="F1747" s="18" t="s">
        <v>608</v>
      </c>
      <c r="G1747" t="s">
        <v>101</v>
      </c>
      <c r="H1747">
        <v>2</v>
      </c>
      <c r="I1747">
        <v>4</v>
      </c>
      <c r="J1747" s="27">
        <v>70636.44</v>
      </c>
      <c r="K1747" s="27">
        <v>4500000</v>
      </c>
    </row>
    <row r="1748" spans="1:11" ht="15" customHeight="1" x14ac:dyDescent="0.2">
      <c r="A1748" t="s">
        <v>9888</v>
      </c>
      <c r="B1748" t="s">
        <v>9889</v>
      </c>
      <c r="C1748">
        <v>2024</v>
      </c>
      <c r="D1748" s="18">
        <v>45460</v>
      </c>
      <c r="E1748" s="18">
        <v>45824</v>
      </c>
      <c r="F1748" s="18" t="s">
        <v>608</v>
      </c>
      <c r="G1748" t="s">
        <v>99</v>
      </c>
      <c r="H1748">
        <v>3</v>
      </c>
      <c r="I1748">
        <v>3</v>
      </c>
      <c r="J1748" s="27">
        <v>26331.29</v>
      </c>
      <c r="K1748" s="27">
        <v>3000000</v>
      </c>
    </row>
    <row r="1749" spans="1:11" ht="15" customHeight="1" x14ac:dyDescent="0.2">
      <c r="A1749" t="s">
        <v>9890</v>
      </c>
      <c r="B1749" t="s">
        <v>9891</v>
      </c>
      <c r="C1749">
        <v>2024</v>
      </c>
      <c r="D1749" s="18">
        <v>45460</v>
      </c>
      <c r="E1749" s="18">
        <v>45824</v>
      </c>
      <c r="F1749" s="18" t="s">
        <v>611</v>
      </c>
      <c r="G1749" t="s">
        <v>100</v>
      </c>
      <c r="H1749">
        <v>1</v>
      </c>
      <c r="I1749">
        <v>2</v>
      </c>
      <c r="J1749" s="27">
        <v>58023.44</v>
      </c>
      <c r="K1749" s="27">
        <v>4500000</v>
      </c>
    </row>
    <row r="1750" spans="1:11" ht="15" customHeight="1" x14ac:dyDescent="0.2">
      <c r="A1750" t="s">
        <v>9892</v>
      </c>
      <c r="B1750" t="s">
        <v>9893</v>
      </c>
      <c r="C1750">
        <v>2024</v>
      </c>
      <c r="D1750" s="18">
        <v>45460</v>
      </c>
      <c r="E1750" s="18">
        <v>45824</v>
      </c>
      <c r="F1750" s="18" t="s">
        <v>611</v>
      </c>
      <c r="G1750" t="s">
        <v>101</v>
      </c>
      <c r="H1750">
        <v>1</v>
      </c>
      <c r="I1750">
        <v>1</v>
      </c>
      <c r="J1750" s="27">
        <v>58827.839999999997</v>
      </c>
      <c r="K1750" s="27">
        <v>3500000</v>
      </c>
    </row>
    <row r="1751" spans="1:11" ht="15" customHeight="1" x14ac:dyDescent="0.2">
      <c r="A1751" t="s">
        <v>9894</v>
      </c>
      <c r="B1751" t="s">
        <v>9895</v>
      </c>
      <c r="C1751">
        <v>2024</v>
      </c>
      <c r="D1751" s="18">
        <v>45460</v>
      </c>
      <c r="E1751" s="18">
        <v>45824</v>
      </c>
      <c r="F1751" s="18" t="s">
        <v>611</v>
      </c>
      <c r="G1751" t="s">
        <v>99</v>
      </c>
      <c r="H1751">
        <v>2</v>
      </c>
      <c r="I1751">
        <v>2</v>
      </c>
      <c r="J1751" s="27">
        <v>7774.98</v>
      </c>
      <c r="K1751" s="27">
        <v>1000000</v>
      </c>
    </row>
    <row r="1752" spans="1:11" ht="15" customHeight="1" x14ac:dyDescent="0.2">
      <c r="A1752" t="s">
        <v>9896</v>
      </c>
      <c r="B1752" t="s">
        <v>9897</v>
      </c>
      <c r="C1752">
        <v>2024</v>
      </c>
      <c r="D1752" s="18">
        <v>45460</v>
      </c>
      <c r="E1752" s="18">
        <v>45824</v>
      </c>
      <c r="F1752" s="18" t="s">
        <v>611</v>
      </c>
      <c r="G1752" t="s">
        <v>101</v>
      </c>
      <c r="H1752">
        <v>2</v>
      </c>
      <c r="I1752">
        <v>2</v>
      </c>
      <c r="J1752" s="27">
        <v>44744.2</v>
      </c>
      <c r="K1752" s="27">
        <v>2500000</v>
      </c>
    </row>
    <row r="1753" spans="1:11" ht="15" customHeight="1" x14ac:dyDescent="0.2">
      <c r="A1753" t="s">
        <v>9898</v>
      </c>
      <c r="B1753" t="s">
        <v>9899</v>
      </c>
      <c r="C1753">
        <v>2024</v>
      </c>
      <c r="D1753" s="18">
        <v>45460</v>
      </c>
      <c r="E1753" s="18">
        <v>45824</v>
      </c>
      <c r="F1753" s="18" t="s">
        <v>611</v>
      </c>
      <c r="G1753" t="s">
        <v>101</v>
      </c>
      <c r="H1753">
        <v>3</v>
      </c>
      <c r="I1753">
        <v>3</v>
      </c>
      <c r="J1753" s="27">
        <v>165537.37</v>
      </c>
      <c r="K1753" s="27">
        <v>10000000</v>
      </c>
    </row>
    <row r="1754" spans="1:11" ht="15" customHeight="1" x14ac:dyDescent="0.2">
      <c r="A1754" t="s">
        <v>9900</v>
      </c>
      <c r="B1754" t="s">
        <v>9901</v>
      </c>
      <c r="C1754">
        <v>2024</v>
      </c>
      <c r="D1754" s="18">
        <v>45460</v>
      </c>
      <c r="E1754" s="18">
        <v>45824</v>
      </c>
      <c r="F1754" s="18" t="s">
        <v>611</v>
      </c>
      <c r="G1754" t="s">
        <v>101</v>
      </c>
      <c r="H1754">
        <v>2</v>
      </c>
      <c r="I1754">
        <v>4</v>
      </c>
      <c r="J1754" s="27">
        <v>23726.41</v>
      </c>
      <c r="K1754" s="27">
        <v>1500000</v>
      </c>
    </row>
    <row r="1755" spans="1:11" ht="15" customHeight="1" x14ac:dyDescent="0.2">
      <c r="A1755" t="s">
        <v>9902</v>
      </c>
      <c r="B1755" t="s">
        <v>9903</v>
      </c>
      <c r="C1755">
        <v>2024</v>
      </c>
      <c r="D1755" s="18">
        <v>45460</v>
      </c>
      <c r="E1755" s="18">
        <v>45824</v>
      </c>
      <c r="F1755" s="18" t="s">
        <v>611</v>
      </c>
      <c r="G1755" t="s">
        <v>101</v>
      </c>
      <c r="H1755">
        <v>1</v>
      </c>
      <c r="I1755">
        <v>1</v>
      </c>
      <c r="J1755" s="27">
        <v>15887.92</v>
      </c>
      <c r="K1755" s="27">
        <v>1000000</v>
      </c>
    </row>
    <row r="1756" spans="1:11" ht="15" customHeight="1" x14ac:dyDescent="0.2">
      <c r="A1756" t="s">
        <v>9904</v>
      </c>
      <c r="B1756" t="s">
        <v>9905</v>
      </c>
      <c r="C1756">
        <v>2024</v>
      </c>
      <c r="D1756" s="18">
        <v>45461</v>
      </c>
      <c r="E1756" s="18">
        <v>45825</v>
      </c>
      <c r="F1756" s="18" t="s">
        <v>611</v>
      </c>
      <c r="G1756" t="s">
        <v>100</v>
      </c>
      <c r="H1756">
        <v>1</v>
      </c>
      <c r="I1756">
        <v>2</v>
      </c>
      <c r="J1756" s="27">
        <v>25096.99</v>
      </c>
      <c r="K1756" s="27">
        <v>2000000</v>
      </c>
    </row>
    <row r="1757" spans="1:11" ht="15" customHeight="1" x14ac:dyDescent="0.2">
      <c r="A1757" t="s">
        <v>9906</v>
      </c>
      <c r="B1757" t="s">
        <v>9907</v>
      </c>
      <c r="C1757">
        <v>2024</v>
      </c>
      <c r="D1757" s="18">
        <v>45461</v>
      </c>
      <c r="E1757" s="18">
        <v>45825</v>
      </c>
      <c r="F1757" s="18" t="s">
        <v>611</v>
      </c>
      <c r="G1757" t="s">
        <v>101</v>
      </c>
      <c r="H1757">
        <v>2</v>
      </c>
      <c r="I1757">
        <v>2</v>
      </c>
      <c r="J1757" s="27">
        <v>82566.03</v>
      </c>
      <c r="K1757" s="27">
        <v>4500000</v>
      </c>
    </row>
    <row r="1758" spans="1:11" ht="15" customHeight="1" x14ac:dyDescent="0.2">
      <c r="A1758" t="s">
        <v>9908</v>
      </c>
      <c r="B1758" t="s">
        <v>9909</v>
      </c>
      <c r="C1758">
        <v>2024</v>
      </c>
      <c r="D1758" s="18">
        <v>45461</v>
      </c>
      <c r="E1758" s="18">
        <v>45825</v>
      </c>
      <c r="F1758" s="18" t="s">
        <v>611</v>
      </c>
      <c r="G1758" t="s">
        <v>99</v>
      </c>
      <c r="H1758">
        <v>1</v>
      </c>
      <c r="I1758">
        <v>1</v>
      </c>
      <c r="J1758" s="27">
        <v>14709.76</v>
      </c>
      <c r="K1758" s="27">
        <v>2000000</v>
      </c>
    </row>
    <row r="1759" spans="1:11" ht="15" customHeight="1" x14ac:dyDescent="0.2">
      <c r="A1759" t="s">
        <v>9910</v>
      </c>
      <c r="B1759" t="s">
        <v>9911</v>
      </c>
      <c r="C1759">
        <v>2024</v>
      </c>
      <c r="D1759" s="18">
        <v>45461</v>
      </c>
      <c r="E1759" s="18">
        <v>45825</v>
      </c>
      <c r="F1759" s="18" t="s">
        <v>611</v>
      </c>
      <c r="G1759" t="s">
        <v>100</v>
      </c>
      <c r="H1759">
        <v>1</v>
      </c>
      <c r="I1759">
        <v>2</v>
      </c>
      <c r="J1759" s="27">
        <v>24080.560000000001</v>
      </c>
      <c r="K1759" s="27">
        <v>2000000</v>
      </c>
    </row>
    <row r="1760" spans="1:11" ht="15" customHeight="1" x14ac:dyDescent="0.2">
      <c r="A1760" t="s">
        <v>9912</v>
      </c>
      <c r="B1760" t="s">
        <v>9913</v>
      </c>
      <c r="C1760">
        <v>2024</v>
      </c>
      <c r="D1760" s="18">
        <v>45462</v>
      </c>
      <c r="E1760" s="18">
        <v>45826</v>
      </c>
      <c r="F1760" s="18" t="s">
        <v>608</v>
      </c>
      <c r="G1760" t="s">
        <v>99</v>
      </c>
      <c r="H1760">
        <v>2</v>
      </c>
      <c r="I1760">
        <v>2</v>
      </c>
      <c r="J1760" s="27">
        <v>8461.19</v>
      </c>
      <c r="K1760" s="27">
        <v>1000000</v>
      </c>
    </row>
    <row r="1761" spans="1:11" ht="15" customHeight="1" x14ac:dyDescent="0.2">
      <c r="A1761" t="s">
        <v>9914</v>
      </c>
      <c r="B1761" t="s">
        <v>9915</v>
      </c>
      <c r="C1761">
        <v>2024</v>
      </c>
      <c r="D1761" s="18">
        <v>45462</v>
      </c>
      <c r="E1761" s="18">
        <v>45826</v>
      </c>
      <c r="F1761" s="18" t="s">
        <v>608</v>
      </c>
      <c r="G1761" t="s">
        <v>99</v>
      </c>
      <c r="H1761">
        <v>1</v>
      </c>
      <c r="I1761">
        <v>1</v>
      </c>
      <c r="J1761" s="27">
        <v>88054.22</v>
      </c>
      <c r="K1761" s="27">
        <v>10000000</v>
      </c>
    </row>
    <row r="1762" spans="1:11" ht="15" customHeight="1" x14ac:dyDescent="0.2">
      <c r="A1762" t="s">
        <v>9916</v>
      </c>
      <c r="B1762" t="s">
        <v>9917</v>
      </c>
      <c r="C1762">
        <v>2024</v>
      </c>
      <c r="D1762" s="18">
        <v>45462</v>
      </c>
      <c r="E1762" s="18">
        <v>45826</v>
      </c>
      <c r="F1762" s="18" t="s">
        <v>608</v>
      </c>
      <c r="G1762" t="s">
        <v>101</v>
      </c>
      <c r="H1762">
        <v>3</v>
      </c>
      <c r="I1762">
        <v>3</v>
      </c>
      <c r="J1762" s="27">
        <v>64776.6</v>
      </c>
      <c r="K1762" s="27">
        <v>4000000</v>
      </c>
    </row>
    <row r="1763" spans="1:11" ht="15" customHeight="1" x14ac:dyDescent="0.2">
      <c r="A1763" t="s">
        <v>9918</v>
      </c>
      <c r="B1763" t="s">
        <v>9919</v>
      </c>
      <c r="C1763">
        <v>2024</v>
      </c>
      <c r="D1763" s="18">
        <v>45462</v>
      </c>
      <c r="E1763" s="18">
        <v>45826</v>
      </c>
      <c r="F1763" s="18" t="s">
        <v>611</v>
      </c>
      <c r="G1763" t="s">
        <v>100</v>
      </c>
      <c r="H1763">
        <v>2</v>
      </c>
      <c r="I1763">
        <v>4</v>
      </c>
      <c r="J1763" s="27">
        <v>28386.3</v>
      </c>
      <c r="K1763" s="27">
        <v>2000000</v>
      </c>
    </row>
    <row r="1764" spans="1:11" ht="15" customHeight="1" x14ac:dyDescent="0.2">
      <c r="A1764" t="s">
        <v>9920</v>
      </c>
      <c r="B1764" t="s">
        <v>9921</v>
      </c>
      <c r="C1764">
        <v>2024</v>
      </c>
      <c r="D1764" s="18">
        <v>45462</v>
      </c>
      <c r="E1764" s="18">
        <v>45826</v>
      </c>
      <c r="F1764" s="18" t="s">
        <v>611</v>
      </c>
      <c r="G1764" t="s">
        <v>102</v>
      </c>
      <c r="H1764">
        <v>3</v>
      </c>
      <c r="I1764">
        <v>3</v>
      </c>
      <c r="J1764" s="27">
        <v>25129.67</v>
      </c>
      <c r="K1764" s="27">
        <v>3000000</v>
      </c>
    </row>
    <row r="1765" spans="1:11" ht="15" customHeight="1" x14ac:dyDescent="0.2">
      <c r="A1765" t="s">
        <v>9922</v>
      </c>
      <c r="B1765" t="s">
        <v>9923</v>
      </c>
      <c r="C1765">
        <v>2024</v>
      </c>
      <c r="D1765" s="18">
        <v>45462</v>
      </c>
      <c r="E1765" s="18">
        <v>45826</v>
      </c>
      <c r="F1765" s="18" t="s">
        <v>611</v>
      </c>
      <c r="G1765" t="s">
        <v>101</v>
      </c>
      <c r="H1765">
        <v>3</v>
      </c>
      <c r="I1765">
        <v>6</v>
      </c>
      <c r="J1765" s="27">
        <v>35562.959999999999</v>
      </c>
      <c r="K1765" s="27">
        <v>2000000</v>
      </c>
    </row>
    <row r="1766" spans="1:11" ht="15" customHeight="1" x14ac:dyDescent="0.2">
      <c r="A1766" t="s">
        <v>9924</v>
      </c>
      <c r="B1766" t="s">
        <v>9925</v>
      </c>
      <c r="C1766">
        <v>2024</v>
      </c>
      <c r="D1766" s="18">
        <v>45462</v>
      </c>
      <c r="E1766" s="18">
        <v>45826</v>
      </c>
      <c r="F1766" s="18" t="s">
        <v>611</v>
      </c>
      <c r="G1766" t="s">
        <v>101</v>
      </c>
      <c r="H1766">
        <v>1</v>
      </c>
      <c r="I1766">
        <v>1</v>
      </c>
      <c r="J1766" s="27">
        <v>34099.74</v>
      </c>
      <c r="K1766" s="27">
        <v>2000000</v>
      </c>
    </row>
    <row r="1767" spans="1:11" ht="15" customHeight="1" x14ac:dyDescent="0.2">
      <c r="A1767" t="s">
        <v>9926</v>
      </c>
      <c r="B1767" t="s">
        <v>9927</v>
      </c>
      <c r="C1767">
        <v>2024</v>
      </c>
      <c r="D1767" s="18">
        <v>45462</v>
      </c>
      <c r="E1767" s="18">
        <v>45826</v>
      </c>
      <c r="F1767" s="18" t="s">
        <v>611</v>
      </c>
      <c r="G1767" t="s">
        <v>99</v>
      </c>
      <c r="H1767">
        <v>1</v>
      </c>
      <c r="I1767">
        <v>2</v>
      </c>
      <c r="J1767" s="27">
        <v>8161.42</v>
      </c>
      <c r="K1767" s="27">
        <v>1000000</v>
      </c>
    </row>
    <row r="1768" spans="1:11" ht="15" customHeight="1" x14ac:dyDescent="0.2">
      <c r="A1768" t="s">
        <v>9928</v>
      </c>
      <c r="B1768" t="s">
        <v>9929</v>
      </c>
      <c r="C1768">
        <v>2024</v>
      </c>
      <c r="D1768" s="18">
        <v>45463</v>
      </c>
      <c r="E1768" s="18">
        <v>45827</v>
      </c>
      <c r="F1768" s="18" t="s">
        <v>608</v>
      </c>
      <c r="G1768" t="s">
        <v>101</v>
      </c>
      <c r="H1768">
        <v>1</v>
      </c>
      <c r="I1768">
        <v>1</v>
      </c>
      <c r="J1768" s="27">
        <v>84702.89</v>
      </c>
      <c r="K1768" s="27">
        <v>5000000</v>
      </c>
    </row>
    <row r="1769" spans="1:11" ht="15" customHeight="1" x14ac:dyDescent="0.2">
      <c r="A1769" t="s">
        <v>9930</v>
      </c>
      <c r="B1769" t="s">
        <v>9931</v>
      </c>
      <c r="C1769">
        <v>2024</v>
      </c>
      <c r="D1769" s="18">
        <v>45463</v>
      </c>
      <c r="E1769" s="18">
        <v>45827</v>
      </c>
      <c r="F1769" s="18" t="s">
        <v>608</v>
      </c>
      <c r="G1769" t="s">
        <v>102</v>
      </c>
      <c r="H1769">
        <v>2</v>
      </c>
      <c r="I1769">
        <v>4</v>
      </c>
      <c r="J1769" s="27">
        <v>42652.47</v>
      </c>
      <c r="K1769" s="27">
        <v>5000000</v>
      </c>
    </row>
    <row r="1770" spans="1:11" ht="15" customHeight="1" x14ac:dyDescent="0.2">
      <c r="A1770" t="s">
        <v>9932</v>
      </c>
      <c r="B1770" t="s">
        <v>9933</v>
      </c>
      <c r="C1770">
        <v>2024</v>
      </c>
      <c r="D1770" s="18">
        <v>45463</v>
      </c>
      <c r="E1770" s="18">
        <v>45827</v>
      </c>
      <c r="F1770" s="18" t="s">
        <v>611</v>
      </c>
      <c r="G1770" t="s">
        <v>99</v>
      </c>
      <c r="H1770">
        <v>2</v>
      </c>
      <c r="I1770">
        <v>4</v>
      </c>
      <c r="J1770" s="27">
        <v>21851.33</v>
      </c>
      <c r="K1770" s="27">
        <v>2500000</v>
      </c>
    </row>
    <row r="1771" spans="1:11" ht="15" customHeight="1" x14ac:dyDescent="0.2">
      <c r="A1771" t="s">
        <v>9934</v>
      </c>
      <c r="B1771" t="s">
        <v>9935</v>
      </c>
      <c r="C1771">
        <v>2024</v>
      </c>
      <c r="D1771" s="18">
        <v>45463</v>
      </c>
      <c r="E1771" s="18">
        <v>45827</v>
      </c>
      <c r="F1771" s="18" t="s">
        <v>611</v>
      </c>
      <c r="G1771" t="s">
        <v>101</v>
      </c>
      <c r="H1771">
        <v>3</v>
      </c>
      <c r="I1771">
        <v>3</v>
      </c>
      <c r="J1771" s="27">
        <v>37834.9</v>
      </c>
      <c r="K1771" s="27">
        <v>2000000</v>
      </c>
    </row>
    <row r="1772" spans="1:11" ht="15" customHeight="1" x14ac:dyDescent="0.2">
      <c r="A1772" t="s">
        <v>9936</v>
      </c>
      <c r="B1772" t="s">
        <v>9937</v>
      </c>
      <c r="C1772">
        <v>2024</v>
      </c>
      <c r="D1772" s="18">
        <v>45463</v>
      </c>
      <c r="E1772" s="18">
        <v>45827</v>
      </c>
      <c r="F1772" s="18" t="s">
        <v>611</v>
      </c>
      <c r="G1772" t="s">
        <v>99</v>
      </c>
      <c r="H1772">
        <v>3</v>
      </c>
      <c r="I1772">
        <v>3</v>
      </c>
      <c r="J1772" s="27">
        <v>8574.9599999999991</v>
      </c>
      <c r="K1772" s="27">
        <v>1000000</v>
      </c>
    </row>
    <row r="1773" spans="1:11" ht="15" customHeight="1" x14ac:dyDescent="0.2">
      <c r="A1773" t="s">
        <v>9938</v>
      </c>
      <c r="B1773" t="s">
        <v>9939</v>
      </c>
      <c r="C1773">
        <v>2024</v>
      </c>
      <c r="D1773" s="18">
        <v>45463</v>
      </c>
      <c r="E1773" s="18">
        <v>45827</v>
      </c>
      <c r="F1773" s="18" t="s">
        <v>611</v>
      </c>
      <c r="G1773" t="s">
        <v>99</v>
      </c>
      <c r="H1773">
        <v>1</v>
      </c>
      <c r="I1773">
        <v>2</v>
      </c>
      <c r="J1773" s="27">
        <v>3737.88</v>
      </c>
      <c r="K1773" s="27">
        <v>500000</v>
      </c>
    </row>
    <row r="1774" spans="1:11" ht="15" customHeight="1" x14ac:dyDescent="0.2">
      <c r="A1774" t="s">
        <v>9940</v>
      </c>
      <c r="B1774" t="s">
        <v>9941</v>
      </c>
      <c r="C1774">
        <v>2024</v>
      </c>
      <c r="D1774" s="18">
        <v>45463</v>
      </c>
      <c r="E1774" s="18">
        <v>45827</v>
      </c>
      <c r="F1774" s="18" t="s">
        <v>611</v>
      </c>
      <c r="G1774" t="s">
        <v>102</v>
      </c>
      <c r="H1774">
        <v>1</v>
      </c>
      <c r="I1774">
        <v>2</v>
      </c>
      <c r="J1774" s="27">
        <v>79122.320000000007</v>
      </c>
      <c r="K1774" s="27">
        <v>10000000</v>
      </c>
    </row>
    <row r="1775" spans="1:11" ht="15" customHeight="1" x14ac:dyDescent="0.2">
      <c r="A1775" t="s">
        <v>9942</v>
      </c>
      <c r="B1775" t="s">
        <v>9943</v>
      </c>
      <c r="C1775">
        <v>2024</v>
      </c>
      <c r="D1775" s="18">
        <v>45464</v>
      </c>
      <c r="E1775" s="18">
        <v>45828</v>
      </c>
      <c r="F1775" s="18" t="s">
        <v>608</v>
      </c>
      <c r="G1775" t="s">
        <v>99</v>
      </c>
      <c r="H1775">
        <v>1</v>
      </c>
      <c r="I1775">
        <v>1</v>
      </c>
      <c r="J1775" s="27">
        <v>30739.24</v>
      </c>
      <c r="K1775" s="27">
        <v>4000000</v>
      </c>
    </row>
    <row r="1776" spans="1:11" ht="15" customHeight="1" x14ac:dyDescent="0.2">
      <c r="A1776" t="s">
        <v>9944</v>
      </c>
      <c r="B1776" t="s">
        <v>9945</v>
      </c>
      <c r="C1776">
        <v>2024</v>
      </c>
      <c r="D1776" s="18">
        <v>45464</v>
      </c>
      <c r="E1776" s="18">
        <v>45828</v>
      </c>
      <c r="F1776" s="18" t="s">
        <v>611</v>
      </c>
      <c r="G1776" t="s">
        <v>101</v>
      </c>
      <c r="H1776">
        <v>1</v>
      </c>
      <c r="I1776">
        <v>1</v>
      </c>
      <c r="J1776" s="27">
        <v>55734.01</v>
      </c>
      <c r="K1776" s="27">
        <v>3500000</v>
      </c>
    </row>
    <row r="1777" spans="1:11" ht="15" customHeight="1" x14ac:dyDescent="0.2">
      <c r="A1777" t="s">
        <v>9946</v>
      </c>
      <c r="B1777" t="s">
        <v>9947</v>
      </c>
      <c r="C1777">
        <v>2024</v>
      </c>
      <c r="D1777" s="18">
        <v>45464</v>
      </c>
      <c r="E1777" s="18">
        <v>45828</v>
      </c>
      <c r="F1777" s="18" t="s">
        <v>611</v>
      </c>
      <c r="G1777" t="s">
        <v>102</v>
      </c>
      <c r="H1777">
        <v>1</v>
      </c>
      <c r="I1777">
        <v>2</v>
      </c>
      <c r="J1777" s="27">
        <v>8011.5</v>
      </c>
      <c r="K1777" s="27">
        <v>1000000</v>
      </c>
    </row>
    <row r="1778" spans="1:11" ht="15" customHeight="1" x14ac:dyDescent="0.2">
      <c r="A1778" t="s">
        <v>9948</v>
      </c>
      <c r="B1778" t="s">
        <v>9949</v>
      </c>
      <c r="C1778">
        <v>2024</v>
      </c>
      <c r="D1778" s="18">
        <v>45464</v>
      </c>
      <c r="E1778" s="18">
        <v>45828</v>
      </c>
      <c r="F1778" s="18" t="s">
        <v>611</v>
      </c>
      <c r="G1778" t="s">
        <v>101</v>
      </c>
      <c r="H1778">
        <v>1</v>
      </c>
      <c r="I1778">
        <v>2</v>
      </c>
      <c r="J1778" s="27">
        <v>16012.75</v>
      </c>
      <c r="K1778" s="27">
        <v>1000000</v>
      </c>
    </row>
    <row r="1779" spans="1:11" ht="15" customHeight="1" x14ac:dyDescent="0.2">
      <c r="A1779" t="s">
        <v>9950</v>
      </c>
      <c r="B1779" t="s">
        <v>9951</v>
      </c>
      <c r="C1779">
        <v>2024</v>
      </c>
      <c r="D1779" s="18">
        <v>45465</v>
      </c>
      <c r="E1779" s="18">
        <v>45829</v>
      </c>
      <c r="F1779" s="18" t="s">
        <v>608</v>
      </c>
      <c r="G1779" t="s">
        <v>102</v>
      </c>
      <c r="H1779">
        <v>1</v>
      </c>
      <c r="I1779">
        <v>1</v>
      </c>
      <c r="J1779" s="27">
        <v>78700.210000000006</v>
      </c>
      <c r="K1779" s="27">
        <v>10000000</v>
      </c>
    </row>
    <row r="1780" spans="1:11" ht="15" customHeight="1" x14ac:dyDescent="0.2">
      <c r="A1780" t="s">
        <v>9952</v>
      </c>
      <c r="B1780" t="s">
        <v>9953</v>
      </c>
      <c r="C1780">
        <v>2024</v>
      </c>
      <c r="D1780" s="18">
        <v>45465</v>
      </c>
      <c r="E1780" s="18">
        <v>45829</v>
      </c>
      <c r="F1780" s="18" t="s">
        <v>608</v>
      </c>
      <c r="G1780" t="s">
        <v>101</v>
      </c>
      <c r="H1780">
        <v>2</v>
      </c>
      <c r="I1780">
        <v>2</v>
      </c>
      <c r="J1780" s="27">
        <v>59308.14</v>
      </c>
      <c r="K1780" s="27">
        <v>3500000</v>
      </c>
    </row>
    <row r="1781" spans="1:11" ht="15" customHeight="1" x14ac:dyDescent="0.2">
      <c r="A1781" t="s">
        <v>9954</v>
      </c>
      <c r="B1781" t="s">
        <v>9955</v>
      </c>
      <c r="C1781">
        <v>2024</v>
      </c>
      <c r="D1781" s="18">
        <v>45465</v>
      </c>
      <c r="E1781" s="18">
        <v>45829</v>
      </c>
      <c r="F1781" s="18" t="s">
        <v>608</v>
      </c>
      <c r="G1781" t="s">
        <v>102</v>
      </c>
      <c r="H1781">
        <v>1</v>
      </c>
      <c r="I1781">
        <v>2</v>
      </c>
      <c r="J1781" s="27">
        <v>83349.84</v>
      </c>
      <c r="K1781" s="27">
        <v>10000000</v>
      </c>
    </row>
    <row r="1782" spans="1:11" ht="15" customHeight="1" x14ac:dyDescent="0.2">
      <c r="A1782" t="s">
        <v>9956</v>
      </c>
      <c r="B1782" t="s">
        <v>9957</v>
      </c>
      <c r="C1782">
        <v>2024</v>
      </c>
      <c r="D1782" s="18">
        <v>45465</v>
      </c>
      <c r="E1782" s="18">
        <v>45829</v>
      </c>
      <c r="F1782" s="18" t="s">
        <v>611</v>
      </c>
      <c r="G1782" t="s">
        <v>100</v>
      </c>
      <c r="H1782">
        <v>2</v>
      </c>
      <c r="I1782">
        <v>2</v>
      </c>
      <c r="J1782" s="27">
        <v>50788.82</v>
      </c>
      <c r="K1782" s="27">
        <v>4000000</v>
      </c>
    </row>
    <row r="1783" spans="1:11" ht="15" customHeight="1" x14ac:dyDescent="0.2">
      <c r="A1783" t="s">
        <v>9958</v>
      </c>
      <c r="B1783" t="s">
        <v>9959</v>
      </c>
      <c r="C1783">
        <v>2024</v>
      </c>
      <c r="D1783" s="18">
        <v>45465</v>
      </c>
      <c r="E1783" s="18">
        <v>45829</v>
      </c>
      <c r="F1783" s="18" t="s">
        <v>611</v>
      </c>
      <c r="G1783" t="s">
        <v>99</v>
      </c>
      <c r="H1783">
        <v>2</v>
      </c>
      <c r="I1783">
        <v>2</v>
      </c>
      <c r="J1783" s="27">
        <v>20752.38</v>
      </c>
      <c r="K1783" s="27">
        <v>2500000</v>
      </c>
    </row>
    <row r="1784" spans="1:11" ht="15" customHeight="1" x14ac:dyDescent="0.2">
      <c r="A1784" t="s">
        <v>9960</v>
      </c>
      <c r="B1784" t="s">
        <v>9961</v>
      </c>
      <c r="C1784">
        <v>2024</v>
      </c>
      <c r="D1784" s="18">
        <v>45465</v>
      </c>
      <c r="E1784" s="18">
        <v>45829</v>
      </c>
      <c r="F1784" s="18" t="s">
        <v>611</v>
      </c>
      <c r="G1784" t="s">
        <v>100</v>
      </c>
      <c r="H1784">
        <v>1</v>
      </c>
      <c r="I1784">
        <v>2</v>
      </c>
      <c r="J1784" s="27">
        <v>6277.62</v>
      </c>
      <c r="K1784" s="27">
        <v>500000</v>
      </c>
    </row>
    <row r="1785" spans="1:11" ht="15" customHeight="1" x14ac:dyDescent="0.2">
      <c r="A1785" t="s">
        <v>9962</v>
      </c>
      <c r="B1785" t="s">
        <v>9963</v>
      </c>
      <c r="C1785">
        <v>2024</v>
      </c>
      <c r="D1785" s="18">
        <v>45465</v>
      </c>
      <c r="E1785" s="18">
        <v>45829</v>
      </c>
      <c r="F1785" s="18" t="s">
        <v>611</v>
      </c>
      <c r="G1785" t="s">
        <v>99</v>
      </c>
      <c r="H1785">
        <v>1</v>
      </c>
      <c r="I1785">
        <v>2</v>
      </c>
      <c r="J1785" s="27">
        <v>25800.28</v>
      </c>
      <c r="K1785" s="27">
        <v>3000000</v>
      </c>
    </row>
    <row r="1786" spans="1:11" ht="15" customHeight="1" x14ac:dyDescent="0.2">
      <c r="A1786" t="s">
        <v>9964</v>
      </c>
      <c r="B1786" t="s">
        <v>9965</v>
      </c>
      <c r="C1786">
        <v>2024</v>
      </c>
      <c r="D1786" s="18">
        <v>45465</v>
      </c>
      <c r="E1786" s="18">
        <v>45829</v>
      </c>
      <c r="F1786" s="18" t="s">
        <v>611</v>
      </c>
      <c r="G1786" t="s">
        <v>99</v>
      </c>
      <c r="H1786">
        <v>2</v>
      </c>
      <c r="I1786">
        <v>2</v>
      </c>
      <c r="J1786" s="27">
        <v>16141.58</v>
      </c>
      <c r="K1786" s="27">
        <v>2000000</v>
      </c>
    </row>
    <row r="1787" spans="1:11" ht="15" customHeight="1" x14ac:dyDescent="0.2">
      <c r="A1787" t="s">
        <v>9966</v>
      </c>
      <c r="B1787" t="s">
        <v>9967</v>
      </c>
      <c r="C1787">
        <v>2024</v>
      </c>
      <c r="D1787" s="18">
        <v>45465</v>
      </c>
      <c r="E1787" s="18">
        <v>45829</v>
      </c>
      <c r="F1787" s="18" t="s">
        <v>611</v>
      </c>
      <c r="G1787" t="s">
        <v>101</v>
      </c>
      <c r="H1787">
        <v>3</v>
      </c>
      <c r="I1787">
        <v>6</v>
      </c>
      <c r="J1787" s="27">
        <v>67245.279999999999</v>
      </c>
      <c r="K1787" s="27">
        <v>4000000</v>
      </c>
    </row>
    <row r="1788" spans="1:11" ht="15" customHeight="1" x14ac:dyDescent="0.2">
      <c r="A1788" t="s">
        <v>9968</v>
      </c>
      <c r="B1788" t="s">
        <v>9969</v>
      </c>
      <c r="C1788">
        <v>2024</v>
      </c>
      <c r="D1788" s="18">
        <v>45466</v>
      </c>
      <c r="E1788" s="18">
        <v>45830</v>
      </c>
      <c r="F1788" s="18" t="s">
        <v>608</v>
      </c>
      <c r="G1788" t="s">
        <v>101</v>
      </c>
      <c r="H1788">
        <v>1</v>
      </c>
      <c r="I1788">
        <v>1</v>
      </c>
      <c r="J1788" s="27">
        <v>31907.51</v>
      </c>
      <c r="K1788" s="27">
        <v>2000000</v>
      </c>
    </row>
    <row r="1789" spans="1:11" ht="15" customHeight="1" x14ac:dyDescent="0.2">
      <c r="A1789" t="s">
        <v>9970</v>
      </c>
      <c r="B1789" t="s">
        <v>9971</v>
      </c>
      <c r="C1789">
        <v>2024</v>
      </c>
      <c r="D1789" s="18">
        <v>45466</v>
      </c>
      <c r="E1789" s="18">
        <v>45830</v>
      </c>
      <c r="F1789" s="18" t="s">
        <v>611</v>
      </c>
      <c r="G1789" t="s">
        <v>100</v>
      </c>
      <c r="H1789">
        <v>1</v>
      </c>
      <c r="I1789">
        <v>1</v>
      </c>
      <c r="J1789" s="27">
        <v>37117.33</v>
      </c>
      <c r="K1789" s="27">
        <v>3000000</v>
      </c>
    </row>
    <row r="1790" spans="1:11" ht="15" customHeight="1" x14ac:dyDescent="0.2">
      <c r="A1790" t="s">
        <v>9972</v>
      </c>
      <c r="B1790" t="s">
        <v>9973</v>
      </c>
      <c r="C1790">
        <v>2024</v>
      </c>
      <c r="D1790" s="18">
        <v>45466</v>
      </c>
      <c r="E1790" s="18">
        <v>45830</v>
      </c>
      <c r="F1790" s="18" t="s">
        <v>611</v>
      </c>
      <c r="G1790" t="s">
        <v>102</v>
      </c>
      <c r="H1790">
        <v>1</v>
      </c>
      <c r="I1790">
        <v>1</v>
      </c>
      <c r="J1790" s="27">
        <v>90319.15</v>
      </c>
      <c r="K1790" s="27">
        <v>10000000</v>
      </c>
    </row>
    <row r="1791" spans="1:11" ht="15" customHeight="1" x14ac:dyDescent="0.2">
      <c r="A1791" t="s">
        <v>9974</v>
      </c>
      <c r="B1791" t="s">
        <v>9975</v>
      </c>
      <c r="C1791">
        <v>2024</v>
      </c>
      <c r="D1791" s="18">
        <v>45466</v>
      </c>
      <c r="E1791" s="18">
        <v>45830</v>
      </c>
      <c r="F1791" s="18" t="s">
        <v>611</v>
      </c>
      <c r="G1791" t="s">
        <v>101</v>
      </c>
      <c r="H1791">
        <v>2</v>
      </c>
      <c r="I1791">
        <v>2</v>
      </c>
      <c r="J1791" s="27">
        <v>16828.75</v>
      </c>
      <c r="K1791" s="27">
        <v>1000000</v>
      </c>
    </row>
    <row r="1792" spans="1:11" ht="15" customHeight="1" x14ac:dyDescent="0.2">
      <c r="A1792" t="s">
        <v>9976</v>
      </c>
      <c r="B1792" t="s">
        <v>9977</v>
      </c>
      <c r="C1792">
        <v>2024</v>
      </c>
      <c r="D1792" s="18">
        <v>45466</v>
      </c>
      <c r="E1792" s="18">
        <v>45830</v>
      </c>
      <c r="F1792" s="18" t="s">
        <v>611</v>
      </c>
      <c r="G1792" t="s">
        <v>101</v>
      </c>
      <c r="H1792">
        <v>2</v>
      </c>
      <c r="I1792">
        <v>2</v>
      </c>
      <c r="J1792" s="27">
        <v>73280.929999999993</v>
      </c>
      <c r="K1792" s="27">
        <v>4000000</v>
      </c>
    </row>
    <row r="1793" spans="1:11" ht="15" customHeight="1" x14ac:dyDescent="0.2">
      <c r="A1793" t="s">
        <v>9978</v>
      </c>
      <c r="B1793" t="s">
        <v>9979</v>
      </c>
      <c r="C1793">
        <v>2024</v>
      </c>
      <c r="D1793" s="18">
        <v>45467</v>
      </c>
      <c r="E1793" s="18">
        <v>45831</v>
      </c>
      <c r="F1793" s="18" t="s">
        <v>608</v>
      </c>
      <c r="G1793" t="s">
        <v>99</v>
      </c>
      <c r="H1793">
        <v>2</v>
      </c>
      <c r="I1793">
        <v>2</v>
      </c>
      <c r="J1793" s="27">
        <v>42209.42</v>
      </c>
      <c r="K1793" s="27">
        <v>5000000</v>
      </c>
    </row>
    <row r="1794" spans="1:11" ht="15" customHeight="1" x14ac:dyDescent="0.2">
      <c r="A1794" t="s">
        <v>9980</v>
      </c>
      <c r="B1794" t="s">
        <v>9981</v>
      </c>
      <c r="C1794">
        <v>2024</v>
      </c>
      <c r="D1794" s="18">
        <v>45467</v>
      </c>
      <c r="E1794" s="18">
        <v>45831</v>
      </c>
      <c r="F1794" s="18" t="s">
        <v>611</v>
      </c>
      <c r="G1794" t="s">
        <v>99</v>
      </c>
      <c r="H1794">
        <v>2</v>
      </c>
      <c r="I1794">
        <v>4</v>
      </c>
      <c r="J1794" s="27">
        <v>16915.27</v>
      </c>
      <c r="K1794" s="27">
        <v>2000000</v>
      </c>
    </row>
    <row r="1795" spans="1:11" ht="15" customHeight="1" x14ac:dyDescent="0.2">
      <c r="A1795" t="s">
        <v>9982</v>
      </c>
      <c r="B1795" t="s">
        <v>9983</v>
      </c>
      <c r="C1795">
        <v>2024</v>
      </c>
      <c r="D1795" s="18">
        <v>45467</v>
      </c>
      <c r="E1795" s="18">
        <v>45831</v>
      </c>
      <c r="F1795" s="18" t="s">
        <v>611</v>
      </c>
      <c r="G1795" t="s">
        <v>100</v>
      </c>
      <c r="H1795">
        <v>2</v>
      </c>
      <c r="I1795">
        <v>2</v>
      </c>
      <c r="J1795" s="27">
        <v>38715.870000000003</v>
      </c>
      <c r="K1795" s="27">
        <v>3000000</v>
      </c>
    </row>
    <row r="1796" spans="1:11" ht="15" customHeight="1" x14ac:dyDescent="0.2">
      <c r="A1796" t="s">
        <v>9984</v>
      </c>
      <c r="B1796" t="s">
        <v>9985</v>
      </c>
      <c r="C1796">
        <v>2024</v>
      </c>
      <c r="D1796" s="18">
        <v>45467</v>
      </c>
      <c r="E1796" s="18">
        <v>45831</v>
      </c>
      <c r="F1796" s="18" t="s">
        <v>611</v>
      </c>
      <c r="G1796" t="s">
        <v>102</v>
      </c>
      <c r="H1796">
        <v>1</v>
      </c>
      <c r="I1796">
        <v>1</v>
      </c>
      <c r="J1796" s="27">
        <v>80489.789999999994</v>
      </c>
      <c r="K1796" s="27">
        <v>10000000</v>
      </c>
    </row>
    <row r="1797" spans="1:11" ht="15" customHeight="1" x14ac:dyDescent="0.2">
      <c r="A1797" t="s">
        <v>9986</v>
      </c>
      <c r="B1797" t="s">
        <v>9987</v>
      </c>
      <c r="C1797">
        <v>2024</v>
      </c>
      <c r="D1797" s="18">
        <v>45467</v>
      </c>
      <c r="E1797" s="18">
        <v>45831</v>
      </c>
      <c r="F1797" s="18" t="s">
        <v>611</v>
      </c>
      <c r="G1797" t="s">
        <v>100</v>
      </c>
      <c r="H1797">
        <v>1</v>
      </c>
      <c r="I1797">
        <v>1</v>
      </c>
      <c r="J1797" s="27">
        <v>26732.02</v>
      </c>
      <c r="K1797" s="27">
        <v>2000000</v>
      </c>
    </row>
    <row r="1798" spans="1:11" ht="15" customHeight="1" x14ac:dyDescent="0.2">
      <c r="A1798" t="s">
        <v>9988</v>
      </c>
      <c r="B1798" t="s">
        <v>9989</v>
      </c>
      <c r="C1798">
        <v>2024</v>
      </c>
      <c r="D1798" s="18">
        <v>45467</v>
      </c>
      <c r="E1798" s="18">
        <v>45831</v>
      </c>
      <c r="F1798" s="18" t="s">
        <v>611</v>
      </c>
      <c r="G1798" t="s">
        <v>101</v>
      </c>
      <c r="H1798">
        <v>1</v>
      </c>
      <c r="I1798">
        <v>1</v>
      </c>
      <c r="J1798" s="27">
        <v>64683.4</v>
      </c>
      <c r="K1798" s="27">
        <v>3500000</v>
      </c>
    </row>
    <row r="1799" spans="1:11" ht="15" customHeight="1" x14ac:dyDescent="0.2">
      <c r="A1799" t="s">
        <v>9990</v>
      </c>
      <c r="B1799" t="s">
        <v>9991</v>
      </c>
      <c r="C1799">
        <v>2024</v>
      </c>
      <c r="D1799" s="18">
        <v>45468</v>
      </c>
      <c r="E1799" s="18">
        <v>45832</v>
      </c>
      <c r="F1799" s="18" t="s">
        <v>608</v>
      </c>
      <c r="G1799" t="s">
        <v>102</v>
      </c>
      <c r="H1799">
        <v>1</v>
      </c>
      <c r="I1799">
        <v>1</v>
      </c>
      <c r="J1799" s="27">
        <v>30344.13</v>
      </c>
      <c r="K1799" s="27">
        <v>3500000</v>
      </c>
    </row>
    <row r="1800" spans="1:11" ht="15" customHeight="1" x14ac:dyDescent="0.2">
      <c r="A1800" t="s">
        <v>9992</v>
      </c>
      <c r="B1800" t="s">
        <v>9993</v>
      </c>
      <c r="C1800">
        <v>2024</v>
      </c>
      <c r="D1800" s="18">
        <v>45468</v>
      </c>
      <c r="E1800" s="18">
        <v>45832</v>
      </c>
      <c r="F1800" s="18" t="s">
        <v>608</v>
      </c>
      <c r="G1800" t="s">
        <v>100</v>
      </c>
      <c r="H1800">
        <v>1</v>
      </c>
      <c r="I1800">
        <v>1</v>
      </c>
      <c r="J1800" s="27">
        <v>50161.41</v>
      </c>
      <c r="K1800" s="27">
        <v>4000000</v>
      </c>
    </row>
    <row r="1801" spans="1:11" ht="15" customHeight="1" x14ac:dyDescent="0.2">
      <c r="A1801" t="s">
        <v>9994</v>
      </c>
      <c r="B1801" t="s">
        <v>9995</v>
      </c>
      <c r="C1801">
        <v>2024</v>
      </c>
      <c r="D1801" s="18">
        <v>45468</v>
      </c>
      <c r="E1801" s="18">
        <v>45832</v>
      </c>
      <c r="F1801" s="18" t="s">
        <v>611</v>
      </c>
      <c r="G1801" t="s">
        <v>99</v>
      </c>
      <c r="H1801">
        <v>1</v>
      </c>
      <c r="I1801">
        <v>1</v>
      </c>
      <c r="J1801" s="27">
        <v>86609.32</v>
      </c>
      <c r="K1801" s="27">
        <v>10000000</v>
      </c>
    </row>
    <row r="1802" spans="1:11" ht="15" customHeight="1" x14ac:dyDescent="0.2">
      <c r="A1802" t="s">
        <v>9996</v>
      </c>
      <c r="B1802" t="s">
        <v>9997</v>
      </c>
      <c r="C1802">
        <v>2024</v>
      </c>
      <c r="D1802" s="18">
        <v>45468</v>
      </c>
      <c r="E1802" s="18">
        <v>45832</v>
      </c>
      <c r="F1802" s="18" t="s">
        <v>611</v>
      </c>
      <c r="G1802" t="s">
        <v>99</v>
      </c>
      <c r="H1802">
        <v>1</v>
      </c>
      <c r="I1802">
        <v>2</v>
      </c>
      <c r="J1802" s="27">
        <v>20089.77</v>
      </c>
      <c r="K1802" s="27">
        <v>2500000</v>
      </c>
    </row>
    <row r="1803" spans="1:11" ht="15" customHeight="1" x14ac:dyDescent="0.2">
      <c r="A1803" t="s">
        <v>9998</v>
      </c>
      <c r="B1803" t="s">
        <v>9999</v>
      </c>
      <c r="C1803">
        <v>2024</v>
      </c>
      <c r="D1803" s="18">
        <v>45468</v>
      </c>
      <c r="E1803" s="18">
        <v>45832</v>
      </c>
      <c r="F1803" s="18" t="s">
        <v>611</v>
      </c>
      <c r="G1803" t="s">
        <v>99</v>
      </c>
      <c r="H1803">
        <v>1</v>
      </c>
      <c r="I1803">
        <v>1</v>
      </c>
      <c r="J1803" s="27">
        <v>17031.740000000002</v>
      </c>
      <c r="K1803" s="27">
        <v>2000000</v>
      </c>
    </row>
    <row r="1804" spans="1:11" ht="15" customHeight="1" x14ac:dyDescent="0.2">
      <c r="A1804" t="s">
        <v>10000</v>
      </c>
      <c r="B1804" t="s">
        <v>10001</v>
      </c>
      <c r="C1804">
        <v>2024</v>
      </c>
      <c r="D1804" s="18">
        <v>45468</v>
      </c>
      <c r="E1804" s="18">
        <v>45832</v>
      </c>
      <c r="F1804" s="18" t="s">
        <v>611</v>
      </c>
      <c r="G1804" t="s">
        <v>101</v>
      </c>
      <c r="H1804">
        <v>2</v>
      </c>
      <c r="I1804">
        <v>2</v>
      </c>
      <c r="J1804" s="27">
        <v>36370.74</v>
      </c>
      <c r="K1804" s="27">
        <v>2000000</v>
      </c>
    </row>
    <row r="1805" spans="1:11" ht="15" customHeight="1" x14ac:dyDescent="0.2">
      <c r="A1805" t="s">
        <v>10002</v>
      </c>
      <c r="B1805" t="s">
        <v>10003</v>
      </c>
      <c r="C1805">
        <v>2024</v>
      </c>
      <c r="D1805" s="18">
        <v>45468</v>
      </c>
      <c r="E1805" s="18">
        <v>45832</v>
      </c>
      <c r="F1805" s="18" t="s">
        <v>611</v>
      </c>
      <c r="G1805" t="s">
        <v>102</v>
      </c>
      <c r="H1805">
        <v>2</v>
      </c>
      <c r="I1805">
        <v>2</v>
      </c>
      <c r="J1805" s="27">
        <v>36977.300000000003</v>
      </c>
      <c r="K1805" s="27">
        <v>4000000</v>
      </c>
    </row>
    <row r="1806" spans="1:11" ht="15" customHeight="1" x14ac:dyDescent="0.2">
      <c r="A1806" t="s">
        <v>10004</v>
      </c>
      <c r="B1806" t="s">
        <v>10005</v>
      </c>
      <c r="C1806">
        <v>2024</v>
      </c>
      <c r="D1806" s="18">
        <v>45468</v>
      </c>
      <c r="E1806" s="18">
        <v>45832</v>
      </c>
      <c r="F1806" s="18" t="s">
        <v>611</v>
      </c>
      <c r="G1806" t="s">
        <v>100</v>
      </c>
      <c r="H1806">
        <v>3</v>
      </c>
      <c r="I1806">
        <v>3</v>
      </c>
      <c r="J1806" s="27">
        <v>25345.06</v>
      </c>
      <c r="K1806" s="27">
        <v>2000000</v>
      </c>
    </row>
    <row r="1807" spans="1:11" ht="15" customHeight="1" x14ac:dyDescent="0.2">
      <c r="A1807" t="s">
        <v>10006</v>
      </c>
      <c r="B1807" t="s">
        <v>10007</v>
      </c>
      <c r="C1807">
        <v>2024</v>
      </c>
      <c r="D1807" s="18">
        <v>45469</v>
      </c>
      <c r="E1807" s="18">
        <v>45833</v>
      </c>
      <c r="F1807" s="18" t="s">
        <v>608</v>
      </c>
      <c r="G1807" t="s">
        <v>100</v>
      </c>
      <c r="H1807">
        <v>2</v>
      </c>
      <c r="I1807">
        <v>2</v>
      </c>
      <c r="J1807" s="27">
        <v>12004.17</v>
      </c>
      <c r="K1807" s="27">
        <v>1000000</v>
      </c>
    </row>
    <row r="1808" spans="1:11" ht="15" customHeight="1" x14ac:dyDescent="0.2">
      <c r="A1808" t="s">
        <v>10008</v>
      </c>
      <c r="B1808" t="s">
        <v>10009</v>
      </c>
      <c r="C1808">
        <v>2024</v>
      </c>
      <c r="D1808" s="18">
        <v>45469</v>
      </c>
      <c r="E1808" s="18">
        <v>45833</v>
      </c>
      <c r="F1808" s="18" t="s">
        <v>608</v>
      </c>
      <c r="G1808" t="s">
        <v>100</v>
      </c>
      <c r="H1808">
        <v>2</v>
      </c>
      <c r="I1808">
        <v>4</v>
      </c>
      <c r="J1808" s="27">
        <v>60768.79</v>
      </c>
      <c r="K1808" s="27">
        <v>5000000</v>
      </c>
    </row>
    <row r="1809" spans="1:11" ht="15" customHeight="1" x14ac:dyDescent="0.2">
      <c r="A1809" t="s">
        <v>10010</v>
      </c>
      <c r="B1809" t="s">
        <v>10011</v>
      </c>
      <c r="C1809">
        <v>2024</v>
      </c>
      <c r="D1809" s="18">
        <v>45469</v>
      </c>
      <c r="E1809" s="18">
        <v>45833</v>
      </c>
      <c r="F1809" s="18" t="s">
        <v>611</v>
      </c>
      <c r="G1809" t="s">
        <v>100</v>
      </c>
      <c r="H1809">
        <v>1</v>
      </c>
      <c r="I1809">
        <v>1</v>
      </c>
      <c r="J1809" s="27">
        <v>13530.61</v>
      </c>
      <c r="K1809" s="27">
        <v>1000000</v>
      </c>
    </row>
    <row r="1810" spans="1:11" ht="15" customHeight="1" x14ac:dyDescent="0.2">
      <c r="A1810" t="s">
        <v>10012</v>
      </c>
      <c r="B1810" t="s">
        <v>10013</v>
      </c>
      <c r="C1810">
        <v>2024</v>
      </c>
      <c r="D1810" s="18">
        <v>45469</v>
      </c>
      <c r="E1810" s="18">
        <v>45833</v>
      </c>
      <c r="F1810" s="18" t="s">
        <v>611</v>
      </c>
      <c r="G1810" t="s">
        <v>99</v>
      </c>
      <c r="H1810">
        <v>1</v>
      </c>
      <c r="I1810">
        <v>1</v>
      </c>
      <c r="J1810" s="27">
        <v>16335.17</v>
      </c>
      <c r="K1810" s="27">
        <v>2000000</v>
      </c>
    </row>
    <row r="1811" spans="1:11" ht="15" customHeight="1" x14ac:dyDescent="0.2">
      <c r="A1811" t="s">
        <v>10014</v>
      </c>
      <c r="B1811" t="s">
        <v>10015</v>
      </c>
      <c r="C1811">
        <v>2024</v>
      </c>
      <c r="D1811" s="18">
        <v>45469</v>
      </c>
      <c r="E1811" s="18">
        <v>45833</v>
      </c>
      <c r="F1811" s="18" t="s">
        <v>611</v>
      </c>
      <c r="G1811" t="s">
        <v>100</v>
      </c>
      <c r="H1811">
        <v>1</v>
      </c>
      <c r="I1811">
        <v>1</v>
      </c>
      <c r="J1811" s="27">
        <v>136946.89000000001</v>
      </c>
      <c r="K1811" s="27">
        <v>10000000</v>
      </c>
    </row>
    <row r="1812" spans="1:11" ht="15" customHeight="1" x14ac:dyDescent="0.2">
      <c r="A1812" t="s">
        <v>10016</v>
      </c>
      <c r="B1812" t="s">
        <v>10017</v>
      </c>
      <c r="C1812">
        <v>2024</v>
      </c>
      <c r="D1812" s="18">
        <v>45469</v>
      </c>
      <c r="E1812" s="18">
        <v>45833</v>
      </c>
      <c r="F1812" s="18" t="s">
        <v>611</v>
      </c>
      <c r="G1812" t="s">
        <v>100</v>
      </c>
      <c r="H1812">
        <v>1</v>
      </c>
      <c r="I1812">
        <v>1</v>
      </c>
      <c r="J1812" s="27">
        <v>12201.61</v>
      </c>
      <c r="K1812" s="27">
        <v>1000000</v>
      </c>
    </row>
    <row r="1813" spans="1:11" ht="15" customHeight="1" x14ac:dyDescent="0.2">
      <c r="A1813" t="s">
        <v>10018</v>
      </c>
      <c r="B1813" t="s">
        <v>10019</v>
      </c>
      <c r="C1813">
        <v>2024</v>
      </c>
      <c r="D1813" s="18">
        <v>45469</v>
      </c>
      <c r="E1813" s="18">
        <v>45833</v>
      </c>
      <c r="F1813" s="18" t="s">
        <v>611</v>
      </c>
      <c r="G1813" t="s">
        <v>100</v>
      </c>
      <c r="H1813">
        <v>1</v>
      </c>
      <c r="I1813">
        <v>2</v>
      </c>
      <c r="J1813" s="27">
        <v>122606.41</v>
      </c>
      <c r="K1813" s="27">
        <v>10000000</v>
      </c>
    </row>
    <row r="1814" spans="1:11" ht="15" customHeight="1" x14ac:dyDescent="0.2">
      <c r="A1814" t="s">
        <v>10020</v>
      </c>
      <c r="B1814" t="s">
        <v>10021</v>
      </c>
      <c r="C1814">
        <v>2024</v>
      </c>
      <c r="D1814" s="18">
        <v>45470</v>
      </c>
      <c r="E1814" s="18">
        <v>45834</v>
      </c>
      <c r="F1814" s="18" t="s">
        <v>608</v>
      </c>
      <c r="G1814" t="s">
        <v>100</v>
      </c>
      <c r="H1814">
        <v>1</v>
      </c>
      <c r="I1814">
        <v>1</v>
      </c>
      <c r="J1814" s="27">
        <v>69008.210000000006</v>
      </c>
      <c r="K1814" s="27">
        <v>5000000</v>
      </c>
    </row>
    <row r="1815" spans="1:11" ht="15" customHeight="1" x14ac:dyDescent="0.2">
      <c r="A1815" t="s">
        <v>10022</v>
      </c>
      <c r="B1815" t="s">
        <v>10023</v>
      </c>
      <c r="C1815">
        <v>2024</v>
      </c>
      <c r="D1815" s="18">
        <v>45470</v>
      </c>
      <c r="E1815" s="18">
        <v>45834</v>
      </c>
      <c r="F1815" s="18" t="s">
        <v>608</v>
      </c>
      <c r="G1815" t="s">
        <v>99</v>
      </c>
      <c r="H1815">
        <v>1</v>
      </c>
      <c r="I1815">
        <v>2</v>
      </c>
      <c r="J1815" s="27">
        <v>17247.599999999999</v>
      </c>
      <c r="K1815" s="27">
        <v>2000000</v>
      </c>
    </row>
    <row r="1816" spans="1:11" ht="15" customHeight="1" x14ac:dyDescent="0.2">
      <c r="A1816" t="s">
        <v>10024</v>
      </c>
      <c r="B1816" t="s">
        <v>10025</v>
      </c>
      <c r="C1816">
        <v>2024</v>
      </c>
      <c r="D1816" s="18">
        <v>45470</v>
      </c>
      <c r="E1816" s="18">
        <v>45834</v>
      </c>
      <c r="F1816" s="18" t="s">
        <v>608</v>
      </c>
      <c r="G1816" t="s">
        <v>101</v>
      </c>
      <c r="H1816">
        <v>2</v>
      </c>
      <c r="I1816">
        <v>4</v>
      </c>
      <c r="J1816" s="27">
        <v>54948.15</v>
      </c>
      <c r="K1816" s="27">
        <v>3000000</v>
      </c>
    </row>
    <row r="1817" spans="1:11" ht="15" customHeight="1" x14ac:dyDescent="0.2">
      <c r="A1817" t="s">
        <v>10026</v>
      </c>
      <c r="B1817" t="s">
        <v>10027</v>
      </c>
      <c r="C1817">
        <v>2024</v>
      </c>
      <c r="D1817" s="18">
        <v>45470</v>
      </c>
      <c r="E1817" s="18">
        <v>45834</v>
      </c>
      <c r="F1817" s="18" t="s">
        <v>611</v>
      </c>
      <c r="G1817" t="s">
        <v>101</v>
      </c>
      <c r="H1817">
        <v>3</v>
      </c>
      <c r="I1817">
        <v>3</v>
      </c>
      <c r="J1817" s="27">
        <v>78530.350000000006</v>
      </c>
      <c r="K1817" s="27">
        <v>4500000</v>
      </c>
    </row>
    <row r="1818" spans="1:11" ht="15" customHeight="1" x14ac:dyDescent="0.2">
      <c r="A1818" t="s">
        <v>10028</v>
      </c>
      <c r="B1818" t="s">
        <v>10029</v>
      </c>
      <c r="C1818">
        <v>2024</v>
      </c>
      <c r="D1818" s="18">
        <v>45470</v>
      </c>
      <c r="E1818" s="18">
        <v>45834</v>
      </c>
      <c r="F1818" s="18" t="s">
        <v>611</v>
      </c>
      <c r="G1818" t="s">
        <v>99</v>
      </c>
      <c r="H1818">
        <v>2</v>
      </c>
      <c r="I1818">
        <v>2</v>
      </c>
      <c r="J1818" s="27">
        <v>19163.97</v>
      </c>
      <c r="K1818" s="27">
        <v>2500000</v>
      </c>
    </row>
    <row r="1819" spans="1:11" ht="15" customHeight="1" x14ac:dyDescent="0.2">
      <c r="A1819" t="s">
        <v>10030</v>
      </c>
      <c r="B1819" t="s">
        <v>10031</v>
      </c>
      <c r="C1819">
        <v>2024</v>
      </c>
      <c r="D1819" s="18">
        <v>45470</v>
      </c>
      <c r="E1819" s="18">
        <v>45834</v>
      </c>
      <c r="F1819" s="18" t="s">
        <v>611</v>
      </c>
      <c r="G1819" t="s">
        <v>100</v>
      </c>
      <c r="H1819">
        <v>1</v>
      </c>
      <c r="I1819">
        <v>1</v>
      </c>
      <c r="J1819" s="27">
        <v>24530.880000000001</v>
      </c>
      <c r="K1819" s="27">
        <v>2000000</v>
      </c>
    </row>
    <row r="1820" spans="1:11" ht="15" customHeight="1" x14ac:dyDescent="0.2">
      <c r="A1820" t="s">
        <v>10032</v>
      </c>
      <c r="B1820" t="s">
        <v>10033</v>
      </c>
      <c r="C1820">
        <v>2024</v>
      </c>
      <c r="D1820" s="18">
        <v>45470</v>
      </c>
      <c r="E1820" s="18">
        <v>45834</v>
      </c>
      <c r="F1820" s="18" t="s">
        <v>611</v>
      </c>
      <c r="G1820" t="s">
        <v>100</v>
      </c>
      <c r="H1820">
        <v>2</v>
      </c>
      <c r="I1820">
        <v>4</v>
      </c>
      <c r="J1820" s="27">
        <v>25934.45</v>
      </c>
      <c r="K1820" s="27">
        <v>2000000</v>
      </c>
    </row>
    <row r="1821" spans="1:11" ht="15" customHeight="1" x14ac:dyDescent="0.2">
      <c r="A1821" t="s">
        <v>10034</v>
      </c>
      <c r="B1821" t="s">
        <v>10035</v>
      </c>
      <c r="C1821">
        <v>2024</v>
      </c>
      <c r="D1821" s="18">
        <v>45470</v>
      </c>
      <c r="E1821" s="18">
        <v>45834</v>
      </c>
      <c r="F1821" s="18" t="s">
        <v>611</v>
      </c>
      <c r="G1821" t="s">
        <v>101</v>
      </c>
      <c r="H1821">
        <v>2</v>
      </c>
      <c r="I1821">
        <v>2</v>
      </c>
      <c r="J1821" s="27">
        <v>57454.74</v>
      </c>
      <c r="K1821" s="27">
        <v>3000000</v>
      </c>
    </row>
    <row r="1822" spans="1:11" ht="15" customHeight="1" x14ac:dyDescent="0.2">
      <c r="A1822" t="s">
        <v>10036</v>
      </c>
      <c r="B1822" t="s">
        <v>10037</v>
      </c>
      <c r="C1822">
        <v>2024</v>
      </c>
      <c r="D1822" s="18">
        <v>45470</v>
      </c>
      <c r="E1822" s="18">
        <v>45834</v>
      </c>
      <c r="F1822" s="18" t="s">
        <v>611</v>
      </c>
      <c r="G1822" t="s">
        <v>100</v>
      </c>
      <c r="H1822">
        <v>1</v>
      </c>
      <c r="I1822">
        <v>2</v>
      </c>
      <c r="J1822" s="27">
        <v>69118.05</v>
      </c>
      <c r="K1822" s="27">
        <v>5000000</v>
      </c>
    </row>
    <row r="1823" spans="1:11" ht="15" customHeight="1" x14ac:dyDescent="0.2">
      <c r="A1823" t="s">
        <v>10038</v>
      </c>
      <c r="B1823" t="s">
        <v>10039</v>
      </c>
      <c r="C1823">
        <v>2024</v>
      </c>
      <c r="D1823" s="18">
        <v>45471</v>
      </c>
      <c r="E1823" s="18">
        <v>45835</v>
      </c>
      <c r="F1823" s="18" t="s">
        <v>608</v>
      </c>
      <c r="G1823" t="s">
        <v>101</v>
      </c>
      <c r="H1823">
        <v>1</v>
      </c>
      <c r="I1823">
        <v>1</v>
      </c>
      <c r="J1823" s="27">
        <v>76382.8</v>
      </c>
      <c r="K1823" s="27">
        <v>4000000</v>
      </c>
    </row>
    <row r="1824" spans="1:11" ht="15" customHeight="1" x14ac:dyDescent="0.2">
      <c r="A1824" t="s">
        <v>10040</v>
      </c>
      <c r="B1824" t="s">
        <v>10041</v>
      </c>
      <c r="C1824">
        <v>2024</v>
      </c>
      <c r="D1824" s="18">
        <v>45471</v>
      </c>
      <c r="E1824" s="18">
        <v>45835</v>
      </c>
      <c r="F1824" s="18" t="s">
        <v>611</v>
      </c>
      <c r="G1824" t="s">
        <v>99</v>
      </c>
      <c r="H1824">
        <v>2</v>
      </c>
      <c r="I1824">
        <v>4</v>
      </c>
      <c r="J1824" s="27">
        <v>7578.49</v>
      </c>
      <c r="K1824" s="27">
        <v>1000000</v>
      </c>
    </row>
    <row r="1825" spans="1:11" ht="15" customHeight="1" x14ac:dyDescent="0.2">
      <c r="A1825" t="s">
        <v>10042</v>
      </c>
      <c r="B1825" t="s">
        <v>10043</v>
      </c>
      <c r="C1825">
        <v>2024</v>
      </c>
      <c r="D1825" s="18">
        <v>45471</v>
      </c>
      <c r="E1825" s="18">
        <v>45835</v>
      </c>
      <c r="F1825" s="18" t="s">
        <v>611</v>
      </c>
      <c r="G1825" t="s">
        <v>100</v>
      </c>
      <c r="H1825">
        <v>2</v>
      </c>
      <c r="I1825">
        <v>2</v>
      </c>
      <c r="J1825" s="27">
        <v>6748.91</v>
      </c>
      <c r="K1825" s="27">
        <v>500000</v>
      </c>
    </row>
    <row r="1826" spans="1:11" ht="15" customHeight="1" x14ac:dyDescent="0.2">
      <c r="A1826" t="s">
        <v>10044</v>
      </c>
      <c r="B1826" t="s">
        <v>10045</v>
      </c>
      <c r="C1826">
        <v>2024</v>
      </c>
      <c r="D1826" s="18">
        <v>45471</v>
      </c>
      <c r="E1826" s="18">
        <v>45835</v>
      </c>
      <c r="F1826" s="18" t="s">
        <v>611</v>
      </c>
      <c r="G1826" t="s">
        <v>100</v>
      </c>
      <c r="H1826">
        <v>2</v>
      </c>
      <c r="I1826">
        <v>2</v>
      </c>
      <c r="J1826" s="27">
        <v>23747.200000000001</v>
      </c>
      <c r="K1826" s="27">
        <v>2000000</v>
      </c>
    </row>
    <row r="1827" spans="1:11" ht="15" customHeight="1" x14ac:dyDescent="0.2">
      <c r="A1827" t="s">
        <v>10046</v>
      </c>
      <c r="B1827" t="s">
        <v>10047</v>
      </c>
      <c r="C1827">
        <v>2024</v>
      </c>
      <c r="D1827" s="18">
        <v>45471</v>
      </c>
      <c r="E1827" s="18">
        <v>45835</v>
      </c>
      <c r="F1827" s="18" t="s">
        <v>611</v>
      </c>
      <c r="G1827" t="s">
        <v>100</v>
      </c>
      <c r="H1827">
        <v>2</v>
      </c>
      <c r="I1827">
        <v>2</v>
      </c>
      <c r="J1827" s="27">
        <v>44848.959999999999</v>
      </c>
      <c r="K1827" s="27">
        <v>3500000</v>
      </c>
    </row>
    <row r="1828" spans="1:11" ht="15" customHeight="1" x14ac:dyDescent="0.2">
      <c r="A1828" t="s">
        <v>10048</v>
      </c>
      <c r="B1828" t="s">
        <v>10049</v>
      </c>
      <c r="C1828">
        <v>2024</v>
      </c>
      <c r="D1828" s="18">
        <v>45471</v>
      </c>
      <c r="E1828" s="18">
        <v>45835</v>
      </c>
      <c r="F1828" s="18" t="s">
        <v>611</v>
      </c>
      <c r="G1828" t="s">
        <v>99</v>
      </c>
      <c r="H1828">
        <v>1</v>
      </c>
      <c r="I1828">
        <v>1</v>
      </c>
      <c r="J1828" s="27">
        <v>27599.63</v>
      </c>
      <c r="K1828" s="27">
        <v>3500000</v>
      </c>
    </row>
    <row r="1829" spans="1:11" ht="15" customHeight="1" x14ac:dyDescent="0.2">
      <c r="A1829" t="s">
        <v>10050</v>
      </c>
      <c r="B1829" t="s">
        <v>10051</v>
      </c>
      <c r="C1829">
        <v>2024</v>
      </c>
      <c r="D1829" s="18">
        <v>45471</v>
      </c>
      <c r="E1829" s="18">
        <v>45835</v>
      </c>
      <c r="F1829" s="18" t="s">
        <v>611</v>
      </c>
      <c r="G1829" t="s">
        <v>101</v>
      </c>
      <c r="H1829">
        <v>3</v>
      </c>
      <c r="I1829">
        <v>6</v>
      </c>
      <c r="J1829" s="27">
        <v>62885.33</v>
      </c>
      <c r="K1829" s="27">
        <v>4000000</v>
      </c>
    </row>
    <row r="1830" spans="1:11" ht="15" customHeight="1" x14ac:dyDescent="0.2">
      <c r="A1830" t="s">
        <v>10052</v>
      </c>
      <c r="B1830" t="s">
        <v>10053</v>
      </c>
      <c r="C1830">
        <v>2024</v>
      </c>
      <c r="D1830" s="18">
        <v>45471</v>
      </c>
      <c r="E1830" s="18">
        <v>45835</v>
      </c>
      <c r="F1830" s="18" t="s">
        <v>611</v>
      </c>
      <c r="G1830" t="s">
        <v>101</v>
      </c>
      <c r="H1830">
        <v>2</v>
      </c>
      <c r="I1830">
        <v>2</v>
      </c>
      <c r="J1830" s="27">
        <v>54884.35</v>
      </c>
      <c r="K1830" s="27">
        <v>3000000</v>
      </c>
    </row>
    <row r="1831" spans="1:11" ht="15" customHeight="1" x14ac:dyDescent="0.2">
      <c r="A1831" t="s">
        <v>10054</v>
      </c>
      <c r="B1831" t="s">
        <v>10055</v>
      </c>
      <c r="C1831">
        <v>2024</v>
      </c>
      <c r="D1831" s="18">
        <v>45471</v>
      </c>
      <c r="E1831" s="18">
        <v>45835</v>
      </c>
      <c r="F1831" s="18" t="s">
        <v>611</v>
      </c>
      <c r="G1831" t="s">
        <v>101</v>
      </c>
      <c r="H1831">
        <v>1</v>
      </c>
      <c r="I1831">
        <v>1</v>
      </c>
      <c r="J1831" s="27">
        <v>16951.080000000002</v>
      </c>
      <c r="K1831" s="27">
        <v>1000000</v>
      </c>
    </row>
    <row r="1832" spans="1:11" ht="15" customHeight="1" x14ac:dyDescent="0.2">
      <c r="A1832" t="s">
        <v>10056</v>
      </c>
      <c r="B1832" t="s">
        <v>10057</v>
      </c>
      <c r="C1832">
        <v>2024</v>
      </c>
      <c r="D1832" s="18">
        <v>45472</v>
      </c>
      <c r="E1832" s="18">
        <v>45836</v>
      </c>
      <c r="F1832" s="18" t="s">
        <v>608</v>
      </c>
      <c r="G1832" t="s">
        <v>101</v>
      </c>
      <c r="H1832">
        <v>2</v>
      </c>
      <c r="I1832">
        <v>2</v>
      </c>
      <c r="J1832" s="27">
        <v>28204.5</v>
      </c>
      <c r="K1832" s="27">
        <v>1500000</v>
      </c>
    </row>
    <row r="1833" spans="1:11" ht="15" customHeight="1" x14ac:dyDescent="0.2">
      <c r="A1833" t="s">
        <v>10058</v>
      </c>
      <c r="B1833" t="s">
        <v>10059</v>
      </c>
      <c r="C1833">
        <v>2024</v>
      </c>
      <c r="D1833" s="18">
        <v>45472</v>
      </c>
      <c r="E1833" s="18">
        <v>45836</v>
      </c>
      <c r="F1833" s="18" t="s">
        <v>608</v>
      </c>
      <c r="G1833" t="s">
        <v>99</v>
      </c>
      <c r="H1833">
        <v>3</v>
      </c>
      <c r="I1833">
        <v>3</v>
      </c>
      <c r="J1833" s="27">
        <v>74241.820000000007</v>
      </c>
      <c r="K1833" s="27">
        <v>10000000</v>
      </c>
    </row>
    <row r="1834" spans="1:11" ht="15" customHeight="1" x14ac:dyDescent="0.2">
      <c r="A1834" t="s">
        <v>10060</v>
      </c>
      <c r="B1834" t="s">
        <v>10061</v>
      </c>
      <c r="C1834">
        <v>2024</v>
      </c>
      <c r="D1834" s="18">
        <v>45472</v>
      </c>
      <c r="E1834" s="18">
        <v>45836</v>
      </c>
      <c r="F1834" s="18" t="s">
        <v>608</v>
      </c>
      <c r="G1834" t="s">
        <v>101</v>
      </c>
      <c r="H1834">
        <v>1</v>
      </c>
      <c r="I1834">
        <v>1</v>
      </c>
      <c r="J1834" s="27">
        <v>16221.92</v>
      </c>
      <c r="K1834" s="27">
        <v>1000000</v>
      </c>
    </row>
    <row r="1835" spans="1:11" ht="15" customHeight="1" x14ac:dyDescent="0.2">
      <c r="A1835" t="s">
        <v>10062</v>
      </c>
      <c r="B1835" t="s">
        <v>10063</v>
      </c>
      <c r="C1835">
        <v>2024</v>
      </c>
      <c r="D1835" s="18">
        <v>45472</v>
      </c>
      <c r="E1835" s="18">
        <v>45836</v>
      </c>
      <c r="F1835" s="18" t="s">
        <v>608</v>
      </c>
      <c r="G1835" t="s">
        <v>100</v>
      </c>
      <c r="H1835">
        <v>1</v>
      </c>
      <c r="I1835">
        <v>2</v>
      </c>
      <c r="J1835" s="27">
        <v>40109.120000000003</v>
      </c>
      <c r="K1835" s="27">
        <v>3000000</v>
      </c>
    </row>
    <row r="1836" spans="1:11" ht="15" customHeight="1" x14ac:dyDescent="0.2">
      <c r="A1836" t="s">
        <v>10064</v>
      </c>
      <c r="B1836" t="s">
        <v>10065</v>
      </c>
      <c r="C1836">
        <v>2024</v>
      </c>
      <c r="D1836" s="18">
        <v>45472</v>
      </c>
      <c r="E1836" s="18">
        <v>45836</v>
      </c>
      <c r="F1836" s="18" t="s">
        <v>611</v>
      </c>
      <c r="G1836" t="s">
        <v>102</v>
      </c>
      <c r="H1836">
        <v>2</v>
      </c>
      <c r="I1836">
        <v>2</v>
      </c>
      <c r="J1836" s="27">
        <v>37010.99</v>
      </c>
      <c r="K1836" s="27">
        <v>4000000</v>
      </c>
    </row>
    <row r="1837" spans="1:11" ht="15" customHeight="1" x14ac:dyDescent="0.2">
      <c r="A1837" t="s">
        <v>10066</v>
      </c>
      <c r="B1837" t="s">
        <v>10067</v>
      </c>
      <c r="C1837">
        <v>2024</v>
      </c>
      <c r="D1837" s="18">
        <v>45472</v>
      </c>
      <c r="E1837" s="18">
        <v>45836</v>
      </c>
      <c r="F1837" s="18" t="s">
        <v>611</v>
      </c>
      <c r="G1837" t="s">
        <v>101</v>
      </c>
      <c r="H1837">
        <v>3</v>
      </c>
      <c r="I1837">
        <v>3</v>
      </c>
      <c r="J1837" s="27">
        <v>173401.37</v>
      </c>
      <c r="K1837" s="27">
        <v>10000000</v>
      </c>
    </row>
    <row r="1838" spans="1:11" ht="15" customHeight="1" x14ac:dyDescent="0.2">
      <c r="A1838" t="s">
        <v>10068</v>
      </c>
      <c r="B1838" t="s">
        <v>10069</v>
      </c>
      <c r="C1838">
        <v>2024</v>
      </c>
      <c r="D1838" s="18">
        <v>45472</v>
      </c>
      <c r="E1838" s="18">
        <v>45836</v>
      </c>
      <c r="F1838" s="18" t="s">
        <v>611</v>
      </c>
      <c r="G1838" t="s">
        <v>100</v>
      </c>
      <c r="H1838">
        <v>1</v>
      </c>
      <c r="I1838">
        <v>2</v>
      </c>
      <c r="J1838" s="27">
        <v>12575.93</v>
      </c>
      <c r="K1838" s="27">
        <v>1000000</v>
      </c>
    </row>
    <row r="1839" spans="1:11" ht="15" customHeight="1" x14ac:dyDescent="0.2">
      <c r="A1839" t="s">
        <v>10070</v>
      </c>
      <c r="B1839" t="s">
        <v>10071</v>
      </c>
      <c r="C1839">
        <v>2024</v>
      </c>
      <c r="D1839" s="18">
        <v>45472</v>
      </c>
      <c r="E1839" s="18">
        <v>45836</v>
      </c>
      <c r="F1839" s="18" t="s">
        <v>611</v>
      </c>
      <c r="G1839" t="s">
        <v>101</v>
      </c>
      <c r="H1839">
        <v>2</v>
      </c>
      <c r="I1839">
        <v>4</v>
      </c>
      <c r="J1839" s="27">
        <v>73543.240000000005</v>
      </c>
      <c r="K1839" s="27">
        <v>4000000</v>
      </c>
    </row>
    <row r="1840" spans="1:11" ht="15" customHeight="1" x14ac:dyDescent="0.2">
      <c r="A1840" t="s">
        <v>10072</v>
      </c>
      <c r="B1840" t="s">
        <v>10073</v>
      </c>
      <c r="C1840">
        <v>2024</v>
      </c>
      <c r="D1840" s="18">
        <v>45472</v>
      </c>
      <c r="E1840" s="18">
        <v>45836</v>
      </c>
      <c r="F1840" s="18" t="s">
        <v>611</v>
      </c>
      <c r="G1840" t="s">
        <v>100</v>
      </c>
      <c r="H1840">
        <v>1</v>
      </c>
      <c r="I1840">
        <v>1</v>
      </c>
      <c r="J1840" s="27">
        <v>14201.93</v>
      </c>
      <c r="K1840" s="27">
        <v>1000000</v>
      </c>
    </row>
    <row r="1841" spans="1:11" ht="15" customHeight="1" x14ac:dyDescent="0.2">
      <c r="A1841" t="s">
        <v>10074</v>
      </c>
      <c r="B1841" t="s">
        <v>10075</v>
      </c>
      <c r="C1841">
        <v>2024</v>
      </c>
      <c r="D1841" s="18">
        <v>45472</v>
      </c>
      <c r="E1841" s="18">
        <v>45836</v>
      </c>
      <c r="F1841" s="18" t="s">
        <v>611</v>
      </c>
      <c r="G1841" t="s">
        <v>100</v>
      </c>
      <c r="H1841">
        <v>1</v>
      </c>
      <c r="I1841">
        <v>1</v>
      </c>
      <c r="J1841" s="27">
        <v>48350.1</v>
      </c>
      <c r="K1841" s="27">
        <v>4000000</v>
      </c>
    </row>
    <row r="1842" spans="1:11" ht="15" customHeight="1" x14ac:dyDescent="0.2">
      <c r="A1842" t="s">
        <v>10076</v>
      </c>
      <c r="B1842" t="s">
        <v>10077</v>
      </c>
      <c r="C1842">
        <v>2024</v>
      </c>
      <c r="D1842" s="18">
        <v>45472</v>
      </c>
      <c r="E1842" s="18">
        <v>45836</v>
      </c>
      <c r="F1842" s="18" t="s">
        <v>611</v>
      </c>
      <c r="G1842" t="s">
        <v>101</v>
      </c>
      <c r="H1842">
        <v>1</v>
      </c>
      <c r="I1842">
        <v>1</v>
      </c>
      <c r="J1842" s="27">
        <v>67301.78</v>
      </c>
      <c r="K1842" s="27">
        <v>4000000</v>
      </c>
    </row>
    <row r="1843" spans="1:11" ht="15" customHeight="1" x14ac:dyDescent="0.2">
      <c r="A1843" t="s">
        <v>10078</v>
      </c>
      <c r="B1843" t="s">
        <v>10079</v>
      </c>
      <c r="C1843">
        <v>2024</v>
      </c>
      <c r="D1843" s="18">
        <v>45472</v>
      </c>
      <c r="E1843" s="18">
        <v>45836</v>
      </c>
      <c r="F1843" s="18" t="s">
        <v>611</v>
      </c>
      <c r="G1843" t="s">
        <v>101</v>
      </c>
      <c r="H1843">
        <v>2</v>
      </c>
      <c r="I1843">
        <v>2</v>
      </c>
      <c r="J1843" s="27">
        <v>36921.31</v>
      </c>
      <c r="K1843" s="27">
        <v>2000000</v>
      </c>
    </row>
    <row r="1844" spans="1:11" ht="15" customHeight="1" x14ac:dyDescent="0.2">
      <c r="A1844" t="s">
        <v>10080</v>
      </c>
      <c r="B1844" t="s">
        <v>10081</v>
      </c>
      <c r="C1844">
        <v>2024</v>
      </c>
      <c r="D1844" s="18">
        <v>45473</v>
      </c>
      <c r="E1844" s="18">
        <v>45837</v>
      </c>
      <c r="F1844" s="18" t="s">
        <v>608</v>
      </c>
      <c r="G1844" t="s">
        <v>101</v>
      </c>
      <c r="H1844">
        <v>1</v>
      </c>
      <c r="I1844">
        <v>1</v>
      </c>
      <c r="J1844" s="27">
        <v>65372.57</v>
      </c>
      <c r="K1844" s="27">
        <v>4000000</v>
      </c>
    </row>
    <row r="1845" spans="1:11" ht="15" customHeight="1" x14ac:dyDescent="0.2">
      <c r="A1845" t="s">
        <v>10082</v>
      </c>
      <c r="B1845" t="s">
        <v>10083</v>
      </c>
      <c r="C1845">
        <v>2024</v>
      </c>
      <c r="D1845" s="18">
        <v>45473</v>
      </c>
      <c r="E1845" s="18">
        <v>45837</v>
      </c>
      <c r="F1845" s="18" t="s">
        <v>608</v>
      </c>
      <c r="G1845" t="s">
        <v>100</v>
      </c>
      <c r="H1845">
        <v>1</v>
      </c>
      <c r="I1845">
        <v>2</v>
      </c>
      <c r="J1845" s="27">
        <v>47281.69</v>
      </c>
      <c r="K1845" s="27">
        <v>4000000</v>
      </c>
    </row>
    <row r="1846" spans="1:11" ht="15" customHeight="1" x14ac:dyDescent="0.2">
      <c r="A1846" t="s">
        <v>10084</v>
      </c>
      <c r="B1846" t="s">
        <v>10085</v>
      </c>
      <c r="C1846">
        <v>2024</v>
      </c>
      <c r="D1846" s="18">
        <v>45473</v>
      </c>
      <c r="E1846" s="18">
        <v>45837</v>
      </c>
      <c r="F1846" s="18" t="s">
        <v>608</v>
      </c>
      <c r="G1846" t="s">
        <v>101</v>
      </c>
      <c r="H1846">
        <v>1</v>
      </c>
      <c r="I1846">
        <v>2</v>
      </c>
      <c r="J1846" s="27">
        <v>91184.05</v>
      </c>
      <c r="K1846" s="27">
        <v>5000000</v>
      </c>
    </row>
    <row r="1847" spans="1:11" ht="15" customHeight="1" x14ac:dyDescent="0.2">
      <c r="A1847" t="s">
        <v>10086</v>
      </c>
      <c r="B1847" t="s">
        <v>10087</v>
      </c>
      <c r="C1847">
        <v>2024</v>
      </c>
      <c r="D1847" s="18">
        <v>45473</v>
      </c>
      <c r="E1847" s="18">
        <v>45837</v>
      </c>
      <c r="F1847" s="18" t="s">
        <v>608</v>
      </c>
      <c r="G1847" t="s">
        <v>102</v>
      </c>
      <c r="H1847">
        <v>1</v>
      </c>
      <c r="I1847">
        <v>1</v>
      </c>
      <c r="J1847" s="27">
        <v>13236.57</v>
      </c>
      <c r="K1847" s="27">
        <v>1500000</v>
      </c>
    </row>
    <row r="1848" spans="1:11" ht="15" customHeight="1" x14ac:dyDescent="0.2">
      <c r="A1848" t="s">
        <v>10088</v>
      </c>
      <c r="B1848" t="s">
        <v>10089</v>
      </c>
      <c r="C1848">
        <v>2024</v>
      </c>
      <c r="D1848" s="18">
        <v>45473</v>
      </c>
      <c r="E1848" s="18">
        <v>45837</v>
      </c>
      <c r="F1848" s="18" t="s">
        <v>611</v>
      </c>
      <c r="G1848" t="s">
        <v>99</v>
      </c>
      <c r="H1848">
        <v>1</v>
      </c>
      <c r="I1848">
        <v>1</v>
      </c>
      <c r="J1848" s="27">
        <v>34842.04</v>
      </c>
      <c r="K1848" s="27">
        <v>4000000</v>
      </c>
    </row>
    <row r="1849" spans="1:11" ht="15" customHeight="1" x14ac:dyDescent="0.2">
      <c r="A1849" t="s">
        <v>10090</v>
      </c>
      <c r="B1849" t="s">
        <v>10091</v>
      </c>
      <c r="C1849">
        <v>2024</v>
      </c>
      <c r="D1849" s="18">
        <v>45473</v>
      </c>
      <c r="E1849" s="18">
        <v>45837</v>
      </c>
      <c r="F1849" s="18" t="s">
        <v>611</v>
      </c>
      <c r="G1849" t="s">
        <v>102</v>
      </c>
      <c r="H1849">
        <v>1</v>
      </c>
      <c r="I1849">
        <v>1</v>
      </c>
      <c r="J1849" s="27">
        <v>85111.03</v>
      </c>
      <c r="K1849" s="27">
        <v>10000000</v>
      </c>
    </row>
    <row r="1850" spans="1:11" ht="15" customHeight="1" x14ac:dyDescent="0.2">
      <c r="A1850" t="s">
        <v>10092</v>
      </c>
      <c r="B1850" t="s">
        <v>10093</v>
      </c>
      <c r="C1850">
        <v>2024</v>
      </c>
      <c r="D1850" s="18">
        <v>45474</v>
      </c>
      <c r="E1850" s="18">
        <v>45838</v>
      </c>
      <c r="F1850" s="18" t="s">
        <v>608</v>
      </c>
      <c r="G1850" t="s">
        <v>100</v>
      </c>
      <c r="H1850">
        <v>3</v>
      </c>
      <c r="I1850">
        <v>6</v>
      </c>
      <c r="J1850" s="27">
        <v>47728.61</v>
      </c>
      <c r="K1850" s="27">
        <v>4000000</v>
      </c>
    </row>
    <row r="1851" spans="1:11" ht="15" customHeight="1" x14ac:dyDescent="0.2">
      <c r="A1851" t="s">
        <v>10094</v>
      </c>
      <c r="B1851" t="s">
        <v>10095</v>
      </c>
      <c r="C1851">
        <v>2024</v>
      </c>
      <c r="D1851" s="18">
        <v>45474</v>
      </c>
      <c r="E1851" s="18">
        <v>45838</v>
      </c>
      <c r="F1851" s="18" t="s">
        <v>608</v>
      </c>
      <c r="G1851" t="s">
        <v>99</v>
      </c>
      <c r="H1851">
        <v>1</v>
      </c>
      <c r="I1851">
        <v>1</v>
      </c>
      <c r="J1851" s="27">
        <v>3680.09</v>
      </c>
      <c r="K1851" s="27">
        <v>500000</v>
      </c>
    </row>
    <row r="1852" spans="1:11" ht="15" customHeight="1" x14ac:dyDescent="0.2">
      <c r="A1852" t="s">
        <v>10096</v>
      </c>
      <c r="B1852" t="s">
        <v>10097</v>
      </c>
      <c r="C1852">
        <v>2024</v>
      </c>
      <c r="D1852" s="18">
        <v>45474</v>
      </c>
      <c r="E1852" s="18">
        <v>45838</v>
      </c>
      <c r="F1852" s="18" t="s">
        <v>611</v>
      </c>
      <c r="G1852" t="s">
        <v>99</v>
      </c>
      <c r="H1852">
        <v>2</v>
      </c>
      <c r="I1852">
        <v>2</v>
      </c>
      <c r="J1852" s="27">
        <v>8185.68</v>
      </c>
      <c r="K1852" s="27">
        <v>1000000</v>
      </c>
    </row>
    <row r="1853" spans="1:11" ht="15" customHeight="1" x14ac:dyDescent="0.2">
      <c r="A1853" t="s">
        <v>10098</v>
      </c>
      <c r="B1853" t="s">
        <v>10099</v>
      </c>
      <c r="C1853">
        <v>2024</v>
      </c>
      <c r="D1853" s="18">
        <v>45474</v>
      </c>
      <c r="E1853" s="18">
        <v>45838</v>
      </c>
      <c r="F1853" s="18" t="s">
        <v>611</v>
      </c>
      <c r="G1853" t="s">
        <v>101</v>
      </c>
      <c r="H1853">
        <v>1</v>
      </c>
      <c r="I1853">
        <v>2</v>
      </c>
      <c r="J1853" s="27">
        <v>63475.03</v>
      </c>
      <c r="K1853" s="27">
        <v>3500000</v>
      </c>
    </row>
    <row r="1854" spans="1:11" ht="15" customHeight="1" x14ac:dyDescent="0.2">
      <c r="A1854" t="s">
        <v>10100</v>
      </c>
      <c r="B1854" t="s">
        <v>10101</v>
      </c>
      <c r="C1854">
        <v>2024</v>
      </c>
      <c r="D1854" s="18">
        <v>45475</v>
      </c>
      <c r="E1854" s="18">
        <v>45839</v>
      </c>
      <c r="F1854" s="18" t="s">
        <v>608</v>
      </c>
      <c r="G1854" t="s">
        <v>100</v>
      </c>
      <c r="H1854">
        <v>3</v>
      </c>
      <c r="I1854">
        <v>6</v>
      </c>
      <c r="J1854" s="27">
        <v>26140.720000000001</v>
      </c>
      <c r="K1854" s="27">
        <v>2000000</v>
      </c>
    </row>
    <row r="1855" spans="1:11" ht="15" customHeight="1" x14ac:dyDescent="0.2">
      <c r="A1855" t="s">
        <v>10102</v>
      </c>
      <c r="B1855" t="s">
        <v>10103</v>
      </c>
      <c r="C1855">
        <v>2024</v>
      </c>
      <c r="D1855" s="18">
        <v>45475</v>
      </c>
      <c r="E1855" s="18">
        <v>45839</v>
      </c>
      <c r="F1855" s="18" t="s">
        <v>608</v>
      </c>
      <c r="G1855" t="s">
        <v>99</v>
      </c>
      <c r="H1855">
        <v>2</v>
      </c>
      <c r="I1855">
        <v>2</v>
      </c>
      <c r="J1855" s="27">
        <v>83793.33</v>
      </c>
      <c r="K1855" s="27">
        <v>10000000</v>
      </c>
    </row>
    <row r="1856" spans="1:11" ht="15" customHeight="1" x14ac:dyDescent="0.2">
      <c r="A1856" t="s">
        <v>10104</v>
      </c>
      <c r="B1856" t="s">
        <v>10105</v>
      </c>
      <c r="C1856">
        <v>2024</v>
      </c>
      <c r="D1856" s="18">
        <v>45475</v>
      </c>
      <c r="E1856" s="18">
        <v>45839</v>
      </c>
      <c r="F1856" s="18" t="s">
        <v>608</v>
      </c>
      <c r="G1856" t="s">
        <v>102</v>
      </c>
      <c r="H1856">
        <v>1</v>
      </c>
      <c r="I1856">
        <v>2</v>
      </c>
      <c r="J1856" s="27">
        <v>15697.74</v>
      </c>
      <c r="K1856" s="27">
        <v>2000000</v>
      </c>
    </row>
    <row r="1857" spans="1:11" ht="15" customHeight="1" x14ac:dyDescent="0.2">
      <c r="A1857" t="s">
        <v>10106</v>
      </c>
      <c r="B1857" t="s">
        <v>10107</v>
      </c>
      <c r="C1857">
        <v>2024</v>
      </c>
      <c r="D1857" s="18">
        <v>45475</v>
      </c>
      <c r="E1857" s="18">
        <v>45839</v>
      </c>
      <c r="F1857" s="18" t="s">
        <v>611</v>
      </c>
      <c r="G1857" t="s">
        <v>101</v>
      </c>
      <c r="H1857">
        <v>1</v>
      </c>
      <c r="I1857">
        <v>1</v>
      </c>
      <c r="J1857" s="27">
        <v>16818.75</v>
      </c>
      <c r="K1857" s="27">
        <v>1000000</v>
      </c>
    </row>
    <row r="1858" spans="1:11" ht="15" customHeight="1" x14ac:dyDescent="0.2">
      <c r="A1858" t="s">
        <v>10108</v>
      </c>
      <c r="B1858" t="s">
        <v>10109</v>
      </c>
      <c r="C1858">
        <v>2024</v>
      </c>
      <c r="D1858" s="18">
        <v>45475</v>
      </c>
      <c r="E1858" s="18">
        <v>45839</v>
      </c>
      <c r="F1858" s="18" t="s">
        <v>611</v>
      </c>
      <c r="G1858" t="s">
        <v>101</v>
      </c>
      <c r="H1858">
        <v>1</v>
      </c>
      <c r="I1858">
        <v>1</v>
      </c>
      <c r="J1858" s="27">
        <v>37386.03</v>
      </c>
      <c r="K1858" s="27">
        <v>2000000</v>
      </c>
    </row>
    <row r="1859" spans="1:11" ht="15" customHeight="1" x14ac:dyDescent="0.2">
      <c r="A1859" t="s">
        <v>10110</v>
      </c>
      <c r="B1859" t="s">
        <v>10111</v>
      </c>
      <c r="C1859">
        <v>2024</v>
      </c>
      <c r="D1859" s="18">
        <v>45475</v>
      </c>
      <c r="E1859" s="18">
        <v>45839</v>
      </c>
      <c r="F1859" s="18" t="s">
        <v>611</v>
      </c>
      <c r="G1859" t="s">
        <v>100</v>
      </c>
      <c r="H1859">
        <v>2</v>
      </c>
      <c r="I1859">
        <v>4</v>
      </c>
      <c r="J1859" s="27">
        <v>135964.98000000001</v>
      </c>
      <c r="K1859" s="27">
        <v>10000000</v>
      </c>
    </row>
    <row r="1860" spans="1:11" ht="15" customHeight="1" x14ac:dyDescent="0.2">
      <c r="A1860" t="s">
        <v>10112</v>
      </c>
      <c r="B1860" t="s">
        <v>10113</v>
      </c>
      <c r="C1860">
        <v>2024</v>
      </c>
      <c r="D1860" s="18">
        <v>45476</v>
      </c>
      <c r="E1860" s="18">
        <v>45840</v>
      </c>
      <c r="F1860" s="18" t="s">
        <v>608</v>
      </c>
      <c r="G1860" t="s">
        <v>99</v>
      </c>
      <c r="H1860">
        <v>3</v>
      </c>
      <c r="I1860">
        <v>3</v>
      </c>
      <c r="J1860" s="27">
        <v>78442.789999999994</v>
      </c>
      <c r="K1860" s="27">
        <v>10000000</v>
      </c>
    </row>
    <row r="1861" spans="1:11" ht="15" customHeight="1" x14ac:dyDescent="0.2">
      <c r="A1861" t="s">
        <v>10114</v>
      </c>
      <c r="B1861" t="s">
        <v>10115</v>
      </c>
      <c r="C1861">
        <v>2024</v>
      </c>
      <c r="D1861" s="18">
        <v>45476</v>
      </c>
      <c r="E1861" s="18">
        <v>45840</v>
      </c>
      <c r="F1861" s="18" t="s">
        <v>608</v>
      </c>
      <c r="G1861" t="s">
        <v>99</v>
      </c>
      <c r="H1861">
        <v>3</v>
      </c>
      <c r="I1861">
        <v>3</v>
      </c>
      <c r="J1861" s="27">
        <v>19155.830000000002</v>
      </c>
      <c r="K1861" s="27">
        <v>2500000</v>
      </c>
    </row>
    <row r="1862" spans="1:11" ht="15" customHeight="1" x14ac:dyDescent="0.2">
      <c r="A1862" t="s">
        <v>10116</v>
      </c>
      <c r="B1862" t="s">
        <v>10117</v>
      </c>
      <c r="C1862">
        <v>2024</v>
      </c>
      <c r="D1862" s="18">
        <v>45476</v>
      </c>
      <c r="E1862" s="18">
        <v>45840</v>
      </c>
      <c r="F1862" s="18" t="s">
        <v>608</v>
      </c>
      <c r="G1862" t="s">
        <v>99</v>
      </c>
      <c r="H1862">
        <v>1</v>
      </c>
      <c r="I1862">
        <v>1</v>
      </c>
      <c r="J1862" s="27">
        <v>17682.150000000001</v>
      </c>
      <c r="K1862" s="27">
        <v>2000000</v>
      </c>
    </row>
    <row r="1863" spans="1:11" ht="15" customHeight="1" x14ac:dyDescent="0.2">
      <c r="A1863" t="s">
        <v>10118</v>
      </c>
      <c r="B1863" t="s">
        <v>10119</v>
      </c>
      <c r="C1863">
        <v>2024</v>
      </c>
      <c r="D1863" s="18">
        <v>45476</v>
      </c>
      <c r="E1863" s="18">
        <v>45840</v>
      </c>
      <c r="F1863" s="18" t="s">
        <v>608</v>
      </c>
      <c r="G1863" t="s">
        <v>99</v>
      </c>
      <c r="H1863">
        <v>1</v>
      </c>
      <c r="I1863">
        <v>2</v>
      </c>
      <c r="J1863" s="27">
        <v>15936.19</v>
      </c>
      <c r="K1863" s="27">
        <v>2000000</v>
      </c>
    </row>
    <row r="1864" spans="1:11" ht="15" customHeight="1" x14ac:dyDescent="0.2">
      <c r="A1864" t="s">
        <v>10120</v>
      </c>
      <c r="B1864" t="s">
        <v>10121</v>
      </c>
      <c r="C1864">
        <v>2024</v>
      </c>
      <c r="D1864" s="18">
        <v>45476</v>
      </c>
      <c r="E1864" s="18">
        <v>45840</v>
      </c>
      <c r="F1864" s="18" t="s">
        <v>611</v>
      </c>
      <c r="G1864" t="s">
        <v>99</v>
      </c>
      <c r="H1864">
        <v>1</v>
      </c>
      <c r="I1864">
        <v>2</v>
      </c>
      <c r="J1864" s="27">
        <v>17712.96</v>
      </c>
      <c r="K1864" s="27">
        <v>2000000</v>
      </c>
    </row>
    <row r="1865" spans="1:11" ht="15" customHeight="1" x14ac:dyDescent="0.2">
      <c r="A1865" t="s">
        <v>10122</v>
      </c>
      <c r="B1865" t="s">
        <v>10123</v>
      </c>
      <c r="C1865">
        <v>2024</v>
      </c>
      <c r="D1865" s="18">
        <v>45476</v>
      </c>
      <c r="E1865" s="18">
        <v>45840</v>
      </c>
      <c r="F1865" s="18" t="s">
        <v>611</v>
      </c>
      <c r="G1865" t="s">
        <v>101</v>
      </c>
      <c r="H1865">
        <v>2</v>
      </c>
      <c r="I1865">
        <v>2</v>
      </c>
      <c r="J1865" s="27">
        <v>46596.37</v>
      </c>
      <c r="K1865" s="27">
        <v>2500000</v>
      </c>
    </row>
    <row r="1866" spans="1:11" ht="15" customHeight="1" x14ac:dyDescent="0.2">
      <c r="A1866" t="s">
        <v>10124</v>
      </c>
      <c r="B1866" t="s">
        <v>10125</v>
      </c>
      <c r="C1866">
        <v>2024</v>
      </c>
      <c r="D1866" s="18">
        <v>45476</v>
      </c>
      <c r="E1866" s="18">
        <v>45840</v>
      </c>
      <c r="F1866" s="18" t="s">
        <v>611</v>
      </c>
      <c r="G1866" t="s">
        <v>99</v>
      </c>
      <c r="H1866">
        <v>1</v>
      </c>
      <c r="I1866">
        <v>2</v>
      </c>
      <c r="J1866" s="27">
        <v>81172.59</v>
      </c>
      <c r="K1866" s="27">
        <v>10000000</v>
      </c>
    </row>
    <row r="1867" spans="1:11" ht="15" customHeight="1" x14ac:dyDescent="0.2">
      <c r="A1867" t="s">
        <v>10126</v>
      </c>
      <c r="B1867" t="s">
        <v>10127</v>
      </c>
      <c r="C1867">
        <v>2024</v>
      </c>
      <c r="D1867" s="18">
        <v>45476</v>
      </c>
      <c r="E1867" s="18">
        <v>45840</v>
      </c>
      <c r="F1867" s="18" t="s">
        <v>611</v>
      </c>
      <c r="G1867" t="s">
        <v>101</v>
      </c>
      <c r="H1867">
        <v>1</v>
      </c>
      <c r="I1867">
        <v>1</v>
      </c>
      <c r="J1867" s="27">
        <v>72103.91</v>
      </c>
      <c r="K1867" s="27">
        <v>4000000</v>
      </c>
    </row>
    <row r="1868" spans="1:11" ht="15" customHeight="1" x14ac:dyDescent="0.2">
      <c r="A1868" t="s">
        <v>10128</v>
      </c>
      <c r="B1868" t="s">
        <v>10129</v>
      </c>
      <c r="C1868">
        <v>2024</v>
      </c>
      <c r="D1868" s="18">
        <v>45476</v>
      </c>
      <c r="E1868" s="18">
        <v>45840</v>
      </c>
      <c r="F1868" s="18" t="s">
        <v>611</v>
      </c>
      <c r="G1868" t="s">
        <v>101</v>
      </c>
      <c r="H1868">
        <v>2</v>
      </c>
      <c r="I1868">
        <v>2</v>
      </c>
      <c r="J1868" s="27">
        <v>174860.18</v>
      </c>
      <c r="K1868" s="27">
        <v>10000000</v>
      </c>
    </row>
    <row r="1869" spans="1:11" ht="15" customHeight="1" x14ac:dyDescent="0.2">
      <c r="A1869" t="s">
        <v>10130</v>
      </c>
      <c r="B1869" t="s">
        <v>10131</v>
      </c>
      <c r="C1869">
        <v>2024</v>
      </c>
      <c r="D1869" s="18">
        <v>45477</v>
      </c>
      <c r="E1869" s="18">
        <v>45841</v>
      </c>
      <c r="F1869" s="18" t="s">
        <v>608</v>
      </c>
      <c r="G1869" t="s">
        <v>99</v>
      </c>
      <c r="H1869">
        <v>1</v>
      </c>
      <c r="I1869">
        <v>1</v>
      </c>
      <c r="J1869" s="27">
        <v>37947.129999999997</v>
      </c>
      <c r="K1869" s="27">
        <v>5000000</v>
      </c>
    </row>
    <row r="1870" spans="1:11" ht="15" customHeight="1" x14ac:dyDescent="0.2">
      <c r="A1870" t="s">
        <v>10132</v>
      </c>
      <c r="B1870" t="s">
        <v>10133</v>
      </c>
      <c r="C1870">
        <v>2024</v>
      </c>
      <c r="D1870" s="18">
        <v>45478</v>
      </c>
      <c r="E1870" s="18">
        <v>45842</v>
      </c>
      <c r="F1870" s="18" t="s">
        <v>608</v>
      </c>
      <c r="G1870" t="s">
        <v>99</v>
      </c>
      <c r="H1870">
        <v>1</v>
      </c>
      <c r="I1870">
        <v>2</v>
      </c>
      <c r="J1870" s="27">
        <v>87351.17</v>
      </c>
      <c r="K1870" s="27">
        <v>10000000</v>
      </c>
    </row>
    <row r="1871" spans="1:11" ht="15" customHeight="1" x14ac:dyDescent="0.2">
      <c r="A1871" t="s">
        <v>10134</v>
      </c>
      <c r="B1871" t="s">
        <v>10135</v>
      </c>
      <c r="C1871">
        <v>2024</v>
      </c>
      <c r="D1871" s="18">
        <v>45478</v>
      </c>
      <c r="E1871" s="18">
        <v>45842</v>
      </c>
      <c r="F1871" s="18" t="s">
        <v>608</v>
      </c>
      <c r="G1871" t="s">
        <v>99</v>
      </c>
      <c r="H1871">
        <v>1</v>
      </c>
      <c r="I1871">
        <v>2</v>
      </c>
      <c r="J1871" s="27">
        <v>25659.1</v>
      </c>
      <c r="K1871" s="27">
        <v>3000000</v>
      </c>
    </row>
    <row r="1872" spans="1:11" ht="15" customHeight="1" x14ac:dyDescent="0.2">
      <c r="A1872" t="s">
        <v>10136</v>
      </c>
      <c r="B1872" t="s">
        <v>10137</v>
      </c>
      <c r="C1872">
        <v>2024</v>
      </c>
      <c r="D1872" s="18">
        <v>45478</v>
      </c>
      <c r="E1872" s="18">
        <v>45842</v>
      </c>
      <c r="F1872" s="18" t="s">
        <v>611</v>
      </c>
      <c r="G1872" t="s">
        <v>99</v>
      </c>
      <c r="H1872">
        <v>2</v>
      </c>
      <c r="I1872">
        <v>2</v>
      </c>
      <c r="J1872" s="27">
        <v>39132.82</v>
      </c>
      <c r="K1872" s="27">
        <v>5000000</v>
      </c>
    </row>
    <row r="1873" spans="1:11" ht="15" customHeight="1" x14ac:dyDescent="0.2">
      <c r="A1873" t="s">
        <v>10138</v>
      </c>
      <c r="B1873" t="s">
        <v>10139</v>
      </c>
      <c r="C1873">
        <v>2024</v>
      </c>
      <c r="D1873" s="18">
        <v>45478</v>
      </c>
      <c r="E1873" s="18">
        <v>45842</v>
      </c>
      <c r="F1873" s="18" t="s">
        <v>611</v>
      </c>
      <c r="G1873" t="s">
        <v>100</v>
      </c>
      <c r="H1873">
        <v>2</v>
      </c>
      <c r="I1873">
        <v>2</v>
      </c>
      <c r="J1873" s="27">
        <v>131340.29</v>
      </c>
      <c r="K1873" s="27">
        <v>10000000</v>
      </c>
    </row>
    <row r="1874" spans="1:11" ht="15" customHeight="1" x14ac:dyDescent="0.2">
      <c r="A1874" t="s">
        <v>10140</v>
      </c>
      <c r="B1874" t="s">
        <v>10141</v>
      </c>
      <c r="C1874">
        <v>2024</v>
      </c>
      <c r="D1874" s="18">
        <v>45478</v>
      </c>
      <c r="E1874" s="18">
        <v>45842</v>
      </c>
      <c r="F1874" s="18" t="s">
        <v>611</v>
      </c>
      <c r="G1874" t="s">
        <v>100</v>
      </c>
      <c r="H1874">
        <v>2</v>
      </c>
      <c r="I1874">
        <v>2</v>
      </c>
      <c r="J1874" s="27">
        <v>124541.88</v>
      </c>
      <c r="K1874" s="27">
        <v>10000000</v>
      </c>
    </row>
    <row r="1875" spans="1:11" ht="15" customHeight="1" x14ac:dyDescent="0.2">
      <c r="A1875" t="s">
        <v>10142</v>
      </c>
      <c r="B1875" t="s">
        <v>10143</v>
      </c>
      <c r="C1875">
        <v>2024</v>
      </c>
      <c r="D1875" s="18">
        <v>45479</v>
      </c>
      <c r="E1875" s="18">
        <v>45843</v>
      </c>
      <c r="F1875" s="18" t="s">
        <v>611</v>
      </c>
      <c r="G1875" t="s">
        <v>101</v>
      </c>
      <c r="H1875">
        <v>1</v>
      </c>
      <c r="I1875">
        <v>1</v>
      </c>
      <c r="J1875" s="27">
        <v>17169.89</v>
      </c>
      <c r="K1875" s="27">
        <v>1000000</v>
      </c>
    </row>
    <row r="1876" spans="1:11" ht="15" customHeight="1" x14ac:dyDescent="0.2">
      <c r="A1876" t="s">
        <v>10144</v>
      </c>
      <c r="B1876" t="s">
        <v>10145</v>
      </c>
      <c r="C1876">
        <v>2024</v>
      </c>
      <c r="D1876" s="18">
        <v>45479</v>
      </c>
      <c r="E1876" s="18">
        <v>45843</v>
      </c>
      <c r="F1876" s="18" t="s">
        <v>611</v>
      </c>
      <c r="G1876" t="s">
        <v>101</v>
      </c>
      <c r="H1876">
        <v>3</v>
      </c>
      <c r="I1876">
        <v>3</v>
      </c>
      <c r="J1876" s="27">
        <v>63538.35</v>
      </c>
      <c r="K1876" s="27">
        <v>3500000</v>
      </c>
    </row>
    <row r="1877" spans="1:11" ht="15" customHeight="1" x14ac:dyDescent="0.2">
      <c r="A1877" t="s">
        <v>10146</v>
      </c>
      <c r="B1877" t="s">
        <v>10147</v>
      </c>
      <c r="C1877">
        <v>2024</v>
      </c>
      <c r="D1877" s="18">
        <v>45479</v>
      </c>
      <c r="E1877" s="18">
        <v>45843</v>
      </c>
      <c r="F1877" s="18" t="s">
        <v>611</v>
      </c>
      <c r="G1877" t="s">
        <v>99</v>
      </c>
      <c r="H1877">
        <v>2</v>
      </c>
      <c r="I1877">
        <v>4</v>
      </c>
      <c r="J1877" s="27">
        <v>25336.57</v>
      </c>
      <c r="K1877" s="27">
        <v>3000000</v>
      </c>
    </row>
    <row r="1878" spans="1:11" ht="15" customHeight="1" x14ac:dyDescent="0.2">
      <c r="A1878" t="s">
        <v>10148</v>
      </c>
      <c r="B1878" t="s">
        <v>10149</v>
      </c>
      <c r="C1878">
        <v>2024</v>
      </c>
      <c r="D1878" s="18">
        <v>45479</v>
      </c>
      <c r="E1878" s="18">
        <v>45843</v>
      </c>
      <c r="F1878" s="18" t="s">
        <v>611</v>
      </c>
      <c r="G1878" t="s">
        <v>100</v>
      </c>
      <c r="H1878">
        <v>2</v>
      </c>
      <c r="I1878">
        <v>4</v>
      </c>
      <c r="J1878" s="27">
        <v>24644.33</v>
      </c>
      <c r="K1878" s="27">
        <v>2000000</v>
      </c>
    </row>
    <row r="1879" spans="1:11" ht="15" customHeight="1" x14ac:dyDescent="0.2">
      <c r="A1879" t="s">
        <v>10150</v>
      </c>
      <c r="B1879" t="s">
        <v>10151</v>
      </c>
      <c r="C1879">
        <v>2024</v>
      </c>
      <c r="D1879" s="18">
        <v>45480</v>
      </c>
      <c r="E1879" s="18">
        <v>45844</v>
      </c>
      <c r="F1879" s="18" t="s">
        <v>608</v>
      </c>
      <c r="G1879" t="s">
        <v>102</v>
      </c>
      <c r="H1879">
        <v>1</v>
      </c>
      <c r="I1879">
        <v>1</v>
      </c>
      <c r="J1879" s="27">
        <v>15684.03</v>
      </c>
      <c r="K1879" s="27">
        <v>2000000</v>
      </c>
    </row>
    <row r="1880" spans="1:11" ht="15" customHeight="1" x14ac:dyDescent="0.2">
      <c r="A1880" t="s">
        <v>10152</v>
      </c>
      <c r="B1880" t="s">
        <v>10153</v>
      </c>
      <c r="C1880">
        <v>2024</v>
      </c>
      <c r="D1880" s="18">
        <v>45480</v>
      </c>
      <c r="E1880" s="18">
        <v>45844</v>
      </c>
      <c r="F1880" s="18" t="s">
        <v>611</v>
      </c>
      <c r="G1880" t="s">
        <v>100</v>
      </c>
      <c r="H1880">
        <v>1</v>
      </c>
      <c r="I1880">
        <v>1</v>
      </c>
      <c r="J1880" s="27">
        <v>31048.27</v>
      </c>
      <c r="K1880" s="27">
        <v>2500000</v>
      </c>
    </row>
    <row r="1881" spans="1:11" ht="15" customHeight="1" x14ac:dyDescent="0.2">
      <c r="A1881" t="s">
        <v>10154</v>
      </c>
      <c r="B1881" t="s">
        <v>10155</v>
      </c>
      <c r="C1881">
        <v>2024</v>
      </c>
      <c r="D1881" s="18">
        <v>45480</v>
      </c>
      <c r="E1881" s="18">
        <v>45844</v>
      </c>
      <c r="F1881" s="18" t="s">
        <v>611</v>
      </c>
      <c r="G1881" t="s">
        <v>99</v>
      </c>
      <c r="H1881">
        <v>2</v>
      </c>
      <c r="I1881">
        <v>2</v>
      </c>
      <c r="J1881" s="27">
        <v>19228.439999999999</v>
      </c>
      <c r="K1881" s="27">
        <v>2500000</v>
      </c>
    </row>
    <row r="1882" spans="1:11" ht="15" customHeight="1" x14ac:dyDescent="0.2">
      <c r="A1882" t="s">
        <v>10156</v>
      </c>
      <c r="B1882" t="s">
        <v>10157</v>
      </c>
      <c r="C1882">
        <v>2024</v>
      </c>
      <c r="D1882" s="18">
        <v>45480</v>
      </c>
      <c r="E1882" s="18">
        <v>45844</v>
      </c>
      <c r="F1882" s="18" t="s">
        <v>611</v>
      </c>
      <c r="G1882" t="s">
        <v>101</v>
      </c>
      <c r="H1882">
        <v>2</v>
      </c>
      <c r="I1882">
        <v>4</v>
      </c>
      <c r="J1882" s="27">
        <v>88508.91</v>
      </c>
      <c r="K1882" s="27">
        <v>5000000</v>
      </c>
    </row>
    <row r="1883" spans="1:11" ht="15" customHeight="1" x14ac:dyDescent="0.2">
      <c r="A1883" t="s">
        <v>10158</v>
      </c>
      <c r="B1883" t="s">
        <v>10159</v>
      </c>
      <c r="C1883">
        <v>2024</v>
      </c>
      <c r="D1883" s="18">
        <v>45480</v>
      </c>
      <c r="E1883" s="18">
        <v>45844</v>
      </c>
      <c r="F1883" s="18" t="s">
        <v>611</v>
      </c>
      <c r="G1883" t="s">
        <v>100</v>
      </c>
      <c r="H1883">
        <v>1</v>
      </c>
      <c r="I1883">
        <v>2</v>
      </c>
      <c r="J1883" s="27">
        <v>124578.28</v>
      </c>
      <c r="K1883" s="27">
        <v>10000000</v>
      </c>
    </row>
    <row r="1884" spans="1:11" ht="15" customHeight="1" x14ac:dyDescent="0.2">
      <c r="A1884" t="s">
        <v>10160</v>
      </c>
      <c r="B1884" t="s">
        <v>10161</v>
      </c>
      <c r="C1884">
        <v>2024</v>
      </c>
      <c r="D1884" s="18">
        <v>45480</v>
      </c>
      <c r="E1884" s="18">
        <v>45844</v>
      </c>
      <c r="F1884" s="18" t="s">
        <v>611</v>
      </c>
      <c r="G1884" t="s">
        <v>100</v>
      </c>
      <c r="H1884">
        <v>2</v>
      </c>
      <c r="I1884">
        <v>2</v>
      </c>
      <c r="J1884" s="27">
        <v>138883.43</v>
      </c>
      <c r="K1884" s="27">
        <v>10000000</v>
      </c>
    </row>
    <row r="1885" spans="1:11" ht="15" customHeight="1" x14ac:dyDescent="0.2">
      <c r="A1885" t="s">
        <v>10162</v>
      </c>
      <c r="B1885" t="s">
        <v>10163</v>
      </c>
      <c r="C1885">
        <v>2024</v>
      </c>
      <c r="D1885" s="18">
        <v>45480</v>
      </c>
      <c r="E1885" s="18">
        <v>45844</v>
      </c>
      <c r="F1885" s="18" t="s">
        <v>611</v>
      </c>
      <c r="G1885" t="s">
        <v>100</v>
      </c>
      <c r="H1885">
        <v>1</v>
      </c>
      <c r="I1885">
        <v>1</v>
      </c>
      <c r="J1885" s="27">
        <v>56936.13</v>
      </c>
      <c r="K1885" s="27">
        <v>4500000</v>
      </c>
    </row>
    <row r="1886" spans="1:11" ht="15" customHeight="1" x14ac:dyDescent="0.2">
      <c r="A1886" t="s">
        <v>10164</v>
      </c>
      <c r="B1886" t="s">
        <v>10165</v>
      </c>
      <c r="C1886">
        <v>2024</v>
      </c>
      <c r="D1886" s="18">
        <v>45480</v>
      </c>
      <c r="E1886" s="18">
        <v>45844</v>
      </c>
      <c r="F1886" s="18" t="s">
        <v>611</v>
      </c>
      <c r="G1886" t="s">
        <v>101</v>
      </c>
      <c r="H1886">
        <v>1</v>
      </c>
      <c r="I1886">
        <v>2</v>
      </c>
      <c r="J1886" s="27">
        <v>89009.01</v>
      </c>
      <c r="K1886" s="27">
        <v>5000000</v>
      </c>
    </row>
    <row r="1887" spans="1:11" ht="15" customHeight="1" x14ac:dyDescent="0.2">
      <c r="A1887" t="s">
        <v>10166</v>
      </c>
      <c r="B1887" t="s">
        <v>10167</v>
      </c>
      <c r="C1887">
        <v>2024</v>
      </c>
      <c r="D1887" s="18">
        <v>45481</v>
      </c>
      <c r="E1887" s="18">
        <v>45845</v>
      </c>
      <c r="F1887" s="18" t="s">
        <v>611</v>
      </c>
      <c r="G1887" t="s">
        <v>101</v>
      </c>
      <c r="H1887">
        <v>1</v>
      </c>
      <c r="I1887">
        <v>2</v>
      </c>
      <c r="J1887" s="27">
        <v>67948.479999999996</v>
      </c>
      <c r="K1887" s="27">
        <v>4000000</v>
      </c>
    </row>
    <row r="1888" spans="1:11" ht="15" customHeight="1" x14ac:dyDescent="0.2">
      <c r="A1888" t="s">
        <v>10168</v>
      </c>
      <c r="B1888" t="s">
        <v>10169</v>
      </c>
      <c r="C1888">
        <v>2024</v>
      </c>
      <c r="D1888" s="18">
        <v>45481</v>
      </c>
      <c r="E1888" s="18">
        <v>45845</v>
      </c>
      <c r="F1888" s="18" t="s">
        <v>611</v>
      </c>
      <c r="G1888" t="s">
        <v>100</v>
      </c>
      <c r="H1888">
        <v>1</v>
      </c>
      <c r="I1888">
        <v>2</v>
      </c>
      <c r="J1888" s="27">
        <v>118766.2</v>
      </c>
      <c r="K1888" s="27">
        <v>10000000</v>
      </c>
    </row>
    <row r="1889" spans="1:11" ht="15" customHeight="1" x14ac:dyDescent="0.2">
      <c r="A1889" t="s">
        <v>10170</v>
      </c>
      <c r="B1889" t="s">
        <v>10171</v>
      </c>
      <c r="C1889">
        <v>2024</v>
      </c>
      <c r="D1889" s="18">
        <v>45481</v>
      </c>
      <c r="E1889" s="18">
        <v>45845</v>
      </c>
      <c r="F1889" s="18" t="s">
        <v>611</v>
      </c>
      <c r="G1889" t="s">
        <v>101</v>
      </c>
      <c r="H1889">
        <v>2</v>
      </c>
      <c r="I1889">
        <v>4</v>
      </c>
      <c r="J1889" s="27">
        <v>32304.799999999999</v>
      </c>
      <c r="K1889" s="27">
        <v>2000000</v>
      </c>
    </row>
    <row r="1890" spans="1:11" ht="15" customHeight="1" x14ac:dyDescent="0.2">
      <c r="A1890" t="s">
        <v>10172</v>
      </c>
      <c r="B1890" t="s">
        <v>10173</v>
      </c>
      <c r="C1890">
        <v>2024</v>
      </c>
      <c r="D1890" s="18">
        <v>45481</v>
      </c>
      <c r="E1890" s="18">
        <v>45845</v>
      </c>
      <c r="F1890" s="18" t="s">
        <v>611</v>
      </c>
      <c r="G1890" t="s">
        <v>102</v>
      </c>
      <c r="H1890">
        <v>1</v>
      </c>
      <c r="I1890">
        <v>1</v>
      </c>
      <c r="J1890" s="27">
        <v>3899.49</v>
      </c>
      <c r="K1890" s="27">
        <v>500000</v>
      </c>
    </row>
    <row r="1891" spans="1:11" ht="15" customHeight="1" x14ac:dyDescent="0.2">
      <c r="A1891" t="s">
        <v>10174</v>
      </c>
      <c r="B1891" t="s">
        <v>10175</v>
      </c>
      <c r="C1891">
        <v>2024</v>
      </c>
      <c r="D1891" s="18">
        <v>45481</v>
      </c>
      <c r="E1891" s="18">
        <v>45845</v>
      </c>
      <c r="F1891" s="18" t="s">
        <v>611</v>
      </c>
      <c r="G1891" t="s">
        <v>100</v>
      </c>
      <c r="H1891">
        <v>3</v>
      </c>
      <c r="I1891">
        <v>6</v>
      </c>
      <c r="J1891" s="27">
        <v>52750.18</v>
      </c>
      <c r="K1891" s="27">
        <v>4000000</v>
      </c>
    </row>
    <row r="1892" spans="1:11" ht="15" customHeight="1" x14ac:dyDescent="0.2">
      <c r="A1892" t="s">
        <v>10176</v>
      </c>
      <c r="B1892" t="s">
        <v>10177</v>
      </c>
      <c r="C1892">
        <v>2024</v>
      </c>
      <c r="D1892" s="18">
        <v>45481</v>
      </c>
      <c r="E1892" s="18">
        <v>45845</v>
      </c>
      <c r="F1892" s="18" t="s">
        <v>611</v>
      </c>
      <c r="G1892" t="s">
        <v>99</v>
      </c>
      <c r="H1892">
        <v>2</v>
      </c>
      <c r="I1892">
        <v>2</v>
      </c>
      <c r="J1892" s="27">
        <v>16006.4</v>
      </c>
      <c r="K1892" s="27">
        <v>2000000</v>
      </c>
    </row>
    <row r="1893" spans="1:11" ht="15" customHeight="1" x14ac:dyDescent="0.2">
      <c r="A1893" t="s">
        <v>10178</v>
      </c>
      <c r="B1893" t="s">
        <v>10179</v>
      </c>
      <c r="C1893">
        <v>2024</v>
      </c>
      <c r="D1893" s="18">
        <v>45482</v>
      </c>
      <c r="E1893" s="18">
        <v>45846</v>
      </c>
      <c r="F1893" s="18" t="s">
        <v>608</v>
      </c>
      <c r="G1893" t="s">
        <v>100</v>
      </c>
      <c r="H1893">
        <v>1</v>
      </c>
      <c r="I1893">
        <v>2</v>
      </c>
      <c r="J1893" s="27">
        <v>6571.53</v>
      </c>
      <c r="K1893" s="27">
        <v>500000</v>
      </c>
    </row>
    <row r="1894" spans="1:11" ht="15" customHeight="1" x14ac:dyDescent="0.2">
      <c r="A1894" t="s">
        <v>10180</v>
      </c>
      <c r="B1894" t="s">
        <v>10181</v>
      </c>
      <c r="C1894">
        <v>2024</v>
      </c>
      <c r="D1894" s="18">
        <v>45482</v>
      </c>
      <c r="E1894" s="18">
        <v>45846</v>
      </c>
      <c r="F1894" s="18" t="s">
        <v>611</v>
      </c>
      <c r="G1894" t="s">
        <v>102</v>
      </c>
      <c r="H1894">
        <v>2</v>
      </c>
      <c r="I1894">
        <v>2</v>
      </c>
      <c r="J1894" s="27">
        <v>37659.43</v>
      </c>
      <c r="K1894" s="27">
        <v>4000000</v>
      </c>
    </row>
    <row r="1895" spans="1:11" ht="15" customHeight="1" x14ac:dyDescent="0.2">
      <c r="A1895" t="s">
        <v>10182</v>
      </c>
      <c r="B1895" t="s">
        <v>10183</v>
      </c>
      <c r="C1895">
        <v>2024</v>
      </c>
      <c r="D1895" s="18">
        <v>45482</v>
      </c>
      <c r="E1895" s="18">
        <v>45846</v>
      </c>
      <c r="F1895" s="18" t="s">
        <v>611</v>
      </c>
      <c r="G1895" t="s">
        <v>102</v>
      </c>
      <c r="H1895">
        <v>2</v>
      </c>
      <c r="I1895">
        <v>2</v>
      </c>
      <c r="J1895" s="27">
        <v>24415.37</v>
      </c>
      <c r="K1895" s="27">
        <v>3000000</v>
      </c>
    </row>
    <row r="1896" spans="1:11" ht="15" customHeight="1" x14ac:dyDescent="0.2">
      <c r="A1896" t="s">
        <v>10184</v>
      </c>
      <c r="B1896" t="s">
        <v>10185</v>
      </c>
      <c r="C1896">
        <v>2024</v>
      </c>
      <c r="D1896" s="18">
        <v>45482</v>
      </c>
      <c r="E1896" s="18">
        <v>45846</v>
      </c>
      <c r="F1896" s="18" t="s">
        <v>611</v>
      </c>
      <c r="G1896" t="s">
        <v>100</v>
      </c>
      <c r="H1896">
        <v>3</v>
      </c>
      <c r="I1896">
        <v>3</v>
      </c>
      <c r="J1896" s="27">
        <v>54301.19</v>
      </c>
      <c r="K1896" s="27">
        <v>4000000</v>
      </c>
    </row>
    <row r="1897" spans="1:11" ht="15" customHeight="1" x14ac:dyDescent="0.2">
      <c r="A1897" t="s">
        <v>10186</v>
      </c>
      <c r="B1897" t="s">
        <v>10187</v>
      </c>
      <c r="C1897">
        <v>2024</v>
      </c>
      <c r="D1897" s="18">
        <v>45483</v>
      </c>
      <c r="E1897" s="18">
        <v>45847</v>
      </c>
      <c r="F1897" s="18" t="s">
        <v>608</v>
      </c>
      <c r="G1897" t="s">
        <v>100</v>
      </c>
      <c r="H1897">
        <v>1</v>
      </c>
      <c r="I1897">
        <v>2</v>
      </c>
      <c r="J1897" s="27">
        <v>119613.22</v>
      </c>
      <c r="K1897" s="27">
        <v>10000000</v>
      </c>
    </row>
    <row r="1898" spans="1:11" ht="15" customHeight="1" x14ac:dyDescent="0.2">
      <c r="A1898" t="s">
        <v>10188</v>
      </c>
      <c r="B1898" t="s">
        <v>10189</v>
      </c>
      <c r="C1898">
        <v>2024</v>
      </c>
      <c r="D1898" s="18">
        <v>45483</v>
      </c>
      <c r="E1898" s="18">
        <v>45847</v>
      </c>
      <c r="F1898" s="18" t="s">
        <v>608</v>
      </c>
      <c r="G1898" t="s">
        <v>99</v>
      </c>
      <c r="H1898">
        <v>1</v>
      </c>
      <c r="I1898">
        <v>2</v>
      </c>
      <c r="J1898" s="27">
        <v>38381.599999999999</v>
      </c>
      <c r="K1898" s="27">
        <v>5000000</v>
      </c>
    </row>
    <row r="1899" spans="1:11" ht="15" customHeight="1" x14ac:dyDescent="0.2">
      <c r="A1899" t="s">
        <v>10190</v>
      </c>
      <c r="B1899" t="s">
        <v>10191</v>
      </c>
      <c r="C1899">
        <v>2024</v>
      </c>
      <c r="D1899" s="18">
        <v>45483</v>
      </c>
      <c r="E1899" s="18">
        <v>45847</v>
      </c>
      <c r="F1899" s="18" t="s">
        <v>611</v>
      </c>
      <c r="G1899" t="s">
        <v>99</v>
      </c>
      <c r="H1899">
        <v>2</v>
      </c>
      <c r="I1899">
        <v>4</v>
      </c>
      <c r="J1899" s="27">
        <v>35411.18</v>
      </c>
      <c r="K1899" s="27">
        <v>4000000</v>
      </c>
    </row>
    <row r="1900" spans="1:11" ht="15" customHeight="1" x14ac:dyDescent="0.2">
      <c r="A1900" t="s">
        <v>10192</v>
      </c>
      <c r="B1900" t="s">
        <v>10193</v>
      </c>
      <c r="C1900">
        <v>2024</v>
      </c>
      <c r="D1900" s="18">
        <v>45483</v>
      </c>
      <c r="E1900" s="18">
        <v>45847</v>
      </c>
      <c r="F1900" s="18" t="s">
        <v>611</v>
      </c>
      <c r="G1900" t="s">
        <v>100</v>
      </c>
      <c r="H1900">
        <v>1</v>
      </c>
      <c r="I1900">
        <v>1</v>
      </c>
      <c r="J1900" s="27">
        <v>61813.48</v>
      </c>
      <c r="K1900" s="27">
        <v>4500000</v>
      </c>
    </row>
    <row r="1901" spans="1:11" ht="15" customHeight="1" x14ac:dyDescent="0.2">
      <c r="A1901" t="s">
        <v>10194</v>
      </c>
      <c r="B1901" t="s">
        <v>10195</v>
      </c>
      <c r="C1901">
        <v>2024</v>
      </c>
      <c r="D1901" s="18">
        <v>45483</v>
      </c>
      <c r="E1901" s="18">
        <v>45847</v>
      </c>
      <c r="F1901" s="18" t="s">
        <v>611</v>
      </c>
      <c r="G1901" t="s">
        <v>101</v>
      </c>
      <c r="H1901">
        <v>2</v>
      </c>
      <c r="I1901">
        <v>4</v>
      </c>
      <c r="J1901" s="27">
        <v>34571.57</v>
      </c>
      <c r="K1901" s="27">
        <v>2000000</v>
      </c>
    </row>
    <row r="1902" spans="1:11" ht="15" customHeight="1" x14ac:dyDescent="0.2">
      <c r="A1902" t="s">
        <v>10196</v>
      </c>
      <c r="B1902" t="s">
        <v>10197</v>
      </c>
      <c r="C1902">
        <v>2024</v>
      </c>
      <c r="D1902" s="18">
        <v>45483</v>
      </c>
      <c r="E1902" s="18">
        <v>45847</v>
      </c>
      <c r="F1902" s="18" t="s">
        <v>611</v>
      </c>
      <c r="G1902" t="s">
        <v>100</v>
      </c>
      <c r="H1902">
        <v>1</v>
      </c>
      <c r="I1902">
        <v>2</v>
      </c>
      <c r="J1902" s="27">
        <v>12913.22</v>
      </c>
      <c r="K1902" s="27">
        <v>1000000</v>
      </c>
    </row>
    <row r="1903" spans="1:11" ht="15" customHeight="1" x14ac:dyDescent="0.2">
      <c r="A1903" t="s">
        <v>10198</v>
      </c>
      <c r="B1903" t="s">
        <v>10199</v>
      </c>
      <c r="C1903">
        <v>2024</v>
      </c>
      <c r="D1903" s="18">
        <v>45484</v>
      </c>
      <c r="E1903" s="18">
        <v>45848</v>
      </c>
      <c r="F1903" s="18" t="s">
        <v>611</v>
      </c>
      <c r="G1903" t="s">
        <v>99</v>
      </c>
      <c r="H1903">
        <v>2</v>
      </c>
      <c r="I1903">
        <v>4</v>
      </c>
      <c r="J1903" s="27">
        <v>17743.439999999999</v>
      </c>
      <c r="K1903" s="27">
        <v>2000000</v>
      </c>
    </row>
    <row r="1904" spans="1:11" ht="15" customHeight="1" x14ac:dyDescent="0.2">
      <c r="A1904" t="s">
        <v>10200</v>
      </c>
      <c r="B1904" t="s">
        <v>10201</v>
      </c>
      <c r="C1904">
        <v>2024</v>
      </c>
      <c r="D1904" s="18">
        <v>45484</v>
      </c>
      <c r="E1904" s="18">
        <v>45848</v>
      </c>
      <c r="F1904" s="18" t="s">
        <v>611</v>
      </c>
      <c r="G1904" t="s">
        <v>102</v>
      </c>
      <c r="H1904">
        <v>1</v>
      </c>
      <c r="I1904">
        <v>2</v>
      </c>
      <c r="J1904" s="27">
        <v>27980.75</v>
      </c>
      <c r="K1904" s="27">
        <v>3000000</v>
      </c>
    </row>
    <row r="1905" spans="1:11" ht="15" customHeight="1" x14ac:dyDescent="0.2">
      <c r="A1905" t="s">
        <v>10202</v>
      </c>
      <c r="B1905" t="s">
        <v>10203</v>
      </c>
      <c r="C1905">
        <v>2024</v>
      </c>
      <c r="D1905" s="18">
        <v>45484</v>
      </c>
      <c r="E1905" s="18">
        <v>45848</v>
      </c>
      <c r="F1905" s="18" t="s">
        <v>611</v>
      </c>
      <c r="G1905" t="s">
        <v>100</v>
      </c>
      <c r="H1905">
        <v>1</v>
      </c>
      <c r="I1905">
        <v>1</v>
      </c>
      <c r="J1905" s="27">
        <v>13718.16</v>
      </c>
      <c r="K1905" s="27">
        <v>1000000</v>
      </c>
    </row>
    <row r="1906" spans="1:11" ht="15" customHeight="1" x14ac:dyDescent="0.2">
      <c r="A1906" t="s">
        <v>10204</v>
      </c>
      <c r="B1906" t="s">
        <v>10205</v>
      </c>
      <c r="C1906">
        <v>2024</v>
      </c>
      <c r="D1906" s="18">
        <v>45484</v>
      </c>
      <c r="E1906" s="18">
        <v>45848</v>
      </c>
      <c r="F1906" s="18" t="s">
        <v>611</v>
      </c>
      <c r="G1906" t="s">
        <v>102</v>
      </c>
      <c r="H1906">
        <v>3</v>
      </c>
      <c r="I1906">
        <v>3</v>
      </c>
      <c r="J1906" s="27">
        <v>35668.11</v>
      </c>
      <c r="K1906" s="27">
        <v>4500000</v>
      </c>
    </row>
    <row r="1907" spans="1:11" ht="15" customHeight="1" x14ac:dyDescent="0.2">
      <c r="A1907" t="s">
        <v>10206</v>
      </c>
      <c r="B1907" t="s">
        <v>10207</v>
      </c>
      <c r="C1907">
        <v>2024</v>
      </c>
      <c r="D1907" s="18">
        <v>45484</v>
      </c>
      <c r="E1907" s="18">
        <v>45848</v>
      </c>
      <c r="F1907" s="18" t="s">
        <v>611</v>
      </c>
      <c r="G1907" t="s">
        <v>100</v>
      </c>
      <c r="H1907">
        <v>2</v>
      </c>
      <c r="I1907">
        <v>4</v>
      </c>
      <c r="J1907" s="27">
        <v>12333.69</v>
      </c>
      <c r="K1907" s="27">
        <v>1000000</v>
      </c>
    </row>
    <row r="1908" spans="1:11" ht="15" customHeight="1" x14ac:dyDescent="0.2">
      <c r="A1908" t="s">
        <v>10208</v>
      </c>
      <c r="B1908" t="s">
        <v>10209</v>
      </c>
      <c r="C1908">
        <v>2024</v>
      </c>
      <c r="D1908" s="18">
        <v>45484</v>
      </c>
      <c r="E1908" s="18">
        <v>45848</v>
      </c>
      <c r="F1908" s="18" t="s">
        <v>611</v>
      </c>
      <c r="G1908" t="s">
        <v>102</v>
      </c>
      <c r="H1908">
        <v>2</v>
      </c>
      <c r="I1908">
        <v>4</v>
      </c>
      <c r="J1908" s="27">
        <v>36759.43</v>
      </c>
      <c r="K1908" s="27">
        <v>4000000</v>
      </c>
    </row>
    <row r="1909" spans="1:11" ht="15" customHeight="1" x14ac:dyDescent="0.2">
      <c r="A1909" t="s">
        <v>10210</v>
      </c>
      <c r="B1909" t="s">
        <v>10211</v>
      </c>
      <c r="C1909">
        <v>2024</v>
      </c>
      <c r="D1909" s="18">
        <v>45484</v>
      </c>
      <c r="E1909" s="18">
        <v>45848</v>
      </c>
      <c r="F1909" s="18" t="s">
        <v>611</v>
      </c>
      <c r="G1909" t="s">
        <v>102</v>
      </c>
      <c r="H1909">
        <v>2</v>
      </c>
      <c r="I1909">
        <v>2</v>
      </c>
      <c r="J1909" s="27">
        <v>8299.9500000000007</v>
      </c>
      <c r="K1909" s="27">
        <v>1000000</v>
      </c>
    </row>
    <row r="1910" spans="1:11" ht="15" customHeight="1" x14ac:dyDescent="0.2">
      <c r="A1910" t="s">
        <v>10212</v>
      </c>
      <c r="B1910" t="s">
        <v>10213</v>
      </c>
      <c r="C1910">
        <v>2024</v>
      </c>
      <c r="D1910" s="18">
        <v>45485</v>
      </c>
      <c r="E1910" s="18">
        <v>45849</v>
      </c>
      <c r="F1910" s="18" t="s">
        <v>608</v>
      </c>
      <c r="G1910" t="s">
        <v>101</v>
      </c>
      <c r="H1910">
        <v>3</v>
      </c>
      <c r="I1910">
        <v>3</v>
      </c>
      <c r="J1910" s="27">
        <v>85086.93</v>
      </c>
      <c r="K1910" s="27">
        <v>5000000</v>
      </c>
    </row>
    <row r="1911" spans="1:11" ht="15" customHeight="1" x14ac:dyDescent="0.2">
      <c r="A1911" t="s">
        <v>10214</v>
      </c>
      <c r="B1911" t="s">
        <v>10215</v>
      </c>
      <c r="C1911">
        <v>2024</v>
      </c>
      <c r="D1911" s="18">
        <v>45485</v>
      </c>
      <c r="E1911" s="18">
        <v>45849</v>
      </c>
      <c r="F1911" s="18" t="s">
        <v>608</v>
      </c>
      <c r="G1911" t="s">
        <v>100</v>
      </c>
      <c r="H1911">
        <v>2</v>
      </c>
      <c r="I1911">
        <v>4</v>
      </c>
      <c r="J1911" s="27">
        <v>60712.69</v>
      </c>
      <c r="K1911" s="27">
        <v>4500000</v>
      </c>
    </row>
    <row r="1912" spans="1:11" ht="15" customHeight="1" x14ac:dyDescent="0.2">
      <c r="A1912" t="s">
        <v>10216</v>
      </c>
      <c r="B1912" t="s">
        <v>10217</v>
      </c>
      <c r="C1912">
        <v>2024</v>
      </c>
      <c r="D1912" s="18">
        <v>45485</v>
      </c>
      <c r="E1912" s="18">
        <v>45849</v>
      </c>
      <c r="F1912" s="18" t="s">
        <v>611</v>
      </c>
      <c r="G1912" t="s">
        <v>102</v>
      </c>
      <c r="H1912">
        <v>3</v>
      </c>
      <c r="I1912">
        <v>6</v>
      </c>
      <c r="J1912" s="27">
        <v>32117.23</v>
      </c>
      <c r="K1912" s="27">
        <v>4000000</v>
      </c>
    </row>
    <row r="1913" spans="1:11" ht="15" customHeight="1" x14ac:dyDescent="0.2">
      <c r="A1913" t="s">
        <v>10218</v>
      </c>
      <c r="B1913" t="s">
        <v>10219</v>
      </c>
      <c r="C1913">
        <v>2024</v>
      </c>
      <c r="D1913" s="18">
        <v>45485</v>
      </c>
      <c r="E1913" s="18">
        <v>45849</v>
      </c>
      <c r="F1913" s="18" t="s">
        <v>611</v>
      </c>
      <c r="G1913" t="s">
        <v>99</v>
      </c>
      <c r="H1913">
        <v>1</v>
      </c>
      <c r="I1913">
        <v>1</v>
      </c>
      <c r="J1913" s="27">
        <v>79221.929999999993</v>
      </c>
      <c r="K1913" s="27">
        <v>10000000</v>
      </c>
    </row>
    <row r="1914" spans="1:11" ht="15" customHeight="1" x14ac:dyDescent="0.2">
      <c r="A1914" t="s">
        <v>10220</v>
      </c>
      <c r="B1914" t="s">
        <v>10221</v>
      </c>
      <c r="C1914">
        <v>2024</v>
      </c>
      <c r="D1914" s="18">
        <v>45485</v>
      </c>
      <c r="E1914" s="18">
        <v>45849</v>
      </c>
      <c r="F1914" s="18" t="s">
        <v>611</v>
      </c>
      <c r="G1914" t="s">
        <v>102</v>
      </c>
      <c r="H1914">
        <v>1</v>
      </c>
      <c r="I1914">
        <v>1</v>
      </c>
      <c r="J1914" s="27">
        <v>16007.69</v>
      </c>
      <c r="K1914" s="27">
        <v>2000000</v>
      </c>
    </row>
    <row r="1915" spans="1:11" ht="15" customHeight="1" x14ac:dyDescent="0.2">
      <c r="A1915" t="s">
        <v>10222</v>
      </c>
      <c r="B1915" t="s">
        <v>10223</v>
      </c>
      <c r="C1915">
        <v>2024</v>
      </c>
      <c r="D1915" s="18">
        <v>45485</v>
      </c>
      <c r="E1915" s="18">
        <v>45849</v>
      </c>
      <c r="F1915" s="18" t="s">
        <v>611</v>
      </c>
      <c r="G1915" t="s">
        <v>99</v>
      </c>
      <c r="H1915">
        <v>1</v>
      </c>
      <c r="I1915">
        <v>1</v>
      </c>
      <c r="J1915" s="27">
        <v>34487.9</v>
      </c>
      <c r="K1915" s="27">
        <v>4500000</v>
      </c>
    </row>
    <row r="1916" spans="1:11" ht="15" customHeight="1" x14ac:dyDescent="0.2">
      <c r="A1916" t="s">
        <v>10224</v>
      </c>
      <c r="B1916" t="s">
        <v>10225</v>
      </c>
      <c r="C1916">
        <v>2024</v>
      </c>
      <c r="D1916" s="18">
        <v>45486</v>
      </c>
      <c r="E1916" s="18">
        <v>45850</v>
      </c>
      <c r="F1916" s="18" t="s">
        <v>608</v>
      </c>
      <c r="G1916" t="s">
        <v>100</v>
      </c>
      <c r="H1916">
        <v>2</v>
      </c>
      <c r="I1916">
        <v>4</v>
      </c>
      <c r="J1916" s="27">
        <v>27671.01</v>
      </c>
      <c r="K1916" s="27">
        <v>2000000</v>
      </c>
    </row>
    <row r="1917" spans="1:11" ht="15" customHeight="1" x14ac:dyDescent="0.2">
      <c r="A1917" t="s">
        <v>10226</v>
      </c>
      <c r="B1917" t="s">
        <v>10227</v>
      </c>
      <c r="C1917">
        <v>2024</v>
      </c>
      <c r="D1917" s="18">
        <v>45486</v>
      </c>
      <c r="E1917" s="18">
        <v>45850</v>
      </c>
      <c r="F1917" s="18" t="s">
        <v>608</v>
      </c>
      <c r="G1917" t="s">
        <v>101</v>
      </c>
      <c r="H1917">
        <v>2</v>
      </c>
      <c r="I1917">
        <v>2</v>
      </c>
      <c r="J1917" s="27">
        <v>16736.509999999998</v>
      </c>
      <c r="K1917" s="27">
        <v>1000000</v>
      </c>
    </row>
    <row r="1918" spans="1:11" ht="15" customHeight="1" x14ac:dyDescent="0.2">
      <c r="A1918" t="s">
        <v>10228</v>
      </c>
      <c r="B1918" t="s">
        <v>10229</v>
      </c>
      <c r="C1918">
        <v>2024</v>
      </c>
      <c r="D1918" s="18">
        <v>45486</v>
      </c>
      <c r="E1918" s="18">
        <v>45850</v>
      </c>
      <c r="F1918" s="18" t="s">
        <v>608</v>
      </c>
      <c r="G1918" t="s">
        <v>100</v>
      </c>
      <c r="H1918">
        <v>1</v>
      </c>
      <c r="I1918">
        <v>1</v>
      </c>
      <c r="J1918" s="27">
        <v>39476.730000000003</v>
      </c>
      <c r="K1918" s="27">
        <v>3000000</v>
      </c>
    </row>
    <row r="1919" spans="1:11" ht="15" customHeight="1" x14ac:dyDescent="0.2">
      <c r="A1919" t="s">
        <v>10230</v>
      </c>
      <c r="B1919" t="s">
        <v>10231</v>
      </c>
      <c r="C1919">
        <v>2024</v>
      </c>
      <c r="D1919" s="18">
        <v>45486</v>
      </c>
      <c r="E1919" s="18">
        <v>45850</v>
      </c>
      <c r="F1919" s="18" t="s">
        <v>611</v>
      </c>
      <c r="G1919" t="s">
        <v>101</v>
      </c>
      <c r="H1919">
        <v>1</v>
      </c>
      <c r="I1919">
        <v>2</v>
      </c>
      <c r="J1919" s="27">
        <v>52853.03</v>
      </c>
      <c r="K1919" s="27">
        <v>3000000</v>
      </c>
    </row>
    <row r="1920" spans="1:11" ht="15" customHeight="1" x14ac:dyDescent="0.2">
      <c r="A1920" t="s">
        <v>10232</v>
      </c>
      <c r="B1920" t="s">
        <v>10233</v>
      </c>
      <c r="C1920">
        <v>2024</v>
      </c>
      <c r="D1920" s="18">
        <v>45486</v>
      </c>
      <c r="E1920" s="18">
        <v>45850</v>
      </c>
      <c r="F1920" s="18" t="s">
        <v>611</v>
      </c>
      <c r="G1920" t="s">
        <v>99</v>
      </c>
      <c r="H1920">
        <v>2</v>
      </c>
      <c r="I1920">
        <v>4</v>
      </c>
      <c r="J1920" s="27">
        <v>41366.89</v>
      </c>
      <c r="K1920" s="27">
        <v>5000000</v>
      </c>
    </row>
    <row r="1921" spans="1:11" ht="15" customHeight="1" x14ac:dyDescent="0.2">
      <c r="A1921" t="s">
        <v>10234</v>
      </c>
      <c r="B1921" t="s">
        <v>10235</v>
      </c>
      <c r="C1921">
        <v>2024</v>
      </c>
      <c r="D1921" s="18">
        <v>45486</v>
      </c>
      <c r="E1921" s="18">
        <v>45850</v>
      </c>
      <c r="F1921" s="18" t="s">
        <v>611</v>
      </c>
      <c r="G1921" t="s">
        <v>101</v>
      </c>
      <c r="H1921">
        <v>2</v>
      </c>
      <c r="I1921">
        <v>2</v>
      </c>
      <c r="J1921" s="27">
        <v>185091.23</v>
      </c>
      <c r="K1921" s="27">
        <v>10000000</v>
      </c>
    </row>
    <row r="1922" spans="1:11" ht="15" customHeight="1" x14ac:dyDescent="0.2">
      <c r="A1922" t="s">
        <v>10236</v>
      </c>
      <c r="B1922" t="s">
        <v>10237</v>
      </c>
      <c r="C1922">
        <v>2024</v>
      </c>
      <c r="D1922" s="18">
        <v>45486</v>
      </c>
      <c r="E1922" s="18">
        <v>45850</v>
      </c>
      <c r="F1922" s="18" t="s">
        <v>611</v>
      </c>
      <c r="G1922" t="s">
        <v>99</v>
      </c>
      <c r="H1922">
        <v>2</v>
      </c>
      <c r="I1922">
        <v>4</v>
      </c>
      <c r="J1922" s="27">
        <v>43787.86</v>
      </c>
      <c r="K1922" s="27">
        <v>5000000</v>
      </c>
    </row>
    <row r="1923" spans="1:11" ht="15" customHeight="1" x14ac:dyDescent="0.2">
      <c r="A1923" t="s">
        <v>10238</v>
      </c>
      <c r="B1923" t="s">
        <v>10239</v>
      </c>
      <c r="C1923">
        <v>2024</v>
      </c>
      <c r="D1923" s="18">
        <v>45486</v>
      </c>
      <c r="E1923" s="18">
        <v>45850</v>
      </c>
      <c r="F1923" s="18" t="s">
        <v>611</v>
      </c>
      <c r="G1923" t="s">
        <v>100</v>
      </c>
      <c r="H1923">
        <v>3</v>
      </c>
      <c r="I1923">
        <v>6</v>
      </c>
      <c r="J1923" s="27">
        <v>41217.5</v>
      </c>
      <c r="K1923" s="27">
        <v>3000000</v>
      </c>
    </row>
    <row r="1924" spans="1:11" ht="15" customHeight="1" x14ac:dyDescent="0.2">
      <c r="A1924" t="s">
        <v>10240</v>
      </c>
      <c r="B1924" t="s">
        <v>10241</v>
      </c>
      <c r="C1924">
        <v>2024</v>
      </c>
      <c r="D1924" s="18">
        <v>45486</v>
      </c>
      <c r="E1924" s="18">
        <v>45850</v>
      </c>
      <c r="F1924" s="18" t="s">
        <v>611</v>
      </c>
      <c r="G1924" t="s">
        <v>102</v>
      </c>
      <c r="H1924">
        <v>1</v>
      </c>
      <c r="I1924">
        <v>1</v>
      </c>
      <c r="J1924" s="27">
        <v>13642.44</v>
      </c>
      <c r="K1924" s="27">
        <v>1500000</v>
      </c>
    </row>
    <row r="1925" spans="1:11" ht="15" customHeight="1" x14ac:dyDescent="0.2">
      <c r="A1925" t="s">
        <v>10242</v>
      </c>
      <c r="B1925" t="s">
        <v>10243</v>
      </c>
      <c r="C1925">
        <v>2024</v>
      </c>
      <c r="D1925" s="18">
        <v>45487</v>
      </c>
      <c r="E1925" s="18">
        <v>45851</v>
      </c>
      <c r="F1925" s="18" t="s">
        <v>608</v>
      </c>
      <c r="G1925" t="s">
        <v>100</v>
      </c>
      <c r="H1925">
        <v>2</v>
      </c>
      <c r="I1925">
        <v>4</v>
      </c>
      <c r="J1925" s="27">
        <v>27921.11</v>
      </c>
      <c r="K1925" s="27">
        <v>2000000</v>
      </c>
    </row>
    <row r="1926" spans="1:11" ht="15" customHeight="1" x14ac:dyDescent="0.2">
      <c r="A1926" t="s">
        <v>10244</v>
      </c>
      <c r="B1926" t="s">
        <v>10245</v>
      </c>
      <c r="C1926">
        <v>2024</v>
      </c>
      <c r="D1926" s="18">
        <v>45487</v>
      </c>
      <c r="E1926" s="18">
        <v>45851</v>
      </c>
      <c r="F1926" s="18" t="s">
        <v>608</v>
      </c>
      <c r="G1926" t="s">
        <v>101</v>
      </c>
      <c r="H1926">
        <v>1</v>
      </c>
      <c r="I1926">
        <v>1</v>
      </c>
      <c r="J1926" s="27">
        <v>70887.47</v>
      </c>
      <c r="K1926" s="27">
        <v>4500000</v>
      </c>
    </row>
    <row r="1927" spans="1:11" ht="15" customHeight="1" x14ac:dyDescent="0.2">
      <c r="A1927" t="s">
        <v>10246</v>
      </c>
      <c r="B1927" t="s">
        <v>10247</v>
      </c>
      <c r="C1927">
        <v>2024</v>
      </c>
      <c r="D1927" s="18">
        <v>45487</v>
      </c>
      <c r="E1927" s="18">
        <v>45851</v>
      </c>
      <c r="F1927" s="18" t="s">
        <v>611</v>
      </c>
      <c r="G1927" t="s">
        <v>100</v>
      </c>
      <c r="H1927">
        <v>1</v>
      </c>
      <c r="I1927">
        <v>1</v>
      </c>
      <c r="J1927" s="27">
        <v>34509.15</v>
      </c>
      <c r="K1927" s="27">
        <v>2500000</v>
      </c>
    </row>
    <row r="1928" spans="1:11" ht="15" customHeight="1" x14ac:dyDescent="0.2">
      <c r="A1928" t="s">
        <v>10248</v>
      </c>
      <c r="B1928" t="s">
        <v>10249</v>
      </c>
      <c r="C1928">
        <v>2024</v>
      </c>
      <c r="D1928" s="18">
        <v>45487</v>
      </c>
      <c r="E1928" s="18">
        <v>45851</v>
      </c>
      <c r="F1928" s="18" t="s">
        <v>611</v>
      </c>
      <c r="G1928" t="s">
        <v>100</v>
      </c>
      <c r="H1928">
        <v>1</v>
      </c>
      <c r="I1928">
        <v>1</v>
      </c>
      <c r="J1928" s="27">
        <v>48258.28</v>
      </c>
      <c r="K1928" s="27">
        <v>4000000</v>
      </c>
    </row>
    <row r="1929" spans="1:11" ht="15" customHeight="1" x14ac:dyDescent="0.2">
      <c r="A1929" t="s">
        <v>10250</v>
      </c>
      <c r="B1929" t="s">
        <v>10251</v>
      </c>
      <c r="C1929">
        <v>2024</v>
      </c>
      <c r="D1929" s="18">
        <v>45487</v>
      </c>
      <c r="E1929" s="18">
        <v>45851</v>
      </c>
      <c r="F1929" s="18" t="s">
        <v>611</v>
      </c>
      <c r="G1929" t="s">
        <v>100</v>
      </c>
      <c r="H1929">
        <v>1</v>
      </c>
      <c r="I1929">
        <v>2</v>
      </c>
      <c r="J1929" s="27">
        <v>67752.77</v>
      </c>
      <c r="K1929" s="27">
        <v>5000000</v>
      </c>
    </row>
    <row r="1930" spans="1:11" ht="15" customHeight="1" x14ac:dyDescent="0.2">
      <c r="A1930" t="s">
        <v>10252</v>
      </c>
      <c r="B1930" t="s">
        <v>10253</v>
      </c>
      <c r="C1930">
        <v>2024</v>
      </c>
      <c r="D1930" s="18">
        <v>45487</v>
      </c>
      <c r="E1930" s="18">
        <v>45851</v>
      </c>
      <c r="F1930" s="18" t="s">
        <v>611</v>
      </c>
      <c r="G1930" t="s">
        <v>100</v>
      </c>
      <c r="H1930">
        <v>1</v>
      </c>
      <c r="I1930">
        <v>1</v>
      </c>
      <c r="J1930" s="27">
        <v>65947.88</v>
      </c>
      <c r="K1930" s="27">
        <v>5000000</v>
      </c>
    </row>
    <row r="1931" spans="1:11" ht="15" customHeight="1" x14ac:dyDescent="0.2">
      <c r="A1931" t="s">
        <v>10254</v>
      </c>
      <c r="B1931" t="s">
        <v>10255</v>
      </c>
      <c r="C1931">
        <v>2024</v>
      </c>
      <c r="D1931" s="18">
        <v>45488</v>
      </c>
      <c r="E1931" s="18">
        <v>45852</v>
      </c>
      <c r="F1931" s="18" t="s">
        <v>608</v>
      </c>
      <c r="G1931" t="s">
        <v>102</v>
      </c>
      <c r="H1931">
        <v>2</v>
      </c>
      <c r="I1931">
        <v>4</v>
      </c>
      <c r="J1931" s="27">
        <v>26619.14</v>
      </c>
      <c r="K1931" s="27">
        <v>3000000</v>
      </c>
    </row>
    <row r="1932" spans="1:11" ht="15" customHeight="1" x14ac:dyDescent="0.2">
      <c r="A1932" t="s">
        <v>10256</v>
      </c>
      <c r="B1932" t="s">
        <v>10257</v>
      </c>
      <c r="C1932">
        <v>2024</v>
      </c>
      <c r="D1932" s="18">
        <v>45488</v>
      </c>
      <c r="E1932" s="18">
        <v>45852</v>
      </c>
      <c r="F1932" s="18" t="s">
        <v>611</v>
      </c>
      <c r="G1932" t="s">
        <v>101</v>
      </c>
      <c r="H1932">
        <v>3</v>
      </c>
      <c r="I1932">
        <v>6</v>
      </c>
      <c r="J1932" s="27">
        <v>74033.929999999993</v>
      </c>
      <c r="K1932" s="27">
        <v>4000000</v>
      </c>
    </row>
    <row r="1933" spans="1:11" ht="15" customHeight="1" x14ac:dyDescent="0.2">
      <c r="A1933" t="s">
        <v>10258</v>
      </c>
      <c r="B1933" t="s">
        <v>10259</v>
      </c>
      <c r="C1933">
        <v>2024</v>
      </c>
      <c r="D1933" s="18">
        <v>45488</v>
      </c>
      <c r="E1933" s="18">
        <v>45852</v>
      </c>
      <c r="F1933" s="18" t="s">
        <v>611</v>
      </c>
      <c r="G1933" t="s">
        <v>100</v>
      </c>
      <c r="H1933">
        <v>3</v>
      </c>
      <c r="I1933">
        <v>3</v>
      </c>
      <c r="J1933" s="27">
        <v>129524.36</v>
      </c>
      <c r="K1933" s="27">
        <v>10000000</v>
      </c>
    </row>
    <row r="1934" spans="1:11" ht="15" customHeight="1" x14ac:dyDescent="0.2">
      <c r="A1934" t="s">
        <v>10260</v>
      </c>
      <c r="B1934" t="s">
        <v>10261</v>
      </c>
      <c r="C1934">
        <v>2024</v>
      </c>
      <c r="D1934" s="18">
        <v>45488</v>
      </c>
      <c r="E1934" s="18">
        <v>45852</v>
      </c>
      <c r="F1934" s="18" t="s">
        <v>611</v>
      </c>
      <c r="G1934" t="s">
        <v>99</v>
      </c>
      <c r="H1934">
        <v>1</v>
      </c>
      <c r="I1934">
        <v>1</v>
      </c>
      <c r="J1934" s="27">
        <v>17523.45</v>
      </c>
      <c r="K1934" s="27">
        <v>2000000</v>
      </c>
    </row>
    <row r="1935" spans="1:11" ht="15" customHeight="1" x14ac:dyDescent="0.2">
      <c r="A1935" t="s">
        <v>10262</v>
      </c>
      <c r="B1935" t="s">
        <v>10263</v>
      </c>
      <c r="C1935">
        <v>2024</v>
      </c>
      <c r="D1935" s="18">
        <v>45488</v>
      </c>
      <c r="E1935" s="18">
        <v>45852</v>
      </c>
      <c r="F1935" s="18" t="s">
        <v>611</v>
      </c>
      <c r="G1935" t="s">
        <v>99</v>
      </c>
      <c r="H1935">
        <v>3</v>
      </c>
      <c r="I1935">
        <v>3</v>
      </c>
      <c r="J1935" s="27">
        <v>16816.25</v>
      </c>
      <c r="K1935" s="27">
        <v>2000000</v>
      </c>
    </row>
    <row r="1936" spans="1:11" ht="15" customHeight="1" x14ac:dyDescent="0.2">
      <c r="A1936" t="s">
        <v>10264</v>
      </c>
      <c r="B1936" t="s">
        <v>10265</v>
      </c>
      <c r="C1936">
        <v>2024</v>
      </c>
      <c r="D1936" s="18">
        <v>45489</v>
      </c>
      <c r="E1936" s="18">
        <v>45853</v>
      </c>
      <c r="F1936" s="18" t="s">
        <v>608</v>
      </c>
      <c r="G1936" t="s">
        <v>100</v>
      </c>
      <c r="H1936">
        <v>1</v>
      </c>
      <c r="I1936">
        <v>1</v>
      </c>
      <c r="J1936" s="27">
        <v>36032.67</v>
      </c>
      <c r="K1936" s="27">
        <v>3000000</v>
      </c>
    </row>
    <row r="1937" spans="1:11" ht="15" customHeight="1" x14ac:dyDescent="0.2">
      <c r="A1937" t="s">
        <v>10266</v>
      </c>
      <c r="B1937" t="s">
        <v>10267</v>
      </c>
      <c r="C1937">
        <v>2024</v>
      </c>
      <c r="D1937" s="18">
        <v>45489</v>
      </c>
      <c r="E1937" s="18">
        <v>45853</v>
      </c>
      <c r="F1937" s="18" t="s">
        <v>611</v>
      </c>
      <c r="G1937" t="s">
        <v>102</v>
      </c>
      <c r="H1937">
        <v>1</v>
      </c>
      <c r="I1937">
        <v>2</v>
      </c>
      <c r="J1937" s="27">
        <v>21744.47</v>
      </c>
      <c r="K1937" s="27">
        <v>2500000</v>
      </c>
    </row>
    <row r="1938" spans="1:11" ht="15" customHeight="1" x14ac:dyDescent="0.2">
      <c r="A1938" t="s">
        <v>10268</v>
      </c>
      <c r="B1938" t="s">
        <v>10269</v>
      </c>
      <c r="C1938">
        <v>2024</v>
      </c>
      <c r="D1938" s="18">
        <v>45489</v>
      </c>
      <c r="E1938" s="18">
        <v>45853</v>
      </c>
      <c r="F1938" s="18" t="s">
        <v>611</v>
      </c>
      <c r="G1938" t="s">
        <v>100</v>
      </c>
      <c r="H1938">
        <v>1</v>
      </c>
      <c r="I1938">
        <v>2</v>
      </c>
      <c r="J1938" s="27">
        <v>26122.46</v>
      </c>
      <c r="K1938" s="27">
        <v>2000000</v>
      </c>
    </row>
    <row r="1939" spans="1:11" ht="15" customHeight="1" x14ac:dyDescent="0.2">
      <c r="A1939" t="s">
        <v>10270</v>
      </c>
      <c r="B1939" t="s">
        <v>10271</v>
      </c>
      <c r="C1939">
        <v>2024</v>
      </c>
      <c r="D1939" s="18">
        <v>45489</v>
      </c>
      <c r="E1939" s="18">
        <v>45853</v>
      </c>
      <c r="F1939" s="18" t="s">
        <v>611</v>
      </c>
      <c r="G1939" t="s">
        <v>101</v>
      </c>
      <c r="H1939">
        <v>3</v>
      </c>
      <c r="I1939">
        <v>3</v>
      </c>
      <c r="J1939" s="27">
        <v>35947.760000000002</v>
      </c>
      <c r="K1939" s="27">
        <v>2000000</v>
      </c>
    </row>
    <row r="1940" spans="1:11" ht="15" customHeight="1" x14ac:dyDescent="0.2">
      <c r="A1940" t="s">
        <v>10272</v>
      </c>
      <c r="B1940" t="s">
        <v>10273</v>
      </c>
      <c r="C1940">
        <v>2024</v>
      </c>
      <c r="D1940" s="18">
        <v>45489</v>
      </c>
      <c r="E1940" s="18">
        <v>45853</v>
      </c>
      <c r="F1940" s="18" t="s">
        <v>611</v>
      </c>
      <c r="G1940" t="s">
        <v>99</v>
      </c>
      <c r="H1940">
        <v>1</v>
      </c>
      <c r="I1940">
        <v>2</v>
      </c>
      <c r="J1940" s="27">
        <v>86654.91</v>
      </c>
      <c r="K1940" s="27">
        <v>10000000</v>
      </c>
    </row>
    <row r="1941" spans="1:11" ht="15" customHeight="1" x14ac:dyDescent="0.2">
      <c r="A1941" t="s">
        <v>10274</v>
      </c>
      <c r="B1941" t="s">
        <v>10275</v>
      </c>
      <c r="C1941">
        <v>2024</v>
      </c>
      <c r="D1941" s="18">
        <v>45489</v>
      </c>
      <c r="E1941" s="18">
        <v>45853</v>
      </c>
      <c r="F1941" s="18" t="s">
        <v>611</v>
      </c>
      <c r="G1941" t="s">
        <v>100</v>
      </c>
      <c r="H1941">
        <v>1</v>
      </c>
      <c r="I1941">
        <v>2</v>
      </c>
      <c r="J1941" s="27">
        <v>37648.18</v>
      </c>
      <c r="K1941" s="27">
        <v>3000000</v>
      </c>
    </row>
    <row r="1942" spans="1:11" ht="15" customHeight="1" x14ac:dyDescent="0.2">
      <c r="A1942" t="s">
        <v>10276</v>
      </c>
      <c r="B1942" t="s">
        <v>10277</v>
      </c>
      <c r="C1942">
        <v>2024</v>
      </c>
      <c r="D1942" s="18">
        <v>45489</v>
      </c>
      <c r="E1942" s="18">
        <v>45853</v>
      </c>
      <c r="F1942" s="18" t="s">
        <v>611</v>
      </c>
      <c r="G1942" t="s">
        <v>101</v>
      </c>
      <c r="H1942">
        <v>3</v>
      </c>
      <c r="I1942">
        <v>3</v>
      </c>
      <c r="J1942" s="27">
        <v>35180.75</v>
      </c>
      <c r="K1942" s="27">
        <v>2000000</v>
      </c>
    </row>
    <row r="1943" spans="1:11" ht="15" customHeight="1" x14ac:dyDescent="0.2">
      <c r="A1943" t="s">
        <v>10278</v>
      </c>
      <c r="B1943" t="s">
        <v>10279</v>
      </c>
      <c r="C1943">
        <v>2024</v>
      </c>
      <c r="D1943" s="18">
        <v>45490</v>
      </c>
      <c r="E1943" s="18">
        <v>45854</v>
      </c>
      <c r="F1943" s="18" t="s">
        <v>608</v>
      </c>
      <c r="G1943" t="s">
        <v>99</v>
      </c>
      <c r="H1943">
        <v>1</v>
      </c>
      <c r="I1943">
        <v>1</v>
      </c>
      <c r="J1943" s="27">
        <v>35473.379999999997</v>
      </c>
      <c r="K1943" s="27">
        <v>4000000</v>
      </c>
    </row>
    <row r="1944" spans="1:11" ht="15" customHeight="1" x14ac:dyDescent="0.2">
      <c r="A1944" t="s">
        <v>10280</v>
      </c>
      <c r="B1944" t="s">
        <v>10281</v>
      </c>
      <c r="C1944">
        <v>2024</v>
      </c>
      <c r="D1944" s="18">
        <v>45490</v>
      </c>
      <c r="E1944" s="18">
        <v>45854</v>
      </c>
      <c r="F1944" s="18" t="s">
        <v>611</v>
      </c>
      <c r="G1944" t="s">
        <v>100</v>
      </c>
      <c r="H1944">
        <v>1</v>
      </c>
      <c r="I1944">
        <v>2</v>
      </c>
      <c r="J1944" s="27">
        <v>12191.68</v>
      </c>
      <c r="K1944" s="27">
        <v>1000000</v>
      </c>
    </row>
    <row r="1945" spans="1:11" ht="15" customHeight="1" x14ac:dyDescent="0.2">
      <c r="A1945" t="s">
        <v>10282</v>
      </c>
      <c r="B1945" t="s">
        <v>10283</v>
      </c>
      <c r="C1945">
        <v>2024</v>
      </c>
      <c r="D1945" s="18">
        <v>45490</v>
      </c>
      <c r="E1945" s="18">
        <v>45854</v>
      </c>
      <c r="F1945" s="18" t="s">
        <v>611</v>
      </c>
      <c r="G1945" t="s">
        <v>100</v>
      </c>
      <c r="H1945">
        <v>1</v>
      </c>
      <c r="I1945">
        <v>1</v>
      </c>
      <c r="J1945" s="27">
        <v>20012.18</v>
      </c>
      <c r="K1945" s="27">
        <v>1500000</v>
      </c>
    </row>
    <row r="1946" spans="1:11" ht="15" customHeight="1" x14ac:dyDescent="0.2">
      <c r="A1946" t="s">
        <v>10284</v>
      </c>
      <c r="B1946" t="s">
        <v>10285</v>
      </c>
      <c r="C1946">
        <v>2024</v>
      </c>
      <c r="D1946" s="18">
        <v>45490</v>
      </c>
      <c r="E1946" s="18">
        <v>45854</v>
      </c>
      <c r="F1946" s="18" t="s">
        <v>611</v>
      </c>
      <c r="G1946" t="s">
        <v>101</v>
      </c>
      <c r="H1946">
        <v>1</v>
      </c>
      <c r="I1946">
        <v>1</v>
      </c>
      <c r="J1946" s="27">
        <v>73550.31</v>
      </c>
      <c r="K1946" s="27">
        <v>4500000</v>
      </c>
    </row>
    <row r="1947" spans="1:11" ht="15" customHeight="1" x14ac:dyDescent="0.2">
      <c r="A1947" t="s">
        <v>10286</v>
      </c>
      <c r="B1947" t="s">
        <v>10287</v>
      </c>
      <c r="C1947">
        <v>2024</v>
      </c>
      <c r="D1947" s="18">
        <v>45490</v>
      </c>
      <c r="E1947" s="18">
        <v>45854</v>
      </c>
      <c r="F1947" s="18" t="s">
        <v>611</v>
      </c>
      <c r="G1947" t="s">
        <v>100</v>
      </c>
      <c r="H1947">
        <v>3</v>
      </c>
      <c r="I1947">
        <v>3</v>
      </c>
      <c r="J1947" s="27">
        <v>18533.75</v>
      </c>
      <c r="K1947" s="27">
        <v>1500000</v>
      </c>
    </row>
    <row r="1948" spans="1:11" ht="15" customHeight="1" x14ac:dyDescent="0.2">
      <c r="A1948" t="s">
        <v>10288</v>
      </c>
      <c r="B1948" t="s">
        <v>10289</v>
      </c>
      <c r="C1948">
        <v>2024</v>
      </c>
      <c r="D1948" s="18">
        <v>45490</v>
      </c>
      <c r="E1948" s="18">
        <v>45854</v>
      </c>
      <c r="F1948" s="18" t="s">
        <v>611</v>
      </c>
      <c r="G1948" t="s">
        <v>100</v>
      </c>
      <c r="H1948">
        <v>1</v>
      </c>
      <c r="I1948">
        <v>1</v>
      </c>
      <c r="J1948" s="27">
        <v>28196.43</v>
      </c>
      <c r="K1948" s="27">
        <v>2000000</v>
      </c>
    </row>
    <row r="1949" spans="1:11" ht="15" customHeight="1" x14ac:dyDescent="0.2">
      <c r="A1949" t="s">
        <v>10290</v>
      </c>
      <c r="B1949" t="s">
        <v>10291</v>
      </c>
      <c r="C1949">
        <v>2024</v>
      </c>
      <c r="D1949" s="18">
        <v>45490</v>
      </c>
      <c r="E1949" s="18">
        <v>45854</v>
      </c>
      <c r="F1949" s="18" t="s">
        <v>611</v>
      </c>
      <c r="G1949" t="s">
        <v>101</v>
      </c>
      <c r="H1949">
        <v>3</v>
      </c>
      <c r="I1949">
        <v>6</v>
      </c>
      <c r="J1949" s="27">
        <v>81294.89</v>
      </c>
      <c r="K1949" s="27">
        <v>5000000</v>
      </c>
    </row>
    <row r="1950" spans="1:11" ht="15" customHeight="1" x14ac:dyDescent="0.2">
      <c r="A1950" t="s">
        <v>10292</v>
      </c>
      <c r="B1950" t="s">
        <v>10293</v>
      </c>
      <c r="C1950">
        <v>2024</v>
      </c>
      <c r="D1950" s="18">
        <v>45491</v>
      </c>
      <c r="E1950" s="18">
        <v>45855</v>
      </c>
      <c r="F1950" s="18" t="s">
        <v>608</v>
      </c>
      <c r="G1950" t="s">
        <v>102</v>
      </c>
      <c r="H1950">
        <v>2</v>
      </c>
      <c r="I1950">
        <v>2</v>
      </c>
      <c r="J1950" s="27">
        <v>27429.62</v>
      </c>
      <c r="K1950" s="27">
        <v>3500000</v>
      </c>
    </row>
    <row r="1951" spans="1:11" ht="15" customHeight="1" x14ac:dyDescent="0.2">
      <c r="A1951" t="s">
        <v>10294</v>
      </c>
      <c r="B1951" t="s">
        <v>10295</v>
      </c>
      <c r="C1951">
        <v>2024</v>
      </c>
      <c r="D1951" s="18">
        <v>45491</v>
      </c>
      <c r="E1951" s="18">
        <v>45855</v>
      </c>
      <c r="F1951" s="18" t="s">
        <v>611</v>
      </c>
      <c r="G1951" t="s">
        <v>101</v>
      </c>
      <c r="H1951">
        <v>2</v>
      </c>
      <c r="I1951">
        <v>4</v>
      </c>
      <c r="J1951" s="27">
        <v>53785.29</v>
      </c>
      <c r="K1951" s="27">
        <v>3000000</v>
      </c>
    </row>
    <row r="1952" spans="1:11" ht="15" customHeight="1" x14ac:dyDescent="0.2">
      <c r="A1952" t="s">
        <v>10296</v>
      </c>
      <c r="B1952" t="s">
        <v>10297</v>
      </c>
      <c r="C1952">
        <v>2024</v>
      </c>
      <c r="D1952" s="18">
        <v>45491</v>
      </c>
      <c r="E1952" s="18">
        <v>45855</v>
      </c>
      <c r="F1952" s="18" t="s">
        <v>611</v>
      </c>
      <c r="G1952" t="s">
        <v>100</v>
      </c>
      <c r="H1952">
        <v>3</v>
      </c>
      <c r="I1952">
        <v>3</v>
      </c>
      <c r="J1952" s="27">
        <v>26537.75</v>
      </c>
      <c r="K1952" s="27">
        <v>2000000</v>
      </c>
    </row>
    <row r="1953" spans="1:11" ht="15" customHeight="1" x14ac:dyDescent="0.2">
      <c r="A1953" t="s">
        <v>10298</v>
      </c>
      <c r="B1953" t="s">
        <v>10299</v>
      </c>
      <c r="C1953">
        <v>2024</v>
      </c>
      <c r="D1953" s="18">
        <v>45491</v>
      </c>
      <c r="E1953" s="18">
        <v>45855</v>
      </c>
      <c r="F1953" s="18" t="s">
        <v>611</v>
      </c>
      <c r="G1953" t="s">
        <v>102</v>
      </c>
      <c r="H1953">
        <v>1</v>
      </c>
      <c r="I1953">
        <v>1</v>
      </c>
      <c r="J1953" s="27">
        <v>41724.339999999997</v>
      </c>
      <c r="K1953" s="27">
        <v>4500000</v>
      </c>
    </row>
    <row r="1954" spans="1:11" ht="15" customHeight="1" x14ac:dyDescent="0.2">
      <c r="A1954" t="s">
        <v>10300</v>
      </c>
      <c r="B1954" t="s">
        <v>10301</v>
      </c>
      <c r="C1954">
        <v>2024</v>
      </c>
      <c r="D1954" s="18">
        <v>45491</v>
      </c>
      <c r="E1954" s="18">
        <v>45855</v>
      </c>
      <c r="F1954" s="18" t="s">
        <v>611</v>
      </c>
      <c r="G1954" t="s">
        <v>100</v>
      </c>
      <c r="H1954">
        <v>2</v>
      </c>
      <c r="I1954">
        <v>2</v>
      </c>
      <c r="J1954" s="27">
        <v>40394.67</v>
      </c>
      <c r="K1954" s="27">
        <v>3000000</v>
      </c>
    </row>
    <row r="1955" spans="1:11" ht="15" customHeight="1" x14ac:dyDescent="0.2">
      <c r="A1955" t="s">
        <v>10302</v>
      </c>
      <c r="B1955" t="s">
        <v>10303</v>
      </c>
      <c r="C1955">
        <v>2024</v>
      </c>
      <c r="D1955" s="18">
        <v>45491</v>
      </c>
      <c r="E1955" s="18">
        <v>45855</v>
      </c>
      <c r="F1955" s="18" t="s">
        <v>611</v>
      </c>
      <c r="G1955" t="s">
        <v>102</v>
      </c>
      <c r="H1955">
        <v>1</v>
      </c>
      <c r="I1955">
        <v>2</v>
      </c>
      <c r="J1955" s="27">
        <v>33059.1</v>
      </c>
      <c r="K1955" s="27">
        <v>3500000</v>
      </c>
    </row>
    <row r="1956" spans="1:11" ht="15" customHeight="1" x14ac:dyDescent="0.2">
      <c r="A1956" t="s">
        <v>10304</v>
      </c>
      <c r="B1956" t="s">
        <v>10305</v>
      </c>
      <c r="C1956">
        <v>2024</v>
      </c>
      <c r="D1956" s="18">
        <v>45492</v>
      </c>
      <c r="E1956" s="18">
        <v>45856</v>
      </c>
      <c r="F1956" s="18" t="s">
        <v>608</v>
      </c>
      <c r="G1956" t="s">
        <v>100</v>
      </c>
      <c r="H1956">
        <v>1</v>
      </c>
      <c r="I1956">
        <v>1</v>
      </c>
      <c r="J1956" s="27">
        <v>12307.84</v>
      </c>
      <c r="K1956" s="27">
        <v>1000000</v>
      </c>
    </row>
    <row r="1957" spans="1:11" ht="15" customHeight="1" x14ac:dyDescent="0.2">
      <c r="A1957" t="s">
        <v>10306</v>
      </c>
      <c r="B1957" t="s">
        <v>10307</v>
      </c>
      <c r="C1957">
        <v>2024</v>
      </c>
      <c r="D1957" s="18">
        <v>45492</v>
      </c>
      <c r="E1957" s="18">
        <v>45856</v>
      </c>
      <c r="F1957" s="18" t="s">
        <v>611</v>
      </c>
      <c r="G1957" t="s">
        <v>100</v>
      </c>
      <c r="H1957">
        <v>3</v>
      </c>
      <c r="I1957">
        <v>6</v>
      </c>
      <c r="J1957" s="27">
        <v>41493.99</v>
      </c>
      <c r="K1957" s="27">
        <v>3500000</v>
      </c>
    </row>
    <row r="1958" spans="1:11" ht="15" customHeight="1" x14ac:dyDescent="0.2">
      <c r="A1958" t="s">
        <v>10308</v>
      </c>
      <c r="B1958" t="s">
        <v>10309</v>
      </c>
      <c r="C1958">
        <v>2024</v>
      </c>
      <c r="D1958" s="18">
        <v>45492</v>
      </c>
      <c r="E1958" s="18">
        <v>45856</v>
      </c>
      <c r="F1958" s="18" t="s">
        <v>611</v>
      </c>
      <c r="G1958" t="s">
        <v>100</v>
      </c>
      <c r="H1958">
        <v>1</v>
      </c>
      <c r="I1958">
        <v>2</v>
      </c>
      <c r="J1958" s="27">
        <v>29652.77</v>
      </c>
      <c r="K1958" s="27">
        <v>2500000</v>
      </c>
    </row>
    <row r="1959" spans="1:11" ht="15" customHeight="1" x14ac:dyDescent="0.2">
      <c r="A1959" t="s">
        <v>10310</v>
      </c>
      <c r="B1959" t="s">
        <v>10311</v>
      </c>
      <c r="C1959">
        <v>2024</v>
      </c>
      <c r="D1959" s="18">
        <v>45492</v>
      </c>
      <c r="E1959" s="18">
        <v>45856</v>
      </c>
      <c r="F1959" s="18" t="s">
        <v>611</v>
      </c>
      <c r="G1959" t="s">
        <v>101</v>
      </c>
      <c r="H1959">
        <v>1</v>
      </c>
      <c r="I1959">
        <v>1</v>
      </c>
      <c r="J1959" s="27">
        <v>9096.4599999999991</v>
      </c>
      <c r="K1959" s="27">
        <v>500000</v>
      </c>
    </row>
    <row r="1960" spans="1:11" ht="15" customHeight="1" x14ac:dyDescent="0.2">
      <c r="A1960" t="s">
        <v>10312</v>
      </c>
      <c r="B1960" t="s">
        <v>10313</v>
      </c>
      <c r="C1960">
        <v>2024</v>
      </c>
      <c r="D1960" s="18">
        <v>45492</v>
      </c>
      <c r="E1960" s="18">
        <v>45856</v>
      </c>
      <c r="F1960" s="18" t="s">
        <v>611</v>
      </c>
      <c r="G1960" t="s">
        <v>100</v>
      </c>
      <c r="H1960">
        <v>1</v>
      </c>
      <c r="I1960">
        <v>1</v>
      </c>
      <c r="J1960" s="27">
        <v>18149.38</v>
      </c>
      <c r="K1960" s="27">
        <v>1500000</v>
      </c>
    </row>
    <row r="1961" spans="1:11" ht="15" customHeight="1" x14ac:dyDescent="0.2">
      <c r="A1961" t="s">
        <v>10314</v>
      </c>
      <c r="B1961" t="s">
        <v>10315</v>
      </c>
      <c r="C1961">
        <v>2024</v>
      </c>
      <c r="D1961" s="18">
        <v>45492</v>
      </c>
      <c r="E1961" s="18">
        <v>45856</v>
      </c>
      <c r="F1961" s="18" t="s">
        <v>611</v>
      </c>
      <c r="G1961" t="s">
        <v>100</v>
      </c>
      <c r="H1961">
        <v>1</v>
      </c>
      <c r="I1961">
        <v>1</v>
      </c>
      <c r="J1961" s="27">
        <v>24995.37</v>
      </c>
      <c r="K1961" s="27">
        <v>2000000</v>
      </c>
    </row>
    <row r="1962" spans="1:11" ht="15" customHeight="1" x14ac:dyDescent="0.2">
      <c r="A1962" t="s">
        <v>10316</v>
      </c>
      <c r="B1962" t="s">
        <v>10317</v>
      </c>
      <c r="C1962">
        <v>2024</v>
      </c>
      <c r="D1962" s="18">
        <v>45492</v>
      </c>
      <c r="E1962" s="18">
        <v>45856</v>
      </c>
      <c r="F1962" s="18" t="s">
        <v>611</v>
      </c>
      <c r="G1962" t="s">
        <v>102</v>
      </c>
      <c r="H1962">
        <v>1</v>
      </c>
      <c r="I1962">
        <v>1</v>
      </c>
      <c r="J1962" s="27">
        <v>34122.050000000003</v>
      </c>
      <c r="K1962" s="27">
        <v>4000000</v>
      </c>
    </row>
    <row r="1963" spans="1:11" ht="15" customHeight="1" x14ac:dyDescent="0.2">
      <c r="A1963" t="s">
        <v>10318</v>
      </c>
      <c r="B1963" t="s">
        <v>10319</v>
      </c>
      <c r="C1963">
        <v>2024</v>
      </c>
      <c r="D1963" s="18">
        <v>45492</v>
      </c>
      <c r="E1963" s="18">
        <v>45856</v>
      </c>
      <c r="F1963" s="18" t="s">
        <v>611</v>
      </c>
      <c r="G1963" t="s">
        <v>99</v>
      </c>
      <c r="H1963">
        <v>3</v>
      </c>
      <c r="I1963">
        <v>3</v>
      </c>
      <c r="J1963" s="27">
        <v>13162.46</v>
      </c>
      <c r="K1963" s="27">
        <v>1500000</v>
      </c>
    </row>
    <row r="1964" spans="1:11" ht="15" customHeight="1" x14ac:dyDescent="0.2">
      <c r="A1964" t="s">
        <v>10320</v>
      </c>
      <c r="B1964" t="s">
        <v>10321</v>
      </c>
      <c r="C1964">
        <v>2024</v>
      </c>
      <c r="D1964" s="18">
        <v>45492</v>
      </c>
      <c r="E1964" s="18">
        <v>45856</v>
      </c>
      <c r="F1964" s="18" t="s">
        <v>611</v>
      </c>
      <c r="G1964" t="s">
        <v>101</v>
      </c>
      <c r="H1964">
        <v>2</v>
      </c>
      <c r="I1964">
        <v>2</v>
      </c>
      <c r="J1964" s="27">
        <v>163591.56</v>
      </c>
      <c r="K1964" s="27">
        <v>10000000</v>
      </c>
    </row>
    <row r="1965" spans="1:11" ht="15" customHeight="1" x14ac:dyDescent="0.2">
      <c r="A1965" t="s">
        <v>10322</v>
      </c>
      <c r="B1965" t="s">
        <v>10323</v>
      </c>
      <c r="C1965">
        <v>2024</v>
      </c>
      <c r="D1965" s="18">
        <v>45492</v>
      </c>
      <c r="E1965" s="18">
        <v>45856</v>
      </c>
      <c r="F1965" s="18" t="s">
        <v>611</v>
      </c>
      <c r="G1965" t="s">
        <v>102</v>
      </c>
      <c r="H1965">
        <v>2</v>
      </c>
      <c r="I1965">
        <v>2</v>
      </c>
      <c r="J1965" s="27">
        <v>33829.81</v>
      </c>
      <c r="K1965" s="27">
        <v>4000000</v>
      </c>
    </row>
    <row r="1966" spans="1:11" ht="15" customHeight="1" x14ac:dyDescent="0.2">
      <c r="A1966" t="s">
        <v>10324</v>
      </c>
      <c r="B1966" t="s">
        <v>10325</v>
      </c>
      <c r="C1966">
        <v>2024</v>
      </c>
      <c r="D1966" s="18">
        <v>45492</v>
      </c>
      <c r="E1966" s="18">
        <v>45856</v>
      </c>
      <c r="F1966" s="18" t="s">
        <v>611</v>
      </c>
      <c r="G1966" t="s">
        <v>101</v>
      </c>
      <c r="H1966">
        <v>1</v>
      </c>
      <c r="I1966">
        <v>1</v>
      </c>
      <c r="J1966" s="27">
        <v>26305.08</v>
      </c>
      <c r="K1966" s="27">
        <v>1500000</v>
      </c>
    </row>
    <row r="1967" spans="1:11" ht="15" customHeight="1" x14ac:dyDescent="0.2">
      <c r="A1967" t="s">
        <v>10326</v>
      </c>
      <c r="B1967" t="s">
        <v>10327</v>
      </c>
      <c r="C1967">
        <v>2024</v>
      </c>
      <c r="D1967" s="18">
        <v>45493</v>
      </c>
      <c r="E1967" s="18">
        <v>45857</v>
      </c>
      <c r="F1967" s="18" t="s">
        <v>608</v>
      </c>
      <c r="G1967" t="s">
        <v>100</v>
      </c>
      <c r="H1967">
        <v>1</v>
      </c>
      <c r="I1967">
        <v>2</v>
      </c>
      <c r="J1967" s="27">
        <v>46365.57</v>
      </c>
      <c r="K1967" s="27">
        <v>3500000</v>
      </c>
    </row>
    <row r="1968" spans="1:11" ht="15" customHeight="1" x14ac:dyDescent="0.2">
      <c r="A1968" t="s">
        <v>10328</v>
      </c>
      <c r="B1968" t="s">
        <v>10329</v>
      </c>
      <c r="C1968">
        <v>2024</v>
      </c>
      <c r="D1968" s="18">
        <v>45493</v>
      </c>
      <c r="E1968" s="18">
        <v>45857</v>
      </c>
      <c r="F1968" s="18" t="s">
        <v>608</v>
      </c>
      <c r="G1968" t="s">
        <v>101</v>
      </c>
      <c r="H1968">
        <v>3</v>
      </c>
      <c r="I1968">
        <v>3</v>
      </c>
      <c r="J1968" s="27">
        <v>40314.120000000003</v>
      </c>
      <c r="K1968" s="27">
        <v>2500000</v>
      </c>
    </row>
    <row r="1969" spans="1:11" ht="15" customHeight="1" x14ac:dyDescent="0.2">
      <c r="A1969" t="s">
        <v>10330</v>
      </c>
      <c r="B1969" t="s">
        <v>10331</v>
      </c>
      <c r="C1969">
        <v>2024</v>
      </c>
      <c r="D1969" s="18">
        <v>45493</v>
      </c>
      <c r="E1969" s="18">
        <v>45857</v>
      </c>
      <c r="F1969" s="18" t="s">
        <v>611</v>
      </c>
      <c r="G1969" t="s">
        <v>102</v>
      </c>
      <c r="H1969">
        <v>1</v>
      </c>
      <c r="I1969">
        <v>1</v>
      </c>
      <c r="J1969" s="27">
        <v>24122.86</v>
      </c>
      <c r="K1969" s="27">
        <v>3000000</v>
      </c>
    </row>
    <row r="1970" spans="1:11" ht="15" customHeight="1" x14ac:dyDescent="0.2">
      <c r="A1970" t="s">
        <v>10332</v>
      </c>
      <c r="B1970" t="s">
        <v>10333</v>
      </c>
      <c r="C1970">
        <v>2024</v>
      </c>
      <c r="D1970" s="18">
        <v>45493</v>
      </c>
      <c r="E1970" s="18">
        <v>45857</v>
      </c>
      <c r="F1970" s="18" t="s">
        <v>611</v>
      </c>
      <c r="G1970" t="s">
        <v>99</v>
      </c>
      <c r="H1970">
        <v>3</v>
      </c>
      <c r="I1970">
        <v>3</v>
      </c>
      <c r="J1970" s="27">
        <v>22252.62</v>
      </c>
      <c r="K1970" s="27">
        <v>3000000</v>
      </c>
    </row>
    <row r="1971" spans="1:11" ht="15" customHeight="1" x14ac:dyDescent="0.2">
      <c r="A1971" t="s">
        <v>10334</v>
      </c>
      <c r="B1971" t="s">
        <v>10335</v>
      </c>
      <c r="C1971">
        <v>2024</v>
      </c>
      <c r="D1971" s="18">
        <v>45493</v>
      </c>
      <c r="E1971" s="18">
        <v>45857</v>
      </c>
      <c r="F1971" s="18" t="s">
        <v>611</v>
      </c>
      <c r="G1971" t="s">
        <v>99</v>
      </c>
      <c r="H1971">
        <v>1</v>
      </c>
      <c r="I1971">
        <v>2</v>
      </c>
      <c r="J1971" s="27">
        <v>11627.49</v>
      </c>
      <c r="K1971" s="27">
        <v>1500000</v>
      </c>
    </row>
    <row r="1972" spans="1:11" ht="15" customHeight="1" x14ac:dyDescent="0.2">
      <c r="A1972" t="s">
        <v>10336</v>
      </c>
      <c r="B1972" t="s">
        <v>10337</v>
      </c>
      <c r="C1972">
        <v>2024</v>
      </c>
      <c r="D1972" s="18">
        <v>45493</v>
      </c>
      <c r="E1972" s="18">
        <v>45857</v>
      </c>
      <c r="F1972" s="18" t="s">
        <v>611</v>
      </c>
      <c r="G1972" t="s">
        <v>99</v>
      </c>
      <c r="H1972">
        <v>1</v>
      </c>
      <c r="I1972">
        <v>2</v>
      </c>
      <c r="J1972" s="27">
        <v>16070.72</v>
      </c>
      <c r="K1972" s="27">
        <v>2000000</v>
      </c>
    </row>
    <row r="1973" spans="1:11" ht="15" customHeight="1" x14ac:dyDescent="0.2">
      <c r="A1973" t="s">
        <v>10338</v>
      </c>
      <c r="B1973" t="s">
        <v>10339</v>
      </c>
      <c r="C1973">
        <v>2024</v>
      </c>
      <c r="D1973" s="18">
        <v>45493</v>
      </c>
      <c r="E1973" s="18">
        <v>45857</v>
      </c>
      <c r="F1973" s="18" t="s">
        <v>611</v>
      </c>
      <c r="G1973" t="s">
        <v>99</v>
      </c>
      <c r="H1973">
        <v>3</v>
      </c>
      <c r="I1973">
        <v>3</v>
      </c>
      <c r="J1973" s="27">
        <v>30894.89</v>
      </c>
      <c r="K1973" s="27">
        <v>3500000</v>
      </c>
    </row>
    <row r="1974" spans="1:11" ht="15" customHeight="1" x14ac:dyDescent="0.2">
      <c r="A1974" t="s">
        <v>10340</v>
      </c>
      <c r="B1974" t="s">
        <v>10341</v>
      </c>
      <c r="C1974">
        <v>2024</v>
      </c>
      <c r="D1974" s="18">
        <v>45494</v>
      </c>
      <c r="E1974" s="18">
        <v>45858</v>
      </c>
      <c r="F1974" s="18" t="s">
        <v>608</v>
      </c>
      <c r="G1974" t="s">
        <v>101</v>
      </c>
      <c r="H1974">
        <v>1</v>
      </c>
      <c r="I1974">
        <v>2</v>
      </c>
      <c r="J1974" s="27">
        <v>190471.97</v>
      </c>
      <c r="K1974" s="27">
        <v>10000000</v>
      </c>
    </row>
    <row r="1975" spans="1:11" ht="15" customHeight="1" x14ac:dyDescent="0.2">
      <c r="A1975" t="s">
        <v>10342</v>
      </c>
      <c r="B1975" t="s">
        <v>10343</v>
      </c>
      <c r="C1975">
        <v>2024</v>
      </c>
      <c r="D1975" s="18">
        <v>45494</v>
      </c>
      <c r="E1975" s="18">
        <v>45858</v>
      </c>
      <c r="F1975" s="18" t="s">
        <v>611</v>
      </c>
      <c r="G1975" t="s">
        <v>101</v>
      </c>
      <c r="H1975">
        <v>2</v>
      </c>
      <c r="I1975">
        <v>4</v>
      </c>
      <c r="J1975" s="27">
        <v>17526.32</v>
      </c>
      <c r="K1975" s="27">
        <v>1000000</v>
      </c>
    </row>
    <row r="1976" spans="1:11" ht="15" customHeight="1" x14ac:dyDescent="0.2">
      <c r="A1976" t="s">
        <v>10344</v>
      </c>
      <c r="B1976" t="s">
        <v>10345</v>
      </c>
      <c r="C1976">
        <v>2024</v>
      </c>
      <c r="D1976" s="18">
        <v>45494</v>
      </c>
      <c r="E1976" s="18">
        <v>45858</v>
      </c>
      <c r="F1976" s="18" t="s">
        <v>611</v>
      </c>
      <c r="G1976" t="s">
        <v>101</v>
      </c>
      <c r="H1976">
        <v>3</v>
      </c>
      <c r="I1976">
        <v>3</v>
      </c>
      <c r="J1976" s="27">
        <v>78282.679999999993</v>
      </c>
      <c r="K1976" s="27">
        <v>4500000</v>
      </c>
    </row>
    <row r="1977" spans="1:11" ht="15" customHeight="1" x14ac:dyDescent="0.2">
      <c r="A1977" t="s">
        <v>10346</v>
      </c>
      <c r="B1977" t="s">
        <v>10347</v>
      </c>
      <c r="C1977">
        <v>2024</v>
      </c>
      <c r="D1977" s="18">
        <v>45494</v>
      </c>
      <c r="E1977" s="18">
        <v>45858</v>
      </c>
      <c r="F1977" s="18" t="s">
        <v>611</v>
      </c>
      <c r="G1977" t="s">
        <v>99</v>
      </c>
      <c r="H1977">
        <v>2</v>
      </c>
      <c r="I1977">
        <v>2</v>
      </c>
      <c r="J1977" s="27">
        <v>22879.88</v>
      </c>
      <c r="K1977" s="27">
        <v>3000000</v>
      </c>
    </row>
    <row r="1978" spans="1:11" ht="15" customHeight="1" x14ac:dyDescent="0.2">
      <c r="A1978" t="s">
        <v>10348</v>
      </c>
      <c r="B1978" t="s">
        <v>10349</v>
      </c>
      <c r="C1978">
        <v>2024</v>
      </c>
      <c r="D1978" s="18">
        <v>45495</v>
      </c>
      <c r="E1978" s="18">
        <v>45859</v>
      </c>
      <c r="F1978" s="18" t="s">
        <v>608</v>
      </c>
      <c r="G1978" t="s">
        <v>100</v>
      </c>
      <c r="H1978">
        <v>2</v>
      </c>
      <c r="I1978">
        <v>4</v>
      </c>
      <c r="J1978" s="27">
        <v>25597.75</v>
      </c>
      <c r="K1978" s="27">
        <v>2000000</v>
      </c>
    </row>
    <row r="1979" spans="1:11" ht="15" customHeight="1" x14ac:dyDescent="0.2">
      <c r="A1979" t="s">
        <v>10350</v>
      </c>
      <c r="B1979" t="s">
        <v>10351</v>
      </c>
      <c r="C1979">
        <v>2024</v>
      </c>
      <c r="D1979" s="18">
        <v>45495</v>
      </c>
      <c r="E1979" s="18">
        <v>45859</v>
      </c>
      <c r="F1979" s="18" t="s">
        <v>608</v>
      </c>
      <c r="G1979" t="s">
        <v>101</v>
      </c>
      <c r="H1979">
        <v>1</v>
      </c>
      <c r="I1979">
        <v>1</v>
      </c>
      <c r="J1979" s="27">
        <v>18560.93</v>
      </c>
      <c r="K1979" s="27">
        <v>1000000</v>
      </c>
    </row>
    <row r="1980" spans="1:11" ht="15" customHeight="1" x14ac:dyDescent="0.2">
      <c r="A1980" t="s">
        <v>10352</v>
      </c>
      <c r="B1980" t="s">
        <v>10353</v>
      </c>
      <c r="C1980">
        <v>2024</v>
      </c>
      <c r="D1980" s="18">
        <v>45495</v>
      </c>
      <c r="E1980" s="18">
        <v>45859</v>
      </c>
      <c r="F1980" s="18" t="s">
        <v>608</v>
      </c>
      <c r="G1980" t="s">
        <v>100</v>
      </c>
      <c r="H1980">
        <v>3</v>
      </c>
      <c r="I1980">
        <v>3</v>
      </c>
      <c r="J1980" s="27">
        <v>29920.77</v>
      </c>
      <c r="K1980" s="27">
        <v>2500000</v>
      </c>
    </row>
    <row r="1981" spans="1:11" ht="15" customHeight="1" x14ac:dyDescent="0.2">
      <c r="A1981" t="s">
        <v>10354</v>
      </c>
      <c r="B1981" t="s">
        <v>10355</v>
      </c>
      <c r="C1981">
        <v>2024</v>
      </c>
      <c r="D1981" s="18">
        <v>45495</v>
      </c>
      <c r="E1981" s="18">
        <v>45859</v>
      </c>
      <c r="F1981" s="18" t="s">
        <v>611</v>
      </c>
      <c r="G1981" t="s">
        <v>101</v>
      </c>
      <c r="H1981">
        <v>3</v>
      </c>
      <c r="I1981">
        <v>6</v>
      </c>
      <c r="J1981" s="27">
        <v>63138.48</v>
      </c>
      <c r="K1981" s="27">
        <v>4000000</v>
      </c>
    </row>
    <row r="1982" spans="1:11" ht="15" customHeight="1" x14ac:dyDescent="0.2">
      <c r="A1982" t="s">
        <v>10356</v>
      </c>
      <c r="B1982" t="s">
        <v>10357</v>
      </c>
      <c r="C1982">
        <v>2024</v>
      </c>
      <c r="D1982" s="18">
        <v>45495</v>
      </c>
      <c r="E1982" s="18">
        <v>45859</v>
      </c>
      <c r="F1982" s="18" t="s">
        <v>611</v>
      </c>
      <c r="G1982" t="s">
        <v>99</v>
      </c>
      <c r="H1982">
        <v>1</v>
      </c>
      <c r="I1982">
        <v>1</v>
      </c>
      <c r="J1982" s="27">
        <v>31852.26</v>
      </c>
      <c r="K1982" s="27">
        <v>4000000</v>
      </c>
    </row>
    <row r="1983" spans="1:11" ht="15" customHeight="1" x14ac:dyDescent="0.2">
      <c r="A1983" t="s">
        <v>10358</v>
      </c>
      <c r="B1983" t="s">
        <v>10359</v>
      </c>
      <c r="C1983">
        <v>2024</v>
      </c>
      <c r="D1983" s="18">
        <v>45495</v>
      </c>
      <c r="E1983" s="18">
        <v>45859</v>
      </c>
      <c r="F1983" s="18" t="s">
        <v>611</v>
      </c>
      <c r="G1983" t="s">
        <v>99</v>
      </c>
      <c r="H1983">
        <v>1</v>
      </c>
      <c r="I1983">
        <v>1</v>
      </c>
      <c r="J1983" s="27">
        <v>15621.8</v>
      </c>
      <c r="K1983" s="27">
        <v>2000000</v>
      </c>
    </row>
    <row r="1984" spans="1:11" ht="15" customHeight="1" x14ac:dyDescent="0.2">
      <c r="A1984" t="s">
        <v>10360</v>
      </c>
      <c r="B1984" t="s">
        <v>10361</v>
      </c>
      <c r="C1984">
        <v>2024</v>
      </c>
      <c r="D1984" s="18">
        <v>45495</v>
      </c>
      <c r="E1984" s="18">
        <v>45859</v>
      </c>
      <c r="F1984" s="18" t="s">
        <v>611</v>
      </c>
      <c r="G1984" t="s">
        <v>99</v>
      </c>
      <c r="H1984">
        <v>2</v>
      </c>
      <c r="I1984">
        <v>2</v>
      </c>
      <c r="J1984" s="27">
        <v>17464.14</v>
      </c>
      <c r="K1984" s="27">
        <v>2000000</v>
      </c>
    </row>
    <row r="1985" spans="1:11" ht="15" customHeight="1" x14ac:dyDescent="0.2">
      <c r="A1985" t="s">
        <v>10362</v>
      </c>
      <c r="B1985" t="s">
        <v>10363</v>
      </c>
      <c r="C1985">
        <v>2024</v>
      </c>
      <c r="D1985" s="18">
        <v>45495</v>
      </c>
      <c r="E1985" s="18">
        <v>45859</v>
      </c>
      <c r="F1985" s="18" t="s">
        <v>611</v>
      </c>
      <c r="G1985" t="s">
        <v>99</v>
      </c>
      <c r="H1985">
        <v>1</v>
      </c>
      <c r="I1985">
        <v>1</v>
      </c>
      <c r="J1985" s="27">
        <v>42404.08</v>
      </c>
      <c r="K1985" s="27">
        <v>5000000</v>
      </c>
    </row>
    <row r="1986" spans="1:11" ht="15" customHeight="1" x14ac:dyDescent="0.2">
      <c r="A1986" t="s">
        <v>10364</v>
      </c>
      <c r="B1986" t="s">
        <v>10365</v>
      </c>
      <c r="C1986">
        <v>2024</v>
      </c>
      <c r="D1986" s="18">
        <v>45496</v>
      </c>
      <c r="E1986" s="18">
        <v>45860</v>
      </c>
      <c r="F1986" s="18" t="s">
        <v>608</v>
      </c>
      <c r="G1986" t="s">
        <v>101</v>
      </c>
      <c r="H1986">
        <v>1</v>
      </c>
      <c r="I1986">
        <v>2</v>
      </c>
      <c r="J1986" s="27">
        <v>34632.410000000003</v>
      </c>
      <c r="K1986" s="27">
        <v>2000000</v>
      </c>
    </row>
    <row r="1987" spans="1:11" ht="15" customHeight="1" x14ac:dyDescent="0.2">
      <c r="A1987" t="s">
        <v>10366</v>
      </c>
      <c r="B1987" t="s">
        <v>10367</v>
      </c>
      <c r="C1987">
        <v>2024</v>
      </c>
      <c r="D1987" s="18">
        <v>45496</v>
      </c>
      <c r="E1987" s="18">
        <v>45860</v>
      </c>
      <c r="F1987" s="18" t="s">
        <v>608</v>
      </c>
      <c r="G1987" t="s">
        <v>99</v>
      </c>
      <c r="H1987">
        <v>1</v>
      </c>
      <c r="I1987">
        <v>1</v>
      </c>
      <c r="J1987" s="27">
        <v>30164.880000000001</v>
      </c>
      <c r="K1987" s="27">
        <v>3500000</v>
      </c>
    </row>
    <row r="1988" spans="1:11" ht="15" customHeight="1" x14ac:dyDescent="0.2">
      <c r="A1988" t="s">
        <v>10368</v>
      </c>
      <c r="B1988" t="s">
        <v>10369</v>
      </c>
      <c r="C1988">
        <v>2024</v>
      </c>
      <c r="D1988" s="18">
        <v>45496</v>
      </c>
      <c r="E1988" s="18">
        <v>45860</v>
      </c>
      <c r="F1988" s="18" t="s">
        <v>608</v>
      </c>
      <c r="G1988" t="s">
        <v>101</v>
      </c>
      <c r="H1988">
        <v>2</v>
      </c>
      <c r="I1988">
        <v>4</v>
      </c>
      <c r="J1988" s="27">
        <v>56336.92</v>
      </c>
      <c r="K1988" s="27">
        <v>3000000</v>
      </c>
    </row>
    <row r="1989" spans="1:11" ht="15" customHeight="1" x14ac:dyDescent="0.2">
      <c r="A1989" t="s">
        <v>10370</v>
      </c>
      <c r="B1989" t="s">
        <v>10371</v>
      </c>
      <c r="C1989">
        <v>2024</v>
      </c>
      <c r="D1989" s="18">
        <v>45496</v>
      </c>
      <c r="E1989" s="18">
        <v>45860</v>
      </c>
      <c r="F1989" s="18" t="s">
        <v>611</v>
      </c>
      <c r="G1989" t="s">
        <v>99</v>
      </c>
      <c r="H1989">
        <v>2</v>
      </c>
      <c r="I1989">
        <v>4</v>
      </c>
      <c r="J1989" s="27">
        <v>7536.92</v>
      </c>
      <c r="K1989" s="27">
        <v>1000000</v>
      </c>
    </row>
    <row r="1990" spans="1:11" ht="15" customHeight="1" x14ac:dyDescent="0.2">
      <c r="A1990" t="s">
        <v>10372</v>
      </c>
      <c r="B1990" t="s">
        <v>10373</v>
      </c>
      <c r="C1990">
        <v>2024</v>
      </c>
      <c r="D1990" s="18">
        <v>45496</v>
      </c>
      <c r="E1990" s="18">
        <v>45860</v>
      </c>
      <c r="F1990" s="18" t="s">
        <v>611</v>
      </c>
      <c r="G1990" t="s">
        <v>99</v>
      </c>
      <c r="H1990">
        <v>1</v>
      </c>
      <c r="I1990">
        <v>1</v>
      </c>
      <c r="J1990" s="27">
        <v>8048.88</v>
      </c>
      <c r="K1990" s="27">
        <v>1000000</v>
      </c>
    </row>
    <row r="1991" spans="1:11" ht="15" customHeight="1" x14ac:dyDescent="0.2">
      <c r="A1991" t="s">
        <v>10374</v>
      </c>
      <c r="B1991" t="s">
        <v>10375</v>
      </c>
      <c r="C1991">
        <v>2024</v>
      </c>
      <c r="D1991" s="18">
        <v>45496</v>
      </c>
      <c r="E1991" s="18">
        <v>45860</v>
      </c>
      <c r="F1991" s="18" t="s">
        <v>611</v>
      </c>
      <c r="G1991" t="s">
        <v>99</v>
      </c>
      <c r="H1991">
        <v>1</v>
      </c>
      <c r="I1991">
        <v>2</v>
      </c>
      <c r="J1991" s="27">
        <v>16208.05</v>
      </c>
      <c r="K1991" s="27">
        <v>2000000</v>
      </c>
    </row>
    <row r="1992" spans="1:11" ht="15" customHeight="1" x14ac:dyDescent="0.2">
      <c r="A1992" t="s">
        <v>10376</v>
      </c>
      <c r="B1992" t="s">
        <v>10377</v>
      </c>
      <c r="C1992">
        <v>2024</v>
      </c>
      <c r="D1992" s="18">
        <v>45496</v>
      </c>
      <c r="E1992" s="18">
        <v>45860</v>
      </c>
      <c r="F1992" s="18" t="s">
        <v>611</v>
      </c>
      <c r="G1992" t="s">
        <v>101</v>
      </c>
      <c r="H1992">
        <v>1</v>
      </c>
      <c r="I1992">
        <v>2</v>
      </c>
      <c r="J1992" s="27">
        <v>48394.2</v>
      </c>
      <c r="K1992" s="27">
        <v>3000000</v>
      </c>
    </row>
    <row r="1993" spans="1:11" ht="15" customHeight="1" x14ac:dyDescent="0.2">
      <c r="A1993" t="s">
        <v>10378</v>
      </c>
      <c r="B1993" t="s">
        <v>10379</v>
      </c>
      <c r="C1993">
        <v>2024</v>
      </c>
      <c r="D1993" s="18">
        <v>45497</v>
      </c>
      <c r="E1993" s="18">
        <v>45861</v>
      </c>
      <c r="F1993" s="18" t="s">
        <v>608</v>
      </c>
      <c r="G1993" t="s">
        <v>101</v>
      </c>
      <c r="H1993">
        <v>3</v>
      </c>
      <c r="I1993">
        <v>6</v>
      </c>
      <c r="J1993" s="27">
        <v>16951.810000000001</v>
      </c>
      <c r="K1993" s="27">
        <v>1000000</v>
      </c>
    </row>
    <row r="1994" spans="1:11" ht="15" customHeight="1" x14ac:dyDescent="0.2">
      <c r="A1994" t="s">
        <v>10380</v>
      </c>
      <c r="B1994" t="s">
        <v>10381</v>
      </c>
      <c r="C1994">
        <v>2024</v>
      </c>
      <c r="D1994" s="18">
        <v>45497</v>
      </c>
      <c r="E1994" s="18">
        <v>45861</v>
      </c>
      <c r="F1994" s="18" t="s">
        <v>608</v>
      </c>
      <c r="G1994" t="s">
        <v>101</v>
      </c>
      <c r="H1994">
        <v>2</v>
      </c>
      <c r="I1994">
        <v>2</v>
      </c>
      <c r="J1994" s="27">
        <v>26006.7</v>
      </c>
      <c r="K1994" s="27">
        <v>1500000</v>
      </c>
    </row>
    <row r="1995" spans="1:11" ht="15" customHeight="1" x14ac:dyDescent="0.2">
      <c r="A1995" t="s">
        <v>10382</v>
      </c>
      <c r="B1995" t="s">
        <v>10383</v>
      </c>
      <c r="C1995">
        <v>2024</v>
      </c>
      <c r="D1995" s="18">
        <v>45498</v>
      </c>
      <c r="E1995" s="18">
        <v>45862</v>
      </c>
      <c r="F1995" s="18" t="s">
        <v>608</v>
      </c>
      <c r="G1995" t="s">
        <v>101</v>
      </c>
      <c r="H1995">
        <v>3</v>
      </c>
      <c r="I1995">
        <v>3</v>
      </c>
      <c r="J1995" s="27">
        <v>9208.9500000000007</v>
      </c>
      <c r="K1995" s="27">
        <v>500000</v>
      </c>
    </row>
    <row r="1996" spans="1:11" ht="15" customHeight="1" x14ac:dyDescent="0.2">
      <c r="A1996" t="s">
        <v>10384</v>
      </c>
      <c r="B1996" t="s">
        <v>10385</v>
      </c>
      <c r="C1996">
        <v>2024</v>
      </c>
      <c r="D1996" s="18">
        <v>45498</v>
      </c>
      <c r="E1996" s="18">
        <v>45862</v>
      </c>
      <c r="F1996" s="18" t="s">
        <v>611</v>
      </c>
      <c r="G1996" t="s">
        <v>100</v>
      </c>
      <c r="H1996">
        <v>3</v>
      </c>
      <c r="I1996">
        <v>3</v>
      </c>
      <c r="J1996" s="27">
        <v>21172.31</v>
      </c>
      <c r="K1996" s="27">
        <v>1500000</v>
      </c>
    </row>
    <row r="1997" spans="1:11" ht="15" customHeight="1" x14ac:dyDescent="0.2">
      <c r="A1997" t="s">
        <v>10386</v>
      </c>
      <c r="B1997" t="s">
        <v>10387</v>
      </c>
      <c r="C1997">
        <v>2024</v>
      </c>
      <c r="D1997" s="18">
        <v>45498</v>
      </c>
      <c r="E1997" s="18">
        <v>45862</v>
      </c>
      <c r="F1997" s="18" t="s">
        <v>611</v>
      </c>
      <c r="G1997" t="s">
        <v>99</v>
      </c>
      <c r="H1997">
        <v>1</v>
      </c>
      <c r="I1997">
        <v>2</v>
      </c>
      <c r="J1997" s="27">
        <v>39674.370000000003</v>
      </c>
      <c r="K1997" s="27">
        <v>4500000</v>
      </c>
    </row>
    <row r="1998" spans="1:11" ht="15" customHeight="1" x14ac:dyDescent="0.2">
      <c r="A1998" t="s">
        <v>10388</v>
      </c>
      <c r="B1998" t="s">
        <v>10389</v>
      </c>
      <c r="C1998">
        <v>2024</v>
      </c>
      <c r="D1998" s="18">
        <v>45498</v>
      </c>
      <c r="E1998" s="18">
        <v>45862</v>
      </c>
      <c r="F1998" s="18" t="s">
        <v>611</v>
      </c>
      <c r="G1998" t="s">
        <v>101</v>
      </c>
      <c r="H1998">
        <v>3</v>
      </c>
      <c r="I1998">
        <v>3</v>
      </c>
      <c r="J1998" s="27">
        <v>161902.26999999999</v>
      </c>
      <c r="K1998" s="27">
        <v>10000000</v>
      </c>
    </row>
    <row r="1999" spans="1:11" ht="15" customHeight="1" x14ac:dyDescent="0.2">
      <c r="A1999" t="s">
        <v>10390</v>
      </c>
      <c r="B1999" t="s">
        <v>10391</v>
      </c>
      <c r="C1999">
        <v>2024</v>
      </c>
      <c r="D1999" s="18">
        <v>45498</v>
      </c>
      <c r="E1999" s="18">
        <v>45862</v>
      </c>
      <c r="F1999" s="18" t="s">
        <v>611</v>
      </c>
      <c r="G1999" t="s">
        <v>99</v>
      </c>
      <c r="H1999">
        <v>1</v>
      </c>
      <c r="I1999">
        <v>1</v>
      </c>
      <c r="J1999" s="27">
        <v>30445.49</v>
      </c>
      <c r="K1999" s="27">
        <v>3500000</v>
      </c>
    </row>
    <row r="2000" spans="1:11" ht="15" customHeight="1" x14ac:dyDescent="0.2">
      <c r="A2000" t="s">
        <v>10392</v>
      </c>
      <c r="B2000" t="s">
        <v>10393</v>
      </c>
      <c r="C2000">
        <v>2024</v>
      </c>
      <c r="D2000" s="18">
        <v>45498</v>
      </c>
      <c r="E2000" s="18">
        <v>45862</v>
      </c>
      <c r="F2000" s="18" t="s">
        <v>611</v>
      </c>
      <c r="G2000" t="s">
        <v>101</v>
      </c>
      <c r="H2000">
        <v>1</v>
      </c>
      <c r="I2000">
        <v>1</v>
      </c>
      <c r="J2000" s="27">
        <v>18846.72</v>
      </c>
      <c r="K2000" s="27">
        <v>1000000</v>
      </c>
    </row>
    <row r="2001" spans="1:11" ht="15" customHeight="1" x14ac:dyDescent="0.2">
      <c r="A2001" t="s">
        <v>10394</v>
      </c>
      <c r="B2001" t="s">
        <v>10395</v>
      </c>
      <c r="C2001">
        <v>2024</v>
      </c>
      <c r="D2001" s="18">
        <v>45498</v>
      </c>
      <c r="E2001" s="18">
        <v>45862</v>
      </c>
      <c r="F2001" s="18" t="s">
        <v>611</v>
      </c>
      <c r="G2001" t="s">
        <v>101</v>
      </c>
      <c r="H2001">
        <v>2</v>
      </c>
      <c r="I2001">
        <v>2</v>
      </c>
      <c r="J2001" s="27">
        <v>39661.300000000003</v>
      </c>
      <c r="K2001" s="27">
        <v>2500000</v>
      </c>
    </row>
    <row r="2002" spans="1:11" ht="15" customHeight="1" x14ac:dyDescent="0.2">
      <c r="A2002" t="s">
        <v>10396</v>
      </c>
      <c r="B2002" t="s">
        <v>10397</v>
      </c>
      <c r="C2002">
        <v>2024</v>
      </c>
      <c r="D2002" s="18">
        <v>45498</v>
      </c>
      <c r="E2002" s="18">
        <v>45862</v>
      </c>
      <c r="F2002" s="18" t="s">
        <v>611</v>
      </c>
      <c r="G2002" t="s">
        <v>100</v>
      </c>
      <c r="H2002">
        <v>2</v>
      </c>
      <c r="I2002">
        <v>4</v>
      </c>
      <c r="J2002" s="27">
        <v>65978.7</v>
      </c>
      <c r="K2002" s="27">
        <v>5000000</v>
      </c>
    </row>
    <row r="2003" spans="1:11" ht="15" customHeight="1" x14ac:dyDescent="0.2">
      <c r="A2003" t="s">
        <v>10398</v>
      </c>
      <c r="B2003" t="s">
        <v>10399</v>
      </c>
      <c r="C2003">
        <v>2024</v>
      </c>
      <c r="D2003" s="18">
        <v>45498</v>
      </c>
      <c r="E2003" s="18">
        <v>45862</v>
      </c>
      <c r="F2003" s="18" t="s">
        <v>611</v>
      </c>
      <c r="G2003" t="s">
        <v>99</v>
      </c>
      <c r="H2003">
        <v>2</v>
      </c>
      <c r="I2003">
        <v>2</v>
      </c>
      <c r="J2003" s="27">
        <v>27737.45</v>
      </c>
      <c r="K2003" s="27">
        <v>3500000</v>
      </c>
    </row>
    <row r="2004" spans="1:11" ht="15" customHeight="1" x14ac:dyDescent="0.2">
      <c r="A2004" t="s">
        <v>10400</v>
      </c>
      <c r="B2004" t="s">
        <v>10401</v>
      </c>
      <c r="C2004">
        <v>2024</v>
      </c>
      <c r="D2004" s="18">
        <v>45498</v>
      </c>
      <c r="E2004" s="18">
        <v>45862</v>
      </c>
      <c r="F2004" s="18" t="s">
        <v>611</v>
      </c>
      <c r="G2004" t="s">
        <v>101</v>
      </c>
      <c r="H2004">
        <v>2</v>
      </c>
      <c r="I2004">
        <v>2</v>
      </c>
      <c r="J2004" s="27">
        <v>68366.11</v>
      </c>
      <c r="K2004" s="27">
        <v>4000000</v>
      </c>
    </row>
    <row r="2005" spans="1:11" ht="15" customHeight="1" x14ac:dyDescent="0.2">
      <c r="A2005" t="s">
        <v>10402</v>
      </c>
      <c r="B2005" t="s">
        <v>10403</v>
      </c>
      <c r="C2005">
        <v>2024</v>
      </c>
      <c r="D2005" s="18">
        <v>45498</v>
      </c>
      <c r="E2005" s="18">
        <v>45862</v>
      </c>
      <c r="F2005" s="18" t="s">
        <v>611</v>
      </c>
      <c r="G2005" t="s">
        <v>100</v>
      </c>
      <c r="H2005">
        <v>2</v>
      </c>
      <c r="I2005">
        <v>2</v>
      </c>
      <c r="J2005" s="27">
        <v>35347.14</v>
      </c>
      <c r="K2005" s="27">
        <v>3000000</v>
      </c>
    </row>
    <row r="2006" spans="1:11" ht="15" customHeight="1" x14ac:dyDescent="0.2">
      <c r="A2006" t="s">
        <v>10404</v>
      </c>
      <c r="B2006" t="s">
        <v>10405</v>
      </c>
      <c r="C2006">
        <v>2024</v>
      </c>
      <c r="D2006" s="18">
        <v>45498</v>
      </c>
      <c r="E2006" s="18">
        <v>45862</v>
      </c>
      <c r="F2006" s="18" t="s">
        <v>611</v>
      </c>
      <c r="G2006" t="s">
        <v>99</v>
      </c>
      <c r="H2006">
        <v>1</v>
      </c>
      <c r="I2006">
        <v>2</v>
      </c>
      <c r="J2006" s="27">
        <v>35652.480000000003</v>
      </c>
      <c r="K2006" s="27">
        <v>4500000</v>
      </c>
    </row>
    <row r="2007" spans="1:11" ht="15" customHeight="1" x14ac:dyDescent="0.2">
      <c r="A2007" t="s">
        <v>10406</v>
      </c>
      <c r="B2007" t="s">
        <v>10407</v>
      </c>
      <c r="C2007">
        <v>2024</v>
      </c>
      <c r="D2007" s="18">
        <v>45498</v>
      </c>
      <c r="E2007" s="18">
        <v>45862</v>
      </c>
      <c r="F2007" s="18" t="s">
        <v>611</v>
      </c>
      <c r="G2007" t="s">
        <v>99</v>
      </c>
      <c r="H2007">
        <v>1</v>
      </c>
      <c r="I2007">
        <v>2</v>
      </c>
      <c r="J2007" s="27">
        <v>40090.339999999997</v>
      </c>
      <c r="K2007" s="27">
        <v>5000000</v>
      </c>
    </row>
    <row r="2008" spans="1:11" ht="15" customHeight="1" x14ac:dyDescent="0.2">
      <c r="A2008" t="s">
        <v>10408</v>
      </c>
      <c r="B2008" t="s">
        <v>10409</v>
      </c>
      <c r="C2008">
        <v>2024</v>
      </c>
      <c r="D2008" s="18">
        <v>45498</v>
      </c>
      <c r="E2008" s="18">
        <v>45862</v>
      </c>
      <c r="F2008" s="18" t="s">
        <v>611</v>
      </c>
      <c r="G2008" t="s">
        <v>99</v>
      </c>
      <c r="H2008">
        <v>1</v>
      </c>
      <c r="I2008">
        <v>1</v>
      </c>
      <c r="J2008" s="27">
        <v>8694.6</v>
      </c>
      <c r="K2008" s="27">
        <v>1000000</v>
      </c>
    </row>
    <row r="2009" spans="1:11" ht="15" customHeight="1" x14ac:dyDescent="0.2">
      <c r="A2009" t="s">
        <v>10410</v>
      </c>
      <c r="B2009" t="s">
        <v>10411</v>
      </c>
      <c r="C2009">
        <v>2024</v>
      </c>
      <c r="D2009" s="18">
        <v>45499</v>
      </c>
      <c r="E2009" s="18">
        <v>45863</v>
      </c>
      <c r="F2009" s="18" t="s">
        <v>611</v>
      </c>
      <c r="G2009" t="s">
        <v>99</v>
      </c>
      <c r="H2009">
        <v>2</v>
      </c>
      <c r="I2009">
        <v>2</v>
      </c>
      <c r="J2009" s="27">
        <v>7658.87</v>
      </c>
      <c r="K2009" s="27">
        <v>1000000</v>
      </c>
    </row>
    <row r="2010" spans="1:11" ht="15" customHeight="1" x14ac:dyDescent="0.2">
      <c r="A2010" t="s">
        <v>10412</v>
      </c>
      <c r="B2010" t="s">
        <v>10413</v>
      </c>
      <c r="C2010">
        <v>2024</v>
      </c>
      <c r="D2010" s="18">
        <v>45499</v>
      </c>
      <c r="E2010" s="18">
        <v>45863</v>
      </c>
      <c r="F2010" s="18" t="s">
        <v>611</v>
      </c>
      <c r="G2010" t="s">
        <v>101</v>
      </c>
      <c r="H2010">
        <v>1</v>
      </c>
      <c r="I2010">
        <v>1</v>
      </c>
      <c r="J2010" s="27">
        <v>186351.5</v>
      </c>
      <c r="K2010" s="27">
        <v>10000000</v>
      </c>
    </row>
    <row r="2011" spans="1:11" ht="15" customHeight="1" x14ac:dyDescent="0.2">
      <c r="A2011" t="s">
        <v>10414</v>
      </c>
      <c r="B2011" t="s">
        <v>10415</v>
      </c>
      <c r="C2011">
        <v>2024</v>
      </c>
      <c r="D2011" s="18">
        <v>45499</v>
      </c>
      <c r="E2011" s="18">
        <v>45863</v>
      </c>
      <c r="F2011" s="18" t="s">
        <v>611</v>
      </c>
      <c r="G2011" t="s">
        <v>99</v>
      </c>
      <c r="H2011">
        <v>1</v>
      </c>
      <c r="I2011">
        <v>1</v>
      </c>
      <c r="J2011" s="27">
        <v>80253.52</v>
      </c>
      <c r="K2011" s="27">
        <v>10000000</v>
      </c>
    </row>
    <row r="2012" spans="1:11" ht="15" customHeight="1" x14ac:dyDescent="0.2">
      <c r="A2012" t="s">
        <v>10416</v>
      </c>
      <c r="B2012" t="s">
        <v>10417</v>
      </c>
      <c r="C2012">
        <v>2024</v>
      </c>
      <c r="D2012" s="18">
        <v>45499</v>
      </c>
      <c r="E2012" s="18">
        <v>45863</v>
      </c>
      <c r="F2012" s="18" t="s">
        <v>611</v>
      </c>
      <c r="G2012" t="s">
        <v>99</v>
      </c>
      <c r="H2012">
        <v>1</v>
      </c>
      <c r="I2012">
        <v>2</v>
      </c>
      <c r="J2012" s="27">
        <v>7666.52</v>
      </c>
      <c r="K2012" s="27">
        <v>1000000</v>
      </c>
    </row>
    <row r="2013" spans="1:11" ht="15" customHeight="1" x14ac:dyDescent="0.2">
      <c r="A2013" t="s">
        <v>10418</v>
      </c>
      <c r="B2013" t="s">
        <v>10419</v>
      </c>
      <c r="C2013">
        <v>2024</v>
      </c>
      <c r="D2013" s="18">
        <v>45499</v>
      </c>
      <c r="E2013" s="18">
        <v>45863</v>
      </c>
      <c r="F2013" s="18" t="s">
        <v>611</v>
      </c>
      <c r="G2013" t="s">
        <v>102</v>
      </c>
      <c r="H2013">
        <v>1</v>
      </c>
      <c r="I2013">
        <v>2</v>
      </c>
      <c r="J2013" s="27">
        <v>43912.81</v>
      </c>
      <c r="K2013" s="27">
        <v>5000000</v>
      </c>
    </row>
    <row r="2014" spans="1:11" ht="15" customHeight="1" x14ac:dyDescent="0.2">
      <c r="A2014" t="s">
        <v>10420</v>
      </c>
      <c r="B2014" t="s">
        <v>10421</v>
      </c>
      <c r="C2014">
        <v>2024</v>
      </c>
      <c r="D2014" s="18">
        <v>45499</v>
      </c>
      <c r="E2014" s="18">
        <v>45863</v>
      </c>
      <c r="F2014" s="18" t="s">
        <v>611</v>
      </c>
      <c r="G2014" t="s">
        <v>102</v>
      </c>
      <c r="H2014">
        <v>1</v>
      </c>
      <c r="I2014">
        <v>1</v>
      </c>
      <c r="J2014" s="27">
        <v>21709.35</v>
      </c>
      <c r="K2014" s="27">
        <v>2500000</v>
      </c>
    </row>
    <row r="2015" spans="1:11" ht="15" customHeight="1" x14ac:dyDescent="0.2">
      <c r="A2015" t="s">
        <v>10422</v>
      </c>
      <c r="B2015" t="s">
        <v>10423</v>
      </c>
      <c r="C2015">
        <v>2024</v>
      </c>
      <c r="D2015" s="18">
        <v>45499</v>
      </c>
      <c r="E2015" s="18">
        <v>45863</v>
      </c>
      <c r="F2015" s="18" t="s">
        <v>611</v>
      </c>
      <c r="G2015" t="s">
        <v>99</v>
      </c>
      <c r="H2015">
        <v>2</v>
      </c>
      <c r="I2015">
        <v>2</v>
      </c>
      <c r="J2015" s="27">
        <v>28122.41</v>
      </c>
      <c r="K2015" s="27">
        <v>3500000</v>
      </c>
    </row>
    <row r="2016" spans="1:11" ht="15" customHeight="1" x14ac:dyDescent="0.2">
      <c r="A2016" t="s">
        <v>10424</v>
      </c>
      <c r="B2016" t="s">
        <v>10425</v>
      </c>
      <c r="C2016">
        <v>2024</v>
      </c>
      <c r="D2016" s="18">
        <v>45500</v>
      </c>
      <c r="E2016" s="18">
        <v>45864</v>
      </c>
      <c r="F2016" s="18" t="s">
        <v>611</v>
      </c>
      <c r="G2016" t="s">
        <v>101</v>
      </c>
      <c r="H2016">
        <v>1</v>
      </c>
      <c r="I2016">
        <v>1</v>
      </c>
      <c r="J2016" s="27">
        <v>55107.32</v>
      </c>
      <c r="K2016" s="27">
        <v>3500000</v>
      </c>
    </row>
    <row r="2017" spans="1:11" ht="15" customHeight="1" x14ac:dyDescent="0.2">
      <c r="A2017" t="s">
        <v>10426</v>
      </c>
      <c r="B2017" t="s">
        <v>10427</v>
      </c>
      <c r="C2017">
        <v>2024</v>
      </c>
      <c r="D2017" s="18">
        <v>45500</v>
      </c>
      <c r="E2017" s="18">
        <v>45864</v>
      </c>
      <c r="F2017" s="18" t="s">
        <v>611</v>
      </c>
      <c r="G2017" t="s">
        <v>99</v>
      </c>
      <c r="H2017">
        <v>2</v>
      </c>
      <c r="I2017">
        <v>4</v>
      </c>
      <c r="J2017" s="27">
        <v>11139.65</v>
      </c>
      <c r="K2017" s="27">
        <v>1500000</v>
      </c>
    </row>
    <row r="2018" spans="1:11" ht="15" customHeight="1" x14ac:dyDescent="0.2">
      <c r="A2018" t="s">
        <v>10428</v>
      </c>
      <c r="B2018" t="s">
        <v>10429</v>
      </c>
      <c r="C2018">
        <v>2024</v>
      </c>
      <c r="D2018" s="18">
        <v>45500</v>
      </c>
      <c r="E2018" s="18">
        <v>45864</v>
      </c>
      <c r="F2018" s="18" t="s">
        <v>611</v>
      </c>
      <c r="G2018" t="s">
        <v>101</v>
      </c>
      <c r="H2018">
        <v>1</v>
      </c>
      <c r="I2018">
        <v>2</v>
      </c>
      <c r="J2018" s="27">
        <v>89181.95</v>
      </c>
      <c r="K2018" s="27">
        <v>5000000</v>
      </c>
    </row>
    <row r="2019" spans="1:11" ht="15" customHeight="1" x14ac:dyDescent="0.2">
      <c r="A2019" t="s">
        <v>10430</v>
      </c>
      <c r="B2019" t="s">
        <v>10431</v>
      </c>
      <c r="C2019">
        <v>2024</v>
      </c>
      <c r="D2019" s="18">
        <v>45500</v>
      </c>
      <c r="E2019" s="18">
        <v>45864</v>
      </c>
      <c r="F2019" s="18" t="s">
        <v>611</v>
      </c>
      <c r="G2019" t="s">
        <v>99</v>
      </c>
      <c r="H2019">
        <v>3</v>
      </c>
      <c r="I2019">
        <v>3</v>
      </c>
      <c r="J2019" s="27">
        <v>23119.08</v>
      </c>
      <c r="K2019" s="27">
        <v>3000000</v>
      </c>
    </row>
    <row r="2020" spans="1:11" ht="15" customHeight="1" x14ac:dyDescent="0.2">
      <c r="A2020" t="s">
        <v>10432</v>
      </c>
      <c r="B2020" t="s">
        <v>10433</v>
      </c>
      <c r="C2020">
        <v>2024</v>
      </c>
      <c r="D2020" s="18">
        <v>45500</v>
      </c>
      <c r="E2020" s="18">
        <v>45864</v>
      </c>
      <c r="F2020" s="18" t="s">
        <v>611</v>
      </c>
      <c r="G2020" t="s">
        <v>99</v>
      </c>
      <c r="H2020">
        <v>1</v>
      </c>
      <c r="I2020">
        <v>2</v>
      </c>
      <c r="J2020" s="27">
        <v>19634.28</v>
      </c>
      <c r="K2020" s="27">
        <v>2500000</v>
      </c>
    </row>
    <row r="2021" spans="1:11" ht="15" customHeight="1" x14ac:dyDescent="0.2">
      <c r="A2021" t="s">
        <v>10434</v>
      </c>
      <c r="B2021" t="s">
        <v>10435</v>
      </c>
      <c r="C2021">
        <v>2024</v>
      </c>
      <c r="D2021" s="18">
        <v>45500</v>
      </c>
      <c r="E2021" s="18">
        <v>45864</v>
      </c>
      <c r="F2021" s="18" t="s">
        <v>611</v>
      </c>
      <c r="G2021" t="s">
        <v>99</v>
      </c>
      <c r="H2021">
        <v>1</v>
      </c>
      <c r="I2021">
        <v>1</v>
      </c>
      <c r="J2021" s="27">
        <v>86772.5</v>
      </c>
      <c r="K2021" s="27">
        <v>10000000</v>
      </c>
    </row>
    <row r="2022" spans="1:11" ht="15" customHeight="1" x14ac:dyDescent="0.2">
      <c r="A2022" t="s">
        <v>10436</v>
      </c>
      <c r="B2022" t="s">
        <v>10437</v>
      </c>
      <c r="C2022">
        <v>2024</v>
      </c>
      <c r="D2022" s="18">
        <v>45501</v>
      </c>
      <c r="E2022" s="18">
        <v>45865</v>
      </c>
      <c r="F2022" s="18" t="s">
        <v>608</v>
      </c>
      <c r="G2022" t="s">
        <v>101</v>
      </c>
      <c r="H2022">
        <v>2</v>
      </c>
      <c r="I2022">
        <v>4</v>
      </c>
      <c r="J2022" s="27">
        <v>32208.6</v>
      </c>
      <c r="K2022" s="27">
        <v>2000000</v>
      </c>
    </row>
    <row r="2023" spans="1:11" ht="15" customHeight="1" x14ac:dyDescent="0.2">
      <c r="A2023" t="s">
        <v>10438</v>
      </c>
      <c r="B2023" t="s">
        <v>10439</v>
      </c>
      <c r="C2023">
        <v>2024</v>
      </c>
      <c r="D2023" s="18">
        <v>45501</v>
      </c>
      <c r="E2023" s="18">
        <v>45865</v>
      </c>
      <c r="F2023" s="18" t="s">
        <v>611</v>
      </c>
      <c r="G2023" t="s">
        <v>101</v>
      </c>
      <c r="H2023">
        <v>2</v>
      </c>
      <c r="I2023">
        <v>2</v>
      </c>
      <c r="J2023" s="27">
        <v>62314.61</v>
      </c>
      <c r="K2023" s="27">
        <v>3500000</v>
      </c>
    </row>
    <row r="2024" spans="1:11" ht="15" customHeight="1" x14ac:dyDescent="0.2">
      <c r="A2024" t="s">
        <v>10440</v>
      </c>
      <c r="B2024" t="s">
        <v>10441</v>
      </c>
      <c r="C2024">
        <v>2024</v>
      </c>
      <c r="D2024" s="18">
        <v>45501</v>
      </c>
      <c r="E2024" s="18">
        <v>45865</v>
      </c>
      <c r="F2024" s="18" t="s">
        <v>611</v>
      </c>
      <c r="G2024" t="s">
        <v>99</v>
      </c>
      <c r="H2024">
        <v>1</v>
      </c>
      <c r="I2024">
        <v>2</v>
      </c>
      <c r="J2024" s="27">
        <v>40545.08</v>
      </c>
      <c r="K2024" s="27">
        <v>5000000</v>
      </c>
    </row>
    <row r="2025" spans="1:11" ht="15" customHeight="1" x14ac:dyDescent="0.2">
      <c r="A2025" t="s">
        <v>10442</v>
      </c>
      <c r="B2025" t="s">
        <v>10443</v>
      </c>
      <c r="C2025">
        <v>2024</v>
      </c>
      <c r="D2025" s="18">
        <v>45501</v>
      </c>
      <c r="E2025" s="18">
        <v>45865</v>
      </c>
      <c r="F2025" s="18" t="s">
        <v>611</v>
      </c>
      <c r="G2025" t="s">
        <v>101</v>
      </c>
      <c r="H2025">
        <v>2</v>
      </c>
      <c r="I2025">
        <v>2</v>
      </c>
      <c r="J2025" s="27">
        <v>32593.31</v>
      </c>
      <c r="K2025" s="27">
        <v>2000000</v>
      </c>
    </row>
    <row r="2026" spans="1:11" ht="15" customHeight="1" x14ac:dyDescent="0.2">
      <c r="A2026" t="s">
        <v>10444</v>
      </c>
      <c r="B2026" t="s">
        <v>10445</v>
      </c>
      <c r="C2026">
        <v>2024</v>
      </c>
      <c r="D2026" s="18">
        <v>45502</v>
      </c>
      <c r="E2026" s="18">
        <v>45866</v>
      </c>
      <c r="F2026" s="18" t="s">
        <v>611</v>
      </c>
      <c r="G2026" t="s">
        <v>102</v>
      </c>
      <c r="H2026">
        <v>2</v>
      </c>
      <c r="I2026">
        <v>2</v>
      </c>
      <c r="J2026" s="27">
        <v>24899.13</v>
      </c>
      <c r="K2026" s="27">
        <v>3000000</v>
      </c>
    </row>
    <row r="2027" spans="1:11" ht="15" customHeight="1" x14ac:dyDescent="0.2">
      <c r="A2027" t="s">
        <v>10446</v>
      </c>
      <c r="B2027" t="s">
        <v>10447</v>
      </c>
      <c r="C2027">
        <v>2024</v>
      </c>
      <c r="D2027" s="18">
        <v>45502</v>
      </c>
      <c r="E2027" s="18">
        <v>45866</v>
      </c>
      <c r="F2027" s="18" t="s">
        <v>611</v>
      </c>
      <c r="G2027" t="s">
        <v>102</v>
      </c>
      <c r="H2027">
        <v>3</v>
      </c>
      <c r="I2027">
        <v>3</v>
      </c>
      <c r="J2027" s="27">
        <v>8120.18</v>
      </c>
      <c r="K2027" s="27">
        <v>1000000</v>
      </c>
    </row>
    <row r="2028" spans="1:11" ht="15" customHeight="1" x14ac:dyDescent="0.2">
      <c r="A2028" t="s">
        <v>10448</v>
      </c>
      <c r="B2028" t="s">
        <v>10449</v>
      </c>
      <c r="C2028">
        <v>2024</v>
      </c>
      <c r="D2028" s="18">
        <v>45502</v>
      </c>
      <c r="E2028" s="18">
        <v>45866</v>
      </c>
      <c r="F2028" s="18" t="s">
        <v>611</v>
      </c>
      <c r="G2028" t="s">
        <v>99</v>
      </c>
      <c r="H2028">
        <v>1</v>
      </c>
      <c r="I2028">
        <v>1</v>
      </c>
      <c r="J2028" s="27">
        <v>8116.45</v>
      </c>
      <c r="K2028" s="27">
        <v>1000000</v>
      </c>
    </row>
    <row r="2029" spans="1:11" ht="15" customHeight="1" x14ac:dyDescent="0.2">
      <c r="A2029" t="s">
        <v>10450</v>
      </c>
      <c r="B2029" t="s">
        <v>10451</v>
      </c>
      <c r="C2029">
        <v>2024</v>
      </c>
      <c r="D2029" s="18">
        <v>45502</v>
      </c>
      <c r="E2029" s="18">
        <v>45866</v>
      </c>
      <c r="F2029" s="18" t="s">
        <v>611</v>
      </c>
      <c r="G2029" t="s">
        <v>100</v>
      </c>
      <c r="H2029">
        <v>2</v>
      </c>
      <c r="I2029">
        <v>2</v>
      </c>
      <c r="J2029" s="27">
        <v>13947.41</v>
      </c>
      <c r="K2029" s="27">
        <v>1000000</v>
      </c>
    </row>
    <row r="2030" spans="1:11" ht="15" customHeight="1" x14ac:dyDescent="0.2">
      <c r="A2030" t="s">
        <v>10452</v>
      </c>
      <c r="B2030" t="s">
        <v>10453</v>
      </c>
      <c r="C2030">
        <v>2024</v>
      </c>
      <c r="D2030" s="18">
        <v>45502</v>
      </c>
      <c r="E2030" s="18">
        <v>45866</v>
      </c>
      <c r="F2030" s="18" t="s">
        <v>611</v>
      </c>
      <c r="G2030" t="s">
        <v>101</v>
      </c>
      <c r="H2030">
        <v>1</v>
      </c>
      <c r="I2030">
        <v>1</v>
      </c>
      <c r="J2030" s="27">
        <v>33247.440000000002</v>
      </c>
      <c r="K2030" s="27">
        <v>2000000</v>
      </c>
    </row>
    <row r="2031" spans="1:11" ht="15" customHeight="1" x14ac:dyDescent="0.2">
      <c r="A2031" t="s">
        <v>10454</v>
      </c>
      <c r="B2031" t="s">
        <v>10455</v>
      </c>
      <c r="C2031">
        <v>2024</v>
      </c>
      <c r="D2031" s="18">
        <v>45503</v>
      </c>
      <c r="E2031" s="18">
        <v>45867</v>
      </c>
      <c r="F2031" s="18" t="s">
        <v>608</v>
      </c>
      <c r="G2031" t="s">
        <v>100</v>
      </c>
      <c r="H2031">
        <v>2</v>
      </c>
      <c r="I2031">
        <v>4</v>
      </c>
      <c r="J2031" s="27">
        <v>24294.44</v>
      </c>
      <c r="K2031" s="27">
        <v>2000000</v>
      </c>
    </row>
    <row r="2032" spans="1:11" ht="15" customHeight="1" x14ac:dyDescent="0.2">
      <c r="A2032" t="s">
        <v>10456</v>
      </c>
      <c r="B2032" t="s">
        <v>10457</v>
      </c>
      <c r="C2032">
        <v>2024</v>
      </c>
      <c r="D2032" s="18">
        <v>45503</v>
      </c>
      <c r="E2032" s="18">
        <v>45867</v>
      </c>
      <c r="F2032" s="18" t="s">
        <v>611</v>
      </c>
      <c r="G2032" t="s">
        <v>101</v>
      </c>
      <c r="H2032">
        <v>2</v>
      </c>
      <c r="I2032">
        <v>2</v>
      </c>
      <c r="J2032" s="27">
        <v>52477.26</v>
      </c>
      <c r="K2032" s="27">
        <v>3000000</v>
      </c>
    </row>
    <row r="2033" spans="1:11" ht="15" customHeight="1" x14ac:dyDescent="0.2">
      <c r="A2033" t="s">
        <v>10458</v>
      </c>
      <c r="B2033" t="s">
        <v>10459</v>
      </c>
      <c r="C2033">
        <v>2024</v>
      </c>
      <c r="D2033" s="18">
        <v>45503</v>
      </c>
      <c r="E2033" s="18">
        <v>45867</v>
      </c>
      <c r="F2033" s="18" t="s">
        <v>611</v>
      </c>
      <c r="G2033" t="s">
        <v>99</v>
      </c>
      <c r="H2033">
        <v>2</v>
      </c>
      <c r="I2033">
        <v>4</v>
      </c>
      <c r="J2033" s="27">
        <v>85014.61</v>
      </c>
      <c r="K2033" s="27">
        <v>10000000</v>
      </c>
    </row>
    <row r="2034" spans="1:11" ht="15" customHeight="1" x14ac:dyDescent="0.2">
      <c r="A2034" t="s">
        <v>10460</v>
      </c>
      <c r="B2034" t="s">
        <v>10461</v>
      </c>
      <c r="C2034">
        <v>2024</v>
      </c>
      <c r="D2034" s="18">
        <v>45503</v>
      </c>
      <c r="E2034" s="18">
        <v>45867</v>
      </c>
      <c r="F2034" s="18" t="s">
        <v>611</v>
      </c>
      <c r="G2034" t="s">
        <v>100</v>
      </c>
      <c r="H2034">
        <v>1</v>
      </c>
      <c r="I2034">
        <v>1</v>
      </c>
      <c r="J2034" s="27">
        <v>11992.56</v>
      </c>
      <c r="K2034" s="27">
        <v>1000000</v>
      </c>
    </row>
    <row r="2035" spans="1:11" ht="15" customHeight="1" x14ac:dyDescent="0.2">
      <c r="A2035" t="s">
        <v>10462</v>
      </c>
      <c r="B2035" t="s">
        <v>10463</v>
      </c>
      <c r="C2035">
        <v>2024</v>
      </c>
      <c r="D2035" s="18">
        <v>45503</v>
      </c>
      <c r="E2035" s="18">
        <v>45867</v>
      </c>
      <c r="F2035" s="18" t="s">
        <v>611</v>
      </c>
      <c r="G2035" t="s">
        <v>101</v>
      </c>
      <c r="H2035">
        <v>1</v>
      </c>
      <c r="I2035">
        <v>2</v>
      </c>
      <c r="J2035" s="27">
        <v>16026.38</v>
      </c>
      <c r="K2035" s="27">
        <v>1000000</v>
      </c>
    </row>
    <row r="2036" spans="1:11" ht="15" customHeight="1" x14ac:dyDescent="0.2">
      <c r="A2036" t="s">
        <v>10464</v>
      </c>
      <c r="B2036" t="s">
        <v>10465</v>
      </c>
      <c r="C2036">
        <v>2024</v>
      </c>
      <c r="D2036" s="18">
        <v>45504</v>
      </c>
      <c r="E2036" s="18">
        <v>45868</v>
      </c>
      <c r="F2036" s="18" t="s">
        <v>608</v>
      </c>
      <c r="G2036" t="s">
        <v>99</v>
      </c>
      <c r="H2036">
        <v>1</v>
      </c>
      <c r="I2036">
        <v>1</v>
      </c>
      <c r="J2036" s="27">
        <v>26264.47</v>
      </c>
      <c r="K2036" s="27">
        <v>3000000</v>
      </c>
    </row>
    <row r="2037" spans="1:11" ht="15" customHeight="1" x14ac:dyDescent="0.2">
      <c r="A2037" t="s">
        <v>10466</v>
      </c>
      <c r="B2037" t="s">
        <v>10467</v>
      </c>
      <c r="C2037">
        <v>2024</v>
      </c>
      <c r="D2037" s="18">
        <v>45504</v>
      </c>
      <c r="E2037" s="18">
        <v>45868</v>
      </c>
      <c r="F2037" s="18" t="s">
        <v>608</v>
      </c>
      <c r="G2037" t="s">
        <v>100</v>
      </c>
      <c r="H2037">
        <v>1</v>
      </c>
      <c r="I2037">
        <v>2</v>
      </c>
      <c r="J2037" s="27">
        <v>26425.06</v>
      </c>
      <c r="K2037" s="27">
        <v>2000000</v>
      </c>
    </row>
    <row r="2038" spans="1:11" ht="15" customHeight="1" x14ac:dyDescent="0.2">
      <c r="A2038" t="s">
        <v>10468</v>
      </c>
      <c r="B2038" t="s">
        <v>10469</v>
      </c>
      <c r="C2038">
        <v>2024</v>
      </c>
      <c r="D2038" s="18">
        <v>45504</v>
      </c>
      <c r="E2038" s="18">
        <v>45868</v>
      </c>
      <c r="F2038" s="18" t="s">
        <v>611</v>
      </c>
      <c r="G2038" t="s">
        <v>102</v>
      </c>
      <c r="H2038">
        <v>3</v>
      </c>
      <c r="I2038">
        <v>6</v>
      </c>
      <c r="J2038" s="27">
        <v>40647.83</v>
      </c>
      <c r="K2038" s="27">
        <v>4500000</v>
      </c>
    </row>
    <row r="2039" spans="1:11" ht="15" customHeight="1" x14ac:dyDescent="0.2">
      <c r="A2039" t="s">
        <v>10470</v>
      </c>
      <c r="B2039" t="s">
        <v>10471</v>
      </c>
      <c r="C2039">
        <v>2024</v>
      </c>
      <c r="D2039" s="18">
        <v>45504</v>
      </c>
      <c r="E2039" s="18">
        <v>45868</v>
      </c>
      <c r="F2039" s="18" t="s">
        <v>611</v>
      </c>
      <c r="G2039" t="s">
        <v>101</v>
      </c>
      <c r="H2039">
        <v>2</v>
      </c>
      <c r="I2039">
        <v>4</v>
      </c>
      <c r="J2039" s="27">
        <v>23721.17</v>
      </c>
      <c r="K2039" s="27">
        <v>1500000</v>
      </c>
    </row>
    <row r="2040" spans="1:11" ht="15" customHeight="1" x14ac:dyDescent="0.2">
      <c r="A2040" t="s">
        <v>10472</v>
      </c>
      <c r="B2040" t="s">
        <v>10473</v>
      </c>
      <c r="C2040">
        <v>2024</v>
      </c>
      <c r="D2040" s="18">
        <v>45504</v>
      </c>
      <c r="E2040" s="18">
        <v>45868</v>
      </c>
      <c r="F2040" s="18" t="s">
        <v>611</v>
      </c>
      <c r="G2040" t="s">
        <v>102</v>
      </c>
      <c r="H2040">
        <v>1</v>
      </c>
      <c r="I2040">
        <v>2</v>
      </c>
      <c r="J2040" s="27">
        <v>35263.46</v>
      </c>
      <c r="K2040" s="27">
        <v>4000000</v>
      </c>
    </row>
    <row r="2041" spans="1:11" ht="15" customHeight="1" x14ac:dyDescent="0.2">
      <c r="A2041" t="s">
        <v>10474</v>
      </c>
      <c r="B2041" t="s">
        <v>10475</v>
      </c>
      <c r="C2041">
        <v>2024</v>
      </c>
      <c r="D2041" s="18">
        <v>45504</v>
      </c>
      <c r="E2041" s="18">
        <v>45868</v>
      </c>
      <c r="F2041" s="18" t="s">
        <v>611</v>
      </c>
      <c r="G2041" t="s">
        <v>101</v>
      </c>
      <c r="H2041">
        <v>1</v>
      </c>
      <c r="I2041">
        <v>2</v>
      </c>
      <c r="J2041" s="27">
        <v>17515.07</v>
      </c>
      <c r="K2041" s="27">
        <v>1000000</v>
      </c>
    </row>
    <row r="2042" spans="1:11" ht="15" customHeight="1" x14ac:dyDescent="0.2">
      <c r="A2042" t="s">
        <v>10476</v>
      </c>
      <c r="B2042" t="s">
        <v>10477</v>
      </c>
      <c r="C2042">
        <v>2024</v>
      </c>
      <c r="D2042" s="18">
        <v>45504</v>
      </c>
      <c r="E2042" s="18">
        <v>45868</v>
      </c>
      <c r="F2042" s="18" t="s">
        <v>611</v>
      </c>
      <c r="G2042" t="s">
        <v>101</v>
      </c>
      <c r="H2042">
        <v>1</v>
      </c>
      <c r="I2042">
        <v>1</v>
      </c>
      <c r="J2042" s="27">
        <v>82820.929999999993</v>
      </c>
      <c r="K2042" s="27">
        <v>4500000</v>
      </c>
    </row>
    <row r="2043" spans="1:11" ht="15" customHeight="1" x14ac:dyDescent="0.2">
      <c r="A2043" t="s">
        <v>10478</v>
      </c>
      <c r="B2043" t="s">
        <v>10479</v>
      </c>
      <c r="C2043">
        <v>2024</v>
      </c>
      <c r="D2043" s="18">
        <v>45505</v>
      </c>
      <c r="E2043" s="18">
        <v>45869</v>
      </c>
      <c r="F2043" s="18" t="s">
        <v>608</v>
      </c>
      <c r="G2043" t="s">
        <v>99</v>
      </c>
      <c r="H2043">
        <v>1</v>
      </c>
      <c r="I2043">
        <v>1</v>
      </c>
      <c r="J2043" s="27">
        <v>15199.72</v>
      </c>
      <c r="K2043" s="27">
        <v>2000000</v>
      </c>
    </row>
    <row r="2044" spans="1:11" ht="15" customHeight="1" x14ac:dyDescent="0.2">
      <c r="A2044" t="s">
        <v>10480</v>
      </c>
      <c r="B2044" t="s">
        <v>10481</v>
      </c>
      <c r="C2044">
        <v>2024</v>
      </c>
      <c r="D2044" s="18">
        <v>45505</v>
      </c>
      <c r="E2044" s="18">
        <v>45869</v>
      </c>
      <c r="F2044" s="18" t="s">
        <v>611</v>
      </c>
      <c r="G2044" t="s">
        <v>101</v>
      </c>
      <c r="H2044">
        <v>3</v>
      </c>
      <c r="I2044">
        <v>3</v>
      </c>
      <c r="J2044" s="27">
        <v>8397.16</v>
      </c>
      <c r="K2044" s="27">
        <v>500000</v>
      </c>
    </row>
    <row r="2045" spans="1:11" ht="15" customHeight="1" x14ac:dyDescent="0.2">
      <c r="A2045" t="s">
        <v>10482</v>
      </c>
      <c r="B2045" t="s">
        <v>10483</v>
      </c>
      <c r="C2045">
        <v>2024</v>
      </c>
      <c r="D2045" s="18">
        <v>45505</v>
      </c>
      <c r="E2045" s="18">
        <v>45869</v>
      </c>
      <c r="F2045" s="18" t="s">
        <v>611</v>
      </c>
      <c r="G2045" t="s">
        <v>99</v>
      </c>
      <c r="H2045">
        <v>1</v>
      </c>
      <c r="I2045">
        <v>1</v>
      </c>
      <c r="J2045" s="27">
        <v>15095.6</v>
      </c>
      <c r="K2045" s="27">
        <v>2000000</v>
      </c>
    </row>
    <row r="2046" spans="1:11" ht="15" customHeight="1" x14ac:dyDescent="0.2">
      <c r="A2046" t="s">
        <v>10484</v>
      </c>
      <c r="B2046" t="s">
        <v>10485</v>
      </c>
      <c r="C2046">
        <v>2024</v>
      </c>
      <c r="D2046" s="18">
        <v>45505</v>
      </c>
      <c r="E2046" s="18">
        <v>45869</v>
      </c>
      <c r="F2046" s="18" t="s">
        <v>611</v>
      </c>
      <c r="G2046" t="s">
        <v>100</v>
      </c>
      <c r="H2046">
        <v>1</v>
      </c>
      <c r="I2046">
        <v>1</v>
      </c>
      <c r="J2046" s="27">
        <v>14096.65</v>
      </c>
      <c r="K2046" s="27">
        <v>1000000</v>
      </c>
    </row>
    <row r="2047" spans="1:11" ht="15" customHeight="1" x14ac:dyDescent="0.2">
      <c r="A2047" t="s">
        <v>10486</v>
      </c>
      <c r="B2047" t="s">
        <v>10487</v>
      </c>
      <c r="C2047">
        <v>2024</v>
      </c>
      <c r="D2047" s="18">
        <v>45505</v>
      </c>
      <c r="E2047" s="18">
        <v>45869</v>
      </c>
      <c r="F2047" s="18" t="s">
        <v>611</v>
      </c>
      <c r="G2047" t="s">
        <v>100</v>
      </c>
      <c r="H2047">
        <v>1</v>
      </c>
      <c r="I2047">
        <v>2</v>
      </c>
      <c r="J2047" s="27">
        <v>64222.5</v>
      </c>
      <c r="K2047" s="27">
        <v>4500000</v>
      </c>
    </row>
    <row r="2048" spans="1:11" ht="15" customHeight="1" x14ac:dyDescent="0.2">
      <c r="A2048" t="s">
        <v>10488</v>
      </c>
      <c r="B2048" t="s">
        <v>10489</v>
      </c>
      <c r="C2048">
        <v>2024</v>
      </c>
      <c r="D2048" s="18">
        <v>45505</v>
      </c>
      <c r="E2048" s="18">
        <v>45869</v>
      </c>
      <c r="F2048" s="18" t="s">
        <v>611</v>
      </c>
      <c r="G2048" t="s">
        <v>99</v>
      </c>
      <c r="H2048">
        <v>1</v>
      </c>
      <c r="I2048">
        <v>2</v>
      </c>
      <c r="J2048" s="27">
        <v>40870.86</v>
      </c>
      <c r="K2048" s="27">
        <v>5000000</v>
      </c>
    </row>
    <row r="2049" spans="1:11" ht="15" customHeight="1" x14ac:dyDescent="0.2">
      <c r="A2049" t="s">
        <v>10490</v>
      </c>
      <c r="B2049" t="s">
        <v>10491</v>
      </c>
      <c r="C2049">
        <v>2024</v>
      </c>
      <c r="D2049" s="18">
        <v>45505</v>
      </c>
      <c r="E2049" s="18">
        <v>45869</v>
      </c>
      <c r="F2049" s="18" t="s">
        <v>611</v>
      </c>
      <c r="G2049" t="s">
        <v>101</v>
      </c>
      <c r="H2049">
        <v>2</v>
      </c>
      <c r="I2049">
        <v>4</v>
      </c>
      <c r="J2049" s="27">
        <v>33993.69</v>
      </c>
      <c r="K2049" s="27">
        <v>2000000</v>
      </c>
    </row>
    <row r="2050" spans="1:11" ht="15" customHeight="1" x14ac:dyDescent="0.2">
      <c r="A2050" t="s">
        <v>10492</v>
      </c>
      <c r="B2050" t="s">
        <v>10493</v>
      </c>
      <c r="C2050">
        <v>2024</v>
      </c>
      <c r="D2050" s="18">
        <v>45505</v>
      </c>
      <c r="E2050" s="18">
        <v>45869</v>
      </c>
      <c r="F2050" s="18" t="s">
        <v>611</v>
      </c>
      <c r="G2050" t="s">
        <v>102</v>
      </c>
      <c r="H2050">
        <v>1</v>
      </c>
      <c r="I2050">
        <v>1</v>
      </c>
      <c r="J2050" s="27">
        <v>18162.39</v>
      </c>
      <c r="K2050" s="27">
        <v>2000000</v>
      </c>
    </row>
    <row r="2051" spans="1:11" ht="15" customHeight="1" x14ac:dyDescent="0.2">
      <c r="A2051" t="s">
        <v>10494</v>
      </c>
      <c r="B2051" t="s">
        <v>10495</v>
      </c>
      <c r="C2051">
        <v>2024</v>
      </c>
      <c r="D2051" s="18">
        <v>45505</v>
      </c>
      <c r="E2051" s="18">
        <v>45869</v>
      </c>
      <c r="F2051" s="18" t="s">
        <v>611</v>
      </c>
      <c r="G2051" t="s">
        <v>99</v>
      </c>
      <c r="H2051">
        <v>1</v>
      </c>
      <c r="I2051">
        <v>1</v>
      </c>
      <c r="J2051" s="27">
        <v>12738.53</v>
      </c>
      <c r="K2051" s="27">
        <v>1500000</v>
      </c>
    </row>
    <row r="2052" spans="1:11" ht="15" customHeight="1" x14ac:dyDescent="0.2">
      <c r="A2052" t="s">
        <v>10496</v>
      </c>
      <c r="B2052" t="s">
        <v>10497</v>
      </c>
      <c r="C2052">
        <v>2024</v>
      </c>
      <c r="D2052" s="18">
        <v>45506</v>
      </c>
      <c r="E2052" s="18">
        <v>45870</v>
      </c>
      <c r="F2052" s="18" t="s">
        <v>608</v>
      </c>
      <c r="G2052" t="s">
        <v>100</v>
      </c>
      <c r="H2052">
        <v>2</v>
      </c>
      <c r="I2052">
        <v>2</v>
      </c>
      <c r="J2052" s="27">
        <v>27520.37</v>
      </c>
      <c r="K2052" s="27">
        <v>2000000</v>
      </c>
    </row>
    <row r="2053" spans="1:11" ht="15" customHeight="1" x14ac:dyDescent="0.2">
      <c r="A2053" t="s">
        <v>10498</v>
      </c>
      <c r="B2053" t="s">
        <v>10499</v>
      </c>
      <c r="C2053">
        <v>2024</v>
      </c>
      <c r="D2053" s="18">
        <v>45506</v>
      </c>
      <c r="E2053" s="18">
        <v>45870</v>
      </c>
      <c r="F2053" s="18" t="s">
        <v>608</v>
      </c>
      <c r="G2053" t="s">
        <v>101</v>
      </c>
      <c r="H2053">
        <v>1</v>
      </c>
      <c r="I2053">
        <v>2</v>
      </c>
      <c r="J2053" s="27">
        <v>34735.67</v>
      </c>
      <c r="K2053" s="27">
        <v>2000000</v>
      </c>
    </row>
    <row r="2054" spans="1:11" ht="15" customHeight="1" x14ac:dyDescent="0.2">
      <c r="A2054" t="s">
        <v>10500</v>
      </c>
      <c r="B2054" t="s">
        <v>10501</v>
      </c>
      <c r="C2054">
        <v>2024</v>
      </c>
      <c r="D2054" s="18">
        <v>45506</v>
      </c>
      <c r="E2054" s="18">
        <v>45870</v>
      </c>
      <c r="F2054" s="18" t="s">
        <v>611</v>
      </c>
      <c r="G2054" t="s">
        <v>100</v>
      </c>
      <c r="H2054">
        <v>1</v>
      </c>
      <c r="I2054">
        <v>1</v>
      </c>
      <c r="J2054" s="27">
        <v>66187.28</v>
      </c>
      <c r="K2054" s="27">
        <v>5000000</v>
      </c>
    </row>
    <row r="2055" spans="1:11" ht="15" customHeight="1" x14ac:dyDescent="0.2">
      <c r="A2055" t="s">
        <v>10502</v>
      </c>
      <c r="B2055" t="s">
        <v>10503</v>
      </c>
      <c r="C2055">
        <v>2024</v>
      </c>
      <c r="D2055" s="18">
        <v>45506</v>
      </c>
      <c r="E2055" s="18">
        <v>45870</v>
      </c>
      <c r="F2055" s="18" t="s">
        <v>611</v>
      </c>
      <c r="G2055" t="s">
        <v>101</v>
      </c>
      <c r="H2055">
        <v>2</v>
      </c>
      <c r="I2055">
        <v>2</v>
      </c>
      <c r="J2055" s="27">
        <v>25763.61</v>
      </c>
      <c r="K2055" s="27">
        <v>1500000</v>
      </c>
    </row>
    <row r="2056" spans="1:11" ht="15" customHeight="1" x14ac:dyDescent="0.2">
      <c r="A2056" t="s">
        <v>10504</v>
      </c>
      <c r="B2056" t="s">
        <v>10505</v>
      </c>
      <c r="C2056">
        <v>2024</v>
      </c>
      <c r="D2056" s="18">
        <v>45506</v>
      </c>
      <c r="E2056" s="18">
        <v>45870</v>
      </c>
      <c r="F2056" s="18" t="s">
        <v>611</v>
      </c>
      <c r="G2056" t="s">
        <v>101</v>
      </c>
      <c r="H2056">
        <v>3</v>
      </c>
      <c r="I2056">
        <v>3</v>
      </c>
      <c r="J2056" s="27">
        <v>55696.62</v>
      </c>
      <c r="K2056" s="27">
        <v>3000000</v>
      </c>
    </row>
    <row r="2057" spans="1:11" ht="15" customHeight="1" x14ac:dyDescent="0.2">
      <c r="A2057" t="s">
        <v>10506</v>
      </c>
      <c r="B2057" t="s">
        <v>10507</v>
      </c>
      <c r="C2057">
        <v>2024</v>
      </c>
      <c r="D2057" s="18">
        <v>45506</v>
      </c>
      <c r="E2057" s="18">
        <v>45870</v>
      </c>
      <c r="F2057" s="18" t="s">
        <v>611</v>
      </c>
      <c r="G2057" t="s">
        <v>101</v>
      </c>
      <c r="H2057">
        <v>1</v>
      </c>
      <c r="I2057">
        <v>1</v>
      </c>
      <c r="J2057" s="27">
        <v>36884.32</v>
      </c>
      <c r="K2057" s="27">
        <v>2000000</v>
      </c>
    </row>
    <row r="2058" spans="1:11" ht="15" customHeight="1" x14ac:dyDescent="0.2">
      <c r="A2058" t="s">
        <v>10508</v>
      </c>
      <c r="B2058" t="s">
        <v>10509</v>
      </c>
      <c r="C2058">
        <v>2024</v>
      </c>
      <c r="D2058" s="18">
        <v>45506</v>
      </c>
      <c r="E2058" s="18">
        <v>45870</v>
      </c>
      <c r="F2058" s="18" t="s">
        <v>611</v>
      </c>
      <c r="G2058" t="s">
        <v>101</v>
      </c>
      <c r="H2058">
        <v>1</v>
      </c>
      <c r="I2058">
        <v>2</v>
      </c>
      <c r="J2058" s="27">
        <v>17694.89</v>
      </c>
      <c r="K2058" s="27">
        <v>1000000</v>
      </c>
    </row>
    <row r="2059" spans="1:11" ht="15" customHeight="1" x14ac:dyDescent="0.2">
      <c r="A2059" t="s">
        <v>10510</v>
      </c>
      <c r="B2059" t="s">
        <v>10511</v>
      </c>
      <c r="C2059">
        <v>2024</v>
      </c>
      <c r="D2059" s="18">
        <v>45506</v>
      </c>
      <c r="E2059" s="18">
        <v>45870</v>
      </c>
      <c r="F2059" s="18" t="s">
        <v>611</v>
      </c>
      <c r="G2059" t="s">
        <v>100</v>
      </c>
      <c r="H2059">
        <v>3</v>
      </c>
      <c r="I2059">
        <v>3</v>
      </c>
      <c r="J2059" s="27">
        <v>31010.14</v>
      </c>
      <c r="K2059" s="27">
        <v>2500000</v>
      </c>
    </row>
    <row r="2060" spans="1:11" ht="15" customHeight="1" x14ac:dyDescent="0.2">
      <c r="A2060" t="s">
        <v>10512</v>
      </c>
      <c r="B2060" t="s">
        <v>10513</v>
      </c>
      <c r="C2060">
        <v>2024</v>
      </c>
      <c r="D2060" s="18">
        <v>45506</v>
      </c>
      <c r="E2060" s="18">
        <v>45870</v>
      </c>
      <c r="F2060" s="18" t="s">
        <v>611</v>
      </c>
      <c r="G2060" t="s">
        <v>101</v>
      </c>
      <c r="H2060">
        <v>2</v>
      </c>
      <c r="I2060">
        <v>4</v>
      </c>
      <c r="J2060" s="27">
        <v>27535.18</v>
      </c>
      <c r="K2060" s="27">
        <v>1500000</v>
      </c>
    </row>
    <row r="2061" spans="1:11" ht="15" customHeight="1" x14ac:dyDescent="0.2">
      <c r="A2061" t="s">
        <v>10514</v>
      </c>
      <c r="B2061" t="s">
        <v>10515</v>
      </c>
      <c r="C2061">
        <v>2024</v>
      </c>
      <c r="D2061" s="18">
        <v>45506</v>
      </c>
      <c r="E2061" s="18">
        <v>45870</v>
      </c>
      <c r="F2061" s="18" t="s">
        <v>611</v>
      </c>
      <c r="G2061" t="s">
        <v>101</v>
      </c>
      <c r="H2061">
        <v>1</v>
      </c>
      <c r="I2061">
        <v>1</v>
      </c>
      <c r="J2061" s="27">
        <v>18813.830000000002</v>
      </c>
      <c r="K2061" s="27">
        <v>1000000</v>
      </c>
    </row>
    <row r="2062" spans="1:11" ht="15" customHeight="1" x14ac:dyDescent="0.2">
      <c r="A2062" t="s">
        <v>10516</v>
      </c>
      <c r="B2062" t="s">
        <v>10517</v>
      </c>
      <c r="C2062">
        <v>2024</v>
      </c>
      <c r="D2062" s="18">
        <v>45507</v>
      </c>
      <c r="E2062" s="18">
        <v>45871</v>
      </c>
      <c r="F2062" s="18" t="s">
        <v>608</v>
      </c>
      <c r="G2062" t="s">
        <v>99</v>
      </c>
      <c r="H2062">
        <v>1</v>
      </c>
      <c r="I2062">
        <v>1</v>
      </c>
      <c r="J2062" s="27">
        <v>11814.79</v>
      </c>
      <c r="K2062" s="27">
        <v>1500000</v>
      </c>
    </row>
    <row r="2063" spans="1:11" ht="15" customHeight="1" x14ac:dyDescent="0.2">
      <c r="A2063" t="s">
        <v>10518</v>
      </c>
      <c r="B2063" t="s">
        <v>10519</v>
      </c>
      <c r="C2063">
        <v>2024</v>
      </c>
      <c r="D2063" s="18">
        <v>45507</v>
      </c>
      <c r="E2063" s="18">
        <v>45871</v>
      </c>
      <c r="F2063" s="18" t="s">
        <v>608</v>
      </c>
      <c r="G2063" t="s">
        <v>101</v>
      </c>
      <c r="H2063">
        <v>2</v>
      </c>
      <c r="I2063">
        <v>2</v>
      </c>
      <c r="J2063" s="27">
        <v>37696.74</v>
      </c>
      <c r="K2063" s="27">
        <v>2000000</v>
      </c>
    </row>
    <row r="2064" spans="1:11" ht="15" customHeight="1" x14ac:dyDescent="0.2">
      <c r="A2064" t="s">
        <v>10520</v>
      </c>
      <c r="B2064" t="s">
        <v>10521</v>
      </c>
      <c r="C2064">
        <v>2024</v>
      </c>
      <c r="D2064" s="18">
        <v>45507</v>
      </c>
      <c r="E2064" s="18">
        <v>45871</v>
      </c>
      <c r="F2064" s="18" t="s">
        <v>611</v>
      </c>
      <c r="G2064" t="s">
        <v>100</v>
      </c>
      <c r="H2064">
        <v>1</v>
      </c>
      <c r="I2064">
        <v>2</v>
      </c>
      <c r="J2064" s="27">
        <v>19300.599999999999</v>
      </c>
      <c r="K2064" s="27">
        <v>1500000</v>
      </c>
    </row>
    <row r="2065" spans="1:11" ht="15" customHeight="1" x14ac:dyDescent="0.2">
      <c r="A2065" t="s">
        <v>10522</v>
      </c>
      <c r="B2065" t="s">
        <v>10523</v>
      </c>
      <c r="C2065">
        <v>2024</v>
      </c>
      <c r="D2065" s="18">
        <v>45507</v>
      </c>
      <c r="E2065" s="18">
        <v>45871</v>
      </c>
      <c r="F2065" s="18" t="s">
        <v>611</v>
      </c>
      <c r="G2065" t="s">
        <v>99</v>
      </c>
      <c r="H2065">
        <v>3</v>
      </c>
      <c r="I2065">
        <v>3</v>
      </c>
      <c r="J2065" s="27">
        <v>17068.88</v>
      </c>
      <c r="K2065" s="27">
        <v>2000000</v>
      </c>
    </row>
    <row r="2066" spans="1:11" ht="15" customHeight="1" x14ac:dyDescent="0.2">
      <c r="A2066" t="s">
        <v>10524</v>
      </c>
      <c r="B2066" t="s">
        <v>10525</v>
      </c>
      <c r="C2066">
        <v>2024</v>
      </c>
      <c r="D2066" s="18">
        <v>45507</v>
      </c>
      <c r="E2066" s="18">
        <v>45871</v>
      </c>
      <c r="F2066" s="18" t="s">
        <v>611</v>
      </c>
      <c r="G2066" t="s">
        <v>100</v>
      </c>
      <c r="H2066">
        <v>1</v>
      </c>
      <c r="I2066">
        <v>1</v>
      </c>
      <c r="J2066" s="27">
        <v>127616.93</v>
      </c>
      <c r="K2066" s="27">
        <v>10000000</v>
      </c>
    </row>
    <row r="2067" spans="1:11" ht="15" customHeight="1" x14ac:dyDescent="0.2">
      <c r="A2067" t="s">
        <v>10526</v>
      </c>
      <c r="B2067" t="s">
        <v>10527</v>
      </c>
      <c r="C2067">
        <v>2024</v>
      </c>
      <c r="D2067" s="18">
        <v>45508</v>
      </c>
      <c r="E2067" s="18">
        <v>45872</v>
      </c>
      <c r="F2067" s="18" t="s">
        <v>608</v>
      </c>
      <c r="G2067" t="s">
        <v>101</v>
      </c>
      <c r="H2067">
        <v>2</v>
      </c>
      <c r="I2067">
        <v>2</v>
      </c>
      <c r="J2067" s="27">
        <v>176753.04</v>
      </c>
      <c r="K2067" s="27">
        <v>10000000</v>
      </c>
    </row>
    <row r="2068" spans="1:11" ht="15" customHeight="1" x14ac:dyDescent="0.2">
      <c r="A2068" t="s">
        <v>10528</v>
      </c>
      <c r="B2068" t="s">
        <v>10529</v>
      </c>
      <c r="C2068">
        <v>2024</v>
      </c>
      <c r="D2068" s="18">
        <v>45508</v>
      </c>
      <c r="E2068" s="18">
        <v>45872</v>
      </c>
      <c r="F2068" s="18" t="s">
        <v>611</v>
      </c>
      <c r="G2068" t="s">
        <v>100</v>
      </c>
      <c r="H2068">
        <v>1</v>
      </c>
      <c r="I2068">
        <v>1</v>
      </c>
      <c r="J2068" s="27">
        <v>48053.55</v>
      </c>
      <c r="K2068" s="27">
        <v>4000000</v>
      </c>
    </row>
    <row r="2069" spans="1:11" ht="15" customHeight="1" x14ac:dyDescent="0.2">
      <c r="A2069" t="s">
        <v>10530</v>
      </c>
      <c r="B2069" t="s">
        <v>10531</v>
      </c>
      <c r="C2069">
        <v>2024</v>
      </c>
      <c r="D2069" s="18">
        <v>45508</v>
      </c>
      <c r="E2069" s="18">
        <v>45872</v>
      </c>
      <c r="F2069" s="18" t="s">
        <v>611</v>
      </c>
      <c r="G2069" t="s">
        <v>99</v>
      </c>
      <c r="H2069">
        <v>3</v>
      </c>
      <c r="I2069">
        <v>6</v>
      </c>
      <c r="J2069" s="27">
        <v>17687</v>
      </c>
      <c r="K2069" s="27">
        <v>2000000</v>
      </c>
    </row>
    <row r="2070" spans="1:11" ht="15" customHeight="1" x14ac:dyDescent="0.2">
      <c r="A2070" t="s">
        <v>10532</v>
      </c>
      <c r="B2070" t="s">
        <v>10533</v>
      </c>
      <c r="C2070">
        <v>2024</v>
      </c>
      <c r="D2070" s="18">
        <v>45509</v>
      </c>
      <c r="E2070" s="18">
        <v>45873</v>
      </c>
      <c r="F2070" s="18" t="s">
        <v>608</v>
      </c>
      <c r="G2070" t="s">
        <v>99</v>
      </c>
      <c r="H2070">
        <v>2</v>
      </c>
      <c r="I2070">
        <v>2</v>
      </c>
      <c r="J2070" s="27">
        <v>44534.11</v>
      </c>
      <c r="K2070" s="27">
        <v>5000000</v>
      </c>
    </row>
    <row r="2071" spans="1:11" ht="15" customHeight="1" x14ac:dyDescent="0.2">
      <c r="A2071" t="s">
        <v>10534</v>
      </c>
      <c r="B2071" t="s">
        <v>10535</v>
      </c>
      <c r="C2071">
        <v>2024</v>
      </c>
      <c r="D2071" s="18">
        <v>45509</v>
      </c>
      <c r="E2071" s="18">
        <v>45873</v>
      </c>
      <c r="F2071" s="18" t="s">
        <v>608</v>
      </c>
      <c r="G2071" t="s">
        <v>100</v>
      </c>
      <c r="H2071">
        <v>2</v>
      </c>
      <c r="I2071">
        <v>2</v>
      </c>
      <c r="J2071" s="27">
        <v>13402.7</v>
      </c>
      <c r="K2071" s="27">
        <v>1000000</v>
      </c>
    </row>
    <row r="2072" spans="1:11" ht="15" customHeight="1" x14ac:dyDescent="0.2">
      <c r="A2072" t="s">
        <v>10536</v>
      </c>
      <c r="B2072" t="s">
        <v>10537</v>
      </c>
      <c r="C2072">
        <v>2024</v>
      </c>
      <c r="D2072" s="18">
        <v>45509</v>
      </c>
      <c r="E2072" s="18">
        <v>45873</v>
      </c>
      <c r="F2072" s="18" t="s">
        <v>611</v>
      </c>
      <c r="G2072" t="s">
        <v>101</v>
      </c>
      <c r="H2072">
        <v>2</v>
      </c>
      <c r="I2072">
        <v>2</v>
      </c>
      <c r="J2072" s="27">
        <v>25592.91</v>
      </c>
      <c r="K2072" s="27">
        <v>1500000</v>
      </c>
    </row>
    <row r="2073" spans="1:11" ht="15" customHeight="1" x14ac:dyDescent="0.2">
      <c r="A2073" t="s">
        <v>10538</v>
      </c>
      <c r="B2073" t="s">
        <v>10539</v>
      </c>
      <c r="C2073">
        <v>2024</v>
      </c>
      <c r="D2073" s="18">
        <v>45509</v>
      </c>
      <c r="E2073" s="18">
        <v>45873</v>
      </c>
      <c r="F2073" s="18" t="s">
        <v>611</v>
      </c>
      <c r="G2073" t="s">
        <v>100</v>
      </c>
      <c r="H2073">
        <v>2</v>
      </c>
      <c r="I2073">
        <v>4</v>
      </c>
      <c r="J2073" s="27">
        <v>142301.44</v>
      </c>
      <c r="K2073" s="27">
        <v>10000000</v>
      </c>
    </row>
    <row r="2074" spans="1:11" ht="15" customHeight="1" x14ac:dyDescent="0.2">
      <c r="A2074" t="s">
        <v>10540</v>
      </c>
      <c r="B2074" t="s">
        <v>10541</v>
      </c>
      <c r="C2074">
        <v>2024</v>
      </c>
      <c r="D2074" s="18">
        <v>45509</v>
      </c>
      <c r="E2074" s="18">
        <v>45873</v>
      </c>
      <c r="F2074" s="18" t="s">
        <v>611</v>
      </c>
      <c r="G2074" t="s">
        <v>99</v>
      </c>
      <c r="H2074">
        <v>3</v>
      </c>
      <c r="I2074">
        <v>3</v>
      </c>
      <c r="J2074" s="27">
        <v>23748.44</v>
      </c>
      <c r="K2074" s="27">
        <v>3000000</v>
      </c>
    </row>
    <row r="2075" spans="1:11" ht="15" customHeight="1" x14ac:dyDescent="0.2">
      <c r="A2075" t="s">
        <v>10542</v>
      </c>
      <c r="B2075" t="s">
        <v>10543</v>
      </c>
      <c r="C2075">
        <v>2024</v>
      </c>
      <c r="D2075" s="18">
        <v>45509</v>
      </c>
      <c r="E2075" s="18">
        <v>45873</v>
      </c>
      <c r="F2075" s="18" t="s">
        <v>611</v>
      </c>
      <c r="G2075" t="s">
        <v>102</v>
      </c>
      <c r="H2075">
        <v>2</v>
      </c>
      <c r="I2075">
        <v>2</v>
      </c>
      <c r="J2075" s="27">
        <v>23535.68</v>
      </c>
      <c r="K2075" s="27">
        <v>3000000</v>
      </c>
    </row>
    <row r="2076" spans="1:11" ht="15" customHeight="1" x14ac:dyDescent="0.2">
      <c r="A2076" t="s">
        <v>10544</v>
      </c>
      <c r="B2076" t="s">
        <v>10545</v>
      </c>
      <c r="C2076">
        <v>2024</v>
      </c>
      <c r="D2076" s="18">
        <v>45509</v>
      </c>
      <c r="E2076" s="18">
        <v>45873</v>
      </c>
      <c r="F2076" s="18" t="s">
        <v>611</v>
      </c>
      <c r="G2076" t="s">
        <v>100</v>
      </c>
      <c r="H2076">
        <v>3</v>
      </c>
      <c r="I2076">
        <v>3</v>
      </c>
      <c r="J2076" s="27">
        <v>61546.98</v>
      </c>
      <c r="K2076" s="27">
        <v>4500000</v>
      </c>
    </row>
    <row r="2077" spans="1:11" ht="15" customHeight="1" x14ac:dyDescent="0.2">
      <c r="A2077" t="s">
        <v>10546</v>
      </c>
      <c r="B2077" t="s">
        <v>10547</v>
      </c>
      <c r="C2077">
        <v>2024</v>
      </c>
      <c r="D2077" s="18">
        <v>45509</v>
      </c>
      <c r="E2077" s="18">
        <v>45873</v>
      </c>
      <c r="F2077" s="18" t="s">
        <v>611</v>
      </c>
      <c r="G2077" t="s">
        <v>102</v>
      </c>
      <c r="H2077">
        <v>1</v>
      </c>
      <c r="I2077">
        <v>2</v>
      </c>
      <c r="J2077" s="27">
        <v>4269.3999999999996</v>
      </c>
      <c r="K2077" s="27">
        <v>500000</v>
      </c>
    </row>
    <row r="2078" spans="1:11" ht="15" customHeight="1" x14ac:dyDescent="0.2">
      <c r="A2078" t="s">
        <v>10548</v>
      </c>
      <c r="B2078" t="s">
        <v>10549</v>
      </c>
      <c r="C2078">
        <v>2024</v>
      </c>
      <c r="D2078" s="18">
        <v>45509</v>
      </c>
      <c r="E2078" s="18">
        <v>45873</v>
      </c>
      <c r="F2078" s="18" t="s">
        <v>611</v>
      </c>
      <c r="G2078" t="s">
        <v>101</v>
      </c>
      <c r="H2078">
        <v>3</v>
      </c>
      <c r="I2078">
        <v>6</v>
      </c>
      <c r="J2078" s="27">
        <v>35750.519999999997</v>
      </c>
      <c r="K2078" s="27">
        <v>2000000</v>
      </c>
    </row>
    <row r="2079" spans="1:11" ht="15" customHeight="1" x14ac:dyDescent="0.2">
      <c r="A2079" t="s">
        <v>10550</v>
      </c>
      <c r="B2079" t="s">
        <v>10551</v>
      </c>
      <c r="C2079">
        <v>2024</v>
      </c>
      <c r="D2079" s="18">
        <v>45510</v>
      </c>
      <c r="E2079" s="18">
        <v>45874</v>
      </c>
      <c r="F2079" s="18" t="s">
        <v>608</v>
      </c>
      <c r="G2079" t="s">
        <v>99</v>
      </c>
      <c r="H2079">
        <v>1</v>
      </c>
      <c r="I2079">
        <v>2</v>
      </c>
      <c r="J2079" s="27">
        <v>26672.66</v>
      </c>
      <c r="K2079" s="27">
        <v>3500000</v>
      </c>
    </row>
    <row r="2080" spans="1:11" ht="15" customHeight="1" x14ac:dyDescent="0.2">
      <c r="A2080" t="s">
        <v>10552</v>
      </c>
      <c r="B2080" t="s">
        <v>10553</v>
      </c>
      <c r="C2080">
        <v>2024</v>
      </c>
      <c r="D2080" s="18">
        <v>45510</v>
      </c>
      <c r="E2080" s="18">
        <v>45874</v>
      </c>
      <c r="F2080" s="18" t="s">
        <v>608</v>
      </c>
      <c r="G2080" t="s">
        <v>100</v>
      </c>
      <c r="H2080">
        <v>2</v>
      </c>
      <c r="I2080">
        <v>2</v>
      </c>
      <c r="J2080" s="27">
        <v>14051.96</v>
      </c>
      <c r="K2080" s="27">
        <v>1000000</v>
      </c>
    </row>
    <row r="2081" spans="1:11" ht="15" customHeight="1" x14ac:dyDescent="0.2">
      <c r="A2081" t="s">
        <v>10554</v>
      </c>
      <c r="B2081" t="s">
        <v>10555</v>
      </c>
      <c r="C2081">
        <v>2024</v>
      </c>
      <c r="D2081" s="18">
        <v>45510</v>
      </c>
      <c r="E2081" s="18">
        <v>45874</v>
      </c>
      <c r="F2081" s="18" t="s">
        <v>611</v>
      </c>
      <c r="G2081" t="s">
        <v>100</v>
      </c>
      <c r="H2081">
        <v>1</v>
      </c>
      <c r="I2081">
        <v>2</v>
      </c>
      <c r="J2081" s="27">
        <v>66080.73</v>
      </c>
      <c r="K2081" s="27">
        <v>5000000</v>
      </c>
    </row>
    <row r="2082" spans="1:11" ht="15" customHeight="1" x14ac:dyDescent="0.2">
      <c r="A2082" t="s">
        <v>10556</v>
      </c>
      <c r="B2082" t="s">
        <v>10557</v>
      </c>
      <c r="C2082">
        <v>2024</v>
      </c>
      <c r="D2082" s="18">
        <v>45510</v>
      </c>
      <c r="E2082" s="18">
        <v>45874</v>
      </c>
      <c r="F2082" s="18" t="s">
        <v>611</v>
      </c>
      <c r="G2082" t="s">
        <v>102</v>
      </c>
      <c r="H2082">
        <v>3</v>
      </c>
      <c r="I2082">
        <v>6</v>
      </c>
      <c r="J2082" s="27">
        <v>18456.400000000001</v>
      </c>
      <c r="K2082" s="27">
        <v>2000000</v>
      </c>
    </row>
    <row r="2083" spans="1:11" ht="15" customHeight="1" x14ac:dyDescent="0.2">
      <c r="A2083" t="s">
        <v>10558</v>
      </c>
      <c r="B2083" t="s">
        <v>10559</v>
      </c>
      <c r="C2083">
        <v>2024</v>
      </c>
      <c r="D2083" s="18">
        <v>45510</v>
      </c>
      <c r="E2083" s="18">
        <v>45874</v>
      </c>
      <c r="F2083" s="18" t="s">
        <v>611</v>
      </c>
      <c r="G2083" t="s">
        <v>99</v>
      </c>
      <c r="H2083">
        <v>1</v>
      </c>
      <c r="I2083">
        <v>2</v>
      </c>
      <c r="J2083" s="27">
        <v>84617.48</v>
      </c>
      <c r="K2083" s="27">
        <v>10000000</v>
      </c>
    </row>
    <row r="2084" spans="1:11" ht="15" customHeight="1" x14ac:dyDescent="0.2">
      <c r="A2084" t="s">
        <v>10560</v>
      </c>
      <c r="B2084" t="s">
        <v>10561</v>
      </c>
      <c r="C2084">
        <v>2024</v>
      </c>
      <c r="D2084" s="18">
        <v>45510</v>
      </c>
      <c r="E2084" s="18">
        <v>45874</v>
      </c>
      <c r="F2084" s="18" t="s">
        <v>611</v>
      </c>
      <c r="G2084" t="s">
        <v>102</v>
      </c>
      <c r="H2084">
        <v>1</v>
      </c>
      <c r="I2084">
        <v>1</v>
      </c>
      <c r="J2084" s="27">
        <v>27186.25</v>
      </c>
      <c r="K2084" s="27">
        <v>3500000</v>
      </c>
    </row>
    <row r="2085" spans="1:11" ht="15" customHeight="1" x14ac:dyDescent="0.2">
      <c r="A2085" t="s">
        <v>10562</v>
      </c>
      <c r="B2085" t="s">
        <v>10563</v>
      </c>
      <c r="C2085">
        <v>2024</v>
      </c>
      <c r="D2085" s="18">
        <v>45511</v>
      </c>
      <c r="E2085" s="18">
        <v>45875</v>
      </c>
      <c r="F2085" s="18" t="s">
        <v>608</v>
      </c>
      <c r="G2085" t="s">
        <v>100</v>
      </c>
      <c r="H2085">
        <v>1</v>
      </c>
      <c r="I2085">
        <v>2</v>
      </c>
      <c r="J2085" s="27">
        <v>13906.17</v>
      </c>
      <c r="K2085" s="27">
        <v>1000000</v>
      </c>
    </row>
    <row r="2086" spans="1:11" ht="15" customHeight="1" x14ac:dyDescent="0.2">
      <c r="A2086" t="s">
        <v>10564</v>
      </c>
      <c r="B2086" t="s">
        <v>10565</v>
      </c>
      <c r="C2086">
        <v>2024</v>
      </c>
      <c r="D2086" s="18">
        <v>45511</v>
      </c>
      <c r="E2086" s="18">
        <v>45875</v>
      </c>
      <c r="F2086" s="18" t="s">
        <v>608</v>
      </c>
      <c r="G2086" t="s">
        <v>101</v>
      </c>
      <c r="H2086">
        <v>1</v>
      </c>
      <c r="I2086">
        <v>1</v>
      </c>
      <c r="J2086" s="27">
        <v>8015.9</v>
      </c>
      <c r="K2086" s="27">
        <v>500000</v>
      </c>
    </row>
    <row r="2087" spans="1:11" ht="15" customHeight="1" x14ac:dyDescent="0.2">
      <c r="A2087" t="s">
        <v>10566</v>
      </c>
      <c r="B2087" t="s">
        <v>10567</v>
      </c>
      <c r="C2087">
        <v>2024</v>
      </c>
      <c r="D2087" s="18">
        <v>45511</v>
      </c>
      <c r="E2087" s="18">
        <v>45875</v>
      </c>
      <c r="F2087" s="18" t="s">
        <v>611</v>
      </c>
      <c r="G2087" t="s">
        <v>99</v>
      </c>
      <c r="H2087">
        <v>2</v>
      </c>
      <c r="I2087">
        <v>4</v>
      </c>
      <c r="J2087" s="27">
        <v>3869.87</v>
      </c>
      <c r="K2087" s="27">
        <v>500000</v>
      </c>
    </row>
    <row r="2088" spans="1:11" ht="15" customHeight="1" x14ac:dyDescent="0.2">
      <c r="A2088" t="s">
        <v>10568</v>
      </c>
      <c r="B2088" t="s">
        <v>10569</v>
      </c>
      <c r="C2088">
        <v>2024</v>
      </c>
      <c r="D2088" s="18">
        <v>45511</v>
      </c>
      <c r="E2088" s="18">
        <v>45875</v>
      </c>
      <c r="F2088" s="18" t="s">
        <v>611</v>
      </c>
      <c r="G2088" t="s">
        <v>99</v>
      </c>
      <c r="H2088">
        <v>3</v>
      </c>
      <c r="I2088">
        <v>3</v>
      </c>
      <c r="J2088" s="27">
        <v>11913.51</v>
      </c>
      <c r="K2088" s="27">
        <v>1500000</v>
      </c>
    </row>
    <row r="2089" spans="1:11" ht="15" customHeight="1" x14ac:dyDescent="0.2">
      <c r="A2089" t="s">
        <v>10570</v>
      </c>
      <c r="B2089" t="s">
        <v>10571</v>
      </c>
      <c r="C2089">
        <v>2024</v>
      </c>
      <c r="D2089" s="18">
        <v>45511</v>
      </c>
      <c r="E2089" s="18">
        <v>45875</v>
      </c>
      <c r="F2089" s="18" t="s">
        <v>611</v>
      </c>
      <c r="G2089" t="s">
        <v>101</v>
      </c>
      <c r="H2089">
        <v>3</v>
      </c>
      <c r="I2089">
        <v>3</v>
      </c>
      <c r="J2089" s="27">
        <v>41120.550000000003</v>
      </c>
      <c r="K2089" s="27">
        <v>2500000</v>
      </c>
    </row>
    <row r="2090" spans="1:11" ht="15" customHeight="1" x14ac:dyDescent="0.2">
      <c r="A2090" t="s">
        <v>10572</v>
      </c>
      <c r="B2090" t="s">
        <v>10573</v>
      </c>
      <c r="C2090">
        <v>2024</v>
      </c>
      <c r="D2090" s="18">
        <v>45511</v>
      </c>
      <c r="E2090" s="18">
        <v>45875</v>
      </c>
      <c r="F2090" s="18" t="s">
        <v>611</v>
      </c>
      <c r="G2090" t="s">
        <v>99</v>
      </c>
      <c r="H2090">
        <v>2</v>
      </c>
      <c r="I2090">
        <v>4</v>
      </c>
      <c r="J2090" s="27">
        <v>7475.2</v>
      </c>
      <c r="K2090" s="27">
        <v>1000000</v>
      </c>
    </row>
    <row r="2091" spans="1:11" ht="15" customHeight="1" x14ac:dyDescent="0.2">
      <c r="A2091" t="s">
        <v>10574</v>
      </c>
      <c r="B2091" t="s">
        <v>10575</v>
      </c>
      <c r="C2091">
        <v>2024</v>
      </c>
      <c r="D2091" s="18">
        <v>45511</v>
      </c>
      <c r="E2091" s="18">
        <v>45875</v>
      </c>
      <c r="F2091" s="18" t="s">
        <v>611</v>
      </c>
      <c r="G2091" t="s">
        <v>100</v>
      </c>
      <c r="H2091">
        <v>1</v>
      </c>
      <c r="I2091">
        <v>2</v>
      </c>
      <c r="J2091" s="27">
        <v>125384.02</v>
      </c>
      <c r="K2091" s="27">
        <v>10000000</v>
      </c>
    </row>
    <row r="2092" spans="1:11" ht="15" customHeight="1" x14ac:dyDescent="0.2">
      <c r="A2092" t="s">
        <v>10576</v>
      </c>
      <c r="B2092" t="s">
        <v>10577</v>
      </c>
      <c r="C2092">
        <v>2024</v>
      </c>
      <c r="D2092" s="18">
        <v>45511</v>
      </c>
      <c r="E2092" s="18">
        <v>45875</v>
      </c>
      <c r="F2092" s="18" t="s">
        <v>611</v>
      </c>
      <c r="G2092" t="s">
        <v>99</v>
      </c>
      <c r="H2092">
        <v>1</v>
      </c>
      <c r="I2092">
        <v>1</v>
      </c>
      <c r="J2092" s="27">
        <v>22128.639999999999</v>
      </c>
      <c r="K2092" s="27">
        <v>3000000</v>
      </c>
    </row>
    <row r="2093" spans="1:11" ht="15" customHeight="1" x14ac:dyDescent="0.2">
      <c r="A2093" t="s">
        <v>10578</v>
      </c>
      <c r="B2093" t="s">
        <v>10579</v>
      </c>
      <c r="C2093">
        <v>2024</v>
      </c>
      <c r="D2093" s="18">
        <v>45511</v>
      </c>
      <c r="E2093" s="18">
        <v>45875</v>
      </c>
      <c r="F2093" s="18" t="s">
        <v>611</v>
      </c>
      <c r="G2093" t="s">
        <v>101</v>
      </c>
      <c r="H2093">
        <v>3</v>
      </c>
      <c r="I2093">
        <v>3</v>
      </c>
      <c r="J2093" s="27">
        <v>32292.97</v>
      </c>
      <c r="K2093" s="27">
        <v>2000000</v>
      </c>
    </row>
    <row r="2094" spans="1:11" ht="15" customHeight="1" x14ac:dyDescent="0.2">
      <c r="A2094" t="s">
        <v>10580</v>
      </c>
      <c r="B2094" t="s">
        <v>10581</v>
      </c>
      <c r="C2094">
        <v>2024</v>
      </c>
      <c r="D2094" s="18">
        <v>45511</v>
      </c>
      <c r="E2094" s="18">
        <v>45875</v>
      </c>
      <c r="F2094" s="18" t="s">
        <v>611</v>
      </c>
      <c r="G2094" t="s">
        <v>101</v>
      </c>
      <c r="H2094">
        <v>2</v>
      </c>
      <c r="I2094">
        <v>2</v>
      </c>
      <c r="J2094" s="27">
        <v>57047.51</v>
      </c>
      <c r="K2094" s="27">
        <v>3000000</v>
      </c>
    </row>
    <row r="2095" spans="1:11" ht="15" customHeight="1" x14ac:dyDescent="0.2">
      <c r="A2095" t="s">
        <v>10582</v>
      </c>
      <c r="B2095" t="s">
        <v>10583</v>
      </c>
      <c r="C2095">
        <v>2024</v>
      </c>
      <c r="D2095" s="18">
        <v>45511</v>
      </c>
      <c r="E2095" s="18">
        <v>45875</v>
      </c>
      <c r="F2095" s="18" t="s">
        <v>611</v>
      </c>
      <c r="G2095" t="s">
        <v>101</v>
      </c>
      <c r="H2095">
        <v>2</v>
      </c>
      <c r="I2095">
        <v>2</v>
      </c>
      <c r="J2095" s="27">
        <v>88049.58</v>
      </c>
      <c r="K2095" s="27">
        <v>5000000</v>
      </c>
    </row>
    <row r="2096" spans="1:11" ht="15" customHeight="1" x14ac:dyDescent="0.2">
      <c r="A2096" t="s">
        <v>10584</v>
      </c>
      <c r="B2096" t="s">
        <v>10585</v>
      </c>
      <c r="C2096">
        <v>2024</v>
      </c>
      <c r="D2096" s="18">
        <v>45511</v>
      </c>
      <c r="E2096" s="18">
        <v>45875</v>
      </c>
      <c r="F2096" s="18" t="s">
        <v>611</v>
      </c>
      <c r="G2096" t="s">
        <v>102</v>
      </c>
      <c r="H2096">
        <v>3</v>
      </c>
      <c r="I2096">
        <v>3</v>
      </c>
      <c r="J2096" s="27">
        <v>7993.55</v>
      </c>
      <c r="K2096" s="27">
        <v>1000000</v>
      </c>
    </row>
    <row r="2097" spans="1:11" ht="15" customHeight="1" x14ac:dyDescent="0.2">
      <c r="A2097" t="s">
        <v>10586</v>
      </c>
      <c r="B2097" t="s">
        <v>10587</v>
      </c>
      <c r="C2097">
        <v>2024</v>
      </c>
      <c r="D2097" s="18">
        <v>45512</v>
      </c>
      <c r="E2097" s="18">
        <v>45876</v>
      </c>
      <c r="F2097" s="18" t="s">
        <v>608</v>
      </c>
      <c r="G2097" t="s">
        <v>99</v>
      </c>
      <c r="H2097">
        <v>3</v>
      </c>
      <c r="I2097">
        <v>3</v>
      </c>
      <c r="J2097" s="27">
        <v>8194.2999999999993</v>
      </c>
      <c r="K2097" s="27">
        <v>1000000</v>
      </c>
    </row>
    <row r="2098" spans="1:11" ht="15" customHeight="1" x14ac:dyDescent="0.2">
      <c r="A2098" t="s">
        <v>10588</v>
      </c>
      <c r="B2098" t="s">
        <v>10589</v>
      </c>
      <c r="C2098">
        <v>2024</v>
      </c>
      <c r="D2098" s="18">
        <v>45512</v>
      </c>
      <c r="E2098" s="18">
        <v>45876</v>
      </c>
      <c r="F2098" s="18" t="s">
        <v>608</v>
      </c>
      <c r="G2098" t="s">
        <v>99</v>
      </c>
      <c r="H2098">
        <v>2</v>
      </c>
      <c r="I2098">
        <v>4</v>
      </c>
      <c r="J2098" s="27">
        <v>31688.83</v>
      </c>
      <c r="K2098" s="27">
        <v>4000000</v>
      </c>
    </row>
    <row r="2099" spans="1:11" ht="15" customHeight="1" x14ac:dyDescent="0.2">
      <c r="A2099" t="s">
        <v>10590</v>
      </c>
      <c r="B2099" t="s">
        <v>10591</v>
      </c>
      <c r="C2099">
        <v>2024</v>
      </c>
      <c r="D2099" s="18">
        <v>45512</v>
      </c>
      <c r="E2099" s="18">
        <v>45876</v>
      </c>
      <c r="F2099" s="18" t="s">
        <v>608</v>
      </c>
      <c r="G2099" t="s">
        <v>99</v>
      </c>
      <c r="H2099">
        <v>1</v>
      </c>
      <c r="I2099">
        <v>1</v>
      </c>
      <c r="J2099" s="27">
        <v>17774.689999999999</v>
      </c>
      <c r="K2099" s="27">
        <v>2000000</v>
      </c>
    </row>
    <row r="2100" spans="1:11" ht="15" customHeight="1" x14ac:dyDescent="0.2">
      <c r="A2100" t="s">
        <v>10592</v>
      </c>
      <c r="B2100" t="s">
        <v>10593</v>
      </c>
      <c r="C2100">
        <v>2024</v>
      </c>
      <c r="D2100" s="18">
        <v>45512</v>
      </c>
      <c r="E2100" s="18">
        <v>45876</v>
      </c>
      <c r="F2100" s="18" t="s">
        <v>608</v>
      </c>
      <c r="G2100" t="s">
        <v>101</v>
      </c>
      <c r="H2100">
        <v>1</v>
      </c>
      <c r="I2100">
        <v>1</v>
      </c>
      <c r="J2100" s="27">
        <v>72092.710000000006</v>
      </c>
      <c r="K2100" s="27">
        <v>4000000</v>
      </c>
    </row>
    <row r="2101" spans="1:11" ht="15" customHeight="1" x14ac:dyDescent="0.2">
      <c r="A2101" t="s">
        <v>10594</v>
      </c>
      <c r="B2101" t="s">
        <v>10595</v>
      </c>
      <c r="C2101">
        <v>2024</v>
      </c>
      <c r="D2101" s="18">
        <v>45512</v>
      </c>
      <c r="E2101" s="18">
        <v>45876</v>
      </c>
      <c r="F2101" s="18" t="s">
        <v>611</v>
      </c>
      <c r="G2101" t="s">
        <v>99</v>
      </c>
      <c r="H2101">
        <v>2</v>
      </c>
      <c r="I2101">
        <v>4</v>
      </c>
      <c r="J2101" s="27">
        <v>7783.71</v>
      </c>
      <c r="K2101" s="27">
        <v>1000000</v>
      </c>
    </row>
    <row r="2102" spans="1:11" ht="15" customHeight="1" x14ac:dyDescent="0.2">
      <c r="A2102" t="s">
        <v>10596</v>
      </c>
      <c r="B2102" t="s">
        <v>10597</v>
      </c>
      <c r="C2102">
        <v>2024</v>
      </c>
      <c r="D2102" s="18">
        <v>45512</v>
      </c>
      <c r="E2102" s="18">
        <v>45876</v>
      </c>
      <c r="F2102" s="18" t="s">
        <v>611</v>
      </c>
      <c r="G2102" t="s">
        <v>101</v>
      </c>
      <c r="H2102">
        <v>2</v>
      </c>
      <c r="I2102">
        <v>4</v>
      </c>
      <c r="J2102" s="27">
        <v>23658.37</v>
      </c>
      <c r="K2102" s="27">
        <v>1500000</v>
      </c>
    </row>
    <row r="2103" spans="1:11" ht="15" customHeight="1" x14ac:dyDescent="0.2">
      <c r="A2103" t="s">
        <v>10598</v>
      </c>
      <c r="B2103" t="s">
        <v>10599</v>
      </c>
      <c r="C2103">
        <v>2024</v>
      </c>
      <c r="D2103" s="18">
        <v>45512</v>
      </c>
      <c r="E2103" s="18">
        <v>45876</v>
      </c>
      <c r="F2103" s="18" t="s">
        <v>611</v>
      </c>
      <c r="G2103" t="s">
        <v>101</v>
      </c>
      <c r="H2103">
        <v>3</v>
      </c>
      <c r="I2103">
        <v>3</v>
      </c>
      <c r="J2103" s="27">
        <v>38310.14</v>
      </c>
      <c r="K2103" s="27">
        <v>2000000</v>
      </c>
    </row>
    <row r="2104" spans="1:11" ht="15" customHeight="1" x14ac:dyDescent="0.2">
      <c r="A2104" t="s">
        <v>10600</v>
      </c>
      <c r="B2104" t="s">
        <v>10601</v>
      </c>
      <c r="C2104">
        <v>2024</v>
      </c>
      <c r="D2104" s="18">
        <v>45512</v>
      </c>
      <c r="E2104" s="18">
        <v>45876</v>
      </c>
      <c r="F2104" s="18" t="s">
        <v>611</v>
      </c>
      <c r="G2104" t="s">
        <v>100</v>
      </c>
      <c r="H2104">
        <v>1</v>
      </c>
      <c r="I2104">
        <v>1</v>
      </c>
      <c r="J2104" s="27">
        <v>49448.91</v>
      </c>
      <c r="K2104" s="27">
        <v>4000000</v>
      </c>
    </row>
    <row r="2105" spans="1:11" ht="15" customHeight="1" x14ac:dyDescent="0.2">
      <c r="A2105" t="s">
        <v>10602</v>
      </c>
      <c r="B2105" t="s">
        <v>10603</v>
      </c>
      <c r="C2105">
        <v>2024</v>
      </c>
      <c r="D2105" s="18">
        <v>45512</v>
      </c>
      <c r="E2105" s="18">
        <v>45876</v>
      </c>
      <c r="F2105" s="18" t="s">
        <v>611</v>
      </c>
      <c r="G2105" t="s">
        <v>99</v>
      </c>
      <c r="H2105">
        <v>2</v>
      </c>
      <c r="I2105">
        <v>2</v>
      </c>
      <c r="J2105" s="27">
        <v>31782.400000000001</v>
      </c>
      <c r="K2105" s="27">
        <v>4000000</v>
      </c>
    </row>
    <row r="2106" spans="1:11" ht="15" customHeight="1" x14ac:dyDescent="0.2">
      <c r="A2106" t="s">
        <v>10604</v>
      </c>
      <c r="B2106" t="s">
        <v>10605</v>
      </c>
      <c r="C2106">
        <v>2024</v>
      </c>
      <c r="D2106" s="18">
        <v>45512</v>
      </c>
      <c r="E2106" s="18">
        <v>45876</v>
      </c>
      <c r="F2106" s="18" t="s">
        <v>611</v>
      </c>
      <c r="G2106" t="s">
        <v>99</v>
      </c>
      <c r="H2106">
        <v>1</v>
      </c>
      <c r="I2106">
        <v>1</v>
      </c>
      <c r="J2106" s="27">
        <v>16546.990000000002</v>
      </c>
      <c r="K2106" s="27">
        <v>2000000</v>
      </c>
    </row>
    <row r="2107" spans="1:11" ht="15" customHeight="1" x14ac:dyDescent="0.2">
      <c r="A2107" t="s">
        <v>10606</v>
      </c>
      <c r="B2107" t="s">
        <v>10607</v>
      </c>
      <c r="C2107">
        <v>2024</v>
      </c>
      <c r="D2107" s="18">
        <v>45512</v>
      </c>
      <c r="E2107" s="18">
        <v>45876</v>
      </c>
      <c r="F2107" s="18" t="s">
        <v>611</v>
      </c>
      <c r="G2107" t="s">
        <v>102</v>
      </c>
      <c r="H2107">
        <v>2</v>
      </c>
      <c r="I2107">
        <v>4</v>
      </c>
      <c r="J2107" s="27">
        <v>42427.68</v>
      </c>
      <c r="K2107" s="27">
        <v>5000000</v>
      </c>
    </row>
    <row r="2108" spans="1:11" ht="15" customHeight="1" x14ac:dyDescent="0.2">
      <c r="A2108" t="s">
        <v>10608</v>
      </c>
      <c r="B2108" t="s">
        <v>10609</v>
      </c>
      <c r="C2108">
        <v>2024</v>
      </c>
      <c r="D2108" s="18">
        <v>45513</v>
      </c>
      <c r="E2108" s="18">
        <v>45877</v>
      </c>
      <c r="F2108" s="18" t="s">
        <v>608</v>
      </c>
      <c r="G2108" t="s">
        <v>101</v>
      </c>
      <c r="H2108">
        <v>1</v>
      </c>
      <c r="I2108">
        <v>2</v>
      </c>
      <c r="J2108" s="27">
        <v>37593.29</v>
      </c>
      <c r="K2108" s="27">
        <v>2000000</v>
      </c>
    </row>
    <row r="2109" spans="1:11" ht="15" customHeight="1" x14ac:dyDescent="0.2">
      <c r="A2109" t="s">
        <v>10610</v>
      </c>
      <c r="B2109" t="s">
        <v>10611</v>
      </c>
      <c r="C2109">
        <v>2024</v>
      </c>
      <c r="D2109" s="18">
        <v>45513</v>
      </c>
      <c r="E2109" s="18">
        <v>45877</v>
      </c>
      <c r="F2109" s="18" t="s">
        <v>608</v>
      </c>
      <c r="G2109" t="s">
        <v>99</v>
      </c>
      <c r="H2109">
        <v>2</v>
      </c>
      <c r="I2109">
        <v>2</v>
      </c>
      <c r="J2109" s="27">
        <v>7451.37</v>
      </c>
      <c r="K2109" s="27">
        <v>1000000</v>
      </c>
    </row>
    <row r="2110" spans="1:11" ht="15" customHeight="1" x14ac:dyDescent="0.2">
      <c r="A2110" t="s">
        <v>10612</v>
      </c>
      <c r="B2110" t="s">
        <v>10613</v>
      </c>
      <c r="C2110">
        <v>2024</v>
      </c>
      <c r="D2110" s="18">
        <v>45513</v>
      </c>
      <c r="E2110" s="18">
        <v>45877</v>
      </c>
      <c r="F2110" s="18" t="s">
        <v>608</v>
      </c>
      <c r="G2110" t="s">
        <v>99</v>
      </c>
      <c r="H2110">
        <v>2</v>
      </c>
      <c r="I2110">
        <v>2</v>
      </c>
      <c r="J2110" s="27">
        <v>32206.25</v>
      </c>
      <c r="K2110" s="27">
        <v>4000000</v>
      </c>
    </row>
    <row r="2111" spans="1:11" ht="15" customHeight="1" x14ac:dyDescent="0.2">
      <c r="A2111" t="s">
        <v>10614</v>
      </c>
      <c r="B2111" t="s">
        <v>10615</v>
      </c>
      <c r="C2111">
        <v>2024</v>
      </c>
      <c r="D2111" s="18">
        <v>45513</v>
      </c>
      <c r="E2111" s="18">
        <v>45877</v>
      </c>
      <c r="F2111" s="18" t="s">
        <v>611</v>
      </c>
      <c r="G2111" t="s">
        <v>102</v>
      </c>
      <c r="H2111">
        <v>3</v>
      </c>
      <c r="I2111">
        <v>3</v>
      </c>
      <c r="J2111" s="27">
        <v>35827.68</v>
      </c>
      <c r="K2111" s="27">
        <v>4000000</v>
      </c>
    </row>
    <row r="2112" spans="1:11" ht="15" customHeight="1" x14ac:dyDescent="0.2">
      <c r="A2112" t="s">
        <v>10616</v>
      </c>
      <c r="B2112" t="s">
        <v>10617</v>
      </c>
      <c r="C2112">
        <v>2024</v>
      </c>
      <c r="D2112" s="18">
        <v>45513</v>
      </c>
      <c r="E2112" s="18">
        <v>45877</v>
      </c>
      <c r="F2112" s="18" t="s">
        <v>611</v>
      </c>
      <c r="G2112" t="s">
        <v>100</v>
      </c>
      <c r="H2112">
        <v>3</v>
      </c>
      <c r="I2112">
        <v>6</v>
      </c>
      <c r="J2112" s="27">
        <v>54495.68</v>
      </c>
      <c r="K2112" s="27">
        <v>4000000</v>
      </c>
    </row>
    <row r="2113" spans="1:11" ht="15" customHeight="1" x14ac:dyDescent="0.2">
      <c r="A2113" t="s">
        <v>10618</v>
      </c>
      <c r="B2113" t="s">
        <v>10619</v>
      </c>
      <c r="C2113">
        <v>2024</v>
      </c>
      <c r="D2113" s="18">
        <v>45514</v>
      </c>
      <c r="E2113" s="18">
        <v>45878</v>
      </c>
      <c r="F2113" s="18" t="s">
        <v>608</v>
      </c>
      <c r="G2113" t="s">
        <v>101</v>
      </c>
      <c r="H2113">
        <v>3</v>
      </c>
      <c r="I2113">
        <v>6</v>
      </c>
      <c r="J2113" s="27">
        <v>56971.89</v>
      </c>
      <c r="K2113" s="27">
        <v>3000000</v>
      </c>
    </row>
    <row r="2114" spans="1:11" ht="15" customHeight="1" x14ac:dyDescent="0.2">
      <c r="A2114" t="s">
        <v>10620</v>
      </c>
      <c r="B2114" t="s">
        <v>10621</v>
      </c>
      <c r="C2114">
        <v>2024</v>
      </c>
      <c r="D2114" s="18">
        <v>45514</v>
      </c>
      <c r="E2114" s="18">
        <v>45878</v>
      </c>
      <c r="F2114" s="18" t="s">
        <v>611</v>
      </c>
      <c r="G2114" t="s">
        <v>99</v>
      </c>
      <c r="H2114">
        <v>1</v>
      </c>
      <c r="I2114">
        <v>1</v>
      </c>
      <c r="J2114" s="27">
        <v>73813.16</v>
      </c>
      <c r="K2114" s="27">
        <v>10000000</v>
      </c>
    </row>
    <row r="2115" spans="1:11" ht="15" customHeight="1" x14ac:dyDescent="0.2">
      <c r="A2115" t="s">
        <v>10622</v>
      </c>
      <c r="B2115" t="s">
        <v>10623</v>
      </c>
      <c r="C2115">
        <v>2024</v>
      </c>
      <c r="D2115" s="18">
        <v>45514</v>
      </c>
      <c r="E2115" s="18">
        <v>45878</v>
      </c>
      <c r="F2115" s="18" t="s">
        <v>611</v>
      </c>
      <c r="G2115" t="s">
        <v>101</v>
      </c>
      <c r="H2115">
        <v>2</v>
      </c>
      <c r="I2115">
        <v>2</v>
      </c>
      <c r="J2115" s="27">
        <v>35515.800000000003</v>
      </c>
      <c r="K2115" s="27">
        <v>2000000</v>
      </c>
    </row>
    <row r="2116" spans="1:11" ht="15" customHeight="1" x14ac:dyDescent="0.2">
      <c r="A2116" t="s">
        <v>10624</v>
      </c>
      <c r="B2116" t="s">
        <v>10625</v>
      </c>
      <c r="C2116">
        <v>2024</v>
      </c>
      <c r="D2116" s="18">
        <v>45514</v>
      </c>
      <c r="E2116" s="18">
        <v>45878</v>
      </c>
      <c r="F2116" s="18" t="s">
        <v>611</v>
      </c>
      <c r="G2116" t="s">
        <v>102</v>
      </c>
      <c r="H2116">
        <v>1</v>
      </c>
      <c r="I2116">
        <v>2</v>
      </c>
      <c r="J2116" s="27">
        <v>41290.370000000003</v>
      </c>
      <c r="K2116" s="27">
        <v>5000000</v>
      </c>
    </row>
    <row r="2117" spans="1:11" ht="15" customHeight="1" x14ac:dyDescent="0.2">
      <c r="A2117" t="s">
        <v>10626</v>
      </c>
      <c r="B2117" t="s">
        <v>10627</v>
      </c>
      <c r="C2117">
        <v>2024</v>
      </c>
      <c r="D2117" s="18">
        <v>45514</v>
      </c>
      <c r="E2117" s="18">
        <v>45878</v>
      </c>
      <c r="F2117" s="18" t="s">
        <v>611</v>
      </c>
      <c r="G2117" t="s">
        <v>99</v>
      </c>
      <c r="H2117">
        <v>3</v>
      </c>
      <c r="I2117">
        <v>3</v>
      </c>
      <c r="J2117" s="27">
        <v>7847.37</v>
      </c>
      <c r="K2117" s="27">
        <v>1000000</v>
      </c>
    </row>
    <row r="2118" spans="1:11" ht="15" customHeight="1" x14ac:dyDescent="0.2">
      <c r="A2118" t="s">
        <v>10628</v>
      </c>
      <c r="B2118" t="s">
        <v>10629</v>
      </c>
      <c r="C2118">
        <v>2024</v>
      </c>
      <c r="D2118" s="18">
        <v>45514</v>
      </c>
      <c r="E2118" s="18">
        <v>45878</v>
      </c>
      <c r="F2118" s="18" t="s">
        <v>611</v>
      </c>
      <c r="G2118" t="s">
        <v>101</v>
      </c>
      <c r="H2118">
        <v>1</v>
      </c>
      <c r="I2118">
        <v>2</v>
      </c>
      <c r="J2118" s="27">
        <v>36971.589999999997</v>
      </c>
      <c r="K2118" s="27">
        <v>2000000</v>
      </c>
    </row>
    <row r="2119" spans="1:11" ht="15" customHeight="1" x14ac:dyDescent="0.2">
      <c r="A2119" t="s">
        <v>10630</v>
      </c>
      <c r="B2119" t="s">
        <v>10631</v>
      </c>
      <c r="C2119">
        <v>2024</v>
      </c>
      <c r="D2119" s="18">
        <v>45514</v>
      </c>
      <c r="E2119" s="18">
        <v>45878</v>
      </c>
      <c r="F2119" s="18" t="s">
        <v>611</v>
      </c>
      <c r="G2119" t="s">
        <v>101</v>
      </c>
      <c r="H2119">
        <v>1</v>
      </c>
      <c r="I2119">
        <v>1</v>
      </c>
      <c r="J2119" s="27">
        <v>46025.4</v>
      </c>
      <c r="K2119" s="27">
        <v>2500000</v>
      </c>
    </row>
    <row r="2120" spans="1:11" ht="15" customHeight="1" x14ac:dyDescent="0.2">
      <c r="A2120" t="s">
        <v>10632</v>
      </c>
      <c r="B2120" t="s">
        <v>10633</v>
      </c>
      <c r="C2120">
        <v>2024</v>
      </c>
      <c r="D2120" s="18">
        <v>45514</v>
      </c>
      <c r="E2120" s="18">
        <v>45878</v>
      </c>
      <c r="F2120" s="18" t="s">
        <v>611</v>
      </c>
      <c r="G2120" t="s">
        <v>101</v>
      </c>
      <c r="H2120">
        <v>1</v>
      </c>
      <c r="I2120">
        <v>1</v>
      </c>
      <c r="J2120" s="27">
        <v>31616.14</v>
      </c>
      <c r="K2120" s="27">
        <v>2000000</v>
      </c>
    </row>
    <row r="2121" spans="1:11" ht="15" customHeight="1" x14ac:dyDescent="0.2">
      <c r="A2121" t="s">
        <v>10634</v>
      </c>
      <c r="B2121" t="s">
        <v>10635</v>
      </c>
      <c r="C2121">
        <v>2024</v>
      </c>
      <c r="D2121" s="18">
        <v>45514</v>
      </c>
      <c r="E2121" s="18">
        <v>45878</v>
      </c>
      <c r="F2121" s="18" t="s">
        <v>611</v>
      </c>
      <c r="G2121" t="s">
        <v>99</v>
      </c>
      <c r="H2121">
        <v>1</v>
      </c>
      <c r="I2121">
        <v>1</v>
      </c>
      <c r="J2121" s="27">
        <v>24252.77</v>
      </c>
      <c r="K2121" s="27">
        <v>3000000</v>
      </c>
    </row>
    <row r="2122" spans="1:11" ht="15" customHeight="1" x14ac:dyDescent="0.2">
      <c r="A2122" t="s">
        <v>10636</v>
      </c>
      <c r="B2122" t="s">
        <v>10637</v>
      </c>
      <c r="C2122">
        <v>2024</v>
      </c>
      <c r="D2122" s="18">
        <v>45515</v>
      </c>
      <c r="E2122" s="18">
        <v>45879</v>
      </c>
      <c r="F2122" s="18" t="s">
        <v>608</v>
      </c>
      <c r="G2122" t="s">
        <v>100</v>
      </c>
      <c r="H2122">
        <v>2</v>
      </c>
      <c r="I2122">
        <v>2</v>
      </c>
      <c r="J2122" s="27">
        <v>60996.06</v>
      </c>
      <c r="K2122" s="27">
        <v>5000000</v>
      </c>
    </row>
    <row r="2123" spans="1:11" ht="15" customHeight="1" x14ac:dyDescent="0.2">
      <c r="A2123" t="s">
        <v>10638</v>
      </c>
      <c r="B2123" t="s">
        <v>10639</v>
      </c>
      <c r="C2123">
        <v>2024</v>
      </c>
      <c r="D2123" s="18">
        <v>45515</v>
      </c>
      <c r="E2123" s="18">
        <v>45879</v>
      </c>
      <c r="F2123" s="18" t="s">
        <v>608</v>
      </c>
      <c r="G2123" t="s">
        <v>102</v>
      </c>
      <c r="H2123">
        <v>1</v>
      </c>
      <c r="I2123">
        <v>1</v>
      </c>
      <c r="J2123" s="27">
        <v>25908.11</v>
      </c>
      <c r="K2123" s="27">
        <v>3000000</v>
      </c>
    </row>
    <row r="2124" spans="1:11" ht="15" customHeight="1" x14ac:dyDescent="0.2">
      <c r="A2124" t="s">
        <v>10640</v>
      </c>
      <c r="B2124" t="s">
        <v>10641</v>
      </c>
      <c r="C2124">
        <v>2024</v>
      </c>
      <c r="D2124" s="18">
        <v>45515</v>
      </c>
      <c r="E2124" s="18">
        <v>45879</v>
      </c>
      <c r="F2124" s="18" t="s">
        <v>608</v>
      </c>
      <c r="G2124" t="s">
        <v>102</v>
      </c>
      <c r="H2124">
        <v>3</v>
      </c>
      <c r="I2124">
        <v>3</v>
      </c>
      <c r="J2124" s="27">
        <v>17591.47</v>
      </c>
      <c r="K2124" s="27">
        <v>2000000</v>
      </c>
    </row>
    <row r="2125" spans="1:11" ht="15" customHeight="1" x14ac:dyDescent="0.2">
      <c r="A2125" t="s">
        <v>10642</v>
      </c>
      <c r="B2125" t="s">
        <v>10643</v>
      </c>
      <c r="C2125">
        <v>2024</v>
      </c>
      <c r="D2125" s="18">
        <v>45515</v>
      </c>
      <c r="E2125" s="18">
        <v>45879</v>
      </c>
      <c r="F2125" s="18" t="s">
        <v>608</v>
      </c>
      <c r="G2125" t="s">
        <v>101</v>
      </c>
      <c r="H2125">
        <v>1</v>
      </c>
      <c r="I2125">
        <v>1</v>
      </c>
      <c r="J2125" s="27">
        <v>58580.67</v>
      </c>
      <c r="K2125" s="27">
        <v>3500000</v>
      </c>
    </row>
    <row r="2126" spans="1:11" ht="15" customHeight="1" x14ac:dyDescent="0.2">
      <c r="A2126" t="s">
        <v>10644</v>
      </c>
      <c r="B2126" t="s">
        <v>10645</v>
      </c>
      <c r="C2126">
        <v>2024</v>
      </c>
      <c r="D2126" s="18">
        <v>45515</v>
      </c>
      <c r="E2126" s="18">
        <v>45879</v>
      </c>
      <c r="F2126" s="18" t="s">
        <v>611</v>
      </c>
      <c r="G2126" t="s">
        <v>102</v>
      </c>
      <c r="H2126">
        <v>1</v>
      </c>
      <c r="I2126">
        <v>1</v>
      </c>
      <c r="J2126" s="27">
        <v>19425.36</v>
      </c>
      <c r="K2126" s="27">
        <v>2500000</v>
      </c>
    </row>
    <row r="2127" spans="1:11" ht="15" customHeight="1" x14ac:dyDescent="0.2">
      <c r="A2127" t="s">
        <v>10646</v>
      </c>
      <c r="B2127" t="s">
        <v>10647</v>
      </c>
      <c r="C2127">
        <v>2024</v>
      </c>
      <c r="D2127" s="18">
        <v>45515</v>
      </c>
      <c r="E2127" s="18">
        <v>45879</v>
      </c>
      <c r="F2127" s="18" t="s">
        <v>611</v>
      </c>
      <c r="G2127" t="s">
        <v>102</v>
      </c>
      <c r="H2127">
        <v>1</v>
      </c>
      <c r="I2127">
        <v>2</v>
      </c>
      <c r="J2127" s="27">
        <v>27643.78</v>
      </c>
      <c r="K2127" s="27">
        <v>3000000</v>
      </c>
    </row>
    <row r="2128" spans="1:11" ht="15" customHeight="1" x14ac:dyDescent="0.2">
      <c r="A2128" t="s">
        <v>10648</v>
      </c>
      <c r="B2128" t="s">
        <v>10649</v>
      </c>
      <c r="C2128">
        <v>2024</v>
      </c>
      <c r="D2128" s="18">
        <v>45515</v>
      </c>
      <c r="E2128" s="18">
        <v>45879</v>
      </c>
      <c r="F2128" s="18" t="s">
        <v>611</v>
      </c>
      <c r="G2128" t="s">
        <v>101</v>
      </c>
      <c r="H2128">
        <v>3</v>
      </c>
      <c r="I2128">
        <v>3</v>
      </c>
      <c r="J2128" s="27">
        <v>44136.82</v>
      </c>
      <c r="K2128" s="27">
        <v>2500000</v>
      </c>
    </row>
    <row r="2129" spans="1:11" ht="15" customHeight="1" x14ac:dyDescent="0.2">
      <c r="A2129" t="s">
        <v>10650</v>
      </c>
      <c r="B2129" t="s">
        <v>10651</v>
      </c>
      <c r="C2129">
        <v>2024</v>
      </c>
      <c r="D2129" s="18">
        <v>45516</v>
      </c>
      <c r="E2129" s="18">
        <v>45880</v>
      </c>
      <c r="F2129" s="18" t="s">
        <v>608</v>
      </c>
      <c r="G2129" t="s">
        <v>101</v>
      </c>
      <c r="H2129">
        <v>2</v>
      </c>
      <c r="I2129">
        <v>2</v>
      </c>
      <c r="J2129" s="27">
        <v>34985.550000000003</v>
      </c>
      <c r="K2129" s="27">
        <v>2000000</v>
      </c>
    </row>
    <row r="2130" spans="1:11" ht="15" customHeight="1" x14ac:dyDescent="0.2">
      <c r="A2130" t="s">
        <v>10652</v>
      </c>
      <c r="B2130" t="s">
        <v>10653</v>
      </c>
      <c r="C2130">
        <v>2024</v>
      </c>
      <c r="D2130" s="18">
        <v>45516</v>
      </c>
      <c r="E2130" s="18">
        <v>45880</v>
      </c>
      <c r="F2130" s="18" t="s">
        <v>611</v>
      </c>
      <c r="G2130" t="s">
        <v>100</v>
      </c>
      <c r="H2130">
        <v>1</v>
      </c>
      <c r="I2130">
        <v>1</v>
      </c>
      <c r="J2130" s="27">
        <v>54865.8</v>
      </c>
      <c r="K2130" s="27">
        <v>4000000</v>
      </c>
    </row>
    <row r="2131" spans="1:11" ht="15" customHeight="1" x14ac:dyDescent="0.2">
      <c r="A2131" t="s">
        <v>10654</v>
      </c>
      <c r="B2131" t="s">
        <v>10655</v>
      </c>
      <c r="C2131">
        <v>2024</v>
      </c>
      <c r="D2131" s="18">
        <v>45516</v>
      </c>
      <c r="E2131" s="18">
        <v>45880</v>
      </c>
      <c r="F2131" s="18" t="s">
        <v>611</v>
      </c>
      <c r="G2131" t="s">
        <v>101</v>
      </c>
      <c r="H2131">
        <v>1</v>
      </c>
      <c r="I2131">
        <v>2</v>
      </c>
      <c r="J2131" s="27">
        <v>37784.980000000003</v>
      </c>
      <c r="K2131" s="27">
        <v>2000000</v>
      </c>
    </row>
    <row r="2132" spans="1:11" ht="15" customHeight="1" x14ac:dyDescent="0.2">
      <c r="A2132" t="s">
        <v>10656</v>
      </c>
      <c r="B2132" t="s">
        <v>10657</v>
      </c>
      <c r="C2132">
        <v>2024</v>
      </c>
      <c r="D2132" s="18">
        <v>45516</v>
      </c>
      <c r="E2132" s="18">
        <v>45880</v>
      </c>
      <c r="F2132" s="18" t="s">
        <v>611</v>
      </c>
      <c r="G2132" t="s">
        <v>101</v>
      </c>
      <c r="H2132">
        <v>1</v>
      </c>
      <c r="I2132">
        <v>1</v>
      </c>
      <c r="J2132" s="27">
        <v>46665.4</v>
      </c>
      <c r="K2132" s="27">
        <v>2500000</v>
      </c>
    </row>
    <row r="2133" spans="1:11" ht="15" customHeight="1" x14ac:dyDescent="0.2">
      <c r="A2133" t="s">
        <v>10658</v>
      </c>
      <c r="B2133" t="s">
        <v>10659</v>
      </c>
      <c r="C2133">
        <v>2024</v>
      </c>
      <c r="D2133" s="18">
        <v>45516</v>
      </c>
      <c r="E2133" s="18">
        <v>45880</v>
      </c>
      <c r="F2133" s="18" t="s">
        <v>611</v>
      </c>
      <c r="G2133" t="s">
        <v>101</v>
      </c>
      <c r="H2133">
        <v>1</v>
      </c>
      <c r="I2133">
        <v>1</v>
      </c>
      <c r="J2133" s="27">
        <v>47475.360000000001</v>
      </c>
      <c r="K2133" s="27">
        <v>3000000</v>
      </c>
    </row>
    <row r="2134" spans="1:11" ht="15" customHeight="1" x14ac:dyDescent="0.2">
      <c r="A2134" t="s">
        <v>10660</v>
      </c>
      <c r="B2134" t="s">
        <v>10661</v>
      </c>
      <c r="C2134">
        <v>2024</v>
      </c>
      <c r="D2134" s="18">
        <v>45516</v>
      </c>
      <c r="E2134" s="18">
        <v>45880</v>
      </c>
      <c r="F2134" s="18" t="s">
        <v>611</v>
      </c>
      <c r="G2134" t="s">
        <v>99</v>
      </c>
      <c r="H2134">
        <v>2</v>
      </c>
      <c r="I2134">
        <v>4</v>
      </c>
      <c r="J2134" s="27">
        <v>23470.560000000001</v>
      </c>
      <c r="K2134" s="27">
        <v>3000000</v>
      </c>
    </row>
    <row r="2135" spans="1:11" ht="15" customHeight="1" x14ac:dyDescent="0.2">
      <c r="A2135" t="s">
        <v>10662</v>
      </c>
      <c r="B2135" t="s">
        <v>10663</v>
      </c>
      <c r="C2135">
        <v>2024</v>
      </c>
      <c r="D2135" s="18">
        <v>45516</v>
      </c>
      <c r="E2135" s="18">
        <v>45880</v>
      </c>
      <c r="F2135" s="18" t="s">
        <v>611</v>
      </c>
      <c r="G2135" t="s">
        <v>101</v>
      </c>
      <c r="H2135">
        <v>1</v>
      </c>
      <c r="I2135">
        <v>1</v>
      </c>
      <c r="J2135" s="27">
        <v>16005.85</v>
      </c>
      <c r="K2135" s="27">
        <v>1000000</v>
      </c>
    </row>
    <row r="2136" spans="1:11" ht="15" customHeight="1" x14ac:dyDescent="0.2">
      <c r="A2136" t="s">
        <v>10664</v>
      </c>
      <c r="B2136" t="s">
        <v>10665</v>
      </c>
      <c r="C2136">
        <v>2024</v>
      </c>
      <c r="D2136" s="18">
        <v>45516</v>
      </c>
      <c r="E2136" s="18">
        <v>45880</v>
      </c>
      <c r="F2136" s="18" t="s">
        <v>611</v>
      </c>
      <c r="G2136" t="s">
        <v>101</v>
      </c>
      <c r="H2136">
        <v>2</v>
      </c>
      <c r="I2136">
        <v>2</v>
      </c>
      <c r="J2136" s="27">
        <v>17906.900000000001</v>
      </c>
      <c r="K2136" s="27">
        <v>1000000</v>
      </c>
    </row>
    <row r="2137" spans="1:11" ht="15" customHeight="1" x14ac:dyDescent="0.2">
      <c r="A2137" t="s">
        <v>10666</v>
      </c>
      <c r="B2137" t="s">
        <v>10667</v>
      </c>
      <c r="C2137">
        <v>2024</v>
      </c>
      <c r="D2137" s="18">
        <v>45516</v>
      </c>
      <c r="E2137" s="18">
        <v>45880</v>
      </c>
      <c r="F2137" s="18" t="s">
        <v>611</v>
      </c>
      <c r="G2137" t="s">
        <v>101</v>
      </c>
      <c r="H2137">
        <v>1</v>
      </c>
      <c r="I2137">
        <v>1</v>
      </c>
      <c r="J2137" s="27">
        <v>69129.7</v>
      </c>
      <c r="K2137" s="27">
        <v>4000000</v>
      </c>
    </row>
    <row r="2138" spans="1:11" ht="15" customHeight="1" x14ac:dyDescent="0.2">
      <c r="A2138" t="s">
        <v>10668</v>
      </c>
      <c r="B2138" t="s">
        <v>10669</v>
      </c>
      <c r="C2138">
        <v>2024</v>
      </c>
      <c r="D2138" s="18">
        <v>45517</v>
      </c>
      <c r="E2138" s="18">
        <v>45881</v>
      </c>
      <c r="F2138" s="18" t="s">
        <v>608</v>
      </c>
      <c r="G2138" t="s">
        <v>101</v>
      </c>
      <c r="H2138">
        <v>2</v>
      </c>
      <c r="I2138">
        <v>2</v>
      </c>
      <c r="J2138" s="27">
        <v>38286.71</v>
      </c>
      <c r="K2138" s="27">
        <v>2000000</v>
      </c>
    </row>
    <row r="2139" spans="1:11" ht="15" customHeight="1" x14ac:dyDescent="0.2">
      <c r="A2139" t="s">
        <v>10670</v>
      </c>
      <c r="B2139" t="s">
        <v>10671</v>
      </c>
      <c r="C2139">
        <v>2024</v>
      </c>
      <c r="D2139" s="18">
        <v>45517</v>
      </c>
      <c r="E2139" s="18">
        <v>45881</v>
      </c>
      <c r="F2139" s="18" t="s">
        <v>611</v>
      </c>
      <c r="G2139" t="s">
        <v>100</v>
      </c>
      <c r="H2139">
        <v>2</v>
      </c>
      <c r="I2139">
        <v>4</v>
      </c>
      <c r="J2139" s="27">
        <v>64945.66</v>
      </c>
      <c r="K2139" s="27">
        <v>5000000</v>
      </c>
    </row>
    <row r="2140" spans="1:11" ht="15" customHeight="1" x14ac:dyDescent="0.2">
      <c r="A2140" t="s">
        <v>10672</v>
      </c>
      <c r="B2140" t="s">
        <v>10673</v>
      </c>
      <c r="C2140">
        <v>2024</v>
      </c>
      <c r="D2140" s="18">
        <v>45517</v>
      </c>
      <c r="E2140" s="18">
        <v>45881</v>
      </c>
      <c r="F2140" s="18" t="s">
        <v>611</v>
      </c>
      <c r="G2140" t="s">
        <v>100</v>
      </c>
      <c r="H2140">
        <v>1</v>
      </c>
      <c r="I2140">
        <v>1</v>
      </c>
      <c r="J2140" s="27">
        <v>12787.24</v>
      </c>
      <c r="K2140" s="27">
        <v>1000000</v>
      </c>
    </row>
    <row r="2141" spans="1:11" ht="15" customHeight="1" x14ac:dyDescent="0.2">
      <c r="A2141" t="s">
        <v>10674</v>
      </c>
      <c r="B2141" t="s">
        <v>10675</v>
      </c>
      <c r="C2141">
        <v>2024</v>
      </c>
      <c r="D2141" s="18">
        <v>45517</v>
      </c>
      <c r="E2141" s="18">
        <v>45881</v>
      </c>
      <c r="F2141" s="18" t="s">
        <v>611</v>
      </c>
      <c r="G2141" t="s">
        <v>99</v>
      </c>
      <c r="H2141">
        <v>1</v>
      </c>
      <c r="I2141">
        <v>1</v>
      </c>
      <c r="J2141" s="27">
        <v>14923.24</v>
      </c>
      <c r="K2141" s="27">
        <v>2000000</v>
      </c>
    </row>
    <row r="2142" spans="1:11" ht="15" customHeight="1" x14ac:dyDescent="0.2">
      <c r="A2142" t="s">
        <v>10676</v>
      </c>
      <c r="B2142" t="s">
        <v>10677</v>
      </c>
      <c r="C2142">
        <v>2024</v>
      </c>
      <c r="D2142" s="18">
        <v>45517</v>
      </c>
      <c r="E2142" s="18">
        <v>45881</v>
      </c>
      <c r="F2142" s="18" t="s">
        <v>611</v>
      </c>
      <c r="G2142" t="s">
        <v>100</v>
      </c>
      <c r="H2142">
        <v>1</v>
      </c>
      <c r="I2142">
        <v>1</v>
      </c>
      <c r="J2142" s="27">
        <v>124531.13</v>
      </c>
      <c r="K2142" s="27">
        <v>10000000</v>
      </c>
    </row>
    <row r="2143" spans="1:11" ht="15" customHeight="1" x14ac:dyDescent="0.2">
      <c r="A2143" t="s">
        <v>10678</v>
      </c>
      <c r="B2143" t="s">
        <v>10679</v>
      </c>
      <c r="C2143">
        <v>2024</v>
      </c>
      <c r="D2143" s="18">
        <v>45517</v>
      </c>
      <c r="E2143" s="18">
        <v>45881</v>
      </c>
      <c r="F2143" s="18" t="s">
        <v>611</v>
      </c>
      <c r="G2143" t="s">
        <v>100</v>
      </c>
      <c r="H2143">
        <v>3</v>
      </c>
      <c r="I2143">
        <v>3</v>
      </c>
      <c r="J2143" s="27">
        <v>13405.59</v>
      </c>
      <c r="K2143" s="27">
        <v>1000000</v>
      </c>
    </row>
    <row r="2144" spans="1:11" ht="15" customHeight="1" x14ac:dyDescent="0.2">
      <c r="A2144" t="s">
        <v>10680</v>
      </c>
      <c r="B2144" t="s">
        <v>10681</v>
      </c>
      <c r="C2144">
        <v>2024</v>
      </c>
      <c r="D2144" s="18">
        <v>45517</v>
      </c>
      <c r="E2144" s="18">
        <v>45881</v>
      </c>
      <c r="F2144" s="18" t="s">
        <v>611</v>
      </c>
      <c r="G2144" t="s">
        <v>99</v>
      </c>
      <c r="H2144">
        <v>3</v>
      </c>
      <c r="I2144">
        <v>3</v>
      </c>
      <c r="J2144" s="27">
        <v>8374.74</v>
      </c>
      <c r="K2144" s="27">
        <v>1000000</v>
      </c>
    </row>
    <row r="2145" spans="1:11" ht="15" customHeight="1" x14ac:dyDescent="0.2">
      <c r="A2145" t="s">
        <v>10682</v>
      </c>
      <c r="B2145" t="s">
        <v>10683</v>
      </c>
      <c r="C2145">
        <v>2024</v>
      </c>
      <c r="D2145" s="18">
        <v>45518</v>
      </c>
      <c r="E2145" s="18">
        <v>45882</v>
      </c>
      <c r="F2145" s="18" t="s">
        <v>608</v>
      </c>
      <c r="G2145" t="s">
        <v>99</v>
      </c>
      <c r="H2145">
        <v>1</v>
      </c>
      <c r="I2145">
        <v>2</v>
      </c>
      <c r="J2145" s="27">
        <v>82999.17</v>
      </c>
      <c r="K2145" s="27">
        <v>10000000</v>
      </c>
    </row>
    <row r="2146" spans="1:11" ht="15" customHeight="1" x14ac:dyDescent="0.2">
      <c r="A2146" t="s">
        <v>10684</v>
      </c>
      <c r="B2146" t="s">
        <v>10685</v>
      </c>
      <c r="C2146">
        <v>2024</v>
      </c>
      <c r="D2146" s="18">
        <v>45518</v>
      </c>
      <c r="E2146" s="18">
        <v>45882</v>
      </c>
      <c r="F2146" s="18" t="s">
        <v>608</v>
      </c>
      <c r="G2146" t="s">
        <v>101</v>
      </c>
      <c r="H2146">
        <v>2</v>
      </c>
      <c r="I2146">
        <v>4</v>
      </c>
      <c r="J2146" s="27">
        <v>56517.919999999998</v>
      </c>
      <c r="K2146" s="27">
        <v>3000000</v>
      </c>
    </row>
    <row r="2147" spans="1:11" ht="15" customHeight="1" x14ac:dyDescent="0.2">
      <c r="A2147" t="s">
        <v>10686</v>
      </c>
      <c r="B2147" t="s">
        <v>10687</v>
      </c>
      <c r="C2147">
        <v>2024</v>
      </c>
      <c r="D2147" s="18">
        <v>45518</v>
      </c>
      <c r="E2147" s="18">
        <v>45882</v>
      </c>
      <c r="F2147" s="18" t="s">
        <v>608</v>
      </c>
      <c r="G2147" t="s">
        <v>99</v>
      </c>
      <c r="H2147">
        <v>1</v>
      </c>
      <c r="I2147">
        <v>2</v>
      </c>
      <c r="J2147" s="27">
        <v>7821.63</v>
      </c>
      <c r="K2147" s="27">
        <v>1000000</v>
      </c>
    </row>
    <row r="2148" spans="1:11" ht="15" customHeight="1" x14ac:dyDescent="0.2">
      <c r="A2148" t="s">
        <v>10688</v>
      </c>
      <c r="B2148" t="s">
        <v>10689</v>
      </c>
      <c r="C2148">
        <v>2024</v>
      </c>
      <c r="D2148" s="18">
        <v>45518</v>
      </c>
      <c r="E2148" s="18">
        <v>45882</v>
      </c>
      <c r="F2148" s="18" t="s">
        <v>611</v>
      </c>
      <c r="G2148" t="s">
        <v>101</v>
      </c>
      <c r="H2148">
        <v>1</v>
      </c>
      <c r="I2148">
        <v>1</v>
      </c>
      <c r="J2148" s="27">
        <v>16657.38</v>
      </c>
      <c r="K2148" s="27">
        <v>1000000</v>
      </c>
    </row>
    <row r="2149" spans="1:11" ht="15" customHeight="1" x14ac:dyDescent="0.2">
      <c r="A2149" t="s">
        <v>10690</v>
      </c>
      <c r="B2149" t="s">
        <v>10691</v>
      </c>
      <c r="C2149">
        <v>2024</v>
      </c>
      <c r="D2149" s="18">
        <v>45518</v>
      </c>
      <c r="E2149" s="18">
        <v>45882</v>
      </c>
      <c r="F2149" s="18" t="s">
        <v>611</v>
      </c>
      <c r="G2149" t="s">
        <v>100</v>
      </c>
      <c r="H2149">
        <v>2</v>
      </c>
      <c r="I2149">
        <v>2</v>
      </c>
      <c r="J2149" s="27">
        <v>14146.9</v>
      </c>
      <c r="K2149" s="27">
        <v>1000000</v>
      </c>
    </row>
    <row r="2150" spans="1:11" ht="15" customHeight="1" x14ac:dyDescent="0.2">
      <c r="A2150" t="s">
        <v>10692</v>
      </c>
      <c r="B2150" t="s">
        <v>10693</v>
      </c>
      <c r="C2150">
        <v>2024</v>
      </c>
      <c r="D2150" s="18">
        <v>45518</v>
      </c>
      <c r="E2150" s="18">
        <v>45882</v>
      </c>
      <c r="F2150" s="18" t="s">
        <v>611</v>
      </c>
      <c r="G2150" t="s">
        <v>99</v>
      </c>
      <c r="H2150">
        <v>1</v>
      </c>
      <c r="I2150">
        <v>1</v>
      </c>
      <c r="J2150" s="27">
        <v>18963.25</v>
      </c>
      <c r="K2150" s="27">
        <v>2500000</v>
      </c>
    </row>
    <row r="2151" spans="1:11" ht="15" customHeight="1" x14ac:dyDescent="0.2">
      <c r="A2151" t="s">
        <v>10694</v>
      </c>
      <c r="B2151" t="s">
        <v>10695</v>
      </c>
      <c r="C2151">
        <v>2024</v>
      </c>
      <c r="D2151" s="18">
        <v>45518</v>
      </c>
      <c r="E2151" s="18">
        <v>45882</v>
      </c>
      <c r="F2151" s="18" t="s">
        <v>611</v>
      </c>
      <c r="G2151" t="s">
        <v>99</v>
      </c>
      <c r="H2151">
        <v>1</v>
      </c>
      <c r="I2151">
        <v>2</v>
      </c>
      <c r="J2151" s="27">
        <v>88287.3</v>
      </c>
      <c r="K2151" s="27">
        <v>10000000</v>
      </c>
    </row>
    <row r="2152" spans="1:11" ht="15" customHeight="1" x14ac:dyDescent="0.2">
      <c r="A2152" t="s">
        <v>10696</v>
      </c>
      <c r="B2152" t="s">
        <v>10697</v>
      </c>
      <c r="C2152">
        <v>2024</v>
      </c>
      <c r="D2152" s="18">
        <v>45518</v>
      </c>
      <c r="E2152" s="18">
        <v>45882</v>
      </c>
      <c r="F2152" s="18" t="s">
        <v>611</v>
      </c>
      <c r="G2152" t="s">
        <v>100</v>
      </c>
      <c r="H2152">
        <v>3</v>
      </c>
      <c r="I2152">
        <v>6</v>
      </c>
      <c r="J2152" s="27">
        <v>57010.67</v>
      </c>
      <c r="K2152" s="27">
        <v>4000000</v>
      </c>
    </row>
    <row r="2153" spans="1:11" ht="15" customHeight="1" x14ac:dyDescent="0.2">
      <c r="A2153" t="s">
        <v>10698</v>
      </c>
      <c r="B2153" t="s">
        <v>10699</v>
      </c>
      <c r="C2153">
        <v>2024</v>
      </c>
      <c r="D2153" s="18">
        <v>45518</v>
      </c>
      <c r="E2153" s="18">
        <v>45882</v>
      </c>
      <c r="F2153" s="18" t="s">
        <v>611</v>
      </c>
      <c r="G2153" t="s">
        <v>102</v>
      </c>
      <c r="H2153">
        <v>1</v>
      </c>
      <c r="I2153">
        <v>1</v>
      </c>
      <c r="J2153" s="27">
        <v>39434.75</v>
      </c>
      <c r="K2153" s="27">
        <v>5000000</v>
      </c>
    </row>
    <row r="2154" spans="1:11" ht="15" customHeight="1" x14ac:dyDescent="0.2">
      <c r="A2154" t="s">
        <v>10700</v>
      </c>
      <c r="B2154" t="s">
        <v>10701</v>
      </c>
      <c r="C2154">
        <v>2024</v>
      </c>
      <c r="D2154" s="18">
        <v>45519</v>
      </c>
      <c r="E2154" s="18">
        <v>45883</v>
      </c>
      <c r="F2154" s="18" t="s">
        <v>608</v>
      </c>
      <c r="G2154" t="s">
        <v>101</v>
      </c>
      <c r="H2154">
        <v>3</v>
      </c>
      <c r="I2154">
        <v>3</v>
      </c>
      <c r="J2154" s="27">
        <v>54962.17</v>
      </c>
      <c r="K2154" s="27">
        <v>3000000</v>
      </c>
    </row>
    <row r="2155" spans="1:11" ht="15" customHeight="1" x14ac:dyDescent="0.2">
      <c r="A2155" t="s">
        <v>10702</v>
      </c>
      <c r="B2155" t="s">
        <v>10703</v>
      </c>
      <c r="C2155">
        <v>2024</v>
      </c>
      <c r="D2155" s="18">
        <v>45519</v>
      </c>
      <c r="E2155" s="18">
        <v>45883</v>
      </c>
      <c r="F2155" s="18" t="s">
        <v>611</v>
      </c>
      <c r="G2155" t="s">
        <v>100</v>
      </c>
      <c r="H2155">
        <v>2</v>
      </c>
      <c r="I2155">
        <v>4</v>
      </c>
      <c r="J2155" s="27">
        <v>6646.19</v>
      </c>
      <c r="K2155" s="27">
        <v>500000</v>
      </c>
    </row>
    <row r="2156" spans="1:11" ht="15" customHeight="1" x14ac:dyDescent="0.2">
      <c r="A2156" t="s">
        <v>10704</v>
      </c>
      <c r="B2156" t="s">
        <v>10705</v>
      </c>
      <c r="C2156">
        <v>2024</v>
      </c>
      <c r="D2156" s="18">
        <v>45519</v>
      </c>
      <c r="E2156" s="18">
        <v>45883</v>
      </c>
      <c r="F2156" s="18" t="s">
        <v>611</v>
      </c>
      <c r="G2156" t="s">
        <v>101</v>
      </c>
      <c r="H2156">
        <v>2</v>
      </c>
      <c r="I2156">
        <v>4</v>
      </c>
      <c r="J2156" s="27">
        <v>17092.919999999998</v>
      </c>
      <c r="K2156" s="27">
        <v>1000000</v>
      </c>
    </row>
    <row r="2157" spans="1:11" ht="15" customHeight="1" x14ac:dyDescent="0.2">
      <c r="A2157" t="s">
        <v>10706</v>
      </c>
      <c r="B2157" t="s">
        <v>10707</v>
      </c>
      <c r="C2157">
        <v>2024</v>
      </c>
      <c r="D2157" s="18">
        <v>45519</v>
      </c>
      <c r="E2157" s="18">
        <v>45883</v>
      </c>
      <c r="F2157" s="18" t="s">
        <v>611</v>
      </c>
      <c r="G2157" t="s">
        <v>101</v>
      </c>
      <c r="H2157">
        <v>1</v>
      </c>
      <c r="I2157">
        <v>1</v>
      </c>
      <c r="J2157" s="27">
        <v>33038.120000000003</v>
      </c>
      <c r="K2157" s="27">
        <v>2000000</v>
      </c>
    </row>
    <row r="2158" spans="1:11" ht="15" customHeight="1" x14ac:dyDescent="0.2">
      <c r="A2158" t="s">
        <v>10708</v>
      </c>
      <c r="B2158" t="s">
        <v>10709</v>
      </c>
      <c r="C2158">
        <v>2024</v>
      </c>
      <c r="D2158" s="18">
        <v>45520</v>
      </c>
      <c r="E2158" s="18">
        <v>45884</v>
      </c>
      <c r="F2158" s="18" t="s">
        <v>608</v>
      </c>
      <c r="G2158" t="s">
        <v>102</v>
      </c>
      <c r="H2158">
        <v>3</v>
      </c>
      <c r="I2158">
        <v>3</v>
      </c>
      <c r="J2158" s="27">
        <v>36143.75</v>
      </c>
      <c r="K2158" s="27">
        <v>4000000</v>
      </c>
    </row>
    <row r="2159" spans="1:11" ht="15" customHeight="1" x14ac:dyDescent="0.2">
      <c r="A2159" t="s">
        <v>10710</v>
      </c>
      <c r="B2159" t="s">
        <v>10711</v>
      </c>
      <c r="C2159">
        <v>2024</v>
      </c>
      <c r="D2159" s="18">
        <v>45520</v>
      </c>
      <c r="E2159" s="18">
        <v>45884</v>
      </c>
      <c r="F2159" s="18" t="s">
        <v>608</v>
      </c>
      <c r="G2159" t="s">
        <v>102</v>
      </c>
      <c r="H2159">
        <v>1</v>
      </c>
      <c r="I2159">
        <v>2</v>
      </c>
      <c r="J2159" s="27">
        <v>8352.5300000000007</v>
      </c>
      <c r="K2159" s="27">
        <v>1000000</v>
      </c>
    </row>
    <row r="2160" spans="1:11" ht="15" customHeight="1" x14ac:dyDescent="0.2">
      <c r="A2160" t="s">
        <v>10712</v>
      </c>
      <c r="B2160" t="s">
        <v>10713</v>
      </c>
      <c r="C2160">
        <v>2024</v>
      </c>
      <c r="D2160" s="18">
        <v>45520</v>
      </c>
      <c r="E2160" s="18">
        <v>45884</v>
      </c>
      <c r="F2160" s="18" t="s">
        <v>608</v>
      </c>
      <c r="G2160" t="s">
        <v>99</v>
      </c>
      <c r="H2160">
        <v>2</v>
      </c>
      <c r="I2160">
        <v>4</v>
      </c>
      <c r="J2160" s="27">
        <v>30494.3</v>
      </c>
      <c r="K2160" s="27">
        <v>3500000</v>
      </c>
    </row>
    <row r="2161" spans="1:11" ht="15" customHeight="1" x14ac:dyDescent="0.2">
      <c r="A2161" t="s">
        <v>10714</v>
      </c>
      <c r="B2161" t="s">
        <v>10715</v>
      </c>
      <c r="C2161">
        <v>2024</v>
      </c>
      <c r="D2161" s="18">
        <v>45520</v>
      </c>
      <c r="E2161" s="18">
        <v>45884</v>
      </c>
      <c r="F2161" s="18" t="s">
        <v>611</v>
      </c>
      <c r="G2161" t="s">
        <v>99</v>
      </c>
      <c r="H2161">
        <v>2</v>
      </c>
      <c r="I2161">
        <v>4</v>
      </c>
      <c r="J2161" s="27">
        <v>7677.49</v>
      </c>
      <c r="K2161" s="27">
        <v>1000000</v>
      </c>
    </row>
    <row r="2162" spans="1:11" ht="15" customHeight="1" x14ac:dyDescent="0.2">
      <c r="A2162" t="s">
        <v>10716</v>
      </c>
      <c r="B2162" t="s">
        <v>10717</v>
      </c>
      <c r="C2162">
        <v>2024</v>
      </c>
      <c r="D2162" s="18">
        <v>45520</v>
      </c>
      <c r="E2162" s="18">
        <v>45884</v>
      </c>
      <c r="F2162" s="18" t="s">
        <v>611</v>
      </c>
      <c r="G2162" t="s">
        <v>100</v>
      </c>
      <c r="H2162">
        <v>2</v>
      </c>
      <c r="I2162">
        <v>4</v>
      </c>
      <c r="J2162" s="27">
        <v>27464.23</v>
      </c>
      <c r="K2162" s="27">
        <v>2000000</v>
      </c>
    </row>
    <row r="2163" spans="1:11" ht="15" customHeight="1" x14ac:dyDescent="0.2">
      <c r="A2163" t="s">
        <v>10718</v>
      </c>
      <c r="B2163" t="s">
        <v>10719</v>
      </c>
      <c r="C2163">
        <v>2024</v>
      </c>
      <c r="D2163" s="18">
        <v>45520</v>
      </c>
      <c r="E2163" s="18">
        <v>45884</v>
      </c>
      <c r="F2163" s="18" t="s">
        <v>611</v>
      </c>
      <c r="G2163" t="s">
        <v>102</v>
      </c>
      <c r="H2163">
        <v>3</v>
      </c>
      <c r="I2163">
        <v>6</v>
      </c>
      <c r="J2163" s="27">
        <v>15697.45</v>
      </c>
      <c r="K2163" s="27">
        <v>2000000</v>
      </c>
    </row>
    <row r="2164" spans="1:11" ht="15" customHeight="1" x14ac:dyDescent="0.2">
      <c r="A2164" t="s">
        <v>10720</v>
      </c>
      <c r="B2164" t="s">
        <v>10721</v>
      </c>
      <c r="C2164">
        <v>2024</v>
      </c>
      <c r="D2164" s="18">
        <v>45520</v>
      </c>
      <c r="E2164" s="18">
        <v>45884</v>
      </c>
      <c r="F2164" s="18" t="s">
        <v>611</v>
      </c>
      <c r="G2164" t="s">
        <v>102</v>
      </c>
      <c r="H2164">
        <v>1</v>
      </c>
      <c r="I2164">
        <v>2</v>
      </c>
      <c r="J2164" s="27">
        <v>9173.26</v>
      </c>
      <c r="K2164" s="27">
        <v>1000000</v>
      </c>
    </row>
    <row r="2165" spans="1:11" ht="15" customHeight="1" x14ac:dyDescent="0.2">
      <c r="A2165" t="s">
        <v>10722</v>
      </c>
      <c r="B2165" t="s">
        <v>10723</v>
      </c>
      <c r="C2165">
        <v>2024</v>
      </c>
      <c r="D2165" s="18">
        <v>45521</v>
      </c>
      <c r="E2165" s="18">
        <v>45885</v>
      </c>
      <c r="F2165" s="18" t="s">
        <v>608</v>
      </c>
      <c r="G2165" t="s">
        <v>101</v>
      </c>
      <c r="H2165">
        <v>3</v>
      </c>
      <c r="I2165">
        <v>3</v>
      </c>
      <c r="J2165" s="27">
        <v>58652.93</v>
      </c>
      <c r="K2165" s="27">
        <v>3500000</v>
      </c>
    </row>
    <row r="2166" spans="1:11" ht="15" customHeight="1" x14ac:dyDescent="0.2">
      <c r="A2166" t="s">
        <v>10724</v>
      </c>
      <c r="B2166" t="s">
        <v>10725</v>
      </c>
      <c r="C2166">
        <v>2024</v>
      </c>
      <c r="D2166" s="18">
        <v>45521</v>
      </c>
      <c r="E2166" s="18">
        <v>45885</v>
      </c>
      <c r="F2166" s="18" t="s">
        <v>608</v>
      </c>
      <c r="G2166" t="s">
        <v>102</v>
      </c>
      <c r="H2166">
        <v>2</v>
      </c>
      <c r="I2166">
        <v>4</v>
      </c>
      <c r="J2166" s="27">
        <v>18090.21</v>
      </c>
      <c r="K2166" s="27">
        <v>2000000</v>
      </c>
    </row>
    <row r="2167" spans="1:11" ht="15" customHeight="1" x14ac:dyDescent="0.2">
      <c r="A2167" t="s">
        <v>10726</v>
      </c>
      <c r="B2167" t="s">
        <v>10727</v>
      </c>
      <c r="C2167">
        <v>2024</v>
      </c>
      <c r="D2167" s="18">
        <v>45521</v>
      </c>
      <c r="E2167" s="18">
        <v>45885</v>
      </c>
      <c r="F2167" s="18" t="s">
        <v>611</v>
      </c>
      <c r="G2167" t="s">
        <v>99</v>
      </c>
      <c r="H2167">
        <v>3</v>
      </c>
      <c r="I2167">
        <v>3</v>
      </c>
      <c r="J2167" s="27">
        <v>37823.72</v>
      </c>
      <c r="K2167" s="27">
        <v>4500000</v>
      </c>
    </row>
    <row r="2168" spans="1:11" ht="15" customHeight="1" x14ac:dyDescent="0.2">
      <c r="A2168" t="s">
        <v>10728</v>
      </c>
      <c r="B2168" t="s">
        <v>10729</v>
      </c>
      <c r="C2168">
        <v>2024</v>
      </c>
      <c r="D2168" s="18">
        <v>45521</v>
      </c>
      <c r="E2168" s="18">
        <v>45885</v>
      </c>
      <c r="F2168" s="18" t="s">
        <v>611</v>
      </c>
      <c r="G2168" t="s">
        <v>100</v>
      </c>
      <c r="H2168">
        <v>1</v>
      </c>
      <c r="I2168">
        <v>1</v>
      </c>
      <c r="J2168" s="27">
        <v>130975.56</v>
      </c>
      <c r="K2168" s="27">
        <v>10000000</v>
      </c>
    </row>
    <row r="2169" spans="1:11" ht="15" customHeight="1" x14ac:dyDescent="0.2">
      <c r="A2169" t="s">
        <v>10730</v>
      </c>
      <c r="B2169" t="s">
        <v>10731</v>
      </c>
      <c r="C2169">
        <v>2024</v>
      </c>
      <c r="D2169" s="18">
        <v>45521</v>
      </c>
      <c r="E2169" s="18">
        <v>45885</v>
      </c>
      <c r="F2169" s="18" t="s">
        <v>611</v>
      </c>
      <c r="G2169" t="s">
        <v>100</v>
      </c>
      <c r="H2169">
        <v>2</v>
      </c>
      <c r="I2169">
        <v>2</v>
      </c>
      <c r="J2169" s="27">
        <v>26795.09</v>
      </c>
      <c r="K2169" s="27">
        <v>2000000</v>
      </c>
    </row>
    <row r="2170" spans="1:11" ht="15" customHeight="1" x14ac:dyDescent="0.2">
      <c r="A2170" t="s">
        <v>10732</v>
      </c>
      <c r="B2170" t="s">
        <v>10733</v>
      </c>
      <c r="C2170">
        <v>2024</v>
      </c>
      <c r="D2170" s="18">
        <v>45522</v>
      </c>
      <c r="E2170" s="18">
        <v>45886</v>
      </c>
      <c r="F2170" s="18" t="s">
        <v>608</v>
      </c>
      <c r="G2170" t="s">
        <v>99</v>
      </c>
      <c r="H2170">
        <v>3</v>
      </c>
      <c r="I2170">
        <v>3</v>
      </c>
      <c r="J2170" s="27">
        <v>77887.17</v>
      </c>
      <c r="K2170" s="27">
        <v>10000000</v>
      </c>
    </row>
    <row r="2171" spans="1:11" ht="15" customHeight="1" x14ac:dyDescent="0.2">
      <c r="A2171" t="s">
        <v>10734</v>
      </c>
      <c r="B2171" t="s">
        <v>10735</v>
      </c>
      <c r="C2171">
        <v>2024</v>
      </c>
      <c r="D2171" s="18">
        <v>45522</v>
      </c>
      <c r="E2171" s="18">
        <v>45886</v>
      </c>
      <c r="F2171" s="18" t="s">
        <v>611</v>
      </c>
      <c r="G2171" t="s">
        <v>102</v>
      </c>
      <c r="H2171">
        <v>1</v>
      </c>
      <c r="I2171">
        <v>1</v>
      </c>
      <c r="J2171" s="27">
        <v>83134.83</v>
      </c>
      <c r="K2171" s="27">
        <v>10000000</v>
      </c>
    </row>
    <row r="2172" spans="1:11" ht="15" customHeight="1" x14ac:dyDescent="0.2">
      <c r="A2172" t="s">
        <v>10736</v>
      </c>
      <c r="B2172" t="s">
        <v>10737</v>
      </c>
      <c r="C2172">
        <v>2024</v>
      </c>
      <c r="D2172" s="18">
        <v>45522</v>
      </c>
      <c r="E2172" s="18">
        <v>45886</v>
      </c>
      <c r="F2172" s="18" t="s">
        <v>611</v>
      </c>
      <c r="G2172" t="s">
        <v>99</v>
      </c>
      <c r="H2172">
        <v>2</v>
      </c>
      <c r="I2172">
        <v>4</v>
      </c>
      <c r="J2172" s="27">
        <v>13382.4</v>
      </c>
      <c r="K2172" s="27">
        <v>1500000</v>
      </c>
    </row>
    <row r="2173" spans="1:11" ht="15" customHeight="1" x14ac:dyDescent="0.2">
      <c r="A2173" t="s">
        <v>10738</v>
      </c>
      <c r="B2173" t="s">
        <v>10739</v>
      </c>
      <c r="C2173">
        <v>2024</v>
      </c>
      <c r="D2173" s="18">
        <v>45522</v>
      </c>
      <c r="E2173" s="18">
        <v>45886</v>
      </c>
      <c r="F2173" s="18" t="s">
        <v>611</v>
      </c>
      <c r="G2173" t="s">
        <v>101</v>
      </c>
      <c r="H2173">
        <v>2</v>
      </c>
      <c r="I2173">
        <v>4</v>
      </c>
      <c r="J2173" s="27">
        <v>32798.67</v>
      </c>
      <c r="K2173" s="27">
        <v>2000000</v>
      </c>
    </row>
    <row r="2174" spans="1:11" ht="15" customHeight="1" x14ac:dyDescent="0.2">
      <c r="A2174" t="s">
        <v>10740</v>
      </c>
      <c r="B2174" t="s">
        <v>10741</v>
      </c>
      <c r="C2174">
        <v>2024</v>
      </c>
      <c r="D2174" s="18">
        <v>45522</v>
      </c>
      <c r="E2174" s="18">
        <v>45886</v>
      </c>
      <c r="F2174" s="18" t="s">
        <v>611</v>
      </c>
      <c r="G2174" t="s">
        <v>100</v>
      </c>
      <c r="H2174">
        <v>1</v>
      </c>
      <c r="I2174">
        <v>1</v>
      </c>
      <c r="J2174" s="27">
        <v>14289.01</v>
      </c>
      <c r="K2174" s="27">
        <v>1000000</v>
      </c>
    </row>
    <row r="2175" spans="1:11" ht="15" customHeight="1" x14ac:dyDescent="0.2">
      <c r="A2175" t="s">
        <v>10742</v>
      </c>
      <c r="B2175" t="s">
        <v>10743</v>
      </c>
      <c r="C2175">
        <v>2024</v>
      </c>
      <c r="D2175" s="18">
        <v>45522</v>
      </c>
      <c r="E2175" s="18">
        <v>45886</v>
      </c>
      <c r="F2175" s="18" t="s">
        <v>611</v>
      </c>
      <c r="G2175" t="s">
        <v>99</v>
      </c>
      <c r="H2175">
        <v>3</v>
      </c>
      <c r="I2175">
        <v>3</v>
      </c>
      <c r="J2175" s="27">
        <v>85726.399999999994</v>
      </c>
      <c r="K2175" s="27">
        <v>10000000</v>
      </c>
    </row>
    <row r="2176" spans="1:11" ht="15" customHeight="1" x14ac:dyDescent="0.2">
      <c r="A2176" t="s">
        <v>10744</v>
      </c>
      <c r="B2176" t="s">
        <v>10745</v>
      </c>
      <c r="C2176">
        <v>2024</v>
      </c>
      <c r="D2176" s="18">
        <v>45523</v>
      </c>
      <c r="E2176" s="18">
        <v>45887</v>
      </c>
      <c r="F2176" s="18" t="s">
        <v>608</v>
      </c>
      <c r="G2176" t="s">
        <v>100</v>
      </c>
      <c r="H2176">
        <v>2</v>
      </c>
      <c r="I2176">
        <v>2</v>
      </c>
      <c r="J2176" s="27">
        <v>55856.89</v>
      </c>
      <c r="K2176" s="27">
        <v>4500000</v>
      </c>
    </row>
    <row r="2177" spans="1:11" ht="15" customHeight="1" x14ac:dyDescent="0.2">
      <c r="A2177" t="s">
        <v>10746</v>
      </c>
      <c r="B2177" t="s">
        <v>10747</v>
      </c>
      <c r="C2177">
        <v>2024</v>
      </c>
      <c r="D2177" s="18">
        <v>45523</v>
      </c>
      <c r="E2177" s="18">
        <v>45887</v>
      </c>
      <c r="F2177" s="18" t="s">
        <v>608</v>
      </c>
      <c r="G2177" t="s">
        <v>100</v>
      </c>
      <c r="H2177">
        <v>1</v>
      </c>
      <c r="I2177">
        <v>2</v>
      </c>
      <c r="J2177" s="27">
        <v>44382.7</v>
      </c>
      <c r="K2177" s="27">
        <v>3500000</v>
      </c>
    </row>
    <row r="2178" spans="1:11" ht="15" customHeight="1" x14ac:dyDescent="0.2">
      <c r="A2178" t="s">
        <v>10748</v>
      </c>
      <c r="B2178" t="s">
        <v>10749</v>
      </c>
      <c r="C2178">
        <v>2024</v>
      </c>
      <c r="D2178" s="18">
        <v>45523</v>
      </c>
      <c r="E2178" s="18">
        <v>45887</v>
      </c>
      <c r="F2178" s="18" t="s">
        <v>608</v>
      </c>
      <c r="G2178" t="s">
        <v>100</v>
      </c>
      <c r="H2178">
        <v>1</v>
      </c>
      <c r="I2178">
        <v>1</v>
      </c>
      <c r="J2178" s="27">
        <v>59472.25</v>
      </c>
      <c r="K2178" s="27">
        <v>4500000</v>
      </c>
    </row>
    <row r="2179" spans="1:11" ht="15" customHeight="1" x14ac:dyDescent="0.2">
      <c r="A2179" t="s">
        <v>10750</v>
      </c>
      <c r="B2179" t="s">
        <v>10751</v>
      </c>
      <c r="C2179">
        <v>2024</v>
      </c>
      <c r="D2179" s="18">
        <v>45523</v>
      </c>
      <c r="E2179" s="18">
        <v>45887</v>
      </c>
      <c r="F2179" s="18" t="s">
        <v>608</v>
      </c>
      <c r="G2179" t="s">
        <v>102</v>
      </c>
      <c r="H2179">
        <v>2</v>
      </c>
      <c r="I2179">
        <v>2</v>
      </c>
      <c r="J2179" s="27">
        <v>28309.33</v>
      </c>
      <c r="K2179" s="27">
        <v>3000000</v>
      </c>
    </row>
    <row r="2180" spans="1:11" ht="15" customHeight="1" x14ac:dyDescent="0.2">
      <c r="A2180" t="s">
        <v>10752</v>
      </c>
      <c r="B2180" t="s">
        <v>10753</v>
      </c>
      <c r="C2180">
        <v>2024</v>
      </c>
      <c r="D2180" s="18">
        <v>45523</v>
      </c>
      <c r="E2180" s="18">
        <v>45887</v>
      </c>
      <c r="F2180" s="18" t="s">
        <v>611</v>
      </c>
      <c r="G2180" t="s">
        <v>101</v>
      </c>
      <c r="H2180">
        <v>1</v>
      </c>
      <c r="I2180">
        <v>1</v>
      </c>
      <c r="J2180" s="27">
        <v>61884.42</v>
      </c>
      <c r="K2180" s="27">
        <v>3500000</v>
      </c>
    </row>
    <row r="2181" spans="1:11" ht="15" customHeight="1" x14ac:dyDescent="0.2">
      <c r="A2181" t="s">
        <v>10754</v>
      </c>
      <c r="B2181" t="s">
        <v>10755</v>
      </c>
      <c r="C2181">
        <v>2024</v>
      </c>
      <c r="D2181" s="18">
        <v>45523</v>
      </c>
      <c r="E2181" s="18">
        <v>45887</v>
      </c>
      <c r="F2181" s="18" t="s">
        <v>611</v>
      </c>
      <c r="G2181" t="s">
        <v>100</v>
      </c>
      <c r="H2181">
        <v>1</v>
      </c>
      <c r="I2181">
        <v>1</v>
      </c>
      <c r="J2181" s="27">
        <v>61198.32</v>
      </c>
      <c r="K2181" s="27">
        <v>5000000</v>
      </c>
    </row>
    <row r="2182" spans="1:11" ht="15" customHeight="1" x14ac:dyDescent="0.2">
      <c r="A2182" t="s">
        <v>10756</v>
      </c>
      <c r="B2182" t="s">
        <v>10757</v>
      </c>
      <c r="C2182">
        <v>2024</v>
      </c>
      <c r="D2182" s="18">
        <v>45523</v>
      </c>
      <c r="E2182" s="18">
        <v>45887</v>
      </c>
      <c r="F2182" s="18" t="s">
        <v>611</v>
      </c>
      <c r="G2182" t="s">
        <v>101</v>
      </c>
      <c r="H2182">
        <v>1</v>
      </c>
      <c r="I2182">
        <v>2</v>
      </c>
      <c r="J2182" s="27">
        <v>48283.79</v>
      </c>
      <c r="K2182" s="27">
        <v>3000000</v>
      </c>
    </row>
    <row r="2183" spans="1:11" ht="15" customHeight="1" x14ac:dyDescent="0.2">
      <c r="A2183" t="s">
        <v>10758</v>
      </c>
      <c r="B2183" t="s">
        <v>10759</v>
      </c>
      <c r="C2183">
        <v>2024</v>
      </c>
      <c r="D2183" s="18">
        <v>45523</v>
      </c>
      <c r="E2183" s="18">
        <v>45887</v>
      </c>
      <c r="F2183" s="18" t="s">
        <v>611</v>
      </c>
      <c r="G2183" t="s">
        <v>100</v>
      </c>
      <c r="H2183">
        <v>2</v>
      </c>
      <c r="I2183">
        <v>4</v>
      </c>
      <c r="J2183" s="27">
        <v>44116.72</v>
      </c>
      <c r="K2183" s="27">
        <v>3500000</v>
      </c>
    </row>
    <row r="2184" spans="1:11" ht="15" customHeight="1" x14ac:dyDescent="0.2">
      <c r="A2184" t="s">
        <v>10760</v>
      </c>
      <c r="B2184" t="s">
        <v>10761</v>
      </c>
      <c r="C2184">
        <v>2024</v>
      </c>
      <c r="D2184" s="18">
        <v>45523</v>
      </c>
      <c r="E2184" s="18">
        <v>45887</v>
      </c>
      <c r="F2184" s="18" t="s">
        <v>611</v>
      </c>
      <c r="G2184" t="s">
        <v>100</v>
      </c>
      <c r="H2184">
        <v>2</v>
      </c>
      <c r="I2184">
        <v>4</v>
      </c>
      <c r="J2184" s="27">
        <v>18986.330000000002</v>
      </c>
      <c r="K2184" s="27">
        <v>1500000</v>
      </c>
    </row>
    <row r="2185" spans="1:11" ht="15" customHeight="1" x14ac:dyDescent="0.2">
      <c r="A2185" t="s">
        <v>10762</v>
      </c>
      <c r="B2185" t="s">
        <v>10763</v>
      </c>
      <c r="C2185">
        <v>2024</v>
      </c>
      <c r="D2185" s="18">
        <v>45523</v>
      </c>
      <c r="E2185" s="18">
        <v>45887</v>
      </c>
      <c r="F2185" s="18" t="s">
        <v>611</v>
      </c>
      <c r="G2185" t="s">
        <v>100</v>
      </c>
      <c r="H2185">
        <v>2</v>
      </c>
      <c r="I2185">
        <v>2</v>
      </c>
      <c r="J2185" s="27">
        <v>68295.72</v>
      </c>
      <c r="K2185" s="27">
        <v>5000000</v>
      </c>
    </row>
    <row r="2186" spans="1:11" ht="15" customHeight="1" x14ac:dyDescent="0.2">
      <c r="A2186" t="s">
        <v>10764</v>
      </c>
      <c r="B2186" t="s">
        <v>10765</v>
      </c>
      <c r="C2186">
        <v>2024</v>
      </c>
      <c r="D2186" s="18">
        <v>45523</v>
      </c>
      <c r="E2186" s="18">
        <v>45887</v>
      </c>
      <c r="F2186" s="18" t="s">
        <v>611</v>
      </c>
      <c r="G2186" t="s">
        <v>99</v>
      </c>
      <c r="H2186">
        <v>1</v>
      </c>
      <c r="I2186">
        <v>1</v>
      </c>
      <c r="J2186" s="27">
        <v>17062.95</v>
      </c>
      <c r="K2186" s="27">
        <v>2000000</v>
      </c>
    </row>
    <row r="2187" spans="1:11" ht="15" customHeight="1" x14ac:dyDescent="0.2">
      <c r="A2187" t="s">
        <v>10766</v>
      </c>
      <c r="B2187" t="s">
        <v>10767</v>
      </c>
      <c r="C2187">
        <v>2024</v>
      </c>
      <c r="D2187" s="18">
        <v>45524</v>
      </c>
      <c r="E2187" s="18">
        <v>45888</v>
      </c>
      <c r="F2187" s="18" t="s">
        <v>611</v>
      </c>
      <c r="G2187" t="s">
        <v>100</v>
      </c>
      <c r="H2187">
        <v>2</v>
      </c>
      <c r="I2187">
        <v>2</v>
      </c>
      <c r="J2187" s="27">
        <v>63738.84</v>
      </c>
      <c r="K2187" s="27">
        <v>5000000</v>
      </c>
    </row>
    <row r="2188" spans="1:11" ht="15" customHeight="1" x14ac:dyDescent="0.2">
      <c r="A2188" t="s">
        <v>10768</v>
      </c>
      <c r="B2188" t="s">
        <v>10769</v>
      </c>
      <c r="C2188">
        <v>2024</v>
      </c>
      <c r="D2188" s="18">
        <v>45524</v>
      </c>
      <c r="E2188" s="18">
        <v>45888</v>
      </c>
      <c r="F2188" s="18" t="s">
        <v>611</v>
      </c>
      <c r="G2188" t="s">
        <v>102</v>
      </c>
      <c r="H2188">
        <v>1</v>
      </c>
      <c r="I2188">
        <v>1</v>
      </c>
      <c r="J2188" s="27">
        <v>25570.32</v>
      </c>
      <c r="K2188" s="27">
        <v>3000000</v>
      </c>
    </row>
    <row r="2189" spans="1:11" ht="15" customHeight="1" x14ac:dyDescent="0.2">
      <c r="A2189" t="s">
        <v>10770</v>
      </c>
      <c r="B2189" t="s">
        <v>10771</v>
      </c>
      <c r="C2189">
        <v>2024</v>
      </c>
      <c r="D2189" s="18">
        <v>45524</v>
      </c>
      <c r="E2189" s="18">
        <v>45888</v>
      </c>
      <c r="F2189" s="18" t="s">
        <v>611</v>
      </c>
      <c r="G2189" t="s">
        <v>101</v>
      </c>
      <c r="H2189">
        <v>2</v>
      </c>
      <c r="I2189">
        <v>2</v>
      </c>
      <c r="J2189" s="27">
        <v>32400.45</v>
      </c>
      <c r="K2189" s="27">
        <v>2000000</v>
      </c>
    </row>
    <row r="2190" spans="1:11" ht="15" customHeight="1" x14ac:dyDescent="0.2">
      <c r="A2190" t="s">
        <v>10772</v>
      </c>
      <c r="B2190" t="s">
        <v>10773</v>
      </c>
      <c r="C2190">
        <v>2024</v>
      </c>
      <c r="D2190" s="18">
        <v>45524</v>
      </c>
      <c r="E2190" s="18">
        <v>45888</v>
      </c>
      <c r="F2190" s="18" t="s">
        <v>611</v>
      </c>
      <c r="G2190" t="s">
        <v>102</v>
      </c>
      <c r="H2190">
        <v>1</v>
      </c>
      <c r="I2190">
        <v>1</v>
      </c>
      <c r="J2190" s="27">
        <v>45327.97</v>
      </c>
      <c r="K2190" s="27">
        <v>5000000</v>
      </c>
    </row>
    <row r="2191" spans="1:11" ht="15" customHeight="1" x14ac:dyDescent="0.2">
      <c r="A2191" t="s">
        <v>10774</v>
      </c>
      <c r="B2191" t="s">
        <v>10775</v>
      </c>
      <c r="C2191">
        <v>2024</v>
      </c>
      <c r="D2191" s="18">
        <v>45524</v>
      </c>
      <c r="E2191" s="18">
        <v>45888</v>
      </c>
      <c r="F2191" s="18" t="s">
        <v>611</v>
      </c>
      <c r="G2191" t="s">
        <v>100</v>
      </c>
      <c r="H2191">
        <v>1</v>
      </c>
      <c r="I2191">
        <v>1</v>
      </c>
      <c r="J2191" s="27">
        <v>42762.79</v>
      </c>
      <c r="K2191" s="27">
        <v>3500000</v>
      </c>
    </row>
    <row r="2192" spans="1:11" ht="15" customHeight="1" x14ac:dyDescent="0.2">
      <c r="A2192" t="s">
        <v>10776</v>
      </c>
      <c r="B2192" t="s">
        <v>10777</v>
      </c>
      <c r="C2192">
        <v>2024</v>
      </c>
      <c r="D2192" s="18">
        <v>45525</v>
      </c>
      <c r="E2192" s="18">
        <v>45889</v>
      </c>
      <c r="F2192" s="18" t="s">
        <v>608</v>
      </c>
      <c r="G2192" t="s">
        <v>101</v>
      </c>
      <c r="H2192">
        <v>1</v>
      </c>
      <c r="I2192">
        <v>2</v>
      </c>
      <c r="J2192" s="27">
        <v>160122.42000000001</v>
      </c>
      <c r="K2192" s="27">
        <v>10000000</v>
      </c>
    </row>
    <row r="2193" spans="1:11" ht="15" customHeight="1" x14ac:dyDescent="0.2">
      <c r="A2193" t="s">
        <v>10778</v>
      </c>
      <c r="B2193" t="s">
        <v>10779</v>
      </c>
      <c r="C2193">
        <v>2024</v>
      </c>
      <c r="D2193" s="18">
        <v>45525</v>
      </c>
      <c r="E2193" s="18">
        <v>45889</v>
      </c>
      <c r="F2193" s="18" t="s">
        <v>611</v>
      </c>
      <c r="G2193" t="s">
        <v>99</v>
      </c>
      <c r="H2193">
        <v>1</v>
      </c>
      <c r="I2193">
        <v>1</v>
      </c>
      <c r="J2193" s="27">
        <v>26461.16</v>
      </c>
      <c r="K2193" s="27">
        <v>3000000</v>
      </c>
    </row>
    <row r="2194" spans="1:11" ht="15" customHeight="1" x14ac:dyDescent="0.2">
      <c r="A2194" t="s">
        <v>10780</v>
      </c>
      <c r="B2194" t="s">
        <v>10781</v>
      </c>
      <c r="C2194">
        <v>2024</v>
      </c>
      <c r="D2194" s="18">
        <v>45525</v>
      </c>
      <c r="E2194" s="18">
        <v>45889</v>
      </c>
      <c r="F2194" s="18" t="s">
        <v>611</v>
      </c>
      <c r="G2194" t="s">
        <v>101</v>
      </c>
      <c r="H2194">
        <v>2</v>
      </c>
      <c r="I2194">
        <v>2</v>
      </c>
      <c r="J2194" s="27">
        <v>92800.74</v>
      </c>
      <c r="K2194" s="27">
        <v>5000000</v>
      </c>
    </row>
    <row r="2195" spans="1:11" ht="15" customHeight="1" x14ac:dyDescent="0.2">
      <c r="A2195" t="s">
        <v>10782</v>
      </c>
      <c r="B2195" t="s">
        <v>10783</v>
      </c>
      <c r="C2195">
        <v>2024</v>
      </c>
      <c r="D2195" s="18">
        <v>45525</v>
      </c>
      <c r="E2195" s="18">
        <v>45889</v>
      </c>
      <c r="F2195" s="18" t="s">
        <v>611</v>
      </c>
      <c r="G2195" t="s">
        <v>101</v>
      </c>
      <c r="H2195">
        <v>1</v>
      </c>
      <c r="I2195">
        <v>2</v>
      </c>
      <c r="J2195" s="27">
        <v>171374.75</v>
      </c>
      <c r="K2195" s="27">
        <v>10000000</v>
      </c>
    </row>
    <row r="2196" spans="1:11" ht="15" customHeight="1" x14ac:dyDescent="0.2">
      <c r="A2196" t="s">
        <v>10784</v>
      </c>
      <c r="B2196" t="s">
        <v>10785</v>
      </c>
      <c r="C2196">
        <v>2024</v>
      </c>
      <c r="D2196" s="18">
        <v>45525</v>
      </c>
      <c r="E2196" s="18">
        <v>45889</v>
      </c>
      <c r="F2196" s="18" t="s">
        <v>611</v>
      </c>
      <c r="G2196" t="s">
        <v>102</v>
      </c>
      <c r="H2196">
        <v>2</v>
      </c>
      <c r="I2196">
        <v>4</v>
      </c>
      <c r="J2196" s="27">
        <v>17358.900000000001</v>
      </c>
      <c r="K2196" s="27">
        <v>2000000</v>
      </c>
    </row>
    <row r="2197" spans="1:11" ht="15" customHeight="1" x14ac:dyDescent="0.2">
      <c r="A2197" t="s">
        <v>10786</v>
      </c>
      <c r="B2197" t="s">
        <v>10787</v>
      </c>
      <c r="C2197">
        <v>2024</v>
      </c>
      <c r="D2197" s="18">
        <v>45525</v>
      </c>
      <c r="E2197" s="18">
        <v>45889</v>
      </c>
      <c r="F2197" s="18" t="s">
        <v>611</v>
      </c>
      <c r="G2197" t="s">
        <v>100</v>
      </c>
      <c r="H2197">
        <v>1</v>
      </c>
      <c r="I2197">
        <v>1</v>
      </c>
      <c r="J2197" s="27">
        <v>45570.5</v>
      </c>
      <c r="K2197" s="27">
        <v>3500000</v>
      </c>
    </row>
    <row r="2198" spans="1:11" ht="15" customHeight="1" x14ac:dyDescent="0.2">
      <c r="A2198" t="s">
        <v>10788</v>
      </c>
      <c r="B2198" t="s">
        <v>10789</v>
      </c>
      <c r="C2198">
        <v>2024</v>
      </c>
      <c r="D2198" s="18">
        <v>45525</v>
      </c>
      <c r="E2198" s="18">
        <v>45889</v>
      </c>
      <c r="F2198" s="18" t="s">
        <v>611</v>
      </c>
      <c r="G2198" t="s">
        <v>102</v>
      </c>
      <c r="H2198">
        <v>1</v>
      </c>
      <c r="I2198">
        <v>2</v>
      </c>
      <c r="J2198" s="27">
        <v>22986.91</v>
      </c>
      <c r="K2198" s="27">
        <v>2500000</v>
      </c>
    </row>
    <row r="2199" spans="1:11" ht="15" customHeight="1" x14ac:dyDescent="0.2">
      <c r="A2199" t="s">
        <v>10790</v>
      </c>
      <c r="B2199" t="s">
        <v>10791</v>
      </c>
      <c r="C2199">
        <v>2024</v>
      </c>
      <c r="D2199" s="18">
        <v>45526</v>
      </c>
      <c r="E2199" s="18">
        <v>45890</v>
      </c>
      <c r="F2199" s="18" t="s">
        <v>608</v>
      </c>
      <c r="G2199" t="s">
        <v>99</v>
      </c>
      <c r="H2199">
        <v>1</v>
      </c>
      <c r="I2199">
        <v>2</v>
      </c>
      <c r="J2199" s="27">
        <v>8824.9699999999993</v>
      </c>
      <c r="K2199" s="27">
        <v>1000000</v>
      </c>
    </row>
    <row r="2200" spans="1:11" ht="15" customHeight="1" x14ac:dyDescent="0.2">
      <c r="A2200" t="s">
        <v>10792</v>
      </c>
      <c r="B2200" t="s">
        <v>10793</v>
      </c>
      <c r="C2200">
        <v>2024</v>
      </c>
      <c r="D2200" s="18">
        <v>45526</v>
      </c>
      <c r="E2200" s="18">
        <v>45890</v>
      </c>
      <c r="F2200" s="18" t="s">
        <v>611</v>
      </c>
      <c r="G2200" t="s">
        <v>101</v>
      </c>
      <c r="H2200">
        <v>2</v>
      </c>
      <c r="I2200">
        <v>4</v>
      </c>
      <c r="J2200" s="27">
        <v>26538.77</v>
      </c>
      <c r="K2200" s="27">
        <v>1500000</v>
      </c>
    </row>
    <row r="2201" spans="1:11" ht="15" customHeight="1" x14ac:dyDescent="0.2">
      <c r="A2201" t="s">
        <v>10794</v>
      </c>
      <c r="B2201" t="s">
        <v>10795</v>
      </c>
      <c r="C2201">
        <v>2024</v>
      </c>
      <c r="D2201" s="18">
        <v>45526</v>
      </c>
      <c r="E2201" s="18">
        <v>45890</v>
      </c>
      <c r="F2201" s="18" t="s">
        <v>611</v>
      </c>
      <c r="G2201" t="s">
        <v>100</v>
      </c>
      <c r="H2201">
        <v>1</v>
      </c>
      <c r="I2201">
        <v>1</v>
      </c>
      <c r="J2201" s="27">
        <v>121806.11</v>
      </c>
      <c r="K2201" s="27">
        <v>10000000</v>
      </c>
    </row>
    <row r="2202" spans="1:11" ht="15" customHeight="1" x14ac:dyDescent="0.2">
      <c r="A2202" t="s">
        <v>10796</v>
      </c>
      <c r="B2202" t="s">
        <v>10797</v>
      </c>
      <c r="C2202">
        <v>2024</v>
      </c>
      <c r="D2202" s="18">
        <v>45527</v>
      </c>
      <c r="E2202" s="18">
        <v>45891</v>
      </c>
      <c r="F2202" s="18" t="s">
        <v>608</v>
      </c>
      <c r="G2202" t="s">
        <v>101</v>
      </c>
      <c r="H2202">
        <v>1</v>
      </c>
      <c r="I2202">
        <v>1</v>
      </c>
      <c r="J2202" s="27">
        <v>37173.68</v>
      </c>
      <c r="K2202" s="27">
        <v>2000000</v>
      </c>
    </row>
    <row r="2203" spans="1:11" ht="15" customHeight="1" x14ac:dyDescent="0.2">
      <c r="A2203" t="s">
        <v>10798</v>
      </c>
      <c r="B2203" t="s">
        <v>10799</v>
      </c>
      <c r="C2203">
        <v>2024</v>
      </c>
      <c r="D2203" s="18">
        <v>45527</v>
      </c>
      <c r="E2203" s="18">
        <v>45891</v>
      </c>
      <c r="F2203" s="18" t="s">
        <v>611</v>
      </c>
      <c r="G2203" t="s">
        <v>99</v>
      </c>
      <c r="H2203">
        <v>2</v>
      </c>
      <c r="I2203">
        <v>4</v>
      </c>
      <c r="J2203" s="27">
        <v>23749.32</v>
      </c>
      <c r="K2203" s="27">
        <v>3000000</v>
      </c>
    </row>
    <row r="2204" spans="1:11" ht="15" customHeight="1" x14ac:dyDescent="0.2">
      <c r="A2204" t="s">
        <v>10800</v>
      </c>
      <c r="B2204" t="s">
        <v>10801</v>
      </c>
      <c r="C2204">
        <v>2024</v>
      </c>
      <c r="D2204" s="18">
        <v>45527</v>
      </c>
      <c r="E2204" s="18">
        <v>45891</v>
      </c>
      <c r="F2204" s="18" t="s">
        <v>611</v>
      </c>
      <c r="G2204" t="s">
        <v>101</v>
      </c>
      <c r="H2204">
        <v>2</v>
      </c>
      <c r="I2204">
        <v>4</v>
      </c>
      <c r="J2204" s="27">
        <v>53914.49</v>
      </c>
      <c r="K2204" s="27">
        <v>3000000</v>
      </c>
    </row>
    <row r="2205" spans="1:11" ht="15" customHeight="1" x14ac:dyDescent="0.2">
      <c r="A2205" t="s">
        <v>10802</v>
      </c>
      <c r="B2205" t="s">
        <v>10803</v>
      </c>
      <c r="C2205">
        <v>2024</v>
      </c>
      <c r="D2205" s="18">
        <v>45527</v>
      </c>
      <c r="E2205" s="18">
        <v>45891</v>
      </c>
      <c r="F2205" s="18" t="s">
        <v>611</v>
      </c>
      <c r="G2205" t="s">
        <v>101</v>
      </c>
      <c r="H2205">
        <v>1</v>
      </c>
      <c r="I2205">
        <v>2</v>
      </c>
      <c r="J2205" s="27">
        <v>87932.1</v>
      </c>
      <c r="K2205" s="27">
        <v>5000000</v>
      </c>
    </row>
    <row r="2206" spans="1:11" ht="15" customHeight="1" x14ac:dyDescent="0.2">
      <c r="A2206" t="s">
        <v>10804</v>
      </c>
      <c r="B2206" t="s">
        <v>10805</v>
      </c>
      <c r="C2206">
        <v>2024</v>
      </c>
      <c r="D2206" s="18">
        <v>45527</v>
      </c>
      <c r="E2206" s="18">
        <v>45891</v>
      </c>
      <c r="F2206" s="18" t="s">
        <v>611</v>
      </c>
      <c r="G2206" t="s">
        <v>99</v>
      </c>
      <c r="H2206">
        <v>2</v>
      </c>
      <c r="I2206">
        <v>2</v>
      </c>
      <c r="J2206" s="27">
        <v>16176.67</v>
      </c>
      <c r="K2206" s="27">
        <v>2000000</v>
      </c>
    </row>
    <row r="2207" spans="1:11" ht="15" customHeight="1" x14ac:dyDescent="0.2">
      <c r="A2207" t="s">
        <v>10806</v>
      </c>
      <c r="B2207" t="s">
        <v>10807</v>
      </c>
      <c r="C2207">
        <v>2024</v>
      </c>
      <c r="D2207" s="18">
        <v>45527</v>
      </c>
      <c r="E2207" s="18">
        <v>45891</v>
      </c>
      <c r="F2207" s="18" t="s">
        <v>611</v>
      </c>
      <c r="G2207" t="s">
        <v>101</v>
      </c>
      <c r="H2207">
        <v>1</v>
      </c>
      <c r="I2207">
        <v>2</v>
      </c>
      <c r="J2207" s="27">
        <v>81041.320000000007</v>
      </c>
      <c r="K2207" s="27">
        <v>4500000</v>
      </c>
    </row>
    <row r="2208" spans="1:11" ht="15" customHeight="1" x14ac:dyDescent="0.2">
      <c r="A2208" t="s">
        <v>10808</v>
      </c>
      <c r="B2208" t="s">
        <v>10809</v>
      </c>
      <c r="C2208">
        <v>2024</v>
      </c>
      <c r="D2208" s="18">
        <v>45527</v>
      </c>
      <c r="E2208" s="18">
        <v>45891</v>
      </c>
      <c r="F2208" s="18" t="s">
        <v>611</v>
      </c>
      <c r="G2208" t="s">
        <v>101</v>
      </c>
      <c r="H2208">
        <v>1</v>
      </c>
      <c r="I2208">
        <v>1</v>
      </c>
      <c r="J2208" s="27">
        <v>167060.43</v>
      </c>
      <c r="K2208" s="27">
        <v>10000000</v>
      </c>
    </row>
    <row r="2209" spans="1:11" ht="15" customHeight="1" x14ac:dyDescent="0.2">
      <c r="A2209" t="s">
        <v>10810</v>
      </c>
      <c r="B2209" t="s">
        <v>10811</v>
      </c>
      <c r="C2209">
        <v>2024</v>
      </c>
      <c r="D2209" s="18">
        <v>45527</v>
      </c>
      <c r="E2209" s="18">
        <v>45891</v>
      </c>
      <c r="F2209" s="18" t="s">
        <v>611</v>
      </c>
      <c r="G2209" t="s">
        <v>99</v>
      </c>
      <c r="H2209">
        <v>2</v>
      </c>
      <c r="I2209">
        <v>2</v>
      </c>
      <c r="J2209" s="27">
        <v>8503.64</v>
      </c>
      <c r="K2209" s="27">
        <v>1000000</v>
      </c>
    </row>
    <row r="2210" spans="1:11" ht="15" customHeight="1" x14ac:dyDescent="0.2">
      <c r="A2210" t="s">
        <v>10812</v>
      </c>
      <c r="B2210" t="s">
        <v>10813</v>
      </c>
      <c r="C2210">
        <v>2024</v>
      </c>
      <c r="D2210" s="18">
        <v>45527</v>
      </c>
      <c r="E2210" s="18">
        <v>45891</v>
      </c>
      <c r="F2210" s="18" t="s">
        <v>611</v>
      </c>
      <c r="G2210" t="s">
        <v>100</v>
      </c>
      <c r="H2210">
        <v>3</v>
      </c>
      <c r="I2210">
        <v>6</v>
      </c>
      <c r="J2210" s="27">
        <v>28014.34</v>
      </c>
      <c r="K2210" s="27">
        <v>2000000</v>
      </c>
    </row>
    <row r="2211" spans="1:11" ht="15" customHeight="1" x14ac:dyDescent="0.2">
      <c r="A2211" t="s">
        <v>10814</v>
      </c>
      <c r="B2211" t="s">
        <v>10815</v>
      </c>
      <c r="C2211">
        <v>2024</v>
      </c>
      <c r="D2211" s="18">
        <v>45528</v>
      </c>
      <c r="E2211" s="18">
        <v>45892</v>
      </c>
      <c r="F2211" s="18" t="s">
        <v>608</v>
      </c>
      <c r="G2211" t="s">
        <v>100</v>
      </c>
      <c r="H2211">
        <v>1</v>
      </c>
      <c r="I2211">
        <v>1</v>
      </c>
      <c r="J2211" s="27">
        <v>40968.21</v>
      </c>
      <c r="K2211" s="27">
        <v>3500000</v>
      </c>
    </row>
    <row r="2212" spans="1:11" ht="15" customHeight="1" x14ac:dyDescent="0.2">
      <c r="A2212" t="s">
        <v>10816</v>
      </c>
      <c r="B2212" t="s">
        <v>10817</v>
      </c>
      <c r="C2212">
        <v>2024</v>
      </c>
      <c r="D2212" s="18">
        <v>45528</v>
      </c>
      <c r="E2212" s="18">
        <v>45892</v>
      </c>
      <c r="F2212" s="18" t="s">
        <v>608</v>
      </c>
      <c r="G2212" t="s">
        <v>99</v>
      </c>
      <c r="H2212">
        <v>1</v>
      </c>
      <c r="I2212">
        <v>1</v>
      </c>
      <c r="J2212" s="27">
        <v>30365.62</v>
      </c>
      <c r="K2212" s="27">
        <v>4000000</v>
      </c>
    </row>
    <row r="2213" spans="1:11" ht="15" customHeight="1" x14ac:dyDescent="0.2">
      <c r="A2213" t="s">
        <v>10818</v>
      </c>
      <c r="B2213" t="s">
        <v>10819</v>
      </c>
      <c r="C2213">
        <v>2024</v>
      </c>
      <c r="D2213" s="18">
        <v>45528</v>
      </c>
      <c r="E2213" s="18">
        <v>45892</v>
      </c>
      <c r="F2213" s="18" t="s">
        <v>611</v>
      </c>
      <c r="G2213" t="s">
        <v>102</v>
      </c>
      <c r="H2213">
        <v>2</v>
      </c>
      <c r="I2213">
        <v>2</v>
      </c>
      <c r="J2213" s="27">
        <v>9297.09</v>
      </c>
      <c r="K2213" s="27">
        <v>1000000</v>
      </c>
    </row>
    <row r="2214" spans="1:11" ht="15" customHeight="1" x14ac:dyDescent="0.2">
      <c r="A2214" t="s">
        <v>10820</v>
      </c>
      <c r="B2214" t="s">
        <v>10821</v>
      </c>
      <c r="C2214">
        <v>2024</v>
      </c>
      <c r="D2214" s="18">
        <v>45529</v>
      </c>
      <c r="E2214" s="18">
        <v>45893</v>
      </c>
      <c r="F2214" s="18" t="s">
        <v>611</v>
      </c>
      <c r="G2214" t="s">
        <v>100</v>
      </c>
      <c r="H2214">
        <v>2</v>
      </c>
      <c r="I2214">
        <v>4</v>
      </c>
      <c r="J2214" s="27">
        <v>7090.85</v>
      </c>
      <c r="K2214" s="27">
        <v>500000</v>
      </c>
    </row>
    <row r="2215" spans="1:11" ht="15" customHeight="1" x14ac:dyDescent="0.2">
      <c r="A2215" t="s">
        <v>10822</v>
      </c>
      <c r="B2215" t="s">
        <v>10823</v>
      </c>
      <c r="C2215">
        <v>2024</v>
      </c>
      <c r="D2215" s="18">
        <v>45529</v>
      </c>
      <c r="E2215" s="18">
        <v>45893</v>
      </c>
      <c r="F2215" s="18" t="s">
        <v>611</v>
      </c>
      <c r="G2215" t="s">
        <v>100</v>
      </c>
      <c r="H2215">
        <v>1</v>
      </c>
      <c r="I2215">
        <v>1</v>
      </c>
      <c r="J2215" s="27">
        <v>42043.9</v>
      </c>
      <c r="K2215" s="27">
        <v>3000000</v>
      </c>
    </row>
    <row r="2216" spans="1:11" ht="15" customHeight="1" x14ac:dyDescent="0.2">
      <c r="A2216" t="s">
        <v>10824</v>
      </c>
      <c r="B2216" t="s">
        <v>10825</v>
      </c>
      <c r="C2216">
        <v>2024</v>
      </c>
      <c r="D2216" s="18">
        <v>45529</v>
      </c>
      <c r="E2216" s="18">
        <v>45893</v>
      </c>
      <c r="F2216" s="18" t="s">
        <v>611</v>
      </c>
      <c r="G2216" t="s">
        <v>99</v>
      </c>
      <c r="H2216">
        <v>2</v>
      </c>
      <c r="I2216">
        <v>2</v>
      </c>
      <c r="J2216" s="27">
        <v>23879.15</v>
      </c>
      <c r="K2216" s="27">
        <v>3000000</v>
      </c>
    </row>
    <row r="2217" spans="1:11" ht="15" customHeight="1" x14ac:dyDescent="0.2">
      <c r="A2217" t="s">
        <v>10826</v>
      </c>
      <c r="B2217" t="s">
        <v>10827</v>
      </c>
      <c r="C2217">
        <v>2024</v>
      </c>
      <c r="D2217" s="18">
        <v>45529</v>
      </c>
      <c r="E2217" s="18">
        <v>45893</v>
      </c>
      <c r="F2217" s="18" t="s">
        <v>611</v>
      </c>
      <c r="G2217" t="s">
        <v>101</v>
      </c>
      <c r="H2217">
        <v>3</v>
      </c>
      <c r="I2217">
        <v>6</v>
      </c>
      <c r="J2217" s="27">
        <v>47798.15</v>
      </c>
      <c r="K2217" s="27">
        <v>2500000</v>
      </c>
    </row>
    <row r="2218" spans="1:11" ht="15" customHeight="1" x14ac:dyDescent="0.2">
      <c r="A2218" t="s">
        <v>10828</v>
      </c>
      <c r="B2218" t="s">
        <v>10829</v>
      </c>
      <c r="C2218">
        <v>2024</v>
      </c>
      <c r="D2218" s="18">
        <v>45529</v>
      </c>
      <c r="E2218" s="18">
        <v>45893</v>
      </c>
      <c r="F2218" s="18" t="s">
        <v>611</v>
      </c>
      <c r="G2218" t="s">
        <v>99</v>
      </c>
      <c r="H2218">
        <v>3</v>
      </c>
      <c r="I2218">
        <v>6</v>
      </c>
      <c r="J2218" s="27">
        <v>17118.36</v>
      </c>
      <c r="K2218" s="27">
        <v>2000000</v>
      </c>
    </row>
    <row r="2219" spans="1:11" ht="15" customHeight="1" x14ac:dyDescent="0.2">
      <c r="A2219" t="s">
        <v>10830</v>
      </c>
      <c r="B2219" t="s">
        <v>10831</v>
      </c>
      <c r="C2219">
        <v>2024</v>
      </c>
      <c r="D2219" s="18">
        <v>45530</v>
      </c>
      <c r="E2219" s="18">
        <v>45894</v>
      </c>
      <c r="F2219" s="18" t="s">
        <v>608</v>
      </c>
      <c r="G2219" t="s">
        <v>100</v>
      </c>
      <c r="H2219">
        <v>1</v>
      </c>
      <c r="I2219">
        <v>1</v>
      </c>
      <c r="J2219" s="27">
        <v>20685.05</v>
      </c>
      <c r="K2219" s="27">
        <v>1500000</v>
      </c>
    </row>
    <row r="2220" spans="1:11" ht="15" customHeight="1" x14ac:dyDescent="0.2">
      <c r="A2220" t="s">
        <v>10832</v>
      </c>
      <c r="B2220" t="s">
        <v>10833</v>
      </c>
      <c r="C2220">
        <v>2024</v>
      </c>
      <c r="D2220" s="18">
        <v>45530</v>
      </c>
      <c r="E2220" s="18">
        <v>45894</v>
      </c>
      <c r="F2220" s="18" t="s">
        <v>611</v>
      </c>
      <c r="G2220" t="s">
        <v>99</v>
      </c>
      <c r="H2220">
        <v>1</v>
      </c>
      <c r="I2220">
        <v>2</v>
      </c>
      <c r="J2220" s="27">
        <v>16270.41</v>
      </c>
      <c r="K2220" s="27">
        <v>2000000</v>
      </c>
    </row>
    <row r="2221" spans="1:11" ht="15" customHeight="1" x14ac:dyDescent="0.2">
      <c r="A2221" t="s">
        <v>10834</v>
      </c>
      <c r="B2221" t="s">
        <v>10835</v>
      </c>
      <c r="C2221">
        <v>2024</v>
      </c>
      <c r="D2221" s="18">
        <v>45530</v>
      </c>
      <c r="E2221" s="18">
        <v>45894</v>
      </c>
      <c r="F2221" s="18" t="s">
        <v>611</v>
      </c>
      <c r="G2221" t="s">
        <v>99</v>
      </c>
      <c r="H2221">
        <v>1</v>
      </c>
      <c r="I2221">
        <v>1</v>
      </c>
      <c r="J2221" s="27">
        <v>40359.550000000003</v>
      </c>
      <c r="K2221" s="27">
        <v>4500000</v>
      </c>
    </row>
    <row r="2222" spans="1:11" ht="15" customHeight="1" x14ac:dyDescent="0.2">
      <c r="A2222" t="s">
        <v>10836</v>
      </c>
      <c r="B2222" t="s">
        <v>10837</v>
      </c>
      <c r="C2222">
        <v>2024</v>
      </c>
      <c r="D2222" s="18">
        <v>45530</v>
      </c>
      <c r="E2222" s="18">
        <v>45894</v>
      </c>
      <c r="F2222" s="18" t="s">
        <v>611</v>
      </c>
      <c r="G2222" t="s">
        <v>101</v>
      </c>
      <c r="H2222">
        <v>2</v>
      </c>
      <c r="I2222">
        <v>2</v>
      </c>
      <c r="J2222" s="27">
        <v>44362.29</v>
      </c>
      <c r="K2222" s="27">
        <v>2500000</v>
      </c>
    </row>
    <row r="2223" spans="1:11" ht="15" customHeight="1" x14ac:dyDescent="0.2">
      <c r="A2223" t="s">
        <v>10838</v>
      </c>
      <c r="B2223" t="s">
        <v>10839</v>
      </c>
      <c r="C2223">
        <v>2024</v>
      </c>
      <c r="D2223" s="18">
        <v>45530</v>
      </c>
      <c r="E2223" s="18">
        <v>45894</v>
      </c>
      <c r="F2223" s="18" t="s">
        <v>611</v>
      </c>
      <c r="G2223" t="s">
        <v>102</v>
      </c>
      <c r="H2223">
        <v>2</v>
      </c>
      <c r="I2223">
        <v>2</v>
      </c>
      <c r="J2223" s="27">
        <v>34963.620000000003</v>
      </c>
      <c r="K2223" s="27">
        <v>4000000</v>
      </c>
    </row>
    <row r="2224" spans="1:11" ht="15" customHeight="1" x14ac:dyDescent="0.2">
      <c r="A2224" t="s">
        <v>10840</v>
      </c>
      <c r="B2224" t="s">
        <v>10841</v>
      </c>
      <c r="C2224">
        <v>2024</v>
      </c>
      <c r="D2224" s="18">
        <v>45530</v>
      </c>
      <c r="E2224" s="18">
        <v>45894</v>
      </c>
      <c r="F2224" s="18" t="s">
        <v>611</v>
      </c>
      <c r="G2224" t="s">
        <v>99</v>
      </c>
      <c r="H2224">
        <v>1</v>
      </c>
      <c r="I2224">
        <v>1</v>
      </c>
      <c r="J2224" s="27">
        <v>38851.71</v>
      </c>
      <c r="K2224" s="27">
        <v>5000000</v>
      </c>
    </row>
    <row r="2225" spans="1:11" ht="15" customHeight="1" x14ac:dyDescent="0.2">
      <c r="A2225" t="s">
        <v>10842</v>
      </c>
      <c r="B2225" t="s">
        <v>10843</v>
      </c>
      <c r="C2225">
        <v>2024</v>
      </c>
      <c r="D2225" s="18">
        <v>45530</v>
      </c>
      <c r="E2225" s="18">
        <v>45894</v>
      </c>
      <c r="F2225" s="18" t="s">
        <v>611</v>
      </c>
      <c r="G2225" t="s">
        <v>99</v>
      </c>
      <c r="H2225">
        <v>2</v>
      </c>
      <c r="I2225">
        <v>4</v>
      </c>
      <c r="J2225" s="27">
        <v>14819.27</v>
      </c>
      <c r="K2225" s="27">
        <v>2000000</v>
      </c>
    </row>
    <row r="2226" spans="1:11" ht="15" customHeight="1" x14ac:dyDescent="0.2">
      <c r="A2226" t="s">
        <v>10844</v>
      </c>
      <c r="B2226" t="s">
        <v>10845</v>
      </c>
      <c r="C2226">
        <v>2024</v>
      </c>
      <c r="D2226" s="18">
        <v>45530</v>
      </c>
      <c r="E2226" s="18">
        <v>45894</v>
      </c>
      <c r="F2226" s="18" t="s">
        <v>611</v>
      </c>
      <c r="G2226" t="s">
        <v>101</v>
      </c>
      <c r="H2226">
        <v>2</v>
      </c>
      <c r="I2226">
        <v>4</v>
      </c>
      <c r="J2226" s="27">
        <v>8767.4500000000007</v>
      </c>
      <c r="K2226" s="27">
        <v>500000</v>
      </c>
    </row>
    <row r="2227" spans="1:11" ht="15" customHeight="1" x14ac:dyDescent="0.2">
      <c r="A2227" t="s">
        <v>10846</v>
      </c>
      <c r="B2227" t="s">
        <v>10847</v>
      </c>
      <c r="C2227">
        <v>2024</v>
      </c>
      <c r="D2227" s="18">
        <v>45530</v>
      </c>
      <c r="E2227" s="18">
        <v>45894</v>
      </c>
      <c r="F2227" s="18" t="s">
        <v>611</v>
      </c>
      <c r="G2227" t="s">
        <v>101</v>
      </c>
      <c r="H2227">
        <v>1</v>
      </c>
      <c r="I2227">
        <v>2</v>
      </c>
      <c r="J2227" s="27">
        <v>69736.03</v>
      </c>
      <c r="K2227" s="27">
        <v>4000000</v>
      </c>
    </row>
    <row r="2228" spans="1:11" ht="15" customHeight="1" x14ac:dyDescent="0.2">
      <c r="A2228" t="s">
        <v>10848</v>
      </c>
      <c r="B2228" t="s">
        <v>10849</v>
      </c>
      <c r="C2228">
        <v>2024</v>
      </c>
      <c r="D2228" s="18">
        <v>45531</v>
      </c>
      <c r="E2228" s="18">
        <v>45895</v>
      </c>
      <c r="F2228" s="18" t="s">
        <v>611</v>
      </c>
      <c r="G2228" t="s">
        <v>102</v>
      </c>
      <c r="H2228">
        <v>2</v>
      </c>
      <c r="I2228">
        <v>4</v>
      </c>
      <c r="J2228" s="27">
        <v>7989.49</v>
      </c>
      <c r="K2228" s="27">
        <v>1000000</v>
      </c>
    </row>
    <row r="2229" spans="1:11" ht="15" customHeight="1" x14ac:dyDescent="0.2">
      <c r="A2229" t="s">
        <v>10850</v>
      </c>
      <c r="B2229" t="s">
        <v>10851</v>
      </c>
      <c r="C2229">
        <v>2024</v>
      </c>
      <c r="D2229" s="18">
        <v>45531</v>
      </c>
      <c r="E2229" s="18">
        <v>45895</v>
      </c>
      <c r="F2229" s="18" t="s">
        <v>611</v>
      </c>
      <c r="G2229" t="s">
        <v>102</v>
      </c>
      <c r="H2229">
        <v>1</v>
      </c>
      <c r="I2229">
        <v>1</v>
      </c>
      <c r="J2229" s="27">
        <v>8607.0400000000009</v>
      </c>
      <c r="K2229" s="27">
        <v>1000000</v>
      </c>
    </row>
    <row r="2230" spans="1:11" ht="15" customHeight="1" x14ac:dyDescent="0.2">
      <c r="A2230" t="s">
        <v>10852</v>
      </c>
      <c r="B2230" t="s">
        <v>10853</v>
      </c>
      <c r="C2230">
        <v>2024</v>
      </c>
      <c r="D2230" s="18">
        <v>45531</v>
      </c>
      <c r="E2230" s="18">
        <v>45895</v>
      </c>
      <c r="F2230" s="18" t="s">
        <v>611</v>
      </c>
      <c r="G2230" t="s">
        <v>100</v>
      </c>
      <c r="H2230">
        <v>2</v>
      </c>
      <c r="I2230">
        <v>2</v>
      </c>
      <c r="J2230" s="27">
        <v>24671</v>
      </c>
      <c r="K2230" s="27">
        <v>2000000</v>
      </c>
    </row>
    <row r="2231" spans="1:11" ht="15" customHeight="1" x14ac:dyDescent="0.2">
      <c r="A2231" t="s">
        <v>10854</v>
      </c>
      <c r="B2231" t="s">
        <v>10855</v>
      </c>
      <c r="C2231">
        <v>2024</v>
      </c>
      <c r="D2231" s="18">
        <v>45531</v>
      </c>
      <c r="E2231" s="18">
        <v>45895</v>
      </c>
      <c r="F2231" s="18" t="s">
        <v>611</v>
      </c>
      <c r="G2231" t="s">
        <v>100</v>
      </c>
      <c r="H2231">
        <v>3</v>
      </c>
      <c r="I2231">
        <v>6</v>
      </c>
      <c r="J2231" s="27">
        <v>25824.36</v>
      </c>
      <c r="K2231" s="27">
        <v>2000000</v>
      </c>
    </row>
    <row r="2232" spans="1:11" ht="15" customHeight="1" x14ac:dyDescent="0.2">
      <c r="A2232" t="s">
        <v>10856</v>
      </c>
      <c r="B2232" t="s">
        <v>10857</v>
      </c>
      <c r="C2232">
        <v>2024</v>
      </c>
      <c r="D2232" s="18">
        <v>45531</v>
      </c>
      <c r="E2232" s="18">
        <v>45895</v>
      </c>
      <c r="F2232" s="18" t="s">
        <v>611</v>
      </c>
      <c r="G2232" t="s">
        <v>102</v>
      </c>
      <c r="H2232">
        <v>2</v>
      </c>
      <c r="I2232">
        <v>4</v>
      </c>
      <c r="J2232" s="27">
        <v>26046.32</v>
      </c>
      <c r="K2232" s="27">
        <v>3000000</v>
      </c>
    </row>
    <row r="2233" spans="1:11" ht="15" customHeight="1" x14ac:dyDescent="0.2">
      <c r="A2233" t="s">
        <v>10858</v>
      </c>
      <c r="B2233" t="s">
        <v>10859</v>
      </c>
      <c r="C2233">
        <v>2024</v>
      </c>
      <c r="D2233" s="18">
        <v>45531</v>
      </c>
      <c r="E2233" s="18">
        <v>45895</v>
      </c>
      <c r="F2233" s="18" t="s">
        <v>611</v>
      </c>
      <c r="G2233" t="s">
        <v>101</v>
      </c>
      <c r="H2233">
        <v>3</v>
      </c>
      <c r="I2233">
        <v>6</v>
      </c>
      <c r="J2233" s="27">
        <v>56546.71</v>
      </c>
      <c r="K2233" s="27">
        <v>3000000</v>
      </c>
    </row>
    <row r="2234" spans="1:11" ht="15" customHeight="1" x14ac:dyDescent="0.2">
      <c r="A2234" t="s">
        <v>10860</v>
      </c>
      <c r="B2234" t="s">
        <v>10861</v>
      </c>
      <c r="C2234">
        <v>2024</v>
      </c>
      <c r="D2234" s="18">
        <v>45531</v>
      </c>
      <c r="E2234" s="18">
        <v>45895</v>
      </c>
      <c r="F2234" s="18" t="s">
        <v>611</v>
      </c>
      <c r="G2234" t="s">
        <v>100</v>
      </c>
      <c r="H2234">
        <v>3</v>
      </c>
      <c r="I2234">
        <v>3</v>
      </c>
      <c r="J2234" s="27">
        <v>55658.83</v>
      </c>
      <c r="K2234" s="27">
        <v>4000000</v>
      </c>
    </row>
    <row r="2235" spans="1:11" ht="15" customHeight="1" x14ac:dyDescent="0.2">
      <c r="A2235" t="s">
        <v>10862</v>
      </c>
      <c r="B2235" t="s">
        <v>10863</v>
      </c>
      <c r="C2235">
        <v>2024</v>
      </c>
      <c r="D2235" s="18">
        <v>45531</v>
      </c>
      <c r="E2235" s="18">
        <v>45895</v>
      </c>
      <c r="F2235" s="18" t="s">
        <v>611</v>
      </c>
      <c r="G2235" t="s">
        <v>99</v>
      </c>
      <c r="H2235">
        <v>1</v>
      </c>
      <c r="I2235">
        <v>2</v>
      </c>
      <c r="J2235" s="27">
        <v>21073.48</v>
      </c>
      <c r="K2235" s="27">
        <v>2500000</v>
      </c>
    </row>
    <row r="2236" spans="1:11" ht="15" customHeight="1" x14ac:dyDescent="0.2">
      <c r="A2236" t="s">
        <v>10864</v>
      </c>
      <c r="B2236" t="s">
        <v>10865</v>
      </c>
      <c r="C2236">
        <v>2024</v>
      </c>
      <c r="D2236" s="18">
        <v>45532</v>
      </c>
      <c r="E2236" s="18">
        <v>45896</v>
      </c>
      <c r="F2236" s="18" t="s">
        <v>608</v>
      </c>
      <c r="G2236" t="s">
        <v>100</v>
      </c>
      <c r="H2236">
        <v>1</v>
      </c>
      <c r="I2236">
        <v>1</v>
      </c>
      <c r="J2236" s="27">
        <v>122937.08</v>
      </c>
      <c r="K2236" s="27">
        <v>10000000</v>
      </c>
    </row>
    <row r="2237" spans="1:11" ht="15" customHeight="1" x14ac:dyDescent="0.2">
      <c r="A2237" t="s">
        <v>10866</v>
      </c>
      <c r="B2237" t="s">
        <v>10867</v>
      </c>
      <c r="C2237">
        <v>2024</v>
      </c>
      <c r="D2237" s="18">
        <v>45532</v>
      </c>
      <c r="E2237" s="18">
        <v>45896</v>
      </c>
      <c r="F2237" s="18" t="s">
        <v>611</v>
      </c>
      <c r="G2237" t="s">
        <v>101</v>
      </c>
      <c r="H2237">
        <v>1</v>
      </c>
      <c r="I2237">
        <v>1</v>
      </c>
      <c r="J2237" s="27">
        <v>8491.41</v>
      </c>
      <c r="K2237" s="27">
        <v>500000</v>
      </c>
    </row>
    <row r="2238" spans="1:11" ht="15" customHeight="1" x14ac:dyDescent="0.2">
      <c r="A2238" t="s">
        <v>10868</v>
      </c>
      <c r="B2238" t="s">
        <v>10869</v>
      </c>
      <c r="C2238">
        <v>2024</v>
      </c>
      <c r="D2238" s="18">
        <v>45532</v>
      </c>
      <c r="E2238" s="18">
        <v>45896</v>
      </c>
      <c r="F2238" s="18" t="s">
        <v>611</v>
      </c>
      <c r="G2238" t="s">
        <v>102</v>
      </c>
      <c r="H2238">
        <v>3</v>
      </c>
      <c r="I2238">
        <v>6</v>
      </c>
      <c r="J2238" s="27">
        <v>22998.73</v>
      </c>
      <c r="K2238" s="27">
        <v>2500000</v>
      </c>
    </row>
    <row r="2239" spans="1:11" ht="15" customHeight="1" x14ac:dyDescent="0.2">
      <c r="A2239" t="s">
        <v>10870</v>
      </c>
      <c r="B2239" t="s">
        <v>10871</v>
      </c>
      <c r="C2239">
        <v>2024</v>
      </c>
      <c r="D2239" s="18">
        <v>45532</v>
      </c>
      <c r="E2239" s="18">
        <v>45896</v>
      </c>
      <c r="F2239" s="18" t="s">
        <v>611</v>
      </c>
      <c r="G2239" t="s">
        <v>101</v>
      </c>
      <c r="H2239">
        <v>1</v>
      </c>
      <c r="I2239">
        <v>2</v>
      </c>
      <c r="J2239" s="27">
        <v>47350.23</v>
      </c>
      <c r="K2239" s="27">
        <v>3000000</v>
      </c>
    </row>
    <row r="2240" spans="1:11" ht="15" customHeight="1" x14ac:dyDescent="0.2">
      <c r="A2240" t="s">
        <v>10872</v>
      </c>
      <c r="B2240" t="s">
        <v>10873</v>
      </c>
      <c r="C2240">
        <v>2024</v>
      </c>
      <c r="D2240" s="18">
        <v>45532</v>
      </c>
      <c r="E2240" s="18">
        <v>45896</v>
      </c>
      <c r="F2240" s="18" t="s">
        <v>611</v>
      </c>
      <c r="G2240" t="s">
        <v>101</v>
      </c>
      <c r="H2240">
        <v>2</v>
      </c>
      <c r="I2240">
        <v>2</v>
      </c>
      <c r="J2240" s="27">
        <v>89342.31</v>
      </c>
      <c r="K2240" s="27">
        <v>5000000</v>
      </c>
    </row>
    <row r="2241" spans="1:11" ht="15" customHeight="1" x14ac:dyDescent="0.2">
      <c r="A2241" t="s">
        <v>10874</v>
      </c>
      <c r="B2241" t="s">
        <v>10875</v>
      </c>
      <c r="C2241">
        <v>2024</v>
      </c>
      <c r="D2241" s="18">
        <v>45533</v>
      </c>
      <c r="E2241" s="18">
        <v>45897</v>
      </c>
      <c r="F2241" s="18" t="s">
        <v>608</v>
      </c>
      <c r="G2241" t="s">
        <v>100</v>
      </c>
      <c r="H2241">
        <v>2</v>
      </c>
      <c r="I2241">
        <v>4</v>
      </c>
      <c r="J2241" s="27">
        <v>24575.59</v>
      </c>
      <c r="K2241" s="27">
        <v>2000000</v>
      </c>
    </row>
    <row r="2242" spans="1:11" ht="15" customHeight="1" x14ac:dyDescent="0.2">
      <c r="A2242" t="s">
        <v>10876</v>
      </c>
      <c r="B2242" t="s">
        <v>10877</v>
      </c>
      <c r="C2242">
        <v>2024</v>
      </c>
      <c r="D2242" s="18">
        <v>45533</v>
      </c>
      <c r="E2242" s="18">
        <v>45897</v>
      </c>
      <c r="F2242" s="18" t="s">
        <v>608</v>
      </c>
      <c r="G2242" t="s">
        <v>101</v>
      </c>
      <c r="H2242">
        <v>2</v>
      </c>
      <c r="I2242">
        <v>2</v>
      </c>
      <c r="J2242" s="27">
        <v>8159.91</v>
      </c>
      <c r="K2242" s="27">
        <v>500000</v>
      </c>
    </row>
    <row r="2243" spans="1:11" ht="15" customHeight="1" x14ac:dyDescent="0.2">
      <c r="A2243" t="s">
        <v>10878</v>
      </c>
      <c r="B2243" t="s">
        <v>10879</v>
      </c>
      <c r="C2243">
        <v>2024</v>
      </c>
      <c r="D2243" s="18">
        <v>45533</v>
      </c>
      <c r="E2243" s="18">
        <v>45897</v>
      </c>
      <c r="F2243" s="18" t="s">
        <v>608</v>
      </c>
      <c r="G2243" t="s">
        <v>100</v>
      </c>
      <c r="H2243">
        <v>2</v>
      </c>
      <c r="I2243">
        <v>4</v>
      </c>
      <c r="J2243" s="27">
        <v>51340.15</v>
      </c>
      <c r="K2243" s="27">
        <v>4000000</v>
      </c>
    </row>
    <row r="2244" spans="1:11" ht="15" customHeight="1" x14ac:dyDescent="0.2">
      <c r="A2244" t="s">
        <v>10880</v>
      </c>
      <c r="B2244" t="s">
        <v>10881</v>
      </c>
      <c r="C2244">
        <v>2024</v>
      </c>
      <c r="D2244" s="18">
        <v>45533</v>
      </c>
      <c r="E2244" s="18">
        <v>45897</v>
      </c>
      <c r="F2244" s="18" t="s">
        <v>608</v>
      </c>
      <c r="G2244" t="s">
        <v>100</v>
      </c>
      <c r="H2244">
        <v>1</v>
      </c>
      <c r="I2244">
        <v>2</v>
      </c>
      <c r="J2244" s="27">
        <v>131157.46</v>
      </c>
      <c r="K2244" s="27">
        <v>10000000</v>
      </c>
    </row>
    <row r="2245" spans="1:11" ht="15" customHeight="1" x14ac:dyDescent="0.2">
      <c r="A2245" t="s">
        <v>10882</v>
      </c>
      <c r="B2245" t="s">
        <v>10883</v>
      </c>
      <c r="C2245">
        <v>2024</v>
      </c>
      <c r="D2245" s="18">
        <v>45533</v>
      </c>
      <c r="E2245" s="18">
        <v>45897</v>
      </c>
      <c r="F2245" s="18" t="s">
        <v>608</v>
      </c>
      <c r="G2245" t="s">
        <v>101</v>
      </c>
      <c r="H2245">
        <v>1</v>
      </c>
      <c r="I2245">
        <v>1</v>
      </c>
      <c r="J2245" s="27">
        <v>27495.119999999999</v>
      </c>
      <c r="K2245" s="27">
        <v>1500000</v>
      </c>
    </row>
    <row r="2246" spans="1:11" ht="15" customHeight="1" x14ac:dyDescent="0.2">
      <c r="A2246" t="s">
        <v>10884</v>
      </c>
      <c r="B2246" t="s">
        <v>10885</v>
      </c>
      <c r="C2246">
        <v>2024</v>
      </c>
      <c r="D2246" s="18">
        <v>45533</v>
      </c>
      <c r="E2246" s="18">
        <v>45897</v>
      </c>
      <c r="F2246" s="18" t="s">
        <v>611</v>
      </c>
      <c r="G2246" t="s">
        <v>100</v>
      </c>
      <c r="H2246">
        <v>2</v>
      </c>
      <c r="I2246">
        <v>2</v>
      </c>
      <c r="J2246" s="27">
        <v>41194.49</v>
      </c>
      <c r="K2246" s="27">
        <v>3500000</v>
      </c>
    </row>
    <row r="2247" spans="1:11" ht="15" customHeight="1" x14ac:dyDescent="0.2">
      <c r="A2247" t="s">
        <v>10886</v>
      </c>
      <c r="B2247" t="s">
        <v>10887</v>
      </c>
      <c r="C2247">
        <v>2024</v>
      </c>
      <c r="D2247" s="18">
        <v>45533</v>
      </c>
      <c r="E2247" s="18">
        <v>45897</v>
      </c>
      <c r="F2247" s="18" t="s">
        <v>611</v>
      </c>
      <c r="G2247" t="s">
        <v>100</v>
      </c>
      <c r="H2247">
        <v>1</v>
      </c>
      <c r="I2247">
        <v>2</v>
      </c>
      <c r="J2247" s="27">
        <v>12391.56</v>
      </c>
      <c r="K2247" s="27">
        <v>1000000</v>
      </c>
    </row>
    <row r="2248" spans="1:11" ht="15" customHeight="1" x14ac:dyDescent="0.2">
      <c r="A2248" t="s">
        <v>10888</v>
      </c>
      <c r="B2248" t="s">
        <v>10889</v>
      </c>
      <c r="C2248">
        <v>2024</v>
      </c>
      <c r="D2248" s="18">
        <v>45533</v>
      </c>
      <c r="E2248" s="18">
        <v>45897</v>
      </c>
      <c r="F2248" s="18" t="s">
        <v>611</v>
      </c>
      <c r="G2248" t="s">
        <v>101</v>
      </c>
      <c r="H2248">
        <v>1</v>
      </c>
      <c r="I2248">
        <v>2</v>
      </c>
      <c r="J2248" s="27">
        <v>83159.25</v>
      </c>
      <c r="K2248" s="27">
        <v>4500000</v>
      </c>
    </row>
    <row r="2249" spans="1:11" ht="15" customHeight="1" x14ac:dyDescent="0.2">
      <c r="A2249" t="s">
        <v>10890</v>
      </c>
      <c r="B2249" t="s">
        <v>10891</v>
      </c>
      <c r="C2249">
        <v>2024</v>
      </c>
      <c r="D2249" s="18">
        <v>45533</v>
      </c>
      <c r="E2249" s="18">
        <v>45897</v>
      </c>
      <c r="F2249" s="18" t="s">
        <v>611</v>
      </c>
      <c r="G2249" t="s">
        <v>99</v>
      </c>
      <c r="H2249">
        <v>3</v>
      </c>
      <c r="I2249">
        <v>6</v>
      </c>
      <c r="J2249" s="27">
        <v>32310.35</v>
      </c>
      <c r="K2249" s="27">
        <v>4000000</v>
      </c>
    </row>
    <row r="2250" spans="1:11" ht="15" customHeight="1" x14ac:dyDescent="0.2">
      <c r="A2250" t="s">
        <v>10892</v>
      </c>
      <c r="B2250" t="s">
        <v>10893</v>
      </c>
      <c r="C2250">
        <v>2024</v>
      </c>
      <c r="D2250" s="18">
        <v>45534</v>
      </c>
      <c r="E2250" s="18">
        <v>45898</v>
      </c>
      <c r="F2250" s="18" t="s">
        <v>608</v>
      </c>
      <c r="G2250" t="s">
        <v>101</v>
      </c>
      <c r="H2250">
        <v>2</v>
      </c>
      <c r="I2250">
        <v>2</v>
      </c>
      <c r="J2250" s="27">
        <v>8435.39</v>
      </c>
      <c r="K2250" s="27">
        <v>500000</v>
      </c>
    </row>
    <row r="2251" spans="1:11" ht="15" customHeight="1" x14ac:dyDescent="0.2">
      <c r="A2251" t="s">
        <v>10894</v>
      </c>
      <c r="B2251" t="s">
        <v>10895</v>
      </c>
      <c r="C2251">
        <v>2024</v>
      </c>
      <c r="D2251" s="18">
        <v>45534</v>
      </c>
      <c r="E2251" s="18">
        <v>45898</v>
      </c>
      <c r="F2251" s="18" t="s">
        <v>608</v>
      </c>
      <c r="G2251" t="s">
        <v>102</v>
      </c>
      <c r="H2251">
        <v>2</v>
      </c>
      <c r="I2251">
        <v>2</v>
      </c>
      <c r="J2251" s="27">
        <v>24238.69</v>
      </c>
      <c r="K2251" s="27">
        <v>3000000</v>
      </c>
    </row>
    <row r="2252" spans="1:11" ht="15" customHeight="1" x14ac:dyDescent="0.2">
      <c r="A2252" t="s">
        <v>10896</v>
      </c>
      <c r="B2252" t="s">
        <v>10897</v>
      </c>
      <c r="C2252">
        <v>2024</v>
      </c>
      <c r="D2252" s="18">
        <v>45534</v>
      </c>
      <c r="E2252" s="18">
        <v>45898</v>
      </c>
      <c r="F2252" s="18" t="s">
        <v>611</v>
      </c>
      <c r="G2252" t="s">
        <v>101</v>
      </c>
      <c r="H2252">
        <v>1</v>
      </c>
      <c r="I2252">
        <v>1</v>
      </c>
      <c r="J2252" s="27">
        <v>160415.82</v>
      </c>
      <c r="K2252" s="27">
        <v>10000000</v>
      </c>
    </row>
    <row r="2253" spans="1:11" ht="15" customHeight="1" x14ac:dyDescent="0.2">
      <c r="A2253" t="s">
        <v>10898</v>
      </c>
      <c r="B2253" t="s">
        <v>10899</v>
      </c>
      <c r="C2253">
        <v>2024</v>
      </c>
      <c r="D2253" s="18">
        <v>45534</v>
      </c>
      <c r="E2253" s="18">
        <v>45898</v>
      </c>
      <c r="F2253" s="18" t="s">
        <v>611</v>
      </c>
      <c r="G2253" t="s">
        <v>100</v>
      </c>
      <c r="H2253">
        <v>3</v>
      </c>
      <c r="I2253">
        <v>3</v>
      </c>
      <c r="J2253" s="27">
        <v>52720.58</v>
      </c>
      <c r="K2253" s="27">
        <v>4000000</v>
      </c>
    </row>
    <row r="2254" spans="1:11" ht="15" customHeight="1" x14ac:dyDescent="0.2">
      <c r="A2254" t="s">
        <v>10900</v>
      </c>
      <c r="B2254" t="s">
        <v>10901</v>
      </c>
      <c r="C2254">
        <v>2024</v>
      </c>
      <c r="D2254" s="18">
        <v>45534</v>
      </c>
      <c r="E2254" s="18">
        <v>45898</v>
      </c>
      <c r="F2254" s="18" t="s">
        <v>611</v>
      </c>
      <c r="G2254" t="s">
        <v>102</v>
      </c>
      <c r="H2254">
        <v>2</v>
      </c>
      <c r="I2254">
        <v>4</v>
      </c>
      <c r="J2254" s="27">
        <v>7815.75</v>
      </c>
      <c r="K2254" s="27">
        <v>1000000</v>
      </c>
    </row>
    <row r="2255" spans="1:11" ht="15" customHeight="1" x14ac:dyDescent="0.2">
      <c r="A2255" t="s">
        <v>10902</v>
      </c>
      <c r="B2255" t="s">
        <v>10903</v>
      </c>
      <c r="C2255">
        <v>2024</v>
      </c>
      <c r="D2255" s="18">
        <v>45534</v>
      </c>
      <c r="E2255" s="18">
        <v>45898</v>
      </c>
      <c r="F2255" s="18" t="s">
        <v>611</v>
      </c>
      <c r="G2255" t="s">
        <v>102</v>
      </c>
      <c r="H2255">
        <v>1</v>
      </c>
      <c r="I2255">
        <v>1</v>
      </c>
      <c r="J2255" s="27">
        <v>40751.54</v>
      </c>
      <c r="K2255" s="27">
        <v>5000000</v>
      </c>
    </row>
    <row r="2256" spans="1:11" ht="15" customHeight="1" x14ac:dyDescent="0.2">
      <c r="A2256" t="s">
        <v>10904</v>
      </c>
      <c r="B2256" t="s">
        <v>10905</v>
      </c>
      <c r="C2256">
        <v>2024</v>
      </c>
      <c r="D2256" s="18">
        <v>45534</v>
      </c>
      <c r="E2256" s="18">
        <v>45898</v>
      </c>
      <c r="F2256" s="18" t="s">
        <v>611</v>
      </c>
      <c r="G2256" t="s">
        <v>102</v>
      </c>
      <c r="H2256">
        <v>1</v>
      </c>
      <c r="I2256">
        <v>1</v>
      </c>
      <c r="J2256" s="27">
        <v>45991.35</v>
      </c>
      <c r="K2256" s="27">
        <v>5000000</v>
      </c>
    </row>
    <row r="2257" spans="1:11" ht="15" customHeight="1" x14ac:dyDescent="0.2">
      <c r="A2257" t="s">
        <v>10906</v>
      </c>
      <c r="B2257" t="s">
        <v>10907</v>
      </c>
      <c r="C2257">
        <v>2024</v>
      </c>
      <c r="D2257" s="18">
        <v>45535</v>
      </c>
      <c r="E2257" s="18">
        <v>45899</v>
      </c>
      <c r="F2257" s="18" t="s">
        <v>608</v>
      </c>
      <c r="G2257" t="s">
        <v>100</v>
      </c>
      <c r="H2257">
        <v>3</v>
      </c>
      <c r="I2257">
        <v>3</v>
      </c>
      <c r="J2257" s="27">
        <v>47633.87</v>
      </c>
      <c r="K2257" s="27">
        <v>4000000</v>
      </c>
    </row>
    <row r="2258" spans="1:11" ht="15" customHeight="1" x14ac:dyDescent="0.2">
      <c r="A2258" t="s">
        <v>10908</v>
      </c>
      <c r="B2258" t="s">
        <v>10909</v>
      </c>
      <c r="C2258">
        <v>2024</v>
      </c>
      <c r="D2258" s="18">
        <v>45535</v>
      </c>
      <c r="E2258" s="18">
        <v>45899</v>
      </c>
      <c r="F2258" s="18" t="s">
        <v>608</v>
      </c>
      <c r="G2258" t="s">
        <v>99</v>
      </c>
      <c r="H2258">
        <v>2</v>
      </c>
      <c r="I2258">
        <v>4</v>
      </c>
      <c r="J2258" s="27">
        <v>84911.38</v>
      </c>
      <c r="K2258" s="27">
        <v>10000000</v>
      </c>
    </row>
    <row r="2259" spans="1:11" ht="15" customHeight="1" x14ac:dyDescent="0.2">
      <c r="A2259" t="s">
        <v>10910</v>
      </c>
      <c r="B2259" t="s">
        <v>10911</v>
      </c>
      <c r="C2259">
        <v>2024</v>
      </c>
      <c r="D2259" s="18">
        <v>45535</v>
      </c>
      <c r="E2259" s="18">
        <v>45899</v>
      </c>
      <c r="F2259" s="18" t="s">
        <v>608</v>
      </c>
      <c r="G2259" t="s">
        <v>100</v>
      </c>
      <c r="H2259">
        <v>1</v>
      </c>
      <c r="I2259">
        <v>2</v>
      </c>
      <c r="J2259" s="27">
        <v>14303.09</v>
      </c>
      <c r="K2259" s="27">
        <v>1000000</v>
      </c>
    </row>
    <row r="2260" spans="1:11" ht="15" customHeight="1" x14ac:dyDescent="0.2">
      <c r="A2260" t="s">
        <v>10912</v>
      </c>
      <c r="B2260" t="s">
        <v>10913</v>
      </c>
      <c r="C2260">
        <v>2024</v>
      </c>
      <c r="D2260" s="18">
        <v>45535</v>
      </c>
      <c r="E2260" s="18">
        <v>45899</v>
      </c>
      <c r="F2260" s="18" t="s">
        <v>611</v>
      </c>
      <c r="G2260" t="s">
        <v>99</v>
      </c>
      <c r="H2260">
        <v>1</v>
      </c>
      <c r="I2260">
        <v>2</v>
      </c>
      <c r="J2260" s="27">
        <v>43536.65</v>
      </c>
      <c r="K2260" s="27">
        <v>5000000</v>
      </c>
    </row>
    <row r="2261" spans="1:11" ht="15" customHeight="1" x14ac:dyDescent="0.2">
      <c r="A2261" t="s">
        <v>10914</v>
      </c>
      <c r="B2261" t="s">
        <v>10915</v>
      </c>
      <c r="C2261">
        <v>2024</v>
      </c>
      <c r="D2261" s="18">
        <v>45535</v>
      </c>
      <c r="E2261" s="18">
        <v>45899</v>
      </c>
      <c r="F2261" s="18" t="s">
        <v>611</v>
      </c>
      <c r="G2261" t="s">
        <v>99</v>
      </c>
      <c r="H2261">
        <v>2</v>
      </c>
      <c r="I2261">
        <v>2</v>
      </c>
      <c r="J2261" s="27">
        <v>24579.33</v>
      </c>
      <c r="K2261" s="27">
        <v>3000000</v>
      </c>
    </row>
    <row r="2262" spans="1:11" ht="15" customHeight="1" x14ac:dyDescent="0.2">
      <c r="A2262" t="s">
        <v>10916</v>
      </c>
      <c r="B2262" t="s">
        <v>10917</v>
      </c>
      <c r="C2262">
        <v>2024</v>
      </c>
      <c r="D2262" s="18">
        <v>45535</v>
      </c>
      <c r="E2262" s="18">
        <v>45899</v>
      </c>
      <c r="F2262" s="18" t="s">
        <v>611</v>
      </c>
      <c r="G2262" t="s">
        <v>99</v>
      </c>
      <c r="H2262">
        <v>2</v>
      </c>
      <c r="I2262">
        <v>2</v>
      </c>
      <c r="J2262" s="27">
        <v>19086.759999999998</v>
      </c>
      <c r="K2262" s="27">
        <v>2500000</v>
      </c>
    </row>
    <row r="2263" spans="1:11" ht="15" customHeight="1" x14ac:dyDescent="0.2">
      <c r="A2263" t="s">
        <v>10918</v>
      </c>
      <c r="B2263" t="s">
        <v>10919</v>
      </c>
      <c r="C2263">
        <v>2024</v>
      </c>
      <c r="D2263" s="18">
        <v>45535</v>
      </c>
      <c r="E2263" s="18">
        <v>45899</v>
      </c>
      <c r="F2263" s="18" t="s">
        <v>611</v>
      </c>
      <c r="G2263" t="s">
        <v>100</v>
      </c>
      <c r="H2263">
        <v>2</v>
      </c>
      <c r="I2263">
        <v>2</v>
      </c>
      <c r="J2263" s="27">
        <v>38754.410000000003</v>
      </c>
      <c r="K2263" s="27">
        <v>3000000</v>
      </c>
    </row>
    <row r="2264" spans="1:11" ht="15" customHeight="1" x14ac:dyDescent="0.2">
      <c r="A2264" t="s">
        <v>10920</v>
      </c>
      <c r="B2264" t="s">
        <v>10921</v>
      </c>
      <c r="C2264">
        <v>2024</v>
      </c>
      <c r="D2264" s="18">
        <v>45535</v>
      </c>
      <c r="E2264" s="18">
        <v>45899</v>
      </c>
      <c r="F2264" s="18" t="s">
        <v>611</v>
      </c>
      <c r="G2264" t="s">
        <v>99</v>
      </c>
      <c r="H2264">
        <v>2</v>
      </c>
      <c r="I2264">
        <v>2</v>
      </c>
      <c r="J2264" s="27">
        <v>86937.4</v>
      </c>
      <c r="K2264" s="27">
        <v>10000000</v>
      </c>
    </row>
    <row r="2265" spans="1:11" ht="15" customHeight="1" x14ac:dyDescent="0.2">
      <c r="A2265" t="s">
        <v>10922</v>
      </c>
      <c r="B2265" t="s">
        <v>10923</v>
      </c>
      <c r="C2265">
        <v>2024</v>
      </c>
      <c r="D2265" s="18">
        <v>45536</v>
      </c>
      <c r="E2265" s="18">
        <v>45900</v>
      </c>
      <c r="F2265" s="18" t="s">
        <v>608</v>
      </c>
      <c r="G2265" t="s">
        <v>99</v>
      </c>
      <c r="H2265">
        <v>3</v>
      </c>
      <c r="I2265">
        <v>6</v>
      </c>
      <c r="J2265" s="27">
        <v>8099.92</v>
      </c>
      <c r="K2265" s="27">
        <v>1000000</v>
      </c>
    </row>
    <row r="2266" spans="1:11" ht="15" customHeight="1" x14ac:dyDescent="0.2">
      <c r="A2266" t="s">
        <v>10924</v>
      </c>
      <c r="B2266" t="s">
        <v>10925</v>
      </c>
      <c r="C2266">
        <v>2024</v>
      </c>
      <c r="D2266" s="18">
        <v>45536</v>
      </c>
      <c r="E2266" s="18">
        <v>45900</v>
      </c>
      <c r="F2266" s="18" t="s">
        <v>608</v>
      </c>
      <c r="G2266" t="s">
        <v>100</v>
      </c>
      <c r="H2266">
        <v>2</v>
      </c>
      <c r="I2266">
        <v>2</v>
      </c>
      <c r="J2266" s="27">
        <v>42026.07</v>
      </c>
      <c r="K2266" s="27">
        <v>3000000</v>
      </c>
    </row>
    <row r="2267" spans="1:11" ht="15" customHeight="1" x14ac:dyDescent="0.2">
      <c r="A2267" t="s">
        <v>10926</v>
      </c>
      <c r="B2267" t="s">
        <v>10927</v>
      </c>
      <c r="C2267">
        <v>2024</v>
      </c>
      <c r="D2267" s="18">
        <v>45536</v>
      </c>
      <c r="E2267" s="18">
        <v>45900</v>
      </c>
      <c r="F2267" s="18" t="s">
        <v>611</v>
      </c>
      <c r="G2267" t="s">
        <v>99</v>
      </c>
      <c r="H2267">
        <v>2</v>
      </c>
      <c r="I2267">
        <v>2</v>
      </c>
      <c r="J2267" s="27">
        <v>33473.89</v>
      </c>
      <c r="K2267" s="27">
        <v>4000000</v>
      </c>
    </row>
    <row r="2268" spans="1:11" ht="15" customHeight="1" x14ac:dyDescent="0.2">
      <c r="A2268" t="s">
        <v>10928</v>
      </c>
      <c r="B2268" t="s">
        <v>10929</v>
      </c>
      <c r="C2268">
        <v>2024</v>
      </c>
      <c r="D2268" s="18">
        <v>45536</v>
      </c>
      <c r="E2268" s="18">
        <v>45900</v>
      </c>
      <c r="F2268" s="18" t="s">
        <v>611</v>
      </c>
      <c r="G2268" t="s">
        <v>99</v>
      </c>
      <c r="H2268">
        <v>2</v>
      </c>
      <c r="I2268">
        <v>2</v>
      </c>
      <c r="J2268" s="27">
        <v>8081.14</v>
      </c>
      <c r="K2268" s="27">
        <v>1000000</v>
      </c>
    </row>
    <row r="2269" spans="1:11" ht="15" customHeight="1" x14ac:dyDescent="0.2">
      <c r="A2269" t="s">
        <v>10930</v>
      </c>
      <c r="B2269" t="s">
        <v>10931</v>
      </c>
      <c r="C2269">
        <v>2024</v>
      </c>
      <c r="D2269" s="18">
        <v>45536</v>
      </c>
      <c r="E2269" s="18">
        <v>45900</v>
      </c>
      <c r="F2269" s="18" t="s">
        <v>611</v>
      </c>
      <c r="G2269" t="s">
        <v>99</v>
      </c>
      <c r="H2269">
        <v>3</v>
      </c>
      <c r="I2269">
        <v>3</v>
      </c>
      <c r="J2269" s="27">
        <v>33707.800000000003</v>
      </c>
      <c r="K2269" s="27">
        <v>4000000</v>
      </c>
    </row>
    <row r="2270" spans="1:11" ht="15" customHeight="1" x14ac:dyDescent="0.2">
      <c r="A2270" t="s">
        <v>10932</v>
      </c>
      <c r="B2270" t="s">
        <v>10933</v>
      </c>
      <c r="C2270">
        <v>2024</v>
      </c>
      <c r="D2270" s="18">
        <v>45537</v>
      </c>
      <c r="E2270" s="18">
        <v>45901</v>
      </c>
      <c r="F2270" s="18" t="s">
        <v>608</v>
      </c>
      <c r="G2270" t="s">
        <v>99</v>
      </c>
      <c r="H2270">
        <v>2</v>
      </c>
      <c r="I2270">
        <v>2</v>
      </c>
      <c r="J2270" s="27">
        <v>26963.39</v>
      </c>
      <c r="K2270" s="27">
        <v>3500000</v>
      </c>
    </row>
    <row r="2271" spans="1:11" ht="15" customHeight="1" x14ac:dyDescent="0.2">
      <c r="A2271" t="s">
        <v>10934</v>
      </c>
      <c r="B2271" t="s">
        <v>10935</v>
      </c>
      <c r="C2271">
        <v>2024</v>
      </c>
      <c r="D2271" s="18">
        <v>45537</v>
      </c>
      <c r="E2271" s="18">
        <v>45901</v>
      </c>
      <c r="F2271" s="18" t="s">
        <v>611</v>
      </c>
      <c r="G2271" t="s">
        <v>102</v>
      </c>
      <c r="H2271">
        <v>1</v>
      </c>
      <c r="I2271">
        <v>1</v>
      </c>
      <c r="J2271" s="27">
        <v>12632.14</v>
      </c>
      <c r="K2271" s="27">
        <v>1500000</v>
      </c>
    </row>
    <row r="2272" spans="1:11" ht="15" customHeight="1" x14ac:dyDescent="0.2">
      <c r="A2272" t="s">
        <v>10936</v>
      </c>
      <c r="B2272" t="s">
        <v>10937</v>
      </c>
      <c r="C2272">
        <v>2024</v>
      </c>
      <c r="D2272" s="18">
        <v>45537</v>
      </c>
      <c r="E2272" s="18">
        <v>45901</v>
      </c>
      <c r="F2272" s="18" t="s">
        <v>611</v>
      </c>
      <c r="G2272" t="s">
        <v>99</v>
      </c>
      <c r="H2272">
        <v>1</v>
      </c>
      <c r="I2272">
        <v>2</v>
      </c>
      <c r="J2272" s="27">
        <v>17240.34</v>
      </c>
      <c r="K2272" s="27">
        <v>2000000</v>
      </c>
    </row>
    <row r="2273" spans="1:11" ht="15" customHeight="1" x14ac:dyDescent="0.2">
      <c r="A2273" t="s">
        <v>10938</v>
      </c>
      <c r="B2273" t="s">
        <v>10939</v>
      </c>
      <c r="C2273">
        <v>2024</v>
      </c>
      <c r="D2273" s="18">
        <v>45537</v>
      </c>
      <c r="E2273" s="18">
        <v>45901</v>
      </c>
      <c r="F2273" s="18" t="s">
        <v>611</v>
      </c>
      <c r="G2273" t="s">
        <v>99</v>
      </c>
      <c r="H2273">
        <v>2</v>
      </c>
      <c r="I2273">
        <v>2</v>
      </c>
      <c r="J2273" s="27">
        <v>25177.27</v>
      </c>
      <c r="K2273" s="27">
        <v>3000000</v>
      </c>
    </row>
    <row r="2274" spans="1:11" ht="15" customHeight="1" x14ac:dyDescent="0.2">
      <c r="A2274" t="s">
        <v>10940</v>
      </c>
      <c r="B2274" t="s">
        <v>10941</v>
      </c>
      <c r="C2274">
        <v>2024</v>
      </c>
      <c r="D2274" s="18">
        <v>45537</v>
      </c>
      <c r="E2274" s="18">
        <v>45901</v>
      </c>
      <c r="F2274" s="18" t="s">
        <v>611</v>
      </c>
      <c r="G2274" t="s">
        <v>102</v>
      </c>
      <c r="H2274">
        <v>1</v>
      </c>
      <c r="I2274">
        <v>1</v>
      </c>
      <c r="J2274" s="27">
        <v>20000.53</v>
      </c>
      <c r="K2274" s="27">
        <v>2500000</v>
      </c>
    </row>
    <row r="2275" spans="1:11" ht="15" customHeight="1" x14ac:dyDescent="0.2">
      <c r="A2275" t="s">
        <v>10942</v>
      </c>
      <c r="B2275" t="s">
        <v>10943</v>
      </c>
      <c r="C2275">
        <v>2024</v>
      </c>
      <c r="D2275" s="18">
        <v>45537</v>
      </c>
      <c r="E2275" s="18">
        <v>45901</v>
      </c>
      <c r="F2275" s="18" t="s">
        <v>611</v>
      </c>
      <c r="G2275" t="s">
        <v>100</v>
      </c>
      <c r="H2275">
        <v>2</v>
      </c>
      <c r="I2275">
        <v>2</v>
      </c>
      <c r="J2275" s="27">
        <v>13936.49</v>
      </c>
      <c r="K2275" s="27">
        <v>1000000</v>
      </c>
    </row>
    <row r="2276" spans="1:11" ht="15" customHeight="1" x14ac:dyDescent="0.2">
      <c r="A2276" t="s">
        <v>10944</v>
      </c>
      <c r="B2276" t="s">
        <v>10945</v>
      </c>
      <c r="C2276">
        <v>2024</v>
      </c>
      <c r="D2276" s="18">
        <v>45537</v>
      </c>
      <c r="E2276" s="18">
        <v>45901</v>
      </c>
      <c r="F2276" s="18" t="s">
        <v>611</v>
      </c>
      <c r="G2276" t="s">
        <v>101</v>
      </c>
      <c r="H2276">
        <v>1</v>
      </c>
      <c r="I2276">
        <v>1</v>
      </c>
      <c r="J2276" s="27">
        <v>35518.86</v>
      </c>
      <c r="K2276" s="27">
        <v>2000000</v>
      </c>
    </row>
    <row r="2277" spans="1:11" ht="15" customHeight="1" x14ac:dyDescent="0.2">
      <c r="A2277" t="s">
        <v>10946</v>
      </c>
      <c r="B2277" t="s">
        <v>10947</v>
      </c>
      <c r="C2277">
        <v>2024</v>
      </c>
      <c r="D2277" s="18">
        <v>45537</v>
      </c>
      <c r="E2277" s="18">
        <v>45901</v>
      </c>
      <c r="F2277" s="18" t="s">
        <v>611</v>
      </c>
      <c r="G2277" t="s">
        <v>100</v>
      </c>
      <c r="H2277">
        <v>2</v>
      </c>
      <c r="I2277">
        <v>2</v>
      </c>
      <c r="J2277" s="27">
        <v>26177.360000000001</v>
      </c>
      <c r="K2277" s="27">
        <v>2000000</v>
      </c>
    </row>
    <row r="2278" spans="1:11" ht="15" customHeight="1" x14ac:dyDescent="0.2">
      <c r="A2278" t="s">
        <v>10948</v>
      </c>
      <c r="B2278" t="s">
        <v>10949</v>
      </c>
      <c r="C2278">
        <v>2024</v>
      </c>
      <c r="D2278" s="18">
        <v>45537</v>
      </c>
      <c r="E2278" s="18">
        <v>45901</v>
      </c>
      <c r="F2278" s="18" t="s">
        <v>611</v>
      </c>
      <c r="G2278" t="s">
        <v>100</v>
      </c>
      <c r="H2278">
        <v>1</v>
      </c>
      <c r="I2278">
        <v>2</v>
      </c>
      <c r="J2278" s="27">
        <v>47639.32</v>
      </c>
      <c r="K2278" s="27">
        <v>3500000</v>
      </c>
    </row>
    <row r="2279" spans="1:11" ht="15" customHeight="1" x14ac:dyDescent="0.2">
      <c r="A2279" t="s">
        <v>10950</v>
      </c>
      <c r="B2279" t="s">
        <v>10951</v>
      </c>
      <c r="C2279">
        <v>2024</v>
      </c>
      <c r="D2279" s="18">
        <v>45537</v>
      </c>
      <c r="E2279" s="18">
        <v>45901</v>
      </c>
      <c r="F2279" s="18" t="s">
        <v>611</v>
      </c>
      <c r="G2279" t="s">
        <v>99</v>
      </c>
      <c r="H2279">
        <v>3</v>
      </c>
      <c r="I2279">
        <v>3</v>
      </c>
      <c r="J2279" s="27">
        <v>79733.45</v>
      </c>
      <c r="K2279" s="27">
        <v>10000000</v>
      </c>
    </row>
    <row r="2280" spans="1:11" ht="15" customHeight="1" x14ac:dyDescent="0.2">
      <c r="A2280" t="s">
        <v>10952</v>
      </c>
      <c r="B2280" t="s">
        <v>10953</v>
      </c>
      <c r="C2280">
        <v>2024</v>
      </c>
      <c r="D2280" s="18">
        <v>45537</v>
      </c>
      <c r="E2280" s="18">
        <v>45901</v>
      </c>
      <c r="F2280" s="18" t="s">
        <v>611</v>
      </c>
      <c r="G2280" t="s">
        <v>102</v>
      </c>
      <c r="H2280">
        <v>1</v>
      </c>
      <c r="I2280">
        <v>2</v>
      </c>
      <c r="J2280" s="27">
        <v>33341.53</v>
      </c>
      <c r="K2280" s="27">
        <v>4000000</v>
      </c>
    </row>
    <row r="2281" spans="1:11" ht="15" customHeight="1" x14ac:dyDescent="0.2">
      <c r="A2281" t="s">
        <v>10954</v>
      </c>
      <c r="B2281" t="s">
        <v>10955</v>
      </c>
      <c r="C2281">
        <v>2024</v>
      </c>
      <c r="D2281" s="18">
        <v>45538</v>
      </c>
      <c r="E2281" s="18">
        <v>45902</v>
      </c>
      <c r="F2281" s="18" t="s">
        <v>608</v>
      </c>
      <c r="G2281" t="s">
        <v>99</v>
      </c>
      <c r="H2281">
        <v>1</v>
      </c>
      <c r="I2281">
        <v>1</v>
      </c>
      <c r="J2281" s="27">
        <v>17523.669999999998</v>
      </c>
      <c r="K2281" s="27">
        <v>2000000</v>
      </c>
    </row>
    <row r="2282" spans="1:11" ht="15" customHeight="1" x14ac:dyDescent="0.2">
      <c r="A2282" t="s">
        <v>10956</v>
      </c>
      <c r="B2282" t="s">
        <v>10957</v>
      </c>
      <c r="C2282">
        <v>2024</v>
      </c>
      <c r="D2282" s="18">
        <v>45538</v>
      </c>
      <c r="E2282" s="18">
        <v>45902</v>
      </c>
      <c r="F2282" s="18" t="s">
        <v>608</v>
      </c>
      <c r="G2282" t="s">
        <v>101</v>
      </c>
      <c r="H2282">
        <v>3</v>
      </c>
      <c r="I2282">
        <v>3</v>
      </c>
      <c r="J2282" s="27">
        <v>58824.88</v>
      </c>
      <c r="K2282" s="27">
        <v>3500000</v>
      </c>
    </row>
    <row r="2283" spans="1:11" ht="15" customHeight="1" x14ac:dyDescent="0.2">
      <c r="A2283" t="s">
        <v>10958</v>
      </c>
      <c r="B2283" t="s">
        <v>10959</v>
      </c>
      <c r="C2283">
        <v>2024</v>
      </c>
      <c r="D2283" s="18">
        <v>45538</v>
      </c>
      <c r="E2283" s="18">
        <v>45902</v>
      </c>
      <c r="F2283" s="18" t="s">
        <v>611</v>
      </c>
      <c r="G2283" t="s">
        <v>102</v>
      </c>
      <c r="H2283">
        <v>2</v>
      </c>
      <c r="I2283">
        <v>2</v>
      </c>
      <c r="J2283" s="27">
        <v>4596.67</v>
      </c>
      <c r="K2283" s="27">
        <v>500000</v>
      </c>
    </row>
    <row r="2284" spans="1:11" ht="15" customHeight="1" x14ac:dyDescent="0.2">
      <c r="A2284" t="s">
        <v>10960</v>
      </c>
      <c r="B2284" t="s">
        <v>10961</v>
      </c>
      <c r="C2284">
        <v>2024</v>
      </c>
      <c r="D2284" s="18">
        <v>45538</v>
      </c>
      <c r="E2284" s="18">
        <v>45902</v>
      </c>
      <c r="F2284" s="18" t="s">
        <v>611</v>
      </c>
      <c r="G2284" t="s">
        <v>101</v>
      </c>
      <c r="H2284">
        <v>2</v>
      </c>
      <c r="I2284">
        <v>4</v>
      </c>
      <c r="J2284" s="27">
        <v>45897.89</v>
      </c>
      <c r="K2284" s="27">
        <v>2500000</v>
      </c>
    </row>
    <row r="2285" spans="1:11" ht="15" customHeight="1" x14ac:dyDescent="0.2">
      <c r="A2285" t="s">
        <v>10962</v>
      </c>
      <c r="B2285" t="s">
        <v>10963</v>
      </c>
      <c r="C2285">
        <v>2024</v>
      </c>
      <c r="D2285" s="18">
        <v>45538</v>
      </c>
      <c r="E2285" s="18">
        <v>45902</v>
      </c>
      <c r="F2285" s="18" t="s">
        <v>611</v>
      </c>
      <c r="G2285" t="s">
        <v>102</v>
      </c>
      <c r="H2285">
        <v>1</v>
      </c>
      <c r="I2285">
        <v>1</v>
      </c>
      <c r="J2285" s="27">
        <v>23553.85</v>
      </c>
      <c r="K2285" s="27">
        <v>3000000</v>
      </c>
    </row>
    <row r="2286" spans="1:11" ht="15" customHeight="1" x14ac:dyDescent="0.2">
      <c r="A2286" t="s">
        <v>10964</v>
      </c>
      <c r="B2286" t="s">
        <v>10965</v>
      </c>
      <c r="C2286">
        <v>2024</v>
      </c>
      <c r="D2286" s="18">
        <v>45538</v>
      </c>
      <c r="E2286" s="18">
        <v>45902</v>
      </c>
      <c r="F2286" s="18" t="s">
        <v>611</v>
      </c>
      <c r="G2286" t="s">
        <v>101</v>
      </c>
      <c r="H2286">
        <v>1</v>
      </c>
      <c r="I2286">
        <v>1</v>
      </c>
      <c r="J2286" s="27">
        <v>172106.5</v>
      </c>
      <c r="K2286" s="27">
        <v>10000000</v>
      </c>
    </row>
    <row r="2287" spans="1:11" ht="15" customHeight="1" x14ac:dyDescent="0.2">
      <c r="A2287" t="s">
        <v>10966</v>
      </c>
      <c r="B2287" t="s">
        <v>10967</v>
      </c>
      <c r="C2287">
        <v>2024</v>
      </c>
      <c r="D2287" s="18">
        <v>45538</v>
      </c>
      <c r="E2287" s="18">
        <v>45902</v>
      </c>
      <c r="F2287" s="18" t="s">
        <v>611</v>
      </c>
      <c r="G2287" t="s">
        <v>100</v>
      </c>
      <c r="H2287">
        <v>2</v>
      </c>
      <c r="I2287">
        <v>2</v>
      </c>
      <c r="J2287" s="27">
        <v>14174.32</v>
      </c>
      <c r="K2287" s="27">
        <v>1000000</v>
      </c>
    </row>
    <row r="2288" spans="1:11" ht="15" customHeight="1" x14ac:dyDescent="0.2">
      <c r="A2288" t="s">
        <v>10968</v>
      </c>
      <c r="B2288" t="s">
        <v>10969</v>
      </c>
      <c r="C2288">
        <v>2024</v>
      </c>
      <c r="D2288" s="18">
        <v>45538</v>
      </c>
      <c r="E2288" s="18">
        <v>45902</v>
      </c>
      <c r="F2288" s="18" t="s">
        <v>611</v>
      </c>
      <c r="G2288" t="s">
        <v>101</v>
      </c>
      <c r="H2288">
        <v>2</v>
      </c>
      <c r="I2288">
        <v>4</v>
      </c>
      <c r="J2288" s="27">
        <v>80682.710000000006</v>
      </c>
      <c r="K2288" s="27">
        <v>5000000</v>
      </c>
    </row>
    <row r="2289" spans="1:11" ht="15" customHeight="1" x14ac:dyDescent="0.2">
      <c r="A2289" t="s">
        <v>10970</v>
      </c>
      <c r="B2289" t="s">
        <v>10971</v>
      </c>
      <c r="C2289">
        <v>2024</v>
      </c>
      <c r="D2289" s="18">
        <v>45539</v>
      </c>
      <c r="E2289" s="18">
        <v>45903</v>
      </c>
      <c r="F2289" s="18" t="s">
        <v>608</v>
      </c>
      <c r="G2289" t="s">
        <v>102</v>
      </c>
      <c r="H2289">
        <v>2</v>
      </c>
      <c r="I2289">
        <v>4</v>
      </c>
      <c r="J2289" s="27">
        <v>4018.32</v>
      </c>
      <c r="K2289" s="27">
        <v>500000</v>
      </c>
    </row>
    <row r="2290" spans="1:11" ht="15" customHeight="1" x14ac:dyDescent="0.2">
      <c r="A2290" t="s">
        <v>10972</v>
      </c>
      <c r="B2290" t="s">
        <v>10973</v>
      </c>
      <c r="C2290">
        <v>2024</v>
      </c>
      <c r="D2290" s="18">
        <v>45539</v>
      </c>
      <c r="E2290" s="18">
        <v>45903</v>
      </c>
      <c r="F2290" s="18" t="s">
        <v>611</v>
      </c>
      <c r="G2290" t="s">
        <v>102</v>
      </c>
      <c r="H2290">
        <v>3</v>
      </c>
      <c r="I2290">
        <v>3</v>
      </c>
      <c r="J2290" s="27">
        <v>45788.94</v>
      </c>
      <c r="K2290" s="27">
        <v>5000000</v>
      </c>
    </row>
    <row r="2291" spans="1:11" ht="15" customHeight="1" x14ac:dyDescent="0.2">
      <c r="A2291" t="s">
        <v>10974</v>
      </c>
      <c r="B2291" t="s">
        <v>10975</v>
      </c>
      <c r="C2291">
        <v>2024</v>
      </c>
      <c r="D2291" s="18">
        <v>45539</v>
      </c>
      <c r="E2291" s="18">
        <v>45903</v>
      </c>
      <c r="F2291" s="18" t="s">
        <v>611</v>
      </c>
      <c r="G2291" t="s">
        <v>99</v>
      </c>
      <c r="H2291">
        <v>1</v>
      </c>
      <c r="I2291">
        <v>1</v>
      </c>
      <c r="J2291" s="27">
        <v>11564.78</v>
      </c>
      <c r="K2291" s="27">
        <v>1500000</v>
      </c>
    </row>
    <row r="2292" spans="1:11" ht="15" customHeight="1" x14ac:dyDescent="0.2">
      <c r="A2292" t="s">
        <v>10976</v>
      </c>
      <c r="B2292" t="s">
        <v>10977</v>
      </c>
      <c r="C2292">
        <v>2024</v>
      </c>
      <c r="D2292" s="18">
        <v>45539</v>
      </c>
      <c r="E2292" s="18">
        <v>45903</v>
      </c>
      <c r="F2292" s="18" t="s">
        <v>611</v>
      </c>
      <c r="G2292" t="s">
        <v>100</v>
      </c>
      <c r="H2292">
        <v>3</v>
      </c>
      <c r="I2292">
        <v>3</v>
      </c>
      <c r="J2292" s="27">
        <v>5876.51</v>
      </c>
      <c r="K2292" s="27">
        <v>500000</v>
      </c>
    </row>
    <row r="2293" spans="1:11" ht="15" customHeight="1" x14ac:dyDescent="0.2">
      <c r="A2293" t="s">
        <v>10978</v>
      </c>
      <c r="B2293" t="s">
        <v>10979</v>
      </c>
      <c r="C2293">
        <v>2024</v>
      </c>
      <c r="D2293" s="18">
        <v>45539</v>
      </c>
      <c r="E2293" s="18">
        <v>45903</v>
      </c>
      <c r="F2293" s="18" t="s">
        <v>611</v>
      </c>
      <c r="G2293" t="s">
        <v>99</v>
      </c>
      <c r="H2293">
        <v>1</v>
      </c>
      <c r="I2293">
        <v>2</v>
      </c>
      <c r="J2293" s="27">
        <v>76850.81</v>
      </c>
      <c r="K2293" s="27">
        <v>10000000</v>
      </c>
    </row>
    <row r="2294" spans="1:11" ht="15" customHeight="1" x14ac:dyDescent="0.2">
      <c r="A2294" t="s">
        <v>10980</v>
      </c>
      <c r="B2294" t="s">
        <v>10981</v>
      </c>
      <c r="C2294">
        <v>2024</v>
      </c>
      <c r="D2294" s="18">
        <v>45539</v>
      </c>
      <c r="E2294" s="18">
        <v>45903</v>
      </c>
      <c r="F2294" s="18" t="s">
        <v>611</v>
      </c>
      <c r="G2294" t="s">
        <v>102</v>
      </c>
      <c r="H2294">
        <v>1</v>
      </c>
      <c r="I2294">
        <v>1</v>
      </c>
      <c r="J2294" s="27">
        <v>22495.62</v>
      </c>
      <c r="K2294" s="27">
        <v>2500000</v>
      </c>
    </row>
    <row r="2295" spans="1:11" ht="15" customHeight="1" x14ac:dyDescent="0.2">
      <c r="A2295" t="s">
        <v>10982</v>
      </c>
      <c r="B2295" t="s">
        <v>10983</v>
      </c>
      <c r="C2295">
        <v>2024</v>
      </c>
      <c r="D2295" s="18">
        <v>45540</v>
      </c>
      <c r="E2295" s="18">
        <v>45904</v>
      </c>
      <c r="F2295" s="18" t="s">
        <v>611</v>
      </c>
      <c r="G2295" t="s">
        <v>99</v>
      </c>
      <c r="H2295">
        <v>1</v>
      </c>
      <c r="I2295">
        <v>2</v>
      </c>
      <c r="J2295" s="27">
        <v>85968.11</v>
      </c>
      <c r="K2295" s="27">
        <v>10000000</v>
      </c>
    </row>
    <row r="2296" spans="1:11" ht="15" customHeight="1" x14ac:dyDescent="0.2">
      <c r="A2296" t="s">
        <v>10984</v>
      </c>
      <c r="B2296" t="s">
        <v>10985</v>
      </c>
      <c r="C2296">
        <v>2024</v>
      </c>
      <c r="D2296" s="18">
        <v>45540</v>
      </c>
      <c r="E2296" s="18">
        <v>45904</v>
      </c>
      <c r="F2296" s="18" t="s">
        <v>611</v>
      </c>
      <c r="G2296" t="s">
        <v>102</v>
      </c>
      <c r="H2296">
        <v>3</v>
      </c>
      <c r="I2296">
        <v>6</v>
      </c>
      <c r="J2296" s="27">
        <v>21969.4</v>
      </c>
      <c r="K2296" s="27">
        <v>2500000</v>
      </c>
    </row>
    <row r="2297" spans="1:11" ht="15" customHeight="1" x14ac:dyDescent="0.2">
      <c r="A2297" t="s">
        <v>10986</v>
      </c>
      <c r="B2297" t="s">
        <v>10987</v>
      </c>
      <c r="C2297">
        <v>2024</v>
      </c>
      <c r="D2297" s="18">
        <v>45540</v>
      </c>
      <c r="E2297" s="18">
        <v>45904</v>
      </c>
      <c r="F2297" s="18" t="s">
        <v>611</v>
      </c>
      <c r="G2297" t="s">
        <v>101</v>
      </c>
      <c r="H2297">
        <v>1</v>
      </c>
      <c r="I2297">
        <v>2</v>
      </c>
      <c r="J2297" s="27">
        <v>51467.07</v>
      </c>
      <c r="K2297" s="27">
        <v>3000000</v>
      </c>
    </row>
    <row r="2298" spans="1:11" ht="15" customHeight="1" x14ac:dyDescent="0.2">
      <c r="A2298" t="s">
        <v>10988</v>
      </c>
      <c r="B2298" t="s">
        <v>10989</v>
      </c>
      <c r="C2298">
        <v>2024</v>
      </c>
      <c r="D2298" s="18">
        <v>45540</v>
      </c>
      <c r="E2298" s="18">
        <v>45904</v>
      </c>
      <c r="F2298" s="18" t="s">
        <v>611</v>
      </c>
      <c r="G2298" t="s">
        <v>100</v>
      </c>
      <c r="H2298">
        <v>1</v>
      </c>
      <c r="I2298">
        <v>1</v>
      </c>
      <c r="J2298" s="27">
        <v>13584.6</v>
      </c>
      <c r="K2298" s="27">
        <v>1000000</v>
      </c>
    </row>
    <row r="2299" spans="1:11" ht="15" customHeight="1" x14ac:dyDescent="0.2">
      <c r="A2299" t="s">
        <v>10990</v>
      </c>
      <c r="B2299" t="s">
        <v>10991</v>
      </c>
      <c r="C2299">
        <v>2024</v>
      </c>
      <c r="D2299" s="18">
        <v>45541</v>
      </c>
      <c r="E2299" s="18">
        <v>45905</v>
      </c>
      <c r="F2299" s="18" t="s">
        <v>608</v>
      </c>
      <c r="G2299" t="s">
        <v>100</v>
      </c>
      <c r="H2299">
        <v>1</v>
      </c>
      <c r="I2299">
        <v>1</v>
      </c>
      <c r="J2299" s="27">
        <v>47660.15</v>
      </c>
      <c r="K2299" s="27">
        <v>4000000</v>
      </c>
    </row>
    <row r="2300" spans="1:11" ht="15" customHeight="1" x14ac:dyDescent="0.2">
      <c r="A2300" t="s">
        <v>10992</v>
      </c>
      <c r="B2300" t="s">
        <v>10993</v>
      </c>
      <c r="C2300">
        <v>2024</v>
      </c>
      <c r="D2300" s="18">
        <v>45541</v>
      </c>
      <c r="E2300" s="18">
        <v>45905</v>
      </c>
      <c r="F2300" s="18" t="s">
        <v>608</v>
      </c>
      <c r="G2300" t="s">
        <v>101</v>
      </c>
      <c r="H2300">
        <v>1</v>
      </c>
      <c r="I2300">
        <v>2</v>
      </c>
      <c r="J2300" s="27">
        <v>48654.22</v>
      </c>
      <c r="K2300" s="27">
        <v>3000000</v>
      </c>
    </row>
    <row r="2301" spans="1:11" ht="15" customHeight="1" x14ac:dyDescent="0.2">
      <c r="A2301" t="s">
        <v>10994</v>
      </c>
      <c r="B2301" t="s">
        <v>10995</v>
      </c>
      <c r="C2301">
        <v>2024</v>
      </c>
      <c r="D2301" s="18">
        <v>45541</v>
      </c>
      <c r="E2301" s="18">
        <v>45905</v>
      </c>
      <c r="F2301" s="18" t="s">
        <v>608</v>
      </c>
      <c r="G2301" t="s">
        <v>99</v>
      </c>
      <c r="H2301">
        <v>3</v>
      </c>
      <c r="I2301">
        <v>3</v>
      </c>
      <c r="J2301" s="27">
        <v>39701.230000000003</v>
      </c>
      <c r="K2301" s="27">
        <v>4500000</v>
      </c>
    </row>
    <row r="2302" spans="1:11" ht="15" customHeight="1" x14ac:dyDescent="0.2">
      <c r="A2302" t="s">
        <v>10996</v>
      </c>
      <c r="B2302" t="s">
        <v>10997</v>
      </c>
      <c r="C2302">
        <v>2024</v>
      </c>
      <c r="D2302" s="18">
        <v>45541</v>
      </c>
      <c r="E2302" s="18">
        <v>45905</v>
      </c>
      <c r="F2302" s="18" t="s">
        <v>611</v>
      </c>
      <c r="G2302" t="s">
        <v>100</v>
      </c>
      <c r="H2302">
        <v>2</v>
      </c>
      <c r="I2302">
        <v>2</v>
      </c>
      <c r="J2302" s="27">
        <v>53308.57</v>
      </c>
      <c r="K2302" s="27">
        <v>4000000</v>
      </c>
    </row>
    <row r="2303" spans="1:11" ht="15" customHeight="1" x14ac:dyDescent="0.2">
      <c r="A2303" t="s">
        <v>10998</v>
      </c>
      <c r="B2303" t="s">
        <v>10999</v>
      </c>
      <c r="C2303">
        <v>2024</v>
      </c>
      <c r="D2303" s="18">
        <v>45541</v>
      </c>
      <c r="E2303" s="18">
        <v>45905</v>
      </c>
      <c r="F2303" s="18" t="s">
        <v>611</v>
      </c>
      <c r="G2303" t="s">
        <v>99</v>
      </c>
      <c r="H2303">
        <v>2</v>
      </c>
      <c r="I2303">
        <v>2</v>
      </c>
      <c r="J2303" s="27">
        <v>4244.5600000000004</v>
      </c>
      <c r="K2303" s="27">
        <v>500000</v>
      </c>
    </row>
    <row r="2304" spans="1:11" ht="15" customHeight="1" x14ac:dyDescent="0.2">
      <c r="A2304" t="s">
        <v>11000</v>
      </c>
      <c r="B2304" t="s">
        <v>11001</v>
      </c>
      <c r="C2304">
        <v>2024</v>
      </c>
      <c r="D2304" s="18">
        <v>45541</v>
      </c>
      <c r="E2304" s="18">
        <v>45905</v>
      </c>
      <c r="F2304" s="18" t="s">
        <v>611</v>
      </c>
      <c r="G2304" t="s">
        <v>100</v>
      </c>
      <c r="H2304">
        <v>2</v>
      </c>
      <c r="I2304">
        <v>2</v>
      </c>
      <c r="J2304" s="27">
        <v>20393.830000000002</v>
      </c>
      <c r="K2304" s="27">
        <v>1500000</v>
      </c>
    </row>
    <row r="2305" spans="1:11" ht="15" customHeight="1" x14ac:dyDescent="0.2">
      <c r="A2305" t="s">
        <v>11002</v>
      </c>
      <c r="B2305" t="s">
        <v>11003</v>
      </c>
      <c r="C2305">
        <v>2024</v>
      </c>
      <c r="D2305" s="18">
        <v>45541</v>
      </c>
      <c r="E2305" s="18">
        <v>45905</v>
      </c>
      <c r="F2305" s="18" t="s">
        <v>611</v>
      </c>
      <c r="G2305" t="s">
        <v>99</v>
      </c>
      <c r="H2305">
        <v>2</v>
      </c>
      <c r="I2305">
        <v>2</v>
      </c>
      <c r="J2305" s="27">
        <v>8828.26</v>
      </c>
      <c r="K2305" s="27">
        <v>1000000</v>
      </c>
    </row>
    <row r="2306" spans="1:11" ht="15" customHeight="1" x14ac:dyDescent="0.2">
      <c r="A2306" t="s">
        <v>11004</v>
      </c>
      <c r="B2306" t="s">
        <v>11005</v>
      </c>
      <c r="C2306">
        <v>2024</v>
      </c>
      <c r="D2306" s="18">
        <v>45541</v>
      </c>
      <c r="E2306" s="18">
        <v>45905</v>
      </c>
      <c r="F2306" s="18" t="s">
        <v>611</v>
      </c>
      <c r="G2306" t="s">
        <v>101</v>
      </c>
      <c r="H2306">
        <v>2</v>
      </c>
      <c r="I2306">
        <v>4</v>
      </c>
      <c r="J2306" s="27">
        <v>57098.97</v>
      </c>
      <c r="K2306" s="27">
        <v>3000000</v>
      </c>
    </row>
    <row r="2307" spans="1:11" ht="15" customHeight="1" x14ac:dyDescent="0.2">
      <c r="A2307" t="s">
        <v>11006</v>
      </c>
      <c r="B2307" t="s">
        <v>11007</v>
      </c>
      <c r="C2307">
        <v>2024</v>
      </c>
      <c r="D2307" s="18">
        <v>45541</v>
      </c>
      <c r="E2307" s="18">
        <v>45905</v>
      </c>
      <c r="F2307" s="18" t="s">
        <v>611</v>
      </c>
      <c r="G2307" t="s">
        <v>101</v>
      </c>
      <c r="H2307">
        <v>1</v>
      </c>
      <c r="I2307">
        <v>1</v>
      </c>
      <c r="J2307" s="27">
        <v>48911.22</v>
      </c>
      <c r="K2307" s="27">
        <v>3000000</v>
      </c>
    </row>
    <row r="2308" spans="1:11" ht="15" customHeight="1" x14ac:dyDescent="0.2">
      <c r="A2308" t="s">
        <v>11008</v>
      </c>
      <c r="B2308" t="s">
        <v>11009</v>
      </c>
      <c r="C2308">
        <v>2024</v>
      </c>
      <c r="D2308" s="18">
        <v>45541</v>
      </c>
      <c r="E2308" s="18">
        <v>45905</v>
      </c>
      <c r="F2308" s="18" t="s">
        <v>611</v>
      </c>
      <c r="G2308" t="s">
        <v>99</v>
      </c>
      <c r="H2308">
        <v>1</v>
      </c>
      <c r="I2308">
        <v>1</v>
      </c>
      <c r="J2308" s="27">
        <v>16676.169999999998</v>
      </c>
      <c r="K2308" s="27">
        <v>2000000</v>
      </c>
    </row>
    <row r="2309" spans="1:11" ht="15" customHeight="1" x14ac:dyDescent="0.2">
      <c r="A2309" t="s">
        <v>11010</v>
      </c>
      <c r="B2309" t="s">
        <v>11011</v>
      </c>
      <c r="C2309">
        <v>2024</v>
      </c>
      <c r="D2309" s="18">
        <v>45541</v>
      </c>
      <c r="E2309" s="18">
        <v>45905</v>
      </c>
      <c r="F2309" s="18" t="s">
        <v>611</v>
      </c>
      <c r="G2309" t="s">
        <v>102</v>
      </c>
      <c r="H2309">
        <v>1</v>
      </c>
      <c r="I2309">
        <v>2</v>
      </c>
      <c r="J2309" s="27">
        <v>16039.33</v>
      </c>
      <c r="K2309" s="27">
        <v>2000000</v>
      </c>
    </row>
    <row r="2310" spans="1:11" ht="15" customHeight="1" x14ac:dyDescent="0.2">
      <c r="A2310" t="s">
        <v>11012</v>
      </c>
      <c r="B2310" t="s">
        <v>11013</v>
      </c>
      <c r="C2310">
        <v>2024</v>
      </c>
      <c r="D2310" s="18">
        <v>45542</v>
      </c>
      <c r="E2310" s="18">
        <v>45906</v>
      </c>
      <c r="F2310" s="18" t="s">
        <v>608</v>
      </c>
      <c r="G2310" t="s">
        <v>101</v>
      </c>
      <c r="H2310">
        <v>1</v>
      </c>
      <c r="I2310">
        <v>2</v>
      </c>
      <c r="J2310" s="27">
        <v>87906.08</v>
      </c>
      <c r="K2310" s="27">
        <v>5000000</v>
      </c>
    </row>
    <row r="2311" spans="1:11" ht="15" customHeight="1" x14ac:dyDescent="0.2">
      <c r="A2311" t="s">
        <v>11014</v>
      </c>
      <c r="B2311" t="s">
        <v>11015</v>
      </c>
      <c r="C2311">
        <v>2024</v>
      </c>
      <c r="D2311" s="18">
        <v>45542</v>
      </c>
      <c r="E2311" s="18">
        <v>45906</v>
      </c>
      <c r="F2311" s="18" t="s">
        <v>608</v>
      </c>
      <c r="G2311" t="s">
        <v>99</v>
      </c>
      <c r="H2311">
        <v>1</v>
      </c>
      <c r="I2311">
        <v>1</v>
      </c>
      <c r="J2311" s="27">
        <v>32759.26</v>
      </c>
      <c r="K2311" s="27">
        <v>4000000</v>
      </c>
    </row>
    <row r="2312" spans="1:11" ht="15" customHeight="1" x14ac:dyDescent="0.2">
      <c r="A2312" t="s">
        <v>11016</v>
      </c>
      <c r="B2312" t="s">
        <v>11017</v>
      </c>
      <c r="C2312">
        <v>2024</v>
      </c>
      <c r="D2312" s="18">
        <v>45542</v>
      </c>
      <c r="E2312" s="18">
        <v>45906</v>
      </c>
      <c r="F2312" s="18" t="s">
        <v>611</v>
      </c>
      <c r="G2312" t="s">
        <v>101</v>
      </c>
      <c r="H2312">
        <v>2</v>
      </c>
      <c r="I2312">
        <v>4</v>
      </c>
      <c r="J2312" s="27">
        <v>17249.97</v>
      </c>
      <c r="K2312" s="27">
        <v>1000000</v>
      </c>
    </row>
    <row r="2313" spans="1:11" ht="15" customHeight="1" x14ac:dyDescent="0.2">
      <c r="A2313" t="s">
        <v>11018</v>
      </c>
      <c r="B2313" t="s">
        <v>11019</v>
      </c>
      <c r="C2313">
        <v>2024</v>
      </c>
      <c r="D2313" s="18">
        <v>45542</v>
      </c>
      <c r="E2313" s="18">
        <v>45906</v>
      </c>
      <c r="F2313" s="18" t="s">
        <v>611</v>
      </c>
      <c r="G2313" t="s">
        <v>99</v>
      </c>
      <c r="H2313">
        <v>1</v>
      </c>
      <c r="I2313">
        <v>1</v>
      </c>
      <c r="J2313" s="27">
        <v>25706.27</v>
      </c>
      <c r="K2313" s="27">
        <v>3500000</v>
      </c>
    </row>
    <row r="2314" spans="1:11" ht="15" customHeight="1" x14ac:dyDescent="0.2">
      <c r="A2314" t="s">
        <v>11020</v>
      </c>
      <c r="B2314" t="s">
        <v>11021</v>
      </c>
      <c r="C2314">
        <v>2024</v>
      </c>
      <c r="D2314" s="18">
        <v>45542</v>
      </c>
      <c r="E2314" s="18">
        <v>45906</v>
      </c>
      <c r="F2314" s="18" t="s">
        <v>611</v>
      </c>
      <c r="G2314" t="s">
        <v>99</v>
      </c>
      <c r="H2314">
        <v>2</v>
      </c>
      <c r="I2314">
        <v>2</v>
      </c>
      <c r="J2314" s="27">
        <v>7654.33</v>
      </c>
      <c r="K2314" s="27">
        <v>1000000</v>
      </c>
    </row>
    <row r="2315" spans="1:11" ht="15" customHeight="1" x14ac:dyDescent="0.2">
      <c r="A2315" t="s">
        <v>11022</v>
      </c>
      <c r="B2315" t="s">
        <v>11023</v>
      </c>
      <c r="C2315">
        <v>2024</v>
      </c>
      <c r="D2315" s="18">
        <v>45543</v>
      </c>
      <c r="E2315" s="18">
        <v>45907</v>
      </c>
      <c r="F2315" s="18" t="s">
        <v>608</v>
      </c>
      <c r="G2315" t="s">
        <v>101</v>
      </c>
      <c r="H2315">
        <v>1</v>
      </c>
      <c r="I2315">
        <v>2</v>
      </c>
      <c r="J2315" s="27">
        <v>90346.31</v>
      </c>
      <c r="K2315" s="27">
        <v>5000000</v>
      </c>
    </row>
    <row r="2316" spans="1:11" ht="15" customHeight="1" x14ac:dyDescent="0.2">
      <c r="A2316" t="s">
        <v>11024</v>
      </c>
      <c r="B2316" t="s">
        <v>11025</v>
      </c>
      <c r="C2316">
        <v>2024</v>
      </c>
      <c r="D2316" s="18">
        <v>45543</v>
      </c>
      <c r="E2316" s="18">
        <v>45907</v>
      </c>
      <c r="F2316" s="18" t="s">
        <v>611</v>
      </c>
      <c r="G2316" t="s">
        <v>99</v>
      </c>
      <c r="H2316">
        <v>3</v>
      </c>
      <c r="I2316">
        <v>6</v>
      </c>
      <c r="J2316" s="27">
        <v>8579.4699999999993</v>
      </c>
      <c r="K2316" s="27">
        <v>1000000</v>
      </c>
    </row>
    <row r="2317" spans="1:11" ht="15" customHeight="1" x14ac:dyDescent="0.2">
      <c r="A2317" t="s">
        <v>11026</v>
      </c>
      <c r="B2317" t="s">
        <v>11027</v>
      </c>
      <c r="C2317">
        <v>2024</v>
      </c>
      <c r="D2317" s="18">
        <v>45543</v>
      </c>
      <c r="E2317" s="18">
        <v>45907</v>
      </c>
      <c r="F2317" s="18" t="s">
        <v>611</v>
      </c>
      <c r="G2317" t="s">
        <v>101</v>
      </c>
      <c r="H2317">
        <v>3</v>
      </c>
      <c r="I2317">
        <v>3</v>
      </c>
      <c r="J2317" s="27">
        <v>17848.5</v>
      </c>
      <c r="K2317" s="27">
        <v>1000000</v>
      </c>
    </row>
    <row r="2318" spans="1:11" ht="15" customHeight="1" x14ac:dyDescent="0.2">
      <c r="A2318" t="s">
        <v>11028</v>
      </c>
      <c r="B2318" t="s">
        <v>11029</v>
      </c>
      <c r="C2318">
        <v>2024</v>
      </c>
      <c r="D2318" s="18">
        <v>45543</v>
      </c>
      <c r="E2318" s="18">
        <v>45907</v>
      </c>
      <c r="F2318" s="18" t="s">
        <v>611</v>
      </c>
      <c r="G2318" t="s">
        <v>99</v>
      </c>
      <c r="H2318">
        <v>2</v>
      </c>
      <c r="I2318">
        <v>4</v>
      </c>
      <c r="J2318" s="27">
        <v>7729.45</v>
      </c>
      <c r="K2318" s="27">
        <v>1000000</v>
      </c>
    </row>
    <row r="2319" spans="1:11" ht="15" customHeight="1" x14ac:dyDescent="0.2">
      <c r="A2319" t="s">
        <v>11030</v>
      </c>
      <c r="B2319" t="s">
        <v>11031</v>
      </c>
      <c r="C2319">
        <v>2024</v>
      </c>
      <c r="D2319" s="18">
        <v>45543</v>
      </c>
      <c r="E2319" s="18">
        <v>45907</v>
      </c>
      <c r="F2319" s="18" t="s">
        <v>611</v>
      </c>
      <c r="G2319" t="s">
        <v>101</v>
      </c>
      <c r="H2319">
        <v>2</v>
      </c>
      <c r="I2319">
        <v>4</v>
      </c>
      <c r="J2319" s="27">
        <v>49429.48</v>
      </c>
      <c r="K2319" s="27">
        <v>3000000</v>
      </c>
    </row>
    <row r="2320" spans="1:11" ht="15" customHeight="1" x14ac:dyDescent="0.2">
      <c r="A2320" t="s">
        <v>11032</v>
      </c>
      <c r="B2320" t="s">
        <v>11033</v>
      </c>
      <c r="C2320">
        <v>2024</v>
      </c>
      <c r="D2320" s="18">
        <v>45543</v>
      </c>
      <c r="E2320" s="18">
        <v>45907</v>
      </c>
      <c r="F2320" s="18" t="s">
        <v>611</v>
      </c>
      <c r="G2320" t="s">
        <v>100</v>
      </c>
      <c r="H2320">
        <v>1</v>
      </c>
      <c r="I2320">
        <v>1</v>
      </c>
      <c r="J2320" s="27">
        <v>12368.07</v>
      </c>
      <c r="K2320" s="27">
        <v>1000000</v>
      </c>
    </row>
    <row r="2321" spans="1:11" ht="15" customHeight="1" x14ac:dyDescent="0.2">
      <c r="A2321" t="s">
        <v>11034</v>
      </c>
      <c r="B2321" t="s">
        <v>11035</v>
      </c>
      <c r="C2321">
        <v>2024</v>
      </c>
      <c r="D2321" s="18">
        <v>45544</v>
      </c>
      <c r="E2321" s="18">
        <v>45908</v>
      </c>
      <c r="F2321" s="18" t="s">
        <v>608</v>
      </c>
      <c r="G2321" t="s">
        <v>101</v>
      </c>
      <c r="H2321">
        <v>2</v>
      </c>
      <c r="I2321">
        <v>4</v>
      </c>
      <c r="J2321" s="27">
        <v>64640.52</v>
      </c>
      <c r="K2321" s="27">
        <v>4000000</v>
      </c>
    </row>
    <row r="2322" spans="1:11" ht="15" customHeight="1" x14ac:dyDescent="0.2">
      <c r="A2322" t="s">
        <v>11036</v>
      </c>
      <c r="B2322" t="s">
        <v>11037</v>
      </c>
      <c r="C2322">
        <v>2024</v>
      </c>
      <c r="D2322" s="18">
        <v>45544</v>
      </c>
      <c r="E2322" s="18">
        <v>45908</v>
      </c>
      <c r="F2322" s="18" t="s">
        <v>611</v>
      </c>
      <c r="G2322" t="s">
        <v>101</v>
      </c>
      <c r="H2322">
        <v>1</v>
      </c>
      <c r="I2322">
        <v>1</v>
      </c>
      <c r="J2322" s="27">
        <v>74168.47</v>
      </c>
      <c r="K2322" s="27">
        <v>4000000</v>
      </c>
    </row>
    <row r="2323" spans="1:11" ht="15" customHeight="1" x14ac:dyDescent="0.2">
      <c r="A2323" t="s">
        <v>11038</v>
      </c>
      <c r="B2323" t="s">
        <v>11039</v>
      </c>
      <c r="C2323">
        <v>2024</v>
      </c>
      <c r="D2323" s="18">
        <v>45544</v>
      </c>
      <c r="E2323" s="18">
        <v>45908</v>
      </c>
      <c r="F2323" s="18" t="s">
        <v>611</v>
      </c>
      <c r="G2323" t="s">
        <v>101</v>
      </c>
      <c r="H2323">
        <v>3</v>
      </c>
      <c r="I2323">
        <v>6</v>
      </c>
      <c r="J2323" s="27">
        <v>54101.41</v>
      </c>
      <c r="K2323" s="27">
        <v>3000000</v>
      </c>
    </row>
    <row r="2324" spans="1:11" ht="15" customHeight="1" x14ac:dyDescent="0.2">
      <c r="A2324" t="s">
        <v>11040</v>
      </c>
      <c r="B2324" t="s">
        <v>11041</v>
      </c>
      <c r="C2324">
        <v>2024</v>
      </c>
      <c r="D2324" s="18">
        <v>45544</v>
      </c>
      <c r="E2324" s="18">
        <v>45908</v>
      </c>
      <c r="F2324" s="18" t="s">
        <v>611</v>
      </c>
      <c r="G2324" t="s">
        <v>100</v>
      </c>
      <c r="H2324">
        <v>1</v>
      </c>
      <c r="I2324">
        <v>2</v>
      </c>
      <c r="J2324" s="27">
        <v>13515.35</v>
      </c>
      <c r="K2324" s="27">
        <v>1000000</v>
      </c>
    </row>
    <row r="2325" spans="1:11" ht="15" customHeight="1" x14ac:dyDescent="0.2">
      <c r="A2325" t="s">
        <v>11042</v>
      </c>
      <c r="B2325" t="s">
        <v>11043</v>
      </c>
      <c r="C2325">
        <v>2024</v>
      </c>
      <c r="D2325" s="18">
        <v>45544</v>
      </c>
      <c r="E2325" s="18">
        <v>45908</v>
      </c>
      <c r="F2325" s="18" t="s">
        <v>611</v>
      </c>
      <c r="G2325" t="s">
        <v>100</v>
      </c>
      <c r="H2325">
        <v>2</v>
      </c>
      <c r="I2325">
        <v>2</v>
      </c>
      <c r="J2325" s="27">
        <v>19666.59</v>
      </c>
      <c r="K2325" s="27">
        <v>1500000</v>
      </c>
    </row>
    <row r="2326" spans="1:11" ht="15" customHeight="1" x14ac:dyDescent="0.2">
      <c r="A2326" t="s">
        <v>11044</v>
      </c>
      <c r="B2326" t="s">
        <v>11045</v>
      </c>
      <c r="C2326">
        <v>2024</v>
      </c>
      <c r="D2326" s="18">
        <v>45544</v>
      </c>
      <c r="E2326" s="18">
        <v>45908</v>
      </c>
      <c r="F2326" s="18" t="s">
        <v>611</v>
      </c>
      <c r="G2326" t="s">
        <v>99</v>
      </c>
      <c r="H2326">
        <v>2</v>
      </c>
      <c r="I2326">
        <v>2</v>
      </c>
      <c r="J2326" s="27">
        <v>7563.74</v>
      </c>
      <c r="K2326" s="27">
        <v>1000000</v>
      </c>
    </row>
    <row r="2327" spans="1:11" ht="15" customHeight="1" x14ac:dyDescent="0.2">
      <c r="A2327" t="s">
        <v>11046</v>
      </c>
      <c r="B2327" t="s">
        <v>11047</v>
      </c>
      <c r="C2327">
        <v>2024</v>
      </c>
      <c r="D2327" s="18">
        <v>45544</v>
      </c>
      <c r="E2327" s="18">
        <v>45908</v>
      </c>
      <c r="F2327" s="18" t="s">
        <v>611</v>
      </c>
      <c r="G2327" t="s">
        <v>101</v>
      </c>
      <c r="H2327">
        <v>1</v>
      </c>
      <c r="I2327">
        <v>1</v>
      </c>
      <c r="J2327" s="27">
        <v>56913.98</v>
      </c>
      <c r="K2327" s="27">
        <v>3500000</v>
      </c>
    </row>
    <row r="2328" spans="1:11" ht="15" customHeight="1" x14ac:dyDescent="0.2">
      <c r="A2328" t="s">
        <v>11048</v>
      </c>
      <c r="B2328" t="s">
        <v>11049</v>
      </c>
      <c r="C2328">
        <v>2024</v>
      </c>
      <c r="D2328" s="18">
        <v>45544</v>
      </c>
      <c r="E2328" s="18">
        <v>45908</v>
      </c>
      <c r="F2328" s="18" t="s">
        <v>611</v>
      </c>
      <c r="G2328" t="s">
        <v>101</v>
      </c>
      <c r="H2328">
        <v>2</v>
      </c>
      <c r="I2328">
        <v>2</v>
      </c>
      <c r="J2328" s="27">
        <v>89021.81</v>
      </c>
      <c r="K2328" s="27">
        <v>5000000</v>
      </c>
    </row>
    <row r="2329" spans="1:11" ht="15" customHeight="1" x14ac:dyDescent="0.2">
      <c r="A2329" t="s">
        <v>11050</v>
      </c>
      <c r="B2329" t="s">
        <v>11051</v>
      </c>
      <c r="C2329">
        <v>2024</v>
      </c>
      <c r="D2329" s="18">
        <v>45544</v>
      </c>
      <c r="E2329" s="18">
        <v>45908</v>
      </c>
      <c r="F2329" s="18" t="s">
        <v>611</v>
      </c>
      <c r="G2329" t="s">
        <v>99</v>
      </c>
      <c r="H2329">
        <v>2</v>
      </c>
      <c r="I2329">
        <v>2</v>
      </c>
      <c r="J2329" s="27">
        <v>7903.88</v>
      </c>
      <c r="K2329" s="27">
        <v>1000000</v>
      </c>
    </row>
    <row r="2330" spans="1:11" ht="15" customHeight="1" x14ac:dyDescent="0.2">
      <c r="A2330" t="s">
        <v>11052</v>
      </c>
      <c r="B2330" t="s">
        <v>11053</v>
      </c>
      <c r="C2330">
        <v>2024</v>
      </c>
      <c r="D2330" s="18">
        <v>45544</v>
      </c>
      <c r="E2330" s="18">
        <v>45908</v>
      </c>
      <c r="F2330" s="18" t="s">
        <v>611</v>
      </c>
      <c r="G2330" t="s">
        <v>101</v>
      </c>
      <c r="H2330">
        <v>1</v>
      </c>
      <c r="I2330">
        <v>1</v>
      </c>
      <c r="J2330" s="27">
        <v>42254.46</v>
      </c>
      <c r="K2330" s="27">
        <v>2500000</v>
      </c>
    </row>
    <row r="2331" spans="1:11" ht="15" customHeight="1" x14ac:dyDescent="0.2">
      <c r="A2331" t="s">
        <v>11054</v>
      </c>
      <c r="B2331" t="s">
        <v>11055</v>
      </c>
      <c r="C2331">
        <v>2024</v>
      </c>
      <c r="D2331" s="18">
        <v>45544</v>
      </c>
      <c r="E2331" s="18">
        <v>45908</v>
      </c>
      <c r="F2331" s="18" t="s">
        <v>611</v>
      </c>
      <c r="G2331" t="s">
        <v>101</v>
      </c>
      <c r="H2331">
        <v>1</v>
      </c>
      <c r="I2331">
        <v>1</v>
      </c>
      <c r="J2331" s="27">
        <v>17937.759999999998</v>
      </c>
      <c r="K2331" s="27">
        <v>1000000</v>
      </c>
    </row>
    <row r="2332" spans="1:11" ht="15" customHeight="1" x14ac:dyDescent="0.2">
      <c r="A2332" t="s">
        <v>11056</v>
      </c>
      <c r="B2332" t="s">
        <v>11057</v>
      </c>
      <c r="C2332">
        <v>2024</v>
      </c>
      <c r="D2332" s="18">
        <v>45544</v>
      </c>
      <c r="E2332" s="18">
        <v>45908</v>
      </c>
      <c r="F2332" s="18" t="s">
        <v>611</v>
      </c>
      <c r="G2332" t="s">
        <v>101</v>
      </c>
      <c r="H2332">
        <v>1</v>
      </c>
      <c r="I2332">
        <v>2</v>
      </c>
      <c r="J2332" s="27">
        <v>73862.62</v>
      </c>
      <c r="K2332" s="27">
        <v>4500000</v>
      </c>
    </row>
    <row r="2333" spans="1:11" ht="15" customHeight="1" x14ac:dyDescent="0.2">
      <c r="A2333" t="s">
        <v>11058</v>
      </c>
      <c r="B2333" t="s">
        <v>11059</v>
      </c>
      <c r="C2333">
        <v>2024</v>
      </c>
      <c r="D2333" s="18">
        <v>45545</v>
      </c>
      <c r="E2333" s="18">
        <v>45909</v>
      </c>
      <c r="F2333" s="18" t="s">
        <v>608</v>
      </c>
      <c r="G2333" t="s">
        <v>100</v>
      </c>
      <c r="H2333">
        <v>1</v>
      </c>
      <c r="I2333">
        <v>1</v>
      </c>
      <c r="J2333" s="27">
        <v>27705.1</v>
      </c>
      <c r="K2333" s="27">
        <v>2000000</v>
      </c>
    </row>
    <row r="2334" spans="1:11" ht="15" customHeight="1" x14ac:dyDescent="0.2">
      <c r="A2334" t="s">
        <v>11060</v>
      </c>
      <c r="B2334" t="s">
        <v>11061</v>
      </c>
      <c r="C2334">
        <v>2024</v>
      </c>
      <c r="D2334" s="18">
        <v>45545</v>
      </c>
      <c r="E2334" s="18">
        <v>45909</v>
      </c>
      <c r="F2334" s="18" t="s">
        <v>608</v>
      </c>
      <c r="G2334" t="s">
        <v>99</v>
      </c>
      <c r="H2334">
        <v>1</v>
      </c>
      <c r="I2334">
        <v>1</v>
      </c>
      <c r="J2334" s="27">
        <v>3751.04</v>
      </c>
      <c r="K2334" s="27">
        <v>500000</v>
      </c>
    </row>
    <row r="2335" spans="1:11" ht="15" customHeight="1" x14ac:dyDescent="0.2">
      <c r="A2335" t="s">
        <v>11062</v>
      </c>
      <c r="B2335" t="s">
        <v>11063</v>
      </c>
      <c r="C2335">
        <v>2024</v>
      </c>
      <c r="D2335" s="18">
        <v>45545</v>
      </c>
      <c r="E2335" s="18">
        <v>45909</v>
      </c>
      <c r="F2335" s="18" t="s">
        <v>611</v>
      </c>
      <c r="G2335" t="s">
        <v>102</v>
      </c>
      <c r="H2335">
        <v>1</v>
      </c>
      <c r="I2335">
        <v>2</v>
      </c>
      <c r="J2335" s="27">
        <v>29126.880000000001</v>
      </c>
      <c r="K2335" s="27">
        <v>3500000</v>
      </c>
    </row>
    <row r="2336" spans="1:11" ht="15" customHeight="1" x14ac:dyDescent="0.2">
      <c r="A2336" t="s">
        <v>11064</v>
      </c>
      <c r="B2336" t="s">
        <v>11065</v>
      </c>
      <c r="C2336">
        <v>2024</v>
      </c>
      <c r="D2336" s="18">
        <v>45545</v>
      </c>
      <c r="E2336" s="18">
        <v>45909</v>
      </c>
      <c r="F2336" s="18" t="s">
        <v>611</v>
      </c>
      <c r="G2336" t="s">
        <v>99</v>
      </c>
      <c r="H2336">
        <v>1</v>
      </c>
      <c r="I2336">
        <v>1</v>
      </c>
      <c r="J2336" s="27">
        <v>39274.660000000003</v>
      </c>
      <c r="K2336" s="27">
        <v>5000000</v>
      </c>
    </row>
    <row r="2337" spans="1:11" ht="15" customHeight="1" x14ac:dyDescent="0.2">
      <c r="A2337" t="s">
        <v>11066</v>
      </c>
      <c r="B2337" t="s">
        <v>11067</v>
      </c>
      <c r="C2337">
        <v>2024</v>
      </c>
      <c r="D2337" s="18">
        <v>45545</v>
      </c>
      <c r="E2337" s="18">
        <v>45909</v>
      </c>
      <c r="F2337" s="18" t="s">
        <v>611</v>
      </c>
      <c r="G2337" t="s">
        <v>101</v>
      </c>
      <c r="H2337">
        <v>1</v>
      </c>
      <c r="I2337">
        <v>1</v>
      </c>
      <c r="J2337" s="27">
        <v>190417.72</v>
      </c>
      <c r="K2337" s="27">
        <v>10000000</v>
      </c>
    </row>
    <row r="2338" spans="1:11" ht="15" customHeight="1" x14ac:dyDescent="0.2">
      <c r="A2338" t="s">
        <v>11068</v>
      </c>
      <c r="B2338" t="s">
        <v>11069</v>
      </c>
      <c r="C2338">
        <v>2024</v>
      </c>
      <c r="D2338" s="18">
        <v>45545</v>
      </c>
      <c r="E2338" s="18">
        <v>45909</v>
      </c>
      <c r="F2338" s="18" t="s">
        <v>608</v>
      </c>
      <c r="G2338" t="s">
        <v>101</v>
      </c>
      <c r="H2338">
        <v>3</v>
      </c>
      <c r="I2338">
        <v>3</v>
      </c>
      <c r="J2338" s="27">
        <v>181185.04</v>
      </c>
      <c r="K2338" s="27">
        <v>10000000</v>
      </c>
    </row>
    <row r="2339" spans="1:11" ht="15" customHeight="1" x14ac:dyDescent="0.2">
      <c r="A2339" t="s">
        <v>11070</v>
      </c>
      <c r="B2339" t="s">
        <v>11071</v>
      </c>
      <c r="C2339">
        <v>2024</v>
      </c>
      <c r="D2339" s="18">
        <v>45546</v>
      </c>
      <c r="E2339" s="18">
        <v>45910</v>
      </c>
      <c r="F2339" s="18" t="s">
        <v>608</v>
      </c>
      <c r="G2339" t="s">
        <v>102</v>
      </c>
      <c r="H2339">
        <v>1</v>
      </c>
      <c r="I2339">
        <v>1</v>
      </c>
      <c r="J2339" s="27">
        <v>17572.310000000001</v>
      </c>
      <c r="K2339" s="27">
        <v>2000000</v>
      </c>
    </row>
    <row r="2340" spans="1:11" ht="15" customHeight="1" x14ac:dyDescent="0.2">
      <c r="A2340" t="s">
        <v>11072</v>
      </c>
      <c r="B2340" t="s">
        <v>11073</v>
      </c>
      <c r="C2340">
        <v>2024</v>
      </c>
      <c r="D2340" s="18">
        <v>45546</v>
      </c>
      <c r="E2340" s="18">
        <v>45910</v>
      </c>
      <c r="F2340" s="18" t="s">
        <v>608</v>
      </c>
      <c r="G2340" t="s">
        <v>100</v>
      </c>
      <c r="H2340">
        <v>1</v>
      </c>
      <c r="I2340">
        <v>2</v>
      </c>
      <c r="J2340" s="27">
        <v>13338.76</v>
      </c>
      <c r="K2340" s="27">
        <v>1000000</v>
      </c>
    </row>
    <row r="2341" spans="1:11" ht="15" customHeight="1" x14ac:dyDescent="0.2">
      <c r="A2341" t="s">
        <v>11074</v>
      </c>
      <c r="B2341" t="s">
        <v>11075</v>
      </c>
      <c r="C2341">
        <v>2024</v>
      </c>
      <c r="D2341" s="18">
        <v>45546</v>
      </c>
      <c r="E2341" s="18">
        <v>45910</v>
      </c>
      <c r="F2341" s="18" t="s">
        <v>608</v>
      </c>
      <c r="G2341" t="s">
        <v>102</v>
      </c>
      <c r="H2341">
        <v>3</v>
      </c>
      <c r="I2341">
        <v>6</v>
      </c>
      <c r="J2341" s="27">
        <v>4186.1899999999996</v>
      </c>
      <c r="K2341" s="27">
        <v>500000</v>
      </c>
    </row>
    <row r="2342" spans="1:11" ht="15" customHeight="1" x14ac:dyDescent="0.2">
      <c r="A2342" t="s">
        <v>11076</v>
      </c>
      <c r="B2342" t="s">
        <v>11077</v>
      </c>
      <c r="C2342">
        <v>2024</v>
      </c>
      <c r="D2342" s="18">
        <v>45546</v>
      </c>
      <c r="E2342" s="18">
        <v>45910</v>
      </c>
      <c r="F2342" s="18" t="s">
        <v>608</v>
      </c>
      <c r="G2342" t="s">
        <v>101</v>
      </c>
      <c r="H2342">
        <v>3</v>
      </c>
      <c r="I2342">
        <v>3</v>
      </c>
      <c r="J2342" s="27">
        <v>83906.82</v>
      </c>
      <c r="K2342" s="27">
        <v>4500000</v>
      </c>
    </row>
    <row r="2343" spans="1:11" ht="15" customHeight="1" x14ac:dyDescent="0.2">
      <c r="A2343" t="s">
        <v>11078</v>
      </c>
      <c r="B2343" t="s">
        <v>11079</v>
      </c>
      <c r="C2343">
        <v>2024</v>
      </c>
      <c r="D2343" s="18">
        <v>45546</v>
      </c>
      <c r="E2343" s="18">
        <v>45910</v>
      </c>
      <c r="F2343" s="18" t="s">
        <v>608</v>
      </c>
      <c r="G2343" t="s">
        <v>101</v>
      </c>
      <c r="H2343">
        <v>1</v>
      </c>
      <c r="I2343">
        <v>2</v>
      </c>
      <c r="J2343" s="27">
        <v>190314.53</v>
      </c>
      <c r="K2343" s="27">
        <v>10000000</v>
      </c>
    </row>
    <row r="2344" spans="1:11" ht="15" customHeight="1" x14ac:dyDescent="0.2">
      <c r="A2344" t="s">
        <v>11080</v>
      </c>
      <c r="B2344" t="s">
        <v>11081</v>
      </c>
      <c r="C2344">
        <v>2024</v>
      </c>
      <c r="D2344" s="18">
        <v>45546</v>
      </c>
      <c r="E2344" s="18">
        <v>45910</v>
      </c>
      <c r="F2344" s="18" t="s">
        <v>611</v>
      </c>
      <c r="G2344" t="s">
        <v>102</v>
      </c>
      <c r="H2344">
        <v>1</v>
      </c>
      <c r="I2344">
        <v>1</v>
      </c>
      <c r="J2344" s="27">
        <v>31206.61</v>
      </c>
      <c r="K2344" s="27">
        <v>3500000</v>
      </c>
    </row>
    <row r="2345" spans="1:11" ht="15" customHeight="1" x14ac:dyDescent="0.2">
      <c r="A2345" t="s">
        <v>11082</v>
      </c>
      <c r="B2345" t="s">
        <v>11083</v>
      </c>
      <c r="C2345">
        <v>2024</v>
      </c>
      <c r="D2345" s="18">
        <v>45546</v>
      </c>
      <c r="E2345" s="18">
        <v>45910</v>
      </c>
      <c r="F2345" s="18" t="s">
        <v>611</v>
      </c>
      <c r="G2345" t="s">
        <v>99</v>
      </c>
      <c r="H2345">
        <v>1</v>
      </c>
      <c r="I2345">
        <v>2</v>
      </c>
      <c r="J2345" s="27">
        <v>74431.63</v>
      </c>
      <c r="K2345" s="27">
        <v>10000000</v>
      </c>
    </row>
    <row r="2346" spans="1:11" ht="15" customHeight="1" x14ac:dyDescent="0.2">
      <c r="A2346" t="s">
        <v>11084</v>
      </c>
      <c r="B2346" t="s">
        <v>11085</v>
      </c>
      <c r="C2346">
        <v>2024</v>
      </c>
      <c r="D2346" s="18">
        <v>45546</v>
      </c>
      <c r="E2346" s="18">
        <v>45910</v>
      </c>
      <c r="F2346" s="18" t="s">
        <v>611</v>
      </c>
      <c r="G2346" t="s">
        <v>99</v>
      </c>
      <c r="H2346">
        <v>2</v>
      </c>
      <c r="I2346">
        <v>2</v>
      </c>
      <c r="J2346" s="27">
        <v>35480.129999999997</v>
      </c>
      <c r="K2346" s="27">
        <v>4000000</v>
      </c>
    </row>
    <row r="2347" spans="1:11" ht="15" customHeight="1" x14ac:dyDescent="0.2">
      <c r="A2347" t="s">
        <v>11086</v>
      </c>
      <c r="B2347" t="s">
        <v>11087</v>
      </c>
      <c r="C2347">
        <v>2024</v>
      </c>
      <c r="D2347" s="18">
        <v>45547</v>
      </c>
      <c r="E2347" s="18">
        <v>45911</v>
      </c>
      <c r="F2347" s="18" t="s">
        <v>608</v>
      </c>
      <c r="G2347" t="s">
        <v>100</v>
      </c>
      <c r="H2347">
        <v>3</v>
      </c>
      <c r="I2347">
        <v>3</v>
      </c>
      <c r="J2347" s="27">
        <v>70715.990000000005</v>
      </c>
      <c r="K2347" s="27">
        <v>5000000</v>
      </c>
    </row>
    <row r="2348" spans="1:11" ht="15" customHeight="1" x14ac:dyDescent="0.2">
      <c r="A2348" t="s">
        <v>11088</v>
      </c>
      <c r="B2348" t="s">
        <v>11089</v>
      </c>
      <c r="C2348">
        <v>2024</v>
      </c>
      <c r="D2348" s="18">
        <v>45547</v>
      </c>
      <c r="E2348" s="18">
        <v>45911</v>
      </c>
      <c r="F2348" s="18" t="s">
        <v>611</v>
      </c>
      <c r="G2348" t="s">
        <v>101</v>
      </c>
      <c r="H2348">
        <v>2</v>
      </c>
      <c r="I2348">
        <v>2</v>
      </c>
      <c r="J2348" s="27">
        <v>37159.230000000003</v>
      </c>
      <c r="K2348" s="27">
        <v>2000000</v>
      </c>
    </row>
    <row r="2349" spans="1:11" ht="15" customHeight="1" x14ac:dyDescent="0.2">
      <c r="A2349" t="s">
        <v>11090</v>
      </c>
      <c r="B2349" t="s">
        <v>11091</v>
      </c>
      <c r="C2349">
        <v>2024</v>
      </c>
      <c r="D2349" s="18">
        <v>45548</v>
      </c>
      <c r="E2349" s="18">
        <v>45912</v>
      </c>
      <c r="F2349" s="18" t="s">
        <v>608</v>
      </c>
      <c r="G2349" t="s">
        <v>100</v>
      </c>
      <c r="H2349">
        <v>2</v>
      </c>
      <c r="I2349">
        <v>2</v>
      </c>
      <c r="J2349" s="27">
        <v>26757.58</v>
      </c>
      <c r="K2349" s="27">
        <v>2000000</v>
      </c>
    </row>
    <row r="2350" spans="1:11" ht="15" customHeight="1" x14ac:dyDescent="0.2">
      <c r="A2350" t="s">
        <v>11092</v>
      </c>
      <c r="B2350" t="s">
        <v>11093</v>
      </c>
      <c r="C2350">
        <v>2024</v>
      </c>
      <c r="D2350" s="18">
        <v>45548</v>
      </c>
      <c r="E2350" s="18">
        <v>45912</v>
      </c>
      <c r="F2350" s="18" t="s">
        <v>608</v>
      </c>
      <c r="G2350" t="s">
        <v>100</v>
      </c>
      <c r="H2350">
        <v>1</v>
      </c>
      <c r="I2350">
        <v>1</v>
      </c>
      <c r="J2350" s="27">
        <v>61106.02</v>
      </c>
      <c r="K2350" s="27">
        <v>5000000</v>
      </c>
    </row>
    <row r="2351" spans="1:11" ht="15" customHeight="1" x14ac:dyDescent="0.2">
      <c r="A2351" t="s">
        <v>11094</v>
      </c>
      <c r="B2351" t="s">
        <v>11095</v>
      </c>
      <c r="C2351">
        <v>2024</v>
      </c>
      <c r="D2351" s="18">
        <v>45548</v>
      </c>
      <c r="E2351" s="18">
        <v>45912</v>
      </c>
      <c r="F2351" s="18" t="s">
        <v>611</v>
      </c>
      <c r="G2351" t="s">
        <v>102</v>
      </c>
      <c r="H2351">
        <v>2</v>
      </c>
      <c r="I2351">
        <v>2</v>
      </c>
      <c r="J2351" s="27">
        <v>39711.9</v>
      </c>
      <c r="K2351" s="27">
        <v>5000000</v>
      </c>
    </row>
    <row r="2352" spans="1:11" ht="15" customHeight="1" x14ac:dyDescent="0.2">
      <c r="A2352" t="s">
        <v>11096</v>
      </c>
      <c r="B2352" t="s">
        <v>11097</v>
      </c>
      <c r="C2352">
        <v>2024</v>
      </c>
      <c r="D2352" s="18">
        <v>45548</v>
      </c>
      <c r="E2352" s="18">
        <v>45912</v>
      </c>
      <c r="F2352" s="18" t="s">
        <v>611</v>
      </c>
      <c r="G2352" t="s">
        <v>101</v>
      </c>
      <c r="H2352">
        <v>3</v>
      </c>
      <c r="I2352">
        <v>6</v>
      </c>
      <c r="J2352" s="27">
        <v>26259.38</v>
      </c>
      <c r="K2352" s="27">
        <v>1500000</v>
      </c>
    </row>
    <row r="2353" spans="1:11" ht="15" customHeight="1" x14ac:dyDescent="0.2">
      <c r="A2353" t="s">
        <v>11098</v>
      </c>
      <c r="B2353" t="s">
        <v>11099</v>
      </c>
      <c r="C2353">
        <v>2024</v>
      </c>
      <c r="D2353" s="18">
        <v>45548</v>
      </c>
      <c r="E2353" s="18">
        <v>45912</v>
      </c>
      <c r="F2353" s="18" t="s">
        <v>611</v>
      </c>
      <c r="G2353" t="s">
        <v>99</v>
      </c>
      <c r="H2353">
        <v>3</v>
      </c>
      <c r="I2353">
        <v>6</v>
      </c>
      <c r="J2353" s="27">
        <v>20046.07</v>
      </c>
      <c r="K2353" s="27">
        <v>2500000</v>
      </c>
    </row>
    <row r="2354" spans="1:11" ht="15" customHeight="1" x14ac:dyDescent="0.2">
      <c r="A2354" t="s">
        <v>11100</v>
      </c>
      <c r="B2354" t="s">
        <v>11101</v>
      </c>
      <c r="C2354">
        <v>2024</v>
      </c>
      <c r="D2354" s="18">
        <v>45548</v>
      </c>
      <c r="E2354" s="18">
        <v>45912</v>
      </c>
      <c r="F2354" s="18" t="s">
        <v>611</v>
      </c>
      <c r="G2354" t="s">
        <v>100</v>
      </c>
      <c r="H2354">
        <v>2</v>
      </c>
      <c r="I2354">
        <v>4</v>
      </c>
      <c r="J2354" s="27">
        <v>12600.88</v>
      </c>
      <c r="K2354" s="27">
        <v>1000000</v>
      </c>
    </row>
    <row r="2355" spans="1:11" ht="15" customHeight="1" x14ac:dyDescent="0.2">
      <c r="A2355" t="s">
        <v>11102</v>
      </c>
      <c r="B2355" t="s">
        <v>11103</v>
      </c>
      <c r="C2355">
        <v>2024</v>
      </c>
      <c r="D2355" s="18">
        <v>45549</v>
      </c>
      <c r="E2355" s="18">
        <v>45913</v>
      </c>
      <c r="F2355" s="18" t="s">
        <v>608</v>
      </c>
      <c r="G2355" t="s">
        <v>100</v>
      </c>
      <c r="H2355">
        <v>1</v>
      </c>
      <c r="I2355">
        <v>2</v>
      </c>
      <c r="J2355" s="27">
        <v>6399.15</v>
      </c>
      <c r="K2355" s="27">
        <v>500000</v>
      </c>
    </row>
    <row r="2356" spans="1:11" ht="15" customHeight="1" x14ac:dyDescent="0.2">
      <c r="A2356" t="s">
        <v>11104</v>
      </c>
      <c r="B2356" t="s">
        <v>11105</v>
      </c>
      <c r="C2356">
        <v>2024</v>
      </c>
      <c r="D2356" s="18">
        <v>45549</v>
      </c>
      <c r="E2356" s="18">
        <v>45913</v>
      </c>
      <c r="F2356" s="18" t="s">
        <v>611</v>
      </c>
      <c r="G2356" t="s">
        <v>100</v>
      </c>
      <c r="H2356">
        <v>2</v>
      </c>
      <c r="I2356">
        <v>2</v>
      </c>
      <c r="J2356" s="27">
        <v>69452.820000000007</v>
      </c>
      <c r="K2356" s="27">
        <v>5000000</v>
      </c>
    </row>
    <row r="2357" spans="1:11" ht="15" customHeight="1" x14ac:dyDescent="0.2">
      <c r="A2357" t="s">
        <v>11106</v>
      </c>
      <c r="B2357" t="s">
        <v>11107</v>
      </c>
      <c r="C2357">
        <v>2024</v>
      </c>
      <c r="D2357" s="18">
        <v>45549</v>
      </c>
      <c r="E2357" s="18">
        <v>45913</v>
      </c>
      <c r="F2357" s="18" t="s">
        <v>611</v>
      </c>
      <c r="G2357" t="s">
        <v>102</v>
      </c>
      <c r="H2357">
        <v>3</v>
      </c>
      <c r="I2357">
        <v>6</v>
      </c>
      <c r="J2357" s="27">
        <v>36377.919999999998</v>
      </c>
      <c r="K2357" s="27">
        <v>4500000</v>
      </c>
    </row>
    <row r="2358" spans="1:11" ht="15" customHeight="1" x14ac:dyDescent="0.2">
      <c r="A2358" t="s">
        <v>11108</v>
      </c>
      <c r="B2358" t="s">
        <v>11109</v>
      </c>
      <c r="C2358">
        <v>2024</v>
      </c>
      <c r="D2358" s="18">
        <v>45549</v>
      </c>
      <c r="E2358" s="18">
        <v>45913</v>
      </c>
      <c r="F2358" s="18" t="s">
        <v>611</v>
      </c>
      <c r="G2358" t="s">
        <v>100</v>
      </c>
      <c r="H2358">
        <v>1</v>
      </c>
      <c r="I2358">
        <v>1</v>
      </c>
      <c r="J2358" s="27">
        <v>23450.799999999999</v>
      </c>
      <c r="K2358" s="27">
        <v>2000000</v>
      </c>
    </row>
    <row r="2359" spans="1:11" ht="15" customHeight="1" x14ac:dyDescent="0.2">
      <c r="A2359" t="s">
        <v>11110</v>
      </c>
      <c r="B2359" t="s">
        <v>11111</v>
      </c>
      <c r="C2359">
        <v>2024</v>
      </c>
      <c r="D2359" s="18">
        <v>45549</v>
      </c>
      <c r="E2359" s="18">
        <v>45913</v>
      </c>
      <c r="F2359" s="18" t="s">
        <v>611</v>
      </c>
      <c r="G2359" t="s">
        <v>99</v>
      </c>
      <c r="H2359">
        <v>1</v>
      </c>
      <c r="I2359">
        <v>1</v>
      </c>
      <c r="J2359" s="27">
        <v>7472.87</v>
      </c>
      <c r="K2359" s="27">
        <v>1000000</v>
      </c>
    </row>
    <row r="2360" spans="1:11" ht="15" customHeight="1" x14ac:dyDescent="0.2">
      <c r="A2360" t="s">
        <v>11112</v>
      </c>
      <c r="B2360" t="s">
        <v>11113</v>
      </c>
      <c r="C2360">
        <v>2024</v>
      </c>
      <c r="D2360" s="18">
        <v>45549</v>
      </c>
      <c r="E2360" s="18">
        <v>45913</v>
      </c>
      <c r="F2360" s="18" t="s">
        <v>611</v>
      </c>
      <c r="G2360" t="s">
        <v>99</v>
      </c>
      <c r="H2360">
        <v>2</v>
      </c>
      <c r="I2360">
        <v>2</v>
      </c>
      <c r="J2360" s="27">
        <v>43155.7</v>
      </c>
      <c r="K2360" s="27">
        <v>5000000</v>
      </c>
    </row>
    <row r="2361" spans="1:11" ht="15" customHeight="1" x14ac:dyDescent="0.2">
      <c r="A2361" t="s">
        <v>11114</v>
      </c>
      <c r="B2361" t="s">
        <v>11115</v>
      </c>
      <c r="C2361">
        <v>2024</v>
      </c>
      <c r="D2361" s="18">
        <v>45550</v>
      </c>
      <c r="E2361" s="18">
        <v>45914</v>
      </c>
      <c r="F2361" s="18" t="s">
        <v>608</v>
      </c>
      <c r="G2361" t="s">
        <v>99</v>
      </c>
      <c r="H2361">
        <v>1</v>
      </c>
      <c r="I2361">
        <v>2</v>
      </c>
      <c r="J2361" s="27">
        <v>15778.4</v>
      </c>
      <c r="K2361" s="27">
        <v>2000000</v>
      </c>
    </row>
    <row r="2362" spans="1:11" ht="15" customHeight="1" x14ac:dyDescent="0.2">
      <c r="A2362" t="s">
        <v>11116</v>
      </c>
      <c r="B2362" t="s">
        <v>11117</v>
      </c>
      <c r="C2362">
        <v>2024</v>
      </c>
      <c r="D2362" s="18">
        <v>45550</v>
      </c>
      <c r="E2362" s="18">
        <v>45914</v>
      </c>
      <c r="F2362" s="18" t="s">
        <v>611</v>
      </c>
      <c r="G2362" t="s">
        <v>100</v>
      </c>
      <c r="H2362">
        <v>3</v>
      </c>
      <c r="I2362">
        <v>3</v>
      </c>
      <c r="J2362" s="27">
        <v>13977.4</v>
      </c>
      <c r="K2362" s="27">
        <v>1000000</v>
      </c>
    </row>
    <row r="2363" spans="1:11" ht="15" customHeight="1" x14ac:dyDescent="0.2">
      <c r="A2363" t="s">
        <v>11118</v>
      </c>
      <c r="B2363" t="s">
        <v>11119</v>
      </c>
      <c r="C2363">
        <v>2024</v>
      </c>
      <c r="D2363" s="18">
        <v>45550</v>
      </c>
      <c r="E2363" s="18">
        <v>45914</v>
      </c>
      <c r="F2363" s="18" t="s">
        <v>611</v>
      </c>
      <c r="G2363" t="s">
        <v>100</v>
      </c>
      <c r="H2363">
        <v>3</v>
      </c>
      <c r="I2363">
        <v>6</v>
      </c>
      <c r="J2363" s="27">
        <v>66420.59</v>
      </c>
      <c r="K2363" s="27">
        <v>5000000</v>
      </c>
    </row>
    <row r="2364" spans="1:11" ht="15" customHeight="1" x14ac:dyDescent="0.2">
      <c r="A2364" t="s">
        <v>11120</v>
      </c>
      <c r="B2364" t="s">
        <v>11121</v>
      </c>
      <c r="C2364">
        <v>2024</v>
      </c>
      <c r="D2364" s="18">
        <v>45550</v>
      </c>
      <c r="E2364" s="18">
        <v>45914</v>
      </c>
      <c r="F2364" s="18" t="s">
        <v>611</v>
      </c>
      <c r="G2364" t="s">
        <v>101</v>
      </c>
      <c r="H2364">
        <v>2</v>
      </c>
      <c r="I2364">
        <v>2</v>
      </c>
      <c r="J2364" s="27">
        <v>183999.43</v>
      </c>
      <c r="K2364" s="27">
        <v>10000000</v>
      </c>
    </row>
    <row r="2365" spans="1:11" ht="15" customHeight="1" x14ac:dyDescent="0.2">
      <c r="A2365" t="s">
        <v>11122</v>
      </c>
      <c r="B2365" t="s">
        <v>11123</v>
      </c>
      <c r="C2365">
        <v>2024</v>
      </c>
      <c r="D2365" s="18">
        <v>45551</v>
      </c>
      <c r="E2365" s="18">
        <v>45915</v>
      </c>
      <c r="F2365" s="18" t="s">
        <v>611</v>
      </c>
      <c r="G2365" t="s">
        <v>101</v>
      </c>
      <c r="H2365">
        <v>2</v>
      </c>
      <c r="I2365">
        <v>2</v>
      </c>
      <c r="J2365" s="27">
        <v>56345.02</v>
      </c>
      <c r="K2365" s="27">
        <v>3000000</v>
      </c>
    </row>
    <row r="2366" spans="1:11" ht="15" customHeight="1" x14ac:dyDescent="0.2">
      <c r="A2366" t="s">
        <v>11124</v>
      </c>
      <c r="B2366" t="s">
        <v>11125</v>
      </c>
      <c r="C2366">
        <v>2024</v>
      </c>
      <c r="D2366" s="18">
        <v>45551</v>
      </c>
      <c r="E2366" s="18">
        <v>45915</v>
      </c>
      <c r="F2366" s="18" t="s">
        <v>611</v>
      </c>
      <c r="G2366" t="s">
        <v>99</v>
      </c>
      <c r="H2366">
        <v>3</v>
      </c>
      <c r="I2366">
        <v>6</v>
      </c>
      <c r="J2366" s="27">
        <v>4178.34</v>
      </c>
      <c r="K2366" s="27">
        <v>500000</v>
      </c>
    </row>
    <row r="2367" spans="1:11" ht="15" customHeight="1" x14ac:dyDescent="0.2">
      <c r="A2367" t="s">
        <v>11126</v>
      </c>
      <c r="B2367" t="s">
        <v>11127</v>
      </c>
      <c r="C2367">
        <v>2024</v>
      </c>
      <c r="D2367" s="18">
        <v>45551</v>
      </c>
      <c r="E2367" s="18">
        <v>45915</v>
      </c>
      <c r="F2367" s="18" t="s">
        <v>611</v>
      </c>
      <c r="G2367" t="s">
        <v>101</v>
      </c>
      <c r="H2367">
        <v>2</v>
      </c>
      <c r="I2367">
        <v>4</v>
      </c>
      <c r="J2367" s="27">
        <v>16359.51</v>
      </c>
      <c r="K2367" s="27">
        <v>1000000</v>
      </c>
    </row>
    <row r="2368" spans="1:11" ht="15" customHeight="1" x14ac:dyDescent="0.2">
      <c r="A2368" t="s">
        <v>11128</v>
      </c>
      <c r="B2368" t="s">
        <v>11129</v>
      </c>
      <c r="C2368">
        <v>2024</v>
      </c>
      <c r="D2368" s="18">
        <v>45551</v>
      </c>
      <c r="E2368" s="18">
        <v>45915</v>
      </c>
      <c r="F2368" s="18" t="s">
        <v>611</v>
      </c>
      <c r="G2368" t="s">
        <v>100</v>
      </c>
      <c r="H2368">
        <v>1</v>
      </c>
      <c r="I2368">
        <v>2</v>
      </c>
      <c r="J2368" s="27">
        <v>24152.12</v>
      </c>
      <c r="K2368" s="27">
        <v>2000000</v>
      </c>
    </row>
    <row r="2369" spans="1:11" ht="15" customHeight="1" x14ac:dyDescent="0.2">
      <c r="A2369" t="s">
        <v>11130</v>
      </c>
      <c r="B2369" t="s">
        <v>11131</v>
      </c>
      <c r="C2369">
        <v>2024</v>
      </c>
      <c r="D2369" s="18">
        <v>45551</v>
      </c>
      <c r="E2369" s="18">
        <v>45915</v>
      </c>
      <c r="F2369" s="18" t="s">
        <v>611</v>
      </c>
      <c r="G2369" t="s">
        <v>102</v>
      </c>
      <c r="H2369">
        <v>1</v>
      </c>
      <c r="I2369">
        <v>1</v>
      </c>
      <c r="J2369" s="27">
        <v>22482</v>
      </c>
      <c r="K2369" s="27">
        <v>2500000</v>
      </c>
    </row>
    <row r="2370" spans="1:11" ht="15" customHeight="1" x14ac:dyDescent="0.2">
      <c r="A2370" t="s">
        <v>11132</v>
      </c>
      <c r="B2370" t="s">
        <v>11133</v>
      </c>
      <c r="C2370">
        <v>2024</v>
      </c>
      <c r="D2370" s="18">
        <v>45551</v>
      </c>
      <c r="E2370" s="18">
        <v>45915</v>
      </c>
      <c r="F2370" s="18" t="s">
        <v>611</v>
      </c>
      <c r="G2370" t="s">
        <v>100</v>
      </c>
      <c r="H2370">
        <v>1</v>
      </c>
      <c r="I2370">
        <v>1</v>
      </c>
      <c r="J2370" s="27">
        <v>24129.759999999998</v>
      </c>
      <c r="K2370" s="27">
        <v>2000000</v>
      </c>
    </row>
    <row r="2371" spans="1:11" ht="15" customHeight="1" x14ac:dyDescent="0.2">
      <c r="A2371" t="s">
        <v>11134</v>
      </c>
      <c r="B2371" t="s">
        <v>11135</v>
      </c>
      <c r="C2371">
        <v>2024</v>
      </c>
      <c r="D2371" s="18">
        <v>45551</v>
      </c>
      <c r="E2371" s="18">
        <v>45915</v>
      </c>
      <c r="F2371" s="18" t="s">
        <v>611</v>
      </c>
      <c r="G2371" t="s">
        <v>102</v>
      </c>
      <c r="H2371">
        <v>3</v>
      </c>
      <c r="I2371">
        <v>3</v>
      </c>
      <c r="J2371" s="27">
        <v>4084.93</v>
      </c>
      <c r="K2371" s="27">
        <v>500000</v>
      </c>
    </row>
    <row r="2372" spans="1:11" ht="15" customHeight="1" x14ac:dyDescent="0.2">
      <c r="A2372" t="s">
        <v>11136</v>
      </c>
      <c r="B2372" t="s">
        <v>11137</v>
      </c>
      <c r="C2372">
        <v>2024</v>
      </c>
      <c r="D2372" s="18">
        <v>45552</v>
      </c>
      <c r="E2372" s="18">
        <v>45916</v>
      </c>
      <c r="F2372" s="18" t="s">
        <v>608</v>
      </c>
      <c r="G2372" t="s">
        <v>100</v>
      </c>
      <c r="H2372">
        <v>2</v>
      </c>
      <c r="I2372">
        <v>2</v>
      </c>
      <c r="J2372" s="27">
        <v>62031.56</v>
      </c>
      <c r="K2372" s="27">
        <v>5000000</v>
      </c>
    </row>
    <row r="2373" spans="1:11" ht="15" customHeight="1" x14ac:dyDescent="0.2">
      <c r="A2373" t="s">
        <v>11138</v>
      </c>
      <c r="B2373" t="s">
        <v>11139</v>
      </c>
      <c r="C2373">
        <v>2024</v>
      </c>
      <c r="D2373" s="18">
        <v>45552</v>
      </c>
      <c r="E2373" s="18">
        <v>45916</v>
      </c>
      <c r="F2373" s="18" t="s">
        <v>611</v>
      </c>
      <c r="G2373" t="s">
        <v>100</v>
      </c>
      <c r="H2373">
        <v>2</v>
      </c>
      <c r="I2373">
        <v>2</v>
      </c>
      <c r="J2373" s="27">
        <v>49072.73</v>
      </c>
      <c r="K2373" s="27">
        <v>4000000</v>
      </c>
    </row>
    <row r="2374" spans="1:11" ht="15" customHeight="1" x14ac:dyDescent="0.2">
      <c r="A2374" t="s">
        <v>11140</v>
      </c>
      <c r="B2374" t="s">
        <v>11141</v>
      </c>
      <c r="C2374">
        <v>2024</v>
      </c>
      <c r="D2374" s="18">
        <v>45552</v>
      </c>
      <c r="E2374" s="18">
        <v>45916</v>
      </c>
      <c r="F2374" s="18" t="s">
        <v>611</v>
      </c>
      <c r="G2374" t="s">
        <v>101</v>
      </c>
      <c r="H2374">
        <v>1</v>
      </c>
      <c r="I2374">
        <v>1</v>
      </c>
      <c r="J2374" s="27">
        <v>53446.22</v>
      </c>
      <c r="K2374" s="27">
        <v>3000000</v>
      </c>
    </row>
    <row r="2375" spans="1:11" ht="15" customHeight="1" x14ac:dyDescent="0.2">
      <c r="A2375" t="s">
        <v>11142</v>
      </c>
      <c r="B2375" t="s">
        <v>11143</v>
      </c>
      <c r="C2375">
        <v>2024</v>
      </c>
      <c r="D2375" s="18">
        <v>45552</v>
      </c>
      <c r="E2375" s="18">
        <v>45916</v>
      </c>
      <c r="F2375" s="18" t="s">
        <v>611</v>
      </c>
      <c r="G2375" t="s">
        <v>101</v>
      </c>
      <c r="H2375">
        <v>1</v>
      </c>
      <c r="I2375">
        <v>1</v>
      </c>
      <c r="J2375" s="27">
        <v>40849.910000000003</v>
      </c>
      <c r="K2375" s="27">
        <v>2500000</v>
      </c>
    </row>
    <row r="2376" spans="1:11" ht="15" customHeight="1" x14ac:dyDescent="0.2">
      <c r="A2376" t="s">
        <v>11144</v>
      </c>
      <c r="B2376" t="s">
        <v>11145</v>
      </c>
      <c r="C2376">
        <v>2024</v>
      </c>
      <c r="D2376" s="18">
        <v>45552</v>
      </c>
      <c r="E2376" s="18">
        <v>45916</v>
      </c>
      <c r="F2376" s="18" t="s">
        <v>611</v>
      </c>
      <c r="G2376" t="s">
        <v>101</v>
      </c>
      <c r="H2376">
        <v>2</v>
      </c>
      <c r="I2376">
        <v>4</v>
      </c>
      <c r="J2376" s="27">
        <v>186889.94</v>
      </c>
      <c r="K2376" s="27">
        <v>10000000</v>
      </c>
    </row>
    <row r="2377" spans="1:11" ht="15" customHeight="1" x14ac:dyDescent="0.2">
      <c r="A2377" t="s">
        <v>11146</v>
      </c>
      <c r="B2377" t="s">
        <v>11147</v>
      </c>
      <c r="C2377">
        <v>2024</v>
      </c>
      <c r="D2377" s="18">
        <v>45552</v>
      </c>
      <c r="E2377" s="18">
        <v>45916</v>
      </c>
      <c r="F2377" s="18" t="s">
        <v>611</v>
      </c>
      <c r="G2377" t="s">
        <v>101</v>
      </c>
      <c r="H2377">
        <v>2</v>
      </c>
      <c r="I2377">
        <v>2</v>
      </c>
      <c r="J2377" s="27">
        <v>36896.74</v>
      </c>
      <c r="K2377" s="27">
        <v>2000000</v>
      </c>
    </row>
    <row r="2378" spans="1:11" ht="15" customHeight="1" x14ac:dyDescent="0.2">
      <c r="A2378" t="s">
        <v>11148</v>
      </c>
      <c r="B2378" t="s">
        <v>11149</v>
      </c>
      <c r="C2378">
        <v>2024</v>
      </c>
      <c r="D2378" s="18">
        <v>45552</v>
      </c>
      <c r="E2378" s="18">
        <v>45916</v>
      </c>
      <c r="F2378" s="18" t="s">
        <v>611</v>
      </c>
      <c r="G2378" t="s">
        <v>102</v>
      </c>
      <c r="H2378">
        <v>1</v>
      </c>
      <c r="I2378">
        <v>1</v>
      </c>
      <c r="J2378" s="27">
        <v>26230.77</v>
      </c>
      <c r="K2378" s="27">
        <v>3000000</v>
      </c>
    </row>
    <row r="2379" spans="1:11" ht="15" customHeight="1" x14ac:dyDescent="0.2">
      <c r="A2379" t="s">
        <v>11150</v>
      </c>
      <c r="B2379" t="s">
        <v>11151</v>
      </c>
      <c r="C2379">
        <v>2024</v>
      </c>
      <c r="D2379" s="18">
        <v>45552</v>
      </c>
      <c r="E2379" s="18">
        <v>45916</v>
      </c>
      <c r="F2379" s="18" t="s">
        <v>611</v>
      </c>
      <c r="G2379" t="s">
        <v>100</v>
      </c>
      <c r="H2379">
        <v>3</v>
      </c>
      <c r="I2379">
        <v>6</v>
      </c>
      <c r="J2379" s="27">
        <v>63957.51</v>
      </c>
      <c r="K2379" s="27">
        <v>5000000</v>
      </c>
    </row>
    <row r="2380" spans="1:11" ht="15" customHeight="1" x14ac:dyDescent="0.2">
      <c r="A2380" t="s">
        <v>11152</v>
      </c>
      <c r="B2380" t="s">
        <v>11153</v>
      </c>
      <c r="C2380">
        <v>2024</v>
      </c>
      <c r="D2380" s="18">
        <v>45552</v>
      </c>
      <c r="E2380" s="18">
        <v>45916</v>
      </c>
      <c r="F2380" s="18" t="s">
        <v>611</v>
      </c>
      <c r="G2380" t="s">
        <v>101</v>
      </c>
      <c r="H2380">
        <v>2</v>
      </c>
      <c r="I2380">
        <v>4</v>
      </c>
      <c r="J2380" s="27">
        <v>17098.5</v>
      </c>
      <c r="K2380" s="27">
        <v>1000000</v>
      </c>
    </row>
    <row r="2381" spans="1:11" ht="15" customHeight="1" x14ac:dyDescent="0.2">
      <c r="A2381" t="s">
        <v>11154</v>
      </c>
      <c r="B2381" t="s">
        <v>11155</v>
      </c>
      <c r="C2381">
        <v>2024</v>
      </c>
      <c r="D2381" s="18">
        <v>45552</v>
      </c>
      <c r="E2381" s="18">
        <v>45916</v>
      </c>
      <c r="F2381" s="18" t="s">
        <v>611</v>
      </c>
      <c r="G2381" t="s">
        <v>101</v>
      </c>
      <c r="H2381">
        <v>3</v>
      </c>
      <c r="I2381">
        <v>6</v>
      </c>
      <c r="J2381" s="27">
        <v>71745.210000000006</v>
      </c>
      <c r="K2381" s="27">
        <v>4000000</v>
      </c>
    </row>
    <row r="2382" spans="1:11" ht="15" customHeight="1" x14ac:dyDescent="0.2">
      <c r="A2382" t="s">
        <v>11156</v>
      </c>
      <c r="B2382" t="s">
        <v>11157</v>
      </c>
      <c r="C2382">
        <v>2024</v>
      </c>
      <c r="D2382" s="18">
        <v>45553</v>
      </c>
      <c r="E2382" s="18">
        <v>45917</v>
      </c>
      <c r="F2382" s="18" t="s">
        <v>608</v>
      </c>
      <c r="G2382" t="s">
        <v>101</v>
      </c>
      <c r="H2382">
        <v>2</v>
      </c>
      <c r="I2382">
        <v>2</v>
      </c>
      <c r="J2382" s="27">
        <v>74102.5</v>
      </c>
      <c r="K2382" s="27">
        <v>4000000</v>
      </c>
    </row>
    <row r="2383" spans="1:11" ht="15" customHeight="1" x14ac:dyDescent="0.2">
      <c r="A2383" t="s">
        <v>11158</v>
      </c>
      <c r="B2383" t="s">
        <v>11159</v>
      </c>
      <c r="C2383">
        <v>2024</v>
      </c>
      <c r="D2383" s="18">
        <v>45553</v>
      </c>
      <c r="E2383" s="18">
        <v>45917</v>
      </c>
      <c r="F2383" s="18" t="s">
        <v>608</v>
      </c>
      <c r="G2383" t="s">
        <v>99</v>
      </c>
      <c r="H2383">
        <v>3</v>
      </c>
      <c r="I2383">
        <v>3</v>
      </c>
      <c r="J2383" s="27">
        <v>22900.73</v>
      </c>
      <c r="K2383" s="27">
        <v>3000000</v>
      </c>
    </row>
    <row r="2384" spans="1:11" ht="15" customHeight="1" x14ac:dyDescent="0.2">
      <c r="A2384" t="s">
        <v>11160</v>
      </c>
      <c r="B2384" t="s">
        <v>11161</v>
      </c>
      <c r="C2384">
        <v>2024</v>
      </c>
      <c r="D2384" s="18">
        <v>45553</v>
      </c>
      <c r="E2384" s="18">
        <v>45917</v>
      </c>
      <c r="F2384" s="18" t="s">
        <v>608</v>
      </c>
      <c r="G2384" t="s">
        <v>102</v>
      </c>
      <c r="H2384">
        <v>3</v>
      </c>
      <c r="I2384">
        <v>6</v>
      </c>
      <c r="J2384" s="27">
        <v>34809.800000000003</v>
      </c>
      <c r="K2384" s="27">
        <v>4500000</v>
      </c>
    </row>
    <row r="2385" spans="1:11" ht="15" customHeight="1" x14ac:dyDescent="0.2">
      <c r="A2385" t="s">
        <v>11162</v>
      </c>
      <c r="B2385" t="s">
        <v>11163</v>
      </c>
      <c r="C2385">
        <v>2024</v>
      </c>
      <c r="D2385" s="18">
        <v>45553</v>
      </c>
      <c r="E2385" s="18">
        <v>45917</v>
      </c>
      <c r="F2385" s="18" t="s">
        <v>608</v>
      </c>
      <c r="G2385" t="s">
        <v>102</v>
      </c>
      <c r="H2385">
        <v>3</v>
      </c>
      <c r="I2385">
        <v>6</v>
      </c>
      <c r="J2385" s="27">
        <v>18581.87</v>
      </c>
      <c r="K2385" s="27">
        <v>2000000</v>
      </c>
    </row>
    <row r="2386" spans="1:11" ht="15" customHeight="1" x14ac:dyDescent="0.2">
      <c r="A2386" t="s">
        <v>11164</v>
      </c>
      <c r="B2386" t="s">
        <v>11165</v>
      </c>
      <c r="C2386">
        <v>2024</v>
      </c>
      <c r="D2386" s="18">
        <v>45553</v>
      </c>
      <c r="E2386" s="18">
        <v>45917</v>
      </c>
      <c r="F2386" s="18" t="s">
        <v>608</v>
      </c>
      <c r="G2386" t="s">
        <v>100</v>
      </c>
      <c r="H2386">
        <v>1</v>
      </c>
      <c r="I2386">
        <v>1</v>
      </c>
      <c r="J2386" s="27">
        <v>48704.24</v>
      </c>
      <c r="K2386" s="27">
        <v>4000000</v>
      </c>
    </row>
    <row r="2387" spans="1:11" ht="15" customHeight="1" x14ac:dyDescent="0.2">
      <c r="A2387" t="s">
        <v>11166</v>
      </c>
      <c r="B2387" t="s">
        <v>11167</v>
      </c>
      <c r="C2387">
        <v>2024</v>
      </c>
      <c r="D2387" s="18">
        <v>45553</v>
      </c>
      <c r="E2387" s="18">
        <v>45917</v>
      </c>
      <c r="F2387" s="18" t="s">
        <v>611</v>
      </c>
      <c r="G2387" t="s">
        <v>99</v>
      </c>
      <c r="H2387">
        <v>1</v>
      </c>
      <c r="I2387">
        <v>2</v>
      </c>
      <c r="J2387" s="27">
        <v>15138.14</v>
      </c>
      <c r="K2387" s="27">
        <v>2000000</v>
      </c>
    </row>
    <row r="2388" spans="1:11" ht="15" customHeight="1" x14ac:dyDescent="0.2">
      <c r="A2388" t="s">
        <v>11168</v>
      </c>
      <c r="B2388" t="s">
        <v>11169</v>
      </c>
      <c r="C2388">
        <v>2024</v>
      </c>
      <c r="D2388" s="18">
        <v>45553</v>
      </c>
      <c r="E2388" s="18">
        <v>45917</v>
      </c>
      <c r="F2388" s="18" t="s">
        <v>611</v>
      </c>
      <c r="G2388" t="s">
        <v>102</v>
      </c>
      <c r="H2388">
        <v>1</v>
      </c>
      <c r="I2388">
        <v>1</v>
      </c>
      <c r="J2388" s="27">
        <v>23251.05</v>
      </c>
      <c r="K2388" s="27">
        <v>2500000</v>
      </c>
    </row>
    <row r="2389" spans="1:11" ht="15" customHeight="1" x14ac:dyDescent="0.2">
      <c r="A2389" t="s">
        <v>11170</v>
      </c>
      <c r="B2389" t="s">
        <v>11171</v>
      </c>
      <c r="C2389">
        <v>2024</v>
      </c>
      <c r="D2389" s="18">
        <v>45553</v>
      </c>
      <c r="E2389" s="18">
        <v>45917</v>
      </c>
      <c r="F2389" s="18" t="s">
        <v>611</v>
      </c>
      <c r="G2389" t="s">
        <v>101</v>
      </c>
      <c r="H2389">
        <v>1</v>
      </c>
      <c r="I2389">
        <v>2</v>
      </c>
      <c r="J2389" s="27">
        <v>87753.3</v>
      </c>
      <c r="K2389" s="27">
        <v>5000000</v>
      </c>
    </row>
    <row r="2390" spans="1:11" ht="15" customHeight="1" x14ac:dyDescent="0.2">
      <c r="A2390" t="s">
        <v>11172</v>
      </c>
      <c r="B2390" t="s">
        <v>11173</v>
      </c>
      <c r="C2390">
        <v>2024</v>
      </c>
      <c r="D2390" s="18">
        <v>45553</v>
      </c>
      <c r="E2390" s="18">
        <v>45917</v>
      </c>
      <c r="F2390" s="18" t="s">
        <v>611</v>
      </c>
      <c r="G2390" t="s">
        <v>99</v>
      </c>
      <c r="H2390">
        <v>2</v>
      </c>
      <c r="I2390">
        <v>2</v>
      </c>
      <c r="J2390" s="27">
        <v>43741</v>
      </c>
      <c r="K2390" s="27">
        <v>5000000</v>
      </c>
    </row>
    <row r="2391" spans="1:11" ht="15" customHeight="1" x14ac:dyDescent="0.2">
      <c r="A2391" t="s">
        <v>11174</v>
      </c>
      <c r="B2391" t="s">
        <v>11175</v>
      </c>
      <c r="C2391">
        <v>2024</v>
      </c>
      <c r="D2391" s="18">
        <v>45553</v>
      </c>
      <c r="E2391" s="18">
        <v>45917</v>
      </c>
      <c r="F2391" s="18" t="s">
        <v>611</v>
      </c>
      <c r="G2391" t="s">
        <v>99</v>
      </c>
      <c r="H2391">
        <v>2</v>
      </c>
      <c r="I2391">
        <v>4</v>
      </c>
      <c r="J2391" s="27">
        <v>26068.29</v>
      </c>
      <c r="K2391" s="27">
        <v>3000000</v>
      </c>
    </row>
    <row r="2392" spans="1:11" ht="15" customHeight="1" x14ac:dyDescent="0.2">
      <c r="A2392" t="s">
        <v>11176</v>
      </c>
      <c r="B2392" t="s">
        <v>11177</v>
      </c>
      <c r="C2392">
        <v>2024</v>
      </c>
      <c r="D2392" s="18">
        <v>45553</v>
      </c>
      <c r="E2392" s="18">
        <v>45917</v>
      </c>
      <c r="F2392" s="18" t="s">
        <v>611</v>
      </c>
      <c r="G2392" t="s">
        <v>99</v>
      </c>
      <c r="H2392">
        <v>1</v>
      </c>
      <c r="I2392">
        <v>1</v>
      </c>
      <c r="J2392" s="27">
        <v>15811.28</v>
      </c>
      <c r="K2392" s="27">
        <v>2000000</v>
      </c>
    </row>
    <row r="2393" spans="1:11" ht="15" customHeight="1" x14ac:dyDescent="0.2">
      <c r="A2393" t="s">
        <v>11178</v>
      </c>
      <c r="B2393" t="s">
        <v>11179</v>
      </c>
      <c r="C2393">
        <v>2024</v>
      </c>
      <c r="D2393" s="18">
        <v>45553</v>
      </c>
      <c r="E2393" s="18">
        <v>45917</v>
      </c>
      <c r="F2393" s="18" t="s">
        <v>611</v>
      </c>
      <c r="G2393" t="s">
        <v>99</v>
      </c>
      <c r="H2393">
        <v>1</v>
      </c>
      <c r="I2393">
        <v>2</v>
      </c>
      <c r="J2393" s="27">
        <v>17918.13</v>
      </c>
      <c r="K2393" s="27">
        <v>2000000</v>
      </c>
    </row>
    <row r="2394" spans="1:11" ht="15" customHeight="1" x14ac:dyDescent="0.2">
      <c r="A2394" t="s">
        <v>11180</v>
      </c>
      <c r="B2394" t="s">
        <v>11181</v>
      </c>
      <c r="C2394">
        <v>2024</v>
      </c>
      <c r="D2394" s="18">
        <v>45554</v>
      </c>
      <c r="E2394" s="18">
        <v>45918</v>
      </c>
      <c r="F2394" s="18" t="s">
        <v>608</v>
      </c>
      <c r="G2394" t="s">
        <v>100</v>
      </c>
      <c r="H2394">
        <v>1</v>
      </c>
      <c r="I2394">
        <v>2</v>
      </c>
      <c r="J2394" s="27">
        <v>126309.4</v>
      </c>
      <c r="K2394" s="27">
        <v>10000000</v>
      </c>
    </row>
    <row r="2395" spans="1:11" ht="15" customHeight="1" x14ac:dyDescent="0.2">
      <c r="A2395" t="s">
        <v>11182</v>
      </c>
      <c r="B2395" t="s">
        <v>11183</v>
      </c>
      <c r="C2395">
        <v>2024</v>
      </c>
      <c r="D2395" s="18">
        <v>45554</v>
      </c>
      <c r="E2395" s="18">
        <v>45918</v>
      </c>
      <c r="F2395" s="18" t="s">
        <v>611</v>
      </c>
      <c r="G2395" t="s">
        <v>101</v>
      </c>
      <c r="H2395">
        <v>1</v>
      </c>
      <c r="I2395">
        <v>2</v>
      </c>
      <c r="J2395" s="27">
        <v>81545.039999999994</v>
      </c>
      <c r="K2395" s="27">
        <v>4500000</v>
      </c>
    </row>
    <row r="2396" spans="1:11" ht="15" customHeight="1" x14ac:dyDescent="0.2">
      <c r="A2396" t="s">
        <v>11184</v>
      </c>
      <c r="B2396" t="s">
        <v>11185</v>
      </c>
      <c r="C2396">
        <v>2024</v>
      </c>
      <c r="D2396" s="18">
        <v>45554</v>
      </c>
      <c r="E2396" s="18">
        <v>45918</v>
      </c>
      <c r="F2396" s="18" t="s">
        <v>611</v>
      </c>
      <c r="G2396" t="s">
        <v>102</v>
      </c>
      <c r="H2396">
        <v>1</v>
      </c>
      <c r="I2396">
        <v>2</v>
      </c>
      <c r="J2396" s="27">
        <v>15880.88</v>
      </c>
      <c r="K2396" s="27">
        <v>2000000</v>
      </c>
    </row>
    <row r="2397" spans="1:11" ht="15" customHeight="1" x14ac:dyDescent="0.2">
      <c r="A2397" t="s">
        <v>11186</v>
      </c>
      <c r="B2397" t="s">
        <v>11187</v>
      </c>
      <c r="C2397">
        <v>2024</v>
      </c>
      <c r="D2397" s="18">
        <v>45554</v>
      </c>
      <c r="E2397" s="18">
        <v>45918</v>
      </c>
      <c r="F2397" s="18" t="s">
        <v>611</v>
      </c>
      <c r="G2397" t="s">
        <v>102</v>
      </c>
      <c r="H2397">
        <v>1</v>
      </c>
      <c r="I2397">
        <v>1</v>
      </c>
      <c r="J2397" s="27">
        <v>47215.42</v>
      </c>
      <c r="K2397" s="27">
        <v>5000000</v>
      </c>
    </row>
    <row r="2398" spans="1:11" ht="15" customHeight="1" x14ac:dyDescent="0.2">
      <c r="A2398" t="s">
        <v>11188</v>
      </c>
      <c r="B2398" t="s">
        <v>11189</v>
      </c>
      <c r="C2398">
        <v>2024</v>
      </c>
      <c r="D2398" s="18">
        <v>45554</v>
      </c>
      <c r="E2398" s="18">
        <v>45918</v>
      </c>
      <c r="F2398" s="18" t="s">
        <v>611</v>
      </c>
      <c r="G2398" t="s">
        <v>99</v>
      </c>
      <c r="H2398">
        <v>3</v>
      </c>
      <c r="I2398">
        <v>3</v>
      </c>
      <c r="J2398" s="27">
        <v>8600.68</v>
      </c>
      <c r="K2398" s="27">
        <v>1000000</v>
      </c>
    </row>
    <row r="2399" spans="1:11" ht="15" customHeight="1" x14ac:dyDescent="0.2">
      <c r="A2399" t="s">
        <v>11190</v>
      </c>
      <c r="B2399" t="s">
        <v>11191</v>
      </c>
      <c r="C2399">
        <v>2024</v>
      </c>
      <c r="D2399" s="18">
        <v>45555</v>
      </c>
      <c r="E2399" s="18">
        <v>45919</v>
      </c>
      <c r="F2399" s="18" t="s">
        <v>608</v>
      </c>
      <c r="G2399" t="s">
        <v>99</v>
      </c>
      <c r="H2399">
        <v>2</v>
      </c>
      <c r="I2399">
        <v>4</v>
      </c>
      <c r="J2399" s="27">
        <v>7700.4</v>
      </c>
      <c r="K2399" s="27">
        <v>1000000</v>
      </c>
    </row>
    <row r="2400" spans="1:11" ht="15" customHeight="1" x14ac:dyDescent="0.2">
      <c r="A2400" t="s">
        <v>11192</v>
      </c>
      <c r="B2400" t="s">
        <v>11193</v>
      </c>
      <c r="C2400">
        <v>2024</v>
      </c>
      <c r="D2400" s="18">
        <v>45555</v>
      </c>
      <c r="E2400" s="18">
        <v>45919</v>
      </c>
      <c r="F2400" s="18" t="s">
        <v>608</v>
      </c>
      <c r="G2400" t="s">
        <v>99</v>
      </c>
      <c r="H2400">
        <v>1</v>
      </c>
      <c r="I2400">
        <v>1</v>
      </c>
      <c r="J2400" s="27">
        <v>35012.85</v>
      </c>
      <c r="K2400" s="27">
        <v>4500000</v>
      </c>
    </row>
    <row r="2401" spans="1:11" ht="15" customHeight="1" x14ac:dyDescent="0.2">
      <c r="A2401" t="s">
        <v>11194</v>
      </c>
      <c r="B2401" t="s">
        <v>11195</v>
      </c>
      <c r="C2401">
        <v>2024</v>
      </c>
      <c r="D2401" s="18">
        <v>45555</v>
      </c>
      <c r="E2401" s="18">
        <v>45919</v>
      </c>
      <c r="F2401" s="18" t="s">
        <v>608</v>
      </c>
      <c r="G2401" t="s">
        <v>101</v>
      </c>
      <c r="H2401">
        <v>2</v>
      </c>
      <c r="I2401">
        <v>4</v>
      </c>
      <c r="J2401" s="27">
        <v>47421.32</v>
      </c>
      <c r="K2401" s="27">
        <v>3000000</v>
      </c>
    </row>
    <row r="2402" spans="1:11" ht="15" customHeight="1" x14ac:dyDescent="0.2">
      <c r="A2402" t="s">
        <v>11196</v>
      </c>
      <c r="B2402" t="s">
        <v>11197</v>
      </c>
      <c r="C2402">
        <v>2024</v>
      </c>
      <c r="D2402" s="18">
        <v>45555</v>
      </c>
      <c r="E2402" s="18">
        <v>45919</v>
      </c>
      <c r="F2402" s="18" t="s">
        <v>608</v>
      </c>
      <c r="G2402" t="s">
        <v>100</v>
      </c>
      <c r="H2402">
        <v>1</v>
      </c>
      <c r="I2402">
        <v>2</v>
      </c>
      <c r="J2402" s="27">
        <v>33586.879999999997</v>
      </c>
      <c r="K2402" s="27">
        <v>2500000</v>
      </c>
    </row>
    <row r="2403" spans="1:11" ht="15" customHeight="1" x14ac:dyDescent="0.2">
      <c r="A2403" t="s">
        <v>11198</v>
      </c>
      <c r="B2403" t="s">
        <v>11199</v>
      </c>
      <c r="C2403">
        <v>2024</v>
      </c>
      <c r="D2403" s="18">
        <v>45556</v>
      </c>
      <c r="E2403" s="18">
        <v>45920</v>
      </c>
      <c r="F2403" s="18" t="s">
        <v>608</v>
      </c>
      <c r="G2403" t="s">
        <v>99</v>
      </c>
      <c r="H2403">
        <v>1</v>
      </c>
      <c r="I2403">
        <v>1</v>
      </c>
      <c r="J2403" s="27">
        <v>15566.09</v>
      </c>
      <c r="K2403" s="27">
        <v>2000000</v>
      </c>
    </row>
    <row r="2404" spans="1:11" ht="15" customHeight="1" x14ac:dyDescent="0.2">
      <c r="A2404" t="s">
        <v>11200</v>
      </c>
      <c r="B2404" t="s">
        <v>11201</v>
      </c>
      <c r="C2404">
        <v>2024</v>
      </c>
      <c r="D2404" s="18">
        <v>45556</v>
      </c>
      <c r="E2404" s="18">
        <v>45920</v>
      </c>
      <c r="F2404" s="18" t="s">
        <v>608</v>
      </c>
      <c r="G2404" t="s">
        <v>100</v>
      </c>
      <c r="H2404">
        <v>1</v>
      </c>
      <c r="I2404">
        <v>1</v>
      </c>
      <c r="J2404" s="27">
        <v>28114.29</v>
      </c>
      <c r="K2404" s="27">
        <v>2000000</v>
      </c>
    </row>
    <row r="2405" spans="1:11" ht="15" customHeight="1" x14ac:dyDescent="0.2">
      <c r="A2405" t="s">
        <v>11202</v>
      </c>
      <c r="B2405" t="s">
        <v>11203</v>
      </c>
      <c r="C2405">
        <v>2024</v>
      </c>
      <c r="D2405" s="18">
        <v>45556</v>
      </c>
      <c r="E2405" s="18">
        <v>45920</v>
      </c>
      <c r="F2405" s="18" t="s">
        <v>611</v>
      </c>
      <c r="G2405" t="s">
        <v>99</v>
      </c>
      <c r="H2405">
        <v>2</v>
      </c>
      <c r="I2405">
        <v>2</v>
      </c>
      <c r="J2405" s="27">
        <v>7815.98</v>
      </c>
      <c r="K2405" s="27">
        <v>1000000</v>
      </c>
    </row>
    <row r="2406" spans="1:11" ht="15" customHeight="1" x14ac:dyDescent="0.2">
      <c r="A2406" t="s">
        <v>11204</v>
      </c>
      <c r="B2406" t="s">
        <v>11205</v>
      </c>
      <c r="C2406">
        <v>2024</v>
      </c>
      <c r="D2406" s="18">
        <v>45556</v>
      </c>
      <c r="E2406" s="18">
        <v>45920</v>
      </c>
      <c r="F2406" s="18" t="s">
        <v>611</v>
      </c>
      <c r="G2406" t="s">
        <v>100</v>
      </c>
      <c r="H2406">
        <v>3</v>
      </c>
      <c r="I2406">
        <v>6</v>
      </c>
      <c r="J2406" s="27">
        <v>54055.94</v>
      </c>
      <c r="K2406" s="27">
        <v>4000000</v>
      </c>
    </row>
    <row r="2407" spans="1:11" ht="15" customHeight="1" x14ac:dyDescent="0.2">
      <c r="A2407" t="s">
        <v>11206</v>
      </c>
      <c r="B2407" t="s">
        <v>11207</v>
      </c>
      <c r="C2407">
        <v>2024</v>
      </c>
      <c r="D2407" s="18">
        <v>45556</v>
      </c>
      <c r="E2407" s="18">
        <v>45920</v>
      </c>
      <c r="F2407" s="18" t="s">
        <v>611</v>
      </c>
      <c r="G2407" t="s">
        <v>101</v>
      </c>
      <c r="H2407">
        <v>1</v>
      </c>
      <c r="I2407">
        <v>1</v>
      </c>
      <c r="J2407" s="27">
        <v>86691.55</v>
      </c>
      <c r="K2407" s="27">
        <v>5000000</v>
      </c>
    </row>
    <row r="2408" spans="1:11" ht="15" customHeight="1" x14ac:dyDescent="0.2">
      <c r="A2408" t="s">
        <v>11208</v>
      </c>
      <c r="B2408" t="s">
        <v>11209</v>
      </c>
      <c r="C2408">
        <v>2024</v>
      </c>
      <c r="D2408" s="18">
        <v>45556</v>
      </c>
      <c r="E2408" s="18">
        <v>45920</v>
      </c>
      <c r="F2408" s="18" t="s">
        <v>611</v>
      </c>
      <c r="G2408" t="s">
        <v>99</v>
      </c>
      <c r="H2408">
        <v>2</v>
      </c>
      <c r="I2408">
        <v>2</v>
      </c>
      <c r="J2408" s="27">
        <v>22090.12</v>
      </c>
      <c r="K2408" s="27">
        <v>3000000</v>
      </c>
    </row>
    <row r="2409" spans="1:11" ht="15" customHeight="1" x14ac:dyDescent="0.2">
      <c r="A2409" t="s">
        <v>11210</v>
      </c>
      <c r="B2409" t="s">
        <v>11211</v>
      </c>
      <c r="C2409">
        <v>2024</v>
      </c>
      <c r="D2409" s="18">
        <v>45557</v>
      </c>
      <c r="E2409" s="18">
        <v>45921</v>
      </c>
      <c r="F2409" s="18" t="s">
        <v>608</v>
      </c>
      <c r="G2409" t="s">
        <v>101</v>
      </c>
      <c r="H2409">
        <v>3</v>
      </c>
      <c r="I2409">
        <v>6</v>
      </c>
      <c r="J2409" s="27">
        <v>70742.37</v>
      </c>
      <c r="K2409" s="27">
        <v>4000000</v>
      </c>
    </row>
    <row r="2410" spans="1:11" ht="15" customHeight="1" x14ac:dyDescent="0.2">
      <c r="A2410" t="s">
        <v>11212</v>
      </c>
      <c r="B2410" t="s">
        <v>11213</v>
      </c>
      <c r="C2410">
        <v>2024</v>
      </c>
      <c r="D2410" s="18">
        <v>45557</v>
      </c>
      <c r="E2410" s="18">
        <v>45921</v>
      </c>
      <c r="F2410" s="18" t="s">
        <v>611</v>
      </c>
      <c r="G2410" t="s">
        <v>99</v>
      </c>
      <c r="H2410">
        <v>1</v>
      </c>
      <c r="I2410">
        <v>1</v>
      </c>
      <c r="J2410" s="27">
        <v>15484.1</v>
      </c>
      <c r="K2410" s="27">
        <v>2000000</v>
      </c>
    </row>
    <row r="2411" spans="1:11" ht="15" customHeight="1" x14ac:dyDescent="0.2">
      <c r="A2411" t="s">
        <v>11214</v>
      </c>
      <c r="B2411" t="s">
        <v>11215</v>
      </c>
      <c r="C2411">
        <v>2024</v>
      </c>
      <c r="D2411" s="18">
        <v>45557</v>
      </c>
      <c r="E2411" s="18">
        <v>45921</v>
      </c>
      <c r="F2411" s="18" t="s">
        <v>611</v>
      </c>
      <c r="G2411" t="s">
        <v>100</v>
      </c>
      <c r="H2411">
        <v>2</v>
      </c>
      <c r="I2411">
        <v>2</v>
      </c>
      <c r="J2411" s="27">
        <v>35707.39</v>
      </c>
      <c r="K2411" s="27">
        <v>2500000</v>
      </c>
    </row>
    <row r="2412" spans="1:11" ht="15" customHeight="1" x14ac:dyDescent="0.2">
      <c r="A2412" t="s">
        <v>11216</v>
      </c>
      <c r="B2412" t="s">
        <v>11217</v>
      </c>
      <c r="C2412">
        <v>2024</v>
      </c>
      <c r="D2412" s="18">
        <v>45557</v>
      </c>
      <c r="E2412" s="18">
        <v>45921</v>
      </c>
      <c r="F2412" s="18" t="s">
        <v>611</v>
      </c>
      <c r="G2412" t="s">
        <v>101</v>
      </c>
      <c r="H2412">
        <v>1</v>
      </c>
      <c r="I2412">
        <v>1</v>
      </c>
      <c r="J2412" s="27">
        <v>161465.51</v>
      </c>
      <c r="K2412" s="27">
        <v>10000000</v>
      </c>
    </row>
    <row r="2413" spans="1:11" ht="15" customHeight="1" x14ac:dyDescent="0.2">
      <c r="A2413" t="s">
        <v>11218</v>
      </c>
      <c r="B2413" t="s">
        <v>11219</v>
      </c>
      <c r="C2413">
        <v>2024</v>
      </c>
      <c r="D2413" s="18">
        <v>45557</v>
      </c>
      <c r="E2413" s="18">
        <v>45921</v>
      </c>
      <c r="F2413" s="18" t="s">
        <v>608</v>
      </c>
      <c r="G2413" t="s">
        <v>101</v>
      </c>
      <c r="H2413">
        <v>2</v>
      </c>
      <c r="I2413">
        <v>2</v>
      </c>
      <c r="J2413" s="27">
        <v>300705.01</v>
      </c>
      <c r="K2413" s="27">
        <v>2500000</v>
      </c>
    </row>
    <row r="2414" spans="1:11" ht="15" customHeight="1" x14ac:dyDescent="0.2">
      <c r="A2414" t="s">
        <v>11220</v>
      </c>
      <c r="B2414" t="s">
        <v>11221</v>
      </c>
      <c r="C2414">
        <v>2024</v>
      </c>
      <c r="D2414" s="18">
        <v>45558</v>
      </c>
      <c r="E2414" s="18">
        <v>45922</v>
      </c>
      <c r="F2414" s="18" t="s">
        <v>611</v>
      </c>
      <c r="G2414" t="s">
        <v>99</v>
      </c>
      <c r="H2414">
        <v>2</v>
      </c>
      <c r="I2414">
        <v>2</v>
      </c>
      <c r="J2414" s="27">
        <v>17618.3</v>
      </c>
      <c r="K2414" s="27">
        <v>2000000</v>
      </c>
    </row>
    <row r="2415" spans="1:11" ht="15" customHeight="1" x14ac:dyDescent="0.2">
      <c r="A2415" t="s">
        <v>11222</v>
      </c>
      <c r="B2415" t="s">
        <v>11223</v>
      </c>
      <c r="C2415">
        <v>2024</v>
      </c>
      <c r="D2415" s="18">
        <v>45558</v>
      </c>
      <c r="E2415" s="18">
        <v>45922</v>
      </c>
      <c r="F2415" s="18" t="s">
        <v>611</v>
      </c>
      <c r="G2415" t="s">
        <v>99</v>
      </c>
      <c r="H2415">
        <v>3</v>
      </c>
      <c r="I2415">
        <v>3</v>
      </c>
      <c r="J2415" s="27">
        <v>8776.6</v>
      </c>
      <c r="K2415" s="27">
        <v>1000000</v>
      </c>
    </row>
    <row r="2416" spans="1:11" ht="15" customHeight="1" x14ac:dyDescent="0.2">
      <c r="A2416" t="s">
        <v>11224</v>
      </c>
      <c r="B2416" t="s">
        <v>11225</v>
      </c>
      <c r="C2416">
        <v>2024</v>
      </c>
      <c r="D2416" s="18">
        <v>45558</v>
      </c>
      <c r="E2416" s="18">
        <v>45922</v>
      </c>
      <c r="F2416" s="18" t="s">
        <v>611</v>
      </c>
      <c r="G2416" t="s">
        <v>102</v>
      </c>
      <c r="H2416">
        <v>2</v>
      </c>
      <c r="I2416">
        <v>4</v>
      </c>
      <c r="J2416" s="27">
        <v>40301.879999999997</v>
      </c>
      <c r="K2416" s="27">
        <v>5000000</v>
      </c>
    </row>
    <row r="2417" spans="1:11" ht="15" customHeight="1" x14ac:dyDescent="0.2">
      <c r="A2417" t="s">
        <v>11226</v>
      </c>
      <c r="B2417" t="s">
        <v>11227</v>
      </c>
      <c r="C2417">
        <v>2024</v>
      </c>
      <c r="D2417" s="18">
        <v>45558</v>
      </c>
      <c r="E2417" s="18">
        <v>45922</v>
      </c>
      <c r="F2417" s="18" t="s">
        <v>611</v>
      </c>
      <c r="G2417" t="s">
        <v>101</v>
      </c>
      <c r="H2417">
        <v>1</v>
      </c>
      <c r="I2417">
        <v>2</v>
      </c>
      <c r="J2417" s="27">
        <v>62601.13</v>
      </c>
      <c r="K2417" s="27">
        <v>3500000</v>
      </c>
    </row>
    <row r="2418" spans="1:11" ht="15" customHeight="1" x14ac:dyDescent="0.2">
      <c r="A2418" t="s">
        <v>11228</v>
      </c>
      <c r="B2418" t="s">
        <v>11229</v>
      </c>
      <c r="C2418">
        <v>2024</v>
      </c>
      <c r="D2418" s="18">
        <v>45558</v>
      </c>
      <c r="E2418" s="18">
        <v>45922</v>
      </c>
      <c r="F2418" s="18" t="s">
        <v>611</v>
      </c>
      <c r="G2418" t="s">
        <v>100</v>
      </c>
      <c r="H2418">
        <v>2</v>
      </c>
      <c r="I2418">
        <v>2</v>
      </c>
      <c r="J2418" s="27">
        <v>25783.14</v>
      </c>
      <c r="K2418" s="27">
        <v>2000000</v>
      </c>
    </row>
    <row r="2419" spans="1:11" ht="15" customHeight="1" x14ac:dyDescent="0.2">
      <c r="A2419" t="s">
        <v>11230</v>
      </c>
      <c r="B2419" t="s">
        <v>11231</v>
      </c>
      <c r="C2419">
        <v>2024</v>
      </c>
      <c r="D2419" s="18">
        <v>45558</v>
      </c>
      <c r="E2419" s="18">
        <v>45922</v>
      </c>
      <c r="F2419" s="18" t="s">
        <v>611</v>
      </c>
      <c r="G2419" t="s">
        <v>100</v>
      </c>
      <c r="H2419">
        <v>1</v>
      </c>
      <c r="I2419">
        <v>1</v>
      </c>
      <c r="J2419" s="27">
        <v>51812.59</v>
      </c>
      <c r="K2419" s="27">
        <v>4000000</v>
      </c>
    </row>
    <row r="2420" spans="1:11" ht="15" customHeight="1" x14ac:dyDescent="0.2">
      <c r="A2420" t="s">
        <v>11232</v>
      </c>
      <c r="B2420" t="s">
        <v>11233</v>
      </c>
      <c r="C2420">
        <v>2024</v>
      </c>
      <c r="D2420" s="18">
        <v>45558</v>
      </c>
      <c r="E2420" s="18">
        <v>45922</v>
      </c>
      <c r="F2420" s="18" t="s">
        <v>611</v>
      </c>
      <c r="G2420" t="s">
        <v>99</v>
      </c>
      <c r="H2420">
        <v>1</v>
      </c>
      <c r="I2420">
        <v>2</v>
      </c>
      <c r="J2420" s="27">
        <v>38149.17</v>
      </c>
      <c r="K2420" s="27">
        <v>5000000</v>
      </c>
    </row>
    <row r="2421" spans="1:11" ht="15" customHeight="1" x14ac:dyDescent="0.2">
      <c r="A2421" t="s">
        <v>11234</v>
      </c>
      <c r="B2421" t="s">
        <v>11235</v>
      </c>
      <c r="C2421">
        <v>2024</v>
      </c>
      <c r="D2421" s="18">
        <v>45558</v>
      </c>
      <c r="E2421" s="18">
        <v>45922</v>
      </c>
      <c r="F2421" s="18" t="s">
        <v>611</v>
      </c>
      <c r="G2421" t="s">
        <v>101</v>
      </c>
      <c r="H2421">
        <v>1</v>
      </c>
      <c r="I2421">
        <v>1</v>
      </c>
      <c r="J2421" s="27">
        <v>8163.89</v>
      </c>
      <c r="K2421" s="27">
        <v>500000</v>
      </c>
    </row>
    <row r="2422" spans="1:11" ht="15" customHeight="1" x14ac:dyDescent="0.2">
      <c r="A2422" t="s">
        <v>11236</v>
      </c>
      <c r="B2422" t="s">
        <v>11237</v>
      </c>
      <c r="C2422">
        <v>2024</v>
      </c>
      <c r="D2422" s="18">
        <v>45558</v>
      </c>
      <c r="E2422" s="18">
        <v>45922</v>
      </c>
      <c r="F2422" s="18" t="s">
        <v>611</v>
      </c>
      <c r="G2422" t="s">
        <v>99</v>
      </c>
      <c r="H2422">
        <v>1</v>
      </c>
      <c r="I2422">
        <v>2</v>
      </c>
      <c r="J2422" s="27">
        <v>16088.83</v>
      </c>
      <c r="K2422" s="27">
        <v>2000000</v>
      </c>
    </row>
    <row r="2423" spans="1:11" ht="15" customHeight="1" x14ac:dyDescent="0.2">
      <c r="A2423" t="s">
        <v>11238</v>
      </c>
      <c r="B2423" t="s">
        <v>11239</v>
      </c>
      <c r="C2423">
        <v>2024</v>
      </c>
      <c r="D2423" s="18">
        <v>45558</v>
      </c>
      <c r="E2423" s="18">
        <v>45922</v>
      </c>
      <c r="F2423" s="18" t="s">
        <v>611</v>
      </c>
      <c r="G2423" t="s">
        <v>99</v>
      </c>
      <c r="H2423">
        <v>2</v>
      </c>
      <c r="I2423">
        <v>4</v>
      </c>
      <c r="J2423" s="27">
        <v>17815.72</v>
      </c>
      <c r="K2423" s="27">
        <v>2000000</v>
      </c>
    </row>
    <row r="2424" spans="1:11" ht="15" customHeight="1" x14ac:dyDescent="0.2">
      <c r="A2424" t="s">
        <v>11240</v>
      </c>
      <c r="B2424" t="s">
        <v>11241</v>
      </c>
      <c r="C2424">
        <v>2024</v>
      </c>
      <c r="D2424" s="18">
        <v>45559</v>
      </c>
      <c r="E2424" s="18">
        <v>45923</v>
      </c>
      <c r="F2424" s="18" t="s">
        <v>611</v>
      </c>
      <c r="G2424" t="s">
        <v>100</v>
      </c>
      <c r="H2424">
        <v>2</v>
      </c>
      <c r="I2424">
        <v>2</v>
      </c>
      <c r="J2424" s="27">
        <v>123540.49</v>
      </c>
      <c r="K2424" s="27">
        <v>10000000</v>
      </c>
    </row>
    <row r="2425" spans="1:11" ht="15" customHeight="1" x14ac:dyDescent="0.2">
      <c r="A2425" t="s">
        <v>11242</v>
      </c>
      <c r="B2425" t="s">
        <v>11243</v>
      </c>
      <c r="C2425">
        <v>2024</v>
      </c>
      <c r="D2425" s="18">
        <v>45559</v>
      </c>
      <c r="E2425" s="18">
        <v>45923</v>
      </c>
      <c r="F2425" s="18" t="s">
        <v>611</v>
      </c>
      <c r="G2425" t="s">
        <v>102</v>
      </c>
      <c r="H2425">
        <v>2</v>
      </c>
      <c r="I2425">
        <v>2</v>
      </c>
      <c r="J2425" s="27">
        <v>82115.429999999993</v>
      </c>
      <c r="K2425" s="27">
        <v>10000000</v>
      </c>
    </row>
    <row r="2426" spans="1:11" ht="15" customHeight="1" x14ac:dyDescent="0.2">
      <c r="A2426" t="s">
        <v>11244</v>
      </c>
      <c r="B2426" t="s">
        <v>11245</v>
      </c>
      <c r="C2426">
        <v>2024</v>
      </c>
      <c r="D2426" s="18">
        <v>45559</v>
      </c>
      <c r="E2426" s="18">
        <v>45923</v>
      </c>
      <c r="F2426" s="18" t="s">
        <v>611</v>
      </c>
      <c r="G2426" t="s">
        <v>101</v>
      </c>
      <c r="H2426">
        <v>1</v>
      </c>
      <c r="I2426">
        <v>2</v>
      </c>
      <c r="J2426" s="27">
        <v>16672.599999999999</v>
      </c>
      <c r="K2426" s="27">
        <v>1000000</v>
      </c>
    </row>
    <row r="2427" spans="1:11" ht="15" customHeight="1" x14ac:dyDescent="0.2">
      <c r="A2427" t="s">
        <v>11246</v>
      </c>
      <c r="B2427" t="s">
        <v>11247</v>
      </c>
      <c r="C2427">
        <v>2024</v>
      </c>
      <c r="D2427" s="18">
        <v>45559</v>
      </c>
      <c r="E2427" s="18">
        <v>45923</v>
      </c>
      <c r="F2427" s="18" t="s">
        <v>611</v>
      </c>
      <c r="G2427" t="s">
        <v>101</v>
      </c>
      <c r="H2427">
        <v>1</v>
      </c>
      <c r="I2427">
        <v>1</v>
      </c>
      <c r="J2427" s="27">
        <v>40681.730000000003</v>
      </c>
      <c r="K2427" s="27">
        <v>2500000</v>
      </c>
    </row>
    <row r="2428" spans="1:11" ht="15" customHeight="1" x14ac:dyDescent="0.2">
      <c r="A2428" t="s">
        <v>11248</v>
      </c>
      <c r="B2428" t="s">
        <v>11249</v>
      </c>
      <c r="C2428">
        <v>2024</v>
      </c>
      <c r="D2428" s="18">
        <v>45559</v>
      </c>
      <c r="E2428" s="18">
        <v>45923</v>
      </c>
      <c r="F2428" s="18" t="s">
        <v>611</v>
      </c>
      <c r="G2428" t="s">
        <v>100</v>
      </c>
      <c r="H2428">
        <v>2</v>
      </c>
      <c r="I2428">
        <v>2</v>
      </c>
      <c r="J2428" s="27">
        <v>27518.77</v>
      </c>
      <c r="K2428" s="27">
        <v>2000000</v>
      </c>
    </row>
    <row r="2429" spans="1:11" ht="15" customHeight="1" x14ac:dyDescent="0.2">
      <c r="A2429" t="s">
        <v>11250</v>
      </c>
      <c r="B2429" t="s">
        <v>11251</v>
      </c>
      <c r="C2429">
        <v>2024</v>
      </c>
      <c r="D2429" s="18">
        <v>45560</v>
      </c>
      <c r="E2429" s="18">
        <v>45924</v>
      </c>
      <c r="F2429" s="18" t="s">
        <v>608</v>
      </c>
      <c r="G2429" t="s">
        <v>100</v>
      </c>
      <c r="H2429">
        <v>1</v>
      </c>
      <c r="I2429">
        <v>2</v>
      </c>
      <c r="J2429" s="27">
        <v>68939.199999999997</v>
      </c>
      <c r="K2429" s="27">
        <v>5000000</v>
      </c>
    </row>
    <row r="2430" spans="1:11" ht="15" customHeight="1" x14ac:dyDescent="0.2">
      <c r="A2430" t="s">
        <v>11252</v>
      </c>
      <c r="B2430" t="s">
        <v>11253</v>
      </c>
      <c r="C2430">
        <v>2024</v>
      </c>
      <c r="D2430" s="18">
        <v>45560</v>
      </c>
      <c r="E2430" s="18">
        <v>45924</v>
      </c>
      <c r="F2430" s="18" t="s">
        <v>611</v>
      </c>
      <c r="G2430" t="s">
        <v>99</v>
      </c>
      <c r="H2430">
        <v>1</v>
      </c>
      <c r="I2430">
        <v>1</v>
      </c>
      <c r="J2430" s="27">
        <v>38450.879999999997</v>
      </c>
      <c r="K2430" s="27">
        <v>5000000</v>
      </c>
    </row>
    <row r="2431" spans="1:11" ht="15" customHeight="1" x14ac:dyDescent="0.2">
      <c r="A2431" t="s">
        <v>11254</v>
      </c>
      <c r="B2431" t="s">
        <v>11255</v>
      </c>
      <c r="C2431">
        <v>2024</v>
      </c>
      <c r="D2431" s="18">
        <v>45560</v>
      </c>
      <c r="E2431" s="18">
        <v>45924</v>
      </c>
      <c r="F2431" s="18" t="s">
        <v>611</v>
      </c>
      <c r="G2431" t="s">
        <v>99</v>
      </c>
      <c r="H2431">
        <v>1</v>
      </c>
      <c r="I2431">
        <v>1</v>
      </c>
      <c r="J2431" s="27">
        <v>26587.94</v>
      </c>
      <c r="K2431" s="27">
        <v>3000000</v>
      </c>
    </row>
    <row r="2432" spans="1:11" ht="15" customHeight="1" x14ac:dyDescent="0.2">
      <c r="A2432" t="s">
        <v>11256</v>
      </c>
      <c r="B2432" t="s">
        <v>11257</v>
      </c>
      <c r="C2432">
        <v>2024</v>
      </c>
      <c r="D2432" s="18">
        <v>45561</v>
      </c>
      <c r="E2432" s="18">
        <v>45925</v>
      </c>
      <c r="F2432" s="18" t="s">
        <v>608</v>
      </c>
      <c r="G2432" t="s">
        <v>102</v>
      </c>
      <c r="H2432">
        <v>1</v>
      </c>
      <c r="I2432">
        <v>2</v>
      </c>
      <c r="J2432" s="27">
        <v>13325.36</v>
      </c>
      <c r="K2432" s="27">
        <v>1500000</v>
      </c>
    </row>
    <row r="2433" spans="1:11" ht="15" customHeight="1" x14ac:dyDescent="0.2">
      <c r="A2433" t="s">
        <v>11258</v>
      </c>
      <c r="B2433" t="s">
        <v>11259</v>
      </c>
      <c r="C2433">
        <v>2024</v>
      </c>
      <c r="D2433" s="18">
        <v>45561</v>
      </c>
      <c r="E2433" s="18">
        <v>45925</v>
      </c>
      <c r="F2433" s="18" t="s">
        <v>611</v>
      </c>
      <c r="G2433" t="s">
        <v>99</v>
      </c>
      <c r="H2433">
        <v>1</v>
      </c>
      <c r="I2433">
        <v>2</v>
      </c>
      <c r="J2433" s="27">
        <v>32807.410000000003</v>
      </c>
      <c r="K2433" s="27">
        <v>4000000</v>
      </c>
    </row>
    <row r="2434" spans="1:11" ht="15" customHeight="1" x14ac:dyDescent="0.2">
      <c r="A2434" t="s">
        <v>11260</v>
      </c>
      <c r="B2434" t="s">
        <v>11261</v>
      </c>
      <c r="C2434">
        <v>2024</v>
      </c>
      <c r="D2434" s="18">
        <v>45561</v>
      </c>
      <c r="E2434" s="18">
        <v>45925</v>
      </c>
      <c r="F2434" s="18" t="s">
        <v>611</v>
      </c>
      <c r="G2434" t="s">
        <v>100</v>
      </c>
      <c r="H2434">
        <v>2</v>
      </c>
      <c r="I2434">
        <v>2</v>
      </c>
      <c r="J2434" s="27">
        <v>34451.42</v>
      </c>
      <c r="K2434" s="27">
        <v>2500000</v>
      </c>
    </row>
    <row r="2435" spans="1:11" ht="15" customHeight="1" x14ac:dyDescent="0.2">
      <c r="A2435" t="s">
        <v>11262</v>
      </c>
      <c r="B2435" t="s">
        <v>11263</v>
      </c>
      <c r="C2435">
        <v>2024</v>
      </c>
      <c r="D2435" s="18">
        <v>45561</v>
      </c>
      <c r="E2435" s="18">
        <v>45925</v>
      </c>
      <c r="F2435" s="18" t="s">
        <v>611</v>
      </c>
      <c r="G2435" t="s">
        <v>100</v>
      </c>
      <c r="H2435">
        <v>1</v>
      </c>
      <c r="I2435">
        <v>2</v>
      </c>
      <c r="J2435" s="27">
        <v>19632.34</v>
      </c>
      <c r="K2435" s="27">
        <v>1500000</v>
      </c>
    </row>
    <row r="2436" spans="1:11" ht="15" customHeight="1" x14ac:dyDescent="0.2">
      <c r="A2436" t="s">
        <v>11264</v>
      </c>
      <c r="B2436" t="s">
        <v>11265</v>
      </c>
      <c r="C2436">
        <v>2024</v>
      </c>
      <c r="D2436" s="18">
        <v>45561</v>
      </c>
      <c r="E2436" s="18">
        <v>45925</v>
      </c>
      <c r="F2436" s="18" t="s">
        <v>611</v>
      </c>
      <c r="G2436" t="s">
        <v>101</v>
      </c>
      <c r="H2436">
        <v>2</v>
      </c>
      <c r="I2436">
        <v>4</v>
      </c>
      <c r="J2436" s="27">
        <v>89001.63</v>
      </c>
      <c r="K2436" s="27">
        <v>5000000</v>
      </c>
    </row>
    <row r="2437" spans="1:11" ht="15" customHeight="1" x14ac:dyDescent="0.2">
      <c r="A2437" t="s">
        <v>11266</v>
      </c>
      <c r="B2437" t="s">
        <v>11267</v>
      </c>
      <c r="C2437">
        <v>2024</v>
      </c>
      <c r="D2437" s="18">
        <v>45561</v>
      </c>
      <c r="E2437" s="18">
        <v>45925</v>
      </c>
      <c r="F2437" s="18" t="s">
        <v>611</v>
      </c>
      <c r="G2437" t="s">
        <v>101</v>
      </c>
      <c r="H2437">
        <v>3</v>
      </c>
      <c r="I2437">
        <v>6</v>
      </c>
      <c r="J2437" s="27">
        <v>35003.5</v>
      </c>
      <c r="K2437" s="27">
        <v>2000000</v>
      </c>
    </row>
    <row r="2438" spans="1:11" ht="15" customHeight="1" x14ac:dyDescent="0.2">
      <c r="A2438" t="s">
        <v>11268</v>
      </c>
      <c r="B2438" t="s">
        <v>11269</v>
      </c>
      <c r="C2438">
        <v>2024</v>
      </c>
      <c r="D2438" s="18">
        <v>45561</v>
      </c>
      <c r="E2438" s="18">
        <v>45925</v>
      </c>
      <c r="F2438" s="18" t="s">
        <v>611</v>
      </c>
      <c r="G2438" t="s">
        <v>99</v>
      </c>
      <c r="H2438">
        <v>3</v>
      </c>
      <c r="I2438">
        <v>6</v>
      </c>
      <c r="J2438" s="27">
        <v>35025.32</v>
      </c>
      <c r="K2438" s="27">
        <v>4000000</v>
      </c>
    </row>
    <row r="2439" spans="1:11" ht="15" customHeight="1" x14ac:dyDescent="0.2">
      <c r="A2439" t="s">
        <v>11270</v>
      </c>
      <c r="B2439" t="s">
        <v>11271</v>
      </c>
      <c r="C2439">
        <v>2024</v>
      </c>
      <c r="D2439" s="18">
        <v>45562</v>
      </c>
      <c r="E2439" s="18">
        <v>45926</v>
      </c>
      <c r="F2439" s="18" t="s">
        <v>608</v>
      </c>
      <c r="G2439" t="s">
        <v>100</v>
      </c>
      <c r="H2439">
        <v>1</v>
      </c>
      <c r="I2439">
        <v>2</v>
      </c>
      <c r="J2439" s="27">
        <v>49775.01</v>
      </c>
      <c r="K2439" s="27">
        <v>4000000</v>
      </c>
    </row>
    <row r="2440" spans="1:11" ht="15" customHeight="1" x14ac:dyDescent="0.2">
      <c r="A2440" t="s">
        <v>11272</v>
      </c>
      <c r="B2440" t="s">
        <v>11273</v>
      </c>
      <c r="C2440">
        <v>2024</v>
      </c>
      <c r="D2440" s="18">
        <v>45562</v>
      </c>
      <c r="E2440" s="18">
        <v>45926</v>
      </c>
      <c r="F2440" s="18" t="s">
        <v>608</v>
      </c>
      <c r="G2440" t="s">
        <v>100</v>
      </c>
      <c r="H2440">
        <v>1</v>
      </c>
      <c r="I2440">
        <v>1</v>
      </c>
      <c r="J2440" s="27">
        <v>121279.28</v>
      </c>
      <c r="K2440" s="27">
        <v>10000000</v>
      </c>
    </row>
    <row r="2441" spans="1:11" ht="15" customHeight="1" x14ac:dyDescent="0.2">
      <c r="A2441" t="s">
        <v>11274</v>
      </c>
      <c r="B2441" t="s">
        <v>11275</v>
      </c>
      <c r="C2441">
        <v>2024</v>
      </c>
      <c r="D2441" s="18">
        <v>45562</v>
      </c>
      <c r="E2441" s="18">
        <v>45926</v>
      </c>
      <c r="F2441" s="18" t="s">
        <v>608</v>
      </c>
      <c r="G2441" t="s">
        <v>100</v>
      </c>
      <c r="H2441">
        <v>2</v>
      </c>
      <c r="I2441">
        <v>4</v>
      </c>
      <c r="J2441" s="27">
        <v>41314.79</v>
      </c>
      <c r="K2441" s="27">
        <v>3000000</v>
      </c>
    </row>
    <row r="2442" spans="1:11" ht="15" customHeight="1" x14ac:dyDescent="0.2">
      <c r="A2442" t="s">
        <v>11276</v>
      </c>
      <c r="B2442" t="s">
        <v>11277</v>
      </c>
      <c r="C2442">
        <v>2024</v>
      </c>
      <c r="D2442" s="18">
        <v>45562</v>
      </c>
      <c r="E2442" s="18">
        <v>45926</v>
      </c>
      <c r="F2442" s="18" t="s">
        <v>608</v>
      </c>
      <c r="G2442" t="s">
        <v>100</v>
      </c>
      <c r="H2442">
        <v>1</v>
      </c>
      <c r="I2442">
        <v>2</v>
      </c>
      <c r="J2442" s="27">
        <v>11769.39</v>
      </c>
      <c r="K2442" s="27">
        <v>1000000</v>
      </c>
    </row>
    <row r="2443" spans="1:11" ht="15" customHeight="1" x14ac:dyDescent="0.2">
      <c r="A2443" t="s">
        <v>11278</v>
      </c>
      <c r="B2443" t="s">
        <v>11279</v>
      </c>
      <c r="C2443">
        <v>2024</v>
      </c>
      <c r="D2443" s="18">
        <v>45562</v>
      </c>
      <c r="E2443" s="18">
        <v>45926</v>
      </c>
      <c r="F2443" s="18" t="s">
        <v>608</v>
      </c>
      <c r="G2443" t="s">
        <v>101</v>
      </c>
      <c r="H2443">
        <v>1</v>
      </c>
      <c r="I2443">
        <v>2</v>
      </c>
      <c r="J2443" s="27">
        <v>85645.15</v>
      </c>
      <c r="K2443" s="27">
        <v>5000000</v>
      </c>
    </row>
    <row r="2444" spans="1:11" ht="15" customHeight="1" x14ac:dyDescent="0.2">
      <c r="A2444" t="s">
        <v>11280</v>
      </c>
      <c r="B2444" t="s">
        <v>11281</v>
      </c>
      <c r="C2444">
        <v>2024</v>
      </c>
      <c r="D2444" s="18">
        <v>45562</v>
      </c>
      <c r="E2444" s="18">
        <v>45926</v>
      </c>
      <c r="F2444" s="18" t="s">
        <v>611</v>
      </c>
      <c r="G2444" t="s">
        <v>100</v>
      </c>
      <c r="H2444">
        <v>1</v>
      </c>
      <c r="I2444">
        <v>2</v>
      </c>
      <c r="J2444" s="27">
        <v>20308.919999999998</v>
      </c>
      <c r="K2444" s="27">
        <v>1500000</v>
      </c>
    </row>
    <row r="2445" spans="1:11" ht="15" customHeight="1" x14ac:dyDescent="0.2">
      <c r="A2445" t="s">
        <v>11282</v>
      </c>
      <c r="B2445" t="s">
        <v>11283</v>
      </c>
      <c r="C2445">
        <v>2024</v>
      </c>
      <c r="D2445" s="18">
        <v>45562</v>
      </c>
      <c r="E2445" s="18">
        <v>45926</v>
      </c>
      <c r="F2445" s="18" t="s">
        <v>611</v>
      </c>
      <c r="G2445" t="s">
        <v>101</v>
      </c>
      <c r="H2445">
        <v>1</v>
      </c>
      <c r="I2445">
        <v>2</v>
      </c>
      <c r="J2445" s="27">
        <v>41757.19</v>
      </c>
      <c r="K2445" s="27">
        <v>2500000</v>
      </c>
    </row>
    <row r="2446" spans="1:11" ht="15" customHeight="1" x14ac:dyDescent="0.2">
      <c r="A2446" t="s">
        <v>11284</v>
      </c>
      <c r="B2446" t="s">
        <v>11285</v>
      </c>
      <c r="C2446">
        <v>2024</v>
      </c>
      <c r="D2446" s="18">
        <v>45562</v>
      </c>
      <c r="E2446" s="18">
        <v>45926</v>
      </c>
      <c r="F2446" s="18" t="s">
        <v>611</v>
      </c>
      <c r="G2446" t="s">
        <v>100</v>
      </c>
      <c r="H2446">
        <v>2</v>
      </c>
      <c r="I2446">
        <v>2</v>
      </c>
      <c r="J2446" s="27">
        <v>36715.21</v>
      </c>
      <c r="K2446" s="27">
        <v>3000000</v>
      </c>
    </row>
    <row r="2447" spans="1:11" ht="15" customHeight="1" x14ac:dyDescent="0.2">
      <c r="A2447" t="s">
        <v>11286</v>
      </c>
      <c r="B2447" t="s">
        <v>11287</v>
      </c>
      <c r="C2447">
        <v>2024</v>
      </c>
      <c r="D2447" s="18">
        <v>45563</v>
      </c>
      <c r="E2447" s="18">
        <v>45927</v>
      </c>
      <c r="F2447" s="18" t="s">
        <v>611</v>
      </c>
      <c r="G2447" t="s">
        <v>99</v>
      </c>
      <c r="H2447">
        <v>3</v>
      </c>
      <c r="I2447">
        <v>3</v>
      </c>
      <c r="J2447" s="27">
        <v>23383.82</v>
      </c>
      <c r="K2447" s="27">
        <v>3000000</v>
      </c>
    </row>
    <row r="2448" spans="1:11" ht="15" customHeight="1" x14ac:dyDescent="0.2">
      <c r="A2448" t="s">
        <v>11288</v>
      </c>
      <c r="B2448" t="s">
        <v>11289</v>
      </c>
      <c r="C2448">
        <v>2024</v>
      </c>
      <c r="D2448" s="18">
        <v>45563</v>
      </c>
      <c r="E2448" s="18">
        <v>45927</v>
      </c>
      <c r="F2448" s="18" t="s">
        <v>611</v>
      </c>
      <c r="G2448" t="s">
        <v>101</v>
      </c>
      <c r="H2448">
        <v>2</v>
      </c>
      <c r="I2448">
        <v>4</v>
      </c>
      <c r="J2448" s="27">
        <v>58033.04</v>
      </c>
      <c r="K2448" s="27">
        <v>3500000</v>
      </c>
    </row>
    <row r="2449" spans="1:11" ht="15" customHeight="1" x14ac:dyDescent="0.2">
      <c r="A2449" t="s">
        <v>11290</v>
      </c>
      <c r="B2449" t="s">
        <v>11291</v>
      </c>
      <c r="C2449">
        <v>2024</v>
      </c>
      <c r="D2449" s="18">
        <v>45563</v>
      </c>
      <c r="E2449" s="18">
        <v>45927</v>
      </c>
      <c r="F2449" s="18" t="s">
        <v>611</v>
      </c>
      <c r="G2449" t="s">
        <v>100</v>
      </c>
      <c r="H2449">
        <v>2</v>
      </c>
      <c r="I2449">
        <v>4</v>
      </c>
      <c r="J2449" s="27">
        <v>35060.94</v>
      </c>
      <c r="K2449" s="27">
        <v>2500000</v>
      </c>
    </row>
    <row r="2450" spans="1:11" ht="15" customHeight="1" x14ac:dyDescent="0.2">
      <c r="A2450" t="s">
        <v>11292</v>
      </c>
      <c r="B2450" t="s">
        <v>11293</v>
      </c>
      <c r="C2450">
        <v>2024</v>
      </c>
      <c r="D2450" s="18">
        <v>45563</v>
      </c>
      <c r="E2450" s="18">
        <v>45927</v>
      </c>
      <c r="F2450" s="18" t="s">
        <v>611</v>
      </c>
      <c r="G2450" t="s">
        <v>100</v>
      </c>
      <c r="H2450">
        <v>2</v>
      </c>
      <c r="I2450">
        <v>2</v>
      </c>
      <c r="J2450" s="27">
        <v>13086.9</v>
      </c>
      <c r="K2450" s="27">
        <v>1000000</v>
      </c>
    </row>
    <row r="2451" spans="1:11" ht="15" customHeight="1" x14ac:dyDescent="0.2">
      <c r="A2451" t="s">
        <v>11294</v>
      </c>
      <c r="B2451" t="s">
        <v>11295</v>
      </c>
      <c r="C2451">
        <v>2024</v>
      </c>
      <c r="D2451" s="18">
        <v>45563</v>
      </c>
      <c r="E2451" s="18">
        <v>45927</v>
      </c>
      <c r="F2451" s="18" t="s">
        <v>611</v>
      </c>
      <c r="G2451" t="s">
        <v>101</v>
      </c>
      <c r="H2451">
        <v>2</v>
      </c>
      <c r="I2451">
        <v>2</v>
      </c>
      <c r="J2451" s="27">
        <v>33767.269999999997</v>
      </c>
      <c r="K2451" s="27">
        <v>2000000</v>
      </c>
    </row>
    <row r="2452" spans="1:11" ht="15" customHeight="1" x14ac:dyDescent="0.2">
      <c r="A2452" t="s">
        <v>11296</v>
      </c>
      <c r="B2452" t="s">
        <v>11297</v>
      </c>
      <c r="C2452">
        <v>2024</v>
      </c>
      <c r="D2452" s="18">
        <v>45563</v>
      </c>
      <c r="E2452" s="18">
        <v>45927</v>
      </c>
      <c r="F2452" s="18" t="s">
        <v>611</v>
      </c>
      <c r="G2452" t="s">
        <v>100</v>
      </c>
      <c r="H2452">
        <v>1</v>
      </c>
      <c r="I2452">
        <v>1</v>
      </c>
      <c r="J2452" s="27">
        <v>61015.57</v>
      </c>
      <c r="K2452" s="27">
        <v>4500000</v>
      </c>
    </row>
    <row r="2453" spans="1:11" ht="15" customHeight="1" x14ac:dyDescent="0.2">
      <c r="A2453" t="s">
        <v>11298</v>
      </c>
      <c r="B2453" t="s">
        <v>11299</v>
      </c>
      <c r="C2453">
        <v>2024</v>
      </c>
      <c r="D2453" s="18">
        <v>45564</v>
      </c>
      <c r="E2453" s="18">
        <v>45928</v>
      </c>
      <c r="F2453" s="18" t="s">
        <v>608</v>
      </c>
      <c r="G2453" t="s">
        <v>101</v>
      </c>
      <c r="H2453">
        <v>2</v>
      </c>
      <c r="I2453">
        <v>2</v>
      </c>
      <c r="J2453" s="27">
        <v>46344.75</v>
      </c>
      <c r="K2453" s="27">
        <v>2500000</v>
      </c>
    </row>
    <row r="2454" spans="1:11" ht="15" customHeight="1" x14ac:dyDescent="0.2">
      <c r="A2454" t="s">
        <v>11300</v>
      </c>
      <c r="B2454" t="s">
        <v>11301</v>
      </c>
      <c r="C2454">
        <v>2024</v>
      </c>
      <c r="D2454" s="18">
        <v>45564</v>
      </c>
      <c r="E2454" s="18">
        <v>45928</v>
      </c>
      <c r="F2454" s="18" t="s">
        <v>608</v>
      </c>
      <c r="G2454" t="s">
        <v>101</v>
      </c>
      <c r="H2454">
        <v>1</v>
      </c>
      <c r="I2454">
        <v>1</v>
      </c>
      <c r="J2454" s="27">
        <v>179011.69</v>
      </c>
      <c r="K2454" s="27">
        <v>10000000</v>
      </c>
    </row>
    <row r="2455" spans="1:11" ht="15" customHeight="1" x14ac:dyDescent="0.2">
      <c r="A2455" t="s">
        <v>11302</v>
      </c>
      <c r="B2455" t="s">
        <v>11303</v>
      </c>
      <c r="C2455">
        <v>2024</v>
      </c>
      <c r="D2455" s="18">
        <v>45564</v>
      </c>
      <c r="E2455" s="18">
        <v>45928</v>
      </c>
      <c r="F2455" s="18" t="s">
        <v>611</v>
      </c>
      <c r="G2455" t="s">
        <v>100</v>
      </c>
      <c r="H2455">
        <v>1</v>
      </c>
      <c r="I2455">
        <v>1</v>
      </c>
      <c r="J2455" s="27">
        <v>35344.32</v>
      </c>
      <c r="K2455" s="27">
        <v>2500000</v>
      </c>
    </row>
    <row r="2456" spans="1:11" ht="15" customHeight="1" x14ac:dyDescent="0.2">
      <c r="A2456" t="s">
        <v>11304</v>
      </c>
      <c r="B2456" t="s">
        <v>11305</v>
      </c>
      <c r="C2456">
        <v>2024</v>
      </c>
      <c r="D2456" s="18">
        <v>45564</v>
      </c>
      <c r="E2456" s="18">
        <v>45928</v>
      </c>
      <c r="F2456" s="18" t="s">
        <v>611</v>
      </c>
      <c r="G2456" t="s">
        <v>99</v>
      </c>
      <c r="H2456">
        <v>2</v>
      </c>
      <c r="I2456">
        <v>4</v>
      </c>
      <c r="J2456" s="27">
        <v>39145.980000000003</v>
      </c>
      <c r="K2456" s="27">
        <v>5000000</v>
      </c>
    </row>
    <row r="2457" spans="1:11" ht="15" customHeight="1" x14ac:dyDescent="0.2">
      <c r="A2457" t="s">
        <v>11306</v>
      </c>
      <c r="B2457" t="s">
        <v>11307</v>
      </c>
      <c r="C2457">
        <v>2024</v>
      </c>
      <c r="D2457" s="18">
        <v>45564</v>
      </c>
      <c r="E2457" s="18">
        <v>45928</v>
      </c>
      <c r="F2457" s="18" t="s">
        <v>611</v>
      </c>
      <c r="G2457" t="s">
        <v>100</v>
      </c>
      <c r="H2457">
        <v>1</v>
      </c>
      <c r="I2457">
        <v>1</v>
      </c>
      <c r="J2457" s="27">
        <v>27338.61</v>
      </c>
      <c r="K2457" s="27">
        <v>2000000</v>
      </c>
    </row>
    <row r="2458" spans="1:11" ht="15" customHeight="1" x14ac:dyDescent="0.2">
      <c r="A2458" t="s">
        <v>11308</v>
      </c>
      <c r="B2458" t="s">
        <v>11309</v>
      </c>
      <c r="C2458">
        <v>2024</v>
      </c>
      <c r="D2458" s="18">
        <v>45564</v>
      </c>
      <c r="E2458" s="18">
        <v>45928</v>
      </c>
      <c r="F2458" s="18" t="s">
        <v>611</v>
      </c>
      <c r="G2458" t="s">
        <v>101</v>
      </c>
      <c r="H2458">
        <v>3</v>
      </c>
      <c r="I2458">
        <v>6</v>
      </c>
      <c r="J2458" s="27">
        <v>92815.22</v>
      </c>
      <c r="K2458" s="27">
        <v>5000000</v>
      </c>
    </row>
    <row r="2459" spans="1:11" ht="15" customHeight="1" x14ac:dyDescent="0.2">
      <c r="A2459" t="s">
        <v>11310</v>
      </c>
      <c r="B2459" t="s">
        <v>11311</v>
      </c>
      <c r="C2459">
        <v>2024</v>
      </c>
      <c r="D2459" s="18">
        <v>45564</v>
      </c>
      <c r="E2459" s="18">
        <v>45928</v>
      </c>
      <c r="F2459" s="18" t="s">
        <v>611</v>
      </c>
      <c r="G2459" t="s">
        <v>102</v>
      </c>
      <c r="H2459">
        <v>3</v>
      </c>
      <c r="I2459">
        <v>3</v>
      </c>
      <c r="J2459" s="27">
        <v>31041.84</v>
      </c>
      <c r="K2459" s="27">
        <v>4000000</v>
      </c>
    </row>
    <row r="2460" spans="1:11" ht="15" customHeight="1" x14ac:dyDescent="0.2">
      <c r="A2460" t="s">
        <v>11312</v>
      </c>
      <c r="B2460" t="s">
        <v>11313</v>
      </c>
      <c r="C2460">
        <v>2024</v>
      </c>
      <c r="D2460" s="18">
        <v>45564</v>
      </c>
      <c r="E2460" s="18">
        <v>45928</v>
      </c>
      <c r="F2460" s="18" t="s">
        <v>611</v>
      </c>
      <c r="G2460" t="s">
        <v>101</v>
      </c>
      <c r="H2460">
        <v>3</v>
      </c>
      <c r="I2460">
        <v>3</v>
      </c>
      <c r="J2460" s="27">
        <v>8650.8799999999992</v>
      </c>
      <c r="K2460" s="27">
        <v>500000</v>
      </c>
    </row>
    <row r="2461" spans="1:11" ht="15" customHeight="1" x14ac:dyDescent="0.2">
      <c r="A2461" t="s">
        <v>11314</v>
      </c>
      <c r="B2461" t="s">
        <v>11315</v>
      </c>
      <c r="C2461">
        <v>2024</v>
      </c>
      <c r="D2461" s="18">
        <v>45564</v>
      </c>
      <c r="E2461" s="18">
        <v>45928</v>
      </c>
      <c r="F2461" s="18" t="s">
        <v>611</v>
      </c>
      <c r="G2461" t="s">
        <v>101</v>
      </c>
      <c r="H2461">
        <v>1</v>
      </c>
      <c r="I2461">
        <v>1</v>
      </c>
      <c r="J2461" s="27">
        <v>34639.699999999997</v>
      </c>
      <c r="K2461" s="27">
        <v>2000000</v>
      </c>
    </row>
    <row r="2462" spans="1:11" ht="15" customHeight="1" x14ac:dyDescent="0.2">
      <c r="A2462" t="s">
        <v>11316</v>
      </c>
      <c r="B2462" t="s">
        <v>11317</v>
      </c>
      <c r="C2462">
        <v>2024</v>
      </c>
      <c r="D2462" s="18">
        <v>45564</v>
      </c>
      <c r="E2462" s="18">
        <v>45928</v>
      </c>
      <c r="F2462" s="18" t="s">
        <v>611</v>
      </c>
      <c r="G2462" t="s">
        <v>101</v>
      </c>
      <c r="H2462">
        <v>2</v>
      </c>
      <c r="I2462">
        <v>2</v>
      </c>
      <c r="J2462" s="27">
        <v>35686.46</v>
      </c>
      <c r="K2462" s="27">
        <v>2000000</v>
      </c>
    </row>
    <row r="2463" spans="1:11" ht="15" customHeight="1" x14ac:dyDescent="0.2">
      <c r="A2463" t="s">
        <v>11318</v>
      </c>
      <c r="B2463" t="s">
        <v>11319</v>
      </c>
      <c r="C2463">
        <v>2024</v>
      </c>
      <c r="D2463" s="18">
        <v>45564</v>
      </c>
      <c r="E2463" s="18">
        <v>45928</v>
      </c>
      <c r="F2463" s="18" t="s">
        <v>611</v>
      </c>
      <c r="G2463" t="s">
        <v>102</v>
      </c>
      <c r="H2463">
        <v>3</v>
      </c>
      <c r="I2463">
        <v>3</v>
      </c>
      <c r="J2463" s="27">
        <v>34568.04</v>
      </c>
      <c r="K2463" s="27">
        <v>4000000</v>
      </c>
    </row>
    <row r="2464" spans="1:11" ht="15" customHeight="1" x14ac:dyDescent="0.2">
      <c r="A2464" t="s">
        <v>11320</v>
      </c>
      <c r="B2464" t="s">
        <v>11321</v>
      </c>
      <c r="C2464">
        <v>2024</v>
      </c>
      <c r="D2464" s="18">
        <v>45565</v>
      </c>
      <c r="E2464" s="18">
        <v>45929</v>
      </c>
      <c r="F2464" s="18" t="s">
        <v>608</v>
      </c>
      <c r="G2464" t="s">
        <v>99</v>
      </c>
      <c r="H2464">
        <v>1</v>
      </c>
      <c r="I2464">
        <v>1</v>
      </c>
      <c r="J2464" s="27">
        <v>25639.69</v>
      </c>
      <c r="K2464" s="27">
        <v>3000000</v>
      </c>
    </row>
    <row r="2465" spans="1:11" ht="15" customHeight="1" x14ac:dyDescent="0.2">
      <c r="A2465" t="s">
        <v>11322</v>
      </c>
      <c r="B2465" t="s">
        <v>11323</v>
      </c>
      <c r="C2465">
        <v>2024</v>
      </c>
      <c r="D2465" s="18">
        <v>45565</v>
      </c>
      <c r="E2465" s="18">
        <v>45929</v>
      </c>
      <c r="F2465" s="18" t="s">
        <v>611</v>
      </c>
      <c r="G2465" t="s">
        <v>100</v>
      </c>
      <c r="H2465">
        <v>1</v>
      </c>
      <c r="I2465">
        <v>1</v>
      </c>
      <c r="J2465" s="27">
        <v>52782.22</v>
      </c>
      <c r="K2465" s="27">
        <v>4500000</v>
      </c>
    </row>
    <row r="2466" spans="1:11" ht="15" customHeight="1" x14ac:dyDescent="0.2">
      <c r="A2466" t="s">
        <v>11324</v>
      </c>
      <c r="B2466" t="s">
        <v>11325</v>
      </c>
      <c r="C2466">
        <v>2024</v>
      </c>
      <c r="D2466" s="18">
        <v>45565</v>
      </c>
      <c r="E2466" s="18">
        <v>45929</v>
      </c>
      <c r="F2466" s="18" t="s">
        <v>611</v>
      </c>
      <c r="G2466" t="s">
        <v>101</v>
      </c>
      <c r="H2466">
        <v>2</v>
      </c>
      <c r="I2466">
        <v>4</v>
      </c>
      <c r="J2466" s="27">
        <v>51267.4</v>
      </c>
      <c r="K2466" s="27">
        <v>3000000</v>
      </c>
    </row>
    <row r="2467" spans="1:11" ht="15" customHeight="1" x14ac:dyDescent="0.2">
      <c r="A2467" t="s">
        <v>11326</v>
      </c>
      <c r="B2467" t="s">
        <v>11327</v>
      </c>
      <c r="C2467">
        <v>2024</v>
      </c>
      <c r="D2467" s="18">
        <v>45565</v>
      </c>
      <c r="E2467" s="18">
        <v>45929</v>
      </c>
      <c r="F2467" s="18" t="s">
        <v>611</v>
      </c>
      <c r="G2467" t="s">
        <v>100</v>
      </c>
      <c r="H2467">
        <v>1</v>
      </c>
      <c r="I2467">
        <v>1</v>
      </c>
      <c r="J2467" s="27">
        <v>37144.400000000001</v>
      </c>
      <c r="K2467" s="27">
        <v>3000000</v>
      </c>
    </row>
    <row r="2468" spans="1:11" ht="15" customHeight="1" x14ac:dyDescent="0.2">
      <c r="A2468" t="s">
        <v>11328</v>
      </c>
      <c r="B2468" t="s">
        <v>11329</v>
      </c>
      <c r="C2468">
        <v>2024</v>
      </c>
      <c r="D2468" s="18">
        <v>45565</v>
      </c>
      <c r="E2468" s="18">
        <v>45929</v>
      </c>
      <c r="F2468" s="18" t="s">
        <v>611</v>
      </c>
      <c r="G2468" t="s">
        <v>100</v>
      </c>
      <c r="H2468">
        <v>1</v>
      </c>
      <c r="I2468">
        <v>2</v>
      </c>
      <c r="J2468" s="27">
        <v>43008.21</v>
      </c>
      <c r="K2468" s="27">
        <v>3500000</v>
      </c>
    </row>
    <row r="2469" spans="1:11" ht="15" customHeight="1" x14ac:dyDescent="0.2">
      <c r="A2469" t="s">
        <v>11330</v>
      </c>
      <c r="B2469" t="s">
        <v>11331</v>
      </c>
      <c r="C2469">
        <v>2024</v>
      </c>
      <c r="D2469" s="18">
        <v>45565</v>
      </c>
      <c r="E2469" s="18">
        <v>45929</v>
      </c>
      <c r="F2469" s="18" t="s">
        <v>611</v>
      </c>
      <c r="G2469" t="s">
        <v>101</v>
      </c>
      <c r="H2469">
        <v>1</v>
      </c>
      <c r="I2469">
        <v>2</v>
      </c>
      <c r="J2469" s="27">
        <v>92642.18</v>
      </c>
      <c r="K2469" s="27">
        <v>5000000</v>
      </c>
    </row>
    <row r="2470" spans="1:11" ht="15" customHeight="1" x14ac:dyDescent="0.2">
      <c r="A2470" t="s">
        <v>11332</v>
      </c>
      <c r="B2470" t="s">
        <v>11333</v>
      </c>
      <c r="C2470">
        <v>2024</v>
      </c>
      <c r="D2470" s="18">
        <v>45565</v>
      </c>
      <c r="E2470" s="18">
        <v>45929</v>
      </c>
      <c r="F2470" s="18" t="s">
        <v>611</v>
      </c>
      <c r="G2470" t="s">
        <v>102</v>
      </c>
      <c r="H2470">
        <v>3</v>
      </c>
      <c r="I2470">
        <v>3</v>
      </c>
      <c r="J2470" s="27">
        <v>40015.58</v>
      </c>
      <c r="K2470" s="27">
        <v>5000000</v>
      </c>
    </row>
    <row r="2471" spans="1:11" ht="15" customHeight="1" x14ac:dyDescent="0.2">
      <c r="A2471" t="s">
        <v>11334</v>
      </c>
      <c r="B2471" t="s">
        <v>11335</v>
      </c>
      <c r="C2471">
        <v>2024</v>
      </c>
      <c r="D2471" s="18">
        <v>45565</v>
      </c>
      <c r="E2471" s="18">
        <v>45929</v>
      </c>
      <c r="F2471" s="18" t="s">
        <v>611</v>
      </c>
      <c r="G2471" t="s">
        <v>101</v>
      </c>
      <c r="H2471">
        <v>3</v>
      </c>
      <c r="I2471">
        <v>3</v>
      </c>
      <c r="J2471" s="27">
        <v>53230.879999999997</v>
      </c>
      <c r="K2471" s="27">
        <v>3000000</v>
      </c>
    </row>
    <row r="2472" spans="1:11" ht="15" customHeight="1" x14ac:dyDescent="0.2">
      <c r="A2472" t="s">
        <v>11336</v>
      </c>
      <c r="B2472" t="s">
        <v>11337</v>
      </c>
      <c r="C2472">
        <v>2024</v>
      </c>
      <c r="D2472" s="18">
        <v>45565</v>
      </c>
      <c r="E2472" s="18">
        <v>45929</v>
      </c>
      <c r="F2472" s="18" t="s">
        <v>611</v>
      </c>
      <c r="G2472" t="s">
        <v>100</v>
      </c>
      <c r="H2472">
        <v>1</v>
      </c>
      <c r="I2472">
        <v>1</v>
      </c>
      <c r="J2472" s="27">
        <v>12251.98</v>
      </c>
      <c r="K2472" s="27">
        <v>1000000</v>
      </c>
    </row>
    <row r="2473" spans="1:11" ht="15" customHeight="1" x14ac:dyDescent="0.2">
      <c r="A2473" t="s">
        <v>11338</v>
      </c>
      <c r="B2473" t="s">
        <v>11339</v>
      </c>
      <c r="C2473">
        <v>2024</v>
      </c>
      <c r="D2473" s="18">
        <v>45565</v>
      </c>
      <c r="E2473" s="18">
        <v>45929</v>
      </c>
      <c r="F2473" s="18" t="s">
        <v>611</v>
      </c>
      <c r="G2473" t="s">
        <v>102</v>
      </c>
      <c r="H2473">
        <v>3</v>
      </c>
      <c r="I2473">
        <v>3</v>
      </c>
      <c r="J2473" s="27">
        <v>23506.98</v>
      </c>
      <c r="K2473" s="27">
        <v>2500000</v>
      </c>
    </row>
    <row r="2474" spans="1:11" ht="15" customHeight="1" x14ac:dyDescent="0.2">
      <c r="A2474" t="s">
        <v>11340</v>
      </c>
      <c r="B2474" t="s">
        <v>11341</v>
      </c>
      <c r="C2474">
        <v>2024</v>
      </c>
      <c r="D2474" s="18">
        <v>45565</v>
      </c>
      <c r="E2474" s="18">
        <v>45929</v>
      </c>
      <c r="F2474" s="18" t="s">
        <v>611</v>
      </c>
      <c r="G2474" t="s">
        <v>99</v>
      </c>
      <c r="H2474">
        <v>2</v>
      </c>
      <c r="I2474">
        <v>4</v>
      </c>
      <c r="J2474" s="27">
        <v>81759.67</v>
      </c>
      <c r="K2474" s="27">
        <v>10000000</v>
      </c>
    </row>
    <row r="2475" spans="1:11" ht="15" customHeight="1" x14ac:dyDescent="0.2">
      <c r="D2475" s="18"/>
      <c r="E2475" s="18"/>
      <c r="F2475" s="18"/>
      <c r="J2475" s="27"/>
      <c r="K2475" s="27"/>
    </row>
    <row r="2476" spans="1:11" ht="15" customHeight="1" x14ac:dyDescent="0.2">
      <c r="D2476" s="18"/>
      <c r="E2476" s="18"/>
      <c r="F2476" s="18"/>
      <c r="J2476" s="27"/>
      <c r="K2476" s="27"/>
    </row>
    <row r="2477" spans="1:11" ht="15" customHeight="1" x14ac:dyDescent="0.2">
      <c r="D2477" s="18"/>
      <c r="E2477" s="18"/>
      <c r="F2477" s="18"/>
      <c r="J2477" s="27"/>
      <c r="K2477" s="27"/>
    </row>
    <row r="2478" spans="1:11" ht="15" customHeight="1" x14ac:dyDescent="0.2">
      <c r="D2478" s="18"/>
      <c r="E2478" s="18"/>
      <c r="F2478" s="18"/>
      <c r="J2478" s="27"/>
      <c r="K2478" s="27"/>
    </row>
    <row r="2479" spans="1:11" ht="15" customHeight="1" x14ac:dyDescent="0.2">
      <c r="D2479" s="18"/>
      <c r="E2479" s="18"/>
      <c r="F2479" s="18"/>
      <c r="J2479" s="27"/>
      <c r="K2479" s="27"/>
    </row>
    <row r="2480" spans="1:11" ht="15" customHeight="1" x14ac:dyDescent="0.2">
      <c r="D2480" s="18"/>
      <c r="E2480" s="18"/>
      <c r="F2480" s="18"/>
      <c r="J2480" s="27"/>
      <c r="K2480" s="27"/>
    </row>
    <row r="2481" spans="4:11" ht="15" customHeight="1" x14ac:dyDescent="0.2">
      <c r="D2481" s="18"/>
      <c r="E2481" s="18"/>
      <c r="F2481" s="18"/>
      <c r="J2481" s="27"/>
      <c r="K2481" s="27"/>
    </row>
    <row r="2482" spans="4:11" ht="15" customHeight="1" x14ac:dyDescent="0.2">
      <c r="D2482" s="18"/>
      <c r="E2482" s="18"/>
      <c r="F2482" s="18"/>
      <c r="J2482" s="27"/>
      <c r="K2482" s="27"/>
    </row>
    <row r="2483" spans="4:11" ht="15" customHeight="1" x14ac:dyDescent="0.2">
      <c r="D2483" s="18"/>
      <c r="E2483" s="18"/>
      <c r="F2483" s="18"/>
      <c r="J2483" s="27"/>
      <c r="K2483" s="27"/>
    </row>
    <row r="2484" spans="4:11" ht="15" customHeight="1" x14ac:dyDescent="0.2">
      <c r="D2484" s="18"/>
      <c r="E2484" s="18"/>
      <c r="F2484" s="18"/>
      <c r="J2484" s="27"/>
      <c r="K2484" s="27"/>
    </row>
    <row r="2485" spans="4:11" ht="15" customHeight="1" x14ac:dyDescent="0.2">
      <c r="D2485" s="18"/>
      <c r="E2485" s="18"/>
      <c r="F2485" s="18"/>
      <c r="J2485" s="27"/>
      <c r="K2485" s="27"/>
    </row>
    <row r="2486" spans="4:11" ht="15" customHeight="1" x14ac:dyDescent="0.2">
      <c r="D2486" s="18"/>
      <c r="E2486" s="18"/>
      <c r="F2486" s="18"/>
      <c r="J2486" s="27"/>
      <c r="K2486" s="27"/>
    </row>
    <row r="2487" spans="4:11" ht="15" customHeight="1" x14ac:dyDescent="0.2">
      <c r="D2487" s="18"/>
      <c r="E2487" s="18"/>
      <c r="F2487" s="18"/>
      <c r="J2487" s="27"/>
      <c r="K2487" s="27"/>
    </row>
    <row r="2488" spans="4:11" ht="15" customHeight="1" x14ac:dyDescent="0.2">
      <c r="D2488" s="18"/>
      <c r="E2488" s="18"/>
      <c r="F2488" s="18"/>
      <c r="J2488" s="27"/>
      <c r="K2488" s="27"/>
    </row>
    <row r="2489" spans="4:11" ht="15" customHeight="1" x14ac:dyDescent="0.2">
      <c r="D2489" s="18"/>
      <c r="E2489" s="18"/>
      <c r="F2489" s="18"/>
      <c r="J2489" s="27"/>
      <c r="K2489" s="27"/>
    </row>
    <row r="2490" spans="4:11" ht="15" customHeight="1" x14ac:dyDescent="0.2">
      <c r="D2490" s="18"/>
      <c r="E2490" s="18"/>
      <c r="F2490" s="18"/>
      <c r="J2490" s="27"/>
      <c r="K2490" s="27"/>
    </row>
    <row r="2491" spans="4:11" ht="15" customHeight="1" x14ac:dyDescent="0.2">
      <c r="D2491" s="18"/>
      <c r="E2491" s="18"/>
      <c r="F2491" s="18"/>
      <c r="J2491" s="27"/>
      <c r="K2491" s="27"/>
    </row>
    <row r="2492" spans="4:11" ht="15" customHeight="1" x14ac:dyDescent="0.2">
      <c r="D2492" s="18"/>
      <c r="E2492" s="18"/>
      <c r="F2492" s="18"/>
      <c r="J2492" s="27"/>
      <c r="K2492" s="27"/>
    </row>
    <row r="2493" spans="4:11" ht="15" customHeight="1" x14ac:dyDescent="0.2">
      <c r="D2493" s="18"/>
      <c r="E2493" s="18"/>
      <c r="F2493" s="18"/>
      <c r="J2493" s="27"/>
      <c r="K2493" s="27"/>
    </row>
    <row r="2494" spans="4:11" ht="15" customHeight="1" x14ac:dyDescent="0.2">
      <c r="D2494" s="18"/>
      <c r="E2494" s="18"/>
      <c r="F2494" s="18"/>
      <c r="J2494" s="27"/>
      <c r="K2494" s="27"/>
    </row>
    <row r="2495" spans="4:11" ht="15" customHeight="1" x14ac:dyDescent="0.2">
      <c r="D2495" s="18"/>
      <c r="E2495" s="18"/>
      <c r="F2495" s="18"/>
      <c r="J2495" s="27"/>
      <c r="K2495" s="27"/>
    </row>
    <row r="2496" spans="4:11" ht="15" customHeight="1" x14ac:dyDescent="0.2">
      <c r="D2496" s="18"/>
      <c r="E2496" s="18"/>
      <c r="F2496" s="18"/>
      <c r="J2496" s="27"/>
      <c r="K2496" s="27"/>
    </row>
    <row r="2497" spans="4:11" ht="15" customHeight="1" x14ac:dyDescent="0.2">
      <c r="D2497" s="18"/>
      <c r="E2497" s="18"/>
      <c r="F2497" s="18"/>
      <c r="J2497" s="27"/>
      <c r="K2497" s="27"/>
    </row>
    <row r="2498" spans="4:11" ht="15" customHeight="1" x14ac:dyDescent="0.2">
      <c r="D2498" s="18"/>
      <c r="E2498" s="18"/>
      <c r="F2498" s="18"/>
      <c r="J2498" s="27"/>
      <c r="K2498" s="27"/>
    </row>
    <row r="2499" spans="4:11" ht="15" customHeight="1" x14ac:dyDescent="0.2">
      <c r="D2499" s="18"/>
      <c r="E2499" s="18"/>
      <c r="F2499" s="18"/>
      <c r="J2499" s="27"/>
      <c r="K2499" s="27"/>
    </row>
    <row r="2500" spans="4:11" ht="15" customHeight="1" x14ac:dyDescent="0.2">
      <c r="D2500" s="18"/>
      <c r="E2500" s="18"/>
      <c r="F2500" s="18"/>
      <c r="J2500" s="27"/>
      <c r="K2500" s="27"/>
    </row>
    <row r="2501" spans="4:11" ht="15" customHeight="1" x14ac:dyDescent="0.2">
      <c r="D2501" s="18"/>
      <c r="E2501" s="18"/>
      <c r="F2501" s="18"/>
      <c r="J2501" s="27"/>
      <c r="K2501" s="27"/>
    </row>
    <row r="2502" spans="4:11" ht="15" customHeight="1" x14ac:dyDescent="0.2">
      <c r="D2502" s="18"/>
      <c r="E2502" s="18"/>
      <c r="F2502" s="18"/>
      <c r="J2502" s="27"/>
      <c r="K2502" s="27"/>
    </row>
    <row r="2503" spans="4:11" ht="15" customHeight="1" x14ac:dyDescent="0.2">
      <c r="D2503" s="18"/>
      <c r="E2503" s="18"/>
      <c r="F2503" s="18"/>
      <c r="J2503" s="27"/>
      <c r="K2503" s="27"/>
    </row>
    <row r="2504" spans="4:11" ht="15" customHeight="1" x14ac:dyDescent="0.2">
      <c r="D2504" s="18"/>
      <c r="E2504" s="18"/>
      <c r="F2504" s="18"/>
      <c r="J2504" s="27"/>
      <c r="K2504" s="27"/>
    </row>
    <row r="2505" spans="4:11" ht="15" customHeight="1" x14ac:dyDescent="0.2">
      <c r="D2505" s="18"/>
      <c r="E2505" s="18"/>
      <c r="F2505" s="18"/>
      <c r="J2505" s="27"/>
      <c r="K2505" s="27"/>
    </row>
    <row r="2506" spans="4:11" ht="15" customHeight="1" x14ac:dyDescent="0.2">
      <c r="D2506" s="18"/>
      <c r="E2506" s="18"/>
      <c r="F2506" s="18"/>
      <c r="J2506" s="27"/>
      <c r="K2506" s="27"/>
    </row>
    <row r="2507" spans="4:11" ht="15" customHeight="1" x14ac:dyDescent="0.2">
      <c r="D2507" s="18"/>
      <c r="E2507" s="18"/>
      <c r="F2507" s="18"/>
      <c r="J2507" s="27"/>
      <c r="K2507" s="27"/>
    </row>
    <row r="2508" spans="4:11" ht="15" customHeight="1" x14ac:dyDescent="0.2">
      <c r="D2508" s="18"/>
      <c r="E2508" s="18"/>
      <c r="F2508" s="18"/>
      <c r="J2508" s="27"/>
      <c r="K2508" s="27"/>
    </row>
    <row r="2509" spans="4:11" ht="15" customHeight="1" x14ac:dyDescent="0.2">
      <c r="D2509" s="18"/>
      <c r="E2509" s="18"/>
      <c r="F2509" s="18"/>
      <c r="J2509" s="27"/>
      <c r="K2509" s="27"/>
    </row>
    <row r="2510" spans="4:11" ht="15" customHeight="1" x14ac:dyDescent="0.2">
      <c r="D2510" s="18"/>
      <c r="E2510" s="18"/>
      <c r="F2510" s="18"/>
      <c r="J2510" s="27"/>
      <c r="K2510" s="27"/>
    </row>
    <row r="2511" spans="4:11" ht="15" customHeight="1" x14ac:dyDescent="0.2">
      <c r="D2511" s="18"/>
      <c r="E2511" s="18"/>
      <c r="F2511" s="18"/>
      <c r="J2511" s="27"/>
      <c r="K2511" s="27"/>
    </row>
    <row r="2512" spans="4:11" ht="15" customHeight="1" x14ac:dyDescent="0.2">
      <c r="D2512" s="18"/>
      <c r="E2512" s="18"/>
      <c r="F2512" s="18"/>
      <c r="J2512" s="27"/>
      <c r="K2512" s="27"/>
    </row>
    <row r="2513" spans="4:11" ht="15" customHeight="1" x14ac:dyDescent="0.2">
      <c r="D2513" s="18"/>
      <c r="E2513" s="18"/>
      <c r="F2513" s="18"/>
      <c r="J2513" s="27"/>
      <c r="K2513" s="27"/>
    </row>
    <row r="2514" spans="4:11" ht="15" customHeight="1" x14ac:dyDescent="0.2">
      <c r="D2514" s="18"/>
      <c r="E2514" s="18"/>
      <c r="F2514" s="18"/>
      <c r="J2514" s="27"/>
      <c r="K2514" s="27"/>
    </row>
    <row r="2515" spans="4:11" ht="15" customHeight="1" x14ac:dyDescent="0.2">
      <c r="D2515" s="18"/>
      <c r="E2515" s="18"/>
      <c r="F2515" s="18"/>
      <c r="J2515" s="27"/>
      <c r="K2515" s="27"/>
    </row>
    <row r="2516" spans="4:11" ht="15" customHeight="1" x14ac:dyDescent="0.2">
      <c r="D2516" s="18"/>
      <c r="E2516" s="18"/>
      <c r="F2516" s="18"/>
      <c r="J2516" s="27"/>
      <c r="K2516" s="27"/>
    </row>
    <row r="2517" spans="4:11" ht="15" customHeight="1" x14ac:dyDescent="0.2">
      <c r="D2517" s="18"/>
      <c r="E2517" s="18"/>
      <c r="F2517" s="18"/>
      <c r="J2517" s="27"/>
      <c r="K2517" s="27"/>
    </row>
    <row r="2518" spans="4:11" ht="15" customHeight="1" x14ac:dyDescent="0.2">
      <c r="D2518" s="18"/>
      <c r="E2518" s="18"/>
      <c r="F2518" s="18"/>
      <c r="J2518" s="27"/>
      <c r="K2518" s="27"/>
    </row>
    <row r="2519" spans="4:11" ht="15" customHeight="1" x14ac:dyDescent="0.2">
      <c r="D2519" s="18"/>
      <c r="E2519" s="18"/>
      <c r="F2519" s="18"/>
      <c r="J2519" s="27"/>
      <c r="K2519" s="27"/>
    </row>
    <row r="2520" spans="4:11" ht="15" customHeight="1" x14ac:dyDescent="0.2">
      <c r="D2520" s="18"/>
      <c r="E2520" s="18"/>
      <c r="F2520" s="18"/>
      <c r="J2520" s="27"/>
      <c r="K2520" s="27"/>
    </row>
    <row r="2521" spans="4:11" ht="15" customHeight="1" x14ac:dyDescent="0.2">
      <c r="D2521" s="18"/>
      <c r="E2521" s="18"/>
      <c r="F2521" s="18"/>
      <c r="J2521" s="27"/>
      <c r="K2521" s="27"/>
    </row>
    <row r="2522" spans="4:11" ht="15" customHeight="1" x14ac:dyDescent="0.2">
      <c r="D2522" s="18"/>
      <c r="E2522" s="18"/>
      <c r="F2522" s="18"/>
      <c r="J2522" s="27"/>
      <c r="K2522" s="27"/>
    </row>
    <row r="2523" spans="4:11" ht="15" customHeight="1" x14ac:dyDescent="0.2">
      <c r="D2523" s="18"/>
      <c r="E2523" s="18"/>
      <c r="F2523" s="18"/>
      <c r="J2523" s="27"/>
      <c r="K2523" s="27"/>
    </row>
    <row r="2524" spans="4:11" ht="15" customHeight="1" x14ac:dyDescent="0.2">
      <c r="D2524" s="18"/>
      <c r="E2524" s="18"/>
      <c r="F2524" s="18"/>
      <c r="J2524" s="27"/>
      <c r="K2524" s="27"/>
    </row>
    <row r="2525" spans="4:11" ht="15" customHeight="1" x14ac:dyDescent="0.2">
      <c r="D2525" s="18"/>
      <c r="E2525" s="18"/>
      <c r="F2525" s="18"/>
      <c r="J2525" s="27"/>
      <c r="K2525" s="27"/>
    </row>
    <row r="2526" spans="4:11" ht="15" customHeight="1" x14ac:dyDescent="0.2">
      <c r="D2526" s="18"/>
      <c r="E2526" s="18"/>
      <c r="F2526" s="18"/>
      <c r="J2526" s="27"/>
      <c r="K2526" s="27"/>
    </row>
    <row r="2527" spans="4:11" ht="15" customHeight="1" x14ac:dyDescent="0.2">
      <c r="D2527" s="18"/>
      <c r="E2527" s="18"/>
      <c r="F2527" s="18"/>
      <c r="J2527" s="27"/>
      <c r="K2527" s="27"/>
    </row>
    <row r="2528" spans="4:11" ht="15" customHeight="1" x14ac:dyDescent="0.2">
      <c r="D2528" s="18"/>
      <c r="E2528" s="18"/>
      <c r="F2528" s="18"/>
      <c r="J2528" s="27"/>
      <c r="K2528" s="27"/>
    </row>
    <row r="2529" spans="4:11" ht="15" customHeight="1" x14ac:dyDescent="0.2">
      <c r="D2529" s="18"/>
      <c r="E2529" s="18"/>
      <c r="F2529" s="18"/>
      <c r="J2529" s="27"/>
      <c r="K2529" s="27"/>
    </row>
    <row r="2530" spans="4:11" ht="15" customHeight="1" x14ac:dyDescent="0.2">
      <c r="D2530" s="18"/>
      <c r="E2530" s="18"/>
      <c r="F2530" s="18"/>
      <c r="J2530" s="27"/>
      <c r="K2530" s="27"/>
    </row>
    <row r="2531" spans="4:11" ht="15" customHeight="1" x14ac:dyDescent="0.2">
      <c r="D2531" s="18"/>
      <c r="E2531" s="18"/>
      <c r="F2531" s="18"/>
      <c r="J2531" s="27"/>
      <c r="K2531" s="27"/>
    </row>
    <row r="2532" spans="4:11" ht="15" customHeight="1" x14ac:dyDescent="0.2">
      <c r="D2532" s="18"/>
      <c r="E2532" s="18"/>
      <c r="F2532" s="18"/>
      <c r="J2532" s="27"/>
      <c r="K2532" s="27"/>
    </row>
    <row r="2533" spans="4:11" ht="15" customHeight="1" x14ac:dyDescent="0.2">
      <c r="D2533" s="18"/>
      <c r="E2533" s="18"/>
      <c r="F2533" s="18"/>
      <c r="J2533" s="27"/>
      <c r="K2533" s="27"/>
    </row>
    <row r="2534" spans="4:11" ht="15" customHeight="1" x14ac:dyDescent="0.2">
      <c r="D2534" s="18"/>
      <c r="E2534" s="18"/>
      <c r="F2534" s="18"/>
      <c r="J2534" s="27"/>
      <c r="K2534" s="27"/>
    </row>
    <row r="2535" spans="4:11" ht="15" customHeight="1" x14ac:dyDescent="0.2">
      <c r="D2535" s="18"/>
      <c r="E2535" s="18"/>
      <c r="F2535" s="18"/>
      <c r="J2535" s="27"/>
      <c r="K2535" s="27"/>
    </row>
    <row r="2536" spans="4:11" ht="15" customHeight="1" x14ac:dyDescent="0.2">
      <c r="D2536" s="18"/>
      <c r="E2536" s="18"/>
      <c r="F2536" s="18"/>
      <c r="J2536" s="27"/>
      <c r="K2536" s="27"/>
    </row>
    <row r="2537" spans="4:11" ht="15" customHeight="1" x14ac:dyDescent="0.2">
      <c r="D2537" s="18"/>
      <c r="E2537" s="18"/>
      <c r="F2537" s="18"/>
      <c r="J2537" s="27"/>
      <c r="K2537" s="27"/>
    </row>
    <row r="2538" spans="4:11" ht="15" customHeight="1" x14ac:dyDescent="0.2">
      <c r="D2538" s="18"/>
      <c r="E2538" s="18"/>
      <c r="F2538" s="18"/>
      <c r="J2538" s="27"/>
      <c r="K2538" s="27"/>
    </row>
    <row r="2539" spans="4:11" ht="15" customHeight="1" x14ac:dyDescent="0.2">
      <c r="D2539" s="18"/>
      <c r="E2539" s="18"/>
      <c r="F2539" s="18"/>
      <c r="J2539" s="27"/>
      <c r="K2539" s="27"/>
    </row>
    <row r="2540" spans="4:11" ht="15" customHeight="1" x14ac:dyDescent="0.2">
      <c r="D2540" s="18"/>
      <c r="E2540" s="18"/>
      <c r="F2540" s="18"/>
      <c r="J2540" s="27"/>
      <c r="K2540" s="27"/>
    </row>
    <row r="2541" spans="4:11" ht="15" customHeight="1" x14ac:dyDescent="0.2">
      <c r="D2541" s="18"/>
      <c r="E2541" s="18"/>
      <c r="F2541" s="18"/>
      <c r="J2541" s="27"/>
      <c r="K2541" s="27"/>
    </row>
    <row r="2542" spans="4:11" ht="15" customHeight="1" x14ac:dyDescent="0.2">
      <c r="D2542" s="18"/>
      <c r="E2542" s="18"/>
      <c r="F2542" s="18"/>
      <c r="J2542" s="27"/>
      <c r="K2542" s="27"/>
    </row>
    <row r="2543" spans="4:11" ht="15" customHeight="1" x14ac:dyDescent="0.2">
      <c r="D2543" s="18"/>
      <c r="E2543" s="18"/>
      <c r="F2543" s="18"/>
      <c r="J2543" s="27"/>
      <c r="K2543" s="27"/>
    </row>
    <row r="2544" spans="4:11" ht="15" customHeight="1" x14ac:dyDescent="0.2">
      <c r="D2544" s="18"/>
      <c r="E2544" s="18"/>
      <c r="F2544" s="18"/>
      <c r="J2544" s="27"/>
      <c r="K2544" s="27"/>
    </row>
    <row r="2545" spans="4:11" ht="15" customHeight="1" x14ac:dyDescent="0.2">
      <c r="D2545" s="18"/>
      <c r="E2545" s="18"/>
      <c r="F2545" s="18"/>
      <c r="J2545" s="27"/>
      <c r="K2545" s="27"/>
    </row>
    <row r="2546" spans="4:11" ht="15" customHeight="1" x14ac:dyDescent="0.2">
      <c r="D2546" s="18"/>
      <c r="E2546" s="18"/>
      <c r="F2546" s="18"/>
      <c r="J2546" s="27"/>
      <c r="K2546" s="27"/>
    </row>
    <row r="2547" spans="4:11" ht="15" customHeight="1" x14ac:dyDescent="0.2">
      <c r="D2547" s="18"/>
      <c r="E2547" s="18"/>
      <c r="F2547" s="18"/>
      <c r="J2547" s="27"/>
      <c r="K2547" s="27"/>
    </row>
    <row r="2548" spans="4:11" ht="15" customHeight="1" x14ac:dyDescent="0.2">
      <c r="D2548" s="18"/>
      <c r="E2548" s="18"/>
      <c r="F2548" s="18"/>
      <c r="J2548" s="27"/>
      <c r="K2548" s="27"/>
    </row>
    <row r="2549" spans="4:11" ht="15" customHeight="1" x14ac:dyDescent="0.2">
      <c r="D2549" s="18"/>
      <c r="E2549" s="18"/>
      <c r="F2549" s="18"/>
      <c r="J2549" s="27"/>
      <c r="K2549" s="27"/>
    </row>
    <row r="2550" spans="4:11" ht="15" customHeight="1" x14ac:dyDescent="0.2">
      <c r="D2550" s="18"/>
      <c r="E2550" s="18"/>
      <c r="F2550" s="18"/>
      <c r="J2550" s="27"/>
      <c r="K2550" s="27"/>
    </row>
    <row r="2551" spans="4:11" ht="15" customHeight="1" x14ac:dyDescent="0.2">
      <c r="D2551" s="18"/>
      <c r="E2551" s="18"/>
      <c r="F2551" s="18"/>
      <c r="J2551" s="27"/>
      <c r="K2551" s="27"/>
    </row>
    <row r="2552" spans="4:11" ht="15" customHeight="1" x14ac:dyDescent="0.2">
      <c r="D2552" s="18"/>
      <c r="E2552" s="18"/>
      <c r="F2552" s="18"/>
      <c r="J2552" s="27"/>
      <c r="K2552" s="27"/>
    </row>
    <row r="2553" spans="4:11" ht="15" customHeight="1" x14ac:dyDescent="0.2">
      <c r="D2553" s="18"/>
      <c r="E2553" s="18"/>
      <c r="F2553" s="18"/>
      <c r="J2553" s="27"/>
      <c r="K2553" s="27"/>
    </row>
    <row r="2554" spans="4:11" ht="15" customHeight="1" x14ac:dyDescent="0.2">
      <c r="D2554" s="18"/>
      <c r="E2554" s="18"/>
      <c r="F2554" s="18"/>
      <c r="J2554" s="27"/>
      <c r="K2554" s="27"/>
    </row>
    <row r="2555" spans="4:11" ht="15" customHeight="1" x14ac:dyDescent="0.2">
      <c r="D2555" s="18"/>
      <c r="E2555" s="18"/>
      <c r="F2555" s="18"/>
      <c r="J2555" s="27"/>
      <c r="K2555" s="27"/>
    </row>
    <row r="2556" spans="4:11" ht="15" customHeight="1" x14ac:dyDescent="0.2">
      <c r="D2556" s="18"/>
      <c r="E2556" s="18"/>
      <c r="F2556" s="18"/>
      <c r="J2556" s="27"/>
      <c r="K2556" s="27"/>
    </row>
    <row r="2557" spans="4:11" ht="15" customHeight="1" x14ac:dyDescent="0.2">
      <c r="D2557" s="18"/>
      <c r="E2557" s="18"/>
      <c r="F2557" s="18"/>
      <c r="J2557" s="27"/>
      <c r="K2557" s="27"/>
    </row>
    <row r="2558" spans="4:11" ht="15" customHeight="1" x14ac:dyDescent="0.2">
      <c r="D2558" s="18"/>
      <c r="E2558" s="18"/>
      <c r="F2558" s="18"/>
      <c r="J2558" s="27"/>
      <c r="K2558" s="27"/>
    </row>
    <row r="2559" spans="4:11" ht="15" customHeight="1" x14ac:dyDescent="0.2">
      <c r="D2559" s="18"/>
      <c r="E2559" s="18"/>
      <c r="F2559" s="18"/>
      <c r="J2559" s="27"/>
      <c r="K2559" s="27"/>
    </row>
    <row r="2560" spans="4:11" ht="15" customHeight="1" x14ac:dyDescent="0.2">
      <c r="D2560" s="18"/>
      <c r="E2560" s="18"/>
      <c r="F2560" s="18"/>
      <c r="J2560" s="27"/>
      <c r="K2560" s="27"/>
    </row>
    <row r="2561" spans="4:11" ht="15" customHeight="1" x14ac:dyDescent="0.2">
      <c r="D2561" s="18"/>
      <c r="E2561" s="18"/>
      <c r="F2561" s="18"/>
      <c r="J2561" s="27"/>
      <c r="K2561" s="27"/>
    </row>
    <row r="2562" spans="4:11" ht="15" customHeight="1" x14ac:dyDescent="0.2">
      <c r="D2562" s="18"/>
      <c r="E2562" s="18"/>
      <c r="F2562" s="18"/>
      <c r="J2562" s="27"/>
      <c r="K2562" s="27"/>
    </row>
    <row r="2563" spans="4:11" ht="15" customHeight="1" x14ac:dyDescent="0.2">
      <c r="D2563" s="18"/>
      <c r="E2563" s="18"/>
      <c r="F2563" s="18"/>
      <c r="J2563" s="27"/>
      <c r="K2563" s="27"/>
    </row>
    <row r="2564" spans="4:11" ht="15" customHeight="1" x14ac:dyDescent="0.2">
      <c r="D2564" s="18"/>
      <c r="E2564" s="18"/>
      <c r="F2564" s="18"/>
      <c r="J2564" s="27"/>
      <c r="K2564" s="27"/>
    </row>
    <row r="2565" spans="4:11" ht="15" customHeight="1" x14ac:dyDescent="0.2">
      <c r="D2565" s="18"/>
      <c r="E2565" s="18"/>
      <c r="F2565" s="18"/>
      <c r="J2565" s="27"/>
      <c r="K2565" s="27"/>
    </row>
    <row r="2566" spans="4:11" ht="15" customHeight="1" x14ac:dyDescent="0.2">
      <c r="D2566" s="18"/>
      <c r="E2566" s="18"/>
      <c r="F2566" s="18"/>
      <c r="J2566" s="27"/>
      <c r="K2566" s="27"/>
    </row>
    <row r="2567" spans="4:11" ht="15" customHeight="1" x14ac:dyDescent="0.2">
      <c r="D2567" s="18"/>
      <c r="E2567" s="18"/>
      <c r="F2567" s="18"/>
      <c r="J2567" s="27"/>
      <c r="K2567" s="27"/>
    </row>
    <row r="2568" spans="4:11" ht="15" customHeight="1" x14ac:dyDescent="0.2">
      <c r="D2568" s="18"/>
      <c r="E2568" s="18"/>
      <c r="F2568" s="18"/>
      <c r="J2568" s="27"/>
      <c r="K2568" s="27"/>
    </row>
    <row r="2569" spans="4:11" ht="15" customHeight="1" x14ac:dyDescent="0.2">
      <c r="D2569" s="18"/>
      <c r="E2569" s="18"/>
      <c r="F2569" s="18"/>
      <c r="J2569" s="27"/>
      <c r="K2569" s="27"/>
    </row>
    <row r="2570" spans="4:11" ht="15" customHeight="1" x14ac:dyDescent="0.2">
      <c r="D2570" s="18"/>
      <c r="E2570" s="18"/>
      <c r="F2570" s="18"/>
      <c r="J2570" s="27"/>
      <c r="K2570" s="27"/>
    </row>
    <row r="2571" spans="4:11" ht="15" customHeight="1" x14ac:dyDescent="0.2">
      <c r="D2571" s="18"/>
      <c r="E2571" s="18"/>
      <c r="F2571" s="18"/>
      <c r="J2571" s="27"/>
      <c r="K2571" s="27"/>
    </row>
    <row r="2572" spans="4:11" ht="15" customHeight="1" x14ac:dyDescent="0.2">
      <c r="D2572" s="18"/>
      <c r="E2572" s="18"/>
      <c r="F2572" s="18"/>
      <c r="J2572" s="27"/>
      <c r="K2572" s="27"/>
    </row>
    <row r="2573" spans="4:11" ht="15" customHeight="1" x14ac:dyDescent="0.2">
      <c r="D2573" s="18"/>
      <c r="E2573" s="18"/>
      <c r="F2573" s="18"/>
      <c r="J2573" s="27"/>
      <c r="K2573" s="27"/>
    </row>
    <row r="2574" spans="4:11" ht="15" customHeight="1" x14ac:dyDescent="0.2">
      <c r="D2574" s="18"/>
      <c r="E2574" s="18"/>
      <c r="F2574" s="18"/>
      <c r="J2574" s="27"/>
      <c r="K2574" s="27"/>
    </row>
    <row r="2575" spans="4:11" ht="15" customHeight="1" x14ac:dyDescent="0.2">
      <c r="D2575" s="18"/>
      <c r="E2575" s="18"/>
      <c r="F2575" s="18"/>
      <c r="J2575" s="27"/>
      <c r="K2575" s="27"/>
    </row>
    <row r="2576" spans="4:11" ht="15" customHeight="1" x14ac:dyDescent="0.2">
      <c r="D2576" s="18"/>
      <c r="E2576" s="18"/>
      <c r="F2576" s="18"/>
      <c r="J2576" s="27"/>
      <c r="K2576" s="27"/>
    </row>
    <row r="2577" spans="4:11" ht="15" customHeight="1" x14ac:dyDescent="0.2">
      <c r="D2577" s="18"/>
      <c r="E2577" s="18"/>
      <c r="F2577" s="18"/>
      <c r="J2577" s="27"/>
      <c r="K2577" s="27"/>
    </row>
    <row r="2578" spans="4:11" ht="15" customHeight="1" x14ac:dyDescent="0.2">
      <c r="D2578" s="18"/>
      <c r="E2578" s="18"/>
      <c r="F2578" s="18"/>
      <c r="J2578" s="27"/>
      <c r="K2578" s="27"/>
    </row>
    <row r="2579" spans="4:11" ht="15" customHeight="1" x14ac:dyDescent="0.2">
      <c r="D2579" s="18"/>
      <c r="E2579" s="18"/>
      <c r="F2579" s="18"/>
      <c r="J2579" s="27"/>
      <c r="K2579" s="27"/>
    </row>
    <row r="2580" spans="4:11" ht="15" customHeight="1" x14ac:dyDescent="0.2">
      <c r="D2580" s="18"/>
      <c r="E2580" s="18"/>
      <c r="F2580" s="18"/>
      <c r="J2580" s="27"/>
      <c r="K2580" s="27"/>
    </row>
    <row r="2581" spans="4:11" ht="15" customHeight="1" x14ac:dyDescent="0.2">
      <c r="D2581" s="18"/>
      <c r="E2581" s="18"/>
      <c r="F2581" s="18"/>
      <c r="J2581" s="27"/>
      <c r="K2581" s="27"/>
    </row>
    <row r="2582" spans="4:11" ht="15" customHeight="1" x14ac:dyDescent="0.2">
      <c r="D2582" s="18"/>
      <c r="E2582" s="18"/>
      <c r="F2582" s="18"/>
      <c r="J2582" s="27"/>
      <c r="K2582" s="27"/>
    </row>
    <row r="2583" spans="4:11" ht="15" customHeight="1" x14ac:dyDescent="0.2">
      <c r="D2583" s="18"/>
      <c r="E2583" s="18"/>
      <c r="F2583" s="18"/>
      <c r="J2583" s="27"/>
      <c r="K2583" s="27"/>
    </row>
    <row r="2584" spans="4:11" ht="15" customHeight="1" x14ac:dyDescent="0.2">
      <c r="D2584" s="18"/>
      <c r="E2584" s="18"/>
      <c r="F2584" s="18"/>
      <c r="J2584" s="27"/>
      <c r="K2584" s="27"/>
    </row>
    <row r="2585" spans="4:11" ht="15" customHeight="1" x14ac:dyDescent="0.2">
      <c r="D2585" s="18"/>
      <c r="E2585" s="18"/>
      <c r="F2585" s="18"/>
      <c r="J2585" s="27"/>
      <c r="K2585" s="27"/>
    </row>
    <row r="2586" spans="4:11" ht="15" customHeight="1" x14ac:dyDescent="0.2">
      <c r="D2586" s="18"/>
      <c r="E2586" s="18"/>
      <c r="F2586" s="18"/>
      <c r="J2586" s="27"/>
      <c r="K2586" s="27"/>
    </row>
    <row r="2587" spans="4:11" ht="15" customHeight="1" x14ac:dyDescent="0.2">
      <c r="D2587" s="18"/>
      <c r="E2587" s="18"/>
      <c r="F2587" s="18"/>
      <c r="J2587" s="27"/>
      <c r="K2587" s="27"/>
    </row>
    <row r="2588" spans="4:11" ht="15" customHeight="1" x14ac:dyDescent="0.2">
      <c r="D2588" s="18"/>
      <c r="E2588" s="18"/>
      <c r="F2588" s="18"/>
      <c r="J2588" s="27"/>
      <c r="K2588" s="27"/>
    </row>
    <row r="2589" spans="4:11" ht="15" customHeight="1" x14ac:dyDescent="0.2">
      <c r="D2589" s="18"/>
      <c r="E2589" s="18"/>
      <c r="F2589" s="18"/>
      <c r="J2589" s="27"/>
      <c r="K2589" s="27"/>
    </row>
    <row r="2590" spans="4:11" ht="15" customHeight="1" x14ac:dyDescent="0.2">
      <c r="D2590" s="18"/>
      <c r="E2590" s="18"/>
      <c r="F2590" s="18"/>
      <c r="J2590" s="27"/>
      <c r="K2590" s="27"/>
    </row>
    <row r="2591" spans="4:11" ht="15" customHeight="1" x14ac:dyDescent="0.2">
      <c r="D2591" s="18"/>
      <c r="E2591" s="18"/>
      <c r="F2591" s="18"/>
      <c r="J2591" s="27"/>
      <c r="K2591" s="27"/>
    </row>
    <row r="2592" spans="4:11" ht="15" customHeight="1" x14ac:dyDescent="0.2">
      <c r="D2592" s="18"/>
      <c r="E2592" s="18"/>
      <c r="F2592" s="18"/>
      <c r="J2592" s="27"/>
      <c r="K2592" s="27"/>
    </row>
    <row r="2593" spans="4:11" ht="15" customHeight="1" x14ac:dyDescent="0.2">
      <c r="D2593" s="18"/>
      <c r="E2593" s="18"/>
      <c r="F2593" s="18"/>
      <c r="J2593" s="27"/>
      <c r="K2593" s="27"/>
    </row>
    <row r="2594" spans="4:11" ht="15" customHeight="1" x14ac:dyDescent="0.2">
      <c r="D2594" s="18"/>
      <c r="E2594" s="18"/>
      <c r="F2594" s="18"/>
      <c r="J2594" s="27"/>
      <c r="K2594" s="27"/>
    </row>
    <row r="2595" spans="4:11" ht="15" customHeight="1" x14ac:dyDescent="0.2">
      <c r="D2595" s="18"/>
      <c r="E2595" s="18"/>
      <c r="F2595" s="18"/>
      <c r="J2595" s="27"/>
      <c r="K2595" s="27"/>
    </row>
    <row r="2596" spans="4:11" ht="15" customHeight="1" x14ac:dyDescent="0.2">
      <c r="D2596" s="18"/>
      <c r="E2596" s="18"/>
      <c r="F2596" s="18"/>
      <c r="J2596" s="27"/>
      <c r="K2596" s="27"/>
    </row>
    <row r="2597" spans="4:11" ht="15" customHeight="1" x14ac:dyDescent="0.2">
      <c r="D2597" s="18"/>
      <c r="E2597" s="18"/>
      <c r="F2597" s="18"/>
      <c r="J2597" s="27"/>
      <c r="K2597" s="27"/>
    </row>
    <row r="2598" spans="4:11" ht="15" customHeight="1" x14ac:dyDescent="0.2">
      <c r="D2598" s="18"/>
      <c r="E2598" s="18"/>
      <c r="F2598" s="18"/>
      <c r="J2598" s="27"/>
      <c r="K2598" s="27"/>
    </row>
    <row r="2599" spans="4:11" ht="15" customHeight="1" x14ac:dyDescent="0.2">
      <c r="D2599" s="18"/>
      <c r="E2599" s="18"/>
      <c r="F2599" s="18"/>
      <c r="J2599" s="27"/>
      <c r="K2599" s="27"/>
    </row>
    <row r="2600" spans="4:11" ht="15" customHeight="1" x14ac:dyDescent="0.2">
      <c r="D2600" s="18"/>
      <c r="E2600" s="18"/>
      <c r="F2600" s="18"/>
      <c r="J2600" s="27"/>
      <c r="K2600" s="27"/>
    </row>
    <row r="2601" spans="4:11" ht="15" customHeight="1" x14ac:dyDescent="0.2">
      <c r="D2601" s="18"/>
      <c r="E2601" s="18"/>
      <c r="F2601" s="18"/>
      <c r="J2601" s="27"/>
      <c r="K2601" s="27"/>
    </row>
    <row r="2602" spans="4:11" ht="15" customHeight="1" x14ac:dyDescent="0.2">
      <c r="D2602" s="18"/>
      <c r="E2602" s="18"/>
      <c r="F2602" s="18"/>
      <c r="J2602" s="27"/>
      <c r="K2602" s="27"/>
    </row>
    <row r="2603" spans="4:11" ht="15" customHeight="1" x14ac:dyDescent="0.2">
      <c r="D2603" s="18"/>
      <c r="E2603" s="18"/>
      <c r="F2603" s="18"/>
      <c r="J2603" s="27"/>
      <c r="K2603" s="27"/>
    </row>
    <row r="2604" spans="4:11" ht="15" customHeight="1" x14ac:dyDescent="0.2">
      <c r="D2604" s="18"/>
      <c r="E2604" s="18"/>
      <c r="F2604" s="18"/>
      <c r="J2604" s="27"/>
      <c r="K2604" s="27"/>
    </row>
    <row r="2605" spans="4:11" ht="15" customHeight="1" x14ac:dyDescent="0.2">
      <c r="D2605" s="18"/>
      <c r="E2605" s="18"/>
      <c r="F2605" s="18"/>
      <c r="J2605" s="27"/>
      <c r="K2605" s="27"/>
    </row>
    <row r="2606" spans="4:11" ht="15" customHeight="1" x14ac:dyDescent="0.2">
      <c r="D2606" s="18"/>
      <c r="E2606" s="18"/>
      <c r="F2606" s="18"/>
      <c r="J2606" s="27"/>
      <c r="K2606" s="27"/>
    </row>
    <row r="2607" spans="4:11" ht="15" customHeight="1" x14ac:dyDescent="0.2">
      <c r="D2607" s="18"/>
      <c r="E2607" s="18"/>
      <c r="F2607" s="18"/>
      <c r="J2607" s="27"/>
      <c r="K2607" s="27"/>
    </row>
    <row r="2608" spans="4:11" ht="15" customHeight="1" x14ac:dyDescent="0.2">
      <c r="D2608" s="18"/>
      <c r="E2608" s="18"/>
      <c r="F2608" s="18"/>
      <c r="J2608" s="27"/>
      <c r="K2608" s="27"/>
    </row>
    <row r="2609" spans="4:11" ht="15" customHeight="1" x14ac:dyDescent="0.2">
      <c r="D2609" s="18"/>
      <c r="E2609" s="18"/>
      <c r="F2609" s="18"/>
      <c r="J2609" s="27"/>
      <c r="K2609" s="27"/>
    </row>
    <row r="2610" spans="4:11" ht="15" customHeight="1" x14ac:dyDescent="0.2">
      <c r="D2610" s="18"/>
      <c r="E2610" s="18"/>
      <c r="F2610" s="18"/>
      <c r="J2610" s="27"/>
      <c r="K2610" s="27"/>
    </row>
    <row r="2611" spans="4:11" ht="15" customHeight="1" x14ac:dyDescent="0.2">
      <c r="D2611" s="18"/>
      <c r="E2611" s="18"/>
      <c r="F2611" s="18"/>
      <c r="J2611" s="27"/>
      <c r="K2611" s="27"/>
    </row>
    <row r="2612" spans="4:11" ht="15" customHeight="1" x14ac:dyDescent="0.2">
      <c r="D2612" s="18"/>
      <c r="E2612" s="18"/>
      <c r="F2612" s="18"/>
      <c r="J2612" s="27"/>
      <c r="K2612" s="27"/>
    </row>
    <row r="2613" spans="4:11" ht="15" customHeight="1" x14ac:dyDescent="0.2">
      <c r="D2613" s="18"/>
      <c r="E2613" s="18"/>
      <c r="F2613" s="18"/>
      <c r="J2613" s="27"/>
      <c r="K2613" s="27"/>
    </row>
    <row r="2614" spans="4:11" ht="15" customHeight="1" x14ac:dyDescent="0.2">
      <c r="D2614" s="18"/>
      <c r="E2614" s="18"/>
      <c r="F2614" s="18"/>
      <c r="J2614" s="27"/>
      <c r="K2614" s="27"/>
    </row>
    <row r="2615" spans="4:11" ht="15" customHeight="1" x14ac:dyDescent="0.2">
      <c r="D2615" s="18"/>
      <c r="E2615" s="18"/>
      <c r="F2615" s="18"/>
      <c r="J2615" s="27"/>
      <c r="K2615" s="27"/>
    </row>
    <row r="2616" spans="4:11" ht="15" customHeight="1" x14ac:dyDescent="0.2">
      <c r="D2616" s="18"/>
      <c r="E2616" s="18"/>
      <c r="F2616" s="18"/>
      <c r="J2616" s="27"/>
      <c r="K2616" s="27"/>
    </row>
    <row r="2617" spans="4:11" ht="15" customHeight="1" x14ac:dyDescent="0.2">
      <c r="D2617" s="18"/>
      <c r="E2617" s="18"/>
      <c r="F2617" s="18"/>
      <c r="J2617" s="27"/>
      <c r="K2617" s="27"/>
    </row>
    <row r="2618" spans="4:11" ht="15" customHeight="1" x14ac:dyDescent="0.2">
      <c r="D2618" s="18"/>
      <c r="E2618" s="18"/>
      <c r="F2618" s="18"/>
      <c r="J2618" s="27"/>
      <c r="K2618" s="27"/>
    </row>
    <row r="2619" spans="4:11" ht="15" customHeight="1" x14ac:dyDescent="0.2">
      <c r="D2619" s="18"/>
      <c r="E2619" s="18"/>
      <c r="F2619" s="18"/>
      <c r="J2619" s="27"/>
      <c r="K2619" s="27"/>
    </row>
    <row r="2620" spans="4:11" ht="15" customHeight="1" x14ac:dyDescent="0.2">
      <c r="D2620" s="18"/>
      <c r="E2620" s="18"/>
      <c r="F2620" s="18"/>
      <c r="J2620" s="27"/>
      <c r="K2620" s="27"/>
    </row>
    <row r="2621" spans="4:11" ht="15" customHeight="1" x14ac:dyDescent="0.2">
      <c r="D2621" s="18"/>
      <c r="E2621" s="18"/>
      <c r="F2621" s="18"/>
      <c r="J2621" s="27"/>
      <c r="K2621" s="27"/>
    </row>
    <row r="2622" spans="4:11" ht="15" customHeight="1" x14ac:dyDescent="0.2">
      <c r="D2622" s="18"/>
      <c r="E2622" s="18"/>
      <c r="F2622" s="18"/>
      <c r="J2622" s="27"/>
      <c r="K2622" s="27"/>
    </row>
    <row r="2623" spans="4:11" ht="15" customHeight="1" x14ac:dyDescent="0.2">
      <c r="D2623" s="18"/>
      <c r="E2623" s="18"/>
      <c r="F2623" s="18"/>
      <c r="J2623" s="27"/>
      <c r="K2623" s="27"/>
    </row>
    <row r="2624" spans="4:11" ht="15" customHeight="1" x14ac:dyDescent="0.2">
      <c r="D2624" s="18"/>
      <c r="E2624" s="18"/>
      <c r="F2624" s="18"/>
      <c r="J2624" s="27"/>
      <c r="K2624" s="27"/>
    </row>
    <row r="2625" spans="4:11" ht="15" customHeight="1" x14ac:dyDescent="0.2">
      <c r="D2625" s="18"/>
      <c r="E2625" s="18"/>
      <c r="F2625" s="18"/>
      <c r="J2625" s="27"/>
      <c r="K2625" s="27"/>
    </row>
    <row r="2626" spans="4:11" ht="15" customHeight="1" x14ac:dyDescent="0.2">
      <c r="D2626" s="18"/>
      <c r="E2626" s="18"/>
      <c r="F2626" s="18"/>
      <c r="J2626" s="27"/>
      <c r="K2626" s="27"/>
    </row>
    <row r="2627" spans="4:11" ht="15" customHeight="1" x14ac:dyDescent="0.2">
      <c r="D2627" s="18"/>
      <c r="E2627" s="18"/>
      <c r="F2627" s="18"/>
      <c r="J2627" s="27"/>
      <c r="K2627" s="27"/>
    </row>
    <row r="2628" spans="4:11" ht="15" customHeight="1" x14ac:dyDescent="0.2">
      <c r="D2628" s="18"/>
      <c r="E2628" s="18"/>
      <c r="F2628" s="18"/>
      <c r="J2628" s="27"/>
      <c r="K2628" s="27"/>
    </row>
    <row r="2629" spans="4:11" ht="15" customHeight="1" x14ac:dyDescent="0.2">
      <c r="D2629" s="18"/>
      <c r="E2629" s="18"/>
      <c r="F2629" s="18"/>
      <c r="J2629" s="27"/>
      <c r="K2629" s="27"/>
    </row>
    <row r="2630" spans="4:11" ht="15" customHeight="1" x14ac:dyDescent="0.2">
      <c r="D2630" s="18"/>
      <c r="E2630" s="18"/>
      <c r="F2630" s="18"/>
      <c r="J2630" s="27"/>
      <c r="K2630" s="27"/>
    </row>
    <row r="2631" spans="4:11" ht="15" customHeight="1" x14ac:dyDescent="0.2">
      <c r="D2631" s="18"/>
      <c r="E2631" s="18"/>
      <c r="F2631" s="18"/>
      <c r="J2631" s="27"/>
      <c r="K2631" s="27"/>
    </row>
    <row r="2632" spans="4:11" ht="15" customHeight="1" x14ac:dyDescent="0.2">
      <c r="D2632" s="18"/>
      <c r="E2632" s="18"/>
      <c r="F2632" s="18"/>
      <c r="J2632" s="27"/>
      <c r="K2632" s="27"/>
    </row>
    <row r="2633" spans="4:11" ht="15" customHeight="1" x14ac:dyDescent="0.2">
      <c r="D2633" s="18"/>
      <c r="E2633" s="18"/>
      <c r="F2633" s="18"/>
      <c r="J2633" s="27"/>
      <c r="K2633" s="27"/>
    </row>
    <row r="2634" spans="4:11" ht="15" customHeight="1" x14ac:dyDescent="0.2">
      <c r="D2634" s="18"/>
      <c r="E2634" s="18"/>
      <c r="F2634" s="18"/>
      <c r="J2634" s="27"/>
      <c r="K2634" s="27"/>
    </row>
    <row r="2635" spans="4:11" ht="15" customHeight="1" x14ac:dyDescent="0.2">
      <c r="D2635" s="18"/>
      <c r="E2635" s="18"/>
      <c r="F2635" s="18"/>
      <c r="J2635" s="27"/>
      <c r="K2635" s="27"/>
    </row>
    <row r="2636" spans="4:11" ht="15" customHeight="1" x14ac:dyDescent="0.2">
      <c r="D2636" s="18"/>
      <c r="E2636" s="18"/>
      <c r="F2636" s="18"/>
      <c r="J2636" s="27"/>
      <c r="K2636" s="27"/>
    </row>
    <row r="2637" spans="4:11" ht="15" customHeight="1" x14ac:dyDescent="0.2">
      <c r="D2637" s="18"/>
      <c r="E2637" s="18"/>
      <c r="F2637" s="18"/>
      <c r="J2637" s="27"/>
      <c r="K2637" s="27"/>
    </row>
    <row r="2638" spans="4:11" ht="15" customHeight="1" x14ac:dyDescent="0.2">
      <c r="D2638" s="18"/>
      <c r="E2638" s="18"/>
      <c r="F2638" s="18"/>
      <c r="J2638" s="27"/>
      <c r="K2638" s="27"/>
    </row>
    <row r="2639" spans="4:11" ht="15" customHeight="1" x14ac:dyDescent="0.2">
      <c r="D2639" s="18"/>
      <c r="E2639" s="18"/>
      <c r="F2639" s="18"/>
      <c r="J2639" s="27"/>
      <c r="K2639" s="27"/>
    </row>
    <row r="2640" spans="4:11" ht="15" customHeight="1" x14ac:dyDescent="0.2">
      <c r="D2640" s="18"/>
      <c r="E2640" s="18"/>
      <c r="F2640" s="18"/>
      <c r="J2640" s="27"/>
      <c r="K2640" s="27"/>
    </row>
    <row r="2641" spans="4:11" ht="15" customHeight="1" x14ac:dyDescent="0.2">
      <c r="D2641" s="18"/>
      <c r="E2641" s="18"/>
      <c r="F2641" s="18"/>
      <c r="J2641" s="27"/>
      <c r="K2641" s="27"/>
    </row>
    <row r="2642" spans="4:11" ht="15" customHeight="1" x14ac:dyDescent="0.2">
      <c r="D2642" s="18"/>
      <c r="E2642" s="18"/>
      <c r="F2642" s="18"/>
      <c r="J2642" s="27"/>
      <c r="K2642" s="27"/>
    </row>
    <row r="2643" spans="4:11" ht="15" customHeight="1" x14ac:dyDescent="0.2">
      <c r="D2643" s="18"/>
      <c r="E2643" s="18"/>
      <c r="F2643" s="18"/>
      <c r="J2643" s="27"/>
      <c r="K2643" s="27"/>
    </row>
    <row r="2644" spans="4:11" ht="15" customHeight="1" x14ac:dyDescent="0.2">
      <c r="D2644" s="18"/>
      <c r="E2644" s="18"/>
      <c r="F2644" s="18"/>
      <c r="J2644" s="27"/>
      <c r="K2644" s="27"/>
    </row>
    <row r="2645" spans="4:11" ht="15" customHeight="1" x14ac:dyDescent="0.2">
      <c r="D2645" s="18"/>
      <c r="E2645" s="18"/>
      <c r="F2645" s="18"/>
      <c r="J2645" s="27"/>
      <c r="K2645" s="27"/>
    </row>
    <row r="2646" spans="4:11" ht="15" customHeight="1" x14ac:dyDescent="0.2">
      <c r="D2646" s="18"/>
      <c r="E2646" s="18"/>
      <c r="F2646" s="18"/>
      <c r="J2646" s="27"/>
      <c r="K2646" s="27"/>
    </row>
    <row r="2647" spans="4:11" ht="15" customHeight="1" x14ac:dyDescent="0.2">
      <c r="D2647" s="18"/>
      <c r="E2647" s="18"/>
      <c r="F2647" s="18"/>
      <c r="J2647" s="27"/>
      <c r="K2647" s="27"/>
    </row>
    <row r="2648" spans="4:11" ht="15" customHeight="1" x14ac:dyDescent="0.2">
      <c r="D2648" s="18"/>
      <c r="E2648" s="18"/>
      <c r="F2648" s="18"/>
      <c r="J2648" s="27"/>
      <c r="K2648" s="27"/>
    </row>
    <row r="2649" spans="4:11" ht="15" customHeight="1" x14ac:dyDescent="0.2">
      <c r="D2649" s="18"/>
      <c r="E2649" s="18"/>
      <c r="F2649" s="18"/>
      <c r="J2649" s="27"/>
      <c r="K2649" s="27"/>
    </row>
    <row r="2650" spans="4:11" ht="15" customHeight="1" x14ac:dyDescent="0.2">
      <c r="D2650" s="18"/>
      <c r="E2650" s="18"/>
      <c r="F2650" s="18"/>
      <c r="J2650" s="27"/>
      <c r="K2650" s="27"/>
    </row>
    <row r="2651" spans="4:11" ht="15" customHeight="1" x14ac:dyDescent="0.2">
      <c r="D2651" s="18"/>
      <c r="E2651" s="18"/>
      <c r="F2651" s="18"/>
      <c r="J2651" s="27"/>
      <c r="K2651" s="27"/>
    </row>
    <row r="2652" spans="4:11" ht="15" customHeight="1" x14ac:dyDescent="0.2">
      <c r="D2652" s="18"/>
      <c r="E2652" s="18"/>
      <c r="F2652" s="18"/>
      <c r="J2652" s="27"/>
      <c r="K2652" s="27"/>
    </row>
    <row r="2653" spans="4:11" ht="15" customHeight="1" x14ac:dyDescent="0.2">
      <c r="D2653" s="18"/>
      <c r="E2653" s="18"/>
      <c r="F2653" s="18"/>
      <c r="J2653" s="27"/>
      <c r="K2653" s="27"/>
    </row>
    <row r="2654" spans="4:11" ht="15" customHeight="1" x14ac:dyDescent="0.2">
      <c r="D2654" s="18"/>
      <c r="E2654" s="18"/>
      <c r="F2654" s="18"/>
      <c r="J2654" s="27"/>
      <c r="K2654" s="27"/>
    </row>
    <row r="2655" spans="4:11" ht="15" customHeight="1" x14ac:dyDescent="0.2">
      <c r="D2655" s="18"/>
      <c r="E2655" s="18"/>
      <c r="F2655" s="18"/>
      <c r="J2655" s="27"/>
      <c r="K2655" s="27"/>
    </row>
    <row r="2656" spans="4:11" ht="15" customHeight="1" x14ac:dyDescent="0.2">
      <c r="D2656" s="18"/>
      <c r="E2656" s="18"/>
      <c r="F2656" s="18"/>
      <c r="J2656" s="27"/>
      <c r="K2656" s="27"/>
    </row>
    <row r="2657" spans="4:11" ht="15" customHeight="1" x14ac:dyDescent="0.2">
      <c r="D2657" s="18"/>
      <c r="E2657" s="18"/>
      <c r="F2657" s="18"/>
      <c r="J2657" s="27"/>
      <c r="K2657" s="27"/>
    </row>
    <row r="2658" spans="4:11" ht="15" customHeight="1" x14ac:dyDescent="0.2">
      <c r="D2658" s="18"/>
      <c r="E2658" s="18"/>
      <c r="F2658" s="18"/>
      <c r="J2658" s="27"/>
      <c r="K2658" s="27"/>
    </row>
    <row r="2659" spans="4:11" ht="15" customHeight="1" x14ac:dyDescent="0.2">
      <c r="D2659" s="18"/>
      <c r="E2659" s="18"/>
      <c r="F2659" s="18"/>
      <c r="J2659" s="27"/>
      <c r="K2659" s="27"/>
    </row>
    <row r="2660" spans="4:11" ht="15" customHeight="1" x14ac:dyDescent="0.2">
      <c r="D2660" s="18"/>
      <c r="E2660" s="18"/>
      <c r="F2660" s="18"/>
      <c r="J2660" s="27"/>
      <c r="K2660" s="27"/>
    </row>
    <row r="2661" spans="4:11" ht="15" customHeight="1" x14ac:dyDescent="0.2">
      <c r="D2661" s="18"/>
      <c r="E2661" s="18"/>
      <c r="F2661" s="18"/>
      <c r="J2661" s="27"/>
      <c r="K2661" s="27"/>
    </row>
    <row r="2662" spans="4:11" ht="15" customHeight="1" x14ac:dyDescent="0.2">
      <c r="D2662" s="18"/>
      <c r="E2662" s="18"/>
      <c r="F2662" s="18"/>
      <c r="J2662" s="27"/>
      <c r="K2662" s="27"/>
    </row>
    <row r="2663" spans="4:11" ht="15" customHeight="1" x14ac:dyDescent="0.2">
      <c r="D2663" s="18"/>
      <c r="E2663" s="18"/>
      <c r="F2663" s="18"/>
      <c r="J2663" s="27"/>
      <c r="K2663" s="27"/>
    </row>
    <row r="2664" spans="4:11" ht="15" customHeight="1" x14ac:dyDescent="0.2">
      <c r="D2664" s="18"/>
      <c r="E2664" s="18"/>
      <c r="F2664" s="18"/>
      <c r="J2664" s="27"/>
      <c r="K2664" s="27"/>
    </row>
    <row r="2665" spans="4:11" ht="15" customHeight="1" x14ac:dyDescent="0.2">
      <c r="D2665" s="18"/>
      <c r="E2665" s="18"/>
      <c r="F2665" s="18"/>
      <c r="J2665" s="27"/>
      <c r="K2665" s="27"/>
    </row>
    <row r="2666" spans="4:11" ht="15" customHeight="1" x14ac:dyDescent="0.2">
      <c r="D2666" s="18"/>
      <c r="E2666" s="18"/>
      <c r="F2666" s="18"/>
      <c r="J2666" s="27"/>
      <c r="K2666" s="27"/>
    </row>
    <row r="2667" spans="4:11" ht="15" customHeight="1" x14ac:dyDescent="0.2">
      <c r="D2667" s="18"/>
      <c r="E2667" s="18"/>
      <c r="F2667" s="18"/>
      <c r="J2667" s="27"/>
      <c r="K2667" s="27"/>
    </row>
    <row r="2668" spans="4:11" ht="15" customHeight="1" x14ac:dyDescent="0.2">
      <c r="D2668" s="18"/>
      <c r="E2668" s="18"/>
      <c r="F2668" s="18"/>
      <c r="J2668" s="27"/>
      <c r="K2668" s="27"/>
    </row>
    <row r="2669" spans="4:11" ht="15" customHeight="1" x14ac:dyDescent="0.2">
      <c r="D2669" s="18"/>
      <c r="E2669" s="18"/>
      <c r="F2669" s="18"/>
      <c r="J2669" s="27"/>
      <c r="K2669" s="27"/>
    </row>
    <row r="2670" spans="4:11" ht="15" customHeight="1" x14ac:dyDescent="0.2">
      <c r="D2670" s="18"/>
      <c r="E2670" s="18"/>
      <c r="F2670" s="18"/>
      <c r="J2670" s="27"/>
      <c r="K2670" s="27"/>
    </row>
    <row r="2671" spans="4:11" ht="15" customHeight="1" x14ac:dyDescent="0.2">
      <c r="D2671" s="18"/>
      <c r="E2671" s="18"/>
      <c r="F2671" s="18"/>
      <c r="J2671" s="27"/>
      <c r="K2671" s="27"/>
    </row>
    <row r="2672" spans="4:11" ht="15" customHeight="1" x14ac:dyDescent="0.2">
      <c r="D2672" s="18"/>
      <c r="E2672" s="18"/>
      <c r="F2672" s="18"/>
      <c r="J2672" s="27"/>
      <c r="K2672" s="27"/>
    </row>
    <row r="2673" spans="4:11" ht="15" customHeight="1" x14ac:dyDescent="0.2">
      <c r="D2673" s="18"/>
      <c r="E2673" s="18"/>
      <c r="F2673" s="18"/>
      <c r="J2673" s="27"/>
      <c r="K2673" s="27"/>
    </row>
    <row r="2674" spans="4:11" ht="15" customHeight="1" x14ac:dyDescent="0.2">
      <c r="D2674" s="18"/>
      <c r="E2674" s="18"/>
      <c r="F2674" s="18"/>
      <c r="J2674" s="27"/>
      <c r="K2674" s="27"/>
    </row>
    <row r="2675" spans="4:11" ht="15" customHeight="1" x14ac:dyDescent="0.2">
      <c r="D2675" s="18"/>
      <c r="E2675" s="18"/>
      <c r="F2675" s="18"/>
      <c r="J2675" s="27"/>
      <c r="K2675" s="27"/>
    </row>
    <row r="2676" spans="4:11" ht="15" customHeight="1" x14ac:dyDescent="0.2">
      <c r="D2676" s="18"/>
      <c r="E2676" s="18"/>
      <c r="F2676" s="18"/>
      <c r="J2676" s="27"/>
      <c r="K2676" s="27"/>
    </row>
    <row r="2677" spans="4:11" ht="15" customHeight="1" x14ac:dyDescent="0.2">
      <c r="D2677" s="18"/>
      <c r="E2677" s="18"/>
      <c r="F2677" s="18"/>
      <c r="J2677" s="27"/>
      <c r="K2677" s="27"/>
    </row>
    <row r="2678" spans="4:11" ht="15" customHeight="1" x14ac:dyDescent="0.2">
      <c r="D2678" s="18"/>
      <c r="E2678" s="18"/>
      <c r="F2678" s="18"/>
      <c r="J2678" s="27"/>
      <c r="K2678" s="27"/>
    </row>
    <row r="2679" spans="4:11" ht="15" customHeight="1" x14ac:dyDescent="0.2">
      <c r="D2679" s="18"/>
      <c r="E2679" s="18"/>
      <c r="F2679" s="18"/>
      <c r="J2679" s="27"/>
      <c r="K2679" s="27"/>
    </row>
    <row r="2680" spans="4:11" ht="15" customHeight="1" x14ac:dyDescent="0.2">
      <c r="D2680" s="18"/>
      <c r="E2680" s="18"/>
      <c r="F2680" s="18"/>
      <c r="J2680" s="27"/>
      <c r="K2680" s="27"/>
    </row>
    <row r="2681" spans="4:11" ht="15" customHeight="1" x14ac:dyDescent="0.2">
      <c r="D2681" s="18"/>
      <c r="E2681" s="18"/>
      <c r="F2681" s="18"/>
      <c r="J2681" s="27"/>
      <c r="K2681" s="27"/>
    </row>
    <row r="2682" spans="4:11" ht="15" customHeight="1" x14ac:dyDescent="0.2">
      <c r="D2682" s="18"/>
      <c r="E2682" s="18"/>
      <c r="F2682" s="18"/>
      <c r="J2682" s="27"/>
      <c r="K2682" s="27"/>
    </row>
    <row r="2683" spans="4:11" ht="15" customHeight="1" x14ac:dyDescent="0.2">
      <c r="D2683" s="18"/>
      <c r="E2683" s="18"/>
      <c r="F2683" s="18"/>
      <c r="J2683" s="27"/>
      <c r="K2683" s="27"/>
    </row>
    <row r="2684" spans="4:11" ht="15" customHeight="1" x14ac:dyDescent="0.2">
      <c r="D2684" s="18"/>
      <c r="E2684" s="18"/>
      <c r="F2684" s="18"/>
      <c r="J2684" s="27"/>
      <c r="K2684" s="27"/>
    </row>
    <row r="2685" spans="4:11" ht="15" customHeight="1" x14ac:dyDescent="0.2">
      <c r="D2685" s="18"/>
      <c r="E2685" s="18"/>
      <c r="F2685" s="18"/>
      <c r="J2685" s="27"/>
      <c r="K2685" s="27"/>
    </row>
    <row r="2686" spans="4:11" ht="15" customHeight="1" x14ac:dyDescent="0.2">
      <c r="D2686" s="18"/>
      <c r="E2686" s="18"/>
      <c r="F2686" s="18"/>
      <c r="J2686" s="27"/>
      <c r="K2686" s="27"/>
    </row>
    <row r="2687" spans="4:11" ht="15" customHeight="1" x14ac:dyDescent="0.2">
      <c r="D2687" s="18"/>
      <c r="E2687" s="18"/>
      <c r="F2687" s="18"/>
      <c r="J2687" s="27"/>
      <c r="K2687" s="27"/>
    </row>
    <row r="2688" spans="4:11" ht="15" customHeight="1" x14ac:dyDescent="0.2">
      <c r="D2688" s="18"/>
      <c r="E2688" s="18"/>
      <c r="F2688" s="18"/>
      <c r="J2688" s="27"/>
      <c r="K2688" s="27"/>
    </row>
    <row r="2689" spans="4:11" ht="15" customHeight="1" x14ac:dyDescent="0.2">
      <c r="D2689" s="18"/>
      <c r="E2689" s="18"/>
      <c r="F2689" s="18"/>
      <c r="J2689" s="27"/>
      <c r="K2689" s="27"/>
    </row>
    <row r="2690" spans="4:11" ht="15" customHeight="1" x14ac:dyDescent="0.2">
      <c r="D2690" s="18"/>
      <c r="E2690" s="18"/>
      <c r="F2690" s="18"/>
      <c r="J2690" s="27"/>
      <c r="K2690" s="27"/>
    </row>
    <row r="2691" spans="4:11" ht="15" customHeight="1" x14ac:dyDescent="0.2">
      <c r="D2691" s="18"/>
      <c r="E2691" s="18"/>
      <c r="F2691" s="18"/>
      <c r="J2691" s="27"/>
      <c r="K2691" s="27"/>
    </row>
    <row r="2692" spans="4:11" ht="15" customHeight="1" x14ac:dyDescent="0.2">
      <c r="D2692" s="18"/>
      <c r="E2692" s="18"/>
      <c r="F2692" s="18"/>
      <c r="J2692" s="27"/>
      <c r="K2692" s="27"/>
    </row>
    <row r="2693" spans="4:11" ht="15" customHeight="1" x14ac:dyDescent="0.2">
      <c r="D2693" s="18"/>
      <c r="E2693" s="18"/>
      <c r="F2693" s="18"/>
      <c r="J2693" s="27"/>
      <c r="K2693" s="27"/>
    </row>
    <row r="2694" spans="4:11" ht="15" customHeight="1" x14ac:dyDescent="0.2">
      <c r="D2694" s="18"/>
      <c r="E2694" s="18"/>
      <c r="F2694" s="18"/>
      <c r="J2694" s="27"/>
      <c r="K2694" s="27"/>
    </row>
    <row r="2695" spans="4:11" ht="15" customHeight="1" x14ac:dyDescent="0.2">
      <c r="D2695" s="18"/>
      <c r="E2695" s="18"/>
      <c r="F2695" s="18"/>
      <c r="J2695" s="27"/>
      <c r="K2695" s="27"/>
    </row>
    <row r="2696" spans="4:11" ht="15" customHeight="1" x14ac:dyDescent="0.2">
      <c r="D2696" s="18"/>
      <c r="E2696" s="18"/>
      <c r="F2696" s="18"/>
      <c r="J2696" s="27"/>
      <c r="K2696" s="27"/>
    </row>
    <row r="2697" spans="4:11" ht="15" customHeight="1" x14ac:dyDescent="0.2">
      <c r="D2697" s="18"/>
      <c r="E2697" s="18"/>
      <c r="F2697" s="18"/>
      <c r="J2697" s="27"/>
      <c r="K2697" s="27"/>
    </row>
    <row r="2698" spans="4:11" ht="15" customHeight="1" x14ac:dyDescent="0.2">
      <c r="D2698" s="18"/>
      <c r="E2698" s="18"/>
      <c r="F2698" s="18"/>
      <c r="J2698" s="27"/>
      <c r="K2698" s="27"/>
    </row>
    <row r="2699" spans="4:11" ht="15" customHeight="1" x14ac:dyDescent="0.2">
      <c r="D2699" s="18"/>
      <c r="E2699" s="18"/>
      <c r="F2699" s="18"/>
      <c r="J2699" s="27"/>
      <c r="K2699" s="27"/>
    </row>
    <row r="2700" spans="4:11" ht="15" customHeight="1" x14ac:dyDescent="0.2">
      <c r="D2700" s="18"/>
      <c r="E2700" s="18"/>
      <c r="F2700" s="18"/>
      <c r="J2700" s="27"/>
      <c r="K2700" s="27"/>
    </row>
    <row r="2701" spans="4:11" ht="15" customHeight="1" x14ac:dyDescent="0.2">
      <c r="D2701" s="18"/>
      <c r="E2701" s="18"/>
      <c r="F2701" s="18"/>
      <c r="J2701" s="27"/>
      <c r="K2701" s="27"/>
    </row>
    <row r="2702" spans="4:11" ht="15" customHeight="1" x14ac:dyDescent="0.2">
      <c r="D2702" s="18"/>
      <c r="E2702" s="18"/>
      <c r="F2702" s="18"/>
      <c r="J2702" s="27"/>
      <c r="K2702" s="27"/>
    </row>
    <row r="2703" spans="4:11" ht="15" customHeight="1" x14ac:dyDescent="0.2">
      <c r="D2703" s="18"/>
      <c r="E2703" s="18"/>
      <c r="F2703" s="18"/>
      <c r="J2703" s="27"/>
      <c r="K2703" s="27"/>
    </row>
    <row r="2704" spans="4:11" ht="15" customHeight="1" x14ac:dyDescent="0.2">
      <c r="D2704" s="18"/>
      <c r="E2704" s="18"/>
      <c r="F2704" s="18"/>
      <c r="J2704" s="27"/>
      <c r="K2704" s="27"/>
    </row>
    <row r="2705" spans="4:11" ht="15" customHeight="1" x14ac:dyDescent="0.2">
      <c r="D2705" s="18"/>
      <c r="E2705" s="18"/>
      <c r="F2705" s="18"/>
      <c r="J2705" s="27"/>
      <c r="K2705" s="27"/>
    </row>
    <row r="2706" spans="4:11" ht="15" customHeight="1" x14ac:dyDescent="0.2">
      <c r="D2706" s="18"/>
      <c r="E2706" s="18"/>
      <c r="F2706" s="18"/>
      <c r="J2706" s="27"/>
      <c r="K2706" s="27"/>
    </row>
    <row r="2707" spans="4:11" ht="15" customHeight="1" x14ac:dyDescent="0.2">
      <c r="D2707" s="18"/>
      <c r="E2707" s="18"/>
      <c r="F2707" s="18"/>
      <c r="J2707" s="27"/>
      <c r="K2707" s="27"/>
    </row>
    <row r="2708" spans="4:11" ht="15" customHeight="1" x14ac:dyDescent="0.2">
      <c r="D2708" s="18"/>
      <c r="E2708" s="18"/>
      <c r="F2708" s="18"/>
      <c r="J2708" s="27"/>
      <c r="K2708" s="27"/>
    </row>
    <row r="2709" spans="4:11" ht="15" customHeight="1" x14ac:dyDescent="0.2">
      <c r="D2709" s="18"/>
      <c r="E2709" s="18"/>
      <c r="F2709" s="18"/>
      <c r="J2709" s="27"/>
      <c r="K2709" s="27"/>
    </row>
    <row r="2710" spans="4:11" ht="15" customHeight="1" x14ac:dyDescent="0.2">
      <c r="D2710" s="18"/>
      <c r="E2710" s="18"/>
      <c r="F2710" s="18"/>
      <c r="J2710" s="27"/>
      <c r="K2710" s="27"/>
    </row>
    <row r="2711" spans="4:11" ht="15" customHeight="1" x14ac:dyDescent="0.2">
      <c r="D2711" s="18"/>
      <c r="E2711" s="18"/>
      <c r="F2711" s="18"/>
      <c r="J2711" s="27"/>
      <c r="K2711" s="27"/>
    </row>
    <row r="2712" spans="4:11" ht="15" customHeight="1" x14ac:dyDescent="0.2">
      <c r="D2712" s="18"/>
      <c r="E2712" s="18"/>
      <c r="F2712" s="18"/>
      <c r="J2712" s="27"/>
      <c r="K2712" s="27"/>
    </row>
    <row r="2713" spans="4:11" ht="15" customHeight="1" x14ac:dyDescent="0.2">
      <c r="D2713" s="18"/>
      <c r="E2713" s="18"/>
      <c r="F2713" s="18"/>
      <c r="J2713" s="27"/>
      <c r="K2713" s="27"/>
    </row>
    <row r="2714" spans="4:11" ht="15" customHeight="1" x14ac:dyDescent="0.2">
      <c r="D2714" s="18"/>
      <c r="E2714" s="18"/>
      <c r="F2714" s="18"/>
      <c r="J2714" s="27"/>
      <c r="K2714" s="27"/>
    </row>
    <row r="2715" spans="4:11" ht="15" customHeight="1" x14ac:dyDescent="0.2">
      <c r="D2715" s="18"/>
      <c r="E2715" s="18"/>
      <c r="F2715" s="18"/>
      <c r="J2715" s="27"/>
      <c r="K2715" s="27"/>
    </row>
    <row r="2716" spans="4:11" ht="15" customHeight="1" x14ac:dyDescent="0.2">
      <c r="D2716" s="18"/>
      <c r="E2716" s="18"/>
      <c r="F2716" s="18"/>
      <c r="J2716" s="27"/>
      <c r="K2716" s="27"/>
    </row>
    <row r="2717" spans="4:11" ht="15" customHeight="1" x14ac:dyDescent="0.2">
      <c r="D2717" s="18"/>
      <c r="E2717" s="18"/>
      <c r="F2717" s="18"/>
      <c r="J2717" s="27"/>
      <c r="K2717" s="27"/>
    </row>
    <row r="2718" spans="4:11" ht="15" customHeight="1" x14ac:dyDescent="0.2">
      <c r="D2718" s="18"/>
      <c r="E2718" s="18"/>
      <c r="F2718" s="18"/>
      <c r="J2718" s="27"/>
      <c r="K2718" s="27"/>
    </row>
    <row r="2719" spans="4:11" ht="15" customHeight="1" x14ac:dyDescent="0.2">
      <c r="D2719" s="18"/>
      <c r="E2719" s="18"/>
      <c r="F2719" s="18"/>
      <c r="J2719" s="27"/>
      <c r="K2719" s="27"/>
    </row>
    <row r="2720" spans="4:11" ht="15" customHeight="1" x14ac:dyDescent="0.2">
      <c r="D2720" s="18"/>
      <c r="E2720" s="18"/>
      <c r="F2720" s="18"/>
      <c r="J2720" s="27"/>
      <c r="K2720" s="27"/>
    </row>
    <row r="2721" spans="4:11" ht="15" customHeight="1" x14ac:dyDescent="0.2">
      <c r="D2721" s="18"/>
      <c r="E2721" s="18"/>
      <c r="F2721" s="18"/>
      <c r="J2721" s="27"/>
      <c r="K2721" s="27"/>
    </row>
    <row r="2722" spans="4:11" ht="15" customHeight="1" x14ac:dyDescent="0.2">
      <c r="D2722" s="18"/>
      <c r="E2722" s="18"/>
      <c r="F2722" s="18"/>
      <c r="J2722" s="27"/>
      <c r="K2722" s="27"/>
    </row>
    <row r="2723" spans="4:11" ht="15" customHeight="1" x14ac:dyDescent="0.2">
      <c r="D2723" s="18"/>
      <c r="E2723" s="18"/>
      <c r="F2723" s="18"/>
      <c r="J2723" s="27"/>
      <c r="K2723" s="27"/>
    </row>
    <row r="2724" spans="4:11" ht="15" customHeight="1" x14ac:dyDescent="0.2">
      <c r="D2724" s="18"/>
      <c r="E2724" s="18"/>
      <c r="F2724" s="18"/>
      <c r="J2724" s="27"/>
      <c r="K2724" s="27"/>
    </row>
    <row r="2725" spans="4:11" ht="15" customHeight="1" x14ac:dyDescent="0.2">
      <c r="D2725" s="18"/>
      <c r="E2725" s="18"/>
      <c r="F2725" s="18"/>
      <c r="J2725" s="27"/>
      <c r="K2725" s="27"/>
    </row>
    <row r="2726" spans="4:11" ht="15" customHeight="1" x14ac:dyDescent="0.2">
      <c r="D2726" s="18"/>
      <c r="E2726" s="18"/>
      <c r="F2726" s="18"/>
      <c r="J2726" s="27"/>
      <c r="K2726" s="27"/>
    </row>
    <row r="2727" spans="4:11" ht="15" customHeight="1" x14ac:dyDescent="0.2">
      <c r="D2727" s="18"/>
      <c r="E2727" s="18"/>
      <c r="F2727" s="18"/>
      <c r="J2727" s="27"/>
      <c r="K2727" s="27"/>
    </row>
    <row r="2728" spans="4:11" ht="15" customHeight="1" x14ac:dyDescent="0.2">
      <c r="D2728" s="18"/>
      <c r="E2728" s="18"/>
      <c r="F2728" s="18"/>
      <c r="J2728" s="27"/>
      <c r="K2728" s="27"/>
    </row>
    <row r="2729" spans="4:11" ht="15" customHeight="1" x14ac:dyDescent="0.2">
      <c r="D2729" s="18"/>
      <c r="E2729" s="18"/>
      <c r="F2729" s="18"/>
      <c r="J2729" s="27"/>
      <c r="K2729" s="27"/>
    </row>
    <row r="2730" spans="4:11" ht="15" customHeight="1" x14ac:dyDescent="0.2">
      <c r="D2730" s="18"/>
      <c r="E2730" s="18"/>
      <c r="F2730" s="18"/>
      <c r="J2730" s="27"/>
      <c r="K2730" s="27"/>
    </row>
    <row r="2731" spans="4:11" ht="15" customHeight="1" x14ac:dyDescent="0.2">
      <c r="D2731" s="18"/>
      <c r="E2731" s="18"/>
      <c r="F2731" s="18"/>
      <c r="J2731" s="27"/>
      <c r="K2731" s="27"/>
    </row>
    <row r="2732" spans="4:11" ht="15" customHeight="1" x14ac:dyDescent="0.2">
      <c r="D2732" s="18"/>
      <c r="E2732" s="18"/>
      <c r="F2732" s="18"/>
      <c r="J2732" s="27"/>
      <c r="K2732" s="27"/>
    </row>
    <row r="2733" spans="4:11" ht="15" customHeight="1" x14ac:dyDescent="0.2">
      <c r="D2733" s="18"/>
      <c r="E2733" s="18"/>
      <c r="F2733" s="18"/>
      <c r="J2733" s="27"/>
      <c r="K2733" s="27"/>
    </row>
    <row r="2734" spans="4:11" ht="15" customHeight="1" x14ac:dyDescent="0.2">
      <c r="D2734" s="18"/>
      <c r="E2734" s="18"/>
      <c r="F2734" s="18"/>
      <c r="J2734" s="27"/>
      <c r="K2734" s="27"/>
    </row>
    <row r="2735" spans="4:11" ht="15" customHeight="1" x14ac:dyDescent="0.2">
      <c r="D2735" s="18"/>
      <c r="E2735" s="18"/>
      <c r="F2735" s="18"/>
      <c r="J2735" s="27"/>
      <c r="K2735" s="27"/>
    </row>
    <row r="2736" spans="4:11" ht="15" customHeight="1" x14ac:dyDescent="0.2">
      <c r="D2736" s="18"/>
      <c r="E2736" s="18"/>
      <c r="F2736" s="18"/>
      <c r="J2736" s="27"/>
      <c r="K2736" s="27"/>
    </row>
    <row r="2737" spans="4:11" ht="15" customHeight="1" x14ac:dyDescent="0.2">
      <c r="D2737" s="18"/>
      <c r="E2737" s="18"/>
      <c r="F2737" s="18"/>
      <c r="J2737" s="27"/>
      <c r="K2737" s="27"/>
    </row>
    <row r="2738" spans="4:11" ht="15" customHeight="1" x14ac:dyDescent="0.2">
      <c r="D2738" s="18"/>
      <c r="E2738" s="18"/>
      <c r="F2738" s="18"/>
      <c r="J2738" s="27"/>
      <c r="K2738" s="27"/>
    </row>
    <row r="2739" spans="4:11" ht="15" customHeight="1" x14ac:dyDescent="0.2">
      <c r="D2739" s="18"/>
      <c r="E2739" s="18"/>
      <c r="F2739" s="18"/>
      <c r="J2739" s="27"/>
      <c r="K2739" s="27"/>
    </row>
    <row r="2740" spans="4:11" ht="15" customHeight="1" x14ac:dyDescent="0.2">
      <c r="D2740" s="18"/>
      <c r="E2740" s="18"/>
      <c r="F2740" s="18"/>
      <c r="J2740" s="27"/>
      <c r="K2740" s="27"/>
    </row>
    <row r="2741" spans="4:11" ht="15" customHeight="1" x14ac:dyDescent="0.2">
      <c r="D2741" s="18"/>
      <c r="E2741" s="18"/>
      <c r="F2741" s="18"/>
      <c r="J2741" s="27"/>
      <c r="K2741" s="27"/>
    </row>
    <row r="2742" spans="4:11" ht="15" customHeight="1" x14ac:dyDescent="0.2">
      <c r="D2742" s="18"/>
      <c r="E2742" s="18"/>
      <c r="F2742" s="18"/>
      <c r="J2742" s="27"/>
      <c r="K2742" s="27"/>
    </row>
    <row r="2743" spans="4:11" ht="15" customHeight="1" x14ac:dyDescent="0.2">
      <c r="D2743" s="18"/>
      <c r="E2743" s="18"/>
      <c r="F2743" s="18"/>
      <c r="J2743" s="27"/>
      <c r="K2743" s="27"/>
    </row>
    <row r="2744" spans="4:11" ht="15" customHeight="1" x14ac:dyDescent="0.2">
      <c r="D2744" s="18"/>
      <c r="E2744" s="18"/>
      <c r="F2744" s="18"/>
      <c r="J2744" s="27"/>
      <c r="K2744" s="27"/>
    </row>
    <row r="2745" spans="4:11" ht="15" customHeight="1" x14ac:dyDescent="0.2">
      <c r="D2745" s="18"/>
      <c r="E2745" s="18"/>
      <c r="F2745" s="18"/>
      <c r="J2745" s="27"/>
      <c r="K2745" s="27"/>
    </row>
    <row r="2746" spans="4:11" ht="15" customHeight="1" x14ac:dyDescent="0.2">
      <c r="D2746" s="18"/>
      <c r="E2746" s="18"/>
      <c r="F2746" s="18"/>
      <c r="J2746" s="27"/>
      <c r="K2746" s="27"/>
    </row>
    <row r="2747" spans="4:11" ht="15" customHeight="1" x14ac:dyDescent="0.2">
      <c r="D2747" s="18"/>
      <c r="E2747" s="18"/>
      <c r="F2747" s="18"/>
      <c r="J2747" s="27"/>
      <c r="K2747" s="27"/>
    </row>
    <row r="2748" spans="4:11" ht="15" customHeight="1" x14ac:dyDescent="0.2">
      <c r="D2748" s="18"/>
      <c r="E2748" s="18"/>
      <c r="F2748" s="18"/>
      <c r="J2748" s="27"/>
      <c r="K2748" s="27"/>
    </row>
    <row r="2749" spans="4:11" ht="15" customHeight="1" x14ac:dyDescent="0.2">
      <c r="D2749" s="18"/>
      <c r="E2749" s="18"/>
      <c r="F2749" s="18"/>
      <c r="J2749" s="27"/>
      <c r="K2749" s="27"/>
    </row>
    <row r="2750" spans="4:11" ht="15" customHeight="1" x14ac:dyDescent="0.2">
      <c r="D2750" s="18"/>
      <c r="E2750" s="18"/>
      <c r="F2750" s="18"/>
      <c r="J2750" s="27"/>
      <c r="K2750" s="27"/>
    </row>
    <row r="2751" spans="4:11" ht="15" customHeight="1" x14ac:dyDescent="0.2">
      <c r="D2751" s="18"/>
      <c r="E2751" s="18"/>
      <c r="F2751" s="18"/>
      <c r="J2751" s="27"/>
      <c r="K2751" s="27"/>
    </row>
    <row r="2752" spans="4:11" ht="15" customHeight="1" x14ac:dyDescent="0.2">
      <c r="D2752" s="18"/>
      <c r="E2752" s="18"/>
      <c r="F2752" s="18"/>
      <c r="J2752" s="27"/>
      <c r="K2752" s="27"/>
    </row>
    <row r="2753" spans="4:11" ht="15" customHeight="1" x14ac:dyDescent="0.2">
      <c r="D2753" s="18"/>
      <c r="E2753" s="18"/>
      <c r="F2753" s="18"/>
      <c r="J2753" s="27"/>
      <c r="K2753" s="27"/>
    </row>
    <row r="2754" spans="4:11" ht="15" customHeight="1" x14ac:dyDescent="0.2">
      <c r="D2754" s="18"/>
      <c r="E2754" s="18"/>
      <c r="F2754" s="18"/>
      <c r="J2754" s="27"/>
      <c r="K2754" s="27"/>
    </row>
    <row r="2755" spans="4:11" ht="15" customHeight="1" x14ac:dyDescent="0.2">
      <c r="D2755" s="18"/>
      <c r="E2755" s="18"/>
      <c r="F2755" s="18"/>
      <c r="J2755" s="27"/>
      <c r="K2755" s="27"/>
    </row>
    <row r="2756" spans="4:11" ht="15" customHeight="1" x14ac:dyDescent="0.2">
      <c r="D2756" s="18"/>
      <c r="E2756" s="18"/>
      <c r="F2756" s="18"/>
      <c r="J2756" s="27"/>
      <c r="K2756" s="27"/>
    </row>
    <row r="2757" spans="4:11" ht="15" customHeight="1" x14ac:dyDescent="0.2">
      <c r="D2757" s="18"/>
      <c r="E2757" s="18"/>
      <c r="F2757" s="18"/>
      <c r="J2757" s="27"/>
      <c r="K2757" s="27"/>
    </row>
    <row r="2758" spans="4:11" ht="15" customHeight="1" x14ac:dyDescent="0.2">
      <c r="D2758" s="18"/>
      <c r="E2758" s="18"/>
      <c r="F2758" s="18"/>
      <c r="J2758" s="27"/>
      <c r="K2758" s="27"/>
    </row>
    <row r="2759" spans="4:11" ht="15" customHeight="1" x14ac:dyDescent="0.2">
      <c r="D2759" s="18"/>
      <c r="E2759" s="18"/>
      <c r="F2759" s="18"/>
      <c r="J2759" s="27"/>
      <c r="K2759" s="27"/>
    </row>
    <row r="2760" spans="4:11" ht="15" customHeight="1" x14ac:dyDescent="0.2">
      <c r="D2760" s="18"/>
      <c r="E2760" s="18"/>
      <c r="F2760" s="18"/>
      <c r="J2760" s="27"/>
      <c r="K2760" s="27"/>
    </row>
    <row r="2761" spans="4:11" ht="15" customHeight="1" x14ac:dyDescent="0.2">
      <c r="D2761" s="18"/>
      <c r="E2761" s="18"/>
      <c r="F2761" s="18"/>
      <c r="J2761" s="27"/>
      <c r="K2761" s="27"/>
    </row>
    <row r="2762" spans="4:11" ht="15" customHeight="1" x14ac:dyDescent="0.2">
      <c r="D2762" s="18"/>
      <c r="E2762" s="18"/>
      <c r="F2762" s="18"/>
      <c r="J2762" s="27"/>
      <c r="K2762" s="27"/>
    </row>
    <row r="2763" spans="4:11" ht="15" customHeight="1" x14ac:dyDescent="0.2">
      <c r="D2763" s="18"/>
      <c r="E2763" s="18"/>
      <c r="F2763" s="18"/>
      <c r="J2763" s="27"/>
      <c r="K2763" s="27"/>
    </row>
    <row r="2764" spans="4:11" ht="15" customHeight="1" x14ac:dyDescent="0.2">
      <c r="D2764" s="18"/>
      <c r="E2764" s="18"/>
      <c r="F2764" s="18"/>
      <c r="J2764" s="27"/>
      <c r="K2764" s="27"/>
    </row>
    <row r="2765" spans="4:11" ht="15" customHeight="1" x14ac:dyDescent="0.2">
      <c r="D2765" s="18"/>
      <c r="E2765" s="18"/>
      <c r="F2765" s="18"/>
      <c r="J2765" s="27"/>
      <c r="K2765" s="27"/>
    </row>
    <row r="2766" spans="4:11" ht="15" customHeight="1" x14ac:dyDescent="0.2">
      <c r="D2766" s="18"/>
      <c r="E2766" s="18"/>
      <c r="F2766" s="18"/>
      <c r="J2766" s="27"/>
      <c r="K2766" s="27"/>
    </row>
    <row r="2767" spans="4:11" ht="15" customHeight="1" x14ac:dyDescent="0.2">
      <c r="D2767" s="18"/>
      <c r="E2767" s="18"/>
      <c r="F2767" s="18"/>
      <c r="J2767" s="27"/>
      <c r="K2767" s="27"/>
    </row>
    <row r="2768" spans="4:11" ht="15" customHeight="1" x14ac:dyDescent="0.2">
      <c r="D2768" s="18"/>
      <c r="E2768" s="18"/>
      <c r="F2768" s="18"/>
      <c r="J2768" s="27"/>
      <c r="K2768" s="27"/>
    </row>
    <row r="2769" spans="4:11" ht="15" customHeight="1" x14ac:dyDescent="0.2">
      <c r="D2769" s="18"/>
      <c r="E2769" s="18"/>
      <c r="F2769" s="18"/>
      <c r="J2769" s="27"/>
      <c r="K2769" s="27"/>
    </row>
    <row r="2770" spans="4:11" ht="15" customHeight="1" x14ac:dyDescent="0.2">
      <c r="D2770" s="18"/>
      <c r="E2770" s="18"/>
      <c r="F2770" s="18"/>
      <c r="J2770" s="27"/>
      <c r="K2770" s="27"/>
    </row>
    <row r="2771" spans="4:11" ht="15" customHeight="1" x14ac:dyDescent="0.2">
      <c r="D2771" s="18"/>
      <c r="E2771" s="18"/>
      <c r="F2771" s="18"/>
      <c r="J2771" s="27"/>
      <c r="K2771" s="27"/>
    </row>
    <row r="2772" spans="4:11" ht="15" customHeight="1" x14ac:dyDescent="0.2">
      <c r="D2772" s="18"/>
      <c r="E2772" s="18"/>
      <c r="F2772" s="18"/>
      <c r="J2772" s="27"/>
      <c r="K2772" s="27"/>
    </row>
    <row r="2773" spans="4:11" ht="15" customHeight="1" x14ac:dyDescent="0.2">
      <c r="D2773" s="18"/>
      <c r="E2773" s="18"/>
      <c r="F2773" s="18"/>
      <c r="J2773" s="27"/>
      <c r="K2773" s="27"/>
    </row>
    <row r="2774" spans="4:11" ht="15" customHeight="1" x14ac:dyDescent="0.2">
      <c r="D2774" s="18"/>
      <c r="E2774" s="18"/>
      <c r="F2774" s="18"/>
      <c r="J2774" s="27"/>
      <c r="K2774" s="27"/>
    </row>
    <row r="2775" spans="4:11" ht="15" customHeight="1" x14ac:dyDescent="0.2">
      <c r="D2775" s="18"/>
      <c r="E2775" s="18"/>
      <c r="F2775" s="18"/>
      <c r="J2775" s="27"/>
      <c r="K2775" s="27"/>
    </row>
    <row r="2776" spans="4:11" ht="15" customHeight="1" x14ac:dyDescent="0.2">
      <c r="D2776" s="18"/>
      <c r="E2776" s="18"/>
      <c r="F2776" s="18"/>
      <c r="J2776" s="27"/>
      <c r="K2776" s="27"/>
    </row>
    <row r="2777" spans="4:11" ht="15" customHeight="1" x14ac:dyDescent="0.2">
      <c r="D2777" s="18"/>
      <c r="E2777" s="18"/>
      <c r="F2777" s="18"/>
      <c r="J2777" s="27"/>
      <c r="K2777" s="27"/>
    </row>
    <row r="2778" spans="4:11" ht="15" customHeight="1" x14ac:dyDescent="0.2">
      <c r="D2778" s="18"/>
      <c r="E2778" s="18"/>
      <c r="F2778" s="18"/>
      <c r="J2778" s="27"/>
      <c r="K2778" s="27"/>
    </row>
    <row r="2779" spans="4:11" ht="15" customHeight="1" x14ac:dyDescent="0.2">
      <c r="D2779" s="18"/>
      <c r="E2779" s="18"/>
      <c r="F2779" s="18"/>
      <c r="J2779" s="27"/>
      <c r="K2779" s="27"/>
    </row>
    <row r="2780" spans="4:11" ht="15" customHeight="1" x14ac:dyDescent="0.2">
      <c r="D2780" s="18"/>
      <c r="E2780" s="18"/>
      <c r="F2780" s="18"/>
      <c r="J2780" s="27"/>
      <c r="K2780" s="27"/>
    </row>
    <row r="2781" spans="4:11" ht="15" customHeight="1" x14ac:dyDescent="0.2">
      <c r="D2781" s="18"/>
      <c r="E2781" s="18"/>
      <c r="F2781" s="18"/>
      <c r="J2781" s="27"/>
      <c r="K2781" s="27"/>
    </row>
    <row r="2782" spans="4:11" ht="15" customHeight="1" x14ac:dyDescent="0.2">
      <c r="D2782" s="18"/>
      <c r="E2782" s="18"/>
      <c r="F2782" s="18"/>
      <c r="J2782" s="27"/>
      <c r="K2782" s="27"/>
    </row>
    <row r="2783" spans="4:11" ht="15" customHeight="1" x14ac:dyDescent="0.2">
      <c r="D2783" s="18"/>
      <c r="E2783" s="18"/>
      <c r="F2783" s="18"/>
      <c r="J2783" s="27"/>
      <c r="K2783" s="27"/>
    </row>
    <row r="2784" spans="4:11" ht="15" customHeight="1" x14ac:dyDescent="0.2">
      <c r="D2784" s="18"/>
      <c r="E2784" s="18"/>
      <c r="F2784" s="18"/>
      <c r="J2784" s="27"/>
      <c r="K2784" s="27"/>
    </row>
    <row r="2785" spans="4:11" ht="15" customHeight="1" x14ac:dyDescent="0.2">
      <c r="D2785" s="18"/>
      <c r="E2785" s="18"/>
      <c r="F2785" s="18"/>
      <c r="J2785" s="27"/>
      <c r="K2785" s="27"/>
    </row>
    <row r="2786" spans="4:11" ht="15" customHeight="1" x14ac:dyDescent="0.2">
      <c r="D2786" s="18"/>
      <c r="E2786" s="18"/>
      <c r="F2786" s="18"/>
      <c r="J2786" s="27"/>
      <c r="K2786" s="27"/>
    </row>
    <row r="2787" spans="4:11" ht="15" customHeight="1" x14ac:dyDescent="0.2">
      <c r="D2787" s="18"/>
      <c r="E2787" s="18"/>
      <c r="F2787" s="18"/>
      <c r="J2787" s="27"/>
      <c r="K2787" s="27"/>
    </row>
    <row r="2788" spans="4:11" ht="15" customHeight="1" x14ac:dyDescent="0.2">
      <c r="D2788" s="18"/>
      <c r="E2788" s="18"/>
      <c r="F2788" s="18"/>
      <c r="J2788" s="27"/>
      <c r="K2788" s="27"/>
    </row>
    <row r="2789" spans="4:11" ht="15" customHeight="1" x14ac:dyDescent="0.2">
      <c r="D2789" s="18"/>
      <c r="E2789" s="18"/>
      <c r="F2789" s="18"/>
      <c r="J2789" s="27"/>
      <c r="K2789" s="27"/>
    </row>
    <row r="2790" spans="4:11" ht="15" customHeight="1" x14ac:dyDescent="0.2">
      <c r="D2790" s="18"/>
      <c r="E2790" s="18"/>
      <c r="F2790" s="18"/>
      <c r="J2790" s="27"/>
      <c r="K2790" s="27"/>
    </row>
    <row r="2791" spans="4:11" ht="15" customHeight="1" x14ac:dyDescent="0.2">
      <c r="D2791" s="18"/>
      <c r="E2791" s="18"/>
      <c r="F2791" s="18"/>
      <c r="J2791" s="27"/>
      <c r="K2791" s="27"/>
    </row>
    <row r="2792" spans="4:11" ht="15" customHeight="1" x14ac:dyDescent="0.2">
      <c r="D2792" s="18"/>
      <c r="E2792" s="18"/>
      <c r="F2792" s="18"/>
      <c r="J2792" s="27"/>
      <c r="K2792" s="27"/>
    </row>
    <row r="2793" spans="4:11" ht="15" customHeight="1" x14ac:dyDescent="0.2">
      <c r="D2793" s="18"/>
      <c r="E2793" s="18"/>
      <c r="F2793" s="18"/>
      <c r="J2793" s="27"/>
      <c r="K2793" s="27"/>
    </row>
    <row r="2794" spans="4:11" ht="15" customHeight="1" x14ac:dyDescent="0.2">
      <c r="D2794" s="18"/>
      <c r="E2794" s="18"/>
      <c r="F2794" s="18"/>
      <c r="J2794" s="27"/>
      <c r="K2794" s="27"/>
    </row>
    <row r="2795" spans="4:11" ht="15" customHeight="1" x14ac:dyDescent="0.2">
      <c r="D2795" s="18"/>
      <c r="E2795" s="18"/>
      <c r="F2795" s="18"/>
      <c r="J2795" s="27"/>
      <c r="K2795" s="27"/>
    </row>
    <row r="2796" spans="4:11" ht="15" customHeight="1" x14ac:dyDescent="0.2">
      <c r="D2796" s="18"/>
      <c r="E2796" s="18"/>
      <c r="F2796" s="18"/>
      <c r="J2796" s="27"/>
      <c r="K2796" s="27"/>
    </row>
    <row r="2797" spans="4:11" ht="15" customHeight="1" x14ac:dyDescent="0.2">
      <c r="D2797" s="18"/>
      <c r="E2797" s="18"/>
      <c r="F2797" s="18"/>
      <c r="J2797" s="27"/>
      <c r="K2797" s="27"/>
    </row>
    <row r="2798" spans="4:11" ht="15" customHeight="1" x14ac:dyDescent="0.2">
      <c r="D2798" s="18"/>
      <c r="E2798" s="18"/>
      <c r="F2798" s="18"/>
      <c r="J2798" s="27"/>
      <c r="K2798" s="27"/>
    </row>
    <row r="2799" spans="4:11" ht="15" customHeight="1" x14ac:dyDescent="0.2">
      <c r="D2799" s="18"/>
      <c r="E2799" s="18"/>
      <c r="F2799" s="18"/>
      <c r="J2799" s="27"/>
      <c r="K2799" s="27"/>
    </row>
    <row r="2800" spans="4:11" ht="15" customHeight="1" x14ac:dyDescent="0.2">
      <c r="D2800" s="18"/>
      <c r="E2800" s="18"/>
      <c r="F2800" s="18"/>
      <c r="J2800" s="27"/>
      <c r="K2800" s="27"/>
    </row>
    <row r="2801" spans="4:11" ht="15" customHeight="1" x14ac:dyDescent="0.2">
      <c r="D2801" s="18"/>
      <c r="E2801" s="18"/>
      <c r="F2801" s="18"/>
      <c r="J2801" s="27"/>
      <c r="K2801" s="27"/>
    </row>
    <row r="2802" spans="4:11" ht="15" customHeight="1" x14ac:dyDescent="0.2">
      <c r="D2802" s="18"/>
      <c r="E2802" s="18"/>
      <c r="F2802" s="18"/>
      <c r="J2802" s="27"/>
      <c r="K2802" s="27"/>
    </row>
    <row r="2803" spans="4:11" ht="15" customHeight="1" x14ac:dyDescent="0.2">
      <c r="D2803" s="18"/>
      <c r="E2803" s="18"/>
      <c r="F2803" s="18"/>
      <c r="J2803" s="27"/>
      <c r="K2803" s="27"/>
    </row>
    <row r="2804" spans="4:11" ht="15" customHeight="1" x14ac:dyDescent="0.2">
      <c r="D2804" s="18"/>
      <c r="E2804" s="18"/>
      <c r="F2804" s="18"/>
      <c r="J2804" s="27"/>
      <c r="K2804" s="27"/>
    </row>
    <row r="2805" spans="4:11" ht="15" customHeight="1" x14ac:dyDescent="0.2">
      <c r="D2805" s="18"/>
      <c r="E2805" s="18"/>
      <c r="F2805" s="18"/>
      <c r="J2805" s="27"/>
      <c r="K2805" s="27"/>
    </row>
    <row r="2806" spans="4:11" ht="15" customHeight="1" x14ac:dyDescent="0.2">
      <c r="D2806" s="18"/>
      <c r="E2806" s="18"/>
      <c r="F2806" s="18"/>
      <c r="J2806" s="27"/>
      <c r="K2806" s="27"/>
    </row>
    <row r="2807" spans="4:11" ht="15" customHeight="1" x14ac:dyDescent="0.2">
      <c r="D2807" s="18"/>
      <c r="E2807" s="18"/>
      <c r="F2807" s="18"/>
      <c r="J2807" s="27"/>
      <c r="K2807" s="27"/>
    </row>
    <row r="2808" spans="4:11" ht="15" customHeight="1" x14ac:dyDescent="0.2">
      <c r="D2808" s="18"/>
      <c r="E2808" s="18"/>
      <c r="F2808" s="18"/>
      <c r="J2808" s="27"/>
      <c r="K2808" s="27"/>
    </row>
    <row r="2809" spans="4:11" ht="15" customHeight="1" x14ac:dyDescent="0.2">
      <c r="D2809" s="18"/>
      <c r="E2809" s="18"/>
      <c r="F2809" s="18"/>
      <c r="J2809" s="27"/>
      <c r="K2809" s="27"/>
    </row>
    <row r="2810" spans="4:11" ht="15" customHeight="1" x14ac:dyDescent="0.2">
      <c r="D2810" s="18"/>
      <c r="E2810" s="18"/>
      <c r="F2810" s="18"/>
      <c r="J2810" s="27"/>
      <c r="K2810" s="27"/>
    </row>
    <row r="2811" spans="4:11" ht="15" customHeight="1" x14ac:dyDescent="0.2">
      <c r="D2811" s="18"/>
      <c r="E2811" s="18"/>
      <c r="F2811" s="18"/>
      <c r="J2811" s="27"/>
      <c r="K2811" s="27"/>
    </row>
    <row r="2812" spans="4:11" ht="15" customHeight="1" x14ac:dyDescent="0.2">
      <c r="D2812" s="18"/>
      <c r="E2812" s="18"/>
      <c r="F2812" s="18"/>
      <c r="J2812" s="27"/>
      <c r="K2812" s="27"/>
    </row>
    <row r="2813" spans="4:11" ht="15" customHeight="1" x14ac:dyDescent="0.2">
      <c r="D2813" s="18"/>
      <c r="E2813" s="18"/>
      <c r="F2813" s="18"/>
      <c r="J2813" s="27"/>
      <c r="K2813" s="27"/>
    </row>
    <row r="2814" spans="4:11" ht="15" customHeight="1" x14ac:dyDescent="0.2">
      <c r="D2814" s="18"/>
      <c r="E2814" s="18"/>
      <c r="F2814" s="18"/>
      <c r="J2814" s="27"/>
      <c r="K2814" s="27"/>
    </row>
    <row r="2815" spans="4:11" ht="15" customHeight="1" x14ac:dyDescent="0.2">
      <c r="D2815" s="18"/>
      <c r="E2815" s="18"/>
      <c r="F2815" s="18"/>
      <c r="J2815" s="27"/>
      <c r="K2815" s="27"/>
    </row>
    <row r="2816" spans="4:11" ht="15" customHeight="1" x14ac:dyDescent="0.2">
      <c r="D2816" s="18"/>
      <c r="E2816" s="18"/>
      <c r="F2816" s="18"/>
      <c r="J2816" s="27"/>
      <c r="K2816" s="27"/>
    </row>
    <row r="2817" spans="4:11" ht="15" customHeight="1" x14ac:dyDescent="0.2">
      <c r="D2817" s="18"/>
      <c r="E2817" s="18"/>
      <c r="F2817" s="18"/>
      <c r="J2817" s="27"/>
      <c r="K2817" s="27"/>
    </row>
    <row r="2818" spans="4:11" ht="15" customHeight="1" x14ac:dyDescent="0.2">
      <c r="D2818" s="18"/>
      <c r="E2818" s="18"/>
      <c r="F2818" s="18"/>
      <c r="J2818" s="27"/>
      <c r="K2818" s="27"/>
    </row>
    <row r="2819" spans="4:11" ht="15" customHeight="1" x14ac:dyDescent="0.2">
      <c r="D2819" s="18"/>
      <c r="E2819" s="18"/>
      <c r="F2819" s="18"/>
      <c r="J2819" s="27"/>
      <c r="K2819" s="27"/>
    </row>
    <row r="2820" spans="4:11" ht="15" customHeight="1" x14ac:dyDescent="0.2">
      <c r="D2820" s="18"/>
      <c r="E2820" s="18"/>
      <c r="F2820" s="18"/>
      <c r="J2820" s="27"/>
      <c r="K2820" s="27"/>
    </row>
    <row r="2821" spans="4:11" ht="15" customHeight="1" x14ac:dyDescent="0.2">
      <c r="D2821" s="18"/>
      <c r="E2821" s="18"/>
      <c r="F2821" s="18"/>
      <c r="J2821" s="27"/>
      <c r="K2821" s="27"/>
    </row>
    <row r="2822" spans="4:11" ht="15" customHeight="1" x14ac:dyDescent="0.2">
      <c r="D2822" s="18"/>
      <c r="E2822" s="18"/>
      <c r="F2822" s="18"/>
      <c r="J2822" s="27"/>
      <c r="K2822" s="27"/>
    </row>
    <row r="2823" spans="4:11" ht="15" customHeight="1" x14ac:dyDescent="0.2">
      <c r="D2823" s="18"/>
      <c r="E2823" s="18"/>
      <c r="F2823" s="18"/>
      <c r="J2823" s="27"/>
      <c r="K2823" s="27"/>
    </row>
    <row r="2824" spans="4:11" ht="15" customHeight="1" x14ac:dyDescent="0.2">
      <c r="D2824" s="18"/>
      <c r="E2824" s="18"/>
      <c r="F2824" s="18"/>
      <c r="J2824" s="27"/>
      <c r="K2824" s="27"/>
    </row>
    <row r="2825" spans="4:11" ht="15" customHeight="1" x14ac:dyDescent="0.2">
      <c r="D2825" s="18"/>
      <c r="E2825" s="18"/>
      <c r="F2825" s="18"/>
      <c r="J2825" s="27"/>
      <c r="K2825" s="27"/>
    </row>
    <row r="2826" spans="4:11" ht="15" customHeight="1" x14ac:dyDescent="0.2">
      <c r="D2826" s="18"/>
      <c r="E2826" s="18"/>
      <c r="F2826" s="18"/>
      <c r="J2826" s="27"/>
      <c r="K2826" s="27"/>
    </row>
    <row r="2827" spans="4:11" ht="15" customHeight="1" x14ac:dyDescent="0.2">
      <c r="D2827" s="18"/>
      <c r="E2827" s="18"/>
      <c r="F2827" s="18"/>
      <c r="J2827" s="27"/>
      <c r="K2827" s="27"/>
    </row>
    <row r="2828" spans="4:11" ht="15" customHeight="1" x14ac:dyDescent="0.2">
      <c r="D2828" s="18"/>
      <c r="E2828" s="18"/>
      <c r="F2828" s="18"/>
      <c r="J2828" s="27"/>
      <c r="K2828" s="27"/>
    </row>
    <row r="2829" spans="4:11" ht="15" customHeight="1" x14ac:dyDescent="0.2">
      <c r="D2829" s="18"/>
      <c r="E2829" s="18"/>
      <c r="F2829" s="18"/>
      <c r="J2829" s="27"/>
      <c r="K2829" s="27"/>
    </row>
    <row r="2830" spans="4:11" ht="15" customHeight="1" x14ac:dyDescent="0.2">
      <c r="D2830" s="18"/>
      <c r="E2830" s="18"/>
      <c r="F2830" s="18"/>
      <c r="J2830" s="27"/>
      <c r="K2830" s="27"/>
    </row>
    <row r="2831" spans="4:11" ht="15" customHeight="1" x14ac:dyDescent="0.2">
      <c r="D2831" s="18"/>
      <c r="E2831" s="18"/>
      <c r="F2831" s="18"/>
      <c r="J2831" s="27"/>
      <c r="K2831" s="27"/>
    </row>
    <row r="2832" spans="4:11" ht="15" customHeight="1" x14ac:dyDescent="0.2">
      <c r="D2832" s="18"/>
      <c r="E2832" s="18"/>
      <c r="F2832" s="18"/>
      <c r="J2832" s="27"/>
      <c r="K2832" s="27"/>
    </row>
    <row r="2833" spans="4:11" ht="15" customHeight="1" x14ac:dyDescent="0.2">
      <c r="D2833" s="18"/>
      <c r="E2833" s="18"/>
      <c r="F2833" s="18"/>
      <c r="J2833" s="27"/>
      <c r="K2833" s="27"/>
    </row>
    <row r="2834" spans="4:11" ht="15" customHeight="1" x14ac:dyDescent="0.2">
      <c r="D2834" s="18"/>
      <c r="E2834" s="18"/>
      <c r="F2834" s="18"/>
      <c r="J2834" s="27"/>
      <c r="K2834" s="27"/>
    </row>
    <row r="2835" spans="4:11" ht="15" customHeight="1" x14ac:dyDescent="0.2">
      <c r="D2835" s="18"/>
      <c r="E2835" s="18"/>
      <c r="F2835" s="18"/>
      <c r="J2835" s="27"/>
      <c r="K2835" s="27"/>
    </row>
    <row r="2836" spans="4:11" ht="15" customHeight="1" x14ac:dyDescent="0.2">
      <c r="D2836" s="18"/>
      <c r="E2836" s="18"/>
      <c r="F2836" s="18"/>
      <c r="J2836" s="27"/>
      <c r="K2836" s="27"/>
    </row>
    <row r="2837" spans="4:11" ht="15" customHeight="1" x14ac:dyDescent="0.2">
      <c r="D2837" s="18"/>
      <c r="E2837" s="18"/>
      <c r="F2837" s="18"/>
      <c r="J2837" s="27"/>
      <c r="K2837" s="27"/>
    </row>
    <row r="2838" spans="4:11" ht="15" customHeight="1" x14ac:dyDescent="0.2">
      <c r="D2838" s="18"/>
      <c r="E2838" s="18"/>
      <c r="F2838" s="18"/>
      <c r="J2838" s="27"/>
      <c r="K2838" s="27"/>
    </row>
    <row r="2839" spans="4:11" ht="15" customHeight="1" x14ac:dyDescent="0.2">
      <c r="D2839" s="18"/>
      <c r="E2839" s="18"/>
      <c r="F2839" s="18"/>
      <c r="J2839" s="27"/>
      <c r="K2839" s="27"/>
    </row>
    <row r="2840" spans="4:11" ht="15" customHeight="1" x14ac:dyDescent="0.2">
      <c r="D2840" s="18"/>
      <c r="E2840" s="18"/>
      <c r="F2840" s="18"/>
      <c r="J2840" s="27"/>
      <c r="K2840" s="27"/>
    </row>
    <row r="2841" spans="4:11" ht="15" customHeight="1" x14ac:dyDescent="0.2">
      <c r="D2841" s="18"/>
      <c r="E2841" s="18"/>
      <c r="F2841" s="18"/>
      <c r="J2841" s="27"/>
      <c r="K2841" s="27"/>
    </row>
    <row r="2842" spans="4:11" ht="15" customHeight="1" x14ac:dyDescent="0.2">
      <c r="D2842" s="18"/>
      <c r="E2842" s="18"/>
      <c r="F2842" s="18"/>
      <c r="J2842" s="27"/>
      <c r="K2842" s="27"/>
    </row>
    <row r="2843" spans="4:11" ht="15" customHeight="1" x14ac:dyDescent="0.2">
      <c r="D2843" s="18"/>
      <c r="E2843" s="18"/>
      <c r="F2843" s="18"/>
      <c r="J2843" s="27"/>
      <c r="K2843" s="27"/>
    </row>
    <row r="2844" spans="4:11" ht="15" customHeight="1" x14ac:dyDescent="0.2">
      <c r="D2844" s="18"/>
      <c r="E2844" s="18"/>
      <c r="F2844" s="18"/>
      <c r="J2844" s="27"/>
      <c r="K2844" s="27"/>
    </row>
    <row r="2845" spans="4:11" ht="15" customHeight="1" x14ac:dyDescent="0.2">
      <c r="D2845" s="18"/>
      <c r="E2845" s="18"/>
      <c r="F2845" s="18"/>
      <c r="J2845" s="27"/>
      <c r="K2845" s="27"/>
    </row>
    <row r="2846" spans="4:11" ht="15" customHeight="1" x14ac:dyDescent="0.2">
      <c r="D2846" s="18"/>
      <c r="E2846" s="18"/>
      <c r="F2846" s="18"/>
      <c r="J2846" s="27"/>
      <c r="K2846" s="27"/>
    </row>
    <row r="2847" spans="4:11" ht="15" customHeight="1" x14ac:dyDescent="0.2">
      <c r="D2847" s="18"/>
      <c r="E2847" s="18"/>
      <c r="F2847" s="18"/>
      <c r="J2847" s="27"/>
      <c r="K2847" s="27"/>
    </row>
    <row r="2848" spans="4:11" ht="15" customHeight="1" x14ac:dyDescent="0.2">
      <c r="D2848" s="18"/>
      <c r="E2848" s="18"/>
      <c r="F2848" s="18"/>
      <c r="J2848" s="27"/>
      <c r="K2848" s="27"/>
    </row>
    <row r="2849" spans="4:11" ht="15" customHeight="1" x14ac:dyDescent="0.2">
      <c r="D2849" s="18"/>
      <c r="E2849" s="18"/>
      <c r="F2849" s="18"/>
      <c r="J2849" s="27"/>
      <c r="K2849" s="27"/>
    </row>
    <row r="2850" spans="4:11" ht="15" customHeight="1" x14ac:dyDescent="0.2">
      <c r="D2850" s="18"/>
      <c r="E2850" s="18"/>
      <c r="F2850" s="18"/>
      <c r="J2850" s="27"/>
      <c r="K2850" s="27"/>
    </row>
    <row r="2851" spans="4:11" ht="15" customHeight="1" x14ac:dyDescent="0.2">
      <c r="D2851" s="18"/>
      <c r="E2851" s="18"/>
      <c r="F2851" s="18"/>
      <c r="J2851" s="27"/>
      <c r="K2851" s="27"/>
    </row>
    <row r="2852" spans="4:11" ht="15" customHeight="1" x14ac:dyDescent="0.2">
      <c r="D2852" s="18"/>
      <c r="E2852" s="18"/>
      <c r="F2852" s="18"/>
      <c r="J2852" s="27"/>
      <c r="K2852" s="27"/>
    </row>
    <row r="2853" spans="4:11" ht="15" customHeight="1" x14ac:dyDescent="0.2">
      <c r="D2853" s="18"/>
      <c r="E2853" s="18"/>
      <c r="F2853" s="18"/>
      <c r="J2853" s="27"/>
      <c r="K2853" s="27"/>
    </row>
    <row r="2854" spans="4:11" ht="15" customHeight="1" x14ac:dyDescent="0.2">
      <c r="D2854" s="18"/>
      <c r="E2854" s="18"/>
      <c r="F2854" s="18"/>
      <c r="J2854" s="27"/>
      <c r="K2854" s="27"/>
    </row>
    <row r="2855" spans="4:11" ht="15" customHeight="1" x14ac:dyDescent="0.2">
      <c r="D2855" s="18"/>
      <c r="E2855" s="18"/>
      <c r="F2855" s="18"/>
      <c r="J2855" s="27"/>
      <c r="K2855" s="27"/>
    </row>
    <row r="2856" spans="4:11" ht="15" customHeight="1" x14ac:dyDescent="0.2">
      <c r="D2856" s="18"/>
      <c r="E2856" s="18"/>
      <c r="F2856" s="18"/>
      <c r="J2856" s="27"/>
      <c r="K2856" s="27"/>
    </row>
    <row r="2857" spans="4:11" ht="15" customHeight="1" x14ac:dyDescent="0.2">
      <c r="D2857" s="18"/>
      <c r="E2857" s="18"/>
      <c r="F2857" s="18"/>
      <c r="J2857" s="27"/>
      <c r="K2857" s="27"/>
    </row>
    <row r="2858" spans="4:11" ht="15" customHeight="1" x14ac:dyDescent="0.2">
      <c r="D2858" s="18"/>
      <c r="E2858" s="18"/>
      <c r="F2858" s="18"/>
      <c r="J2858" s="27"/>
      <c r="K2858" s="27"/>
    </row>
    <row r="2859" spans="4:11" ht="15" customHeight="1" x14ac:dyDescent="0.2">
      <c r="D2859" s="18"/>
      <c r="E2859" s="18"/>
      <c r="F2859" s="18"/>
      <c r="J2859" s="27"/>
      <c r="K2859" s="27"/>
    </row>
    <row r="2860" spans="4:11" ht="15" customHeight="1" x14ac:dyDescent="0.2">
      <c r="D2860" s="18"/>
      <c r="E2860" s="18"/>
      <c r="F2860" s="18"/>
      <c r="J2860" s="27"/>
      <c r="K2860" s="27"/>
    </row>
    <row r="2861" spans="4:11" ht="15" customHeight="1" x14ac:dyDescent="0.2">
      <c r="D2861" s="18"/>
      <c r="E2861" s="18"/>
      <c r="F2861" s="18"/>
      <c r="J2861" s="27"/>
      <c r="K2861" s="27"/>
    </row>
    <row r="2862" spans="4:11" ht="15" customHeight="1" x14ac:dyDescent="0.2">
      <c r="D2862" s="18"/>
      <c r="E2862" s="18"/>
      <c r="F2862" s="18"/>
      <c r="J2862" s="27"/>
      <c r="K2862" s="27"/>
    </row>
    <row r="2863" spans="4:11" ht="15" customHeight="1" x14ac:dyDescent="0.2">
      <c r="D2863" s="18"/>
      <c r="E2863" s="18"/>
      <c r="F2863" s="18"/>
      <c r="J2863" s="27"/>
      <c r="K2863" s="27"/>
    </row>
    <row r="2864" spans="4:11" ht="15" customHeight="1" x14ac:dyDescent="0.2">
      <c r="D2864" s="18"/>
      <c r="E2864" s="18"/>
      <c r="F2864" s="18"/>
      <c r="J2864" s="27"/>
      <c r="K2864" s="27"/>
    </row>
    <row r="2865" spans="4:11" ht="15" customHeight="1" x14ac:dyDescent="0.2">
      <c r="D2865" s="18"/>
      <c r="E2865" s="18"/>
      <c r="F2865" s="18"/>
      <c r="J2865" s="27"/>
      <c r="K2865" s="27"/>
    </row>
    <row r="2866" spans="4:11" ht="15" customHeight="1" x14ac:dyDescent="0.2">
      <c r="D2866" s="18"/>
      <c r="E2866" s="18"/>
      <c r="F2866" s="18"/>
      <c r="J2866" s="27"/>
      <c r="K2866" s="27"/>
    </row>
    <row r="2867" spans="4:11" ht="15" customHeight="1" x14ac:dyDescent="0.2">
      <c r="D2867" s="18"/>
      <c r="E2867" s="18"/>
      <c r="F2867" s="18"/>
      <c r="J2867" s="27"/>
      <c r="K2867" s="27"/>
    </row>
    <row r="2868" spans="4:11" ht="15" customHeight="1" x14ac:dyDescent="0.2">
      <c r="D2868" s="18"/>
      <c r="E2868" s="18"/>
      <c r="F2868" s="18"/>
      <c r="J2868" s="27"/>
      <c r="K2868" s="27"/>
    </row>
    <row r="2869" spans="4:11" ht="15" customHeight="1" x14ac:dyDescent="0.2">
      <c r="D2869" s="18"/>
      <c r="E2869" s="18"/>
      <c r="F2869" s="18"/>
      <c r="J2869" s="27"/>
      <c r="K2869" s="27"/>
    </row>
    <row r="2870" spans="4:11" ht="15" customHeight="1" x14ac:dyDescent="0.2">
      <c r="D2870" s="18"/>
      <c r="E2870" s="18"/>
      <c r="F2870" s="18"/>
      <c r="J2870" s="27"/>
      <c r="K2870" s="27"/>
    </row>
    <row r="2871" spans="4:11" ht="15" customHeight="1" x14ac:dyDescent="0.2">
      <c r="D2871" s="18"/>
      <c r="E2871" s="18"/>
      <c r="F2871" s="18"/>
      <c r="J2871" s="27"/>
      <c r="K2871" s="27"/>
    </row>
    <row r="2872" spans="4:11" ht="15" customHeight="1" x14ac:dyDescent="0.2">
      <c r="D2872" s="18"/>
      <c r="E2872" s="18"/>
      <c r="F2872" s="18"/>
      <c r="J2872" s="27"/>
      <c r="K2872" s="27"/>
    </row>
    <row r="2873" spans="4:11" ht="15" customHeight="1" x14ac:dyDescent="0.2">
      <c r="D2873" s="18"/>
      <c r="E2873" s="18"/>
      <c r="F2873" s="18"/>
      <c r="J2873" s="27"/>
      <c r="K2873" s="27"/>
    </row>
    <row r="2874" spans="4:11" ht="15" customHeight="1" x14ac:dyDescent="0.2">
      <c r="D2874" s="18"/>
      <c r="E2874" s="18"/>
      <c r="F2874" s="18"/>
      <c r="J2874" s="27"/>
      <c r="K2874" s="27"/>
    </row>
    <row r="2875" spans="4:11" ht="15" customHeight="1" x14ac:dyDescent="0.2">
      <c r="D2875" s="18"/>
      <c r="E2875" s="18"/>
      <c r="F2875" s="18"/>
      <c r="J2875" s="27"/>
      <c r="K2875" s="27"/>
    </row>
    <row r="2876" spans="4:11" ht="15" customHeight="1" x14ac:dyDescent="0.2">
      <c r="D2876" s="18"/>
      <c r="E2876" s="18"/>
      <c r="F2876" s="18"/>
      <c r="J2876" s="27"/>
      <c r="K2876" s="27"/>
    </row>
    <row r="2877" spans="4:11" ht="15" customHeight="1" x14ac:dyDescent="0.2">
      <c r="D2877" s="18"/>
      <c r="E2877" s="18"/>
      <c r="F2877" s="18"/>
      <c r="J2877" s="27"/>
      <c r="K2877" s="27"/>
    </row>
    <row r="2878" spans="4:11" ht="15" customHeight="1" x14ac:dyDescent="0.2">
      <c r="D2878" s="18"/>
      <c r="E2878" s="18"/>
      <c r="F2878" s="18"/>
      <c r="J2878" s="27"/>
      <c r="K2878" s="27"/>
    </row>
    <row r="2879" spans="4:11" ht="15" customHeight="1" x14ac:dyDescent="0.2">
      <c r="D2879" s="18"/>
      <c r="E2879" s="18"/>
      <c r="F2879" s="18"/>
      <c r="J2879" s="27"/>
      <c r="K2879" s="27"/>
    </row>
    <row r="2880" spans="4:11" ht="15" customHeight="1" x14ac:dyDescent="0.2">
      <c r="D2880" s="18"/>
      <c r="E2880" s="18"/>
      <c r="F2880" s="18"/>
      <c r="J2880" s="27"/>
      <c r="K2880" s="27"/>
    </row>
    <row r="2881" spans="4:11" ht="15" customHeight="1" x14ac:dyDescent="0.2">
      <c r="D2881" s="18"/>
      <c r="E2881" s="18"/>
      <c r="F2881" s="18"/>
      <c r="J2881" s="27"/>
      <c r="K2881" s="27"/>
    </row>
    <row r="2882" spans="4:11" ht="15" customHeight="1" x14ac:dyDescent="0.2">
      <c r="D2882" s="18"/>
      <c r="E2882" s="18"/>
      <c r="F2882" s="18"/>
      <c r="J2882" s="27"/>
      <c r="K2882" s="27"/>
    </row>
    <row r="2883" spans="4:11" ht="15" customHeight="1" x14ac:dyDescent="0.2">
      <c r="D2883" s="18"/>
      <c r="E2883" s="18"/>
      <c r="F2883" s="18"/>
      <c r="J2883" s="27"/>
      <c r="K2883" s="27"/>
    </row>
    <row r="2884" spans="4:11" ht="15" customHeight="1" x14ac:dyDescent="0.2">
      <c r="D2884" s="18"/>
      <c r="E2884" s="18"/>
      <c r="F2884" s="18"/>
      <c r="J2884" s="27"/>
      <c r="K2884" s="27"/>
    </row>
    <row r="2885" spans="4:11" ht="15" customHeight="1" x14ac:dyDescent="0.2">
      <c r="D2885" s="18"/>
      <c r="E2885" s="18"/>
      <c r="F2885" s="18"/>
      <c r="J2885" s="27"/>
      <c r="K2885" s="27"/>
    </row>
    <row r="2886" spans="4:11" ht="15" customHeight="1" x14ac:dyDescent="0.2">
      <c r="D2886" s="18"/>
      <c r="E2886" s="18"/>
      <c r="F2886" s="18"/>
      <c r="J2886" s="27"/>
      <c r="K2886" s="27"/>
    </row>
    <row r="2887" spans="4:11" ht="15" customHeight="1" x14ac:dyDescent="0.2">
      <c r="D2887" s="18"/>
      <c r="E2887" s="18"/>
      <c r="F2887" s="18"/>
      <c r="J2887" s="27"/>
      <c r="K2887" s="27"/>
    </row>
    <row r="2888" spans="4:11" ht="15" customHeight="1" x14ac:dyDescent="0.2">
      <c r="D2888" s="18"/>
      <c r="E2888" s="18"/>
      <c r="F2888" s="18"/>
      <c r="J2888" s="27"/>
      <c r="K2888" s="27"/>
    </row>
    <row r="2889" spans="4:11" ht="15" customHeight="1" x14ac:dyDescent="0.2">
      <c r="D2889" s="18"/>
      <c r="E2889" s="18"/>
      <c r="F2889" s="18"/>
      <c r="J2889" s="27"/>
      <c r="K2889" s="27"/>
    </row>
    <row r="2890" spans="4:11" ht="15" customHeight="1" x14ac:dyDescent="0.2">
      <c r="D2890" s="18"/>
      <c r="E2890" s="18"/>
      <c r="F2890" s="18"/>
      <c r="J2890" s="27"/>
      <c r="K2890" s="27"/>
    </row>
    <row r="2891" spans="4:11" ht="15" customHeight="1" x14ac:dyDescent="0.2">
      <c r="D2891" s="18"/>
      <c r="E2891" s="18"/>
      <c r="F2891" s="18"/>
      <c r="J2891" s="27"/>
      <c r="K2891" s="27"/>
    </row>
    <row r="2892" spans="4:11" ht="15" customHeight="1" x14ac:dyDescent="0.2">
      <c r="D2892" s="18"/>
      <c r="E2892" s="18"/>
      <c r="F2892" s="18"/>
      <c r="J2892" s="27"/>
      <c r="K2892" s="27"/>
    </row>
    <row r="2893" spans="4:11" ht="15" customHeight="1" x14ac:dyDescent="0.2">
      <c r="D2893" s="18"/>
      <c r="E2893" s="18"/>
      <c r="F2893" s="18"/>
      <c r="J2893" s="27"/>
      <c r="K2893" s="27"/>
    </row>
    <row r="2894" spans="4:11" ht="15" customHeight="1" x14ac:dyDescent="0.2">
      <c r="D2894" s="18"/>
      <c r="E2894" s="18"/>
      <c r="F2894" s="18"/>
      <c r="J2894" s="27"/>
      <c r="K2894" s="27"/>
    </row>
    <row r="2895" spans="4:11" ht="15" customHeight="1" x14ac:dyDescent="0.2">
      <c r="D2895" s="18"/>
      <c r="E2895" s="18"/>
      <c r="F2895" s="18"/>
      <c r="J2895" s="27"/>
      <c r="K2895" s="27"/>
    </row>
    <row r="2896" spans="4:11" ht="15" customHeight="1" x14ac:dyDescent="0.2">
      <c r="D2896" s="18"/>
      <c r="E2896" s="18"/>
      <c r="F2896" s="18"/>
      <c r="J2896" s="27"/>
      <c r="K2896" s="27"/>
    </row>
    <row r="2897" spans="4:11" ht="15" customHeight="1" x14ac:dyDescent="0.2">
      <c r="D2897" s="18"/>
      <c r="E2897" s="18"/>
      <c r="F2897" s="18"/>
      <c r="J2897" s="27"/>
      <c r="K2897" s="27"/>
    </row>
    <row r="2898" spans="4:11" ht="15" customHeight="1" x14ac:dyDescent="0.2">
      <c r="D2898" s="18"/>
      <c r="E2898" s="18"/>
      <c r="F2898" s="18"/>
      <c r="J2898" s="27"/>
      <c r="K2898" s="27"/>
    </row>
    <row r="2899" spans="4:11" ht="15" customHeight="1" x14ac:dyDescent="0.2">
      <c r="D2899" s="18"/>
      <c r="E2899" s="18"/>
      <c r="F2899" s="18"/>
      <c r="J2899" s="27"/>
      <c r="K2899" s="27"/>
    </row>
    <row r="2900" spans="4:11" ht="15" customHeight="1" x14ac:dyDescent="0.2">
      <c r="D2900" s="18"/>
      <c r="E2900" s="18"/>
      <c r="F2900" s="18"/>
      <c r="J2900" s="27"/>
      <c r="K2900" s="27"/>
    </row>
    <row r="2901" spans="4:11" ht="15" customHeight="1" x14ac:dyDescent="0.2">
      <c r="D2901" s="18"/>
      <c r="E2901" s="18"/>
      <c r="F2901" s="18"/>
      <c r="J2901" s="27"/>
      <c r="K2901" s="27"/>
    </row>
    <row r="2902" spans="4:11" ht="15" customHeight="1" x14ac:dyDescent="0.2">
      <c r="D2902" s="18"/>
      <c r="E2902" s="18"/>
      <c r="F2902" s="18"/>
      <c r="J2902" s="27"/>
      <c r="K2902" s="27"/>
    </row>
    <row r="2903" spans="4:11" ht="15" customHeight="1" x14ac:dyDescent="0.2">
      <c r="D2903" s="18"/>
      <c r="E2903" s="18"/>
      <c r="F2903" s="18"/>
      <c r="J2903" s="27"/>
      <c r="K2903" s="27"/>
    </row>
    <row r="2904" spans="4:11" ht="15" customHeight="1" x14ac:dyDescent="0.2">
      <c r="D2904" s="18"/>
      <c r="E2904" s="18"/>
      <c r="F2904" s="18"/>
      <c r="J2904" s="27"/>
      <c r="K2904" s="27"/>
    </row>
    <row r="2905" spans="4:11" ht="15" customHeight="1" x14ac:dyDescent="0.2">
      <c r="D2905" s="18"/>
      <c r="E2905" s="18"/>
      <c r="F2905" s="18"/>
      <c r="J2905" s="27"/>
      <c r="K2905" s="27"/>
    </row>
    <row r="2906" spans="4:11" ht="15" customHeight="1" x14ac:dyDescent="0.2">
      <c r="D2906" s="18"/>
      <c r="E2906" s="18"/>
      <c r="F2906" s="18"/>
      <c r="J2906" s="27"/>
      <c r="K2906" s="27"/>
    </row>
    <row r="2907" spans="4:11" ht="15" customHeight="1" x14ac:dyDescent="0.2">
      <c r="D2907" s="18"/>
      <c r="E2907" s="18"/>
      <c r="F2907" s="18"/>
      <c r="J2907" s="27"/>
      <c r="K2907" s="27"/>
    </row>
    <row r="2908" spans="4:11" ht="15" customHeight="1" x14ac:dyDescent="0.2">
      <c r="D2908" s="18"/>
      <c r="E2908" s="18"/>
      <c r="F2908" s="18"/>
      <c r="J2908" s="27"/>
      <c r="K2908" s="27"/>
    </row>
    <row r="2909" spans="4:11" ht="15" customHeight="1" x14ac:dyDescent="0.2">
      <c r="D2909" s="18"/>
      <c r="E2909" s="18"/>
      <c r="F2909" s="18"/>
      <c r="J2909" s="27"/>
      <c r="K2909" s="27"/>
    </row>
    <row r="2910" spans="4:11" ht="15" customHeight="1" x14ac:dyDescent="0.2">
      <c r="D2910" s="18"/>
      <c r="E2910" s="18"/>
      <c r="F2910" s="18"/>
      <c r="J2910" s="27"/>
      <c r="K2910" s="27"/>
    </row>
    <row r="2911" spans="4:11" ht="15" customHeight="1" x14ac:dyDescent="0.2">
      <c r="D2911" s="18"/>
      <c r="E2911" s="18"/>
      <c r="F2911" s="18"/>
      <c r="J2911" s="27"/>
      <c r="K2911" s="27"/>
    </row>
    <row r="2912" spans="4:11" ht="15" customHeight="1" x14ac:dyDescent="0.2">
      <c r="D2912" s="18"/>
      <c r="E2912" s="18"/>
      <c r="F2912" s="18"/>
      <c r="J2912" s="27"/>
      <c r="K2912" s="27"/>
    </row>
    <row r="2913" spans="4:11" ht="15" customHeight="1" x14ac:dyDescent="0.2">
      <c r="D2913" s="18"/>
      <c r="E2913" s="18"/>
      <c r="F2913" s="18"/>
      <c r="J2913" s="27"/>
      <c r="K2913" s="27"/>
    </row>
    <row r="2914" spans="4:11" ht="15" customHeight="1" x14ac:dyDescent="0.2">
      <c r="D2914" s="18"/>
      <c r="E2914" s="18"/>
      <c r="F2914" s="18"/>
      <c r="J2914" s="27"/>
      <c r="K2914" s="27"/>
    </row>
    <row r="2915" spans="4:11" ht="15" customHeight="1" x14ac:dyDescent="0.2">
      <c r="D2915" s="18"/>
      <c r="E2915" s="18"/>
      <c r="F2915" s="18"/>
      <c r="J2915" s="27"/>
      <c r="K2915" s="27"/>
    </row>
    <row r="2916" spans="4:11" ht="15" customHeight="1" x14ac:dyDescent="0.2">
      <c r="D2916" s="18"/>
      <c r="E2916" s="18"/>
      <c r="F2916" s="18"/>
      <c r="J2916" s="27"/>
      <c r="K2916" s="27"/>
    </row>
    <row r="2917" spans="4:11" ht="15" customHeight="1" x14ac:dyDescent="0.2">
      <c r="D2917" s="18"/>
      <c r="E2917" s="18"/>
      <c r="F2917" s="18"/>
      <c r="J2917" s="27"/>
      <c r="K2917" s="27"/>
    </row>
    <row r="2918" spans="4:11" ht="15" customHeight="1" x14ac:dyDescent="0.2">
      <c r="D2918" s="18"/>
      <c r="E2918" s="18"/>
      <c r="F2918" s="18"/>
      <c r="J2918" s="27"/>
      <c r="K2918" s="27"/>
    </row>
    <row r="2919" spans="4:11" ht="15" customHeight="1" x14ac:dyDescent="0.2">
      <c r="D2919" s="18"/>
      <c r="E2919" s="18"/>
      <c r="F2919" s="18"/>
      <c r="J2919" s="27"/>
      <c r="K2919" s="27"/>
    </row>
    <row r="2920" spans="4:11" ht="15" customHeight="1" x14ac:dyDescent="0.2">
      <c r="D2920" s="18"/>
      <c r="E2920" s="18"/>
      <c r="F2920" s="18"/>
      <c r="J2920" s="27"/>
      <c r="K2920" s="27"/>
    </row>
    <row r="2921" spans="4:11" ht="15" customHeight="1" x14ac:dyDescent="0.2">
      <c r="D2921" s="18"/>
      <c r="E2921" s="18"/>
      <c r="F2921" s="18"/>
      <c r="J2921" s="27"/>
      <c r="K2921" s="27"/>
    </row>
    <row r="2922" spans="4:11" ht="15" customHeight="1" x14ac:dyDescent="0.2">
      <c r="D2922" s="18"/>
      <c r="E2922" s="18"/>
      <c r="F2922" s="18"/>
      <c r="J2922" s="27"/>
      <c r="K2922" s="27"/>
    </row>
    <row r="2923" spans="4:11" ht="15" customHeight="1" x14ac:dyDescent="0.2">
      <c r="D2923" s="18"/>
      <c r="E2923" s="18"/>
      <c r="F2923" s="18"/>
      <c r="J2923" s="27"/>
      <c r="K2923" s="27"/>
    </row>
    <row r="2924" spans="4:11" ht="15" customHeight="1" x14ac:dyDescent="0.2">
      <c r="D2924" s="18"/>
      <c r="E2924" s="18"/>
      <c r="F2924" s="18"/>
      <c r="J2924" s="27"/>
      <c r="K2924" s="27"/>
    </row>
    <row r="2925" spans="4:11" ht="15" customHeight="1" x14ac:dyDescent="0.2">
      <c r="D2925" s="18"/>
      <c r="E2925" s="18"/>
      <c r="F2925" s="18"/>
      <c r="J2925" s="27"/>
      <c r="K2925" s="27"/>
    </row>
    <row r="2926" spans="4:11" ht="15" customHeight="1" x14ac:dyDescent="0.2">
      <c r="D2926" s="18"/>
      <c r="E2926" s="18"/>
      <c r="F2926" s="18"/>
      <c r="J2926" s="27"/>
      <c r="K2926" s="27"/>
    </row>
    <row r="2927" spans="4:11" ht="15" customHeight="1" x14ac:dyDescent="0.2">
      <c r="D2927" s="18"/>
      <c r="E2927" s="18"/>
      <c r="F2927" s="18"/>
      <c r="J2927" s="27"/>
      <c r="K2927" s="27"/>
    </row>
    <row r="2928" spans="4:11" ht="15" customHeight="1" x14ac:dyDescent="0.2">
      <c r="D2928" s="18"/>
      <c r="E2928" s="18"/>
      <c r="F2928" s="18"/>
      <c r="J2928" s="27"/>
      <c r="K2928" s="27"/>
    </row>
    <row r="2929" spans="4:11" ht="15" customHeight="1" x14ac:dyDescent="0.2">
      <c r="D2929" s="18"/>
      <c r="E2929" s="18"/>
      <c r="F2929" s="18"/>
      <c r="J2929" s="27"/>
      <c r="K2929" s="27"/>
    </row>
    <row r="2930" spans="4:11" ht="15" customHeight="1" x14ac:dyDescent="0.2">
      <c r="D2930" s="18"/>
      <c r="E2930" s="18"/>
      <c r="F2930" s="18"/>
      <c r="J2930" s="27"/>
      <c r="K2930" s="27"/>
    </row>
    <row r="2931" spans="4:11" ht="15" customHeight="1" x14ac:dyDescent="0.2">
      <c r="D2931" s="18"/>
      <c r="E2931" s="18"/>
      <c r="F2931" s="18"/>
      <c r="J2931" s="27"/>
      <c r="K2931" s="27"/>
    </row>
    <row r="2932" spans="4:11" ht="15" customHeight="1" x14ac:dyDescent="0.2">
      <c r="D2932" s="18"/>
      <c r="E2932" s="18"/>
      <c r="F2932" s="18"/>
      <c r="J2932" s="27"/>
      <c r="K2932" s="27"/>
    </row>
    <row r="2933" spans="4:11" ht="15" customHeight="1" x14ac:dyDescent="0.2">
      <c r="D2933" s="18"/>
      <c r="E2933" s="18"/>
      <c r="F2933" s="18"/>
      <c r="J2933" s="27"/>
      <c r="K2933" s="27"/>
    </row>
    <row r="2934" spans="4:11" ht="15" customHeight="1" x14ac:dyDescent="0.2">
      <c r="D2934" s="18"/>
      <c r="E2934" s="18"/>
      <c r="F2934" s="18"/>
      <c r="J2934" s="27"/>
      <c r="K2934" s="27"/>
    </row>
    <row r="2935" spans="4:11" ht="15" customHeight="1" x14ac:dyDescent="0.2">
      <c r="D2935" s="18"/>
      <c r="E2935" s="18"/>
      <c r="F2935" s="18"/>
      <c r="J2935" s="27"/>
      <c r="K2935" s="27"/>
    </row>
    <row r="2936" spans="4:11" ht="15" customHeight="1" x14ac:dyDescent="0.2">
      <c r="D2936" s="18"/>
      <c r="E2936" s="18"/>
      <c r="F2936" s="18"/>
      <c r="J2936" s="27"/>
      <c r="K2936" s="27"/>
    </row>
    <row r="2937" spans="4:11" ht="15" customHeight="1" x14ac:dyDescent="0.2">
      <c r="D2937" s="18"/>
      <c r="E2937" s="18"/>
      <c r="F2937" s="18"/>
      <c r="J2937" s="27"/>
      <c r="K2937" s="27"/>
    </row>
    <row r="2938" spans="4:11" ht="15" customHeight="1" x14ac:dyDescent="0.2">
      <c r="D2938" s="18"/>
      <c r="E2938" s="18"/>
      <c r="F2938" s="18"/>
      <c r="J2938" s="27"/>
      <c r="K2938" s="27"/>
    </row>
    <row r="2939" spans="4:11" ht="15" customHeight="1" x14ac:dyDescent="0.2">
      <c r="D2939" s="18"/>
      <c r="E2939" s="18"/>
      <c r="F2939" s="18"/>
      <c r="J2939" s="27"/>
      <c r="K2939" s="27"/>
    </row>
    <row r="2940" spans="4:11" ht="15" customHeight="1" x14ac:dyDescent="0.2">
      <c r="D2940" s="18"/>
      <c r="E2940" s="18"/>
      <c r="F2940" s="18"/>
      <c r="J2940" s="27"/>
      <c r="K2940" s="27"/>
    </row>
    <row r="2941" spans="4:11" ht="15" customHeight="1" x14ac:dyDescent="0.2">
      <c r="D2941" s="18"/>
      <c r="E2941" s="18"/>
      <c r="F2941" s="18"/>
      <c r="J2941" s="27"/>
      <c r="K2941" s="27"/>
    </row>
    <row r="2942" spans="4:11" ht="15" customHeight="1" x14ac:dyDescent="0.2">
      <c r="D2942" s="18"/>
      <c r="E2942" s="18"/>
      <c r="F2942" s="18"/>
      <c r="J2942" s="27"/>
      <c r="K2942" s="27"/>
    </row>
    <row r="2943" spans="4:11" ht="15" customHeight="1" x14ac:dyDescent="0.2">
      <c r="D2943" s="18"/>
      <c r="E2943" s="18"/>
      <c r="F2943" s="18"/>
      <c r="J2943" s="27"/>
      <c r="K2943" s="27"/>
    </row>
    <row r="2944" spans="4:11" ht="15" customHeight="1" x14ac:dyDescent="0.2">
      <c r="D2944" s="18"/>
      <c r="E2944" s="18"/>
      <c r="F2944" s="18"/>
      <c r="J2944" s="27"/>
      <c r="K2944" s="27"/>
    </row>
    <row r="2945" spans="4:11" ht="15" customHeight="1" x14ac:dyDescent="0.2">
      <c r="D2945" s="18"/>
      <c r="E2945" s="18"/>
      <c r="F2945" s="18"/>
      <c r="J2945" s="27"/>
      <c r="K2945" s="27"/>
    </row>
    <row r="2946" spans="4:11" ht="15" customHeight="1" x14ac:dyDescent="0.2">
      <c r="D2946" s="18"/>
      <c r="E2946" s="18"/>
      <c r="F2946" s="18"/>
      <c r="J2946" s="27"/>
      <c r="K2946" s="27"/>
    </row>
    <row r="2947" spans="4:11" ht="15" customHeight="1" x14ac:dyDescent="0.2">
      <c r="D2947" s="18"/>
      <c r="E2947" s="18"/>
      <c r="F2947" s="18"/>
      <c r="J2947" s="27"/>
      <c r="K2947" s="27"/>
    </row>
    <row r="2948" spans="4:11" ht="15" customHeight="1" x14ac:dyDescent="0.2">
      <c r="D2948" s="18"/>
      <c r="E2948" s="18"/>
      <c r="F2948" s="18"/>
      <c r="J2948" s="27"/>
      <c r="K2948" s="27"/>
    </row>
    <row r="2949" spans="4:11" ht="15" customHeight="1" x14ac:dyDescent="0.2">
      <c r="D2949" s="18"/>
      <c r="E2949" s="18"/>
      <c r="F2949" s="18"/>
      <c r="J2949" s="27"/>
      <c r="K2949" s="27"/>
    </row>
    <row r="2950" spans="4:11" ht="15" customHeight="1" x14ac:dyDescent="0.2">
      <c r="D2950" s="18"/>
      <c r="E2950" s="18"/>
      <c r="F2950" s="18"/>
      <c r="J2950" s="27"/>
      <c r="K2950" s="27"/>
    </row>
    <row r="2951" spans="4:11" ht="15" customHeight="1" x14ac:dyDescent="0.2">
      <c r="D2951" s="18"/>
      <c r="E2951" s="18"/>
      <c r="F2951" s="18"/>
      <c r="J2951" s="27"/>
      <c r="K2951" s="27"/>
    </row>
    <row r="2952" spans="4:11" ht="15" customHeight="1" x14ac:dyDescent="0.2">
      <c r="D2952" s="18"/>
      <c r="E2952" s="18"/>
      <c r="F2952" s="18"/>
      <c r="J2952" s="27"/>
      <c r="K2952" s="27"/>
    </row>
    <row r="2953" spans="4:11" ht="15" customHeight="1" x14ac:dyDescent="0.2">
      <c r="D2953" s="18"/>
      <c r="E2953" s="18"/>
      <c r="F2953" s="18"/>
      <c r="J2953" s="27"/>
      <c r="K2953" s="27"/>
    </row>
    <row r="2954" spans="4:11" ht="15" customHeight="1" x14ac:dyDescent="0.2">
      <c r="D2954" s="18"/>
      <c r="E2954" s="18"/>
      <c r="F2954" s="18"/>
      <c r="J2954" s="27"/>
      <c r="K2954" s="27"/>
    </row>
    <row r="2955" spans="4:11" ht="15" customHeight="1" x14ac:dyDescent="0.2">
      <c r="D2955" s="18"/>
      <c r="E2955" s="18"/>
      <c r="F2955" s="18"/>
      <c r="J2955" s="27"/>
      <c r="K2955" s="27"/>
    </row>
    <row r="2956" spans="4:11" ht="15" customHeight="1" x14ac:dyDescent="0.2">
      <c r="D2956" s="18"/>
      <c r="E2956" s="18"/>
      <c r="F2956" s="18"/>
      <c r="J2956" s="27"/>
      <c r="K2956" s="27"/>
    </row>
    <row r="2957" spans="4:11" ht="15" customHeight="1" x14ac:dyDescent="0.2">
      <c r="D2957" s="18"/>
      <c r="E2957" s="18"/>
      <c r="F2957" s="18"/>
      <c r="J2957" s="27"/>
      <c r="K2957" s="27"/>
    </row>
    <row r="2958" spans="4:11" ht="15" customHeight="1" x14ac:dyDescent="0.2">
      <c r="D2958" s="18"/>
      <c r="E2958" s="18"/>
      <c r="F2958" s="18"/>
      <c r="J2958" s="27"/>
      <c r="K2958" s="27"/>
    </row>
    <row r="2959" spans="4:11" ht="15" customHeight="1" x14ac:dyDescent="0.2">
      <c r="D2959" s="18"/>
      <c r="E2959" s="18"/>
      <c r="F2959" s="18"/>
      <c r="J2959" s="27"/>
      <c r="K2959" s="27"/>
    </row>
    <row r="2960" spans="4:11" ht="15" customHeight="1" x14ac:dyDescent="0.2">
      <c r="D2960" s="18"/>
      <c r="E2960" s="18"/>
      <c r="F2960" s="18"/>
      <c r="J2960" s="27"/>
      <c r="K2960" s="27"/>
    </row>
    <row r="2961" spans="4:11" ht="15" customHeight="1" x14ac:dyDescent="0.2">
      <c r="D2961" s="18"/>
      <c r="E2961" s="18"/>
      <c r="F2961" s="18"/>
      <c r="J2961" s="27"/>
      <c r="K2961" s="27"/>
    </row>
    <row r="2962" spans="4:11" ht="15" customHeight="1" x14ac:dyDescent="0.2">
      <c r="D2962" s="18"/>
      <c r="E2962" s="18"/>
      <c r="F2962" s="18"/>
      <c r="J2962" s="27"/>
      <c r="K2962" s="27"/>
    </row>
    <row r="2963" spans="4:11" ht="15" customHeight="1" x14ac:dyDescent="0.2">
      <c r="D2963" s="18"/>
      <c r="E2963" s="18"/>
      <c r="F2963" s="18"/>
      <c r="J2963" s="27"/>
      <c r="K2963" s="27"/>
    </row>
    <row r="2964" spans="4:11" ht="15" customHeight="1" x14ac:dyDescent="0.2">
      <c r="D2964" s="18"/>
      <c r="E2964" s="18"/>
      <c r="F2964" s="18"/>
      <c r="J2964" s="27"/>
      <c r="K2964" s="27"/>
    </row>
    <row r="2965" spans="4:11" ht="15" customHeight="1" x14ac:dyDescent="0.2">
      <c r="D2965" s="18"/>
      <c r="E2965" s="18"/>
      <c r="F2965" s="18"/>
      <c r="J2965" s="27"/>
      <c r="K2965" s="27"/>
    </row>
    <row r="2966" spans="4:11" ht="15" customHeight="1" x14ac:dyDescent="0.2">
      <c r="D2966" s="18"/>
      <c r="E2966" s="18"/>
      <c r="F2966" s="18"/>
      <c r="J2966" s="27"/>
      <c r="K2966" s="27"/>
    </row>
    <row r="2967" spans="4:11" ht="15" customHeight="1" x14ac:dyDescent="0.2">
      <c r="D2967" s="18"/>
      <c r="E2967" s="18"/>
      <c r="F2967" s="18"/>
      <c r="J2967" s="27"/>
      <c r="K2967" s="27"/>
    </row>
    <row r="2968" spans="4:11" ht="15" customHeight="1" x14ac:dyDescent="0.2">
      <c r="D2968" s="18"/>
      <c r="E2968" s="18"/>
      <c r="F2968" s="18"/>
      <c r="J2968" s="27"/>
      <c r="K2968" s="27"/>
    </row>
    <row r="2969" spans="4:11" ht="15" customHeight="1" x14ac:dyDescent="0.2">
      <c r="D2969" s="18"/>
      <c r="E2969" s="18"/>
      <c r="F2969" s="18"/>
      <c r="J2969" s="27"/>
      <c r="K2969" s="27"/>
    </row>
    <row r="2970" spans="4:11" ht="15" customHeight="1" x14ac:dyDescent="0.2">
      <c r="D2970" s="18"/>
      <c r="E2970" s="18"/>
      <c r="F2970" s="18"/>
      <c r="J2970" s="27"/>
      <c r="K2970" s="27"/>
    </row>
    <row r="2971" spans="4:11" ht="15" customHeight="1" x14ac:dyDescent="0.2">
      <c r="D2971" s="18"/>
      <c r="E2971" s="18"/>
      <c r="F2971" s="18"/>
      <c r="J2971" s="27"/>
      <c r="K2971" s="27"/>
    </row>
    <row r="2972" spans="4:11" ht="15" customHeight="1" x14ac:dyDescent="0.2">
      <c r="D2972" s="18"/>
      <c r="E2972" s="18"/>
      <c r="F2972" s="18"/>
      <c r="J2972" s="27"/>
      <c r="K2972" s="27"/>
    </row>
    <row r="2973" spans="4:11" ht="15" customHeight="1" x14ac:dyDescent="0.2">
      <c r="D2973" s="18"/>
      <c r="E2973" s="18"/>
      <c r="F2973" s="18"/>
      <c r="J2973" s="27"/>
      <c r="K2973" s="27"/>
    </row>
    <row r="2974" spans="4:11" ht="15" customHeight="1" x14ac:dyDescent="0.2">
      <c r="D2974" s="18"/>
      <c r="E2974" s="18"/>
      <c r="F2974" s="18"/>
      <c r="J2974" s="27"/>
      <c r="K2974" s="27"/>
    </row>
    <row r="2975" spans="4:11" ht="15" customHeight="1" x14ac:dyDescent="0.2">
      <c r="D2975" s="18"/>
      <c r="E2975" s="18"/>
      <c r="F2975" s="18"/>
      <c r="J2975" s="27"/>
      <c r="K2975" s="27"/>
    </row>
    <row r="2976" spans="4:11" ht="15" customHeight="1" x14ac:dyDescent="0.2">
      <c r="D2976" s="18"/>
      <c r="E2976" s="18"/>
      <c r="F2976" s="18"/>
      <c r="J2976" s="27"/>
      <c r="K2976" s="27"/>
    </row>
    <row r="2977" spans="4:11" ht="15" customHeight="1" x14ac:dyDescent="0.2">
      <c r="D2977" s="18"/>
      <c r="E2977" s="18"/>
      <c r="F2977" s="18"/>
      <c r="J2977" s="27"/>
      <c r="K2977" s="27"/>
    </row>
    <row r="2978" spans="4:11" ht="15" customHeight="1" x14ac:dyDescent="0.2">
      <c r="D2978" s="18"/>
      <c r="E2978" s="18"/>
      <c r="F2978" s="18"/>
      <c r="J2978" s="27"/>
      <c r="K2978" s="27"/>
    </row>
    <row r="2979" spans="4:11" ht="15" customHeight="1" x14ac:dyDescent="0.2">
      <c r="D2979" s="18"/>
      <c r="E2979" s="18"/>
      <c r="F2979" s="18"/>
      <c r="J2979" s="27"/>
      <c r="K2979" s="27"/>
    </row>
    <row r="2980" spans="4:11" ht="15" customHeight="1" x14ac:dyDescent="0.2">
      <c r="D2980" s="18"/>
      <c r="E2980" s="18"/>
      <c r="F2980" s="18"/>
      <c r="J2980" s="27"/>
      <c r="K2980" s="27"/>
    </row>
    <row r="2981" spans="4:11" ht="15" customHeight="1" x14ac:dyDescent="0.2">
      <c r="D2981" s="18"/>
      <c r="E2981" s="18"/>
      <c r="F2981" s="18"/>
      <c r="J2981" s="27"/>
      <c r="K2981" s="27"/>
    </row>
    <row r="2982" spans="4:11" ht="15" customHeight="1" x14ac:dyDescent="0.2">
      <c r="D2982" s="18"/>
      <c r="E2982" s="18"/>
      <c r="F2982" s="18"/>
      <c r="J2982" s="27"/>
      <c r="K2982" s="27"/>
    </row>
    <row r="2983" spans="4:11" ht="15" customHeight="1" x14ac:dyDescent="0.2">
      <c r="D2983" s="18"/>
      <c r="E2983" s="18"/>
      <c r="F2983" s="18"/>
      <c r="J2983" s="27"/>
      <c r="K2983" s="27"/>
    </row>
    <row r="2984" spans="4:11" ht="15" customHeight="1" x14ac:dyDescent="0.2">
      <c r="D2984" s="18"/>
      <c r="E2984" s="18"/>
      <c r="F2984" s="18"/>
      <c r="J2984" s="27"/>
      <c r="K2984" s="27"/>
    </row>
    <row r="2985" spans="4:11" ht="15" customHeight="1" x14ac:dyDescent="0.2">
      <c r="D2985" s="18"/>
      <c r="E2985" s="18"/>
      <c r="F2985" s="18"/>
      <c r="J2985" s="27"/>
      <c r="K2985" s="27"/>
    </row>
    <row r="2986" spans="4:11" ht="15" customHeight="1" x14ac:dyDescent="0.2">
      <c r="D2986" s="18"/>
      <c r="E2986" s="18"/>
      <c r="F2986" s="18"/>
      <c r="J2986" s="27"/>
      <c r="K2986" s="27"/>
    </row>
    <row r="2987" spans="4:11" ht="15" customHeight="1" x14ac:dyDescent="0.2">
      <c r="D2987" s="18"/>
      <c r="E2987" s="18"/>
      <c r="F2987" s="18"/>
      <c r="J2987" s="27"/>
      <c r="K2987" s="27"/>
    </row>
    <row r="2988" spans="4:11" ht="15" customHeight="1" x14ac:dyDescent="0.2">
      <c r="D2988" s="18"/>
      <c r="E2988" s="18"/>
      <c r="F2988" s="18"/>
      <c r="J2988" s="27"/>
      <c r="K2988" s="27"/>
    </row>
    <row r="2989" spans="4:11" ht="15" customHeight="1" x14ac:dyDescent="0.2">
      <c r="D2989" s="18"/>
      <c r="E2989" s="18"/>
      <c r="F2989" s="18"/>
      <c r="J2989" s="27"/>
      <c r="K2989" s="27"/>
    </row>
    <row r="2990" spans="4:11" ht="15" customHeight="1" x14ac:dyDescent="0.2">
      <c r="D2990" s="18"/>
      <c r="E2990" s="18"/>
      <c r="F2990" s="18"/>
      <c r="J2990" s="27"/>
      <c r="K2990" s="27"/>
    </row>
    <row r="2991" spans="4:11" ht="15" customHeight="1" x14ac:dyDescent="0.2">
      <c r="D2991" s="18"/>
      <c r="E2991" s="18"/>
      <c r="F2991" s="18"/>
      <c r="J2991" s="27"/>
      <c r="K2991" s="27"/>
    </row>
    <row r="2992" spans="4:11" ht="15" customHeight="1" x14ac:dyDescent="0.2">
      <c r="D2992" s="18"/>
      <c r="E2992" s="18"/>
      <c r="F2992" s="18"/>
      <c r="J2992" s="27"/>
      <c r="K2992" s="27"/>
    </row>
    <row r="2993" spans="4:11" ht="15" customHeight="1" x14ac:dyDescent="0.2">
      <c r="D2993" s="18"/>
      <c r="E2993" s="18"/>
      <c r="F2993" s="18"/>
      <c r="J2993" s="27"/>
      <c r="K2993" s="27"/>
    </row>
    <row r="2994" spans="4:11" ht="15" customHeight="1" x14ac:dyDescent="0.2">
      <c r="D2994" s="18"/>
      <c r="E2994" s="18"/>
      <c r="F2994" s="18"/>
      <c r="J2994" s="27"/>
      <c r="K2994" s="27"/>
    </row>
    <row r="2995" spans="4:11" ht="15" customHeight="1" x14ac:dyDescent="0.2">
      <c r="D2995" s="18"/>
      <c r="E2995" s="18"/>
      <c r="F2995" s="18"/>
      <c r="J2995" s="27"/>
      <c r="K2995" s="27"/>
    </row>
    <row r="2996" spans="4:11" ht="15" customHeight="1" x14ac:dyDescent="0.2">
      <c r="D2996" s="18"/>
      <c r="E2996" s="18"/>
      <c r="F2996" s="18"/>
      <c r="J2996" s="27"/>
      <c r="K2996" s="27"/>
    </row>
    <row r="2997" spans="4:11" ht="15" customHeight="1" x14ac:dyDescent="0.2">
      <c r="D2997" s="18"/>
      <c r="E2997" s="18"/>
      <c r="F2997" s="18"/>
      <c r="J2997" s="27"/>
      <c r="K2997" s="27"/>
    </row>
    <row r="2998" spans="4:11" ht="15" customHeight="1" x14ac:dyDescent="0.2">
      <c r="D2998" s="18"/>
      <c r="E2998" s="18"/>
      <c r="F2998" s="18"/>
      <c r="J2998" s="27"/>
      <c r="K2998" s="27"/>
    </row>
    <row r="2999" spans="4:11" ht="15" customHeight="1" x14ac:dyDescent="0.2">
      <c r="D2999" s="18"/>
      <c r="E2999" s="18"/>
      <c r="F2999" s="18"/>
      <c r="J2999" s="27"/>
      <c r="K2999" s="27"/>
    </row>
    <row r="3000" spans="4:11" ht="15" customHeight="1" x14ac:dyDescent="0.2">
      <c r="D3000" s="18"/>
      <c r="E3000" s="18"/>
      <c r="F3000" s="18"/>
      <c r="J3000" s="27"/>
      <c r="K3000" s="27"/>
    </row>
    <row r="3001" spans="4:11" ht="15" customHeight="1" x14ac:dyDescent="0.2">
      <c r="D3001" s="18"/>
      <c r="E3001" s="18"/>
      <c r="F3001" s="18"/>
      <c r="J3001" s="27"/>
      <c r="K3001" s="27"/>
    </row>
    <row r="3002" spans="4:11" ht="15" customHeight="1" x14ac:dyDescent="0.2">
      <c r="D3002" s="18"/>
      <c r="E3002" s="18"/>
      <c r="F3002" s="18"/>
      <c r="J3002" s="27"/>
      <c r="K3002" s="27"/>
    </row>
    <row r="3003" spans="4:11" ht="15" customHeight="1" x14ac:dyDescent="0.2">
      <c r="D3003" s="18"/>
      <c r="E3003" s="18"/>
      <c r="F3003" s="18"/>
      <c r="J3003" s="27"/>
      <c r="K3003" s="27"/>
    </row>
    <row r="3004" spans="4:11" ht="15" customHeight="1" x14ac:dyDescent="0.2">
      <c r="D3004" s="18"/>
      <c r="E3004" s="18"/>
      <c r="F3004" s="18"/>
      <c r="J3004" s="27"/>
      <c r="K3004" s="27"/>
    </row>
    <row r="3005" spans="4:11" ht="15" customHeight="1" x14ac:dyDescent="0.2">
      <c r="D3005" s="18"/>
      <c r="E3005" s="18"/>
      <c r="F3005" s="18"/>
      <c r="J3005" s="27"/>
      <c r="K3005" s="27"/>
    </row>
    <row r="3006" spans="4:11" ht="15" customHeight="1" x14ac:dyDescent="0.2">
      <c r="D3006" s="18"/>
      <c r="E3006" s="18"/>
      <c r="F3006" s="18"/>
      <c r="J3006" s="27"/>
      <c r="K3006" s="27"/>
    </row>
    <row r="3007" spans="4:11" ht="15" customHeight="1" x14ac:dyDescent="0.2">
      <c r="D3007" s="18"/>
      <c r="E3007" s="18"/>
      <c r="F3007" s="18"/>
      <c r="J3007" s="27"/>
      <c r="K3007" s="27"/>
    </row>
    <row r="3008" spans="4:11" ht="15" customHeight="1" x14ac:dyDescent="0.2">
      <c r="D3008" s="18"/>
      <c r="E3008" s="18"/>
      <c r="F3008" s="18"/>
      <c r="J3008" s="27"/>
      <c r="K3008" s="27"/>
    </row>
    <row r="3009" spans="4:11" ht="15" customHeight="1" x14ac:dyDescent="0.2">
      <c r="D3009" s="18"/>
      <c r="E3009" s="18"/>
      <c r="F3009" s="18"/>
      <c r="J3009" s="27"/>
      <c r="K3009" s="27"/>
    </row>
    <row r="3010" spans="4:11" ht="15" customHeight="1" x14ac:dyDescent="0.2">
      <c r="D3010" s="18"/>
      <c r="E3010" s="18"/>
      <c r="F3010" s="18"/>
      <c r="J3010" s="27"/>
      <c r="K3010" s="27"/>
    </row>
    <row r="3011" spans="4:11" ht="15" customHeight="1" x14ac:dyDescent="0.2">
      <c r="D3011" s="18"/>
      <c r="E3011" s="18"/>
      <c r="F3011" s="18"/>
      <c r="J3011" s="27"/>
      <c r="K3011" s="27"/>
    </row>
    <row r="3012" spans="4:11" ht="15" customHeight="1" x14ac:dyDescent="0.2">
      <c r="D3012" s="18"/>
      <c r="E3012" s="18"/>
      <c r="F3012" s="18"/>
      <c r="J3012" s="27"/>
      <c r="K3012" s="27"/>
    </row>
    <row r="3013" spans="4:11" ht="15" customHeight="1" x14ac:dyDescent="0.2">
      <c r="D3013" s="18"/>
      <c r="E3013" s="18"/>
      <c r="F3013" s="18"/>
      <c r="J3013" s="27"/>
      <c r="K3013" s="27"/>
    </row>
    <row r="3014" spans="4:11" ht="15" customHeight="1" x14ac:dyDescent="0.2">
      <c r="D3014" s="18"/>
      <c r="E3014" s="18"/>
      <c r="F3014" s="18"/>
      <c r="J3014" s="27"/>
      <c r="K3014" s="27"/>
    </row>
    <row r="3015" spans="4:11" ht="15" customHeight="1" x14ac:dyDescent="0.2">
      <c r="D3015" s="18"/>
      <c r="E3015" s="18"/>
      <c r="F3015" s="18"/>
      <c r="J3015" s="27"/>
      <c r="K3015" s="27"/>
    </row>
    <row r="3016" spans="4:11" ht="15" customHeight="1" x14ac:dyDescent="0.2">
      <c r="D3016" s="18"/>
      <c r="E3016" s="18"/>
      <c r="F3016" s="18"/>
      <c r="J3016" s="27"/>
      <c r="K3016" s="27"/>
    </row>
    <row r="3017" spans="4:11" ht="15" customHeight="1" x14ac:dyDescent="0.2">
      <c r="D3017" s="18"/>
      <c r="E3017" s="18"/>
      <c r="F3017" s="18"/>
      <c r="J3017" s="27"/>
      <c r="K3017" s="27"/>
    </row>
    <row r="3018" spans="4:11" ht="15" customHeight="1" x14ac:dyDescent="0.2">
      <c r="D3018" s="18"/>
      <c r="E3018" s="18"/>
      <c r="F3018" s="18"/>
      <c r="J3018" s="27"/>
      <c r="K3018" s="27"/>
    </row>
    <row r="3019" spans="4:11" ht="15" customHeight="1" x14ac:dyDescent="0.2">
      <c r="D3019" s="18"/>
      <c r="E3019" s="18"/>
      <c r="F3019" s="18"/>
      <c r="J3019" s="27"/>
      <c r="K3019" s="27"/>
    </row>
    <row r="3020" spans="4:11" ht="15" customHeight="1" x14ac:dyDescent="0.2">
      <c r="D3020" s="18"/>
      <c r="E3020" s="18"/>
      <c r="F3020" s="18"/>
      <c r="J3020" s="27"/>
      <c r="K3020" s="27"/>
    </row>
    <row r="3021" spans="4:11" ht="15" customHeight="1" x14ac:dyDescent="0.2">
      <c r="D3021" s="18"/>
      <c r="E3021" s="18"/>
      <c r="F3021" s="18"/>
      <c r="J3021" s="27"/>
      <c r="K3021" s="27"/>
    </row>
    <row r="3022" spans="4:11" ht="15" customHeight="1" x14ac:dyDescent="0.2">
      <c r="D3022" s="18"/>
      <c r="E3022" s="18"/>
      <c r="F3022" s="18"/>
      <c r="J3022" s="27"/>
      <c r="K3022" s="27"/>
    </row>
    <row r="3023" spans="4:11" ht="15" customHeight="1" x14ac:dyDescent="0.2">
      <c r="D3023" s="18"/>
      <c r="E3023" s="18"/>
      <c r="F3023" s="18"/>
      <c r="J3023" s="27"/>
      <c r="K3023" s="27"/>
    </row>
    <row r="3024" spans="4:11" ht="15" customHeight="1" x14ac:dyDescent="0.2">
      <c r="D3024" s="18"/>
      <c r="E3024" s="18"/>
      <c r="F3024" s="18"/>
      <c r="J3024" s="27"/>
      <c r="K3024" s="27"/>
    </row>
    <row r="3025" spans="4:11" ht="15" customHeight="1" x14ac:dyDescent="0.2">
      <c r="D3025" s="18"/>
      <c r="E3025" s="18"/>
      <c r="F3025" s="18"/>
      <c r="J3025" s="27"/>
      <c r="K3025" s="27"/>
    </row>
    <row r="3026" spans="4:11" ht="15" customHeight="1" x14ac:dyDescent="0.2">
      <c r="D3026" s="18"/>
      <c r="E3026" s="18"/>
      <c r="F3026" s="18"/>
      <c r="J3026" s="27"/>
      <c r="K3026" s="27"/>
    </row>
    <row r="3027" spans="4:11" ht="15" customHeight="1" x14ac:dyDescent="0.2">
      <c r="D3027" s="18"/>
      <c r="E3027" s="18"/>
      <c r="F3027" s="18"/>
      <c r="J3027" s="27"/>
      <c r="K3027" s="27"/>
    </row>
    <row r="3028" spans="4:11" ht="15" customHeight="1" x14ac:dyDescent="0.2">
      <c r="D3028" s="18"/>
      <c r="E3028" s="18"/>
      <c r="F3028" s="18"/>
      <c r="J3028" s="27"/>
      <c r="K3028" s="27"/>
    </row>
    <row r="3029" spans="4:11" ht="15" customHeight="1" x14ac:dyDescent="0.2">
      <c r="D3029" s="18"/>
      <c r="E3029" s="18"/>
      <c r="F3029" s="18"/>
      <c r="J3029" s="27"/>
      <c r="K3029" s="27"/>
    </row>
    <row r="3030" spans="4:11" ht="15" customHeight="1" x14ac:dyDescent="0.2">
      <c r="D3030" s="18"/>
      <c r="E3030" s="18"/>
      <c r="F3030" s="18"/>
      <c r="J3030" s="27"/>
      <c r="K3030" s="27"/>
    </row>
    <row r="3031" spans="4:11" ht="15" customHeight="1" x14ac:dyDescent="0.2">
      <c r="D3031" s="18"/>
      <c r="E3031" s="18"/>
      <c r="F3031" s="18"/>
      <c r="J3031" s="27"/>
      <c r="K3031" s="27"/>
    </row>
    <row r="3032" spans="4:11" ht="15" customHeight="1" x14ac:dyDescent="0.2">
      <c r="D3032" s="18"/>
      <c r="E3032" s="18"/>
      <c r="F3032" s="18"/>
      <c r="J3032" s="27"/>
      <c r="K3032" s="27"/>
    </row>
    <row r="3033" spans="4:11" ht="15" customHeight="1" x14ac:dyDescent="0.2">
      <c r="D3033" s="18"/>
      <c r="E3033" s="18"/>
      <c r="F3033" s="18"/>
      <c r="J3033" s="27"/>
      <c r="K3033" s="27"/>
    </row>
    <row r="3034" spans="4:11" ht="15" customHeight="1" x14ac:dyDescent="0.2">
      <c r="D3034" s="18"/>
      <c r="E3034" s="18"/>
      <c r="F3034" s="18"/>
      <c r="J3034" s="27"/>
      <c r="K3034" s="27"/>
    </row>
    <row r="3035" spans="4:11" ht="15" customHeight="1" x14ac:dyDescent="0.2">
      <c r="D3035" s="18"/>
      <c r="E3035" s="18"/>
      <c r="F3035" s="18"/>
      <c r="J3035" s="27"/>
      <c r="K3035" s="27"/>
    </row>
    <row r="3036" spans="4:11" ht="15" customHeight="1" x14ac:dyDescent="0.2">
      <c r="D3036" s="18"/>
      <c r="E3036" s="18"/>
      <c r="F3036" s="18"/>
      <c r="J3036" s="27"/>
      <c r="K3036" s="27"/>
    </row>
    <row r="3037" spans="4:11" ht="15" customHeight="1" x14ac:dyDescent="0.2">
      <c r="D3037" s="18"/>
      <c r="E3037" s="18"/>
      <c r="F3037" s="18"/>
      <c r="J3037" s="27"/>
      <c r="K3037" s="27"/>
    </row>
    <row r="3038" spans="4:11" ht="15" customHeight="1" x14ac:dyDescent="0.2">
      <c r="D3038" s="18"/>
      <c r="E3038" s="18"/>
      <c r="F3038" s="18"/>
      <c r="J3038" s="27"/>
      <c r="K3038" s="27"/>
    </row>
    <row r="3039" spans="4:11" ht="15" customHeight="1" x14ac:dyDescent="0.2">
      <c r="D3039" s="18"/>
      <c r="E3039" s="18"/>
      <c r="F3039" s="18"/>
      <c r="J3039" s="27"/>
      <c r="K3039" s="27"/>
    </row>
    <row r="3040" spans="4:11" ht="15" customHeight="1" x14ac:dyDescent="0.2">
      <c r="D3040" s="18"/>
      <c r="E3040" s="18"/>
      <c r="F3040" s="18"/>
      <c r="J3040" s="27"/>
      <c r="K3040" s="27"/>
    </row>
    <row r="3041" spans="4:11" ht="15" customHeight="1" x14ac:dyDescent="0.2">
      <c r="D3041" s="18"/>
      <c r="E3041" s="18"/>
      <c r="F3041" s="18"/>
      <c r="J3041" s="27"/>
      <c r="K3041" s="27"/>
    </row>
    <row r="3042" spans="4:11" ht="15" customHeight="1" x14ac:dyDescent="0.2">
      <c r="D3042" s="18"/>
      <c r="E3042" s="18"/>
      <c r="F3042" s="18"/>
      <c r="J3042" s="27"/>
      <c r="K3042" s="27"/>
    </row>
    <row r="3043" spans="4:11" ht="15" customHeight="1" x14ac:dyDescent="0.2">
      <c r="D3043" s="18"/>
      <c r="E3043" s="18"/>
      <c r="F3043" s="18"/>
      <c r="J3043" s="27"/>
      <c r="K3043" s="27"/>
    </row>
    <row r="3044" spans="4:11" ht="15" customHeight="1" x14ac:dyDescent="0.2">
      <c r="D3044" s="18"/>
      <c r="E3044" s="18"/>
      <c r="F3044" s="18"/>
      <c r="J3044" s="27"/>
      <c r="K3044" s="27"/>
    </row>
    <row r="3045" spans="4:11" ht="15" customHeight="1" x14ac:dyDescent="0.2">
      <c r="D3045" s="18"/>
      <c r="E3045" s="18"/>
      <c r="F3045" s="18"/>
      <c r="J3045" s="27"/>
      <c r="K3045" s="27"/>
    </row>
    <row r="3046" spans="4:11" ht="15" customHeight="1" x14ac:dyDescent="0.2">
      <c r="D3046" s="18"/>
      <c r="E3046" s="18"/>
      <c r="F3046" s="18"/>
      <c r="J3046" s="27"/>
      <c r="K3046" s="27"/>
    </row>
    <row r="3047" spans="4:11" ht="15" customHeight="1" x14ac:dyDescent="0.2">
      <c r="D3047" s="18"/>
      <c r="E3047" s="18"/>
      <c r="F3047" s="18"/>
      <c r="J3047" s="27"/>
      <c r="K3047" s="27"/>
    </row>
    <row r="3048" spans="4:11" ht="15" customHeight="1" x14ac:dyDescent="0.2">
      <c r="D3048" s="18"/>
      <c r="E3048" s="18"/>
      <c r="F3048" s="18"/>
      <c r="J3048" s="27"/>
      <c r="K3048" s="27"/>
    </row>
    <row r="3049" spans="4:11" ht="15" customHeight="1" x14ac:dyDescent="0.2">
      <c r="D3049" s="18"/>
      <c r="E3049" s="18"/>
      <c r="F3049" s="18"/>
      <c r="J3049" s="27"/>
      <c r="K3049" s="27"/>
    </row>
    <row r="3050" spans="4:11" ht="15" customHeight="1" x14ac:dyDescent="0.2">
      <c r="D3050" s="18"/>
      <c r="E3050" s="18"/>
      <c r="F3050" s="18"/>
      <c r="J3050" s="27"/>
      <c r="K3050" s="27"/>
    </row>
    <row r="3051" spans="4:11" ht="15" customHeight="1" x14ac:dyDescent="0.2">
      <c r="D3051" s="18"/>
      <c r="E3051" s="18"/>
      <c r="F3051" s="18"/>
      <c r="J3051" s="27"/>
      <c r="K3051" s="27"/>
    </row>
    <row r="3052" spans="4:11" ht="15" customHeight="1" x14ac:dyDescent="0.2">
      <c r="D3052" s="18"/>
      <c r="E3052" s="18"/>
      <c r="F3052" s="18"/>
      <c r="J3052" s="27"/>
      <c r="K3052" s="27"/>
    </row>
    <row r="3053" spans="4:11" ht="15" customHeight="1" x14ac:dyDescent="0.2">
      <c r="D3053" s="18"/>
      <c r="E3053" s="18"/>
      <c r="F3053" s="18"/>
      <c r="J3053" s="27"/>
      <c r="K3053" s="27"/>
    </row>
    <row r="3054" spans="4:11" ht="15" customHeight="1" x14ac:dyDescent="0.2">
      <c r="D3054" s="18"/>
      <c r="E3054" s="18"/>
      <c r="F3054" s="18"/>
      <c r="J3054" s="27"/>
      <c r="K3054" s="27"/>
    </row>
    <row r="3055" spans="4:11" ht="15" customHeight="1" x14ac:dyDescent="0.2">
      <c r="D3055" s="18"/>
      <c r="E3055" s="18"/>
      <c r="F3055" s="18"/>
      <c r="J3055" s="27"/>
      <c r="K3055" s="27"/>
    </row>
    <row r="3056" spans="4:11" ht="15" customHeight="1" x14ac:dyDescent="0.2">
      <c r="D3056" s="18"/>
      <c r="E3056" s="18"/>
      <c r="F3056" s="18"/>
      <c r="J3056" s="27"/>
      <c r="K3056" s="27"/>
    </row>
    <row r="3057" spans="4:11" ht="15" customHeight="1" x14ac:dyDescent="0.2">
      <c r="D3057" s="18"/>
      <c r="E3057" s="18"/>
      <c r="F3057" s="18"/>
      <c r="J3057" s="27"/>
      <c r="K3057" s="27"/>
    </row>
    <row r="3058" spans="4:11" ht="15" customHeight="1" x14ac:dyDescent="0.2">
      <c r="D3058" s="18"/>
      <c r="E3058" s="18"/>
      <c r="F3058" s="18"/>
      <c r="J3058" s="27"/>
      <c r="K3058" s="27"/>
    </row>
    <row r="3059" spans="4:11" ht="15" customHeight="1" x14ac:dyDescent="0.2">
      <c r="D3059" s="18"/>
      <c r="E3059" s="18"/>
      <c r="F3059" s="18"/>
      <c r="J3059" s="27"/>
      <c r="K3059" s="27"/>
    </row>
    <row r="3060" spans="4:11" ht="15" customHeight="1" x14ac:dyDescent="0.2">
      <c r="D3060" s="18"/>
      <c r="E3060" s="18"/>
      <c r="F3060" s="18"/>
      <c r="J3060" s="27"/>
      <c r="K3060" s="27"/>
    </row>
    <row r="3061" spans="4:11" ht="15" customHeight="1" x14ac:dyDescent="0.2">
      <c r="D3061" s="18"/>
      <c r="E3061" s="18"/>
      <c r="F3061" s="18"/>
      <c r="J3061" s="27"/>
      <c r="K3061" s="27"/>
    </row>
    <row r="3062" spans="4:11" ht="15" customHeight="1" x14ac:dyDescent="0.2">
      <c r="D3062" s="18"/>
      <c r="E3062" s="18"/>
      <c r="F3062" s="18"/>
      <c r="J3062" s="27"/>
      <c r="K3062" s="27"/>
    </row>
    <row r="3063" spans="4:11" ht="15" customHeight="1" x14ac:dyDescent="0.2">
      <c r="D3063" s="18"/>
      <c r="E3063" s="18"/>
      <c r="F3063" s="18"/>
      <c r="J3063" s="27"/>
      <c r="K3063" s="27"/>
    </row>
    <row r="3064" spans="4:11" ht="15" customHeight="1" x14ac:dyDescent="0.2">
      <c r="D3064" s="18"/>
      <c r="E3064" s="18"/>
      <c r="F3064" s="18"/>
      <c r="J3064" s="27"/>
      <c r="K3064" s="27"/>
    </row>
    <row r="3065" spans="4:11" ht="15" customHeight="1" x14ac:dyDescent="0.2">
      <c r="D3065" s="18"/>
      <c r="E3065" s="18"/>
      <c r="F3065" s="18"/>
      <c r="J3065" s="27"/>
      <c r="K3065" s="27"/>
    </row>
    <row r="3066" spans="4:11" ht="15" customHeight="1" x14ac:dyDescent="0.2">
      <c r="D3066" s="18"/>
      <c r="E3066" s="18"/>
      <c r="F3066" s="18"/>
      <c r="J3066" s="27"/>
      <c r="K3066" s="27"/>
    </row>
    <row r="3067" spans="4:11" ht="15" customHeight="1" x14ac:dyDescent="0.2">
      <c r="D3067" s="18"/>
      <c r="E3067" s="18"/>
      <c r="F3067" s="18"/>
      <c r="J3067" s="27"/>
      <c r="K3067" s="27"/>
    </row>
    <row r="3068" spans="4:11" ht="15" customHeight="1" x14ac:dyDescent="0.2">
      <c r="D3068" s="18"/>
      <c r="E3068" s="18"/>
      <c r="F3068" s="18"/>
      <c r="J3068" s="27"/>
      <c r="K3068" s="27"/>
    </row>
    <row r="3069" spans="4:11" ht="15" customHeight="1" x14ac:dyDescent="0.2">
      <c r="D3069" s="18"/>
      <c r="E3069" s="18"/>
      <c r="F3069" s="18"/>
      <c r="J3069" s="27"/>
      <c r="K3069" s="27"/>
    </row>
    <row r="3070" spans="4:11" ht="15" customHeight="1" x14ac:dyDescent="0.2">
      <c r="E3070" s="18"/>
      <c r="F3070" s="18"/>
    </row>
    <row r="3071" spans="4:11" ht="15" customHeight="1" x14ac:dyDescent="0.2">
      <c r="E3071" s="18"/>
      <c r="F3071" s="18"/>
    </row>
    <row r="3072" spans="4:11" ht="15" customHeight="1" x14ac:dyDescent="0.2">
      <c r="E3072" s="18"/>
      <c r="F3072" s="18"/>
    </row>
    <row r="3073" spans="5:6" ht="15" customHeight="1" x14ac:dyDescent="0.2">
      <c r="E3073" s="18"/>
      <c r="F3073" s="18"/>
    </row>
    <row r="3074" spans="5:6" ht="15" customHeight="1" x14ac:dyDescent="0.2">
      <c r="E3074" s="18"/>
      <c r="F3074" s="18"/>
    </row>
    <row r="3075" spans="5:6" ht="15" customHeight="1" x14ac:dyDescent="0.2">
      <c r="E3075" s="18"/>
      <c r="F3075" s="18"/>
    </row>
    <row r="3076" spans="5:6" ht="15" customHeight="1" x14ac:dyDescent="0.2">
      <c r="E3076" s="18"/>
      <c r="F3076" s="18"/>
    </row>
    <row r="3077" spans="5:6" ht="15" customHeight="1" x14ac:dyDescent="0.2">
      <c r="E3077" s="18"/>
      <c r="F3077" s="18"/>
    </row>
    <row r="3078" spans="5:6" ht="15" customHeight="1" x14ac:dyDescent="0.2">
      <c r="E3078" s="18"/>
      <c r="F3078" s="18"/>
    </row>
    <row r="3079" spans="5:6" ht="15" customHeight="1" x14ac:dyDescent="0.2">
      <c r="E3079" s="18"/>
      <c r="F3079" s="18"/>
    </row>
    <row r="3080" spans="5:6" ht="15" customHeight="1" x14ac:dyDescent="0.2">
      <c r="E3080" s="18"/>
      <c r="F3080" s="18"/>
    </row>
    <row r="3081" spans="5:6" ht="15" customHeight="1" x14ac:dyDescent="0.2">
      <c r="E3081" s="18"/>
      <c r="F3081" s="18"/>
    </row>
    <row r="3082" spans="5:6" ht="15" customHeight="1" x14ac:dyDescent="0.2">
      <c r="E3082" s="18"/>
      <c r="F3082" s="18"/>
    </row>
    <row r="3083" spans="5:6" ht="15" customHeight="1" x14ac:dyDescent="0.2">
      <c r="E3083" s="18"/>
      <c r="F3083" s="18"/>
    </row>
    <row r="3084" spans="5:6" ht="15" customHeight="1" x14ac:dyDescent="0.2">
      <c r="E3084" s="18"/>
      <c r="F3084" s="18"/>
    </row>
    <row r="3085" spans="5:6" ht="15" customHeight="1" x14ac:dyDescent="0.2">
      <c r="E3085" s="18"/>
      <c r="F3085" s="18"/>
    </row>
    <row r="3086" spans="5:6" ht="15" customHeight="1" x14ac:dyDescent="0.2">
      <c r="E3086" s="18"/>
      <c r="F3086" s="18"/>
    </row>
    <row r="3087" spans="5:6" ht="15" customHeight="1" x14ac:dyDescent="0.2">
      <c r="E3087" s="18"/>
      <c r="F3087" s="18"/>
    </row>
    <row r="3088" spans="5:6" ht="15" customHeight="1" x14ac:dyDescent="0.2">
      <c r="E3088" s="18"/>
      <c r="F3088" s="18"/>
    </row>
    <row r="3089" spans="5:6" ht="15" customHeight="1" x14ac:dyDescent="0.2">
      <c r="E3089" s="18"/>
      <c r="F3089" s="18"/>
    </row>
    <row r="3090" spans="5:6" ht="15" customHeight="1" x14ac:dyDescent="0.2">
      <c r="E3090" s="18"/>
      <c r="F3090" s="18"/>
    </row>
    <row r="3091" spans="5:6" ht="15" customHeight="1" x14ac:dyDescent="0.2">
      <c r="E3091" s="18"/>
      <c r="F3091" s="18"/>
    </row>
    <row r="3092" spans="5:6" ht="15" customHeight="1" x14ac:dyDescent="0.2">
      <c r="E3092" s="18"/>
      <c r="F3092" s="18"/>
    </row>
    <row r="3093" spans="5:6" ht="15" customHeight="1" x14ac:dyDescent="0.2">
      <c r="E3093" s="18"/>
      <c r="F3093" s="18"/>
    </row>
    <row r="3094" spans="5:6" ht="15" customHeight="1" x14ac:dyDescent="0.2">
      <c r="E3094" s="18"/>
      <c r="F3094" s="18"/>
    </row>
    <row r="3095" spans="5:6" ht="15" customHeight="1" x14ac:dyDescent="0.2">
      <c r="E3095" s="18"/>
      <c r="F3095" s="18"/>
    </row>
    <row r="3096" spans="5:6" ht="15" customHeight="1" x14ac:dyDescent="0.2">
      <c r="E3096" s="18"/>
      <c r="F3096" s="18"/>
    </row>
    <row r="3097" spans="5:6" ht="15" customHeight="1" x14ac:dyDescent="0.2">
      <c r="E3097" s="18"/>
      <c r="F3097" s="18"/>
    </row>
    <row r="3098" spans="5:6" ht="15" customHeight="1" x14ac:dyDescent="0.2">
      <c r="E3098" s="18"/>
      <c r="F3098" s="18"/>
    </row>
    <row r="3099" spans="5:6" ht="15" customHeight="1" x14ac:dyDescent="0.2">
      <c r="E3099" s="18"/>
      <c r="F3099" s="18"/>
    </row>
    <row r="3100" spans="5:6" ht="15" customHeight="1" x14ac:dyDescent="0.2">
      <c r="E3100" s="18"/>
      <c r="F3100" s="18"/>
    </row>
    <row r="3101" spans="5:6" ht="15" customHeight="1" x14ac:dyDescent="0.2">
      <c r="E3101" s="18"/>
      <c r="F3101" s="18"/>
    </row>
    <row r="3102" spans="5:6" ht="15" customHeight="1" x14ac:dyDescent="0.2">
      <c r="E3102" s="18"/>
      <c r="F3102" s="18"/>
    </row>
    <row r="3103" spans="5:6" ht="15" customHeight="1" x14ac:dyDescent="0.2">
      <c r="E3103" s="18"/>
      <c r="F3103" s="18"/>
    </row>
    <row r="3104" spans="5:6" ht="15" customHeight="1" x14ac:dyDescent="0.2">
      <c r="E3104" s="18"/>
      <c r="F3104" s="18"/>
    </row>
    <row r="3105" spans="5:6" ht="15" customHeight="1" x14ac:dyDescent="0.2">
      <c r="E3105" s="18"/>
      <c r="F3105" s="18"/>
    </row>
    <row r="3106" spans="5:6" ht="15" customHeight="1" x14ac:dyDescent="0.2">
      <c r="E3106" s="18"/>
      <c r="F3106" s="18"/>
    </row>
    <row r="3107" spans="5:6" ht="15" customHeight="1" x14ac:dyDescent="0.2">
      <c r="E3107" s="18"/>
      <c r="F3107" s="18"/>
    </row>
    <row r="3108" spans="5:6" ht="15" customHeight="1" x14ac:dyDescent="0.2">
      <c r="E3108" s="18"/>
      <c r="F3108" s="18"/>
    </row>
    <row r="3109" spans="5:6" ht="15" customHeight="1" x14ac:dyDescent="0.2">
      <c r="E3109" s="18"/>
      <c r="F3109" s="18"/>
    </row>
    <row r="3110" spans="5:6" ht="15" customHeight="1" x14ac:dyDescent="0.2">
      <c r="E3110" s="18"/>
      <c r="F3110" s="18"/>
    </row>
    <row r="3111" spans="5:6" ht="15" customHeight="1" x14ac:dyDescent="0.2">
      <c r="E3111" s="18"/>
      <c r="F3111" s="18"/>
    </row>
    <row r="3112" spans="5:6" ht="15" customHeight="1" x14ac:dyDescent="0.2">
      <c r="E3112" s="18"/>
      <c r="F3112" s="18"/>
    </row>
    <row r="3113" spans="5:6" ht="15" customHeight="1" x14ac:dyDescent="0.2">
      <c r="E3113" s="18"/>
      <c r="F3113" s="18"/>
    </row>
    <row r="3114" spans="5:6" ht="15" customHeight="1" x14ac:dyDescent="0.2">
      <c r="E3114" s="18"/>
      <c r="F3114" s="18"/>
    </row>
    <row r="3115" spans="5:6" ht="15" customHeight="1" x14ac:dyDescent="0.2">
      <c r="E3115" s="18"/>
      <c r="F3115" s="18"/>
    </row>
    <row r="3116" spans="5:6" ht="15" customHeight="1" x14ac:dyDescent="0.2">
      <c r="E3116" s="18"/>
      <c r="F3116" s="18"/>
    </row>
    <row r="3117" spans="5:6" ht="15" customHeight="1" x14ac:dyDescent="0.2">
      <c r="E3117" s="18"/>
      <c r="F3117" s="18"/>
    </row>
    <row r="3118" spans="5:6" ht="15" customHeight="1" x14ac:dyDescent="0.2">
      <c r="E3118" s="18"/>
      <c r="F3118" s="18"/>
    </row>
    <row r="3119" spans="5:6" ht="15" customHeight="1" x14ac:dyDescent="0.2">
      <c r="E3119" s="18"/>
      <c r="F3119" s="18"/>
    </row>
    <row r="3120" spans="5:6" ht="15" customHeight="1" x14ac:dyDescent="0.2">
      <c r="E3120" s="18"/>
      <c r="F3120" s="18"/>
    </row>
    <row r="3121" spans="5:6" ht="15" customHeight="1" x14ac:dyDescent="0.2">
      <c r="E3121" s="18"/>
      <c r="F3121" s="18"/>
    </row>
    <row r="3122" spans="5:6" ht="15" customHeight="1" x14ac:dyDescent="0.2">
      <c r="E3122" s="18"/>
      <c r="F3122" s="18"/>
    </row>
    <row r="3123" spans="5:6" ht="15" customHeight="1" x14ac:dyDescent="0.2">
      <c r="E3123" s="18"/>
      <c r="F3123" s="18"/>
    </row>
    <row r="3124" spans="5:6" ht="15" customHeight="1" x14ac:dyDescent="0.2">
      <c r="E3124" s="18"/>
      <c r="F3124" s="18"/>
    </row>
    <row r="3125" spans="5:6" ht="15" customHeight="1" x14ac:dyDescent="0.2">
      <c r="E3125" s="18"/>
      <c r="F3125" s="18"/>
    </row>
    <row r="3126" spans="5:6" ht="15" customHeight="1" x14ac:dyDescent="0.2">
      <c r="E3126" s="18"/>
      <c r="F3126" s="18"/>
    </row>
    <row r="3127" spans="5:6" ht="15" customHeight="1" x14ac:dyDescent="0.2">
      <c r="E3127" s="18"/>
      <c r="F3127" s="18"/>
    </row>
    <row r="3128" spans="5:6" ht="15" customHeight="1" x14ac:dyDescent="0.2">
      <c r="E3128" s="18"/>
      <c r="F3128" s="18"/>
    </row>
    <row r="3129" spans="5:6" ht="15" customHeight="1" x14ac:dyDescent="0.2">
      <c r="E3129" s="18"/>
      <c r="F3129" s="18"/>
    </row>
    <row r="3130" spans="5:6" ht="15" customHeight="1" x14ac:dyDescent="0.2">
      <c r="E3130" s="18"/>
      <c r="F3130" s="18"/>
    </row>
    <row r="3131" spans="5:6" ht="15" customHeight="1" x14ac:dyDescent="0.2">
      <c r="E3131" s="18"/>
      <c r="F3131" s="18"/>
    </row>
    <row r="3132" spans="5:6" ht="15" customHeight="1" x14ac:dyDescent="0.2">
      <c r="E3132" s="18"/>
      <c r="F3132" s="18"/>
    </row>
    <row r="3133" spans="5:6" ht="15" customHeight="1" x14ac:dyDescent="0.2">
      <c r="E3133" s="18"/>
      <c r="F3133" s="18"/>
    </row>
    <row r="3134" spans="5:6" ht="15" customHeight="1" x14ac:dyDescent="0.2">
      <c r="E3134" s="18"/>
      <c r="F3134" s="18"/>
    </row>
    <row r="3135" spans="5:6" ht="15" customHeight="1" x14ac:dyDescent="0.2">
      <c r="E3135" s="18"/>
      <c r="F3135" s="18"/>
    </row>
    <row r="3136" spans="5:6" ht="15" customHeight="1" x14ac:dyDescent="0.2">
      <c r="E3136" s="18"/>
      <c r="F3136" s="18"/>
    </row>
    <row r="3137" spans="5:6" ht="15" customHeight="1" x14ac:dyDescent="0.2">
      <c r="E3137" s="18"/>
      <c r="F3137" s="18"/>
    </row>
    <row r="3138" spans="5:6" ht="15" customHeight="1" x14ac:dyDescent="0.2">
      <c r="E3138" s="18"/>
      <c r="F3138" s="18"/>
    </row>
    <row r="3139" spans="5:6" ht="15" customHeight="1" x14ac:dyDescent="0.2">
      <c r="E3139" s="18"/>
      <c r="F3139" s="18"/>
    </row>
    <row r="3140" spans="5:6" ht="15" customHeight="1" x14ac:dyDescent="0.2">
      <c r="E3140" s="18"/>
      <c r="F3140" s="18"/>
    </row>
    <row r="3141" spans="5:6" ht="15" customHeight="1" x14ac:dyDescent="0.2">
      <c r="E3141" s="18"/>
      <c r="F3141" s="18"/>
    </row>
    <row r="3142" spans="5:6" ht="15" customHeight="1" x14ac:dyDescent="0.2">
      <c r="E3142" s="18"/>
      <c r="F3142" s="18"/>
    </row>
    <row r="3143" spans="5:6" ht="15" customHeight="1" x14ac:dyDescent="0.2">
      <c r="E3143" s="18"/>
      <c r="F3143" s="18"/>
    </row>
    <row r="3144" spans="5:6" ht="15" customHeight="1" x14ac:dyDescent="0.2">
      <c r="E3144" s="18"/>
      <c r="F3144" s="18"/>
    </row>
    <row r="3145" spans="5:6" ht="15" customHeight="1" x14ac:dyDescent="0.2">
      <c r="E3145" s="18"/>
      <c r="F3145" s="18"/>
    </row>
    <row r="3146" spans="5:6" ht="15" customHeight="1" x14ac:dyDescent="0.2">
      <c r="E3146" s="18"/>
      <c r="F3146" s="18"/>
    </row>
    <row r="3147" spans="5:6" ht="15" customHeight="1" x14ac:dyDescent="0.2">
      <c r="E3147" s="18"/>
      <c r="F3147" s="18"/>
    </row>
    <row r="3148" spans="5:6" ht="15" customHeight="1" x14ac:dyDescent="0.2">
      <c r="E3148" s="18"/>
      <c r="F3148" s="18"/>
    </row>
    <row r="3149" spans="5:6" ht="15" customHeight="1" x14ac:dyDescent="0.2">
      <c r="E3149" s="18"/>
      <c r="F3149" s="18"/>
    </row>
    <row r="3150" spans="5:6" ht="15" customHeight="1" x14ac:dyDescent="0.2">
      <c r="E3150" s="18"/>
      <c r="F3150" s="18"/>
    </row>
    <row r="3151" spans="5:6" ht="15" customHeight="1" x14ac:dyDescent="0.2">
      <c r="E3151" s="18"/>
      <c r="F3151" s="18"/>
    </row>
    <row r="3152" spans="5:6" ht="15" customHeight="1" x14ac:dyDescent="0.2">
      <c r="E3152" s="18"/>
      <c r="F3152" s="18"/>
    </row>
    <row r="3153" spans="5:6" ht="15" customHeight="1" x14ac:dyDescent="0.2">
      <c r="E3153" s="18"/>
      <c r="F3153" s="18"/>
    </row>
    <row r="3154" spans="5:6" ht="15" customHeight="1" x14ac:dyDescent="0.2">
      <c r="E3154" s="18"/>
      <c r="F3154" s="18"/>
    </row>
    <row r="3155" spans="5:6" ht="15" customHeight="1" x14ac:dyDescent="0.2">
      <c r="E3155" s="18"/>
      <c r="F3155" s="18"/>
    </row>
    <row r="3156" spans="5:6" ht="15" customHeight="1" x14ac:dyDescent="0.2">
      <c r="E3156" s="18"/>
      <c r="F3156" s="18"/>
    </row>
    <row r="3157" spans="5:6" ht="15" customHeight="1" x14ac:dyDescent="0.2">
      <c r="E3157" s="18"/>
      <c r="F3157" s="18"/>
    </row>
    <row r="3158" spans="5:6" ht="15" customHeight="1" x14ac:dyDescent="0.2">
      <c r="E3158" s="18"/>
      <c r="F3158" s="18"/>
    </row>
    <row r="3159" spans="5:6" ht="15" customHeight="1" x14ac:dyDescent="0.2">
      <c r="E3159" s="18"/>
      <c r="F3159" s="18"/>
    </row>
    <row r="3160" spans="5:6" ht="15" customHeight="1" x14ac:dyDescent="0.2">
      <c r="E3160" s="18"/>
      <c r="F3160" s="18"/>
    </row>
    <row r="3161" spans="5:6" ht="15" customHeight="1" x14ac:dyDescent="0.2">
      <c r="E3161" s="18"/>
      <c r="F3161" s="18"/>
    </row>
    <row r="3162" spans="5:6" ht="15" customHeight="1" x14ac:dyDescent="0.2">
      <c r="E3162" s="18"/>
      <c r="F3162" s="18"/>
    </row>
    <row r="3163" spans="5:6" ht="15" customHeight="1" x14ac:dyDescent="0.2">
      <c r="E3163" s="18"/>
      <c r="F3163" s="18"/>
    </row>
    <row r="3164" spans="5:6" ht="15" customHeight="1" x14ac:dyDescent="0.2">
      <c r="E3164" s="18"/>
      <c r="F3164" s="18"/>
    </row>
    <row r="3165" spans="5:6" ht="15" customHeight="1" x14ac:dyDescent="0.2">
      <c r="E3165" s="18"/>
      <c r="F3165" s="18"/>
    </row>
    <row r="3166" spans="5:6" ht="15" customHeight="1" x14ac:dyDescent="0.2">
      <c r="E3166" s="18"/>
      <c r="F3166" s="18"/>
    </row>
    <row r="3167" spans="5:6" ht="15" customHeight="1" x14ac:dyDescent="0.2">
      <c r="E3167" s="18"/>
      <c r="F3167" s="18"/>
    </row>
    <row r="3168" spans="5:6" ht="15" customHeight="1" x14ac:dyDescent="0.2">
      <c r="E3168" s="18"/>
      <c r="F3168" s="18"/>
    </row>
    <row r="3169" spans="5:6" ht="15" customHeight="1" x14ac:dyDescent="0.2">
      <c r="E3169" s="18"/>
      <c r="F3169" s="18"/>
    </row>
    <row r="3170" spans="5:6" ht="15" customHeight="1" x14ac:dyDescent="0.2">
      <c r="E3170" s="18"/>
      <c r="F3170" s="18"/>
    </row>
    <row r="3171" spans="5:6" ht="15" customHeight="1" x14ac:dyDescent="0.2">
      <c r="E3171" s="18"/>
      <c r="F3171" s="18"/>
    </row>
    <row r="3172" spans="5:6" ht="15" customHeight="1" x14ac:dyDescent="0.2">
      <c r="E3172" s="18"/>
      <c r="F3172" s="18"/>
    </row>
    <row r="3173" spans="5:6" ht="15" customHeight="1" x14ac:dyDescent="0.2">
      <c r="E3173" s="18"/>
      <c r="F3173" s="18"/>
    </row>
    <row r="3174" spans="5:6" ht="15" customHeight="1" x14ac:dyDescent="0.2">
      <c r="E3174" s="18"/>
      <c r="F3174" s="18"/>
    </row>
    <row r="3175" spans="5:6" ht="15" customHeight="1" x14ac:dyDescent="0.2">
      <c r="E3175" s="18"/>
      <c r="F3175" s="18"/>
    </row>
    <row r="3176" spans="5:6" ht="15" customHeight="1" x14ac:dyDescent="0.2">
      <c r="E3176" s="18"/>
      <c r="F3176" s="18"/>
    </row>
    <row r="3177" spans="5:6" ht="15" customHeight="1" x14ac:dyDescent="0.2">
      <c r="E3177" s="18"/>
      <c r="F3177" s="18"/>
    </row>
    <row r="3178" spans="5:6" ht="15" customHeight="1" x14ac:dyDescent="0.2">
      <c r="E3178" s="18"/>
      <c r="F3178" s="18"/>
    </row>
    <row r="3179" spans="5:6" ht="15" customHeight="1" x14ac:dyDescent="0.2">
      <c r="E3179" s="18"/>
      <c r="F3179" s="18"/>
    </row>
    <row r="3180" spans="5:6" ht="15" customHeight="1" x14ac:dyDescent="0.2">
      <c r="E3180" s="18"/>
      <c r="F3180" s="18"/>
    </row>
    <row r="3181" spans="5:6" ht="15" customHeight="1" x14ac:dyDescent="0.2">
      <c r="E3181" s="18"/>
      <c r="F3181" s="18"/>
    </row>
    <row r="3182" spans="5:6" ht="15" customHeight="1" x14ac:dyDescent="0.2">
      <c r="E3182" s="18"/>
      <c r="F3182" s="18"/>
    </row>
    <row r="3183" spans="5:6" ht="15" customHeight="1" x14ac:dyDescent="0.2">
      <c r="E3183" s="18"/>
      <c r="F3183" s="18"/>
    </row>
    <row r="3184" spans="5:6" ht="15" customHeight="1" x14ac:dyDescent="0.2">
      <c r="E3184" s="18"/>
      <c r="F3184" s="18"/>
    </row>
    <row r="3185" spans="5:6" ht="15" customHeight="1" x14ac:dyDescent="0.2">
      <c r="E3185" s="18"/>
      <c r="F3185" s="18"/>
    </row>
    <row r="3186" spans="5:6" ht="15" customHeight="1" x14ac:dyDescent="0.2">
      <c r="E3186" s="18"/>
      <c r="F3186" s="18"/>
    </row>
    <row r="3187" spans="5:6" ht="15" customHeight="1" x14ac:dyDescent="0.2">
      <c r="E3187" s="18"/>
      <c r="F3187" s="18"/>
    </row>
    <row r="3188" spans="5:6" ht="15" customHeight="1" x14ac:dyDescent="0.2">
      <c r="E3188" s="18"/>
      <c r="F3188" s="18"/>
    </row>
    <row r="3189" spans="5:6" ht="15" customHeight="1" x14ac:dyDescent="0.2">
      <c r="E3189" s="18"/>
      <c r="F3189" s="18"/>
    </row>
    <row r="3190" spans="5:6" ht="15" customHeight="1" x14ac:dyDescent="0.2">
      <c r="E3190" s="18"/>
      <c r="F3190" s="18"/>
    </row>
    <row r="3191" spans="5:6" ht="15" customHeight="1" x14ac:dyDescent="0.2">
      <c r="E3191" s="18"/>
      <c r="F3191" s="18"/>
    </row>
    <row r="3192" spans="5:6" ht="15" customHeight="1" x14ac:dyDescent="0.2">
      <c r="E3192" s="18"/>
      <c r="F3192" s="18"/>
    </row>
    <row r="3193" spans="5:6" ht="15" customHeight="1" x14ac:dyDescent="0.2">
      <c r="E3193" s="18"/>
      <c r="F3193" s="18"/>
    </row>
    <row r="3194" spans="5:6" ht="15" customHeight="1" x14ac:dyDescent="0.2">
      <c r="E3194" s="18"/>
      <c r="F3194" s="18"/>
    </row>
    <row r="3195" spans="5:6" ht="15" customHeight="1" x14ac:dyDescent="0.2">
      <c r="E3195" s="18"/>
      <c r="F3195" s="18"/>
    </row>
    <row r="3196" spans="5:6" ht="15" customHeight="1" x14ac:dyDescent="0.2">
      <c r="E3196" s="18"/>
      <c r="F3196" s="18"/>
    </row>
    <row r="3197" spans="5:6" ht="15" customHeight="1" x14ac:dyDescent="0.2">
      <c r="E3197" s="18"/>
      <c r="F3197" s="18"/>
    </row>
    <row r="3198" spans="5:6" ht="15" customHeight="1" x14ac:dyDescent="0.2">
      <c r="E3198" s="18"/>
      <c r="F3198" s="18"/>
    </row>
    <row r="3199" spans="5:6" ht="15" customHeight="1" x14ac:dyDescent="0.2">
      <c r="E3199" s="18"/>
      <c r="F3199" s="18"/>
    </row>
    <row r="3200" spans="5:6" ht="15" customHeight="1" x14ac:dyDescent="0.2">
      <c r="E3200" s="18"/>
      <c r="F3200" s="18"/>
    </row>
    <row r="3201" spans="5:6" ht="15" customHeight="1" x14ac:dyDescent="0.2">
      <c r="E3201" s="18"/>
      <c r="F3201" s="18"/>
    </row>
    <row r="3202" spans="5:6" ht="15" customHeight="1" x14ac:dyDescent="0.2">
      <c r="E3202" s="18"/>
      <c r="F3202" s="18"/>
    </row>
    <row r="3203" spans="5:6" ht="15" customHeight="1" x14ac:dyDescent="0.2">
      <c r="E3203" s="18"/>
      <c r="F3203" s="18"/>
    </row>
    <row r="3204" spans="5:6" ht="15" customHeight="1" x14ac:dyDescent="0.2">
      <c r="E3204" s="18"/>
      <c r="F3204" s="18"/>
    </row>
    <row r="3205" spans="5:6" ht="15" customHeight="1" x14ac:dyDescent="0.2">
      <c r="E3205" s="18"/>
      <c r="F3205" s="18"/>
    </row>
    <row r="3206" spans="5:6" ht="15" customHeight="1" x14ac:dyDescent="0.2">
      <c r="E3206" s="18"/>
      <c r="F3206" s="18"/>
    </row>
    <row r="3207" spans="5:6" ht="15" customHeight="1" x14ac:dyDescent="0.2">
      <c r="E3207" s="18"/>
      <c r="F3207" s="18"/>
    </row>
    <row r="3208" spans="5:6" ht="15" customHeight="1" x14ac:dyDescent="0.2">
      <c r="E3208" s="18"/>
      <c r="F3208" s="18"/>
    </row>
    <row r="3209" spans="5:6" ht="15" customHeight="1" x14ac:dyDescent="0.2">
      <c r="E3209" s="18"/>
      <c r="F3209" s="18"/>
    </row>
    <row r="3210" spans="5:6" ht="15" customHeight="1" x14ac:dyDescent="0.2">
      <c r="E3210" s="18"/>
      <c r="F3210" s="18"/>
    </row>
    <row r="3211" spans="5:6" ht="15" customHeight="1" x14ac:dyDescent="0.2">
      <c r="E3211" s="18"/>
      <c r="F3211" s="18"/>
    </row>
    <row r="3212" spans="5:6" ht="15" customHeight="1" x14ac:dyDescent="0.2">
      <c r="E3212" s="18"/>
      <c r="F3212" s="18"/>
    </row>
    <row r="3213" spans="5:6" ht="15" customHeight="1" x14ac:dyDescent="0.2">
      <c r="E3213" s="18"/>
      <c r="F3213" s="18"/>
    </row>
    <row r="3214" spans="5:6" ht="15" customHeight="1" x14ac:dyDescent="0.2">
      <c r="E3214" s="18"/>
      <c r="F3214" s="18"/>
    </row>
    <row r="3215" spans="5:6" ht="15" customHeight="1" x14ac:dyDescent="0.2">
      <c r="E3215" s="18"/>
      <c r="F3215" s="18"/>
    </row>
    <row r="3216" spans="5:6" ht="15" customHeight="1" x14ac:dyDescent="0.2">
      <c r="E3216" s="18"/>
      <c r="F3216" s="18"/>
    </row>
    <row r="3217" spans="5:6" ht="15" customHeight="1" x14ac:dyDescent="0.2">
      <c r="E3217" s="18"/>
      <c r="F3217" s="18"/>
    </row>
    <row r="3218" spans="5:6" ht="15" customHeight="1" x14ac:dyDescent="0.2">
      <c r="E3218" s="18"/>
      <c r="F3218" s="18"/>
    </row>
    <row r="3219" spans="5:6" ht="15" customHeight="1" x14ac:dyDescent="0.2">
      <c r="E3219" s="18"/>
      <c r="F3219" s="18"/>
    </row>
    <row r="3220" spans="5:6" ht="15" customHeight="1" x14ac:dyDescent="0.2">
      <c r="E3220" s="18"/>
      <c r="F3220" s="18"/>
    </row>
    <row r="3221" spans="5:6" ht="15" customHeight="1" x14ac:dyDescent="0.2">
      <c r="E3221" s="18"/>
      <c r="F3221" s="18"/>
    </row>
    <row r="3222" spans="5:6" ht="15" customHeight="1" x14ac:dyDescent="0.2">
      <c r="E3222" s="18"/>
      <c r="F3222" s="18"/>
    </row>
    <row r="3223" spans="5:6" ht="15" customHeight="1" x14ac:dyDescent="0.2">
      <c r="E3223" s="18"/>
      <c r="F3223" s="18"/>
    </row>
    <row r="3224" spans="5:6" ht="15" customHeight="1" x14ac:dyDescent="0.2">
      <c r="E3224" s="18"/>
      <c r="F3224" s="18"/>
    </row>
    <row r="3225" spans="5:6" ht="15" customHeight="1" x14ac:dyDescent="0.2">
      <c r="E3225" s="18"/>
      <c r="F3225" s="18"/>
    </row>
    <row r="3226" spans="5:6" ht="15" customHeight="1" x14ac:dyDescent="0.2">
      <c r="E3226" s="18"/>
      <c r="F3226" s="18"/>
    </row>
    <row r="3227" spans="5:6" ht="15" customHeight="1" x14ac:dyDescent="0.2">
      <c r="E3227" s="18"/>
      <c r="F3227" s="18"/>
    </row>
    <row r="3228" spans="5:6" ht="15" customHeight="1" x14ac:dyDescent="0.2">
      <c r="E3228" s="18"/>
      <c r="F3228" s="18"/>
    </row>
    <row r="3229" spans="5:6" ht="15" customHeight="1" x14ac:dyDescent="0.2">
      <c r="E3229" s="18"/>
      <c r="F3229" s="18"/>
    </row>
    <row r="3230" spans="5:6" ht="15" customHeight="1" x14ac:dyDescent="0.2">
      <c r="E3230" s="18"/>
      <c r="F3230" s="18"/>
    </row>
    <row r="3231" spans="5:6" ht="15" customHeight="1" x14ac:dyDescent="0.2">
      <c r="E3231" s="18"/>
      <c r="F3231" s="18"/>
    </row>
    <row r="3232" spans="5:6" ht="15" customHeight="1" x14ac:dyDescent="0.2">
      <c r="E3232" s="18"/>
      <c r="F3232" s="18"/>
    </row>
    <row r="3233" spans="5:6" ht="15" customHeight="1" x14ac:dyDescent="0.2">
      <c r="E3233" s="18"/>
      <c r="F3233" s="18"/>
    </row>
    <row r="3234" spans="5:6" ht="15" customHeight="1" x14ac:dyDescent="0.2">
      <c r="E3234" s="18"/>
      <c r="F3234" s="18"/>
    </row>
    <row r="3235" spans="5:6" ht="15" customHeight="1" x14ac:dyDescent="0.2">
      <c r="E3235" s="18"/>
      <c r="F3235" s="18"/>
    </row>
    <row r="3236" spans="5:6" ht="15" customHeight="1" x14ac:dyDescent="0.2">
      <c r="E3236" s="18"/>
      <c r="F3236" s="18"/>
    </row>
    <row r="3237" spans="5:6" ht="15" customHeight="1" x14ac:dyDescent="0.2">
      <c r="E3237" s="18"/>
      <c r="F3237" s="18"/>
    </row>
    <row r="3238" spans="5:6" ht="15" customHeight="1" x14ac:dyDescent="0.2">
      <c r="E3238" s="18"/>
      <c r="F3238" s="18"/>
    </row>
    <row r="3239" spans="5:6" ht="15" customHeight="1" x14ac:dyDescent="0.2">
      <c r="E3239" s="18"/>
      <c r="F3239" s="18"/>
    </row>
    <row r="3240" spans="5:6" ht="15" customHeight="1" x14ac:dyDescent="0.2">
      <c r="E3240" s="18"/>
      <c r="F3240" s="18"/>
    </row>
    <row r="3241" spans="5:6" ht="15" customHeight="1" x14ac:dyDescent="0.2">
      <c r="E3241" s="18"/>
      <c r="F3241" s="18"/>
    </row>
    <row r="3242" spans="5:6" ht="15" customHeight="1" x14ac:dyDescent="0.2">
      <c r="E3242" s="18"/>
      <c r="F3242" s="18"/>
    </row>
    <row r="3243" spans="5:6" ht="15" customHeight="1" x14ac:dyDescent="0.2">
      <c r="E3243" s="18"/>
      <c r="F3243" s="18"/>
    </row>
    <row r="3244" spans="5:6" ht="15" customHeight="1" x14ac:dyDescent="0.2">
      <c r="E3244" s="18"/>
      <c r="F3244" s="18"/>
    </row>
    <row r="3245" spans="5:6" ht="15" customHeight="1" x14ac:dyDescent="0.2">
      <c r="E3245" s="18"/>
      <c r="F3245" s="18"/>
    </row>
    <row r="3246" spans="5:6" ht="15" customHeight="1" x14ac:dyDescent="0.2">
      <c r="E3246" s="18"/>
      <c r="F3246" s="18"/>
    </row>
    <row r="3247" spans="5:6" ht="15" customHeight="1" x14ac:dyDescent="0.2">
      <c r="E3247" s="18"/>
      <c r="F3247" s="18"/>
    </row>
    <row r="3248" spans="5:6" ht="15" customHeight="1" x14ac:dyDescent="0.2">
      <c r="E3248" s="18"/>
      <c r="F3248" s="18"/>
    </row>
    <row r="3249" spans="5:6" ht="15" customHeight="1" x14ac:dyDescent="0.2">
      <c r="E3249" s="18"/>
      <c r="F3249" s="18"/>
    </row>
    <row r="3250" spans="5:6" ht="15" customHeight="1" x14ac:dyDescent="0.2">
      <c r="E3250" s="18"/>
      <c r="F3250" s="18"/>
    </row>
    <row r="3251" spans="5:6" ht="15" customHeight="1" x14ac:dyDescent="0.2">
      <c r="E3251" s="18"/>
      <c r="F3251" s="18"/>
    </row>
    <row r="3252" spans="5:6" ht="15" customHeight="1" x14ac:dyDescent="0.2">
      <c r="E3252" s="18"/>
      <c r="F3252" s="18"/>
    </row>
    <row r="3253" spans="5:6" ht="15" customHeight="1" x14ac:dyDescent="0.2">
      <c r="E3253" s="18"/>
      <c r="F3253" s="18"/>
    </row>
    <row r="3254" spans="5:6" ht="15" customHeight="1" x14ac:dyDescent="0.2">
      <c r="E3254" s="18"/>
      <c r="F3254" s="18"/>
    </row>
    <row r="3255" spans="5:6" ht="15" customHeight="1" x14ac:dyDescent="0.2">
      <c r="E3255" s="18"/>
      <c r="F3255" s="18"/>
    </row>
    <row r="3256" spans="5:6" ht="15" customHeight="1" x14ac:dyDescent="0.2">
      <c r="E3256" s="18"/>
      <c r="F3256" s="18"/>
    </row>
    <row r="3257" spans="5:6" ht="15" customHeight="1" x14ac:dyDescent="0.2">
      <c r="E3257" s="18"/>
      <c r="F3257" s="18"/>
    </row>
    <row r="3258" spans="5:6" ht="15" customHeight="1" x14ac:dyDescent="0.2">
      <c r="E3258" s="18"/>
      <c r="F3258" s="18"/>
    </row>
    <row r="3259" spans="5:6" ht="15" customHeight="1" x14ac:dyDescent="0.2">
      <c r="E3259" s="18"/>
      <c r="F3259" s="18"/>
    </row>
    <row r="3260" spans="5:6" ht="15" customHeight="1" x14ac:dyDescent="0.2">
      <c r="E3260" s="18"/>
      <c r="F3260" s="18"/>
    </row>
    <row r="3261" spans="5:6" ht="15" customHeight="1" x14ac:dyDescent="0.2">
      <c r="E3261" s="18"/>
      <c r="F3261" s="18"/>
    </row>
    <row r="3262" spans="5:6" ht="15" customHeight="1" x14ac:dyDescent="0.2">
      <c r="E3262" s="18"/>
      <c r="F3262" s="18"/>
    </row>
    <row r="3263" spans="5:6" ht="15" customHeight="1" x14ac:dyDescent="0.2">
      <c r="E3263" s="18"/>
      <c r="F3263" s="18"/>
    </row>
    <row r="3264" spans="5:6" ht="15" customHeight="1" x14ac:dyDescent="0.2">
      <c r="E3264" s="18"/>
      <c r="F3264" s="18"/>
    </row>
    <row r="3265" spans="5:6" ht="15" customHeight="1" x14ac:dyDescent="0.2">
      <c r="E3265" s="18"/>
      <c r="F3265" s="18"/>
    </row>
    <row r="3266" spans="5:6" ht="15" customHeight="1" x14ac:dyDescent="0.2">
      <c r="E3266" s="18"/>
      <c r="F3266" s="18"/>
    </row>
    <row r="3267" spans="5:6" ht="15" customHeight="1" x14ac:dyDescent="0.2">
      <c r="E3267" s="18"/>
      <c r="F3267" s="18"/>
    </row>
    <row r="3268" spans="5:6" ht="15" customHeight="1" x14ac:dyDescent="0.2">
      <c r="E3268" s="18"/>
      <c r="F3268" s="18"/>
    </row>
    <row r="3269" spans="5:6" ht="15" customHeight="1" x14ac:dyDescent="0.2">
      <c r="E3269" s="18"/>
      <c r="F3269" s="18"/>
    </row>
    <row r="3270" spans="5:6" ht="15" customHeight="1" x14ac:dyDescent="0.2">
      <c r="E3270" s="18"/>
      <c r="F3270" s="18"/>
    </row>
    <row r="3271" spans="5:6" ht="15" customHeight="1" x14ac:dyDescent="0.2">
      <c r="E3271" s="18"/>
      <c r="F3271" s="18"/>
    </row>
    <row r="3272" spans="5:6" ht="15" customHeight="1" x14ac:dyDescent="0.2">
      <c r="E3272" s="18"/>
      <c r="F3272" s="18"/>
    </row>
    <row r="3273" spans="5:6" ht="15" customHeight="1" x14ac:dyDescent="0.2">
      <c r="E3273" s="18"/>
      <c r="F3273" s="18"/>
    </row>
    <row r="3274" spans="5:6" ht="15" customHeight="1" x14ac:dyDescent="0.2">
      <c r="E3274" s="18"/>
      <c r="F3274" s="18"/>
    </row>
    <row r="3275" spans="5:6" ht="15" customHeight="1" x14ac:dyDescent="0.2">
      <c r="E3275" s="18"/>
      <c r="F3275" s="18"/>
    </row>
    <row r="3276" spans="5:6" ht="15" customHeight="1" x14ac:dyDescent="0.2">
      <c r="E3276" s="18"/>
      <c r="F3276" s="18"/>
    </row>
    <row r="3277" spans="5:6" ht="15" customHeight="1" x14ac:dyDescent="0.2">
      <c r="E3277" s="18"/>
      <c r="F3277" s="18"/>
    </row>
    <row r="3278" spans="5:6" ht="15" customHeight="1" x14ac:dyDescent="0.2">
      <c r="E3278" s="18"/>
      <c r="F3278" s="18"/>
    </row>
    <row r="3279" spans="5:6" ht="15" customHeight="1" x14ac:dyDescent="0.2">
      <c r="E3279" s="18"/>
      <c r="F3279" s="18"/>
    </row>
    <row r="3280" spans="5:6" ht="15" customHeight="1" x14ac:dyDescent="0.2">
      <c r="E3280" s="18"/>
      <c r="F3280" s="18"/>
    </row>
    <row r="3281" spans="5:6" ht="15" customHeight="1" x14ac:dyDescent="0.2">
      <c r="E3281" s="18"/>
      <c r="F3281" s="18"/>
    </row>
    <row r="3282" spans="5:6" ht="15" customHeight="1" x14ac:dyDescent="0.2">
      <c r="E3282" s="18"/>
      <c r="F3282" s="18"/>
    </row>
    <row r="3283" spans="5:6" ht="15" customHeight="1" x14ac:dyDescent="0.2">
      <c r="E3283" s="18"/>
      <c r="F3283" s="18"/>
    </row>
    <row r="3284" spans="5:6" ht="15" customHeight="1" x14ac:dyDescent="0.2">
      <c r="E3284" s="18"/>
      <c r="F3284" s="18"/>
    </row>
    <row r="3285" spans="5:6" ht="15" customHeight="1" x14ac:dyDescent="0.2">
      <c r="E3285" s="18"/>
      <c r="F3285" s="18"/>
    </row>
    <row r="3286" spans="5:6" ht="15" customHeight="1" x14ac:dyDescent="0.2">
      <c r="E3286" s="18"/>
      <c r="F3286" s="18"/>
    </row>
    <row r="3287" spans="5:6" ht="15" customHeight="1" x14ac:dyDescent="0.2">
      <c r="E3287" s="18"/>
      <c r="F3287" s="18"/>
    </row>
    <row r="3288" spans="5:6" ht="15" customHeight="1" x14ac:dyDescent="0.2">
      <c r="E3288" s="18"/>
      <c r="F3288" s="18"/>
    </row>
    <row r="3289" spans="5:6" ht="15" customHeight="1" x14ac:dyDescent="0.2">
      <c r="E3289" s="18"/>
      <c r="F3289" s="18"/>
    </row>
    <row r="3290" spans="5:6" ht="15" customHeight="1" x14ac:dyDescent="0.2">
      <c r="E3290" s="18"/>
      <c r="F3290" s="18"/>
    </row>
    <row r="3291" spans="5:6" ht="15" customHeight="1" x14ac:dyDescent="0.2">
      <c r="E3291" s="18"/>
      <c r="F3291" s="18"/>
    </row>
    <row r="3292" spans="5:6" ht="15" customHeight="1" x14ac:dyDescent="0.2">
      <c r="E3292" s="18"/>
      <c r="F3292" s="18"/>
    </row>
    <row r="3293" spans="5:6" ht="15" customHeight="1" x14ac:dyDescent="0.2">
      <c r="E3293" s="18"/>
      <c r="F3293" s="18"/>
    </row>
    <row r="3294" spans="5:6" ht="15" customHeight="1" x14ac:dyDescent="0.2">
      <c r="E3294" s="18"/>
      <c r="F3294" s="18"/>
    </row>
    <row r="3295" spans="5:6" ht="15" customHeight="1" x14ac:dyDescent="0.2">
      <c r="E3295" s="18"/>
      <c r="F3295" s="18"/>
    </row>
    <row r="3296" spans="5:6" ht="15" customHeight="1" x14ac:dyDescent="0.2">
      <c r="E3296" s="18"/>
      <c r="F3296" s="18"/>
    </row>
    <row r="3297" spans="5:6" ht="15" customHeight="1" x14ac:dyDescent="0.2">
      <c r="E3297" s="18"/>
      <c r="F3297" s="18"/>
    </row>
    <row r="3298" spans="5:6" ht="15" customHeight="1" x14ac:dyDescent="0.2">
      <c r="E3298" s="18"/>
      <c r="F3298" s="18"/>
    </row>
    <row r="3299" spans="5:6" ht="15" customHeight="1" x14ac:dyDescent="0.2">
      <c r="E3299" s="18"/>
      <c r="F3299" s="18"/>
    </row>
    <row r="3300" spans="5:6" ht="15" customHeight="1" x14ac:dyDescent="0.2">
      <c r="E3300" s="18"/>
      <c r="F3300" s="18"/>
    </row>
    <row r="3301" spans="5:6" ht="15" customHeight="1" x14ac:dyDescent="0.2">
      <c r="E3301" s="18"/>
      <c r="F3301" s="18"/>
    </row>
    <row r="3302" spans="5:6" ht="15" customHeight="1" x14ac:dyDescent="0.2">
      <c r="E3302" s="18"/>
      <c r="F3302" s="18"/>
    </row>
    <row r="3303" spans="5:6" ht="15" customHeight="1" x14ac:dyDescent="0.2">
      <c r="E3303" s="18"/>
      <c r="F3303" s="18"/>
    </row>
    <row r="3304" spans="5:6" ht="15" customHeight="1" x14ac:dyDescent="0.2">
      <c r="E3304" s="18"/>
      <c r="F3304" s="18"/>
    </row>
    <row r="3305" spans="5:6" ht="15" customHeight="1" x14ac:dyDescent="0.2">
      <c r="E3305" s="18"/>
      <c r="F3305" s="18"/>
    </row>
    <row r="3306" spans="5:6" ht="15" customHeight="1" x14ac:dyDescent="0.2">
      <c r="E3306" s="18"/>
      <c r="F3306" s="18"/>
    </row>
    <row r="3307" spans="5:6" ht="15" customHeight="1" x14ac:dyDescent="0.2">
      <c r="E3307" s="18"/>
      <c r="F3307" s="18"/>
    </row>
    <row r="3308" spans="5:6" ht="15" customHeight="1" x14ac:dyDescent="0.2">
      <c r="E3308" s="18"/>
      <c r="F3308" s="18"/>
    </row>
    <row r="3309" spans="5:6" ht="15" customHeight="1" x14ac:dyDescent="0.2">
      <c r="E3309" s="18"/>
      <c r="F3309" s="18"/>
    </row>
    <row r="3310" spans="5:6" ht="15" customHeight="1" x14ac:dyDescent="0.2">
      <c r="E3310" s="18"/>
      <c r="F3310" s="18"/>
    </row>
    <row r="3311" spans="5:6" ht="15" customHeight="1" x14ac:dyDescent="0.2">
      <c r="E3311" s="18"/>
      <c r="F3311" s="18"/>
    </row>
    <row r="3312" spans="5:6" ht="15" customHeight="1" x14ac:dyDescent="0.2">
      <c r="E3312" s="18"/>
      <c r="F3312" s="18"/>
    </row>
    <row r="3313" spans="5:6" ht="15" customHeight="1" x14ac:dyDescent="0.2">
      <c r="E3313" s="18"/>
      <c r="F3313" s="18"/>
    </row>
    <row r="3314" spans="5:6" ht="15" customHeight="1" x14ac:dyDescent="0.2">
      <c r="E3314" s="18"/>
      <c r="F3314" s="18"/>
    </row>
    <row r="3315" spans="5:6" ht="15" customHeight="1" x14ac:dyDescent="0.2">
      <c r="E3315" s="18"/>
      <c r="F3315" s="18"/>
    </row>
    <row r="3316" spans="5:6" ht="15" customHeight="1" x14ac:dyDescent="0.2">
      <c r="E3316" s="18"/>
      <c r="F3316" s="18"/>
    </row>
    <row r="3317" spans="5:6" ht="15" customHeight="1" x14ac:dyDescent="0.2">
      <c r="E3317" s="18"/>
      <c r="F3317" s="18"/>
    </row>
    <row r="3318" spans="5:6" ht="15" customHeight="1" x14ac:dyDescent="0.2">
      <c r="E3318" s="18"/>
      <c r="F3318" s="18"/>
    </row>
    <row r="3319" spans="5:6" ht="15" customHeight="1" x14ac:dyDescent="0.2">
      <c r="E3319" s="18"/>
      <c r="F3319" s="18"/>
    </row>
    <row r="3320" spans="5:6" ht="15" customHeight="1" x14ac:dyDescent="0.2">
      <c r="E3320" s="18"/>
      <c r="F3320" s="18"/>
    </row>
    <row r="3321" spans="5:6" ht="15" customHeight="1" x14ac:dyDescent="0.2">
      <c r="E3321" s="18"/>
      <c r="F3321" s="18"/>
    </row>
    <row r="3322" spans="5:6" ht="15" customHeight="1" x14ac:dyDescent="0.2">
      <c r="E3322" s="18"/>
      <c r="F3322" s="18"/>
    </row>
    <row r="3323" spans="5:6" ht="15" customHeight="1" x14ac:dyDescent="0.2">
      <c r="E3323" s="18"/>
      <c r="F3323" s="18"/>
    </row>
    <row r="3324" spans="5:6" ht="15" customHeight="1" x14ac:dyDescent="0.2">
      <c r="E3324" s="18"/>
      <c r="F3324" s="18"/>
    </row>
    <row r="3325" spans="5:6" ht="15" customHeight="1" x14ac:dyDescent="0.2">
      <c r="E3325" s="18"/>
      <c r="F3325" s="18"/>
    </row>
    <row r="3326" spans="5:6" ht="15" customHeight="1" x14ac:dyDescent="0.2">
      <c r="E3326" s="18"/>
      <c r="F3326" s="18"/>
    </row>
    <row r="3327" spans="5:6" ht="15" customHeight="1" x14ac:dyDescent="0.2">
      <c r="E3327" s="18"/>
      <c r="F3327" s="18"/>
    </row>
    <row r="3328" spans="5:6" ht="15" customHeight="1" x14ac:dyDescent="0.2">
      <c r="E3328" s="18"/>
      <c r="F3328" s="18"/>
    </row>
    <row r="3329" spans="5:6" ht="15" customHeight="1" x14ac:dyDescent="0.2">
      <c r="E3329" s="18"/>
      <c r="F3329" s="18"/>
    </row>
    <row r="3330" spans="5:6" ht="15" customHeight="1" x14ac:dyDescent="0.2">
      <c r="E3330" s="18"/>
      <c r="F3330" s="18"/>
    </row>
    <row r="3331" spans="5:6" ht="15" customHeight="1" x14ac:dyDescent="0.2">
      <c r="E3331" s="18"/>
      <c r="F3331" s="18"/>
    </row>
    <row r="3332" spans="5:6" ht="15" customHeight="1" x14ac:dyDescent="0.2">
      <c r="E3332" s="18"/>
      <c r="F3332" s="18"/>
    </row>
    <row r="3333" spans="5:6" ht="15" customHeight="1" x14ac:dyDescent="0.2">
      <c r="E3333" s="18"/>
      <c r="F3333" s="18"/>
    </row>
    <row r="3334" spans="5:6" ht="15" customHeight="1" x14ac:dyDescent="0.2">
      <c r="E3334" s="18"/>
      <c r="F3334" s="18"/>
    </row>
    <row r="3335" spans="5:6" ht="15" customHeight="1" x14ac:dyDescent="0.2">
      <c r="E3335" s="18"/>
      <c r="F3335" s="18"/>
    </row>
    <row r="3336" spans="5:6" ht="15" customHeight="1" x14ac:dyDescent="0.2">
      <c r="E3336" s="18"/>
      <c r="F3336" s="18"/>
    </row>
    <row r="3337" spans="5:6" ht="15" customHeight="1" x14ac:dyDescent="0.2">
      <c r="E3337" s="18"/>
      <c r="F3337" s="18"/>
    </row>
    <row r="3338" spans="5:6" ht="15" customHeight="1" x14ac:dyDescent="0.2">
      <c r="E3338" s="18"/>
      <c r="F3338" s="18"/>
    </row>
    <row r="3339" spans="5:6" ht="15" customHeight="1" x14ac:dyDescent="0.2">
      <c r="E3339" s="18"/>
      <c r="F3339" s="18"/>
    </row>
    <row r="3340" spans="5:6" ht="15" customHeight="1" x14ac:dyDescent="0.2">
      <c r="E3340" s="18"/>
      <c r="F3340" s="18"/>
    </row>
    <row r="3341" spans="5:6" ht="15" customHeight="1" x14ac:dyDescent="0.2">
      <c r="E3341" s="18"/>
      <c r="F3341" s="18"/>
    </row>
    <row r="3342" spans="5:6" ht="15" customHeight="1" x14ac:dyDescent="0.2">
      <c r="E3342" s="18"/>
      <c r="F3342" s="18"/>
    </row>
    <row r="3343" spans="5:6" ht="15" customHeight="1" x14ac:dyDescent="0.2">
      <c r="E3343" s="18"/>
      <c r="F3343" s="18"/>
    </row>
    <row r="3344" spans="5:6" ht="15" customHeight="1" x14ac:dyDescent="0.2">
      <c r="E3344" s="18"/>
      <c r="F3344" s="18"/>
    </row>
    <row r="3345" spans="5:6" ht="15" customHeight="1" x14ac:dyDescent="0.2">
      <c r="E3345" s="18"/>
      <c r="F3345" s="18"/>
    </row>
    <row r="3346" spans="5:6" ht="15" customHeight="1" x14ac:dyDescent="0.2">
      <c r="E3346" s="18"/>
      <c r="F3346" s="18"/>
    </row>
    <row r="3347" spans="5:6" ht="15" customHeight="1" x14ac:dyDescent="0.2">
      <c r="E3347" s="18"/>
      <c r="F3347" s="18"/>
    </row>
    <row r="3348" spans="5:6" ht="15" customHeight="1" x14ac:dyDescent="0.2">
      <c r="E3348" s="18"/>
      <c r="F3348" s="18"/>
    </row>
    <row r="3349" spans="5:6" ht="15" customHeight="1" x14ac:dyDescent="0.2">
      <c r="E3349" s="18"/>
      <c r="F3349" s="18"/>
    </row>
    <row r="3350" spans="5:6" ht="15" customHeight="1" x14ac:dyDescent="0.2">
      <c r="E3350" s="18"/>
      <c r="F3350" s="18"/>
    </row>
    <row r="3351" spans="5:6" ht="15" customHeight="1" x14ac:dyDescent="0.2">
      <c r="E3351" s="18"/>
      <c r="F3351" s="18"/>
    </row>
    <row r="3352" spans="5:6" ht="15" customHeight="1" x14ac:dyDescent="0.2">
      <c r="E3352" s="18"/>
      <c r="F3352" s="18"/>
    </row>
    <row r="3353" spans="5:6" ht="15" customHeight="1" x14ac:dyDescent="0.2">
      <c r="E3353" s="18"/>
      <c r="F3353" s="18"/>
    </row>
    <row r="3354" spans="5:6" ht="15" customHeight="1" x14ac:dyDescent="0.2">
      <c r="E3354" s="18"/>
      <c r="F3354" s="18"/>
    </row>
    <row r="3355" spans="5:6" ht="15" customHeight="1" x14ac:dyDescent="0.2">
      <c r="E3355" s="18"/>
      <c r="F3355" s="18"/>
    </row>
    <row r="3356" spans="5:6" ht="15" customHeight="1" x14ac:dyDescent="0.2">
      <c r="E3356" s="18"/>
      <c r="F3356" s="18"/>
    </row>
    <row r="3357" spans="5:6" ht="15" customHeight="1" x14ac:dyDescent="0.2">
      <c r="E3357" s="18"/>
      <c r="F3357" s="18"/>
    </row>
    <row r="3358" spans="5:6" ht="15" customHeight="1" x14ac:dyDescent="0.2">
      <c r="E3358" s="18"/>
      <c r="F3358" s="18"/>
    </row>
    <row r="3359" spans="5:6" ht="15" customHeight="1" x14ac:dyDescent="0.2">
      <c r="E3359" s="18"/>
      <c r="F3359" s="18"/>
    </row>
    <row r="3360" spans="5:6" ht="15" customHeight="1" x14ac:dyDescent="0.2">
      <c r="E3360" s="18"/>
      <c r="F3360" s="18"/>
    </row>
    <row r="3361" spans="5:6" ht="15" customHeight="1" x14ac:dyDescent="0.2">
      <c r="E3361" s="18"/>
      <c r="F3361" s="18"/>
    </row>
    <row r="3362" spans="5:6" ht="15" customHeight="1" x14ac:dyDescent="0.2">
      <c r="E3362" s="18"/>
      <c r="F3362" s="18"/>
    </row>
    <row r="3363" spans="5:6" ht="15" customHeight="1" x14ac:dyDescent="0.2">
      <c r="E3363" s="18"/>
      <c r="F3363" s="18"/>
    </row>
    <row r="3364" spans="5:6" ht="15" customHeight="1" x14ac:dyDescent="0.2">
      <c r="E3364" s="18"/>
      <c r="F3364" s="18"/>
    </row>
    <row r="3365" spans="5:6" ht="15" customHeight="1" x14ac:dyDescent="0.2">
      <c r="E3365" s="18"/>
      <c r="F3365" s="18"/>
    </row>
    <row r="3366" spans="5:6" ht="15" customHeight="1" x14ac:dyDescent="0.2">
      <c r="E3366" s="18"/>
      <c r="F3366" s="18"/>
    </row>
    <row r="3367" spans="5:6" ht="15" customHeight="1" x14ac:dyDescent="0.2">
      <c r="E3367" s="18"/>
      <c r="F3367" s="18"/>
    </row>
    <row r="3368" spans="5:6" ht="15" customHeight="1" x14ac:dyDescent="0.2">
      <c r="E3368" s="18"/>
      <c r="F3368" s="18"/>
    </row>
    <row r="3369" spans="5:6" ht="15" customHeight="1" x14ac:dyDescent="0.2">
      <c r="E3369" s="18"/>
      <c r="F3369" s="18"/>
    </row>
    <row r="3370" spans="5:6" ht="15" customHeight="1" x14ac:dyDescent="0.2">
      <c r="E3370" s="18"/>
      <c r="F3370" s="18"/>
    </row>
    <row r="3371" spans="5:6" ht="15" customHeight="1" x14ac:dyDescent="0.2">
      <c r="E3371" s="18"/>
      <c r="F3371" s="18"/>
    </row>
    <row r="3372" spans="5:6" ht="15" customHeight="1" x14ac:dyDescent="0.2">
      <c r="E3372" s="18"/>
      <c r="F3372" s="18"/>
    </row>
    <row r="3373" spans="5:6" ht="15" customHeight="1" x14ac:dyDescent="0.2">
      <c r="E3373" s="18"/>
      <c r="F3373" s="18"/>
    </row>
    <row r="3374" spans="5:6" ht="15" customHeight="1" x14ac:dyDescent="0.2">
      <c r="E3374" s="18"/>
      <c r="F3374" s="18"/>
    </row>
    <row r="3375" spans="5:6" ht="15" customHeight="1" x14ac:dyDescent="0.2">
      <c r="E3375" s="18"/>
      <c r="F3375" s="18"/>
    </row>
    <row r="3376" spans="5:6" ht="15" customHeight="1" x14ac:dyDescent="0.2">
      <c r="E3376" s="18"/>
      <c r="F3376" s="18"/>
    </row>
    <row r="3377" spans="5:6" ht="15" customHeight="1" x14ac:dyDescent="0.2">
      <c r="E3377" s="18"/>
      <c r="F3377" s="18"/>
    </row>
    <row r="3378" spans="5:6" ht="15" customHeight="1" x14ac:dyDescent="0.2">
      <c r="E3378" s="18"/>
      <c r="F3378" s="18"/>
    </row>
    <row r="3379" spans="5:6" ht="15" customHeight="1" x14ac:dyDescent="0.2">
      <c r="E3379" s="18"/>
      <c r="F3379" s="18"/>
    </row>
    <row r="3380" spans="5:6" ht="15" customHeight="1" x14ac:dyDescent="0.2">
      <c r="E3380" s="18"/>
      <c r="F3380" s="18"/>
    </row>
    <row r="3381" spans="5:6" ht="15" customHeight="1" x14ac:dyDescent="0.2">
      <c r="E3381" s="18"/>
      <c r="F3381" s="18"/>
    </row>
    <row r="3382" spans="5:6" ht="15" customHeight="1" x14ac:dyDescent="0.2">
      <c r="E3382" s="18"/>
      <c r="F3382" s="18"/>
    </row>
    <row r="3383" spans="5:6" ht="15" customHeight="1" x14ac:dyDescent="0.2">
      <c r="E3383" s="18"/>
      <c r="F3383" s="18"/>
    </row>
    <row r="3384" spans="5:6" ht="15" customHeight="1" x14ac:dyDescent="0.2">
      <c r="E3384" s="18"/>
      <c r="F3384" s="18"/>
    </row>
    <row r="3385" spans="5:6" ht="15" customHeight="1" x14ac:dyDescent="0.2">
      <c r="E3385" s="18"/>
      <c r="F3385" s="18"/>
    </row>
    <row r="3386" spans="5:6" ht="15" customHeight="1" x14ac:dyDescent="0.2">
      <c r="E3386" s="18"/>
      <c r="F3386" s="18"/>
    </row>
    <row r="3387" spans="5:6" ht="15" customHeight="1" x14ac:dyDescent="0.2">
      <c r="E3387" s="18"/>
      <c r="F3387" s="18"/>
    </row>
    <row r="3388" spans="5:6" ht="15" customHeight="1" x14ac:dyDescent="0.2">
      <c r="E3388" s="18"/>
      <c r="F3388" s="18"/>
    </row>
    <row r="3389" spans="5:6" ht="15" customHeight="1" x14ac:dyDescent="0.2">
      <c r="E3389" s="18"/>
      <c r="F3389" s="18"/>
    </row>
    <row r="3390" spans="5:6" ht="15" customHeight="1" x14ac:dyDescent="0.2">
      <c r="E3390" s="18"/>
      <c r="F3390" s="18"/>
    </row>
    <row r="3391" spans="5:6" ht="15" customHeight="1" x14ac:dyDescent="0.2">
      <c r="E3391" s="18"/>
      <c r="F3391" s="18"/>
    </row>
    <row r="3392" spans="5:6" ht="15" customHeight="1" x14ac:dyDescent="0.2">
      <c r="E3392" s="18"/>
      <c r="F3392" s="18"/>
    </row>
    <row r="3393" spans="5:6" ht="15" customHeight="1" x14ac:dyDescent="0.2">
      <c r="E3393" s="18"/>
      <c r="F3393" s="18"/>
    </row>
    <row r="3394" spans="5:6" ht="15" customHeight="1" x14ac:dyDescent="0.2">
      <c r="E3394" s="18"/>
      <c r="F3394" s="18"/>
    </row>
    <row r="3395" spans="5:6" ht="15" customHeight="1" x14ac:dyDescent="0.2">
      <c r="E3395" s="18"/>
      <c r="F3395" s="18"/>
    </row>
    <row r="3396" spans="5:6" ht="15" customHeight="1" x14ac:dyDescent="0.2">
      <c r="E3396" s="18"/>
      <c r="F3396" s="18"/>
    </row>
    <row r="3397" spans="5:6" ht="15" customHeight="1" x14ac:dyDescent="0.2">
      <c r="E3397" s="18"/>
      <c r="F3397" s="18"/>
    </row>
    <row r="3398" spans="5:6" ht="15" customHeight="1" x14ac:dyDescent="0.2">
      <c r="E3398" s="18"/>
      <c r="F3398" s="18"/>
    </row>
    <row r="3399" spans="5:6" ht="15" customHeight="1" x14ac:dyDescent="0.2">
      <c r="E3399" s="18"/>
      <c r="F3399" s="18"/>
    </row>
    <row r="3400" spans="5:6" ht="15" customHeight="1" x14ac:dyDescent="0.2">
      <c r="E3400" s="18"/>
      <c r="F3400" s="18"/>
    </row>
    <row r="3401" spans="5:6" ht="15" customHeight="1" x14ac:dyDescent="0.2">
      <c r="E3401" s="18"/>
      <c r="F3401" s="18"/>
    </row>
    <row r="3402" spans="5:6" ht="15" customHeight="1" x14ac:dyDescent="0.2">
      <c r="E3402" s="18"/>
      <c r="F3402" s="18"/>
    </row>
    <row r="3403" spans="5:6" ht="15" customHeight="1" x14ac:dyDescent="0.2">
      <c r="E3403" s="18"/>
      <c r="F3403" s="18"/>
    </row>
    <row r="3404" spans="5:6" ht="15" customHeight="1" x14ac:dyDescent="0.2">
      <c r="E3404" s="18"/>
      <c r="F3404" s="18"/>
    </row>
    <row r="3405" spans="5:6" ht="15" customHeight="1" x14ac:dyDescent="0.2">
      <c r="E3405" s="18"/>
      <c r="F3405" s="18"/>
    </row>
    <row r="3406" spans="5:6" ht="15" customHeight="1" x14ac:dyDescent="0.2">
      <c r="E3406" s="18"/>
      <c r="F3406" s="18"/>
    </row>
    <row r="3407" spans="5:6" ht="15" customHeight="1" x14ac:dyDescent="0.2">
      <c r="E3407" s="18"/>
      <c r="F3407" s="18"/>
    </row>
    <row r="3408" spans="5:6" ht="15" customHeight="1" x14ac:dyDescent="0.2">
      <c r="E3408" s="18"/>
      <c r="F3408" s="18"/>
    </row>
    <row r="3409" spans="5:6" ht="15" customHeight="1" x14ac:dyDescent="0.2">
      <c r="E3409" s="18"/>
      <c r="F3409" s="18"/>
    </row>
    <row r="3410" spans="5:6" ht="15" customHeight="1" x14ac:dyDescent="0.2">
      <c r="E3410" s="18"/>
      <c r="F3410" s="18"/>
    </row>
    <row r="3411" spans="5:6" ht="15" customHeight="1" x14ac:dyDescent="0.2">
      <c r="E3411" s="18"/>
      <c r="F3411" s="18"/>
    </row>
    <row r="3412" spans="5:6" ht="15" customHeight="1" x14ac:dyDescent="0.2">
      <c r="E3412" s="18"/>
      <c r="F3412" s="18"/>
    </row>
    <row r="3413" spans="5:6" ht="15" customHeight="1" x14ac:dyDescent="0.2">
      <c r="E3413" s="18"/>
      <c r="F3413" s="18"/>
    </row>
    <row r="3414" spans="5:6" ht="15" customHeight="1" x14ac:dyDescent="0.2">
      <c r="E3414" s="18"/>
      <c r="F3414" s="18"/>
    </row>
    <row r="3415" spans="5:6" ht="15" customHeight="1" x14ac:dyDescent="0.2">
      <c r="E3415" s="18"/>
      <c r="F3415" s="18"/>
    </row>
    <row r="3416" spans="5:6" ht="15" customHeight="1" x14ac:dyDescent="0.2">
      <c r="E3416" s="18"/>
      <c r="F3416" s="18"/>
    </row>
    <row r="3417" spans="5:6" ht="15" customHeight="1" x14ac:dyDescent="0.2">
      <c r="E3417" s="18"/>
      <c r="F3417" s="18"/>
    </row>
    <row r="3418" spans="5:6" ht="15" customHeight="1" x14ac:dyDescent="0.2">
      <c r="E3418" s="18"/>
      <c r="F3418" s="18"/>
    </row>
    <row r="3419" spans="5:6" ht="15" customHeight="1" x14ac:dyDescent="0.2">
      <c r="E3419" s="18"/>
      <c r="F3419" s="18"/>
    </row>
    <row r="3420" spans="5:6" ht="15" customHeight="1" x14ac:dyDescent="0.2">
      <c r="E3420" s="18"/>
      <c r="F3420" s="18"/>
    </row>
    <row r="3421" spans="5:6" ht="15" customHeight="1" x14ac:dyDescent="0.2">
      <c r="E3421" s="18"/>
      <c r="F3421" s="18"/>
    </row>
    <row r="3422" spans="5:6" ht="15" customHeight="1" x14ac:dyDescent="0.2">
      <c r="E3422" s="18"/>
      <c r="F3422" s="18"/>
    </row>
    <row r="3423" spans="5:6" ht="15" customHeight="1" x14ac:dyDescent="0.2">
      <c r="E3423" s="18"/>
      <c r="F3423" s="18"/>
    </row>
    <row r="3424" spans="5:6" ht="15" customHeight="1" x14ac:dyDescent="0.2">
      <c r="E3424" s="18"/>
      <c r="F3424" s="18"/>
    </row>
    <row r="3425" spans="5:6" ht="15" customHeight="1" x14ac:dyDescent="0.2">
      <c r="E3425" s="18"/>
      <c r="F3425" s="18"/>
    </row>
    <row r="3426" spans="5:6" ht="15" customHeight="1" x14ac:dyDescent="0.2">
      <c r="E3426" s="18"/>
      <c r="F3426" s="18"/>
    </row>
    <row r="3427" spans="5:6" ht="15" customHeight="1" x14ac:dyDescent="0.2">
      <c r="E3427" s="18"/>
      <c r="F3427" s="18"/>
    </row>
    <row r="3428" spans="5:6" ht="15" customHeight="1" x14ac:dyDescent="0.2">
      <c r="E3428" s="18"/>
      <c r="F3428" s="18"/>
    </row>
    <row r="3429" spans="5:6" ht="15" customHeight="1" x14ac:dyDescent="0.2">
      <c r="E3429" s="18"/>
      <c r="F3429" s="18"/>
    </row>
    <row r="3430" spans="5:6" ht="15" customHeight="1" x14ac:dyDescent="0.2">
      <c r="E3430" s="18"/>
      <c r="F3430" s="18"/>
    </row>
    <row r="3431" spans="5:6" ht="15" customHeight="1" x14ac:dyDescent="0.2">
      <c r="E3431" s="18"/>
      <c r="F3431" s="18"/>
    </row>
    <row r="3432" spans="5:6" ht="15" customHeight="1" x14ac:dyDescent="0.2">
      <c r="E3432" s="18"/>
      <c r="F3432" s="18"/>
    </row>
    <row r="3433" spans="5:6" ht="15" customHeight="1" x14ac:dyDescent="0.2">
      <c r="E3433" s="18"/>
      <c r="F3433" s="18"/>
    </row>
    <row r="3434" spans="5:6" ht="15" customHeight="1" x14ac:dyDescent="0.2">
      <c r="E3434" s="18"/>
      <c r="F3434" s="18"/>
    </row>
    <row r="3435" spans="5:6" ht="15" customHeight="1" x14ac:dyDescent="0.2">
      <c r="E3435" s="18"/>
      <c r="F3435" s="18"/>
    </row>
    <row r="3436" spans="5:6" ht="15" customHeight="1" x14ac:dyDescent="0.2">
      <c r="E3436" s="18"/>
      <c r="F3436" s="18"/>
    </row>
    <row r="3437" spans="5:6" ht="15" customHeight="1" x14ac:dyDescent="0.2">
      <c r="E3437" s="18"/>
      <c r="F3437" s="18"/>
    </row>
    <row r="3438" spans="5:6" ht="15" customHeight="1" x14ac:dyDescent="0.2">
      <c r="E3438" s="18"/>
      <c r="F3438" s="18"/>
    </row>
    <row r="3439" spans="5:6" ht="15" customHeight="1" x14ac:dyDescent="0.2">
      <c r="E3439" s="18"/>
      <c r="F3439" s="18"/>
    </row>
    <row r="3440" spans="5:6" ht="15" customHeight="1" x14ac:dyDescent="0.2">
      <c r="E3440" s="18"/>
      <c r="F3440" s="18"/>
    </row>
    <row r="3441" spans="5:6" ht="15" customHeight="1" x14ac:dyDescent="0.2">
      <c r="E3441" s="18"/>
      <c r="F3441" s="18"/>
    </row>
    <row r="3442" spans="5:6" ht="15" customHeight="1" x14ac:dyDescent="0.2">
      <c r="E3442" s="18"/>
      <c r="F3442" s="18"/>
    </row>
    <row r="3443" spans="5:6" ht="15" customHeight="1" x14ac:dyDescent="0.2">
      <c r="E3443" s="18"/>
      <c r="F3443" s="18"/>
    </row>
    <row r="3444" spans="5:6" ht="15" customHeight="1" x14ac:dyDescent="0.2">
      <c r="E3444" s="18"/>
      <c r="F3444" s="18"/>
    </row>
    <row r="3445" spans="5:6" ht="15" customHeight="1" x14ac:dyDescent="0.2">
      <c r="E3445" s="18"/>
      <c r="F3445" s="18"/>
    </row>
    <row r="3446" spans="5:6" ht="15" customHeight="1" x14ac:dyDescent="0.2">
      <c r="E3446" s="18"/>
      <c r="F3446" s="18"/>
    </row>
    <row r="3447" spans="5:6" ht="15" customHeight="1" x14ac:dyDescent="0.2">
      <c r="E3447" s="18"/>
      <c r="F3447" s="18"/>
    </row>
    <row r="3448" spans="5:6" ht="15" customHeight="1" x14ac:dyDescent="0.2">
      <c r="E3448" s="18"/>
      <c r="F3448" s="18"/>
    </row>
    <row r="3449" spans="5:6" ht="15" customHeight="1" x14ac:dyDescent="0.2">
      <c r="E3449" s="18"/>
      <c r="F3449" s="18"/>
    </row>
    <row r="3450" spans="5:6" ht="15" customHeight="1" x14ac:dyDescent="0.2">
      <c r="E3450" s="18"/>
      <c r="F3450" s="18"/>
    </row>
    <row r="3451" spans="5:6" ht="15" customHeight="1" x14ac:dyDescent="0.2">
      <c r="E3451" s="18"/>
      <c r="F3451" s="18"/>
    </row>
    <row r="3452" spans="5:6" ht="15" customHeight="1" x14ac:dyDescent="0.2">
      <c r="E3452" s="18"/>
      <c r="F3452" s="18"/>
    </row>
    <row r="3453" spans="5:6" ht="15" customHeight="1" x14ac:dyDescent="0.2">
      <c r="E3453" s="18"/>
      <c r="F3453" s="18"/>
    </row>
    <row r="3454" spans="5:6" ht="15" customHeight="1" x14ac:dyDescent="0.2">
      <c r="E3454" s="18"/>
      <c r="F3454" s="18"/>
    </row>
    <row r="3455" spans="5:6" ht="15" customHeight="1" x14ac:dyDescent="0.2">
      <c r="E3455" s="18"/>
      <c r="F3455" s="18"/>
    </row>
    <row r="3456" spans="5:6" ht="15" customHeight="1" x14ac:dyDescent="0.2">
      <c r="E3456" s="18"/>
      <c r="F3456" s="18"/>
    </row>
    <row r="3457" spans="5:6" ht="15" customHeight="1" x14ac:dyDescent="0.2">
      <c r="E3457" s="18"/>
      <c r="F3457" s="18"/>
    </row>
    <row r="3458" spans="5:6" ht="15" customHeight="1" x14ac:dyDescent="0.2">
      <c r="E3458" s="18"/>
      <c r="F3458" s="18"/>
    </row>
    <row r="3459" spans="5:6" ht="15" customHeight="1" x14ac:dyDescent="0.2">
      <c r="E3459" s="18"/>
      <c r="F3459" s="18"/>
    </row>
    <row r="3460" spans="5:6" ht="15" customHeight="1" x14ac:dyDescent="0.2">
      <c r="E3460" s="18"/>
      <c r="F3460" s="18"/>
    </row>
    <row r="3461" spans="5:6" ht="15" customHeight="1" x14ac:dyDescent="0.2">
      <c r="E3461" s="18"/>
      <c r="F3461" s="18"/>
    </row>
    <row r="3462" spans="5:6" ht="15" customHeight="1" x14ac:dyDescent="0.2">
      <c r="E3462" s="18"/>
      <c r="F3462" s="18"/>
    </row>
    <row r="3463" spans="5:6" ht="15" customHeight="1" x14ac:dyDescent="0.2">
      <c r="E3463" s="18"/>
      <c r="F3463" s="18"/>
    </row>
    <row r="3464" spans="5:6" ht="15" customHeight="1" x14ac:dyDescent="0.2">
      <c r="E3464" s="18"/>
      <c r="F3464" s="18"/>
    </row>
    <row r="3465" spans="5:6" ht="15" customHeight="1" x14ac:dyDescent="0.2">
      <c r="E3465" s="18"/>
      <c r="F3465" s="18"/>
    </row>
    <row r="3466" spans="5:6" ht="15" customHeight="1" x14ac:dyDescent="0.2">
      <c r="E3466" s="18"/>
      <c r="F3466" s="18"/>
    </row>
    <row r="3467" spans="5:6" ht="15" customHeight="1" x14ac:dyDescent="0.2">
      <c r="E3467" s="18"/>
      <c r="F3467" s="18"/>
    </row>
    <row r="3468" spans="5:6" ht="15" customHeight="1" x14ac:dyDescent="0.2">
      <c r="E3468" s="18"/>
      <c r="F3468" s="18"/>
    </row>
    <row r="3469" spans="5:6" ht="15" customHeight="1" x14ac:dyDescent="0.2">
      <c r="E3469" s="18"/>
      <c r="F3469" s="18"/>
    </row>
    <row r="3470" spans="5:6" ht="15" customHeight="1" x14ac:dyDescent="0.2">
      <c r="E3470" s="18"/>
      <c r="F3470" s="18"/>
    </row>
    <row r="3471" spans="5:6" ht="15" customHeight="1" x14ac:dyDescent="0.2">
      <c r="E3471" s="18"/>
      <c r="F3471" s="18"/>
    </row>
    <row r="3472" spans="5:6" ht="15" customHeight="1" x14ac:dyDescent="0.2">
      <c r="E3472" s="18"/>
      <c r="F3472" s="18"/>
    </row>
    <row r="3473" spans="5:6" ht="15" customHeight="1" x14ac:dyDescent="0.2">
      <c r="E3473" s="18"/>
      <c r="F3473" s="18"/>
    </row>
    <row r="3474" spans="5:6" ht="15" customHeight="1" x14ac:dyDescent="0.2">
      <c r="E3474" s="18"/>
      <c r="F3474" s="18"/>
    </row>
    <row r="3475" spans="5:6" ht="15" customHeight="1" x14ac:dyDescent="0.2">
      <c r="E3475" s="18"/>
      <c r="F3475" s="18"/>
    </row>
    <row r="3476" spans="5:6" ht="15" customHeight="1" x14ac:dyDescent="0.2">
      <c r="E3476" s="18"/>
      <c r="F3476" s="18"/>
    </row>
    <row r="3477" spans="5:6" ht="15" customHeight="1" x14ac:dyDescent="0.2">
      <c r="E3477" s="18"/>
      <c r="F3477" s="18"/>
    </row>
    <row r="3478" spans="5:6" ht="15" customHeight="1" x14ac:dyDescent="0.2">
      <c r="E3478" s="18"/>
      <c r="F3478" s="18"/>
    </row>
    <row r="3479" spans="5:6" ht="15" customHeight="1" x14ac:dyDescent="0.2">
      <c r="E3479" s="18"/>
      <c r="F3479" s="18"/>
    </row>
    <row r="3480" spans="5:6" ht="15" customHeight="1" x14ac:dyDescent="0.2">
      <c r="E3480" s="18"/>
      <c r="F3480" s="18"/>
    </row>
    <row r="3481" spans="5:6" ht="15" customHeight="1" x14ac:dyDescent="0.2">
      <c r="E3481" s="18"/>
      <c r="F3481" s="18"/>
    </row>
    <row r="3482" spans="5:6" ht="15" customHeight="1" x14ac:dyDescent="0.2">
      <c r="E3482" s="18"/>
      <c r="F3482" s="18"/>
    </row>
    <row r="3483" spans="5:6" ht="15" customHeight="1" x14ac:dyDescent="0.2">
      <c r="E3483" s="18"/>
      <c r="F3483" s="18"/>
    </row>
    <row r="3484" spans="5:6" ht="15" customHeight="1" x14ac:dyDescent="0.2">
      <c r="E3484" s="18"/>
      <c r="F3484" s="18"/>
    </row>
    <row r="3485" spans="5:6" ht="15" customHeight="1" x14ac:dyDescent="0.2">
      <c r="E3485" s="18"/>
      <c r="F3485" s="18"/>
    </row>
    <row r="3486" spans="5:6" ht="15" customHeight="1" x14ac:dyDescent="0.2">
      <c r="E3486" s="18"/>
      <c r="F3486" s="18"/>
    </row>
    <row r="3487" spans="5:6" ht="15" customHeight="1" x14ac:dyDescent="0.2">
      <c r="E3487" s="18"/>
      <c r="F3487" s="18"/>
    </row>
    <row r="3488" spans="5:6" ht="15" customHeight="1" x14ac:dyDescent="0.2">
      <c r="E3488" s="18"/>
      <c r="F3488" s="18"/>
    </row>
    <row r="3489" spans="5:6" ht="15" customHeight="1" x14ac:dyDescent="0.2">
      <c r="E3489" s="18"/>
      <c r="F3489" s="18"/>
    </row>
    <row r="3490" spans="5:6" ht="15" customHeight="1" x14ac:dyDescent="0.2">
      <c r="E3490" s="18"/>
      <c r="F3490" s="18"/>
    </row>
    <row r="3491" spans="5:6" ht="15" customHeight="1" x14ac:dyDescent="0.2">
      <c r="E3491" s="18"/>
      <c r="F3491" s="18"/>
    </row>
    <row r="3492" spans="5:6" ht="15" customHeight="1" x14ac:dyDescent="0.2">
      <c r="E3492" s="18"/>
      <c r="F3492" s="18"/>
    </row>
    <row r="3493" spans="5:6" ht="15" customHeight="1" x14ac:dyDescent="0.2">
      <c r="E3493" s="18"/>
      <c r="F3493" s="18"/>
    </row>
    <row r="3494" spans="5:6" ht="15" customHeight="1" x14ac:dyDescent="0.2">
      <c r="E3494" s="18"/>
      <c r="F3494" s="18"/>
    </row>
    <row r="3495" spans="5:6" ht="15" customHeight="1" x14ac:dyDescent="0.2">
      <c r="E3495" s="18"/>
      <c r="F3495" s="18"/>
    </row>
    <row r="3496" spans="5:6" ht="15" customHeight="1" x14ac:dyDescent="0.2">
      <c r="E3496" s="18"/>
      <c r="F3496" s="18"/>
    </row>
    <row r="3497" spans="5:6" ht="15" customHeight="1" x14ac:dyDescent="0.2">
      <c r="E3497" s="18"/>
      <c r="F3497" s="18"/>
    </row>
    <row r="3498" spans="5:6" ht="15" customHeight="1" x14ac:dyDescent="0.2">
      <c r="E3498" s="18"/>
      <c r="F3498" s="18"/>
    </row>
    <row r="3499" spans="5:6" ht="15" customHeight="1" x14ac:dyDescent="0.2">
      <c r="E3499" s="18"/>
      <c r="F3499" s="18"/>
    </row>
    <row r="3500" spans="5:6" ht="15" customHeight="1" x14ac:dyDescent="0.2">
      <c r="E3500" s="18"/>
      <c r="F3500" s="18"/>
    </row>
    <row r="3501" spans="5:6" ht="15" customHeight="1" x14ac:dyDescent="0.2">
      <c r="E3501" s="18"/>
      <c r="F3501" s="18"/>
    </row>
    <row r="3502" spans="5:6" ht="15" customHeight="1" x14ac:dyDescent="0.2">
      <c r="E3502" s="18"/>
      <c r="F3502" s="18"/>
    </row>
    <row r="3503" spans="5:6" ht="15" customHeight="1" x14ac:dyDescent="0.2">
      <c r="E3503" s="18"/>
      <c r="F3503" s="18"/>
    </row>
    <row r="3504" spans="5:6" ht="15" customHeight="1" x14ac:dyDescent="0.2">
      <c r="E3504" s="18"/>
      <c r="F3504" s="18"/>
    </row>
    <row r="3505" spans="5:6" ht="15" customHeight="1" x14ac:dyDescent="0.2">
      <c r="E3505" s="18"/>
      <c r="F3505" s="18"/>
    </row>
    <row r="3506" spans="5:6" ht="15" customHeight="1" x14ac:dyDescent="0.2">
      <c r="E3506" s="18"/>
      <c r="F3506" s="18"/>
    </row>
    <row r="3507" spans="5:6" ht="15" customHeight="1" x14ac:dyDescent="0.2">
      <c r="E3507" s="18"/>
      <c r="F3507" s="18"/>
    </row>
    <row r="3508" spans="5:6" ht="15" customHeight="1" x14ac:dyDescent="0.2">
      <c r="E3508" s="18"/>
      <c r="F3508" s="18"/>
    </row>
    <row r="3509" spans="5:6" ht="15" customHeight="1" x14ac:dyDescent="0.2">
      <c r="E3509" s="18"/>
      <c r="F3509" s="18"/>
    </row>
    <row r="3510" spans="5:6" ht="15" customHeight="1" x14ac:dyDescent="0.2">
      <c r="E3510" s="18"/>
      <c r="F3510" s="18"/>
    </row>
    <row r="3511" spans="5:6" ht="15" customHeight="1" x14ac:dyDescent="0.2">
      <c r="E3511" s="18"/>
      <c r="F3511" s="18"/>
    </row>
    <row r="3512" spans="5:6" ht="15" customHeight="1" x14ac:dyDescent="0.2">
      <c r="E3512" s="18"/>
      <c r="F3512" s="18"/>
    </row>
    <row r="3513" spans="5:6" ht="15" customHeight="1" x14ac:dyDescent="0.2">
      <c r="E3513" s="18"/>
      <c r="F3513" s="18"/>
    </row>
    <row r="3514" spans="5:6" ht="15" customHeight="1" x14ac:dyDescent="0.2">
      <c r="E3514" s="18"/>
      <c r="F3514" s="18"/>
    </row>
    <row r="3515" spans="5:6" ht="15" customHeight="1" x14ac:dyDescent="0.2">
      <c r="E3515" s="18"/>
      <c r="F3515" s="18"/>
    </row>
    <row r="3516" spans="5:6" ht="15" customHeight="1" x14ac:dyDescent="0.2">
      <c r="E3516" s="18"/>
      <c r="F3516" s="18"/>
    </row>
    <row r="3517" spans="5:6" ht="15" customHeight="1" x14ac:dyDescent="0.2">
      <c r="E3517" s="18"/>
      <c r="F3517" s="18"/>
    </row>
    <row r="3518" spans="5:6" ht="15" customHeight="1" x14ac:dyDescent="0.2">
      <c r="E3518" s="18"/>
      <c r="F3518" s="18"/>
    </row>
    <row r="3519" spans="5:6" ht="15" customHeight="1" x14ac:dyDescent="0.2">
      <c r="E3519" s="18"/>
      <c r="F3519" s="18"/>
    </row>
    <row r="3520" spans="5:6" ht="15" customHeight="1" x14ac:dyDescent="0.2">
      <c r="E3520" s="18"/>
      <c r="F3520" s="18"/>
    </row>
    <row r="3521" spans="5:6" ht="15" customHeight="1" x14ac:dyDescent="0.2">
      <c r="E3521" s="18"/>
      <c r="F3521" s="18"/>
    </row>
    <row r="3522" spans="5:6" ht="15" customHeight="1" x14ac:dyDescent="0.2">
      <c r="E3522" s="18"/>
      <c r="F3522" s="18"/>
    </row>
    <row r="3523" spans="5:6" ht="15" customHeight="1" x14ac:dyDescent="0.2">
      <c r="E3523" s="18"/>
      <c r="F3523" s="18"/>
    </row>
    <row r="3524" spans="5:6" ht="15" customHeight="1" x14ac:dyDescent="0.2">
      <c r="E3524" s="18"/>
      <c r="F3524" s="18"/>
    </row>
    <row r="3525" spans="5:6" ht="15" customHeight="1" x14ac:dyDescent="0.2">
      <c r="E3525" s="18"/>
      <c r="F3525" s="18"/>
    </row>
    <row r="3526" spans="5:6" ht="15" customHeight="1" x14ac:dyDescent="0.2">
      <c r="E3526" s="18"/>
      <c r="F3526" s="18"/>
    </row>
    <row r="3527" spans="5:6" ht="15" customHeight="1" x14ac:dyDescent="0.2">
      <c r="E3527" s="18"/>
      <c r="F3527" s="18"/>
    </row>
    <row r="3528" spans="5:6" ht="15" customHeight="1" x14ac:dyDescent="0.2">
      <c r="E3528" s="18"/>
      <c r="F3528" s="18"/>
    </row>
    <row r="3529" spans="5:6" ht="15" customHeight="1" x14ac:dyDescent="0.2">
      <c r="E3529" s="18"/>
      <c r="F3529" s="18"/>
    </row>
    <row r="3530" spans="5:6" ht="15" customHeight="1" x14ac:dyDescent="0.2">
      <c r="E3530" s="18"/>
      <c r="F3530" s="18"/>
    </row>
    <row r="3531" spans="5:6" ht="15" customHeight="1" x14ac:dyDescent="0.2">
      <c r="E3531" s="18"/>
      <c r="F3531" s="18"/>
    </row>
    <row r="3532" spans="5:6" ht="15" customHeight="1" x14ac:dyDescent="0.2">
      <c r="E3532" s="18"/>
      <c r="F3532" s="18"/>
    </row>
    <row r="3533" spans="5:6" ht="15" customHeight="1" x14ac:dyDescent="0.2">
      <c r="E3533" s="18"/>
      <c r="F3533" s="18"/>
    </row>
    <row r="3534" spans="5:6" ht="15" customHeight="1" x14ac:dyDescent="0.2">
      <c r="E3534" s="18"/>
      <c r="F3534" s="18"/>
    </row>
    <row r="3535" spans="5:6" ht="15" customHeight="1" x14ac:dyDescent="0.2">
      <c r="E3535" s="18"/>
      <c r="F3535" s="18"/>
    </row>
    <row r="3536" spans="5:6" ht="15" customHeight="1" x14ac:dyDescent="0.2">
      <c r="E3536" s="18"/>
      <c r="F3536" s="18"/>
    </row>
    <row r="3537" spans="5:6" ht="15" customHeight="1" x14ac:dyDescent="0.2">
      <c r="E3537" s="18"/>
      <c r="F3537" s="18"/>
    </row>
    <row r="3538" spans="5:6" ht="15" customHeight="1" x14ac:dyDescent="0.2">
      <c r="E3538" s="18"/>
      <c r="F3538" s="18"/>
    </row>
    <row r="3539" spans="5:6" ht="15" customHeight="1" x14ac:dyDescent="0.2">
      <c r="E3539" s="18"/>
      <c r="F3539" s="18"/>
    </row>
    <row r="3540" spans="5:6" ht="15" customHeight="1" x14ac:dyDescent="0.2">
      <c r="E3540" s="18"/>
      <c r="F3540" s="18"/>
    </row>
    <row r="3541" spans="5:6" ht="15" customHeight="1" x14ac:dyDescent="0.2">
      <c r="E3541" s="18"/>
      <c r="F3541" s="18"/>
    </row>
    <row r="3542" spans="5:6" ht="15" customHeight="1" x14ac:dyDescent="0.2">
      <c r="E3542" s="18"/>
      <c r="F3542" s="18"/>
    </row>
    <row r="3543" spans="5:6" ht="15" customHeight="1" x14ac:dyDescent="0.2">
      <c r="E3543" s="18"/>
      <c r="F3543" s="18"/>
    </row>
    <row r="3544" spans="5:6" ht="15" customHeight="1" x14ac:dyDescent="0.2">
      <c r="E3544" s="18"/>
      <c r="F3544" s="18"/>
    </row>
    <row r="3545" spans="5:6" ht="15" customHeight="1" x14ac:dyDescent="0.2">
      <c r="E3545" s="18"/>
      <c r="F3545" s="18"/>
    </row>
    <row r="3546" spans="5:6" ht="15" customHeight="1" x14ac:dyDescent="0.2">
      <c r="E3546" s="18"/>
      <c r="F3546" s="18"/>
    </row>
    <row r="3547" spans="5:6" ht="15" customHeight="1" x14ac:dyDescent="0.2">
      <c r="E3547" s="18"/>
      <c r="F3547" s="18"/>
    </row>
    <row r="3548" spans="5:6" ht="15" customHeight="1" x14ac:dyDescent="0.2">
      <c r="E3548" s="18"/>
      <c r="F3548" s="18"/>
    </row>
    <row r="3549" spans="5:6" ht="15" customHeight="1" x14ac:dyDescent="0.2">
      <c r="E3549" s="18"/>
      <c r="F3549" s="18"/>
    </row>
    <row r="3550" spans="5:6" ht="15" customHeight="1" x14ac:dyDescent="0.2">
      <c r="E3550" s="18"/>
      <c r="F3550" s="18"/>
    </row>
    <row r="3551" spans="5:6" ht="15" customHeight="1" x14ac:dyDescent="0.2">
      <c r="E3551" s="18"/>
      <c r="F3551" s="18"/>
    </row>
    <row r="3552" spans="5:6" ht="15" customHeight="1" x14ac:dyDescent="0.2">
      <c r="E3552" s="18"/>
      <c r="F3552" s="18"/>
    </row>
    <row r="3553" spans="5:6" ht="15" customHeight="1" x14ac:dyDescent="0.2">
      <c r="E3553" s="18"/>
      <c r="F3553" s="18"/>
    </row>
    <row r="3554" spans="5:6" ht="15" customHeight="1" x14ac:dyDescent="0.2">
      <c r="E3554" s="18"/>
      <c r="F3554" s="18"/>
    </row>
    <row r="3555" spans="5:6" ht="15" customHeight="1" x14ac:dyDescent="0.2">
      <c r="E3555" s="18"/>
      <c r="F3555" s="18"/>
    </row>
    <row r="3556" spans="5:6" ht="15" customHeight="1" x14ac:dyDescent="0.2">
      <c r="E3556" s="18"/>
      <c r="F3556" s="18"/>
    </row>
    <row r="3557" spans="5:6" ht="15" customHeight="1" x14ac:dyDescent="0.2">
      <c r="E3557" s="18"/>
      <c r="F3557" s="18"/>
    </row>
    <row r="3558" spans="5:6" ht="15" customHeight="1" x14ac:dyDescent="0.2">
      <c r="E3558" s="18"/>
      <c r="F3558" s="18"/>
    </row>
    <row r="3559" spans="5:6" ht="15" customHeight="1" x14ac:dyDescent="0.2">
      <c r="E3559" s="18"/>
      <c r="F3559" s="18"/>
    </row>
    <row r="3560" spans="5:6" ht="15" customHeight="1" x14ac:dyDescent="0.2">
      <c r="E3560" s="18"/>
      <c r="F3560" s="18"/>
    </row>
    <row r="3561" spans="5:6" ht="15" customHeight="1" x14ac:dyDescent="0.2">
      <c r="E3561" s="18"/>
      <c r="F3561" s="18"/>
    </row>
    <row r="3562" spans="5:6" ht="15" customHeight="1" x14ac:dyDescent="0.2">
      <c r="E3562" s="18"/>
      <c r="F3562" s="18"/>
    </row>
    <row r="3563" spans="5:6" ht="15" customHeight="1" x14ac:dyDescent="0.2">
      <c r="E3563" s="18"/>
      <c r="F3563" s="18"/>
    </row>
    <row r="3564" spans="5:6" ht="15" customHeight="1" x14ac:dyDescent="0.2">
      <c r="E3564" s="18"/>
      <c r="F3564" s="18"/>
    </row>
    <row r="3565" spans="5:6" ht="15" customHeight="1" x14ac:dyDescent="0.2">
      <c r="E3565" s="18"/>
      <c r="F3565" s="18"/>
    </row>
    <row r="3566" spans="5:6" ht="15" customHeight="1" x14ac:dyDescent="0.2">
      <c r="E3566" s="18"/>
      <c r="F3566" s="18"/>
    </row>
    <row r="3567" spans="5:6" ht="15" customHeight="1" x14ac:dyDescent="0.2">
      <c r="E3567" s="18"/>
      <c r="F3567" s="18"/>
    </row>
    <row r="3568" spans="5:6" ht="15" customHeight="1" x14ac:dyDescent="0.2">
      <c r="E3568" s="18"/>
      <c r="F3568" s="18"/>
    </row>
    <row r="3569" spans="5:6" ht="15" customHeight="1" x14ac:dyDescent="0.2">
      <c r="E3569" s="18"/>
      <c r="F3569" s="18"/>
    </row>
    <row r="3570" spans="5:6" ht="15" customHeight="1" x14ac:dyDescent="0.2">
      <c r="E3570" s="18"/>
      <c r="F3570" s="18"/>
    </row>
    <row r="3571" spans="5:6" ht="15" customHeight="1" x14ac:dyDescent="0.2">
      <c r="E3571" s="18"/>
      <c r="F3571" s="18"/>
    </row>
    <row r="3572" spans="5:6" ht="15" customHeight="1" x14ac:dyDescent="0.2">
      <c r="E3572" s="18"/>
      <c r="F3572" s="18"/>
    </row>
    <row r="3573" spans="5:6" ht="15" customHeight="1" x14ac:dyDescent="0.2">
      <c r="E3573" s="18"/>
      <c r="F3573" s="18"/>
    </row>
    <row r="3574" spans="5:6" ht="15" customHeight="1" x14ac:dyDescent="0.2">
      <c r="E3574" s="18"/>
      <c r="F3574" s="18"/>
    </row>
    <row r="3575" spans="5:6" ht="15" customHeight="1" x14ac:dyDescent="0.2">
      <c r="E3575" s="18"/>
      <c r="F3575" s="18"/>
    </row>
    <row r="3576" spans="5:6" ht="15" customHeight="1" x14ac:dyDescent="0.2">
      <c r="E3576" s="18"/>
      <c r="F3576" s="18"/>
    </row>
    <row r="3577" spans="5:6" ht="15" customHeight="1" x14ac:dyDescent="0.2">
      <c r="E3577" s="18"/>
      <c r="F3577" s="18"/>
    </row>
    <row r="3578" spans="5:6" ht="15" customHeight="1" x14ac:dyDescent="0.2">
      <c r="E3578" s="18"/>
      <c r="F3578" s="18"/>
    </row>
    <row r="3579" spans="5:6" ht="15" customHeight="1" x14ac:dyDescent="0.2">
      <c r="E3579" s="18"/>
      <c r="F3579" s="18"/>
    </row>
    <row r="3580" spans="5:6" ht="15" customHeight="1" x14ac:dyDescent="0.2">
      <c r="E3580" s="18"/>
      <c r="F3580" s="18"/>
    </row>
    <row r="3581" spans="5:6" ht="15" customHeight="1" x14ac:dyDescent="0.2">
      <c r="E3581" s="18"/>
      <c r="F3581" s="18"/>
    </row>
    <row r="3582" spans="5:6" ht="15" customHeight="1" x14ac:dyDescent="0.2">
      <c r="E3582" s="18"/>
      <c r="F3582" s="18"/>
    </row>
    <row r="3583" spans="5:6" ht="15" customHeight="1" x14ac:dyDescent="0.2">
      <c r="E3583" s="18"/>
      <c r="F3583" s="18"/>
    </row>
    <row r="3584" spans="5:6" ht="15" customHeight="1" x14ac:dyDescent="0.2">
      <c r="E3584" s="18"/>
      <c r="F3584" s="18"/>
    </row>
    <row r="3585" spans="5:6" ht="15" customHeight="1" x14ac:dyDescent="0.2">
      <c r="E3585" s="18"/>
      <c r="F3585" s="18"/>
    </row>
    <row r="3586" spans="5:6" ht="15" customHeight="1" x14ac:dyDescent="0.2">
      <c r="E3586" s="18"/>
      <c r="F3586" s="18"/>
    </row>
    <row r="3587" spans="5:6" ht="15" customHeight="1" x14ac:dyDescent="0.2">
      <c r="E3587" s="18"/>
      <c r="F3587" s="18"/>
    </row>
    <row r="3588" spans="5:6" ht="15" customHeight="1" x14ac:dyDescent="0.2">
      <c r="E3588" s="18"/>
      <c r="F3588" s="18"/>
    </row>
    <row r="3589" spans="5:6" ht="15" customHeight="1" x14ac:dyDescent="0.2">
      <c r="E3589" s="18"/>
      <c r="F3589" s="18"/>
    </row>
    <row r="3590" spans="5:6" ht="15" customHeight="1" x14ac:dyDescent="0.2">
      <c r="E3590" s="18"/>
      <c r="F3590" s="18"/>
    </row>
    <row r="3591" spans="5:6" ht="15" customHeight="1" x14ac:dyDescent="0.2">
      <c r="E3591" s="18"/>
      <c r="F3591" s="18"/>
    </row>
    <row r="3592" spans="5:6" ht="15" customHeight="1" x14ac:dyDescent="0.2">
      <c r="E3592" s="18"/>
      <c r="F3592" s="18"/>
    </row>
    <row r="3593" spans="5:6" ht="15" customHeight="1" x14ac:dyDescent="0.2">
      <c r="E3593" s="18"/>
      <c r="F3593" s="18"/>
    </row>
    <row r="3594" spans="5:6" ht="15" customHeight="1" x14ac:dyDescent="0.2">
      <c r="E3594" s="18"/>
      <c r="F3594" s="18"/>
    </row>
    <row r="3595" spans="5:6" ht="15" customHeight="1" x14ac:dyDescent="0.2">
      <c r="E3595" s="18"/>
      <c r="F3595" s="18"/>
    </row>
    <row r="3596" spans="5:6" ht="15" customHeight="1" x14ac:dyDescent="0.2">
      <c r="E3596" s="18"/>
      <c r="F3596" s="18"/>
    </row>
    <row r="3597" spans="5:6" ht="15" customHeight="1" x14ac:dyDescent="0.2">
      <c r="E3597" s="18"/>
      <c r="F3597" s="18"/>
    </row>
    <row r="3598" spans="5:6" ht="15" customHeight="1" x14ac:dyDescent="0.2">
      <c r="E3598" s="18"/>
      <c r="F3598" s="18"/>
    </row>
    <row r="3599" spans="5:6" ht="15" customHeight="1" x14ac:dyDescent="0.2">
      <c r="E3599" s="18"/>
      <c r="F3599" s="18"/>
    </row>
    <row r="3600" spans="5:6" ht="15" customHeight="1" x14ac:dyDescent="0.2">
      <c r="E3600" s="18"/>
      <c r="F3600" s="18"/>
    </row>
    <row r="3601" spans="5:6" ht="15" customHeight="1" x14ac:dyDescent="0.2">
      <c r="E3601" s="18"/>
      <c r="F3601" s="18"/>
    </row>
    <row r="3602" spans="5:6" ht="15" customHeight="1" x14ac:dyDescent="0.2">
      <c r="E3602" s="18"/>
      <c r="F3602" s="18"/>
    </row>
    <row r="3603" spans="5:6" ht="15" customHeight="1" x14ac:dyDescent="0.2">
      <c r="E3603" s="18"/>
      <c r="F3603" s="18"/>
    </row>
    <row r="3604" spans="5:6" ht="15" customHeight="1" x14ac:dyDescent="0.2">
      <c r="E3604" s="18"/>
      <c r="F3604" s="18"/>
    </row>
    <row r="3605" spans="5:6" ht="15" customHeight="1" x14ac:dyDescent="0.2">
      <c r="E3605" s="18"/>
      <c r="F3605" s="18"/>
    </row>
    <row r="3606" spans="5:6" ht="15" customHeight="1" x14ac:dyDescent="0.2">
      <c r="E3606" s="18"/>
      <c r="F3606" s="18"/>
    </row>
    <row r="3607" spans="5:6" ht="15" customHeight="1" x14ac:dyDescent="0.2">
      <c r="E3607" s="18"/>
      <c r="F3607" s="18"/>
    </row>
    <row r="3608" spans="5:6" ht="15" customHeight="1" x14ac:dyDescent="0.2">
      <c r="E3608" s="18"/>
      <c r="F3608" s="18"/>
    </row>
    <row r="3609" spans="5:6" ht="15" customHeight="1" x14ac:dyDescent="0.2">
      <c r="E3609" s="18"/>
      <c r="F3609" s="18"/>
    </row>
    <row r="3610" spans="5:6" ht="15" customHeight="1" x14ac:dyDescent="0.2">
      <c r="E3610" s="18"/>
      <c r="F3610" s="18"/>
    </row>
    <row r="3611" spans="5:6" ht="15" customHeight="1" x14ac:dyDescent="0.2">
      <c r="E3611" s="18"/>
      <c r="F3611" s="18"/>
    </row>
    <row r="3612" spans="5:6" ht="15" customHeight="1" x14ac:dyDescent="0.2">
      <c r="E3612" s="18"/>
      <c r="F3612" s="18"/>
    </row>
    <row r="3613" spans="5:6" ht="15" customHeight="1" x14ac:dyDescent="0.2">
      <c r="E3613" s="18"/>
      <c r="F3613" s="18"/>
    </row>
    <row r="3614" spans="5:6" ht="15" customHeight="1" x14ac:dyDescent="0.2">
      <c r="E3614" s="18"/>
      <c r="F3614" s="18"/>
    </row>
    <row r="3615" spans="5:6" ht="15" customHeight="1" x14ac:dyDescent="0.2">
      <c r="E3615" s="18"/>
      <c r="F3615" s="18"/>
    </row>
    <row r="3616" spans="5:6" ht="15" customHeight="1" x14ac:dyDescent="0.2">
      <c r="E3616" s="18"/>
      <c r="F3616" s="18"/>
    </row>
    <row r="3617" spans="5:6" ht="15" customHeight="1" x14ac:dyDescent="0.2">
      <c r="E3617" s="18"/>
      <c r="F3617" s="18"/>
    </row>
    <row r="3618" spans="5:6" ht="15" customHeight="1" x14ac:dyDescent="0.2">
      <c r="E3618" s="18"/>
      <c r="F3618" s="18"/>
    </row>
    <row r="3619" spans="5:6" ht="15" customHeight="1" x14ac:dyDescent="0.2">
      <c r="E3619" s="18"/>
      <c r="F3619" s="18"/>
    </row>
    <row r="3620" spans="5:6" ht="15" customHeight="1" x14ac:dyDescent="0.2">
      <c r="E3620" s="18"/>
      <c r="F3620" s="18"/>
    </row>
    <row r="3621" spans="5:6" ht="15" customHeight="1" x14ac:dyDescent="0.2">
      <c r="E3621" s="18"/>
      <c r="F3621" s="18"/>
    </row>
    <row r="3622" spans="5:6" ht="15" customHeight="1" x14ac:dyDescent="0.2">
      <c r="E3622" s="18"/>
      <c r="F3622" s="18"/>
    </row>
    <row r="3623" spans="5:6" ht="15" customHeight="1" x14ac:dyDescent="0.2">
      <c r="E3623" s="18"/>
      <c r="F3623" s="18"/>
    </row>
    <row r="3624" spans="5:6" ht="15" customHeight="1" x14ac:dyDescent="0.2">
      <c r="E3624" s="18"/>
      <c r="F3624" s="18"/>
    </row>
    <row r="3625" spans="5:6" ht="15" customHeight="1" x14ac:dyDescent="0.2">
      <c r="E3625" s="18"/>
      <c r="F3625" s="18"/>
    </row>
    <row r="3626" spans="5:6" ht="15" customHeight="1" x14ac:dyDescent="0.2">
      <c r="E3626" s="18"/>
      <c r="F3626" s="18"/>
    </row>
    <row r="3627" spans="5:6" ht="15" customHeight="1" x14ac:dyDescent="0.2">
      <c r="E3627" s="18"/>
      <c r="F3627" s="18"/>
    </row>
    <row r="3628" spans="5:6" ht="15" customHeight="1" x14ac:dyDescent="0.2">
      <c r="E3628" s="18"/>
      <c r="F3628" s="18"/>
    </row>
    <row r="3629" spans="5:6" ht="15" customHeight="1" x14ac:dyDescent="0.2">
      <c r="E3629" s="18"/>
      <c r="F3629" s="18"/>
    </row>
    <row r="3630" spans="5:6" ht="15" customHeight="1" x14ac:dyDescent="0.2">
      <c r="E3630" s="18"/>
      <c r="F3630" s="18"/>
    </row>
    <row r="3631" spans="5:6" ht="15" customHeight="1" x14ac:dyDescent="0.2">
      <c r="E3631" s="18"/>
      <c r="F3631" s="18"/>
    </row>
    <row r="3632" spans="5:6" ht="15" customHeight="1" x14ac:dyDescent="0.2">
      <c r="E3632" s="18"/>
      <c r="F3632" s="18"/>
    </row>
    <row r="3633" spans="5:6" ht="15" customHeight="1" x14ac:dyDescent="0.2">
      <c r="E3633" s="18"/>
      <c r="F3633" s="18"/>
    </row>
    <row r="3634" spans="5:6" ht="15" customHeight="1" x14ac:dyDescent="0.2">
      <c r="E3634" s="18"/>
      <c r="F3634" s="18"/>
    </row>
    <row r="3635" spans="5:6" ht="15" customHeight="1" x14ac:dyDescent="0.2">
      <c r="E3635" s="18"/>
      <c r="F3635" s="18"/>
    </row>
    <row r="3636" spans="5:6" ht="15" customHeight="1" x14ac:dyDescent="0.2">
      <c r="E3636" s="18"/>
      <c r="F3636" s="18"/>
    </row>
    <row r="3637" spans="5:6" ht="15" customHeight="1" x14ac:dyDescent="0.2">
      <c r="E3637" s="18"/>
      <c r="F3637" s="18"/>
    </row>
    <row r="3638" spans="5:6" ht="15" customHeight="1" x14ac:dyDescent="0.2">
      <c r="E3638" s="18"/>
      <c r="F3638" s="18"/>
    </row>
    <row r="3639" spans="5:6" ht="15" customHeight="1" x14ac:dyDescent="0.2">
      <c r="E3639" s="18"/>
      <c r="F3639" s="18"/>
    </row>
    <row r="3640" spans="5:6" ht="15" customHeight="1" x14ac:dyDescent="0.2">
      <c r="E3640" s="18"/>
      <c r="F3640" s="18"/>
    </row>
    <row r="3641" spans="5:6" ht="15" customHeight="1" x14ac:dyDescent="0.2">
      <c r="E3641" s="18"/>
      <c r="F3641" s="18"/>
    </row>
    <row r="3642" spans="5:6" ht="15" customHeight="1" x14ac:dyDescent="0.2">
      <c r="E3642" s="18"/>
      <c r="F3642" s="18"/>
    </row>
    <row r="3643" spans="5:6" ht="15" customHeight="1" x14ac:dyDescent="0.2">
      <c r="E3643" s="18"/>
      <c r="F3643" s="18"/>
    </row>
    <row r="3644" spans="5:6" ht="15" customHeight="1" x14ac:dyDescent="0.2">
      <c r="E3644" s="18"/>
      <c r="F3644" s="18"/>
    </row>
    <row r="3645" spans="5:6" ht="15" customHeight="1" x14ac:dyDescent="0.2">
      <c r="E3645" s="18"/>
      <c r="F3645" s="18"/>
    </row>
    <row r="3646" spans="5:6" ht="15" customHeight="1" x14ac:dyDescent="0.2">
      <c r="E3646" s="18"/>
      <c r="F3646" s="18"/>
    </row>
    <row r="3647" spans="5:6" ht="15" customHeight="1" x14ac:dyDescent="0.2">
      <c r="E3647" s="18"/>
      <c r="F3647" s="18"/>
    </row>
    <row r="3648" spans="5:6" ht="15" customHeight="1" x14ac:dyDescent="0.2">
      <c r="E3648" s="18"/>
      <c r="F3648" s="18"/>
    </row>
    <row r="3649" spans="5:6" ht="15" customHeight="1" x14ac:dyDescent="0.2">
      <c r="E3649" s="18"/>
      <c r="F3649" s="18"/>
    </row>
    <row r="3650" spans="5:6" ht="15" customHeight="1" x14ac:dyDescent="0.2">
      <c r="E3650" s="18"/>
      <c r="F3650" s="18"/>
    </row>
    <row r="3651" spans="5:6" ht="15" customHeight="1" x14ac:dyDescent="0.2">
      <c r="E3651" s="18"/>
      <c r="F3651" s="18"/>
    </row>
    <row r="3652" spans="5:6" ht="15" customHeight="1" x14ac:dyDescent="0.2">
      <c r="E3652" s="18"/>
      <c r="F3652" s="18"/>
    </row>
    <row r="3653" spans="5:6" ht="15" customHeight="1" x14ac:dyDescent="0.2">
      <c r="E3653" s="18"/>
      <c r="F3653" s="18"/>
    </row>
    <row r="3654" spans="5:6" ht="15" customHeight="1" x14ac:dyDescent="0.2">
      <c r="E3654" s="18"/>
      <c r="F3654" s="18"/>
    </row>
    <row r="3655" spans="5:6" ht="15" customHeight="1" x14ac:dyDescent="0.2">
      <c r="E3655" s="18"/>
      <c r="F3655" s="18"/>
    </row>
    <row r="3656" spans="5:6" ht="15" customHeight="1" x14ac:dyDescent="0.2">
      <c r="E3656" s="18"/>
      <c r="F3656" s="18"/>
    </row>
    <row r="3657" spans="5:6" ht="15" customHeight="1" x14ac:dyDescent="0.2">
      <c r="E3657" s="18"/>
      <c r="F3657" s="18"/>
    </row>
    <row r="3658" spans="5:6" ht="15" customHeight="1" x14ac:dyDescent="0.2">
      <c r="E3658" s="18"/>
      <c r="F3658" s="18"/>
    </row>
    <row r="3659" spans="5:6" ht="15" customHeight="1" x14ac:dyDescent="0.2">
      <c r="E3659" s="18"/>
      <c r="F3659" s="18"/>
    </row>
    <row r="3660" spans="5:6" ht="15" customHeight="1" x14ac:dyDescent="0.2">
      <c r="E3660" s="18"/>
      <c r="F3660" s="18"/>
    </row>
    <row r="3661" spans="5:6" ht="15" customHeight="1" x14ac:dyDescent="0.2">
      <c r="E3661" s="18"/>
      <c r="F3661" s="18"/>
    </row>
    <row r="3662" spans="5:6" ht="15" customHeight="1" x14ac:dyDescent="0.2">
      <c r="E3662" s="18"/>
      <c r="F3662" s="18"/>
    </row>
    <row r="3663" spans="5:6" ht="15" customHeight="1" x14ac:dyDescent="0.2">
      <c r="E3663" s="18"/>
      <c r="F3663" s="18"/>
    </row>
    <row r="3664" spans="5:6" ht="15" customHeight="1" x14ac:dyDescent="0.2">
      <c r="E3664" s="18"/>
      <c r="F3664" s="18"/>
    </row>
    <row r="3665" spans="5:6" ht="15" customHeight="1" x14ac:dyDescent="0.2">
      <c r="E3665" s="18"/>
      <c r="F3665" s="18"/>
    </row>
    <row r="3666" spans="5:6" ht="15" customHeight="1" x14ac:dyDescent="0.2">
      <c r="E3666" s="18"/>
      <c r="F3666" s="18"/>
    </row>
    <row r="3667" spans="5:6" ht="15" customHeight="1" x14ac:dyDescent="0.2">
      <c r="E3667" s="18"/>
      <c r="F3667" s="18"/>
    </row>
    <row r="3668" spans="5:6" ht="15" customHeight="1" x14ac:dyDescent="0.2">
      <c r="E3668" s="18"/>
      <c r="F3668" s="18"/>
    </row>
    <row r="3669" spans="5:6" ht="15" customHeight="1" x14ac:dyDescent="0.2">
      <c r="E3669" s="18"/>
      <c r="F3669" s="18"/>
    </row>
    <row r="3670" spans="5:6" ht="15" customHeight="1" x14ac:dyDescent="0.2">
      <c r="E3670" s="18"/>
      <c r="F3670" s="18"/>
    </row>
    <row r="3671" spans="5:6" ht="15" customHeight="1" x14ac:dyDescent="0.2">
      <c r="E3671" s="18"/>
      <c r="F3671" s="18"/>
    </row>
    <row r="3672" spans="5:6" ht="15" customHeight="1" x14ac:dyDescent="0.2">
      <c r="E3672" s="18"/>
      <c r="F3672" s="18"/>
    </row>
    <row r="3673" spans="5:6" ht="15" customHeight="1" x14ac:dyDescent="0.2">
      <c r="E3673" s="18"/>
      <c r="F3673" s="18"/>
    </row>
    <row r="3674" spans="5:6" ht="15" customHeight="1" x14ac:dyDescent="0.2">
      <c r="E3674" s="18"/>
      <c r="F3674" s="18"/>
    </row>
    <row r="3675" spans="5:6" ht="15" customHeight="1" x14ac:dyDescent="0.2">
      <c r="E3675" s="18"/>
      <c r="F3675" s="18"/>
    </row>
    <row r="3676" spans="5:6" ht="15" customHeight="1" x14ac:dyDescent="0.2">
      <c r="E3676" s="18"/>
      <c r="F3676" s="18"/>
    </row>
    <row r="3677" spans="5:6" ht="15" customHeight="1" x14ac:dyDescent="0.2">
      <c r="E3677" s="18"/>
      <c r="F3677" s="18"/>
    </row>
    <row r="3678" spans="5:6" ht="15" customHeight="1" x14ac:dyDescent="0.2">
      <c r="E3678" s="18"/>
      <c r="F3678" s="18"/>
    </row>
    <row r="3679" spans="5:6" ht="15" customHeight="1" x14ac:dyDescent="0.2">
      <c r="E3679" s="18"/>
      <c r="F3679" s="18"/>
    </row>
    <row r="3680" spans="5:6" ht="15" customHeight="1" x14ac:dyDescent="0.2">
      <c r="E3680" s="18"/>
      <c r="F3680" s="18"/>
    </row>
    <row r="3681" spans="5:6" ht="15" customHeight="1" x14ac:dyDescent="0.2">
      <c r="E3681" s="18"/>
      <c r="F3681" s="18"/>
    </row>
    <row r="3682" spans="5:6" ht="15" customHeight="1" x14ac:dyDescent="0.2">
      <c r="E3682" s="18"/>
      <c r="F3682" s="18"/>
    </row>
    <row r="3683" spans="5:6" ht="15" customHeight="1" x14ac:dyDescent="0.2">
      <c r="E3683" s="18"/>
      <c r="F3683" s="18"/>
    </row>
    <row r="3684" spans="5:6" ht="15" customHeight="1" x14ac:dyDescent="0.2">
      <c r="E3684" s="18"/>
      <c r="F3684" s="18"/>
    </row>
    <row r="3685" spans="5:6" ht="15" customHeight="1" x14ac:dyDescent="0.2">
      <c r="E3685" s="18"/>
      <c r="F3685" s="18"/>
    </row>
    <row r="3686" spans="5:6" ht="15" customHeight="1" x14ac:dyDescent="0.2">
      <c r="E3686" s="18"/>
      <c r="F3686" s="18"/>
    </row>
    <row r="3687" spans="5:6" ht="15" customHeight="1" x14ac:dyDescent="0.2">
      <c r="E3687" s="18"/>
      <c r="F3687" s="18"/>
    </row>
    <row r="3688" spans="5:6" ht="15" customHeight="1" x14ac:dyDescent="0.2">
      <c r="E3688" s="18"/>
      <c r="F3688" s="18"/>
    </row>
    <row r="3689" spans="5:6" ht="15" customHeight="1" x14ac:dyDescent="0.2">
      <c r="E3689" s="18"/>
      <c r="F3689" s="18"/>
    </row>
    <row r="3690" spans="5:6" ht="15" customHeight="1" x14ac:dyDescent="0.2">
      <c r="E3690" s="18"/>
      <c r="F3690" s="18"/>
    </row>
    <row r="3691" spans="5:6" ht="15" customHeight="1" x14ac:dyDescent="0.2">
      <c r="E3691" s="18"/>
      <c r="F3691" s="18"/>
    </row>
    <row r="3692" spans="5:6" ht="15" customHeight="1" x14ac:dyDescent="0.2">
      <c r="E3692" s="18"/>
      <c r="F3692" s="18"/>
    </row>
    <row r="3693" spans="5:6" ht="15" customHeight="1" x14ac:dyDescent="0.2">
      <c r="E3693" s="18"/>
      <c r="F3693" s="18"/>
    </row>
    <row r="3694" spans="5:6" ht="15" customHeight="1" x14ac:dyDescent="0.2">
      <c r="E3694" s="18"/>
      <c r="F3694" s="18"/>
    </row>
    <row r="3695" spans="5:6" ht="15" customHeight="1" x14ac:dyDescent="0.2">
      <c r="E3695" s="18"/>
      <c r="F3695" s="18"/>
    </row>
    <row r="3696" spans="5:6" ht="15" customHeight="1" x14ac:dyDescent="0.2">
      <c r="E3696" s="18"/>
      <c r="F3696" s="18"/>
    </row>
    <row r="3697" spans="5:6" ht="15" customHeight="1" x14ac:dyDescent="0.2">
      <c r="E3697" s="18"/>
      <c r="F3697" s="18"/>
    </row>
    <row r="3698" spans="5:6" ht="15" customHeight="1" x14ac:dyDescent="0.2">
      <c r="E3698" s="18"/>
      <c r="F3698" s="18"/>
    </row>
    <row r="3699" spans="5:6" ht="15" customHeight="1" x14ac:dyDescent="0.2">
      <c r="E3699" s="18"/>
      <c r="F3699" s="18"/>
    </row>
    <row r="3700" spans="5:6" ht="15" customHeight="1" x14ac:dyDescent="0.2">
      <c r="E3700" s="18"/>
      <c r="F3700" s="18"/>
    </row>
    <row r="3701" spans="5:6" ht="15" customHeight="1" x14ac:dyDescent="0.2">
      <c r="E3701" s="18"/>
      <c r="F3701" s="18"/>
    </row>
    <row r="3702" spans="5:6" ht="15" customHeight="1" x14ac:dyDescent="0.2">
      <c r="E3702" s="18"/>
      <c r="F3702" s="18"/>
    </row>
    <row r="3703" spans="5:6" ht="15" customHeight="1" x14ac:dyDescent="0.2">
      <c r="E3703" s="18"/>
      <c r="F3703" s="18"/>
    </row>
    <row r="3704" spans="5:6" ht="15" customHeight="1" x14ac:dyDescent="0.2">
      <c r="E3704" s="18"/>
      <c r="F3704" s="18"/>
    </row>
    <row r="3705" spans="5:6" ht="15" customHeight="1" x14ac:dyDescent="0.2">
      <c r="E3705" s="18"/>
      <c r="F3705" s="18"/>
    </row>
    <row r="3706" spans="5:6" ht="15" customHeight="1" x14ac:dyDescent="0.2">
      <c r="E3706" s="18"/>
      <c r="F3706" s="18"/>
    </row>
    <row r="3707" spans="5:6" ht="15" customHeight="1" x14ac:dyDescent="0.2">
      <c r="E3707" s="18"/>
      <c r="F3707" s="18"/>
    </row>
    <row r="3708" spans="5:6" ht="15" customHeight="1" x14ac:dyDescent="0.2">
      <c r="E3708" s="18"/>
      <c r="F3708" s="18"/>
    </row>
    <row r="3709" spans="5:6" ht="15" customHeight="1" x14ac:dyDescent="0.2">
      <c r="E3709" s="18"/>
      <c r="F3709" s="18"/>
    </row>
    <row r="3710" spans="5:6" ht="15" customHeight="1" x14ac:dyDescent="0.2">
      <c r="E3710" s="18"/>
      <c r="F3710" s="18"/>
    </row>
    <row r="3711" spans="5:6" ht="15" customHeight="1" x14ac:dyDescent="0.2">
      <c r="E3711" s="18"/>
      <c r="F3711" s="18"/>
    </row>
    <row r="3712" spans="5:6" ht="15" customHeight="1" x14ac:dyDescent="0.2">
      <c r="E3712" s="18"/>
      <c r="F3712" s="18"/>
    </row>
    <row r="3713" spans="5:6" ht="15" customHeight="1" x14ac:dyDescent="0.2">
      <c r="E3713" s="18"/>
      <c r="F3713" s="18"/>
    </row>
    <row r="3714" spans="5:6" ht="15" customHeight="1" x14ac:dyDescent="0.2">
      <c r="E3714" s="18"/>
      <c r="F3714" s="18"/>
    </row>
    <row r="3715" spans="5:6" ht="15" customHeight="1" x14ac:dyDescent="0.2">
      <c r="E3715" s="18"/>
      <c r="F3715" s="18"/>
    </row>
    <row r="3716" spans="5:6" ht="15" customHeight="1" x14ac:dyDescent="0.2">
      <c r="E3716" s="18"/>
      <c r="F3716" s="18"/>
    </row>
    <row r="3717" spans="5:6" ht="15" customHeight="1" x14ac:dyDescent="0.2">
      <c r="E3717" s="18"/>
      <c r="F3717" s="18"/>
    </row>
    <row r="3718" spans="5:6" ht="15" customHeight="1" x14ac:dyDescent="0.2">
      <c r="E3718" s="18"/>
      <c r="F3718" s="18"/>
    </row>
    <row r="3719" spans="5:6" ht="15" customHeight="1" x14ac:dyDescent="0.2">
      <c r="E3719" s="18"/>
      <c r="F3719" s="18"/>
    </row>
    <row r="3720" spans="5:6" ht="15" customHeight="1" x14ac:dyDescent="0.2">
      <c r="E3720" s="18"/>
      <c r="F3720" s="18"/>
    </row>
    <row r="3721" spans="5:6" ht="15" customHeight="1" x14ac:dyDescent="0.2">
      <c r="E3721" s="18"/>
      <c r="F3721" s="18"/>
    </row>
    <row r="3722" spans="5:6" ht="15" customHeight="1" x14ac:dyDescent="0.2">
      <c r="E3722" s="18"/>
      <c r="F3722" s="18"/>
    </row>
    <row r="3723" spans="5:6" ht="15" customHeight="1" x14ac:dyDescent="0.2">
      <c r="E3723" s="18"/>
      <c r="F3723" s="18"/>
    </row>
    <row r="3724" spans="5:6" ht="15" customHeight="1" x14ac:dyDescent="0.2">
      <c r="E3724" s="18"/>
      <c r="F3724" s="18"/>
    </row>
    <row r="3725" spans="5:6" ht="15" customHeight="1" x14ac:dyDescent="0.2">
      <c r="E3725" s="18"/>
      <c r="F3725" s="18"/>
    </row>
    <row r="3726" spans="5:6" ht="15" customHeight="1" x14ac:dyDescent="0.2">
      <c r="E3726" s="18"/>
      <c r="F3726" s="18"/>
    </row>
    <row r="3727" spans="5:6" ht="15" customHeight="1" x14ac:dyDescent="0.2">
      <c r="E3727" s="18"/>
      <c r="F3727" s="18"/>
    </row>
    <row r="3728" spans="5:6" ht="15" customHeight="1" x14ac:dyDescent="0.2">
      <c r="E3728" s="18"/>
      <c r="F3728" s="18"/>
    </row>
    <row r="3729" spans="5:6" ht="15" customHeight="1" x14ac:dyDescent="0.2">
      <c r="E3729" s="18"/>
      <c r="F3729" s="18"/>
    </row>
    <row r="3730" spans="5:6" ht="15" customHeight="1" x14ac:dyDescent="0.2">
      <c r="E3730" s="18"/>
      <c r="F3730" s="18"/>
    </row>
    <row r="3731" spans="5:6" ht="15" customHeight="1" x14ac:dyDescent="0.2">
      <c r="E3731" s="18"/>
      <c r="F3731" s="18"/>
    </row>
    <row r="3732" spans="5:6" ht="15" customHeight="1" x14ac:dyDescent="0.2">
      <c r="E3732" s="18"/>
      <c r="F3732" s="18"/>
    </row>
    <row r="3733" spans="5:6" ht="15" customHeight="1" x14ac:dyDescent="0.2">
      <c r="E3733" s="18"/>
      <c r="F3733" s="18"/>
    </row>
    <row r="3734" spans="5:6" ht="15" customHeight="1" x14ac:dyDescent="0.2">
      <c r="E3734" s="18"/>
      <c r="F3734" s="18"/>
    </row>
    <row r="3735" spans="5:6" ht="15" customHeight="1" x14ac:dyDescent="0.2">
      <c r="E3735" s="18"/>
      <c r="F3735" s="18"/>
    </row>
    <row r="3736" spans="5:6" ht="15" customHeight="1" x14ac:dyDescent="0.2">
      <c r="E3736" s="18"/>
      <c r="F3736" s="18"/>
    </row>
    <row r="3737" spans="5:6" ht="15" customHeight="1" x14ac:dyDescent="0.2">
      <c r="E3737" s="18"/>
      <c r="F3737" s="18"/>
    </row>
    <row r="3738" spans="5:6" ht="15" customHeight="1" x14ac:dyDescent="0.2">
      <c r="E3738" s="18"/>
      <c r="F3738" s="18"/>
    </row>
    <row r="3739" spans="5:6" ht="15" customHeight="1" x14ac:dyDescent="0.2">
      <c r="E3739" s="18"/>
      <c r="F3739" s="18"/>
    </row>
    <row r="3740" spans="5:6" ht="15" customHeight="1" x14ac:dyDescent="0.2">
      <c r="E3740" s="18"/>
      <c r="F3740" s="18"/>
    </row>
    <row r="3741" spans="5:6" ht="15" customHeight="1" x14ac:dyDescent="0.2">
      <c r="E3741" s="18"/>
      <c r="F3741" s="18"/>
    </row>
    <row r="3742" spans="5:6" ht="15" customHeight="1" x14ac:dyDescent="0.2">
      <c r="E3742" s="18"/>
      <c r="F3742" s="18"/>
    </row>
    <row r="3743" spans="5:6" ht="15" customHeight="1" x14ac:dyDescent="0.2">
      <c r="E3743" s="18"/>
      <c r="F3743" s="18"/>
    </row>
    <row r="3744" spans="5:6" ht="15" customHeight="1" x14ac:dyDescent="0.2">
      <c r="E3744" s="18"/>
      <c r="F3744" s="18"/>
    </row>
    <row r="3745" spans="5:6" ht="15" customHeight="1" x14ac:dyDescent="0.2">
      <c r="E3745" s="18"/>
      <c r="F3745" s="18"/>
    </row>
    <row r="3746" spans="5:6" ht="15" customHeight="1" x14ac:dyDescent="0.2">
      <c r="E3746" s="18"/>
      <c r="F3746" s="18"/>
    </row>
    <row r="3747" spans="5:6" ht="15" customHeight="1" x14ac:dyDescent="0.2">
      <c r="E3747" s="18"/>
      <c r="F3747" s="18"/>
    </row>
    <row r="3748" spans="5:6" ht="15" customHeight="1" x14ac:dyDescent="0.2">
      <c r="E3748" s="18"/>
      <c r="F3748" s="18"/>
    </row>
    <row r="3749" spans="5:6" ht="15" customHeight="1" x14ac:dyDescent="0.2">
      <c r="E3749" s="18"/>
      <c r="F3749" s="18"/>
    </row>
    <row r="3750" spans="5:6" ht="15" customHeight="1" x14ac:dyDescent="0.2">
      <c r="E3750" s="18"/>
      <c r="F3750" s="18"/>
    </row>
    <row r="3751" spans="5:6" ht="15" customHeight="1" x14ac:dyDescent="0.2">
      <c r="E3751" s="18"/>
      <c r="F3751" s="18"/>
    </row>
    <row r="3752" spans="5:6" ht="15" customHeight="1" x14ac:dyDescent="0.2">
      <c r="E3752" s="18"/>
      <c r="F3752" s="18"/>
    </row>
    <row r="3753" spans="5:6" ht="15" customHeight="1" x14ac:dyDescent="0.2">
      <c r="E3753" s="18"/>
      <c r="F3753" s="18"/>
    </row>
    <row r="3754" spans="5:6" ht="15" customHeight="1" x14ac:dyDescent="0.2">
      <c r="E3754" s="18"/>
      <c r="F3754" s="18"/>
    </row>
    <row r="3755" spans="5:6" ht="15" customHeight="1" x14ac:dyDescent="0.2">
      <c r="E3755" s="18"/>
      <c r="F3755" s="18"/>
    </row>
    <row r="3756" spans="5:6" ht="15" customHeight="1" x14ac:dyDescent="0.2">
      <c r="E3756" s="18"/>
      <c r="F3756" s="18"/>
    </row>
    <row r="3757" spans="5:6" ht="15" customHeight="1" x14ac:dyDescent="0.2">
      <c r="E3757" s="18"/>
      <c r="F3757" s="18"/>
    </row>
    <row r="3758" spans="5:6" ht="15" customHeight="1" x14ac:dyDescent="0.2">
      <c r="E3758" s="18"/>
      <c r="F3758" s="18"/>
    </row>
    <row r="3759" spans="5:6" ht="15" customHeight="1" x14ac:dyDescent="0.2">
      <c r="E3759" s="18"/>
      <c r="F3759" s="18"/>
    </row>
    <row r="3760" spans="5:6" ht="15" customHeight="1" x14ac:dyDescent="0.2">
      <c r="E3760" s="18"/>
      <c r="F3760" s="18"/>
    </row>
    <row r="3761" spans="5:6" ht="15" customHeight="1" x14ac:dyDescent="0.2">
      <c r="E3761" s="18"/>
      <c r="F3761" s="18"/>
    </row>
    <row r="3762" spans="5:6" ht="15" customHeight="1" x14ac:dyDescent="0.2">
      <c r="E3762" s="18"/>
      <c r="F3762" s="18"/>
    </row>
    <row r="3763" spans="5:6" ht="15" customHeight="1" x14ac:dyDescent="0.2">
      <c r="E3763" s="18"/>
      <c r="F3763" s="18"/>
    </row>
    <row r="3764" spans="5:6" ht="15" customHeight="1" x14ac:dyDescent="0.2">
      <c r="E3764" s="18"/>
      <c r="F3764" s="18"/>
    </row>
    <row r="3765" spans="5:6" ht="15" customHeight="1" x14ac:dyDescent="0.2">
      <c r="E3765" s="18"/>
      <c r="F3765" s="18"/>
    </row>
    <row r="3766" spans="5:6" ht="15" customHeight="1" x14ac:dyDescent="0.2">
      <c r="E3766" s="18"/>
      <c r="F3766" s="18"/>
    </row>
    <row r="3767" spans="5:6" ht="15" customHeight="1" x14ac:dyDescent="0.2">
      <c r="E3767" s="18"/>
      <c r="F3767" s="18"/>
    </row>
    <row r="3768" spans="5:6" ht="15" customHeight="1" x14ac:dyDescent="0.2">
      <c r="E3768" s="18"/>
      <c r="F3768" s="18"/>
    </row>
    <row r="3769" spans="5:6" ht="15" customHeight="1" x14ac:dyDescent="0.2">
      <c r="E3769" s="18"/>
      <c r="F3769" s="18"/>
    </row>
    <row r="3770" spans="5:6" ht="15" customHeight="1" x14ac:dyDescent="0.2">
      <c r="E3770" s="18"/>
      <c r="F3770" s="18"/>
    </row>
    <row r="3771" spans="5:6" ht="15" customHeight="1" x14ac:dyDescent="0.2">
      <c r="E3771" s="18"/>
      <c r="F3771" s="18"/>
    </row>
    <row r="3772" spans="5:6" ht="15" customHeight="1" x14ac:dyDescent="0.2">
      <c r="E3772" s="18"/>
      <c r="F3772" s="18"/>
    </row>
    <row r="3773" spans="5:6" ht="15" customHeight="1" x14ac:dyDescent="0.2">
      <c r="E3773" s="18"/>
      <c r="F3773" s="18"/>
    </row>
    <row r="3774" spans="5:6" ht="15" customHeight="1" x14ac:dyDescent="0.2">
      <c r="E3774" s="18"/>
      <c r="F3774" s="18"/>
    </row>
    <row r="3775" spans="5:6" ht="15" customHeight="1" x14ac:dyDescent="0.2">
      <c r="E3775" s="18"/>
      <c r="F3775" s="18"/>
    </row>
    <row r="3776" spans="5:6" ht="15" customHeight="1" x14ac:dyDescent="0.2">
      <c r="E3776" s="18"/>
      <c r="F3776" s="18"/>
    </row>
    <row r="3777" spans="5:6" ht="15" customHeight="1" x14ac:dyDescent="0.2">
      <c r="E3777" s="18"/>
      <c r="F3777" s="18"/>
    </row>
    <row r="3778" spans="5:6" ht="15" customHeight="1" x14ac:dyDescent="0.2">
      <c r="E3778" s="18"/>
      <c r="F3778" s="18"/>
    </row>
    <row r="3779" spans="5:6" ht="15" customHeight="1" x14ac:dyDescent="0.2">
      <c r="E3779" s="18"/>
      <c r="F3779" s="18"/>
    </row>
    <row r="3780" spans="5:6" ht="15" customHeight="1" x14ac:dyDescent="0.2">
      <c r="E3780" s="18"/>
      <c r="F3780" s="18"/>
    </row>
    <row r="3781" spans="5:6" ht="15" customHeight="1" x14ac:dyDescent="0.2">
      <c r="E3781" s="18"/>
      <c r="F3781" s="18"/>
    </row>
    <row r="3782" spans="5:6" ht="15" customHeight="1" x14ac:dyDescent="0.2">
      <c r="E3782" s="18"/>
      <c r="F3782" s="18"/>
    </row>
    <row r="3783" spans="5:6" ht="15" customHeight="1" x14ac:dyDescent="0.2">
      <c r="E3783" s="18"/>
      <c r="F3783" s="18"/>
    </row>
    <row r="3784" spans="5:6" ht="15" customHeight="1" x14ac:dyDescent="0.2">
      <c r="E3784" s="18"/>
      <c r="F3784" s="18"/>
    </row>
    <row r="3785" spans="5:6" ht="15" customHeight="1" x14ac:dyDescent="0.2">
      <c r="E3785" s="18"/>
      <c r="F3785" s="18"/>
    </row>
    <row r="3786" spans="5:6" ht="15" customHeight="1" x14ac:dyDescent="0.2">
      <c r="E3786" s="18"/>
      <c r="F3786" s="18"/>
    </row>
    <row r="3787" spans="5:6" ht="15" customHeight="1" x14ac:dyDescent="0.2">
      <c r="E3787" s="18"/>
      <c r="F3787" s="18"/>
    </row>
    <row r="3788" spans="5:6" ht="15" customHeight="1" x14ac:dyDescent="0.2">
      <c r="E3788" s="18"/>
      <c r="F3788" s="18"/>
    </row>
    <row r="3789" spans="5:6" ht="15" customHeight="1" x14ac:dyDescent="0.2">
      <c r="E3789" s="18"/>
      <c r="F3789" s="18"/>
    </row>
    <row r="3790" spans="5:6" ht="15" customHeight="1" x14ac:dyDescent="0.2">
      <c r="E3790" s="18"/>
      <c r="F3790" s="18"/>
    </row>
    <row r="3791" spans="5:6" ht="15" customHeight="1" x14ac:dyDescent="0.2">
      <c r="E3791" s="18"/>
      <c r="F3791" s="18"/>
    </row>
    <row r="3792" spans="5:6" ht="15" customHeight="1" x14ac:dyDescent="0.2">
      <c r="E3792" s="18"/>
      <c r="F3792" s="18"/>
    </row>
    <row r="3793" spans="5:6" ht="15" customHeight="1" x14ac:dyDescent="0.2">
      <c r="E3793" s="18"/>
      <c r="F3793" s="18"/>
    </row>
    <row r="3794" spans="5:6" ht="15" customHeight="1" x14ac:dyDescent="0.2">
      <c r="E3794" s="18"/>
      <c r="F3794" s="18"/>
    </row>
    <row r="3795" spans="5:6" ht="15" customHeight="1" x14ac:dyDescent="0.2">
      <c r="E3795" s="18"/>
      <c r="F3795" s="18"/>
    </row>
    <row r="3796" spans="5:6" ht="15" customHeight="1" x14ac:dyDescent="0.2">
      <c r="E3796" s="18"/>
      <c r="F3796" s="18"/>
    </row>
    <row r="3797" spans="5:6" ht="15" customHeight="1" x14ac:dyDescent="0.2">
      <c r="E3797" s="18"/>
      <c r="F3797" s="18"/>
    </row>
    <row r="3798" spans="5:6" ht="15" customHeight="1" x14ac:dyDescent="0.2">
      <c r="E3798" s="18"/>
      <c r="F3798" s="18"/>
    </row>
    <row r="3799" spans="5:6" ht="15" customHeight="1" x14ac:dyDescent="0.2">
      <c r="E3799" s="18"/>
      <c r="F3799" s="18"/>
    </row>
    <row r="3800" spans="5:6" ht="15" customHeight="1" x14ac:dyDescent="0.2">
      <c r="E3800" s="18"/>
      <c r="F3800" s="18"/>
    </row>
    <row r="3801" spans="5:6" ht="15" customHeight="1" x14ac:dyDescent="0.2">
      <c r="E3801" s="18"/>
      <c r="F3801" s="18"/>
    </row>
    <row r="3802" spans="5:6" ht="15" customHeight="1" x14ac:dyDescent="0.2">
      <c r="E3802" s="18"/>
      <c r="F3802" s="18"/>
    </row>
    <row r="3803" spans="5:6" ht="15" customHeight="1" x14ac:dyDescent="0.2">
      <c r="E3803" s="18"/>
      <c r="F3803" s="18"/>
    </row>
    <row r="3804" spans="5:6" ht="15" customHeight="1" x14ac:dyDescent="0.2">
      <c r="E3804" s="18"/>
      <c r="F3804" s="18"/>
    </row>
    <row r="3805" spans="5:6" ht="15" customHeight="1" x14ac:dyDescent="0.2">
      <c r="E3805" s="18"/>
      <c r="F3805" s="18"/>
    </row>
    <row r="3806" spans="5:6" ht="15" customHeight="1" x14ac:dyDescent="0.2">
      <c r="E3806" s="18"/>
      <c r="F3806" s="18"/>
    </row>
    <row r="3807" spans="5:6" ht="15" customHeight="1" x14ac:dyDescent="0.2">
      <c r="E3807" s="18"/>
      <c r="F3807" s="18"/>
    </row>
    <row r="3808" spans="5:6" ht="15" customHeight="1" x14ac:dyDescent="0.2">
      <c r="E3808" s="18"/>
      <c r="F3808" s="18"/>
    </row>
    <row r="3809" spans="5:6" ht="15" customHeight="1" x14ac:dyDescent="0.2">
      <c r="E3809" s="18"/>
      <c r="F3809" s="18"/>
    </row>
    <row r="3810" spans="5:6" ht="15" customHeight="1" x14ac:dyDescent="0.2">
      <c r="E3810" s="18"/>
      <c r="F3810" s="18"/>
    </row>
    <row r="3811" spans="5:6" ht="15" customHeight="1" x14ac:dyDescent="0.2">
      <c r="E3811" s="18"/>
      <c r="F3811" s="18"/>
    </row>
    <row r="3812" spans="5:6" ht="15" customHeight="1" x14ac:dyDescent="0.2">
      <c r="E3812" s="18"/>
      <c r="F3812" s="18"/>
    </row>
    <row r="3813" spans="5:6" ht="15" customHeight="1" x14ac:dyDescent="0.2">
      <c r="E3813" s="18"/>
      <c r="F3813" s="18"/>
    </row>
    <row r="3814" spans="5:6" ht="15" customHeight="1" x14ac:dyDescent="0.2">
      <c r="E3814" s="18"/>
      <c r="F3814" s="18"/>
    </row>
    <row r="3815" spans="5:6" ht="15" customHeight="1" x14ac:dyDescent="0.2">
      <c r="E3815" s="18"/>
      <c r="F3815" s="18"/>
    </row>
    <row r="3816" spans="5:6" ht="15" customHeight="1" x14ac:dyDescent="0.2">
      <c r="E3816" s="18"/>
      <c r="F3816" s="18"/>
    </row>
    <row r="3817" spans="5:6" ht="15" customHeight="1" x14ac:dyDescent="0.2">
      <c r="E3817" s="18"/>
      <c r="F3817" s="18"/>
    </row>
    <row r="3818" spans="5:6" ht="15" customHeight="1" x14ac:dyDescent="0.2">
      <c r="E3818" s="18"/>
      <c r="F3818" s="18"/>
    </row>
    <row r="3819" spans="5:6" ht="15" customHeight="1" x14ac:dyDescent="0.2">
      <c r="E3819" s="18"/>
      <c r="F3819" s="18"/>
    </row>
    <row r="3820" spans="5:6" ht="15" customHeight="1" x14ac:dyDescent="0.2">
      <c r="E3820" s="18"/>
      <c r="F3820" s="18"/>
    </row>
    <row r="3821" spans="5:6" ht="15" customHeight="1" x14ac:dyDescent="0.2">
      <c r="E3821" s="18"/>
      <c r="F3821" s="18"/>
    </row>
    <row r="3822" spans="5:6" ht="15" customHeight="1" x14ac:dyDescent="0.2">
      <c r="E3822" s="18"/>
      <c r="F3822" s="18"/>
    </row>
    <row r="3823" spans="5:6" ht="15" customHeight="1" x14ac:dyDescent="0.2">
      <c r="E3823" s="18"/>
      <c r="F3823" s="18"/>
    </row>
    <row r="3824" spans="5:6" ht="15" customHeight="1" x14ac:dyDescent="0.2">
      <c r="E3824" s="18"/>
      <c r="F3824" s="18"/>
    </row>
    <row r="3825" spans="5:6" ht="15" customHeight="1" x14ac:dyDescent="0.2">
      <c r="E3825" s="18"/>
      <c r="F3825" s="18"/>
    </row>
    <row r="3826" spans="5:6" ht="15" customHeight="1" x14ac:dyDescent="0.2">
      <c r="E3826" s="18"/>
      <c r="F3826" s="18"/>
    </row>
    <row r="3827" spans="5:6" ht="15" customHeight="1" x14ac:dyDescent="0.2">
      <c r="E3827" s="18"/>
      <c r="F3827" s="18"/>
    </row>
    <row r="3828" spans="5:6" ht="15" customHeight="1" x14ac:dyDescent="0.2">
      <c r="E3828" s="18"/>
      <c r="F3828" s="18"/>
    </row>
    <row r="3829" spans="5:6" ht="15" customHeight="1" x14ac:dyDescent="0.2">
      <c r="E3829" s="18"/>
      <c r="F3829" s="18"/>
    </row>
    <row r="3830" spans="5:6" ht="15" customHeight="1" x14ac:dyDescent="0.2">
      <c r="E3830" s="18"/>
      <c r="F3830" s="18"/>
    </row>
    <row r="3831" spans="5:6" ht="15" customHeight="1" x14ac:dyDescent="0.2">
      <c r="E3831" s="18"/>
      <c r="F3831" s="18"/>
    </row>
    <row r="3832" spans="5:6" ht="15" customHeight="1" x14ac:dyDescent="0.2">
      <c r="E3832" s="18"/>
      <c r="F3832" s="18"/>
    </row>
    <row r="3833" spans="5:6" ht="15" customHeight="1" x14ac:dyDescent="0.2">
      <c r="E3833" s="18"/>
      <c r="F3833" s="18"/>
    </row>
    <row r="3834" spans="5:6" ht="15" customHeight="1" x14ac:dyDescent="0.2">
      <c r="E3834" s="18"/>
      <c r="F3834" s="18"/>
    </row>
    <row r="3835" spans="5:6" ht="15" customHeight="1" x14ac:dyDescent="0.2">
      <c r="E3835" s="18"/>
      <c r="F3835" s="18"/>
    </row>
    <row r="3836" spans="5:6" ht="15" customHeight="1" x14ac:dyDescent="0.2">
      <c r="E3836" s="18"/>
      <c r="F3836" s="18"/>
    </row>
    <row r="3837" spans="5:6" ht="15" customHeight="1" x14ac:dyDescent="0.2">
      <c r="E3837" s="18"/>
      <c r="F3837" s="18"/>
    </row>
    <row r="3838" spans="5:6" ht="15" customHeight="1" x14ac:dyDescent="0.2">
      <c r="E3838" s="18"/>
      <c r="F3838" s="18"/>
    </row>
    <row r="3839" spans="5:6" ht="15" customHeight="1" x14ac:dyDescent="0.2">
      <c r="E3839" s="18"/>
      <c r="F3839" s="18"/>
    </row>
    <row r="3840" spans="5:6" ht="15" customHeight="1" x14ac:dyDescent="0.2">
      <c r="E3840" s="18"/>
      <c r="F3840" s="18"/>
    </row>
    <row r="3841" spans="5:6" ht="15" customHeight="1" x14ac:dyDescent="0.2">
      <c r="E3841" s="18"/>
      <c r="F3841" s="18"/>
    </row>
    <row r="3842" spans="5:6" ht="15" customHeight="1" x14ac:dyDescent="0.2">
      <c r="E3842" s="18"/>
      <c r="F3842" s="18"/>
    </row>
    <row r="3843" spans="5:6" ht="15" customHeight="1" x14ac:dyDescent="0.2">
      <c r="E3843" s="18"/>
      <c r="F3843" s="18"/>
    </row>
    <row r="3844" spans="5:6" ht="15" customHeight="1" x14ac:dyDescent="0.2">
      <c r="E3844" s="18"/>
      <c r="F3844" s="18"/>
    </row>
    <row r="3845" spans="5:6" ht="15" customHeight="1" x14ac:dyDescent="0.2">
      <c r="E3845" s="18"/>
      <c r="F3845" s="18"/>
    </row>
    <row r="3846" spans="5:6" ht="15" customHeight="1" x14ac:dyDescent="0.2">
      <c r="E3846" s="18"/>
      <c r="F3846" s="18"/>
    </row>
    <row r="3847" spans="5:6" ht="15" customHeight="1" x14ac:dyDescent="0.2">
      <c r="E3847" s="18"/>
      <c r="F3847" s="18"/>
    </row>
    <row r="3848" spans="5:6" ht="15" customHeight="1" x14ac:dyDescent="0.2">
      <c r="E3848" s="18"/>
      <c r="F3848" s="18"/>
    </row>
    <row r="3849" spans="5:6" ht="15" customHeight="1" x14ac:dyDescent="0.2">
      <c r="E3849" s="18"/>
      <c r="F3849" s="18"/>
    </row>
    <row r="3850" spans="5:6" ht="15" customHeight="1" x14ac:dyDescent="0.2">
      <c r="E3850" s="18"/>
      <c r="F3850" s="18"/>
    </row>
    <row r="3851" spans="5:6" ht="15" customHeight="1" x14ac:dyDescent="0.2">
      <c r="E3851" s="18"/>
      <c r="F3851" s="18"/>
    </row>
    <row r="3852" spans="5:6" ht="15" customHeight="1" x14ac:dyDescent="0.2">
      <c r="E3852" s="18"/>
      <c r="F3852" s="18"/>
    </row>
    <row r="3853" spans="5:6" ht="15" customHeight="1" x14ac:dyDescent="0.2">
      <c r="E3853" s="18"/>
      <c r="F3853" s="18"/>
    </row>
    <row r="3854" spans="5:6" ht="15" customHeight="1" x14ac:dyDescent="0.2">
      <c r="E3854" s="18"/>
      <c r="F3854" s="18"/>
    </row>
    <row r="3855" spans="5:6" ht="15" customHeight="1" x14ac:dyDescent="0.2">
      <c r="E3855" s="18"/>
      <c r="F3855" s="18"/>
    </row>
    <row r="3856" spans="5:6" ht="15" customHeight="1" x14ac:dyDescent="0.2">
      <c r="E3856" s="18"/>
      <c r="F3856" s="18"/>
    </row>
    <row r="3857" spans="5:6" ht="15" customHeight="1" x14ac:dyDescent="0.2">
      <c r="E3857" s="18"/>
      <c r="F3857" s="18"/>
    </row>
    <row r="3858" spans="5:6" ht="15" customHeight="1" x14ac:dyDescent="0.2">
      <c r="E3858" s="18"/>
      <c r="F3858" s="18"/>
    </row>
    <row r="3859" spans="5:6" ht="15" customHeight="1" x14ac:dyDescent="0.2">
      <c r="E3859" s="18"/>
      <c r="F3859" s="18"/>
    </row>
    <row r="3860" spans="5:6" ht="15" customHeight="1" x14ac:dyDescent="0.2">
      <c r="E3860" s="18"/>
      <c r="F3860" s="18"/>
    </row>
    <row r="3861" spans="5:6" ht="15" customHeight="1" x14ac:dyDescent="0.2">
      <c r="E3861" s="18"/>
      <c r="F3861" s="18"/>
    </row>
    <row r="3862" spans="5:6" ht="15" customHeight="1" x14ac:dyDescent="0.2">
      <c r="E3862" s="18"/>
      <c r="F3862" s="18"/>
    </row>
    <row r="3863" spans="5:6" ht="15" customHeight="1" x14ac:dyDescent="0.2">
      <c r="E3863" s="18"/>
      <c r="F3863" s="18"/>
    </row>
    <row r="3864" spans="5:6" ht="15" customHeight="1" x14ac:dyDescent="0.2">
      <c r="E3864" s="18"/>
      <c r="F3864" s="18"/>
    </row>
    <row r="3865" spans="5:6" ht="15" customHeight="1" x14ac:dyDescent="0.2">
      <c r="E3865" s="18"/>
      <c r="F3865" s="18"/>
    </row>
    <row r="3866" spans="5:6" ht="15" customHeight="1" x14ac:dyDescent="0.2">
      <c r="E3866" s="18"/>
      <c r="F3866" s="18"/>
    </row>
    <row r="3867" spans="5:6" ht="15" customHeight="1" x14ac:dyDescent="0.2">
      <c r="E3867" s="18"/>
      <c r="F3867" s="18"/>
    </row>
    <row r="3868" spans="5:6" ht="15" customHeight="1" x14ac:dyDescent="0.2">
      <c r="E3868" s="18"/>
      <c r="F3868" s="18"/>
    </row>
    <row r="3869" spans="5:6" ht="15" customHeight="1" x14ac:dyDescent="0.2">
      <c r="E3869" s="18"/>
      <c r="F3869" s="18"/>
    </row>
    <row r="3870" spans="5:6" ht="15" customHeight="1" x14ac:dyDescent="0.2">
      <c r="E3870" s="18"/>
      <c r="F3870" s="18"/>
    </row>
    <row r="3871" spans="5:6" ht="15" customHeight="1" x14ac:dyDescent="0.2">
      <c r="E3871" s="18"/>
      <c r="F3871" s="18"/>
    </row>
    <row r="3872" spans="5:6" ht="15" customHeight="1" x14ac:dyDescent="0.2">
      <c r="E3872" s="18"/>
      <c r="F3872" s="18"/>
    </row>
    <row r="3873" spans="5:6" ht="15" customHeight="1" x14ac:dyDescent="0.2">
      <c r="E3873" s="18"/>
      <c r="F3873" s="18"/>
    </row>
    <row r="3874" spans="5:6" ht="15" customHeight="1" x14ac:dyDescent="0.2">
      <c r="E3874" s="18"/>
      <c r="F3874" s="18"/>
    </row>
    <row r="3875" spans="5:6" ht="15" customHeight="1" x14ac:dyDescent="0.2">
      <c r="E3875" s="18"/>
      <c r="F3875" s="18"/>
    </row>
    <row r="3876" spans="5:6" ht="15" customHeight="1" x14ac:dyDescent="0.2">
      <c r="E3876" s="18"/>
      <c r="F3876" s="18"/>
    </row>
    <row r="3877" spans="5:6" ht="15" customHeight="1" x14ac:dyDescent="0.2">
      <c r="E3877" s="18"/>
      <c r="F3877" s="18"/>
    </row>
    <row r="3878" spans="5:6" ht="15" customHeight="1" x14ac:dyDescent="0.2">
      <c r="E3878" s="18"/>
      <c r="F3878" s="18"/>
    </row>
    <row r="3879" spans="5:6" ht="15" customHeight="1" x14ac:dyDescent="0.2">
      <c r="E3879" s="18"/>
      <c r="F3879" s="18"/>
    </row>
    <row r="3880" spans="5:6" ht="15" customHeight="1" x14ac:dyDescent="0.2">
      <c r="E3880" s="18"/>
      <c r="F3880" s="18"/>
    </row>
    <row r="3881" spans="5:6" ht="15" customHeight="1" x14ac:dyDescent="0.2">
      <c r="E3881" s="18"/>
      <c r="F3881" s="18"/>
    </row>
    <row r="3882" spans="5:6" ht="15" customHeight="1" x14ac:dyDescent="0.2">
      <c r="E3882" s="18"/>
      <c r="F3882" s="18"/>
    </row>
    <row r="3883" spans="5:6" ht="15" customHeight="1" x14ac:dyDescent="0.2">
      <c r="E3883" s="18"/>
      <c r="F3883" s="18"/>
    </row>
    <row r="3884" spans="5:6" ht="15" customHeight="1" x14ac:dyDescent="0.2">
      <c r="E3884" s="18"/>
      <c r="F3884" s="18"/>
    </row>
    <row r="3885" spans="5:6" ht="15" customHeight="1" x14ac:dyDescent="0.2">
      <c r="E3885" s="18"/>
      <c r="F3885" s="18"/>
    </row>
    <row r="3886" spans="5:6" ht="15" customHeight="1" x14ac:dyDescent="0.2">
      <c r="E3886" s="18"/>
      <c r="F3886" s="18"/>
    </row>
    <row r="3887" spans="5:6" ht="15" customHeight="1" x14ac:dyDescent="0.2">
      <c r="E3887" s="18"/>
      <c r="F3887" s="18"/>
    </row>
    <row r="3888" spans="5:6" ht="15" customHeight="1" x14ac:dyDescent="0.2">
      <c r="E3888" s="18"/>
      <c r="F3888" s="18"/>
    </row>
    <row r="3889" spans="5:6" ht="15" customHeight="1" x14ac:dyDescent="0.2">
      <c r="E3889" s="18"/>
      <c r="F3889" s="18"/>
    </row>
    <row r="3890" spans="5:6" ht="15" customHeight="1" x14ac:dyDescent="0.2">
      <c r="E3890" s="18"/>
      <c r="F3890" s="18"/>
    </row>
    <row r="3891" spans="5:6" ht="15" customHeight="1" x14ac:dyDescent="0.2">
      <c r="E3891" s="18"/>
      <c r="F3891" s="18"/>
    </row>
    <row r="3892" spans="5:6" ht="15" customHeight="1" x14ac:dyDescent="0.2">
      <c r="E3892" s="18"/>
      <c r="F3892" s="18"/>
    </row>
    <row r="3893" spans="5:6" ht="15" customHeight="1" x14ac:dyDescent="0.2">
      <c r="E3893" s="18"/>
      <c r="F3893" s="18"/>
    </row>
    <row r="3894" spans="5:6" ht="15" customHeight="1" x14ac:dyDescent="0.2">
      <c r="E3894" s="18"/>
      <c r="F3894" s="18"/>
    </row>
    <row r="3895" spans="5:6" ht="15" customHeight="1" x14ac:dyDescent="0.2">
      <c r="E3895" s="18"/>
      <c r="F3895" s="18"/>
    </row>
    <row r="3896" spans="5:6" ht="15" customHeight="1" x14ac:dyDescent="0.2">
      <c r="E3896" s="18"/>
      <c r="F3896" s="18"/>
    </row>
    <row r="3897" spans="5:6" ht="15" customHeight="1" x14ac:dyDescent="0.2">
      <c r="E3897" s="18"/>
      <c r="F3897" s="18"/>
    </row>
    <row r="3898" spans="5:6" ht="15" customHeight="1" x14ac:dyDescent="0.2">
      <c r="E3898" s="18"/>
      <c r="F3898" s="18"/>
    </row>
    <row r="3899" spans="5:6" ht="15" customHeight="1" x14ac:dyDescent="0.2">
      <c r="E3899" s="18"/>
      <c r="F3899" s="18"/>
    </row>
    <row r="3900" spans="5:6" ht="15" customHeight="1" x14ac:dyDescent="0.2">
      <c r="E3900" s="18"/>
      <c r="F3900" s="18"/>
    </row>
    <row r="3901" spans="5:6" ht="15" customHeight="1" x14ac:dyDescent="0.2">
      <c r="E3901" s="18"/>
      <c r="F3901" s="18"/>
    </row>
    <row r="3902" spans="5:6" ht="15" customHeight="1" x14ac:dyDescent="0.2">
      <c r="E3902" s="18"/>
      <c r="F3902" s="18"/>
    </row>
    <row r="3903" spans="5:6" ht="15" customHeight="1" x14ac:dyDescent="0.2">
      <c r="E3903" s="18"/>
      <c r="F3903" s="18"/>
    </row>
    <row r="3904" spans="5:6" ht="15" customHeight="1" x14ac:dyDescent="0.2">
      <c r="E3904" s="18"/>
      <c r="F3904" s="18"/>
    </row>
    <row r="3905" spans="5:6" ht="15" customHeight="1" x14ac:dyDescent="0.2">
      <c r="E3905" s="18"/>
      <c r="F3905" s="18"/>
    </row>
    <row r="3906" spans="5:6" ht="15" customHeight="1" x14ac:dyDescent="0.2">
      <c r="E3906" s="18"/>
      <c r="F3906" s="18"/>
    </row>
    <row r="3907" spans="5:6" ht="15" customHeight="1" x14ac:dyDescent="0.2">
      <c r="E3907" s="18"/>
      <c r="F3907" s="18"/>
    </row>
    <row r="3908" spans="5:6" ht="15" customHeight="1" x14ac:dyDescent="0.2">
      <c r="E3908" s="18"/>
      <c r="F3908" s="18"/>
    </row>
    <row r="3909" spans="5:6" ht="15" customHeight="1" x14ac:dyDescent="0.2">
      <c r="E3909" s="18"/>
      <c r="F3909" s="18"/>
    </row>
    <row r="3910" spans="5:6" ht="15" customHeight="1" x14ac:dyDescent="0.2">
      <c r="E3910" s="18"/>
      <c r="F3910" s="18"/>
    </row>
    <row r="3911" spans="5:6" ht="15" customHeight="1" x14ac:dyDescent="0.2">
      <c r="E3911" s="18"/>
      <c r="F3911" s="18"/>
    </row>
    <row r="3912" spans="5:6" ht="15" customHeight="1" x14ac:dyDescent="0.2">
      <c r="E3912" s="18"/>
      <c r="F3912" s="18"/>
    </row>
    <row r="3913" spans="5:6" ht="15" customHeight="1" x14ac:dyDescent="0.2">
      <c r="E3913" s="18"/>
      <c r="F3913" s="18"/>
    </row>
    <row r="3914" spans="5:6" ht="15" customHeight="1" x14ac:dyDescent="0.2">
      <c r="E3914" s="18"/>
      <c r="F3914" s="18"/>
    </row>
    <row r="3915" spans="5:6" ht="15" customHeight="1" x14ac:dyDescent="0.2">
      <c r="E3915" s="18"/>
      <c r="F3915" s="18"/>
    </row>
    <row r="3916" spans="5:6" ht="15" customHeight="1" x14ac:dyDescent="0.2">
      <c r="E3916" s="18"/>
      <c r="F3916" s="18"/>
    </row>
    <row r="3917" spans="5:6" ht="15" customHeight="1" x14ac:dyDescent="0.2">
      <c r="E3917" s="18"/>
      <c r="F3917" s="18"/>
    </row>
    <row r="3918" spans="5:6" ht="15" customHeight="1" x14ac:dyDescent="0.2">
      <c r="E3918" s="18"/>
      <c r="F3918" s="18"/>
    </row>
    <row r="3919" spans="5:6" ht="15" customHeight="1" x14ac:dyDescent="0.2">
      <c r="E3919" s="18"/>
      <c r="F3919" s="18"/>
    </row>
    <row r="3920" spans="5:6" ht="15" customHeight="1" x14ac:dyDescent="0.2">
      <c r="E3920" s="18"/>
      <c r="F3920" s="18"/>
    </row>
    <row r="3921" spans="5:6" ht="15" customHeight="1" x14ac:dyDescent="0.2">
      <c r="E3921" s="18"/>
      <c r="F3921" s="18"/>
    </row>
    <row r="3922" spans="5:6" ht="15" customHeight="1" x14ac:dyDescent="0.2">
      <c r="E3922" s="18"/>
      <c r="F3922" s="18"/>
    </row>
    <row r="3923" spans="5:6" ht="15" customHeight="1" x14ac:dyDescent="0.2">
      <c r="E3923" s="18"/>
      <c r="F3923" s="18"/>
    </row>
    <row r="3924" spans="5:6" ht="15" customHeight="1" x14ac:dyDescent="0.2">
      <c r="E3924" s="18"/>
      <c r="F3924" s="18"/>
    </row>
    <row r="3925" spans="5:6" ht="15" customHeight="1" x14ac:dyDescent="0.2">
      <c r="E3925" s="18"/>
      <c r="F3925" s="18"/>
    </row>
    <row r="3926" spans="5:6" ht="15" customHeight="1" x14ac:dyDescent="0.2">
      <c r="E3926" s="18"/>
      <c r="F3926" s="18"/>
    </row>
    <row r="3927" spans="5:6" ht="15" customHeight="1" x14ac:dyDescent="0.2">
      <c r="E3927" s="18"/>
      <c r="F3927" s="18"/>
    </row>
    <row r="3928" spans="5:6" ht="15" customHeight="1" x14ac:dyDescent="0.2">
      <c r="E3928" s="18"/>
      <c r="F3928" s="18"/>
    </row>
    <row r="3929" spans="5:6" ht="15" customHeight="1" x14ac:dyDescent="0.2">
      <c r="E3929" s="18"/>
      <c r="F3929" s="18"/>
    </row>
    <row r="3930" spans="5:6" ht="15" customHeight="1" x14ac:dyDescent="0.2">
      <c r="E3930" s="18"/>
      <c r="F3930" s="18"/>
    </row>
    <row r="3931" spans="5:6" ht="15" customHeight="1" x14ac:dyDescent="0.2">
      <c r="E3931" s="18"/>
      <c r="F3931" s="18"/>
    </row>
    <row r="3932" spans="5:6" ht="15" customHeight="1" x14ac:dyDescent="0.2">
      <c r="E3932" s="18"/>
      <c r="F3932" s="18"/>
    </row>
    <row r="3933" spans="5:6" ht="15" customHeight="1" x14ac:dyDescent="0.2">
      <c r="E3933" s="18"/>
      <c r="F3933" s="18"/>
    </row>
    <row r="3934" spans="5:6" ht="15" customHeight="1" x14ac:dyDescent="0.2">
      <c r="E3934" s="18"/>
      <c r="F3934" s="18"/>
    </row>
    <row r="3935" spans="5:6" ht="15" customHeight="1" x14ac:dyDescent="0.2">
      <c r="E3935" s="18"/>
      <c r="F3935" s="18"/>
    </row>
    <row r="3936" spans="5:6" ht="15" customHeight="1" x14ac:dyDescent="0.2">
      <c r="E3936" s="18"/>
      <c r="F3936" s="18"/>
    </row>
    <row r="3937" spans="5:6" ht="15" customHeight="1" x14ac:dyDescent="0.2">
      <c r="E3937" s="18"/>
      <c r="F3937" s="18"/>
    </row>
    <row r="3938" spans="5:6" ht="15" customHeight="1" x14ac:dyDescent="0.2">
      <c r="E3938" s="18"/>
      <c r="F3938" s="18"/>
    </row>
    <row r="3939" spans="5:6" ht="15" customHeight="1" x14ac:dyDescent="0.2">
      <c r="E3939" s="18"/>
      <c r="F3939" s="18"/>
    </row>
    <row r="3940" spans="5:6" ht="15" customHeight="1" x14ac:dyDescent="0.2">
      <c r="E3940" s="18"/>
      <c r="F3940" s="18"/>
    </row>
    <row r="3941" spans="5:6" ht="15" customHeight="1" x14ac:dyDescent="0.2">
      <c r="E3941" s="18"/>
      <c r="F3941" s="18"/>
    </row>
    <row r="3942" spans="5:6" ht="15" customHeight="1" x14ac:dyDescent="0.2">
      <c r="E3942" s="18"/>
      <c r="F3942" s="18"/>
    </row>
    <row r="3943" spans="5:6" ht="15" customHeight="1" x14ac:dyDescent="0.2">
      <c r="E3943" s="18"/>
      <c r="F3943" s="18"/>
    </row>
    <row r="3944" spans="5:6" ht="15" customHeight="1" x14ac:dyDescent="0.2">
      <c r="E3944" s="18"/>
      <c r="F3944" s="18"/>
    </row>
    <row r="3945" spans="5:6" ht="15" customHeight="1" x14ac:dyDescent="0.2">
      <c r="E3945" s="18"/>
      <c r="F3945" s="18"/>
    </row>
    <row r="3946" spans="5:6" ht="15" customHeight="1" x14ac:dyDescent="0.2">
      <c r="E3946" s="18"/>
      <c r="F3946" s="18"/>
    </row>
    <row r="3947" spans="5:6" ht="15" customHeight="1" x14ac:dyDescent="0.2">
      <c r="E3947" s="18"/>
      <c r="F3947" s="18"/>
    </row>
    <row r="3948" spans="5:6" ht="15" customHeight="1" x14ac:dyDescent="0.2">
      <c r="E3948" s="18"/>
      <c r="F3948" s="18"/>
    </row>
    <row r="3949" spans="5:6" ht="15" customHeight="1" x14ac:dyDescent="0.2">
      <c r="E3949" s="18"/>
      <c r="F3949" s="18"/>
    </row>
    <row r="3950" spans="5:6" ht="15" customHeight="1" x14ac:dyDescent="0.2">
      <c r="E3950" s="18"/>
      <c r="F3950" s="18"/>
    </row>
    <row r="3951" spans="5:6" ht="15" customHeight="1" x14ac:dyDescent="0.2">
      <c r="E3951" s="18"/>
      <c r="F3951" s="18"/>
    </row>
    <row r="3952" spans="5:6" ht="15" customHeight="1" x14ac:dyDescent="0.2">
      <c r="E3952" s="18"/>
      <c r="F3952" s="18"/>
    </row>
    <row r="3953" spans="5:6" ht="15" customHeight="1" x14ac:dyDescent="0.2">
      <c r="E3953" s="18"/>
      <c r="F3953" s="18"/>
    </row>
    <row r="3954" spans="5:6" ht="15" customHeight="1" x14ac:dyDescent="0.2">
      <c r="E3954" s="18"/>
      <c r="F3954" s="18"/>
    </row>
    <row r="3955" spans="5:6" ht="15" customHeight="1" x14ac:dyDescent="0.2">
      <c r="E3955" s="18"/>
      <c r="F3955" s="18"/>
    </row>
    <row r="3956" spans="5:6" ht="15" customHeight="1" x14ac:dyDescent="0.2">
      <c r="E3956" s="18"/>
      <c r="F3956" s="18"/>
    </row>
    <row r="3957" spans="5:6" ht="15" customHeight="1" x14ac:dyDescent="0.2">
      <c r="E3957" s="18"/>
      <c r="F3957" s="18"/>
    </row>
    <row r="3958" spans="5:6" ht="15" customHeight="1" x14ac:dyDescent="0.2">
      <c r="E3958" s="18"/>
      <c r="F3958" s="18"/>
    </row>
    <row r="3959" spans="5:6" ht="15" customHeight="1" x14ac:dyDescent="0.2">
      <c r="E3959" s="18"/>
      <c r="F3959" s="18"/>
    </row>
    <row r="3960" spans="5:6" ht="15" customHeight="1" x14ac:dyDescent="0.2">
      <c r="E3960" s="18"/>
      <c r="F3960" s="18"/>
    </row>
    <row r="3961" spans="5:6" ht="15" customHeight="1" x14ac:dyDescent="0.2">
      <c r="E3961" s="18"/>
      <c r="F3961" s="18"/>
    </row>
    <row r="3962" spans="5:6" ht="15" customHeight="1" x14ac:dyDescent="0.2">
      <c r="E3962" s="18"/>
      <c r="F3962" s="18"/>
    </row>
    <row r="3963" spans="5:6" ht="15" customHeight="1" x14ac:dyDescent="0.2">
      <c r="E3963" s="18"/>
      <c r="F3963" s="18"/>
    </row>
    <row r="3964" spans="5:6" ht="15" customHeight="1" x14ac:dyDescent="0.2">
      <c r="E3964" s="18"/>
      <c r="F3964" s="18"/>
    </row>
    <row r="3965" spans="5:6" ht="15" customHeight="1" x14ac:dyDescent="0.2">
      <c r="E3965" s="18"/>
      <c r="F3965" s="18"/>
    </row>
    <row r="3966" spans="5:6" ht="15" customHeight="1" x14ac:dyDescent="0.2">
      <c r="E3966" s="18"/>
      <c r="F3966" s="18"/>
    </row>
    <row r="3967" spans="5:6" ht="15" customHeight="1" x14ac:dyDescent="0.2">
      <c r="E3967" s="18"/>
      <c r="F3967" s="18"/>
    </row>
    <row r="3968" spans="5:6" ht="15" customHeight="1" x14ac:dyDescent="0.2">
      <c r="E3968" s="18"/>
      <c r="F3968" s="18"/>
    </row>
    <row r="3969" spans="5:6" ht="15" customHeight="1" x14ac:dyDescent="0.2">
      <c r="E3969" s="18"/>
      <c r="F3969" s="18"/>
    </row>
    <row r="3970" spans="5:6" ht="15" customHeight="1" x14ac:dyDescent="0.2">
      <c r="E3970" s="18"/>
      <c r="F3970" s="18"/>
    </row>
    <row r="3971" spans="5:6" ht="15" customHeight="1" x14ac:dyDescent="0.2">
      <c r="E3971" s="18"/>
      <c r="F3971" s="18"/>
    </row>
    <row r="3972" spans="5:6" ht="15" customHeight="1" x14ac:dyDescent="0.2">
      <c r="E3972" s="18"/>
      <c r="F3972" s="18"/>
    </row>
    <row r="3973" spans="5:6" ht="15" customHeight="1" x14ac:dyDescent="0.2">
      <c r="E3973" s="18"/>
      <c r="F3973" s="18"/>
    </row>
    <row r="3974" spans="5:6" ht="15" customHeight="1" x14ac:dyDescent="0.2">
      <c r="E3974" s="18"/>
      <c r="F3974" s="18"/>
    </row>
    <row r="3975" spans="5:6" ht="15" customHeight="1" x14ac:dyDescent="0.2">
      <c r="E3975" s="18"/>
      <c r="F3975" s="18"/>
    </row>
    <row r="3976" spans="5:6" ht="15" customHeight="1" x14ac:dyDescent="0.2">
      <c r="E3976" s="18"/>
      <c r="F3976" s="18"/>
    </row>
    <row r="3977" spans="5:6" ht="15" customHeight="1" x14ac:dyDescent="0.2">
      <c r="E3977" s="18"/>
      <c r="F3977" s="18"/>
    </row>
    <row r="3978" spans="5:6" ht="15" customHeight="1" x14ac:dyDescent="0.2">
      <c r="E3978" s="18"/>
      <c r="F3978" s="18"/>
    </row>
    <row r="3979" spans="5:6" ht="15" customHeight="1" x14ac:dyDescent="0.2">
      <c r="E3979" s="18"/>
      <c r="F3979" s="18"/>
    </row>
    <row r="3980" spans="5:6" ht="15" customHeight="1" x14ac:dyDescent="0.2">
      <c r="E3980" s="18"/>
      <c r="F3980" s="18"/>
    </row>
    <row r="3981" spans="5:6" ht="15" customHeight="1" x14ac:dyDescent="0.2">
      <c r="E3981" s="18"/>
      <c r="F3981" s="18"/>
    </row>
    <row r="3982" spans="5:6" ht="15" customHeight="1" x14ac:dyDescent="0.2">
      <c r="E3982" s="18"/>
      <c r="F3982" s="18"/>
    </row>
    <row r="3983" spans="5:6" ht="15" customHeight="1" x14ac:dyDescent="0.2">
      <c r="E3983" s="18"/>
      <c r="F3983" s="18"/>
    </row>
    <row r="3984" spans="5:6" ht="15" customHeight="1" x14ac:dyDescent="0.2">
      <c r="E3984" s="18"/>
      <c r="F3984" s="18"/>
    </row>
    <row r="3985" spans="5:6" ht="15" customHeight="1" x14ac:dyDescent="0.2">
      <c r="E3985" s="18"/>
      <c r="F3985" s="18"/>
    </row>
    <row r="3986" spans="5:6" ht="15" customHeight="1" x14ac:dyDescent="0.2">
      <c r="E3986" s="18"/>
      <c r="F3986" s="18"/>
    </row>
    <row r="3987" spans="5:6" ht="15" customHeight="1" x14ac:dyDescent="0.2">
      <c r="E3987" s="18"/>
      <c r="F3987" s="18"/>
    </row>
    <row r="3988" spans="5:6" ht="15" customHeight="1" x14ac:dyDescent="0.2">
      <c r="E3988" s="18"/>
      <c r="F3988" s="18"/>
    </row>
    <row r="3989" spans="5:6" ht="15" customHeight="1" x14ac:dyDescent="0.2">
      <c r="E3989" s="18"/>
      <c r="F3989" s="18"/>
    </row>
    <row r="3990" spans="5:6" ht="15" customHeight="1" x14ac:dyDescent="0.2">
      <c r="E3990" s="18"/>
      <c r="F3990" s="18"/>
    </row>
    <row r="3991" spans="5:6" ht="15" customHeight="1" x14ac:dyDescent="0.2">
      <c r="E3991" s="18"/>
      <c r="F3991" s="18"/>
    </row>
    <row r="3992" spans="5:6" ht="15" customHeight="1" x14ac:dyDescent="0.2">
      <c r="E3992" s="18"/>
      <c r="F3992" s="18"/>
    </row>
    <row r="3993" spans="5:6" ht="15" customHeight="1" x14ac:dyDescent="0.2">
      <c r="E3993" s="18"/>
      <c r="F3993" s="18"/>
    </row>
    <row r="3994" spans="5:6" ht="15" customHeight="1" x14ac:dyDescent="0.2">
      <c r="E3994" s="18"/>
      <c r="F3994" s="18"/>
    </row>
    <row r="3995" spans="5:6" ht="15" customHeight="1" x14ac:dyDescent="0.2">
      <c r="E3995" s="18"/>
      <c r="F3995" s="18"/>
    </row>
    <row r="3996" spans="5:6" ht="15" customHeight="1" x14ac:dyDescent="0.2">
      <c r="E3996" s="18"/>
      <c r="F3996" s="18"/>
    </row>
    <row r="3997" spans="5:6" ht="15" customHeight="1" x14ac:dyDescent="0.2">
      <c r="E3997" s="18"/>
      <c r="F3997" s="18"/>
    </row>
    <row r="3998" spans="5:6" ht="15" customHeight="1" x14ac:dyDescent="0.2">
      <c r="E3998" s="18"/>
      <c r="F3998" s="18"/>
    </row>
    <row r="3999" spans="5:6" ht="15" customHeight="1" x14ac:dyDescent="0.2">
      <c r="E3999" s="18"/>
      <c r="F3999" s="18"/>
    </row>
    <row r="4000" spans="5:6" ht="15" customHeight="1" x14ac:dyDescent="0.2">
      <c r="E4000" s="18"/>
      <c r="F4000" s="18"/>
    </row>
    <row r="4001" spans="5:6" ht="15" customHeight="1" x14ac:dyDescent="0.2">
      <c r="E4001" s="18"/>
      <c r="F4001" s="18"/>
    </row>
    <row r="4002" spans="5:6" ht="15" customHeight="1" x14ac:dyDescent="0.2">
      <c r="E4002" s="18"/>
      <c r="F4002" s="18"/>
    </row>
    <row r="4003" spans="5:6" ht="15" customHeight="1" x14ac:dyDescent="0.2">
      <c r="E4003" s="18"/>
      <c r="F4003" s="18"/>
    </row>
    <row r="4004" spans="5:6" ht="15" customHeight="1" x14ac:dyDescent="0.2">
      <c r="E4004" s="18"/>
      <c r="F4004" s="18"/>
    </row>
    <row r="4005" spans="5:6" ht="15" customHeight="1" x14ac:dyDescent="0.2">
      <c r="E4005" s="18"/>
      <c r="F4005" s="18"/>
    </row>
    <row r="4006" spans="5:6" ht="15" customHeight="1" x14ac:dyDescent="0.2">
      <c r="E4006" s="18"/>
      <c r="F4006" s="18"/>
    </row>
    <row r="4007" spans="5:6" ht="15" customHeight="1" x14ac:dyDescent="0.2">
      <c r="E4007" s="18"/>
      <c r="F4007" s="18"/>
    </row>
    <row r="4008" spans="5:6" ht="15" customHeight="1" x14ac:dyDescent="0.2">
      <c r="E4008" s="18"/>
      <c r="F4008" s="18"/>
    </row>
    <row r="4009" spans="5:6" ht="15" customHeight="1" x14ac:dyDescent="0.2">
      <c r="E4009" s="18"/>
      <c r="F4009" s="18"/>
    </row>
    <row r="4010" spans="5:6" ht="15" customHeight="1" x14ac:dyDescent="0.2">
      <c r="E4010" s="18"/>
      <c r="F4010" s="18"/>
    </row>
    <row r="4011" spans="5:6" ht="15" customHeight="1" x14ac:dyDescent="0.2">
      <c r="E4011" s="18"/>
      <c r="F4011" s="18"/>
    </row>
    <row r="4012" spans="5:6" ht="15" customHeight="1" x14ac:dyDescent="0.2">
      <c r="E4012" s="18"/>
      <c r="F4012" s="18"/>
    </row>
    <row r="4013" spans="5:6" ht="15" customHeight="1" x14ac:dyDescent="0.2">
      <c r="E4013" s="18"/>
      <c r="F4013" s="18"/>
    </row>
    <row r="4014" spans="5:6" ht="15" customHeight="1" x14ac:dyDescent="0.2">
      <c r="E4014" s="18"/>
      <c r="F4014" s="18"/>
    </row>
    <row r="4015" spans="5:6" ht="15" customHeight="1" x14ac:dyDescent="0.2">
      <c r="E4015" s="18"/>
      <c r="F4015" s="18"/>
    </row>
    <row r="4016" spans="5:6" ht="15" customHeight="1" x14ac:dyDescent="0.2">
      <c r="E4016" s="18"/>
      <c r="F4016" s="18"/>
    </row>
    <row r="4017" spans="5:6" ht="15" customHeight="1" x14ac:dyDescent="0.2">
      <c r="E4017" s="18"/>
      <c r="F4017" s="18"/>
    </row>
    <row r="4018" spans="5:6" ht="15" customHeight="1" x14ac:dyDescent="0.2">
      <c r="E4018" s="18"/>
      <c r="F4018" s="18"/>
    </row>
    <row r="4019" spans="5:6" ht="15" customHeight="1" x14ac:dyDescent="0.2">
      <c r="E4019" s="18"/>
      <c r="F4019" s="18"/>
    </row>
    <row r="4020" spans="5:6" ht="15" customHeight="1" x14ac:dyDescent="0.2">
      <c r="E4020" s="18"/>
      <c r="F4020" s="18"/>
    </row>
    <row r="4021" spans="5:6" ht="15" customHeight="1" x14ac:dyDescent="0.2">
      <c r="E4021" s="18"/>
      <c r="F4021" s="18"/>
    </row>
    <row r="4022" spans="5:6" ht="15" customHeight="1" x14ac:dyDescent="0.2">
      <c r="E4022" s="18"/>
      <c r="F4022" s="18"/>
    </row>
    <row r="4023" spans="5:6" ht="15" customHeight="1" x14ac:dyDescent="0.2">
      <c r="E4023" s="18"/>
      <c r="F4023" s="18"/>
    </row>
    <row r="4024" spans="5:6" ht="15" customHeight="1" x14ac:dyDescent="0.2">
      <c r="E4024" s="18"/>
      <c r="F4024" s="18"/>
    </row>
    <row r="4025" spans="5:6" ht="15" customHeight="1" x14ac:dyDescent="0.2">
      <c r="E4025" s="18"/>
      <c r="F4025" s="18"/>
    </row>
    <row r="4026" spans="5:6" ht="15" customHeight="1" x14ac:dyDescent="0.2">
      <c r="E4026" s="18"/>
      <c r="F4026" s="18"/>
    </row>
    <row r="4027" spans="5:6" ht="15" customHeight="1" x14ac:dyDescent="0.2">
      <c r="E4027" s="18"/>
      <c r="F4027" s="18"/>
    </row>
    <row r="4028" spans="5:6" ht="15" customHeight="1" x14ac:dyDescent="0.2">
      <c r="E4028" s="18"/>
      <c r="F4028" s="18"/>
    </row>
    <row r="4029" spans="5:6" ht="15" customHeight="1" x14ac:dyDescent="0.2">
      <c r="E4029" s="18"/>
      <c r="F4029" s="18"/>
    </row>
    <row r="4030" spans="5:6" ht="15" customHeight="1" x14ac:dyDescent="0.2">
      <c r="E4030" s="18"/>
      <c r="F4030" s="18"/>
    </row>
    <row r="4031" spans="5:6" ht="15" customHeight="1" x14ac:dyDescent="0.2">
      <c r="E4031" s="18"/>
      <c r="F4031" s="18"/>
    </row>
    <row r="4032" spans="5:6" ht="15" customHeight="1" x14ac:dyDescent="0.2">
      <c r="E4032" s="18"/>
      <c r="F4032" s="18"/>
    </row>
    <row r="4033" spans="5:6" ht="15" customHeight="1" x14ac:dyDescent="0.2">
      <c r="E4033" s="18"/>
      <c r="F4033" s="18"/>
    </row>
    <row r="4034" spans="5:6" ht="15" customHeight="1" x14ac:dyDescent="0.2">
      <c r="E4034" s="18"/>
      <c r="F4034" s="18"/>
    </row>
    <row r="4035" spans="5:6" ht="15" customHeight="1" x14ac:dyDescent="0.2">
      <c r="E4035" s="18"/>
      <c r="F4035" s="18"/>
    </row>
    <row r="4036" spans="5:6" ht="15" customHeight="1" x14ac:dyDescent="0.2">
      <c r="E4036" s="18"/>
      <c r="F4036" s="18"/>
    </row>
    <row r="4037" spans="5:6" ht="15" customHeight="1" x14ac:dyDescent="0.2">
      <c r="E4037" s="18"/>
      <c r="F4037" s="18"/>
    </row>
    <row r="4038" spans="5:6" ht="15" customHeight="1" x14ac:dyDescent="0.2">
      <c r="E4038" s="18"/>
      <c r="F4038" s="18"/>
    </row>
    <row r="4039" spans="5:6" ht="15" customHeight="1" x14ac:dyDescent="0.2">
      <c r="E4039" s="18"/>
      <c r="F4039" s="18"/>
    </row>
    <row r="4040" spans="5:6" ht="15" customHeight="1" x14ac:dyDescent="0.2">
      <c r="E4040" s="18"/>
      <c r="F4040" s="18"/>
    </row>
    <row r="4041" spans="5:6" ht="15" customHeight="1" x14ac:dyDescent="0.2">
      <c r="E4041" s="18"/>
      <c r="F4041" s="18"/>
    </row>
    <row r="4042" spans="5:6" ht="15" customHeight="1" x14ac:dyDescent="0.2">
      <c r="E4042" s="18"/>
      <c r="F4042" s="18"/>
    </row>
    <row r="4043" spans="5:6" ht="15" customHeight="1" x14ac:dyDescent="0.2">
      <c r="E4043" s="18"/>
      <c r="F4043" s="18"/>
    </row>
    <row r="4044" spans="5:6" ht="15" customHeight="1" x14ac:dyDescent="0.2">
      <c r="E4044" s="18"/>
      <c r="F4044" s="18"/>
    </row>
    <row r="4045" spans="5:6" ht="15" customHeight="1" x14ac:dyDescent="0.2">
      <c r="E4045" s="18"/>
      <c r="F4045" s="18"/>
    </row>
    <row r="4046" spans="5:6" ht="15" customHeight="1" x14ac:dyDescent="0.2">
      <c r="E4046" s="18"/>
      <c r="F4046" s="18"/>
    </row>
    <row r="4047" spans="5:6" ht="15" customHeight="1" x14ac:dyDescent="0.2">
      <c r="E4047" s="18"/>
      <c r="F4047" s="18"/>
    </row>
    <row r="4048" spans="5:6" ht="15" customHeight="1" x14ac:dyDescent="0.2">
      <c r="E4048" s="18"/>
      <c r="F4048" s="18"/>
    </row>
    <row r="4049" spans="5:6" ht="15" customHeight="1" x14ac:dyDescent="0.2">
      <c r="E4049" s="18"/>
      <c r="F4049" s="18"/>
    </row>
    <row r="4050" spans="5:6" ht="15" customHeight="1" x14ac:dyDescent="0.2">
      <c r="E4050" s="18"/>
      <c r="F4050" s="18"/>
    </row>
    <row r="4051" spans="5:6" ht="15" customHeight="1" x14ac:dyDescent="0.2">
      <c r="E4051" s="18"/>
      <c r="F4051" s="18"/>
    </row>
    <row r="4052" spans="5:6" ht="15" customHeight="1" x14ac:dyDescent="0.2">
      <c r="E4052" s="18"/>
      <c r="F4052" s="18"/>
    </row>
    <row r="4053" spans="5:6" ht="15" customHeight="1" x14ac:dyDescent="0.2">
      <c r="E4053" s="18"/>
      <c r="F4053" s="18"/>
    </row>
    <row r="4054" spans="5:6" ht="15" customHeight="1" x14ac:dyDescent="0.2">
      <c r="E4054" s="18"/>
      <c r="F4054" s="18"/>
    </row>
    <row r="4055" spans="5:6" ht="15" customHeight="1" x14ac:dyDescent="0.2">
      <c r="E4055" s="18"/>
      <c r="F4055" s="18"/>
    </row>
    <row r="4056" spans="5:6" ht="15" customHeight="1" x14ac:dyDescent="0.2">
      <c r="E4056" s="18"/>
      <c r="F4056" s="18"/>
    </row>
    <row r="4057" spans="5:6" ht="15" customHeight="1" x14ac:dyDescent="0.2">
      <c r="E4057" s="18"/>
      <c r="F4057" s="18"/>
    </row>
    <row r="4058" spans="5:6" ht="15" customHeight="1" x14ac:dyDescent="0.2">
      <c r="E4058" s="18"/>
      <c r="F4058" s="18"/>
    </row>
    <row r="4059" spans="5:6" ht="15" customHeight="1" x14ac:dyDescent="0.2">
      <c r="E4059" s="18"/>
      <c r="F4059" s="18"/>
    </row>
    <row r="4060" spans="5:6" ht="15" customHeight="1" x14ac:dyDescent="0.2">
      <c r="E4060" s="18"/>
      <c r="F4060" s="18"/>
    </row>
    <row r="4061" spans="5:6" ht="15" customHeight="1" x14ac:dyDescent="0.2">
      <c r="E4061" s="18"/>
      <c r="F4061" s="18"/>
    </row>
    <row r="4062" spans="5:6" ht="15" customHeight="1" x14ac:dyDescent="0.2">
      <c r="E4062" s="18"/>
      <c r="F4062" s="18"/>
    </row>
    <row r="4063" spans="5:6" ht="15" customHeight="1" x14ac:dyDescent="0.2">
      <c r="E4063" s="18"/>
      <c r="F4063" s="18"/>
    </row>
    <row r="4064" spans="5:6" ht="15" customHeight="1" x14ac:dyDescent="0.2">
      <c r="E4064" s="18"/>
      <c r="F4064" s="18"/>
    </row>
    <row r="4065" spans="5:6" ht="15" customHeight="1" x14ac:dyDescent="0.2">
      <c r="E4065" s="18"/>
      <c r="F4065" s="18"/>
    </row>
    <row r="4066" spans="5:6" ht="15" customHeight="1" x14ac:dyDescent="0.2">
      <c r="E4066" s="18"/>
      <c r="F4066" s="18"/>
    </row>
    <row r="4067" spans="5:6" ht="15" customHeight="1" x14ac:dyDescent="0.2">
      <c r="E4067" s="18"/>
      <c r="F4067" s="18"/>
    </row>
    <row r="4068" spans="5:6" ht="15" customHeight="1" x14ac:dyDescent="0.2">
      <c r="E4068" s="18"/>
      <c r="F4068" s="18"/>
    </row>
    <row r="4069" spans="5:6" ht="15" customHeight="1" x14ac:dyDescent="0.2">
      <c r="E4069" s="18"/>
      <c r="F4069" s="18"/>
    </row>
    <row r="4070" spans="5:6" ht="15" customHeight="1" x14ac:dyDescent="0.2">
      <c r="E4070" s="18"/>
      <c r="F4070" s="18"/>
    </row>
    <row r="4071" spans="5:6" ht="15" customHeight="1" x14ac:dyDescent="0.2">
      <c r="E4071" s="18"/>
      <c r="F4071" s="18"/>
    </row>
    <row r="4072" spans="5:6" ht="15" customHeight="1" x14ac:dyDescent="0.2">
      <c r="E4072" s="18"/>
      <c r="F4072" s="18"/>
    </row>
    <row r="4073" spans="5:6" ht="15" customHeight="1" x14ac:dyDescent="0.2">
      <c r="E4073" s="18"/>
      <c r="F4073" s="18"/>
    </row>
    <row r="4074" spans="5:6" ht="15" customHeight="1" x14ac:dyDescent="0.2">
      <c r="E4074" s="18"/>
      <c r="F4074" s="18"/>
    </row>
    <row r="4075" spans="5:6" ht="15" customHeight="1" x14ac:dyDescent="0.2">
      <c r="E4075" s="18"/>
      <c r="F4075" s="18"/>
    </row>
    <row r="4076" spans="5:6" ht="15" customHeight="1" x14ac:dyDescent="0.2">
      <c r="E4076" s="18"/>
      <c r="F4076" s="18"/>
    </row>
    <row r="4077" spans="5:6" ht="15" customHeight="1" x14ac:dyDescent="0.2">
      <c r="E4077" s="18"/>
      <c r="F4077" s="18"/>
    </row>
    <row r="4078" spans="5:6" ht="15" customHeight="1" x14ac:dyDescent="0.2">
      <c r="E4078" s="18"/>
      <c r="F4078" s="18"/>
    </row>
    <row r="4079" spans="5:6" ht="15" customHeight="1" x14ac:dyDescent="0.2">
      <c r="E4079" s="18"/>
      <c r="F4079" s="18"/>
    </row>
    <row r="4080" spans="5:6" ht="15" customHeight="1" x14ac:dyDescent="0.2">
      <c r="E4080" s="18"/>
      <c r="F4080" s="18"/>
    </row>
    <row r="4081" spans="5:6" ht="15" customHeight="1" x14ac:dyDescent="0.2">
      <c r="E4081" s="18"/>
      <c r="F4081" s="18"/>
    </row>
    <row r="4082" spans="5:6" ht="15" customHeight="1" x14ac:dyDescent="0.2">
      <c r="E4082" s="18"/>
      <c r="F4082" s="18"/>
    </row>
    <row r="4083" spans="5:6" ht="15" customHeight="1" x14ac:dyDescent="0.2">
      <c r="E4083" s="18"/>
      <c r="F4083" s="18"/>
    </row>
    <row r="4084" spans="5:6" ht="15" customHeight="1" x14ac:dyDescent="0.2">
      <c r="E4084" s="18"/>
      <c r="F4084" s="18"/>
    </row>
    <row r="4085" spans="5:6" ht="15" customHeight="1" x14ac:dyDescent="0.2">
      <c r="E4085" s="18"/>
      <c r="F4085" s="18"/>
    </row>
    <row r="4086" spans="5:6" ht="15" customHeight="1" x14ac:dyDescent="0.2">
      <c r="E4086" s="18"/>
      <c r="F4086" s="18"/>
    </row>
    <row r="4087" spans="5:6" ht="15" customHeight="1" x14ac:dyDescent="0.2">
      <c r="E4087" s="18"/>
      <c r="F4087" s="18"/>
    </row>
    <row r="4088" spans="5:6" ht="15" customHeight="1" x14ac:dyDescent="0.2">
      <c r="E4088" s="18"/>
      <c r="F4088" s="18"/>
    </row>
    <row r="4089" spans="5:6" ht="15" customHeight="1" x14ac:dyDescent="0.2">
      <c r="E4089" s="18"/>
      <c r="F4089" s="18"/>
    </row>
    <row r="4090" spans="5:6" ht="15" customHeight="1" x14ac:dyDescent="0.2">
      <c r="E4090" s="18"/>
      <c r="F4090" s="18"/>
    </row>
    <row r="4091" spans="5:6" ht="15" customHeight="1" x14ac:dyDescent="0.2">
      <c r="E4091" s="18"/>
      <c r="F4091" s="18"/>
    </row>
    <row r="4092" spans="5:6" ht="15" customHeight="1" x14ac:dyDescent="0.2">
      <c r="E4092" s="18"/>
      <c r="F4092" s="18"/>
    </row>
    <row r="4093" spans="5:6" ht="15" customHeight="1" x14ac:dyDescent="0.2">
      <c r="E4093" s="18"/>
      <c r="F4093" s="18"/>
    </row>
    <row r="4094" spans="5:6" ht="15" customHeight="1" x14ac:dyDescent="0.2">
      <c r="E4094" s="18"/>
      <c r="F4094" s="18"/>
    </row>
    <row r="4095" spans="5:6" ht="15" customHeight="1" x14ac:dyDescent="0.2">
      <c r="E4095" s="18"/>
      <c r="F4095" s="18"/>
    </row>
    <row r="4096" spans="5:6" ht="15" customHeight="1" x14ac:dyDescent="0.2">
      <c r="E4096" s="18"/>
      <c r="F4096" s="18"/>
    </row>
    <row r="4097" spans="5:6" ht="15" customHeight="1" x14ac:dyDescent="0.2">
      <c r="E4097" s="18"/>
      <c r="F4097" s="18"/>
    </row>
    <row r="4098" spans="5:6" ht="15" customHeight="1" x14ac:dyDescent="0.2">
      <c r="E4098" s="18"/>
      <c r="F4098" s="18"/>
    </row>
    <row r="4099" spans="5:6" ht="15" customHeight="1" x14ac:dyDescent="0.2">
      <c r="E4099" s="18"/>
      <c r="F4099" s="18"/>
    </row>
    <row r="4100" spans="5:6" ht="15" customHeight="1" x14ac:dyDescent="0.2">
      <c r="E4100" s="18"/>
      <c r="F4100" s="18"/>
    </row>
    <row r="4101" spans="5:6" ht="15" customHeight="1" x14ac:dyDescent="0.2">
      <c r="E4101" s="18"/>
      <c r="F4101" s="18"/>
    </row>
    <row r="4102" spans="5:6" ht="15" customHeight="1" x14ac:dyDescent="0.2">
      <c r="E4102" s="18"/>
      <c r="F4102" s="18"/>
    </row>
    <row r="4103" spans="5:6" ht="15" customHeight="1" x14ac:dyDescent="0.2">
      <c r="E4103" s="18"/>
      <c r="F4103" s="18"/>
    </row>
    <row r="4104" spans="5:6" ht="15" customHeight="1" x14ac:dyDescent="0.2">
      <c r="E4104" s="18"/>
      <c r="F4104" s="18"/>
    </row>
    <row r="4105" spans="5:6" ht="15" customHeight="1" x14ac:dyDescent="0.2">
      <c r="E4105" s="18"/>
      <c r="F4105" s="18"/>
    </row>
    <row r="4106" spans="5:6" ht="15" customHeight="1" x14ac:dyDescent="0.2">
      <c r="E4106" s="18"/>
      <c r="F4106" s="18"/>
    </row>
    <row r="4107" spans="5:6" ht="15" customHeight="1" x14ac:dyDescent="0.2">
      <c r="E4107" s="18"/>
      <c r="F4107" s="18"/>
    </row>
    <row r="4108" spans="5:6" ht="15" customHeight="1" x14ac:dyDescent="0.2">
      <c r="E4108" s="18"/>
      <c r="F4108" s="18"/>
    </row>
    <row r="4109" spans="5:6" ht="15" customHeight="1" x14ac:dyDescent="0.2">
      <c r="E4109" s="18"/>
      <c r="F4109" s="18"/>
    </row>
    <row r="4110" spans="5:6" ht="15" customHeight="1" x14ac:dyDescent="0.2">
      <c r="E4110" s="18"/>
      <c r="F4110" s="18"/>
    </row>
    <row r="4111" spans="5:6" ht="15" customHeight="1" x14ac:dyDescent="0.2">
      <c r="E4111" s="18"/>
      <c r="F4111" s="18"/>
    </row>
    <row r="4112" spans="5:6" ht="15" customHeight="1" x14ac:dyDescent="0.2">
      <c r="E4112" s="18"/>
      <c r="F4112" s="18"/>
    </row>
    <row r="4113" spans="5:6" ht="15" customHeight="1" x14ac:dyDescent="0.2">
      <c r="E4113" s="18"/>
      <c r="F4113" s="18"/>
    </row>
    <row r="4114" spans="5:6" ht="15" customHeight="1" x14ac:dyDescent="0.2">
      <c r="E4114" s="18"/>
      <c r="F4114" s="18"/>
    </row>
    <row r="4115" spans="5:6" ht="15" customHeight="1" x14ac:dyDescent="0.2">
      <c r="E4115" s="18"/>
      <c r="F4115" s="18"/>
    </row>
    <row r="4116" spans="5:6" ht="15" customHeight="1" x14ac:dyDescent="0.2">
      <c r="E4116" s="18"/>
      <c r="F4116" s="18"/>
    </row>
    <row r="4117" spans="5:6" ht="15" customHeight="1" x14ac:dyDescent="0.2">
      <c r="E4117" s="18"/>
      <c r="F4117" s="18"/>
    </row>
    <row r="4118" spans="5:6" ht="15" customHeight="1" x14ac:dyDescent="0.2">
      <c r="E4118" s="18"/>
      <c r="F4118" s="18"/>
    </row>
    <row r="4119" spans="5:6" ht="15" customHeight="1" x14ac:dyDescent="0.2">
      <c r="E4119" s="18"/>
      <c r="F4119" s="18"/>
    </row>
    <row r="4120" spans="5:6" ht="15" customHeight="1" x14ac:dyDescent="0.2">
      <c r="E4120" s="18"/>
      <c r="F4120" s="18"/>
    </row>
    <row r="4121" spans="5:6" ht="15" customHeight="1" x14ac:dyDescent="0.2">
      <c r="E4121" s="18"/>
      <c r="F4121" s="18"/>
    </row>
    <row r="4122" spans="5:6" ht="15" customHeight="1" x14ac:dyDescent="0.2">
      <c r="E4122" s="18"/>
      <c r="F4122" s="18"/>
    </row>
    <row r="4123" spans="5:6" ht="15" customHeight="1" x14ac:dyDescent="0.2">
      <c r="E4123" s="18"/>
      <c r="F4123" s="18"/>
    </row>
    <row r="4124" spans="5:6" ht="15" customHeight="1" x14ac:dyDescent="0.2">
      <c r="E4124" s="18"/>
      <c r="F4124" s="18"/>
    </row>
    <row r="4125" spans="5:6" ht="15" customHeight="1" x14ac:dyDescent="0.2">
      <c r="E4125" s="18"/>
      <c r="F4125" s="18"/>
    </row>
    <row r="4126" spans="5:6" ht="15" customHeight="1" x14ac:dyDescent="0.2">
      <c r="E4126" s="18"/>
      <c r="F4126" s="18"/>
    </row>
    <row r="4127" spans="5:6" ht="15" customHeight="1" x14ac:dyDescent="0.2">
      <c r="E4127" s="18"/>
      <c r="F4127" s="18"/>
    </row>
    <row r="4128" spans="5:6" ht="15" customHeight="1" x14ac:dyDescent="0.2">
      <c r="E4128" s="18"/>
      <c r="F4128" s="18"/>
    </row>
    <row r="4129" spans="5:6" ht="15" customHeight="1" x14ac:dyDescent="0.2">
      <c r="E4129" s="18"/>
      <c r="F4129" s="18"/>
    </row>
    <row r="4130" spans="5:6" ht="15" customHeight="1" x14ac:dyDescent="0.2">
      <c r="E4130" s="18"/>
      <c r="F4130" s="18"/>
    </row>
    <row r="4131" spans="5:6" ht="15" customHeight="1" x14ac:dyDescent="0.2">
      <c r="E4131" s="18"/>
      <c r="F4131" s="18"/>
    </row>
    <row r="4132" spans="5:6" ht="15" customHeight="1" x14ac:dyDescent="0.2">
      <c r="E4132" s="18"/>
      <c r="F4132" s="18"/>
    </row>
    <row r="4133" spans="5:6" ht="15" customHeight="1" x14ac:dyDescent="0.2">
      <c r="E4133" s="18"/>
      <c r="F4133" s="18"/>
    </row>
    <row r="4134" spans="5:6" ht="15" customHeight="1" x14ac:dyDescent="0.2">
      <c r="E4134" s="18"/>
      <c r="F4134" s="18"/>
    </row>
    <row r="4135" spans="5:6" ht="15" customHeight="1" x14ac:dyDescent="0.2">
      <c r="E4135" s="18"/>
      <c r="F4135" s="18"/>
    </row>
    <row r="4136" spans="5:6" ht="15" customHeight="1" x14ac:dyDescent="0.2">
      <c r="E4136" s="18"/>
      <c r="F4136" s="18"/>
    </row>
    <row r="4137" spans="5:6" ht="15" customHeight="1" x14ac:dyDescent="0.2">
      <c r="E4137" s="18"/>
      <c r="F4137" s="18"/>
    </row>
    <row r="4138" spans="5:6" ht="15" customHeight="1" x14ac:dyDescent="0.2">
      <c r="E4138" s="18"/>
      <c r="F4138" s="18"/>
    </row>
    <row r="4139" spans="5:6" ht="15" customHeight="1" x14ac:dyDescent="0.2">
      <c r="E4139" s="18"/>
      <c r="F4139" s="18"/>
    </row>
    <row r="4140" spans="5:6" ht="15" customHeight="1" x14ac:dyDescent="0.2">
      <c r="E4140" s="18"/>
      <c r="F4140" s="18"/>
    </row>
    <row r="4141" spans="5:6" ht="15" customHeight="1" x14ac:dyDescent="0.2">
      <c r="E4141" s="18"/>
      <c r="F4141" s="18"/>
    </row>
    <row r="4142" spans="5:6" ht="15" customHeight="1" x14ac:dyDescent="0.2">
      <c r="E4142" s="18"/>
      <c r="F4142" s="18"/>
    </row>
    <row r="4143" spans="5:6" ht="15" customHeight="1" x14ac:dyDescent="0.2">
      <c r="E4143" s="18"/>
      <c r="F4143" s="18"/>
    </row>
    <row r="4144" spans="5:6" ht="15" customHeight="1" x14ac:dyDescent="0.2">
      <c r="E4144" s="18"/>
      <c r="F4144" s="18"/>
    </row>
    <row r="4145" spans="5:6" ht="15" customHeight="1" x14ac:dyDescent="0.2">
      <c r="E4145" s="18"/>
      <c r="F4145" s="18"/>
    </row>
    <row r="4146" spans="5:6" ht="15" customHeight="1" x14ac:dyDescent="0.2">
      <c r="E4146" s="18"/>
      <c r="F4146" s="18"/>
    </row>
    <row r="4147" spans="5:6" ht="15" customHeight="1" x14ac:dyDescent="0.2">
      <c r="E4147" s="18"/>
      <c r="F4147" s="18"/>
    </row>
    <row r="4148" spans="5:6" ht="15" customHeight="1" x14ac:dyDescent="0.2">
      <c r="E4148" s="18"/>
      <c r="F4148" s="18"/>
    </row>
    <row r="4149" spans="5:6" ht="15" customHeight="1" x14ac:dyDescent="0.2">
      <c r="E4149" s="18"/>
      <c r="F4149" s="18"/>
    </row>
    <row r="4150" spans="5:6" ht="15" customHeight="1" x14ac:dyDescent="0.2">
      <c r="E4150" s="18"/>
      <c r="F4150" s="18"/>
    </row>
    <row r="4151" spans="5:6" ht="15" customHeight="1" x14ac:dyDescent="0.2">
      <c r="E4151" s="18"/>
      <c r="F4151" s="18"/>
    </row>
    <row r="4152" spans="5:6" ht="15" customHeight="1" x14ac:dyDescent="0.2">
      <c r="E4152" s="18"/>
      <c r="F4152" s="18"/>
    </row>
    <row r="4153" spans="5:6" ht="15" customHeight="1" x14ac:dyDescent="0.2">
      <c r="E4153" s="18"/>
      <c r="F4153" s="18"/>
    </row>
    <row r="4154" spans="5:6" ht="15" customHeight="1" x14ac:dyDescent="0.2">
      <c r="E4154" s="18"/>
      <c r="F4154" s="18"/>
    </row>
    <row r="4155" spans="5:6" ht="15" customHeight="1" x14ac:dyDescent="0.2">
      <c r="E4155" s="18"/>
      <c r="F4155" s="18"/>
    </row>
    <row r="4156" spans="5:6" ht="15" customHeight="1" x14ac:dyDescent="0.2">
      <c r="E4156" s="18"/>
      <c r="F4156" s="18"/>
    </row>
    <row r="4157" spans="5:6" ht="15" customHeight="1" x14ac:dyDescent="0.2">
      <c r="E4157" s="18"/>
      <c r="F4157" s="18"/>
    </row>
    <row r="4158" spans="5:6" ht="15" customHeight="1" x14ac:dyDescent="0.2">
      <c r="E4158" s="18"/>
      <c r="F4158" s="18"/>
    </row>
    <row r="4159" spans="5:6" ht="15" customHeight="1" x14ac:dyDescent="0.2">
      <c r="E4159" s="18"/>
      <c r="F4159" s="18"/>
    </row>
    <row r="4160" spans="5:6" ht="15" customHeight="1" x14ac:dyDescent="0.2">
      <c r="E4160" s="18"/>
      <c r="F4160" s="18"/>
    </row>
    <row r="4161" spans="5:6" ht="15" customHeight="1" x14ac:dyDescent="0.2">
      <c r="E4161" s="18"/>
      <c r="F4161" s="18"/>
    </row>
    <row r="4162" spans="5:6" ht="15" customHeight="1" x14ac:dyDescent="0.2">
      <c r="E4162" s="18"/>
      <c r="F4162" s="18"/>
    </row>
    <row r="4163" spans="5:6" ht="15" customHeight="1" x14ac:dyDescent="0.2">
      <c r="E4163" s="18"/>
      <c r="F4163" s="18"/>
    </row>
    <row r="4164" spans="5:6" ht="15" customHeight="1" x14ac:dyDescent="0.2">
      <c r="E4164" s="18"/>
      <c r="F4164" s="18"/>
    </row>
    <row r="4165" spans="5:6" ht="15" customHeight="1" x14ac:dyDescent="0.2">
      <c r="E4165" s="18"/>
      <c r="F4165" s="18"/>
    </row>
    <row r="4166" spans="5:6" ht="15" customHeight="1" x14ac:dyDescent="0.2">
      <c r="E4166" s="18"/>
      <c r="F4166" s="18"/>
    </row>
    <row r="4167" spans="5:6" ht="15" customHeight="1" x14ac:dyDescent="0.2">
      <c r="E4167" s="18"/>
      <c r="F4167" s="18"/>
    </row>
    <row r="4168" spans="5:6" ht="15" customHeight="1" x14ac:dyDescent="0.2">
      <c r="E4168" s="18"/>
      <c r="F4168" s="18"/>
    </row>
    <row r="4169" spans="5:6" ht="15" customHeight="1" x14ac:dyDescent="0.2">
      <c r="E4169" s="18"/>
      <c r="F4169" s="18"/>
    </row>
    <row r="4170" spans="5:6" ht="15" customHeight="1" x14ac:dyDescent="0.2">
      <c r="E4170" s="18"/>
      <c r="F4170" s="18"/>
    </row>
    <row r="4171" spans="5:6" ht="15" customHeight="1" x14ac:dyDescent="0.2">
      <c r="E4171" s="18"/>
      <c r="F4171" s="18"/>
    </row>
    <row r="4172" spans="5:6" ht="15" customHeight="1" x14ac:dyDescent="0.2">
      <c r="E4172" s="18"/>
      <c r="F4172" s="18"/>
    </row>
    <row r="4173" spans="5:6" ht="15" customHeight="1" x14ac:dyDescent="0.2">
      <c r="E4173" s="18"/>
      <c r="F4173" s="18"/>
    </row>
    <row r="4174" spans="5:6" ht="15" customHeight="1" x14ac:dyDescent="0.2">
      <c r="E4174" s="18"/>
      <c r="F4174" s="18"/>
    </row>
    <row r="4175" spans="5:6" ht="15" customHeight="1" x14ac:dyDescent="0.2">
      <c r="E4175" s="18"/>
      <c r="F4175" s="18"/>
    </row>
    <row r="4176" spans="5:6" ht="15" customHeight="1" x14ac:dyDescent="0.2">
      <c r="E4176" s="18"/>
      <c r="F4176" s="18"/>
    </row>
    <row r="4177" spans="5:6" ht="15" customHeight="1" x14ac:dyDescent="0.2">
      <c r="E4177" s="18"/>
      <c r="F4177" s="18"/>
    </row>
    <row r="4178" spans="5:6" ht="15" customHeight="1" x14ac:dyDescent="0.2">
      <c r="E4178" s="18"/>
      <c r="F4178" s="18"/>
    </row>
    <row r="4179" spans="5:6" ht="15" customHeight="1" x14ac:dyDescent="0.2">
      <c r="E4179" s="18"/>
      <c r="F4179" s="18"/>
    </row>
    <row r="4180" spans="5:6" ht="15" customHeight="1" x14ac:dyDescent="0.2">
      <c r="E4180" s="18"/>
      <c r="F4180" s="18"/>
    </row>
    <row r="4181" spans="5:6" ht="15" customHeight="1" x14ac:dyDescent="0.2">
      <c r="E4181" s="18"/>
      <c r="F4181" s="18"/>
    </row>
    <row r="4182" spans="5:6" ht="15" customHeight="1" x14ac:dyDescent="0.2">
      <c r="E4182" s="18"/>
      <c r="F4182" s="18"/>
    </row>
    <row r="4183" spans="5:6" ht="15" customHeight="1" x14ac:dyDescent="0.2">
      <c r="E4183" s="18"/>
      <c r="F4183" s="18"/>
    </row>
    <row r="4184" spans="5:6" ht="15" customHeight="1" x14ac:dyDescent="0.2">
      <c r="E4184" s="18"/>
      <c r="F4184" s="18"/>
    </row>
    <row r="4185" spans="5:6" ht="15" customHeight="1" x14ac:dyDescent="0.2">
      <c r="E4185" s="18"/>
      <c r="F4185" s="18"/>
    </row>
    <row r="4186" spans="5:6" ht="15" customHeight="1" x14ac:dyDescent="0.2">
      <c r="E4186" s="18"/>
      <c r="F4186" s="18"/>
    </row>
    <row r="4187" spans="5:6" ht="15" customHeight="1" x14ac:dyDescent="0.2">
      <c r="E4187" s="18"/>
      <c r="F4187" s="18"/>
    </row>
    <row r="4188" spans="5:6" ht="15" customHeight="1" x14ac:dyDescent="0.2">
      <c r="E4188" s="18"/>
      <c r="F4188" s="18"/>
    </row>
    <row r="4189" spans="5:6" ht="15" customHeight="1" x14ac:dyDescent="0.2">
      <c r="E4189" s="18"/>
      <c r="F4189" s="18"/>
    </row>
    <row r="4190" spans="5:6" ht="15" customHeight="1" x14ac:dyDescent="0.2">
      <c r="E4190" s="18"/>
      <c r="F4190" s="18"/>
    </row>
    <row r="4191" spans="5:6" ht="15" customHeight="1" x14ac:dyDescent="0.2">
      <c r="E4191" s="18"/>
      <c r="F4191" s="18"/>
    </row>
    <row r="4192" spans="5:6" ht="15" customHeight="1" x14ac:dyDescent="0.2">
      <c r="E4192" s="18"/>
      <c r="F4192" s="18"/>
    </row>
    <row r="4193" spans="5:6" ht="15" customHeight="1" x14ac:dyDescent="0.2">
      <c r="E4193" s="18"/>
      <c r="F4193" s="18"/>
    </row>
    <row r="4194" spans="5:6" ht="15" customHeight="1" x14ac:dyDescent="0.2">
      <c r="E4194" s="18"/>
      <c r="F4194" s="18"/>
    </row>
    <row r="4195" spans="5:6" ht="15" customHeight="1" x14ac:dyDescent="0.2">
      <c r="E4195" s="18"/>
      <c r="F4195" s="18"/>
    </row>
    <row r="4196" spans="5:6" ht="15" customHeight="1" x14ac:dyDescent="0.2">
      <c r="E4196" s="18"/>
      <c r="F4196" s="18"/>
    </row>
    <row r="4197" spans="5:6" ht="15" customHeight="1" x14ac:dyDescent="0.2">
      <c r="E4197" s="18"/>
      <c r="F4197" s="18"/>
    </row>
    <row r="4198" spans="5:6" ht="15" customHeight="1" x14ac:dyDescent="0.2">
      <c r="E4198" s="18"/>
      <c r="F4198" s="18"/>
    </row>
    <row r="4199" spans="5:6" ht="15" customHeight="1" x14ac:dyDescent="0.2">
      <c r="E4199" s="18"/>
      <c r="F4199" s="18"/>
    </row>
    <row r="4200" spans="5:6" ht="15" customHeight="1" x14ac:dyDescent="0.2">
      <c r="E4200" s="18"/>
      <c r="F4200" s="18"/>
    </row>
    <row r="4201" spans="5:6" ht="15" customHeight="1" x14ac:dyDescent="0.2">
      <c r="E4201" s="18"/>
      <c r="F4201" s="18"/>
    </row>
    <row r="4202" spans="5:6" ht="15" customHeight="1" x14ac:dyDescent="0.2">
      <c r="E4202" s="18"/>
      <c r="F4202" s="18"/>
    </row>
    <row r="4203" spans="5:6" ht="15" customHeight="1" x14ac:dyDescent="0.2">
      <c r="E4203" s="18"/>
      <c r="F4203" s="18"/>
    </row>
    <row r="4204" spans="5:6" ht="15" customHeight="1" x14ac:dyDescent="0.2">
      <c r="E4204" s="18"/>
      <c r="F4204" s="18"/>
    </row>
    <row r="4205" spans="5:6" ht="15" customHeight="1" x14ac:dyDescent="0.2">
      <c r="E4205" s="18"/>
      <c r="F4205" s="18"/>
    </row>
    <row r="4206" spans="5:6" ht="15" customHeight="1" x14ac:dyDescent="0.2">
      <c r="E4206" s="18"/>
      <c r="F4206" s="18"/>
    </row>
    <row r="4207" spans="5:6" ht="15" customHeight="1" x14ac:dyDescent="0.2">
      <c r="E4207" s="18"/>
      <c r="F4207" s="18"/>
    </row>
    <row r="4208" spans="5:6" ht="15" customHeight="1" x14ac:dyDescent="0.2">
      <c r="E4208" s="18"/>
      <c r="F4208" s="18"/>
    </row>
    <row r="4209" spans="5:6" ht="15" customHeight="1" x14ac:dyDescent="0.2">
      <c r="E4209" s="18"/>
      <c r="F4209" s="18"/>
    </row>
    <row r="4210" spans="5:6" ht="15" customHeight="1" x14ac:dyDescent="0.2">
      <c r="E4210" s="18"/>
      <c r="F4210" s="18"/>
    </row>
    <row r="4211" spans="5:6" ht="15" customHeight="1" x14ac:dyDescent="0.2">
      <c r="E4211" s="18"/>
      <c r="F4211" s="18"/>
    </row>
    <row r="4212" spans="5:6" ht="15" customHeight="1" x14ac:dyDescent="0.2">
      <c r="E4212" s="18"/>
      <c r="F4212" s="18"/>
    </row>
    <row r="4213" spans="5:6" ht="15" customHeight="1" x14ac:dyDescent="0.2">
      <c r="E4213" s="18"/>
      <c r="F4213" s="18"/>
    </row>
    <row r="4214" spans="5:6" ht="15" customHeight="1" x14ac:dyDescent="0.2">
      <c r="E4214" s="18"/>
      <c r="F4214" s="18"/>
    </row>
    <row r="4215" spans="5:6" ht="15" customHeight="1" x14ac:dyDescent="0.2">
      <c r="E4215" s="18"/>
      <c r="F4215" s="18"/>
    </row>
    <row r="4216" spans="5:6" ht="15" customHeight="1" x14ac:dyDescent="0.2">
      <c r="E4216" s="18"/>
      <c r="F4216" s="18"/>
    </row>
    <row r="4217" spans="5:6" ht="15" customHeight="1" x14ac:dyDescent="0.2">
      <c r="E4217" s="18"/>
      <c r="F4217" s="18"/>
    </row>
    <row r="4218" spans="5:6" ht="15" customHeight="1" x14ac:dyDescent="0.2">
      <c r="E4218" s="18"/>
      <c r="F4218" s="18"/>
    </row>
    <row r="4219" spans="5:6" ht="15" customHeight="1" x14ac:dyDescent="0.2">
      <c r="E4219" s="18"/>
      <c r="F4219" s="18"/>
    </row>
    <row r="4220" spans="5:6" ht="15" customHeight="1" x14ac:dyDescent="0.2">
      <c r="E4220" s="18"/>
      <c r="F4220" s="18"/>
    </row>
    <row r="4221" spans="5:6" ht="15" customHeight="1" x14ac:dyDescent="0.2">
      <c r="E4221" s="18"/>
      <c r="F4221" s="18"/>
    </row>
    <row r="4222" spans="5:6" ht="15" customHeight="1" x14ac:dyDescent="0.2">
      <c r="E4222" s="18"/>
      <c r="F4222" s="18"/>
    </row>
    <row r="4223" spans="5:6" ht="15" customHeight="1" x14ac:dyDescent="0.2">
      <c r="E4223" s="18"/>
      <c r="F4223" s="18"/>
    </row>
    <row r="4224" spans="5:6" ht="15" customHeight="1" x14ac:dyDescent="0.2">
      <c r="E4224" s="18"/>
      <c r="F4224" s="18"/>
    </row>
    <row r="4225" spans="5:6" ht="15" customHeight="1" x14ac:dyDescent="0.2">
      <c r="E4225" s="18"/>
      <c r="F4225" s="18"/>
    </row>
    <row r="4226" spans="5:6" ht="15" customHeight="1" x14ac:dyDescent="0.2">
      <c r="E4226" s="18"/>
      <c r="F4226" s="18"/>
    </row>
    <row r="4227" spans="5:6" ht="15" customHeight="1" x14ac:dyDescent="0.2">
      <c r="E4227" s="18"/>
      <c r="F4227" s="18"/>
    </row>
    <row r="4228" spans="5:6" ht="15" customHeight="1" x14ac:dyDescent="0.2">
      <c r="E4228" s="18"/>
      <c r="F4228" s="18"/>
    </row>
    <row r="4229" spans="5:6" ht="15" customHeight="1" x14ac:dyDescent="0.2">
      <c r="E4229" s="18"/>
      <c r="F4229" s="18"/>
    </row>
    <row r="4230" spans="5:6" ht="15" customHeight="1" x14ac:dyDescent="0.2">
      <c r="E4230" s="18"/>
      <c r="F4230" s="18"/>
    </row>
    <row r="4231" spans="5:6" ht="15" customHeight="1" x14ac:dyDescent="0.2">
      <c r="E4231" s="18"/>
      <c r="F4231" s="18"/>
    </row>
    <row r="4232" spans="5:6" ht="15" customHeight="1" x14ac:dyDescent="0.2">
      <c r="E4232" s="18"/>
      <c r="F4232" s="18"/>
    </row>
    <row r="4233" spans="5:6" ht="15" customHeight="1" x14ac:dyDescent="0.2">
      <c r="E4233" s="18"/>
      <c r="F4233" s="18"/>
    </row>
    <row r="4234" spans="5:6" ht="15" customHeight="1" x14ac:dyDescent="0.2">
      <c r="E4234" s="18"/>
      <c r="F4234" s="18"/>
    </row>
    <row r="4235" spans="5:6" ht="15" customHeight="1" x14ac:dyDescent="0.2">
      <c r="E4235" s="18"/>
      <c r="F4235" s="18"/>
    </row>
    <row r="4236" spans="5:6" ht="15" customHeight="1" x14ac:dyDescent="0.2">
      <c r="E4236" s="18"/>
      <c r="F4236" s="18"/>
    </row>
    <row r="4237" spans="5:6" ht="15" customHeight="1" x14ac:dyDescent="0.2">
      <c r="E4237" s="18"/>
      <c r="F4237" s="18"/>
    </row>
    <row r="4238" spans="5:6" ht="15" customHeight="1" x14ac:dyDescent="0.2">
      <c r="E4238" s="18"/>
      <c r="F4238" s="18"/>
    </row>
    <row r="4239" spans="5:6" ht="15" customHeight="1" x14ac:dyDescent="0.2">
      <c r="E4239" s="18"/>
      <c r="F4239" s="18"/>
    </row>
    <row r="4240" spans="5:6" ht="15" customHeight="1" x14ac:dyDescent="0.2">
      <c r="E4240" s="18"/>
      <c r="F4240" s="18"/>
    </row>
    <row r="4241" spans="5:6" ht="15" customHeight="1" x14ac:dyDescent="0.2">
      <c r="E4241" s="18"/>
      <c r="F4241" s="18"/>
    </row>
    <row r="4242" spans="5:6" ht="15" customHeight="1" x14ac:dyDescent="0.2">
      <c r="E4242" s="18"/>
      <c r="F4242" s="18"/>
    </row>
    <row r="4243" spans="5:6" ht="15" customHeight="1" x14ac:dyDescent="0.2">
      <c r="E4243" s="18"/>
      <c r="F4243" s="18"/>
    </row>
    <row r="4244" spans="5:6" ht="15" customHeight="1" x14ac:dyDescent="0.2">
      <c r="E4244" s="18"/>
      <c r="F4244" s="18"/>
    </row>
    <row r="4245" spans="5:6" ht="15" customHeight="1" x14ac:dyDescent="0.2">
      <c r="E4245" s="18"/>
      <c r="F4245" s="18"/>
    </row>
    <row r="4246" spans="5:6" ht="15" customHeight="1" x14ac:dyDescent="0.2">
      <c r="E4246" s="18"/>
      <c r="F4246" s="18"/>
    </row>
    <row r="4247" spans="5:6" ht="15" customHeight="1" x14ac:dyDescent="0.2">
      <c r="E4247" s="18"/>
      <c r="F4247" s="18"/>
    </row>
    <row r="4248" spans="5:6" ht="15" customHeight="1" x14ac:dyDescent="0.2">
      <c r="E4248" s="18"/>
      <c r="F4248" s="18"/>
    </row>
    <row r="4249" spans="5:6" ht="15" customHeight="1" x14ac:dyDescent="0.2">
      <c r="E4249" s="18"/>
      <c r="F4249" s="18"/>
    </row>
    <row r="4250" spans="5:6" ht="15" customHeight="1" x14ac:dyDescent="0.2">
      <c r="E4250" s="18"/>
      <c r="F4250" s="18"/>
    </row>
    <row r="4251" spans="5:6" ht="15" customHeight="1" x14ac:dyDescent="0.2">
      <c r="E4251" s="18"/>
      <c r="F4251" s="18"/>
    </row>
    <row r="4252" spans="5:6" ht="15" customHeight="1" x14ac:dyDescent="0.2">
      <c r="E4252" s="18"/>
      <c r="F4252" s="18"/>
    </row>
    <row r="4253" spans="5:6" ht="15" customHeight="1" x14ac:dyDescent="0.2">
      <c r="E4253" s="18"/>
      <c r="F4253" s="18"/>
    </row>
    <row r="4254" spans="5:6" ht="15" customHeight="1" x14ac:dyDescent="0.2">
      <c r="E4254" s="18"/>
      <c r="F4254" s="18"/>
    </row>
    <row r="4255" spans="5:6" ht="15" customHeight="1" x14ac:dyDescent="0.2">
      <c r="E4255" s="18"/>
      <c r="F4255" s="18"/>
    </row>
    <row r="4256" spans="5:6" ht="15" customHeight="1" x14ac:dyDescent="0.2">
      <c r="E4256" s="18"/>
      <c r="F4256" s="18"/>
    </row>
    <row r="4257" spans="5:6" ht="15" customHeight="1" x14ac:dyDescent="0.2">
      <c r="E4257" s="18"/>
      <c r="F4257" s="18"/>
    </row>
    <row r="4258" spans="5:6" ht="15" customHeight="1" x14ac:dyDescent="0.2">
      <c r="E4258" s="18"/>
      <c r="F4258" s="18"/>
    </row>
    <row r="4259" spans="5:6" ht="15" customHeight="1" x14ac:dyDescent="0.2">
      <c r="E4259" s="18"/>
      <c r="F4259" s="18"/>
    </row>
    <row r="4260" spans="5:6" ht="15" customHeight="1" x14ac:dyDescent="0.2">
      <c r="E4260" s="18"/>
      <c r="F4260" s="18"/>
    </row>
    <row r="4261" spans="5:6" ht="15" customHeight="1" x14ac:dyDescent="0.2">
      <c r="E4261" s="18"/>
      <c r="F4261" s="18"/>
    </row>
    <row r="4262" spans="5:6" ht="15" customHeight="1" x14ac:dyDescent="0.2">
      <c r="E4262" s="18"/>
      <c r="F4262" s="18"/>
    </row>
    <row r="4263" spans="5:6" ht="15" customHeight="1" x14ac:dyDescent="0.2">
      <c r="E4263" s="18"/>
      <c r="F4263" s="18"/>
    </row>
    <row r="4264" spans="5:6" ht="15" customHeight="1" x14ac:dyDescent="0.2">
      <c r="E4264" s="18"/>
      <c r="F4264" s="18"/>
    </row>
    <row r="4265" spans="5:6" ht="15" customHeight="1" x14ac:dyDescent="0.2">
      <c r="E4265" s="18"/>
      <c r="F4265" s="18"/>
    </row>
    <row r="4266" spans="5:6" ht="15" customHeight="1" x14ac:dyDescent="0.2">
      <c r="E4266" s="18"/>
      <c r="F4266" s="18"/>
    </row>
    <row r="4267" spans="5:6" ht="15" customHeight="1" x14ac:dyDescent="0.2">
      <c r="E4267" s="18"/>
      <c r="F4267" s="18"/>
    </row>
    <row r="4268" spans="5:6" ht="15" customHeight="1" x14ac:dyDescent="0.2">
      <c r="E4268" s="18"/>
      <c r="F4268" s="18"/>
    </row>
    <row r="4269" spans="5:6" ht="15" customHeight="1" x14ac:dyDescent="0.2">
      <c r="E4269" s="18"/>
      <c r="F4269" s="18"/>
    </row>
    <row r="4270" spans="5:6" ht="15" customHeight="1" x14ac:dyDescent="0.2">
      <c r="E4270" s="18"/>
      <c r="F4270" s="18"/>
    </row>
    <row r="4271" spans="5:6" ht="15" customHeight="1" x14ac:dyDescent="0.2">
      <c r="E4271" s="18"/>
      <c r="F4271" s="18"/>
    </row>
    <row r="4272" spans="5:6" ht="15" customHeight="1" x14ac:dyDescent="0.2">
      <c r="E4272" s="18"/>
      <c r="F4272" s="18"/>
    </row>
    <row r="4273" spans="5:6" ht="15" customHeight="1" x14ac:dyDescent="0.2">
      <c r="E4273" s="18"/>
      <c r="F4273" s="18"/>
    </row>
    <row r="4274" spans="5:6" ht="15" customHeight="1" x14ac:dyDescent="0.2">
      <c r="E4274" s="18"/>
      <c r="F4274" s="18"/>
    </row>
    <row r="4275" spans="5:6" ht="15" customHeight="1" x14ac:dyDescent="0.2">
      <c r="E4275" s="18"/>
      <c r="F4275" s="18"/>
    </row>
    <row r="4276" spans="5:6" ht="15" customHeight="1" x14ac:dyDescent="0.2">
      <c r="E4276" s="18"/>
      <c r="F4276" s="18"/>
    </row>
    <row r="4277" spans="5:6" ht="15" customHeight="1" x14ac:dyDescent="0.2">
      <c r="E4277" s="18"/>
      <c r="F4277" s="18"/>
    </row>
    <row r="4278" spans="5:6" ht="15" customHeight="1" x14ac:dyDescent="0.2">
      <c r="E4278" s="18"/>
      <c r="F4278" s="18"/>
    </row>
    <row r="4279" spans="5:6" ht="15" customHeight="1" x14ac:dyDescent="0.2">
      <c r="E4279" s="18"/>
      <c r="F4279" s="18"/>
    </row>
    <row r="4280" spans="5:6" ht="15" customHeight="1" x14ac:dyDescent="0.2">
      <c r="E4280" s="18"/>
      <c r="F4280" s="18"/>
    </row>
    <row r="4281" spans="5:6" ht="15" customHeight="1" x14ac:dyDescent="0.2">
      <c r="E4281" s="18"/>
      <c r="F4281" s="18"/>
    </row>
    <row r="4282" spans="5:6" ht="15" customHeight="1" x14ac:dyDescent="0.2">
      <c r="E4282" s="18"/>
      <c r="F4282" s="18"/>
    </row>
    <row r="4283" spans="5:6" ht="15" customHeight="1" x14ac:dyDescent="0.2">
      <c r="E4283" s="18"/>
      <c r="F4283" s="18"/>
    </row>
    <row r="4284" spans="5:6" ht="15" customHeight="1" x14ac:dyDescent="0.2">
      <c r="E4284" s="18"/>
      <c r="F4284" s="18"/>
    </row>
    <row r="4285" spans="5:6" ht="15" customHeight="1" x14ac:dyDescent="0.2">
      <c r="E4285" s="18"/>
      <c r="F4285" s="18"/>
    </row>
    <row r="4286" spans="5:6" ht="15" customHeight="1" x14ac:dyDescent="0.2">
      <c r="E4286" s="18"/>
      <c r="F4286" s="18"/>
    </row>
    <row r="4287" spans="5:6" ht="15" customHeight="1" x14ac:dyDescent="0.2">
      <c r="E4287" s="18"/>
      <c r="F4287" s="18"/>
    </row>
    <row r="4288" spans="5:6" ht="15" customHeight="1" x14ac:dyDescent="0.2">
      <c r="E4288" s="18"/>
      <c r="F4288" s="18"/>
    </row>
    <row r="4289" spans="5:6" ht="15" customHeight="1" x14ac:dyDescent="0.2">
      <c r="E4289" s="18"/>
      <c r="F4289" s="18"/>
    </row>
    <row r="4290" spans="5:6" ht="15" customHeight="1" x14ac:dyDescent="0.2">
      <c r="E4290" s="18"/>
      <c r="F4290" s="18"/>
    </row>
    <row r="4291" spans="5:6" ht="15" customHeight="1" x14ac:dyDescent="0.2">
      <c r="E4291" s="18"/>
      <c r="F4291" s="18"/>
    </row>
    <row r="4292" spans="5:6" ht="15" customHeight="1" x14ac:dyDescent="0.2">
      <c r="E4292" s="18"/>
      <c r="F4292" s="18"/>
    </row>
    <row r="4293" spans="5:6" ht="15" customHeight="1" x14ac:dyDescent="0.2">
      <c r="E4293" s="18"/>
      <c r="F4293" s="18"/>
    </row>
    <row r="4294" spans="5:6" ht="15" customHeight="1" x14ac:dyDescent="0.2">
      <c r="E4294" s="18"/>
      <c r="F4294" s="18"/>
    </row>
    <row r="4295" spans="5:6" ht="15" customHeight="1" x14ac:dyDescent="0.2">
      <c r="E4295" s="18"/>
      <c r="F4295" s="18"/>
    </row>
    <row r="4296" spans="5:6" ht="15" customHeight="1" x14ac:dyDescent="0.2">
      <c r="E4296" s="18"/>
      <c r="F4296" s="18"/>
    </row>
    <row r="4297" spans="5:6" ht="15" customHeight="1" x14ac:dyDescent="0.2">
      <c r="E4297" s="18"/>
      <c r="F4297" s="18"/>
    </row>
    <row r="4298" spans="5:6" ht="15" customHeight="1" x14ac:dyDescent="0.2">
      <c r="E4298" s="18"/>
      <c r="F4298" s="18"/>
    </row>
    <row r="4299" spans="5:6" ht="15" customHeight="1" x14ac:dyDescent="0.2">
      <c r="E4299" s="18"/>
      <c r="F4299" s="18"/>
    </row>
    <row r="4300" spans="5:6" ht="15" customHeight="1" x14ac:dyDescent="0.2">
      <c r="E4300" s="18"/>
      <c r="F4300" s="18"/>
    </row>
    <row r="4301" spans="5:6" ht="15" customHeight="1" x14ac:dyDescent="0.2">
      <c r="E4301" s="18"/>
      <c r="F4301" s="18"/>
    </row>
    <row r="4302" spans="5:6" ht="15" customHeight="1" x14ac:dyDescent="0.2">
      <c r="E4302" s="18"/>
      <c r="F4302" s="18"/>
    </row>
    <row r="4303" spans="5:6" ht="15" customHeight="1" x14ac:dyDescent="0.2">
      <c r="E4303" s="18"/>
      <c r="F4303" s="18"/>
    </row>
    <row r="4304" spans="5:6" ht="15" customHeight="1" x14ac:dyDescent="0.2">
      <c r="E4304" s="18"/>
      <c r="F4304" s="18"/>
    </row>
    <row r="4305" spans="5:6" ht="15" customHeight="1" x14ac:dyDescent="0.2">
      <c r="E4305" s="18"/>
      <c r="F4305" s="18"/>
    </row>
    <row r="4306" spans="5:6" ht="15" customHeight="1" x14ac:dyDescent="0.2">
      <c r="E4306" s="18"/>
      <c r="F4306" s="18"/>
    </row>
    <row r="4307" spans="5:6" ht="15" customHeight="1" x14ac:dyDescent="0.2">
      <c r="E4307" s="18"/>
      <c r="F4307" s="18"/>
    </row>
    <row r="4308" spans="5:6" ht="15" customHeight="1" x14ac:dyDescent="0.2">
      <c r="E4308" s="18"/>
      <c r="F4308" s="18"/>
    </row>
    <row r="4309" spans="5:6" ht="15" customHeight="1" x14ac:dyDescent="0.2">
      <c r="E4309" s="18"/>
      <c r="F4309" s="18"/>
    </row>
    <row r="4310" spans="5:6" ht="15" customHeight="1" x14ac:dyDescent="0.2">
      <c r="E4310" s="18"/>
      <c r="F4310" s="18"/>
    </row>
    <row r="4311" spans="5:6" ht="15" customHeight="1" x14ac:dyDescent="0.2">
      <c r="E4311" s="18"/>
      <c r="F4311" s="18"/>
    </row>
    <row r="4312" spans="5:6" ht="15" customHeight="1" x14ac:dyDescent="0.2">
      <c r="E4312" s="18"/>
      <c r="F4312" s="18"/>
    </row>
    <row r="4313" spans="5:6" ht="15" customHeight="1" x14ac:dyDescent="0.2">
      <c r="E4313" s="18"/>
      <c r="F4313" s="18"/>
    </row>
    <row r="4314" spans="5:6" ht="15" customHeight="1" x14ac:dyDescent="0.2">
      <c r="E4314" s="18"/>
      <c r="F4314" s="18"/>
    </row>
    <row r="4315" spans="5:6" ht="15" customHeight="1" x14ac:dyDescent="0.2">
      <c r="E4315" s="18"/>
      <c r="F4315" s="18"/>
    </row>
    <row r="4316" spans="5:6" ht="15" customHeight="1" x14ac:dyDescent="0.2">
      <c r="E4316" s="18"/>
      <c r="F4316" s="18"/>
    </row>
    <row r="4317" spans="5:6" ht="15" customHeight="1" x14ac:dyDescent="0.2">
      <c r="E4317" s="18"/>
      <c r="F4317" s="18"/>
    </row>
    <row r="4318" spans="5:6" ht="15" customHeight="1" x14ac:dyDescent="0.2">
      <c r="E4318" s="18"/>
      <c r="F4318" s="18"/>
    </row>
    <row r="4319" spans="5:6" ht="15" customHeight="1" x14ac:dyDescent="0.2">
      <c r="E4319" s="18"/>
      <c r="F4319" s="18"/>
    </row>
    <row r="4320" spans="5:6" ht="15" customHeight="1" x14ac:dyDescent="0.2">
      <c r="E4320" s="18"/>
      <c r="F4320" s="18"/>
    </row>
    <row r="4321" spans="5:6" ht="15" customHeight="1" x14ac:dyDescent="0.2">
      <c r="E4321" s="18"/>
      <c r="F4321" s="18"/>
    </row>
    <row r="4322" spans="5:6" ht="15" customHeight="1" x14ac:dyDescent="0.2">
      <c r="E4322" s="18"/>
      <c r="F4322" s="18"/>
    </row>
    <row r="4323" spans="5:6" ht="15" customHeight="1" x14ac:dyDescent="0.2">
      <c r="E4323" s="18"/>
      <c r="F4323" s="18"/>
    </row>
    <row r="4324" spans="5:6" ht="15" customHeight="1" x14ac:dyDescent="0.2">
      <c r="E4324" s="18"/>
      <c r="F4324" s="18"/>
    </row>
    <row r="4325" spans="5:6" ht="15" customHeight="1" x14ac:dyDescent="0.2">
      <c r="E4325" s="18"/>
      <c r="F4325" s="18"/>
    </row>
    <row r="4326" spans="5:6" ht="15" customHeight="1" x14ac:dyDescent="0.2">
      <c r="E4326" s="18"/>
      <c r="F4326" s="18"/>
    </row>
    <row r="4327" spans="5:6" ht="15" customHeight="1" x14ac:dyDescent="0.2">
      <c r="E4327" s="18"/>
      <c r="F4327" s="18"/>
    </row>
    <row r="4328" spans="5:6" ht="15" customHeight="1" x14ac:dyDescent="0.2">
      <c r="E4328" s="18"/>
      <c r="F4328" s="18"/>
    </row>
    <row r="4329" spans="5:6" ht="15" customHeight="1" x14ac:dyDescent="0.2">
      <c r="E4329" s="18"/>
      <c r="F4329" s="18"/>
    </row>
    <row r="4330" spans="5:6" ht="15" customHeight="1" x14ac:dyDescent="0.2">
      <c r="E4330" s="18"/>
      <c r="F4330" s="18"/>
    </row>
    <row r="4331" spans="5:6" ht="15" customHeight="1" x14ac:dyDescent="0.2">
      <c r="E4331" s="18"/>
      <c r="F4331" s="18"/>
    </row>
    <row r="4332" spans="5:6" ht="15" customHeight="1" x14ac:dyDescent="0.2">
      <c r="E4332" s="18"/>
      <c r="F4332" s="18"/>
    </row>
    <row r="4333" spans="5:6" ht="15" customHeight="1" x14ac:dyDescent="0.2">
      <c r="E4333" s="18"/>
      <c r="F4333" s="18"/>
    </row>
    <row r="4334" spans="5:6" ht="15" customHeight="1" x14ac:dyDescent="0.2">
      <c r="E4334" s="18"/>
      <c r="F4334" s="18"/>
    </row>
    <row r="4335" spans="5:6" ht="15" customHeight="1" x14ac:dyDescent="0.2">
      <c r="E4335" s="18"/>
      <c r="F4335" s="18"/>
    </row>
    <row r="4336" spans="5:6" ht="15" customHeight="1" x14ac:dyDescent="0.2">
      <c r="E4336" s="18"/>
      <c r="F4336" s="18"/>
    </row>
    <row r="4337" spans="5:6" ht="15" customHeight="1" x14ac:dyDescent="0.2">
      <c r="E4337" s="18"/>
      <c r="F4337" s="18"/>
    </row>
    <row r="4338" spans="5:6" ht="15" customHeight="1" x14ac:dyDescent="0.2">
      <c r="E4338" s="18"/>
      <c r="F4338" s="18"/>
    </row>
    <row r="4339" spans="5:6" ht="15" customHeight="1" x14ac:dyDescent="0.2">
      <c r="E4339" s="18"/>
      <c r="F4339" s="18"/>
    </row>
    <row r="4340" spans="5:6" ht="15" customHeight="1" x14ac:dyDescent="0.2">
      <c r="E4340" s="18"/>
      <c r="F4340" s="18"/>
    </row>
    <row r="4341" spans="5:6" ht="15" customHeight="1" x14ac:dyDescent="0.2">
      <c r="E4341" s="18"/>
      <c r="F4341" s="18"/>
    </row>
    <row r="4342" spans="5:6" ht="15" customHeight="1" x14ac:dyDescent="0.2">
      <c r="E4342" s="18"/>
      <c r="F4342" s="18"/>
    </row>
    <row r="4343" spans="5:6" ht="15" customHeight="1" x14ac:dyDescent="0.2">
      <c r="E4343" s="18"/>
      <c r="F4343" s="18"/>
    </row>
    <row r="4344" spans="5:6" ht="15" customHeight="1" x14ac:dyDescent="0.2">
      <c r="E4344" s="18"/>
      <c r="F4344" s="18"/>
    </row>
    <row r="4345" spans="5:6" ht="15" customHeight="1" x14ac:dyDescent="0.2">
      <c r="E4345" s="18"/>
      <c r="F4345" s="18"/>
    </row>
    <row r="4346" spans="5:6" ht="15" customHeight="1" x14ac:dyDescent="0.2">
      <c r="E4346" s="18"/>
      <c r="F4346" s="18"/>
    </row>
    <row r="4347" spans="5:6" ht="15" customHeight="1" x14ac:dyDescent="0.2">
      <c r="E4347" s="18"/>
      <c r="F4347" s="18"/>
    </row>
    <row r="4348" spans="5:6" ht="15" customHeight="1" x14ac:dyDescent="0.2">
      <c r="E4348" s="18"/>
      <c r="F4348" s="18"/>
    </row>
    <row r="4349" spans="5:6" ht="15" customHeight="1" x14ac:dyDescent="0.2">
      <c r="E4349" s="18"/>
      <c r="F4349" s="18"/>
    </row>
    <row r="4350" spans="5:6" ht="15" customHeight="1" x14ac:dyDescent="0.2">
      <c r="E4350" s="18"/>
      <c r="F4350" s="18"/>
    </row>
    <row r="4351" spans="5:6" ht="15" customHeight="1" x14ac:dyDescent="0.2">
      <c r="E4351" s="18"/>
      <c r="F4351" s="18"/>
    </row>
    <row r="4352" spans="5:6" ht="15" customHeight="1" x14ac:dyDescent="0.2">
      <c r="E4352" s="18"/>
      <c r="F4352" s="18"/>
    </row>
    <row r="4353" spans="5:6" ht="15" customHeight="1" x14ac:dyDescent="0.2">
      <c r="E4353" s="18"/>
      <c r="F4353" s="18"/>
    </row>
    <row r="4354" spans="5:6" ht="15" customHeight="1" x14ac:dyDescent="0.2">
      <c r="E4354" s="18"/>
      <c r="F4354" s="18"/>
    </row>
    <row r="4355" spans="5:6" ht="15" customHeight="1" x14ac:dyDescent="0.2">
      <c r="E4355" s="18"/>
      <c r="F4355" s="18"/>
    </row>
    <row r="4356" spans="5:6" ht="15" customHeight="1" x14ac:dyDescent="0.2">
      <c r="E4356" s="18"/>
      <c r="F4356" s="18"/>
    </row>
    <row r="4357" spans="5:6" ht="15" customHeight="1" x14ac:dyDescent="0.2">
      <c r="E4357" s="18"/>
      <c r="F4357" s="18"/>
    </row>
    <row r="4358" spans="5:6" ht="15" customHeight="1" x14ac:dyDescent="0.2">
      <c r="E4358" s="18"/>
      <c r="F4358" s="18"/>
    </row>
    <row r="4359" spans="5:6" ht="15" customHeight="1" x14ac:dyDescent="0.2">
      <c r="E4359" s="18"/>
      <c r="F4359" s="18"/>
    </row>
    <row r="4360" spans="5:6" ht="15" customHeight="1" x14ac:dyDescent="0.2">
      <c r="E4360" s="18"/>
      <c r="F4360" s="18"/>
    </row>
    <row r="4361" spans="5:6" ht="15" customHeight="1" x14ac:dyDescent="0.2">
      <c r="E4361" s="18"/>
      <c r="F4361" s="18"/>
    </row>
    <row r="4362" spans="5:6" ht="15" customHeight="1" x14ac:dyDescent="0.2">
      <c r="E4362" s="18"/>
      <c r="F4362" s="18"/>
    </row>
    <row r="4363" spans="5:6" ht="15" customHeight="1" x14ac:dyDescent="0.2">
      <c r="E4363" s="18"/>
      <c r="F4363" s="18"/>
    </row>
    <row r="4364" spans="5:6" ht="15" customHeight="1" x14ac:dyDescent="0.2">
      <c r="E4364" s="18"/>
      <c r="F4364" s="18"/>
    </row>
    <row r="4365" spans="5:6" ht="15" customHeight="1" x14ac:dyDescent="0.2">
      <c r="E4365" s="18"/>
      <c r="F4365" s="18"/>
    </row>
    <row r="4366" spans="5:6" ht="15" customHeight="1" x14ac:dyDescent="0.2">
      <c r="E4366" s="18"/>
      <c r="F4366" s="18"/>
    </row>
    <row r="4367" spans="5:6" ht="15" customHeight="1" x14ac:dyDescent="0.2">
      <c r="E4367" s="18"/>
      <c r="F4367" s="18"/>
    </row>
    <row r="4368" spans="5:6" ht="15" customHeight="1" x14ac:dyDescent="0.2">
      <c r="E4368" s="18"/>
      <c r="F4368" s="18"/>
    </row>
    <row r="4369" spans="5:6" ht="15" customHeight="1" x14ac:dyDescent="0.2">
      <c r="E4369" s="18"/>
      <c r="F4369" s="18"/>
    </row>
    <row r="4370" spans="5:6" ht="15" customHeight="1" x14ac:dyDescent="0.2">
      <c r="E4370" s="18"/>
      <c r="F4370" s="18"/>
    </row>
    <row r="4371" spans="5:6" ht="15" customHeight="1" x14ac:dyDescent="0.2">
      <c r="E4371" s="18"/>
      <c r="F4371" s="18"/>
    </row>
    <row r="4372" spans="5:6" ht="15" customHeight="1" x14ac:dyDescent="0.2">
      <c r="E4372" s="18"/>
      <c r="F4372" s="18"/>
    </row>
    <row r="4373" spans="5:6" ht="15" customHeight="1" x14ac:dyDescent="0.2">
      <c r="E4373" s="18"/>
      <c r="F4373" s="18"/>
    </row>
    <row r="4374" spans="5:6" ht="15" customHeight="1" x14ac:dyDescent="0.2">
      <c r="E4374" s="18"/>
      <c r="F4374" s="18"/>
    </row>
    <row r="4375" spans="5:6" ht="15" customHeight="1" x14ac:dyDescent="0.2">
      <c r="E4375" s="18"/>
      <c r="F4375" s="18"/>
    </row>
    <row r="4376" spans="5:6" ht="15" customHeight="1" x14ac:dyDescent="0.2">
      <c r="E4376" s="18"/>
      <c r="F4376" s="18"/>
    </row>
    <row r="4377" spans="5:6" ht="15" customHeight="1" x14ac:dyDescent="0.2">
      <c r="E4377" s="18"/>
      <c r="F4377" s="18"/>
    </row>
    <row r="4378" spans="5:6" ht="15" customHeight="1" x14ac:dyDescent="0.2">
      <c r="E4378" s="18"/>
      <c r="F4378" s="18"/>
    </row>
    <row r="4379" spans="5:6" ht="15" customHeight="1" x14ac:dyDescent="0.2">
      <c r="E4379" s="18"/>
      <c r="F4379" s="18"/>
    </row>
    <row r="4380" spans="5:6" ht="15" customHeight="1" x14ac:dyDescent="0.2">
      <c r="E4380" s="18"/>
      <c r="F4380" s="18"/>
    </row>
    <row r="4381" spans="5:6" ht="15" customHeight="1" x14ac:dyDescent="0.2">
      <c r="E4381" s="18"/>
      <c r="F4381" s="18"/>
    </row>
    <row r="4382" spans="5:6" ht="15" customHeight="1" x14ac:dyDescent="0.2">
      <c r="E4382" s="18"/>
      <c r="F4382" s="18"/>
    </row>
    <row r="4383" spans="5:6" ht="15" customHeight="1" x14ac:dyDescent="0.2">
      <c r="E4383" s="18"/>
      <c r="F4383" s="18"/>
    </row>
    <row r="4384" spans="5:6" ht="15" customHeight="1" x14ac:dyDescent="0.2">
      <c r="E4384" s="18"/>
      <c r="F4384" s="18"/>
    </row>
    <row r="4385" spans="5:6" ht="15" customHeight="1" x14ac:dyDescent="0.2">
      <c r="E4385" s="18"/>
      <c r="F4385" s="18"/>
    </row>
    <row r="4386" spans="5:6" ht="15" customHeight="1" x14ac:dyDescent="0.2">
      <c r="E4386" s="18"/>
      <c r="F4386" s="18"/>
    </row>
    <row r="4387" spans="5:6" ht="15" customHeight="1" x14ac:dyDescent="0.2">
      <c r="E4387" s="18"/>
      <c r="F4387" s="18"/>
    </row>
    <row r="4388" spans="5:6" ht="15" customHeight="1" x14ac:dyDescent="0.2">
      <c r="E4388" s="18"/>
      <c r="F4388" s="18"/>
    </row>
    <row r="4389" spans="5:6" ht="15" customHeight="1" x14ac:dyDescent="0.2">
      <c r="E4389" s="18"/>
      <c r="F4389" s="18"/>
    </row>
    <row r="4390" spans="5:6" ht="15" customHeight="1" x14ac:dyDescent="0.2">
      <c r="E4390" s="18"/>
      <c r="F4390" s="18"/>
    </row>
    <row r="4391" spans="5:6" ht="15" customHeight="1" x14ac:dyDescent="0.2">
      <c r="E4391" s="18"/>
      <c r="F4391" s="18"/>
    </row>
    <row r="4392" spans="5:6" ht="15" customHeight="1" x14ac:dyDescent="0.2">
      <c r="E4392" s="18"/>
      <c r="F4392" s="18"/>
    </row>
    <row r="4393" spans="5:6" ht="15" customHeight="1" x14ac:dyDescent="0.2">
      <c r="E4393" s="18"/>
      <c r="F4393" s="18"/>
    </row>
    <row r="4394" spans="5:6" ht="15" customHeight="1" x14ac:dyDescent="0.2">
      <c r="E4394" s="18"/>
      <c r="F4394" s="18"/>
    </row>
    <row r="4395" spans="5:6" ht="15" customHeight="1" x14ac:dyDescent="0.2">
      <c r="E4395" s="18"/>
      <c r="F4395" s="18"/>
    </row>
    <row r="4396" spans="5:6" ht="15" customHeight="1" x14ac:dyDescent="0.2">
      <c r="E4396" s="18"/>
      <c r="F4396" s="18"/>
    </row>
    <row r="4397" spans="5:6" ht="15" customHeight="1" x14ac:dyDescent="0.2">
      <c r="E4397" s="18"/>
      <c r="F4397" s="18"/>
    </row>
    <row r="4398" spans="5:6" ht="15" customHeight="1" x14ac:dyDescent="0.2">
      <c r="E4398" s="18"/>
      <c r="F4398" s="18"/>
    </row>
    <row r="4399" spans="5:6" ht="15" customHeight="1" x14ac:dyDescent="0.2">
      <c r="E4399" s="18"/>
      <c r="F4399" s="18"/>
    </row>
    <row r="4400" spans="5:6" ht="15" customHeight="1" x14ac:dyDescent="0.2">
      <c r="E4400" s="18"/>
      <c r="F4400" s="18"/>
    </row>
    <row r="4401" spans="5:6" ht="15" customHeight="1" x14ac:dyDescent="0.2">
      <c r="E4401" s="18"/>
      <c r="F4401" s="18"/>
    </row>
    <row r="4402" spans="5:6" ht="15" customHeight="1" x14ac:dyDescent="0.2">
      <c r="E4402" s="18"/>
      <c r="F4402" s="18"/>
    </row>
    <row r="4403" spans="5:6" ht="15" customHeight="1" x14ac:dyDescent="0.2">
      <c r="E4403" s="18"/>
      <c r="F4403" s="18"/>
    </row>
    <row r="4404" spans="5:6" ht="15" customHeight="1" x14ac:dyDescent="0.2">
      <c r="E4404" s="18"/>
      <c r="F4404" s="18"/>
    </row>
    <row r="4405" spans="5:6" ht="15" customHeight="1" x14ac:dyDescent="0.2">
      <c r="E4405" s="18"/>
      <c r="F4405" s="18"/>
    </row>
    <row r="4406" spans="5:6" ht="15" customHeight="1" x14ac:dyDescent="0.2">
      <c r="E4406" s="18"/>
      <c r="F4406" s="18"/>
    </row>
    <row r="4407" spans="5:6" ht="15" customHeight="1" x14ac:dyDescent="0.2">
      <c r="E4407" s="18"/>
      <c r="F4407" s="18"/>
    </row>
    <row r="4408" spans="5:6" ht="15" customHeight="1" x14ac:dyDescent="0.2">
      <c r="E4408" s="18"/>
      <c r="F4408" s="18"/>
    </row>
    <row r="4409" spans="5:6" ht="15" customHeight="1" x14ac:dyDescent="0.2">
      <c r="E4409" s="18"/>
      <c r="F4409" s="18"/>
    </row>
    <row r="4410" spans="5:6" ht="15" customHeight="1" x14ac:dyDescent="0.2">
      <c r="E4410" s="18"/>
      <c r="F4410" s="18"/>
    </row>
    <row r="4411" spans="5:6" ht="15" customHeight="1" x14ac:dyDescent="0.2">
      <c r="E4411" s="18"/>
      <c r="F4411" s="18"/>
    </row>
    <row r="4412" spans="5:6" ht="15" customHeight="1" x14ac:dyDescent="0.2">
      <c r="E4412" s="18"/>
      <c r="F4412" s="18"/>
    </row>
    <row r="4413" spans="5:6" ht="15" customHeight="1" x14ac:dyDescent="0.2">
      <c r="E4413" s="18"/>
      <c r="F4413" s="18"/>
    </row>
    <row r="4414" spans="5:6" ht="15" customHeight="1" x14ac:dyDescent="0.2">
      <c r="E4414" s="18"/>
      <c r="F4414" s="18"/>
    </row>
    <row r="4415" spans="5:6" ht="15" customHeight="1" x14ac:dyDescent="0.2">
      <c r="E4415" s="18"/>
      <c r="F4415" s="18"/>
    </row>
    <row r="4416" spans="5:6" ht="15" customHeight="1" x14ac:dyDescent="0.2">
      <c r="E4416" s="18"/>
      <c r="F4416" s="18"/>
    </row>
    <row r="4417" spans="5:6" ht="15" customHeight="1" x14ac:dyDescent="0.2">
      <c r="E4417" s="18"/>
      <c r="F4417" s="18"/>
    </row>
    <row r="4418" spans="5:6" ht="15" customHeight="1" x14ac:dyDescent="0.2">
      <c r="E4418" s="18"/>
      <c r="F4418" s="18"/>
    </row>
    <row r="4419" spans="5:6" ht="15" customHeight="1" x14ac:dyDescent="0.2">
      <c r="E4419" s="18"/>
      <c r="F4419" s="18"/>
    </row>
    <row r="4420" spans="5:6" ht="15" customHeight="1" x14ac:dyDescent="0.2">
      <c r="E4420" s="18"/>
      <c r="F4420" s="18"/>
    </row>
    <row r="4421" spans="5:6" ht="15" customHeight="1" x14ac:dyDescent="0.2">
      <c r="E4421" s="18"/>
      <c r="F4421" s="18"/>
    </row>
    <row r="4422" spans="5:6" ht="15" customHeight="1" x14ac:dyDescent="0.2">
      <c r="E4422" s="18"/>
      <c r="F4422" s="18"/>
    </row>
    <row r="4423" spans="5:6" ht="15" customHeight="1" x14ac:dyDescent="0.2">
      <c r="E4423" s="18"/>
      <c r="F4423" s="18"/>
    </row>
    <row r="4424" spans="5:6" ht="15" customHeight="1" x14ac:dyDescent="0.2">
      <c r="E4424" s="18"/>
      <c r="F4424" s="18"/>
    </row>
    <row r="4425" spans="5:6" ht="15" customHeight="1" x14ac:dyDescent="0.2">
      <c r="E4425" s="18"/>
      <c r="F4425" s="18"/>
    </row>
    <row r="4426" spans="5:6" ht="15" customHeight="1" x14ac:dyDescent="0.2">
      <c r="E4426" s="18"/>
      <c r="F4426" s="18"/>
    </row>
    <row r="4427" spans="5:6" ht="15" customHeight="1" x14ac:dyDescent="0.2">
      <c r="E4427" s="18"/>
      <c r="F4427" s="18"/>
    </row>
    <row r="4428" spans="5:6" ht="15" customHeight="1" x14ac:dyDescent="0.2">
      <c r="E4428" s="18"/>
      <c r="F4428" s="18"/>
    </row>
    <row r="4429" spans="5:6" ht="15" customHeight="1" x14ac:dyDescent="0.2">
      <c r="E4429" s="18"/>
      <c r="F4429" s="18"/>
    </row>
    <row r="4430" spans="5:6" ht="15" customHeight="1" x14ac:dyDescent="0.2">
      <c r="E4430" s="18"/>
      <c r="F4430" s="18"/>
    </row>
    <row r="4431" spans="5:6" ht="15" customHeight="1" x14ac:dyDescent="0.2">
      <c r="E4431" s="18"/>
      <c r="F4431" s="18"/>
    </row>
    <row r="4432" spans="5:6" ht="15" customHeight="1" x14ac:dyDescent="0.2">
      <c r="E4432" s="18"/>
      <c r="F4432" s="18"/>
    </row>
    <row r="4433" spans="5:6" ht="15" customHeight="1" x14ac:dyDescent="0.2">
      <c r="E4433" s="18"/>
      <c r="F4433" s="18"/>
    </row>
    <row r="4434" spans="5:6" ht="15" customHeight="1" x14ac:dyDescent="0.2">
      <c r="E4434" s="18"/>
      <c r="F4434" s="18"/>
    </row>
    <row r="4435" spans="5:6" ht="15" customHeight="1" x14ac:dyDescent="0.2">
      <c r="E4435" s="18"/>
      <c r="F4435" s="18"/>
    </row>
    <row r="4436" spans="5:6" ht="15" customHeight="1" x14ac:dyDescent="0.2">
      <c r="E4436" s="18"/>
      <c r="F4436" s="18"/>
    </row>
    <row r="4437" spans="5:6" ht="15" customHeight="1" x14ac:dyDescent="0.2">
      <c r="E4437" s="18"/>
      <c r="F4437" s="18"/>
    </row>
    <row r="4438" spans="5:6" ht="15" customHeight="1" x14ac:dyDescent="0.2">
      <c r="E4438" s="18"/>
      <c r="F4438" s="18"/>
    </row>
    <row r="4439" spans="5:6" ht="15" customHeight="1" x14ac:dyDescent="0.2">
      <c r="E4439" s="18"/>
      <c r="F4439" s="18"/>
    </row>
    <row r="4440" spans="5:6" ht="15" customHeight="1" x14ac:dyDescent="0.2">
      <c r="E4440" s="18"/>
      <c r="F4440" s="18"/>
    </row>
    <row r="4441" spans="5:6" ht="15" customHeight="1" x14ac:dyDescent="0.2">
      <c r="E4441" s="18"/>
      <c r="F4441" s="18"/>
    </row>
    <row r="4442" spans="5:6" ht="15" customHeight="1" x14ac:dyDescent="0.2">
      <c r="E4442" s="18"/>
      <c r="F4442" s="18"/>
    </row>
    <row r="4443" spans="5:6" ht="15" customHeight="1" x14ac:dyDescent="0.2">
      <c r="E4443" s="18"/>
      <c r="F4443" s="18"/>
    </row>
    <row r="4444" spans="5:6" ht="15" customHeight="1" x14ac:dyDescent="0.2">
      <c r="E4444" s="18"/>
      <c r="F4444" s="18"/>
    </row>
    <row r="4445" spans="5:6" ht="15" customHeight="1" x14ac:dyDescent="0.2">
      <c r="E4445" s="18"/>
      <c r="F4445" s="18"/>
    </row>
    <row r="4446" spans="5:6" ht="15" customHeight="1" x14ac:dyDescent="0.2">
      <c r="E4446" s="18"/>
      <c r="F4446" s="18"/>
    </row>
    <row r="4447" spans="5:6" ht="15" customHeight="1" x14ac:dyDescent="0.2">
      <c r="E4447" s="18"/>
      <c r="F4447" s="18"/>
    </row>
    <row r="4448" spans="5:6" ht="15" customHeight="1" x14ac:dyDescent="0.2">
      <c r="E4448" s="18"/>
      <c r="F4448" s="18"/>
    </row>
    <row r="4449" spans="5:6" ht="15" customHeight="1" x14ac:dyDescent="0.2">
      <c r="E4449" s="18"/>
      <c r="F4449" s="18"/>
    </row>
    <row r="4450" spans="5:6" ht="15" customHeight="1" x14ac:dyDescent="0.2">
      <c r="E4450" s="18"/>
      <c r="F4450" s="18"/>
    </row>
    <row r="4451" spans="5:6" ht="15" customHeight="1" x14ac:dyDescent="0.2">
      <c r="E4451" s="18"/>
      <c r="F4451" s="18"/>
    </row>
    <row r="4452" spans="5:6" ht="15" customHeight="1" x14ac:dyDescent="0.2">
      <c r="E4452" s="18"/>
      <c r="F4452" s="18"/>
    </row>
    <row r="4453" spans="5:6" ht="15" customHeight="1" x14ac:dyDescent="0.2">
      <c r="E4453" s="18"/>
      <c r="F4453" s="18"/>
    </row>
    <row r="4454" spans="5:6" ht="15" customHeight="1" x14ac:dyDescent="0.2">
      <c r="E4454" s="18"/>
      <c r="F4454" s="18"/>
    </row>
    <row r="4455" spans="5:6" ht="15" customHeight="1" x14ac:dyDescent="0.2">
      <c r="E4455" s="18"/>
      <c r="F4455" s="18"/>
    </row>
    <row r="4456" spans="5:6" ht="15" customHeight="1" x14ac:dyDescent="0.2">
      <c r="E4456" s="18"/>
      <c r="F4456" s="18"/>
    </row>
    <row r="4457" spans="5:6" ht="15" customHeight="1" x14ac:dyDescent="0.2">
      <c r="E4457" s="18"/>
      <c r="F4457" s="18"/>
    </row>
    <row r="4458" spans="5:6" ht="15" customHeight="1" x14ac:dyDescent="0.2">
      <c r="E4458" s="18"/>
      <c r="F4458" s="18"/>
    </row>
    <row r="4459" spans="5:6" ht="15" customHeight="1" x14ac:dyDescent="0.2">
      <c r="E4459" s="18"/>
      <c r="F4459" s="18"/>
    </row>
    <row r="4460" spans="5:6" ht="15" customHeight="1" x14ac:dyDescent="0.2">
      <c r="E4460" s="18"/>
      <c r="F4460" s="18"/>
    </row>
    <row r="4461" spans="5:6" ht="15" customHeight="1" x14ac:dyDescent="0.2">
      <c r="E4461" s="18"/>
      <c r="F4461" s="18"/>
    </row>
    <row r="4462" spans="5:6" ht="15" customHeight="1" x14ac:dyDescent="0.2">
      <c r="E4462" s="18"/>
      <c r="F4462" s="18"/>
    </row>
    <row r="4463" spans="5:6" ht="15" customHeight="1" x14ac:dyDescent="0.2">
      <c r="E4463" s="18"/>
      <c r="F4463" s="18"/>
    </row>
    <row r="4464" spans="5:6" ht="15" customHeight="1" x14ac:dyDescent="0.2">
      <c r="E4464" s="18"/>
      <c r="F4464" s="18"/>
    </row>
    <row r="4465" spans="5:6" ht="15" customHeight="1" x14ac:dyDescent="0.2">
      <c r="E4465" s="18"/>
      <c r="F4465" s="18"/>
    </row>
    <row r="4466" spans="5:6" ht="15" customHeight="1" x14ac:dyDescent="0.2">
      <c r="E4466" s="18"/>
      <c r="F4466" s="18"/>
    </row>
    <row r="4467" spans="5:6" ht="15" customHeight="1" x14ac:dyDescent="0.2">
      <c r="E4467" s="18"/>
      <c r="F4467" s="18"/>
    </row>
    <row r="4468" spans="5:6" ht="15" customHeight="1" x14ac:dyDescent="0.2">
      <c r="E4468" s="18"/>
      <c r="F4468" s="18"/>
    </row>
    <row r="4469" spans="5:6" ht="15" customHeight="1" x14ac:dyDescent="0.2">
      <c r="E4469" s="18"/>
      <c r="F4469" s="18"/>
    </row>
    <row r="4470" spans="5:6" ht="15" customHeight="1" x14ac:dyDescent="0.2">
      <c r="E4470" s="18"/>
      <c r="F4470" s="18"/>
    </row>
    <row r="4471" spans="5:6" ht="15" customHeight="1" x14ac:dyDescent="0.2">
      <c r="E4471" s="18"/>
      <c r="F4471" s="18"/>
    </row>
    <row r="4472" spans="5:6" ht="15" customHeight="1" x14ac:dyDescent="0.2">
      <c r="E4472" s="18"/>
      <c r="F4472" s="18"/>
    </row>
    <row r="4473" spans="5:6" ht="15" customHeight="1" x14ac:dyDescent="0.2">
      <c r="E4473" s="18"/>
      <c r="F4473" s="18"/>
    </row>
    <row r="4474" spans="5:6" ht="15" customHeight="1" x14ac:dyDescent="0.2">
      <c r="E4474" s="18"/>
      <c r="F4474" s="18"/>
    </row>
    <row r="4475" spans="5:6" ht="15" customHeight="1" x14ac:dyDescent="0.2">
      <c r="E4475" s="18"/>
      <c r="F4475" s="18"/>
    </row>
    <row r="4476" spans="5:6" ht="15" customHeight="1" x14ac:dyDescent="0.2">
      <c r="E4476" s="18"/>
      <c r="F4476" s="18"/>
    </row>
    <row r="4477" spans="5:6" ht="15" customHeight="1" x14ac:dyDescent="0.2">
      <c r="E4477" s="18"/>
      <c r="F4477" s="18"/>
    </row>
    <row r="4478" spans="5:6" ht="15" customHeight="1" x14ac:dyDescent="0.2">
      <c r="E4478" s="18"/>
      <c r="F4478" s="18"/>
    </row>
    <row r="4479" spans="5:6" ht="15" customHeight="1" x14ac:dyDescent="0.2">
      <c r="E4479" s="18"/>
      <c r="F4479" s="18"/>
    </row>
    <row r="4480" spans="5:6" ht="15" customHeight="1" x14ac:dyDescent="0.2">
      <c r="E4480" s="18"/>
      <c r="F4480" s="18"/>
    </row>
    <row r="4481" spans="5:6" ht="15" customHeight="1" x14ac:dyDescent="0.2">
      <c r="E4481" s="18"/>
      <c r="F4481" s="18"/>
    </row>
    <row r="4482" spans="5:6" ht="15" customHeight="1" x14ac:dyDescent="0.2">
      <c r="E4482" s="18"/>
      <c r="F4482" s="18"/>
    </row>
    <row r="4483" spans="5:6" ht="15" customHeight="1" x14ac:dyDescent="0.2">
      <c r="E4483" s="18"/>
      <c r="F4483" s="18"/>
    </row>
    <row r="4484" spans="5:6" ht="15" customHeight="1" x14ac:dyDescent="0.2">
      <c r="E4484" s="18"/>
      <c r="F4484" s="18"/>
    </row>
    <row r="4485" spans="5:6" ht="15" customHeight="1" x14ac:dyDescent="0.2">
      <c r="E4485" s="18"/>
      <c r="F4485" s="18"/>
    </row>
    <row r="4486" spans="5:6" ht="15" customHeight="1" x14ac:dyDescent="0.2">
      <c r="E4486" s="18"/>
      <c r="F4486" s="18"/>
    </row>
    <row r="4487" spans="5:6" ht="15" customHeight="1" x14ac:dyDescent="0.2">
      <c r="E4487" s="18"/>
      <c r="F4487" s="18"/>
    </row>
    <row r="4488" spans="5:6" ht="15" customHeight="1" x14ac:dyDescent="0.2">
      <c r="E4488" s="18"/>
      <c r="F4488" s="18"/>
    </row>
    <row r="4489" spans="5:6" ht="15" customHeight="1" x14ac:dyDescent="0.2">
      <c r="E4489" s="18"/>
      <c r="F4489" s="18"/>
    </row>
    <row r="4490" spans="5:6" ht="15" customHeight="1" x14ac:dyDescent="0.2">
      <c r="E4490" s="18"/>
      <c r="F4490" s="18"/>
    </row>
    <row r="4491" spans="5:6" ht="15" customHeight="1" x14ac:dyDescent="0.2">
      <c r="E4491" s="18"/>
      <c r="F4491" s="18"/>
    </row>
    <row r="4492" spans="5:6" ht="15" customHeight="1" x14ac:dyDescent="0.2">
      <c r="E4492" s="18"/>
      <c r="F4492" s="18"/>
    </row>
    <row r="4493" spans="5:6" ht="15" customHeight="1" x14ac:dyDescent="0.2">
      <c r="E4493" s="18"/>
      <c r="F4493" s="18"/>
    </row>
    <row r="4494" spans="5:6" ht="15" customHeight="1" x14ac:dyDescent="0.2">
      <c r="E4494" s="18"/>
      <c r="F4494" s="18"/>
    </row>
    <row r="4495" spans="5:6" ht="15" customHeight="1" x14ac:dyDescent="0.2">
      <c r="E4495" s="18"/>
      <c r="F4495" s="18"/>
    </row>
    <row r="4496" spans="5:6" ht="15" customHeight="1" x14ac:dyDescent="0.2">
      <c r="E4496" s="18"/>
      <c r="F4496" s="18"/>
    </row>
    <row r="4497" spans="5:6" ht="15" customHeight="1" x14ac:dyDescent="0.2">
      <c r="E4497" s="18"/>
      <c r="F4497" s="18"/>
    </row>
    <row r="4498" spans="5:6" ht="15" customHeight="1" x14ac:dyDescent="0.2">
      <c r="E4498" s="18"/>
      <c r="F4498" s="18"/>
    </row>
    <row r="4499" spans="5:6" ht="15" customHeight="1" x14ac:dyDescent="0.2">
      <c r="E4499" s="18"/>
      <c r="F4499" s="18"/>
    </row>
    <row r="4500" spans="5:6" ht="15" customHeight="1" x14ac:dyDescent="0.2">
      <c r="E4500" s="18"/>
      <c r="F4500" s="18"/>
    </row>
    <row r="4501" spans="5:6" ht="15" customHeight="1" x14ac:dyDescent="0.2">
      <c r="E4501" s="18"/>
      <c r="F4501" s="18"/>
    </row>
    <row r="4502" spans="5:6" ht="15" customHeight="1" x14ac:dyDescent="0.2">
      <c r="E4502" s="18"/>
      <c r="F4502" s="18"/>
    </row>
    <row r="4503" spans="5:6" ht="15" customHeight="1" x14ac:dyDescent="0.2">
      <c r="E4503" s="18"/>
      <c r="F4503" s="18"/>
    </row>
    <row r="4504" spans="5:6" ht="15" customHeight="1" x14ac:dyDescent="0.2">
      <c r="E4504" s="18"/>
      <c r="F4504" s="18"/>
    </row>
    <row r="4505" spans="5:6" ht="15" customHeight="1" x14ac:dyDescent="0.2">
      <c r="E4505" s="18"/>
      <c r="F4505" s="18"/>
    </row>
    <row r="4506" spans="5:6" ht="15" customHeight="1" x14ac:dyDescent="0.2">
      <c r="E4506" s="18"/>
      <c r="F4506" s="18"/>
    </row>
    <row r="4507" spans="5:6" ht="15" customHeight="1" x14ac:dyDescent="0.2">
      <c r="E4507" s="18"/>
      <c r="F4507" s="18"/>
    </row>
    <row r="4508" spans="5:6" ht="15" customHeight="1" x14ac:dyDescent="0.2">
      <c r="E4508" s="18"/>
      <c r="F4508" s="18"/>
    </row>
    <row r="4509" spans="5:6" ht="15" customHeight="1" x14ac:dyDescent="0.2">
      <c r="E4509" s="18"/>
      <c r="F4509" s="18"/>
    </row>
    <row r="4510" spans="5:6" ht="15" customHeight="1" x14ac:dyDescent="0.2">
      <c r="E4510" s="18"/>
      <c r="F4510" s="18"/>
    </row>
    <row r="4511" spans="5:6" ht="15" customHeight="1" x14ac:dyDescent="0.2">
      <c r="E4511" s="18"/>
      <c r="F4511" s="18"/>
    </row>
    <row r="4512" spans="5:6" ht="15" customHeight="1" x14ac:dyDescent="0.2">
      <c r="E4512" s="18"/>
      <c r="F4512" s="18"/>
    </row>
    <row r="4513" spans="5:6" ht="15" customHeight="1" x14ac:dyDescent="0.2">
      <c r="E4513" s="18"/>
      <c r="F4513" s="18"/>
    </row>
    <row r="4514" spans="5:6" ht="15" customHeight="1" x14ac:dyDescent="0.2">
      <c r="E4514" s="18"/>
      <c r="F4514" s="18"/>
    </row>
    <row r="4515" spans="5:6" ht="15" customHeight="1" x14ac:dyDescent="0.2">
      <c r="E4515" s="18"/>
      <c r="F4515" s="18"/>
    </row>
    <row r="4516" spans="5:6" ht="15" customHeight="1" x14ac:dyDescent="0.2">
      <c r="E4516" s="18"/>
      <c r="F4516" s="18"/>
    </row>
    <row r="4517" spans="5:6" ht="15" customHeight="1" x14ac:dyDescent="0.2">
      <c r="E4517" s="18"/>
      <c r="F4517" s="18"/>
    </row>
    <row r="4518" spans="5:6" ht="15" customHeight="1" x14ac:dyDescent="0.2">
      <c r="E4518" s="18"/>
      <c r="F4518" s="18"/>
    </row>
    <row r="4519" spans="5:6" ht="15" customHeight="1" x14ac:dyDescent="0.2">
      <c r="E4519" s="18"/>
      <c r="F4519" s="18"/>
    </row>
    <row r="4520" spans="5:6" ht="15" customHeight="1" x14ac:dyDescent="0.2">
      <c r="E4520" s="18"/>
      <c r="F4520" s="18"/>
    </row>
    <row r="4521" spans="5:6" ht="15" customHeight="1" x14ac:dyDescent="0.2">
      <c r="E4521" s="18"/>
      <c r="F4521" s="18"/>
    </row>
    <row r="4522" spans="5:6" ht="15" customHeight="1" x14ac:dyDescent="0.2">
      <c r="E4522" s="18"/>
      <c r="F4522" s="18"/>
    </row>
    <row r="4523" spans="5:6" ht="15" customHeight="1" x14ac:dyDescent="0.2">
      <c r="E4523" s="18"/>
      <c r="F4523" s="18"/>
    </row>
    <row r="4524" spans="5:6" ht="15" customHeight="1" x14ac:dyDescent="0.2">
      <c r="E4524" s="18"/>
      <c r="F4524" s="18"/>
    </row>
    <row r="4525" spans="5:6" ht="15" customHeight="1" x14ac:dyDescent="0.2">
      <c r="E4525" s="18"/>
      <c r="F4525" s="18"/>
    </row>
    <row r="4526" spans="5:6" ht="15" customHeight="1" x14ac:dyDescent="0.2">
      <c r="E4526" s="18"/>
      <c r="F4526" s="18"/>
    </row>
    <row r="4527" spans="5:6" ht="15" customHeight="1" x14ac:dyDescent="0.2">
      <c r="E4527" s="18"/>
      <c r="F4527" s="18"/>
    </row>
    <row r="4528" spans="5:6" ht="15" customHeight="1" x14ac:dyDescent="0.2">
      <c r="E4528" s="18"/>
      <c r="F4528" s="18"/>
    </row>
    <row r="4529" spans="5:6" ht="15" customHeight="1" x14ac:dyDescent="0.2">
      <c r="E4529" s="18"/>
      <c r="F4529" s="18"/>
    </row>
    <row r="4530" spans="5:6" ht="15" customHeight="1" x14ac:dyDescent="0.2">
      <c r="E4530" s="18"/>
      <c r="F4530" s="18"/>
    </row>
    <row r="4531" spans="5:6" ht="15" customHeight="1" x14ac:dyDescent="0.2">
      <c r="E4531" s="18"/>
      <c r="F4531" s="18"/>
    </row>
    <row r="4532" spans="5:6" ht="15" customHeight="1" x14ac:dyDescent="0.2">
      <c r="E4532" s="18"/>
      <c r="F4532" s="18"/>
    </row>
    <row r="4533" spans="5:6" ht="15" customHeight="1" x14ac:dyDescent="0.2">
      <c r="E4533" s="18"/>
      <c r="F4533" s="18"/>
    </row>
    <row r="4534" spans="5:6" ht="15" customHeight="1" x14ac:dyDescent="0.2">
      <c r="E4534" s="18"/>
      <c r="F4534" s="18"/>
    </row>
    <row r="4535" spans="5:6" ht="15" customHeight="1" x14ac:dyDescent="0.2">
      <c r="E4535" s="18"/>
      <c r="F4535" s="18"/>
    </row>
    <row r="4536" spans="5:6" ht="15" customHeight="1" x14ac:dyDescent="0.2">
      <c r="E4536" s="18"/>
      <c r="F4536" s="18"/>
    </row>
    <row r="4537" spans="5:6" ht="15" customHeight="1" x14ac:dyDescent="0.2">
      <c r="E4537" s="18"/>
      <c r="F4537" s="18"/>
    </row>
    <row r="4538" spans="5:6" ht="15" customHeight="1" x14ac:dyDescent="0.2">
      <c r="E4538" s="18"/>
      <c r="F4538" s="18"/>
    </row>
    <row r="4539" spans="5:6" ht="15" customHeight="1" x14ac:dyDescent="0.2">
      <c r="E4539" s="18"/>
      <c r="F4539" s="18"/>
    </row>
    <row r="4540" spans="5:6" ht="15" customHeight="1" x14ac:dyDescent="0.2">
      <c r="E4540" s="18"/>
      <c r="F4540" s="18"/>
    </row>
    <row r="4541" spans="5:6" ht="15" customHeight="1" x14ac:dyDescent="0.2">
      <c r="E4541" s="18"/>
      <c r="F4541" s="18"/>
    </row>
    <row r="4542" spans="5:6" ht="15" customHeight="1" x14ac:dyDescent="0.2">
      <c r="E4542" s="18"/>
      <c r="F4542" s="18"/>
    </row>
    <row r="4543" spans="5:6" ht="15" customHeight="1" x14ac:dyDescent="0.2">
      <c r="E4543" s="18"/>
      <c r="F4543" s="18"/>
    </row>
    <row r="4544" spans="5:6" ht="15" customHeight="1" x14ac:dyDescent="0.2">
      <c r="E4544" s="18"/>
      <c r="F4544" s="18"/>
    </row>
    <row r="4545" spans="5:6" ht="15" customHeight="1" x14ac:dyDescent="0.2">
      <c r="E4545" s="18"/>
      <c r="F4545" s="18"/>
    </row>
    <row r="4546" spans="5:6" ht="15" customHeight="1" x14ac:dyDescent="0.2">
      <c r="E4546" s="18"/>
      <c r="F4546" s="18"/>
    </row>
    <row r="4547" spans="5:6" ht="15" customHeight="1" x14ac:dyDescent="0.2">
      <c r="E4547" s="18"/>
      <c r="F4547" s="18"/>
    </row>
    <row r="4548" spans="5:6" ht="15" customHeight="1" x14ac:dyDescent="0.2">
      <c r="E4548" s="18"/>
      <c r="F4548" s="18"/>
    </row>
    <row r="4549" spans="5:6" ht="15" customHeight="1" x14ac:dyDescent="0.2">
      <c r="E4549" s="18"/>
      <c r="F4549" s="18"/>
    </row>
    <row r="4550" spans="5:6" ht="15" customHeight="1" x14ac:dyDescent="0.2">
      <c r="E4550" s="18"/>
      <c r="F4550" s="18"/>
    </row>
    <row r="4551" spans="5:6" ht="15" customHeight="1" x14ac:dyDescent="0.2">
      <c r="E4551" s="18"/>
      <c r="F4551" s="18"/>
    </row>
    <row r="4552" spans="5:6" ht="15" customHeight="1" x14ac:dyDescent="0.2">
      <c r="E4552" s="18"/>
      <c r="F4552" s="18"/>
    </row>
    <row r="4553" spans="5:6" ht="15" customHeight="1" x14ac:dyDescent="0.2">
      <c r="E4553" s="18"/>
      <c r="F4553" s="18"/>
    </row>
    <row r="4554" spans="5:6" ht="15" customHeight="1" x14ac:dyDescent="0.2">
      <c r="E4554" s="18"/>
      <c r="F4554" s="18"/>
    </row>
    <row r="4555" spans="5:6" ht="15" customHeight="1" x14ac:dyDescent="0.2">
      <c r="E4555" s="18"/>
      <c r="F4555" s="18"/>
    </row>
    <row r="4556" spans="5:6" ht="15" customHeight="1" x14ac:dyDescent="0.2">
      <c r="E4556" s="18"/>
      <c r="F4556" s="18"/>
    </row>
    <row r="4557" spans="5:6" ht="15" customHeight="1" x14ac:dyDescent="0.2">
      <c r="E4557" s="18"/>
      <c r="F4557" s="18"/>
    </row>
    <row r="4558" spans="5:6" ht="15" customHeight="1" x14ac:dyDescent="0.2">
      <c r="E4558" s="18"/>
      <c r="F4558" s="18"/>
    </row>
    <row r="4559" spans="5:6" ht="15" customHeight="1" x14ac:dyDescent="0.2">
      <c r="E4559" s="18"/>
      <c r="F4559" s="18"/>
    </row>
    <row r="4560" spans="5:6" ht="15" customHeight="1" x14ac:dyDescent="0.2">
      <c r="E4560" s="18"/>
      <c r="F4560" s="18"/>
    </row>
    <row r="4561" spans="5:6" ht="15" customHeight="1" x14ac:dyDescent="0.2">
      <c r="E4561" s="18"/>
      <c r="F4561" s="18"/>
    </row>
    <row r="4562" spans="5:6" ht="15" customHeight="1" x14ac:dyDescent="0.2">
      <c r="E4562" s="18"/>
      <c r="F4562" s="18"/>
    </row>
    <row r="4563" spans="5:6" ht="15" customHeight="1" x14ac:dyDescent="0.2">
      <c r="E4563" s="18"/>
      <c r="F4563" s="18"/>
    </row>
    <row r="4564" spans="5:6" ht="15" customHeight="1" x14ac:dyDescent="0.2">
      <c r="E4564" s="18"/>
      <c r="F4564" s="18"/>
    </row>
    <row r="4565" spans="5:6" ht="15" customHeight="1" x14ac:dyDescent="0.2">
      <c r="E4565" s="18"/>
      <c r="F4565" s="18"/>
    </row>
    <row r="4566" spans="5:6" ht="15" customHeight="1" x14ac:dyDescent="0.2">
      <c r="E4566" s="18"/>
      <c r="F4566" s="18"/>
    </row>
    <row r="4567" spans="5:6" ht="15" customHeight="1" x14ac:dyDescent="0.2">
      <c r="E4567" s="18"/>
      <c r="F4567" s="18"/>
    </row>
    <row r="4568" spans="5:6" ht="15" customHeight="1" x14ac:dyDescent="0.2">
      <c r="E4568" s="18"/>
      <c r="F4568" s="18"/>
    </row>
    <row r="4569" spans="5:6" ht="15" customHeight="1" x14ac:dyDescent="0.2">
      <c r="E4569" s="18"/>
      <c r="F4569" s="18"/>
    </row>
    <row r="4570" spans="5:6" ht="15" customHeight="1" x14ac:dyDescent="0.2">
      <c r="E4570" s="18"/>
      <c r="F4570" s="18"/>
    </row>
    <row r="4571" spans="5:6" ht="15" customHeight="1" x14ac:dyDescent="0.2">
      <c r="E4571" s="18"/>
      <c r="F4571" s="18"/>
    </row>
    <row r="4572" spans="5:6" ht="15" customHeight="1" x14ac:dyDescent="0.2">
      <c r="E4572" s="18"/>
      <c r="F4572" s="18"/>
    </row>
    <row r="4573" spans="5:6" ht="15" customHeight="1" x14ac:dyDescent="0.2">
      <c r="E4573" s="18"/>
      <c r="F4573" s="18"/>
    </row>
    <row r="4574" spans="5:6" ht="15" customHeight="1" x14ac:dyDescent="0.2">
      <c r="E4574" s="18"/>
      <c r="F4574" s="18"/>
    </row>
    <row r="4575" spans="5:6" ht="15" customHeight="1" x14ac:dyDescent="0.2">
      <c r="E4575" s="18"/>
      <c r="F4575" s="18"/>
    </row>
    <row r="4576" spans="5:6" ht="15" customHeight="1" x14ac:dyDescent="0.2">
      <c r="E4576" s="18"/>
      <c r="F4576" s="18"/>
    </row>
    <row r="4577" spans="5:6" ht="15" customHeight="1" x14ac:dyDescent="0.2">
      <c r="E4577" s="18"/>
      <c r="F4577" s="18"/>
    </row>
    <row r="4578" spans="5:6" ht="15" customHeight="1" x14ac:dyDescent="0.2">
      <c r="E4578" s="18"/>
      <c r="F4578" s="18"/>
    </row>
    <row r="4579" spans="5:6" ht="15" customHeight="1" x14ac:dyDescent="0.2">
      <c r="E4579" s="18"/>
      <c r="F4579" s="18"/>
    </row>
    <row r="4580" spans="5:6" ht="15" customHeight="1" x14ac:dyDescent="0.2">
      <c r="E4580" s="18"/>
      <c r="F4580" s="18"/>
    </row>
    <row r="4581" spans="5:6" ht="15" customHeight="1" x14ac:dyDescent="0.2">
      <c r="E4581" s="18"/>
      <c r="F4581" s="18"/>
    </row>
    <row r="4582" spans="5:6" ht="15" customHeight="1" x14ac:dyDescent="0.2">
      <c r="E4582" s="18"/>
      <c r="F4582" s="18"/>
    </row>
    <row r="4583" spans="5:6" ht="15" customHeight="1" x14ac:dyDescent="0.2">
      <c r="E4583" s="18"/>
      <c r="F4583" s="18"/>
    </row>
    <row r="4584" spans="5:6" ht="15" customHeight="1" x14ac:dyDescent="0.2">
      <c r="E4584" s="18"/>
      <c r="F4584" s="18"/>
    </row>
    <row r="4585" spans="5:6" ht="15" customHeight="1" x14ac:dyDescent="0.2">
      <c r="E4585" s="18"/>
      <c r="F4585" s="18"/>
    </row>
    <row r="4586" spans="5:6" ht="15" customHeight="1" x14ac:dyDescent="0.2">
      <c r="E4586" s="18"/>
      <c r="F4586" s="18"/>
    </row>
    <row r="4587" spans="5:6" ht="15" customHeight="1" x14ac:dyDescent="0.2">
      <c r="E4587" s="18"/>
      <c r="F4587" s="18"/>
    </row>
    <row r="4588" spans="5:6" ht="15" customHeight="1" x14ac:dyDescent="0.2">
      <c r="E4588" s="18"/>
      <c r="F4588" s="18"/>
    </row>
    <row r="4589" spans="5:6" ht="15" customHeight="1" x14ac:dyDescent="0.2">
      <c r="E4589" s="18"/>
      <c r="F4589" s="18"/>
    </row>
    <row r="4590" spans="5:6" ht="15" customHeight="1" x14ac:dyDescent="0.2">
      <c r="E4590" s="18"/>
      <c r="F4590" s="18"/>
    </row>
    <row r="4591" spans="5:6" ht="15" customHeight="1" x14ac:dyDescent="0.2">
      <c r="E4591" s="18"/>
      <c r="F4591" s="18"/>
    </row>
    <row r="4592" spans="5:6" ht="15" customHeight="1" x14ac:dyDescent="0.2">
      <c r="E4592" s="18"/>
      <c r="F4592" s="18"/>
    </row>
    <row r="4593" spans="5:6" ht="15" customHeight="1" x14ac:dyDescent="0.2">
      <c r="E4593" s="18"/>
      <c r="F4593" s="18"/>
    </row>
    <row r="4594" spans="5:6" ht="15" customHeight="1" x14ac:dyDescent="0.2">
      <c r="E4594" s="18"/>
      <c r="F4594" s="18"/>
    </row>
    <row r="4595" spans="5:6" ht="15" customHeight="1" x14ac:dyDescent="0.2">
      <c r="E4595" s="18"/>
      <c r="F4595" s="18"/>
    </row>
    <row r="4596" spans="5:6" ht="15" customHeight="1" x14ac:dyDescent="0.2">
      <c r="E4596" s="18"/>
      <c r="F4596" s="18"/>
    </row>
    <row r="4597" spans="5:6" ht="15" customHeight="1" x14ac:dyDescent="0.2">
      <c r="E4597" s="18"/>
      <c r="F4597" s="18"/>
    </row>
    <row r="4598" spans="5:6" ht="15" customHeight="1" x14ac:dyDescent="0.2">
      <c r="E4598" s="18"/>
      <c r="F4598" s="18"/>
    </row>
    <row r="4599" spans="5:6" ht="15" customHeight="1" x14ac:dyDescent="0.2">
      <c r="E4599" s="18"/>
      <c r="F4599" s="18"/>
    </row>
    <row r="4600" spans="5:6" ht="15" customHeight="1" x14ac:dyDescent="0.2">
      <c r="E4600" s="18"/>
      <c r="F4600" s="18"/>
    </row>
    <row r="4601" spans="5:6" ht="15" customHeight="1" x14ac:dyDescent="0.2">
      <c r="E4601" s="18"/>
      <c r="F4601" s="18"/>
    </row>
    <row r="4602" spans="5:6" ht="15" customHeight="1" x14ac:dyDescent="0.2">
      <c r="E4602" s="18"/>
      <c r="F4602" s="18"/>
    </row>
    <row r="4603" spans="5:6" ht="15" customHeight="1" x14ac:dyDescent="0.2">
      <c r="E4603" s="18"/>
      <c r="F4603" s="18"/>
    </row>
    <row r="4604" spans="5:6" ht="15" customHeight="1" x14ac:dyDescent="0.2">
      <c r="E4604" s="18"/>
      <c r="F4604" s="18"/>
    </row>
    <row r="4605" spans="5:6" ht="15" customHeight="1" x14ac:dyDescent="0.2">
      <c r="E4605" s="18"/>
      <c r="F4605" s="18"/>
    </row>
    <row r="4606" spans="5:6" ht="15" customHeight="1" x14ac:dyDescent="0.2">
      <c r="E4606" s="18"/>
      <c r="F4606" s="18"/>
    </row>
    <row r="4607" spans="5:6" ht="15" customHeight="1" x14ac:dyDescent="0.2">
      <c r="E4607" s="18"/>
      <c r="F4607" s="18"/>
    </row>
    <row r="4608" spans="5:6" ht="15" customHeight="1" x14ac:dyDescent="0.2">
      <c r="E4608" s="18"/>
      <c r="F4608" s="18"/>
    </row>
    <row r="4609" spans="5:6" ht="15" customHeight="1" x14ac:dyDescent="0.2">
      <c r="E4609" s="18"/>
      <c r="F4609" s="18"/>
    </row>
    <row r="4610" spans="5:6" ht="15" customHeight="1" x14ac:dyDescent="0.2">
      <c r="E4610" s="18"/>
      <c r="F4610" s="18"/>
    </row>
    <row r="4611" spans="5:6" ht="15" customHeight="1" x14ac:dyDescent="0.2">
      <c r="E4611" s="18"/>
      <c r="F4611" s="18"/>
    </row>
    <row r="4612" spans="5:6" ht="15" customHeight="1" x14ac:dyDescent="0.2">
      <c r="E4612" s="18"/>
      <c r="F4612" s="18"/>
    </row>
    <row r="4613" spans="5:6" ht="15" customHeight="1" x14ac:dyDescent="0.2">
      <c r="E4613" s="18"/>
      <c r="F4613" s="18"/>
    </row>
    <row r="4614" spans="5:6" ht="15" customHeight="1" x14ac:dyDescent="0.2">
      <c r="E4614" s="18"/>
      <c r="F4614" s="18"/>
    </row>
    <row r="4615" spans="5:6" ht="15" customHeight="1" x14ac:dyDescent="0.2">
      <c r="E4615" s="18"/>
      <c r="F4615" s="18"/>
    </row>
    <row r="4616" spans="5:6" ht="15" customHeight="1" x14ac:dyDescent="0.2">
      <c r="E4616" s="18"/>
      <c r="F4616" s="18"/>
    </row>
    <row r="4617" spans="5:6" ht="15" customHeight="1" x14ac:dyDescent="0.2">
      <c r="E4617" s="18"/>
      <c r="F4617" s="18"/>
    </row>
    <row r="4618" spans="5:6" ht="15" customHeight="1" x14ac:dyDescent="0.2">
      <c r="E4618" s="18"/>
      <c r="F4618" s="18"/>
    </row>
    <row r="4619" spans="5:6" ht="15" customHeight="1" x14ac:dyDescent="0.2">
      <c r="E4619" s="18"/>
      <c r="F4619" s="18"/>
    </row>
    <row r="4620" spans="5:6" ht="15" customHeight="1" x14ac:dyDescent="0.2">
      <c r="E4620" s="18"/>
      <c r="F4620" s="18"/>
    </row>
    <row r="4621" spans="5:6" ht="15" customHeight="1" x14ac:dyDescent="0.2">
      <c r="E4621" s="18"/>
      <c r="F4621" s="18"/>
    </row>
    <row r="4622" spans="5:6" ht="15" customHeight="1" x14ac:dyDescent="0.2">
      <c r="E4622" s="18"/>
      <c r="F4622" s="18"/>
    </row>
    <row r="4623" spans="5:6" ht="15" customHeight="1" x14ac:dyDescent="0.2">
      <c r="E4623" s="18"/>
      <c r="F4623" s="18"/>
    </row>
    <row r="4624" spans="5:6" ht="15" customHeight="1" x14ac:dyDescent="0.2">
      <c r="E4624" s="18"/>
      <c r="F4624" s="18"/>
    </row>
    <row r="4625" spans="5:6" ht="15" customHeight="1" x14ac:dyDescent="0.2">
      <c r="E4625" s="18"/>
      <c r="F4625" s="18"/>
    </row>
    <row r="4626" spans="5:6" ht="15" customHeight="1" x14ac:dyDescent="0.2">
      <c r="E4626" s="18"/>
      <c r="F4626" s="18"/>
    </row>
    <row r="4627" spans="5:6" ht="15" customHeight="1" x14ac:dyDescent="0.2">
      <c r="E4627" s="18"/>
      <c r="F4627" s="18"/>
    </row>
    <row r="4628" spans="5:6" ht="15" customHeight="1" x14ac:dyDescent="0.2">
      <c r="E4628" s="18"/>
      <c r="F4628" s="18"/>
    </row>
    <row r="4629" spans="5:6" ht="15" customHeight="1" x14ac:dyDescent="0.2">
      <c r="E4629" s="18"/>
      <c r="F4629" s="18"/>
    </row>
    <row r="4630" spans="5:6" ht="15" customHeight="1" x14ac:dyDescent="0.2">
      <c r="E4630" s="18"/>
      <c r="F4630" s="18"/>
    </row>
    <row r="4631" spans="5:6" ht="15" customHeight="1" x14ac:dyDescent="0.2">
      <c r="E4631" s="18"/>
      <c r="F4631" s="18"/>
    </row>
    <row r="4632" spans="5:6" ht="15" customHeight="1" x14ac:dyDescent="0.2">
      <c r="E4632" s="18"/>
      <c r="F4632" s="18"/>
    </row>
    <row r="4633" spans="5:6" ht="15" customHeight="1" x14ac:dyDescent="0.2">
      <c r="E4633" s="18"/>
      <c r="F4633" s="18"/>
    </row>
    <row r="4634" spans="5:6" ht="15" customHeight="1" x14ac:dyDescent="0.2">
      <c r="E4634" s="18"/>
      <c r="F4634" s="18"/>
    </row>
    <row r="4635" spans="5:6" ht="15" customHeight="1" x14ac:dyDescent="0.2">
      <c r="E4635" s="18"/>
      <c r="F4635" s="18"/>
    </row>
    <row r="4636" spans="5:6" ht="15" customHeight="1" x14ac:dyDescent="0.2">
      <c r="E4636" s="18"/>
      <c r="F4636" s="18"/>
    </row>
    <row r="4637" spans="5:6" ht="15" customHeight="1" x14ac:dyDescent="0.2">
      <c r="E4637" s="18"/>
      <c r="F4637" s="18"/>
    </row>
    <row r="4638" spans="5:6" ht="15" customHeight="1" x14ac:dyDescent="0.2">
      <c r="E4638" s="18"/>
      <c r="F4638" s="18"/>
    </row>
    <row r="4639" spans="5:6" ht="15" customHeight="1" x14ac:dyDescent="0.2">
      <c r="E4639" s="18"/>
      <c r="F4639" s="18"/>
    </row>
    <row r="4640" spans="5:6" ht="15" customHeight="1" x14ac:dyDescent="0.2">
      <c r="E4640" s="18"/>
      <c r="F4640" s="18"/>
    </row>
    <row r="4641" spans="5:6" ht="15" customHeight="1" x14ac:dyDescent="0.2">
      <c r="E4641" s="18"/>
      <c r="F4641" s="18"/>
    </row>
    <row r="4642" spans="5:6" ht="15" customHeight="1" x14ac:dyDescent="0.2">
      <c r="E4642" s="18"/>
      <c r="F4642" s="18"/>
    </row>
    <row r="4643" spans="5:6" ht="15" customHeight="1" x14ac:dyDescent="0.2">
      <c r="E4643" s="18"/>
      <c r="F4643" s="18"/>
    </row>
    <row r="4644" spans="5:6" ht="15" customHeight="1" x14ac:dyDescent="0.2">
      <c r="E4644" s="18"/>
      <c r="F4644" s="18"/>
    </row>
    <row r="4645" spans="5:6" ht="15" customHeight="1" x14ac:dyDescent="0.2">
      <c r="E4645" s="18"/>
      <c r="F4645" s="18"/>
    </row>
    <row r="4646" spans="5:6" ht="15" customHeight="1" x14ac:dyDescent="0.2">
      <c r="E4646" s="18"/>
      <c r="F4646" s="18"/>
    </row>
    <row r="4647" spans="5:6" ht="15" customHeight="1" x14ac:dyDescent="0.2">
      <c r="E4647" s="18"/>
      <c r="F4647" s="18"/>
    </row>
    <row r="4648" spans="5:6" ht="15" customHeight="1" x14ac:dyDescent="0.2">
      <c r="E4648" s="18"/>
      <c r="F4648" s="18"/>
    </row>
    <row r="4649" spans="5:6" ht="15" customHeight="1" x14ac:dyDescent="0.2">
      <c r="E4649" s="18"/>
      <c r="F4649" s="18"/>
    </row>
    <row r="4650" spans="5:6" ht="15" customHeight="1" x14ac:dyDescent="0.2">
      <c r="E4650" s="18"/>
      <c r="F4650" s="18"/>
    </row>
    <row r="4651" spans="5:6" ht="15" customHeight="1" x14ac:dyDescent="0.2">
      <c r="E4651" s="18"/>
      <c r="F4651" s="18"/>
    </row>
    <row r="4652" spans="5:6" ht="15" customHeight="1" x14ac:dyDescent="0.2">
      <c r="E4652" s="18"/>
      <c r="F4652" s="18"/>
    </row>
    <row r="4653" spans="5:6" ht="15" customHeight="1" x14ac:dyDescent="0.2">
      <c r="E4653" s="18"/>
      <c r="F4653" s="18"/>
    </row>
    <row r="4654" spans="5:6" ht="15" customHeight="1" x14ac:dyDescent="0.2">
      <c r="E4654" s="18"/>
      <c r="F4654" s="18"/>
    </row>
    <row r="4655" spans="5:6" ht="15" customHeight="1" x14ac:dyDescent="0.2">
      <c r="E4655" s="18"/>
      <c r="F4655" s="18"/>
    </row>
    <row r="4656" spans="5:6" ht="15" customHeight="1" x14ac:dyDescent="0.2">
      <c r="E4656" s="18"/>
      <c r="F4656" s="18"/>
    </row>
    <row r="4657" spans="5:6" ht="15" customHeight="1" x14ac:dyDescent="0.2">
      <c r="E4657" s="18"/>
      <c r="F4657" s="18"/>
    </row>
    <row r="4658" spans="5:6" ht="15" customHeight="1" x14ac:dyDescent="0.2">
      <c r="E4658" s="18"/>
      <c r="F4658" s="18"/>
    </row>
    <row r="4659" spans="5:6" ht="15" customHeight="1" x14ac:dyDescent="0.2">
      <c r="E4659" s="18"/>
      <c r="F4659" s="18"/>
    </row>
    <row r="4660" spans="5:6" ht="15" customHeight="1" x14ac:dyDescent="0.2">
      <c r="E4660" s="18"/>
      <c r="F4660" s="18"/>
    </row>
    <row r="4661" spans="5:6" ht="15" customHeight="1" x14ac:dyDescent="0.2">
      <c r="E4661" s="18"/>
      <c r="F4661" s="18"/>
    </row>
    <row r="4662" spans="5:6" ht="15" customHeight="1" x14ac:dyDescent="0.2">
      <c r="E4662" s="18"/>
      <c r="F4662" s="18"/>
    </row>
    <row r="4663" spans="5:6" ht="15" customHeight="1" x14ac:dyDescent="0.2">
      <c r="E4663" s="18"/>
      <c r="F4663" s="18"/>
    </row>
    <row r="4664" spans="5:6" ht="15" customHeight="1" x14ac:dyDescent="0.2">
      <c r="E4664" s="18"/>
      <c r="F4664" s="18"/>
    </row>
    <row r="4665" spans="5:6" ht="15" customHeight="1" x14ac:dyDescent="0.2">
      <c r="E4665" s="18"/>
      <c r="F4665" s="18"/>
    </row>
    <row r="4666" spans="5:6" ht="15" customHeight="1" x14ac:dyDescent="0.2">
      <c r="E4666" s="18"/>
      <c r="F4666" s="18"/>
    </row>
    <row r="4667" spans="5:6" ht="15" customHeight="1" x14ac:dyDescent="0.2">
      <c r="E4667" s="18"/>
      <c r="F4667" s="18"/>
    </row>
    <row r="4668" spans="5:6" ht="15" customHeight="1" x14ac:dyDescent="0.2">
      <c r="E4668" s="18"/>
      <c r="F4668" s="18"/>
    </row>
    <row r="4669" spans="5:6" ht="15" customHeight="1" x14ac:dyDescent="0.2">
      <c r="E4669" s="18"/>
      <c r="F4669" s="18"/>
    </row>
    <row r="4670" spans="5:6" ht="15" customHeight="1" x14ac:dyDescent="0.2">
      <c r="E4670" s="18"/>
      <c r="F4670" s="18"/>
    </row>
    <row r="4671" spans="5:6" ht="15" customHeight="1" x14ac:dyDescent="0.2">
      <c r="E4671" s="18"/>
      <c r="F4671" s="18"/>
    </row>
    <row r="4672" spans="5:6" ht="15" customHeight="1" x14ac:dyDescent="0.2">
      <c r="E4672" s="18"/>
      <c r="F4672" s="18"/>
    </row>
    <row r="4673" spans="5:6" ht="15" customHeight="1" x14ac:dyDescent="0.2">
      <c r="E4673" s="18"/>
      <c r="F4673" s="18"/>
    </row>
    <row r="4674" spans="5:6" ht="15" customHeight="1" x14ac:dyDescent="0.2">
      <c r="E4674" s="18"/>
      <c r="F4674" s="18"/>
    </row>
    <row r="4675" spans="5:6" ht="15" customHeight="1" x14ac:dyDescent="0.2">
      <c r="E4675" s="18"/>
      <c r="F4675" s="18"/>
    </row>
    <row r="4676" spans="5:6" ht="15" customHeight="1" x14ac:dyDescent="0.2">
      <c r="E4676" s="18"/>
      <c r="F4676" s="18"/>
    </row>
    <row r="4677" spans="5:6" ht="15" customHeight="1" x14ac:dyDescent="0.2">
      <c r="E4677" s="18"/>
      <c r="F4677" s="18"/>
    </row>
    <row r="4678" spans="5:6" ht="15" customHeight="1" x14ac:dyDescent="0.2">
      <c r="E4678" s="18"/>
      <c r="F4678" s="18"/>
    </row>
    <row r="4679" spans="5:6" ht="15" customHeight="1" x14ac:dyDescent="0.2">
      <c r="E4679" s="18"/>
      <c r="F4679" s="18"/>
    </row>
    <row r="4680" spans="5:6" ht="15" customHeight="1" x14ac:dyDescent="0.2">
      <c r="E4680" s="18"/>
      <c r="F4680" s="18"/>
    </row>
    <row r="4681" spans="5:6" ht="15" customHeight="1" x14ac:dyDescent="0.2">
      <c r="E4681" s="18"/>
      <c r="F4681" s="18"/>
    </row>
    <row r="4682" spans="5:6" ht="15" customHeight="1" x14ac:dyDescent="0.2">
      <c r="E4682" s="18"/>
      <c r="F4682" s="18"/>
    </row>
    <row r="4683" spans="5:6" ht="15" customHeight="1" x14ac:dyDescent="0.2">
      <c r="E4683" s="18"/>
      <c r="F4683" s="18"/>
    </row>
    <row r="4684" spans="5:6" ht="15" customHeight="1" x14ac:dyDescent="0.2">
      <c r="E4684" s="18"/>
      <c r="F4684" s="18"/>
    </row>
    <row r="4685" spans="5:6" ht="15" customHeight="1" x14ac:dyDescent="0.2">
      <c r="E4685" s="18"/>
      <c r="F4685" s="18"/>
    </row>
    <row r="4686" spans="5:6" ht="15" customHeight="1" x14ac:dyDescent="0.2">
      <c r="E4686" s="18"/>
      <c r="F4686" s="18"/>
    </row>
    <row r="4687" spans="5:6" ht="15" customHeight="1" x14ac:dyDescent="0.2">
      <c r="E4687" s="18"/>
      <c r="F4687" s="18"/>
    </row>
    <row r="4688" spans="5:6" ht="15" customHeight="1" x14ac:dyDescent="0.2">
      <c r="E4688" s="18"/>
      <c r="F4688" s="18"/>
    </row>
    <row r="4689" spans="5:6" ht="15" customHeight="1" x14ac:dyDescent="0.2">
      <c r="E4689" s="18"/>
      <c r="F4689" s="18"/>
    </row>
    <row r="4690" spans="5:6" ht="15" customHeight="1" x14ac:dyDescent="0.2">
      <c r="E4690" s="18"/>
      <c r="F4690" s="18"/>
    </row>
    <row r="4691" spans="5:6" ht="15" customHeight="1" x14ac:dyDescent="0.2">
      <c r="E4691" s="18"/>
      <c r="F4691" s="18"/>
    </row>
    <row r="4692" spans="5:6" ht="15" customHeight="1" x14ac:dyDescent="0.2">
      <c r="E4692" s="18"/>
      <c r="F4692" s="18"/>
    </row>
    <row r="4693" spans="5:6" ht="15" customHeight="1" x14ac:dyDescent="0.2">
      <c r="E4693" s="18"/>
      <c r="F4693" s="18"/>
    </row>
    <row r="4694" spans="5:6" ht="15" customHeight="1" x14ac:dyDescent="0.2">
      <c r="E4694" s="18"/>
      <c r="F4694" s="18"/>
    </row>
    <row r="4695" spans="5:6" ht="15" customHeight="1" x14ac:dyDescent="0.2">
      <c r="E4695" s="18"/>
      <c r="F4695" s="18"/>
    </row>
    <row r="4696" spans="5:6" ht="15" customHeight="1" x14ac:dyDescent="0.2">
      <c r="E4696" s="18"/>
      <c r="F4696" s="18"/>
    </row>
    <row r="4697" spans="5:6" ht="15" customHeight="1" x14ac:dyDescent="0.2">
      <c r="E4697" s="18"/>
      <c r="F4697" s="18"/>
    </row>
    <row r="4698" spans="5:6" ht="15" customHeight="1" x14ac:dyDescent="0.2">
      <c r="E4698" s="18"/>
      <c r="F4698" s="18"/>
    </row>
    <row r="4699" spans="5:6" ht="15" customHeight="1" x14ac:dyDescent="0.2">
      <c r="E4699" s="18"/>
      <c r="F4699" s="18"/>
    </row>
    <row r="4700" spans="5:6" ht="15" customHeight="1" x14ac:dyDescent="0.2">
      <c r="E4700" s="18"/>
      <c r="F4700" s="18"/>
    </row>
    <row r="4701" spans="5:6" ht="15" customHeight="1" x14ac:dyDescent="0.2">
      <c r="E4701" s="18"/>
      <c r="F4701" s="18"/>
    </row>
    <row r="4702" spans="5:6" ht="15" customHeight="1" x14ac:dyDescent="0.2">
      <c r="E4702" s="18"/>
      <c r="F4702" s="18"/>
    </row>
    <row r="4703" spans="5:6" ht="15" customHeight="1" x14ac:dyDescent="0.2">
      <c r="E4703" s="18"/>
      <c r="F4703" s="18"/>
    </row>
    <row r="4704" spans="5:6" ht="15" customHeight="1" x14ac:dyDescent="0.2">
      <c r="E4704" s="18"/>
      <c r="F4704" s="18"/>
    </row>
    <row r="4705" spans="5:6" ht="15" customHeight="1" x14ac:dyDescent="0.2">
      <c r="E4705" s="18"/>
      <c r="F4705" s="18"/>
    </row>
    <row r="4706" spans="5:6" ht="15" customHeight="1" x14ac:dyDescent="0.2">
      <c r="E4706" s="18"/>
      <c r="F4706" s="18"/>
    </row>
    <row r="4707" spans="5:6" ht="15" customHeight="1" x14ac:dyDescent="0.2">
      <c r="E4707" s="18"/>
      <c r="F4707" s="18"/>
    </row>
    <row r="4708" spans="5:6" ht="15" customHeight="1" x14ac:dyDescent="0.2">
      <c r="E4708" s="18"/>
      <c r="F4708" s="18"/>
    </row>
    <row r="4709" spans="5:6" ht="15" customHeight="1" x14ac:dyDescent="0.2">
      <c r="E4709" s="18"/>
      <c r="F4709" s="18"/>
    </row>
    <row r="4710" spans="5:6" ht="15" customHeight="1" x14ac:dyDescent="0.2">
      <c r="E4710" s="18"/>
      <c r="F4710" s="18"/>
    </row>
    <row r="4711" spans="5:6" ht="15" customHeight="1" x14ac:dyDescent="0.2">
      <c r="E4711" s="18"/>
      <c r="F4711" s="18"/>
    </row>
    <row r="4712" spans="5:6" ht="15" customHeight="1" x14ac:dyDescent="0.2">
      <c r="E4712" s="18"/>
      <c r="F4712" s="18"/>
    </row>
    <row r="4713" spans="5:6" ht="15" customHeight="1" x14ac:dyDescent="0.2">
      <c r="E4713" s="18"/>
      <c r="F4713" s="18"/>
    </row>
    <row r="4714" spans="5:6" ht="15" customHeight="1" x14ac:dyDescent="0.2">
      <c r="E4714" s="18"/>
      <c r="F4714" s="18"/>
    </row>
    <row r="4715" spans="5:6" ht="15" customHeight="1" x14ac:dyDescent="0.2">
      <c r="E4715" s="18"/>
      <c r="F4715" s="18"/>
    </row>
    <row r="4716" spans="5:6" ht="15" customHeight="1" x14ac:dyDescent="0.2">
      <c r="E4716" s="18"/>
      <c r="F4716" s="18"/>
    </row>
    <row r="4717" spans="5:6" ht="15" customHeight="1" x14ac:dyDescent="0.2">
      <c r="E4717" s="18"/>
      <c r="F4717" s="18"/>
    </row>
    <row r="4718" spans="5:6" ht="15" customHeight="1" x14ac:dyDescent="0.2">
      <c r="E4718" s="18"/>
      <c r="F4718" s="18"/>
    </row>
    <row r="4719" spans="5:6" ht="15" customHeight="1" x14ac:dyDescent="0.2">
      <c r="E4719" s="18"/>
      <c r="F4719" s="18"/>
    </row>
    <row r="4720" spans="5:6" ht="15" customHeight="1" x14ac:dyDescent="0.2">
      <c r="E4720" s="18"/>
      <c r="F4720" s="18"/>
    </row>
    <row r="4721" spans="5:6" ht="15" customHeight="1" x14ac:dyDescent="0.2">
      <c r="E4721" s="18"/>
      <c r="F4721" s="18"/>
    </row>
    <row r="4722" spans="5:6" ht="15" customHeight="1" x14ac:dyDescent="0.2">
      <c r="E4722" s="18"/>
      <c r="F4722" s="18"/>
    </row>
    <row r="4723" spans="5:6" ht="15" customHeight="1" x14ac:dyDescent="0.2">
      <c r="E4723" s="18"/>
      <c r="F4723" s="18"/>
    </row>
    <row r="4724" spans="5:6" ht="15" customHeight="1" x14ac:dyDescent="0.2">
      <c r="E4724" s="18"/>
      <c r="F4724" s="18"/>
    </row>
    <row r="4725" spans="5:6" ht="15" customHeight="1" x14ac:dyDescent="0.2">
      <c r="E4725" s="18"/>
      <c r="F4725" s="18"/>
    </row>
    <row r="4726" spans="5:6" ht="15" customHeight="1" x14ac:dyDescent="0.2">
      <c r="E4726" s="18"/>
      <c r="F4726" s="18"/>
    </row>
    <row r="4727" spans="5:6" ht="15" customHeight="1" x14ac:dyDescent="0.2">
      <c r="E4727" s="18"/>
      <c r="F4727" s="18"/>
    </row>
    <row r="4728" spans="5:6" ht="15" customHeight="1" x14ac:dyDescent="0.2">
      <c r="E4728" s="18"/>
      <c r="F4728" s="18"/>
    </row>
    <row r="4729" spans="5:6" ht="15" customHeight="1" x14ac:dyDescent="0.2">
      <c r="E4729" s="18"/>
      <c r="F4729" s="18"/>
    </row>
    <row r="4730" spans="5:6" ht="15" customHeight="1" x14ac:dyDescent="0.2">
      <c r="E4730" s="18"/>
      <c r="F4730" s="18"/>
    </row>
    <row r="4731" spans="5:6" ht="15" customHeight="1" x14ac:dyDescent="0.2">
      <c r="E4731" s="18"/>
      <c r="F4731" s="18"/>
    </row>
    <row r="4732" spans="5:6" ht="15" customHeight="1" x14ac:dyDescent="0.2">
      <c r="E4732" s="18"/>
      <c r="F4732" s="18"/>
    </row>
    <row r="4733" spans="5:6" ht="15" customHeight="1" x14ac:dyDescent="0.2">
      <c r="E4733" s="18"/>
      <c r="F4733" s="18"/>
    </row>
    <row r="4734" spans="5:6" ht="15" customHeight="1" x14ac:dyDescent="0.2">
      <c r="E4734" s="18"/>
      <c r="F4734" s="18"/>
    </row>
    <row r="4735" spans="5:6" ht="15" customHeight="1" x14ac:dyDescent="0.2">
      <c r="E4735" s="18"/>
      <c r="F4735" s="18"/>
    </row>
    <row r="4736" spans="5:6" ht="15" customHeight="1" x14ac:dyDescent="0.2">
      <c r="E4736" s="18"/>
      <c r="F4736" s="18"/>
    </row>
    <row r="4737" spans="5:6" ht="15" customHeight="1" x14ac:dyDescent="0.2">
      <c r="E4737" s="18"/>
      <c r="F4737" s="18"/>
    </row>
    <row r="4738" spans="5:6" ht="15" customHeight="1" x14ac:dyDescent="0.2">
      <c r="E4738" s="18"/>
      <c r="F4738" s="18"/>
    </row>
    <row r="4739" spans="5:6" ht="15" customHeight="1" x14ac:dyDescent="0.2">
      <c r="E4739" s="18"/>
      <c r="F4739" s="18"/>
    </row>
    <row r="4740" spans="5:6" ht="15" customHeight="1" x14ac:dyDescent="0.2">
      <c r="E4740" s="18"/>
      <c r="F4740" s="18"/>
    </row>
    <row r="4741" spans="5:6" ht="15" customHeight="1" x14ac:dyDescent="0.2">
      <c r="E4741" s="18"/>
      <c r="F4741" s="18"/>
    </row>
    <row r="4742" spans="5:6" ht="15" customHeight="1" x14ac:dyDescent="0.2">
      <c r="E4742" s="18"/>
      <c r="F4742" s="18"/>
    </row>
    <row r="4743" spans="5:6" ht="15" customHeight="1" x14ac:dyDescent="0.2">
      <c r="E4743" s="18"/>
      <c r="F4743" s="18"/>
    </row>
    <row r="4744" spans="5:6" ht="15" customHeight="1" x14ac:dyDescent="0.2">
      <c r="E4744" s="18"/>
      <c r="F4744" s="18"/>
    </row>
    <row r="4745" spans="5:6" ht="15" customHeight="1" x14ac:dyDescent="0.2">
      <c r="E4745" s="18"/>
      <c r="F4745" s="18"/>
    </row>
    <row r="4746" spans="5:6" ht="15" customHeight="1" x14ac:dyDescent="0.2">
      <c r="E4746" s="18"/>
      <c r="F4746" s="18"/>
    </row>
    <row r="4747" spans="5:6" ht="15" customHeight="1" x14ac:dyDescent="0.2">
      <c r="E4747" s="18"/>
      <c r="F4747" s="18"/>
    </row>
    <row r="4748" spans="5:6" ht="15" customHeight="1" x14ac:dyDescent="0.2">
      <c r="E4748" s="18"/>
      <c r="F4748" s="18"/>
    </row>
    <row r="4749" spans="5:6" ht="15" customHeight="1" x14ac:dyDescent="0.2">
      <c r="E4749" s="18"/>
      <c r="F4749" s="18"/>
    </row>
    <row r="4750" spans="5:6" ht="15" customHeight="1" x14ac:dyDescent="0.2">
      <c r="E4750" s="18"/>
      <c r="F4750" s="18"/>
    </row>
    <row r="4751" spans="5:6" ht="15" customHeight="1" x14ac:dyDescent="0.2">
      <c r="E4751" s="18"/>
      <c r="F4751" s="18"/>
    </row>
    <row r="4752" spans="5:6" ht="15" customHeight="1" x14ac:dyDescent="0.2">
      <c r="E4752" s="18"/>
      <c r="F4752" s="18"/>
    </row>
    <row r="4753" spans="5:6" ht="15" customHeight="1" x14ac:dyDescent="0.2">
      <c r="E4753" s="18"/>
      <c r="F4753" s="18"/>
    </row>
    <row r="4754" spans="5:6" ht="15" customHeight="1" x14ac:dyDescent="0.2">
      <c r="E4754" s="18"/>
      <c r="F4754" s="18"/>
    </row>
    <row r="4755" spans="5:6" ht="15" customHeight="1" x14ac:dyDescent="0.2">
      <c r="E4755" s="18"/>
      <c r="F4755" s="18"/>
    </row>
    <row r="4756" spans="5:6" ht="15" customHeight="1" x14ac:dyDescent="0.2">
      <c r="E4756" s="18"/>
      <c r="F4756" s="18"/>
    </row>
    <row r="4757" spans="5:6" ht="15" customHeight="1" x14ac:dyDescent="0.2">
      <c r="E4757" s="18"/>
      <c r="F4757" s="18"/>
    </row>
    <row r="4758" spans="5:6" ht="15" customHeight="1" x14ac:dyDescent="0.2">
      <c r="E4758" s="18"/>
      <c r="F4758" s="18"/>
    </row>
    <row r="4759" spans="5:6" ht="15" customHeight="1" x14ac:dyDescent="0.2">
      <c r="E4759" s="18"/>
      <c r="F4759" s="18"/>
    </row>
    <row r="4760" spans="5:6" ht="15" customHeight="1" x14ac:dyDescent="0.2">
      <c r="E4760" s="18"/>
      <c r="F4760" s="18"/>
    </row>
    <row r="4761" spans="5:6" ht="15" customHeight="1" x14ac:dyDescent="0.2">
      <c r="E4761" s="18"/>
      <c r="F4761" s="18"/>
    </row>
    <row r="4762" spans="5:6" ht="15" customHeight="1" x14ac:dyDescent="0.2">
      <c r="E4762" s="18"/>
      <c r="F4762" s="18"/>
    </row>
    <row r="4763" spans="5:6" ht="15" customHeight="1" x14ac:dyDescent="0.2">
      <c r="E4763" s="18"/>
      <c r="F4763" s="18"/>
    </row>
    <row r="4764" spans="5:6" ht="15" customHeight="1" x14ac:dyDescent="0.2">
      <c r="E4764" s="18"/>
      <c r="F4764" s="18"/>
    </row>
    <row r="4765" spans="5:6" ht="15" customHeight="1" x14ac:dyDescent="0.2">
      <c r="E4765" s="18"/>
      <c r="F4765" s="18"/>
    </row>
    <row r="4766" spans="5:6" ht="15" customHeight="1" x14ac:dyDescent="0.2">
      <c r="E4766" s="18"/>
      <c r="F4766" s="18"/>
    </row>
    <row r="4767" spans="5:6" ht="15" customHeight="1" x14ac:dyDescent="0.2">
      <c r="E4767" s="18"/>
      <c r="F4767" s="18"/>
    </row>
    <row r="4768" spans="5:6" ht="15" customHeight="1" x14ac:dyDescent="0.2">
      <c r="E4768" s="18"/>
      <c r="F4768" s="18"/>
    </row>
    <row r="4769" spans="5:6" ht="15" customHeight="1" x14ac:dyDescent="0.2">
      <c r="E4769" s="18"/>
      <c r="F4769" s="18"/>
    </row>
    <row r="4770" spans="5:6" ht="15" customHeight="1" x14ac:dyDescent="0.2">
      <c r="E4770" s="18"/>
      <c r="F4770" s="18"/>
    </row>
    <row r="4771" spans="5:6" ht="15" customHeight="1" x14ac:dyDescent="0.2">
      <c r="E4771" s="18"/>
      <c r="F4771" s="18"/>
    </row>
    <row r="4772" spans="5:6" ht="15" customHeight="1" x14ac:dyDescent="0.2">
      <c r="E4772" s="18"/>
      <c r="F4772" s="18"/>
    </row>
    <row r="4773" spans="5:6" ht="15" customHeight="1" x14ac:dyDescent="0.2">
      <c r="E4773" s="18"/>
      <c r="F4773" s="18"/>
    </row>
    <row r="4774" spans="5:6" ht="15" customHeight="1" x14ac:dyDescent="0.2">
      <c r="E4774" s="18"/>
      <c r="F4774" s="18"/>
    </row>
    <row r="4775" spans="5:6" ht="15" customHeight="1" x14ac:dyDescent="0.2">
      <c r="E4775" s="18"/>
      <c r="F4775" s="18"/>
    </row>
    <row r="4776" spans="5:6" ht="15" customHeight="1" x14ac:dyDescent="0.2">
      <c r="E4776" s="18"/>
      <c r="F4776" s="18"/>
    </row>
    <row r="4777" spans="5:6" ht="15" customHeight="1" x14ac:dyDescent="0.2">
      <c r="E4777" s="18"/>
      <c r="F4777" s="18"/>
    </row>
    <row r="4778" spans="5:6" ht="15" customHeight="1" x14ac:dyDescent="0.2">
      <c r="E4778" s="18"/>
      <c r="F4778" s="18"/>
    </row>
    <row r="4779" spans="5:6" ht="15" customHeight="1" x14ac:dyDescent="0.2">
      <c r="E4779" s="18"/>
      <c r="F4779" s="18"/>
    </row>
    <row r="4780" spans="5:6" ht="15" customHeight="1" x14ac:dyDescent="0.2">
      <c r="E4780" s="18"/>
      <c r="F4780" s="18"/>
    </row>
    <row r="4781" spans="5:6" ht="15" customHeight="1" x14ac:dyDescent="0.2">
      <c r="E4781" s="18"/>
      <c r="F4781" s="18"/>
    </row>
    <row r="4782" spans="5:6" ht="15" customHeight="1" x14ac:dyDescent="0.2">
      <c r="E4782" s="18"/>
      <c r="F4782" s="18"/>
    </row>
    <row r="4783" spans="5:6" ht="15" customHeight="1" x14ac:dyDescent="0.2">
      <c r="E4783" s="18"/>
      <c r="F4783" s="18"/>
    </row>
    <row r="4784" spans="5:6" ht="15" customHeight="1" x14ac:dyDescent="0.2">
      <c r="E4784" s="18"/>
      <c r="F4784" s="18"/>
    </row>
    <row r="4785" spans="5:6" ht="15" customHeight="1" x14ac:dyDescent="0.2">
      <c r="E4785" s="18"/>
      <c r="F4785" s="18"/>
    </row>
    <row r="4786" spans="5:6" ht="15" customHeight="1" x14ac:dyDescent="0.2">
      <c r="E4786" s="18"/>
      <c r="F4786" s="18"/>
    </row>
    <row r="4787" spans="5:6" ht="15" customHeight="1" x14ac:dyDescent="0.2">
      <c r="E4787" s="18"/>
      <c r="F4787" s="18"/>
    </row>
    <row r="4788" spans="5:6" ht="15" customHeight="1" x14ac:dyDescent="0.2">
      <c r="E4788" s="18"/>
      <c r="F4788" s="18"/>
    </row>
    <row r="4789" spans="5:6" ht="15" customHeight="1" x14ac:dyDescent="0.2">
      <c r="E4789" s="18"/>
      <c r="F4789" s="18"/>
    </row>
    <row r="4790" spans="5:6" ht="15" customHeight="1" x14ac:dyDescent="0.2">
      <c r="E4790" s="18"/>
      <c r="F4790" s="18"/>
    </row>
    <row r="4791" spans="5:6" ht="15" customHeight="1" x14ac:dyDescent="0.2">
      <c r="E4791" s="18"/>
      <c r="F4791" s="18"/>
    </row>
    <row r="4792" spans="5:6" ht="15" customHeight="1" x14ac:dyDescent="0.2">
      <c r="E4792" s="18"/>
      <c r="F4792" s="18"/>
    </row>
    <row r="4793" spans="5:6" ht="15" customHeight="1" x14ac:dyDescent="0.2">
      <c r="E4793" s="18"/>
      <c r="F4793" s="18"/>
    </row>
    <row r="4794" spans="5:6" ht="15" customHeight="1" x14ac:dyDescent="0.2">
      <c r="E4794" s="18"/>
      <c r="F4794" s="18"/>
    </row>
    <row r="4795" spans="5:6" ht="15" customHeight="1" x14ac:dyDescent="0.2">
      <c r="E4795" s="18"/>
      <c r="F4795" s="18"/>
    </row>
    <row r="4796" spans="5:6" ht="15" customHeight="1" x14ac:dyDescent="0.2">
      <c r="E4796" s="18"/>
      <c r="F4796" s="18"/>
    </row>
    <row r="4797" spans="5:6" ht="15" customHeight="1" x14ac:dyDescent="0.2">
      <c r="E4797" s="18"/>
      <c r="F4797" s="18"/>
    </row>
    <row r="4798" spans="5:6" ht="15" customHeight="1" x14ac:dyDescent="0.2">
      <c r="E4798" s="18"/>
      <c r="F4798" s="18"/>
    </row>
    <row r="4799" spans="5:6" ht="15" customHeight="1" x14ac:dyDescent="0.2">
      <c r="E4799" s="18"/>
      <c r="F4799" s="18"/>
    </row>
    <row r="4800" spans="5:6" ht="15" customHeight="1" x14ac:dyDescent="0.2">
      <c r="E4800" s="18"/>
      <c r="F4800" s="18"/>
    </row>
    <row r="4801" spans="5:6" ht="15" customHeight="1" x14ac:dyDescent="0.2">
      <c r="E4801" s="18"/>
      <c r="F4801" s="18"/>
    </row>
    <row r="4802" spans="5:6" ht="15" customHeight="1" x14ac:dyDescent="0.2">
      <c r="E4802" s="18"/>
      <c r="F4802" s="18"/>
    </row>
    <row r="4803" spans="5:6" ht="15" customHeight="1" x14ac:dyDescent="0.2">
      <c r="E4803" s="18"/>
      <c r="F4803" s="18"/>
    </row>
    <row r="4804" spans="5:6" ht="15" customHeight="1" x14ac:dyDescent="0.2">
      <c r="E4804" s="18"/>
      <c r="F4804" s="18"/>
    </row>
    <row r="4805" spans="5:6" ht="15" customHeight="1" x14ac:dyDescent="0.2">
      <c r="E4805" s="18"/>
      <c r="F4805" s="18"/>
    </row>
    <row r="4806" spans="5:6" ht="15" customHeight="1" x14ac:dyDescent="0.2">
      <c r="E4806" s="18"/>
      <c r="F4806" s="18"/>
    </row>
    <row r="4807" spans="5:6" ht="15" customHeight="1" x14ac:dyDescent="0.2">
      <c r="E4807" s="18"/>
      <c r="F4807" s="18"/>
    </row>
    <row r="4808" spans="5:6" ht="15" customHeight="1" x14ac:dyDescent="0.2">
      <c r="E4808" s="18"/>
      <c r="F4808" s="18"/>
    </row>
    <row r="4809" spans="5:6" ht="15" customHeight="1" x14ac:dyDescent="0.2">
      <c r="E4809" s="18"/>
      <c r="F4809" s="18"/>
    </row>
    <row r="4810" spans="5:6" ht="15" customHeight="1" x14ac:dyDescent="0.2">
      <c r="E4810" s="18"/>
      <c r="F4810" s="18"/>
    </row>
    <row r="4811" spans="5:6" ht="15" customHeight="1" x14ac:dyDescent="0.2">
      <c r="E4811" s="18"/>
      <c r="F4811" s="18"/>
    </row>
    <row r="4812" spans="5:6" ht="15" customHeight="1" x14ac:dyDescent="0.2">
      <c r="E4812" s="18"/>
      <c r="F4812" s="18"/>
    </row>
    <row r="4813" spans="5:6" ht="15" customHeight="1" x14ac:dyDescent="0.2">
      <c r="E4813" s="18"/>
      <c r="F4813" s="18"/>
    </row>
    <row r="4814" spans="5:6" ht="15" customHeight="1" x14ac:dyDescent="0.2">
      <c r="E4814" s="18"/>
      <c r="F4814" s="18"/>
    </row>
    <row r="4815" spans="5:6" ht="15" customHeight="1" x14ac:dyDescent="0.2">
      <c r="E4815" s="18"/>
      <c r="F4815" s="18"/>
    </row>
    <row r="4816" spans="5:6" ht="15" customHeight="1" x14ac:dyDescent="0.2">
      <c r="E4816" s="18"/>
      <c r="F4816" s="18"/>
    </row>
    <row r="4817" spans="5:6" ht="15" customHeight="1" x14ac:dyDescent="0.2">
      <c r="E4817" s="18"/>
      <c r="F4817" s="18"/>
    </row>
    <row r="4818" spans="5:6" ht="15" customHeight="1" x14ac:dyDescent="0.2">
      <c r="E4818" s="18"/>
      <c r="F4818" s="18"/>
    </row>
    <row r="4819" spans="5:6" ht="15" customHeight="1" x14ac:dyDescent="0.2">
      <c r="E4819" s="18"/>
      <c r="F4819" s="18"/>
    </row>
    <row r="4820" spans="5:6" ht="15" customHeight="1" x14ac:dyDescent="0.2">
      <c r="E4820" s="18"/>
      <c r="F4820" s="18"/>
    </row>
    <row r="4821" spans="5:6" ht="15" customHeight="1" x14ac:dyDescent="0.2">
      <c r="E4821" s="18"/>
      <c r="F4821" s="18"/>
    </row>
    <row r="4822" spans="5:6" ht="15" customHeight="1" x14ac:dyDescent="0.2">
      <c r="E4822" s="18"/>
      <c r="F4822" s="18"/>
    </row>
    <row r="4823" spans="5:6" ht="15" customHeight="1" x14ac:dyDescent="0.2">
      <c r="E4823" s="18"/>
      <c r="F4823" s="18"/>
    </row>
    <row r="4824" spans="5:6" ht="15" customHeight="1" x14ac:dyDescent="0.2">
      <c r="E4824" s="18"/>
      <c r="F4824" s="18"/>
    </row>
    <row r="4825" spans="5:6" ht="15" customHeight="1" x14ac:dyDescent="0.2">
      <c r="E4825" s="18"/>
      <c r="F4825" s="18"/>
    </row>
    <row r="4826" spans="5:6" ht="15" customHeight="1" x14ac:dyDescent="0.2">
      <c r="E4826" s="18"/>
      <c r="F4826" s="18"/>
    </row>
    <row r="4827" spans="5:6" ht="15" customHeight="1" x14ac:dyDescent="0.2">
      <c r="E4827" s="18"/>
      <c r="F4827" s="18"/>
    </row>
    <row r="4828" spans="5:6" ht="15" customHeight="1" x14ac:dyDescent="0.2">
      <c r="E4828" s="18"/>
      <c r="F4828" s="18"/>
    </row>
    <row r="4829" spans="5:6" ht="15" customHeight="1" x14ac:dyDescent="0.2">
      <c r="E4829" s="18"/>
      <c r="F4829" s="18"/>
    </row>
    <row r="4830" spans="5:6" ht="15" customHeight="1" x14ac:dyDescent="0.2">
      <c r="E4830" s="18"/>
      <c r="F4830" s="18"/>
    </row>
    <row r="4831" spans="5:6" ht="15" customHeight="1" x14ac:dyDescent="0.2">
      <c r="E4831" s="18"/>
      <c r="F4831" s="18"/>
    </row>
    <row r="4832" spans="5:6" ht="15" customHeight="1" x14ac:dyDescent="0.2">
      <c r="E4832" s="18"/>
      <c r="F4832" s="18"/>
    </row>
    <row r="4833" spans="5:6" ht="15" customHeight="1" x14ac:dyDescent="0.2">
      <c r="E4833" s="18"/>
      <c r="F4833" s="18"/>
    </row>
    <row r="4834" spans="5:6" ht="15" customHeight="1" x14ac:dyDescent="0.2">
      <c r="E4834" s="18"/>
      <c r="F4834" s="18"/>
    </row>
    <row r="4835" spans="5:6" ht="15" customHeight="1" x14ac:dyDescent="0.2">
      <c r="E4835" s="18"/>
      <c r="F4835" s="18"/>
    </row>
    <row r="4836" spans="5:6" ht="15" customHeight="1" x14ac:dyDescent="0.2">
      <c r="E4836" s="18"/>
      <c r="F4836" s="18"/>
    </row>
    <row r="4837" spans="5:6" ht="15" customHeight="1" x14ac:dyDescent="0.2">
      <c r="E4837" s="18"/>
      <c r="F4837" s="18"/>
    </row>
    <row r="4838" spans="5:6" ht="15" customHeight="1" x14ac:dyDescent="0.2">
      <c r="E4838" s="18"/>
      <c r="F4838" s="18"/>
    </row>
    <row r="4839" spans="5:6" ht="15" customHeight="1" x14ac:dyDescent="0.2">
      <c r="E4839" s="18"/>
      <c r="F4839" s="18"/>
    </row>
    <row r="4840" spans="5:6" ht="15" customHeight="1" x14ac:dyDescent="0.2">
      <c r="E4840" s="18"/>
      <c r="F4840" s="18"/>
    </row>
    <row r="4841" spans="5:6" ht="15" customHeight="1" x14ac:dyDescent="0.2">
      <c r="E4841" s="18"/>
      <c r="F4841" s="18"/>
    </row>
    <row r="4842" spans="5:6" ht="15" customHeight="1" x14ac:dyDescent="0.2">
      <c r="E4842" s="18"/>
      <c r="F4842" s="18"/>
    </row>
    <row r="4843" spans="5:6" ht="15" customHeight="1" x14ac:dyDescent="0.2">
      <c r="E4843" s="18"/>
      <c r="F4843" s="18"/>
    </row>
    <row r="4844" spans="5:6" ht="15" customHeight="1" x14ac:dyDescent="0.2">
      <c r="E4844" s="18"/>
      <c r="F4844" s="18"/>
    </row>
    <row r="4845" spans="5:6" ht="15" customHeight="1" x14ac:dyDescent="0.2">
      <c r="E4845" s="18"/>
      <c r="F4845" s="18"/>
    </row>
    <row r="4846" spans="5:6" ht="15" customHeight="1" x14ac:dyDescent="0.2">
      <c r="E4846" s="18"/>
      <c r="F4846" s="18"/>
    </row>
    <row r="4847" spans="5:6" ht="15" customHeight="1" x14ac:dyDescent="0.2">
      <c r="E4847" s="18"/>
      <c r="F4847" s="18"/>
    </row>
    <row r="4848" spans="5:6" ht="15" customHeight="1" x14ac:dyDescent="0.2">
      <c r="E4848" s="18"/>
      <c r="F4848" s="18"/>
    </row>
    <row r="4849" spans="5:6" ht="15" customHeight="1" x14ac:dyDescent="0.2">
      <c r="E4849" s="18"/>
      <c r="F4849" s="18"/>
    </row>
    <row r="4850" spans="5:6" ht="15" customHeight="1" x14ac:dyDescent="0.2">
      <c r="E4850" s="18"/>
      <c r="F4850" s="18"/>
    </row>
    <row r="4851" spans="5:6" ht="15" customHeight="1" x14ac:dyDescent="0.2">
      <c r="E4851" s="18"/>
      <c r="F4851" s="18"/>
    </row>
    <row r="4852" spans="5:6" ht="15" customHeight="1" x14ac:dyDescent="0.2">
      <c r="E4852" s="18"/>
      <c r="F4852" s="18"/>
    </row>
    <row r="4853" spans="5:6" ht="15" customHeight="1" x14ac:dyDescent="0.2">
      <c r="E4853" s="18"/>
      <c r="F4853" s="18"/>
    </row>
    <row r="4854" spans="5:6" ht="15" customHeight="1" x14ac:dyDescent="0.2">
      <c r="E4854" s="18"/>
      <c r="F4854" s="18"/>
    </row>
    <row r="4855" spans="5:6" ht="15" customHeight="1" x14ac:dyDescent="0.2">
      <c r="E4855" s="18"/>
      <c r="F4855" s="18"/>
    </row>
    <row r="4856" spans="5:6" ht="15" customHeight="1" x14ac:dyDescent="0.2">
      <c r="E4856" s="18"/>
      <c r="F4856" s="18"/>
    </row>
    <row r="4857" spans="5:6" ht="15" customHeight="1" x14ac:dyDescent="0.2">
      <c r="E4857" s="18"/>
      <c r="F4857" s="18"/>
    </row>
    <row r="4858" spans="5:6" ht="15" customHeight="1" x14ac:dyDescent="0.2">
      <c r="E4858" s="18"/>
      <c r="F4858" s="18"/>
    </row>
    <row r="4859" spans="5:6" ht="15" customHeight="1" x14ac:dyDescent="0.2">
      <c r="E4859" s="18"/>
      <c r="F4859" s="18"/>
    </row>
    <row r="4860" spans="5:6" ht="15" customHeight="1" x14ac:dyDescent="0.2">
      <c r="E4860" s="18"/>
      <c r="F4860" s="18"/>
    </row>
    <row r="4861" spans="5:6" ht="15" customHeight="1" x14ac:dyDescent="0.2">
      <c r="E4861" s="18"/>
      <c r="F4861" s="18"/>
    </row>
    <row r="4862" spans="5:6" ht="15" customHeight="1" x14ac:dyDescent="0.2">
      <c r="E4862" s="18"/>
      <c r="F4862" s="18"/>
    </row>
    <row r="4863" spans="5:6" ht="15" customHeight="1" x14ac:dyDescent="0.2">
      <c r="E4863" s="18"/>
      <c r="F4863" s="18"/>
    </row>
    <row r="4864" spans="5:6" ht="15" customHeight="1" x14ac:dyDescent="0.2">
      <c r="E4864" s="18"/>
      <c r="F4864" s="18"/>
    </row>
    <row r="4865" spans="5:6" ht="15" customHeight="1" x14ac:dyDescent="0.2">
      <c r="E4865" s="18"/>
      <c r="F4865" s="18"/>
    </row>
    <row r="4866" spans="5:6" ht="15" customHeight="1" x14ac:dyDescent="0.2">
      <c r="E4866" s="18"/>
      <c r="F4866" s="18"/>
    </row>
    <row r="4867" spans="5:6" ht="15" customHeight="1" x14ac:dyDescent="0.2">
      <c r="E4867" s="18"/>
      <c r="F4867" s="18"/>
    </row>
    <row r="4868" spans="5:6" ht="15" customHeight="1" x14ac:dyDescent="0.2">
      <c r="E4868" s="18"/>
      <c r="F4868" s="18"/>
    </row>
    <row r="4869" spans="5:6" ht="15" customHeight="1" x14ac:dyDescent="0.2">
      <c r="E4869" s="18"/>
      <c r="F4869" s="18"/>
    </row>
    <row r="4870" spans="5:6" ht="15" customHeight="1" x14ac:dyDescent="0.2">
      <c r="E4870" s="18"/>
      <c r="F4870" s="18"/>
    </row>
    <row r="4871" spans="5:6" ht="15" customHeight="1" x14ac:dyDescent="0.2">
      <c r="E4871" s="18"/>
      <c r="F4871" s="18"/>
    </row>
    <row r="4872" spans="5:6" ht="15" customHeight="1" x14ac:dyDescent="0.2">
      <c r="E4872" s="18"/>
      <c r="F4872" s="18"/>
    </row>
    <row r="4873" spans="5:6" ht="15" customHeight="1" x14ac:dyDescent="0.2">
      <c r="E4873" s="18"/>
      <c r="F4873" s="18"/>
    </row>
    <row r="4874" spans="5:6" ht="15" customHeight="1" x14ac:dyDescent="0.2">
      <c r="E4874" s="18"/>
      <c r="F4874" s="18"/>
    </row>
    <row r="4875" spans="5:6" ht="15" customHeight="1" x14ac:dyDescent="0.2">
      <c r="E4875" s="18"/>
      <c r="F4875" s="18"/>
    </row>
    <row r="4876" spans="5:6" ht="15" customHeight="1" x14ac:dyDescent="0.2">
      <c r="E4876" s="18"/>
      <c r="F4876" s="18"/>
    </row>
    <row r="4877" spans="5:6" ht="15" customHeight="1" x14ac:dyDescent="0.2">
      <c r="E4877" s="18"/>
      <c r="F4877" s="18"/>
    </row>
    <row r="4878" spans="5:6" ht="15" customHeight="1" x14ac:dyDescent="0.2">
      <c r="E4878" s="18"/>
      <c r="F4878" s="18"/>
    </row>
    <row r="4879" spans="5:6" ht="15" customHeight="1" x14ac:dyDescent="0.2">
      <c r="E4879" s="18"/>
      <c r="F4879" s="18"/>
    </row>
    <row r="4880" spans="5:6" ht="15" customHeight="1" x14ac:dyDescent="0.2">
      <c r="E4880" s="18"/>
      <c r="F4880" s="18"/>
    </row>
    <row r="4881" spans="5:6" ht="15" customHeight="1" x14ac:dyDescent="0.2">
      <c r="E4881" s="18"/>
      <c r="F4881" s="18"/>
    </row>
    <row r="4882" spans="5:6" ht="15" customHeight="1" x14ac:dyDescent="0.2">
      <c r="E4882" s="18"/>
      <c r="F4882" s="18"/>
    </row>
    <row r="4883" spans="5:6" ht="15" customHeight="1" x14ac:dyDescent="0.2">
      <c r="E4883" s="18"/>
      <c r="F4883" s="18"/>
    </row>
    <row r="4884" spans="5:6" ht="15" customHeight="1" x14ac:dyDescent="0.2">
      <c r="E4884" s="18"/>
      <c r="F4884" s="18"/>
    </row>
    <row r="4885" spans="5:6" ht="15" customHeight="1" x14ac:dyDescent="0.2">
      <c r="E4885" s="18"/>
      <c r="F4885" s="18"/>
    </row>
    <row r="4886" spans="5:6" ht="15" customHeight="1" x14ac:dyDescent="0.2">
      <c r="E4886" s="18"/>
      <c r="F4886" s="18"/>
    </row>
    <row r="4887" spans="5:6" ht="15" customHeight="1" x14ac:dyDescent="0.2">
      <c r="E4887" s="18"/>
      <c r="F4887" s="18"/>
    </row>
    <row r="4888" spans="5:6" ht="15" customHeight="1" x14ac:dyDescent="0.2">
      <c r="E4888" s="18"/>
      <c r="F4888" s="18"/>
    </row>
    <row r="4889" spans="5:6" ht="15" customHeight="1" x14ac:dyDescent="0.2">
      <c r="E4889" s="18"/>
      <c r="F4889" s="18"/>
    </row>
    <row r="4890" spans="5:6" ht="15" customHeight="1" x14ac:dyDescent="0.2">
      <c r="E4890" s="18"/>
      <c r="F4890" s="18"/>
    </row>
    <row r="4891" spans="5:6" ht="15" customHeight="1" x14ac:dyDescent="0.2">
      <c r="E4891" s="18"/>
      <c r="F4891" s="18"/>
    </row>
    <row r="4892" spans="5:6" ht="15" customHeight="1" x14ac:dyDescent="0.2">
      <c r="E4892" s="18"/>
      <c r="F4892" s="18"/>
    </row>
    <row r="4893" spans="5:6" ht="15" customHeight="1" x14ac:dyDescent="0.2">
      <c r="E4893" s="18"/>
      <c r="F4893" s="18"/>
    </row>
    <row r="4894" spans="5:6" ht="15" customHeight="1" x14ac:dyDescent="0.2">
      <c r="E4894" s="18"/>
      <c r="F4894" s="18"/>
    </row>
    <row r="4895" spans="5:6" ht="15" customHeight="1" x14ac:dyDescent="0.2">
      <c r="E4895" s="18"/>
      <c r="F4895" s="18"/>
    </row>
    <row r="4896" spans="5:6" ht="15" customHeight="1" x14ac:dyDescent="0.2">
      <c r="E4896" s="18"/>
      <c r="F4896" s="18"/>
    </row>
    <row r="4897" spans="5:6" ht="15" customHeight="1" x14ac:dyDescent="0.2">
      <c r="E4897" s="18"/>
      <c r="F4897" s="18"/>
    </row>
    <row r="4898" spans="5:6" ht="15" customHeight="1" x14ac:dyDescent="0.2">
      <c r="E4898" s="18"/>
      <c r="F4898" s="18"/>
    </row>
    <row r="4899" spans="5:6" ht="15" customHeight="1" x14ac:dyDescent="0.2">
      <c r="E4899" s="18"/>
      <c r="F4899" s="18"/>
    </row>
    <row r="4900" spans="5:6" ht="15" customHeight="1" x14ac:dyDescent="0.2">
      <c r="E4900" s="18"/>
      <c r="F4900" s="18"/>
    </row>
    <row r="4901" spans="5:6" ht="15" customHeight="1" x14ac:dyDescent="0.2">
      <c r="E4901" s="18"/>
      <c r="F4901" s="18"/>
    </row>
    <row r="4902" spans="5:6" ht="15" customHeight="1" x14ac:dyDescent="0.2">
      <c r="E4902" s="18"/>
      <c r="F4902" s="18"/>
    </row>
    <row r="4903" spans="5:6" ht="15" customHeight="1" x14ac:dyDescent="0.2">
      <c r="E4903" s="18"/>
      <c r="F4903" s="18"/>
    </row>
    <row r="4904" spans="5:6" ht="15" customHeight="1" x14ac:dyDescent="0.2">
      <c r="E4904" s="18"/>
      <c r="F4904" s="18"/>
    </row>
    <row r="4905" spans="5:6" ht="15" customHeight="1" x14ac:dyDescent="0.2">
      <c r="E4905" s="18"/>
      <c r="F4905" s="18"/>
    </row>
    <row r="4906" spans="5:6" ht="15" customHeight="1" x14ac:dyDescent="0.2">
      <c r="E4906" s="18"/>
      <c r="F4906" s="18"/>
    </row>
    <row r="4907" spans="5:6" ht="15" customHeight="1" x14ac:dyDescent="0.2">
      <c r="E4907" s="18"/>
      <c r="F4907" s="18"/>
    </row>
    <row r="4908" spans="5:6" ht="15" customHeight="1" x14ac:dyDescent="0.2">
      <c r="E4908" s="18"/>
      <c r="F4908" s="18"/>
    </row>
    <row r="4909" spans="5:6" ht="15" customHeight="1" x14ac:dyDescent="0.2">
      <c r="E4909" s="18"/>
      <c r="F4909" s="18"/>
    </row>
    <row r="4910" spans="5:6" ht="15" customHeight="1" x14ac:dyDescent="0.2">
      <c r="E4910" s="18"/>
      <c r="F4910" s="18"/>
    </row>
    <row r="4911" spans="5:6" ht="15" customHeight="1" x14ac:dyDescent="0.2">
      <c r="E4911" s="18"/>
      <c r="F4911" s="18"/>
    </row>
    <row r="4912" spans="5:6" ht="15" customHeight="1" x14ac:dyDescent="0.2">
      <c r="E4912" s="18"/>
      <c r="F4912" s="18"/>
    </row>
    <row r="4913" spans="5:6" ht="15" customHeight="1" x14ac:dyDescent="0.2">
      <c r="E4913" s="18"/>
      <c r="F4913" s="18"/>
    </row>
    <row r="4914" spans="5:6" ht="15" customHeight="1" x14ac:dyDescent="0.2">
      <c r="E4914" s="18"/>
      <c r="F4914" s="18"/>
    </row>
    <row r="4915" spans="5:6" ht="15" customHeight="1" x14ac:dyDescent="0.2">
      <c r="E4915" s="18"/>
      <c r="F4915" s="18"/>
    </row>
    <row r="4916" spans="5:6" ht="15" customHeight="1" x14ac:dyDescent="0.2">
      <c r="E4916" s="18"/>
      <c r="F4916" s="18"/>
    </row>
    <row r="4917" spans="5:6" ht="15" customHeight="1" x14ac:dyDescent="0.2">
      <c r="E4917" s="18"/>
      <c r="F4917" s="18"/>
    </row>
    <row r="4918" spans="5:6" ht="15" customHeight="1" x14ac:dyDescent="0.2">
      <c r="E4918" s="18"/>
      <c r="F4918" s="18"/>
    </row>
    <row r="4919" spans="5:6" ht="15" customHeight="1" x14ac:dyDescent="0.2">
      <c r="E4919" s="18"/>
      <c r="F4919" s="18"/>
    </row>
    <row r="4920" spans="5:6" ht="15" customHeight="1" x14ac:dyDescent="0.2">
      <c r="E4920" s="18"/>
      <c r="F4920" s="18"/>
    </row>
    <row r="4921" spans="5:6" ht="15" customHeight="1" x14ac:dyDescent="0.2">
      <c r="E4921" s="18"/>
      <c r="F4921" s="18"/>
    </row>
    <row r="4922" spans="5:6" ht="15" customHeight="1" x14ac:dyDescent="0.2">
      <c r="E4922" s="18"/>
      <c r="F4922" s="18"/>
    </row>
    <row r="4923" spans="5:6" ht="15" customHeight="1" x14ac:dyDescent="0.2">
      <c r="E4923" s="18"/>
      <c r="F4923" s="18"/>
    </row>
    <row r="4924" spans="5:6" ht="15" customHeight="1" x14ac:dyDescent="0.2">
      <c r="E4924" s="18"/>
      <c r="F4924" s="18"/>
    </row>
    <row r="4925" spans="5:6" ht="15" customHeight="1" x14ac:dyDescent="0.2">
      <c r="E4925" s="18"/>
      <c r="F4925" s="18"/>
    </row>
    <row r="4926" spans="5:6" ht="15" customHeight="1" x14ac:dyDescent="0.2">
      <c r="E4926" s="18"/>
      <c r="F4926" s="18"/>
    </row>
    <row r="4927" spans="5:6" ht="15" customHeight="1" x14ac:dyDescent="0.2">
      <c r="E4927" s="18"/>
      <c r="F4927" s="18"/>
    </row>
    <row r="4928" spans="5:6" ht="15" customHeight="1" x14ac:dyDescent="0.2">
      <c r="E4928" s="18"/>
      <c r="F4928" s="18"/>
    </row>
    <row r="4929" spans="5:6" ht="15" customHeight="1" x14ac:dyDescent="0.2">
      <c r="E4929" s="18"/>
      <c r="F4929" s="18"/>
    </row>
    <row r="4930" spans="5:6" ht="15" customHeight="1" x14ac:dyDescent="0.2">
      <c r="E4930" s="18"/>
      <c r="F4930" s="18"/>
    </row>
    <row r="4931" spans="5:6" ht="15" customHeight="1" x14ac:dyDescent="0.2">
      <c r="E4931" s="18"/>
      <c r="F4931" s="18"/>
    </row>
    <row r="4932" spans="5:6" ht="15" customHeight="1" x14ac:dyDescent="0.2">
      <c r="E4932" s="18"/>
      <c r="F4932" s="18"/>
    </row>
    <row r="4933" spans="5:6" ht="15" customHeight="1" x14ac:dyDescent="0.2">
      <c r="E4933" s="18"/>
      <c r="F4933" s="18"/>
    </row>
    <row r="4934" spans="5:6" ht="15" customHeight="1" x14ac:dyDescent="0.2">
      <c r="E4934" s="18"/>
      <c r="F4934" s="18"/>
    </row>
    <row r="4935" spans="5:6" ht="15" customHeight="1" x14ac:dyDescent="0.2">
      <c r="E4935" s="18"/>
      <c r="F4935" s="18"/>
    </row>
    <row r="4936" spans="5:6" ht="15" customHeight="1" x14ac:dyDescent="0.2">
      <c r="E4936" s="18"/>
      <c r="F4936" s="18"/>
    </row>
    <row r="4937" spans="5:6" ht="15" customHeight="1" x14ac:dyDescent="0.2">
      <c r="E4937" s="18"/>
      <c r="F4937" s="18"/>
    </row>
    <row r="4938" spans="5:6" ht="15" customHeight="1" x14ac:dyDescent="0.2">
      <c r="E4938" s="18"/>
      <c r="F4938" s="18"/>
    </row>
    <row r="4939" spans="5:6" ht="15" customHeight="1" x14ac:dyDescent="0.2">
      <c r="E4939" s="18"/>
      <c r="F4939" s="18"/>
    </row>
    <row r="4940" spans="5:6" ht="15" customHeight="1" x14ac:dyDescent="0.2">
      <c r="E4940" s="18"/>
      <c r="F4940" s="18"/>
    </row>
    <row r="4941" spans="5:6" ht="15" customHeight="1" x14ac:dyDescent="0.2">
      <c r="E4941" s="18"/>
      <c r="F4941" s="18"/>
    </row>
    <row r="4942" spans="5:6" ht="15" customHeight="1" x14ac:dyDescent="0.2">
      <c r="E4942" s="18"/>
      <c r="F4942" s="18"/>
    </row>
    <row r="4943" spans="5:6" ht="15" customHeight="1" x14ac:dyDescent="0.2">
      <c r="E4943" s="18"/>
      <c r="F4943" s="18"/>
    </row>
    <row r="4944" spans="5:6" ht="15" customHeight="1" x14ac:dyDescent="0.2">
      <c r="E4944" s="18"/>
      <c r="F4944" s="18"/>
    </row>
    <row r="4945" spans="5:6" ht="15" customHeight="1" x14ac:dyDescent="0.2">
      <c r="E4945" s="18"/>
      <c r="F4945" s="18"/>
    </row>
    <row r="4946" spans="5:6" ht="15" customHeight="1" x14ac:dyDescent="0.2">
      <c r="E4946" s="18"/>
      <c r="F4946" s="18"/>
    </row>
    <row r="4947" spans="5:6" ht="15" customHeight="1" x14ac:dyDescent="0.2">
      <c r="E4947" s="18"/>
      <c r="F4947" s="18"/>
    </row>
    <row r="4948" spans="5:6" ht="15" customHeight="1" x14ac:dyDescent="0.2">
      <c r="E4948" s="18"/>
      <c r="F4948" s="18"/>
    </row>
    <row r="4949" spans="5:6" ht="15" customHeight="1" x14ac:dyDescent="0.2">
      <c r="E4949" s="18"/>
      <c r="F4949" s="18"/>
    </row>
    <row r="4950" spans="5:6" ht="15" customHeight="1" x14ac:dyDescent="0.2">
      <c r="E4950" s="18"/>
      <c r="F4950" s="18"/>
    </row>
    <row r="4951" spans="5:6" ht="15" customHeight="1" x14ac:dyDescent="0.2">
      <c r="E4951" s="18"/>
      <c r="F4951" s="18"/>
    </row>
    <row r="4952" spans="5:6" ht="15" customHeight="1" x14ac:dyDescent="0.2">
      <c r="E4952" s="18"/>
      <c r="F4952" s="18"/>
    </row>
    <row r="4953" spans="5:6" ht="15" customHeight="1" x14ac:dyDescent="0.2">
      <c r="E4953" s="18"/>
      <c r="F4953" s="18"/>
    </row>
    <row r="4954" spans="5:6" ht="15" customHeight="1" x14ac:dyDescent="0.2">
      <c r="E4954" s="18"/>
      <c r="F4954" s="18"/>
    </row>
    <row r="4955" spans="5:6" ht="15" customHeight="1" x14ac:dyDescent="0.2">
      <c r="E4955" s="18"/>
      <c r="F4955" s="18"/>
    </row>
    <row r="4956" spans="5:6" ht="15" customHeight="1" x14ac:dyDescent="0.2">
      <c r="E4956" s="18"/>
      <c r="F4956" s="18"/>
    </row>
    <row r="4957" spans="5:6" ht="15" customHeight="1" x14ac:dyDescent="0.2">
      <c r="E4957" s="18"/>
      <c r="F4957" s="18"/>
    </row>
    <row r="4958" spans="5:6" ht="15" customHeight="1" x14ac:dyDescent="0.2">
      <c r="E4958" s="18"/>
      <c r="F4958" s="18"/>
    </row>
    <row r="4959" spans="5:6" ht="15" customHeight="1" x14ac:dyDescent="0.2">
      <c r="E4959" s="18"/>
      <c r="F4959" s="18"/>
    </row>
    <row r="4960" spans="5:6" ht="15" customHeight="1" x14ac:dyDescent="0.2">
      <c r="E4960" s="18"/>
      <c r="F4960" s="18"/>
    </row>
    <row r="4961" spans="5:6" ht="15" customHeight="1" x14ac:dyDescent="0.2">
      <c r="E4961" s="18"/>
      <c r="F4961" s="18"/>
    </row>
    <row r="4962" spans="5:6" ht="15" customHeight="1" x14ac:dyDescent="0.2">
      <c r="E4962" s="18"/>
      <c r="F4962" s="18"/>
    </row>
    <row r="4963" spans="5:6" ht="15" customHeight="1" x14ac:dyDescent="0.2">
      <c r="E4963" s="18"/>
      <c r="F4963" s="18"/>
    </row>
    <row r="4964" spans="5:6" ht="15" customHeight="1" x14ac:dyDescent="0.2">
      <c r="E4964" s="18"/>
      <c r="F4964" s="18"/>
    </row>
    <row r="4965" spans="5:6" ht="15" customHeight="1" x14ac:dyDescent="0.2">
      <c r="E4965" s="18"/>
      <c r="F4965" s="18"/>
    </row>
    <row r="4966" spans="5:6" ht="15" customHeight="1" x14ac:dyDescent="0.2">
      <c r="E4966" s="18"/>
      <c r="F4966" s="18"/>
    </row>
    <row r="4967" spans="5:6" ht="15" customHeight="1" x14ac:dyDescent="0.2">
      <c r="E4967" s="18"/>
      <c r="F4967" s="18"/>
    </row>
    <row r="4968" spans="5:6" ht="15" customHeight="1" x14ac:dyDescent="0.2">
      <c r="E4968" s="18"/>
      <c r="F4968" s="18"/>
    </row>
    <row r="4969" spans="5:6" ht="15" customHeight="1" x14ac:dyDescent="0.2">
      <c r="E4969" s="18"/>
      <c r="F4969" s="18"/>
    </row>
    <row r="4970" spans="5:6" ht="15" customHeight="1" x14ac:dyDescent="0.2">
      <c r="E4970" s="18"/>
      <c r="F4970" s="18"/>
    </row>
    <row r="4971" spans="5:6" ht="15" customHeight="1" x14ac:dyDescent="0.2">
      <c r="E4971" s="18"/>
      <c r="F4971" s="18"/>
    </row>
    <row r="4972" spans="5:6" ht="15" customHeight="1" x14ac:dyDescent="0.2">
      <c r="E4972" s="18"/>
      <c r="F4972" s="18"/>
    </row>
    <row r="4973" spans="5:6" ht="15" customHeight="1" x14ac:dyDescent="0.2">
      <c r="E4973" s="18"/>
      <c r="F4973" s="18"/>
    </row>
    <row r="4974" spans="5:6" ht="15" customHeight="1" x14ac:dyDescent="0.2">
      <c r="E4974" s="18"/>
      <c r="F4974" s="18"/>
    </row>
    <row r="4975" spans="5:6" ht="15" customHeight="1" x14ac:dyDescent="0.2">
      <c r="E4975" s="18"/>
      <c r="F4975" s="18"/>
    </row>
    <row r="4976" spans="5:6" ht="15" customHeight="1" x14ac:dyDescent="0.2">
      <c r="E4976" s="18"/>
      <c r="F4976" s="18"/>
    </row>
    <row r="4977" spans="5:6" ht="15" customHeight="1" x14ac:dyDescent="0.2">
      <c r="E4977" s="18"/>
      <c r="F4977" s="18"/>
    </row>
    <row r="4978" spans="5:6" ht="15" customHeight="1" x14ac:dyDescent="0.2">
      <c r="E4978" s="18"/>
      <c r="F4978" s="18"/>
    </row>
    <row r="4979" spans="5:6" ht="15" customHeight="1" x14ac:dyDescent="0.2">
      <c r="E4979" s="18"/>
      <c r="F4979" s="18"/>
    </row>
    <row r="4980" spans="5:6" ht="15" customHeight="1" x14ac:dyDescent="0.2">
      <c r="E4980" s="18"/>
      <c r="F4980" s="18"/>
    </row>
    <row r="4981" spans="5:6" ht="15" customHeight="1" x14ac:dyDescent="0.2">
      <c r="E4981" s="18"/>
      <c r="F4981" s="18"/>
    </row>
    <row r="4982" spans="5:6" ht="15" customHeight="1" x14ac:dyDescent="0.2">
      <c r="E4982" s="18"/>
      <c r="F4982" s="18"/>
    </row>
    <row r="4983" spans="5:6" ht="15" customHeight="1" x14ac:dyDescent="0.2">
      <c r="E4983" s="18"/>
      <c r="F4983" s="18"/>
    </row>
    <row r="4984" spans="5:6" ht="15" customHeight="1" x14ac:dyDescent="0.2">
      <c r="E4984" s="18"/>
      <c r="F4984" s="18"/>
    </row>
    <row r="4985" spans="5:6" ht="15" customHeight="1" x14ac:dyDescent="0.2">
      <c r="E4985" s="18"/>
      <c r="F4985" s="18"/>
    </row>
    <row r="4986" spans="5:6" ht="15" customHeight="1" x14ac:dyDescent="0.2">
      <c r="E4986" s="18"/>
      <c r="F4986" s="18"/>
    </row>
    <row r="4987" spans="5:6" ht="15" customHeight="1" x14ac:dyDescent="0.2">
      <c r="E4987" s="18"/>
      <c r="F4987" s="18"/>
    </row>
    <row r="4988" spans="5:6" ht="15" customHeight="1" x14ac:dyDescent="0.2">
      <c r="E4988" s="18"/>
      <c r="F4988" s="18"/>
    </row>
    <row r="4989" spans="5:6" ht="15" customHeight="1" x14ac:dyDescent="0.2">
      <c r="E4989" s="18"/>
      <c r="F4989" s="18"/>
    </row>
    <row r="4990" spans="5:6" ht="15" customHeight="1" x14ac:dyDescent="0.2">
      <c r="E4990" s="18"/>
      <c r="F4990" s="18"/>
    </row>
    <row r="4991" spans="5:6" ht="15" customHeight="1" x14ac:dyDescent="0.2">
      <c r="E4991" s="18"/>
      <c r="F4991" s="18"/>
    </row>
    <row r="4992" spans="5:6" ht="15" customHeight="1" x14ac:dyDescent="0.2">
      <c r="E4992" s="18"/>
      <c r="F4992" s="18"/>
    </row>
    <row r="4993" spans="5:6" ht="15" customHeight="1" x14ac:dyDescent="0.2">
      <c r="E4993" s="18"/>
      <c r="F4993" s="18"/>
    </row>
    <row r="4994" spans="5:6" ht="15" customHeight="1" x14ac:dyDescent="0.2">
      <c r="E4994" s="18"/>
      <c r="F4994" s="18"/>
    </row>
    <row r="4995" spans="5:6" ht="15" customHeight="1" x14ac:dyDescent="0.2">
      <c r="E4995" s="18"/>
      <c r="F4995" s="18"/>
    </row>
    <row r="4996" spans="5:6" ht="15" customHeight="1" x14ac:dyDescent="0.2">
      <c r="E4996" s="18"/>
      <c r="F4996" s="18"/>
    </row>
    <row r="4997" spans="5:6" ht="15" customHeight="1" x14ac:dyDescent="0.2">
      <c r="E4997" s="18"/>
      <c r="F4997" s="18"/>
    </row>
    <row r="4998" spans="5:6" ht="15" customHeight="1" x14ac:dyDescent="0.2">
      <c r="E4998" s="18"/>
      <c r="F4998" s="18"/>
    </row>
    <row r="4999" spans="5:6" ht="15" customHeight="1" x14ac:dyDescent="0.2">
      <c r="E4999" s="18"/>
      <c r="F4999" s="18"/>
    </row>
    <row r="5000" spans="5:6" ht="15" customHeight="1" x14ac:dyDescent="0.2">
      <c r="E5000" s="18"/>
      <c r="F5000" s="18"/>
    </row>
    <row r="5001" spans="5:6" ht="15" customHeight="1" x14ac:dyDescent="0.2">
      <c r="E5001" s="18"/>
      <c r="F5001" s="18"/>
    </row>
    <row r="5002" spans="5:6" ht="15" customHeight="1" x14ac:dyDescent="0.2">
      <c r="E5002" s="18"/>
      <c r="F5002" s="18"/>
    </row>
    <row r="5003" spans="5:6" ht="15" customHeight="1" x14ac:dyDescent="0.2">
      <c r="E5003" s="18"/>
      <c r="F5003" s="18"/>
    </row>
    <row r="5004" spans="5:6" ht="15" customHeight="1" x14ac:dyDescent="0.2">
      <c r="E5004" s="18"/>
      <c r="F5004" s="18"/>
    </row>
    <row r="5005" spans="5:6" ht="15" customHeight="1" x14ac:dyDescent="0.2">
      <c r="E5005" s="18"/>
      <c r="F5005" s="18"/>
    </row>
    <row r="5006" spans="5:6" ht="15" customHeight="1" x14ac:dyDescent="0.2">
      <c r="E5006" s="18"/>
      <c r="F5006" s="18"/>
    </row>
    <row r="5007" spans="5:6" ht="15" customHeight="1" x14ac:dyDescent="0.2">
      <c r="E5007" s="18"/>
      <c r="F5007" s="18"/>
    </row>
    <row r="5008" spans="5:6" ht="15" customHeight="1" x14ac:dyDescent="0.2">
      <c r="E5008" s="18"/>
      <c r="F5008" s="18"/>
    </row>
    <row r="5009" spans="5:6" ht="15" customHeight="1" x14ac:dyDescent="0.2">
      <c r="E5009" s="18"/>
      <c r="F5009" s="18"/>
    </row>
    <row r="5010" spans="5:6" ht="15" customHeight="1" x14ac:dyDescent="0.2">
      <c r="E5010" s="18"/>
      <c r="F5010" s="18"/>
    </row>
    <row r="5011" spans="5:6" ht="15" customHeight="1" x14ac:dyDescent="0.2">
      <c r="E5011" s="18"/>
      <c r="F5011" s="18"/>
    </row>
    <row r="5012" spans="5:6" ht="15" customHeight="1" x14ac:dyDescent="0.2">
      <c r="E5012" s="18"/>
      <c r="F5012" s="18"/>
    </row>
    <row r="5013" spans="5:6" ht="15" customHeight="1" x14ac:dyDescent="0.2">
      <c r="E5013" s="18"/>
      <c r="F5013" s="18"/>
    </row>
    <row r="5014" spans="5:6" ht="15" customHeight="1" x14ac:dyDescent="0.2">
      <c r="E5014" s="18"/>
      <c r="F5014" s="18"/>
    </row>
    <row r="5015" spans="5:6" ht="15" customHeight="1" x14ac:dyDescent="0.2">
      <c r="E5015" s="18"/>
      <c r="F5015" s="18"/>
    </row>
    <row r="5016" spans="5:6" ht="15" customHeight="1" x14ac:dyDescent="0.2">
      <c r="E5016" s="18"/>
      <c r="F5016" s="18"/>
    </row>
    <row r="5017" spans="5:6" ht="15" customHeight="1" x14ac:dyDescent="0.2">
      <c r="E5017" s="18"/>
      <c r="F5017" s="18"/>
    </row>
    <row r="5018" spans="5:6" ht="15" customHeight="1" x14ac:dyDescent="0.2">
      <c r="E5018" s="18"/>
      <c r="F5018" s="18"/>
    </row>
    <row r="5019" spans="5:6" ht="15" customHeight="1" x14ac:dyDescent="0.2">
      <c r="E5019" s="18"/>
      <c r="F5019" s="18"/>
    </row>
    <row r="5020" spans="5:6" ht="15" customHeight="1" x14ac:dyDescent="0.2">
      <c r="E5020" s="18"/>
      <c r="F5020" s="18"/>
    </row>
    <row r="5021" spans="5:6" ht="15" customHeight="1" x14ac:dyDescent="0.2">
      <c r="E5021" s="18"/>
      <c r="F5021" s="18"/>
    </row>
    <row r="5022" spans="5:6" ht="15" customHeight="1" x14ac:dyDescent="0.2">
      <c r="E5022" s="18"/>
      <c r="F5022" s="18"/>
    </row>
    <row r="5023" spans="5:6" ht="15" customHeight="1" x14ac:dyDescent="0.2">
      <c r="E5023" s="18"/>
      <c r="F5023" s="18"/>
    </row>
    <row r="5024" spans="5:6" ht="15" customHeight="1" x14ac:dyDescent="0.2">
      <c r="E5024" s="18"/>
      <c r="F5024" s="18"/>
    </row>
    <row r="5025" spans="5:6" ht="15" customHeight="1" x14ac:dyDescent="0.2">
      <c r="E5025" s="18"/>
      <c r="F5025" s="18"/>
    </row>
    <row r="5026" spans="5:6" ht="15" customHeight="1" x14ac:dyDescent="0.2">
      <c r="E5026" s="18"/>
      <c r="F5026" s="18"/>
    </row>
    <row r="5027" spans="5:6" ht="15" customHeight="1" x14ac:dyDescent="0.2">
      <c r="E5027" s="18"/>
      <c r="F5027" s="18"/>
    </row>
    <row r="5028" spans="5:6" ht="15" customHeight="1" x14ac:dyDescent="0.2">
      <c r="E5028" s="18"/>
      <c r="F5028" s="18"/>
    </row>
    <row r="5029" spans="5:6" ht="15" customHeight="1" x14ac:dyDescent="0.2">
      <c r="E5029" s="18"/>
      <c r="F5029" s="18"/>
    </row>
    <row r="5030" spans="5:6" ht="15" customHeight="1" x14ac:dyDescent="0.2">
      <c r="E5030" s="18"/>
      <c r="F5030" s="18"/>
    </row>
    <row r="5031" spans="5:6" ht="15" customHeight="1" x14ac:dyDescent="0.2">
      <c r="E5031" s="18"/>
      <c r="F5031" s="18"/>
    </row>
    <row r="5032" spans="5:6" ht="15" customHeight="1" x14ac:dyDescent="0.2">
      <c r="E5032" s="18"/>
      <c r="F5032" s="18"/>
    </row>
    <row r="5033" spans="5:6" ht="15" customHeight="1" x14ac:dyDescent="0.2">
      <c r="E5033" s="18"/>
      <c r="F5033" s="18"/>
    </row>
    <row r="5034" spans="5:6" ht="15" customHeight="1" x14ac:dyDescent="0.2">
      <c r="E5034" s="18"/>
      <c r="F5034" s="18"/>
    </row>
    <row r="5035" spans="5:6" ht="15" customHeight="1" x14ac:dyDescent="0.2">
      <c r="E5035" s="18"/>
      <c r="F5035" s="18"/>
    </row>
    <row r="5036" spans="5:6" ht="15" customHeight="1" x14ac:dyDescent="0.2">
      <c r="E5036" s="18"/>
      <c r="F5036" s="18"/>
    </row>
    <row r="5037" spans="5:6" ht="15" customHeight="1" x14ac:dyDescent="0.2">
      <c r="E5037" s="18"/>
      <c r="F5037" s="18"/>
    </row>
    <row r="5038" spans="5:6" ht="15" customHeight="1" x14ac:dyDescent="0.2">
      <c r="E5038" s="18"/>
      <c r="F5038" s="18"/>
    </row>
    <row r="5039" spans="5:6" ht="15" customHeight="1" x14ac:dyDescent="0.2">
      <c r="E5039" s="18"/>
      <c r="F5039" s="18"/>
    </row>
    <row r="5040" spans="5:6" ht="15" customHeight="1" x14ac:dyDescent="0.2">
      <c r="E5040" s="18"/>
      <c r="F5040" s="18"/>
    </row>
    <row r="5041" spans="5:6" ht="15" customHeight="1" x14ac:dyDescent="0.2">
      <c r="E5041" s="18"/>
      <c r="F5041" s="18"/>
    </row>
    <row r="5042" spans="5:6" ht="15" customHeight="1" x14ac:dyDescent="0.2">
      <c r="E5042" s="18"/>
      <c r="F5042" s="18"/>
    </row>
    <row r="5043" spans="5:6" ht="15" customHeight="1" x14ac:dyDescent="0.2">
      <c r="E5043" s="18"/>
      <c r="F5043" s="18"/>
    </row>
    <row r="5044" spans="5:6" ht="15" customHeight="1" x14ac:dyDescent="0.2">
      <c r="E5044" s="18"/>
      <c r="F5044" s="18"/>
    </row>
    <row r="5045" spans="5:6" ht="15" customHeight="1" x14ac:dyDescent="0.2">
      <c r="E5045" s="18"/>
      <c r="F5045" s="18"/>
    </row>
    <row r="5046" spans="5:6" ht="15" customHeight="1" x14ac:dyDescent="0.2">
      <c r="E5046" s="18"/>
      <c r="F5046" s="18"/>
    </row>
    <row r="5047" spans="5:6" ht="15" customHeight="1" x14ac:dyDescent="0.2">
      <c r="E5047" s="18"/>
      <c r="F5047" s="18"/>
    </row>
    <row r="5048" spans="5:6" ht="15" customHeight="1" x14ac:dyDescent="0.2">
      <c r="E5048" s="18"/>
      <c r="F5048" s="18"/>
    </row>
    <row r="5049" spans="5:6" ht="15" customHeight="1" x14ac:dyDescent="0.2">
      <c r="E5049" s="18"/>
      <c r="F5049" s="18"/>
    </row>
    <row r="5050" spans="5:6" ht="15" customHeight="1" x14ac:dyDescent="0.2">
      <c r="E5050" s="18"/>
      <c r="F5050" s="18"/>
    </row>
    <row r="5051" spans="5:6" ht="15" customHeight="1" x14ac:dyDescent="0.2">
      <c r="E5051" s="18"/>
      <c r="F5051" s="18"/>
    </row>
    <row r="5052" spans="5:6" ht="15" customHeight="1" x14ac:dyDescent="0.2">
      <c r="E5052" s="18"/>
      <c r="F5052" s="18"/>
    </row>
    <row r="5053" spans="5:6" ht="15" customHeight="1" x14ac:dyDescent="0.2">
      <c r="E5053" s="18"/>
      <c r="F5053" s="18"/>
    </row>
    <row r="5054" spans="5:6" ht="15" customHeight="1" x14ac:dyDescent="0.2">
      <c r="E5054" s="18"/>
      <c r="F5054" s="18"/>
    </row>
    <row r="5055" spans="5:6" ht="15" customHeight="1" x14ac:dyDescent="0.2">
      <c r="E5055" s="18"/>
      <c r="F5055" s="18"/>
    </row>
    <row r="5056" spans="5:6" ht="15" customHeight="1" x14ac:dyDescent="0.2">
      <c r="E5056" s="18"/>
      <c r="F5056" s="18"/>
    </row>
    <row r="5057" spans="5:6" ht="15" customHeight="1" x14ac:dyDescent="0.2">
      <c r="E5057" s="18"/>
      <c r="F5057" s="18"/>
    </row>
    <row r="5058" spans="5:6" ht="15" customHeight="1" x14ac:dyDescent="0.2">
      <c r="E5058" s="18"/>
      <c r="F5058" s="18"/>
    </row>
    <row r="5059" spans="5:6" ht="15" customHeight="1" x14ac:dyDescent="0.2">
      <c r="E5059" s="18"/>
      <c r="F5059" s="18"/>
    </row>
    <row r="5060" spans="5:6" ht="15" customHeight="1" x14ac:dyDescent="0.2">
      <c r="E5060" s="18"/>
      <c r="F5060" s="18"/>
    </row>
    <row r="5061" spans="5:6" ht="15" customHeight="1" x14ac:dyDescent="0.2">
      <c r="E5061" s="18"/>
      <c r="F5061" s="18"/>
    </row>
    <row r="5062" spans="5:6" ht="15" customHeight="1" x14ac:dyDescent="0.2">
      <c r="E5062" s="18"/>
      <c r="F5062" s="18"/>
    </row>
    <row r="5063" spans="5:6" ht="15" customHeight="1" x14ac:dyDescent="0.2">
      <c r="E5063" s="18"/>
      <c r="F5063" s="18"/>
    </row>
    <row r="5064" spans="5:6" ht="15" customHeight="1" x14ac:dyDescent="0.2">
      <c r="E5064" s="18"/>
      <c r="F5064" s="18"/>
    </row>
    <row r="5065" spans="5:6" ht="15" customHeight="1" x14ac:dyDescent="0.2">
      <c r="E5065" s="18"/>
      <c r="F5065" s="18"/>
    </row>
    <row r="5066" spans="5:6" ht="15" customHeight="1" x14ac:dyDescent="0.2">
      <c r="E5066" s="18"/>
      <c r="F5066" s="18"/>
    </row>
    <row r="5067" spans="5:6" ht="15" customHeight="1" x14ac:dyDescent="0.2">
      <c r="E5067" s="18"/>
      <c r="F5067" s="18"/>
    </row>
    <row r="5068" spans="5:6" ht="15" customHeight="1" x14ac:dyDescent="0.2">
      <c r="E5068" s="18"/>
      <c r="F5068" s="18"/>
    </row>
    <row r="5069" spans="5:6" ht="15" customHeight="1" x14ac:dyDescent="0.2">
      <c r="E5069" s="18"/>
      <c r="F5069" s="18"/>
    </row>
    <row r="5070" spans="5:6" ht="15" customHeight="1" x14ac:dyDescent="0.2">
      <c r="E5070" s="18"/>
      <c r="F5070" s="18"/>
    </row>
    <row r="5071" spans="5:6" ht="15" customHeight="1" x14ac:dyDescent="0.2">
      <c r="E5071" s="18"/>
      <c r="F5071" s="18"/>
    </row>
    <row r="5072" spans="5:6" ht="15" customHeight="1" x14ac:dyDescent="0.2">
      <c r="E5072" s="18"/>
      <c r="F5072" s="18"/>
    </row>
    <row r="5073" spans="5:6" ht="15" customHeight="1" x14ac:dyDescent="0.2">
      <c r="E5073" s="18"/>
      <c r="F5073" s="18"/>
    </row>
    <row r="5074" spans="5:6" ht="15" customHeight="1" x14ac:dyDescent="0.2">
      <c r="E5074" s="18"/>
      <c r="F5074" s="18"/>
    </row>
    <row r="5075" spans="5:6" ht="15" customHeight="1" x14ac:dyDescent="0.2">
      <c r="E5075" s="18"/>
      <c r="F5075" s="18"/>
    </row>
    <row r="5076" spans="5:6" ht="15" customHeight="1" x14ac:dyDescent="0.2">
      <c r="E5076" s="18"/>
      <c r="F5076" s="18"/>
    </row>
    <row r="5077" spans="5:6" ht="15" customHeight="1" x14ac:dyDescent="0.2">
      <c r="E5077" s="18"/>
      <c r="F5077" s="18"/>
    </row>
    <row r="5078" spans="5:6" ht="15" customHeight="1" x14ac:dyDescent="0.2">
      <c r="E5078" s="18"/>
      <c r="F5078" s="18"/>
    </row>
    <row r="5079" spans="5:6" ht="15" customHeight="1" x14ac:dyDescent="0.2">
      <c r="E5079" s="18"/>
      <c r="F5079" s="18"/>
    </row>
    <row r="5080" spans="5:6" ht="15" customHeight="1" x14ac:dyDescent="0.2">
      <c r="E5080" s="18"/>
      <c r="F5080" s="18"/>
    </row>
    <row r="5081" spans="5:6" ht="15" customHeight="1" x14ac:dyDescent="0.2">
      <c r="E5081" s="18"/>
      <c r="F5081" s="18"/>
    </row>
    <row r="5082" spans="5:6" ht="15" customHeight="1" x14ac:dyDescent="0.2">
      <c r="E5082" s="18"/>
      <c r="F5082" s="18"/>
    </row>
    <row r="5083" spans="5:6" ht="15" customHeight="1" x14ac:dyDescent="0.2">
      <c r="E5083" s="18"/>
      <c r="F5083" s="18"/>
    </row>
    <row r="5084" spans="5:6" ht="15" customHeight="1" x14ac:dyDescent="0.2">
      <c r="E5084" s="18"/>
      <c r="F5084" s="18"/>
    </row>
    <row r="5085" spans="5:6" ht="15" customHeight="1" x14ac:dyDescent="0.2">
      <c r="E5085" s="18"/>
      <c r="F5085" s="18"/>
    </row>
    <row r="5086" spans="5:6" ht="15" customHeight="1" x14ac:dyDescent="0.2">
      <c r="E5086" s="18"/>
      <c r="F5086" s="18"/>
    </row>
    <row r="5087" spans="5:6" ht="15" customHeight="1" x14ac:dyDescent="0.2">
      <c r="E5087" s="18"/>
      <c r="F5087" s="18"/>
    </row>
    <row r="5088" spans="5:6" ht="15" customHeight="1" x14ac:dyDescent="0.2">
      <c r="E5088" s="18"/>
      <c r="F5088" s="18"/>
    </row>
    <row r="5089" spans="5:6" ht="15" customHeight="1" x14ac:dyDescent="0.2">
      <c r="E5089" s="18"/>
      <c r="F5089" s="18"/>
    </row>
    <row r="5090" spans="5:6" ht="15" customHeight="1" x14ac:dyDescent="0.2">
      <c r="E5090" s="18"/>
      <c r="F5090" s="18"/>
    </row>
    <row r="5091" spans="5:6" ht="15" customHeight="1" x14ac:dyDescent="0.2">
      <c r="E5091" s="18"/>
      <c r="F5091" s="18"/>
    </row>
    <row r="5092" spans="5:6" ht="15" customHeight="1" x14ac:dyDescent="0.2">
      <c r="E5092" s="18"/>
      <c r="F5092" s="18"/>
    </row>
    <row r="5093" spans="5:6" ht="15" customHeight="1" x14ac:dyDescent="0.2">
      <c r="E5093" s="18"/>
      <c r="F5093" s="18"/>
    </row>
    <row r="5094" spans="5:6" ht="15" customHeight="1" x14ac:dyDescent="0.2">
      <c r="E5094" s="18"/>
      <c r="F5094" s="18"/>
    </row>
    <row r="5095" spans="5:6" ht="15" customHeight="1" x14ac:dyDescent="0.2">
      <c r="E5095" s="18"/>
      <c r="F5095" s="18"/>
    </row>
    <row r="5096" spans="5:6" ht="15" customHeight="1" x14ac:dyDescent="0.2">
      <c r="E5096" s="18"/>
      <c r="F5096" s="18"/>
    </row>
    <row r="5097" spans="5:6" ht="15" customHeight="1" x14ac:dyDescent="0.2">
      <c r="E5097" s="18"/>
      <c r="F5097" s="18"/>
    </row>
    <row r="5098" spans="5:6" ht="15" customHeight="1" x14ac:dyDescent="0.2">
      <c r="E5098" s="18"/>
      <c r="F5098" s="18"/>
    </row>
    <row r="5099" spans="5:6" ht="15" customHeight="1" x14ac:dyDescent="0.2">
      <c r="E5099" s="18"/>
      <c r="F5099" s="18"/>
    </row>
    <row r="5100" spans="5:6" ht="15" customHeight="1" x14ac:dyDescent="0.2">
      <c r="E5100" s="18"/>
      <c r="F5100" s="18"/>
    </row>
    <row r="5101" spans="5:6" ht="15" customHeight="1" x14ac:dyDescent="0.2">
      <c r="E5101" s="18"/>
      <c r="F5101" s="18"/>
    </row>
    <row r="5102" spans="5:6" ht="15" customHeight="1" x14ac:dyDescent="0.2">
      <c r="E5102" s="18"/>
      <c r="F5102" s="18"/>
    </row>
    <row r="5103" spans="5:6" ht="15" customHeight="1" x14ac:dyDescent="0.2">
      <c r="E5103" s="18"/>
      <c r="F5103" s="18"/>
    </row>
    <row r="5104" spans="5:6" ht="15" customHeight="1" x14ac:dyDescent="0.2">
      <c r="E5104" s="18"/>
      <c r="F5104" s="18"/>
    </row>
    <row r="5105" spans="5:6" ht="15" customHeight="1" x14ac:dyDescent="0.2">
      <c r="E5105" s="18"/>
      <c r="F5105" s="18"/>
    </row>
    <row r="5106" spans="5:6" ht="15" customHeight="1" x14ac:dyDescent="0.2">
      <c r="E5106" s="18"/>
      <c r="F5106" s="18"/>
    </row>
    <row r="5107" spans="5:6" ht="15" customHeight="1" x14ac:dyDescent="0.2">
      <c r="E5107" s="18"/>
      <c r="F5107" s="18"/>
    </row>
    <row r="5108" spans="5:6" ht="15" customHeight="1" x14ac:dyDescent="0.2">
      <c r="E5108" s="18"/>
      <c r="F5108" s="18"/>
    </row>
    <row r="5109" spans="5:6" ht="15" customHeight="1" x14ac:dyDescent="0.2">
      <c r="E5109" s="18"/>
      <c r="F5109" s="18"/>
    </row>
    <row r="5110" spans="5:6" ht="15" customHeight="1" x14ac:dyDescent="0.2">
      <c r="E5110" s="18"/>
      <c r="F5110" s="18"/>
    </row>
    <row r="5111" spans="5:6" ht="15" customHeight="1" x14ac:dyDescent="0.2">
      <c r="E5111" s="18"/>
      <c r="F5111" s="18"/>
    </row>
    <row r="5112" spans="5:6" ht="15" customHeight="1" x14ac:dyDescent="0.2">
      <c r="E5112" s="18"/>
      <c r="F5112" s="18"/>
    </row>
    <row r="5113" spans="5:6" ht="15" customHeight="1" x14ac:dyDescent="0.2">
      <c r="E5113" s="18"/>
      <c r="F5113" s="18"/>
    </row>
    <row r="5114" spans="5:6" ht="15" customHeight="1" x14ac:dyDescent="0.2">
      <c r="E5114" s="18"/>
      <c r="F5114" s="18"/>
    </row>
    <row r="5115" spans="5:6" ht="15" customHeight="1" x14ac:dyDescent="0.2">
      <c r="E5115" s="18"/>
      <c r="F5115" s="18"/>
    </row>
    <row r="5116" spans="5:6" ht="15" customHeight="1" x14ac:dyDescent="0.2">
      <c r="E5116" s="18"/>
      <c r="F5116" s="18"/>
    </row>
    <row r="5117" spans="5:6" ht="15" customHeight="1" x14ac:dyDescent="0.2">
      <c r="E5117" s="18"/>
      <c r="F5117" s="18"/>
    </row>
    <row r="5118" spans="5:6" ht="15" customHeight="1" x14ac:dyDescent="0.2">
      <c r="E5118" s="18"/>
      <c r="F5118" s="18"/>
    </row>
    <row r="5119" spans="5:6" ht="15" customHeight="1" x14ac:dyDescent="0.2">
      <c r="E5119" s="18"/>
      <c r="F5119" s="18"/>
    </row>
    <row r="5120" spans="5:6" ht="15" customHeight="1" x14ac:dyDescent="0.2">
      <c r="E5120" s="18"/>
      <c r="F5120" s="18"/>
    </row>
    <row r="5121" spans="5:6" ht="15" customHeight="1" x14ac:dyDescent="0.2">
      <c r="E5121" s="18"/>
      <c r="F5121" s="18"/>
    </row>
    <row r="5122" spans="5:6" ht="15" customHeight="1" x14ac:dyDescent="0.2">
      <c r="E5122" s="18"/>
      <c r="F5122" s="18"/>
    </row>
    <row r="5123" spans="5:6" ht="15" customHeight="1" x14ac:dyDescent="0.2">
      <c r="E5123" s="18"/>
      <c r="F5123" s="18"/>
    </row>
    <row r="5124" spans="5:6" ht="15" customHeight="1" x14ac:dyDescent="0.2">
      <c r="E5124" s="18"/>
      <c r="F5124" s="18"/>
    </row>
    <row r="5125" spans="5:6" ht="15" customHeight="1" x14ac:dyDescent="0.2">
      <c r="E5125" s="18"/>
      <c r="F5125" s="18"/>
    </row>
    <row r="5126" spans="5:6" ht="15" customHeight="1" x14ac:dyDescent="0.2">
      <c r="E5126" s="18"/>
      <c r="F5126" s="18"/>
    </row>
    <row r="5127" spans="5:6" ht="15" customHeight="1" x14ac:dyDescent="0.2">
      <c r="E5127" s="18"/>
      <c r="F5127" s="18"/>
    </row>
    <row r="5128" spans="5:6" ht="15" customHeight="1" x14ac:dyDescent="0.2">
      <c r="E5128" s="18"/>
      <c r="F5128" s="18"/>
    </row>
    <row r="5129" spans="5:6" ht="15" customHeight="1" x14ac:dyDescent="0.2">
      <c r="E5129" s="18"/>
      <c r="F5129" s="18"/>
    </row>
    <row r="5130" spans="5:6" ht="15" customHeight="1" x14ac:dyDescent="0.2">
      <c r="E5130" s="18"/>
      <c r="F5130" s="18"/>
    </row>
    <row r="5131" spans="5:6" ht="15" customHeight="1" x14ac:dyDescent="0.2">
      <c r="E5131" s="18"/>
      <c r="F5131" s="18"/>
    </row>
    <row r="5132" spans="5:6" ht="15" customHeight="1" x14ac:dyDescent="0.2">
      <c r="E5132" s="18"/>
      <c r="F5132" s="18"/>
    </row>
    <row r="5133" spans="5:6" ht="15" customHeight="1" x14ac:dyDescent="0.2">
      <c r="E5133" s="18"/>
      <c r="F5133" s="18"/>
    </row>
    <row r="5134" spans="5:6" ht="15" customHeight="1" x14ac:dyDescent="0.2">
      <c r="E5134" s="18"/>
      <c r="F5134" s="18"/>
    </row>
    <row r="5135" spans="5:6" ht="15" customHeight="1" x14ac:dyDescent="0.2">
      <c r="E5135" s="18"/>
      <c r="F5135" s="18"/>
    </row>
    <row r="5136" spans="5:6" ht="15" customHeight="1" x14ac:dyDescent="0.2">
      <c r="E5136" s="18"/>
      <c r="F5136" s="18"/>
    </row>
    <row r="5137" spans="5:6" ht="15" customHeight="1" x14ac:dyDescent="0.2">
      <c r="E5137" s="18"/>
      <c r="F5137" s="18"/>
    </row>
    <row r="5138" spans="5:6" ht="15" customHeight="1" x14ac:dyDescent="0.2">
      <c r="E5138" s="18"/>
      <c r="F5138" s="18"/>
    </row>
    <row r="5139" spans="5:6" ht="15" customHeight="1" x14ac:dyDescent="0.2">
      <c r="E5139" s="18"/>
      <c r="F5139" s="18"/>
    </row>
    <row r="5140" spans="5:6" ht="15" customHeight="1" x14ac:dyDescent="0.2">
      <c r="E5140" s="18"/>
      <c r="F5140" s="18"/>
    </row>
    <row r="5141" spans="5:6" ht="15" customHeight="1" x14ac:dyDescent="0.2">
      <c r="E5141" s="18"/>
      <c r="F5141" s="18"/>
    </row>
    <row r="5142" spans="5:6" ht="15" customHeight="1" x14ac:dyDescent="0.2">
      <c r="E5142" s="18"/>
      <c r="F5142" s="18"/>
    </row>
    <row r="5143" spans="5:6" ht="15" customHeight="1" x14ac:dyDescent="0.2">
      <c r="E5143" s="18"/>
      <c r="F5143" s="18"/>
    </row>
    <row r="5144" spans="5:6" ht="15" customHeight="1" x14ac:dyDescent="0.2">
      <c r="E5144" s="18"/>
      <c r="F5144" s="18"/>
    </row>
    <row r="5145" spans="5:6" ht="15" customHeight="1" x14ac:dyDescent="0.2">
      <c r="E5145" s="18"/>
      <c r="F5145" s="18"/>
    </row>
    <row r="5146" spans="5:6" ht="15" customHeight="1" x14ac:dyDescent="0.2">
      <c r="E5146" s="18"/>
      <c r="F5146" s="18"/>
    </row>
    <row r="5147" spans="5:6" ht="15" customHeight="1" x14ac:dyDescent="0.2">
      <c r="E5147" s="18"/>
      <c r="F5147" s="18"/>
    </row>
    <row r="5148" spans="5:6" ht="15" customHeight="1" x14ac:dyDescent="0.2">
      <c r="E5148" s="18"/>
      <c r="F5148" s="18"/>
    </row>
    <row r="5149" spans="5:6" ht="15" customHeight="1" x14ac:dyDescent="0.2">
      <c r="E5149" s="18"/>
      <c r="F5149" s="18"/>
    </row>
    <row r="5150" spans="5:6" ht="15" customHeight="1" x14ac:dyDescent="0.2">
      <c r="E5150" s="18"/>
      <c r="F5150" s="18"/>
    </row>
    <row r="5151" spans="5:6" ht="15" customHeight="1" x14ac:dyDescent="0.2">
      <c r="E5151" s="18"/>
      <c r="F5151" s="18"/>
    </row>
    <row r="5152" spans="5:6" ht="15" customHeight="1" x14ac:dyDescent="0.2">
      <c r="E5152" s="18"/>
      <c r="F5152" s="18"/>
    </row>
    <row r="5153" spans="5:6" ht="15" customHeight="1" x14ac:dyDescent="0.2">
      <c r="E5153" s="18"/>
      <c r="F5153" s="18"/>
    </row>
    <row r="5154" spans="5:6" ht="15" customHeight="1" x14ac:dyDescent="0.2">
      <c r="E5154" s="18"/>
      <c r="F5154" s="18"/>
    </row>
    <row r="5155" spans="5:6" ht="15" customHeight="1" x14ac:dyDescent="0.2">
      <c r="E5155" s="18"/>
      <c r="F5155" s="18"/>
    </row>
    <row r="5156" spans="5:6" ht="15" customHeight="1" x14ac:dyDescent="0.2">
      <c r="E5156" s="18"/>
      <c r="F5156" s="18"/>
    </row>
    <row r="5157" spans="5:6" ht="15" customHeight="1" x14ac:dyDescent="0.2">
      <c r="E5157" s="18"/>
      <c r="F5157" s="18"/>
    </row>
    <row r="5158" spans="5:6" ht="15" customHeight="1" x14ac:dyDescent="0.2">
      <c r="E5158" s="18"/>
      <c r="F5158" s="18"/>
    </row>
    <row r="5159" spans="5:6" ht="15" customHeight="1" x14ac:dyDescent="0.2">
      <c r="E5159" s="18"/>
      <c r="F5159" s="18"/>
    </row>
    <row r="5160" spans="5:6" ht="15" customHeight="1" x14ac:dyDescent="0.2">
      <c r="E5160" s="18"/>
      <c r="F5160" s="18"/>
    </row>
    <row r="5161" spans="5:6" ht="15" customHeight="1" x14ac:dyDescent="0.2">
      <c r="E5161" s="18"/>
      <c r="F5161" s="18"/>
    </row>
    <row r="5162" spans="5:6" ht="15" customHeight="1" x14ac:dyDescent="0.2">
      <c r="E5162" s="18"/>
      <c r="F5162" s="18"/>
    </row>
    <row r="5163" spans="5:6" ht="15" customHeight="1" x14ac:dyDescent="0.2">
      <c r="E5163" s="18"/>
      <c r="F5163" s="18"/>
    </row>
    <row r="5164" spans="5:6" ht="15" customHeight="1" x14ac:dyDescent="0.2">
      <c r="E5164" s="18"/>
      <c r="F5164" s="18"/>
    </row>
    <row r="5165" spans="5:6" ht="15" customHeight="1" x14ac:dyDescent="0.2">
      <c r="E5165" s="18"/>
      <c r="F5165" s="18"/>
    </row>
    <row r="5166" spans="5:6" ht="15" customHeight="1" x14ac:dyDescent="0.2">
      <c r="E5166" s="18"/>
      <c r="F5166" s="18"/>
    </row>
    <row r="5167" spans="5:6" ht="15" customHeight="1" x14ac:dyDescent="0.2">
      <c r="E5167" s="18"/>
      <c r="F5167" s="18"/>
    </row>
    <row r="5168" spans="5:6" ht="15" customHeight="1" x14ac:dyDescent="0.2">
      <c r="E5168" s="18"/>
      <c r="F5168" s="18"/>
    </row>
    <row r="5169" spans="5:6" ht="15" customHeight="1" x14ac:dyDescent="0.2">
      <c r="E5169" s="18"/>
      <c r="F5169" s="18"/>
    </row>
    <row r="5170" spans="5:6" ht="15" customHeight="1" x14ac:dyDescent="0.2">
      <c r="E5170" s="18"/>
      <c r="F5170" s="18"/>
    </row>
    <row r="5171" spans="5:6" ht="15" customHeight="1" x14ac:dyDescent="0.2">
      <c r="E5171" s="18"/>
      <c r="F5171" s="18"/>
    </row>
    <row r="5172" spans="5:6" ht="15" customHeight="1" x14ac:dyDescent="0.2">
      <c r="E5172" s="18"/>
      <c r="F5172" s="18"/>
    </row>
    <row r="5173" spans="5:6" ht="15" customHeight="1" x14ac:dyDescent="0.2">
      <c r="E5173" s="18"/>
      <c r="F5173" s="18"/>
    </row>
    <row r="5174" spans="5:6" ht="15" customHeight="1" x14ac:dyDescent="0.2">
      <c r="E5174" s="18"/>
      <c r="F5174" s="18"/>
    </row>
    <row r="5175" spans="5:6" ht="15" customHeight="1" x14ac:dyDescent="0.2">
      <c r="E5175" s="18"/>
      <c r="F5175" s="18"/>
    </row>
    <row r="5176" spans="5:6" ht="15" customHeight="1" x14ac:dyDescent="0.2">
      <c r="E5176" s="18"/>
      <c r="F5176" s="18"/>
    </row>
    <row r="5177" spans="5:6" ht="15" customHeight="1" x14ac:dyDescent="0.2">
      <c r="E5177" s="18"/>
      <c r="F5177" s="18"/>
    </row>
    <row r="5178" spans="5:6" ht="15" customHeight="1" x14ac:dyDescent="0.2">
      <c r="E5178" s="18"/>
      <c r="F5178" s="18"/>
    </row>
    <row r="5179" spans="5:6" ht="15" customHeight="1" x14ac:dyDescent="0.2">
      <c r="E5179" s="18"/>
      <c r="F5179" s="18"/>
    </row>
    <row r="5180" spans="5:6" ht="15" customHeight="1" x14ac:dyDescent="0.2">
      <c r="E5180" s="18"/>
      <c r="F5180" s="18"/>
    </row>
    <row r="5181" spans="5:6" ht="15" customHeight="1" x14ac:dyDescent="0.2">
      <c r="E5181" s="18"/>
      <c r="F5181" s="18"/>
    </row>
    <row r="5182" spans="5:6" ht="15" customHeight="1" x14ac:dyDescent="0.2">
      <c r="E5182" s="18"/>
      <c r="F5182" s="18"/>
    </row>
    <row r="5183" spans="5:6" ht="15" customHeight="1" x14ac:dyDescent="0.2">
      <c r="E5183" s="18"/>
      <c r="F5183" s="18"/>
    </row>
    <row r="5184" spans="5:6" ht="15" customHeight="1" x14ac:dyDescent="0.2">
      <c r="E5184" s="18"/>
      <c r="F5184" s="18"/>
    </row>
    <row r="5185" spans="5:6" ht="15" customHeight="1" x14ac:dyDescent="0.2">
      <c r="E5185" s="18"/>
      <c r="F5185" s="18"/>
    </row>
    <row r="5186" spans="5:6" ht="15" customHeight="1" x14ac:dyDescent="0.2">
      <c r="E5186" s="18"/>
      <c r="F5186" s="18"/>
    </row>
    <row r="5187" spans="5:6" ht="15" customHeight="1" x14ac:dyDescent="0.2">
      <c r="E5187" s="18"/>
      <c r="F5187" s="18"/>
    </row>
    <row r="5188" spans="5:6" ht="15" customHeight="1" x14ac:dyDescent="0.2">
      <c r="E5188" s="18"/>
      <c r="F5188" s="18"/>
    </row>
    <row r="5189" spans="5:6" ht="15" customHeight="1" x14ac:dyDescent="0.2">
      <c r="E5189" s="18"/>
      <c r="F5189" s="18"/>
    </row>
    <row r="5190" spans="5:6" ht="15" customHeight="1" x14ac:dyDescent="0.2">
      <c r="E5190" s="18"/>
      <c r="F5190" s="18"/>
    </row>
    <row r="5191" spans="5:6" ht="15" customHeight="1" x14ac:dyDescent="0.2">
      <c r="E5191" s="18"/>
      <c r="F5191" s="18"/>
    </row>
    <row r="5192" spans="5:6" ht="15" customHeight="1" x14ac:dyDescent="0.2">
      <c r="E5192" s="18"/>
      <c r="F5192" s="18"/>
    </row>
    <row r="5193" spans="5:6" ht="15" customHeight="1" x14ac:dyDescent="0.2">
      <c r="E5193" s="18"/>
      <c r="F5193" s="18"/>
    </row>
    <row r="5194" spans="5:6" ht="15" customHeight="1" x14ac:dyDescent="0.2">
      <c r="E5194" s="18"/>
      <c r="F5194" s="18"/>
    </row>
    <row r="5195" spans="5:6" ht="15" customHeight="1" x14ac:dyDescent="0.2">
      <c r="E5195" s="18"/>
      <c r="F5195" s="18"/>
    </row>
    <row r="5196" spans="5:6" ht="15" customHeight="1" x14ac:dyDescent="0.2">
      <c r="E5196" s="18"/>
      <c r="F5196" s="18"/>
    </row>
    <row r="5197" spans="5:6" ht="15" customHeight="1" x14ac:dyDescent="0.2">
      <c r="E5197" s="18"/>
      <c r="F5197" s="18"/>
    </row>
    <row r="5198" spans="5:6" ht="15" customHeight="1" x14ac:dyDescent="0.2">
      <c r="E5198" s="18"/>
      <c r="F5198" s="18"/>
    </row>
    <row r="5199" spans="5:6" ht="15" customHeight="1" x14ac:dyDescent="0.2">
      <c r="E5199" s="18"/>
      <c r="F5199" s="18"/>
    </row>
    <row r="5200" spans="5:6" ht="15" customHeight="1" x14ac:dyDescent="0.2">
      <c r="E5200" s="18"/>
      <c r="F5200" s="18"/>
    </row>
    <row r="5201" spans="5:6" ht="15" customHeight="1" x14ac:dyDescent="0.2">
      <c r="E5201" s="18"/>
      <c r="F5201" s="18"/>
    </row>
    <row r="5202" spans="5:6" ht="15" customHeight="1" x14ac:dyDescent="0.2">
      <c r="E5202" s="18"/>
      <c r="F5202" s="18"/>
    </row>
    <row r="5203" spans="5:6" ht="15" customHeight="1" x14ac:dyDescent="0.2">
      <c r="E5203" s="18"/>
      <c r="F5203" s="18"/>
    </row>
    <row r="5204" spans="5:6" ht="15" customHeight="1" x14ac:dyDescent="0.2">
      <c r="E5204" s="18"/>
      <c r="F5204" s="18"/>
    </row>
    <row r="5205" spans="5:6" ht="15" customHeight="1" x14ac:dyDescent="0.2">
      <c r="E5205" s="18"/>
      <c r="F5205" s="18"/>
    </row>
    <row r="5206" spans="5:6" ht="15" customHeight="1" x14ac:dyDescent="0.2">
      <c r="E5206" s="18"/>
      <c r="F5206" s="18"/>
    </row>
    <row r="5207" spans="5:6" ht="15" customHeight="1" x14ac:dyDescent="0.2">
      <c r="E5207" s="18"/>
      <c r="F5207" s="18"/>
    </row>
    <row r="5208" spans="5:6" ht="15" customHeight="1" x14ac:dyDescent="0.2">
      <c r="E5208" s="18"/>
      <c r="F5208" s="18"/>
    </row>
    <row r="5209" spans="5:6" ht="15" customHeight="1" x14ac:dyDescent="0.2">
      <c r="E5209" s="18"/>
      <c r="F5209" s="18"/>
    </row>
    <row r="5210" spans="5:6" ht="15" customHeight="1" x14ac:dyDescent="0.2">
      <c r="E5210" s="18"/>
      <c r="F5210" s="18"/>
    </row>
    <row r="5211" spans="5:6" ht="15" customHeight="1" x14ac:dyDescent="0.2">
      <c r="E5211" s="18"/>
      <c r="F5211" s="18"/>
    </row>
    <row r="5212" spans="5:6" ht="15" customHeight="1" x14ac:dyDescent="0.2">
      <c r="E5212" s="18"/>
      <c r="F5212" s="18"/>
    </row>
    <row r="5213" spans="5:6" ht="15" customHeight="1" x14ac:dyDescent="0.2">
      <c r="E5213" s="18"/>
      <c r="F5213" s="18"/>
    </row>
    <row r="5214" spans="5:6" ht="15" customHeight="1" x14ac:dyDescent="0.2">
      <c r="E5214" s="18"/>
      <c r="F5214" s="18"/>
    </row>
    <row r="5215" spans="5:6" ht="15" customHeight="1" x14ac:dyDescent="0.2">
      <c r="E5215" s="18"/>
      <c r="F5215" s="18"/>
    </row>
    <row r="5216" spans="5:6" ht="15" customHeight="1" x14ac:dyDescent="0.2">
      <c r="E5216" s="18"/>
      <c r="F5216" s="18"/>
    </row>
    <row r="5217" spans="5:6" ht="15" customHeight="1" x14ac:dyDescent="0.2">
      <c r="E5217" s="18"/>
      <c r="F5217" s="18"/>
    </row>
    <row r="5218" spans="5:6" ht="15" customHeight="1" x14ac:dyDescent="0.2">
      <c r="E5218" s="18"/>
      <c r="F5218" s="18"/>
    </row>
    <row r="5219" spans="5:6" ht="15" customHeight="1" x14ac:dyDescent="0.2">
      <c r="E5219" s="18"/>
      <c r="F5219" s="18"/>
    </row>
    <row r="5220" spans="5:6" ht="15" customHeight="1" x14ac:dyDescent="0.2">
      <c r="E5220" s="18"/>
      <c r="F5220" s="18"/>
    </row>
    <row r="5221" spans="5:6" ht="15" customHeight="1" x14ac:dyDescent="0.2">
      <c r="E5221" s="18"/>
      <c r="F5221" s="18"/>
    </row>
    <row r="5222" spans="5:6" ht="15" customHeight="1" x14ac:dyDescent="0.2">
      <c r="E5222" s="18"/>
      <c r="F5222" s="18"/>
    </row>
    <row r="5223" spans="5:6" ht="15" customHeight="1" x14ac:dyDescent="0.2">
      <c r="E5223" s="18"/>
      <c r="F5223" s="18"/>
    </row>
    <row r="5224" spans="5:6" ht="15" customHeight="1" x14ac:dyDescent="0.2">
      <c r="E5224" s="18"/>
      <c r="F5224" s="18"/>
    </row>
    <row r="5225" spans="5:6" ht="15" customHeight="1" x14ac:dyDescent="0.2">
      <c r="E5225" s="18"/>
      <c r="F5225" s="18"/>
    </row>
    <row r="5226" spans="5:6" ht="15" customHeight="1" x14ac:dyDescent="0.2">
      <c r="E5226" s="18"/>
      <c r="F5226" s="18"/>
    </row>
    <row r="5227" spans="5:6" ht="15" customHeight="1" x14ac:dyDescent="0.2">
      <c r="E5227" s="18"/>
      <c r="F5227" s="18"/>
    </row>
    <row r="5228" spans="5:6" ht="15" customHeight="1" x14ac:dyDescent="0.2">
      <c r="E5228" s="18"/>
      <c r="F5228" s="18"/>
    </row>
    <row r="5229" spans="5:6" ht="15" customHeight="1" x14ac:dyDescent="0.2">
      <c r="E5229" s="18"/>
      <c r="F5229" s="18"/>
    </row>
    <row r="5230" spans="5:6" ht="15" customHeight="1" x14ac:dyDescent="0.2">
      <c r="E5230" s="18"/>
      <c r="F5230" s="18"/>
    </row>
    <row r="5231" spans="5:6" ht="15" customHeight="1" x14ac:dyDescent="0.2">
      <c r="E5231" s="18"/>
      <c r="F5231" s="18"/>
    </row>
    <row r="5232" spans="5:6" ht="15" customHeight="1" x14ac:dyDescent="0.2">
      <c r="E5232" s="18"/>
      <c r="F5232" s="18"/>
    </row>
    <row r="5233" spans="5:6" ht="15" customHeight="1" x14ac:dyDescent="0.2">
      <c r="E5233" s="18"/>
      <c r="F5233" s="18"/>
    </row>
    <row r="5234" spans="5:6" ht="15" customHeight="1" x14ac:dyDescent="0.2">
      <c r="E5234" s="18"/>
      <c r="F5234" s="18"/>
    </row>
    <row r="5235" spans="5:6" ht="15" customHeight="1" x14ac:dyDescent="0.2">
      <c r="E5235" s="18"/>
      <c r="F5235" s="18"/>
    </row>
    <row r="5236" spans="5:6" ht="15" customHeight="1" x14ac:dyDescent="0.2">
      <c r="E5236" s="18"/>
      <c r="F5236" s="18"/>
    </row>
    <row r="5237" spans="5:6" ht="15" customHeight="1" x14ac:dyDescent="0.2">
      <c r="E5237" s="18"/>
      <c r="F5237" s="18"/>
    </row>
    <row r="5238" spans="5:6" ht="15" customHeight="1" x14ac:dyDescent="0.2">
      <c r="E5238" s="18"/>
      <c r="F5238" s="18"/>
    </row>
    <row r="5239" spans="5:6" ht="15" customHeight="1" x14ac:dyDescent="0.2">
      <c r="E5239" s="18"/>
      <c r="F5239" s="18"/>
    </row>
    <row r="5240" spans="5:6" ht="15" customHeight="1" x14ac:dyDescent="0.2">
      <c r="E5240" s="18"/>
      <c r="F5240" s="18"/>
    </row>
    <row r="5241" spans="5:6" ht="15" customHeight="1" x14ac:dyDescent="0.2">
      <c r="E5241" s="18"/>
      <c r="F5241" s="18"/>
    </row>
    <row r="5242" spans="5:6" ht="15" customHeight="1" x14ac:dyDescent="0.2">
      <c r="E5242" s="18"/>
      <c r="F5242" s="18"/>
    </row>
    <row r="5243" spans="5:6" ht="15" customHeight="1" x14ac:dyDescent="0.2">
      <c r="E5243" s="18"/>
      <c r="F5243" s="18"/>
    </row>
    <row r="5244" spans="5:6" ht="15" customHeight="1" x14ac:dyDescent="0.2">
      <c r="E5244" s="18"/>
      <c r="F5244" s="18"/>
    </row>
    <row r="5245" spans="5:6" ht="15" customHeight="1" x14ac:dyDescent="0.2">
      <c r="E5245" s="18"/>
      <c r="F5245" s="18"/>
    </row>
    <row r="5246" spans="5:6" ht="15" customHeight="1" x14ac:dyDescent="0.2">
      <c r="E5246" s="18"/>
      <c r="F5246" s="18"/>
    </row>
    <row r="5247" spans="5:6" ht="15" customHeight="1" x14ac:dyDescent="0.2">
      <c r="E5247" s="18"/>
      <c r="F5247" s="18"/>
    </row>
    <row r="5248" spans="5:6" ht="15" customHeight="1" x14ac:dyDescent="0.2">
      <c r="E5248" s="18"/>
      <c r="F5248" s="18"/>
    </row>
    <row r="5249" spans="5:6" ht="15" customHeight="1" x14ac:dyDescent="0.2">
      <c r="E5249" s="18"/>
      <c r="F5249" s="18"/>
    </row>
    <row r="5250" spans="5:6" ht="15" customHeight="1" x14ac:dyDescent="0.2">
      <c r="E5250" s="18"/>
      <c r="F5250" s="18"/>
    </row>
    <row r="5251" spans="5:6" ht="15" customHeight="1" x14ac:dyDescent="0.2">
      <c r="E5251" s="18"/>
      <c r="F5251" s="18"/>
    </row>
    <row r="5252" spans="5:6" ht="15" customHeight="1" x14ac:dyDescent="0.2">
      <c r="E5252" s="18"/>
      <c r="F5252" s="18"/>
    </row>
    <row r="5253" spans="5:6" ht="15" customHeight="1" x14ac:dyDescent="0.2">
      <c r="E5253" s="18"/>
      <c r="F5253" s="18"/>
    </row>
    <row r="5254" spans="5:6" ht="15" customHeight="1" x14ac:dyDescent="0.2">
      <c r="E5254" s="18"/>
      <c r="F5254" s="18"/>
    </row>
    <row r="5255" spans="5:6" ht="15" customHeight="1" x14ac:dyDescent="0.2">
      <c r="E5255" s="18"/>
      <c r="F5255" s="18"/>
    </row>
    <row r="5256" spans="5:6" ht="15" customHeight="1" x14ac:dyDescent="0.2">
      <c r="E5256" s="18"/>
      <c r="F5256" s="18"/>
    </row>
    <row r="5257" spans="5:6" ht="15" customHeight="1" x14ac:dyDescent="0.2">
      <c r="E5257" s="18"/>
      <c r="F5257" s="18"/>
    </row>
    <row r="5258" spans="5:6" ht="15" customHeight="1" x14ac:dyDescent="0.2">
      <c r="E5258" s="18"/>
      <c r="F5258" s="18"/>
    </row>
    <row r="5259" spans="5:6" ht="15" customHeight="1" x14ac:dyDescent="0.2">
      <c r="E5259" s="18"/>
      <c r="F5259" s="18"/>
    </row>
    <row r="5260" spans="5:6" ht="15" customHeight="1" x14ac:dyDescent="0.2">
      <c r="E5260" s="18"/>
      <c r="F5260" s="18"/>
    </row>
    <row r="5261" spans="5:6" ht="15" customHeight="1" x14ac:dyDescent="0.2">
      <c r="E5261" s="18"/>
      <c r="F5261" s="18"/>
    </row>
    <row r="5262" spans="5:6" ht="15" customHeight="1" x14ac:dyDescent="0.2">
      <c r="E5262" s="18"/>
      <c r="F5262" s="18"/>
    </row>
    <row r="5263" spans="5:6" ht="15" customHeight="1" x14ac:dyDescent="0.2">
      <c r="E5263" s="18"/>
      <c r="F5263" s="18"/>
    </row>
    <row r="5264" spans="5:6" ht="15" customHeight="1" x14ac:dyDescent="0.2">
      <c r="E5264" s="18"/>
      <c r="F5264" s="18"/>
    </row>
    <row r="5265" spans="5:6" ht="15" customHeight="1" x14ac:dyDescent="0.2">
      <c r="E5265" s="18"/>
      <c r="F5265" s="18"/>
    </row>
    <row r="5266" spans="5:6" ht="15" customHeight="1" x14ac:dyDescent="0.2">
      <c r="E5266" s="18"/>
      <c r="F5266" s="18"/>
    </row>
    <row r="5267" spans="5:6" ht="15" customHeight="1" x14ac:dyDescent="0.2">
      <c r="E5267" s="18"/>
      <c r="F5267" s="18"/>
    </row>
    <row r="5268" spans="5:6" ht="15" customHeight="1" x14ac:dyDescent="0.2">
      <c r="E5268" s="18"/>
      <c r="F5268" s="18"/>
    </row>
    <row r="5269" spans="5:6" ht="15" customHeight="1" x14ac:dyDescent="0.2">
      <c r="E5269" s="18"/>
      <c r="F5269" s="18"/>
    </row>
    <row r="5270" spans="5:6" ht="15" customHeight="1" x14ac:dyDescent="0.2">
      <c r="E5270" s="18"/>
      <c r="F5270" s="18"/>
    </row>
    <row r="5271" spans="5:6" ht="15" customHeight="1" x14ac:dyDescent="0.2">
      <c r="E5271" s="18"/>
      <c r="F5271" s="18"/>
    </row>
    <row r="5272" spans="5:6" ht="15" customHeight="1" x14ac:dyDescent="0.2">
      <c r="E5272" s="18"/>
      <c r="F5272" s="18"/>
    </row>
    <row r="5273" spans="5:6" ht="15" customHeight="1" x14ac:dyDescent="0.2">
      <c r="E5273" s="18"/>
      <c r="F5273" s="18"/>
    </row>
    <row r="5274" spans="5:6" ht="15" customHeight="1" x14ac:dyDescent="0.2">
      <c r="E5274" s="18"/>
      <c r="F5274" s="18"/>
    </row>
    <row r="5275" spans="5:6" ht="15" customHeight="1" x14ac:dyDescent="0.2">
      <c r="E5275" s="18"/>
      <c r="F5275" s="18"/>
    </row>
    <row r="5276" spans="5:6" ht="15" customHeight="1" x14ac:dyDescent="0.2">
      <c r="E5276" s="18"/>
      <c r="F5276" s="18"/>
    </row>
    <row r="5277" spans="5:6" ht="15" customHeight="1" x14ac:dyDescent="0.2">
      <c r="E5277" s="18"/>
      <c r="F5277" s="18"/>
    </row>
    <row r="5278" spans="5:6" ht="15" customHeight="1" x14ac:dyDescent="0.2">
      <c r="E5278" s="18"/>
      <c r="F5278" s="18"/>
    </row>
    <row r="5279" spans="5:6" ht="15" customHeight="1" x14ac:dyDescent="0.2">
      <c r="E5279" s="18"/>
      <c r="F5279" s="18"/>
    </row>
    <row r="5280" spans="5:6" ht="15" customHeight="1" x14ac:dyDescent="0.2">
      <c r="E5280" s="18"/>
      <c r="F5280" s="18"/>
    </row>
    <row r="5281" spans="5:6" ht="15" customHeight="1" x14ac:dyDescent="0.2">
      <c r="E5281" s="18"/>
      <c r="F5281" s="18"/>
    </row>
    <row r="5282" spans="5:6" ht="15" customHeight="1" x14ac:dyDescent="0.2">
      <c r="E5282" s="18"/>
      <c r="F5282" s="18"/>
    </row>
    <row r="5283" spans="5:6" ht="15" customHeight="1" x14ac:dyDescent="0.2">
      <c r="E5283" s="18"/>
      <c r="F5283" s="18"/>
    </row>
    <row r="5284" spans="5:6" ht="15" customHeight="1" x14ac:dyDescent="0.2">
      <c r="E5284" s="18"/>
      <c r="F5284" s="18"/>
    </row>
    <row r="5285" spans="5:6" ht="15" customHeight="1" x14ac:dyDescent="0.2">
      <c r="E5285" s="18"/>
      <c r="F5285" s="18"/>
    </row>
    <row r="5286" spans="5:6" ht="15" customHeight="1" x14ac:dyDescent="0.2">
      <c r="E5286" s="18"/>
      <c r="F5286" s="18"/>
    </row>
    <row r="5287" spans="5:6" ht="15" customHeight="1" x14ac:dyDescent="0.2">
      <c r="E5287" s="18"/>
      <c r="F5287" s="18"/>
    </row>
    <row r="5288" spans="5:6" ht="15" customHeight="1" x14ac:dyDescent="0.2">
      <c r="E5288" s="18"/>
      <c r="F5288" s="18"/>
    </row>
    <row r="5289" spans="5:6" ht="15" customHeight="1" x14ac:dyDescent="0.2">
      <c r="E5289" s="18"/>
      <c r="F5289" s="18"/>
    </row>
    <row r="5290" spans="5:6" ht="15" customHeight="1" x14ac:dyDescent="0.2">
      <c r="E5290" s="18"/>
      <c r="F5290" s="18"/>
    </row>
    <row r="5291" spans="5:6" ht="15" customHeight="1" x14ac:dyDescent="0.2">
      <c r="E5291" s="18"/>
      <c r="F5291" s="18"/>
    </row>
    <row r="5292" spans="5:6" ht="15" customHeight="1" x14ac:dyDescent="0.2">
      <c r="E5292" s="18"/>
      <c r="F5292" s="18"/>
    </row>
    <row r="5293" spans="5:6" ht="15" customHeight="1" x14ac:dyDescent="0.2">
      <c r="E5293" s="18"/>
      <c r="F5293" s="18"/>
    </row>
    <row r="5294" spans="5:6" ht="15" customHeight="1" x14ac:dyDescent="0.2">
      <c r="E5294" s="18"/>
      <c r="F5294" s="18"/>
    </row>
    <row r="5295" spans="5:6" ht="15" customHeight="1" x14ac:dyDescent="0.2">
      <c r="E5295" s="18"/>
      <c r="F5295" s="18"/>
    </row>
    <row r="5296" spans="5:6" ht="15" customHeight="1" x14ac:dyDescent="0.2">
      <c r="E5296" s="18"/>
      <c r="F5296" s="18"/>
    </row>
    <row r="5297" spans="5:6" ht="15" customHeight="1" x14ac:dyDescent="0.2">
      <c r="E5297" s="18"/>
      <c r="F5297" s="18"/>
    </row>
    <row r="5298" spans="5:6" ht="15" customHeight="1" x14ac:dyDescent="0.2">
      <c r="E5298" s="18"/>
      <c r="F5298" s="18"/>
    </row>
    <row r="5299" spans="5:6" ht="15" customHeight="1" x14ac:dyDescent="0.2">
      <c r="E5299" s="18"/>
      <c r="F5299" s="18"/>
    </row>
    <row r="5300" spans="5:6" ht="15" customHeight="1" x14ac:dyDescent="0.2">
      <c r="E5300" s="18"/>
      <c r="F5300" s="18"/>
    </row>
    <row r="5301" spans="5:6" ht="15" customHeight="1" x14ac:dyDescent="0.2">
      <c r="E5301" s="18"/>
      <c r="F5301" s="18"/>
    </row>
    <row r="5302" spans="5:6" ht="15" customHeight="1" x14ac:dyDescent="0.2">
      <c r="E5302" s="18"/>
      <c r="F5302" s="18"/>
    </row>
    <row r="5303" spans="5:6" ht="15" customHeight="1" x14ac:dyDescent="0.2">
      <c r="E5303" s="18"/>
      <c r="F5303" s="18"/>
    </row>
    <row r="5304" spans="5:6" ht="15" customHeight="1" x14ac:dyDescent="0.2">
      <c r="E5304" s="18"/>
      <c r="F5304" s="18"/>
    </row>
    <row r="5305" spans="5:6" ht="15" customHeight="1" x14ac:dyDescent="0.2">
      <c r="E5305" s="18"/>
      <c r="F5305" s="18"/>
    </row>
    <row r="5306" spans="5:6" ht="15" customHeight="1" x14ac:dyDescent="0.2">
      <c r="E5306" s="18"/>
      <c r="F5306" s="18"/>
    </row>
    <row r="5307" spans="5:6" ht="15" customHeight="1" x14ac:dyDescent="0.2">
      <c r="E5307" s="18"/>
      <c r="F5307" s="18"/>
    </row>
    <row r="5308" spans="5:6" ht="15" customHeight="1" x14ac:dyDescent="0.2">
      <c r="E5308" s="18"/>
      <c r="F5308" s="18"/>
    </row>
    <row r="5309" spans="5:6" ht="15" customHeight="1" x14ac:dyDescent="0.2">
      <c r="E5309" s="18"/>
      <c r="F5309" s="18"/>
    </row>
    <row r="5310" spans="5:6" ht="15" customHeight="1" x14ac:dyDescent="0.2">
      <c r="E5310" s="18"/>
      <c r="F5310" s="18"/>
    </row>
    <row r="5311" spans="5:6" ht="15" customHeight="1" x14ac:dyDescent="0.2">
      <c r="E5311" s="18"/>
      <c r="F5311" s="18"/>
    </row>
    <row r="5312" spans="5:6" ht="15" customHeight="1" x14ac:dyDescent="0.2">
      <c r="E5312" s="18"/>
      <c r="F5312" s="18"/>
    </row>
    <row r="5313" spans="5:6" ht="15" customHeight="1" x14ac:dyDescent="0.2">
      <c r="E5313" s="18"/>
      <c r="F5313" s="18"/>
    </row>
    <row r="5314" spans="5:6" ht="15" customHeight="1" x14ac:dyDescent="0.2">
      <c r="E5314" s="18"/>
      <c r="F5314" s="18"/>
    </row>
    <row r="5315" spans="5:6" ht="15" customHeight="1" x14ac:dyDescent="0.2">
      <c r="E5315" s="18"/>
      <c r="F5315" s="18"/>
    </row>
    <row r="5316" spans="5:6" ht="15" customHeight="1" x14ac:dyDescent="0.2">
      <c r="E5316" s="18"/>
      <c r="F5316" s="18"/>
    </row>
    <row r="5317" spans="5:6" ht="15" customHeight="1" x14ac:dyDescent="0.2">
      <c r="E5317" s="18"/>
      <c r="F5317" s="18"/>
    </row>
    <row r="5318" spans="5:6" ht="15" customHeight="1" x14ac:dyDescent="0.2">
      <c r="E5318" s="18"/>
      <c r="F5318" s="18"/>
    </row>
    <row r="5319" spans="5:6" ht="15" customHeight="1" x14ac:dyDescent="0.2">
      <c r="E5319" s="18"/>
      <c r="F5319" s="18"/>
    </row>
    <row r="5320" spans="5:6" ht="15" customHeight="1" x14ac:dyDescent="0.2">
      <c r="E5320" s="18"/>
      <c r="F5320" s="18"/>
    </row>
    <row r="5321" spans="5:6" ht="15" customHeight="1" x14ac:dyDescent="0.2">
      <c r="E5321" s="18"/>
      <c r="F5321" s="18"/>
    </row>
    <row r="5322" spans="5:6" ht="15" customHeight="1" x14ac:dyDescent="0.2">
      <c r="E5322" s="18"/>
      <c r="F5322" s="18"/>
    </row>
    <row r="5323" spans="5:6" ht="15" customHeight="1" x14ac:dyDescent="0.2">
      <c r="E5323" s="18"/>
      <c r="F5323" s="18"/>
    </row>
    <row r="5324" spans="5:6" ht="15" customHeight="1" x14ac:dyDescent="0.2">
      <c r="E5324" s="18"/>
      <c r="F5324" s="18"/>
    </row>
    <row r="5325" spans="5:6" ht="15" customHeight="1" x14ac:dyDescent="0.2">
      <c r="E5325" s="18"/>
      <c r="F5325" s="18"/>
    </row>
    <row r="5326" spans="5:6" ht="15" customHeight="1" x14ac:dyDescent="0.2">
      <c r="E5326" s="18"/>
      <c r="F5326" s="18"/>
    </row>
    <row r="5327" spans="5:6" ht="15" customHeight="1" x14ac:dyDescent="0.2">
      <c r="E5327" s="18"/>
      <c r="F5327" s="18"/>
    </row>
    <row r="5328" spans="5:6" ht="15" customHeight="1" x14ac:dyDescent="0.2">
      <c r="E5328" s="18"/>
      <c r="F5328" s="18"/>
    </row>
    <row r="5329" spans="5:6" ht="15" customHeight="1" x14ac:dyDescent="0.2">
      <c r="E5329" s="18"/>
      <c r="F5329" s="18"/>
    </row>
    <row r="5330" spans="5:6" ht="15" customHeight="1" x14ac:dyDescent="0.2">
      <c r="E5330" s="18"/>
      <c r="F5330" s="18"/>
    </row>
    <row r="5331" spans="5:6" ht="15" customHeight="1" x14ac:dyDescent="0.2">
      <c r="E5331" s="18"/>
      <c r="F5331" s="18"/>
    </row>
    <row r="5332" spans="5:6" ht="15" customHeight="1" x14ac:dyDescent="0.2">
      <c r="E5332" s="18"/>
      <c r="F5332" s="18"/>
    </row>
    <row r="5333" spans="5:6" ht="15" customHeight="1" x14ac:dyDescent="0.2">
      <c r="E5333" s="18"/>
      <c r="F5333" s="18"/>
    </row>
    <row r="5334" spans="5:6" ht="15" customHeight="1" x14ac:dyDescent="0.2">
      <c r="E5334" s="18"/>
      <c r="F5334" s="18"/>
    </row>
    <row r="5335" spans="5:6" ht="15" customHeight="1" x14ac:dyDescent="0.2">
      <c r="E5335" s="18"/>
      <c r="F5335" s="18"/>
    </row>
    <row r="5336" spans="5:6" ht="15" customHeight="1" x14ac:dyDescent="0.2">
      <c r="E5336" s="18"/>
      <c r="F5336" s="18"/>
    </row>
    <row r="5337" spans="5:6" ht="15" customHeight="1" x14ac:dyDescent="0.2">
      <c r="E5337" s="18"/>
      <c r="F5337" s="18"/>
    </row>
    <row r="5338" spans="5:6" ht="15" customHeight="1" x14ac:dyDescent="0.2">
      <c r="E5338" s="18"/>
      <c r="F5338" s="18"/>
    </row>
    <row r="5339" spans="5:6" ht="15" customHeight="1" x14ac:dyDescent="0.2">
      <c r="E5339" s="18"/>
      <c r="F5339" s="18"/>
    </row>
    <row r="5340" spans="5:6" ht="15" customHeight="1" x14ac:dyDescent="0.2">
      <c r="E5340" s="18"/>
      <c r="F5340" s="18"/>
    </row>
    <row r="5341" spans="5:6" ht="15" customHeight="1" x14ac:dyDescent="0.2">
      <c r="E5341" s="18"/>
      <c r="F5341" s="18"/>
    </row>
    <row r="5342" spans="5:6" ht="15" customHeight="1" x14ac:dyDescent="0.2">
      <c r="E5342" s="18"/>
      <c r="F5342" s="18"/>
    </row>
    <row r="5343" spans="5:6" ht="15" customHeight="1" x14ac:dyDescent="0.2">
      <c r="E5343" s="18"/>
      <c r="F5343" s="18"/>
    </row>
    <row r="5344" spans="5:6" ht="15" customHeight="1" x14ac:dyDescent="0.2">
      <c r="E5344" s="18"/>
      <c r="F5344" s="18"/>
    </row>
    <row r="5345" spans="5:6" ht="15" customHeight="1" x14ac:dyDescent="0.2">
      <c r="E5345" s="18"/>
      <c r="F5345" s="18"/>
    </row>
    <row r="5346" spans="5:6" ht="15" customHeight="1" x14ac:dyDescent="0.2">
      <c r="E5346" s="18"/>
      <c r="F5346" s="18"/>
    </row>
    <row r="5347" spans="5:6" ht="15" customHeight="1" x14ac:dyDescent="0.2">
      <c r="E5347" s="18"/>
      <c r="F5347" s="18"/>
    </row>
    <row r="5348" spans="5:6" ht="15" customHeight="1" x14ac:dyDescent="0.2">
      <c r="E5348" s="18"/>
      <c r="F5348" s="18"/>
    </row>
    <row r="5349" spans="5:6" ht="15" customHeight="1" x14ac:dyDescent="0.2">
      <c r="E5349" s="18"/>
      <c r="F5349" s="18"/>
    </row>
    <row r="5350" spans="5:6" ht="15" customHeight="1" x14ac:dyDescent="0.2">
      <c r="E5350" s="18"/>
      <c r="F5350" s="18"/>
    </row>
    <row r="5351" spans="5:6" ht="15" customHeight="1" x14ac:dyDescent="0.2">
      <c r="E5351" s="18"/>
      <c r="F5351" s="18"/>
    </row>
    <row r="5352" spans="5:6" ht="15" customHeight="1" x14ac:dyDescent="0.2">
      <c r="E5352" s="18"/>
      <c r="F5352" s="18"/>
    </row>
    <row r="5353" spans="5:6" ht="15" customHeight="1" x14ac:dyDescent="0.2">
      <c r="E5353" s="18"/>
      <c r="F5353" s="18"/>
    </row>
    <row r="5354" spans="5:6" ht="15" customHeight="1" x14ac:dyDescent="0.2">
      <c r="E5354" s="18"/>
      <c r="F5354" s="18"/>
    </row>
    <row r="5355" spans="5:6" ht="15" customHeight="1" x14ac:dyDescent="0.2">
      <c r="E5355" s="18"/>
      <c r="F5355" s="18"/>
    </row>
    <row r="5356" spans="5:6" ht="15" customHeight="1" x14ac:dyDescent="0.2">
      <c r="E5356" s="18"/>
      <c r="F5356" s="18"/>
    </row>
    <row r="5357" spans="5:6" ht="15" customHeight="1" x14ac:dyDescent="0.2">
      <c r="E5357" s="18"/>
      <c r="F5357" s="18"/>
    </row>
    <row r="5358" spans="5:6" ht="15" customHeight="1" x14ac:dyDescent="0.2">
      <c r="E5358" s="18"/>
      <c r="F5358" s="18"/>
    </row>
    <row r="5359" spans="5:6" ht="15" customHeight="1" x14ac:dyDescent="0.2">
      <c r="E5359" s="18"/>
      <c r="F5359" s="18"/>
    </row>
    <row r="5360" spans="5:6" ht="15" customHeight="1" x14ac:dyDescent="0.2">
      <c r="E5360" s="18"/>
      <c r="F5360" s="18"/>
    </row>
    <row r="5361" spans="5:6" ht="15" customHeight="1" x14ac:dyDescent="0.2">
      <c r="E5361" s="18"/>
      <c r="F5361" s="18"/>
    </row>
    <row r="5362" spans="5:6" ht="15" customHeight="1" x14ac:dyDescent="0.2">
      <c r="E5362" s="18"/>
      <c r="F5362" s="18"/>
    </row>
    <row r="5363" spans="5:6" ht="15" customHeight="1" x14ac:dyDescent="0.2">
      <c r="E5363" s="18"/>
      <c r="F5363" s="18"/>
    </row>
    <row r="5364" spans="5:6" ht="15" customHeight="1" x14ac:dyDescent="0.2">
      <c r="E5364" s="18"/>
      <c r="F5364" s="18"/>
    </row>
    <row r="5365" spans="5:6" ht="15" customHeight="1" x14ac:dyDescent="0.2">
      <c r="E5365" s="18"/>
      <c r="F5365" s="18"/>
    </row>
    <row r="5366" spans="5:6" ht="15" customHeight="1" x14ac:dyDescent="0.2">
      <c r="E5366" s="18"/>
      <c r="F5366" s="18"/>
    </row>
    <row r="5367" spans="5:6" ht="15" customHeight="1" x14ac:dyDescent="0.2">
      <c r="E5367" s="18"/>
      <c r="F5367" s="18"/>
    </row>
    <row r="5368" spans="5:6" ht="15" customHeight="1" x14ac:dyDescent="0.2">
      <c r="E5368" s="18"/>
      <c r="F5368" s="18"/>
    </row>
    <row r="5369" spans="5:6" ht="15" customHeight="1" x14ac:dyDescent="0.2">
      <c r="E5369" s="18"/>
      <c r="F5369" s="18"/>
    </row>
    <row r="5370" spans="5:6" ht="15" customHeight="1" x14ac:dyDescent="0.2">
      <c r="E5370" s="18"/>
      <c r="F5370" s="18"/>
    </row>
    <row r="5371" spans="5:6" ht="15" customHeight="1" x14ac:dyDescent="0.2">
      <c r="E5371" s="18"/>
      <c r="F5371" s="18"/>
    </row>
    <row r="5372" spans="5:6" ht="15" customHeight="1" x14ac:dyDescent="0.2">
      <c r="E5372" s="18"/>
      <c r="F5372" s="18"/>
    </row>
    <row r="5373" spans="5:6" ht="15" customHeight="1" x14ac:dyDescent="0.2">
      <c r="E5373" s="18"/>
      <c r="F5373" s="18"/>
    </row>
    <row r="5374" spans="5:6" ht="15" customHeight="1" x14ac:dyDescent="0.2">
      <c r="E5374" s="18"/>
      <c r="F5374" s="18"/>
    </row>
    <row r="5375" spans="5:6" ht="15" customHeight="1" x14ac:dyDescent="0.2">
      <c r="E5375" s="18"/>
      <c r="F5375" s="18"/>
    </row>
    <row r="5376" spans="5:6" ht="15" customHeight="1" x14ac:dyDescent="0.2">
      <c r="E5376" s="18"/>
      <c r="F5376" s="18"/>
    </row>
    <row r="5377" spans="5:6" ht="15" customHeight="1" x14ac:dyDescent="0.2">
      <c r="E5377" s="18"/>
      <c r="F5377" s="18"/>
    </row>
    <row r="5378" spans="5:6" ht="15" customHeight="1" x14ac:dyDescent="0.2">
      <c r="E5378" s="18"/>
      <c r="F5378" s="18"/>
    </row>
    <row r="5379" spans="5:6" ht="15" customHeight="1" x14ac:dyDescent="0.2">
      <c r="E5379" s="18"/>
      <c r="F5379" s="18"/>
    </row>
    <row r="5380" spans="5:6" ht="15" customHeight="1" x14ac:dyDescent="0.2">
      <c r="E5380" s="18"/>
      <c r="F5380" s="18"/>
    </row>
    <row r="5381" spans="5:6" ht="15" customHeight="1" x14ac:dyDescent="0.2">
      <c r="E5381" s="18"/>
      <c r="F5381" s="18"/>
    </row>
    <row r="5382" spans="5:6" ht="15" customHeight="1" x14ac:dyDescent="0.2">
      <c r="E5382" s="18"/>
      <c r="F5382" s="18"/>
    </row>
    <row r="5383" spans="5:6" ht="15" customHeight="1" x14ac:dyDescent="0.2">
      <c r="E5383" s="18"/>
      <c r="F5383" s="18"/>
    </row>
    <row r="5384" spans="5:6" ht="15" customHeight="1" x14ac:dyDescent="0.2">
      <c r="E5384" s="18"/>
      <c r="F5384" s="18"/>
    </row>
    <row r="5385" spans="5:6" ht="15" customHeight="1" x14ac:dyDescent="0.2">
      <c r="E5385" s="18"/>
      <c r="F5385" s="18"/>
    </row>
    <row r="5386" spans="5:6" ht="15" customHeight="1" x14ac:dyDescent="0.2">
      <c r="E5386" s="18"/>
      <c r="F5386" s="18"/>
    </row>
    <row r="5387" spans="5:6" ht="15" customHeight="1" x14ac:dyDescent="0.2">
      <c r="E5387" s="18"/>
      <c r="F5387" s="18"/>
    </row>
    <row r="5388" spans="5:6" ht="15" customHeight="1" x14ac:dyDescent="0.2">
      <c r="E5388" s="18"/>
      <c r="F5388" s="18"/>
    </row>
    <row r="5389" spans="5:6" ht="15" customHeight="1" x14ac:dyDescent="0.2">
      <c r="E5389" s="18"/>
      <c r="F5389" s="18"/>
    </row>
    <row r="5390" spans="5:6" ht="15" customHeight="1" x14ac:dyDescent="0.2">
      <c r="E5390" s="18"/>
      <c r="F5390" s="18"/>
    </row>
    <row r="5391" spans="5:6" ht="15" customHeight="1" x14ac:dyDescent="0.2">
      <c r="E5391" s="18"/>
      <c r="F5391" s="18"/>
    </row>
    <row r="5392" spans="5:6" ht="15" customHeight="1" x14ac:dyDescent="0.2">
      <c r="E5392" s="18"/>
      <c r="F5392" s="18"/>
    </row>
    <row r="5393" spans="5:6" ht="15" customHeight="1" x14ac:dyDescent="0.2">
      <c r="E5393" s="18"/>
      <c r="F5393" s="18"/>
    </row>
    <row r="5394" spans="5:6" ht="15" customHeight="1" x14ac:dyDescent="0.2">
      <c r="E5394" s="18"/>
      <c r="F5394" s="18"/>
    </row>
    <row r="5395" spans="5:6" ht="15" customHeight="1" x14ac:dyDescent="0.2">
      <c r="E5395" s="18"/>
      <c r="F5395" s="18"/>
    </row>
    <row r="5396" spans="5:6" ht="15" customHeight="1" x14ac:dyDescent="0.2">
      <c r="E5396" s="18"/>
      <c r="F5396" s="18"/>
    </row>
    <row r="5397" spans="5:6" ht="15" customHeight="1" x14ac:dyDescent="0.2">
      <c r="E5397" s="18"/>
      <c r="F5397" s="18"/>
    </row>
    <row r="5398" spans="5:6" ht="15" customHeight="1" x14ac:dyDescent="0.2">
      <c r="E5398" s="18"/>
      <c r="F5398" s="18"/>
    </row>
    <row r="5399" spans="5:6" ht="15" customHeight="1" x14ac:dyDescent="0.2">
      <c r="E5399" s="18"/>
      <c r="F5399" s="18"/>
    </row>
    <row r="5400" spans="5:6" ht="15" customHeight="1" x14ac:dyDescent="0.2">
      <c r="E5400" s="18"/>
      <c r="F5400" s="18"/>
    </row>
    <row r="5401" spans="5:6" ht="15" customHeight="1" x14ac:dyDescent="0.2">
      <c r="E5401" s="18"/>
      <c r="F5401" s="18"/>
    </row>
    <row r="5402" spans="5:6" ht="15" customHeight="1" x14ac:dyDescent="0.2">
      <c r="E5402" s="18"/>
      <c r="F5402" s="18"/>
    </row>
    <row r="5403" spans="5:6" ht="15" customHeight="1" x14ac:dyDescent="0.2">
      <c r="E5403" s="18"/>
      <c r="F5403" s="18"/>
    </row>
    <row r="5404" spans="5:6" ht="15" customHeight="1" x14ac:dyDescent="0.2">
      <c r="E5404" s="18"/>
      <c r="F5404" s="18"/>
    </row>
    <row r="5405" spans="5:6" ht="15" customHeight="1" x14ac:dyDescent="0.2">
      <c r="E5405" s="18"/>
      <c r="F5405" s="18"/>
    </row>
    <row r="5406" spans="5:6" ht="15" customHeight="1" x14ac:dyDescent="0.2">
      <c r="E5406" s="18"/>
      <c r="F5406" s="18"/>
    </row>
    <row r="5407" spans="5:6" ht="15" customHeight="1" x14ac:dyDescent="0.2">
      <c r="E5407" s="18"/>
      <c r="F5407" s="18"/>
    </row>
    <row r="5408" spans="5:6" ht="15" customHeight="1" x14ac:dyDescent="0.2">
      <c r="E5408" s="18"/>
      <c r="F5408" s="18"/>
    </row>
    <row r="5409" spans="5:6" ht="15" customHeight="1" x14ac:dyDescent="0.2">
      <c r="E5409" s="18"/>
      <c r="F5409" s="18"/>
    </row>
    <row r="5410" spans="5:6" ht="15" customHeight="1" x14ac:dyDescent="0.2">
      <c r="E5410" s="18"/>
      <c r="F5410" s="18"/>
    </row>
    <row r="5411" spans="5:6" ht="15" customHeight="1" x14ac:dyDescent="0.2">
      <c r="E5411" s="18"/>
      <c r="F5411" s="18"/>
    </row>
    <row r="5412" spans="5:6" ht="15" customHeight="1" x14ac:dyDescent="0.2">
      <c r="E5412" s="18"/>
      <c r="F5412" s="18"/>
    </row>
    <row r="5413" spans="5:6" ht="15" customHeight="1" x14ac:dyDescent="0.2">
      <c r="E5413" s="18"/>
      <c r="F5413" s="18"/>
    </row>
    <row r="5414" spans="5:6" ht="15" customHeight="1" x14ac:dyDescent="0.2">
      <c r="E5414" s="18"/>
      <c r="F5414" s="18"/>
    </row>
    <row r="5415" spans="5:6" ht="15" customHeight="1" x14ac:dyDescent="0.2">
      <c r="E5415" s="18"/>
      <c r="F5415" s="18"/>
    </row>
    <row r="5416" spans="5:6" ht="15" customHeight="1" x14ac:dyDescent="0.2">
      <c r="E5416" s="18"/>
      <c r="F5416" s="18"/>
    </row>
    <row r="5417" spans="5:6" ht="15" customHeight="1" x14ac:dyDescent="0.2">
      <c r="E5417" s="18"/>
      <c r="F5417" s="18"/>
    </row>
    <row r="5418" spans="5:6" ht="15" customHeight="1" x14ac:dyDescent="0.2">
      <c r="E5418" s="18"/>
      <c r="F5418" s="18"/>
    </row>
    <row r="5419" spans="5:6" ht="15" customHeight="1" x14ac:dyDescent="0.2">
      <c r="E5419" s="18"/>
      <c r="F5419" s="18"/>
    </row>
    <row r="5420" spans="5:6" ht="15" customHeight="1" x14ac:dyDescent="0.2">
      <c r="E5420" s="18"/>
      <c r="F5420" s="18"/>
    </row>
    <row r="5421" spans="5:6" ht="15" customHeight="1" x14ac:dyDescent="0.2">
      <c r="E5421" s="18"/>
      <c r="F5421" s="18"/>
    </row>
    <row r="5422" spans="5:6" ht="15" customHeight="1" x14ac:dyDescent="0.2">
      <c r="E5422" s="18"/>
      <c r="F5422" s="18"/>
    </row>
    <row r="5423" spans="5:6" ht="15" customHeight="1" x14ac:dyDescent="0.2">
      <c r="E5423" s="18"/>
      <c r="F5423" s="18"/>
    </row>
    <row r="5424" spans="5:6" ht="15" customHeight="1" x14ac:dyDescent="0.2">
      <c r="E5424" s="18"/>
      <c r="F5424" s="18"/>
    </row>
    <row r="5425" spans="5:6" ht="15" customHeight="1" x14ac:dyDescent="0.2">
      <c r="E5425" s="18"/>
      <c r="F5425" s="18"/>
    </row>
    <row r="5426" spans="5:6" ht="15" customHeight="1" x14ac:dyDescent="0.2">
      <c r="E5426" s="18"/>
      <c r="F5426" s="18"/>
    </row>
    <row r="5427" spans="5:6" ht="15" customHeight="1" x14ac:dyDescent="0.2">
      <c r="E5427" s="18"/>
      <c r="F5427" s="18"/>
    </row>
    <row r="5428" spans="5:6" ht="15" customHeight="1" x14ac:dyDescent="0.2">
      <c r="E5428" s="18"/>
      <c r="F5428" s="18"/>
    </row>
    <row r="5429" spans="5:6" ht="15" customHeight="1" x14ac:dyDescent="0.2">
      <c r="E5429" s="18"/>
      <c r="F5429" s="18"/>
    </row>
    <row r="5430" spans="5:6" ht="15" customHeight="1" x14ac:dyDescent="0.2">
      <c r="E5430" s="18"/>
      <c r="F5430" s="18"/>
    </row>
    <row r="5431" spans="5:6" ht="15" customHeight="1" x14ac:dyDescent="0.2">
      <c r="E5431" s="18"/>
      <c r="F5431" s="18"/>
    </row>
    <row r="5432" spans="5:6" ht="15" customHeight="1" x14ac:dyDescent="0.2">
      <c r="E5432" s="18"/>
      <c r="F5432" s="18"/>
    </row>
    <row r="5433" spans="5:6" ht="15" customHeight="1" x14ac:dyDescent="0.2">
      <c r="E5433" s="18"/>
      <c r="F5433" s="18"/>
    </row>
    <row r="5434" spans="5:6" ht="15" customHeight="1" x14ac:dyDescent="0.2">
      <c r="E5434" s="18"/>
      <c r="F5434" s="18"/>
    </row>
    <row r="5435" spans="5:6" ht="15" customHeight="1" x14ac:dyDescent="0.2">
      <c r="E5435" s="18"/>
      <c r="F5435" s="18"/>
    </row>
    <row r="5436" spans="5:6" ht="15" customHeight="1" x14ac:dyDescent="0.2">
      <c r="E5436" s="18"/>
      <c r="F5436" s="18"/>
    </row>
    <row r="5437" spans="5:6" ht="15" customHeight="1" x14ac:dyDescent="0.2">
      <c r="E5437" s="18"/>
      <c r="F5437" s="18"/>
    </row>
    <row r="5438" spans="5:6" ht="15" customHeight="1" x14ac:dyDescent="0.2">
      <c r="E5438" s="18"/>
      <c r="F5438" s="18"/>
    </row>
    <row r="5439" spans="5:6" ht="15" customHeight="1" x14ac:dyDescent="0.2">
      <c r="E5439" s="18"/>
      <c r="F5439" s="18"/>
    </row>
    <row r="5440" spans="5:6" ht="15" customHeight="1" x14ac:dyDescent="0.2">
      <c r="E5440" s="18"/>
      <c r="F5440" s="18"/>
    </row>
    <row r="5441" spans="5:6" ht="15" customHeight="1" x14ac:dyDescent="0.2">
      <c r="E5441" s="18"/>
      <c r="F5441" s="18"/>
    </row>
    <row r="5442" spans="5:6" ht="15" customHeight="1" x14ac:dyDescent="0.2">
      <c r="E5442" s="18"/>
      <c r="F5442" s="18"/>
    </row>
    <row r="5443" spans="5:6" ht="15" customHeight="1" x14ac:dyDescent="0.2">
      <c r="E5443" s="18"/>
      <c r="F5443" s="18"/>
    </row>
    <row r="5444" spans="5:6" ht="15" customHeight="1" x14ac:dyDescent="0.2">
      <c r="E5444" s="18"/>
      <c r="F5444" s="18"/>
    </row>
    <row r="5445" spans="5:6" ht="15" customHeight="1" x14ac:dyDescent="0.2">
      <c r="E5445" s="18"/>
      <c r="F5445" s="18"/>
    </row>
    <row r="5446" spans="5:6" ht="15" customHeight="1" x14ac:dyDescent="0.2">
      <c r="E5446" s="18"/>
      <c r="F5446" s="18"/>
    </row>
    <row r="5447" spans="5:6" ht="15" customHeight="1" x14ac:dyDescent="0.2">
      <c r="E5447" s="18"/>
      <c r="F5447" s="18"/>
    </row>
    <row r="5448" spans="5:6" ht="15" customHeight="1" x14ac:dyDescent="0.2">
      <c r="E5448" s="18"/>
      <c r="F5448" s="18"/>
    </row>
    <row r="5449" spans="5:6" ht="15" customHeight="1" x14ac:dyDescent="0.2">
      <c r="E5449" s="18"/>
      <c r="F5449" s="18"/>
    </row>
    <row r="5450" spans="5:6" ht="15" customHeight="1" x14ac:dyDescent="0.2">
      <c r="E5450" s="18"/>
      <c r="F5450" s="18"/>
    </row>
    <row r="5451" spans="5:6" ht="15" customHeight="1" x14ac:dyDescent="0.2">
      <c r="E5451" s="18"/>
      <c r="F5451" s="18"/>
    </row>
    <row r="5452" spans="5:6" ht="15" customHeight="1" x14ac:dyDescent="0.2">
      <c r="E5452" s="18"/>
      <c r="F5452" s="18"/>
    </row>
    <row r="5453" spans="5:6" ht="15" customHeight="1" x14ac:dyDescent="0.2">
      <c r="E5453" s="18"/>
      <c r="F5453" s="18"/>
    </row>
    <row r="5454" spans="5:6" ht="15" customHeight="1" x14ac:dyDescent="0.2">
      <c r="E5454" s="18"/>
      <c r="F5454" s="18"/>
    </row>
    <row r="5455" spans="5:6" ht="15" customHeight="1" x14ac:dyDescent="0.2">
      <c r="E5455" s="18"/>
      <c r="F5455" s="18"/>
    </row>
    <row r="5456" spans="5:6" ht="15" customHeight="1" x14ac:dyDescent="0.2">
      <c r="E5456" s="18"/>
      <c r="F5456" s="18"/>
    </row>
    <row r="5457" spans="5:6" ht="15" customHeight="1" x14ac:dyDescent="0.2">
      <c r="E5457" s="18"/>
      <c r="F5457" s="18"/>
    </row>
    <row r="5458" spans="5:6" ht="15" customHeight="1" x14ac:dyDescent="0.2">
      <c r="E5458" s="18"/>
      <c r="F5458" s="18"/>
    </row>
    <row r="5459" spans="5:6" ht="15" customHeight="1" x14ac:dyDescent="0.2">
      <c r="E5459" s="18"/>
      <c r="F5459" s="18"/>
    </row>
    <row r="5460" spans="5:6" ht="15" customHeight="1" x14ac:dyDescent="0.2">
      <c r="E5460" s="18"/>
      <c r="F5460" s="18"/>
    </row>
    <row r="5461" spans="5:6" ht="15" customHeight="1" x14ac:dyDescent="0.2">
      <c r="E5461" s="18"/>
      <c r="F5461" s="18"/>
    </row>
    <row r="5462" spans="5:6" ht="15" customHeight="1" x14ac:dyDescent="0.2">
      <c r="E5462" s="18"/>
      <c r="F5462" s="18"/>
    </row>
    <row r="5463" spans="5:6" ht="15" customHeight="1" x14ac:dyDescent="0.2">
      <c r="E5463" s="18"/>
      <c r="F5463" s="18"/>
    </row>
    <row r="5464" spans="5:6" ht="15" customHeight="1" x14ac:dyDescent="0.2">
      <c r="E5464" s="18"/>
      <c r="F5464" s="18"/>
    </row>
    <row r="5465" spans="5:6" ht="15" customHeight="1" x14ac:dyDescent="0.2">
      <c r="E5465" s="18"/>
      <c r="F5465" s="18"/>
    </row>
    <row r="5466" spans="5:6" ht="15" customHeight="1" x14ac:dyDescent="0.2">
      <c r="E5466" s="18"/>
      <c r="F5466" s="18"/>
    </row>
    <row r="5467" spans="5:6" ht="15" customHeight="1" x14ac:dyDescent="0.2">
      <c r="E5467" s="18"/>
      <c r="F5467" s="18"/>
    </row>
    <row r="5468" spans="5:6" ht="15" customHeight="1" x14ac:dyDescent="0.2">
      <c r="E5468" s="18"/>
      <c r="F5468" s="18"/>
    </row>
    <row r="5469" spans="5:6" ht="15" customHeight="1" x14ac:dyDescent="0.2">
      <c r="E5469" s="18"/>
      <c r="F5469" s="18"/>
    </row>
    <row r="5470" spans="5:6" ht="15" customHeight="1" x14ac:dyDescent="0.2">
      <c r="E5470" s="18"/>
      <c r="F5470" s="18"/>
    </row>
    <row r="5471" spans="5:6" ht="15" customHeight="1" x14ac:dyDescent="0.2">
      <c r="E5471" s="18"/>
      <c r="F5471" s="18"/>
    </row>
    <row r="5472" spans="5:6" ht="15" customHeight="1" x14ac:dyDescent="0.2">
      <c r="E5472" s="18"/>
      <c r="F5472" s="18"/>
    </row>
    <row r="5473" spans="5:6" ht="15" customHeight="1" x14ac:dyDescent="0.2">
      <c r="E5473" s="18"/>
      <c r="F5473" s="18"/>
    </row>
    <row r="5474" spans="5:6" ht="15" customHeight="1" x14ac:dyDescent="0.2">
      <c r="E5474" s="18"/>
      <c r="F5474" s="18"/>
    </row>
    <row r="5475" spans="5:6" ht="15" customHeight="1" x14ac:dyDescent="0.2">
      <c r="E5475" s="18"/>
      <c r="F5475" s="18"/>
    </row>
    <row r="5476" spans="5:6" ht="15" customHeight="1" x14ac:dyDescent="0.2">
      <c r="E5476" s="18"/>
      <c r="F5476" s="18"/>
    </row>
    <row r="5477" spans="5:6" ht="15" customHeight="1" x14ac:dyDescent="0.2">
      <c r="E5477" s="18"/>
      <c r="F5477" s="18"/>
    </row>
    <row r="5478" spans="5:6" ht="15" customHeight="1" x14ac:dyDescent="0.2">
      <c r="E5478" s="18"/>
      <c r="F5478" s="18"/>
    </row>
    <row r="5479" spans="5:6" ht="15" customHeight="1" x14ac:dyDescent="0.2">
      <c r="E5479" s="18"/>
      <c r="F5479" s="18"/>
    </row>
    <row r="5480" spans="5:6" ht="15" customHeight="1" x14ac:dyDescent="0.2">
      <c r="E5480" s="18"/>
      <c r="F5480" s="18"/>
    </row>
    <row r="5481" spans="5:6" ht="15" customHeight="1" x14ac:dyDescent="0.2">
      <c r="E5481" s="18"/>
      <c r="F5481" s="18"/>
    </row>
    <row r="5482" spans="5:6" ht="15" customHeight="1" x14ac:dyDescent="0.2">
      <c r="E5482" s="18"/>
      <c r="F5482" s="18"/>
    </row>
    <row r="5483" spans="5:6" ht="15" customHeight="1" x14ac:dyDescent="0.2">
      <c r="E5483" s="18"/>
      <c r="F5483" s="18"/>
    </row>
    <row r="5484" spans="5:6" ht="15" customHeight="1" x14ac:dyDescent="0.2">
      <c r="E5484" s="18"/>
      <c r="F5484" s="18"/>
    </row>
    <row r="5485" spans="5:6" ht="15" customHeight="1" x14ac:dyDescent="0.2">
      <c r="E5485" s="18"/>
      <c r="F5485" s="18"/>
    </row>
    <row r="5486" spans="5:6" ht="15" customHeight="1" x14ac:dyDescent="0.2">
      <c r="E5486" s="18"/>
      <c r="F5486" s="18"/>
    </row>
    <row r="5487" spans="5:6" ht="15" customHeight="1" x14ac:dyDescent="0.2">
      <c r="E5487" s="18"/>
      <c r="F5487" s="18"/>
    </row>
    <row r="5488" spans="5:6" ht="15" customHeight="1" x14ac:dyDescent="0.2">
      <c r="E5488" s="18"/>
      <c r="F5488" s="18"/>
    </row>
    <row r="5489" spans="5:6" ht="15" customHeight="1" x14ac:dyDescent="0.2">
      <c r="E5489" s="18"/>
      <c r="F5489" s="18"/>
    </row>
    <row r="5490" spans="5:6" ht="15" customHeight="1" x14ac:dyDescent="0.2">
      <c r="E5490" s="18"/>
      <c r="F5490" s="18"/>
    </row>
    <row r="5491" spans="5:6" ht="15" customHeight="1" x14ac:dyDescent="0.2">
      <c r="E5491" s="18"/>
      <c r="F5491" s="18"/>
    </row>
    <row r="5492" spans="5:6" ht="15" customHeight="1" x14ac:dyDescent="0.2">
      <c r="E5492" s="18"/>
      <c r="F5492" s="18"/>
    </row>
    <row r="5493" spans="5:6" ht="15" customHeight="1" x14ac:dyDescent="0.2">
      <c r="E5493" s="18"/>
      <c r="F5493" s="18"/>
    </row>
    <row r="5494" spans="5:6" ht="15" customHeight="1" x14ac:dyDescent="0.2">
      <c r="E5494" s="18"/>
      <c r="F5494" s="18"/>
    </row>
    <row r="5495" spans="5:6" ht="15" customHeight="1" x14ac:dyDescent="0.2">
      <c r="E5495" s="18"/>
      <c r="F5495" s="18"/>
    </row>
    <row r="5496" spans="5:6" ht="15" customHeight="1" x14ac:dyDescent="0.2">
      <c r="E5496" s="18"/>
      <c r="F5496" s="18"/>
    </row>
    <row r="5497" spans="5:6" ht="15" customHeight="1" x14ac:dyDescent="0.2">
      <c r="E5497" s="18"/>
      <c r="F5497" s="18"/>
    </row>
    <row r="5498" spans="5:6" ht="15" customHeight="1" x14ac:dyDescent="0.2">
      <c r="E5498" s="18"/>
      <c r="F5498" s="18"/>
    </row>
    <row r="5499" spans="5:6" ht="15" customHeight="1" x14ac:dyDescent="0.2">
      <c r="E5499" s="18"/>
      <c r="F5499" s="18"/>
    </row>
    <row r="5500" spans="5:6" ht="15" customHeight="1" x14ac:dyDescent="0.2">
      <c r="E5500" s="18"/>
      <c r="F5500" s="18"/>
    </row>
    <row r="5501" spans="5:6" ht="15" customHeight="1" x14ac:dyDescent="0.2">
      <c r="E5501" s="18"/>
      <c r="F5501" s="18"/>
    </row>
    <row r="5502" spans="5:6" ht="15" customHeight="1" x14ac:dyDescent="0.2">
      <c r="E5502" s="18"/>
      <c r="F5502" s="18"/>
    </row>
    <row r="5503" spans="5:6" ht="15" customHeight="1" x14ac:dyDescent="0.2">
      <c r="E5503" s="18"/>
      <c r="F5503" s="18"/>
    </row>
    <row r="5504" spans="5:6" ht="15" customHeight="1" x14ac:dyDescent="0.2">
      <c r="E5504" s="18"/>
      <c r="F5504" s="18"/>
    </row>
    <row r="5505" spans="5:6" ht="15" customHeight="1" x14ac:dyDescent="0.2">
      <c r="E5505" s="18"/>
      <c r="F5505" s="18"/>
    </row>
    <row r="5506" spans="5:6" ht="15" customHeight="1" x14ac:dyDescent="0.2">
      <c r="E5506" s="18"/>
      <c r="F5506" s="18"/>
    </row>
    <row r="5507" spans="5:6" ht="15" customHeight="1" x14ac:dyDescent="0.2">
      <c r="E5507" s="18"/>
      <c r="F5507" s="18"/>
    </row>
    <row r="5508" spans="5:6" ht="15" customHeight="1" x14ac:dyDescent="0.2">
      <c r="E5508" s="18"/>
      <c r="F5508" s="18"/>
    </row>
    <row r="5509" spans="5:6" ht="15" customHeight="1" x14ac:dyDescent="0.2">
      <c r="E5509" s="18"/>
      <c r="F5509" s="18"/>
    </row>
    <row r="5510" spans="5:6" ht="15" customHeight="1" x14ac:dyDescent="0.2">
      <c r="E5510" s="18"/>
      <c r="F5510" s="18"/>
    </row>
    <row r="5511" spans="5:6" ht="15" customHeight="1" x14ac:dyDescent="0.2">
      <c r="E5511" s="18"/>
      <c r="F5511" s="18"/>
    </row>
    <row r="5512" spans="5:6" ht="15" customHeight="1" x14ac:dyDescent="0.2">
      <c r="E5512" s="18"/>
      <c r="F5512" s="18"/>
    </row>
    <row r="5513" spans="5:6" ht="15" customHeight="1" x14ac:dyDescent="0.2">
      <c r="E5513" s="18"/>
      <c r="F5513" s="18"/>
    </row>
    <row r="5514" spans="5:6" ht="15" customHeight="1" x14ac:dyDescent="0.2">
      <c r="E5514" s="18"/>
      <c r="F5514" s="18"/>
    </row>
    <row r="5515" spans="5:6" ht="15" customHeight="1" x14ac:dyDescent="0.2">
      <c r="E5515" s="18"/>
      <c r="F5515" s="18"/>
    </row>
    <row r="5516" spans="5:6" ht="15" customHeight="1" x14ac:dyDescent="0.2">
      <c r="E5516" s="18"/>
      <c r="F5516" s="18"/>
    </row>
    <row r="5517" spans="5:6" ht="15" customHeight="1" x14ac:dyDescent="0.2">
      <c r="E5517" s="18"/>
      <c r="F5517" s="18"/>
    </row>
    <row r="5518" spans="5:6" ht="15" customHeight="1" x14ac:dyDescent="0.2">
      <c r="E5518" s="18"/>
      <c r="F5518" s="18"/>
    </row>
    <row r="5519" spans="5:6" ht="15" customHeight="1" x14ac:dyDescent="0.2">
      <c r="E5519" s="18"/>
      <c r="F5519" s="18"/>
    </row>
    <row r="5520" spans="5:6" ht="15" customHeight="1" x14ac:dyDescent="0.2">
      <c r="E5520" s="18"/>
      <c r="F5520" s="18"/>
    </row>
    <row r="5521" spans="5:6" ht="15" customHeight="1" x14ac:dyDescent="0.2">
      <c r="E5521" s="18"/>
      <c r="F5521" s="18"/>
    </row>
    <row r="5522" spans="5:6" ht="15" customHeight="1" x14ac:dyDescent="0.2">
      <c r="E5522" s="18"/>
      <c r="F5522" s="18"/>
    </row>
    <row r="5523" spans="5:6" ht="15" customHeight="1" x14ac:dyDescent="0.2">
      <c r="E5523" s="18"/>
      <c r="F5523" s="18"/>
    </row>
    <row r="5524" spans="5:6" ht="15" customHeight="1" x14ac:dyDescent="0.2">
      <c r="E5524" s="18"/>
      <c r="F5524" s="18"/>
    </row>
    <row r="5525" spans="5:6" ht="15" customHeight="1" x14ac:dyDescent="0.2">
      <c r="E5525" s="18"/>
      <c r="F5525" s="18"/>
    </row>
    <row r="5526" spans="5:6" ht="15" customHeight="1" x14ac:dyDescent="0.2">
      <c r="E5526" s="18"/>
      <c r="F5526" s="18"/>
    </row>
    <row r="5527" spans="5:6" ht="15" customHeight="1" x14ac:dyDescent="0.2">
      <c r="E5527" s="18"/>
      <c r="F5527" s="18"/>
    </row>
    <row r="5528" spans="5:6" ht="15" customHeight="1" x14ac:dyDescent="0.2">
      <c r="E5528" s="18"/>
      <c r="F5528" s="18"/>
    </row>
    <row r="5529" spans="5:6" ht="15" customHeight="1" x14ac:dyDescent="0.2">
      <c r="E5529" s="18"/>
      <c r="F5529" s="18"/>
    </row>
    <row r="5530" spans="5:6" ht="15" customHeight="1" x14ac:dyDescent="0.2">
      <c r="E5530" s="18"/>
      <c r="F5530" s="18"/>
    </row>
    <row r="5531" spans="5:6" ht="15" customHeight="1" x14ac:dyDescent="0.2">
      <c r="E5531" s="18"/>
      <c r="F5531" s="18"/>
    </row>
    <row r="5532" spans="5:6" ht="15" customHeight="1" x14ac:dyDescent="0.2">
      <c r="E5532" s="18"/>
      <c r="F5532" s="18"/>
    </row>
    <row r="5533" spans="5:6" ht="15" customHeight="1" x14ac:dyDescent="0.2">
      <c r="E5533" s="18"/>
      <c r="F5533" s="18"/>
    </row>
    <row r="5534" spans="5:6" ht="15" customHeight="1" x14ac:dyDescent="0.2">
      <c r="E5534" s="18"/>
      <c r="F5534" s="18"/>
    </row>
    <row r="5535" spans="5:6" ht="15" customHeight="1" x14ac:dyDescent="0.2">
      <c r="E5535" s="18"/>
      <c r="F5535" s="18"/>
    </row>
    <row r="5536" spans="5:6" ht="15" customHeight="1" x14ac:dyDescent="0.2">
      <c r="E5536" s="18"/>
      <c r="F5536" s="18"/>
    </row>
    <row r="5537" spans="5:6" ht="15" customHeight="1" x14ac:dyDescent="0.2">
      <c r="E5537" s="18"/>
      <c r="F5537" s="18"/>
    </row>
    <row r="5538" spans="5:6" ht="15" customHeight="1" x14ac:dyDescent="0.2">
      <c r="E5538" s="18"/>
      <c r="F5538" s="18"/>
    </row>
    <row r="5539" spans="5:6" ht="15" customHeight="1" x14ac:dyDescent="0.2">
      <c r="E5539" s="18"/>
      <c r="F5539" s="18"/>
    </row>
    <row r="5540" spans="5:6" ht="15" customHeight="1" x14ac:dyDescent="0.2">
      <c r="E5540" s="18"/>
      <c r="F5540" s="18"/>
    </row>
    <row r="5541" spans="5:6" ht="15" customHeight="1" x14ac:dyDescent="0.2">
      <c r="E5541" s="18"/>
      <c r="F5541" s="18"/>
    </row>
    <row r="5542" spans="5:6" ht="15" customHeight="1" x14ac:dyDescent="0.2">
      <c r="E5542" s="18"/>
      <c r="F5542" s="18"/>
    </row>
    <row r="5543" spans="5:6" ht="15" customHeight="1" x14ac:dyDescent="0.2">
      <c r="E5543" s="18"/>
      <c r="F5543" s="18"/>
    </row>
    <row r="5544" spans="5:6" ht="15" customHeight="1" x14ac:dyDescent="0.2">
      <c r="E5544" s="18"/>
      <c r="F5544" s="18"/>
    </row>
    <row r="5545" spans="5:6" ht="15" customHeight="1" x14ac:dyDescent="0.2">
      <c r="E5545" s="18"/>
      <c r="F5545" s="18"/>
    </row>
    <row r="5546" spans="5:6" ht="15" customHeight="1" x14ac:dyDescent="0.2">
      <c r="E5546" s="18"/>
      <c r="F5546" s="18"/>
    </row>
    <row r="5547" spans="5:6" ht="15" customHeight="1" x14ac:dyDescent="0.2">
      <c r="E5547" s="18"/>
      <c r="F5547" s="18"/>
    </row>
    <row r="5548" spans="5:6" ht="15" customHeight="1" x14ac:dyDescent="0.2">
      <c r="E5548" s="18"/>
      <c r="F5548" s="18"/>
    </row>
    <row r="5549" spans="5:6" ht="15" customHeight="1" x14ac:dyDescent="0.2">
      <c r="E5549" s="18"/>
      <c r="F5549" s="18"/>
    </row>
    <row r="5550" spans="5:6" ht="15" customHeight="1" x14ac:dyDescent="0.2">
      <c r="E5550" s="18"/>
      <c r="F5550" s="18"/>
    </row>
    <row r="5551" spans="5:6" ht="15" customHeight="1" x14ac:dyDescent="0.2">
      <c r="E5551" s="18"/>
      <c r="F5551" s="18"/>
    </row>
    <row r="5552" spans="5:6" ht="15" customHeight="1" x14ac:dyDescent="0.2">
      <c r="E5552" s="18"/>
      <c r="F5552" s="18"/>
    </row>
    <row r="5553" spans="5:6" ht="15" customHeight="1" x14ac:dyDescent="0.2">
      <c r="E5553" s="18"/>
      <c r="F5553" s="18"/>
    </row>
    <row r="5554" spans="5:6" ht="15" customHeight="1" x14ac:dyDescent="0.2">
      <c r="E5554" s="18"/>
      <c r="F5554" s="18"/>
    </row>
    <row r="5555" spans="5:6" ht="15" customHeight="1" x14ac:dyDescent="0.2">
      <c r="E5555" s="18"/>
      <c r="F5555" s="18"/>
    </row>
    <row r="5556" spans="5:6" ht="15" customHeight="1" x14ac:dyDescent="0.2">
      <c r="E5556" s="18"/>
      <c r="F5556" s="18"/>
    </row>
    <row r="5557" spans="5:6" ht="15" customHeight="1" x14ac:dyDescent="0.2">
      <c r="E5557" s="18"/>
      <c r="F5557" s="18"/>
    </row>
    <row r="5558" spans="5:6" ht="15" customHeight="1" x14ac:dyDescent="0.2">
      <c r="E5558" s="18"/>
      <c r="F5558" s="18"/>
    </row>
    <row r="5559" spans="5:6" ht="15" customHeight="1" x14ac:dyDescent="0.2">
      <c r="E5559" s="18"/>
      <c r="F5559" s="18"/>
    </row>
    <row r="5560" spans="5:6" ht="15" customHeight="1" x14ac:dyDescent="0.2">
      <c r="E5560" s="18"/>
      <c r="F5560" s="18"/>
    </row>
    <row r="5561" spans="5:6" ht="15" customHeight="1" x14ac:dyDescent="0.2">
      <c r="E5561" s="18"/>
      <c r="F5561" s="18"/>
    </row>
    <row r="5562" spans="5:6" ht="15" customHeight="1" x14ac:dyDescent="0.2">
      <c r="E5562" s="18"/>
      <c r="F5562" s="18"/>
    </row>
    <row r="5563" spans="5:6" ht="15" customHeight="1" x14ac:dyDescent="0.2">
      <c r="E5563" s="18"/>
      <c r="F5563" s="18"/>
    </row>
    <row r="5564" spans="5:6" ht="15" customHeight="1" x14ac:dyDescent="0.2">
      <c r="E5564" s="18"/>
      <c r="F5564" s="18"/>
    </row>
    <row r="5565" spans="5:6" ht="15" customHeight="1" x14ac:dyDescent="0.2">
      <c r="E5565" s="18"/>
      <c r="F5565" s="18"/>
    </row>
    <row r="5566" spans="5:6" ht="15" customHeight="1" x14ac:dyDescent="0.2">
      <c r="E5566" s="18"/>
      <c r="F5566" s="18"/>
    </row>
    <row r="5567" spans="5:6" ht="15" customHeight="1" x14ac:dyDescent="0.2">
      <c r="E5567" s="18"/>
      <c r="F5567" s="18"/>
    </row>
    <row r="5568" spans="5:6" ht="15" customHeight="1" x14ac:dyDescent="0.2">
      <c r="E5568" s="18"/>
      <c r="F5568" s="18"/>
    </row>
    <row r="5569" spans="5:6" ht="15" customHeight="1" x14ac:dyDescent="0.2">
      <c r="E5569" s="18"/>
      <c r="F5569" s="18"/>
    </row>
    <row r="5570" spans="5:6" ht="15" customHeight="1" x14ac:dyDescent="0.2">
      <c r="E5570" s="18"/>
      <c r="F5570" s="18"/>
    </row>
    <row r="5571" spans="5:6" ht="15" customHeight="1" x14ac:dyDescent="0.2">
      <c r="E5571" s="18"/>
      <c r="F5571" s="18"/>
    </row>
    <row r="5572" spans="5:6" ht="15" customHeight="1" x14ac:dyDescent="0.2">
      <c r="E5572" s="18"/>
      <c r="F5572" s="18"/>
    </row>
    <row r="5573" spans="5:6" ht="15" customHeight="1" x14ac:dyDescent="0.2">
      <c r="E5573" s="18"/>
      <c r="F5573" s="18"/>
    </row>
    <row r="5574" spans="5:6" ht="15" customHeight="1" x14ac:dyDescent="0.2">
      <c r="E5574" s="18"/>
      <c r="F5574" s="18"/>
    </row>
    <row r="5575" spans="5:6" ht="15" customHeight="1" x14ac:dyDescent="0.2">
      <c r="E5575" s="18"/>
      <c r="F5575" s="18"/>
    </row>
    <row r="5576" spans="5:6" ht="15" customHeight="1" x14ac:dyDescent="0.2">
      <c r="E5576" s="18"/>
      <c r="F5576" s="18"/>
    </row>
    <row r="5577" spans="5:6" ht="15" customHeight="1" x14ac:dyDescent="0.2">
      <c r="E5577" s="18"/>
      <c r="F5577" s="18"/>
    </row>
    <row r="5578" spans="5:6" ht="15" customHeight="1" x14ac:dyDescent="0.2">
      <c r="E5578" s="18"/>
      <c r="F5578" s="18"/>
    </row>
    <row r="5579" spans="5:6" ht="15" customHeight="1" x14ac:dyDescent="0.2">
      <c r="E5579" s="18"/>
      <c r="F5579" s="18"/>
    </row>
    <row r="5580" spans="5:6" ht="15" customHeight="1" x14ac:dyDescent="0.2">
      <c r="E5580" s="18"/>
      <c r="F5580" s="18"/>
    </row>
    <row r="5581" spans="5:6" ht="15" customHeight="1" x14ac:dyDescent="0.2">
      <c r="E5581" s="18"/>
      <c r="F5581" s="18"/>
    </row>
    <row r="5582" spans="5:6" ht="15" customHeight="1" x14ac:dyDescent="0.2">
      <c r="E5582" s="18"/>
      <c r="F5582" s="18"/>
    </row>
    <row r="5583" spans="5:6" ht="15" customHeight="1" x14ac:dyDescent="0.2">
      <c r="E5583" s="18"/>
      <c r="F5583" s="18"/>
    </row>
    <row r="5584" spans="5:6" ht="15" customHeight="1" x14ac:dyDescent="0.2">
      <c r="E5584" s="18"/>
      <c r="F5584" s="18"/>
    </row>
    <row r="5585" spans="5:6" ht="15" customHeight="1" x14ac:dyDescent="0.2">
      <c r="E5585" s="18"/>
      <c r="F5585" s="18"/>
    </row>
    <row r="5586" spans="5:6" ht="15" customHeight="1" x14ac:dyDescent="0.2">
      <c r="E5586" s="18"/>
      <c r="F5586" s="18"/>
    </row>
    <row r="5587" spans="5:6" ht="15" customHeight="1" x14ac:dyDescent="0.2">
      <c r="E5587" s="18"/>
      <c r="F5587" s="18"/>
    </row>
    <row r="5588" spans="5:6" ht="15" customHeight="1" x14ac:dyDescent="0.2">
      <c r="E5588" s="18"/>
      <c r="F5588" s="18"/>
    </row>
    <row r="5589" spans="5:6" ht="15" customHeight="1" x14ac:dyDescent="0.2">
      <c r="E5589" s="18"/>
      <c r="F5589" s="18"/>
    </row>
    <row r="5590" spans="5:6" ht="15" customHeight="1" x14ac:dyDescent="0.2">
      <c r="E5590" s="18"/>
      <c r="F5590" s="18"/>
    </row>
    <row r="5591" spans="5:6" ht="15" customHeight="1" x14ac:dyDescent="0.2">
      <c r="E5591" s="18"/>
      <c r="F5591" s="18"/>
    </row>
    <row r="5592" spans="5:6" ht="15" customHeight="1" x14ac:dyDescent="0.2">
      <c r="E5592" s="18"/>
      <c r="F5592" s="18"/>
    </row>
    <row r="5593" spans="5:6" ht="15" customHeight="1" x14ac:dyDescent="0.2">
      <c r="E5593" s="18"/>
      <c r="F5593" s="18"/>
    </row>
    <row r="5594" spans="5:6" ht="15" customHeight="1" x14ac:dyDescent="0.2">
      <c r="E5594" s="18"/>
      <c r="F5594" s="18"/>
    </row>
    <row r="5595" spans="5:6" ht="15" customHeight="1" x14ac:dyDescent="0.2">
      <c r="E5595" s="18"/>
      <c r="F5595" s="18"/>
    </row>
    <row r="5596" spans="5:6" ht="15" customHeight="1" x14ac:dyDescent="0.2">
      <c r="E5596" s="18"/>
      <c r="F5596" s="18"/>
    </row>
    <row r="5597" spans="5:6" ht="15" customHeight="1" x14ac:dyDescent="0.2">
      <c r="E5597" s="18"/>
      <c r="F5597" s="18"/>
    </row>
    <row r="5598" spans="5:6" ht="15" customHeight="1" x14ac:dyDescent="0.2">
      <c r="E5598" s="18"/>
      <c r="F5598" s="18"/>
    </row>
    <row r="5599" spans="5:6" ht="15" customHeight="1" x14ac:dyDescent="0.2">
      <c r="E5599" s="18"/>
      <c r="F5599" s="18"/>
    </row>
    <row r="5600" spans="5:6" ht="15" customHeight="1" x14ac:dyDescent="0.2">
      <c r="E5600" s="18"/>
      <c r="F5600" s="18"/>
    </row>
    <row r="5601" spans="5:6" ht="15" customHeight="1" x14ac:dyDescent="0.2">
      <c r="E5601" s="18"/>
      <c r="F5601" s="18"/>
    </row>
    <row r="5602" spans="5:6" ht="15" customHeight="1" x14ac:dyDescent="0.2">
      <c r="E5602" s="18"/>
      <c r="F5602" s="18"/>
    </row>
    <row r="5603" spans="5:6" ht="15" customHeight="1" x14ac:dyDescent="0.2">
      <c r="E5603" s="18"/>
      <c r="F5603" s="18"/>
    </row>
    <row r="5604" spans="5:6" ht="15" customHeight="1" x14ac:dyDescent="0.2">
      <c r="E5604" s="18"/>
      <c r="F5604" s="18"/>
    </row>
    <row r="5605" spans="5:6" ht="15" customHeight="1" x14ac:dyDescent="0.2">
      <c r="E5605" s="18"/>
      <c r="F5605" s="18"/>
    </row>
    <row r="5606" spans="5:6" ht="15" customHeight="1" x14ac:dyDescent="0.2">
      <c r="E5606" s="18"/>
      <c r="F5606" s="18"/>
    </row>
    <row r="5607" spans="5:6" ht="15" customHeight="1" x14ac:dyDescent="0.2">
      <c r="E5607" s="18"/>
      <c r="F5607" s="18"/>
    </row>
    <row r="5608" spans="5:6" ht="15" customHeight="1" x14ac:dyDescent="0.2">
      <c r="E5608" s="18"/>
      <c r="F5608" s="18"/>
    </row>
    <row r="5609" spans="5:6" ht="15" customHeight="1" x14ac:dyDescent="0.2">
      <c r="E5609" s="18"/>
      <c r="F5609" s="18"/>
    </row>
    <row r="5610" spans="5:6" ht="15" customHeight="1" x14ac:dyDescent="0.2">
      <c r="E5610" s="18"/>
      <c r="F5610" s="18"/>
    </row>
    <row r="5611" spans="5:6" ht="15" customHeight="1" x14ac:dyDescent="0.2">
      <c r="E5611" s="18"/>
      <c r="F5611" s="18"/>
    </row>
    <row r="5612" spans="5:6" ht="15" customHeight="1" x14ac:dyDescent="0.2">
      <c r="E5612" s="18"/>
      <c r="F5612" s="18"/>
    </row>
    <row r="5613" spans="5:6" ht="15" customHeight="1" x14ac:dyDescent="0.2">
      <c r="E5613" s="18"/>
      <c r="F5613" s="18"/>
    </row>
    <row r="5614" spans="5:6" ht="15" customHeight="1" x14ac:dyDescent="0.2">
      <c r="E5614" s="18"/>
      <c r="F5614" s="18"/>
    </row>
    <row r="5615" spans="5:6" ht="15" customHeight="1" x14ac:dyDescent="0.2">
      <c r="E5615" s="18"/>
      <c r="F5615" s="18"/>
    </row>
    <row r="5616" spans="5:6" ht="15" customHeight="1" x14ac:dyDescent="0.2">
      <c r="E5616" s="18"/>
      <c r="F5616" s="18"/>
    </row>
    <row r="5617" spans="5:6" ht="15" customHeight="1" x14ac:dyDescent="0.2">
      <c r="E5617" s="18"/>
      <c r="F5617" s="18"/>
    </row>
    <row r="5618" spans="5:6" ht="15" customHeight="1" x14ac:dyDescent="0.2">
      <c r="E5618" s="18"/>
      <c r="F5618" s="18"/>
    </row>
    <row r="5619" spans="5:6" ht="15" customHeight="1" x14ac:dyDescent="0.2">
      <c r="E5619" s="18"/>
      <c r="F5619" s="18"/>
    </row>
    <row r="5620" spans="5:6" ht="15" customHeight="1" x14ac:dyDescent="0.2">
      <c r="E5620" s="18"/>
      <c r="F5620" s="18"/>
    </row>
    <row r="5621" spans="5:6" ht="15" customHeight="1" x14ac:dyDescent="0.2">
      <c r="E5621" s="18"/>
      <c r="F5621" s="18"/>
    </row>
    <row r="5622" spans="5:6" ht="15" customHeight="1" x14ac:dyDescent="0.2">
      <c r="E5622" s="18"/>
      <c r="F5622" s="18"/>
    </row>
    <row r="5623" spans="5:6" ht="15" customHeight="1" x14ac:dyDescent="0.2">
      <c r="E5623" s="18"/>
      <c r="F5623" s="18"/>
    </row>
    <row r="5624" spans="5:6" ht="15" customHeight="1" x14ac:dyDescent="0.2">
      <c r="E5624" s="18"/>
      <c r="F5624" s="18"/>
    </row>
    <row r="5625" spans="5:6" ht="15" customHeight="1" x14ac:dyDescent="0.2">
      <c r="E5625" s="18"/>
      <c r="F5625" s="18"/>
    </row>
    <row r="5626" spans="5:6" ht="15" customHeight="1" x14ac:dyDescent="0.2">
      <c r="E5626" s="18"/>
      <c r="F5626" s="18"/>
    </row>
    <row r="5627" spans="5:6" ht="15" customHeight="1" x14ac:dyDescent="0.2">
      <c r="E5627" s="18"/>
      <c r="F5627" s="18"/>
    </row>
    <row r="5628" spans="5:6" ht="15" customHeight="1" x14ac:dyDescent="0.2">
      <c r="E5628" s="18"/>
      <c r="F5628" s="18"/>
    </row>
    <row r="5629" spans="5:6" ht="15" customHeight="1" x14ac:dyDescent="0.2">
      <c r="E5629" s="18"/>
      <c r="F5629" s="18"/>
    </row>
    <row r="5630" spans="5:6" ht="15" customHeight="1" x14ac:dyDescent="0.2">
      <c r="E5630" s="18"/>
      <c r="F5630" s="18"/>
    </row>
    <row r="5631" spans="5:6" ht="15" customHeight="1" x14ac:dyDescent="0.2">
      <c r="E5631" s="18"/>
      <c r="F5631" s="18"/>
    </row>
    <row r="5632" spans="5:6" ht="15" customHeight="1" x14ac:dyDescent="0.2">
      <c r="E5632" s="18"/>
      <c r="F5632" s="18"/>
    </row>
    <row r="5633" spans="5:6" ht="15" customHeight="1" x14ac:dyDescent="0.2">
      <c r="E5633" s="18"/>
      <c r="F5633" s="18"/>
    </row>
    <row r="5634" spans="5:6" ht="15" customHeight="1" x14ac:dyDescent="0.2">
      <c r="E5634" s="18"/>
      <c r="F5634" s="18"/>
    </row>
    <row r="5635" spans="5:6" ht="15" customHeight="1" x14ac:dyDescent="0.2">
      <c r="E5635" s="18"/>
      <c r="F5635" s="18"/>
    </row>
    <row r="5636" spans="5:6" ht="15" customHeight="1" x14ac:dyDescent="0.2">
      <c r="E5636" s="18"/>
      <c r="F5636" s="18"/>
    </row>
    <row r="5637" spans="5:6" ht="15" customHeight="1" x14ac:dyDescent="0.2">
      <c r="E5637" s="18"/>
      <c r="F5637" s="18"/>
    </row>
    <row r="5638" spans="5:6" ht="15" customHeight="1" x14ac:dyDescent="0.2">
      <c r="E5638" s="18"/>
      <c r="F5638" s="18"/>
    </row>
    <row r="5639" spans="5:6" ht="15" customHeight="1" x14ac:dyDescent="0.2">
      <c r="E5639" s="18"/>
      <c r="F5639" s="18"/>
    </row>
    <row r="5640" spans="5:6" ht="15" customHeight="1" x14ac:dyDescent="0.2">
      <c r="E5640" s="18"/>
      <c r="F5640" s="18"/>
    </row>
    <row r="5641" spans="5:6" ht="15" customHeight="1" x14ac:dyDescent="0.2">
      <c r="E5641" s="18"/>
      <c r="F5641" s="18"/>
    </row>
    <row r="5642" spans="5:6" ht="15" customHeight="1" x14ac:dyDescent="0.2">
      <c r="E5642" s="18"/>
      <c r="F5642" s="18"/>
    </row>
    <row r="5643" spans="5:6" ht="15" customHeight="1" x14ac:dyDescent="0.2">
      <c r="E5643" s="18"/>
      <c r="F5643" s="18"/>
    </row>
    <row r="5644" spans="5:6" ht="15" customHeight="1" x14ac:dyDescent="0.2">
      <c r="E5644" s="18"/>
      <c r="F5644" s="18"/>
    </row>
    <row r="5645" spans="5:6" ht="15" customHeight="1" x14ac:dyDescent="0.2">
      <c r="E5645" s="18"/>
      <c r="F5645" s="18"/>
    </row>
    <row r="5646" spans="5:6" ht="15" customHeight="1" x14ac:dyDescent="0.2">
      <c r="E5646" s="18"/>
      <c r="F5646" s="18"/>
    </row>
    <row r="5647" spans="5:6" ht="15" customHeight="1" x14ac:dyDescent="0.2">
      <c r="E5647" s="18"/>
      <c r="F5647" s="18"/>
    </row>
    <row r="5648" spans="5:6" ht="15" customHeight="1" x14ac:dyDescent="0.2">
      <c r="E5648" s="18"/>
      <c r="F5648" s="18"/>
    </row>
    <row r="5649" spans="5:6" ht="15" customHeight="1" x14ac:dyDescent="0.2">
      <c r="E5649" s="18"/>
      <c r="F5649" s="18"/>
    </row>
    <row r="5650" spans="5:6" ht="15" customHeight="1" x14ac:dyDescent="0.2">
      <c r="E5650" s="18"/>
      <c r="F5650" s="18"/>
    </row>
    <row r="5651" spans="5:6" ht="15" customHeight="1" x14ac:dyDescent="0.2">
      <c r="E5651" s="18"/>
      <c r="F5651" s="18"/>
    </row>
    <row r="5652" spans="5:6" ht="15" customHeight="1" x14ac:dyDescent="0.2">
      <c r="E5652" s="18"/>
      <c r="F5652" s="18"/>
    </row>
    <row r="5653" spans="5:6" ht="15" customHeight="1" x14ac:dyDescent="0.2">
      <c r="E5653" s="18"/>
      <c r="F5653" s="18"/>
    </row>
    <row r="5654" spans="5:6" ht="15" customHeight="1" x14ac:dyDescent="0.2">
      <c r="E5654" s="18"/>
      <c r="F5654" s="18"/>
    </row>
    <row r="5655" spans="5:6" ht="15" customHeight="1" x14ac:dyDescent="0.2">
      <c r="E5655" s="18"/>
      <c r="F5655" s="18"/>
    </row>
    <row r="5656" spans="5:6" ht="15" customHeight="1" x14ac:dyDescent="0.2">
      <c r="E5656" s="18"/>
      <c r="F5656" s="18"/>
    </row>
    <row r="5657" spans="5:6" ht="15" customHeight="1" x14ac:dyDescent="0.2">
      <c r="E5657" s="18"/>
      <c r="F5657" s="18"/>
    </row>
    <row r="5658" spans="5:6" ht="15" customHeight="1" x14ac:dyDescent="0.2">
      <c r="E5658" s="18"/>
      <c r="F5658" s="18"/>
    </row>
    <row r="5659" spans="5:6" ht="15" customHeight="1" x14ac:dyDescent="0.2">
      <c r="E5659" s="18"/>
      <c r="F5659" s="18"/>
    </row>
    <row r="5660" spans="5:6" ht="15" customHeight="1" x14ac:dyDescent="0.2">
      <c r="E5660" s="18"/>
      <c r="F5660" s="18"/>
    </row>
    <row r="5661" spans="5:6" ht="15" customHeight="1" x14ac:dyDescent="0.2">
      <c r="E5661" s="18"/>
      <c r="F5661" s="18"/>
    </row>
    <row r="5662" spans="5:6" ht="15" customHeight="1" x14ac:dyDescent="0.2">
      <c r="E5662" s="18"/>
      <c r="F5662" s="18"/>
    </row>
    <row r="5663" spans="5:6" ht="15" customHeight="1" x14ac:dyDescent="0.2">
      <c r="E5663" s="18"/>
      <c r="F5663" s="18"/>
    </row>
    <row r="5664" spans="5:6" ht="15" customHeight="1" x14ac:dyDescent="0.2">
      <c r="E5664" s="18"/>
      <c r="F5664" s="18"/>
    </row>
    <row r="5665" spans="5:6" ht="15" customHeight="1" x14ac:dyDescent="0.2">
      <c r="E5665" s="18"/>
      <c r="F5665" s="18"/>
    </row>
    <row r="5666" spans="5:6" ht="15" customHeight="1" x14ac:dyDescent="0.2">
      <c r="E5666" s="18"/>
      <c r="F5666" s="18"/>
    </row>
    <row r="5667" spans="5:6" ht="15" customHeight="1" x14ac:dyDescent="0.2">
      <c r="E5667" s="18"/>
      <c r="F5667" s="18"/>
    </row>
    <row r="5668" spans="5:6" ht="15" customHeight="1" x14ac:dyDescent="0.2">
      <c r="E5668" s="18"/>
      <c r="F5668" s="18"/>
    </row>
    <row r="5669" spans="5:6" ht="15" customHeight="1" x14ac:dyDescent="0.2">
      <c r="E5669" s="18"/>
      <c r="F5669" s="18"/>
    </row>
    <row r="5670" spans="5:6" ht="15" customHeight="1" x14ac:dyDescent="0.2">
      <c r="E5670" s="18"/>
      <c r="F5670" s="18"/>
    </row>
    <row r="5671" spans="5:6" ht="15" customHeight="1" x14ac:dyDescent="0.2">
      <c r="E5671" s="18"/>
      <c r="F5671" s="18"/>
    </row>
    <row r="5672" spans="5:6" ht="15" customHeight="1" x14ac:dyDescent="0.2">
      <c r="E5672" s="18"/>
      <c r="F5672" s="18"/>
    </row>
    <row r="5673" spans="5:6" ht="15" customHeight="1" x14ac:dyDescent="0.2">
      <c r="E5673" s="18"/>
      <c r="F5673" s="18"/>
    </row>
    <row r="5674" spans="5:6" ht="15" customHeight="1" x14ac:dyDescent="0.2">
      <c r="E5674" s="18"/>
      <c r="F5674" s="18"/>
    </row>
    <row r="5675" spans="5:6" ht="15" customHeight="1" x14ac:dyDescent="0.2">
      <c r="E5675" s="18"/>
      <c r="F5675" s="18"/>
    </row>
    <row r="5676" spans="5:6" ht="15" customHeight="1" x14ac:dyDescent="0.2">
      <c r="E5676" s="18"/>
      <c r="F5676" s="18"/>
    </row>
    <row r="5677" spans="5:6" ht="15" customHeight="1" x14ac:dyDescent="0.2">
      <c r="E5677" s="18"/>
      <c r="F5677" s="18"/>
    </row>
    <row r="5678" spans="5:6" ht="15" customHeight="1" x14ac:dyDescent="0.2">
      <c r="E5678" s="18"/>
      <c r="F5678" s="18"/>
    </row>
    <row r="5679" spans="5:6" ht="15" customHeight="1" x14ac:dyDescent="0.2">
      <c r="E5679" s="18"/>
      <c r="F5679" s="18"/>
    </row>
    <row r="5680" spans="5:6" ht="15" customHeight="1" x14ac:dyDescent="0.2">
      <c r="E5680" s="18"/>
      <c r="F5680" s="18"/>
    </row>
    <row r="5681" spans="5:6" ht="15" customHeight="1" x14ac:dyDescent="0.2">
      <c r="E5681" s="18"/>
      <c r="F5681" s="18"/>
    </row>
    <row r="5682" spans="5:6" ht="15" customHeight="1" x14ac:dyDescent="0.2">
      <c r="E5682" s="18"/>
      <c r="F5682" s="18"/>
    </row>
    <row r="5683" spans="5:6" ht="15" customHeight="1" x14ac:dyDescent="0.2">
      <c r="E5683" s="18"/>
      <c r="F5683" s="18"/>
    </row>
    <row r="5684" spans="5:6" ht="15" customHeight="1" x14ac:dyDescent="0.2">
      <c r="E5684" s="18"/>
      <c r="F5684" s="18"/>
    </row>
    <row r="5685" spans="5:6" ht="15" customHeight="1" x14ac:dyDescent="0.2">
      <c r="E5685" s="18"/>
      <c r="F5685" s="18"/>
    </row>
    <row r="5686" spans="5:6" ht="15" customHeight="1" x14ac:dyDescent="0.2">
      <c r="E5686" s="18"/>
      <c r="F5686" s="18"/>
    </row>
    <row r="5687" spans="5:6" ht="15" customHeight="1" x14ac:dyDescent="0.2">
      <c r="E5687" s="18"/>
      <c r="F5687" s="18"/>
    </row>
    <row r="5688" spans="5:6" ht="15" customHeight="1" x14ac:dyDescent="0.2">
      <c r="E5688" s="18"/>
      <c r="F5688" s="18"/>
    </row>
    <row r="5689" spans="5:6" ht="15" customHeight="1" x14ac:dyDescent="0.2">
      <c r="E5689" s="18"/>
      <c r="F5689" s="18"/>
    </row>
    <row r="5690" spans="5:6" ht="15" customHeight="1" x14ac:dyDescent="0.2">
      <c r="E5690" s="18"/>
      <c r="F5690" s="18"/>
    </row>
    <row r="5691" spans="5:6" ht="15" customHeight="1" x14ac:dyDescent="0.2">
      <c r="E5691" s="18"/>
      <c r="F5691" s="18"/>
    </row>
    <row r="5692" spans="5:6" ht="15" customHeight="1" x14ac:dyDescent="0.2">
      <c r="E5692" s="18"/>
      <c r="F5692" s="18"/>
    </row>
    <row r="5693" spans="5:6" ht="15" customHeight="1" x14ac:dyDescent="0.2">
      <c r="E5693" s="18"/>
      <c r="F5693" s="18"/>
    </row>
    <row r="5694" spans="5:6" ht="15" customHeight="1" x14ac:dyDescent="0.2">
      <c r="E5694" s="18"/>
      <c r="F5694" s="18"/>
    </row>
    <row r="5695" spans="5:6" ht="15" customHeight="1" x14ac:dyDescent="0.2">
      <c r="E5695" s="18"/>
      <c r="F5695" s="18"/>
    </row>
    <row r="5696" spans="5:6" ht="15" customHeight="1" x14ac:dyDescent="0.2">
      <c r="E5696" s="18"/>
      <c r="F5696" s="18"/>
    </row>
    <row r="5697" spans="5:6" ht="15" customHeight="1" x14ac:dyDescent="0.2">
      <c r="E5697" s="18"/>
      <c r="F5697" s="18"/>
    </row>
    <row r="5698" spans="5:6" ht="15" customHeight="1" x14ac:dyDescent="0.2">
      <c r="E5698" s="18"/>
      <c r="F5698" s="18"/>
    </row>
    <row r="5699" spans="5:6" ht="15" customHeight="1" x14ac:dyDescent="0.2">
      <c r="E5699" s="18"/>
      <c r="F5699" s="18"/>
    </row>
    <row r="5700" spans="5:6" ht="15" customHeight="1" x14ac:dyDescent="0.2">
      <c r="E5700" s="18"/>
      <c r="F5700" s="18"/>
    </row>
    <row r="5701" spans="5:6" ht="15" customHeight="1" x14ac:dyDescent="0.2">
      <c r="E5701" s="18"/>
      <c r="F5701" s="18"/>
    </row>
    <row r="5702" spans="5:6" ht="15" customHeight="1" x14ac:dyDescent="0.2">
      <c r="E5702" s="18"/>
      <c r="F5702" s="18"/>
    </row>
    <row r="5703" spans="5:6" ht="15" customHeight="1" x14ac:dyDescent="0.2">
      <c r="E5703" s="18"/>
      <c r="F5703" s="18"/>
    </row>
    <row r="5704" spans="5:6" ht="15" customHeight="1" x14ac:dyDescent="0.2">
      <c r="E5704" s="18"/>
      <c r="F5704" s="18"/>
    </row>
    <row r="5705" spans="5:6" ht="15" customHeight="1" x14ac:dyDescent="0.2">
      <c r="E5705" s="18"/>
      <c r="F5705" s="18"/>
    </row>
    <row r="5706" spans="5:6" ht="15" customHeight="1" x14ac:dyDescent="0.2">
      <c r="E5706" s="18"/>
      <c r="F5706" s="18"/>
    </row>
    <row r="5707" spans="5:6" ht="15" customHeight="1" x14ac:dyDescent="0.2">
      <c r="E5707" s="18"/>
      <c r="F5707" s="18"/>
    </row>
    <row r="5708" spans="5:6" ht="15" customHeight="1" x14ac:dyDescent="0.2">
      <c r="E5708" s="18"/>
      <c r="F5708" s="18"/>
    </row>
    <row r="5709" spans="5:6" ht="15" customHeight="1" x14ac:dyDescent="0.2">
      <c r="E5709" s="18"/>
      <c r="F5709" s="18"/>
    </row>
    <row r="5710" spans="5:6" ht="15" customHeight="1" x14ac:dyDescent="0.2">
      <c r="E5710" s="18"/>
      <c r="F5710" s="18"/>
    </row>
    <row r="5711" spans="5:6" ht="15" customHeight="1" x14ac:dyDescent="0.2">
      <c r="E5711" s="18"/>
      <c r="F5711" s="18"/>
    </row>
    <row r="5712" spans="5:6" ht="15" customHeight="1" x14ac:dyDescent="0.2">
      <c r="E5712" s="18"/>
      <c r="F5712" s="18"/>
    </row>
    <row r="5713" spans="5:6" ht="15" customHeight="1" x14ac:dyDescent="0.2">
      <c r="E5713" s="18"/>
      <c r="F5713" s="18"/>
    </row>
    <row r="5714" spans="5:6" ht="15" customHeight="1" x14ac:dyDescent="0.2">
      <c r="E5714" s="18"/>
      <c r="F5714" s="18"/>
    </row>
    <row r="5715" spans="5:6" ht="15" customHeight="1" x14ac:dyDescent="0.2">
      <c r="E5715" s="18"/>
      <c r="F5715" s="18"/>
    </row>
    <row r="5716" spans="5:6" ht="15" customHeight="1" x14ac:dyDescent="0.2">
      <c r="E5716" s="18"/>
      <c r="F5716" s="18"/>
    </row>
    <row r="5717" spans="5:6" ht="15" customHeight="1" x14ac:dyDescent="0.2">
      <c r="E5717" s="18"/>
      <c r="F5717" s="18"/>
    </row>
    <row r="5718" spans="5:6" ht="15" customHeight="1" x14ac:dyDescent="0.2">
      <c r="E5718" s="18"/>
      <c r="F5718" s="18"/>
    </row>
    <row r="5719" spans="5:6" ht="15" customHeight="1" x14ac:dyDescent="0.2">
      <c r="E5719" s="18"/>
      <c r="F5719" s="18"/>
    </row>
    <row r="5720" spans="5:6" ht="15" customHeight="1" x14ac:dyDescent="0.2">
      <c r="E5720" s="18"/>
      <c r="F5720" s="18"/>
    </row>
    <row r="5721" spans="5:6" ht="15" customHeight="1" x14ac:dyDescent="0.2">
      <c r="E5721" s="18"/>
      <c r="F5721" s="18"/>
    </row>
    <row r="5722" spans="5:6" ht="15" customHeight="1" x14ac:dyDescent="0.2">
      <c r="E5722" s="18"/>
      <c r="F5722" s="18"/>
    </row>
    <row r="5723" spans="5:6" ht="15" customHeight="1" x14ac:dyDescent="0.2">
      <c r="E5723" s="18"/>
      <c r="F5723" s="18"/>
    </row>
    <row r="5724" spans="5:6" ht="15" customHeight="1" x14ac:dyDescent="0.2">
      <c r="E5724" s="18"/>
      <c r="F5724" s="18"/>
    </row>
    <row r="5725" spans="5:6" ht="15" customHeight="1" x14ac:dyDescent="0.2">
      <c r="E5725" s="18"/>
      <c r="F5725" s="18"/>
    </row>
    <row r="5726" spans="5:6" ht="15" customHeight="1" x14ac:dyDescent="0.2">
      <c r="E5726" s="18"/>
      <c r="F5726" s="18"/>
    </row>
    <row r="5727" spans="5:6" ht="15" customHeight="1" x14ac:dyDescent="0.2">
      <c r="E5727" s="18"/>
      <c r="F5727" s="18"/>
    </row>
    <row r="5728" spans="5:6" ht="15" customHeight="1" x14ac:dyDescent="0.2">
      <c r="E5728" s="18"/>
      <c r="F5728" s="18"/>
    </row>
    <row r="5729" spans="5:6" ht="15" customHeight="1" x14ac:dyDescent="0.2">
      <c r="E5729" s="18"/>
      <c r="F5729" s="18"/>
    </row>
    <row r="5730" spans="5:6" ht="15" customHeight="1" x14ac:dyDescent="0.2">
      <c r="E5730" s="18"/>
      <c r="F5730" s="18"/>
    </row>
    <row r="5731" spans="5:6" ht="15" customHeight="1" x14ac:dyDescent="0.2">
      <c r="E5731" s="18"/>
      <c r="F5731" s="18"/>
    </row>
    <row r="5732" spans="5:6" ht="15" customHeight="1" x14ac:dyDescent="0.2">
      <c r="E5732" s="18"/>
      <c r="F5732" s="18"/>
    </row>
    <row r="5733" spans="5:6" ht="15" customHeight="1" x14ac:dyDescent="0.2">
      <c r="E5733" s="18"/>
      <c r="F5733" s="18"/>
    </row>
    <row r="5734" spans="5:6" ht="15" customHeight="1" x14ac:dyDescent="0.2">
      <c r="E5734" s="18"/>
      <c r="F5734" s="18"/>
    </row>
    <row r="5735" spans="5:6" ht="15" customHeight="1" x14ac:dyDescent="0.2">
      <c r="E5735" s="18"/>
      <c r="F5735" s="18"/>
    </row>
    <row r="5736" spans="5:6" ht="15" customHeight="1" x14ac:dyDescent="0.2">
      <c r="E5736" s="18"/>
      <c r="F5736" s="18"/>
    </row>
    <row r="5737" spans="5:6" ht="15" customHeight="1" x14ac:dyDescent="0.2">
      <c r="E5737" s="18"/>
      <c r="F5737" s="18"/>
    </row>
    <row r="5738" spans="5:6" ht="15" customHeight="1" x14ac:dyDescent="0.2">
      <c r="E5738" s="18"/>
      <c r="F5738" s="18"/>
    </row>
    <row r="5739" spans="5:6" ht="15" customHeight="1" x14ac:dyDescent="0.2">
      <c r="E5739" s="18"/>
      <c r="F5739" s="18"/>
    </row>
    <row r="5740" spans="5:6" ht="15" customHeight="1" x14ac:dyDescent="0.2">
      <c r="E5740" s="18"/>
      <c r="F5740" s="18"/>
    </row>
    <row r="5741" spans="5:6" ht="15" customHeight="1" x14ac:dyDescent="0.2">
      <c r="E5741" s="18"/>
      <c r="F5741" s="18"/>
    </row>
    <row r="5742" spans="5:6" ht="15" customHeight="1" x14ac:dyDescent="0.2">
      <c r="E5742" s="18"/>
      <c r="F5742" s="18"/>
    </row>
    <row r="5743" spans="5:6" ht="15" customHeight="1" x14ac:dyDescent="0.2">
      <c r="E5743" s="18"/>
      <c r="F5743" s="18"/>
    </row>
    <row r="5744" spans="5:6" ht="15" customHeight="1" x14ac:dyDescent="0.2">
      <c r="E5744" s="18"/>
      <c r="F5744" s="18"/>
    </row>
    <row r="5745" spans="5:6" ht="15" customHeight="1" x14ac:dyDescent="0.2">
      <c r="E5745" s="18"/>
      <c r="F5745" s="18"/>
    </row>
    <row r="5746" spans="5:6" ht="15" customHeight="1" x14ac:dyDescent="0.2">
      <c r="E5746" s="18"/>
      <c r="F5746" s="18"/>
    </row>
    <row r="5747" spans="5:6" ht="15" customHeight="1" x14ac:dyDescent="0.2">
      <c r="E5747" s="18"/>
      <c r="F5747" s="18"/>
    </row>
    <row r="5748" spans="5:6" ht="15" customHeight="1" x14ac:dyDescent="0.2">
      <c r="E5748" s="18"/>
      <c r="F5748" s="18"/>
    </row>
    <row r="5749" spans="5:6" ht="15" customHeight="1" x14ac:dyDescent="0.2">
      <c r="E5749" s="18"/>
      <c r="F5749" s="18"/>
    </row>
    <row r="5750" spans="5:6" ht="15" customHeight="1" x14ac:dyDescent="0.2">
      <c r="E5750" s="18"/>
      <c r="F5750" s="18"/>
    </row>
    <row r="5751" spans="5:6" ht="15" customHeight="1" x14ac:dyDescent="0.2">
      <c r="E5751" s="18"/>
      <c r="F5751" s="18"/>
    </row>
    <row r="5752" spans="5:6" ht="15" customHeight="1" x14ac:dyDescent="0.2">
      <c r="E5752" s="18"/>
      <c r="F5752" s="18"/>
    </row>
    <row r="5753" spans="5:6" ht="15" customHeight="1" x14ac:dyDescent="0.2">
      <c r="E5753" s="18"/>
      <c r="F5753" s="18"/>
    </row>
    <row r="5754" spans="5:6" ht="15" customHeight="1" x14ac:dyDescent="0.2">
      <c r="E5754" s="18"/>
      <c r="F5754" s="18"/>
    </row>
    <row r="5755" spans="5:6" ht="15" customHeight="1" x14ac:dyDescent="0.2">
      <c r="E5755" s="18"/>
      <c r="F5755" s="18"/>
    </row>
    <row r="5756" spans="5:6" ht="15" customHeight="1" x14ac:dyDescent="0.2">
      <c r="E5756" s="18"/>
      <c r="F5756" s="18"/>
    </row>
    <row r="5757" spans="5:6" ht="15" customHeight="1" x14ac:dyDescent="0.2">
      <c r="E5757" s="18"/>
      <c r="F5757" s="18"/>
    </row>
    <row r="5758" spans="5:6" ht="15" customHeight="1" x14ac:dyDescent="0.2">
      <c r="E5758" s="18"/>
      <c r="F5758" s="18"/>
    </row>
    <row r="5759" spans="5:6" ht="15" customHeight="1" x14ac:dyDescent="0.2">
      <c r="E5759" s="18"/>
      <c r="F5759" s="18"/>
    </row>
    <row r="5760" spans="5:6" ht="15" customHeight="1" x14ac:dyDescent="0.2">
      <c r="E5760" s="18"/>
      <c r="F5760" s="18"/>
    </row>
    <row r="5761" spans="5:6" ht="15" customHeight="1" x14ac:dyDescent="0.2">
      <c r="E5761" s="18"/>
      <c r="F5761" s="18"/>
    </row>
    <row r="5762" spans="5:6" ht="15" customHeight="1" x14ac:dyDescent="0.2">
      <c r="E5762" s="18"/>
      <c r="F5762" s="18"/>
    </row>
    <row r="5763" spans="5:6" ht="15" customHeight="1" x14ac:dyDescent="0.2">
      <c r="E5763" s="18"/>
      <c r="F5763" s="18"/>
    </row>
    <row r="5764" spans="5:6" ht="15" customHeight="1" x14ac:dyDescent="0.2">
      <c r="E5764" s="18"/>
      <c r="F5764" s="18"/>
    </row>
    <row r="5765" spans="5:6" ht="15" customHeight="1" x14ac:dyDescent="0.2">
      <c r="E5765" s="18"/>
      <c r="F5765" s="18"/>
    </row>
    <row r="5766" spans="5:6" ht="15" customHeight="1" x14ac:dyDescent="0.2">
      <c r="E5766" s="18"/>
      <c r="F5766" s="18"/>
    </row>
    <row r="5767" spans="5:6" ht="15" customHeight="1" x14ac:dyDescent="0.2">
      <c r="E5767" s="18"/>
      <c r="F5767" s="18"/>
    </row>
    <row r="5768" spans="5:6" ht="15" customHeight="1" x14ac:dyDescent="0.2">
      <c r="E5768" s="18"/>
      <c r="F5768" s="18"/>
    </row>
    <row r="5769" spans="5:6" ht="15" customHeight="1" x14ac:dyDescent="0.2">
      <c r="E5769" s="18"/>
      <c r="F5769" s="18"/>
    </row>
    <row r="5770" spans="5:6" ht="15" customHeight="1" x14ac:dyDescent="0.2">
      <c r="E5770" s="18"/>
      <c r="F5770" s="18"/>
    </row>
    <row r="5771" spans="5:6" ht="15" customHeight="1" x14ac:dyDescent="0.2">
      <c r="E5771" s="18"/>
      <c r="F5771" s="18"/>
    </row>
    <row r="5772" spans="5:6" ht="15" customHeight="1" x14ac:dyDescent="0.2">
      <c r="E5772" s="18"/>
      <c r="F5772" s="18"/>
    </row>
    <row r="5773" spans="5:6" ht="15" customHeight="1" x14ac:dyDescent="0.2">
      <c r="E5773" s="18"/>
      <c r="F5773" s="18"/>
    </row>
    <row r="5774" spans="5:6" ht="15" customHeight="1" x14ac:dyDescent="0.2">
      <c r="E5774" s="18"/>
      <c r="F5774" s="18"/>
    </row>
    <row r="5775" spans="5:6" ht="15" customHeight="1" x14ac:dyDescent="0.2">
      <c r="E5775" s="18"/>
      <c r="F5775" s="18"/>
    </row>
    <row r="5776" spans="5:6" ht="15" customHeight="1" x14ac:dyDescent="0.2">
      <c r="E5776" s="18"/>
      <c r="F5776" s="18"/>
    </row>
    <row r="5777" spans="5:6" ht="15" customHeight="1" x14ac:dyDescent="0.2">
      <c r="E5777" s="18"/>
      <c r="F5777" s="18"/>
    </row>
    <row r="5778" spans="5:6" ht="15" customHeight="1" x14ac:dyDescent="0.2">
      <c r="E5778" s="18"/>
      <c r="F5778" s="18"/>
    </row>
    <row r="5779" spans="5:6" ht="15" customHeight="1" x14ac:dyDescent="0.2">
      <c r="E5779" s="18"/>
      <c r="F5779" s="18"/>
    </row>
    <row r="5780" spans="5:6" ht="15" customHeight="1" x14ac:dyDescent="0.2">
      <c r="E5780" s="18"/>
      <c r="F5780" s="18"/>
    </row>
    <row r="5781" spans="5:6" ht="15" customHeight="1" x14ac:dyDescent="0.2">
      <c r="E5781" s="18"/>
      <c r="F5781" s="18"/>
    </row>
    <row r="5782" spans="5:6" ht="15" customHeight="1" x14ac:dyDescent="0.2">
      <c r="E5782" s="18"/>
      <c r="F5782" s="18"/>
    </row>
    <row r="5783" spans="5:6" ht="15" customHeight="1" x14ac:dyDescent="0.2">
      <c r="E5783" s="18"/>
      <c r="F5783" s="18"/>
    </row>
    <row r="5784" spans="5:6" ht="15" customHeight="1" x14ac:dyDescent="0.2">
      <c r="E5784" s="18"/>
      <c r="F5784" s="18"/>
    </row>
    <row r="5785" spans="5:6" ht="15" customHeight="1" x14ac:dyDescent="0.2">
      <c r="E5785" s="18"/>
      <c r="F5785" s="18"/>
    </row>
    <row r="5786" spans="5:6" ht="15" customHeight="1" x14ac:dyDescent="0.2">
      <c r="E5786" s="18"/>
      <c r="F5786" s="18"/>
    </row>
    <row r="5787" spans="5:6" ht="15" customHeight="1" x14ac:dyDescent="0.2">
      <c r="E5787" s="18"/>
      <c r="F5787" s="18"/>
    </row>
    <row r="5788" spans="5:6" ht="15" customHeight="1" x14ac:dyDescent="0.2">
      <c r="E5788" s="18"/>
      <c r="F5788" s="18"/>
    </row>
    <row r="5789" spans="5:6" ht="15" customHeight="1" x14ac:dyDescent="0.2">
      <c r="E5789" s="18"/>
      <c r="F5789" s="18"/>
    </row>
    <row r="5790" spans="5:6" ht="15" customHeight="1" x14ac:dyDescent="0.2">
      <c r="E5790" s="18"/>
      <c r="F5790" s="18"/>
    </row>
    <row r="5791" spans="5:6" ht="15" customHeight="1" x14ac:dyDescent="0.2">
      <c r="E5791" s="18"/>
      <c r="F5791" s="18"/>
    </row>
    <row r="5792" spans="5:6" ht="15" customHeight="1" x14ac:dyDescent="0.2">
      <c r="E5792" s="18"/>
      <c r="F5792" s="18"/>
    </row>
    <row r="5793" spans="5:6" ht="15" customHeight="1" x14ac:dyDescent="0.2">
      <c r="E5793" s="18"/>
      <c r="F5793" s="18"/>
    </row>
    <row r="5794" spans="5:6" ht="15" customHeight="1" x14ac:dyDescent="0.2">
      <c r="E5794" s="18"/>
      <c r="F5794" s="18"/>
    </row>
    <row r="5795" spans="5:6" ht="15" customHeight="1" x14ac:dyDescent="0.2">
      <c r="E5795" s="18"/>
      <c r="F5795" s="18"/>
    </row>
    <row r="5796" spans="5:6" ht="15" customHeight="1" x14ac:dyDescent="0.2">
      <c r="E5796" s="18"/>
      <c r="F5796" s="18"/>
    </row>
    <row r="5797" spans="5:6" ht="15" customHeight="1" x14ac:dyDescent="0.2">
      <c r="E5797" s="18"/>
      <c r="F5797" s="18"/>
    </row>
    <row r="5798" spans="5:6" ht="15" customHeight="1" x14ac:dyDescent="0.2">
      <c r="E5798" s="18"/>
      <c r="F5798" s="18"/>
    </row>
    <row r="5799" spans="5:6" ht="15" customHeight="1" x14ac:dyDescent="0.2">
      <c r="E5799" s="18"/>
      <c r="F5799" s="18"/>
    </row>
    <row r="5800" spans="5:6" ht="15" customHeight="1" x14ac:dyDescent="0.2">
      <c r="E5800" s="18"/>
      <c r="F5800" s="18"/>
    </row>
    <row r="5801" spans="5:6" ht="15" customHeight="1" x14ac:dyDescent="0.2">
      <c r="E5801" s="18"/>
      <c r="F5801" s="18"/>
    </row>
    <row r="5802" spans="5:6" ht="15" customHeight="1" x14ac:dyDescent="0.2">
      <c r="E5802" s="18"/>
      <c r="F5802" s="18"/>
    </row>
    <row r="5803" spans="5:6" ht="15" customHeight="1" x14ac:dyDescent="0.2">
      <c r="E5803" s="18"/>
      <c r="F5803" s="18"/>
    </row>
    <row r="5804" spans="5:6" ht="15" customHeight="1" x14ac:dyDescent="0.2">
      <c r="E5804" s="18"/>
      <c r="F5804" s="18"/>
    </row>
    <row r="5805" spans="5:6" ht="15" customHeight="1" x14ac:dyDescent="0.2">
      <c r="E5805" s="18"/>
      <c r="F5805" s="18"/>
    </row>
    <row r="5806" spans="5:6" ht="15" customHeight="1" x14ac:dyDescent="0.2">
      <c r="E5806" s="18"/>
      <c r="F5806" s="18"/>
    </row>
    <row r="5807" spans="5:6" ht="15" customHeight="1" x14ac:dyDescent="0.2">
      <c r="E5807" s="18"/>
      <c r="F5807" s="18"/>
    </row>
    <row r="5808" spans="5:6" ht="15" customHeight="1" x14ac:dyDescent="0.2">
      <c r="E5808" s="18"/>
      <c r="F5808" s="18"/>
    </row>
    <row r="5809" spans="5:6" ht="15" customHeight="1" x14ac:dyDescent="0.2">
      <c r="E5809" s="18"/>
      <c r="F5809" s="18"/>
    </row>
    <row r="5810" spans="5:6" ht="15" customHeight="1" x14ac:dyDescent="0.2">
      <c r="E5810" s="18"/>
      <c r="F5810" s="18"/>
    </row>
    <row r="5811" spans="5:6" ht="15" customHeight="1" x14ac:dyDescent="0.2">
      <c r="E5811" s="18"/>
      <c r="F5811" s="18"/>
    </row>
    <row r="5812" spans="5:6" ht="15" customHeight="1" x14ac:dyDescent="0.2">
      <c r="E5812" s="18"/>
      <c r="F5812" s="18"/>
    </row>
    <row r="5813" spans="5:6" ht="15" customHeight="1" x14ac:dyDescent="0.2">
      <c r="E5813" s="18"/>
      <c r="F5813" s="18"/>
    </row>
    <row r="5814" spans="5:6" ht="15" customHeight="1" x14ac:dyDescent="0.2">
      <c r="E5814" s="18"/>
      <c r="F5814" s="18"/>
    </row>
    <row r="5815" spans="5:6" ht="15" customHeight="1" x14ac:dyDescent="0.2">
      <c r="E5815" s="18"/>
      <c r="F5815" s="18"/>
    </row>
    <row r="5816" spans="5:6" ht="15" customHeight="1" x14ac:dyDescent="0.2">
      <c r="E5816" s="18"/>
      <c r="F5816" s="18"/>
    </row>
    <row r="5817" spans="5:6" ht="15" customHeight="1" x14ac:dyDescent="0.2">
      <c r="E5817" s="18"/>
      <c r="F5817" s="18"/>
    </row>
    <row r="5818" spans="5:6" ht="15" customHeight="1" x14ac:dyDescent="0.2">
      <c r="E5818" s="18"/>
      <c r="F5818" s="18"/>
    </row>
    <row r="5819" spans="5:6" ht="15" customHeight="1" x14ac:dyDescent="0.2">
      <c r="E5819" s="18"/>
      <c r="F5819" s="18"/>
    </row>
    <row r="5820" spans="5:6" ht="15" customHeight="1" x14ac:dyDescent="0.2">
      <c r="E5820" s="18"/>
      <c r="F5820" s="18"/>
    </row>
    <row r="5821" spans="5:6" ht="15" customHeight="1" x14ac:dyDescent="0.2">
      <c r="E5821" s="18"/>
      <c r="F5821" s="18"/>
    </row>
    <row r="5822" spans="5:6" ht="15" customHeight="1" x14ac:dyDescent="0.2">
      <c r="E5822" s="18"/>
      <c r="F5822" s="18"/>
    </row>
    <row r="5823" spans="5:6" ht="15" customHeight="1" x14ac:dyDescent="0.2">
      <c r="E5823" s="18"/>
      <c r="F5823" s="18"/>
    </row>
    <row r="5824" spans="5:6" ht="15" customHeight="1" x14ac:dyDescent="0.2">
      <c r="E5824" s="18"/>
      <c r="F5824" s="18"/>
    </row>
    <row r="5825" spans="5:6" ht="15" customHeight="1" x14ac:dyDescent="0.2">
      <c r="E5825" s="18"/>
      <c r="F5825" s="18"/>
    </row>
    <row r="5826" spans="5:6" ht="15" customHeight="1" x14ac:dyDescent="0.2">
      <c r="E5826" s="18"/>
      <c r="F5826" s="18"/>
    </row>
    <row r="5827" spans="5:6" ht="15" customHeight="1" x14ac:dyDescent="0.2">
      <c r="E5827" s="18"/>
      <c r="F5827" s="18"/>
    </row>
    <row r="5828" spans="5:6" ht="15" customHeight="1" x14ac:dyDescent="0.2">
      <c r="E5828" s="18"/>
      <c r="F5828" s="18"/>
    </row>
    <row r="5829" spans="5:6" ht="15" customHeight="1" x14ac:dyDescent="0.2">
      <c r="E5829" s="18"/>
      <c r="F5829" s="18"/>
    </row>
    <row r="5830" spans="5:6" ht="15" customHeight="1" x14ac:dyDescent="0.2">
      <c r="E5830" s="18"/>
      <c r="F5830" s="18"/>
    </row>
    <row r="5831" spans="5:6" ht="15" customHeight="1" x14ac:dyDescent="0.2">
      <c r="E5831" s="18"/>
      <c r="F5831" s="18"/>
    </row>
    <row r="5832" spans="5:6" ht="15" customHeight="1" x14ac:dyDescent="0.2">
      <c r="E5832" s="18"/>
      <c r="F5832" s="18"/>
    </row>
    <row r="5833" spans="5:6" ht="15" customHeight="1" x14ac:dyDescent="0.2">
      <c r="E5833" s="18"/>
      <c r="F5833" s="18"/>
    </row>
    <row r="5834" spans="5:6" ht="15" customHeight="1" x14ac:dyDescent="0.2">
      <c r="E5834" s="18"/>
      <c r="F5834" s="18"/>
    </row>
    <row r="5835" spans="5:6" ht="15" customHeight="1" x14ac:dyDescent="0.2">
      <c r="E5835" s="18"/>
      <c r="F5835" s="18"/>
    </row>
    <row r="5836" spans="5:6" ht="15" customHeight="1" x14ac:dyDescent="0.2">
      <c r="E5836" s="18"/>
      <c r="F5836" s="18"/>
    </row>
    <row r="5837" spans="5:6" ht="15" customHeight="1" x14ac:dyDescent="0.2">
      <c r="E5837" s="18"/>
      <c r="F5837" s="18"/>
    </row>
    <row r="5838" spans="5:6" ht="15" customHeight="1" x14ac:dyDescent="0.2">
      <c r="E5838" s="18"/>
      <c r="F5838" s="18"/>
    </row>
    <row r="5839" spans="5:6" ht="15" customHeight="1" x14ac:dyDescent="0.2">
      <c r="E5839" s="18"/>
      <c r="F5839" s="18"/>
    </row>
    <row r="5840" spans="5:6" ht="15" customHeight="1" x14ac:dyDescent="0.2">
      <c r="E5840" s="18"/>
      <c r="F5840" s="18"/>
    </row>
    <row r="5841" spans="5:6" ht="15" customHeight="1" x14ac:dyDescent="0.2">
      <c r="E5841" s="18"/>
      <c r="F5841" s="18"/>
    </row>
    <row r="5842" spans="5:6" ht="15" customHeight="1" x14ac:dyDescent="0.2">
      <c r="E5842" s="18"/>
      <c r="F5842" s="18"/>
    </row>
    <row r="5843" spans="5:6" ht="15" customHeight="1" x14ac:dyDescent="0.2">
      <c r="E5843" s="18"/>
      <c r="F5843" s="18"/>
    </row>
    <row r="5844" spans="5:6" ht="15" customHeight="1" x14ac:dyDescent="0.2">
      <c r="E5844" s="18"/>
      <c r="F5844" s="18"/>
    </row>
    <row r="5845" spans="5:6" ht="15" customHeight="1" x14ac:dyDescent="0.2">
      <c r="E5845" s="18"/>
      <c r="F5845" s="18"/>
    </row>
    <row r="5846" spans="5:6" ht="15" customHeight="1" x14ac:dyDescent="0.2">
      <c r="E5846" s="18"/>
      <c r="F5846" s="18"/>
    </row>
    <row r="5847" spans="5:6" ht="15" customHeight="1" x14ac:dyDescent="0.2">
      <c r="E5847" s="18"/>
      <c r="F5847" s="18"/>
    </row>
    <row r="5848" spans="5:6" ht="15" customHeight="1" x14ac:dyDescent="0.2">
      <c r="E5848" s="18"/>
      <c r="F5848" s="18"/>
    </row>
    <row r="5849" spans="5:6" ht="15" customHeight="1" x14ac:dyDescent="0.2">
      <c r="E5849" s="18"/>
      <c r="F5849" s="18"/>
    </row>
    <row r="5850" spans="5:6" ht="15" customHeight="1" x14ac:dyDescent="0.2">
      <c r="E5850" s="18"/>
      <c r="F5850" s="18"/>
    </row>
    <row r="5851" spans="5:6" ht="15" customHeight="1" x14ac:dyDescent="0.2">
      <c r="E5851" s="18"/>
      <c r="F5851" s="18"/>
    </row>
    <row r="5852" spans="5:6" ht="15" customHeight="1" x14ac:dyDescent="0.2">
      <c r="E5852" s="18"/>
      <c r="F5852" s="18"/>
    </row>
    <row r="5853" spans="5:6" ht="15" customHeight="1" x14ac:dyDescent="0.2">
      <c r="E5853" s="18"/>
      <c r="F5853" s="18"/>
    </row>
    <row r="5854" spans="5:6" ht="15" customHeight="1" x14ac:dyDescent="0.2">
      <c r="E5854" s="18"/>
      <c r="F5854" s="18"/>
    </row>
    <row r="5855" spans="5:6" ht="15" customHeight="1" x14ac:dyDescent="0.2">
      <c r="E5855" s="18"/>
      <c r="F5855" s="18"/>
    </row>
    <row r="5856" spans="5:6" ht="15" customHeight="1" x14ac:dyDescent="0.2">
      <c r="E5856" s="18"/>
      <c r="F5856" s="18"/>
    </row>
    <row r="5857" spans="5:6" ht="15" customHeight="1" x14ac:dyDescent="0.2">
      <c r="E5857" s="18"/>
      <c r="F5857" s="18"/>
    </row>
    <row r="5858" spans="5:6" ht="15" customHeight="1" x14ac:dyDescent="0.2">
      <c r="E5858" s="18"/>
      <c r="F5858" s="18"/>
    </row>
    <row r="5859" spans="5:6" ht="15" customHeight="1" x14ac:dyDescent="0.2">
      <c r="E5859" s="18"/>
      <c r="F5859" s="18"/>
    </row>
    <row r="5860" spans="5:6" ht="15" customHeight="1" x14ac:dyDescent="0.2">
      <c r="E5860" s="18"/>
      <c r="F5860" s="18"/>
    </row>
    <row r="5861" spans="5:6" ht="15" customHeight="1" x14ac:dyDescent="0.2">
      <c r="E5861" s="18"/>
      <c r="F5861" s="18"/>
    </row>
    <row r="5862" spans="5:6" ht="15" customHeight="1" x14ac:dyDescent="0.2">
      <c r="E5862" s="18"/>
      <c r="F5862" s="18"/>
    </row>
    <row r="5863" spans="5:6" ht="15" customHeight="1" x14ac:dyDescent="0.2">
      <c r="E5863" s="18"/>
      <c r="F5863" s="18"/>
    </row>
    <row r="5864" spans="5:6" ht="15" customHeight="1" x14ac:dyDescent="0.2">
      <c r="E5864" s="18"/>
      <c r="F5864" s="18"/>
    </row>
    <row r="5865" spans="5:6" ht="15" customHeight="1" x14ac:dyDescent="0.2">
      <c r="E5865" s="18"/>
      <c r="F5865" s="18"/>
    </row>
    <row r="5866" spans="5:6" ht="15" customHeight="1" x14ac:dyDescent="0.2">
      <c r="E5866" s="18"/>
      <c r="F5866" s="18"/>
    </row>
    <row r="5867" spans="5:6" ht="15" customHeight="1" x14ac:dyDescent="0.2">
      <c r="E5867" s="18"/>
      <c r="F5867" s="18"/>
    </row>
    <row r="5868" spans="5:6" ht="15" customHeight="1" x14ac:dyDescent="0.2">
      <c r="E5868" s="18"/>
      <c r="F5868" s="18"/>
    </row>
    <row r="5869" spans="5:6" ht="15" customHeight="1" x14ac:dyDescent="0.2">
      <c r="E5869" s="18"/>
      <c r="F5869" s="18"/>
    </row>
    <row r="5870" spans="5:6" ht="15" customHeight="1" x14ac:dyDescent="0.2">
      <c r="E5870" s="18"/>
      <c r="F5870" s="18"/>
    </row>
    <row r="5871" spans="5:6" ht="15" customHeight="1" x14ac:dyDescent="0.2">
      <c r="E5871" s="18"/>
      <c r="F5871" s="18"/>
    </row>
    <row r="5872" spans="5:6" ht="15" customHeight="1" x14ac:dyDescent="0.2">
      <c r="E5872" s="18"/>
      <c r="F5872" s="18"/>
    </row>
    <row r="5873" spans="5:6" ht="15" customHeight="1" x14ac:dyDescent="0.2">
      <c r="E5873" s="18"/>
      <c r="F5873" s="18"/>
    </row>
    <row r="5874" spans="5:6" ht="15" customHeight="1" x14ac:dyDescent="0.2">
      <c r="E5874" s="18"/>
      <c r="F5874" s="18"/>
    </row>
    <row r="5875" spans="5:6" ht="15" customHeight="1" x14ac:dyDescent="0.2">
      <c r="E5875" s="18"/>
      <c r="F5875" s="18"/>
    </row>
    <row r="5876" spans="5:6" ht="15" customHeight="1" x14ac:dyDescent="0.2">
      <c r="E5876" s="18"/>
      <c r="F5876" s="18"/>
    </row>
    <row r="5877" spans="5:6" ht="15" customHeight="1" x14ac:dyDescent="0.2">
      <c r="E5877" s="18"/>
      <c r="F5877" s="18"/>
    </row>
    <row r="5878" spans="5:6" ht="15" customHeight="1" x14ac:dyDescent="0.2">
      <c r="E5878" s="18"/>
      <c r="F5878" s="18"/>
    </row>
    <row r="5879" spans="5:6" ht="15" customHeight="1" x14ac:dyDescent="0.2">
      <c r="E5879" s="18"/>
      <c r="F5879" s="18"/>
    </row>
    <row r="5880" spans="5:6" ht="15" customHeight="1" x14ac:dyDescent="0.2">
      <c r="E5880" s="18"/>
      <c r="F5880" s="18"/>
    </row>
    <row r="5881" spans="5:6" ht="15" customHeight="1" x14ac:dyDescent="0.2">
      <c r="E5881" s="18"/>
      <c r="F5881" s="18"/>
    </row>
    <row r="5882" spans="5:6" ht="15" customHeight="1" x14ac:dyDescent="0.2">
      <c r="E5882" s="18"/>
      <c r="F5882" s="18"/>
    </row>
    <row r="5883" spans="5:6" ht="15" customHeight="1" x14ac:dyDescent="0.2">
      <c r="E5883" s="18"/>
      <c r="F5883" s="18"/>
    </row>
    <row r="5884" spans="5:6" ht="15" customHeight="1" x14ac:dyDescent="0.2">
      <c r="E5884" s="18"/>
      <c r="F5884" s="18"/>
    </row>
    <row r="5885" spans="5:6" ht="15" customHeight="1" x14ac:dyDescent="0.2">
      <c r="E5885" s="18"/>
      <c r="F5885" s="18"/>
    </row>
    <row r="5886" spans="5:6" ht="15" customHeight="1" x14ac:dyDescent="0.2">
      <c r="E5886" s="18"/>
      <c r="F5886" s="18"/>
    </row>
    <row r="5887" spans="5:6" ht="15" customHeight="1" x14ac:dyDescent="0.2">
      <c r="E5887" s="18"/>
      <c r="F5887" s="18"/>
    </row>
    <row r="5888" spans="5:6" ht="15" customHeight="1" x14ac:dyDescent="0.2">
      <c r="E5888" s="18"/>
      <c r="F5888" s="18"/>
    </row>
    <row r="5889" spans="5:6" ht="15" customHeight="1" x14ac:dyDescent="0.2">
      <c r="E5889" s="18"/>
      <c r="F5889" s="18"/>
    </row>
    <row r="5890" spans="5:6" ht="15" customHeight="1" x14ac:dyDescent="0.2">
      <c r="E5890" s="18"/>
      <c r="F5890" s="18"/>
    </row>
    <row r="5891" spans="5:6" ht="15" customHeight="1" x14ac:dyDescent="0.2">
      <c r="E5891" s="18"/>
      <c r="F5891" s="18"/>
    </row>
    <row r="5892" spans="5:6" ht="15" customHeight="1" x14ac:dyDescent="0.2">
      <c r="E5892" s="18"/>
      <c r="F5892" s="18"/>
    </row>
    <row r="5893" spans="5:6" ht="15" customHeight="1" x14ac:dyDescent="0.2">
      <c r="E5893" s="18"/>
      <c r="F5893" s="18"/>
    </row>
    <row r="5894" spans="5:6" ht="15" customHeight="1" x14ac:dyDescent="0.2">
      <c r="E5894" s="18"/>
      <c r="F5894" s="18"/>
    </row>
    <row r="5895" spans="5:6" ht="15" customHeight="1" x14ac:dyDescent="0.2">
      <c r="E5895" s="18"/>
      <c r="F5895" s="18"/>
    </row>
    <row r="5896" spans="5:6" ht="15" customHeight="1" x14ac:dyDescent="0.2">
      <c r="E5896" s="18"/>
      <c r="F5896" s="18"/>
    </row>
    <row r="5897" spans="5:6" ht="15" customHeight="1" x14ac:dyDescent="0.2">
      <c r="E5897" s="18"/>
      <c r="F5897" s="18"/>
    </row>
    <row r="5898" spans="5:6" ht="15" customHeight="1" x14ac:dyDescent="0.2">
      <c r="E5898" s="18"/>
      <c r="F5898" s="18"/>
    </row>
    <row r="5899" spans="5:6" ht="15" customHeight="1" x14ac:dyDescent="0.2">
      <c r="E5899" s="18"/>
      <c r="F5899" s="18"/>
    </row>
    <row r="5900" spans="5:6" ht="15" customHeight="1" x14ac:dyDescent="0.2">
      <c r="E5900" s="18"/>
      <c r="F5900" s="18"/>
    </row>
    <row r="5901" spans="5:6" ht="15" customHeight="1" x14ac:dyDescent="0.2">
      <c r="E5901" s="18"/>
      <c r="F5901" s="18"/>
    </row>
    <row r="5902" spans="5:6" ht="15" customHeight="1" x14ac:dyDescent="0.2">
      <c r="E5902" s="18"/>
      <c r="F5902" s="18"/>
    </row>
    <row r="5903" spans="5:6" ht="15" customHeight="1" x14ac:dyDescent="0.2">
      <c r="E5903" s="18"/>
      <c r="F5903" s="18"/>
    </row>
    <row r="5904" spans="5:6" ht="15" customHeight="1" x14ac:dyDescent="0.2">
      <c r="E5904" s="18"/>
      <c r="F5904" s="18"/>
    </row>
    <row r="5905" spans="5:6" ht="15" customHeight="1" x14ac:dyDescent="0.2">
      <c r="E5905" s="18"/>
      <c r="F5905" s="18"/>
    </row>
    <row r="5906" spans="5:6" ht="15" customHeight="1" x14ac:dyDescent="0.2">
      <c r="E5906" s="18"/>
      <c r="F5906" s="18"/>
    </row>
    <row r="5907" spans="5:6" ht="15" customHeight="1" x14ac:dyDescent="0.2">
      <c r="E5907" s="18"/>
      <c r="F5907" s="18"/>
    </row>
    <row r="5908" spans="5:6" ht="15" customHeight="1" x14ac:dyDescent="0.2">
      <c r="E5908" s="18"/>
      <c r="F5908" s="18"/>
    </row>
    <row r="5909" spans="5:6" ht="15" customHeight="1" x14ac:dyDescent="0.2">
      <c r="E5909" s="18"/>
      <c r="F5909" s="18"/>
    </row>
    <row r="5910" spans="5:6" ht="15" customHeight="1" x14ac:dyDescent="0.2">
      <c r="E5910" s="18"/>
      <c r="F5910" s="18"/>
    </row>
    <row r="5911" spans="5:6" ht="15" customHeight="1" x14ac:dyDescent="0.2">
      <c r="E5911" s="18"/>
      <c r="F5911" s="18"/>
    </row>
    <row r="5912" spans="5:6" ht="15" customHeight="1" x14ac:dyDescent="0.2">
      <c r="E5912" s="18"/>
      <c r="F5912" s="18"/>
    </row>
    <row r="5913" spans="5:6" ht="15" customHeight="1" x14ac:dyDescent="0.2">
      <c r="E5913" s="18"/>
      <c r="F5913" s="18"/>
    </row>
    <row r="5914" spans="5:6" ht="15" customHeight="1" x14ac:dyDescent="0.2">
      <c r="E5914" s="18"/>
      <c r="F5914" s="18"/>
    </row>
    <row r="5915" spans="5:6" ht="15" customHeight="1" x14ac:dyDescent="0.2">
      <c r="E5915" s="18"/>
      <c r="F5915" s="18"/>
    </row>
    <row r="5916" spans="5:6" ht="15" customHeight="1" x14ac:dyDescent="0.2">
      <c r="E5916" s="18"/>
      <c r="F5916" s="18"/>
    </row>
    <row r="5917" spans="5:6" ht="15" customHeight="1" x14ac:dyDescent="0.2">
      <c r="E5917" s="18"/>
      <c r="F5917" s="18"/>
    </row>
    <row r="5918" spans="5:6" ht="15" customHeight="1" x14ac:dyDescent="0.2">
      <c r="E5918" s="18"/>
      <c r="F5918" s="18"/>
    </row>
    <row r="5919" spans="5:6" ht="15" customHeight="1" x14ac:dyDescent="0.2">
      <c r="E5919" s="18"/>
      <c r="F5919" s="18"/>
    </row>
    <row r="5920" spans="5:6" ht="15" customHeight="1" x14ac:dyDescent="0.2">
      <c r="E5920" s="18"/>
      <c r="F5920" s="18"/>
    </row>
    <row r="5921" spans="5:6" ht="15" customHeight="1" x14ac:dyDescent="0.2">
      <c r="E5921" s="18"/>
      <c r="F5921" s="18"/>
    </row>
    <row r="5922" spans="5:6" ht="15" customHeight="1" x14ac:dyDescent="0.2">
      <c r="E5922" s="18"/>
      <c r="F5922" s="18"/>
    </row>
    <row r="5923" spans="5:6" ht="15" customHeight="1" x14ac:dyDescent="0.2">
      <c r="E5923" s="18"/>
      <c r="F5923" s="18"/>
    </row>
    <row r="5924" spans="5:6" ht="15" customHeight="1" x14ac:dyDescent="0.2">
      <c r="E5924" s="18"/>
      <c r="F5924" s="18"/>
    </row>
    <row r="5925" spans="5:6" ht="15" customHeight="1" x14ac:dyDescent="0.2">
      <c r="E5925" s="18"/>
      <c r="F5925" s="18"/>
    </row>
    <row r="5926" spans="5:6" ht="15" customHeight="1" x14ac:dyDescent="0.2">
      <c r="E5926" s="18"/>
      <c r="F5926" s="18"/>
    </row>
    <row r="5927" spans="5:6" ht="15" customHeight="1" x14ac:dyDescent="0.2">
      <c r="E5927" s="18"/>
      <c r="F5927" s="18"/>
    </row>
    <row r="5928" spans="5:6" ht="15" customHeight="1" x14ac:dyDescent="0.2">
      <c r="E5928" s="18"/>
      <c r="F5928" s="18"/>
    </row>
    <row r="5929" spans="5:6" ht="15" customHeight="1" x14ac:dyDescent="0.2">
      <c r="E5929" s="18"/>
      <c r="F5929" s="18"/>
    </row>
    <row r="5930" spans="5:6" ht="15" customHeight="1" x14ac:dyDescent="0.2">
      <c r="E5930" s="18"/>
      <c r="F5930" s="18"/>
    </row>
    <row r="5931" spans="5:6" ht="15" customHeight="1" x14ac:dyDescent="0.2">
      <c r="E5931" s="18"/>
      <c r="F5931" s="18"/>
    </row>
    <row r="5932" spans="5:6" ht="15" customHeight="1" x14ac:dyDescent="0.2">
      <c r="E5932" s="18"/>
      <c r="F5932" s="18"/>
    </row>
    <row r="5933" spans="5:6" ht="15" customHeight="1" x14ac:dyDescent="0.2">
      <c r="E5933" s="18"/>
      <c r="F5933" s="18"/>
    </row>
    <row r="5934" spans="5:6" ht="15" customHeight="1" x14ac:dyDescent="0.2">
      <c r="E5934" s="18"/>
      <c r="F5934" s="18"/>
    </row>
    <row r="5935" spans="5:6" ht="15" customHeight="1" x14ac:dyDescent="0.2">
      <c r="E5935" s="18"/>
      <c r="F5935" s="18"/>
    </row>
    <row r="5936" spans="5:6" ht="15" customHeight="1" x14ac:dyDescent="0.2">
      <c r="E5936" s="18"/>
      <c r="F5936" s="18"/>
    </row>
    <row r="5937" spans="5:6" ht="15" customHeight="1" x14ac:dyDescent="0.2">
      <c r="E5937" s="18"/>
      <c r="F5937" s="18"/>
    </row>
    <row r="5938" spans="5:6" ht="15" customHeight="1" x14ac:dyDescent="0.2">
      <c r="E5938" s="18"/>
      <c r="F5938" s="18"/>
    </row>
    <row r="5939" spans="5:6" ht="15" customHeight="1" x14ac:dyDescent="0.2">
      <c r="E5939" s="18"/>
      <c r="F5939" s="18"/>
    </row>
    <row r="5940" spans="5:6" ht="15" customHeight="1" x14ac:dyDescent="0.2">
      <c r="E5940" s="18"/>
      <c r="F5940" s="18"/>
    </row>
    <row r="5941" spans="5:6" ht="15" customHeight="1" x14ac:dyDescent="0.2">
      <c r="E5941" s="18"/>
      <c r="F5941" s="18"/>
    </row>
    <row r="5942" spans="5:6" ht="15" customHeight="1" x14ac:dyDescent="0.2">
      <c r="E5942" s="18"/>
      <c r="F5942" s="18"/>
    </row>
    <row r="5943" spans="5:6" ht="15" customHeight="1" x14ac:dyDescent="0.2">
      <c r="E5943" s="18"/>
      <c r="F5943" s="18"/>
    </row>
    <row r="5944" spans="5:6" ht="15" customHeight="1" x14ac:dyDescent="0.2">
      <c r="E5944" s="18"/>
      <c r="F5944" s="18"/>
    </row>
    <row r="5945" spans="5:6" ht="15" customHeight="1" x14ac:dyDescent="0.2">
      <c r="E5945" s="18"/>
      <c r="F5945" s="18"/>
    </row>
    <row r="5946" spans="5:6" ht="15" customHeight="1" x14ac:dyDescent="0.2">
      <c r="E5946" s="18"/>
      <c r="F5946" s="18"/>
    </row>
    <row r="5947" spans="5:6" ht="15" customHeight="1" x14ac:dyDescent="0.2">
      <c r="E5947" s="18"/>
      <c r="F5947" s="18"/>
    </row>
    <row r="5948" spans="5:6" ht="15" customHeight="1" x14ac:dyDescent="0.2">
      <c r="E5948" s="18"/>
      <c r="F5948" s="18"/>
    </row>
    <row r="5949" spans="5:6" ht="15" customHeight="1" x14ac:dyDescent="0.2">
      <c r="E5949" s="18"/>
      <c r="F5949" s="18"/>
    </row>
    <row r="5950" spans="5:6" ht="15" customHeight="1" x14ac:dyDescent="0.2">
      <c r="E5950" s="18"/>
      <c r="F5950" s="18"/>
    </row>
    <row r="5951" spans="5:6" ht="15" customHeight="1" x14ac:dyDescent="0.2">
      <c r="E5951" s="18"/>
      <c r="F5951" s="18"/>
    </row>
    <row r="5952" spans="5:6" ht="15" customHeight="1" x14ac:dyDescent="0.2">
      <c r="E5952" s="18"/>
      <c r="F5952" s="18"/>
    </row>
    <row r="5953" spans="5:6" ht="15" customHeight="1" x14ac:dyDescent="0.2">
      <c r="E5953" s="18"/>
      <c r="F5953" s="18"/>
    </row>
    <row r="5954" spans="5:6" ht="15" customHeight="1" x14ac:dyDescent="0.2">
      <c r="E5954" s="18"/>
      <c r="F5954" s="18"/>
    </row>
    <row r="5955" spans="5:6" ht="15" customHeight="1" x14ac:dyDescent="0.2">
      <c r="E5955" s="18"/>
      <c r="F5955" s="18"/>
    </row>
    <row r="5956" spans="5:6" ht="15" customHeight="1" x14ac:dyDescent="0.2">
      <c r="E5956" s="18"/>
      <c r="F5956" s="18"/>
    </row>
    <row r="5957" spans="5:6" ht="15" customHeight="1" x14ac:dyDescent="0.2">
      <c r="E5957" s="18"/>
      <c r="F5957" s="18"/>
    </row>
    <row r="5958" spans="5:6" ht="15" customHeight="1" x14ac:dyDescent="0.2">
      <c r="E5958" s="18"/>
      <c r="F5958" s="18"/>
    </row>
    <row r="5959" spans="5:6" ht="15" customHeight="1" x14ac:dyDescent="0.2">
      <c r="E5959" s="18"/>
      <c r="F5959" s="18"/>
    </row>
    <row r="5960" spans="5:6" ht="15" customHeight="1" x14ac:dyDescent="0.2">
      <c r="E5960" s="18"/>
      <c r="F5960" s="18"/>
    </row>
    <row r="5961" spans="5:6" ht="15" customHeight="1" x14ac:dyDescent="0.2">
      <c r="E5961" s="18"/>
      <c r="F5961" s="18"/>
    </row>
    <row r="5962" spans="5:6" ht="15" customHeight="1" x14ac:dyDescent="0.2">
      <c r="E5962" s="18"/>
      <c r="F5962" s="18"/>
    </row>
    <row r="5963" spans="5:6" ht="15" customHeight="1" x14ac:dyDescent="0.2">
      <c r="E5963" s="18"/>
      <c r="F5963" s="18"/>
    </row>
    <row r="5964" spans="5:6" ht="15" customHeight="1" x14ac:dyDescent="0.2">
      <c r="E5964" s="18"/>
      <c r="F5964" s="18"/>
    </row>
    <row r="5965" spans="5:6" ht="15" customHeight="1" x14ac:dyDescent="0.2">
      <c r="E5965" s="18"/>
      <c r="F5965" s="18"/>
    </row>
    <row r="5966" spans="5:6" ht="15" customHeight="1" x14ac:dyDescent="0.2">
      <c r="E5966" s="18"/>
      <c r="F5966" s="18"/>
    </row>
    <row r="5967" spans="5:6" ht="15" customHeight="1" x14ac:dyDescent="0.2">
      <c r="E5967" s="18"/>
      <c r="F5967" s="18"/>
    </row>
    <row r="5968" spans="5:6" ht="15" customHeight="1" x14ac:dyDescent="0.2">
      <c r="E5968" s="18"/>
      <c r="F5968" s="18"/>
    </row>
    <row r="5969" spans="5:6" ht="15" customHeight="1" x14ac:dyDescent="0.2">
      <c r="E5969" s="18"/>
      <c r="F5969" s="18"/>
    </row>
    <row r="5970" spans="5:6" ht="15" customHeight="1" x14ac:dyDescent="0.2">
      <c r="E5970" s="18"/>
      <c r="F5970" s="18"/>
    </row>
    <row r="5971" spans="5:6" ht="15" customHeight="1" x14ac:dyDescent="0.2">
      <c r="E5971" s="18"/>
      <c r="F5971" s="18"/>
    </row>
    <row r="5972" spans="5:6" ht="15" customHeight="1" x14ac:dyDescent="0.2">
      <c r="E5972" s="18"/>
      <c r="F5972" s="18"/>
    </row>
    <row r="5973" spans="5:6" ht="15" customHeight="1" x14ac:dyDescent="0.2">
      <c r="E5973" s="18"/>
      <c r="F5973" s="18"/>
    </row>
    <row r="5974" spans="5:6" ht="15" customHeight="1" x14ac:dyDescent="0.2">
      <c r="E5974" s="18"/>
      <c r="F5974" s="18"/>
    </row>
    <row r="5975" spans="5:6" ht="15" customHeight="1" x14ac:dyDescent="0.2">
      <c r="E5975" s="18"/>
      <c r="F5975" s="18"/>
    </row>
    <row r="5976" spans="5:6" ht="15" customHeight="1" x14ac:dyDescent="0.2">
      <c r="E5976" s="18"/>
      <c r="F5976" s="18"/>
    </row>
    <row r="5977" spans="5:6" ht="15" customHeight="1" x14ac:dyDescent="0.2">
      <c r="E5977" s="18"/>
      <c r="F5977" s="18"/>
    </row>
    <row r="5978" spans="5:6" ht="15" customHeight="1" x14ac:dyDescent="0.2">
      <c r="E5978" s="18"/>
      <c r="F5978" s="18"/>
    </row>
    <row r="5979" spans="5:6" ht="15" customHeight="1" x14ac:dyDescent="0.2">
      <c r="E5979" s="18"/>
      <c r="F5979" s="18"/>
    </row>
    <row r="5980" spans="5:6" ht="15" customHeight="1" x14ac:dyDescent="0.2">
      <c r="E5980" s="18"/>
      <c r="F5980" s="18"/>
    </row>
    <row r="5981" spans="5:6" ht="15" customHeight="1" x14ac:dyDescent="0.2">
      <c r="E5981" s="18"/>
      <c r="F5981" s="18"/>
    </row>
    <row r="5982" spans="5:6" ht="15" customHeight="1" x14ac:dyDescent="0.2">
      <c r="E5982" s="18"/>
      <c r="F5982" s="18"/>
    </row>
    <row r="5983" spans="5:6" ht="15" customHeight="1" x14ac:dyDescent="0.2">
      <c r="E5983" s="18"/>
      <c r="F5983" s="18"/>
    </row>
    <row r="5984" spans="5:6" ht="15" customHeight="1" x14ac:dyDescent="0.2">
      <c r="E5984" s="18"/>
      <c r="F5984" s="18"/>
    </row>
    <row r="5985" spans="5:6" ht="15" customHeight="1" x14ac:dyDescent="0.2">
      <c r="E5985" s="18"/>
      <c r="F5985" s="18"/>
    </row>
    <row r="5986" spans="5:6" ht="15" customHeight="1" x14ac:dyDescent="0.2">
      <c r="E5986" s="18"/>
      <c r="F5986" s="18"/>
    </row>
    <row r="5987" spans="5:6" ht="15" customHeight="1" x14ac:dyDescent="0.2">
      <c r="E5987" s="18"/>
      <c r="F5987" s="18"/>
    </row>
    <row r="5988" spans="5:6" ht="15" customHeight="1" x14ac:dyDescent="0.2">
      <c r="E5988" s="18"/>
      <c r="F5988" s="18"/>
    </row>
    <row r="5989" spans="5:6" ht="15" customHeight="1" x14ac:dyDescent="0.2">
      <c r="E5989" s="18"/>
      <c r="F5989" s="18"/>
    </row>
    <row r="5990" spans="5:6" ht="15" customHeight="1" x14ac:dyDescent="0.2">
      <c r="E5990" s="18"/>
      <c r="F5990" s="18"/>
    </row>
    <row r="5991" spans="5:6" ht="15" customHeight="1" x14ac:dyDescent="0.2">
      <c r="E5991" s="18"/>
      <c r="F5991" s="18"/>
    </row>
    <row r="5992" spans="5:6" ht="15" customHeight="1" x14ac:dyDescent="0.2">
      <c r="E5992" s="18"/>
      <c r="F5992" s="18"/>
    </row>
    <row r="5993" spans="5:6" ht="15" customHeight="1" x14ac:dyDescent="0.2">
      <c r="E5993" s="18"/>
      <c r="F5993" s="18"/>
    </row>
    <row r="5994" spans="5:6" ht="15" customHeight="1" x14ac:dyDescent="0.2">
      <c r="E5994" s="18"/>
      <c r="F5994" s="18"/>
    </row>
    <row r="5995" spans="5:6" ht="15" customHeight="1" x14ac:dyDescent="0.2">
      <c r="E5995" s="18"/>
      <c r="F5995" s="18"/>
    </row>
    <row r="5996" spans="5:6" ht="15" customHeight="1" x14ac:dyDescent="0.2">
      <c r="E5996" s="18"/>
      <c r="F5996" s="18"/>
    </row>
    <row r="5997" spans="5:6" ht="15" customHeight="1" x14ac:dyDescent="0.2">
      <c r="E5997" s="18"/>
      <c r="F5997" s="18"/>
    </row>
    <row r="5998" spans="5:6" ht="15" customHeight="1" x14ac:dyDescent="0.2">
      <c r="E5998" s="18"/>
      <c r="F5998" s="18"/>
    </row>
    <row r="5999" spans="5:6" ht="15" customHeight="1" x14ac:dyDescent="0.2">
      <c r="E5999" s="18"/>
      <c r="F5999" s="18"/>
    </row>
    <row r="6000" spans="5:6" ht="15" customHeight="1" x14ac:dyDescent="0.2">
      <c r="E6000" s="18"/>
      <c r="F6000" s="18"/>
    </row>
    <row r="6001" spans="5:6" ht="15" customHeight="1" x14ac:dyDescent="0.2">
      <c r="E6001" s="18"/>
      <c r="F6001" s="18"/>
    </row>
    <row r="6002" spans="5:6" ht="15" customHeight="1" x14ac:dyDescent="0.2">
      <c r="E6002" s="18"/>
      <c r="F6002" s="18"/>
    </row>
    <row r="6003" spans="5:6" ht="15" customHeight="1" x14ac:dyDescent="0.2">
      <c r="E6003" s="18"/>
      <c r="F6003" s="18"/>
    </row>
    <row r="6004" spans="5:6" ht="15" customHeight="1" x14ac:dyDescent="0.2">
      <c r="E6004" s="18"/>
      <c r="F6004" s="18"/>
    </row>
    <row r="6005" spans="5:6" ht="15" customHeight="1" x14ac:dyDescent="0.2">
      <c r="E6005" s="18"/>
      <c r="F6005" s="18"/>
    </row>
    <row r="6006" spans="5:6" ht="15" customHeight="1" x14ac:dyDescent="0.2">
      <c r="E6006" s="18"/>
      <c r="F6006" s="18"/>
    </row>
    <row r="6007" spans="5:6" ht="15" customHeight="1" x14ac:dyDescent="0.2">
      <c r="E6007" s="18"/>
      <c r="F6007" s="18"/>
    </row>
    <row r="6008" spans="5:6" ht="15" customHeight="1" x14ac:dyDescent="0.2">
      <c r="E6008" s="18"/>
      <c r="F6008" s="18"/>
    </row>
    <row r="6009" spans="5:6" ht="15" customHeight="1" x14ac:dyDescent="0.2">
      <c r="E6009" s="18"/>
      <c r="F6009" s="18"/>
    </row>
    <row r="6010" spans="5:6" ht="15" customHeight="1" x14ac:dyDescent="0.2">
      <c r="E6010" s="18"/>
      <c r="F6010" s="18"/>
    </row>
    <row r="6011" spans="5:6" ht="15" customHeight="1" x14ac:dyDescent="0.2">
      <c r="E6011" s="18"/>
      <c r="F6011" s="18"/>
    </row>
    <row r="6012" spans="5:6" ht="15" customHeight="1" x14ac:dyDescent="0.2">
      <c r="E6012" s="18"/>
      <c r="F6012" s="18"/>
    </row>
    <row r="6013" spans="5:6" ht="15" customHeight="1" x14ac:dyDescent="0.2">
      <c r="E6013" s="18"/>
      <c r="F6013" s="18"/>
    </row>
    <row r="6014" spans="5:6" ht="15" customHeight="1" x14ac:dyDescent="0.2">
      <c r="E6014" s="18"/>
      <c r="F6014" s="18"/>
    </row>
    <row r="6015" spans="5:6" ht="15" customHeight="1" x14ac:dyDescent="0.2">
      <c r="E6015" s="18"/>
      <c r="F6015" s="18"/>
    </row>
    <row r="6016" spans="5:6" ht="15" customHeight="1" x14ac:dyDescent="0.2">
      <c r="E6016" s="18"/>
      <c r="F6016" s="18"/>
    </row>
    <row r="6017" spans="5:6" ht="15" customHeight="1" x14ac:dyDescent="0.2">
      <c r="E6017" s="18"/>
      <c r="F6017" s="18"/>
    </row>
    <row r="6018" spans="5:6" ht="15" customHeight="1" x14ac:dyDescent="0.2">
      <c r="E6018" s="18"/>
      <c r="F6018" s="18"/>
    </row>
    <row r="6019" spans="5:6" ht="15" customHeight="1" x14ac:dyDescent="0.2">
      <c r="E6019" s="18"/>
      <c r="F6019" s="18"/>
    </row>
    <row r="6020" spans="5:6" ht="15" customHeight="1" x14ac:dyDescent="0.2">
      <c r="E6020" s="18"/>
      <c r="F6020" s="18"/>
    </row>
    <row r="6021" spans="5:6" ht="15" customHeight="1" x14ac:dyDescent="0.2">
      <c r="E6021" s="18"/>
      <c r="F6021" s="18"/>
    </row>
    <row r="6022" spans="5:6" ht="15" customHeight="1" x14ac:dyDescent="0.2">
      <c r="E6022" s="18"/>
      <c r="F6022" s="18"/>
    </row>
    <row r="6023" spans="5:6" ht="15" customHeight="1" x14ac:dyDescent="0.2">
      <c r="E6023" s="18"/>
      <c r="F6023" s="18"/>
    </row>
    <row r="6024" spans="5:6" ht="15" customHeight="1" x14ac:dyDescent="0.2">
      <c r="E6024" s="18"/>
      <c r="F6024" s="18"/>
    </row>
    <row r="6025" spans="5:6" ht="15" customHeight="1" x14ac:dyDescent="0.2">
      <c r="E6025" s="18"/>
      <c r="F6025" s="18"/>
    </row>
    <row r="6026" spans="5:6" ht="15" customHeight="1" x14ac:dyDescent="0.2">
      <c r="E6026" s="18"/>
      <c r="F6026" s="18"/>
    </row>
    <row r="6027" spans="5:6" ht="15" customHeight="1" x14ac:dyDescent="0.2">
      <c r="E6027" s="18"/>
      <c r="F6027" s="18"/>
    </row>
    <row r="6028" spans="5:6" ht="15" customHeight="1" x14ac:dyDescent="0.2">
      <c r="E6028" s="18"/>
      <c r="F6028" s="18"/>
    </row>
    <row r="6029" spans="5:6" ht="15" customHeight="1" x14ac:dyDescent="0.2">
      <c r="E6029" s="18"/>
      <c r="F6029" s="18"/>
    </row>
    <row r="6030" spans="5:6" ht="15" customHeight="1" x14ac:dyDescent="0.2">
      <c r="E6030" s="18"/>
      <c r="F6030" s="18"/>
    </row>
    <row r="6031" spans="5:6" ht="15" customHeight="1" x14ac:dyDescent="0.2">
      <c r="E6031" s="18"/>
      <c r="F6031" s="18"/>
    </row>
    <row r="6032" spans="5:6" ht="15" customHeight="1" x14ac:dyDescent="0.2">
      <c r="E6032" s="18"/>
      <c r="F6032" s="18"/>
    </row>
    <row r="6033" spans="5:6" ht="15" customHeight="1" x14ac:dyDescent="0.2">
      <c r="E6033" s="18"/>
      <c r="F6033" s="18"/>
    </row>
    <row r="6034" spans="5:6" ht="15" customHeight="1" x14ac:dyDescent="0.2">
      <c r="E6034" s="18"/>
      <c r="F6034" s="18"/>
    </row>
    <row r="6035" spans="5:6" ht="15" customHeight="1" x14ac:dyDescent="0.2">
      <c r="E6035" s="18"/>
      <c r="F6035" s="18"/>
    </row>
    <row r="6036" spans="5:6" ht="15" customHeight="1" x14ac:dyDescent="0.2">
      <c r="E6036" s="18"/>
      <c r="F6036" s="18"/>
    </row>
    <row r="6037" spans="5:6" ht="15" customHeight="1" x14ac:dyDescent="0.2">
      <c r="E6037" s="18"/>
      <c r="F6037" s="18"/>
    </row>
    <row r="6038" spans="5:6" ht="15" customHeight="1" x14ac:dyDescent="0.2">
      <c r="E6038" s="18"/>
      <c r="F6038" s="18"/>
    </row>
    <row r="6039" spans="5:6" ht="15" customHeight="1" x14ac:dyDescent="0.2">
      <c r="E6039" s="18"/>
      <c r="F6039" s="18"/>
    </row>
    <row r="6040" spans="5:6" ht="15" customHeight="1" x14ac:dyDescent="0.2">
      <c r="E6040" s="18"/>
      <c r="F6040" s="18"/>
    </row>
    <row r="6041" spans="5:6" ht="15" customHeight="1" x14ac:dyDescent="0.2">
      <c r="E6041" s="18"/>
      <c r="F6041" s="18"/>
    </row>
    <row r="6042" spans="5:6" ht="15" customHeight="1" x14ac:dyDescent="0.2">
      <c r="E6042" s="18"/>
      <c r="F6042" s="18"/>
    </row>
    <row r="6043" spans="5:6" ht="15" customHeight="1" x14ac:dyDescent="0.2">
      <c r="E6043" s="18"/>
      <c r="F6043" s="18"/>
    </row>
    <row r="6044" spans="5:6" ht="15" customHeight="1" x14ac:dyDescent="0.2">
      <c r="E6044" s="18"/>
      <c r="F6044" s="18"/>
    </row>
    <row r="6045" spans="5:6" ht="15" customHeight="1" x14ac:dyDescent="0.2">
      <c r="E6045" s="18"/>
      <c r="F6045" s="18"/>
    </row>
    <row r="6046" spans="5:6" ht="15" customHeight="1" x14ac:dyDescent="0.2">
      <c r="E6046" s="18"/>
      <c r="F6046" s="18"/>
    </row>
    <row r="6047" spans="5:6" ht="15" customHeight="1" x14ac:dyDescent="0.2">
      <c r="E6047" s="18"/>
      <c r="F6047" s="18"/>
    </row>
    <row r="6048" spans="5:6" ht="15" customHeight="1" x14ac:dyDescent="0.2">
      <c r="E6048" s="18"/>
      <c r="F6048" s="18"/>
    </row>
    <row r="6049" spans="5:6" ht="15" customHeight="1" x14ac:dyDescent="0.2">
      <c r="E6049" s="18"/>
      <c r="F6049" s="18"/>
    </row>
    <row r="6050" spans="5:6" ht="15" customHeight="1" x14ac:dyDescent="0.2">
      <c r="E6050" s="18"/>
      <c r="F6050" s="18"/>
    </row>
    <row r="6051" spans="5:6" ht="15" customHeight="1" x14ac:dyDescent="0.2">
      <c r="E6051" s="18"/>
      <c r="F6051" s="18"/>
    </row>
    <row r="6052" spans="5:6" ht="15" customHeight="1" x14ac:dyDescent="0.2">
      <c r="E6052" s="18"/>
      <c r="F6052" s="18"/>
    </row>
    <row r="6053" spans="5:6" ht="15" customHeight="1" x14ac:dyDescent="0.2">
      <c r="E6053" s="18"/>
      <c r="F6053" s="18"/>
    </row>
    <row r="6054" spans="5:6" ht="15" customHeight="1" x14ac:dyDescent="0.2">
      <c r="E6054" s="18"/>
      <c r="F6054" s="18"/>
    </row>
    <row r="6055" spans="5:6" ht="15" customHeight="1" x14ac:dyDescent="0.2">
      <c r="E6055" s="18"/>
      <c r="F6055" s="18"/>
    </row>
    <row r="6056" spans="5:6" ht="15" customHeight="1" x14ac:dyDescent="0.2">
      <c r="E6056" s="18"/>
      <c r="F6056" s="18"/>
    </row>
    <row r="6057" spans="5:6" ht="15" customHeight="1" x14ac:dyDescent="0.2">
      <c r="E6057" s="18"/>
      <c r="F6057" s="18"/>
    </row>
    <row r="6058" spans="5:6" ht="15" customHeight="1" x14ac:dyDescent="0.2">
      <c r="E6058" s="18"/>
      <c r="F6058" s="18"/>
    </row>
    <row r="6059" spans="5:6" ht="15" customHeight="1" x14ac:dyDescent="0.2">
      <c r="E6059" s="18"/>
      <c r="F6059" s="18"/>
    </row>
    <row r="6060" spans="5:6" ht="15" customHeight="1" x14ac:dyDescent="0.2">
      <c r="E6060" s="18"/>
      <c r="F6060" s="18"/>
    </row>
    <row r="6061" spans="5:6" ht="15" customHeight="1" x14ac:dyDescent="0.2">
      <c r="E6061" s="18"/>
      <c r="F6061" s="18"/>
    </row>
    <row r="6062" spans="5:6" ht="15" customHeight="1" x14ac:dyDescent="0.2">
      <c r="E6062" s="18"/>
      <c r="F6062" s="18"/>
    </row>
    <row r="6063" spans="5:6" ht="15" customHeight="1" x14ac:dyDescent="0.2">
      <c r="E6063" s="18"/>
      <c r="F6063" s="18"/>
    </row>
    <row r="6064" spans="5:6" ht="15" customHeight="1" x14ac:dyDescent="0.2">
      <c r="E6064" s="18"/>
      <c r="F6064" s="18"/>
    </row>
    <row r="6065" spans="5:6" ht="15" customHeight="1" x14ac:dyDescent="0.2">
      <c r="E6065" s="18"/>
      <c r="F6065" s="18"/>
    </row>
    <row r="6066" spans="5:6" ht="15" customHeight="1" x14ac:dyDescent="0.2">
      <c r="E6066" s="18"/>
      <c r="F6066" s="18"/>
    </row>
    <row r="6067" spans="5:6" ht="15" customHeight="1" x14ac:dyDescent="0.2">
      <c r="E6067" s="18"/>
      <c r="F6067" s="18"/>
    </row>
    <row r="6068" spans="5:6" ht="15" customHeight="1" x14ac:dyDescent="0.2">
      <c r="E6068" s="18"/>
      <c r="F6068" s="18"/>
    </row>
    <row r="6069" spans="5:6" ht="15" customHeight="1" x14ac:dyDescent="0.2">
      <c r="E6069" s="18"/>
      <c r="F6069" s="18"/>
    </row>
    <row r="6070" spans="5:6" ht="15" customHeight="1" x14ac:dyDescent="0.2">
      <c r="E6070" s="18"/>
      <c r="F6070" s="18"/>
    </row>
    <row r="6071" spans="5:6" ht="15" customHeight="1" x14ac:dyDescent="0.2">
      <c r="E6071" s="18"/>
      <c r="F6071" s="18"/>
    </row>
    <row r="6072" spans="5:6" ht="15" customHeight="1" x14ac:dyDescent="0.2">
      <c r="E6072" s="18"/>
      <c r="F6072" s="18"/>
    </row>
    <row r="6073" spans="5:6" ht="15" customHeight="1" x14ac:dyDescent="0.2">
      <c r="E6073" s="18"/>
      <c r="F6073" s="18"/>
    </row>
    <row r="6074" spans="5:6" ht="15" customHeight="1" x14ac:dyDescent="0.2">
      <c r="E6074" s="18"/>
      <c r="F6074" s="18"/>
    </row>
    <row r="6075" spans="5:6" ht="15" customHeight="1" x14ac:dyDescent="0.2">
      <c r="E6075" s="18"/>
      <c r="F6075" s="18"/>
    </row>
    <row r="6076" spans="5:6" ht="15" customHeight="1" x14ac:dyDescent="0.2">
      <c r="E6076" s="18"/>
      <c r="F6076" s="18"/>
    </row>
    <row r="6077" spans="5:6" ht="15" customHeight="1" x14ac:dyDescent="0.2">
      <c r="E6077" s="18"/>
      <c r="F6077" s="18"/>
    </row>
    <row r="6078" spans="5:6" ht="15" customHeight="1" x14ac:dyDescent="0.2">
      <c r="E6078" s="18"/>
      <c r="F6078" s="18"/>
    </row>
    <row r="6079" spans="5:6" ht="15" customHeight="1" x14ac:dyDescent="0.2">
      <c r="E6079" s="18"/>
      <c r="F6079" s="18"/>
    </row>
    <row r="6080" spans="5:6" ht="15" customHeight="1" x14ac:dyDescent="0.2">
      <c r="E6080" s="18"/>
      <c r="F6080" s="18"/>
    </row>
    <row r="6081" spans="5:6" ht="15" customHeight="1" x14ac:dyDescent="0.2">
      <c r="E6081" s="18"/>
      <c r="F6081" s="18"/>
    </row>
    <row r="6082" spans="5:6" ht="15" customHeight="1" x14ac:dyDescent="0.2">
      <c r="E6082" s="18"/>
      <c r="F6082" s="18"/>
    </row>
    <row r="6083" spans="5:6" ht="15" customHeight="1" x14ac:dyDescent="0.2">
      <c r="E6083" s="18"/>
      <c r="F6083" s="18"/>
    </row>
    <row r="6084" spans="5:6" ht="15" customHeight="1" x14ac:dyDescent="0.2">
      <c r="E6084" s="18"/>
      <c r="F6084" s="18"/>
    </row>
    <row r="6085" spans="5:6" ht="15" customHeight="1" x14ac:dyDescent="0.2">
      <c r="E6085" s="18"/>
      <c r="F6085" s="18"/>
    </row>
    <row r="6086" spans="5:6" ht="15" customHeight="1" x14ac:dyDescent="0.2">
      <c r="E6086" s="18"/>
      <c r="F6086" s="18"/>
    </row>
    <row r="6087" spans="5:6" ht="15" customHeight="1" x14ac:dyDescent="0.2">
      <c r="E6087" s="18"/>
      <c r="F6087" s="18"/>
    </row>
    <row r="6088" spans="5:6" ht="15" customHeight="1" x14ac:dyDescent="0.2">
      <c r="E6088" s="18"/>
      <c r="F6088" s="18"/>
    </row>
    <row r="6089" spans="5:6" ht="15" customHeight="1" x14ac:dyDescent="0.2">
      <c r="E6089" s="18"/>
      <c r="F6089" s="18"/>
    </row>
    <row r="6090" spans="5:6" ht="15" customHeight="1" x14ac:dyDescent="0.2">
      <c r="E6090" s="18"/>
      <c r="F6090" s="18"/>
    </row>
    <row r="6091" spans="5:6" ht="15" customHeight="1" x14ac:dyDescent="0.2">
      <c r="E6091" s="18"/>
      <c r="F6091" s="18"/>
    </row>
    <row r="6092" spans="5:6" ht="15" customHeight="1" x14ac:dyDescent="0.2">
      <c r="E6092" s="18"/>
      <c r="F6092" s="18"/>
    </row>
    <row r="6093" spans="5:6" ht="15" customHeight="1" x14ac:dyDescent="0.2">
      <c r="E6093" s="18"/>
      <c r="F6093" s="18"/>
    </row>
    <row r="6094" spans="5:6" ht="15" customHeight="1" x14ac:dyDescent="0.2">
      <c r="E6094" s="18"/>
      <c r="F6094" s="18"/>
    </row>
    <row r="6095" spans="5:6" ht="15" customHeight="1" x14ac:dyDescent="0.2">
      <c r="E6095" s="18"/>
      <c r="F6095" s="18"/>
    </row>
    <row r="6096" spans="5:6" ht="15" customHeight="1" x14ac:dyDescent="0.2">
      <c r="E6096" s="18"/>
      <c r="F6096" s="18"/>
    </row>
    <row r="6097" spans="5:6" ht="15" customHeight="1" x14ac:dyDescent="0.2">
      <c r="E6097" s="18"/>
      <c r="F6097" s="18"/>
    </row>
    <row r="6098" spans="5:6" ht="15" customHeight="1" x14ac:dyDescent="0.2">
      <c r="E6098" s="18"/>
      <c r="F6098" s="18"/>
    </row>
    <row r="6099" spans="5:6" ht="15" customHeight="1" x14ac:dyDescent="0.2">
      <c r="E6099" s="18"/>
      <c r="F6099" s="18"/>
    </row>
    <row r="6100" spans="5:6" ht="15" customHeight="1" x14ac:dyDescent="0.2">
      <c r="E6100" s="18"/>
      <c r="F6100" s="18"/>
    </row>
    <row r="6101" spans="5:6" ht="15" customHeight="1" x14ac:dyDescent="0.2">
      <c r="E6101" s="18"/>
      <c r="F6101" s="18"/>
    </row>
    <row r="6102" spans="5:6" ht="15" customHeight="1" x14ac:dyDescent="0.2">
      <c r="E6102" s="18"/>
      <c r="F6102" s="18"/>
    </row>
    <row r="6103" spans="5:6" ht="15" customHeight="1" x14ac:dyDescent="0.2">
      <c r="E6103" s="18"/>
      <c r="F6103" s="18"/>
    </row>
    <row r="6104" spans="5:6" ht="15" customHeight="1" x14ac:dyDescent="0.2">
      <c r="E6104" s="18"/>
      <c r="F6104" s="18"/>
    </row>
    <row r="6105" spans="5:6" ht="15" customHeight="1" x14ac:dyDescent="0.2">
      <c r="E6105" s="18"/>
      <c r="F6105" s="18"/>
    </row>
    <row r="6106" spans="5:6" ht="15" customHeight="1" x14ac:dyDescent="0.2">
      <c r="E6106" s="18"/>
      <c r="F6106" s="18"/>
    </row>
    <row r="6107" spans="5:6" ht="15" customHeight="1" x14ac:dyDescent="0.2">
      <c r="E6107" s="18"/>
      <c r="F6107" s="18"/>
    </row>
    <row r="6108" spans="5:6" ht="15" customHeight="1" x14ac:dyDescent="0.2">
      <c r="E6108" s="18"/>
      <c r="F6108" s="18"/>
    </row>
    <row r="6109" spans="5:6" ht="15" customHeight="1" x14ac:dyDescent="0.2">
      <c r="E6109" s="18"/>
      <c r="F6109" s="18"/>
    </row>
    <row r="6110" spans="5:6" ht="15" customHeight="1" x14ac:dyDescent="0.2">
      <c r="E6110" s="18"/>
      <c r="F6110" s="18"/>
    </row>
    <row r="6111" spans="5:6" ht="15" customHeight="1" x14ac:dyDescent="0.2">
      <c r="E6111" s="18"/>
      <c r="F6111" s="18"/>
    </row>
    <row r="6112" spans="5:6" ht="15" customHeight="1" x14ac:dyDescent="0.2">
      <c r="E6112" s="18"/>
      <c r="F6112" s="18"/>
    </row>
    <row r="6113" spans="5:6" ht="15" customHeight="1" x14ac:dyDescent="0.2">
      <c r="E6113" s="18"/>
      <c r="F6113" s="18"/>
    </row>
    <row r="6114" spans="5:6" ht="15" customHeight="1" x14ac:dyDescent="0.2">
      <c r="E6114" s="18"/>
      <c r="F6114" s="18"/>
    </row>
    <row r="6115" spans="5:6" ht="15" customHeight="1" x14ac:dyDescent="0.2">
      <c r="E6115" s="18"/>
      <c r="F6115" s="18"/>
    </row>
    <row r="6116" spans="5:6" ht="15" customHeight="1" x14ac:dyDescent="0.2">
      <c r="E6116" s="18"/>
      <c r="F6116" s="18"/>
    </row>
    <row r="6117" spans="5:6" ht="15" customHeight="1" x14ac:dyDescent="0.2">
      <c r="E6117" s="18"/>
      <c r="F6117" s="18"/>
    </row>
    <row r="6118" spans="5:6" ht="15" customHeight="1" x14ac:dyDescent="0.2">
      <c r="E6118" s="18"/>
      <c r="F6118" s="18"/>
    </row>
    <row r="6119" spans="5:6" ht="15" customHeight="1" x14ac:dyDescent="0.2">
      <c r="E6119" s="18"/>
      <c r="F6119" s="18"/>
    </row>
    <row r="6120" spans="5:6" ht="15" customHeight="1" x14ac:dyDescent="0.2">
      <c r="E6120" s="18"/>
      <c r="F6120" s="18"/>
    </row>
    <row r="6121" spans="5:6" ht="15" customHeight="1" x14ac:dyDescent="0.2">
      <c r="E6121" s="18"/>
      <c r="F6121" s="18"/>
    </row>
    <row r="6122" spans="5:6" ht="15" customHeight="1" x14ac:dyDescent="0.2">
      <c r="E6122" s="18"/>
      <c r="F6122" s="18"/>
    </row>
    <row r="6123" spans="5:6" ht="15" customHeight="1" x14ac:dyDescent="0.2">
      <c r="E6123" s="18"/>
      <c r="F6123" s="18"/>
    </row>
    <row r="6124" spans="5:6" ht="15" customHeight="1" x14ac:dyDescent="0.2">
      <c r="E6124" s="18"/>
      <c r="F6124" s="18"/>
    </row>
    <row r="6125" spans="5:6" ht="15" customHeight="1" x14ac:dyDescent="0.2">
      <c r="E6125" s="18"/>
      <c r="F6125" s="18"/>
    </row>
    <row r="6126" spans="5:6" ht="15" customHeight="1" x14ac:dyDescent="0.2">
      <c r="E6126" s="18"/>
      <c r="F6126" s="18"/>
    </row>
    <row r="6127" spans="5:6" ht="15" customHeight="1" x14ac:dyDescent="0.2">
      <c r="E6127" s="18"/>
      <c r="F6127" s="18"/>
    </row>
    <row r="6128" spans="5:6" ht="15" customHeight="1" x14ac:dyDescent="0.2">
      <c r="E6128" s="18"/>
      <c r="F6128" s="18"/>
    </row>
    <row r="6129" spans="5:6" ht="15" customHeight="1" x14ac:dyDescent="0.2">
      <c r="E6129" s="18"/>
      <c r="F6129" s="18"/>
    </row>
    <row r="6130" spans="5:6" ht="15" customHeight="1" x14ac:dyDescent="0.2">
      <c r="E6130" s="18"/>
      <c r="F6130" s="18"/>
    </row>
    <row r="6131" spans="5:6" ht="15" customHeight="1" x14ac:dyDescent="0.2">
      <c r="E6131" s="18"/>
      <c r="F6131" s="18"/>
    </row>
    <row r="6132" spans="5:6" ht="15" customHeight="1" x14ac:dyDescent="0.2">
      <c r="E6132" s="18"/>
      <c r="F6132" s="18"/>
    </row>
    <row r="6133" spans="5:6" ht="15" customHeight="1" x14ac:dyDescent="0.2">
      <c r="E6133" s="18"/>
      <c r="F6133" s="18"/>
    </row>
    <row r="6134" spans="5:6" ht="15" customHeight="1" x14ac:dyDescent="0.2">
      <c r="E6134" s="18"/>
      <c r="F6134" s="18"/>
    </row>
    <row r="6135" spans="5:6" ht="15" customHeight="1" x14ac:dyDescent="0.2">
      <c r="E6135" s="18"/>
      <c r="F6135" s="18"/>
    </row>
    <row r="6136" spans="5:6" ht="15" customHeight="1" x14ac:dyDescent="0.2">
      <c r="E6136" s="18"/>
      <c r="F6136" s="18"/>
    </row>
    <row r="6137" spans="5:6" ht="15" customHeight="1" x14ac:dyDescent="0.2">
      <c r="E6137" s="18"/>
      <c r="F6137" s="18"/>
    </row>
    <row r="6138" spans="5:6" ht="15" customHeight="1" x14ac:dyDescent="0.2">
      <c r="E6138" s="18"/>
      <c r="F6138" s="18"/>
    </row>
    <row r="6139" spans="5:6" ht="15" customHeight="1" x14ac:dyDescent="0.2">
      <c r="E6139" s="18"/>
      <c r="F6139" s="18"/>
    </row>
    <row r="6140" spans="5:6" ht="15" customHeight="1" x14ac:dyDescent="0.2">
      <c r="E6140" s="18"/>
      <c r="F6140" s="18"/>
    </row>
    <row r="6141" spans="5:6" ht="15" customHeight="1" x14ac:dyDescent="0.2">
      <c r="E6141" s="18"/>
      <c r="F6141" s="18"/>
    </row>
    <row r="6142" spans="5:6" ht="15" customHeight="1" x14ac:dyDescent="0.2">
      <c r="E6142" s="18"/>
      <c r="F6142" s="18"/>
    </row>
    <row r="6143" spans="5:6" ht="15" customHeight="1" x14ac:dyDescent="0.2">
      <c r="E6143" s="18"/>
      <c r="F6143" s="18"/>
    </row>
    <row r="6144" spans="5:6" ht="15" customHeight="1" x14ac:dyDescent="0.2">
      <c r="E6144" s="18"/>
      <c r="F6144" s="18"/>
    </row>
    <row r="6145" spans="5:6" ht="15" customHeight="1" x14ac:dyDescent="0.2">
      <c r="E6145" s="18"/>
      <c r="F6145" s="18"/>
    </row>
    <row r="6146" spans="5:6" ht="15" customHeight="1" x14ac:dyDescent="0.2">
      <c r="E6146" s="18"/>
      <c r="F6146" s="18"/>
    </row>
    <row r="6147" spans="5:6" ht="15" customHeight="1" x14ac:dyDescent="0.2">
      <c r="E6147" s="18"/>
      <c r="F6147" s="18"/>
    </row>
    <row r="6148" spans="5:6" ht="15" customHeight="1" x14ac:dyDescent="0.2">
      <c r="E6148" s="18"/>
      <c r="F6148" s="18"/>
    </row>
    <row r="6149" spans="5:6" ht="15" customHeight="1" x14ac:dyDescent="0.2">
      <c r="E6149" s="18"/>
      <c r="F6149" s="18"/>
    </row>
    <row r="6150" spans="5:6" ht="15" customHeight="1" x14ac:dyDescent="0.2">
      <c r="E6150" s="18"/>
      <c r="F6150" s="18"/>
    </row>
    <row r="6151" spans="5:6" ht="15" customHeight="1" x14ac:dyDescent="0.2">
      <c r="E6151" s="18"/>
      <c r="F6151" s="18"/>
    </row>
    <row r="6152" spans="5:6" ht="15" customHeight="1" x14ac:dyDescent="0.2">
      <c r="E6152" s="18"/>
      <c r="F6152" s="18"/>
    </row>
    <row r="6153" spans="5:6" ht="15" customHeight="1" x14ac:dyDescent="0.2">
      <c r="E6153" s="18"/>
      <c r="F6153" s="18"/>
    </row>
    <row r="6154" spans="5:6" ht="15" customHeight="1" x14ac:dyDescent="0.2">
      <c r="E6154" s="18"/>
      <c r="F6154" s="18"/>
    </row>
    <row r="6155" spans="5:6" ht="15" customHeight="1" x14ac:dyDescent="0.2">
      <c r="E6155" s="18"/>
      <c r="F6155" s="18"/>
    </row>
    <row r="6156" spans="5:6" ht="15" customHeight="1" x14ac:dyDescent="0.2">
      <c r="E6156" s="18"/>
      <c r="F6156" s="18"/>
    </row>
    <row r="6157" spans="5:6" ht="15" customHeight="1" x14ac:dyDescent="0.2">
      <c r="E6157" s="18"/>
      <c r="F6157" s="18"/>
    </row>
    <row r="6158" spans="5:6" ht="15" customHeight="1" x14ac:dyDescent="0.2">
      <c r="E6158" s="18"/>
      <c r="F6158" s="18"/>
    </row>
    <row r="6159" spans="5:6" ht="15" customHeight="1" x14ac:dyDescent="0.2">
      <c r="E6159" s="18"/>
      <c r="F6159" s="18"/>
    </row>
    <row r="6160" spans="5:6" ht="15" customHeight="1" x14ac:dyDescent="0.2">
      <c r="E6160" s="18"/>
      <c r="F6160" s="18"/>
    </row>
    <row r="6161" spans="5:6" ht="15" customHeight="1" x14ac:dyDescent="0.2">
      <c r="E6161" s="18"/>
      <c r="F6161" s="18"/>
    </row>
    <row r="6162" spans="5:6" ht="15" customHeight="1" x14ac:dyDescent="0.2">
      <c r="E6162" s="18"/>
      <c r="F6162" s="18"/>
    </row>
    <row r="6163" spans="5:6" ht="15" customHeight="1" x14ac:dyDescent="0.2">
      <c r="E6163" s="18"/>
      <c r="F6163" s="18"/>
    </row>
    <row r="6164" spans="5:6" ht="15" customHeight="1" x14ac:dyDescent="0.2">
      <c r="E6164" s="18"/>
      <c r="F6164" s="18"/>
    </row>
    <row r="6165" spans="5:6" ht="15" customHeight="1" x14ac:dyDescent="0.2">
      <c r="E6165" s="18"/>
      <c r="F6165" s="18"/>
    </row>
    <row r="6166" spans="5:6" ht="15" customHeight="1" x14ac:dyDescent="0.2">
      <c r="E6166" s="18"/>
      <c r="F6166" s="18"/>
    </row>
    <row r="6167" spans="5:6" ht="15" customHeight="1" x14ac:dyDescent="0.2">
      <c r="E6167" s="18"/>
      <c r="F6167" s="18"/>
    </row>
    <row r="6168" spans="5:6" ht="15" customHeight="1" x14ac:dyDescent="0.2">
      <c r="E6168" s="18"/>
      <c r="F6168" s="18"/>
    </row>
    <row r="6169" spans="5:6" ht="15" customHeight="1" x14ac:dyDescent="0.2">
      <c r="E6169" s="18"/>
      <c r="F6169" s="18"/>
    </row>
    <row r="6170" spans="5:6" ht="15" customHeight="1" x14ac:dyDescent="0.2">
      <c r="E6170" s="18"/>
      <c r="F6170" s="18"/>
    </row>
    <row r="6171" spans="5:6" ht="15" customHeight="1" x14ac:dyDescent="0.2">
      <c r="E6171" s="18"/>
      <c r="F6171" s="18"/>
    </row>
    <row r="6172" spans="5:6" ht="15" customHeight="1" x14ac:dyDescent="0.2">
      <c r="E6172" s="18"/>
      <c r="F6172" s="18"/>
    </row>
    <row r="6173" spans="5:6" ht="15" customHeight="1" x14ac:dyDescent="0.2">
      <c r="E6173" s="18"/>
      <c r="F6173" s="18"/>
    </row>
    <row r="6174" spans="5:6" ht="15" customHeight="1" x14ac:dyDescent="0.2">
      <c r="E6174" s="18"/>
      <c r="F6174" s="18"/>
    </row>
    <row r="6175" spans="5:6" ht="15" customHeight="1" x14ac:dyDescent="0.2">
      <c r="E6175" s="18"/>
      <c r="F6175" s="18"/>
    </row>
    <row r="6176" spans="5:6" ht="15" customHeight="1" x14ac:dyDescent="0.2">
      <c r="E6176" s="18"/>
      <c r="F6176" s="18"/>
    </row>
    <row r="6177" spans="5:6" ht="15" customHeight="1" x14ac:dyDescent="0.2">
      <c r="E6177" s="18"/>
      <c r="F6177" s="18"/>
    </row>
    <row r="6178" spans="5:6" ht="15" customHeight="1" x14ac:dyDescent="0.2">
      <c r="E6178" s="18"/>
      <c r="F6178" s="18"/>
    </row>
    <row r="6179" spans="5:6" ht="15" customHeight="1" x14ac:dyDescent="0.2">
      <c r="E6179" s="18"/>
      <c r="F6179" s="18"/>
    </row>
    <row r="6180" spans="5:6" ht="15" customHeight="1" x14ac:dyDescent="0.2">
      <c r="E6180" s="18"/>
      <c r="F6180" s="18"/>
    </row>
    <row r="6181" spans="5:6" ht="15" customHeight="1" x14ac:dyDescent="0.2">
      <c r="E6181" s="18"/>
      <c r="F6181" s="18"/>
    </row>
    <row r="6182" spans="5:6" ht="15" customHeight="1" x14ac:dyDescent="0.2">
      <c r="E6182" s="18"/>
      <c r="F6182" s="18"/>
    </row>
    <row r="6183" spans="5:6" ht="15" customHeight="1" x14ac:dyDescent="0.2">
      <c r="E6183" s="18"/>
      <c r="F6183" s="18"/>
    </row>
    <row r="6184" spans="5:6" ht="15" customHeight="1" x14ac:dyDescent="0.2">
      <c r="E6184" s="18"/>
      <c r="F6184" s="18"/>
    </row>
    <row r="6185" spans="5:6" ht="15" customHeight="1" x14ac:dyDescent="0.2">
      <c r="E6185" s="18"/>
      <c r="F6185" s="18"/>
    </row>
    <row r="6186" spans="5:6" ht="15" customHeight="1" x14ac:dyDescent="0.2">
      <c r="E6186" s="18"/>
      <c r="F6186" s="18"/>
    </row>
    <row r="6187" spans="5:6" ht="15" customHeight="1" x14ac:dyDescent="0.2">
      <c r="E6187" s="18"/>
      <c r="F6187" s="18"/>
    </row>
    <row r="6188" spans="5:6" ht="15" customHeight="1" x14ac:dyDescent="0.2">
      <c r="E6188" s="18"/>
      <c r="F6188" s="18"/>
    </row>
    <row r="6189" spans="5:6" ht="15" customHeight="1" x14ac:dyDescent="0.2">
      <c r="E6189" s="18"/>
      <c r="F6189" s="18"/>
    </row>
    <row r="6190" spans="5:6" ht="15" customHeight="1" x14ac:dyDescent="0.2">
      <c r="E6190" s="18"/>
      <c r="F6190" s="18"/>
    </row>
    <row r="6191" spans="5:6" ht="15" customHeight="1" x14ac:dyDescent="0.2">
      <c r="E6191" s="18"/>
      <c r="F6191" s="18"/>
    </row>
    <row r="6192" spans="5:6" ht="15" customHeight="1" x14ac:dyDescent="0.2">
      <c r="E6192" s="18"/>
      <c r="F6192" s="18"/>
    </row>
    <row r="6193" spans="5:6" ht="15" customHeight="1" x14ac:dyDescent="0.2">
      <c r="E6193" s="18"/>
      <c r="F6193" s="18"/>
    </row>
    <row r="6194" spans="5:6" ht="15" customHeight="1" x14ac:dyDescent="0.2">
      <c r="E6194" s="18"/>
      <c r="F6194" s="18"/>
    </row>
    <row r="6195" spans="5:6" ht="15" customHeight="1" x14ac:dyDescent="0.2">
      <c r="E6195" s="18"/>
      <c r="F6195" s="18"/>
    </row>
    <row r="6196" spans="5:6" ht="15" customHeight="1" x14ac:dyDescent="0.2">
      <c r="E6196" s="18"/>
      <c r="F6196" s="18"/>
    </row>
    <row r="6197" spans="5:6" ht="15" customHeight="1" x14ac:dyDescent="0.2">
      <c r="E6197" s="18"/>
      <c r="F6197" s="18"/>
    </row>
    <row r="6198" spans="5:6" ht="15" customHeight="1" x14ac:dyDescent="0.2">
      <c r="E6198" s="18"/>
      <c r="F6198" s="18"/>
    </row>
    <row r="6199" spans="5:6" ht="15" customHeight="1" x14ac:dyDescent="0.2">
      <c r="E6199" s="18"/>
      <c r="F6199" s="18"/>
    </row>
    <row r="6200" spans="5:6" ht="15" customHeight="1" x14ac:dyDescent="0.2">
      <c r="E6200" s="18"/>
      <c r="F6200" s="18"/>
    </row>
    <row r="6201" spans="5:6" ht="15" customHeight="1" x14ac:dyDescent="0.2">
      <c r="E6201" s="18"/>
      <c r="F6201" s="18"/>
    </row>
    <row r="6202" spans="5:6" ht="15" customHeight="1" x14ac:dyDescent="0.2">
      <c r="E6202" s="18"/>
      <c r="F6202" s="18"/>
    </row>
    <row r="6203" spans="5:6" ht="15" customHeight="1" x14ac:dyDescent="0.2">
      <c r="E6203" s="18"/>
      <c r="F6203" s="18"/>
    </row>
    <row r="6204" spans="5:6" ht="15" customHeight="1" x14ac:dyDescent="0.2">
      <c r="E6204" s="18"/>
      <c r="F6204" s="18"/>
    </row>
    <row r="6205" spans="5:6" ht="15" customHeight="1" x14ac:dyDescent="0.2">
      <c r="E6205" s="18"/>
      <c r="F6205" s="18"/>
    </row>
    <row r="6206" spans="5:6" ht="15" customHeight="1" x14ac:dyDescent="0.2">
      <c r="E6206" s="18"/>
      <c r="F6206" s="18"/>
    </row>
    <row r="6207" spans="5:6" ht="15" customHeight="1" x14ac:dyDescent="0.2">
      <c r="E6207" s="18"/>
      <c r="F6207" s="18"/>
    </row>
    <row r="6208" spans="5:6" ht="15" customHeight="1" x14ac:dyDescent="0.2">
      <c r="E6208" s="18"/>
      <c r="F6208" s="18"/>
    </row>
    <row r="6209" spans="5:6" ht="15" customHeight="1" x14ac:dyDescent="0.2">
      <c r="E6209" s="18"/>
      <c r="F6209" s="18"/>
    </row>
    <row r="6210" spans="5:6" ht="15" customHeight="1" x14ac:dyDescent="0.2">
      <c r="E6210" s="18"/>
      <c r="F6210" s="18"/>
    </row>
    <row r="6211" spans="5:6" ht="15" customHeight="1" x14ac:dyDescent="0.2">
      <c r="E6211" s="18"/>
      <c r="F6211" s="18"/>
    </row>
    <row r="6212" spans="5:6" ht="15" customHeight="1" x14ac:dyDescent="0.2">
      <c r="E6212" s="18"/>
      <c r="F6212" s="18"/>
    </row>
    <row r="6213" spans="5:6" ht="15" customHeight="1" x14ac:dyDescent="0.2">
      <c r="E6213" s="18"/>
      <c r="F6213" s="18"/>
    </row>
    <row r="6214" spans="5:6" ht="15" customHeight="1" x14ac:dyDescent="0.2">
      <c r="E6214" s="18"/>
      <c r="F6214" s="18"/>
    </row>
    <row r="6215" spans="5:6" ht="15" customHeight="1" x14ac:dyDescent="0.2">
      <c r="E6215" s="18"/>
      <c r="F6215" s="18"/>
    </row>
    <row r="6216" spans="5:6" ht="15" customHeight="1" x14ac:dyDescent="0.2">
      <c r="E6216" s="18"/>
      <c r="F6216" s="18"/>
    </row>
    <row r="6217" spans="5:6" ht="15" customHeight="1" x14ac:dyDescent="0.2">
      <c r="E6217" s="18"/>
      <c r="F6217" s="18"/>
    </row>
    <row r="6218" spans="5:6" ht="15" customHeight="1" x14ac:dyDescent="0.2">
      <c r="E6218" s="18"/>
      <c r="F6218" s="18"/>
    </row>
    <row r="6219" spans="5:6" ht="15" customHeight="1" x14ac:dyDescent="0.2">
      <c r="E6219" s="18"/>
      <c r="F6219" s="18"/>
    </row>
    <row r="6220" spans="5:6" ht="15" customHeight="1" x14ac:dyDescent="0.2">
      <c r="E6220" s="18"/>
      <c r="F6220" s="18"/>
    </row>
    <row r="6221" spans="5:6" ht="15" customHeight="1" x14ac:dyDescent="0.2">
      <c r="E6221" s="18"/>
      <c r="F6221" s="18"/>
    </row>
    <row r="6222" spans="5:6" ht="15" customHeight="1" x14ac:dyDescent="0.2">
      <c r="E6222" s="18"/>
      <c r="F6222" s="18"/>
    </row>
    <row r="6223" spans="5:6" ht="15" customHeight="1" x14ac:dyDescent="0.2">
      <c r="E6223" s="18"/>
      <c r="F6223" s="18"/>
    </row>
    <row r="6224" spans="5:6" ht="15" customHeight="1" x14ac:dyDescent="0.2">
      <c r="E6224" s="18"/>
      <c r="F6224" s="18"/>
    </row>
    <row r="6225" spans="5:6" ht="15" customHeight="1" x14ac:dyDescent="0.2">
      <c r="E6225" s="18"/>
      <c r="F6225" s="18"/>
    </row>
    <row r="6226" spans="5:6" ht="15" customHeight="1" x14ac:dyDescent="0.2">
      <c r="E6226" s="18"/>
      <c r="F6226" s="18"/>
    </row>
    <row r="6227" spans="5:6" ht="15" customHeight="1" x14ac:dyDescent="0.2">
      <c r="E6227" s="18"/>
      <c r="F6227" s="18"/>
    </row>
    <row r="6228" spans="5:6" ht="15" customHeight="1" x14ac:dyDescent="0.2">
      <c r="E6228" s="18"/>
      <c r="F6228" s="18"/>
    </row>
    <row r="6229" spans="5:6" ht="15" customHeight="1" x14ac:dyDescent="0.2">
      <c r="E6229" s="18"/>
      <c r="F6229" s="18"/>
    </row>
    <row r="6230" spans="5:6" ht="15" customHeight="1" x14ac:dyDescent="0.2">
      <c r="E6230" s="18"/>
      <c r="F6230" s="18"/>
    </row>
    <row r="6231" spans="5:6" ht="15" customHeight="1" x14ac:dyDescent="0.2">
      <c r="E6231" s="18"/>
      <c r="F6231" s="18"/>
    </row>
    <row r="6232" spans="5:6" ht="15" customHeight="1" x14ac:dyDescent="0.2">
      <c r="E6232" s="18"/>
      <c r="F6232" s="18"/>
    </row>
    <row r="6233" spans="5:6" ht="15" customHeight="1" x14ac:dyDescent="0.2">
      <c r="E6233" s="18"/>
      <c r="F6233" s="18"/>
    </row>
    <row r="6234" spans="5:6" ht="15" customHeight="1" x14ac:dyDescent="0.2">
      <c r="E6234" s="18"/>
      <c r="F6234" s="18"/>
    </row>
    <row r="6235" spans="5:6" ht="15" customHeight="1" x14ac:dyDescent="0.2">
      <c r="E6235" s="18"/>
      <c r="F6235" s="18"/>
    </row>
    <row r="6236" spans="5:6" ht="15" customHeight="1" x14ac:dyDescent="0.2">
      <c r="E6236" s="18"/>
      <c r="F6236" s="18"/>
    </row>
    <row r="6237" spans="5:6" ht="15" customHeight="1" x14ac:dyDescent="0.2">
      <c r="E6237" s="18"/>
      <c r="F6237" s="18"/>
    </row>
    <row r="6238" spans="5:6" ht="15" customHeight="1" x14ac:dyDescent="0.2">
      <c r="E6238" s="18"/>
      <c r="F6238" s="18"/>
    </row>
    <row r="6239" spans="5:6" ht="15" customHeight="1" x14ac:dyDescent="0.2">
      <c r="E6239" s="18"/>
      <c r="F6239" s="18"/>
    </row>
    <row r="6240" spans="5:6" ht="15" customHeight="1" x14ac:dyDescent="0.2">
      <c r="E6240" s="18"/>
      <c r="F6240" s="18"/>
    </row>
    <row r="6241" spans="5:6" ht="15" customHeight="1" x14ac:dyDescent="0.2">
      <c r="E6241" s="18"/>
      <c r="F6241" s="18"/>
    </row>
    <row r="6242" spans="5:6" ht="15" customHeight="1" x14ac:dyDescent="0.2">
      <c r="E6242" s="18"/>
      <c r="F6242" s="18"/>
    </row>
    <row r="6243" spans="5:6" ht="15" customHeight="1" x14ac:dyDescent="0.2">
      <c r="E6243" s="18"/>
      <c r="F6243" s="18"/>
    </row>
    <row r="6244" spans="5:6" ht="15" customHeight="1" x14ac:dyDescent="0.2">
      <c r="E6244" s="18"/>
      <c r="F6244" s="18"/>
    </row>
    <row r="6245" spans="5:6" ht="15" customHeight="1" x14ac:dyDescent="0.2">
      <c r="E6245" s="18"/>
      <c r="F6245" s="18"/>
    </row>
    <row r="6246" spans="5:6" ht="15" customHeight="1" x14ac:dyDescent="0.2">
      <c r="E6246" s="18"/>
      <c r="F6246" s="18"/>
    </row>
    <row r="6247" spans="5:6" ht="15" customHeight="1" x14ac:dyDescent="0.2">
      <c r="E6247" s="18"/>
      <c r="F6247" s="18"/>
    </row>
    <row r="6248" spans="5:6" ht="15" customHeight="1" x14ac:dyDescent="0.2">
      <c r="E6248" s="18"/>
      <c r="F6248" s="18"/>
    </row>
    <row r="6249" spans="5:6" ht="15" customHeight="1" x14ac:dyDescent="0.2">
      <c r="E6249" s="18"/>
      <c r="F6249" s="18"/>
    </row>
    <row r="6250" spans="5:6" ht="15" customHeight="1" x14ac:dyDescent="0.2">
      <c r="E6250" s="18"/>
      <c r="F6250" s="18"/>
    </row>
    <row r="6251" spans="5:6" ht="15" customHeight="1" x14ac:dyDescent="0.2">
      <c r="E6251" s="18"/>
      <c r="F6251" s="18"/>
    </row>
    <row r="6252" spans="5:6" ht="15" customHeight="1" x14ac:dyDescent="0.2">
      <c r="E6252" s="18"/>
      <c r="F6252" s="18"/>
    </row>
    <row r="6253" spans="5:6" ht="15" customHeight="1" x14ac:dyDescent="0.2">
      <c r="E6253" s="18"/>
      <c r="F6253" s="18"/>
    </row>
    <row r="6254" spans="5:6" ht="15" customHeight="1" x14ac:dyDescent="0.2">
      <c r="E6254" s="18"/>
      <c r="F6254" s="18"/>
    </row>
    <row r="6255" spans="5:6" ht="15" customHeight="1" x14ac:dyDescent="0.2">
      <c r="E6255" s="18"/>
      <c r="F6255" s="18"/>
    </row>
    <row r="6256" spans="5:6" ht="15" customHeight="1" x14ac:dyDescent="0.2">
      <c r="E6256" s="18"/>
      <c r="F6256" s="18"/>
    </row>
    <row r="6257" spans="5:6" ht="15" customHeight="1" x14ac:dyDescent="0.2">
      <c r="E6257" s="18"/>
      <c r="F6257" s="18"/>
    </row>
    <row r="6258" spans="5:6" ht="15" customHeight="1" x14ac:dyDescent="0.2">
      <c r="E6258" s="18"/>
      <c r="F6258" s="18"/>
    </row>
    <row r="6259" spans="5:6" ht="15" customHeight="1" x14ac:dyDescent="0.2">
      <c r="E6259" s="18"/>
      <c r="F6259" s="18"/>
    </row>
    <row r="6260" spans="5:6" ht="15" customHeight="1" x14ac:dyDescent="0.2">
      <c r="E6260" s="18"/>
      <c r="F6260" s="18"/>
    </row>
    <row r="6261" spans="5:6" ht="15" customHeight="1" x14ac:dyDescent="0.2">
      <c r="E6261" s="18"/>
      <c r="F6261" s="18"/>
    </row>
    <row r="6262" spans="5:6" ht="15" customHeight="1" x14ac:dyDescent="0.2">
      <c r="E6262" s="18"/>
      <c r="F6262" s="18"/>
    </row>
    <row r="6263" spans="5:6" ht="15" customHeight="1" x14ac:dyDescent="0.2">
      <c r="E6263" s="18"/>
      <c r="F6263" s="18"/>
    </row>
    <row r="6264" spans="5:6" ht="15" customHeight="1" x14ac:dyDescent="0.2">
      <c r="E6264" s="18"/>
      <c r="F6264" s="18"/>
    </row>
    <row r="6265" spans="5:6" ht="15" customHeight="1" x14ac:dyDescent="0.2">
      <c r="E6265" s="18"/>
      <c r="F6265" s="18"/>
    </row>
    <row r="6266" spans="5:6" ht="15" customHeight="1" x14ac:dyDescent="0.2">
      <c r="E6266" s="18"/>
      <c r="F6266" s="18"/>
    </row>
    <row r="6267" spans="5:6" ht="15" customHeight="1" x14ac:dyDescent="0.2">
      <c r="E6267" s="18"/>
      <c r="F6267" s="18"/>
    </row>
    <row r="6268" spans="5:6" ht="15" customHeight="1" x14ac:dyDescent="0.2">
      <c r="E6268" s="18"/>
      <c r="F6268" s="18"/>
    </row>
    <row r="6269" spans="5:6" ht="15" customHeight="1" x14ac:dyDescent="0.2">
      <c r="E6269" s="18"/>
      <c r="F6269" s="18"/>
    </row>
    <row r="6270" spans="5:6" ht="15" customHeight="1" x14ac:dyDescent="0.2">
      <c r="E6270" s="18"/>
      <c r="F6270" s="18"/>
    </row>
    <row r="6271" spans="5:6" ht="15" customHeight="1" x14ac:dyDescent="0.2">
      <c r="E6271" s="18"/>
      <c r="F6271" s="18"/>
    </row>
    <row r="6272" spans="5:6" ht="15" customHeight="1" x14ac:dyDescent="0.2">
      <c r="E6272" s="18"/>
      <c r="F6272" s="18"/>
    </row>
    <row r="6273" spans="5:6" ht="15" customHeight="1" x14ac:dyDescent="0.2">
      <c r="E6273" s="18"/>
      <c r="F6273" s="18"/>
    </row>
    <row r="6274" spans="5:6" ht="15" customHeight="1" x14ac:dyDescent="0.2">
      <c r="E6274" s="18"/>
      <c r="F6274" s="18"/>
    </row>
    <row r="6275" spans="5:6" ht="15" customHeight="1" x14ac:dyDescent="0.2">
      <c r="E6275" s="18"/>
      <c r="F6275" s="18"/>
    </row>
    <row r="6276" spans="5:6" ht="15" customHeight="1" x14ac:dyDescent="0.2">
      <c r="E6276" s="18"/>
      <c r="F6276" s="18"/>
    </row>
    <row r="6277" spans="5:6" ht="15" customHeight="1" x14ac:dyDescent="0.2">
      <c r="E6277" s="18"/>
      <c r="F6277" s="18"/>
    </row>
    <row r="6278" spans="5:6" ht="15" customHeight="1" x14ac:dyDescent="0.2">
      <c r="E6278" s="18"/>
      <c r="F6278" s="18"/>
    </row>
    <row r="6279" spans="5:6" ht="15" customHeight="1" x14ac:dyDescent="0.2">
      <c r="E6279" s="18"/>
      <c r="F6279" s="18"/>
    </row>
    <row r="6280" spans="5:6" ht="15" customHeight="1" x14ac:dyDescent="0.2">
      <c r="E6280" s="18"/>
      <c r="F6280" s="18"/>
    </row>
    <row r="6281" spans="5:6" ht="15" customHeight="1" x14ac:dyDescent="0.2">
      <c r="E6281" s="18"/>
      <c r="F6281" s="18"/>
    </row>
    <row r="6282" spans="5:6" ht="15" customHeight="1" x14ac:dyDescent="0.2">
      <c r="E6282" s="18"/>
      <c r="F6282" s="18"/>
    </row>
    <row r="6283" spans="5:6" ht="15" customHeight="1" x14ac:dyDescent="0.2">
      <c r="E6283" s="18"/>
      <c r="F6283" s="18"/>
    </row>
    <row r="6284" spans="5:6" ht="15" customHeight="1" x14ac:dyDescent="0.2">
      <c r="E6284" s="18"/>
      <c r="F6284" s="18"/>
    </row>
    <row r="6285" spans="5:6" ht="15" customHeight="1" x14ac:dyDescent="0.2">
      <c r="E6285" s="18"/>
      <c r="F6285" s="18"/>
    </row>
    <row r="6286" spans="5:6" ht="15" customHeight="1" x14ac:dyDescent="0.2">
      <c r="E6286" s="18"/>
      <c r="F6286" s="18"/>
    </row>
    <row r="6287" spans="5:6" ht="15" customHeight="1" x14ac:dyDescent="0.2">
      <c r="E6287" s="18"/>
      <c r="F6287" s="18"/>
    </row>
    <row r="6288" spans="5:6" ht="15" customHeight="1" x14ac:dyDescent="0.2">
      <c r="E6288" s="18"/>
      <c r="F6288" s="18"/>
    </row>
    <row r="6289" spans="5:6" ht="15" customHeight="1" x14ac:dyDescent="0.2">
      <c r="E6289" s="18"/>
      <c r="F6289" s="18"/>
    </row>
    <row r="6290" spans="5:6" ht="15" customHeight="1" x14ac:dyDescent="0.2">
      <c r="E6290" s="18"/>
      <c r="F6290" s="18"/>
    </row>
    <row r="6291" spans="5:6" ht="15" customHeight="1" x14ac:dyDescent="0.2">
      <c r="E6291" s="18"/>
      <c r="F6291" s="18"/>
    </row>
    <row r="6292" spans="5:6" ht="15" customHeight="1" x14ac:dyDescent="0.2">
      <c r="E6292" s="18"/>
      <c r="F6292" s="18"/>
    </row>
    <row r="6293" spans="5:6" ht="15" customHeight="1" x14ac:dyDescent="0.2">
      <c r="E6293" s="18"/>
      <c r="F6293" s="18"/>
    </row>
    <row r="6294" spans="5:6" ht="15" customHeight="1" x14ac:dyDescent="0.2">
      <c r="E6294" s="18"/>
      <c r="F6294" s="18"/>
    </row>
    <row r="6295" spans="5:6" ht="15" customHeight="1" x14ac:dyDescent="0.2">
      <c r="E6295" s="18"/>
      <c r="F6295" s="18"/>
    </row>
    <row r="6296" spans="5:6" ht="15" customHeight="1" x14ac:dyDescent="0.2">
      <c r="E6296" s="18"/>
      <c r="F6296" s="18"/>
    </row>
    <row r="6297" spans="5:6" ht="15" customHeight="1" x14ac:dyDescent="0.2">
      <c r="E6297" s="18"/>
      <c r="F6297" s="18"/>
    </row>
    <row r="6298" spans="5:6" ht="15" customHeight="1" x14ac:dyDescent="0.2">
      <c r="E6298" s="18"/>
      <c r="F6298" s="18"/>
    </row>
    <row r="6299" spans="5:6" ht="15" customHeight="1" x14ac:dyDescent="0.2">
      <c r="E6299" s="18"/>
      <c r="F6299" s="18"/>
    </row>
    <row r="6300" spans="5:6" ht="15" customHeight="1" x14ac:dyDescent="0.2">
      <c r="E6300" s="18"/>
      <c r="F6300" s="18"/>
    </row>
    <row r="6301" spans="5:6" ht="15" customHeight="1" x14ac:dyDescent="0.2">
      <c r="E6301" s="18"/>
      <c r="F6301" s="18"/>
    </row>
    <row r="6302" spans="5:6" ht="15" customHeight="1" x14ac:dyDescent="0.2">
      <c r="E6302" s="18"/>
      <c r="F6302" s="18"/>
    </row>
    <row r="6303" spans="5:6" ht="15" customHeight="1" x14ac:dyDescent="0.2">
      <c r="E6303" s="18"/>
      <c r="F6303" s="18"/>
    </row>
    <row r="6304" spans="5:6" ht="15" customHeight="1" x14ac:dyDescent="0.2">
      <c r="E6304" s="18"/>
      <c r="F6304" s="18"/>
    </row>
    <row r="6305" spans="5:6" ht="15" customHeight="1" x14ac:dyDescent="0.2">
      <c r="E6305" s="18"/>
      <c r="F6305" s="18"/>
    </row>
    <row r="6306" spans="5:6" ht="15" customHeight="1" x14ac:dyDescent="0.2">
      <c r="E6306" s="18"/>
      <c r="F6306" s="18"/>
    </row>
    <row r="6307" spans="5:6" ht="15" customHeight="1" x14ac:dyDescent="0.2">
      <c r="E6307" s="18"/>
      <c r="F6307" s="18"/>
    </row>
    <row r="6308" spans="5:6" ht="15" customHeight="1" x14ac:dyDescent="0.2">
      <c r="E6308" s="18"/>
      <c r="F6308" s="18"/>
    </row>
    <row r="6309" spans="5:6" ht="15" customHeight="1" x14ac:dyDescent="0.2">
      <c r="E6309" s="18"/>
      <c r="F6309" s="18"/>
    </row>
    <row r="6310" spans="5:6" ht="15" customHeight="1" x14ac:dyDescent="0.2">
      <c r="E6310" s="18"/>
      <c r="F6310" s="18"/>
    </row>
    <row r="6311" spans="5:6" ht="15" customHeight="1" x14ac:dyDescent="0.2">
      <c r="E6311" s="18"/>
      <c r="F6311" s="18"/>
    </row>
    <row r="6312" spans="5:6" ht="15" customHeight="1" x14ac:dyDescent="0.2">
      <c r="E6312" s="18"/>
      <c r="F6312" s="18"/>
    </row>
    <row r="6313" spans="5:6" ht="15" customHeight="1" x14ac:dyDescent="0.2">
      <c r="E6313" s="18"/>
      <c r="F6313" s="18"/>
    </row>
    <row r="6314" spans="5:6" ht="15" customHeight="1" x14ac:dyDescent="0.2">
      <c r="E6314" s="18"/>
      <c r="F6314" s="18"/>
    </row>
    <row r="6315" spans="5:6" ht="15" customHeight="1" x14ac:dyDescent="0.2">
      <c r="E6315" s="18"/>
      <c r="F6315" s="18"/>
    </row>
    <row r="6316" spans="5:6" ht="15" customHeight="1" x14ac:dyDescent="0.2">
      <c r="E6316" s="18"/>
      <c r="F6316" s="18"/>
    </row>
    <row r="6317" spans="5:6" ht="15" customHeight="1" x14ac:dyDescent="0.2">
      <c r="E6317" s="18"/>
      <c r="F6317" s="18"/>
    </row>
    <row r="6318" spans="5:6" ht="15" customHeight="1" x14ac:dyDescent="0.2">
      <c r="E6318" s="18"/>
      <c r="F6318" s="18"/>
    </row>
    <row r="6319" spans="5:6" ht="15" customHeight="1" x14ac:dyDescent="0.2">
      <c r="E6319" s="18"/>
      <c r="F6319" s="18"/>
    </row>
    <row r="6320" spans="5:6" ht="15" customHeight="1" x14ac:dyDescent="0.2">
      <c r="E6320" s="18"/>
      <c r="F6320" s="18"/>
    </row>
    <row r="6321" spans="5:6" ht="15" customHeight="1" x14ac:dyDescent="0.2">
      <c r="E6321" s="18"/>
      <c r="F6321" s="18"/>
    </row>
    <row r="6322" spans="5:6" ht="15" customHeight="1" x14ac:dyDescent="0.2">
      <c r="E6322" s="18"/>
      <c r="F6322" s="18"/>
    </row>
    <row r="6323" spans="5:6" ht="15" customHeight="1" x14ac:dyDescent="0.2">
      <c r="E6323" s="18"/>
      <c r="F6323" s="18"/>
    </row>
    <row r="6324" spans="5:6" ht="15" customHeight="1" x14ac:dyDescent="0.2">
      <c r="E6324" s="18"/>
      <c r="F6324" s="18"/>
    </row>
    <row r="6325" spans="5:6" ht="15" customHeight="1" x14ac:dyDescent="0.2">
      <c r="E6325" s="18"/>
      <c r="F6325" s="18"/>
    </row>
    <row r="6326" spans="5:6" ht="15" customHeight="1" x14ac:dyDescent="0.2">
      <c r="E6326" s="18"/>
      <c r="F6326" s="18"/>
    </row>
    <row r="6327" spans="5:6" ht="15" customHeight="1" x14ac:dyDescent="0.2">
      <c r="E6327" s="18"/>
      <c r="F6327" s="18"/>
    </row>
    <row r="6328" spans="5:6" ht="15" customHeight="1" x14ac:dyDescent="0.2">
      <c r="E6328" s="18"/>
      <c r="F6328" s="18"/>
    </row>
    <row r="6329" spans="5:6" ht="15" customHeight="1" x14ac:dyDescent="0.2">
      <c r="E6329" s="18"/>
      <c r="F6329" s="18"/>
    </row>
    <row r="6330" spans="5:6" ht="15" customHeight="1" x14ac:dyDescent="0.2">
      <c r="E6330" s="18"/>
      <c r="F6330" s="18"/>
    </row>
    <row r="6331" spans="5:6" ht="15" customHeight="1" x14ac:dyDescent="0.2">
      <c r="E6331" s="18"/>
      <c r="F6331" s="18"/>
    </row>
    <row r="6332" spans="5:6" ht="15" customHeight="1" x14ac:dyDescent="0.2">
      <c r="E6332" s="18"/>
      <c r="F6332" s="18"/>
    </row>
    <row r="6333" spans="5:6" ht="15" customHeight="1" x14ac:dyDescent="0.2">
      <c r="E6333" s="18"/>
      <c r="F6333" s="18"/>
    </row>
    <row r="6334" spans="5:6" ht="15" customHeight="1" x14ac:dyDescent="0.2">
      <c r="E6334" s="18"/>
      <c r="F6334" s="18"/>
    </row>
    <row r="6335" spans="5:6" ht="15" customHeight="1" x14ac:dyDescent="0.2">
      <c r="E6335" s="18"/>
      <c r="F6335" s="18"/>
    </row>
    <row r="6336" spans="5:6" ht="15" customHeight="1" x14ac:dyDescent="0.2">
      <c r="E6336" s="18"/>
      <c r="F6336" s="18"/>
    </row>
    <row r="6337" spans="5:6" ht="15" customHeight="1" x14ac:dyDescent="0.2">
      <c r="E6337" s="18"/>
      <c r="F6337" s="18"/>
    </row>
    <row r="6338" spans="5:6" ht="15" customHeight="1" x14ac:dyDescent="0.2">
      <c r="E6338" s="18"/>
      <c r="F6338" s="18"/>
    </row>
    <row r="6339" spans="5:6" ht="15" customHeight="1" x14ac:dyDescent="0.2">
      <c r="E6339" s="18"/>
      <c r="F6339" s="18"/>
    </row>
    <row r="6340" spans="5:6" ht="15" customHeight="1" x14ac:dyDescent="0.2">
      <c r="E6340" s="18"/>
      <c r="F6340" s="18"/>
    </row>
    <row r="6341" spans="5:6" ht="15" customHeight="1" x14ac:dyDescent="0.2">
      <c r="E6341" s="18"/>
      <c r="F6341" s="18"/>
    </row>
    <row r="6342" spans="5:6" ht="15" customHeight="1" x14ac:dyDescent="0.2">
      <c r="E6342" s="18"/>
      <c r="F6342" s="18"/>
    </row>
    <row r="6343" spans="5:6" ht="15" customHeight="1" x14ac:dyDescent="0.2">
      <c r="E6343" s="18"/>
      <c r="F6343" s="18"/>
    </row>
    <row r="6344" spans="5:6" ht="15" customHeight="1" x14ac:dyDescent="0.2">
      <c r="E6344" s="18"/>
      <c r="F6344" s="18"/>
    </row>
    <row r="6345" spans="5:6" ht="15" customHeight="1" x14ac:dyDescent="0.2">
      <c r="E6345" s="18"/>
      <c r="F6345" s="18"/>
    </row>
    <row r="6346" spans="5:6" ht="15" customHeight="1" x14ac:dyDescent="0.2">
      <c r="E6346" s="18"/>
      <c r="F6346" s="18"/>
    </row>
    <row r="6347" spans="5:6" ht="15" customHeight="1" x14ac:dyDescent="0.2">
      <c r="E6347" s="18"/>
      <c r="F6347" s="18"/>
    </row>
    <row r="6348" spans="5:6" ht="15" customHeight="1" x14ac:dyDescent="0.2">
      <c r="E6348" s="18"/>
      <c r="F6348" s="18"/>
    </row>
    <row r="6349" spans="5:6" ht="15" customHeight="1" x14ac:dyDescent="0.2">
      <c r="E6349" s="18"/>
      <c r="F6349" s="18"/>
    </row>
    <row r="6350" spans="5:6" ht="15" customHeight="1" x14ac:dyDescent="0.2">
      <c r="E6350" s="18"/>
      <c r="F6350" s="18"/>
    </row>
    <row r="6351" spans="5:6" ht="15" customHeight="1" x14ac:dyDescent="0.2">
      <c r="E6351" s="18"/>
      <c r="F6351" s="18"/>
    </row>
    <row r="6352" spans="5:6" ht="15" customHeight="1" x14ac:dyDescent="0.2">
      <c r="E6352" s="18"/>
      <c r="F6352" s="18"/>
    </row>
    <row r="6353" spans="5:6" ht="15" customHeight="1" x14ac:dyDescent="0.2">
      <c r="E6353" s="18"/>
      <c r="F6353" s="18"/>
    </row>
    <row r="6354" spans="5:6" ht="15" customHeight="1" x14ac:dyDescent="0.2">
      <c r="E6354" s="18"/>
      <c r="F6354" s="18"/>
    </row>
    <row r="6355" spans="5:6" ht="15" customHeight="1" x14ac:dyDescent="0.2">
      <c r="E6355" s="18"/>
      <c r="F6355" s="18"/>
    </row>
    <row r="6356" spans="5:6" ht="15" customHeight="1" x14ac:dyDescent="0.2">
      <c r="E6356" s="18"/>
      <c r="F6356" s="18"/>
    </row>
    <row r="6357" spans="5:6" ht="15" customHeight="1" x14ac:dyDescent="0.2">
      <c r="E6357" s="18"/>
      <c r="F6357" s="18"/>
    </row>
    <row r="6358" spans="5:6" ht="15" customHeight="1" x14ac:dyDescent="0.2">
      <c r="E6358" s="18"/>
      <c r="F6358" s="18"/>
    </row>
    <row r="6359" spans="5:6" ht="15" customHeight="1" x14ac:dyDescent="0.2">
      <c r="E6359" s="18"/>
      <c r="F6359" s="18"/>
    </row>
    <row r="6360" spans="5:6" ht="15" customHeight="1" x14ac:dyDescent="0.2">
      <c r="E6360" s="18"/>
      <c r="F6360" s="18"/>
    </row>
    <row r="6361" spans="5:6" ht="15" customHeight="1" x14ac:dyDescent="0.2">
      <c r="E6361" s="18"/>
      <c r="F6361" s="18"/>
    </row>
    <row r="6362" spans="5:6" ht="15" customHeight="1" x14ac:dyDescent="0.2">
      <c r="E6362" s="18"/>
      <c r="F6362" s="18"/>
    </row>
    <row r="6363" spans="5:6" ht="15" customHeight="1" x14ac:dyDescent="0.2">
      <c r="E6363" s="18"/>
      <c r="F6363" s="18"/>
    </row>
    <row r="6364" spans="5:6" ht="15" customHeight="1" x14ac:dyDescent="0.2">
      <c r="E6364" s="18"/>
      <c r="F6364" s="18"/>
    </row>
    <row r="6365" spans="5:6" ht="15" customHeight="1" x14ac:dyDescent="0.2">
      <c r="E6365" s="18"/>
      <c r="F6365" s="18"/>
    </row>
    <row r="6366" spans="5:6" ht="15" customHeight="1" x14ac:dyDescent="0.2">
      <c r="E6366" s="18"/>
      <c r="F6366" s="18"/>
    </row>
    <row r="6367" spans="5:6" ht="15" customHeight="1" x14ac:dyDescent="0.2">
      <c r="E6367" s="18"/>
      <c r="F6367" s="18"/>
    </row>
    <row r="6368" spans="5:6" ht="15" customHeight="1" x14ac:dyDescent="0.2">
      <c r="E6368" s="18"/>
      <c r="F6368" s="18"/>
    </row>
    <row r="6369" spans="5:6" ht="15" customHeight="1" x14ac:dyDescent="0.2">
      <c r="E6369" s="18"/>
      <c r="F6369" s="18"/>
    </row>
    <row r="6370" spans="5:6" ht="15" customHeight="1" x14ac:dyDescent="0.2">
      <c r="E6370" s="18"/>
      <c r="F6370" s="18"/>
    </row>
    <row r="6371" spans="5:6" ht="15" customHeight="1" x14ac:dyDescent="0.2">
      <c r="E6371" s="18"/>
      <c r="F6371" s="18"/>
    </row>
    <row r="6372" spans="5:6" ht="15" customHeight="1" x14ac:dyDescent="0.2">
      <c r="E6372" s="18"/>
      <c r="F6372" s="18"/>
    </row>
    <row r="6373" spans="5:6" ht="15" customHeight="1" x14ac:dyDescent="0.2">
      <c r="E6373" s="18"/>
      <c r="F6373" s="18"/>
    </row>
    <row r="6374" spans="5:6" ht="15" customHeight="1" x14ac:dyDescent="0.2">
      <c r="E6374" s="18"/>
      <c r="F6374" s="18"/>
    </row>
    <row r="6375" spans="5:6" ht="15" customHeight="1" x14ac:dyDescent="0.2">
      <c r="E6375" s="18"/>
      <c r="F6375" s="18"/>
    </row>
    <row r="6376" spans="5:6" ht="15" customHeight="1" x14ac:dyDescent="0.2">
      <c r="E6376" s="18"/>
      <c r="F6376" s="18"/>
    </row>
    <row r="6377" spans="5:6" ht="15" customHeight="1" x14ac:dyDescent="0.2">
      <c r="E6377" s="18"/>
      <c r="F6377" s="18"/>
    </row>
    <row r="6378" spans="5:6" ht="15" customHeight="1" x14ac:dyDescent="0.2">
      <c r="E6378" s="18"/>
      <c r="F6378" s="18"/>
    </row>
    <row r="6379" spans="5:6" ht="15" customHeight="1" x14ac:dyDescent="0.2">
      <c r="E6379" s="18"/>
      <c r="F6379" s="18"/>
    </row>
    <row r="6380" spans="5:6" ht="15" customHeight="1" x14ac:dyDescent="0.2">
      <c r="E6380" s="18"/>
      <c r="F6380" s="18"/>
    </row>
    <row r="6381" spans="5:6" ht="15" customHeight="1" x14ac:dyDescent="0.2">
      <c r="E6381" s="18"/>
      <c r="F6381" s="18"/>
    </row>
    <row r="6382" spans="5:6" ht="15" customHeight="1" x14ac:dyDescent="0.2">
      <c r="E6382" s="18"/>
      <c r="F6382" s="18"/>
    </row>
    <row r="6383" spans="5:6" ht="15" customHeight="1" x14ac:dyDescent="0.2">
      <c r="E6383" s="18"/>
      <c r="F6383" s="18"/>
    </row>
    <row r="6384" spans="5:6" ht="15" customHeight="1" x14ac:dyDescent="0.2">
      <c r="E6384" s="18"/>
      <c r="F6384" s="18"/>
    </row>
    <row r="6385" spans="5:6" ht="15" customHeight="1" x14ac:dyDescent="0.2">
      <c r="E6385" s="18"/>
      <c r="F6385" s="18"/>
    </row>
    <row r="6386" spans="5:6" ht="15" customHeight="1" x14ac:dyDescent="0.2">
      <c r="E6386" s="18"/>
      <c r="F6386" s="18"/>
    </row>
    <row r="6387" spans="5:6" ht="15" customHeight="1" x14ac:dyDescent="0.2">
      <c r="E6387" s="18"/>
      <c r="F6387" s="18"/>
    </row>
    <row r="6388" spans="5:6" ht="15" customHeight="1" x14ac:dyDescent="0.2">
      <c r="E6388" s="18"/>
      <c r="F6388" s="18"/>
    </row>
    <row r="6389" spans="5:6" ht="15" customHeight="1" x14ac:dyDescent="0.2">
      <c r="E6389" s="18"/>
      <c r="F6389" s="18"/>
    </row>
    <row r="6390" spans="5:6" ht="15" customHeight="1" x14ac:dyDescent="0.2">
      <c r="E6390" s="18"/>
      <c r="F6390" s="18"/>
    </row>
    <row r="6391" spans="5:6" ht="15" customHeight="1" x14ac:dyDescent="0.2">
      <c r="E6391" s="18"/>
      <c r="F6391" s="18"/>
    </row>
    <row r="6392" spans="5:6" ht="15" customHeight="1" x14ac:dyDescent="0.2">
      <c r="E6392" s="18"/>
      <c r="F6392" s="18"/>
    </row>
    <row r="6393" spans="5:6" ht="15" customHeight="1" x14ac:dyDescent="0.2">
      <c r="E6393" s="18"/>
      <c r="F6393" s="18"/>
    </row>
    <row r="6394" spans="5:6" ht="15" customHeight="1" x14ac:dyDescent="0.2">
      <c r="E6394" s="18"/>
      <c r="F6394" s="18"/>
    </row>
    <row r="6395" spans="5:6" ht="15" customHeight="1" x14ac:dyDescent="0.2">
      <c r="E6395" s="18"/>
      <c r="F6395" s="18"/>
    </row>
    <row r="6396" spans="5:6" ht="15" customHeight="1" x14ac:dyDescent="0.2">
      <c r="E6396" s="18"/>
      <c r="F6396" s="18"/>
    </row>
    <row r="6397" spans="5:6" ht="15" customHeight="1" x14ac:dyDescent="0.2">
      <c r="E6397" s="18"/>
      <c r="F6397" s="18"/>
    </row>
    <row r="6398" spans="5:6" ht="15" customHeight="1" x14ac:dyDescent="0.2">
      <c r="E6398" s="18"/>
      <c r="F6398" s="18"/>
    </row>
    <row r="6399" spans="5:6" ht="15" customHeight="1" x14ac:dyDescent="0.2">
      <c r="E6399" s="18"/>
      <c r="F6399" s="18"/>
    </row>
    <row r="6400" spans="5:6" ht="15" customHeight="1" x14ac:dyDescent="0.2">
      <c r="E6400" s="18"/>
      <c r="F6400" s="18"/>
    </row>
    <row r="6401" spans="5:6" ht="15" customHeight="1" x14ac:dyDescent="0.2">
      <c r="E6401" s="18"/>
      <c r="F6401" s="18"/>
    </row>
    <row r="6402" spans="5:6" ht="15" customHeight="1" x14ac:dyDescent="0.2">
      <c r="E6402" s="18"/>
      <c r="F6402" s="18"/>
    </row>
    <row r="6403" spans="5:6" ht="15" customHeight="1" x14ac:dyDescent="0.2">
      <c r="E6403" s="18"/>
      <c r="F6403" s="18"/>
    </row>
    <row r="6404" spans="5:6" ht="15" customHeight="1" x14ac:dyDescent="0.2">
      <c r="E6404" s="18"/>
      <c r="F6404" s="18"/>
    </row>
    <row r="6405" spans="5:6" ht="15" customHeight="1" x14ac:dyDescent="0.2">
      <c r="E6405" s="18"/>
      <c r="F6405" s="18"/>
    </row>
    <row r="6406" spans="5:6" ht="15" customHeight="1" x14ac:dyDescent="0.2">
      <c r="E6406" s="18"/>
      <c r="F6406" s="18"/>
    </row>
    <row r="6407" spans="5:6" ht="15" customHeight="1" x14ac:dyDescent="0.2">
      <c r="E6407" s="18"/>
      <c r="F6407" s="18"/>
    </row>
    <row r="6408" spans="5:6" ht="15" customHeight="1" x14ac:dyDescent="0.2">
      <c r="E6408" s="18"/>
      <c r="F6408" s="18"/>
    </row>
    <row r="6409" spans="5:6" ht="15" customHeight="1" x14ac:dyDescent="0.2">
      <c r="E6409" s="18"/>
      <c r="F6409" s="18"/>
    </row>
    <row r="6410" spans="5:6" ht="15" customHeight="1" x14ac:dyDescent="0.2">
      <c r="E6410" s="18"/>
      <c r="F6410" s="18"/>
    </row>
    <row r="6411" spans="5:6" ht="15" customHeight="1" x14ac:dyDescent="0.2">
      <c r="E6411" s="18"/>
      <c r="F6411" s="18"/>
    </row>
    <row r="6412" spans="5:6" ht="15" customHeight="1" x14ac:dyDescent="0.2">
      <c r="E6412" s="18"/>
      <c r="F6412" s="18"/>
    </row>
    <row r="6413" spans="5:6" ht="15" customHeight="1" x14ac:dyDescent="0.2">
      <c r="E6413" s="18"/>
      <c r="F6413" s="18"/>
    </row>
    <row r="6414" spans="5:6" ht="15" customHeight="1" x14ac:dyDescent="0.2">
      <c r="E6414" s="18"/>
      <c r="F6414" s="18"/>
    </row>
    <row r="6415" spans="5:6" ht="15" customHeight="1" x14ac:dyDescent="0.2">
      <c r="E6415" s="18"/>
      <c r="F6415" s="18"/>
    </row>
    <row r="6416" spans="5:6" ht="15" customHeight="1" x14ac:dyDescent="0.2">
      <c r="E6416" s="18"/>
      <c r="F6416" s="18"/>
    </row>
    <row r="6417" spans="5:6" ht="15" customHeight="1" x14ac:dyDescent="0.2">
      <c r="E6417" s="18"/>
      <c r="F6417" s="18"/>
    </row>
    <row r="6418" spans="5:6" ht="15" customHeight="1" x14ac:dyDescent="0.2">
      <c r="E6418" s="18"/>
      <c r="F6418" s="18"/>
    </row>
    <row r="6419" spans="5:6" ht="15" customHeight="1" x14ac:dyDescent="0.2">
      <c r="E6419" s="18"/>
      <c r="F6419" s="18"/>
    </row>
    <row r="6420" spans="5:6" ht="15" customHeight="1" x14ac:dyDescent="0.2">
      <c r="E6420" s="18"/>
      <c r="F6420" s="18"/>
    </row>
    <row r="6421" spans="5:6" ht="15" customHeight="1" x14ac:dyDescent="0.2">
      <c r="E6421" s="18"/>
      <c r="F6421" s="18"/>
    </row>
    <row r="6422" spans="5:6" ht="15" customHeight="1" x14ac:dyDescent="0.2">
      <c r="E6422" s="18"/>
      <c r="F6422" s="18"/>
    </row>
    <row r="6423" spans="5:6" ht="15" customHeight="1" x14ac:dyDescent="0.2">
      <c r="E6423" s="18"/>
      <c r="F6423" s="18"/>
    </row>
    <row r="6424" spans="5:6" ht="15" customHeight="1" x14ac:dyDescent="0.2">
      <c r="E6424" s="18"/>
      <c r="F6424" s="18"/>
    </row>
    <row r="6425" spans="5:6" ht="15" customHeight="1" x14ac:dyDescent="0.2">
      <c r="E6425" s="18"/>
      <c r="F6425" s="18"/>
    </row>
    <row r="6426" spans="5:6" ht="15" customHeight="1" x14ac:dyDescent="0.2">
      <c r="E6426" s="18"/>
      <c r="F6426" s="18"/>
    </row>
    <row r="6427" spans="5:6" ht="15" customHeight="1" x14ac:dyDescent="0.2">
      <c r="E6427" s="18"/>
      <c r="F6427" s="18"/>
    </row>
    <row r="6428" spans="5:6" ht="15" customHeight="1" x14ac:dyDescent="0.2">
      <c r="E6428" s="18"/>
      <c r="F6428" s="18"/>
    </row>
    <row r="6429" spans="5:6" ht="15" customHeight="1" x14ac:dyDescent="0.2">
      <c r="E6429" s="18"/>
      <c r="F6429" s="18"/>
    </row>
    <row r="6430" spans="5:6" ht="15" customHeight="1" x14ac:dyDescent="0.2">
      <c r="E6430" s="18"/>
      <c r="F6430" s="18"/>
    </row>
    <row r="6431" spans="5:6" ht="15" customHeight="1" x14ac:dyDescent="0.2">
      <c r="E6431" s="18"/>
      <c r="F6431" s="18"/>
    </row>
    <row r="6432" spans="5:6" ht="15" customHeight="1" x14ac:dyDescent="0.2">
      <c r="E6432" s="18"/>
      <c r="F6432" s="18"/>
    </row>
    <row r="6433" spans="5:6" ht="15" customHeight="1" x14ac:dyDescent="0.2">
      <c r="E6433" s="18"/>
      <c r="F6433" s="18"/>
    </row>
    <row r="6434" spans="5:6" ht="15" customHeight="1" x14ac:dyDescent="0.2">
      <c r="E6434" s="18"/>
      <c r="F6434" s="18"/>
    </row>
    <row r="6435" spans="5:6" ht="15" customHeight="1" x14ac:dyDescent="0.2">
      <c r="E6435" s="18"/>
      <c r="F6435" s="18"/>
    </row>
    <row r="6436" spans="5:6" ht="15" customHeight="1" x14ac:dyDescent="0.2">
      <c r="E6436" s="18"/>
      <c r="F6436" s="18"/>
    </row>
    <row r="6437" spans="5:6" ht="15" customHeight="1" x14ac:dyDescent="0.2">
      <c r="E6437" s="18"/>
      <c r="F6437" s="18"/>
    </row>
    <row r="6438" spans="5:6" ht="15" customHeight="1" x14ac:dyDescent="0.2">
      <c r="E6438" s="18"/>
      <c r="F6438" s="18"/>
    </row>
    <row r="6439" spans="5:6" ht="15" customHeight="1" x14ac:dyDescent="0.2">
      <c r="E6439" s="18"/>
      <c r="F6439" s="18"/>
    </row>
    <row r="6440" spans="5:6" ht="15" customHeight="1" x14ac:dyDescent="0.2">
      <c r="E6440" s="18"/>
      <c r="F6440" s="18"/>
    </row>
    <row r="6441" spans="5:6" ht="15" customHeight="1" x14ac:dyDescent="0.2">
      <c r="E6441" s="18"/>
      <c r="F6441" s="18"/>
    </row>
    <row r="6442" spans="5:6" ht="15" customHeight="1" x14ac:dyDescent="0.2">
      <c r="E6442" s="18"/>
      <c r="F6442" s="18"/>
    </row>
    <row r="6443" spans="5:6" ht="15" customHeight="1" x14ac:dyDescent="0.2">
      <c r="E6443" s="18"/>
      <c r="F6443" s="18"/>
    </row>
    <row r="6444" spans="5:6" ht="15" customHeight="1" x14ac:dyDescent="0.2">
      <c r="E6444" s="18"/>
      <c r="F6444" s="18"/>
    </row>
    <row r="6445" spans="5:6" ht="15" customHeight="1" x14ac:dyDescent="0.2">
      <c r="E6445" s="18"/>
      <c r="F6445" s="18"/>
    </row>
    <row r="6446" spans="5:6" ht="15" customHeight="1" x14ac:dyDescent="0.2">
      <c r="E6446" s="18"/>
      <c r="F6446" s="18"/>
    </row>
    <row r="6447" spans="5:6" ht="15" customHeight="1" x14ac:dyDescent="0.2">
      <c r="E6447" s="18"/>
      <c r="F6447" s="18"/>
    </row>
    <row r="6448" spans="5:6" ht="15" customHeight="1" x14ac:dyDescent="0.2">
      <c r="E6448" s="18"/>
      <c r="F6448" s="18"/>
    </row>
    <row r="6449" spans="5:6" ht="15" customHeight="1" x14ac:dyDescent="0.2">
      <c r="E6449" s="18"/>
      <c r="F6449" s="18"/>
    </row>
    <row r="6450" spans="5:6" ht="15" customHeight="1" x14ac:dyDescent="0.2">
      <c r="E6450" s="18"/>
      <c r="F6450" s="18"/>
    </row>
    <row r="6451" spans="5:6" ht="15" customHeight="1" x14ac:dyDescent="0.2">
      <c r="E6451" s="18"/>
      <c r="F6451" s="18"/>
    </row>
    <row r="6452" spans="5:6" ht="15" customHeight="1" x14ac:dyDescent="0.2">
      <c r="E6452" s="18"/>
      <c r="F6452" s="18"/>
    </row>
    <row r="6453" spans="5:6" ht="15" customHeight="1" x14ac:dyDescent="0.2">
      <c r="E6453" s="18"/>
      <c r="F6453" s="18"/>
    </row>
    <row r="6454" spans="5:6" ht="15" customHeight="1" x14ac:dyDescent="0.2">
      <c r="E6454" s="18"/>
      <c r="F6454" s="18"/>
    </row>
    <row r="6455" spans="5:6" ht="15" customHeight="1" x14ac:dyDescent="0.2">
      <c r="E6455" s="18"/>
      <c r="F6455" s="18"/>
    </row>
    <row r="6456" spans="5:6" ht="15" customHeight="1" x14ac:dyDescent="0.2">
      <c r="E6456" s="18"/>
      <c r="F6456" s="18"/>
    </row>
    <row r="6457" spans="5:6" ht="15" customHeight="1" x14ac:dyDescent="0.2">
      <c r="E6457" s="18"/>
      <c r="F6457" s="18"/>
    </row>
    <row r="6458" spans="5:6" ht="15" customHeight="1" x14ac:dyDescent="0.2">
      <c r="E6458" s="18"/>
      <c r="F6458" s="18"/>
    </row>
    <row r="6459" spans="5:6" ht="15" customHeight="1" x14ac:dyDescent="0.2">
      <c r="E6459" s="18"/>
      <c r="F6459" s="18"/>
    </row>
    <row r="6460" spans="5:6" ht="15" customHeight="1" x14ac:dyDescent="0.2">
      <c r="E6460" s="18"/>
      <c r="F6460" s="18"/>
    </row>
    <row r="6461" spans="5:6" ht="15" customHeight="1" x14ac:dyDescent="0.2">
      <c r="E6461" s="18"/>
      <c r="F6461" s="18"/>
    </row>
    <row r="6462" spans="5:6" ht="15" customHeight="1" x14ac:dyDescent="0.2">
      <c r="E6462" s="18"/>
      <c r="F6462" s="18"/>
    </row>
    <row r="6463" spans="5:6" ht="15" customHeight="1" x14ac:dyDescent="0.2">
      <c r="E6463" s="18"/>
      <c r="F6463" s="18"/>
    </row>
    <row r="6464" spans="5:6" ht="15" customHeight="1" x14ac:dyDescent="0.2">
      <c r="E6464" s="18"/>
      <c r="F6464" s="18"/>
    </row>
    <row r="6465" spans="5:6" ht="15" customHeight="1" x14ac:dyDescent="0.2">
      <c r="E6465" s="18"/>
      <c r="F6465" s="18"/>
    </row>
    <row r="6466" spans="5:6" ht="15" customHeight="1" x14ac:dyDescent="0.2">
      <c r="E6466" s="18"/>
      <c r="F6466" s="18"/>
    </row>
    <row r="6467" spans="5:6" ht="15" customHeight="1" x14ac:dyDescent="0.2">
      <c r="E6467" s="18"/>
      <c r="F6467" s="18"/>
    </row>
    <row r="6468" spans="5:6" ht="15" customHeight="1" x14ac:dyDescent="0.2">
      <c r="E6468" s="18"/>
      <c r="F6468" s="18"/>
    </row>
    <row r="6469" spans="5:6" ht="15" customHeight="1" x14ac:dyDescent="0.2">
      <c r="E6469" s="18"/>
      <c r="F6469" s="18"/>
    </row>
    <row r="6470" spans="5:6" ht="15" customHeight="1" x14ac:dyDescent="0.2">
      <c r="E6470" s="18"/>
      <c r="F6470" s="18"/>
    </row>
    <row r="6471" spans="5:6" ht="15" customHeight="1" x14ac:dyDescent="0.2">
      <c r="E6471" s="18"/>
      <c r="F6471" s="18"/>
    </row>
    <row r="6472" spans="5:6" ht="15" customHeight="1" x14ac:dyDescent="0.2">
      <c r="E6472" s="18"/>
      <c r="F6472" s="18"/>
    </row>
    <row r="6473" spans="5:6" ht="15" customHeight="1" x14ac:dyDescent="0.2">
      <c r="E6473" s="18"/>
      <c r="F6473" s="18"/>
    </row>
    <row r="6474" spans="5:6" ht="15" customHeight="1" x14ac:dyDescent="0.2">
      <c r="E6474" s="18"/>
      <c r="F6474" s="18"/>
    </row>
    <row r="6475" spans="5:6" ht="15" customHeight="1" x14ac:dyDescent="0.2">
      <c r="E6475" s="18"/>
      <c r="F6475" s="18"/>
    </row>
    <row r="6476" spans="5:6" ht="15" customHeight="1" x14ac:dyDescent="0.2">
      <c r="E6476" s="18"/>
      <c r="F6476" s="18"/>
    </row>
    <row r="6477" spans="5:6" ht="15" customHeight="1" x14ac:dyDescent="0.2">
      <c r="E6477" s="18"/>
      <c r="F6477" s="18"/>
    </row>
    <row r="6478" spans="5:6" ht="15" customHeight="1" x14ac:dyDescent="0.2">
      <c r="E6478" s="18"/>
      <c r="F6478" s="18"/>
    </row>
    <row r="6479" spans="5:6" ht="15" customHeight="1" x14ac:dyDescent="0.2">
      <c r="E6479" s="18"/>
      <c r="F6479" s="18"/>
    </row>
    <row r="6480" spans="5:6" ht="15" customHeight="1" x14ac:dyDescent="0.2">
      <c r="E6480" s="18"/>
      <c r="F6480" s="18"/>
    </row>
    <row r="6481" spans="5:6" ht="15" customHeight="1" x14ac:dyDescent="0.2">
      <c r="E6481" s="18"/>
      <c r="F6481" s="18"/>
    </row>
    <row r="6482" spans="5:6" ht="15" customHeight="1" x14ac:dyDescent="0.2">
      <c r="E6482" s="18"/>
      <c r="F6482" s="18"/>
    </row>
    <row r="6483" spans="5:6" ht="15" customHeight="1" x14ac:dyDescent="0.2">
      <c r="E6483" s="18"/>
      <c r="F6483" s="18"/>
    </row>
    <row r="6484" spans="5:6" ht="15" customHeight="1" x14ac:dyDescent="0.2">
      <c r="E6484" s="18"/>
      <c r="F6484" s="18"/>
    </row>
    <row r="6485" spans="5:6" ht="15" customHeight="1" x14ac:dyDescent="0.2">
      <c r="E6485" s="18"/>
      <c r="F6485" s="18"/>
    </row>
    <row r="6486" spans="5:6" ht="15" customHeight="1" x14ac:dyDescent="0.2">
      <c r="E6486" s="18"/>
      <c r="F6486" s="18"/>
    </row>
    <row r="6487" spans="5:6" ht="15" customHeight="1" x14ac:dyDescent="0.2">
      <c r="E6487" s="18"/>
      <c r="F6487" s="18"/>
    </row>
    <row r="6488" spans="5:6" ht="15" customHeight="1" x14ac:dyDescent="0.2">
      <c r="E6488" s="18"/>
      <c r="F6488" s="18"/>
    </row>
    <row r="6489" spans="5:6" ht="15" customHeight="1" x14ac:dyDescent="0.2">
      <c r="E6489" s="18"/>
      <c r="F6489" s="18"/>
    </row>
    <row r="6490" spans="5:6" ht="15" customHeight="1" x14ac:dyDescent="0.2">
      <c r="E6490" s="18"/>
      <c r="F6490" s="18"/>
    </row>
    <row r="6491" spans="5:6" ht="15" customHeight="1" x14ac:dyDescent="0.2">
      <c r="E6491" s="18"/>
      <c r="F6491" s="18"/>
    </row>
    <row r="6492" spans="5:6" ht="15" customHeight="1" x14ac:dyDescent="0.2">
      <c r="E6492" s="18"/>
      <c r="F6492" s="18"/>
    </row>
    <row r="6493" spans="5:6" ht="15" customHeight="1" x14ac:dyDescent="0.2">
      <c r="E6493" s="18"/>
      <c r="F6493" s="18"/>
    </row>
    <row r="6494" spans="5:6" ht="15" customHeight="1" x14ac:dyDescent="0.2">
      <c r="E6494" s="18"/>
      <c r="F6494" s="18"/>
    </row>
    <row r="6495" spans="5:6" ht="15" customHeight="1" x14ac:dyDescent="0.2">
      <c r="E6495" s="18"/>
      <c r="F6495" s="18"/>
    </row>
    <row r="6496" spans="5:6" ht="15" customHeight="1" x14ac:dyDescent="0.2">
      <c r="E6496" s="18"/>
      <c r="F6496" s="18"/>
    </row>
    <row r="6497" spans="5:6" ht="15" customHeight="1" x14ac:dyDescent="0.2">
      <c r="E6497" s="18"/>
      <c r="F6497" s="18"/>
    </row>
    <row r="6498" spans="5:6" ht="15" customHeight="1" x14ac:dyDescent="0.2">
      <c r="E6498" s="18"/>
      <c r="F6498" s="18"/>
    </row>
    <row r="6499" spans="5:6" ht="15" customHeight="1" x14ac:dyDescent="0.2">
      <c r="E6499" s="18"/>
      <c r="F6499" s="18"/>
    </row>
    <row r="6500" spans="5:6" ht="15" customHeight="1" x14ac:dyDescent="0.2">
      <c r="E6500" s="18"/>
      <c r="F6500" s="18"/>
    </row>
    <row r="6501" spans="5:6" ht="15" customHeight="1" x14ac:dyDescent="0.2">
      <c r="E6501" s="18"/>
      <c r="F6501" s="18"/>
    </row>
    <row r="6502" spans="5:6" ht="15" customHeight="1" x14ac:dyDescent="0.2">
      <c r="E6502" s="18"/>
      <c r="F6502" s="18"/>
    </row>
    <row r="6503" spans="5:6" ht="15" customHeight="1" x14ac:dyDescent="0.2">
      <c r="E6503" s="18"/>
      <c r="F6503" s="18"/>
    </row>
    <row r="6504" spans="5:6" ht="15" customHeight="1" x14ac:dyDescent="0.2">
      <c r="E6504" s="18"/>
      <c r="F6504" s="18"/>
    </row>
    <row r="6505" spans="5:6" ht="15" customHeight="1" x14ac:dyDescent="0.2">
      <c r="E6505" s="18"/>
      <c r="F6505" s="18"/>
    </row>
    <row r="6506" spans="5:6" ht="15" customHeight="1" x14ac:dyDescent="0.2">
      <c r="E6506" s="18"/>
      <c r="F6506" s="18"/>
    </row>
    <row r="6507" spans="5:6" ht="15" customHeight="1" x14ac:dyDescent="0.2">
      <c r="E6507" s="18"/>
      <c r="F6507" s="18"/>
    </row>
    <row r="6508" spans="5:6" ht="15" customHeight="1" x14ac:dyDescent="0.2">
      <c r="E6508" s="18"/>
      <c r="F6508" s="18"/>
    </row>
    <row r="6509" spans="5:6" ht="15" customHeight="1" x14ac:dyDescent="0.2">
      <c r="E6509" s="18"/>
      <c r="F6509" s="18"/>
    </row>
    <row r="6510" spans="5:6" ht="15" customHeight="1" x14ac:dyDescent="0.2">
      <c r="E6510" s="18"/>
      <c r="F6510" s="18"/>
    </row>
    <row r="6511" spans="5:6" ht="15" customHeight="1" x14ac:dyDescent="0.2">
      <c r="E6511" s="18"/>
      <c r="F6511" s="18"/>
    </row>
    <row r="6512" spans="5:6" ht="15" customHeight="1" x14ac:dyDescent="0.2">
      <c r="E6512" s="18"/>
      <c r="F6512" s="18"/>
    </row>
    <row r="6513" spans="5:6" ht="15" customHeight="1" x14ac:dyDescent="0.2">
      <c r="E6513" s="18"/>
      <c r="F6513" s="18"/>
    </row>
    <row r="6514" spans="5:6" ht="15" customHeight="1" x14ac:dyDescent="0.2">
      <c r="E6514" s="18"/>
      <c r="F6514" s="18"/>
    </row>
    <row r="6515" spans="5:6" ht="15" customHeight="1" x14ac:dyDescent="0.2">
      <c r="E6515" s="18"/>
      <c r="F6515" s="18"/>
    </row>
    <row r="6516" spans="5:6" ht="15" customHeight="1" x14ac:dyDescent="0.2">
      <c r="E6516" s="18"/>
      <c r="F6516" s="18"/>
    </row>
    <row r="6517" spans="5:6" ht="15" customHeight="1" x14ac:dyDescent="0.2">
      <c r="E6517" s="18"/>
      <c r="F6517" s="18"/>
    </row>
    <row r="6518" spans="5:6" ht="15" customHeight="1" x14ac:dyDescent="0.2">
      <c r="E6518" s="18"/>
      <c r="F6518" s="18"/>
    </row>
    <row r="6519" spans="5:6" ht="15" customHeight="1" x14ac:dyDescent="0.2">
      <c r="E6519" s="18"/>
      <c r="F6519" s="18"/>
    </row>
    <row r="6520" spans="5:6" ht="15" customHeight="1" x14ac:dyDescent="0.2">
      <c r="E6520" s="18"/>
      <c r="F6520" s="18"/>
    </row>
    <row r="6521" spans="5:6" ht="15" customHeight="1" x14ac:dyDescent="0.2">
      <c r="E6521" s="18"/>
      <c r="F6521" s="18"/>
    </row>
    <row r="6522" spans="5:6" ht="15" customHeight="1" x14ac:dyDescent="0.2">
      <c r="E6522" s="18"/>
      <c r="F6522" s="18"/>
    </row>
    <row r="6523" spans="5:6" ht="15" customHeight="1" x14ac:dyDescent="0.2">
      <c r="E6523" s="18"/>
      <c r="F6523" s="18"/>
    </row>
    <row r="6524" spans="5:6" ht="15" customHeight="1" x14ac:dyDescent="0.2">
      <c r="E6524" s="18"/>
      <c r="F6524" s="18"/>
    </row>
    <row r="6525" spans="5:6" ht="15" customHeight="1" x14ac:dyDescent="0.2">
      <c r="E6525" s="18"/>
      <c r="F6525" s="18"/>
    </row>
    <row r="6526" spans="5:6" ht="15" customHeight="1" x14ac:dyDescent="0.2">
      <c r="E6526" s="18"/>
      <c r="F6526" s="18"/>
    </row>
    <row r="6527" spans="5:6" ht="15" customHeight="1" x14ac:dyDescent="0.2">
      <c r="E6527" s="18"/>
      <c r="F6527" s="18"/>
    </row>
    <row r="6528" spans="5:6" ht="15" customHeight="1" x14ac:dyDescent="0.2">
      <c r="E6528" s="18"/>
      <c r="F6528" s="18"/>
    </row>
    <row r="6529" spans="5:6" ht="15" customHeight="1" x14ac:dyDescent="0.2">
      <c r="E6529" s="18"/>
      <c r="F6529" s="18"/>
    </row>
    <row r="6530" spans="5:6" ht="15" customHeight="1" x14ac:dyDescent="0.2">
      <c r="E6530" s="18"/>
      <c r="F6530" s="18"/>
    </row>
    <row r="6531" spans="5:6" ht="15" customHeight="1" x14ac:dyDescent="0.2">
      <c r="E6531" s="18"/>
      <c r="F6531" s="18"/>
    </row>
    <row r="6532" spans="5:6" ht="15" customHeight="1" x14ac:dyDescent="0.2">
      <c r="E6532" s="18"/>
      <c r="F6532" s="18"/>
    </row>
    <row r="6533" spans="5:6" ht="15" customHeight="1" x14ac:dyDescent="0.2">
      <c r="E6533" s="18"/>
      <c r="F6533" s="18"/>
    </row>
    <row r="6534" spans="5:6" ht="15" customHeight="1" x14ac:dyDescent="0.2">
      <c r="E6534" s="18"/>
      <c r="F6534" s="18"/>
    </row>
    <row r="6535" spans="5:6" ht="15" customHeight="1" x14ac:dyDescent="0.2">
      <c r="E6535" s="18"/>
      <c r="F6535" s="18"/>
    </row>
    <row r="6536" spans="5:6" ht="15" customHeight="1" x14ac:dyDescent="0.2">
      <c r="E6536" s="18"/>
      <c r="F6536" s="18"/>
    </row>
    <row r="6537" spans="5:6" ht="15" customHeight="1" x14ac:dyDescent="0.2">
      <c r="E6537" s="18"/>
      <c r="F6537" s="18"/>
    </row>
    <row r="6538" spans="5:6" ht="15" customHeight="1" x14ac:dyDescent="0.2">
      <c r="E6538" s="18"/>
      <c r="F6538" s="18"/>
    </row>
    <row r="6539" spans="5:6" ht="15" customHeight="1" x14ac:dyDescent="0.2">
      <c r="E6539" s="18"/>
      <c r="F6539" s="18"/>
    </row>
    <row r="6540" spans="5:6" ht="15" customHeight="1" x14ac:dyDescent="0.2">
      <c r="E6540" s="18"/>
      <c r="F6540" s="18"/>
    </row>
    <row r="6541" spans="5:6" ht="15" customHeight="1" x14ac:dyDescent="0.2">
      <c r="E6541" s="18"/>
      <c r="F6541" s="18"/>
    </row>
    <row r="6542" spans="5:6" ht="15" customHeight="1" x14ac:dyDescent="0.2">
      <c r="E6542" s="18"/>
      <c r="F6542" s="18"/>
    </row>
    <row r="6543" spans="5:6" ht="15" customHeight="1" x14ac:dyDescent="0.2">
      <c r="E6543" s="18"/>
      <c r="F6543" s="18"/>
    </row>
    <row r="6544" spans="5:6" ht="15" customHeight="1" x14ac:dyDescent="0.2">
      <c r="E6544" s="18"/>
      <c r="F6544" s="18"/>
    </row>
    <row r="6545" spans="5:6" ht="15" customHeight="1" x14ac:dyDescent="0.2">
      <c r="E6545" s="18"/>
      <c r="F6545" s="18"/>
    </row>
    <row r="6546" spans="5:6" ht="15" customHeight="1" x14ac:dyDescent="0.2">
      <c r="E6546" s="18"/>
      <c r="F6546" s="18"/>
    </row>
    <row r="6547" spans="5:6" ht="15" customHeight="1" x14ac:dyDescent="0.2">
      <c r="E6547" s="18"/>
      <c r="F6547" s="18"/>
    </row>
    <row r="6548" spans="5:6" ht="15" customHeight="1" x14ac:dyDescent="0.2">
      <c r="E6548" s="18"/>
      <c r="F6548" s="18"/>
    </row>
    <row r="6549" spans="5:6" ht="15" customHeight="1" x14ac:dyDescent="0.2">
      <c r="E6549" s="18"/>
      <c r="F6549" s="18"/>
    </row>
    <row r="6550" spans="5:6" ht="15" customHeight="1" x14ac:dyDescent="0.2">
      <c r="E6550" s="18"/>
      <c r="F6550" s="18"/>
    </row>
    <row r="6551" spans="5:6" ht="15" customHeight="1" x14ac:dyDescent="0.2">
      <c r="E6551" s="18"/>
      <c r="F6551" s="18"/>
    </row>
    <row r="6552" spans="5:6" ht="15" customHeight="1" x14ac:dyDescent="0.2">
      <c r="E6552" s="18"/>
      <c r="F6552" s="18"/>
    </row>
    <row r="6553" spans="5:6" ht="15" customHeight="1" x14ac:dyDescent="0.2">
      <c r="E6553" s="18"/>
      <c r="F6553" s="18"/>
    </row>
    <row r="6554" spans="5:6" ht="15" customHeight="1" x14ac:dyDescent="0.2">
      <c r="E6554" s="18"/>
      <c r="F6554" s="18"/>
    </row>
    <row r="6555" spans="5:6" ht="15" customHeight="1" x14ac:dyDescent="0.2">
      <c r="E6555" s="18"/>
      <c r="F6555" s="18"/>
    </row>
    <row r="6556" spans="5:6" ht="15" customHeight="1" x14ac:dyDescent="0.2">
      <c r="E6556" s="18"/>
      <c r="F6556" s="18"/>
    </row>
    <row r="6557" spans="5:6" ht="15" customHeight="1" x14ac:dyDescent="0.2">
      <c r="E6557" s="18"/>
      <c r="F6557" s="18"/>
    </row>
    <row r="6558" spans="5:6" ht="15" customHeight="1" x14ac:dyDescent="0.2">
      <c r="E6558" s="18"/>
      <c r="F6558" s="18"/>
    </row>
    <row r="6559" spans="5:6" ht="15" customHeight="1" x14ac:dyDescent="0.2">
      <c r="E6559" s="18"/>
      <c r="F6559" s="18"/>
    </row>
    <row r="6560" spans="5:6" ht="15" customHeight="1" x14ac:dyDescent="0.2">
      <c r="E6560" s="18"/>
      <c r="F6560" s="18"/>
    </row>
    <row r="6561" spans="5:6" ht="15" customHeight="1" x14ac:dyDescent="0.2">
      <c r="E6561" s="18"/>
      <c r="F6561" s="18"/>
    </row>
    <row r="6562" spans="5:6" ht="15" customHeight="1" x14ac:dyDescent="0.2">
      <c r="E6562" s="18"/>
      <c r="F6562" s="18"/>
    </row>
    <row r="6563" spans="5:6" ht="15" customHeight="1" x14ac:dyDescent="0.2">
      <c r="E6563" s="18"/>
      <c r="F6563" s="18"/>
    </row>
    <row r="6564" spans="5:6" ht="15" customHeight="1" x14ac:dyDescent="0.2">
      <c r="E6564" s="18"/>
      <c r="F6564" s="18"/>
    </row>
    <row r="6565" spans="5:6" ht="15" customHeight="1" x14ac:dyDescent="0.2">
      <c r="E6565" s="18"/>
      <c r="F6565" s="18"/>
    </row>
    <row r="6566" spans="5:6" ht="15" customHeight="1" x14ac:dyDescent="0.2">
      <c r="E6566" s="18"/>
      <c r="F6566" s="18"/>
    </row>
    <row r="6567" spans="5:6" ht="15" customHeight="1" x14ac:dyDescent="0.2">
      <c r="E6567" s="18"/>
      <c r="F6567" s="18"/>
    </row>
    <row r="6568" spans="5:6" ht="15" customHeight="1" x14ac:dyDescent="0.2">
      <c r="E6568" s="18"/>
      <c r="F6568" s="18"/>
    </row>
    <row r="6569" spans="5:6" ht="15" customHeight="1" x14ac:dyDescent="0.2">
      <c r="E6569" s="18"/>
      <c r="F6569" s="18"/>
    </row>
    <row r="6570" spans="5:6" ht="15" customHeight="1" x14ac:dyDescent="0.2">
      <c r="E6570" s="18"/>
      <c r="F6570" s="18"/>
    </row>
    <row r="6571" spans="5:6" ht="15" customHeight="1" x14ac:dyDescent="0.2">
      <c r="E6571" s="18"/>
      <c r="F6571" s="18"/>
    </row>
    <row r="6572" spans="5:6" ht="15" customHeight="1" x14ac:dyDescent="0.2">
      <c r="E6572" s="18"/>
      <c r="F6572" s="18"/>
    </row>
    <row r="6573" spans="5:6" ht="15" customHeight="1" x14ac:dyDescent="0.2">
      <c r="E6573" s="18"/>
      <c r="F6573" s="18"/>
    </row>
    <row r="6574" spans="5:6" ht="15" customHeight="1" x14ac:dyDescent="0.2">
      <c r="E6574" s="18"/>
      <c r="F6574" s="18"/>
    </row>
    <row r="6575" spans="5:6" ht="15" customHeight="1" x14ac:dyDescent="0.2">
      <c r="E6575" s="18"/>
      <c r="F6575" s="18"/>
    </row>
    <row r="6576" spans="5:6" ht="15" customHeight="1" x14ac:dyDescent="0.2">
      <c r="E6576" s="18"/>
      <c r="F6576" s="18"/>
    </row>
    <row r="6577" spans="5:6" ht="15" customHeight="1" x14ac:dyDescent="0.2">
      <c r="E6577" s="18"/>
      <c r="F6577" s="18"/>
    </row>
    <row r="6578" spans="5:6" ht="15" customHeight="1" x14ac:dyDescent="0.2">
      <c r="E6578" s="18"/>
      <c r="F6578" s="18"/>
    </row>
    <row r="6579" spans="5:6" ht="15" customHeight="1" x14ac:dyDescent="0.2">
      <c r="E6579" s="18"/>
      <c r="F6579" s="18"/>
    </row>
    <row r="6580" spans="5:6" ht="15" customHeight="1" x14ac:dyDescent="0.2">
      <c r="E6580" s="18"/>
      <c r="F6580" s="18"/>
    </row>
    <row r="6581" spans="5:6" ht="15" customHeight="1" x14ac:dyDescent="0.2">
      <c r="E6581" s="18"/>
      <c r="F6581" s="18"/>
    </row>
    <row r="6582" spans="5:6" ht="15" customHeight="1" x14ac:dyDescent="0.2">
      <c r="E6582" s="18"/>
      <c r="F6582" s="18"/>
    </row>
    <row r="6583" spans="5:6" ht="15" customHeight="1" x14ac:dyDescent="0.2">
      <c r="E6583" s="18"/>
      <c r="F6583" s="18"/>
    </row>
    <row r="6584" spans="5:6" ht="15" customHeight="1" x14ac:dyDescent="0.2">
      <c r="E6584" s="18"/>
      <c r="F6584" s="18"/>
    </row>
    <row r="6585" spans="5:6" ht="15" customHeight="1" x14ac:dyDescent="0.2">
      <c r="E6585" s="18"/>
      <c r="F6585" s="18"/>
    </row>
    <row r="6586" spans="5:6" ht="15" customHeight="1" x14ac:dyDescent="0.2">
      <c r="E6586" s="18"/>
      <c r="F6586" s="18"/>
    </row>
    <row r="6587" spans="5:6" ht="15" customHeight="1" x14ac:dyDescent="0.2">
      <c r="E6587" s="18"/>
      <c r="F6587" s="18"/>
    </row>
    <row r="6588" spans="5:6" ht="15" customHeight="1" x14ac:dyDescent="0.2">
      <c r="E6588" s="18"/>
      <c r="F6588" s="18"/>
    </row>
    <row r="6589" spans="5:6" ht="15" customHeight="1" x14ac:dyDescent="0.2">
      <c r="E6589" s="18"/>
      <c r="F6589" s="18"/>
    </row>
    <row r="6590" spans="5:6" ht="15" customHeight="1" x14ac:dyDescent="0.2">
      <c r="E6590" s="18"/>
      <c r="F6590" s="18"/>
    </row>
    <row r="6591" spans="5:6" ht="15" customHeight="1" x14ac:dyDescent="0.2">
      <c r="E6591" s="18"/>
      <c r="F6591" s="18"/>
    </row>
    <row r="6592" spans="5:6" ht="15" customHeight="1" x14ac:dyDescent="0.2">
      <c r="E6592" s="18"/>
      <c r="F6592" s="18"/>
    </row>
    <row r="6593" spans="5:6" ht="15" customHeight="1" x14ac:dyDescent="0.2">
      <c r="E6593" s="18"/>
      <c r="F6593" s="18"/>
    </row>
    <row r="6594" spans="5:6" ht="15" customHeight="1" x14ac:dyDescent="0.2">
      <c r="E6594" s="18"/>
      <c r="F6594" s="18"/>
    </row>
    <row r="6595" spans="5:6" ht="15" customHeight="1" x14ac:dyDescent="0.2">
      <c r="E6595" s="18"/>
      <c r="F6595" s="18"/>
    </row>
    <row r="6596" spans="5:6" ht="15" customHeight="1" x14ac:dyDescent="0.2">
      <c r="E6596" s="18"/>
      <c r="F6596" s="18"/>
    </row>
    <row r="6597" spans="5:6" ht="15" customHeight="1" x14ac:dyDescent="0.2">
      <c r="E6597" s="18"/>
      <c r="F6597" s="18"/>
    </row>
    <row r="6598" spans="5:6" ht="15" customHeight="1" x14ac:dyDescent="0.2">
      <c r="E6598" s="18"/>
      <c r="F6598" s="18"/>
    </row>
    <row r="6599" spans="5:6" ht="15" customHeight="1" x14ac:dyDescent="0.2">
      <c r="E6599" s="18"/>
      <c r="F6599" s="18"/>
    </row>
    <row r="6600" spans="5:6" ht="15" customHeight="1" x14ac:dyDescent="0.2">
      <c r="E6600" s="18"/>
      <c r="F6600" s="18"/>
    </row>
    <row r="6601" spans="5:6" ht="15" customHeight="1" x14ac:dyDescent="0.2">
      <c r="E6601" s="18"/>
      <c r="F6601" s="18"/>
    </row>
    <row r="6602" spans="5:6" ht="15" customHeight="1" x14ac:dyDescent="0.2">
      <c r="E6602" s="18"/>
      <c r="F6602" s="18"/>
    </row>
    <row r="6603" spans="5:6" ht="15" customHeight="1" x14ac:dyDescent="0.2">
      <c r="E6603" s="18"/>
      <c r="F6603" s="18"/>
    </row>
    <row r="6604" spans="5:6" ht="15" customHeight="1" x14ac:dyDescent="0.2">
      <c r="E6604" s="18"/>
      <c r="F6604" s="18"/>
    </row>
    <row r="6605" spans="5:6" ht="15" customHeight="1" x14ac:dyDescent="0.2">
      <c r="E6605" s="18"/>
      <c r="F6605" s="18"/>
    </row>
    <row r="6606" spans="5:6" ht="15" customHeight="1" x14ac:dyDescent="0.2">
      <c r="E6606" s="18"/>
      <c r="F6606" s="18"/>
    </row>
    <row r="6607" spans="5:6" ht="15" customHeight="1" x14ac:dyDescent="0.2">
      <c r="E6607" s="18"/>
      <c r="F6607" s="18"/>
    </row>
    <row r="6608" spans="5:6" ht="15" customHeight="1" x14ac:dyDescent="0.2">
      <c r="E6608" s="18"/>
      <c r="F6608" s="18"/>
    </row>
    <row r="6609" spans="5:6" ht="15" customHeight="1" x14ac:dyDescent="0.2">
      <c r="E6609" s="18"/>
      <c r="F6609" s="18"/>
    </row>
    <row r="6610" spans="5:6" ht="15" customHeight="1" x14ac:dyDescent="0.2">
      <c r="E6610" s="18"/>
      <c r="F6610" s="18"/>
    </row>
    <row r="6611" spans="5:6" ht="15" customHeight="1" x14ac:dyDescent="0.2">
      <c r="E6611" s="18"/>
      <c r="F6611" s="18"/>
    </row>
    <row r="6612" spans="5:6" ht="15" customHeight="1" x14ac:dyDescent="0.2">
      <c r="E6612" s="18"/>
      <c r="F6612" s="18"/>
    </row>
    <row r="6613" spans="5:6" ht="15" customHeight="1" x14ac:dyDescent="0.2">
      <c r="E6613" s="18"/>
      <c r="F6613" s="18"/>
    </row>
    <row r="6614" spans="5:6" ht="15" customHeight="1" x14ac:dyDescent="0.2">
      <c r="E6614" s="18"/>
      <c r="F6614" s="18"/>
    </row>
    <row r="6615" spans="5:6" ht="15" customHeight="1" x14ac:dyDescent="0.2">
      <c r="E6615" s="18"/>
      <c r="F6615" s="18"/>
    </row>
    <row r="6616" spans="5:6" ht="15" customHeight="1" x14ac:dyDescent="0.2">
      <c r="E6616" s="18"/>
      <c r="F6616" s="18"/>
    </row>
    <row r="6617" spans="5:6" ht="15" customHeight="1" x14ac:dyDescent="0.2">
      <c r="E6617" s="18"/>
      <c r="F6617" s="18"/>
    </row>
    <row r="6618" spans="5:6" ht="15" customHeight="1" x14ac:dyDescent="0.2">
      <c r="E6618" s="18"/>
      <c r="F6618" s="18"/>
    </row>
    <row r="6619" spans="5:6" ht="15" customHeight="1" x14ac:dyDescent="0.2">
      <c r="E6619" s="18"/>
      <c r="F6619" s="18"/>
    </row>
    <row r="6620" spans="5:6" ht="15" customHeight="1" x14ac:dyDescent="0.2">
      <c r="E6620" s="18"/>
      <c r="F6620" s="18"/>
    </row>
    <row r="6621" spans="5:6" ht="15" customHeight="1" x14ac:dyDescent="0.2">
      <c r="E6621" s="18"/>
      <c r="F6621" s="18"/>
    </row>
    <row r="6622" spans="5:6" ht="15" customHeight="1" x14ac:dyDescent="0.2">
      <c r="E6622" s="18"/>
      <c r="F6622" s="18"/>
    </row>
    <row r="6623" spans="5:6" ht="15" customHeight="1" x14ac:dyDescent="0.2">
      <c r="E6623" s="18"/>
      <c r="F6623" s="18"/>
    </row>
    <row r="6624" spans="5:6" ht="15" customHeight="1" x14ac:dyDescent="0.2">
      <c r="E6624" s="18"/>
      <c r="F6624" s="18"/>
    </row>
    <row r="6625" spans="5:6" ht="15" customHeight="1" x14ac:dyDescent="0.2">
      <c r="E6625" s="18"/>
      <c r="F6625" s="18"/>
    </row>
    <row r="6626" spans="5:6" ht="15" customHeight="1" x14ac:dyDescent="0.2">
      <c r="E6626" s="18"/>
      <c r="F6626" s="18"/>
    </row>
    <row r="6627" spans="5:6" ht="15" customHeight="1" x14ac:dyDescent="0.2">
      <c r="E6627" s="18"/>
      <c r="F6627" s="18"/>
    </row>
    <row r="6628" spans="5:6" ht="15" customHeight="1" x14ac:dyDescent="0.2">
      <c r="E6628" s="18"/>
      <c r="F6628" s="18"/>
    </row>
    <row r="6629" spans="5:6" ht="15" customHeight="1" x14ac:dyDescent="0.2">
      <c r="E6629" s="18"/>
      <c r="F6629" s="18"/>
    </row>
    <row r="6630" spans="5:6" ht="15" customHeight="1" x14ac:dyDescent="0.2">
      <c r="E6630" s="18"/>
      <c r="F6630" s="18"/>
    </row>
    <row r="6631" spans="5:6" ht="15" customHeight="1" x14ac:dyDescent="0.2">
      <c r="E6631" s="18"/>
      <c r="F6631" s="18"/>
    </row>
    <row r="6632" spans="5:6" ht="15" customHeight="1" x14ac:dyDescent="0.2">
      <c r="E6632" s="18"/>
      <c r="F6632" s="18"/>
    </row>
    <row r="6633" spans="5:6" ht="15" customHeight="1" x14ac:dyDescent="0.2">
      <c r="E6633" s="18"/>
      <c r="F6633" s="18"/>
    </row>
    <row r="6634" spans="5:6" ht="15" customHeight="1" x14ac:dyDescent="0.2">
      <c r="E6634" s="18"/>
      <c r="F6634" s="18"/>
    </row>
    <row r="6635" spans="5:6" ht="15" customHeight="1" x14ac:dyDescent="0.2">
      <c r="E6635" s="18"/>
      <c r="F6635" s="18"/>
    </row>
    <row r="6636" spans="5:6" ht="15" customHeight="1" x14ac:dyDescent="0.2">
      <c r="E6636" s="18"/>
      <c r="F6636" s="18"/>
    </row>
    <row r="6637" spans="5:6" ht="15" customHeight="1" x14ac:dyDescent="0.2">
      <c r="E6637" s="18"/>
      <c r="F6637" s="18"/>
    </row>
    <row r="6638" spans="5:6" ht="15" customHeight="1" x14ac:dyDescent="0.2">
      <c r="E6638" s="18"/>
      <c r="F6638" s="18"/>
    </row>
    <row r="6639" spans="5:6" ht="15" customHeight="1" x14ac:dyDescent="0.2">
      <c r="E6639" s="18"/>
      <c r="F6639" s="18"/>
    </row>
    <row r="6640" spans="5:6" ht="15" customHeight="1" x14ac:dyDescent="0.2">
      <c r="E6640" s="18"/>
      <c r="F6640" s="18"/>
    </row>
    <row r="6641" spans="5:6" ht="15" customHeight="1" x14ac:dyDescent="0.2">
      <c r="E6641" s="18"/>
      <c r="F6641" s="18"/>
    </row>
    <row r="6642" spans="5:6" ht="15" customHeight="1" x14ac:dyDescent="0.2">
      <c r="E6642" s="18"/>
      <c r="F6642" s="18"/>
    </row>
    <row r="6643" spans="5:6" ht="15" customHeight="1" x14ac:dyDescent="0.2">
      <c r="E6643" s="18"/>
      <c r="F6643" s="18"/>
    </row>
    <row r="6644" spans="5:6" ht="15" customHeight="1" x14ac:dyDescent="0.2">
      <c r="E6644" s="18"/>
      <c r="F6644" s="18"/>
    </row>
    <row r="6645" spans="5:6" ht="15" customHeight="1" x14ac:dyDescent="0.2">
      <c r="E6645" s="18"/>
      <c r="F6645" s="18"/>
    </row>
    <row r="6646" spans="5:6" ht="15" customHeight="1" x14ac:dyDescent="0.2">
      <c r="E6646" s="18"/>
      <c r="F6646" s="18"/>
    </row>
    <row r="6647" spans="5:6" ht="15" customHeight="1" x14ac:dyDescent="0.2">
      <c r="E6647" s="18"/>
      <c r="F6647" s="18"/>
    </row>
    <row r="6648" spans="5:6" ht="15" customHeight="1" x14ac:dyDescent="0.2">
      <c r="E6648" s="18"/>
      <c r="F6648" s="18"/>
    </row>
    <row r="6649" spans="5:6" ht="15" customHeight="1" x14ac:dyDescent="0.2">
      <c r="E6649" s="18"/>
      <c r="F6649" s="18"/>
    </row>
    <row r="6650" spans="5:6" ht="15" customHeight="1" x14ac:dyDescent="0.2">
      <c r="E6650" s="18"/>
      <c r="F6650" s="18"/>
    </row>
    <row r="6651" spans="5:6" ht="15" customHeight="1" x14ac:dyDescent="0.2">
      <c r="E6651" s="18"/>
      <c r="F6651" s="18"/>
    </row>
    <row r="6652" spans="5:6" ht="15" customHeight="1" x14ac:dyDescent="0.2">
      <c r="E6652" s="18"/>
      <c r="F6652" s="18"/>
    </row>
    <row r="6653" spans="5:6" ht="15" customHeight="1" x14ac:dyDescent="0.2">
      <c r="E6653" s="18"/>
      <c r="F6653" s="18"/>
    </row>
    <row r="6654" spans="5:6" ht="15" customHeight="1" x14ac:dyDescent="0.2">
      <c r="E6654" s="18"/>
      <c r="F6654" s="18"/>
    </row>
    <row r="6655" spans="5:6" ht="15" customHeight="1" x14ac:dyDescent="0.2">
      <c r="E6655" s="18"/>
      <c r="F6655" s="18"/>
    </row>
    <row r="6656" spans="5:6" ht="15" customHeight="1" x14ac:dyDescent="0.2">
      <c r="E6656" s="18"/>
      <c r="F6656" s="18"/>
    </row>
    <row r="6657" spans="5:6" ht="15" customHeight="1" x14ac:dyDescent="0.2">
      <c r="E6657" s="18"/>
      <c r="F6657" s="18"/>
    </row>
    <row r="6658" spans="5:6" ht="15" customHeight="1" x14ac:dyDescent="0.2">
      <c r="E6658" s="18"/>
      <c r="F6658" s="18"/>
    </row>
    <row r="6659" spans="5:6" ht="15" customHeight="1" x14ac:dyDescent="0.2">
      <c r="E6659" s="18"/>
      <c r="F6659" s="18"/>
    </row>
    <row r="6660" spans="5:6" ht="15" customHeight="1" x14ac:dyDescent="0.2">
      <c r="E6660" s="18"/>
      <c r="F6660" s="18"/>
    </row>
    <row r="6661" spans="5:6" ht="15" customHeight="1" x14ac:dyDescent="0.2">
      <c r="E6661" s="18"/>
      <c r="F6661" s="18"/>
    </row>
    <row r="6662" spans="5:6" ht="15" customHeight="1" x14ac:dyDescent="0.2">
      <c r="E6662" s="18"/>
      <c r="F6662" s="18"/>
    </row>
    <row r="6663" spans="5:6" ht="15" customHeight="1" x14ac:dyDescent="0.2">
      <c r="E6663" s="18"/>
      <c r="F6663" s="18"/>
    </row>
    <row r="6664" spans="5:6" ht="15" customHeight="1" x14ac:dyDescent="0.2">
      <c r="E6664" s="18"/>
      <c r="F6664" s="18"/>
    </row>
    <row r="6665" spans="5:6" ht="15" customHeight="1" x14ac:dyDescent="0.2">
      <c r="E6665" s="18"/>
      <c r="F6665" s="18"/>
    </row>
    <row r="6666" spans="5:6" ht="15" customHeight="1" x14ac:dyDescent="0.2">
      <c r="E6666" s="18"/>
      <c r="F6666" s="18"/>
    </row>
    <row r="6667" spans="5:6" ht="15" customHeight="1" x14ac:dyDescent="0.2">
      <c r="E6667" s="18"/>
      <c r="F6667" s="18"/>
    </row>
    <row r="6668" spans="5:6" ht="15" customHeight="1" x14ac:dyDescent="0.2">
      <c r="E6668" s="18"/>
      <c r="F6668" s="18"/>
    </row>
    <row r="6669" spans="5:6" ht="15" customHeight="1" x14ac:dyDescent="0.2">
      <c r="E6669" s="18"/>
      <c r="F6669" s="18"/>
    </row>
    <row r="6670" spans="5:6" ht="15" customHeight="1" x14ac:dyDescent="0.2">
      <c r="E6670" s="18"/>
      <c r="F6670" s="18"/>
    </row>
    <row r="6671" spans="5:6" ht="15" customHeight="1" x14ac:dyDescent="0.2">
      <c r="E6671" s="18"/>
      <c r="F6671" s="18"/>
    </row>
    <row r="6672" spans="5:6" ht="15" customHeight="1" x14ac:dyDescent="0.2">
      <c r="E6672" s="18"/>
      <c r="F6672" s="18"/>
    </row>
    <row r="6673" spans="5:6" ht="15" customHeight="1" x14ac:dyDescent="0.2">
      <c r="E6673" s="18"/>
      <c r="F6673" s="18"/>
    </row>
    <row r="6674" spans="5:6" ht="15" customHeight="1" x14ac:dyDescent="0.2">
      <c r="E6674" s="18"/>
      <c r="F6674" s="18"/>
    </row>
    <row r="6675" spans="5:6" ht="15" customHeight="1" x14ac:dyDescent="0.2">
      <c r="E6675" s="18"/>
      <c r="F6675" s="18"/>
    </row>
    <row r="6676" spans="5:6" ht="15" customHeight="1" x14ac:dyDescent="0.2">
      <c r="E6676" s="18"/>
      <c r="F6676" s="18"/>
    </row>
    <row r="6677" spans="5:6" ht="15" customHeight="1" x14ac:dyDescent="0.2">
      <c r="E6677" s="18"/>
      <c r="F6677" s="18"/>
    </row>
    <row r="6678" spans="5:6" ht="15" customHeight="1" x14ac:dyDescent="0.2">
      <c r="E6678" s="18"/>
      <c r="F6678" s="18"/>
    </row>
    <row r="6679" spans="5:6" ht="15" customHeight="1" x14ac:dyDescent="0.2">
      <c r="E6679" s="18"/>
      <c r="F6679" s="18"/>
    </row>
    <row r="6680" spans="5:6" ht="15" customHeight="1" x14ac:dyDescent="0.2">
      <c r="E6680" s="18"/>
      <c r="F6680" s="18"/>
    </row>
    <row r="6681" spans="5:6" ht="15" customHeight="1" x14ac:dyDescent="0.2">
      <c r="E6681" s="18"/>
      <c r="F6681" s="18"/>
    </row>
    <row r="6682" spans="5:6" ht="15" customHeight="1" x14ac:dyDescent="0.2">
      <c r="E6682" s="18"/>
      <c r="F6682" s="18"/>
    </row>
    <row r="6683" spans="5:6" ht="15" customHeight="1" x14ac:dyDescent="0.2">
      <c r="E6683" s="18"/>
      <c r="F6683" s="18"/>
    </row>
    <row r="6684" spans="5:6" ht="15" customHeight="1" x14ac:dyDescent="0.2">
      <c r="E6684" s="18"/>
      <c r="F6684" s="18"/>
    </row>
    <row r="6685" spans="5:6" ht="15" customHeight="1" x14ac:dyDescent="0.2">
      <c r="E6685" s="18"/>
      <c r="F6685" s="18"/>
    </row>
    <row r="6686" spans="5:6" ht="15" customHeight="1" x14ac:dyDescent="0.2">
      <c r="E6686" s="18"/>
      <c r="F6686" s="18"/>
    </row>
    <row r="6687" spans="5:6" ht="15" customHeight="1" x14ac:dyDescent="0.2">
      <c r="E6687" s="18"/>
      <c r="F6687" s="18"/>
    </row>
    <row r="6688" spans="5:6" ht="15" customHeight="1" x14ac:dyDescent="0.2">
      <c r="E6688" s="18"/>
      <c r="F6688" s="18"/>
    </row>
    <row r="6689" spans="5:6" ht="15" customHeight="1" x14ac:dyDescent="0.2">
      <c r="E6689" s="18"/>
      <c r="F6689" s="18"/>
    </row>
    <row r="6690" spans="5:6" ht="15" customHeight="1" x14ac:dyDescent="0.2">
      <c r="E6690" s="18"/>
      <c r="F6690" s="18"/>
    </row>
    <row r="6691" spans="5:6" ht="15" customHeight="1" x14ac:dyDescent="0.2">
      <c r="E6691" s="18"/>
      <c r="F6691" s="18"/>
    </row>
    <row r="6692" spans="5:6" ht="15" customHeight="1" x14ac:dyDescent="0.2">
      <c r="E6692" s="18"/>
      <c r="F6692" s="18"/>
    </row>
    <row r="6693" spans="5:6" ht="15" customHeight="1" x14ac:dyDescent="0.2">
      <c r="E6693" s="18"/>
      <c r="F6693" s="18"/>
    </row>
    <row r="6694" spans="5:6" ht="15" customHeight="1" x14ac:dyDescent="0.2">
      <c r="E6694" s="18"/>
      <c r="F6694" s="18"/>
    </row>
    <row r="6695" spans="5:6" ht="15" customHeight="1" x14ac:dyDescent="0.2">
      <c r="E6695" s="18"/>
      <c r="F6695" s="18"/>
    </row>
    <row r="6696" spans="5:6" ht="15" customHeight="1" x14ac:dyDescent="0.2">
      <c r="E6696" s="18"/>
      <c r="F6696" s="18"/>
    </row>
    <row r="6697" spans="5:6" ht="15" customHeight="1" x14ac:dyDescent="0.2">
      <c r="E6697" s="18"/>
      <c r="F6697" s="18"/>
    </row>
    <row r="6698" spans="5:6" ht="15" customHeight="1" x14ac:dyDescent="0.2">
      <c r="E6698" s="18"/>
      <c r="F6698" s="18"/>
    </row>
    <row r="6699" spans="5:6" ht="15" customHeight="1" x14ac:dyDescent="0.2">
      <c r="E6699" s="18"/>
      <c r="F6699" s="18"/>
    </row>
    <row r="6700" spans="5:6" ht="15" customHeight="1" x14ac:dyDescent="0.2">
      <c r="E6700" s="18"/>
      <c r="F6700" s="18"/>
    </row>
    <row r="6701" spans="5:6" ht="15" customHeight="1" x14ac:dyDescent="0.2">
      <c r="E6701" s="18"/>
      <c r="F6701" s="18"/>
    </row>
    <row r="6702" spans="5:6" ht="15" customHeight="1" x14ac:dyDescent="0.2">
      <c r="E6702" s="18"/>
      <c r="F6702" s="18"/>
    </row>
    <row r="6703" spans="5:6" ht="15" customHeight="1" x14ac:dyDescent="0.2">
      <c r="E6703" s="18"/>
      <c r="F6703" s="18"/>
    </row>
    <row r="6704" spans="5:6" ht="15" customHeight="1" x14ac:dyDescent="0.2">
      <c r="E6704" s="18"/>
      <c r="F6704" s="18"/>
    </row>
    <row r="6705" spans="5:6" ht="15" customHeight="1" x14ac:dyDescent="0.2">
      <c r="E6705" s="18"/>
      <c r="F6705" s="18"/>
    </row>
    <row r="6706" spans="5:6" ht="15" customHeight="1" x14ac:dyDescent="0.2">
      <c r="E6706" s="18"/>
      <c r="F6706" s="18"/>
    </row>
    <row r="6707" spans="5:6" ht="15" customHeight="1" x14ac:dyDescent="0.2">
      <c r="E6707" s="18"/>
      <c r="F6707" s="18"/>
    </row>
    <row r="6708" spans="5:6" ht="15" customHeight="1" x14ac:dyDescent="0.2">
      <c r="E6708" s="18"/>
      <c r="F6708" s="18"/>
    </row>
    <row r="6709" spans="5:6" ht="15" customHeight="1" x14ac:dyDescent="0.2">
      <c r="E6709" s="18"/>
      <c r="F6709" s="18"/>
    </row>
    <row r="6710" spans="5:6" ht="15" customHeight="1" x14ac:dyDescent="0.2">
      <c r="E6710" s="18"/>
      <c r="F6710" s="18"/>
    </row>
    <row r="6711" spans="5:6" ht="15" customHeight="1" x14ac:dyDescent="0.2">
      <c r="E6711" s="18"/>
      <c r="F6711" s="18"/>
    </row>
    <row r="6712" spans="5:6" ht="15" customHeight="1" x14ac:dyDescent="0.2">
      <c r="E6712" s="18"/>
      <c r="F6712" s="18"/>
    </row>
    <row r="6713" spans="5:6" ht="15" customHeight="1" x14ac:dyDescent="0.2">
      <c r="E6713" s="18"/>
      <c r="F6713" s="18"/>
    </row>
    <row r="6714" spans="5:6" ht="15" customHeight="1" x14ac:dyDescent="0.2">
      <c r="E6714" s="18"/>
      <c r="F6714" s="18"/>
    </row>
    <row r="6715" spans="5:6" ht="15" customHeight="1" x14ac:dyDescent="0.2">
      <c r="E6715" s="18"/>
      <c r="F6715" s="18"/>
    </row>
    <row r="6716" spans="5:6" ht="15" customHeight="1" x14ac:dyDescent="0.2">
      <c r="E6716" s="18"/>
      <c r="F6716" s="18"/>
    </row>
    <row r="6717" spans="5:6" ht="15" customHeight="1" x14ac:dyDescent="0.2">
      <c r="E6717" s="18"/>
      <c r="F6717" s="18"/>
    </row>
    <row r="6718" spans="5:6" ht="15" customHeight="1" x14ac:dyDescent="0.2">
      <c r="E6718" s="18"/>
      <c r="F6718" s="18"/>
    </row>
    <row r="6719" spans="5:6" ht="15" customHeight="1" x14ac:dyDescent="0.2">
      <c r="E6719" s="18"/>
      <c r="F6719" s="18"/>
    </row>
    <row r="6720" spans="5:6" ht="15" customHeight="1" x14ac:dyDescent="0.2">
      <c r="E6720" s="18"/>
      <c r="F6720" s="18"/>
    </row>
    <row r="6721" spans="5:6" ht="15" customHeight="1" x14ac:dyDescent="0.2">
      <c r="E6721" s="18"/>
      <c r="F6721" s="18"/>
    </row>
    <row r="6722" spans="5:6" ht="15" customHeight="1" x14ac:dyDescent="0.2">
      <c r="E6722" s="18"/>
      <c r="F6722" s="18"/>
    </row>
    <row r="6723" spans="5:6" ht="15" customHeight="1" x14ac:dyDescent="0.2">
      <c r="E6723" s="18"/>
      <c r="F6723" s="18"/>
    </row>
    <row r="6724" spans="5:6" ht="15" customHeight="1" x14ac:dyDescent="0.2">
      <c r="E6724" s="18"/>
      <c r="F6724" s="18"/>
    </row>
    <row r="6725" spans="5:6" ht="15" customHeight="1" x14ac:dyDescent="0.2">
      <c r="E6725" s="18"/>
      <c r="F6725" s="18"/>
    </row>
    <row r="6726" spans="5:6" ht="15" customHeight="1" x14ac:dyDescent="0.2">
      <c r="E6726" s="18"/>
      <c r="F6726" s="18"/>
    </row>
    <row r="6727" spans="5:6" ht="15" customHeight="1" x14ac:dyDescent="0.2">
      <c r="E6727" s="18"/>
      <c r="F6727" s="18"/>
    </row>
    <row r="6728" spans="5:6" ht="15" customHeight="1" x14ac:dyDescent="0.2">
      <c r="E6728" s="18"/>
      <c r="F6728" s="18"/>
    </row>
    <row r="6729" spans="5:6" ht="15" customHeight="1" x14ac:dyDescent="0.2">
      <c r="E6729" s="18"/>
      <c r="F6729" s="18"/>
    </row>
    <row r="6730" spans="5:6" ht="15" customHeight="1" x14ac:dyDescent="0.2">
      <c r="E6730" s="18"/>
      <c r="F6730" s="18"/>
    </row>
    <row r="6731" spans="5:6" ht="15" customHeight="1" x14ac:dyDescent="0.2">
      <c r="E6731" s="18"/>
      <c r="F6731" s="18"/>
    </row>
    <row r="6732" spans="5:6" ht="15" customHeight="1" x14ac:dyDescent="0.2">
      <c r="E6732" s="18"/>
      <c r="F6732" s="18"/>
    </row>
    <row r="6733" spans="5:6" ht="15" customHeight="1" x14ac:dyDescent="0.2">
      <c r="E6733" s="18"/>
      <c r="F6733" s="18"/>
    </row>
    <row r="6734" spans="5:6" ht="15" customHeight="1" x14ac:dyDescent="0.2">
      <c r="E6734" s="18"/>
      <c r="F6734" s="18"/>
    </row>
    <row r="6735" spans="5:6" ht="15" customHeight="1" x14ac:dyDescent="0.2">
      <c r="E6735" s="18"/>
      <c r="F6735" s="18"/>
    </row>
    <row r="6736" spans="5:6" ht="15" customHeight="1" x14ac:dyDescent="0.2">
      <c r="E6736" s="18"/>
      <c r="F6736" s="18"/>
    </row>
    <row r="6737" spans="5:6" ht="15" customHeight="1" x14ac:dyDescent="0.2">
      <c r="E6737" s="18"/>
      <c r="F6737" s="18"/>
    </row>
    <row r="6738" spans="5:6" ht="15" customHeight="1" x14ac:dyDescent="0.2">
      <c r="E6738" s="18"/>
      <c r="F6738" s="18"/>
    </row>
    <row r="6739" spans="5:6" ht="15" customHeight="1" x14ac:dyDescent="0.2">
      <c r="E6739" s="18"/>
      <c r="F6739" s="18"/>
    </row>
    <row r="6740" spans="5:6" ht="15" customHeight="1" x14ac:dyDescent="0.2">
      <c r="E6740" s="18"/>
      <c r="F6740" s="18"/>
    </row>
    <row r="6741" spans="5:6" ht="15" customHeight="1" x14ac:dyDescent="0.2">
      <c r="E6741" s="18"/>
      <c r="F6741" s="18"/>
    </row>
    <row r="6742" spans="5:6" ht="15" customHeight="1" x14ac:dyDescent="0.2">
      <c r="E6742" s="18"/>
      <c r="F6742" s="18"/>
    </row>
    <row r="6743" spans="5:6" ht="15" customHeight="1" x14ac:dyDescent="0.2">
      <c r="E6743" s="18"/>
      <c r="F6743" s="18"/>
    </row>
    <row r="6744" spans="5:6" ht="15" customHeight="1" x14ac:dyDescent="0.2">
      <c r="E6744" s="18"/>
      <c r="F6744" s="18"/>
    </row>
    <row r="6745" spans="5:6" ht="15" customHeight="1" x14ac:dyDescent="0.2">
      <c r="E6745" s="18"/>
      <c r="F6745" s="18"/>
    </row>
    <row r="6746" spans="5:6" ht="15" customHeight="1" x14ac:dyDescent="0.2">
      <c r="E6746" s="18"/>
      <c r="F6746" s="18"/>
    </row>
    <row r="6747" spans="5:6" ht="15" customHeight="1" x14ac:dyDescent="0.2">
      <c r="E6747" s="18"/>
      <c r="F6747" s="18"/>
    </row>
    <row r="6748" spans="5:6" ht="15" customHeight="1" x14ac:dyDescent="0.2">
      <c r="E6748" s="18"/>
      <c r="F6748" s="18"/>
    </row>
    <row r="6749" spans="5:6" ht="15" customHeight="1" x14ac:dyDescent="0.2">
      <c r="E6749" s="18"/>
      <c r="F6749" s="18"/>
    </row>
    <row r="6750" spans="5:6" ht="15" customHeight="1" x14ac:dyDescent="0.2">
      <c r="E6750" s="18"/>
      <c r="F6750" s="18"/>
    </row>
    <row r="6751" spans="5:6" ht="15" customHeight="1" x14ac:dyDescent="0.2">
      <c r="E6751" s="18"/>
      <c r="F6751" s="18"/>
    </row>
    <row r="6752" spans="5:6" ht="15" customHeight="1" x14ac:dyDescent="0.2">
      <c r="E6752" s="18"/>
      <c r="F6752" s="18"/>
    </row>
    <row r="6753" spans="5:6" ht="15" customHeight="1" x14ac:dyDescent="0.2">
      <c r="E6753" s="18"/>
      <c r="F6753" s="18"/>
    </row>
    <row r="6754" spans="5:6" ht="15" customHeight="1" x14ac:dyDescent="0.2">
      <c r="E6754" s="18"/>
      <c r="F6754" s="18"/>
    </row>
    <row r="6755" spans="5:6" ht="15" customHeight="1" x14ac:dyDescent="0.2">
      <c r="E6755" s="18"/>
      <c r="F6755" s="18"/>
    </row>
    <row r="6756" spans="5:6" ht="15" customHeight="1" x14ac:dyDescent="0.2">
      <c r="E6756" s="18"/>
      <c r="F6756" s="18"/>
    </row>
    <row r="6757" spans="5:6" ht="15" customHeight="1" x14ac:dyDescent="0.2">
      <c r="E6757" s="18"/>
      <c r="F6757" s="18"/>
    </row>
    <row r="6758" spans="5:6" ht="15" customHeight="1" x14ac:dyDescent="0.2">
      <c r="E6758" s="18"/>
      <c r="F6758" s="18"/>
    </row>
    <row r="6759" spans="5:6" ht="15" customHeight="1" x14ac:dyDescent="0.2">
      <c r="E6759" s="18"/>
      <c r="F6759" s="18"/>
    </row>
    <row r="6760" spans="5:6" ht="15" customHeight="1" x14ac:dyDescent="0.2">
      <c r="E6760" s="18"/>
      <c r="F6760" s="18"/>
    </row>
    <row r="6761" spans="5:6" ht="15" customHeight="1" x14ac:dyDescent="0.2">
      <c r="E6761" s="18"/>
      <c r="F6761" s="18"/>
    </row>
    <row r="6762" spans="5:6" ht="15" customHeight="1" x14ac:dyDescent="0.2">
      <c r="E6762" s="18"/>
      <c r="F6762" s="18"/>
    </row>
    <row r="6763" spans="5:6" ht="15" customHeight="1" x14ac:dyDescent="0.2">
      <c r="E6763" s="18"/>
      <c r="F6763" s="18"/>
    </row>
    <row r="6764" spans="5:6" ht="15" customHeight="1" x14ac:dyDescent="0.2">
      <c r="E6764" s="18"/>
      <c r="F6764" s="18"/>
    </row>
    <row r="6765" spans="5:6" ht="15" customHeight="1" x14ac:dyDescent="0.2">
      <c r="E6765" s="18"/>
      <c r="F6765" s="18"/>
    </row>
    <row r="6766" spans="5:6" ht="15" customHeight="1" x14ac:dyDescent="0.2">
      <c r="E6766" s="18"/>
      <c r="F6766" s="18"/>
    </row>
    <row r="6767" spans="5:6" ht="15" customHeight="1" x14ac:dyDescent="0.2">
      <c r="E6767" s="18"/>
      <c r="F6767" s="18"/>
    </row>
    <row r="6768" spans="5:6" ht="15" customHeight="1" x14ac:dyDescent="0.2">
      <c r="E6768" s="18"/>
      <c r="F6768" s="18"/>
    </row>
    <row r="6769" spans="5:6" ht="15" customHeight="1" x14ac:dyDescent="0.2">
      <c r="E6769" s="18"/>
      <c r="F6769" s="18"/>
    </row>
    <row r="6770" spans="5:6" ht="15" customHeight="1" x14ac:dyDescent="0.2">
      <c r="E6770" s="18"/>
      <c r="F6770" s="18"/>
    </row>
    <row r="6771" spans="5:6" ht="15" customHeight="1" x14ac:dyDescent="0.2">
      <c r="E6771" s="18"/>
      <c r="F6771" s="18"/>
    </row>
    <row r="6772" spans="5:6" ht="15" customHeight="1" x14ac:dyDescent="0.2">
      <c r="E6772" s="18"/>
      <c r="F6772" s="18"/>
    </row>
    <row r="6773" spans="5:6" ht="15" customHeight="1" x14ac:dyDescent="0.2">
      <c r="E6773" s="18"/>
      <c r="F6773" s="18"/>
    </row>
    <row r="6774" spans="5:6" ht="15" customHeight="1" x14ac:dyDescent="0.2">
      <c r="E6774" s="18"/>
      <c r="F6774" s="18"/>
    </row>
    <row r="6775" spans="5:6" ht="15" customHeight="1" x14ac:dyDescent="0.2">
      <c r="E6775" s="18"/>
      <c r="F6775" s="18"/>
    </row>
    <row r="6776" spans="5:6" ht="15" customHeight="1" x14ac:dyDescent="0.2">
      <c r="E6776" s="18"/>
      <c r="F6776" s="18"/>
    </row>
    <row r="6777" spans="5:6" ht="15" customHeight="1" x14ac:dyDescent="0.2">
      <c r="E6777" s="18"/>
      <c r="F6777" s="18"/>
    </row>
    <row r="6778" spans="5:6" ht="15" customHeight="1" x14ac:dyDescent="0.2">
      <c r="E6778" s="18"/>
      <c r="F6778" s="18"/>
    </row>
    <row r="6779" spans="5:6" ht="15" customHeight="1" x14ac:dyDescent="0.2">
      <c r="E6779" s="18"/>
      <c r="F6779" s="18"/>
    </row>
    <row r="6780" spans="5:6" ht="15" customHeight="1" x14ac:dyDescent="0.2">
      <c r="E6780" s="18"/>
      <c r="F6780" s="18"/>
    </row>
    <row r="6781" spans="5:6" ht="15" customHeight="1" x14ac:dyDescent="0.2">
      <c r="E6781" s="18"/>
      <c r="F6781" s="18"/>
    </row>
    <row r="6782" spans="5:6" ht="15" customHeight="1" x14ac:dyDescent="0.2">
      <c r="E6782" s="18"/>
      <c r="F6782" s="18"/>
    </row>
    <row r="6783" spans="5:6" ht="15" customHeight="1" x14ac:dyDescent="0.2">
      <c r="E6783" s="18"/>
      <c r="F6783" s="18"/>
    </row>
    <row r="6784" spans="5:6" ht="15" customHeight="1" x14ac:dyDescent="0.2">
      <c r="E6784" s="18"/>
      <c r="F6784" s="18"/>
    </row>
    <row r="6785" spans="5:6" ht="15" customHeight="1" x14ac:dyDescent="0.2">
      <c r="E6785" s="18"/>
      <c r="F6785" s="18"/>
    </row>
    <row r="6786" spans="5:6" ht="15" customHeight="1" x14ac:dyDescent="0.2">
      <c r="E6786" s="18"/>
      <c r="F6786" s="18"/>
    </row>
    <row r="6787" spans="5:6" ht="15" customHeight="1" x14ac:dyDescent="0.2">
      <c r="E6787" s="18"/>
      <c r="F6787" s="18"/>
    </row>
    <row r="6788" spans="5:6" ht="15" customHeight="1" x14ac:dyDescent="0.2">
      <c r="E6788" s="18"/>
      <c r="F6788" s="18"/>
    </row>
    <row r="6789" spans="5:6" ht="15" customHeight="1" x14ac:dyDescent="0.2">
      <c r="E6789" s="18"/>
      <c r="F6789" s="18"/>
    </row>
    <row r="6790" spans="5:6" ht="15" customHeight="1" x14ac:dyDescent="0.2">
      <c r="E6790" s="18"/>
      <c r="F6790" s="18"/>
    </row>
    <row r="6791" spans="5:6" ht="15" customHeight="1" x14ac:dyDescent="0.2">
      <c r="E6791" s="18"/>
      <c r="F6791" s="18"/>
    </row>
    <row r="6792" spans="5:6" ht="15" customHeight="1" x14ac:dyDescent="0.2">
      <c r="E6792" s="18"/>
      <c r="F6792" s="18"/>
    </row>
    <row r="6793" spans="5:6" ht="15" customHeight="1" x14ac:dyDescent="0.2">
      <c r="E6793" s="18"/>
      <c r="F6793" s="18"/>
    </row>
    <row r="6794" spans="5:6" ht="15" customHeight="1" x14ac:dyDescent="0.2">
      <c r="E6794" s="18"/>
      <c r="F6794" s="18"/>
    </row>
    <row r="6795" spans="5:6" ht="15" customHeight="1" x14ac:dyDescent="0.2">
      <c r="E6795" s="18"/>
      <c r="F6795" s="18"/>
    </row>
    <row r="6796" spans="5:6" ht="15" customHeight="1" x14ac:dyDescent="0.2">
      <c r="E6796" s="18"/>
      <c r="F6796" s="18"/>
    </row>
    <row r="6797" spans="5:6" ht="15" customHeight="1" x14ac:dyDescent="0.2">
      <c r="E6797" s="18"/>
      <c r="F6797" s="18"/>
    </row>
    <row r="6798" spans="5:6" ht="15" customHeight="1" x14ac:dyDescent="0.2">
      <c r="E6798" s="18"/>
      <c r="F6798" s="18"/>
    </row>
    <row r="6799" spans="5:6" ht="15" customHeight="1" x14ac:dyDescent="0.2">
      <c r="E6799" s="18"/>
      <c r="F6799" s="18"/>
    </row>
    <row r="6800" spans="5:6" ht="15" customHeight="1" x14ac:dyDescent="0.2">
      <c r="E6800" s="18"/>
      <c r="F6800" s="18"/>
    </row>
    <row r="6801" spans="5:6" ht="15" customHeight="1" x14ac:dyDescent="0.2">
      <c r="E6801" s="18"/>
      <c r="F6801" s="18"/>
    </row>
    <row r="6802" spans="5:6" ht="15" customHeight="1" x14ac:dyDescent="0.2">
      <c r="E6802" s="18"/>
      <c r="F6802" s="18"/>
    </row>
    <row r="6803" spans="5:6" ht="15" customHeight="1" x14ac:dyDescent="0.2">
      <c r="E6803" s="18"/>
      <c r="F6803" s="18"/>
    </row>
    <row r="6804" spans="5:6" ht="15" customHeight="1" x14ac:dyDescent="0.2">
      <c r="E6804" s="18"/>
      <c r="F6804" s="18"/>
    </row>
    <row r="6805" spans="5:6" ht="15" customHeight="1" x14ac:dyDescent="0.2">
      <c r="E6805" s="18"/>
      <c r="F6805" s="18"/>
    </row>
    <row r="6806" spans="5:6" ht="15" customHeight="1" x14ac:dyDescent="0.2">
      <c r="E6806" s="18"/>
      <c r="F6806" s="18"/>
    </row>
    <row r="6807" spans="5:6" ht="15" customHeight="1" x14ac:dyDescent="0.2">
      <c r="E6807" s="18"/>
      <c r="F6807" s="18"/>
    </row>
    <row r="6808" spans="5:6" ht="15" customHeight="1" x14ac:dyDescent="0.2">
      <c r="E6808" s="18"/>
      <c r="F6808" s="18"/>
    </row>
    <row r="6809" spans="5:6" ht="15" customHeight="1" x14ac:dyDescent="0.2">
      <c r="E6809" s="18"/>
      <c r="F6809" s="18"/>
    </row>
    <row r="6810" spans="5:6" ht="15" customHeight="1" x14ac:dyDescent="0.2">
      <c r="E6810" s="18"/>
      <c r="F6810" s="18"/>
    </row>
    <row r="6811" spans="5:6" ht="15" customHeight="1" x14ac:dyDescent="0.2">
      <c r="E6811" s="18"/>
      <c r="F6811" s="18"/>
    </row>
    <row r="6812" spans="5:6" ht="15" customHeight="1" x14ac:dyDescent="0.2">
      <c r="E6812" s="18"/>
      <c r="F6812" s="18"/>
    </row>
    <row r="6813" spans="5:6" ht="15" customHeight="1" x14ac:dyDescent="0.2">
      <c r="E6813" s="18"/>
      <c r="F6813" s="18"/>
    </row>
    <row r="6814" spans="5:6" ht="15" customHeight="1" x14ac:dyDescent="0.2">
      <c r="E6814" s="18"/>
      <c r="F6814" s="18"/>
    </row>
    <row r="6815" spans="5:6" ht="15" customHeight="1" x14ac:dyDescent="0.2">
      <c r="E6815" s="18"/>
      <c r="F6815" s="18"/>
    </row>
    <row r="6816" spans="5:6" ht="15" customHeight="1" x14ac:dyDescent="0.2">
      <c r="E6816" s="18"/>
      <c r="F6816" s="18"/>
    </row>
    <row r="6817" spans="5:6" ht="15" customHeight="1" x14ac:dyDescent="0.2">
      <c r="E6817" s="18"/>
      <c r="F6817" s="18"/>
    </row>
    <row r="6818" spans="5:6" ht="15" customHeight="1" x14ac:dyDescent="0.2">
      <c r="E6818" s="18"/>
      <c r="F6818" s="18"/>
    </row>
    <row r="6819" spans="5:6" ht="15" customHeight="1" x14ac:dyDescent="0.2">
      <c r="E6819" s="18"/>
      <c r="F6819" s="18"/>
    </row>
    <row r="6820" spans="5:6" ht="15" customHeight="1" x14ac:dyDescent="0.2">
      <c r="E6820" s="18"/>
      <c r="F6820" s="18"/>
    </row>
    <row r="6821" spans="5:6" ht="15" customHeight="1" x14ac:dyDescent="0.2">
      <c r="E6821" s="18"/>
      <c r="F6821" s="18"/>
    </row>
    <row r="6822" spans="5:6" ht="15" customHeight="1" x14ac:dyDescent="0.2">
      <c r="E6822" s="18"/>
      <c r="F6822" s="18"/>
    </row>
    <row r="6823" spans="5:6" ht="15" customHeight="1" x14ac:dyDescent="0.2">
      <c r="E6823" s="18"/>
      <c r="F6823" s="18"/>
    </row>
    <row r="6824" spans="5:6" ht="15" customHeight="1" x14ac:dyDescent="0.2">
      <c r="E6824" s="18"/>
      <c r="F6824" s="18"/>
    </row>
    <row r="6825" spans="5:6" ht="15" customHeight="1" x14ac:dyDescent="0.2">
      <c r="E6825" s="18"/>
      <c r="F6825" s="18"/>
    </row>
    <row r="6826" spans="5:6" ht="15" customHeight="1" x14ac:dyDescent="0.2">
      <c r="E6826" s="18"/>
      <c r="F6826" s="18"/>
    </row>
    <row r="6827" spans="5:6" ht="15" customHeight="1" x14ac:dyDescent="0.2">
      <c r="E6827" s="18"/>
      <c r="F6827" s="18"/>
    </row>
    <row r="6828" spans="5:6" ht="15" customHeight="1" x14ac:dyDescent="0.2">
      <c r="E6828" s="18"/>
      <c r="F6828" s="18"/>
    </row>
    <row r="6829" spans="5:6" ht="15" customHeight="1" x14ac:dyDescent="0.2">
      <c r="E6829" s="18"/>
      <c r="F6829" s="18"/>
    </row>
    <row r="6830" spans="5:6" ht="15" customHeight="1" x14ac:dyDescent="0.2">
      <c r="E6830" s="18"/>
      <c r="F6830" s="18"/>
    </row>
    <row r="6831" spans="5:6" ht="15" customHeight="1" x14ac:dyDescent="0.2">
      <c r="E6831" s="18"/>
      <c r="F6831" s="18"/>
    </row>
    <row r="6832" spans="5:6" ht="15" customHeight="1" x14ac:dyDescent="0.2">
      <c r="E6832" s="18"/>
      <c r="F6832" s="18"/>
    </row>
    <row r="6833" spans="5:6" ht="15" customHeight="1" x14ac:dyDescent="0.2">
      <c r="E6833" s="18"/>
      <c r="F6833" s="18"/>
    </row>
    <row r="6834" spans="5:6" ht="15" customHeight="1" x14ac:dyDescent="0.2">
      <c r="E6834" s="18"/>
      <c r="F6834" s="18"/>
    </row>
    <row r="6835" spans="5:6" ht="15" customHeight="1" x14ac:dyDescent="0.2">
      <c r="E6835" s="18"/>
      <c r="F6835" s="18"/>
    </row>
    <row r="6836" spans="5:6" ht="15" customHeight="1" x14ac:dyDescent="0.2">
      <c r="E6836" s="18"/>
      <c r="F6836" s="18"/>
    </row>
    <row r="6837" spans="5:6" ht="15" customHeight="1" x14ac:dyDescent="0.2">
      <c r="E6837" s="18"/>
      <c r="F6837" s="18"/>
    </row>
    <row r="6838" spans="5:6" ht="15" customHeight="1" x14ac:dyDescent="0.2">
      <c r="E6838" s="18"/>
      <c r="F6838" s="18"/>
    </row>
    <row r="6839" spans="5:6" ht="15" customHeight="1" x14ac:dyDescent="0.2">
      <c r="E6839" s="18"/>
      <c r="F6839" s="18"/>
    </row>
    <row r="6840" spans="5:6" ht="15" customHeight="1" x14ac:dyDescent="0.2">
      <c r="E6840" s="18"/>
      <c r="F6840" s="18"/>
    </row>
    <row r="6841" spans="5:6" ht="15" customHeight="1" x14ac:dyDescent="0.2">
      <c r="E6841" s="18"/>
      <c r="F6841" s="18"/>
    </row>
    <row r="6842" spans="5:6" ht="15" customHeight="1" x14ac:dyDescent="0.2">
      <c r="E6842" s="18"/>
      <c r="F6842" s="18"/>
    </row>
    <row r="6843" spans="5:6" ht="15" customHeight="1" x14ac:dyDescent="0.2">
      <c r="E6843" s="18"/>
      <c r="F6843" s="18"/>
    </row>
    <row r="6844" spans="5:6" ht="15" customHeight="1" x14ac:dyDescent="0.2">
      <c r="E6844" s="18"/>
      <c r="F6844" s="18"/>
    </row>
    <row r="6845" spans="5:6" ht="15" customHeight="1" x14ac:dyDescent="0.2">
      <c r="E6845" s="18"/>
      <c r="F6845" s="18"/>
    </row>
    <row r="6846" spans="5:6" ht="15" customHeight="1" x14ac:dyDescent="0.2">
      <c r="E6846" s="18"/>
      <c r="F6846" s="18"/>
    </row>
    <row r="6847" spans="5:6" ht="15" customHeight="1" x14ac:dyDescent="0.2">
      <c r="E6847" s="18"/>
      <c r="F6847" s="18"/>
    </row>
    <row r="6848" spans="5:6" ht="15" customHeight="1" x14ac:dyDescent="0.2">
      <c r="E6848" s="18"/>
      <c r="F6848" s="18"/>
    </row>
    <row r="6849" spans="5:6" ht="15" customHeight="1" x14ac:dyDescent="0.2">
      <c r="E6849" s="18"/>
      <c r="F6849" s="18"/>
    </row>
    <row r="6850" spans="5:6" ht="15" customHeight="1" x14ac:dyDescent="0.2">
      <c r="E6850" s="18"/>
      <c r="F6850" s="18"/>
    </row>
    <row r="6851" spans="5:6" ht="15" customHeight="1" x14ac:dyDescent="0.2">
      <c r="E6851" s="18"/>
      <c r="F6851" s="18"/>
    </row>
    <row r="6852" spans="5:6" ht="15" customHeight="1" x14ac:dyDescent="0.2">
      <c r="E6852" s="18"/>
      <c r="F6852" s="18"/>
    </row>
    <row r="6853" spans="5:6" ht="15" customHeight="1" x14ac:dyDescent="0.2">
      <c r="E6853" s="18"/>
      <c r="F6853" s="18"/>
    </row>
    <row r="6854" spans="5:6" ht="15" customHeight="1" x14ac:dyDescent="0.2">
      <c r="E6854" s="18"/>
      <c r="F6854" s="18"/>
    </row>
    <row r="6855" spans="5:6" ht="15" customHeight="1" x14ac:dyDescent="0.2">
      <c r="E6855" s="18"/>
      <c r="F6855" s="18"/>
    </row>
    <row r="6856" spans="5:6" ht="15" customHeight="1" x14ac:dyDescent="0.2">
      <c r="E6856" s="18"/>
      <c r="F6856" s="18"/>
    </row>
    <row r="6857" spans="5:6" ht="15" customHeight="1" x14ac:dyDescent="0.2">
      <c r="E6857" s="18"/>
      <c r="F6857" s="18"/>
    </row>
    <row r="6858" spans="5:6" ht="15" customHeight="1" x14ac:dyDescent="0.2">
      <c r="E6858" s="18"/>
      <c r="F6858" s="18"/>
    </row>
    <row r="6859" spans="5:6" ht="15" customHeight="1" x14ac:dyDescent="0.2">
      <c r="E6859" s="18"/>
      <c r="F6859" s="18"/>
    </row>
    <row r="6860" spans="5:6" ht="15" customHeight="1" x14ac:dyDescent="0.2">
      <c r="E6860" s="18"/>
      <c r="F6860" s="18"/>
    </row>
    <row r="6861" spans="5:6" ht="15" customHeight="1" x14ac:dyDescent="0.2">
      <c r="E6861" s="18"/>
      <c r="F6861" s="18"/>
    </row>
    <row r="6862" spans="5:6" ht="15" customHeight="1" x14ac:dyDescent="0.2">
      <c r="E6862" s="18"/>
      <c r="F6862" s="18"/>
    </row>
    <row r="6863" spans="5:6" ht="15" customHeight="1" x14ac:dyDescent="0.2">
      <c r="E6863" s="18"/>
      <c r="F6863" s="18"/>
    </row>
    <row r="6864" spans="5:6" ht="15" customHeight="1" x14ac:dyDescent="0.2">
      <c r="E6864" s="18"/>
      <c r="F6864" s="18"/>
    </row>
    <row r="6865" spans="5:6" ht="15" customHeight="1" x14ac:dyDescent="0.2">
      <c r="E6865" s="18"/>
      <c r="F6865" s="18"/>
    </row>
    <row r="6866" spans="5:6" ht="15" customHeight="1" x14ac:dyDescent="0.2">
      <c r="E6866" s="18"/>
      <c r="F6866" s="18"/>
    </row>
    <row r="6867" spans="5:6" ht="15" customHeight="1" x14ac:dyDescent="0.2">
      <c r="E6867" s="18"/>
      <c r="F6867" s="18"/>
    </row>
    <row r="6868" spans="5:6" ht="15" customHeight="1" x14ac:dyDescent="0.2">
      <c r="E6868" s="18"/>
      <c r="F6868" s="18"/>
    </row>
    <row r="6869" spans="5:6" ht="15" customHeight="1" x14ac:dyDescent="0.2">
      <c r="E6869" s="18"/>
      <c r="F6869" s="18"/>
    </row>
    <row r="6870" spans="5:6" ht="15" customHeight="1" x14ac:dyDescent="0.2">
      <c r="E6870" s="18"/>
      <c r="F6870" s="18"/>
    </row>
    <row r="6871" spans="5:6" ht="15" customHeight="1" x14ac:dyDescent="0.2">
      <c r="E6871" s="18"/>
      <c r="F6871" s="18"/>
    </row>
    <row r="6872" spans="5:6" ht="15" customHeight="1" x14ac:dyDescent="0.2">
      <c r="E6872" s="18"/>
      <c r="F6872" s="18"/>
    </row>
    <row r="6873" spans="5:6" ht="15" customHeight="1" x14ac:dyDescent="0.2">
      <c r="E6873" s="18"/>
      <c r="F6873" s="18"/>
    </row>
    <row r="6874" spans="5:6" ht="15" customHeight="1" x14ac:dyDescent="0.2">
      <c r="E6874" s="18"/>
      <c r="F6874" s="18"/>
    </row>
    <row r="6875" spans="5:6" ht="15" customHeight="1" x14ac:dyDescent="0.2">
      <c r="E6875" s="18"/>
      <c r="F6875" s="18"/>
    </row>
    <row r="6876" spans="5:6" ht="15" customHeight="1" x14ac:dyDescent="0.2">
      <c r="E6876" s="18"/>
      <c r="F6876" s="18"/>
    </row>
    <row r="6877" spans="5:6" ht="15" customHeight="1" x14ac:dyDescent="0.2">
      <c r="E6877" s="18"/>
      <c r="F6877" s="18"/>
    </row>
    <row r="6878" spans="5:6" ht="15" customHeight="1" x14ac:dyDescent="0.2">
      <c r="E6878" s="18"/>
      <c r="F6878" s="18"/>
    </row>
    <row r="6879" spans="5:6" ht="15" customHeight="1" x14ac:dyDescent="0.2">
      <c r="E6879" s="18"/>
      <c r="F6879" s="18"/>
    </row>
    <row r="6880" spans="5:6" ht="15" customHeight="1" x14ac:dyDescent="0.2">
      <c r="E6880" s="18"/>
      <c r="F6880" s="18"/>
    </row>
    <row r="6881" spans="5:6" ht="15" customHeight="1" x14ac:dyDescent="0.2">
      <c r="E6881" s="18"/>
      <c r="F6881" s="18"/>
    </row>
    <row r="6882" spans="5:6" ht="15" customHeight="1" x14ac:dyDescent="0.2">
      <c r="E6882" s="18"/>
      <c r="F6882" s="18"/>
    </row>
    <row r="6883" spans="5:6" ht="15" customHeight="1" x14ac:dyDescent="0.2">
      <c r="E6883" s="18"/>
      <c r="F6883" s="18"/>
    </row>
    <row r="6884" spans="5:6" ht="15" customHeight="1" x14ac:dyDescent="0.2">
      <c r="E6884" s="18"/>
      <c r="F6884" s="18"/>
    </row>
    <row r="6885" spans="5:6" ht="15" customHeight="1" x14ac:dyDescent="0.2">
      <c r="E6885" s="18"/>
      <c r="F6885" s="18"/>
    </row>
    <row r="6886" spans="5:6" ht="15" customHeight="1" x14ac:dyDescent="0.2">
      <c r="E6886" s="18"/>
      <c r="F6886" s="18"/>
    </row>
    <row r="6887" spans="5:6" ht="15" customHeight="1" x14ac:dyDescent="0.2">
      <c r="E6887" s="18"/>
      <c r="F6887" s="18"/>
    </row>
    <row r="6888" spans="5:6" ht="15" customHeight="1" x14ac:dyDescent="0.2">
      <c r="E6888" s="18"/>
      <c r="F6888" s="18"/>
    </row>
    <row r="6889" spans="5:6" ht="15" customHeight="1" x14ac:dyDescent="0.2">
      <c r="E6889" s="18"/>
      <c r="F6889" s="18"/>
    </row>
    <row r="6890" spans="5:6" ht="15" customHeight="1" x14ac:dyDescent="0.2">
      <c r="E6890" s="18"/>
      <c r="F6890" s="18"/>
    </row>
    <row r="6891" spans="5:6" ht="15" customHeight="1" x14ac:dyDescent="0.2">
      <c r="E6891" s="18"/>
      <c r="F6891" s="18"/>
    </row>
    <row r="6892" spans="5:6" ht="15" customHeight="1" x14ac:dyDescent="0.2">
      <c r="E6892" s="18"/>
      <c r="F6892" s="18"/>
    </row>
    <row r="6893" spans="5:6" ht="15" customHeight="1" x14ac:dyDescent="0.2">
      <c r="E6893" s="18"/>
      <c r="F6893" s="18"/>
    </row>
    <row r="6894" spans="5:6" ht="15" customHeight="1" x14ac:dyDescent="0.2">
      <c r="E6894" s="18"/>
      <c r="F6894" s="18"/>
    </row>
    <row r="6895" spans="5:6" ht="15" customHeight="1" x14ac:dyDescent="0.2">
      <c r="E6895" s="18"/>
      <c r="F6895" s="18"/>
    </row>
    <row r="6896" spans="5:6" ht="15" customHeight="1" x14ac:dyDescent="0.2">
      <c r="E6896" s="18"/>
      <c r="F6896" s="18"/>
    </row>
    <row r="6897" spans="5:6" ht="15" customHeight="1" x14ac:dyDescent="0.2">
      <c r="E6897" s="18"/>
      <c r="F6897" s="18"/>
    </row>
    <row r="6898" spans="5:6" ht="15" customHeight="1" x14ac:dyDescent="0.2">
      <c r="E6898" s="18"/>
      <c r="F6898" s="18"/>
    </row>
    <row r="6899" spans="5:6" ht="15" customHeight="1" x14ac:dyDescent="0.2">
      <c r="E6899" s="18"/>
      <c r="F6899" s="18"/>
    </row>
    <row r="6900" spans="5:6" ht="15" customHeight="1" x14ac:dyDescent="0.2">
      <c r="E6900" s="18"/>
      <c r="F6900" s="18"/>
    </row>
    <row r="6901" spans="5:6" ht="15" customHeight="1" x14ac:dyDescent="0.2">
      <c r="E6901" s="18"/>
      <c r="F6901" s="18"/>
    </row>
    <row r="6902" spans="5:6" ht="15" customHeight="1" x14ac:dyDescent="0.2">
      <c r="E6902" s="18"/>
      <c r="F6902" s="18"/>
    </row>
    <row r="6903" spans="5:6" ht="15" customHeight="1" x14ac:dyDescent="0.2">
      <c r="E6903" s="18"/>
      <c r="F6903" s="18"/>
    </row>
    <row r="6904" spans="5:6" ht="15" customHeight="1" x14ac:dyDescent="0.2">
      <c r="E6904" s="18"/>
      <c r="F6904" s="18"/>
    </row>
    <row r="6905" spans="5:6" ht="15" customHeight="1" x14ac:dyDescent="0.2">
      <c r="E6905" s="18"/>
      <c r="F6905" s="18"/>
    </row>
    <row r="6906" spans="5:6" ht="15" customHeight="1" x14ac:dyDescent="0.2">
      <c r="E6906" s="18"/>
      <c r="F6906" s="18"/>
    </row>
    <row r="6907" spans="5:6" ht="15" customHeight="1" x14ac:dyDescent="0.2">
      <c r="E6907" s="18"/>
      <c r="F6907" s="18"/>
    </row>
    <row r="6908" spans="5:6" ht="15" customHeight="1" x14ac:dyDescent="0.2">
      <c r="E6908" s="18"/>
      <c r="F6908" s="18"/>
    </row>
    <row r="6909" spans="5:6" ht="15" customHeight="1" x14ac:dyDescent="0.2">
      <c r="E6909" s="18"/>
      <c r="F6909" s="18"/>
    </row>
    <row r="6910" spans="5:6" ht="15" customHeight="1" x14ac:dyDescent="0.2">
      <c r="E6910" s="18"/>
      <c r="F6910" s="18"/>
    </row>
    <row r="6911" spans="5:6" ht="15" customHeight="1" x14ac:dyDescent="0.2">
      <c r="E6911" s="18"/>
      <c r="F6911" s="18"/>
    </row>
    <row r="6912" spans="5:6" ht="15" customHeight="1" x14ac:dyDescent="0.2">
      <c r="E6912" s="18"/>
      <c r="F6912" s="18"/>
    </row>
    <row r="6913" spans="5:6" ht="15" customHeight="1" x14ac:dyDescent="0.2">
      <c r="E6913" s="18"/>
      <c r="F6913" s="18"/>
    </row>
    <row r="6914" spans="5:6" ht="15" customHeight="1" x14ac:dyDescent="0.2">
      <c r="E6914" s="18"/>
      <c r="F6914" s="18"/>
    </row>
    <row r="6915" spans="5:6" ht="15" customHeight="1" x14ac:dyDescent="0.2">
      <c r="E6915" s="18"/>
      <c r="F6915" s="18"/>
    </row>
    <row r="6916" spans="5:6" ht="15" customHeight="1" x14ac:dyDescent="0.2">
      <c r="E6916" s="18"/>
      <c r="F6916" s="18"/>
    </row>
    <row r="6917" spans="5:6" ht="15" customHeight="1" x14ac:dyDescent="0.2">
      <c r="E6917" s="18"/>
      <c r="F6917" s="18"/>
    </row>
    <row r="6918" spans="5:6" ht="15" customHeight="1" x14ac:dyDescent="0.2">
      <c r="E6918" s="18"/>
      <c r="F6918" s="18"/>
    </row>
    <row r="6919" spans="5:6" ht="15" customHeight="1" x14ac:dyDescent="0.2">
      <c r="E6919" s="18"/>
      <c r="F6919" s="18"/>
    </row>
    <row r="6920" spans="5:6" ht="15" customHeight="1" x14ac:dyDescent="0.2">
      <c r="E6920" s="18"/>
      <c r="F6920" s="18"/>
    </row>
    <row r="6921" spans="5:6" ht="15" customHeight="1" x14ac:dyDescent="0.2">
      <c r="E6921" s="18"/>
      <c r="F6921" s="18"/>
    </row>
    <row r="6922" spans="5:6" ht="15" customHeight="1" x14ac:dyDescent="0.2">
      <c r="E6922" s="18"/>
      <c r="F6922" s="18"/>
    </row>
    <row r="6923" spans="5:6" ht="15" customHeight="1" x14ac:dyDescent="0.2">
      <c r="E6923" s="18"/>
      <c r="F6923" s="18"/>
    </row>
    <row r="6924" spans="5:6" ht="15" customHeight="1" x14ac:dyDescent="0.2">
      <c r="E6924" s="18"/>
      <c r="F6924" s="18"/>
    </row>
    <row r="6925" spans="5:6" ht="15" customHeight="1" x14ac:dyDescent="0.2">
      <c r="E6925" s="18"/>
      <c r="F6925" s="18"/>
    </row>
    <row r="6926" spans="5:6" ht="15" customHeight="1" x14ac:dyDescent="0.2">
      <c r="E6926" s="18"/>
      <c r="F6926" s="18"/>
    </row>
    <row r="6927" spans="5:6" ht="15" customHeight="1" x14ac:dyDescent="0.2">
      <c r="E6927" s="18"/>
      <c r="F6927" s="18"/>
    </row>
    <row r="6928" spans="5:6" ht="15" customHeight="1" x14ac:dyDescent="0.2">
      <c r="E6928" s="18"/>
      <c r="F6928" s="18"/>
    </row>
    <row r="6929" spans="5:6" ht="15" customHeight="1" x14ac:dyDescent="0.2">
      <c r="E6929" s="18"/>
      <c r="F6929" s="18"/>
    </row>
    <row r="6930" spans="5:6" ht="15" customHeight="1" x14ac:dyDescent="0.2">
      <c r="E6930" s="18"/>
      <c r="F6930" s="18"/>
    </row>
    <row r="6931" spans="5:6" ht="15" customHeight="1" x14ac:dyDescent="0.2">
      <c r="E6931" s="18"/>
      <c r="F6931" s="18"/>
    </row>
    <row r="6932" spans="5:6" ht="15" customHeight="1" x14ac:dyDescent="0.2">
      <c r="E6932" s="18"/>
      <c r="F6932" s="18"/>
    </row>
    <row r="6933" spans="5:6" ht="15" customHeight="1" x14ac:dyDescent="0.2">
      <c r="E6933" s="18"/>
      <c r="F6933" s="18"/>
    </row>
    <row r="6934" spans="5:6" ht="15" customHeight="1" x14ac:dyDescent="0.2">
      <c r="E6934" s="18"/>
      <c r="F6934" s="18"/>
    </row>
    <row r="6935" spans="5:6" ht="15" customHeight="1" x14ac:dyDescent="0.2">
      <c r="E6935" s="18"/>
      <c r="F6935" s="18"/>
    </row>
    <row r="6936" spans="5:6" ht="15" customHeight="1" x14ac:dyDescent="0.2">
      <c r="E6936" s="18"/>
      <c r="F6936" s="18"/>
    </row>
    <row r="6937" spans="5:6" ht="15" customHeight="1" x14ac:dyDescent="0.2">
      <c r="E6937" s="18"/>
      <c r="F6937" s="18"/>
    </row>
    <row r="6938" spans="5:6" ht="15" customHeight="1" x14ac:dyDescent="0.2">
      <c r="E6938" s="18"/>
      <c r="F6938" s="18"/>
    </row>
    <row r="6939" spans="5:6" ht="15" customHeight="1" x14ac:dyDescent="0.2">
      <c r="E6939" s="18"/>
      <c r="F6939" s="18"/>
    </row>
    <row r="6940" spans="5:6" ht="15" customHeight="1" x14ac:dyDescent="0.2">
      <c r="E6940" s="18"/>
      <c r="F6940" s="18"/>
    </row>
    <row r="6941" spans="5:6" ht="15" customHeight="1" x14ac:dyDescent="0.2">
      <c r="E6941" s="18"/>
      <c r="F6941" s="18"/>
    </row>
    <row r="6942" spans="5:6" ht="15" customHeight="1" x14ac:dyDescent="0.2">
      <c r="E6942" s="18"/>
      <c r="F6942" s="18"/>
    </row>
    <row r="6943" spans="5:6" ht="15" customHeight="1" x14ac:dyDescent="0.2">
      <c r="E6943" s="18"/>
      <c r="F6943" s="18"/>
    </row>
    <row r="6944" spans="5:6" ht="15" customHeight="1" x14ac:dyDescent="0.2">
      <c r="E6944" s="18"/>
      <c r="F6944" s="18"/>
    </row>
    <row r="6945" spans="5:6" ht="15" customHeight="1" x14ac:dyDescent="0.2">
      <c r="E6945" s="18"/>
      <c r="F6945" s="18"/>
    </row>
    <row r="6946" spans="5:6" ht="15" customHeight="1" x14ac:dyDescent="0.2">
      <c r="E6946" s="18"/>
      <c r="F6946" s="18"/>
    </row>
    <row r="6947" spans="5:6" ht="15" customHeight="1" x14ac:dyDescent="0.2">
      <c r="E6947" s="18"/>
      <c r="F6947" s="18"/>
    </row>
    <row r="6948" spans="5:6" ht="15" customHeight="1" x14ac:dyDescent="0.2">
      <c r="E6948" s="18"/>
      <c r="F6948" s="18"/>
    </row>
    <row r="6949" spans="5:6" ht="15" customHeight="1" x14ac:dyDescent="0.2">
      <c r="E6949" s="18"/>
      <c r="F6949" s="18"/>
    </row>
    <row r="6950" spans="5:6" ht="15" customHeight="1" x14ac:dyDescent="0.2">
      <c r="E6950" s="18"/>
      <c r="F6950" s="18"/>
    </row>
    <row r="6951" spans="5:6" ht="15" customHeight="1" x14ac:dyDescent="0.2">
      <c r="E6951" s="18"/>
      <c r="F6951" s="18"/>
    </row>
    <row r="6952" spans="5:6" ht="15" customHeight="1" x14ac:dyDescent="0.2">
      <c r="E6952" s="18"/>
      <c r="F6952" s="18"/>
    </row>
    <row r="6953" spans="5:6" ht="15" customHeight="1" x14ac:dyDescent="0.2">
      <c r="E6953" s="18"/>
      <c r="F6953" s="18"/>
    </row>
    <row r="6954" spans="5:6" ht="15" customHeight="1" x14ac:dyDescent="0.2">
      <c r="E6954" s="18"/>
      <c r="F6954" s="18"/>
    </row>
    <row r="6955" spans="5:6" ht="15" customHeight="1" x14ac:dyDescent="0.2">
      <c r="E6955" s="18"/>
      <c r="F6955" s="18"/>
    </row>
    <row r="6956" spans="5:6" ht="15" customHeight="1" x14ac:dyDescent="0.2">
      <c r="E6956" s="18"/>
      <c r="F6956" s="18"/>
    </row>
    <row r="6957" spans="5:6" ht="15" customHeight="1" x14ac:dyDescent="0.2">
      <c r="E6957" s="18"/>
      <c r="F6957" s="18"/>
    </row>
    <row r="6958" spans="5:6" ht="15" customHeight="1" x14ac:dyDescent="0.2">
      <c r="E6958" s="18"/>
      <c r="F6958" s="18"/>
    </row>
    <row r="6959" spans="5:6" ht="15" customHeight="1" x14ac:dyDescent="0.2">
      <c r="E6959" s="18"/>
      <c r="F6959" s="18"/>
    </row>
    <row r="6960" spans="5:6" ht="15" customHeight="1" x14ac:dyDescent="0.2">
      <c r="E6960" s="18"/>
      <c r="F6960" s="18"/>
    </row>
    <row r="6961" spans="5:6" ht="15" customHeight="1" x14ac:dyDescent="0.2">
      <c r="E6961" s="18"/>
      <c r="F6961" s="18"/>
    </row>
    <row r="6962" spans="5:6" ht="15" customHeight="1" x14ac:dyDescent="0.2">
      <c r="E6962" s="18"/>
      <c r="F6962" s="18"/>
    </row>
    <row r="6963" spans="5:6" ht="15" customHeight="1" x14ac:dyDescent="0.2">
      <c r="E6963" s="18"/>
      <c r="F6963" s="18"/>
    </row>
    <row r="6964" spans="5:6" ht="15" customHeight="1" x14ac:dyDescent="0.2">
      <c r="E6964" s="18"/>
      <c r="F6964" s="18"/>
    </row>
    <row r="6965" spans="5:6" ht="15" customHeight="1" x14ac:dyDescent="0.2">
      <c r="E6965" s="18"/>
      <c r="F6965" s="18"/>
    </row>
    <row r="6966" spans="5:6" ht="15" customHeight="1" x14ac:dyDescent="0.2">
      <c r="E6966" s="18"/>
      <c r="F6966" s="18"/>
    </row>
    <row r="6967" spans="5:6" ht="15" customHeight="1" x14ac:dyDescent="0.2">
      <c r="E6967" s="18"/>
      <c r="F6967" s="18"/>
    </row>
    <row r="6968" spans="5:6" ht="15" customHeight="1" x14ac:dyDescent="0.2">
      <c r="E6968" s="18"/>
      <c r="F6968" s="18"/>
    </row>
    <row r="6969" spans="5:6" ht="15" customHeight="1" x14ac:dyDescent="0.2">
      <c r="E6969" s="18"/>
      <c r="F6969" s="18"/>
    </row>
    <row r="6970" spans="5:6" ht="15" customHeight="1" x14ac:dyDescent="0.2">
      <c r="E6970" s="18"/>
      <c r="F6970" s="18"/>
    </row>
    <row r="6971" spans="5:6" ht="15" customHeight="1" x14ac:dyDescent="0.2">
      <c r="E6971" s="18"/>
      <c r="F6971" s="18"/>
    </row>
    <row r="6972" spans="5:6" ht="15" customHeight="1" x14ac:dyDescent="0.2">
      <c r="E6972" s="18"/>
      <c r="F6972" s="18"/>
    </row>
    <row r="6973" spans="5:6" ht="15" customHeight="1" x14ac:dyDescent="0.2">
      <c r="E6973" s="18"/>
      <c r="F6973" s="18"/>
    </row>
    <row r="6974" spans="5:6" ht="15" customHeight="1" x14ac:dyDescent="0.2">
      <c r="E6974" s="18"/>
      <c r="F6974" s="18"/>
    </row>
    <row r="6975" spans="5:6" ht="15" customHeight="1" x14ac:dyDescent="0.2">
      <c r="E6975" s="18"/>
      <c r="F6975" s="18"/>
    </row>
    <row r="6976" spans="5:6" ht="15" customHeight="1" x14ac:dyDescent="0.2">
      <c r="E6976" s="18"/>
      <c r="F6976" s="18"/>
    </row>
    <row r="6977" spans="5:6" ht="15" customHeight="1" x14ac:dyDescent="0.2">
      <c r="E6977" s="18"/>
      <c r="F6977" s="18"/>
    </row>
    <row r="6978" spans="5:6" ht="15" customHeight="1" x14ac:dyDescent="0.2">
      <c r="E6978" s="18"/>
      <c r="F6978" s="18"/>
    </row>
    <row r="6979" spans="5:6" ht="15" customHeight="1" x14ac:dyDescent="0.2">
      <c r="E6979" s="18"/>
      <c r="F6979" s="18"/>
    </row>
    <row r="6980" spans="5:6" ht="15" customHeight="1" x14ac:dyDescent="0.2">
      <c r="E6980" s="18"/>
      <c r="F6980" s="18"/>
    </row>
    <row r="6981" spans="5:6" ht="15" customHeight="1" x14ac:dyDescent="0.2">
      <c r="E6981" s="18"/>
      <c r="F6981" s="18"/>
    </row>
    <row r="6982" spans="5:6" ht="15" customHeight="1" x14ac:dyDescent="0.2">
      <c r="E6982" s="18"/>
      <c r="F6982" s="18"/>
    </row>
    <row r="6983" spans="5:6" ht="15" customHeight="1" x14ac:dyDescent="0.2">
      <c r="E6983" s="18"/>
      <c r="F6983" s="18"/>
    </row>
    <row r="6984" spans="5:6" ht="15" customHeight="1" x14ac:dyDescent="0.2">
      <c r="E6984" s="18"/>
      <c r="F6984" s="18"/>
    </row>
    <row r="6985" spans="5:6" ht="15" customHeight="1" x14ac:dyDescent="0.2">
      <c r="E6985" s="18"/>
      <c r="F6985" s="18"/>
    </row>
    <row r="6986" spans="5:6" ht="15" customHeight="1" x14ac:dyDescent="0.2">
      <c r="E6986" s="18"/>
      <c r="F6986" s="18"/>
    </row>
    <row r="6987" spans="5:6" ht="15" customHeight="1" x14ac:dyDescent="0.2">
      <c r="E6987" s="18"/>
      <c r="F6987" s="18"/>
    </row>
    <row r="6988" spans="5:6" ht="15" customHeight="1" x14ac:dyDescent="0.2">
      <c r="E6988" s="18"/>
      <c r="F6988" s="18"/>
    </row>
    <row r="6989" spans="5:6" ht="15" customHeight="1" x14ac:dyDescent="0.2">
      <c r="E6989" s="18"/>
      <c r="F6989" s="18"/>
    </row>
    <row r="6990" spans="5:6" ht="15" customHeight="1" x14ac:dyDescent="0.2">
      <c r="E6990" s="18"/>
      <c r="F6990" s="18"/>
    </row>
    <row r="6991" spans="5:6" ht="15" customHeight="1" x14ac:dyDescent="0.2">
      <c r="E6991" s="18"/>
      <c r="F6991" s="18"/>
    </row>
    <row r="6992" spans="5:6" ht="15" customHeight="1" x14ac:dyDescent="0.2">
      <c r="E6992" s="18"/>
      <c r="F6992" s="18"/>
    </row>
    <row r="6993" spans="5:6" ht="15" customHeight="1" x14ac:dyDescent="0.2">
      <c r="E6993" s="18"/>
      <c r="F6993" s="18"/>
    </row>
    <row r="6994" spans="5:6" ht="15" customHeight="1" x14ac:dyDescent="0.2">
      <c r="E6994" s="18"/>
      <c r="F6994" s="18"/>
    </row>
    <row r="6995" spans="5:6" ht="15" customHeight="1" x14ac:dyDescent="0.2">
      <c r="E6995" s="18"/>
      <c r="F6995" s="18"/>
    </row>
    <row r="6996" spans="5:6" ht="15" customHeight="1" x14ac:dyDescent="0.2">
      <c r="E6996" s="18"/>
      <c r="F6996" s="18"/>
    </row>
    <row r="6997" spans="5:6" ht="15" customHeight="1" x14ac:dyDescent="0.2">
      <c r="E6997" s="18"/>
      <c r="F6997" s="18"/>
    </row>
    <row r="6998" spans="5:6" ht="15" customHeight="1" x14ac:dyDescent="0.2">
      <c r="E6998" s="18"/>
      <c r="F6998" s="18"/>
    </row>
    <row r="6999" spans="5:6" ht="15" customHeight="1" x14ac:dyDescent="0.2">
      <c r="E6999" s="18"/>
      <c r="F6999" s="18"/>
    </row>
    <row r="7000" spans="5:6" ht="15" customHeight="1" x14ac:dyDescent="0.2">
      <c r="E7000" s="18"/>
      <c r="F7000" s="18"/>
    </row>
    <row r="7001" spans="5:6" ht="15" customHeight="1" x14ac:dyDescent="0.2">
      <c r="E7001" s="18"/>
      <c r="F7001" s="18"/>
    </row>
    <row r="7002" spans="5:6" ht="15" customHeight="1" x14ac:dyDescent="0.2">
      <c r="E7002" s="18"/>
      <c r="F7002" s="18"/>
    </row>
    <row r="7003" spans="5:6" ht="15" customHeight="1" x14ac:dyDescent="0.2">
      <c r="E7003" s="18"/>
      <c r="F7003" s="18"/>
    </row>
    <row r="7004" spans="5:6" ht="15" customHeight="1" x14ac:dyDescent="0.2">
      <c r="E7004" s="18"/>
      <c r="F7004" s="18"/>
    </row>
    <row r="7005" spans="5:6" ht="15" customHeight="1" x14ac:dyDescent="0.2">
      <c r="E7005" s="18"/>
      <c r="F7005" s="18"/>
    </row>
    <row r="7006" spans="5:6" ht="15" customHeight="1" x14ac:dyDescent="0.2">
      <c r="E7006" s="18"/>
      <c r="F7006" s="18"/>
    </row>
    <row r="7007" spans="5:6" ht="15" customHeight="1" x14ac:dyDescent="0.2">
      <c r="E7007" s="18"/>
      <c r="F7007" s="18"/>
    </row>
    <row r="7008" spans="5:6" ht="15" customHeight="1" x14ac:dyDescent="0.2">
      <c r="E7008" s="18"/>
      <c r="F7008" s="18"/>
    </row>
    <row r="7009" spans="5:6" ht="15" customHeight="1" x14ac:dyDescent="0.2">
      <c r="E7009" s="18"/>
      <c r="F7009" s="18"/>
    </row>
    <row r="7010" spans="5:6" ht="15" customHeight="1" x14ac:dyDescent="0.2">
      <c r="E7010" s="18"/>
      <c r="F7010" s="18"/>
    </row>
    <row r="7011" spans="5:6" ht="15" customHeight="1" x14ac:dyDescent="0.2">
      <c r="E7011" s="18"/>
      <c r="F7011" s="18"/>
    </row>
    <row r="7012" spans="5:6" ht="15" customHeight="1" x14ac:dyDescent="0.2">
      <c r="E7012" s="18"/>
      <c r="F7012" s="18"/>
    </row>
    <row r="7013" spans="5:6" ht="15" customHeight="1" x14ac:dyDescent="0.2">
      <c r="E7013" s="18"/>
      <c r="F7013" s="18"/>
    </row>
    <row r="7014" spans="5:6" ht="15" customHeight="1" x14ac:dyDescent="0.2">
      <c r="E7014" s="18"/>
      <c r="F7014" s="18"/>
    </row>
    <row r="7015" spans="5:6" ht="15" customHeight="1" x14ac:dyDescent="0.2">
      <c r="E7015" s="18"/>
      <c r="F7015" s="18"/>
    </row>
    <row r="7016" spans="5:6" ht="15" customHeight="1" x14ac:dyDescent="0.2">
      <c r="E7016" s="18"/>
      <c r="F7016" s="18"/>
    </row>
    <row r="7017" spans="5:6" ht="15" customHeight="1" x14ac:dyDescent="0.2">
      <c r="E7017" s="18"/>
      <c r="F7017" s="18"/>
    </row>
    <row r="7018" spans="5:6" ht="15" customHeight="1" x14ac:dyDescent="0.2">
      <c r="E7018" s="18"/>
      <c r="F7018" s="18"/>
    </row>
    <row r="7019" spans="5:6" ht="15" customHeight="1" x14ac:dyDescent="0.2">
      <c r="E7019" s="18"/>
      <c r="F7019" s="18"/>
    </row>
    <row r="7020" spans="5:6" ht="15" customHeight="1" x14ac:dyDescent="0.2">
      <c r="E7020" s="18"/>
      <c r="F7020" s="18"/>
    </row>
    <row r="7021" spans="5:6" ht="15" customHeight="1" x14ac:dyDescent="0.2">
      <c r="E7021" s="18"/>
      <c r="F7021" s="18"/>
    </row>
    <row r="7022" spans="5:6" ht="15" customHeight="1" x14ac:dyDescent="0.2">
      <c r="E7022" s="18"/>
      <c r="F7022" s="18"/>
    </row>
    <row r="7023" spans="5:6" ht="15" customHeight="1" x14ac:dyDescent="0.2">
      <c r="E7023" s="18"/>
      <c r="F7023" s="18"/>
    </row>
    <row r="7024" spans="5:6" ht="15" customHeight="1" x14ac:dyDescent="0.2">
      <c r="E7024" s="18"/>
      <c r="F7024" s="18"/>
    </row>
    <row r="7025" spans="5:6" ht="15" customHeight="1" x14ac:dyDescent="0.2">
      <c r="E7025" s="18"/>
      <c r="F7025" s="18"/>
    </row>
    <row r="7026" spans="5:6" ht="15" customHeight="1" x14ac:dyDescent="0.2">
      <c r="E7026" s="18"/>
      <c r="F7026" s="18"/>
    </row>
    <row r="7027" spans="5:6" ht="15" customHeight="1" x14ac:dyDescent="0.2">
      <c r="E7027" s="18"/>
      <c r="F7027" s="18"/>
    </row>
    <row r="7028" spans="5:6" ht="15" customHeight="1" x14ac:dyDescent="0.2">
      <c r="E7028" s="18"/>
      <c r="F7028" s="18"/>
    </row>
    <row r="7029" spans="5:6" ht="15" customHeight="1" x14ac:dyDescent="0.2">
      <c r="E7029" s="18"/>
      <c r="F7029" s="18"/>
    </row>
    <row r="7030" spans="5:6" ht="15" customHeight="1" x14ac:dyDescent="0.2">
      <c r="E7030" s="18"/>
      <c r="F7030" s="18"/>
    </row>
    <row r="7031" spans="5:6" ht="15" customHeight="1" x14ac:dyDescent="0.2">
      <c r="E7031" s="18"/>
      <c r="F7031" s="18"/>
    </row>
    <row r="7032" spans="5:6" ht="15" customHeight="1" x14ac:dyDescent="0.2">
      <c r="E7032" s="18"/>
      <c r="F7032" s="18"/>
    </row>
    <row r="7033" spans="5:6" ht="15" customHeight="1" x14ac:dyDescent="0.2">
      <c r="E7033" s="18"/>
      <c r="F7033" s="18"/>
    </row>
    <row r="7034" spans="5:6" ht="15" customHeight="1" x14ac:dyDescent="0.2">
      <c r="E7034" s="18"/>
      <c r="F7034" s="18"/>
    </row>
    <row r="7035" spans="5:6" ht="15" customHeight="1" x14ac:dyDescent="0.2">
      <c r="E7035" s="18"/>
      <c r="F7035" s="18"/>
    </row>
    <row r="7036" spans="5:6" ht="15" customHeight="1" x14ac:dyDescent="0.2">
      <c r="E7036" s="18"/>
      <c r="F7036" s="18"/>
    </row>
    <row r="7037" spans="5:6" ht="15" customHeight="1" x14ac:dyDescent="0.2">
      <c r="E7037" s="18"/>
      <c r="F7037" s="18"/>
    </row>
    <row r="7038" spans="5:6" ht="15" customHeight="1" x14ac:dyDescent="0.2">
      <c r="E7038" s="18"/>
      <c r="F7038" s="18"/>
    </row>
    <row r="7039" spans="5:6" ht="15" customHeight="1" x14ac:dyDescent="0.2">
      <c r="E7039" s="18"/>
      <c r="F7039" s="18"/>
    </row>
    <row r="7040" spans="5:6" ht="15" customHeight="1" x14ac:dyDescent="0.2">
      <c r="E7040" s="18"/>
      <c r="F7040" s="18"/>
    </row>
    <row r="7041" spans="5:6" ht="15" customHeight="1" x14ac:dyDescent="0.2">
      <c r="E7041" s="18"/>
      <c r="F7041" s="18"/>
    </row>
    <row r="7042" spans="5:6" ht="15" customHeight="1" x14ac:dyDescent="0.2">
      <c r="E7042" s="18"/>
      <c r="F7042" s="18"/>
    </row>
    <row r="7043" spans="5:6" ht="15" customHeight="1" x14ac:dyDescent="0.2">
      <c r="E7043" s="18"/>
      <c r="F7043" s="18"/>
    </row>
    <row r="7044" spans="5:6" ht="15" customHeight="1" x14ac:dyDescent="0.2">
      <c r="E7044" s="18"/>
      <c r="F7044" s="18"/>
    </row>
    <row r="7045" spans="5:6" ht="15" customHeight="1" x14ac:dyDescent="0.2">
      <c r="E7045" s="18"/>
      <c r="F7045" s="18"/>
    </row>
    <row r="7046" spans="5:6" ht="15" customHeight="1" x14ac:dyDescent="0.2">
      <c r="E7046" s="18"/>
      <c r="F7046" s="18"/>
    </row>
    <row r="7047" spans="5:6" ht="15" customHeight="1" x14ac:dyDescent="0.2">
      <c r="E7047" s="18"/>
      <c r="F7047" s="18"/>
    </row>
    <row r="7048" spans="5:6" ht="15" customHeight="1" x14ac:dyDescent="0.2">
      <c r="E7048" s="18"/>
      <c r="F7048" s="18"/>
    </row>
    <row r="7049" spans="5:6" ht="15" customHeight="1" x14ac:dyDescent="0.2">
      <c r="E7049" s="18"/>
      <c r="F7049" s="18"/>
    </row>
    <row r="7050" spans="5:6" ht="15" customHeight="1" x14ac:dyDescent="0.2">
      <c r="E7050" s="18"/>
      <c r="F7050" s="18"/>
    </row>
    <row r="7051" spans="5:6" ht="15" customHeight="1" x14ac:dyDescent="0.2">
      <c r="E7051" s="18"/>
      <c r="F7051" s="18"/>
    </row>
    <row r="7052" spans="5:6" ht="15" customHeight="1" x14ac:dyDescent="0.2">
      <c r="E7052" s="18"/>
      <c r="F7052" s="18"/>
    </row>
    <row r="7053" spans="5:6" ht="15" customHeight="1" x14ac:dyDescent="0.2">
      <c r="E7053" s="18"/>
      <c r="F7053" s="18"/>
    </row>
    <row r="7054" spans="5:6" ht="15" customHeight="1" x14ac:dyDescent="0.2">
      <c r="E7054" s="18"/>
      <c r="F7054" s="18"/>
    </row>
    <row r="7055" spans="5:6" ht="15" customHeight="1" x14ac:dyDescent="0.2">
      <c r="E7055" s="18"/>
      <c r="F7055" s="18"/>
    </row>
    <row r="7056" spans="5:6" ht="15" customHeight="1" x14ac:dyDescent="0.2">
      <c r="E7056" s="18"/>
      <c r="F7056" s="18"/>
    </row>
    <row r="7057" spans="5:6" ht="15" customHeight="1" x14ac:dyDescent="0.2">
      <c r="E7057" s="18"/>
      <c r="F7057" s="18"/>
    </row>
    <row r="7058" spans="5:6" ht="15" customHeight="1" x14ac:dyDescent="0.2">
      <c r="E7058" s="18"/>
      <c r="F7058" s="18"/>
    </row>
    <row r="7059" spans="5:6" ht="15" customHeight="1" x14ac:dyDescent="0.2">
      <c r="E7059" s="18"/>
      <c r="F7059" s="18"/>
    </row>
    <row r="7060" spans="5:6" ht="15" customHeight="1" x14ac:dyDescent="0.2">
      <c r="E7060" s="18"/>
      <c r="F7060" s="18"/>
    </row>
    <row r="7061" spans="5:6" ht="15" customHeight="1" x14ac:dyDescent="0.2">
      <c r="E7061" s="18"/>
      <c r="F7061" s="18"/>
    </row>
    <row r="7062" spans="5:6" ht="15" customHeight="1" x14ac:dyDescent="0.2">
      <c r="E7062" s="18"/>
      <c r="F7062" s="18"/>
    </row>
    <row r="7063" spans="5:6" ht="15" customHeight="1" x14ac:dyDescent="0.2">
      <c r="E7063" s="18"/>
      <c r="F7063" s="18"/>
    </row>
    <row r="7064" spans="5:6" ht="15" customHeight="1" x14ac:dyDescent="0.2">
      <c r="E7064" s="18"/>
      <c r="F7064" s="18"/>
    </row>
    <row r="7065" spans="5:6" ht="15" customHeight="1" x14ac:dyDescent="0.2">
      <c r="E7065" s="18"/>
      <c r="F7065" s="18"/>
    </row>
    <row r="7066" spans="5:6" ht="15" customHeight="1" x14ac:dyDescent="0.2">
      <c r="E7066" s="18"/>
      <c r="F7066" s="18"/>
    </row>
    <row r="7067" spans="5:6" ht="15" customHeight="1" x14ac:dyDescent="0.2">
      <c r="E7067" s="18"/>
      <c r="F7067" s="18"/>
    </row>
    <row r="7068" spans="5:6" ht="15" customHeight="1" x14ac:dyDescent="0.2">
      <c r="E7068" s="18"/>
      <c r="F7068" s="18"/>
    </row>
    <row r="7069" spans="5:6" ht="15" customHeight="1" x14ac:dyDescent="0.2">
      <c r="E7069" s="18"/>
      <c r="F7069" s="18"/>
    </row>
    <row r="7070" spans="5:6" ht="15" customHeight="1" x14ac:dyDescent="0.2">
      <c r="E7070" s="18"/>
      <c r="F7070" s="18"/>
    </row>
    <row r="7071" spans="5:6" ht="15" customHeight="1" x14ac:dyDescent="0.2">
      <c r="E7071" s="18"/>
      <c r="F7071" s="18"/>
    </row>
    <row r="7072" spans="5:6" ht="15" customHeight="1" x14ac:dyDescent="0.2">
      <c r="E7072" s="18"/>
      <c r="F7072" s="18"/>
    </row>
    <row r="7073" spans="5:6" ht="15" customHeight="1" x14ac:dyDescent="0.2">
      <c r="E7073" s="18"/>
      <c r="F7073" s="18"/>
    </row>
    <row r="7074" spans="5:6" ht="15" customHeight="1" x14ac:dyDescent="0.2">
      <c r="E7074" s="18"/>
      <c r="F7074" s="18"/>
    </row>
    <row r="7075" spans="5:6" ht="15" customHeight="1" x14ac:dyDescent="0.2">
      <c r="E7075" s="18"/>
      <c r="F7075" s="18"/>
    </row>
    <row r="7076" spans="5:6" ht="15" customHeight="1" x14ac:dyDescent="0.2">
      <c r="E7076" s="18"/>
      <c r="F7076" s="18"/>
    </row>
    <row r="7077" spans="5:6" ht="15" customHeight="1" x14ac:dyDescent="0.2">
      <c r="E7077" s="18"/>
      <c r="F7077" s="18"/>
    </row>
    <row r="7078" spans="5:6" ht="15" customHeight="1" x14ac:dyDescent="0.2">
      <c r="E7078" s="18"/>
      <c r="F7078" s="18"/>
    </row>
    <row r="7079" spans="5:6" ht="15" customHeight="1" x14ac:dyDescent="0.2">
      <c r="E7079" s="18"/>
      <c r="F7079" s="18"/>
    </row>
    <row r="7080" spans="5:6" ht="15" customHeight="1" x14ac:dyDescent="0.2">
      <c r="E7080" s="18"/>
      <c r="F7080" s="18"/>
    </row>
    <row r="7081" spans="5:6" ht="15" customHeight="1" x14ac:dyDescent="0.2">
      <c r="E7081" s="18"/>
      <c r="F7081" s="18"/>
    </row>
    <row r="7082" spans="5:6" ht="15" customHeight="1" x14ac:dyDescent="0.2">
      <c r="E7082" s="18"/>
      <c r="F7082" s="18"/>
    </row>
    <row r="7083" spans="5:6" ht="15" customHeight="1" x14ac:dyDescent="0.2">
      <c r="E7083" s="18"/>
      <c r="F7083" s="18"/>
    </row>
    <row r="7084" spans="5:6" ht="15" customHeight="1" x14ac:dyDescent="0.2">
      <c r="E7084" s="18"/>
      <c r="F7084" s="18"/>
    </row>
    <row r="7085" spans="5:6" ht="15" customHeight="1" x14ac:dyDescent="0.2">
      <c r="E7085" s="18"/>
      <c r="F7085" s="18"/>
    </row>
    <row r="7086" spans="5:6" ht="15" customHeight="1" x14ac:dyDescent="0.2">
      <c r="E7086" s="18"/>
      <c r="F7086" s="18"/>
    </row>
    <row r="7087" spans="5:6" ht="15" customHeight="1" x14ac:dyDescent="0.2">
      <c r="E7087" s="18"/>
      <c r="F7087" s="18"/>
    </row>
    <row r="7088" spans="5:6" ht="15" customHeight="1" x14ac:dyDescent="0.2">
      <c r="E7088" s="18"/>
      <c r="F7088" s="18"/>
    </row>
    <row r="7089" spans="5:6" ht="15" customHeight="1" x14ac:dyDescent="0.2">
      <c r="E7089" s="18"/>
      <c r="F7089" s="18"/>
    </row>
    <row r="7090" spans="5:6" ht="15" customHeight="1" x14ac:dyDescent="0.2">
      <c r="E7090" s="18"/>
      <c r="F7090" s="18"/>
    </row>
    <row r="7091" spans="5:6" ht="15" customHeight="1" x14ac:dyDescent="0.2">
      <c r="E7091" s="18"/>
      <c r="F7091" s="18"/>
    </row>
    <row r="7092" spans="5:6" ht="15" customHeight="1" x14ac:dyDescent="0.2">
      <c r="E7092" s="18"/>
      <c r="F7092" s="18"/>
    </row>
    <row r="7093" spans="5:6" ht="15" customHeight="1" x14ac:dyDescent="0.2">
      <c r="E7093" s="18"/>
      <c r="F7093" s="18"/>
    </row>
    <row r="7094" spans="5:6" ht="15" customHeight="1" x14ac:dyDescent="0.2">
      <c r="E7094" s="18"/>
      <c r="F7094" s="18"/>
    </row>
    <row r="7095" spans="5:6" ht="15" customHeight="1" x14ac:dyDescent="0.2">
      <c r="E7095" s="18"/>
      <c r="F7095" s="18"/>
    </row>
    <row r="7096" spans="5:6" ht="15" customHeight="1" x14ac:dyDescent="0.2">
      <c r="E7096" s="18"/>
      <c r="F7096" s="18"/>
    </row>
    <row r="7097" spans="5:6" ht="15" customHeight="1" x14ac:dyDescent="0.2">
      <c r="E7097" s="18"/>
      <c r="F7097" s="18"/>
    </row>
    <row r="7098" spans="5:6" ht="15" customHeight="1" x14ac:dyDescent="0.2">
      <c r="E7098" s="18"/>
      <c r="F7098" s="18"/>
    </row>
    <row r="7099" spans="5:6" ht="15" customHeight="1" x14ac:dyDescent="0.2">
      <c r="E7099" s="18"/>
      <c r="F7099" s="18"/>
    </row>
    <row r="7100" spans="5:6" ht="15" customHeight="1" x14ac:dyDescent="0.2">
      <c r="E7100" s="18"/>
      <c r="F7100" s="18"/>
    </row>
    <row r="7101" spans="5:6" ht="15" customHeight="1" x14ac:dyDescent="0.2">
      <c r="E7101" s="18"/>
      <c r="F7101" s="18"/>
    </row>
    <row r="7102" spans="5:6" ht="15" customHeight="1" x14ac:dyDescent="0.2">
      <c r="E7102" s="18"/>
      <c r="F7102" s="18"/>
    </row>
    <row r="7103" spans="5:6" ht="15" customHeight="1" x14ac:dyDescent="0.2">
      <c r="E7103" s="18"/>
      <c r="F7103" s="18"/>
    </row>
    <row r="7104" spans="5:6" ht="15" customHeight="1" x14ac:dyDescent="0.2">
      <c r="E7104" s="18"/>
      <c r="F7104" s="18"/>
    </row>
    <row r="7105" spans="5:6" ht="15" customHeight="1" x14ac:dyDescent="0.2">
      <c r="E7105" s="18"/>
      <c r="F7105" s="18"/>
    </row>
    <row r="7106" spans="5:6" ht="15" customHeight="1" x14ac:dyDescent="0.2">
      <c r="E7106" s="18"/>
      <c r="F7106" s="18"/>
    </row>
    <row r="7107" spans="5:6" ht="15" customHeight="1" x14ac:dyDescent="0.2">
      <c r="E7107" s="18"/>
      <c r="F7107" s="18"/>
    </row>
    <row r="7108" spans="5:6" ht="15" customHeight="1" x14ac:dyDescent="0.2">
      <c r="E7108" s="18"/>
      <c r="F7108" s="18"/>
    </row>
    <row r="7109" spans="5:6" ht="15" customHeight="1" x14ac:dyDescent="0.2">
      <c r="E7109" s="18"/>
      <c r="F7109" s="18"/>
    </row>
    <row r="7110" spans="5:6" ht="15" customHeight="1" x14ac:dyDescent="0.2">
      <c r="E7110" s="18"/>
      <c r="F7110" s="18"/>
    </row>
    <row r="7111" spans="5:6" ht="15" customHeight="1" x14ac:dyDescent="0.2">
      <c r="E7111" s="18"/>
      <c r="F7111" s="18"/>
    </row>
    <row r="7112" spans="5:6" ht="15" customHeight="1" x14ac:dyDescent="0.2">
      <c r="E7112" s="18"/>
      <c r="F7112" s="18"/>
    </row>
    <row r="7113" spans="5:6" ht="15" customHeight="1" x14ac:dyDescent="0.2">
      <c r="E7113" s="18"/>
      <c r="F7113" s="18"/>
    </row>
    <row r="7114" spans="5:6" ht="15" customHeight="1" x14ac:dyDescent="0.2">
      <c r="E7114" s="18"/>
      <c r="F7114" s="18"/>
    </row>
    <row r="7115" spans="5:6" ht="15" customHeight="1" x14ac:dyDescent="0.2">
      <c r="E7115" s="18"/>
      <c r="F7115" s="18"/>
    </row>
    <row r="7116" spans="5:6" ht="15" customHeight="1" x14ac:dyDescent="0.2">
      <c r="E7116" s="18"/>
      <c r="F7116" s="18"/>
    </row>
    <row r="7117" spans="5:6" ht="15" customHeight="1" x14ac:dyDescent="0.2">
      <c r="E7117" s="18"/>
      <c r="F7117" s="18"/>
    </row>
    <row r="7118" spans="5:6" ht="15" customHeight="1" x14ac:dyDescent="0.2">
      <c r="E7118" s="18"/>
      <c r="F7118" s="18"/>
    </row>
    <row r="7119" spans="5:6" ht="15" customHeight="1" x14ac:dyDescent="0.2">
      <c r="E7119" s="18"/>
      <c r="F7119" s="18"/>
    </row>
    <row r="7120" spans="5:6" ht="15" customHeight="1" x14ac:dyDescent="0.2">
      <c r="E7120" s="18"/>
      <c r="F7120" s="18"/>
    </row>
    <row r="7121" spans="5:6" ht="15" customHeight="1" x14ac:dyDescent="0.2">
      <c r="E7121" s="18"/>
      <c r="F7121" s="18"/>
    </row>
    <row r="7122" spans="5:6" ht="15" customHeight="1" x14ac:dyDescent="0.2">
      <c r="E7122" s="18"/>
      <c r="F7122" s="18"/>
    </row>
    <row r="7123" spans="5:6" ht="15" customHeight="1" x14ac:dyDescent="0.2">
      <c r="E7123" s="18"/>
      <c r="F7123" s="18"/>
    </row>
    <row r="7124" spans="5:6" ht="15" customHeight="1" x14ac:dyDescent="0.2">
      <c r="E7124" s="18"/>
      <c r="F7124" s="18"/>
    </row>
    <row r="7125" spans="5:6" ht="15" customHeight="1" x14ac:dyDescent="0.2">
      <c r="E7125" s="18"/>
      <c r="F7125" s="18"/>
    </row>
    <row r="7126" spans="5:6" ht="15" customHeight="1" x14ac:dyDescent="0.2">
      <c r="E7126" s="18"/>
      <c r="F7126" s="18"/>
    </row>
    <row r="7127" spans="5:6" ht="15" customHeight="1" x14ac:dyDescent="0.2">
      <c r="E7127" s="18"/>
      <c r="F7127" s="18"/>
    </row>
    <row r="7128" spans="5:6" ht="15" customHeight="1" x14ac:dyDescent="0.2">
      <c r="E7128" s="18"/>
      <c r="F7128" s="18"/>
    </row>
    <row r="7129" spans="5:6" ht="15" customHeight="1" x14ac:dyDescent="0.2">
      <c r="E7129" s="18"/>
      <c r="F7129" s="18"/>
    </row>
    <row r="7130" spans="5:6" ht="15" customHeight="1" x14ac:dyDescent="0.2">
      <c r="E7130" s="18"/>
      <c r="F7130" s="18"/>
    </row>
    <row r="7131" spans="5:6" ht="15" customHeight="1" x14ac:dyDescent="0.2">
      <c r="E7131" s="18"/>
      <c r="F7131" s="18"/>
    </row>
    <row r="7132" spans="5:6" ht="15" customHeight="1" x14ac:dyDescent="0.2">
      <c r="E7132" s="18"/>
      <c r="F7132" s="18"/>
    </row>
    <row r="7133" spans="5:6" ht="15" customHeight="1" x14ac:dyDescent="0.2">
      <c r="E7133" s="18"/>
      <c r="F7133" s="18"/>
    </row>
    <row r="7134" spans="5:6" ht="15" customHeight="1" x14ac:dyDescent="0.2">
      <c r="E7134" s="18"/>
      <c r="F7134" s="18"/>
    </row>
    <row r="7135" spans="5:6" ht="15" customHeight="1" x14ac:dyDescent="0.2">
      <c r="E7135" s="18"/>
      <c r="F7135" s="18"/>
    </row>
    <row r="7136" spans="5:6" ht="15" customHeight="1" x14ac:dyDescent="0.2">
      <c r="E7136" s="18"/>
      <c r="F7136" s="18"/>
    </row>
    <row r="7137" spans="5:6" ht="15" customHeight="1" x14ac:dyDescent="0.2">
      <c r="E7137" s="18"/>
      <c r="F7137" s="18"/>
    </row>
    <row r="7138" spans="5:6" ht="15" customHeight="1" x14ac:dyDescent="0.2">
      <c r="E7138" s="18"/>
      <c r="F7138" s="18"/>
    </row>
    <row r="7139" spans="5:6" ht="15" customHeight="1" x14ac:dyDescent="0.2">
      <c r="E7139" s="18"/>
      <c r="F7139" s="18"/>
    </row>
    <row r="7140" spans="5:6" ht="15" customHeight="1" x14ac:dyDescent="0.2">
      <c r="E7140" s="18"/>
      <c r="F7140" s="18"/>
    </row>
    <row r="7141" spans="5:6" ht="15" customHeight="1" x14ac:dyDescent="0.2">
      <c r="E7141" s="18"/>
      <c r="F7141" s="18"/>
    </row>
    <row r="7142" spans="5:6" ht="15" customHeight="1" x14ac:dyDescent="0.2">
      <c r="E7142" s="18"/>
      <c r="F7142" s="18"/>
    </row>
    <row r="7143" spans="5:6" ht="15" customHeight="1" x14ac:dyDescent="0.2">
      <c r="E7143" s="18"/>
      <c r="F7143" s="18"/>
    </row>
    <row r="7144" spans="5:6" ht="15" customHeight="1" x14ac:dyDescent="0.2">
      <c r="E7144" s="18"/>
      <c r="F7144" s="18"/>
    </row>
    <row r="7145" spans="5:6" ht="15" customHeight="1" x14ac:dyDescent="0.2">
      <c r="E7145" s="18"/>
      <c r="F7145" s="18"/>
    </row>
    <row r="7146" spans="5:6" ht="15" customHeight="1" x14ac:dyDescent="0.2">
      <c r="E7146" s="18"/>
      <c r="F7146" s="18"/>
    </row>
    <row r="7147" spans="5:6" ht="15" customHeight="1" x14ac:dyDescent="0.2">
      <c r="E7147" s="18"/>
      <c r="F7147" s="18"/>
    </row>
    <row r="7148" spans="5:6" ht="15" customHeight="1" x14ac:dyDescent="0.2">
      <c r="E7148" s="18"/>
      <c r="F7148" s="18"/>
    </row>
    <row r="7149" spans="5:6" ht="15" customHeight="1" x14ac:dyDescent="0.2">
      <c r="E7149" s="18"/>
      <c r="F7149" s="18"/>
    </row>
    <row r="7150" spans="5:6" ht="15" customHeight="1" x14ac:dyDescent="0.2">
      <c r="E7150" s="18"/>
      <c r="F7150" s="18"/>
    </row>
    <row r="7151" spans="5:6" ht="15" customHeight="1" x14ac:dyDescent="0.2">
      <c r="E7151" s="18"/>
      <c r="F7151" s="18"/>
    </row>
    <row r="7152" spans="5:6" ht="15" customHeight="1" x14ac:dyDescent="0.2">
      <c r="E7152" s="18"/>
      <c r="F7152" s="18"/>
    </row>
    <row r="7153" spans="5:6" ht="15" customHeight="1" x14ac:dyDescent="0.2">
      <c r="E7153" s="18"/>
      <c r="F7153" s="18"/>
    </row>
    <row r="7154" spans="5:6" ht="15" customHeight="1" x14ac:dyDescent="0.2">
      <c r="E7154" s="18"/>
      <c r="F7154" s="18"/>
    </row>
    <row r="7155" spans="5:6" ht="15" customHeight="1" x14ac:dyDescent="0.2">
      <c r="E7155" s="18"/>
      <c r="F7155" s="18"/>
    </row>
    <row r="7156" spans="5:6" ht="15" customHeight="1" x14ac:dyDescent="0.2">
      <c r="E7156" s="18"/>
      <c r="F7156" s="18"/>
    </row>
    <row r="7157" spans="5:6" ht="15" customHeight="1" x14ac:dyDescent="0.2">
      <c r="E7157" s="18"/>
      <c r="F7157" s="18"/>
    </row>
    <row r="7158" spans="5:6" ht="15" customHeight="1" x14ac:dyDescent="0.2">
      <c r="E7158" s="18"/>
      <c r="F7158" s="18"/>
    </row>
    <row r="7159" spans="5:6" ht="15" customHeight="1" x14ac:dyDescent="0.2">
      <c r="E7159" s="18"/>
      <c r="F7159" s="18"/>
    </row>
    <row r="7160" spans="5:6" ht="15" customHeight="1" x14ac:dyDescent="0.2">
      <c r="E7160" s="18"/>
      <c r="F7160" s="18"/>
    </row>
    <row r="7161" spans="5:6" ht="15" customHeight="1" x14ac:dyDescent="0.2">
      <c r="E7161" s="18"/>
      <c r="F7161" s="18"/>
    </row>
    <row r="7162" spans="5:6" ht="15" customHeight="1" x14ac:dyDescent="0.2">
      <c r="E7162" s="18"/>
      <c r="F7162" s="18"/>
    </row>
    <row r="7163" spans="5:6" ht="15" customHeight="1" x14ac:dyDescent="0.2">
      <c r="E7163" s="18"/>
      <c r="F7163" s="18"/>
    </row>
    <row r="7164" spans="5:6" ht="15" customHeight="1" x14ac:dyDescent="0.2">
      <c r="E7164" s="18"/>
      <c r="F7164" s="18"/>
    </row>
    <row r="7165" spans="5:6" ht="15" customHeight="1" x14ac:dyDescent="0.2">
      <c r="E7165" s="18"/>
      <c r="F7165" s="18"/>
    </row>
    <row r="7166" spans="5:6" ht="15" customHeight="1" x14ac:dyDescent="0.2">
      <c r="E7166" s="18"/>
      <c r="F7166" s="18"/>
    </row>
    <row r="7167" spans="5:6" ht="15" customHeight="1" x14ac:dyDescent="0.2">
      <c r="E7167" s="18"/>
      <c r="F7167" s="18"/>
    </row>
    <row r="7168" spans="5:6" ht="15" customHeight="1" x14ac:dyDescent="0.2">
      <c r="E7168" s="18"/>
      <c r="F7168" s="18"/>
    </row>
    <row r="7169" spans="5:6" ht="15" customHeight="1" x14ac:dyDescent="0.2">
      <c r="E7169" s="18"/>
      <c r="F7169" s="18"/>
    </row>
    <row r="7170" spans="5:6" ht="15" customHeight="1" x14ac:dyDescent="0.2">
      <c r="E7170" s="18"/>
      <c r="F7170" s="18"/>
    </row>
    <row r="7171" spans="5:6" ht="15" customHeight="1" x14ac:dyDescent="0.2">
      <c r="E7171" s="18"/>
      <c r="F7171" s="18"/>
    </row>
    <row r="7172" spans="5:6" ht="15" customHeight="1" x14ac:dyDescent="0.2">
      <c r="E7172" s="18"/>
      <c r="F7172" s="18"/>
    </row>
    <row r="7173" spans="5:6" ht="15" customHeight="1" x14ac:dyDescent="0.2">
      <c r="E7173" s="18"/>
      <c r="F7173" s="18"/>
    </row>
    <row r="7174" spans="5:6" ht="15" customHeight="1" x14ac:dyDescent="0.2">
      <c r="E7174" s="18"/>
      <c r="F7174" s="18"/>
    </row>
    <row r="7175" spans="5:6" ht="15" customHeight="1" x14ac:dyDescent="0.2">
      <c r="E7175" s="18"/>
      <c r="F7175" s="18"/>
    </row>
    <row r="7176" spans="5:6" ht="15" customHeight="1" x14ac:dyDescent="0.2">
      <c r="E7176" s="18"/>
      <c r="F7176" s="18"/>
    </row>
    <row r="7177" spans="5:6" ht="15" customHeight="1" x14ac:dyDescent="0.2">
      <c r="E7177" s="18"/>
      <c r="F7177" s="18"/>
    </row>
    <row r="7178" spans="5:6" ht="15" customHeight="1" x14ac:dyDescent="0.2">
      <c r="E7178" s="18"/>
      <c r="F7178" s="18"/>
    </row>
    <row r="7179" spans="5:6" ht="15" customHeight="1" x14ac:dyDescent="0.2">
      <c r="E7179" s="18"/>
      <c r="F7179" s="18"/>
    </row>
    <row r="7180" spans="5:6" ht="15" customHeight="1" x14ac:dyDescent="0.2">
      <c r="E7180" s="18"/>
      <c r="F7180" s="18"/>
    </row>
    <row r="7181" spans="5:6" ht="15" customHeight="1" x14ac:dyDescent="0.2">
      <c r="E7181" s="18"/>
      <c r="F7181" s="18"/>
    </row>
    <row r="7182" spans="5:6" ht="15" customHeight="1" x14ac:dyDescent="0.2">
      <c r="E7182" s="18"/>
      <c r="F7182" s="18"/>
    </row>
    <row r="7183" spans="5:6" ht="15" customHeight="1" x14ac:dyDescent="0.2">
      <c r="E7183" s="18"/>
      <c r="F7183" s="18"/>
    </row>
    <row r="7184" spans="5:6" ht="15" customHeight="1" x14ac:dyDescent="0.2">
      <c r="E7184" s="18"/>
      <c r="F7184" s="18"/>
    </row>
    <row r="7185" spans="5:6" ht="15" customHeight="1" x14ac:dyDescent="0.2">
      <c r="E7185" s="18"/>
      <c r="F7185" s="18"/>
    </row>
    <row r="7186" spans="5:6" ht="15" customHeight="1" x14ac:dyDescent="0.2">
      <c r="E7186" s="18"/>
      <c r="F7186" s="18"/>
    </row>
    <row r="7187" spans="5:6" ht="15" customHeight="1" x14ac:dyDescent="0.2">
      <c r="E7187" s="18"/>
      <c r="F7187" s="18"/>
    </row>
    <row r="7188" spans="5:6" ht="15" customHeight="1" x14ac:dyDescent="0.2">
      <c r="E7188" s="18"/>
      <c r="F7188" s="18"/>
    </row>
    <row r="7189" spans="5:6" ht="15" customHeight="1" x14ac:dyDescent="0.2">
      <c r="E7189" s="18"/>
      <c r="F7189" s="18"/>
    </row>
    <row r="7190" spans="5:6" ht="15" customHeight="1" x14ac:dyDescent="0.2">
      <c r="E7190" s="18"/>
      <c r="F7190" s="18"/>
    </row>
    <row r="7191" spans="5:6" ht="15" customHeight="1" x14ac:dyDescent="0.2">
      <c r="E7191" s="18"/>
      <c r="F7191" s="18"/>
    </row>
    <row r="7192" spans="5:6" ht="15" customHeight="1" x14ac:dyDescent="0.2">
      <c r="E7192" s="18"/>
      <c r="F7192" s="18"/>
    </row>
    <row r="7193" spans="5:6" ht="15" customHeight="1" x14ac:dyDescent="0.2">
      <c r="E7193" s="18"/>
      <c r="F7193" s="18"/>
    </row>
    <row r="7194" spans="5:6" ht="15" customHeight="1" x14ac:dyDescent="0.2">
      <c r="E7194" s="18"/>
      <c r="F7194" s="18"/>
    </row>
    <row r="7195" spans="5:6" ht="15" customHeight="1" x14ac:dyDescent="0.2">
      <c r="E7195" s="18"/>
      <c r="F7195" s="18"/>
    </row>
    <row r="7196" spans="5:6" ht="15" customHeight="1" x14ac:dyDescent="0.2">
      <c r="E7196" s="18"/>
      <c r="F7196" s="18"/>
    </row>
    <row r="7197" spans="5:6" ht="15" customHeight="1" x14ac:dyDescent="0.2">
      <c r="E7197" s="18"/>
      <c r="F7197" s="18"/>
    </row>
    <row r="7198" spans="5:6" ht="15" customHeight="1" x14ac:dyDescent="0.2">
      <c r="E7198" s="18"/>
      <c r="F7198" s="18"/>
    </row>
    <row r="7199" spans="5:6" ht="15" customHeight="1" x14ac:dyDescent="0.2">
      <c r="E7199" s="18"/>
      <c r="F7199" s="18"/>
    </row>
    <row r="7200" spans="5:6" ht="15" customHeight="1" x14ac:dyDescent="0.2">
      <c r="E7200" s="18"/>
      <c r="F7200" s="18"/>
    </row>
    <row r="7201" spans="5:6" ht="15" customHeight="1" x14ac:dyDescent="0.2">
      <c r="E7201" s="18"/>
      <c r="F7201" s="18"/>
    </row>
    <row r="7202" spans="5:6" ht="15" customHeight="1" x14ac:dyDescent="0.2">
      <c r="E7202" s="18"/>
      <c r="F7202" s="18"/>
    </row>
    <row r="7203" spans="5:6" ht="15" customHeight="1" x14ac:dyDescent="0.2">
      <c r="E7203" s="18"/>
      <c r="F7203" s="18"/>
    </row>
    <row r="7204" spans="5:6" ht="15" customHeight="1" x14ac:dyDescent="0.2">
      <c r="E7204" s="18"/>
      <c r="F7204" s="18"/>
    </row>
    <row r="7205" spans="5:6" ht="15" customHeight="1" x14ac:dyDescent="0.2">
      <c r="E7205" s="18"/>
      <c r="F7205" s="18"/>
    </row>
    <row r="7206" spans="5:6" ht="15" customHeight="1" x14ac:dyDescent="0.2">
      <c r="E7206" s="18"/>
      <c r="F7206" s="18"/>
    </row>
    <row r="7207" spans="5:6" ht="15" customHeight="1" x14ac:dyDescent="0.2">
      <c r="E7207" s="18"/>
      <c r="F7207" s="18"/>
    </row>
    <row r="7208" spans="5:6" ht="15" customHeight="1" x14ac:dyDescent="0.2">
      <c r="E7208" s="18"/>
      <c r="F7208" s="18"/>
    </row>
    <row r="7209" spans="5:6" ht="15" customHeight="1" x14ac:dyDescent="0.2">
      <c r="E7209" s="18"/>
      <c r="F7209" s="18"/>
    </row>
    <row r="7210" spans="5:6" ht="15" customHeight="1" x14ac:dyDescent="0.2">
      <c r="E7210" s="18"/>
      <c r="F7210" s="18"/>
    </row>
    <row r="7211" spans="5:6" ht="15" customHeight="1" x14ac:dyDescent="0.2">
      <c r="E7211" s="18"/>
      <c r="F7211" s="18"/>
    </row>
    <row r="7212" spans="5:6" ht="15" customHeight="1" x14ac:dyDescent="0.2">
      <c r="E7212" s="18"/>
      <c r="F7212" s="18"/>
    </row>
    <row r="7213" spans="5:6" ht="15" customHeight="1" x14ac:dyDescent="0.2">
      <c r="E7213" s="18"/>
      <c r="F7213" s="18"/>
    </row>
    <row r="7214" spans="5:6" ht="15" customHeight="1" x14ac:dyDescent="0.2">
      <c r="E7214" s="18"/>
      <c r="F7214" s="18"/>
    </row>
    <row r="7215" spans="5:6" ht="15" customHeight="1" x14ac:dyDescent="0.2">
      <c r="E7215" s="18"/>
      <c r="F7215" s="18"/>
    </row>
    <row r="7216" spans="5:6" ht="15" customHeight="1" x14ac:dyDescent="0.2">
      <c r="E7216" s="18"/>
      <c r="F7216" s="18"/>
    </row>
    <row r="7217" spans="5:6" ht="15" customHeight="1" x14ac:dyDescent="0.2">
      <c r="E7217" s="18"/>
      <c r="F7217" s="18"/>
    </row>
    <row r="7218" spans="5:6" ht="15" customHeight="1" x14ac:dyDescent="0.2">
      <c r="E7218" s="18"/>
      <c r="F7218" s="18"/>
    </row>
    <row r="7219" spans="5:6" ht="15" customHeight="1" x14ac:dyDescent="0.2">
      <c r="E7219" s="18"/>
      <c r="F7219" s="18"/>
    </row>
    <row r="7220" spans="5:6" ht="15" customHeight="1" x14ac:dyDescent="0.2">
      <c r="E7220" s="18"/>
      <c r="F7220" s="18"/>
    </row>
    <row r="7221" spans="5:6" ht="15" customHeight="1" x14ac:dyDescent="0.2">
      <c r="E7221" s="18"/>
      <c r="F7221" s="18"/>
    </row>
    <row r="7222" spans="5:6" ht="15" customHeight="1" x14ac:dyDescent="0.2">
      <c r="E7222" s="18"/>
      <c r="F7222" s="18"/>
    </row>
    <row r="7223" spans="5:6" ht="15" customHeight="1" x14ac:dyDescent="0.2">
      <c r="E7223" s="18"/>
      <c r="F7223" s="18"/>
    </row>
    <row r="7224" spans="5:6" ht="15" customHeight="1" x14ac:dyDescent="0.2">
      <c r="E7224" s="18"/>
      <c r="F7224" s="18"/>
    </row>
    <row r="7225" spans="5:6" ht="15" customHeight="1" x14ac:dyDescent="0.2">
      <c r="E7225" s="18"/>
      <c r="F7225" s="18"/>
    </row>
    <row r="7226" spans="5:6" ht="15" customHeight="1" x14ac:dyDescent="0.2">
      <c r="E7226" s="18"/>
      <c r="F7226" s="18"/>
    </row>
    <row r="7227" spans="5:6" ht="15" customHeight="1" x14ac:dyDescent="0.2">
      <c r="E7227" s="18"/>
      <c r="F7227" s="18"/>
    </row>
    <row r="7228" spans="5:6" ht="15" customHeight="1" x14ac:dyDescent="0.2">
      <c r="E7228" s="18"/>
      <c r="F7228" s="18"/>
    </row>
    <row r="7229" spans="5:6" ht="15" customHeight="1" x14ac:dyDescent="0.2">
      <c r="E7229" s="18"/>
      <c r="F7229" s="18"/>
    </row>
    <row r="7230" spans="5:6" ht="15" customHeight="1" x14ac:dyDescent="0.2">
      <c r="E7230" s="18"/>
      <c r="F7230" s="18"/>
    </row>
    <row r="7231" spans="5:6" ht="15" customHeight="1" x14ac:dyDescent="0.2">
      <c r="E7231" s="18"/>
      <c r="F7231" s="18"/>
    </row>
    <row r="7232" spans="5:6" ht="15" customHeight="1" x14ac:dyDescent="0.2">
      <c r="E7232" s="18"/>
      <c r="F7232" s="18"/>
    </row>
    <row r="7233" spans="5:6" ht="15" customHeight="1" x14ac:dyDescent="0.2">
      <c r="E7233" s="18"/>
      <c r="F7233" s="18"/>
    </row>
    <row r="7234" spans="5:6" ht="15" customHeight="1" x14ac:dyDescent="0.2">
      <c r="E7234" s="18"/>
      <c r="F7234" s="18"/>
    </row>
    <row r="7235" spans="5:6" ht="15" customHeight="1" x14ac:dyDescent="0.2">
      <c r="E7235" s="18"/>
      <c r="F7235" s="18"/>
    </row>
    <row r="7236" spans="5:6" ht="15" customHeight="1" x14ac:dyDescent="0.2">
      <c r="E7236" s="18"/>
      <c r="F7236" s="18"/>
    </row>
    <row r="7237" spans="5:6" ht="15" customHeight="1" x14ac:dyDescent="0.2">
      <c r="E7237" s="18"/>
      <c r="F7237" s="18"/>
    </row>
    <row r="7238" spans="5:6" ht="15" customHeight="1" x14ac:dyDescent="0.2">
      <c r="E7238" s="18"/>
      <c r="F7238" s="18"/>
    </row>
    <row r="7239" spans="5:6" ht="15" customHeight="1" x14ac:dyDescent="0.2">
      <c r="E7239" s="18"/>
      <c r="F7239" s="18"/>
    </row>
    <row r="7240" spans="5:6" ht="15" customHeight="1" x14ac:dyDescent="0.2">
      <c r="E7240" s="18"/>
      <c r="F7240" s="18"/>
    </row>
    <row r="7241" spans="5:6" ht="15" customHeight="1" x14ac:dyDescent="0.2">
      <c r="E7241" s="18"/>
      <c r="F7241" s="18"/>
    </row>
    <row r="7242" spans="5:6" ht="15" customHeight="1" x14ac:dyDescent="0.2">
      <c r="E7242" s="18"/>
      <c r="F7242" s="18"/>
    </row>
    <row r="7243" spans="5:6" ht="15" customHeight="1" x14ac:dyDescent="0.2">
      <c r="E7243" s="18"/>
      <c r="F7243" s="18"/>
    </row>
    <row r="7244" spans="5:6" ht="15" customHeight="1" x14ac:dyDescent="0.2">
      <c r="E7244" s="18"/>
      <c r="F7244" s="18"/>
    </row>
    <row r="7245" spans="5:6" ht="15" customHeight="1" x14ac:dyDescent="0.2">
      <c r="E7245" s="18"/>
      <c r="F7245" s="18"/>
    </row>
    <row r="7246" spans="5:6" ht="15" customHeight="1" x14ac:dyDescent="0.2">
      <c r="E7246" s="18"/>
      <c r="F7246" s="18"/>
    </row>
    <row r="7247" spans="5:6" ht="15" customHeight="1" x14ac:dyDescent="0.2">
      <c r="E7247" s="18"/>
      <c r="F7247" s="18"/>
    </row>
    <row r="7248" spans="5:6" ht="15" customHeight="1" x14ac:dyDescent="0.2">
      <c r="E7248" s="18"/>
      <c r="F7248" s="18"/>
    </row>
    <row r="7249" spans="5:6" ht="15" customHeight="1" x14ac:dyDescent="0.2">
      <c r="E7249" s="18"/>
      <c r="F7249" s="18"/>
    </row>
    <row r="7250" spans="5:6" ht="15" customHeight="1" x14ac:dyDescent="0.2">
      <c r="E7250" s="18"/>
      <c r="F7250" s="18"/>
    </row>
    <row r="7251" spans="5:6" ht="15" customHeight="1" x14ac:dyDescent="0.2">
      <c r="E7251" s="18"/>
      <c r="F7251" s="18"/>
    </row>
    <row r="7252" spans="5:6" ht="15" customHeight="1" x14ac:dyDescent="0.2">
      <c r="E7252" s="18"/>
      <c r="F7252" s="18"/>
    </row>
    <row r="7253" spans="5:6" ht="15" customHeight="1" x14ac:dyDescent="0.2">
      <c r="E7253" s="18"/>
      <c r="F7253" s="18"/>
    </row>
    <row r="7254" spans="5:6" ht="15" customHeight="1" x14ac:dyDescent="0.2">
      <c r="E7254" s="18"/>
      <c r="F7254" s="18"/>
    </row>
    <row r="7255" spans="5:6" ht="15" customHeight="1" x14ac:dyDescent="0.2">
      <c r="E7255" s="18"/>
      <c r="F7255" s="18"/>
    </row>
    <row r="7256" spans="5:6" ht="15" customHeight="1" x14ac:dyDescent="0.2">
      <c r="E7256" s="18"/>
      <c r="F7256" s="18"/>
    </row>
    <row r="7257" spans="5:6" ht="15" customHeight="1" x14ac:dyDescent="0.2">
      <c r="E7257" s="18"/>
      <c r="F7257" s="18"/>
    </row>
    <row r="7258" spans="5:6" ht="15" customHeight="1" x14ac:dyDescent="0.2">
      <c r="E7258" s="18"/>
      <c r="F7258" s="18"/>
    </row>
    <row r="7259" spans="5:6" ht="15" customHeight="1" x14ac:dyDescent="0.2">
      <c r="E7259" s="18"/>
      <c r="F7259" s="18"/>
    </row>
    <row r="7260" spans="5:6" ht="15" customHeight="1" x14ac:dyDescent="0.2">
      <c r="E7260" s="18"/>
      <c r="F7260" s="18"/>
    </row>
    <row r="7261" spans="5:6" ht="15" customHeight="1" x14ac:dyDescent="0.2">
      <c r="E7261" s="18"/>
      <c r="F7261" s="18"/>
    </row>
    <row r="7262" spans="5:6" ht="15" customHeight="1" x14ac:dyDescent="0.2">
      <c r="E7262" s="18"/>
      <c r="F7262" s="18"/>
    </row>
    <row r="7263" spans="5:6" ht="15" customHeight="1" x14ac:dyDescent="0.2">
      <c r="E7263" s="18"/>
      <c r="F7263" s="18"/>
    </row>
    <row r="7264" spans="5:6" ht="15" customHeight="1" x14ac:dyDescent="0.2">
      <c r="E7264" s="18"/>
      <c r="F7264" s="18"/>
    </row>
    <row r="7265" spans="5:6" ht="15" customHeight="1" x14ac:dyDescent="0.2">
      <c r="E7265" s="18"/>
      <c r="F7265" s="18"/>
    </row>
    <row r="7266" spans="5:6" ht="15" customHeight="1" x14ac:dyDescent="0.2">
      <c r="E7266" s="18"/>
      <c r="F7266" s="18"/>
    </row>
    <row r="7267" spans="5:6" ht="15" customHeight="1" x14ac:dyDescent="0.2">
      <c r="E7267" s="18"/>
      <c r="F7267" s="18"/>
    </row>
    <row r="7268" spans="5:6" ht="15" customHeight="1" x14ac:dyDescent="0.2">
      <c r="E7268" s="18"/>
      <c r="F7268" s="18"/>
    </row>
    <row r="7269" spans="5:6" ht="15" customHeight="1" x14ac:dyDescent="0.2">
      <c r="E7269" s="18"/>
      <c r="F7269" s="18"/>
    </row>
    <row r="7270" spans="5:6" ht="15" customHeight="1" x14ac:dyDescent="0.2">
      <c r="E7270" s="18"/>
      <c r="F7270" s="18"/>
    </row>
    <row r="7271" spans="5:6" ht="15" customHeight="1" x14ac:dyDescent="0.2">
      <c r="E7271" s="18"/>
      <c r="F7271" s="18"/>
    </row>
    <row r="7272" spans="5:6" ht="15" customHeight="1" x14ac:dyDescent="0.2">
      <c r="E7272" s="18"/>
      <c r="F7272" s="18"/>
    </row>
    <row r="7273" spans="5:6" ht="15" customHeight="1" x14ac:dyDescent="0.2">
      <c r="E7273" s="18"/>
      <c r="F7273" s="18"/>
    </row>
    <row r="7274" spans="5:6" ht="15" customHeight="1" x14ac:dyDescent="0.2">
      <c r="E7274" s="18"/>
      <c r="F7274" s="18"/>
    </row>
    <row r="7275" spans="5:6" ht="15" customHeight="1" x14ac:dyDescent="0.2">
      <c r="E7275" s="18"/>
      <c r="F7275" s="18"/>
    </row>
    <row r="7276" spans="5:6" ht="15" customHeight="1" x14ac:dyDescent="0.2">
      <c r="E7276" s="18"/>
      <c r="F7276" s="18"/>
    </row>
    <row r="7277" spans="5:6" ht="15" customHeight="1" x14ac:dyDescent="0.2">
      <c r="E7277" s="18"/>
      <c r="F7277" s="18"/>
    </row>
    <row r="7278" spans="5:6" ht="15" customHeight="1" x14ac:dyDescent="0.2">
      <c r="E7278" s="18"/>
      <c r="F7278" s="18"/>
    </row>
    <row r="7279" spans="5:6" ht="15" customHeight="1" x14ac:dyDescent="0.2">
      <c r="E7279" s="18"/>
      <c r="F7279" s="18"/>
    </row>
    <row r="7280" spans="5:6" ht="15" customHeight="1" x14ac:dyDescent="0.2">
      <c r="E7280" s="18"/>
      <c r="F7280" s="18"/>
    </row>
    <row r="7281" spans="5:6" ht="15" customHeight="1" x14ac:dyDescent="0.2">
      <c r="E7281" s="18"/>
      <c r="F7281" s="18"/>
    </row>
    <row r="7282" spans="5:6" ht="15" customHeight="1" x14ac:dyDescent="0.2">
      <c r="E7282" s="18"/>
      <c r="F7282" s="18"/>
    </row>
    <row r="7283" spans="5:6" ht="15" customHeight="1" x14ac:dyDescent="0.2">
      <c r="E7283" s="18"/>
      <c r="F7283" s="18"/>
    </row>
    <row r="7284" spans="5:6" ht="15" customHeight="1" x14ac:dyDescent="0.2">
      <c r="E7284" s="18"/>
      <c r="F7284" s="18"/>
    </row>
    <row r="7285" spans="5:6" ht="15" customHeight="1" x14ac:dyDescent="0.2">
      <c r="E7285" s="18"/>
      <c r="F7285" s="18"/>
    </row>
    <row r="7286" spans="5:6" ht="15" customHeight="1" x14ac:dyDescent="0.2">
      <c r="E7286" s="18"/>
      <c r="F7286" s="18"/>
    </row>
    <row r="7287" spans="5:6" ht="15" customHeight="1" x14ac:dyDescent="0.2">
      <c r="E7287" s="18"/>
      <c r="F7287" s="18"/>
    </row>
    <row r="7288" spans="5:6" ht="15" customHeight="1" x14ac:dyDescent="0.2">
      <c r="E7288" s="18"/>
      <c r="F7288" s="18"/>
    </row>
    <row r="7289" spans="5:6" ht="15" customHeight="1" x14ac:dyDescent="0.2">
      <c r="E7289" s="18"/>
      <c r="F7289" s="18"/>
    </row>
    <row r="7290" spans="5:6" ht="15" customHeight="1" x14ac:dyDescent="0.2">
      <c r="E7290" s="18"/>
      <c r="F7290" s="18"/>
    </row>
    <row r="7291" spans="5:6" ht="15" customHeight="1" x14ac:dyDescent="0.2">
      <c r="E7291" s="18"/>
      <c r="F7291" s="18"/>
    </row>
    <row r="7292" spans="5:6" ht="15" customHeight="1" x14ac:dyDescent="0.2">
      <c r="E7292" s="18"/>
      <c r="F7292" s="18"/>
    </row>
    <row r="7293" spans="5:6" ht="15" customHeight="1" x14ac:dyDescent="0.2">
      <c r="E7293" s="18"/>
      <c r="F7293" s="18"/>
    </row>
    <row r="7294" spans="5:6" ht="15" customHeight="1" x14ac:dyDescent="0.2">
      <c r="E7294" s="18"/>
      <c r="F7294" s="18"/>
    </row>
    <row r="7295" spans="5:6" ht="15" customHeight="1" x14ac:dyDescent="0.2">
      <c r="E7295" s="18"/>
      <c r="F7295" s="18"/>
    </row>
    <row r="7296" spans="5:6" ht="15" customHeight="1" x14ac:dyDescent="0.2">
      <c r="E7296" s="18"/>
      <c r="F7296" s="18"/>
    </row>
    <row r="7297" spans="5:6" ht="15" customHeight="1" x14ac:dyDescent="0.2">
      <c r="E7297" s="18"/>
      <c r="F7297" s="18"/>
    </row>
    <row r="7298" spans="5:6" ht="15" customHeight="1" x14ac:dyDescent="0.2">
      <c r="E7298" s="18"/>
      <c r="F7298" s="18"/>
    </row>
    <row r="7299" spans="5:6" ht="15" customHeight="1" x14ac:dyDescent="0.2">
      <c r="E7299" s="18"/>
      <c r="F7299" s="18"/>
    </row>
    <row r="7300" spans="5:6" ht="15" customHeight="1" x14ac:dyDescent="0.2">
      <c r="E7300" s="18"/>
      <c r="F7300" s="18"/>
    </row>
    <row r="7301" spans="5:6" ht="15" customHeight="1" x14ac:dyDescent="0.2">
      <c r="E7301" s="18"/>
      <c r="F7301" s="18"/>
    </row>
    <row r="7302" spans="5:6" ht="15" customHeight="1" x14ac:dyDescent="0.2">
      <c r="E7302" s="18"/>
      <c r="F7302" s="18"/>
    </row>
    <row r="7303" spans="5:6" ht="15" customHeight="1" x14ac:dyDescent="0.2">
      <c r="E7303" s="18"/>
      <c r="F7303" s="18"/>
    </row>
    <row r="7304" spans="5:6" ht="15" customHeight="1" x14ac:dyDescent="0.2">
      <c r="E7304" s="18"/>
      <c r="F7304" s="18"/>
    </row>
    <row r="7305" spans="5:6" ht="15" customHeight="1" x14ac:dyDescent="0.2">
      <c r="E7305" s="18"/>
      <c r="F7305" s="18"/>
    </row>
    <row r="7306" spans="5:6" ht="15" customHeight="1" x14ac:dyDescent="0.2">
      <c r="E7306" s="18"/>
      <c r="F7306" s="18"/>
    </row>
    <row r="7307" spans="5:6" ht="15" customHeight="1" x14ac:dyDescent="0.2">
      <c r="E7307" s="18"/>
      <c r="F7307" s="18"/>
    </row>
    <row r="7308" spans="5:6" ht="15" customHeight="1" x14ac:dyDescent="0.2">
      <c r="E7308" s="18"/>
      <c r="F7308" s="18"/>
    </row>
    <row r="7309" spans="5:6" ht="15" customHeight="1" x14ac:dyDescent="0.2">
      <c r="E7309" s="18"/>
      <c r="F7309" s="18"/>
    </row>
    <row r="7310" spans="5:6" ht="15" customHeight="1" x14ac:dyDescent="0.2">
      <c r="E7310" s="18"/>
      <c r="F7310" s="18"/>
    </row>
    <row r="7311" spans="5:6" ht="15" customHeight="1" x14ac:dyDescent="0.2">
      <c r="E7311" s="18"/>
      <c r="F7311" s="18"/>
    </row>
    <row r="7312" spans="5:6" ht="15" customHeight="1" x14ac:dyDescent="0.2">
      <c r="E7312" s="18"/>
      <c r="F7312" s="18"/>
    </row>
    <row r="7313" spans="5:6" ht="15" customHeight="1" x14ac:dyDescent="0.2">
      <c r="E7313" s="18"/>
      <c r="F7313" s="18"/>
    </row>
    <row r="7314" spans="5:6" ht="15" customHeight="1" x14ac:dyDescent="0.2">
      <c r="E7314" s="18"/>
      <c r="F7314" s="18"/>
    </row>
    <row r="7315" spans="5:6" ht="15" customHeight="1" x14ac:dyDescent="0.2">
      <c r="E7315" s="18"/>
      <c r="F7315" s="18"/>
    </row>
    <row r="7316" spans="5:6" ht="15" customHeight="1" x14ac:dyDescent="0.2">
      <c r="E7316" s="18"/>
      <c r="F7316" s="18"/>
    </row>
    <row r="7317" spans="5:6" ht="15" customHeight="1" x14ac:dyDescent="0.2">
      <c r="E7317" s="18"/>
      <c r="F7317" s="18"/>
    </row>
    <row r="7318" spans="5:6" ht="15" customHeight="1" x14ac:dyDescent="0.2">
      <c r="E7318" s="18"/>
      <c r="F7318" s="18"/>
    </row>
    <row r="7319" spans="5:6" ht="15" customHeight="1" x14ac:dyDescent="0.2">
      <c r="E7319" s="18"/>
      <c r="F7319" s="18"/>
    </row>
    <row r="7320" spans="5:6" ht="15" customHeight="1" x14ac:dyDescent="0.2">
      <c r="E7320" s="18"/>
      <c r="F7320" s="18"/>
    </row>
    <row r="7321" spans="5:6" ht="15" customHeight="1" x14ac:dyDescent="0.2">
      <c r="E7321" s="18"/>
      <c r="F7321" s="18"/>
    </row>
    <row r="7322" spans="5:6" ht="15" customHeight="1" x14ac:dyDescent="0.2">
      <c r="E7322" s="18"/>
      <c r="F7322" s="18"/>
    </row>
    <row r="7323" spans="5:6" ht="15" customHeight="1" x14ac:dyDescent="0.2">
      <c r="E7323" s="18"/>
      <c r="F7323" s="18"/>
    </row>
    <row r="7324" spans="5:6" ht="15" customHeight="1" x14ac:dyDescent="0.2">
      <c r="E7324" s="18"/>
      <c r="F7324" s="18"/>
    </row>
    <row r="7325" spans="5:6" ht="15" customHeight="1" x14ac:dyDescent="0.2">
      <c r="E7325" s="18"/>
      <c r="F7325" s="18"/>
    </row>
    <row r="7326" spans="5:6" ht="15" customHeight="1" x14ac:dyDescent="0.2">
      <c r="E7326" s="18"/>
      <c r="F7326" s="18"/>
    </row>
    <row r="7327" spans="5:6" ht="15" customHeight="1" x14ac:dyDescent="0.2">
      <c r="E7327" s="18"/>
      <c r="F7327" s="18"/>
    </row>
    <row r="7328" spans="5:6" ht="15" customHeight="1" x14ac:dyDescent="0.2">
      <c r="E7328" s="18"/>
      <c r="F7328" s="18"/>
    </row>
    <row r="7329" spans="5:6" ht="15" customHeight="1" x14ac:dyDescent="0.2">
      <c r="E7329" s="18"/>
      <c r="F7329" s="18"/>
    </row>
    <row r="7330" spans="5:6" ht="15" customHeight="1" x14ac:dyDescent="0.2">
      <c r="E7330" s="18"/>
      <c r="F7330" s="18"/>
    </row>
    <row r="7331" spans="5:6" ht="15" customHeight="1" x14ac:dyDescent="0.2">
      <c r="E7331" s="18"/>
      <c r="F7331" s="18"/>
    </row>
    <row r="7332" spans="5:6" ht="15" customHeight="1" x14ac:dyDescent="0.2">
      <c r="E7332" s="18"/>
      <c r="F7332" s="18"/>
    </row>
    <row r="7333" spans="5:6" ht="15" customHeight="1" x14ac:dyDescent="0.2">
      <c r="E7333" s="18"/>
      <c r="F7333" s="18"/>
    </row>
    <row r="7334" spans="5:6" ht="15" customHeight="1" x14ac:dyDescent="0.2">
      <c r="E7334" s="18"/>
      <c r="F7334" s="18"/>
    </row>
    <row r="7335" spans="5:6" ht="15" customHeight="1" x14ac:dyDescent="0.2">
      <c r="E7335" s="18"/>
      <c r="F7335" s="18"/>
    </row>
    <row r="7336" spans="5:6" ht="15" customHeight="1" x14ac:dyDescent="0.2">
      <c r="E7336" s="18"/>
      <c r="F7336" s="18"/>
    </row>
    <row r="7337" spans="5:6" ht="15" customHeight="1" x14ac:dyDescent="0.2">
      <c r="E7337" s="18"/>
      <c r="F7337" s="18"/>
    </row>
    <row r="7338" spans="5:6" ht="15" customHeight="1" x14ac:dyDescent="0.2">
      <c r="E7338" s="18"/>
      <c r="F7338" s="18"/>
    </row>
    <row r="7339" spans="5:6" ht="15" customHeight="1" x14ac:dyDescent="0.2">
      <c r="E7339" s="18"/>
      <c r="F7339" s="18"/>
    </row>
    <row r="7340" spans="5:6" ht="15" customHeight="1" x14ac:dyDescent="0.2">
      <c r="E7340" s="18"/>
      <c r="F7340" s="18"/>
    </row>
    <row r="7341" spans="5:6" ht="15" customHeight="1" x14ac:dyDescent="0.2">
      <c r="E7341" s="18"/>
      <c r="F7341" s="18"/>
    </row>
    <row r="7342" spans="5:6" ht="15" customHeight="1" x14ac:dyDescent="0.2">
      <c r="E7342" s="18"/>
      <c r="F7342" s="18"/>
    </row>
    <row r="7343" spans="5:6" ht="15" customHeight="1" x14ac:dyDescent="0.2">
      <c r="E7343" s="18"/>
      <c r="F7343" s="18"/>
    </row>
    <row r="7344" spans="5:6" ht="15" customHeight="1" x14ac:dyDescent="0.2">
      <c r="E7344" s="18"/>
      <c r="F7344" s="18"/>
    </row>
    <row r="7345" spans="5:6" ht="15" customHeight="1" x14ac:dyDescent="0.2">
      <c r="E7345" s="18"/>
      <c r="F7345" s="18"/>
    </row>
    <row r="7346" spans="5:6" ht="15" customHeight="1" x14ac:dyDescent="0.2">
      <c r="E7346" s="18"/>
      <c r="F7346" s="18"/>
    </row>
    <row r="7347" spans="5:6" ht="15" customHeight="1" x14ac:dyDescent="0.2">
      <c r="E7347" s="18"/>
      <c r="F7347" s="18"/>
    </row>
    <row r="7348" spans="5:6" ht="15" customHeight="1" x14ac:dyDescent="0.2">
      <c r="E7348" s="18"/>
      <c r="F7348" s="18"/>
    </row>
    <row r="7349" spans="5:6" ht="15" customHeight="1" x14ac:dyDescent="0.2">
      <c r="E7349" s="18"/>
      <c r="F7349" s="18"/>
    </row>
    <row r="7350" spans="5:6" ht="15" customHeight="1" x14ac:dyDescent="0.2">
      <c r="E7350" s="18"/>
      <c r="F7350" s="18"/>
    </row>
    <row r="7351" spans="5:6" ht="15" customHeight="1" x14ac:dyDescent="0.2">
      <c r="E7351" s="18"/>
      <c r="F7351" s="18"/>
    </row>
    <row r="7352" spans="5:6" ht="15" customHeight="1" x14ac:dyDescent="0.2">
      <c r="E7352" s="18"/>
      <c r="F7352" s="18"/>
    </row>
    <row r="7353" spans="5:6" ht="15" customHeight="1" x14ac:dyDescent="0.2">
      <c r="E7353" s="18"/>
      <c r="F7353" s="18"/>
    </row>
    <row r="7354" spans="5:6" ht="15" customHeight="1" x14ac:dyDescent="0.2">
      <c r="E7354" s="18"/>
      <c r="F7354" s="18"/>
    </row>
    <row r="7355" spans="5:6" ht="15" customHeight="1" x14ac:dyDescent="0.2">
      <c r="E7355" s="18"/>
      <c r="F7355" s="18"/>
    </row>
    <row r="7356" spans="5:6" ht="15" customHeight="1" x14ac:dyDescent="0.2">
      <c r="E7356" s="18"/>
      <c r="F7356" s="18"/>
    </row>
    <row r="7357" spans="5:6" ht="15" customHeight="1" x14ac:dyDescent="0.2">
      <c r="E7357" s="18"/>
      <c r="F7357" s="18"/>
    </row>
    <row r="7358" spans="5:6" ht="15" customHeight="1" x14ac:dyDescent="0.2">
      <c r="E7358" s="18"/>
      <c r="F7358" s="18"/>
    </row>
    <row r="7359" spans="5:6" ht="15" customHeight="1" x14ac:dyDescent="0.2">
      <c r="E7359" s="18"/>
      <c r="F7359" s="18"/>
    </row>
    <row r="7360" spans="5:6" ht="15" customHeight="1" x14ac:dyDescent="0.2">
      <c r="E7360" s="18"/>
      <c r="F7360" s="18"/>
    </row>
    <row r="7361" spans="5:6" ht="15" customHeight="1" x14ac:dyDescent="0.2">
      <c r="E7361" s="18"/>
      <c r="F7361" s="18"/>
    </row>
    <row r="7362" spans="5:6" ht="15" customHeight="1" x14ac:dyDescent="0.2">
      <c r="E7362" s="18"/>
      <c r="F7362" s="18"/>
    </row>
    <row r="7363" spans="5:6" ht="15" customHeight="1" x14ac:dyDescent="0.2">
      <c r="E7363" s="18"/>
      <c r="F7363" s="18"/>
    </row>
    <row r="7364" spans="5:6" ht="15" customHeight="1" x14ac:dyDescent="0.2">
      <c r="E7364" s="18"/>
      <c r="F7364" s="18"/>
    </row>
    <row r="7365" spans="5:6" ht="15" customHeight="1" x14ac:dyDescent="0.2">
      <c r="E7365" s="18"/>
      <c r="F7365" s="18"/>
    </row>
    <row r="7366" spans="5:6" ht="15" customHeight="1" x14ac:dyDescent="0.2">
      <c r="E7366" s="18"/>
      <c r="F7366" s="18"/>
    </row>
    <row r="7367" spans="5:6" ht="15" customHeight="1" x14ac:dyDescent="0.2">
      <c r="E7367" s="18"/>
      <c r="F7367" s="18"/>
    </row>
    <row r="7368" spans="5:6" ht="15" customHeight="1" x14ac:dyDescent="0.2">
      <c r="E7368" s="18"/>
      <c r="F7368" s="18"/>
    </row>
    <row r="7369" spans="5:6" ht="15" customHeight="1" x14ac:dyDescent="0.2">
      <c r="E7369" s="18"/>
      <c r="F7369" s="18"/>
    </row>
    <row r="7370" spans="5:6" ht="15" customHeight="1" x14ac:dyDescent="0.2">
      <c r="E7370" s="18"/>
      <c r="F7370" s="18"/>
    </row>
    <row r="7371" spans="5:6" ht="15" customHeight="1" x14ac:dyDescent="0.2">
      <c r="E7371" s="18"/>
      <c r="F7371" s="18"/>
    </row>
    <row r="7372" spans="5:6" ht="15" customHeight="1" x14ac:dyDescent="0.2">
      <c r="E7372" s="18"/>
      <c r="F7372" s="18"/>
    </row>
    <row r="7373" spans="5:6" ht="15" customHeight="1" x14ac:dyDescent="0.2">
      <c r="E7373" s="18"/>
      <c r="F7373" s="18"/>
    </row>
    <row r="7374" spans="5:6" ht="15" customHeight="1" x14ac:dyDescent="0.2">
      <c r="E7374" s="18"/>
      <c r="F7374" s="18"/>
    </row>
    <row r="7375" spans="5:6" ht="15" customHeight="1" x14ac:dyDescent="0.2">
      <c r="E7375" s="18"/>
      <c r="F7375" s="18"/>
    </row>
    <row r="7376" spans="5:6" ht="15" customHeight="1" x14ac:dyDescent="0.2">
      <c r="E7376" s="18"/>
      <c r="F7376" s="18"/>
    </row>
    <row r="7377" spans="5:6" ht="15" customHeight="1" x14ac:dyDescent="0.2">
      <c r="E7377" s="18"/>
      <c r="F7377" s="18"/>
    </row>
    <row r="7378" spans="5:6" ht="15" customHeight="1" x14ac:dyDescent="0.2">
      <c r="E7378" s="18"/>
      <c r="F7378" s="18"/>
    </row>
    <row r="7379" spans="5:6" ht="15" customHeight="1" x14ac:dyDescent="0.2">
      <c r="E7379" s="18"/>
      <c r="F7379" s="18"/>
    </row>
    <row r="7380" spans="5:6" ht="15" customHeight="1" x14ac:dyDescent="0.2">
      <c r="E7380" s="18"/>
      <c r="F7380" s="18"/>
    </row>
    <row r="7381" spans="5:6" ht="15" customHeight="1" x14ac:dyDescent="0.2">
      <c r="E7381" s="18"/>
      <c r="F7381" s="18"/>
    </row>
    <row r="7382" spans="5:6" ht="15" customHeight="1" x14ac:dyDescent="0.2">
      <c r="E7382" s="18"/>
      <c r="F7382" s="18"/>
    </row>
    <row r="7383" spans="5:6" ht="15" customHeight="1" x14ac:dyDescent="0.2">
      <c r="E7383" s="18"/>
      <c r="F7383" s="18"/>
    </row>
    <row r="7384" spans="5:6" ht="15" customHeight="1" x14ac:dyDescent="0.2">
      <c r="E7384" s="18"/>
      <c r="F7384" s="18"/>
    </row>
    <row r="7385" spans="5:6" ht="15" customHeight="1" x14ac:dyDescent="0.2">
      <c r="E7385" s="18"/>
      <c r="F7385" s="18"/>
    </row>
    <row r="7386" spans="5:6" ht="15" customHeight="1" x14ac:dyDescent="0.2">
      <c r="E7386" s="18"/>
      <c r="F7386" s="18"/>
    </row>
    <row r="7387" spans="5:6" ht="15" customHeight="1" x14ac:dyDescent="0.2">
      <c r="E7387" s="18"/>
      <c r="F7387" s="18"/>
    </row>
    <row r="7388" spans="5:6" ht="15" customHeight="1" x14ac:dyDescent="0.2">
      <c r="E7388" s="18"/>
      <c r="F7388" s="18"/>
    </row>
    <row r="7389" spans="5:6" ht="15" customHeight="1" x14ac:dyDescent="0.2">
      <c r="E7389" s="18"/>
      <c r="F7389" s="18"/>
    </row>
    <row r="7390" spans="5:6" ht="15" customHeight="1" x14ac:dyDescent="0.2">
      <c r="E7390" s="18"/>
      <c r="F7390" s="18"/>
    </row>
    <row r="7391" spans="5:6" ht="15" customHeight="1" x14ac:dyDescent="0.2">
      <c r="E7391" s="18"/>
      <c r="F7391" s="18"/>
    </row>
    <row r="7392" spans="5:6" ht="15" customHeight="1" x14ac:dyDescent="0.2">
      <c r="E7392" s="18"/>
      <c r="F7392" s="18"/>
    </row>
    <row r="7393" spans="5:6" ht="15" customHeight="1" x14ac:dyDescent="0.2">
      <c r="E7393" s="18"/>
      <c r="F7393" s="18"/>
    </row>
    <row r="7394" spans="5:6" ht="15" customHeight="1" x14ac:dyDescent="0.2">
      <c r="E7394" s="18"/>
      <c r="F7394" s="18"/>
    </row>
    <row r="7395" spans="5:6" ht="15" customHeight="1" x14ac:dyDescent="0.2">
      <c r="E7395" s="18"/>
      <c r="F7395" s="18"/>
    </row>
    <row r="7396" spans="5:6" ht="15" customHeight="1" x14ac:dyDescent="0.2">
      <c r="E7396" s="18"/>
      <c r="F7396" s="18"/>
    </row>
    <row r="7397" spans="5:6" ht="15" customHeight="1" x14ac:dyDescent="0.2">
      <c r="E7397" s="18"/>
      <c r="F7397" s="18"/>
    </row>
    <row r="7398" spans="5:6" ht="15" customHeight="1" x14ac:dyDescent="0.2">
      <c r="E7398" s="18"/>
      <c r="F7398" s="18"/>
    </row>
    <row r="7399" spans="5:6" ht="15" customHeight="1" x14ac:dyDescent="0.2">
      <c r="E7399" s="18"/>
      <c r="F7399" s="18"/>
    </row>
    <row r="7400" spans="5:6" ht="15" customHeight="1" x14ac:dyDescent="0.2">
      <c r="E7400" s="18"/>
      <c r="F7400" s="18"/>
    </row>
    <row r="7401" spans="5:6" ht="15" customHeight="1" x14ac:dyDescent="0.2">
      <c r="E7401" s="18"/>
      <c r="F7401" s="18"/>
    </row>
    <row r="7402" spans="5:6" ht="15" customHeight="1" x14ac:dyDescent="0.2">
      <c r="E7402" s="18"/>
      <c r="F7402" s="18"/>
    </row>
    <row r="7403" spans="5:6" ht="15" customHeight="1" x14ac:dyDescent="0.2">
      <c r="E7403" s="18"/>
      <c r="F7403" s="18"/>
    </row>
    <row r="7404" spans="5:6" ht="15" customHeight="1" x14ac:dyDescent="0.2">
      <c r="E7404" s="18"/>
      <c r="F7404" s="18"/>
    </row>
    <row r="7405" spans="5:6" ht="15" customHeight="1" x14ac:dyDescent="0.2">
      <c r="E7405" s="18"/>
      <c r="F7405" s="18"/>
    </row>
    <row r="7406" spans="5:6" ht="15" customHeight="1" x14ac:dyDescent="0.2">
      <c r="E7406" s="18"/>
      <c r="F7406" s="18"/>
    </row>
    <row r="7407" spans="5:6" ht="15" customHeight="1" x14ac:dyDescent="0.2">
      <c r="E7407" s="18"/>
      <c r="F7407" s="18"/>
    </row>
    <row r="7408" spans="5:6" ht="15" customHeight="1" x14ac:dyDescent="0.2">
      <c r="E7408" s="18"/>
      <c r="F7408" s="18"/>
    </row>
    <row r="7409" spans="5:6" ht="15" customHeight="1" x14ac:dyDescent="0.2">
      <c r="E7409" s="18"/>
      <c r="F7409" s="18"/>
    </row>
    <row r="7410" spans="5:6" ht="15" customHeight="1" x14ac:dyDescent="0.2">
      <c r="E7410" s="18"/>
      <c r="F7410" s="18"/>
    </row>
    <row r="7411" spans="5:6" ht="15" customHeight="1" x14ac:dyDescent="0.2">
      <c r="E7411" s="18"/>
      <c r="F7411" s="18"/>
    </row>
    <row r="7412" spans="5:6" ht="15" customHeight="1" x14ac:dyDescent="0.2">
      <c r="E7412" s="18"/>
      <c r="F7412" s="18"/>
    </row>
    <row r="7413" spans="5:6" ht="15" customHeight="1" x14ac:dyDescent="0.2">
      <c r="E7413" s="18"/>
      <c r="F7413" s="18"/>
    </row>
    <row r="7414" spans="5:6" ht="15" customHeight="1" x14ac:dyDescent="0.2">
      <c r="E7414" s="18"/>
      <c r="F7414" s="18"/>
    </row>
    <row r="7415" spans="5:6" ht="15" customHeight="1" x14ac:dyDescent="0.2">
      <c r="E7415" s="18"/>
      <c r="F7415" s="18"/>
    </row>
    <row r="7416" spans="5:6" ht="15" customHeight="1" x14ac:dyDescent="0.2">
      <c r="E7416" s="18"/>
      <c r="F7416" s="18"/>
    </row>
    <row r="7417" spans="5:6" ht="15" customHeight="1" x14ac:dyDescent="0.2">
      <c r="E7417" s="18"/>
      <c r="F7417" s="18"/>
    </row>
    <row r="7418" spans="5:6" ht="15" customHeight="1" x14ac:dyDescent="0.2">
      <c r="E7418" s="18"/>
      <c r="F7418" s="18"/>
    </row>
    <row r="7419" spans="5:6" ht="15" customHeight="1" x14ac:dyDescent="0.2">
      <c r="E7419" s="18"/>
      <c r="F7419" s="18"/>
    </row>
    <row r="7420" spans="5:6" ht="15" customHeight="1" x14ac:dyDescent="0.2">
      <c r="E7420" s="18"/>
      <c r="F7420" s="18"/>
    </row>
    <row r="7421" spans="5:6" ht="15" customHeight="1" x14ac:dyDescent="0.2">
      <c r="E7421" s="18"/>
      <c r="F7421" s="18"/>
    </row>
    <row r="7422" spans="5:6" ht="15" customHeight="1" x14ac:dyDescent="0.2">
      <c r="E7422" s="18"/>
      <c r="F7422" s="18"/>
    </row>
    <row r="7423" spans="5:6" ht="15" customHeight="1" x14ac:dyDescent="0.2">
      <c r="E7423" s="18"/>
      <c r="F7423" s="18"/>
    </row>
    <row r="7424" spans="5:6" ht="15" customHeight="1" x14ac:dyDescent="0.2">
      <c r="E7424" s="18"/>
      <c r="F7424" s="18"/>
    </row>
    <row r="7425" spans="5:6" ht="15" customHeight="1" x14ac:dyDescent="0.2">
      <c r="E7425" s="18"/>
      <c r="F7425" s="18"/>
    </row>
    <row r="7426" spans="5:6" ht="15" customHeight="1" x14ac:dyDescent="0.2">
      <c r="E7426" s="18"/>
      <c r="F7426" s="18"/>
    </row>
    <row r="7427" spans="5:6" ht="15" customHeight="1" x14ac:dyDescent="0.2">
      <c r="E7427" s="18"/>
      <c r="F7427" s="18"/>
    </row>
    <row r="7428" spans="5:6" ht="15" customHeight="1" x14ac:dyDescent="0.2">
      <c r="E7428" s="18"/>
      <c r="F7428" s="18"/>
    </row>
    <row r="7429" spans="5:6" ht="15" customHeight="1" x14ac:dyDescent="0.2">
      <c r="E7429" s="18"/>
      <c r="F7429" s="18"/>
    </row>
    <row r="7430" spans="5:6" ht="15" customHeight="1" x14ac:dyDescent="0.2">
      <c r="E7430" s="18"/>
      <c r="F7430" s="18"/>
    </row>
    <row r="7431" spans="5:6" ht="15" customHeight="1" x14ac:dyDescent="0.2">
      <c r="E7431" s="18"/>
      <c r="F7431" s="18"/>
    </row>
    <row r="7432" spans="5:6" ht="15" customHeight="1" x14ac:dyDescent="0.2">
      <c r="E7432" s="18"/>
      <c r="F7432" s="18"/>
    </row>
    <row r="7433" spans="5:6" ht="15" customHeight="1" x14ac:dyDescent="0.2">
      <c r="E7433" s="18"/>
      <c r="F7433" s="18"/>
    </row>
    <row r="7434" spans="5:6" ht="15" customHeight="1" x14ac:dyDescent="0.2">
      <c r="E7434" s="18"/>
      <c r="F7434" s="18"/>
    </row>
    <row r="7435" spans="5:6" ht="15" customHeight="1" x14ac:dyDescent="0.2">
      <c r="E7435" s="18"/>
      <c r="F7435" s="18"/>
    </row>
    <row r="7436" spans="5:6" ht="15" customHeight="1" x14ac:dyDescent="0.2">
      <c r="E7436" s="18"/>
      <c r="F7436" s="18"/>
    </row>
    <row r="7437" spans="5:6" ht="15" customHeight="1" x14ac:dyDescent="0.2">
      <c r="E7437" s="18"/>
      <c r="F7437" s="18"/>
    </row>
    <row r="7438" spans="5:6" ht="15" customHeight="1" x14ac:dyDescent="0.2">
      <c r="E7438" s="18"/>
      <c r="F7438" s="18"/>
    </row>
    <row r="7439" spans="5:6" ht="15" customHeight="1" x14ac:dyDescent="0.2">
      <c r="E7439" s="18"/>
      <c r="F7439" s="18"/>
    </row>
    <row r="7440" spans="5:6" ht="15" customHeight="1" x14ac:dyDescent="0.2">
      <c r="E7440" s="18"/>
      <c r="F7440" s="18"/>
    </row>
    <row r="7441" spans="5:6" ht="15" customHeight="1" x14ac:dyDescent="0.2">
      <c r="E7441" s="18"/>
      <c r="F7441" s="18"/>
    </row>
    <row r="7442" spans="5:6" ht="15" customHeight="1" x14ac:dyDescent="0.2">
      <c r="E7442" s="18"/>
      <c r="F7442" s="18"/>
    </row>
    <row r="7443" spans="5:6" ht="15" customHeight="1" x14ac:dyDescent="0.2">
      <c r="E7443" s="18"/>
      <c r="F7443" s="18"/>
    </row>
    <row r="7444" spans="5:6" ht="15" customHeight="1" x14ac:dyDescent="0.2">
      <c r="E7444" s="18"/>
      <c r="F7444" s="18"/>
    </row>
    <row r="7445" spans="5:6" ht="15" customHeight="1" x14ac:dyDescent="0.2">
      <c r="E7445" s="18"/>
      <c r="F7445" s="18"/>
    </row>
    <row r="7446" spans="5:6" ht="15" customHeight="1" x14ac:dyDescent="0.2">
      <c r="E7446" s="18"/>
      <c r="F7446" s="18"/>
    </row>
    <row r="7447" spans="5:6" ht="15" customHeight="1" x14ac:dyDescent="0.2">
      <c r="E7447" s="18"/>
      <c r="F7447" s="18"/>
    </row>
    <row r="7448" spans="5:6" ht="15" customHeight="1" x14ac:dyDescent="0.2">
      <c r="E7448" s="18"/>
      <c r="F7448" s="18"/>
    </row>
    <row r="7449" spans="5:6" ht="15" customHeight="1" x14ac:dyDescent="0.2">
      <c r="E7449" s="18"/>
      <c r="F7449" s="18"/>
    </row>
    <row r="7450" spans="5:6" ht="15" customHeight="1" x14ac:dyDescent="0.2">
      <c r="E7450" s="18"/>
      <c r="F7450" s="18"/>
    </row>
    <row r="7451" spans="5:6" ht="15" customHeight="1" x14ac:dyDescent="0.2">
      <c r="E7451" s="18"/>
      <c r="F7451" s="18"/>
    </row>
    <row r="7452" spans="5:6" ht="15" customHeight="1" x14ac:dyDescent="0.2">
      <c r="E7452" s="18"/>
      <c r="F7452" s="18"/>
    </row>
    <row r="7453" spans="5:6" ht="15" customHeight="1" x14ac:dyDescent="0.2">
      <c r="E7453" s="18"/>
      <c r="F7453" s="18"/>
    </row>
    <row r="7454" spans="5:6" ht="15" customHeight="1" x14ac:dyDescent="0.2">
      <c r="E7454" s="18"/>
      <c r="F7454" s="18"/>
    </row>
    <row r="7455" spans="5:6" ht="15" customHeight="1" x14ac:dyDescent="0.2">
      <c r="E7455" s="18"/>
      <c r="F7455" s="18"/>
    </row>
    <row r="7456" spans="5:6" ht="15" customHeight="1" x14ac:dyDescent="0.2">
      <c r="E7456" s="18"/>
      <c r="F7456" s="18"/>
    </row>
    <row r="7457" spans="5:6" ht="15" customHeight="1" x14ac:dyDescent="0.2">
      <c r="E7457" s="18"/>
      <c r="F7457" s="18"/>
    </row>
    <row r="7458" spans="5:6" ht="15" customHeight="1" x14ac:dyDescent="0.2">
      <c r="E7458" s="18"/>
      <c r="F7458" s="18"/>
    </row>
    <row r="7459" spans="5:6" ht="15" customHeight="1" x14ac:dyDescent="0.2">
      <c r="E7459" s="18"/>
      <c r="F7459" s="18"/>
    </row>
    <row r="7460" spans="5:6" ht="15" customHeight="1" x14ac:dyDescent="0.2">
      <c r="E7460" s="18"/>
      <c r="F7460" s="18"/>
    </row>
    <row r="7461" spans="5:6" ht="15" customHeight="1" x14ac:dyDescent="0.2">
      <c r="E7461" s="18"/>
      <c r="F7461" s="18"/>
    </row>
    <row r="7462" spans="5:6" ht="15" customHeight="1" x14ac:dyDescent="0.2">
      <c r="E7462" s="18"/>
      <c r="F7462" s="18"/>
    </row>
    <row r="7463" spans="5:6" ht="15" customHeight="1" x14ac:dyDescent="0.2">
      <c r="E7463" s="18"/>
      <c r="F7463" s="18"/>
    </row>
    <row r="7464" spans="5:6" ht="15" customHeight="1" x14ac:dyDescent="0.2">
      <c r="E7464" s="18"/>
      <c r="F7464" s="18"/>
    </row>
    <row r="7465" spans="5:6" ht="15" customHeight="1" x14ac:dyDescent="0.2">
      <c r="E7465" s="18"/>
      <c r="F7465" s="18"/>
    </row>
    <row r="7466" spans="5:6" ht="15" customHeight="1" x14ac:dyDescent="0.2">
      <c r="E7466" s="18"/>
      <c r="F7466" s="18"/>
    </row>
    <row r="7467" spans="5:6" ht="15" customHeight="1" x14ac:dyDescent="0.2">
      <c r="E7467" s="18"/>
      <c r="F7467" s="18"/>
    </row>
    <row r="7468" spans="5:6" ht="15" customHeight="1" x14ac:dyDescent="0.2">
      <c r="E7468" s="18"/>
      <c r="F7468" s="18"/>
    </row>
    <row r="7469" spans="5:6" ht="15" customHeight="1" x14ac:dyDescent="0.2">
      <c r="E7469" s="18"/>
      <c r="F7469" s="18"/>
    </row>
    <row r="7470" spans="5:6" ht="15" customHeight="1" x14ac:dyDescent="0.2">
      <c r="E7470" s="18"/>
      <c r="F7470" s="18"/>
    </row>
    <row r="7471" spans="5:6" ht="15" customHeight="1" x14ac:dyDescent="0.2">
      <c r="E7471" s="18"/>
      <c r="F7471" s="18"/>
    </row>
    <row r="7472" spans="5:6" ht="15" customHeight="1" x14ac:dyDescent="0.2">
      <c r="E7472" s="18"/>
      <c r="F7472" s="18"/>
    </row>
    <row r="7473" spans="5:6" ht="15" customHeight="1" x14ac:dyDescent="0.2">
      <c r="E7473" s="18"/>
      <c r="F7473" s="18"/>
    </row>
    <row r="7474" spans="5:6" ht="15" customHeight="1" x14ac:dyDescent="0.2">
      <c r="E7474" s="18"/>
      <c r="F7474" s="18"/>
    </row>
    <row r="7475" spans="5:6" ht="15" customHeight="1" x14ac:dyDescent="0.2">
      <c r="E7475" s="18"/>
      <c r="F7475" s="18"/>
    </row>
    <row r="7476" spans="5:6" ht="15" customHeight="1" x14ac:dyDescent="0.2">
      <c r="E7476" s="18"/>
      <c r="F7476" s="18"/>
    </row>
    <row r="7477" spans="5:6" ht="15" customHeight="1" x14ac:dyDescent="0.2">
      <c r="E7477" s="18"/>
      <c r="F7477" s="18"/>
    </row>
    <row r="7478" spans="5:6" ht="15" customHeight="1" x14ac:dyDescent="0.2">
      <c r="E7478" s="18"/>
      <c r="F7478" s="18"/>
    </row>
    <row r="7479" spans="5:6" ht="15" customHeight="1" x14ac:dyDescent="0.2">
      <c r="E7479" s="18"/>
      <c r="F7479" s="18"/>
    </row>
    <row r="7480" spans="5:6" ht="15" customHeight="1" x14ac:dyDescent="0.2">
      <c r="E7480" s="18"/>
      <c r="F7480" s="18"/>
    </row>
    <row r="7481" spans="5:6" ht="15" customHeight="1" x14ac:dyDescent="0.2">
      <c r="E7481" s="18"/>
      <c r="F7481" s="18"/>
    </row>
    <row r="7482" spans="5:6" ht="15" customHeight="1" x14ac:dyDescent="0.2">
      <c r="E7482" s="18"/>
      <c r="F7482" s="18"/>
    </row>
    <row r="7483" spans="5:6" ht="15" customHeight="1" x14ac:dyDescent="0.2">
      <c r="E7483" s="18"/>
      <c r="F7483" s="18"/>
    </row>
    <row r="7484" spans="5:6" ht="15" customHeight="1" x14ac:dyDescent="0.2">
      <c r="E7484" s="18"/>
      <c r="F7484" s="18"/>
    </row>
    <row r="7485" spans="5:6" ht="15" customHeight="1" x14ac:dyDescent="0.2">
      <c r="E7485" s="18"/>
      <c r="F7485" s="18"/>
    </row>
    <row r="7486" spans="5:6" ht="15" customHeight="1" x14ac:dyDescent="0.2">
      <c r="E7486" s="18"/>
      <c r="F7486" s="18"/>
    </row>
    <row r="7487" spans="5:6" ht="15" customHeight="1" x14ac:dyDescent="0.2">
      <c r="E7487" s="18"/>
      <c r="F7487" s="18"/>
    </row>
    <row r="7488" spans="5:6" ht="15" customHeight="1" x14ac:dyDescent="0.2">
      <c r="E7488" s="18"/>
      <c r="F7488" s="18"/>
    </row>
    <row r="7489" spans="5:6" ht="15" customHeight="1" x14ac:dyDescent="0.2">
      <c r="E7489" s="18"/>
      <c r="F7489" s="18"/>
    </row>
    <row r="7490" spans="5:6" ht="15" customHeight="1" x14ac:dyDescent="0.2">
      <c r="E7490" s="18"/>
      <c r="F7490" s="18"/>
    </row>
    <row r="7491" spans="5:6" ht="15" customHeight="1" x14ac:dyDescent="0.2">
      <c r="E7491" s="18"/>
      <c r="F7491" s="18"/>
    </row>
    <row r="7492" spans="5:6" ht="15" customHeight="1" x14ac:dyDescent="0.2">
      <c r="E7492" s="18"/>
      <c r="F7492" s="18"/>
    </row>
    <row r="7493" spans="5:6" ht="15" customHeight="1" x14ac:dyDescent="0.2">
      <c r="E7493" s="18"/>
      <c r="F7493" s="18"/>
    </row>
    <row r="7494" spans="5:6" ht="15" customHeight="1" x14ac:dyDescent="0.2">
      <c r="E7494" s="18"/>
      <c r="F7494" s="18"/>
    </row>
    <row r="7495" spans="5:6" ht="15" customHeight="1" x14ac:dyDescent="0.2">
      <c r="E7495" s="18"/>
      <c r="F7495" s="18"/>
    </row>
    <row r="7496" spans="5:6" ht="15" customHeight="1" x14ac:dyDescent="0.2">
      <c r="E7496" s="18"/>
      <c r="F7496" s="18"/>
    </row>
    <row r="7497" spans="5:6" ht="15" customHeight="1" x14ac:dyDescent="0.2">
      <c r="E7497" s="18"/>
      <c r="F7497" s="18"/>
    </row>
    <row r="7498" spans="5:6" ht="15" customHeight="1" x14ac:dyDescent="0.2">
      <c r="E7498" s="18"/>
      <c r="F7498" s="18"/>
    </row>
    <row r="7499" spans="5:6" ht="15" customHeight="1" x14ac:dyDescent="0.2">
      <c r="E7499" s="18"/>
      <c r="F7499" s="18"/>
    </row>
    <row r="7500" spans="5:6" ht="15" customHeight="1" x14ac:dyDescent="0.2">
      <c r="E7500" s="18"/>
      <c r="F7500" s="18"/>
    </row>
    <row r="7501" spans="5:6" ht="15" customHeight="1" x14ac:dyDescent="0.2">
      <c r="E7501" s="18"/>
      <c r="F7501" s="18"/>
    </row>
    <row r="7502" spans="5:6" ht="15" customHeight="1" x14ac:dyDescent="0.2">
      <c r="E7502" s="18"/>
      <c r="F7502" s="18"/>
    </row>
    <row r="7503" spans="5:6" ht="15" customHeight="1" x14ac:dyDescent="0.2">
      <c r="E7503" s="18"/>
      <c r="F7503" s="18"/>
    </row>
    <row r="7504" spans="5:6" ht="15" customHeight="1" x14ac:dyDescent="0.2">
      <c r="E7504" s="18"/>
      <c r="F7504" s="18"/>
    </row>
    <row r="7505" spans="5:6" ht="15" customHeight="1" x14ac:dyDescent="0.2">
      <c r="E7505" s="18"/>
      <c r="F7505" s="18"/>
    </row>
    <row r="7506" spans="5:6" ht="15" customHeight="1" x14ac:dyDescent="0.2">
      <c r="E7506" s="18"/>
      <c r="F7506" s="18"/>
    </row>
    <row r="7507" spans="5:6" ht="15" customHeight="1" x14ac:dyDescent="0.2">
      <c r="E7507" s="18"/>
      <c r="F7507" s="18"/>
    </row>
    <row r="7508" spans="5:6" ht="15" customHeight="1" x14ac:dyDescent="0.2">
      <c r="E7508" s="18"/>
      <c r="F7508" s="18"/>
    </row>
    <row r="7509" spans="5:6" ht="15" customHeight="1" x14ac:dyDescent="0.2">
      <c r="E7509" s="18"/>
      <c r="F7509" s="18"/>
    </row>
    <row r="7510" spans="5:6" ht="15" customHeight="1" x14ac:dyDescent="0.2">
      <c r="E7510" s="18"/>
      <c r="F7510" s="18"/>
    </row>
    <row r="7511" spans="5:6" ht="15" customHeight="1" x14ac:dyDescent="0.2">
      <c r="E7511" s="18"/>
      <c r="F7511" s="18"/>
    </row>
    <row r="7512" spans="5:6" ht="15" customHeight="1" x14ac:dyDescent="0.2">
      <c r="E7512" s="18"/>
      <c r="F7512" s="18"/>
    </row>
    <row r="7513" spans="5:6" ht="15" customHeight="1" x14ac:dyDescent="0.2">
      <c r="E7513" s="18"/>
      <c r="F7513" s="18"/>
    </row>
    <row r="7514" spans="5:6" ht="15" customHeight="1" x14ac:dyDescent="0.2">
      <c r="E7514" s="18"/>
      <c r="F7514" s="18"/>
    </row>
    <row r="7515" spans="5:6" ht="15" customHeight="1" x14ac:dyDescent="0.2">
      <c r="E7515" s="18"/>
      <c r="F7515" s="18"/>
    </row>
    <row r="7516" spans="5:6" ht="15" customHeight="1" x14ac:dyDescent="0.2">
      <c r="E7516" s="18"/>
      <c r="F7516" s="18"/>
    </row>
    <row r="7517" spans="5:6" ht="15" customHeight="1" x14ac:dyDescent="0.2">
      <c r="E7517" s="18"/>
      <c r="F7517" s="18"/>
    </row>
    <row r="7518" spans="5:6" ht="15" customHeight="1" x14ac:dyDescent="0.2">
      <c r="E7518" s="18"/>
      <c r="F7518" s="18"/>
    </row>
    <row r="7519" spans="5:6" ht="15" customHeight="1" x14ac:dyDescent="0.2">
      <c r="E7519" s="18"/>
      <c r="F7519" s="18"/>
    </row>
    <row r="7520" spans="5:6" ht="15" customHeight="1" x14ac:dyDescent="0.2">
      <c r="E7520" s="18"/>
      <c r="F7520" s="18"/>
    </row>
    <row r="7521" spans="5:6" ht="15" customHeight="1" x14ac:dyDescent="0.2">
      <c r="E7521" s="18"/>
      <c r="F7521" s="18"/>
    </row>
    <row r="7522" spans="5:6" ht="15" customHeight="1" x14ac:dyDescent="0.2">
      <c r="E7522" s="18"/>
      <c r="F7522" s="18"/>
    </row>
    <row r="7523" spans="5:6" ht="15" customHeight="1" x14ac:dyDescent="0.2">
      <c r="E7523" s="18"/>
      <c r="F7523" s="18"/>
    </row>
    <row r="7524" spans="5:6" ht="15" customHeight="1" x14ac:dyDescent="0.2">
      <c r="E7524" s="18"/>
      <c r="F7524" s="18"/>
    </row>
    <row r="7525" spans="5:6" ht="15" customHeight="1" x14ac:dyDescent="0.2">
      <c r="E7525" s="18"/>
      <c r="F7525" s="18"/>
    </row>
    <row r="7526" spans="5:6" ht="15" customHeight="1" x14ac:dyDescent="0.2">
      <c r="E7526" s="18"/>
      <c r="F7526" s="18"/>
    </row>
    <row r="7527" spans="5:6" ht="15" customHeight="1" x14ac:dyDescent="0.2">
      <c r="E7527" s="18"/>
      <c r="F7527" s="18"/>
    </row>
    <row r="7528" spans="5:6" ht="15" customHeight="1" x14ac:dyDescent="0.2">
      <c r="E7528" s="18"/>
      <c r="F7528" s="18"/>
    </row>
    <row r="7529" spans="5:6" ht="15" customHeight="1" x14ac:dyDescent="0.2">
      <c r="E7529" s="18"/>
      <c r="F7529" s="18"/>
    </row>
    <row r="7530" spans="5:6" ht="15" customHeight="1" x14ac:dyDescent="0.2">
      <c r="E7530" s="18"/>
      <c r="F7530" s="18"/>
    </row>
    <row r="7531" spans="5:6" ht="15" customHeight="1" x14ac:dyDescent="0.2">
      <c r="E7531" s="18"/>
      <c r="F7531" s="18"/>
    </row>
    <row r="7532" spans="5:6" ht="15" customHeight="1" x14ac:dyDescent="0.2">
      <c r="E7532" s="18"/>
      <c r="F7532" s="18"/>
    </row>
    <row r="7533" spans="5:6" ht="15" customHeight="1" x14ac:dyDescent="0.2">
      <c r="E7533" s="18"/>
      <c r="F7533" s="18"/>
    </row>
    <row r="7534" spans="5:6" ht="15" customHeight="1" x14ac:dyDescent="0.2">
      <c r="E7534" s="18"/>
      <c r="F7534" s="18"/>
    </row>
    <row r="7535" spans="5:6" ht="15" customHeight="1" x14ac:dyDescent="0.2">
      <c r="E7535" s="18"/>
      <c r="F7535" s="18"/>
    </row>
    <row r="7536" spans="5:6" ht="15" customHeight="1" x14ac:dyDescent="0.2">
      <c r="E7536" s="18"/>
      <c r="F7536" s="18"/>
    </row>
    <row r="7537" spans="5:6" ht="15" customHeight="1" x14ac:dyDescent="0.2">
      <c r="E7537" s="18"/>
      <c r="F7537" s="18"/>
    </row>
    <row r="7538" spans="5:6" ht="15" customHeight="1" x14ac:dyDescent="0.2">
      <c r="E7538" s="18"/>
      <c r="F7538" s="18"/>
    </row>
    <row r="7539" spans="5:6" ht="15" customHeight="1" x14ac:dyDescent="0.2">
      <c r="E7539" s="18"/>
      <c r="F7539" s="18"/>
    </row>
    <row r="7540" spans="5:6" ht="15" customHeight="1" x14ac:dyDescent="0.2">
      <c r="E7540" s="18"/>
      <c r="F7540" s="18"/>
    </row>
    <row r="7541" spans="5:6" ht="15" customHeight="1" x14ac:dyDescent="0.2">
      <c r="E7541" s="18"/>
      <c r="F7541" s="18"/>
    </row>
    <row r="7542" spans="5:6" ht="15" customHeight="1" x14ac:dyDescent="0.2">
      <c r="E7542" s="18"/>
      <c r="F7542" s="18"/>
    </row>
    <row r="7543" spans="5:6" ht="15" customHeight="1" x14ac:dyDescent="0.2">
      <c r="E7543" s="18"/>
      <c r="F7543" s="18"/>
    </row>
    <row r="7544" spans="5:6" ht="15" customHeight="1" x14ac:dyDescent="0.2">
      <c r="E7544" s="18"/>
      <c r="F7544" s="18"/>
    </row>
    <row r="7545" spans="5:6" ht="15" customHeight="1" x14ac:dyDescent="0.2">
      <c r="E7545" s="18"/>
      <c r="F7545" s="18"/>
    </row>
    <row r="7546" spans="5:6" ht="15" customHeight="1" x14ac:dyDescent="0.2">
      <c r="E7546" s="18"/>
      <c r="F7546" s="18"/>
    </row>
    <row r="7547" spans="5:6" ht="15" customHeight="1" x14ac:dyDescent="0.2">
      <c r="E7547" s="18"/>
      <c r="F7547" s="18"/>
    </row>
    <row r="7548" spans="5:6" ht="15" customHeight="1" x14ac:dyDescent="0.2">
      <c r="E7548" s="18"/>
      <c r="F7548" s="18"/>
    </row>
    <row r="7549" spans="5:6" ht="15" customHeight="1" x14ac:dyDescent="0.2">
      <c r="E7549" s="18"/>
      <c r="F7549" s="18"/>
    </row>
    <row r="7550" spans="5:6" ht="15" customHeight="1" x14ac:dyDescent="0.2">
      <c r="E7550" s="18"/>
      <c r="F7550" s="18"/>
    </row>
    <row r="7551" spans="5:6" ht="15" customHeight="1" x14ac:dyDescent="0.2">
      <c r="E7551" s="18"/>
      <c r="F7551" s="18"/>
    </row>
    <row r="7552" spans="5:6" ht="15" customHeight="1" x14ac:dyDescent="0.2">
      <c r="E7552" s="18"/>
      <c r="F7552" s="18"/>
    </row>
    <row r="7553" spans="5:6" ht="15" customHeight="1" x14ac:dyDescent="0.2">
      <c r="E7553" s="18"/>
      <c r="F7553" s="18"/>
    </row>
    <row r="7554" spans="5:6" ht="15" customHeight="1" x14ac:dyDescent="0.2">
      <c r="E7554" s="18"/>
      <c r="F7554" s="18"/>
    </row>
    <row r="7555" spans="5:6" ht="15" customHeight="1" x14ac:dyDescent="0.2">
      <c r="E7555" s="18"/>
      <c r="F7555" s="18"/>
    </row>
    <row r="7556" spans="5:6" ht="15" customHeight="1" x14ac:dyDescent="0.2">
      <c r="E7556" s="18"/>
      <c r="F7556" s="18"/>
    </row>
    <row r="7557" spans="5:6" ht="15" customHeight="1" x14ac:dyDescent="0.2">
      <c r="E7557" s="18"/>
      <c r="F7557" s="18"/>
    </row>
    <row r="7558" spans="5:6" ht="15" customHeight="1" x14ac:dyDescent="0.2">
      <c r="E7558" s="18"/>
      <c r="F7558" s="18"/>
    </row>
    <row r="7559" spans="5:6" ht="15" customHeight="1" x14ac:dyDescent="0.2">
      <c r="E7559" s="18"/>
      <c r="F7559" s="18"/>
    </row>
    <row r="7560" spans="5:6" ht="15" customHeight="1" x14ac:dyDescent="0.2">
      <c r="E7560" s="18"/>
      <c r="F7560" s="18"/>
    </row>
    <row r="7561" spans="5:6" ht="15" customHeight="1" x14ac:dyDescent="0.2">
      <c r="E7561" s="18"/>
      <c r="F7561" s="18"/>
    </row>
    <row r="7562" spans="5:6" ht="15" customHeight="1" x14ac:dyDescent="0.2">
      <c r="E7562" s="18"/>
      <c r="F7562" s="18"/>
    </row>
    <row r="7563" spans="5:6" ht="15" customHeight="1" x14ac:dyDescent="0.2">
      <c r="E7563" s="18"/>
      <c r="F7563" s="18"/>
    </row>
    <row r="7564" spans="5:6" ht="15" customHeight="1" x14ac:dyDescent="0.2">
      <c r="E7564" s="18"/>
      <c r="F7564" s="18"/>
    </row>
    <row r="7565" spans="5:6" ht="15" customHeight="1" x14ac:dyDescent="0.2">
      <c r="E7565" s="18"/>
      <c r="F7565" s="18"/>
    </row>
    <row r="7566" spans="5:6" ht="15" customHeight="1" x14ac:dyDescent="0.2">
      <c r="E7566" s="18"/>
      <c r="F7566" s="18"/>
    </row>
    <row r="7567" spans="5:6" ht="15" customHeight="1" x14ac:dyDescent="0.2">
      <c r="E7567" s="18"/>
      <c r="F7567" s="18"/>
    </row>
    <row r="7568" spans="5:6" ht="15" customHeight="1" x14ac:dyDescent="0.2">
      <c r="E7568" s="18"/>
      <c r="F7568" s="18"/>
    </row>
    <row r="7569" spans="5:6" ht="15" customHeight="1" x14ac:dyDescent="0.2">
      <c r="E7569" s="18"/>
      <c r="F7569" s="18"/>
    </row>
    <row r="7570" spans="5:6" ht="15" customHeight="1" x14ac:dyDescent="0.2">
      <c r="E7570" s="18"/>
      <c r="F7570" s="18"/>
    </row>
    <row r="7571" spans="5:6" ht="15" customHeight="1" x14ac:dyDescent="0.2">
      <c r="E7571" s="18"/>
      <c r="F7571" s="18"/>
    </row>
    <row r="7572" spans="5:6" ht="15" customHeight="1" x14ac:dyDescent="0.2">
      <c r="E7572" s="18"/>
      <c r="F7572" s="18"/>
    </row>
    <row r="7573" spans="5:6" ht="15" customHeight="1" x14ac:dyDescent="0.2">
      <c r="E7573" s="18"/>
      <c r="F7573" s="18"/>
    </row>
    <row r="7574" spans="5:6" ht="15" customHeight="1" x14ac:dyDescent="0.2">
      <c r="E7574" s="18"/>
      <c r="F7574" s="18"/>
    </row>
    <row r="7575" spans="5:6" ht="15" customHeight="1" x14ac:dyDescent="0.2">
      <c r="E7575" s="18"/>
      <c r="F7575" s="18"/>
    </row>
    <row r="7576" spans="5:6" ht="15" customHeight="1" x14ac:dyDescent="0.2">
      <c r="E7576" s="18"/>
      <c r="F7576" s="18"/>
    </row>
    <row r="7577" spans="5:6" ht="15" customHeight="1" x14ac:dyDescent="0.2">
      <c r="E7577" s="18"/>
      <c r="F7577" s="18"/>
    </row>
    <row r="7578" spans="5:6" ht="15" customHeight="1" x14ac:dyDescent="0.2">
      <c r="E7578" s="18"/>
      <c r="F7578" s="18"/>
    </row>
    <row r="7579" spans="5:6" ht="15" customHeight="1" x14ac:dyDescent="0.2">
      <c r="E7579" s="18"/>
      <c r="F7579" s="18"/>
    </row>
    <row r="7580" spans="5:6" ht="15" customHeight="1" x14ac:dyDescent="0.2">
      <c r="E7580" s="18"/>
      <c r="F7580" s="18"/>
    </row>
    <row r="7581" spans="5:6" ht="15" customHeight="1" x14ac:dyDescent="0.2">
      <c r="E7581" s="18"/>
      <c r="F7581" s="18"/>
    </row>
    <row r="7582" spans="5:6" ht="15" customHeight="1" x14ac:dyDescent="0.2">
      <c r="E7582" s="18"/>
      <c r="F7582" s="18"/>
    </row>
    <row r="7583" spans="5:6" ht="15" customHeight="1" x14ac:dyDescent="0.2">
      <c r="E7583" s="18"/>
      <c r="F7583" s="18"/>
    </row>
    <row r="7584" spans="5:6" ht="15" customHeight="1" x14ac:dyDescent="0.2">
      <c r="E7584" s="18"/>
      <c r="F7584" s="18"/>
    </row>
    <row r="7585" spans="5:6" ht="15" customHeight="1" x14ac:dyDescent="0.2">
      <c r="E7585" s="18"/>
      <c r="F7585" s="18"/>
    </row>
    <row r="7586" spans="5:6" ht="15" customHeight="1" x14ac:dyDescent="0.2">
      <c r="E7586" s="18"/>
      <c r="F7586" s="18"/>
    </row>
    <row r="7587" spans="5:6" ht="15" customHeight="1" x14ac:dyDescent="0.2">
      <c r="E7587" s="18"/>
      <c r="F7587" s="18"/>
    </row>
    <row r="7588" spans="5:6" ht="15" customHeight="1" x14ac:dyDescent="0.2">
      <c r="E7588" s="18"/>
      <c r="F7588" s="18"/>
    </row>
    <row r="7589" spans="5:6" ht="15" customHeight="1" x14ac:dyDescent="0.2">
      <c r="E7589" s="18"/>
      <c r="F7589" s="18"/>
    </row>
    <row r="7590" spans="5:6" ht="15" customHeight="1" x14ac:dyDescent="0.2">
      <c r="E7590" s="18"/>
      <c r="F7590" s="18"/>
    </row>
    <row r="7591" spans="5:6" ht="15" customHeight="1" x14ac:dyDescent="0.2">
      <c r="E7591" s="18"/>
      <c r="F7591" s="18"/>
    </row>
    <row r="7592" spans="5:6" ht="15" customHeight="1" x14ac:dyDescent="0.2">
      <c r="E7592" s="18"/>
      <c r="F7592" s="18"/>
    </row>
    <row r="7593" spans="5:6" ht="15" customHeight="1" x14ac:dyDescent="0.2">
      <c r="E7593" s="18"/>
      <c r="F7593" s="18"/>
    </row>
    <row r="7594" spans="5:6" ht="15" customHeight="1" x14ac:dyDescent="0.2">
      <c r="E7594" s="18"/>
      <c r="F7594" s="18"/>
    </row>
    <row r="7595" spans="5:6" ht="15" customHeight="1" x14ac:dyDescent="0.2">
      <c r="E7595" s="18"/>
      <c r="F7595" s="18"/>
    </row>
    <row r="7596" spans="5:6" ht="15" customHeight="1" x14ac:dyDescent="0.2">
      <c r="E7596" s="18"/>
      <c r="F7596" s="18"/>
    </row>
    <row r="7597" spans="5:6" ht="15" customHeight="1" x14ac:dyDescent="0.2">
      <c r="E7597" s="18"/>
      <c r="F7597" s="18"/>
    </row>
    <row r="7598" spans="5:6" ht="15" customHeight="1" x14ac:dyDescent="0.2">
      <c r="E7598" s="18"/>
      <c r="F7598" s="18"/>
    </row>
    <row r="7599" spans="5:6" ht="15" customHeight="1" x14ac:dyDescent="0.2">
      <c r="E7599" s="18"/>
      <c r="F7599" s="18"/>
    </row>
    <row r="7600" spans="5:6" ht="15" customHeight="1" x14ac:dyDescent="0.2">
      <c r="E7600" s="18"/>
      <c r="F7600" s="18"/>
    </row>
    <row r="7601" spans="5:6" ht="15" customHeight="1" x14ac:dyDescent="0.2">
      <c r="E7601" s="18"/>
      <c r="F7601" s="18"/>
    </row>
    <row r="7602" spans="5:6" ht="15" customHeight="1" x14ac:dyDescent="0.2">
      <c r="E7602" s="18"/>
      <c r="F7602" s="18"/>
    </row>
    <row r="7603" spans="5:6" ht="15" customHeight="1" x14ac:dyDescent="0.2">
      <c r="E7603" s="18"/>
      <c r="F7603" s="18"/>
    </row>
    <row r="7604" spans="5:6" ht="15" customHeight="1" x14ac:dyDescent="0.2">
      <c r="E7604" s="18"/>
      <c r="F7604" s="18"/>
    </row>
    <row r="7605" spans="5:6" ht="15" customHeight="1" x14ac:dyDescent="0.2">
      <c r="E7605" s="18"/>
      <c r="F7605" s="18"/>
    </row>
    <row r="7606" spans="5:6" ht="15" customHeight="1" x14ac:dyDescent="0.2">
      <c r="E7606" s="18"/>
      <c r="F7606" s="18"/>
    </row>
    <row r="7607" spans="5:6" ht="15" customHeight="1" x14ac:dyDescent="0.2">
      <c r="E7607" s="18"/>
      <c r="F7607" s="18"/>
    </row>
    <row r="7608" spans="5:6" ht="15" customHeight="1" x14ac:dyDescent="0.2">
      <c r="E7608" s="18"/>
      <c r="F7608" s="18"/>
    </row>
    <row r="7609" spans="5:6" ht="15" customHeight="1" x14ac:dyDescent="0.2">
      <c r="E7609" s="18"/>
      <c r="F7609" s="18"/>
    </row>
    <row r="7610" spans="5:6" ht="15" customHeight="1" x14ac:dyDescent="0.2">
      <c r="E7610" s="18"/>
      <c r="F7610" s="18"/>
    </row>
    <row r="7611" spans="5:6" ht="15" customHeight="1" x14ac:dyDescent="0.2">
      <c r="E7611" s="18"/>
      <c r="F7611" s="18"/>
    </row>
    <row r="7612" spans="5:6" ht="15" customHeight="1" x14ac:dyDescent="0.2">
      <c r="E7612" s="18"/>
      <c r="F7612" s="18"/>
    </row>
    <row r="7613" spans="5:6" ht="15" customHeight="1" x14ac:dyDescent="0.2">
      <c r="E7613" s="18"/>
      <c r="F7613" s="18"/>
    </row>
    <row r="7614" spans="5:6" ht="15" customHeight="1" x14ac:dyDescent="0.2">
      <c r="E7614" s="18"/>
      <c r="F7614" s="18"/>
    </row>
    <row r="7615" spans="5:6" ht="15" customHeight="1" x14ac:dyDescent="0.2">
      <c r="E7615" s="18"/>
      <c r="F7615" s="18"/>
    </row>
    <row r="7616" spans="5:6" ht="15" customHeight="1" x14ac:dyDescent="0.2">
      <c r="E7616" s="18"/>
      <c r="F7616" s="18"/>
    </row>
    <row r="7617" spans="5:6" ht="15" customHeight="1" x14ac:dyDescent="0.2">
      <c r="E7617" s="18"/>
      <c r="F7617" s="18"/>
    </row>
    <row r="7618" spans="5:6" ht="15" customHeight="1" x14ac:dyDescent="0.2">
      <c r="E7618" s="18"/>
      <c r="F7618" s="18"/>
    </row>
    <row r="7619" spans="5:6" ht="15" customHeight="1" x14ac:dyDescent="0.2">
      <c r="E7619" s="18"/>
      <c r="F7619" s="18"/>
    </row>
    <row r="7620" spans="5:6" ht="15" customHeight="1" x14ac:dyDescent="0.2">
      <c r="E7620" s="18"/>
      <c r="F7620" s="18"/>
    </row>
    <row r="7621" spans="5:6" ht="15" customHeight="1" x14ac:dyDescent="0.2">
      <c r="E7621" s="18"/>
      <c r="F7621" s="18"/>
    </row>
    <row r="7622" spans="5:6" ht="15" customHeight="1" x14ac:dyDescent="0.2">
      <c r="E7622" s="18"/>
      <c r="F7622" s="18"/>
    </row>
    <row r="7623" spans="5:6" ht="15" customHeight="1" x14ac:dyDescent="0.2">
      <c r="E7623" s="18"/>
      <c r="F7623" s="18"/>
    </row>
    <row r="7624" spans="5:6" ht="15" customHeight="1" x14ac:dyDescent="0.2">
      <c r="E7624" s="18"/>
      <c r="F7624" s="18"/>
    </row>
    <row r="7625" spans="5:6" ht="15" customHeight="1" x14ac:dyDescent="0.2">
      <c r="E7625" s="18"/>
      <c r="F7625" s="18"/>
    </row>
    <row r="7626" spans="5:6" ht="15" customHeight="1" x14ac:dyDescent="0.2">
      <c r="E7626" s="18"/>
      <c r="F7626" s="18"/>
    </row>
    <row r="7627" spans="5:6" ht="15" customHeight="1" x14ac:dyDescent="0.2">
      <c r="E7627" s="18"/>
      <c r="F7627" s="18"/>
    </row>
    <row r="7628" spans="5:6" ht="15" customHeight="1" x14ac:dyDescent="0.2">
      <c r="E7628" s="18"/>
      <c r="F7628" s="18"/>
    </row>
    <row r="7629" spans="5:6" ht="15" customHeight="1" x14ac:dyDescent="0.2">
      <c r="E7629" s="18"/>
      <c r="F7629" s="18"/>
    </row>
    <row r="7630" spans="5:6" ht="15" customHeight="1" x14ac:dyDescent="0.2">
      <c r="E7630" s="18"/>
      <c r="F7630" s="18"/>
    </row>
    <row r="7631" spans="5:6" ht="15" customHeight="1" x14ac:dyDescent="0.2">
      <c r="E7631" s="18"/>
      <c r="F7631" s="18"/>
    </row>
    <row r="7632" spans="5:6" ht="15" customHeight="1" x14ac:dyDescent="0.2">
      <c r="E7632" s="18"/>
      <c r="F7632" s="18"/>
    </row>
    <row r="7633" spans="5:6" ht="15" customHeight="1" x14ac:dyDescent="0.2">
      <c r="E7633" s="18"/>
      <c r="F7633" s="18"/>
    </row>
    <row r="7634" spans="5:6" ht="15" customHeight="1" x14ac:dyDescent="0.2">
      <c r="E7634" s="18"/>
      <c r="F7634" s="18"/>
    </row>
    <row r="7635" spans="5:6" ht="15" customHeight="1" x14ac:dyDescent="0.2">
      <c r="E7635" s="18"/>
      <c r="F7635" s="18"/>
    </row>
    <row r="7636" spans="5:6" ht="15" customHeight="1" x14ac:dyDescent="0.2">
      <c r="E7636" s="18"/>
      <c r="F7636" s="18"/>
    </row>
    <row r="7637" spans="5:6" ht="15" customHeight="1" x14ac:dyDescent="0.2">
      <c r="E7637" s="18"/>
      <c r="F7637" s="18"/>
    </row>
    <row r="7638" spans="5:6" ht="15" customHeight="1" x14ac:dyDescent="0.2">
      <c r="E7638" s="18"/>
      <c r="F7638" s="18"/>
    </row>
    <row r="7639" spans="5:6" ht="15" customHeight="1" x14ac:dyDescent="0.2">
      <c r="E7639" s="18"/>
      <c r="F7639" s="18"/>
    </row>
    <row r="7640" spans="5:6" ht="15" customHeight="1" x14ac:dyDescent="0.2">
      <c r="E7640" s="18"/>
      <c r="F7640" s="18"/>
    </row>
    <row r="7641" spans="5:6" ht="15" customHeight="1" x14ac:dyDescent="0.2">
      <c r="E7641" s="18"/>
      <c r="F7641" s="18"/>
    </row>
    <row r="7642" spans="5:6" ht="15" customHeight="1" x14ac:dyDescent="0.2">
      <c r="E7642" s="18"/>
      <c r="F7642" s="18"/>
    </row>
    <row r="7643" spans="5:6" ht="15" customHeight="1" x14ac:dyDescent="0.2">
      <c r="E7643" s="18"/>
      <c r="F7643" s="18"/>
    </row>
    <row r="7644" spans="5:6" ht="15" customHeight="1" x14ac:dyDescent="0.2">
      <c r="E7644" s="18"/>
      <c r="F7644" s="18"/>
    </row>
    <row r="7645" spans="5:6" ht="15" customHeight="1" x14ac:dyDescent="0.2">
      <c r="E7645" s="18"/>
      <c r="F7645" s="18"/>
    </row>
    <row r="7646" spans="5:6" ht="15" customHeight="1" x14ac:dyDescent="0.2">
      <c r="E7646" s="18"/>
      <c r="F7646" s="18"/>
    </row>
    <row r="7647" spans="5:6" ht="15" customHeight="1" x14ac:dyDescent="0.2">
      <c r="E7647" s="18"/>
      <c r="F7647" s="18"/>
    </row>
    <row r="7648" spans="5:6" ht="15" customHeight="1" x14ac:dyDescent="0.2">
      <c r="E7648" s="18"/>
      <c r="F7648" s="18"/>
    </row>
    <row r="7649" spans="5:6" ht="15" customHeight="1" x14ac:dyDescent="0.2">
      <c r="E7649" s="18"/>
      <c r="F7649" s="18"/>
    </row>
    <row r="7650" spans="5:6" ht="15" customHeight="1" x14ac:dyDescent="0.2">
      <c r="E7650" s="18"/>
      <c r="F7650" s="18"/>
    </row>
    <row r="7651" spans="5:6" ht="15" customHeight="1" x14ac:dyDescent="0.2">
      <c r="E7651" s="18"/>
      <c r="F7651" s="18"/>
    </row>
    <row r="7652" spans="5:6" ht="15" customHeight="1" x14ac:dyDescent="0.2">
      <c r="E7652" s="18"/>
      <c r="F7652" s="18"/>
    </row>
    <row r="7653" spans="5:6" ht="15" customHeight="1" x14ac:dyDescent="0.2">
      <c r="E7653" s="18"/>
      <c r="F7653" s="18"/>
    </row>
    <row r="7654" spans="5:6" ht="15" customHeight="1" x14ac:dyDescent="0.2">
      <c r="E7654" s="18"/>
      <c r="F7654" s="18"/>
    </row>
    <row r="7655" spans="5:6" ht="15" customHeight="1" x14ac:dyDescent="0.2">
      <c r="E7655" s="18"/>
      <c r="F7655" s="18"/>
    </row>
    <row r="7656" spans="5:6" ht="15" customHeight="1" x14ac:dyDescent="0.2">
      <c r="E7656" s="18"/>
      <c r="F7656" s="18"/>
    </row>
    <row r="7657" spans="5:6" ht="15" customHeight="1" x14ac:dyDescent="0.2">
      <c r="E7657" s="18"/>
      <c r="F7657" s="18"/>
    </row>
    <row r="7658" spans="5:6" ht="15" customHeight="1" x14ac:dyDescent="0.2">
      <c r="E7658" s="18"/>
      <c r="F7658" s="18"/>
    </row>
    <row r="7659" spans="5:6" ht="15" customHeight="1" x14ac:dyDescent="0.2">
      <c r="E7659" s="18"/>
      <c r="F7659" s="18"/>
    </row>
    <row r="7660" spans="5:6" ht="15" customHeight="1" x14ac:dyDescent="0.2">
      <c r="E7660" s="18"/>
      <c r="F7660" s="18"/>
    </row>
    <row r="7661" spans="5:6" ht="15" customHeight="1" x14ac:dyDescent="0.2">
      <c r="E7661" s="18"/>
      <c r="F7661" s="18"/>
    </row>
    <row r="7662" spans="5:6" ht="15" customHeight="1" x14ac:dyDescent="0.2">
      <c r="E7662" s="18"/>
      <c r="F7662" s="18"/>
    </row>
    <row r="7663" spans="5:6" ht="15" customHeight="1" x14ac:dyDescent="0.2">
      <c r="E7663" s="18"/>
      <c r="F7663" s="18"/>
    </row>
    <row r="7664" spans="5:6" ht="15" customHeight="1" x14ac:dyDescent="0.2">
      <c r="E7664" s="18"/>
      <c r="F7664" s="18"/>
    </row>
    <row r="7665" spans="5:6" ht="15" customHeight="1" x14ac:dyDescent="0.2">
      <c r="E7665" s="18"/>
      <c r="F7665" s="18"/>
    </row>
    <row r="7666" spans="5:6" ht="15" customHeight="1" x14ac:dyDescent="0.2">
      <c r="E7666" s="18"/>
      <c r="F7666" s="18"/>
    </row>
    <row r="7667" spans="5:6" ht="15" customHeight="1" x14ac:dyDescent="0.2">
      <c r="E7667" s="18"/>
      <c r="F7667" s="18"/>
    </row>
    <row r="7668" spans="5:6" ht="15" customHeight="1" x14ac:dyDescent="0.2">
      <c r="E7668" s="18"/>
      <c r="F7668" s="18"/>
    </row>
    <row r="7669" spans="5:6" ht="15" customHeight="1" x14ac:dyDescent="0.2">
      <c r="E7669" s="18"/>
      <c r="F7669" s="18"/>
    </row>
    <row r="7670" spans="5:6" ht="15" customHeight="1" x14ac:dyDescent="0.2">
      <c r="E7670" s="18"/>
      <c r="F7670" s="18"/>
    </row>
    <row r="7671" spans="5:6" ht="15" customHeight="1" x14ac:dyDescent="0.2">
      <c r="E7671" s="18"/>
      <c r="F7671" s="18"/>
    </row>
    <row r="7672" spans="5:6" ht="15" customHeight="1" x14ac:dyDescent="0.2">
      <c r="E7672" s="18"/>
      <c r="F7672" s="18"/>
    </row>
    <row r="7673" spans="5:6" ht="15" customHeight="1" x14ac:dyDescent="0.2">
      <c r="E7673" s="18"/>
      <c r="F7673" s="18"/>
    </row>
    <row r="7674" spans="5:6" ht="15" customHeight="1" x14ac:dyDescent="0.2">
      <c r="E7674" s="18"/>
      <c r="F7674" s="18"/>
    </row>
    <row r="7675" spans="5:6" ht="15" customHeight="1" x14ac:dyDescent="0.2">
      <c r="E7675" s="18"/>
      <c r="F7675" s="18"/>
    </row>
    <row r="7676" spans="5:6" ht="15" customHeight="1" x14ac:dyDescent="0.2">
      <c r="E7676" s="18"/>
      <c r="F7676" s="18"/>
    </row>
    <row r="7677" spans="5:6" ht="15" customHeight="1" x14ac:dyDescent="0.2">
      <c r="E7677" s="18"/>
      <c r="F7677" s="18"/>
    </row>
    <row r="7678" spans="5:6" ht="15" customHeight="1" x14ac:dyDescent="0.2">
      <c r="E7678" s="18"/>
      <c r="F7678" s="18"/>
    </row>
    <row r="7679" spans="5:6" ht="15" customHeight="1" x14ac:dyDescent="0.2">
      <c r="E7679" s="18"/>
      <c r="F7679" s="18"/>
    </row>
    <row r="7680" spans="5:6" ht="15" customHeight="1" x14ac:dyDescent="0.2">
      <c r="E7680" s="18"/>
      <c r="F7680" s="18"/>
    </row>
    <row r="7681" spans="5:6" ht="15" customHeight="1" x14ac:dyDescent="0.2">
      <c r="E7681" s="18"/>
      <c r="F7681" s="18"/>
    </row>
    <row r="7682" spans="5:6" ht="15" customHeight="1" x14ac:dyDescent="0.2">
      <c r="E7682" s="18"/>
      <c r="F7682" s="18"/>
    </row>
    <row r="7683" spans="5:6" ht="15" customHeight="1" x14ac:dyDescent="0.2">
      <c r="E7683" s="18"/>
      <c r="F7683" s="18"/>
    </row>
    <row r="7684" spans="5:6" ht="15" customHeight="1" x14ac:dyDescent="0.2">
      <c r="E7684" s="18"/>
      <c r="F7684" s="18"/>
    </row>
    <row r="7685" spans="5:6" ht="15" customHeight="1" x14ac:dyDescent="0.2">
      <c r="E7685" s="18"/>
      <c r="F7685" s="18"/>
    </row>
    <row r="7686" spans="5:6" ht="15" customHeight="1" x14ac:dyDescent="0.2">
      <c r="E7686" s="18"/>
      <c r="F7686" s="18"/>
    </row>
    <row r="7687" spans="5:6" ht="15" customHeight="1" x14ac:dyDescent="0.2">
      <c r="E7687" s="18"/>
      <c r="F7687" s="18"/>
    </row>
    <row r="7688" spans="5:6" ht="15" customHeight="1" x14ac:dyDescent="0.2">
      <c r="E7688" s="18"/>
      <c r="F7688" s="18"/>
    </row>
    <row r="7689" spans="5:6" ht="15" customHeight="1" x14ac:dyDescent="0.2">
      <c r="E7689" s="18"/>
      <c r="F7689" s="18"/>
    </row>
    <row r="7690" spans="5:6" ht="15" customHeight="1" x14ac:dyDescent="0.2">
      <c r="E7690" s="18"/>
      <c r="F7690" s="18"/>
    </row>
    <row r="7691" spans="5:6" ht="15" customHeight="1" x14ac:dyDescent="0.2">
      <c r="E7691" s="18"/>
      <c r="F7691" s="18"/>
    </row>
    <row r="7692" spans="5:6" ht="15" customHeight="1" x14ac:dyDescent="0.2">
      <c r="E7692" s="18"/>
      <c r="F7692" s="18"/>
    </row>
    <row r="7693" spans="5:6" ht="15" customHeight="1" x14ac:dyDescent="0.2">
      <c r="E7693" s="18"/>
      <c r="F7693" s="18"/>
    </row>
    <row r="7694" spans="5:6" ht="15" customHeight="1" x14ac:dyDescent="0.2">
      <c r="E7694" s="18"/>
      <c r="F7694" s="18"/>
    </row>
    <row r="7695" spans="5:6" ht="15" customHeight="1" x14ac:dyDescent="0.2">
      <c r="E7695" s="18"/>
      <c r="F7695" s="18"/>
    </row>
    <row r="7696" spans="5:6" ht="15" customHeight="1" x14ac:dyDescent="0.2">
      <c r="E7696" s="18"/>
      <c r="F7696" s="18"/>
    </row>
    <row r="7697" spans="5:6" ht="15" customHeight="1" x14ac:dyDescent="0.2">
      <c r="E7697" s="18"/>
      <c r="F7697" s="18"/>
    </row>
    <row r="7698" spans="5:6" ht="15" customHeight="1" x14ac:dyDescent="0.2">
      <c r="E7698" s="18"/>
      <c r="F7698" s="18"/>
    </row>
    <row r="7699" spans="5:6" ht="15" customHeight="1" x14ac:dyDescent="0.2">
      <c r="E7699" s="18"/>
      <c r="F7699" s="18"/>
    </row>
    <row r="7700" spans="5:6" ht="15" customHeight="1" x14ac:dyDescent="0.2">
      <c r="E7700" s="18"/>
      <c r="F7700" s="18"/>
    </row>
    <row r="7701" spans="5:6" ht="15" customHeight="1" x14ac:dyDescent="0.2">
      <c r="E7701" s="18"/>
      <c r="F7701" s="18"/>
    </row>
    <row r="7702" spans="5:6" ht="15" customHeight="1" x14ac:dyDescent="0.2">
      <c r="E7702" s="18"/>
      <c r="F7702" s="18"/>
    </row>
    <row r="7703" spans="5:6" ht="15" customHeight="1" x14ac:dyDescent="0.2">
      <c r="E7703" s="18"/>
      <c r="F7703" s="18"/>
    </row>
    <row r="7704" spans="5:6" ht="15" customHeight="1" x14ac:dyDescent="0.2">
      <c r="E7704" s="18"/>
      <c r="F7704" s="18"/>
    </row>
    <row r="7705" spans="5:6" ht="15" customHeight="1" x14ac:dyDescent="0.2">
      <c r="E7705" s="18"/>
      <c r="F7705" s="18"/>
    </row>
    <row r="7706" spans="5:6" ht="15" customHeight="1" x14ac:dyDescent="0.2">
      <c r="E7706" s="18"/>
      <c r="F7706" s="18"/>
    </row>
    <row r="7707" spans="5:6" ht="15" customHeight="1" x14ac:dyDescent="0.2">
      <c r="E7707" s="18"/>
      <c r="F7707" s="18"/>
    </row>
    <row r="7708" spans="5:6" ht="15" customHeight="1" x14ac:dyDescent="0.2">
      <c r="E7708" s="18"/>
      <c r="F7708" s="18"/>
    </row>
    <row r="7709" spans="5:6" ht="15" customHeight="1" x14ac:dyDescent="0.2">
      <c r="E7709" s="18"/>
      <c r="F7709" s="18"/>
    </row>
    <row r="7710" spans="5:6" ht="15" customHeight="1" x14ac:dyDescent="0.2">
      <c r="E7710" s="18"/>
      <c r="F7710" s="18"/>
    </row>
    <row r="7711" spans="5:6" ht="15" customHeight="1" x14ac:dyDescent="0.2">
      <c r="E7711" s="18"/>
      <c r="F7711" s="18"/>
    </row>
    <row r="7712" spans="5:6" ht="15" customHeight="1" x14ac:dyDescent="0.2">
      <c r="E7712" s="18"/>
      <c r="F7712" s="18"/>
    </row>
    <row r="7713" spans="5:6" ht="15" customHeight="1" x14ac:dyDescent="0.2">
      <c r="E7713" s="18"/>
      <c r="F7713" s="18"/>
    </row>
    <row r="7714" spans="5:6" ht="15" customHeight="1" x14ac:dyDescent="0.2">
      <c r="E7714" s="18"/>
      <c r="F7714" s="18"/>
    </row>
    <row r="7715" spans="5:6" ht="15" customHeight="1" x14ac:dyDescent="0.2">
      <c r="E7715" s="18"/>
      <c r="F7715" s="18"/>
    </row>
    <row r="7716" spans="5:6" ht="15" customHeight="1" x14ac:dyDescent="0.2">
      <c r="E7716" s="18"/>
      <c r="F7716" s="18"/>
    </row>
    <row r="7717" spans="5:6" ht="15" customHeight="1" x14ac:dyDescent="0.2">
      <c r="E7717" s="18"/>
      <c r="F7717" s="18"/>
    </row>
    <row r="7718" spans="5:6" ht="15" customHeight="1" x14ac:dyDescent="0.2">
      <c r="E7718" s="18"/>
      <c r="F7718" s="18"/>
    </row>
    <row r="7719" spans="5:6" ht="15" customHeight="1" x14ac:dyDescent="0.2">
      <c r="E7719" s="18"/>
      <c r="F7719" s="18"/>
    </row>
    <row r="7720" spans="5:6" ht="15" customHeight="1" x14ac:dyDescent="0.2">
      <c r="E7720" s="18"/>
      <c r="F7720" s="18"/>
    </row>
    <row r="7721" spans="5:6" ht="15" customHeight="1" x14ac:dyDescent="0.2">
      <c r="E7721" s="18"/>
      <c r="F7721" s="18"/>
    </row>
    <row r="7722" spans="5:6" ht="15" customHeight="1" x14ac:dyDescent="0.2">
      <c r="E7722" s="18"/>
      <c r="F7722" s="18"/>
    </row>
    <row r="7723" spans="5:6" ht="15" customHeight="1" x14ac:dyDescent="0.2">
      <c r="E7723" s="18"/>
      <c r="F7723" s="18"/>
    </row>
    <row r="7724" spans="5:6" ht="15" customHeight="1" x14ac:dyDescent="0.2">
      <c r="E7724" s="18"/>
      <c r="F7724" s="18"/>
    </row>
    <row r="7725" spans="5:6" ht="15" customHeight="1" x14ac:dyDescent="0.2">
      <c r="E7725" s="18"/>
      <c r="F7725" s="18"/>
    </row>
    <row r="7726" spans="5:6" ht="15" customHeight="1" x14ac:dyDescent="0.2">
      <c r="E7726" s="18"/>
      <c r="F7726" s="18"/>
    </row>
    <row r="7727" spans="5:6" ht="15" customHeight="1" x14ac:dyDescent="0.2">
      <c r="E7727" s="18"/>
      <c r="F7727" s="18"/>
    </row>
    <row r="7728" spans="5:6" ht="15" customHeight="1" x14ac:dyDescent="0.2">
      <c r="E7728" s="18"/>
      <c r="F7728" s="18"/>
    </row>
    <row r="7729" spans="5:6" ht="15" customHeight="1" x14ac:dyDescent="0.2">
      <c r="E7729" s="18"/>
      <c r="F7729" s="18"/>
    </row>
    <row r="7730" spans="5:6" ht="15" customHeight="1" x14ac:dyDescent="0.2">
      <c r="E7730" s="18"/>
      <c r="F7730" s="18"/>
    </row>
    <row r="7731" spans="5:6" ht="15" customHeight="1" x14ac:dyDescent="0.2">
      <c r="E7731" s="18"/>
      <c r="F7731" s="18"/>
    </row>
    <row r="7732" spans="5:6" ht="15" customHeight="1" x14ac:dyDescent="0.2">
      <c r="E7732" s="18"/>
      <c r="F7732" s="18"/>
    </row>
    <row r="7733" spans="5:6" ht="15" customHeight="1" x14ac:dyDescent="0.2">
      <c r="E7733" s="18"/>
      <c r="F7733" s="18"/>
    </row>
    <row r="7734" spans="5:6" ht="15" customHeight="1" x14ac:dyDescent="0.2">
      <c r="E7734" s="18"/>
      <c r="F7734" s="18"/>
    </row>
    <row r="7735" spans="5:6" ht="15" customHeight="1" x14ac:dyDescent="0.2">
      <c r="E7735" s="18"/>
      <c r="F7735" s="18"/>
    </row>
    <row r="7736" spans="5:6" ht="15" customHeight="1" x14ac:dyDescent="0.2">
      <c r="E7736" s="18"/>
      <c r="F7736" s="18"/>
    </row>
    <row r="7737" spans="5:6" ht="15" customHeight="1" x14ac:dyDescent="0.2">
      <c r="E7737" s="18"/>
      <c r="F7737" s="18"/>
    </row>
    <row r="7738" spans="5:6" ht="15" customHeight="1" x14ac:dyDescent="0.2">
      <c r="E7738" s="18"/>
      <c r="F7738" s="18"/>
    </row>
    <row r="7739" spans="5:6" ht="15" customHeight="1" x14ac:dyDescent="0.2">
      <c r="E7739" s="18"/>
      <c r="F7739" s="18"/>
    </row>
    <row r="7740" spans="5:6" ht="15" customHeight="1" x14ac:dyDescent="0.2">
      <c r="E7740" s="18"/>
      <c r="F7740" s="18"/>
    </row>
    <row r="7741" spans="5:6" ht="15" customHeight="1" x14ac:dyDescent="0.2">
      <c r="E7741" s="18"/>
      <c r="F7741" s="18"/>
    </row>
    <row r="7742" spans="5:6" ht="15" customHeight="1" x14ac:dyDescent="0.2">
      <c r="E7742" s="18"/>
      <c r="F7742" s="18"/>
    </row>
    <row r="7743" spans="5:6" ht="15" customHeight="1" x14ac:dyDescent="0.2">
      <c r="E7743" s="18"/>
      <c r="F7743" s="18"/>
    </row>
    <row r="7744" spans="5:6" ht="15" customHeight="1" x14ac:dyDescent="0.2">
      <c r="E7744" s="18"/>
      <c r="F7744" s="18"/>
    </row>
    <row r="7745" spans="5:6" ht="15" customHeight="1" x14ac:dyDescent="0.2">
      <c r="E7745" s="18"/>
      <c r="F7745" s="18"/>
    </row>
    <row r="7746" spans="5:6" ht="15" customHeight="1" x14ac:dyDescent="0.2">
      <c r="E7746" s="18"/>
      <c r="F7746" s="18"/>
    </row>
    <row r="7747" spans="5:6" ht="15" customHeight="1" x14ac:dyDescent="0.2">
      <c r="E7747" s="18"/>
      <c r="F7747" s="18"/>
    </row>
    <row r="7748" spans="5:6" ht="15" customHeight="1" x14ac:dyDescent="0.2">
      <c r="E7748" s="18"/>
      <c r="F7748" s="18"/>
    </row>
    <row r="7749" spans="5:6" ht="15" customHeight="1" x14ac:dyDescent="0.2">
      <c r="E7749" s="18"/>
      <c r="F7749" s="18"/>
    </row>
    <row r="7750" spans="5:6" ht="15" customHeight="1" x14ac:dyDescent="0.2">
      <c r="E7750" s="18"/>
      <c r="F7750" s="18"/>
    </row>
    <row r="7751" spans="5:6" ht="15" customHeight="1" x14ac:dyDescent="0.2">
      <c r="E7751" s="18"/>
      <c r="F7751" s="18"/>
    </row>
    <row r="7752" spans="5:6" ht="15" customHeight="1" x14ac:dyDescent="0.2">
      <c r="E7752" s="18"/>
      <c r="F7752" s="18"/>
    </row>
    <row r="7753" spans="5:6" ht="15" customHeight="1" x14ac:dyDescent="0.2">
      <c r="E7753" s="18"/>
      <c r="F7753" s="18"/>
    </row>
    <row r="7754" spans="5:6" ht="15" customHeight="1" x14ac:dyDescent="0.2">
      <c r="E7754" s="18"/>
      <c r="F7754" s="18"/>
    </row>
    <row r="7755" spans="5:6" ht="15" customHeight="1" x14ac:dyDescent="0.2">
      <c r="E7755" s="18"/>
      <c r="F7755" s="18"/>
    </row>
    <row r="7756" spans="5:6" ht="15" customHeight="1" x14ac:dyDescent="0.2">
      <c r="E7756" s="18"/>
      <c r="F7756" s="18"/>
    </row>
    <row r="7757" spans="5:6" ht="15" customHeight="1" x14ac:dyDescent="0.2">
      <c r="E7757" s="18"/>
      <c r="F7757" s="18"/>
    </row>
    <row r="7758" spans="5:6" ht="15" customHeight="1" x14ac:dyDescent="0.2">
      <c r="E7758" s="18"/>
      <c r="F7758" s="18"/>
    </row>
    <row r="7759" spans="5:6" ht="15" customHeight="1" x14ac:dyDescent="0.2">
      <c r="E7759" s="18"/>
      <c r="F7759" s="18"/>
    </row>
    <row r="7760" spans="5:6" ht="15" customHeight="1" x14ac:dyDescent="0.2">
      <c r="E7760" s="18"/>
      <c r="F7760" s="18"/>
    </row>
    <row r="7761" spans="5:6" ht="15" customHeight="1" x14ac:dyDescent="0.2">
      <c r="E7761" s="18"/>
      <c r="F7761" s="18"/>
    </row>
    <row r="7762" spans="5:6" ht="15" customHeight="1" x14ac:dyDescent="0.2">
      <c r="E7762" s="18"/>
      <c r="F7762" s="18"/>
    </row>
    <row r="7763" spans="5:6" ht="15" customHeight="1" x14ac:dyDescent="0.2">
      <c r="E7763" s="18"/>
      <c r="F7763" s="18"/>
    </row>
    <row r="7764" spans="5:6" ht="15" customHeight="1" x14ac:dyDescent="0.2">
      <c r="E7764" s="18"/>
      <c r="F7764" s="18"/>
    </row>
    <row r="7765" spans="5:6" ht="15" customHeight="1" x14ac:dyDescent="0.2">
      <c r="E7765" s="18"/>
      <c r="F7765" s="18"/>
    </row>
    <row r="7766" spans="5:6" ht="15" customHeight="1" x14ac:dyDescent="0.2">
      <c r="E7766" s="18"/>
      <c r="F7766" s="18"/>
    </row>
    <row r="7767" spans="5:6" ht="15" customHeight="1" x14ac:dyDescent="0.2">
      <c r="E7767" s="18"/>
      <c r="F7767" s="18"/>
    </row>
    <row r="7768" spans="5:6" ht="15" customHeight="1" x14ac:dyDescent="0.2">
      <c r="E7768" s="18"/>
      <c r="F7768" s="18"/>
    </row>
    <row r="7769" spans="5:6" ht="15" customHeight="1" x14ac:dyDescent="0.2">
      <c r="E7769" s="18"/>
      <c r="F7769" s="18"/>
    </row>
    <row r="7770" spans="5:6" ht="15" customHeight="1" x14ac:dyDescent="0.2">
      <c r="E7770" s="18"/>
      <c r="F7770" s="18"/>
    </row>
    <row r="7771" spans="5:6" ht="15" customHeight="1" x14ac:dyDescent="0.2">
      <c r="E7771" s="18"/>
      <c r="F7771" s="18"/>
    </row>
    <row r="7772" spans="5:6" ht="15" customHeight="1" x14ac:dyDescent="0.2">
      <c r="E7772" s="18"/>
      <c r="F7772" s="18"/>
    </row>
    <row r="7773" spans="5:6" ht="15" customHeight="1" x14ac:dyDescent="0.2">
      <c r="E7773" s="18"/>
      <c r="F7773" s="18"/>
    </row>
    <row r="7774" spans="5:6" ht="15" customHeight="1" x14ac:dyDescent="0.2">
      <c r="E7774" s="18"/>
      <c r="F7774" s="18"/>
    </row>
    <row r="7775" spans="5:6" ht="15" customHeight="1" x14ac:dyDescent="0.2">
      <c r="E7775" s="18"/>
      <c r="F7775" s="18"/>
    </row>
    <row r="7776" spans="5:6" ht="15" customHeight="1" x14ac:dyDescent="0.2">
      <c r="E7776" s="18"/>
      <c r="F7776" s="18"/>
    </row>
    <row r="7777" spans="5:6" ht="15" customHeight="1" x14ac:dyDescent="0.2">
      <c r="E7777" s="18"/>
      <c r="F7777" s="18"/>
    </row>
    <row r="7778" spans="5:6" ht="15" customHeight="1" x14ac:dyDescent="0.2">
      <c r="E7778" s="18"/>
      <c r="F7778" s="18"/>
    </row>
    <row r="7779" spans="5:6" ht="15" customHeight="1" x14ac:dyDescent="0.2">
      <c r="E7779" s="18"/>
      <c r="F7779" s="18"/>
    </row>
    <row r="7780" spans="5:6" ht="15" customHeight="1" x14ac:dyDescent="0.2">
      <c r="E7780" s="18"/>
      <c r="F7780" s="18"/>
    </row>
    <row r="7781" spans="5:6" ht="15" customHeight="1" x14ac:dyDescent="0.2">
      <c r="E7781" s="18"/>
      <c r="F7781" s="18"/>
    </row>
    <row r="7782" spans="5:6" ht="15" customHeight="1" x14ac:dyDescent="0.2">
      <c r="E7782" s="18"/>
      <c r="F7782" s="18"/>
    </row>
    <row r="7783" spans="5:6" ht="15" customHeight="1" x14ac:dyDescent="0.2">
      <c r="E7783" s="18"/>
      <c r="F7783" s="18"/>
    </row>
    <row r="7784" spans="5:6" ht="15" customHeight="1" x14ac:dyDescent="0.2">
      <c r="E7784" s="18"/>
      <c r="F7784" s="18"/>
    </row>
    <row r="7785" spans="5:6" ht="15" customHeight="1" x14ac:dyDescent="0.2">
      <c r="E7785" s="18"/>
      <c r="F7785" s="18"/>
    </row>
    <row r="7786" spans="5:6" ht="15" customHeight="1" x14ac:dyDescent="0.2">
      <c r="E7786" s="18"/>
      <c r="F7786" s="18"/>
    </row>
    <row r="7787" spans="5:6" ht="15" customHeight="1" x14ac:dyDescent="0.2">
      <c r="E7787" s="18"/>
      <c r="F7787" s="18"/>
    </row>
    <row r="7788" spans="5:6" ht="15" customHeight="1" x14ac:dyDescent="0.2">
      <c r="E7788" s="18"/>
      <c r="F7788" s="18"/>
    </row>
    <row r="7789" spans="5:6" ht="15" customHeight="1" x14ac:dyDescent="0.2">
      <c r="E7789" s="18"/>
      <c r="F7789" s="18"/>
    </row>
    <row r="7790" spans="5:6" ht="15" customHeight="1" x14ac:dyDescent="0.2">
      <c r="E7790" s="18"/>
      <c r="F7790" s="18"/>
    </row>
    <row r="7791" spans="5:6" ht="15" customHeight="1" x14ac:dyDescent="0.2">
      <c r="E7791" s="18"/>
      <c r="F7791" s="18"/>
    </row>
    <row r="7792" spans="5:6" ht="15" customHeight="1" x14ac:dyDescent="0.2">
      <c r="E7792" s="18"/>
      <c r="F7792" s="18"/>
    </row>
    <row r="7793" spans="5:6" ht="15" customHeight="1" x14ac:dyDescent="0.2">
      <c r="E7793" s="18"/>
      <c r="F7793" s="18"/>
    </row>
    <row r="7794" spans="5:6" ht="15" customHeight="1" x14ac:dyDescent="0.2">
      <c r="E7794" s="18"/>
      <c r="F7794" s="18"/>
    </row>
    <row r="7795" spans="5:6" ht="15" customHeight="1" x14ac:dyDescent="0.2">
      <c r="E7795" s="18"/>
      <c r="F7795" s="18"/>
    </row>
    <row r="7796" spans="5:6" ht="15" customHeight="1" x14ac:dyDescent="0.2">
      <c r="E7796" s="18"/>
      <c r="F7796" s="18"/>
    </row>
    <row r="7797" spans="5:6" ht="15" customHeight="1" x14ac:dyDescent="0.2">
      <c r="E7797" s="18"/>
      <c r="F7797" s="18"/>
    </row>
    <row r="7798" spans="5:6" ht="15" customHeight="1" x14ac:dyDescent="0.2">
      <c r="E7798" s="18"/>
      <c r="F7798" s="18"/>
    </row>
    <row r="7799" spans="5:6" ht="15" customHeight="1" x14ac:dyDescent="0.2">
      <c r="E7799" s="18"/>
      <c r="F7799" s="18"/>
    </row>
    <row r="7800" spans="5:6" ht="15" customHeight="1" x14ac:dyDescent="0.2">
      <c r="E7800" s="18"/>
      <c r="F7800" s="18"/>
    </row>
    <row r="7801" spans="5:6" ht="15" customHeight="1" x14ac:dyDescent="0.2">
      <c r="E7801" s="18"/>
      <c r="F7801" s="18"/>
    </row>
    <row r="7802" spans="5:6" ht="15" customHeight="1" x14ac:dyDescent="0.2">
      <c r="E7802" s="18"/>
      <c r="F7802" s="18"/>
    </row>
    <row r="7803" spans="5:6" ht="15" customHeight="1" x14ac:dyDescent="0.2">
      <c r="E7803" s="18"/>
      <c r="F7803" s="18"/>
    </row>
    <row r="7804" spans="5:6" ht="15" customHeight="1" x14ac:dyDescent="0.2">
      <c r="E7804" s="18"/>
      <c r="F7804" s="18"/>
    </row>
    <row r="7805" spans="5:6" ht="15" customHeight="1" x14ac:dyDescent="0.2">
      <c r="E7805" s="18"/>
      <c r="F7805" s="18"/>
    </row>
    <row r="7806" spans="5:6" ht="15" customHeight="1" x14ac:dyDescent="0.2">
      <c r="E7806" s="18"/>
      <c r="F7806" s="18"/>
    </row>
    <row r="7807" spans="5:6" ht="15" customHeight="1" x14ac:dyDescent="0.2">
      <c r="E7807" s="18"/>
      <c r="F7807" s="18"/>
    </row>
    <row r="7808" spans="5:6" ht="15" customHeight="1" x14ac:dyDescent="0.2">
      <c r="E7808" s="18"/>
      <c r="F7808" s="18"/>
    </row>
    <row r="7809" spans="5:6" ht="15" customHeight="1" x14ac:dyDescent="0.2">
      <c r="E7809" s="18"/>
      <c r="F7809" s="18"/>
    </row>
    <row r="7810" spans="5:6" ht="15" customHeight="1" x14ac:dyDescent="0.2">
      <c r="E7810" s="18"/>
      <c r="F7810" s="18"/>
    </row>
    <row r="7811" spans="5:6" ht="15" customHeight="1" x14ac:dyDescent="0.2">
      <c r="E7811" s="18"/>
      <c r="F7811" s="18"/>
    </row>
    <row r="7812" spans="5:6" ht="15" customHeight="1" x14ac:dyDescent="0.2">
      <c r="E7812" s="18"/>
      <c r="F7812" s="18"/>
    </row>
    <row r="7813" spans="5:6" ht="15" customHeight="1" x14ac:dyDescent="0.2">
      <c r="E7813" s="18"/>
      <c r="F7813" s="18"/>
    </row>
    <row r="7814" spans="5:6" ht="15" customHeight="1" x14ac:dyDescent="0.2">
      <c r="E7814" s="18"/>
      <c r="F7814" s="18"/>
    </row>
    <row r="7815" spans="5:6" ht="15" customHeight="1" x14ac:dyDescent="0.2">
      <c r="E7815" s="18"/>
      <c r="F7815" s="18"/>
    </row>
    <row r="7816" spans="5:6" ht="15" customHeight="1" x14ac:dyDescent="0.2">
      <c r="E7816" s="18"/>
      <c r="F7816" s="18"/>
    </row>
    <row r="7817" spans="5:6" ht="15" customHeight="1" x14ac:dyDescent="0.2">
      <c r="E7817" s="18"/>
      <c r="F7817" s="18"/>
    </row>
    <row r="7818" spans="5:6" ht="15" customHeight="1" x14ac:dyDescent="0.2">
      <c r="E7818" s="18"/>
      <c r="F7818" s="18"/>
    </row>
    <row r="7819" spans="5:6" ht="15" customHeight="1" x14ac:dyDescent="0.2">
      <c r="E7819" s="18"/>
      <c r="F7819" s="18"/>
    </row>
    <row r="7820" spans="5:6" ht="15" customHeight="1" x14ac:dyDescent="0.2">
      <c r="E7820" s="18"/>
      <c r="F7820" s="18"/>
    </row>
    <row r="7821" spans="5:6" ht="15" customHeight="1" x14ac:dyDescent="0.2">
      <c r="E7821" s="18"/>
      <c r="F7821" s="18"/>
    </row>
    <row r="7822" spans="5:6" ht="15" customHeight="1" x14ac:dyDescent="0.2">
      <c r="E7822" s="18"/>
      <c r="F7822" s="18"/>
    </row>
    <row r="7823" spans="5:6" ht="15" customHeight="1" x14ac:dyDescent="0.2">
      <c r="E7823" s="18"/>
      <c r="F7823" s="18"/>
    </row>
    <row r="7824" spans="5:6" ht="15" customHeight="1" x14ac:dyDescent="0.2">
      <c r="E7824" s="18"/>
      <c r="F7824" s="18"/>
    </row>
    <row r="7825" spans="5:6" ht="15" customHeight="1" x14ac:dyDescent="0.2">
      <c r="E7825" s="18"/>
      <c r="F7825" s="18"/>
    </row>
    <row r="7826" spans="5:6" ht="15" customHeight="1" x14ac:dyDescent="0.2">
      <c r="E7826" s="18"/>
      <c r="F7826" s="18"/>
    </row>
    <row r="7827" spans="5:6" ht="15" customHeight="1" x14ac:dyDescent="0.2">
      <c r="E7827" s="18"/>
      <c r="F7827" s="18"/>
    </row>
    <row r="7828" spans="5:6" ht="15" customHeight="1" x14ac:dyDescent="0.2">
      <c r="E7828" s="18"/>
      <c r="F7828" s="18"/>
    </row>
    <row r="7829" spans="5:6" ht="15" customHeight="1" x14ac:dyDescent="0.2">
      <c r="E7829" s="18"/>
      <c r="F7829" s="18"/>
    </row>
    <row r="7830" spans="5:6" ht="15" customHeight="1" x14ac:dyDescent="0.2">
      <c r="E7830" s="18"/>
      <c r="F7830" s="18"/>
    </row>
    <row r="7831" spans="5:6" ht="15" customHeight="1" x14ac:dyDescent="0.2">
      <c r="E7831" s="18"/>
      <c r="F7831" s="18"/>
    </row>
    <row r="7832" spans="5:6" ht="15" customHeight="1" x14ac:dyDescent="0.2">
      <c r="E7832" s="18"/>
      <c r="F7832" s="18"/>
    </row>
    <row r="7833" spans="5:6" ht="15" customHeight="1" x14ac:dyDescent="0.2">
      <c r="E7833" s="18"/>
      <c r="F7833" s="18"/>
    </row>
    <row r="7834" spans="5:6" ht="15" customHeight="1" x14ac:dyDescent="0.2">
      <c r="E7834" s="18"/>
      <c r="F7834" s="18"/>
    </row>
    <row r="7835" spans="5:6" ht="15" customHeight="1" x14ac:dyDescent="0.2">
      <c r="E7835" s="18"/>
      <c r="F7835" s="18"/>
    </row>
    <row r="7836" spans="5:6" ht="15" customHeight="1" x14ac:dyDescent="0.2">
      <c r="E7836" s="18"/>
      <c r="F7836" s="18"/>
    </row>
    <row r="7837" spans="5:6" ht="15" customHeight="1" x14ac:dyDescent="0.2">
      <c r="E7837" s="18"/>
      <c r="F7837" s="18"/>
    </row>
    <row r="7838" spans="5:6" ht="15" customHeight="1" x14ac:dyDescent="0.2">
      <c r="E7838" s="18"/>
      <c r="F7838" s="18"/>
    </row>
    <row r="7839" spans="5:6" ht="15" customHeight="1" x14ac:dyDescent="0.2">
      <c r="E7839" s="18"/>
      <c r="F7839" s="18"/>
    </row>
    <row r="7840" spans="5:6" ht="15" customHeight="1" x14ac:dyDescent="0.2">
      <c r="E7840" s="18"/>
      <c r="F7840" s="18"/>
    </row>
    <row r="7841" spans="5:6" ht="15" customHeight="1" x14ac:dyDescent="0.2">
      <c r="E7841" s="18"/>
      <c r="F7841" s="18"/>
    </row>
    <row r="7842" spans="5:6" ht="15" customHeight="1" x14ac:dyDescent="0.2">
      <c r="E7842" s="18"/>
      <c r="F7842" s="18"/>
    </row>
    <row r="7843" spans="5:6" ht="15" customHeight="1" x14ac:dyDescent="0.2">
      <c r="E7843" s="18"/>
      <c r="F7843" s="18"/>
    </row>
    <row r="7844" spans="5:6" ht="15" customHeight="1" x14ac:dyDescent="0.2">
      <c r="E7844" s="18"/>
      <c r="F7844" s="18"/>
    </row>
    <row r="7845" spans="5:6" ht="15" customHeight="1" x14ac:dyDescent="0.2">
      <c r="E7845" s="18"/>
      <c r="F7845" s="18"/>
    </row>
    <row r="7846" spans="5:6" ht="15" customHeight="1" x14ac:dyDescent="0.2">
      <c r="E7846" s="18"/>
      <c r="F7846" s="18"/>
    </row>
    <row r="7847" spans="5:6" ht="15" customHeight="1" x14ac:dyDescent="0.2">
      <c r="E7847" s="18"/>
      <c r="F7847" s="18"/>
    </row>
    <row r="7848" spans="5:6" ht="15" customHeight="1" x14ac:dyDescent="0.2">
      <c r="E7848" s="18"/>
      <c r="F7848" s="18"/>
    </row>
    <row r="7849" spans="5:6" ht="15" customHeight="1" x14ac:dyDescent="0.2">
      <c r="E7849" s="18"/>
      <c r="F7849" s="18"/>
    </row>
    <row r="7850" spans="5:6" ht="15" customHeight="1" x14ac:dyDescent="0.2">
      <c r="E7850" s="18"/>
      <c r="F7850" s="18"/>
    </row>
    <row r="7851" spans="5:6" ht="15" customHeight="1" x14ac:dyDescent="0.2">
      <c r="E7851" s="18"/>
      <c r="F7851" s="18"/>
    </row>
    <row r="7852" spans="5:6" ht="15" customHeight="1" x14ac:dyDescent="0.2">
      <c r="E7852" s="18"/>
      <c r="F7852" s="18"/>
    </row>
    <row r="7853" spans="5:6" ht="15" customHeight="1" x14ac:dyDescent="0.2">
      <c r="E7853" s="18"/>
      <c r="F7853" s="18"/>
    </row>
    <row r="7854" spans="5:6" ht="15" customHeight="1" x14ac:dyDescent="0.2">
      <c r="E7854" s="18"/>
      <c r="F7854" s="18"/>
    </row>
    <row r="7855" spans="5:6" ht="15" customHeight="1" x14ac:dyDescent="0.2">
      <c r="E7855" s="18"/>
      <c r="F7855" s="18"/>
    </row>
    <row r="7856" spans="5:6" ht="15" customHeight="1" x14ac:dyDescent="0.2">
      <c r="E7856" s="18"/>
      <c r="F7856" s="18"/>
    </row>
    <row r="7857" spans="5:6" ht="15" customHeight="1" x14ac:dyDescent="0.2">
      <c r="E7857" s="18"/>
      <c r="F7857" s="18"/>
    </row>
    <row r="7858" spans="5:6" ht="15" customHeight="1" x14ac:dyDescent="0.2">
      <c r="E7858" s="18"/>
      <c r="F7858" s="18"/>
    </row>
    <row r="7859" spans="5:6" ht="15" customHeight="1" x14ac:dyDescent="0.2">
      <c r="E7859" s="18"/>
      <c r="F7859" s="18"/>
    </row>
    <row r="7860" spans="5:6" ht="15" customHeight="1" x14ac:dyDescent="0.2">
      <c r="E7860" s="18"/>
      <c r="F7860" s="18"/>
    </row>
    <row r="7861" spans="5:6" ht="15" customHeight="1" x14ac:dyDescent="0.2">
      <c r="E7861" s="18"/>
      <c r="F7861" s="18"/>
    </row>
    <row r="7862" spans="5:6" ht="15" customHeight="1" x14ac:dyDescent="0.2">
      <c r="E7862" s="18"/>
      <c r="F7862" s="18"/>
    </row>
    <row r="7863" spans="5:6" ht="15" customHeight="1" x14ac:dyDescent="0.2">
      <c r="E7863" s="18"/>
      <c r="F7863" s="18"/>
    </row>
    <row r="7864" spans="5:6" ht="15" customHeight="1" x14ac:dyDescent="0.2">
      <c r="E7864" s="18"/>
      <c r="F7864" s="18"/>
    </row>
    <row r="7865" spans="5:6" ht="15" customHeight="1" x14ac:dyDescent="0.2">
      <c r="E7865" s="18"/>
      <c r="F7865" s="18"/>
    </row>
    <row r="7866" spans="5:6" ht="15" customHeight="1" x14ac:dyDescent="0.2">
      <c r="E7866" s="18"/>
      <c r="F7866" s="18"/>
    </row>
    <row r="7867" spans="5:6" ht="15" customHeight="1" x14ac:dyDescent="0.2">
      <c r="E7867" s="18"/>
      <c r="F7867" s="18"/>
    </row>
    <row r="7868" spans="5:6" ht="15" customHeight="1" x14ac:dyDescent="0.2">
      <c r="E7868" s="18"/>
      <c r="F7868" s="18"/>
    </row>
    <row r="7869" spans="5:6" ht="15" customHeight="1" x14ac:dyDescent="0.2">
      <c r="E7869" s="18"/>
      <c r="F7869" s="18"/>
    </row>
    <row r="7870" spans="5:6" ht="15" customHeight="1" x14ac:dyDescent="0.2">
      <c r="E7870" s="18"/>
      <c r="F7870" s="18"/>
    </row>
    <row r="7871" spans="5:6" ht="15" customHeight="1" x14ac:dyDescent="0.2">
      <c r="E7871" s="18"/>
      <c r="F7871" s="18"/>
    </row>
    <row r="7872" spans="5:6" ht="15" customHeight="1" x14ac:dyDescent="0.2">
      <c r="E7872" s="18"/>
      <c r="F7872" s="18"/>
    </row>
    <row r="7873" spans="5:6" ht="15" customHeight="1" x14ac:dyDescent="0.2">
      <c r="E7873" s="18"/>
      <c r="F7873" s="18"/>
    </row>
    <row r="7874" spans="5:6" ht="15" customHeight="1" x14ac:dyDescent="0.2">
      <c r="E7874" s="18"/>
      <c r="F7874" s="18"/>
    </row>
    <row r="7875" spans="5:6" ht="15" customHeight="1" x14ac:dyDescent="0.2">
      <c r="E7875" s="18"/>
      <c r="F7875" s="18"/>
    </row>
    <row r="7876" spans="5:6" ht="15" customHeight="1" x14ac:dyDescent="0.2">
      <c r="E7876" s="18"/>
      <c r="F7876" s="18"/>
    </row>
    <row r="7877" spans="5:6" ht="15" customHeight="1" x14ac:dyDescent="0.2">
      <c r="E7877" s="18"/>
      <c r="F7877" s="18"/>
    </row>
    <row r="7878" spans="5:6" ht="15" customHeight="1" x14ac:dyDescent="0.2">
      <c r="E7878" s="18"/>
      <c r="F7878" s="18"/>
    </row>
    <row r="7879" spans="5:6" ht="15" customHeight="1" x14ac:dyDescent="0.2">
      <c r="E7879" s="18"/>
      <c r="F7879" s="18"/>
    </row>
    <row r="7880" spans="5:6" ht="15" customHeight="1" x14ac:dyDescent="0.2">
      <c r="E7880" s="18"/>
      <c r="F7880" s="18"/>
    </row>
    <row r="7881" spans="5:6" ht="15" customHeight="1" x14ac:dyDescent="0.2">
      <c r="E7881" s="18"/>
      <c r="F7881" s="18"/>
    </row>
    <row r="7882" spans="5:6" ht="15" customHeight="1" x14ac:dyDescent="0.2">
      <c r="E7882" s="18"/>
      <c r="F7882" s="18"/>
    </row>
    <row r="7883" spans="5:6" ht="15" customHeight="1" x14ac:dyDescent="0.2">
      <c r="E7883" s="18"/>
      <c r="F7883" s="18"/>
    </row>
    <row r="7884" spans="5:6" ht="15" customHeight="1" x14ac:dyDescent="0.2">
      <c r="E7884" s="18"/>
      <c r="F7884" s="18"/>
    </row>
    <row r="7885" spans="5:6" ht="15" customHeight="1" x14ac:dyDescent="0.2">
      <c r="E7885" s="18"/>
      <c r="F7885" s="18"/>
    </row>
    <row r="7886" spans="5:6" ht="15" customHeight="1" x14ac:dyDescent="0.2">
      <c r="E7886" s="18"/>
      <c r="F7886" s="18"/>
    </row>
    <row r="7887" spans="5:6" ht="15" customHeight="1" x14ac:dyDescent="0.2">
      <c r="E7887" s="18"/>
      <c r="F7887" s="18"/>
    </row>
    <row r="7888" spans="5:6" ht="15" customHeight="1" x14ac:dyDescent="0.2">
      <c r="E7888" s="18"/>
      <c r="F7888" s="18"/>
    </row>
    <row r="7889" spans="5:6" ht="15" customHeight="1" x14ac:dyDescent="0.2">
      <c r="E7889" s="18"/>
      <c r="F7889" s="18"/>
    </row>
    <row r="7890" spans="5:6" ht="15" customHeight="1" x14ac:dyDescent="0.2">
      <c r="E7890" s="18"/>
      <c r="F7890" s="18"/>
    </row>
    <row r="7891" spans="5:6" ht="15" customHeight="1" x14ac:dyDescent="0.2">
      <c r="E7891" s="18"/>
      <c r="F7891" s="18"/>
    </row>
    <row r="7892" spans="5:6" ht="15" customHeight="1" x14ac:dyDescent="0.2">
      <c r="E7892" s="18"/>
      <c r="F7892" s="18"/>
    </row>
    <row r="7893" spans="5:6" ht="15" customHeight="1" x14ac:dyDescent="0.2">
      <c r="E7893" s="18"/>
      <c r="F7893" s="18"/>
    </row>
    <row r="7894" spans="5:6" ht="15" customHeight="1" x14ac:dyDescent="0.2">
      <c r="E7894" s="18"/>
      <c r="F7894" s="18"/>
    </row>
    <row r="7895" spans="5:6" ht="15" customHeight="1" x14ac:dyDescent="0.2">
      <c r="E7895" s="18"/>
      <c r="F7895" s="18"/>
    </row>
    <row r="7896" spans="5:6" ht="15" customHeight="1" x14ac:dyDescent="0.2">
      <c r="E7896" s="18"/>
      <c r="F7896" s="18"/>
    </row>
    <row r="7897" spans="5:6" ht="15" customHeight="1" x14ac:dyDescent="0.2">
      <c r="E7897" s="18"/>
      <c r="F7897" s="18"/>
    </row>
    <row r="7898" spans="5:6" ht="15" customHeight="1" x14ac:dyDescent="0.2">
      <c r="E7898" s="18"/>
      <c r="F7898" s="18"/>
    </row>
    <row r="7899" spans="5:6" ht="15" customHeight="1" x14ac:dyDescent="0.2">
      <c r="E7899" s="18"/>
      <c r="F7899" s="18"/>
    </row>
    <row r="7900" spans="5:6" ht="15" customHeight="1" x14ac:dyDescent="0.2">
      <c r="E7900" s="18"/>
      <c r="F7900" s="18"/>
    </row>
    <row r="7901" spans="5:6" ht="15" customHeight="1" x14ac:dyDescent="0.2">
      <c r="E7901" s="18"/>
      <c r="F7901" s="18"/>
    </row>
    <row r="7902" spans="5:6" ht="15" customHeight="1" x14ac:dyDescent="0.2">
      <c r="E7902" s="18"/>
      <c r="F7902" s="18"/>
    </row>
    <row r="7903" spans="5:6" ht="15" customHeight="1" x14ac:dyDescent="0.2">
      <c r="E7903" s="18"/>
      <c r="F7903" s="18"/>
    </row>
    <row r="7904" spans="5:6" ht="15" customHeight="1" x14ac:dyDescent="0.2">
      <c r="E7904" s="18"/>
      <c r="F7904" s="18"/>
    </row>
    <row r="7905" spans="5:6" ht="15" customHeight="1" x14ac:dyDescent="0.2">
      <c r="E7905" s="18"/>
      <c r="F7905" s="18"/>
    </row>
    <row r="7906" spans="5:6" ht="15" customHeight="1" x14ac:dyDescent="0.2">
      <c r="E7906" s="18"/>
      <c r="F7906" s="18"/>
    </row>
    <row r="7907" spans="5:6" ht="15" customHeight="1" x14ac:dyDescent="0.2">
      <c r="E7907" s="18"/>
      <c r="F7907" s="18"/>
    </row>
    <row r="7908" spans="5:6" ht="15" customHeight="1" x14ac:dyDescent="0.2">
      <c r="E7908" s="18"/>
      <c r="F7908" s="18"/>
    </row>
    <row r="7909" spans="5:6" ht="15" customHeight="1" x14ac:dyDescent="0.2">
      <c r="E7909" s="18"/>
      <c r="F7909" s="18"/>
    </row>
    <row r="7910" spans="5:6" ht="15" customHeight="1" x14ac:dyDescent="0.2">
      <c r="E7910" s="18"/>
      <c r="F7910" s="18"/>
    </row>
    <row r="7911" spans="5:6" ht="15" customHeight="1" x14ac:dyDescent="0.2">
      <c r="E7911" s="18"/>
      <c r="F7911" s="18"/>
    </row>
    <row r="7912" spans="5:6" ht="15" customHeight="1" x14ac:dyDescent="0.2">
      <c r="E7912" s="18"/>
      <c r="F7912" s="18"/>
    </row>
    <row r="7913" spans="5:6" ht="15" customHeight="1" x14ac:dyDescent="0.2">
      <c r="E7913" s="18"/>
      <c r="F7913" s="18"/>
    </row>
    <row r="7914" spans="5:6" ht="15" customHeight="1" x14ac:dyDescent="0.2">
      <c r="E7914" s="18"/>
      <c r="F7914" s="18"/>
    </row>
    <row r="7915" spans="5:6" ht="15" customHeight="1" x14ac:dyDescent="0.2">
      <c r="E7915" s="18"/>
      <c r="F7915" s="18"/>
    </row>
    <row r="7916" spans="5:6" ht="15" customHeight="1" x14ac:dyDescent="0.2">
      <c r="E7916" s="18"/>
      <c r="F7916" s="18"/>
    </row>
    <row r="7917" spans="5:6" ht="15" customHeight="1" x14ac:dyDescent="0.2">
      <c r="E7917" s="18"/>
      <c r="F7917" s="18"/>
    </row>
    <row r="7918" spans="5:6" ht="15" customHeight="1" x14ac:dyDescent="0.2">
      <c r="E7918" s="18"/>
      <c r="F7918" s="18"/>
    </row>
    <row r="7919" spans="5:6" ht="15" customHeight="1" x14ac:dyDescent="0.2">
      <c r="E7919" s="18"/>
      <c r="F7919" s="18"/>
    </row>
    <row r="7920" spans="5:6" ht="15" customHeight="1" x14ac:dyDescent="0.2">
      <c r="E7920" s="18"/>
      <c r="F7920" s="18"/>
    </row>
    <row r="7921" spans="5:6" ht="15" customHeight="1" x14ac:dyDescent="0.2">
      <c r="E7921" s="18"/>
      <c r="F7921" s="18"/>
    </row>
    <row r="7922" spans="5:6" ht="15" customHeight="1" x14ac:dyDescent="0.2">
      <c r="E7922" s="18"/>
      <c r="F7922" s="18"/>
    </row>
    <row r="7923" spans="5:6" ht="15" customHeight="1" x14ac:dyDescent="0.2">
      <c r="E7923" s="18"/>
      <c r="F7923" s="18"/>
    </row>
    <row r="7924" spans="5:6" ht="15" customHeight="1" x14ac:dyDescent="0.2">
      <c r="E7924" s="18"/>
      <c r="F7924" s="18"/>
    </row>
    <row r="7925" spans="5:6" ht="15" customHeight="1" x14ac:dyDescent="0.2">
      <c r="E7925" s="18"/>
      <c r="F7925" s="18"/>
    </row>
    <row r="7926" spans="5:6" ht="15" customHeight="1" x14ac:dyDescent="0.2">
      <c r="E7926" s="18"/>
      <c r="F7926" s="18"/>
    </row>
    <row r="7927" spans="5:6" ht="15" customHeight="1" x14ac:dyDescent="0.2">
      <c r="E7927" s="18"/>
      <c r="F7927" s="18"/>
    </row>
    <row r="7928" spans="5:6" ht="15" customHeight="1" x14ac:dyDescent="0.2">
      <c r="E7928" s="18"/>
      <c r="F7928" s="18"/>
    </row>
    <row r="7929" spans="5:6" ht="15" customHeight="1" x14ac:dyDescent="0.2">
      <c r="E7929" s="18"/>
      <c r="F7929" s="18"/>
    </row>
    <row r="7930" spans="5:6" ht="15" customHeight="1" x14ac:dyDescent="0.2">
      <c r="E7930" s="18"/>
      <c r="F7930" s="18"/>
    </row>
    <row r="7931" spans="5:6" ht="15" customHeight="1" x14ac:dyDescent="0.2">
      <c r="E7931" s="18"/>
      <c r="F7931" s="18"/>
    </row>
    <row r="7932" spans="5:6" ht="15" customHeight="1" x14ac:dyDescent="0.2">
      <c r="E7932" s="18"/>
      <c r="F7932" s="18"/>
    </row>
    <row r="7933" spans="5:6" ht="15" customHeight="1" x14ac:dyDescent="0.2">
      <c r="E7933" s="18"/>
      <c r="F7933" s="18"/>
    </row>
    <row r="7934" spans="5:6" ht="15" customHeight="1" x14ac:dyDescent="0.2">
      <c r="E7934" s="18"/>
      <c r="F7934" s="18"/>
    </row>
    <row r="7935" spans="5:6" ht="15" customHeight="1" x14ac:dyDescent="0.2">
      <c r="E7935" s="18"/>
      <c r="F7935" s="18"/>
    </row>
    <row r="7936" spans="5:6" ht="15" customHeight="1" x14ac:dyDescent="0.2">
      <c r="E7936" s="18"/>
      <c r="F7936" s="18"/>
    </row>
    <row r="7937" spans="5:6" ht="15" customHeight="1" x14ac:dyDescent="0.2">
      <c r="E7937" s="18"/>
      <c r="F7937" s="18"/>
    </row>
    <row r="7938" spans="5:6" ht="15" customHeight="1" x14ac:dyDescent="0.2">
      <c r="E7938" s="18"/>
      <c r="F7938" s="18"/>
    </row>
    <row r="7939" spans="5:6" ht="15" customHeight="1" x14ac:dyDescent="0.2">
      <c r="E7939" s="18"/>
      <c r="F7939" s="18"/>
    </row>
    <row r="7940" spans="5:6" ht="15" customHeight="1" x14ac:dyDescent="0.2">
      <c r="E7940" s="18"/>
      <c r="F7940" s="18"/>
    </row>
    <row r="7941" spans="5:6" ht="15" customHeight="1" x14ac:dyDescent="0.2">
      <c r="E7941" s="18"/>
      <c r="F7941" s="18"/>
    </row>
    <row r="7942" spans="5:6" ht="15" customHeight="1" x14ac:dyDescent="0.2">
      <c r="E7942" s="18"/>
      <c r="F7942" s="18"/>
    </row>
    <row r="7943" spans="5:6" ht="15" customHeight="1" x14ac:dyDescent="0.2">
      <c r="E7943" s="18"/>
      <c r="F7943" s="18"/>
    </row>
    <row r="7944" spans="5:6" ht="15" customHeight="1" x14ac:dyDescent="0.2">
      <c r="E7944" s="18"/>
      <c r="F7944" s="18"/>
    </row>
    <row r="7945" spans="5:6" ht="15" customHeight="1" x14ac:dyDescent="0.2">
      <c r="E7945" s="18"/>
      <c r="F7945" s="18"/>
    </row>
    <row r="7946" spans="5:6" ht="15" customHeight="1" x14ac:dyDescent="0.2">
      <c r="E7946" s="18"/>
      <c r="F7946" s="18"/>
    </row>
    <row r="7947" spans="5:6" ht="15" customHeight="1" x14ac:dyDescent="0.2">
      <c r="E7947" s="18"/>
      <c r="F7947" s="18"/>
    </row>
    <row r="7948" spans="5:6" ht="15" customHeight="1" x14ac:dyDescent="0.2">
      <c r="E7948" s="18"/>
      <c r="F7948" s="18"/>
    </row>
    <row r="7949" spans="5:6" ht="15" customHeight="1" x14ac:dyDescent="0.2">
      <c r="E7949" s="18"/>
      <c r="F7949" s="18"/>
    </row>
    <row r="7950" spans="5:6" ht="15" customHeight="1" x14ac:dyDescent="0.2">
      <c r="E7950" s="18"/>
      <c r="F7950" s="18"/>
    </row>
    <row r="7951" spans="5:6" ht="15" customHeight="1" x14ac:dyDescent="0.2">
      <c r="E7951" s="18"/>
      <c r="F7951" s="18"/>
    </row>
    <row r="7952" spans="5:6" ht="15" customHeight="1" x14ac:dyDescent="0.2">
      <c r="E7952" s="18"/>
      <c r="F7952" s="18"/>
    </row>
    <row r="7953" spans="5:6" ht="15" customHeight="1" x14ac:dyDescent="0.2">
      <c r="E7953" s="18"/>
      <c r="F7953" s="18"/>
    </row>
    <row r="7954" spans="5:6" ht="15" customHeight="1" x14ac:dyDescent="0.2">
      <c r="E7954" s="18"/>
      <c r="F7954" s="18"/>
    </row>
    <row r="7955" spans="5:6" ht="15" customHeight="1" x14ac:dyDescent="0.2">
      <c r="E7955" s="18"/>
      <c r="F7955" s="18"/>
    </row>
    <row r="7956" spans="5:6" ht="15" customHeight="1" x14ac:dyDescent="0.2">
      <c r="E7956" s="18"/>
      <c r="F7956" s="18"/>
    </row>
    <row r="7957" spans="5:6" ht="15" customHeight="1" x14ac:dyDescent="0.2">
      <c r="E7957" s="18"/>
      <c r="F7957" s="18"/>
    </row>
    <row r="7958" spans="5:6" ht="15" customHeight="1" x14ac:dyDescent="0.2">
      <c r="E7958" s="18"/>
      <c r="F7958" s="18"/>
    </row>
    <row r="7959" spans="5:6" ht="15" customHeight="1" x14ac:dyDescent="0.2">
      <c r="E7959" s="18"/>
      <c r="F7959" s="18"/>
    </row>
    <row r="7960" spans="5:6" ht="15" customHeight="1" x14ac:dyDescent="0.2">
      <c r="E7960" s="18"/>
      <c r="F7960" s="18"/>
    </row>
    <row r="7961" spans="5:6" ht="15" customHeight="1" x14ac:dyDescent="0.2">
      <c r="E7961" s="18"/>
      <c r="F7961" s="18"/>
    </row>
    <row r="7962" spans="5:6" ht="15" customHeight="1" x14ac:dyDescent="0.2">
      <c r="E7962" s="18"/>
      <c r="F7962" s="18"/>
    </row>
    <row r="7963" spans="5:6" ht="15" customHeight="1" x14ac:dyDescent="0.2">
      <c r="E7963" s="18"/>
      <c r="F7963" s="18"/>
    </row>
    <row r="7964" spans="5:6" ht="15" customHeight="1" x14ac:dyDescent="0.2">
      <c r="E7964" s="18"/>
      <c r="F7964" s="18"/>
    </row>
    <row r="7965" spans="5:6" ht="15" customHeight="1" x14ac:dyDescent="0.2">
      <c r="E7965" s="18"/>
      <c r="F7965" s="18"/>
    </row>
    <row r="7966" spans="5:6" ht="15" customHeight="1" x14ac:dyDescent="0.2">
      <c r="E7966" s="18"/>
      <c r="F7966" s="18"/>
    </row>
    <row r="7967" spans="5:6" ht="15" customHeight="1" x14ac:dyDescent="0.2">
      <c r="E7967" s="18"/>
      <c r="F7967" s="18"/>
    </row>
    <row r="7968" spans="5:6" ht="15" customHeight="1" x14ac:dyDescent="0.2">
      <c r="E7968" s="18"/>
      <c r="F7968" s="18"/>
    </row>
    <row r="7969" spans="5:6" ht="15" customHeight="1" x14ac:dyDescent="0.2">
      <c r="E7969" s="18"/>
      <c r="F7969" s="18"/>
    </row>
    <row r="7970" spans="5:6" ht="15" customHeight="1" x14ac:dyDescent="0.2">
      <c r="E7970" s="18"/>
      <c r="F7970" s="18"/>
    </row>
    <row r="7971" spans="5:6" ht="15" customHeight="1" x14ac:dyDescent="0.2">
      <c r="E7971" s="18"/>
      <c r="F7971" s="18"/>
    </row>
    <row r="7972" spans="5:6" ht="15" customHeight="1" x14ac:dyDescent="0.2">
      <c r="E7972" s="18"/>
      <c r="F7972" s="18"/>
    </row>
    <row r="7973" spans="5:6" ht="15" customHeight="1" x14ac:dyDescent="0.2">
      <c r="E7973" s="18"/>
      <c r="F7973" s="18"/>
    </row>
    <row r="7974" spans="5:6" ht="15" customHeight="1" x14ac:dyDescent="0.2">
      <c r="E7974" s="18"/>
      <c r="F7974" s="18"/>
    </row>
    <row r="7975" spans="5:6" ht="15" customHeight="1" x14ac:dyDescent="0.2">
      <c r="E7975" s="18"/>
      <c r="F7975" s="18"/>
    </row>
    <row r="7976" spans="5:6" ht="15" customHeight="1" x14ac:dyDescent="0.2">
      <c r="E7976" s="18"/>
      <c r="F7976" s="18"/>
    </row>
    <row r="7977" spans="5:6" ht="15" customHeight="1" x14ac:dyDescent="0.2">
      <c r="E7977" s="18"/>
      <c r="F7977" s="18"/>
    </row>
    <row r="7978" spans="5:6" ht="15" customHeight="1" x14ac:dyDescent="0.2">
      <c r="E7978" s="18"/>
      <c r="F7978" s="18"/>
    </row>
    <row r="7979" spans="5:6" ht="15" customHeight="1" x14ac:dyDescent="0.2">
      <c r="E7979" s="18"/>
      <c r="F7979" s="18"/>
    </row>
    <row r="7980" spans="5:6" ht="15" customHeight="1" x14ac:dyDescent="0.2">
      <c r="E7980" s="18"/>
      <c r="F7980" s="18"/>
    </row>
    <row r="7981" spans="5:6" ht="15" customHeight="1" x14ac:dyDescent="0.2">
      <c r="E7981" s="18"/>
      <c r="F7981" s="18"/>
    </row>
    <row r="7982" spans="5:6" ht="15" customHeight="1" x14ac:dyDescent="0.2">
      <c r="E7982" s="18"/>
      <c r="F7982" s="18"/>
    </row>
    <row r="7983" spans="5:6" ht="15" customHeight="1" x14ac:dyDescent="0.2">
      <c r="E7983" s="18"/>
      <c r="F7983" s="18"/>
    </row>
    <row r="7984" spans="5:6" ht="15" customHeight="1" x14ac:dyDescent="0.2">
      <c r="E7984" s="18"/>
      <c r="F7984" s="18"/>
    </row>
    <row r="7985" spans="5:6" ht="15" customHeight="1" x14ac:dyDescent="0.2">
      <c r="E7985" s="18"/>
      <c r="F7985" s="18"/>
    </row>
    <row r="7986" spans="5:6" ht="15" customHeight="1" x14ac:dyDescent="0.2">
      <c r="E7986" s="18"/>
      <c r="F7986" s="18"/>
    </row>
    <row r="7987" spans="5:6" ht="15" customHeight="1" x14ac:dyDescent="0.2">
      <c r="E7987" s="18"/>
      <c r="F7987" s="18"/>
    </row>
    <row r="7988" spans="5:6" ht="15" customHeight="1" x14ac:dyDescent="0.2">
      <c r="E7988" s="18"/>
      <c r="F7988" s="18"/>
    </row>
    <row r="7989" spans="5:6" ht="15" customHeight="1" x14ac:dyDescent="0.2">
      <c r="E7989" s="18"/>
      <c r="F7989" s="18"/>
    </row>
    <row r="7990" spans="5:6" ht="15" customHeight="1" x14ac:dyDescent="0.2">
      <c r="E7990" s="18"/>
      <c r="F7990" s="18"/>
    </row>
    <row r="7991" spans="5:6" ht="15" customHeight="1" x14ac:dyDescent="0.2">
      <c r="E7991" s="18"/>
      <c r="F7991" s="18"/>
    </row>
    <row r="7992" spans="5:6" ht="15" customHeight="1" x14ac:dyDescent="0.2">
      <c r="E7992" s="18"/>
      <c r="F7992" s="18"/>
    </row>
    <row r="7993" spans="5:6" ht="15" customHeight="1" x14ac:dyDescent="0.2">
      <c r="E7993" s="18"/>
      <c r="F7993" s="18"/>
    </row>
    <row r="7994" spans="5:6" ht="15" customHeight="1" x14ac:dyDescent="0.2">
      <c r="E7994" s="18"/>
      <c r="F7994" s="18"/>
    </row>
    <row r="7995" spans="5:6" ht="15" customHeight="1" x14ac:dyDescent="0.2">
      <c r="E7995" s="18"/>
      <c r="F7995" s="18"/>
    </row>
    <row r="7996" spans="5:6" ht="15" customHeight="1" x14ac:dyDescent="0.2">
      <c r="E7996" s="18"/>
      <c r="F7996" s="18"/>
    </row>
    <row r="7997" spans="5:6" ht="15" customHeight="1" x14ac:dyDescent="0.2">
      <c r="E7997" s="18"/>
      <c r="F7997" s="18"/>
    </row>
    <row r="7998" spans="5:6" ht="15" customHeight="1" x14ac:dyDescent="0.2">
      <c r="E7998" s="18"/>
      <c r="F7998" s="18"/>
    </row>
    <row r="7999" spans="5:6" ht="15" customHeight="1" x14ac:dyDescent="0.2">
      <c r="E7999" s="18"/>
      <c r="F7999" s="18"/>
    </row>
    <row r="8000" spans="5:6" ht="15" customHeight="1" x14ac:dyDescent="0.2">
      <c r="E8000" s="18"/>
      <c r="F8000" s="18"/>
    </row>
    <row r="8001" spans="5:6" ht="15" customHeight="1" x14ac:dyDescent="0.2">
      <c r="E8001" s="18"/>
      <c r="F8001" s="18"/>
    </row>
    <row r="8002" spans="5:6" ht="15" customHeight="1" x14ac:dyDescent="0.2">
      <c r="E8002" s="18"/>
      <c r="F8002" s="18"/>
    </row>
    <row r="8003" spans="5:6" ht="15" customHeight="1" x14ac:dyDescent="0.2">
      <c r="E8003" s="18"/>
      <c r="F8003" s="18"/>
    </row>
    <row r="8004" spans="5:6" ht="15" customHeight="1" x14ac:dyDescent="0.2">
      <c r="E8004" s="18"/>
      <c r="F8004" s="18"/>
    </row>
    <row r="8005" spans="5:6" ht="15" customHeight="1" x14ac:dyDescent="0.2">
      <c r="E8005" s="18"/>
      <c r="F8005" s="18"/>
    </row>
    <row r="8006" spans="5:6" ht="15" customHeight="1" x14ac:dyDescent="0.2">
      <c r="E8006" s="18"/>
      <c r="F8006" s="18"/>
    </row>
    <row r="8007" spans="5:6" ht="15" customHeight="1" x14ac:dyDescent="0.2">
      <c r="E8007" s="18"/>
      <c r="F8007" s="18"/>
    </row>
    <row r="8008" spans="5:6" ht="15" customHeight="1" x14ac:dyDescent="0.2">
      <c r="E8008" s="18"/>
      <c r="F8008" s="18"/>
    </row>
    <row r="8009" spans="5:6" ht="15" customHeight="1" x14ac:dyDescent="0.2">
      <c r="E8009" s="18"/>
      <c r="F8009" s="18"/>
    </row>
    <row r="8010" spans="5:6" ht="15" customHeight="1" x14ac:dyDescent="0.2">
      <c r="E8010" s="18"/>
      <c r="F8010" s="18"/>
    </row>
    <row r="8011" spans="5:6" ht="15" customHeight="1" x14ac:dyDescent="0.2">
      <c r="E8011" s="18"/>
      <c r="F8011" s="18"/>
    </row>
    <row r="8012" spans="5:6" ht="15" customHeight="1" x14ac:dyDescent="0.2">
      <c r="E8012" s="18"/>
      <c r="F8012" s="18"/>
    </row>
    <row r="8013" spans="5:6" ht="15" customHeight="1" x14ac:dyDescent="0.2">
      <c r="E8013" s="18"/>
      <c r="F8013" s="18"/>
    </row>
    <row r="8014" spans="5:6" ht="15" customHeight="1" x14ac:dyDescent="0.2">
      <c r="E8014" s="18"/>
      <c r="F8014" s="18"/>
    </row>
    <row r="8015" spans="5:6" ht="15" customHeight="1" x14ac:dyDescent="0.2">
      <c r="E8015" s="18"/>
      <c r="F8015" s="18"/>
    </row>
    <row r="8016" spans="5:6" ht="15" customHeight="1" x14ac:dyDescent="0.2">
      <c r="E8016" s="18"/>
      <c r="F8016" s="18"/>
    </row>
    <row r="8017" spans="5:6" ht="15" customHeight="1" x14ac:dyDescent="0.2">
      <c r="E8017" s="18"/>
      <c r="F8017" s="18"/>
    </row>
    <row r="8018" spans="5:6" ht="15" customHeight="1" x14ac:dyDescent="0.2">
      <c r="E8018" s="18"/>
      <c r="F8018" s="18"/>
    </row>
    <row r="8019" spans="5:6" ht="15" customHeight="1" x14ac:dyDescent="0.2">
      <c r="E8019" s="18"/>
      <c r="F8019" s="18"/>
    </row>
    <row r="8020" spans="5:6" ht="15" customHeight="1" x14ac:dyDescent="0.2">
      <c r="E8020" s="18"/>
      <c r="F8020" s="18"/>
    </row>
    <row r="8021" spans="5:6" ht="15" customHeight="1" x14ac:dyDescent="0.2">
      <c r="E8021" s="18"/>
      <c r="F8021" s="18"/>
    </row>
    <row r="8022" spans="5:6" ht="15" customHeight="1" x14ac:dyDescent="0.2">
      <c r="E8022" s="18"/>
      <c r="F8022" s="18"/>
    </row>
    <row r="8023" spans="5:6" ht="15" customHeight="1" x14ac:dyDescent="0.2">
      <c r="E8023" s="18"/>
      <c r="F8023" s="18"/>
    </row>
    <row r="8024" spans="5:6" ht="15" customHeight="1" x14ac:dyDescent="0.2">
      <c r="E8024" s="18"/>
      <c r="F8024" s="18"/>
    </row>
    <row r="8025" spans="5:6" ht="15" customHeight="1" x14ac:dyDescent="0.2">
      <c r="E8025" s="18"/>
      <c r="F8025" s="18"/>
    </row>
    <row r="8026" spans="5:6" ht="15" customHeight="1" x14ac:dyDescent="0.2">
      <c r="E8026" s="18"/>
      <c r="F8026" s="18"/>
    </row>
    <row r="8027" spans="5:6" ht="15" customHeight="1" x14ac:dyDescent="0.2">
      <c r="E8027" s="18"/>
      <c r="F8027" s="18"/>
    </row>
    <row r="8028" spans="5:6" ht="15" customHeight="1" x14ac:dyDescent="0.2">
      <c r="E8028" s="18"/>
      <c r="F8028" s="18"/>
    </row>
    <row r="8029" spans="5:6" ht="15" customHeight="1" x14ac:dyDescent="0.2">
      <c r="E8029" s="18"/>
      <c r="F8029" s="18"/>
    </row>
    <row r="8030" spans="5:6" ht="15" customHeight="1" x14ac:dyDescent="0.2">
      <c r="E8030" s="18"/>
      <c r="F8030" s="18"/>
    </row>
    <row r="8031" spans="5:6" ht="15" customHeight="1" x14ac:dyDescent="0.2">
      <c r="E8031" s="18"/>
      <c r="F8031" s="18"/>
    </row>
    <row r="8032" spans="5:6" ht="15" customHeight="1" x14ac:dyDescent="0.2">
      <c r="E8032" s="18"/>
      <c r="F8032" s="18"/>
    </row>
    <row r="8033" spans="5:6" ht="15" customHeight="1" x14ac:dyDescent="0.2">
      <c r="E8033" s="18"/>
      <c r="F8033" s="18"/>
    </row>
    <row r="8034" spans="5:6" ht="15" customHeight="1" x14ac:dyDescent="0.2">
      <c r="E8034" s="18"/>
      <c r="F8034" s="18"/>
    </row>
    <row r="8035" spans="5:6" ht="15" customHeight="1" x14ac:dyDescent="0.2">
      <c r="E8035" s="18"/>
      <c r="F8035" s="18"/>
    </row>
    <row r="8036" spans="5:6" ht="15" customHeight="1" x14ac:dyDescent="0.2">
      <c r="E8036" s="18"/>
      <c r="F8036" s="18"/>
    </row>
    <row r="8037" spans="5:6" ht="15" customHeight="1" x14ac:dyDescent="0.2">
      <c r="E8037" s="18"/>
      <c r="F8037" s="18"/>
    </row>
    <row r="8038" spans="5:6" ht="15" customHeight="1" x14ac:dyDescent="0.2">
      <c r="E8038" s="18"/>
      <c r="F8038" s="18"/>
    </row>
    <row r="8039" spans="5:6" ht="15" customHeight="1" x14ac:dyDescent="0.2">
      <c r="E8039" s="18"/>
      <c r="F8039" s="18"/>
    </row>
    <row r="8040" spans="5:6" ht="15" customHeight="1" x14ac:dyDescent="0.2">
      <c r="E8040" s="18"/>
      <c r="F8040" s="18"/>
    </row>
    <row r="8041" spans="5:6" ht="15" customHeight="1" x14ac:dyDescent="0.2">
      <c r="E8041" s="18"/>
      <c r="F8041" s="18"/>
    </row>
    <row r="8042" spans="5:6" ht="15" customHeight="1" x14ac:dyDescent="0.2">
      <c r="E8042" s="18"/>
      <c r="F8042" s="18"/>
    </row>
    <row r="8043" spans="5:6" ht="15" customHeight="1" x14ac:dyDescent="0.2">
      <c r="E8043" s="18"/>
      <c r="F8043" s="18"/>
    </row>
    <row r="8044" spans="5:6" ht="15" customHeight="1" x14ac:dyDescent="0.2">
      <c r="E8044" s="18"/>
      <c r="F8044" s="18"/>
    </row>
    <row r="8045" spans="5:6" ht="15" customHeight="1" x14ac:dyDescent="0.2">
      <c r="E8045" s="18"/>
      <c r="F8045" s="18"/>
    </row>
    <row r="8046" spans="5:6" ht="15" customHeight="1" x14ac:dyDescent="0.2">
      <c r="E8046" s="18"/>
      <c r="F8046" s="18"/>
    </row>
    <row r="8047" spans="5:6" ht="15" customHeight="1" x14ac:dyDescent="0.2">
      <c r="E8047" s="18"/>
      <c r="F8047" s="18"/>
    </row>
    <row r="8048" spans="5:6" ht="15" customHeight="1" x14ac:dyDescent="0.2">
      <c r="E8048" s="18"/>
      <c r="F8048" s="18"/>
    </row>
    <row r="8049" spans="5:6" ht="15" customHeight="1" x14ac:dyDescent="0.2">
      <c r="E8049" s="18"/>
      <c r="F8049" s="18"/>
    </row>
    <row r="8050" spans="5:6" ht="15" customHeight="1" x14ac:dyDescent="0.2">
      <c r="E8050" s="18"/>
      <c r="F8050" s="18"/>
    </row>
    <row r="8051" spans="5:6" ht="15" customHeight="1" x14ac:dyDescent="0.2">
      <c r="E8051" s="18"/>
      <c r="F8051" s="18"/>
    </row>
    <row r="8052" spans="5:6" ht="15" customHeight="1" x14ac:dyDescent="0.2">
      <c r="E8052" s="18"/>
      <c r="F8052" s="18"/>
    </row>
    <row r="8053" spans="5:6" ht="15" customHeight="1" x14ac:dyDescent="0.2">
      <c r="E8053" s="18"/>
      <c r="F8053" s="18"/>
    </row>
    <row r="8054" spans="5:6" ht="15" customHeight="1" x14ac:dyDescent="0.2">
      <c r="E8054" s="18"/>
      <c r="F8054" s="18"/>
    </row>
    <row r="8055" spans="5:6" ht="15" customHeight="1" x14ac:dyDescent="0.2">
      <c r="E8055" s="18"/>
      <c r="F8055" s="18"/>
    </row>
    <row r="8056" spans="5:6" ht="15" customHeight="1" x14ac:dyDescent="0.2">
      <c r="E8056" s="18"/>
      <c r="F8056" s="18"/>
    </row>
    <row r="8057" spans="5:6" ht="15" customHeight="1" x14ac:dyDescent="0.2">
      <c r="E8057" s="18"/>
      <c r="F8057" s="18"/>
    </row>
    <row r="8058" spans="5:6" ht="15" customHeight="1" x14ac:dyDescent="0.2">
      <c r="E8058" s="18"/>
      <c r="F8058" s="18"/>
    </row>
    <row r="8059" spans="5:6" ht="15" customHeight="1" x14ac:dyDescent="0.2">
      <c r="E8059" s="18"/>
      <c r="F8059" s="18"/>
    </row>
    <row r="8060" spans="5:6" ht="15" customHeight="1" x14ac:dyDescent="0.2">
      <c r="E8060" s="18"/>
      <c r="F8060" s="18"/>
    </row>
    <row r="8061" spans="5:6" ht="15" customHeight="1" x14ac:dyDescent="0.2">
      <c r="E8061" s="18"/>
      <c r="F8061" s="18"/>
    </row>
    <row r="8062" spans="5:6" ht="15" customHeight="1" x14ac:dyDescent="0.2">
      <c r="E8062" s="18"/>
      <c r="F8062" s="18"/>
    </row>
    <row r="8063" spans="5:6" ht="15" customHeight="1" x14ac:dyDescent="0.2">
      <c r="E8063" s="18"/>
      <c r="F8063" s="18"/>
    </row>
    <row r="8064" spans="5:6" ht="15" customHeight="1" x14ac:dyDescent="0.2">
      <c r="E8064" s="18"/>
      <c r="F8064" s="18"/>
    </row>
    <row r="8065" spans="5:6" ht="15" customHeight="1" x14ac:dyDescent="0.2">
      <c r="E8065" s="18"/>
      <c r="F8065" s="18"/>
    </row>
    <row r="8066" spans="5:6" ht="15" customHeight="1" x14ac:dyDescent="0.2">
      <c r="E8066" s="18"/>
      <c r="F8066" s="18"/>
    </row>
    <row r="8067" spans="5:6" ht="15" customHeight="1" x14ac:dyDescent="0.2">
      <c r="E8067" s="18"/>
      <c r="F8067" s="18"/>
    </row>
    <row r="8068" spans="5:6" ht="15" customHeight="1" x14ac:dyDescent="0.2">
      <c r="E8068" s="18"/>
      <c r="F8068" s="18"/>
    </row>
    <row r="8069" spans="5:6" ht="15" customHeight="1" x14ac:dyDescent="0.2">
      <c r="E8069" s="18"/>
      <c r="F8069" s="18"/>
    </row>
    <row r="8070" spans="5:6" ht="15" customHeight="1" x14ac:dyDescent="0.2">
      <c r="E8070" s="18"/>
      <c r="F8070" s="18"/>
    </row>
    <row r="8071" spans="5:6" ht="15" customHeight="1" x14ac:dyDescent="0.2">
      <c r="E8071" s="18"/>
      <c r="F8071" s="18"/>
    </row>
    <row r="8072" spans="5:6" ht="15" customHeight="1" x14ac:dyDescent="0.2">
      <c r="E8072" s="18"/>
      <c r="F8072" s="18"/>
    </row>
    <row r="8073" spans="5:6" ht="15" customHeight="1" x14ac:dyDescent="0.2">
      <c r="E8073" s="18"/>
      <c r="F8073" s="18"/>
    </row>
    <row r="8074" spans="5:6" ht="15" customHeight="1" x14ac:dyDescent="0.2">
      <c r="E8074" s="18"/>
      <c r="F8074" s="18"/>
    </row>
    <row r="8075" spans="5:6" ht="15" customHeight="1" x14ac:dyDescent="0.2">
      <c r="E8075" s="18"/>
      <c r="F8075" s="18"/>
    </row>
    <row r="8076" spans="5:6" ht="15" customHeight="1" x14ac:dyDescent="0.2">
      <c r="E8076" s="18"/>
      <c r="F8076" s="18"/>
    </row>
    <row r="8077" spans="5:6" ht="15" customHeight="1" x14ac:dyDescent="0.2">
      <c r="E8077" s="18"/>
      <c r="F8077" s="18"/>
    </row>
    <row r="8078" spans="5:6" ht="15" customHeight="1" x14ac:dyDescent="0.2">
      <c r="E8078" s="18"/>
      <c r="F8078" s="18"/>
    </row>
    <row r="8079" spans="5:6" ht="15" customHeight="1" x14ac:dyDescent="0.2">
      <c r="E8079" s="18"/>
      <c r="F8079" s="18"/>
    </row>
    <row r="8080" spans="5:6" ht="15" customHeight="1" x14ac:dyDescent="0.2">
      <c r="E8080" s="18"/>
      <c r="F8080" s="18"/>
    </row>
    <row r="8081" spans="5:6" ht="15" customHeight="1" x14ac:dyDescent="0.2">
      <c r="E8081" s="18"/>
      <c r="F8081" s="18"/>
    </row>
    <row r="8082" spans="5:6" ht="15" customHeight="1" x14ac:dyDescent="0.2">
      <c r="E8082" s="18"/>
      <c r="F8082" s="18"/>
    </row>
    <row r="8083" spans="5:6" ht="15" customHeight="1" x14ac:dyDescent="0.2">
      <c r="E8083" s="18"/>
      <c r="F8083" s="18"/>
    </row>
    <row r="8084" spans="5:6" ht="15" customHeight="1" x14ac:dyDescent="0.2">
      <c r="E8084" s="18"/>
      <c r="F8084" s="18"/>
    </row>
    <row r="8085" spans="5:6" ht="15" customHeight="1" x14ac:dyDescent="0.2">
      <c r="E8085" s="18"/>
      <c r="F8085" s="18"/>
    </row>
    <row r="8086" spans="5:6" ht="15" customHeight="1" x14ac:dyDescent="0.2">
      <c r="E8086" s="18"/>
      <c r="F8086" s="18"/>
    </row>
    <row r="8087" spans="5:6" ht="15" customHeight="1" x14ac:dyDescent="0.2">
      <c r="E8087" s="18"/>
      <c r="F8087" s="18"/>
    </row>
    <row r="8088" spans="5:6" ht="15" customHeight="1" x14ac:dyDescent="0.2">
      <c r="E8088" s="18"/>
      <c r="F8088" s="18"/>
    </row>
    <row r="8089" spans="5:6" ht="15" customHeight="1" x14ac:dyDescent="0.2">
      <c r="E8089" s="18"/>
      <c r="F8089" s="18"/>
    </row>
    <row r="8090" spans="5:6" ht="15" customHeight="1" x14ac:dyDescent="0.2">
      <c r="E8090" s="18"/>
      <c r="F8090" s="18"/>
    </row>
    <row r="8091" spans="5:6" ht="15" customHeight="1" x14ac:dyDescent="0.2">
      <c r="E8091" s="18"/>
      <c r="F8091" s="18"/>
    </row>
    <row r="8092" spans="5:6" ht="15" customHeight="1" x14ac:dyDescent="0.2">
      <c r="E8092" s="18"/>
      <c r="F8092" s="18"/>
    </row>
    <row r="8093" spans="5:6" ht="15" customHeight="1" x14ac:dyDescent="0.2">
      <c r="E8093" s="18"/>
      <c r="F8093" s="18"/>
    </row>
    <row r="8094" spans="5:6" ht="15" customHeight="1" x14ac:dyDescent="0.2">
      <c r="E8094" s="18"/>
      <c r="F8094" s="18"/>
    </row>
    <row r="8095" spans="5:6" ht="15" customHeight="1" x14ac:dyDescent="0.2">
      <c r="E8095" s="18"/>
      <c r="F8095" s="18"/>
    </row>
    <row r="8096" spans="5:6" ht="15" customHeight="1" x14ac:dyDescent="0.2">
      <c r="E8096" s="18"/>
      <c r="F8096" s="18"/>
    </row>
    <row r="8097" spans="5:6" ht="15" customHeight="1" x14ac:dyDescent="0.2">
      <c r="E8097" s="18"/>
      <c r="F8097" s="18"/>
    </row>
    <row r="8098" spans="5:6" ht="15" customHeight="1" x14ac:dyDescent="0.2">
      <c r="E8098" s="18"/>
      <c r="F8098" s="18"/>
    </row>
    <row r="8099" spans="5:6" ht="15" customHeight="1" x14ac:dyDescent="0.2">
      <c r="E8099" s="18"/>
      <c r="F8099" s="18"/>
    </row>
    <row r="8100" spans="5:6" ht="15" customHeight="1" x14ac:dyDescent="0.2">
      <c r="E8100" s="18"/>
      <c r="F8100" s="18"/>
    </row>
    <row r="8101" spans="5:6" ht="15" customHeight="1" x14ac:dyDescent="0.2">
      <c r="E8101" s="18"/>
      <c r="F8101" s="18"/>
    </row>
    <row r="8102" spans="5:6" ht="15" customHeight="1" x14ac:dyDescent="0.2">
      <c r="E8102" s="18"/>
      <c r="F8102" s="18"/>
    </row>
    <row r="8103" spans="5:6" ht="15" customHeight="1" x14ac:dyDescent="0.2">
      <c r="E8103" s="18"/>
      <c r="F8103" s="18"/>
    </row>
    <row r="8104" spans="5:6" ht="15" customHeight="1" x14ac:dyDescent="0.2">
      <c r="E8104" s="18"/>
      <c r="F8104" s="18"/>
    </row>
    <row r="8105" spans="5:6" ht="15" customHeight="1" x14ac:dyDescent="0.2">
      <c r="E8105" s="18"/>
      <c r="F8105" s="18"/>
    </row>
    <row r="8106" spans="5:6" ht="15" customHeight="1" x14ac:dyDescent="0.2">
      <c r="E8106" s="18"/>
      <c r="F8106" s="18"/>
    </row>
    <row r="8107" spans="5:6" ht="15" customHeight="1" x14ac:dyDescent="0.2">
      <c r="E8107" s="18"/>
      <c r="F8107" s="18"/>
    </row>
    <row r="8108" spans="5:6" ht="15" customHeight="1" x14ac:dyDescent="0.2">
      <c r="E8108" s="18"/>
      <c r="F8108" s="18"/>
    </row>
    <row r="8109" spans="5:6" ht="15" customHeight="1" x14ac:dyDescent="0.2">
      <c r="E8109" s="18"/>
      <c r="F8109" s="18"/>
    </row>
    <row r="8110" spans="5:6" ht="15" customHeight="1" x14ac:dyDescent="0.2">
      <c r="E8110" s="18"/>
      <c r="F8110" s="18"/>
    </row>
    <row r="8111" spans="5:6" ht="15" customHeight="1" x14ac:dyDescent="0.2">
      <c r="E8111" s="18"/>
      <c r="F8111" s="18"/>
    </row>
    <row r="8112" spans="5:6" ht="15" customHeight="1" x14ac:dyDescent="0.2">
      <c r="E8112" s="18"/>
      <c r="F8112" s="18"/>
    </row>
    <row r="8113" spans="5:6" ht="15" customHeight="1" x14ac:dyDescent="0.2">
      <c r="E8113" s="18"/>
      <c r="F8113" s="18"/>
    </row>
    <row r="8114" spans="5:6" ht="15" customHeight="1" x14ac:dyDescent="0.2">
      <c r="E8114" s="18"/>
      <c r="F8114" s="18"/>
    </row>
    <row r="8115" spans="5:6" ht="15" customHeight="1" x14ac:dyDescent="0.2">
      <c r="E8115" s="18"/>
      <c r="F8115" s="18"/>
    </row>
    <row r="8116" spans="5:6" ht="15" customHeight="1" x14ac:dyDescent="0.2">
      <c r="E8116" s="18"/>
      <c r="F8116" s="18"/>
    </row>
    <row r="8117" spans="5:6" ht="15" customHeight="1" x14ac:dyDescent="0.2">
      <c r="E8117" s="18"/>
      <c r="F8117" s="18"/>
    </row>
    <row r="8118" spans="5:6" ht="15" customHeight="1" x14ac:dyDescent="0.2">
      <c r="E8118" s="18"/>
      <c r="F8118" s="18"/>
    </row>
    <row r="8119" spans="5:6" ht="15" customHeight="1" x14ac:dyDescent="0.2">
      <c r="E8119" s="18"/>
      <c r="F8119" s="18"/>
    </row>
    <row r="8120" spans="5:6" ht="15" customHeight="1" x14ac:dyDescent="0.2">
      <c r="E8120" s="18"/>
      <c r="F8120" s="18"/>
    </row>
    <row r="8121" spans="5:6" ht="15" customHeight="1" x14ac:dyDescent="0.2">
      <c r="E8121" s="18"/>
      <c r="F8121" s="18"/>
    </row>
    <row r="8122" spans="5:6" ht="15" customHeight="1" x14ac:dyDescent="0.2">
      <c r="E8122" s="18"/>
      <c r="F8122" s="18"/>
    </row>
    <row r="8123" spans="5:6" ht="15" customHeight="1" x14ac:dyDescent="0.2">
      <c r="E8123" s="18"/>
      <c r="F8123" s="18"/>
    </row>
    <row r="8124" spans="5:6" ht="15" customHeight="1" x14ac:dyDescent="0.2">
      <c r="E8124" s="18"/>
      <c r="F8124" s="18"/>
    </row>
    <row r="8125" spans="5:6" ht="15" customHeight="1" x14ac:dyDescent="0.2">
      <c r="E8125" s="18"/>
      <c r="F8125" s="18"/>
    </row>
    <row r="8126" spans="5:6" ht="15" customHeight="1" x14ac:dyDescent="0.2">
      <c r="E8126" s="18"/>
      <c r="F8126" s="18"/>
    </row>
    <row r="8127" spans="5:6" ht="15" customHeight="1" x14ac:dyDescent="0.2">
      <c r="E8127" s="18"/>
      <c r="F8127" s="18"/>
    </row>
    <row r="8128" spans="5:6" ht="15" customHeight="1" x14ac:dyDescent="0.2">
      <c r="E8128" s="18"/>
      <c r="F8128" s="18"/>
    </row>
    <row r="8129" spans="5:6" ht="15" customHeight="1" x14ac:dyDescent="0.2">
      <c r="E8129" s="18"/>
      <c r="F8129" s="18"/>
    </row>
    <row r="8130" spans="5:6" ht="15" customHeight="1" x14ac:dyDescent="0.2">
      <c r="E8130" s="18"/>
      <c r="F8130" s="18"/>
    </row>
    <row r="8131" spans="5:6" ht="15" customHeight="1" x14ac:dyDescent="0.2">
      <c r="E8131" s="18"/>
      <c r="F8131" s="18"/>
    </row>
    <row r="8132" spans="5:6" ht="15" customHeight="1" x14ac:dyDescent="0.2">
      <c r="E8132" s="18"/>
      <c r="F8132" s="18"/>
    </row>
    <row r="8133" spans="5:6" ht="15" customHeight="1" x14ac:dyDescent="0.2">
      <c r="E8133" s="18"/>
      <c r="F8133" s="18"/>
    </row>
    <row r="8134" spans="5:6" ht="15" customHeight="1" x14ac:dyDescent="0.2">
      <c r="E8134" s="18"/>
      <c r="F8134" s="18"/>
    </row>
    <row r="8135" spans="5:6" ht="15" customHeight="1" x14ac:dyDescent="0.2">
      <c r="E8135" s="18"/>
      <c r="F8135" s="18"/>
    </row>
    <row r="8136" spans="5:6" ht="15" customHeight="1" x14ac:dyDescent="0.2">
      <c r="E8136" s="18"/>
      <c r="F8136" s="18"/>
    </row>
    <row r="8137" spans="5:6" ht="15" customHeight="1" x14ac:dyDescent="0.2">
      <c r="E8137" s="18"/>
      <c r="F8137" s="18"/>
    </row>
    <row r="8138" spans="5:6" ht="15" customHeight="1" x14ac:dyDescent="0.2">
      <c r="E8138" s="18"/>
      <c r="F8138" s="18"/>
    </row>
    <row r="8139" spans="5:6" ht="15" customHeight="1" x14ac:dyDescent="0.2">
      <c r="E8139" s="18"/>
      <c r="F8139" s="18"/>
    </row>
    <row r="8140" spans="5:6" ht="15" customHeight="1" x14ac:dyDescent="0.2">
      <c r="E8140" s="18"/>
      <c r="F8140" s="18"/>
    </row>
    <row r="8141" spans="5:6" ht="15" customHeight="1" x14ac:dyDescent="0.2">
      <c r="E8141" s="18"/>
      <c r="F8141" s="18"/>
    </row>
    <row r="8142" spans="5:6" ht="15" customHeight="1" x14ac:dyDescent="0.2">
      <c r="E8142" s="18"/>
      <c r="F8142" s="18"/>
    </row>
    <row r="8143" spans="5:6" ht="15" customHeight="1" x14ac:dyDescent="0.2">
      <c r="E8143" s="18"/>
      <c r="F8143" s="18"/>
    </row>
    <row r="8144" spans="5:6" ht="15" customHeight="1" x14ac:dyDescent="0.2">
      <c r="E8144" s="18"/>
      <c r="F8144" s="18"/>
    </row>
    <row r="8145" spans="5:6" ht="15" customHeight="1" x14ac:dyDescent="0.2">
      <c r="E8145" s="18"/>
      <c r="F8145" s="18"/>
    </row>
    <row r="8146" spans="5:6" ht="15" customHeight="1" x14ac:dyDescent="0.2">
      <c r="E8146" s="18"/>
      <c r="F8146" s="18"/>
    </row>
    <row r="8147" spans="5:6" ht="15" customHeight="1" x14ac:dyDescent="0.2">
      <c r="E8147" s="18"/>
      <c r="F8147" s="18"/>
    </row>
    <row r="8148" spans="5:6" ht="15" customHeight="1" x14ac:dyDescent="0.2">
      <c r="E8148" s="18"/>
      <c r="F8148" s="18"/>
    </row>
    <row r="8149" spans="5:6" ht="15" customHeight="1" x14ac:dyDescent="0.2">
      <c r="E8149" s="18"/>
      <c r="F8149" s="18"/>
    </row>
    <row r="8150" spans="5:6" ht="15" customHeight="1" x14ac:dyDescent="0.2">
      <c r="E8150" s="18"/>
      <c r="F8150" s="18"/>
    </row>
    <row r="8151" spans="5:6" ht="15" customHeight="1" x14ac:dyDescent="0.2">
      <c r="E8151" s="18"/>
      <c r="F8151" s="18"/>
    </row>
    <row r="8152" spans="5:6" ht="15" customHeight="1" x14ac:dyDescent="0.2">
      <c r="E8152" s="18"/>
      <c r="F8152" s="18"/>
    </row>
    <row r="8153" spans="5:6" ht="15" customHeight="1" x14ac:dyDescent="0.2">
      <c r="E8153" s="18"/>
      <c r="F8153" s="18"/>
    </row>
    <row r="8154" spans="5:6" ht="15" customHeight="1" x14ac:dyDescent="0.2">
      <c r="E8154" s="18"/>
      <c r="F8154" s="18"/>
    </row>
    <row r="8155" spans="5:6" ht="15" customHeight="1" x14ac:dyDescent="0.2">
      <c r="E8155" s="18"/>
      <c r="F8155" s="18"/>
    </row>
    <row r="8156" spans="5:6" ht="15" customHeight="1" x14ac:dyDescent="0.2">
      <c r="E8156" s="18"/>
      <c r="F8156" s="18"/>
    </row>
    <row r="8157" spans="5:6" ht="15" customHeight="1" x14ac:dyDescent="0.2">
      <c r="E8157" s="18"/>
      <c r="F8157" s="18"/>
    </row>
    <row r="8158" spans="5:6" ht="15" customHeight="1" x14ac:dyDescent="0.2">
      <c r="E8158" s="18"/>
      <c r="F8158" s="18"/>
    </row>
    <row r="8159" spans="5:6" ht="15" customHeight="1" x14ac:dyDescent="0.2">
      <c r="E8159" s="18"/>
      <c r="F8159" s="18"/>
    </row>
    <row r="8160" spans="5:6" ht="15" customHeight="1" x14ac:dyDescent="0.2">
      <c r="E8160" s="18"/>
      <c r="F8160" s="18"/>
    </row>
    <row r="8161" spans="5:6" ht="15" customHeight="1" x14ac:dyDescent="0.2">
      <c r="E8161" s="18"/>
      <c r="F8161" s="18"/>
    </row>
    <row r="8162" spans="5:6" ht="15" customHeight="1" x14ac:dyDescent="0.2">
      <c r="E8162" s="18"/>
      <c r="F8162" s="18"/>
    </row>
    <row r="8163" spans="5:6" ht="15" customHeight="1" x14ac:dyDescent="0.2">
      <c r="E8163" s="18"/>
      <c r="F8163" s="18"/>
    </row>
    <row r="8164" spans="5:6" ht="15" customHeight="1" x14ac:dyDescent="0.2">
      <c r="E8164" s="18"/>
      <c r="F8164" s="18"/>
    </row>
    <row r="8165" spans="5:6" ht="15" customHeight="1" x14ac:dyDescent="0.2">
      <c r="E8165" s="18"/>
      <c r="F8165" s="18"/>
    </row>
    <row r="8166" spans="5:6" ht="15" customHeight="1" x14ac:dyDescent="0.2">
      <c r="E8166" s="18"/>
      <c r="F8166" s="18"/>
    </row>
    <row r="8167" spans="5:6" ht="15" customHeight="1" x14ac:dyDescent="0.2">
      <c r="E8167" s="18"/>
      <c r="F8167" s="18"/>
    </row>
    <row r="8168" spans="5:6" ht="15" customHeight="1" x14ac:dyDescent="0.2">
      <c r="E8168" s="18"/>
      <c r="F8168" s="18"/>
    </row>
    <row r="8169" spans="5:6" ht="15" customHeight="1" x14ac:dyDescent="0.2">
      <c r="E8169" s="18"/>
      <c r="F8169" s="18"/>
    </row>
    <row r="8170" spans="5:6" ht="15" customHeight="1" x14ac:dyDescent="0.2">
      <c r="E8170" s="18"/>
      <c r="F8170" s="18"/>
    </row>
    <row r="8171" spans="5:6" ht="15" customHeight="1" x14ac:dyDescent="0.2">
      <c r="E8171" s="18"/>
      <c r="F8171" s="18"/>
    </row>
    <row r="8172" spans="5:6" ht="15" customHeight="1" x14ac:dyDescent="0.2">
      <c r="E8172" s="18"/>
      <c r="F8172" s="18"/>
    </row>
    <row r="8173" spans="5:6" ht="15" customHeight="1" x14ac:dyDescent="0.2">
      <c r="E8173" s="18"/>
      <c r="F8173" s="18"/>
    </row>
    <row r="8174" spans="5:6" ht="15" customHeight="1" x14ac:dyDescent="0.2">
      <c r="E8174" s="18"/>
      <c r="F8174" s="18"/>
    </row>
    <row r="8175" spans="5:6" ht="15" customHeight="1" x14ac:dyDescent="0.2">
      <c r="E8175" s="18"/>
      <c r="F8175" s="18"/>
    </row>
    <row r="8176" spans="5:6" ht="15" customHeight="1" x14ac:dyDescent="0.2">
      <c r="E8176" s="18"/>
      <c r="F8176" s="18"/>
    </row>
    <row r="8177" spans="5:6" ht="15" customHeight="1" x14ac:dyDescent="0.2">
      <c r="E8177" s="18"/>
      <c r="F8177" s="18"/>
    </row>
    <row r="8178" spans="5:6" ht="15" customHeight="1" x14ac:dyDescent="0.2">
      <c r="E8178" s="18"/>
      <c r="F8178" s="18"/>
    </row>
    <row r="8179" spans="5:6" ht="15" customHeight="1" x14ac:dyDescent="0.2">
      <c r="E8179" s="18"/>
      <c r="F8179" s="18"/>
    </row>
    <row r="8180" spans="5:6" ht="15" customHeight="1" x14ac:dyDescent="0.2">
      <c r="E8180" s="18"/>
      <c r="F8180" s="18"/>
    </row>
    <row r="8181" spans="5:6" ht="15" customHeight="1" x14ac:dyDescent="0.2">
      <c r="E8181" s="18"/>
      <c r="F8181" s="18"/>
    </row>
    <row r="8182" spans="5:6" ht="15" customHeight="1" x14ac:dyDescent="0.2">
      <c r="E8182" s="18"/>
      <c r="F8182" s="18"/>
    </row>
    <row r="8183" spans="5:6" ht="15" customHeight="1" x14ac:dyDescent="0.2">
      <c r="E8183" s="18"/>
      <c r="F8183" s="18"/>
    </row>
    <row r="8184" spans="5:6" ht="15" customHeight="1" x14ac:dyDescent="0.2">
      <c r="E8184" s="18"/>
      <c r="F8184" s="18"/>
    </row>
    <row r="8185" spans="5:6" ht="15" customHeight="1" x14ac:dyDescent="0.2">
      <c r="E8185" s="18"/>
      <c r="F8185" s="18"/>
    </row>
    <row r="8186" spans="5:6" ht="15" customHeight="1" x14ac:dyDescent="0.2">
      <c r="E8186" s="18"/>
      <c r="F8186" s="18"/>
    </row>
    <row r="8187" spans="5:6" ht="15" customHeight="1" x14ac:dyDescent="0.2">
      <c r="E8187" s="18"/>
      <c r="F8187" s="18"/>
    </row>
    <row r="8188" spans="5:6" ht="15" customHeight="1" x14ac:dyDescent="0.2">
      <c r="E8188" s="18"/>
      <c r="F8188" s="18"/>
    </row>
    <row r="8189" spans="5:6" ht="15" customHeight="1" x14ac:dyDescent="0.2">
      <c r="E8189" s="18"/>
      <c r="F8189" s="18"/>
    </row>
    <row r="8190" spans="5:6" ht="15" customHeight="1" x14ac:dyDescent="0.2">
      <c r="E8190" s="18"/>
      <c r="F8190" s="18"/>
    </row>
    <row r="8191" spans="5:6" ht="15" customHeight="1" x14ac:dyDescent="0.2">
      <c r="E8191" s="18"/>
      <c r="F8191" s="18"/>
    </row>
    <row r="8192" spans="5:6" ht="15" customHeight="1" x14ac:dyDescent="0.2">
      <c r="E8192" s="18"/>
      <c r="F8192" s="18"/>
    </row>
    <row r="8193" spans="5:6" ht="15" customHeight="1" x14ac:dyDescent="0.2">
      <c r="E8193" s="18"/>
      <c r="F8193" s="18"/>
    </row>
    <row r="8194" spans="5:6" ht="15" customHeight="1" x14ac:dyDescent="0.2">
      <c r="E8194" s="18"/>
      <c r="F8194" s="18"/>
    </row>
    <row r="8195" spans="5:6" ht="15" customHeight="1" x14ac:dyDescent="0.2">
      <c r="E8195" s="18"/>
      <c r="F8195" s="18"/>
    </row>
    <row r="8196" spans="5:6" ht="15" customHeight="1" x14ac:dyDescent="0.2">
      <c r="E8196" s="18"/>
      <c r="F8196" s="18"/>
    </row>
    <row r="8197" spans="5:6" ht="15" customHeight="1" x14ac:dyDescent="0.2">
      <c r="E8197" s="18"/>
      <c r="F8197" s="18"/>
    </row>
    <row r="8198" spans="5:6" ht="15" customHeight="1" x14ac:dyDescent="0.2">
      <c r="E8198" s="18"/>
      <c r="F8198" s="18"/>
    </row>
    <row r="8199" spans="5:6" ht="15" customHeight="1" x14ac:dyDescent="0.2">
      <c r="E8199" s="18"/>
      <c r="F8199" s="18"/>
    </row>
    <row r="8200" spans="5:6" ht="15" customHeight="1" x14ac:dyDescent="0.2">
      <c r="E8200" s="18"/>
      <c r="F8200" s="18"/>
    </row>
    <row r="8201" spans="5:6" ht="15" customHeight="1" x14ac:dyDescent="0.2">
      <c r="E8201" s="18"/>
      <c r="F8201" s="18"/>
    </row>
    <row r="8202" spans="5:6" ht="15" customHeight="1" x14ac:dyDescent="0.2">
      <c r="E8202" s="18"/>
      <c r="F8202" s="18"/>
    </row>
    <row r="8203" spans="5:6" ht="15" customHeight="1" x14ac:dyDescent="0.2">
      <c r="E8203" s="18"/>
      <c r="F8203" s="18"/>
    </row>
    <row r="8204" spans="5:6" ht="15" customHeight="1" x14ac:dyDescent="0.2">
      <c r="E8204" s="18"/>
      <c r="F8204" s="18"/>
    </row>
    <row r="8205" spans="5:6" ht="15" customHeight="1" x14ac:dyDescent="0.2">
      <c r="E8205" s="18"/>
      <c r="F8205" s="18"/>
    </row>
    <row r="8206" spans="5:6" ht="15" customHeight="1" x14ac:dyDescent="0.2">
      <c r="E8206" s="18"/>
      <c r="F8206" s="18"/>
    </row>
    <row r="8207" spans="5:6" ht="15" customHeight="1" x14ac:dyDescent="0.2">
      <c r="E8207" s="18"/>
      <c r="F8207" s="18"/>
    </row>
    <row r="8208" spans="5:6" ht="15" customHeight="1" x14ac:dyDescent="0.2">
      <c r="E8208" s="18"/>
      <c r="F8208" s="18"/>
    </row>
    <row r="8209" spans="5:6" ht="15" customHeight="1" x14ac:dyDescent="0.2">
      <c r="E8209" s="18"/>
      <c r="F8209" s="18"/>
    </row>
    <row r="8210" spans="5:6" ht="15" customHeight="1" x14ac:dyDescent="0.2">
      <c r="E8210" s="18"/>
      <c r="F8210" s="18"/>
    </row>
    <row r="8211" spans="5:6" ht="15" customHeight="1" x14ac:dyDescent="0.2">
      <c r="E8211" s="18"/>
      <c r="F8211" s="18"/>
    </row>
    <row r="8212" spans="5:6" ht="15" customHeight="1" x14ac:dyDescent="0.2">
      <c r="E8212" s="18"/>
      <c r="F8212" s="18"/>
    </row>
    <row r="8213" spans="5:6" ht="15" customHeight="1" x14ac:dyDescent="0.2">
      <c r="E8213" s="18"/>
      <c r="F8213" s="18"/>
    </row>
    <row r="8214" spans="5:6" ht="15" customHeight="1" x14ac:dyDescent="0.2">
      <c r="E8214" s="18"/>
      <c r="F8214" s="18"/>
    </row>
    <row r="8215" spans="5:6" ht="15" customHeight="1" x14ac:dyDescent="0.2">
      <c r="E8215" s="18"/>
      <c r="F8215" s="18"/>
    </row>
    <row r="8216" spans="5:6" ht="15" customHeight="1" x14ac:dyDescent="0.2">
      <c r="E8216" s="18"/>
      <c r="F8216" s="18"/>
    </row>
    <row r="8217" spans="5:6" ht="15" customHeight="1" x14ac:dyDescent="0.2">
      <c r="E8217" s="18"/>
      <c r="F8217" s="18"/>
    </row>
    <row r="8218" spans="5:6" ht="15" customHeight="1" x14ac:dyDescent="0.2">
      <c r="E8218" s="18"/>
      <c r="F8218" s="18"/>
    </row>
    <row r="8219" spans="5:6" ht="15" customHeight="1" x14ac:dyDescent="0.2">
      <c r="E8219" s="18"/>
      <c r="F8219" s="18"/>
    </row>
    <row r="8220" spans="5:6" ht="15" customHeight="1" x14ac:dyDescent="0.2">
      <c r="E8220" s="18"/>
      <c r="F8220" s="18"/>
    </row>
    <row r="8221" spans="5:6" ht="15" customHeight="1" x14ac:dyDescent="0.2">
      <c r="E8221" s="18"/>
      <c r="F8221" s="18"/>
    </row>
    <row r="8222" spans="5:6" ht="15" customHeight="1" x14ac:dyDescent="0.2">
      <c r="E8222" s="18"/>
      <c r="F8222" s="18"/>
    </row>
    <row r="8223" spans="5:6" ht="15" customHeight="1" x14ac:dyDescent="0.2">
      <c r="E8223" s="18"/>
      <c r="F8223" s="18"/>
    </row>
    <row r="8224" spans="5:6" ht="15" customHeight="1" x14ac:dyDescent="0.2">
      <c r="E8224" s="18"/>
      <c r="F8224" s="18"/>
    </row>
    <row r="8225" spans="5:6" ht="15" customHeight="1" x14ac:dyDescent="0.2">
      <c r="E8225" s="18"/>
      <c r="F8225" s="18"/>
    </row>
    <row r="8226" spans="5:6" ht="15" customHeight="1" x14ac:dyDescent="0.2">
      <c r="E8226" s="18"/>
      <c r="F8226" s="18"/>
    </row>
    <row r="8227" spans="5:6" ht="15" customHeight="1" x14ac:dyDescent="0.2">
      <c r="E8227" s="18"/>
      <c r="F8227" s="18"/>
    </row>
    <row r="8228" spans="5:6" ht="15" customHeight="1" x14ac:dyDescent="0.2">
      <c r="E8228" s="18"/>
      <c r="F8228" s="18"/>
    </row>
    <row r="8229" spans="5:6" ht="15" customHeight="1" x14ac:dyDescent="0.2">
      <c r="E8229" s="18"/>
      <c r="F8229" s="18"/>
    </row>
    <row r="8230" spans="5:6" ht="15" customHeight="1" x14ac:dyDescent="0.2">
      <c r="E8230" s="18"/>
      <c r="F8230" s="18"/>
    </row>
    <row r="8231" spans="5:6" ht="15" customHeight="1" x14ac:dyDescent="0.2">
      <c r="E8231" s="18"/>
      <c r="F8231" s="18"/>
    </row>
    <row r="8232" spans="5:6" ht="15" customHeight="1" x14ac:dyDescent="0.2">
      <c r="E8232" s="18"/>
      <c r="F8232" s="18"/>
    </row>
    <row r="8233" spans="5:6" ht="15" customHeight="1" x14ac:dyDescent="0.2">
      <c r="E8233" s="18"/>
      <c r="F8233" s="18"/>
    </row>
    <row r="8234" spans="5:6" ht="15" customHeight="1" x14ac:dyDescent="0.2">
      <c r="E8234" s="18"/>
      <c r="F8234" s="18"/>
    </row>
    <row r="8235" spans="5:6" ht="15" customHeight="1" x14ac:dyDescent="0.2">
      <c r="E8235" s="18"/>
      <c r="F8235" s="18"/>
    </row>
    <row r="8236" spans="5:6" ht="15" customHeight="1" x14ac:dyDescent="0.2">
      <c r="E8236" s="18"/>
      <c r="F8236" s="18"/>
    </row>
    <row r="8237" spans="5:6" ht="15" customHeight="1" x14ac:dyDescent="0.2">
      <c r="E8237" s="18"/>
      <c r="F8237" s="18"/>
    </row>
    <row r="8238" spans="5:6" ht="15" customHeight="1" x14ac:dyDescent="0.2">
      <c r="E8238" s="18"/>
      <c r="F8238" s="18"/>
    </row>
    <row r="8239" spans="5:6" ht="15" customHeight="1" x14ac:dyDescent="0.2">
      <c r="E8239" s="18"/>
      <c r="F8239" s="18"/>
    </row>
    <row r="8240" spans="5:6" ht="15" customHeight="1" x14ac:dyDescent="0.2">
      <c r="E8240" s="18"/>
      <c r="F8240" s="18"/>
    </row>
    <row r="8241" spans="5:6" ht="15" customHeight="1" x14ac:dyDescent="0.2">
      <c r="E8241" s="18"/>
      <c r="F8241" s="18"/>
    </row>
    <row r="8242" spans="5:6" ht="15" customHeight="1" x14ac:dyDescent="0.2">
      <c r="E8242" s="18"/>
      <c r="F8242" s="18"/>
    </row>
    <row r="8243" spans="5:6" ht="15" customHeight="1" x14ac:dyDescent="0.2">
      <c r="E8243" s="18"/>
      <c r="F8243" s="18"/>
    </row>
    <row r="8244" spans="5:6" ht="15" customHeight="1" x14ac:dyDescent="0.2">
      <c r="E8244" s="18"/>
      <c r="F8244" s="18"/>
    </row>
    <row r="8245" spans="5:6" ht="15" customHeight="1" x14ac:dyDescent="0.2">
      <c r="E8245" s="18"/>
      <c r="F8245" s="18"/>
    </row>
    <row r="8246" spans="5:6" ht="15" customHeight="1" x14ac:dyDescent="0.2">
      <c r="E8246" s="18"/>
      <c r="F8246" s="18"/>
    </row>
    <row r="8247" spans="5:6" ht="15" customHeight="1" x14ac:dyDescent="0.2">
      <c r="E8247" s="18"/>
      <c r="F8247" s="18"/>
    </row>
    <row r="8248" spans="5:6" ht="15" customHeight="1" x14ac:dyDescent="0.2">
      <c r="E8248" s="18"/>
      <c r="F8248" s="18"/>
    </row>
    <row r="8249" spans="5:6" ht="15" customHeight="1" x14ac:dyDescent="0.2">
      <c r="E8249" s="18"/>
      <c r="F8249" s="18"/>
    </row>
    <row r="8250" spans="5:6" ht="15" customHeight="1" x14ac:dyDescent="0.2">
      <c r="E8250" s="18"/>
      <c r="F8250" s="18"/>
    </row>
    <row r="8251" spans="5:6" ht="15" customHeight="1" x14ac:dyDescent="0.2">
      <c r="E8251" s="18"/>
      <c r="F8251" s="18"/>
    </row>
    <row r="8252" spans="5:6" ht="15" customHeight="1" x14ac:dyDescent="0.2">
      <c r="E8252" s="18"/>
      <c r="F8252" s="18"/>
    </row>
    <row r="8253" spans="5:6" ht="15" customHeight="1" x14ac:dyDescent="0.2">
      <c r="E8253" s="18"/>
      <c r="F8253" s="18"/>
    </row>
    <row r="8254" spans="5:6" ht="15" customHeight="1" x14ac:dyDescent="0.2">
      <c r="E8254" s="18"/>
      <c r="F8254" s="18"/>
    </row>
    <row r="8255" spans="5:6" ht="15" customHeight="1" x14ac:dyDescent="0.2">
      <c r="E8255" s="18"/>
      <c r="F8255" s="18"/>
    </row>
    <row r="8256" spans="5:6" ht="15" customHeight="1" x14ac:dyDescent="0.2">
      <c r="E8256" s="18"/>
      <c r="F8256" s="18"/>
    </row>
    <row r="8257" spans="5:6" ht="15" customHeight="1" x14ac:dyDescent="0.2">
      <c r="E8257" s="18"/>
      <c r="F8257" s="18"/>
    </row>
    <row r="8258" spans="5:6" ht="15" customHeight="1" x14ac:dyDescent="0.2">
      <c r="E8258" s="18"/>
      <c r="F8258" s="18"/>
    </row>
    <row r="8259" spans="5:6" ht="15" customHeight="1" x14ac:dyDescent="0.2">
      <c r="E8259" s="18"/>
      <c r="F8259" s="18"/>
    </row>
    <row r="8260" spans="5:6" ht="15" customHeight="1" x14ac:dyDescent="0.2">
      <c r="E8260" s="18"/>
      <c r="F8260" s="18"/>
    </row>
    <row r="8261" spans="5:6" ht="15" customHeight="1" x14ac:dyDescent="0.2">
      <c r="E8261" s="18"/>
      <c r="F8261" s="18"/>
    </row>
    <row r="8262" spans="5:6" ht="15" customHeight="1" x14ac:dyDescent="0.2">
      <c r="E8262" s="18"/>
      <c r="F8262" s="18"/>
    </row>
    <row r="8263" spans="5:6" ht="15" customHeight="1" x14ac:dyDescent="0.2">
      <c r="E8263" s="18"/>
      <c r="F8263" s="18"/>
    </row>
    <row r="8264" spans="5:6" ht="15" customHeight="1" x14ac:dyDescent="0.2">
      <c r="E8264" s="18"/>
      <c r="F8264" s="18"/>
    </row>
    <row r="8265" spans="5:6" ht="15" customHeight="1" x14ac:dyDescent="0.2">
      <c r="E8265" s="18"/>
      <c r="F8265" s="18"/>
    </row>
    <row r="8266" spans="5:6" ht="15" customHeight="1" x14ac:dyDescent="0.2">
      <c r="E8266" s="18"/>
      <c r="F8266" s="18"/>
    </row>
    <row r="8267" spans="5:6" ht="15" customHeight="1" x14ac:dyDescent="0.2">
      <c r="E8267" s="18"/>
      <c r="F8267" s="18"/>
    </row>
    <row r="8268" spans="5:6" ht="15" customHeight="1" x14ac:dyDescent="0.2">
      <c r="E8268" s="18"/>
      <c r="F8268" s="18"/>
    </row>
    <row r="8269" spans="5:6" ht="15" customHeight="1" x14ac:dyDescent="0.2">
      <c r="E8269" s="18"/>
      <c r="F8269" s="18"/>
    </row>
    <row r="8270" spans="5:6" ht="15" customHeight="1" x14ac:dyDescent="0.2">
      <c r="E8270" s="18"/>
      <c r="F8270" s="18"/>
    </row>
    <row r="8271" spans="5:6" ht="15" customHeight="1" x14ac:dyDescent="0.2">
      <c r="E8271" s="18"/>
      <c r="F8271" s="18"/>
    </row>
    <row r="8272" spans="5:6" ht="15" customHeight="1" x14ac:dyDescent="0.2">
      <c r="E8272" s="18"/>
      <c r="F8272" s="18"/>
    </row>
    <row r="8273" spans="5:6" ht="15" customHeight="1" x14ac:dyDescent="0.2">
      <c r="E8273" s="18"/>
      <c r="F8273" s="18"/>
    </row>
    <row r="8274" spans="5:6" ht="15" customHeight="1" x14ac:dyDescent="0.2">
      <c r="E8274" s="18"/>
      <c r="F8274" s="18"/>
    </row>
    <row r="8275" spans="5:6" ht="15" customHeight="1" x14ac:dyDescent="0.2">
      <c r="E8275" s="18"/>
      <c r="F8275" s="18"/>
    </row>
    <row r="8276" spans="5:6" ht="15" customHeight="1" x14ac:dyDescent="0.2">
      <c r="E8276" s="18"/>
      <c r="F8276" s="18"/>
    </row>
    <row r="8277" spans="5:6" ht="15" customHeight="1" x14ac:dyDescent="0.2">
      <c r="E8277" s="18"/>
      <c r="F8277" s="18"/>
    </row>
    <row r="8278" spans="5:6" ht="15" customHeight="1" x14ac:dyDescent="0.2">
      <c r="E8278" s="18"/>
      <c r="F8278" s="18"/>
    </row>
    <row r="8279" spans="5:6" ht="15" customHeight="1" x14ac:dyDescent="0.2">
      <c r="E8279" s="18"/>
      <c r="F8279" s="18"/>
    </row>
    <row r="8280" spans="5:6" ht="15" customHeight="1" x14ac:dyDescent="0.2">
      <c r="E8280" s="18"/>
      <c r="F8280" s="18"/>
    </row>
    <row r="8281" spans="5:6" ht="15" customHeight="1" x14ac:dyDescent="0.2">
      <c r="E8281" s="18"/>
      <c r="F8281" s="18"/>
    </row>
    <row r="8282" spans="5:6" ht="15" customHeight="1" x14ac:dyDescent="0.2">
      <c r="E8282" s="18"/>
      <c r="F8282" s="18"/>
    </row>
    <row r="8283" spans="5:6" ht="15" customHeight="1" x14ac:dyDescent="0.2">
      <c r="E8283" s="18"/>
      <c r="F8283" s="18"/>
    </row>
    <row r="8284" spans="5:6" ht="15" customHeight="1" x14ac:dyDescent="0.2">
      <c r="E8284" s="18"/>
      <c r="F8284" s="18"/>
    </row>
    <row r="8285" spans="5:6" ht="15" customHeight="1" x14ac:dyDescent="0.2">
      <c r="E8285" s="18"/>
      <c r="F8285" s="18"/>
    </row>
    <row r="8286" spans="5:6" ht="15" customHeight="1" x14ac:dyDescent="0.2">
      <c r="E8286" s="18"/>
      <c r="F8286" s="18"/>
    </row>
    <row r="8287" spans="5:6" ht="15" customHeight="1" x14ac:dyDescent="0.2">
      <c r="E8287" s="18"/>
      <c r="F8287" s="18"/>
    </row>
    <row r="8288" spans="5:6" ht="15" customHeight="1" x14ac:dyDescent="0.2">
      <c r="E8288" s="18"/>
      <c r="F8288" s="18"/>
    </row>
    <row r="8289" spans="5:6" ht="15" customHeight="1" x14ac:dyDescent="0.2">
      <c r="E8289" s="18"/>
      <c r="F8289" s="18"/>
    </row>
    <row r="8290" spans="5:6" ht="15" customHeight="1" x14ac:dyDescent="0.2">
      <c r="E8290" s="18"/>
      <c r="F8290" s="18"/>
    </row>
    <row r="8291" spans="5:6" ht="15" customHeight="1" x14ac:dyDescent="0.2">
      <c r="E8291" s="18"/>
      <c r="F8291" s="18"/>
    </row>
    <row r="8292" spans="5:6" ht="15" customHeight="1" x14ac:dyDescent="0.2">
      <c r="E8292" s="18"/>
      <c r="F8292" s="18"/>
    </row>
    <row r="8293" spans="5:6" ht="15" customHeight="1" x14ac:dyDescent="0.2">
      <c r="E8293" s="18"/>
      <c r="F8293" s="18"/>
    </row>
    <row r="8294" spans="5:6" ht="15" customHeight="1" x14ac:dyDescent="0.2">
      <c r="E8294" s="18"/>
      <c r="F8294" s="18"/>
    </row>
    <row r="8295" spans="5:6" ht="15" customHeight="1" x14ac:dyDescent="0.2">
      <c r="E8295" s="18"/>
      <c r="F8295" s="18"/>
    </row>
    <row r="8296" spans="5:6" ht="15" customHeight="1" x14ac:dyDescent="0.2">
      <c r="E8296" s="18"/>
      <c r="F8296" s="18"/>
    </row>
    <row r="8297" spans="5:6" ht="15" customHeight="1" x14ac:dyDescent="0.2">
      <c r="E8297" s="18"/>
      <c r="F8297" s="18"/>
    </row>
    <row r="8298" spans="5:6" ht="15" customHeight="1" x14ac:dyDescent="0.2">
      <c r="E8298" s="18"/>
      <c r="F8298" s="18"/>
    </row>
    <row r="8299" spans="5:6" ht="15" customHeight="1" x14ac:dyDescent="0.2">
      <c r="E8299" s="18"/>
      <c r="F8299" s="18"/>
    </row>
    <row r="8300" spans="5:6" ht="15" customHeight="1" x14ac:dyDescent="0.2">
      <c r="E8300" s="18"/>
      <c r="F8300" s="18"/>
    </row>
    <row r="8301" spans="5:6" ht="15" customHeight="1" x14ac:dyDescent="0.2">
      <c r="E8301" s="18"/>
      <c r="F8301" s="18"/>
    </row>
    <row r="8302" spans="5:6" ht="15" customHeight="1" x14ac:dyDescent="0.2">
      <c r="E8302" s="18"/>
      <c r="F8302" s="18"/>
    </row>
    <row r="8303" spans="5:6" ht="15" customHeight="1" x14ac:dyDescent="0.2">
      <c r="E8303" s="18"/>
      <c r="F8303" s="18"/>
    </row>
    <row r="8304" spans="5:6" ht="15" customHeight="1" x14ac:dyDescent="0.2">
      <c r="E8304" s="18"/>
      <c r="F8304" s="18"/>
    </row>
    <row r="8305" spans="5:6" ht="15" customHeight="1" x14ac:dyDescent="0.2">
      <c r="E8305" s="18"/>
      <c r="F8305" s="18"/>
    </row>
    <row r="8306" spans="5:6" ht="15" customHeight="1" x14ac:dyDescent="0.2">
      <c r="E8306" s="18"/>
      <c r="F8306" s="18"/>
    </row>
    <row r="8307" spans="5:6" ht="15" customHeight="1" x14ac:dyDescent="0.2">
      <c r="E8307" s="18"/>
      <c r="F8307" s="18"/>
    </row>
    <row r="8308" spans="5:6" ht="15" customHeight="1" x14ac:dyDescent="0.2">
      <c r="E8308" s="18"/>
      <c r="F8308" s="18"/>
    </row>
    <row r="8309" spans="5:6" ht="15" customHeight="1" x14ac:dyDescent="0.2">
      <c r="E8309" s="18"/>
      <c r="F8309" s="18"/>
    </row>
    <row r="8310" spans="5:6" ht="15" customHeight="1" x14ac:dyDescent="0.2">
      <c r="E8310" s="18"/>
      <c r="F8310" s="18"/>
    </row>
    <row r="8311" spans="5:6" ht="15" customHeight="1" x14ac:dyDescent="0.2">
      <c r="E8311" s="18"/>
      <c r="F8311" s="18"/>
    </row>
    <row r="8312" spans="5:6" ht="15" customHeight="1" x14ac:dyDescent="0.2">
      <c r="E8312" s="18"/>
      <c r="F8312" s="18"/>
    </row>
    <row r="8313" spans="5:6" ht="15" customHeight="1" x14ac:dyDescent="0.2">
      <c r="E8313" s="18"/>
      <c r="F8313" s="18"/>
    </row>
    <row r="8314" spans="5:6" ht="15" customHeight="1" x14ac:dyDescent="0.2">
      <c r="E8314" s="18"/>
      <c r="F8314" s="18"/>
    </row>
    <row r="8315" spans="5:6" ht="15" customHeight="1" x14ac:dyDescent="0.2">
      <c r="E8315" s="18"/>
      <c r="F8315" s="18"/>
    </row>
    <row r="8316" spans="5:6" ht="15" customHeight="1" x14ac:dyDescent="0.2">
      <c r="E8316" s="18"/>
      <c r="F8316" s="18"/>
    </row>
    <row r="8317" spans="5:6" ht="15" customHeight="1" x14ac:dyDescent="0.2">
      <c r="E8317" s="18"/>
      <c r="F8317" s="18"/>
    </row>
    <row r="8318" spans="5:6" ht="15" customHeight="1" x14ac:dyDescent="0.2">
      <c r="E8318" s="18"/>
      <c r="F8318" s="18"/>
    </row>
    <row r="8319" spans="5:6" ht="15" customHeight="1" x14ac:dyDescent="0.2">
      <c r="E8319" s="18"/>
      <c r="F8319" s="18"/>
    </row>
    <row r="8320" spans="5:6" ht="15" customHeight="1" x14ac:dyDescent="0.2">
      <c r="E8320" s="18"/>
      <c r="F8320" s="18"/>
    </row>
    <row r="8321" spans="5:6" ht="15" customHeight="1" x14ac:dyDescent="0.2">
      <c r="E8321" s="18"/>
      <c r="F8321" s="18"/>
    </row>
    <row r="8322" spans="5:6" ht="15" customHeight="1" x14ac:dyDescent="0.2">
      <c r="E8322" s="18"/>
      <c r="F8322" s="18"/>
    </row>
    <row r="8323" spans="5:6" ht="15" customHeight="1" x14ac:dyDescent="0.2">
      <c r="E8323" s="18"/>
      <c r="F8323" s="18"/>
    </row>
    <row r="8324" spans="5:6" ht="15" customHeight="1" x14ac:dyDescent="0.2">
      <c r="E8324" s="18"/>
      <c r="F8324" s="18"/>
    </row>
    <row r="8325" spans="5:6" ht="15" customHeight="1" x14ac:dyDescent="0.2">
      <c r="E8325" s="18"/>
      <c r="F8325" s="18"/>
    </row>
    <row r="8326" spans="5:6" ht="15" customHeight="1" x14ac:dyDescent="0.2">
      <c r="E8326" s="18"/>
      <c r="F8326" s="18"/>
    </row>
    <row r="8327" spans="5:6" ht="15" customHeight="1" x14ac:dyDescent="0.2">
      <c r="E8327" s="18"/>
      <c r="F8327" s="18"/>
    </row>
    <row r="8328" spans="5:6" ht="15" customHeight="1" x14ac:dyDescent="0.2">
      <c r="E8328" s="18"/>
      <c r="F8328" s="18"/>
    </row>
    <row r="8329" spans="5:6" ht="15" customHeight="1" x14ac:dyDescent="0.2">
      <c r="E8329" s="18"/>
      <c r="F8329" s="18"/>
    </row>
    <row r="8330" spans="5:6" ht="15" customHeight="1" x14ac:dyDescent="0.2">
      <c r="E8330" s="18"/>
      <c r="F8330" s="18"/>
    </row>
    <row r="8331" spans="5:6" ht="15" customHeight="1" x14ac:dyDescent="0.2">
      <c r="E8331" s="18"/>
      <c r="F8331" s="18"/>
    </row>
    <row r="8332" spans="5:6" ht="15" customHeight="1" x14ac:dyDescent="0.2">
      <c r="E8332" s="18"/>
      <c r="F8332" s="18"/>
    </row>
    <row r="8333" spans="5:6" ht="15" customHeight="1" x14ac:dyDescent="0.2">
      <c r="E8333" s="18"/>
      <c r="F8333" s="18"/>
    </row>
    <row r="8334" spans="5:6" ht="15" customHeight="1" x14ac:dyDescent="0.2">
      <c r="E8334" s="18"/>
      <c r="F8334" s="18"/>
    </row>
    <row r="8335" spans="5:6" ht="15" customHeight="1" x14ac:dyDescent="0.2">
      <c r="E8335" s="18"/>
      <c r="F8335" s="18"/>
    </row>
    <row r="8336" spans="5:6" ht="15" customHeight="1" x14ac:dyDescent="0.2">
      <c r="E8336" s="18"/>
      <c r="F8336" s="18"/>
    </row>
    <row r="8337" spans="5:6" ht="15" customHeight="1" x14ac:dyDescent="0.2">
      <c r="E8337" s="18"/>
      <c r="F8337" s="18"/>
    </row>
    <row r="8338" spans="5:6" ht="15" customHeight="1" x14ac:dyDescent="0.2">
      <c r="E8338" s="18"/>
      <c r="F8338" s="18"/>
    </row>
    <row r="8339" spans="5:6" ht="15" customHeight="1" x14ac:dyDescent="0.2">
      <c r="E8339" s="18"/>
      <c r="F8339" s="18"/>
    </row>
    <row r="8340" spans="5:6" ht="15" customHeight="1" x14ac:dyDescent="0.2">
      <c r="E8340" s="18"/>
      <c r="F8340" s="18"/>
    </row>
    <row r="8341" spans="5:6" ht="15" customHeight="1" x14ac:dyDescent="0.2">
      <c r="E8341" s="18"/>
      <c r="F8341" s="18"/>
    </row>
    <row r="8342" spans="5:6" ht="15" customHeight="1" x14ac:dyDescent="0.2">
      <c r="E8342" s="18"/>
      <c r="F8342" s="18"/>
    </row>
    <row r="8343" spans="5:6" ht="15" customHeight="1" x14ac:dyDescent="0.2">
      <c r="E8343" s="18"/>
      <c r="F8343" s="18"/>
    </row>
    <row r="8344" spans="5:6" ht="15" customHeight="1" x14ac:dyDescent="0.2">
      <c r="E8344" s="18"/>
      <c r="F8344" s="18"/>
    </row>
    <row r="8345" spans="5:6" ht="15" customHeight="1" x14ac:dyDescent="0.2">
      <c r="E8345" s="18"/>
      <c r="F8345" s="18"/>
    </row>
    <row r="8346" spans="5:6" ht="15" customHeight="1" x14ac:dyDescent="0.2">
      <c r="E8346" s="18"/>
      <c r="F8346" s="18"/>
    </row>
    <row r="8347" spans="5:6" ht="15" customHeight="1" x14ac:dyDescent="0.2">
      <c r="E8347" s="18"/>
      <c r="F8347" s="18"/>
    </row>
    <row r="8348" spans="5:6" ht="15" customHeight="1" x14ac:dyDescent="0.2">
      <c r="E8348" s="18"/>
      <c r="F8348" s="18"/>
    </row>
    <row r="8349" spans="5:6" ht="15" customHeight="1" x14ac:dyDescent="0.2">
      <c r="E8349" s="18"/>
      <c r="F8349" s="18"/>
    </row>
    <row r="8350" spans="5:6" ht="15" customHeight="1" x14ac:dyDescent="0.2">
      <c r="E8350" s="18"/>
      <c r="F8350" s="18"/>
    </row>
    <row r="8351" spans="5:6" ht="15" customHeight="1" x14ac:dyDescent="0.2">
      <c r="E8351" s="18"/>
      <c r="F8351" s="18"/>
    </row>
    <row r="8352" spans="5:6" ht="15" customHeight="1" x14ac:dyDescent="0.2">
      <c r="E8352" s="18"/>
      <c r="F8352" s="18"/>
    </row>
    <row r="8353" spans="5:6" ht="15" customHeight="1" x14ac:dyDescent="0.2">
      <c r="E8353" s="18"/>
      <c r="F8353" s="18"/>
    </row>
    <row r="8354" spans="5:6" ht="15" customHeight="1" x14ac:dyDescent="0.2">
      <c r="E8354" s="18"/>
      <c r="F8354" s="18"/>
    </row>
    <row r="8355" spans="5:6" ht="15" customHeight="1" x14ac:dyDescent="0.2">
      <c r="E8355" s="18"/>
      <c r="F8355" s="18"/>
    </row>
    <row r="8356" spans="5:6" ht="15" customHeight="1" x14ac:dyDescent="0.2">
      <c r="E8356" s="18"/>
      <c r="F8356" s="18"/>
    </row>
    <row r="8357" spans="5:6" ht="15" customHeight="1" x14ac:dyDescent="0.2">
      <c r="E8357" s="18"/>
      <c r="F8357" s="18"/>
    </row>
    <row r="8358" spans="5:6" ht="15" customHeight="1" x14ac:dyDescent="0.2">
      <c r="E8358" s="18"/>
      <c r="F8358" s="18"/>
    </row>
    <row r="8359" spans="5:6" ht="15" customHeight="1" x14ac:dyDescent="0.2">
      <c r="E8359" s="18"/>
      <c r="F8359" s="18"/>
    </row>
    <row r="8360" spans="5:6" ht="15" customHeight="1" x14ac:dyDescent="0.2">
      <c r="E8360" s="18"/>
      <c r="F8360" s="18"/>
    </row>
    <row r="8361" spans="5:6" ht="15" customHeight="1" x14ac:dyDescent="0.2">
      <c r="E8361" s="18"/>
      <c r="F8361" s="18"/>
    </row>
    <row r="8362" spans="5:6" ht="15" customHeight="1" x14ac:dyDescent="0.2">
      <c r="E8362" s="18"/>
      <c r="F8362" s="18"/>
    </row>
    <row r="8363" spans="5:6" ht="15" customHeight="1" x14ac:dyDescent="0.2">
      <c r="E8363" s="18"/>
      <c r="F8363" s="18"/>
    </row>
    <row r="8364" spans="5:6" ht="15" customHeight="1" x14ac:dyDescent="0.2">
      <c r="E8364" s="18"/>
      <c r="F8364" s="18"/>
    </row>
    <row r="8365" spans="5:6" ht="15" customHeight="1" x14ac:dyDescent="0.2">
      <c r="E8365" s="18"/>
      <c r="F8365" s="18"/>
    </row>
    <row r="8366" spans="5:6" ht="15" customHeight="1" x14ac:dyDescent="0.2">
      <c r="E8366" s="18"/>
      <c r="F8366" s="18"/>
    </row>
    <row r="8367" spans="5:6" ht="15" customHeight="1" x14ac:dyDescent="0.2">
      <c r="E8367" s="18"/>
      <c r="F8367" s="18"/>
    </row>
    <row r="8368" spans="5:6" ht="15" customHeight="1" x14ac:dyDescent="0.2">
      <c r="E8368" s="18"/>
      <c r="F8368" s="18"/>
    </row>
    <row r="8369" spans="5:6" ht="15" customHeight="1" x14ac:dyDescent="0.2">
      <c r="E8369" s="18"/>
      <c r="F8369" s="18"/>
    </row>
    <row r="8370" spans="5:6" ht="15" customHeight="1" x14ac:dyDescent="0.2">
      <c r="E8370" s="18"/>
      <c r="F8370" s="18"/>
    </row>
    <row r="8371" spans="5:6" ht="15" customHeight="1" x14ac:dyDescent="0.2">
      <c r="E8371" s="18"/>
      <c r="F8371" s="18"/>
    </row>
    <row r="8372" spans="5:6" ht="15" customHeight="1" x14ac:dyDescent="0.2">
      <c r="E8372" s="18"/>
      <c r="F8372" s="18"/>
    </row>
    <row r="8373" spans="5:6" ht="15" customHeight="1" x14ac:dyDescent="0.2">
      <c r="E8373" s="18"/>
      <c r="F8373" s="18"/>
    </row>
    <row r="8374" spans="5:6" ht="15" customHeight="1" x14ac:dyDescent="0.2">
      <c r="E8374" s="18"/>
      <c r="F8374" s="18"/>
    </row>
    <row r="8375" spans="5:6" ht="15" customHeight="1" x14ac:dyDescent="0.2">
      <c r="E8375" s="18"/>
      <c r="F8375" s="18"/>
    </row>
    <row r="8376" spans="5:6" ht="15" customHeight="1" x14ac:dyDescent="0.2">
      <c r="E8376" s="18"/>
      <c r="F8376" s="18"/>
    </row>
    <row r="8377" spans="5:6" ht="15" customHeight="1" x14ac:dyDescent="0.2">
      <c r="E8377" s="18"/>
      <c r="F8377" s="18"/>
    </row>
    <row r="8378" spans="5:6" ht="15" customHeight="1" x14ac:dyDescent="0.2">
      <c r="E8378" s="18"/>
      <c r="F8378" s="18"/>
    </row>
    <row r="8379" spans="5:6" ht="15" customHeight="1" x14ac:dyDescent="0.2">
      <c r="E8379" s="18"/>
      <c r="F8379" s="18"/>
    </row>
    <row r="8380" spans="5:6" ht="15" customHeight="1" x14ac:dyDescent="0.2">
      <c r="E8380" s="18"/>
      <c r="F8380" s="18"/>
    </row>
    <row r="8381" spans="5:6" ht="15" customHeight="1" x14ac:dyDescent="0.2">
      <c r="E8381" s="18"/>
      <c r="F8381" s="18"/>
    </row>
    <row r="8382" spans="5:6" ht="15" customHeight="1" x14ac:dyDescent="0.2">
      <c r="E8382" s="18"/>
      <c r="F8382" s="18"/>
    </row>
    <row r="8383" spans="5:6" ht="15" customHeight="1" x14ac:dyDescent="0.2">
      <c r="E8383" s="18"/>
      <c r="F8383" s="18"/>
    </row>
    <row r="8384" spans="5:6" ht="15" customHeight="1" x14ac:dyDescent="0.2">
      <c r="E8384" s="18"/>
      <c r="F8384" s="18"/>
    </row>
    <row r="8385" spans="5:6" ht="15" customHeight="1" x14ac:dyDescent="0.2">
      <c r="E8385" s="18"/>
      <c r="F8385" s="18"/>
    </row>
    <row r="8386" spans="5:6" ht="15" customHeight="1" x14ac:dyDescent="0.2">
      <c r="E8386" s="18"/>
      <c r="F8386" s="18"/>
    </row>
    <row r="8387" spans="5:6" ht="15" customHeight="1" x14ac:dyDescent="0.2">
      <c r="E8387" s="18"/>
      <c r="F8387" s="18"/>
    </row>
    <row r="8388" spans="5:6" ht="15" customHeight="1" x14ac:dyDescent="0.2">
      <c r="E8388" s="18"/>
      <c r="F8388" s="18"/>
    </row>
    <row r="8389" spans="5:6" ht="15" customHeight="1" x14ac:dyDescent="0.2">
      <c r="E8389" s="18"/>
      <c r="F8389" s="18"/>
    </row>
    <row r="8390" spans="5:6" ht="15" customHeight="1" x14ac:dyDescent="0.2">
      <c r="E8390" s="18"/>
      <c r="F8390" s="18"/>
    </row>
    <row r="8391" spans="5:6" ht="15" customHeight="1" x14ac:dyDescent="0.2">
      <c r="E8391" s="18"/>
      <c r="F8391" s="18"/>
    </row>
    <row r="8392" spans="5:6" ht="15" customHeight="1" x14ac:dyDescent="0.2">
      <c r="E8392" s="18"/>
      <c r="F8392" s="18"/>
    </row>
    <row r="8393" spans="5:6" ht="15" customHeight="1" x14ac:dyDescent="0.2">
      <c r="E8393" s="18"/>
      <c r="F8393" s="18"/>
    </row>
    <row r="8394" spans="5:6" ht="15" customHeight="1" x14ac:dyDescent="0.2">
      <c r="E8394" s="18"/>
      <c r="F8394" s="18"/>
    </row>
    <row r="8395" spans="5:6" ht="15" customHeight="1" x14ac:dyDescent="0.2">
      <c r="E8395" s="18"/>
      <c r="F8395" s="18"/>
    </row>
    <row r="8396" spans="5:6" ht="15" customHeight="1" x14ac:dyDescent="0.2">
      <c r="E8396" s="18"/>
      <c r="F8396" s="18"/>
    </row>
    <row r="8397" spans="5:6" ht="15" customHeight="1" x14ac:dyDescent="0.2">
      <c r="E8397" s="18"/>
      <c r="F8397" s="18"/>
    </row>
    <row r="8398" spans="5:6" ht="15" customHeight="1" x14ac:dyDescent="0.2">
      <c r="E8398" s="18"/>
      <c r="F8398" s="18"/>
    </row>
    <row r="8399" spans="5:6" ht="15" customHeight="1" x14ac:dyDescent="0.2">
      <c r="E8399" s="18"/>
      <c r="F8399" s="18"/>
    </row>
    <row r="8400" spans="5:6" ht="15" customHeight="1" x14ac:dyDescent="0.2">
      <c r="E8400" s="18"/>
      <c r="F8400" s="18"/>
    </row>
    <row r="8401" spans="5:6" ht="15" customHeight="1" x14ac:dyDescent="0.2">
      <c r="E8401" s="18"/>
      <c r="F8401" s="18"/>
    </row>
    <row r="8402" spans="5:6" ht="15" customHeight="1" x14ac:dyDescent="0.2">
      <c r="E8402" s="18"/>
      <c r="F8402" s="18"/>
    </row>
    <row r="8403" spans="5:6" ht="15" customHeight="1" x14ac:dyDescent="0.2">
      <c r="E8403" s="18"/>
      <c r="F8403" s="18"/>
    </row>
    <row r="8404" spans="5:6" ht="15" customHeight="1" x14ac:dyDescent="0.2">
      <c r="E8404" s="18"/>
      <c r="F8404" s="18"/>
    </row>
    <row r="8405" spans="5:6" ht="15" customHeight="1" x14ac:dyDescent="0.2">
      <c r="E8405" s="18"/>
      <c r="F8405" s="18"/>
    </row>
    <row r="8406" spans="5:6" ht="15" customHeight="1" x14ac:dyDescent="0.2">
      <c r="E8406" s="18"/>
      <c r="F8406" s="18"/>
    </row>
    <row r="8407" spans="5:6" ht="15" customHeight="1" x14ac:dyDescent="0.2">
      <c r="E8407" s="18"/>
      <c r="F8407" s="18"/>
    </row>
    <row r="8408" spans="5:6" ht="15" customHeight="1" x14ac:dyDescent="0.2">
      <c r="E8408" s="18"/>
      <c r="F8408" s="18"/>
    </row>
    <row r="8409" spans="5:6" ht="15" customHeight="1" x14ac:dyDescent="0.2">
      <c r="E8409" s="18"/>
      <c r="F8409" s="18"/>
    </row>
    <row r="8410" spans="5:6" ht="15" customHeight="1" x14ac:dyDescent="0.2">
      <c r="E8410" s="18"/>
      <c r="F8410" s="18"/>
    </row>
    <row r="8411" spans="5:6" ht="15" customHeight="1" x14ac:dyDescent="0.2">
      <c r="E8411" s="18"/>
      <c r="F8411" s="18"/>
    </row>
    <row r="8412" spans="5:6" ht="15" customHeight="1" x14ac:dyDescent="0.2">
      <c r="E8412" s="18"/>
      <c r="F8412" s="18"/>
    </row>
    <row r="8413" spans="5:6" ht="15" customHeight="1" x14ac:dyDescent="0.2">
      <c r="E8413" s="18"/>
      <c r="F8413" s="18"/>
    </row>
    <row r="8414" spans="5:6" ht="15" customHeight="1" x14ac:dyDescent="0.2">
      <c r="E8414" s="18"/>
      <c r="F8414" s="18"/>
    </row>
    <row r="8415" spans="5:6" ht="15" customHeight="1" x14ac:dyDescent="0.2">
      <c r="E8415" s="18"/>
      <c r="F8415" s="18"/>
    </row>
    <row r="8416" spans="5:6" ht="15" customHeight="1" x14ac:dyDescent="0.2">
      <c r="E8416" s="18"/>
      <c r="F8416" s="18"/>
    </row>
    <row r="8417" spans="5:6" ht="15" customHeight="1" x14ac:dyDescent="0.2">
      <c r="E8417" s="18"/>
      <c r="F8417" s="18"/>
    </row>
    <row r="8418" spans="5:6" ht="15" customHeight="1" x14ac:dyDescent="0.2">
      <c r="E8418" s="18"/>
      <c r="F8418" s="18"/>
    </row>
    <row r="8419" spans="5:6" ht="15" customHeight="1" x14ac:dyDescent="0.2">
      <c r="E8419" s="18"/>
      <c r="F8419" s="18"/>
    </row>
    <row r="8420" spans="5:6" ht="15" customHeight="1" x14ac:dyDescent="0.2">
      <c r="E8420" s="18"/>
      <c r="F8420" s="18"/>
    </row>
    <row r="8421" spans="5:6" ht="15" customHeight="1" x14ac:dyDescent="0.2">
      <c r="E8421" s="18"/>
      <c r="F8421" s="18"/>
    </row>
    <row r="8422" spans="5:6" ht="15" customHeight="1" x14ac:dyDescent="0.2">
      <c r="E8422" s="18"/>
      <c r="F8422" s="18"/>
    </row>
    <row r="8423" spans="5:6" ht="15" customHeight="1" x14ac:dyDescent="0.2">
      <c r="E8423" s="18"/>
      <c r="F8423" s="18"/>
    </row>
    <row r="8424" spans="5:6" ht="15" customHeight="1" x14ac:dyDescent="0.2">
      <c r="E8424" s="18"/>
      <c r="F8424" s="18"/>
    </row>
    <row r="8425" spans="5:6" ht="15" customHeight="1" x14ac:dyDescent="0.2">
      <c r="E8425" s="18"/>
      <c r="F8425" s="18"/>
    </row>
    <row r="8426" spans="5:6" ht="15" customHeight="1" x14ac:dyDescent="0.2">
      <c r="E8426" s="18"/>
      <c r="F8426" s="18"/>
    </row>
    <row r="8427" spans="5:6" ht="15" customHeight="1" x14ac:dyDescent="0.2">
      <c r="E8427" s="18"/>
      <c r="F8427" s="18"/>
    </row>
    <row r="8428" spans="5:6" ht="15" customHeight="1" x14ac:dyDescent="0.2">
      <c r="E8428" s="18"/>
      <c r="F8428" s="18"/>
    </row>
    <row r="8429" spans="5:6" ht="15" customHeight="1" x14ac:dyDescent="0.2">
      <c r="E8429" s="18"/>
      <c r="F8429" s="18"/>
    </row>
    <row r="8430" spans="5:6" ht="15" customHeight="1" x14ac:dyDescent="0.2">
      <c r="E8430" s="18"/>
      <c r="F8430" s="18"/>
    </row>
    <row r="8431" spans="5:6" ht="15" customHeight="1" x14ac:dyDescent="0.2">
      <c r="E8431" s="18"/>
      <c r="F8431" s="18"/>
    </row>
    <row r="8432" spans="5:6" ht="15" customHeight="1" x14ac:dyDescent="0.2">
      <c r="E8432" s="18"/>
      <c r="F8432" s="18"/>
    </row>
    <row r="8433" spans="5:6" ht="15" customHeight="1" x14ac:dyDescent="0.2">
      <c r="E8433" s="18"/>
      <c r="F8433" s="18"/>
    </row>
    <row r="8434" spans="5:6" ht="15" customHeight="1" x14ac:dyDescent="0.2">
      <c r="E8434" s="18"/>
      <c r="F8434" s="18"/>
    </row>
    <row r="8435" spans="5:6" ht="15" customHeight="1" x14ac:dyDescent="0.2">
      <c r="E8435" s="18"/>
      <c r="F8435" s="18"/>
    </row>
    <row r="8436" spans="5:6" ht="15" customHeight="1" x14ac:dyDescent="0.2">
      <c r="E8436" s="18"/>
      <c r="F8436" s="18"/>
    </row>
    <row r="8437" spans="5:6" ht="15" customHeight="1" x14ac:dyDescent="0.2">
      <c r="E8437" s="18"/>
      <c r="F8437" s="18"/>
    </row>
    <row r="8438" spans="5:6" ht="15" customHeight="1" x14ac:dyDescent="0.2">
      <c r="E8438" s="18"/>
      <c r="F8438" s="18"/>
    </row>
    <row r="8439" spans="5:6" ht="15" customHeight="1" x14ac:dyDescent="0.2">
      <c r="E8439" s="18"/>
      <c r="F8439" s="18"/>
    </row>
    <row r="8440" spans="5:6" ht="15" customHeight="1" x14ac:dyDescent="0.2">
      <c r="E8440" s="18"/>
      <c r="F8440" s="18"/>
    </row>
    <row r="8441" spans="5:6" ht="15" customHeight="1" x14ac:dyDescent="0.2">
      <c r="E8441" s="18"/>
      <c r="F8441" s="18"/>
    </row>
    <row r="8442" spans="5:6" ht="15" customHeight="1" x14ac:dyDescent="0.2">
      <c r="E8442" s="18"/>
      <c r="F8442" s="18"/>
    </row>
    <row r="8443" spans="5:6" ht="15" customHeight="1" x14ac:dyDescent="0.2">
      <c r="E8443" s="18"/>
      <c r="F8443" s="18"/>
    </row>
    <row r="8444" spans="5:6" ht="15" customHeight="1" x14ac:dyDescent="0.2">
      <c r="E8444" s="18"/>
      <c r="F8444" s="18"/>
    </row>
    <row r="8445" spans="5:6" ht="15" customHeight="1" x14ac:dyDescent="0.2">
      <c r="E8445" s="18"/>
      <c r="F8445" s="18"/>
    </row>
    <row r="8446" spans="5:6" ht="15" customHeight="1" x14ac:dyDescent="0.2">
      <c r="E8446" s="18"/>
      <c r="F8446" s="18"/>
    </row>
    <row r="8447" spans="5:6" ht="15" customHeight="1" x14ac:dyDescent="0.2">
      <c r="E8447" s="18"/>
      <c r="F8447" s="18"/>
    </row>
    <row r="8448" spans="5:6" ht="15" customHeight="1" x14ac:dyDescent="0.2">
      <c r="E8448" s="18"/>
      <c r="F8448" s="18"/>
    </row>
    <row r="8449" spans="5:6" ht="15" customHeight="1" x14ac:dyDescent="0.2">
      <c r="E8449" s="18"/>
      <c r="F8449" s="18"/>
    </row>
    <row r="8450" spans="5:6" ht="15" customHeight="1" x14ac:dyDescent="0.2">
      <c r="E8450" s="18"/>
      <c r="F8450" s="18"/>
    </row>
    <row r="8451" spans="5:6" ht="15" customHeight="1" x14ac:dyDescent="0.2">
      <c r="E8451" s="18"/>
      <c r="F8451" s="18"/>
    </row>
    <row r="8452" spans="5:6" ht="15" customHeight="1" x14ac:dyDescent="0.2">
      <c r="E8452" s="18"/>
      <c r="F8452" s="18"/>
    </row>
    <row r="8453" spans="5:6" ht="15" customHeight="1" x14ac:dyDescent="0.2">
      <c r="E8453" s="18"/>
      <c r="F8453" s="18"/>
    </row>
    <row r="8454" spans="5:6" ht="15" customHeight="1" x14ac:dyDescent="0.2">
      <c r="E8454" s="18"/>
      <c r="F8454" s="18"/>
    </row>
    <row r="8455" spans="5:6" ht="15" customHeight="1" x14ac:dyDescent="0.2">
      <c r="E8455" s="18"/>
      <c r="F8455" s="18"/>
    </row>
    <row r="8456" spans="5:6" ht="15" customHeight="1" x14ac:dyDescent="0.2">
      <c r="E8456" s="18"/>
      <c r="F8456" s="18"/>
    </row>
    <row r="8457" spans="5:6" ht="15" customHeight="1" x14ac:dyDescent="0.2">
      <c r="E8457" s="18"/>
      <c r="F8457" s="18"/>
    </row>
    <row r="8458" spans="5:6" ht="15" customHeight="1" x14ac:dyDescent="0.2">
      <c r="E8458" s="18"/>
      <c r="F8458" s="18"/>
    </row>
    <row r="8459" spans="5:6" ht="15" customHeight="1" x14ac:dyDescent="0.2">
      <c r="E8459" s="18"/>
      <c r="F8459" s="18"/>
    </row>
    <row r="8460" spans="5:6" ht="15" customHeight="1" x14ac:dyDescent="0.2">
      <c r="E8460" s="18"/>
      <c r="F8460" s="18"/>
    </row>
    <row r="8461" spans="5:6" ht="15" customHeight="1" x14ac:dyDescent="0.2">
      <c r="E8461" s="18"/>
      <c r="F8461" s="18"/>
    </row>
    <row r="8462" spans="5:6" ht="15" customHeight="1" x14ac:dyDescent="0.2">
      <c r="E8462" s="18"/>
      <c r="F8462" s="18"/>
    </row>
    <row r="8463" spans="5:6" ht="15" customHeight="1" x14ac:dyDescent="0.2">
      <c r="E8463" s="18"/>
      <c r="F8463" s="18"/>
    </row>
    <row r="8464" spans="5:6" ht="15" customHeight="1" x14ac:dyDescent="0.2">
      <c r="E8464" s="18"/>
      <c r="F8464" s="18"/>
    </row>
    <row r="8465" spans="5:6" ht="15" customHeight="1" x14ac:dyDescent="0.2">
      <c r="E8465" s="18"/>
      <c r="F8465" s="18"/>
    </row>
    <row r="8466" spans="5:6" ht="15" customHeight="1" x14ac:dyDescent="0.2">
      <c r="E8466" s="18"/>
      <c r="F8466" s="18"/>
    </row>
    <row r="8467" spans="5:6" ht="15" customHeight="1" x14ac:dyDescent="0.2">
      <c r="E8467" s="18"/>
      <c r="F8467" s="18"/>
    </row>
    <row r="8468" spans="5:6" ht="15" customHeight="1" x14ac:dyDescent="0.2">
      <c r="E8468" s="18"/>
      <c r="F8468" s="18"/>
    </row>
    <row r="8469" spans="5:6" ht="15" customHeight="1" x14ac:dyDescent="0.2">
      <c r="E8469" s="18"/>
      <c r="F8469" s="18"/>
    </row>
    <row r="8470" spans="5:6" ht="15" customHeight="1" x14ac:dyDescent="0.2">
      <c r="E8470" s="18"/>
      <c r="F8470" s="18"/>
    </row>
    <row r="8471" spans="5:6" ht="15" customHeight="1" x14ac:dyDescent="0.2">
      <c r="E8471" s="18"/>
      <c r="F8471" s="18"/>
    </row>
    <row r="8472" spans="5:6" ht="15" customHeight="1" x14ac:dyDescent="0.2">
      <c r="E8472" s="18"/>
      <c r="F8472" s="18"/>
    </row>
    <row r="8473" spans="5:6" ht="15" customHeight="1" x14ac:dyDescent="0.2">
      <c r="E8473" s="18"/>
      <c r="F8473" s="18"/>
    </row>
    <row r="8474" spans="5:6" ht="15" customHeight="1" x14ac:dyDescent="0.2">
      <c r="E8474" s="18"/>
      <c r="F8474" s="18"/>
    </row>
    <row r="8475" spans="5:6" ht="15" customHeight="1" x14ac:dyDescent="0.2">
      <c r="E8475" s="18"/>
      <c r="F8475" s="18"/>
    </row>
    <row r="8476" spans="5:6" ht="15" customHeight="1" x14ac:dyDescent="0.2">
      <c r="E8476" s="18"/>
      <c r="F8476" s="18"/>
    </row>
    <row r="8477" spans="5:6" ht="15" customHeight="1" x14ac:dyDescent="0.2">
      <c r="E8477" s="18"/>
      <c r="F8477" s="18"/>
    </row>
    <row r="8478" spans="5:6" ht="15" customHeight="1" x14ac:dyDescent="0.2">
      <c r="E8478" s="18"/>
      <c r="F8478" s="18"/>
    </row>
    <row r="8479" spans="5:6" ht="15" customHeight="1" x14ac:dyDescent="0.2">
      <c r="E8479" s="18"/>
      <c r="F8479" s="18"/>
    </row>
    <row r="8480" spans="5:6" ht="15" customHeight="1" x14ac:dyDescent="0.2">
      <c r="E8480" s="18"/>
      <c r="F8480" s="18"/>
    </row>
    <row r="8481" spans="5:6" ht="15" customHeight="1" x14ac:dyDescent="0.2">
      <c r="E8481" s="18"/>
      <c r="F8481" s="18"/>
    </row>
    <row r="8482" spans="5:6" ht="15" customHeight="1" x14ac:dyDescent="0.2">
      <c r="E8482" s="18"/>
      <c r="F8482" s="18"/>
    </row>
    <row r="8483" spans="5:6" ht="15" customHeight="1" x14ac:dyDescent="0.2">
      <c r="E8483" s="18"/>
      <c r="F8483" s="18"/>
    </row>
    <row r="8484" spans="5:6" ht="15" customHeight="1" x14ac:dyDescent="0.2">
      <c r="E8484" s="18"/>
      <c r="F8484" s="18"/>
    </row>
    <row r="8485" spans="5:6" ht="15" customHeight="1" x14ac:dyDescent="0.2">
      <c r="E8485" s="18"/>
      <c r="F8485" s="18"/>
    </row>
    <row r="8486" spans="5:6" ht="15" customHeight="1" x14ac:dyDescent="0.2">
      <c r="E8486" s="18"/>
      <c r="F8486" s="18"/>
    </row>
    <row r="8487" spans="5:6" ht="15" customHeight="1" x14ac:dyDescent="0.2">
      <c r="E8487" s="18"/>
      <c r="F8487" s="18"/>
    </row>
    <row r="8488" spans="5:6" ht="15" customHeight="1" x14ac:dyDescent="0.2">
      <c r="E8488" s="18"/>
      <c r="F8488" s="18"/>
    </row>
    <row r="8489" spans="5:6" ht="15" customHeight="1" x14ac:dyDescent="0.2">
      <c r="E8489" s="18"/>
      <c r="F8489" s="18"/>
    </row>
    <row r="8490" spans="5:6" ht="15" customHeight="1" x14ac:dyDescent="0.2">
      <c r="E8490" s="18"/>
      <c r="F8490" s="18"/>
    </row>
    <row r="8491" spans="5:6" ht="15" customHeight="1" x14ac:dyDescent="0.2">
      <c r="E8491" s="18"/>
      <c r="F8491" s="18"/>
    </row>
    <row r="8492" spans="5:6" ht="15" customHeight="1" x14ac:dyDescent="0.2">
      <c r="E8492" s="18"/>
      <c r="F8492" s="18"/>
    </row>
    <row r="8493" spans="5:6" ht="15" customHeight="1" x14ac:dyDescent="0.2">
      <c r="E8493" s="18"/>
      <c r="F8493" s="18"/>
    </row>
    <row r="8494" spans="5:6" ht="15" customHeight="1" x14ac:dyDescent="0.2">
      <c r="E8494" s="18"/>
      <c r="F8494" s="18"/>
    </row>
    <row r="8495" spans="5:6" ht="15" customHeight="1" x14ac:dyDescent="0.2">
      <c r="E8495" s="18"/>
      <c r="F8495" s="18"/>
    </row>
    <row r="8496" spans="5:6" ht="15" customHeight="1" x14ac:dyDescent="0.2">
      <c r="E8496" s="18"/>
      <c r="F8496" s="18"/>
    </row>
    <row r="8497" spans="5:6" ht="15" customHeight="1" x14ac:dyDescent="0.2">
      <c r="E8497" s="18"/>
      <c r="F8497" s="18"/>
    </row>
    <row r="8498" spans="5:6" ht="15" customHeight="1" x14ac:dyDescent="0.2">
      <c r="E8498" s="18"/>
      <c r="F8498" s="18"/>
    </row>
    <row r="8499" spans="5:6" ht="15" customHeight="1" x14ac:dyDescent="0.2">
      <c r="E8499" s="18"/>
      <c r="F8499" s="18"/>
    </row>
    <row r="8500" spans="5:6" ht="15" customHeight="1" x14ac:dyDescent="0.2">
      <c r="E8500" s="18"/>
      <c r="F8500" s="18"/>
    </row>
    <row r="8501" spans="5:6" ht="15" customHeight="1" x14ac:dyDescent="0.2">
      <c r="E8501" s="18"/>
      <c r="F8501" s="18"/>
    </row>
    <row r="8502" spans="5:6" ht="15" customHeight="1" x14ac:dyDescent="0.2">
      <c r="E8502" s="18"/>
      <c r="F8502" s="18"/>
    </row>
    <row r="8503" spans="5:6" ht="15" customHeight="1" x14ac:dyDescent="0.2">
      <c r="E8503" s="18"/>
      <c r="F8503" s="18"/>
    </row>
    <row r="8504" spans="5:6" ht="15" customHeight="1" x14ac:dyDescent="0.2">
      <c r="E8504" s="18"/>
      <c r="F8504" s="18"/>
    </row>
    <row r="8505" spans="5:6" ht="15" customHeight="1" x14ac:dyDescent="0.2">
      <c r="E8505" s="18"/>
      <c r="F8505" s="18"/>
    </row>
    <row r="8506" spans="5:6" ht="15" customHeight="1" x14ac:dyDescent="0.2">
      <c r="E8506" s="18"/>
      <c r="F8506" s="18"/>
    </row>
    <row r="8507" spans="5:6" ht="15" customHeight="1" x14ac:dyDescent="0.2">
      <c r="E8507" s="18"/>
      <c r="F8507" s="18"/>
    </row>
    <row r="8508" spans="5:6" ht="15" customHeight="1" x14ac:dyDescent="0.2">
      <c r="E8508" s="18"/>
      <c r="F8508" s="18"/>
    </row>
    <row r="8509" spans="5:6" ht="15" customHeight="1" x14ac:dyDescent="0.2">
      <c r="E8509" s="18"/>
      <c r="F8509" s="18"/>
    </row>
    <row r="8510" spans="5:6" ht="15" customHeight="1" x14ac:dyDescent="0.2">
      <c r="E8510" s="18"/>
      <c r="F8510" s="18"/>
    </row>
    <row r="8511" spans="5:6" ht="15" customHeight="1" x14ac:dyDescent="0.2">
      <c r="E8511" s="18"/>
      <c r="F8511" s="18"/>
    </row>
    <row r="8512" spans="5:6" ht="15" customHeight="1" x14ac:dyDescent="0.2">
      <c r="E8512" s="18"/>
      <c r="F8512" s="18"/>
    </row>
    <row r="8513" spans="5:6" ht="15" customHeight="1" x14ac:dyDescent="0.2">
      <c r="E8513" s="18"/>
      <c r="F8513" s="18"/>
    </row>
    <row r="8514" spans="5:6" ht="15" customHeight="1" x14ac:dyDescent="0.2">
      <c r="E8514" s="18"/>
      <c r="F8514" s="18"/>
    </row>
    <row r="8515" spans="5:6" ht="15" customHeight="1" x14ac:dyDescent="0.2">
      <c r="E8515" s="18"/>
      <c r="F8515" s="18"/>
    </row>
    <row r="8516" spans="5:6" ht="15" customHeight="1" x14ac:dyDescent="0.2">
      <c r="E8516" s="18"/>
      <c r="F8516" s="18"/>
    </row>
    <row r="8517" spans="5:6" ht="15" customHeight="1" x14ac:dyDescent="0.2">
      <c r="E8517" s="18"/>
      <c r="F8517" s="18"/>
    </row>
    <row r="8518" spans="5:6" ht="15" customHeight="1" x14ac:dyDescent="0.2">
      <c r="E8518" s="18"/>
      <c r="F8518" s="18"/>
    </row>
    <row r="8519" spans="5:6" ht="15" customHeight="1" x14ac:dyDescent="0.2">
      <c r="E8519" s="18"/>
      <c r="F8519" s="18"/>
    </row>
    <row r="8520" spans="5:6" ht="15" customHeight="1" x14ac:dyDescent="0.2">
      <c r="E8520" s="18"/>
      <c r="F8520" s="18"/>
    </row>
    <row r="8521" spans="5:6" ht="15" customHeight="1" x14ac:dyDescent="0.2">
      <c r="E8521" s="18"/>
      <c r="F8521" s="18"/>
    </row>
    <row r="8522" spans="5:6" ht="15" customHeight="1" x14ac:dyDescent="0.2">
      <c r="E8522" s="18"/>
      <c r="F8522" s="18"/>
    </row>
    <row r="8523" spans="5:6" ht="15" customHeight="1" x14ac:dyDescent="0.2">
      <c r="E8523" s="18"/>
      <c r="F8523" s="18"/>
    </row>
    <row r="8524" spans="5:6" ht="15" customHeight="1" x14ac:dyDescent="0.2">
      <c r="E8524" s="18"/>
      <c r="F8524" s="18"/>
    </row>
    <row r="8525" spans="5:6" ht="15" customHeight="1" x14ac:dyDescent="0.2">
      <c r="E8525" s="18"/>
      <c r="F8525" s="18"/>
    </row>
    <row r="8526" spans="5:6" ht="15" customHeight="1" x14ac:dyDescent="0.2">
      <c r="E8526" s="18"/>
      <c r="F8526" s="18"/>
    </row>
    <row r="8527" spans="5:6" ht="15" customHeight="1" x14ac:dyDescent="0.2">
      <c r="E8527" s="18"/>
      <c r="F8527" s="18"/>
    </row>
    <row r="8528" spans="5:6" ht="15" customHeight="1" x14ac:dyDescent="0.2">
      <c r="E8528" s="18"/>
      <c r="F8528" s="18"/>
    </row>
    <row r="8529" spans="5:6" ht="15" customHeight="1" x14ac:dyDescent="0.2">
      <c r="E8529" s="18"/>
      <c r="F8529" s="18"/>
    </row>
    <row r="8530" spans="5:6" ht="15" customHeight="1" x14ac:dyDescent="0.2">
      <c r="E8530" s="18"/>
      <c r="F8530" s="18"/>
    </row>
    <row r="8531" spans="5:6" ht="15" customHeight="1" x14ac:dyDescent="0.2">
      <c r="E8531" s="18"/>
      <c r="F8531" s="18"/>
    </row>
    <row r="8532" spans="5:6" ht="15" customHeight="1" x14ac:dyDescent="0.2">
      <c r="E8532" s="18"/>
      <c r="F8532" s="18"/>
    </row>
    <row r="8533" spans="5:6" ht="15" customHeight="1" x14ac:dyDescent="0.2">
      <c r="E8533" s="18"/>
      <c r="F8533" s="18"/>
    </row>
    <row r="8534" spans="5:6" ht="15" customHeight="1" x14ac:dyDescent="0.2">
      <c r="E8534" s="18"/>
      <c r="F8534" s="18"/>
    </row>
    <row r="8535" spans="5:6" ht="15" customHeight="1" x14ac:dyDescent="0.2">
      <c r="E8535" s="18"/>
      <c r="F8535" s="18"/>
    </row>
    <row r="8536" spans="5:6" ht="15" customHeight="1" x14ac:dyDescent="0.2">
      <c r="E8536" s="18"/>
      <c r="F8536" s="18"/>
    </row>
    <row r="8537" spans="5:6" ht="15" customHeight="1" x14ac:dyDescent="0.2">
      <c r="E8537" s="18"/>
      <c r="F8537" s="18"/>
    </row>
    <row r="8538" spans="5:6" ht="15" customHeight="1" x14ac:dyDescent="0.2">
      <c r="E8538" s="18"/>
      <c r="F8538" s="18"/>
    </row>
    <row r="8539" spans="5:6" ht="15" customHeight="1" x14ac:dyDescent="0.2">
      <c r="E8539" s="18"/>
      <c r="F8539" s="18"/>
    </row>
    <row r="8540" spans="5:6" ht="15" customHeight="1" x14ac:dyDescent="0.2">
      <c r="E8540" s="18"/>
      <c r="F8540" s="18"/>
    </row>
    <row r="8541" spans="5:6" ht="15" customHeight="1" x14ac:dyDescent="0.2">
      <c r="E8541" s="18"/>
      <c r="F8541" s="18"/>
    </row>
    <row r="8542" spans="5:6" ht="15" customHeight="1" x14ac:dyDescent="0.2">
      <c r="E8542" s="18"/>
      <c r="F8542" s="18"/>
    </row>
    <row r="8543" spans="5:6" ht="15" customHeight="1" x14ac:dyDescent="0.2">
      <c r="E8543" s="18"/>
      <c r="F8543" s="18"/>
    </row>
    <row r="8544" spans="5:6" ht="15" customHeight="1" x14ac:dyDescent="0.2">
      <c r="E8544" s="18"/>
      <c r="F8544" s="18"/>
    </row>
    <row r="8545" spans="5:6" ht="15" customHeight="1" x14ac:dyDescent="0.2">
      <c r="E8545" s="18"/>
      <c r="F8545" s="18"/>
    </row>
    <row r="8546" spans="5:6" ht="15" customHeight="1" x14ac:dyDescent="0.2">
      <c r="E8546" s="18"/>
      <c r="F8546" s="18"/>
    </row>
    <row r="8547" spans="5:6" ht="15" customHeight="1" x14ac:dyDescent="0.2">
      <c r="E8547" s="18"/>
      <c r="F8547" s="18"/>
    </row>
    <row r="8548" spans="5:6" ht="15" customHeight="1" x14ac:dyDescent="0.2">
      <c r="E8548" s="18"/>
      <c r="F8548" s="18"/>
    </row>
    <row r="8549" spans="5:6" ht="15" customHeight="1" x14ac:dyDescent="0.2">
      <c r="E8549" s="18"/>
      <c r="F8549" s="18"/>
    </row>
    <row r="8550" spans="5:6" ht="15" customHeight="1" x14ac:dyDescent="0.2">
      <c r="E8550" s="18"/>
      <c r="F8550" s="18"/>
    </row>
    <row r="8551" spans="5:6" ht="15" customHeight="1" x14ac:dyDescent="0.2">
      <c r="E8551" s="18"/>
      <c r="F8551" s="18"/>
    </row>
    <row r="8552" spans="5:6" ht="15" customHeight="1" x14ac:dyDescent="0.2">
      <c r="E8552" s="18"/>
      <c r="F8552" s="18"/>
    </row>
    <row r="8553" spans="5:6" ht="15" customHeight="1" x14ac:dyDescent="0.2">
      <c r="E8553" s="18"/>
      <c r="F8553" s="18"/>
    </row>
    <row r="8554" spans="5:6" ht="15" customHeight="1" x14ac:dyDescent="0.2">
      <c r="E8554" s="18"/>
      <c r="F8554" s="18"/>
    </row>
    <row r="8555" spans="5:6" ht="15" customHeight="1" x14ac:dyDescent="0.2">
      <c r="E8555" s="18"/>
      <c r="F8555" s="18"/>
    </row>
    <row r="8556" spans="5:6" ht="15" customHeight="1" x14ac:dyDescent="0.2">
      <c r="E8556" s="18"/>
      <c r="F8556" s="18"/>
    </row>
    <row r="8557" spans="5:6" ht="15" customHeight="1" x14ac:dyDescent="0.2">
      <c r="E8557" s="18"/>
      <c r="F8557" s="18"/>
    </row>
    <row r="8558" spans="5:6" ht="15" customHeight="1" x14ac:dyDescent="0.2">
      <c r="E8558" s="18"/>
      <c r="F8558" s="18"/>
    </row>
    <row r="8559" spans="5:6" ht="15" customHeight="1" x14ac:dyDescent="0.2">
      <c r="E8559" s="18"/>
      <c r="F8559" s="18"/>
    </row>
    <row r="8560" spans="5:6" ht="15" customHeight="1" x14ac:dyDescent="0.2">
      <c r="E8560" s="18"/>
      <c r="F8560" s="18"/>
    </row>
    <row r="8561" spans="5:6" ht="15" customHeight="1" x14ac:dyDescent="0.2">
      <c r="E8561" s="18"/>
      <c r="F8561" s="18"/>
    </row>
    <row r="8562" spans="5:6" ht="15" customHeight="1" x14ac:dyDescent="0.2">
      <c r="E8562" s="18"/>
      <c r="F8562" s="18"/>
    </row>
    <row r="8563" spans="5:6" ht="15" customHeight="1" x14ac:dyDescent="0.2">
      <c r="E8563" s="18"/>
      <c r="F8563" s="18"/>
    </row>
    <row r="8564" spans="5:6" ht="15" customHeight="1" x14ac:dyDescent="0.2">
      <c r="E8564" s="18"/>
      <c r="F8564" s="18"/>
    </row>
    <row r="8565" spans="5:6" ht="15" customHeight="1" x14ac:dyDescent="0.2">
      <c r="E8565" s="18"/>
      <c r="F8565" s="18"/>
    </row>
    <row r="8566" spans="5:6" ht="15" customHeight="1" x14ac:dyDescent="0.2">
      <c r="E8566" s="18"/>
      <c r="F8566" s="18"/>
    </row>
    <row r="8567" spans="5:6" ht="15" customHeight="1" x14ac:dyDescent="0.2">
      <c r="E8567" s="18"/>
      <c r="F8567" s="18"/>
    </row>
    <row r="8568" spans="5:6" ht="15" customHeight="1" x14ac:dyDescent="0.2">
      <c r="E8568" s="18"/>
      <c r="F8568" s="18"/>
    </row>
    <row r="8569" spans="5:6" ht="15" customHeight="1" x14ac:dyDescent="0.2">
      <c r="E8569" s="18"/>
      <c r="F8569" s="18"/>
    </row>
    <row r="8570" spans="5:6" ht="15" customHeight="1" x14ac:dyDescent="0.2">
      <c r="E8570" s="18"/>
      <c r="F8570" s="18"/>
    </row>
    <row r="8571" spans="5:6" ht="15" customHeight="1" x14ac:dyDescent="0.2">
      <c r="E8571" s="18"/>
      <c r="F8571" s="18"/>
    </row>
    <row r="8572" spans="5:6" ht="15" customHeight="1" x14ac:dyDescent="0.2">
      <c r="E8572" s="18"/>
      <c r="F8572" s="18"/>
    </row>
    <row r="8573" spans="5:6" ht="15" customHeight="1" x14ac:dyDescent="0.2">
      <c r="E8573" s="18"/>
      <c r="F8573" s="18"/>
    </row>
    <row r="8574" spans="5:6" ht="15" customHeight="1" x14ac:dyDescent="0.2">
      <c r="E8574" s="18"/>
      <c r="F8574" s="18"/>
    </row>
    <row r="8575" spans="5:6" ht="15" customHeight="1" x14ac:dyDescent="0.2">
      <c r="E8575" s="18"/>
      <c r="F8575" s="18"/>
    </row>
    <row r="8576" spans="5:6" ht="15" customHeight="1" x14ac:dyDescent="0.2">
      <c r="E8576" s="18"/>
      <c r="F8576" s="18"/>
    </row>
    <row r="8577" spans="5:6" ht="15" customHeight="1" x14ac:dyDescent="0.2">
      <c r="E8577" s="18"/>
      <c r="F8577" s="18"/>
    </row>
    <row r="8578" spans="5:6" ht="15" customHeight="1" x14ac:dyDescent="0.2">
      <c r="E8578" s="18"/>
      <c r="F8578" s="18"/>
    </row>
    <row r="8579" spans="5:6" ht="15" customHeight="1" x14ac:dyDescent="0.2">
      <c r="E8579" s="18"/>
      <c r="F8579" s="18"/>
    </row>
    <row r="8580" spans="5:6" ht="15" customHeight="1" x14ac:dyDescent="0.2">
      <c r="E8580" s="18"/>
      <c r="F8580" s="18"/>
    </row>
    <row r="8581" spans="5:6" ht="15" customHeight="1" x14ac:dyDescent="0.2">
      <c r="E8581" s="18"/>
      <c r="F8581" s="18"/>
    </row>
    <row r="8582" spans="5:6" ht="15" customHeight="1" x14ac:dyDescent="0.2">
      <c r="E8582" s="18"/>
      <c r="F8582" s="18"/>
    </row>
    <row r="8583" spans="5:6" ht="15" customHeight="1" x14ac:dyDescent="0.2">
      <c r="E8583" s="18"/>
      <c r="F8583" s="18"/>
    </row>
    <row r="8584" spans="5:6" ht="15" customHeight="1" x14ac:dyDescent="0.2">
      <c r="E8584" s="18"/>
      <c r="F8584" s="18"/>
    </row>
    <row r="8585" spans="5:6" ht="15" customHeight="1" x14ac:dyDescent="0.2">
      <c r="E8585" s="18"/>
      <c r="F8585" s="18"/>
    </row>
    <row r="8586" spans="5:6" ht="15" customHeight="1" x14ac:dyDescent="0.2">
      <c r="E8586" s="18"/>
      <c r="F8586" s="18"/>
    </row>
    <row r="8587" spans="5:6" ht="15" customHeight="1" x14ac:dyDescent="0.2">
      <c r="E8587" s="18"/>
      <c r="F8587" s="18"/>
    </row>
    <row r="8588" spans="5:6" ht="15" customHeight="1" x14ac:dyDescent="0.2">
      <c r="E8588" s="18"/>
      <c r="F8588" s="18"/>
    </row>
    <row r="8589" spans="5:6" ht="15" customHeight="1" x14ac:dyDescent="0.2">
      <c r="E8589" s="18"/>
      <c r="F8589" s="18"/>
    </row>
    <row r="8590" spans="5:6" ht="15" customHeight="1" x14ac:dyDescent="0.2">
      <c r="E8590" s="18"/>
      <c r="F8590" s="18"/>
    </row>
    <row r="8591" spans="5:6" ht="15" customHeight="1" x14ac:dyDescent="0.2">
      <c r="E8591" s="18"/>
      <c r="F8591" s="18"/>
    </row>
    <row r="8592" spans="5:6" ht="15" customHeight="1" x14ac:dyDescent="0.2">
      <c r="E8592" s="18"/>
      <c r="F8592" s="18"/>
    </row>
    <row r="8593" spans="5:6" ht="15" customHeight="1" x14ac:dyDescent="0.2">
      <c r="E8593" s="18"/>
      <c r="F8593" s="18"/>
    </row>
    <row r="8594" spans="5:6" ht="15" customHeight="1" x14ac:dyDescent="0.2">
      <c r="E8594" s="18"/>
      <c r="F8594" s="18"/>
    </row>
    <row r="8595" spans="5:6" ht="15" customHeight="1" x14ac:dyDescent="0.2">
      <c r="E8595" s="18"/>
      <c r="F8595" s="18"/>
    </row>
    <row r="8596" spans="5:6" ht="15" customHeight="1" x14ac:dyDescent="0.2">
      <c r="E8596" s="18"/>
      <c r="F8596" s="18"/>
    </row>
    <row r="8597" spans="5:6" ht="15" customHeight="1" x14ac:dyDescent="0.2">
      <c r="E8597" s="18"/>
      <c r="F8597" s="18"/>
    </row>
    <row r="8598" spans="5:6" ht="15" customHeight="1" x14ac:dyDescent="0.2">
      <c r="E8598" s="18"/>
      <c r="F8598" s="18"/>
    </row>
    <row r="8599" spans="5:6" ht="15" customHeight="1" x14ac:dyDescent="0.2">
      <c r="E8599" s="18"/>
      <c r="F8599" s="18"/>
    </row>
    <row r="8600" spans="5:6" ht="15" customHeight="1" x14ac:dyDescent="0.2">
      <c r="E8600" s="18"/>
      <c r="F8600" s="18"/>
    </row>
    <row r="8601" spans="5:6" ht="15" customHeight="1" x14ac:dyDescent="0.2">
      <c r="E8601" s="18"/>
      <c r="F8601" s="18"/>
    </row>
    <row r="8602" spans="5:6" ht="15" customHeight="1" x14ac:dyDescent="0.2">
      <c r="E8602" s="18"/>
      <c r="F8602" s="18"/>
    </row>
    <row r="8603" spans="5:6" ht="15" customHeight="1" x14ac:dyDescent="0.2">
      <c r="E8603" s="18"/>
      <c r="F8603" s="18"/>
    </row>
    <row r="8604" spans="5:6" ht="15" customHeight="1" x14ac:dyDescent="0.2">
      <c r="E8604" s="18"/>
      <c r="F8604" s="18"/>
    </row>
    <row r="8605" spans="5:6" ht="15" customHeight="1" x14ac:dyDescent="0.2">
      <c r="E8605" s="18"/>
      <c r="F8605" s="18"/>
    </row>
    <row r="8606" spans="5:6" ht="15" customHeight="1" x14ac:dyDescent="0.2">
      <c r="E8606" s="18"/>
      <c r="F8606" s="18"/>
    </row>
    <row r="8607" spans="5:6" ht="15" customHeight="1" x14ac:dyDescent="0.2">
      <c r="E8607" s="18"/>
      <c r="F8607" s="18"/>
    </row>
    <row r="8608" spans="5:6" ht="15" customHeight="1" x14ac:dyDescent="0.2">
      <c r="E8608" s="18"/>
      <c r="F8608" s="18"/>
    </row>
    <row r="8609" spans="5:6" ht="15" customHeight="1" x14ac:dyDescent="0.2">
      <c r="E8609" s="18"/>
      <c r="F8609" s="18"/>
    </row>
    <row r="8610" spans="5:6" ht="15" customHeight="1" x14ac:dyDescent="0.2">
      <c r="E8610" s="18"/>
      <c r="F8610" s="18"/>
    </row>
    <row r="8611" spans="5:6" ht="15" customHeight="1" x14ac:dyDescent="0.2">
      <c r="E8611" s="18"/>
      <c r="F8611" s="18"/>
    </row>
    <row r="8612" spans="5:6" ht="15" customHeight="1" x14ac:dyDescent="0.2">
      <c r="E8612" s="18"/>
      <c r="F8612" s="18"/>
    </row>
    <row r="8613" spans="5:6" ht="15" customHeight="1" x14ac:dyDescent="0.2">
      <c r="E8613" s="18"/>
      <c r="F8613" s="18"/>
    </row>
    <row r="8614" spans="5:6" ht="15" customHeight="1" x14ac:dyDescent="0.2">
      <c r="E8614" s="18"/>
      <c r="F8614" s="18"/>
    </row>
    <row r="8615" spans="5:6" ht="15" customHeight="1" x14ac:dyDescent="0.2">
      <c r="E8615" s="18"/>
      <c r="F8615" s="18"/>
    </row>
    <row r="8616" spans="5:6" ht="15" customHeight="1" x14ac:dyDescent="0.2">
      <c r="E8616" s="18"/>
      <c r="F8616" s="18"/>
    </row>
    <row r="8617" spans="5:6" ht="15" customHeight="1" x14ac:dyDescent="0.2">
      <c r="E8617" s="18"/>
      <c r="F8617" s="18"/>
    </row>
    <row r="8618" spans="5:6" ht="15" customHeight="1" x14ac:dyDescent="0.2">
      <c r="E8618" s="18"/>
      <c r="F8618" s="18"/>
    </row>
    <row r="8619" spans="5:6" ht="15" customHeight="1" x14ac:dyDescent="0.2">
      <c r="E8619" s="18"/>
      <c r="F8619" s="18"/>
    </row>
    <row r="8620" spans="5:6" ht="15" customHeight="1" x14ac:dyDescent="0.2">
      <c r="E8620" s="18"/>
      <c r="F8620" s="18"/>
    </row>
    <row r="8621" spans="5:6" ht="15" customHeight="1" x14ac:dyDescent="0.2">
      <c r="E8621" s="18"/>
      <c r="F8621" s="18"/>
    </row>
    <row r="8622" spans="5:6" ht="15" customHeight="1" x14ac:dyDescent="0.2">
      <c r="E8622" s="18"/>
      <c r="F8622" s="18"/>
    </row>
    <row r="8623" spans="5:6" ht="15" customHeight="1" x14ac:dyDescent="0.2">
      <c r="E8623" s="18"/>
      <c r="F8623" s="18"/>
    </row>
    <row r="8624" spans="5:6" ht="15" customHeight="1" x14ac:dyDescent="0.2">
      <c r="E8624" s="18"/>
      <c r="F8624" s="18"/>
    </row>
    <row r="8625" spans="5:6" ht="15" customHeight="1" x14ac:dyDescent="0.2">
      <c r="E8625" s="18"/>
      <c r="F8625" s="18"/>
    </row>
    <row r="8626" spans="5:6" ht="15" customHeight="1" x14ac:dyDescent="0.2">
      <c r="E8626" s="18"/>
      <c r="F8626" s="18"/>
    </row>
    <row r="8627" spans="5:6" ht="15" customHeight="1" x14ac:dyDescent="0.2">
      <c r="E8627" s="18"/>
      <c r="F8627" s="18"/>
    </row>
    <row r="8628" spans="5:6" ht="15" customHeight="1" x14ac:dyDescent="0.2">
      <c r="E8628" s="18"/>
      <c r="F8628" s="18"/>
    </row>
    <row r="8629" spans="5:6" ht="15" customHeight="1" x14ac:dyDescent="0.2">
      <c r="E8629" s="18"/>
      <c r="F8629" s="18"/>
    </row>
    <row r="8630" spans="5:6" ht="15" customHeight="1" x14ac:dyDescent="0.2">
      <c r="E8630" s="18"/>
      <c r="F8630" s="18"/>
    </row>
    <row r="8631" spans="5:6" ht="15" customHeight="1" x14ac:dyDescent="0.2">
      <c r="E8631" s="18"/>
      <c r="F8631" s="18"/>
    </row>
    <row r="8632" spans="5:6" ht="15" customHeight="1" x14ac:dyDescent="0.2">
      <c r="E8632" s="18"/>
      <c r="F8632" s="18"/>
    </row>
    <row r="8633" spans="5:6" ht="15" customHeight="1" x14ac:dyDescent="0.2">
      <c r="E8633" s="18"/>
      <c r="F8633" s="18"/>
    </row>
    <row r="8634" spans="5:6" ht="15" customHeight="1" x14ac:dyDescent="0.2">
      <c r="E8634" s="18"/>
      <c r="F8634" s="18"/>
    </row>
    <row r="8635" spans="5:6" ht="15" customHeight="1" x14ac:dyDescent="0.2">
      <c r="E8635" s="18"/>
      <c r="F8635" s="18"/>
    </row>
    <row r="8636" spans="5:6" ht="15" customHeight="1" x14ac:dyDescent="0.2">
      <c r="E8636" s="18"/>
      <c r="F8636" s="18"/>
    </row>
    <row r="8637" spans="5:6" ht="15" customHeight="1" x14ac:dyDescent="0.2">
      <c r="E8637" s="18"/>
      <c r="F8637" s="18"/>
    </row>
    <row r="8638" spans="5:6" ht="15" customHeight="1" x14ac:dyDescent="0.2">
      <c r="E8638" s="18"/>
      <c r="F8638" s="18"/>
    </row>
    <row r="8639" spans="5:6" ht="15" customHeight="1" x14ac:dyDescent="0.2">
      <c r="E8639" s="18"/>
      <c r="F8639" s="18"/>
    </row>
    <row r="8640" spans="5:6" ht="15" customHeight="1" x14ac:dyDescent="0.2">
      <c r="E8640" s="18"/>
      <c r="F8640" s="18"/>
    </row>
    <row r="8641" spans="5:6" ht="15" customHeight="1" x14ac:dyDescent="0.2">
      <c r="E8641" s="18"/>
      <c r="F8641" s="18"/>
    </row>
    <row r="8642" spans="5:6" ht="15" customHeight="1" x14ac:dyDescent="0.2">
      <c r="E8642" s="18"/>
      <c r="F8642" s="18"/>
    </row>
    <row r="8643" spans="5:6" ht="15" customHeight="1" x14ac:dyDescent="0.2">
      <c r="E8643" s="18"/>
      <c r="F8643" s="18"/>
    </row>
    <row r="8644" spans="5:6" ht="15" customHeight="1" x14ac:dyDescent="0.2">
      <c r="E8644" s="18"/>
      <c r="F8644" s="18"/>
    </row>
    <row r="8645" spans="5:6" ht="15" customHeight="1" x14ac:dyDescent="0.2">
      <c r="E8645" s="18"/>
      <c r="F8645" s="18"/>
    </row>
    <row r="8646" spans="5:6" ht="15" customHeight="1" x14ac:dyDescent="0.2">
      <c r="E8646" s="18"/>
      <c r="F8646" s="18"/>
    </row>
    <row r="8647" spans="5:6" ht="15" customHeight="1" x14ac:dyDescent="0.2">
      <c r="E8647" s="18"/>
      <c r="F8647" s="18"/>
    </row>
    <row r="8648" spans="5:6" ht="15" customHeight="1" x14ac:dyDescent="0.2">
      <c r="E8648" s="18"/>
      <c r="F8648" s="18"/>
    </row>
    <row r="8649" spans="5:6" ht="15" customHeight="1" x14ac:dyDescent="0.2">
      <c r="E8649" s="18"/>
      <c r="F8649" s="18"/>
    </row>
    <row r="8650" spans="5:6" ht="15" customHeight="1" x14ac:dyDescent="0.2">
      <c r="E8650" s="18"/>
      <c r="F8650" s="18"/>
    </row>
    <row r="8651" spans="5:6" ht="15" customHeight="1" x14ac:dyDescent="0.2">
      <c r="E8651" s="18"/>
      <c r="F8651" s="18"/>
    </row>
    <row r="8652" spans="5:6" ht="15" customHeight="1" x14ac:dyDescent="0.2">
      <c r="E8652" s="18"/>
      <c r="F8652" s="18"/>
    </row>
    <row r="8653" spans="5:6" ht="15" customHeight="1" x14ac:dyDescent="0.2">
      <c r="E8653" s="18"/>
      <c r="F8653" s="18"/>
    </row>
    <row r="8654" spans="5:6" ht="15" customHeight="1" x14ac:dyDescent="0.2">
      <c r="E8654" s="18"/>
      <c r="F8654" s="18"/>
    </row>
    <row r="8655" spans="5:6" ht="15" customHeight="1" x14ac:dyDescent="0.2">
      <c r="E8655" s="18"/>
      <c r="F8655" s="18"/>
    </row>
    <row r="8656" spans="5:6" ht="15" customHeight="1" x14ac:dyDescent="0.2">
      <c r="E8656" s="18"/>
      <c r="F8656" s="18"/>
    </row>
    <row r="8657" spans="5:6" ht="15" customHeight="1" x14ac:dyDescent="0.2">
      <c r="E8657" s="18"/>
      <c r="F8657" s="18"/>
    </row>
    <row r="8658" spans="5:6" ht="15" customHeight="1" x14ac:dyDescent="0.2">
      <c r="E8658" s="18"/>
      <c r="F8658" s="18"/>
    </row>
    <row r="8659" spans="5:6" ht="15" customHeight="1" x14ac:dyDescent="0.2">
      <c r="E8659" s="18"/>
      <c r="F8659" s="18"/>
    </row>
    <row r="8660" spans="5:6" ht="15" customHeight="1" x14ac:dyDescent="0.2">
      <c r="E8660" s="18"/>
      <c r="F8660" s="18"/>
    </row>
    <row r="8661" spans="5:6" ht="15" customHeight="1" x14ac:dyDescent="0.2">
      <c r="E8661" s="18"/>
      <c r="F8661" s="18"/>
    </row>
    <row r="8662" spans="5:6" ht="15" customHeight="1" x14ac:dyDescent="0.2">
      <c r="E8662" s="18"/>
      <c r="F8662" s="18"/>
    </row>
    <row r="8663" spans="5:6" ht="15" customHeight="1" x14ac:dyDescent="0.2">
      <c r="E8663" s="18"/>
      <c r="F8663" s="18"/>
    </row>
    <row r="8664" spans="5:6" ht="15" customHeight="1" x14ac:dyDescent="0.2">
      <c r="E8664" s="18"/>
      <c r="F8664" s="18"/>
    </row>
    <row r="8665" spans="5:6" ht="15" customHeight="1" x14ac:dyDescent="0.2">
      <c r="E8665" s="18"/>
      <c r="F8665" s="18"/>
    </row>
    <row r="8666" spans="5:6" ht="15" customHeight="1" x14ac:dyDescent="0.2">
      <c r="E8666" s="18"/>
      <c r="F8666" s="18"/>
    </row>
    <row r="8667" spans="5:6" ht="15" customHeight="1" x14ac:dyDescent="0.2">
      <c r="E8667" s="18"/>
      <c r="F8667" s="18"/>
    </row>
    <row r="8668" spans="5:6" ht="15" customHeight="1" x14ac:dyDescent="0.2">
      <c r="E8668" s="18"/>
      <c r="F8668" s="18"/>
    </row>
    <row r="8669" spans="5:6" ht="15" customHeight="1" x14ac:dyDescent="0.2">
      <c r="E8669" s="18"/>
      <c r="F8669" s="18"/>
    </row>
    <row r="8670" spans="5:6" ht="15" customHeight="1" x14ac:dyDescent="0.2">
      <c r="E8670" s="18"/>
      <c r="F8670" s="18"/>
    </row>
    <row r="8671" spans="5:6" ht="15" customHeight="1" x14ac:dyDescent="0.2">
      <c r="E8671" s="18"/>
      <c r="F8671" s="18"/>
    </row>
    <row r="8672" spans="5:6" ht="15" customHeight="1" x14ac:dyDescent="0.2">
      <c r="E8672" s="18"/>
      <c r="F8672" s="18"/>
    </row>
    <row r="8673" spans="5:6" ht="15" customHeight="1" x14ac:dyDescent="0.2">
      <c r="E8673" s="18"/>
      <c r="F8673" s="18"/>
    </row>
    <row r="8674" spans="5:6" ht="15" customHeight="1" x14ac:dyDescent="0.2">
      <c r="E8674" s="18"/>
      <c r="F8674" s="18"/>
    </row>
    <row r="8675" spans="5:6" ht="15" customHeight="1" x14ac:dyDescent="0.2">
      <c r="E8675" s="18"/>
      <c r="F8675" s="18"/>
    </row>
    <row r="8676" spans="5:6" ht="15" customHeight="1" x14ac:dyDescent="0.2">
      <c r="E8676" s="18"/>
      <c r="F8676" s="18"/>
    </row>
    <row r="8677" spans="5:6" ht="15" customHeight="1" x14ac:dyDescent="0.2">
      <c r="E8677" s="18"/>
      <c r="F8677" s="18"/>
    </row>
    <row r="8678" spans="5:6" ht="15" customHeight="1" x14ac:dyDescent="0.2">
      <c r="E8678" s="18"/>
      <c r="F8678" s="18"/>
    </row>
    <row r="8679" spans="5:6" ht="15" customHeight="1" x14ac:dyDescent="0.2">
      <c r="E8679" s="18"/>
      <c r="F8679" s="18"/>
    </row>
    <row r="8680" spans="5:6" ht="15" customHeight="1" x14ac:dyDescent="0.2">
      <c r="E8680" s="18"/>
      <c r="F8680" s="18"/>
    </row>
    <row r="8681" spans="5:6" ht="15" customHeight="1" x14ac:dyDescent="0.2">
      <c r="E8681" s="18"/>
      <c r="F8681" s="18"/>
    </row>
    <row r="8682" spans="5:6" ht="15" customHeight="1" x14ac:dyDescent="0.2">
      <c r="E8682" s="18"/>
      <c r="F8682" s="18"/>
    </row>
    <row r="8683" spans="5:6" ht="15" customHeight="1" x14ac:dyDescent="0.2">
      <c r="E8683" s="18"/>
      <c r="F8683" s="18"/>
    </row>
    <row r="8684" spans="5:6" ht="15" customHeight="1" x14ac:dyDescent="0.2">
      <c r="E8684" s="18"/>
      <c r="F8684" s="18"/>
    </row>
    <row r="8685" spans="5:6" ht="15" customHeight="1" x14ac:dyDescent="0.2">
      <c r="E8685" s="18"/>
      <c r="F8685" s="18"/>
    </row>
    <row r="8686" spans="5:6" ht="15" customHeight="1" x14ac:dyDescent="0.2">
      <c r="E8686" s="18"/>
      <c r="F8686" s="18"/>
    </row>
    <row r="8687" spans="5:6" ht="15" customHeight="1" x14ac:dyDescent="0.2">
      <c r="E8687" s="18"/>
      <c r="F8687" s="18"/>
    </row>
    <row r="8688" spans="5:6" ht="15" customHeight="1" x14ac:dyDescent="0.2">
      <c r="E8688" s="18"/>
      <c r="F8688" s="18"/>
    </row>
    <row r="8689" spans="5:6" ht="15" customHeight="1" x14ac:dyDescent="0.2">
      <c r="E8689" s="18"/>
      <c r="F8689" s="18"/>
    </row>
    <row r="8690" spans="5:6" ht="15" customHeight="1" x14ac:dyDescent="0.2">
      <c r="E8690" s="18"/>
      <c r="F8690" s="18"/>
    </row>
    <row r="8691" spans="5:6" ht="15" customHeight="1" x14ac:dyDescent="0.2">
      <c r="E8691" s="18"/>
      <c r="F8691" s="18"/>
    </row>
    <row r="8692" spans="5:6" ht="15" customHeight="1" x14ac:dyDescent="0.2">
      <c r="E8692" s="18"/>
      <c r="F8692" s="18"/>
    </row>
    <row r="8693" spans="5:6" ht="15" customHeight="1" x14ac:dyDescent="0.2">
      <c r="E8693" s="18"/>
      <c r="F8693" s="18"/>
    </row>
    <row r="8694" spans="5:6" ht="15" customHeight="1" x14ac:dyDescent="0.2">
      <c r="E8694" s="18"/>
      <c r="F8694" s="18"/>
    </row>
    <row r="8695" spans="5:6" ht="15" customHeight="1" x14ac:dyDescent="0.2">
      <c r="E8695" s="18"/>
      <c r="F8695" s="18"/>
    </row>
    <row r="8696" spans="5:6" ht="15" customHeight="1" x14ac:dyDescent="0.2">
      <c r="E8696" s="18"/>
      <c r="F8696" s="18"/>
    </row>
    <row r="8697" spans="5:6" ht="15" customHeight="1" x14ac:dyDescent="0.2">
      <c r="E8697" s="18"/>
      <c r="F8697" s="18"/>
    </row>
    <row r="8698" spans="5:6" ht="15" customHeight="1" x14ac:dyDescent="0.2">
      <c r="E8698" s="18"/>
      <c r="F8698" s="18"/>
    </row>
    <row r="8699" spans="5:6" ht="15" customHeight="1" x14ac:dyDescent="0.2">
      <c r="E8699" s="18"/>
      <c r="F8699" s="18"/>
    </row>
    <row r="8700" spans="5:6" ht="15" customHeight="1" x14ac:dyDescent="0.2">
      <c r="E8700" s="18"/>
      <c r="F8700" s="18"/>
    </row>
    <row r="8701" spans="5:6" ht="15" customHeight="1" x14ac:dyDescent="0.2">
      <c r="E8701" s="18"/>
      <c r="F8701" s="18"/>
    </row>
    <row r="8702" spans="5:6" ht="15" customHeight="1" x14ac:dyDescent="0.2">
      <c r="E8702" s="18"/>
      <c r="F8702" s="18"/>
    </row>
    <row r="8703" spans="5:6" ht="15" customHeight="1" x14ac:dyDescent="0.2">
      <c r="E8703" s="18"/>
      <c r="F8703" s="18"/>
    </row>
    <row r="8704" spans="5:6" ht="15" customHeight="1" x14ac:dyDescent="0.2">
      <c r="E8704" s="18"/>
      <c r="F8704" s="18"/>
    </row>
    <row r="8705" spans="5:6" ht="15" customHeight="1" x14ac:dyDescent="0.2">
      <c r="E8705" s="18"/>
      <c r="F8705" s="18"/>
    </row>
    <row r="8706" spans="5:6" ht="15" customHeight="1" x14ac:dyDescent="0.2">
      <c r="E8706" s="18"/>
      <c r="F8706" s="18"/>
    </row>
    <row r="8707" spans="5:6" ht="15" customHeight="1" x14ac:dyDescent="0.2">
      <c r="E8707" s="18"/>
      <c r="F8707" s="18"/>
    </row>
    <row r="8708" spans="5:6" ht="15" customHeight="1" x14ac:dyDescent="0.2">
      <c r="E8708" s="18"/>
      <c r="F8708" s="18"/>
    </row>
    <row r="8709" spans="5:6" ht="15" customHeight="1" x14ac:dyDescent="0.2">
      <c r="E8709" s="18"/>
      <c r="F8709" s="18"/>
    </row>
    <row r="8710" spans="5:6" ht="15" customHeight="1" x14ac:dyDescent="0.2">
      <c r="E8710" s="18"/>
      <c r="F8710" s="18"/>
    </row>
    <row r="8711" spans="5:6" ht="15" customHeight="1" x14ac:dyDescent="0.2">
      <c r="E8711" s="18"/>
      <c r="F8711" s="18"/>
    </row>
    <row r="8712" spans="5:6" ht="15" customHeight="1" x14ac:dyDescent="0.2">
      <c r="E8712" s="18"/>
      <c r="F8712" s="18"/>
    </row>
    <row r="8713" spans="5:6" ht="15" customHeight="1" x14ac:dyDescent="0.2">
      <c r="E8713" s="18"/>
      <c r="F8713" s="18"/>
    </row>
    <row r="8714" spans="5:6" ht="15" customHeight="1" x14ac:dyDescent="0.2">
      <c r="E8714" s="18"/>
      <c r="F8714" s="18"/>
    </row>
    <row r="8715" spans="5:6" ht="15" customHeight="1" x14ac:dyDescent="0.2">
      <c r="E8715" s="18"/>
      <c r="F8715" s="18"/>
    </row>
    <row r="8716" spans="5:6" ht="15" customHeight="1" x14ac:dyDescent="0.2">
      <c r="E8716" s="18"/>
      <c r="F8716" s="18"/>
    </row>
    <row r="8717" spans="5:6" ht="15" customHeight="1" x14ac:dyDescent="0.2">
      <c r="E8717" s="18"/>
      <c r="F8717" s="18"/>
    </row>
    <row r="8718" spans="5:6" ht="15" customHeight="1" x14ac:dyDescent="0.2">
      <c r="E8718" s="18"/>
      <c r="F8718" s="18"/>
    </row>
    <row r="8719" spans="5:6" ht="15" customHeight="1" x14ac:dyDescent="0.2">
      <c r="E8719" s="18"/>
      <c r="F8719" s="18"/>
    </row>
    <row r="8720" spans="5:6" ht="15" customHeight="1" x14ac:dyDescent="0.2">
      <c r="E8720" s="18"/>
      <c r="F8720" s="18"/>
    </row>
    <row r="8721" spans="5:6" ht="15" customHeight="1" x14ac:dyDescent="0.2">
      <c r="E8721" s="18"/>
      <c r="F8721" s="18"/>
    </row>
    <row r="8722" spans="5:6" ht="15" customHeight="1" x14ac:dyDescent="0.2">
      <c r="E8722" s="18"/>
      <c r="F8722" s="18"/>
    </row>
    <row r="8723" spans="5:6" ht="15" customHeight="1" x14ac:dyDescent="0.2">
      <c r="E8723" s="18"/>
      <c r="F8723" s="18"/>
    </row>
    <row r="8724" spans="5:6" ht="15" customHeight="1" x14ac:dyDescent="0.2">
      <c r="E8724" s="18"/>
      <c r="F8724" s="18"/>
    </row>
    <row r="8725" spans="5:6" ht="15" customHeight="1" x14ac:dyDescent="0.2">
      <c r="E8725" s="18"/>
      <c r="F8725" s="18"/>
    </row>
    <row r="8726" spans="5:6" ht="15" customHeight="1" x14ac:dyDescent="0.2">
      <c r="E8726" s="18"/>
      <c r="F8726" s="18"/>
    </row>
    <row r="8727" spans="5:6" ht="15" customHeight="1" x14ac:dyDescent="0.2">
      <c r="E8727" s="18"/>
      <c r="F8727" s="18"/>
    </row>
    <row r="8728" spans="5:6" ht="15" customHeight="1" x14ac:dyDescent="0.2">
      <c r="E8728" s="18"/>
      <c r="F8728" s="18"/>
    </row>
    <row r="8729" spans="5:6" ht="15" customHeight="1" x14ac:dyDescent="0.2">
      <c r="E8729" s="18"/>
      <c r="F8729" s="18"/>
    </row>
    <row r="8730" spans="5:6" ht="15" customHeight="1" x14ac:dyDescent="0.2">
      <c r="E8730" s="18"/>
      <c r="F8730" s="18"/>
    </row>
    <row r="8731" spans="5:6" ht="15" customHeight="1" x14ac:dyDescent="0.2">
      <c r="E8731" s="18"/>
      <c r="F8731" s="18"/>
    </row>
    <row r="8732" spans="5:6" ht="15" customHeight="1" x14ac:dyDescent="0.2">
      <c r="E8732" s="18"/>
      <c r="F8732" s="18"/>
    </row>
    <row r="8733" spans="5:6" ht="15" customHeight="1" x14ac:dyDescent="0.2">
      <c r="E8733" s="18"/>
      <c r="F8733" s="18"/>
    </row>
    <row r="8734" spans="5:6" ht="15" customHeight="1" x14ac:dyDescent="0.2">
      <c r="E8734" s="18"/>
      <c r="F8734" s="18"/>
    </row>
    <row r="8735" spans="5:6" ht="15" customHeight="1" x14ac:dyDescent="0.2">
      <c r="E8735" s="18"/>
      <c r="F8735" s="18"/>
    </row>
    <row r="8736" spans="5:6" ht="15" customHeight="1" x14ac:dyDescent="0.2">
      <c r="E8736" s="18"/>
      <c r="F8736" s="18"/>
    </row>
    <row r="8737" spans="5:6" ht="15" customHeight="1" x14ac:dyDescent="0.2">
      <c r="E8737" s="18"/>
      <c r="F8737" s="18"/>
    </row>
    <row r="8738" spans="5:6" ht="15" customHeight="1" x14ac:dyDescent="0.2">
      <c r="E8738" s="18"/>
      <c r="F8738" s="18"/>
    </row>
    <row r="8739" spans="5:6" ht="15" customHeight="1" x14ac:dyDescent="0.2">
      <c r="E8739" s="18"/>
      <c r="F8739" s="18"/>
    </row>
    <row r="8740" spans="5:6" ht="15" customHeight="1" x14ac:dyDescent="0.2">
      <c r="E8740" s="18"/>
      <c r="F8740" s="18"/>
    </row>
    <row r="8741" spans="5:6" ht="15" customHeight="1" x14ac:dyDescent="0.2">
      <c r="E8741" s="18"/>
      <c r="F8741" s="18"/>
    </row>
    <row r="8742" spans="5:6" ht="15" customHeight="1" x14ac:dyDescent="0.2">
      <c r="E8742" s="18"/>
      <c r="F8742" s="18"/>
    </row>
    <row r="8743" spans="5:6" ht="15" customHeight="1" x14ac:dyDescent="0.2">
      <c r="E8743" s="18"/>
      <c r="F8743" s="18"/>
    </row>
    <row r="8744" spans="5:6" ht="15" customHeight="1" x14ac:dyDescent="0.2">
      <c r="E8744" s="18"/>
      <c r="F8744" s="18"/>
    </row>
    <row r="8745" spans="5:6" ht="15" customHeight="1" x14ac:dyDescent="0.2">
      <c r="E8745" s="18"/>
      <c r="F8745" s="18"/>
    </row>
    <row r="8746" spans="5:6" ht="15" customHeight="1" x14ac:dyDescent="0.2">
      <c r="E8746" s="18"/>
      <c r="F8746" s="18"/>
    </row>
    <row r="8747" spans="5:6" ht="15" customHeight="1" x14ac:dyDescent="0.2">
      <c r="E8747" s="18"/>
      <c r="F8747" s="18"/>
    </row>
    <row r="8748" spans="5:6" ht="15" customHeight="1" x14ac:dyDescent="0.2">
      <c r="E8748" s="18"/>
      <c r="F8748" s="18"/>
    </row>
    <row r="8749" spans="5:6" ht="15" customHeight="1" x14ac:dyDescent="0.2">
      <c r="E8749" s="18"/>
      <c r="F8749" s="18"/>
    </row>
    <row r="8750" spans="5:6" ht="15" customHeight="1" x14ac:dyDescent="0.2">
      <c r="E8750" s="18"/>
      <c r="F8750" s="18"/>
    </row>
    <row r="8751" spans="5:6" ht="15" customHeight="1" x14ac:dyDescent="0.2">
      <c r="E8751" s="18"/>
      <c r="F8751" s="18"/>
    </row>
    <row r="8752" spans="5:6" ht="15" customHeight="1" x14ac:dyDescent="0.2">
      <c r="E8752" s="18"/>
      <c r="F8752" s="18"/>
    </row>
    <row r="8753" spans="5:6" ht="15" customHeight="1" x14ac:dyDescent="0.2">
      <c r="E8753" s="18"/>
      <c r="F8753" s="18"/>
    </row>
    <row r="8754" spans="5:6" ht="15" customHeight="1" x14ac:dyDescent="0.2">
      <c r="E8754" s="18"/>
      <c r="F8754" s="18"/>
    </row>
    <row r="8755" spans="5:6" ht="15" customHeight="1" x14ac:dyDescent="0.2">
      <c r="E8755" s="18"/>
      <c r="F8755" s="18"/>
    </row>
    <row r="8756" spans="5:6" ht="15" customHeight="1" x14ac:dyDescent="0.2">
      <c r="E8756" s="18"/>
      <c r="F8756" s="18"/>
    </row>
    <row r="8757" spans="5:6" ht="15" customHeight="1" x14ac:dyDescent="0.2">
      <c r="E8757" s="18"/>
      <c r="F8757" s="18"/>
    </row>
    <row r="8758" spans="5:6" ht="15" customHeight="1" x14ac:dyDescent="0.2">
      <c r="E8758" s="18"/>
      <c r="F8758" s="18"/>
    </row>
    <row r="8759" spans="5:6" ht="15" customHeight="1" x14ac:dyDescent="0.2">
      <c r="E8759" s="18"/>
      <c r="F8759" s="18"/>
    </row>
    <row r="8760" spans="5:6" ht="15" customHeight="1" x14ac:dyDescent="0.2">
      <c r="E8760" s="18"/>
      <c r="F8760" s="18"/>
    </row>
    <row r="8761" spans="5:6" ht="15" customHeight="1" x14ac:dyDescent="0.2">
      <c r="E8761" s="18"/>
      <c r="F8761" s="18"/>
    </row>
    <row r="8762" spans="5:6" ht="15" customHeight="1" x14ac:dyDescent="0.2">
      <c r="E8762" s="18"/>
      <c r="F8762" s="18"/>
    </row>
    <row r="8763" spans="5:6" ht="15" customHeight="1" x14ac:dyDescent="0.2">
      <c r="E8763" s="18"/>
      <c r="F8763" s="18"/>
    </row>
    <row r="8764" spans="5:6" ht="15" customHeight="1" x14ac:dyDescent="0.2">
      <c r="E8764" s="18"/>
      <c r="F8764" s="18"/>
    </row>
    <row r="8765" spans="5:6" ht="15" customHeight="1" x14ac:dyDescent="0.2">
      <c r="E8765" s="18"/>
      <c r="F8765" s="18"/>
    </row>
    <row r="8766" spans="5:6" ht="15" customHeight="1" x14ac:dyDescent="0.2">
      <c r="E8766" s="18"/>
      <c r="F8766" s="18"/>
    </row>
    <row r="8767" spans="5:6" ht="15" customHeight="1" x14ac:dyDescent="0.2">
      <c r="E8767" s="18"/>
      <c r="F8767" s="18"/>
    </row>
    <row r="8768" spans="5:6" ht="15" customHeight="1" x14ac:dyDescent="0.2">
      <c r="E8768" s="18"/>
      <c r="F8768" s="18"/>
    </row>
    <row r="8769" spans="5:6" ht="15" customHeight="1" x14ac:dyDescent="0.2">
      <c r="E8769" s="18"/>
      <c r="F8769" s="18"/>
    </row>
    <row r="8770" spans="5:6" ht="15" customHeight="1" x14ac:dyDescent="0.2">
      <c r="E8770" s="18"/>
      <c r="F8770" s="18"/>
    </row>
    <row r="8771" spans="5:6" ht="15" customHeight="1" x14ac:dyDescent="0.2">
      <c r="E8771" s="18"/>
      <c r="F8771" s="18"/>
    </row>
    <row r="8772" spans="5:6" ht="15" customHeight="1" x14ac:dyDescent="0.2">
      <c r="E8772" s="18"/>
      <c r="F8772" s="18"/>
    </row>
    <row r="8773" spans="5:6" ht="15" customHeight="1" x14ac:dyDescent="0.2">
      <c r="E8773" s="18"/>
      <c r="F8773" s="18"/>
    </row>
    <row r="8774" spans="5:6" ht="15" customHeight="1" x14ac:dyDescent="0.2">
      <c r="E8774" s="18"/>
      <c r="F8774" s="18"/>
    </row>
    <row r="8775" spans="5:6" ht="15" customHeight="1" x14ac:dyDescent="0.2">
      <c r="E8775" s="18"/>
      <c r="F8775" s="18"/>
    </row>
    <row r="8776" spans="5:6" ht="15" customHeight="1" x14ac:dyDescent="0.2">
      <c r="E8776" s="18"/>
      <c r="F8776" s="18"/>
    </row>
    <row r="8777" spans="5:6" ht="15" customHeight="1" x14ac:dyDescent="0.2">
      <c r="E8777" s="18"/>
      <c r="F8777" s="18"/>
    </row>
    <row r="8778" spans="5:6" ht="15" customHeight="1" x14ac:dyDescent="0.2">
      <c r="E8778" s="18"/>
      <c r="F8778" s="18"/>
    </row>
    <row r="8779" spans="5:6" ht="15" customHeight="1" x14ac:dyDescent="0.2">
      <c r="E8779" s="18"/>
      <c r="F8779" s="18"/>
    </row>
    <row r="8780" spans="5:6" ht="15" customHeight="1" x14ac:dyDescent="0.2">
      <c r="E8780" s="18"/>
      <c r="F8780" s="18"/>
    </row>
    <row r="8781" spans="5:6" ht="15" customHeight="1" x14ac:dyDescent="0.2">
      <c r="E8781" s="18"/>
      <c r="F8781" s="18"/>
    </row>
    <row r="8782" spans="5:6" ht="15" customHeight="1" x14ac:dyDescent="0.2">
      <c r="E8782" s="18"/>
      <c r="F8782" s="18"/>
    </row>
    <row r="8783" spans="5:6" ht="15" customHeight="1" x14ac:dyDescent="0.2">
      <c r="E8783" s="18"/>
      <c r="F8783" s="18"/>
    </row>
    <row r="8784" spans="5:6" ht="15" customHeight="1" x14ac:dyDescent="0.2">
      <c r="E8784" s="18"/>
      <c r="F8784" s="18"/>
    </row>
    <row r="8785" spans="5:6" ht="15" customHeight="1" x14ac:dyDescent="0.2">
      <c r="E8785" s="18"/>
      <c r="F8785" s="18"/>
    </row>
    <row r="8786" spans="5:6" ht="15" customHeight="1" x14ac:dyDescent="0.2">
      <c r="E8786" s="18"/>
      <c r="F8786" s="18"/>
    </row>
    <row r="8787" spans="5:6" ht="15" customHeight="1" x14ac:dyDescent="0.2">
      <c r="E8787" s="18"/>
      <c r="F8787" s="18"/>
    </row>
    <row r="8788" spans="5:6" ht="15" customHeight="1" x14ac:dyDescent="0.2">
      <c r="E8788" s="18"/>
      <c r="F8788" s="18"/>
    </row>
    <row r="8789" spans="5:6" ht="15" customHeight="1" x14ac:dyDescent="0.2">
      <c r="E8789" s="18"/>
      <c r="F8789" s="18"/>
    </row>
    <row r="8790" spans="5:6" ht="15" customHeight="1" x14ac:dyDescent="0.2">
      <c r="E8790" s="18"/>
      <c r="F8790" s="18"/>
    </row>
    <row r="8791" spans="5:6" ht="15" customHeight="1" x14ac:dyDescent="0.2">
      <c r="E8791" s="18"/>
      <c r="F8791" s="18"/>
    </row>
    <row r="8792" spans="5:6" ht="15" customHeight="1" x14ac:dyDescent="0.2">
      <c r="E8792" s="18"/>
      <c r="F8792" s="18"/>
    </row>
    <row r="8793" spans="5:6" ht="15" customHeight="1" x14ac:dyDescent="0.2">
      <c r="E8793" s="18"/>
      <c r="F8793" s="18"/>
    </row>
    <row r="8794" spans="5:6" ht="15" customHeight="1" x14ac:dyDescent="0.2">
      <c r="E8794" s="18"/>
      <c r="F8794" s="18"/>
    </row>
    <row r="8795" spans="5:6" ht="15" customHeight="1" x14ac:dyDescent="0.2">
      <c r="E8795" s="18"/>
      <c r="F8795" s="18"/>
    </row>
    <row r="8796" spans="5:6" ht="15" customHeight="1" x14ac:dyDescent="0.2">
      <c r="E8796" s="18"/>
      <c r="F8796" s="18"/>
    </row>
    <row r="8797" spans="5:6" ht="15" customHeight="1" x14ac:dyDescent="0.2">
      <c r="E8797" s="18"/>
      <c r="F8797" s="18"/>
    </row>
    <row r="8798" spans="5:6" ht="15" customHeight="1" x14ac:dyDescent="0.2">
      <c r="E8798" s="18"/>
      <c r="F8798" s="18"/>
    </row>
    <row r="8799" spans="5:6" ht="15" customHeight="1" x14ac:dyDescent="0.2">
      <c r="E8799" s="18"/>
      <c r="F8799" s="18"/>
    </row>
    <row r="8800" spans="5:6" ht="15" customHeight="1" x14ac:dyDescent="0.2">
      <c r="E8800" s="18"/>
      <c r="F8800" s="18"/>
    </row>
    <row r="8801" spans="5:6" ht="15" customHeight="1" x14ac:dyDescent="0.2">
      <c r="E8801" s="18"/>
      <c r="F8801" s="18"/>
    </row>
    <row r="8802" spans="5:6" ht="15" customHeight="1" x14ac:dyDescent="0.2">
      <c r="E8802" s="18"/>
      <c r="F8802" s="18"/>
    </row>
    <row r="8803" spans="5:6" ht="15" customHeight="1" x14ac:dyDescent="0.2">
      <c r="E8803" s="18"/>
      <c r="F8803" s="18"/>
    </row>
    <row r="8804" spans="5:6" ht="15" customHeight="1" x14ac:dyDescent="0.2">
      <c r="E8804" s="18"/>
      <c r="F8804" s="18"/>
    </row>
    <row r="8805" spans="5:6" ht="15" customHeight="1" x14ac:dyDescent="0.2">
      <c r="E8805" s="18"/>
      <c r="F8805" s="18"/>
    </row>
    <row r="8806" spans="5:6" ht="15" customHeight="1" x14ac:dyDescent="0.2">
      <c r="E8806" s="18"/>
      <c r="F8806" s="18"/>
    </row>
    <row r="8807" spans="5:6" ht="15" customHeight="1" x14ac:dyDescent="0.2">
      <c r="E8807" s="18"/>
      <c r="F8807" s="18"/>
    </row>
    <row r="8808" spans="5:6" ht="15" customHeight="1" x14ac:dyDescent="0.2">
      <c r="E8808" s="18"/>
      <c r="F8808" s="18"/>
    </row>
    <row r="8809" spans="5:6" ht="15" customHeight="1" x14ac:dyDescent="0.2">
      <c r="E8809" s="18"/>
      <c r="F8809" s="18"/>
    </row>
    <row r="8810" spans="5:6" ht="15" customHeight="1" x14ac:dyDescent="0.2">
      <c r="E8810" s="18"/>
      <c r="F8810" s="18"/>
    </row>
    <row r="8811" spans="5:6" ht="15" customHeight="1" x14ac:dyDescent="0.2">
      <c r="E8811" s="18"/>
      <c r="F8811" s="18"/>
    </row>
    <row r="8812" spans="5:6" ht="15" customHeight="1" x14ac:dyDescent="0.2">
      <c r="E8812" s="18"/>
      <c r="F8812" s="18"/>
    </row>
    <row r="8813" spans="5:6" ht="15" customHeight="1" x14ac:dyDescent="0.2">
      <c r="E8813" s="18"/>
      <c r="F8813" s="18"/>
    </row>
    <row r="8814" spans="5:6" ht="15" customHeight="1" x14ac:dyDescent="0.2">
      <c r="E8814" s="18"/>
      <c r="F8814" s="18"/>
    </row>
    <row r="8815" spans="5:6" ht="15" customHeight="1" x14ac:dyDescent="0.2">
      <c r="E8815" s="18"/>
      <c r="F8815" s="18"/>
    </row>
    <row r="8816" spans="5:6" ht="15" customHeight="1" x14ac:dyDescent="0.2">
      <c r="E8816" s="18"/>
      <c r="F8816" s="18"/>
    </row>
    <row r="8817" spans="5:6" ht="15" customHeight="1" x14ac:dyDescent="0.2">
      <c r="E8817" s="18"/>
      <c r="F8817" s="18"/>
    </row>
    <row r="8818" spans="5:6" ht="15" customHeight="1" x14ac:dyDescent="0.2">
      <c r="E8818" s="18"/>
      <c r="F8818" s="18"/>
    </row>
    <row r="8819" spans="5:6" ht="15" customHeight="1" x14ac:dyDescent="0.2">
      <c r="E8819" s="18"/>
      <c r="F8819" s="18"/>
    </row>
    <row r="8820" spans="5:6" ht="15" customHeight="1" x14ac:dyDescent="0.2">
      <c r="E8820" s="18"/>
      <c r="F8820" s="18"/>
    </row>
    <row r="8821" spans="5:6" ht="15" customHeight="1" x14ac:dyDescent="0.2">
      <c r="E8821" s="18"/>
      <c r="F8821" s="18"/>
    </row>
    <row r="8822" spans="5:6" ht="15" customHeight="1" x14ac:dyDescent="0.2">
      <c r="E8822" s="18"/>
      <c r="F8822" s="18"/>
    </row>
    <row r="8823" spans="5:6" ht="15" customHeight="1" x14ac:dyDescent="0.2">
      <c r="E8823" s="18"/>
      <c r="F8823" s="18"/>
    </row>
    <row r="8824" spans="5:6" ht="15" customHeight="1" x14ac:dyDescent="0.2">
      <c r="E8824" s="18"/>
      <c r="F8824" s="18"/>
    </row>
    <row r="8825" spans="5:6" ht="15" customHeight="1" x14ac:dyDescent="0.2">
      <c r="E8825" s="18"/>
      <c r="F8825" s="18"/>
    </row>
    <row r="8826" spans="5:6" ht="15" customHeight="1" x14ac:dyDescent="0.2">
      <c r="E8826" s="18"/>
      <c r="F8826" s="18"/>
    </row>
    <row r="8827" spans="5:6" ht="15" customHeight="1" x14ac:dyDescent="0.2">
      <c r="E8827" s="18"/>
      <c r="F8827" s="18"/>
    </row>
    <row r="8828" spans="5:6" ht="15" customHeight="1" x14ac:dyDescent="0.2">
      <c r="E8828" s="18"/>
      <c r="F8828" s="18"/>
    </row>
    <row r="8829" spans="5:6" ht="15" customHeight="1" x14ac:dyDescent="0.2">
      <c r="E8829" s="18"/>
      <c r="F8829" s="18"/>
    </row>
    <row r="8830" spans="5:6" ht="15" customHeight="1" x14ac:dyDescent="0.2">
      <c r="E8830" s="18"/>
      <c r="F8830" s="18"/>
    </row>
    <row r="8831" spans="5:6" ht="15" customHeight="1" x14ac:dyDescent="0.2">
      <c r="E8831" s="18"/>
      <c r="F8831" s="18"/>
    </row>
    <row r="8832" spans="5:6" ht="15" customHeight="1" x14ac:dyDescent="0.2">
      <c r="E8832" s="18"/>
      <c r="F8832" s="18"/>
    </row>
    <row r="8833" spans="5:6" ht="15" customHeight="1" x14ac:dyDescent="0.2">
      <c r="E8833" s="18"/>
      <c r="F8833" s="18"/>
    </row>
    <row r="8834" spans="5:6" ht="15" customHeight="1" x14ac:dyDescent="0.2">
      <c r="E8834" s="18"/>
      <c r="F8834" s="18"/>
    </row>
    <row r="8835" spans="5:6" ht="15" customHeight="1" x14ac:dyDescent="0.2">
      <c r="E8835" s="18"/>
      <c r="F8835" s="18"/>
    </row>
    <row r="8836" spans="5:6" ht="15" customHeight="1" x14ac:dyDescent="0.2">
      <c r="E8836" s="18"/>
      <c r="F8836" s="18"/>
    </row>
    <row r="8837" spans="5:6" ht="15" customHeight="1" x14ac:dyDescent="0.2">
      <c r="E8837" s="18"/>
      <c r="F8837" s="18"/>
    </row>
    <row r="8838" spans="5:6" ht="15" customHeight="1" x14ac:dyDescent="0.2">
      <c r="E8838" s="18"/>
      <c r="F8838" s="18"/>
    </row>
    <row r="8839" spans="5:6" ht="15" customHeight="1" x14ac:dyDescent="0.2">
      <c r="E8839" s="18"/>
      <c r="F8839" s="18"/>
    </row>
    <row r="8840" spans="5:6" ht="15" customHeight="1" x14ac:dyDescent="0.2">
      <c r="E8840" s="18"/>
      <c r="F8840" s="18"/>
    </row>
    <row r="8841" spans="5:6" ht="15" customHeight="1" x14ac:dyDescent="0.2">
      <c r="E8841" s="18"/>
      <c r="F8841" s="18"/>
    </row>
    <row r="8842" spans="5:6" ht="15" customHeight="1" x14ac:dyDescent="0.2">
      <c r="E8842" s="18"/>
      <c r="F8842" s="18"/>
    </row>
    <row r="8843" spans="5:6" ht="15" customHeight="1" x14ac:dyDescent="0.2">
      <c r="E8843" s="18"/>
      <c r="F8843" s="18"/>
    </row>
    <row r="8844" spans="5:6" ht="15" customHeight="1" x14ac:dyDescent="0.2">
      <c r="E8844" s="18"/>
      <c r="F8844" s="18"/>
    </row>
    <row r="8845" spans="5:6" ht="15" customHeight="1" x14ac:dyDescent="0.2">
      <c r="E8845" s="18"/>
      <c r="F8845" s="18"/>
    </row>
    <row r="8846" spans="5:6" ht="15" customHeight="1" x14ac:dyDescent="0.2">
      <c r="E8846" s="18"/>
      <c r="F8846" s="18"/>
    </row>
    <row r="8847" spans="5:6" ht="15" customHeight="1" x14ac:dyDescent="0.2">
      <c r="E8847" s="18"/>
      <c r="F8847" s="18"/>
    </row>
    <row r="8848" spans="5:6" ht="15" customHeight="1" x14ac:dyDescent="0.2">
      <c r="E8848" s="18"/>
      <c r="F8848" s="18"/>
    </row>
    <row r="8849" spans="5:6" ht="15" customHeight="1" x14ac:dyDescent="0.2">
      <c r="E8849" s="18"/>
      <c r="F8849" s="18"/>
    </row>
    <row r="8850" spans="5:6" ht="15" customHeight="1" x14ac:dyDescent="0.2">
      <c r="E8850" s="18"/>
      <c r="F8850" s="18"/>
    </row>
    <row r="8851" spans="5:6" ht="15" customHeight="1" x14ac:dyDescent="0.2">
      <c r="E8851" s="18"/>
      <c r="F8851" s="18"/>
    </row>
    <row r="8852" spans="5:6" ht="15" customHeight="1" x14ac:dyDescent="0.2">
      <c r="E8852" s="18"/>
      <c r="F8852" s="18"/>
    </row>
    <row r="8853" spans="5:6" ht="15" customHeight="1" x14ac:dyDescent="0.2">
      <c r="E8853" s="18"/>
      <c r="F8853" s="18"/>
    </row>
    <row r="8854" spans="5:6" ht="15" customHeight="1" x14ac:dyDescent="0.2">
      <c r="E8854" s="18"/>
      <c r="F8854" s="18"/>
    </row>
    <row r="8855" spans="5:6" ht="15" customHeight="1" x14ac:dyDescent="0.2">
      <c r="E8855" s="18"/>
      <c r="F8855" s="18"/>
    </row>
    <row r="8856" spans="5:6" ht="15" customHeight="1" x14ac:dyDescent="0.2">
      <c r="E8856" s="18"/>
      <c r="F8856" s="18"/>
    </row>
    <row r="8857" spans="5:6" ht="15" customHeight="1" x14ac:dyDescent="0.2">
      <c r="E8857" s="18"/>
      <c r="F8857" s="18"/>
    </row>
    <row r="8858" spans="5:6" ht="15" customHeight="1" x14ac:dyDescent="0.2">
      <c r="E8858" s="18"/>
      <c r="F8858" s="18"/>
    </row>
    <row r="8859" spans="5:6" ht="15" customHeight="1" x14ac:dyDescent="0.2">
      <c r="E8859" s="18"/>
      <c r="F8859" s="18"/>
    </row>
    <row r="8860" spans="5:6" ht="15" customHeight="1" x14ac:dyDescent="0.2">
      <c r="E8860" s="18"/>
      <c r="F8860" s="18"/>
    </row>
    <row r="8861" spans="5:6" ht="15" customHeight="1" x14ac:dyDescent="0.2">
      <c r="E8861" s="18"/>
      <c r="F8861" s="18"/>
    </row>
    <row r="8862" spans="5:6" ht="15" customHeight="1" x14ac:dyDescent="0.2">
      <c r="E8862" s="18"/>
      <c r="F8862" s="18"/>
    </row>
    <row r="8863" spans="5:6" ht="15" customHeight="1" x14ac:dyDescent="0.2">
      <c r="E8863" s="18"/>
      <c r="F8863" s="18"/>
    </row>
    <row r="8864" spans="5:6" ht="15" customHeight="1" x14ac:dyDescent="0.2">
      <c r="E8864" s="18"/>
      <c r="F8864" s="18"/>
    </row>
    <row r="8865" spans="5:6" ht="15" customHeight="1" x14ac:dyDescent="0.2">
      <c r="E8865" s="18"/>
      <c r="F8865" s="18"/>
    </row>
    <row r="8866" spans="5:6" ht="15" customHeight="1" x14ac:dyDescent="0.2">
      <c r="E8866" s="18"/>
      <c r="F8866" s="18"/>
    </row>
    <row r="8867" spans="5:6" ht="15" customHeight="1" x14ac:dyDescent="0.2">
      <c r="E8867" s="18"/>
      <c r="F8867" s="18"/>
    </row>
    <row r="8868" spans="5:6" ht="15" customHeight="1" x14ac:dyDescent="0.2">
      <c r="E8868" s="18"/>
      <c r="F8868" s="18"/>
    </row>
    <row r="8869" spans="5:6" ht="15" customHeight="1" x14ac:dyDescent="0.2">
      <c r="E8869" s="18"/>
      <c r="F8869" s="18"/>
    </row>
    <row r="8870" spans="5:6" ht="15" customHeight="1" x14ac:dyDescent="0.2">
      <c r="E8870" s="18"/>
      <c r="F8870" s="18"/>
    </row>
    <row r="8871" spans="5:6" ht="15" customHeight="1" x14ac:dyDescent="0.2">
      <c r="E8871" s="18"/>
      <c r="F8871" s="18"/>
    </row>
    <row r="8872" spans="5:6" ht="15" customHeight="1" x14ac:dyDescent="0.2">
      <c r="E8872" s="18"/>
      <c r="F8872" s="18"/>
    </row>
    <row r="8873" spans="5:6" ht="15" customHeight="1" x14ac:dyDescent="0.2">
      <c r="E8873" s="18"/>
      <c r="F8873" s="18"/>
    </row>
    <row r="8874" spans="5:6" ht="15" customHeight="1" x14ac:dyDescent="0.2">
      <c r="E8874" s="18"/>
      <c r="F8874" s="18"/>
    </row>
    <row r="8875" spans="5:6" ht="15" customHeight="1" x14ac:dyDescent="0.2">
      <c r="E8875" s="18"/>
      <c r="F8875" s="18"/>
    </row>
    <row r="8876" spans="5:6" ht="15" customHeight="1" x14ac:dyDescent="0.2">
      <c r="E8876" s="18"/>
      <c r="F8876" s="18"/>
    </row>
    <row r="8877" spans="5:6" ht="15" customHeight="1" x14ac:dyDescent="0.2">
      <c r="E8877" s="18"/>
      <c r="F8877" s="18"/>
    </row>
    <row r="8878" spans="5:6" ht="15" customHeight="1" x14ac:dyDescent="0.2">
      <c r="E8878" s="18"/>
      <c r="F8878" s="18"/>
    </row>
    <row r="8879" spans="5:6" ht="15" customHeight="1" x14ac:dyDescent="0.2">
      <c r="E8879" s="18"/>
      <c r="F8879" s="18"/>
    </row>
    <row r="8880" spans="5:6" ht="15" customHeight="1" x14ac:dyDescent="0.2">
      <c r="E8880" s="18"/>
      <c r="F8880" s="18"/>
    </row>
    <row r="8881" spans="5:6" ht="15" customHeight="1" x14ac:dyDescent="0.2">
      <c r="E8881" s="18"/>
      <c r="F8881" s="18"/>
    </row>
    <row r="8882" spans="5:6" ht="15" customHeight="1" x14ac:dyDescent="0.2">
      <c r="E8882" s="18"/>
      <c r="F8882" s="18"/>
    </row>
    <row r="8883" spans="5:6" ht="15" customHeight="1" x14ac:dyDescent="0.2">
      <c r="E8883" s="18"/>
      <c r="F8883" s="18"/>
    </row>
    <row r="8884" spans="5:6" ht="15" customHeight="1" x14ac:dyDescent="0.2">
      <c r="E8884" s="18"/>
      <c r="F8884" s="18"/>
    </row>
    <row r="8885" spans="5:6" ht="15" customHeight="1" x14ac:dyDescent="0.2">
      <c r="E8885" s="18"/>
      <c r="F8885" s="18"/>
    </row>
    <row r="8886" spans="5:6" ht="15" customHeight="1" x14ac:dyDescent="0.2">
      <c r="E8886" s="18"/>
      <c r="F8886" s="18"/>
    </row>
    <row r="8887" spans="5:6" ht="15" customHeight="1" x14ac:dyDescent="0.2">
      <c r="E8887" s="18"/>
      <c r="F8887" s="18"/>
    </row>
    <row r="8888" spans="5:6" ht="15" customHeight="1" x14ac:dyDescent="0.2">
      <c r="E8888" s="18"/>
      <c r="F8888" s="18"/>
    </row>
    <row r="8889" spans="5:6" ht="15" customHeight="1" x14ac:dyDescent="0.2">
      <c r="E8889" s="18"/>
      <c r="F8889" s="18"/>
    </row>
    <row r="8890" spans="5:6" ht="15" customHeight="1" x14ac:dyDescent="0.2">
      <c r="E8890" s="18"/>
      <c r="F8890" s="18"/>
    </row>
    <row r="8891" spans="5:6" ht="15" customHeight="1" x14ac:dyDescent="0.2">
      <c r="E8891" s="18"/>
      <c r="F8891" s="18"/>
    </row>
    <row r="8892" spans="5:6" ht="15" customHeight="1" x14ac:dyDescent="0.2">
      <c r="E8892" s="18"/>
      <c r="F8892" s="18"/>
    </row>
    <row r="8893" spans="5:6" ht="15" customHeight="1" x14ac:dyDescent="0.2">
      <c r="E8893" s="18"/>
      <c r="F8893" s="18"/>
    </row>
    <row r="8894" spans="5:6" ht="15" customHeight="1" x14ac:dyDescent="0.2">
      <c r="E8894" s="18"/>
      <c r="F8894" s="18"/>
    </row>
    <row r="8895" spans="5:6" ht="15" customHeight="1" x14ac:dyDescent="0.2">
      <c r="E8895" s="18"/>
      <c r="F8895" s="18"/>
    </row>
    <row r="8896" spans="5:6" ht="15" customHeight="1" x14ac:dyDescent="0.2">
      <c r="E8896" s="18"/>
      <c r="F8896" s="18"/>
    </row>
    <row r="8897" spans="5:6" ht="15" customHeight="1" x14ac:dyDescent="0.2">
      <c r="E8897" s="18"/>
      <c r="F8897" s="18"/>
    </row>
    <row r="8898" spans="5:6" ht="15" customHeight="1" x14ac:dyDescent="0.2">
      <c r="E8898" s="18"/>
      <c r="F8898" s="18"/>
    </row>
    <row r="8899" spans="5:6" ht="15" customHeight="1" x14ac:dyDescent="0.2">
      <c r="E8899" s="18"/>
      <c r="F8899" s="18"/>
    </row>
    <row r="8900" spans="5:6" ht="15" customHeight="1" x14ac:dyDescent="0.2">
      <c r="E8900" s="18"/>
      <c r="F8900" s="18"/>
    </row>
    <row r="8901" spans="5:6" ht="15" customHeight="1" x14ac:dyDescent="0.2">
      <c r="E8901" s="18"/>
      <c r="F8901" s="18"/>
    </row>
    <row r="8902" spans="5:6" ht="15" customHeight="1" x14ac:dyDescent="0.2">
      <c r="E8902" s="18"/>
      <c r="F8902" s="18"/>
    </row>
    <row r="8903" spans="5:6" ht="15" customHeight="1" x14ac:dyDescent="0.2">
      <c r="E8903" s="18"/>
      <c r="F8903" s="18"/>
    </row>
    <row r="8904" spans="5:6" ht="15" customHeight="1" x14ac:dyDescent="0.2">
      <c r="E8904" s="18"/>
      <c r="F8904" s="18"/>
    </row>
    <row r="8905" spans="5:6" ht="15" customHeight="1" x14ac:dyDescent="0.2">
      <c r="E8905" s="18"/>
      <c r="F8905" s="18"/>
    </row>
    <row r="8906" spans="5:6" ht="15" customHeight="1" x14ac:dyDescent="0.2">
      <c r="E8906" s="18"/>
      <c r="F8906" s="18"/>
    </row>
    <row r="8907" spans="5:6" ht="15" customHeight="1" x14ac:dyDescent="0.2">
      <c r="E8907" s="18"/>
      <c r="F8907" s="18"/>
    </row>
    <row r="8908" spans="5:6" ht="15" customHeight="1" x14ac:dyDescent="0.2">
      <c r="E8908" s="18"/>
      <c r="F8908" s="18"/>
    </row>
    <row r="8909" spans="5:6" ht="15" customHeight="1" x14ac:dyDescent="0.2">
      <c r="E8909" s="18"/>
      <c r="F8909" s="18"/>
    </row>
    <row r="8910" spans="5:6" ht="15" customHeight="1" x14ac:dyDescent="0.2">
      <c r="E8910" s="18"/>
      <c r="F8910" s="18"/>
    </row>
    <row r="8911" spans="5:6" ht="15" customHeight="1" x14ac:dyDescent="0.2">
      <c r="E8911" s="18"/>
      <c r="F8911" s="18"/>
    </row>
    <row r="8912" spans="5:6" ht="15" customHeight="1" x14ac:dyDescent="0.2">
      <c r="E8912" s="18"/>
      <c r="F8912" s="18"/>
    </row>
    <row r="8913" spans="5:6" ht="15" customHeight="1" x14ac:dyDescent="0.2">
      <c r="E8913" s="18"/>
      <c r="F8913" s="18"/>
    </row>
    <row r="8914" spans="5:6" ht="15" customHeight="1" x14ac:dyDescent="0.2">
      <c r="E8914" s="18"/>
      <c r="F8914" s="18"/>
    </row>
    <row r="8915" spans="5:6" ht="15" customHeight="1" x14ac:dyDescent="0.2">
      <c r="E8915" s="18"/>
      <c r="F8915" s="18"/>
    </row>
    <row r="8916" spans="5:6" ht="15" customHeight="1" x14ac:dyDescent="0.2">
      <c r="E8916" s="18"/>
      <c r="F8916" s="18"/>
    </row>
    <row r="8917" spans="5:6" ht="15" customHeight="1" x14ac:dyDescent="0.2">
      <c r="E8917" s="18"/>
      <c r="F8917" s="18"/>
    </row>
    <row r="8918" spans="5:6" ht="15" customHeight="1" x14ac:dyDescent="0.2">
      <c r="E8918" s="18"/>
      <c r="F8918" s="18"/>
    </row>
    <row r="8919" spans="5:6" ht="15" customHeight="1" x14ac:dyDescent="0.2">
      <c r="E8919" s="18"/>
      <c r="F8919" s="18"/>
    </row>
    <row r="8920" spans="5:6" ht="15" customHeight="1" x14ac:dyDescent="0.2">
      <c r="E8920" s="18"/>
      <c r="F8920" s="18"/>
    </row>
    <row r="8921" spans="5:6" ht="15" customHeight="1" x14ac:dyDescent="0.2">
      <c r="E8921" s="18"/>
      <c r="F8921" s="18"/>
    </row>
    <row r="8922" spans="5:6" ht="15" customHeight="1" x14ac:dyDescent="0.2">
      <c r="E8922" s="18"/>
      <c r="F8922" s="18"/>
    </row>
    <row r="8923" spans="5:6" ht="15" customHeight="1" x14ac:dyDescent="0.2">
      <c r="E8923" s="18"/>
      <c r="F8923" s="18"/>
    </row>
    <row r="8924" spans="5:6" ht="15" customHeight="1" x14ac:dyDescent="0.2">
      <c r="E8924" s="18"/>
      <c r="F8924" s="18"/>
    </row>
    <row r="8925" spans="5:6" ht="15" customHeight="1" x14ac:dyDescent="0.2">
      <c r="E8925" s="18"/>
      <c r="F8925" s="18"/>
    </row>
    <row r="8926" spans="5:6" ht="15" customHeight="1" x14ac:dyDescent="0.2">
      <c r="E8926" s="18"/>
      <c r="F8926" s="18"/>
    </row>
    <row r="8927" spans="5:6" ht="15" customHeight="1" x14ac:dyDescent="0.2">
      <c r="E8927" s="18"/>
      <c r="F8927" s="18"/>
    </row>
    <row r="8928" spans="5:6" ht="15" customHeight="1" x14ac:dyDescent="0.2">
      <c r="E8928" s="18"/>
      <c r="F8928" s="18"/>
    </row>
    <row r="8929" spans="5:6" ht="15" customHeight="1" x14ac:dyDescent="0.2">
      <c r="E8929" s="18"/>
      <c r="F8929" s="18"/>
    </row>
    <row r="8930" spans="5:6" ht="15" customHeight="1" x14ac:dyDescent="0.2">
      <c r="E8930" s="18"/>
      <c r="F8930" s="18"/>
    </row>
    <row r="8931" spans="5:6" ht="15" customHeight="1" x14ac:dyDescent="0.2">
      <c r="E8931" s="18"/>
      <c r="F8931" s="18"/>
    </row>
    <row r="8932" spans="5:6" ht="15" customHeight="1" x14ac:dyDescent="0.2">
      <c r="E8932" s="18"/>
      <c r="F8932" s="18"/>
    </row>
    <row r="8933" spans="5:6" ht="15" customHeight="1" x14ac:dyDescent="0.2">
      <c r="E8933" s="18"/>
      <c r="F8933" s="18"/>
    </row>
    <row r="8934" spans="5:6" ht="15" customHeight="1" x14ac:dyDescent="0.2">
      <c r="E8934" s="18"/>
      <c r="F8934" s="18"/>
    </row>
    <row r="8935" spans="5:6" ht="15" customHeight="1" x14ac:dyDescent="0.2">
      <c r="E8935" s="18"/>
      <c r="F8935" s="18"/>
    </row>
    <row r="8936" spans="5:6" ht="15" customHeight="1" x14ac:dyDescent="0.2">
      <c r="E8936" s="18"/>
      <c r="F8936" s="18"/>
    </row>
    <row r="8937" spans="5:6" ht="15" customHeight="1" x14ac:dyDescent="0.2">
      <c r="E8937" s="18"/>
      <c r="F8937" s="18"/>
    </row>
    <row r="8938" spans="5:6" ht="15" customHeight="1" x14ac:dyDescent="0.2">
      <c r="E8938" s="18"/>
      <c r="F8938" s="18"/>
    </row>
    <row r="8939" spans="5:6" ht="15" customHeight="1" x14ac:dyDescent="0.2">
      <c r="E8939" s="18"/>
      <c r="F8939" s="18"/>
    </row>
    <row r="8940" spans="5:6" ht="15" customHeight="1" x14ac:dyDescent="0.2">
      <c r="E8940" s="18"/>
      <c r="F8940" s="18"/>
    </row>
    <row r="8941" spans="5:6" ht="15" customHeight="1" x14ac:dyDescent="0.2">
      <c r="E8941" s="18"/>
      <c r="F8941" s="18"/>
    </row>
    <row r="8942" spans="5:6" ht="15" customHeight="1" x14ac:dyDescent="0.2">
      <c r="E8942" s="18"/>
      <c r="F8942" s="18"/>
    </row>
    <row r="8943" spans="5:6" ht="15" customHeight="1" x14ac:dyDescent="0.2">
      <c r="E8943" s="18"/>
      <c r="F8943" s="18"/>
    </row>
    <row r="8944" spans="5:6" ht="15" customHeight="1" x14ac:dyDescent="0.2">
      <c r="E8944" s="18"/>
      <c r="F8944" s="18"/>
    </row>
    <row r="8945" spans="5:6" ht="15" customHeight="1" x14ac:dyDescent="0.2">
      <c r="E8945" s="18"/>
      <c r="F8945" s="18"/>
    </row>
    <row r="8946" spans="5:6" ht="15" customHeight="1" x14ac:dyDescent="0.2">
      <c r="E8946" s="18"/>
      <c r="F8946" s="18"/>
    </row>
    <row r="8947" spans="5:6" ht="15" customHeight="1" x14ac:dyDescent="0.2">
      <c r="E8947" s="18"/>
      <c r="F8947" s="18"/>
    </row>
    <row r="8948" spans="5:6" ht="15" customHeight="1" x14ac:dyDescent="0.2">
      <c r="E8948" s="18"/>
      <c r="F8948" s="18"/>
    </row>
    <row r="8949" spans="5:6" ht="15" customHeight="1" x14ac:dyDescent="0.2">
      <c r="E8949" s="18"/>
      <c r="F8949" s="18"/>
    </row>
    <row r="8950" spans="5:6" ht="15" customHeight="1" x14ac:dyDescent="0.2">
      <c r="E8950" s="18"/>
      <c r="F8950" s="18"/>
    </row>
    <row r="8951" spans="5:6" ht="15" customHeight="1" x14ac:dyDescent="0.2">
      <c r="E8951" s="18"/>
      <c r="F8951" s="18"/>
    </row>
    <row r="8952" spans="5:6" ht="15" customHeight="1" x14ac:dyDescent="0.2">
      <c r="E8952" s="18"/>
      <c r="F8952" s="18"/>
    </row>
    <row r="8953" spans="5:6" ht="15" customHeight="1" x14ac:dyDescent="0.2">
      <c r="E8953" s="18"/>
      <c r="F8953" s="18"/>
    </row>
    <row r="8954" spans="5:6" ht="15" customHeight="1" x14ac:dyDescent="0.2">
      <c r="E8954" s="18"/>
      <c r="F8954" s="18"/>
    </row>
    <row r="8955" spans="5:6" ht="15" customHeight="1" x14ac:dyDescent="0.2">
      <c r="E8955" s="18"/>
      <c r="F8955" s="18"/>
    </row>
    <row r="8956" spans="5:6" ht="15" customHeight="1" x14ac:dyDescent="0.2">
      <c r="E8956" s="18"/>
      <c r="F8956" s="18"/>
    </row>
    <row r="8957" spans="5:6" ht="15" customHeight="1" x14ac:dyDescent="0.2">
      <c r="E8957" s="18"/>
      <c r="F8957" s="18"/>
    </row>
    <row r="8958" spans="5:6" ht="15" customHeight="1" x14ac:dyDescent="0.2">
      <c r="E8958" s="18"/>
      <c r="F8958" s="18"/>
    </row>
    <row r="8959" spans="5:6" ht="15" customHeight="1" x14ac:dyDescent="0.2">
      <c r="E8959" s="18"/>
      <c r="F8959" s="18"/>
    </row>
    <row r="8960" spans="5:6" ht="15" customHeight="1" x14ac:dyDescent="0.2">
      <c r="E8960" s="18"/>
      <c r="F8960" s="18"/>
    </row>
    <row r="8961" spans="5:6" ht="15" customHeight="1" x14ac:dyDescent="0.2">
      <c r="E8961" s="18"/>
      <c r="F8961" s="18"/>
    </row>
    <row r="8962" spans="5:6" ht="15" customHeight="1" x14ac:dyDescent="0.2">
      <c r="E8962" s="18"/>
      <c r="F8962" s="18"/>
    </row>
    <row r="8963" spans="5:6" ht="15" customHeight="1" x14ac:dyDescent="0.2">
      <c r="E8963" s="18"/>
      <c r="F8963" s="18"/>
    </row>
    <row r="8964" spans="5:6" ht="15" customHeight="1" x14ac:dyDescent="0.2">
      <c r="E8964" s="18"/>
      <c r="F8964" s="18"/>
    </row>
    <row r="8965" spans="5:6" ht="15" customHeight="1" x14ac:dyDescent="0.2">
      <c r="E8965" s="18"/>
      <c r="F8965" s="18"/>
    </row>
    <row r="8966" spans="5:6" ht="15" customHeight="1" x14ac:dyDescent="0.2">
      <c r="E8966" s="18"/>
      <c r="F8966" s="18"/>
    </row>
    <row r="8967" spans="5:6" ht="15" customHeight="1" x14ac:dyDescent="0.2">
      <c r="E8967" s="18"/>
      <c r="F8967" s="18"/>
    </row>
    <row r="8968" spans="5:6" ht="15" customHeight="1" x14ac:dyDescent="0.2">
      <c r="E8968" s="18"/>
      <c r="F8968" s="18"/>
    </row>
    <row r="8969" spans="5:6" ht="15" customHeight="1" x14ac:dyDescent="0.2">
      <c r="E8969" s="18"/>
      <c r="F8969" s="18"/>
    </row>
    <row r="8970" spans="5:6" ht="15" customHeight="1" x14ac:dyDescent="0.2">
      <c r="E8970" s="18"/>
      <c r="F8970" s="18"/>
    </row>
    <row r="8971" spans="5:6" ht="15" customHeight="1" x14ac:dyDescent="0.2">
      <c r="E8971" s="18"/>
      <c r="F8971" s="18"/>
    </row>
    <row r="8972" spans="5:6" ht="15" customHeight="1" x14ac:dyDescent="0.2">
      <c r="E8972" s="18"/>
      <c r="F8972" s="18"/>
    </row>
    <row r="8973" spans="5:6" ht="15" customHeight="1" x14ac:dyDescent="0.2">
      <c r="E8973" s="18"/>
      <c r="F8973" s="18"/>
    </row>
    <row r="8974" spans="5:6" ht="15" customHeight="1" x14ac:dyDescent="0.2">
      <c r="E8974" s="18"/>
      <c r="F8974" s="18"/>
    </row>
    <row r="8975" spans="5:6" ht="15" customHeight="1" x14ac:dyDescent="0.2">
      <c r="E8975" s="18"/>
      <c r="F8975" s="18"/>
    </row>
    <row r="8976" spans="5:6" ht="15" customHeight="1" x14ac:dyDescent="0.2">
      <c r="E8976" s="18"/>
      <c r="F8976" s="18"/>
    </row>
    <row r="8977" spans="5:6" ht="15" customHeight="1" x14ac:dyDescent="0.2">
      <c r="E8977" s="18"/>
      <c r="F8977" s="18"/>
    </row>
    <row r="8978" spans="5:6" ht="15" customHeight="1" x14ac:dyDescent="0.2">
      <c r="E8978" s="18"/>
      <c r="F8978" s="18"/>
    </row>
    <row r="8979" spans="5:6" ht="15" customHeight="1" x14ac:dyDescent="0.2">
      <c r="E8979" s="18"/>
      <c r="F8979" s="18"/>
    </row>
    <row r="8980" spans="5:6" ht="15" customHeight="1" x14ac:dyDescent="0.2">
      <c r="E8980" s="18"/>
      <c r="F8980" s="18"/>
    </row>
    <row r="8981" spans="5:6" ht="15" customHeight="1" x14ac:dyDescent="0.2">
      <c r="E8981" s="18"/>
      <c r="F8981" s="18"/>
    </row>
    <row r="8982" spans="5:6" ht="15" customHeight="1" x14ac:dyDescent="0.2">
      <c r="E8982" s="18"/>
      <c r="F8982" s="18"/>
    </row>
    <row r="8983" spans="5:6" ht="15" customHeight="1" x14ac:dyDescent="0.2">
      <c r="E8983" s="18"/>
      <c r="F8983" s="18"/>
    </row>
    <row r="8984" spans="5:6" ht="15" customHeight="1" x14ac:dyDescent="0.2">
      <c r="E8984" s="18"/>
      <c r="F8984" s="18"/>
    </row>
    <row r="8985" spans="5:6" ht="15" customHeight="1" x14ac:dyDescent="0.2">
      <c r="E8985" s="18"/>
      <c r="F8985" s="18"/>
    </row>
    <row r="8986" spans="5:6" ht="15" customHeight="1" x14ac:dyDescent="0.2">
      <c r="E8986" s="18"/>
      <c r="F8986" s="18"/>
    </row>
    <row r="8987" spans="5:6" ht="15" customHeight="1" x14ac:dyDescent="0.2">
      <c r="E8987" s="18"/>
      <c r="F8987" s="18"/>
    </row>
    <row r="8988" spans="5:6" ht="15" customHeight="1" x14ac:dyDescent="0.2">
      <c r="E8988" s="18"/>
      <c r="F8988" s="18"/>
    </row>
    <row r="8989" spans="5:6" ht="15" customHeight="1" x14ac:dyDescent="0.2">
      <c r="E8989" s="18"/>
      <c r="F8989" s="18"/>
    </row>
    <row r="8990" spans="5:6" ht="15" customHeight="1" x14ac:dyDescent="0.2">
      <c r="E8990" s="18"/>
      <c r="F8990" s="18"/>
    </row>
    <row r="8991" spans="5:6" ht="15" customHeight="1" x14ac:dyDescent="0.2">
      <c r="E8991" s="18"/>
      <c r="F8991" s="18"/>
    </row>
    <row r="8992" spans="5:6" ht="15" customHeight="1" x14ac:dyDescent="0.2">
      <c r="E8992" s="18"/>
      <c r="F8992" s="18"/>
    </row>
    <row r="8993" spans="5:6" ht="15" customHeight="1" x14ac:dyDescent="0.2">
      <c r="E8993" s="18"/>
      <c r="F8993" s="18"/>
    </row>
    <row r="8994" spans="5:6" ht="15" customHeight="1" x14ac:dyDescent="0.2">
      <c r="E8994" s="18"/>
      <c r="F8994" s="18"/>
    </row>
    <row r="8995" spans="5:6" ht="15" customHeight="1" x14ac:dyDescent="0.2">
      <c r="E8995" s="18"/>
      <c r="F8995" s="18"/>
    </row>
    <row r="8996" spans="5:6" ht="15" customHeight="1" x14ac:dyDescent="0.2">
      <c r="E8996" s="18"/>
      <c r="F8996" s="18"/>
    </row>
    <row r="8997" spans="5:6" ht="15" customHeight="1" x14ac:dyDescent="0.2">
      <c r="E8997" s="18"/>
      <c r="F8997" s="18"/>
    </row>
    <row r="8998" spans="5:6" ht="15" customHeight="1" x14ac:dyDescent="0.2">
      <c r="E8998" s="18"/>
      <c r="F8998" s="18"/>
    </row>
    <row r="8999" spans="5:6" ht="15" customHeight="1" x14ac:dyDescent="0.2">
      <c r="E8999" s="18"/>
      <c r="F8999" s="18"/>
    </row>
    <row r="9000" spans="5:6" ht="15" customHeight="1" x14ac:dyDescent="0.2">
      <c r="E9000" s="18"/>
      <c r="F9000" s="18"/>
    </row>
    <row r="9001" spans="5:6" ht="15" customHeight="1" x14ac:dyDescent="0.2">
      <c r="E9001" s="18"/>
      <c r="F9001" s="18"/>
    </row>
    <row r="9002" spans="5:6" ht="15" customHeight="1" x14ac:dyDescent="0.2">
      <c r="E9002" s="18"/>
      <c r="F9002" s="18"/>
    </row>
    <row r="9003" spans="5:6" ht="15" customHeight="1" x14ac:dyDescent="0.2">
      <c r="E9003" s="18"/>
      <c r="F9003" s="18"/>
    </row>
    <row r="9004" spans="5:6" ht="15" customHeight="1" x14ac:dyDescent="0.2">
      <c r="E9004" s="18"/>
      <c r="F9004" s="18"/>
    </row>
    <row r="9005" spans="5:6" ht="15" customHeight="1" x14ac:dyDescent="0.2">
      <c r="E9005" s="18"/>
      <c r="F9005" s="18"/>
    </row>
    <row r="9006" spans="5:6" ht="15" customHeight="1" x14ac:dyDescent="0.2">
      <c r="E9006" s="18"/>
      <c r="F9006" s="18"/>
    </row>
    <row r="9007" spans="5:6" ht="15" customHeight="1" x14ac:dyDescent="0.2">
      <c r="E9007" s="18"/>
      <c r="F9007" s="18"/>
    </row>
    <row r="9008" spans="5:6" ht="15" customHeight="1" x14ac:dyDescent="0.2">
      <c r="E9008" s="18"/>
      <c r="F9008" s="18"/>
    </row>
    <row r="9009" spans="5:6" ht="15" customHeight="1" x14ac:dyDescent="0.2">
      <c r="E9009" s="18"/>
      <c r="F9009" s="18"/>
    </row>
    <row r="9010" spans="5:6" ht="15" customHeight="1" x14ac:dyDescent="0.2">
      <c r="E9010" s="18"/>
      <c r="F9010" s="18"/>
    </row>
    <row r="9011" spans="5:6" ht="15" customHeight="1" x14ac:dyDescent="0.2">
      <c r="E9011" s="18"/>
      <c r="F9011" s="18"/>
    </row>
    <row r="9012" spans="5:6" ht="15" customHeight="1" x14ac:dyDescent="0.2">
      <c r="E9012" s="18"/>
      <c r="F9012" s="18"/>
    </row>
    <row r="9013" spans="5:6" ht="15" customHeight="1" x14ac:dyDescent="0.2">
      <c r="E9013" s="18"/>
      <c r="F9013" s="18"/>
    </row>
    <row r="9014" spans="5:6" ht="15" customHeight="1" x14ac:dyDescent="0.2">
      <c r="E9014" s="18"/>
      <c r="F9014" s="18"/>
    </row>
    <row r="9015" spans="5:6" ht="15" customHeight="1" x14ac:dyDescent="0.2">
      <c r="E9015" s="18"/>
      <c r="F9015" s="18"/>
    </row>
    <row r="9016" spans="5:6" ht="15" customHeight="1" x14ac:dyDescent="0.2">
      <c r="E9016" s="18"/>
      <c r="F9016" s="18"/>
    </row>
    <row r="9017" spans="5:6" ht="15" customHeight="1" x14ac:dyDescent="0.2">
      <c r="E9017" s="18"/>
      <c r="F9017" s="18"/>
    </row>
    <row r="9018" spans="5:6" ht="15" customHeight="1" x14ac:dyDescent="0.2">
      <c r="E9018" s="18"/>
      <c r="F9018" s="18"/>
    </row>
    <row r="9019" spans="5:6" ht="15" customHeight="1" x14ac:dyDescent="0.2">
      <c r="E9019" s="18"/>
      <c r="F9019" s="18"/>
    </row>
    <row r="9020" spans="5:6" ht="15" customHeight="1" x14ac:dyDescent="0.2">
      <c r="E9020" s="18"/>
      <c r="F9020" s="18"/>
    </row>
    <row r="9021" spans="5:6" ht="15" customHeight="1" x14ac:dyDescent="0.2">
      <c r="E9021" s="18"/>
      <c r="F9021" s="18"/>
    </row>
    <row r="9022" spans="5:6" ht="15" customHeight="1" x14ac:dyDescent="0.2">
      <c r="E9022" s="18"/>
      <c r="F9022" s="18"/>
    </row>
    <row r="9023" spans="5:6" ht="15" customHeight="1" x14ac:dyDescent="0.2">
      <c r="E9023" s="18"/>
      <c r="F9023" s="18"/>
    </row>
    <row r="9024" spans="5:6" ht="15" customHeight="1" x14ac:dyDescent="0.2">
      <c r="E9024" s="18"/>
      <c r="F9024" s="18"/>
    </row>
    <row r="9025" spans="5:6" ht="15" customHeight="1" x14ac:dyDescent="0.2">
      <c r="E9025" s="18"/>
      <c r="F9025" s="18"/>
    </row>
    <row r="9026" spans="5:6" ht="15" customHeight="1" x14ac:dyDescent="0.2">
      <c r="E9026" s="18"/>
      <c r="F9026" s="18"/>
    </row>
    <row r="9027" spans="5:6" ht="15" customHeight="1" x14ac:dyDescent="0.2">
      <c r="E9027" s="18"/>
      <c r="F9027" s="18"/>
    </row>
    <row r="9028" spans="5:6" ht="15" customHeight="1" x14ac:dyDescent="0.2">
      <c r="E9028" s="18"/>
      <c r="F9028" s="18"/>
    </row>
    <row r="9029" spans="5:6" ht="15" customHeight="1" x14ac:dyDescent="0.2">
      <c r="E9029" s="18"/>
      <c r="F9029" s="18"/>
    </row>
    <row r="9030" spans="5:6" ht="15" customHeight="1" x14ac:dyDescent="0.2">
      <c r="E9030" s="18"/>
      <c r="F9030" s="18"/>
    </row>
    <row r="9031" spans="5:6" ht="15" customHeight="1" x14ac:dyDescent="0.2">
      <c r="E9031" s="18"/>
      <c r="F9031" s="18"/>
    </row>
    <row r="9032" spans="5:6" ht="15" customHeight="1" x14ac:dyDescent="0.2">
      <c r="E9032" s="18"/>
      <c r="F9032" s="18"/>
    </row>
    <row r="9033" spans="5:6" ht="15" customHeight="1" x14ac:dyDescent="0.2">
      <c r="E9033" s="18"/>
      <c r="F9033" s="18"/>
    </row>
    <row r="9034" spans="5:6" ht="15" customHeight="1" x14ac:dyDescent="0.2">
      <c r="E9034" s="18"/>
      <c r="F9034" s="18"/>
    </row>
    <row r="9035" spans="5:6" ht="15" customHeight="1" x14ac:dyDescent="0.2">
      <c r="E9035" s="18"/>
      <c r="F9035" s="18"/>
    </row>
    <row r="9036" spans="5:6" ht="15" customHeight="1" x14ac:dyDescent="0.2">
      <c r="E9036" s="18"/>
      <c r="F9036" s="18"/>
    </row>
    <row r="9037" spans="5:6" ht="15" customHeight="1" x14ac:dyDescent="0.2">
      <c r="E9037" s="18"/>
      <c r="F9037" s="18"/>
    </row>
    <row r="9038" spans="5:6" ht="15" customHeight="1" x14ac:dyDescent="0.2">
      <c r="E9038" s="18"/>
      <c r="F9038" s="18"/>
    </row>
    <row r="9039" spans="5:6" ht="15" customHeight="1" x14ac:dyDescent="0.2">
      <c r="E9039" s="18"/>
      <c r="F9039" s="18"/>
    </row>
    <row r="9040" spans="5:6" ht="15" customHeight="1" x14ac:dyDescent="0.2">
      <c r="E9040" s="18"/>
      <c r="F9040" s="18"/>
    </row>
    <row r="9041" spans="5:6" ht="15" customHeight="1" x14ac:dyDescent="0.2">
      <c r="E9041" s="18"/>
      <c r="F9041" s="18"/>
    </row>
    <row r="9042" spans="5:6" ht="15" customHeight="1" x14ac:dyDescent="0.2">
      <c r="E9042" s="18"/>
      <c r="F9042" s="18"/>
    </row>
    <row r="9043" spans="5:6" ht="15" customHeight="1" x14ac:dyDescent="0.2">
      <c r="E9043" s="18"/>
      <c r="F9043" s="18"/>
    </row>
    <row r="9044" spans="5:6" ht="15" customHeight="1" x14ac:dyDescent="0.2">
      <c r="E9044" s="18"/>
      <c r="F9044" s="18"/>
    </row>
    <row r="9045" spans="5:6" ht="15" customHeight="1" x14ac:dyDescent="0.2">
      <c r="E9045" s="18"/>
      <c r="F9045" s="18"/>
    </row>
    <row r="9046" spans="5:6" ht="15" customHeight="1" x14ac:dyDescent="0.2">
      <c r="E9046" s="18"/>
      <c r="F9046" s="18"/>
    </row>
    <row r="9047" spans="5:6" ht="15" customHeight="1" x14ac:dyDescent="0.2">
      <c r="E9047" s="18"/>
      <c r="F9047" s="18"/>
    </row>
    <row r="9048" spans="5:6" ht="15" customHeight="1" x14ac:dyDescent="0.2">
      <c r="E9048" s="18"/>
      <c r="F9048" s="18"/>
    </row>
    <row r="9049" spans="5:6" ht="15" customHeight="1" x14ac:dyDescent="0.2">
      <c r="E9049" s="18"/>
      <c r="F9049" s="18"/>
    </row>
    <row r="9050" spans="5:6" ht="15" customHeight="1" x14ac:dyDescent="0.2">
      <c r="E9050" s="18"/>
      <c r="F9050" s="18"/>
    </row>
    <row r="9051" spans="5:6" ht="15" customHeight="1" x14ac:dyDescent="0.2">
      <c r="E9051" s="18"/>
      <c r="F9051" s="18"/>
    </row>
    <row r="9052" spans="5:6" ht="15" customHeight="1" x14ac:dyDescent="0.2">
      <c r="E9052" s="18"/>
      <c r="F9052" s="18"/>
    </row>
    <row r="9053" spans="5:6" ht="15" customHeight="1" x14ac:dyDescent="0.2">
      <c r="E9053" s="18"/>
      <c r="F9053" s="18"/>
    </row>
    <row r="9054" spans="5:6" ht="15" customHeight="1" x14ac:dyDescent="0.2">
      <c r="E9054" s="18"/>
      <c r="F9054" s="18"/>
    </row>
    <row r="9055" spans="5:6" ht="15" customHeight="1" x14ac:dyDescent="0.2">
      <c r="E9055" s="18"/>
      <c r="F9055" s="18"/>
    </row>
    <row r="9056" spans="5:6" ht="15" customHeight="1" x14ac:dyDescent="0.2">
      <c r="E9056" s="18"/>
      <c r="F9056" s="18"/>
    </row>
    <row r="9057" spans="5:6" ht="15" customHeight="1" x14ac:dyDescent="0.2">
      <c r="E9057" s="18"/>
      <c r="F9057" s="18"/>
    </row>
    <row r="9058" spans="5:6" ht="15" customHeight="1" x14ac:dyDescent="0.2">
      <c r="E9058" s="18"/>
      <c r="F9058" s="18"/>
    </row>
    <row r="9059" spans="5:6" ht="15" customHeight="1" x14ac:dyDescent="0.2">
      <c r="E9059" s="18"/>
      <c r="F9059" s="18"/>
    </row>
    <row r="9060" spans="5:6" ht="15" customHeight="1" x14ac:dyDescent="0.2">
      <c r="E9060" s="18"/>
      <c r="F9060" s="18"/>
    </row>
    <row r="9061" spans="5:6" ht="15" customHeight="1" x14ac:dyDescent="0.2">
      <c r="E9061" s="18"/>
      <c r="F9061" s="18"/>
    </row>
    <row r="9062" spans="5:6" ht="15" customHeight="1" x14ac:dyDescent="0.2">
      <c r="E9062" s="18"/>
      <c r="F9062" s="18"/>
    </row>
    <row r="9063" spans="5:6" ht="15" customHeight="1" x14ac:dyDescent="0.2">
      <c r="E9063" s="18"/>
      <c r="F9063" s="18"/>
    </row>
    <row r="9064" spans="5:6" ht="15" customHeight="1" x14ac:dyDescent="0.2">
      <c r="E9064" s="18"/>
      <c r="F9064" s="18"/>
    </row>
    <row r="9065" spans="5:6" ht="15" customHeight="1" x14ac:dyDescent="0.2">
      <c r="E9065" s="18"/>
      <c r="F9065" s="18"/>
    </row>
    <row r="9066" spans="5:6" ht="15" customHeight="1" x14ac:dyDescent="0.2">
      <c r="E9066" s="18"/>
      <c r="F9066" s="18"/>
    </row>
    <row r="9067" spans="5:6" ht="15" customHeight="1" x14ac:dyDescent="0.2">
      <c r="E9067" s="18"/>
      <c r="F9067" s="18"/>
    </row>
    <row r="9068" spans="5:6" ht="15" customHeight="1" x14ac:dyDescent="0.2">
      <c r="E9068" s="18"/>
      <c r="F9068" s="18"/>
    </row>
    <row r="9069" spans="5:6" ht="15" customHeight="1" x14ac:dyDescent="0.2">
      <c r="E9069" s="18"/>
      <c r="F9069" s="18"/>
    </row>
    <row r="9070" spans="5:6" ht="15" customHeight="1" x14ac:dyDescent="0.2">
      <c r="E9070" s="18"/>
      <c r="F9070" s="18"/>
    </row>
    <row r="9071" spans="5:6" ht="15" customHeight="1" x14ac:dyDescent="0.2">
      <c r="E9071" s="18"/>
      <c r="F9071" s="18"/>
    </row>
    <row r="9072" spans="5:6" ht="15" customHeight="1" x14ac:dyDescent="0.2">
      <c r="E9072" s="18"/>
      <c r="F9072" s="18"/>
    </row>
    <row r="9073" spans="5:6" ht="15" customHeight="1" x14ac:dyDescent="0.2">
      <c r="E9073" s="18"/>
      <c r="F9073" s="18"/>
    </row>
    <row r="9074" spans="5:6" ht="15" customHeight="1" x14ac:dyDescent="0.2">
      <c r="E9074" s="18"/>
      <c r="F9074" s="18"/>
    </row>
    <row r="9075" spans="5:6" ht="15" customHeight="1" x14ac:dyDescent="0.2">
      <c r="E9075" s="18"/>
      <c r="F9075" s="18"/>
    </row>
    <row r="9076" spans="5:6" ht="15" customHeight="1" x14ac:dyDescent="0.2">
      <c r="E9076" s="18"/>
      <c r="F9076" s="18"/>
    </row>
    <row r="9077" spans="5:6" ht="15" customHeight="1" x14ac:dyDescent="0.2">
      <c r="E9077" s="18"/>
      <c r="F9077" s="18"/>
    </row>
    <row r="9078" spans="5:6" ht="15" customHeight="1" x14ac:dyDescent="0.2">
      <c r="E9078" s="18"/>
      <c r="F9078" s="18"/>
    </row>
    <row r="9079" spans="5:6" ht="15" customHeight="1" x14ac:dyDescent="0.2">
      <c r="E9079" s="18"/>
      <c r="F9079" s="18"/>
    </row>
    <row r="9080" spans="5:6" ht="15" customHeight="1" x14ac:dyDescent="0.2">
      <c r="E9080" s="18"/>
      <c r="F9080" s="18"/>
    </row>
    <row r="9081" spans="5:6" ht="15" customHeight="1" x14ac:dyDescent="0.2">
      <c r="E9081" s="18"/>
      <c r="F9081" s="18"/>
    </row>
    <row r="9082" spans="5:6" ht="15" customHeight="1" x14ac:dyDescent="0.2">
      <c r="E9082" s="18"/>
      <c r="F9082" s="18"/>
    </row>
    <row r="9083" spans="5:6" ht="15" customHeight="1" x14ac:dyDescent="0.2">
      <c r="E9083" s="18"/>
      <c r="F9083" s="18"/>
    </row>
    <row r="9084" spans="5:6" ht="15" customHeight="1" x14ac:dyDescent="0.2">
      <c r="E9084" s="18"/>
      <c r="F9084" s="18"/>
    </row>
    <row r="9085" spans="5:6" ht="15" customHeight="1" x14ac:dyDescent="0.2">
      <c r="E9085" s="18"/>
      <c r="F9085" s="18"/>
    </row>
    <row r="9086" spans="5:6" ht="15" customHeight="1" x14ac:dyDescent="0.2">
      <c r="E9086" s="18"/>
      <c r="F9086" s="18"/>
    </row>
    <row r="9087" spans="5:6" ht="15" customHeight="1" x14ac:dyDescent="0.2">
      <c r="E9087" s="18"/>
      <c r="F9087" s="18"/>
    </row>
    <row r="9088" spans="5:6" ht="15" customHeight="1" x14ac:dyDescent="0.2">
      <c r="E9088" s="18"/>
      <c r="F9088" s="18"/>
    </row>
    <row r="9089" spans="5:6" ht="15" customHeight="1" x14ac:dyDescent="0.2">
      <c r="E9089" s="18"/>
      <c r="F9089" s="18"/>
    </row>
    <row r="9090" spans="5:6" ht="15" customHeight="1" x14ac:dyDescent="0.2">
      <c r="E9090" s="18"/>
      <c r="F9090" s="18"/>
    </row>
    <row r="9091" spans="5:6" ht="15" customHeight="1" x14ac:dyDescent="0.2">
      <c r="E9091" s="18"/>
      <c r="F9091" s="18"/>
    </row>
    <row r="9092" spans="5:6" ht="15" customHeight="1" x14ac:dyDescent="0.2">
      <c r="E9092" s="18"/>
      <c r="F9092" s="18"/>
    </row>
    <row r="9093" spans="5:6" ht="15" customHeight="1" x14ac:dyDescent="0.2">
      <c r="E9093" s="18"/>
      <c r="F9093" s="18"/>
    </row>
    <row r="9094" spans="5:6" ht="15" customHeight="1" x14ac:dyDescent="0.2">
      <c r="E9094" s="18"/>
      <c r="F9094" s="18"/>
    </row>
    <row r="9095" spans="5:6" ht="15" customHeight="1" x14ac:dyDescent="0.2">
      <c r="E9095" s="18"/>
      <c r="F9095" s="18"/>
    </row>
    <row r="9096" spans="5:6" ht="15" customHeight="1" x14ac:dyDescent="0.2">
      <c r="E9096" s="18"/>
      <c r="F9096" s="18"/>
    </row>
    <row r="9097" spans="5:6" ht="15" customHeight="1" x14ac:dyDescent="0.2">
      <c r="E9097" s="18"/>
      <c r="F9097" s="18"/>
    </row>
    <row r="9098" spans="5:6" ht="15" customHeight="1" x14ac:dyDescent="0.2">
      <c r="E9098" s="18"/>
      <c r="F9098" s="18"/>
    </row>
    <row r="9099" spans="5:6" ht="15" customHeight="1" x14ac:dyDescent="0.2">
      <c r="E9099" s="18"/>
      <c r="F9099" s="18"/>
    </row>
    <row r="9100" spans="5:6" ht="15" customHeight="1" x14ac:dyDescent="0.2">
      <c r="E9100" s="18"/>
      <c r="F9100" s="18"/>
    </row>
    <row r="9101" spans="5:6" ht="15" customHeight="1" x14ac:dyDescent="0.2">
      <c r="E9101" s="18"/>
      <c r="F9101" s="18"/>
    </row>
    <row r="9102" spans="5:6" ht="15" customHeight="1" x14ac:dyDescent="0.2">
      <c r="E9102" s="18"/>
      <c r="F9102" s="18"/>
    </row>
    <row r="9103" spans="5:6" ht="15" customHeight="1" x14ac:dyDescent="0.2">
      <c r="E9103" s="18"/>
      <c r="F9103" s="18"/>
    </row>
    <row r="9104" spans="5:6" ht="15" customHeight="1" x14ac:dyDescent="0.2">
      <c r="E9104" s="18"/>
      <c r="F9104" s="18"/>
    </row>
    <row r="9105" spans="5:6" ht="15" customHeight="1" x14ac:dyDescent="0.2">
      <c r="E9105" s="18"/>
      <c r="F9105" s="18"/>
    </row>
    <row r="9106" spans="5:6" ht="15" customHeight="1" x14ac:dyDescent="0.2">
      <c r="E9106" s="18"/>
      <c r="F9106" s="18"/>
    </row>
    <row r="9107" spans="5:6" ht="15" customHeight="1" x14ac:dyDescent="0.2">
      <c r="E9107" s="18"/>
      <c r="F9107" s="18"/>
    </row>
    <row r="9108" spans="5:6" ht="15" customHeight="1" x14ac:dyDescent="0.2">
      <c r="E9108" s="18"/>
      <c r="F9108" s="18"/>
    </row>
    <row r="9109" spans="5:6" ht="15" customHeight="1" x14ac:dyDescent="0.2">
      <c r="E9109" s="18"/>
      <c r="F9109" s="18"/>
    </row>
    <row r="9110" spans="5:6" ht="15" customHeight="1" x14ac:dyDescent="0.2">
      <c r="E9110" s="18"/>
      <c r="F9110" s="18"/>
    </row>
    <row r="9111" spans="5:6" ht="15" customHeight="1" x14ac:dyDescent="0.2">
      <c r="E9111" s="18"/>
      <c r="F9111" s="18"/>
    </row>
    <row r="9112" spans="5:6" ht="15" customHeight="1" x14ac:dyDescent="0.2">
      <c r="E9112" s="18"/>
      <c r="F9112" s="18"/>
    </row>
    <row r="9113" spans="5:6" ht="15" customHeight="1" x14ac:dyDescent="0.2">
      <c r="E9113" s="18"/>
      <c r="F9113" s="18"/>
    </row>
    <row r="9114" spans="5:6" ht="15" customHeight="1" x14ac:dyDescent="0.2">
      <c r="E9114" s="18"/>
      <c r="F9114" s="18"/>
    </row>
    <row r="9115" spans="5:6" ht="15" customHeight="1" x14ac:dyDescent="0.2">
      <c r="E9115" s="18"/>
      <c r="F9115" s="18"/>
    </row>
    <row r="9116" spans="5:6" ht="15" customHeight="1" x14ac:dyDescent="0.2">
      <c r="E9116" s="18"/>
      <c r="F9116" s="18"/>
    </row>
    <row r="9117" spans="5:6" ht="15" customHeight="1" x14ac:dyDescent="0.2">
      <c r="E9117" s="18"/>
      <c r="F9117" s="18"/>
    </row>
    <row r="9118" spans="5:6" ht="15" customHeight="1" x14ac:dyDescent="0.2">
      <c r="E9118" s="18"/>
      <c r="F9118" s="18"/>
    </row>
    <row r="9119" spans="5:6" ht="15" customHeight="1" x14ac:dyDescent="0.2">
      <c r="E9119" s="18"/>
      <c r="F9119" s="18"/>
    </row>
    <row r="9120" spans="5:6" ht="15" customHeight="1" x14ac:dyDescent="0.2">
      <c r="E9120" s="18"/>
      <c r="F9120" s="18"/>
    </row>
    <row r="9121" spans="5:6" ht="15" customHeight="1" x14ac:dyDescent="0.2">
      <c r="E9121" s="18"/>
      <c r="F9121" s="18"/>
    </row>
    <row r="9122" spans="5:6" ht="15" customHeight="1" x14ac:dyDescent="0.2">
      <c r="E9122" s="18"/>
      <c r="F9122" s="18"/>
    </row>
    <row r="9123" spans="5:6" ht="15" customHeight="1" x14ac:dyDescent="0.2">
      <c r="E9123" s="18"/>
      <c r="F9123" s="18"/>
    </row>
    <row r="9124" spans="5:6" ht="15" customHeight="1" x14ac:dyDescent="0.2">
      <c r="E9124" s="18"/>
      <c r="F9124" s="18"/>
    </row>
    <row r="9125" spans="5:6" ht="15" customHeight="1" x14ac:dyDescent="0.2">
      <c r="E9125" s="18"/>
      <c r="F9125" s="18"/>
    </row>
    <row r="9126" spans="5:6" ht="15" customHeight="1" x14ac:dyDescent="0.2">
      <c r="E9126" s="18"/>
      <c r="F9126" s="18"/>
    </row>
    <row r="9127" spans="5:6" ht="15" customHeight="1" x14ac:dyDescent="0.2">
      <c r="E9127" s="18"/>
      <c r="F9127" s="18"/>
    </row>
    <row r="9128" spans="5:6" ht="15" customHeight="1" x14ac:dyDescent="0.2">
      <c r="E9128" s="18"/>
      <c r="F9128" s="18"/>
    </row>
    <row r="9129" spans="5:6" ht="15" customHeight="1" x14ac:dyDescent="0.2">
      <c r="E9129" s="18"/>
      <c r="F9129" s="18"/>
    </row>
    <row r="9130" spans="5:6" ht="15" customHeight="1" x14ac:dyDescent="0.2">
      <c r="E9130" s="18"/>
      <c r="F9130" s="18"/>
    </row>
    <row r="9131" spans="5:6" ht="15" customHeight="1" x14ac:dyDescent="0.2">
      <c r="E9131" s="18"/>
      <c r="F9131" s="18"/>
    </row>
    <row r="9132" spans="5:6" ht="15" customHeight="1" x14ac:dyDescent="0.2">
      <c r="E9132" s="18"/>
      <c r="F9132" s="18"/>
    </row>
    <row r="9133" spans="5:6" ht="15" customHeight="1" x14ac:dyDescent="0.2">
      <c r="E9133" s="18"/>
      <c r="F9133" s="18"/>
    </row>
    <row r="9134" spans="5:6" ht="15" customHeight="1" x14ac:dyDescent="0.2">
      <c r="E9134" s="18"/>
      <c r="F9134" s="18"/>
    </row>
    <row r="9135" spans="5:6" ht="15" customHeight="1" x14ac:dyDescent="0.2">
      <c r="E9135" s="18"/>
      <c r="F9135" s="18"/>
    </row>
    <row r="9136" spans="5:6" ht="15" customHeight="1" x14ac:dyDescent="0.2">
      <c r="E9136" s="18"/>
      <c r="F9136" s="18"/>
    </row>
    <row r="9137" spans="5:6" ht="15" customHeight="1" x14ac:dyDescent="0.2">
      <c r="E9137" s="18"/>
      <c r="F9137" s="18"/>
    </row>
    <row r="9138" spans="5:6" ht="15" customHeight="1" x14ac:dyDescent="0.2">
      <c r="E9138" s="18"/>
      <c r="F9138" s="18"/>
    </row>
    <row r="9139" spans="5:6" ht="15" customHeight="1" x14ac:dyDescent="0.2">
      <c r="E9139" s="18"/>
      <c r="F9139" s="18"/>
    </row>
    <row r="9140" spans="5:6" ht="15" customHeight="1" x14ac:dyDescent="0.2">
      <c r="E9140" s="18"/>
      <c r="F9140" s="18"/>
    </row>
    <row r="9141" spans="5:6" ht="15" customHeight="1" x14ac:dyDescent="0.2">
      <c r="E9141" s="18"/>
      <c r="F9141" s="18"/>
    </row>
    <row r="9142" spans="5:6" ht="15" customHeight="1" x14ac:dyDescent="0.2">
      <c r="E9142" s="18"/>
      <c r="F9142" s="18"/>
    </row>
    <row r="9143" spans="5:6" ht="15" customHeight="1" x14ac:dyDescent="0.2">
      <c r="E9143" s="18"/>
      <c r="F9143" s="18"/>
    </row>
    <row r="9144" spans="5:6" ht="15" customHeight="1" x14ac:dyDescent="0.2">
      <c r="E9144" s="18"/>
      <c r="F9144" s="18"/>
    </row>
    <row r="9145" spans="5:6" ht="15" customHeight="1" x14ac:dyDescent="0.2">
      <c r="E9145" s="18"/>
      <c r="F9145" s="18"/>
    </row>
    <row r="9146" spans="5:6" ht="15" customHeight="1" x14ac:dyDescent="0.2">
      <c r="E9146" s="18"/>
      <c r="F9146" s="18"/>
    </row>
    <row r="9147" spans="5:6" ht="15" customHeight="1" x14ac:dyDescent="0.2">
      <c r="E9147" s="18"/>
      <c r="F9147" s="18"/>
    </row>
    <row r="9148" spans="5:6" ht="15" customHeight="1" x14ac:dyDescent="0.2">
      <c r="E9148" s="18"/>
      <c r="F9148" s="18"/>
    </row>
    <row r="9149" spans="5:6" ht="15" customHeight="1" x14ac:dyDescent="0.2">
      <c r="E9149" s="18"/>
      <c r="F9149" s="18"/>
    </row>
    <row r="9150" spans="5:6" ht="15" customHeight="1" x14ac:dyDescent="0.2">
      <c r="E9150" s="18"/>
      <c r="F9150" s="18"/>
    </row>
    <row r="9151" spans="5:6" ht="15" customHeight="1" x14ac:dyDescent="0.2">
      <c r="E9151" s="18"/>
      <c r="F9151" s="18"/>
    </row>
    <row r="9152" spans="5:6" ht="15" customHeight="1" x14ac:dyDescent="0.2">
      <c r="E9152" s="18"/>
      <c r="F9152" s="18"/>
    </row>
    <row r="9153" spans="5:6" ht="15" customHeight="1" x14ac:dyDescent="0.2">
      <c r="E9153" s="18"/>
      <c r="F9153" s="18"/>
    </row>
    <row r="9154" spans="5:6" ht="15" customHeight="1" x14ac:dyDescent="0.2">
      <c r="E9154" s="18"/>
      <c r="F9154" s="18"/>
    </row>
    <row r="9155" spans="5:6" ht="15" customHeight="1" x14ac:dyDescent="0.2">
      <c r="E9155" s="18"/>
      <c r="F9155" s="18"/>
    </row>
    <row r="9156" spans="5:6" ht="15" customHeight="1" x14ac:dyDescent="0.2">
      <c r="E9156" s="18"/>
      <c r="F9156" s="18"/>
    </row>
    <row r="9157" spans="5:6" ht="15" customHeight="1" x14ac:dyDescent="0.2">
      <c r="E9157" s="18"/>
      <c r="F9157" s="18"/>
    </row>
    <row r="9158" spans="5:6" ht="15" customHeight="1" x14ac:dyDescent="0.2">
      <c r="E9158" s="18"/>
      <c r="F9158" s="18"/>
    </row>
    <row r="9159" spans="5:6" ht="15" customHeight="1" x14ac:dyDescent="0.2">
      <c r="E9159" s="18"/>
      <c r="F9159" s="18"/>
    </row>
    <row r="9160" spans="5:6" ht="15" customHeight="1" x14ac:dyDescent="0.2">
      <c r="E9160" s="18"/>
      <c r="F9160" s="18"/>
    </row>
    <row r="9161" spans="5:6" ht="15" customHeight="1" x14ac:dyDescent="0.2">
      <c r="E9161" s="18"/>
      <c r="F9161" s="18"/>
    </row>
    <row r="9162" spans="5:6" ht="15" customHeight="1" x14ac:dyDescent="0.2">
      <c r="E9162" s="18"/>
      <c r="F9162" s="18"/>
    </row>
    <row r="9163" spans="5:6" ht="15" customHeight="1" x14ac:dyDescent="0.2">
      <c r="E9163" s="18"/>
      <c r="F9163" s="18"/>
    </row>
    <row r="9164" spans="5:6" ht="15" customHeight="1" x14ac:dyDescent="0.2">
      <c r="E9164" s="18"/>
      <c r="F9164" s="18"/>
    </row>
    <row r="9165" spans="5:6" ht="15" customHeight="1" x14ac:dyDescent="0.2">
      <c r="E9165" s="18"/>
      <c r="F9165" s="18"/>
    </row>
    <row r="9166" spans="5:6" ht="15" customHeight="1" x14ac:dyDescent="0.2">
      <c r="E9166" s="18"/>
      <c r="F9166" s="18"/>
    </row>
    <row r="9167" spans="5:6" ht="15" customHeight="1" x14ac:dyDescent="0.2">
      <c r="E9167" s="18"/>
      <c r="F9167" s="18"/>
    </row>
    <row r="9168" spans="5:6" ht="15" customHeight="1" x14ac:dyDescent="0.2">
      <c r="E9168" s="18"/>
      <c r="F9168" s="18"/>
    </row>
    <row r="9169" spans="5:6" ht="15" customHeight="1" x14ac:dyDescent="0.2">
      <c r="E9169" s="18"/>
      <c r="F9169" s="18"/>
    </row>
    <row r="9170" spans="5:6" ht="15" customHeight="1" x14ac:dyDescent="0.2">
      <c r="E9170" s="18"/>
      <c r="F9170" s="18"/>
    </row>
    <row r="9171" spans="5:6" ht="15" customHeight="1" x14ac:dyDescent="0.2">
      <c r="E9171" s="18"/>
      <c r="F9171" s="18"/>
    </row>
    <row r="9172" spans="5:6" ht="15" customHeight="1" x14ac:dyDescent="0.2">
      <c r="E9172" s="18"/>
      <c r="F9172" s="18"/>
    </row>
    <row r="9173" spans="5:6" ht="15" customHeight="1" x14ac:dyDescent="0.2">
      <c r="E9173" s="18"/>
      <c r="F9173" s="18"/>
    </row>
    <row r="9174" spans="5:6" ht="15" customHeight="1" x14ac:dyDescent="0.2">
      <c r="E9174" s="18"/>
      <c r="F9174" s="18"/>
    </row>
    <row r="9175" spans="5:6" ht="15" customHeight="1" x14ac:dyDescent="0.2">
      <c r="E9175" s="18"/>
      <c r="F9175" s="18"/>
    </row>
    <row r="9176" spans="5:6" ht="15" customHeight="1" x14ac:dyDescent="0.2">
      <c r="E9176" s="18"/>
      <c r="F9176" s="18"/>
    </row>
    <row r="9177" spans="5:6" ht="15" customHeight="1" x14ac:dyDescent="0.2">
      <c r="E9177" s="18"/>
      <c r="F9177" s="18"/>
    </row>
    <row r="9178" spans="5:6" ht="15" customHeight="1" x14ac:dyDescent="0.2">
      <c r="E9178" s="18"/>
      <c r="F9178" s="18"/>
    </row>
    <row r="9179" spans="5:6" ht="15" customHeight="1" x14ac:dyDescent="0.2">
      <c r="E9179" s="18"/>
      <c r="F9179" s="18"/>
    </row>
    <row r="9180" spans="5:6" ht="15" customHeight="1" x14ac:dyDescent="0.2">
      <c r="E9180" s="18"/>
      <c r="F9180" s="18"/>
    </row>
    <row r="9181" spans="5:6" ht="15" customHeight="1" x14ac:dyDescent="0.2">
      <c r="E9181" s="18"/>
      <c r="F9181" s="18"/>
    </row>
    <row r="9182" spans="5:6" ht="15" customHeight="1" x14ac:dyDescent="0.2">
      <c r="E9182" s="18"/>
      <c r="F9182" s="18"/>
    </row>
    <row r="9183" spans="5:6" ht="15" customHeight="1" x14ac:dyDescent="0.2">
      <c r="E9183" s="18"/>
      <c r="F9183" s="18"/>
    </row>
    <row r="9184" spans="5:6" ht="15" customHeight="1" x14ac:dyDescent="0.2">
      <c r="E9184" s="18"/>
      <c r="F9184" s="18"/>
    </row>
    <row r="9185" spans="5:6" ht="15" customHeight="1" x14ac:dyDescent="0.2">
      <c r="E9185" s="18"/>
      <c r="F9185" s="18"/>
    </row>
    <row r="9186" spans="5:6" ht="15" customHeight="1" x14ac:dyDescent="0.2">
      <c r="E9186" s="18"/>
      <c r="F9186" s="18"/>
    </row>
    <row r="9187" spans="5:6" ht="15" customHeight="1" x14ac:dyDescent="0.2">
      <c r="E9187" s="18"/>
      <c r="F9187" s="18"/>
    </row>
    <row r="9188" spans="5:6" ht="15" customHeight="1" x14ac:dyDescent="0.2">
      <c r="E9188" s="18"/>
      <c r="F9188" s="18"/>
    </row>
    <row r="9189" spans="5:6" ht="15" customHeight="1" x14ac:dyDescent="0.2">
      <c r="E9189" s="18"/>
      <c r="F9189" s="18"/>
    </row>
    <row r="9190" spans="5:6" ht="15" customHeight="1" x14ac:dyDescent="0.2">
      <c r="E9190" s="18"/>
      <c r="F9190" s="18"/>
    </row>
    <row r="9191" spans="5:6" ht="15" customHeight="1" x14ac:dyDescent="0.2">
      <c r="E9191" s="18"/>
      <c r="F9191" s="18"/>
    </row>
    <row r="9192" spans="5:6" ht="15" customHeight="1" x14ac:dyDescent="0.2">
      <c r="E9192" s="18"/>
      <c r="F9192" s="18"/>
    </row>
    <row r="9193" spans="5:6" ht="15" customHeight="1" x14ac:dyDescent="0.2">
      <c r="E9193" s="18"/>
      <c r="F9193" s="18"/>
    </row>
    <row r="9194" spans="5:6" ht="15" customHeight="1" x14ac:dyDescent="0.2">
      <c r="E9194" s="18"/>
      <c r="F9194" s="18"/>
    </row>
    <row r="9195" spans="5:6" ht="15" customHeight="1" x14ac:dyDescent="0.2">
      <c r="E9195" s="18"/>
      <c r="F9195" s="18"/>
    </row>
    <row r="9196" spans="5:6" ht="15" customHeight="1" x14ac:dyDescent="0.2">
      <c r="E9196" s="18"/>
      <c r="F9196" s="18"/>
    </row>
    <row r="9197" spans="5:6" ht="15" customHeight="1" x14ac:dyDescent="0.2">
      <c r="E9197" s="18"/>
      <c r="F9197" s="18"/>
    </row>
    <row r="9198" spans="5:6" ht="15" customHeight="1" x14ac:dyDescent="0.2">
      <c r="E9198" s="18"/>
      <c r="F9198" s="18"/>
    </row>
    <row r="9199" spans="5:6" ht="15" customHeight="1" x14ac:dyDescent="0.2">
      <c r="E9199" s="18"/>
      <c r="F9199" s="18"/>
    </row>
    <row r="9200" spans="5:6" ht="15" customHeight="1" x14ac:dyDescent="0.2">
      <c r="E9200" s="18"/>
      <c r="F9200" s="18"/>
    </row>
    <row r="9201" spans="5:6" ht="15" customHeight="1" x14ac:dyDescent="0.2">
      <c r="E9201" s="18"/>
      <c r="F9201" s="18"/>
    </row>
    <row r="9202" spans="5:6" ht="15" customHeight="1" x14ac:dyDescent="0.2">
      <c r="E9202" s="18"/>
      <c r="F9202" s="18"/>
    </row>
    <row r="9203" spans="5:6" ht="15" customHeight="1" x14ac:dyDescent="0.2">
      <c r="E9203" s="18"/>
      <c r="F9203" s="18"/>
    </row>
    <row r="9204" spans="5:6" ht="15" customHeight="1" x14ac:dyDescent="0.2">
      <c r="E9204" s="18"/>
      <c r="F9204" s="18"/>
    </row>
    <row r="9205" spans="5:6" ht="15" customHeight="1" x14ac:dyDescent="0.2">
      <c r="E9205" s="18"/>
      <c r="F9205" s="18"/>
    </row>
    <row r="9206" spans="5:6" ht="15" customHeight="1" x14ac:dyDescent="0.2">
      <c r="E9206" s="18"/>
      <c r="F9206" s="18"/>
    </row>
    <row r="9207" spans="5:6" ht="15" customHeight="1" x14ac:dyDescent="0.2">
      <c r="E9207" s="18"/>
      <c r="F9207" s="18"/>
    </row>
    <row r="9208" spans="5:6" ht="15" customHeight="1" x14ac:dyDescent="0.2">
      <c r="E9208" s="18"/>
      <c r="F9208" s="18"/>
    </row>
    <row r="9209" spans="5:6" ht="15" customHeight="1" x14ac:dyDescent="0.2">
      <c r="E9209" s="18"/>
      <c r="F9209" s="18"/>
    </row>
    <row r="9210" spans="5:6" ht="15" customHeight="1" x14ac:dyDescent="0.2">
      <c r="E9210" s="18"/>
      <c r="F9210" s="18"/>
    </row>
    <row r="9211" spans="5:6" ht="15" customHeight="1" x14ac:dyDescent="0.2">
      <c r="E9211" s="18"/>
      <c r="F9211" s="18"/>
    </row>
    <row r="9212" spans="5:6" ht="15" customHeight="1" x14ac:dyDescent="0.2">
      <c r="E9212" s="18"/>
      <c r="F9212" s="18"/>
    </row>
    <row r="9213" spans="5:6" ht="15" customHeight="1" x14ac:dyDescent="0.2">
      <c r="E9213" s="18"/>
      <c r="F9213" s="18"/>
    </row>
    <row r="9214" spans="5:6" ht="15" customHeight="1" x14ac:dyDescent="0.2">
      <c r="E9214" s="18"/>
      <c r="F9214" s="18"/>
    </row>
    <row r="9215" spans="5:6" ht="15" customHeight="1" x14ac:dyDescent="0.2">
      <c r="E9215" s="18"/>
      <c r="F9215" s="18"/>
    </row>
    <row r="9216" spans="5:6" ht="15" customHeight="1" x14ac:dyDescent="0.2">
      <c r="E9216" s="18"/>
      <c r="F9216" s="18"/>
    </row>
    <row r="9217" spans="5:6" ht="15" customHeight="1" x14ac:dyDescent="0.2">
      <c r="E9217" s="18"/>
      <c r="F9217" s="18"/>
    </row>
    <row r="9218" spans="5:6" ht="15" customHeight="1" x14ac:dyDescent="0.2">
      <c r="E9218" s="18"/>
      <c r="F9218" s="18"/>
    </row>
    <row r="9219" spans="5:6" ht="15" customHeight="1" x14ac:dyDescent="0.2">
      <c r="E9219" s="18"/>
      <c r="F9219" s="18"/>
    </row>
    <row r="9220" spans="5:6" ht="15" customHeight="1" x14ac:dyDescent="0.2">
      <c r="E9220" s="18"/>
      <c r="F9220" s="18"/>
    </row>
    <row r="9221" spans="5:6" ht="15" customHeight="1" x14ac:dyDescent="0.2">
      <c r="E9221" s="18"/>
      <c r="F9221" s="18"/>
    </row>
    <row r="9222" spans="5:6" ht="15" customHeight="1" x14ac:dyDescent="0.2">
      <c r="E9222" s="18"/>
      <c r="F9222" s="18"/>
    </row>
    <row r="9223" spans="5:6" ht="15" customHeight="1" x14ac:dyDescent="0.2">
      <c r="E9223" s="18"/>
      <c r="F9223" s="18"/>
    </row>
    <row r="9224" spans="5:6" ht="15" customHeight="1" x14ac:dyDescent="0.2">
      <c r="E9224" s="18"/>
      <c r="F9224" s="18"/>
    </row>
    <row r="9225" spans="5:6" ht="15" customHeight="1" x14ac:dyDescent="0.2">
      <c r="E9225" s="18"/>
      <c r="F9225" s="18"/>
    </row>
    <row r="9226" spans="5:6" ht="15" customHeight="1" x14ac:dyDescent="0.2">
      <c r="E9226" s="18"/>
      <c r="F9226" s="18"/>
    </row>
    <row r="9227" spans="5:6" ht="15" customHeight="1" x14ac:dyDescent="0.2">
      <c r="E9227" s="18"/>
      <c r="F9227" s="18"/>
    </row>
    <row r="9228" spans="5:6" ht="15" customHeight="1" x14ac:dyDescent="0.2">
      <c r="E9228" s="18"/>
      <c r="F9228" s="18"/>
    </row>
    <row r="9229" spans="5:6" ht="15" customHeight="1" x14ac:dyDescent="0.2">
      <c r="E9229" s="18"/>
      <c r="F9229" s="18"/>
    </row>
    <row r="9230" spans="5:6" ht="15" customHeight="1" x14ac:dyDescent="0.2">
      <c r="E9230" s="18"/>
      <c r="F9230" s="18"/>
    </row>
    <row r="9231" spans="5:6" ht="15" customHeight="1" x14ac:dyDescent="0.2">
      <c r="E9231" s="18"/>
      <c r="F9231" s="18"/>
    </row>
    <row r="9232" spans="5:6" ht="15" customHeight="1" x14ac:dyDescent="0.2">
      <c r="E9232" s="18"/>
      <c r="F9232" s="18"/>
    </row>
    <row r="9233" spans="5:6" ht="15" customHeight="1" x14ac:dyDescent="0.2">
      <c r="E9233" s="18"/>
      <c r="F9233" s="18"/>
    </row>
    <row r="9234" spans="5:6" ht="15" customHeight="1" x14ac:dyDescent="0.2">
      <c r="E9234" s="18"/>
      <c r="F9234" s="18"/>
    </row>
    <row r="9235" spans="5:6" ht="15" customHeight="1" x14ac:dyDescent="0.2">
      <c r="E9235" s="18"/>
      <c r="F9235" s="18"/>
    </row>
    <row r="9236" spans="5:6" ht="15" customHeight="1" x14ac:dyDescent="0.2">
      <c r="E9236" s="18"/>
      <c r="F9236" s="18"/>
    </row>
    <row r="9237" spans="5:6" ht="15" customHeight="1" x14ac:dyDescent="0.2">
      <c r="E9237" s="18"/>
      <c r="F9237" s="18"/>
    </row>
    <row r="9238" spans="5:6" ht="15" customHeight="1" x14ac:dyDescent="0.2">
      <c r="E9238" s="18"/>
      <c r="F9238" s="18"/>
    </row>
    <row r="9239" spans="5:6" ht="15" customHeight="1" x14ac:dyDescent="0.2">
      <c r="E9239" s="18"/>
      <c r="F9239" s="18"/>
    </row>
    <row r="9240" spans="5:6" ht="15" customHeight="1" x14ac:dyDescent="0.2">
      <c r="E9240" s="18"/>
      <c r="F9240" s="18"/>
    </row>
    <row r="9241" spans="5:6" ht="15" customHeight="1" x14ac:dyDescent="0.2">
      <c r="E9241" s="18"/>
      <c r="F9241" s="18"/>
    </row>
    <row r="9242" spans="5:6" ht="15" customHeight="1" x14ac:dyDescent="0.2">
      <c r="E9242" s="18"/>
      <c r="F9242" s="18"/>
    </row>
    <row r="9243" spans="5:6" ht="15" customHeight="1" x14ac:dyDescent="0.2">
      <c r="E9243" s="18"/>
      <c r="F9243" s="18"/>
    </row>
    <row r="9244" spans="5:6" ht="15" customHeight="1" x14ac:dyDescent="0.2">
      <c r="E9244" s="18"/>
      <c r="F9244" s="18"/>
    </row>
    <row r="9245" spans="5:6" ht="15" customHeight="1" x14ac:dyDescent="0.2">
      <c r="E9245" s="18"/>
      <c r="F9245" s="18"/>
    </row>
    <row r="9246" spans="5:6" ht="15" customHeight="1" x14ac:dyDescent="0.2">
      <c r="E9246" s="18"/>
      <c r="F9246" s="18"/>
    </row>
    <row r="9247" spans="5:6" ht="15" customHeight="1" x14ac:dyDescent="0.2">
      <c r="E9247" s="18"/>
      <c r="F9247" s="18"/>
    </row>
    <row r="9248" spans="5:6" ht="15" customHeight="1" x14ac:dyDescent="0.2">
      <c r="E9248" s="18"/>
      <c r="F9248" s="18"/>
    </row>
    <row r="9249" spans="5:6" ht="15" customHeight="1" x14ac:dyDescent="0.2">
      <c r="E9249" s="18"/>
      <c r="F9249" s="18"/>
    </row>
    <row r="9250" spans="5:6" ht="15" customHeight="1" x14ac:dyDescent="0.2">
      <c r="E9250" s="18"/>
      <c r="F9250" s="18"/>
    </row>
    <row r="9251" spans="5:6" ht="15" customHeight="1" x14ac:dyDescent="0.2">
      <c r="E9251" s="18"/>
      <c r="F9251" s="18"/>
    </row>
    <row r="9252" spans="5:6" ht="15" customHeight="1" x14ac:dyDescent="0.2">
      <c r="E9252" s="18"/>
      <c r="F9252" s="18"/>
    </row>
    <row r="9253" spans="5:6" ht="15" customHeight="1" x14ac:dyDescent="0.2">
      <c r="E9253" s="18"/>
      <c r="F9253" s="18"/>
    </row>
    <row r="9254" spans="5:6" ht="15" customHeight="1" x14ac:dyDescent="0.2">
      <c r="E9254" s="18"/>
      <c r="F9254" s="18"/>
    </row>
    <row r="9255" spans="5:6" ht="15" customHeight="1" x14ac:dyDescent="0.2">
      <c r="E9255" s="18"/>
      <c r="F9255" s="18"/>
    </row>
    <row r="9256" spans="5:6" ht="15" customHeight="1" x14ac:dyDescent="0.2">
      <c r="E9256" s="18"/>
      <c r="F9256" s="18"/>
    </row>
    <row r="9257" spans="5:6" ht="15" customHeight="1" x14ac:dyDescent="0.2">
      <c r="E9257" s="18"/>
      <c r="F9257" s="18"/>
    </row>
    <row r="9258" spans="5:6" ht="15" customHeight="1" x14ac:dyDescent="0.2">
      <c r="E9258" s="18"/>
      <c r="F9258" s="18"/>
    </row>
    <row r="9259" spans="5:6" ht="15" customHeight="1" x14ac:dyDescent="0.2">
      <c r="E9259" s="18"/>
      <c r="F9259" s="18"/>
    </row>
    <row r="9260" spans="5:6" ht="15" customHeight="1" x14ac:dyDescent="0.2">
      <c r="E9260" s="18"/>
      <c r="F9260" s="18"/>
    </row>
    <row r="9261" spans="5:6" ht="15" customHeight="1" x14ac:dyDescent="0.2">
      <c r="E9261" s="18"/>
      <c r="F9261" s="18"/>
    </row>
    <row r="9262" spans="5:6" ht="15" customHeight="1" x14ac:dyDescent="0.2">
      <c r="E9262" s="18"/>
      <c r="F9262" s="18"/>
    </row>
    <row r="9263" spans="5:6" ht="15" customHeight="1" x14ac:dyDescent="0.2">
      <c r="E9263" s="18"/>
      <c r="F9263" s="18"/>
    </row>
    <row r="9264" spans="5:6" ht="15" customHeight="1" x14ac:dyDescent="0.2">
      <c r="E9264" s="18"/>
      <c r="F9264" s="18"/>
    </row>
    <row r="9265" spans="5:6" ht="15" customHeight="1" x14ac:dyDescent="0.2">
      <c r="E9265" s="18"/>
      <c r="F9265" s="18"/>
    </row>
    <row r="9266" spans="5:6" ht="15" customHeight="1" x14ac:dyDescent="0.2">
      <c r="E9266" s="18"/>
      <c r="F9266" s="18"/>
    </row>
    <row r="9267" spans="5:6" ht="15" customHeight="1" x14ac:dyDescent="0.2">
      <c r="E9267" s="18"/>
      <c r="F9267" s="18"/>
    </row>
    <row r="9268" spans="5:6" ht="15" customHeight="1" x14ac:dyDescent="0.2">
      <c r="E9268" s="18"/>
      <c r="F9268" s="18"/>
    </row>
    <row r="9269" spans="5:6" ht="15" customHeight="1" x14ac:dyDescent="0.2">
      <c r="E9269" s="18"/>
      <c r="F9269" s="18"/>
    </row>
    <row r="9270" spans="5:6" ht="15" customHeight="1" x14ac:dyDescent="0.2">
      <c r="E9270" s="18"/>
      <c r="F9270" s="18"/>
    </row>
    <row r="9271" spans="5:6" ht="15" customHeight="1" x14ac:dyDescent="0.2">
      <c r="E9271" s="18"/>
      <c r="F9271" s="18"/>
    </row>
    <row r="9272" spans="5:6" ht="15" customHeight="1" x14ac:dyDescent="0.2">
      <c r="E9272" s="18"/>
      <c r="F9272" s="18"/>
    </row>
    <row r="9273" spans="5:6" ht="15" customHeight="1" x14ac:dyDescent="0.2">
      <c r="E9273" s="18"/>
      <c r="F9273" s="18"/>
    </row>
    <row r="9274" spans="5:6" ht="15" customHeight="1" x14ac:dyDescent="0.2">
      <c r="E9274" s="18"/>
      <c r="F9274" s="18"/>
    </row>
    <row r="9275" spans="5:6" ht="15" customHeight="1" x14ac:dyDescent="0.2">
      <c r="E9275" s="18"/>
      <c r="F9275" s="18"/>
    </row>
    <row r="9276" spans="5:6" ht="15" customHeight="1" x14ac:dyDescent="0.2">
      <c r="E9276" s="18"/>
      <c r="F9276" s="18"/>
    </row>
    <row r="9277" spans="5:6" ht="15" customHeight="1" x14ac:dyDescent="0.2">
      <c r="E9277" s="18"/>
      <c r="F9277" s="18"/>
    </row>
    <row r="9278" spans="5:6" ht="15" customHeight="1" x14ac:dyDescent="0.2">
      <c r="E9278" s="18"/>
      <c r="F9278" s="18"/>
    </row>
    <row r="9279" spans="5:6" ht="15" customHeight="1" x14ac:dyDescent="0.2">
      <c r="E9279" s="18"/>
      <c r="F9279" s="18"/>
    </row>
    <row r="9280" spans="5:6" ht="15" customHeight="1" x14ac:dyDescent="0.2">
      <c r="E9280" s="18"/>
      <c r="F9280" s="18"/>
    </row>
    <row r="9281" spans="5:6" ht="15" customHeight="1" x14ac:dyDescent="0.2">
      <c r="E9281" s="18"/>
      <c r="F9281" s="18"/>
    </row>
    <row r="9282" spans="5:6" ht="15" customHeight="1" x14ac:dyDescent="0.2">
      <c r="E9282" s="18"/>
      <c r="F9282" s="18"/>
    </row>
    <row r="9283" spans="5:6" ht="15" customHeight="1" x14ac:dyDescent="0.2">
      <c r="E9283" s="18"/>
      <c r="F9283" s="18"/>
    </row>
    <row r="9284" spans="5:6" ht="15" customHeight="1" x14ac:dyDescent="0.2">
      <c r="E9284" s="18"/>
      <c r="F9284" s="18"/>
    </row>
    <row r="9285" spans="5:6" ht="15" customHeight="1" x14ac:dyDescent="0.2">
      <c r="E9285" s="18"/>
      <c r="F9285" s="18"/>
    </row>
    <row r="9286" spans="5:6" ht="15" customHeight="1" x14ac:dyDescent="0.2">
      <c r="E9286" s="18"/>
      <c r="F9286" s="18"/>
    </row>
    <row r="9287" spans="5:6" ht="15" customHeight="1" x14ac:dyDescent="0.2">
      <c r="E9287" s="18"/>
      <c r="F9287" s="18"/>
    </row>
    <row r="9288" spans="5:6" ht="15" customHeight="1" x14ac:dyDescent="0.2">
      <c r="E9288" s="18"/>
      <c r="F9288" s="18"/>
    </row>
    <row r="9289" spans="5:6" ht="15" customHeight="1" x14ac:dyDescent="0.2">
      <c r="E9289" s="18"/>
      <c r="F9289" s="18"/>
    </row>
    <row r="9290" spans="5:6" ht="15" customHeight="1" x14ac:dyDescent="0.2">
      <c r="E9290" s="18"/>
      <c r="F9290" s="18"/>
    </row>
    <row r="9291" spans="5:6" ht="15" customHeight="1" x14ac:dyDescent="0.2">
      <c r="E9291" s="18"/>
      <c r="F9291" s="18"/>
    </row>
    <row r="9292" spans="5:6" ht="15" customHeight="1" x14ac:dyDescent="0.2">
      <c r="E9292" s="18"/>
      <c r="F9292" s="18"/>
    </row>
    <row r="9293" spans="5:6" ht="15" customHeight="1" x14ac:dyDescent="0.2">
      <c r="E9293" s="18"/>
      <c r="F9293" s="18"/>
    </row>
    <row r="9294" spans="5:6" ht="15" customHeight="1" x14ac:dyDescent="0.2">
      <c r="E9294" s="18"/>
      <c r="F9294" s="18"/>
    </row>
    <row r="9295" spans="5:6" ht="15" customHeight="1" x14ac:dyDescent="0.2">
      <c r="E9295" s="18"/>
      <c r="F9295" s="18"/>
    </row>
    <row r="9296" spans="5:6" ht="15" customHeight="1" x14ac:dyDescent="0.2">
      <c r="E9296" s="18"/>
      <c r="F9296" s="18"/>
    </row>
    <row r="9297" spans="5:6" ht="15" customHeight="1" x14ac:dyDescent="0.2">
      <c r="E9297" s="18"/>
      <c r="F9297" s="18"/>
    </row>
    <row r="9298" spans="5:6" ht="15" customHeight="1" x14ac:dyDescent="0.2">
      <c r="E9298" s="18"/>
      <c r="F9298" s="18"/>
    </row>
    <row r="9299" spans="5:6" ht="15" customHeight="1" x14ac:dyDescent="0.2">
      <c r="E9299" s="18"/>
      <c r="F9299" s="18"/>
    </row>
    <row r="9300" spans="5:6" ht="15" customHeight="1" x14ac:dyDescent="0.2">
      <c r="E9300" s="18"/>
      <c r="F9300" s="18"/>
    </row>
    <row r="9301" spans="5:6" ht="15" customHeight="1" x14ac:dyDescent="0.2">
      <c r="E9301" s="18"/>
      <c r="F9301" s="18"/>
    </row>
    <row r="9302" spans="5:6" ht="15" customHeight="1" x14ac:dyDescent="0.2">
      <c r="E9302" s="18"/>
      <c r="F9302" s="18"/>
    </row>
    <row r="9303" spans="5:6" ht="15" customHeight="1" x14ac:dyDescent="0.2">
      <c r="E9303" s="18"/>
      <c r="F9303" s="18"/>
    </row>
    <row r="9304" spans="5:6" ht="15" customHeight="1" x14ac:dyDescent="0.2">
      <c r="E9304" s="18"/>
      <c r="F9304" s="18"/>
    </row>
    <row r="9305" spans="5:6" ht="15" customHeight="1" x14ac:dyDescent="0.2">
      <c r="E9305" s="18"/>
      <c r="F9305" s="18"/>
    </row>
    <row r="9306" spans="5:6" ht="15" customHeight="1" x14ac:dyDescent="0.2">
      <c r="E9306" s="18"/>
      <c r="F9306" s="18"/>
    </row>
    <row r="9307" spans="5:6" ht="15" customHeight="1" x14ac:dyDescent="0.2">
      <c r="E9307" s="18"/>
      <c r="F9307" s="18"/>
    </row>
    <row r="9308" spans="5:6" ht="15" customHeight="1" x14ac:dyDescent="0.2">
      <c r="E9308" s="18"/>
      <c r="F9308" s="18"/>
    </row>
    <row r="9309" spans="5:6" ht="15" customHeight="1" x14ac:dyDescent="0.2">
      <c r="E9309" s="18"/>
      <c r="F9309" s="18"/>
    </row>
    <row r="9310" spans="5:6" ht="15" customHeight="1" x14ac:dyDescent="0.2">
      <c r="E9310" s="18"/>
      <c r="F9310" s="18"/>
    </row>
    <row r="9311" spans="5:6" ht="15" customHeight="1" x14ac:dyDescent="0.2">
      <c r="E9311" s="18"/>
      <c r="F9311" s="18"/>
    </row>
    <row r="9312" spans="5:6" ht="15" customHeight="1" x14ac:dyDescent="0.2">
      <c r="E9312" s="18"/>
      <c r="F9312" s="18"/>
    </row>
    <row r="9313" spans="5:6" ht="15" customHeight="1" x14ac:dyDescent="0.2">
      <c r="E9313" s="18"/>
      <c r="F9313" s="18"/>
    </row>
    <row r="9314" spans="5:6" ht="15" customHeight="1" x14ac:dyDescent="0.2">
      <c r="E9314" s="18"/>
      <c r="F9314" s="18"/>
    </row>
    <row r="9315" spans="5:6" ht="15" customHeight="1" x14ac:dyDescent="0.2">
      <c r="E9315" s="18"/>
      <c r="F9315" s="18"/>
    </row>
    <row r="9316" spans="5:6" ht="15" customHeight="1" x14ac:dyDescent="0.2">
      <c r="E9316" s="18"/>
      <c r="F9316" s="18"/>
    </row>
    <row r="9317" spans="5:6" ht="15" customHeight="1" x14ac:dyDescent="0.2">
      <c r="E9317" s="18"/>
      <c r="F9317" s="18"/>
    </row>
    <row r="9318" spans="5:6" ht="15" customHeight="1" x14ac:dyDescent="0.2">
      <c r="E9318" s="18"/>
      <c r="F9318" s="18"/>
    </row>
    <row r="9319" spans="5:6" ht="15" customHeight="1" x14ac:dyDescent="0.2">
      <c r="E9319" s="18"/>
      <c r="F9319" s="18"/>
    </row>
    <row r="9320" spans="5:6" ht="15" customHeight="1" x14ac:dyDescent="0.2">
      <c r="E9320" s="18"/>
      <c r="F9320" s="18"/>
    </row>
    <row r="9321" spans="5:6" ht="15" customHeight="1" x14ac:dyDescent="0.2">
      <c r="E9321" s="18"/>
      <c r="F9321" s="18"/>
    </row>
    <row r="9322" spans="5:6" ht="15" customHeight="1" x14ac:dyDescent="0.2">
      <c r="E9322" s="18"/>
      <c r="F9322" s="18"/>
    </row>
    <row r="9323" spans="5:6" ht="15" customHeight="1" x14ac:dyDescent="0.2">
      <c r="E9323" s="18"/>
      <c r="F9323" s="18"/>
    </row>
    <row r="9324" spans="5:6" ht="15" customHeight="1" x14ac:dyDescent="0.2">
      <c r="E9324" s="18"/>
      <c r="F9324" s="18"/>
    </row>
    <row r="9325" spans="5:6" ht="15" customHeight="1" x14ac:dyDescent="0.2">
      <c r="E9325" s="18"/>
      <c r="F9325" s="18"/>
    </row>
    <row r="9326" spans="5:6" ht="15" customHeight="1" x14ac:dyDescent="0.2">
      <c r="E9326" s="18"/>
      <c r="F9326" s="18"/>
    </row>
    <row r="9327" spans="5:6" ht="15" customHeight="1" x14ac:dyDescent="0.2">
      <c r="E9327" s="18"/>
      <c r="F9327" s="18"/>
    </row>
    <row r="9328" spans="5:6" ht="15" customHeight="1" x14ac:dyDescent="0.2">
      <c r="E9328" s="18"/>
      <c r="F9328" s="18"/>
    </row>
    <row r="9329" spans="5:6" ht="15" customHeight="1" x14ac:dyDescent="0.2">
      <c r="E9329" s="18"/>
      <c r="F9329" s="18"/>
    </row>
    <row r="9330" spans="5:6" ht="15" customHeight="1" x14ac:dyDescent="0.2">
      <c r="E9330" s="18"/>
      <c r="F9330" s="18"/>
    </row>
    <row r="9331" spans="5:6" ht="15" customHeight="1" x14ac:dyDescent="0.2">
      <c r="E9331" s="18"/>
      <c r="F9331" s="18"/>
    </row>
    <row r="9332" spans="5:6" ht="15" customHeight="1" x14ac:dyDescent="0.2">
      <c r="E9332" s="18"/>
      <c r="F9332" s="18"/>
    </row>
    <row r="9333" spans="5:6" ht="15" customHeight="1" x14ac:dyDescent="0.2">
      <c r="E9333" s="18"/>
      <c r="F9333" s="18"/>
    </row>
    <row r="9334" spans="5:6" ht="15" customHeight="1" x14ac:dyDescent="0.2">
      <c r="E9334" s="18"/>
      <c r="F9334" s="18"/>
    </row>
    <row r="9335" spans="5:6" ht="15" customHeight="1" x14ac:dyDescent="0.2">
      <c r="E9335" s="18"/>
      <c r="F9335" s="18"/>
    </row>
    <row r="9336" spans="5:6" ht="15" customHeight="1" x14ac:dyDescent="0.2">
      <c r="E9336" s="18"/>
      <c r="F9336" s="18"/>
    </row>
    <row r="9337" spans="5:6" ht="15" customHeight="1" x14ac:dyDescent="0.2">
      <c r="E9337" s="18"/>
      <c r="F9337" s="18"/>
    </row>
    <row r="9338" spans="5:6" ht="15" customHeight="1" x14ac:dyDescent="0.2">
      <c r="E9338" s="18"/>
      <c r="F9338" s="18"/>
    </row>
    <row r="9339" spans="5:6" ht="15" customHeight="1" x14ac:dyDescent="0.2">
      <c r="E9339" s="18"/>
      <c r="F9339" s="18"/>
    </row>
    <row r="9340" spans="5:6" ht="15" customHeight="1" x14ac:dyDescent="0.2">
      <c r="E9340" s="18"/>
      <c r="F9340" s="18"/>
    </row>
    <row r="9341" spans="5:6" ht="15" customHeight="1" x14ac:dyDescent="0.2">
      <c r="E9341" s="18"/>
      <c r="F9341" s="18"/>
    </row>
    <row r="9342" spans="5:6" ht="15" customHeight="1" x14ac:dyDescent="0.2">
      <c r="E9342" s="18"/>
      <c r="F9342" s="18"/>
    </row>
    <row r="9343" spans="5:6" ht="15" customHeight="1" x14ac:dyDescent="0.2">
      <c r="E9343" s="18"/>
      <c r="F9343" s="18"/>
    </row>
    <row r="9344" spans="5:6" ht="15" customHeight="1" x14ac:dyDescent="0.2">
      <c r="E9344" s="18"/>
      <c r="F9344" s="18"/>
    </row>
    <row r="9345" spans="5:6" ht="15" customHeight="1" x14ac:dyDescent="0.2">
      <c r="E9345" s="18"/>
      <c r="F9345" s="18"/>
    </row>
    <row r="9346" spans="5:6" ht="15" customHeight="1" x14ac:dyDescent="0.2">
      <c r="E9346" s="18"/>
      <c r="F9346" s="18"/>
    </row>
    <row r="9347" spans="5:6" ht="15" customHeight="1" x14ac:dyDescent="0.2">
      <c r="E9347" s="18"/>
      <c r="F9347" s="18"/>
    </row>
    <row r="9348" spans="5:6" ht="15" customHeight="1" x14ac:dyDescent="0.2">
      <c r="E9348" s="18"/>
      <c r="F9348" s="18"/>
    </row>
    <row r="9349" spans="5:6" ht="15" customHeight="1" x14ac:dyDescent="0.2">
      <c r="E9349" s="18"/>
      <c r="F9349" s="18"/>
    </row>
    <row r="9350" spans="5:6" ht="15" customHeight="1" x14ac:dyDescent="0.2">
      <c r="E9350" s="18"/>
      <c r="F9350" s="18"/>
    </row>
    <row r="9351" spans="5:6" ht="15" customHeight="1" x14ac:dyDescent="0.2">
      <c r="E9351" s="18"/>
      <c r="F9351" s="18"/>
    </row>
    <row r="9352" spans="5:6" ht="15" customHeight="1" x14ac:dyDescent="0.2">
      <c r="E9352" s="18"/>
      <c r="F9352" s="18"/>
    </row>
    <row r="9353" spans="5:6" ht="15" customHeight="1" x14ac:dyDescent="0.2">
      <c r="E9353" s="18"/>
      <c r="F9353" s="18"/>
    </row>
    <row r="9354" spans="5:6" ht="15" customHeight="1" x14ac:dyDescent="0.2">
      <c r="E9354" s="18"/>
      <c r="F9354" s="18"/>
    </row>
    <row r="9355" spans="5:6" ht="15" customHeight="1" x14ac:dyDescent="0.2">
      <c r="E9355" s="18"/>
      <c r="F9355" s="18"/>
    </row>
    <row r="9356" spans="5:6" ht="15" customHeight="1" x14ac:dyDescent="0.2">
      <c r="E9356" s="18"/>
      <c r="F9356" s="18"/>
    </row>
    <row r="9357" spans="5:6" ht="15" customHeight="1" x14ac:dyDescent="0.2">
      <c r="E9357" s="18"/>
      <c r="F9357" s="18"/>
    </row>
    <row r="9358" spans="5:6" ht="15" customHeight="1" x14ac:dyDescent="0.2">
      <c r="E9358" s="18"/>
      <c r="F9358" s="18"/>
    </row>
    <row r="9359" spans="5:6" ht="15" customHeight="1" x14ac:dyDescent="0.2">
      <c r="E9359" s="18"/>
      <c r="F9359" s="18"/>
    </row>
    <row r="9360" spans="5:6" ht="15" customHeight="1" x14ac:dyDescent="0.2">
      <c r="E9360" s="18"/>
      <c r="F9360" s="18"/>
    </row>
    <row r="9361" spans="5:6" ht="15" customHeight="1" x14ac:dyDescent="0.2">
      <c r="E9361" s="18"/>
      <c r="F9361" s="18"/>
    </row>
    <row r="9362" spans="5:6" ht="15" customHeight="1" x14ac:dyDescent="0.2">
      <c r="E9362" s="18"/>
      <c r="F9362" s="18"/>
    </row>
    <row r="9363" spans="5:6" ht="15" customHeight="1" x14ac:dyDescent="0.2">
      <c r="E9363" s="18"/>
      <c r="F9363" s="18"/>
    </row>
    <row r="9364" spans="5:6" ht="15" customHeight="1" x14ac:dyDescent="0.2">
      <c r="E9364" s="18"/>
      <c r="F9364" s="18"/>
    </row>
    <row r="9365" spans="5:6" ht="15" customHeight="1" x14ac:dyDescent="0.2">
      <c r="E9365" s="18"/>
      <c r="F9365" s="18"/>
    </row>
    <row r="9366" spans="5:6" ht="15" customHeight="1" x14ac:dyDescent="0.2">
      <c r="E9366" s="18"/>
      <c r="F9366" s="18"/>
    </row>
    <row r="9367" spans="5:6" ht="15" customHeight="1" x14ac:dyDescent="0.2">
      <c r="E9367" s="18"/>
      <c r="F9367" s="18"/>
    </row>
    <row r="9368" spans="5:6" ht="15" customHeight="1" x14ac:dyDescent="0.2">
      <c r="E9368" s="18"/>
      <c r="F9368" s="18"/>
    </row>
    <row r="9369" spans="5:6" ht="15" customHeight="1" x14ac:dyDescent="0.2">
      <c r="E9369" s="18"/>
      <c r="F9369" s="18"/>
    </row>
    <row r="9370" spans="5:6" ht="15" customHeight="1" x14ac:dyDescent="0.2">
      <c r="E9370" s="18"/>
      <c r="F9370" s="18"/>
    </row>
    <row r="9371" spans="5:6" ht="15" customHeight="1" x14ac:dyDescent="0.2">
      <c r="E9371" s="18"/>
      <c r="F9371" s="18"/>
    </row>
    <row r="9372" spans="5:6" ht="15" customHeight="1" x14ac:dyDescent="0.2">
      <c r="E9372" s="18"/>
      <c r="F9372" s="18"/>
    </row>
    <row r="9373" spans="5:6" ht="15" customHeight="1" x14ac:dyDescent="0.2">
      <c r="E9373" s="18"/>
      <c r="F9373" s="18"/>
    </row>
    <row r="9374" spans="5:6" ht="15" customHeight="1" x14ac:dyDescent="0.2">
      <c r="E9374" s="18"/>
      <c r="F9374" s="18"/>
    </row>
    <row r="9375" spans="5:6" ht="15" customHeight="1" x14ac:dyDescent="0.2">
      <c r="E9375" s="18"/>
      <c r="F9375" s="18"/>
    </row>
    <row r="9376" spans="5:6" ht="15" customHeight="1" x14ac:dyDescent="0.2">
      <c r="E9376" s="18"/>
      <c r="F9376" s="18"/>
    </row>
    <row r="9377" spans="5:6" ht="15" customHeight="1" x14ac:dyDescent="0.2">
      <c r="E9377" s="18"/>
      <c r="F9377" s="18"/>
    </row>
    <row r="9378" spans="5:6" ht="15" customHeight="1" x14ac:dyDescent="0.2">
      <c r="E9378" s="18"/>
      <c r="F9378" s="18"/>
    </row>
    <row r="9379" spans="5:6" ht="15" customHeight="1" x14ac:dyDescent="0.2">
      <c r="E9379" s="18"/>
      <c r="F9379" s="18"/>
    </row>
    <row r="9380" spans="5:6" ht="15" customHeight="1" x14ac:dyDescent="0.2">
      <c r="E9380" s="18"/>
      <c r="F9380" s="18"/>
    </row>
    <row r="9381" spans="5:6" ht="15" customHeight="1" x14ac:dyDescent="0.2">
      <c r="E9381" s="18"/>
      <c r="F9381" s="18"/>
    </row>
    <row r="9382" spans="5:6" ht="15" customHeight="1" x14ac:dyDescent="0.2">
      <c r="E9382" s="18"/>
      <c r="F9382" s="18"/>
    </row>
    <row r="9383" spans="5:6" ht="15" customHeight="1" x14ac:dyDescent="0.2">
      <c r="E9383" s="18"/>
      <c r="F9383" s="18"/>
    </row>
    <row r="9384" spans="5:6" ht="15" customHeight="1" x14ac:dyDescent="0.2">
      <c r="E9384" s="18"/>
      <c r="F9384" s="18"/>
    </row>
    <row r="9385" spans="5:6" ht="15" customHeight="1" x14ac:dyDescent="0.2">
      <c r="E9385" s="18"/>
      <c r="F9385" s="18"/>
    </row>
    <row r="9386" spans="5:6" ht="15" customHeight="1" x14ac:dyDescent="0.2">
      <c r="E9386" s="18"/>
      <c r="F9386" s="18"/>
    </row>
    <row r="9387" spans="5:6" ht="15" customHeight="1" x14ac:dyDescent="0.2">
      <c r="E9387" s="18"/>
      <c r="F9387" s="18"/>
    </row>
    <row r="9388" spans="5:6" ht="15" customHeight="1" x14ac:dyDescent="0.2">
      <c r="E9388" s="18"/>
      <c r="F9388" s="18"/>
    </row>
    <row r="9389" spans="5:6" ht="15" customHeight="1" x14ac:dyDescent="0.2">
      <c r="E9389" s="18"/>
      <c r="F9389" s="18"/>
    </row>
    <row r="9390" spans="5:6" ht="15" customHeight="1" x14ac:dyDescent="0.2">
      <c r="E9390" s="18"/>
      <c r="F9390" s="18"/>
    </row>
    <row r="9391" spans="5:6" ht="15" customHeight="1" x14ac:dyDescent="0.2">
      <c r="E9391" s="18"/>
      <c r="F9391" s="18"/>
    </row>
    <row r="9392" spans="5:6" ht="15" customHeight="1" x14ac:dyDescent="0.2">
      <c r="E9392" s="18"/>
      <c r="F9392" s="18"/>
    </row>
    <row r="9393" spans="5:6" ht="15" customHeight="1" x14ac:dyDescent="0.2">
      <c r="E9393" s="18"/>
      <c r="F9393" s="18"/>
    </row>
    <row r="9394" spans="5:6" ht="15" customHeight="1" x14ac:dyDescent="0.2">
      <c r="E9394" s="18"/>
      <c r="F9394" s="18"/>
    </row>
    <row r="9395" spans="5:6" ht="15" customHeight="1" x14ac:dyDescent="0.2">
      <c r="E9395" s="18"/>
      <c r="F9395" s="18"/>
    </row>
    <row r="9396" spans="5:6" ht="15" customHeight="1" x14ac:dyDescent="0.2">
      <c r="E9396" s="18"/>
      <c r="F9396" s="18"/>
    </row>
    <row r="9397" spans="5:6" ht="15" customHeight="1" x14ac:dyDescent="0.2">
      <c r="E9397" s="18"/>
      <c r="F9397" s="18"/>
    </row>
    <row r="9398" spans="5:6" ht="15" customHeight="1" x14ac:dyDescent="0.2">
      <c r="E9398" s="18"/>
      <c r="F9398" s="18"/>
    </row>
    <row r="9399" spans="5:6" ht="15" customHeight="1" x14ac:dyDescent="0.2">
      <c r="E9399" s="18"/>
      <c r="F9399" s="18"/>
    </row>
    <row r="9400" spans="5:6" ht="15" customHeight="1" x14ac:dyDescent="0.2">
      <c r="E9400" s="18"/>
      <c r="F9400" s="18"/>
    </row>
    <row r="9401" spans="5:6" ht="15" customHeight="1" x14ac:dyDescent="0.2">
      <c r="E9401" s="18"/>
      <c r="F9401" s="18"/>
    </row>
    <row r="9402" spans="5:6" ht="15" customHeight="1" x14ac:dyDescent="0.2">
      <c r="E9402" s="18"/>
      <c r="F9402" s="18"/>
    </row>
    <row r="9403" spans="5:6" ht="15" customHeight="1" x14ac:dyDescent="0.2">
      <c r="E9403" s="18"/>
      <c r="F9403" s="18"/>
    </row>
    <row r="9404" spans="5:6" ht="15" customHeight="1" x14ac:dyDescent="0.2">
      <c r="E9404" s="18"/>
      <c r="F9404" s="18"/>
    </row>
    <row r="9405" spans="5:6" ht="15" customHeight="1" x14ac:dyDescent="0.2">
      <c r="E9405" s="18"/>
      <c r="F9405" s="18"/>
    </row>
    <row r="9406" spans="5:6" ht="15" customHeight="1" x14ac:dyDescent="0.2">
      <c r="E9406" s="18"/>
      <c r="F9406" s="18"/>
    </row>
    <row r="9407" spans="5:6" ht="15" customHeight="1" x14ac:dyDescent="0.2">
      <c r="E9407" s="18"/>
      <c r="F9407" s="18"/>
    </row>
    <row r="9408" spans="5:6" ht="15" customHeight="1" x14ac:dyDescent="0.2">
      <c r="E9408" s="18"/>
      <c r="F9408" s="18"/>
    </row>
    <row r="9409" spans="5:6" ht="15" customHeight="1" x14ac:dyDescent="0.2">
      <c r="E9409" s="18"/>
      <c r="F9409" s="18"/>
    </row>
    <row r="9410" spans="5:6" ht="15" customHeight="1" x14ac:dyDescent="0.2">
      <c r="E9410" s="18"/>
      <c r="F9410" s="18"/>
    </row>
    <row r="9411" spans="5:6" ht="15" customHeight="1" x14ac:dyDescent="0.2">
      <c r="E9411" s="18"/>
      <c r="F9411" s="18"/>
    </row>
    <row r="9412" spans="5:6" ht="15" customHeight="1" x14ac:dyDescent="0.2">
      <c r="E9412" s="18"/>
      <c r="F9412" s="18"/>
    </row>
    <row r="9413" spans="5:6" ht="15" customHeight="1" x14ac:dyDescent="0.2">
      <c r="E9413" s="18"/>
      <c r="F9413" s="18"/>
    </row>
    <row r="9414" spans="5:6" ht="15" customHeight="1" x14ac:dyDescent="0.2">
      <c r="E9414" s="18"/>
      <c r="F9414" s="18"/>
    </row>
    <row r="9415" spans="5:6" ht="15" customHeight="1" x14ac:dyDescent="0.2">
      <c r="E9415" s="18"/>
      <c r="F9415" s="18"/>
    </row>
    <row r="9416" spans="5:6" ht="15" customHeight="1" x14ac:dyDescent="0.2">
      <c r="E9416" s="18"/>
      <c r="F9416" s="18"/>
    </row>
    <row r="9417" spans="5:6" ht="15" customHeight="1" x14ac:dyDescent="0.2">
      <c r="E9417" s="18"/>
      <c r="F9417" s="18"/>
    </row>
    <row r="9418" spans="5:6" ht="15" customHeight="1" x14ac:dyDescent="0.2">
      <c r="E9418" s="18"/>
      <c r="F9418" s="18"/>
    </row>
    <row r="9419" spans="5:6" ht="15" customHeight="1" x14ac:dyDescent="0.2">
      <c r="E9419" s="18"/>
      <c r="F9419" s="18"/>
    </row>
    <row r="9420" spans="5:6" ht="15" customHeight="1" x14ac:dyDescent="0.2">
      <c r="E9420" s="18"/>
      <c r="F9420" s="18"/>
    </row>
    <row r="9421" spans="5:6" ht="15" customHeight="1" x14ac:dyDescent="0.2">
      <c r="E9421" s="18"/>
      <c r="F9421" s="18"/>
    </row>
    <row r="9422" spans="5:6" ht="15" customHeight="1" x14ac:dyDescent="0.2">
      <c r="E9422" s="18"/>
      <c r="F9422" s="18"/>
    </row>
    <row r="9423" spans="5:6" ht="15" customHeight="1" x14ac:dyDescent="0.2">
      <c r="E9423" s="18"/>
      <c r="F9423" s="18"/>
    </row>
    <row r="9424" spans="5:6" ht="15" customHeight="1" x14ac:dyDescent="0.2">
      <c r="E9424" s="18"/>
      <c r="F9424" s="18"/>
    </row>
    <row r="9425" spans="5:6" ht="15" customHeight="1" x14ac:dyDescent="0.2">
      <c r="E9425" s="18"/>
      <c r="F9425" s="18"/>
    </row>
    <row r="9426" spans="5:6" ht="15" customHeight="1" x14ac:dyDescent="0.2">
      <c r="E9426" s="18"/>
      <c r="F9426" s="18"/>
    </row>
    <row r="9427" spans="5:6" ht="15" customHeight="1" x14ac:dyDescent="0.2">
      <c r="E9427" s="18"/>
      <c r="F9427" s="18"/>
    </row>
    <row r="9428" spans="5:6" ht="15" customHeight="1" x14ac:dyDescent="0.2">
      <c r="E9428" s="18"/>
      <c r="F9428" s="18"/>
    </row>
    <row r="9429" spans="5:6" ht="15" customHeight="1" x14ac:dyDescent="0.2">
      <c r="E9429" s="18"/>
      <c r="F9429" s="18"/>
    </row>
    <row r="9430" spans="5:6" ht="15" customHeight="1" x14ac:dyDescent="0.2">
      <c r="E9430" s="18"/>
      <c r="F9430" s="18"/>
    </row>
    <row r="9431" spans="5:6" ht="15" customHeight="1" x14ac:dyDescent="0.2">
      <c r="E9431" s="18"/>
      <c r="F9431" s="18"/>
    </row>
    <row r="9432" spans="5:6" ht="15" customHeight="1" x14ac:dyDescent="0.2">
      <c r="E9432" s="18"/>
      <c r="F9432" s="18"/>
    </row>
    <row r="9433" spans="5:6" ht="15" customHeight="1" x14ac:dyDescent="0.2">
      <c r="E9433" s="18"/>
      <c r="F9433" s="18"/>
    </row>
    <row r="9434" spans="5:6" ht="15" customHeight="1" x14ac:dyDescent="0.2">
      <c r="E9434" s="18"/>
      <c r="F9434" s="18"/>
    </row>
    <row r="9435" spans="5:6" ht="15" customHeight="1" x14ac:dyDescent="0.2">
      <c r="E9435" s="18"/>
      <c r="F9435" s="18"/>
    </row>
    <row r="9436" spans="5:6" ht="15" customHeight="1" x14ac:dyDescent="0.2">
      <c r="E9436" s="18"/>
      <c r="F9436" s="18"/>
    </row>
    <row r="9437" spans="5:6" ht="15" customHeight="1" x14ac:dyDescent="0.2">
      <c r="E9437" s="18"/>
      <c r="F9437" s="18"/>
    </row>
    <row r="9438" spans="5:6" ht="15" customHeight="1" x14ac:dyDescent="0.2">
      <c r="E9438" s="18"/>
      <c r="F9438" s="18"/>
    </row>
    <row r="9439" spans="5:6" ht="15" customHeight="1" x14ac:dyDescent="0.2">
      <c r="E9439" s="18"/>
      <c r="F9439" s="18"/>
    </row>
    <row r="9440" spans="5:6" ht="15" customHeight="1" x14ac:dyDescent="0.2">
      <c r="E9440" s="18"/>
      <c r="F9440" s="18"/>
    </row>
    <row r="9441" spans="5:6" ht="15" customHeight="1" x14ac:dyDescent="0.2">
      <c r="E9441" s="18"/>
      <c r="F9441" s="18"/>
    </row>
    <row r="9442" spans="5:6" ht="15" customHeight="1" x14ac:dyDescent="0.2">
      <c r="E9442" s="18"/>
      <c r="F9442" s="18"/>
    </row>
    <row r="9443" spans="5:6" ht="15" customHeight="1" x14ac:dyDescent="0.2">
      <c r="E9443" s="18"/>
      <c r="F9443" s="18"/>
    </row>
    <row r="9444" spans="5:6" ht="15" customHeight="1" x14ac:dyDescent="0.2">
      <c r="E9444" s="18"/>
      <c r="F9444" s="18"/>
    </row>
    <row r="9445" spans="5:6" ht="15" customHeight="1" x14ac:dyDescent="0.2">
      <c r="E9445" s="18"/>
      <c r="F9445" s="18"/>
    </row>
    <row r="9446" spans="5:6" ht="15" customHeight="1" x14ac:dyDescent="0.2">
      <c r="E9446" s="18"/>
      <c r="F9446" s="18"/>
    </row>
    <row r="9447" spans="5:6" ht="15" customHeight="1" x14ac:dyDescent="0.2">
      <c r="E9447" s="18"/>
      <c r="F9447" s="18"/>
    </row>
    <row r="9448" spans="5:6" ht="15" customHeight="1" x14ac:dyDescent="0.2">
      <c r="E9448" s="18"/>
      <c r="F9448" s="18"/>
    </row>
    <row r="9449" spans="5:6" ht="15" customHeight="1" x14ac:dyDescent="0.2">
      <c r="E9449" s="18"/>
      <c r="F9449" s="18"/>
    </row>
    <row r="9450" spans="5:6" ht="15" customHeight="1" x14ac:dyDescent="0.2">
      <c r="E9450" s="18"/>
      <c r="F9450" s="18"/>
    </row>
    <row r="9451" spans="5:6" ht="15" customHeight="1" x14ac:dyDescent="0.2">
      <c r="E9451" s="18"/>
      <c r="F9451" s="18"/>
    </row>
    <row r="9452" spans="5:6" ht="15" customHeight="1" x14ac:dyDescent="0.2">
      <c r="E9452" s="18"/>
      <c r="F9452" s="18"/>
    </row>
    <row r="9453" spans="5:6" ht="15" customHeight="1" x14ac:dyDescent="0.2">
      <c r="E9453" s="18"/>
      <c r="F9453" s="18"/>
    </row>
    <row r="9454" spans="5:6" ht="15" customHeight="1" x14ac:dyDescent="0.2">
      <c r="E9454" s="18"/>
      <c r="F9454" s="18"/>
    </row>
    <row r="9455" spans="5:6" ht="15" customHeight="1" x14ac:dyDescent="0.2">
      <c r="E9455" s="18"/>
      <c r="F9455" s="18"/>
    </row>
    <row r="9456" spans="5:6" ht="15" customHeight="1" x14ac:dyDescent="0.2">
      <c r="E9456" s="18"/>
      <c r="F9456" s="18"/>
    </row>
    <row r="9457" spans="5:6" ht="15" customHeight="1" x14ac:dyDescent="0.2">
      <c r="E9457" s="18"/>
      <c r="F9457" s="18"/>
    </row>
    <row r="9458" spans="5:6" ht="15" customHeight="1" x14ac:dyDescent="0.2">
      <c r="E9458" s="18"/>
      <c r="F9458" s="18"/>
    </row>
    <row r="9459" spans="5:6" ht="15" customHeight="1" x14ac:dyDescent="0.2">
      <c r="E9459" s="18"/>
      <c r="F9459" s="18"/>
    </row>
    <row r="9460" spans="5:6" ht="15" customHeight="1" x14ac:dyDescent="0.2">
      <c r="E9460" s="18"/>
      <c r="F9460" s="18"/>
    </row>
    <row r="9461" spans="5:6" ht="15" customHeight="1" x14ac:dyDescent="0.2">
      <c r="E9461" s="18"/>
      <c r="F9461" s="18"/>
    </row>
    <row r="9462" spans="5:6" ht="15" customHeight="1" x14ac:dyDescent="0.2">
      <c r="E9462" s="18"/>
      <c r="F9462" s="18"/>
    </row>
    <row r="9463" spans="5:6" ht="15" customHeight="1" x14ac:dyDescent="0.2">
      <c r="E9463" s="18"/>
      <c r="F9463" s="18"/>
    </row>
    <row r="9464" spans="5:6" ht="15" customHeight="1" x14ac:dyDescent="0.2">
      <c r="E9464" s="18"/>
      <c r="F9464" s="18"/>
    </row>
    <row r="9465" spans="5:6" ht="15" customHeight="1" x14ac:dyDescent="0.2">
      <c r="E9465" s="18"/>
      <c r="F9465" s="18"/>
    </row>
    <row r="9466" spans="5:6" ht="15" customHeight="1" x14ac:dyDescent="0.2">
      <c r="E9466" s="18"/>
      <c r="F9466" s="18"/>
    </row>
    <row r="9467" spans="5:6" ht="15" customHeight="1" x14ac:dyDescent="0.2">
      <c r="E9467" s="18"/>
      <c r="F9467" s="18"/>
    </row>
    <row r="9468" spans="5:6" ht="15" customHeight="1" x14ac:dyDescent="0.2">
      <c r="E9468" s="18"/>
      <c r="F9468" s="18"/>
    </row>
    <row r="9469" spans="5:6" ht="15" customHeight="1" x14ac:dyDescent="0.2">
      <c r="E9469" s="18"/>
      <c r="F9469" s="18"/>
    </row>
    <row r="9470" spans="5:6" ht="15" customHeight="1" x14ac:dyDescent="0.2">
      <c r="E9470" s="18"/>
      <c r="F9470" s="18"/>
    </row>
    <row r="9471" spans="5:6" ht="15" customHeight="1" x14ac:dyDescent="0.2">
      <c r="E9471" s="18"/>
      <c r="F9471" s="18"/>
    </row>
    <row r="9472" spans="5:6" ht="15" customHeight="1" x14ac:dyDescent="0.2">
      <c r="E9472" s="18"/>
      <c r="F9472" s="18"/>
    </row>
    <row r="9473" spans="5:6" ht="15" customHeight="1" x14ac:dyDescent="0.2">
      <c r="E9473" s="18"/>
      <c r="F9473" s="18"/>
    </row>
    <row r="9474" spans="5:6" ht="15" customHeight="1" x14ac:dyDescent="0.2">
      <c r="E9474" s="18"/>
      <c r="F9474" s="18"/>
    </row>
    <row r="9475" spans="5:6" ht="15" customHeight="1" x14ac:dyDescent="0.2">
      <c r="E9475" s="18"/>
      <c r="F9475" s="18"/>
    </row>
    <row r="9476" spans="5:6" ht="15" customHeight="1" x14ac:dyDescent="0.2">
      <c r="E9476" s="18"/>
      <c r="F9476" s="18"/>
    </row>
    <row r="9477" spans="5:6" ht="15" customHeight="1" x14ac:dyDescent="0.2">
      <c r="E9477" s="18"/>
      <c r="F9477" s="18"/>
    </row>
    <row r="9478" spans="5:6" ht="15" customHeight="1" x14ac:dyDescent="0.2">
      <c r="E9478" s="18"/>
      <c r="F9478" s="18"/>
    </row>
    <row r="9479" spans="5:6" ht="15" customHeight="1" x14ac:dyDescent="0.2">
      <c r="E9479" s="18"/>
      <c r="F9479" s="18"/>
    </row>
    <row r="9480" spans="5:6" ht="15" customHeight="1" x14ac:dyDescent="0.2">
      <c r="E9480" s="18"/>
      <c r="F9480" s="18"/>
    </row>
    <row r="9481" spans="5:6" ht="15" customHeight="1" x14ac:dyDescent="0.2">
      <c r="E9481" s="18"/>
      <c r="F9481" s="18"/>
    </row>
    <row r="9482" spans="5:6" ht="15" customHeight="1" x14ac:dyDescent="0.2">
      <c r="E9482" s="18"/>
      <c r="F9482" s="18"/>
    </row>
    <row r="9483" spans="5:6" ht="15" customHeight="1" x14ac:dyDescent="0.2">
      <c r="E9483" s="18"/>
      <c r="F9483" s="18"/>
    </row>
    <row r="9484" spans="5:6" ht="15" customHeight="1" x14ac:dyDescent="0.2">
      <c r="E9484" s="18"/>
      <c r="F9484" s="18"/>
    </row>
    <row r="9485" spans="5:6" ht="15" customHeight="1" x14ac:dyDescent="0.2">
      <c r="E9485" s="18"/>
      <c r="F9485" s="18"/>
    </row>
    <row r="9486" spans="5:6" ht="15" customHeight="1" x14ac:dyDescent="0.2">
      <c r="E9486" s="18"/>
      <c r="F9486" s="18"/>
    </row>
    <row r="9487" spans="5:6" ht="15" customHeight="1" x14ac:dyDescent="0.2">
      <c r="E9487" s="18"/>
      <c r="F9487" s="18"/>
    </row>
    <row r="9488" spans="5:6" ht="15" customHeight="1" x14ac:dyDescent="0.2">
      <c r="E9488" s="18"/>
      <c r="F9488" s="18"/>
    </row>
    <row r="9489" spans="5:6" ht="15" customHeight="1" x14ac:dyDescent="0.2">
      <c r="E9489" s="18"/>
      <c r="F9489" s="18"/>
    </row>
    <row r="9490" spans="5:6" ht="15" customHeight="1" x14ac:dyDescent="0.2">
      <c r="E9490" s="18"/>
      <c r="F9490" s="18"/>
    </row>
    <row r="9491" spans="5:6" ht="15" customHeight="1" x14ac:dyDescent="0.2">
      <c r="E9491" s="18"/>
      <c r="F9491" s="18"/>
    </row>
    <row r="9492" spans="5:6" ht="15" customHeight="1" x14ac:dyDescent="0.2">
      <c r="E9492" s="18"/>
      <c r="F9492" s="18"/>
    </row>
    <row r="9493" spans="5:6" ht="15" customHeight="1" x14ac:dyDescent="0.2">
      <c r="E9493" s="18"/>
      <c r="F9493" s="18"/>
    </row>
    <row r="9494" spans="5:6" ht="15" customHeight="1" x14ac:dyDescent="0.2">
      <c r="E9494" s="18"/>
      <c r="F9494" s="18"/>
    </row>
    <row r="9495" spans="5:6" ht="15" customHeight="1" x14ac:dyDescent="0.2">
      <c r="E9495" s="18"/>
      <c r="F9495" s="18"/>
    </row>
    <row r="9496" spans="5:6" ht="15" customHeight="1" x14ac:dyDescent="0.2">
      <c r="E9496" s="18"/>
      <c r="F9496" s="18"/>
    </row>
    <row r="9497" spans="5:6" ht="15" customHeight="1" x14ac:dyDescent="0.2">
      <c r="E9497" s="18"/>
      <c r="F9497" s="18"/>
    </row>
    <row r="9498" spans="5:6" ht="15" customHeight="1" x14ac:dyDescent="0.2">
      <c r="E9498" s="18"/>
      <c r="F9498" s="18"/>
    </row>
    <row r="9499" spans="5:6" ht="15" customHeight="1" x14ac:dyDescent="0.2">
      <c r="E9499" s="18"/>
      <c r="F9499" s="18"/>
    </row>
    <row r="9500" spans="5:6" ht="15" customHeight="1" x14ac:dyDescent="0.2">
      <c r="E9500" s="18"/>
      <c r="F9500" s="18"/>
    </row>
    <row r="9501" spans="5:6" ht="15" customHeight="1" x14ac:dyDescent="0.2">
      <c r="E9501" s="18"/>
      <c r="F9501" s="18"/>
    </row>
    <row r="9502" spans="5:6" ht="15" customHeight="1" x14ac:dyDescent="0.2">
      <c r="E9502" s="18"/>
      <c r="F9502" s="18"/>
    </row>
    <row r="9503" spans="5:6" ht="15" customHeight="1" x14ac:dyDescent="0.2">
      <c r="E9503" s="18"/>
      <c r="F9503" s="18"/>
    </row>
    <row r="9504" spans="5:6" ht="15" customHeight="1" x14ac:dyDescent="0.2">
      <c r="E9504" s="18"/>
      <c r="F9504" s="18"/>
    </row>
    <row r="9505" spans="5:6" ht="15" customHeight="1" x14ac:dyDescent="0.2">
      <c r="E9505" s="18"/>
      <c r="F9505" s="18"/>
    </row>
    <row r="9506" spans="5:6" ht="15" customHeight="1" x14ac:dyDescent="0.2">
      <c r="E9506" s="18"/>
      <c r="F9506" s="18"/>
    </row>
    <row r="9507" spans="5:6" ht="15" customHeight="1" x14ac:dyDescent="0.2">
      <c r="E9507" s="18"/>
      <c r="F9507" s="18"/>
    </row>
    <row r="9508" spans="5:6" ht="15" customHeight="1" x14ac:dyDescent="0.2">
      <c r="E9508" s="18"/>
      <c r="F9508" s="18"/>
    </row>
    <row r="9509" spans="5:6" ht="15" customHeight="1" x14ac:dyDescent="0.2">
      <c r="E9509" s="18"/>
      <c r="F9509" s="18"/>
    </row>
    <row r="9510" spans="5:6" ht="15" customHeight="1" x14ac:dyDescent="0.2">
      <c r="E9510" s="18"/>
      <c r="F9510" s="18"/>
    </row>
    <row r="9511" spans="5:6" ht="15" customHeight="1" x14ac:dyDescent="0.2">
      <c r="E9511" s="18"/>
      <c r="F9511" s="18"/>
    </row>
    <row r="9512" spans="5:6" ht="15" customHeight="1" x14ac:dyDescent="0.2">
      <c r="E9512" s="18"/>
      <c r="F9512" s="18"/>
    </row>
    <row r="9513" spans="5:6" ht="15" customHeight="1" x14ac:dyDescent="0.2">
      <c r="E9513" s="18"/>
      <c r="F9513" s="18"/>
    </row>
    <row r="9514" spans="5:6" ht="15" customHeight="1" x14ac:dyDescent="0.2">
      <c r="E9514" s="18"/>
      <c r="F9514" s="18"/>
    </row>
    <row r="9515" spans="5:6" ht="15" customHeight="1" x14ac:dyDescent="0.2">
      <c r="E9515" s="18"/>
      <c r="F9515" s="18"/>
    </row>
    <row r="9516" spans="5:6" ht="15" customHeight="1" x14ac:dyDescent="0.2">
      <c r="E9516" s="18"/>
      <c r="F9516" s="18"/>
    </row>
    <row r="9517" spans="5:6" ht="15" customHeight="1" x14ac:dyDescent="0.2">
      <c r="E9517" s="18"/>
      <c r="F9517" s="18"/>
    </row>
    <row r="9518" spans="5:6" ht="15" customHeight="1" x14ac:dyDescent="0.2">
      <c r="E9518" s="18"/>
      <c r="F9518" s="18"/>
    </row>
    <row r="9519" spans="5:6" ht="15" customHeight="1" x14ac:dyDescent="0.2">
      <c r="E9519" s="18"/>
      <c r="F9519" s="18"/>
    </row>
    <row r="9520" spans="5:6" ht="15" customHeight="1" x14ac:dyDescent="0.2">
      <c r="E9520" s="18"/>
      <c r="F9520" s="18"/>
    </row>
    <row r="9521" spans="5:6" ht="15" customHeight="1" x14ac:dyDescent="0.2">
      <c r="E9521" s="18"/>
      <c r="F9521" s="18"/>
    </row>
    <row r="9522" spans="5:6" ht="15" customHeight="1" x14ac:dyDescent="0.2">
      <c r="E9522" s="18"/>
      <c r="F9522" s="18"/>
    </row>
    <row r="9523" spans="5:6" ht="15" customHeight="1" x14ac:dyDescent="0.2">
      <c r="E9523" s="18"/>
      <c r="F9523" s="18"/>
    </row>
    <row r="9524" spans="5:6" ht="15" customHeight="1" x14ac:dyDescent="0.2">
      <c r="E9524" s="18"/>
      <c r="F9524" s="18"/>
    </row>
    <row r="9525" spans="5:6" ht="15" customHeight="1" x14ac:dyDescent="0.2">
      <c r="E9525" s="18"/>
      <c r="F9525" s="18"/>
    </row>
    <row r="9526" spans="5:6" ht="15" customHeight="1" x14ac:dyDescent="0.2">
      <c r="E9526" s="18"/>
      <c r="F9526" s="18"/>
    </row>
    <row r="9527" spans="5:6" ht="15" customHeight="1" x14ac:dyDescent="0.2">
      <c r="E9527" s="18"/>
      <c r="F9527" s="18"/>
    </row>
    <row r="9528" spans="5:6" ht="15" customHeight="1" x14ac:dyDescent="0.2">
      <c r="E9528" s="18"/>
      <c r="F9528" s="18"/>
    </row>
    <row r="9529" spans="5:6" ht="15" customHeight="1" x14ac:dyDescent="0.2">
      <c r="E9529" s="18"/>
      <c r="F9529" s="18"/>
    </row>
    <row r="9530" spans="5:6" ht="15" customHeight="1" x14ac:dyDescent="0.2">
      <c r="E9530" s="18"/>
      <c r="F9530" s="18"/>
    </row>
    <row r="9531" spans="5:6" ht="15" customHeight="1" x14ac:dyDescent="0.2">
      <c r="E9531" s="18"/>
      <c r="F9531" s="18"/>
    </row>
    <row r="9532" spans="5:6" ht="15" customHeight="1" x14ac:dyDescent="0.2">
      <c r="E9532" s="18"/>
      <c r="F9532" s="18"/>
    </row>
    <row r="9533" spans="5:6" ht="15" customHeight="1" x14ac:dyDescent="0.2">
      <c r="E9533" s="18"/>
      <c r="F9533" s="18"/>
    </row>
    <row r="9534" spans="5:6" ht="15" customHeight="1" x14ac:dyDescent="0.2">
      <c r="E9534" s="18"/>
      <c r="F9534" s="18"/>
    </row>
    <row r="9535" spans="5:6" ht="15" customHeight="1" x14ac:dyDescent="0.2">
      <c r="E9535" s="18"/>
      <c r="F9535" s="18"/>
    </row>
    <row r="9536" spans="5:6" ht="15" customHeight="1" x14ac:dyDescent="0.2">
      <c r="E9536" s="18"/>
      <c r="F9536" s="18"/>
    </row>
    <row r="9537" spans="5:6" ht="15" customHeight="1" x14ac:dyDescent="0.2">
      <c r="E9537" s="18"/>
      <c r="F9537" s="18"/>
    </row>
    <row r="9538" spans="5:6" ht="15" customHeight="1" x14ac:dyDescent="0.2">
      <c r="E9538" s="18"/>
      <c r="F9538" s="18"/>
    </row>
    <row r="9539" spans="5:6" ht="15" customHeight="1" x14ac:dyDescent="0.2">
      <c r="E9539" s="18"/>
      <c r="F9539" s="18"/>
    </row>
    <row r="9540" spans="5:6" ht="15" customHeight="1" x14ac:dyDescent="0.2">
      <c r="E9540" s="18"/>
      <c r="F9540" s="18"/>
    </row>
    <row r="9541" spans="5:6" ht="15" customHeight="1" x14ac:dyDescent="0.2">
      <c r="E9541" s="18"/>
      <c r="F9541" s="18"/>
    </row>
    <row r="9542" spans="5:6" ht="15" customHeight="1" x14ac:dyDescent="0.2">
      <c r="E9542" s="18"/>
      <c r="F9542" s="18"/>
    </row>
    <row r="9543" spans="5:6" ht="15" customHeight="1" x14ac:dyDescent="0.2">
      <c r="E9543" s="18"/>
      <c r="F9543" s="18"/>
    </row>
    <row r="9544" spans="5:6" ht="15" customHeight="1" x14ac:dyDescent="0.2">
      <c r="E9544" s="18"/>
      <c r="F9544" s="18"/>
    </row>
    <row r="9545" spans="5:6" ht="15" customHeight="1" x14ac:dyDescent="0.2">
      <c r="E9545" s="18"/>
      <c r="F9545" s="18"/>
    </row>
    <row r="9546" spans="5:6" ht="15" customHeight="1" x14ac:dyDescent="0.2">
      <c r="E9546" s="18"/>
      <c r="F9546" s="18"/>
    </row>
    <row r="9547" spans="5:6" ht="15" customHeight="1" x14ac:dyDescent="0.2">
      <c r="E9547" s="18"/>
      <c r="F9547" s="18"/>
    </row>
    <row r="9548" spans="5:6" ht="15" customHeight="1" x14ac:dyDescent="0.2">
      <c r="E9548" s="18"/>
      <c r="F9548" s="18"/>
    </row>
    <row r="9549" spans="5:6" ht="15" customHeight="1" x14ac:dyDescent="0.2">
      <c r="E9549" s="18"/>
      <c r="F9549" s="18"/>
    </row>
    <row r="9550" spans="5:6" ht="15" customHeight="1" x14ac:dyDescent="0.2">
      <c r="E9550" s="18"/>
      <c r="F9550" s="18"/>
    </row>
    <row r="9551" spans="5:6" ht="15" customHeight="1" x14ac:dyDescent="0.2">
      <c r="E9551" s="18"/>
      <c r="F9551" s="18"/>
    </row>
    <row r="9552" spans="5:6" ht="15" customHeight="1" x14ac:dyDescent="0.2">
      <c r="E9552" s="18"/>
      <c r="F9552" s="18"/>
    </row>
    <row r="9553" spans="5:6" ht="15" customHeight="1" x14ac:dyDescent="0.2">
      <c r="E9553" s="18"/>
      <c r="F9553" s="18"/>
    </row>
    <row r="9554" spans="5:6" ht="15" customHeight="1" x14ac:dyDescent="0.2">
      <c r="E9554" s="18"/>
      <c r="F9554" s="18"/>
    </row>
    <row r="9555" spans="5:6" ht="15" customHeight="1" x14ac:dyDescent="0.2">
      <c r="E9555" s="18"/>
      <c r="F9555" s="18"/>
    </row>
    <row r="9556" spans="5:6" ht="15" customHeight="1" x14ac:dyDescent="0.2">
      <c r="E9556" s="18"/>
      <c r="F9556" s="18"/>
    </row>
    <row r="9557" spans="5:6" ht="15" customHeight="1" x14ac:dyDescent="0.2">
      <c r="E9557" s="18"/>
      <c r="F9557" s="18"/>
    </row>
    <row r="9558" spans="5:6" ht="15" customHeight="1" x14ac:dyDescent="0.2">
      <c r="E9558" s="18"/>
      <c r="F9558" s="18"/>
    </row>
    <row r="9559" spans="5:6" ht="15" customHeight="1" x14ac:dyDescent="0.2">
      <c r="E9559" s="18"/>
      <c r="F9559" s="18"/>
    </row>
    <row r="9560" spans="5:6" ht="15" customHeight="1" x14ac:dyDescent="0.2">
      <c r="E9560" s="18"/>
      <c r="F9560" s="18"/>
    </row>
    <row r="9561" spans="5:6" ht="15" customHeight="1" x14ac:dyDescent="0.2">
      <c r="E9561" s="18"/>
      <c r="F9561" s="18"/>
    </row>
    <row r="9562" spans="5:6" ht="15" customHeight="1" x14ac:dyDescent="0.2">
      <c r="E9562" s="18"/>
      <c r="F9562" s="18"/>
    </row>
    <row r="9563" spans="5:6" ht="15" customHeight="1" x14ac:dyDescent="0.2">
      <c r="E9563" s="18"/>
      <c r="F9563" s="18"/>
    </row>
    <row r="9564" spans="5:6" ht="15" customHeight="1" x14ac:dyDescent="0.2">
      <c r="E9564" s="18"/>
      <c r="F9564" s="18"/>
    </row>
    <row r="9565" spans="5:6" ht="15" customHeight="1" x14ac:dyDescent="0.2">
      <c r="E9565" s="18"/>
      <c r="F9565" s="18"/>
    </row>
    <row r="9566" spans="5:6" ht="15" customHeight="1" x14ac:dyDescent="0.2">
      <c r="E9566" s="18"/>
      <c r="F9566" s="18"/>
    </row>
    <row r="9567" spans="5:6" ht="15" customHeight="1" x14ac:dyDescent="0.2">
      <c r="E9567" s="18"/>
      <c r="F9567" s="18"/>
    </row>
    <row r="9568" spans="5:6" ht="15" customHeight="1" x14ac:dyDescent="0.2">
      <c r="E9568" s="18"/>
      <c r="F9568" s="18"/>
    </row>
    <row r="9569" spans="5:6" ht="15" customHeight="1" x14ac:dyDescent="0.2">
      <c r="E9569" s="18"/>
      <c r="F9569" s="18"/>
    </row>
    <row r="9570" spans="5:6" ht="15" customHeight="1" x14ac:dyDescent="0.2">
      <c r="E9570" s="18"/>
      <c r="F9570" s="18"/>
    </row>
    <row r="9571" spans="5:6" ht="15" customHeight="1" x14ac:dyDescent="0.2">
      <c r="E9571" s="18"/>
      <c r="F9571" s="18"/>
    </row>
    <row r="9572" spans="5:6" ht="15" customHeight="1" x14ac:dyDescent="0.2">
      <c r="E9572" s="18"/>
      <c r="F9572" s="18"/>
    </row>
    <row r="9573" spans="5:6" ht="15" customHeight="1" x14ac:dyDescent="0.2">
      <c r="E9573" s="18"/>
      <c r="F9573" s="18"/>
    </row>
    <row r="9574" spans="5:6" ht="15" customHeight="1" x14ac:dyDescent="0.2">
      <c r="E9574" s="18"/>
      <c r="F9574" s="18"/>
    </row>
    <row r="9575" spans="5:6" ht="15" customHeight="1" x14ac:dyDescent="0.2">
      <c r="E9575" s="18"/>
      <c r="F9575" s="18"/>
    </row>
    <row r="9576" spans="5:6" ht="15" customHeight="1" x14ac:dyDescent="0.2">
      <c r="E9576" s="18"/>
      <c r="F9576" s="18"/>
    </row>
    <row r="9577" spans="5:6" ht="15" customHeight="1" x14ac:dyDescent="0.2">
      <c r="E9577" s="18"/>
      <c r="F9577" s="18"/>
    </row>
    <row r="9578" spans="5:6" ht="15" customHeight="1" x14ac:dyDescent="0.2">
      <c r="E9578" s="18"/>
      <c r="F9578" s="18"/>
    </row>
    <row r="9579" spans="5:6" ht="15" customHeight="1" x14ac:dyDescent="0.2">
      <c r="E9579" s="18"/>
      <c r="F9579" s="18"/>
    </row>
    <row r="9580" spans="5:6" ht="15" customHeight="1" x14ac:dyDescent="0.2">
      <c r="E9580" s="18"/>
      <c r="F9580" s="18"/>
    </row>
    <row r="9581" spans="5:6" ht="15" customHeight="1" x14ac:dyDescent="0.2">
      <c r="E9581" s="18"/>
      <c r="F9581" s="18"/>
    </row>
    <row r="9582" spans="5:6" ht="15" customHeight="1" x14ac:dyDescent="0.2">
      <c r="E9582" s="18"/>
      <c r="F9582" s="18"/>
    </row>
    <row r="9583" spans="5:6" ht="15" customHeight="1" x14ac:dyDescent="0.2">
      <c r="E9583" s="18"/>
      <c r="F9583" s="18"/>
    </row>
    <row r="9584" spans="5:6" ht="15" customHeight="1" x14ac:dyDescent="0.2">
      <c r="E9584" s="18"/>
      <c r="F9584" s="18"/>
    </row>
    <row r="9585" spans="5:6" ht="15" customHeight="1" x14ac:dyDescent="0.2">
      <c r="E9585" s="18"/>
      <c r="F9585" s="18"/>
    </row>
    <row r="9586" spans="5:6" ht="15" customHeight="1" x14ac:dyDescent="0.2">
      <c r="E9586" s="18"/>
      <c r="F9586" s="18"/>
    </row>
    <row r="9587" spans="5:6" ht="15" customHeight="1" x14ac:dyDescent="0.2">
      <c r="E9587" s="18"/>
      <c r="F9587" s="18"/>
    </row>
    <row r="9588" spans="5:6" ht="15" customHeight="1" x14ac:dyDescent="0.2">
      <c r="E9588" s="18"/>
      <c r="F9588" s="18"/>
    </row>
    <row r="9589" spans="5:6" ht="15" customHeight="1" x14ac:dyDescent="0.2">
      <c r="E9589" s="18"/>
      <c r="F9589" s="18"/>
    </row>
    <row r="9590" spans="5:6" ht="15" customHeight="1" x14ac:dyDescent="0.2">
      <c r="E9590" s="18"/>
      <c r="F9590" s="18"/>
    </row>
    <row r="9591" spans="5:6" ht="15" customHeight="1" x14ac:dyDescent="0.2">
      <c r="E9591" s="18"/>
      <c r="F9591" s="18"/>
    </row>
    <row r="9592" spans="5:6" ht="15" customHeight="1" x14ac:dyDescent="0.2">
      <c r="E9592" s="18"/>
      <c r="F9592" s="18"/>
    </row>
    <row r="9593" spans="5:6" ht="15" customHeight="1" x14ac:dyDescent="0.2">
      <c r="E9593" s="18"/>
      <c r="F9593" s="18"/>
    </row>
    <row r="9594" spans="5:6" ht="15" customHeight="1" x14ac:dyDescent="0.2">
      <c r="E9594" s="18"/>
      <c r="F9594" s="18"/>
    </row>
    <row r="9595" spans="5:6" ht="15" customHeight="1" x14ac:dyDescent="0.2">
      <c r="E9595" s="18"/>
      <c r="F9595" s="18"/>
    </row>
    <row r="9596" spans="5:6" ht="15" customHeight="1" x14ac:dyDescent="0.2">
      <c r="E9596" s="18"/>
      <c r="F9596" s="18"/>
    </row>
    <row r="9597" spans="5:6" ht="15" customHeight="1" x14ac:dyDescent="0.2">
      <c r="E9597" s="18"/>
      <c r="F9597" s="18"/>
    </row>
    <row r="9598" spans="5:6" ht="15" customHeight="1" x14ac:dyDescent="0.2">
      <c r="E9598" s="18"/>
      <c r="F9598" s="18"/>
    </row>
    <row r="9599" spans="5:6" ht="15" customHeight="1" x14ac:dyDescent="0.2">
      <c r="E9599" s="18"/>
      <c r="F9599" s="18"/>
    </row>
    <row r="9600" spans="5:6" ht="15" customHeight="1" x14ac:dyDescent="0.2">
      <c r="E9600" s="18"/>
      <c r="F9600" s="18"/>
    </row>
    <row r="9601" spans="5:6" ht="15" customHeight="1" x14ac:dyDescent="0.2">
      <c r="E9601" s="18"/>
      <c r="F9601" s="18"/>
    </row>
    <row r="9602" spans="5:6" ht="15" customHeight="1" x14ac:dyDescent="0.2">
      <c r="E9602" s="18"/>
      <c r="F9602" s="18"/>
    </row>
    <row r="9603" spans="5:6" ht="15" customHeight="1" x14ac:dyDescent="0.2">
      <c r="E9603" s="18"/>
      <c r="F9603" s="18"/>
    </row>
    <row r="9604" spans="5:6" ht="15" customHeight="1" x14ac:dyDescent="0.2">
      <c r="E9604" s="18"/>
      <c r="F9604" s="18"/>
    </row>
    <row r="9605" spans="5:6" ht="15" customHeight="1" x14ac:dyDescent="0.2">
      <c r="E9605" s="18"/>
      <c r="F9605" s="18"/>
    </row>
    <row r="9606" spans="5:6" ht="15" customHeight="1" x14ac:dyDescent="0.2">
      <c r="E9606" s="18"/>
      <c r="F9606" s="18"/>
    </row>
    <row r="9607" spans="5:6" ht="15" customHeight="1" x14ac:dyDescent="0.2">
      <c r="E9607" s="18"/>
      <c r="F9607" s="18"/>
    </row>
    <row r="9608" spans="5:6" ht="15" customHeight="1" x14ac:dyDescent="0.2">
      <c r="E9608" s="18"/>
      <c r="F9608" s="18"/>
    </row>
    <row r="9609" spans="5:6" ht="15" customHeight="1" x14ac:dyDescent="0.2">
      <c r="E9609" s="18"/>
      <c r="F9609" s="18"/>
    </row>
    <row r="9610" spans="5:6" ht="15" customHeight="1" x14ac:dyDescent="0.2">
      <c r="E9610" s="18"/>
      <c r="F9610" s="18"/>
    </row>
    <row r="9611" spans="5:6" ht="15" customHeight="1" x14ac:dyDescent="0.2">
      <c r="E9611" s="18"/>
      <c r="F9611" s="18"/>
    </row>
    <row r="9612" spans="5:6" ht="15" customHeight="1" x14ac:dyDescent="0.2">
      <c r="E9612" s="18"/>
      <c r="F9612" s="18"/>
    </row>
    <row r="9613" spans="5:6" ht="15" customHeight="1" x14ac:dyDescent="0.2">
      <c r="E9613" s="18"/>
      <c r="F9613" s="18"/>
    </row>
    <row r="9614" spans="5:6" ht="15" customHeight="1" x14ac:dyDescent="0.2">
      <c r="E9614" s="18"/>
      <c r="F9614" s="18"/>
    </row>
    <row r="9615" spans="5:6" ht="15" customHeight="1" x14ac:dyDescent="0.2">
      <c r="E9615" s="18"/>
      <c r="F9615" s="18"/>
    </row>
    <row r="9616" spans="5:6" ht="15" customHeight="1" x14ac:dyDescent="0.2">
      <c r="E9616" s="18"/>
      <c r="F9616" s="18"/>
    </row>
    <row r="9617" spans="5:6" ht="15" customHeight="1" x14ac:dyDescent="0.2">
      <c r="E9617" s="18"/>
      <c r="F9617" s="18"/>
    </row>
    <row r="9618" spans="5:6" ht="15" customHeight="1" x14ac:dyDescent="0.2">
      <c r="E9618" s="18"/>
      <c r="F9618" s="18"/>
    </row>
    <row r="9619" spans="5:6" ht="15" customHeight="1" x14ac:dyDescent="0.2">
      <c r="E9619" s="18"/>
      <c r="F9619" s="18"/>
    </row>
    <row r="9620" spans="5:6" ht="15" customHeight="1" x14ac:dyDescent="0.2">
      <c r="E9620" s="18"/>
      <c r="F9620" s="18"/>
    </row>
    <row r="9621" spans="5:6" ht="15" customHeight="1" x14ac:dyDescent="0.2">
      <c r="E9621" s="18"/>
      <c r="F9621" s="18"/>
    </row>
    <row r="9622" spans="5:6" ht="15" customHeight="1" x14ac:dyDescent="0.2">
      <c r="E9622" s="18"/>
      <c r="F9622" s="18"/>
    </row>
    <row r="9623" spans="5:6" ht="15" customHeight="1" x14ac:dyDescent="0.2">
      <c r="E9623" s="18"/>
      <c r="F9623" s="18"/>
    </row>
    <row r="9624" spans="5:6" ht="15" customHeight="1" x14ac:dyDescent="0.2">
      <c r="E9624" s="18"/>
      <c r="F9624" s="18"/>
    </row>
    <row r="9625" spans="5:6" ht="15" customHeight="1" x14ac:dyDescent="0.2">
      <c r="E9625" s="18"/>
      <c r="F9625" s="18"/>
    </row>
    <row r="9626" spans="5:6" ht="15" customHeight="1" x14ac:dyDescent="0.2">
      <c r="E9626" s="18"/>
      <c r="F9626" s="18"/>
    </row>
    <row r="9627" spans="5:6" ht="15" customHeight="1" x14ac:dyDescent="0.2">
      <c r="E9627" s="18"/>
      <c r="F9627" s="18"/>
    </row>
    <row r="9628" spans="5:6" ht="15" customHeight="1" x14ac:dyDescent="0.2">
      <c r="E9628" s="18"/>
      <c r="F9628" s="18"/>
    </row>
    <row r="9629" spans="5:6" ht="15" customHeight="1" x14ac:dyDescent="0.2">
      <c r="E9629" s="18"/>
      <c r="F9629" s="18"/>
    </row>
    <row r="9630" spans="5:6" ht="15" customHeight="1" x14ac:dyDescent="0.2">
      <c r="E9630" s="18"/>
      <c r="F9630" s="18"/>
    </row>
    <row r="9631" spans="5:6" ht="15" customHeight="1" x14ac:dyDescent="0.2">
      <c r="E9631" s="18"/>
      <c r="F9631" s="18"/>
    </row>
    <row r="9632" spans="5:6" ht="15" customHeight="1" x14ac:dyDescent="0.2">
      <c r="E9632" s="18"/>
      <c r="F9632" s="18"/>
    </row>
    <row r="9633" spans="5:6" ht="15" customHeight="1" x14ac:dyDescent="0.2">
      <c r="E9633" s="18"/>
      <c r="F9633" s="18"/>
    </row>
    <row r="9634" spans="5:6" ht="15" customHeight="1" x14ac:dyDescent="0.2">
      <c r="E9634" s="18"/>
      <c r="F9634" s="18"/>
    </row>
    <row r="9635" spans="5:6" ht="15" customHeight="1" x14ac:dyDescent="0.2">
      <c r="E9635" s="18"/>
      <c r="F9635" s="18"/>
    </row>
    <row r="9636" spans="5:6" ht="15" customHeight="1" x14ac:dyDescent="0.2">
      <c r="E9636" s="18"/>
      <c r="F9636" s="18"/>
    </row>
    <row r="9637" spans="5:6" ht="15" customHeight="1" x14ac:dyDescent="0.2">
      <c r="E9637" s="18"/>
      <c r="F9637" s="18"/>
    </row>
    <row r="9638" spans="5:6" ht="15" customHeight="1" x14ac:dyDescent="0.2">
      <c r="E9638" s="18"/>
      <c r="F9638" s="18"/>
    </row>
    <row r="9639" spans="5:6" ht="15" customHeight="1" x14ac:dyDescent="0.2">
      <c r="E9639" s="18"/>
      <c r="F9639" s="18"/>
    </row>
    <row r="9640" spans="5:6" ht="15" customHeight="1" x14ac:dyDescent="0.2">
      <c r="E9640" s="18"/>
      <c r="F9640" s="18"/>
    </row>
    <row r="9641" spans="5:6" ht="15" customHeight="1" x14ac:dyDescent="0.2">
      <c r="E9641" s="18"/>
      <c r="F9641" s="18"/>
    </row>
    <row r="9642" spans="5:6" ht="15" customHeight="1" x14ac:dyDescent="0.2">
      <c r="E9642" s="18"/>
      <c r="F9642" s="18"/>
    </row>
    <row r="9643" spans="5:6" ht="15" customHeight="1" x14ac:dyDescent="0.2">
      <c r="E9643" s="18"/>
      <c r="F9643" s="18"/>
    </row>
    <row r="9644" spans="5:6" ht="15" customHeight="1" x14ac:dyDescent="0.2">
      <c r="E9644" s="18"/>
      <c r="F9644" s="18"/>
    </row>
    <row r="9645" spans="5:6" ht="15" customHeight="1" x14ac:dyDescent="0.2">
      <c r="E9645" s="18"/>
      <c r="F9645" s="18"/>
    </row>
    <row r="9646" spans="5:6" ht="15" customHeight="1" x14ac:dyDescent="0.2">
      <c r="E9646" s="18"/>
      <c r="F9646" s="18"/>
    </row>
    <row r="9647" spans="5:6" ht="15" customHeight="1" x14ac:dyDescent="0.2">
      <c r="E9647" s="18"/>
      <c r="F9647" s="18"/>
    </row>
    <row r="9648" spans="5:6" ht="15" customHeight="1" x14ac:dyDescent="0.2">
      <c r="E9648" s="18"/>
      <c r="F9648" s="18"/>
    </row>
    <row r="9649" spans="5:6" ht="15" customHeight="1" x14ac:dyDescent="0.2">
      <c r="E9649" s="18"/>
      <c r="F9649" s="18"/>
    </row>
    <row r="9650" spans="5:6" ht="15" customHeight="1" x14ac:dyDescent="0.2">
      <c r="E9650" s="18"/>
      <c r="F9650" s="18"/>
    </row>
    <row r="9651" spans="5:6" ht="15" customHeight="1" x14ac:dyDescent="0.2">
      <c r="E9651" s="18"/>
      <c r="F9651" s="18"/>
    </row>
    <row r="9652" spans="5:6" ht="15" customHeight="1" x14ac:dyDescent="0.2">
      <c r="E9652" s="18"/>
      <c r="F9652" s="18"/>
    </row>
    <row r="9653" spans="5:6" ht="15" customHeight="1" x14ac:dyDescent="0.2">
      <c r="E9653" s="18"/>
      <c r="F9653" s="18"/>
    </row>
    <row r="9654" spans="5:6" ht="15" customHeight="1" x14ac:dyDescent="0.2">
      <c r="E9654" s="18"/>
      <c r="F9654" s="18"/>
    </row>
    <row r="9655" spans="5:6" ht="15" customHeight="1" x14ac:dyDescent="0.2">
      <c r="E9655" s="18"/>
      <c r="F9655" s="18"/>
    </row>
    <row r="9656" spans="5:6" ht="15" customHeight="1" x14ac:dyDescent="0.2">
      <c r="E9656" s="18"/>
      <c r="F9656" s="18"/>
    </row>
    <row r="9657" spans="5:6" ht="15" customHeight="1" x14ac:dyDescent="0.2">
      <c r="E9657" s="18"/>
      <c r="F9657" s="18"/>
    </row>
    <row r="9658" spans="5:6" ht="15" customHeight="1" x14ac:dyDescent="0.2">
      <c r="E9658" s="18"/>
      <c r="F9658" s="18"/>
    </row>
    <row r="9659" spans="5:6" ht="15" customHeight="1" x14ac:dyDescent="0.2">
      <c r="E9659" s="18"/>
      <c r="F9659" s="18"/>
    </row>
    <row r="9660" spans="5:6" ht="15" customHeight="1" x14ac:dyDescent="0.2">
      <c r="E9660" s="18"/>
      <c r="F9660" s="18"/>
    </row>
    <row r="9661" spans="5:6" ht="15" customHeight="1" x14ac:dyDescent="0.2">
      <c r="E9661" s="18"/>
      <c r="F9661" s="18"/>
    </row>
    <row r="9662" spans="5:6" ht="15" customHeight="1" x14ac:dyDescent="0.2">
      <c r="E9662" s="18"/>
      <c r="F9662" s="18"/>
    </row>
    <row r="9663" spans="5:6" ht="15" customHeight="1" x14ac:dyDescent="0.2">
      <c r="E9663" s="18"/>
      <c r="F9663" s="18"/>
    </row>
    <row r="9664" spans="5:6" ht="15" customHeight="1" x14ac:dyDescent="0.2">
      <c r="E9664" s="18"/>
      <c r="F9664" s="18"/>
    </row>
    <row r="9665" spans="5:6" ht="15" customHeight="1" x14ac:dyDescent="0.2">
      <c r="E9665" s="18"/>
      <c r="F9665" s="18"/>
    </row>
    <row r="9666" spans="5:6" ht="15" customHeight="1" x14ac:dyDescent="0.2">
      <c r="E9666" s="18"/>
      <c r="F9666" s="18"/>
    </row>
    <row r="9667" spans="5:6" ht="15" customHeight="1" x14ac:dyDescent="0.2">
      <c r="E9667" s="18"/>
      <c r="F9667" s="18"/>
    </row>
    <row r="9668" spans="5:6" ht="15" customHeight="1" x14ac:dyDescent="0.2">
      <c r="E9668" s="18"/>
      <c r="F9668" s="18"/>
    </row>
    <row r="9669" spans="5:6" ht="15" customHeight="1" x14ac:dyDescent="0.2">
      <c r="E9669" s="18"/>
      <c r="F9669" s="18"/>
    </row>
    <row r="9670" spans="5:6" ht="15" customHeight="1" x14ac:dyDescent="0.2">
      <c r="E9670" s="18"/>
      <c r="F9670" s="18"/>
    </row>
    <row r="9671" spans="5:6" ht="15" customHeight="1" x14ac:dyDescent="0.2">
      <c r="E9671" s="18"/>
      <c r="F9671" s="18"/>
    </row>
    <row r="9672" spans="5:6" ht="15" customHeight="1" x14ac:dyDescent="0.2">
      <c r="E9672" s="18"/>
      <c r="F9672" s="18"/>
    </row>
    <row r="9673" spans="5:6" ht="15" customHeight="1" x14ac:dyDescent="0.2">
      <c r="E9673" s="18"/>
      <c r="F9673" s="18"/>
    </row>
    <row r="9674" spans="5:6" ht="15" customHeight="1" x14ac:dyDescent="0.2">
      <c r="E9674" s="18"/>
      <c r="F9674" s="18"/>
    </row>
    <row r="9675" spans="5:6" ht="15" customHeight="1" x14ac:dyDescent="0.2">
      <c r="E9675" s="18"/>
      <c r="F9675" s="18"/>
    </row>
    <row r="9676" spans="5:6" ht="15" customHeight="1" x14ac:dyDescent="0.2">
      <c r="E9676" s="18"/>
      <c r="F9676" s="18"/>
    </row>
    <row r="9677" spans="5:6" ht="15" customHeight="1" x14ac:dyDescent="0.2">
      <c r="E9677" s="18"/>
      <c r="F9677" s="18"/>
    </row>
    <row r="9678" spans="5:6" ht="15" customHeight="1" x14ac:dyDescent="0.2">
      <c r="E9678" s="18"/>
      <c r="F9678" s="18"/>
    </row>
    <row r="9679" spans="5:6" ht="15" customHeight="1" x14ac:dyDescent="0.2">
      <c r="E9679" s="18"/>
      <c r="F9679" s="18"/>
    </row>
    <row r="9680" spans="5:6" ht="15" customHeight="1" x14ac:dyDescent="0.2">
      <c r="E9680" s="18"/>
      <c r="F9680" s="18"/>
    </row>
    <row r="9681" spans="5:6" ht="15" customHeight="1" x14ac:dyDescent="0.2">
      <c r="E9681" s="18"/>
      <c r="F9681" s="18"/>
    </row>
    <row r="9682" spans="5:6" ht="15" customHeight="1" x14ac:dyDescent="0.2">
      <c r="E9682" s="18"/>
      <c r="F9682" s="18"/>
    </row>
    <row r="9683" spans="5:6" ht="15" customHeight="1" x14ac:dyDescent="0.2">
      <c r="E9683" s="18"/>
      <c r="F9683" s="18"/>
    </row>
    <row r="9684" spans="5:6" ht="15" customHeight="1" x14ac:dyDescent="0.2">
      <c r="E9684" s="18"/>
      <c r="F9684" s="18"/>
    </row>
    <row r="9685" spans="5:6" ht="15" customHeight="1" x14ac:dyDescent="0.2">
      <c r="E9685" s="18"/>
      <c r="F9685" s="18"/>
    </row>
    <row r="9686" spans="5:6" ht="15" customHeight="1" x14ac:dyDescent="0.2">
      <c r="E9686" s="18"/>
      <c r="F9686" s="18"/>
    </row>
    <row r="9687" spans="5:6" ht="15" customHeight="1" x14ac:dyDescent="0.2">
      <c r="E9687" s="18"/>
      <c r="F9687" s="18"/>
    </row>
    <row r="9688" spans="5:6" ht="15" customHeight="1" x14ac:dyDescent="0.2">
      <c r="E9688" s="18"/>
      <c r="F9688" s="18"/>
    </row>
    <row r="9689" spans="5:6" ht="15" customHeight="1" x14ac:dyDescent="0.2">
      <c r="E9689" s="18"/>
      <c r="F9689" s="18"/>
    </row>
    <row r="9690" spans="5:6" ht="15" customHeight="1" x14ac:dyDescent="0.2">
      <c r="E9690" s="18"/>
      <c r="F9690" s="18"/>
    </row>
    <row r="9691" spans="5:6" ht="15" customHeight="1" x14ac:dyDescent="0.2">
      <c r="E9691" s="18"/>
      <c r="F9691" s="18"/>
    </row>
    <row r="9692" spans="5:6" ht="15" customHeight="1" x14ac:dyDescent="0.2">
      <c r="E9692" s="18"/>
      <c r="F9692" s="18"/>
    </row>
    <row r="9693" spans="5:6" ht="15" customHeight="1" x14ac:dyDescent="0.2">
      <c r="E9693" s="18"/>
      <c r="F9693" s="18"/>
    </row>
    <row r="9694" spans="5:6" ht="15" customHeight="1" x14ac:dyDescent="0.2">
      <c r="E9694" s="18"/>
      <c r="F9694" s="18"/>
    </row>
    <row r="9695" spans="5:6" ht="15" customHeight="1" x14ac:dyDescent="0.2">
      <c r="E9695" s="18"/>
      <c r="F9695" s="18"/>
    </row>
    <row r="9696" spans="5:6" ht="15" customHeight="1" x14ac:dyDescent="0.2">
      <c r="E9696" s="18"/>
      <c r="F9696" s="18"/>
    </row>
    <row r="9697" spans="5:6" ht="15" customHeight="1" x14ac:dyDescent="0.2">
      <c r="E9697" s="18"/>
      <c r="F9697" s="18"/>
    </row>
    <row r="9698" spans="5:6" ht="15" customHeight="1" x14ac:dyDescent="0.2">
      <c r="E9698" s="18"/>
      <c r="F9698" s="18"/>
    </row>
    <row r="9699" spans="5:6" ht="15" customHeight="1" x14ac:dyDescent="0.2">
      <c r="E9699" s="18"/>
      <c r="F9699" s="18"/>
    </row>
    <row r="9700" spans="5:6" ht="15" customHeight="1" x14ac:dyDescent="0.2">
      <c r="E9700" s="18"/>
      <c r="F9700" s="18"/>
    </row>
    <row r="9701" spans="5:6" ht="15" customHeight="1" x14ac:dyDescent="0.2">
      <c r="E9701" s="18"/>
      <c r="F9701" s="18"/>
    </row>
    <row r="9702" spans="5:6" ht="15" customHeight="1" x14ac:dyDescent="0.2">
      <c r="E9702" s="18"/>
      <c r="F9702" s="18"/>
    </row>
    <row r="9703" spans="5:6" ht="15" customHeight="1" x14ac:dyDescent="0.2">
      <c r="E9703" s="18"/>
      <c r="F9703" s="18"/>
    </row>
    <row r="9704" spans="5:6" ht="15" customHeight="1" x14ac:dyDescent="0.2">
      <c r="E9704" s="18"/>
      <c r="F9704" s="18"/>
    </row>
    <row r="9705" spans="5:6" ht="15" customHeight="1" x14ac:dyDescent="0.2">
      <c r="E9705" s="18"/>
      <c r="F9705" s="18"/>
    </row>
    <row r="9706" spans="5:6" ht="15" customHeight="1" x14ac:dyDescent="0.2">
      <c r="E9706" s="18"/>
      <c r="F9706" s="18"/>
    </row>
    <row r="9707" spans="5:6" ht="15" customHeight="1" x14ac:dyDescent="0.2">
      <c r="E9707" s="18"/>
      <c r="F9707" s="18"/>
    </row>
    <row r="9708" spans="5:6" ht="15" customHeight="1" x14ac:dyDescent="0.2">
      <c r="E9708" s="18"/>
      <c r="F9708" s="18"/>
    </row>
    <row r="9709" spans="5:6" ht="15" customHeight="1" x14ac:dyDescent="0.2">
      <c r="E9709" s="18"/>
      <c r="F9709" s="18"/>
    </row>
    <row r="9710" spans="5:6" ht="15" customHeight="1" x14ac:dyDescent="0.2">
      <c r="E9710" s="18"/>
      <c r="F9710" s="18"/>
    </row>
    <row r="9711" spans="5:6" ht="15" customHeight="1" x14ac:dyDescent="0.2">
      <c r="E9711" s="18"/>
      <c r="F9711" s="18"/>
    </row>
    <row r="9712" spans="5:6" ht="15" customHeight="1" x14ac:dyDescent="0.2">
      <c r="E9712" s="18"/>
      <c r="F9712" s="18"/>
    </row>
    <row r="9713" spans="5:6" ht="15" customHeight="1" x14ac:dyDescent="0.2">
      <c r="E9713" s="18"/>
      <c r="F9713" s="18"/>
    </row>
    <row r="9714" spans="5:6" ht="15" customHeight="1" x14ac:dyDescent="0.2">
      <c r="E9714" s="18"/>
      <c r="F9714" s="18"/>
    </row>
    <row r="9715" spans="5:6" ht="15" customHeight="1" x14ac:dyDescent="0.2">
      <c r="E9715" s="18"/>
      <c r="F9715" s="18"/>
    </row>
    <row r="9716" spans="5:6" ht="15" customHeight="1" x14ac:dyDescent="0.2">
      <c r="E9716" s="18"/>
      <c r="F9716" s="18"/>
    </row>
    <row r="9717" spans="5:6" ht="15" customHeight="1" x14ac:dyDescent="0.2">
      <c r="E9717" s="18"/>
      <c r="F9717" s="18"/>
    </row>
    <row r="9718" spans="5:6" ht="15" customHeight="1" x14ac:dyDescent="0.2">
      <c r="E9718" s="18"/>
      <c r="F9718" s="18"/>
    </row>
    <row r="9719" spans="5:6" ht="15" customHeight="1" x14ac:dyDescent="0.2">
      <c r="E9719" s="18"/>
      <c r="F9719" s="18"/>
    </row>
    <row r="9720" spans="5:6" ht="15" customHeight="1" x14ac:dyDescent="0.2">
      <c r="E9720" s="18"/>
      <c r="F9720" s="18"/>
    </row>
    <row r="9721" spans="5:6" ht="15" customHeight="1" x14ac:dyDescent="0.2">
      <c r="E9721" s="18"/>
      <c r="F9721" s="18"/>
    </row>
    <row r="9722" spans="5:6" ht="15" customHeight="1" x14ac:dyDescent="0.2">
      <c r="E9722" s="18"/>
      <c r="F9722" s="18"/>
    </row>
    <row r="9723" spans="5:6" ht="15" customHeight="1" x14ac:dyDescent="0.2">
      <c r="E9723" s="18"/>
      <c r="F9723" s="18"/>
    </row>
    <row r="9724" spans="5:6" ht="15" customHeight="1" x14ac:dyDescent="0.2">
      <c r="E9724" s="18"/>
      <c r="F9724" s="18"/>
    </row>
    <row r="9725" spans="5:6" ht="15" customHeight="1" x14ac:dyDescent="0.2">
      <c r="E9725" s="18"/>
      <c r="F9725" s="18"/>
    </row>
    <row r="9726" spans="5:6" ht="15" customHeight="1" x14ac:dyDescent="0.2">
      <c r="E9726" s="18"/>
      <c r="F9726" s="18"/>
    </row>
    <row r="9727" spans="5:6" ht="15" customHeight="1" x14ac:dyDescent="0.2">
      <c r="E9727" s="18"/>
      <c r="F9727" s="18"/>
    </row>
    <row r="9728" spans="5:6" ht="15" customHeight="1" x14ac:dyDescent="0.2">
      <c r="E9728" s="18"/>
      <c r="F9728" s="18"/>
    </row>
    <row r="9729" spans="5:6" ht="15" customHeight="1" x14ac:dyDescent="0.2">
      <c r="E9729" s="18"/>
      <c r="F9729" s="18"/>
    </row>
    <row r="9730" spans="5:6" ht="15" customHeight="1" x14ac:dyDescent="0.2">
      <c r="E9730" s="18"/>
      <c r="F9730" s="18"/>
    </row>
    <row r="9731" spans="5:6" ht="15" customHeight="1" x14ac:dyDescent="0.2">
      <c r="E9731" s="18"/>
      <c r="F9731" s="18"/>
    </row>
    <row r="9732" spans="5:6" ht="15" customHeight="1" x14ac:dyDescent="0.2">
      <c r="E9732" s="18"/>
      <c r="F9732" s="18"/>
    </row>
    <row r="9733" spans="5:6" ht="15" customHeight="1" x14ac:dyDescent="0.2">
      <c r="E9733" s="18"/>
      <c r="F9733" s="18"/>
    </row>
    <row r="9734" spans="5:6" ht="15" customHeight="1" x14ac:dyDescent="0.2">
      <c r="E9734" s="18"/>
      <c r="F9734" s="18"/>
    </row>
    <row r="9735" spans="5:6" ht="15" customHeight="1" x14ac:dyDescent="0.2">
      <c r="E9735" s="18"/>
      <c r="F9735" s="18"/>
    </row>
    <row r="9736" spans="5:6" ht="15" customHeight="1" x14ac:dyDescent="0.2">
      <c r="E9736" s="18"/>
      <c r="F9736" s="18"/>
    </row>
    <row r="9737" spans="5:6" ht="15" customHeight="1" x14ac:dyDescent="0.2">
      <c r="E9737" s="18"/>
      <c r="F9737" s="18"/>
    </row>
    <row r="9738" spans="5:6" ht="15" customHeight="1" x14ac:dyDescent="0.2">
      <c r="E9738" s="18"/>
      <c r="F9738" s="18"/>
    </row>
    <row r="9739" spans="5:6" ht="15" customHeight="1" x14ac:dyDescent="0.2">
      <c r="E9739" s="18"/>
      <c r="F9739" s="18"/>
    </row>
    <row r="9740" spans="5:6" ht="15" customHeight="1" x14ac:dyDescent="0.2">
      <c r="E9740" s="18"/>
      <c r="F9740" s="18"/>
    </row>
    <row r="9741" spans="5:6" ht="15" customHeight="1" x14ac:dyDescent="0.2">
      <c r="E9741" s="18"/>
      <c r="F9741" s="18"/>
    </row>
    <row r="9742" spans="5:6" ht="15" customHeight="1" x14ac:dyDescent="0.2">
      <c r="E9742" s="18"/>
      <c r="F9742" s="18"/>
    </row>
    <row r="9743" spans="5:6" ht="15" customHeight="1" x14ac:dyDescent="0.2">
      <c r="E9743" s="18"/>
      <c r="F9743" s="18"/>
    </row>
    <row r="9744" spans="5:6" ht="15" customHeight="1" x14ac:dyDescent="0.2">
      <c r="E9744" s="18"/>
      <c r="F9744" s="18"/>
    </row>
    <row r="9745" spans="5:6" ht="15" customHeight="1" x14ac:dyDescent="0.2">
      <c r="E9745" s="18"/>
      <c r="F9745" s="18"/>
    </row>
    <row r="9746" spans="5:6" ht="15" customHeight="1" x14ac:dyDescent="0.2">
      <c r="E9746" s="18"/>
      <c r="F9746" s="18"/>
    </row>
    <row r="9747" spans="5:6" ht="15" customHeight="1" x14ac:dyDescent="0.2">
      <c r="E9747" s="18"/>
      <c r="F9747" s="18"/>
    </row>
    <row r="9748" spans="5:6" ht="15" customHeight="1" x14ac:dyDescent="0.2">
      <c r="E9748" s="18"/>
      <c r="F9748" s="18"/>
    </row>
    <row r="9749" spans="5:6" ht="15" customHeight="1" x14ac:dyDescent="0.2">
      <c r="E9749" s="18"/>
      <c r="F9749" s="18"/>
    </row>
    <row r="9750" spans="5:6" ht="15" customHeight="1" x14ac:dyDescent="0.2">
      <c r="E9750" s="18"/>
      <c r="F9750" s="18"/>
    </row>
    <row r="9751" spans="5:6" ht="15" customHeight="1" x14ac:dyDescent="0.2">
      <c r="E9751" s="18"/>
      <c r="F9751" s="18"/>
    </row>
    <row r="9752" spans="5:6" ht="15" customHeight="1" x14ac:dyDescent="0.2">
      <c r="E9752" s="18"/>
      <c r="F9752" s="18"/>
    </row>
    <row r="9753" spans="5:6" ht="15" customHeight="1" x14ac:dyDescent="0.2">
      <c r="E9753" s="18"/>
      <c r="F9753" s="18"/>
    </row>
    <row r="9754" spans="5:6" ht="15" customHeight="1" x14ac:dyDescent="0.2">
      <c r="E9754" s="18"/>
      <c r="F9754" s="18"/>
    </row>
    <row r="9755" spans="5:6" ht="15" customHeight="1" x14ac:dyDescent="0.2">
      <c r="E9755" s="18"/>
      <c r="F9755" s="18"/>
    </row>
    <row r="9756" spans="5:6" ht="15" customHeight="1" x14ac:dyDescent="0.2">
      <c r="E9756" s="18"/>
      <c r="F9756" s="18"/>
    </row>
    <row r="9757" spans="5:6" ht="15" customHeight="1" x14ac:dyDescent="0.2">
      <c r="E9757" s="18"/>
      <c r="F9757" s="18"/>
    </row>
    <row r="9758" spans="5:6" ht="15" customHeight="1" x14ac:dyDescent="0.2">
      <c r="E9758" s="18"/>
      <c r="F9758" s="18"/>
    </row>
    <row r="9759" spans="5:6" ht="15" customHeight="1" x14ac:dyDescent="0.2">
      <c r="E9759" s="18"/>
      <c r="F9759" s="18"/>
    </row>
    <row r="9760" spans="5:6" ht="15" customHeight="1" x14ac:dyDescent="0.2">
      <c r="E9760" s="18"/>
      <c r="F9760" s="18"/>
    </row>
    <row r="9761" spans="5:6" ht="15" customHeight="1" x14ac:dyDescent="0.2">
      <c r="E9761" s="18"/>
      <c r="F9761" s="18"/>
    </row>
    <row r="9762" spans="5:6" ht="15" customHeight="1" x14ac:dyDescent="0.2">
      <c r="E9762" s="18"/>
      <c r="F9762" s="18"/>
    </row>
    <row r="9763" spans="5:6" ht="15" customHeight="1" x14ac:dyDescent="0.2">
      <c r="E9763" s="18"/>
      <c r="F9763" s="18"/>
    </row>
    <row r="9764" spans="5:6" ht="15" customHeight="1" x14ac:dyDescent="0.2">
      <c r="E9764" s="18"/>
      <c r="F9764" s="18"/>
    </row>
    <row r="9765" spans="5:6" ht="15" customHeight="1" x14ac:dyDescent="0.2">
      <c r="E9765" s="18"/>
      <c r="F9765" s="18"/>
    </row>
    <row r="9766" spans="5:6" ht="15" customHeight="1" x14ac:dyDescent="0.2">
      <c r="E9766" s="18"/>
      <c r="F9766" s="18"/>
    </row>
    <row r="9767" spans="5:6" ht="15" customHeight="1" x14ac:dyDescent="0.2">
      <c r="E9767" s="18"/>
      <c r="F9767" s="18"/>
    </row>
    <row r="9768" spans="5:6" ht="15" customHeight="1" x14ac:dyDescent="0.2">
      <c r="E9768" s="18"/>
      <c r="F9768" s="18"/>
    </row>
    <row r="9769" spans="5:6" ht="15" customHeight="1" x14ac:dyDescent="0.2">
      <c r="E9769" s="18"/>
      <c r="F9769" s="18"/>
    </row>
    <row r="9770" spans="5:6" ht="15" customHeight="1" x14ac:dyDescent="0.2">
      <c r="E9770" s="18"/>
      <c r="F9770" s="18"/>
    </row>
    <row r="9771" spans="5:6" ht="15" customHeight="1" x14ac:dyDescent="0.2">
      <c r="E9771" s="18"/>
      <c r="F9771" s="18"/>
    </row>
    <row r="9772" spans="5:6" ht="15" customHeight="1" x14ac:dyDescent="0.2">
      <c r="E9772" s="18"/>
      <c r="F9772" s="18"/>
    </row>
    <row r="9773" spans="5:6" ht="15" customHeight="1" x14ac:dyDescent="0.2">
      <c r="E9773" s="18"/>
      <c r="F9773" s="18"/>
    </row>
    <row r="9774" spans="5:6" ht="15" customHeight="1" x14ac:dyDescent="0.2">
      <c r="E9774" s="18"/>
      <c r="F9774" s="18"/>
    </row>
    <row r="9775" spans="5:6" ht="15" customHeight="1" x14ac:dyDescent="0.2">
      <c r="E9775" s="18"/>
      <c r="F9775" s="18"/>
    </row>
    <row r="9776" spans="5:6" ht="15" customHeight="1" x14ac:dyDescent="0.2">
      <c r="E9776" s="18"/>
      <c r="F9776" s="18"/>
    </row>
    <row r="9777" spans="5:6" ht="15" customHeight="1" x14ac:dyDescent="0.2">
      <c r="E9777" s="18"/>
      <c r="F9777" s="18"/>
    </row>
    <row r="9778" spans="5:6" ht="15" customHeight="1" x14ac:dyDescent="0.2">
      <c r="E9778" s="18"/>
      <c r="F9778" s="18"/>
    </row>
    <row r="9779" spans="5:6" ht="15" customHeight="1" x14ac:dyDescent="0.2">
      <c r="E9779" s="18"/>
      <c r="F9779" s="18"/>
    </row>
    <row r="9780" spans="5:6" ht="15" customHeight="1" x14ac:dyDescent="0.2">
      <c r="E9780" s="18"/>
      <c r="F9780" s="18"/>
    </row>
    <row r="9781" spans="5:6" ht="15" customHeight="1" x14ac:dyDescent="0.2">
      <c r="E9781" s="18"/>
      <c r="F9781" s="18"/>
    </row>
    <row r="9782" spans="5:6" ht="15" customHeight="1" x14ac:dyDescent="0.2">
      <c r="E9782" s="18"/>
      <c r="F9782" s="18"/>
    </row>
    <row r="9783" spans="5:6" ht="15" customHeight="1" x14ac:dyDescent="0.2">
      <c r="E9783" s="18"/>
      <c r="F9783" s="18"/>
    </row>
    <row r="9784" spans="5:6" ht="15" customHeight="1" x14ac:dyDescent="0.2">
      <c r="E9784" s="18"/>
      <c r="F9784" s="18"/>
    </row>
    <row r="9785" spans="5:6" ht="15" customHeight="1" x14ac:dyDescent="0.2">
      <c r="E9785" s="18"/>
      <c r="F9785" s="18"/>
    </row>
    <row r="9786" spans="5:6" ht="15" customHeight="1" x14ac:dyDescent="0.2">
      <c r="E9786" s="18"/>
      <c r="F9786" s="18"/>
    </row>
    <row r="9787" spans="5:6" ht="15" customHeight="1" x14ac:dyDescent="0.2">
      <c r="E9787" s="18"/>
      <c r="F9787" s="18"/>
    </row>
    <row r="9788" spans="5:6" ht="15" customHeight="1" x14ac:dyDescent="0.2">
      <c r="E9788" s="18"/>
      <c r="F9788" s="18"/>
    </row>
    <row r="9789" spans="5:6" ht="15" customHeight="1" x14ac:dyDescent="0.2">
      <c r="E9789" s="18"/>
      <c r="F9789" s="18"/>
    </row>
    <row r="9790" spans="5:6" ht="15" customHeight="1" x14ac:dyDescent="0.2">
      <c r="E9790" s="18"/>
      <c r="F9790" s="18"/>
    </row>
    <row r="9791" spans="5:6" ht="15" customHeight="1" x14ac:dyDescent="0.2">
      <c r="E9791" s="18"/>
      <c r="F9791" s="18"/>
    </row>
    <row r="9792" spans="5:6" ht="15" customHeight="1" x14ac:dyDescent="0.2">
      <c r="E9792" s="18"/>
      <c r="F9792" s="18"/>
    </row>
    <row r="9793" spans="5:6" ht="15" customHeight="1" x14ac:dyDescent="0.2">
      <c r="E9793" s="18"/>
      <c r="F9793" s="18"/>
    </row>
    <row r="9794" spans="5:6" ht="15" customHeight="1" x14ac:dyDescent="0.2">
      <c r="E9794" s="18"/>
      <c r="F9794" s="18"/>
    </row>
    <row r="9795" spans="5:6" ht="15" customHeight="1" x14ac:dyDescent="0.2">
      <c r="E9795" s="18"/>
      <c r="F9795" s="18"/>
    </row>
    <row r="9796" spans="5:6" ht="15" customHeight="1" x14ac:dyDescent="0.2">
      <c r="E9796" s="18"/>
      <c r="F9796" s="18"/>
    </row>
    <row r="9797" spans="5:6" ht="15" customHeight="1" x14ac:dyDescent="0.2">
      <c r="E9797" s="18"/>
      <c r="F9797" s="18"/>
    </row>
    <row r="9798" spans="5:6" ht="15" customHeight="1" x14ac:dyDescent="0.2">
      <c r="E9798" s="18"/>
      <c r="F9798" s="18"/>
    </row>
    <row r="9799" spans="5:6" ht="15" customHeight="1" x14ac:dyDescent="0.2">
      <c r="E9799" s="18"/>
      <c r="F9799" s="18"/>
    </row>
    <row r="9800" spans="5:6" ht="15" customHeight="1" x14ac:dyDescent="0.2">
      <c r="E9800" s="18"/>
      <c r="F9800" s="18"/>
    </row>
    <row r="9801" spans="5:6" ht="15" customHeight="1" x14ac:dyDescent="0.2">
      <c r="E9801" s="18"/>
      <c r="F9801" s="18"/>
    </row>
    <row r="9802" spans="5:6" ht="15" customHeight="1" x14ac:dyDescent="0.2">
      <c r="E9802" s="18"/>
      <c r="F9802" s="18"/>
    </row>
    <row r="9803" spans="5:6" ht="15" customHeight="1" x14ac:dyDescent="0.2">
      <c r="E9803" s="18"/>
      <c r="F9803" s="18"/>
    </row>
    <row r="9804" spans="5:6" ht="15" customHeight="1" x14ac:dyDescent="0.2">
      <c r="E9804" s="18"/>
      <c r="F9804" s="18"/>
    </row>
    <row r="9805" spans="5:6" ht="15" customHeight="1" x14ac:dyDescent="0.2">
      <c r="E9805" s="18"/>
      <c r="F9805" s="18"/>
    </row>
    <row r="9806" spans="5:6" ht="15" customHeight="1" x14ac:dyDescent="0.2">
      <c r="E9806" s="18"/>
      <c r="F9806" s="18"/>
    </row>
    <row r="9807" spans="5:6" ht="15" customHeight="1" x14ac:dyDescent="0.2">
      <c r="E9807" s="18"/>
      <c r="F9807" s="18"/>
    </row>
    <row r="9808" spans="5:6" ht="15" customHeight="1" x14ac:dyDescent="0.2">
      <c r="E9808" s="18"/>
      <c r="F9808" s="18"/>
    </row>
    <row r="9809" spans="5:6" ht="15" customHeight="1" x14ac:dyDescent="0.2">
      <c r="E9809" s="18"/>
      <c r="F9809" s="18"/>
    </row>
    <row r="9810" spans="5:6" ht="15" customHeight="1" x14ac:dyDescent="0.2">
      <c r="E9810" s="18"/>
      <c r="F9810" s="18"/>
    </row>
    <row r="9811" spans="5:6" ht="15" customHeight="1" x14ac:dyDescent="0.2">
      <c r="E9811" s="18"/>
      <c r="F9811" s="18"/>
    </row>
    <row r="9812" spans="5:6" ht="15" customHeight="1" x14ac:dyDescent="0.2">
      <c r="E9812" s="18"/>
      <c r="F9812" s="18"/>
    </row>
    <row r="9813" spans="5:6" ht="15" customHeight="1" x14ac:dyDescent="0.2">
      <c r="E9813" s="18"/>
      <c r="F9813" s="18"/>
    </row>
    <row r="9814" spans="5:6" ht="15" customHeight="1" x14ac:dyDescent="0.2">
      <c r="E9814" s="18"/>
      <c r="F9814" s="18"/>
    </row>
    <row r="9815" spans="5:6" ht="15" customHeight="1" x14ac:dyDescent="0.2">
      <c r="E9815" s="18"/>
      <c r="F9815" s="18"/>
    </row>
    <row r="9816" spans="5:6" ht="15" customHeight="1" x14ac:dyDescent="0.2">
      <c r="E9816" s="18"/>
      <c r="F9816" s="18"/>
    </row>
    <row r="9817" spans="5:6" ht="15" customHeight="1" x14ac:dyDescent="0.2">
      <c r="E9817" s="18"/>
      <c r="F9817" s="18"/>
    </row>
    <row r="9818" spans="5:6" ht="15" customHeight="1" x14ac:dyDescent="0.2">
      <c r="E9818" s="18"/>
      <c r="F9818" s="18"/>
    </row>
    <row r="9819" spans="5:6" ht="15" customHeight="1" x14ac:dyDescent="0.2">
      <c r="E9819" s="18"/>
      <c r="F9819" s="18"/>
    </row>
    <row r="9820" spans="5:6" ht="15" customHeight="1" x14ac:dyDescent="0.2">
      <c r="E9820" s="18"/>
      <c r="F9820" s="18"/>
    </row>
    <row r="9821" spans="5:6" ht="15" customHeight="1" x14ac:dyDescent="0.2">
      <c r="E9821" s="18"/>
      <c r="F9821" s="18"/>
    </row>
    <row r="9822" spans="5:6" ht="15" customHeight="1" x14ac:dyDescent="0.2">
      <c r="E9822" s="18"/>
      <c r="F9822" s="18"/>
    </row>
    <row r="9823" spans="5:6" ht="15" customHeight="1" x14ac:dyDescent="0.2">
      <c r="E9823" s="18"/>
      <c r="F9823" s="18"/>
    </row>
    <row r="9824" spans="5:6" ht="15" customHeight="1" x14ac:dyDescent="0.2">
      <c r="E9824" s="18"/>
      <c r="F9824" s="18"/>
    </row>
    <row r="9825" spans="5:6" ht="15" customHeight="1" x14ac:dyDescent="0.2">
      <c r="E9825" s="18"/>
      <c r="F9825" s="18"/>
    </row>
    <row r="9826" spans="5:6" ht="15" customHeight="1" x14ac:dyDescent="0.2">
      <c r="E9826" s="18"/>
      <c r="F9826" s="18"/>
    </row>
    <row r="9827" spans="5:6" ht="15" customHeight="1" x14ac:dyDescent="0.2">
      <c r="E9827" s="18"/>
      <c r="F9827" s="18"/>
    </row>
    <row r="9828" spans="5:6" ht="15" customHeight="1" x14ac:dyDescent="0.2">
      <c r="E9828" s="18"/>
      <c r="F9828" s="18"/>
    </row>
    <row r="9829" spans="5:6" ht="15" customHeight="1" x14ac:dyDescent="0.2">
      <c r="E9829" s="18"/>
      <c r="F9829" s="18"/>
    </row>
    <row r="9830" spans="5:6" ht="15" customHeight="1" x14ac:dyDescent="0.2">
      <c r="E9830" s="18"/>
      <c r="F9830" s="18"/>
    </row>
    <row r="9831" spans="5:6" ht="15" customHeight="1" x14ac:dyDescent="0.2">
      <c r="E9831" s="18"/>
      <c r="F9831" s="18"/>
    </row>
    <row r="9832" spans="5:6" ht="15" customHeight="1" x14ac:dyDescent="0.2">
      <c r="E9832" s="18"/>
      <c r="F9832" s="18"/>
    </row>
    <row r="9833" spans="5:6" ht="15" customHeight="1" x14ac:dyDescent="0.2">
      <c r="E9833" s="18"/>
      <c r="F9833" s="18"/>
    </row>
    <row r="9834" spans="5:6" ht="15" customHeight="1" x14ac:dyDescent="0.2">
      <c r="E9834" s="18"/>
      <c r="F9834" s="18"/>
    </row>
    <row r="9835" spans="5:6" ht="15" customHeight="1" x14ac:dyDescent="0.2">
      <c r="E9835" s="18"/>
      <c r="F9835" s="18"/>
    </row>
    <row r="9836" spans="5:6" ht="15" customHeight="1" x14ac:dyDescent="0.2">
      <c r="E9836" s="18"/>
      <c r="F9836" s="18"/>
    </row>
    <row r="9837" spans="5:6" ht="15" customHeight="1" x14ac:dyDescent="0.2">
      <c r="E9837" s="18"/>
      <c r="F9837" s="18"/>
    </row>
    <row r="9838" spans="5:6" ht="15" customHeight="1" x14ac:dyDescent="0.2">
      <c r="E9838" s="18"/>
      <c r="F9838" s="18"/>
    </row>
    <row r="9839" spans="5:6" ht="15" customHeight="1" x14ac:dyDescent="0.2">
      <c r="E9839" s="18"/>
      <c r="F9839" s="18"/>
    </row>
    <row r="9840" spans="5:6" ht="15" customHeight="1" x14ac:dyDescent="0.2">
      <c r="E9840" s="18"/>
      <c r="F9840" s="18"/>
    </row>
    <row r="9841" spans="5:6" ht="15" customHeight="1" x14ac:dyDescent="0.2">
      <c r="E9841" s="18"/>
      <c r="F9841" s="18"/>
    </row>
    <row r="9842" spans="5:6" ht="15" customHeight="1" x14ac:dyDescent="0.2">
      <c r="E9842" s="18"/>
      <c r="F9842" s="18"/>
    </row>
    <row r="9843" spans="5:6" ht="15" customHeight="1" x14ac:dyDescent="0.2">
      <c r="E9843" s="18"/>
      <c r="F9843" s="18"/>
    </row>
    <row r="9844" spans="5:6" ht="15" customHeight="1" x14ac:dyDescent="0.2">
      <c r="E9844" s="18"/>
      <c r="F9844" s="18"/>
    </row>
    <row r="9845" spans="5:6" ht="15" customHeight="1" x14ac:dyDescent="0.2">
      <c r="E9845" s="18"/>
      <c r="F9845" s="18"/>
    </row>
    <row r="9846" spans="5:6" ht="15" customHeight="1" x14ac:dyDescent="0.2">
      <c r="E9846" s="18"/>
      <c r="F9846" s="18"/>
    </row>
    <row r="9847" spans="5:6" ht="15" customHeight="1" x14ac:dyDescent="0.2">
      <c r="E9847" s="18"/>
      <c r="F9847" s="18"/>
    </row>
    <row r="9848" spans="5:6" ht="15" customHeight="1" x14ac:dyDescent="0.2">
      <c r="E9848" s="18"/>
      <c r="F9848" s="18"/>
    </row>
    <row r="9849" spans="5:6" ht="15" customHeight="1" x14ac:dyDescent="0.2">
      <c r="E9849" s="18"/>
      <c r="F9849" s="18"/>
    </row>
    <row r="9850" spans="5:6" ht="15" customHeight="1" x14ac:dyDescent="0.2">
      <c r="E9850" s="18"/>
      <c r="F9850" s="18"/>
    </row>
    <row r="9851" spans="5:6" ht="15" customHeight="1" x14ac:dyDescent="0.2">
      <c r="E9851" s="18"/>
      <c r="F9851" s="18"/>
    </row>
    <row r="9852" spans="5:6" ht="15" customHeight="1" x14ac:dyDescent="0.2">
      <c r="E9852" s="18"/>
      <c r="F9852" s="18"/>
    </row>
    <row r="9853" spans="5:6" ht="15" customHeight="1" x14ac:dyDescent="0.2">
      <c r="E9853" s="18"/>
      <c r="F9853" s="18"/>
    </row>
    <row r="9854" spans="5:6" ht="15" customHeight="1" x14ac:dyDescent="0.2">
      <c r="E9854" s="18"/>
      <c r="F9854" s="18"/>
    </row>
    <row r="9855" spans="5:6" ht="15" customHeight="1" x14ac:dyDescent="0.2">
      <c r="E9855" s="18"/>
      <c r="F9855" s="18"/>
    </row>
    <row r="9856" spans="5:6" ht="15" customHeight="1" x14ac:dyDescent="0.2">
      <c r="E9856" s="18"/>
      <c r="F9856" s="18"/>
    </row>
    <row r="9857" spans="5:6" ht="15" customHeight="1" x14ac:dyDescent="0.2">
      <c r="E9857" s="18"/>
      <c r="F9857" s="18"/>
    </row>
    <row r="9858" spans="5:6" ht="15" customHeight="1" x14ac:dyDescent="0.2">
      <c r="E9858" s="18"/>
      <c r="F9858" s="18"/>
    </row>
    <row r="9859" spans="5:6" ht="15" customHeight="1" x14ac:dyDescent="0.2">
      <c r="E9859" s="18"/>
      <c r="F9859" s="18"/>
    </row>
    <row r="9860" spans="5:6" ht="15" customHeight="1" x14ac:dyDescent="0.2">
      <c r="E9860" s="18"/>
      <c r="F9860" s="18"/>
    </row>
    <row r="9861" spans="5:6" ht="15" customHeight="1" x14ac:dyDescent="0.2">
      <c r="E9861" s="18"/>
      <c r="F9861" s="18"/>
    </row>
    <row r="9862" spans="5:6" ht="15" customHeight="1" x14ac:dyDescent="0.2">
      <c r="E9862" s="18"/>
      <c r="F9862" s="18"/>
    </row>
    <row r="9863" spans="5:6" ht="15" customHeight="1" x14ac:dyDescent="0.2">
      <c r="E9863" s="18"/>
      <c r="F9863" s="18"/>
    </row>
    <row r="9864" spans="5:6" ht="15" customHeight="1" x14ac:dyDescent="0.2">
      <c r="E9864" s="18"/>
      <c r="F9864" s="18"/>
    </row>
    <row r="9865" spans="5:6" ht="15" customHeight="1" x14ac:dyDescent="0.2">
      <c r="E9865" s="18"/>
      <c r="F9865" s="18"/>
    </row>
    <row r="9866" spans="5:6" ht="15" customHeight="1" x14ac:dyDescent="0.2">
      <c r="E9866" s="18"/>
      <c r="F9866" s="18"/>
    </row>
    <row r="9867" spans="5:6" ht="15" customHeight="1" x14ac:dyDescent="0.2">
      <c r="E9867" s="18"/>
      <c r="F9867" s="18"/>
    </row>
    <row r="9868" spans="5:6" ht="15" customHeight="1" x14ac:dyDescent="0.2">
      <c r="E9868" s="18"/>
      <c r="F9868" s="18"/>
    </row>
    <row r="9869" spans="5:6" ht="15" customHeight="1" x14ac:dyDescent="0.2">
      <c r="E9869" s="18"/>
      <c r="F9869" s="18"/>
    </row>
    <row r="9870" spans="5:6" ht="15" customHeight="1" x14ac:dyDescent="0.2">
      <c r="E9870" s="18"/>
      <c r="F9870" s="18"/>
    </row>
    <row r="9871" spans="5:6" ht="15" customHeight="1" x14ac:dyDescent="0.2">
      <c r="E9871" s="18"/>
      <c r="F9871" s="18"/>
    </row>
    <row r="9872" spans="5:6" ht="15" customHeight="1" x14ac:dyDescent="0.2">
      <c r="E9872" s="18"/>
      <c r="F9872" s="18"/>
    </row>
    <row r="9873" spans="5:6" ht="15" customHeight="1" x14ac:dyDescent="0.2">
      <c r="E9873" s="18"/>
      <c r="F9873" s="18"/>
    </row>
    <row r="9874" spans="5:6" ht="15" customHeight="1" x14ac:dyDescent="0.2">
      <c r="E9874" s="18"/>
      <c r="F9874" s="18"/>
    </row>
    <row r="9875" spans="5:6" ht="15" customHeight="1" x14ac:dyDescent="0.2">
      <c r="E9875" s="18"/>
      <c r="F9875" s="18"/>
    </row>
    <row r="9876" spans="5:6" ht="15" customHeight="1" x14ac:dyDescent="0.2">
      <c r="E9876" s="18"/>
      <c r="F9876" s="18"/>
    </row>
    <row r="9877" spans="5:6" ht="15" customHeight="1" x14ac:dyDescent="0.2">
      <c r="E9877" s="18"/>
      <c r="F9877" s="18"/>
    </row>
    <row r="9878" spans="5:6" ht="15" customHeight="1" x14ac:dyDescent="0.2">
      <c r="E9878" s="18"/>
      <c r="F9878" s="18"/>
    </row>
    <row r="9879" spans="5:6" ht="15" customHeight="1" x14ac:dyDescent="0.2">
      <c r="E9879" s="18"/>
      <c r="F9879" s="18"/>
    </row>
    <row r="9880" spans="5:6" ht="15" customHeight="1" x14ac:dyDescent="0.2">
      <c r="E9880" s="18"/>
      <c r="F9880" s="18"/>
    </row>
    <row r="9881" spans="5:6" ht="15" customHeight="1" x14ac:dyDescent="0.2">
      <c r="E9881" s="18"/>
      <c r="F9881" s="18"/>
    </row>
    <row r="9882" spans="5:6" ht="15" customHeight="1" x14ac:dyDescent="0.2">
      <c r="E9882" s="18"/>
      <c r="F9882" s="18"/>
    </row>
    <row r="9883" spans="5:6" ht="15" customHeight="1" x14ac:dyDescent="0.2">
      <c r="E9883" s="18"/>
      <c r="F9883" s="18"/>
    </row>
    <row r="9884" spans="5:6" ht="15" customHeight="1" x14ac:dyDescent="0.2">
      <c r="E9884" s="18"/>
      <c r="F9884" s="18"/>
    </row>
    <row r="9885" spans="5:6" ht="15" customHeight="1" x14ac:dyDescent="0.2">
      <c r="E9885" s="18"/>
      <c r="F9885" s="18"/>
    </row>
    <row r="9886" spans="5:6" ht="15" customHeight="1" x14ac:dyDescent="0.2">
      <c r="E9886" s="18"/>
      <c r="F9886" s="18"/>
    </row>
    <row r="9887" spans="5:6" ht="15" customHeight="1" x14ac:dyDescent="0.2">
      <c r="E9887" s="18"/>
      <c r="F9887" s="18"/>
    </row>
    <row r="9888" spans="5:6" ht="15" customHeight="1" x14ac:dyDescent="0.2">
      <c r="E9888" s="18"/>
      <c r="F9888" s="18"/>
    </row>
    <row r="9889" spans="5:6" ht="15" customHeight="1" x14ac:dyDescent="0.2">
      <c r="E9889" s="18"/>
      <c r="F9889" s="18"/>
    </row>
    <row r="9890" spans="5:6" ht="15" customHeight="1" x14ac:dyDescent="0.2">
      <c r="E9890" s="18"/>
      <c r="F9890" s="18"/>
    </row>
    <row r="9891" spans="5:6" ht="15" customHeight="1" x14ac:dyDescent="0.2">
      <c r="E9891" s="18"/>
      <c r="F9891" s="18"/>
    </row>
    <row r="9892" spans="5:6" ht="15" customHeight="1" x14ac:dyDescent="0.2">
      <c r="E9892" s="18"/>
      <c r="F9892" s="18"/>
    </row>
    <row r="9893" spans="5:6" ht="15" customHeight="1" x14ac:dyDescent="0.2">
      <c r="E9893" s="18"/>
      <c r="F9893" s="18"/>
    </row>
    <row r="9894" spans="5:6" ht="15" customHeight="1" x14ac:dyDescent="0.2">
      <c r="E9894" s="18"/>
      <c r="F9894" s="18"/>
    </row>
    <row r="9895" spans="5:6" ht="15" customHeight="1" x14ac:dyDescent="0.2">
      <c r="E9895" s="18"/>
      <c r="F9895" s="18"/>
    </row>
    <row r="9896" spans="5:6" ht="15" customHeight="1" x14ac:dyDescent="0.2">
      <c r="E9896" s="18"/>
      <c r="F9896" s="18"/>
    </row>
    <row r="9897" spans="5:6" ht="15" customHeight="1" x14ac:dyDescent="0.2">
      <c r="E9897" s="18"/>
      <c r="F9897" s="18"/>
    </row>
    <row r="9898" spans="5:6" ht="15" customHeight="1" x14ac:dyDescent="0.2">
      <c r="E9898" s="18"/>
      <c r="F9898" s="18"/>
    </row>
    <row r="9899" spans="5:6" ht="15" customHeight="1" x14ac:dyDescent="0.2">
      <c r="E9899" s="18"/>
      <c r="F9899" s="18"/>
    </row>
    <row r="9900" spans="5:6" ht="15" customHeight="1" x14ac:dyDescent="0.2">
      <c r="E9900" s="18"/>
      <c r="F9900" s="18"/>
    </row>
    <row r="9901" spans="5:6" ht="15" customHeight="1" x14ac:dyDescent="0.2">
      <c r="E9901" s="18"/>
      <c r="F9901" s="18"/>
    </row>
    <row r="9902" spans="5:6" ht="15" customHeight="1" x14ac:dyDescent="0.2">
      <c r="E9902" s="18"/>
      <c r="F9902" s="18"/>
    </row>
    <row r="9903" spans="5:6" ht="15" customHeight="1" x14ac:dyDescent="0.2">
      <c r="E9903" s="18"/>
      <c r="F9903" s="18"/>
    </row>
    <row r="9904" spans="5:6" ht="15" customHeight="1" x14ac:dyDescent="0.2">
      <c r="E9904" s="18"/>
      <c r="F9904" s="18"/>
    </row>
    <row r="9905" spans="5:6" ht="15" customHeight="1" x14ac:dyDescent="0.2">
      <c r="E9905" s="18"/>
      <c r="F9905" s="18"/>
    </row>
    <row r="9906" spans="5:6" ht="15" customHeight="1" x14ac:dyDescent="0.2">
      <c r="E9906" s="18"/>
      <c r="F9906" s="18"/>
    </row>
    <row r="9907" spans="5:6" ht="15" customHeight="1" x14ac:dyDescent="0.2">
      <c r="E9907" s="18"/>
      <c r="F9907" s="18"/>
    </row>
    <row r="9908" spans="5:6" ht="15" customHeight="1" x14ac:dyDescent="0.2">
      <c r="E9908" s="18"/>
      <c r="F9908" s="18"/>
    </row>
    <row r="9909" spans="5:6" ht="15" customHeight="1" x14ac:dyDescent="0.2">
      <c r="E9909" s="18"/>
      <c r="F9909" s="18"/>
    </row>
    <row r="9910" spans="5:6" ht="15" customHeight="1" x14ac:dyDescent="0.2">
      <c r="E9910" s="18"/>
      <c r="F9910" s="18"/>
    </row>
    <row r="9911" spans="5:6" ht="15" customHeight="1" x14ac:dyDescent="0.2">
      <c r="E9911" s="18"/>
      <c r="F9911" s="18"/>
    </row>
    <row r="9912" spans="5:6" ht="15" customHeight="1" x14ac:dyDescent="0.2">
      <c r="E9912" s="18"/>
      <c r="F9912" s="18"/>
    </row>
    <row r="9913" spans="5:6" ht="15" customHeight="1" x14ac:dyDescent="0.2">
      <c r="E9913" s="18"/>
      <c r="F9913" s="18"/>
    </row>
    <row r="9914" spans="5:6" ht="15" customHeight="1" x14ac:dyDescent="0.2">
      <c r="E9914" s="18"/>
      <c r="F9914" s="18"/>
    </row>
    <row r="9915" spans="5:6" ht="15" customHeight="1" x14ac:dyDescent="0.2">
      <c r="E9915" s="18"/>
      <c r="F9915" s="18"/>
    </row>
    <row r="9916" spans="5:6" ht="15" customHeight="1" x14ac:dyDescent="0.2">
      <c r="E9916" s="18"/>
      <c r="F9916" s="18"/>
    </row>
    <row r="9917" spans="5:6" ht="15" customHeight="1" x14ac:dyDescent="0.2">
      <c r="E9917" s="18"/>
      <c r="F9917" s="18"/>
    </row>
    <row r="9918" spans="5:6" ht="15" customHeight="1" x14ac:dyDescent="0.2">
      <c r="E9918" s="18"/>
      <c r="F9918" s="18"/>
    </row>
    <row r="9919" spans="5:6" ht="15" customHeight="1" x14ac:dyDescent="0.2">
      <c r="E9919" s="18"/>
      <c r="F9919" s="18"/>
    </row>
    <row r="9920" spans="5:6" ht="15" customHeight="1" x14ac:dyDescent="0.2">
      <c r="E9920" s="18"/>
      <c r="F9920" s="18"/>
    </row>
    <row r="9921" spans="5:6" ht="15" customHeight="1" x14ac:dyDescent="0.2">
      <c r="E9921" s="18"/>
      <c r="F9921" s="18"/>
    </row>
    <row r="9922" spans="5:6" ht="15" customHeight="1" x14ac:dyDescent="0.2">
      <c r="E9922" s="18"/>
      <c r="F9922" s="18"/>
    </row>
    <row r="9923" spans="5:6" ht="15" customHeight="1" x14ac:dyDescent="0.2">
      <c r="E9923" s="18"/>
      <c r="F9923" s="18"/>
    </row>
    <row r="9924" spans="5:6" ht="15" customHeight="1" x14ac:dyDescent="0.2">
      <c r="E9924" s="18"/>
      <c r="F9924" s="18"/>
    </row>
    <row r="9925" spans="5:6" ht="15" customHeight="1" x14ac:dyDescent="0.2">
      <c r="E9925" s="18"/>
      <c r="F9925" s="18"/>
    </row>
    <row r="9926" spans="5:6" ht="15" customHeight="1" x14ac:dyDescent="0.2">
      <c r="E9926" s="18"/>
      <c r="F9926" s="18"/>
    </row>
    <row r="9927" spans="5:6" ht="15" customHeight="1" x14ac:dyDescent="0.2">
      <c r="E9927" s="18"/>
      <c r="F9927" s="18"/>
    </row>
    <row r="9928" spans="5:6" ht="15" customHeight="1" x14ac:dyDescent="0.2">
      <c r="E9928" s="18"/>
      <c r="F9928" s="18"/>
    </row>
    <row r="9929" spans="5:6" ht="15" customHeight="1" x14ac:dyDescent="0.2">
      <c r="E9929" s="18"/>
      <c r="F9929" s="18"/>
    </row>
    <row r="9930" spans="5:6" ht="15" customHeight="1" x14ac:dyDescent="0.2">
      <c r="E9930" s="18"/>
      <c r="F9930" s="18"/>
    </row>
    <row r="9931" spans="5:6" ht="15" customHeight="1" x14ac:dyDescent="0.2">
      <c r="E9931" s="18"/>
      <c r="F9931" s="18"/>
    </row>
    <row r="9932" spans="5:6" ht="15" customHeight="1" x14ac:dyDescent="0.2">
      <c r="E9932" s="18"/>
      <c r="F9932" s="18"/>
    </row>
    <row r="9933" spans="5:6" ht="15" customHeight="1" x14ac:dyDescent="0.2">
      <c r="E9933" s="18"/>
      <c r="F9933" s="18"/>
    </row>
    <row r="9934" spans="5:6" ht="15" customHeight="1" x14ac:dyDescent="0.2">
      <c r="E9934" s="18"/>
      <c r="F9934" s="18"/>
    </row>
    <row r="9935" spans="5:6" ht="15" customHeight="1" x14ac:dyDescent="0.2">
      <c r="E9935" s="18"/>
      <c r="F9935" s="18"/>
    </row>
    <row r="9936" spans="5:6" ht="15" customHeight="1" x14ac:dyDescent="0.2">
      <c r="E9936" s="18"/>
      <c r="F9936" s="18"/>
    </row>
    <row r="9937" spans="5:6" ht="15" customHeight="1" x14ac:dyDescent="0.2">
      <c r="E9937" s="18"/>
      <c r="F9937" s="18"/>
    </row>
    <row r="9938" spans="5:6" ht="15" customHeight="1" x14ac:dyDescent="0.2">
      <c r="E9938" s="18"/>
      <c r="F9938" s="18"/>
    </row>
    <row r="9939" spans="5:6" ht="15" customHeight="1" x14ac:dyDescent="0.2">
      <c r="E9939" s="18"/>
      <c r="F9939" s="18"/>
    </row>
    <row r="9940" spans="5:6" ht="15" customHeight="1" x14ac:dyDescent="0.2">
      <c r="E9940" s="18"/>
      <c r="F9940" s="18"/>
    </row>
    <row r="9941" spans="5:6" ht="15" customHeight="1" x14ac:dyDescent="0.2">
      <c r="E9941" s="18"/>
      <c r="F9941" s="18"/>
    </row>
    <row r="9942" spans="5:6" ht="15" customHeight="1" x14ac:dyDescent="0.2">
      <c r="E9942" s="18"/>
      <c r="F9942" s="18"/>
    </row>
    <row r="9943" spans="5:6" ht="15" customHeight="1" x14ac:dyDescent="0.2">
      <c r="E9943" s="18"/>
      <c r="F9943" s="18"/>
    </row>
    <row r="9944" spans="5:6" ht="15" customHeight="1" x14ac:dyDescent="0.2">
      <c r="E9944" s="18"/>
      <c r="F9944" s="18"/>
    </row>
    <row r="9945" spans="5:6" ht="15" customHeight="1" x14ac:dyDescent="0.2">
      <c r="E9945" s="18"/>
      <c r="F9945" s="18"/>
    </row>
    <row r="9946" spans="5:6" ht="15" customHeight="1" x14ac:dyDescent="0.2">
      <c r="E9946" s="18"/>
      <c r="F9946" s="18"/>
    </row>
    <row r="9947" spans="5:6" ht="15" customHeight="1" x14ac:dyDescent="0.2">
      <c r="E9947" s="18"/>
      <c r="F9947" s="18"/>
    </row>
    <row r="9948" spans="5:6" ht="15" customHeight="1" x14ac:dyDescent="0.2">
      <c r="E9948" s="18"/>
      <c r="F9948" s="18"/>
    </row>
    <row r="9949" spans="5:6" ht="15" customHeight="1" x14ac:dyDescent="0.2">
      <c r="E9949" s="18"/>
      <c r="F9949" s="18"/>
    </row>
    <row r="9950" spans="5:6" ht="15" customHeight="1" x14ac:dyDescent="0.2">
      <c r="E9950" s="18"/>
      <c r="F9950" s="18"/>
    </row>
    <row r="9951" spans="5:6" ht="15" customHeight="1" x14ac:dyDescent="0.2">
      <c r="E9951" s="18"/>
      <c r="F9951" s="18"/>
    </row>
    <row r="9952" spans="5:6" ht="15" customHeight="1" x14ac:dyDescent="0.2">
      <c r="E9952" s="18"/>
      <c r="F9952" s="18"/>
    </row>
    <row r="9953" spans="5:6" ht="15" customHeight="1" x14ac:dyDescent="0.2">
      <c r="E9953" s="18"/>
      <c r="F9953" s="18"/>
    </row>
    <row r="9954" spans="5:6" ht="15" customHeight="1" x14ac:dyDescent="0.2">
      <c r="E9954" s="18"/>
      <c r="F9954" s="18"/>
    </row>
    <row r="9955" spans="5:6" ht="15" customHeight="1" x14ac:dyDescent="0.2">
      <c r="E9955" s="18"/>
      <c r="F9955" s="18"/>
    </row>
    <row r="9956" spans="5:6" ht="15" customHeight="1" x14ac:dyDescent="0.2">
      <c r="E9956" s="18"/>
      <c r="F9956" s="18"/>
    </row>
    <row r="9957" spans="5:6" ht="15" customHeight="1" x14ac:dyDescent="0.2">
      <c r="E9957" s="18"/>
      <c r="F9957" s="18"/>
    </row>
    <row r="9958" spans="5:6" ht="15" customHeight="1" x14ac:dyDescent="0.2">
      <c r="E9958" s="18"/>
      <c r="F9958" s="18"/>
    </row>
    <row r="9959" spans="5:6" ht="15" customHeight="1" x14ac:dyDescent="0.2">
      <c r="E9959" s="18"/>
      <c r="F9959" s="18"/>
    </row>
    <row r="9960" spans="5:6" ht="15" customHeight="1" x14ac:dyDescent="0.2">
      <c r="E9960" s="18"/>
      <c r="F9960" s="18"/>
    </row>
    <row r="9961" spans="5:6" ht="15" customHeight="1" x14ac:dyDescent="0.2">
      <c r="E9961" s="18"/>
      <c r="F9961" s="18"/>
    </row>
    <row r="9962" spans="5:6" ht="15" customHeight="1" x14ac:dyDescent="0.2">
      <c r="E9962" s="18"/>
      <c r="F9962" s="18"/>
    </row>
    <row r="9963" spans="5:6" ht="15" customHeight="1" x14ac:dyDescent="0.2">
      <c r="E9963" s="18"/>
      <c r="F9963" s="18"/>
    </row>
    <row r="9964" spans="5:6" ht="15" customHeight="1" x14ac:dyDescent="0.2">
      <c r="E9964" s="18"/>
      <c r="F9964" s="18"/>
    </row>
    <row r="9965" spans="5:6" ht="15" customHeight="1" x14ac:dyDescent="0.2">
      <c r="E9965" s="18"/>
      <c r="F9965" s="18"/>
    </row>
    <row r="9966" spans="5:6" ht="15" customHeight="1" x14ac:dyDescent="0.2">
      <c r="E9966" s="18"/>
      <c r="F9966" s="18"/>
    </row>
    <row r="9967" spans="5:6" ht="15" customHeight="1" x14ac:dyDescent="0.2">
      <c r="E9967" s="18"/>
      <c r="F9967" s="18"/>
    </row>
    <row r="9968" spans="5:6" ht="15" customHeight="1" x14ac:dyDescent="0.2">
      <c r="E9968" s="18"/>
      <c r="F9968" s="18"/>
    </row>
    <row r="9969" spans="5:6" ht="15" customHeight="1" x14ac:dyDescent="0.2">
      <c r="E9969" s="18"/>
      <c r="F9969" s="18"/>
    </row>
    <row r="9970" spans="5:6" ht="15" customHeight="1" x14ac:dyDescent="0.2">
      <c r="E9970" s="18"/>
      <c r="F9970" s="18"/>
    </row>
    <row r="9971" spans="5:6" ht="15" customHeight="1" x14ac:dyDescent="0.2">
      <c r="E9971" s="18"/>
      <c r="F9971" s="18"/>
    </row>
    <row r="9972" spans="5:6" ht="15" customHeight="1" x14ac:dyDescent="0.2">
      <c r="E9972" s="18"/>
      <c r="F9972" s="18"/>
    </row>
    <row r="9973" spans="5:6" ht="15" customHeight="1" x14ac:dyDescent="0.2">
      <c r="E9973" s="18"/>
      <c r="F9973" s="18"/>
    </row>
    <row r="9974" spans="5:6" ht="15" customHeight="1" x14ac:dyDescent="0.2">
      <c r="E9974" s="18"/>
      <c r="F9974" s="18"/>
    </row>
    <row r="9975" spans="5:6" ht="15" customHeight="1" x14ac:dyDescent="0.2">
      <c r="E9975" s="18"/>
      <c r="F9975" s="18"/>
    </row>
    <row r="9976" spans="5:6" ht="15" customHeight="1" x14ac:dyDescent="0.2">
      <c r="E9976" s="18"/>
      <c r="F9976" s="18"/>
    </row>
    <row r="9977" spans="5:6" ht="15" customHeight="1" x14ac:dyDescent="0.2">
      <c r="E9977" s="18"/>
      <c r="F9977" s="18"/>
    </row>
    <row r="9978" spans="5:6" ht="15" customHeight="1" x14ac:dyDescent="0.2">
      <c r="E9978" s="18"/>
      <c r="F9978" s="18"/>
    </row>
    <row r="9979" spans="5:6" ht="15" customHeight="1" x14ac:dyDescent="0.2">
      <c r="E9979" s="18"/>
      <c r="F9979" s="18"/>
    </row>
    <row r="9980" spans="5:6" ht="15" customHeight="1" x14ac:dyDescent="0.2">
      <c r="E9980" s="18"/>
      <c r="F9980" s="18"/>
    </row>
    <row r="9981" spans="5:6" ht="15" customHeight="1" x14ac:dyDescent="0.2">
      <c r="E9981" s="18"/>
      <c r="F9981" s="18"/>
    </row>
    <row r="9982" spans="5:6" ht="15" customHeight="1" x14ac:dyDescent="0.2">
      <c r="E9982" s="18"/>
      <c r="F9982" s="18"/>
    </row>
    <row r="9983" spans="5:6" ht="15" customHeight="1" x14ac:dyDescent="0.2">
      <c r="E9983" s="18"/>
      <c r="F9983" s="18"/>
    </row>
    <row r="9984" spans="5:6" ht="15" customHeight="1" x14ac:dyDescent="0.2">
      <c r="E9984" s="18"/>
      <c r="F9984" s="18"/>
    </row>
    <row r="9985" spans="5:6" ht="15" customHeight="1" x14ac:dyDescent="0.2">
      <c r="E9985" s="18"/>
      <c r="F9985" s="18"/>
    </row>
    <row r="9986" spans="5:6" ht="15" customHeight="1" x14ac:dyDescent="0.2">
      <c r="E9986" s="18"/>
      <c r="F9986" s="18"/>
    </row>
    <row r="9987" spans="5:6" ht="15" customHeight="1" x14ac:dyDescent="0.2">
      <c r="E9987" s="18"/>
      <c r="F9987" s="18"/>
    </row>
    <row r="9988" spans="5:6" ht="15" customHeight="1" x14ac:dyDescent="0.2">
      <c r="E9988" s="18"/>
      <c r="F9988" s="18"/>
    </row>
    <row r="9989" spans="5:6" ht="15" customHeight="1" x14ac:dyDescent="0.2">
      <c r="E9989" s="18"/>
      <c r="F9989" s="18"/>
    </row>
    <row r="9990" spans="5:6" ht="15" customHeight="1" x14ac:dyDescent="0.2">
      <c r="E9990" s="18"/>
      <c r="F9990" s="18"/>
    </row>
    <row r="9991" spans="5:6" ht="15" customHeight="1" x14ac:dyDescent="0.2">
      <c r="E9991" s="18"/>
      <c r="F9991" s="18"/>
    </row>
    <row r="9992" spans="5:6" ht="15" customHeight="1" x14ac:dyDescent="0.2">
      <c r="E9992" s="18"/>
      <c r="F9992" s="18"/>
    </row>
    <row r="9993" spans="5:6" ht="15" customHeight="1" x14ac:dyDescent="0.2">
      <c r="E9993" s="18"/>
      <c r="F9993" s="18"/>
    </row>
    <row r="9994" spans="5:6" ht="15" customHeight="1" x14ac:dyDescent="0.2">
      <c r="E9994" s="18"/>
      <c r="F9994" s="18"/>
    </row>
    <row r="9995" spans="5:6" ht="15" customHeight="1" x14ac:dyDescent="0.2">
      <c r="E9995" s="18"/>
      <c r="F9995" s="18"/>
    </row>
    <row r="9996" spans="5:6" ht="15" customHeight="1" x14ac:dyDescent="0.2">
      <c r="E9996" s="18"/>
      <c r="F9996" s="18"/>
    </row>
    <row r="9997" spans="5:6" ht="15" customHeight="1" x14ac:dyDescent="0.2">
      <c r="E9997" s="18"/>
      <c r="F9997" s="18"/>
    </row>
    <row r="9998" spans="5:6" ht="15" customHeight="1" x14ac:dyDescent="0.2">
      <c r="E9998" s="18"/>
      <c r="F9998" s="18"/>
    </row>
    <row r="9999" spans="5:6" ht="15" customHeight="1" x14ac:dyDescent="0.2">
      <c r="E9999" s="18"/>
      <c r="F9999" s="18"/>
    </row>
    <row r="10000" spans="5:6" ht="15" customHeight="1" x14ac:dyDescent="0.2">
      <c r="E10000" s="18"/>
      <c r="F10000" s="18"/>
    </row>
    <row r="10001" spans="5:6" ht="15" customHeight="1" x14ac:dyDescent="0.2">
      <c r="E10001" s="18"/>
      <c r="F10001" s="18"/>
    </row>
    <row r="10002" spans="5:6" ht="15" customHeight="1" x14ac:dyDescent="0.2">
      <c r="E10002" s="18"/>
      <c r="F10002" s="18"/>
    </row>
    <row r="10003" spans="5:6" ht="15" customHeight="1" x14ac:dyDescent="0.2">
      <c r="E10003" s="18"/>
      <c r="F10003" s="18"/>
    </row>
    <row r="10004" spans="5:6" ht="15" customHeight="1" x14ac:dyDescent="0.2">
      <c r="E10004" s="18"/>
      <c r="F10004" s="18"/>
    </row>
    <row r="10005" spans="5:6" ht="15" customHeight="1" x14ac:dyDescent="0.2">
      <c r="E10005" s="18"/>
      <c r="F10005" s="18"/>
    </row>
    <row r="10006" spans="5:6" ht="15" customHeight="1" x14ac:dyDescent="0.2">
      <c r="E10006" s="18"/>
      <c r="F10006" s="18"/>
    </row>
    <row r="10007" spans="5:6" ht="15" customHeight="1" x14ac:dyDescent="0.2">
      <c r="E10007" s="18"/>
      <c r="F10007" s="18"/>
    </row>
    <row r="10008" spans="5:6" ht="15" customHeight="1" x14ac:dyDescent="0.2">
      <c r="E10008" s="18"/>
      <c r="F10008" s="18"/>
    </row>
    <row r="10009" spans="5:6" ht="15" customHeight="1" x14ac:dyDescent="0.2">
      <c r="E10009" s="18"/>
      <c r="F10009" s="18"/>
    </row>
    <row r="10010" spans="5:6" ht="15" customHeight="1" x14ac:dyDescent="0.2">
      <c r="E10010" s="18"/>
      <c r="F10010" s="18"/>
    </row>
    <row r="10011" spans="5:6" ht="15" customHeight="1" x14ac:dyDescent="0.2">
      <c r="E10011" s="18"/>
      <c r="F10011" s="18"/>
    </row>
    <row r="10012" spans="5:6" ht="15" customHeight="1" x14ac:dyDescent="0.2">
      <c r="E10012" s="18"/>
      <c r="F10012" s="18"/>
    </row>
    <row r="10013" spans="5:6" ht="15" customHeight="1" x14ac:dyDescent="0.2">
      <c r="E10013" s="18"/>
      <c r="F10013" s="18"/>
    </row>
    <row r="10014" spans="5:6" ht="15" customHeight="1" x14ac:dyDescent="0.2">
      <c r="E10014" s="18"/>
      <c r="F10014" s="18"/>
    </row>
    <row r="10015" spans="5:6" ht="15" customHeight="1" x14ac:dyDescent="0.2">
      <c r="E10015" s="18"/>
      <c r="F10015" s="18"/>
    </row>
    <row r="10016" spans="5:6" ht="15" customHeight="1" x14ac:dyDescent="0.2">
      <c r="E10016" s="18"/>
      <c r="F10016" s="18"/>
    </row>
    <row r="10017" spans="5:6" ht="15" customHeight="1" x14ac:dyDescent="0.2">
      <c r="E10017" s="18"/>
      <c r="F10017" s="18"/>
    </row>
    <row r="10018" spans="5:6" ht="15" customHeight="1" x14ac:dyDescent="0.2">
      <c r="E10018" s="18"/>
      <c r="F10018" s="18"/>
    </row>
    <row r="10019" spans="5:6" ht="15" customHeight="1" x14ac:dyDescent="0.2">
      <c r="E10019" s="18"/>
      <c r="F10019" s="18"/>
    </row>
    <row r="10020" spans="5:6" ht="15" customHeight="1" x14ac:dyDescent="0.2">
      <c r="E10020" s="18"/>
      <c r="F10020" s="18"/>
    </row>
    <row r="10021" spans="5:6" ht="15" customHeight="1" x14ac:dyDescent="0.2">
      <c r="E10021" s="18"/>
      <c r="F10021" s="18"/>
    </row>
    <row r="10022" spans="5:6" ht="15" customHeight="1" x14ac:dyDescent="0.2">
      <c r="E10022" s="18"/>
      <c r="F10022" s="18"/>
    </row>
    <row r="10023" spans="5:6" ht="15" customHeight="1" x14ac:dyDescent="0.2">
      <c r="E10023" s="18"/>
      <c r="F10023" s="18"/>
    </row>
    <row r="10024" spans="5:6" ht="15" customHeight="1" x14ac:dyDescent="0.2">
      <c r="E10024" s="18"/>
      <c r="F10024" s="18"/>
    </row>
    <row r="10025" spans="5:6" ht="15" customHeight="1" x14ac:dyDescent="0.2">
      <c r="E10025" s="18"/>
      <c r="F10025" s="18"/>
    </row>
    <row r="10026" spans="5:6" ht="15" customHeight="1" x14ac:dyDescent="0.2">
      <c r="E10026" s="18"/>
      <c r="F10026" s="18"/>
    </row>
    <row r="10027" spans="5:6" ht="15" customHeight="1" x14ac:dyDescent="0.2">
      <c r="E10027" s="18"/>
      <c r="F10027" s="18"/>
    </row>
    <row r="10028" spans="5:6" ht="15" customHeight="1" x14ac:dyDescent="0.2">
      <c r="E10028" s="18"/>
      <c r="F10028" s="18"/>
    </row>
    <row r="10029" spans="5:6" ht="15" customHeight="1" x14ac:dyDescent="0.2">
      <c r="E10029" s="18"/>
      <c r="F10029" s="18"/>
    </row>
    <row r="10030" spans="5:6" ht="15" customHeight="1" x14ac:dyDescent="0.2">
      <c r="E10030" s="18"/>
      <c r="F10030" s="18"/>
    </row>
    <row r="10031" spans="5:6" ht="15" customHeight="1" x14ac:dyDescent="0.2">
      <c r="E10031" s="18"/>
      <c r="F10031" s="18"/>
    </row>
    <row r="10032" spans="5:6" ht="15" customHeight="1" x14ac:dyDescent="0.2">
      <c r="E10032" s="18"/>
      <c r="F10032" s="18"/>
    </row>
    <row r="10033" spans="5:6" ht="15" customHeight="1" x14ac:dyDescent="0.2">
      <c r="E10033" s="18"/>
      <c r="F10033" s="18"/>
    </row>
    <row r="10034" spans="5:6" ht="15" customHeight="1" x14ac:dyDescent="0.2">
      <c r="E10034" s="18"/>
      <c r="F10034" s="18"/>
    </row>
    <row r="10035" spans="5:6" ht="15" customHeight="1" x14ac:dyDescent="0.2">
      <c r="E10035" s="18"/>
      <c r="F10035" s="18"/>
    </row>
    <row r="10036" spans="5:6" ht="15" customHeight="1" x14ac:dyDescent="0.2">
      <c r="E10036" s="18"/>
      <c r="F10036" s="18"/>
    </row>
    <row r="10037" spans="5:6" ht="15" customHeight="1" x14ac:dyDescent="0.2">
      <c r="E10037" s="18"/>
      <c r="F10037" s="18"/>
    </row>
    <row r="10038" spans="5:6" ht="15" customHeight="1" x14ac:dyDescent="0.2">
      <c r="E10038" s="18"/>
      <c r="F10038" s="18"/>
    </row>
    <row r="10039" spans="5:6" ht="15" customHeight="1" x14ac:dyDescent="0.2">
      <c r="E10039" s="18"/>
      <c r="F10039" s="18"/>
    </row>
    <row r="10040" spans="5:6" ht="15" customHeight="1" x14ac:dyDescent="0.2">
      <c r="E10040" s="18"/>
      <c r="F10040" s="18"/>
    </row>
    <row r="10041" spans="5:6" ht="15" customHeight="1" x14ac:dyDescent="0.2">
      <c r="E10041" s="18"/>
      <c r="F10041" s="18"/>
    </row>
    <row r="10042" spans="5:6" ht="15" customHeight="1" x14ac:dyDescent="0.2">
      <c r="E10042" s="18"/>
      <c r="F10042" s="18"/>
    </row>
    <row r="10043" spans="5:6" ht="15" customHeight="1" x14ac:dyDescent="0.2">
      <c r="E10043" s="18"/>
      <c r="F10043" s="18"/>
    </row>
    <row r="10044" spans="5:6" ht="15" customHeight="1" x14ac:dyDescent="0.2">
      <c r="E10044" s="18"/>
      <c r="F10044" s="18"/>
    </row>
    <row r="10045" spans="5:6" ht="15" customHeight="1" x14ac:dyDescent="0.2">
      <c r="E10045" s="18"/>
      <c r="F10045" s="18"/>
    </row>
    <row r="10046" spans="5:6" ht="15" customHeight="1" x14ac:dyDescent="0.2">
      <c r="E10046" s="18"/>
      <c r="F10046" s="18"/>
    </row>
    <row r="10047" spans="5:6" ht="15" customHeight="1" x14ac:dyDescent="0.2">
      <c r="E10047" s="18"/>
      <c r="F10047" s="18"/>
    </row>
    <row r="10048" spans="5:6" ht="15" customHeight="1" x14ac:dyDescent="0.2">
      <c r="E10048" s="18"/>
      <c r="F10048" s="18"/>
    </row>
    <row r="10049" spans="5:6" ht="15" customHeight="1" x14ac:dyDescent="0.2">
      <c r="E10049" s="18"/>
      <c r="F10049" s="18"/>
    </row>
    <row r="10050" spans="5:6" ht="15" customHeight="1" x14ac:dyDescent="0.2">
      <c r="E10050" s="18"/>
      <c r="F10050" s="18"/>
    </row>
    <row r="10051" spans="5:6" ht="15" customHeight="1" x14ac:dyDescent="0.2">
      <c r="E10051" s="18"/>
      <c r="F10051" s="18"/>
    </row>
    <row r="10052" spans="5:6" ht="15" customHeight="1" x14ac:dyDescent="0.2">
      <c r="E10052" s="18"/>
      <c r="F10052" s="18"/>
    </row>
    <row r="10053" spans="5:6" ht="15" customHeight="1" x14ac:dyDescent="0.2">
      <c r="E10053" s="18"/>
      <c r="F10053" s="18"/>
    </row>
    <row r="10054" spans="5:6" ht="15" customHeight="1" x14ac:dyDescent="0.2">
      <c r="E10054" s="18"/>
      <c r="F10054" s="18"/>
    </row>
    <row r="10055" spans="5:6" ht="15" customHeight="1" x14ac:dyDescent="0.2">
      <c r="E10055" s="18"/>
      <c r="F10055" s="18"/>
    </row>
    <row r="10056" spans="5:6" ht="15" customHeight="1" x14ac:dyDescent="0.2">
      <c r="E10056" s="18"/>
      <c r="F10056" s="18"/>
    </row>
    <row r="10057" spans="5:6" ht="15" customHeight="1" x14ac:dyDescent="0.2">
      <c r="E10057" s="18"/>
      <c r="F10057" s="18"/>
    </row>
    <row r="10058" spans="5:6" ht="15" customHeight="1" x14ac:dyDescent="0.2">
      <c r="E10058" s="18"/>
      <c r="F10058" s="18"/>
    </row>
    <row r="10059" spans="5:6" ht="15" customHeight="1" x14ac:dyDescent="0.2">
      <c r="E10059" s="18"/>
      <c r="F10059" s="18"/>
    </row>
    <row r="10060" spans="5:6" ht="15" customHeight="1" x14ac:dyDescent="0.2">
      <c r="E10060" s="18"/>
      <c r="F10060" s="18"/>
    </row>
    <row r="10061" spans="5:6" ht="15" customHeight="1" x14ac:dyDescent="0.2">
      <c r="E10061" s="18"/>
      <c r="F10061" s="18"/>
    </row>
    <row r="10062" spans="5:6" ht="15" customHeight="1" x14ac:dyDescent="0.2">
      <c r="E10062" s="18"/>
      <c r="F10062" s="18"/>
    </row>
    <row r="10063" spans="5:6" ht="15" customHeight="1" x14ac:dyDescent="0.2">
      <c r="E10063" s="18"/>
      <c r="F10063" s="18"/>
    </row>
    <row r="10064" spans="5:6" ht="15" customHeight="1" x14ac:dyDescent="0.2">
      <c r="E10064" s="18"/>
      <c r="F10064" s="18"/>
    </row>
    <row r="10065" spans="5:6" ht="15" customHeight="1" x14ac:dyDescent="0.2">
      <c r="E10065" s="18"/>
      <c r="F10065" s="18"/>
    </row>
    <row r="10066" spans="5:6" ht="15" customHeight="1" x14ac:dyDescent="0.2">
      <c r="E10066" s="18"/>
      <c r="F10066" s="18"/>
    </row>
    <row r="10067" spans="5:6" ht="15" customHeight="1" x14ac:dyDescent="0.2">
      <c r="E10067" s="18"/>
      <c r="F10067" s="18"/>
    </row>
    <row r="10068" spans="5:6" ht="15" customHeight="1" x14ac:dyDescent="0.2">
      <c r="E10068" s="18"/>
      <c r="F10068" s="18"/>
    </row>
    <row r="10069" spans="5:6" ht="15" customHeight="1" x14ac:dyDescent="0.2">
      <c r="E10069" s="18"/>
      <c r="F10069" s="18"/>
    </row>
    <row r="10070" spans="5:6" ht="15" customHeight="1" x14ac:dyDescent="0.2">
      <c r="E10070" s="18"/>
      <c r="F10070" s="18"/>
    </row>
    <row r="10071" spans="5:6" ht="15" customHeight="1" x14ac:dyDescent="0.2">
      <c r="E10071" s="18"/>
      <c r="F10071" s="18"/>
    </row>
    <row r="10072" spans="5:6" ht="15" customHeight="1" x14ac:dyDescent="0.2">
      <c r="E10072" s="18"/>
      <c r="F10072" s="18"/>
    </row>
    <row r="10073" spans="5:6" ht="15" customHeight="1" x14ac:dyDescent="0.2">
      <c r="E10073" s="18"/>
      <c r="F10073" s="18"/>
    </row>
    <row r="10074" spans="5:6" ht="15" customHeight="1" x14ac:dyDescent="0.2">
      <c r="E10074" s="18"/>
      <c r="F10074" s="18"/>
    </row>
    <row r="10075" spans="5:6" ht="15" customHeight="1" x14ac:dyDescent="0.2">
      <c r="E10075" s="18"/>
      <c r="F10075" s="18"/>
    </row>
    <row r="10076" spans="5:6" ht="15" customHeight="1" x14ac:dyDescent="0.2">
      <c r="E10076" s="18"/>
      <c r="F10076" s="18"/>
    </row>
    <row r="10077" spans="5:6" ht="15" customHeight="1" x14ac:dyDescent="0.2">
      <c r="E10077" s="18"/>
      <c r="F10077" s="18"/>
    </row>
    <row r="10078" spans="5:6" ht="15" customHeight="1" x14ac:dyDescent="0.2">
      <c r="E10078" s="18"/>
      <c r="F10078" s="18"/>
    </row>
    <row r="10079" spans="5:6" ht="15" customHeight="1" x14ac:dyDescent="0.2">
      <c r="E10079" s="18"/>
      <c r="F10079" s="18"/>
    </row>
    <row r="10080" spans="5:6" ht="15" customHeight="1" x14ac:dyDescent="0.2">
      <c r="E10080" s="18"/>
      <c r="F10080" s="18"/>
    </row>
    <row r="10081" spans="5:6" ht="15" customHeight="1" x14ac:dyDescent="0.2">
      <c r="E10081" s="18"/>
      <c r="F10081" s="18"/>
    </row>
    <row r="10082" spans="5:6" ht="15" customHeight="1" x14ac:dyDescent="0.2">
      <c r="E10082" s="18"/>
      <c r="F10082" s="18"/>
    </row>
    <row r="10083" spans="5:6" ht="15" customHeight="1" x14ac:dyDescent="0.2">
      <c r="E10083" s="18"/>
      <c r="F10083" s="18"/>
    </row>
    <row r="10084" spans="5:6" ht="15" customHeight="1" x14ac:dyDescent="0.2">
      <c r="E10084" s="18"/>
      <c r="F10084" s="18"/>
    </row>
    <row r="10085" spans="5:6" ht="15" customHeight="1" x14ac:dyDescent="0.2">
      <c r="E10085" s="18"/>
      <c r="F10085" s="18"/>
    </row>
    <row r="10086" spans="5:6" ht="15" customHeight="1" x14ac:dyDescent="0.2">
      <c r="E10086" s="18"/>
      <c r="F10086" s="18"/>
    </row>
    <row r="10087" spans="5:6" ht="15" customHeight="1" x14ac:dyDescent="0.2">
      <c r="E10087" s="18"/>
      <c r="F10087" s="18"/>
    </row>
    <row r="10088" spans="5:6" ht="15" customHeight="1" x14ac:dyDescent="0.2">
      <c r="E10088" s="18"/>
      <c r="F10088" s="18"/>
    </row>
    <row r="10089" spans="5:6" ht="15" customHeight="1" x14ac:dyDescent="0.2">
      <c r="E10089" s="18"/>
      <c r="F10089" s="18"/>
    </row>
    <row r="10090" spans="5:6" ht="15" customHeight="1" x14ac:dyDescent="0.2">
      <c r="E10090" s="18"/>
      <c r="F10090" s="18"/>
    </row>
    <row r="10091" spans="5:6" ht="15" customHeight="1" x14ac:dyDescent="0.2">
      <c r="E10091" s="18"/>
      <c r="F10091" s="18"/>
    </row>
    <row r="10092" spans="5:6" ht="15" customHeight="1" x14ac:dyDescent="0.2">
      <c r="E10092" s="18"/>
      <c r="F10092" s="18"/>
    </row>
    <row r="10093" spans="5:6" ht="15" customHeight="1" x14ac:dyDescent="0.2">
      <c r="E10093" s="18"/>
      <c r="F10093" s="18"/>
    </row>
    <row r="10094" spans="5:6" ht="15" customHeight="1" x14ac:dyDescent="0.2">
      <c r="E10094" s="18"/>
      <c r="F10094" s="18"/>
    </row>
    <row r="10095" spans="5:6" ht="15" customHeight="1" x14ac:dyDescent="0.2">
      <c r="E10095" s="18"/>
      <c r="F10095" s="18"/>
    </row>
    <row r="10096" spans="5:6" ht="15" customHeight="1" x14ac:dyDescent="0.2">
      <c r="E10096" s="18"/>
      <c r="F10096" s="18"/>
    </row>
    <row r="10097" spans="5:6" ht="15" customHeight="1" x14ac:dyDescent="0.2">
      <c r="E10097" s="18"/>
      <c r="F10097" s="18"/>
    </row>
    <row r="10098" spans="5:6" ht="15" customHeight="1" x14ac:dyDescent="0.2">
      <c r="E10098" s="18"/>
      <c r="F10098" s="18"/>
    </row>
    <row r="10099" spans="5:6" ht="15" customHeight="1" x14ac:dyDescent="0.2">
      <c r="E10099" s="18"/>
      <c r="F10099" s="18"/>
    </row>
    <row r="10100" spans="5:6" ht="15" customHeight="1" x14ac:dyDescent="0.2">
      <c r="E10100" s="18"/>
      <c r="F10100" s="18"/>
    </row>
    <row r="10101" spans="5:6" ht="15" customHeight="1" x14ac:dyDescent="0.2">
      <c r="E10101" s="18"/>
      <c r="F10101" s="18"/>
    </row>
    <row r="10102" spans="5:6" ht="15" customHeight="1" x14ac:dyDescent="0.2">
      <c r="E10102" s="18"/>
      <c r="F10102" s="18"/>
    </row>
    <row r="10103" spans="5:6" ht="15" customHeight="1" x14ac:dyDescent="0.2">
      <c r="E10103" s="18"/>
      <c r="F10103" s="18"/>
    </row>
    <row r="10104" spans="5:6" ht="15" customHeight="1" x14ac:dyDescent="0.2">
      <c r="E10104" s="18"/>
      <c r="F10104" s="18"/>
    </row>
    <row r="10105" spans="5:6" ht="15" customHeight="1" x14ac:dyDescent="0.2">
      <c r="E10105" s="18"/>
      <c r="F10105" s="18"/>
    </row>
    <row r="10106" spans="5:6" ht="15" customHeight="1" x14ac:dyDescent="0.2">
      <c r="E10106" s="18"/>
      <c r="F10106" s="18"/>
    </row>
    <row r="10107" spans="5:6" ht="15" customHeight="1" x14ac:dyDescent="0.2">
      <c r="E10107" s="18"/>
      <c r="F10107" s="18"/>
    </row>
    <row r="10108" spans="5:6" ht="15" customHeight="1" x14ac:dyDescent="0.2">
      <c r="E10108" s="18"/>
      <c r="F10108" s="18"/>
    </row>
    <row r="10109" spans="5:6" ht="15" customHeight="1" x14ac:dyDescent="0.2">
      <c r="E10109" s="18"/>
      <c r="F10109" s="18"/>
    </row>
    <row r="10110" spans="5:6" ht="15" customHeight="1" x14ac:dyDescent="0.2">
      <c r="E10110" s="18"/>
      <c r="F10110" s="18"/>
    </row>
    <row r="10111" spans="5:6" ht="15" customHeight="1" x14ac:dyDescent="0.2">
      <c r="E10111" s="18"/>
      <c r="F10111" s="18"/>
    </row>
    <row r="10112" spans="5:6" ht="15" customHeight="1" x14ac:dyDescent="0.2">
      <c r="E10112" s="18"/>
      <c r="F10112" s="18"/>
    </row>
    <row r="10113" spans="5:6" ht="15" customHeight="1" x14ac:dyDescent="0.2">
      <c r="E10113" s="18"/>
      <c r="F10113" s="18"/>
    </row>
    <row r="10114" spans="5:6" ht="15" customHeight="1" x14ac:dyDescent="0.2">
      <c r="E10114" s="18"/>
      <c r="F10114" s="18"/>
    </row>
    <row r="10115" spans="5:6" ht="15" customHeight="1" x14ac:dyDescent="0.2">
      <c r="E10115" s="18"/>
      <c r="F10115" s="18"/>
    </row>
    <row r="10116" spans="5:6" ht="15" customHeight="1" x14ac:dyDescent="0.2">
      <c r="E10116" s="18"/>
      <c r="F10116" s="18"/>
    </row>
    <row r="10117" spans="5:6" ht="15" customHeight="1" x14ac:dyDescent="0.2">
      <c r="E10117" s="18"/>
      <c r="F10117" s="18"/>
    </row>
    <row r="10118" spans="5:6" ht="15" customHeight="1" x14ac:dyDescent="0.2">
      <c r="E10118" s="18"/>
      <c r="F10118" s="18"/>
    </row>
    <row r="10119" spans="5:6" ht="15" customHeight="1" x14ac:dyDescent="0.2">
      <c r="E10119" s="18"/>
      <c r="F10119" s="18"/>
    </row>
    <row r="10120" spans="5:6" ht="15" customHeight="1" x14ac:dyDescent="0.2">
      <c r="E10120" s="18"/>
      <c r="F10120" s="18"/>
    </row>
    <row r="10121" spans="5:6" ht="15" customHeight="1" x14ac:dyDescent="0.2">
      <c r="E10121" s="18"/>
      <c r="F10121" s="18"/>
    </row>
    <row r="10122" spans="5:6" ht="15" customHeight="1" x14ac:dyDescent="0.2">
      <c r="E10122" s="18"/>
      <c r="F10122" s="18"/>
    </row>
    <row r="10123" spans="5:6" ht="15" customHeight="1" x14ac:dyDescent="0.2">
      <c r="E10123" s="18"/>
      <c r="F10123" s="18"/>
    </row>
    <row r="10124" spans="5:6" ht="15" customHeight="1" x14ac:dyDescent="0.2">
      <c r="E10124" s="18"/>
      <c r="F10124" s="18"/>
    </row>
    <row r="10125" spans="5:6" ht="15" customHeight="1" x14ac:dyDescent="0.2">
      <c r="E10125" s="18"/>
      <c r="F10125" s="18"/>
    </row>
    <row r="10126" spans="5:6" ht="15" customHeight="1" x14ac:dyDescent="0.2">
      <c r="E10126" s="18"/>
      <c r="F10126" s="18"/>
    </row>
    <row r="10127" spans="5:6" ht="15" customHeight="1" x14ac:dyDescent="0.2">
      <c r="E10127" s="18"/>
      <c r="F10127" s="18"/>
    </row>
    <row r="10128" spans="5:6" ht="15" customHeight="1" x14ac:dyDescent="0.2">
      <c r="E10128" s="18"/>
      <c r="F10128" s="18"/>
    </row>
    <row r="10129" spans="5:6" ht="15" customHeight="1" x14ac:dyDescent="0.2">
      <c r="E10129" s="18"/>
      <c r="F10129" s="18"/>
    </row>
    <row r="10130" spans="5:6" ht="15" customHeight="1" x14ac:dyDescent="0.2">
      <c r="E10130" s="18"/>
      <c r="F10130" s="18"/>
    </row>
    <row r="10131" spans="5:6" ht="15" customHeight="1" x14ac:dyDescent="0.2">
      <c r="E10131" s="18"/>
      <c r="F10131" s="18"/>
    </row>
    <row r="10132" spans="5:6" ht="15" customHeight="1" x14ac:dyDescent="0.2">
      <c r="E10132" s="18"/>
      <c r="F10132" s="18"/>
    </row>
    <row r="10133" spans="5:6" ht="15" customHeight="1" x14ac:dyDescent="0.2">
      <c r="E10133" s="18"/>
      <c r="F10133" s="18"/>
    </row>
    <row r="10134" spans="5:6" ht="15" customHeight="1" x14ac:dyDescent="0.2">
      <c r="E10134" s="18"/>
      <c r="F10134" s="18"/>
    </row>
    <row r="10135" spans="5:6" ht="15" customHeight="1" x14ac:dyDescent="0.2">
      <c r="E10135" s="18"/>
      <c r="F10135" s="18"/>
    </row>
    <row r="10136" spans="5:6" ht="15" customHeight="1" x14ac:dyDescent="0.2">
      <c r="E10136" s="18"/>
      <c r="F10136" s="18"/>
    </row>
    <row r="10137" spans="5:6" ht="15" customHeight="1" x14ac:dyDescent="0.2">
      <c r="E10137" s="18"/>
      <c r="F10137" s="18"/>
    </row>
    <row r="10138" spans="5:6" ht="15" customHeight="1" x14ac:dyDescent="0.2">
      <c r="E10138" s="18"/>
      <c r="F10138" s="18"/>
    </row>
    <row r="10139" spans="5:6" ht="15" customHeight="1" x14ac:dyDescent="0.2">
      <c r="E10139" s="18"/>
      <c r="F10139" s="18"/>
    </row>
    <row r="10140" spans="5:6" ht="15" customHeight="1" x14ac:dyDescent="0.2">
      <c r="E10140" s="18"/>
      <c r="F10140" s="18"/>
    </row>
    <row r="10141" spans="5:6" ht="15" customHeight="1" x14ac:dyDescent="0.2">
      <c r="E10141" s="18"/>
      <c r="F10141" s="18"/>
    </row>
    <row r="10142" spans="5:6" ht="15" customHeight="1" x14ac:dyDescent="0.2">
      <c r="E10142" s="18"/>
      <c r="F10142" s="18"/>
    </row>
    <row r="10143" spans="5:6" ht="15" customHeight="1" x14ac:dyDescent="0.2">
      <c r="E10143" s="18"/>
      <c r="F10143" s="18"/>
    </row>
    <row r="10144" spans="5:6" ht="15" customHeight="1" x14ac:dyDescent="0.2">
      <c r="E10144" s="18"/>
      <c r="F10144" s="18"/>
    </row>
    <row r="10145" spans="5:6" ht="15" customHeight="1" x14ac:dyDescent="0.2">
      <c r="E10145" s="18"/>
      <c r="F10145" s="18"/>
    </row>
    <row r="10146" spans="5:6" ht="15" customHeight="1" x14ac:dyDescent="0.2">
      <c r="E10146" s="18"/>
      <c r="F10146" s="18"/>
    </row>
    <row r="10147" spans="5:6" ht="15" customHeight="1" x14ac:dyDescent="0.2">
      <c r="E10147" s="18"/>
      <c r="F10147" s="18"/>
    </row>
    <row r="10148" spans="5:6" ht="15" customHeight="1" x14ac:dyDescent="0.2">
      <c r="E10148" s="18"/>
      <c r="F10148" s="18"/>
    </row>
    <row r="10149" spans="5:6" ht="15" customHeight="1" x14ac:dyDescent="0.2">
      <c r="E10149" s="18"/>
      <c r="F10149" s="18"/>
    </row>
    <row r="10150" spans="5:6" ht="15" customHeight="1" x14ac:dyDescent="0.2">
      <c r="E10150" s="18"/>
      <c r="F10150" s="18"/>
    </row>
    <row r="10151" spans="5:6" ht="15" customHeight="1" x14ac:dyDescent="0.2">
      <c r="E10151" s="18"/>
      <c r="F10151" s="18"/>
    </row>
    <row r="10152" spans="5:6" ht="15" customHeight="1" x14ac:dyDescent="0.2">
      <c r="E10152" s="18"/>
      <c r="F10152" s="18"/>
    </row>
    <row r="10153" spans="5:6" ht="15" customHeight="1" x14ac:dyDescent="0.2">
      <c r="E10153" s="18"/>
      <c r="F10153" s="18"/>
    </row>
    <row r="10154" spans="5:6" ht="15" customHeight="1" x14ac:dyDescent="0.2">
      <c r="E10154" s="18"/>
      <c r="F10154" s="18"/>
    </row>
    <row r="10155" spans="5:6" ht="15" customHeight="1" x14ac:dyDescent="0.2">
      <c r="E10155" s="18"/>
      <c r="F10155" s="18"/>
    </row>
    <row r="10156" spans="5:6" ht="15" customHeight="1" x14ac:dyDescent="0.2">
      <c r="E10156" s="18"/>
      <c r="F10156" s="18"/>
    </row>
    <row r="10157" spans="5:6" ht="15" customHeight="1" x14ac:dyDescent="0.2">
      <c r="E10157" s="18"/>
      <c r="F10157" s="18"/>
    </row>
    <row r="10158" spans="5:6" ht="15" customHeight="1" x14ac:dyDescent="0.2">
      <c r="E10158" s="18"/>
      <c r="F10158" s="18"/>
    </row>
    <row r="10159" spans="5:6" ht="15" customHeight="1" x14ac:dyDescent="0.2">
      <c r="E10159" s="18"/>
      <c r="F10159" s="18"/>
    </row>
    <row r="10160" spans="5:6" ht="15" customHeight="1" x14ac:dyDescent="0.2">
      <c r="E10160" s="18"/>
      <c r="F10160" s="18"/>
    </row>
    <row r="10161" spans="5:6" ht="15" customHeight="1" x14ac:dyDescent="0.2">
      <c r="E10161" s="18"/>
      <c r="F10161" s="18"/>
    </row>
    <row r="10162" spans="5:6" ht="15" customHeight="1" x14ac:dyDescent="0.2">
      <c r="E10162" s="18"/>
      <c r="F10162" s="18"/>
    </row>
    <row r="10163" spans="5:6" ht="15" customHeight="1" x14ac:dyDescent="0.2">
      <c r="E10163" s="18"/>
      <c r="F10163" s="18"/>
    </row>
    <row r="10164" spans="5:6" ht="15" customHeight="1" x14ac:dyDescent="0.2">
      <c r="E10164" s="18"/>
      <c r="F10164" s="18"/>
    </row>
    <row r="10165" spans="5:6" ht="15" customHeight="1" x14ac:dyDescent="0.2">
      <c r="E10165" s="18"/>
      <c r="F10165" s="18"/>
    </row>
    <row r="10166" spans="5:6" ht="15" customHeight="1" x14ac:dyDescent="0.2">
      <c r="E10166" s="18"/>
      <c r="F10166" s="18"/>
    </row>
    <row r="10167" spans="5:6" ht="15" customHeight="1" x14ac:dyDescent="0.2">
      <c r="E10167" s="18"/>
      <c r="F10167" s="18"/>
    </row>
    <row r="10168" spans="5:6" ht="15" customHeight="1" x14ac:dyDescent="0.2">
      <c r="E10168" s="18"/>
      <c r="F10168" s="18"/>
    </row>
    <row r="10169" spans="5:6" ht="15" customHeight="1" x14ac:dyDescent="0.2">
      <c r="E10169" s="18"/>
      <c r="F10169" s="18"/>
    </row>
    <row r="10170" spans="5:6" ht="15" customHeight="1" x14ac:dyDescent="0.2">
      <c r="E10170" s="18"/>
      <c r="F10170" s="18"/>
    </row>
    <row r="10171" spans="5:6" ht="15" customHeight="1" x14ac:dyDescent="0.2">
      <c r="E10171" s="18"/>
      <c r="F10171" s="18"/>
    </row>
    <row r="10172" spans="5:6" ht="15" customHeight="1" x14ac:dyDescent="0.2">
      <c r="E10172" s="18"/>
      <c r="F10172" s="18"/>
    </row>
    <row r="10173" spans="5:6" ht="15" customHeight="1" x14ac:dyDescent="0.2">
      <c r="E10173" s="18"/>
      <c r="F10173" s="18"/>
    </row>
    <row r="10174" spans="5:6" ht="15" customHeight="1" x14ac:dyDescent="0.2">
      <c r="E10174" s="18"/>
      <c r="F10174" s="18"/>
    </row>
    <row r="10175" spans="5:6" ht="15" customHeight="1" x14ac:dyDescent="0.2">
      <c r="E10175" s="18"/>
      <c r="F10175" s="18"/>
    </row>
    <row r="10176" spans="5:6" ht="15" customHeight="1" x14ac:dyDescent="0.2">
      <c r="E10176" s="18"/>
      <c r="F10176" s="18"/>
    </row>
    <row r="10177" spans="5:6" ht="15" customHeight="1" x14ac:dyDescent="0.2">
      <c r="E10177" s="18"/>
      <c r="F10177" s="18"/>
    </row>
    <row r="10178" spans="5:6" ht="15" customHeight="1" x14ac:dyDescent="0.2">
      <c r="E10178" s="18"/>
      <c r="F10178" s="18"/>
    </row>
    <row r="10179" spans="5:6" ht="15" customHeight="1" x14ac:dyDescent="0.2">
      <c r="E10179" s="18"/>
      <c r="F10179" s="18"/>
    </row>
    <row r="10180" spans="5:6" ht="15" customHeight="1" x14ac:dyDescent="0.2">
      <c r="E10180" s="18"/>
      <c r="F10180" s="18"/>
    </row>
    <row r="10181" spans="5:6" ht="15" customHeight="1" x14ac:dyDescent="0.2">
      <c r="E10181" s="18"/>
      <c r="F10181" s="18"/>
    </row>
    <row r="10182" spans="5:6" ht="15" customHeight="1" x14ac:dyDescent="0.2">
      <c r="E10182" s="18"/>
      <c r="F10182" s="18"/>
    </row>
    <row r="10183" spans="5:6" ht="15" customHeight="1" x14ac:dyDescent="0.2">
      <c r="E10183" s="18"/>
      <c r="F10183" s="18"/>
    </row>
    <row r="10184" spans="5:6" ht="15" customHeight="1" x14ac:dyDescent="0.2">
      <c r="E10184" s="18"/>
      <c r="F10184" s="18"/>
    </row>
    <row r="10185" spans="5:6" ht="15" customHeight="1" x14ac:dyDescent="0.2">
      <c r="E10185" s="18"/>
      <c r="F10185" s="18"/>
    </row>
    <row r="10186" spans="5:6" ht="15" customHeight="1" x14ac:dyDescent="0.2">
      <c r="E10186" s="18"/>
      <c r="F10186" s="18"/>
    </row>
    <row r="10187" spans="5:6" ht="15" customHeight="1" x14ac:dyDescent="0.2">
      <c r="E10187" s="18"/>
      <c r="F10187" s="18"/>
    </row>
    <row r="10188" spans="5:6" ht="15" customHeight="1" x14ac:dyDescent="0.2">
      <c r="E10188" s="18"/>
      <c r="F10188" s="18"/>
    </row>
    <row r="10189" spans="5:6" ht="15" customHeight="1" x14ac:dyDescent="0.2">
      <c r="E10189" s="18"/>
      <c r="F10189" s="18"/>
    </row>
    <row r="10190" spans="5:6" ht="15" customHeight="1" x14ac:dyDescent="0.2">
      <c r="E10190" s="18"/>
      <c r="F10190" s="18"/>
    </row>
    <row r="10191" spans="5:6" ht="15" customHeight="1" x14ac:dyDescent="0.2">
      <c r="E10191" s="18"/>
      <c r="F10191" s="18"/>
    </row>
    <row r="10192" spans="5:6" ht="15" customHeight="1" x14ac:dyDescent="0.2">
      <c r="E10192" s="18"/>
      <c r="F10192" s="18"/>
    </row>
    <row r="10193" spans="5:6" ht="15" customHeight="1" x14ac:dyDescent="0.2">
      <c r="E10193" s="18"/>
      <c r="F10193" s="18"/>
    </row>
    <row r="10194" spans="5:6" ht="15" customHeight="1" x14ac:dyDescent="0.2">
      <c r="E10194" s="18"/>
      <c r="F10194" s="18"/>
    </row>
    <row r="10195" spans="5:6" ht="15" customHeight="1" x14ac:dyDescent="0.2">
      <c r="E10195" s="18"/>
      <c r="F10195" s="18"/>
    </row>
    <row r="10196" spans="5:6" ht="15" customHeight="1" x14ac:dyDescent="0.2">
      <c r="E10196" s="18"/>
      <c r="F10196" s="18"/>
    </row>
    <row r="10197" spans="5:6" ht="15" customHeight="1" x14ac:dyDescent="0.2">
      <c r="E10197" s="18"/>
      <c r="F10197" s="18"/>
    </row>
    <row r="10198" spans="5:6" ht="15" customHeight="1" x14ac:dyDescent="0.2">
      <c r="E10198" s="18"/>
      <c r="F10198" s="18"/>
    </row>
    <row r="10199" spans="5:6" ht="15" customHeight="1" x14ac:dyDescent="0.2">
      <c r="E10199" s="18"/>
      <c r="F10199" s="18"/>
    </row>
    <row r="10200" spans="5:6" ht="15" customHeight="1" x14ac:dyDescent="0.2">
      <c r="E10200" s="18"/>
      <c r="F10200" s="18"/>
    </row>
    <row r="10201" spans="5:6" ht="15" customHeight="1" x14ac:dyDescent="0.2">
      <c r="E10201" s="18"/>
      <c r="F10201" s="18"/>
    </row>
    <row r="10202" spans="5:6" ht="15" customHeight="1" x14ac:dyDescent="0.2">
      <c r="E10202" s="18"/>
      <c r="F10202" s="18"/>
    </row>
    <row r="10203" spans="5:6" ht="15" customHeight="1" x14ac:dyDescent="0.2">
      <c r="E10203" s="18"/>
      <c r="F10203" s="18"/>
    </row>
    <row r="10204" spans="5:6" ht="15" customHeight="1" x14ac:dyDescent="0.2">
      <c r="E10204" s="18"/>
      <c r="F10204" s="18"/>
    </row>
    <row r="10205" spans="5:6" ht="15" customHeight="1" x14ac:dyDescent="0.2">
      <c r="E10205" s="18"/>
      <c r="F10205" s="18"/>
    </row>
    <row r="10206" spans="5:6" ht="15" customHeight="1" x14ac:dyDescent="0.2">
      <c r="E10206" s="18"/>
      <c r="F10206" s="18"/>
    </row>
    <row r="10207" spans="5:6" ht="15" customHeight="1" x14ac:dyDescent="0.2">
      <c r="E10207" s="18"/>
      <c r="F10207" s="18"/>
    </row>
    <row r="10208" spans="5:6" ht="15" customHeight="1" x14ac:dyDescent="0.2">
      <c r="E10208" s="18"/>
      <c r="F10208" s="18"/>
    </row>
    <row r="10209" spans="5:6" ht="15" customHeight="1" x14ac:dyDescent="0.2">
      <c r="E10209" s="18"/>
      <c r="F10209" s="18"/>
    </row>
    <row r="10210" spans="5:6" ht="15" customHeight="1" x14ac:dyDescent="0.2">
      <c r="E10210" s="18"/>
      <c r="F10210" s="18"/>
    </row>
    <row r="10211" spans="5:6" ht="15" customHeight="1" x14ac:dyDescent="0.2">
      <c r="E10211" s="18"/>
      <c r="F10211" s="18"/>
    </row>
    <row r="10212" spans="5:6" ht="15" customHeight="1" x14ac:dyDescent="0.2">
      <c r="E10212" s="18"/>
      <c r="F10212" s="18"/>
    </row>
    <row r="10213" spans="5:6" ht="15" customHeight="1" x14ac:dyDescent="0.2">
      <c r="E10213" s="18"/>
      <c r="F10213" s="18"/>
    </row>
    <row r="10214" spans="5:6" ht="15" customHeight="1" x14ac:dyDescent="0.2">
      <c r="E10214" s="18"/>
      <c r="F10214" s="18"/>
    </row>
    <row r="10215" spans="5:6" ht="15" customHeight="1" x14ac:dyDescent="0.2">
      <c r="E10215" s="18"/>
      <c r="F10215" s="18"/>
    </row>
    <row r="10216" spans="5:6" ht="15" customHeight="1" x14ac:dyDescent="0.2">
      <c r="E10216" s="18"/>
      <c r="F10216" s="18"/>
    </row>
    <row r="10217" spans="5:6" ht="15" customHeight="1" x14ac:dyDescent="0.2">
      <c r="E10217" s="18"/>
      <c r="F10217" s="18"/>
    </row>
    <row r="10218" spans="5:6" ht="15" customHeight="1" x14ac:dyDescent="0.2">
      <c r="E10218" s="18"/>
      <c r="F10218" s="18"/>
    </row>
    <row r="10219" spans="5:6" ht="15" customHeight="1" x14ac:dyDescent="0.2">
      <c r="E10219" s="18"/>
      <c r="F10219" s="18"/>
    </row>
    <row r="10220" spans="5:6" ht="15" customHeight="1" x14ac:dyDescent="0.2">
      <c r="E10220" s="18"/>
      <c r="F10220" s="18"/>
    </row>
    <row r="10221" spans="5:6" ht="15" customHeight="1" x14ac:dyDescent="0.2">
      <c r="E10221" s="18"/>
      <c r="F10221" s="18"/>
    </row>
    <row r="10222" spans="5:6" ht="15" customHeight="1" x14ac:dyDescent="0.2">
      <c r="E10222" s="18"/>
      <c r="F10222" s="18"/>
    </row>
    <row r="10223" spans="5:6" ht="15" customHeight="1" x14ac:dyDescent="0.2">
      <c r="E10223" s="18"/>
      <c r="F10223" s="18"/>
    </row>
    <row r="10224" spans="5:6" ht="15" customHeight="1" x14ac:dyDescent="0.2">
      <c r="E10224" s="18"/>
      <c r="F10224" s="18"/>
    </row>
    <row r="10225" spans="5:6" ht="15" customHeight="1" x14ac:dyDescent="0.2">
      <c r="E10225" s="18"/>
      <c r="F10225" s="18"/>
    </row>
    <row r="10226" spans="5:6" ht="15" customHeight="1" x14ac:dyDescent="0.2">
      <c r="E10226" s="18"/>
      <c r="F10226" s="18"/>
    </row>
    <row r="10227" spans="5:6" ht="15" customHeight="1" x14ac:dyDescent="0.2">
      <c r="E10227" s="18"/>
      <c r="F10227" s="18"/>
    </row>
    <row r="10228" spans="5:6" ht="15" customHeight="1" x14ac:dyDescent="0.2">
      <c r="E10228" s="18"/>
      <c r="F10228" s="18"/>
    </row>
    <row r="10229" spans="5:6" ht="15" customHeight="1" x14ac:dyDescent="0.2">
      <c r="E10229" s="18"/>
      <c r="F10229" s="18"/>
    </row>
    <row r="10230" spans="5:6" ht="15" customHeight="1" x14ac:dyDescent="0.2">
      <c r="E10230" s="18"/>
      <c r="F10230" s="18"/>
    </row>
    <row r="10231" spans="5:6" ht="15" customHeight="1" x14ac:dyDescent="0.2">
      <c r="E10231" s="18"/>
      <c r="F10231" s="18"/>
    </row>
    <row r="10232" spans="5:6" ht="15" customHeight="1" x14ac:dyDescent="0.2">
      <c r="E10232" s="18"/>
      <c r="F10232" s="18"/>
    </row>
    <row r="10233" spans="5:6" ht="15" customHeight="1" x14ac:dyDescent="0.2">
      <c r="E10233" s="18"/>
      <c r="F10233" s="18"/>
    </row>
    <row r="10234" spans="5:6" ht="15" customHeight="1" x14ac:dyDescent="0.2">
      <c r="E10234" s="18"/>
      <c r="F10234" s="18"/>
    </row>
    <row r="10235" spans="5:6" ht="15" customHeight="1" x14ac:dyDescent="0.2">
      <c r="E10235" s="18"/>
      <c r="F10235" s="18"/>
    </row>
    <row r="10236" spans="5:6" ht="15" customHeight="1" x14ac:dyDescent="0.2">
      <c r="E10236" s="18"/>
      <c r="F10236" s="18"/>
    </row>
    <row r="10237" spans="5:6" ht="15" customHeight="1" x14ac:dyDescent="0.2">
      <c r="E10237" s="18"/>
      <c r="F10237" s="18"/>
    </row>
    <row r="10238" spans="5:6" ht="15" customHeight="1" x14ac:dyDescent="0.2">
      <c r="E10238" s="18"/>
      <c r="F10238" s="18"/>
    </row>
    <row r="10239" spans="5:6" ht="15" customHeight="1" x14ac:dyDescent="0.2">
      <c r="E10239" s="18"/>
      <c r="F10239" s="18"/>
    </row>
    <row r="10240" spans="5:6" ht="15" customHeight="1" x14ac:dyDescent="0.2">
      <c r="E10240" s="18"/>
      <c r="F10240" s="18"/>
    </row>
    <row r="10241" spans="5:6" ht="15" customHeight="1" x14ac:dyDescent="0.2">
      <c r="E10241" s="18"/>
      <c r="F10241" s="18"/>
    </row>
    <row r="10242" spans="5:6" ht="15" customHeight="1" x14ac:dyDescent="0.2">
      <c r="E10242" s="18"/>
      <c r="F10242" s="18"/>
    </row>
    <row r="10243" spans="5:6" ht="15" customHeight="1" x14ac:dyDescent="0.2">
      <c r="E10243" s="18"/>
      <c r="F10243" s="18"/>
    </row>
    <row r="10244" spans="5:6" ht="15" customHeight="1" x14ac:dyDescent="0.2">
      <c r="E10244" s="18"/>
      <c r="F10244" s="18"/>
    </row>
    <row r="10245" spans="5:6" ht="15" customHeight="1" x14ac:dyDescent="0.2">
      <c r="E10245" s="18"/>
      <c r="F10245" s="18"/>
    </row>
    <row r="10246" spans="5:6" ht="15" customHeight="1" x14ac:dyDescent="0.2">
      <c r="E10246" s="18"/>
      <c r="F10246" s="18"/>
    </row>
    <row r="10247" spans="5:6" ht="15" customHeight="1" x14ac:dyDescent="0.2">
      <c r="E10247" s="18"/>
      <c r="F10247" s="18"/>
    </row>
    <row r="10248" spans="5:6" ht="15" customHeight="1" x14ac:dyDescent="0.2">
      <c r="E10248" s="18"/>
      <c r="F10248" s="18"/>
    </row>
    <row r="10249" spans="5:6" ht="15" customHeight="1" x14ac:dyDescent="0.2">
      <c r="E10249" s="18"/>
      <c r="F10249" s="18"/>
    </row>
    <row r="10250" spans="5:6" ht="15" customHeight="1" x14ac:dyDescent="0.2">
      <c r="E10250" s="18"/>
      <c r="F10250" s="18"/>
    </row>
    <row r="10251" spans="5:6" ht="15" customHeight="1" x14ac:dyDescent="0.2">
      <c r="E10251" s="18"/>
      <c r="F10251" s="18"/>
    </row>
    <row r="10252" spans="5:6" ht="15" customHeight="1" x14ac:dyDescent="0.2">
      <c r="E10252" s="18"/>
      <c r="F10252" s="18"/>
    </row>
    <row r="10253" spans="5:6" ht="15" customHeight="1" x14ac:dyDescent="0.2">
      <c r="E10253" s="18"/>
      <c r="F10253" s="18"/>
    </row>
    <row r="10254" spans="5:6" ht="15" customHeight="1" x14ac:dyDescent="0.2">
      <c r="E10254" s="18"/>
      <c r="F10254" s="18"/>
    </row>
    <row r="10255" spans="5:6" ht="15" customHeight="1" x14ac:dyDescent="0.2">
      <c r="E10255" s="18"/>
      <c r="F10255" s="18"/>
    </row>
    <row r="10256" spans="5:6" ht="15" customHeight="1" x14ac:dyDescent="0.2">
      <c r="E10256" s="18"/>
      <c r="F10256" s="18"/>
    </row>
    <row r="10257" spans="5:6" ht="15" customHeight="1" x14ac:dyDescent="0.2">
      <c r="E10257" s="18"/>
      <c r="F10257" s="18"/>
    </row>
    <row r="10258" spans="5:6" ht="15" customHeight="1" x14ac:dyDescent="0.2">
      <c r="E10258" s="18"/>
      <c r="F10258" s="18"/>
    </row>
    <row r="10259" spans="5:6" ht="15" customHeight="1" x14ac:dyDescent="0.2">
      <c r="E10259" s="18"/>
      <c r="F10259" s="18"/>
    </row>
    <row r="10260" spans="5:6" ht="15" customHeight="1" x14ac:dyDescent="0.2">
      <c r="E10260" s="18"/>
      <c r="F10260" s="18"/>
    </row>
    <row r="10261" spans="5:6" ht="15" customHeight="1" x14ac:dyDescent="0.2">
      <c r="E10261" s="18"/>
      <c r="F10261" s="18"/>
    </row>
    <row r="10262" spans="5:6" ht="15" customHeight="1" x14ac:dyDescent="0.2">
      <c r="E10262" s="18"/>
      <c r="F10262" s="18"/>
    </row>
    <row r="10263" spans="5:6" ht="15" customHeight="1" x14ac:dyDescent="0.2">
      <c r="E10263" s="18"/>
      <c r="F10263" s="18"/>
    </row>
    <row r="10264" spans="5:6" ht="15" customHeight="1" x14ac:dyDescent="0.2">
      <c r="E10264" s="18"/>
      <c r="F10264" s="18"/>
    </row>
    <row r="10265" spans="5:6" ht="15" customHeight="1" x14ac:dyDescent="0.2">
      <c r="E10265" s="18"/>
      <c r="F10265" s="18"/>
    </row>
    <row r="10266" spans="5:6" ht="15" customHeight="1" x14ac:dyDescent="0.2">
      <c r="E10266" s="18"/>
      <c r="F10266" s="18"/>
    </row>
    <row r="10267" spans="5:6" ht="15" customHeight="1" x14ac:dyDescent="0.2">
      <c r="E10267" s="18"/>
      <c r="F10267" s="18"/>
    </row>
    <row r="10268" spans="5:6" ht="15" customHeight="1" x14ac:dyDescent="0.2">
      <c r="E10268" s="18"/>
      <c r="F10268" s="18"/>
    </row>
    <row r="10269" spans="5:6" ht="15" customHeight="1" x14ac:dyDescent="0.2">
      <c r="E10269" s="18"/>
      <c r="F10269" s="18"/>
    </row>
    <row r="10270" spans="5:6" ht="15" customHeight="1" x14ac:dyDescent="0.2">
      <c r="E10270" s="18"/>
      <c r="F10270" s="18"/>
    </row>
    <row r="10271" spans="5:6" ht="15" customHeight="1" x14ac:dyDescent="0.2">
      <c r="E10271" s="18"/>
      <c r="F10271" s="18"/>
    </row>
    <row r="10272" spans="5:6" ht="15" customHeight="1" x14ac:dyDescent="0.2">
      <c r="E10272" s="18"/>
      <c r="F10272" s="18"/>
    </row>
    <row r="10273" spans="5:6" ht="15" customHeight="1" x14ac:dyDescent="0.2">
      <c r="E10273" s="18"/>
      <c r="F10273" s="18"/>
    </row>
    <row r="10274" spans="5:6" ht="15" customHeight="1" x14ac:dyDescent="0.2">
      <c r="E10274" s="18"/>
      <c r="F10274" s="18"/>
    </row>
    <row r="10275" spans="5:6" ht="15" customHeight="1" x14ac:dyDescent="0.2">
      <c r="E10275" s="18"/>
      <c r="F10275" s="18"/>
    </row>
    <row r="10276" spans="5:6" ht="15" customHeight="1" x14ac:dyDescent="0.2">
      <c r="E10276" s="18"/>
      <c r="F10276" s="18"/>
    </row>
    <row r="10277" spans="5:6" ht="15" customHeight="1" x14ac:dyDescent="0.2">
      <c r="E10277" s="18"/>
      <c r="F10277" s="18"/>
    </row>
    <row r="10278" spans="5:6" ht="15" customHeight="1" x14ac:dyDescent="0.2">
      <c r="E10278" s="18"/>
      <c r="F10278" s="18"/>
    </row>
    <row r="10279" spans="5:6" ht="15" customHeight="1" x14ac:dyDescent="0.2">
      <c r="E10279" s="18"/>
      <c r="F10279" s="18"/>
    </row>
    <row r="10280" spans="5:6" ht="15" customHeight="1" x14ac:dyDescent="0.2">
      <c r="E10280" s="18"/>
      <c r="F10280" s="18"/>
    </row>
    <row r="10281" spans="5:6" ht="15" customHeight="1" x14ac:dyDescent="0.2">
      <c r="E10281" s="18"/>
      <c r="F10281" s="18"/>
    </row>
    <row r="10282" spans="5:6" ht="15" customHeight="1" x14ac:dyDescent="0.2">
      <c r="E10282" s="18"/>
      <c r="F10282" s="18"/>
    </row>
    <row r="10283" spans="5:6" ht="15" customHeight="1" x14ac:dyDescent="0.2">
      <c r="E10283" s="18"/>
      <c r="F10283" s="18"/>
    </row>
    <row r="10284" spans="5:6" ht="15" customHeight="1" x14ac:dyDescent="0.2">
      <c r="E10284" s="18"/>
      <c r="F10284" s="18"/>
    </row>
    <row r="10285" spans="5:6" ht="15" customHeight="1" x14ac:dyDescent="0.2">
      <c r="E10285" s="18"/>
      <c r="F10285" s="18"/>
    </row>
    <row r="10286" spans="5:6" ht="15" customHeight="1" x14ac:dyDescent="0.2">
      <c r="E10286" s="18"/>
      <c r="F10286" s="18"/>
    </row>
    <row r="10287" spans="5:6" ht="15" customHeight="1" x14ac:dyDescent="0.2">
      <c r="E10287" s="18"/>
      <c r="F10287" s="18"/>
    </row>
    <row r="10288" spans="5:6" ht="15" customHeight="1" x14ac:dyDescent="0.2">
      <c r="E10288" s="18"/>
      <c r="F10288" s="18"/>
    </row>
    <row r="10289" spans="5:6" ht="15" customHeight="1" x14ac:dyDescent="0.2">
      <c r="E10289" s="18"/>
      <c r="F10289" s="18"/>
    </row>
    <row r="10290" spans="5:6" ht="15" customHeight="1" x14ac:dyDescent="0.2">
      <c r="E10290" s="18"/>
      <c r="F10290" s="18"/>
    </row>
    <row r="10291" spans="5:6" ht="15" customHeight="1" x14ac:dyDescent="0.2">
      <c r="E10291" s="18"/>
      <c r="F10291" s="18"/>
    </row>
    <row r="10292" spans="5:6" ht="15" customHeight="1" x14ac:dyDescent="0.2">
      <c r="E10292" s="18"/>
      <c r="F10292" s="18"/>
    </row>
    <row r="10293" spans="5:6" ht="15" customHeight="1" x14ac:dyDescent="0.2">
      <c r="E10293" s="18"/>
      <c r="F10293" s="18"/>
    </row>
    <row r="10294" spans="5:6" ht="15" customHeight="1" x14ac:dyDescent="0.2">
      <c r="E10294" s="18"/>
      <c r="F10294" s="18"/>
    </row>
    <row r="10295" spans="5:6" ht="15" customHeight="1" x14ac:dyDescent="0.2">
      <c r="E10295" s="18"/>
      <c r="F10295" s="18"/>
    </row>
    <row r="10296" spans="5:6" ht="15" customHeight="1" x14ac:dyDescent="0.2">
      <c r="E10296" s="18"/>
      <c r="F10296" s="18"/>
    </row>
    <row r="10297" spans="5:6" ht="15" customHeight="1" x14ac:dyDescent="0.2">
      <c r="E10297" s="18"/>
      <c r="F10297" s="18"/>
    </row>
    <row r="10298" spans="5:6" ht="15" customHeight="1" x14ac:dyDescent="0.2">
      <c r="E10298" s="18"/>
      <c r="F10298" s="18"/>
    </row>
    <row r="10299" spans="5:6" ht="15" customHeight="1" x14ac:dyDescent="0.2">
      <c r="E10299" s="18"/>
      <c r="F10299" s="18"/>
    </row>
    <row r="10300" spans="5:6" ht="15" customHeight="1" x14ac:dyDescent="0.2">
      <c r="E10300" s="18"/>
      <c r="F10300" s="18"/>
    </row>
    <row r="10301" spans="5:6" ht="15" customHeight="1" x14ac:dyDescent="0.2">
      <c r="E10301" s="18"/>
      <c r="F10301" s="18"/>
    </row>
    <row r="10302" spans="5:6" ht="15" customHeight="1" x14ac:dyDescent="0.2">
      <c r="E10302" s="18"/>
      <c r="F10302" s="18"/>
    </row>
    <row r="10303" spans="5:6" ht="15" customHeight="1" x14ac:dyDescent="0.2">
      <c r="E10303" s="18"/>
      <c r="F10303" s="18"/>
    </row>
    <row r="10304" spans="5:6" ht="15" customHeight="1" x14ac:dyDescent="0.2">
      <c r="E10304" s="18"/>
      <c r="F10304" s="18"/>
    </row>
    <row r="10305" spans="5:6" ht="15" customHeight="1" x14ac:dyDescent="0.2">
      <c r="E10305" s="18"/>
      <c r="F10305" s="18"/>
    </row>
    <row r="10306" spans="5:6" ht="15" customHeight="1" x14ac:dyDescent="0.2">
      <c r="E10306" s="18"/>
      <c r="F10306" s="18"/>
    </row>
    <row r="10307" spans="5:6" ht="15" customHeight="1" x14ac:dyDescent="0.2">
      <c r="E10307" s="18"/>
      <c r="F10307" s="18"/>
    </row>
    <row r="10308" spans="5:6" ht="15" customHeight="1" x14ac:dyDescent="0.2">
      <c r="E10308" s="18"/>
      <c r="F10308" s="18"/>
    </row>
    <row r="10309" spans="5:6" ht="15" customHeight="1" x14ac:dyDescent="0.2">
      <c r="E10309" s="18"/>
      <c r="F10309" s="18"/>
    </row>
    <row r="10310" spans="5:6" ht="15" customHeight="1" x14ac:dyDescent="0.2">
      <c r="E10310" s="18"/>
      <c r="F10310" s="18"/>
    </row>
    <row r="10311" spans="5:6" ht="15" customHeight="1" x14ac:dyDescent="0.2">
      <c r="E10311" s="18"/>
      <c r="F10311" s="18"/>
    </row>
    <row r="10312" spans="5:6" ht="15" customHeight="1" x14ac:dyDescent="0.2">
      <c r="E10312" s="18"/>
      <c r="F10312" s="18"/>
    </row>
    <row r="10313" spans="5:6" ht="15" customHeight="1" x14ac:dyDescent="0.2">
      <c r="E10313" s="18"/>
      <c r="F10313" s="18"/>
    </row>
    <row r="10314" spans="5:6" ht="15" customHeight="1" x14ac:dyDescent="0.2">
      <c r="E10314" s="18"/>
      <c r="F10314" s="18"/>
    </row>
    <row r="10315" spans="5:6" ht="15" customHeight="1" x14ac:dyDescent="0.2">
      <c r="E10315" s="18"/>
      <c r="F10315" s="18"/>
    </row>
    <row r="10316" spans="5:6" ht="15" customHeight="1" x14ac:dyDescent="0.2">
      <c r="E10316" s="18"/>
      <c r="F10316" s="18"/>
    </row>
    <row r="10317" spans="5:6" ht="15" customHeight="1" x14ac:dyDescent="0.2">
      <c r="E10317" s="18"/>
      <c r="F10317" s="18"/>
    </row>
    <row r="10318" spans="5:6" ht="15" customHeight="1" x14ac:dyDescent="0.2">
      <c r="E10318" s="18"/>
      <c r="F10318" s="18"/>
    </row>
    <row r="10319" spans="5:6" ht="15" customHeight="1" x14ac:dyDescent="0.2">
      <c r="E10319" s="18"/>
      <c r="F10319" s="18"/>
    </row>
    <row r="10320" spans="5:6" ht="15" customHeight="1" x14ac:dyDescent="0.2">
      <c r="E10320" s="18"/>
      <c r="F10320" s="18"/>
    </row>
    <row r="10321" spans="5:6" ht="15" customHeight="1" x14ac:dyDescent="0.2">
      <c r="E10321" s="18"/>
      <c r="F10321" s="18"/>
    </row>
    <row r="10322" spans="5:6" ht="15" customHeight="1" x14ac:dyDescent="0.2">
      <c r="E10322" s="18"/>
      <c r="F10322" s="18"/>
    </row>
    <row r="10323" spans="5:6" ht="15" customHeight="1" x14ac:dyDescent="0.2">
      <c r="E10323" s="18"/>
      <c r="F10323" s="18"/>
    </row>
    <row r="10324" spans="5:6" ht="15" customHeight="1" x14ac:dyDescent="0.2">
      <c r="E10324" s="18"/>
      <c r="F10324" s="18"/>
    </row>
    <row r="10325" spans="5:6" ht="15" customHeight="1" x14ac:dyDescent="0.2">
      <c r="E10325" s="18"/>
      <c r="F10325" s="18"/>
    </row>
    <row r="10326" spans="5:6" ht="15" customHeight="1" x14ac:dyDescent="0.2">
      <c r="E10326" s="18"/>
      <c r="F10326" s="18"/>
    </row>
    <row r="10327" spans="5:6" ht="15" customHeight="1" x14ac:dyDescent="0.2">
      <c r="E10327" s="18"/>
      <c r="F10327" s="18"/>
    </row>
    <row r="10328" spans="5:6" ht="15" customHeight="1" x14ac:dyDescent="0.2">
      <c r="E10328" s="18"/>
      <c r="F10328" s="18"/>
    </row>
    <row r="10329" spans="5:6" ht="15" customHeight="1" x14ac:dyDescent="0.2">
      <c r="E10329" s="18"/>
      <c r="F10329" s="18"/>
    </row>
    <row r="10330" spans="5:6" ht="15" customHeight="1" x14ac:dyDescent="0.2">
      <c r="E10330" s="18"/>
      <c r="F10330" s="18"/>
    </row>
    <row r="10331" spans="5:6" ht="15" customHeight="1" x14ac:dyDescent="0.2">
      <c r="E10331" s="18"/>
      <c r="F10331" s="18"/>
    </row>
    <row r="10332" spans="5:6" ht="15" customHeight="1" x14ac:dyDescent="0.2">
      <c r="E10332" s="18"/>
      <c r="F10332" s="18"/>
    </row>
    <row r="10333" spans="5:6" ht="15" customHeight="1" x14ac:dyDescent="0.2">
      <c r="E10333" s="18"/>
      <c r="F10333" s="18"/>
    </row>
    <row r="10334" spans="5:6" ht="15" customHeight="1" x14ac:dyDescent="0.2">
      <c r="E10334" s="18"/>
      <c r="F10334" s="18"/>
    </row>
    <row r="10335" spans="5:6" ht="15" customHeight="1" x14ac:dyDescent="0.2">
      <c r="E10335" s="18"/>
      <c r="F10335" s="18"/>
    </row>
    <row r="10336" spans="5:6" ht="15" customHeight="1" x14ac:dyDescent="0.2">
      <c r="E10336" s="18"/>
      <c r="F10336" s="18"/>
    </row>
    <row r="10337" spans="5:6" ht="15" customHeight="1" x14ac:dyDescent="0.2">
      <c r="E10337" s="18"/>
      <c r="F10337" s="18"/>
    </row>
    <row r="10338" spans="5:6" ht="15" customHeight="1" x14ac:dyDescent="0.2">
      <c r="E10338" s="18"/>
      <c r="F10338" s="18"/>
    </row>
    <row r="10339" spans="5:6" ht="15" customHeight="1" x14ac:dyDescent="0.2">
      <c r="E10339" s="18"/>
      <c r="F10339" s="18"/>
    </row>
    <row r="10340" spans="5:6" ht="15" customHeight="1" x14ac:dyDescent="0.2">
      <c r="E10340" s="18"/>
      <c r="F10340" s="18"/>
    </row>
    <row r="10341" spans="5:6" ht="15" customHeight="1" x14ac:dyDescent="0.2">
      <c r="E10341" s="18"/>
      <c r="F10341" s="18"/>
    </row>
    <row r="10342" spans="5:6" ht="15" customHeight="1" x14ac:dyDescent="0.2">
      <c r="E10342" s="18"/>
      <c r="F10342" s="18"/>
    </row>
    <row r="10343" spans="5:6" ht="15" customHeight="1" x14ac:dyDescent="0.2">
      <c r="E10343" s="18"/>
      <c r="F10343" s="18"/>
    </row>
    <row r="10344" spans="5:6" ht="15" customHeight="1" x14ac:dyDescent="0.2">
      <c r="E10344" s="18"/>
      <c r="F10344" s="18"/>
    </row>
    <row r="10345" spans="5:6" ht="15" customHeight="1" x14ac:dyDescent="0.2">
      <c r="E10345" s="18"/>
      <c r="F10345" s="18"/>
    </row>
    <row r="10346" spans="5:6" ht="15" customHeight="1" x14ac:dyDescent="0.2">
      <c r="E10346" s="18"/>
      <c r="F10346" s="18"/>
    </row>
    <row r="10347" spans="5:6" ht="15" customHeight="1" x14ac:dyDescent="0.2">
      <c r="E10347" s="18"/>
      <c r="F10347" s="18"/>
    </row>
    <row r="10348" spans="5:6" ht="15" customHeight="1" x14ac:dyDescent="0.2">
      <c r="E10348" s="18"/>
      <c r="F10348" s="18"/>
    </row>
    <row r="10349" spans="5:6" ht="15" customHeight="1" x14ac:dyDescent="0.2">
      <c r="E10349" s="18"/>
      <c r="F10349" s="18"/>
    </row>
    <row r="10350" spans="5:6" ht="15" customHeight="1" x14ac:dyDescent="0.2">
      <c r="E10350" s="18"/>
      <c r="F10350" s="18"/>
    </row>
    <row r="10351" spans="5:6" ht="15" customHeight="1" x14ac:dyDescent="0.2">
      <c r="E10351" s="18"/>
      <c r="F10351" s="18"/>
    </row>
    <row r="10352" spans="5:6" ht="15" customHeight="1" x14ac:dyDescent="0.2">
      <c r="E10352" s="18"/>
      <c r="F10352" s="18"/>
    </row>
    <row r="10353" spans="5:6" ht="15" customHeight="1" x14ac:dyDescent="0.2">
      <c r="E10353" s="18"/>
      <c r="F10353" s="18"/>
    </row>
    <row r="10354" spans="5:6" ht="15" customHeight="1" x14ac:dyDescent="0.2">
      <c r="E10354" s="18"/>
      <c r="F10354" s="18"/>
    </row>
    <row r="10355" spans="5:6" ht="15" customHeight="1" x14ac:dyDescent="0.2">
      <c r="E10355" s="18"/>
      <c r="F10355" s="18"/>
    </row>
    <row r="10356" spans="5:6" ht="15" customHeight="1" x14ac:dyDescent="0.2">
      <c r="E10356" s="18"/>
      <c r="F10356" s="18"/>
    </row>
    <row r="10357" spans="5:6" ht="15" customHeight="1" x14ac:dyDescent="0.2">
      <c r="E10357" s="18"/>
      <c r="F10357" s="18"/>
    </row>
    <row r="10358" spans="5:6" ht="15" customHeight="1" x14ac:dyDescent="0.2">
      <c r="E10358" s="18"/>
      <c r="F10358" s="18"/>
    </row>
    <row r="10359" spans="5:6" ht="15" customHeight="1" x14ac:dyDescent="0.2">
      <c r="E10359" s="18"/>
      <c r="F10359" s="18"/>
    </row>
    <row r="10360" spans="5:6" ht="15" customHeight="1" x14ac:dyDescent="0.2">
      <c r="E10360" s="18"/>
      <c r="F10360" s="18"/>
    </row>
    <row r="10361" spans="5:6" ht="15" customHeight="1" x14ac:dyDescent="0.2">
      <c r="E10361" s="18"/>
      <c r="F10361" s="18"/>
    </row>
    <row r="10362" spans="5:6" ht="15" customHeight="1" x14ac:dyDescent="0.2">
      <c r="E10362" s="18"/>
      <c r="F10362" s="18"/>
    </row>
    <row r="10363" spans="5:6" ht="15" customHeight="1" x14ac:dyDescent="0.2">
      <c r="E10363" s="18"/>
      <c r="F10363" s="18"/>
    </row>
    <row r="10364" spans="5:6" ht="15" customHeight="1" x14ac:dyDescent="0.2">
      <c r="E10364" s="18"/>
      <c r="F10364" s="18"/>
    </row>
    <row r="10365" spans="5:6" ht="15" customHeight="1" x14ac:dyDescent="0.2">
      <c r="E10365" s="18"/>
      <c r="F10365" s="18"/>
    </row>
    <row r="10366" spans="5:6" ht="15" customHeight="1" x14ac:dyDescent="0.2">
      <c r="E10366" s="18"/>
      <c r="F10366" s="18"/>
    </row>
    <row r="10367" spans="5:6" ht="15" customHeight="1" x14ac:dyDescent="0.2">
      <c r="E10367" s="18"/>
      <c r="F10367" s="18"/>
    </row>
    <row r="10368" spans="5:6" ht="15" customHeight="1" x14ac:dyDescent="0.2">
      <c r="E10368" s="18"/>
      <c r="F10368" s="18"/>
    </row>
    <row r="10369" spans="5:6" ht="15" customHeight="1" x14ac:dyDescent="0.2">
      <c r="E10369" s="18"/>
      <c r="F10369" s="18"/>
    </row>
    <row r="10370" spans="5:6" ht="15" customHeight="1" x14ac:dyDescent="0.2">
      <c r="E10370" s="18"/>
      <c r="F10370" s="18"/>
    </row>
    <row r="10371" spans="5:6" ht="15" customHeight="1" x14ac:dyDescent="0.2">
      <c r="E10371" s="18"/>
      <c r="F10371" s="18"/>
    </row>
    <row r="10372" spans="5:6" ht="15" customHeight="1" x14ac:dyDescent="0.2">
      <c r="E10372" s="18"/>
      <c r="F10372" s="18"/>
    </row>
    <row r="10373" spans="5:6" ht="15" customHeight="1" x14ac:dyDescent="0.2">
      <c r="E10373" s="18"/>
      <c r="F10373" s="18"/>
    </row>
    <row r="10374" spans="5:6" ht="15" customHeight="1" x14ac:dyDescent="0.2">
      <c r="E10374" s="18"/>
      <c r="F10374" s="18"/>
    </row>
    <row r="10375" spans="5:6" ht="15" customHeight="1" x14ac:dyDescent="0.2">
      <c r="E10375" s="18"/>
      <c r="F10375" s="18"/>
    </row>
    <row r="10376" spans="5:6" ht="15" customHeight="1" x14ac:dyDescent="0.2">
      <c r="E10376" s="18"/>
      <c r="F10376" s="18"/>
    </row>
    <row r="10377" spans="5:6" ht="15" customHeight="1" x14ac:dyDescent="0.2">
      <c r="E10377" s="18"/>
      <c r="F10377" s="18"/>
    </row>
    <row r="10378" spans="5:6" ht="15" customHeight="1" x14ac:dyDescent="0.2">
      <c r="E10378" s="18"/>
      <c r="F10378" s="18"/>
    </row>
    <row r="10379" spans="5:6" ht="15" customHeight="1" x14ac:dyDescent="0.2">
      <c r="E10379" s="18"/>
      <c r="F10379" s="18"/>
    </row>
    <row r="10380" spans="5:6" ht="15" customHeight="1" x14ac:dyDescent="0.2">
      <c r="E10380" s="18"/>
      <c r="F10380" s="18"/>
    </row>
    <row r="10381" spans="5:6" ht="15" customHeight="1" x14ac:dyDescent="0.2">
      <c r="E10381" s="18"/>
      <c r="F10381" s="18"/>
    </row>
    <row r="10382" spans="5:6" ht="15" customHeight="1" x14ac:dyDescent="0.2">
      <c r="E10382" s="18"/>
      <c r="F10382" s="18"/>
    </row>
    <row r="10383" spans="5:6" ht="15" customHeight="1" x14ac:dyDescent="0.2">
      <c r="E10383" s="18"/>
      <c r="F10383" s="18"/>
    </row>
    <row r="10384" spans="5:6" ht="15" customHeight="1" x14ac:dyDescent="0.2">
      <c r="E10384" s="18"/>
      <c r="F10384" s="18"/>
    </row>
    <row r="10385" spans="5:6" ht="15" customHeight="1" x14ac:dyDescent="0.2">
      <c r="E10385" s="18"/>
      <c r="F10385" s="18"/>
    </row>
    <row r="10386" spans="5:6" ht="15" customHeight="1" x14ac:dyDescent="0.2">
      <c r="E10386" s="18"/>
      <c r="F10386" s="18"/>
    </row>
    <row r="10387" spans="5:6" ht="15" customHeight="1" x14ac:dyDescent="0.2">
      <c r="E10387" s="18"/>
      <c r="F10387" s="18"/>
    </row>
    <row r="10388" spans="5:6" ht="15" customHeight="1" x14ac:dyDescent="0.2">
      <c r="E10388" s="18"/>
      <c r="F10388" s="18"/>
    </row>
    <row r="10389" spans="5:6" ht="15" customHeight="1" x14ac:dyDescent="0.2">
      <c r="E10389" s="18"/>
      <c r="F10389" s="18"/>
    </row>
    <row r="10390" spans="5:6" ht="15" customHeight="1" x14ac:dyDescent="0.2">
      <c r="E10390" s="18"/>
      <c r="F10390" s="18"/>
    </row>
    <row r="10391" spans="5:6" ht="15" customHeight="1" x14ac:dyDescent="0.2">
      <c r="E10391" s="18"/>
      <c r="F10391" s="18"/>
    </row>
    <row r="10392" spans="5:6" ht="15" customHeight="1" x14ac:dyDescent="0.2">
      <c r="E10392" s="18"/>
      <c r="F10392" s="18"/>
    </row>
    <row r="10393" spans="5:6" ht="15" customHeight="1" x14ac:dyDescent="0.2">
      <c r="E10393" s="18"/>
      <c r="F10393" s="18"/>
    </row>
    <row r="10394" spans="5:6" ht="15" customHeight="1" x14ac:dyDescent="0.2">
      <c r="E10394" s="18"/>
      <c r="F10394" s="18"/>
    </row>
    <row r="10395" spans="5:6" ht="15" customHeight="1" x14ac:dyDescent="0.2">
      <c r="E10395" s="18"/>
      <c r="F10395" s="18"/>
    </row>
    <row r="10396" spans="5:6" ht="15" customHeight="1" x14ac:dyDescent="0.2">
      <c r="E10396" s="18"/>
      <c r="F10396" s="18"/>
    </row>
    <row r="10397" spans="5:6" ht="15" customHeight="1" x14ac:dyDescent="0.2">
      <c r="E10397" s="18"/>
      <c r="F10397" s="18"/>
    </row>
    <row r="10398" spans="5:6" ht="15" customHeight="1" x14ac:dyDescent="0.2">
      <c r="E10398" s="18"/>
      <c r="F10398" s="18"/>
    </row>
    <row r="10399" spans="5:6" ht="15" customHeight="1" x14ac:dyDescent="0.2">
      <c r="E10399" s="18"/>
      <c r="F10399" s="18"/>
    </row>
    <row r="10400" spans="5:6" ht="15" customHeight="1" x14ac:dyDescent="0.2">
      <c r="E10400" s="18"/>
      <c r="F10400" s="18"/>
    </row>
    <row r="10401" spans="5:6" ht="15" customHeight="1" x14ac:dyDescent="0.2">
      <c r="E10401" s="18"/>
      <c r="F10401" s="18"/>
    </row>
    <row r="10402" spans="5:6" ht="15" customHeight="1" x14ac:dyDescent="0.2">
      <c r="E10402" s="18"/>
      <c r="F10402" s="18"/>
    </row>
    <row r="10403" spans="5:6" ht="15" customHeight="1" x14ac:dyDescent="0.2">
      <c r="E10403" s="18"/>
      <c r="F10403" s="18"/>
    </row>
    <row r="10404" spans="5:6" ht="15" customHeight="1" x14ac:dyDescent="0.2">
      <c r="E10404" s="18"/>
      <c r="F10404" s="18"/>
    </row>
    <row r="10405" spans="5:6" ht="15" customHeight="1" x14ac:dyDescent="0.2">
      <c r="E10405" s="18"/>
      <c r="F10405" s="18"/>
    </row>
    <row r="10406" spans="5:6" ht="15" customHeight="1" x14ac:dyDescent="0.2">
      <c r="E10406" s="18"/>
      <c r="F10406" s="18"/>
    </row>
    <row r="10407" spans="5:6" ht="15" customHeight="1" x14ac:dyDescent="0.2">
      <c r="E10407" s="18"/>
      <c r="F10407" s="18"/>
    </row>
    <row r="10408" spans="5:6" ht="15" customHeight="1" x14ac:dyDescent="0.2">
      <c r="E10408" s="18"/>
      <c r="F10408" s="18"/>
    </row>
    <row r="10409" spans="5:6" ht="15" customHeight="1" x14ac:dyDescent="0.2">
      <c r="E10409" s="18"/>
      <c r="F10409" s="18"/>
    </row>
    <row r="10410" spans="5:6" ht="15" customHeight="1" x14ac:dyDescent="0.2">
      <c r="E10410" s="18"/>
      <c r="F10410" s="18"/>
    </row>
    <row r="10411" spans="5:6" ht="15" customHeight="1" x14ac:dyDescent="0.2">
      <c r="E10411" s="18"/>
      <c r="F10411" s="18"/>
    </row>
    <row r="10412" spans="5:6" ht="15" customHeight="1" x14ac:dyDescent="0.2">
      <c r="E10412" s="18"/>
      <c r="F10412" s="18"/>
    </row>
    <row r="10413" spans="5:6" ht="15" customHeight="1" x14ac:dyDescent="0.2">
      <c r="E10413" s="18"/>
      <c r="F10413" s="18"/>
    </row>
    <row r="10414" spans="5:6" ht="15" customHeight="1" x14ac:dyDescent="0.2">
      <c r="E10414" s="18"/>
      <c r="F10414" s="18"/>
    </row>
    <row r="10415" spans="5:6" ht="15" customHeight="1" x14ac:dyDescent="0.2">
      <c r="E10415" s="18"/>
      <c r="F10415" s="18"/>
    </row>
    <row r="10416" spans="5:6" ht="15" customHeight="1" x14ac:dyDescent="0.2">
      <c r="E10416" s="18"/>
      <c r="F10416" s="18"/>
    </row>
    <row r="10417" spans="5:6" ht="15" customHeight="1" x14ac:dyDescent="0.2">
      <c r="E10417" s="18"/>
      <c r="F10417" s="18"/>
    </row>
    <row r="10418" spans="5:6" ht="15" customHeight="1" x14ac:dyDescent="0.2">
      <c r="E10418" s="18"/>
      <c r="F10418" s="18"/>
    </row>
    <row r="10419" spans="5:6" ht="15" customHeight="1" x14ac:dyDescent="0.2">
      <c r="E10419" s="18"/>
      <c r="F10419" s="18"/>
    </row>
    <row r="10420" spans="5:6" ht="15" customHeight="1" x14ac:dyDescent="0.2">
      <c r="E10420" s="18"/>
      <c r="F10420" s="18"/>
    </row>
    <row r="10421" spans="5:6" ht="15" customHeight="1" x14ac:dyDescent="0.2">
      <c r="E10421" s="18"/>
      <c r="F10421" s="18"/>
    </row>
    <row r="10422" spans="5:6" ht="15" customHeight="1" x14ac:dyDescent="0.2">
      <c r="E10422" s="18"/>
      <c r="F10422" s="18"/>
    </row>
    <row r="10423" spans="5:6" ht="15" customHeight="1" x14ac:dyDescent="0.2">
      <c r="E10423" s="18"/>
      <c r="F10423" s="18"/>
    </row>
    <row r="10424" spans="5:6" ht="15" customHeight="1" x14ac:dyDescent="0.2">
      <c r="E10424" s="18"/>
      <c r="F10424" s="18"/>
    </row>
    <row r="10425" spans="5:6" ht="15" customHeight="1" x14ac:dyDescent="0.2">
      <c r="E10425" s="18"/>
      <c r="F10425" s="18"/>
    </row>
    <row r="10426" spans="5:6" ht="15" customHeight="1" x14ac:dyDescent="0.2">
      <c r="E10426" s="18"/>
      <c r="F10426" s="18"/>
    </row>
    <row r="10427" spans="5:6" ht="15" customHeight="1" x14ac:dyDescent="0.2">
      <c r="E10427" s="18"/>
      <c r="F10427" s="18"/>
    </row>
    <row r="10428" spans="5:6" ht="15" customHeight="1" x14ac:dyDescent="0.2">
      <c r="E10428" s="18"/>
      <c r="F10428" s="18"/>
    </row>
    <row r="10429" spans="5:6" ht="15" customHeight="1" x14ac:dyDescent="0.2">
      <c r="E10429" s="18"/>
      <c r="F10429" s="18"/>
    </row>
    <row r="10430" spans="5:6" ht="15" customHeight="1" x14ac:dyDescent="0.2">
      <c r="E10430" s="18"/>
      <c r="F10430" s="18"/>
    </row>
    <row r="10431" spans="5:6" ht="15" customHeight="1" x14ac:dyDescent="0.2">
      <c r="E10431" s="18"/>
      <c r="F10431" s="18"/>
    </row>
    <row r="10432" spans="5:6" ht="15" customHeight="1" x14ac:dyDescent="0.2">
      <c r="E10432" s="18"/>
      <c r="F10432" s="18"/>
    </row>
    <row r="10433" spans="5:6" ht="15" customHeight="1" x14ac:dyDescent="0.2">
      <c r="E10433" s="18"/>
      <c r="F10433" s="18"/>
    </row>
    <row r="10434" spans="5:6" ht="15" customHeight="1" x14ac:dyDescent="0.2">
      <c r="E10434" s="18"/>
      <c r="F10434" s="18"/>
    </row>
    <row r="10435" spans="5:6" ht="15" customHeight="1" x14ac:dyDescent="0.2">
      <c r="E10435" s="18"/>
      <c r="F10435" s="18"/>
    </row>
    <row r="10436" spans="5:6" ht="15" customHeight="1" x14ac:dyDescent="0.2">
      <c r="E10436" s="18"/>
      <c r="F10436" s="18"/>
    </row>
    <row r="10437" spans="5:6" ht="15" customHeight="1" x14ac:dyDescent="0.2">
      <c r="E10437" s="18"/>
      <c r="F10437" s="18"/>
    </row>
    <row r="10438" spans="5:6" ht="15" customHeight="1" x14ac:dyDescent="0.2">
      <c r="E10438" s="18"/>
      <c r="F10438" s="18"/>
    </row>
    <row r="10439" spans="5:6" ht="15" customHeight="1" x14ac:dyDescent="0.2">
      <c r="E10439" s="18"/>
      <c r="F10439" s="18"/>
    </row>
    <row r="10440" spans="5:6" ht="15" customHeight="1" x14ac:dyDescent="0.2">
      <c r="E10440" s="18"/>
      <c r="F10440" s="18"/>
    </row>
    <row r="10441" spans="5:6" ht="15" customHeight="1" x14ac:dyDescent="0.2">
      <c r="E10441" s="18"/>
      <c r="F10441" s="18"/>
    </row>
    <row r="10442" spans="5:6" ht="15" customHeight="1" x14ac:dyDescent="0.2">
      <c r="E10442" s="18"/>
      <c r="F10442" s="18"/>
    </row>
    <row r="10443" spans="5:6" ht="15" customHeight="1" x14ac:dyDescent="0.2">
      <c r="E10443" s="18"/>
      <c r="F10443" s="18"/>
    </row>
    <row r="10444" spans="5:6" ht="15" customHeight="1" x14ac:dyDescent="0.2">
      <c r="E10444" s="18"/>
      <c r="F10444" s="18"/>
    </row>
    <row r="10445" spans="5:6" ht="15" customHeight="1" x14ac:dyDescent="0.2">
      <c r="E10445" s="18"/>
      <c r="F10445" s="18"/>
    </row>
    <row r="10446" spans="5:6" ht="15" customHeight="1" x14ac:dyDescent="0.2">
      <c r="E10446" s="18"/>
      <c r="F10446" s="18"/>
    </row>
    <row r="10447" spans="5:6" ht="15" customHeight="1" x14ac:dyDescent="0.2">
      <c r="E10447" s="18"/>
      <c r="F10447" s="18"/>
    </row>
    <row r="10448" spans="5:6" ht="15" customHeight="1" x14ac:dyDescent="0.2">
      <c r="E10448" s="18"/>
      <c r="F10448" s="18"/>
    </row>
    <row r="10449" spans="5:6" ht="15" customHeight="1" x14ac:dyDescent="0.2">
      <c r="E10449" s="18"/>
      <c r="F10449" s="18"/>
    </row>
    <row r="10450" spans="5:6" ht="15" customHeight="1" x14ac:dyDescent="0.2">
      <c r="E10450" s="18"/>
      <c r="F10450" s="18"/>
    </row>
    <row r="10451" spans="5:6" ht="15" customHeight="1" x14ac:dyDescent="0.2">
      <c r="E10451" s="18"/>
      <c r="F10451" s="18"/>
    </row>
    <row r="10452" spans="5:6" ht="15" customHeight="1" x14ac:dyDescent="0.2">
      <c r="E10452" s="18"/>
      <c r="F10452" s="18"/>
    </row>
    <row r="10453" spans="5:6" ht="15" customHeight="1" x14ac:dyDescent="0.2">
      <c r="E10453" s="18"/>
      <c r="F10453" s="18"/>
    </row>
    <row r="10454" spans="5:6" ht="15" customHeight="1" x14ac:dyDescent="0.2">
      <c r="E10454" s="18"/>
      <c r="F10454" s="18"/>
    </row>
    <row r="10455" spans="5:6" ht="15" customHeight="1" x14ac:dyDescent="0.2">
      <c r="E10455" s="18"/>
      <c r="F10455" s="18"/>
    </row>
    <row r="10456" spans="5:6" ht="15" customHeight="1" x14ac:dyDescent="0.2">
      <c r="E10456" s="18"/>
      <c r="F10456" s="18"/>
    </row>
    <row r="10457" spans="5:6" ht="15" customHeight="1" x14ac:dyDescent="0.2">
      <c r="E10457" s="18"/>
      <c r="F10457" s="18"/>
    </row>
    <row r="10458" spans="5:6" ht="15" customHeight="1" x14ac:dyDescent="0.2">
      <c r="E10458" s="18"/>
      <c r="F10458" s="18"/>
    </row>
    <row r="10459" spans="5:6" ht="15" customHeight="1" x14ac:dyDescent="0.2">
      <c r="E10459" s="18"/>
      <c r="F10459" s="18"/>
    </row>
    <row r="10460" spans="5:6" ht="15" customHeight="1" x14ac:dyDescent="0.2">
      <c r="E10460" s="18"/>
      <c r="F10460" s="18"/>
    </row>
    <row r="10461" spans="5:6" ht="15" customHeight="1" x14ac:dyDescent="0.2">
      <c r="E10461" s="18"/>
      <c r="F10461" s="18"/>
    </row>
    <row r="10462" spans="5:6" ht="15" customHeight="1" x14ac:dyDescent="0.2">
      <c r="E10462" s="18"/>
      <c r="F10462" s="18"/>
    </row>
    <row r="10463" spans="5:6" ht="15" customHeight="1" x14ac:dyDescent="0.2">
      <c r="E10463" s="18"/>
      <c r="F10463" s="18"/>
    </row>
    <row r="10464" spans="5:6" ht="15" customHeight="1" x14ac:dyDescent="0.2">
      <c r="E10464" s="18"/>
      <c r="F10464" s="18"/>
    </row>
    <row r="10465" spans="5:6" ht="15" customHeight="1" x14ac:dyDescent="0.2">
      <c r="E10465" s="18"/>
      <c r="F10465" s="18"/>
    </row>
    <row r="10466" spans="5:6" ht="15" customHeight="1" x14ac:dyDescent="0.2">
      <c r="E10466" s="18"/>
      <c r="F10466" s="18"/>
    </row>
    <row r="10467" spans="5:6" ht="15" customHeight="1" x14ac:dyDescent="0.2">
      <c r="E10467" s="18"/>
      <c r="F10467" s="18"/>
    </row>
    <row r="10468" spans="5:6" ht="15" customHeight="1" x14ac:dyDescent="0.2">
      <c r="E10468" s="18"/>
      <c r="F10468" s="18"/>
    </row>
    <row r="10469" spans="5:6" ht="15" customHeight="1" x14ac:dyDescent="0.2">
      <c r="E10469" s="18"/>
      <c r="F10469" s="18"/>
    </row>
    <row r="10470" spans="5:6" ht="15" customHeight="1" x14ac:dyDescent="0.2">
      <c r="E10470" s="18"/>
      <c r="F10470" s="18"/>
    </row>
    <row r="10471" spans="5:6" ht="15" customHeight="1" x14ac:dyDescent="0.2">
      <c r="E10471" s="18"/>
      <c r="F10471" s="18"/>
    </row>
    <row r="10472" spans="5:6" ht="15" customHeight="1" x14ac:dyDescent="0.2">
      <c r="E10472" s="18"/>
      <c r="F10472" s="18"/>
    </row>
    <row r="10473" spans="5:6" ht="15" customHeight="1" x14ac:dyDescent="0.2">
      <c r="E10473" s="18"/>
      <c r="F10473" s="18"/>
    </row>
    <row r="10474" spans="5:6" ht="15" customHeight="1" x14ac:dyDescent="0.2">
      <c r="E10474" s="18"/>
      <c r="F10474" s="18"/>
    </row>
    <row r="10475" spans="5:6" ht="15" customHeight="1" x14ac:dyDescent="0.2">
      <c r="E10475" s="18"/>
      <c r="F10475" s="18"/>
    </row>
    <row r="10476" spans="5:6" ht="15" customHeight="1" x14ac:dyDescent="0.2">
      <c r="E10476" s="18"/>
      <c r="F10476" s="18"/>
    </row>
    <row r="10477" spans="5:6" ht="15" customHeight="1" x14ac:dyDescent="0.2">
      <c r="E10477" s="18"/>
      <c r="F10477" s="18"/>
    </row>
    <row r="10478" spans="5:6" ht="15" customHeight="1" x14ac:dyDescent="0.2">
      <c r="E10478" s="18"/>
      <c r="F10478" s="18"/>
    </row>
    <row r="10479" spans="5:6" ht="15" customHeight="1" x14ac:dyDescent="0.2">
      <c r="E10479" s="18"/>
      <c r="F10479" s="18"/>
    </row>
    <row r="10480" spans="5:6" ht="15" customHeight="1" x14ac:dyDescent="0.2">
      <c r="E10480" s="18"/>
      <c r="F10480" s="18"/>
    </row>
    <row r="10481" spans="5:6" ht="15" customHeight="1" x14ac:dyDescent="0.2">
      <c r="E10481" s="18"/>
      <c r="F10481" s="18"/>
    </row>
    <row r="10482" spans="5:6" ht="15" customHeight="1" x14ac:dyDescent="0.2">
      <c r="E10482" s="18"/>
      <c r="F10482" s="18"/>
    </row>
    <row r="10483" spans="5:6" ht="15" customHeight="1" x14ac:dyDescent="0.2">
      <c r="E10483" s="18"/>
      <c r="F10483" s="18"/>
    </row>
    <row r="10484" spans="5:6" ht="15" customHeight="1" x14ac:dyDescent="0.2">
      <c r="E10484" s="18"/>
      <c r="F10484" s="18"/>
    </row>
    <row r="10485" spans="5:6" ht="15" customHeight="1" x14ac:dyDescent="0.2">
      <c r="E10485" s="18"/>
      <c r="F10485" s="18"/>
    </row>
    <row r="10486" spans="5:6" ht="15" customHeight="1" x14ac:dyDescent="0.2">
      <c r="E10486" s="18"/>
      <c r="F10486" s="18"/>
    </row>
    <row r="10487" spans="5:6" ht="15" customHeight="1" x14ac:dyDescent="0.2">
      <c r="E10487" s="18"/>
      <c r="F10487" s="18"/>
    </row>
    <row r="10488" spans="5:6" ht="15" customHeight="1" x14ac:dyDescent="0.2">
      <c r="E10488" s="18"/>
      <c r="F10488" s="18"/>
    </row>
    <row r="10489" spans="5:6" ht="15" customHeight="1" x14ac:dyDescent="0.2">
      <c r="E10489" s="18"/>
      <c r="F10489" s="18"/>
    </row>
    <row r="10490" spans="5:6" ht="15" customHeight="1" x14ac:dyDescent="0.2">
      <c r="E10490" s="18"/>
      <c r="F10490" s="18"/>
    </row>
    <row r="10491" spans="5:6" ht="15" customHeight="1" x14ac:dyDescent="0.2">
      <c r="E10491" s="18"/>
      <c r="F10491" s="18"/>
    </row>
    <row r="10492" spans="5:6" ht="15" customHeight="1" x14ac:dyDescent="0.2">
      <c r="E10492" s="18"/>
      <c r="F10492" s="18"/>
    </row>
    <row r="10493" spans="5:6" ht="15" customHeight="1" x14ac:dyDescent="0.2">
      <c r="E10493" s="18"/>
      <c r="F10493" s="18"/>
    </row>
    <row r="10494" spans="5:6" ht="15" customHeight="1" x14ac:dyDescent="0.2">
      <c r="E10494" s="18"/>
      <c r="F10494" s="18"/>
    </row>
    <row r="10495" spans="5:6" ht="15" customHeight="1" x14ac:dyDescent="0.2">
      <c r="E10495" s="18"/>
      <c r="F10495" s="18"/>
    </row>
    <row r="10496" spans="5:6" ht="15" customHeight="1" x14ac:dyDescent="0.2">
      <c r="E10496" s="18"/>
      <c r="F10496" s="18"/>
    </row>
    <row r="10497" spans="5:6" ht="15" customHeight="1" x14ac:dyDescent="0.2">
      <c r="E10497" s="18"/>
      <c r="F10497" s="18"/>
    </row>
    <row r="10498" spans="5:6" ht="15" customHeight="1" x14ac:dyDescent="0.2">
      <c r="E10498" s="18"/>
      <c r="F10498" s="18"/>
    </row>
    <row r="10499" spans="5:6" ht="15" customHeight="1" x14ac:dyDescent="0.2">
      <c r="E10499" s="18"/>
      <c r="F10499" s="18"/>
    </row>
    <row r="10500" spans="5:6" ht="15" customHeight="1" x14ac:dyDescent="0.2">
      <c r="E10500" s="18"/>
      <c r="F10500" s="18"/>
    </row>
    <row r="10501" spans="5:6" ht="15" customHeight="1" x14ac:dyDescent="0.2">
      <c r="E10501" s="18"/>
      <c r="F10501" s="18"/>
    </row>
    <row r="10502" spans="5:6" ht="15" customHeight="1" x14ac:dyDescent="0.2">
      <c r="E10502" s="18"/>
      <c r="F10502" s="18"/>
    </row>
    <row r="10503" spans="5:6" ht="15" customHeight="1" x14ac:dyDescent="0.2">
      <c r="E10503" s="18"/>
      <c r="F10503" s="18"/>
    </row>
    <row r="10504" spans="5:6" ht="15" customHeight="1" x14ac:dyDescent="0.2">
      <c r="E10504" s="18"/>
      <c r="F10504" s="18"/>
    </row>
    <row r="10505" spans="5:6" ht="15" customHeight="1" x14ac:dyDescent="0.2">
      <c r="E10505" s="18"/>
      <c r="F10505" s="18"/>
    </row>
    <row r="10506" spans="5:6" ht="15" customHeight="1" x14ac:dyDescent="0.2">
      <c r="E10506" s="18"/>
      <c r="F10506" s="18"/>
    </row>
    <row r="10507" spans="5:6" ht="15" customHeight="1" x14ac:dyDescent="0.2">
      <c r="E10507" s="18"/>
      <c r="F10507" s="18"/>
    </row>
    <row r="10508" spans="5:6" ht="15" customHeight="1" x14ac:dyDescent="0.2">
      <c r="E10508" s="18"/>
      <c r="F10508" s="18"/>
    </row>
    <row r="10509" spans="5:6" ht="15" customHeight="1" x14ac:dyDescent="0.2">
      <c r="E10509" s="18"/>
      <c r="F10509" s="18"/>
    </row>
    <row r="10510" spans="5:6" ht="15" customHeight="1" x14ac:dyDescent="0.2">
      <c r="E10510" s="18"/>
      <c r="F10510" s="18"/>
    </row>
    <row r="10511" spans="5:6" ht="15" customHeight="1" x14ac:dyDescent="0.2">
      <c r="E10511" s="18"/>
      <c r="F10511" s="18"/>
    </row>
    <row r="10512" spans="5:6" ht="15" customHeight="1" x14ac:dyDescent="0.2">
      <c r="E10512" s="18"/>
      <c r="F10512" s="18"/>
    </row>
    <row r="10513" spans="5:6" ht="15" customHeight="1" x14ac:dyDescent="0.2">
      <c r="E10513" s="18"/>
      <c r="F10513" s="18"/>
    </row>
    <row r="10514" spans="5:6" ht="15" customHeight="1" x14ac:dyDescent="0.2">
      <c r="E10514" s="18"/>
      <c r="F10514" s="18"/>
    </row>
    <row r="10515" spans="5:6" ht="15" customHeight="1" x14ac:dyDescent="0.2">
      <c r="E10515" s="18"/>
      <c r="F10515" s="18"/>
    </row>
    <row r="10516" spans="5:6" ht="15" customHeight="1" x14ac:dyDescent="0.2">
      <c r="E10516" s="18"/>
      <c r="F10516" s="18"/>
    </row>
    <row r="10517" spans="5:6" ht="15" customHeight="1" x14ac:dyDescent="0.2">
      <c r="E10517" s="18"/>
      <c r="F10517" s="18"/>
    </row>
    <row r="10518" spans="5:6" ht="15" customHeight="1" x14ac:dyDescent="0.2">
      <c r="E10518" s="18"/>
      <c r="F10518" s="18"/>
    </row>
    <row r="10519" spans="5:6" ht="15" customHeight="1" x14ac:dyDescent="0.2">
      <c r="E10519" s="18"/>
      <c r="F10519" s="18"/>
    </row>
    <row r="10520" spans="5:6" ht="15" customHeight="1" x14ac:dyDescent="0.2">
      <c r="E10520" s="18"/>
      <c r="F10520" s="18"/>
    </row>
    <row r="10521" spans="5:6" ht="15" customHeight="1" x14ac:dyDescent="0.2">
      <c r="E10521" s="18"/>
      <c r="F10521" s="18"/>
    </row>
    <row r="10522" spans="5:6" ht="15" customHeight="1" x14ac:dyDescent="0.2">
      <c r="E10522" s="18"/>
      <c r="F10522" s="18"/>
    </row>
    <row r="10523" spans="5:6" ht="15" customHeight="1" x14ac:dyDescent="0.2">
      <c r="E10523" s="18"/>
      <c r="F10523" s="18"/>
    </row>
    <row r="10524" spans="5:6" ht="15" customHeight="1" x14ac:dyDescent="0.2">
      <c r="E10524" s="18"/>
      <c r="F10524" s="18"/>
    </row>
    <row r="10525" spans="5:6" ht="15" customHeight="1" x14ac:dyDescent="0.2">
      <c r="E10525" s="18"/>
      <c r="F10525" s="18"/>
    </row>
    <row r="10526" spans="5:6" ht="15" customHeight="1" x14ac:dyDescent="0.2">
      <c r="E10526" s="18"/>
      <c r="F10526" s="18"/>
    </row>
    <row r="10527" spans="5:6" ht="15" customHeight="1" x14ac:dyDescent="0.2">
      <c r="E10527" s="18"/>
      <c r="F10527" s="18"/>
    </row>
    <row r="10528" spans="5:6" ht="15" customHeight="1" x14ac:dyDescent="0.2">
      <c r="E10528" s="18"/>
      <c r="F10528" s="18"/>
    </row>
    <row r="10529" spans="5:6" ht="15" customHeight="1" x14ac:dyDescent="0.2">
      <c r="E10529" s="18"/>
      <c r="F10529" s="18"/>
    </row>
    <row r="10530" spans="5:6" ht="15" customHeight="1" x14ac:dyDescent="0.2">
      <c r="E10530" s="18"/>
      <c r="F10530" s="18"/>
    </row>
    <row r="10531" spans="5:6" ht="15" customHeight="1" x14ac:dyDescent="0.2">
      <c r="E10531" s="18"/>
      <c r="F10531" s="18"/>
    </row>
    <row r="10532" spans="5:6" ht="15" customHeight="1" x14ac:dyDescent="0.2">
      <c r="E10532" s="18"/>
      <c r="F10532" s="18"/>
    </row>
    <row r="10533" spans="5:6" ht="15" customHeight="1" x14ac:dyDescent="0.2">
      <c r="E10533" s="18"/>
      <c r="F10533" s="18"/>
    </row>
    <row r="10534" spans="5:6" ht="15" customHeight="1" x14ac:dyDescent="0.2">
      <c r="E10534" s="18"/>
      <c r="F10534" s="18"/>
    </row>
    <row r="10535" spans="5:6" ht="15" customHeight="1" x14ac:dyDescent="0.2">
      <c r="E10535" s="18"/>
      <c r="F10535" s="18"/>
    </row>
    <row r="10536" spans="5:6" ht="15" customHeight="1" x14ac:dyDescent="0.2">
      <c r="E10536" s="18"/>
      <c r="F10536" s="18"/>
    </row>
    <row r="10537" spans="5:6" ht="15" customHeight="1" x14ac:dyDescent="0.2">
      <c r="E10537" s="18"/>
      <c r="F10537" s="18"/>
    </row>
    <row r="10538" spans="5:6" ht="15" customHeight="1" x14ac:dyDescent="0.2">
      <c r="E10538" s="18"/>
      <c r="F10538" s="18"/>
    </row>
    <row r="10539" spans="5:6" ht="15" customHeight="1" x14ac:dyDescent="0.2">
      <c r="E10539" s="18"/>
      <c r="F10539" s="18"/>
    </row>
    <row r="10540" spans="5:6" ht="15" customHeight="1" x14ac:dyDescent="0.2">
      <c r="E10540" s="18"/>
      <c r="F10540" s="18"/>
    </row>
    <row r="10541" spans="5:6" ht="15" customHeight="1" x14ac:dyDescent="0.2">
      <c r="E10541" s="18"/>
      <c r="F10541" s="18"/>
    </row>
    <row r="10542" spans="5:6" ht="15" customHeight="1" x14ac:dyDescent="0.2">
      <c r="E10542" s="18"/>
      <c r="F10542" s="18"/>
    </row>
    <row r="10543" spans="5:6" ht="15" customHeight="1" x14ac:dyDescent="0.2">
      <c r="E10543" s="18"/>
      <c r="F10543" s="18"/>
    </row>
    <row r="10544" spans="5:6" ht="15" customHeight="1" x14ac:dyDescent="0.2">
      <c r="E10544" s="18"/>
      <c r="F10544" s="18"/>
    </row>
    <row r="10545" spans="5:6" ht="15" customHeight="1" x14ac:dyDescent="0.2">
      <c r="E10545" s="18"/>
      <c r="F10545" s="18"/>
    </row>
    <row r="10546" spans="5:6" ht="15" customHeight="1" x14ac:dyDescent="0.2">
      <c r="E10546" s="18"/>
      <c r="F10546" s="18"/>
    </row>
    <row r="10547" spans="5:6" ht="15" customHeight="1" x14ac:dyDescent="0.2">
      <c r="E10547" s="18"/>
      <c r="F10547" s="18"/>
    </row>
    <row r="10548" spans="5:6" ht="15" customHeight="1" x14ac:dyDescent="0.2">
      <c r="E10548" s="18"/>
      <c r="F10548" s="18"/>
    </row>
    <row r="10549" spans="5:6" ht="15" customHeight="1" x14ac:dyDescent="0.2">
      <c r="E10549" s="18"/>
      <c r="F10549" s="18"/>
    </row>
    <row r="10550" spans="5:6" ht="15" customHeight="1" x14ac:dyDescent="0.2">
      <c r="E10550" s="18"/>
      <c r="F10550" s="18"/>
    </row>
    <row r="10551" spans="5:6" ht="15" customHeight="1" x14ac:dyDescent="0.2">
      <c r="E10551" s="18"/>
      <c r="F10551" s="18"/>
    </row>
    <row r="10552" spans="5:6" ht="15" customHeight="1" x14ac:dyDescent="0.2">
      <c r="E10552" s="18"/>
      <c r="F10552" s="18"/>
    </row>
    <row r="10553" spans="5:6" ht="15" customHeight="1" x14ac:dyDescent="0.2">
      <c r="E10553" s="18"/>
      <c r="F10553" s="18"/>
    </row>
    <row r="10554" spans="5:6" ht="15" customHeight="1" x14ac:dyDescent="0.2">
      <c r="E10554" s="18"/>
      <c r="F10554" s="18"/>
    </row>
    <row r="10555" spans="5:6" ht="15" customHeight="1" x14ac:dyDescent="0.2">
      <c r="E10555" s="18"/>
      <c r="F10555" s="18"/>
    </row>
    <row r="10556" spans="5:6" ht="15" customHeight="1" x14ac:dyDescent="0.2">
      <c r="E10556" s="18"/>
      <c r="F10556" s="18"/>
    </row>
    <row r="10557" spans="5:6" ht="15" customHeight="1" x14ac:dyDescent="0.2">
      <c r="E10557" s="18"/>
      <c r="F10557" s="18"/>
    </row>
    <row r="10558" spans="5:6" ht="15" customHeight="1" x14ac:dyDescent="0.2">
      <c r="E10558" s="18"/>
      <c r="F10558" s="18"/>
    </row>
    <row r="10559" spans="5:6" ht="15" customHeight="1" x14ac:dyDescent="0.2">
      <c r="E10559" s="18"/>
      <c r="F10559" s="18"/>
    </row>
    <row r="10560" spans="5:6" ht="15" customHeight="1" x14ac:dyDescent="0.2">
      <c r="E10560" s="18"/>
      <c r="F10560" s="18"/>
    </row>
    <row r="10561" spans="5:6" ht="15" customHeight="1" x14ac:dyDescent="0.2">
      <c r="E10561" s="18"/>
      <c r="F10561" s="18"/>
    </row>
    <row r="10562" spans="5:6" ht="15" customHeight="1" x14ac:dyDescent="0.2">
      <c r="E10562" s="18"/>
      <c r="F10562" s="18"/>
    </row>
    <row r="10563" spans="5:6" ht="15" customHeight="1" x14ac:dyDescent="0.2">
      <c r="E10563" s="18"/>
      <c r="F10563" s="18"/>
    </row>
    <row r="10564" spans="5:6" ht="15" customHeight="1" x14ac:dyDescent="0.2">
      <c r="E10564" s="18"/>
      <c r="F10564" s="18"/>
    </row>
    <row r="10565" spans="5:6" ht="15" customHeight="1" x14ac:dyDescent="0.2">
      <c r="E10565" s="18"/>
      <c r="F10565" s="18"/>
    </row>
    <row r="10566" spans="5:6" ht="15" customHeight="1" x14ac:dyDescent="0.2">
      <c r="E10566" s="18"/>
      <c r="F10566" s="18"/>
    </row>
    <row r="10567" spans="5:6" ht="15" customHeight="1" x14ac:dyDescent="0.2">
      <c r="E10567" s="18"/>
      <c r="F10567" s="18"/>
    </row>
    <row r="10568" spans="5:6" ht="15" customHeight="1" x14ac:dyDescent="0.2">
      <c r="E10568" s="18"/>
      <c r="F10568" s="18"/>
    </row>
    <row r="10569" spans="5:6" ht="15" customHeight="1" x14ac:dyDescent="0.2">
      <c r="E10569" s="18"/>
      <c r="F10569" s="18"/>
    </row>
    <row r="10570" spans="5:6" ht="15" customHeight="1" x14ac:dyDescent="0.2">
      <c r="E10570" s="18"/>
      <c r="F10570" s="18"/>
    </row>
    <row r="10571" spans="5:6" ht="15" customHeight="1" x14ac:dyDescent="0.2">
      <c r="E10571" s="18"/>
      <c r="F10571" s="18"/>
    </row>
    <row r="10572" spans="5:6" ht="15" customHeight="1" x14ac:dyDescent="0.2">
      <c r="E10572" s="18"/>
      <c r="F10572" s="18"/>
    </row>
    <row r="10573" spans="5:6" ht="15" customHeight="1" x14ac:dyDescent="0.2">
      <c r="E10573" s="18"/>
      <c r="F10573" s="18"/>
    </row>
    <row r="10574" spans="5:6" ht="15" customHeight="1" x14ac:dyDescent="0.2">
      <c r="E10574" s="18"/>
      <c r="F10574" s="18"/>
    </row>
    <row r="10575" spans="5:6" ht="15" customHeight="1" x14ac:dyDescent="0.2">
      <c r="E10575" s="18"/>
      <c r="F10575" s="18"/>
    </row>
    <row r="10576" spans="5:6" ht="15" customHeight="1" x14ac:dyDescent="0.2">
      <c r="E10576" s="18"/>
      <c r="F10576" s="18"/>
    </row>
    <row r="10577" spans="5:6" ht="15" customHeight="1" x14ac:dyDescent="0.2">
      <c r="E10577" s="18"/>
      <c r="F10577" s="18"/>
    </row>
    <row r="10578" spans="5:6" ht="15" customHeight="1" x14ac:dyDescent="0.2">
      <c r="E10578" s="18"/>
      <c r="F10578" s="18"/>
    </row>
    <row r="10579" spans="5:6" ht="15" customHeight="1" x14ac:dyDescent="0.2">
      <c r="E10579" s="18"/>
      <c r="F10579" s="18"/>
    </row>
    <row r="10580" spans="5:6" ht="15" customHeight="1" x14ac:dyDescent="0.2">
      <c r="E10580" s="18"/>
      <c r="F10580" s="18"/>
    </row>
    <row r="10581" spans="5:6" ht="15" customHeight="1" x14ac:dyDescent="0.2">
      <c r="E10581" s="18"/>
      <c r="F10581" s="18"/>
    </row>
    <row r="10582" spans="5:6" ht="15" customHeight="1" x14ac:dyDescent="0.2">
      <c r="E10582" s="18"/>
      <c r="F10582" s="18"/>
    </row>
    <row r="10583" spans="5:6" ht="15" customHeight="1" x14ac:dyDescent="0.2">
      <c r="E10583" s="18"/>
      <c r="F10583" s="18"/>
    </row>
    <row r="10584" spans="5:6" ht="15" customHeight="1" x14ac:dyDescent="0.2">
      <c r="E10584" s="18"/>
      <c r="F10584" s="18"/>
    </row>
    <row r="10585" spans="5:6" ht="15" customHeight="1" x14ac:dyDescent="0.2">
      <c r="E10585" s="18"/>
      <c r="F10585" s="18"/>
    </row>
    <row r="10586" spans="5:6" ht="15" customHeight="1" x14ac:dyDescent="0.2">
      <c r="E10586" s="18"/>
      <c r="F10586" s="18"/>
    </row>
    <row r="10587" spans="5:6" ht="15" customHeight="1" x14ac:dyDescent="0.2">
      <c r="E10587" s="18"/>
      <c r="F10587" s="18"/>
    </row>
    <row r="10588" spans="5:6" ht="15" customHeight="1" x14ac:dyDescent="0.2">
      <c r="E10588" s="18"/>
      <c r="F10588" s="18"/>
    </row>
    <row r="10589" spans="5:6" ht="15" customHeight="1" x14ac:dyDescent="0.2">
      <c r="E10589" s="18"/>
      <c r="F10589" s="18"/>
    </row>
    <row r="10590" spans="5:6" ht="15" customHeight="1" x14ac:dyDescent="0.2">
      <c r="E10590" s="18"/>
      <c r="F10590" s="18"/>
    </row>
    <row r="10591" spans="5:6" ht="15" customHeight="1" x14ac:dyDescent="0.2">
      <c r="E10591" s="18"/>
      <c r="F10591" s="18"/>
    </row>
    <row r="10592" spans="5:6" ht="15" customHeight="1" x14ac:dyDescent="0.2">
      <c r="E10592" s="18"/>
      <c r="F10592" s="18"/>
    </row>
    <row r="10593" spans="5:6" ht="15" customHeight="1" x14ac:dyDescent="0.2">
      <c r="E10593" s="18"/>
      <c r="F10593" s="18"/>
    </row>
    <row r="10594" spans="5:6" ht="15" customHeight="1" x14ac:dyDescent="0.2">
      <c r="E10594" s="18"/>
      <c r="F10594" s="18"/>
    </row>
    <row r="10595" spans="5:6" ht="15" customHeight="1" x14ac:dyDescent="0.2">
      <c r="E10595" s="18"/>
      <c r="F10595" s="18"/>
    </row>
    <row r="10596" spans="5:6" ht="15" customHeight="1" x14ac:dyDescent="0.2">
      <c r="E10596" s="18"/>
      <c r="F10596" s="18"/>
    </row>
    <row r="10597" spans="5:6" ht="15" customHeight="1" x14ac:dyDescent="0.2">
      <c r="E10597" s="18"/>
      <c r="F10597" s="18"/>
    </row>
    <row r="10598" spans="5:6" ht="15" customHeight="1" x14ac:dyDescent="0.2">
      <c r="E10598" s="18"/>
      <c r="F10598" s="18"/>
    </row>
    <row r="10599" spans="5:6" ht="15" customHeight="1" x14ac:dyDescent="0.2">
      <c r="E10599" s="18"/>
      <c r="F10599" s="18"/>
    </row>
    <row r="10600" spans="5:6" ht="15" customHeight="1" x14ac:dyDescent="0.2">
      <c r="E10600" s="18"/>
      <c r="F10600" s="18"/>
    </row>
    <row r="10601" spans="5:6" ht="15" customHeight="1" x14ac:dyDescent="0.2">
      <c r="E10601" s="18"/>
      <c r="F10601" s="18"/>
    </row>
    <row r="10602" spans="5:6" ht="15" customHeight="1" x14ac:dyDescent="0.2">
      <c r="E10602" s="18"/>
      <c r="F10602" s="18"/>
    </row>
    <row r="10603" spans="5:6" ht="15" customHeight="1" x14ac:dyDescent="0.2">
      <c r="E10603" s="18"/>
      <c r="F10603" s="18"/>
    </row>
    <row r="10604" spans="5:6" ht="15" customHeight="1" x14ac:dyDescent="0.2">
      <c r="E10604" s="18"/>
      <c r="F10604" s="18"/>
    </row>
    <row r="10605" spans="5:6" ht="15" customHeight="1" x14ac:dyDescent="0.2">
      <c r="E10605" s="18"/>
      <c r="F10605" s="18"/>
    </row>
    <row r="10606" spans="5:6" ht="15" customHeight="1" x14ac:dyDescent="0.2">
      <c r="E10606" s="18"/>
      <c r="F10606" s="18"/>
    </row>
    <row r="10607" spans="5:6" ht="15" customHeight="1" x14ac:dyDescent="0.2">
      <c r="E10607" s="18"/>
      <c r="F10607" s="18"/>
    </row>
    <row r="10608" spans="5:6" ht="15" customHeight="1" x14ac:dyDescent="0.2">
      <c r="E10608" s="18"/>
      <c r="F10608" s="18"/>
    </row>
    <row r="10609" spans="5:6" ht="15" customHeight="1" x14ac:dyDescent="0.2">
      <c r="E10609" s="18"/>
      <c r="F10609" s="18"/>
    </row>
    <row r="10610" spans="5:6" ht="15" customHeight="1" x14ac:dyDescent="0.2">
      <c r="E10610" s="18"/>
      <c r="F10610" s="18"/>
    </row>
    <row r="10611" spans="5:6" ht="15" customHeight="1" x14ac:dyDescent="0.2">
      <c r="E10611" s="18"/>
      <c r="F10611" s="18"/>
    </row>
    <row r="10612" spans="5:6" ht="15" customHeight="1" x14ac:dyDescent="0.2">
      <c r="E10612" s="18"/>
      <c r="F10612" s="18"/>
    </row>
    <row r="10613" spans="5:6" ht="15" customHeight="1" x14ac:dyDescent="0.2">
      <c r="E10613" s="18"/>
      <c r="F10613" s="18"/>
    </row>
    <row r="10614" spans="5:6" ht="15" customHeight="1" x14ac:dyDescent="0.2">
      <c r="E10614" s="18"/>
      <c r="F10614" s="18"/>
    </row>
    <row r="10615" spans="5:6" ht="15" customHeight="1" x14ac:dyDescent="0.2">
      <c r="E10615" s="18"/>
      <c r="F10615" s="18"/>
    </row>
    <row r="10616" spans="5:6" ht="15" customHeight="1" x14ac:dyDescent="0.2">
      <c r="E10616" s="18"/>
      <c r="F10616" s="18"/>
    </row>
    <row r="10617" spans="5:6" ht="15" customHeight="1" x14ac:dyDescent="0.2">
      <c r="E10617" s="18"/>
      <c r="F10617" s="18"/>
    </row>
    <row r="10618" spans="5:6" ht="15" customHeight="1" x14ac:dyDescent="0.2">
      <c r="E10618" s="18"/>
      <c r="F10618" s="18"/>
    </row>
    <row r="10619" spans="5:6" ht="15" customHeight="1" x14ac:dyDescent="0.2">
      <c r="E10619" s="18"/>
      <c r="F10619" s="18"/>
    </row>
    <row r="10620" spans="5:6" ht="15" customHeight="1" x14ac:dyDescent="0.2">
      <c r="E10620" s="18"/>
      <c r="F10620" s="18"/>
    </row>
    <row r="10621" spans="5:6" ht="15" customHeight="1" x14ac:dyDescent="0.2">
      <c r="E10621" s="18"/>
      <c r="F10621" s="18"/>
    </row>
    <row r="10622" spans="5:6" ht="15" customHeight="1" x14ac:dyDescent="0.2">
      <c r="E10622" s="18"/>
      <c r="F10622" s="18"/>
    </row>
    <row r="10623" spans="5:6" ht="15" customHeight="1" x14ac:dyDescent="0.2">
      <c r="E10623" s="18"/>
      <c r="F10623" s="18"/>
    </row>
    <row r="10624" spans="5:6" ht="15" customHeight="1" x14ac:dyDescent="0.2">
      <c r="E10624" s="18"/>
      <c r="F10624" s="18"/>
    </row>
    <row r="10625" spans="5:6" ht="15" customHeight="1" x14ac:dyDescent="0.2">
      <c r="E10625" s="18"/>
      <c r="F10625" s="18"/>
    </row>
    <row r="10626" spans="5:6" ht="15" customHeight="1" x14ac:dyDescent="0.2">
      <c r="E10626" s="18"/>
      <c r="F10626" s="18"/>
    </row>
    <row r="10627" spans="5:6" ht="15" customHeight="1" x14ac:dyDescent="0.2">
      <c r="E10627" s="18"/>
      <c r="F10627" s="18"/>
    </row>
    <row r="10628" spans="5:6" ht="15" customHeight="1" x14ac:dyDescent="0.2">
      <c r="E10628" s="18"/>
      <c r="F10628" s="18"/>
    </row>
    <row r="10629" spans="5:6" ht="15" customHeight="1" x14ac:dyDescent="0.2">
      <c r="E10629" s="18"/>
      <c r="F10629" s="18"/>
    </row>
    <row r="10630" spans="5:6" ht="15" customHeight="1" x14ac:dyDescent="0.2">
      <c r="E10630" s="18"/>
      <c r="F10630" s="18"/>
    </row>
    <row r="10631" spans="5:6" ht="15" customHeight="1" x14ac:dyDescent="0.2">
      <c r="E10631" s="18"/>
      <c r="F10631" s="18"/>
    </row>
    <row r="10632" spans="5:6" ht="15" customHeight="1" x14ac:dyDescent="0.2">
      <c r="E10632" s="18"/>
      <c r="F10632" s="18"/>
    </row>
    <row r="10633" spans="5:6" ht="15" customHeight="1" x14ac:dyDescent="0.2">
      <c r="E10633" s="18"/>
      <c r="F10633" s="18"/>
    </row>
    <row r="10634" spans="5:6" ht="15" customHeight="1" x14ac:dyDescent="0.2">
      <c r="E10634" s="18"/>
      <c r="F10634" s="18"/>
    </row>
    <row r="10635" spans="5:6" ht="15" customHeight="1" x14ac:dyDescent="0.2">
      <c r="E10635" s="18"/>
      <c r="F10635" s="18"/>
    </row>
    <row r="10636" spans="5:6" ht="15" customHeight="1" x14ac:dyDescent="0.2">
      <c r="E10636" s="18"/>
      <c r="F10636" s="18"/>
    </row>
    <row r="10637" spans="5:6" ht="15" customHeight="1" x14ac:dyDescent="0.2">
      <c r="E10637" s="18"/>
      <c r="F10637" s="18"/>
    </row>
    <row r="10638" spans="5:6" ht="15" customHeight="1" x14ac:dyDescent="0.2">
      <c r="E10638" s="18"/>
      <c r="F10638" s="18"/>
    </row>
    <row r="10639" spans="5:6" ht="15" customHeight="1" x14ac:dyDescent="0.2">
      <c r="E10639" s="18"/>
      <c r="F10639" s="18"/>
    </row>
    <row r="10640" spans="5:6" ht="15" customHeight="1" x14ac:dyDescent="0.2">
      <c r="E10640" s="18"/>
      <c r="F10640" s="18"/>
    </row>
    <row r="10641" spans="5:6" ht="15" customHeight="1" x14ac:dyDescent="0.2">
      <c r="E10641" s="18"/>
      <c r="F10641" s="18"/>
    </row>
    <row r="10642" spans="5:6" ht="15" customHeight="1" x14ac:dyDescent="0.2">
      <c r="E10642" s="18"/>
      <c r="F10642" s="18"/>
    </row>
    <row r="10643" spans="5:6" ht="15" customHeight="1" x14ac:dyDescent="0.2">
      <c r="E10643" s="18"/>
      <c r="F10643" s="18"/>
    </row>
    <row r="10644" spans="5:6" ht="15" customHeight="1" x14ac:dyDescent="0.2">
      <c r="E10644" s="18"/>
      <c r="F10644" s="18"/>
    </row>
    <row r="10645" spans="5:6" ht="15" customHeight="1" x14ac:dyDescent="0.2">
      <c r="E10645" s="18"/>
      <c r="F10645" s="18"/>
    </row>
    <row r="10646" spans="5:6" ht="15" customHeight="1" x14ac:dyDescent="0.2">
      <c r="E10646" s="18"/>
      <c r="F10646" s="18"/>
    </row>
    <row r="10647" spans="5:6" ht="15" customHeight="1" x14ac:dyDescent="0.2">
      <c r="E10647" s="18"/>
      <c r="F10647" s="18"/>
    </row>
    <row r="10648" spans="5:6" ht="15" customHeight="1" x14ac:dyDescent="0.2">
      <c r="E10648" s="18"/>
      <c r="F10648" s="18"/>
    </row>
    <row r="10649" spans="5:6" ht="15" customHeight="1" x14ac:dyDescent="0.2">
      <c r="E10649" s="18"/>
      <c r="F10649" s="18"/>
    </row>
    <row r="10650" spans="5:6" ht="15" customHeight="1" x14ac:dyDescent="0.2">
      <c r="E10650" s="18"/>
      <c r="F10650" s="18"/>
    </row>
    <row r="10651" spans="5:6" ht="15" customHeight="1" x14ac:dyDescent="0.2">
      <c r="E10651" s="18"/>
      <c r="F10651" s="18"/>
    </row>
    <row r="10652" spans="5:6" ht="15" customHeight="1" x14ac:dyDescent="0.2">
      <c r="E10652" s="18"/>
      <c r="F10652" s="18"/>
    </row>
    <row r="10653" spans="5:6" ht="15" customHeight="1" x14ac:dyDescent="0.2">
      <c r="E10653" s="18"/>
      <c r="F10653" s="18"/>
    </row>
    <row r="10654" spans="5:6" ht="15" customHeight="1" x14ac:dyDescent="0.2">
      <c r="E10654" s="18"/>
      <c r="F10654" s="18"/>
    </row>
    <row r="10655" spans="5:6" ht="15" customHeight="1" x14ac:dyDescent="0.2">
      <c r="E10655" s="18"/>
      <c r="F10655" s="18"/>
    </row>
    <row r="10656" spans="5:6" ht="15" customHeight="1" x14ac:dyDescent="0.2">
      <c r="E10656" s="18"/>
      <c r="F10656" s="18"/>
    </row>
    <row r="10657" spans="5:6" ht="15" customHeight="1" x14ac:dyDescent="0.2">
      <c r="E10657" s="18"/>
      <c r="F10657" s="18"/>
    </row>
    <row r="10658" spans="5:6" ht="15" customHeight="1" x14ac:dyDescent="0.2">
      <c r="E10658" s="18"/>
      <c r="F10658" s="18"/>
    </row>
    <row r="10659" spans="5:6" ht="15" customHeight="1" x14ac:dyDescent="0.2">
      <c r="E10659" s="18"/>
      <c r="F10659" s="18"/>
    </row>
    <row r="10660" spans="5:6" ht="15" customHeight="1" x14ac:dyDescent="0.2">
      <c r="E10660" s="18"/>
      <c r="F10660" s="18"/>
    </row>
    <row r="10661" spans="5:6" ht="15" customHeight="1" x14ac:dyDescent="0.2">
      <c r="E10661" s="18"/>
      <c r="F10661" s="18"/>
    </row>
    <row r="10662" spans="5:6" ht="15" customHeight="1" x14ac:dyDescent="0.2">
      <c r="E10662" s="18"/>
      <c r="F10662" s="18"/>
    </row>
    <row r="10663" spans="5:6" ht="15" customHeight="1" x14ac:dyDescent="0.2">
      <c r="E10663" s="18"/>
      <c r="F10663" s="18"/>
    </row>
    <row r="10664" spans="5:6" ht="15" customHeight="1" x14ac:dyDescent="0.2">
      <c r="E10664" s="18"/>
      <c r="F10664" s="18"/>
    </row>
    <row r="10665" spans="5:6" ht="15" customHeight="1" x14ac:dyDescent="0.2">
      <c r="E10665" s="18"/>
      <c r="F10665" s="18"/>
    </row>
    <row r="10666" spans="5:6" ht="15" customHeight="1" x14ac:dyDescent="0.2">
      <c r="E10666" s="18"/>
      <c r="F10666" s="18"/>
    </row>
    <row r="10667" spans="5:6" ht="15" customHeight="1" x14ac:dyDescent="0.2">
      <c r="E10667" s="18"/>
      <c r="F10667" s="18"/>
    </row>
    <row r="10668" spans="5:6" ht="15" customHeight="1" x14ac:dyDescent="0.2">
      <c r="E10668" s="18"/>
      <c r="F10668" s="18"/>
    </row>
    <row r="10669" spans="5:6" ht="15" customHeight="1" x14ac:dyDescent="0.2">
      <c r="E10669" s="18"/>
      <c r="F10669" s="18"/>
    </row>
    <row r="10670" spans="5:6" ht="15" customHeight="1" x14ac:dyDescent="0.2">
      <c r="E10670" s="18"/>
      <c r="F10670" s="18"/>
    </row>
    <row r="10671" spans="5:6" ht="15" customHeight="1" x14ac:dyDescent="0.2">
      <c r="E10671" s="18"/>
      <c r="F10671" s="18"/>
    </row>
    <row r="10672" spans="5:6" ht="15" customHeight="1" x14ac:dyDescent="0.2">
      <c r="E10672" s="18"/>
      <c r="F10672" s="18"/>
    </row>
    <row r="10673" spans="5:6" ht="15" customHeight="1" x14ac:dyDescent="0.2">
      <c r="E10673" s="18"/>
      <c r="F10673" s="18"/>
    </row>
    <row r="10674" spans="5:6" ht="15" customHeight="1" x14ac:dyDescent="0.2">
      <c r="E10674" s="18"/>
      <c r="F10674" s="18"/>
    </row>
    <row r="10675" spans="5:6" ht="15" customHeight="1" x14ac:dyDescent="0.2">
      <c r="E10675" s="18"/>
      <c r="F10675" s="18"/>
    </row>
    <row r="10676" spans="5:6" ht="15" customHeight="1" x14ac:dyDescent="0.2">
      <c r="E10676" s="18"/>
      <c r="F10676" s="18"/>
    </row>
    <row r="10677" spans="5:6" ht="15" customHeight="1" x14ac:dyDescent="0.2">
      <c r="E10677" s="18"/>
      <c r="F10677" s="18"/>
    </row>
    <row r="10678" spans="5:6" ht="15" customHeight="1" x14ac:dyDescent="0.2">
      <c r="E10678" s="18"/>
      <c r="F10678" s="18"/>
    </row>
    <row r="10679" spans="5:6" ht="15" customHeight="1" x14ac:dyDescent="0.2">
      <c r="E10679" s="18"/>
      <c r="F10679" s="18"/>
    </row>
    <row r="10680" spans="5:6" ht="15" customHeight="1" x14ac:dyDescent="0.2">
      <c r="E10680" s="18"/>
      <c r="F10680" s="18"/>
    </row>
    <row r="10681" spans="5:6" ht="15" customHeight="1" x14ac:dyDescent="0.2">
      <c r="E10681" s="18"/>
      <c r="F10681" s="18"/>
    </row>
    <row r="10682" spans="5:6" ht="15" customHeight="1" x14ac:dyDescent="0.2">
      <c r="E10682" s="18"/>
      <c r="F10682" s="18"/>
    </row>
    <row r="10683" spans="5:6" ht="15" customHeight="1" x14ac:dyDescent="0.2">
      <c r="E10683" s="18"/>
      <c r="F10683" s="18"/>
    </row>
    <row r="10684" spans="5:6" ht="15" customHeight="1" x14ac:dyDescent="0.2">
      <c r="E10684" s="18"/>
      <c r="F10684" s="18"/>
    </row>
    <row r="10685" spans="5:6" ht="15" customHeight="1" x14ac:dyDescent="0.2">
      <c r="E10685" s="18"/>
      <c r="F10685" s="18"/>
    </row>
    <row r="10686" spans="5:6" ht="15" customHeight="1" x14ac:dyDescent="0.2">
      <c r="E10686" s="18"/>
      <c r="F10686" s="18"/>
    </row>
    <row r="10687" spans="5:6" ht="15" customHeight="1" x14ac:dyDescent="0.2">
      <c r="E10687" s="18"/>
      <c r="F10687" s="18"/>
    </row>
    <row r="10688" spans="5:6" ht="15" customHeight="1" x14ac:dyDescent="0.2">
      <c r="E10688" s="18"/>
      <c r="F10688" s="18"/>
    </row>
    <row r="10689" spans="5:6" ht="15" customHeight="1" x14ac:dyDescent="0.2">
      <c r="E10689" s="18"/>
      <c r="F10689" s="18"/>
    </row>
    <row r="10690" spans="5:6" ht="15" customHeight="1" x14ac:dyDescent="0.2">
      <c r="E10690" s="18"/>
      <c r="F10690" s="18"/>
    </row>
    <row r="10691" spans="5:6" ht="15" customHeight="1" x14ac:dyDescent="0.2">
      <c r="E10691" s="18"/>
      <c r="F10691" s="18"/>
    </row>
    <row r="10692" spans="5:6" ht="15" customHeight="1" x14ac:dyDescent="0.2">
      <c r="E10692" s="18"/>
      <c r="F10692" s="18"/>
    </row>
    <row r="10693" spans="5:6" ht="15" customHeight="1" x14ac:dyDescent="0.2">
      <c r="E10693" s="18"/>
      <c r="F10693" s="18"/>
    </row>
    <row r="10694" spans="5:6" ht="15" customHeight="1" x14ac:dyDescent="0.2">
      <c r="E10694" s="18"/>
      <c r="F10694" s="18"/>
    </row>
    <row r="10695" spans="5:6" ht="15" customHeight="1" x14ac:dyDescent="0.2">
      <c r="E10695" s="18"/>
      <c r="F10695" s="18"/>
    </row>
    <row r="10696" spans="5:6" ht="15" customHeight="1" x14ac:dyDescent="0.2">
      <c r="E10696" s="18"/>
      <c r="F10696" s="18"/>
    </row>
    <row r="10697" spans="5:6" ht="15" customHeight="1" x14ac:dyDescent="0.2">
      <c r="E10697" s="18"/>
      <c r="F10697" s="18"/>
    </row>
    <row r="10698" spans="5:6" ht="15" customHeight="1" x14ac:dyDescent="0.2">
      <c r="E10698" s="18"/>
      <c r="F10698" s="18"/>
    </row>
    <row r="10699" spans="5:6" ht="15" customHeight="1" x14ac:dyDescent="0.2">
      <c r="E10699" s="18"/>
      <c r="F10699" s="18"/>
    </row>
    <row r="10700" spans="5:6" ht="15" customHeight="1" x14ac:dyDescent="0.2">
      <c r="E10700" s="18"/>
      <c r="F10700" s="18"/>
    </row>
    <row r="10701" spans="5:6" ht="15" customHeight="1" x14ac:dyDescent="0.2">
      <c r="E10701" s="18"/>
      <c r="F10701" s="18"/>
    </row>
    <row r="10702" spans="5:6" ht="15" customHeight="1" x14ac:dyDescent="0.2">
      <c r="E10702" s="18"/>
      <c r="F10702" s="18"/>
    </row>
    <row r="10703" spans="5:6" ht="15" customHeight="1" x14ac:dyDescent="0.2">
      <c r="E10703" s="18"/>
      <c r="F10703" s="18"/>
    </row>
    <row r="10704" spans="5:6" ht="15" customHeight="1" x14ac:dyDescent="0.2">
      <c r="E10704" s="18"/>
      <c r="F10704" s="18"/>
    </row>
    <row r="10705" spans="5:6" ht="15" customHeight="1" x14ac:dyDescent="0.2">
      <c r="E10705" s="18"/>
      <c r="F10705" s="18"/>
    </row>
    <row r="10706" spans="5:6" ht="15" customHeight="1" x14ac:dyDescent="0.2">
      <c r="E10706" s="18"/>
      <c r="F10706" s="18"/>
    </row>
    <row r="10707" spans="5:6" ht="15" customHeight="1" x14ac:dyDescent="0.2">
      <c r="E10707" s="18"/>
      <c r="F10707" s="18"/>
    </row>
    <row r="10708" spans="5:6" ht="15" customHeight="1" x14ac:dyDescent="0.2">
      <c r="E10708" s="18"/>
      <c r="F10708" s="18"/>
    </row>
    <row r="10709" spans="5:6" ht="15" customHeight="1" x14ac:dyDescent="0.2">
      <c r="E10709" s="18"/>
      <c r="F10709" s="18"/>
    </row>
    <row r="10710" spans="5:6" ht="15" customHeight="1" x14ac:dyDescent="0.2">
      <c r="E10710" s="18"/>
      <c r="F10710" s="18"/>
    </row>
    <row r="10711" spans="5:6" ht="15" customHeight="1" x14ac:dyDescent="0.2">
      <c r="E10711" s="18"/>
      <c r="F10711" s="18"/>
    </row>
    <row r="10712" spans="5:6" ht="15" customHeight="1" x14ac:dyDescent="0.2">
      <c r="E10712" s="18"/>
      <c r="F10712" s="18"/>
    </row>
    <row r="10713" spans="5:6" ht="15" customHeight="1" x14ac:dyDescent="0.2">
      <c r="E10713" s="18"/>
      <c r="F10713" s="18"/>
    </row>
    <row r="10714" spans="5:6" ht="15" customHeight="1" x14ac:dyDescent="0.2">
      <c r="E10714" s="18"/>
      <c r="F10714" s="18"/>
    </row>
    <row r="10715" spans="5:6" ht="15" customHeight="1" x14ac:dyDescent="0.2">
      <c r="E10715" s="18"/>
      <c r="F10715" s="18"/>
    </row>
    <row r="10716" spans="5:6" ht="15" customHeight="1" x14ac:dyDescent="0.2">
      <c r="E10716" s="18"/>
      <c r="F10716" s="18"/>
    </row>
    <row r="10717" spans="5:6" ht="15" customHeight="1" x14ac:dyDescent="0.2">
      <c r="E10717" s="18"/>
      <c r="F10717" s="18"/>
    </row>
    <row r="10718" spans="5:6" ht="15" customHeight="1" x14ac:dyDescent="0.2">
      <c r="E10718" s="18"/>
      <c r="F10718" s="18"/>
    </row>
    <row r="10719" spans="5:6" ht="15" customHeight="1" x14ac:dyDescent="0.2">
      <c r="E10719" s="18"/>
      <c r="F10719" s="18"/>
    </row>
    <row r="10720" spans="5:6" ht="15" customHeight="1" x14ac:dyDescent="0.2">
      <c r="E10720" s="18"/>
      <c r="F10720" s="18"/>
    </row>
    <row r="10721" spans="5:6" ht="15" customHeight="1" x14ac:dyDescent="0.2">
      <c r="E10721" s="18"/>
      <c r="F10721" s="18"/>
    </row>
    <row r="10722" spans="5:6" ht="15" customHeight="1" x14ac:dyDescent="0.2">
      <c r="E10722" s="18"/>
      <c r="F10722" s="18"/>
    </row>
    <row r="10723" spans="5:6" ht="15" customHeight="1" x14ac:dyDescent="0.2">
      <c r="E10723" s="18"/>
      <c r="F10723" s="18"/>
    </row>
    <row r="10724" spans="5:6" ht="15" customHeight="1" x14ac:dyDescent="0.2">
      <c r="E10724" s="18"/>
      <c r="F10724" s="18"/>
    </row>
    <row r="10725" spans="5:6" ht="15" customHeight="1" x14ac:dyDescent="0.2">
      <c r="E10725" s="18"/>
      <c r="F10725" s="18"/>
    </row>
    <row r="10726" spans="5:6" ht="15" customHeight="1" x14ac:dyDescent="0.2">
      <c r="E10726" s="18"/>
      <c r="F10726" s="18"/>
    </row>
    <row r="10727" spans="5:6" ht="15" customHeight="1" x14ac:dyDescent="0.2">
      <c r="E10727" s="18"/>
      <c r="F10727" s="18"/>
    </row>
    <row r="10728" spans="5:6" ht="15" customHeight="1" x14ac:dyDescent="0.2">
      <c r="E10728" s="18"/>
      <c r="F10728" s="18"/>
    </row>
    <row r="10729" spans="5:6" ht="15" customHeight="1" x14ac:dyDescent="0.2">
      <c r="E10729" s="18"/>
      <c r="F10729" s="18"/>
    </row>
    <row r="10730" spans="5:6" ht="15" customHeight="1" x14ac:dyDescent="0.2">
      <c r="E10730" s="18"/>
      <c r="F10730" s="18"/>
    </row>
    <row r="10731" spans="5:6" ht="15" customHeight="1" x14ac:dyDescent="0.2">
      <c r="E10731" s="18"/>
      <c r="F10731" s="18"/>
    </row>
    <row r="10732" spans="5:6" ht="15" customHeight="1" x14ac:dyDescent="0.2">
      <c r="E10732" s="18"/>
      <c r="F10732" s="18"/>
    </row>
    <row r="10733" spans="5:6" ht="15" customHeight="1" x14ac:dyDescent="0.2">
      <c r="E10733" s="18"/>
      <c r="F10733" s="18"/>
    </row>
    <row r="10734" spans="5:6" ht="15" customHeight="1" x14ac:dyDescent="0.2">
      <c r="E10734" s="18"/>
      <c r="F10734" s="18"/>
    </row>
    <row r="10735" spans="5:6" ht="15" customHeight="1" x14ac:dyDescent="0.2">
      <c r="E10735" s="18"/>
      <c r="F10735" s="18"/>
    </row>
    <row r="10736" spans="5:6" ht="15" customHeight="1" x14ac:dyDescent="0.2">
      <c r="E10736" s="18"/>
      <c r="F10736" s="18"/>
    </row>
    <row r="10737" spans="5:6" ht="15" customHeight="1" x14ac:dyDescent="0.2">
      <c r="E10737" s="18"/>
      <c r="F10737" s="18"/>
    </row>
    <row r="10738" spans="5:6" ht="15" customHeight="1" x14ac:dyDescent="0.2">
      <c r="E10738" s="18"/>
      <c r="F10738" s="18"/>
    </row>
    <row r="10739" spans="5:6" ht="15" customHeight="1" x14ac:dyDescent="0.2">
      <c r="E10739" s="18"/>
      <c r="F10739" s="18"/>
    </row>
    <row r="10740" spans="5:6" ht="15" customHeight="1" x14ac:dyDescent="0.2">
      <c r="E10740" s="18"/>
      <c r="F10740" s="18"/>
    </row>
    <row r="10741" spans="5:6" ht="15" customHeight="1" x14ac:dyDescent="0.2">
      <c r="E10741" s="18"/>
      <c r="F10741" s="18"/>
    </row>
    <row r="10742" spans="5:6" ht="15" customHeight="1" x14ac:dyDescent="0.2">
      <c r="E10742" s="18"/>
      <c r="F10742" s="18"/>
    </row>
    <row r="10743" spans="5:6" ht="15" customHeight="1" x14ac:dyDescent="0.2">
      <c r="E10743" s="18"/>
      <c r="F10743" s="18"/>
    </row>
    <row r="10744" spans="5:6" ht="15" customHeight="1" x14ac:dyDescent="0.2">
      <c r="E10744" s="18"/>
      <c r="F10744" s="18"/>
    </row>
    <row r="10745" spans="5:6" ht="15" customHeight="1" x14ac:dyDescent="0.2">
      <c r="E10745" s="18"/>
      <c r="F10745" s="18"/>
    </row>
    <row r="10746" spans="5:6" ht="15" customHeight="1" x14ac:dyDescent="0.2">
      <c r="E10746" s="18"/>
      <c r="F10746" s="18"/>
    </row>
    <row r="10747" spans="5:6" ht="15" customHeight="1" x14ac:dyDescent="0.2">
      <c r="E10747" s="18"/>
      <c r="F10747" s="18"/>
    </row>
    <row r="10748" spans="5:6" ht="15" customHeight="1" x14ac:dyDescent="0.2">
      <c r="E10748" s="18"/>
      <c r="F10748" s="18"/>
    </row>
    <row r="10749" spans="5:6" ht="15" customHeight="1" x14ac:dyDescent="0.2">
      <c r="E10749" s="18"/>
      <c r="F10749" s="18"/>
    </row>
    <row r="10750" spans="5:6" ht="15" customHeight="1" x14ac:dyDescent="0.2">
      <c r="E10750" s="18"/>
      <c r="F10750" s="18"/>
    </row>
    <row r="10751" spans="5:6" ht="15" customHeight="1" x14ac:dyDescent="0.2">
      <c r="E10751" s="18"/>
      <c r="F10751" s="18"/>
    </row>
    <row r="10752" spans="5:6" ht="15" customHeight="1" x14ac:dyDescent="0.2">
      <c r="E10752" s="18"/>
      <c r="F10752" s="18"/>
    </row>
    <row r="10753" spans="5:6" ht="15" customHeight="1" x14ac:dyDescent="0.2">
      <c r="E10753" s="18"/>
      <c r="F10753" s="18"/>
    </row>
    <row r="10754" spans="5:6" ht="15" customHeight="1" x14ac:dyDescent="0.2">
      <c r="E10754" s="18"/>
      <c r="F10754" s="18"/>
    </row>
    <row r="10755" spans="5:6" ht="15" customHeight="1" x14ac:dyDescent="0.2">
      <c r="E10755" s="18"/>
      <c r="F10755" s="18"/>
    </row>
    <row r="10756" spans="5:6" ht="15" customHeight="1" x14ac:dyDescent="0.2">
      <c r="E10756" s="18"/>
      <c r="F10756" s="18"/>
    </row>
    <row r="10757" spans="5:6" ht="15" customHeight="1" x14ac:dyDescent="0.2">
      <c r="E10757" s="18"/>
      <c r="F10757" s="18"/>
    </row>
    <row r="10758" spans="5:6" ht="15" customHeight="1" x14ac:dyDescent="0.2">
      <c r="E10758" s="18"/>
      <c r="F10758" s="18"/>
    </row>
    <row r="10759" spans="5:6" ht="15" customHeight="1" x14ac:dyDescent="0.2">
      <c r="E10759" s="18"/>
      <c r="F10759" s="18"/>
    </row>
    <row r="10760" spans="5:6" ht="15" customHeight="1" x14ac:dyDescent="0.2">
      <c r="E10760" s="18"/>
      <c r="F10760" s="18"/>
    </row>
    <row r="10761" spans="5:6" ht="15" customHeight="1" x14ac:dyDescent="0.2">
      <c r="E10761" s="18"/>
      <c r="F10761" s="18"/>
    </row>
    <row r="10762" spans="5:6" ht="15" customHeight="1" x14ac:dyDescent="0.2">
      <c r="E10762" s="18"/>
      <c r="F10762" s="18"/>
    </row>
    <row r="10763" spans="5:6" ht="15" customHeight="1" x14ac:dyDescent="0.2">
      <c r="E10763" s="18"/>
      <c r="F10763" s="18"/>
    </row>
    <row r="10764" spans="5:6" ht="15" customHeight="1" x14ac:dyDescent="0.2">
      <c r="E10764" s="18"/>
      <c r="F10764" s="18"/>
    </row>
    <row r="10765" spans="5:6" ht="15" customHeight="1" x14ac:dyDescent="0.2">
      <c r="E10765" s="18"/>
      <c r="F10765" s="18"/>
    </row>
    <row r="10766" spans="5:6" ht="15" customHeight="1" x14ac:dyDescent="0.2">
      <c r="E10766" s="18"/>
      <c r="F10766" s="18"/>
    </row>
    <row r="10767" spans="5:6" ht="15" customHeight="1" x14ac:dyDescent="0.2">
      <c r="E10767" s="18"/>
      <c r="F10767" s="18"/>
    </row>
    <row r="10768" spans="5:6" ht="15" customHeight="1" x14ac:dyDescent="0.2">
      <c r="E10768" s="18"/>
      <c r="F10768" s="18"/>
    </row>
    <row r="10769" spans="5:6" ht="15" customHeight="1" x14ac:dyDescent="0.2">
      <c r="E10769" s="18"/>
      <c r="F10769" s="18"/>
    </row>
    <row r="10770" spans="5:6" ht="15" customHeight="1" x14ac:dyDescent="0.2">
      <c r="E10770" s="18"/>
      <c r="F10770" s="18"/>
    </row>
    <row r="10771" spans="5:6" ht="15" customHeight="1" x14ac:dyDescent="0.2">
      <c r="E10771" s="18"/>
      <c r="F10771" s="18"/>
    </row>
    <row r="10772" spans="5:6" ht="15" customHeight="1" x14ac:dyDescent="0.2">
      <c r="E10772" s="18"/>
      <c r="F10772" s="18"/>
    </row>
    <row r="10773" spans="5:6" ht="15" customHeight="1" x14ac:dyDescent="0.2">
      <c r="E10773" s="18"/>
      <c r="F10773" s="18"/>
    </row>
    <row r="10774" spans="5:6" ht="15" customHeight="1" x14ac:dyDescent="0.2">
      <c r="E10774" s="18"/>
      <c r="F10774" s="18"/>
    </row>
    <row r="10775" spans="5:6" ht="15" customHeight="1" x14ac:dyDescent="0.2">
      <c r="E10775" s="18"/>
      <c r="F10775" s="18"/>
    </row>
    <row r="10776" spans="5:6" ht="15" customHeight="1" x14ac:dyDescent="0.2">
      <c r="E10776" s="18"/>
      <c r="F10776" s="18"/>
    </row>
    <row r="10777" spans="5:6" ht="15" customHeight="1" x14ac:dyDescent="0.2">
      <c r="E10777" s="18"/>
      <c r="F10777" s="18"/>
    </row>
    <row r="10778" spans="5:6" ht="15" customHeight="1" x14ac:dyDescent="0.2">
      <c r="E10778" s="18"/>
      <c r="F10778" s="18"/>
    </row>
    <row r="10779" spans="5:6" ht="15" customHeight="1" x14ac:dyDescent="0.2">
      <c r="E10779" s="18"/>
      <c r="F10779" s="18"/>
    </row>
    <row r="10780" spans="5:6" ht="15" customHeight="1" x14ac:dyDescent="0.2">
      <c r="E10780" s="18"/>
      <c r="F10780" s="18"/>
    </row>
    <row r="10781" spans="5:6" ht="15" customHeight="1" x14ac:dyDescent="0.2">
      <c r="E10781" s="18"/>
      <c r="F10781" s="18"/>
    </row>
    <row r="10782" spans="5:6" ht="15" customHeight="1" x14ac:dyDescent="0.2">
      <c r="E10782" s="18"/>
      <c r="F10782" s="18"/>
    </row>
    <row r="10783" spans="5:6" ht="15" customHeight="1" x14ac:dyDescent="0.2">
      <c r="E10783" s="18"/>
      <c r="F10783" s="18"/>
    </row>
    <row r="10784" spans="5:6" ht="15" customHeight="1" x14ac:dyDescent="0.2">
      <c r="E10784" s="18"/>
      <c r="F10784" s="18"/>
    </row>
    <row r="10785" spans="5:6" ht="15" customHeight="1" x14ac:dyDescent="0.2">
      <c r="E10785" s="18"/>
      <c r="F10785" s="18"/>
    </row>
    <row r="10786" spans="5:6" ht="15" customHeight="1" x14ac:dyDescent="0.2">
      <c r="E10786" s="18"/>
      <c r="F10786" s="18"/>
    </row>
    <row r="10787" spans="5:6" ht="15" customHeight="1" x14ac:dyDescent="0.2">
      <c r="E10787" s="18"/>
      <c r="F10787" s="18"/>
    </row>
    <row r="10788" spans="5:6" ht="15" customHeight="1" x14ac:dyDescent="0.2">
      <c r="E10788" s="18"/>
      <c r="F10788" s="18"/>
    </row>
    <row r="10789" spans="5:6" ht="15" customHeight="1" x14ac:dyDescent="0.2">
      <c r="E10789" s="18"/>
      <c r="F10789" s="18"/>
    </row>
    <row r="10790" spans="5:6" ht="15" customHeight="1" x14ac:dyDescent="0.2">
      <c r="E10790" s="18"/>
      <c r="F10790" s="18"/>
    </row>
    <row r="10791" spans="5:6" ht="15" customHeight="1" x14ac:dyDescent="0.2">
      <c r="E10791" s="18"/>
      <c r="F10791" s="18"/>
    </row>
    <row r="10792" spans="5:6" ht="15" customHeight="1" x14ac:dyDescent="0.2">
      <c r="E10792" s="18"/>
      <c r="F10792" s="18"/>
    </row>
    <row r="10793" spans="5:6" ht="15" customHeight="1" x14ac:dyDescent="0.2">
      <c r="E10793" s="18"/>
      <c r="F10793" s="18"/>
    </row>
    <row r="10794" spans="5:6" ht="15" customHeight="1" x14ac:dyDescent="0.2">
      <c r="E10794" s="18"/>
      <c r="F10794" s="18"/>
    </row>
    <row r="10795" spans="5:6" ht="15" customHeight="1" x14ac:dyDescent="0.2">
      <c r="E10795" s="18"/>
      <c r="F10795" s="18"/>
    </row>
    <row r="10796" spans="5:6" ht="15" customHeight="1" x14ac:dyDescent="0.2">
      <c r="E10796" s="18"/>
      <c r="F10796" s="18"/>
    </row>
    <row r="10797" spans="5:6" ht="15" customHeight="1" x14ac:dyDescent="0.2">
      <c r="E10797" s="18"/>
      <c r="F10797" s="18"/>
    </row>
    <row r="10798" spans="5:6" ht="15" customHeight="1" x14ac:dyDescent="0.2">
      <c r="E10798" s="18"/>
      <c r="F10798" s="18"/>
    </row>
    <row r="10799" spans="5:6" ht="15" customHeight="1" x14ac:dyDescent="0.2">
      <c r="E10799" s="18"/>
      <c r="F10799" s="18"/>
    </row>
    <row r="10800" spans="5:6" ht="15" customHeight="1" x14ac:dyDescent="0.2">
      <c r="E10800" s="18"/>
      <c r="F10800" s="18"/>
    </row>
    <row r="10801" spans="5:6" ht="15" customHeight="1" x14ac:dyDescent="0.2">
      <c r="E10801" s="18"/>
      <c r="F10801" s="18"/>
    </row>
    <row r="10802" spans="5:6" ht="15" customHeight="1" x14ac:dyDescent="0.2">
      <c r="E10802" s="18"/>
      <c r="F10802" s="18"/>
    </row>
    <row r="10803" spans="5:6" ht="15" customHeight="1" x14ac:dyDescent="0.2">
      <c r="E10803" s="18"/>
      <c r="F10803" s="18"/>
    </row>
    <row r="10804" spans="5:6" ht="15" customHeight="1" x14ac:dyDescent="0.2">
      <c r="E10804" s="18"/>
      <c r="F10804" s="18"/>
    </row>
    <row r="10805" spans="5:6" ht="15" customHeight="1" x14ac:dyDescent="0.2">
      <c r="E10805" s="18"/>
      <c r="F10805" s="18"/>
    </row>
    <row r="10806" spans="5:6" ht="15" customHeight="1" x14ac:dyDescent="0.2">
      <c r="E10806" s="18"/>
      <c r="F10806" s="18"/>
    </row>
    <row r="10807" spans="5:6" ht="15" customHeight="1" x14ac:dyDescent="0.2">
      <c r="E10807" s="18"/>
      <c r="F10807" s="18"/>
    </row>
    <row r="10808" spans="5:6" ht="15" customHeight="1" x14ac:dyDescent="0.2">
      <c r="E10808" s="18"/>
      <c r="F10808" s="18"/>
    </row>
    <row r="10809" spans="5:6" ht="15" customHeight="1" x14ac:dyDescent="0.2">
      <c r="E10809" s="18"/>
      <c r="F10809" s="18"/>
    </row>
    <row r="10810" spans="5:6" ht="15" customHeight="1" x14ac:dyDescent="0.2">
      <c r="E10810" s="18"/>
      <c r="F10810" s="18"/>
    </row>
    <row r="10811" spans="5:6" ht="15" customHeight="1" x14ac:dyDescent="0.2">
      <c r="E10811" s="18"/>
      <c r="F10811" s="18"/>
    </row>
    <row r="10812" spans="5:6" ht="15" customHeight="1" x14ac:dyDescent="0.2">
      <c r="E10812" s="18"/>
      <c r="F10812" s="18"/>
    </row>
    <row r="10813" spans="5:6" ht="15" customHeight="1" x14ac:dyDescent="0.2">
      <c r="E10813" s="18"/>
      <c r="F10813" s="18"/>
    </row>
    <row r="10814" spans="5:6" ht="15" customHeight="1" x14ac:dyDescent="0.2">
      <c r="E10814" s="18"/>
      <c r="F10814" s="18"/>
    </row>
    <row r="10815" spans="5:6" ht="15" customHeight="1" x14ac:dyDescent="0.2">
      <c r="E10815" s="18"/>
      <c r="F10815" s="18"/>
    </row>
    <row r="10816" spans="5:6" ht="15" customHeight="1" x14ac:dyDescent="0.2">
      <c r="E10816" s="18"/>
      <c r="F10816" s="18"/>
    </row>
    <row r="10817" spans="5:6" ht="15" customHeight="1" x14ac:dyDescent="0.2">
      <c r="E10817" s="18"/>
      <c r="F10817" s="18"/>
    </row>
    <row r="10818" spans="5:6" ht="15" customHeight="1" x14ac:dyDescent="0.2">
      <c r="E10818" s="18"/>
      <c r="F10818" s="18"/>
    </row>
    <row r="10819" spans="5:6" ht="15" customHeight="1" x14ac:dyDescent="0.2">
      <c r="E10819" s="18"/>
      <c r="F10819" s="18"/>
    </row>
    <row r="10820" spans="5:6" ht="15" customHeight="1" x14ac:dyDescent="0.2">
      <c r="E10820" s="18"/>
      <c r="F10820" s="18"/>
    </row>
    <row r="10821" spans="5:6" ht="15" customHeight="1" x14ac:dyDescent="0.2">
      <c r="E10821" s="18"/>
      <c r="F10821" s="18"/>
    </row>
    <row r="10822" spans="5:6" ht="15" customHeight="1" x14ac:dyDescent="0.2">
      <c r="E10822" s="18"/>
      <c r="F10822" s="18"/>
    </row>
    <row r="10823" spans="5:6" ht="15" customHeight="1" x14ac:dyDescent="0.2">
      <c r="E10823" s="18"/>
      <c r="F10823" s="18"/>
    </row>
    <row r="10824" spans="5:6" ht="15" customHeight="1" x14ac:dyDescent="0.2">
      <c r="E10824" s="18"/>
      <c r="F10824" s="18"/>
    </row>
    <row r="10825" spans="5:6" ht="15" customHeight="1" x14ac:dyDescent="0.2">
      <c r="E10825" s="18"/>
      <c r="F10825" s="18"/>
    </row>
    <row r="10826" spans="5:6" ht="15" customHeight="1" x14ac:dyDescent="0.2">
      <c r="E10826" s="18"/>
      <c r="F10826" s="18"/>
    </row>
    <row r="10827" spans="5:6" ht="15" customHeight="1" x14ac:dyDescent="0.2">
      <c r="E10827" s="18"/>
      <c r="F10827" s="18"/>
    </row>
    <row r="10828" spans="5:6" ht="15" customHeight="1" x14ac:dyDescent="0.2">
      <c r="E10828" s="18"/>
      <c r="F10828" s="18"/>
    </row>
    <row r="10829" spans="5:6" ht="15" customHeight="1" x14ac:dyDescent="0.2">
      <c r="E10829" s="18"/>
      <c r="F10829" s="18"/>
    </row>
    <row r="10830" spans="5:6" ht="15" customHeight="1" x14ac:dyDescent="0.2">
      <c r="E10830" s="18"/>
      <c r="F10830" s="18"/>
    </row>
    <row r="10831" spans="5:6" ht="15" customHeight="1" x14ac:dyDescent="0.2">
      <c r="E10831" s="18"/>
      <c r="F10831" s="18"/>
    </row>
    <row r="10832" spans="5:6" ht="15" customHeight="1" x14ac:dyDescent="0.2">
      <c r="E10832" s="18"/>
      <c r="F10832" s="18"/>
    </row>
    <row r="10833" spans="5:6" ht="15" customHeight="1" x14ac:dyDescent="0.2">
      <c r="E10833" s="18"/>
      <c r="F10833" s="18"/>
    </row>
    <row r="10834" spans="5:6" ht="15" customHeight="1" x14ac:dyDescent="0.2">
      <c r="E10834" s="18"/>
      <c r="F10834" s="18"/>
    </row>
    <row r="10835" spans="5:6" ht="15" customHeight="1" x14ac:dyDescent="0.2">
      <c r="E10835" s="18"/>
      <c r="F10835" s="18"/>
    </row>
    <row r="10836" spans="5:6" ht="15" customHeight="1" x14ac:dyDescent="0.2">
      <c r="E10836" s="18"/>
      <c r="F10836" s="18"/>
    </row>
    <row r="10837" spans="5:6" ht="15" customHeight="1" x14ac:dyDescent="0.2">
      <c r="E10837" s="18"/>
      <c r="F10837" s="18"/>
    </row>
    <row r="10838" spans="5:6" ht="15" customHeight="1" x14ac:dyDescent="0.2">
      <c r="E10838" s="18"/>
      <c r="F10838" s="18"/>
    </row>
    <row r="10839" spans="5:6" ht="15" customHeight="1" x14ac:dyDescent="0.2">
      <c r="E10839" s="18"/>
      <c r="F10839" s="18"/>
    </row>
    <row r="10840" spans="5:6" ht="15" customHeight="1" x14ac:dyDescent="0.2">
      <c r="E10840" s="18"/>
      <c r="F10840" s="18"/>
    </row>
    <row r="10841" spans="5:6" ht="15" customHeight="1" x14ac:dyDescent="0.2">
      <c r="E10841" s="18"/>
      <c r="F10841" s="18"/>
    </row>
    <row r="10842" spans="5:6" ht="15" customHeight="1" x14ac:dyDescent="0.2">
      <c r="E10842" s="18"/>
      <c r="F10842" s="18"/>
    </row>
    <row r="10843" spans="5:6" ht="15" customHeight="1" x14ac:dyDescent="0.2">
      <c r="E10843" s="18"/>
      <c r="F10843" s="18"/>
    </row>
    <row r="10844" spans="5:6" ht="15" customHeight="1" x14ac:dyDescent="0.2">
      <c r="E10844" s="18"/>
      <c r="F10844" s="18"/>
    </row>
    <row r="10845" spans="5:6" ht="15" customHeight="1" x14ac:dyDescent="0.2">
      <c r="E10845" s="18"/>
      <c r="F10845" s="18"/>
    </row>
    <row r="10846" spans="5:6" ht="15" customHeight="1" x14ac:dyDescent="0.2">
      <c r="E10846" s="18"/>
      <c r="F10846" s="18"/>
    </row>
    <row r="10847" spans="5:6" ht="15" customHeight="1" x14ac:dyDescent="0.2">
      <c r="E10847" s="18"/>
      <c r="F10847" s="18"/>
    </row>
    <row r="10848" spans="5:6" ht="15" customHeight="1" x14ac:dyDescent="0.2">
      <c r="E10848" s="18"/>
      <c r="F10848" s="18"/>
    </row>
    <row r="10849" spans="5:6" ht="15" customHeight="1" x14ac:dyDescent="0.2">
      <c r="E10849" s="18"/>
      <c r="F10849" s="18"/>
    </row>
    <row r="10850" spans="5:6" ht="15" customHeight="1" x14ac:dyDescent="0.2">
      <c r="E10850" s="18"/>
      <c r="F10850" s="18"/>
    </row>
    <row r="10851" spans="5:6" ht="15" customHeight="1" x14ac:dyDescent="0.2">
      <c r="E10851" s="18"/>
      <c r="F10851" s="18"/>
    </row>
    <row r="10852" spans="5:6" ht="15" customHeight="1" x14ac:dyDescent="0.2">
      <c r="E10852" s="18"/>
      <c r="F10852" s="18"/>
    </row>
    <row r="10853" spans="5:6" ht="15" customHeight="1" x14ac:dyDescent="0.2">
      <c r="E10853" s="18"/>
      <c r="F10853" s="18"/>
    </row>
    <row r="10854" spans="5:6" ht="15" customHeight="1" x14ac:dyDescent="0.2">
      <c r="E10854" s="18"/>
      <c r="F10854" s="18"/>
    </row>
    <row r="10855" spans="5:6" ht="15" customHeight="1" x14ac:dyDescent="0.2">
      <c r="E10855" s="18"/>
      <c r="F10855" s="18"/>
    </row>
    <row r="10856" spans="5:6" ht="15" customHeight="1" x14ac:dyDescent="0.2">
      <c r="E10856" s="18"/>
      <c r="F10856" s="18"/>
    </row>
    <row r="10857" spans="5:6" ht="15" customHeight="1" x14ac:dyDescent="0.2">
      <c r="E10857" s="18"/>
      <c r="F10857" s="18"/>
    </row>
    <row r="10858" spans="5:6" ht="15" customHeight="1" x14ac:dyDescent="0.2">
      <c r="E10858" s="18"/>
      <c r="F10858" s="18"/>
    </row>
    <row r="10859" spans="5:6" ht="15" customHeight="1" x14ac:dyDescent="0.2">
      <c r="E10859" s="18"/>
      <c r="F10859" s="18"/>
    </row>
    <row r="10860" spans="5:6" ht="15" customHeight="1" x14ac:dyDescent="0.2">
      <c r="E10860" s="18"/>
      <c r="F10860" s="18"/>
    </row>
    <row r="10861" spans="5:6" ht="15" customHeight="1" x14ac:dyDescent="0.2">
      <c r="E10861" s="18"/>
      <c r="F10861" s="18"/>
    </row>
    <row r="10862" spans="5:6" ht="15" customHeight="1" x14ac:dyDescent="0.2">
      <c r="E10862" s="18"/>
      <c r="F10862" s="18"/>
    </row>
    <row r="10863" spans="5:6" ht="15" customHeight="1" x14ac:dyDescent="0.2">
      <c r="E10863" s="18"/>
      <c r="F10863" s="18"/>
    </row>
    <row r="10864" spans="5:6" ht="15" customHeight="1" x14ac:dyDescent="0.2">
      <c r="E10864" s="18"/>
      <c r="F10864" s="18"/>
    </row>
    <row r="10865" spans="5:6" ht="15" customHeight="1" x14ac:dyDescent="0.2">
      <c r="E10865" s="18"/>
      <c r="F10865" s="18"/>
    </row>
    <row r="10866" spans="5:6" ht="15" customHeight="1" x14ac:dyDescent="0.2">
      <c r="E10866" s="18"/>
      <c r="F10866" s="18"/>
    </row>
    <row r="10867" spans="5:6" ht="15" customHeight="1" x14ac:dyDescent="0.2">
      <c r="E10867" s="18"/>
      <c r="F10867" s="18"/>
    </row>
    <row r="10868" spans="5:6" ht="15" customHeight="1" x14ac:dyDescent="0.2">
      <c r="E10868" s="18"/>
      <c r="F10868" s="18"/>
    </row>
    <row r="10869" spans="5:6" ht="15" customHeight="1" x14ac:dyDescent="0.2">
      <c r="E10869" s="18"/>
      <c r="F10869" s="18"/>
    </row>
    <row r="10870" spans="5:6" ht="15" customHeight="1" x14ac:dyDescent="0.2">
      <c r="E10870" s="18"/>
      <c r="F10870" s="18"/>
    </row>
    <row r="10871" spans="5:6" ht="15" customHeight="1" x14ac:dyDescent="0.2">
      <c r="E10871" s="18"/>
      <c r="F10871" s="18"/>
    </row>
    <row r="10872" spans="5:6" ht="15" customHeight="1" x14ac:dyDescent="0.2">
      <c r="E10872" s="18"/>
      <c r="F10872" s="18"/>
    </row>
    <row r="10873" spans="5:6" ht="15" customHeight="1" x14ac:dyDescent="0.2">
      <c r="E10873" s="18"/>
      <c r="F10873" s="18"/>
    </row>
    <row r="10874" spans="5:6" ht="15" customHeight="1" x14ac:dyDescent="0.2">
      <c r="E10874" s="18"/>
      <c r="F10874" s="18"/>
    </row>
    <row r="10875" spans="5:6" ht="15" customHeight="1" x14ac:dyDescent="0.2">
      <c r="E10875" s="18"/>
      <c r="F10875" s="18"/>
    </row>
    <row r="10876" spans="5:6" ht="15" customHeight="1" x14ac:dyDescent="0.2">
      <c r="E10876" s="18"/>
      <c r="F10876" s="18"/>
    </row>
    <row r="10877" spans="5:6" ht="15" customHeight="1" x14ac:dyDescent="0.2">
      <c r="E10877" s="18"/>
      <c r="F10877" s="18"/>
    </row>
    <row r="10878" spans="5:6" ht="15" customHeight="1" x14ac:dyDescent="0.2">
      <c r="E10878" s="18"/>
      <c r="F10878" s="18"/>
    </row>
    <row r="10879" spans="5:6" ht="15" customHeight="1" x14ac:dyDescent="0.2">
      <c r="E10879" s="18"/>
      <c r="F10879" s="18"/>
    </row>
    <row r="10880" spans="5:6" ht="15" customHeight="1" x14ac:dyDescent="0.2">
      <c r="E10880" s="18"/>
      <c r="F10880" s="18"/>
    </row>
    <row r="10881" spans="5:6" ht="15" customHeight="1" x14ac:dyDescent="0.2">
      <c r="E10881" s="18"/>
      <c r="F10881" s="18"/>
    </row>
    <row r="10882" spans="5:6" ht="15" customHeight="1" x14ac:dyDescent="0.2">
      <c r="E10882" s="18"/>
      <c r="F10882" s="18"/>
    </row>
    <row r="10883" spans="5:6" ht="15" customHeight="1" x14ac:dyDescent="0.2">
      <c r="E10883" s="18"/>
      <c r="F10883" s="18"/>
    </row>
    <row r="10884" spans="5:6" ht="15" customHeight="1" x14ac:dyDescent="0.2">
      <c r="E10884" s="18"/>
      <c r="F10884" s="18"/>
    </row>
    <row r="10885" spans="5:6" ht="15" customHeight="1" x14ac:dyDescent="0.2">
      <c r="E10885" s="18"/>
      <c r="F10885" s="18"/>
    </row>
    <row r="10886" spans="5:6" ht="15" customHeight="1" x14ac:dyDescent="0.2">
      <c r="E10886" s="18"/>
      <c r="F10886" s="18"/>
    </row>
    <row r="10887" spans="5:6" ht="15" customHeight="1" x14ac:dyDescent="0.2">
      <c r="E10887" s="18"/>
      <c r="F10887" s="18"/>
    </row>
    <row r="10888" spans="5:6" ht="15" customHeight="1" x14ac:dyDescent="0.2">
      <c r="E10888" s="18"/>
      <c r="F10888" s="18"/>
    </row>
    <row r="10889" spans="5:6" ht="15" customHeight="1" x14ac:dyDescent="0.2">
      <c r="E10889" s="18"/>
      <c r="F10889" s="18"/>
    </row>
    <row r="10890" spans="5:6" ht="15" customHeight="1" x14ac:dyDescent="0.2">
      <c r="E10890" s="18"/>
      <c r="F10890" s="18"/>
    </row>
    <row r="10891" spans="5:6" ht="15" customHeight="1" x14ac:dyDescent="0.2">
      <c r="E10891" s="18"/>
      <c r="F10891" s="18"/>
    </row>
    <row r="10892" spans="5:6" ht="15" customHeight="1" x14ac:dyDescent="0.2">
      <c r="E10892" s="18"/>
      <c r="F10892" s="18"/>
    </row>
    <row r="10893" spans="5:6" ht="15" customHeight="1" x14ac:dyDescent="0.2">
      <c r="E10893" s="18"/>
      <c r="F10893" s="18"/>
    </row>
    <row r="10894" spans="5:6" ht="15" customHeight="1" x14ac:dyDescent="0.2">
      <c r="E10894" s="18"/>
      <c r="F10894" s="18"/>
    </row>
    <row r="10895" spans="5:6" ht="15" customHeight="1" x14ac:dyDescent="0.2">
      <c r="E10895" s="18"/>
      <c r="F10895" s="18"/>
    </row>
    <row r="10896" spans="5:6" ht="15" customHeight="1" x14ac:dyDescent="0.2">
      <c r="E10896" s="18"/>
      <c r="F10896" s="18"/>
    </row>
    <row r="10897" spans="5:6" ht="15" customHeight="1" x14ac:dyDescent="0.2">
      <c r="E10897" s="18"/>
      <c r="F10897" s="18"/>
    </row>
    <row r="10898" spans="5:6" ht="15" customHeight="1" x14ac:dyDescent="0.2">
      <c r="E10898" s="18"/>
      <c r="F10898" s="18"/>
    </row>
    <row r="10899" spans="5:6" ht="15" customHeight="1" x14ac:dyDescent="0.2">
      <c r="E10899" s="18"/>
      <c r="F10899" s="18"/>
    </row>
    <row r="10900" spans="5:6" ht="15" customHeight="1" x14ac:dyDescent="0.2">
      <c r="E10900" s="18"/>
      <c r="F10900" s="18"/>
    </row>
    <row r="10901" spans="5:6" ht="15" customHeight="1" x14ac:dyDescent="0.2">
      <c r="E10901" s="18"/>
      <c r="F10901" s="18"/>
    </row>
    <row r="10902" spans="5:6" ht="15" customHeight="1" x14ac:dyDescent="0.2">
      <c r="E10902" s="18"/>
      <c r="F10902" s="18"/>
    </row>
    <row r="10903" spans="5:6" ht="15" customHeight="1" x14ac:dyDescent="0.2">
      <c r="E10903" s="18"/>
      <c r="F10903" s="18"/>
    </row>
    <row r="10904" spans="5:6" ht="15" customHeight="1" x14ac:dyDescent="0.2">
      <c r="E10904" s="18"/>
      <c r="F10904" s="18"/>
    </row>
    <row r="10905" spans="5:6" ht="15" customHeight="1" x14ac:dyDescent="0.2">
      <c r="E10905" s="18"/>
      <c r="F10905" s="18"/>
    </row>
    <row r="10906" spans="5:6" ht="15" customHeight="1" x14ac:dyDescent="0.2">
      <c r="E10906" s="18"/>
      <c r="F10906" s="18"/>
    </row>
    <row r="10907" spans="5:6" ht="15" customHeight="1" x14ac:dyDescent="0.2">
      <c r="E10907" s="18"/>
      <c r="F10907" s="18"/>
    </row>
    <row r="10908" spans="5:6" ht="15" customHeight="1" x14ac:dyDescent="0.2">
      <c r="E10908" s="18"/>
      <c r="F10908" s="18"/>
    </row>
    <row r="10909" spans="5:6" ht="15" customHeight="1" x14ac:dyDescent="0.2">
      <c r="E10909" s="18"/>
      <c r="F10909" s="18"/>
    </row>
    <row r="10910" spans="5:6" ht="15" customHeight="1" x14ac:dyDescent="0.2">
      <c r="E10910" s="18"/>
      <c r="F10910" s="18"/>
    </row>
    <row r="10911" spans="5:6" ht="15" customHeight="1" x14ac:dyDescent="0.2">
      <c r="E10911" s="18"/>
      <c r="F10911" s="18"/>
    </row>
    <row r="10912" spans="5:6" ht="15" customHeight="1" x14ac:dyDescent="0.2">
      <c r="E10912" s="18"/>
      <c r="F10912" s="18"/>
    </row>
    <row r="10913" spans="5:6" ht="15" customHeight="1" x14ac:dyDescent="0.2">
      <c r="E10913" s="18"/>
      <c r="F10913" s="18"/>
    </row>
    <row r="10914" spans="5:6" ht="15" customHeight="1" x14ac:dyDescent="0.2">
      <c r="E10914" s="18"/>
      <c r="F10914" s="18"/>
    </row>
    <row r="10915" spans="5:6" ht="15" customHeight="1" x14ac:dyDescent="0.2">
      <c r="E10915" s="18"/>
      <c r="F10915" s="18"/>
    </row>
    <row r="10916" spans="5:6" ht="15" customHeight="1" x14ac:dyDescent="0.2">
      <c r="E10916" s="18"/>
      <c r="F10916" s="18"/>
    </row>
    <row r="10917" spans="5:6" ht="15" customHeight="1" x14ac:dyDescent="0.2">
      <c r="E10917" s="18"/>
      <c r="F10917" s="18"/>
    </row>
    <row r="10918" spans="5:6" ht="15" customHeight="1" x14ac:dyDescent="0.2">
      <c r="E10918" s="18"/>
      <c r="F10918" s="18"/>
    </row>
    <row r="10919" spans="5:6" ht="15" customHeight="1" x14ac:dyDescent="0.2">
      <c r="E10919" s="18"/>
      <c r="F10919" s="18"/>
    </row>
    <row r="10920" spans="5:6" ht="15" customHeight="1" x14ac:dyDescent="0.2">
      <c r="E10920" s="18"/>
      <c r="F10920" s="18"/>
    </row>
    <row r="10921" spans="5:6" ht="15" customHeight="1" x14ac:dyDescent="0.2">
      <c r="E10921" s="18"/>
      <c r="F10921" s="18"/>
    </row>
    <row r="10922" spans="5:6" ht="15" customHeight="1" x14ac:dyDescent="0.2">
      <c r="E10922" s="18"/>
      <c r="F10922" s="18"/>
    </row>
    <row r="10923" spans="5:6" ht="15" customHeight="1" x14ac:dyDescent="0.2">
      <c r="E10923" s="18"/>
      <c r="F10923" s="18"/>
    </row>
    <row r="10924" spans="5:6" ht="15" customHeight="1" x14ac:dyDescent="0.2">
      <c r="E10924" s="18"/>
      <c r="F10924" s="18"/>
    </row>
    <row r="10925" spans="5:6" ht="15" customHeight="1" x14ac:dyDescent="0.2">
      <c r="E10925" s="18"/>
      <c r="F10925" s="18"/>
    </row>
    <row r="10926" spans="5:6" ht="15" customHeight="1" x14ac:dyDescent="0.2">
      <c r="E10926" s="18"/>
      <c r="F10926" s="18"/>
    </row>
    <row r="10927" spans="5:6" ht="15" customHeight="1" x14ac:dyDescent="0.2">
      <c r="E10927" s="18"/>
      <c r="F10927" s="18"/>
    </row>
    <row r="10928" spans="5:6" ht="15" customHeight="1" x14ac:dyDescent="0.2">
      <c r="E10928" s="18"/>
      <c r="F10928" s="18"/>
    </row>
    <row r="10929" spans="5:6" ht="15" customHeight="1" x14ac:dyDescent="0.2">
      <c r="E10929" s="18"/>
      <c r="F10929" s="18"/>
    </row>
    <row r="10930" spans="5:6" ht="15" customHeight="1" x14ac:dyDescent="0.2">
      <c r="E10930" s="18"/>
      <c r="F10930" s="18"/>
    </row>
    <row r="10931" spans="5:6" ht="15" customHeight="1" x14ac:dyDescent="0.2">
      <c r="E10931" s="18"/>
      <c r="F10931" s="18"/>
    </row>
    <row r="10932" spans="5:6" ht="15" customHeight="1" x14ac:dyDescent="0.2">
      <c r="E10932" s="18"/>
      <c r="F10932" s="18"/>
    </row>
    <row r="10933" spans="5:6" ht="15" customHeight="1" x14ac:dyDescent="0.2">
      <c r="E10933" s="18"/>
      <c r="F10933" s="18"/>
    </row>
    <row r="10934" spans="5:6" ht="15" customHeight="1" x14ac:dyDescent="0.2">
      <c r="E10934" s="18"/>
      <c r="F10934" s="18"/>
    </row>
    <row r="10935" spans="5:6" ht="15" customHeight="1" x14ac:dyDescent="0.2">
      <c r="E10935" s="18"/>
      <c r="F10935" s="18"/>
    </row>
    <row r="10936" spans="5:6" ht="15" customHeight="1" x14ac:dyDescent="0.2">
      <c r="E10936" s="18"/>
      <c r="F10936" s="18"/>
    </row>
    <row r="10937" spans="5:6" ht="15" customHeight="1" x14ac:dyDescent="0.2">
      <c r="E10937" s="18"/>
      <c r="F10937" s="18"/>
    </row>
    <row r="10938" spans="5:6" ht="15" customHeight="1" x14ac:dyDescent="0.2">
      <c r="E10938" s="18"/>
      <c r="F10938" s="18"/>
    </row>
    <row r="10939" spans="5:6" ht="15" customHeight="1" x14ac:dyDescent="0.2">
      <c r="E10939" s="18"/>
      <c r="F10939" s="18"/>
    </row>
    <row r="10940" spans="5:6" ht="15" customHeight="1" x14ac:dyDescent="0.2">
      <c r="E10940" s="18"/>
      <c r="F10940" s="18"/>
    </row>
    <row r="10941" spans="5:6" ht="15" customHeight="1" x14ac:dyDescent="0.2">
      <c r="E10941" s="18"/>
      <c r="F10941" s="18"/>
    </row>
    <row r="10942" spans="5:6" ht="15" customHeight="1" x14ac:dyDescent="0.2">
      <c r="E10942" s="18"/>
      <c r="F10942" s="18"/>
    </row>
    <row r="10943" spans="5:6" ht="15" customHeight="1" x14ac:dyDescent="0.2">
      <c r="E10943" s="18"/>
      <c r="F10943" s="18"/>
    </row>
    <row r="10944" spans="5:6" ht="15" customHeight="1" x14ac:dyDescent="0.2">
      <c r="E10944" s="18"/>
      <c r="F10944" s="18"/>
    </row>
    <row r="10945" spans="5:6" ht="15" customHeight="1" x14ac:dyDescent="0.2">
      <c r="E10945" s="18"/>
      <c r="F10945" s="18"/>
    </row>
    <row r="10946" spans="5:6" ht="15" customHeight="1" x14ac:dyDescent="0.2">
      <c r="E10946" s="18"/>
      <c r="F10946" s="18"/>
    </row>
    <row r="10947" spans="5:6" ht="15" customHeight="1" x14ac:dyDescent="0.2">
      <c r="E10947" s="18"/>
      <c r="F10947" s="18"/>
    </row>
    <row r="10948" spans="5:6" ht="15" customHeight="1" x14ac:dyDescent="0.2">
      <c r="E10948" s="18"/>
      <c r="F10948" s="18"/>
    </row>
    <row r="10949" spans="5:6" ht="15" customHeight="1" x14ac:dyDescent="0.2">
      <c r="E10949" s="18"/>
      <c r="F10949" s="18"/>
    </row>
    <row r="10950" spans="5:6" ht="15" customHeight="1" x14ac:dyDescent="0.2">
      <c r="E10950" s="18"/>
      <c r="F10950" s="18"/>
    </row>
    <row r="10951" spans="5:6" ht="15" customHeight="1" x14ac:dyDescent="0.2">
      <c r="E10951" s="18"/>
      <c r="F10951" s="18"/>
    </row>
    <row r="10952" spans="5:6" ht="15" customHeight="1" x14ac:dyDescent="0.2">
      <c r="E10952" s="18"/>
      <c r="F10952" s="18"/>
    </row>
    <row r="10953" spans="5:6" ht="15" customHeight="1" x14ac:dyDescent="0.2">
      <c r="E10953" s="18"/>
      <c r="F10953" s="18"/>
    </row>
    <row r="10954" spans="5:6" ht="15" customHeight="1" x14ac:dyDescent="0.2">
      <c r="E10954" s="18"/>
      <c r="F10954" s="18"/>
    </row>
    <row r="10955" spans="5:6" ht="15" customHeight="1" x14ac:dyDescent="0.2">
      <c r="E10955" s="18"/>
      <c r="F10955" s="18"/>
    </row>
    <row r="10956" spans="5:6" ht="15" customHeight="1" x14ac:dyDescent="0.2">
      <c r="E10956" s="18"/>
      <c r="F10956" s="18"/>
    </row>
    <row r="10957" spans="5:6" ht="15" customHeight="1" x14ac:dyDescent="0.2">
      <c r="E10957" s="18"/>
      <c r="F10957" s="18"/>
    </row>
    <row r="10958" spans="5:6" ht="15" customHeight="1" x14ac:dyDescent="0.2">
      <c r="E10958" s="18"/>
      <c r="F10958" s="18"/>
    </row>
    <row r="10959" spans="5:6" ht="15" customHeight="1" x14ac:dyDescent="0.2">
      <c r="E10959" s="18"/>
      <c r="F10959" s="18"/>
    </row>
    <row r="10960" spans="5:6" ht="15" customHeight="1" x14ac:dyDescent="0.2">
      <c r="E10960" s="18"/>
      <c r="F10960" s="18"/>
    </row>
    <row r="10961" spans="5:6" ht="15" customHeight="1" x14ac:dyDescent="0.2">
      <c r="E10961" s="18"/>
      <c r="F10961" s="18"/>
    </row>
    <row r="10962" spans="5:6" ht="15" customHeight="1" x14ac:dyDescent="0.2">
      <c r="E10962" s="18"/>
      <c r="F10962" s="18"/>
    </row>
    <row r="10963" spans="5:6" ht="15" customHeight="1" x14ac:dyDescent="0.2">
      <c r="E10963" s="18"/>
      <c r="F10963" s="18"/>
    </row>
    <row r="10964" spans="5:6" ht="15" customHeight="1" x14ac:dyDescent="0.2">
      <c r="E10964" s="18"/>
      <c r="F10964" s="18"/>
    </row>
    <row r="10965" spans="5:6" ht="15" customHeight="1" x14ac:dyDescent="0.2">
      <c r="E10965" s="18"/>
      <c r="F10965" s="18"/>
    </row>
    <row r="10966" spans="5:6" ht="15" customHeight="1" x14ac:dyDescent="0.2">
      <c r="E10966" s="18"/>
      <c r="F10966" s="18"/>
    </row>
    <row r="10967" spans="5:6" ht="15" customHeight="1" x14ac:dyDescent="0.2">
      <c r="E10967" s="18"/>
      <c r="F10967" s="18"/>
    </row>
    <row r="10968" spans="5:6" ht="15" customHeight="1" x14ac:dyDescent="0.2">
      <c r="E10968" s="18"/>
      <c r="F10968" s="18"/>
    </row>
    <row r="10969" spans="5:6" ht="15" customHeight="1" x14ac:dyDescent="0.2">
      <c r="E10969" s="18"/>
      <c r="F10969" s="18"/>
    </row>
    <row r="10970" spans="5:6" ht="15" customHeight="1" x14ac:dyDescent="0.2">
      <c r="E10970" s="18"/>
      <c r="F10970" s="18"/>
    </row>
    <row r="10971" spans="5:6" ht="15" customHeight="1" x14ac:dyDescent="0.2">
      <c r="E10971" s="18"/>
      <c r="F10971" s="18"/>
    </row>
    <row r="10972" spans="5:6" ht="15" customHeight="1" x14ac:dyDescent="0.2">
      <c r="E10972" s="18"/>
      <c r="F10972" s="18"/>
    </row>
    <row r="10973" spans="5:6" ht="15" customHeight="1" x14ac:dyDescent="0.2">
      <c r="E10973" s="18"/>
      <c r="F10973" s="18"/>
    </row>
    <row r="10974" spans="5:6" ht="15" customHeight="1" x14ac:dyDescent="0.2">
      <c r="E10974" s="18"/>
      <c r="F10974" s="18"/>
    </row>
    <row r="10975" spans="5:6" ht="15" customHeight="1" x14ac:dyDescent="0.2">
      <c r="E10975" s="18"/>
      <c r="F10975" s="18"/>
    </row>
    <row r="10976" spans="5:6" ht="15" customHeight="1" x14ac:dyDescent="0.2">
      <c r="E10976" s="18"/>
      <c r="F10976" s="18"/>
    </row>
    <row r="10977" spans="5:6" ht="15" customHeight="1" x14ac:dyDescent="0.2">
      <c r="E10977" s="18"/>
      <c r="F10977" s="18"/>
    </row>
    <row r="10978" spans="5:6" ht="15" customHeight="1" x14ac:dyDescent="0.2">
      <c r="E10978" s="18"/>
      <c r="F10978" s="18"/>
    </row>
    <row r="10979" spans="5:6" ht="15" customHeight="1" x14ac:dyDescent="0.2">
      <c r="E10979" s="18"/>
      <c r="F10979" s="18"/>
    </row>
    <row r="10980" spans="5:6" ht="15" customHeight="1" x14ac:dyDescent="0.2">
      <c r="E10980" s="18"/>
      <c r="F10980" s="18"/>
    </row>
    <row r="10981" spans="5:6" ht="15" customHeight="1" x14ac:dyDescent="0.2">
      <c r="E10981" s="18"/>
      <c r="F10981" s="18"/>
    </row>
    <row r="10982" spans="5:6" ht="15" customHeight="1" x14ac:dyDescent="0.2">
      <c r="E10982" s="18"/>
      <c r="F10982" s="18"/>
    </row>
    <row r="10983" spans="5:6" ht="15" customHeight="1" x14ac:dyDescent="0.2">
      <c r="E10983" s="18"/>
      <c r="F10983" s="18"/>
    </row>
    <row r="10984" spans="5:6" ht="15" customHeight="1" x14ac:dyDescent="0.2">
      <c r="E10984" s="18"/>
      <c r="F10984" s="18"/>
    </row>
    <row r="10985" spans="5:6" ht="15" customHeight="1" x14ac:dyDescent="0.2">
      <c r="E10985" s="18"/>
      <c r="F10985" s="18"/>
    </row>
    <row r="10986" spans="5:6" ht="15" customHeight="1" x14ac:dyDescent="0.2">
      <c r="E10986" s="18"/>
      <c r="F10986" s="18"/>
    </row>
    <row r="10987" spans="5:6" ht="15" customHeight="1" x14ac:dyDescent="0.2">
      <c r="E10987" s="18"/>
      <c r="F10987" s="18"/>
    </row>
    <row r="10988" spans="5:6" ht="15" customHeight="1" x14ac:dyDescent="0.2">
      <c r="E10988" s="18"/>
      <c r="F10988" s="18"/>
    </row>
    <row r="10989" spans="5:6" ht="15" customHeight="1" x14ac:dyDescent="0.2">
      <c r="E10989" s="18"/>
      <c r="F10989" s="18"/>
    </row>
    <row r="10990" spans="5:6" ht="15" customHeight="1" x14ac:dyDescent="0.2">
      <c r="E10990" s="18"/>
      <c r="F10990" s="18"/>
    </row>
    <row r="10991" spans="5:6" ht="15" customHeight="1" x14ac:dyDescent="0.2">
      <c r="E10991" s="18"/>
      <c r="F10991" s="18"/>
    </row>
    <row r="10992" spans="5:6" ht="15" customHeight="1" x14ac:dyDescent="0.2">
      <c r="E10992" s="18"/>
      <c r="F10992" s="18"/>
    </row>
    <row r="10993" spans="5:6" ht="15" customHeight="1" x14ac:dyDescent="0.2">
      <c r="E10993" s="18"/>
      <c r="F10993" s="18"/>
    </row>
    <row r="10994" spans="5:6" ht="15" customHeight="1" x14ac:dyDescent="0.2">
      <c r="E10994" s="18"/>
      <c r="F10994" s="18"/>
    </row>
    <row r="10995" spans="5:6" ht="15" customHeight="1" x14ac:dyDescent="0.2">
      <c r="E10995" s="18"/>
      <c r="F10995" s="18"/>
    </row>
    <row r="10996" spans="5:6" ht="15" customHeight="1" x14ac:dyDescent="0.2">
      <c r="E10996" s="18"/>
      <c r="F10996" s="18"/>
    </row>
    <row r="10997" spans="5:6" ht="15" customHeight="1" x14ac:dyDescent="0.2">
      <c r="E10997" s="18"/>
      <c r="F10997" s="18"/>
    </row>
    <row r="10998" spans="5:6" ht="15" customHeight="1" x14ac:dyDescent="0.2">
      <c r="E10998" s="18"/>
      <c r="F10998" s="18"/>
    </row>
    <row r="10999" spans="5:6" ht="15" customHeight="1" x14ac:dyDescent="0.2">
      <c r="E10999" s="18"/>
      <c r="F10999" s="18"/>
    </row>
    <row r="11000" spans="5:6" ht="15" customHeight="1" x14ac:dyDescent="0.2">
      <c r="E11000" s="18"/>
      <c r="F11000" s="18"/>
    </row>
    <row r="11001" spans="5:6" ht="15" customHeight="1" x14ac:dyDescent="0.2">
      <c r="E11001" s="18"/>
      <c r="F11001" s="18"/>
    </row>
    <row r="11002" spans="5:6" ht="15" customHeight="1" x14ac:dyDescent="0.2">
      <c r="E11002" s="18"/>
      <c r="F11002" s="18"/>
    </row>
    <row r="11003" spans="5:6" ht="15" customHeight="1" x14ac:dyDescent="0.2">
      <c r="E11003" s="18"/>
      <c r="F11003" s="18"/>
    </row>
    <row r="11004" spans="5:6" ht="15" customHeight="1" x14ac:dyDescent="0.2">
      <c r="E11004" s="18"/>
      <c r="F11004" s="18"/>
    </row>
    <row r="11005" spans="5:6" ht="15" customHeight="1" x14ac:dyDescent="0.2">
      <c r="E11005" s="18"/>
      <c r="F11005" s="18"/>
    </row>
    <row r="11006" spans="5:6" ht="15" customHeight="1" x14ac:dyDescent="0.2">
      <c r="E11006" s="18"/>
      <c r="F11006" s="18"/>
    </row>
    <row r="11007" spans="5:6" ht="15" customHeight="1" x14ac:dyDescent="0.2">
      <c r="E11007" s="18"/>
      <c r="F11007" s="18"/>
    </row>
    <row r="11008" spans="5:6" ht="15" customHeight="1" x14ac:dyDescent="0.2">
      <c r="E11008" s="18"/>
      <c r="F11008" s="18"/>
    </row>
    <row r="11009" spans="5:6" ht="15" customHeight="1" x14ac:dyDescent="0.2">
      <c r="E11009" s="18"/>
      <c r="F11009" s="18"/>
    </row>
    <row r="11010" spans="5:6" ht="15" customHeight="1" x14ac:dyDescent="0.2">
      <c r="E11010" s="18"/>
      <c r="F11010" s="18"/>
    </row>
    <row r="11011" spans="5:6" ht="15" customHeight="1" x14ac:dyDescent="0.2">
      <c r="E11011" s="18"/>
      <c r="F11011" s="18"/>
    </row>
    <row r="11012" spans="5:6" ht="15" customHeight="1" x14ac:dyDescent="0.2">
      <c r="E11012" s="18"/>
      <c r="F11012" s="18"/>
    </row>
    <row r="11013" spans="5:6" ht="15" customHeight="1" x14ac:dyDescent="0.2">
      <c r="E11013" s="18"/>
      <c r="F11013" s="18"/>
    </row>
    <row r="11014" spans="5:6" ht="15" customHeight="1" x14ac:dyDescent="0.2">
      <c r="E11014" s="18"/>
      <c r="F11014" s="18"/>
    </row>
    <row r="11015" spans="5:6" ht="15" customHeight="1" x14ac:dyDescent="0.2">
      <c r="E11015" s="18"/>
      <c r="F11015" s="18"/>
    </row>
    <row r="11016" spans="5:6" ht="15" customHeight="1" x14ac:dyDescent="0.2">
      <c r="E11016" s="18"/>
      <c r="F11016" s="18"/>
    </row>
    <row r="11017" spans="5:6" ht="15" customHeight="1" x14ac:dyDescent="0.2">
      <c r="E11017" s="18"/>
      <c r="F11017" s="18"/>
    </row>
    <row r="11018" spans="5:6" ht="15" customHeight="1" x14ac:dyDescent="0.2">
      <c r="E11018" s="18"/>
      <c r="F11018" s="18"/>
    </row>
    <row r="11019" spans="5:6" ht="15" customHeight="1" x14ac:dyDescent="0.2">
      <c r="E11019" s="18"/>
      <c r="F11019" s="18"/>
    </row>
    <row r="11020" spans="5:6" ht="15" customHeight="1" x14ac:dyDescent="0.2">
      <c r="E11020" s="18"/>
      <c r="F11020" s="18"/>
    </row>
    <row r="11021" spans="5:6" ht="15" customHeight="1" x14ac:dyDescent="0.2">
      <c r="E11021" s="18"/>
      <c r="F11021" s="18"/>
    </row>
    <row r="11022" spans="5:6" ht="15" customHeight="1" x14ac:dyDescent="0.2">
      <c r="E11022" s="18"/>
      <c r="F11022" s="18"/>
    </row>
    <row r="11023" spans="5:6" ht="15" customHeight="1" x14ac:dyDescent="0.2">
      <c r="E11023" s="18"/>
      <c r="F11023" s="18"/>
    </row>
    <row r="11024" spans="5:6" ht="15" customHeight="1" x14ac:dyDescent="0.2">
      <c r="E11024" s="18"/>
      <c r="F11024" s="18"/>
    </row>
    <row r="11025" spans="5:6" ht="15" customHeight="1" x14ac:dyDescent="0.2">
      <c r="E11025" s="18"/>
      <c r="F11025" s="18"/>
    </row>
    <row r="11026" spans="5:6" ht="15" customHeight="1" x14ac:dyDescent="0.2">
      <c r="E11026" s="18"/>
      <c r="F11026" s="18"/>
    </row>
    <row r="11027" spans="5:6" ht="15" customHeight="1" x14ac:dyDescent="0.2">
      <c r="E11027" s="18"/>
      <c r="F11027" s="18"/>
    </row>
    <row r="11028" spans="5:6" ht="15" customHeight="1" x14ac:dyDescent="0.2">
      <c r="E11028" s="18"/>
      <c r="F11028" s="18"/>
    </row>
    <row r="11029" spans="5:6" ht="15" customHeight="1" x14ac:dyDescent="0.2">
      <c r="E11029" s="18"/>
      <c r="F11029" s="18"/>
    </row>
    <row r="11030" spans="5:6" ht="15" customHeight="1" x14ac:dyDescent="0.2">
      <c r="E11030" s="18"/>
      <c r="F11030" s="18"/>
    </row>
    <row r="11031" spans="5:6" ht="15" customHeight="1" x14ac:dyDescent="0.2">
      <c r="E11031" s="18"/>
      <c r="F11031" s="18"/>
    </row>
    <row r="11032" spans="5:6" ht="15" customHeight="1" x14ac:dyDescent="0.2">
      <c r="E11032" s="18"/>
      <c r="F11032" s="18"/>
    </row>
    <row r="11033" spans="5:6" ht="15" customHeight="1" x14ac:dyDescent="0.2">
      <c r="E11033" s="18"/>
      <c r="F11033" s="18"/>
    </row>
    <row r="11034" spans="5:6" ht="15" customHeight="1" x14ac:dyDescent="0.2">
      <c r="E11034" s="18"/>
      <c r="F11034" s="18"/>
    </row>
    <row r="11035" spans="5:6" ht="15" customHeight="1" x14ac:dyDescent="0.2">
      <c r="E11035" s="18"/>
      <c r="F11035" s="18"/>
    </row>
    <row r="11036" spans="5:6" ht="15" customHeight="1" x14ac:dyDescent="0.2">
      <c r="E11036" s="18"/>
      <c r="F11036" s="18"/>
    </row>
    <row r="11037" spans="5:6" ht="15" customHeight="1" x14ac:dyDescent="0.2">
      <c r="E11037" s="18"/>
      <c r="F11037" s="18"/>
    </row>
    <row r="11038" spans="5:6" ht="15" customHeight="1" x14ac:dyDescent="0.2">
      <c r="E11038" s="18"/>
      <c r="F11038" s="18"/>
    </row>
    <row r="11039" spans="5:6" ht="15" customHeight="1" x14ac:dyDescent="0.2">
      <c r="E11039" s="18"/>
      <c r="F11039" s="18"/>
    </row>
    <row r="11040" spans="5:6" ht="15" customHeight="1" x14ac:dyDescent="0.2">
      <c r="E11040" s="18"/>
      <c r="F11040" s="18"/>
    </row>
    <row r="11041" spans="5:6" ht="15" customHeight="1" x14ac:dyDescent="0.2">
      <c r="E11041" s="18"/>
      <c r="F11041" s="18"/>
    </row>
    <row r="11042" spans="5:6" ht="15" customHeight="1" x14ac:dyDescent="0.2">
      <c r="E11042" s="18"/>
      <c r="F11042" s="18"/>
    </row>
    <row r="11043" spans="5:6" ht="15" customHeight="1" x14ac:dyDescent="0.2">
      <c r="E11043" s="18"/>
      <c r="F11043" s="18"/>
    </row>
    <row r="11044" spans="5:6" ht="15" customHeight="1" x14ac:dyDescent="0.2">
      <c r="E11044" s="18"/>
      <c r="F11044" s="18"/>
    </row>
    <row r="11045" spans="5:6" ht="15" customHeight="1" x14ac:dyDescent="0.2">
      <c r="E11045" s="18"/>
      <c r="F11045" s="18"/>
    </row>
    <row r="11046" spans="5:6" ht="15" customHeight="1" x14ac:dyDescent="0.2">
      <c r="E11046" s="18"/>
      <c r="F11046" s="18"/>
    </row>
    <row r="11047" spans="5:6" ht="15" customHeight="1" x14ac:dyDescent="0.2">
      <c r="E11047" s="18"/>
      <c r="F11047" s="18"/>
    </row>
    <row r="11048" spans="5:6" ht="15" customHeight="1" x14ac:dyDescent="0.2">
      <c r="E11048" s="18"/>
      <c r="F11048" s="18"/>
    </row>
    <row r="11049" spans="5:6" ht="15" customHeight="1" x14ac:dyDescent="0.2">
      <c r="E11049" s="18"/>
      <c r="F11049" s="18"/>
    </row>
    <row r="11050" spans="5:6" ht="15" customHeight="1" x14ac:dyDescent="0.2">
      <c r="E11050" s="18"/>
      <c r="F11050" s="18"/>
    </row>
    <row r="11051" spans="5:6" ht="15" customHeight="1" x14ac:dyDescent="0.2">
      <c r="E11051" s="18"/>
      <c r="F11051" s="18"/>
    </row>
    <row r="11052" spans="5:6" ht="15" customHeight="1" x14ac:dyDescent="0.2">
      <c r="E11052" s="18"/>
      <c r="F11052" s="18"/>
    </row>
    <row r="11053" spans="5:6" ht="15" customHeight="1" x14ac:dyDescent="0.2">
      <c r="E11053" s="18"/>
      <c r="F11053" s="18"/>
    </row>
    <row r="11054" spans="5:6" ht="15" customHeight="1" x14ac:dyDescent="0.2">
      <c r="E11054" s="18"/>
      <c r="F11054" s="18"/>
    </row>
    <row r="11055" spans="5:6" ht="15" customHeight="1" x14ac:dyDescent="0.2">
      <c r="E11055" s="18"/>
      <c r="F11055" s="18"/>
    </row>
    <row r="11056" spans="5:6" ht="15" customHeight="1" x14ac:dyDescent="0.2">
      <c r="E11056" s="18"/>
      <c r="F11056" s="18"/>
    </row>
    <row r="11057" spans="5:6" ht="15" customHeight="1" x14ac:dyDescent="0.2">
      <c r="E11057" s="18"/>
      <c r="F11057" s="18"/>
    </row>
    <row r="11058" spans="5:6" ht="15" customHeight="1" x14ac:dyDescent="0.2">
      <c r="E11058" s="18"/>
      <c r="F11058" s="18"/>
    </row>
    <row r="11059" spans="5:6" ht="15" customHeight="1" x14ac:dyDescent="0.2">
      <c r="E11059" s="18"/>
      <c r="F11059" s="18"/>
    </row>
    <row r="11060" spans="5:6" ht="15" customHeight="1" x14ac:dyDescent="0.2">
      <c r="E11060" s="18"/>
      <c r="F11060" s="18"/>
    </row>
    <row r="11061" spans="5:6" ht="15" customHeight="1" x14ac:dyDescent="0.2">
      <c r="E11061" s="18"/>
      <c r="F11061" s="18"/>
    </row>
    <row r="11062" spans="5:6" ht="15" customHeight="1" x14ac:dyDescent="0.2">
      <c r="E11062" s="18"/>
      <c r="F11062" s="18"/>
    </row>
    <row r="11063" spans="5:6" ht="15" customHeight="1" x14ac:dyDescent="0.2">
      <c r="E11063" s="18"/>
      <c r="F11063" s="18"/>
    </row>
    <row r="11064" spans="5:6" ht="15" customHeight="1" x14ac:dyDescent="0.2">
      <c r="E11064" s="18"/>
      <c r="F11064" s="18"/>
    </row>
    <row r="11065" spans="5:6" ht="15" customHeight="1" x14ac:dyDescent="0.2">
      <c r="E11065" s="18"/>
      <c r="F11065" s="18"/>
    </row>
    <row r="11066" spans="5:6" ht="15" customHeight="1" x14ac:dyDescent="0.2">
      <c r="E11066" s="18"/>
      <c r="F11066" s="18"/>
    </row>
    <row r="11067" spans="5:6" ht="15" customHeight="1" x14ac:dyDescent="0.2">
      <c r="E11067" s="18"/>
      <c r="F11067" s="18"/>
    </row>
    <row r="11068" spans="5:6" ht="15" customHeight="1" x14ac:dyDescent="0.2">
      <c r="E11068" s="18"/>
      <c r="F11068" s="18"/>
    </row>
    <row r="11069" spans="5:6" ht="15" customHeight="1" x14ac:dyDescent="0.2">
      <c r="E11069" s="18"/>
      <c r="F11069" s="18"/>
    </row>
    <row r="11070" spans="5:6" ht="15" customHeight="1" x14ac:dyDescent="0.2">
      <c r="E11070" s="18"/>
      <c r="F11070" s="18"/>
    </row>
    <row r="11071" spans="5:6" ht="15" customHeight="1" x14ac:dyDescent="0.2">
      <c r="E11071" s="18"/>
      <c r="F11071" s="18"/>
    </row>
    <row r="11072" spans="5:6" ht="15" customHeight="1" x14ac:dyDescent="0.2">
      <c r="E11072" s="18"/>
      <c r="F11072" s="18"/>
    </row>
    <row r="11073" spans="5:6" ht="15" customHeight="1" x14ac:dyDescent="0.2">
      <c r="E11073" s="18"/>
      <c r="F11073" s="18"/>
    </row>
    <row r="11074" spans="5:6" ht="15" customHeight="1" x14ac:dyDescent="0.2">
      <c r="E11074" s="18"/>
      <c r="F11074" s="18"/>
    </row>
    <row r="11075" spans="5:6" ht="15" customHeight="1" x14ac:dyDescent="0.2">
      <c r="E11075" s="18"/>
      <c r="F11075" s="18"/>
    </row>
    <row r="11076" spans="5:6" ht="15" customHeight="1" x14ac:dyDescent="0.2">
      <c r="E11076" s="18"/>
      <c r="F11076" s="18"/>
    </row>
    <row r="11077" spans="5:6" ht="15" customHeight="1" x14ac:dyDescent="0.2">
      <c r="E11077" s="18"/>
      <c r="F11077" s="18"/>
    </row>
    <row r="11078" spans="5:6" ht="15" customHeight="1" x14ac:dyDescent="0.2">
      <c r="E11078" s="18"/>
      <c r="F11078" s="18"/>
    </row>
    <row r="11079" spans="5:6" ht="15" customHeight="1" x14ac:dyDescent="0.2">
      <c r="E11079" s="18"/>
      <c r="F11079" s="18"/>
    </row>
    <row r="11080" spans="5:6" ht="15" customHeight="1" x14ac:dyDescent="0.2">
      <c r="E11080" s="18"/>
      <c r="F11080" s="18"/>
    </row>
    <row r="11081" spans="5:6" ht="15" customHeight="1" x14ac:dyDescent="0.2">
      <c r="E11081" s="18"/>
      <c r="F11081" s="18"/>
    </row>
    <row r="11082" spans="5:6" ht="15" customHeight="1" x14ac:dyDescent="0.2">
      <c r="E11082" s="18"/>
      <c r="F11082" s="18"/>
    </row>
    <row r="11083" spans="5:6" ht="15" customHeight="1" x14ac:dyDescent="0.2">
      <c r="E11083" s="18"/>
      <c r="F11083" s="18"/>
    </row>
    <row r="11084" spans="5:6" ht="15" customHeight="1" x14ac:dyDescent="0.2">
      <c r="E11084" s="18"/>
      <c r="F11084" s="18"/>
    </row>
    <row r="11085" spans="5:6" ht="15" customHeight="1" x14ac:dyDescent="0.2">
      <c r="E11085" s="18"/>
      <c r="F11085" s="18"/>
    </row>
    <row r="11086" spans="5:6" ht="15" customHeight="1" x14ac:dyDescent="0.2">
      <c r="E11086" s="18"/>
      <c r="F11086" s="18"/>
    </row>
    <row r="11087" spans="5:6" ht="15" customHeight="1" x14ac:dyDescent="0.2">
      <c r="E11087" s="18"/>
      <c r="F11087" s="18"/>
    </row>
    <row r="11088" spans="5:6" ht="15" customHeight="1" x14ac:dyDescent="0.2">
      <c r="E11088" s="18"/>
      <c r="F11088" s="18"/>
    </row>
    <row r="11089" spans="5:6" ht="15" customHeight="1" x14ac:dyDescent="0.2">
      <c r="E11089" s="18"/>
      <c r="F11089" s="18"/>
    </row>
    <row r="11090" spans="5:6" ht="15" customHeight="1" x14ac:dyDescent="0.2">
      <c r="E11090" s="18"/>
      <c r="F11090" s="18"/>
    </row>
    <row r="11091" spans="5:6" ht="15" customHeight="1" x14ac:dyDescent="0.2">
      <c r="E11091" s="18"/>
      <c r="F11091" s="18"/>
    </row>
    <row r="11092" spans="5:6" ht="15" customHeight="1" x14ac:dyDescent="0.2">
      <c r="E11092" s="18"/>
      <c r="F11092" s="18"/>
    </row>
    <row r="11093" spans="5:6" ht="15" customHeight="1" x14ac:dyDescent="0.2">
      <c r="E11093" s="18"/>
      <c r="F11093" s="18"/>
    </row>
    <row r="11094" spans="5:6" ht="15" customHeight="1" x14ac:dyDescent="0.2">
      <c r="E11094" s="18"/>
      <c r="F11094" s="18"/>
    </row>
    <row r="11095" spans="5:6" ht="15" customHeight="1" x14ac:dyDescent="0.2">
      <c r="E11095" s="18"/>
      <c r="F11095" s="18"/>
    </row>
    <row r="11096" spans="5:6" ht="15" customHeight="1" x14ac:dyDescent="0.2">
      <c r="E11096" s="18"/>
      <c r="F11096" s="18"/>
    </row>
    <row r="11097" spans="5:6" ht="15" customHeight="1" x14ac:dyDescent="0.2">
      <c r="E11097" s="18"/>
      <c r="F11097" s="18"/>
    </row>
    <row r="11098" spans="5:6" ht="15" customHeight="1" x14ac:dyDescent="0.2">
      <c r="E11098" s="18"/>
      <c r="F11098" s="18"/>
    </row>
    <row r="11099" spans="5:6" ht="15" customHeight="1" x14ac:dyDescent="0.2">
      <c r="E11099" s="18"/>
      <c r="F11099" s="18"/>
    </row>
    <row r="11100" spans="5:6" ht="15" customHeight="1" x14ac:dyDescent="0.2">
      <c r="E11100" s="18"/>
      <c r="F11100" s="18"/>
    </row>
    <row r="11101" spans="5:6" ht="15" customHeight="1" x14ac:dyDescent="0.2">
      <c r="E11101" s="18"/>
      <c r="F11101" s="18"/>
    </row>
    <row r="11102" spans="5:6" ht="15" customHeight="1" x14ac:dyDescent="0.2">
      <c r="E11102" s="18"/>
      <c r="F11102" s="18"/>
    </row>
    <row r="11103" spans="5:6" ht="15" customHeight="1" x14ac:dyDescent="0.2">
      <c r="E11103" s="18"/>
      <c r="F11103" s="18"/>
    </row>
    <row r="11104" spans="5:6" ht="15" customHeight="1" x14ac:dyDescent="0.2">
      <c r="E11104" s="18"/>
      <c r="F11104" s="18"/>
    </row>
    <row r="11105" spans="5:6" ht="15" customHeight="1" x14ac:dyDescent="0.2">
      <c r="E11105" s="18"/>
      <c r="F11105" s="18"/>
    </row>
    <row r="11106" spans="5:6" ht="15" customHeight="1" x14ac:dyDescent="0.2">
      <c r="E11106" s="18"/>
      <c r="F11106" s="18"/>
    </row>
    <row r="11107" spans="5:6" ht="15" customHeight="1" x14ac:dyDescent="0.2">
      <c r="E11107" s="18"/>
      <c r="F11107" s="18"/>
    </row>
    <row r="11108" spans="5:6" ht="15" customHeight="1" x14ac:dyDescent="0.2">
      <c r="E11108" s="18"/>
      <c r="F11108" s="18"/>
    </row>
    <row r="11109" spans="5:6" ht="15" customHeight="1" x14ac:dyDescent="0.2">
      <c r="E11109" s="18"/>
      <c r="F11109" s="18"/>
    </row>
    <row r="11110" spans="5:6" ht="15" customHeight="1" x14ac:dyDescent="0.2">
      <c r="E11110" s="18"/>
      <c r="F11110" s="18"/>
    </row>
    <row r="11111" spans="5:6" ht="15" customHeight="1" x14ac:dyDescent="0.2">
      <c r="E11111" s="18"/>
      <c r="F11111" s="18"/>
    </row>
    <row r="11112" spans="5:6" ht="15" customHeight="1" x14ac:dyDescent="0.2">
      <c r="E11112" s="18"/>
      <c r="F11112" s="18"/>
    </row>
    <row r="11113" spans="5:6" ht="15" customHeight="1" x14ac:dyDescent="0.2">
      <c r="E11113" s="18"/>
      <c r="F11113" s="18"/>
    </row>
    <row r="11114" spans="5:6" ht="15" customHeight="1" x14ac:dyDescent="0.2">
      <c r="E11114" s="18"/>
      <c r="F11114" s="18"/>
    </row>
    <row r="11115" spans="5:6" ht="15" customHeight="1" x14ac:dyDescent="0.2">
      <c r="E11115" s="18"/>
      <c r="F11115" s="18"/>
    </row>
    <row r="11116" spans="5:6" ht="15" customHeight="1" x14ac:dyDescent="0.2">
      <c r="E11116" s="18"/>
      <c r="F11116" s="18"/>
    </row>
    <row r="11117" spans="5:6" ht="15" customHeight="1" x14ac:dyDescent="0.2">
      <c r="E11117" s="18"/>
      <c r="F11117" s="18"/>
    </row>
    <row r="11118" spans="5:6" ht="15" customHeight="1" x14ac:dyDescent="0.2">
      <c r="E11118" s="18"/>
      <c r="F11118" s="18"/>
    </row>
    <row r="11119" spans="5:6" ht="15" customHeight="1" x14ac:dyDescent="0.2">
      <c r="E11119" s="18"/>
      <c r="F11119" s="18"/>
    </row>
    <row r="11120" spans="5:6" ht="15" customHeight="1" x14ac:dyDescent="0.2">
      <c r="E11120" s="18"/>
      <c r="F11120" s="18"/>
    </row>
    <row r="11121" spans="5:6" ht="15" customHeight="1" x14ac:dyDescent="0.2">
      <c r="E11121" s="18"/>
      <c r="F11121" s="18"/>
    </row>
    <row r="11122" spans="5:6" ht="15" customHeight="1" x14ac:dyDescent="0.2">
      <c r="E11122" s="18"/>
      <c r="F11122" s="18"/>
    </row>
    <row r="11123" spans="5:6" ht="15" customHeight="1" x14ac:dyDescent="0.2">
      <c r="E11123" s="18"/>
      <c r="F11123" s="18"/>
    </row>
    <row r="11124" spans="5:6" ht="15" customHeight="1" x14ac:dyDescent="0.2">
      <c r="E11124" s="18"/>
      <c r="F11124" s="18"/>
    </row>
    <row r="11125" spans="5:6" ht="15" customHeight="1" x14ac:dyDescent="0.2">
      <c r="E11125" s="18"/>
      <c r="F11125" s="18"/>
    </row>
    <row r="11126" spans="5:6" ht="15" customHeight="1" x14ac:dyDescent="0.2">
      <c r="E11126" s="18"/>
      <c r="F11126" s="18"/>
    </row>
    <row r="11127" spans="5:6" ht="15" customHeight="1" x14ac:dyDescent="0.2">
      <c r="E11127" s="18"/>
      <c r="F11127" s="18"/>
    </row>
    <row r="11128" spans="5:6" ht="15" customHeight="1" x14ac:dyDescent="0.2">
      <c r="E11128" s="18"/>
      <c r="F11128" s="18"/>
    </row>
    <row r="11129" spans="5:6" ht="15" customHeight="1" x14ac:dyDescent="0.2">
      <c r="E11129" s="18"/>
      <c r="F11129" s="18"/>
    </row>
    <row r="11130" spans="5:6" ht="15" customHeight="1" x14ac:dyDescent="0.2">
      <c r="E11130" s="18"/>
      <c r="F11130" s="18"/>
    </row>
    <row r="11131" spans="5:6" ht="15" customHeight="1" x14ac:dyDescent="0.2">
      <c r="E11131" s="18"/>
      <c r="F11131" s="18"/>
    </row>
    <row r="11132" spans="5:6" ht="15" customHeight="1" x14ac:dyDescent="0.2">
      <c r="E11132" s="18"/>
      <c r="F11132" s="18"/>
    </row>
    <row r="11133" spans="5:6" ht="15" customHeight="1" x14ac:dyDescent="0.2">
      <c r="E11133" s="18"/>
      <c r="F11133" s="18"/>
    </row>
    <row r="11134" spans="5:6" ht="15" customHeight="1" x14ac:dyDescent="0.2">
      <c r="E11134" s="18"/>
      <c r="F11134" s="18"/>
    </row>
    <row r="11135" spans="5:6" ht="15" customHeight="1" x14ac:dyDescent="0.2">
      <c r="E11135" s="18"/>
      <c r="F11135" s="18"/>
    </row>
    <row r="11136" spans="5:6" ht="15" customHeight="1" x14ac:dyDescent="0.2">
      <c r="E11136" s="18"/>
      <c r="F11136" s="18"/>
    </row>
    <row r="11137" spans="5:6" ht="15" customHeight="1" x14ac:dyDescent="0.2">
      <c r="E11137" s="18"/>
      <c r="F11137" s="18"/>
    </row>
    <row r="11138" spans="5:6" ht="15" customHeight="1" x14ac:dyDescent="0.2">
      <c r="E11138" s="18"/>
      <c r="F11138" s="18"/>
    </row>
    <row r="11139" spans="5:6" ht="15" customHeight="1" x14ac:dyDescent="0.2">
      <c r="E11139" s="18"/>
      <c r="F11139" s="18"/>
    </row>
    <row r="11140" spans="5:6" ht="15" customHeight="1" x14ac:dyDescent="0.2">
      <c r="E11140" s="18"/>
      <c r="F11140" s="18"/>
    </row>
    <row r="11141" spans="5:6" ht="15" customHeight="1" x14ac:dyDescent="0.2">
      <c r="E11141" s="18"/>
      <c r="F11141" s="18"/>
    </row>
    <row r="11142" spans="5:6" ht="15" customHeight="1" x14ac:dyDescent="0.2">
      <c r="E11142" s="18"/>
      <c r="F11142" s="18"/>
    </row>
    <row r="11143" spans="5:6" ht="15" customHeight="1" x14ac:dyDescent="0.2">
      <c r="E11143" s="18"/>
      <c r="F11143" s="18"/>
    </row>
    <row r="11144" spans="5:6" ht="15" customHeight="1" x14ac:dyDescent="0.2">
      <c r="E11144" s="18"/>
      <c r="F11144" s="18"/>
    </row>
    <row r="11145" spans="5:6" ht="15" customHeight="1" x14ac:dyDescent="0.2">
      <c r="E11145" s="18"/>
      <c r="F11145" s="18"/>
    </row>
    <row r="11146" spans="5:6" ht="15" customHeight="1" x14ac:dyDescent="0.2">
      <c r="E11146" s="18"/>
      <c r="F11146" s="18"/>
    </row>
    <row r="11147" spans="5:6" ht="15" customHeight="1" x14ac:dyDescent="0.2">
      <c r="E11147" s="18"/>
      <c r="F11147" s="18"/>
    </row>
    <row r="11148" spans="5:6" ht="15" customHeight="1" x14ac:dyDescent="0.2">
      <c r="E11148" s="18"/>
      <c r="F11148" s="18"/>
    </row>
    <row r="11149" spans="5:6" ht="15" customHeight="1" x14ac:dyDescent="0.2">
      <c r="E11149" s="18"/>
      <c r="F11149" s="18"/>
    </row>
    <row r="11150" spans="5:6" ht="15" customHeight="1" x14ac:dyDescent="0.2">
      <c r="E11150" s="18"/>
      <c r="F11150" s="18"/>
    </row>
    <row r="11151" spans="5:6" ht="15" customHeight="1" x14ac:dyDescent="0.2">
      <c r="E11151" s="18"/>
      <c r="F11151" s="18"/>
    </row>
    <row r="11152" spans="5:6" ht="15" customHeight="1" x14ac:dyDescent="0.2">
      <c r="E11152" s="18"/>
      <c r="F11152" s="18"/>
    </row>
    <row r="11153" spans="5:6" ht="15" customHeight="1" x14ac:dyDescent="0.2">
      <c r="E11153" s="18"/>
      <c r="F11153" s="18"/>
    </row>
    <row r="11154" spans="5:6" ht="15" customHeight="1" x14ac:dyDescent="0.2">
      <c r="E11154" s="18"/>
      <c r="F11154" s="18"/>
    </row>
    <row r="11155" spans="5:6" ht="15" customHeight="1" x14ac:dyDescent="0.2">
      <c r="E11155" s="18"/>
      <c r="F11155" s="18"/>
    </row>
    <row r="11156" spans="5:6" ht="15" customHeight="1" x14ac:dyDescent="0.2">
      <c r="E11156" s="18"/>
      <c r="F11156" s="18"/>
    </row>
    <row r="11157" spans="5:6" ht="15" customHeight="1" x14ac:dyDescent="0.2">
      <c r="E11157" s="18"/>
      <c r="F11157" s="18"/>
    </row>
    <row r="11158" spans="5:6" ht="15" customHeight="1" x14ac:dyDescent="0.2">
      <c r="E11158" s="18"/>
      <c r="F11158" s="18"/>
    </row>
    <row r="11159" spans="5:6" ht="15" customHeight="1" x14ac:dyDescent="0.2">
      <c r="E11159" s="18"/>
      <c r="F11159" s="18"/>
    </row>
    <row r="11160" spans="5:6" ht="15" customHeight="1" x14ac:dyDescent="0.2">
      <c r="E11160" s="18"/>
      <c r="F11160" s="18"/>
    </row>
    <row r="11161" spans="5:6" ht="15" customHeight="1" x14ac:dyDescent="0.2">
      <c r="E11161" s="18"/>
      <c r="F11161" s="18"/>
    </row>
    <row r="11162" spans="5:6" ht="15" customHeight="1" x14ac:dyDescent="0.2">
      <c r="E11162" s="18"/>
      <c r="F11162" s="18"/>
    </row>
    <row r="11163" spans="5:6" ht="15" customHeight="1" x14ac:dyDescent="0.2">
      <c r="E11163" s="18"/>
      <c r="F11163" s="18"/>
    </row>
    <row r="11164" spans="5:6" ht="15" customHeight="1" x14ac:dyDescent="0.2">
      <c r="E11164" s="18"/>
      <c r="F11164" s="18"/>
    </row>
    <row r="11165" spans="5:6" ht="15" customHeight="1" x14ac:dyDescent="0.2">
      <c r="E11165" s="18"/>
      <c r="F11165" s="18"/>
    </row>
    <row r="11166" spans="5:6" ht="15" customHeight="1" x14ac:dyDescent="0.2">
      <c r="E11166" s="18"/>
      <c r="F11166" s="18"/>
    </row>
    <row r="11167" spans="5:6" ht="15" customHeight="1" x14ac:dyDescent="0.2">
      <c r="E11167" s="18"/>
      <c r="F11167" s="18"/>
    </row>
    <row r="11168" spans="5:6" ht="15" customHeight="1" x14ac:dyDescent="0.2">
      <c r="E11168" s="18"/>
      <c r="F11168" s="18"/>
    </row>
    <row r="11169" spans="5:6" ht="15" customHeight="1" x14ac:dyDescent="0.2">
      <c r="E11169" s="18"/>
      <c r="F11169" s="18"/>
    </row>
    <row r="11170" spans="5:6" ht="15" customHeight="1" x14ac:dyDescent="0.2">
      <c r="E11170" s="18"/>
      <c r="F11170" s="18"/>
    </row>
    <row r="11171" spans="5:6" ht="15" customHeight="1" x14ac:dyDescent="0.2">
      <c r="E11171" s="18"/>
      <c r="F11171" s="18"/>
    </row>
    <row r="11172" spans="5:6" ht="15" customHeight="1" x14ac:dyDescent="0.2">
      <c r="E11172" s="18"/>
      <c r="F11172" s="18"/>
    </row>
    <row r="11173" spans="5:6" ht="15" customHeight="1" x14ac:dyDescent="0.2">
      <c r="E11173" s="18"/>
      <c r="F11173" s="18"/>
    </row>
    <row r="11174" spans="5:6" ht="15" customHeight="1" x14ac:dyDescent="0.2">
      <c r="E11174" s="18"/>
      <c r="F11174" s="18"/>
    </row>
    <row r="11175" spans="5:6" ht="15" customHeight="1" x14ac:dyDescent="0.2">
      <c r="E11175" s="18"/>
      <c r="F11175" s="18"/>
    </row>
    <row r="11176" spans="5:6" ht="15" customHeight="1" x14ac:dyDescent="0.2">
      <c r="E11176" s="18"/>
      <c r="F11176" s="18"/>
    </row>
    <row r="11177" spans="5:6" ht="15" customHeight="1" x14ac:dyDescent="0.2">
      <c r="E11177" s="18"/>
      <c r="F11177" s="18"/>
    </row>
    <row r="11178" spans="5:6" ht="15" customHeight="1" x14ac:dyDescent="0.2">
      <c r="E11178" s="18"/>
      <c r="F11178" s="18"/>
    </row>
    <row r="11179" spans="5:6" ht="15" customHeight="1" x14ac:dyDescent="0.2">
      <c r="E11179" s="18"/>
      <c r="F11179" s="18"/>
    </row>
    <row r="11180" spans="5:6" ht="15" customHeight="1" x14ac:dyDescent="0.2">
      <c r="E11180" s="18"/>
      <c r="F11180" s="18"/>
    </row>
    <row r="11181" spans="5:6" ht="15" customHeight="1" x14ac:dyDescent="0.2">
      <c r="E11181" s="18"/>
      <c r="F11181" s="18"/>
    </row>
    <row r="11182" spans="5:6" ht="15" customHeight="1" x14ac:dyDescent="0.2">
      <c r="E11182" s="18"/>
      <c r="F11182" s="18"/>
    </row>
    <row r="11183" spans="5:6" ht="15" customHeight="1" x14ac:dyDescent="0.2">
      <c r="E11183" s="18"/>
      <c r="F11183" s="18"/>
    </row>
    <row r="11184" spans="5:6" ht="15" customHeight="1" x14ac:dyDescent="0.2">
      <c r="E11184" s="18"/>
      <c r="F11184" s="18"/>
    </row>
    <row r="11185" spans="5:6" ht="15" customHeight="1" x14ac:dyDescent="0.2">
      <c r="E11185" s="18"/>
      <c r="F11185" s="18"/>
    </row>
    <row r="11186" spans="5:6" ht="15" customHeight="1" x14ac:dyDescent="0.2">
      <c r="E11186" s="18"/>
      <c r="F11186" s="18"/>
    </row>
    <row r="11187" spans="5:6" ht="15" customHeight="1" x14ac:dyDescent="0.2">
      <c r="E11187" s="18"/>
      <c r="F11187" s="18"/>
    </row>
    <row r="11188" spans="5:6" ht="15" customHeight="1" x14ac:dyDescent="0.2">
      <c r="E11188" s="18"/>
      <c r="F11188" s="18"/>
    </row>
    <row r="11189" spans="5:6" ht="15" customHeight="1" x14ac:dyDescent="0.2">
      <c r="E11189" s="18"/>
      <c r="F11189" s="18"/>
    </row>
    <row r="11190" spans="5:6" ht="15" customHeight="1" x14ac:dyDescent="0.2">
      <c r="E11190" s="18"/>
      <c r="F11190" s="18"/>
    </row>
    <row r="11191" spans="5:6" ht="15" customHeight="1" x14ac:dyDescent="0.2">
      <c r="E11191" s="18"/>
      <c r="F11191" s="18"/>
    </row>
    <row r="11192" spans="5:6" ht="15" customHeight="1" x14ac:dyDescent="0.2">
      <c r="E11192" s="18"/>
      <c r="F11192" s="18"/>
    </row>
    <row r="11193" spans="5:6" ht="15" customHeight="1" x14ac:dyDescent="0.2">
      <c r="E11193" s="18"/>
      <c r="F11193" s="18"/>
    </row>
    <row r="11194" spans="5:6" ht="15" customHeight="1" x14ac:dyDescent="0.2">
      <c r="E11194" s="18"/>
      <c r="F11194" s="18"/>
    </row>
    <row r="11195" spans="5:6" ht="15" customHeight="1" x14ac:dyDescent="0.2">
      <c r="E11195" s="18"/>
      <c r="F11195" s="18"/>
    </row>
    <row r="11196" spans="5:6" ht="15" customHeight="1" x14ac:dyDescent="0.2">
      <c r="E11196" s="18"/>
      <c r="F11196" s="18"/>
    </row>
    <row r="11197" spans="5:6" ht="15" customHeight="1" x14ac:dyDescent="0.2">
      <c r="E11197" s="18"/>
      <c r="F11197" s="18"/>
    </row>
    <row r="11198" spans="5:6" ht="15" customHeight="1" x14ac:dyDescent="0.2">
      <c r="E11198" s="18"/>
      <c r="F11198" s="18"/>
    </row>
    <row r="11199" spans="5:6" ht="15" customHeight="1" x14ac:dyDescent="0.2">
      <c r="E11199" s="18"/>
      <c r="F11199" s="18"/>
    </row>
    <row r="11200" spans="5:6" ht="15" customHeight="1" x14ac:dyDescent="0.2">
      <c r="E11200" s="18"/>
      <c r="F11200" s="18"/>
    </row>
    <row r="11201" spans="5:6" ht="15" customHeight="1" x14ac:dyDescent="0.2">
      <c r="E11201" s="18"/>
      <c r="F11201" s="18"/>
    </row>
    <row r="11202" spans="5:6" ht="15" customHeight="1" x14ac:dyDescent="0.2">
      <c r="E11202" s="18"/>
      <c r="F11202" s="18"/>
    </row>
    <row r="11203" spans="5:6" ht="15" customHeight="1" x14ac:dyDescent="0.2">
      <c r="E11203" s="18"/>
      <c r="F11203" s="18"/>
    </row>
    <row r="11204" spans="5:6" ht="15" customHeight="1" x14ac:dyDescent="0.2">
      <c r="E11204" s="18"/>
      <c r="F11204" s="18"/>
    </row>
    <row r="11205" spans="5:6" ht="15" customHeight="1" x14ac:dyDescent="0.2">
      <c r="E11205" s="18"/>
      <c r="F11205" s="18"/>
    </row>
    <row r="11206" spans="5:6" ht="15" customHeight="1" x14ac:dyDescent="0.2">
      <c r="E11206" s="18"/>
      <c r="F11206" s="18"/>
    </row>
    <row r="11207" spans="5:6" ht="15" customHeight="1" x14ac:dyDescent="0.2">
      <c r="E11207" s="18"/>
      <c r="F11207" s="18"/>
    </row>
    <row r="11208" spans="5:6" ht="15" customHeight="1" x14ac:dyDescent="0.2">
      <c r="E11208" s="18"/>
      <c r="F11208" s="18"/>
    </row>
    <row r="11209" spans="5:6" ht="15" customHeight="1" x14ac:dyDescent="0.2">
      <c r="E11209" s="18"/>
      <c r="F11209" s="18"/>
    </row>
    <row r="11210" spans="5:6" ht="15" customHeight="1" x14ac:dyDescent="0.2">
      <c r="E11210" s="18"/>
      <c r="F11210" s="18"/>
    </row>
    <row r="11211" spans="5:6" ht="15" customHeight="1" x14ac:dyDescent="0.2">
      <c r="E11211" s="18"/>
      <c r="F11211" s="18"/>
    </row>
    <row r="11212" spans="5:6" ht="15" customHeight="1" x14ac:dyDescent="0.2">
      <c r="E11212" s="18"/>
      <c r="F11212" s="18"/>
    </row>
    <row r="11213" spans="5:6" ht="15" customHeight="1" x14ac:dyDescent="0.2">
      <c r="E11213" s="18"/>
      <c r="F11213" s="18"/>
    </row>
    <row r="11214" spans="5:6" ht="15" customHeight="1" x14ac:dyDescent="0.2">
      <c r="E11214" s="18"/>
      <c r="F11214" s="18"/>
    </row>
    <row r="11215" spans="5:6" ht="15" customHeight="1" x14ac:dyDescent="0.2">
      <c r="E11215" s="18"/>
      <c r="F11215" s="18"/>
    </row>
    <row r="11216" spans="5:6" ht="15" customHeight="1" x14ac:dyDescent="0.2">
      <c r="E11216" s="18"/>
      <c r="F11216" s="18"/>
    </row>
    <row r="11217" spans="5:6" ht="15" customHeight="1" x14ac:dyDescent="0.2">
      <c r="E11217" s="18"/>
      <c r="F11217" s="18"/>
    </row>
    <row r="11218" spans="5:6" ht="15" customHeight="1" x14ac:dyDescent="0.2">
      <c r="E11218" s="18"/>
      <c r="F11218" s="18"/>
    </row>
    <row r="11219" spans="5:6" ht="15" customHeight="1" x14ac:dyDescent="0.2">
      <c r="E11219" s="18"/>
      <c r="F11219" s="18"/>
    </row>
    <row r="11220" spans="5:6" ht="15" customHeight="1" x14ac:dyDescent="0.2">
      <c r="E11220" s="18"/>
      <c r="F11220" s="18"/>
    </row>
    <row r="11221" spans="5:6" ht="15" customHeight="1" x14ac:dyDescent="0.2">
      <c r="E11221" s="18"/>
      <c r="F11221" s="18"/>
    </row>
    <row r="11222" spans="5:6" ht="15" customHeight="1" x14ac:dyDescent="0.2">
      <c r="E11222" s="18"/>
      <c r="F11222" s="18"/>
    </row>
    <row r="11223" spans="5:6" ht="15" customHeight="1" x14ac:dyDescent="0.2">
      <c r="E11223" s="18"/>
      <c r="F11223" s="18"/>
    </row>
    <row r="11224" spans="5:6" ht="15" customHeight="1" x14ac:dyDescent="0.2">
      <c r="E11224" s="18"/>
      <c r="F11224" s="18"/>
    </row>
    <row r="11225" spans="5:6" ht="15" customHeight="1" x14ac:dyDescent="0.2">
      <c r="E11225" s="18"/>
      <c r="F11225" s="18"/>
    </row>
    <row r="11226" spans="5:6" ht="15" customHeight="1" x14ac:dyDescent="0.2">
      <c r="E11226" s="18"/>
      <c r="F11226" s="18"/>
    </row>
    <row r="11227" spans="5:6" ht="15" customHeight="1" x14ac:dyDescent="0.2">
      <c r="E11227" s="18"/>
      <c r="F11227" s="18"/>
    </row>
    <row r="11228" spans="5:6" ht="15" customHeight="1" x14ac:dyDescent="0.2">
      <c r="E11228" s="18"/>
      <c r="F11228" s="18"/>
    </row>
    <row r="11229" spans="5:6" ht="15" customHeight="1" x14ac:dyDescent="0.2">
      <c r="E11229" s="18"/>
      <c r="F11229" s="18"/>
    </row>
    <row r="11230" spans="5:6" ht="15" customHeight="1" x14ac:dyDescent="0.2">
      <c r="E11230" s="18"/>
      <c r="F11230" s="18"/>
    </row>
    <row r="11231" spans="5:6" ht="15" customHeight="1" x14ac:dyDescent="0.2">
      <c r="E11231" s="18"/>
      <c r="F11231" s="18"/>
    </row>
    <row r="11232" spans="5:6" ht="15" customHeight="1" x14ac:dyDescent="0.2">
      <c r="E11232" s="18"/>
      <c r="F11232" s="18"/>
    </row>
    <row r="11233" spans="5:6" ht="15" customHeight="1" x14ac:dyDescent="0.2">
      <c r="E11233" s="18"/>
      <c r="F11233" s="18"/>
    </row>
    <row r="11234" spans="5:6" ht="15" customHeight="1" x14ac:dyDescent="0.2">
      <c r="E11234" s="18"/>
      <c r="F11234" s="18"/>
    </row>
    <row r="11235" spans="5:6" ht="15" customHeight="1" x14ac:dyDescent="0.2">
      <c r="E11235" s="18"/>
      <c r="F11235" s="18"/>
    </row>
    <row r="11236" spans="5:6" ht="15" customHeight="1" x14ac:dyDescent="0.2">
      <c r="E11236" s="18"/>
      <c r="F11236" s="18"/>
    </row>
    <row r="11237" spans="5:6" ht="15" customHeight="1" x14ac:dyDescent="0.2">
      <c r="E11237" s="18"/>
      <c r="F11237" s="18"/>
    </row>
    <row r="11238" spans="5:6" ht="15" customHeight="1" x14ac:dyDescent="0.2">
      <c r="E11238" s="18"/>
      <c r="F11238" s="18"/>
    </row>
    <row r="11239" spans="5:6" ht="15" customHeight="1" x14ac:dyDescent="0.2">
      <c r="E11239" s="18"/>
      <c r="F11239" s="18"/>
    </row>
    <row r="11240" spans="5:6" ht="15" customHeight="1" x14ac:dyDescent="0.2">
      <c r="E11240" s="18"/>
      <c r="F11240" s="18"/>
    </row>
    <row r="11241" spans="5:6" ht="15" customHeight="1" x14ac:dyDescent="0.2">
      <c r="E11241" s="18"/>
      <c r="F11241" s="18"/>
    </row>
    <row r="11242" spans="5:6" ht="15" customHeight="1" x14ac:dyDescent="0.2">
      <c r="E11242" s="18"/>
      <c r="F11242" s="18"/>
    </row>
    <row r="11243" spans="5:6" ht="15" customHeight="1" x14ac:dyDescent="0.2">
      <c r="E11243" s="18"/>
      <c r="F11243" s="18"/>
    </row>
    <row r="11244" spans="5:6" ht="15" customHeight="1" x14ac:dyDescent="0.2">
      <c r="E11244" s="18"/>
      <c r="F11244" s="18"/>
    </row>
    <row r="11245" spans="5:6" ht="15" customHeight="1" x14ac:dyDescent="0.2">
      <c r="E11245" s="18"/>
      <c r="F11245" s="18"/>
    </row>
    <row r="11246" spans="5:6" ht="15" customHeight="1" x14ac:dyDescent="0.2">
      <c r="E11246" s="18"/>
      <c r="F11246" s="18"/>
    </row>
    <row r="11247" spans="5:6" ht="15" customHeight="1" x14ac:dyDescent="0.2">
      <c r="E11247" s="18"/>
      <c r="F11247" s="18"/>
    </row>
    <row r="11248" spans="5:6" ht="15" customHeight="1" x14ac:dyDescent="0.2">
      <c r="E11248" s="18"/>
      <c r="F11248" s="18"/>
    </row>
    <row r="11249" spans="5:6" ht="15" customHeight="1" x14ac:dyDescent="0.2">
      <c r="E11249" s="18"/>
      <c r="F11249" s="18"/>
    </row>
    <row r="11250" spans="5:6" ht="15" customHeight="1" x14ac:dyDescent="0.2">
      <c r="E11250" s="18"/>
      <c r="F11250" s="18"/>
    </row>
    <row r="11251" spans="5:6" ht="15" customHeight="1" x14ac:dyDescent="0.2">
      <c r="E11251" s="18"/>
      <c r="F11251" s="18"/>
    </row>
    <row r="11252" spans="5:6" ht="15" customHeight="1" x14ac:dyDescent="0.2">
      <c r="E11252" s="18"/>
      <c r="F11252" s="18"/>
    </row>
    <row r="11253" spans="5:6" ht="15" customHeight="1" x14ac:dyDescent="0.2">
      <c r="E11253" s="18"/>
      <c r="F11253" s="18"/>
    </row>
    <row r="11254" spans="5:6" ht="15" customHeight="1" x14ac:dyDescent="0.2">
      <c r="E11254" s="18"/>
      <c r="F11254" s="18"/>
    </row>
    <row r="11255" spans="5:6" ht="15" customHeight="1" x14ac:dyDescent="0.2">
      <c r="E11255" s="18"/>
      <c r="F11255" s="18"/>
    </row>
    <row r="11256" spans="5:6" ht="15" customHeight="1" x14ac:dyDescent="0.2">
      <c r="E11256" s="18"/>
      <c r="F11256" s="18"/>
    </row>
    <row r="11257" spans="5:6" ht="15" customHeight="1" x14ac:dyDescent="0.2">
      <c r="E11257" s="18"/>
      <c r="F11257" s="18"/>
    </row>
    <row r="11258" spans="5:6" ht="15" customHeight="1" x14ac:dyDescent="0.2">
      <c r="E11258" s="18"/>
      <c r="F11258" s="18"/>
    </row>
    <row r="11259" spans="5:6" ht="15" customHeight="1" x14ac:dyDescent="0.2">
      <c r="E11259" s="18"/>
      <c r="F11259" s="18"/>
    </row>
    <row r="11260" spans="5:6" ht="15" customHeight="1" x14ac:dyDescent="0.2">
      <c r="E11260" s="18"/>
      <c r="F11260" s="18"/>
    </row>
    <row r="11261" spans="5:6" ht="15" customHeight="1" x14ac:dyDescent="0.2">
      <c r="E11261" s="18"/>
      <c r="F11261" s="18"/>
    </row>
    <row r="11262" spans="5:6" ht="15" customHeight="1" x14ac:dyDescent="0.2">
      <c r="E11262" s="18"/>
      <c r="F11262" s="18"/>
    </row>
    <row r="11263" spans="5:6" ht="15" customHeight="1" x14ac:dyDescent="0.2">
      <c r="E11263" s="18"/>
      <c r="F11263" s="18"/>
    </row>
    <row r="11264" spans="5:6" ht="15" customHeight="1" x14ac:dyDescent="0.2">
      <c r="E11264" s="18"/>
      <c r="F11264" s="18"/>
    </row>
    <row r="11265" spans="5:6" ht="15" customHeight="1" x14ac:dyDescent="0.2">
      <c r="E11265" s="18"/>
      <c r="F11265" s="18"/>
    </row>
    <row r="11266" spans="5:6" ht="15" customHeight="1" x14ac:dyDescent="0.2">
      <c r="E11266" s="18"/>
      <c r="F11266" s="18"/>
    </row>
    <row r="11267" spans="5:6" ht="15" customHeight="1" x14ac:dyDescent="0.2">
      <c r="E11267" s="18"/>
      <c r="F11267" s="18"/>
    </row>
    <row r="11268" spans="5:6" ht="15" customHeight="1" x14ac:dyDescent="0.2">
      <c r="E11268" s="18"/>
      <c r="F11268" s="18"/>
    </row>
    <row r="11269" spans="5:6" ht="15" customHeight="1" x14ac:dyDescent="0.2">
      <c r="E11269" s="18"/>
      <c r="F11269" s="18"/>
    </row>
    <row r="11270" spans="5:6" ht="15" customHeight="1" x14ac:dyDescent="0.2">
      <c r="E11270" s="18"/>
      <c r="F11270" s="18"/>
    </row>
    <row r="11271" spans="5:6" ht="15" customHeight="1" x14ac:dyDescent="0.2">
      <c r="E11271" s="18"/>
      <c r="F11271" s="18"/>
    </row>
    <row r="11272" spans="5:6" ht="15" customHeight="1" x14ac:dyDescent="0.2">
      <c r="E11272" s="18"/>
      <c r="F11272" s="18"/>
    </row>
    <row r="11273" spans="5:6" ht="15" customHeight="1" x14ac:dyDescent="0.2">
      <c r="E11273" s="18"/>
      <c r="F11273" s="18"/>
    </row>
    <row r="11274" spans="5:6" ht="15" customHeight="1" x14ac:dyDescent="0.2">
      <c r="E11274" s="18"/>
      <c r="F11274" s="18"/>
    </row>
    <row r="11275" spans="5:6" ht="15" customHeight="1" x14ac:dyDescent="0.2">
      <c r="E11275" s="18"/>
      <c r="F11275" s="18"/>
    </row>
    <row r="11276" spans="5:6" ht="15" customHeight="1" x14ac:dyDescent="0.2">
      <c r="E11276" s="18"/>
      <c r="F11276" s="18"/>
    </row>
    <row r="11277" spans="5:6" ht="15" customHeight="1" x14ac:dyDescent="0.2">
      <c r="E11277" s="18"/>
      <c r="F11277" s="18"/>
    </row>
    <row r="11278" spans="5:6" ht="15" customHeight="1" x14ac:dyDescent="0.2">
      <c r="E11278" s="18"/>
      <c r="F11278" s="18"/>
    </row>
    <row r="11279" spans="5:6" ht="15" customHeight="1" x14ac:dyDescent="0.2">
      <c r="E11279" s="18"/>
      <c r="F11279" s="18"/>
    </row>
    <row r="11280" spans="5:6" ht="15" customHeight="1" x14ac:dyDescent="0.2">
      <c r="E11280" s="18"/>
      <c r="F11280" s="18"/>
    </row>
    <row r="11281" spans="5:6" ht="15" customHeight="1" x14ac:dyDescent="0.2">
      <c r="E11281" s="18"/>
      <c r="F11281" s="18"/>
    </row>
    <row r="11282" spans="5:6" ht="15" customHeight="1" x14ac:dyDescent="0.2">
      <c r="E11282" s="18"/>
      <c r="F11282" s="18"/>
    </row>
    <row r="11283" spans="5:6" ht="15" customHeight="1" x14ac:dyDescent="0.2">
      <c r="E11283" s="18"/>
      <c r="F11283" s="18"/>
    </row>
    <row r="11284" spans="5:6" ht="15" customHeight="1" x14ac:dyDescent="0.2">
      <c r="E11284" s="18"/>
      <c r="F11284" s="18"/>
    </row>
    <row r="11285" spans="5:6" ht="15" customHeight="1" x14ac:dyDescent="0.2">
      <c r="E11285" s="18"/>
      <c r="F11285" s="18"/>
    </row>
    <row r="11286" spans="5:6" ht="15" customHeight="1" x14ac:dyDescent="0.2">
      <c r="E11286" s="18"/>
      <c r="F11286" s="18"/>
    </row>
    <row r="11287" spans="5:6" ht="15" customHeight="1" x14ac:dyDescent="0.2">
      <c r="E11287" s="18"/>
      <c r="F11287" s="18"/>
    </row>
    <row r="11288" spans="5:6" ht="15" customHeight="1" x14ac:dyDescent="0.2">
      <c r="E11288" s="18"/>
      <c r="F11288" s="18"/>
    </row>
    <row r="11289" spans="5:6" ht="15" customHeight="1" x14ac:dyDescent="0.2">
      <c r="E11289" s="18"/>
      <c r="F11289" s="18"/>
    </row>
    <row r="11290" spans="5:6" ht="15" customHeight="1" x14ac:dyDescent="0.2">
      <c r="E11290" s="18"/>
      <c r="F11290" s="18"/>
    </row>
    <row r="11291" spans="5:6" ht="15" customHeight="1" x14ac:dyDescent="0.2">
      <c r="E11291" s="18"/>
      <c r="F11291" s="18"/>
    </row>
    <row r="11292" spans="5:6" ht="15" customHeight="1" x14ac:dyDescent="0.2">
      <c r="E11292" s="18"/>
      <c r="F11292" s="18"/>
    </row>
    <row r="11293" spans="5:6" ht="15" customHeight="1" x14ac:dyDescent="0.2">
      <c r="E11293" s="18"/>
      <c r="F11293" s="18"/>
    </row>
    <row r="11294" spans="5:6" ht="15" customHeight="1" x14ac:dyDescent="0.2">
      <c r="E11294" s="18"/>
      <c r="F11294" s="18"/>
    </row>
    <row r="11295" spans="5:6" ht="15" customHeight="1" x14ac:dyDescent="0.2">
      <c r="E11295" s="18"/>
      <c r="F11295" s="18"/>
    </row>
    <row r="11296" spans="5:6" ht="15" customHeight="1" x14ac:dyDescent="0.2">
      <c r="E11296" s="18"/>
      <c r="F11296" s="18"/>
    </row>
    <row r="11297" spans="5:6" ht="15" customHeight="1" x14ac:dyDescent="0.2">
      <c r="E11297" s="18"/>
      <c r="F11297" s="18"/>
    </row>
    <row r="11298" spans="5:6" ht="15" customHeight="1" x14ac:dyDescent="0.2">
      <c r="E11298" s="18"/>
      <c r="F11298" s="18"/>
    </row>
    <row r="11299" spans="5:6" ht="15" customHeight="1" x14ac:dyDescent="0.2">
      <c r="E11299" s="18"/>
      <c r="F11299" s="18"/>
    </row>
    <row r="11300" spans="5:6" ht="15" customHeight="1" x14ac:dyDescent="0.2">
      <c r="E11300" s="18"/>
      <c r="F11300" s="18"/>
    </row>
    <row r="11301" spans="5:6" ht="15" customHeight="1" x14ac:dyDescent="0.2">
      <c r="E11301" s="18"/>
      <c r="F11301" s="18"/>
    </row>
    <row r="11302" spans="5:6" ht="15" customHeight="1" x14ac:dyDescent="0.2">
      <c r="E11302" s="18"/>
      <c r="F11302" s="18"/>
    </row>
    <row r="11303" spans="5:6" ht="15" customHeight="1" x14ac:dyDescent="0.2">
      <c r="E11303" s="18"/>
      <c r="F11303" s="18"/>
    </row>
    <row r="11304" spans="5:6" ht="15" customHeight="1" x14ac:dyDescent="0.2">
      <c r="E11304" s="18"/>
      <c r="F11304" s="18"/>
    </row>
    <row r="11305" spans="5:6" ht="15" customHeight="1" x14ac:dyDescent="0.2">
      <c r="E11305" s="18"/>
      <c r="F11305" s="18"/>
    </row>
    <row r="11306" spans="5:6" ht="15" customHeight="1" x14ac:dyDescent="0.2">
      <c r="E11306" s="18"/>
      <c r="F11306" s="18"/>
    </row>
    <row r="11307" spans="5:6" ht="15" customHeight="1" x14ac:dyDescent="0.2">
      <c r="E11307" s="18"/>
      <c r="F11307" s="18"/>
    </row>
    <row r="11308" spans="5:6" ht="15" customHeight="1" x14ac:dyDescent="0.2">
      <c r="E11308" s="18"/>
      <c r="F11308" s="18"/>
    </row>
    <row r="11309" spans="5:6" ht="15" customHeight="1" x14ac:dyDescent="0.2">
      <c r="E11309" s="18"/>
      <c r="F11309" s="18"/>
    </row>
    <row r="11310" spans="5:6" ht="15" customHeight="1" x14ac:dyDescent="0.2">
      <c r="E11310" s="18"/>
      <c r="F11310" s="18"/>
    </row>
    <row r="11311" spans="5:6" ht="15" customHeight="1" x14ac:dyDescent="0.2">
      <c r="E11311" s="18"/>
      <c r="F11311" s="18"/>
    </row>
    <row r="11312" spans="5:6" ht="15" customHeight="1" x14ac:dyDescent="0.2">
      <c r="E11312" s="18"/>
      <c r="F11312" s="18"/>
    </row>
    <row r="11313" spans="5:6" ht="15" customHeight="1" x14ac:dyDescent="0.2">
      <c r="E11313" s="18"/>
      <c r="F11313" s="18"/>
    </row>
    <row r="11314" spans="5:6" ht="15" customHeight="1" x14ac:dyDescent="0.2">
      <c r="E11314" s="18"/>
      <c r="F11314" s="18"/>
    </row>
    <row r="11315" spans="5:6" ht="15" customHeight="1" x14ac:dyDescent="0.2">
      <c r="E11315" s="18"/>
      <c r="F11315" s="18"/>
    </row>
    <row r="11316" spans="5:6" ht="15" customHeight="1" x14ac:dyDescent="0.2">
      <c r="E11316" s="18"/>
      <c r="F11316" s="18"/>
    </row>
    <row r="11317" spans="5:6" ht="15" customHeight="1" x14ac:dyDescent="0.2">
      <c r="E11317" s="18"/>
      <c r="F11317" s="18"/>
    </row>
    <row r="11318" spans="5:6" ht="15" customHeight="1" x14ac:dyDescent="0.2">
      <c r="E11318" s="18"/>
      <c r="F11318" s="18"/>
    </row>
    <row r="11319" spans="5:6" ht="15" customHeight="1" x14ac:dyDescent="0.2">
      <c r="E11319" s="18"/>
      <c r="F11319" s="18"/>
    </row>
    <row r="11320" spans="5:6" ht="15" customHeight="1" x14ac:dyDescent="0.2">
      <c r="E11320" s="18"/>
      <c r="F11320" s="18"/>
    </row>
    <row r="11321" spans="5:6" ht="15" customHeight="1" x14ac:dyDescent="0.2">
      <c r="E11321" s="18"/>
      <c r="F11321" s="18"/>
    </row>
    <row r="11322" spans="5:6" ht="15" customHeight="1" x14ac:dyDescent="0.2">
      <c r="E11322" s="18"/>
      <c r="F11322" s="18"/>
    </row>
    <row r="11323" spans="5:6" ht="15" customHeight="1" x14ac:dyDescent="0.2">
      <c r="E11323" s="18"/>
      <c r="F11323" s="18"/>
    </row>
    <row r="11324" spans="5:6" ht="15" customHeight="1" x14ac:dyDescent="0.2">
      <c r="E11324" s="18"/>
      <c r="F11324" s="18"/>
    </row>
    <row r="11325" spans="5:6" ht="15" customHeight="1" x14ac:dyDescent="0.2">
      <c r="E11325" s="18"/>
      <c r="F11325" s="18"/>
    </row>
    <row r="11326" spans="5:6" ht="15" customHeight="1" x14ac:dyDescent="0.2">
      <c r="E11326" s="18"/>
      <c r="F11326" s="18"/>
    </row>
    <row r="11327" spans="5:6" ht="15" customHeight="1" x14ac:dyDescent="0.2">
      <c r="E11327" s="18"/>
      <c r="F11327" s="18"/>
    </row>
    <row r="11328" spans="5:6" ht="15" customHeight="1" x14ac:dyDescent="0.2">
      <c r="E11328" s="18"/>
      <c r="F11328" s="18"/>
    </row>
    <row r="11329" spans="5:6" ht="15" customHeight="1" x14ac:dyDescent="0.2">
      <c r="E11329" s="18"/>
      <c r="F11329" s="18"/>
    </row>
    <row r="11330" spans="5:6" ht="15" customHeight="1" x14ac:dyDescent="0.2">
      <c r="E11330" s="18"/>
      <c r="F11330" s="18"/>
    </row>
    <row r="11331" spans="5:6" ht="15" customHeight="1" x14ac:dyDescent="0.2">
      <c r="E11331" s="18"/>
      <c r="F11331" s="18"/>
    </row>
    <row r="11332" spans="5:6" ht="15" customHeight="1" x14ac:dyDescent="0.2">
      <c r="E11332" s="18"/>
      <c r="F11332" s="18"/>
    </row>
    <row r="11333" spans="5:6" ht="15" customHeight="1" x14ac:dyDescent="0.2">
      <c r="E11333" s="18"/>
      <c r="F11333" s="18"/>
    </row>
    <row r="11334" spans="5:6" ht="15" customHeight="1" x14ac:dyDescent="0.2">
      <c r="E11334" s="18"/>
      <c r="F11334" s="18"/>
    </row>
    <row r="11335" spans="5:6" ht="15" customHeight="1" x14ac:dyDescent="0.2">
      <c r="E11335" s="18"/>
      <c r="F11335" s="18"/>
    </row>
    <row r="11336" spans="5:6" ht="15" customHeight="1" x14ac:dyDescent="0.2">
      <c r="E11336" s="18"/>
      <c r="F11336" s="18"/>
    </row>
    <row r="11337" spans="5:6" ht="15" customHeight="1" x14ac:dyDescent="0.2">
      <c r="E11337" s="18"/>
      <c r="F11337" s="18"/>
    </row>
    <row r="11338" spans="5:6" ht="15" customHeight="1" x14ac:dyDescent="0.2">
      <c r="E11338" s="18"/>
      <c r="F11338" s="18"/>
    </row>
    <row r="11339" spans="5:6" ht="15" customHeight="1" x14ac:dyDescent="0.2">
      <c r="E11339" s="18"/>
      <c r="F11339" s="18"/>
    </row>
    <row r="11340" spans="5:6" ht="15" customHeight="1" x14ac:dyDescent="0.2">
      <c r="E11340" s="18"/>
      <c r="F11340" s="18"/>
    </row>
    <row r="11341" spans="5:6" ht="15" customHeight="1" x14ac:dyDescent="0.2">
      <c r="E11341" s="18"/>
      <c r="F11341" s="18"/>
    </row>
    <row r="11342" spans="5:6" ht="15" customHeight="1" x14ac:dyDescent="0.2">
      <c r="E11342" s="18"/>
      <c r="F11342" s="18"/>
    </row>
    <row r="11343" spans="5:6" ht="15" customHeight="1" x14ac:dyDescent="0.2">
      <c r="E11343" s="18"/>
      <c r="F11343" s="18"/>
    </row>
    <row r="11344" spans="5:6" ht="15" customHeight="1" x14ac:dyDescent="0.2">
      <c r="E11344" s="18"/>
      <c r="F11344" s="18"/>
    </row>
    <row r="11345" spans="5:6" ht="15" customHeight="1" x14ac:dyDescent="0.2">
      <c r="E11345" s="18"/>
      <c r="F11345" s="18"/>
    </row>
    <row r="11346" spans="5:6" ht="15" customHeight="1" x14ac:dyDescent="0.2">
      <c r="E11346" s="18"/>
      <c r="F11346" s="18"/>
    </row>
    <row r="11347" spans="5:6" ht="15" customHeight="1" x14ac:dyDescent="0.2">
      <c r="E11347" s="18"/>
      <c r="F11347" s="18"/>
    </row>
    <row r="11348" spans="5:6" ht="15" customHeight="1" x14ac:dyDescent="0.2">
      <c r="E11348" s="18"/>
      <c r="F11348" s="18"/>
    </row>
    <row r="11349" spans="5:6" ht="15" customHeight="1" x14ac:dyDescent="0.2">
      <c r="E11349" s="18"/>
      <c r="F11349" s="18"/>
    </row>
    <row r="11350" spans="5:6" ht="15" customHeight="1" x14ac:dyDescent="0.2">
      <c r="E11350" s="18"/>
      <c r="F11350" s="18"/>
    </row>
    <row r="11351" spans="5:6" ht="15" customHeight="1" x14ac:dyDescent="0.2">
      <c r="E11351" s="18"/>
      <c r="F11351" s="18"/>
    </row>
    <row r="11352" spans="5:6" ht="15" customHeight="1" x14ac:dyDescent="0.2">
      <c r="E11352" s="18"/>
      <c r="F11352" s="18"/>
    </row>
    <row r="11353" spans="5:6" ht="15" customHeight="1" x14ac:dyDescent="0.2">
      <c r="E11353" s="18"/>
      <c r="F11353" s="18"/>
    </row>
    <row r="11354" spans="5:6" ht="15" customHeight="1" x14ac:dyDescent="0.2">
      <c r="E11354" s="18"/>
      <c r="F11354" s="18"/>
    </row>
    <row r="11355" spans="5:6" ht="15" customHeight="1" x14ac:dyDescent="0.2">
      <c r="E11355" s="18"/>
      <c r="F11355" s="18"/>
    </row>
    <row r="11356" spans="5:6" ht="15" customHeight="1" x14ac:dyDescent="0.2">
      <c r="E11356" s="18"/>
      <c r="F11356" s="18"/>
    </row>
    <row r="11357" spans="5:6" ht="15" customHeight="1" x14ac:dyDescent="0.2">
      <c r="E11357" s="18"/>
      <c r="F11357" s="18"/>
    </row>
    <row r="11358" spans="5:6" ht="15" customHeight="1" x14ac:dyDescent="0.2">
      <c r="E11358" s="18"/>
      <c r="F11358" s="18"/>
    </row>
    <row r="11359" spans="5:6" ht="15" customHeight="1" x14ac:dyDescent="0.2">
      <c r="E11359" s="18"/>
      <c r="F11359" s="18"/>
    </row>
    <row r="11360" spans="5:6" ht="15" customHeight="1" x14ac:dyDescent="0.2">
      <c r="E11360" s="18"/>
      <c r="F11360" s="18"/>
    </row>
    <row r="11361" spans="5:6" ht="15" customHeight="1" x14ac:dyDescent="0.2">
      <c r="E11361" s="18"/>
      <c r="F11361" s="18"/>
    </row>
    <row r="11362" spans="5:6" ht="15" customHeight="1" x14ac:dyDescent="0.2">
      <c r="E11362" s="18"/>
      <c r="F11362" s="18"/>
    </row>
    <row r="11363" spans="5:6" ht="15" customHeight="1" x14ac:dyDescent="0.2">
      <c r="E11363" s="18"/>
      <c r="F11363" s="18"/>
    </row>
    <row r="11364" spans="5:6" ht="15" customHeight="1" x14ac:dyDescent="0.2">
      <c r="E11364" s="18"/>
      <c r="F11364" s="18"/>
    </row>
    <row r="11365" spans="5:6" ht="15" customHeight="1" x14ac:dyDescent="0.2">
      <c r="E11365" s="18"/>
      <c r="F11365" s="18"/>
    </row>
    <row r="11366" spans="5:6" ht="15" customHeight="1" x14ac:dyDescent="0.2">
      <c r="E11366" s="18"/>
      <c r="F11366" s="18"/>
    </row>
    <row r="11367" spans="5:6" ht="15" customHeight="1" x14ac:dyDescent="0.2">
      <c r="E11367" s="18"/>
      <c r="F11367" s="18"/>
    </row>
    <row r="11368" spans="5:6" ht="15" customHeight="1" x14ac:dyDescent="0.2">
      <c r="E11368" s="18"/>
      <c r="F11368" s="18"/>
    </row>
    <row r="11369" spans="5:6" ht="15" customHeight="1" x14ac:dyDescent="0.2">
      <c r="E11369" s="18"/>
      <c r="F11369" s="18"/>
    </row>
    <row r="11370" spans="5:6" ht="15" customHeight="1" x14ac:dyDescent="0.2">
      <c r="E11370" s="18"/>
      <c r="F11370" s="18"/>
    </row>
    <row r="11371" spans="5:6" ht="15" customHeight="1" x14ac:dyDescent="0.2">
      <c r="E11371" s="18"/>
      <c r="F11371" s="18"/>
    </row>
    <row r="11372" spans="5:6" ht="15" customHeight="1" x14ac:dyDescent="0.2">
      <c r="E11372" s="18"/>
      <c r="F11372" s="18"/>
    </row>
    <row r="11373" spans="5:6" ht="15" customHeight="1" x14ac:dyDescent="0.2">
      <c r="E11373" s="18"/>
      <c r="F11373" s="18"/>
    </row>
    <row r="11374" spans="5:6" ht="15" customHeight="1" x14ac:dyDescent="0.2">
      <c r="E11374" s="18"/>
      <c r="F11374" s="18"/>
    </row>
    <row r="11375" spans="5:6" ht="15" customHeight="1" x14ac:dyDescent="0.2">
      <c r="E11375" s="18"/>
      <c r="F11375" s="18"/>
    </row>
    <row r="11376" spans="5:6" ht="15" customHeight="1" x14ac:dyDescent="0.2">
      <c r="E11376" s="18"/>
      <c r="F11376" s="18"/>
    </row>
    <row r="11377" spans="5:6" ht="15" customHeight="1" x14ac:dyDescent="0.2">
      <c r="E11377" s="18"/>
      <c r="F11377" s="18"/>
    </row>
    <row r="11378" spans="5:6" ht="15" customHeight="1" x14ac:dyDescent="0.2">
      <c r="E11378" s="18"/>
      <c r="F11378" s="18"/>
    </row>
    <row r="11379" spans="5:6" ht="15" customHeight="1" x14ac:dyDescent="0.2">
      <c r="E11379" s="18"/>
      <c r="F11379" s="18"/>
    </row>
    <row r="11380" spans="5:6" ht="15" customHeight="1" x14ac:dyDescent="0.2">
      <c r="E11380" s="18"/>
      <c r="F11380" s="18"/>
    </row>
    <row r="11381" spans="5:6" ht="15" customHeight="1" x14ac:dyDescent="0.2">
      <c r="E11381" s="18"/>
      <c r="F11381" s="18"/>
    </row>
    <row r="11382" spans="5:6" ht="15" customHeight="1" x14ac:dyDescent="0.2">
      <c r="E11382" s="18"/>
      <c r="F11382" s="18"/>
    </row>
    <row r="11383" spans="5:6" ht="15" customHeight="1" x14ac:dyDescent="0.2">
      <c r="E11383" s="18"/>
      <c r="F11383" s="18"/>
    </row>
    <row r="11384" spans="5:6" ht="15" customHeight="1" x14ac:dyDescent="0.2">
      <c r="E11384" s="18"/>
      <c r="F11384" s="18"/>
    </row>
    <row r="11385" spans="5:6" ht="15" customHeight="1" x14ac:dyDescent="0.2">
      <c r="E11385" s="18"/>
      <c r="F11385" s="18"/>
    </row>
    <row r="11386" spans="5:6" ht="15" customHeight="1" x14ac:dyDescent="0.2">
      <c r="E11386" s="18"/>
      <c r="F11386" s="18"/>
    </row>
    <row r="11387" spans="5:6" ht="15" customHeight="1" x14ac:dyDescent="0.2">
      <c r="E11387" s="18"/>
      <c r="F11387" s="18"/>
    </row>
    <row r="11388" spans="5:6" ht="15" customHeight="1" x14ac:dyDescent="0.2">
      <c r="E11388" s="18"/>
      <c r="F11388" s="18"/>
    </row>
    <row r="11389" spans="5:6" ht="15" customHeight="1" x14ac:dyDescent="0.2">
      <c r="E11389" s="18"/>
      <c r="F11389" s="18"/>
    </row>
    <row r="11390" spans="5:6" ht="15" customHeight="1" x14ac:dyDescent="0.2">
      <c r="E11390" s="18"/>
      <c r="F11390" s="18"/>
    </row>
    <row r="11391" spans="5:6" ht="15" customHeight="1" x14ac:dyDescent="0.2">
      <c r="E11391" s="18"/>
      <c r="F11391" s="18"/>
    </row>
    <row r="11392" spans="5:6" ht="15" customHeight="1" x14ac:dyDescent="0.2">
      <c r="E11392" s="18"/>
      <c r="F11392" s="18"/>
    </row>
    <row r="11393" spans="5:6" ht="15" customHeight="1" x14ac:dyDescent="0.2">
      <c r="E11393" s="18"/>
      <c r="F11393" s="18"/>
    </row>
    <row r="11394" spans="5:6" ht="15" customHeight="1" x14ac:dyDescent="0.2">
      <c r="E11394" s="18"/>
      <c r="F11394" s="18"/>
    </row>
    <row r="11395" spans="5:6" ht="15" customHeight="1" x14ac:dyDescent="0.2">
      <c r="E11395" s="18"/>
      <c r="F11395" s="18"/>
    </row>
    <row r="11396" spans="5:6" ht="15" customHeight="1" x14ac:dyDescent="0.2">
      <c r="E11396" s="18"/>
      <c r="F11396" s="18"/>
    </row>
    <row r="11397" spans="5:6" ht="15" customHeight="1" x14ac:dyDescent="0.2">
      <c r="E11397" s="18"/>
      <c r="F11397" s="18"/>
    </row>
    <row r="11398" spans="5:6" ht="15" customHeight="1" x14ac:dyDescent="0.2">
      <c r="E11398" s="18"/>
      <c r="F11398" s="18"/>
    </row>
    <row r="11399" spans="5:6" ht="15" customHeight="1" x14ac:dyDescent="0.2">
      <c r="E11399" s="18"/>
      <c r="F11399" s="18"/>
    </row>
    <row r="11400" spans="5:6" ht="15" customHeight="1" x14ac:dyDescent="0.2">
      <c r="E11400" s="18"/>
      <c r="F11400" s="18"/>
    </row>
    <row r="11401" spans="5:6" ht="15" customHeight="1" x14ac:dyDescent="0.2">
      <c r="E11401" s="18"/>
      <c r="F11401" s="18"/>
    </row>
    <row r="11402" spans="5:6" ht="15" customHeight="1" x14ac:dyDescent="0.2">
      <c r="E11402" s="18"/>
      <c r="F11402" s="18"/>
    </row>
    <row r="11403" spans="5:6" ht="15" customHeight="1" x14ac:dyDescent="0.2">
      <c r="E11403" s="18"/>
      <c r="F11403" s="18"/>
    </row>
    <row r="11404" spans="5:6" ht="15" customHeight="1" x14ac:dyDescent="0.2">
      <c r="E11404" s="18"/>
      <c r="F11404" s="18"/>
    </row>
    <row r="11405" spans="5:6" ht="15" customHeight="1" x14ac:dyDescent="0.2">
      <c r="E11405" s="18"/>
      <c r="F11405" s="18"/>
    </row>
    <row r="11406" spans="5:6" ht="15" customHeight="1" x14ac:dyDescent="0.2">
      <c r="E11406" s="18"/>
      <c r="F11406" s="18"/>
    </row>
    <row r="11407" spans="5:6" ht="15" customHeight="1" x14ac:dyDescent="0.2">
      <c r="E11407" s="18"/>
      <c r="F11407" s="18"/>
    </row>
    <row r="11408" spans="5:6" ht="15" customHeight="1" x14ac:dyDescent="0.2">
      <c r="E11408" s="18"/>
      <c r="F11408" s="18"/>
    </row>
    <row r="11409" spans="5:6" ht="15" customHeight="1" x14ac:dyDescent="0.2">
      <c r="E11409" s="18"/>
      <c r="F11409" s="18"/>
    </row>
    <row r="11410" spans="5:6" ht="15" customHeight="1" x14ac:dyDescent="0.2">
      <c r="E11410" s="18"/>
      <c r="F11410" s="18"/>
    </row>
    <row r="11411" spans="5:6" ht="15" customHeight="1" x14ac:dyDescent="0.2">
      <c r="E11411" s="18"/>
      <c r="F11411" s="18"/>
    </row>
    <row r="11412" spans="5:6" ht="15" customHeight="1" x14ac:dyDescent="0.2">
      <c r="E11412" s="18"/>
      <c r="F11412" s="18"/>
    </row>
    <row r="11413" spans="5:6" ht="15" customHeight="1" x14ac:dyDescent="0.2">
      <c r="E11413" s="18"/>
      <c r="F11413" s="18"/>
    </row>
    <row r="11414" spans="5:6" ht="15" customHeight="1" x14ac:dyDescent="0.2">
      <c r="E11414" s="18"/>
      <c r="F11414" s="18"/>
    </row>
    <row r="11415" spans="5:6" ht="15" customHeight="1" x14ac:dyDescent="0.2">
      <c r="E11415" s="18"/>
      <c r="F11415" s="18"/>
    </row>
    <row r="11416" spans="5:6" ht="15" customHeight="1" x14ac:dyDescent="0.2">
      <c r="E11416" s="18"/>
      <c r="F11416" s="18"/>
    </row>
    <row r="11417" spans="5:6" ht="15" customHeight="1" x14ac:dyDescent="0.2">
      <c r="E11417" s="18"/>
      <c r="F11417" s="18"/>
    </row>
    <row r="11418" spans="5:6" ht="15" customHeight="1" x14ac:dyDescent="0.2">
      <c r="E11418" s="18"/>
      <c r="F11418" s="18"/>
    </row>
    <row r="11419" spans="5:6" ht="15" customHeight="1" x14ac:dyDescent="0.2">
      <c r="E11419" s="18"/>
      <c r="F11419" s="18"/>
    </row>
    <row r="11420" spans="5:6" ht="15" customHeight="1" x14ac:dyDescent="0.2">
      <c r="E11420" s="18"/>
      <c r="F11420" s="18"/>
    </row>
    <row r="11421" spans="5:6" ht="15" customHeight="1" x14ac:dyDescent="0.2">
      <c r="E11421" s="18"/>
      <c r="F11421" s="18"/>
    </row>
    <row r="11422" spans="5:6" ht="15" customHeight="1" x14ac:dyDescent="0.2">
      <c r="E11422" s="18"/>
      <c r="F11422" s="18"/>
    </row>
    <row r="11423" spans="5:6" ht="15" customHeight="1" x14ac:dyDescent="0.2">
      <c r="E11423" s="18"/>
      <c r="F11423" s="18"/>
    </row>
    <row r="11424" spans="5:6" ht="15" customHeight="1" x14ac:dyDescent="0.2">
      <c r="E11424" s="18"/>
      <c r="F11424" s="18"/>
    </row>
    <row r="11425" spans="5:6" ht="15" customHeight="1" x14ac:dyDescent="0.2">
      <c r="E11425" s="18"/>
      <c r="F11425" s="18"/>
    </row>
    <row r="11426" spans="5:6" ht="15" customHeight="1" x14ac:dyDescent="0.2">
      <c r="E11426" s="18"/>
      <c r="F11426" s="18"/>
    </row>
    <row r="11427" spans="5:6" ht="15" customHeight="1" x14ac:dyDescent="0.2">
      <c r="E11427" s="18"/>
      <c r="F11427" s="18"/>
    </row>
    <row r="11428" spans="5:6" ht="15" customHeight="1" x14ac:dyDescent="0.2">
      <c r="E11428" s="18"/>
      <c r="F11428" s="18"/>
    </row>
    <row r="11429" spans="5:6" ht="15" customHeight="1" x14ac:dyDescent="0.2">
      <c r="E11429" s="18"/>
      <c r="F11429" s="18"/>
    </row>
    <row r="11430" spans="5:6" ht="15" customHeight="1" x14ac:dyDescent="0.2">
      <c r="E11430" s="18"/>
      <c r="F11430" s="18"/>
    </row>
    <row r="11431" spans="5:6" ht="15" customHeight="1" x14ac:dyDescent="0.2">
      <c r="E11431" s="18"/>
      <c r="F11431" s="18"/>
    </row>
    <row r="11432" spans="5:6" ht="15" customHeight="1" x14ac:dyDescent="0.2">
      <c r="E11432" s="18"/>
      <c r="F11432" s="18"/>
    </row>
    <row r="11433" spans="5:6" ht="15" customHeight="1" x14ac:dyDescent="0.2">
      <c r="E11433" s="18"/>
      <c r="F11433" s="18"/>
    </row>
    <row r="11434" spans="5:6" ht="15" customHeight="1" x14ac:dyDescent="0.2">
      <c r="E11434" s="18"/>
      <c r="F11434" s="18"/>
    </row>
    <row r="11435" spans="5:6" ht="15" customHeight="1" x14ac:dyDescent="0.2">
      <c r="E11435" s="18"/>
      <c r="F11435" s="18"/>
    </row>
    <row r="11436" spans="5:6" ht="15" customHeight="1" x14ac:dyDescent="0.2">
      <c r="E11436" s="18"/>
      <c r="F11436" s="18"/>
    </row>
    <row r="11437" spans="5:6" ht="15" customHeight="1" x14ac:dyDescent="0.2">
      <c r="E11437" s="18"/>
      <c r="F11437" s="18"/>
    </row>
    <row r="11438" spans="5:6" ht="15" customHeight="1" x14ac:dyDescent="0.2">
      <c r="E11438" s="18"/>
      <c r="F11438" s="18"/>
    </row>
    <row r="11439" spans="5:6" ht="15" customHeight="1" x14ac:dyDescent="0.2">
      <c r="E11439" s="18"/>
      <c r="F11439" s="18"/>
    </row>
    <row r="11440" spans="5:6" ht="15" customHeight="1" x14ac:dyDescent="0.2">
      <c r="E11440" s="18"/>
      <c r="F11440" s="18"/>
    </row>
    <row r="11441" spans="5:6" ht="15" customHeight="1" x14ac:dyDescent="0.2">
      <c r="E11441" s="18"/>
      <c r="F11441" s="18"/>
    </row>
    <row r="11442" spans="5:6" ht="15" customHeight="1" x14ac:dyDescent="0.2">
      <c r="E11442" s="18"/>
      <c r="F11442" s="18"/>
    </row>
    <row r="11443" spans="5:6" ht="15" customHeight="1" x14ac:dyDescent="0.2">
      <c r="E11443" s="18"/>
      <c r="F11443" s="18"/>
    </row>
    <row r="11444" spans="5:6" ht="15" customHeight="1" x14ac:dyDescent="0.2">
      <c r="E11444" s="18"/>
      <c r="F11444" s="18"/>
    </row>
    <row r="11445" spans="5:6" ht="15" customHeight="1" x14ac:dyDescent="0.2">
      <c r="E11445" s="18"/>
      <c r="F11445" s="18"/>
    </row>
    <row r="11446" spans="5:6" ht="15" customHeight="1" x14ac:dyDescent="0.2">
      <c r="E11446" s="18"/>
      <c r="F11446" s="18"/>
    </row>
    <row r="11447" spans="5:6" ht="15" customHeight="1" x14ac:dyDescent="0.2">
      <c r="E11447" s="18"/>
      <c r="F11447" s="18"/>
    </row>
    <row r="11448" spans="5:6" ht="15" customHeight="1" x14ac:dyDescent="0.2">
      <c r="E11448" s="18"/>
      <c r="F11448" s="18"/>
    </row>
    <row r="11449" spans="5:6" ht="15" customHeight="1" x14ac:dyDescent="0.2">
      <c r="E11449" s="18"/>
      <c r="F11449" s="18"/>
    </row>
    <row r="11450" spans="5:6" ht="15" customHeight="1" x14ac:dyDescent="0.2">
      <c r="E11450" s="18"/>
      <c r="F11450" s="18"/>
    </row>
    <row r="11451" spans="5:6" ht="15" customHeight="1" x14ac:dyDescent="0.2">
      <c r="E11451" s="18"/>
      <c r="F11451" s="18"/>
    </row>
    <row r="11452" spans="5:6" ht="15" customHeight="1" x14ac:dyDescent="0.2">
      <c r="E11452" s="18"/>
      <c r="F11452" s="18"/>
    </row>
    <row r="11453" spans="5:6" ht="15" customHeight="1" x14ac:dyDescent="0.2">
      <c r="E11453" s="18"/>
      <c r="F11453" s="18"/>
    </row>
    <row r="11454" spans="5:6" ht="15" customHeight="1" x14ac:dyDescent="0.2">
      <c r="E11454" s="18"/>
      <c r="F11454" s="18"/>
    </row>
    <row r="11455" spans="5:6" ht="15" customHeight="1" x14ac:dyDescent="0.2">
      <c r="E11455" s="18"/>
      <c r="F11455" s="18"/>
    </row>
    <row r="11456" spans="5:6" ht="15" customHeight="1" x14ac:dyDescent="0.2">
      <c r="E11456" s="18"/>
      <c r="F11456" s="18"/>
    </row>
    <row r="11457" spans="5:6" ht="15" customHeight="1" x14ac:dyDescent="0.2">
      <c r="E11457" s="18"/>
      <c r="F11457" s="18"/>
    </row>
    <row r="11458" spans="5:6" ht="15" customHeight="1" x14ac:dyDescent="0.2">
      <c r="E11458" s="18"/>
      <c r="F11458" s="18"/>
    </row>
    <row r="11459" spans="5:6" ht="15" customHeight="1" x14ac:dyDescent="0.2">
      <c r="E11459" s="18"/>
      <c r="F11459" s="18"/>
    </row>
    <row r="11460" spans="5:6" ht="15" customHeight="1" x14ac:dyDescent="0.2">
      <c r="E11460" s="18"/>
      <c r="F11460" s="18"/>
    </row>
    <row r="11461" spans="5:6" ht="15" customHeight="1" x14ac:dyDescent="0.2">
      <c r="E11461" s="18"/>
      <c r="F11461" s="18"/>
    </row>
    <row r="11462" spans="5:6" ht="15" customHeight="1" x14ac:dyDescent="0.2">
      <c r="E11462" s="18"/>
      <c r="F11462" s="18"/>
    </row>
    <row r="11463" spans="5:6" ht="15" customHeight="1" x14ac:dyDescent="0.2">
      <c r="E11463" s="18"/>
      <c r="F11463" s="18"/>
    </row>
    <row r="11464" spans="5:6" ht="15" customHeight="1" x14ac:dyDescent="0.2">
      <c r="E11464" s="18"/>
      <c r="F11464" s="18"/>
    </row>
    <row r="11465" spans="5:6" ht="15" customHeight="1" x14ac:dyDescent="0.2">
      <c r="E11465" s="18"/>
      <c r="F11465" s="18"/>
    </row>
    <row r="11466" spans="5:6" ht="15" customHeight="1" x14ac:dyDescent="0.2">
      <c r="E11466" s="18"/>
      <c r="F11466" s="18"/>
    </row>
    <row r="11467" spans="5:6" ht="15" customHeight="1" x14ac:dyDescent="0.2">
      <c r="E11467" s="18"/>
      <c r="F11467" s="18"/>
    </row>
    <row r="11468" spans="5:6" ht="15" customHeight="1" x14ac:dyDescent="0.2">
      <c r="E11468" s="18"/>
      <c r="F11468" s="18"/>
    </row>
    <row r="11469" spans="5:6" ht="15" customHeight="1" x14ac:dyDescent="0.2">
      <c r="E11469" s="18"/>
      <c r="F11469" s="18"/>
    </row>
    <row r="11470" spans="5:6" ht="15" customHeight="1" x14ac:dyDescent="0.2">
      <c r="E11470" s="18"/>
      <c r="F11470" s="18"/>
    </row>
    <row r="11471" spans="5:6" ht="15" customHeight="1" x14ac:dyDescent="0.2">
      <c r="E11471" s="18"/>
      <c r="F11471" s="18"/>
    </row>
    <row r="11472" spans="5:6" ht="15" customHeight="1" x14ac:dyDescent="0.2">
      <c r="E11472" s="18"/>
      <c r="F11472" s="18"/>
    </row>
    <row r="11473" spans="5:6" ht="15" customHeight="1" x14ac:dyDescent="0.2">
      <c r="E11473" s="18"/>
      <c r="F11473" s="18"/>
    </row>
    <row r="11474" spans="5:6" ht="15" customHeight="1" x14ac:dyDescent="0.2">
      <c r="E11474" s="18"/>
      <c r="F11474" s="18"/>
    </row>
    <row r="11475" spans="5:6" ht="15" customHeight="1" x14ac:dyDescent="0.2">
      <c r="E11475" s="18"/>
      <c r="F11475" s="18"/>
    </row>
    <row r="11476" spans="5:6" ht="15" customHeight="1" x14ac:dyDescent="0.2">
      <c r="E11476" s="18"/>
      <c r="F11476" s="18"/>
    </row>
    <row r="11477" spans="5:6" ht="15" customHeight="1" x14ac:dyDescent="0.2">
      <c r="E11477" s="18"/>
      <c r="F11477" s="18"/>
    </row>
    <row r="11478" spans="5:6" ht="15" customHeight="1" x14ac:dyDescent="0.2">
      <c r="E11478" s="18"/>
      <c r="F11478" s="18"/>
    </row>
    <row r="11479" spans="5:6" ht="15" customHeight="1" x14ac:dyDescent="0.2">
      <c r="E11479" s="18"/>
      <c r="F11479" s="18"/>
    </row>
    <row r="11480" spans="5:6" ht="15" customHeight="1" x14ac:dyDescent="0.2">
      <c r="E11480" s="18"/>
      <c r="F11480" s="18"/>
    </row>
    <row r="11481" spans="5:6" ht="15" customHeight="1" x14ac:dyDescent="0.2">
      <c r="E11481" s="18"/>
      <c r="F11481" s="18"/>
    </row>
    <row r="11482" spans="5:6" ht="15" customHeight="1" x14ac:dyDescent="0.2">
      <c r="E11482" s="18"/>
      <c r="F11482" s="18"/>
    </row>
    <row r="11483" spans="5:6" ht="15" customHeight="1" x14ac:dyDescent="0.2">
      <c r="E11483" s="18"/>
      <c r="F11483" s="18"/>
    </row>
    <row r="11484" spans="5:6" ht="15" customHeight="1" x14ac:dyDescent="0.2">
      <c r="E11484" s="18"/>
      <c r="F11484" s="18"/>
    </row>
    <row r="11485" spans="5:6" ht="15" customHeight="1" x14ac:dyDescent="0.2">
      <c r="E11485" s="18"/>
      <c r="F11485" s="18"/>
    </row>
    <row r="11486" spans="5:6" ht="15" customHeight="1" x14ac:dyDescent="0.2">
      <c r="E11486" s="18"/>
      <c r="F11486" s="18"/>
    </row>
    <row r="11487" spans="5:6" ht="15" customHeight="1" x14ac:dyDescent="0.2">
      <c r="E11487" s="18"/>
      <c r="F11487" s="18"/>
    </row>
    <row r="11488" spans="5:6" ht="15" customHeight="1" x14ac:dyDescent="0.2">
      <c r="E11488" s="18"/>
      <c r="F11488" s="18"/>
    </row>
    <row r="11489" spans="5:6" ht="15" customHeight="1" x14ac:dyDescent="0.2">
      <c r="E11489" s="18"/>
      <c r="F11489" s="18"/>
    </row>
    <row r="11490" spans="5:6" ht="15" customHeight="1" x14ac:dyDescent="0.2">
      <c r="E11490" s="18"/>
      <c r="F11490" s="18"/>
    </row>
    <row r="11491" spans="5:6" ht="15" customHeight="1" x14ac:dyDescent="0.2">
      <c r="E11491" s="18"/>
      <c r="F11491" s="18"/>
    </row>
    <row r="11492" spans="5:6" ht="15" customHeight="1" x14ac:dyDescent="0.2">
      <c r="E11492" s="18"/>
      <c r="F11492" s="18"/>
    </row>
    <row r="11493" spans="5:6" ht="15" customHeight="1" x14ac:dyDescent="0.2">
      <c r="E11493" s="18"/>
      <c r="F11493" s="18"/>
    </row>
    <row r="11494" spans="5:6" ht="15" customHeight="1" x14ac:dyDescent="0.2">
      <c r="E11494" s="18"/>
      <c r="F11494" s="18"/>
    </row>
    <row r="11495" spans="5:6" ht="15" customHeight="1" x14ac:dyDescent="0.2">
      <c r="E11495" s="18"/>
      <c r="F11495" s="18"/>
    </row>
    <row r="11496" spans="5:6" ht="15" customHeight="1" x14ac:dyDescent="0.2">
      <c r="E11496" s="18"/>
      <c r="F11496" s="18"/>
    </row>
    <row r="11497" spans="5:6" ht="15" customHeight="1" x14ac:dyDescent="0.2">
      <c r="E11497" s="18"/>
      <c r="F11497" s="18"/>
    </row>
    <row r="11498" spans="5:6" ht="15" customHeight="1" x14ac:dyDescent="0.2">
      <c r="E11498" s="18"/>
      <c r="F11498" s="18"/>
    </row>
    <row r="11499" spans="5:6" ht="15" customHeight="1" x14ac:dyDescent="0.2">
      <c r="E11499" s="18"/>
      <c r="F11499" s="18"/>
    </row>
    <row r="11500" spans="5:6" ht="15" customHeight="1" x14ac:dyDescent="0.2">
      <c r="E11500" s="18"/>
      <c r="F11500" s="18"/>
    </row>
    <row r="11501" spans="5:6" ht="15" customHeight="1" x14ac:dyDescent="0.2">
      <c r="E11501" s="18"/>
      <c r="F11501" s="18"/>
    </row>
    <row r="11502" spans="5:6" ht="15" customHeight="1" x14ac:dyDescent="0.2">
      <c r="E11502" s="18"/>
      <c r="F11502" s="18"/>
    </row>
    <row r="11503" spans="5:6" ht="15" customHeight="1" x14ac:dyDescent="0.2">
      <c r="E11503" s="18"/>
      <c r="F11503" s="18"/>
    </row>
    <row r="11504" spans="5:6" ht="15" customHeight="1" x14ac:dyDescent="0.2">
      <c r="E11504" s="18"/>
      <c r="F11504" s="18"/>
    </row>
    <row r="11505" spans="5:6" ht="15" customHeight="1" x14ac:dyDescent="0.2">
      <c r="E11505" s="18"/>
      <c r="F11505" s="18"/>
    </row>
    <row r="11506" spans="5:6" ht="15" customHeight="1" x14ac:dyDescent="0.2">
      <c r="E11506" s="18"/>
      <c r="F11506" s="18"/>
    </row>
    <row r="11507" spans="5:6" ht="15" customHeight="1" x14ac:dyDescent="0.2">
      <c r="E11507" s="18"/>
      <c r="F11507" s="18"/>
    </row>
    <row r="11508" spans="5:6" ht="15" customHeight="1" x14ac:dyDescent="0.2">
      <c r="E11508" s="18"/>
      <c r="F11508" s="18"/>
    </row>
    <row r="11509" spans="5:6" ht="15" customHeight="1" x14ac:dyDescent="0.2">
      <c r="E11509" s="18"/>
      <c r="F11509" s="18"/>
    </row>
    <row r="11510" spans="5:6" ht="15" customHeight="1" x14ac:dyDescent="0.2">
      <c r="E11510" s="18"/>
      <c r="F11510" s="18"/>
    </row>
    <row r="11511" spans="5:6" ht="15" customHeight="1" x14ac:dyDescent="0.2">
      <c r="E11511" s="18"/>
      <c r="F11511" s="18"/>
    </row>
    <row r="11512" spans="5:6" ht="15" customHeight="1" x14ac:dyDescent="0.2">
      <c r="E11512" s="18"/>
      <c r="F11512" s="18"/>
    </row>
    <row r="11513" spans="5:6" ht="15" customHeight="1" x14ac:dyDescent="0.2">
      <c r="E11513" s="18"/>
      <c r="F11513" s="18"/>
    </row>
    <row r="11514" spans="5:6" ht="15" customHeight="1" x14ac:dyDescent="0.2">
      <c r="E11514" s="18"/>
      <c r="F11514" s="18"/>
    </row>
    <row r="11515" spans="5:6" ht="15" customHeight="1" x14ac:dyDescent="0.2">
      <c r="E11515" s="18"/>
      <c r="F11515" s="18"/>
    </row>
    <row r="11516" spans="5:6" ht="15" customHeight="1" x14ac:dyDescent="0.2">
      <c r="E11516" s="18"/>
      <c r="F11516" s="18"/>
    </row>
    <row r="11517" spans="5:6" ht="15" customHeight="1" x14ac:dyDescent="0.2">
      <c r="E11517" s="18"/>
      <c r="F11517" s="18"/>
    </row>
    <row r="11518" spans="5:6" ht="15" customHeight="1" x14ac:dyDescent="0.2">
      <c r="E11518" s="18"/>
      <c r="F11518" s="18"/>
    </row>
    <row r="11519" spans="5:6" ht="15" customHeight="1" x14ac:dyDescent="0.2">
      <c r="E11519" s="18"/>
      <c r="F11519" s="18"/>
    </row>
    <row r="11520" spans="5:6" ht="15" customHeight="1" x14ac:dyDescent="0.2">
      <c r="E11520" s="18"/>
      <c r="F11520" s="18"/>
    </row>
    <row r="11521" spans="5:6" ht="15" customHeight="1" x14ac:dyDescent="0.2">
      <c r="E11521" s="18"/>
      <c r="F11521" s="18"/>
    </row>
    <row r="11522" spans="5:6" ht="15" customHeight="1" x14ac:dyDescent="0.2">
      <c r="E11522" s="18"/>
      <c r="F11522" s="18"/>
    </row>
    <row r="11523" spans="5:6" ht="15" customHeight="1" x14ac:dyDescent="0.2">
      <c r="E11523" s="18"/>
      <c r="F11523" s="18"/>
    </row>
    <row r="11524" spans="5:6" ht="15" customHeight="1" x14ac:dyDescent="0.2">
      <c r="E11524" s="18"/>
      <c r="F11524" s="18"/>
    </row>
    <row r="11525" spans="5:6" ht="15" customHeight="1" x14ac:dyDescent="0.2">
      <c r="E11525" s="18"/>
      <c r="F11525" s="18"/>
    </row>
    <row r="11526" spans="5:6" ht="15" customHeight="1" x14ac:dyDescent="0.2">
      <c r="E11526" s="18"/>
      <c r="F11526" s="18"/>
    </row>
    <row r="11527" spans="5:6" ht="15" customHeight="1" x14ac:dyDescent="0.2">
      <c r="E11527" s="18"/>
      <c r="F11527" s="18"/>
    </row>
    <row r="11528" spans="5:6" ht="15" customHeight="1" x14ac:dyDescent="0.2">
      <c r="E11528" s="18"/>
      <c r="F11528" s="18"/>
    </row>
    <row r="11529" spans="5:6" ht="15" customHeight="1" x14ac:dyDescent="0.2">
      <c r="E11529" s="18"/>
      <c r="F11529" s="18"/>
    </row>
    <row r="11530" spans="5:6" ht="15" customHeight="1" x14ac:dyDescent="0.2">
      <c r="E11530" s="18"/>
      <c r="F11530" s="18"/>
    </row>
    <row r="11531" spans="5:6" ht="15" customHeight="1" x14ac:dyDescent="0.2">
      <c r="E11531" s="18"/>
      <c r="F11531" s="18"/>
    </row>
    <row r="11532" spans="5:6" ht="15" customHeight="1" x14ac:dyDescent="0.2">
      <c r="E11532" s="18"/>
      <c r="F11532" s="18"/>
    </row>
    <row r="11533" spans="5:6" ht="15" customHeight="1" x14ac:dyDescent="0.2">
      <c r="E11533" s="18"/>
      <c r="F11533" s="18"/>
    </row>
    <row r="11534" spans="5:6" ht="15" customHeight="1" x14ac:dyDescent="0.2">
      <c r="E11534" s="18"/>
      <c r="F11534" s="18"/>
    </row>
    <row r="11535" spans="5:6" ht="15" customHeight="1" x14ac:dyDescent="0.2">
      <c r="E11535" s="18"/>
      <c r="F11535" s="18"/>
    </row>
    <row r="11536" spans="5:6" ht="15" customHeight="1" x14ac:dyDescent="0.2">
      <c r="E11536" s="18"/>
      <c r="F11536" s="18"/>
    </row>
    <row r="11537" spans="5:6" ht="15" customHeight="1" x14ac:dyDescent="0.2">
      <c r="E11537" s="18"/>
      <c r="F11537" s="18"/>
    </row>
    <row r="11538" spans="5:6" ht="15" customHeight="1" x14ac:dyDescent="0.2">
      <c r="E11538" s="18"/>
      <c r="F11538" s="18"/>
    </row>
    <row r="11539" spans="5:6" ht="15" customHeight="1" x14ac:dyDescent="0.2">
      <c r="E11539" s="18"/>
      <c r="F11539" s="18"/>
    </row>
    <row r="11540" spans="5:6" ht="15" customHeight="1" x14ac:dyDescent="0.2">
      <c r="E11540" s="18"/>
      <c r="F11540" s="18"/>
    </row>
    <row r="11541" spans="5:6" ht="15" customHeight="1" x14ac:dyDescent="0.2">
      <c r="E11541" s="18"/>
      <c r="F11541" s="18"/>
    </row>
    <row r="11542" spans="5:6" ht="15" customHeight="1" x14ac:dyDescent="0.2">
      <c r="E11542" s="18"/>
      <c r="F11542" s="18"/>
    </row>
    <row r="11543" spans="5:6" ht="15" customHeight="1" x14ac:dyDescent="0.2">
      <c r="E11543" s="18"/>
      <c r="F11543" s="18"/>
    </row>
    <row r="11544" spans="5:6" ht="15" customHeight="1" x14ac:dyDescent="0.2">
      <c r="E11544" s="18"/>
      <c r="F11544" s="18"/>
    </row>
    <row r="11545" spans="5:6" ht="15" customHeight="1" x14ac:dyDescent="0.2">
      <c r="E11545" s="18"/>
      <c r="F11545" s="18"/>
    </row>
    <row r="11546" spans="5:6" ht="15" customHeight="1" x14ac:dyDescent="0.2">
      <c r="E11546" s="18"/>
      <c r="F11546" s="18"/>
    </row>
    <row r="11547" spans="5:6" ht="15" customHeight="1" x14ac:dyDescent="0.2">
      <c r="E11547" s="18"/>
      <c r="F11547" s="18"/>
    </row>
    <row r="11548" spans="5:6" ht="15" customHeight="1" x14ac:dyDescent="0.2">
      <c r="E11548" s="18"/>
      <c r="F11548" s="18"/>
    </row>
    <row r="11549" spans="5:6" ht="15" customHeight="1" x14ac:dyDescent="0.2">
      <c r="E11549" s="18"/>
      <c r="F11549" s="18"/>
    </row>
    <row r="11550" spans="5:6" ht="15" customHeight="1" x14ac:dyDescent="0.2">
      <c r="E11550" s="18"/>
      <c r="F11550" s="18"/>
    </row>
    <row r="11551" spans="5:6" ht="15" customHeight="1" x14ac:dyDescent="0.2">
      <c r="E11551" s="18"/>
      <c r="F11551" s="18"/>
    </row>
    <row r="11552" spans="5:6" ht="15" customHeight="1" x14ac:dyDescent="0.2">
      <c r="E11552" s="18"/>
      <c r="F11552" s="18"/>
    </row>
    <row r="11553" spans="5:6" ht="15" customHeight="1" x14ac:dyDescent="0.2">
      <c r="E11553" s="18"/>
      <c r="F11553" s="18"/>
    </row>
    <row r="11554" spans="5:6" ht="15" customHeight="1" x14ac:dyDescent="0.2">
      <c r="E11554" s="18"/>
      <c r="F11554" s="18"/>
    </row>
    <row r="11555" spans="5:6" ht="15" customHeight="1" x14ac:dyDescent="0.2">
      <c r="E11555" s="18"/>
      <c r="F11555" s="18"/>
    </row>
    <row r="11556" spans="5:6" ht="15" customHeight="1" x14ac:dyDescent="0.2">
      <c r="E11556" s="18"/>
      <c r="F11556" s="18"/>
    </row>
    <row r="11557" spans="5:6" ht="15" customHeight="1" x14ac:dyDescent="0.2">
      <c r="E11557" s="18"/>
      <c r="F11557" s="18"/>
    </row>
    <row r="11558" spans="5:6" ht="15" customHeight="1" x14ac:dyDescent="0.2">
      <c r="E11558" s="18"/>
      <c r="F11558" s="18"/>
    </row>
    <row r="11559" spans="5:6" ht="15" customHeight="1" x14ac:dyDescent="0.2">
      <c r="E11559" s="18"/>
      <c r="F11559" s="18"/>
    </row>
    <row r="11560" spans="5:6" ht="15" customHeight="1" x14ac:dyDescent="0.2">
      <c r="E11560" s="18"/>
      <c r="F11560" s="18"/>
    </row>
    <row r="11561" spans="5:6" ht="15" customHeight="1" x14ac:dyDescent="0.2">
      <c r="E11561" s="18"/>
      <c r="F11561" s="18"/>
    </row>
    <row r="11562" spans="5:6" ht="15" customHeight="1" x14ac:dyDescent="0.2">
      <c r="E11562" s="18"/>
      <c r="F11562" s="18"/>
    </row>
    <row r="11563" spans="5:6" ht="15" customHeight="1" x14ac:dyDescent="0.2">
      <c r="E11563" s="18"/>
      <c r="F11563" s="18"/>
    </row>
    <row r="11564" spans="5:6" ht="15" customHeight="1" x14ac:dyDescent="0.2">
      <c r="E11564" s="18"/>
      <c r="F11564" s="18"/>
    </row>
    <row r="11565" spans="5:6" ht="15" customHeight="1" x14ac:dyDescent="0.2">
      <c r="E11565" s="18"/>
      <c r="F11565" s="18"/>
    </row>
    <row r="11566" spans="5:6" ht="15" customHeight="1" x14ac:dyDescent="0.2">
      <c r="E11566" s="18"/>
      <c r="F11566" s="18"/>
    </row>
    <row r="11567" spans="5:6" ht="15" customHeight="1" x14ac:dyDescent="0.2">
      <c r="E11567" s="18"/>
      <c r="F11567" s="18"/>
    </row>
    <row r="11568" spans="5:6" ht="15" customHeight="1" x14ac:dyDescent="0.2">
      <c r="E11568" s="18"/>
      <c r="F11568" s="18"/>
    </row>
    <row r="11569" spans="5:6" ht="15" customHeight="1" x14ac:dyDescent="0.2">
      <c r="E11569" s="18"/>
      <c r="F11569" s="18"/>
    </row>
    <row r="11570" spans="5:6" ht="15" customHeight="1" x14ac:dyDescent="0.2">
      <c r="E11570" s="18"/>
      <c r="F11570" s="18"/>
    </row>
    <row r="11571" spans="5:6" ht="15" customHeight="1" x14ac:dyDescent="0.2">
      <c r="E11571" s="18"/>
      <c r="F11571" s="18"/>
    </row>
    <row r="11572" spans="5:6" ht="15" customHeight="1" x14ac:dyDescent="0.2">
      <c r="E11572" s="18"/>
      <c r="F11572" s="18"/>
    </row>
    <row r="11573" spans="5:6" ht="15" customHeight="1" x14ac:dyDescent="0.2">
      <c r="E11573" s="18"/>
      <c r="F11573" s="18"/>
    </row>
    <row r="11574" spans="5:6" ht="15" customHeight="1" x14ac:dyDescent="0.2">
      <c r="E11574" s="18"/>
      <c r="F11574" s="18"/>
    </row>
    <row r="11575" spans="5:6" ht="15" customHeight="1" x14ac:dyDescent="0.2">
      <c r="E11575" s="18"/>
      <c r="F11575" s="18"/>
    </row>
    <row r="11576" spans="5:6" ht="15" customHeight="1" x14ac:dyDescent="0.2">
      <c r="E11576" s="18"/>
      <c r="F11576" s="18"/>
    </row>
    <row r="11577" spans="5:6" ht="15" customHeight="1" x14ac:dyDescent="0.2">
      <c r="E11577" s="18"/>
      <c r="F11577" s="18"/>
    </row>
    <row r="11578" spans="5:6" ht="15" customHeight="1" x14ac:dyDescent="0.2">
      <c r="E11578" s="18"/>
      <c r="F11578" s="18"/>
    </row>
    <row r="11579" spans="5:6" ht="15" customHeight="1" x14ac:dyDescent="0.2">
      <c r="E11579" s="18"/>
      <c r="F11579" s="18"/>
    </row>
    <row r="11580" spans="5:6" ht="15" customHeight="1" x14ac:dyDescent="0.2">
      <c r="E11580" s="18"/>
      <c r="F11580" s="18"/>
    </row>
    <row r="11581" spans="5:6" ht="15" customHeight="1" x14ac:dyDescent="0.2">
      <c r="E11581" s="18"/>
      <c r="F11581" s="18"/>
    </row>
    <row r="11582" spans="5:6" ht="15" customHeight="1" x14ac:dyDescent="0.2">
      <c r="E11582" s="18"/>
      <c r="F11582" s="18"/>
    </row>
    <row r="11583" spans="5:6" ht="15" customHeight="1" x14ac:dyDescent="0.2">
      <c r="E11583" s="18"/>
      <c r="F11583" s="18"/>
    </row>
    <row r="11584" spans="5:6" ht="15" customHeight="1" x14ac:dyDescent="0.2">
      <c r="E11584" s="18"/>
      <c r="F11584" s="18"/>
    </row>
    <row r="11585" spans="5:6" ht="15" customHeight="1" x14ac:dyDescent="0.2">
      <c r="E11585" s="18"/>
      <c r="F11585" s="18"/>
    </row>
    <row r="11586" spans="5:6" ht="15" customHeight="1" x14ac:dyDescent="0.2">
      <c r="E11586" s="18"/>
      <c r="F11586" s="18"/>
    </row>
    <row r="11587" spans="5:6" ht="15" customHeight="1" x14ac:dyDescent="0.2">
      <c r="E11587" s="18"/>
      <c r="F11587" s="18"/>
    </row>
    <row r="11588" spans="5:6" ht="15" customHeight="1" x14ac:dyDescent="0.2">
      <c r="E11588" s="18"/>
      <c r="F11588" s="18"/>
    </row>
    <row r="11589" spans="5:6" ht="15" customHeight="1" x14ac:dyDescent="0.2">
      <c r="E11589" s="18"/>
      <c r="F11589" s="18"/>
    </row>
    <row r="11590" spans="5:6" ht="15" customHeight="1" x14ac:dyDescent="0.2">
      <c r="E11590" s="18"/>
      <c r="F11590" s="18"/>
    </row>
    <row r="11591" spans="5:6" ht="15" customHeight="1" x14ac:dyDescent="0.2">
      <c r="E11591" s="18"/>
      <c r="F11591" s="18"/>
    </row>
    <row r="11592" spans="5:6" ht="15" customHeight="1" x14ac:dyDescent="0.2">
      <c r="E11592" s="18"/>
      <c r="F11592" s="18"/>
    </row>
    <row r="11593" spans="5:6" ht="15" customHeight="1" x14ac:dyDescent="0.2">
      <c r="E11593" s="18"/>
      <c r="F11593" s="18"/>
    </row>
    <row r="11594" spans="5:6" ht="15" customHeight="1" x14ac:dyDescent="0.2">
      <c r="E11594" s="18"/>
      <c r="F11594" s="18"/>
    </row>
    <row r="11595" spans="5:6" ht="15" customHeight="1" x14ac:dyDescent="0.2">
      <c r="E11595" s="18"/>
      <c r="F11595" s="18"/>
    </row>
    <row r="11596" spans="5:6" ht="15" customHeight="1" x14ac:dyDescent="0.2">
      <c r="E11596" s="18"/>
      <c r="F11596" s="18"/>
    </row>
    <row r="11597" spans="5:6" ht="15" customHeight="1" x14ac:dyDescent="0.2">
      <c r="E11597" s="18"/>
      <c r="F11597" s="18"/>
    </row>
    <row r="11598" spans="5:6" ht="15" customHeight="1" x14ac:dyDescent="0.2">
      <c r="E11598" s="18"/>
      <c r="F11598" s="18"/>
    </row>
    <row r="11599" spans="5:6" ht="15" customHeight="1" x14ac:dyDescent="0.2">
      <c r="E11599" s="18"/>
      <c r="F11599" s="18"/>
    </row>
    <row r="11600" spans="5:6" ht="15" customHeight="1" x14ac:dyDescent="0.2">
      <c r="E11600" s="18"/>
      <c r="F11600" s="18"/>
    </row>
    <row r="11601" spans="5:6" ht="15" customHeight="1" x14ac:dyDescent="0.2">
      <c r="E11601" s="18"/>
      <c r="F11601" s="18"/>
    </row>
    <row r="11602" spans="5:6" ht="15" customHeight="1" x14ac:dyDescent="0.2">
      <c r="E11602" s="18"/>
      <c r="F11602" s="18"/>
    </row>
    <row r="11603" spans="5:6" ht="15" customHeight="1" x14ac:dyDescent="0.2">
      <c r="E11603" s="18"/>
      <c r="F11603" s="18"/>
    </row>
    <row r="11604" spans="5:6" ht="15" customHeight="1" x14ac:dyDescent="0.2">
      <c r="E11604" s="18"/>
      <c r="F11604" s="18"/>
    </row>
    <row r="11605" spans="5:6" ht="15" customHeight="1" x14ac:dyDescent="0.2">
      <c r="E11605" s="18"/>
      <c r="F11605" s="18"/>
    </row>
    <row r="11606" spans="5:6" ht="15" customHeight="1" x14ac:dyDescent="0.2">
      <c r="E11606" s="18"/>
      <c r="F11606" s="18"/>
    </row>
    <row r="11607" spans="5:6" ht="15" customHeight="1" x14ac:dyDescent="0.2">
      <c r="E11607" s="18"/>
      <c r="F11607" s="18"/>
    </row>
    <row r="11608" spans="5:6" ht="15" customHeight="1" x14ac:dyDescent="0.2">
      <c r="E11608" s="18"/>
      <c r="F11608" s="18"/>
    </row>
    <row r="11609" spans="5:6" ht="15" customHeight="1" x14ac:dyDescent="0.2">
      <c r="E11609" s="18"/>
      <c r="F11609" s="18"/>
    </row>
    <row r="11610" spans="5:6" ht="15" customHeight="1" x14ac:dyDescent="0.2">
      <c r="E11610" s="18"/>
      <c r="F11610" s="18"/>
    </row>
    <row r="11611" spans="5:6" ht="15" customHeight="1" x14ac:dyDescent="0.2">
      <c r="E11611" s="18"/>
      <c r="F11611" s="18"/>
    </row>
    <row r="11612" spans="5:6" ht="15" customHeight="1" x14ac:dyDescent="0.2">
      <c r="E11612" s="18"/>
      <c r="F11612" s="18"/>
    </row>
    <row r="11613" spans="5:6" ht="15" customHeight="1" x14ac:dyDescent="0.2">
      <c r="E11613" s="18"/>
      <c r="F11613" s="18"/>
    </row>
    <row r="11614" spans="5:6" ht="15" customHeight="1" x14ac:dyDescent="0.2">
      <c r="E11614" s="18"/>
      <c r="F11614" s="18"/>
    </row>
    <row r="11615" spans="5:6" ht="15" customHeight="1" x14ac:dyDescent="0.2">
      <c r="E11615" s="18"/>
      <c r="F11615" s="18"/>
    </row>
    <row r="11616" spans="5:6" ht="15" customHeight="1" x14ac:dyDescent="0.2">
      <c r="E11616" s="18"/>
      <c r="F11616" s="18"/>
    </row>
    <row r="11617" spans="5:6" ht="15" customHeight="1" x14ac:dyDescent="0.2">
      <c r="E11617" s="18"/>
      <c r="F11617" s="18"/>
    </row>
    <row r="11618" spans="5:6" ht="15" customHeight="1" x14ac:dyDescent="0.2">
      <c r="E11618" s="18"/>
      <c r="F11618" s="18"/>
    </row>
    <row r="11619" spans="5:6" ht="15" customHeight="1" x14ac:dyDescent="0.2">
      <c r="E11619" s="18"/>
      <c r="F11619" s="18"/>
    </row>
    <row r="11620" spans="5:6" ht="15" customHeight="1" x14ac:dyDescent="0.2">
      <c r="E11620" s="18"/>
      <c r="F11620" s="18"/>
    </row>
    <row r="11621" spans="5:6" ht="15" customHeight="1" x14ac:dyDescent="0.2">
      <c r="E11621" s="18"/>
      <c r="F11621" s="18"/>
    </row>
    <row r="11622" spans="5:6" ht="15" customHeight="1" x14ac:dyDescent="0.2">
      <c r="E11622" s="18"/>
      <c r="F11622" s="18"/>
    </row>
    <row r="11623" spans="5:6" ht="15" customHeight="1" x14ac:dyDescent="0.2">
      <c r="E11623" s="18"/>
      <c r="F11623" s="18"/>
    </row>
    <row r="11624" spans="5:6" ht="15" customHeight="1" x14ac:dyDescent="0.2">
      <c r="E11624" s="18"/>
      <c r="F11624" s="18"/>
    </row>
    <row r="11625" spans="5:6" ht="15" customHeight="1" x14ac:dyDescent="0.2">
      <c r="E11625" s="18"/>
      <c r="F11625" s="18"/>
    </row>
    <row r="11626" spans="5:6" ht="15" customHeight="1" x14ac:dyDescent="0.2">
      <c r="E11626" s="18"/>
      <c r="F11626" s="18"/>
    </row>
    <row r="11627" spans="5:6" ht="15" customHeight="1" x14ac:dyDescent="0.2">
      <c r="E11627" s="18"/>
      <c r="F11627" s="18"/>
    </row>
    <row r="11628" spans="5:6" ht="15" customHeight="1" x14ac:dyDescent="0.2">
      <c r="E11628" s="18"/>
      <c r="F11628" s="18"/>
    </row>
    <row r="11629" spans="5:6" ht="15" customHeight="1" x14ac:dyDescent="0.2">
      <c r="E11629" s="18"/>
      <c r="F11629" s="18"/>
    </row>
    <row r="11630" spans="5:6" ht="15" customHeight="1" x14ac:dyDescent="0.2">
      <c r="E11630" s="18"/>
      <c r="F11630" s="18"/>
    </row>
    <row r="11631" spans="5:6" ht="15" customHeight="1" x14ac:dyDescent="0.2">
      <c r="E11631" s="18"/>
      <c r="F11631" s="18"/>
    </row>
    <row r="11632" spans="5:6" ht="15" customHeight="1" x14ac:dyDescent="0.2">
      <c r="E11632" s="18"/>
      <c r="F11632" s="18"/>
    </row>
    <row r="11633" spans="5:6" ht="15" customHeight="1" x14ac:dyDescent="0.2">
      <c r="E11633" s="18"/>
      <c r="F11633" s="18"/>
    </row>
    <row r="11634" spans="5:6" ht="15" customHeight="1" x14ac:dyDescent="0.2">
      <c r="E11634" s="18"/>
      <c r="F11634" s="18"/>
    </row>
    <row r="11635" spans="5:6" ht="15" customHeight="1" x14ac:dyDescent="0.2">
      <c r="E11635" s="18"/>
      <c r="F11635" s="18"/>
    </row>
    <row r="11636" spans="5:6" ht="15" customHeight="1" x14ac:dyDescent="0.2">
      <c r="E11636" s="18"/>
      <c r="F11636" s="18"/>
    </row>
    <row r="11637" spans="5:6" ht="15" customHeight="1" x14ac:dyDescent="0.2">
      <c r="E11637" s="18"/>
      <c r="F11637" s="18"/>
    </row>
    <row r="11638" spans="5:6" ht="15" customHeight="1" x14ac:dyDescent="0.2">
      <c r="E11638" s="18"/>
      <c r="F11638" s="18"/>
    </row>
    <row r="11639" spans="5:6" ht="15" customHeight="1" x14ac:dyDescent="0.2">
      <c r="E11639" s="18"/>
      <c r="F11639" s="18"/>
    </row>
    <row r="11640" spans="5:6" ht="15" customHeight="1" x14ac:dyDescent="0.2">
      <c r="E11640" s="18"/>
      <c r="F11640" s="18"/>
    </row>
    <row r="11641" spans="5:6" ht="15" customHeight="1" x14ac:dyDescent="0.2">
      <c r="E11641" s="18"/>
      <c r="F11641" s="18"/>
    </row>
    <row r="11642" spans="5:6" ht="15" customHeight="1" x14ac:dyDescent="0.2">
      <c r="E11642" s="18"/>
      <c r="F11642" s="18"/>
    </row>
    <row r="11643" spans="5:6" ht="15" customHeight="1" x14ac:dyDescent="0.2">
      <c r="E11643" s="18"/>
      <c r="F11643" s="18"/>
    </row>
    <row r="11644" spans="5:6" ht="15" customHeight="1" x14ac:dyDescent="0.2">
      <c r="E11644" s="18"/>
      <c r="F11644" s="18"/>
    </row>
    <row r="11645" spans="5:6" ht="15" customHeight="1" x14ac:dyDescent="0.2">
      <c r="E11645" s="18"/>
      <c r="F11645" s="18"/>
    </row>
    <row r="11646" spans="5:6" ht="15" customHeight="1" x14ac:dyDescent="0.2">
      <c r="E11646" s="18"/>
      <c r="F11646" s="18"/>
    </row>
    <row r="11647" spans="5:6" ht="15" customHeight="1" x14ac:dyDescent="0.2">
      <c r="E11647" s="18"/>
      <c r="F11647" s="18"/>
    </row>
    <row r="11648" spans="5:6" ht="15" customHeight="1" x14ac:dyDescent="0.2">
      <c r="E11648" s="18"/>
      <c r="F11648" s="18"/>
    </row>
    <row r="11649" spans="5:6" ht="15" customHeight="1" x14ac:dyDescent="0.2">
      <c r="E11649" s="18"/>
      <c r="F11649" s="18"/>
    </row>
    <row r="11650" spans="5:6" ht="15" customHeight="1" x14ac:dyDescent="0.2">
      <c r="E11650" s="18"/>
      <c r="F11650" s="18"/>
    </row>
    <row r="11651" spans="5:6" ht="15" customHeight="1" x14ac:dyDescent="0.2">
      <c r="E11651" s="18"/>
      <c r="F11651" s="18"/>
    </row>
    <row r="11652" spans="5:6" ht="15" customHeight="1" x14ac:dyDescent="0.2">
      <c r="E11652" s="18"/>
      <c r="F11652" s="18"/>
    </row>
    <row r="11653" spans="5:6" ht="15" customHeight="1" x14ac:dyDescent="0.2">
      <c r="E11653" s="18"/>
      <c r="F11653" s="18"/>
    </row>
    <row r="11654" spans="5:6" ht="15" customHeight="1" x14ac:dyDescent="0.2">
      <c r="E11654" s="18"/>
      <c r="F11654" s="18"/>
    </row>
    <row r="11655" spans="5:6" ht="15" customHeight="1" x14ac:dyDescent="0.2">
      <c r="E11655" s="18"/>
      <c r="F11655" s="18"/>
    </row>
    <row r="11656" spans="5:6" ht="15" customHeight="1" x14ac:dyDescent="0.2">
      <c r="E11656" s="18"/>
      <c r="F11656" s="18"/>
    </row>
    <row r="11657" spans="5:6" ht="15" customHeight="1" x14ac:dyDescent="0.2">
      <c r="E11657" s="18"/>
      <c r="F11657" s="18"/>
    </row>
    <row r="11658" spans="5:6" ht="15" customHeight="1" x14ac:dyDescent="0.2">
      <c r="E11658" s="18"/>
      <c r="F11658" s="18"/>
    </row>
    <row r="11659" spans="5:6" ht="15" customHeight="1" x14ac:dyDescent="0.2">
      <c r="E11659" s="18"/>
      <c r="F11659" s="18"/>
    </row>
    <row r="11660" spans="5:6" ht="15" customHeight="1" x14ac:dyDescent="0.2">
      <c r="E11660" s="18"/>
      <c r="F11660" s="18"/>
    </row>
    <row r="11661" spans="5:6" ht="15" customHeight="1" x14ac:dyDescent="0.2">
      <c r="E11661" s="18"/>
      <c r="F11661" s="18"/>
    </row>
    <row r="11662" spans="5:6" ht="15" customHeight="1" x14ac:dyDescent="0.2">
      <c r="E11662" s="18"/>
      <c r="F11662" s="18"/>
    </row>
    <row r="11663" spans="5:6" ht="15" customHeight="1" x14ac:dyDescent="0.2">
      <c r="E11663" s="18"/>
      <c r="F11663" s="18"/>
    </row>
    <row r="11664" spans="5:6" ht="15" customHeight="1" x14ac:dyDescent="0.2">
      <c r="E11664" s="18"/>
      <c r="F11664" s="18"/>
    </row>
    <row r="11665" spans="5:6" ht="15" customHeight="1" x14ac:dyDescent="0.2">
      <c r="E11665" s="18"/>
      <c r="F11665" s="18"/>
    </row>
    <row r="11666" spans="5:6" ht="15" customHeight="1" x14ac:dyDescent="0.2">
      <c r="E11666" s="18"/>
      <c r="F11666" s="18"/>
    </row>
    <row r="11667" spans="5:6" ht="15" customHeight="1" x14ac:dyDescent="0.2">
      <c r="E11667" s="18"/>
      <c r="F11667" s="18"/>
    </row>
    <row r="11668" spans="5:6" ht="15" customHeight="1" x14ac:dyDescent="0.2">
      <c r="E11668" s="18"/>
      <c r="F11668" s="18"/>
    </row>
    <row r="11669" spans="5:6" ht="15" customHeight="1" x14ac:dyDescent="0.2">
      <c r="E11669" s="18"/>
      <c r="F11669" s="18"/>
    </row>
    <row r="11670" spans="5:6" ht="15" customHeight="1" x14ac:dyDescent="0.2">
      <c r="E11670" s="18"/>
      <c r="F11670" s="18"/>
    </row>
    <row r="11671" spans="5:6" ht="15" customHeight="1" x14ac:dyDescent="0.2">
      <c r="E11671" s="18"/>
      <c r="F11671" s="18"/>
    </row>
    <row r="11672" spans="5:6" ht="15" customHeight="1" x14ac:dyDescent="0.2">
      <c r="E11672" s="18"/>
      <c r="F11672" s="18"/>
    </row>
    <row r="11673" spans="5:6" ht="15" customHeight="1" x14ac:dyDescent="0.2">
      <c r="E11673" s="18"/>
      <c r="F11673" s="18"/>
    </row>
    <row r="11674" spans="5:6" ht="15" customHeight="1" x14ac:dyDescent="0.2">
      <c r="E11674" s="18"/>
      <c r="F11674" s="18"/>
    </row>
    <row r="11675" spans="5:6" ht="15" customHeight="1" x14ac:dyDescent="0.2">
      <c r="E11675" s="18"/>
      <c r="F11675" s="18"/>
    </row>
    <row r="11676" spans="5:6" ht="15" customHeight="1" x14ac:dyDescent="0.2">
      <c r="E11676" s="18"/>
      <c r="F11676" s="18"/>
    </row>
    <row r="11677" spans="5:6" ht="15" customHeight="1" x14ac:dyDescent="0.2">
      <c r="E11677" s="18"/>
      <c r="F11677" s="18"/>
    </row>
    <row r="11678" spans="5:6" ht="15" customHeight="1" x14ac:dyDescent="0.2">
      <c r="E11678" s="18"/>
      <c r="F11678" s="18"/>
    </row>
    <row r="11679" spans="5:6" ht="15" customHeight="1" x14ac:dyDescent="0.2">
      <c r="E11679" s="18"/>
      <c r="F11679" s="18"/>
    </row>
    <row r="11680" spans="5:6" ht="15" customHeight="1" x14ac:dyDescent="0.2">
      <c r="E11680" s="18"/>
      <c r="F11680" s="18"/>
    </row>
    <row r="11681" spans="5:6" ht="15" customHeight="1" x14ac:dyDescent="0.2">
      <c r="E11681" s="18"/>
      <c r="F11681" s="18"/>
    </row>
    <row r="11682" spans="5:6" ht="15" customHeight="1" x14ac:dyDescent="0.2">
      <c r="E11682" s="18"/>
      <c r="F11682" s="18"/>
    </row>
    <row r="11683" spans="5:6" ht="15" customHeight="1" x14ac:dyDescent="0.2">
      <c r="E11683" s="18"/>
      <c r="F11683" s="18"/>
    </row>
    <row r="11684" spans="5:6" ht="15" customHeight="1" x14ac:dyDescent="0.2">
      <c r="E11684" s="18"/>
      <c r="F11684" s="18"/>
    </row>
    <row r="11685" spans="5:6" ht="15" customHeight="1" x14ac:dyDescent="0.2">
      <c r="E11685" s="18"/>
      <c r="F11685" s="18"/>
    </row>
    <row r="11686" spans="5:6" ht="15" customHeight="1" x14ac:dyDescent="0.2">
      <c r="E11686" s="18"/>
      <c r="F11686" s="18"/>
    </row>
    <row r="11687" spans="5:6" ht="15" customHeight="1" x14ac:dyDescent="0.2">
      <c r="E11687" s="18"/>
      <c r="F11687" s="18"/>
    </row>
    <row r="11688" spans="5:6" ht="15" customHeight="1" x14ac:dyDescent="0.2">
      <c r="E11688" s="18"/>
      <c r="F11688" s="18"/>
    </row>
    <row r="11689" spans="5:6" ht="15" customHeight="1" x14ac:dyDescent="0.2">
      <c r="E11689" s="18"/>
      <c r="F11689" s="18"/>
    </row>
    <row r="11690" spans="5:6" ht="15" customHeight="1" x14ac:dyDescent="0.2">
      <c r="E11690" s="18"/>
      <c r="F11690" s="18"/>
    </row>
    <row r="11691" spans="5:6" ht="15" customHeight="1" x14ac:dyDescent="0.2">
      <c r="E11691" s="18"/>
      <c r="F11691" s="18"/>
    </row>
    <row r="11692" spans="5:6" ht="15" customHeight="1" x14ac:dyDescent="0.2">
      <c r="E11692" s="18"/>
      <c r="F11692" s="18"/>
    </row>
    <row r="11693" spans="5:6" ht="15" customHeight="1" x14ac:dyDescent="0.2">
      <c r="E11693" s="18"/>
      <c r="F11693" s="18"/>
    </row>
    <row r="11694" spans="5:6" ht="15" customHeight="1" x14ac:dyDescent="0.2">
      <c r="E11694" s="18"/>
      <c r="F11694" s="18"/>
    </row>
    <row r="11695" spans="5:6" ht="15" customHeight="1" x14ac:dyDescent="0.2">
      <c r="E11695" s="18"/>
      <c r="F11695" s="18"/>
    </row>
    <row r="11696" spans="5:6" ht="15" customHeight="1" x14ac:dyDescent="0.2">
      <c r="E11696" s="18"/>
      <c r="F11696" s="18"/>
    </row>
    <row r="11697" spans="5:6" ht="15" customHeight="1" x14ac:dyDescent="0.2">
      <c r="E11697" s="18"/>
      <c r="F11697" s="18"/>
    </row>
    <row r="11698" spans="5:6" ht="15" customHeight="1" x14ac:dyDescent="0.2">
      <c r="E11698" s="18"/>
      <c r="F11698" s="18"/>
    </row>
    <row r="11699" spans="5:6" ht="15" customHeight="1" x14ac:dyDescent="0.2">
      <c r="E11699" s="18"/>
      <c r="F11699" s="18"/>
    </row>
    <row r="11700" spans="5:6" ht="15" customHeight="1" x14ac:dyDescent="0.2">
      <c r="E11700" s="18"/>
      <c r="F11700" s="18"/>
    </row>
    <row r="11701" spans="5:6" ht="15" customHeight="1" x14ac:dyDescent="0.2">
      <c r="E11701" s="18"/>
      <c r="F11701" s="18"/>
    </row>
    <row r="11702" spans="5:6" ht="15" customHeight="1" x14ac:dyDescent="0.2">
      <c r="E11702" s="18"/>
      <c r="F11702" s="18"/>
    </row>
    <row r="11703" spans="5:6" ht="15" customHeight="1" x14ac:dyDescent="0.2">
      <c r="E11703" s="18"/>
      <c r="F11703" s="18"/>
    </row>
    <row r="11704" spans="5:6" ht="15" customHeight="1" x14ac:dyDescent="0.2">
      <c r="E11704" s="18"/>
      <c r="F11704" s="18"/>
    </row>
    <row r="11705" spans="5:6" ht="15" customHeight="1" x14ac:dyDescent="0.2">
      <c r="E11705" s="18"/>
      <c r="F11705" s="18"/>
    </row>
    <row r="11706" spans="5:6" ht="15" customHeight="1" x14ac:dyDescent="0.2">
      <c r="E11706" s="18"/>
      <c r="F11706" s="18"/>
    </row>
    <row r="11707" spans="5:6" ht="15" customHeight="1" x14ac:dyDescent="0.2">
      <c r="E11707" s="18"/>
      <c r="F11707" s="18"/>
    </row>
    <row r="11708" spans="5:6" ht="15" customHeight="1" x14ac:dyDescent="0.2">
      <c r="E11708" s="18"/>
      <c r="F11708" s="18"/>
    </row>
    <row r="11709" spans="5:6" ht="15" customHeight="1" x14ac:dyDescent="0.2">
      <c r="E11709" s="18"/>
      <c r="F11709" s="18"/>
    </row>
    <row r="11710" spans="5:6" ht="15" customHeight="1" x14ac:dyDescent="0.2">
      <c r="E11710" s="18"/>
      <c r="F11710" s="18"/>
    </row>
    <row r="11711" spans="5:6" ht="15" customHeight="1" x14ac:dyDescent="0.2">
      <c r="E11711" s="18"/>
      <c r="F11711" s="18"/>
    </row>
    <row r="11712" spans="5:6" ht="15" customHeight="1" x14ac:dyDescent="0.2">
      <c r="E11712" s="18"/>
      <c r="F11712" s="18"/>
    </row>
    <row r="11713" spans="5:6" ht="15" customHeight="1" x14ac:dyDescent="0.2">
      <c r="E11713" s="18"/>
      <c r="F11713" s="18"/>
    </row>
    <row r="11714" spans="5:6" ht="15" customHeight="1" x14ac:dyDescent="0.2">
      <c r="E11714" s="18"/>
      <c r="F11714" s="18"/>
    </row>
    <row r="11715" spans="5:6" ht="15" customHeight="1" x14ac:dyDescent="0.2">
      <c r="E11715" s="18"/>
      <c r="F11715" s="18"/>
    </row>
    <row r="11716" spans="5:6" ht="15" customHeight="1" x14ac:dyDescent="0.2">
      <c r="E11716" s="18"/>
      <c r="F11716" s="18"/>
    </row>
    <row r="11717" spans="5:6" ht="15" customHeight="1" x14ac:dyDescent="0.2">
      <c r="E11717" s="18"/>
      <c r="F11717" s="18"/>
    </row>
    <row r="11718" spans="5:6" ht="15" customHeight="1" x14ac:dyDescent="0.2">
      <c r="E11718" s="18"/>
      <c r="F11718" s="18"/>
    </row>
    <row r="11719" spans="5:6" ht="15" customHeight="1" x14ac:dyDescent="0.2">
      <c r="E11719" s="18"/>
      <c r="F11719" s="18"/>
    </row>
    <row r="11720" spans="5:6" ht="15" customHeight="1" x14ac:dyDescent="0.2">
      <c r="E11720" s="18"/>
      <c r="F11720" s="18"/>
    </row>
    <row r="11721" spans="5:6" ht="15" customHeight="1" x14ac:dyDescent="0.2">
      <c r="E11721" s="18"/>
      <c r="F11721" s="18"/>
    </row>
    <row r="11722" spans="5:6" ht="15" customHeight="1" x14ac:dyDescent="0.2">
      <c r="E11722" s="18"/>
      <c r="F11722" s="18"/>
    </row>
    <row r="11723" spans="5:6" ht="15" customHeight="1" x14ac:dyDescent="0.2">
      <c r="E11723" s="18"/>
      <c r="F11723" s="18"/>
    </row>
    <row r="11724" spans="5:6" ht="15" customHeight="1" x14ac:dyDescent="0.2">
      <c r="E11724" s="18"/>
      <c r="F11724" s="18"/>
    </row>
    <row r="11725" spans="5:6" ht="15" customHeight="1" x14ac:dyDescent="0.2">
      <c r="E11725" s="18"/>
      <c r="F11725" s="18"/>
    </row>
    <row r="11726" spans="5:6" ht="15" customHeight="1" x14ac:dyDescent="0.2">
      <c r="E11726" s="18"/>
      <c r="F11726" s="18"/>
    </row>
    <row r="11727" spans="5:6" ht="15" customHeight="1" x14ac:dyDescent="0.2">
      <c r="E11727" s="18"/>
      <c r="F11727" s="18"/>
    </row>
    <row r="11728" spans="5:6" ht="15" customHeight="1" x14ac:dyDescent="0.2">
      <c r="E11728" s="18"/>
      <c r="F11728" s="18"/>
    </row>
    <row r="11729" spans="5:6" ht="15" customHeight="1" x14ac:dyDescent="0.2">
      <c r="E11729" s="18"/>
      <c r="F11729" s="18"/>
    </row>
    <row r="11730" spans="5:6" ht="15" customHeight="1" x14ac:dyDescent="0.2">
      <c r="E11730" s="18"/>
      <c r="F11730" s="18"/>
    </row>
    <row r="11731" spans="5:6" ht="15" customHeight="1" x14ac:dyDescent="0.2">
      <c r="E11731" s="18"/>
      <c r="F11731" s="18"/>
    </row>
    <row r="11732" spans="5:6" ht="15" customHeight="1" x14ac:dyDescent="0.2">
      <c r="E11732" s="18"/>
      <c r="F11732" s="18"/>
    </row>
    <row r="11733" spans="5:6" ht="15" customHeight="1" x14ac:dyDescent="0.2">
      <c r="E11733" s="18"/>
      <c r="F11733" s="18"/>
    </row>
    <row r="11734" spans="5:6" ht="15" customHeight="1" x14ac:dyDescent="0.2">
      <c r="E11734" s="18"/>
      <c r="F11734" s="18"/>
    </row>
    <row r="11735" spans="5:6" ht="15" customHeight="1" x14ac:dyDescent="0.2">
      <c r="E11735" s="18"/>
      <c r="F11735" s="18"/>
    </row>
    <row r="11736" spans="5:6" ht="15" customHeight="1" x14ac:dyDescent="0.2">
      <c r="E11736" s="18"/>
      <c r="F11736" s="18"/>
    </row>
    <row r="11737" spans="5:6" ht="15" customHeight="1" x14ac:dyDescent="0.2">
      <c r="E11737" s="18"/>
      <c r="F11737" s="18"/>
    </row>
    <row r="11738" spans="5:6" ht="15" customHeight="1" x14ac:dyDescent="0.2">
      <c r="E11738" s="18"/>
      <c r="F11738" s="18"/>
    </row>
    <row r="11739" spans="5:6" ht="15" customHeight="1" x14ac:dyDescent="0.2">
      <c r="E11739" s="18"/>
      <c r="F11739" s="18"/>
    </row>
    <row r="11740" spans="5:6" ht="15" customHeight="1" x14ac:dyDescent="0.2">
      <c r="E11740" s="18"/>
      <c r="F11740" s="18"/>
    </row>
    <row r="11741" spans="5:6" ht="15" customHeight="1" x14ac:dyDescent="0.2">
      <c r="E11741" s="18"/>
      <c r="F11741" s="18"/>
    </row>
    <row r="11742" spans="5:6" ht="15" customHeight="1" x14ac:dyDescent="0.2">
      <c r="E11742" s="18"/>
      <c r="F11742" s="18"/>
    </row>
    <row r="11743" spans="5:6" ht="15" customHeight="1" x14ac:dyDescent="0.2">
      <c r="E11743" s="18"/>
      <c r="F11743" s="18"/>
    </row>
    <row r="11744" spans="5:6" ht="15" customHeight="1" x14ac:dyDescent="0.2">
      <c r="E11744" s="18"/>
      <c r="F11744" s="18"/>
    </row>
    <row r="11745" spans="5:6" ht="15" customHeight="1" x14ac:dyDescent="0.2">
      <c r="E11745" s="18"/>
      <c r="F11745" s="18"/>
    </row>
    <row r="11746" spans="5:6" ht="15" customHeight="1" x14ac:dyDescent="0.2">
      <c r="E11746" s="18"/>
      <c r="F11746" s="18"/>
    </row>
    <row r="11747" spans="5:6" ht="15" customHeight="1" x14ac:dyDescent="0.2">
      <c r="E11747" s="18"/>
      <c r="F11747" s="18"/>
    </row>
    <row r="11748" spans="5:6" ht="15" customHeight="1" x14ac:dyDescent="0.2">
      <c r="E11748" s="18"/>
      <c r="F11748" s="18"/>
    </row>
    <row r="11749" spans="5:6" ht="15" customHeight="1" x14ac:dyDescent="0.2">
      <c r="E11749" s="18"/>
      <c r="F11749" s="18"/>
    </row>
    <row r="11750" spans="5:6" ht="15" customHeight="1" x14ac:dyDescent="0.2">
      <c r="E11750" s="18"/>
      <c r="F11750" s="18"/>
    </row>
    <row r="11751" spans="5:6" ht="15" customHeight="1" x14ac:dyDescent="0.2">
      <c r="E11751" s="18"/>
      <c r="F11751" s="18"/>
    </row>
    <row r="11752" spans="5:6" ht="15" customHeight="1" x14ac:dyDescent="0.2">
      <c r="E11752" s="18"/>
      <c r="F11752" s="18"/>
    </row>
    <row r="11753" spans="5:6" ht="15" customHeight="1" x14ac:dyDescent="0.2">
      <c r="E11753" s="18"/>
      <c r="F11753" s="18"/>
    </row>
    <row r="11754" spans="5:6" ht="15" customHeight="1" x14ac:dyDescent="0.2">
      <c r="E11754" s="18"/>
      <c r="F11754" s="18"/>
    </row>
    <row r="11755" spans="5:6" ht="15" customHeight="1" x14ac:dyDescent="0.2">
      <c r="E11755" s="18"/>
      <c r="F11755" s="18"/>
    </row>
    <row r="11756" spans="5:6" ht="15" customHeight="1" x14ac:dyDescent="0.2">
      <c r="E11756" s="18"/>
      <c r="F11756" s="18"/>
    </row>
    <row r="11757" spans="5:6" ht="15" customHeight="1" x14ac:dyDescent="0.2">
      <c r="E11757" s="18"/>
      <c r="F11757" s="18"/>
    </row>
    <row r="11758" spans="5:6" ht="15" customHeight="1" x14ac:dyDescent="0.2">
      <c r="E11758" s="18"/>
      <c r="F11758" s="18"/>
    </row>
    <row r="11759" spans="5:6" ht="15" customHeight="1" x14ac:dyDescent="0.2">
      <c r="E11759" s="18"/>
      <c r="F11759" s="18"/>
    </row>
    <row r="11760" spans="5:6" ht="15" customHeight="1" x14ac:dyDescent="0.2">
      <c r="E11760" s="18"/>
      <c r="F11760" s="18"/>
    </row>
    <row r="11761" spans="5:6" ht="15" customHeight="1" x14ac:dyDescent="0.2">
      <c r="E11761" s="18"/>
      <c r="F11761" s="18"/>
    </row>
    <row r="11762" spans="5:6" ht="15" customHeight="1" x14ac:dyDescent="0.2">
      <c r="E11762" s="18"/>
      <c r="F11762" s="18"/>
    </row>
    <row r="11763" spans="5:6" ht="15" customHeight="1" x14ac:dyDescent="0.2">
      <c r="E11763" s="18"/>
      <c r="F11763" s="18"/>
    </row>
    <row r="11764" spans="5:6" ht="15" customHeight="1" x14ac:dyDescent="0.2">
      <c r="E11764" s="18"/>
      <c r="F11764" s="18"/>
    </row>
    <row r="11765" spans="5:6" ht="15" customHeight="1" x14ac:dyDescent="0.2">
      <c r="E11765" s="18"/>
      <c r="F11765" s="18"/>
    </row>
    <row r="11766" spans="5:6" ht="15" customHeight="1" x14ac:dyDescent="0.2">
      <c r="E11766" s="18"/>
      <c r="F11766" s="18"/>
    </row>
    <row r="11767" spans="5:6" ht="15" customHeight="1" x14ac:dyDescent="0.2">
      <c r="E11767" s="18"/>
      <c r="F11767" s="18"/>
    </row>
    <row r="11768" spans="5:6" ht="15" customHeight="1" x14ac:dyDescent="0.2">
      <c r="E11768" s="18"/>
      <c r="F11768" s="18"/>
    </row>
    <row r="11769" spans="5:6" ht="15" customHeight="1" x14ac:dyDescent="0.2">
      <c r="E11769" s="18"/>
      <c r="F11769" s="18"/>
    </row>
    <row r="11770" spans="5:6" ht="15" customHeight="1" x14ac:dyDescent="0.2">
      <c r="E11770" s="18"/>
      <c r="F11770" s="18"/>
    </row>
    <row r="11771" spans="5:6" ht="15" customHeight="1" x14ac:dyDescent="0.2">
      <c r="E11771" s="18"/>
      <c r="F11771" s="18"/>
    </row>
    <row r="11772" spans="5:6" ht="15" customHeight="1" x14ac:dyDescent="0.2">
      <c r="E11772" s="18"/>
      <c r="F11772" s="18"/>
    </row>
    <row r="11773" spans="5:6" ht="15" customHeight="1" x14ac:dyDescent="0.2">
      <c r="E11773" s="18"/>
      <c r="F11773" s="18"/>
    </row>
    <row r="11774" spans="5:6" ht="15" customHeight="1" x14ac:dyDescent="0.2">
      <c r="E11774" s="18"/>
      <c r="F11774" s="18"/>
    </row>
    <row r="11775" spans="5:6" ht="15" customHeight="1" x14ac:dyDescent="0.2">
      <c r="E11775" s="18"/>
      <c r="F11775" s="18"/>
    </row>
    <row r="11776" spans="5:6" ht="15" customHeight="1" x14ac:dyDescent="0.2">
      <c r="E11776" s="18"/>
      <c r="F11776" s="18"/>
    </row>
    <row r="11777" spans="5:6" ht="15" customHeight="1" x14ac:dyDescent="0.2">
      <c r="E11777" s="18"/>
      <c r="F11777" s="18"/>
    </row>
    <row r="11778" spans="5:6" ht="15" customHeight="1" x14ac:dyDescent="0.2">
      <c r="E11778" s="18"/>
      <c r="F11778" s="18"/>
    </row>
    <row r="11779" spans="5:6" ht="15" customHeight="1" x14ac:dyDescent="0.2">
      <c r="E11779" s="18"/>
      <c r="F11779" s="18"/>
    </row>
    <row r="11780" spans="5:6" ht="15" customHeight="1" x14ac:dyDescent="0.2">
      <c r="E11780" s="18"/>
      <c r="F11780" s="18"/>
    </row>
    <row r="11781" spans="5:6" ht="15" customHeight="1" x14ac:dyDescent="0.2">
      <c r="E11781" s="18"/>
      <c r="F11781" s="18"/>
    </row>
    <row r="11782" spans="5:6" ht="15" customHeight="1" x14ac:dyDescent="0.2">
      <c r="E11782" s="18"/>
      <c r="F11782" s="18"/>
    </row>
    <row r="11783" spans="5:6" ht="15" customHeight="1" x14ac:dyDescent="0.2">
      <c r="E11783" s="18"/>
      <c r="F11783" s="18"/>
    </row>
    <row r="11784" spans="5:6" ht="15" customHeight="1" x14ac:dyDescent="0.2">
      <c r="E11784" s="18"/>
      <c r="F11784" s="18"/>
    </row>
    <row r="11785" spans="5:6" ht="15" customHeight="1" x14ac:dyDescent="0.2">
      <c r="E11785" s="18"/>
      <c r="F11785" s="18"/>
    </row>
    <row r="11786" spans="5:6" ht="15" customHeight="1" x14ac:dyDescent="0.2">
      <c r="E11786" s="18"/>
      <c r="F11786" s="18"/>
    </row>
    <row r="11787" spans="5:6" ht="15" customHeight="1" x14ac:dyDescent="0.2">
      <c r="E11787" s="18"/>
      <c r="F11787" s="18"/>
    </row>
    <row r="11788" spans="5:6" ht="15" customHeight="1" x14ac:dyDescent="0.2">
      <c r="E11788" s="18"/>
      <c r="F11788" s="18"/>
    </row>
    <row r="11789" spans="5:6" ht="15" customHeight="1" x14ac:dyDescent="0.2">
      <c r="E11789" s="18"/>
      <c r="F11789" s="18"/>
    </row>
    <row r="11790" spans="5:6" ht="15" customHeight="1" x14ac:dyDescent="0.2">
      <c r="E11790" s="18"/>
      <c r="F11790" s="18"/>
    </row>
    <row r="11791" spans="5:6" ht="15" customHeight="1" x14ac:dyDescent="0.2">
      <c r="E11791" s="18"/>
      <c r="F11791" s="18"/>
    </row>
    <row r="11792" spans="5:6" ht="15" customHeight="1" x14ac:dyDescent="0.2">
      <c r="E11792" s="18"/>
      <c r="F11792" s="18"/>
    </row>
    <row r="11793" spans="5:6" ht="15" customHeight="1" x14ac:dyDescent="0.2">
      <c r="E11793" s="18"/>
      <c r="F11793" s="18"/>
    </row>
    <row r="11794" spans="5:6" ht="15" customHeight="1" x14ac:dyDescent="0.2">
      <c r="E11794" s="18"/>
      <c r="F11794" s="18"/>
    </row>
    <row r="11795" spans="5:6" ht="15" customHeight="1" x14ac:dyDescent="0.2">
      <c r="E11795" s="18"/>
      <c r="F11795" s="18"/>
    </row>
    <row r="11796" spans="5:6" ht="15" customHeight="1" x14ac:dyDescent="0.2">
      <c r="E11796" s="18"/>
      <c r="F11796" s="18"/>
    </row>
    <row r="11797" spans="5:6" ht="15" customHeight="1" x14ac:dyDescent="0.2">
      <c r="E11797" s="18"/>
      <c r="F11797" s="18"/>
    </row>
    <row r="11798" spans="5:6" ht="15" customHeight="1" x14ac:dyDescent="0.2">
      <c r="E11798" s="18"/>
      <c r="F11798" s="18"/>
    </row>
    <row r="11799" spans="5:6" ht="15" customHeight="1" x14ac:dyDescent="0.2">
      <c r="E11799" s="18"/>
      <c r="F11799" s="18"/>
    </row>
    <row r="11800" spans="5:6" ht="15" customHeight="1" x14ac:dyDescent="0.2">
      <c r="E11800" s="18"/>
      <c r="F11800" s="18"/>
    </row>
    <row r="11801" spans="5:6" ht="15" customHeight="1" x14ac:dyDescent="0.2">
      <c r="E11801" s="18"/>
      <c r="F11801" s="18"/>
    </row>
    <row r="11802" spans="5:6" ht="15" customHeight="1" x14ac:dyDescent="0.2">
      <c r="E11802" s="18"/>
      <c r="F11802" s="18"/>
    </row>
    <row r="11803" spans="5:6" ht="15" customHeight="1" x14ac:dyDescent="0.2">
      <c r="E11803" s="18"/>
      <c r="F11803" s="18"/>
    </row>
    <row r="11804" spans="5:6" ht="15" customHeight="1" x14ac:dyDescent="0.2">
      <c r="E11804" s="18"/>
      <c r="F11804" s="18"/>
    </row>
    <row r="11805" spans="5:6" ht="15" customHeight="1" x14ac:dyDescent="0.2">
      <c r="E11805" s="18"/>
      <c r="F11805" s="18"/>
    </row>
    <row r="11806" spans="5:6" ht="15" customHeight="1" x14ac:dyDescent="0.2">
      <c r="E11806" s="18"/>
      <c r="F11806" s="18"/>
    </row>
    <row r="11807" spans="5:6" ht="15" customHeight="1" x14ac:dyDescent="0.2">
      <c r="E11807" s="18"/>
      <c r="F11807" s="18"/>
    </row>
    <row r="11808" spans="5:6" ht="15" customHeight="1" x14ac:dyDescent="0.2">
      <c r="E11808" s="18"/>
      <c r="F11808" s="18"/>
    </row>
    <row r="11809" spans="5:6" ht="15" customHeight="1" x14ac:dyDescent="0.2">
      <c r="E11809" s="18"/>
      <c r="F11809" s="18"/>
    </row>
    <row r="11810" spans="5:6" ht="15" customHeight="1" x14ac:dyDescent="0.2">
      <c r="E11810" s="18"/>
      <c r="F11810" s="18"/>
    </row>
    <row r="11811" spans="5:6" ht="15" customHeight="1" x14ac:dyDescent="0.2">
      <c r="E11811" s="18"/>
      <c r="F11811" s="18"/>
    </row>
    <row r="11812" spans="5:6" ht="15" customHeight="1" x14ac:dyDescent="0.2">
      <c r="E11812" s="18"/>
      <c r="F11812" s="18"/>
    </row>
    <row r="11813" spans="5:6" ht="15" customHeight="1" x14ac:dyDescent="0.2">
      <c r="E11813" s="18"/>
      <c r="F11813" s="18"/>
    </row>
    <row r="11814" spans="5:6" ht="15" customHeight="1" x14ac:dyDescent="0.2">
      <c r="E11814" s="18"/>
      <c r="F11814" s="18"/>
    </row>
    <row r="11815" spans="5:6" ht="15" customHeight="1" x14ac:dyDescent="0.2">
      <c r="E11815" s="18"/>
      <c r="F11815" s="18"/>
    </row>
    <row r="11816" spans="5:6" ht="15" customHeight="1" x14ac:dyDescent="0.2">
      <c r="E11816" s="18"/>
      <c r="F11816" s="18"/>
    </row>
    <row r="11817" spans="5:6" ht="15" customHeight="1" x14ac:dyDescent="0.2">
      <c r="E11817" s="18"/>
      <c r="F11817" s="18"/>
    </row>
    <row r="11818" spans="5:6" ht="15" customHeight="1" x14ac:dyDescent="0.2">
      <c r="E11818" s="18"/>
      <c r="F11818" s="18"/>
    </row>
    <row r="11819" spans="5:6" ht="15" customHeight="1" x14ac:dyDescent="0.2">
      <c r="E11819" s="18"/>
      <c r="F11819" s="18"/>
    </row>
    <row r="11820" spans="5:6" ht="15" customHeight="1" x14ac:dyDescent="0.2">
      <c r="E11820" s="18"/>
      <c r="F11820" s="18"/>
    </row>
    <row r="11821" spans="5:6" ht="15" customHeight="1" x14ac:dyDescent="0.2">
      <c r="E11821" s="18"/>
      <c r="F11821" s="18"/>
    </row>
    <row r="11822" spans="5:6" ht="15" customHeight="1" x14ac:dyDescent="0.2">
      <c r="E11822" s="18"/>
      <c r="F11822" s="18"/>
    </row>
    <row r="11823" spans="5:6" ht="15" customHeight="1" x14ac:dyDescent="0.2">
      <c r="E11823" s="18"/>
      <c r="F11823" s="18"/>
    </row>
    <row r="11824" spans="5:6" ht="15" customHeight="1" x14ac:dyDescent="0.2">
      <c r="E11824" s="18"/>
      <c r="F11824" s="18"/>
    </row>
    <row r="11825" spans="5:6" ht="15" customHeight="1" x14ac:dyDescent="0.2">
      <c r="E11825" s="18"/>
      <c r="F11825" s="18"/>
    </row>
    <row r="11826" spans="5:6" ht="15" customHeight="1" x14ac:dyDescent="0.2">
      <c r="E11826" s="18"/>
      <c r="F11826" s="18"/>
    </row>
    <row r="11827" spans="5:6" ht="15" customHeight="1" x14ac:dyDescent="0.2">
      <c r="E11827" s="18"/>
      <c r="F11827" s="18"/>
    </row>
    <row r="11828" spans="5:6" ht="15" customHeight="1" x14ac:dyDescent="0.2">
      <c r="E11828" s="18"/>
      <c r="F11828" s="18"/>
    </row>
    <row r="11829" spans="5:6" ht="15" customHeight="1" x14ac:dyDescent="0.2">
      <c r="E11829" s="18"/>
      <c r="F11829" s="18"/>
    </row>
    <row r="11830" spans="5:6" ht="15" customHeight="1" x14ac:dyDescent="0.2">
      <c r="E11830" s="18"/>
      <c r="F11830" s="18"/>
    </row>
    <row r="11831" spans="5:6" ht="15" customHeight="1" x14ac:dyDescent="0.2">
      <c r="E11831" s="18"/>
      <c r="F11831" s="18"/>
    </row>
    <row r="11832" spans="5:6" ht="15" customHeight="1" x14ac:dyDescent="0.2">
      <c r="E11832" s="18"/>
      <c r="F11832" s="18"/>
    </row>
    <row r="11833" spans="5:6" ht="15" customHeight="1" x14ac:dyDescent="0.2">
      <c r="E11833" s="18"/>
      <c r="F11833" s="18"/>
    </row>
    <row r="11834" spans="5:6" ht="15" customHeight="1" x14ac:dyDescent="0.2">
      <c r="E11834" s="18"/>
      <c r="F11834" s="18"/>
    </row>
    <row r="11835" spans="5:6" ht="15" customHeight="1" x14ac:dyDescent="0.2">
      <c r="E11835" s="18"/>
      <c r="F11835" s="18"/>
    </row>
    <row r="11836" spans="5:6" ht="15" customHeight="1" x14ac:dyDescent="0.2">
      <c r="E11836" s="18"/>
      <c r="F11836" s="18"/>
    </row>
    <row r="11837" spans="5:6" ht="15" customHeight="1" x14ac:dyDescent="0.2">
      <c r="E11837" s="18"/>
      <c r="F11837" s="18"/>
    </row>
    <row r="11838" spans="5:6" ht="15" customHeight="1" x14ac:dyDescent="0.2">
      <c r="E11838" s="18"/>
      <c r="F11838" s="18"/>
    </row>
    <row r="11839" spans="5:6" ht="15" customHeight="1" x14ac:dyDescent="0.2">
      <c r="E11839" s="18"/>
      <c r="F11839" s="18"/>
    </row>
    <row r="11840" spans="5:6" ht="15" customHeight="1" x14ac:dyDescent="0.2">
      <c r="E11840" s="18"/>
      <c r="F11840" s="18"/>
    </row>
    <row r="11841" spans="5:6" ht="15" customHeight="1" x14ac:dyDescent="0.2">
      <c r="E11841" s="18"/>
      <c r="F11841" s="18"/>
    </row>
    <row r="11842" spans="5:6" ht="15" customHeight="1" x14ac:dyDescent="0.2">
      <c r="E11842" s="18"/>
      <c r="F11842" s="18"/>
    </row>
    <row r="11843" spans="5:6" ht="15" customHeight="1" x14ac:dyDescent="0.2">
      <c r="E11843" s="18"/>
      <c r="F11843" s="18"/>
    </row>
    <row r="11844" spans="5:6" ht="15" customHeight="1" x14ac:dyDescent="0.2">
      <c r="E11844" s="18"/>
      <c r="F11844" s="18"/>
    </row>
    <row r="11845" spans="5:6" ht="15" customHeight="1" x14ac:dyDescent="0.2">
      <c r="E11845" s="18"/>
      <c r="F11845" s="18"/>
    </row>
    <row r="11846" spans="5:6" ht="15" customHeight="1" x14ac:dyDescent="0.2">
      <c r="E11846" s="18"/>
      <c r="F11846" s="18"/>
    </row>
    <row r="11847" spans="5:6" ht="15" customHeight="1" x14ac:dyDescent="0.2">
      <c r="E11847" s="18"/>
      <c r="F11847" s="18"/>
    </row>
    <row r="11848" spans="5:6" ht="15" customHeight="1" x14ac:dyDescent="0.2">
      <c r="E11848" s="18"/>
      <c r="F11848" s="18"/>
    </row>
    <row r="11849" spans="5:6" ht="15" customHeight="1" x14ac:dyDescent="0.2">
      <c r="E11849" s="18"/>
      <c r="F11849" s="18"/>
    </row>
    <row r="11850" spans="5:6" ht="15" customHeight="1" x14ac:dyDescent="0.2">
      <c r="E11850" s="18"/>
      <c r="F11850" s="18"/>
    </row>
    <row r="11851" spans="5:6" ht="15" customHeight="1" x14ac:dyDescent="0.2">
      <c r="E11851" s="18"/>
      <c r="F11851" s="18"/>
    </row>
    <row r="11852" spans="5:6" ht="15" customHeight="1" x14ac:dyDescent="0.2">
      <c r="E11852" s="18"/>
      <c r="F11852" s="18"/>
    </row>
    <row r="11853" spans="5:6" ht="15" customHeight="1" x14ac:dyDescent="0.2">
      <c r="E11853" s="18"/>
      <c r="F11853" s="18"/>
    </row>
    <row r="11854" spans="5:6" ht="15" customHeight="1" x14ac:dyDescent="0.2">
      <c r="E11854" s="18"/>
      <c r="F11854" s="18"/>
    </row>
    <row r="11855" spans="5:6" ht="15" customHeight="1" x14ac:dyDescent="0.2">
      <c r="E11855" s="18"/>
      <c r="F11855" s="18"/>
    </row>
    <row r="11856" spans="5:6" ht="15" customHeight="1" x14ac:dyDescent="0.2">
      <c r="E11856" s="18"/>
      <c r="F11856" s="18"/>
    </row>
    <row r="11857" spans="5:6" ht="15" customHeight="1" x14ac:dyDescent="0.2">
      <c r="E11857" s="18"/>
      <c r="F11857" s="18"/>
    </row>
    <row r="11858" spans="5:6" ht="15" customHeight="1" x14ac:dyDescent="0.2">
      <c r="E11858" s="18"/>
      <c r="F11858" s="18"/>
    </row>
    <row r="11859" spans="5:6" ht="15" customHeight="1" x14ac:dyDescent="0.2">
      <c r="E11859" s="18"/>
      <c r="F11859" s="18"/>
    </row>
    <row r="11860" spans="5:6" ht="15" customHeight="1" x14ac:dyDescent="0.2">
      <c r="E11860" s="18"/>
      <c r="F11860" s="18"/>
    </row>
    <row r="11861" spans="5:6" ht="15" customHeight="1" x14ac:dyDescent="0.2">
      <c r="E11861" s="18"/>
      <c r="F11861" s="18"/>
    </row>
    <row r="11862" spans="5:6" ht="15" customHeight="1" x14ac:dyDescent="0.2">
      <c r="E11862" s="18"/>
      <c r="F11862" s="18"/>
    </row>
    <row r="11863" spans="5:6" ht="15" customHeight="1" x14ac:dyDescent="0.2">
      <c r="E11863" s="18"/>
      <c r="F11863" s="18"/>
    </row>
    <row r="11864" spans="5:6" ht="15" customHeight="1" x14ac:dyDescent="0.2">
      <c r="E11864" s="18"/>
      <c r="F11864" s="18"/>
    </row>
    <row r="11865" spans="5:6" ht="15" customHeight="1" x14ac:dyDescent="0.2">
      <c r="E11865" s="18"/>
      <c r="F11865" s="18"/>
    </row>
    <row r="11866" spans="5:6" ht="15" customHeight="1" x14ac:dyDescent="0.2">
      <c r="E11866" s="18"/>
      <c r="F11866" s="18"/>
    </row>
    <row r="11867" spans="5:6" ht="15" customHeight="1" x14ac:dyDescent="0.2">
      <c r="E11867" s="18"/>
      <c r="F11867" s="18"/>
    </row>
    <row r="11868" spans="5:6" ht="15" customHeight="1" x14ac:dyDescent="0.2">
      <c r="E11868" s="18"/>
      <c r="F11868" s="18"/>
    </row>
    <row r="11869" spans="5:6" ht="15" customHeight="1" x14ac:dyDescent="0.2">
      <c r="E11869" s="18"/>
      <c r="F11869" s="18"/>
    </row>
    <row r="11870" spans="5:6" ht="15" customHeight="1" x14ac:dyDescent="0.2">
      <c r="E11870" s="18"/>
      <c r="F11870" s="18"/>
    </row>
    <row r="11871" spans="5:6" ht="15" customHeight="1" x14ac:dyDescent="0.2">
      <c r="E11871" s="18"/>
      <c r="F11871" s="18"/>
    </row>
    <row r="11872" spans="5:6" ht="15" customHeight="1" x14ac:dyDescent="0.2">
      <c r="E11872" s="18"/>
      <c r="F11872" s="18"/>
    </row>
    <row r="11873" spans="5:6" ht="15" customHeight="1" x14ac:dyDescent="0.2">
      <c r="E11873" s="18"/>
      <c r="F11873" s="18"/>
    </row>
    <row r="11874" spans="5:6" ht="15" customHeight="1" x14ac:dyDescent="0.2">
      <c r="E11874" s="18"/>
      <c r="F11874" s="18"/>
    </row>
    <row r="11875" spans="5:6" ht="15" customHeight="1" x14ac:dyDescent="0.2">
      <c r="E11875" s="18"/>
      <c r="F11875" s="18"/>
    </row>
    <row r="11876" spans="5:6" ht="15" customHeight="1" x14ac:dyDescent="0.2">
      <c r="E11876" s="18"/>
      <c r="F11876" s="18"/>
    </row>
    <row r="11877" spans="5:6" ht="15" customHeight="1" x14ac:dyDescent="0.2">
      <c r="E11877" s="18"/>
      <c r="F11877" s="18"/>
    </row>
    <row r="11878" spans="5:6" ht="15" customHeight="1" x14ac:dyDescent="0.2">
      <c r="E11878" s="18"/>
      <c r="F11878" s="18"/>
    </row>
    <row r="11879" spans="5:6" ht="15" customHeight="1" x14ac:dyDescent="0.2">
      <c r="E11879" s="18"/>
      <c r="F11879" s="18"/>
    </row>
    <row r="11880" spans="5:6" ht="15" customHeight="1" x14ac:dyDescent="0.2">
      <c r="E11880" s="18"/>
      <c r="F11880" s="18"/>
    </row>
    <row r="11881" spans="5:6" ht="15" customHeight="1" x14ac:dyDescent="0.2">
      <c r="E11881" s="18"/>
      <c r="F11881" s="18"/>
    </row>
    <row r="11882" spans="5:6" ht="15" customHeight="1" x14ac:dyDescent="0.2">
      <c r="E11882" s="18"/>
      <c r="F11882" s="18"/>
    </row>
    <row r="11883" spans="5:6" ht="15" customHeight="1" x14ac:dyDescent="0.2">
      <c r="E11883" s="18"/>
      <c r="F11883" s="18"/>
    </row>
    <row r="11884" spans="5:6" ht="15" customHeight="1" x14ac:dyDescent="0.2">
      <c r="E11884" s="18"/>
      <c r="F11884" s="18"/>
    </row>
    <row r="11885" spans="5:6" ht="15" customHeight="1" x14ac:dyDescent="0.2">
      <c r="E11885" s="18"/>
      <c r="F11885" s="18"/>
    </row>
    <row r="11886" spans="5:6" ht="15" customHeight="1" x14ac:dyDescent="0.2">
      <c r="E11886" s="18"/>
      <c r="F11886" s="18"/>
    </row>
    <row r="11887" spans="5:6" ht="15" customHeight="1" x14ac:dyDescent="0.2">
      <c r="E11887" s="18"/>
      <c r="F11887" s="18"/>
    </row>
    <row r="11888" spans="5:6" ht="15" customHeight="1" x14ac:dyDescent="0.2">
      <c r="E11888" s="18"/>
      <c r="F11888" s="18"/>
    </row>
    <row r="11889" spans="5:6" ht="15" customHeight="1" x14ac:dyDescent="0.2">
      <c r="E11889" s="18"/>
      <c r="F11889" s="18"/>
    </row>
    <row r="11890" spans="5:6" ht="15" customHeight="1" x14ac:dyDescent="0.2">
      <c r="E11890" s="18"/>
      <c r="F11890" s="18"/>
    </row>
    <row r="11891" spans="5:6" ht="15" customHeight="1" x14ac:dyDescent="0.2">
      <c r="E11891" s="18"/>
      <c r="F11891" s="18"/>
    </row>
    <row r="11892" spans="5:6" ht="15" customHeight="1" x14ac:dyDescent="0.2">
      <c r="E11892" s="18"/>
      <c r="F11892" s="18"/>
    </row>
    <row r="11893" spans="5:6" ht="15" customHeight="1" x14ac:dyDescent="0.2">
      <c r="E11893" s="18"/>
      <c r="F11893" s="18"/>
    </row>
    <row r="11894" spans="5:6" ht="15" customHeight="1" x14ac:dyDescent="0.2">
      <c r="E11894" s="18"/>
      <c r="F11894" s="18"/>
    </row>
    <row r="11895" spans="5:6" ht="15" customHeight="1" x14ac:dyDescent="0.2">
      <c r="E11895" s="18"/>
      <c r="F11895" s="18"/>
    </row>
    <row r="11896" spans="5:6" ht="15" customHeight="1" x14ac:dyDescent="0.2">
      <c r="E11896" s="18"/>
      <c r="F11896" s="18"/>
    </row>
    <row r="11897" spans="5:6" ht="15" customHeight="1" x14ac:dyDescent="0.2">
      <c r="E11897" s="18"/>
      <c r="F11897" s="18"/>
    </row>
    <row r="11898" spans="5:6" ht="15" customHeight="1" x14ac:dyDescent="0.2">
      <c r="E11898" s="18"/>
      <c r="F11898" s="18"/>
    </row>
    <row r="11899" spans="5:6" ht="15" customHeight="1" x14ac:dyDescent="0.2">
      <c r="E11899" s="18"/>
      <c r="F11899" s="18"/>
    </row>
    <row r="11900" spans="5:6" ht="15" customHeight="1" x14ac:dyDescent="0.2">
      <c r="E11900" s="18"/>
      <c r="F11900" s="18"/>
    </row>
    <row r="11901" spans="5:6" ht="15" customHeight="1" x14ac:dyDescent="0.2">
      <c r="E11901" s="18"/>
      <c r="F11901" s="18"/>
    </row>
    <row r="11902" spans="5:6" ht="15" customHeight="1" x14ac:dyDescent="0.2">
      <c r="E11902" s="18"/>
      <c r="F11902" s="18"/>
    </row>
    <row r="11903" spans="5:6" ht="15" customHeight="1" x14ac:dyDescent="0.2">
      <c r="E11903" s="18"/>
      <c r="F11903" s="18"/>
    </row>
    <row r="11904" spans="5:6" ht="15" customHeight="1" x14ac:dyDescent="0.2">
      <c r="E11904" s="18"/>
      <c r="F11904" s="18"/>
    </row>
    <row r="11905" spans="5:6" ht="15" customHeight="1" x14ac:dyDescent="0.2">
      <c r="E11905" s="18"/>
      <c r="F11905" s="18"/>
    </row>
    <row r="11906" spans="5:6" ht="15" customHeight="1" x14ac:dyDescent="0.2">
      <c r="E11906" s="18"/>
      <c r="F11906" s="18"/>
    </row>
    <row r="11907" spans="5:6" ht="15" customHeight="1" x14ac:dyDescent="0.2">
      <c r="E11907" s="18"/>
      <c r="F11907" s="18"/>
    </row>
    <row r="11908" spans="5:6" ht="15" customHeight="1" x14ac:dyDescent="0.2">
      <c r="E11908" s="18"/>
      <c r="F11908" s="18"/>
    </row>
    <row r="11909" spans="5:6" ht="15" customHeight="1" x14ac:dyDescent="0.2">
      <c r="E11909" s="18"/>
      <c r="F11909" s="18"/>
    </row>
    <row r="11910" spans="5:6" ht="15" customHeight="1" x14ac:dyDescent="0.2">
      <c r="E11910" s="18"/>
      <c r="F11910" s="18"/>
    </row>
    <row r="11911" spans="5:6" ht="15" customHeight="1" x14ac:dyDescent="0.2">
      <c r="E11911" s="18"/>
      <c r="F11911" s="18"/>
    </row>
    <row r="11912" spans="5:6" ht="15" customHeight="1" x14ac:dyDescent="0.2">
      <c r="E11912" s="18"/>
      <c r="F11912" s="18"/>
    </row>
    <row r="11913" spans="5:6" ht="15" customHeight="1" x14ac:dyDescent="0.2">
      <c r="E11913" s="18"/>
      <c r="F11913" s="18"/>
    </row>
    <row r="11914" spans="5:6" ht="15" customHeight="1" x14ac:dyDescent="0.2">
      <c r="E11914" s="18"/>
      <c r="F11914" s="18"/>
    </row>
    <row r="11915" spans="5:6" ht="15" customHeight="1" x14ac:dyDescent="0.2">
      <c r="E11915" s="18"/>
      <c r="F11915" s="18"/>
    </row>
    <row r="11916" spans="5:6" ht="15" customHeight="1" x14ac:dyDescent="0.2">
      <c r="E11916" s="18"/>
      <c r="F11916" s="18"/>
    </row>
    <row r="11917" spans="5:6" ht="15" customHeight="1" x14ac:dyDescent="0.2">
      <c r="E11917" s="18"/>
      <c r="F11917" s="18"/>
    </row>
    <row r="11918" spans="5:6" ht="15" customHeight="1" x14ac:dyDescent="0.2">
      <c r="E11918" s="18"/>
      <c r="F11918" s="18"/>
    </row>
    <row r="11919" spans="5:6" ht="15" customHeight="1" x14ac:dyDescent="0.2">
      <c r="E11919" s="18"/>
      <c r="F11919" s="18"/>
    </row>
    <row r="11920" spans="5:6" ht="15" customHeight="1" x14ac:dyDescent="0.2">
      <c r="E11920" s="18"/>
      <c r="F11920" s="18"/>
    </row>
    <row r="11921" spans="5:6" ht="15" customHeight="1" x14ac:dyDescent="0.2">
      <c r="E11921" s="18"/>
      <c r="F11921" s="18"/>
    </row>
    <row r="11922" spans="5:6" ht="15" customHeight="1" x14ac:dyDescent="0.2">
      <c r="E11922" s="18"/>
      <c r="F11922" s="18"/>
    </row>
    <row r="11923" spans="5:6" ht="15" customHeight="1" x14ac:dyDescent="0.2">
      <c r="E11923" s="18"/>
      <c r="F11923" s="18"/>
    </row>
    <row r="11924" spans="5:6" ht="15" customHeight="1" x14ac:dyDescent="0.2">
      <c r="E11924" s="18"/>
      <c r="F11924" s="18"/>
    </row>
    <row r="11925" spans="5:6" ht="15" customHeight="1" x14ac:dyDescent="0.2">
      <c r="E11925" s="18"/>
      <c r="F11925" s="18"/>
    </row>
    <row r="11926" spans="5:6" ht="15" customHeight="1" x14ac:dyDescent="0.2">
      <c r="E11926" s="18"/>
      <c r="F11926" s="18"/>
    </row>
    <row r="11927" spans="5:6" ht="15" customHeight="1" x14ac:dyDescent="0.2">
      <c r="E11927" s="18"/>
      <c r="F11927" s="18"/>
    </row>
    <row r="11928" spans="5:6" ht="15" customHeight="1" x14ac:dyDescent="0.2">
      <c r="E11928" s="18"/>
      <c r="F11928" s="18"/>
    </row>
    <row r="11929" spans="5:6" ht="15" customHeight="1" x14ac:dyDescent="0.2">
      <c r="E11929" s="18"/>
      <c r="F11929" s="18"/>
    </row>
    <row r="11930" spans="5:6" ht="15" customHeight="1" x14ac:dyDescent="0.2">
      <c r="E11930" s="18"/>
      <c r="F11930" s="18"/>
    </row>
    <row r="11931" spans="5:6" ht="15" customHeight="1" x14ac:dyDescent="0.2">
      <c r="E11931" s="18"/>
      <c r="F11931" s="18"/>
    </row>
    <row r="11932" spans="5:6" ht="15" customHeight="1" x14ac:dyDescent="0.2">
      <c r="E11932" s="18"/>
      <c r="F11932" s="18"/>
    </row>
    <row r="11933" spans="5:6" ht="15" customHeight="1" x14ac:dyDescent="0.2">
      <c r="E11933" s="18"/>
      <c r="F11933" s="18"/>
    </row>
    <row r="11934" spans="5:6" ht="15" customHeight="1" x14ac:dyDescent="0.2">
      <c r="E11934" s="18"/>
      <c r="F11934" s="18"/>
    </row>
    <row r="11935" spans="5:6" ht="15" customHeight="1" x14ac:dyDescent="0.2">
      <c r="E11935" s="18"/>
      <c r="F11935" s="18"/>
    </row>
    <row r="11936" spans="5:6" ht="15" customHeight="1" x14ac:dyDescent="0.2">
      <c r="E11936" s="18"/>
      <c r="F11936" s="18"/>
    </row>
    <row r="11937" spans="5:6" ht="15" customHeight="1" x14ac:dyDescent="0.2">
      <c r="E11937" s="18"/>
      <c r="F11937" s="18"/>
    </row>
    <row r="11938" spans="5:6" ht="15" customHeight="1" x14ac:dyDescent="0.2">
      <c r="E11938" s="18"/>
      <c r="F11938" s="18"/>
    </row>
    <row r="11939" spans="5:6" ht="15" customHeight="1" x14ac:dyDescent="0.2">
      <c r="E11939" s="18"/>
      <c r="F11939" s="18"/>
    </row>
    <row r="11940" spans="5:6" ht="15" customHeight="1" x14ac:dyDescent="0.2">
      <c r="E11940" s="18"/>
      <c r="F11940" s="18"/>
    </row>
    <row r="11941" spans="5:6" ht="15" customHeight="1" x14ac:dyDescent="0.2">
      <c r="E11941" s="18"/>
      <c r="F11941" s="18"/>
    </row>
    <row r="11942" spans="5:6" ht="15" customHeight="1" x14ac:dyDescent="0.2">
      <c r="E11942" s="18"/>
      <c r="F11942" s="18"/>
    </row>
    <row r="11943" spans="5:6" ht="15" customHeight="1" x14ac:dyDescent="0.2">
      <c r="E11943" s="18"/>
      <c r="F11943" s="18"/>
    </row>
    <row r="11944" spans="5:6" ht="15" customHeight="1" x14ac:dyDescent="0.2">
      <c r="E11944" s="18"/>
      <c r="F11944" s="18"/>
    </row>
    <row r="11945" spans="5:6" ht="15" customHeight="1" x14ac:dyDescent="0.2">
      <c r="E11945" s="18"/>
      <c r="F11945" s="18"/>
    </row>
    <row r="11946" spans="5:6" ht="15" customHeight="1" x14ac:dyDescent="0.2">
      <c r="E11946" s="18"/>
      <c r="F11946" s="18"/>
    </row>
    <row r="11947" spans="5:6" ht="15" customHeight="1" x14ac:dyDescent="0.2">
      <c r="E11947" s="18"/>
      <c r="F11947" s="18"/>
    </row>
    <row r="11948" spans="5:6" ht="15" customHeight="1" x14ac:dyDescent="0.2">
      <c r="E11948" s="18"/>
      <c r="F11948" s="18"/>
    </row>
    <row r="11949" spans="5:6" ht="15" customHeight="1" x14ac:dyDescent="0.2">
      <c r="E11949" s="18"/>
      <c r="F11949" s="18"/>
    </row>
    <row r="11950" spans="5:6" ht="15" customHeight="1" x14ac:dyDescent="0.2">
      <c r="E11950" s="18"/>
      <c r="F11950" s="18"/>
    </row>
    <row r="11951" spans="5:6" ht="15" customHeight="1" x14ac:dyDescent="0.2">
      <c r="E11951" s="18"/>
      <c r="F11951" s="18"/>
    </row>
    <row r="11952" spans="5:6" ht="15" customHeight="1" x14ac:dyDescent="0.2">
      <c r="E11952" s="18"/>
      <c r="F11952" s="18"/>
    </row>
    <row r="11953" spans="5:6" ht="15" customHeight="1" x14ac:dyDescent="0.2">
      <c r="E11953" s="18"/>
      <c r="F11953" s="18"/>
    </row>
    <row r="11954" spans="5:6" ht="15" customHeight="1" x14ac:dyDescent="0.2">
      <c r="E11954" s="18"/>
      <c r="F11954" s="18"/>
    </row>
    <row r="11955" spans="5:6" ht="15" customHeight="1" x14ac:dyDescent="0.2">
      <c r="E11955" s="18"/>
      <c r="F11955" s="18"/>
    </row>
    <row r="11956" spans="5:6" ht="15" customHeight="1" x14ac:dyDescent="0.2">
      <c r="E11956" s="18"/>
      <c r="F11956" s="18"/>
    </row>
    <row r="11957" spans="5:6" ht="15" customHeight="1" x14ac:dyDescent="0.2">
      <c r="E11957" s="18"/>
      <c r="F11957" s="18"/>
    </row>
    <row r="11958" spans="5:6" ht="15" customHeight="1" x14ac:dyDescent="0.2">
      <c r="E11958" s="18"/>
      <c r="F11958" s="18"/>
    </row>
    <row r="11959" spans="5:6" ht="15" customHeight="1" x14ac:dyDescent="0.2">
      <c r="E11959" s="18"/>
      <c r="F11959" s="18"/>
    </row>
    <row r="11960" spans="5:6" ht="15" customHeight="1" x14ac:dyDescent="0.2">
      <c r="E11960" s="18"/>
      <c r="F11960" s="18"/>
    </row>
    <row r="11961" spans="5:6" ht="15" customHeight="1" x14ac:dyDescent="0.2">
      <c r="E11961" s="18"/>
      <c r="F11961" s="18"/>
    </row>
    <row r="11962" spans="5:6" ht="15" customHeight="1" x14ac:dyDescent="0.2">
      <c r="E11962" s="18"/>
      <c r="F11962" s="18"/>
    </row>
    <row r="11963" spans="5:6" ht="15" customHeight="1" x14ac:dyDescent="0.2">
      <c r="E11963" s="18"/>
      <c r="F11963" s="18"/>
    </row>
    <row r="11964" spans="5:6" ht="15" customHeight="1" x14ac:dyDescent="0.2">
      <c r="E11964" s="18"/>
      <c r="F11964" s="18"/>
    </row>
    <row r="11965" spans="5:6" ht="15" customHeight="1" x14ac:dyDescent="0.2">
      <c r="E11965" s="18"/>
      <c r="F11965" s="18"/>
    </row>
    <row r="11966" spans="5:6" ht="15" customHeight="1" x14ac:dyDescent="0.2">
      <c r="E11966" s="18"/>
      <c r="F11966" s="18"/>
    </row>
    <row r="11967" spans="5:6" ht="15" customHeight="1" x14ac:dyDescent="0.2">
      <c r="E11967" s="18"/>
      <c r="F11967" s="18"/>
    </row>
    <row r="11968" spans="5:6" ht="15" customHeight="1" x14ac:dyDescent="0.2">
      <c r="E11968" s="18"/>
      <c r="F11968" s="18"/>
    </row>
    <row r="11969" spans="5:6" ht="15" customHeight="1" x14ac:dyDescent="0.2">
      <c r="E11969" s="18"/>
      <c r="F11969" s="18"/>
    </row>
    <row r="11970" spans="5:6" ht="15" customHeight="1" x14ac:dyDescent="0.2">
      <c r="E11970" s="18"/>
      <c r="F11970" s="18"/>
    </row>
    <row r="11971" spans="5:6" ht="15" customHeight="1" x14ac:dyDescent="0.2">
      <c r="E11971" s="18"/>
      <c r="F11971" s="18"/>
    </row>
    <row r="11972" spans="5:6" ht="15" customHeight="1" x14ac:dyDescent="0.2">
      <c r="E11972" s="18"/>
      <c r="F11972" s="18"/>
    </row>
    <row r="11973" spans="5:6" ht="15" customHeight="1" x14ac:dyDescent="0.2">
      <c r="E11973" s="18"/>
      <c r="F11973" s="18"/>
    </row>
    <row r="11974" spans="5:6" ht="15" customHeight="1" x14ac:dyDescent="0.2">
      <c r="E11974" s="18"/>
      <c r="F11974" s="18"/>
    </row>
    <row r="11975" spans="5:6" ht="15" customHeight="1" x14ac:dyDescent="0.2">
      <c r="E11975" s="18"/>
      <c r="F11975" s="18"/>
    </row>
    <row r="11976" spans="5:6" ht="15" customHeight="1" x14ac:dyDescent="0.2">
      <c r="E11976" s="18"/>
      <c r="F11976" s="18"/>
    </row>
    <row r="11977" spans="5:6" ht="15" customHeight="1" x14ac:dyDescent="0.2">
      <c r="E11977" s="18"/>
      <c r="F11977" s="18"/>
    </row>
    <row r="11978" spans="5:6" ht="15" customHeight="1" x14ac:dyDescent="0.2">
      <c r="E11978" s="18"/>
      <c r="F11978" s="18"/>
    </row>
    <row r="11979" spans="5:6" ht="15" customHeight="1" x14ac:dyDescent="0.2">
      <c r="E11979" s="18"/>
      <c r="F11979" s="18"/>
    </row>
    <row r="11980" spans="5:6" ht="15" customHeight="1" x14ac:dyDescent="0.2">
      <c r="E11980" s="18"/>
      <c r="F11980" s="18"/>
    </row>
    <row r="11981" spans="5:6" ht="15" customHeight="1" x14ac:dyDescent="0.2">
      <c r="E11981" s="18"/>
      <c r="F11981" s="18"/>
    </row>
    <row r="11982" spans="5:6" ht="15" customHeight="1" x14ac:dyDescent="0.2">
      <c r="E11982" s="18"/>
      <c r="F11982" s="18"/>
    </row>
    <row r="11983" spans="5:6" ht="15" customHeight="1" x14ac:dyDescent="0.2">
      <c r="E11983" s="18"/>
      <c r="F11983" s="18"/>
    </row>
    <row r="11984" spans="5:6" ht="15" customHeight="1" x14ac:dyDescent="0.2">
      <c r="E11984" s="18"/>
      <c r="F11984" s="18"/>
    </row>
    <row r="11985" spans="5:6" ht="15" customHeight="1" x14ac:dyDescent="0.2">
      <c r="E11985" s="18"/>
      <c r="F11985" s="18"/>
    </row>
    <row r="11986" spans="5:6" ht="15" customHeight="1" x14ac:dyDescent="0.2">
      <c r="E11986" s="18"/>
      <c r="F11986" s="18"/>
    </row>
    <row r="11987" spans="5:6" ht="15" customHeight="1" x14ac:dyDescent="0.2">
      <c r="E11987" s="18"/>
      <c r="F11987" s="18"/>
    </row>
    <row r="11988" spans="5:6" ht="15" customHeight="1" x14ac:dyDescent="0.2">
      <c r="E11988" s="18"/>
      <c r="F11988" s="18"/>
    </row>
    <row r="11989" spans="5:6" ht="15" customHeight="1" x14ac:dyDescent="0.2">
      <c r="E11989" s="18"/>
      <c r="F11989" s="18"/>
    </row>
    <row r="11990" spans="5:6" ht="15" customHeight="1" x14ac:dyDescent="0.2">
      <c r="E11990" s="18"/>
      <c r="F11990" s="18"/>
    </row>
    <row r="11991" spans="5:6" ht="15" customHeight="1" x14ac:dyDescent="0.2">
      <c r="E11991" s="18"/>
      <c r="F11991" s="18"/>
    </row>
    <row r="11992" spans="5:6" ht="15" customHeight="1" x14ac:dyDescent="0.2">
      <c r="E11992" s="18"/>
      <c r="F11992" s="18"/>
    </row>
    <row r="11993" spans="5:6" ht="15" customHeight="1" x14ac:dyDescent="0.2">
      <c r="E11993" s="18"/>
      <c r="F11993" s="18"/>
    </row>
    <row r="11994" spans="5:6" ht="15" customHeight="1" x14ac:dyDescent="0.2">
      <c r="E11994" s="18"/>
      <c r="F11994" s="18"/>
    </row>
    <row r="11995" spans="5:6" ht="15" customHeight="1" x14ac:dyDescent="0.2">
      <c r="E11995" s="18"/>
      <c r="F11995" s="18"/>
    </row>
    <row r="11996" spans="5:6" ht="15" customHeight="1" x14ac:dyDescent="0.2">
      <c r="E11996" s="18"/>
      <c r="F11996" s="18"/>
    </row>
    <row r="11997" spans="5:6" ht="15" customHeight="1" x14ac:dyDescent="0.2">
      <c r="E11997" s="18"/>
      <c r="F11997" s="18"/>
    </row>
    <row r="11998" spans="5:6" ht="15" customHeight="1" x14ac:dyDescent="0.2">
      <c r="E11998" s="18"/>
      <c r="F11998" s="18"/>
    </row>
    <row r="11999" spans="5:6" ht="15" customHeight="1" x14ac:dyDescent="0.2">
      <c r="E11999" s="18"/>
      <c r="F11999" s="18"/>
    </row>
    <row r="12000" spans="5:6" ht="15" customHeight="1" x14ac:dyDescent="0.2">
      <c r="E12000" s="18"/>
      <c r="F12000" s="18"/>
    </row>
    <row r="12001" spans="5:6" ht="15" customHeight="1" x14ac:dyDescent="0.2">
      <c r="E12001" s="18"/>
      <c r="F12001" s="18"/>
    </row>
    <row r="12002" spans="5:6" ht="15" customHeight="1" x14ac:dyDescent="0.2">
      <c r="E12002" s="18"/>
      <c r="F12002" s="18"/>
    </row>
    <row r="12003" spans="5:6" ht="15" customHeight="1" x14ac:dyDescent="0.2">
      <c r="E12003" s="18"/>
      <c r="F12003" s="18"/>
    </row>
    <row r="12004" spans="5:6" ht="15" customHeight="1" x14ac:dyDescent="0.2">
      <c r="E12004" s="18"/>
      <c r="F12004" s="18"/>
    </row>
    <row r="12005" spans="5:6" ht="15" customHeight="1" x14ac:dyDescent="0.2">
      <c r="E12005" s="18"/>
      <c r="F12005" s="18"/>
    </row>
    <row r="12006" spans="5:6" ht="15" customHeight="1" x14ac:dyDescent="0.2">
      <c r="E12006" s="18"/>
      <c r="F12006" s="18"/>
    </row>
    <row r="12007" spans="5:6" ht="15" customHeight="1" x14ac:dyDescent="0.2">
      <c r="E12007" s="18"/>
      <c r="F12007" s="18"/>
    </row>
    <row r="12008" spans="5:6" ht="15" customHeight="1" x14ac:dyDescent="0.2">
      <c r="E12008" s="18"/>
      <c r="F12008" s="18"/>
    </row>
    <row r="12009" spans="5:6" ht="15" customHeight="1" x14ac:dyDescent="0.2">
      <c r="E12009" s="18"/>
      <c r="F12009" s="18"/>
    </row>
    <row r="12010" spans="5:6" ht="15" customHeight="1" x14ac:dyDescent="0.2">
      <c r="E12010" s="18"/>
      <c r="F12010" s="18"/>
    </row>
    <row r="12011" spans="5:6" ht="15" customHeight="1" x14ac:dyDescent="0.2">
      <c r="E12011" s="18"/>
      <c r="F12011" s="18"/>
    </row>
    <row r="12012" spans="5:6" ht="15" customHeight="1" x14ac:dyDescent="0.2">
      <c r="E12012" s="18"/>
      <c r="F12012" s="18"/>
    </row>
    <row r="12013" spans="5:6" ht="15" customHeight="1" x14ac:dyDescent="0.2">
      <c r="E12013" s="18"/>
      <c r="F12013" s="18"/>
    </row>
    <row r="12014" spans="5:6" ht="15" customHeight="1" x14ac:dyDescent="0.2">
      <c r="E12014" s="18"/>
      <c r="F12014" s="18"/>
    </row>
    <row r="12015" spans="5:6" ht="15" customHeight="1" x14ac:dyDescent="0.2">
      <c r="E12015" s="18"/>
      <c r="F12015" s="18"/>
    </row>
    <row r="12016" spans="5:6" ht="15" customHeight="1" x14ac:dyDescent="0.2">
      <c r="E12016" s="18"/>
      <c r="F12016" s="18"/>
    </row>
    <row r="12017" spans="5:6" ht="15" customHeight="1" x14ac:dyDescent="0.2">
      <c r="E12017" s="18"/>
      <c r="F12017" s="18"/>
    </row>
    <row r="12018" spans="5:6" ht="15" customHeight="1" x14ac:dyDescent="0.2">
      <c r="E12018" s="18"/>
      <c r="F12018" s="18"/>
    </row>
    <row r="12019" spans="5:6" ht="15" customHeight="1" x14ac:dyDescent="0.2">
      <c r="E12019" s="18"/>
      <c r="F12019" s="18"/>
    </row>
    <row r="12020" spans="5:6" ht="15" customHeight="1" x14ac:dyDescent="0.2">
      <c r="E12020" s="18"/>
      <c r="F12020" s="18"/>
    </row>
    <row r="12021" spans="5:6" ht="15" customHeight="1" x14ac:dyDescent="0.2">
      <c r="E12021" s="18"/>
      <c r="F12021" s="18"/>
    </row>
    <row r="12022" spans="5:6" ht="15" customHeight="1" x14ac:dyDescent="0.2">
      <c r="E12022" s="18"/>
      <c r="F12022" s="18"/>
    </row>
    <row r="12023" spans="5:6" ht="15" customHeight="1" x14ac:dyDescent="0.2">
      <c r="E12023" s="18"/>
      <c r="F12023" s="18"/>
    </row>
    <row r="12024" spans="5:6" ht="15" customHeight="1" x14ac:dyDescent="0.2">
      <c r="E12024" s="18"/>
      <c r="F12024" s="18"/>
    </row>
    <row r="12025" spans="5:6" ht="15" customHeight="1" x14ac:dyDescent="0.2">
      <c r="E12025" s="18"/>
      <c r="F12025" s="18"/>
    </row>
    <row r="12026" spans="5:6" ht="15" customHeight="1" x14ac:dyDescent="0.2">
      <c r="E12026" s="18"/>
      <c r="F12026" s="18"/>
    </row>
    <row r="12027" spans="5:6" ht="15" customHeight="1" x14ac:dyDescent="0.2">
      <c r="E12027" s="18"/>
      <c r="F12027" s="18"/>
    </row>
    <row r="12028" spans="5:6" ht="15" customHeight="1" x14ac:dyDescent="0.2">
      <c r="E12028" s="18"/>
      <c r="F12028" s="18"/>
    </row>
    <row r="12029" spans="5:6" ht="15" customHeight="1" x14ac:dyDescent="0.2">
      <c r="E12029" s="18"/>
      <c r="F12029" s="18"/>
    </row>
    <row r="12030" spans="5:6" ht="15" customHeight="1" x14ac:dyDescent="0.2">
      <c r="E12030" s="18"/>
      <c r="F12030" s="18"/>
    </row>
    <row r="12031" spans="5:6" ht="15" customHeight="1" x14ac:dyDescent="0.2">
      <c r="E12031" s="18"/>
      <c r="F12031" s="18"/>
    </row>
    <row r="12032" spans="5:6" ht="15" customHeight="1" x14ac:dyDescent="0.2">
      <c r="E12032" s="18"/>
      <c r="F12032" s="18"/>
    </row>
    <row r="12033" spans="5:6" ht="15" customHeight="1" x14ac:dyDescent="0.2">
      <c r="E12033" s="18"/>
      <c r="F12033" s="18"/>
    </row>
    <row r="12034" spans="5:6" ht="15" customHeight="1" x14ac:dyDescent="0.2">
      <c r="E12034" s="18"/>
      <c r="F12034" s="18"/>
    </row>
    <row r="12035" spans="5:6" ht="15" customHeight="1" x14ac:dyDescent="0.2">
      <c r="E12035" s="18"/>
      <c r="F12035" s="18"/>
    </row>
    <row r="12036" spans="5:6" ht="15" customHeight="1" x14ac:dyDescent="0.2">
      <c r="E12036" s="18"/>
      <c r="F12036" s="18"/>
    </row>
    <row r="12037" spans="5:6" ht="15" customHeight="1" x14ac:dyDescent="0.2">
      <c r="E12037" s="18"/>
      <c r="F12037" s="18"/>
    </row>
    <row r="12038" spans="5:6" ht="15" customHeight="1" x14ac:dyDescent="0.2">
      <c r="E12038" s="18"/>
      <c r="F12038" s="18"/>
    </row>
    <row r="12039" spans="5:6" ht="15" customHeight="1" x14ac:dyDescent="0.2">
      <c r="E12039" s="18"/>
      <c r="F12039" s="18"/>
    </row>
    <row r="12040" spans="5:6" ht="15" customHeight="1" x14ac:dyDescent="0.2">
      <c r="E12040" s="18"/>
      <c r="F12040" s="18"/>
    </row>
    <row r="12041" spans="5:6" ht="15" customHeight="1" x14ac:dyDescent="0.2">
      <c r="E12041" s="18"/>
      <c r="F12041" s="18"/>
    </row>
    <row r="12042" spans="5:6" ht="15" customHeight="1" x14ac:dyDescent="0.2">
      <c r="E12042" s="18"/>
      <c r="F12042" s="18"/>
    </row>
    <row r="12043" spans="5:6" ht="15" customHeight="1" x14ac:dyDescent="0.2">
      <c r="E12043" s="18"/>
      <c r="F12043" s="18"/>
    </row>
    <row r="12044" spans="5:6" ht="15" customHeight="1" x14ac:dyDescent="0.2">
      <c r="E12044" s="18"/>
      <c r="F12044" s="18"/>
    </row>
    <row r="12045" spans="5:6" ht="15" customHeight="1" x14ac:dyDescent="0.2">
      <c r="E12045" s="18"/>
      <c r="F12045" s="18"/>
    </row>
    <row r="12046" spans="5:6" ht="15" customHeight="1" x14ac:dyDescent="0.2">
      <c r="E12046" s="18"/>
      <c r="F12046" s="18"/>
    </row>
    <row r="12047" spans="5:6" ht="15" customHeight="1" x14ac:dyDescent="0.2">
      <c r="E12047" s="18"/>
      <c r="F12047" s="18"/>
    </row>
    <row r="12048" spans="5:6" ht="15" customHeight="1" x14ac:dyDescent="0.2">
      <c r="E12048" s="18"/>
      <c r="F12048" s="18"/>
    </row>
    <row r="12049" spans="5:6" ht="15" customHeight="1" x14ac:dyDescent="0.2">
      <c r="E12049" s="18"/>
      <c r="F12049" s="18"/>
    </row>
    <row r="12050" spans="5:6" ht="15" customHeight="1" x14ac:dyDescent="0.2">
      <c r="E12050" s="18"/>
      <c r="F12050" s="18"/>
    </row>
    <row r="12051" spans="5:6" ht="15" customHeight="1" x14ac:dyDescent="0.2">
      <c r="E12051" s="18"/>
      <c r="F12051" s="18"/>
    </row>
    <row r="12052" spans="5:6" ht="15" customHeight="1" x14ac:dyDescent="0.2">
      <c r="E12052" s="18"/>
      <c r="F12052" s="18"/>
    </row>
    <row r="12053" spans="5:6" ht="15" customHeight="1" x14ac:dyDescent="0.2">
      <c r="E12053" s="18"/>
      <c r="F12053" s="18"/>
    </row>
    <row r="12054" spans="5:6" ht="15" customHeight="1" x14ac:dyDescent="0.2">
      <c r="E12054" s="18"/>
      <c r="F12054" s="18"/>
    </row>
    <row r="12055" spans="5:6" ht="15" customHeight="1" x14ac:dyDescent="0.2">
      <c r="E12055" s="18"/>
      <c r="F12055" s="18"/>
    </row>
    <row r="12056" spans="5:6" ht="15" customHeight="1" x14ac:dyDescent="0.2">
      <c r="E12056" s="18"/>
      <c r="F12056" s="18"/>
    </row>
    <row r="12057" spans="5:6" ht="15" customHeight="1" x14ac:dyDescent="0.2">
      <c r="E12057" s="18"/>
      <c r="F12057" s="18"/>
    </row>
    <row r="12058" spans="5:6" ht="15" customHeight="1" x14ac:dyDescent="0.2">
      <c r="E12058" s="18"/>
      <c r="F12058" s="18"/>
    </row>
    <row r="12059" spans="5:6" ht="15" customHeight="1" x14ac:dyDescent="0.2">
      <c r="E12059" s="18"/>
      <c r="F12059" s="18"/>
    </row>
    <row r="12060" spans="5:6" ht="15" customHeight="1" x14ac:dyDescent="0.2">
      <c r="E12060" s="18"/>
      <c r="F12060" s="18"/>
    </row>
    <row r="12061" spans="5:6" ht="15" customHeight="1" x14ac:dyDescent="0.2">
      <c r="E12061" s="18"/>
      <c r="F12061" s="18"/>
    </row>
    <row r="12062" spans="5:6" ht="15" customHeight="1" x14ac:dyDescent="0.2">
      <c r="E12062" s="18"/>
      <c r="F12062" s="18"/>
    </row>
    <row r="12063" spans="5:6" ht="15" customHeight="1" x14ac:dyDescent="0.2">
      <c r="E12063" s="18"/>
      <c r="F12063" s="18"/>
    </row>
    <row r="12064" spans="5:6" ht="15" customHeight="1" x14ac:dyDescent="0.2">
      <c r="E12064" s="18"/>
      <c r="F12064" s="18"/>
    </row>
    <row r="12065" spans="5:6" ht="15" customHeight="1" x14ac:dyDescent="0.2">
      <c r="E12065" s="18"/>
      <c r="F12065" s="18"/>
    </row>
    <row r="12066" spans="5:6" ht="15" customHeight="1" x14ac:dyDescent="0.2">
      <c r="E12066" s="18"/>
      <c r="F12066" s="18"/>
    </row>
    <row r="12067" spans="5:6" ht="15" customHeight="1" x14ac:dyDescent="0.2">
      <c r="E12067" s="18"/>
      <c r="F12067" s="18"/>
    </row>
    <row r="12068" spans="5:6" ht="15" customHeight="1" x14ac:dyDescent="0.2">
      <c r="E12068" s="18"/>
      <c r="F12068" s="18"/>
    </row>
    <row r="12069" spans="5:6" ht="15" customHeight="1" x14ac:dyDescent="0.2">
      <c r="E12069" s="18"/>
      <c r="F12069" s="18"/>
    </row>
    <row r="12070" spans="5:6" ht="15" customHeight="1" x14ac:dyDescent="0.2">
      <c r="E12070" s="18"/>
      <c r="F12070" s="18"/>
    </row>
    <row r="12071" spans="5:6" ht="15" customHeight="1" x14ac:dyDescent="0.2">
      <c r="E12071" s="18"/>
      <c r="F12071" s="18"/>
    </row>
    <row r="12072" spans="5:6" ht="15" customHeight="1" x14ac:dyDescent="0.2">
      <c r="E12072" s="18"/>
      <c r="F12072" s="18"/>
    </row>
    <row r="12073" spans="5:6" ht="15" customHeight="1" x14ac:dyDescent="0.2">
      <c r="E12073" s="18"/>
      <c r="F12073" s="18"/>
    </row>
    <row r="12074" spans="5:6" ht="15" customHeight="1" x14ac:dyDescent="0.2">
      <c r="E12074" s="18"/>
      <c r="F12074" s="18"/>
    </row>
    <row r="12075" spans="5:6" ht="15" customHeight="1" x14ac:dyDescent="0.2">
      <c r="E12075" s="18"/>
      <c r="F12075" s="18"/>
    </row>
    <row r="12076" spans="5:6" ht="15" customHeight="1" x14ac:dyDescent="0.2">
      <c r="E12076" s="18"/>
      <c r="F12076" s="18"/>
    </row>
    <row r="12077" spans="5:6" ht="15" customHeight="1" x14ac:dyDescent="0.2">
      <c r="E12077" s="18"/>
      <c r="F12077" s="18"/>
    </row>
    <row r="12078" spans="5:6" ht="15" customHeight="1" x14ac:dyDescent="0.2">
      <c r="E12078" s="18"/>
      <c r="F12078" s="18"/>
    </row>
    <row r="12079" spans="5:6" ht="15" customHeight="1" x14ac:dyDescent="0.2">
      <c r="E12079" s="18"/>
      <c r="F12079" s="18"/>
    </row>
    <row r="12080" spans="5:6" ht="15" customHeight="1" x14ac:dyDescent="0.2">
      <c r="E12080" s="18"/>
      <c r="F12080" s="18"/>
    </row>
    <row r="12081" spans="5:6" ht="15" customHeight="1" x14ac:dyDescent="0.2">
      <c r="E12081" s="18"/>
      <c r="F12081" s="18"/>
    </row>
    <row r="12082" spans="5:6" ht="15" customHeight="1" x14ac:dyDescent="0.2">
      <c r="E12082" s="18"/>
      <c r="F12082" s="18"/>
    </row>
    <row r="12083" spans="5:6" ht="15" customHeight="1" x14ac:dyDescent="0.2">
      <c r="E12083" s="18"/>
      <c r="F12083" s="18"/>
    </row>
    <row r="12084" spans="5:6" ht="15" customHeight="1" x14ac:dyDescent="0.2">
      <c r="E12084" s="18"/>
      <c r="F12084" s="18"/>
    </row>
    <row r="12085" spans="5:6" ht="15" customHeight="1" x14ac:dyDescent="0.2">
      <c r="E12085" s="18"/>
      <c r="F12085" s="18"/>
    </row>
    <row r="12086" spans="5:6" ht="15" customHeight="1" x14ac:dyDescent="0.2">
      <c r="E12086" s="18"/>
      <c r="F12086" s="18"/>
    </row>
    <row r="12087" spans="5:6" ht="15" customHeight="1" x14ac:dyDescent="0.2">
      <c r="E12087" s="18"/>
      <c r="F12087" s="18"/>
    </row>
    <row r="12088" spans="5:6" ht="15" customHeight="1" x14ac:dyDescent="0.2">
      <c r="E12088" s="18"/>
      <c r="F12088" s="18"/>
    </row>
    <row r="12089" spans="5:6" ht="15" customHeight="1" x14ac:dyDescent="0.2">
      <c r="E12089" s="18"/>
      <c r="F12089" s="18"/>
    </row>
    <row r="12090" spans="5:6" ht="15" customHeight="1" x14ac:dyDescent="0.2">
      <c r="E12090" s="18"/>
      <c r="F12090" s="18"/>
    </row>
    <row r="12091" spans="5:6" ht="15" customHeight="1" x14ac:dyDescent="0.2">
      <c r="E12091" s="18"/>
      <c r="F12091" s="18"/>
    </row>
    <row r="12092" spans="5:6" ht="15" customHeight="1" x14ac:dyDescent="0.2">
      <c r="E12092" s="18"/>
      <c r="F12092" s="18"/>
    </row>
    <row r="12093" spans="5:6" ht="15" customHeight="1" x14ac:dyDescent="0.2">
      <c r="E12093" s="18"/>
      <c r="F12093" s="18"/>
    </row>
    <row r="12094" spans="5:6" ht="15" customHeight="1" x14ac:dyDescent="0.2">
      <c r="E12094" s="18"/>
      <c r="F12094" s="18"/>
    </row>
    <row r="12095" spans="5:6" ht="15" customHeight="1" x14ac:dyDescent="0.2">
      <c r="E12095" s="18"/>
      <c r="F12095" s="18"/>
    </row>
    <row r="12096" spans="5:6" ht="15" customHeight="1" x14ac:dyDescent="0.2">
      <c r="E12096" s="18"/>
      <c r="F12096" s="18"/>
    </row>
    <row r="12097" spans="5:6" ht="15" customHeight="1" x14ac:dyDescent="0.2">
      <c r="E12097" s="18"/>
      <c r="F12097" s="18"/>
    </row>
    <row r="12098" spans="5:6" ht="15" customHeight="1" x14ac:dyDescent="0.2">
      <c r="E12098" s="18"/>
      <c r="F12098" s="18"/>
    </row>
    <row r="12099" spans="5:6" ht="15" customHeight="1" x14ac:dyDescent="0.2">
      <c r="E12099" s="18"/>
      <c r="F12099" s="18"/>
    </row>
    <row r="12100" spans="5:6" ht="15" customHeight="1" x14ac:dyDescent="0.2">
      <c r="E12100" s="18"/>
      <c r="F12100" s="18"/>
    </row>
    <row r="12101" spans="5:6" ht="15" customHeight="1" x14ac:dyDescent="0.2">
      <c r="E12101" s="18"/>
      <c r="F12101" s="18"/>
    </row>
    <row r="12102" spans="5:6" ht="15" customHeight="1" x14ac:dyDescent="0.2">
      <c r="E12102" s="18"/>
      <c r="F12102" s="18"/>
    </row>
    <row r="12103" spans="5:6" ht="15" customHeight="1" x14ac:dyDescent="0.2">
      <c r="E12103" s="18"/>
      <c r="F12103" s="18"/>
    </row>
    <row r="12104" spans="5:6" ht="15" customHeight="1" x14ac:dyDescent="0.2">
      <c r="E12104" s="18"/>
      <c r="F12104" s="18"/>
    </row>
    <row r="12105" spans="5:6" ht="15" customHeight="1" x14ac:dyDescent="0.2">
      <c r="E12105" s="18"/>
      <c r="F12105" s="18"/>
    </row>
    <row r="12106" spans="5:6" ht="15" customHeight="1" x14ac:dyDescent="0.2">
      <c r="E12106" s="18"/>
      <c r="F12106" s="18"/>
    </row>
    <row r="12107" spans="5:6" ht="15" customHeight="1" x14ac:dyDescent="0.2">
      <c r="E12107" s="18"/>
      <c r="F12107" s="18"/>
    </row>
    <row r="12108" spans="5:6" ht="15" customHeight="1" x14ac:dyDescent="0.2">
      <c r="E12108" s="18"/>
      <c r="F12108" s="18"/>
    </row>
    <row r="12109" spans="5:6" ht="15" customHeight="1" x14ac:dyDescent="0.2">
      <c r="E12109" s="18"/>
      <c r="F12109" s="18"/>
    </row>
    <row r="12110" spans="5:6" ht="15" customHeight="1" x14ac:dyDescent="0.2">
      <c r="E12110" s="18"/>
      <c r="F12110" s="18"/>
    </row>
    <row r="12111" spans="5:6" ht="15" customHeight="1" x14ac:dyDescent="0.2">
      <c r="E12111" s="18"/>
      <c r="F12111" s="18"/>
    </row>
    <row r="12112" spans="5:6" ht="15" customHeight="1" x14ac:dyDescent="0.2">
      <c r="E12112" s="18"/>
      <c r="F12112" s="18"/>
    </row>
    <row r="12113" spans="5:6" ht="15" customHeight="1" x14ac:dyDescent="0.2">
      <c r="E12113" s="18"/>
      <c r="F12113" s="18"/>
    </row>
    <row r="12114" spans="5:6" ht="15" customHeight="1" x14ac:dyDescent="0.2">
      <c r="E12114" s="18"/>
      <c r="F12114" s="18"/>
    </row>
    <row r="12115" spans="5:6" ht="15" customHeight="1" x14ac:dyDescent="0.2">
      <c r="E12115" s="18"/>
      <c r="F12115" s="18"/>
    </row>
    <row r="12116" spans="5:6" ht="15" customHeight="1" x14ac:dyDescent="0.2">
      <c r="E12116" s="18"/>
      <c r="F12116" s="18"/>
    </row>
    <row r="12117" spans="5:6" ht="15" customHeight="1" x14ac:dyDescent="0.2">
      <c r="E12117" s="18"/>
      <c r="F12117" s="18"/>
    </row>
    <row r="12118" spans="5:6" ht="15" customHeight="1" x14ac:dyDescent="0.2">
      <c r="E12118" s="18"/>
      <c r="F12118" s="18"/>
    </row>
    <row r="12119" spans="5:6" ht="15" customHeight="1" x14ac:dyDescent="0.2">
      <c r="E12119" s="18"/>
      <c r="F12119" s="18"/>
    </row>
    <row r="12120" spans="5:6" ht="15" customHeight="1" x14ac:dyDescent="0.2">
      <c r="E12120" s="18"/>
      <c r="F12120" s="18"/>
    </row>
    <row r="12121" spans="5:6" ht="15" customHeight="1" x14ac:dyDescent="0.2">
      <c r="E12121" s="18"/>
      <c r="F12121" s="18"/>
    </row>
    <row r="12122" spans="5:6" ht="15" customHeight="1" x14ac:dyDescent="0.2">
      <c r="E12122" s="18"/>
      <c r="F12122" s="18"/>
    </row>
    <row r="12123" spans="5:6" ht="15" customHeight="1" x14ac:dyDescent="0.2">
      <c r="E12123" s="18"/>
      <c r="F12123" s="18"/>
    </row>
    <row r="12124" spans="5:6" ht="15" customHeight="1" x14ac:dyDescent="0.2">
      <c r="E12124" s="18"/>
      <c r="F12124" s="18"/>
    </row>
    <row r="12125" spans="5:6" ht="15" customHeight="1" x14ac:dyDescent="0.2">
      <c r="E12125" s="18"/>
      <c r="F12125" s="18"/>
    </row>
    <row r="12126" spans="5:6" ht="15" customHeight="1" x14ac:dyDescent="0.2">
      <c r="E12126" s="18"/>
      <c r="F12126" s="18"/>
    </row>
    <row r="12127" spans="5:6" ht="15" customHeight="1" x14ac:dyDescent="0.2">
      <c r="E12127" s="18"/>
      <c r="F12127" s="18"/>
    </row>
    <row r="12128" spans="5:6" ht="15" customHeight="1" x14ac:dyDescent="0.2">
      <c r="E12128" s="18"/>
      <c r="F12128" s="18"/>
    </row>
    <row r="12129" spans="5:6" ht="15" customHeight="1" x14ac:dyDescent="0.2">
      <c r="E12129" s="18"/>
      <c r="F12129" s="18"/>
    </row>
    <row r="12130" spans="5:6" ht="15" customHeight="1" x14ac:dyDescent="0.2">
      <c r="E12130" s="18"/>
      <c r="F12130" s="18"/>
    </row>
    <row r="12131" spans="5:6" ht="15" customHeight="1" x14ac:dyDescent="0.2">
      <c r="E12131" s="18"/>
      <c r="F12131" s="18"/>
    </row>
    <row r="12132" spans="5:6" ht="15" customHeight="1" x14ac:dyDescent="0.2">
      <c r="E12132" s="18"/>
      <c r="F12132" s="18"/>
    </row>
    <row r="12133" spans="5:6" ht="15" customHeight="1" x14ac:dyDescent="0.2">
      <c r="E12133" s="18"/>
      <c r="F12133" s="18"/>
    </row>
    <row r="12134" spans="5:6" ht="15" customHeight="1" x14ac:dyDescent="0.2">
      <c r="E12134" s="18"/>
      <c r="F12134" s="18"/>
    </row>
    <row r="12135" spans="5:6" ht="15" customHeight="1" x14ac:dyDescent="0.2">
      <c r="E12135" s="18"/>
      <c r="F12135" s="18"/>
    </row>
    <row r="12136" spans="5:6" ht="15" customHeight="1" x14ac:dyDescent="0.2">
      <c r="E12136" s="18"/>
      <c r="F12136" s="18"/>
    </row>
    <row r="12137" spans="5:6" ht="15" customHeight="1" x14ac:dyDescent="0.2">
      <c r="E12137" s="18"/>
      <c r="F12137" s="18"/>
    </row>
    <row r="12138" spans="5:6" ht="15" customHeight="1" x14ac:dyDescent="0.2">
      <c r="E12138" s="18"/>
      <c r="F12138" s="18"/>
    </row>
    <row r="12139" spans="5:6" ht="15" customHeight="1" x14ac:dyDescent="0.2">
      <c r="E12139" s="18"/>
      <c r="F12139" s="18"/>
    </row>
    <row r="12140" spans="5:6" ht="15" customHeight="1" x14ac:dyDescent="0.2">
      <c r="E12140" s="18"/>
      <c r="F12140" s="18"/>
    </row>
    <row r="12141" spans="5:6" ht="15" customHeight="1" x14ac:dyDescent="0.2">
      <c r="E12141" s="18"/>
      <c r="F12141" s="18"/>
    </row>
    <row r="12142" spans="5:6" ht="15" customHeight="1" x14ac:dyDescent="0.2">
      <c r="E12142" s="18"/>
      <c r="F12142" s="18"/>
    </row>
    <row r="12143" spans="5:6" ht="15" customHeight="1" x14ac:dyDescent="0.2">
      <c r="E12143" s="18"/>
      <c r="F12143" s="18"/>
    </row>
    <row r="12144" spans="5:6" ht="15" customHeight="1" x14ac:dyDescent="0.2">
      <c r="E12144" s="18"/>
      <c r="F12144" s="18"/>
    </row>
    <row r="12145" spans="5:6" ht="15" customHeight="1" x14ac:dyDescent="0.2">
      <c r="E12145" s="18"/>
      <c r="F12145" s="18"/>
    </row>
    <row r="12146" spans="5:6" ht="15" customHeight="1" x14ac:dyDescent="0.2">
      <c r="E12146" s="18"/>
      <c r="F12146" s="18"/>
    </row>
    <row r="12147" spans="5:6" ht="15" customHeight="1" x14ac:dyDescent="0.2">
      <c r="E12147" s="18"/>
      <c r="F12147" s="18"/>
    </row>
    <row r="12148" spans="5:6" ht="15" customHeight="1" x14ac:dyDescent="0.2">
      <c r="E12148" s="18"/>
      <c r="F12148" s="18"/>
    </row>
    <row r="12149" spans="5:6" ht="15" customHeight="1" x14ac:dyDescent="0.2">
      <c r="E12149" s="18"/>
      <c r="F12149" s="18"/>
    </row>
    <row r="12150" spans="5:6" ht="15" customHeight="1" x14ac:dyDescent="0.2">
      <c r="E12150" s="18"/>
      <c r="F12150" s="18"/>
    </row>
    <row r="12151" spans="5:6" ht="15" customHeight="1" x14ac:dyDescent="0.2">
      <c r="E12151" s="18"/>
      <c r="F12151" s="18"/>
    </row>
    <row r="12152" spans="5:6" ht="15" customHeight="1" x14ac:dyDescent="0.2">
      <c r="E12152" s="18"/>
      <c r="F12152" s="18"/>
    </row>
    <row r="12153" spans="5:6" ht="15" customHeight="1" x14ac:dyDescent="0.2">
      <c r="E12153" s="18"/>
      <c r="F12153" s="18"/>
    </row>
    <row r="12154" spans="5:6" ht="15" customHeight="1" x14ac:dyDescent="0.2">
      <c r="E12154" s="18"/>
      <c r="F12154" s="18"/>
    </row>
    <row r="12155" spans="5:6" ht="15" customHeight="1" x14ac:dyDescent="0.2">
      <c r="E12155" s="18"/>
      <c r="F12155" s="18"/>
    </row>
    <row r="12156" spans="5:6" ht="15" customHeight="1" x14ac:dyDescent="0.2">
      <c r="E12156" s="18"/>
      <c r="F12156" s="18"/>
    </row>
    <row r="12157" spans="5:6" ht="15" customHeight="1" x14ac:dyDescent="0.2">
      <c r="E12157" s="18"/>
      <c r="F12157" s="18"/>
    </row>
    <row r="12158" spans="5:6" ht="15" customHeight="1" x14ac:dyDescent="0.2">
      <c r="E12158" s="18"/>
      <c r="F12158" s="18"/>
    </row>
    <row r="12159" spans="5:6" ht="15" customHeight="1" x14ac:dyDescent="0.2">
      <c r="E12159" s="18"/>
      <c r="F12159" s="18"/>
    </row>
    <row r="12160" spans="5:6" ht="15" customHeight="1" x14ac:dyDescent="0.2">
      <c r="E12160" s="18"/>
      <c r="F12160" s="18"/>
    </row>
    <row r="12161" spans="5:6" ht="15" customHeight="1" x14ac:dyDescent="0.2">
      <c r="E12161" s="18"/>
      <c r="F12161" s="18"/>
    </row>
    <row r="12162" spans="5:6" ht="15" customHeight="1" x14ac:dyDescent="0.2">
      <c r="E12162" s="18"/>
      <c r="F12162" s="18"/>
    </row>
    <row r="12163" spans="5:6" ht="15" customHeight="1" x14ac:dyDescent="0.2">
      <c r="E12163" s="18"/>
      <c r="F12163" s="18"/>
    </row>
    <row r="12164" spans="5:6" ht="15" customHeight="1" x14ac:dyDescent="0.2">
      <c r="E12164" s="18"/>
      <c r="F12164" s="18"/>
    </row>
    <row r="12165" spans="5:6" ht="15" customHeight="1" x14ac:dyDescent="0.2">
      <c r="E12165" s="18"/>
      <c r="F12165" s="18"/>
    </row>
    <row r="12166" spans="5:6" ht="15" customHeight="1" x14ac:dyDescent="0.2">
      <c r="E12166" s="18"/>
      <c r="F12166" s="18"/>
    </row>
    <row r="12167" spans="5:6" ht="15" customHeight="1" x14ac:dyDescent="0.2">
      <c r="E12167" s="18"/>
      <c r="F12167" s="18"/>
    </row>
    <row r="12168" spans="5:6" ht="15" customHeight="1" x14ac:dyDescent="0.2">
      <c r="E12168" s="18"/>
      <c r="F12168" s="18"/>
    </row>
    <row r="12169" spans="5:6" ht="15" customHeight="1" x14ac:dyDescent="0.2">
      <c r="E12169" s="18"/>
      <c r="F12169" s="18"/>
    </row>
    <row r="12170" spans="5:6" ht="15" customHeight="1" x14ac:dyDescent="0.2">
      <c r="E12170" s="18"/>
      <c r="F12170" s="18"/>
    </row>
    <row r="12171" spans="5:6" ht="15" customHeight="1" x14ac:dyDescent="0.2">
      <c r="E12171" s="18"/>
      <c r="F12171" s="18"/>
    </row>
    <row r="12172" spans="5:6" ht="15" customHeight="1" x14ac:dyDescent="0.2">
      <c r="E12172" s="18"/>
      <c r="F12172" s="18"/>
    </row>
    <row r="12173" spans="5:6" ht="15" customHeight="1" x14ac:dyDescent="0.2">
      <c r="E12173" s="18"/>
      <c r="F12173" s="18"/>
    </row>
    <row r="12174" spans="5:6" ht="15" customHeight="1" x14ac:dyDescent="0.2">
      <c r="E12174" s="18"/>
      <c r="F12174" s="18"/>
    </row>
    <row r="12175" spans="5:6" ht="15" customHeight="1" x14ac:dyDescent="0.2">
      <c r="E12175" s="18"/>
      <c r="F12175" s="18"/>
    </row>
    <row r="12176" spans="5:6" ht="15" customHeight="1" x14ac:dyDescent="0.2">
      <c r="E12176" s="18"/>
      <c r="F12176" s="18"/>
    </row>
    <row r="12177" spans="5:6" ht="15" customHeight="1" x14ac:dyDescent="0.2">
      <c r="E12177" s="18"/>
      <c r="F12177" s="18"/>
    </row>
    <row r="12178" spans="5:6" ht="15" customHeight="1" x14ac:dyDescent="0.2">
      <c r="E12178" s="18"/>
      <c r="F12178" s="18"/>
    </row>
    <row r="12179" spans="5:6" ht="15" customHeight="1" x14ac:dyDescent="0.2">
      <c r="E12179" s="18"/>
      <c r="F12179" s="18"/>
    </row>
    <row r="12180" spans="5:6" ht="15" customHeight="1" x14ac:dyDescent="0.2">
      <c r="E12180" s="18"/>
      <c r="F12180" s="18"/>
    </row>
    <row r="12181" spans="5:6" ht="15" customHeight="1" x14ac:dyDescent="0.2">
      <c r="E12181" s="18"/>
      <c r="F12181" s="18"/>
    </row>
    <row r="12182" spans="5:6" ht="15" customHeight="1" x14ac:dyDescent="0.2">
      <c r="E12182" s="18"/>
      <c r="F12182" s="18"/>
    </row>
    <row r="12183" spans="5:6" ht="15" customHeight="1" x14ac:dyDescent="0.2">
      <c r="E12183" s="18"/>
      <c r="F12183" s="18"/>
    </row>
    <row r="12184" spans="5:6" ht="15" customHeight="1" x14ac:dyDescent="0.2">
      <c r="E12184" s="18"/>
      <c r="F12184" s="18"/>
    </row>
    <row r="12185" spans="5:6" ht="15" customHeight="1" x14ac:dyDescent="0.2">
      <c r="E12185" s="18"/>
      <c r="F12185" s="18"/>
    </row>
    <row r="12186" spans="5:6" ht="15" customHeight="1" x14ac:dyDescent="0.2">
      <c r="E12186" s="18"/>
      <c r="F12186" s="18"/>
    </row>
    <row r="12187" spans="5:6" ht="15" customHeight="1" x14ac:dyDescent="0.2">
      <c r="E12187" s="18"/>
      <c r="F12187" s="18"/>
    </row>
    <row r="12188" spans="5:6" ht="15" customHeight="1" x14ac:dyDescent="0.2">
      <c r="E12188" s="18"/>
      <c r="F12188" s="18"/>
    </row>
    <row r="12189" spans="5:6" ht="15" customHeight="1" x14ac:dyDescent="0.2">
      <c r="E12189" s="18"/>
      <c r="F12189" s="18"/>
    </row>
    <row r="12190" spans="5:6" ht="15" customHeight="1" x14ac:dyDescent="0.2">
      <c r="E12190" s="18"/>
      <c r="F12190" s="18"/>
    </row>
    <row r="12191" spans="5:6" ht="15" customHeight="1" x14ac:dyDescent="0.2">
      <c r="E12191" s="18"/>
      <c r="F12191" s="18"/>
    </row>
    <row r="12192" spans="5:6" ht="15" customHeight="1" x14ac:dyDescent="0.2">
      <c r="E12192" s="18"/>
      <c r="F12192" s="18"/>
    </row>
    <row r="12193" spans="5:6" ht="15" customHeight="1" x14ac:dyDescent="0.2">
      <c r="E12193" s="18"/>
      <c r="F12193" s="18"/>
    </row>
    <row r="12194" spans="5:6" ht="15" customHeight="1" x14ac:dyDescent="0.2">
      <c r="E12194" s="18"/>
      <c r="F12194" s="18"/>
    </row>
    <row r="12195" spans="5:6" ht="15" customHeight="1" x14ac:dyDescent="0.2">
      <c r="E12195" s="18"/>
      <c r="F12195" s="18"/>
    </row>
    <row r="12196" spans="5:6" ht="15" customHeight="1" x14ac:dyDescent="0.2">
      <c r="E12196" s="18"/>
      <c r="F12196" s="18"/>
    </row>
    <row r="12197" spans="5:6" ht="15" customHeight="1" x14ac:dyDescent="0.2">
      <c r="E12197" s="18"/>
      <c r="F12197" s="18"/>
    </row>
    <row r="12198" spans="5:6" ht="15" customHeight="1" x14ac:dyDescent="0.2">
      <c r="E12198" s="18"/>
      <c r="F12198" s="18"/>
    </row>
    <row r="12199" spans="5:6" ht="15" customHeight="1" x14ac:dyDescent="0.2">
      <c r="E12199" s="18"/>
      <c r="F12199" s="18"/>
    </row>
    <row r="12200" spans="5:6" ht="15" customHeight="1" x14ac:dyDescent="0.2">
      <c r="E12200" s="18"/>
      <c r="F12200" s="18"/>
    </row>
    <row r="12201" spans="5:6" ht="15" customHeight="1" x14ac:dyDescent="0.2">
      <c r="E12201" s="18"/>
      <c r="F12201" s="18"/>
    </row>
    <row r="12202" spans="5:6" ht="15" customHeight="1" x14ac:dyDescent="0.2">
      <c r="E12202" s="18"/>
      <c r="F12202" s="18"/>
    </row>
    <row r="12203" spans="5:6" ht="15" customHeight="1" x14ac:dyDescent="0.2">
      <c r="E12203" s="18"/>
      <c r="F12203" s="18"/>
    </row>
    <row r="12204" spans="5:6" ht="15" customHeight="1" x14ac:dyDescent="0.2">
      <c r="E12204" s="18"/>
      <c r="F12204" s="18"/>
    </row>
    <row r="12205" spans="5:6" ht="15" customHeight="1" x14ac:dyDescent="0.2">
      <c r="E12205" s="18"/>
      <c r="F12205" s="18"/>
    </row>
    <row r="12206" spans="5:6" ht="15" customHeight="1" x14ac:dyDescent="0.2">
      <c r="E12206" s="18"/>
      <c r="F12206" s="18"/>
    </row>
    <row r="12207" spans="5:6" ht="15" customHeight="1" x14ac:dyDescent="0.2">
      <c r="E12207" s="18"/>
      <c r="F12207" s="18"/>
    </row>
    <row r="12208" spans="5:6" ht="15" customHeight="1" x14ac:dyDescent="0.2">
      <c r="E12208" s="18"/>
      <c r="F12208" s="18"/>
    </row>
    <row r="12209" spans="5:6" ht="15" customHeight="1" x14ac:dyDescent="0.2">
      <c r="E12209" s="18"/>
      <c r="F12209" s="18"/>
    </row>
    <row r="12210" spans="5:6" ht="15" customHeight="1" x14ac:dyDescent="0.2">
      <c r="E12210" s="18"/>
      <c r="F12210" s="18"/>
    </row>
    <row r="12211" spans="5:6" ht="15" customHeight="1" x14ac:dyDescent="0.2">
      <c r="E12211" s="18"/>
      <c r="F12211" s="18"/>
    </row>
    <row r="12212" spans="5:6" ht="15" customHeight="1" x14ac:dyDescent="0.2">
      <c r="E12212" s="18"/>
      <c r="F12212" s="18"/>
    </row>
    <row r="12213" spans="5:6" ht="15" customHeight="1" x14ac:dyDescent="0.2">
      <c r="E12213" s="18"/>
      <c r="F12213" s="18"/>
    </row>
    <row r="12214" spans="5:6" ht="15" customHeight="1" x14ac:dyDescent="0.2">
      <c r="E12214" s="18"/>
      <c r="F12214" s="18"/>
    </row>
    <row r="12215" spans="5:6" ht="15" customHeight="1" x14ac:dyDescent="0.2">
      <c r="E12215" s="18"/>
      <c r="F12215" s="18"/>
    </row>
    <row r="12216" spans="5:6" ht="15" customHeight="1" x14ac:dyDescent="0.2">
      <c r="E12216" s="18"/>
      <c r="F12216" s="18"/>
    </row>
    <row r="12217" spans="5:6" ht="15" customHeight="1" x14ac:dyDescent="0.2">
      <c r="E12217" s="18"/>
      <c r="F12217" s="18"/>
    </row>
    <row r="12218" spans="5:6" ht="15" customHeight="1" x14ac:dyDescent="0.2">
      <c r="E12218" s="18"/>
      <c r="F12218" s="18"/>
    </row>
    <row r="12219" spans="5:6" ht="15" customHeight="1" x14ac:dyDescent="0.2">
      <c r="E12219" s="18"/>
      <c r="F12219" s="18"/>
    </row>
    <row r="12220" spans="5:6" ht="15" customHeight="1" x14ac:dyDescent="0.2">
      <c r="E12220" s="18"/>
      <c r="F12220" s="18"/>
    </row>
    <row r="12221" spans="5:6" ht="15" customHeight="1" x14ac:dyDescent="0.2">
      <c r="E12221" s="18"/>
      <c r="F12221" s="18"/>
    </row>
    <row r="12222" spans="5:6" ht="15" customHeight="1" x14ac:dyDescent="0.2">
      <c r="E12222" s="18"/>
      <c r="F12222" s="18"/>
    </row>
    <row r="12223" spans="5:6" ht="15" customHeight="1" x14ac:dyDescent="0.2">
      <c r="E12223" s="18"/>
      <c r="F12223" s="18"/>
    </row>
    <row r="12224" spans="5:6" ht="15" customHeight="1" x14ac:dyDescent="0.2">
      <c r="E12224" s="18"/>
      <c r="F12224" s="18"/>
    </row>
    <row r="12225" spans="5:6" ht="15" customHeight="1" x14ac:dyDescent="0.2">
      <c r="E12225" s="18"/>
      <c r="F12225" s="18"/>
    </row>
    <row r="12226" spans="5:6" ht="15" customHeight="1" x14ac:dyDescent="0.2">
      <c r="E12226" s="18"/>
      <c r="F12226" s="18"/>
    </row>
    <row r="12227" spans="5:6" ht="15" customHeight="1" x14ac:dyDescent="0.2">
      <c r="E12227" s="18"/>
      <c r="F12227" s="18"/>
    </row>
    <row r="12228" spans="5:6" ht="15" customHeight="1" x14ac:dyDescent="0.2">
      <c r="E12228" s="18"/>
      <c r="F12228" s="18"/>
    </row>
    <row r="12229" spans="5:6" ht="15" customHeight="1" x14ac:dyDescent="0.2">
      <c r="E12229" s="18"/>
      <c r="F12229" s="18"/>
    </row>
    <row r="12230" spans="5:6" ht="15" customHeight="1" x14ac:dyDescent="0.2">
      <c r="E12230" s="18"/>
      <c r="F12230" s="18"/>
    </row>
    <row r="12231" spans="5:6" ht="15" customHeight="1" x14ac:dyDescent="0.2">
      <c r="E12231" s="18"/>
      <c r="F12231" s="18"/>
    </row>
    <row r="12232" spans="5:6" ht="15" customHeight="1" x14ac:dyDescent="0.2">
      <c r="E12232" s="18"/>
      <c r="F12232" s="18"/>
    </row>
    <row r="12233" spans="5:6" ht="15" customHeight="1" x14ac:dyDescent="0.2">
      <c r="E12233" s="18"/>
      <c r="F12233" s="18"/>
    </row>
    <row r="12234" spans="5:6" ht="15" customHeight="1" x14ac:dyDescent="0.2">
      <c r="E12234" s="18"/>
      <c r="F12234" s="18"/>
    </row>
    <row r="12235" spans="5:6" ht="15" customHeight="1" x14ac:dyDescent="0.2">
      <c r="E12235" s="18"/>
      <c r="F12235" s="18"/>
    </row>
    <row r="12236" spans="5:6" ht="15" customHeight="1" x14ac:dyDescent="0.2">
      <c r="E12236" s="18"/>
      <c r="F12236" s="18"/>
    </row>
    <row r="12237" spans="5:6" ht="15" customHeight="1" x14ac:dyDescent="0.2">
      <c r="E12237" s="18"/>
      <c r="F12237" s="18"/>
    </row>
    <row r="12238" spans="5:6" ht="15" customHeight="1" x14ac:dyDescent="0.2">
      <c r="E12238" s="18"/>
      <c r="F12238" s="18"/>
    </row>
    <row r="12239" spans="5:6" ht="15" customHeight="1" x14ac:dyDescent="0.2">
      <c r="E12239" s="18"/>
      <c r="F12239" s="18"/>
    </row>
    <row r="12240" spans="5:6" ht="15" customHeight="1" x14ac:dyDescent="0.2">
      <c r="E12240" s="18"/>
      <c r="F12240" s="18"/>
    </row>
    <row r="12241" spans="5:6" ht="15" customHeight="1" x14ac:dyDescent="0.2">
      <c r="E12241" s="18"/>
      <c r="F12241" s="18"/>
    </row>
    <row r="12242" spans="5:6" ht="15" customHeight="1" x14ac:dyDescent="0.2">
      <c r="E12242" s="18"/>
      <c r="F12242" s="18"/>
    </row>
    <row r="12243" spans="5:6" ht="15" customHeight="1" x14ac:dyDescent="0.2">
      <c r="E12243" s="18"/>
      <c r="F12243" s="18"/>
    </row>
    <row r="12244" spans="5:6" ht="15" customHeight="1" x14ac:dyDescent="0.2">
      <c r="E12244" s="18"/>
      <c r="F12244" s="18"/>
    </row>
    <row r="12245" spans="5:6" ht="15" customHeight="1" x14ac:dyDescent="0.2">
      <c r="E12245" s="18"/>
      <c r="F12245" s="18"/>
    </row>
    <row r="12246" spans="5:6" ht="15" customHeight="1" x14ac:dyDescent="0.2">
      <c r="E12246" s="18"/>
      <c r="F12246" s="18"/>
    </row>
    <row r="12247" spans="5:6" ht="15" customHeight="1" x14ac:dyDescent="0.2">
      <c r="E12247" s="18"/>
      <c r="F12247" s="18"/>
    </row>
    <row r="12248" spans="5:6" ht="15" customHeight="1" x14ac:dyDescent="0.2">
      <c r="E12248" s="18"/>
      <c r="F12248" s="18"/>
    </row>
    <row r="12249" spans="5:6" ht="15" customHeight="1" x14ac:dyDescent="0.2">
      <c r="E12249" s="18"/>
      <c r="F12249" s="18"/>
    </row>
    <row r="12250" spans="5:6" ht="15" customHeight="1" x14ac:dyDescent="0.2">
      <c r="E12250" s="18"/>
      <c r="F12250" s="18"/>
    </row>
    <row r="12251" spans="5:6" ht="15" customHeight="1" x14ac:dyDescent="0.2">
      <c r="E12251" s="18"/>
      <c r="F12251" s="18"/>
    </row>
    <row r="12252" spans="5:6" ht="15" customHeight="1" x14ac:dyDescent="0.2">
      <c r="E12252" s="18"/>
      <c r="F12252" s="18"/>
    </row>
    <row r="12253" spans="5:6" ht="15" customHeight="1" x14ac:dyDescent="0.2">
      <c r="E12253" s="18"/>
      <c r="F12253" s="18"/>
    </row>
    <row r="12254" spans="5:6" ht="15" customHeight="1" x14ac:dyDescent="0.2">
      <c r="E12254" s="18"/>
      <c r="F12254" s="18"/>
    </row>
    <row r="12255" spans="5:6" ht="15" customHeight="1" x14ac:dyDescent="0.2">
      <c r="E12255" s="18"/>
      <c r="F12255" s="18"/>
    </row>
    <row r="12256" spans="5:6" ht="15" customHeight="1" x14ac:dyDescent="0.2">
      <c r="E12256" s="18"/>
      <c r="F12256" s="18"/>
    </row>
    <row r="12257" spans="5:6" ht="15" customHeight="1" x14ac:dyDescent="0.2">
      <c r="E12257" s="18"/>
      <c r="F12257" s="18"/>
    </row>
    <row r="12258" spans="5:6" ht="15" customHeight="1" x14ac:dyDescent="0.2">
      <c r="E12258" s="18"/>
      <c r="F12258" s="18"/>
    </row>
    <row r="12259" spans="5:6" ht="15" customHeight="1" x14ac:dyDescent="0.2">
      <c r="E12259" s="18"/>
      <c r="F12259" s="18"/>
    </row>
    <row r="12260" spans="5:6" ht="15" customHeight="1" x14ac:dyDescent="0.2">
      <c r="E12260" s="18"/>
      <c r="F12260" s="18"/>
    </row>
    <row r="12261" spans="5:6" ht="15" customHeight="1" x14ac:dyDescent="0.2">
      <c r="E12261" s="18"/>
      <c r="F12261" s="18"/>
    </row>
    <row r="12262" spans="5:6" ht="15" customHeight="1" x14ac:dyDescent="0.2">
      <c r="E12262" s="18"/>
      <c r="F12262" s="18"/>
    </row>
    <row r="12263" spans="5:6" ht="15" customHeight="1" x14ac:dyDescent="0.2">
      <c r="E12263" s="18"/>
      <c r="F12263" s="18"/>
    </row>
    <row r="12264" spans="5:6" ht="15" customHeight="1" x14ac:dyDescent="0.2">
      <c r="E12264" s="18"/>
      <c r="F12264" s="18"/>
    </row>
    <row r="12265" spans="5:6" ht="15" customHeight="1" x14ac:dyDescent="0.2">
      <c r="E12265" s="18"/>
      <c r="F12265" s="18"/>
    </row>
    <row r="12266" spans="5:6" ht="15" customHeight="1" x14ac:dyDescent="0.2">
      <c r="E12266" s="18"/>
      <c r="F12266" s="18"/>
    </row>
    <row r="12267" spans="5:6" ht="15" customHeight="1" x14ac:dyDescent="0.2">
      <c r="E12267" s="18"/>
      <c r="F12267" s="18"/>
    </row>
    <row r="12268" spans="5:6" ht="15" customHeight="1" x14ac:dyDescent="0.2">
      <c r="E12268" s="18"/>
      <c r="F12268" s="18"/>
    </row>
    <row r="12269" spans="5:6" ht="15" customHeight="1" x14ac:dyDescent="0.2">
      <c r="E12269" s="18"/>
      <c r="F12269" s="18"/>
    </row>
    <row r="12270" spans="5:6" ht="15" customHeight="1" x14ac:dyDescent="0.2">
      <c r="E12270" s="18"/>
      <c r="F12270" s="18"/>
    </row>
    <row r="12271" spans="5:6" ht="15" customHeight="1" x14ac:dyDescent="0.2">
      <c r="E12271" s="18"/>
      <c r="F12271" s="18"/>
    </row>
    <row r="12272" spans="5:6" ht="15" customHeight="1" x14ac:dyDescent="0.2">
      <c r="E12272" s="18"/>
      <c r="F12272" s="18"/>
    </row>
    <row r="12273" spans="5:6" ht="15" customHeight="1" x14ac:dyDescent="0.2">
      <c r="E12273" s="18"/>
      <c r="F12273" s="18"/>
    </row>
    <row r="12274" spans="5:6" ht="15" customHeight="1" x14ac:dyDescent="0.2">
      <c r="E12274" s="18"/>
      <c r="F12274" s="18"/>
    </row>
    <row r="12275" spans="5:6" ht="15" customHeight="1" x14ac:dyDescent="0.2">
      <c r="E12275" s="18"/>
      <c r="F12275" s="18"/>
    </row>
    <row r="12276" spans="5:6" ht="15" customHeight="1" x14ac:dyDescent="0.2">
      <c r="E12276" s="18"/>
      <c r="F12276" s="18"/>
    </row>
    <row r="12277" spans="5:6" ht="15" customHeight="1" x14ac:dyDescent="0.2">
      <c r="E12277" s="18"/>
      <c r="F12277" s="18"/>
    </row>
    <row r="12278" spans="5:6" ht="15" customHeight="1" x14ac:dyDescent="0.2">
      <c r="E12278" s="18"/>
      <c r="F12278" s="18"/>
    </row>
    <row r="12279" spans="5:6" ht="15" customHeight="1" x14ac:dyDescent="0.2">
      <c r="E12279" s="18"/>
      <c r="F12279" s="18"/>
    </row>
    <row r="12280" spans="5:6" ht="15" customHeight="1" x14ac:dyDescent="0.2">
      <c r="E12280" s="18"/>
      <c r="F12280" s="18"/>
    </row>
    <row r="12281" spans="5:6" ht="15" customHeight="1" x14ac:dyDescent="0.2">
      <c r="E12281" s="18"/>
      <c r="F12281" s="18"/>
    </row>
    <row r="12282" spans="5:6" ht="15" customHeight="1" x14ac:dyDescent="0.2">
      <c r="E12282" s="18"/>
      <c r="F12282" s="18"/>
    </row>
    <row r="12283" spans="5:6" ht="15" customHeight="1" x14ac:dyDescent="0.2">
      <c r="E12283" s="18"/>
      <c r="F12283" s="18"/>
    </row>
    <row r="12284" spans="5:6" ht="15" customHeight="1" x14ac:dyDescent="0.2">
      <c r="E12284" s="18"/>
      <c r="F12284" s="18"/>
    </row>
    <row r="12285" spans="5:6" ht="15" customHeight="1" x14ac:dyDescent="0.2">
      <c r="E12285" s="18"/>
      <c r="F12285" s="18"/>
    </row>
    <row r="12286" spans="5:6" ht="15" customHeight="1" x14ac:dyDescent="0.2">
      <c r="E12286" s="18"/>
      <c r="F12286" s="18"/>
    </row>
    <row r="12287" spans="5:6" ht="15" customHeight="1" x14ac:dyDescent="0.2">
      <c r="E12287" s="18"/>
      <c r="F12287" s="18"/>
    </row>
    <row r="12288" spans="5:6" ht="15" customHeight="1" x14ac:dyDescent="0.2">
      <c r="E12288" s="18"/>
      <c r="F12288" s="18"/>
    </row>
    <row r="12289" spans="5:6" ht="15" customHeight="1" x14ac:dyDescent="0.2">
      <c r="E12289" s="18"/>
      <c r="F12289" s="18"/>
    </row>
    <row r="12290" spans="5:6" ht="15" customHeight="1" x14ac:dyDescent="0.2">
      <c r="E12290" s="18"/>
      <c r="F12290" s="18"/>
    </row>
    <row r="12291" spans="5:6" ht="15" customHeight="1" x14ac:dyDescent="0.2">
      <c r="E12291" s="18"/>
      <c r="F12291" s="18"/>
    </row>
    <row r="12292" spans="5:6" ht="15" customHeight="1" x14ac:dyDescent="0.2">
      <c r="E12292" s="18"/>
      <c r="F12292" s="18"/>
    </row>
    <row r="12293" spans="5:6" ht="15" customHeight="1" x14ac:dyDescent="0.2">
      <c r="E12293" s="18"/>
      <c r="F12293" s="18"/>
    </row>
    <row r="12294" spans="5:6" ht="15" customHeight="1" x14ac:dyDescent="0.2">
      <c r="E12294" s="18"/>
      <c r="F12294" s="18"/>
    </row>
    <row r="12295" spans="5:6" ht="15" customHeight="1" x14ac:dyDescent="0.2">
      <c r="E12295" s="18"/>
      <c r="F12295" s="18"/>
    </row>
    <row r="12296" spans="5:6" ht="15" customHeight="1" x14ac:dyDescent="0.2">
      <c r="E12296" s="18"/>
      <c r="F12296" s="18"/>
    </row>
    <row r="12297" spans="5:6" ht="15" customHeight="1" x14ac:dyDescent="0.2">
      <c r="E12297" s="18"/>
      <c r="F12297" s="18"/>
    </row>
    <row r="12298" spans="5:6" ht="15" customHeight="1" x14ac:dyDescent="0.2">
      <c r="E12298" s="18"/>
      <c r="F12298" s="18"/>
    </row>
    <row r="12299" spans="5:6" ht="15" customHeight="1" x14ac:dyDescent="0.2">
      <c r="E12299" s="18"/>
      <c r="F12299" s="18"/>
    </row>
    <row r="12300" spans="5:6" ht="15" customHeight="1" x14ac:dyDescent="0.2">
      <c r="E12300" s="18"/>
      <c r="F12300" s="18"/>
    </row>
    <row r="12301" spans="5:6" ht="15" customHeight="1" x14ac:dyDescent="0.2">
      <c r="E12301" s="18"/>
      <c r="F12301" s="18"/>
    </row>
    <row r="12302" spans="5:6" ht="15" customHeight="1" x14ac:dyDescent="0.2">
      <c r="E12302" s="18"/>
      <c r="F12302" s="18"/>
    </row>
    <row r="12303" spans="5:6" ht="15" customHeight="1" x14ac:dyDescent="0.2">
      <c r="E12303" s="18"/>
      <c r="F12303" s="18"/>
    </row>
    <row r="12304" spans="5:6" ht="15" customHeight="1" x14ac:dyDescent="0.2">
      <c r="E12304" s="18"/>
      <c r="F12304" s="18"/>
    </row>
    <row r="12305" spans="5:6" ht="15" customHeight="1" x14ac:dyDescent="0.2">
      <c r="E12305" s="18"/>
      <c r="F12305" s="18"/>
    </row>
    <row r="12306" spans="5:6" ht="15" customHeight="1" x14ac:dyDescent="0.2">
      <c r="E12306" s="18"/>
      <c r="F12306" s="18"/>
    </row>
    <row r="12307" spans="5:6" ht="15" customHeight="1" x14ac:dyDescent="0.2">
      <c r="E12307" s="18"/>
      <c r="F12307" s="18"/>
    </row>
    <row r="12308" spans="5:6" ht="15" customHeight="1" x14ac:dyDescent="0.2">
      <c r="E12308" s="18"/>
      <c r="F12308" s="18"/>
    </row>
    <row r="12309" spans="5:6" ht="15" customHeight="1" x14ac:dyDescent="0.2">
      <c r="E12309" s="18"/>
      <c r="F12309" s="18"/>
    </row>
    <row r="12310" spans="5:6" ht="15" customHeight="1" x14ac:dyDescent="0.2">
      <c r="E12310" s="18"/>
      <c r="F12310" s="18"/>
    </row>
    <row r="12311" spans="5:6" ht="15" customHeight="1" x14ac:dyDescent="0.2">
      <c r="E12311" s="18"/>
      <c r="F12311" s="18"/>
    </row>
    <row r="12312" spans="5:6" ht="15" customHeight="1" x14ac:dyDescent="0.2">
      <c r="E12312" s="18"/>
      <c r="F12312" s="18"/>
    </row>
    <row r="12313" spans="5:6" ht="15" customHeight="1" x14ac:dyDescent="0.2">
      <c r="E12313" s="18"/>
      <c r="F12313" s="18"/>
    </row>
    <row r="12314" spans="5:6" ht="15" customHeight="1" x14ac:dyDescent="0.2">
      <c r="E12314" s="18"/>
      <c r="F12314" s="18"/>
    </row>
    <row r="12315" spans="5:6" ht="15" customHeight="1" x14ac:dyDescent="0.2">
      <c r="E12315" s="18"/>
      <c r="F12315" s="18"/>
    </row>
    <row r="12316" spans="5:6" ht="15" customHeight="1" x14ac:dyDescent="0.2">
      <c r="E12316" s="18"/>
      <c r="F12316" s="18"/>
    </row>
    <row r="12317" spans="5:6" ht="15" customHeight="1" x14ac:dyDescent="0.2">
      <c r="E12317" s="18"/>
      <c r="F12317" s="18"/>
    </row>
    <row r="12318" spans="5:6" ht="15" customHeight="1" x14ac:dyDescent="0.2">
      <c r="E12318" s="18"/>
      <c r="F12318" s="18"/>
    </row>
    <row r="12319" spans="5:6" ht="15" customHeight="1" x14ac:dyDescent="0.2">
      <c r="E12319" s="18"/>
      <c r="F12319" s="18"/>
    </row>
    <row r="12320" spans="5:6" ht="15" customHeight="1" x14ac:dyDescent="0.2">
      <c r="E12320" s="18"/>
      <c r="F12320" s="18"/>
    </row>
    <row r="12321" spans="5:6" ht="15" customHeight="1" x14ac:dyDescent="0.2">
      <c r="E12321" s="18"/>
      <c r="F12321" s="18"/>
    </row>
    <row r="12322" spans="5:6" ht="15" customHeight="1" x14ac:dyDescent="0.2">
      <c r="E12322" s="18"/>
      <c r="F12322" s="18"/>
    </row>
    <row r="12323" spans="5:6" ht="15" customHeight="1" x14ac:dyDescent="0.2">
      <c r="E12323" s="18"/>
      <c r="F12323" s="18"/>
    </row>
    <row r="12324" spans="5:6" ht="15" customHeight="1" x14ac:dyDescent="0.2">
      <c r="E12324" s="18"/>
      <c r="F12324" s="18"/>
    </row>
    <row r="12325" spans="5:6" ht="15" customHeight="1" x14ac:dyDescent="0.2">
      <c r="E12325" s="18"/>
      <c r="F12325" s="18"/>
    </row>
    <row r="12326" spans="5:6" ht="15" customHeight="1" x14ac:dyDescent="0.2">
      <c r="E12326" s="18"/>
      <c r="F12326" s="18"/>
    </row>
    <row r="12327" spans="5:6" ht="15" customHeight="1" x14ac:dyDescent="0.2">
      <c r="E12327" s="18"/>
      <c r="F12327" s="18"/>
    </row>
    <row r="12328" spans="5:6" ht="15" customHeight="1" x14ac:dyDescent="0.2">
      <c r="E12328" s="18"/>
      <c r="F12328" s="18"/>
    </row>
    <row r="12329" spans="5:6" ht="15" customHeight="1" x14ac:dyDescent="0.2">
      <c r="E12329" s="18"/>
      <c r="F12329" s="18"/>
    </row>
    <row r="12330" spans="5:6" ht="15" customHeight="1" x14ac:dyDescent="0.2">
      <c r="E12330" s="18"/>
      <c r="F12330" s="18"/>
    </row>
    <row r="12331" spans="5:6" ht="15" customHeight="1" x14ac:dyDescent="0.2">
      <c r="E12331" s="18"/>
      <c r="F12331" s="18"/>
    </row>
    <row r="12332" spans="5:6" ht="15" customHeight="1" x14ac:dyDescent="0.2">
      <c r="E12332" s="18"/>
      <c r="F12332" s="18"/>
    </row>
    <row r="12333" spans="5:6" ht="15" customHeight="1" x14ac:dyDescent="0.2">
      <c r="E12333" s="18"/>
      <c r="F12333" s="18"/>
    </row>
    <row r="12334" spans="5:6" ht="15" customHeight="1" x14ac:dyDescent="0.2">
      <c r="E12334" s="18"/>
      <c r="F12334" s="18"/>
    </row>
    <row r="12335" spans="5:6" ht="15" customHeight="1" x14ac:dyDescent="0.2">
      <c r="E12335" s="18"/>
      <c r="F12335" s="18"/>
    </row>
    <row r="12336" spans="5:6" ht="15" customHeight="1" x14ac:dyDescent="0.2">
      <c r="E12336" s="18"/>
      <c r="F12336" s="18"/>
    </row>
    <row r="12337" spans="5:6" ht="15" customHeight="1" x14ac:dyDescent="0.2">
      <c r="E12337" s="18"/>
      <c r="F12337" s="18"/>
    </row>
    <row r="12338" spans="5:6" ht="15" customHeight="1" x14ac:dyDescent="0.2">
      <c r="E12338" s="18"/>
      <c r="F12338" s="18"/>
    </row>
    <row r="12339" spans="5:6" ht="15" customHeight="1" x14ac:dyDescent="0.2">
      <c r="E12339" s="18"/>
      <c r="F12339" s="18"/>
    </row>
    <row r="12340" spans="5:6" ht="15" customHeight="1" x14ac:dyDescent="0.2">
      <c r="E12340" s="18"/>
      <c r="F12340" s="18"/>
    </row>
    <row r="12341" spans="5:6" ht="15" customHeight="1" x14ac:dyDescent="0.2">
      <c r="E12341" s="18"/>
      <c r="F12341" s="18"/>
    </row>
    <row r="12342" spans="5:6" ht="15" customHeight="1" x14ac:dyDescent="0.2">
      <c r="E12342" s="18"/>
      <c r="F12342" s="18"/>
    </row>
    <row r="12343" spans="5:6" ht="15" customHeight="1" x14ac:dyDescent="0.2">
      <c r="E12343" s="18"/>
      <c r="F12343" s="18"/>
    </row>
    <row r="12344" spans="5:6" ht="15" customHeight="1" x14ac:dyDescent="0.2">
      <c r="E12344" s="18"/>
      <c r="F12344" s="18"/>
    </row>
    <row r="12345" spans="5:6" ht="15" customHeight="1" x14ac:dyDescent="0.2">
      <c r="E12345" s="18"/>
      <c r="F12345" s="18"/>
    </row>
    <row r="12346" spans="5:6" ht="15" customHeight="1" x14ac:dyDescent="0.2">
      <c r="E12346" s="18"/>
      <c r="F12346" s="18"/>
    </row>
    <row r="12347" spans="5:6" ht="15" customHeight="1" x14ac:dyDescent="0.2">
      <c r="E12347" s="18"/>
      <c r="F12347" s="18"/>
    </row>
    <row r="12348" spans="5:6" ht="15" customHeight="1" x14ac:dyDescent="0.2">
      <c r="E12348" s="18"/>
      <c r="F12348" s="18"/>
    </row>
    <row r="12349" spans="5:6" ht="15" customHeight="1" x14ac:dyDescent="0.2">
      <c r="E12349" s="18"/>
      <c r="F12349" s="18"/>
    </row>
    <row r="12350" spans="5:6" ht="15" customHeight="1" x14ac:dyDescent="0.2">
      <c r="E12350" s="18"/>
      <c r="F12350" s="18"/>
    </row>
    <row r="12351" spans="5:6" ht="15" customHeight="1" x14ac:dyDescent="0.2">
      <c r="E12351" s="18"/>
      <c r="F12351" s="18"/>
    </row>
    <row r="12352" spans="5:6" ht="15" customHeight="1" x14ac:dyDescent="0.2">
      <c r="E12352" s="18"/>
      <c r="F12352" s="18"/>
    </row>
    <row r="12353" spans="5:6" ht="15" customHeight="1" x14ac:dyDescent="0.2">
      <c r="E12353" s="18"/>
      <c r="F12353" s="18"/>
    </row>
    <row r="12354" spans="5:6" ht="15" customHeight="1" x14ac:dyDescent="0.2">
      <c r="E12354" s="18"/>
      <c r="F12354" s="18"/>
    </row>
    <row r="12355" spans="5:6" ht="15" customHeight="1" x14ac:dyDescent="0.2">
      <c r="E12355" s="18"/>
      <c r="F12355" s="18"/>
    </row>
    <row r="12356" spans="5:6" ht="15" customHeight="1" x14ac:dyDescent="0.2">
      <c r="E12356" s="18"/>
      <c r="F12356" s="18"/>
    </row>
    <row r="12357" spans="5:6" ht="15" customHeight="1" x14ac:dyDescent="0.2">
      <c r="E12357" s="18"/>
      <c r="F12357" s="18"/>
    </row>
    <row r="12358" spans="5:6" ht="15" customHeight="1" x14ac:dyDescent="0.2">
      <c r="E12358" s="18"/>
      <c r="F12358" s="18"/>
    </row>
    <row r="12359" spans="5:6" ht="15" customHeight="1" x14ac:dyDescent="0.2">
      <c r="E12359" s="18"/>
      <c r="F12359" s="18"/>
    </row>
    <row r="12360" spans="5:6" ht="15" customHeight="1" x14ac:dyDescent="0.2">
      <c r="E12360" s="18"/>
      <c r="F12360" s="18"/>
    </row>
    <row r="12361" spans="5:6" ht="15" customHeight="1" x14ac:dyDescent="0.2">
      <c r="E12361" s="18"/>
      <c r="F12361" s="18"/>
    </row>
    <row r="12362" spans="5:6" ht="15" customHeight="1" x14ac:dyDescent="0.2">
      <c r="E12362" s="18"/>
      <c r="F12362" s="18"/>
    </row>
    <row r="12363" spans="5:6" ht="15" customHeight="1" x14ac:dyDescent="0.2">
      <c r="E12363" s="18"/>
      <c r="F12363" s="18"/>
    </row>
    <row r="12364" spans="5:6" ht="15" customHeight="1" x14ac:dyDescent="0.2">
      <c r="E12364" s="18"/>
      <c r="F12364" s="18"/>
    </row>
    <row r="12365" spans="5:6" ht="15" customHeight="1" x14ac:dyDescent="0.2">
      <c r="E12365" s="18"/>
      <c r="F12365" s="18"/>
    </row>
    <row r="12366" spans="5:6" ht="15" customHeight="1" x14ac:dyDescent="0.2">
      <c r="E12366" s="18"/>
      <c r="F12366" s="18"/>
    </row>
    <row r="12367" spans="5:6" ht="15" customHeight="1" x14ac:dyDescent="0.2">
      <c r="E12367" s="18"/>
      <c r="F12367" s="18"/>
    </row>
    <row r="12368" spans="5:6" ht="15" customHeight="1" x14ac:dyDescent="0.2">
      <c r="E12368" s="18"/>
      <c r="F12368" s="18"/>
    </row>
    <row r="12369" spans="5:6" ht="15" customHeight="1" x14ac:dyDescent="0.2">
      <c r="E12369" s="18"/>
      <c r="F12369" s="18"/>
    </row>
    <row r="12370" spans="5:6" ht="15" customHeight="1" x14ac:dyDescent="0.2">
      <c r="E12370" s="18"/>
      <c r="F12370" s="18"/>
    </row>
    <row r="12371" spans="5:6" ht="15" customHeight="1" x14ac:dyDescent="0.2">
      <c r="E12371" s="18"/>
      <c r="F12371" s="18"/>
    </row>
    <row r="12372" spans="5:6" ht="15" customHeight="1" x14ac:dyDescent="0.2">
      <c r="E12372" s="18"/>
      <c r="F12372" s="18"/>
    </row>
    <row r="12373" spans="5:6" ht="15" customHeight="1" x14ac:dyDescent="0.2">
      <c r="E12373" s="18"/>
      <c r="F12373" s="18"/>
    </row>
    <row r="12374" spans="5:6" ht="15" customHeight="1" x14ac:dyDescent="0.2">
      <c r="E12374" s="18"/>
      <c r="F12374" s="18"/>
    </row>
    <row r="12375" spans="5:6" ht="15" customHeight="1" x14ac:dyDescent="0.2">
      <c r="E12375" s="18"/>
      <c r="F12375" s="18"/>
    </row>
    <row r="12376" spans="5:6" ht="15" customHeight="1" x14ac:dyDescent="0.2">
      <c r="E12376" s="18"/>
      <c r="F12376" s="18"/>
    </row>
    <row r="12377" spans="5:6" ht="15" customHeight="1" x14ac:dyDescent="0.2">
      <c r="E12377" s="18"/>
      <c r="F12377" s="18"/>
    </row>
    <row r="12378" spans="5:6" ht="15" customHeight="1" x14ac:dyDescent="0.2">
      <c r="E12378" s="18"/>
      <c r="F12378" s="18"/>
    </row>
    <row r="12379" spans="5:6" ht="15" customHeight="1" x14ac:dyDescent="0.2">
      <c r="E12379" s="18"/>
      <c r="F12379" s="18"/>
    </row>
    <row r="12380" spans="5:6" ht="15" customHeight="1" x14ac:dyDescent="0.2">
      <c r="E12380" s="18"/>
      <c r="F12380" s="18"/>
    </row>
    <row r="12381" spans="5:6" ht="15" customHeight="1" x14ac:dyDescent="0.2">
      <c r="E12381" s="18"/>
      <c r="F12381" s="18"/>
    </row>
    <row r="12382" spans="5:6" ht="15" customHeight="1" x14ac:dyDescent="0.2">
      <c r="E12382" s="18"/>
      <c r="F12382" s="18"/>
    </row>
    <row r="12383" spans="5:6" ht="15" customHeight="1" x14ac:dyDescent="0.2">
      <c r="E12383" s="18"/>
      <c r="F12383" s="18"/>
    </row>
    <row r="12384" spans="5:6" ht="15" customHeight="1" x14ac:dyDescent="0.2">
      <c r="E12384" s="18"/>
      <c r="F12384" s="18"/>
    </row>
    <row r="12385" spans="5:6" ht="15" customHeight="1" x14ac:dyDescent="0.2">
      <c r="E12385" s="18"/>
      <c r="F12385" s="18"/>
    </row>
    <row r="12386" spans="5:6" ht="15" customHeight="1" x14ac:dyDescent="0.2">
      <c r="E12386" s="18"/>
      <c r="F12386" s="18"/>
    </row>
    <row r="12387" spans="5:6" ht="15" customHeight="1" x14ac:dyDescent="0.2">
      <c r="E12387" s="18"/>
      <c r="F12387" s="18"/>
    </row>
    <row r="12388" spans="5:6" ht="15" customHeight="1" x14ac:dyDescent="0.2">
      <c r="E12388" s="18"/>
      <c r="F12388" s="18"/>
    </row>
    <row r="12389" spans="5:6" ht="15" customHeight="1" x14ac:dyDescent="0.2">
      <c r="E12389" s="18"/>
      <c r="F12389" s="18"/>
    </row>
    <row r="12390" spans="5:6" ht="15" customHeight="1" x14ac:dyDescent="0.2">
      <c r="E12390" s="18"/>
      <c r="F12390" s="18"/>
    </row>
    <row r="12391" spans="5:6" ht="15" customHeight="1" x14ac:dyDescent="0.2">
      <c r="E12391" s="18"/>
      <c r="F12391" s="18"/>
    </row>
    <row r="12392" spans="5:6" ht="15" customHeight="1" x14ac:dyDescent="0.2">
      <c r="E12392" s="18"/>
      <c r="F12392" s="18"/>
    </row>
    <row r="12393" spans="5:6" ht="15" customHeight="1" x14ac:dyDescent="0.2">
      <c r="E12393" s="18"/>
      <c r="F12393" s="18"/>
    </row>
    <row r="12394" spans="5:6" ht="15" customHeight="1" x14ac:dyDescent="0.2">
      <c r="E12394" s="18"/>
      <c r="F12394" s="18"/>
    </row>
    <row r="12395" spans="5:6" ht="15" customHeight="1" x14ac:dyDescent="0.2">
      <c r="E12395" s="18"/>
      <c r="F12395" s="18"/>
    </row>
    <row r="12396" spans="5:6" ht="15" customHeight="1" x14ac:dyDescent="0.2">
      <c r="E12396" s="18"/>
      <c r="F12396" s="18"/>
    </row>
    <row r="12397" spans="5:6" ht="15" customHeight="1" x14ac:dyDescent="0.2">
      <c r="E12397" s="18"/>
      <c r="F12397" s="18"/>
    </row>
    <row r="12398" spans="5:6" ht="15" customHeight="1" x14ac:dyDescent="0.2">
      <c r="E12398" s="18"/>
      <c r="F12398" s="18"/>
    </row>
    <row r="12399" spans="5:6" ht="15" customHeight="1" x14ac:dyDescent="0.2">
      <c r="E12399" s="18"/>
      <c r="F12399" s="18"/>
    </row>
    <row r="12400" spans="5:6" ht="15" customHeight="1" x14ac:dyDescent="0.2">
      <c r="E12400" s="18"/>
      <c r="F12400" s="18"/>
    </row>
    <row r="12401" spans="5:6" ht="15" customHeight="1" x14ac:dyDescent="0.2">
      <c r="E12401" s="18"/>
      <c r="F12401" s="18"/>
    </row>
    <row r="12402" spans="5:6" ht="15" customHeight="1" x14ac:dyDescent="0.2">
      <c r="E12402" s="18"/>
      <c r="F12402" s="18"/>
    </row>
    <row r="12403" spans="5:6" ht="15" customHeight="1" x14ac:dyDescent="0.2">
      <c r="E12403" s="18"/>
      <c r="F12403" s="18"/>
    </row>
    <row r="12404" spans="5:6" ht="15" customHeight="1" x14ac:dyDescent="0.2">
      <c r="E12404" s="18"/>
      <c r="F12404" s="18"/>
    </row>
    <row r="12405" spans="5:6" ht="15" customHeight="1" x14ac:dyDescent="0.2">
      <c r="E12405" s="18"/>
      <c r="F12405" s="18"/>
    </row>
    <row r="12406" spans="5:6" ht="15" customHeight="1" x14ac:dyDescent="0.2">
      <c r="E12406" s="18"/>
      <c r="F12406" s="18"/>
    </row>
    <row r="12407" spans="5:6" ht="15" customHeight="1" x14ac:dyDescent="0.2">
      <c r="E12407" s="18"/>
      <c r="F12407" s="18"/>
    </row>
    <row r="12408" spans="5:6" ht="15" customHeight="1" x14ac:dyDescent="0.2">
      <c r="E12408" s="18"/>
      <c r="F12408" s="18"/>
    </row>
    <row r="12409" spans="5:6" ht="15" customHeight="1" x14ac:dyDescent="0.2">
      <c r="E12409" s="18"/>
      <c r="F12409" s="18"/>
    </row>
    <row r="12410" spans="5:6" ht="15" customHeight="1" x14ac:dyDescent="0.2">
      <c r="E12410" s="18"/>
      <c r="F12410" s="18"/>
    </row>
    <row r="12411" spans="5:6" ht="15" customHeight="1" x14ac:dyDescent="0.2">
      <c r="E12411" s="18"/>
      <c r="F12411" s="18"/>
    </row>
    <row r="12412" spans="5:6" ht="15" customHeight="1" x14ac:dyDescent="0.2">
      <c r="E12412" s="18"/>
      <c r="F12412" s="18"/>
    </row>
    <row r="12413" spans="5:6" ht="15" customHeight="1" x14ac:dyDescent="0.2">
      <c r="E12413" s="18"/>
      <c r="F12413" s="18"/>
    </row>
    <row r="12414" spans="5:6" ht="15" customHeight="1" x14ac:dyDescent="0.2">
      <c r="E12414" s="18"/>
      <c r="F12414" s="18"/>
    </row>
    <row r="12415" spans="5:6" ht="15" customHeight="1" x14ac:dyDescent="0.2">
      <c r="E12415" s="18"/>
      <c r="F12415" s="18"/>
    </row>
    <row r="12416" spans="5:6" ht="15" customHeight="1" x14ac:dyDescent="0.2">
      <c r="E12416" s="18"/>
      <c r="F12416" s="18"/>
    </row>
    <row r="12417" spans="5:6" ht="15" customHeight="1" x14ac:dyDescent="0.2">
      <c r="E12417" s="18"/>
      <c r="F12417" s="18"/>
    </row>
    <row r="12418" spans="5:6" ht="15" customHeight="1" x14ac:dyDescent="0.2">
      <c r="E12418" s="18"/>
      <c r="F12418" s="18"/>
    </row>
    <row r="12419" spans="5:6" ht="15" customHeight="1" x14ac:dyDescent="0.2">
      <c r="E12419" s="18"/>
      <c r="F12419" s="18"/>
    </row>
    <row r="12420" spans="5:6" ht="15" customHeight="1" x14ac:dyDescent="0.2">
      <c r="E12420" s="18"/>
      <c r="F12420" s="18"/>
    </row>
    <row r="12421" spans="5:6" ht="15" customHeight="1" x14ac:dyDescent="0.2">
      <c r="E12421" s="18"/>
      <c r="F12421" s="18"/>
    </row>
    <row r="12422" spans="5:6" ht="15" customHeight="1" x14ac:dyDescent="0.2">
      <c r="E12422" s="18"/>
      <c r="F12422" s="18"/>
    </row>
    <row r="12423" spans="5:6" ht="15" customHeight="1" x14ac:dyDescent="0.2">
      <c r="E12423" s="18"/>
      <c r="F12423" s="18"/>
    </row>
    <row r="12424" spans="5:6" ht="15" customHeight="1" x14ac:dyDescent="0.2">
      <c r="E12424" s="18"/>
      <c r="F12424" s="18"/>
    </row>
    <row r="12425" spans="5:6" ht="15" customHeight="1" x14ac:dyDescent="0.2">
      <c r="E12425" s="18"/>
      <c r="F12425" s="18"/>
    </row>
    <row r="12426" spans="5:6" ht="15" customHeight="1" x14ac:dyDescent="0.2">
      <c r="E12426" s="18"/>
      <c r="F12426" s="18"/>
    </row>
    <row r="12427" spans="5:6" ht="15" customHeight="1" x14ac:dyDescent="0.2">
      <c r="E12427" s="18"/>
      <c r="F12427" s="18"/>
    </row>
    <row r="12428" spans="5:6" ht="15" customHeight="1" x14ac:dyDescent="0.2">
      <c r="E12428" s="18"/>
      <c r="F12428" s="18"/>
    </row>
    <row r="12429" spans="5:6" ht="15" customHeight="1" x14ac:dyDescent="0.2">
      <c r="E12429" s="18"/>
      <c r="F12429" s="18"/>
    </row>
    <row r="12430" spans="5:6" ht="15" customHeight="1" x14ac:dyDescent="0.2">
      <c r="E12430" s="18"/>
      <c r="F12430" s="18"/>
    </row>
    <row r="12431" spans="5:6" ht="15" customHeight="1" x14ac:dyDescent="0.2">
      <c r="E12431" s="18"/>
      <c r="F12431" s="18"/>
    </row>
    <row r="12432" spans="5:6" ht="15" customHeight="1" x14ac:dyDescent="0.2">
      <c r="E12432" s="18"/>
      <c r="F12432" s="18"/>
    </row>
    <row r="12433" spans="5:6" ht="15" customHeight="1" x14ac:dyDescent="0.2">
      <c r="E12433" s="18"/>
      <c r="F12433" s="18"/>
    </row>
    <row r="12434" spans="5:6" ht="15" customHeight="1" x14ac:dyDescent="0.2">
      <c r="E12434" s="18"/>
      <c r="F12434" s="18"/>
    </row>
    <row r="12435" spans="5:6" ht="15" customHeight="1" x14ac:dyDescent="0.2">
      <c r="E12435" s="18"/>
      <c r="F12435" s="18"/>
    </row>
    <row r="12436" spans="5:6" ht="15" customHeight="1" x14ac:dyDescent="0.2">
      <c r="E12436" s="18"/>
      <c r="F12436" s="18"/>
    </row>
    <row r="12437" spans="5:6" ht="15" customHeight="1" x14ac:dyDescent="0.2">
      <c r="E12437" s="18"/>
      <c r="F12437" s="18"/>
    </row>
    <row r="12438" spans="5:6" ht="15" customHeight="1" x14ac:dyDescent="0.2">
      <c r="E12438" s="18"/>
      <c r="F12438" s="18"/>
    </row>
    <row r="12439" spans="5:6" ht="15" customHeight="1" x14ac:dyDescent="0.2">
      <c r="E12439" s="18"/>
      <c r="F12439" s="18"/>
    </row>
    <row r="12440" spans="5:6" ht="15" customHeight="1" x14ac:dyDescent="0.2">
      <c r="E12440" s="18"/>
      <c r="F12440" s="18"/>
    </row>
    <row r="12441" spans="5:6" ht="15" customHeight="1" x14ac:dyDescent="0.2">
      <c r="E12441" s="18"/>
      <c r="F12441" s="18"/>
    </row>
    <row r="12442" spans="5:6" ht="15" customHeight="1" x14ac:dyDescent="0.2">
      <c r="E12442" s="18"/>
      <c r="F12442" s="18"/>
    </row>
    <row r="12443" spans="5:6" ht="15" customHeight="1" x14ac:dyDescent="0.2">
      <c r="E12443" s="18"/>
      <c r="F12443" s="18"/>
    </row>
    <row r="12444" spans="5:6" ht="15" customHeight="1" x14ac:dyDescent="0.2">
      <c r="E12444" s="18"/>
      <c r="F12444" s="18"/>
    </row>
    <row r="12445" spans="5:6" ht="15" customHeight="1" x14ac:dyDescent="0.2">
      <c r="E12445" s="18"/>
      <c r="F12445" s="18"/>
    </row>
    <row r="12446" spans="5:6" ht="15" customHeight="1" x14ac:dyDescent="0.2">
      <c r="E12446" s="18"/>
      <c r="F12446" s="18"/>
    </row>
    <row r="12447" spans="5:6" ht="15" customHeight="1" x14ac:dyDescent="0.2">
      <c r="E12447" s="18"/>
      <c r="F12447" s="18"/>
    </row>
    <row r="12448" spans="5:6" ht="15" customHeight="1" x14ac:dyDescent="0.2">
      <c r="E12448" s="18"/>
      <c r="F12448" s="18"/>
    </row>
    <row r="12449" spans="5:6" ht="15" customHeight="1" x14ac:dyDescent="0.2">
      <c r="E12449" s="18"/>
      <c r="F12449" s="18"/>
    </row>
    <row r="12450" spans="5:6" ht="15" customHeight="1" x14ac:dyDescent="0.2">
      <c r="E12450" s="18"/>
      <c r="F12450" s="18"/>
    </row>
    <row r="12451" spans="5:6" ht="15" customHeight="1" x14ac:dyDescent="0.2">
      <c r="E12451" s="18"/>
      <c r="F12451" s="18"/>
    </row>
    <row r="12452" spans="5:6" ht="15" customHeight="1" x14ac:dyDescent="0.2">
      <c r="E12452" s="18"/>
      <c r="F12452" s="18"/>
    </row>
    <row r="12453" spans="5:6" ht="15" customHeight="1" x14ac:dyDescent="0.2">
      <c r="E12453" s="18"/>
      <c r="F12453" s="18"/>
    </row>
    <row r="12454" spans="5:6" ht="15" customHeight="1" x14ac:dyDescent="0.2">
      <c r="E12454" s="18"/>
      <c r="F12454" s="18"/>
    </row>
    <row r="12455" spans="5:6" ht="15" customHeight="1" x14ac:dyDescent="0.2">
      <c r="E12455" s="18"/>
      <c r="F12455" s="18"/>
    </row>
    <row r="12456" spans="5:6" ht="15" customHeight="1" x14ac:dyDescent="0.2">
      <c r="E12456" s="18"/>
      <c r="F12456" s="18"/>
    </row>
    <row r="12457" spans="5:6" ht="15" customHeight="1" x14ac:dyDescent="0.2">
      <c r="E12457" s="18"/>
      <c r="F12457" s="18"/>
    </row>
    <row r="12458" spans="5:6" ht="15" customHeight="1" x14ac:dyDescent="0.2">
      <c r="E12458" s="18"/>
      <c r="F12458" s="18"/>
    </row>
    <row r="12459" spans="5:6" ht="15" customHeight="1" x14ac:dyDescent="0.2">
      <c r="E12459" s="18"/>
      <c r="F12459" s="18"/>
    </row>
    <row r="12460" spans="5:6" ht="15" customHeight="1" x14ac:dyDescent="0.2">
      <c r="E12460" s="18"/>
      <c r="F12460" s="18"/>
    </row>
    <row r="12461" spans="5:6" ht="15" customHeight="1" x14ac:dyDescent="0.2">
      <c r="E12461" s="18"/>
      <c r="F12461" s="18"/>
    </row>
    <row r="12462" spans="5:6" ht="15" customHeight="1" x14ac:dyDescent="0.2">
      <c r="E12462" s="18"/>
      <c r="F12462" s="18"/>
    </row>
    <row r="12463" spans="5:6" ht="15" customHeight="1" x14ac:dyDescent="0.2">
      <c r="E12463" s="18"/>
      <c r="F12463" s="18"/>
    </row>
    <row r="12464" spans="5:6" ht="15" customHeight="1" x14ac:dyDescent="0.2">
      <c r="E12464" s="18"/>
      <c r="F12464" s="18"/>
    </row>
    <row r="12465" spans="5:6" ht="15" customHeight="1" x14ac:dyDescent="0.2">
      <c r="E12465" s="18"/>
      <c r="F12465" s="18"/>
    </row>
    <row r="12466" spans="5:6" ht="15" customHeight="1" x14ac:dyDescent="0.2">
      <c r="E12466" s="18"/>
      <c r="F12466" s="18"/>
    </row>
    <row r="12467" spans="5:6" ht="15" customHeight="1" x14ac:dyDescent="0.2">
      <c r="E12467" s="18"/>
      <c r="F12467" s="18"/>
    </row>
    <row r="12468" spans="5:6" ht="15" customHeight="1" x14ac:dyDescent="0.2">
      <c r="E12468" s="18"/>
      <c r="F12468" s="18"/>
    </row>
    <row r="12469" spans="5:6" ht="15" customHeight="1" x14ac:dyDescent="0.2">
      <c r="E12469" s="18"/>
      <c r="F12469" s="18"/>
    </row>
    <row r="12470" spans="5:6" ht="15" customHeight="1" x14ac:dyDescent="0.2">
      <c r="E12470" s="18"/>
      <c r="F12470" s="18"/>
    </row>
    <row r="12471" spans="5:6" ht="15" customHeight="1" x14ac:dyDescent="0.2">
      <c r="E12471" s="18"/>
      <c r="F12471" s="18"/>
    </row>
    <row r="12472" spans="5:6" ht="15" customHeight="1" x14ac:dyDescent="0.2">
      <c r="E12472" s="18"/>
      <c r="F12472" s="18"/>
    </row>
    <row r="12473" spans="5:6" ht="15" customHeight="1" x14ac:dyDescent="0.2">
      <c r="E12473" s="18"/>
      <c r="F12473" s="18"/>
    </row>
    <row r="12474" spans="5:6" ht="15" customHeight="1" x14ac:dyDescent="0.2">
      <c r="E12474" s="18"/>
      <c r="F12474" s="18"/>
    </row>
    <row r="12475" spans="5:6" ht="15" customHeight="1" x14ac:dyDescent="0.2">
      <c r="E12475" s="18"/>
      <c r="F12475" s="18"/>
    </row>
    <row r="12476" spans="5:6" ht="15" customHeight="1" x14ac:dyDescent="0.2">
      <c r="E12476" s="18"/>
      <c r="F12476" s="18"/>
    </row>
    <row r="12477" spans="5:6" ht="15" customHeight="1" x14ac:dyDescent="0.2">
      <c r="E12477" s="18"/>
      <c r="F12477" s="18"/>
    </row>
    <row r="12478" spans="5:6" ht="15" customHeight="1" x14ac:dyDescent="0.2">
      <c r="E12478" s="18"/>
      <c r="F12478" s="18"/>
    </row>
    <row r="12479" spans="5:6" ht="15" customHeight="1" x14ac:dyDescent="0.2">
      <c r="E12479" s="18"/>
      <c r="F12479" s="18"/>
    </row>
    <row r="12480" spans="5:6" ht="15" customHeight="1" x14ac:dyDescent="0.2">
      <c r="E12480" s="18"/>
      <c r="F12480" s="18"/>
    </row>
    <row r="12481" spans="5:6" ht="15" customHeight="1" x14ac:dyDescent="0.2">
      <c r="E12481" s="18"/>
      <c r="F12481" s="18"/>
    </row>
    <row r="12482" spans="5:6" ht="15" customHeight="1" x14ac:dyDescent="0.2">
      <c r="E12482" s="18"/>
      <c r="F12482" s="18"/>
    </row>
    <row r="12483" spans="5:6" ht="15" customHeight="1" x14ac:dyDescent="0.2">
      <c r="E12483" s="18"/>
      <c r="F12483" s="18"/>
    </row>
    <row r="12484" spans="5:6" ht="15" customHeight="1" x14ac:dyDescent="0.2">
      <c r="E12484" s="18"/>
      <c r="F12484" s="18"/>
    </row>
    <row r="12485" spans="5:6" ht="15" customHeight="1" x14ac:dyDescent="0.2">
      <c r="E12485" s="18"/>
      <c r="F12485" s="18"/>
    </row>
    <row r="12486" spans="5:6" ht="15" customHeight="1" x14ac:dyDescent="0.2">
      <c r="E12486" s="18"/>
      <c r="F12486" s="18"/>
    </row>
    <row r="12487" spans="5:6" ht="15" customHeight="1" x14ac:dyDescent="0.2">
      <c r="E12487" s="18"/>
      <c r="F12487" s="18"/>
    </row>
    <row r="12488" spans="5:6" ht="15" customHeight="1" x14ac:dyDescent="0.2">
      <c r="E12488" s="18"/>
      <c r="F12488" s="18"/>
    </row>
    <row r="12489" spans="5:6" ht="15" customHeight="1" x14ac:dyDescent="0.2">
      <c r="E12489" s="18"/>
      <c r="F12489" s="18"/>
    </row>
    <row r="12490" spans="5:6" ht="15" customHeight="1" x14ac:dyDescent="0.2">
      <c r="E12490" s="18"/>
      <c r="F12490" s="18"/>
    </row>
    <row r="12491" spans="5:6" ht="15" customHeight="1" x14ac:dyDescent="0.2">
      <c r="E12491" s="18"/>
      <c r="F12491" s="18"/>
    </row>
    <row r="12492" spans="5:6" ht="15" customHeight="1" x14ac:dyDescent="0.2">
      <c r="E12492" s="18"/>
      <c r="F12492" s="18"/>
    </row>
    <row r="12493" spans="5:6" ht="15" customHeight="1" x14ac:dyDescent="0.2">
      <c r="E12493" s="18"/>
      <c r="F12493" s="18"/>
    </row>
    <row r="12494" spans="5:6" ht="15" customHeight="1" x14ac:dyDescent="0.2">
      <c r="E12494" s="18"/>
      <c r="F12494" s="18"/>
    </row>
    <row r="12495" spans="5:6" ht="15" customHeight="1" x14ac:dyDescent="0.2">
      <c r="E12495" s="18"/>
      <c r="F12495" s="18"/>
    </row>
    <row r="12496" spans="5:6" ht="15" customHeight="1" x14ac:dyDescent="0.2">
      <c r="E12496" s="18"/>
      <c r="F12496" s="18"/>
    </row>
    <row r="12497" spans="5:6" ht="15" customHeight="1" x14ac:dyDescent="0.2">
      <c r="E12497" s="18"/>
      <c r="F12497" s="18"/>
    </row>
    <row r="12498" spans="5:6" ht="15" customHeight="1" x14ac:dyDescent="0.2">
      <c r="E12498" s="18"/>
      <c r="F12498" s="18"/>
    </row>
    <row r="12499" spans="5:6" ht="15" customHeight="1" x14ac:dyDescent="0.2">
      <c r="E12499" s="18"/>
      <c r="F12499" s="18"/>
    </row>
    <row r="12500" spans="5:6" ht="15" customHeight="1" x14ac:dyDescent="0.2">
      <c r="E12500" s="18"/>
      <c r="F12500" s="18"/>
    </row>
    <row r="12501" spans="5:6" ht="15" customHeight="1" x14ac:dyDescent="0.2">
      <c r="E12501" s="18"/>
      <c r="F12501" s="18"/>
    </row>
    <row r="12502" spans="5:6" ht="15" customHeight="1" x14ac:dyDescent="0.2">
      <c r="E12502" s="18"/>
      <c r="F12502" s="18"/>
    </row>
    <row r="12503" spans="5:6" ht="15" customHeight="1" x14ac:dyDescent="0.2">
      <c r="E12503" s="18"/>
      <c r="F12503" s="18"/>
    </row>
    <row r="12504" spans="5:6" ht="15" customHeight="1" x14ac:dyDescent="0.2">
      <c r="E12504" s="18"/>
      <c r="F12504" s="18"/>
    </row>
    <row r="12505" spans="5:6" ht="15" customHeight="1" x14ac:dyDescent="0.2">
      <c r="E12505" s="18"/>
      <c r="F12505" s="18"/>
    </row>
    <row r="12506" spans="5:6" ht="15" customHeight="1" x14ac:dyDescent="0.2">
      <c r="E12506" s="18"/>
      <c r="F12506" s="18"/>
    </row>
    <row r="12507" spans="5:6" ht="15" customHeight="1" x14ac:dyDescent="0.2">
      <c r="E12507" s="18"/>
      <c r="F12507" s="18"/>
    </row>
    <row r="12508" spans="5:6" ht="15" customHeight="1" x14ac:dyDescent="0.2">
      <c r="E12508" s="18"/>
      <c r="F12508" s="18"/>
    </row>
    <row r="12509" spans="5:6" ht="15" customHeight="1" x14ac:dyDescent="0.2">
      <c r="E12509" s="18"/>
      <c r="F12509" s="18"/>
    </row>
    <row r="12510" spans="5:6" ht="15" customHeight="1" x14ac:dyDescent="0.2">
      <c r="E12510" s="18"/>
      <c r="F12510" s="18"/>
    </row>
    <row r="12511" spans="5:6" ht="15" customHeight="1" x14ac:dyDescent="0.2">
      <c r="E12511" s="18"/>
      <c r="F12511" s="18"/>
    </row>
    <row r="12512" spans="5:6" ht="15" customHeight="1" x14ac:dyDescent="0.2">
      <c r="E12512" s="18"/>
      <c r="F12512" s="18"/>
    </row>
    <row r="12513" spans="5:6" ht="15" customHeight="1" x14ac:dyDescent="0.2">
      <c r="E12513" s="18"/>
      <c r="F12513" s="18"/>
    </row>
    <row r="12514" spans="5:6" ht="15" customHeight="1" x14ac:dyDescent="0.2">
      <c r="E12514" s="18"/>
      <c r="F12514" s="18"/>
    </row>
    <row r="12515" spans="5:6" ht="15" customHeight="1" x14ac:dyDescent="0.2">
      <c r="E12515" s="18"/>
      <c r="F12515" s="18"/>
    </row>
    <row r="12516" spans="5:6" ht="15" customHeight="1" x14ac:dyDescent="0.2">
      <c r="E12516" s="18"/>
      <c r="F12516" s="18"/>
    </row>
    <row r="12517" spans="5:6" ht="15" customHeight="1" x14ac:dyDescent="0.2">
      <c r="E12517" s="18"/>
      <c r="F12517" s="18"/>
    </row>
    <row r="12518" spans="5:6" ht="15" customHeight="1" x14ac:dyDescent="0.2">
      <c r="E12518" s="18"/>
      <c r="F12518" s="18"/>
    </row>
    <row r="12519" spans="5:6" ht="15" customHeight="1" x14ac:dyDescent="0.2">
      <c r="E12519" s="18"/>
      <c r="F12519" s="18"/>
    </row>
    <row r="12520" spans="5:6" ht="15" customHeight="1" x14ac:dyDescent="0.2">
      <c r="E12520" s="18"/>
      <c r="F12520" s="18"/>
    </row>
    <row r="12521" spans="5:6" ht="15" customHeight="1" x14ac:dyDescent="0.2">
      <c r="E12521" s="18"/>
      <c r="F12521" s="18"/>
    </row>
    <row r="12522" spans="5:6" ht="15" customHeight="1" x14ac:dyDescent="0.2">
      <c r="E12522" s="18"/>
      <c r="F12522" s="18"/>
    </row>
    <row r="12523" spans="5:6" ht="15" customHeight="1" x14ac:dyDescent="0.2">
      <c r="E12523" s="18"/>
      <c r="F12523" s="18"/>
    </row>
    <row r="12524" spans="5:6" ht="15" customHeight="1" x14ac:dyDescent="0.2">
      <c r="E12524" s="18"/>
      <c r="F12524" s="18"/>
    </row>
    <row r="12525" spans="5:6" ht="15" customHeight="1" x14ac:dyDescent="0.2">
      <c r="E12525" s="18"/>
      <c r="F12525" s="18"/>
    </row>
    <row r="12526" spans="5:6" ht="15" customHeight="1" x14ac:dyDescent="0.2">
      <c r="E12526" s="18"/>
      <c r="F12526" s="18"/>
    </row>
    <row r="12527" spans="5:6" ht="15" customHeight="1" x14ac:dyDescent="0.2">
      <c r="E12527" s="18"/>
      <c r="F12527" s="18"/>
    </row>
    <row r="12528" spans="5:6" ht="15" customHeight="1" x14ac:dyDescent="0.2">
      <c r="E12528" s="18"/>
      <c r="F12528" s="18"/>
    </row>
    <row r="12529" spans="5:6" ht="15" customHeight="1" x14ac:dyDescent="0.2">
      <c r="E12529" s="18"/>
      <c r="F12529" s="18"/>
    </row>
    <row r="12530" spans="5:6" ht="15" customHeight="1" x14ac:dyDescent="0.2">
      <c r="E12530" s="18"/>
      <c r="F12530" s="18"/>
    </row>
    <row r="12531" spans="5:6" ht="15" customHeight="1" x14ac:dyDescent="0.2">
      <c r="E12531" s="18"/>
      <c r="F12531" s="18"/>
    </row>
    <row r="12532" spans="5:6" ht="15" customHeight="1" x14ac:dyDescent="0.2">
      <c r="E12532" s="18"/>
      <c r="F12532" s="18"/>
    </row>
    <row r="12533" spans="5:6" ht="15" customHeight="1" x14ac:dyDescent="0.2">
      <c r="E12533" s="18"/>
      <c r="F12533" s="18"/>
    </row>
    <row r="12534" spans="5:6" ht="15" customHeight="1" x14ac:dyDescent="0.2">
      <c r="E12534" s="18"/>
      <c r="F12534" s="18"/>
    </row>
    <row r="12535" spans="5:6" ht="15" customHeight="1" x14ac:dyDescent="0.2">
      <c r="E12535" s="18"/>
      <c r="F12535" s="18"/>
    </row>
    <row r="12536" spans="5:6" ht="15" customHeight="1" x14ac:dyDescent="0.2">
      <c r="E12536" s="18"/>
      <c r="F12536" s="18"/>
    </row>
    <row r="12537" spans="5:6" ht="15" customHeight="1" x14ac:dyDescent="0.2">
      <c r="E12537" s="18"/>
      <c r="F12537" s="18"/>
    </row>
    <row r="12538" spans="5:6" ht="15" customHeight="1" x14ac:dyDescent="0.2">
      <c r="E12538" s="18"/>
      <c r="F12538" s="18"/>
    </row>
    <row r="12539" spans="5:6" ht="15" customHeight="1" x14ac:dyDescent="0.2">
      <c r="E12539" s="18"/>
      <c r="F12539" s="18"/>
    </row>
    <row r="12540" spans="5:6" ht="15" customHeight="1" x14ac:dyDescent="0.2">
      <c r="E12540" s="18"/>
      <c r="F12540" s="18"/>
    </row>
    <row r="12541" spans="5:6" ht="15" customHeight="1" x14ac:dyDescent="0.2">
      <c r="E12541" s="18"/>
      <c r="F12541" s="18"/>
    </row>
    <row r="12542" spans="5:6" ht="15" customHeight="1" x14ac:dyDescent="0.2">
      <c r="E12542" s="18"/>
      <c r="F12542" s="18"/>
    </row>
    <row r="12543" spans="5:6" ht="15" customHeight="1" x14ac:dyDescent="0.2">
      <c r="E12543" s="18"/>
      <c r="F12543" s="18"/>
    </row>
    <row r="12544" spans="5:6" ht="15" customHeight="1" x14ac:dyDescent="0.2">
      <c r="E12544" s="18"/>
      <c r="F12544" s="18"/>
    </row>
    <row r="12545" spans="5:6" ht="15" customHeight="1" x14ac:dyDescent="0.2">
      <c r="E12545" s="18"/>
      <c r="F12545" s="18"/>
    </row>
    <row r="12546" spans="5:6" ht="15" customHeight="1" x14ac:dyDescent="0.2">
      <c r="E12546" s="18"/>
      <c r="F12546" s="18"/>
    </row>
    <row r="12547" spans="5:6" ht="15" customHeight="1" x14ac:dyDescent="0.2">
      <c r="E12547" s="18"/>
      <c r="F12547" s="18"/>
    </row>
    <row r="12548" spans="5:6" ht="15" customHeight="1" x14ac:dyDescent="0.2">
      <c r="E12548" s="18"/>
      <c r="F12548" s="18"/>
    </row>
    <row r="12549" spans="5:6" ht="15" customHeight="1" x14ac:dyDescent="0.2">
      <c r="E12549" s="18"/>
      <c r="F12549" s="18"/>
    </row>
    <row r="12550" spans="5:6" ht="15" customHeight="1" x14ac:dyDescent="0.2">
      <c r="E12550" s="18"/>
      <c r="F12550" s="18"/>
    </row>
    <row r="12551" spans="5:6" ht="15" customHeight="1" x14ac:dyDescent="0.2">
      <c r="E12551" s="18"/>
      <c r="F12551" s="18"/>
    </row>
    <row r="12552" spans="5:6" ht="15" customHeight="1" x14ac:dyDescent="0.2">
      <c r="E12552" s="18"/>
      <c r="F12552" s="18"/>
    </row>
    <row r="12553" spans="5:6" ht="15" customHeight="1" x14ac:dyDescent="0.2">
      <c r="E12553" s="18"/>
      <c r="F12553" s="18"/>
    </row>
    <row r="12554" spans="5:6" ht="15" customHeight="1" x14ac:dyDescent="0.2">
      <c r="E12554" s="18"/>
      <c r="F12554" s="18"/>
    </row>
    <row r="12555" spans="5:6" ht="15" customHeight="1" x14ac:dyDescent="0.2">
      <c r="E12555" s="18"/>
      <c r="F12555" s="18"/>
    </row>
    <row r="12556" spans="5:6" ht="15" customHeight="1" x14ac:dyDescent="0.2">
      <c r="E12556" s="18"/>
      <c r="F12556" s="18"/>
    </row>
    <row r="12557" spans="5:6" ht="15" customHeight="1" x14ac:dyDescent="0.2">
      <c r="E12557" s="18"/>
      <c r="F12557" s="18"/>
    </row>
    <row r="12558" spans="5:6" ht="15" customHeight="1" x14ac:dyDescent="0.2">
      <c r="E12558" s="18"/>
      <c r="F12558" s="18"/>
    </row>
    <row r="12559" spans="5:6" ht="15" customHeight="1" x14ac:dyDescent="0.2">
      <c r="E12559" s="18"/>
      <c r="F12559" s="18"/>
    </row>
    <row r="12560" spans="5:6" ht="15" customHeight="1" x14ac:dyDescent="0.2">
      <c r="E12560" s="18"/>
      <c r="F12560" s="18"/>
    </row>
    <row r="12561" spans="5:6" ht="15" customHeight="1" x14ac:dyDescent="0.2">
      <c r="E12561" s="18"/>
      <c r="F12561" s="18"/>
    </row>
    <row r="12562" spans="5:6" ht="15" customHeight="1" x14ac:dyDescent="0.2">
      <c r="E12562" s="18"/>
      <c r="F12562" s="18"/>
    </row>
    <row r="12563" spans="5:6" ht="15" customHeight="1" x14ac:dyDescent="0.2">
      <c r="E12563" s="18"/>
      <c r="F12563" s="18"/>
    </row>
    <row r="12564" spans="5:6" ht="15" customHeight="1" x14ac:dyDescent="0.2">
      <c r="E12564" s="18"/>
      <c r="F12564" s="18"/>
    </row>
    <row r="12565" spans="5:6" ht="15" customHeight="1" x14ac:dyDescent="0.2">
      <c r="E12565" s="18"/>
      <c r="F12565" s="18"/>
    </row>
    <row r="12566" spans="5:6" ht="15" customHeight="1" x14ac:dyDescent="0.2">
      <c r="E12566" s="18"/>
      <c r="F12566" s="18"/>
    </row>
    <row r="12567" spans="5:6" ht="15" customHeight="1" x14ac:dyDescent="0.2">
      <c r="E12567" s="18"/>
      <c r="F12567" s="18"/>
    </row>
    <row r="12568" spans="5:6" ht="15" customHeight="1" x14ac:dyDescent="0.2">
      <c r="E12568" s="18"/>
      <c r="F12568" s="18"/>
    </row>
    <row r="12569" spans="5:6" ht="15" customHeight="1" x14ac:dyDescent="0.2">
      <c r="E12569" s="18"/>
      <c r="F12569" s="18"/>
    </row>
    <row r="12570" spans="5:6" ht="15" customHeight="1" x14ac:dyDescent="0.2">
      <c r="E12570" s="18"/>
      <c r="F12570" s="18"/>
    </row>
    <row r="12571" spans="5:6" ht="15" customHeight="1" x14ac:dyDescent="0.2">
      <c r="E12571" s="18"/>
      <c r="F12571" s="18"/>
    </row>
    <row r="12572" spans="5:6" ht="15" customHeight="1" x14ac:dyDescent="0.2">
      <c r="E12572" s="18"/>
      <c r="F12572" s="18"/>
    </row>
    <row r="12573" spans="5:6" ht="15" customHeight="1" x14ac:dyDescent="0.2">
      <c r="E12573" s="18"/>
      <c r="F12573" s="18"/>
    </row>
    <row r="12574" spans="5:6" ht="15" customHeight="1" x14ac:dyDescent="0.2">
      <c r="E12574" s="18"/>
      <c r="F12574" s="18"/>
    </row>
    <row r="12575" spans="5:6" ht="15" customHeight="1" x14ac:dyDescent="0.2">
      <c r="E12575" s="18"/>
      <c r="F12575" s="18"/>
    </row>
    <row r="12576" spans="5:6" ht="15" customHeight="1" x14ac:dyDescent="0.2">
      <c r="E12576" s="18"/>
      <c r="F12576" s="18"/>
    </row>
    <row r="12577" spans="5:6" ht="15" customHeight="1" x14ac:dyDescent="0.2">
      <c r="E12577" s="18"/>
      <c r="F12577" s="18"/>
    </row>
    <row r="12578" spans="5:6" ht="15" customHeight="1" x14ac:dyDescent="0.2">
      <c r="E12578" s="18"/>
      <c r="F12578" s="18"/>
    </row>
    <row r="12579" spans="5:6" ht="15" customHeight="1" x14ac:dyDescent="0.2">
      <c r="E12579" s="18"/>
      <c r="F12579" s="18"/>
    </row>
    <row r="12580" spans="5:6" ht="15" customHeight="1" x14ac:dyDescent="0.2">
      <c r="E12580" s="18"/>
      <c r="F12580" s="18"/>
    </row>
    <row r="12581" spans="5:6" ht="15" customHeight="1" x14ac:dyDescent="0.2">
      <c r="E12581" s="18"/>
      <c r="F12581" s="18"/>
    </row>
    <row r="12582" spans="5:6" ht="15" customHeight="1" x14ac:dyDescent="0.2">
      <c r="E12582" s="18"/>
      <c r="F12582" s="18"/>
    </row>
    <row r="12583" spans="5:6" ht="15" customHeight="1" x14ac:dyDescent="0.2">
      <c r="E12583" s="18"/>
      <c r="F12583" s="18"/>
    </row>
    <row r="12584" spans="5:6" ht="15" customHeight="1" x14ac:dyDescent="0.2">
      <c r="E12584" s="18"/>
      <c r="F12584" s="18"/>
    </row>
    <row r="12585" spans="5:6" ht="15" customHeight="1" x14ac:dyDescent="0.2">
      <c r="E12585" s="18"/>
      <c r="F12585" s="18"/>
    </row>
    <row r="12586" spans="5:6" ht="15" customHeight="1" x14ac:dyDescent="0.2">
      <c r="E12586" s="18"/>
      <c r="F12586" s="18"/>
    </row>
    <row r="12587" spans="5:6" ht="15" customHeight="1" x14ac:dyDescent="0.2">
      <c r="E12587" s="18"/>
      <c r="F12587" s="18"/>
    </row>
    <row r="12588" spans="5:6" ht="15" customHeight="1" x14ac:dyDescent="0.2">
      <c r="E12588" s="18"/>
      <c r="F12588" s="18"/>
    </row>
    <row r="12589" spans="5:6" ht="15" customHeight="1" x14ac:dyDescent="0.2">
      <c r="E12589" s="18"/>
      <c r="F12589" s="18"/>
    </row>
    <row r="12590" spans="5:6" ht="15" customHeight="1" x14ac:dyDescent="0.2">
      <c r="E12590" s="18"/>
      <c r="F12590" s="18"/>
    </row>
    <row r="12591" spans="5:6" ht="15" customHeight="1" x14ac:dyDescent="0.2">
      <c r="E12591" s="18"/>
      <c r="F12591" s="18"/>
    </row>
    <row r="12592" spans="5:6" ht="15" customHeight="1" x14ac:dyDescent="0.2">
      <c r="E12592" s="18"/>
      <c r="F12592" s="18"/>
    </row>
    <row r="12593" spans="5:6" ht="15" customHeight="1" x14ac:dyDescent="0.2">
      <c r="E12593" s="18"/>
      <c r="F12593" s="18"/>
    </row>
    <row r="12594" spans="5:6" ht="15" customHeight="1" x14ac:dyDescent="0.2">
      <c r="E12594" s="18"/>
      <c r="F12594" s="18"/>
    </row>
    <row r="12595" spans="5:6" ht="15" customHeight="1" x14ac:dyDescent="0.2">
      <c r="E12595" s="18"/>
      <c r="F12595" s="18"/>
    </row>
    <row r="12596" spans="5:6" ht="15" customHeight="1" x14ac:dyDescent="0.2">
      <c r="E12596" s="18"/>
      <c r="F12596" s="18"/>
    </row>
    <row r="12597" spans="5:6" ht="15" customHeight="1" x14ac:dyDescent="0.2">
      <c r="E12597" s="18"/>
      <c r="F12597" s="18"/>
    </row>
    <row r="12598" spans="5:6" ht="15" customHeight="1" x14ac:dyDescent="0.2">
      <c r="E12598" s="18"/>
      <c r="F12598" s="18"/>
    </row>
    <row r="12599" spans="5:6" ht="15" customHeight="1" x14ac:dyDescent="0.2">
      <c r="E12599" s="18"/>
      <c r="F12599" s="18"/>
    </row>
    <row r="12600" spans="5:6" ht="15" customHeight="1" x14ac:dyDescent="0.2">
      <c r="E12600" s="18"/>
      <c r="F12600" s="18"/>
    </row>
    <row r="12601" spans="5:6" ht="15" customHeight="1" x14ac:dyDescent="0.2">
      <c r="E12601" s="18"/>
      <c r="F12601" s="18"/>
    </row>
    <row r="12602" spans="5:6" ht="15" customHeight="1" x14ac:dyDescent="0.2">
      <c r="E12602" s="18"/>
      <c r="F12602" s="18"/>
    </row>
    <row r="12603" spans="5:6" ht="15" customHeight="1" x14ac:dyDescent="0.2">
      <c r="E12603" s="18"/>
      <c r="F12603" s="18"/>
    </row>
    <row r="12604" spans="5:6" ht="15" customHeight="1" x14ac:dyDescent="0.2">
      <c r="E12604" s="18"/>
      <c r="F12604" s="18"/>
    </row>
    <row r="12605" spans="5:6" ht="15" customHeight="1" x14ac:dyDescent="0.2">
      <c r="E12605" s="18"/>
      <c r="F12605" s="18"/>
    </row>
    <row r="12606" spans="5:6" ht="15" customHeight="1" x14ac:dyDescent="0.2">
      <c r="E12606" s="18"/>
      <c r="F12606" s="18"/>
    </row>
    <row r="12607" spans="5:6" ht="15" customHeight="1" x14ac:dyDescent="0.2">
      <c r="E12607" s="18"/>
      <c r="F12607" s="18"/>
    </row>
    <row r="12608" spans="5:6" ht="15" customHeight="1" x14ac:dyDescent="0.2">
      <c r="E12608" s="18"/>
      <c r="F12608" s="18"/>
    </row>
    <row r="12609" spans="5:6" ht="15" customHeight="1" x14ac:dyDescent="0.2">
      <c r="E12609" s="18"/>
      <c r="F12609" s="18"/>
    </row>
    <row r="12610" spans="5:6" ht="15" customHeight="1" x14ac:dyDescent="0.2">
      <c r="E12610" s="18"/>
      <c r="F12610" s="18"/>
    </row>
    <row r="12611" spans="5:6" ht="15" customHeight="1" x14ac:dyDescent="0.2">
      <c r="E12611" s="18"/>
      <c r="F12611" s="18"/>
    </row>
    <row r="12612" spans="5:6" ht="15" customHeight="1" x14ac:dyDescent="0.2">
      <c r="E12612" s="18"/>
      <c r="F12612" s="18"/>
    </row>
    <row r="12613" spans="5:6" ht="15" customHeight="1" x14ac:dyDescent="0.2">
      <c r="E12613" s="18"/>
      <c r="F12613" s="18"/>
    </row>
    <row r="12614" spans="5:6" ht="15" customHeight="1" x14ac:dyDescent="0.2">
      <c r="E12614" s="18"/>
      <c r="F12614" s="18"/>
    </row>
    <row r="12615" spans="5:6" ht="15" customHeight="1" x14ac:dyDescent="0.2">
      <c r="E12615" s="18"/>
      <c r="F12615" s="18"/>
    </row>
    <row r="12616" spans="5:6" ht="15" customHeight="1" x14ac:dyDescent="0.2">
      <c r="E12616" s="18"/>
      <c r="F12616" s="18"/>
    </row>
    <row r="12617" spans="5:6" ht="15" customHeight="1" x14ac:dyDescent="0.2">
      <c r="E12617" s="18"/>
      <c r="F12617" s="18"/>
    </row>
    <row r="12618" spans="5:6" ht="15" customHeight="1" x14ac:dyDescent="0.2">
      <c r="E12618" s="18"/>
      <c r="F12618" s="18"/>
    </row>
    <row r="12619" spans="5:6" ht="15" customHeight="1" x14ac:dyDescent="0.2">
      <c r="E12619" s="18"/>
      <c r="F12619" s="18"/>
    </row>
    <row r="12620" spans="5:6" ht="15" customHeight="1" x14ac:dyDescent="0.2">
      <c r="E12620" s="18"/>
      <c r="F12620" s="18"/>
    </row>
    <row r="12621" spans="5:6" ht="15" customHeight="1" x14ac:dyDescent="0.2">
      <c r="E12621" s="18"/>
      <c r="F12621" s="18"/>
    </row>
    <row r="12622" spans="5:6" ht="15" customHeight="1" x14ac:dyDescent="0.2">
      <c r="E12622" s="18"/>
      <c r="F12622" s="18"/>
    </row>
    <row r="12623" spans="5:6" ht="15" customHeight="1" x14ac:dyDescent="0.2">
      <c r="E12623" s="18"/>
      <c r="F12623" s="18"/>
    </row>
    <row r="12624" spans="5:6" ht="15" customHeight="1" x14ac:dyDescent="0.2">
      <c r="E12624" s="18"/>
      <c r="F12624" s="18"/>
    </row>
    <row r="12625" spans="5:6" ht="15" customHeight="1" x14ac:dyDescent="0.2">
      <c r="E12625" s="18"/>
      <c r="F12625" s="18"/>
    </row>
    <row r="12626" spans="5:6" ht="15" customHeight="1" x14ac:dyDescent="0.2">
      <c r="E12626" s="18"/>
      <c r="F12626" s="18"/>
    </row>
    <row r="12627" spans="5:6" ht="15" customHeight="1" x14ac:dyDescent="0.2">
      <c r="E12627" s="18"/>
      <c r="F12627" s="18"/>
    </row>
    <row r="12628" spans="5:6" ht="15" customHeight="1" x14ac:dyDescent="0.2">
      <c r="E12628" s="18"/>
      <c r="F12628" s="18"/>
    </row>
    <row r="12629" spans="5:6" ht="15" customHeight="1" x14ac:dyDescent="0.2">
      <c r="E12629" s="18"/>
      <c r="F12629" s="18"/>
    </row>
    <row r="12630" spans="5:6" ht="15" customHeight="1" x14ac:dyDescent="0.2">
      <c r="E12630" s="18"/>
      <c r="F12630" s="18"/>
    </row>
    <row r="12631" spans="5:6" ht="15" customHeight="1" x14ac:dyDescent="0.2">
      <c r="E12631" s="18"/>
      <c r="F12631" s="18"/>
    </row>
    <row r="12632" spans="5:6" ht="15" customHeight="1" x14ac:dyDescent="0.2">
      <c r="E12632" s="18"/>
      <c r="F12632" s="18"/>
    </row>
    <row r="12633" spans="5:6" ht="15" customHeight="1" x14ac:dyDescent="0.2">
      <c r="E12633" s="18"/>
      <c r="F12633" s="18"/>
    </row>
    <row r="12634" spans="5:6" ht="15" customHeight="1" x14ac:dyDescent="0.2">
      <c r="E12634" s="18"/>
      <c r="F12634" s="18"/>
    </row>
    <row r="12635" spans="5:6" ht="15" customHeight="1" x14ac:dyDescent="0.2">
      <c r="E12635" s="18"/>
      <c r="F12635" s="18"/>
    </row>
    <row r="12636" spans="5:6" ht="15" customHeight="1" x14ac:dyDescent="0.2">
      <c r="E12636" s="18"/>
      <c r="F12636" s="18"/>
    </row>
    <row r="12637" spans="5:6" ht="15" customHeight="1" x14ac:dyDescent="0.2">
      <c r="E12637" s="18"/>
      <c r="F12637" s="18"/>
    </row>
    <row r="12638" spans="5:6" ht="15" customHeight="1" x14ac:dyDescent="0.2">
      <c r="E12638" s="18"/>
      <c r="F12638" s="18"/>
    </row>
    <row r="12639" spans="5:6" ht="15" customHeight="1" x14ac:dyDescent="0.2">
      <c r="E12639" s="18"/>
      <c r="F12639" s="18"/>
    </row>
    <row r="12640" spans="5:6" ht="15" customHeight="1" x14ac:dyDescent="0.2">
      <c r="E12640" s="18"/>
      <c r="F12640" s="18"/>
    </row>
    <row r="12641" spans="5:6" ht="15" customHeight="1" x14ac:dyDescent="0.2">
      <c r="E12641" s="18"/>
      <c r="F12641" s="18"/>
    </row>
    <row r="12642" spans="5:6" ht="15" customHeight="1" x14ac:dyDescent="0.2">
      <c r="E12642" s="18"/>
      <c r="F12642" s="18"/>
    </row>
    <row r="12643" spans="5:6" ht="15" customHeight="1" x14ac:dyDescent="0.2">
      <c r="E12643" s="18"/>
      <c r="F12643" s="18"/>
    </row>
    <row r="12644" spans="5:6" ht="15" customHeight="1" x14ac:dyDescent="0.2">
      <c r="E12644" s="18"/>
      <c r="F12644" s="18"/>
    </row>
    <row r="12645" spans="5:6" ht="15" customHeight="1" x14ac:dyDescent="0.2">
      <c r="E12645" s="18"/>
      <c r="F12645" s="18"/>
    </row>
    <row r="12646" spans="5:6" ht="15" customHeight="1" x14ac:dyDescent="0.2">
      <c r="E12646" s="18"/>
      <c r="F12646" s="18"/>
    </row>
    <row r="12647" spans="5:6" ht="15" customHeight="1" x14ac:dyDescent="0.2">
      <c r="E12647" s="18"/>
      <c r="F12647" s="18"/>
    </row>
    <row r="12648" spans="5:6" ht="15" customHeight="1" x14ac:dyDescent="0.2">
      <c r="E12648" s="18"/>
      <c r="F12648" s="18"/>
    </row>
    <row r="12649" spans="5:6" ht="15" customHeight="1" x14ac:dyDescent="0.2">
      <c r="E12649" s="18"/>
      <c r="F12649" s="18"/>
    </row>
    <row r="12650" spans="5:6" ht="15" customHeight="1" x14ac:dyDescent="0.2">
      <c r="E12650" s="18"/>
      <c r="F12650" s="18"/>
    </row>
    <row r="12651" spans="5:6" ht="15" customHeight="1" x14ac:dyDescent="0.2">
      <c r="E12651" s="18"/>
      <c r="F12651" s="18"/>
    </row>
    <row r="12652" spans="5:6" ht="15" customHeight="1" x14ac:dyDescent="0.2">
      <c r="E12652" s="18"/>
      <c r="F12652" s="18"/>
    </row>
    <row r="12653" spans="5:6" ht="15" customHeight="1" x14ac:dyDescent="0.2">
      <c r="E12653" s="18"/>
      <c r="F12653" s="18"/>
    </row>
    <row r="12654" spans="5:6" ht="15" customHeight="1" x14ac:dyDescent="0.2">
      <c r="E12654" s="18"/>
      <c r="F12654" s="18"/>
    </row>
    <row r="12655" spans="5:6" ht="15" customHeight="1" x14ac:dyDescent="0.2">
      <c r="E12655" s="18"/>
      <c r="F12655" s="18"/>
    </row>
    <row r="12656" spans="5:6" ht="15" customHeight="1" x14ac:dyDescent="0.2">
      <c r="E12656" s="18"/>
      <c r="F12656" s="18"/>
    </row>
    <row r="12657" spans="5:6" ht="15" customHeight="1" x14ac:dyDescent="0.2">
      <c r="E12657" s="18"/>
      <c r="F12657" s="18"/>
    </row>
    <row r="12658" spans="5:6" ht="15" customHeight="1" x14ac:dyDescent="0.2">
      <c r="E12658" s="18"/>
      <c r="F12658" s="18"/>
    </row>
    <row r="12659" spans="5:6" ht="15" customHeight="1" x14ac:dyDescent="0.2">
      <c r="E12659" s="18"/>
      <c r="F12659" s="18"/>
    </row>
    <row r="12660" spans="5:6" ht="15" customHeight="1" x14ac:dyDescent="0.2">
      <c r="E12660" s="18"/>
      <c r="F12660" s="18"/>
    </row>
    <row r="12661" spans="5:6" ht="15" customHeight="1" x14ac:dyDescent="0.2">
      <c r="E12661" s="18"/>
      <c r="F12661" s="18"/>
    </row>
    <row r="12662" spans="5:6" ht="15" customHeight="1" x14ac:dyDescent="0.2">
      <c r="E12662" s="18"/>
      <c r="F12662" s="18"/>
    </row>
    <row r="12663" spans="5:6" ht="15" customHeight="1" x14ac:dyDescent="0.2">
      <c r="E12663" s="18"/>
      <c r="F12663" s="18"/>
    </row>
    <row r="12664" spans="5:6" ht="15" customHeight="1" x14ac:dyDescent="0.2">
      <c r="E12664" s="18"/>
      <c r="F12664" s="18"/>
    </row>
    <row r="12665" spans="5:6" ht="15" customHeight="1" x14ac:dyDescent="0.2">
      <c r="E12665" s="18"/>
      <c r="F12665" s="18"/>
    </row>
    <row r="12666" spans="5:6" ht="15" customHeight="1" x14ac:dyDescent="0.2">
      <c r="E12666" s="18"/>
      <c r="F12666" s="18"/>
    </row>
    <row r="12667" spans="5:6" ht="15" customHeight="1" x14ac:dyDescent="0.2">
      <c r="E12667" s="18"/>
      <c r="F12667" s="18"/>
    </row>
    <row r="12668" spans="5:6" ht="15" customHeight="1" x14ac:dyDescent="0.2">
      <c r="E12668" s="18"/>
      <c r="F12668" s="18"/>
    </row>
    <row r="12669" spans="5:6" ht="15" customHeight="1" x14ac:dyDescent="0.2">
      <c r="E12669" s="18"/>
      <c r="F12669" s="18"/>
    </row>
    <row r="12670" spans="5:6" ht="15" customHeight="1" x14ac:dyDescent="0.2">
      <c r="E12670" s="18"/>
      <c r="F12670" s="18"/>
    </row>
    <row r="12671" spans="5:6" ht="15" customHeight="1" x14ac:dyDescent="0.2">
      <c r="E12671" s="18"/>
      <c r="F12671" s="18"/>
    </row>
    <row r="12672" spans="5:6" ht="15" customHeight="1" x14ac:dyDescent="0.2">
      <c r="E12672" s="18"/>
      <c r="F12672" s="18"/>
    </row>
    <row r="12673" spans="5:6" ht="15" customHeight="1" x14ac:dyDescent="0.2">
      <c r="E12673" s="18"/>
      <c r="F12673" s="18"/>
    </row>
    <row r="12674" spans="5:6" ht="15" customHeight="1" x14ac:dyDescent="0.2">
      <c r="E12674" s="18"/>
      <c r="F12674" s="18"/>
    </row>
    <row r="12675" spans="5:6" ht="15" customHeight="1" x14ac:dyDescent="0.2">
      <c r="E12675" s="18"/>
      <c r="F12675" s="18"/>
    </row>
    <row r="12676" spans="5:6" ht="15" customHeight="1" x14ac:dyDescent="0.2">
      <c r="E12676" s="18"/>
      <c r="F12676" s="18"/>
    </row>
    <row r="12677" spans="5:6" ht="15" customHeight="1" x14ac:dyDescent="0.2">
      <c r="E12677" s="18"/>
      <c r="F12677" s="18"/>
    </row>
    <row r="12678" spans="5:6" ht="15" customHeight="1" x14ac:dyDescent="0.2">
      <c r="E12678" s="18"/>
      <c r="F12678" s="18"/>
    </row>
    <row r="12679" spans="5:6" ht="15" customHeight="1" x14ac:dyDescent="0.2">
      <c r="E12679" s="18"/>
      <c r="F12679" s="18"/>
    </row>
    <row r="12680" spans="5:6" ht="15" customHeight="1" x14ac:dyDescent="0.2">
      <c r="E12680" s="18"/>
      <c r="F12680" s="18"/>
    </row>
    <row r="12681" spans="5:6" ht="15" customHeight="1" x14ac:dyDescent="0.2">
      <c r="E12681" s="18"/>
      <c r="F12681" s="18"/>
    </row>
    <row r="12682" spans="5:6" ht="15" customHeight="1" x14ac:dyDescent="0.2">
      <c r="E12682" s="18"/>
      <c r="F12682" s="18"/>
    </row>
    <row r="12683" spans="5:6" ht="15" customHeight="1" x14ac:dyDescent="0.2">
      <c r="E12683" s="18"/>
      <c r="F12683" s="18"/>
    </row>
    <row r="12684" spans="5:6" ht="15" customHeight="1" x14ac:dyDescent="0.2">
      <c r="E12684" s="18"/>
      <c r="F12684" s="18"/>
    </row>
    <row r="12685" spans="5:6" ht="15" customHeight="1" x14ac:dyDescent="0.2">
      <c r="E12685" s="18"/>
      <c r="F12685" s="18"/>
    </row>
    <row r="12686" spans="5:6" ht="15" customHeight="1" x14ac:dyDescent="0.2">
      <c r="E12686" s="18"/>
      <c r="F12686" s="18"/>
    </row>
    <row r="12687" spans="5:6" ht="15" customHeight="1" x14ac:dyDescent="0.2">
      <c r="E12687" s="18"/>
      <c r="F12687" s="18"/>
    </row>
    <row r="12688" spans="5:6" ht="15" customHeight="1" x14ac:dyDescent="0.2">
      <c r="E12688" s="18"/>
      <c r="F12688" s="18"/>
    </row>
    <row r="12689" spans="5:6" ht="15" customHeight="1" x14ac:dyDescent="0.2">
      <c r="E12689" s="18"/>
      <c r="F12689" s="18"/>
    </row>
    <row r="12690" spans="5:6" ht="15" customHeight="1" x14ac:dyDescent="0.2">
      <c r="E12690" s="18"/>
      <c r="F12690" s="18"/>
    </row>
    <row r="12691" spans="5:6" ht="15" customHeight="1" x14ac:dyDescent="0.2">
      <c r="E12691" s="18"/>
      <c r="F12691" s="18"/>
    </row>
    <row r="12692" spans="5:6" ht="15" customHeight="1" x14ac:dyDescent="0.2">
      <c r="E12692" s="18"/>
      <c r="F12692" s="18"/>
    </row>
    <row r="12693" spans="5:6" ht="15" customHeight="1" x14ac:dyDescent="0.2">
      <c r="E12693" s="18"/>
      <c r="F12693" s="18"/>
    </row>
    <row r="12694" spans="5:6" ht="15" customHeight="1" x14ac:dyDescent="0.2">
      <c r="E12694" s="18"/>
      <c r="F12694" s="18"/>
    </row>
    <row r="12695" spans="5:6" ht="15" customHeight="1" x14ac:dyDescent="0.2">
      <c r="E12695" s="18"/>
      <c r="F12695" s="18"/>
    </row>
    <row r="12696" spans="5:6" ht="15" customHeight="1" x14ac:dyDescent="0.2">
      <c r="E12696" s="18"/>
      <c r="F12696" s="18"/>
    </row>
    <row r="12697" spans="5:6" ht="15" customHeight="1" x14ac:dyDescent="0.2">
      <c r="E12697" s="18"/>
      <c r="F12697" s="18"/>
    </row>
    <row r="12698" spans="5:6" ht="15" customHeight="1" x14ac:dyDescent="0.2">
      <c r="E12698" s="18"/>
      <c r="F12698" s="18"/>
    </row>
    <row r="12699" spans="5:6" ht="15" customHeight="1" x14ac:dyDescent="0.2">
      <c r="E12699" s="18"/>
      <c r="F12699" s="18"/>
    </row>
    <row r="12700" spans="5:6" ht="15" customHeight="1" x14ac:dyDescent="0.2">
      <c r="E12700" s="18"/>
      <c r="F12700" s="18"/>
    </row>
    <row r="12701" spans="5:6" ht="15" customHeight="1" x14ac:dyDescent="0.2">
      <c r="E12701" s="18"/>
      <c r="F12701" s="18"/>
    </row>
    <row r="12702" spans="5:6" ht="15" customHeight="1" x14ac:dyDescent="0.2">
      <c r="E12702" s="18"/>
      <c r="F12702" s="18"/>
    </row>
    <row r="12703" spans="5:6" ht="15" customHeight="1" x14ac:dyDescent="0.2">
      <c r="E12703" s="18"/>
      <c r="F12703" s="18"/>
    </row>
    <row r="12704" spans="5:6" ht="15" customHeight="1" x14ac:dyDescent="0.2">
      <c r="E12704" s="18"/>
      <c r="F12704" s="18"/>
    </row>
    <row r="12705" spans="5:6" ht="15" customHeight="1" x14ac:dyDescent="0.2">
      <c r="E12705" s="18"/>
      <c r="F12705" s="18"/>
    </row>
    <row r="12706" spans="5:6" ht="15" customHeight="1" x14ac:dyDescent="0.2">
      <c r="E12706" s="18"/>
      <c r="F12706" s="18"/>
    </row>
    <row r="12707" spans="5:6" ht="15" customHeight="1" x14ac:dyDescent="0.2">
      <c r="E12707" s="18"/>
      <c r="F12707" s="18"/>
    </row>
    <row r="12708" spans="5:6" ht="15" customHeight="1" x14ac:dyDescent="0.2">
      <c r="E12708" s="18"/>
      <c r="F12708" s="18"/>
    </row>
    <row r="12709" spans="5:6" ht="15" customHeight="1" x14ac:dyDescent="0.2">
      <c r="E12709" s="18"/>
      <c r="F12709" s="18"/>
    </row>
    <row r="12710" spans="5:6" ht="15" customHeight="1" x14ac:dyDescent="0.2">
      <c r="E12710" s="18"/>
      <c r="F12710" s="18"/>
    </row>
    <row r="12711" spans="5:6" ht="15" customHeight="1" x14ac:dyDescent="0.2">
      <c r="E12711" s="18"/>
      <c r="F12711" s="18"/>
    </row>
    <row r="12712" spans="5:6" ht="15" customHeight="1" x14ac:dyDescent="0.2">
      <c r="E12712" s="18"/>
      <c r="F12712" s="18"/>
    </row>
    <row r="12713" spans="5:6" ht="15" customHeight="1" x14ac:dyDescent="0.2">
      <c r="E12713" s="18"/>
      <c r="F12713" s="18"/>
    </row>
    <row r="12714" spans="5:6" ht="15" customHeight="1" x14ac:dyDescent="0.2">
      <c r="E12714" s="18"/>
      <c r="F12714" s="18"/>
    </row>
    <row r="12715" spans="5:6" ht="15" customHeight="1" x14ac:dyDescent="0.2">
      <c r="E12715" s="18"/>
      <c r="F12715" s="18"/>
    </row>
    <row r="12716" spans="5:6" ht="15" customHeight="1" x14ac:dyDescent="0.2">
      <c r="E12716" s="18"/>
      <c r="F12716" s="18"/>
    </row>
    <row r="12717" spans="5:6" ht="15" customHeight="1" x14ac:dyDescent="0.2">
      <c r="E12717" s="18"/>
      <c r="F12717" s="18"/>
    </row>
    <row r="12718" spans="5:6" ht="15" customHeight="1" x14ac:dyDescent="0.2">
      <c r="E12718" s="18"/>
      <c r="F12718" s="18"/>
    </row>
    <row r="12719" spans="5:6" ht="15" customHeight="1" x14ac:dyDescent="0.2">
      <c r="E12719" s="18"/>
      <c r="F12719" s="18"/>
    </row>
    <row r="12720" spans="5:6" ht="15" customHeight="1" x14ac:dyDescent="0.2">
      <c r="E12720" s="18"/>
      <c r="F12720" s="18"/>
    </row>
    <row r="12721" spans="5:6" ht="15" customHeight="1" x14ac:dyDescent="0.2">
      <c r="E12721" s="18"/>
      <c r="F12721" s="18"/>
    </row>
    <row r="12722" spans="5:6" ht="15" customHeight="1" x14ac:dyDescent="0.2">
      <c r="E12722" s="18"/>
      <c r="F12722" s="18"/>
    </row>
    <row r="12723" spans="5:6" ht="15" customHeight="1" x14ac:dyDescent="0.2">
      <c r="E12723" s="18"/>
      <c r="F12723" s="18"/>
    </row>
    <row r="12724" spans="5:6" ht="15" customHeight="1" x14ac:dyDescent="0.2">
      <c r="E12724" s="18"/>
      <c r="F12724" s="18"/>
    </row>
    <row r="12725" spans="5:6" ht="15" customHeight="1" x14ac:dyDescent="0.2">
      <c r="E12725" s="18"/>
      <c r="F12725" s="18"/>
    </row>
    <row r="12726" spans="5:6" ht="15" customHeight="1" x14ac:dyDescent="0.2">
      <c r="E12726" s="18"/>
      <c r="F12726" s="18"/>
    </row>
    <row r="12727" spans="5:6" ht="15" customHeight="1" x14ac:dyDescent="0.2">
      <c r="E12727" s="18"/>
      <c r="F12727" s="18"/>
    </row>
    <row r="12728" spans="5:6" ht="15" customHeight="1" x14ac:dyDescent="0.2">
      <c r="E12728" s="18"/>
      <c r="F12728" s="18"/>
    </row>
    <row r="12729" spans="5:6" ht="15" customHeight="1" x14ac:dyDescent="0.2">
      <c r="E12729" s="18"/>
      <c r="F12729" s="18"/>
    </row>
    <row r="12730" spans="5:6" ht="15" customHeight="1" x14ac:dyDescent="0.2">
      <c r="E12730" s="18"/>
      <c r="F12730" s="18"/>
    </row>
    <row r="12731" spans="5:6" ht="15" customHeight="1" x14ac:dyDescent="0.2">
      <c r="E12731" s="18"/>
      <c r="F12731" s="18"/>
    </row>
    <row r="12732" spans="5:6" ht="15" customHeight="1" x14ac:dyDescent="0.2">
      <c r="E12732" s="18"/>
      <c r="F12732" s="18"/>
    </row>
    <row r="12733" spans="5:6" ht="15" customHeight="1" x14ac:dyDescent="0.2">
      <c r="E12733" s="18"/>
      <c r="F12733" s="18"/>
    </row>
    <row r="12734" spans="5:6" ht="15" customHeight="1" x14ac:dyDescent="0.2">
      <c r="E12734" s="18"/>
      <c r="F12734" s="18"/>
    </row>
    <row r="12735" spans="5:6" ht="15" customHeight="1" x14ac:dyDescent="0.2">
      <c r="E12735" s="18"/>
      <c r="F12735" s="18"/>
    </row>
    <row r="12736" spans="5:6" ht="15" customHeight="1" x14ac:dyDescent="0.2">
      <c r="E12736" s="18"/>
      <c r="F12736" s="18"/>
    </row>
    <row r="12737" spans="5:6" ht="15" customHeight="1" x14ac:dyDescent="0.2">
      <c r="E12737" s="18"/>
      <c r="F12737" s="18"/>
    </row>
    <row r="12738" spans="5:6" ht="15" customHeight="1" x14ac:dyDescent="0.2">
      <c r="E12738" s="18"/>
      <c r="F12738" s="18"/>
    </row>
    <row r="12739" spans="5:6" ht="15" customHeight="1" x14ac:dyDescent="0.2">
      <c r="E12739" s="18"/>
      <c r="F12739" s="18"/>
    </row>
    <row r="12740" spans="5:6" ht="15" customHeight="1" x14ac:dyDescent="0.2">
      <c r="E12740" s="18"/>
      <c r="F12740" s="18"/>
    </row>
    <row r="12741" spans="5:6" ht="15" customHeight="1" x14ac:dyDescent="0.2">
      <c r="E12741" s="18"/>
      <c r="F12741" s="18"/>
    </row>
    <row r="12742" spans="5:6" ht="15" customHeight="1" x14ac:dyDescent="0.2">
      <c r="E12742" s="18"/>
      <c r="F12742" s="18"/>
    </row>
    <row r="12743" spans="5:6" ht="15" customHeight="1" x14ac:dyDescent="0.2">
      <c r="E12743" s="18"/>
      <c r="F12743" s="18"/>
    </row>
    <row r="12744" spans="5:6" ht="15" customHeight="1" x14ac:dyDescent="0.2">
      <c r="E12744" s="18"/>
      <c r="F12744" s="18"/>
    </row>
    <row r="12745" spans="5:6" ht="15" customHeight="1" x14ac:dyDescent="0.2">
      <c r="E12745" s="18"/>
      <c r="F12745" s="18"/>
    </row>
    <row r="12746" spans="5:6" ht="15" customHeight="1" x14ac:dyDescent="0.2">
      <c r="E12746" s="18"/>
      <c r="F12746" s="18"/>
    </row>
    <row r="12747" spans="5:6" ht="15" customHeight="1" x14ac:dyDescent="0.2">
      <c r="E12747" s="18"/>
      <c r="F12747" s="18"/>
    </row>
    <row r="12748" spans="5:6" ht="15" customHeight="1" x14ac:dyDescent="0.2">
      <c r="E12748" s="18"/>
      <c r="F12748" s="18"/>
    </row>
    <row r="12749" spans="5:6" ht="15" customHeight="1" x14ac:dyDescent="0.2">
      <c r="E12749" s="18"/>
      <c r="F12749" s="18"/>
    </row>
    <row r="12750" spans="5:6" ht="15" customHeight="1" x14ac:dyDescent="0.2">
      <c r="E12750" s="18"/>
      <c r="F12750" s="18"/>
    </row>
    <row r="12751" spans="5:6" ht="15" customHeight="1" x14ac:dyDescent="0.2">
      <c r="E12751" s="18"/>
      <c r="F12751" s="18"/>
    </row>
    <row r="12752" spans="5:6" ht="15" customHeight="1" x14ac:dyDescent="0.2">
      <c r="E12752" s="18"/>
      <c r="F12752" s="18"/>
    </row>
    <row r="12753" spans="5:6" ht="15" customHeight="1" x14ac:dyDescent="0.2">
      <c r="E12753" s="18"/>
      <c r="F12753" s="18"/>
    </row>
    <row r="12754" spans="5:6" ht="15" customHeight="1" x14ac:dyDescent="0.2">
      <c r="E12754" s="18"/>
      <c r="F12754" s="18"/>
    </row>
    <row r="12755" spans="5:6" ht="15" customHeight="1" x14ac:dyDescent="0.2">
      <c r="E12755" s="18"/>
      <c r="F12755" s="18"/>
    </row>
    <row r="12756" spans="5:6" ht="15" customHeight="1" x14ac:dyDescent="0.2">
      <c r="E12756" s="18"/>
      <c r="F12756" s="18"/>
    </row>
    <row r="12757" spans="5:6" ht="15" customHeight="1" x14ac:dyDescent="0.2">
      <c r="E12757" s="18"/>
      <c r="F12757" s="18"/>
    </row>
    <row r="12758" spans="5:6" ht="15" customHeight="1" x14ac:dyDescent="0.2">
      <c r="E12758" s="18"/>
      <c r="F12758" s="18"/>
    </row>
    <row r="12759" spans="5:6" ht="15" customHeight="1" x14ac:dyDescent="0.2">
      <c r="E12759" s="18"/>
      <c r="F12759" s="18"/>
    </row>
    <row r="12760" spans="5:6" ht="15" customHeight="1" x14ac:dyDescent="0.2">
      <c r="E12760" s="18"/>
      <c r="F12760" s="18"/>
    </row>
    <row r="12761" spans="5:6" ht="15" customHeight="1" x14ac:dyDescent="0.2">
      <c r="E12761" s="18"/>
      <c r="F12761" s="18"/>
    </row>
    <row r="12762" spans="5:6" ht="15" customHeight="1" x14ac:dyDescent="0.2">
      <c r="E12762" s="18"/>
      <c r="F12762" s="18"/>
    </row>
    <row r="12763" spans="5:6" ht="15" customHeight="1" x14ac:dyDescent="0.2">
      <c r="E12763" s="18"/>
      <c r="F12763" s="18"/>
    </row>
    <row r="12764" spans="5:6" ht="15" customHeight="1" x14ac:dyDescent="0.2">
      <c r="E12764" s="18"/>
      <c r="F12764" s="18"/>
    </row>
    <row r="12765" spans="5:6" ht="15" customHeight="1" x14ac:dyDescent="0.2">
      <c r="E12765" s="18"/>
      <c r="F12765" s="18"/>
    </row>
    <row r="12766" spans="5:6" ht="15" customHeight="1" x14ac:dyDescent="0.2">
      <c r="E12766" s="18"/>
      <c r="F12766" s="18"/>
    </row>
    <row r="12767" spans="5:6" ht="15" customHeight="1" x14ac:dyDescent="0.2">
      <c r="E12767" s="18"/>
      <c r="F12767" s="18"/>
    </row>
    <row r="12768" spans="5:6" ht="15" customHeight="1" x14ac:dyDescent="0.2">
      <c r="E12768" s="18"/>
      <c r="F12768" s="18"/>
    </row>
    <row r="12769" spans="5:6" ht="15" customHeight="1" x14ac:dyDescent="0.2">
      <c r="E12769" s="18"/>
      <c r="F12769" s="18"/>
    </row>
    <row r="12770" spans="5:6" ht="15" customHeight="1" x14ac:dyDescent="0.2">
      <c r="E12770" s="18"/>
      <c r="F12770" s="18"/>
    </row>
    <row r="12771" spans="5:6" ht="15" customHeight="1" x14ac:dyDescent="0.2">
      <c r="E12771" s="18"/>
      <c r="F12771" s="18"/>
    </row>
    <row r="12772" spans="5:6" ht="15" customHeight="1" x14ac:dyDescent="0.2">
      <c r="E12772" s="18"/>
      <c r="F12772" s="18"/>
    </row>
    <row r="12773" spans="5:6" ht="15" customHeight="1" x14ac:dyDescent="0.2">
      <c r="E12773" s="18"/>
      <c r="F12773" s="18"/>
    </row>
    <row r="12774" spans="5:6" ht="15" customHeight="1" x14ac:dyDescent="0.2">
      <c r="E12774" s="18"/>
      <c r="F12774" s="18"/>
    </row>
    <row r="12775" spans="5:6" ht="15" customHeight="1" x14ac:dyDescent="0.2">
      <c r="E12775" s="18"/>
      <c r="F12775" s="18"/>
    </row>
    <row r="12776" spans="5:6" ht="15" customHeight="1" x14ac:dyDescent="0.2">
      <c r="E12776" s="18"/>
      <c r="F12776" s="18"/>
    </row>
    <row r="12777" spans="5:6" ht="15" customHeight="1" x14ac:dyDescent="0.2">
      <c r="E12777" s="18"/>
      <c r="F12777" s="18"/>
    </row>
    <row r="12778" spans="5:6" ht="15" customHeight="1" x14ac:dyDescent="0.2">
      <c r="E12778" s="18"/>
      <c r="F12778" s="18"/>
    </row>
    <row r="12779" spans="5:6" ht="15" customHeight="1" x14ac:dyDescent="0.2">
      <c r="E12779" s="18"/>
      <c r="F12779" s="18"/>
    </row>
    <row r="12780" spans="5:6" ht="15" customHeight="1" x14ac:dyDescent="0.2">
      <c r="E12780" s="18"/>
      <c r="F12780" s="18"/>
    </row>
    <row r="12781" spans="5:6" ht="15" customHeight="1" x14ac:dyDescent="0.2">
      <c r="E12781" s="18"/>
      <c r="F12781" s="18"/>
    </row>
    <row r="12782" spans="5:6" ht="15" customHeight="1" x14ac:dyDescent="0.2">
      <c r="E12782" s="18"/>
      <c r="F12782" s="18"/>
    </row>
    <row r="12783" spans="5:6" ht="15" customHeight="1" x14ac:dyDescent="0.2">
      <c r="E12783" s="18"/>
      <c r="F12783" s="18"/>
    </row>
    <row r="12784" spans="5:6" ht="15" customHeight="1" x14ac:dyDescent="0.2">
      <c r="E12784" s="18"/>
      <c r="F12784" s="18"/>
    </row>
    <row r="12785" spans="5:6" ht="15" customHeight="1" x14ac:dyDescent="0.2">
      <c r="E12785" s="18"/>
      <c r="F12785" s="18"/>
    </row>
    <row r="12786" spans="5:6" ht="15" customHeight="1" x14ac:dyDescent="0.2">
      <c r="E12786" s="18"/>
      <c r="F12786" s="18"/>
    </row>
    <row r="12787" spans="5:6" ht="15" customHeight="1" x14ac:dyDescent="0.2">
      <c r="E12787" s="18"/>
      <c r="F12787" s="18"/>
    </row>
    <row r="12788" spans="5:6" ht="15" customHeight="1" x14ac:dyDescent="0.2">
      <c r="E12788" s="18"/>
      <c r="F12788" s="18"/>
    </row>
    <row r="12789" spans="5:6" ht="15" customHeight="1" x14ac:dyDescent="0.2">
      <c r="E12789" s="18"/>
      <c r="F12789" s="18"/>
    </row>
    <row r="12790" spans="5:6" ht="15" customHeight="1" x14ac:dyDescent="0.2">
      <c r="E12790" s="18"/>
      <c r="F12790" s="18"/>
    </row>
    <row r="12791" spans="5:6" ht="15" customHeight="1" x14ac:dyDescent="0.2">
      <c r="E12791" s="18"/>
      <c r="F12791" s="18"/>
    </row>
    <row r="12792" spans="5:6" ht="15" customHeight="1" x14ac:dyDescent="0.2">
      <c r="E12792" s="18"/>
      <c r="F12792" s="18"/>
    </row>
    <row r="12793" spans="5:6" ht="15" customHeight="1" x14ac:dyDescent="0.2">
      <c r="E12793" s="18"/>
      <c r="F12793" s="18"/>
    </row>
    <row r="12794" spans="5:6" ht="15" customHeight="1" x14ac:dyDescent="0.2">
      <c r="E12794" s="18"/>
      <c r="F12794" s="18"/>
    </row>
    <row r="12795" spans="5:6" ht="15" customHeight="1" x14ac:dyDescent="0.2">
      <c r="E12795" s="18"/>
      <c r="F12795" s="18"/>
    </row>
    <row r="12796" spans="5:6" ht="15" customHeight="1" x14ac:dyDescent="0.2">
      <c r="E12796" s="18"/>
      <c r="F12796" s="18"/>
    </row>
    <row r="12797" spans="5:6" ht="15" customHeight="1" x14ac:dyDescent="0.2">
      <c r="E12797" s="18"/>
      <c r="F12797" s="18"/>
    </row>
    <row r="12798" spans="5:6" ht="15" customHeight="1" x14ac:dyDescent="0.2">
      <c r="E12798" s="18"/>
      <c r="F12798" s="18"/>
    </row>
    <row r="12799" spans="5:6" ht="15" customHeight="1" x14ac:dyDescent="0.2">
      <c r="E12799" s="18"/>
      <c r="F12799" s="18"/>
    </row>
    <row r="12800" spans="5:6" ht="15" customHeight="1" x14ac:dyDescent="0.2">
      <c r="E12800" s="18"/>
      <c r="F12800" s="18"/>
    </row>
    <row r="12801" spans="5:6" ht="15" customHeight="1" x14ac:dyDescent="0.2">
      <c r="E12801" s="18"/>
      <c r="F12801" s="18"/>
    </row>
    <row r="12802" spans="5:6" ht="15" customHeight="1" x14ac:dyDescent="0.2">
      <c r="E12802" s="18"/>
      <c r="F12802" s="18"/>
    </row>
    <row r="12803" spans="5:6" ht="15" customHeight="1" x14ac:dyDescent="0.2">
      <c r="E12803" s="18"/>
      <c r="F12803" s="18"/>
    </row>
    <row r="12804" spans="5:6" ht="15" customHeight="1" x14ac:dyDescent="0.2">
      <c r="E12804" s="18"/>
      <c r="F12804" s="18"/>
    </row>
    <row r="12805" spans="5:6" ht="15" customHeight="1" x14ac:dyDescent="0.2">
      <c r="E12805" s="18"/>
      <c r="F12805" s="18"/>
    </row>
    <row r="12806" spans="5:6" ht="15" customHeight="1" x14ac:dyDescent="0.2">
      <c r="E12806" s="18"/>
      <c r="F12806" s="18"/>
    </row>
    <row r="12807" spans="5:6" ht="15" customHeight="1" x14ac:dyDescent="0.2">
      <c r="E12807" s="18"/>
      <c r="F12807" s="18"/>
    </row>
    <row r="12808" spans="5:6" ht="15" customHeight="1" x14ac:dyDescent="0.2">
      <c r="E12808" s="18"/>
      <c r="F12808" s="18"/>
    </row>
    <row r="12809" spans="5:6" ht="15" customHeight="1" x14ac:dyDescent="0.2">
      <c r="E12809" s="18"/>
      <c r="F12809" s="18"/>
    </row>
    <row r="12810" spans="5:6" ht="15" customHeight="1" x14ac:dyDescent="0.2">
      <c r="E12810" s="18"/>
      <c r="F12810" s="18"/>
    </row>
    <row r="12811" spans="5:6" ht="15" customHeight="1" x14ac:dyDescent="0.2">
      <c r="E12811" s="18"/>
      <c r="F12811" s="18"/>
    </row>
    <row r="12812" spans="5:6" ht="15" customHeight="1" x14ac:dyDescent="0.2">
      <c r="E12812" s="18"/>
      <c r="F12812" s="18"/>
    </row>
    <row r="12813" spans="5:6" ht="15" customHeight="1" x14ac:dyDescent="0.2">
      <c r="E12813" s="18"/>
      <c r="F12813" s="18"/>
    </row>
    <row r="12814" spans="5:6" ht="15" customHeight="1" x14ac:dyDescent="0.2">
      <c r="E12814" s="18"/>
      <c r="F12814" s="18"/>
    </row>
    <row r="12815" spans="5:6" ht="15" customHeight="1" x14ac:dyDescent="0.2">
      <c r="E12815" s="18"/>
      <c r="F12815" s="18"/>
    </row>
    <row r="12816" spans="5:6" ht="15" customHeight="1" x14ac:dyDescent="0.2">
      <c r="E12816" s="18"/>
      <c r="F12816" s="18"/>
    </row>
    <row r="12817" spans="5:6" ht="15" customHeight="1" x14ac:dyDescent="0.2">
      <c r="E12817" s="18"/>
      <c r="F12817" s="18"/>
    </row>
    <row r="12818" spans="5:6" ht="15" customHeight="1" x14ac:dyDescent="0.2">
      <c r="E12818" s="18"/>
      <c r="F12818" s="18"/>
    </row>
    <row r="12819" spans="5:6" ht="15" customHeight="1" x14ac:dyDescent="0.2">
      <c r="E12819" s="18"/>
      <c r="F12819" s="18"/>
    </row>
    <row r="12820" spans="5:6" ht="15" customHeight="1" x14ac:dyDescent="0.2">
      <c r="E12820" s="18"/>
      <c r="F12820" s="18"/>
    </row>
    <row r="12821" spans="5:6" ht="15" customHeight="1" x14ac:dyDescent="0.2">
      <c r="E12821" s="18"/>
      <c r="F12821" s="18"/>
    </row>
    <row r="12822" spans="5:6" ht="15" customHeight="1" x14ac:dyDescent="0.2">
      <c r="E12822" s="18"/>
      <c r="F12822" s="18"/>
    </row>
    <row r="12823" spans="5:6" ht="15" customHeight="1" x14ac:dyDescent="0.2">
      <c r="E12823" s="18"/>
      <c r="F12823" s="18"/>
    </row>
    <row r="12824" spans="5:6" ht="15" customHeight="1" x14ac:dyDescent="0.2">
      <c r="E12824" s="18"/>
      <c r="F12824" s="18"/>
    </row>
    <row r="12825" spans="5:6" ht="15" customHeight="1" x14ac:dyDescent="0.2">
      <c r="E12825" s="18"/>
      <c r="F12825" s="18"/>
    </row>
    <row r="12826" spans="5:6" ht="15" customHeight="1" x14ac:dyDescent="0.2">
      <c r="E12826" s="18"/>
      <c r="F12826" s="18"/>
    </row>
    <row r="12827" spans="5:6" ht="15" customHeight="1" x14ac:dyDescent="0.2">
      <c r="E12827" s="18"/>
      <c r="F12827" s="18"/>
    </row>
    <row r="12828" spans="5:6" ht="15" customHeight="1" x14ac:dyDescent="0.2">
      <c r="E12828" s="18"/>
      <c r="F12828" s="18"/>
    </row>
    <row r="12829" spans="5:6" ht="15" customHeight="1" x14ac:dyDescent="0.2">
      <c r="E12829" s="18"/>
      <c r="F12829" s="18"/>
    </row>
    <row r="12830" spans="5:6" ht="15" customHeight="1" x14ac:dyDescent="0.2">
      <c r="E12830" s="18"/>
      <c r="F12830" s="18"/>
    </row>
    <row r="12831" spans="5:6" ht="15" customHeight="1" x14ac:dyDescent="0.2">
      <c r="E12831" s="18"/>
      <c r="F12831" s="18"/>
    </row>
    <row r="12832" spans="5:6" ht="15" customHeight="1" x14ac:dyDescent="0.2">
      <c r="E12832" s="18"/>
      <c r="F12832" s="18"/>
    </row>
    <row r="12833" spans="5:6" ht="15" customHeight="1" x14ac:dyDescent="0.2">
      <c r="E12833" s="18"/>
      <c r="F12833" s="18"/>
    </row>
    <row r="12834" spans="5:6" ht="15" customHeight="1" x14ac:dyDescent="0.2">
      <c r="E12834" s="18"/>
      <c r="F12834" s="18"/>
    </row>
    <row r="12835" spans="5:6" ht="15" customHeight="1" x14ac:dyDescent="0.2">
      <c r="E12835" s="18"/>
      <c r="F12835" s="18"/>
    </row>
    <row r="12836" spans="5:6" ht="15" customHeight="1" x14ac:dyDescent="0.2">
      <c r="E12836" s="18"/>
      <c r="F12836" s="18"/>
    </row>
    <row r="12837" spans="5:6" ht="15" customHeight="1" x14ac:dyDescent="0.2">
      <c r="E12837" s="18"/>
      <c r="F12837" s="18"/>
    </row>
    <row r="12838" spans="5:6" ht="15" customHeight="1" x14ac:dyDescent="0.2">
      <c r="E12838" s="18"/>
      <c r="F12838" s="18"/>
    </row>
    <row r="12839" spans="5:6" ht="15" customHeight="1" x14ac:dyDescent="0.2">
      <c r="E12839" s="18"/>
      <c r="F12839" s="18"/>
    </row>
    <row r="12840" spans="5:6" ht="15" customHeight="1" x14ac:dyDescent="0.2">
      <c r="E12840" s="18"/>
      <c r="F12840" s="18"/>
    </row>
    <row r="12841" spans="5:6" ht="15" customHeight="1" x14ac:dyDescent="0.2">
      <c r="E12841" s="18"/>
      <c r="F12841" s="18"/>
    </row>
    <row r="12842" spans="5:6" ht="15" customHeight="1" x14ac:dyDescent="0.2">
      <c r="E12842" s="18"/>
      <c r="F12842" s="18"/>
    </row>
    <row r="12843" spans="5:6" ht="15" customHeight="1" x14ac:dyDescent="0.2">
      <c r="E12843" s="18"/>
      <c r="F12843" s="18"/>
    </row>
    <row r="12844" spans="5:6" ht="15" customHeight="1" x14ac:dyDescent="0.2">
      <c r="E12844" s="18"/>
      <c r="F12844" s="18"/>
    </row>
    <row r="12845" spans="5:6" ht="15" customHeight="1" x14ac:dyDescent="0.2">
      <c r="E12845" s="18"/>
      <c r="F12845" s="18"/>
    </row>
    <row r="12846" spans="5:6" ht="15" customHeight="1" x14ac:dyDescent="0.2">
      <c r="E12846" s="18"/>
      <c r="F12846" s="18"/>
    </row>
    <row r="12847" spans="5:6" ht="15" customHeight="1" x14ac:dyDescent="0.2">
      <c r="E12847" s="18"/>
      <c r="F12847" s="18"/>
    </row>
    <row r="12848" spans="5:6" ht="15" customHeight="1" x14ac:dyDescent="0.2">
      <c r="E12848" s="18"/>
      <c r="F12848" s="18"/>
    </row>
    <row r="12849" spans="5:6" ht="15" customHeight="1" x14ac:dyDescent="0.2">
      <c r="E12849" s="18"/>
      <c r="F12849" s="18"/>
    </row>
    <row r="12850" spans="5:6" ht="15" customHeight="1" x14ac:dyDescent="0.2">
      <c r="E12850" s="18"/>
      <c r="F12850" s="18"/>
    </row>
    <row r="12851" spans="5:6" ht="15" customHeight="1" x14ac:dyDescent="0.2">
      <c r="E12851" s="18"/>
      <c r="F12851" s="18"/>
    </row>
    <row r="12852" spans="5:6" ht="15" customHeight="1" x14ac:dyDescent="0.2">
      <c r="E12852" s="18"/>
      <c r="F12852" s="18"/>
    </row>
    <row r="12853" spans="5:6" ht="15" customHeight="1" x14ac:dyDescent="0.2">
      <c r="E12853" s="18"/>
      <c r="F12853" s="18"/>
    </row>
    <row r="12854" spans="5:6" ht="15" customHeight="1" x14ac:dyDescent="0.2">
      <c r="E12854" s="18"/>
      <c r="F12854" s="18"/>
    </row>
    <row r="12855" spans="5:6" ht="15" customHeight="1" x14ac:dyDescent="0.2">
      <c r="E12855" s="18"/>
      <c r="F12855" s="18"/>
    </row>
    <row r="12856" spans="5:6" ht="15" customHeight="1" x14ac:dyDescent="0.2">
      <c r="E12856" s="18"/>
      <c r="F12856" s="18"/>
    </row>
    <row r="12857" spans="5:6" ht="15" customHeight="1" x14ac:dyDescent="0.2">
      <c r="E12857" s="18"/>
      <c r="F12857" s="18"/>
    </row>
    <row r="12858" spans="5:6" ht="15" customHeight="1" x14ac:dyDescent="0.2">
      <c r="E12858" s="18"/>
      <c r="F12858" s="18"/>
    </row>
    <row r="12859" spans="5:6" ht="15" customHeight="1" x14ac:dyDescent="0.2">
      <c r="E12859" s="18"/>
      <c r="F12859" s="18"/>
    </row>
    <row r="12860" spans="5:6" ht="15" customHeight="1" x14ac:dyDescent="0.2">
      <c r="E12860" s="18"/>
      <c r="F12860" s="18"/>
    </row>
    <row r="12861" spans="5:6" ht="15" customHeight="1" x14ac:dyDescent="0.2">
      <c r="E12861" s="18"/>
      <c r="F12861" s="18"/>
    </row>
    <row r="12862" spans="5:6" ht="15" customHeight="1" x14ac:dyDescent="0.2">
      <c r="E12862" s="18"/>
      <c r="F12862" s="18"/>
    </row>
    <row r="12863" spans="5:6" ht="15" customHeight="1" x14ac:dyDescent="0.2">
      <c r="E12863" s="18"/>
      <c r="F12863" s="18"/>
    </row>
    <row r="12864" spans="5:6" ht="15" customHeight="1" x14ac:dyDescent="0.2">
      <c r="E12864" s="18"/>
      <c r="F12864" s="18"/>
    </row>
    <row r="12865" spans="5:6" ht="15" customHeight="1" x14ac:dyDescent="0.2">
      <c r="E12865" s="18"/>
      <c r="F12865" s="18"/>
    </row>
    <row r="12866" spans="5:6" ht="15" customHeight="1" x14ac:dyDescent="0.2">
      <c r="E12866" s="18"/>
      <c r="F12866" s="18"/>
    </row>
    <row r="12867" spans="5:6" ht="15" customHeight="1" x14ac:dyDescent="0.2">
      <c r="E12867" s="18"/>
      <c r="F12867" s="18"/>
    </row>
    <row r="12868" spans="5:6" ht="15" customHeight="1" x14ac:dyDescent="0.2">
      <c r="E12868" s="18"/>
      <c r="F12868" s="18"/>
    </row>
    <row r="12869" spans="5:6" ht="15" customHeight="1" x14ac:dyDescent="0.2">
      <c r="E12869" s="18"/>
      <c r="F12869" s="18"/>
    </row>
    <row r="12870" spans="5:6" ht="15" customHeight="1" x14ac:dyDescent="0.2">
      <c r="E12870" s="18"/>
      <c r="F12870" s="18"/>
    </row>
    <row r="12871" spans="5:6" ht="15" customHeight="1" x14ac:dyDescent="0.2">
      <c r="E12871" s="18"/>
      <c r="F12871" s="18"/>
    </row>
    <row r="12872" spans="5:6" ht="15" customHeight="1" x14ac:dyDescent="0.2">
      <c r="E12872" s="18"/>
      <c r="F12872" s="18"/>
    </row>
    <row r="12873" spans="5:6" ht="15" customHeight="1" x14ac:dyDescent="0.2">
      <c r="E12873" s="18"/>
      <c r="F12873" s="18"/>
    </row>
    <row r="12874" spans="5:6" ht="15" customHeight="1" x14ac:dyDescent="0.2">
      <c r="E12874" s="18"/>
      <c r="F12874" s="18"/>
    </row>
    <row r="12875" spans="5:6" ht="15" customHeight="1" x14ac:dyDescent="0.2">
      <c r="E12875" s="18"/>
      <c r="F12875" s="18"/>
    </row>
    <row r="12876" spans="5:6" ht="15" customHeight="1" x14ac:dyDescent="0.2">
      <c r="E12876" s="18"/>
      <c r="F12876" s="18"/>
    </row>
    <row r="12877" spans="5:6" ht="15" customHeight="1" x14ac:dyDescent="0.2">
      <c r="E12877" s="18"/>
      <c r="F12877" s="18"/>
    </row>
    <row r="12878" spans="5:6" ht="15" customHeight="1" x14ac:dyDescent="0.2">
      <c r="E12878" s="18"/>
      <c r="F12878" s="18"/>
    </row>
    <row r="12879" spans="5:6" ht="15" customHeight="1" x14ac:dyDescent="0.2">
      <c r="E12879" s="18"/>
      <c r="F12879" s="18"/>
    </row>
    <row r="12880" spans="5:6" ht="15" customHeight="1" x14ac:dyDescent="0.2">
      <c r="E12880" s="18"/>
      <c r="F12880" s="18"/>
    </row>
    <row r="12881" spans="5:6" ht="15" customHeight="1" x14ac:dyDescent="0.2">
      <c r="E12881" s="18"/>
      <c r="F12881" s="18"/>
    </row>
    <row r="12882" spans="5:6" ht="15" customHeight="1" x14ac:dyDescent="0.2">
      <c r="E12882" s="18"/>
      <c r="F12882" s="18"/>
    </row>
    <row r="12883" spans="5:6" ht="15" customHeight="1" x14ac:dyDescent="0.2">
      <c r="E12883" s="18"/>
      <c r="F12883" s="18"/>
    </row>
    <row r="12884" spans="5:6" ht="15" customHeight="1" x14ac:dyDescent="0.2">
      <c r="E12884" s="18"/>
      <c r="F12884" s="18"/>
    </row>
    <row r="12885" spans="5:6" ht="15" customHeight="1" x14ac:dyDescent="0.2">
      <c r="E12885" s="18"/>
      <c r="F12885" s="18"/>
    </row>
    <row r="12886" spans="5:6" ht="15" customHeight="1" x14ac:dyDescent="0.2">
      <c r="E12886" s="18"/>
      <c r="F12886" s="18"/>
    </row>
    <row r="12887" spans="5:6" ht="15" customHeight="1" x14ac:dyDescent="0.2">
      <c r="E12887" s="18"/>
      <c r="F12887" s="18"/>
    </row>
    <row r="12888" spans="5:6" ht="15" customHeight="1" x14ac:dyDescent="0.2">
      <c r="E12888" s="18"/>
      <c r="F12888" s="18"/>
    </row>
    <row r="12889" spans="5:6" ht="15" customHeight="1" x14ac:dyDescent="0.2">
      <c r="E12889" s="18"/>
      <c r="F12889" s="18"/>
    </row>
    <row r="12890" spans="5:6" ht="15" customHeight="1" x14ac:dyDescent="0.2">
      <c r="E12890" s="18"/>
      <c r="F12890" s="18"/>
    </row>
    <row r="12891" spans="5:6" ht="15" customHeight="1" x14ac:dyDescent="0.2">
      <c r="E12891" s="18"/>
      <c r="F12891" s="18"/>
    </row>
    <row r="12892" spans="5:6" ht="15" customHeight="1" x14ac:dyDescent="0.2">
      <c r="E12892" s="18"/>
      <c r="F12892" s="18"/>
    </row>
    <row r="12893" spans="5:6" ht="15" customHeight="1" x14ac:dyDescent="0.2">
      <c r="E12893" s="18"/>
      <c r="F12893" s="18"/>
    </row>
    <row r="12894" spans="5:6" ht="15" customHeight="1" x14ac:dyDescent="0.2">
      <c r="E12894" s="18"/>
      <c r="F12894" s="18"/>
    </row>
    <row r="12895" spans="5:6" ht="15" customHeight="1" x14ac:dyDescent="0.2">
      <c r="E12895" s="18"/>
      <c r="F12895" s="18"/>
    </row>
    <row r="12896" spans="5:6" ht="15" customHeight="1" x14ac:dyDescent="0.2">
      <c r="E12896" s="18"/>
      <c r="F12896" s="18"/>
    </row>
    <row r="12897" spans="5:6" ht="15" customHeight="1" x14ac:dyDescent="0.2">
      <c r="E12897" s="18"/>
      <c r="F12897" s="18"/>
    </row>
    <row r="12898" spans="5:6" ht="15" customHeight="1" x14ac:dyDescent="0.2">
      <c r="E12898" s="18"/>
      <c r="F12898" s="18"/>
    </row>
    <row r="12899" spans="5:6" ht="15" customHeight="1" x14ac:dyDescent="0.2">
      <c r="E12899" s="18"/>
      <c r="F12899" s="18"/>
    </row>
    <row r="12900" spans="5:6" ht="15" customHeight="1" x14ac:dyDescent="0.2">
      <c r="E12900" s="18"/>
      <c r="F12900" s="18"/>
    </row>
    <row r="12901" spans="5:6" ht="15" customHeight="1" x14ac:dyDescent="0.2">
      <c r="E12901" s="18"/>
      <c r="F12901" s="18"/>
    </row>
    <row r="12902" spans="5:6" ht="15" customHeight="1" x14ac:dyDescent="0.2">
      <c r="E12902" s="18"/>
      <c r="F12902" s="18"/>
    </row>
    <row r="12903" spans="5:6" ht="15" customHeight="1" x14ac:dyDescent="0.2">
      <c r="E12903" s="18"/>
      <c r="F12903" s="18"/>
    </row>
    <row r="12904" spans="5:6" ht="15" customHeight="1" x14ac:dyDescent="0.2">
      <c r="E12904" s="18"/>
      <c r="F12904" s="18"/>
    </row>
    <row r="12905" spans="5:6" ht="15" customHeight="1" x14ac:dyDescent="0.2">
      <c r="E12905" s="18"/>
      <c r="F12905" s="18"/>
    </row>
    <row r="12906" spans="5:6" ht="15" customHeight="1" x14ac:dyDescent="0.2">
      <c r="E12906" s="18"/>
      <c r="F12906" s="18"/>
    </row>
    <row r="12907" spans="5:6" ht="15" customHeight="1" x14ac:dyDescent="0.2">
      <c r="E12907" s="18"/>
      <c r="F12907" s="18"/>
    </row>
    <row r="12908" spans="5:6" ht="15" customHeight="1" x14ac:dyDescent="0.2">
      <c r="E12908" s="18"/>
      <c r="F12908" s="18"/>
    </row>
    <row r="12909" spans="5:6" ht="15" customHeight="1" x14ac:dyDescent="0.2">
      <c r="E12909" s="18"/>
      <c r="F12909" s="18"/>
    </row>
    <row r="12910" spans="5:6" ht="15" customHeight="1" x14ac:dyDescent="0.2">
      <c r="E12910" s="18"/>
      <c r="F12910" s="18"/>
    </row>
    <row r="12911" spans="5:6" ht="15" customHeight="1" x14ac:dyDescent="0.2">
      <c r="E12911" s="18"/>
      <c r="F12911" s="18"/>
    </row>
    <row r="12912" spans="5:6" ht="15" customHeight="1" x14ac:dyDescent="0.2">
      <c r="E12912" s="18"/>
      <c r="F12912" s="18"/>
    </row>
    <row r="12913" spans="5:6" ht="15" customHeight="1" x14ac:dyDescent="0.2">
      <c r="E12913" s="18"/>
      <c r="F12913" s="18"/>
    </row>
    <row r="12914" spans="5:6" ht="15" customHeight="1" x14ac:dyDescent="0.2">
      <c r="E12914" s="18"/>
      <c r="F12914" s="18"/>
    </row>
    <row r="12915" spans="5:6" ht="15" customHeight="1" x14ac:dyDescent="0.2">
      <c r="E12915" s="18"/>
      <c r="F12915" s="18"/>
    </row>
    <row r="12916" spans="5:6" ht="15" customHeight="1" x14ac:dyDescent="0.2">
      <c r="E12916" s="18"/>
      <c r="F12916" s="18"/>
    </row>
    <row r="12917" spans="5:6" ht="15" customHeight="1" x14ac:dyDescent="0.2">
      <c r="E12917" s="18"/>
      <c r="F12917" s="18"/>
    </row>
    <row r="12918" spans="5:6" ht="15" customHeight="1" x14ac:dyDescent="0.2">
      <c r="E12918" s="18"/>
      <c r="F12918" s="18"/>
    </row>
    <row r="12919" spans="5:6" ht="15" customHeight="1" x14ac:dyDescent="0.2">
      <c r="E12919" s="18"/>
      <c r="F12919" s="18"/>
    </row>
    <row r="12920" spans="5:6" ht="15" customHeight="1" x14ac:dyDescent="0.2">
      <c r="E12920" s="18"/>
      <c r="F12920" s="18"/>
    </row>
    <row r="12921" spans="5:6" ht="15" customHeight="1" x14ac:dyDescent="0.2">
      <c r="E12921" s="18"/>
      <c r="F12921" s="18"/>
    </row>
    <row r="12922" spans="5:6" ht="15" customHeight="1" x14ac:dyDescent="0.2">
      <c r="E12922" s="18"/>
      <c r="F12922" s="18"/>
    </row>
    <row r="12923" spans="5:6" ht="15" customHeight="1" x14ac:dyDescent="0.2">
      <c r="E12923" s="18"/>
      <c r="F12923" s="18"/>
    </row>
    <row r="12924" spans="5:6" ht="15" customHeight="1" x14ac:dyDescent="0.2">
      <c r="E12924" s="18"/>
      <c r="F12924" s="18"/>
    </row>
    <row r="12925" spans="5:6" ht="15" customHeight="1" x14ac:dyDescent="0.2">
      <c r="E12925" s="18"/>
      <c r="F12925" s="18"/>
    </row>
    <row r="12926" spans="5:6" ht="15" customHeight="1" x14ac:dyDescent="0.2">
      <c r="E12926" s="18"/>
      <c r="F12926" s="18"/>
    </row>
    <row r="12927" spans="5:6" ht="15" customHeight="1" x14ac:dyDescent="0.2">
      <c r="E12927" s="18"/>
      <c r="F12927" s="18"/>
    </row>
    <row r="12928" spans="5:6" ht="15" customHeight="1" x14ac:dyDescent="0.2">
      <c r="E12928" s="18"/>
      <c r="F12928" s="18"/>
    </row>
    <row r="12929" spans="5:6" ht="15" customHeight="1" x14ac:dyDescent="0.2">
      <c r="E12929" s="18"/>
      <c r="F12929" s="18"/>
    </row>
    <row r="12930" spans="5:6" ht="15" customHeight="1" x14ac:dyDescent="0.2">
      <c r="E12930" s="18"/>
      <c r="F12930" s="18"/>
    </row>
    <row r="12931" spans="5:6" ht="15" customHeight="1" x14ac:dyDescent="0.2">
      <c r="E12931" s="18"/>
      <c r="F12931" s="18"/>
    </row>
    <row r="12932" spans="5:6" ht="15" customHeight="1" x14ac:dyDescent="0.2">
      <c r="E12932" s="18"/>
      <c r="F12932" s="18"/>
    </row>
    <row r="12933" spans="5:6" ht="15" customHeight="1" x14ac:dyDescent="0.2">
      <c r="E12933" s="18"/>
      <c r="F12933" s="18"/>
    </row>
    <row r="12934" spans="5:6" ht="15" customHeight="1" x14ac:dyDescent="0.2">
      <c r="E12934" s="18"/>
      <c r="F12934" s="18"/>
    </row>
    <row r="12935" spans="5:6" ht="15" customHeight="1" x14ac:dyDescent="0.2">
      <c r="E12935" s="18"/>
      <c r="F12935" s="18"/>
    </row>
    <row r="12936" spans="5:6" ht="15" customHeight="1" x14ac:dyDescent="0.2">
      <c r="E12936" s="18"/>
      <c r="F12936" s="18"/>
    </row>
    <row r="12937" spans="5:6" ht="15" customHeight="1" x14ac:dyDescent="0.2">
      <c r="E12937" s="18"/>
      <c r="F12937" s="18"/>
    </row>
    <row r="12938" spans="5:6" ht="15" customHeight="1" x14ac:dyDescent="0.2">
      <c r="E12938" s="18"/>
      <c r="F12938" s="18"/>
    </row>
    <row r="12939" spans="5:6" ht="15" customHeight="1" x14ac:dyDescent="0.2">
      <c r="E12939" s="18"/>
      <c r="F12939" s="18"/>
    </row>
    <row r="12940" spans="5:6" ht="15" customHeight="1" x14ac:dyDescent="0.2">
      <c r="E12940" s="18"/>
      <c r="F12940" s="18"/>
    </row>
    <row r="12941" spans="5:6" ht="15" customHeight="1" x14ac:dyDescent="0.2">
      <c r="E12941" s="18"/>
      <c r="F12941" s="18"/>
    </row>
    <row r="12942" spans="5:6" ht="15" customHeight="1" x14ac:dyDescent="0.2">
      <c r="E12942" s="18"/>
      <c r="F12942" s="18"/>
    </row>
    <row r="12943" spans="5:6" ht="15" customHeight="1" x14ac:dyDescent="0.2">
      <c r="E12943" s="18"/>
      <c r="F12943" s="18"/>
    </row>
    <row r="12944" spans="5:6" ht="15" customHeight="1" x14ac:dyDescent="0.2">
      <c r="E12944" s="18"/>
      <c r="F12944" s="18"/>
    </row>
    <row r="12945" spans="5:6" ht="15" customHeight="1" x14ac:dyDescent="0.2">
      <c r="E12945" s="18"/>
      <c r="F12945" s="18"/>
    </row>
    <row r="12946" spans="5:6" ht="15" customHeight="1" x14ac:dyDescent="0.2">
      <c r="E12946" s="18"/>
      <c r="F12946" s="18"/>
    </row>
    <row r="12947" spans="5:6" ht="15" customHeight="1" x14ac:dyDescent="0.2">
      <c r="E12947" s="18"/>
      <c r="F12947" s="18"/>
    </row>
    <row r="12948" spans="5:6" ht="15" customHeight="1" x14ac:dyDescent="0.2">
      <c r="E12948" s="18"/>
      <c r="F12948" s="18"/>
    </row>
    <row r="12949" spans="5:6" ht="15" customHeight="1" x14ac:dyDescent="0.2">
      <c r="E12949" s="18"/>
      <c r="F12949" s="18"/>
    </row>
    <row r="12950" spans="5:6" ht="15" customHeight="1" x14ac:dyDescent="0.2">
      <c r="E12950" s="18"/>
      <c r="F12950" s="18"/>
    </row>
    <row r="12951" spans="5:6" ht="15" customHeight="1" x14ac:dyDescent="0.2">
      <c r="E12951" s="18"/>
      <c r="F12951" s="18"/>
    </row>
    <row r="12952" spans="5:6" ht="15" customHeight="1" x14ac:dyDescent="0.2">
      <c r="E12952" s="18"/>
      <c r="F12952" s="18"/>
    </row>
    <row r="12953" spans="5:6" ht="15" customHeight="1" x14ac:dyDescent="0.2">
      <c r="E12953" s="18"/>
      <c r="F12953" s="18"/>
    </row>
    <row r="12954" spans="5:6" ht="15" customHeight="1" x14ac:dyDescent="0.2">
      <c r="E12954" s="18"/>
      <c r="F12954" s="18"/>
    </row>
    <row r="12955" spans="5:6" ht="15" customHeight="1" x14ac:dyDescent="0.2">
      <c r="E12955" s="18"/>
      <c r="F12955" s="18"/>
    </row>
    <row r="12956" spans="5:6" ht="15" customHeight="1" x14ac:dyDescent="0.2">
      <c r="E12956" s="18"/>
      <c r="F12956" s="18"/>
    </row>
    <row r="12957" spans="5:6" ht="15" customHeight="1" x14ac:dyDescent="0.2">
      <c r="E12957" s="18"/>
      <c r="F12957" s="18"/>
    </row>
    <row r="12958" spans="5:6" ht="15" customHeight="1" x14ac:dyDescent="0.2">
      <c r="E12958" s="18"/>
      <c r="F12958" s="18"/>
    </row>
    <row r="12959" spans="5:6" ht="15" customHeight="1" x14ac:dyDescent="0.2">
      <c r="E12959" s="18"/>
      <c r="F12959" s="18"/>
    </row>
    <row r="12960" spans="5:6" ht="15" customHeight="1" x14ac:dyDescent="0.2">
      <c r="E12960" s="18"/>
      <c r="F12960" s="18"/>
    </row>
    <row r="12961" spans="5:6" ht="15" customHeight="1" x14ac:dyDescent="0.2">
      <c r="E12961" s="18"/>
      <c r="F12961" s="18"/>
    </row>
    <row r="12962" spans="5:6" ht="15" customHeight="1" x14ac:dyDescent="0.2">
      <c r="E12962" s="18"/>
      <c r="F12962" s="18"/>
    </row>
    <row r="12963" spans="5:6" ht="15" customHeight="1" x14ac:dyDescent="0.2">
      <c r="E12963" s="18"/>
      <c r="F12963" s="18"/>
    </row>
    <row r="12964" spans="5:6" ht="15" customHeight="1" x14ac:dyDescent="0.2">
      <c r="E12964" s="18"/>
      <c r="F12964" s="18"/>
    </row>
    <row r="12965" spans="5:6" ht="15" customHeight="1" x14ac:dyDescent="0.2">
      <c r="E12965" s="18"/>
      <c r="F12965" s="18"/>
    </row>
    <row r="12966" spans="5:6" ht="15" customHeight="1" x14ac:dyDescent="0.2">
      <c r="E12966" s="18"/>
      <c r="F12966" s="18"/>
    </row>
    <row r="12967" spans="5:6" ht="15" customHeight="1" x14ac:dyDescent="0.2">
      <c r="E12967" s="18"/>
      <c r="F12967" s="18"/>
    </row>
    <row r="12968" spans="5:6" ht="15" customHeight="1" x14ac:dyDescent="0.2">
      <c r="E12968" s="18"/>
      <c r="F12968" s="18"/>
    </row>
    <row r="12969" spans="5:6" ht="15" customHeight="1" x14ac:dyDescent="0.2">
      <c r="E12969" s="18"/>
      <c r="F12969" s="18"/>
    </row>
    <row r="12970" spans="5:6" ht="15" customHeight="1" x14ac:dyDescent="0.2">
      <c r="E12970" s="18"/>
      <c r="F12970" s="18"/>
    </row>
    <row r="12971" spans="5:6" ht="15" customHeight="1" x14ac:dyDescent="0.2">
      <c r="E12971" s="18"/>
      <c r="F12971" s="18"/>
    </row>
    <row r="12972" spans="5:6" ht="15" customHeight="1" x14ac:dyDescent="0.2">
      <c r="E12972" s="18"/>
      <c r="F12972" s="18"/>
    </row>
    <row r="12973" spans="5:6" ht="15" customHeight="1" x14ac:dyDescent="0.2">
      <c r="E12973" s="18"/>
      <c r="F12973" s="18"/>
    </row>
    <row r="12974" spans="5:6" ht="15" customHeight="1" x14ac:dyDescent="0.2">
      <c r="E12974" s="18"/>
      <c r="F12974" s="18"/>
    </row>
    <row r="12975" spans="5:6" ht="15" customHeight="1" x14ac:dyDescent="0.2">
      <c r="E12975" s="18"/>
      <c r="F12975" s="18"/>
    </row>
    <row r="12976" spans="5:6" ht="15" customHeight="1" x14ac:dyDescent="0.2">
      <c r="E12976" s="18"/>
      <c r="F12976" s="18"/>
    </row>
    <row r="12977" spans="5:6" ht="15" customHeight="1" x14ac:dyDescent="0.2">
      <c r="E12977" s="18"/>
      <c r="F12977" s="18"/>
    </row>
    <row r="12978" spans="5:6" ht="15" customHeight="1" x14ac:dyDescent="0.2">
      <c r="E12978" s="18"/>
      <c r="F12978" s="18"/>
    </row>
    <row r="12979" spans="5:6" ht="15" customHeight="1" x14ac:dyDescent="0.2">
      <c r="E12979" s="18"/>
      <c r="F12979" s="18"/>
    </row>
    <row r="12980" spans="5:6" ht="15" customHeight="1" x14ac:dyDescent="0.2">
      <c r="E12980" s="18"/>
      <c r="F12980" s="18"/>
    </row>
    <row r="12981" spans="5:6" ht="15" customHeight="1" x14ac:dyDescent="0.2">
      <c r="E12981" s="18"/>
      <c r="F12981" s="18"/>
    </row>
    <row r="12982" spans="5:6" ht="15" customHeight="1" x14ac:dyDescent="0.2">
      <c r="E12982" s="18"/>
      <c r="F12982" s="18"/>
    </row>
    <row r="12983" spans="5:6" ht="15" customHeight="1" x14ac:dyDescent="0.2">
      <c r="E12983" s="18"/>
      <c r="F12983" s="18"/>
    </row>
    <row r="12984" spans="5:6" ht="15" customHeight="1" x14ac:dyDescent="0.2">
      <c r="E12984" s="18"/>
      <c r="F12984" s="18"/>
    </row>
    <row r="12985" spans="5:6" ht="15" customHeight="1" x14ac:dyDescent="0.2">
      <c r="E12985" s="18"/>
      <c r="F12985" s="18"/>
    </row>
    <row r="12986" spans="5:6" ht="15" customHeight="1" x14ac:dyDescent="0.2">
      <c r="E12986" s="18"/>
      <c r="F12986" s="18"/>
    </row>
    <row r="12987" spans="5:6" ht="15" customHeight="1" x14ac:dyDescent="0.2">
      <c r="E12987" s="18"/>
      <c r="F12987" s="18"/>
    </row>
    <row r="12988" spans="5:6" ht="15" customHeight="1" x14ac:dyDescent="0.2">
      <c r="E12988" s="18"/>
      <c r="F12988" s="18"/>
    </row>
    <row r="12989" spans="5:6" ht="15" customHeight="1" x14ac:dyDescent="0.2">
      <c r="E12989" s="18"/>
      <c r="F12989" s="18"/>
    </row>
    <row r="12990" spans="5:6" ht="15" customHeight="1" x14ac:dyDescent="0.2">
      <c r="E12990" s="18"/>
      <c r="F12990" s="18"/>
    </row>
    <row r="12991" spans="5:6" ht="15" customHeight="1" x14ac:dyDescent="0.2">
      <c r="E12991" s="18"/>
      <c r="F12991" s="18"/>
    </row>
    <row r="12992" spans="5:6" ht="15" customHeight="1" x14ac:dyDescent="0.2">
      <c r="E12992" s="18"/>
      <c r="F12992" s="18"/>
    </row>
    <row r="12993" spans="5:6" ht="15" customHeight="1" x14ac:dyDescent="0.2">
      <c r="E12993" s="18"/>
      <c r="F12993" s="18"/>
    </row>
    <row r="12994" spans="5:6" ht="15" customHeight="1" x14ac:dyDescent="0.2">
      <c r="E12994" s="18"/>
      <c r="F12994" s="18"/>
    </row>
    <row r="12995" spans="5:6" ht="15" customHeight="1" x14ac:dyDescent="0.2">
      <c r="E12995" s="18"/>
      <c r="F12995" s="18"/>
    </row>
    <row r="12996" spans="5:6" ht="15" customHeight="1" x14ac:dyDescent="0.2">
      <c r="E12996" s="18"/>
      <c r="F12996" s="18"/>
    </row>
    <row r="12997" spans="5:6" ht="15" customHeight="1" x14ac:dyDescent="0.2">
      <c r="E12997" s="18"/>
      <c r="F12997" s="18"/>
    </row>
    <row r="12998" spans="5:6" ht="15" customHeight="1" x14ac:dyDescent="0.2">
      <c r="E12998" s="18"/>
      <c r="F12998" s="18"/>
    </row>
    <row r="12999" spans="5:6" ht="15" customHeight="1" x14ac:dyDescent="0.2">
      <c r="E12999" s="18"/>
      <c r="F12999" s="18"/>
    </row>
    <row r="13000" spans="5:6" ht="15" customHeight="1" x14ac:dyDescent="0.2">
      <c r="E13000" s="18"/>
      <c r="F13000" s="18"/>
    </row>
    <row r="13001" spans="5:6" ht="15" customHeight="1" x14ac:dyDescent="0.2">
      <c r="E13001" s="18"/>
      <c r="F13001" s="18"/>
    </row>
    <row r="13002" spans="5:6" ht="15" customHeight="1" x14ac:dyDescent="0.2">
      <c r="E13002" s="18"/>
      <c r="F13002" s="18"/>
    </row>
    <row r="13003" spans="5:6" ht="15" customHeight="1" x14ac:dyDescent="0.2">
      <c r="E13003" s="18"/>
      <c r="F13003" s="18"/>
    </row>
    <row r="13004" spans="5:6" ht="15" customHeight="1" x14ac:dyDescent="0.2">
      <c r="E13004" s="18"/>
      <c r="F13004" s="18"/>
    </row>
    <row r="13005" spans="5:6" ht="15" customHeight="1" x14ac:dyDescent="0.2">
      <c r="E13005" s="18"/>
      <c r="F13005" s="18"/>
    </row>
    <row r="13006" spans="5:6" ht="15" customHeight="1" x14ac:dyDescent="0.2">
      <c r="E13006" s="18"/>
      <c r="F13006" s="18"/>
    </row>
    <row r="13007" spans="5:6" ht="15" customHeight="1" x14ac:dyDescent="0.2">
      <c r="E13007" s="18"/>
      <c r="F13007" s="18"/>
    </row>
    <row r="13008" spans="5:6" ht="15" customHeight="1" x14ac:dyDescent="0.2">
      <c r="E13008" s="18"/>
      <c r="F13008" s="18"/>
    </row>
    <row r="13009" spans="5:6" ht="15" customHeight="1" x14ac:dyDescent="0.2">
      <c r="E13009" s="18"/>
      <c r="F13009" s="18"/>
    </row>
    <row r="13010" spans="5:6" ht="15" customHeight="1" x14ac:dyDescent="0.2">
      <c r="E13010" s="18"/>
      <c r="F13010" s="18"/>
    </row>
    <row r="13011" spans="5:6" ht="15" customHeight="1" x14ac:dyDescent="0.2">
      <c r="E13011" s="18"/>
      <c r="F13011" s="18"/>
    </row>
    <row r="13012" spans="5:6" ht="15" customHeight="1" x14ac:dyDescent="0.2">
      <c r="E13012" s="18"/>
      <c r="F13012" s="18"/>
    </row>
    <row r="13013" spans="5:6" ht="15" customHeight="1" x14ac:dyDescent="0.2">
      <c r="E13013" s="18"/>
      <c r="F13013" s="18"/>
    </row>
    <row r="13014" spans="5:6" ht="15" customHeight="1" x14ac:dyDescent="0.2">
      <c r="E13014" s="18"/>
      <c r="F13014" s="18"/>
    </row>
    <row r="13015" spans="5:6" ht="15" customHeight="1" x14ac:dyDescent="0.2">
      <c r="E13015" s="18"/>
      <c r="F13015" s="18"/>
    </row>
    <row r="13016" spans="5:6" ht="15" customHeight="1" x14ac:dyDescent="0.2">
      <c r="E13016" s="18"/>
      <c r="F13016" s="18"/>
    </row>
    <row r="13017" spans="5:6" ht="15" customHeight="1" x14ac:dyDescent="0.2">
      <c r="E13017" s="18"/>
      <c r="F13017" s="18"/>
    </row>
    <row r="13018" spans="5:6" ht="15" customHeight="1" x14ac:dyDescent="0.2">
      <c r="E13018" s="18"/>
      <c r="F13018" s="18"/>
    </row>
    <row r="13019" spans="5:6" ht="15" customHeight="1" x14ac:dyDescent="0.2">
      <c r="E13019" s="18"/>
      <c r="F13019" s="18"/>
    </row>
    <row r="13020" spans="5:6" ht="15" customHeight="1" x14ac:dyDescent="0.2">
      <c r="E13020" s="18"/>
      <c r="F13020" s="18"/>
    </row>
    <row r="13021" spans="5:6" ht="15" customHeight="1" x14ac:dyDescent="0.2">
      <c r="E13021" s="18"/>
      <c r="F13021" s="18"/>
    </row>
    <row r="13022" spans="5:6" ht="15" customHeight="1" x14ac:dyDescent="0.2">
      <c r="E13022" s="18"/>
      <c r="F13022" s="18"/>
    </row>
    <row r="13023" spans="5:6" ht="15" customHeight="1" x14ac:dyDescent="0.2">
      <c r="E13023" s="18"/>
      <c r="F13023" s="18"/>
    </row>
    <row r="13024" spans="5:6" ht="15" customHeight="1" x14ac:dyDescent="0.2">
      <c r="E13024" s="18"/>
      <c r="F13024" s="18"/>
    </row>
    <row r="13025" spans="5:6" ht="15" customHeight="1" x14ac:dyDescent="0.2">
      <c r="E13025" s="18"/>
      <c r="F13025" s="18"/>
    </row>
    <row r="13026" spans="5:6" ht="15" customHeight="1" x14ac:dyDescent="0.2">
      <c r="E13026" s="18"/>
      <c r="F13026" s="18"/>
    </row>
    <row r="13027" spans="5:6" ht="15" customHeight="1" x14ac:dyDescent="0.2">
      <c r="E13027" s="18"/>
      <c r="F13027" s="18"/>
    </row>
    <row r="13028" spans="5:6" ht="15" customHeight="1" x14ac:dyDescent="0.2">
      <c r="E13028" s="18"/>
      <c r="F13028" s="18"/>
    </row>
    <row r="13029" spans="5:6" ht="15" customHeight="1" x14ac:dyDescent="0.2">
      <c r="E13029" s="18"/>
      <c r="F13029" s="18"/>
    </row>
    <row r="13030" spans="5:6" ht="15" customHeight="1" x14ac:dyDescent="0.2">
      <c r="E13030" s="18"/>
      <c r="F13030" s="18"/>
    </row>
    <row r="13031" spans="5:6" ht="15" customHeight="1" x14ac:dyDescent="0.2">
      <c r="E13031" s="18"/>
      <c r="F13031" s="18"/>
    </row>
    <row r="13032" spans="5:6" ht="15" customHeight="1" x14ac:dyDescent="0.2">
      <c r="E13032" s="18"/>
      <c r="F13032" s="18"/>
    </row>
    <row r="13033" spans="5:6" ht="15" customHeight="1" x14ac:dyDescent="0.2">
      <c r="E13033" s="18"/>
      <c r="F13033" s="18"/>
    </row>
    <row r="13034" spans="5:6" ht="15" customHeight="1" x14ac:dyDescent="0.2">
      <c r="E13034" s="18"/>
      <c r="F13034" s="18"/>
    </row>
    <row r="13035" spans="5:6" ht="15" customHeight="1" x14ac:dyDescent="0.2">
      <c r="E13035" s="18"/>
      <c r="F13035" s="18"/>
    </row>
    <row r="13036" spans="5:6" ht="15" customHeight="1" x14ac:dyDescent="0.2">
      <c r="E13036" s="18"/>
      <c r="F13036" s="18"/>
    </row>
    <row r="13037" spans="5:6" ht="15" customHeight="1" x14ac:dyDescent="0.2">
      <c r="E13037" s="18"/>
      <c r="F13037" s="18"/>
    </row>
    <row r="13038" spans="5:6" ht="15" customHeight="1" x14ac:dyDescent="0.2">
      <c r="E13038" s="18"/>
      <c r="F13038" s="18"/>
    </row>
    <row r="13039" spans="5:6" ht="15" customHeight="1" x14ac:dyDescent="0.2">
      <c r="E13039" s="18"/>
      <c r="F13039" s="18"/>
    </row>
    <row r="13040" spans="5:6" ht="15" customHeight="1" x14ac:dyDescent="0.2">
      <c r="E13040" s="18"/>
      <c r="F13040" s="18"/>
    </row>
    <row r="13041" spans="5:6" ht="15" customHeight="1" x14ac:dyDescent="0.2">
      <c r="E13041" s="18"/>
      <c r="F13041" s="18"/>
    </row>
    <row r="13042" spans="5:6" ht="15" customHeight="1" x14ac:dyDescent="0.2">
      <c r="E13042" s="18"/>
      <c r="F13042" s="18"/>
    </row>
    <row r="13043" spans="5:6" ht="15" customHeight="1" x14ac:dyDescent="0.2">
      <c r="E13043" s="18"/>
      <c r="F13043" s="18"/>
    </row>
    <row r="13044" spans="5:6" ht="15" customHeight="1" x14ac:dyDescent="0.2">
      <c r="E13044" s="18"/>
      <c r="F13044" s="18"/>
    </row>
    <row r="13045" spans="5:6" ht="15" customHeight="1" x14ac:dyDescent="0.2">
      <c r="E13045" s="18"/>
      <c r="F13045" s="18"/>
    </row>
    <row r="13046" spans="5:6" ht="15" customHeight="1" x14ac:dyDescent="0.2">
      <c r="E13046" s="18"/>
      <c r="F13046" s="18"/>
    </row>
    <row r="13047" spans="5:6" ht="15" customHeight="1" x14ac:dyDescent="0.2">
      <c r="E13047" s="18"/>
      <c r="F13047" s="18"/>
    </row>
    <row r="13048" spans="5:6" ht="15" customHeight="1" x14ac:dyDescent="0.2">
      <c r="E13048" s="18"/>
      <c r="F13048" s="18"/>
    </row>
    <row r="13049" spans="5:6" ht="15" customHeight="1" x14ac:dyDescent="0.2">
      <c r="E13049" s="18"/>
      <c r="F13049" s="18"/>
    </row>
    <row r="13050" spans="5:6" ht="15" customHeight="1" x14ac:dyDescent="0.2">
      <c r="E13050" s="18"/>
      <c r="F13050" s="18"/>
    </row>
    <row r="13051" spans="5:6" ht="15" customHeight="1" x14ac:dyDescent="0.2">
      <c r="E13051" s="18"/>
      <c r="F13051" s="18"/>
    </row>
    <row r="13052" spans="5:6" ht="15" customHeight="1" x14ac:dyDescent="0.2">
      <c r="E13052" s="18"/>
      <c r="F13052" s="18"/>
    </row>
    <row r="13053" spans="5:6" ht="15" customHeight="1" x14ac:dyDescent="0.2">
      <c r="E13053" s="18"/>
      <c r="F13053" s="18"/>
    </row>
    <row r="13054" spans="5:6" ht="15" customHeight="1" x14ac:dyDescent="0.2">
      <c r="E13054" s="18"/>
      <c r="F13054" s="18"/>
    </row>
    <row r="13055" spans="5:6" ht="15" customHeight="1" x14ac:dyDescent="0.2">
      <c r="E13055" s="18"/>
      <c r="F13055" s="18"/>
    </row>
    <row r="13056" spans="5:6" ht="15" customHeight="1" x14ac:dyDescent="0.2">
      <c r="E13056" s="18"/>
      <c r="F13056" s="18"/>
    </row>
    <row r="13057" spans="5:6" ht="15" customHeight="1" x14ac:dyDescent="0.2">
      <c r="E13057" s="18"/>
      <c r="F13057" s="18"/>
    </row>
    <row r="13058" spans="5:6" ht="15" customHeight="1" x14ac:dyDescent="0.2">
      <c r="E13058" s="18"/>
      <c r="F13058" s="18"/>
    </row>
    <row r="13059" spans="5:6" ht="15" customHeight="1" x14ac:dyDescent="0.2">
      <c r="E13059" s="18"/>
      <c r="F13059" s="18"/>
    </row>
    <row r="13060" spans="5:6" ht="15" customHeight="1" x14ac:dyDescent="0.2">
      <c r="E13060" s="18"/>
      <c r="F13060" s="18"/>
    </row>
    <row r="13061" spans="5:6" ht="15" customHeight="1" x14ac:dyDescent="0.2">
      <c r="E13061" s="18"/>
      <c r="F13061" s="18"/>
    </row>
    <row r="13062" spans="5:6" ht="15" customHeight="1" x14ac:dyDescent="0.2">
      <c r="E13062" s="18"/>
      <c r="F13062" s="18"/>
    </row>
    <row r="13063" spans="5:6" ht="15" customHeight="1" x14ac:dyDescent="0.2">
      <c r="E13063" s="18"/>
      <c r="F13063" s="18"/>
    </row>
    <row r="13064" spans="5:6" ht="15" customHeight="1" x14ac:dyDescent="0.2">
      <c r="E13064" s="18"/>
      <c r="F13064" s="18"/>
    </row>
    <row r="13065" spans="5:6" ht="15" customHeight="1" x14ac:dyDescent="0.2">
      <c r="E13065" s="18"/>
      <c r="F13065" s="18"/>
    </row>
    <row r="13066" spans="5:6" ht="15" customHeight="1" x14ac:dyDescent="0.2">
      <c r="E13066" s="18"/>
      <c r="F13066" s="18"/>
    </row>
    <row r="13067" spans="5:6" ht="15" customHeight="1" x14ac:dyDescent="0.2">
      <c r="E13067" s="18"/>
      <c r="F13067" s="18"/>
    </row>
    <row r="13068" spans="5:6" ht="15" customHeight="1" x14ac:dyDescent="0.2">
      <c r="E13068" s="18"/>
      <c r="F13068" s="18"/>
    </row>
    <row r="13069" spans="5:6" ht="15" customHeight="1" x14ac:dyDescent="0.2">
      <c r="E13069" s="18"/>
      <c r="F13069" s="18"/>
    </row>
    <row r="13070" spans="5:6" ht="15" customHeight="1" x14ac:dyDescent="0.2">
      <c r="E13070" s="18"/>
      <c r="F13070" s="18"/>
    </row>
    <row r="13071" spans="5:6" ht="15" customHeight="1" x14ac:dyDescent="0.2">
      <c r="E13071" s="18"/>
      <c r="F13071" s="18"/>
    </row>
    <row r="13072" spans="5:6" ht="15" customHeight="1" x14ac:dyDescent="0.2">
      <c r="E13072" s="18"/>
      <c r="F13072" s="18"/>
    </row>
    <row r="13073" spans="5:6" ht="15" customHeight="1" x14ac:dyDescent="0.2">
      <c r="E13073" s="18"/>
      <c r="F13073" s="18"/>
    </row>
    <row r="13074" spans="5:6" ht="15" customHeight="1" x14ac:dyDescent="0.2">
      <c r="E13074" s="18"/>
      <c r="F13074" s="18"/>
    </row>
    <row r="13075" spans="5:6" ht="15" customHeight="1" x14ac:dyDescent="0.2">
      <c r="E13075" s="18"/>
      <c r="F13075" s="18"/>
    </row>
    <row r="13076" spans="5:6" ht="15" customHeight="1" x14ac:dyDescent="0.2">
      <c r="E13076" s="18"/>
      <c r="F13076" s="18"/>
    </row>
    <row r="13077" spans="5:6" ht="15" customHeight="1" x14ac:dyDescent="0.2">
      <c r="E13077" s="18"/>
      <c r="F13077" s="18"/>
    </row>
    <row r="13078" spans="5:6" ht="15" customHeight="1" x14ac:dyDescent="0.2">
      <c r="E13078" s="18"/>
      <c r="F13078" s="18"/>
    </row>
    <row r="13079" spans="5:6" ht="15" customHeight="1" x14ac:dyDescent="0.2">
      <c r="E13079" s="18"/>
      <c r="F13079" s="18"/>
    </row>
    <row r="13080" spans="5:6" ht="15" customHeight="1" x14ac:dyDescent="0.2">
      <c r="E13080" s="18"/>
      <c r="F13080" s="18"/>
    </row>
    <row r="13081" spans="5:6" ht="15" customHeight="1" x14ac:dyDescent="0.2">
      <c r="E13081" s="18"/>
      <c r="F13081" s="18"/>
    </row>
    <row r="13082" spans="5:6" ht="15" customHeight="1" x14ac:dyDescent="0.2">
      <c r="E13082" s="18"/>
      <c r="F13082" s="18"/>
    </row>
    <row r="13083" spans="5:6" ht="15" customHeight="1" x14ac:dyDescent="0.2">
      <c r="E13083" s="18"/>
      <c r="F13083" s="18"/>
    </row>
    <row r="13084" spans="5:6" ht="15" customHeight="1" x14ac:dyDescent="0.2">
      <c r="E13084" s="18"/>
      <c r="F13084" s="18"/>
    </row>
    <row r="13085" spans="5:6" ht="15" customHeight="1" x14ac:dyDescent="0.2">
      <c r="E13085" s="18"/>
      <c r="F13085" s="18"/>
    </row>
    <row r="13086" spans="5:6" ht="15" customHeight="1" x14ac:dyDescent="0.2">
      <c r="E13086" s="18"/>
      <c r="F13086" s="18"/>
    </row>
    <row r="13087" spans="5:6" ht="15" customHeight="1" x14ac:dyDescent="0.2">
      <c r="E13087" s="18"/>
      <c r="F13087" s="18"/>
    </row>
    <row r="13088" spans="5:6" ht="15" customHeight="1" x14ac:dyDescent="0.2">
      <c r="E13088" s="18"/>
      <c r="F13088" s="18"/>
    </row>
    <row r="13089" spans="5:6" ht="15" customHeight="1" x14ac:dyDescent="0.2">
      <c r="E13089" s="18"/>
      <c r="F13089" s="18"/>
    </row>
    <row r="13090" spans="5:6" ht="15" customHeight="1" x14ac:dyDescent="0.2">
      <c r="E13090" s="18"/>
      <c r="F13090" s="18"/>
    </row>
    <row r="13091" spans="5:6" ht="15" customHeight="1" x14ac:dyDescent="0.2">
      <c r="E13091" s="18"/>
      <c r="F13091" s="18"/>
    </row>
    <row r="13092" spans="5:6" ht="15" customHeight="1" x14ac:dyDescent="0.2">
      <c r="E13092" s="18"/>
      <c r="F13092" s="18"/>
    </row>
    <row r="13093" spans="5:6" ht="15" customHeight="1" x14ac:dyDescent="0.2">
      <c r="E13093" s="18"/>
      <c r="F13093" s="18"/>
    </row>
    <row r="13094" spans="5:6" ht="15" customHeight="1" x14ac:dyDescent="0.2">
      <c r="E13094" s="18"/>
      <c r="F13094" s="18"/>
    </row>
    <row r="13095" spans="5:6" ht="15" customHeight="1" x14ac:dyDescent="0.2">
      <c r="E13095" s="18"/>
      <c r="F13095" s="18"/>
    </row>
    <row r="13096" spans="5:6" ht="15" customHeight="1" x14ac:dyDescent="0.2">
      <c r="E13096" s="18"/>
      <c r="F13096" s="18"/>
    </row>
    <row r="13097" spans="5:6" ht="15" customHeight="1" x14ac:dyDescent="0.2">
      <c r="E13097" s="18"/>
      <c r="F13097" s="18"/>
    </row>
    <row r="13098" spans="5:6" ht="15" customHeight="1" x14ac:dyDescent="0.2">
      <c r="E13098" s="18"/>
      <c r="F13098" s="18"/>
    </row>
    <row r="13099" spans="5:6" ht="15" customHeight="1" x14ac:dyDescent="0.2">
      <c r="E13099" s="18"/>
      <c r="F13099" s="18"/>
    </row>
    <row r="13100" spans="5:6" ht="15" customHeight="1" x14ac:dyDescent="0.2">
      <c r="E13100" s="18"/>
      <c r="F13100" s="18"/>
    </row>
    <row r="13101" spans="5:6" ht="15" customHeight="1" x14ac:dyDescent="0.2">
      <c r="E13101" s="18"/>
      <c r="F13101" s="18"/>
    </row>
    <row r="13102" spans="5:6" ht="15" customHeight="1" x14ac:dyDescent="0.2">
      <c r="E13102" s="18"/>
      <c r="F13102" s="18"/>
    </row>
    <row r="13103" spans="5:6" ht="15" customHeight="1" x14ac:dyDescent="0.2">
      <c r="E13103" s="18"/>
      <c r="F13103" s="18"/>
    </row>
    <row r="13104" spans="5:6" ht="15" customHeight="1" x14ac:dyDescent="0.2">
      <c r="E13104" s="18"/>
      <c r="F13104" s="18"/>
    </row>
    <row r="13105" spans="5:6" ht="15" customHeight="1" x14ac:dyDescent="0.2">
      <c r="E13105" s="18"/>
      <c r="F13105" s="18"/>
    </row>
    <row r="13106" spans="5:6" ht="15" customHeight="1" x14ac:dyDescent="0.2">
      <c r="E13106" s="18"/>
      <c r="F13106" s="18"/>
    </row>
    <row r="13107" spans="5:6" ht="15" customHeight="1" x14ac:dyDescent="0.2">
      <c r="E13107" s="18"/>
      <c r="F13107" s="18"/>
    </row>
    <row r="13108" spans="5:6" ht="15" customHeight="1" x14ac:dyDescent="0.2">
      <c r="E13108" s="18"/>
      <c r="F13108" s="18"/>
    </row>
    <row r="13109" spans="5:6" ht="15" customHeight="1" x14ac:dyDescent="0.2">
      <c r="E13109" s="18"/>
      <c r="F13109" s="18"/>
    </row>
    <row r="13110" spans="5:6" ht="15" customHeight="1" x14ac:dyDescent="0.2">
      <c r="E13110" s="18"/>
      <c r="F13110" s="18"/>
    </row>
    <row r="13111" spans="5:6" ht="15" customHeight="1" x14ac:dyDescent="0.2">
      <c r="E13111" s="18"/>
      <c r="F13111" s="18"/>
    </row>
    <row r="13112" spans="5:6" ht="15" customHeight="1" x14ac:dyDescent="0.2">
      <c r="E13112" s="18"/>
      <c r="F13112" s="18"/>
    </row>
    <row r="13113" spans="5:6" ht="15" customHeight="1" x14ac:dyDescent="0.2">
      <c r="E13113" s="18"/>
      <c r="F13113" s="18"/>
    </row>
    <row r="13114" spans="5:6" ht="15" customHeight="1" x14ac:dyDescent="0.2">
      <c r="E13114" s="18"/>
      <c r="F13114" s="18"/>
    </row>
    <row r="13115" spans="5:6" ht="15" customHeight="1" x14ac:dyDescent="0.2">
      <c r="E13115" s="18"/>
      <c r="F13115" s="18"/>
    </row>
    <row r="13116" spans="5:6" ht="15" customHeight="1" x14ac:dyDescent="0.2">
      <c r="E13116" s="18"/>
      <c r="F13116" s="18"/>
    </row>
    <row r="13117" spans="5:6" ht="15" customHeight="1" x14ac:dyDescent="0.2">
      <c r="E13117" s="18"/>
      <c r="F13117" s="18"/>
    </row>
    <row r="13118" spans="5:6" ht="15" customHeight="1" x14ac:dyDescent="0.2">
      <c r="E13118" s="18"/>
      <c r="F13118" s="18"/>
    </row>
    <row r="13119" spans="5:6" ht="15" customHeight="1" x14ac:dyDescent="0.2">
      <c r="E13119" s="18"/>
      <c r="F13119" s="18"/>
    </row>
    <row r="13120" spans="5:6" ht="15" customHeight="1" x14ac:dyDescent="0.2">
      <c r="E13120" s="18"/>
      <c r="F13120" s="18"/>
    </row>
    <row r="13121" spans="5:6" ht="15" customHeight="1" x14ac:dyDescent="0.2">
      <c r="E13121" s="18"/>
      <c r="F13121" s="18"/>
    </row>
    <row r="13122" spans="5:6" ht="15" customHeight="1" x14ac:dyDescent="0.2">
      <c r="E13122" s="18"/>
      <c r="F13122" s="18"/>
    </row>
    <row r="13123" spans="5:6" ht="15" customHeight="1" x14ac:dyDescent="0.2">
      <c r="E13123" s="18"/>
      <c r="F13123" s="18"/>
    </row>
    <row r="13124" spans="5:6" ht="15" customHeight="1" x14ac:dyDescent="0.2">
      <c r="E13124" s="18"/>
      <c r="F13124" s="18"/>
    </row>
    <row r="13125" spans="5:6" ht="15" customHeight="1" x14ac:dyDescent="0.2">
      <c r="E13125" s="18"/>
      <c r="F13125" s="18"/>
    </row>
    <row r="13126" spans="5:6" ht="15" customHeight="1" x14ac:dyDescent="0.2">
      <c r="E13126" s="18"/>
      <c r="F13126" s="18"/>
    </row>
    <row r="13127" spans="5:6" ht="15" customHeight="1" x14ac:dyDescent="0.2">
      <c r="E13127" s="18"/>
      <c r="F13127" s="18"/>
    </row>
    <row r="13128" spans="5:6" ht="15" customHeight="1" x14ac:dyDescent="0.2">
      <c r="E13128" s="18"/>
      <c r="F13128" s="18"/>
    </row>
    <row r="13129" spans="5:6" ht="15" customHeight="1" x14ac:dyDescent="0.2">
      <c r="E13129" s="18"/>
      <c r="F13129" s="18"/>
    </row>
    <row r="13130" spans="5:6" ht="15" customHeight="1" x14ac:dyDescent="0.2">
      <c r="E13130" s="18"/>
      <c r="F13130" s="18"/>
    </row>
    <row r="13131" spans="5:6" ht="15" customHeight="1" x14ac:dyDescent="0.2">
      <c r="E13131" s="18"/>
      <c r="F13131" s="18"/>
    </row>
    <row r="13132" spans="5:6" ht="15" customHeight="1" x14ac:dyDescent="0.2">
      <c r="E13132" s="18"/>
      <c r="F13132" s="18"/>
    </row>
    <row r="13133" spans="5:6" ht="15" customHeight="1" x14ac:dyDescent="0.2">
      <c r="E13133" s="18"/>
      <c r="F13133" s="18"/>
    </row>
    <row r="13134" spans="5:6" ht="15" customHeight="1" x14ac:dyDescent="0.2">
      <c r="E13134" s="18"/>
      <c r="F13134" s="18"/>
    </row>
    <row r="13135" spans="5:6" ht="15" customHeight="1" x14ac:dyDescent="0.2">
      <c r="E13135" s="18"/>
      <c r="F13135" s="18"/>
    </row>
    <row r="13136" spans="5:6" ht="15" customHeight="1" x14ac:dyDescent="0.2">
      <c r="E13136" s="18"/>
      <c r="F13136" s="18"/>
    </row>
    <row r="13137" spans="5:6" ht="15" customHeight="1" x14ac:dyDescent="0.2">
      <c r="E13137" s="18"/>
      <c r="F13137" s="18"/>
    </row>
    <row r="13138" spans="5:6" ht="15" customHeight="1" x14ac:dyDescent="0.2">
      <c r="E13138" s="18"/>
      <c r="F13138" s="18"/>
    </row>
    <row r="13139" spans="5:6" ht="15" customHeight="1" x14ac:dyDescent="0.2">
      <c r="E13139" s="18"/>
      <c r="F13139" s="18"/>
    </row>
    <row r="13140" spans="5:6" ht="15" customHeight="1" x14ac:dyDescent="0.2">
      <c r="E13140" s="18"/>
      <c r="F13140" s="18"/>
    </row>
    <row r="13141" spans="5:6" ht="15" customHeight="1" x14ac:dyDescent="0.2">
      <c r="E13141" s="18"/>
      <c r="F13141" s="18"/>
    </row>
    <row r="13142" spans="5:6" ht="15" customHeight="1" x14ac:dyDescent="0.2">
      <c r="E13142" s="18"/>
      <c r="F13142" s="18"/>
    </row>
    <row r="13143" spans="5:6" ht="15" customHeight="1" x14ac:dyDescent="0.2">
      <c r="E13143" s="18"/>
      <c r="F13143" s="18"/>
    </row>
    <row r="13144" spans="5:6" ht="15" customHeight="1" x14ac:dyDescent="0.2">
      <c r="E13144" s="18"/>
      <c r="F13144" s="18"/>
    </row>
    <row r="13145" spans="5:6" ht="15" customHeight="1" x14ac:dyDescent="0.2">
      <c r="E13145" s="18"/>
      <c r="F13145" s="18"/>
    </row>
    <row r="13146" spans="5:6" ht="15" customHeight="1" x14ac:dyDescent="0.2">
      <c r="E13146" s="18"/>
      <c r="F13146" s="18"/>
    </row>
    <row r="13147" spans="5:6" ht="15" customHeight="1" x14ac:dyDescent="0.2">
      <c r="E13147" s="18"/>
      <c r="F13147" s="18"/>
    </row>
    <row r="13148" spans="5:6" ht="15" customHeight="1" x14ac:dyDescent="0.2">
      <c r="E13148" s="18"/>
      <c r="F13148" s="18"/>
    </row>
    <row r="13149" spans="5:6" ht="15" customHeight="1" x14ac:dyDescent="0.2">
      <c r="E13149" s="18"/>
      <c r="F13149" s="18"/>
    </row>
    <row r="13150" spans="5:6" ht="15" customHeight="1" x14ac:dyDescent="0.2">
      <c r="E13150" s="18"/>
      <c r="F13150" s="18"/>
    </row>
    <row r="13151" spans="5:6" ht="15" customHeight="1" x14ac:dyDescent="0.2">
      <c r="E13151" s="18"/>
      <c r="F13151" s="18"/>
    </row>
    <row r="13152" spans="5:6" ht="15" customHeight="1" x14ac:dyDescent="0.2">
      <c r="E13152" s="18"/>
      <c r="F13152" s="18"/>
    </row>
    <row r="13153" spans="5:6" ht="15" customHeight="1" x14ac:dyDescent="0.2">
      <c r="E13153" s="18"/>
      <c r="F13153" s="18"/>
    </row>
    <row r="13154" spans="5:6" ht="15" customHeight="1" x14ac:dyDescent="0.2">
      <c r="E13154" s="18"/>
      <c r="F13154" s="18"/>
    </row>
    <row r="13155" spans="5:6" ht="15" customHeight="1" x14ac:dyDescent="0.2">
      <c r="E13155" s="18"/>
      <c r="F13155" s="18"/>
    </row>
    <row r="13156" spans="5:6" ht="15" customHeight="1" x14ac:dyDescent="0.2">
      <c r="E13156" s="18"/>
      <c r="F13156" s="18"/>
    </row>
    <row r="13157" spans="5:6" ht="15" customHeight="1" x14ac:dyDescent="0.2">
      <c r="E13157" s="18"/>
      <c r="F13157" s="18"/>
    </row>
    <row r="13158" spans="5:6" ht="15" customHeight="1" x14ac:dyDescent="0.2">
      <c r="E13158" s="18"/>
      <c r="F13158" s="18"/>
    </row>
    <row r="13159" spans="5:6" ht="15" customHeight="1" x14ac:dyDescent="0.2">
      <c r="E13159" s="18"/>
      <c r="F13159" s="18"/>
    </row>
    <row r="13160" spans="5:6" ht="15" customHeight="1" x14ac:dyDescent="0.2">
      <c r="E13160" s="18"/>
      <c r="F13160" s="18"/>
    </row>
    <row r="13161" spans="5:6" ht="15" customHeight="1" x14ac:dyDescent="0.2">
      <c r="E13161" s="18"/>
      <c r="F13161" s="18"/>
    </row>
    <row r="13162" spans="5:6" ht="15" customHeight="1" x14ac:dyDescent="0.2">
      <c r="E13162" s="18"/>
      <c r="F13162" s="18"/>
    </row>
    <row r="13163" spans="5:6" ht="15" customHeight="1" x14ac:dyDescent="0.2">
      <c r="E13163" s="18"/>
      <c r="F13163" s="18"/>
    </row>
    <row r="13164" spans="5:6" ht="15" customHeight="1" x14ac:dyDescent="0.2">
      <c r="E13164" s="18"/>
      <c r="F13164" s="18"/>
    </row>
    <row r="13165" spans="5:6" ht="15" customHeight="1" x14ac:dyDescent="0.2">
      <c r="E13165" s="18"/>
      <c r="F13165" s="18"/>
    </row>
    <row r="13166" spans="5:6" ht="15" customHeight="1" x14ac:dyDescent="0.2">
      <c r="E13166" s="18"/>
      <c r="F13166" s="18"/>
    </row>
    <row r="13167" spans="5:6" ht="15" customHeight="1" x14ac:dyDescent="0.2">
      <c r="E13167" s="18"/>
      <c r="F13167" s="18"/>
    </row>
    <row r="13168" spans="5:6" ht="15" customHeight="1" x14ac:dyDescent="0.2">
      <c r="E13168" s="18"/>
      <c r="F13168" s="18"/>
    </row>
    <row r="13169" spans="5:6" ht="15" customHeight="1" x14ac:dyDescent="0.2">
      <c r="E13169" s="18"/>
      <c r="F13169" s="18"/>
    </row>
    <row r="13170" spans="5:6" ht="15" customHeight="1" x14ac:dyDescent="0.2">
      <c r="E13170" s="18"/>
      <c r="F13170" s="18"/>
    </row>
    <row r="13171" spans="5:6" ht="15" customHeight="1" x14ac:dyDescent="0.2">
      <c r="E13171" s="18"/>
      <c r="F13171" s="18"/>
    </row>
    <row r="13172" spans="5:6" ht="15" customHeight="1" x14ac:dyDescent="0.2">
      <c r="E13172" s="18"/>
      <c r="F13172" s="18"/>
    </row>
    <row r="13173" spans="5:6" ht="15" customHeight="1" x14ac:dyDescent="0.2">
      <c r="E13173" s="18"/>
      <c r="F13173" s="18"/>
    </row>
    <row r="13174" spans="5:6" ht="15" customHeight="1" x14ac:dyDescent="0.2">
      <c r="E13174" s="18"/>
      <c r="F13174" s="18"/>
    </row>
    <row r="13175" spans="5:6" ht="15" customHeight="1" x14ac:dyDescent="0.2">
      <c r="E13175" s="18"/>
      <c r="F13175" s="18"/>
    </row>
    <row r="13176" spans="5:6" ht="15" customHeight="1" x14ac:dyDescent="0.2">
      <c r="E13176" s="18"/>
      <c r="F13176" s="18"/>
    </row>
    <row r="13177" spans="5:6" ht="15" customHeight="1" x14ac:dyDescent="0.2">
      <c r="E13177" s="18"/>
      <c r="F13177" s="18"/>
    </row>
    <row r="13178" spans="5:6" ht="15" customHeight="1" x14ac:dyDescent="0.2">
      <c r="E13178" s="18"/>
      <c r="F13178" s="18"/>
    </row>
    <row r="13179" spans="5:6" ht="15" customHeight="1" x14ac:dyDescent="0.2">
      <c r="E13179" s="18"/>
      <c r="F13179" s="18"/>
    </row>
    <row r="13180" spans="5:6" ht="15" customHeight="1" x14ac:dyDescent="0.2">
      <c r="E13180" s="18"/>
      <c r="F13180" s="18"/>
    </row>
    <row r="13181" spans="5:6" ht="15" customHeight="1" x14ac:dyDescent="0.2">
      <c r="E13181" s="18"/>
      <c r="F13181" s="18"/>
    </row>
    <row r="13182" spans="5:6" ht="15" customHeight="1" x14ac:dyDescent="0.2">
      <c r="E13182" s="18"/>
      <c r="F13182" s="18"/>
    </row>
    <row r="13183" spans="5:6" ht="15" customHeight="1" x14ac:dyDescent="0.2">
      <c r="E13183" s="18"/>
      <c r="F13183" s="18"/>
    </row>
    <row r="13184" spans="5:6" ht="15" customHeight="1" x14ac:dyDescent="0.2">
      <c r="E13184" s="18"/>
      <c r="F13184" s="18"/>
    </row>
    <row r="13185" spans="5:6" ht="15" customHeight="1" x14ac:dyDescent="0.2">
      <c r="E13185" s="18"/>
      <c r="F13185" s="18"/>
    </row>
    <row r="13186" spans="5:6" ht="15" customHeight="1" x14ac:dyDescent="0.2">
      <c r="E13186" s="18"/>
      <c r="F13186" s="18"/>
    </row>
    <row r="13187" spans="5:6" ht="15" customHeight="1" x14ac:dyDescent="0.2">
      <c r="E13187" s="18"/>
      <c r="F13187" s="18"/>
    </row>
    <row r="13188" spans="5:6" ht="15" customHeight="1" x14ac:dyDescent="0.2">
      <c r="E13188" s="18"/>
      <c r="F13188" s="18"/>
    </row>
    <row r="13189" spans="5:6" ht="15" customHeight="1" x14ac:dyDescent="0.2">
      <c r="E13189" s="18"/>
      <c r="F13189" s="18"/>
    </row>
    <row r="13190" spans="5:6" ht="15" customHeight="1" x14ac:dyDescent="0.2">
      <c r="E13190" s="18"/>
      <c r="F13190" s="18"/>
    </row>
    <row r="13191" spans="5:6" ht="15" customHeight="1" x14ac:dyDescent="0.2">
      <c r="E13191" s="18"/>
      <c r="F13191" s="18"/>
    </row>
    <row r="13192" spans="5:6" ht="15" customHeight="1" x14ac:dyDescent="0.2">
      <c r="E13192" s="18"/>
      <c r="F13192" s="18"/>
    </row>
    <row r="13193" spans="5:6" ht="15" customHeight="1" x14ac:dyDescent="0.2">
      <c r="E13193" s="18"/>
      <c r="F13193" s="18"/>
    </row>
    <row r="13194" spans="5:6" ht="15" customHeight="1" x14ac:dyDescent="0.2">
      <c r="E13194" s="18"/>
      <c r="F13194" s="18"/>
    </row>
    <row r="13195" spans="5:6" ht="15" customHeight="1" x14ac:dyDescent="0.2">
      <c r="E13195" s="18"/>
      <c r="F13195" s="18"/>
    </row>
    <row r="13196" spans="5:6" ht="15" customHeight="1" x14ac:dyDescent="0.2">
      <c r="E13196" s="18"/>
      <c r="F13196" s="18"/>
    </row>
    <row r="13197" spans="5:6" ht="15" customHeight="1" x14ac:dyDescent="0.2">
      <c r="E13197" s="18"/>
      <c r="F13197" s="18"/>
    </row>
    <row r="13198" spans="5:6" ht="15" customHeight="1" x14ac:dyDescent="0.2">
      <c r="E13198" s="18"/>
      <c r="F13198" s="18"/>
    </row>
    <row r="13199" spans="5:6" ht="15" customHeight="1" x14ac:dyDescent="0.2">
      <c r="E13199" s="18"/>
      <c r="F13199" s="18"/>
    </row>
    <row r="13200" spans="5:6" ht="15" customHeight="1" x14ac:dyDescent="0.2">
      <c r="E13200" s="18"/>
      <c r="F13200" s="18"/>
    </row>
    <row r="13201" spans="5:6" ht="15" customHeight="1" x14ac:dyDescent="0.2">
      <c r="E13201" s="18"/>
      <c r="F13201" s="18"/>
    </row>
    <row r="13202" spans="5:6" ht="15" customHeight="1" x14ac:dyDescent="0.2">
      <c r="E13202" s="18"/>
      <c r="F13202" s="18"/>
    </row>
    <row r="13203" spans="5:6" ht="15" customHeight="1" x14ac:dyDescent="0.2">
      <c r="E13203" s="18"/>
      <c r="F13203" s="18"/>
    </row>
    <row r="13204" spans="5:6" ht="15" customHeight="1" x14ac:dyDescent="0.2">
      <c r="E13204" s="18"/>
      <c r="F13204" s="18"/>
    </row>
    <row r="13205" spans="5:6" ht="15" customHeight="1" x14ac:dyDescent="0.2">
      <c r="E13205" s="18"/>
      <c r="F13205" s="18"/>
    </row>
    <row r="13206" spans="5:6" ht="15" customHeight="1" x14ac:dyDescent="0.2">
      <c r="E13206" s="18"/>
      <c r="F13206" s="18"/>
    </row>
    <row r="13207" spans="5:6" ht="15" customHeight="1" x14ac:dyDescent="0.2">
      <c r="E13207" s="18"/>
      <c r="F13207" s="18"/>
    </row>
    <row r="13208" spans="5:6" ht="15" customHeight="1" x14ac:dyDescent="0.2">
      <c r="E13208" s="18"/>
      <c r="F13208" s="18"/>
    </row>
    <row r="13209" spans="5:6" ht="15" customHeight="1" x14ac:dyDescent="0.2">
      <c r="E13209" s="18"/>
      <c r="F13209" s="18"/>
    </row>
    <row r="13210" spans="5:6" ht="15" customHeight="1" x14ac:dyDescent="0.2">
      <c r="E13210" s="18"/>
      <c r="F13210" s="18"/>
    </row>
    <row r="13211" spans="5:6" ht="15" customHeight="1" x14ac:dyDescent="0.2">
      <c r="E13211" s="18"/>
      <c r="F13211" s="18"/>
    </row>
    <row r="13212" spans="5:6" ht="15" customHeight="1" x14ac:dyDescent="0.2">
      <c r="E13212" s="18"/>
      <c r="F13212" s="18"/>
    </row>
    <row r="13213" spans="5:6" ht="15" customHeight="1" x14ac:dyDescent="0.2">
      <c r="E13213" s="18"/>
      <c r="F13213" s="18"/>
    </row>
    <row r="13214" spans="5:6" ht="15" customHeight="1" x14ac:dyDescent="0.2">
      <c r="E13214" s="18"/>
      <c r="F13214" s="18"/>
    </row>
    <row r="13215" spans="5:6" ht="15" customHeight="1" x14ac:dyDescent="0.2">
      <c r="E13215" s="18"/>
      <c r="F13215" s="18"/>
    </row>
    <row r="13216" spans="5:6" ht="15" customHeight="1" x14ac:dyDescent="0.2">
      <c r="E13216" s="18"/>
      <c r="F13216" s="18"/>
    </row>
    <row r="13217" spans="5:6" ht="15" customHeight="1" x14ac:dyDescent="0.2">
      <c r="E13217" s="18"/>
      <c r="F13217" s="18"/>
    </row>
    <row r="13218" spans="5:6" ht="15" customHeight="1" x14ac:dyDescent="0.2">
      <c r="E13218" s="18"/>
      <c r="F13218" s="18"/>
    </row>
    <row r="13219" spans="5:6" ht="15" customHeight="1" x14ac:dyDescent="0.2">
      <c r="E13219" s="18"/>
      <c r="F13219" s="18"/>
    </row>
    <row r="13220" spans="5:6" ht="15" customHeight="1" x14ac:dyDescent="0.2">
      <c r="E13220" s="18"/>
      <c r="F13220" s="18"/>
    </row>
    <row r="13221" spans="5:6" ht="15" customHeight="1" x14ac:dyDescent="0.2">
      <c r="E13221" s="18"/>
      <c r="F13221" s="18"/>
    </row>
    <row r="13222" spans="5:6" ht="15" customHeight="1" x14ac:dyDescent="0.2">
      <c r="E13222" s="18"/>
      <c r="F13222" s="18"/>
    </row>
    <row r="13223" spans="5:6" ht="15" customHeight="1" x14ac:dyDescent="0.2">
      <c r="E13223" s="18"/>
      <c r="F13223" s="18"/>
    </row>
    <row r="13224" spans="5:6" ht="15" customHeight="1" x14ac:dyDescent="0.2">
      <c r="E13224" s="18"/>
      <c r="F13224" s="18"/>
    </row>
    <row r="13225" spans="5:6" ht="15" customHeight="1" x14ac:dyDescent="0.2">
      <c r="E13225" s="18"/>
      <c r="F13225" s="18"/>
    </row>
    <row r="13226" spans="5:6" ht="15" customHeight="1" x14ac:dyDescent="0.2">
      <c r="E13226" s="18"/>
      <c r="F13226" s="18"/>
    </row>
    <row r="13227" spans="5:6" ht="15" customHeight="1" x14ac:dyDescent="0.2">
      <c r="E13227" s="18"/>
      <c r="F13227" s="18"/>
    </row>
    <row r="13228" spans="5:6" ht="15" customHeight="1" x14ac:dyDescent="0.2">
      <c r="E13228" s="18"/>
      <c r="F13228" s="18"/>
    </row>
    <row r="13229" spans="5:6" ht="15" customHeight="1" x14ac:dyDescent="0.2">
      <c r="E13229" s="18"/>
      <c r="F13229" s="18"/>
    </row>
    <row r="13230" spans="5:6" ht="15" customHeight="1" x14ac:dyDescent="0.2">
      <c r="E13230" s="18"/>
      <c r="F13230" s="18"/>
    </row>
    <row r="13231" spans="5:6" ht="15" customHeight="1" x14ac:dyDescent="0.2">
      <c r="E13231" s="18"/>
      <c r="F13231" s="18"/>
    </row>
    <row r="13232" spans="5:6" ht="15" customHeight="1" x14ac:dyDescent="0.2">
      <c r="E13232" s="18"/>
      <c r="F13232" s="18"/>
    </row>
    <row r="13233" spans="5:6" ht="15" customHeight="1" x14ac:dyDescent="0.2">
      <c r="E13233" s="18"/>
      <c r="F13233" s="18"/>
    </row>
    <row r="13234" spans="5:6" ht="15" customHeight="1" x14ac:dyDescent="0.2">
      <c r="E13234" s="18"/>
      <c r="F13234" s="18"/>
    </row>
    <row r="13235" spans="5:6" ht="15" customHeight="1" x14ac:dyDescent="0.2">
      <c r="E13235" s="18"/>
      <c r="F13235" s="18"/>
    </row>
    <row r="13236" spans="5:6" ht="15" customHeight="1" x14ac:dyDescent="0.2">
      <c r="E13236" s="18"/>
      <c r="F13236" s="18"/>
    </row>
    <row r="13237" spans="5:6" ht="15" customHeight="1" x14ac:dyDescent="0.2">
      <c r="E13237" s="18"/>
      <c r="F13237" s="18"/>
    </row>
    <row r="13238" spans="5:6" ht="15" customHeight="1" x14ac:dyDescent="0.2">
      <c r="E13238" s="18"/>
      <c r="F13238" s="18"/>
    </row>
    <row r="13239" spans="5:6" ht="15" customHeight="1" x14ac:dyDescent="0.2">
      <c r="E13239" s="18"/>
      <c r="F13239" s="18"/>
    </row>
    <row r="13240" spans="5:6" ht="15" customHeight="1" x14ac:dyDescent="0.2">
      <c r="E13240" s="18"/>
      <c r="F13240" s="18"/>
    </row>
    <row r="13241" spans="5:6" ht="15" customHeight="1" x14ac:dyDescent="0.2">
      <c r="E13241" s="18"/>
      <c r="F13241" s="18"/>
    </row>
    <row r="13242" spans="5:6" ht="15" customHeight="1" x14ac:dyDescent="0.2">
      <c r="E13242" s="18"/>
      <c r="F13242" s="18"/>
    </row>
    <row r="13243" spans="5:6" ht="15" customHeight="1" x14ac:dyDescent="0.2">
      <c r="E13243" s="18"/>
      <c r="F13243" s="18"/>
    </row>
    <row r="13244" spans="5:6" ht="15" customHeight="1" x14ac:dyDescent="0.2">
      <c r="E13244" s="18"/>
      <c r="F13244" s="18"/>
    </row>
    <row r="13245" spans="5:6" ht="15" customHeight="1" x14ac:dyDescent="0.2">
      <c r="E13245" s="18"/>
      <c r="F13245" s="18"/>
    </row>
    <row r="13246" spans="5:6" ht="15" customHeight="1" x14ac:dyDescent="0.2">
      <c r="E13246" s="18"/>
      <c r="F13246" s="18"/>
    </row>
    <row r="13247" spans="5:6" ht="15" customHeight="1" x14ac:dyDescent="0.2">
      <c r="E13247" s="18"/>
      <c r="F13247" s="18"/>
    </row>
    <row r="13248" spans="5:6" ht="15" customHeight="1" x14ac:dyDescent="0.2">
      <c r="E13248" s="18"/>
      <c r="F13248" s="18"/>
    </row>
    <row r="13249" spans="5:6" ht="15" customHeight="1" x14ac:dyDescent="0.2">
      <c r="E13249" s="18"/>
      <c r="F13249" s="18"/>
    </row>
    <row r="13250" spans="5:6" ht="15" customHeight="1" x14ac:dyDescent="0.2">
      <c r="E13250" s="18"/>
      <c r="F13250" s="18"/>
    </row>
    <row r="13251" spans="5:6" ht="15" customHeight="1" x14ac:dyDescent="0.2">
      <c r="E13251" s="18"/>
      <c r="F13251" s="18"/>
    </row>
    <row r="13252" spans="5:6" ht="15" customHeight="1" x14ac:dyDescent="0.2">
      <c r="E13252" s="18"/>
      <c r="F13252" s="18"/>
    </row>
    <row r="13253" spans="5:6" ht="15" customHeight="1" x14ac:dyDescent="0.2">
      <c r="E13253" s="18"/>
      <c r="F13253" s="18"/>
    </row>
    <row r="13254" spans="5:6" ht="15" customHeight="1" x14ac:dyDescent="0.2">
      <c r="E13254" s="18"/>
      <c r="F13254" s="18"/>
    </row>
    <row r="13255" spans="5:6" ht="15" customHeight="1" x14ac:dyDescent="0.2">
      <c r="E13255" s="18"/>
      <c r="F13255" s="18"/>
    </row>
    <row r="13256" spans="5:6" ht="15" customHeight="1" x14ac:dyDescent="0.2">
      <c r="E13256" s="18"/>
      <c r="F13256" s="18"/>
    </row>
    <row r="13257" spans="5:6" ht="15" customHeight="1" x14ac:dyDescent="0.2">
      <c r="E13257" s="18"/>
      <c r="F13257" s="18"/>
    </row>
    <row r="13258" spans="5:6" ht="15" customHeight="1" x14ac:dyDescent="0.2">
      <c r="E13258" s="18"/>
      <c r="F13258" s="18"/>
    </row>
    <row r="13259" spans="5:6" ht="15" customHeight="1" x14ac:dyDescent="0.2">
      <c r="E13259" s="18"/>
      <c r="F13259" s="18"/>
    </row>
    <row r="13260" spans="5:6" ht="15" customHeight="1" x14ac:dyDescent="0.2">
      <c r="E13260" s="18"/>
      <c r="F13260" s="18"/>
    </row>
    <row r="13261" spans="5:6" ht="15" customHeight="1" x14ac:dyDescent="0.2">
      <c r="E13261" s="18"/>
      <c r="F13261" s="18"/>
    </row>
    <row r="13262" spans="5:6" ht="15" customHeight="1" x14ac:dyDescent="0.2">
      <c r="E13262" s="18"/>
      <c r="F13262" s="18"/>
    </row>
    <row r="13263" spans="5:6" ht="15" customHeight="1" x14ac:dyDescent="0.2">
      <c r="E13263" s="18"/>
      <c r="F13263" s="18"/>
    </row>
    <row r="13264" spans="5:6" ht="15" customHeight="1" x14ac:dyDescent="0.2">
      <c r="E13264" s="18"/>
      <c r="F13264" s="18"/>
    </row>
    <row r="13265" spans="5:6" ht="15" customHeight="1" x14ac:dyDescent="0.2">
      <c r="E13265" s="18"/>
      <c r="F13265" s="18"/>
    </row>
    <row r="13266" spans="5:6" ht="15" customHeight="1" x14ac:dyDescent="0.2">
      <c r="E13266" s="18"/>
      <c r="F13266" s="18"/>
    </row>
    <row r="13267" spans="5:6" ht="15" customHeight="1" x14ac:dyDescent="0.2">
      <c r="E13267" s="18"/>
      <c r="F13267" s="18"/>
    </row>
    <row r="13268" spans="5:6" ht="15" customHeight="1" x14ac:dyDescent="0.2">
      <c r="E13268" s="18"/>
      <c r="F13268" s="18"/>
    </row>
    <row r="13269" spans="5:6" ht="15" customHeight="1" x14ac:dyDescent="0.2">
      <c r="E13269" s="18"/>
      <c r="F13269" s="18"/>
    </row>
    <row r="13270" spans="5:6" ht="15" customHeight="1" x14ac:dyDescent="0.2">
      <c r="E13270" s="18"/>
      <c r="F13270" s="18"/>
    </row>
    <row r="13271" spans="5:6" ht="15" customHeight="1" x14ac:dyDescent="0.2">
      <c r="E13271" s="18"/>
      <c r="F13271" s="18"/>
    </row>
    <row r="13272" spans="5:6" ht="15" customHeight="1" x14ac:dyDescent="0.2">
      <c r="E13272" s="18"/>
      <c r="F13272" s="18"/>
    </row>
    <row r="13273" spans="5:6" ht="15" customHeight="1" x14ac:dyDescent="0.2">
      <c r="E13273" s="18"/>
      <c r="F13273" s="18"/>
    </row>
    <row r="13274" spans="5:6" ht="15" customHeight="1" x14ac:dyDescent="0.2">
      <c r="E13274" s="18"/>
      <c r="F13274" s="18"/>
    </row>
    <row r="13275" spans="5:6" ht="15" customHeight="1" x14ac:dyDescent="0.2">
      <c r="E13275" s="18"/>
      <c r="F13275" s="18"/>
    </row>
    <row r="13276" spans="5:6" ht="15" customHeight="1" x14ac:dyDescent="0.2">
      <c r="E13276" s="18"/>
      <c r="F13276" s="18"/>
    </row>
    <row r="13277" spans="5:6" ht="15" customHeight="1" x14ac:dyDescent="0.2">
      <c r="E13277" s="18"/>
      <c r="F13277" s="18"/>
    </row>
    <row r="13278" spans="5:6" ht="15" customHeight="1" x14ac:dyDescent="0.2">
      <c r="E13278" s="18"/>
      <c r="F13278" s="18"/>
    </row>
    <row r="13279" spans="5:6" ht="15" customHeight="1" x14ac:dyDescent="0.2">
      <c r="E13279" s="18"/>
      <c r="F13279" s="18"/>
    </row>
    <row r="13280" spans="5:6" ht="15" customHeight="1" x14ac:dyDescent="0.2">
      <c r="E13280" s="18"/>
      <c r="F13280" s="18"/>
    </row>
    <row r="13281" spans="5:6" ht="15" customHeight="1" x14ac:dyDescent="0.2">
      <c r="E13281" s="18"/>
      <c r="F13281" s="18"/>
    </row>
    <row r="13282" spans="5:6" ht="15" customHeight="1" x14ac:dyDescent="0.2">
      <c r="E13282" s="18"/>
      <c r="F13282" s="18"/>
    </row>
    <row r="13283" spans="5:6" ht="15" customHeight="1" x14ac:dyDescent="0.2">
      <c r="E13283" s="18"/>
      <c r="F13283" s="18"/>
    </row>
    <row r="13284" spans="5:6" ht="15" customHeight="1" x14ac:dyDescent="0.2">
      <c r="E13284" s="18"/>
      <c r="F13284" s="18"/>
    </row>
    <row r="13285" spans="5:6" ht="15" customHeight="1" x14ac:dyDescent="0.2">
      <c r="E13285" s="18"/>
      <c r="F13285" s="18"/>
    </row>
    <row r="13286" spans="5:6" ht="15" customHeight="1" x14ac:dyDescent="0.2">
      <c r="E13286" s="18"/>
      <c r="F13286" s="18"/>
    </row>
    <row r="13287" spans="5:6" ht="15" customHeight="1" x14ac:dyDescent="0.2">
      <c r="E13287" s="18"/>
      <c r="F13287" s="18"/>
    </row>
    <row r="13288" spans="5:6" ht="15" customHeight="1" x14ac:dyDescent="0.2">
      <c r="E13288" s="18"/>
      <c r="F13288" s="18"/>
    </row>
    <row r="13289" spans="5:6" ht="15" customHeight="1" x14ac:dyDescent="0.2">
      <c r="E13289" s="18"/>
      <c r="F13289" s="18"/>
    </row>
    <row r="13290" spans="5:6" ht="15" customHeight="1" x14ac:dyDescent="0.2">
      <c r="E13290" s="18"/>
      <c r="F13290" s="18"/>
    </row>
    <row r="13291" spans="5:6" ht="15" customHeight="1" x14ac:dyDescent="0.2">
      <c r="E13291" s="18"/>
      <c r="F13291" s="18"/>
    </row>
    <row r="13292" spans="5:6" ht="15" customHeight="1" x14ac:dyDescent="0.2">
      <c r="E13292" s="18"/>
      <c r="F13292" s="18"/>
    </row>
    <row r="13293" spans="5:6" ht="15" customHeight="1" x14ac:dyDescent="0.2">
      <c r="E13293" s="18"/>
      <c r="F13293" s="18"/>
    </row>
    <row r="13294" spans="5:6" ht="15" customHeight="1" x14ac:dyDescent="0.2">
      <c r="E13294" s="18"/>
      <c r="F13294" s="18"/>
    </row>
    <row r="13295" spans="5:6" ht="15" customHeight="1" x14ac:dyDescent="0.2">
      <c r="E13295" s="18"/>
      <c r="F13295" s="18"/>
    </row>
    <row r="13296" spans="5:6" ht="15" customHeight="1" x14ac:dyDescent="0.2">
      <c r="E13296" s="18"/>
      <c r="F13296" s="18"/>
    </row>
    <row r="13297" spans="5:6" ht="15" customHeight="1" x14ac:dyDescent="0.2">
      <c r="E13297" s="18"/>
      <c r="F13297" s="18"/>
    </row>
    <row r="13298" spans="5:6" ht="15" customHeight="1" x14ac:dyDescent="0.2">
      <c r="E13298" s="18"/>
      <c r="F13298" s="18"/>
    </row>
    <row r="13299" spans="5:6" ht="15" customHeight="1" x14ac:dyDescent="0.2">
      <c r="E13299" s="18"/>
      <c r="F13299" s="18"/>
    </row>
    <row r="13300" spans="5:6" ht="15" customHeight="1" x14ac:dyDescent="0.2">
      <c r="E13300" s="18"/>
      <c r="F13300" s="18"/>
    </row>
    <row r="13301" spans="5:6" ht="15" customHeight="1" x14ac:dyDescent="0.2">
      <c r="E13301" s="18"/>
      <c r="F13301" s="18"/>
    </row>
    <row r="13302" spans="5:6" ht="15" customHeight="1" x14ac:dyDescent="0.2">
      <c r="E13302" s="18"/>
      <c r="F13302" s="18"/>
    </row>
    <row r="13303" spans="5:6" ht="15" customHeight="1" x14ac:dyDescent="0.2">
      <c r="E13303" s="18"/>
      <c r="F13303" s="18"/>
    </row>
    <row r="13304" spans="5:6" ht="15" customHeight="1" x14ac:dyDescent="0.2">
      <c r="E13304" s="18"/>
      <c r="F13304" s="18"/>
    </row>
    <row r="13305" spans="5:6" ht="15" customHeight="1" x14ac:dyDescent="0.2">
      <c r="E13305" s="18"/>
      <c r="F13305" s="18"/>
    </row>
    <row r="13306" spans="5:6" ht="15" customHeight="1" x14ac:dyDescent="0.2">
      <c r="E13306" s="18"/>
      <c r="F13306" s="18"/>
    </row>
    <row r="13307" spans="5:6" ht="15" customHeight="1" x14ac:dyDescent="0.2">
      <c r="E13307" s="18"/>
      <c r="F13307" s="18"/>
    </row>
    <row r="13308" spans="5:6" ht="15" customHeight="1" x14ac:dyDescent="0.2">
      <c r="E13308" s="18"/>
      <c r="F13308" s="18"/>
    </row>
    <row r="13309" spans="5:6" ht="15" customHeight="1" x14ac:dyDescent="0.2">
      <c r="E13309" s="18"/>
      <c r="F13309" s="18"/>
    </row>
    <row r="13310" spans="5:6" ht="15" customHeight="1" x14ac:dyDescent="0.2">
      <c r="E13310" s="18"/>
      <c r="F13310" s="18"/>
    </row>
    <row r="13311" spans="5:6" ht="15" customHeight="1" x14ac:dyDescent="0.2">
      <c r="E13311" s="18"/>
      <c r="F13311" s="18"/>
    </row>
    <row r="13312" spans="5:6" ht="15" customHeight="1" x14ac:dyDescent="0.2">
      <c r="E13312" s="18"/>
      <c r="F13312" s="18"/>
    </row>
    <row r="13313" spans="5:6" ht="15" customHeight="1" x14ac:dyDescent="0.2">
      <c r="E13313" s="18"/>
      <c r="F13313" s="18"/>
    </row>
    <row r="13314" spans="5:6" ht="15" customHeight="1" x14ac:dyDescent="0.2">
      <c r="E13314" s="18"/>
      <c r="F13314" s="18"/>
    </row>
    <row r="13315" spans="5:6" ht="15" customHeight="1" x14ac:dyDescent="0.2">
      <c r="E13315" s="18"/>
      <c r="F13315" s="18"/>
    </row>
    <row r="13316" spans="5:6" ht="15" customHeight="1" x14ac:dyDescent="0.2">
      <c r="E13316" s="18"/>
      <c r="F13316" s="18"/>
    </row>
    <row r="13317" spans="5:6" ht="15" customHeight="1" x14ac:dyDescent="0.2">
      <c r="E13317" s="18"/>
      <c r="F13317" s="18"/>
    </row>
    <row r="13318" spans="5:6" ht="15" customHeight="1" x14ac:dyDescent="0.2">
      <c r="E13318" s="18"/>
      <c r="F13318" s="18"/>
    </row>
    <row r="13319" spans="5:6" ht="15" customHeight="1" x14ac:dyDescent="0.2">
      <c r="E13319" s="18"/>
      <c r="F13319" s="18"/>
    </row>
    <row r="13320" spans="5:6" ht="15" customHeight="1" x14ac:dyDescent="0.2">
      <c r="E13320" s="18"/>
      <c r="F13320" s="18"/>
    </row>
    <row r="13321" spans="5:6" ht="15" customHeight="1" x14ac:dyDescent="0.2">
      <c r="E13321" s="18"/>
      <c r="F13321" s="18"/>
    </row>
    <row r="13322" spans="5:6" ht="15" customHeight="1" x14ac:dyDescent="0.2">
      <c r="E13322" s="18"/>
      <c r="F13322" s="18"/>
    </row>
    <row r="13323" spans="5:6" ht="15" customHeight="1" x14ac:dyDescent="0.2">
      <c r="E13323" s="18"/>
      <c r="F13323" s="18"/>
    </row>
    <row r="13324" spans="5:6" ht="15" customHeight="1" x14ac:dyDescent="0.2">
      <c r="E13324" s="18"/>
      <c r="F13324" s="18"/>
    </row>
    <row r="13325" spans="5:6" ht="15" customHeight="1" x14ac:dyDescent="0.2">
      <c r="E13325" s="18"/>
      <c r="F13325" s="18"/>
    </row>
    <row r="13326" spans="5:6" ht="15" customHeight="1" x14ac:dyDescent="0.2">
      <c r="E13326" s="18"/>
      <c r="F13326" s="18"/>
    </row>
    <row r="13327" spans="5:6" ht="15" customHeight="1" x14ac:dyDescent="0.2">
      <c r="E13327" s="18"/>
      <c r="F13327" s="18"/>
    </row>
    <row r="13328" spans="5:6" ht="15" customHeight="1" x14ac:dyDescent="0.2">
      <c r="E13328" s="18"/>
      <c r="F13328" s="18"/>
    </row>
    <row r="13329" spans="5:6" ht="15" customHeight="1" x14ac:dyDescent="0.2">
      <c r="E13329" s="18"/>
      <c r="F13329" s="18"/>
    </row>
    <row r="13330" spans="5:6" ht="15" customHeight="1" x14ac:dyDescent="0.2">
      <c r="E13330" s="18"/>
      <c r="F13330" s="18"/>
    </row>
    <row r="13331" spans="5:6" ht="15" customHeight="1" x14ac:dyDescent="0.2">
      <c r="E13331" s="18"/>
      <c r="F13331" s="18"/>
    </row>
    <row r="13332" spans="5:6" ht="15" customHeight="1" x14ac:dyDescent="0.2">
      <c r="E13332" s="18"/>
      <c r="F13332" s="18"/>
    </row>
    <row r="13333" spans="5:6" ht="15" customHeight="1" x14ac:dyDescent="0.2">
      <c r="E13333" s="18"/>
      <c r="F13333" s="18"/>
    </row>
    <row r="13334" spans="5:6" ht="15" customHeight="1" x14ac:dyDescent="0.2">
      <c r="E13334" s="18"/>
      <c r="F13334" s="18"/>
    </row>
    <row r="13335" spans="5:6" ht="15" customHeight="1" x14ac:dyDescent="0.2">
      <c r="E13335" s="18"/>
      <c r="F13335" s="18"/>
    </row>
    <row r="13336" spans="5:6" ht="15" customHeight="1" x14ac:dyDescent="0.2">
      <c r="E13336" s="18"/>
      <c r="F13336" s="18"/>
    </row>
    <row r="13337" spans="5:6" ht="15" customHeight="1" x14ac:dyDescent="0.2">
      <c r="E13337" s="18"/>
      <c r="F13337" s="18"/>
    </row>
    <row r="13338" spans="5:6" ht="15" customHeight="1" x14ac:dyDescent="0.2">
      <c r="E13338" s="18"/>
      <c r="F13338" s="18"/>
    </row>
    <row r="13339" spans="5:6" ht="15" customHeight="1" x14ac:dyDescent="0.2">
      <c r="E13339" s="18"/>
      <c r="F13339" s="18"/>
    </row>
    <row r="13340" spans="5:6" ht="15" customHeight="1" x14ac:dyDescent="0.2">
      <c r="E13340" s="18"/>
      <c r="F13340" s="18"/>
    </row>
    <row r="13341" spans="5:6" ht="15" customHeight="1" x14ac:dyDescent="0.2">
      <c r="E13341" s="18"/>
      <c r="F13341" s="18"/>
    </row>
    <row r="13342" spans="5:6" ht="15" customHeight="1" x14ac:dyDescent="0.2">
      <c r="E13342" s="18"/>
      <c r="F13342" s="18"/>
    </row>
    <row r="13343" spans="5:6" ht="15" customHeight="1" x14ac:dyDescent="0.2">
      <c r="E13343" s="18"/>
      <c r="F13343" s="18"/>
    </row>
    <row r="13344" spans="5:6" ht="15" customHeight="1" x14ac:dyDescent="0.2">
      <c r="E13344" s="18"/>
      <c r="F13344" s="18"/>
    </row>
    <row r="13345" spans="5:6" ht="15" customHeight="1" x14ac:dyDescent="0.2">
      <c r="E13345" s="18"/>
      <c r="F13345" s="18"/>
    </row>
    <row r="13346" spans="5:6" ht="15" customHeight="1" x14ac:dyDescent="0.2">
      <c r="E13346" s="18"/>
      <c r="F13346" s="18"/>
    </row>
    <row r="13347" spans="5:6" ht="15" customHeight="1" x14ac:dyDescent="0.2">
      <c r="E13347" s="18"/>
      <c r="F13347" s="18"/>
    </row>
    <row r="13348" spans="5:6" ht="15" customHeight="1" x14ac:dyDescent="0.2">
      <c r="E13348" s="18"/>
      <c r="F13348" s="18"/>
    </row>
    <row r="13349" spans="5:6" ht="15" customHeight="1" x14ac:dyDescent="0.2">
      <c r="E13349" s="18"/>
      <c r="F13349" s="18"/>
    </row>
    <row r="13350" spans="5:6" ht="15" customHeight="1" x14ac:dyDescent="0.2">
      <c r="E13350" s="18"/>
      <c r="F13350" s="18"/>
    </row>
    <row r="13351" spans="5:6" ht="15" customHeight="1" x14ac:dyDescent="0.2">
      <c r="E13351" s="18"/>
      <c r="F13351" s="18"/>
    </row>
    <row r="13352" spans="5:6" ht="15" customHeight="1" x14ac:dyDescent="0.2">
      <c r="E13352" s="18"/>
      <c r="F13352" s="18"/>
    </row>
    <row r="13353" spans="5:6" ht="15" customHeight="1" x14ac:dyDescent="0.2">
      <c r="E13353" s="18"/>
      <c r="F13353" s="18"/>
    </row>
    <row r="13354" spans="5:6" ht="15" customHeight="1" x14ac:dyDescent="0.2">
      <c r="E13354" s="18"/>
      <c r="F13354" s="18"/>
    </row>
    <row r="13355" spans="5:6" ht="15" customHeight="1" x14ac:dyDescent="0.2">
      <c r="E13355" s="18"/>
      <c r="F13355" s="18"/>
    </row>
    <row r="13356" spans="5:6" ht="15" customHeight="1" x14ac:dyDescent="0.2">
      <c r="E13356" s="18"/>
      <c r="F13356" s="18"/>
    </row>
    <row r="13357" spans="5:6" ht="15" customHeight="1" x14ac:dyDescent="0.2">
      <c r="E13357" s="18"/>
      <c r="F13357" s="18"/>
    </row>
    <row r="13358" spans="5:6" ht="15" customHeight="1" x14ac:dyDescent="0.2">
      <c r="E13358" s="18"/>
      <c r="F13358" s="18"/>
    </row>
    <row r="13359" spans="5:6" ht="15" customHeight="1" x14ac:dyDescent="0.2">
      <c r="E13359" s="18"/>
      <c r="F13359" s="18"/>
    </row>
    <row r="13360" spans="5:6" ht="15" customHeight="1" x14ac:dyDescent="0.2">
      <c r="E13360" s="18"/>
      <c r="F13360" s="18"/>
    </row>
    <row r="13361" spans="5:6" ht="15" customHeight="1" x14ac:dyDescent="0.2">
      <c r="E13361" s="18"/>
      <c r="F13361" s="18"/>
    </row>
    <row r="13362" spans="5:6" ht="15" customHeight="1" x14ac:dyDescent="0.2">
      <c r="E13362" s="18"/>
      <c r="F13362" s="18"/>
    </row>
    <row r="13363" spans="5:6" ht="15" customHeight="1" x14ac:dyDescent="0.2">
      <c r="E13363" s="18"/>
      <c r="F13363" s="18"/>
    </row>
    <row r="13364" spans="5:6" ht="15" customHeight="1" x14ac:dyDescent="0.2">
      <c r="E13364" s="18"/>
      <c r="F13364" s="18"/>
    </row>
    <row r="13365" spans="5:6" ht="15" customHeight="1" x14ac:dyDescent="0.2">
      <c r="E13365" s="18"/>
      <c r="F13365" s="18"/>
    </row>
    <row r="13366" spans="5:6" ht="15" customHeight="1" x14ac:dyDescent="0.2">
      <c r="E13366" s="18"/>
      <c r="F13366" s="18"/>
    </row>
    <row r="13367" spans="5:6" ht="15" customHeight="1" x14ac:dyDescent="0.2">
      <c r="E13367" s="18"/>
      <c r="F13367" s="18"/>
    </row>
    <row r="13368" spans="5:6" ht="15" customHeight="1" x14ac:dyDescent="0.2">
      <c r="E13368" s="18"/>
      <c r="F13368" s="18"/>
    </row>
    <row r="13369" spans="5:6" ht="15" customHeight="1" x14ac:dyDescent="0.2">
      <c r="E13369" s="18"/>
      <c r="F13369" s="18"/>
    </row>
    <row r="13370" spans="5:6" ht="15" customHeight="1" x14ac:dyDescent="0.2">
      <c r="E13370" s="18"/>
      <c r="F13370" s="18"/>
    </row>
    <row r="13371" spans="5:6" ht="15" customHeight="1" x14ac:dyDescent="0.2">
      <c r="E13371" s="18"/>
      <c r="F13371" s="18"/>
    </row>
    <row r="13372" spans="5:6" ht="15" customHeight="1" x14ac:dyDescent="0.2">
      <c r="E13372" s="18"/>
      <c r="F13372" s="18"/>
    </row>
    <row r="13373" spans="5:6" ht="15" customHeight="1" x14ac:dyDescent="0.2">
      <c r="E13373" s="18"/>
      <c r="F13373" s="18"/>
    </row>
    <row r="13374" spans="5:6" ht="15" customHeight="1" x14ac:dyDescent="0.2">
      <c r="E13374" s="18"/>
      <c r="F13374" s="18"/>
    </row>
    <row r="13375" spans="5:6" ht="15" customHeight="1" x14ac:dyDescent="0.2">
      <c r="E13375" s="18"/>
      <c r="F13375" s="18"/>
    </row>
    <row r="13376" spans="5:6" ht="15" customHeight="1" x14ac:dyDescent="0.2">
      <c r="E13376" s="18"/>
      <c r="F13376" s="18"/>
    </row>
    <row r="13377" spans="5:6" ht="15" customHeight="1" x14ac:dyDescent="0.2">
      <c r="E13377" s="18"/>
      <c r="F13377" s="18"/>
    </row>
    <row r="13378" spans="5:6" ht="15" customHeight="1" x14ac:dyDescent="0.2">
      <c r="E13378" s="18"/>
      <c r="F13378" s="18"/>
    </row>
    <row r="13379" spans="5:6" ht="15" customHeight="1" x14ac:dyDescent="0.2">
      <c r="E13379" s="18"/>
      <c r="F13379" s="18"/>
    </row>
    <row r="13380" spans="5:6" ht="15" customHeight="1" x14ac:dyDescent="0.2">
      <c r="E13380" s="18"/>
      <c r="F13380" s="18"/>
    </row>
    <row r="13381" spans="5:6" ht="15" customHeight="1" x14ac:dyDescent="0.2">
      <c r="E13381" s="18"/>
      <c r="F13381" s="18"/>
    </row>
    <row r="13382" spans="5:6" ht="15" customHeight="1" x14ac:dyDescent="0.2">
      <c r="E13382" s="18"/>
      <c r="F13382" s="18"/>
    </row>
    <row r="13383" spans="5:6" ht="15" customHeight="1" x14ac:dyDescent="0.2">
      <c r="E13383" s="18"/>
      <c r="F13383" s="18"/>
    </row>
    <row r="13384" spans="5:6" ht="15" customHeight="1" x14ac:dyDescent="0.2">
      <c r="E13384" s="18"/>
      <c r="F13384" s="18"/>
    </row>
    <row r="13385" spans="5:6" ht="15" customHeight="1" x14ac:dyDescent="0.2">
      <c r="E13385" s="18"/>
      <c r="F13385" s="18"/>
    </row>
    <row r="13386" spans="5:6" ht="15" customHeight="1" x14ac:dyDescent="0.2">
      <c r="E13386" s="18"/>
      <c r="F13386" s="18"/>
    </row>
    <row r="13387" spans="5:6" ht="15" customHeight="1" x14ac:dyDescent="0.2">
      <c r="E13387" s="18"/>
      <c r="F13387" s="18"/>
    </row>
    <row r="13388" spans="5:6" ht="15" customHeight="1" x14ac:dyDescent="0.2">
      <c r="E13388" s="18"/>
      <c r="F13388" s="18"/>
    </row>
    <row r="13389" spans="5:6" ht="15" customHeight="1" x14ac:dyDescent="0.2">
      <c r="E13389" s="18"/>
      <c r="F13389" s="18"/>
    </row>
    <row r="13390" spans="5:6" ht="15" customHeight="1" x14ac:dyDescent="0.2">
      <c r="E13390" s="18"/>
      <c r="F13390" s="18"/>
    </row>
    <row r="13391" spans="5:6" ht="15" customHeight="1" x14ac:dyDescent="0.2">
      <c r="E13391" s="18"/>
      <c r="F13391" s="18"/>
    </row>
    <row r="13392" spans="5:6" ht="15" customHeight="1" x14ac:dyDescent="0.2">
      <c r="E13392" s="18"/>
      <c r="F13392" s="18"/>
    </row>
    <row r="13393" spans="5:6" ht="15" customHeight="1" x14ac:dyDescent="0.2">
      <c r="E13393" s="18"/>
      <c r="F13393" s="18"/>
    </row>
    <row r="13394" spans="5:6" ht="15" customHeight="1" x14ac:dyDescent="0.2">
      <c r="E13394" s="18"/>
      <c r="F13394" s="18"/>
    </row>
    <row r="13395" spans="5:6" ht="15" customHeight="1" x14ac:dyDescent="0.2">
      <c r="E13395" s="18"/>
      <c r="F13395" s="18"/>
    </row>
    <row r="13396" spans="5:6" ht="15" customHeight="1" x14ac:dyDescent="0.2">
      <c r="E13396" s="18"/>
      <c r="F13396" s="18"/>
    </row>
    <row r="13397" spans="5:6" ht="15" customHeight="1" x14ac:dyDescent="0.2">
      <c r="E13397" s="18"/>
      <c r="F13397" s="18"/>
    </row>
    <row r="13398" spans="5:6" ht="15" customHeight="1" x14ac:dyDescent="0.2">
      <c r="E13398" s="18"/>
      <c r="F13398" s="18"/>
    </row>
    <row r="13399" spans="5:6" ht="15" customHeight="1" x14ac:dyDescent="0.2">
      <c r="E13399" s="18"/>
      <c r="F13399" s="18"/>
    </row>
    <row r="13400" spans="5:6" ht="15" customHeight="1" x14ac:dyDescent="0.2">
      <c r="E13400" s="18"/>
      <c r="F13400" s="18"/>
    </row>
    <row r="13401" spans="5:6" ht="15" customHeight="1" x14ac:dyDescent="0.2">
      <c r="E13401" s="18"/>
      <c r="F13401" s="18"/>
    </row>
    <row r="13402" spans="5:6" ht="15" customHeight="1" x14ac:dyDescent="0.2">
      <c r="E13402" s="18"/>
      <c r="F13402" s="18"/>
    </row>
    <row r="13403" spans="5:6" ht="15" customHeight="1" x14ac:dyDescent="0.2">
      <c r="E13403" s="18"/>
      <c r="F13403" s="18"/>
    </row>
    <row r="13404" spans="5:6" ht="15" customHeight="1" x14ac:dyDescent="0.2">
      <c r="E13404" s="18"/>
      <c r="F13404" s="18"/>
    </row>
    <row r="13405" spans="5:6" ht="15" customHeight="1" x14ac:dyDescent="0.2">
      <c r="E13405" s="18"/>
      <c r="F13405" s="18"/>
    </row>
    <row r="13406" spans="5:6" ht="15" customHeight="1" x14ac:dyDescent="0.2">
      <c r="E13406" s="18"/>
      <c r="F13406" s="18"/>
    </row>
    <row r="13407" spans="5:6" ht="15" customHeight="1" x14ac:dyDescent="0.2">
      <c r="E13407" s="18"/>
      <c r="F13407" s="18"/>
    </row>
    <row r="13408" spans="5:6" ht="15" customHeight="1" x14ac:dyDescent="0.2">
      <c r="E13408" s="18"/>
      <c r="F13408" s="18"/>
    </row>
    <row r="13409" spans="5:6" ht="15" customHeight="1" x14ac:dyDescent="0.2">
      <c r="E13409" s="18"/>
      <c r="F13409" s="18"/>
    </row>
    <row r="13410" spans="5:6" ht="15" customHeight="1" x14ac:dyDescent="0.2">
      <c r="E13410" s="18"/>
      <c r="F13410" s="18"/>
    </row>
    <row r="13411" spans="5:6" ht="15" customHeight="1" x14ac:dyDescent="0.2">
      <c r="E13411" s="18"/>
      <c r="F13411" s="18"/>
    </row>
    <row r="13412" spans="5:6" ht="15" customHeight="1" x14ac:dyDescent="0.2">
      <c r="E13412" s="18"/>
      <c r="F13412" s="18"/>
    </row>
    <row r="13413" spans="5:6" ht="15" customHeight="1" x14ac:dyDescent="0.2">
      <c r="E13413" s="18"/>
      <c r="F13413" s="18"/>
    </row>
    <row r="13414" spans="5:6" ht="15" customHeight="1" x14ac:dyDescent="0.2">
      <c r="E13414" s="18"/>
      <c r="F13414" s="18"/>
    </row>
    <row r="13415" spans="5:6" ht="15" customHeight="1" x14ac:dyDescent="0.2">
      <c r="E13415" s="18"/>
      <c r="F13415" s="18"/>
    </row>
    <row r="13416" spans="5:6" ht="15" customHeight="1" x14ac:dyDescent="0.2">
      <c r="E13416" s="18"/>
      <c r="F13416" s="18"/>
    </row>
    <row r="13417" spans="5:6" ht="15" customHeight="1" x14ac:dyDescent="0.2">
      <c r="E13417" s="18"/>
      <c r="F13417" s="18"/>
    </row>
    <row r="13418" spans="5:6" ht="15" customHeight="1" x14ac:dyDescent="0.2">
      <c r="E13418" s="18"/>
      <c r="F13418" s="18"/>
    </row>
    <row r="13419" spans="5:6" ht="15" customHeight="1" x14ac:dyDescent="0.2">
      <c r="E13419" s="18"/>
      <c r="F13419" s="18"/>
    </row>
    <row r="13420" spans="5:6" ht="15" customHeight="1" x14ac:dyDescent="0.2">
      <c r="E13420" s="18"/>
      <c r="F13420" s="18"/>
    </row>
    <row r="13421" spans="5:6" ht="15" customHeight="1" x14ac:dyDescent="0.2">
      <c r="E13421" s="18"/>
      <c r="F13421" s="18"/>
    </row>
    <row r="13422" spans="5:6" ht="15" customHeight="1" x14ac:dyDescent="0.2">
      <c r="E13422" s="18"/>
      <c r="F13422" s="18"/>
    </row>
    <row r="13423" spans="5:6" ht="15" customHeight="1" x14ac:dyDescent="0.2">
      <c r="E13423" s="18"/>
      <c r="F13423" s="18"/>
    </row>
    <row r="13424" spans="5:6" ht="15" customHeight="1" x14ac:dyDescent="0.2">
      <c r="E13424" s="18"/>
      <c r="F13424" s="18"/>
    </row>
    <row r="13425" spans="5:6" ht="15" customHeight="1" x14ac:dyDescent="0.2">
      <c r="E13425" s="18"/>
      <c r="F13425" s="18"/>
    </row>
    <row r="13426" spans="5:6" ht="15" customHeight="1" x14ac:dyDescent="0.2">
      <c r="E13426" s="18"/>
      <c r="F13426" s="18"/>
    </row>
    <row r="13427" spans="5:6" ht="15" customHeight="1" x14ac:dyDescent="0.2">
      <c r="E13427" s="18"/>
      <c r="F13427" s="18"/>
    </row>
    <row r="13428" spans="5:6" ht="15" customHeight="1" x14ac:dyDescent="0.2">
      <c r="E13428" s="18"/>
      <c r="F13428" s="18"/>
    </row>
    <row r="13429" spans="5:6" ht="15" customHeight="1" x14ac:dyDescent="0.2">
      <c r="E13429" s="18"/>
      <c r="F13429" s="18"/>
    </row>
    <row r="13430" spans="5:6" ht="15" customHeight="1" x14ac:dyDescent="0.2">
      <c r="E13430" s="18"/>
      <c r="F13430" s="18"/>
    </row>
    <row r="13431" spans="5:6" ht="15" customHeight="1" x14ac:dyDescent="0.2">
      <c r="E13431" s="18"/>
      <c r="F13431" s="18"/>
    </row>
    <row r="13432" spans="5:6" ht="15" customHeight="1" x14ac:dyDescent="0.2">
      <c r="E13432" s="18"/>
      <c r="F13432" s="18"/>
    </row>
    <row r="13433" spans="5:6" ht="15" customHeight="1" x14ac:dyDescent="0.2">
      <c r="E13433" s="18"/>
      <c r="F13433" s="18"/>
    </row>
    <row r="13434" spans="5:6" ht="15" customHeight="1" x14ac:dyDescent="0.2">
      <c r="E13434" s="18"/>
      <c r="F13434" s="18"/>
    </row>
    <row r="13435" spans="5:6" ht="15" customHeight="1" x14ac:dyDescent="0.2">
      <c r="E13435" s="18"/>
      <c r="F13435" s="18"/>
    </row>
    <row r="13436" spans="5:6" ht="15" customHeight="1" x14ac:dyDescent="0.2">
      <c r="E13436" s="18"/>
      <c r="F13436" s="18"/>
    </row>
    <row r="13437" spans="5:6" ht="15" customHeight="1" x14ac:dyDescent="0.2">
      <c r="E13437" s="18"/>
      <c r="F13437" s="18"/>
    </row>
    <row r="13438" spans="5:6" ht="15" customHeight="1" x14ac:dyDescent="0.2">
      <c r="E13438" s="18"/>
      <c r="F13438" s="18"/>
    </row>
    <row r="13439" spans="5:6" ht="15" customHeight="1" x14ac:dyDescent="0.2">
      <c r="E13439" s="18"/>
      <c r="F13439" s="18"/>
    </row>
    <row r="13440" spans="5:6" ht="15" customHeight="1" x14ac:dyDescent="0.2">
      <c r="E13440" s="18"/>
      <c r="F13440" s="18"/>
    </row>
    <row r="13441" spans="5:6" ht="15" customHeight="1" x14ac:dyDescent="0.2">
      <c r="E13441" s="18"/>
      <c r="F13441" s="18"/>
    </row>
    <row r="13442" spans="5:6" ht="15" customHeight="1" x14ac:dyDescent="0.2">
      <c r="E13442" s="18"/>
      <c r="F13442" s="18"/>
    </row>
    <row r="13443" spans="5:6" ht="15" customHeight="1" x14ac:dyDescent="0.2">
      <c r="E13443" s="18"/>
      <c r="F13443" s="18"/>
    </row>
    <row r="13444" spans="5:6" ht="15" customHeight="1" x14ac:dyDescent="0.2">
      <c r="E13444" s="18"/>
      <c r="F13444" s="18"/>
    </row>
    <row r="13445" spans="5:6" ht="15" customHeight="1" x14ac:dyDescent="0.2">
      <c r="E13445" s="18"/>
      <c r="F13445" s="18"/>
    </row>
    <row r="13446" spans="5:6" ht="15" customHeight="1" x14ac:dyDescent="0.2">
      <c r="E13446" s="18"/>
      <c r="F13446" s="18"/>
    </row>
    <row r="13447" spans="5:6" ht="15" customHeight="1" x14ac:dyDescent="0.2">
      <c r="E13447" s="18"/>
      <c r="F13447" s="18"/>
    </row>
    <row r="13448" spans="5:6" ht="15" customHeight="1" x14ac:dyDescent="0.2">
      <c r="E13448" s="18"/>
      <c r="F13448" s="18"/>
    </row>
    <row r="13449" spans="5:6" ht="15" customHeight="1" x14ac:dyDescent="0.2">
      <c r="E13449" s="18"/>
      <c r="F13449" s="18"/>
    </row>
    <row r="13450" spans="5:6" ht="15" customHeight="1" x14ac:dyDescent="0.2">
      <c r="E13450" s="18"/>
      <c r="F13450" s="18"/>
    </row>
    <row r="13451" spans="5:6" ht="15" customHeight="1" x14ac:dyDescent="0.2">
      <c r="E13451" s="18"/>
      <c r="F13451" s="18"/>
    </row>
    <row r="13452" spans="5:6" ht="15" customHeight="1" x14ac:dyDescent="0.2">
      <c r="E13452" s="18"/>
      <c r="F13452" s="18"/>
    </row>
    <row r="13453" spans="5:6" ht="15" customHeight="1" x14ac:dyDescent="0.2">
      <c r="E13453" s="18"/>
      <c r="F13453" s="18"/>
    </row>
    <row r="13454" spans="5:6" ht="15" customHeight="1" x14ac:dyDescent="0.2">
      <c r="E13454" s="18"/>
      <c r="F13454" s="18"/>
    </row>
    <row r="13455" spans="5:6" ht="15" customHeight="1" x14ac:dyDescent="0.2">
      <c r="E13455" s="18"/>
      <c r="F13455" s="18"/>
    </row>
    <row r="13456" spans="5:6" ht="15" customHeight="1" x14ac:dyDescent="0.2">
      <c r="E13456" s="18"/>
      <c r="F13456" s="18"/>
    </row>
    <row r="13457" spans="5:6" ht="15" customHeight="1" x14ac:dyDescent="0.2">
      <c r="E13457" s="18"/>
      <c r="F13457" s="18"/>
    </row>
    <row r="13458" spans="5:6" ht="15" customHeight="1" x14ac:dyDescent="0.2">
      <c r="E13458" s="18"/>
      <c r="F13458" s="18"/>
    </row>
    <row r="13459" spans="5:6" ht="15" customHeight="1" x14ac:dyDescent="0.2">
      <c r="E13459" s="18"/>
      <c r="F13459" s="18"/>
    </row>
    <row r="13460" spans="5:6" ht="15" customHeight="1" x14ac:dyDescent="0.2">
      <c r="E13460" s="18"/>
      <c r="F13460" s="18"/>
    </row>
    <row r="13461" spans="5:6" ht="15" customHeight="1" x14ac:dyDescent="0.2">
      <c r="E13461" s="18"/>
      <c r="F13461" s="18"/>
    </row>
    <row r="13462" spans="5:6" ht="15" customHeight="1" x14ac:dyDescent="0.2">
      <c r="E13462" s="18"/>
      <c r="F13462" s="18"/>
    </row>
    <row r="13463" spans="5:6" ht="15" customHeight="1" x14ac:dyDescent="0.2">
      <c r="E13463" s="18"/>
      <c r="F13463" s="18"/>
    </row>
    <row r="13464" spans="5:6" ht="15" customHeight="1" x14ac:dyDescent="0.2">
      <c r="E13464" s="18"/>
      <c r="F13464" s="18"/>
    </row>
    <row r="13465" spans="5:6" ht="15" customHeight="1" x14ac:dyDescent="0.2">
      <c r="E13465" s="18"/>
      <c r="F13465" s="18"/>
    </row>
    <row r="13466" spans="5:6" ht="15" customHeight="1" x14ac:dyDescent="0.2">
      <c r="E13466" s="18"/>
      <c r="F13466" s="18"/>
    </row>
    <row r="13467" spans="5:6" ht="15" customHeight="1" x14ac:dyDescent="0.2">
      <c r="E13467" s="18"/>
      <c r="F13467" s="18"/>
    </row>
    <row r="13468" spans="5:6" ht="15" customHeight="1" x14ac:dyDescent="0.2">
      <c r="E13468" s="18"/>
      <c r="F13468" s="18"/>
    </row>
    <row r="13469" spans="5:6" ht="15" customHeight="1" x14ac:dyDescent="0.2">
      <c r="E13469" s="18"/>
      <c r="F13469" s="18"/>
    </row>
    <row r="13470" spans="5:6" ht="15" customHeight="1" x14ac:dyDescent="0.2">
      <c r="E13470" s="18"/>
      <c r="F13470" s="18"/>
    </row>
    <row r="13471" spans="5:6" ht="15" customHeight="1" x14ac:dyDescent="0.2">
      <c r="E13471" s="18"/>
      <c r="F13471" s="18"/>
    </row>
    <row r="13472" spans="5:6" ht="15" customHeight="1" x14ac:dyDescent="0.2">
      <c r="E13472" s="18"/>
      <c r="F13472" s="18"/>
    </row>
    <row r="13473" spans="5:6" ht="15" customHeight="1" x14ac:dyDescent="0.2">
      <c r="E13473" s="18"/>
      <c r="F13473" s="18"/>
    </row>
    <row r="13474" spans="5:6" ht="15" customHeight="1" x14ac:dyDescent="0.2">
      <c r="E13474" s="18"/>
      <c r="F13474" s="18"/>
    </row>
    <row r="13475" spans="5:6" ht="15" customHeight="1" x14ac:dyDescent="0.2">
      <c r="E13475" s="18"/>
      <c r="F13475" s="18"/>
    </row>
    <row r="13476" spans="5:6" ht="15" customHeight="1" x14ac:dyDescent="0.2">
      <c r="E13476" s="18"/>
      <c r="F13476" s="18"/>
    </row>
    <row r="13477" spans="5:6" ht="15" customHeight="1" x14ac:dyDescent="0.2">
      <c r="E13477" s="18"/>
      <c r="F13477" s="18"/>
    </row>
    <row r="13478" spans="5:6" ht="15" customHeight="1" x14ac:dyDescent="0.2">
      <c r="E13478" s="18"/>
      <c r="F13478" s="18"/>
    </row>
    <row r="13479" spans="5:6" ht="15" customHeight="1" x14ac:dyDescent="0.2">
      <c r="E13479" s="18"/>
      <c r="F13479" s="18"/>
    </row>
    <row r="13480" spans="5:6" ht="15" customHeight="1" x14ac:dyDescent="0.2">
      <c r="E13480" s="18"/>
      <c r="F13480" s="18"/>
    </row>
    <row r="13481" spans="5:6" ht="15" customHeight="1" x14ac:dyDescent="0.2">
      <c r="E13481" s="18"/>
      <c r="F13481" s="18"/>
    </row>
    <row r="13482" spans="5:6" ht="15" customHeight="1" x14ac:dyDescent="0.2">
      <c r="E13482" s="18"/>
      <c r="F13482" s="18"/>
    </row>
    <row r="13483" spans="5:6" ht="15" customHeight="1" x14ac:dyDescent="0.2">
      <c r="E13483" s="18"/>
      <c r="F13483" s="18"/>
    </row>
    <row r="13484" spans="5:6" ht="15" customHeight="1" x14ac:dyDescent="0.2">
      <c r="E13484" s="18"/>
      <c r="F13484" s="18"/>
    </row>
    <row r="13485" spans="5:6" ht="15" customHeight="1" x14ac:dyDescent="0.2">
      <c r="E13485" s="18"/>
      <c r="F13485" s="18"/>
    </row>
    <row r="13486" spans="5:6" ht="15" customHeight="1" x14ac:dyDescent="0.2">
      <c r="E13486" s="18"/>
      <c r="F13486" s="18"/>
    </row>
    <row r="13487" spans="5:6" ht="15" customHeight="1" x14ac:dyDescent="0.2">
      <c r="E13487" s="18"/>
      <c r="F13487" s="18"/>
    </row>
    <row r="13488" spans="5:6" ht="15" customHeight="1" x14ac:dyDescent="0.2">
      <c r="E13488" s="18"/>
      <c r="F13488" s="18"/>
    </row>
    <row r="13489" spans="5:6" ht="15" customHeight="1" x14ac:dyDescent="0.2">
      <c r="E13489" s="18"/>
      <c r="F13489" s="18"/>
    </row>
    <row r="13490" spans="5:6" ht="15" customHeight="1" x14ac:dyDescent="0.2">
      <c r="E13490" s="18"/>
      <c r="F13490" s="18"/>
    </row>
    <row r="13491" spans="5:6" ht="15" customHeight="1" x14ac:dyDescent="0.2">
      <c r="E13491" s="18"/>
      <c r="F13491" s="18"/>
    </row>
    <row r="13492" spans="5:6" ht="15" customHeight="1" x14ac:dyDescent="0.2">
      <c r="E13492" s="18"/>
      <c r="F13492" s="18"/>
    </row>
    <row r="13493" spans="5:6" ht="15" customHeight="1" x14ac:dyDescent="0.2">
      <c r="E13493" s="18"/>
      <c r="F13493" s="18"/>
    </row>
    <row r="13494" spans="5:6" ht="15" customHeight="1" x14ac:dyDescent="0.2">
      <c r="E13494" s="18"/>
      <c r="F13494" s="18"/>
    </row>
    <row r="13495" spans="5:6" ht="15" customHeight="1" x14ac:dyDescent="0.2">
      <c r="E13495" s="18"/>
      <c r="F13495" s="18"/>
    </row>
    <row r="13496" spans="5:6" ht="15" customHeight="1" x14ac:dyDescent="0.2">
      <c r="E13496" s="18"/>
      <c r="F13496" s="18"/>
    </row>
    <row r="13497" spans="5:6" ht="15" customHeight="1" x14ac:dyDescent="0.2">
      <c r="E13497" s="18"/>
      <c r="F13497" s="18"/>
    </row>
    <row r="13498" spans="5:6" ht="15" customHeight="1" x14ac:dyDescent="0.2">
      <c r="E13498" s="18"/>
      <c r="F13498" s="18"/>
    </row>
    <row r="13499" spans="5:6" ht="15" customHeight="1" x14ac:dyDescent="0.2">
      <c r="E13499" s="18"/>
      <c r="F13499" s="18"/>
    </row>
    <row r="13500" spans="5:6" ht="15" customHeight="1" x14ac:dyDescent="0.2">
      <c r="E13500" s="18"/>
      <c r="F13500" s="18"/>
    </row>
    <row r="13501" spans="5:6" ht="15" customHeight="1" x14ac:dyDescent="0.2">
      <c r="E13501" s="18"/>
      <c r="F13501" s="18"/>
    </row>
    <row r="13502" spans="5:6" ht="15" customHeight="1" x14ac:dyDescent="0.2">
      <c r="E13502" s="18"/>
      <c r="F13502" s="18"/>
    </row>
    <row r="13503" spans="5:6" ht="15" customHeight="1" x14ac:dyDescent="0.2">
      <c r="E13503" s="18"/>
      <c r="F13503" s="18"/>
    </row>
    <row r="13504" spans="5:6" ht="15" customHeight="1" x14ac:dyDescent="0.2">
      <c r="E13504" s="18"/>
      <c r="F13504" s="18"/>
    </row>
    <row r="13505" spans="5:6" ht="15" customHeight="1" x14ac:dyDescent="0.2">
      <c r="E13505" s="18"/>
      <c r="F13505" s="18"/>
    </row>
    <row r="13506" spans="5:6" ht="15" customHeight="1" x14ac:dyDescent="0.2">
      <c r="E13506" s="18"/>
      <c r="F13506" s="18"/>
    </row>
    <row r="13507" spans="5:6" ht="15" customHeight="1" x14ac:dyDescent="0.2">
      <c r="E13507" s="18"/>
      <c r="F13507" s="18"/>
    </row>
    <row r="13508" spans="5:6" ht="15" customHeight="1" x14ac:dyDescent="0.2">
      <c r="E13508" s="18"/>
      <c r="F13508" s="18"/>
    </row>
    <row r="13509" spans="5:6" ht="15" customHeight="1" x14ac:dyDescent="0.2">
      <c r="E13509" s="18"/>
      <c r="F13509" s="18"/>
    </row>
    <row r="13510" spans="5:6" ht="15" customHeight="1" x14ac:dyDescent="0.2">
      <c r="E13510" s="18"/>
      <c r="F13510" s="18"/>
    </row>
    <row r="13511" spans="5:6" ht="15" customHeight="1" x14ac:dyDescent="0.2">
      <c r="E13511" s="18"/>
      <c r="F13511" s="18"/>
    </row>
    <row r="13512" spans="5:6" ht="15" customHeight="1" x14ac:dyDescent="0.2">
      <c r="E13512" s="18"/>
      <c r="F13512" s="18"/>
    </row>
    <row r="13513" spans="5:6" ht="15" customHeight="1" x14ac:dyDescent="0.2">
      <c r="E13513" s="18"/>
      <c r="F13513" s="18"/>
    </row>
    <row r="13514" spans="5:6" ht="15" customHeight="1" x14ac:dyDescent="0.2">
      <c r="E13514" s="18"/>
      <c r="F13514" s="18"/>
    </row>
    <row r="13515" spans="5:6" ht="15" customHeight="1" x14ac:dyDescent="0.2">
      <c r="E13515" s="18"/>
      <c r="F13515" s="18"/>
    </row>
    <row r="13516" spans="5:6" ht="15" customHeight="1" x14ac:dyDescent="0.2">
      <c r="E13516" s="18"/>
      <c r="F13516" s="18"/>
    </row>
    <row r="13517" spans="5:6" ht="15" customHeight="1" x14ac:dyDescent="0.2">
      <c r="E13517" s="18"/>
      <c r="F13517" s="18"/>
    </row>
    <row r="13518" spans="5:6" ht="15" customHeight="1" x14ac:dyDescent="0.2">
      <c r="E13518" s="18"/>
      <c r="F13518" s="18"/>
    </row>
    <row r="13519" spans="5:6" ht="15" customHeight="1" x14ac:dyDescent="0.2">
      <c r="E13519" s="18"/>
      <c r="F13519" s="18"/>
    </row>
    <row r="13520" spans="5:6" ht="15" customHeight="1" x14ac:dyDescent="0.2">
      <c r="E13520" s="18"/>
      <c r="F13520" s="18"/>
    </row>
    <row r="13521" spans="5:6" ht="15" customHeight="1" x14ac:dyDescent="0.2">
      <c r="E13521" s="18"/>
      <c r="F13521" s="18"/>
    </row>
    <row r="13522" spans="5:6" ht="15" customHeight="1" x14ac:dyDescent="0.2">
      <c r="E13522" s="18"/>
      <c r="F13522" s="18"/>
    </row>
    <row r="13523" spans="5:6" ht="15" customHeight="1" x14ac:dyDescent="0.2">
      <c r="E13523" s="18"/>
      <c r="F13523" s="18"/>
    </row>
    <row r="13524" spans="5:6" ht="15" customHeight="1" x14ac:dyDescent="0.2">
      <c r="E13524" s="18"/>
      <c r="F13524" s="18"/>
    </row>
    <row r="13525" spans="5:6" ht="15" customHeight="1" x14ac:dyDescent="0.2">
      <c r="E13525" s="18"/>
      <c r="F13525" s="18"/>
    </row>
    <row r="13526" spans="5:6" ht="15" customHeight="1" x14ac:dyDescent="0.2">
      <c r="E13526" s="18"/>
      <c r="F13526" s="18"/>
    </row>
    <row r="13527" spans="5:6" ht="15" customHeight="1" x14ac:dyDescent="0.2">
      <c r="E13527" s="18"/>
      <c r="F13527" s="18"/>
    </row>
    <row r="13528" spans="5:6" ht="15" customHeight="1" x14ac:dyDescent="0.2">
      <c r="E13528" s="18"/>
      <c r="F13528" s="18"/>
    </row>
    <row r="13529" spans="5:6" ht="15" customHeight="1" x14ac:dyDescent="0.2">
      <c r="E13529" s="18"/>
      <c r="F13529" s="18"/>
    </row>
    <row r="13530" spans="5:6" ht="15" customHeight="1" x14ac:dyDescent="0.2">
      <c r="E13530" s="18"/>
      <c r="F13530" s="18"/>
    </row>
    <row r="13531" spans="5:6" ht="15" customHeight="1" x14ac:dyDescent="0.2">
      <c r="E13531" s="18"/>
      <c r="F13531" s="18"/>
    </row>
    <row r="13532" spans="5:6" ht="15" customHeight="1" x14ac:dyDescent="0.2">
      <c r="E13532" s="18"/>
      <c r="F13532" s="18"/>
    </row>
    <row r="13533" spans="5:6" ht="15" customHeight="1" x14ac:dyDescent="0.2">
      <c r="E13533" s="18"/>
      <c r="F13533" s="18"/>
    </row>
    <row r="13534" spans="5:6" ht="15" customHeight="1" x14ac:dyDescent="0.2">
      <c r="E13534" s="18"/>
      <c r="F13534" s="18"/>
    </row>
    <row r="13535" spans="5:6" ht="15" customHeight="1" x14ac:dyDescent="0.2">
      <c r="E13535" s="18"/>
      <c r="F13535" s="18"/>
    </row>
    <row r="13536" spans="5:6" ht="15" customHeight="1" x14ac:dyDescent="0.2">
      <c r="E13536" s="18"/>
      <c r="F13536" s="18"/>
    </row>
    <row r="13537" spans="5:6" ht="15" customHeight="1" x14ac:dyDescent="0.2">
      <c r="E13537" s="18"/>
      <c r="F13537" s="18"/>
    </row>
    <row r="13538" spans="5:6" ht="15" customHeight="1" x14ac:dyDescent="0.2">
      <c r="E13538" s="18"/>
      <c r="F13538" s="18"/>
    </row>
    <row r="13539" spans="5:6" ht="15" customHeight="1" x14ac:dyDescent="0.2">
      <c r="E13539" s="18"/>
      <c r="F13539" s="18"/>
    </row>
    <row r="13540" spans="5:6" ht="15" customHeight="1" x14ac:dyDescent="0.2">
      <c r="E13540" s="18"/>
      <c r="F13540" s="18"/>
    </row>
    <row r="13541" spans="5:6" ht="15" customHeight="1" x14ac:dyDescent="0.2">
      <c r="E13541" s="18"/>
      <c r="F13541" s="18"/>
    </row>
    <row r="13542" spans="5:6" ht="15" customHeight="1" x14ac:dyDescent="0.2">
      <c r="E13542" s="18"/>
      <c r="F13542" s="18"/>
    </row>
    <row r="13543" spans="5:6" ht="15" customHeight="1" x14ac:dyDescent="0.2">
      <c r="E13543" s="18"/>
      <c r="F13543" s="18"/>
    </row>
    <row r="13544" spans="5:6" ht="15" customHeight="1" x14ac:dyDescent="0.2">
      <c r="E13544" s="18"/>
      <c r="F13544" s="18"/>
    </row>
    <row r="13545" spans="5:6" ht="15" customHeight="1" x14ac:dyDescent="0.2">
      <c r="E13545" s="18"/>
      <c r="F13545" s="18"/>
    </row>
    <row r="13546" spans="5:6" ht="15" customHeight="1" x14ac:dyDescent="0.2">
      <c r="E13546" s="18"/>
      <c r="F13546" s="18"/>
    </row>
    <row r="13547" spans="5:6" ht="15" customHeight="1" x14ac:dyDescent="0.2">
      <c r="E13547" s="18"/>
      <c r="F13547" s="18"/>
    </row>
    <row r="13548" spans="5:6" ht="15" customHeight="1" x14ac:dyDescent="0.2">
      <c r="E13548" s="18"/>
      <c r="F13548" s="18"/>
    </row>
    <row r="13549" spans="5:6" ht="15" customHeight="1" x14ac:dyDescent="0.2">
      <c r="E13549" s="18"/>
      <c r="F13549" s="18"/>
    </row>
    <row r="13550" spans="5:6" ht="15" customHeight="1" x14ac:dyDescent="0.2">
      <c r="E13550" s="18"/>
      <c r="F13550" s="18"/>
    </row>
    <row r="13551" spans="5:6" ht="15" customHeight="1" x14ac:dyDescent="0.2">
      <c r="E13551" s="18"/>
      <c r="F13551" s="18"/>
    </row>
    <row r="13552" spans="5:6" ht="15" customHeight="1" x14ac:dyDescent="0.2">
      <c r="E13552" s="18"/>
      <c r="F13552" s="18"/>
    </row>
    <row r="13553" spans="5:6" ht="15" customHeight="1" x14ac:dyDescent="0.2">
      <c r="E13553" s="18"/>
      <c r="F13553" s="18"/>
    </row>
    <row r="13554" spans="5:6" ht="15" customHeight="1" x14ac:dyDescent="0.2">
      <c r="E13554" s="18"/>
      <c r="F13554" s="18"/>
    </row>
    <row r="13555" spans="5:6" ht="15" customHeight="1" x14ac:dyDescent="0.2">
      <c r="E13555" s="18"/>
      <c r="F13555" s="18"/>
    </row>
    <row r="13556" spans="5:6" ht="15" customHeight="1" x14ac:dyDescent="0.2">
      <c r="E13556" s="18"/>
      <c r="F13556" s="18"/>
    </row>
    <row r="13557" spans="5:6" ht="15" customHeight="1" x14ac:dyDescent="0.2">
      <c r="E13557" s="18"/>
      <c r="F13557" s="18"/>
    </row>
    <row r="13558" spans="5:6" ht="15" customHeight="1" x14ac:dyDescent="0.2">
      <c r="E13558" s="18"/>
      <c r="F13558" s="18"/>
    </row>
    <row r="13559" spans="5:6" ht="15" customHeight="1" x14ac:dyDescent="0.2">
      <c r="E13559" s="18"/>
      <c r="F13559" s="18"/>
    </row>
    <row r="13560" spans="5:6" ht="15" customHeight="1" x14ac:dyDescent="0.2">
      <c r="E13560" s="18"/>
      <c r="F13560" s="18"/>
    </row>
    <row r="13561" spans="5:6" ht="15" customHeight="1" x14ac:dyDescent="0.2">
      <c r="E13561" s="18"/>
      <c r="F13561" s="18"/>
    </row>
    <row r="13562" spans="5:6" ht="15" customHeight="1" x14ac:dyDescent="0.2">
      <c r="E13562" s="18"/>
      <c r="F13562" s="18"/>
    </row>
    <row r="13563" spans="5:6" ht="15" customHeight="1" x14ac:dyDescent="0.2">
      <c r="E13563" s="18"/>
      <c r="F13563" s="18"/>
    </row>
    <row r="13564" spans="5:6" ht="15" customHeight="1" x14ac:dyDescent="0.2">
      <c r="E13564" s="18"/>
      <c r="F13564" s="18"/>
    </row>
    <row r="13565" spans="5:6" ht="15" customHeight="1" x14ac:dyDescent="0.2">
      <c r="E13565" s="18"/>
      <c r="F13565" s="18"/>
    </row>
    <row r="13566" spans="5:6" ht="15" customHeight="1" x14ac:dyDescent="0.2">
      <c r="E13566" s="18"/>
      <c r="F13566" s="18"/>
    </row>
    <row r="13567" spans="5:6" ht="15" customHeight="1" x14ac:dyDescent="0.2">
      <c r="E13567" s="18"/>
      <c r="F13567" s="18"/>
    </row>
    <row r="13568" spans="5:6" ht="15" customHeight="1" x14ac:dyDescent="0.2">
      <c r="E13568" s="18"/>
      <c r="F13568" s="18"/>
    </row>
    <row r="13569" spans="5:6" ht="15" customHeight="1" x14ac:dyDescent="0.2">
      <c r="E13569" s="18"/>
      <c r="F13569" s="18"/>
    </row>
    <row r="13570" spans="5:6" ht="15" customHeight="1" x14ac:dyDescent="0.2">
      <c r="E13570" s="18"/>
      <c r="F13570" s="18"/>
    </row>
    <row r="13571" spans="5:6" ht="15" customHeight="1" x14ac:dyDescent="0.2">
      <c r="E13571" s="18"/>
      <c r="F13571" s="18"/>
    </row>
    <row r="13572" spans="5:6" ht="15" customHeight="1" x14ac:dyDescent="0.2">
      <c r="E13572" s="18"/>
      <c r="F13572" s="18"/>
    </row>
    <row r="13573" spans="5:6" ht="15" customHeight="1" x14ac:dyDescent="0.2">
      <c r="E13573" s="18"/>
      <c r="F13573" s="18"/>
    </row>
    <row r="13574" spans="5:6" ht="15" customHeight="1" x14ac:dyDescent="0.2">
      <c r="E13574" s="18"/>
      <c r="F13574" s="18"/>
    </row>
    <row r="13575" spans="5:6" ht="15" customHeight="1" x14ac:dyDescent="0.2">
      <c r="E13575" s="18"/>
      <c r="F13575" s="18"/>
    </row>
    <row r="13576" spans="5:6" ht="15" customHeight="1" x14ac:dyDescent="0.2">
      <c r="E13576" s="18"/>
      <c r="F13576" s="18"/>
    </row>
    <row r="13577" spans="5:6" ht="15" customHeight="1" x14ac:dyDescent="0.2">
      <c r="E13577" s="18"/>
      <c r="F13577" s="18"/>
    </row>
    <row r="13578" spans="5:6" ht="15" customHeight="1" x14ac:dyDescent="0.2">
      <c r="E13578" s="18"/>
      <c r="F13578" s="18"/>
    </row>
    <row r="13579" spans="5:6" ht="15" customHeight="1" x14ac:dyDescent="0.2">
      <c r="E13579" s="18"/>
      <c r="F13579" s="18"/>
    </row>
    <row r="13580" spans="5:6" ht="15" customHeight="1" x14ac:dyDescent="0.2">
      <c r="E13580" s="18"/>
      <c r="F13580" s="18"/>
    </row>
    <row r="13581" spans="5:6" ht="15" customHeight="1" x14ac:dyDescent="0.2">
      <c r="E13581" s="18"/>
      <c r="F13581" s="18"/>
    </row>
    <row r="13582" spans="5:6" ht="15" customHeight="1" x14ac:dyDescent="0.2">
      <c r="E13582" s="18"/>
      <c r="F13582" s="18"/>
    </row>
    <row r="13583" spans="5:6" ht="15" customHeight="1" x14ac:dyDescent="0.2">
      <c r="E13583" s="18"/>
      <c r="F13583" s="18"/>
    </row>
    <row r="13584" spans="5:6" ht="15" customHeight="1" x14ac:dyDescent="0.2">
      <c r="E13584" s="18"/>
      <c r="F13584" s="18"/>
    </row>
    <row r="13585" spans="5:6" ht="15" customHeight="1" x14ac:dyDescent="0.2">
      <c r="E13585" s="18"/>
      <c r="F13585" s="18"/>
    </row>
    <row r="13586" spans="5:6" ht="15" customHeight="1" x14ac:dyDescent="0.2">
      <c r="E13586" s="18"/>
      <c r="F13586" s="18"/>
    </row>
    <row r="13587" spans="5:6" ht="15" customHeight="1" x14ac:dyDescent="0.2">
      <c r="E13587" s="18"/>
      <c r="F13587" s="18"/>
    </row>
    <row r="13588" spans="5:6" ht="15" customHeight="1" x14ac:dyDescent="0.2">
      <c r="E13588" s="18"/>
      <c r="F13588" s="18"/>
    </row>
    <row r="13589" spans="5:6" ht="15" customHeight="1" x14ac:dyDescent="0.2">
      <c r="E13589" s="18"/>
      <c r="F13589" s="18"/>
    </row>
    <row r="13590" spans="5:6" ht="15" customHeight="1" x14ac:dyDescent="0.2">
      <c r="E13590" s="18"/>
      <c r="F13590" s="18"/>
    </row>
    <row r="13591" spans="5:6" ht="15" customHeight="1" x14ac:dyDescent="0.2">
      <c r="E13591" s="18"/>
      <c r="F13591" s="18"/>
    </row>
    <row r="13592" spans="5:6" ht="15" customHeight="1" x14ac:dyDescent="0.2">
      <c r="E13592" s="18"/>
      <c r="F13592" s="18"/>
    </row>
    <row r="13593" spans="5:6" ht="15" customHeight="1" x14ac:dyDescent="0.2">
      <c r="E13593" s="18"/>
      <c r="F13593" s="18"/>
    </row>
    <row r="13594" spans="5:6" ht="15" customHeight="1" x14ac:dyDescent="0.2">
      <c r="E13594" s="18"/>
      <c r="F13594" s="18"/>
    </row>
    <row r="13595" spans="5:6" ht="15" customHeight="1" x14ac:dyDescent="0.2">
      <c r="E13595" s="18"/>
      <c r="F13595" s="18"/>
    </row>
    <row r="13596" spans="5:6" ht="15" customHeight="1" x14ac:dyDescent="0.2">
      <c r="E13596" s="18"/>
      <c r="F13596" s="18"/>
    </row>
    <row r="13597" spans="5:6" ht="15" customHeight="1" x14ac:dyDescent="0.2">
      <c r="E13597" s="18"/>
      <c r="F13597" s="18"/>
    </row>
    <row r="13598" spans="5:6" ht="15" customHeight="1" x14ac:dyDescent="0.2">
      <c r="E13598" s="18"/>
      <c r="F13598" s="18"/>
    </row>
    <row r="13599" spans="5:6" ht="15" customHeight="1" x14ac:dyDescent="0.2">
      <c r="E13599" s="18"/>
      <c r="F13599" s="18"/>
    </row>
    <row r="13600" spans="5:6" ht="15" customHeight="1" x14ac:dyDescent="0.2">
      <c r="E13600" s="18"/>
      <c r="F13600" s="18"/>
    </row>
    <row r="13601" spans="5:6" ht="15" customHeight="1" x14ac:dyDescent="0.2">
      <c r="E13601" s="18"/>
      <c r="F13601" s="18"/>
    </row>
    <row r="13602" spans="5:6" ht="15" customHeight="1" x14ac:dyDescent="0.2">
      <c r="E13602" s="18"/>
      <c r="F13602" s="18"/>
    </row>
    <row r="13603" spans="5:6" ht="15" customHeight="1" x14ac:dyDescent="0.2">
      <c r="E13603" s="18"/>
      <c r="F13603" s="18"/>
    </row>
    <row r="13604" spans="5:6" ht="15" customHeight="1" x14ac:dyDescent="0.2">
      <c r="E13604" s="18"/>
      <c r="F13604" s="18"/>
    </row>
    <row r="13605" spans="5:6" ht="15" customHeight="1" x14ac:dyDescent="0.2">
      <c r="E13605" s="18"/>
      <c r="F13605" s="18"/>
    </row>
    <row r="13606" spans="5:6" ht="15" customHeight="1" x14ac:dyDescent="0.2">
      <c r="E13606" s="18"/>
      <c r="F13606" s="18"/>
    </row>
    <row r="13607" spans="5:6" ht="15" customHeight="1" x14ac:dyDescent="0.2">
      <c r="E13607" s="18"/>
      <c r="F13607" s="18"/>
    </row>
    <row r="13608" spans="5:6" ht="15" customHeight="1" x14ac:dyDescent="0.2">
      <c r="E13608" s="18"/>
      <c r="F13608" s="18"/>
    </row>
    <row r="13609" spans="5:6" ht="15" customHeight="1" x14ac:dyDescent="0.2">
      <c r="E13609" s="18"/>
      <c r="F13609" s="18"/>
    </row>
    <row r="13610" spans="5:6" ht="15" customHeight="1" x14ac:dyDescent="0.2">
      <c r="E13610" s="18"/>
      <c r="F13610" s="18"/>
    </row>
    <row r="13611" spans="5:6" ht="15" customHeight="1" x14ac:dyDescent="0.2">
      <c r="E13611" s="18"/>
      <c r="F13611" s="18"/>
    </row>
    <row r="13612" spans="5:6" ht="15" customHeight="1" x14ac:dyDescent="0.2">
      <c r="E13612" s="18"/>
      <c r="F13612" s="18"/>
    </row>
    <row r="13613" spans="5:6" ht="15" customHeight="1" x14ac:dyDescent="0.2">
      <c r="E13613" s="18"/>
      <c r="F13613" s="18"/>
    </row>
    <row r="13614" spans="5:6" ht="15" customHeight="1" x14ac:dyDescent="0.2">
      <c r="E13614" s="18"/>
      <c r="F13614" s="18"/>
    </row>
    <row r="13615" spans="5:6" ht="15" customHeight="1" x14ac:dyDescent="0.2">
      <c r="E13615" s="18"/>
      <c r="F13615" s="18"/>
    </row>
    <row r="13616" spans="5:6" ht="15" customHeight="1" x14ac:dyDescent="0.2">
      <c r="E13616" s="18"/>
      <c r="F13616" s="18"/>
    </row>
    <row r="13617" spans="5:6" ht="15" customHeight="1" x14ac:dyDescent="0.2">
      <c r="E13617" s="18"/>
      <c r="F13617" s="18"/>
    </row>
    <row r="13618" spans="5:6" ht="15" customHeight="1" x14ac:dyDescent="0.2">
      <c r="E13618" s="18"/>
      <c r="F13618" s="18"/>
    </row>
    <row r="13619" spans="5:6" ht="15" customHeight="1" x14ac:dyDescent="0.2">
      <c r="E13619" s="18"/>
      <c r="F13619" s="18"/>
    </row>
    <row r="13620" spans="5:6" ht="15" customHeight="1" x14ac:dyDescent="0.2">
      <c r="E13620" s="18"/>
      <c r="F13620" s="18"/>
    </row>
    <row r="13621" spans="5:6" ht="15" customHeight="1" x14ac:dyDescent="0.2">
      <c r="E13621" s="18"/>
      <c r="F13621" s="18"/>
    </row>
    <row r="13622" spans="5:6" ht="15" customHeight="1" x14ac:dyDescent="0.2">
      <c r="E13622" s="18"/>
      <c r="F13622" s="18"/>
    </row>
    <row r="13623" spans="5:6" ht="15" customHeight="1" x14ac:dyDescent="0.2">
      <c r="E13623" s="18"/>
      <c r="F13623" s="18"/>
    </row>
    <row r="13624" spans="5:6" ht="15" customHeight="1" x14ac:dyDescent="0.2">
      <c r="E13624" s="18"/>
      <c r="F13624" s="18"/>
    </row>
    <row r="13625" spans="5:6" ht="15" customHeight="1" x14ac:dyDescent="0.2">
      <c r="E13625" s="18"/>
      <c r="F13625" s="18"/>
    </row>
    <row r="13626" spans="5:6" ht="15" customHeight="1" x14ac:dyDescent="0.2">
      <c r="E13626" s="18"/>
      <c r="F13626" s="18"/>
    </row>
    <row r="13627" spans="5:6" ht="15" customHeight="1" x14ac:dyDescent="0.2">
      <c r="E13627" s="18"/>
      <c r="F13627" s="18"/>
    </row>
    <row r="13628" spans="5:6" ht="15" customHeight="1" x14ac:dyDescent="0.2">
      <c r="E13628" s="18"/>
      <c r="F13628" s="18"/>
    </row>
    <row r="13629" spans="5:6" ht="15" customHeight="1" x14ac:dyDescent="0.2">
      <c r="E13629" s="18"/>
      <c r="F13629" s="18"/>
    </row>
    <row r="13630" spans="5:6" ht="15" customHeight="1" x14ac:dyDescent="0.2">
      <c r="E13630" s="18"/>
      <c r="F13630" s="18"/>
    </row>
    <row r="13631" spans="5:6" ht="15" customHeight="1" x14ac:dyDescent="0.2">
      <c r="E13631" s="18"/>
      <c r="F13631" s="18"/>
    </row>
    <row r="13632" spans="5:6" ht="15" customHeight="1" x14ac:dyDescent="0.2">
      <c r="E13632" s="18"/>
      <c r="F13632" s="18"/>
    </row>
    <row r="13633" spans="5:6" ht="15" customHeight="1" x14ac:dyDescent="0.2">
      <c r="E13633" s="18"/>
      <c r="F13633" s="18"/>
    </row>
    <row r="13634" spans="5:6" ht="15" customHeight="1" x14ac:dyDescent="0.2">
      <c r="E13634" s="18"/>
      <c r="F13634" s="18"/>
    </row>
    <row r="13635" spans="5:6" ht="15" customHeight="1" x14ac:dyDescent="0.2">
      <c r="E13635" s="18"/>
      <c r="F13635" s="18"/>
    </row>
    <row r="13636" spans="5:6" ht="15" customHeight="1" x14ac:dyDescent="0.2">
      <c r="E13636" s="18"/>
      <c r="F13636" s="18"/>
    </row>
    <row r="13637" spans="5:6" ht="15" customHeight="1" x14ac:dyDescent="0.2">
      <c r="E13637" s="18"/>
      <c r="F13637" s="18"/>
    </row>
    <row r="13638" spans="5:6" ht="15" customHeight="1" x14ac:dyDescent="0.2">
      <c r="E13638" s="18"/>
      <c r="F13638" s="18"/>
    </row>
    <row r="13639" spans="5:6" ht="15" customHeight="1" x14ac:dyDescent="0.2">
      <c r="E13639" s="18"/>
      <c r="F13639" s="18"/>
    </row>
    <row r="13640" spans="5:6" ht="15" customHeight="1" x14ac:dyDescent="0.2">
      <c r="E13640" s="18"/>
      <c r="F13640" s="18"/>
    </row>
    <row r="13641" spans="5:6" ht="15" customHeight="1" x14ac:dyDescent="0.2">
      <c r="E13641" s="18"/>
      <c r="F13641" s="18"/>
    </row>
    <row r="13642" spans="5:6" ht="15" customHeight="1" x14ac:dyDescent="0.2">
      <c r="E13642" s="18"/>
      <c r="F13642" s="18"/>
    </row>
    <row r="13643" spans="5:6" ht="15" customHeight="1" x14ac:dyDescent="0.2">
      <c r="E13643" s="18"/>
      <c r="F13643" s="18"/>
    </row>
    <row r="13644" spans="5:6" ht="15" customHeight="1" x14ac:dyDescent="0.2">
      <c r="E13644" s="18"/>
      <c r="F13644" s="18"/>
    </row>
    <row r="13645" spans="5:6" ht="15" customHeight="1" x14ac:dyDescent="0.2">
      <c r="E13645" s="18"/>
      <c r="F13645" s="18"/>
    </row>
    <row r="13646" spans="5:6" ht="15" customHeight="1" x14ac:dyDescent="0.2">
      <c r="E13646" s="18"/>
      <c r="F13646" s="18"/>
    </row>
    <row r="13647" spans="5:6" ht="15" customHeight="1" x14ac:dyDescent="0.2">
      <c r="E13647" s="18"/>
      <c r="F13647" s="18"/>
    </row>
    <row r="13648" spans="5:6" ht="15" customHeight="1" x14ac:dyDescent="0.2">
      <c r="E13648" s="18"/>
      <c r="F13648" s="18"/>
    </row>
    <row r="13649" spans="5:6" ht="15" customHeight="1" x14ac:dyDescent="0.2">
      <c r="E13649" s="18"/>
      <c r="F13649" s="18"/>
    </row>
    <row r="13650" spans="5:6" ht="15" customHeight="1" x14ac:dyDescent="0.2">
      <c r="E13650" s="18"/>
      <c r="F13650" s="18"/>
    </row>
    <row r="13651" spans="5:6" ht="15" customHeight="1" x14ac:dyDescent="0.2">
      <c r="E13651" s="18"/>
      <c r="F13651" s="18"/>
    </row>
    <row r="13652" spans="5:6" ht="15" customHeight="1" x14ac:dyDescent="0.2">
      <c r="E13652" s="18"/>
      <c r="F13652" s="18"/>
    </row>
    <row r="13653" spans="5:6" ht="15" customHeight="1" x14ac:dyDescent="0.2">
      <c r="E13653" s="18"/>
      <c r="F13653" s="18"/>
    </row>
    <row r="13654" spans="5:6" ht="15" customHeight="1" x14ac:dyDescent="0.2">
      <c r="E13654" s="18"/>
      <c r="F13654" s="18"/>
    </row>
    <row r="13655" spans="5:6" ht="15" customHeight="1" x14ac:dyDescent="0.2">
      <c r="E13655" s="18"/>
      <c r="F13655" s="18"/>
    </row>
    <row r="13656" spans="5:6" ht="15" customHeight="1" x14ac:dyDescent="0.2">
      <c r="E13656" s="18"/>
      <c r="F13656" s="18"/>
    </row>
    <row r="13657" spans="5:6" ht="15" customHeight="1" x14ac:dyDescent="0.2">
      <c r="E13657" s="18"/>
      <c r="F13657" s="18"/>
    </row>
    <row r="13658" spans="5:6" ht="15" customHeight="1" x14ac:dyDescent="0.2">
      <c r="E13658" s="18"/>
      <c r="F13658" s="18"/>
    </row>
    <row r="13659" spans="5:6" ht="15" customHeight="1" x14ac:dyDescent="0.2">
      <c r="E13659" s="18"/>
      <c r="F13659" s="18"/>
    </row>
    <row r="13660" spans="5:6" ht="15" customHeight="1" x14ac:dyDescent="0.2">
      <c r="E13660" s="18"/>
      <c r="F13660" s="18"/>
    </row>
    <row r="13661" spans="5:6" ht="15" customHeight="1" x14ac:dyDescent="0.2">
      <c r="E13661" s="18"/>
      <c r="F13661" s="18"/>
    </row>
    <row r="13662" spans="5:6" ht="15" customHeight="1" x14ac:dyDescent="0.2">
      <c r="E13662" s="18"/>
      <c r="F13662" s="18"/>
    </row>
    <row r="13663" spans="5:6" ht="15" customHeight="1" x14ac:dyDescent="0.2">
      <c r="E13663" s="18"/>
      <c r="F13663" s="18"/>
    </row>
    <row r="13664" spans="5:6" ht="15" customHeight="1" x14ac:dyDescent="0.2">
      <c r="E13664" s="18"/>
      <c r="F13664" s="18"/>
    </row>
    <row r="13665" spans="5:6" ht="15" customHeight="1" x14ac:dyDescent="0.2">
      <c r="E13665" s="18"/>
      <c r="F13665" s="18"/>
    </row>
    <row r="13666" spans="5:6" ht="15" customHeight="1" x14ac:dyDescent="0.2">
      <c r="E13666" s="18"/>
      <c r="F13666" s="18"/>
    </row>
    <row r="13667" spans="5:6" ht="15" customHeight="1" x14ac:dyDescent="0.2">
      <c r="E13667" s="18"/>
      <c r="F13667" s="18"/>
    </row>
    <row r="13668" spans="5:6" ht="15" customHeight="1" x14ac:dyDescent="0.2">
      <c r="E13668" s="18"/>
      <c r="F13668" s="18"/>
    </row>
    <row r="13669" spans="5:6" ht="15" customHeight="1" x14ac:dyDescent="0.2">
      <c r="E13669" s="18"/>
      <c r="F13669" s="18"/>
    </row>
    <row r="13670" spans="5:6" ht="15" customHeight="1" x14ac:dyDescent="0.2">
      <c r="E13670" s="18"/>
      <c r="F13670" s="18"/>
    </row>
    <row r="13671" spans="5:6" ht="15" customHeight="1" x14ac:dyDescent="0.2">
      <c r="E13671" s="18"/>
      <c r="F13671" s="18"/>
    </row>
    <row r="13672" spans="5:6" ht="15" customHeight="1" x14ac:dyDescent="0.2">
      <c r="E13672" s="18"/>
      <c r="F13672" s="18"/>
    </row>
    <row r="13673" spans="5:6" ht="15" customHeight="1" x14ac:dyDescent="0.2">
      <c r="E13673" s="18"/>
      <c r="F13673" s="18"/>
    </row>
    <row r="13674" spans="5:6" ht="15" customHeight="1" x14ac:dyDescent="0.2">
      <c r="E13674" s="18"/>
      <c r="F13674" s="18"/>
    </row>
    <row r="13675" spans="5:6" ht="15" customHeight="1" x14ac:dyDescent="0.2">
      <c r="E13675" s="18"/>
      <c r="F13675" s="18"/>
    </row>
    <row r="13676" spans="5:6" ht="15" customHeight="1" x14ac:dyDescent="0.2">
      <c r="E13676" s="18"/>
      <c r="F13676" s="18"/>
    </row>
    <row r="13677" spans="5:6" ht="15" customHeight="1" x14ac:dyDescent="0.2">
      <c r="E13677" s="18"/>
      <c r="F13677" s="18"/>
    </row>
    <row r="13678" spans="5:6" ht="15" customHeight="1" x14ac:dyDescent="0.2">
      <c r="E13678" s="18"/>
      <c r="F13678" s="18"/>
    </row>
    <row r="13679" spans="5:6" ht="15" customHeight="1" x14ac:dyDescent="0.2">
      <c r="E13679" s="18"/>
      <c r="F13679" s="18"/>
    </row>
    <row r="13680" spans="5:6" ht="15" customHeight="1" x14ac:dyDescent="0.2">
      <c r="E13680" s="18"/>
      <c r="F13680" s="18"/>
    </row>
    <row r="13681" spans="5:6" ht="15" customHeight="1" x14ac:dyDescent="0.2">
      <c r="E13681" s="18"/>
      <c r="F13681" s="18"/>
    </row>
    <row r="13682" spans="5:6" ht="15" customHeight="1" x14ac:dyDescent="0.2">
      <c r="E13682" s="18"/>
      <c r="F13682" s="18"/>
    </row>
    <row r="13683" spans="5:6" ht="15" customHeight="1" x14ac:dyDescent="0.2">
      <c r="E13683" s="18"/>
      <c r="F13683" s="18"/>
    </row>
    <row r="13684" spans="5:6" ht="15" customHeight="1" x14ac:dyDescent="0.2">
      <c r="E13684" s="18"/>
      <c r="F13684" s="18"/>
    </row>
    <row r="13685" spans="5:6" ht="15" customHeight="1" x14ac:dyDescent="0.2">
      <c r="E13685" s="18"/>
      <c r="F13685" s="18"/>
    </row>
    <row r="13686" spans="5:6" ht="15" customHeight="1" x14ac:dyDescent="0.2">
      <c r="E13686" s="18"/>
      <c r="F13686" s="18"/>
    </row>
    <row r="13687" spans="5:6" ht="15" customHeight="1" x14ac:dyDescent="0.2">
      <c r="E13687" s="18"/>
      <c r="F13687" s="18"/>
    </row>
    <row r="13688" spans="5:6" ht="15" customHeight="1" x14ac:dyDescent="0.2">
      <c r="E13688" s="18"/>
      <c r="F13688" s="18"/>
    </row>
    <row r="13689" spans="5:6" ht="15" customHeight="1" x14ac:dyDescent="0.2">
      <c r="E13689" s="18"/>
      <c r="F13689" s="18"/>
    </row>
    <row r="13690" spans="5:6" ht="15" customHeight="1" x14ac:dyDescent="0.2">
      <c r="E13690" s="18"/>
      <c r="F13690" s="18"/>
    </row>
    <row r="13691" spans="5:6" ht="15" customHeight="1" x14ac:dyDescent="0.2">
      <c r="E13691" s="18"/>
      <c r="F13691" s="18"/>
    </row>
    <row r="13692" spans="5:6" ht="15" customHeight="1" x14ac:dyDescent="0.2">
      <c r="E13692" s="18"/>
      <c r="F13692" s="18"/>
    </row>
    <row r="13693" spans="5:6" ht="15" customHeight="1" x14ac:dyDescent="0.2">
      <c r="E13693" s="18"/>
      <c r="F13693" s="18"/>
    </row>
    <row r="13694" spans="5:6" ht="15" customHeight="1" x14ac:dyDescent="0.2">
      <c r="E13694" s="18"/>
      <c r="F13694" s="18"/>
    </row>
    <row r="13695" spans="5:6" ht="15" customHeight="1" x14ac:dyDescent="0.2">
      <c r="E13695" s="18"/>
      <c r="F13695" s="18"/>
    </row>
    <row r="13696" spans="5:6" ht="15" customHeight="1" x14ac:dyDescent="0.2">
      <c r="E13696" s="18"/>
      <c r="F13696" s="18"/>
    </row>
    <row r="13697" spans="5:6" ht="15" customHeight="1" x14ac:dyDescent="0.2">
      <c r="E13697" s="18"/>
      <c r="F13697" s="18"/>
    </row>
    <row r="13698" spans="5:6" ht="15" customHeight="1" x14ac:dyDescent="0.2">
      <c r="E13698" s="18"/>
      <c r="F13698" s="18"/>
    </row>
    <row r="13699" spans="5:6" ht="15" customHeight="1" x14ac:dyDescent="0.2">
      <c r="E13699" s="18"/>
      <c r="F13699" s="18"/>
    </row>
    <row r="13700" spans="5:6" ht="15" customHeight="1" x14ac:dyDescent="0.2">
      <c r="E13700" s="18"/>
      <c r="F13700" s="18"/>
    </row>
    <row r="13701" spans="5:6" ht="15" customHeight="1" x14ac:dyDescent="0.2">
      <c r="E13701" s="18"/>
      <c r="F13701" s="18"/>
    </row>
    <row r="13702" spans="5:6" ht="15" customHeight="1" x14ac:dyDescent="0.2">
      <c r="E13702" s="18"/>
      <c r="F13702" s="18"/>
    </row>
    <row r="13703" spans="5:6" ht="15" customHeight="1" x14ac:dyDescent="0.2">
      <c r="E13703" s="18"/>
      <c r="F13703" s="18"/>
    </row>
    <row r="13704" spans="5:6" ht="15" customHeight="1" x14ac:dyDescent="0.2">
      <c r="E13704" s="18"/>
      <c r="F13704" s="18"/>
    </row>
    <row r="13705" spans="5:6" ht="15" customHeight="1" x14ac:dyDescent="0.2">
      <c r="E13705" s="18"/>
      <c r="F13705" s="18"/>
    </row>
    <row r="13706" spans="5:6" ht="15" customHeight="1" x14ac:dyDescent="0.2">
      <c r="E13706" s="18"/>
      <c r="F13706" s="18"/>
    </row>
    <row r="13707" spans="5:6" ht="15" customHeight="1" x14ac:dyDescent="0.2">
      <c r="E13707" s="18"/>
      <c r="F13707" s="18"/>
    </row>
    <row r="13708" spans="5:6" ht="15" customHeight="1" x14ac:dyDescent="0.2">
      <c r="E13708" s="18"/>
      <c r="F13708" s="18"/>
    </row>
    <row r="13709" spans="5:6" ht="15" customHeight="1" x14ac:dyDescent="0.2">
      <c r="E13709" s="18"/>
      <c r="F13709" s="18"/>
    </row>
    <row r="13710" spans="5:6" ht="15" customHeight="1" x14ac:dyDescent="0.2">
      <c r="E13710" s="18"/>
      <c r="F13710" s="18"/>
    </row>
    <row r="13711" spans="5:6" ht="15" customHeight="1" x14ac:dyDescent="0.2">
      <c r="E13711" s="18"/>
      <c r="F13711" s="18"/>
    </row>
    <row r="13712" spans="5:6" ht="15" customHeight="1" x14ac:dyDescent="0.2">
      <c r="E13712" s="18"/>
      <c r="F13712" s="18"/>
    </row>
    <row r="13713" spans="5:6" ht="15" customHeight="1" x14ac:dyDescent="0.2">
      <c r="E13713" s="18"/>
      <c r="F13713" s="18"/>
    </row>
    <row r="13714" spans="5:6" ht="15" customHeight="1" x14ac:dyDescent="0.2">
      <c r="E13714" s="18"/>
      <c r="F13714" s="18"/>
    </row>
    <row r="13715" spans="5:6" ht="15" customHeight="1" x14ac:dyDescent="0.2">
      <c r="E13715" s="18"/>
      <c r="F13715" s="18"/>
    </row>
    <row r="13716" spans="5:6" ht="15" customHeight="1" x14ac:dyDescent="0.2">
      <c r="E13716" s="18"/>
      <c r="F13716" s="18"/>
    </row>
    <row r="13717" spans="5:6" ht="15" customHeight="1" x14ac:dyDescent="0.2">
      <c r="E13717" s="18"/>
      <c r="F13717" s="18"/>
    </row>
    <row r="13718" spans="5:6" ht="15" customHeight="1" x14ac:dyDescent="0.2">
      <c r="E13718" s="18"/>
      <c r="F13718" s="18"/>
    </row>
    <row r="13719" spans="5:6" ht="15" customHeight="1" x14ac:dyDescent="0.2">
      <c r="E13719" s="18"/>
      <c r="F13719" s="18"/>
    </row>
    <row r="13720" spans="5:6" ht="15" customHeight="1" x14ac:dyDescent="0.2">
      <c r="E13720" s="18"/>
      <c r="F13720" s="18"/>
    </row>
    <row r="13721" spans="5:6" ht="15" customHeight="1" x14ac:dyDescent="0.2">
      <c r="E13721" s="18"/>
      <c r="F13721" s="18"/>
    </row>
    <row r="13722" spans="5:6" ht="15" customHeight="1" x14ac:dyDescent="0.2">
      <c r="E13722" s="18"/>
      <c r="F13722" s="18"/>
    </row>
    <row r="13723" spans="5:6" ht="15" customHeight="1" x14ac:dyDescent="0.2">
      <c r="E13723" s="18"/>
      <c r="F13723" s="18"/>
    </row>
    <row r="13724" spans="5:6" ht="15" customHeight="1" x14ac:dyDescent="0.2">
      <c r="E13724" s="18"/>
      <c r="F13724" s="18"/>
    </row>
    <row r="13725" spans="5:6" ht="15" customHeight="1" x14ac:dyDescent="0.2">
      <c r="E13725" s="18"/>
      <c r="F13725" s="18"/>
    </row>
    <row r="13726" spans="5:6" ht="15" customHeight="1" x14ac:dyDescent="0.2">
      <c r="E13726" s="18"/>
      <c r="F13726" s="18"/>
    </row>
    <row r="13727" spans="5:6" ht="15" customHeight="1" x14ac:dyDescent="0.2">
      <c r="E13727" s="18"/>
      <c r="F13727" s="18"/>
    </row>
    <row r="13728" spans="5:6" ht="15" customHeight="1" x14ac:dyDescent="0.2">
      <c r="E13728" s="18"/>
      <c r="F13728" s="18"/>
    </row>
    <row r="13729" spans="5:6" ht="15" customHeight="1" x14ac:dyDescent="0.2">
      <c r="E13729" s="18"/>
      <c r="F13729" s="18"/>
    </row>
    <row r="13730" spans="5:6" ht="15" customHeight="1" x14ac:dyDescent="0.2">
      <c r="E13730" s="18"/>
      <c r="F13730" s="18"/>
    </row>
    <row r="13731" spans="5:6" ht="15" customHeight="1" x14ac:dyDescent="0.2">
      <c r="E13731" s="18"/>
      <c r="F13731" s="18"/>
    </row>
    <row r="13732" spans="5:6" ht="15" customHeight="1" x14ac:dyDescent="0.2">
      <c r="E13732" s="18"/>
      <c r="F13732" s="18"/>
    </row>
    <row r="13733" spans="5:6" ht="15" customHeight="1" x14ac:dyDescent="0.2">
      <c r="E13733" s="18"/>
      <c r="F13733" s="18"/>
    </row>
    <row r="13734" spans="5:6" ht="15" customHeight="1" x14ac:dyDescent="0.2">
      <c r="E13734" s="18"/>
      <c r="F13734" s="18"/>
    </row>
    <row r="13735" spans="5:6" ht="15" customHeight="1" x14ac:dyDescent="0.2">
      <c r="E13735" s="18"/>
      <c r="F13735" s="18"/>
    </row>
    <row r="13736" spans="5:6" ht="15" customHeight="1" x14ac:dyDescent="0.2">
      <c r="E13736" s="18"/>
      <c r="F13736" s="18"/>
    </row>
    <row r="13737" spans="5:6" ht="15" customHeight="1" x14ac:dyDescent="0.2">
      <c r="E13737" s="18"/>
      <c r="F13737" s="18"/>
    </row>
    <row r="13738" spans="5:6" ht="15" customHeight="1" x14ac:dyDescent="0.2">
      <c r="E13738" s="18"/>
      <c r="F13738" s="18"/>
    </row>
    <row r="13739" spans="5:6" ht="15" customHeight="1" x14ac:dyDescent="0.2">
      <c r="E13739" s="18"/>
      <c r="F13739" s="18"/>
    </row>
    <row r="13740" spans="5:6" ht="15" customHeight="1" x14ac:dyDescent="0.2">
      <c r="E13740" s="18"/>
      <c r="F13740" s="18"/>
    </row>
    <row r="13741" spans="5:6" ht="15" customHeight="1" x14ac:dyDescent="0.2">
      <c r="E13741" s="18"/>
      <c r="F13741" s="18"/>
    </row>
    <row r="13742" spans="5:6" ht="15" customHeight="1" x14ac:dyDescent="0.2">
      <c r="E13742" s="18"/>
      <c r="F13742" s="18"/>
    </row>
    <row r="13743" spans="5:6" ht="15" customHeight="1" x14ac:dyDescent="0.2">
      <c r="E13743" s="18"/>
      <c r="F13743" s="18"/>
    </row>
    <row r="13744" spans="5:6" ht="15" customHeight="1" x14ac:dyDescent="0.2">
      <c r="E13744" s="18"/>
      <c r="F13744" s="18"/>
    </row>
    <row r="13745" spans="5:6" ht="15" customHeight="1" x14ac:dyDescent="0.2">
      <c r="E13745" s="18"/>
      <c r="F13745" s="18"/>
    </row>
    <row r="13746" spans="5:6" ht="15" customHeight="1" x14ac:dyDescent="0.2">
      <c r="E13746" s="18"/>
      <c r="F13746" s="18"/>
    </row>
    <row r="13747" spans="5:6" ht="15" customHeight="1" x14ac:dyDescent="0.2">
      <c r="E13747" s="18"/>
      <c r="F13747" s="18"/>
    </row>
    <row r="13748" spans="5:6" ht="15" customHeight="1" x14ac:dyDescent="0.2">
      <c r="E13748" s="18"/>
      <c r="F13748" s="18"/>
    </row>
    <row r="13749" spans="5:6" ht="15" customHeight="1" x14ac:dyDescent="0.2">
      <c r="E13749" s="18"/>
      <c r="F13749" s="18"/>
    </row>
    <row r="13750" spans="5:6" ht="15" customHeight="1" x14ac:dyDescent="0.2">
      <c r="E13750" s="18"/>
      <c r="F13750" s="18"/>
    </row>
    <row r="13751" spans="5:6" ht="15" customHeight="1" x14ac:dyDescent="0.2">
      <c r="E13751" s="18"/>
      <c r="F13751" s="18"/>
    </row>
    <row r="13752" spans="5:6" ht="15" customHeight="1" x14ac:dyDescent="0.2">
      <c r="E13752" s="18"/>
      <c r="F13752" s="18"/>
    </row>
    <row r="13753" spans="5:6" ht="15" customHeight="1" x14ac:dyDescent="0.2">
      <c r="E13753" s="18"/>
      <c r="F13753" s="18"/>
    </row>
    <row r="13754" spans="5:6" ht="15" customHeight="1" x14ac:dyDescent="0.2">
      <c r="E13754" s="18"/>
      <c r="F13754" s="18"/>
    </row>
    <row r="13755" spans="5:6" ht="15" customHeight="1" x14ac:dyDescent="0.2">
      <c r="E13755" s="18"/>
      <c r="F13755" s="18"/>
    </row>
    <row r="13756" spans="5:6" ht="15" customHeight="1" x14ac:dyDescent="0.2">
      <c r="E13756" s="18"/>
      <c r="F13756" s="18"/>
    </row>
    <row r="13757" spans="5:6" ht="15" customHeight="1" x14ac:dyDescent="0.2">
      <c r="E13757" s="18"/>
      <c r="F13757" s="18"/>
    </row>
    <row r="13758" spans="5:6" ht="15" customHeight="1" x14ac:dyDescent="0.2">
      <c r="E13758" s="18"/>
      <c r="F13758" s="18"/>
    </row>
    <row r="13759" spans="5:6" ht="15" customHeight="1" x14ac:dyDescent="0.2">
      <c r="E13759" s="18"/>
      <c r="F13759" s="18"/>
    </row>
    <row r="13760" spans="5:6" ht="15" customHeight="1" x14ac:dyDescent="0.2">
      <c r="E13760" s="18"/>
      <c r="F13760" s="18"/>
    </row>
    <row r="13761" spans="5:6" ht="15" customHeight="1" x14ac:dyDescent="0.2">
      <c r="E13761" s="18"/>
      <c r="F13761" s="18"/>
    </row>
    <row r="13762" spans="5:6" ht="15" customHeight="1" x14ac:dyDescent="0.2">
      <c r="E13762" s="18"/>
      <c r="F13762" s="18"/>
    </row>
    <row r="13763" spans="5:6" ht="15" customHeight="1" x14ac:dyDescent="0.2">
      <c r="E13763" s="18"/>
      <c r="F13763" s="18"/>
    </row>
    <row r="13764" spans="5:6" ht="15" customHeight="1" x14ac:dyDescent="0.2">
      <c r="E13764" s="18"/>
      <c r="F13764" s="18"/>
    </row>
    <row r="13765" spans="5:6" ht="15" customHeight="1" x14ac:dyDescent="0.2">
      <c r="E13765" s="18"/>
      <c r="F13765" s="18"/>
    </row>
    <row r="13766" spans="5:6" ht="15" customHeight="1" x14ac:dyDescent="0.2">
      <c r="E13766" s="18"/>
      <c r="F13766" s="18"/>
    </row>
    <row r="13767" spans="5:6" ht="15" customHeight="1" x14ac:dyDescent="0.2">
      <c r="E13767" s="18"/>
      <c r="F13767" s="18"/>
    </row>
    <row r="13768" spans="5:6" ht="15" customHeight="1" x14ac:dyDescent="0.2">
      <c r="E13768" s="18"/>
      <c r="F13768" s="18"/>
    </row>
    <row r="13769" spans="5:6" ht="15" customHeight="1" x14ac:dyDescent="0.2">
      <c r="E13769" s="18"/>
      <c r="F13769" s="18"/>
    </row>
    <row r="13770" spans="5:6" ht="15" customHeight="1" x14ac:dyDescent="0.2">
      <c r="E13770" s="18"/>
      <c r="F13770" s="18"/>
    </row>
    <row r="13771" spans="5:6" ht="15" customHeight="1" x14ac:dyDescent="0.2">
      <c r="E13771" s="18"/>
      <c r="F13771" s="18"/>
    </row>
    <row r="13772" spans="5:6" ht="15" customHeight="1" x14ac:dyDescent="0.2">
      <c r="E13772" s="18"/>
      <c r="F13772" s="18"/>
    </row>
    <row r="13773" spans="5:6" ht="15" customHeight="1" x14ac:dyDescent="0.2">
      <c r="E13773" s="18"/>
      <c r="F13773" s="18"/>
    </row>
    <row r="13774" spans="5:6" ht="15" customHeight="1" x14ac:dyDescent="0.2">
      <c r="E13774" s="18"/>
      <c r="F13774" s="18"/>
    </row>
    <row r="13775" spans="5:6" ht="15" customHeight="1" x14ac:dyDescent="0.2">
      <c r="E13775" s="18"/>
      <c r="F13775" s="18"/>
    </row>
    <row r="13776" spans="5:6" ht="15" customHeight="1" x14ac:dyDescent="0.2">
      <c r="E13776" s="18"/>
      <c r="F13776" s="18"/>
    </row>
    <row r="13777" spans="5:6" ht="15" customHeight="1" x14ac:dyDescent="0.2">
      <c r="E13777" s="18"/>
      <c r="F13777" s="18"/>
    </row>
    <row r="13778" spans="5:6" ht="15" customHeight="1" x14ac:dyDescent="0.2">
      <c r="E13778" s="18"/>
      <c r="F13778" s="18"/>
    </row>
    <row r="13779" spans="5:6" ht="15" customHeight="1" x14ac:dyDescent="0.2">
      <c r="E13779" s="18"/>
      <c r="F13779" s="18"/>
    </row>
    <row r="13780" spans="5:6" ht="15" customHeight="1" x14ac:dyDescent="0.2">
      <c r="E13780" s="18"/>
      <c r="F13780" s="18"/>
    </row>
    <row r="13781" spans="5:6" ht="15" customHeight="1" x14ac:dyDescent="0.2">
      <c r="E13781" s="18"/>
      <c r="F13781" s="18"/>
    </row>
    <row r="13782" spans="5:6" ht="15" customHeight="1" x14ac:dyDescent="0.2">
      <c r="E13782" s="18"/>
      <c r="F13782" s="18"/>
    </row>
    <row r="13783" spans="5:6" ht="15" customHeight="1" x14ac:dyDescent="0.2">
      <c r="E13783" s="18"/>
      <c r="F13783" s="18"/>
    </row>
    <row r="13784" spans="5:6" ht="15" customHeight="1" x14ac:dyDescent="0.2">
      <c r="E13784" s="18"/>
      <c r="F13784" s="18"/>
    </row>
    <row r="13785" spans="5:6" ht="15" customHeight="1" x14ac:dyDescent="0.2">
      <c r="E13785" s="18"/>
      <c r="F13785" s="18"/>
    </row>
    <row r="13786" spans="5:6" ht="15" customHeight="1" x14ac:dyDescent="0.2">
      <c r="E13786" s="18"/>
      <c r="F13786" s="18"/>
    </row>
    <row r="13787" spans="5:6" ht="15" customHeight="1" x14ac:dyDescent="0.2">
      <c r="E13787" s="18"/>
      <c r="F13787" s="18"/>
    </row>
    <row r="13788" spans="5:6" ht="15" customHeight="1" x14ac:dyDescent="0.2">
      <c r="E13788" s="18"/>
      <c r="F13788" s="18"/>
    </row>
    <row r="13789" spans="5:6" ht="15" customHeight="1" x14ac:dyDescent="0.2">
      <c r="E13789" s="18"/>
      <c r="F13789" s="18"/>
    </row>
    <row r="13790" spans="5:6" ht="15" customHeight="1" x14ac:dyDescent="0.2">
      <c r="E13790" s="18"/>
      <c r="F13790" s="18"/>
    </row>
    <row r="13791" spans="5:6" ht="15" customHeight="1" x14ac:dyDescent="0.2">
      <c r="E13791" s="18"/>
      <c r="F13791" s="18"/>
    </row>
    <row r="13792" spans="5:6" ht="15" customHeight="1" x14ac:dyDescent="0.2">
      <c r="E13792" s="18"/>
      <c r="F13792" s="18"/>
    </row>
    <row r="13793" spans="5:6" ht="15" customHeight="1" x14ac:dyDescent="0.2">
      <c r="E13793" s="18"/>
      <c r="F13793" s="18"/>
    </row>
    <row r="13794" spans="5:6" ht="15" customHeight="1" x14ac:dyDescent="0.2">
      <c r="E13794" s="18"/>
      <c r="F13794" s="18"/>
    </row>
    <row r="13795" spans="5:6" ht="15" customHeight="1" x14ac:dyDescent="0.2">
      <c r="E13795" s="18"/>
      <c r="F13795" s="18"/>
    </row>
    <row r="13796" spans="5:6" ht="15" customHeight="1" x14ac:dyDescent="0.2">
      <c r="E13796" s="18"/>
      <c r="F13796" s="18"/>
    </row>
    <row r="13797" spans="5:6" ht="15" customHeight="1" x14ac:dyDescent="0.2">
      <c r="E13797" s="18"/>
      <c r="F13797" s="18"/>
    </row>
    <row r="13798" spans="5:6" ht="15" customHeight="1" x14ac:dyDescent="0.2">
      <c r="E13798" s="18"/>
      <c r="F13798" s="18"/>
    </row>
    <row r="13799" spans="5:6" ht="15" customHeight="1" x14ac:dyDescent="0.2">
      <c r="E13799" s="18"/>
      <c r="F13799" s="18"/>
    </row>
    <row r="13800" spans="5:6" ht="15" customHeight="1" x14ac:dyDescent="0.2">
      <c r="E13800" s="18"/>
      <c r="F13800" s="18"/>
    </row>
    <row r="13801" spans="5:6" ht="15" customHeight="1" x14ac:dyDescent="0.2">
      <c r="E13801" s="18"/>
      <c r="F13801" s="18"/>
    </row>
    <row r="13802" spans="5:6" ht="15" customHeight="1" x14ac:dyDescent="0.2">
      <c r="E13802" s="18"/>
      <c r="F13802" s="18"/>
    </row>
    <row r="13803" spans="5:6" ht="15" customHeight="1" x14ac:dyDescent="0.2">
      <c r="E13803" s="18"/>
      <c r="F13803" s="18"/>
    </row>
    <row r="13804" spans="5:6" ht="15" customHeight="1" x14ac:dyDescent="0.2">
      <c r="E13804" s="18"/>
      <c r="F13804" s="18"/>
    </row>
    <row r="13805" spans="5:6" ht="15" customHeight="1" x14ac:dyDescent="0.2">
      <c r="E13805" s="18"/>
      <c r="F13805" s="18"/>
    </row>
    <row r="13806" spans="5:6" ht="15" customHeight="1" x14ac:dyDescent="0.2">
      <c r="E13806" s="18"/>
      <c r="F13806" s="18"/>
    </row>
    <row r="13807" spans="5:6" ht="15" customHeight="1" x14ac:dyDescent="0.2">
      <c r="E13807" s="18"/>
      <c r="F13807" s="18"/>
    </row>
    <row r="13808" spans="5:6" ht="15" customHeight="1" x14ac:dyDescent="0.2">
      <c r="E13808" s="18"/>
      <c r="F13808" s="18"/>
    </row>
    <row r="13809" spans="5:6" ht="15" customHeight="1" x14ac:dyDescent="0.2">
      <c r="E13809" s="18"/>
      <c r="F13809" s="18"/>
    </row>
    <row r="13810" spans="5:6" ht="15" customHeight="1" x14ac:dyDescent="0.2">
      <c r="E13810" s="18"/>
      <c r="F13810" s="18"/>
    </row>
    <row r="13811" spans="5:6" ht="15" customHeight="1" x14ac:dyDescent="0.2">
      <c r="E13811" s="18"/>
      <c r="F13811" s="18"/>
    </row>
    <row r="13812" spans="5:6" ht="15" customHeight="1" x14ac:dyDescent="0.2">
      <c r="E13812" s="18"/>
      <c r="F13812" s="18"/>
    </row>
    <row r="13813" spans="5:6" ht="15" customHeight="1" x14ac:dyDescent="0.2">
      <c r="E13813" s="18"/>
      <c r="F13813" s="18"/>
    </row>
    <row r="13814" spans="5:6" ht="15" customHeight="1" x14ac:dyDescent="0.2">
      <c r="E13814" s="18"/>
      <c r="F13814" s="18"/>
    </row>
    <row r="13815" spans="5:6" ht="15" customHeight="1" x14ac:dyDescent="0.2">
      <c r="E13815" s="18"/>
      <c r="F13815" s="18"/>
    </row>
    <row r="13816" spans="5:6" ht="15" customHeight="1" x14ac:dyDescent="0.2">
      <c r="E13816" s="18"/>
      <c r="F13816" s="18"/>
    </row>
    <row r="13817" spans="5:6" ht="15" customHeight="1" x14ac:dyDescent="0.2">
      <c r="E13817" s="18"/>
      <c r="F13817" s="18"/>
    </row>
    <row r="13818" spans="5:6" ht="15" customHeight="1" x14ac:dyDescent="0.2">
      <c r="E13818" s="18"/>
      <c r="F13818" s="18"/>
    </row>
    <row r="13819" spans="5:6" ht="15" customHeight="1" x14ac:dyDescent="0.2">
      <c r="E13819" s="18"/>
      <c r="F13819" s="18"/>
    </row>
    <row r="13820" spans="5:6" ht="15" customHeight="1" x14ac:dyDescent="0.2">
      <c r="E13820" s="18"/>
      <c r="F13820" s="18"/>
    </row>
    <row r="13821" spans="5:6" ht="15" customHeight="1" x14ac:dyDescent="0.2">
      <c r="E13821" s="18"/>
      <c r="F13821" s="18"/>
    </row>
    <row r="13822" spans="5:6" ht="15" customHeight="1" x14ac:dyDescent="0.2">
      <c r="E13822" s="18"/>
      <c r="F13822" s="18"/>
    </row>
    <row r="13823" spans="5:6" ht="15" customHeight="1" x14ac:dyDescent="0.2">
      <c r="E13823" s="18"/>
      <c r="F13823" s="18"/>
    </row>
    <row r="13824" spans="5:6" ht="15" customHeight="1" x14ac:dyDescent="0.2">
      <c r="E13824" s="18"/>
      <c r="F13824" s="18"/>
    </row>
    <row r="13825" spans="5:6" ht="15" customHeight="1" x14ac:dyDescent="0.2">
      <c r="E13825" s="18"/>
      <c r="F13825" s="18"/>
    </row>
    <row r="13826" spans="5:6" ht="15" customHeight="1" x14ac:dyDescent="0.2">
      <c r="E13826" s="18"/>
      <c r="F13826" s="18"/>
    </row>
    <row r="13827" spans="5:6" ht="15" customHeight="1" x14ac:dyDescent="0.2">
      <c r="E13827" s="18"/>
      <c r="F13827" s="18"/>
    </row>
    <row r="13828" spans="5:6" ht="15" customHeight="1" x14ac:dyDescent="0.2">
      <c r="E13828" s="18"/>
      <c r="F13828" s="18"/>
    </row>
    <row r="13829" spans="5:6" ht="15" customHeight="1" x14ac:dyDescent="0.2">
      <c r="E13829" s="18"/>
      <c r="F13829" s="18"/>
    </row>
    <row r="13830" spans="5:6" ht="15" customHeight="1" x14ac:dyDescent="0.2">
      <c r="E13830" s="18"/>
      <c r="F13830" s="18"/>
    </row>
    <row r="13831" spans="5:6" ht="15" customHeight="1" x14ac:dyDescent="0.2">
      <c r="E13831" s="18"/>
      <c r="F13831" s="18"/>
    </row>
    <row r="13832" spans="5:6" ht="15" customHeight="1" x14ac:dyDescent="0.2">
      <c r="E13832" s="18"/>
      <c r="F13832" s="18"/>
    </row>
    <row r="13833" spans="5:6" ht="15" customHeight="1" x14ac:dyDescent="0.2">
      <c r="E13833" s="18"/>
      <c r="F13833" s="18"/>
    </row>
    <row r="13834" spans="5:6" ht="15" customHeight="1" x14ac:dyDescent="0.2">
      <c r="E13834" s="18"/>
      <c r="F13834" s="18"/>
    </row>
    <row r="13835" spans="5:6" ht="15" customHeight="1" x14ac:dyDescent="0.2">
      <c r="E13835" s="18"/>
      <c r="F13835" s="18"/>
    </row>
    <row r="13836" spans="5:6" ht="15" customHeight="1" x14ac:dyDescent="0.2">
      <c r="E13836" s="18"/>
      <c r="F13836" s="18"/>
    </row>
    <row r="13837" spans="5:6" ht="15" customHeight="1" x14ac:dyDescent="0.2">
      <c r="E13837" s="18"/>
      <c r="F13837" s="18"/>
    </row>
    <row r="13838" spans="5:6" ht="15" customHeight="1" x14ac:dyDescent="0.2">
      <c r="E13838" s="18"/>
      <c r="F13838" s="18"/>
    </row>
    <row r="13839" spans="5:6" ht="15" customHeight="1" x14ac:dyDescent="0.2">
      <c r="E13839" s="18"/>
      <c r="F13839" s="18"/>
    </row>
    <row r="13840" spans="5:6" ht="15" customHeight="1" x14ac:dyDescent="0.2">
      <c r="E13840" s="18"/>
      <c r="F13840" s="18"/>
    </row>
    <row r="13841" spans="5:6" ht="15" customHeight="1" x14ac:dyDescent="0.2">
      <c r="E13841" s="18"/>
      <c r="F13841" s="18"/>
    </row>
    <row r="13842" spans="5:6" ht="15" customHeight="1" x14ac:dyDescent="0.2">
      <c r="E13842" s="18"/>
      <c r="F13842" s="18"/>
    </row>
    <row r="13843" spans="5:6" ht="15" customHeight="1" x14ac:dyDescent="0.2">
      <c r="E13843" s="18"/>
      <c r="F13843" s="18"/>
    </row>
    <row r="13844" spans="5:6" ht="15" customHeight="1" x14ac:dyDescent="0.2">
      <c r="E13844" s="18"/>
      <c r="F13844" s="18"/>
    </row>
    <row r="13845" spans="5:6" ht="15" customHeight="1" x14ac:dyDescent="0.2">
      <c r="E13845" s="18"/>
      <c r="F13845" s="18"/>
    </row>
    <row r="13846" spans="5:6" ht="15" customHeight="1" x14ac:dyDescent="0.2">
      <c r="E13846" s="18"/>
      <c r="F13846" s="18"/>
    </row>
    <row r="13847" spans="5:6" ht="15" customHeight="1" x14ac:dyDescent="0.2">
      <c r="E13847" s="18"/>
      <c r="F13847" s="18"/>
    </row>
    <row r="13848" spans="5:6" ht="15" customHeight="1" x14ac:dyDescent="0.2">
      <c r="E13848" s="18"/>
      <c r="F13848" s="18"/>
    </row>
    <row r="13849" spans="5:6" ht="15" customHeight="1" x14ac:dyDescent="0.2">
      <c r="E13849" s="18"/>
      <c r="F13849" s="18"/>
    </row>
    <row r="13850" spans="5:6" ht="15" customHeight="1" x14ac:dyDescent="0.2">
      <c r="E13850" s="18"/>
      <c r="F13850" s="18"/>
    </row>
    <row r="13851" spans="5:6" ht="15" customHeight="1" x14ac:dyDescent="0.2">
      <c r="E13851" s="18"/>
      <c r="F13851" s="18"/>
    </row>
    <row r="13852" spans="5:6" ht="15" customHeight="1" x14ac:dyDescent="0.2">
      <c r="E13852" s="18"/>
      <c r="F13852" s="18"/>
    </row>
    <row r="13853" spans="5:6" ht="15" customHeight="1" x14ac:dyDescent="0.2">
      <c r="E13853" s="18"/>
      <c r="F13853" s="18"/>
    </row>
    <row r="13854" spans="5:6" ht="15" customHeight="1" x14ac:dyDescent="0.2">
      <c r="E13854" s="18"/>
      <c r="F13854" s="18"/>
    </row>
    <row r="13855" spans="5:6" ht="15" customHeight="1" x14ac:dyDescent="0.2">
      <c r="E13855" s="18"/>
      <c r="F13855" s="18"/>
    </row>
    <row r="13856" spans="5:6" ht="15" customHeight="1" x14ac:dyDescent="0.2">
      <c r="E13856" s="18"/>
      <c r="F13856" s="18"/>
    </row>
    <row r="13857" spans="5:6" ht="15" customHeight="1" x14ac:dyDescent="0.2">
      <c r="E13857" s="18"/>
      <c r="F13857" s="18"/>
    </row>
    <row r="13858" spans="5:6" ht="15" customHeight="1" x14ac:dyDescent="0.2">
      <c r="E13858" s="18"/>
      <c r="F13858" s="18"/>
    </row>
    <row r="13859" spans="5:6" ht="15" customHeight="1" x14ac:dyDescent="0.2">
      <c r="E13859" s="18"/>
      <c r="F13859" s="18"/>
    </row>
    <row r="13860" spans="5:6" ht="15" customHeight="1" x14ac:dyDescent="0.2">
      <c r="E13860" s="18"/>
      <c r="F13860" s="18"/>
    </row>
    <row r="13861" spans="5:6" ht="15" customHeight="1" x14ac:dyDescent="0.2">
      <c r="E13861" s="18"/>
      <c r="F13861" s="18"/>
    </row>
    <row r="13862" spans="5:6" ht="15" customHeight="1" x14ac:dyDescent="0.2">
      <c r="E13862" s="18"/>
      <c r="F13862" s="18"/>
    </row>
    <row r="13863" spans="5:6" ht="15" customHeight="1" x14ac:dyDescent="0.2">
      <c r="E13863" s="18"/>
      <c r="F13863" s="18"/>
    </row>
    <row r="13864" spans="5:6" ht="15" customHeight="1" x14ac:dyDescent="0.2">
      <c r="E13864" s="18"/>
      <c r="F13864" s="18"/>
    </row>
    <row r="13865" spans="5:6" ht="15" customHeight="1" x14ac:dyDescent="0.2">
      <c r="E13865" s="18"/>
      <c r="F13865" s="18"/>
    </row>
    <row r="13866" spans="5:6" ht="15" customHeight="1" x14ac:dyDescent="0.2">
      <c r="E13866" s="18"/>
      <c r="F13866" s="18"/>
    </row>
    <row r="13867" spans="5:6" ht="15" customHeight="1" x14ac:dyDescent="0.2">
      <c r="E13867" s="18"/>
      <c r="F13867" s="18"/>
    </row>
    <row r="13868" spans="5:6" ht="15" customHeight="1" x14ac:dyDescent="0.2">
      <c r="E13868" s="18"/>
      <c r="F13868" s="18"/>
    </row>
    <row r="13869" spans="5:6" ht="15" customHeight="1" x14ac:dyDescent="0.2">
      <c r="E13869" s="18"/>
      <c r="F13869" s="18"/>
    </row>
    <row r="13870" spans="5:6" ht="15" customHeight="1" x14ac:dyDescent="0.2">
      <c r="E13870" s="18"/>
      <c r="F13870" s="18"/>
    </row>
    <row r="13871" spans="5:6" ht="15" customHeight="1" x14ac:dyDescent="0.2">
      <c r="E13871" s="18"/>
      <c r="F13871" s="18"/>
    </row>
    <row r="13872" spans="5:6" ht="15" customHeight="1" x14ac:dyDescent="0.2">
      <c r="E13872" s="18"/>
      <c r="F13872" s="18"/>
    </row>
    <row r="13873" spans="5:6" ht="15" customHeight="1" x14ac:dyDescent="0.2">
      <c r="E13873" s="18"/>
      <c r="F13873" s="18"/>
    </row>
    <row r="13874" spans="5:6" ht="15" customHeight="1" x14ac:dyDescent="0.2">
      <c r="E13874" s="18"/>
      <c r="F13874" s="18"/>
    </row>
    <row r="13875" spans="5:6" ht="15" customHeight="1" x14ac:dyDescent="0.2">
      <c r="E13875" s="18"/>
      <c r="F13875" s="18"/>
    </row>
    <row r="13876" spans="5:6" ht="15" customHeight="1" x14ac:dyDescent="0.2">
      <c r="E13876" s="18"/>
      <c r="F13876" s="18"/>
    </row>
    <row r="13877" spans="5:6" ht="15" customHeight="1" x14ac:dyDescent="0.2">
      <c r="E13877" s="18"/>
      <c r="F13877" s="18"/>
    </row>
    <row r="13878" spans="5:6" ht="15" customHeight="1" x14ac:dyDescent="0.2">
      <c r="E13878" s="18"/>
      <c r="F13878" s="18"/>
    </row>
    <row r="13879" spans="5:6" ht="15" customHeight="1" x14ac:dyDescent="0.2">
      <c r="E13879" s="18"/>
      <c r="F13879" s="18"/>
    </row>
    <row r="13880" spans="5:6" ht="15" customHeight="1" x14ac:dyDescent="0.2">
      <c r="E13880" s="18"/>
      <c r="F13880" s="18"/>
    </row>
    <row r="13881" spans="5:6" ht="15" customHeight="1" x14ac:dyDescent="0.2">
      <c r="E13881" s="18"/>
      <c r="F13881" s="18"/>
    </row>
    <row r="13882" spans="5:6" ht="15" customHeight="1" x14ac:dyDescent="0.2">
      <c r="E13882" s="18"/>
      <c r="F13882" s="18"/>
    </row>
    <row r="13883" spans="5:6" ht="15" customHeight="1" x14ac:dyDescent="0.2">
      <c r="E13883" s="18"/>
      <c r="F13883" s="18"/>
    </row>
    <row r="13884" spans="5:6" ht="15" customHeight="1" x14ac:dyDescent="0.2">
      <c r="E13884" s="18"/>
      <c r="F13884" s="18"/>
    </row>
    <row r="13885" spans="5:6" ht="15" customHeight="1" x14ac:dyDescent="0.2">
      <c r="E13885" s="18"/>
      <c r="F13885" s="18"/>
    </row>
    <row r="13886" spans="5:6" ht="15" customHeight="1" x14ac:dyDescent="0.2">
      <c r="E13886" s="18"/>
      <c r="F13886" s="18"/>
    </row>
    <row r="13887" spans="5:6" ht="15" customHeight="1" x14ac:dyDescent="0.2">
      <c r="E13887" s="18"/>
      <c r="F13887" s="18"/>
    </row>
    <row r="13888" spans="5:6" ht="15" customHeight="1" x14ac:dyDescent="0.2">
      <c r="E13888" s="18"/>
      <c r="F13888" s="18"/>
    </row>
    <row r="13889" spans="5:6" ht="15" customHeight="1" x14ac:dyDescent="0.2">
      <c r="E13889" s="18"/>
      <c r="F13889" s="18"/>
    </row>
    <row r="13890" spans="5:6" ht="15" customHeight="1" x14ac:dyDescent="0.2">
      <c r="E13890" s="18"/>
      <c r="F13890" s="18"/>
    </row>
    <row r="13891" spans="5:6" ht="15" customHeight="1" x14ac:dyDescent="0.2">
      <c r="E13891" s="18"/>
      <c r="F13891" s="18"/>
    </row>
    <row r="13892" spans="5:6" ht="15" customHeight="1" x14ac:dyDescent="0.2">
      <c r="E13892" s="18"/>
      <c r="F13892" s="18"/>
    </row>
    <row r="13893" spans="5:6" ht="15" customHeight="1" x14ac:dyDescent="0.2">
      <c r="E13893" s="18"/>
      <c r="F13893" s="18"/>
    </row>
    <row r="13894" spans="5:6" ht="15" customHeight="1" x14ac:dyDescent="0.2">
      <c r="E13894" s="18"/>
      <c r="F13894" s="18"/>
    </row>
    <row r="13895" spans="5:6" ht="15" customHeight="1" x14ac:dyDescent="0.2">
      <c r="E13895" s="18"/>
      <c r="F13895" s="18"/>
    </row>
    <row r="13896" spans="5:6" ht="15" customHeight="1" x14ac:dyDescent="0.2">
      <c r="E13896" s="18"/>
      <c r="F13896" s="18"/>
    </row>
    <row r="13897" spans="5:6" ht="15" customHeight="1" x14ac:dyDescent="0.2">
      <c r="E13897" s="18"/>
      <c r="F13897" s="18"/>
    </row>
    <row r="13898" spans="5:6" ht="15" customHeight="1" x14ac:dyDescent="0.2">
      <c r="E13898" s="18"/>
      <c r="F13898" s="18"/>
    </row>
    <row r="13899" spans="5:6" ht="15" customHeight="1" x14ac:dyDescent="0.2">
      <c r="E13899" s="18"/>
      <c r="F13899" s="18"/>
    </row>
    <row r="13900" spans="5:6" ht="15" customHeight="1" x14ac:dyDescent="0.2">
      <c r="E13900" s="18"/>
      <c r="F13900" s="18"/>
    </row>
    <row r="13901" spans="5:6" ht="15" customHeight="1" x14ac:dyDescent="0.2">
      <c r="E13901" s="18"/>
      <c r="F13901" s="18"/>
    </row>
    <row r="13902" spans="5:6" ht="15" customHeight="1" x14ac:dyDescent="0.2">
      <c r="E13902" s="18"/>
      <c r="F13902" s="18"/>
    </row>
    <row r="13903" spans="5:6" ht="15" customHeight="1" x14ac:dyDescent="0.2">
      <c r="E13903" s="18"/>
      <c r="F13903" s="18"/>
    </row>
    <row r="13904" spans="5:6" ht="15" customHeight="1" x14ac:dyDescent="0.2">
      <c r="E13904" s="18"/>
      <c r="F13904" s="18"/>
    </row>
    <row r="13905" spans="5:6" ht="15" customHeight="1" x14ac:dyDescent="0.2">
      <c r="E13905" s="18"/>
      <c r="F13905" s="18"/>
    </row>
    <row r="13906" spans="5:6" ht="15" customHeight="1" x14ac:dyDescent="0.2">
      <c r="E13906" s="18"/>
      <c r="F13906" s="18"/>
    </row>
    <row r="13907" spans="5:6" ht="15" customHeight="1" x14ac:dyDescent="0.2">
      <c r="E13907" s="18"/>
      <c r="F13907" s="18"/>
    </row>
    <row r="13908" spans="5:6" ht="15" customHeight="1" x14ac:dyDescent="0.2">
      <c r="E13908" s="18"/>
      <c r="F13908" s="18"/>
    </row>
    <row r="13909" spans="5:6" ht="15" customHeight="1" x14ac:dyDescent="0.2">
      <c r="E13909" s="18"/>
      <c r="F13909" s="18"/>
    </row>
    <row r="13910" spans="5:6" ht="15" customHeight="1" x14ac:dyDescent="0.2">
      <c r="E13910" s="18"/>
      <c r="F13910" s="18"/>
    </row>
    <row r="13911" spans="5:6" ht="15" customHeight="1" x14ac:dyDescent="0.2">
      <c r="E13911" s="18"/>
      <c r="F13911" s="18"/>
    </row>
    <row r="13912" spans="5:6" ht="15" customHeight="1" x14ac:dyDescent="0.2">
      <c r="E13912" s="18"/>
      <c r="F13912" s="18"/>
    </row>
    <row r="13913" spans="5:6" ht="15" customHeight="1" x14ac:dyDescent="0.2">
      <c r="E13913" s="18"/>
      <c r="F13913" s="18"/>
    </row>
    <row r="13914" spans="5:6" ht="15" customHeight="1" x14ac:dyDescent="0.2">
      <c r="E13914" s="18"/>
      <c r="F13914" s="18"/>
    </row>
    <row r="13915" spans="5:6" ht="15" customHeight="1" x14ac:dyDescent="0.2">
      <c r="E13915" s="18"/>
      <c r="F13915" s="18"/>
    </row>
    <row r="13916" spans="5:6" ht="15" customHeight="1" x14ac:dyDescent="0.2">
      <c r="E13916" s="18"/>
      <c r="F13916" s="18"/>
    </row>
    <row r="13917" spans="5:6" ht="15" customHeight="1" x14ac:dyDescent="0.2">
      <c r="E13917" s="18"/>
      <c r="F13917" s="18"/>
    </row>
    <row r="13918" spans="5:6" ht="15" customHeight="1" x14ac:dyDescent="0.2">
      <c r="E13918" s="18"/>
      <c r="F13918" s="18"/>
    </row>
    <row r="13919" spans="5:6" ht="15" customHeight="1" x14ac:dyDescent="0.2">
      <c r="E13919" s="18"/>
      <c r="F13919" s="18"/>
    </row>
    <row r="13920" spans="5:6" ht="15" customHeight="1" x14ac:dyDescent="0.2">
      <c r="E13920" s="18"/>
      <c r="F13920" s="18"/>
    </row>
    <row r="13921" spans="5:6" ht="15" customHeight="1" x14ac:dyDescent="0.2">
      <c r="E13921" s="18"/>
      <c r="F13921" s="18"/>
    </row>
    <row r="13922" spans="5:6" ht="15" customHeight="1" x14ac:dyDescent="0.2">
      <c r="E13922" s="18"/>
      <c r="F13922" s="18"/>
    </row>
    <row r="13923" spans="5:6" ht="15" customHeight="1" x14ac:dyDescent="0.2">
      <c r="E13923" s="18"/>
      <c r="F13923" s="18"/>
    </row>
    <row r="13924" spans="5:6" ht="15" customHeight="1" x14ac:dyDescent="0.2">
      <c r="E13924" s="18"/>
      <c r="F13924" s="18"/>
    </row>
    <row r="13925" spans="5:6" ht="15" customHeight="1" x14ac:dyDescent="0.2">
      <c r="E13925" s="18"/>
      <c r="F13925" s="18"/>
    </row>
    <row r="13926" spans="5:6" ht="15" customHeight="1" x14ac:dyDescent="0.2">
      <c r="E13926" s="18"/>
      <c r="F13926" s="18"/>
    </row>
    <row r="13927" spans="5:6" ht="15" customHeight="1" x14ac:dyDescent="0.2">
      <c r="E13927" s="18"/>
      <c r="F13927" s="18"/>
    </row>
    <row r="13928" spans="5:6" ht="15" customHeight="1" x14ac:dyDescent="0.2">
      <c r="E13928" s="18"/>
      <c r="F13928" s="18"/>
    </row>
    <row r="13929" spans="5:6" ht="15" customHeight="1" x14ac:dyDescent="0.2">
      <c r="E13929" s="18"/>
      <c r="F13929" s="18"/>
    </row>
    <row r="13930" spans="5:6" ht="15" customHeight="1" x14ac:dyDescent="0.2">
      <c r="E13930" s="18"/>
      <c r="F13930" s="18"/>
    </row>
    <row r="13931" spans="5:6" ht="15" customHeight="1" x14ac:dyDescent="0.2">
      <c r="E13931" s="18"/>
      <c r="F13931" s="18"/>
    </row>
    <row r="13932" spans="5:6" ht="15" customHeight="1" x14ac:dyDescent="0.2">
      <c r="E13932" s="18"/>
      <c r="F13932" s="18"/>
    </row>
    <row r="13933" spans="5:6" ht="15" customHeight="1" x14ac:dyDescent="0.2">
      <c r="E13933" s="18"/>
      <c r="F13933" s="18"/>
    </row>
    <row r="13934" spans="5:6" ht="15" customHeight="1" x14ac:dyDescent="0.2">
      <c r="E13934" s="18"/>
      <c r="F13934" s="18"/>
    </row>
    <row r="13935" spans="5:6" ht="15" customHeight="1" x14ac:dyDescent="0.2">
      <c r="E13935" s="18"/>
      <c r="F13935" s="18"/>
    </row>
    <row r="13936" spans="5:6" ht="15" customHeight="1" x14ac:dyDescent="0.2">
      <c r="E13936" s="18"/>
      <c r="F13936" s="18"/>
    </row>
    <row r="13937" spans="5:6" ht="15" customHeight="1" x14ac:dyDescent="0.2">
      <c r="E13937" s="18"/>
      <c r="F13937" s="18"/>
    </row>
    <row r="13938" spans="5:6" ht="15" customHeight="1" x14ac:dyDescent="0.2">
      <c r="E13938" s="18"/>
      <c r="F13938" s="18"/>
    </row>
    <row r="13939" spans="5:6" ht="15" customHeight="1" x14ac:dyDescent="0.2">
      <c r="E13939" s="18"/>
      <c r="F13939" s="18"/>
    </row>
    <row r="13940" spans="5:6" ht="15" customHeight="1" x14ac:dyDescent="0.2">
      <c r="E13940" s="18"/>
      <c r="F13940" s="18"/>
    </row>
    <row r="13941" spans="5:6" ht="15" customHeight="1" x14ac:dyDescent="0.2">
      <c r="E13941" s="18"/>
      <c r="F13941" s="18"/>
    </row>
    <row r="13942" spans="5:6" ht="15" customHeight="1" x14ac:dyDescent="0.2">
      <c r="E13942" s="18"/>
      <c r="F13942" s="18"/>
    </row>
    <row r="13943" spans="5:6" ht="15" customHeight="1" x14ac:dyDescent="0.2">
      <c r="E13943" s="18"/>
      <c r="F13943" s="18"/>
    </row>
    <row r="13944" spans="5:6" ht="15" customHeight="1" x14ac:dyDescent="0.2">
      <c r="E13944" s="18"/>
      <c r="F13944" s="18"/>
    </row>
    <row r="13945" spans="5:6" ht="15" customHeight="1" x14ac:dyDescent="0.2">
      <c r="E13945" s="18"/>
      <c r="F13945" s="18"/>
    </row>
    <row r="13946" spans="5:6" ht="15" customHeight="1" x14ac:dyDescent="0.2">
      <c r="E13946" s="18"/>
      <c r="F13946" s="18"/>
    </row>
    <row r="13947" spans="5:6" ht="15" customHeight="1" x14ac:dyDescent="0.2">
      <c r="E13947" s="18"/>
      <c r="F13947" s="18"/>
    </row>
    <row r="13948" spans="5:6" ht="15" customHeight="1" x14ac:dyDescent="0.2">
      <c r="E13948" s="18"/>
      <c r="F13948" s="18"/>
    </row>
    <row r="13949" spans="5:6" ht="15" customHeight="1" x14ac:dyDescent="0.2">
      <c r="E13949" s="18"/>
      <c r="F13949" s="18"/>
    </row>
    <row r="13950" spans="5:6" ht="15" customHeight="1" x14ac:dyDescent="0.2">
      <c r="E13950" s="18"/>
      <c r="F13950" s="18"/>
    </row>
    <row r="13951" spans="5:6" ht="15" customHeight="1" x14ac:dyDescent="0.2">
      <c r="E13951" s="18"/>
      <c r="F13951" s="18"/>
    </row>
    <row r="13952" spans="5:6" ht="15" customHeight="1" x14ac:dyDescent="0.2">
      <c r="E13952" s="18"/>
      <c r="F13952" s="18"/>
    </row>
    <row r="13953" spans="5:6" ht="15" customHeight="1" x14ac:dyDescent="0.2">
      <c r="E13953" s="18"/>
      <c r="F13953" s="18"/>
    </row>
    <row r="13954" spans="5:6" ht="15" customHeight="1" x14ac:dyDescent="0.2">
      <c r="E13954" s="18"/>
      <c r="F13954" s="18"/>
    </row>
    <row r="13955" spans="5:6" ht="15" customHeight="1" x14ac:dyDescent="0.2">
      <c r="E13955" s="18"/>
      <c r="F13955" s="18"/>
    </row>
    <row r="13956" spans="5:6" ht="15" customHeight="1" x14ac:dyDescent="0.2">
      <c r="E13956" s="18"/>
      <c r="F13956" s="18"/>
    </row>
    <row r="13957" spans="5:6" ht="15" customHeight="1" x14ac:dyDescent="0.2">
      <c r="E13957" s="18"/>
      <c r="F13957" s="18"/>
    </row>
    <row r="13958" spans="5:6" ht="15" customHeight="1" x14ac:dyDescent="0.2">
      <c r="E13958" s="18"/>
      <c r="F13958" s="18"/>
    </row>
    <row r="13959" spans="5:6" ht="15" customHeight="1" x14ac:dyDescent="0.2">
      <c r="E13959" s="18"/>
      <c r="F13959" s="18"/>
    </row>
    <row r="13960" spans="5:6" ht="15" customHeight="1" x14ac:dyDescent="0.2">
      <c r="E13960" s="18"/>
      <c r="F13960" s="18"/>
    </row>
    <row r="13961" spans="5:6" ht="15" customHeight="1" x14ac:dyDescent="0.2">
      <c r="E13961" s="18"/>
      <c r="F13961" s="18"/>
    </row>
    <row r="13962" spans="5:6" ht="15" customHeight="1" x14ac:dyDescent="0.2">
      <c r="E13962" s="18"/>
      <c r="F13962" s="18"/>
    </row>
    <row r="13963" spans="5:6" ht="15" customHeight="1" x14ac:dyDescent="0.2">
      <c r="E13963" s="18"/>
      <c r="F13963" s="18"/>
    </row>
    <row r="13964" spans="5:6" ht="15" customHeight="1" x14ac:dyDescent="0.2">
      <c r="E13964" s="18"/>
      <c r="F13964" s="18"/>
    </row>
    <row r="13965" spans="5:6" ht="15" customHeight="1" x14ac:dyDescent="0.2">
      <c r="E13965" s="18"/>
      <c r="F13965" s="18"/>
    </row>
    <row r="13966" spans="5:6" ht="15" customHeight="1" x14ac:dyDescent="0.2">
      <c r="E13966" s="18"/>
      <c r="F13966" s="18"/>
    </row>
    <row r="13967" spans="5:6" ht="15" customHeight="1" x14ac:dyDescent="0.2">
      <c r="E13967" s="18"/>
      <c r="F13967" s="18"/>
    </row>
    <row r="13968" spans="5:6" ht="15" customHeight="1" x14ac:dyDescent="0.2">
      <c r="E13968" s="18"/>
      <c r="F13968" s="18"/>
    </row>
    <row r="13969" spans="5:6" ht="15" customHeight="1" x14ac:dyDescent="0.2">
      <c r="E13969" s="18"/>
      <c r="F13969" s="18"/>
    </row>
    <row r="13970" spans="5:6" ht="15" customHeight="1" x14ac:dyDescent="0.2">
      <c r="E13970" s="18"/>
      <c r="F13970" s="18"/>
    </row>
    <row r="13971" spans="5:6" ht="15" customHeight="1" x14ac:dyDescent="0.2">
      <c r="E13971" s="18"/>
      <c r="F13971" s="18"/>
    </row>
    <row r="13972" spans="5:6" ht="15" customHeight="1" x14ac:dyDescent="0.2">
      <c r="E13972" s="18"/>
      <c r="F13972" s="18"/>
    </row>
    <row r="13973" spans="5:6" ht="15" customHeight="1" x14ac:dyDescent="0.2">
      <c r="E13973" s="18"/>
      <c r="F13973" s="18"/>
    </row>
    <row r="13974" spans="5:6" ht="15" customHeight="1" x14ac:dyDescent="0.2">
      <c r="E13974" s="18"/>
      <c r="F13974" s="18"/>
    </row>
    <row r="13975" spans="5:6" ht="15" customHeight="1" x14ac:dyDescent="0.2">
      <c r="E13975" s="18"/>
      <c r="F13975" s="18"/>
    </row>
    <row r="13976" spans="5:6" ht="15" customHeight="1" x14ac:dyDescent="0.2">
      <c r="E13976" s="18"/>
      <c r="F13976" s="18"/>
    </row>
    <row r="13977" spans="5:6" ht="15" customHeight="1" x14ac:dyDescent="0.2">
      <c r="E13977" s="18"/>
      <c r="F13977" s="18"/>
    </row>
    <row r="13978" spans="5:6" ht="15" customHeight="1" x14ac:dyDescent="0.2">
      <c r="E13978" s="18"/>
      <c r="F13978" s="18"/>
    </row>
    <row r="13979" spans="5:6" ht="15" customHeight="1" x14ac:dyDescent="0.2">
      <c r="E13979" s="18"/>
      <c r="F13979" s="18"/>
    </row>
    <row r="13980" spans="5:6" ht="15" customHeight="1" x14ac:dyDescent="0.2">
      <c r="E13980" s="18"/>
      <c r="F13980" s="18"/>
    </row>
    <row r="13981" spans="5:6" ht="15" customHeight="1" x14ac:dyDescent="0.2">
      <c r="E13981" s="18"/>
      <c r="F13981" s="18"/>
    </row>
    <row r="13982" spans="5:6" ht="15" customHeight="1" x14ac:dyDescent="0.2">
      <c r="E13982" s="18"/>
      <c r="F13982" s="18"/>
    </row>
    <row r="13983" spans="5:6" ht="15" customHeight="1" x14ac:dyDescent="0.2">
      <c r="E13983" s="18"/>
      <c r="F13983" s="18"/>
    </row>
    <row r="13984" spans="5:6" ht="15" customHeight="1" x14ac:dyDescent="0.2">
      <c r="E13984" s="18"/>
      <c r="F13984" s="18"/>
    </row>
    <row r="13985" spans="5:6" ht="15" customHeight="1" x14ac:dyDescent="0.2">
      <c r="E13985" s="18"/>
      <c r="F13985" s="18"/>
    </row>
    <row r="13986" spans="5:6" ht="15" customHeight="1" x14ac:dyDescent="0.2">
      <c r="E13986" s="18"/>
      <c r="F13986" s="18"/>
    </row>
    <row r="13987" spans="5:6" ht="15" customHeight="1" x14ac:dyDescent="0.2">
      <c r="E13987" s="18"/>
      <c r="F13987" s="18"/>
    </row>
    <row r="13988" spans="5:6" ht="15" customHeight="1" x14ac:dyDescent="0.2">
      <c r="E13988" s="18"/>
      <c r="F13988" s="18"/>
    </row>
    <row r="13989" spans="5:6" ht="15" customHeight="1" x14ac:dyDescent="0.2">
      <c r="E13989" s="18"/>
      <c r="F13989" s="18"/>
    </row>
    <row r="13990" spans="5:6" ht="15" customHeight="1" x14ac:dyDescent="0.2">
      <c r="E13990" s="18"/>
      <c r="F13990" s="18"/>
    </row>
    <row r="13991" spans="5:6" ht="15" customHeight="1" x14ac:dyDescent="0.2">
      <c r="E13991" s="18"/>
      <c r="F13991" s="18"/>
    </row>
    <row r="13992" spans="5:6" ht="15" customHeight="1" x14ac:dyDescent="0.2">
      <c r="E13992" s="18"/>
      <c r="F13992" s="18"/>
    </row>
    <row r="13993" spans="5:6" ht="15" customHeight="1" x14ac:dyDescent="0.2">
      <c r="E13993" s="18"/>
      <c r="F13993" s="18"/>
    </row>
    <row r="13994" spans="5:6" ht="15" customHeight="1" x14ac:dyDescent="0.2">
      <c r="E13994" s="18"/>
      <c r="F13994" s="18"/>
    </row>
    <row r="13995" spans="5:6" ht="15" customHeight="1" x14ac:dyDescent="0.2">
      <c r="E13995" s="18"/>
      <c r="F13995" s="18"/>
    </row>
    <row r="13996" spans="5:6" ht="15" customHeight="1" x14ac:dyDescent="0.2">
      <c r="E13996" s="18"/>
      <c r="F13996" s="18"/>
    </row>
    <row r="13997" spans="5:6" ht="15" customHeight="1" x14ac:dyDescent="0.2">
      <c r="E13997" s="18"/>
      <c r="F13997" s="18"/>
    </row>
    <row r="13998" spans="5:6" ht="15" customHeight="1" x14ac:dyDescent="0.2">
      <c r="E13998" s="18"/>
      <c r="F13998" s="18"/>
    </row>
    <row r="13999" spans="5:6" ht="15" customHeight="1" x14ac:dyDescent="0.2">
      <c r="E13999" s="18"/>
      <c r="F13999" s="18"/>
    </row>
    <row r="14000" spans="5:6" ht="15" customHeight="1" x14ac:dyDescent="0.2">
      <c r="E14000" s="18"/>
      <c r="F14000" s="18"/>
    </row>
    <row r="14001" spans="5:6" ht="15" customHeight="1" x14ac:dyDescent="0.2">
      <c r="E14001" s="18"/>
      <c r="F14001" s="18"/>
    </row>
    <row r="14002" spans="5:6" ht="15" customHeight="1" x14ac:dyDescent="0.2">
      <c r="E14002" s="18"/>
      <c r="F14002" s="18"/>
    </row>
    <row r="14003" spans="5:6" ht="15" customHeight="1" x14ac:dyDescent="0.2">
      <c r="E14003" s="18"/>
      <c r="F14003" s="18"/>
    </row>
    <row r="14004" spans="5:6" ht="15" customHeight="1" x14ac:dyDescent="0.2">
      <c r="E14004" s="18"/>
      <c r="F14004" s="18"/>
    </row>
    <row r="14005" spans="5:6" ht="15" customHeight="1" x14ac:dyDescent="0.2">
      <c r="E14005" s="18"/>
      <c r="F14005" s="18"/>
    </row>
    <row r="14006" spans="5:6" ht="15" customHeight="1" x14ac:dyDescent="0.2">
      <c r="E14006" s="18"/>
      <c r="F14006" s="18"/>
    </row>
    <row r="14007" spans="5:6" ht="15" customHeight="1" x14ac:dyDescent="0.2">
      <c r="E14007" s="18"/>
      <c r="F14007" s="18"/>
    </row>
    <row r="14008" spans="5:6" ht="15" customHeight="1" x14ac:dyDescent="0.2">
      <c r="E14008" s="18"/>
      <c r="F14008" s="18"/>
    </row>
    <row r="14009" spans="5:6" ht="15" customHeight="1" x14ac:dyDescent="0.2">
      <c r="E14009" s="18"/>
      <c r="F14009" s="18"/>
    </row>
    <row r="14010" spans="5:6" ht="15" customHeight="1" x14ac:dyDescent="0.2">
      <c r="E14010" s="18"/>
      <c r="F14010" s="18"/>
    </row>
    <row r="14011" spans="5:6" ht="15" customHeight="1" x14ac:dyDescent="0.2">
      <c r="E14011" s="18"/>
      <c r="F14011" s="18"/>
    </row>
    <row r="14012" spans="5:6" ht="15" customHeight="1" x14ac:dyDescent="0.2">
      <c r="E14012" s="18"/>
      <c r="F14012" s="18"/>
    </row>
    <row r="14013" spans="5:6" ht="15" customHeight="1" x14ac:dyDescent="0.2">
      <c r="E14013" s="18"/>
      <c r="F14013" s="18"/>
    </row>
    <row r="14014" spans="5:6" ht="15" customHeight="1" x14ac:dyDescent="0.2">
      <c r="E14014" s="18"/>
      <c r="F14014" s="18"/>
    </row>
    <row r="14015" spans="5:6" ht="15" customHeight="1" x14ac:dyDescent="0.2">
      <c r="E14015" s="18"/>
      <c r="F14015" s="18"/>
    </row>
    <row r="14016" spans="5:6" ht="15" customHeight="1" x14ac:dyDescent="0.2">
      <c r="E14016" s="18"/>
      <c r="F14016" s="18"/>
    </row>
    <row r="14017" spans="5:6" ht="15" customHeight="1" x14ac:dyDescent="0.2">
      <c r="E14017" s="18"/>
      <c r="F14017" s="18"/>
    </row>
    <row r="14018" spans="5:6" ht="15" customHeight="1" x14ac:dyDescent="0.2">
      <c r="E14018" s="18"/>
      <c r="F14018" s="18"/>
    </row>
    <row r="14019" spans="5:6" ht="15" customHeight="1" x14ac:dyDescent="0.2">
      <c r="E14019" s="18"/>
      <c r="F14019" s="18"/>
    </row>
    <row r="14020" spans="5:6" ht="15" customHeight="1" x14ac:dyDescent="0.2">
      <c r="E14020" s="18"/>
      <c r="F14020" s="18"/>
    </row>
    <row r="14021" spans="5:6" ht="15" customHeight="1" x14ac:dyDescent="0.2">
      <c r="E14021" s="18"/>
      <c r="F14021" s="18"/>
    </row>
    <row r="14022" spans="5:6" ht="15" customHeight="1" x14ac:dyDescent="0.2">
      <c r="E14022" s="18"/>
      <c r="F14022" s="18"/>
    </row>
    <row r="14023" spans="5:6" ht="15" customHeight="1" x14ac:dyDescent="0.2">
      <c r="E14023" s="18"/>
      <c r="F14023" s="18"/>
    </row>
    <row r="14024" spans="5:6" ht="15" customHeight="1" x14ac:dyDescent="0.2">
      <c r="E14024" s="18"/>
      <c r="F14024" s="18"/>
    </row>
    <row r="14025" spans="5:6" ht="15" customHeight="1" x14ac:dyDescent="0.2">
      <c r="E14025" s="18"/>
      <c r="F14025" s="18"/>
    </row>
    <row r="14026" spans="5:6" ht="15" customHeight="1" x14ac:dyDescent="0.2">
      <c r="E14026" s="18"/>
      <c r="F14026" s="18"/>
    </row>
    <row r="14027" spans="5:6" ht="15" customHeight="1" x14ac:dyDescent="0.2">
      <c r="E14027" s="18"/>
      <c r="F14027" s="18"/>
    </row>
    <row r="14028" spans="5:6" ht="15" customHeight="1" x14ac:dyDescent="0.2">
      <c r="E14028" s="18"/>
      <c r="F14028" s="18"/>
    </row>
    <row r="14029" spans="5:6" ht="15" customHeight="1" x14ac:dyDescent="0.2">
      <c r="E14029" s="18"/>
      <c r="F14029" s="18"/>
    </row>
    <row r="14030" spans="5:6" ht="15" customHeight="1" x14ac:dyDescent="0.2">
      <c r="E14030" s="18"/>
      <c r="F14030" s="18"/>
    </row>
    <row r="14031" spans="5:6" ht="15" customHeight="1" x14ac:dyDescent="0.2">
      <c r="E14031" s="18"/>
      <c r="F14031" s="18"/>
    </row>
    <row r="14032" spans="5:6" ht="15" customHeight="1" x14ac:dyDescent="0.2">
      <c r="E14032" s="18"/>
      <c r="F14032" s="18"/>
    </row>
    <row r="14033" spans="5:6" ht="15" customHeight="1" x14ac:dyDescent="0.2">
      <c r="E14033" s="18"/>
      <c r="F14033" s="18"/>
    </row>
    <row r="14034" spans="5:6" ht="15" customHeight="1" x14ac:dyDescent="0.2">
      <c r="E14034" s="18"/>
      <c r="F14034" s="18"/>
    </row>
    <row r="14035" spans="5:6" ht="15" customHeight="1" x14ac:dyDescent="0.2">
      <c r="E14035" s="18"/>
      <c r="F14035" s="18"/>
    </row>
    <row r="14036" spans="5:6" ht="15" customHeight="1" x14ac:dyDescent="0.2">
      <c r="E14036" s="18"/>
      <c r="F14036" s="18"/>
    </row>
    <row r="14037" spans="5:6" ht="15" customHeight="1" x14ac:dyDescent="0.2">
      <c r="E14037" s="18"/>
      <c r="F14037" s="18"/>
    </row>
    <row r="14038" spans="5:6" ht="15" customHeight="1" x14ac:dyDescent="0.2">
      <c r="E14038" s="18"/>
      <c r="F14038" s="18"/>
    </row>
    <row r="14039" spans="5:6" ht="15" customHeight="1" x14ac:dyDescent="0.2">
      <c r="E14039" s="18"/>
      <c r="F14039" s="18"/>
    </row>
    <row r="14040" spans="5:6" ht="15" customHeight="1" x14ac:dyDescent="0.2">
      <c r="E14040" s="18"/>
      <c r="F14040" s="18"/>
    </row>
    <row r="14041" spans="5:6" ht="15" customHeight="1" x14ac:dyDescent="0.2">
      <c r="E14041" s="18"/>
      <c r="F14041" s="18"/>
    </row>
    <row r="14042" spans="5:6" ht="15" customHeight="1" x14ac:dyDescent="0.2">
      <c r="E14042" s="18"/>
      <c r="F14042" s="18"/>
    </row>
    <row r="14043" spans="5:6" ht="15" customHeight="1" x14ac:dyDescent="0.2">
      <c r="E14043" s="18"/>
      <c r="F14043" s="18"/>
    </row>
    <row r="14044" spans="5:6" ht="15" customHeight="1" x14ac:dyDescent="0.2">
      <c r="E14044" s="18"/>
      <c r="F14044" s="18"/>
    </row>
    <row r="14045" spans="5:6" ht="15" customHeight="1" x14ac:dyDescent="0.2">
      <c r="E14045" s="18"/>
      <c r="F14045" s="18"/>
    </row>
    <row r="14046" spans="5:6" ht="15" customHeight="1" x14ac:dyDescent="0.2">
      <c r="E14046" s="18"/>
      <c r="F14046" s="18"/>
    </row>
    <row r="14047" spans="5:6" ht="15" customHeight="1" x14ac:dyDescent="0.2">
      <c r="E14047" s="18"/>
      <c r="F14047" s="18"/>
    </row>
    <row r="14048" spans="5:6" ht="15" customHeight="1" x14ac:dyDescent="0.2">
      <c r="E14048" s="18"/>
      <c r="F14048" s="18"/>
    </row>
    <row r="14049" spans="5:6" ht="15" customHeight="1" x14ac:dyDescent="0.2">
      <c r="E14049" s="18"/>
      <c r="F14049" s="18"/>
    </row>
    <row r="14050" spans="5:6" ht="15" customHeight="1" x14ac:dyDescent="0.2">
      <c r="E14050" s="18"/>
      <c r="F14050" s="18"/>
    </row>
    <row r="14051" spans="5:6" ht="15" customHeight="1" x14ac:dyDescent="0.2">
      <c r="E14051" s="18"/>
      <c r="F14051" s="18"/>
    </row>
    <row r="14052" spans="5:6" ht="15" customHeight="1" x14ac:dyDescent="0.2">
      <c r="E14052" s="18"/>
      <c r="F14052" s="18"/>
    </row>
    <row r="14053" spans="5:6" ht="15" customHeight="1" x14ac:dyDescent="0.2">
      <c r="E14053" s="18"/>
      <c r="F14053" s="18"/>
    </row>
    <row r="14054" spans="5:6" ht="15" customHeight="1" x14ac:dyDescent="0.2">
      <c r="E14054" s="18"/>
      <c r="F14054" s="18"/>
    </row>
    <row r="14055" spans="5:6" ht="15" customHeight="1" x14ac:dyDescent="0.2">
      <c r="E14055" s="18"/>
      <c r="F14055" s="18"/>
    </row>
    <row r="14056" spans="5:6" ht="15" customHeight="1" x14ac:dyDescent="0.2">
      <c r="E14056" s="18"/>
      <c r="F14056" s="18"/>
    </row>
    <row r="14057" spans="5:6" ht="15" customHeight="1" x14ac:dyDescent="0.2">
      <c r="E14057" s="18"/>
      <c r="F14057" s="18"/>
    </row>
    <row r="14058" spans="5:6" ht="15" customHeight="1" x14ac:dyDescent="0.2">
      <c r="E14058" s="18"/>
      <c r="F14058" s="18"/>
    </row>
    <row r="14059" spans="5:6" ht="15" customHeight="1" x14ac:dyDescent="0.2">
      <c r="E14059" s="18"/>
      <c r="F14059" s="18"/>
    </row>
    <row r="14060" spans="5:6" ht="15" customHeight="1" x14ac:dyDescent="0.2">
      <c r="E14060" s="18"/>
      <c r="F14060" s="18"/>
    </row>
    <row r="14061" spans="5:6" ht="15" customHeight="1" x14ac:dyDescent="0.2">
      <c r="E14061" s="18"/>
      <c r="F14061" s="18"/>
    </row>
    <row r="14062" spans="5:6" ht="15" customHeight="1" x14ac:dyDescent="0.2">
      <c r="E14062" s="18"/>
      <c r="F14062" s="18"/>
    </row>
    <row r="14063" spans="5:6" ht="15" customHeight="1" x14ac:dyDescent="0.2">
      <c r="E14063" s="18"/>
      <c r="F14063" s="18"/>
    </row>
    <row r="14064" spans="5:6" ht="15" customHeight="1" x14ac:dyDescent="0.2">
      <c r="E14064" s="18"/>
      <c r="F14064" s="18"/>
    </row>
    <row r="14065" spans="5:6" ht="15" customHeight="1" x14ac:dyDescent="0.2">
      <c r="E14065" s="18"/>
      <c r="F14065" s="18"/>
    </row>
    <row r="14066" spans="5:6" ht="15" customHeight="1" x14ac:dyDescent="0.2">
      <c r="E14066" s="18"/>
      <c r="F14066" s="18"/>
    </row>
    <row r="14067" spans="5:6" ht="15" customHeight="1" x14ac:dyDescent="0.2">
      <c r="E14067" s="18"/>
      <c r="F14067" s="18"/>
    </row>
    <row r="14068" spans="5:6" ht="15" customHeight="1" x14ac:dyDescent="0.2">
      <c r="E14068" s="18"/>
      <c r="F14068" s="18"/>
    </row>
    <row r="14069" spans="5:6" ht="15" customHeight="1" x14ac:dyDescent="0.2">
      <c r="E14069" s="18"/>
      <c r="F14069" s="18"/>
    </row>
    <row r="14070" spans="5:6" ht="15" customHeight="1" x14ac:dyDescent="0.2">
      <c r="E14070" s="18"/>
      <c r="F14070" s="18"/>
    </row>
    <row r="14071" spans="5:6" ht="15" customHeight="1" x14ac:dyDescent="0.2">
      <c r="E14071" s="18"/>
      <c r="F14071" s="18"/>
    </row>
    <row r="14072" spans="5:6" ht="15" customHeight="1" x14ac:dyDescent="0.2">
      <c r="E14072" s="18"/>
      <c r="F14072" s="18"/>
    </row>
    <row r="14073" spans="5:6" ht="15" customHeight="1" x14ac:dyDescent="0.2">
      <c r="E14073" s="18"/>
      <c r="F14073" s="18"/>
    </row>
    <row r="14074" spans="5:6" ht="15" customHeight="1" x14ac:dyDescent="0.2">
      <c r="E14074" s="18"/>
      <c r="F14074" s="18"/>
    </row>
    <row r="14075" spans="5:6" ht="15" customHeight="1" x14ac:dyDescent="0.2">
      <c r="E14075" s="18"/>
      <c r="F14075" s="18"/>
    </row>
    <row r="14076" spans="5:6" ht="15" customHeight="1" x14ac:dyDescent="0.2">
      <c r="E14076" s="18"/>
      <c r="F14076" s="18"/>
    </row>
    <row r="14077" spans="5:6" ht="15" customHeight="1" x14ac:dyDescent="0.2">
      <c r="E14077" s="18"/>
      <c r="F14077" s="18"/>
    </row>
    <row r="14078" spans="5:6" ht="15" customHeight="1" x14ac:dyDescent="0.2">
      <c r="E14078" s="18"/>
      <c r="F14078" s="18"/>
    </row>
    <row r="14079" spans="5:6" ht="15" customHeight="1" x14ac:dyDescent="0.2">
      <c r="E14079" s="18"/>
      <c r="F14079" s="18"/>
    </row>
    <row r="14080" spans="5:6" ht="15" customHeight="1" x14ac:dyDescent="0.2">
      <c r="E14080" s="18"/>
      <c r="F14080" s="18"/>
    </row>
    <row r="14081" spans="5:6" ht="15" customHeight="1" x14ac:dyDescent="0.2">
      <c r="E14081" s="18"/>
      <c r="F14081" s="18"/>
    </row>
    <row r="14082" spans="5:6" ht="15" customHeight="1" x14ac:dyDescent="0.2">
      <c r="E14082" s="18"/>
      <c r="F14082" s="18"/>
    </row>
    <row r="14083" spans="5:6" ht="15" customHeight="1" x14ac:dyDescent="0.2">
      <c r="E14083" s="18"/>
      <c r="F14083" s="18"/>
    </row>
    <row r="14084" spans="5:6" ht="15" customHeight="1" x14ac:dyDescent="0.2">
      <c r="E14084" s="18"/>
      <c r="F14084" s="18"/>
    </row>
    <row r="14085" spans="5:6" ht="15" customHeight="1" x14ac:dyDescent="0.2">
      <c r="E14085" s="18"/>
      <c r="F14085" s="18"/>
    </row>
    <row r="14086" spans="5:6" ht="15" customHeight="1" x14ac:dyDescent="0.2">
      <c r="E14086" s="18"/>
      <c r="F14086" s="18"/>
    </row>
    <row r="14087" spans="5:6" ht="15" customHeight="1" x14ac:dyDescent="0.2">
      <c r="E14087" s="18"/>
      <c r="F14087" s="18"/>
    </row>
    <row r="14088" spans="5:6" ht="15" customHeight="1" x14ac:dyDescent="0.2">
      <c r="E14088" s="18"/>
      <c r="F14088" s="18"/>
    </row>
    <row r="14089" spans="5:6" ht="15" customHeight="1" x14ac:dyDescent="0.2">
      <c r="E14089" s="18"/>
      <c r="F14089" s="18"/>
    </row>
    <row r="14090" spans="5:6" ht="15" customHeight="1" x14ac:dyDescent="0.2">
      <c r="E14090" s="18"/>
      <c r="F14090" s="18"/>
    </row>
    <row r="14091" spans="5:6" ht="15" customHeight="1" x14ac:dyDescent="0.2">
      <c r="E14091" s="18"/>
      <c r="F14091" s="18"/>
    </row>
    <row r="14092" spans="5:6" ht="15" customHeight="1" x14ac:dyDescent="0.2">
      <c r="E14092" s="18"/>
      <c r="F14092" s="18"/>
    </row>
    <row r="14093" spans="5:6" ht="15" customHeight="1" x14ac:dyDescent="0.2">
      <c r="E14093" s="18"/>
      <c r="F14093" s="18"/>
    </row>
    <row r="14094" spans="5:6" ht="15" customHeight="1" x14ac:dyDescent="0.2">
      <c r="E14094" s="18"/>
      <c r="F14094" s="18"/>
    </row>
    <row r="14095" spans="5:6" ht="15" customHeight="1" x14ac:dyDescent="0.2">
      <c r="E14095" s="18"/>
      <c r="F14095" s="18"/>
    </row>
    <row r="14096" spans="5:6" ht="15" customHeight="1" x14ac:dyDescent="0.2">
      <c r="E14096" s="18"/>
      <c r="F14096" s="18"/>
    </row>
    <row r="14097" spans="5:6" ht="15" customHeight="1" x14ac:dyDescent="0.2">
      <c r="E14097" s="18"/>
      <c r="F14097" s="18"/>
    </row>
    <row r="14098" spans="5:6" ht="15" customHeight="1" x14ac:dyDescent="0.2">
      <c r="E14098" s="18"/>
      <c r="F14098" s="18"/>
    </row>
    <row r="14099" spans="5:6" ht="15" customHeight="1" x14ac:dyDescent="0.2">
      <c r="E14099" s="18"/>
      <c r="F14099" s="18"/>
    </row>
    <row r="14100" spans="5:6" ht="15" customHeight="1" x14ac:dyDescent="0.2">
      <c r="E14100" s="18"/>
      <c r="F14100" s="18"/>
    </row>
    <row r="14101" spans="5:6" ht="15" customHeight="1" x14ac:dyDescent="0.2">
      <c r="E14101" s="18"/>
      <c r="F14101" s="18"/>
    </row>
    <row r="14102" spans="5:6" ht="15" customHeight="1" x14ac:dyDescent="0.2">
      <c r="E14102" s="18"/>
      <c r="F14102" s="18"/>
    </row>
    <row r="14103" spans="5:6" ht="15" customHeight="1" x14ac:dyDescent="0.2">
      <c r="E14103" s="18"/>
      <c r="F14103" s="18"/>
    </row>
    <row r="14104" spans="5:6" ht="15" customHeight="1" x14ac:dyDescent="0.2">
      <c r="E14104" s="18"/>
      <c r="F14104" s="18"/>
    </row>
    <row r="14105" spans="5:6" ht="15" customHeight="1" x14ac:dyDescent="0.2">
      <c r="E14105" s="18"/>
      <c r="F14105" s="18"/>
    </row>
    <row r="14106" spans="5:6" ht="15" customHeight="1" x14ac:dyDescent="0.2">
      <c r="E14106" s="18"/>
      <c r="F14106" s="18"/>
    </row>
    <row r="14107" spans="5:6" ht="15" customHeight="1" x14ac:dyDescent="0.2">
      <c r="E14107" s="18"/>
      <c r="F14107" s="18"/>
    </row>
    <row r="14108" spans="5:6" ht="15" customHeight="1" x14ac:dyDescent="0.2">
      <c r="E14108" s="18"/>
      <c r="F14108" s="18"/>
    </row>
    <row r="14109" spans="5:6" ht="15" customHeight="1" x14ac:dyDescent="0.2">
      <c r="E14109" s="18"/>
      <c r="F14109" s="18"/>
    </row>
    <row r="14110" spans="5:6" ht="15" customHeight="1" x14ac:dyDescent="0.2">
      <c r="E14110" s="18"/>
      <c r="F14110" s="18"/>
    </row>
    <row r="14111" spans="5:6" ht="15" customHeight="1" x14ac:dyDescent="0.2">
      <c r="E14111" s="18"/>
      <c r="F14111" s="18"/>
    </row>
    <row r="14112" spans="5:6" ht="15" customHeight="1" x14ac:dyDescent="0.2">
      <c r="E14112" s="18"/>
      <c r="F14112" s="18"/>
    </row>
    <row r="14113" spans="5:6" ht="15" customHeight="1" x14ac:dyDescent="0.2">
      <c r="E14113" s="18"/>
      <c r="F14113" s="18"/>
    </row>
    <row r="14114" spans="5:6" ht="15" customHeight="1" x14ac:dyDescent="0.2">
      <c r="E14114" s="18"/>
      <c r="F14114" s="18"/>
    </row>
    <row r="14115" spans="5:6" ht="15" customHeight="1" x14ac:dyDescent="0.2">
      <c r="E14115" s="18"/>
      <c r="F14115" s="18"/>
    </row>
    <row r="14116" spans="5:6" ht="15" customHeight="1" x14ac:dyDescent="0.2">
      <c r="E14116" s="18"/>
      <c r="F14116" s="18"/>
    </row>
    <row r="14117" spans="5:6" ht="15" customHeight="1" x14ac:dyDescent="0.2">
      <c r="E14117" s="18"/>
      <c r="F14117" s="18"/>
    </row>
    <row r="14118" spans="5:6" ht="15" customHeight="1" x14ac:dyDescent="0.2">
      <c r="E14118" s="18"/>
      <c r="F14118" s="18"/>
    </row>
    <row r="14119" spans="5:6" ht="15" customHeight="1" x14ac:dyDescent="0.2">
      <c r="E14119" s="18"/>
      <c r="F14119" s="18"/>
    </row>
    <row r="14120" spans="5:6" ht="15" customHeight="1" x14ac:dyDescent="0.2">
      <c r="E14120" s="18"/>
      <c r="F14120" s="18"/>
    </row>
    <row r="14121" spans="5:6" ht="15" customHeight="1" x14ac:dyDescent="0.2">
      <c r="E14121" s="18"/>
      <c r="F14121" s="18"/>
    </row>
    <row r="14122" spans="5:6" ht="15" customHeight="1" x14ac:dyDescent="0.2">
      <c r="E14122" s="18"/>
      <c r="F14122" s="18"/>
    </row>
    <row r="14123" spans="5:6" ht="15" customHeight="1" x14ac:dyDescent="0.2">
      <c r="E14123" s="18"/>
      <c r="F14123" s="18"/>
    </row>
    <row r="14124" spans="5:6" ht="15" customHeight="1" x14ac:dyDescent="0.2">
      <c r="E14124" s="18"/>
      <c r="F14124" s="18"/>
    </row>
    <row r="14125" spans="5:6" ht="15" customHeight="1" x14ac:dyDescent="0.2">
      <c r="E14125" s="18"/>
      <c r="F14125" s="18"/>
    </row>
    <row r="14126" spans="5:6" ht="15" customHeight="1" x14ac:dyDescent="0.2">
      <c r="E14126" s="18"/>
      <c r="F14126" s="18"/>
    </row>
    <row r="14127" spans="5:6" ht="15" customHeight="1" x14ac:dyDescent="0.2">
      <c r="E14127" s="18"/>
      <c r="F14127" s="18"/>
    </row>
    <row r="14128" spans="5:6" ht="15" customHeight="1" x14ac:dyDescent="0.2">
      <c r="E14128" s="18"/>
      <c r="F14128" s="18"/>
    </row>
    <row r="14129" spans="5:6" ht="15" customHeight="1" x14ac:dyDescent="0.2">
      <c r="E14129" s="18"/>
      <c r="F14129" s="18"/>
    </row>
    <row r="14130" spans="5:6" ht="15" customHeight="1" x14ac:dyDescent="0.2">
      <c r="E14130" s="18"/>
      <c r="F14130" s="18"/>
    </row>
    <row r="14131" spans="5:6" ht="15" customHeight="1" x14ac:dyDescent="0.2">
      <c r="E14131" s="18"/>
      <c r="F14131" s="18"/>
    </row>
    <row r="14132" spans="5:6" ht="15" customHeight="1" x14ac:dyDescent="0.2">
      <c r="E14132" s="18"/>
      <c r="F14132" s="18"/>
    </row>
    <row r="14133" spans="5:6" ht="15" customHeight="1" x14ac:dyDescent="0.2">
      <c r="E14133" s="18"/>
      <c r="F14133" s="18"/>
    </row>
    <row r="14134" spans="5:6" ht="15" customHeight="1" x14ac:dyDescent="0.2">
      <c r="E14134" s="18"/>
      <c r="F14134" s="18"/>
    </row>
    <row r="14135" spans="5:6" ht="15" customHeight="1" x14ac:dyDescent="0.2">
      <c r="E14135" s="18"/>
      <c r="F14135" s="18"/>
    </row>
    <row r="14136" spans="5:6" ht="15" customHeight="1" x14ac:dyDescent="0.2">
      <c r="E14136" s="18"/>
      <c r="F14136" s="18"/>
    </row>
    <row r="14137" spans="5:6" ht="15" customHeight="1" x14ac:dyDescent="0.2">
      <c r="E14137" s="18"/>
      <c r="F14137" s="18"/>
    </row>
    <row r="14138" spans="5:6" ht="15" customHeight="1" x14ac:dyDescent="0.2">
      <c r="E14138" s="18"/>
      <c r="F14138" s="18"/>
    </row>
    <row r="14139" spans="5:6" ht="15" customHeight="1" x14ac:dyDescent="0.2">
      <c r="E14139" s="18"/>
      <c r="F14139" s="18"/>
    </row>
    <row r="14140" spans="5:6" ht="15" customHeight="1" x14ac:dyDescent="0.2">
      <c r="E14140" s="18"/>
      <c r="F14140" s="18"/>
    </row>
    <row r="14141" spans="5:6" ht="15" customHeight="1" x14ac:dyDescent="0.2">
      <c r="E14141" s="18"/>
      <c r="F14141" s="18"/>
    </row>
    <row r="14142" spans="5:6" ht="15" customHeight="1" x14ac:dyDescent="0.2">
      <c r="E14142" s="18"/>
      <c r="F14142" s="18"/>
    </row>
    <row r="14143" spans="5:6" ht="15" customHeight="1" x14ac:dyDescent="0.2">
      <c r="E14143" s="18"/>
      <c r="F14143" s="18"/>
    </row>
    <row r="14144" spans="5:6" ht="15" customHeight="1" x14ac:dyDescent="0.2">
      <c r="E14144" s="18"/>
      <c r="F14144" s="18"/>
    </row>
    <row r="14145" spans="5:6" ht="15" customHeight="1" x14ac:dyDescent="0.2">
      <c r="E14145" s="18"/>
      <c r="F14145" s="18"/>
    </row>
    <row r="14146" spans="5:6" ht="15" customHeight="1" x14ac:dyDescent="0.2">
      <c r="E14146" s="18"/>
      <c r="F14146" s="18"/>
    </row>
    <row r="14147" spans="5:6" ht="15" customHeight="1" x14ac:dyDescent="0.2">
      <c r="E14147" s="18"/>
      <c r="F14147" s="18"/>
    </row>
    <row r="14148" spans="5:6" ht="15" customHeight="1" x14ac:dyDescent="0.2">
      <c r="E14148" s="18"/>
      <c r="F14148" s="18"/>
    </row>
    <row r="14149" spans="5:6" ht="15" customHeight="1" x14ac:dyDescent="0.2">
      <c r="E14149" s="18"/>
      <c r="F14149" s="18"/>
    </row>
    <row r="14150" spans="5:6" ht="15" customHeight="1" x14ac:dyDescent="0.2">
      <c r="E14150" s="18"/>
      <c r="F14150" s="18"/>
    </row>
    <row r="14151" spans="5:6" ht="15" customHeight="1" x14ac:dyDescent="0.2">
      <c r="E14151" s="18"/>
      <c r="F14151" s="18"/>
    </row>
    <row r="14152" spans="5:6" ht="15" customHeight="1" x14ac:dyDescent="0.2">
      <c r="E14152" s="18"/>
      <c r="F14152" s="18"/>
    </row>
    <row r="14153" spans="5:6" ht="15" customHeight="1" x14ac:dyDescent="0.2">
      <c r="E14153" s="18"/>
      <c r="F14153" s="18"/>
    </row>
    <row r="14154" spans="5:6" ht="15" customHeight="1" x14ac:dyDescent="0.2">
      <c r="E14154" s="18"/>
      <c r="F14154" s="18"/>
    </row>
    <row r="14155" spans="5:6" ht="15" customHeight="1" x14ac:dyDescent="0.2">
      <c r="E14155" s="18"/>
      <c r="F14155" s="18"/>
    </row>
    <row r="14156" spans="5:6" ht="15" customHeight="1" x14ac:dyDescent="0.2">
      <c r="E14156" s="18"/>
      <c r="F14156" s="18"/>
    </row>
    <row r="14157" spans="5:6" ht="15" customHeight="1" x14ac:dyDescent="0.2">
      <c r="E14157" s="18"/>
      <c r="F14157" s="18"/>
    </row>
    <row r="14158" spans="5:6" ht="15" customHeight="1" x14ac:dyDescent="0.2">
      <c r="E14158" s="18"/>
      <c r="F14158" s="18"/>
    </row>
    <row r="14159" spans="5:6" ht="15" customHeight="1" x14ac:dyDescent="0.2">
      <c r="E14159" s="18"/>
      <c r="F14159" s="18"/>
    </row>
    <row r="14160" spans="5:6" ht="15" customHeight="1" x14ac:dyDescent="0.2">
      <c r="E14160" s="18"/>
      <c r="F14160" s="18"/>
    </row>
    <row r="14161" spans="5:6" ht="15" customHeight="1" x14ac:dyDescent="0.2">
      <c r="E14161" s="18"/>
      <c r="F14161" s="18"/>
    </row>
    <row r="14162" spans="5:6" ht="15" customHeight="1" x14ac:dyDescent="0.2">
      <c r="E14162" s="18"/>
      <c r="F14162" s="18"/>
    </row>
    <row r="14163" spans="5:6" ht="15" customHeight="1" x14ac:dyDescent="0.2">
      <c r="E14163" s="18"/>
      <c r="F14163" s="18"/>
    </row>
    <row r="14164" spans="5:6" ht="15" customHeight="1" x14ac:dyDescent="0.2">
      <c r="E14164" s="18"/>
      <c r="F14164" s="18"/>
    </row>
    <row r="14165" spans="5:6" ht="15" customHeight="1" x14ac:dyDescent="0.2">
      <c r="E14165" s="18"/>
      <c r="F14165" s="18"/>
    </row>
    <row r="14166" spans="5:6" ht="15" customHeight="1" x14ac:dyDescent="0.2">
      <c r="E14166" s="18"/>
      <c r="F14166" s="18"/>
    </row>
    <row r="14167" spans="5:6" ht="15" customHeight="1" x14ac:dyDescent="0.2">
      <c r="E14167" s="18"/>
      <c r="F14167" s="18"/>
    </row>
    <row r="14168" spans="5:6" ht="15" customHeight="1" x14ac:dyDescent="0.2">
      <c r="E14168" s="18"/>
      <c r="F14168" s="18"/>
    </row>
    <row r="14169" spans="5:6" ht="15" customHeight="1" x14ac:dyDescent="0.2">
      <c r="E14169" s="18"/>
      <c r="F14169" s="18"/>
    </row>
    <row r="14170" spans="5:6" ht="15" customHeight="1" x14ac:dyDescent="0.2">
      <c r="E14170" s="18"/>
      <c r="F14170" s="18"/>
    </row>
    <row r="14171" spans="5:6" ht="15" customHeight="1" x14ac:dyDescent="0.2">
      <c r="E14171" s="18"/>
      <c r="F14171" s="18"/>
    </row>
    <row r="14172" spans="5:6" ht="15" customHeight="1" x14ac:dyDescent="0.2">
      <c r="E14172" s="18"/>
      <c r="F14172" s="18"/>
    </row>
    <row r="14173" spans="5:6" ht="15" customHeight="1" x14ac:dyDescent="0.2">
      <c r="E14173" s="18"/>
      <c r="F14173" s="18"/>
    </row>
    <row r="14174" spans="5:6" ht="15" customHeight="1" x14ac:dyDescent="0.2">
      <c r="E14174" s="18"/>
      <c r="F14174" s="18"/>
    </row>
    <row r="14175" spans="5:6" ht="15" customHeight="1" x14ac:dyDescent="0.2">
      <c r="E14175" s="18"/>
      <c r="F14175" s="18"/>
    </row>
    <row r="14176" spans="5:6" ht="15" customHeight="1" x14ac:dyDescent="0.2">
      <c r="E14176" s="18"/>
      <c r="F14176" s="18"/>
    </row>
    <row r="14177" spans="5:6" ht="15" customHeight="1" x14ac:dyDescent="0.2">
      <c r="E14177" s="18"/>
      <c r="F14177" s="18"/>
    </row>
    <row r="14178" spans="5:6" ht="15" customHeight="1" x14ac:dyDescent="0.2">
      <c r="E14178" s="18"/>
      <c r="F14178" s="18"/>
    </row>
    <row r="14179" spans="5:6" ht="15" customHeight="1" x14ac:dyDescent="0.2">
      <c r="E14179" s="18"/>
      <c r="F14179" s="18"/>
    </row>
    <row r="14180" spans="5:6" ht="15" customHeight="1" x14ac:dyDescent="0.2">
      <c r="E14180" s="18"/>
      <c r="F14180" s="18"/>
    </row>
    <row r="14181" spans="5:6" ht="15" customHeight="1" x14ac:dyDescent="0.2">
      <c r="E14181" s="18"/>
      <c r="F14181" s="18"/>
    </row>
    <row r="14182" spans="5:6" ht="15" customHeight="1" x14ac:dyDescent="0.2">
      <c r="E14182" s="18"/>
      <c r="F14182" s="18"/>
    </row>
    <row r="14183" spans="5:6" ht="15" customHeight="1" x14ac:dyDescent="0.2">
      <c r="E14183" s="18"/>
      <c r="F14183" s="18"/>
    </row>
    <row r="14184" spans="5:6" ht="15" customHeight="1" x14ac:dyDescent="0.2">
      <c r="E14184" s="18"/>
      <c r="F14184" s="18"/>
    </row>
    <row r="14185" spans="5:6" ht="15" customHeight="1" x14ac:dyDescent="0.2">
      <c r="E14185" s="18"/>
      <c r="F14185" s="18"/>
    </row>
    <row r="14186" spans="5:6" ht="15" customHeight="1" x14ac:dyDescent="0.2">
      <c r="E14186" s="18"/>
      <c r="F14186" s="18"/>
    </row>
    <row r="14187" spans="5:6" ht="15" customHeight="1" x14ac:dyDescent="0.2">
      <c r="E14187" s="18"/>
      <c r="F14187" s="18"/>
    </row>
    <row r="14188" spans="5:6" ht="15" customHeight="1" x14ac:dyDescent="0.2">
      <c r="E14188" s="18"/>
      <c r="F14188" s="18"/>
    </row>
    <row r="14189" spans="5:6" ht="15" customHeight="1" x14ac:dyDescent="0.2">
      <c r="E14189" s="18"/>
      <c r="F14189" s="18"/>
    </row>
    <row r="14190" spans="5:6" ht="15" customHeight="1" x14ac:dyDescent="0.2">
      <c r="E14190" s="18"/>
      <c r="F14190" s="18"/>
    </row>
    <row r="14191" spans="5:6" ht="15" customHeight="1" x14ac:dyDescent="0.2">
      <c r="E14191" s="18"/>
      <c r="F14191" s="18"/>
    </row>
    <row r="14192" spans="5:6" ht="15" customHeight="1" x14ac:dyDescent="0.2">
      <c r="E14192" s="18"/>
      <c r="F14192" s="18"/>
    </row>
    <row r="14193" spans="5:6" ht="15" customHeight="1" x14ac:dyDescent="0.2">
      <c r="E14193" s="18"/>
      <c r="F14193" s="18"/>
    </row>
    <row r="14194" spans="5:6" ht="15" customHeight="1" x14ac:dyDescent="0.2">
      <c r="E14194" s="18"/>
      <c r="F14194" s="18"/>
    </row>
    <row r="14195" spans="5:6" ht="15" customHeight="1" x14ac:dyDescent="0.2">
      <c r="E14195" s="18"/>
      <c r="F14195" s="18"/>
    </row>
    <row r="14196" spans="5:6" ht="15" customHeight="1" x14ac:dyDescent="0.2">
      <c r="E14196" s="18"/>
      <c r="F14196" s="18"/>
    </row>
    <row r="14197" spans="5:6" ht="15" customHeight="1" x14ac:dyDescent="0.2">
      <c r="E14197" s="18"/>
      <c r="F14197" s="18"/>
    </row>
    <row r="14198" spans="5:6" ht="15" customHeight="1" x14ac:dyDescent="0.2">
      <c r="E14198" s="18"/>
      <c r="F14198" s="18"/>
    </row>
    <row r="14199" spans="5:6" ht="15" customHeight="1" x14ac:dyDescent="0.2">
      <c r="E14199" s="18"/>
      <c r="F14199" s="18"/>
    </row>
    <row r="14200" spans="5:6" ht="15" customHeight="1" x14ac:dyDescent="0.2">
      <c r="E14200" s="18"/>
      <c r="F14200" s="18"/>
    </row>
    <row r="14201" spans="5:6" ht="15" customHeight="1" x14ac:dyDescent="0.2">
      <c r="E14201" s="18"/>
      <c r="F14201" s="18"/>
    </row>
    <row r="14202" spans="5:6" ht="15" customHeight="1" x14ac:dyDescent="0.2">
      <c r="E14202" s="18"/>
      <c r="F14202" s="18"/>
    </row>
    <row r="14203" spans="5:6" ht="15" customHeight="1" x14ac:dyDescent="0.2">
      <c r="E14203" s="18"/>
      <c r="F14203" s="18"/>
    </row>
    <row r="14204" spans="5:6" ht="15" customHeight="1" x14ac:dyDescent="0.2">
      <c r="E14204" s="18"/>
      <c r="F14204" s="18"/>
    </row>
    <row r="14205" spans="5:6" ht="15" customHeight="1" x14ac:dyDescent="0.2">
      <c r="E14205" s="18"/>
      <c r="F14205" s="18"/>
    </row>
    <row r="14206" spans="5:6" ht="15" customHeight="1" x14ac:dyDescent="0.2">
      <c r="E14206" s="18"/>
      <c r="F14206" s="18"/>
    </row>
    <row r="14207" spans="5:6" ht="15" customHeight="1" x14ac:dyDescent="0.2">
      <c r="E14207" s="18"/>
      <c r="F14207" s="18"/>
    </row>
    <row r="14208" spans="5:6" ht="15" customHeight="1" x14ac:dyDescent="0.2">
      <c r="E14208" s="18"/>
      <c r="F14208" s="18"/>
    </row>
    <row r="14209" spans="5:6" ht="15" customHeight="1" x14ac:dyDescent="0.2">
      <c r="E14209" s="18"/>
      <c r="F14209" s="18"/>
    </row>
    <row r="14210" spans="5:6" ht="15" customHeight="1" x14ac:dyDescent="0.2">
      <c r="E14210" s="18"/>
      <c r="F14210" s="18"/>
    </row>
    <row r="14211" spans="5:6" ht="15" customHeight="1" x14ac:dyDescent="0.2">
      <c r="E14211" s="18"/>
      <c r="F14211" s="18"/>
    </row>
    <row r="14212" spans="5:6" ht="15" customHeight="1" x14ac:dyDescent="0.2">
      <c r="E14212" s="18"/>
      <c r="F14212" s="18"/>
    </row>
    <row r="14213" spans="5:6" ht="15" customHeight="1" x14ac:dyDescent="0.2">
      <c r="E14213" s="18"/>
      <c r="F14213" s="18"/>
    </row>
    <row r="14214" spans="5:6" ht="15" customHeight="1" x14ac:dyDescent="0.2">
      <c r="E14214" s="18"/>
      <c r="F14214" s="18"/>
    </row>
    <row r="14215" spans="5:6" ht="15" customHeight="1" x14ac:dyDescent="0.2">
      <c r="E14215" s="18"/>
      <c r="F14215" s="18"/>
    </row>
    <row r="14216" spans="5:6" ht="15" customHeight="1" x14ac:dyDescent="0.2">
      <c r="E14216" s="18"/>
      <c r="F14216" s="18"/>
    </row>
    <row r="14217" spans="5:6" ht="15" customHeight="1" x14ac:dyDescent="0.2">
      <c r="E14217" s="18"/>
      <c r="F14217" s="18"/>
    </row>
    <row r="14218" spans="5:6" ht="15" customHeight="1" x14ac:dyDescent="0.2">
      <c r="E14218" s="18"/>
      <c r="F14218" s="18"/>
    </row>
    <row r="14219" spans="5:6" ht="15" customHeight="1" x14ac:dyDescent="0.2">
      <c r="E14219" s="18"/>
      <c r="F14219" s="18"/>
    </row>
    <row r="14220" spans="5:6" ht="15" customHeight="1" x14ac:dyDescent="0.2">
      <c r="E14220" s="18"/>
      <c r="F14220" s="18"/>
    </row>
    <row r="14221" spans="5:6" ht="15" customHeight="1" x14ac:dyDescent="0.2">
      <c r="E14221" s="18"/>
      <c r="F14221" s="18"/>
    </row>
    <row r="14222" spans="5:6" ht="15" customHeight="1" x14ac:dyDescent="0.2">
      <c r="E14222" s="18"/>
      <c r="F14222" s="18"/>
    </row>
    <row r="14223" spans="5:6" ht="15" customHeight="1" x14ac:dyDescent="0.2">
      <c r="E14223" s="18"/>
      <c r="F14223" s="18"/>
    </row>
    <row r="14224" spans="5:6" ht="15" customHeight="1" x14ac:dyDescent="0.2">
      <c r="E14224" s="18"/>
      <c r="F14224" s="18"/>
    </row>
    <row r="14225" spans="5:6" ht="15" customHeight="1" x14ac:dyDescent="0.2">
      <c r="E14225" s="18"/>
      <c r="F14225" s="18"/>
    </row>
    <row r="14226" spans="5:6" ht="15" customHeight="1" x14ac:dyDescent="0.2">
      <c r="E14226" s="18"/>
      <c r="F14226" s="18"/>
    </row>
    <row r="14227" spans="5:6" ht="15" customHeight="1" x14ac:dyDescent="0.2">
      <c r="E14227" s="18"/>
      <c r="F14227" s="18"/>
    </row>
    <row r="14228" spans="5:6" ht="15" customHeight="1" x14ac:dyDescent="0.2">
      <c r="E14228" s="18"/>
      <c r="F14228" s="18"/>
    </row>
    <row r="14229" spans="5:6" ht="15" customHeight="1" x14ac:dyDescent="0.2">
      <c r="E14229" s="18"/>
      <c r="F14229" s="18"/>
    </row>
    <row r="14230" spans="5:6" ht="15" customHeight="1" x14ac:dyDescent="0.2">
      <c r="E14230" s="18"/>
      <c r="F14230" s="18"/>
    </row>
    <row r="14231" spans="5:6" ht="15" customHeight="1" x14ac:dyDescent="0.2">
      <c r="E14231" s="18"/>
      <c r="F14231" s="18"/>
    </row>
    <row r="14232" spans="5:6" ht="15" customHeight="1" x14ac:dyDescent="0.2">
      <c r="E14232" s="18"/>
      <c r="F14232" s="18"/>
    </row>
    <row r="14233" spans="5:6" ht="15" customHeight="1" x14ac:dyDescent="0.2">
      <c r="E14233" s="18"/>
      <c r="F14233" s="18"/>
    </row>
    <row r="14234" spans="5:6" ht="15" customHeight="1" x14ac:dyDescent="0.2">
      <c r="E14234" s="18"/>
      <c r="F14234" s="18"/>
    </row>
    <row r="14235" spans="5:6" ht="15" customHeight="1" x14ac:dyDescent="0.2">
      <c r="E14235" s="18"/>
      <c r="F14235" s="18"/>
    </row>
    <row r="14236" spans="5:6" ht="15" customHeight="1" x14ac:dyDescent="0.2">
      <c r="E14236" s="18"/>
      <c r="F14236" s="18"/>
    </row>
    <row r="14237" spans="5:6" ht="15" customHeight="1" x14ac:dyDescent="0.2">
      <c r="E14237" s="18"/>
      <c r="F14237" s="18"/>
    </row>
    <row r="14238" spans="5:6" ht="15" customHeight="1" x14ac:dyDescent="0.2">
      <c r="E14238" s="18"/>
      <c r="F14238" s="18"/>
    </row>
    <row r="14239" spans="5:6" ht="15" customHeight="1" x14ac:dyDescent="0.2">
      <c r="E14239" s="18"/>
      <c r="F14239" s="18"/>
    </row>
    <row r="14240" spans="5:6" ht="15" customHeight="1" x14ac:dyDescent="0.2">
      <c r="E14240" s="18"/>
      <c r="F14240" s="18"/>
    </row>
    <row r="14241" spans="5:6" ht="15" customHeight="1" x14ac:dyDescent="0.2">
      <c r="E14241" s="18"/>
      <c r="F14241" s="18"/>
    </row>
    <row r="14242" spans="5:6" ht="15" customHeight="1" x14ac:dyDescent="0.2">
      <c r="E14242" s="18"/>
      <c r="F14242" s="18"/>
    </row>
    <row r="14243" spans="5:6" ht="15" customHeight="1" x14ac:dyDescent="0.2">
      <c r="E14243" s="18"/>
      <c r="F14243" s="18"/>
    </row>
    <row r="14244" spans="5:6" ht="15" customHeight="1" x14ac:dyDescent="0.2">
      <c r="E14244" s="18"/>
      <c r="F14244" s="18"/>
    </row>
    <row r="14245" spans="5:6" ht="15" customHeight="1" x14ac:dyDescent="0.2">
      <c r="E14245" s="18"/>
      <c r="F14245" s="18"/>
    </row>
    <row r="14246" spans="5:6" ht="15" customHeight="1" x14ac:dyDescent="0.2">
      <c r="E14246" s="18"/>
      <c r="F14246" s="18"/>
    </row>
    <row r="14247" spans="5:6" ht="15" customHeight="1" x14ac:dyDescent="0.2">
      <c r="E14247" s="18"/>
      <c r="F14247" s="18"/>
    </row>
    <row r="14248" spans="5:6" ht="15" customHeight="1" x14ac:dyDescent="0.2">
      <c r="E14248" s="18"/>
      <c r="F14248" s="18"/>
    </row>
    <row r="14249" spans="5:6" ht="15" customHeight="1" x14ac:dyDescent="0.2">
      <c r="E14249" s="18"/>
      <c r="F14249" s="18"/>
    </row>
    <row r="14250" spans="5:6" ht="15" customHeight="1" x14ac:dyDescent="0.2">
      <c r="E14250" s="18"/>
      <c r="F14250" s="18"/>
    </row>
    <row r="14251" spans="5:6" ht="15" customHeight="1" x14ac:dyDescent="0.2">
      <c r="E14251" s="18"/>
      <c r="F14251" s="18"/>
    </row>
    <row r="14252" spans="5:6" ht="15" customHeight="1" x14ac:dyDescent="0.2">
      <c r="E14252" s="18"/>
      <c r="F14252" s="18"/>
    </row>
    <row r="14253" spans="5:6" ht="15" customHeight="1" x14ac:dyDescent="0.2">
      <c r="E14253" s="18"/>
      <c r="F14253" s="18"/>
    </row>
    <row r="14254" spans="5:6" ht="15" customHeight="1" x14ac:dyDescent="0.2">
      <c r="E14254" s="18"/>
      <c r="F14254" s="18"/>
    </row>
    <row r="14255" spans="5:6" ht="15" customHeight="1" x14ac:dyDescent="0.2">
      <c r="E14255" s="18"/>
      <c r="F14255" s="18"/>
    </row>
    <row r="14256" spans="5:6" ht="15" customHeight="1" x14ac:dyDescent="0.2">
      <c r="E14256" s="18"/>
      <c r="F14256" s="18"/>
    </row>
    <row r="14257" spans="5:6" ht="15" customHeight="1" x14ac:dyDescent="0.2">
      <c r="E14257" s="18"/>
      <c r="F14257" s="18"/>
    </row>
    <row r="14258" spans="5:6" ht="15" customHeight="1" x14ac:dyDescent="0.2">
      <c r="E14258" s="18"/>
      <c r="F14258" s="18"/>
    </row>
    <row r="14259" spans="5:6" ht="15" customHeight="1" x14ac:dyDescent="0.2">
      <c r="E14259" s="18"/>
      <c r="F14259" s="18"/>
    </row>
    <row r="14260" spans="5:6" ht="15" customHeight="1" x14ac:dyDescent="0.2">
      <c r="E14260" s="18"/>
      <c r="F14260" s="18"/>
    </row>
    <row r="14261" spans="5:6" ht="15" customHeight="1" x14ac:dyDescent="0.2">
      <c r="E14261" s="18"/>
      <c r="F14261" s="18"/>
    </row>
    <row r="14262" spans="5:6" ht="15" customHeight="1" x14ac:dyDescent="0.2">
      <c r="E14262" s="18"/>
      <c r="F14262" s="18"/>
    </row>
    <row r="14263" spans="5:6" ht="15" customHeight="1" x14ac:dyDescent="0.2">
      <c r="E14263" s="18"/>
      <c r="F14263" s="18"/>
    </row>
    <row r="14264" spans="5:6" ht="15" customHeight="1" x14ac:dyDescent="0.2">
      <c r="E14264" s="18"/>
      <c r="F14264" s="18"/>
    </row>
    <row r="14265" spans="5:6" ht="15" customHeight="1" x14ac:dyDescent="0.2">
      <c r="E14265" s="18"/>
      <c r="F14265" s="18"/>
    </row>
    <row r="14266" spans="5:6" ht="15" customHeight="1" x14ac:dyDescent="0.2">
      <c r="E14266" s="18"/>
      <c r="F14266" s="18"/>
    </row>
    <row r="14267" spans="5:6" ht="15" customHeight="1" x14ac:dyDescent="0.2">
      <c r="E14267" s="18"/>
      <c r="F14267" s="18"/>
    </row>
    <row r="14268" spans="5:6" ht="15" customHeight="1" x14ac:dyDescent="0.2">
      <c r="E14268" s="18"/>
      <c r="F14268" s="18"/>
    </row>
    <row r="14269" spans="5:6" ht="15" customHeight="1" x14ac:dyDescent="0.2">
      <c r="E14269" s="18"/>
      <c r="F14269" s="18"/>
    </row>
    <row r="14270" spans="5:6" ht="15" customHeight="1" x14ac:dyDescent="0.2">
      <c r="E14270" s="18"/>
      <c r="F14270" s="18"/>
    </row>
    <row r="14271" spans="5:6" ht="15" customHeight="1" x14ac:dyDescent="0.2">
      <c r="E14271" s="18"/>
      <c r="F14271" s="18"/>
    </row>
    <row r="14272" spans="5:6" ht="15" customHeight="1" x14ac:dyDescent="0.2">
      <c r="E14272" s="18"/>
      <c r="F14272" s="18"/>
    </row>
    <row r="14273" spans="5:6" ht="15" customHeight="1" x14ac:dyDescent="0.2">
      <c r="E14273" s="18"/>
      <c r="F14273" s="18"/>
    </row>
    <row r="14274" spans="5:6" ht="15" customHeight="1" x14ac:dyDescent="0.2">
      <c r="E14274" s="18"/>
      <c r="F14274" s="18"/>
    </row>
    <row r="14275" spans="5:6" ht="15" customHeight="1" x14ac:dyDescent="0.2">
      <c r="E14275" s="18"/>
      <c r="F14275" s="18"/>
    </row>
    <row r="14276" spans="5:6" ht="15" customHeight="1" x14ac:dyDescent="0.2">
      <c r="E14276" s="18"/>
      <c r="F14276" s="18"/>
    </row>
    <row r="14277" spans="5:6" ht="15" customHeight="1" x14ac:dyDescent="0.2">
      <c r="E14277" s="18"/>
      <c r="F14277" s="18"/>
    </row>
    <row r="14278" spans="5:6" ht="15" customHeight="1" x14ac:dyDescent="0.2">
      <c r="E14278" s="18"/>
      <c r="F14278" s="18"/>
    </row>
    <row r="14279" spans="5:6" ht="15" customHeight="1" x14ac:dyDescent="0.2">
      <c r="E14279" s="18"/>
      <c r="F14279" s="18"/>
    </row>
    <row r="14280" spans="5:6" ht="15" customHeight="1" x14ac:dyDescent="0.2">
      <c r="E14280" s="18"/>
      <c r="F14280" s="18"/>
    </row>
    <row r="14281" spans="5:6" ht="15" customHeight="1" x14ac:dyDescent="0.2">
      <c r="E14281" s="18"/>
      <c r="F14281" s="18"/>
    </row>
    <row r="14282" spans="5:6" ht="15" customHeight="1" x14ac:dyDescent="0.2">
      <c r="E14282" s="18"/>
      <c r="F14282" s="18"/>
    </row>
    <row r="14283" spans="5:6" ht="15" customHeight="1" x14ac:dyDescent="0.2">
      <c r="E14283" s="18"/>
      <c r="F14283" s="18"/>
    </row>
    <row r="14284" spans="5:6" ht="15" customHeight="1" x14ac:dyDescent="0.2">
      <c r="E14284" s="18"/>
      <c r="F14284" s="18"/>
    </row>
    <row r="14285" spans="5:6" ht="15" customHeight="1" x14ac:dyDescent="0.2">
      <c r="E14285" s="18"/>
      <c r="F14285" s="18"/>
    </row>
    <row r="14286" spans="5:6" ht="15" customHeight="1" x14ac:dyDescent="0.2">
      <c r="E14286" s="18"/>
      <c r="F14286" s="18"/>
    </row>
    <row r="14287" spans="5:6" ht="15" customHeight="1" x14ac:dyDescent="0.2">
      <c r="E14287" s="18"/>
      <c r="F14287" s="18"/>
    </row>
    <row r="14288" spans="5:6" ht="15" customHeight="1" x14ac:dyDescent="0.2">
      <c r="E14288" s="18"/>
      <c r="F14288" s="18"/>
    </row>
    <row r="14289" spans="5:6" ht="15" customHeight="1" x14ac:dyDescent="0.2">
      <c r="E14289" s="18"/>
      <c r="F14289" s="18"/>
    </row>
    <row r="14290" spans="5:6" ht="15" customHeight="1" x14ac:dyDescent="0.2">
      <c r="E14290" s="18"/>
      <c r="F14290" s="18"/>
    </row>
    <row r="14291" spans="5:6" ht="15" customHeight="1" x14ac:dyDescent="0.2">
      <c r="E14291" s="18"/>
      <c r="F14291" s="18"/>
    </row>
    <row r="14292" spans="5:6" ht="15" customHeight="1" x14ac:dyDescent="0.2">
      <c r="E14292" s="18"/>
      <c r="F14292" s="18"/>
    </row>
    <row r="14293" spans="5:6" ht="15" customHeight="1" x14ac:dyDescent="0.2">
      <c r="E14293" s="18"/>
      <c r="F14293" s="18"/>
    </row>
    <row r="14294" spans="5:6" ht="15" customHeight="1" x14ac:dyDescent="0.2">
      <c r="E14294" s="18"/>
      <c r="F14294" s="18"/>
    </row>
    <row r="14295" spans="5:6" ht="15" customHeight="1" x14ac:dyDescent="0.2">
      <c r="E14295" s="18"/>
      <c r="F14295" s="18"/>
    </row>
    <row r="14296" spans="5:6" ht="15" customHeight="1" x14ac:dyDescent="0.2">
      <c r="E14296" s="18"/>
      <c r="F14296" s="18"/>
    </row>
    <row r="14297" spans="5:6" ht="15" customHeight="1" x14ac:dyDescent="0.2">
      <c r="E14297" s="18"/>
      <c r="F14297" s="18"/>
    </row>
    <row r="14298" spans="5:6" ht="15" customHeight="1" x14ac:dyDescent="0.2">
      <c r="E14298" s="18"/>
      <c r="F14298" s="18"/>
    </row>
    <row r="14299" spans="5:6" ht="15" customHeight="1" x14ac:dyDescent="0.2">
      <c r="E14299" s="18"/>
      <c r="F14299" s="18"/>
    </row>
    <row r="14300" spans="5:6" ht="15" customHeight="1" x14ac:dyDescent="0.2">
      <c r="E14300" s="18"/>
      <c r="F14300" s="18"/>
    </row>
    <row r="14301" spans="5:6" ht="15" customHeight="1" x14ac:dyDescent="0.2">
      <c r="E14301" s="18"/>
      <c r="F14301" s="18"/>
    </row>
    <row r="14302" spans="5:6" ht="15" customHeight="1" x14ac:dyDescent="0.2">
      <c r="E14302" s="18"/>
      <c r="F14302" s="18"/>
    </row>
    <row r="14303" spans="5:6" ht="15" customHeight="1" x14ac:dyDescent="0.2">
      <c r="E14303" s="18"/>
      <c r="F14303" s="18"/>
    </row>
    <row r="14304" spans="5:6" ht="15" customHeight="1" x14ac:dyDescent="0.2">
      <c r="E14304" s="18"/>
      <c r="F14304" s="18"/>
    </row>
    <row r="14305" spans="5:6" ht="15" customHeight="1" x14ac:dyDescent="0.2">
      <c r="E14305" s="18"/>
      <c r="F14305" s="18"/>
    </row>
    <row r="14306" spans="5:6" ht="15" customHeight="1" x14ac:dyDescent="0.2">
      <c r="E14306" s="18"/>
      <c r="F14306" s="18"/>
    </row>
    <row r="14307" spans="5:6" ht="15" customHeight="1" x14ac:dyDescent="0.2">
      <c r="E14307" s="18"/>
      <c r="F14307" s="18"/>
    </row>
    <row r="14308" spans="5:6" ht="15" customHeight="1" x14ac:dyDescent="0.2">
      <c r="E14308" s="18"/>
      <c r="F14308" s="18"/>
    </row>
    <row r="14309" spans="5:6" ht="15" customHeight="1" x14ac:dyDescent="0.2">
      <c r="E14309" s="18"/>
      <c r="F14309" s="18"/>
    </row>
    <row r="14310" spans="5:6" ht="15" customHeight="1" x14ac:dyDescent="0.2">
      <c r="E14310" s="18"/>
      <c r="F14310" s="18"/>
    </row>
    <row r="14311" spans="5:6" ht="15" customHeight="1" x14ac:dyDescent="0.2">
      <c r="E14311" s="18"/>
      <c r="F14311" s="18"/>
    </row>
    <row r="14312" spans="5:6" ht="15" customHeight="1" x14ac:dyDescent="0.2">
      <c r="E14312" s="18"/>
      <c r="F14312" s="18"/>
    </row>
    <row r="14313" spans="5:6" ht="15" customHeight="1" x14ac:dyDescent="0.2">
      <c r="E14313" s="18"/>
      <c r="F14313" s="18"/>
    </row>
    <row r="14314" spans="5:6" ht="15" customHeight="1" x14ac:dyDescent="0.2">
      <c r="E14314" s="18"/>
      <c r="F14314" s="18"/>
    </row>
    <row r="14315" spans="5:6" ht="15" customHeight="1" x14ac:dyDescent="0.2">
      <c r="E14315" s="18"/>
      <c r="F14315" s="18"/>
    </row>
    <row r="14316" spans="5:6" ht="15" customHeight="1" x14ac:dyDescent="0.2">
      <c r="E14316" s="18"/>
      <c r="F14316" s="18"/>
    </row>
    <row r="14317" spans="5:6" ht="15" customHeight="1" x14ac:dyDescent="0.2">
      <c r="E14317" s="18"/>
      <c r="F14317" s="18"/>
    </row>
    <row r="14318" spans="5:6" ht="15" customHeight="1" x14ac:dyDescent="0.2">
      <c r="E14318" s="18"/>
      <c r="F14318" s="18"/>
    </row>
    <row r="14319" spans="5:6" ht="15" customHeight="1" x14ac:dyDescent="0.2">
      <c r="E14319" s="18"/>
      <c r="F14319" s="18"/>
    </row>
    <row r="14320" spans="5:6" ht="15" customHeight="1" x14ac:dyDescent="0.2">
      <c r="E14320" s="18"/>
      <c r="F14320" s="18"/>
    </row>
    <row r="14321" spans="5:6" ht="15" customHeight="1" x14ac:dyDescent="0.2">
      <c r="E14321" s="18"/>
      <c r="F14321" s="18"/>
    </row>
    <row r="14322" spans="5:6" ht="15" customHeight="1" x14ac:dyDescent="0.2">
      <c r="E14322" s="18"/>
      <c r="F14322" s="18"/>
    </row>
    <row r="14323" spans="5:6" ht="15" customHeight="1" x14ac:dyDescent="0.2">
      <c r="E14323" s="18"/>
      <c r="F14323" s="18"/>
    </row>
    <row r="14324" spans="5:6" ht="15" customHeight="1" x14ac:dyDescent="0.2">
      <c r="E14324" s="18"/>
      <c r="F14324" s="18"/>
    </row>
    <row r="14325" spans="5:6" ht="15" customHeight="1" x14ac:dyDescent="0.2">
      <c r="E14325" s="18"/>
      <c r="F14325" s="18"/>
    </row>
    <row r="14326" spans="5:6" ht="15" customHeight="1" x14ac:dyDescent="0.2">
      <c r="E14326" s="18"/>
      <c r="F14326" s="18"/>
    </row>
    <row r="14327" spans="5:6" ht="15" customHeight="1" x14ac:dyDescent="0.2">
      <c r="E14327" s="18"/>
      <c r="F14327" s="18"/>
    </row>
    <row r="14328" spans="5:6" ht="15" customHeight="1" x14ac:dyDescent="0.2">
      <c r="E14328" s="18"/>
      <c r="F14328" s="18"/>
    </row>
    <row r="14329" spans="5:6" ht="15" customHeight="1" x14ac:dyDescent="0.2">
      <c r="E14329" s="18"/>
      <c r="F14329" s="18"/>
    </row>
    <row r="14330" spans="5:6" ht="15" customHeight="1" x14ac:dyDescent="0.2">
      <c r="E14330" s="18"/>
      <c r="F14330" s="18"/>
    </row>
    <row r="14331" spans="5:6" ht="15" customHeight="1" x14ac:dyDescent="0.2">
      <c r="E14331" s="18"/>
      <c r="F14331" s="18"/>
    </row>
    <row r="14332" spans="5:6" ht="15" customHeight="1" x14ac:dyDescent="0.2">
      <c r="E14332" s="18"/>
      <c r="F14332" s="18"/>
    </row>
    <row r="14333" spans="5:6" ht="15" customHeight="1" x14ac:dyDescent="0.2">
      <c r="E14333" s="18"/>
      <c r="F14333" s="18"/>
    </row>
    <row r="14334" spans="5:6" ht="15" customHeight="1" x14ac:dyDescent="0.2">
      <c r="E14334" s="18"/>
      <c r="F14334" s="18"/>
    </row>
    <row r="14335" spans="5:6" ht="15" customHeight="1" x14ac:dyDescent="0.2">
      <c r="E14335" s="18"/>
      <c r="F14335" s="18"/>
    </row>
    <row r="14336" spans="5:6" ht="15" customHeight="1" x14ac:dyDescent="0.2">
      <c r="E14336" s="18"/>
      <c r="F14336" s="18"/>
    </row>
    <row r="14337" spans="5:6" ht="15" customHeight="1" x14ac:dyDescent="0.2">
      <c r="E14337" s="18"/>
      <c r="F14337" s="18"/>
    </row>
    <row r="14338" spans="5:6" ht="15" customHeight="1" x14ac:dyDescent="0.2">
      <c r="E14338" s="18"/>
      <c r="F14338" s="18"/>
    </row>
    <row r="14339" spans="5:6" ht="15" customHeight="1" x14ac:dyDescent="0.2">
      <c r="E14339" s="18"/>
      <c r="F14339" s="18"/>
    </row>
    <row r="14340" spans="5:6" ht="15" customHeight="1" x14ac:dyDescent="0.2">
      <c r="E14340" s="18"/>
      <c r="F14340" s="18"/>
    </row>
    <row r="14341" spans="5:6" ht="15" customHeight="1" x14ac:dyDescent="0.2">
      <c r="E14341" s="18"/>
      <c r="F14341" s="18"/>
    </row>
    <row r="14342" spans="5:6" ht="15" customHeight="1" x14ac:dyDescent="0.2">
      <c r="E14342" s="18"/>
      <c r="F14342" s="18"/>
    </row>
    <row r="14343" spans="5:6" ht="15" customHeight="1" x14ac:dyDescent="0.2">
      <c r="E14343" s="18"/>
      <c r="F14343" s="18"/>
    </row>
    <row r="14344" spans="5:6" ht="15" customHeight="1" x14ac:dyDescent="0.2">
      <c r="E14344" s="18"/>
      <c r="F14344" s="18"/>
    </row>
    <row r="14345" spans="5:6" ht="15" customHeight="1" x14ac:dyDescent="0.2">
      <c r="E14345" s="18"/>
      <c r="F14345" s="18"/>
    </row>
    <row r="14346" spans="5:6" ht="15" customHeight="1" x14ac:dyDescent="0.2">
      <c r="E14346" s="18"/>
      <c r="F14346" s="18"/>
    </row>
    <row r="14347" spans="5:6" ht="15" customHeight="1" x14ac:dyDescent="0.2">
      <c r="E14347" s="18"/>
      <c r="F14347" s="18"/>
    </row>
    <row r="14348" spans="5:6" ht="15" customHeight="1" x14ac:dyDescent="0.2">
      <c r="E14348" s="18"/>
      <c r="F14348" s="18"/>
    </row>
    <row r="14349" spans="5:6" ht="15" customHeight="1" x14ac:dyDescent="0.2">
      <c r="E14349" s="18"/>
      <c r="F14349" s="18"/>
    </row>
    <row r="14350" spans="5:6" ht="15" customHeight="1" x14ac:dyDescent="0.2">
      <c r="E14350" s="18"/>
      <c r="F14350" s="18"/>
    </row>
    <row r="14351" spans="5:6" ht="15" customHeight="1" x14ac:dyDescent="0.2">
      <c r="E14351" s="18"/>
      <c r="F14351" s="18"/>
    </row>
    <row r="14352" spans="5:6" ht="15" customHeight="1" x14ac:dyDescent="0.2">
      <c r="E14352" s="18"/>
      <c r="F14352" s="18"/>
    </row>
    <row r="14353" spans="5:6" ht="15" customHeight="1" x14ac:dyDescent="0.2">
      <c r="E14353" s="18"/>
      <c r="F14353" s="18"/>
    </row>
    <row r="14354" spans="5:6" ht="15" customHeight="1" x14ac:dyDescent="0.2">
      <c r="E14354" s="18"/>
      <c r="F14354" s="18"/>
    </row>
    <row r="14355" spans="5:6" ht="15" customHeight="1" x14ac:dyDescent="0.2">
      <c r="E14355" s="18"/>
      <c r="F14355" s="18"/>
    </row>
    <row r="14356" spans="5:6" ht="15" customHeight="1" x14ac:dyDescent="0.2">
      <c r="E14356" s="18"/>
      <c r="F14356" s="18"/>
    </row>
    <row r="14357" spans="5:6" ht="15" customHeight="1" x14ac:dyDescent="0.2">
      <c r="E14357" s="18"/>
      <c r="F14357" s="18"/>
    </row>
    <row r="14358" spans="5:6" ht="15" customHeight="1" x14ac:dyDescent="0.2">
      <c r="E14358" s="18"/>
      <c r="F14358" s="18"/>
    </row>
    <row r="14359" spans="5:6" ht="15" customHeight="1" x14ac:dyDescent="0.2">
      <c r="E14359" s="18"/>
      <c r="F14359" s="18"/>
    </row>
    <row r="14360" spans="5:6" ht="15" customHeight="1" x14ac:dyDescent="0.2">
      <c r="E14360" s="18"/>
      <c r="F14360" s="18"/>
    </row>
    <row r="14361" spans="5:6" ht="15" customHeight="1" x14ac:dyDescent="0.2">
      <c r="E14361" s="18"/>
      <c r="F14361" s="18"/>
    </row>
    <row r="14362" spans="5:6" ht="15" customHeight="1" x14ac:dyDescent="0.2">
      <c r="E14362" s="18"/>
      <c r="F14362" s="18"/>
    </row>
    <row r="14363" spans="5:6" ht="15" customHeight="1" x14ac:dyDescent="0.2">
      <c r="E14363" s="18"/>
      <c r="F14363" s="18"/>
    </row>
    <row r="14364" spans="5:6" ht="15" customHeight="1" x14ac:dyDescent="0.2">
      <c r="E14364" s="18"/>
      <c r="F14364" s="18"/>
    </row>
    <row r="14365" spans="5:6" ht="15" customHeight="1" x14ac:dyDescent="0.2">
      <c r="E14365" s="18"/>
      <c r="F14365" s="18"/>
    </row>
    <row r="14366" spans="5:6" ht="15" customHeight="1" x14ac:dyDescent="0.2">
      <c r="E14366" s="18"/>
      <c r="F14366" s="18"/>
    </row>
    <row r="14367" spans="5:6" ht="15" customHeight="1" x14ac:dyDescent="0.2">
      <c r="E14367" s="18"/>
      <c r="F14367" s="18"/>
    </row>
    <row r="14368" spans="5:6" ht="15" customHeight="1" x14ac:dyDescent="0.2">
      <c r="E14368" s="18"/>
      <c r="F14368" s="18"/>
    </row>
    <row r="14369" spans="5:6" ht="15" customHeight="1" x14ac:dyDescent="0.2">
      <c r="E14369" s="18"/>
      <c r="F14369" s="18"/>
    </row>
    <row r="14370" spans="5:6" ht="15" customHeight="1" x14ac:dyDescent="0.2">
      <c r="E14370" s="18"/>
      <c r="F14370" s="18"/>
    </row>
    <row r="14371" spans="5:6" ht="15" customHeight="1" x14ac:dyDescent="0.2">
      <c r="E14371" s="18"/>
      <c r="F14371" s="18"/>
    </row>
    <row r="14372" spans="5:6" ht="15" customHeight="1" x14ac:dyDescent="0.2">
      <c r="E14372" s="18"/>
      <c r="F14372" s="18"/>
    </row>
    <row r="14373" spans="5:6" ht="15" customHeight="1" x14ac:dyDescent="0.2">
      <c r="E14373" s="18"/>
      <c r="F14373" s="18"/>
    </row>
    <row r="14374" spans="5:6" ht="15" customHeight="1" x14ac:dyDescent="0.2">
      <c r="E14374" s="18"/>
      <c r="F14374" s="18"/>
    </row>
    <row r="14375" spans="5:6" ht="15" customHeight="1" x14ac:dyDescent="0.2">
      <c r="E14375" s="18"/>
      <c r="F14375" s="18"/>
    </row>
    <row r="14376" spans="5:6" ht="15" customHeight="1" x14ac:dyDescent="0.2">
      <c r="E14376" s="18"/>
      <c r="F14376" s="18"/>
    </row>
    <row r="14377" spans="5:6" ht="15" customHeight="1" x14ac:dyDescent="0.2">
      <c r="E14377" s="18"/>
      <c r="F14377" s="18"/>
    </row>
    <row r="14378" spans="5:6" ht="15" customHeight="1" x14ac:dyDescent="0.2">
      <c r="E14378" s="18"/>
      <c r="F14378" s="18"/>
    </row>
    <row r="14379" spans="5:6" ht="15" customHeight="1" x14ac:dyDescent="0.2">
      <c r="E14379" s="18"/>
      <c r="F14379" s="18"/>
    </row>
    <row r="14380" spans="5:6" ht="15" customHeight="1" x14ac:dyDescent="0.2">
      <c r="E14380" s="18"/>
      <c r="F14380" s="18"/>
    </row>
    <row r="14381" spans="5:6" ht="15" customHeight="1" x14ac:dyDescent="0.2">
      <c r="E14381" s="18"/>
      <c r="F14381" s="18"/>
    </row>
    <row r="14382" spans="5:6" ht="15" customHeight="1" x14ac:dyDescent="0.2">
      <c r="E14382" s="18"/>
      <c r="F14382" s="18"/>
    </row>
    <row r="14383" spans="5:6" ht="15" customHeight="1" x14ac:dyDescent="0.2">
      <c r="E14383" s="18"/>
      <c r="F14383" s="18"/>
    </row>
    <row r="14384" spans="5:6" ht="15" customHeight="1" x14ac:dyDescent="0.2">
      <c r="E14384" s="18"/>
      <c r="F14384" s="18"/>
    </row>
    <row r="14385" spans="5:6" ht="15" customHeight="1" x14ac:dyDescent="0.2">
      <c r="E14385" s="18"/>
      <c r="F14385" s="18"/>
    </row>
    <row r="14386" spans="5:6" ht="15" customHeight="1" x14ac:dyDescent="0.2">
      <c r="E14386" s="18"/>
      <c r="F14386" s="18"/>
    </row>
    <row r="14387" spans="5:6" ht="15" customHeight="1" x14ac:dyDescent="0.2">
      <c r="E14387" s="18"/>
      <c r="F14387" s="18"/>
    </row>
    <row r="14388" spans="5:6" ht="15" customHeight="1" x14ac:dyDescent="0.2">
      <c r="E14388" s="18"/>
      <c r="F14388" s="18"/>
    </row>
    <row r="14389" spans="5:6" ht="15" customHeight="1" x14ac:dyDescent="0.2">
      <c r="E14389" s="18"/>
      <c r="F14389" s="18"/>
    </row>
    <row r="14390" spans="5:6" ht="15" customHeight="1" x14ac:dyDescent="0.2">
      <c r="E14390" s="18"/>
      <c r="F14390" s="18"/>
    </row>
    <row r="14391" spans="5:6" ht="15" customHeight="1" x14ac:dyDescent="0.2">
      <c r="E14391" s="18"/>
      <c r="F14391" s="18"/>
    </row>
    <row r="14392" spans="5:6" ht="15" customHeight="1" x14ac:dyDescent="0.2">
      <c r="E14392" s="18"/>
      <c r="F14392" s="18"/>
    </row>
    <row r="14393" spans="5:6" ht="15" customHeight="1" x14ac:dyDescent="0.2">
      <c r="E14393" s="18"/>
      <c r="F14393" s="18"/>
    </row>
    <row r="14394" spans="5:6" ht="15" customHeight="1" x14ac:dyDescent="0.2">
      <c r="E14394" s="18"/>
      <c r="F14394" s="18"/>
    </row>
    <row r="14395" spans="5:6" ht="15" customHeight="1" x14ac:dyDescent="0.2">
      <c r="E14395" s="18"/>
      <c r="F14395" s="18"/>
    </row>
    <row r="14396" spans="5:6" ht="15" customHeight="1" x14ac:dyDescent="0.2">
      <c r="E14396" s="18"/>
      <c r="F14396" s="18"/>
    </row>
    <row r="14397" spans="5:6" ht="15" customHeight="1" x14ac:dyDescent="0.2">
      <c r="E14397" s="18"/>
      <c r="F14397" s="18"/>
    </row>
    <row r="14398" spans="5:6" ht="15" customHeight="1" x14ac:dyDescent="0.2">
      <c r="E14398" s="18"/>
      <c r="F14398" s="18"/>
    </row>
    <row r="14399" spans="5:6" ht="15" customHeight="1" x14ac:dyDescent="0.2">
      <c r="E14399" s="18"/>
      <c r="F14399" s="18"/>
    </row>
    <row r="14400" spans="5:6" ht="15" customHeight="1" x14ac:dyDescent="0.2">
      <c r="E14400" s="18"/>
      <c r="F14400" s="18"/>
    </row>
    <row r="14401" spans="5:6" ht="15" customHeight="1" x14ac:dyDescent="0.2">
      <c r="E14401" s="18"/>
      <c r="F14401" s="18"/>
    </row>
    <row r="14402" spans="5:6" ht="15" customHeight="1" x14ac:dyDescent="0.2">
      <c r="E14402" s="18"/>
      <c r="F14402" s="18"/>
    </row>
    <row r="14403" spans="5:6" ht="15" customHeight="1" x14ac:dyDescent="0.2">
      <c r="E14403" s="18"/>
      <c r="F14403" s="18"/>
    </row>
    <row r="14404" spans="5:6" ht="15" customHeight="1" x14ac:dyDescent="0.2">
      <c r="E14404" s="18"/>
      <c r="F14404" s="18"/>
    </row>
    <row r="14405" spans="5:6" ht="15" customHeight="1" x14ac:dyDescent="0.2">
      <c r="E14405" s="18"/>
      <c r="F14405" s="18"/>
    </row>
    <row r="14406" spans="5:6" ht="15" customHeight="1" x14ac:dyDescent="0.2">
      <c r="E14406" s="18"/>
      <c r="F14406" s="18"/>
    </row>
    <row r="14407" spans="5:6" ht="15" customHeight="1" x14ac:dyDescent="0.2">
      <c r="E14407" s="18"/>
      <c r="F14407" s="18"/>
    </row>
    <row r="14408" spans="5:6" ht="15" customHeight="1" x14ac:dyDescent="0.2">
      <c r="E14408" s="18"/>
      <c r="F14408" s="18"/>
    </row>
    <row r="14409" spans="5:6" ht="15" customHeight="1" x14ac:dyDescent="0.2">
      <c r="E14409" s="18"/>
      <c r="F14409" s="18"/>
    </row>
    <row r="14410" spans="5:6" ht="15" customHeight="1" x14ac:dyDescent="0.2">
      <c r="E14410" s="18"/>
      <c r="F14410" s="18"/>
    </row>
    <row r="14411" spans="5:6" ht="15" customHeight="1" x14ac:dyDescent="0.2">
      <c r="E14411" s="18"/>
      <c r="F14411" s="18"/>
    </row>
    <row r="14412" spans="5:6" ht="15" customHeight="1" x14ac:dyDescent="0.2">
      <c r="E14412" s="18"/>
      <c r="F14412" s="18"/>
    </row>
    <row r="14413" spans="5:6" ht="15" customHeight="1" x14ac:dyDescent="0.2">
      <c r="E14413" s="18"/>
      <c r="F14413" s="18"/>
    </row>
    <row r="14414" spans="5:6" ht="15" customHeight="1" x14ac:dyDescent="0.2">
      <c r="E14414" s="18"/>
      <c r="F14414" s="18"/>
    </row>
    <row r="14415" spans="5:6" ht="15" customHeight="1" x14ac:dyDescent="0.2">
      <c r="E14415" s="18"/>
      <c r="F14415" s="18"/>
    </row>
    <row r="14416" spans="5:6" ht="15" customHeight="1" x14ac:dyDescent="0.2">
      <c r="E14416" s="18"/>
      <c r="F14416" s="18"/>
    </row>
    <row r="14417" spans="5:6" ht="15" customHeight="1" x14ac:dyDescent="0.2">
      <c r="E14417" s="18"/>
      <c r="F14417" s="18"/>
    </row>
    <row r="14418" spans="5:6" ht="15" customHeight="1" x14ac:dyDescent="0.2">
      <c r="E14418" s="18"/>
      <c r="F14418" s="18"/>
    </row>
    <row r="14419" spans="5:6" ht="15" customHeight="1" x14ac:dyDescent="0.2">
      <c r="E14419" s="18"/>
      <c r="F14419" s="18"/>
    </row>
    <row r="14420" spans="5:6" ht="15" customHeight="1" x14ac:dyDescent="0.2">
      <c r="E14420" s="18"/>
      <c r="F14420" s="18"/>
    </row>
    <row r="14421" spans="5:6" ht="15" customHeight="1" x14ac:dyDescent="0.2">
      <c r="E14421" s="18"/>
      <c r="F14421" s="18"/>
    </row>
    <row r="14422" spans="5:6" ht="15" customHeight="1" x14ac:dyDescent="0.2">
      <c r="E14422" s="18"/>
      <c r="F14422" s="18"/>
    </row>
    <row r="14423" spans="5:6" ht="15" customHeight="1" x14ac:dyDescent="0.2">
      <c r="E14423" s="18"/>
      <c r="F14423" s="18"/>
    </row>
    <row r="14424" spans="5:6" ht="15" customHeight="1" x14ac:dyDescent="0.2">
      <c r="E14424" s="18"/>
      <c r="F14424" s="18"/>
    </row>
    <row r="14425" spans="5:6" ht="15" customHeight="1" x14ac:dyDescent="0.2">
      <c r="E14425" s="18"/>
      <c r="F14425" s="18"/>
    </row>
    <row r="14426" spans="5:6" ht="15" customHeight="1" x14ac:dyDescent="0.2">
      <c r="E14426" s="18"/>
      <c r="F14426" s="18"/>
    </row>
    <row r="14427" spans="5:6" ht="15" customHeight="1" x14ac:dyDescent="0.2">
      <c r="E14427" s="18"/>
      <c r="F14427" s="18"/>
    </row>
    <row r="14428" spans="5:6" ht="15" customHeight="1" x14ac:dyDescent="0.2">
      <c r="E14428" s="18"/>
      <c r="F14428" s="18"/>
    </row>
    <row r="14429" spans="5:6" ht="15" customHeight="1" x14ac:dyDescent="0.2">
      <c r="E14429" s="18"/>
      <c r="F14429" s="18"/>
    </row>
    <row r="14430" spans="5:6" ht="15" customHeight="1" x14ac:dyDescent="0.2">
      <c r="E14430" s="18"/>
      <c r="F14430" s="18"/>
    </row>
    <row r="14431" spans="5:6" ht="15" customHeight="1" x14ac:dyDescent="0.2">
      <c r="E14431" s="18"/>
      <c r="F14431" s="18"/>
    </row>
    <row r="14432" spans="5:6" ht="15" customHeight="1" x14ac:dyDescent="0.2">
      <c r="E14432" s="18"/>
      <c r="F14432" s="18"/>
    </row>
    <row r="14433" spans="5:6" ht="15" customHeight="1" x14ac:dyDescent="0.2">
      <c r="E14433" s="18"/>
      <c r="F14433" s="18"/>
    </row>
    <row r="14434" spans="5:6" ht="15" customHeight="1" x14ac:dyDescent="0.2">
      <c r="E14434" s="18"/>
      <c r="F14434" s="18"/>
    </row>
    <row r="14435" spans="5:6" ht="15" customHeight="1" x14ac:dyDescent="0.2">
      <c r="E14435" s="18"/>
      <c r="F14435" s="18"/>
    </row>
    <row r="14436" spans="5:6" ht="15" customHeight="1" x14ac:dyDescent="0.2">
      <c r="E14436" s="18"/>
      <c r="F14436" s="18"/>
    </row>
    <row r="14437" spans="5:6" ht="15" customHeight="1" x14ac:dyDescent="0.2">
      <c r="E14437" s="18"/>
      <c r="F14437" s="18"/>
    </row>
    <row r="14438" spans="5:6" ht="15" customHeight="1" x14ac:dyDescent="0.2">
      <c r="E14438" s="18"/>
      <c r="F14438" s="18"/>
    </row>
    <row r="14439" spans="5:6" ht="15" customHeight="1" x14ac:dyDescent="0.2">
      <c r="E14439" s="18"/>
      <c r="F14439" s="18"/>
    </row>
    <row r="14440" spans="5:6" ht="15" customHeight="1" x14ac:dyDescent="0.2">
      <c r="E14440" s="18"/>
      <c r="F14440" s="18"/>
    </row>
    <row r="14441" spans="5:6" ht="15" customHeight="1" x14ac:dyDescent="0.2">
      <c r="E14441" s="18"/>
      <c r="F14441" s="18"/>
    </row>
    <row r="14442" spans="5:6" ht="15" customHeight="1" x14ac:dyDescent="0.2">
      <c r="E14442" s="18"/>
      <c r="F14442" s="18"/>
    </row>
    <row r="14443" spans="5:6" ht="15" customHeight="1" x14ac:dyDescent="0.2">
      <c r="E14443" s="18"/>
      <c r="F14443" s="18"/>
    </row>
    <row r="14444" spans="5:6" ht="15" customHeight="1" x14ac:dyDescent="0.2">
      <c r="E14444" s="18"/>
      <c r="F14444" s="18"/>
    </row>
    <row r="14445" spans="5:6" ht="15" customHeight="1" x14ac:dyDescent="0.2">
      <c r="E14445" s="18"/>
      <c r="F14445" s="18"/>
    </row>
    <row r="14446" spans="5:6" ht="15" customHeight="1" x14ac:dyDescent="0.2">
      <c r="E14446" s="18"/>
      <c r="F14446" s="18"/>
    </row>
    <row r="14447" spans="5:6" ht="15" customHeight="1" x14ac:dyDescent="0.2">
      <c r="E14447" s="18"/>
      <c r="F14447" s="18"/>
    </row>
    <row r="14448" spans="5:6" ht="15" customHeight="1" x14ac:dyDescent="0.2">
      <c r="E14448" s="18"/>
      <c r="F14448" s="18"/>
    </row>
    <row r="14449" spans="5:6" ht="15" customHeight="1" x14ac:dyDescent="0.2">
      <c r="E14449" s="18"/>
      <c r="F14449" s="18"/>
    </row>
    <row r="14450" spans="5:6" ht="15" customHeight="1" x14ac:dyDescent="0.2">
      <c r="E14450" s="18"/>
      <c r="F14450" s="18"/>
    </row>
    <row r="14451" spans="5:6" ht="15" customHeight="1" x14ac:dyDescent="0.2">
      <c r="E14451" s="18"/>
      <c r="F14451" s="18"/>
    </row>
    <row r="14452" spans="5:6" ht="15" customHeight="1" x14ac:dyDescent="0.2">
      <c r="E14452" s="18"/>
      <c r="F14452" s="18"/>
    </row>
    <row r="14453" spans="5:6" ht="15" customHeight="1" x14ac:dyDescent="0.2">
      <c r="E14453" s="18"/>
      <c r="F14453" s="18"/>
    </row>
    <row r="14454" spans="5:6" ht="15" customHeight="1" x14ac:dyDescent="0.2">
      <c r="E14454" s="18"/>
      <c r="F14454" s="18"/>
    </row>
    <row r="14455" spans="5:6" ht="15" customHeight="1" x14ac:dyDescent="0.2">
      <c r="E14455" s="18"/>
      <c r="F14455" s="18"/>
    </row>
    <row r="14456" spans="5:6" ht="15" customHeight="1" x14ac:dyDescent="0.2">
      <c r="E14456" s="18"/>
      <c r="F14456" s="18"/>
    </row>
    <row r="14457" spans="5:6" ht="15" customHeight="1" x14ac:dyDescent="0.2">
      <c r="E14457" s="18"/>
      <c r="F14457" s="18"/>
    </row>
    <row r="14458" spans="5:6" ht="15" customHeight="1" x14ac:dyDescent="0.2">
      <c r="E14458" s="18"/>
      <c r="F14458" s="18"/>
    </row>
    <row r="14459" spans="5:6" ht="15" customHeight="1" x14ac:dyDescent="0.2">
      <c r="E14459" s="18"/>
      <c r="F14459" s="18"/>
    </row>
    <row r="14460" spans="5:6" ht="15" customHeight="1" x14ac:dyDescent="0.2">
      <c r="E14460" s="18"/>
      <c r="F14460" s="18"/>
    </row>
    <row r="14461" spans="5:6" ht="15" customHeight="1" x14ac:dyDescent="0.2">
      <c r="E14461" s="18"/>
      <c r="F14461" s="18"/>
    </row>
    <row r="14462" spans="5:6" ht="15" customHeight="1" x14ac:dyDescent="0.2">
      <c r="E14462" s="18"/>
      <c r="F14462" s="18"/>
    </row>
    <row r="14463" spans="5:6" ht="15" customHeight="1" x14ac:dyDescent="0.2">
      <c r="E14463" s="18"/>
      <c r="F14463" s="18"/>
    </row>
    <row r="14464" spans="5:6" ht="15" customHeight="1" x14ac:dyDescent="0.2">
      <c r="E14464" s="18"/>
      <c r="F14464" s="18"/>
    </row>
    <row r="14465" spans="5:6" ht="15" customHeight="1" x14ac:dyDescent="0.2">
      <c r="E14465" s="18"/>
      <c r="F14465" s="18"/>
    </row>
    <row r="14466" spans="5:6" ht="15" customHeight="1" x14ac:dyDescent="0.2">
      <c r="E14466" s="18"/>
      <c r="F14466" s="18"/>
    </row>
    <row r="14467" spans="5:6" ht="15" customHeight="1" x14ac:dyDescent="0.2">
      <c r="E14467" s="18"/>
      <c r="F14467" s="18"/>
    </row>
    <row r="14468" spans="5:6" ht="15" customHeight="1" x14ac:dyDescent="0.2">
      <c r="E14468" s="18"/>
      <c r="F14468" s="18"/>
    </row>
    <row r="14469" spans="5:6" ht="15" customHeight="1" x14ac:dyDescent="0.2">
      <c r="E14469" s="18"/>
      <c r="F14469" s="18"/>
    </row>
    <row r="14470" spans="5:6" ht="15" customHeight="1" x14ac:dyDescent="0.2">
      <c r="E14470" s="18"/>
      <c r="F14470" s="18"/>
    </row>
    <row r="14471" spans="5:6" ht="15" customHeight="1" x14ac:dyDescent="0.2">
      <c r="E14471" s="18"/>
      <c r="F14471" s="18"/>
    </row>
    <row r="14472" spans="5:6" ht="15" customHeight="1" x14ac:dyDescent="0.2">
      <c r="E14472" s="18"/>
      <c r="F14472" s="18"/>
    </row>
    <row r="14473" spans="5:6" ht="15" customHeight="1" x14ac:dyDescent="0.2">
      <c r="E14473" s="18"/>
      <c r="F14473" s="18"/>
    </row>
    <row r="14474" spans="5:6" ht="15" customHeight="1" x14ac:dyDescent="0.2">
      <c r="E14474" s="18"/>
      <c r="F14474" s="18"/>
    </row>
    <row r="14475" spans="5:6" ht="15" customHeight="1" x14ac:dyDescent="0.2">
      <c r="E14475" s="18"/>
      <c r="F14475" s="18"/>
    </row>
    <row r="14476" spans="5:6" ht="15" customHeight="1" x14ac:dyDescent="0.2">
      <c r="E14476" s="18"/>
      <c r="F14476" s="18"/>
    </row>
    <row r="14477" spans="5:6" ht="15" customHeight="1" x14ac:dyDescent="0.2">
      <c r="E14477" s="18"/>
      <c r="F14477" s="18"/>
    </row>
    <row r="14478" spans="5:6" ht="15" customHeight="1" x14ac:dyDescent="0.2">
      <c r="E14478" s="18"/>
      <c r="F14478" s="18"/>
    </row>
    <row r="14479" spans="5:6" ht="15" customHeight="1" x14ac:dyDescent="0.2">
      <c r="E14479" s="18"/>
      <c r="F14479" s="18"/>
    </row>
    <row r="14480" spans="5:6" ht="15" customHeight="1" x14ac:dyDescent="0.2">
      <c r="E14480" s="18"/>
      <c r="F14480" s="18"/>
    </row>
    <row r="14481" spans="5:6" ht="15" customHeight="1" x14ac:dyDescent="0.2">
      <c r="E14481" s="18"/>
      <c r="F14481" s="18"/>
    </row>
    <row r="14482" spans="5:6" ht="15" customHeight="1" x14ac:dyDescent="0.2">
      <c r="E14482" s="18"/>
      <c r="F14482" s="18"/>
    </row>
    <row r="14483" spans="5:6" ht="15" customHeight="1" x14ac:dyDescent="0.2">
      <c r="E14483" s="18"/>
      <c r="F14483" s="18"/>
    </row>
    <row r="14484" spans="5:6" ht="15" customHeight="1" x14ac:dyDescent="0.2">
      <c r="E14484" s="18"/>
      <c r="F14484" s="18"/>
    </row>
    <row r="14485" spans="5:6" ht="15" customHeight="1" x14ac:dyDescent="0.2">
      <c r="E14485" s="18"/>
      <c r="F14485" s="18"/>
    </row>
    <row r="14486" spans="5:6" ht="15" customHeight="1" x14ac:dyDescent="0.2">
      <c r="E14486" s="18"/>
      <c r="F14486" s="18"/>
    </row>
    <row r="14487" spans="5:6" ht="15" customHeight="1" x14ac:dyDescent="0.2">
      <c r="E14487" s="18"/>
      <c r="F14487" s="18"/>
    </row>
    <row r="14488" spans="5:6" ht="15" customHeight="1" x14ac:dyDescent="0.2">
      <c r="E14488" s="18"/>
      <c r="F14488" s="18"/>
    </row>
    <row r="14489" spans="5:6" ht="15" customHeight="1" x14ac:dyDescent="0.2">
      <c r="E14489" s="18"/>
      <c r="F14489" s="18"/>
    </row>
    <row r="14490" spans="5:6" ht="15" customHeight="1" x14ac:dyDescent="0.2">
      <c r="E14490" s="18"/>
      <c r="F14490" s="18"/>
    </row>
    <row r="14491" spans="5:6" ht="15" customHeight="1" x14ac:dyDescent="0.2">
      <c r="E14491" s="18"/>
      <c r="F14491" s="18"/>
    </row>
    <row r="14492" spans="5:6" ht="15" customHeight="1" x14ac:dyDescent="0.2">
      <c r="E14492" s="18"/>
      <c r="F14492" s="18"/>
    </row>
    <row r="14493" spans="5:6" ht="15" customHeight="1" x14ac:dyDescent="0.2">
      <c r="E14493" s="18"/>
      <c r="F14493" s="18"/>
    </row>
    <row r="14494" spans="5:6" ht="15" customHeight="1" x14ac:dyDescent="0.2">
      <c r="E14494" s="18"/>
      <c r="F14494" s="18"/>
    </row>
    <row r="14495" spans="5:6" ht="15" customHeight="1" x14ac:dyDescent="0.2">
      <c r="E14495" s="18"/>
      <c r="F14495" s="18"/>
    </row>
    <row r="14496" spans="5:6" ht="15" customHeight="1" x14ac:dyDescent="0.2">
      <c r="E14496" s="18"/>
      <c r="F14496" s="18"/>
    </row>
    <row r="14497" spans="5:6" ht="15" customHeight="1" x14ac:dyDescent="0.2">
      <c r="E14497" s="18"/>
      <c r="F14497" s="18"/>
    </row>
    <row r="14498" spans="5:6" ht="15" customHeight="1" x14ac:dyDescent="0.2">
      <c r="E14498" s="18"/>
      <c r="F14498" s="18"/>
    </row>
    <row r="14499" spans="5:6" ht="15" customHeight="1" x14ac:dyDescent="0.2">
      <c r="E14499" s="18"/>
      <c r="F14499" s="18"/>
    </row>
    <row r="14500" spans="5:6" ht="15" customHeight="1" x14ac:dyDescent="0.2">
      <c r="E14500" s="18"/>
      <c r="F14500" s="18"/>
    </row>
    <row r="14501" spans="5:6" ht="15" customHeight="1" x14ac:dyDescent="0.2">
      <c r="E14501" s="18"/>
      <c r="F14501" s="18"/>
    </row>
    <row r="14502" spans="5:6" ht="15" customHeight="1" x14ac:dyDescent="0.2">
      <c r="E14502" s="18"/>
      <c r="F14502" s="18"/>
    </row>
    <row r="14503" spans="5:6" ht="15" customHeight="1" x14ac:dyDescent="0.2">
      <c r="E14503" s="18"/>
      <c r="F14503" s="18"/>
    </row>
    <row r="14504" spans="5:6" ht="15" customHeight="1" x14ac:dyDescent="0.2">
      <c r="E14504" s="18"/>
      <c r="F14504" s="18"/>
    </row>
    <row r="14505" spans="5:6" ht="15" customHeight="1" x14ac:dyDescent="0.2">
      <c r="E14505" s="18"/>
      <c r="F14505" s="18"/>
    </row>
    <row r="14506" spans="5:6" ht="15" customHeight="1" x14ac:dyDescent="0.2">
      <c r="E14506" s="18"/>
      <c r="F14506" s="18"/>
    </row>
    <row r="14507" spans="5:6" ht="15" customHeight="1" x14ac:dyDescent="0.2">
      <c r="E14507" s="18"/>
      <c r="F14507" s="18"/>
    </row>
    <row r="14508" spans="5:6" ht="15" customHeight="1" x14ac:dyDescent="0.2">
      <c r="E14508" s="18"/>
      <c r="F14508" s="18"/>
    </row>
    <row r="14509" spans="5:6" ht="15" customHeight="1" x14ac:dyDescent="0.2">
      <c r="E14509" s="18"/>
      <c r="F14509" s="18"/>
    </row>
    <row r="14510" spans="5:6" ht="15" customHeight="1" x14ac:dyDescent="0.2">
      <c r="E14510" s="18"/>
      <c r="F14510" s="18"/>
    </row>
    <row r="14511" spans="5:6" ht="15" customHeight="1" x14ac:dyDescent="0.2">
      <c r="E14511" s="18"/>
      <c r="F14511" s="18"/>
    </row>
    <row r="14512" spans="5:6" ht="15" customHeight="1" x14ac:dyDescent="0.2">
      <c r="E14512" s="18"/>
      <c r="F14512" s="18"/>
    </row>
    <row r="14513" spans="5:6" ht="15" customHeight="1" x14ac:dyDescent="0.2">
      <c r="E14513" s="18"/>
      <c r="F14513" s="18"/>
    </row>
    <row r="14514" spans="5:6" ht="15" customHeight="1" x14ac:dyDescent="0.2">
      <c r="E14514" s="18"/>
      <c r="F14514" s="18"/>
    </row>
    <row r="14515" spans="5:6" ht="15" customHeight="1" x14ac:dyDescent="0.2">
      <c r="E14515" s="18"/>
      <c r="F14515" s="18"/>
    </row>
    <row r="14516" spans="5:6" ht="15" customHeight="1" x14ac:dyDescent="0.2">
      <c r="E14516" s="18"/>
      <c r="F14516" s="18"/>
    </row>
    <row r="14517" spans="5:6" ht="15" customHeight="1" x14ac:dyDescent="0.2">
      <c r="E14517" s="18"/>
      <c r="F14517" s="18"/>
    </row>
    <row r="14518" spans="5:6" ht="15" customHeight="1" x14ac:dyDescent="0.2">
      <c r="E14518" s="18"/>
      <c r="F14518" s="18"/>
    </row>
    <row r="14519" spans="5:6" ht="15" customHeight="1" x14ac:dyDescent="0.2">
      <c r="E14519" s="18"/>
      <c r="F14519" s="18"/>
    </row>
    <row r="14520" spans="5:6" ht="15" customHeight="1" x14ac:dyDescent="0.2">
      <c r="E14520" s="18"/>
      <c r="F14520" s="18"/>
    </row>
    <row r="14521" spans="5:6" ht="15" customHeight="1" x14ac:dyDescent="0.2">
      <c r="E14521" s="18"/>
      <c r="F14521" s="18"/>
    </row>
    <row r="14522" spans="5:6" ht="15" customHeight="1" x14ac:dyDescent="0.2">
      <c r="E14522" s="18"/>
      <c r="F14522" s="18"/>
    </row>
    <row r="14523" spans="5:6" ht="15" customHeight="1" x14ac:dyDescent="0.2">
      <c r="E14523" s="18"/>
      <c r="F14523" s="18"/>
    </row>
    <row r="14524" spans="5:6" ht="15" customHeight="1" x14ac:dyDescent="0.2">
      <c r="E14524" s="18"/>
      <c r="F14524" s="18"/>
    </row>
    <row r="14525" spans="5:6" ht="15" customHeight="1" x14ac:dyDescent="0.2">
      <c r="E14525" s="18"/>
      <c r="F14525" s="18"/>
    </row>
    <row r="14526" spans="5:6" ht="15" customHeight="1" x14ac:dyDescent="0.2">
      <c r="E14526" s="18"/>
      <c r="F14526" s="18"/>
    </row>
    <row r="14527" spans="5:6" ht="15" customHeight="1" x14ac:dyDescent="0.2">
      <c r="E14527" s="18"/>
      <c r="F14527" s="18"/>
    </row>
    <row r="14528" spans="5:6" ht="15" customHeight="1" x14ac:dyDescent="0.2">
      <c r="E14528" s="18"/>
      <c r="F14528" s="18"/>
    </row>
    <row r="14529" spans="5:6" ht="15" customHeight="1" x14ac:dyDescent="0.2">
      <c r="E14529" s="18"/>
      <c r="F14529" s="18"/>
    </row>
    <row r="14530" spans="5:6" ht="15" customHeight="1" x14ac:dyDescent="0.2">
      <c r="E14530" s="18"/>
      <c r="F14530" s="18"/>
    </row>
    <row r="14531" spans="5:6" ht="15" customHeight="1" x14ac:dyDescent="0.2">
      <c r="E14531" s="18"/>
      <c r="F14531" s="18"/>
    </row>
    <row r="14532" spans="5:6" ht="15" customHeight="1" x14ac:dyDescent="0.2">
      <c r="E14532" s="18"/>
      <c r="F14532" s="18"/>
    </row>
    <row r="14533" spans="5:6" ht="15" customHeight="1" x14ac:dyDescent="0.2">
      <c r="E14533" s="18"/>
      <c r="F14533" s="18"/>
    </row>
    <row r="14534" spans="5:6" ht="15" customHeight="1" x14ac:dyDescent="0.2">
      <c r="E14534" s="18"/>
      <c r="F14534" s="18"/>
    </row>
    <row r="14535" spans="5:6" ht="15" customHeight="1" x14ac:dyDescent="0.2">
      <c r="E14535" s="18"/>
      <c r="F14535" s="18"/>
    </row>
    <row r="14536" spans="5:6" ht="15" customHeight="1" x14ac:dyDescent="0.2">
      <c r="E14536" s="18"/>
      <c r="F14536" s="18"/>
    </row>
    <row r="14537" spans="5:6" ht="15" customHeight="1" x14ac:dyDescent="0.2">
      <c r="E14537" s="18"/>
      <c r="F14537" s="18"/>
    </row>
    <row r="14538" spans="5:6" ht="15" customHeight="1" x14ac:dyDescent="0.2">
      <c r="E14538" s="18"/>
      <c r="F14538" s="18"/>
    </row>
    <row r="14539" spans="5:6" ht="15" customHeight="1" x14ac:dyDescent="0.2">
      <c r="E14539" s="18"/>
      <c r="F14539" s="18"/>
    </row>
    <row r="14540" spans="5:6" ht="15" customHeight="1" x14ac:dyDescent="0.2">
      <c r="E14540" s="18"/>
      <c r="F14540" s="18"/>
    </row>
    <row r="14541" spans="5:6" ht="15" customHeight="1" x14ac:dyDescent="0.2">
      <c r="E14541" s="18"/>
      <c r="F14541" s="18"/>
    </row>
    <row r="14542" spans="5:6" ht="15" customHeight="1" x14ac:dyDescent="0.2">
      <c r="E14542" s="18"/>
      <c r="F14542" s="18"/>
    </row>
    <row r="14543" spans="5:6" ht="15" customHeight="1" x14ac:dyDescent="0.2">
      <c r="E14543" s="18"/>
      <c r="F14543" s="18"/>
    </row>
    <row r="14544" spans="5:6" ht="15" customHeight="1" x14ac:dyDescent="0.2">
      <c r="E14544" s="18"/>
      <c r="F14544" s="18"/>
    </row>
    <row r="14545" spans="5:6" ht="15" customHeight="1" x14ac:dyDescent="0.2">
      <c r="E14545" s="18"/>
      <c r="F14545" s="18"/>
    </row>
    <row r="14546" spans="5:6" ht="15" customHeight="1" x14ac:dyDescent="0.2">
      <c r="E14546" s="18"/>
      <c r="F14546" s="18"/>
    </row>
    <row r="14547" spans="5:6" ht="15" customHeight="1" x14ac:dyDescent="0.2">
      <c r="E14547" s="18"/>
      <c r="F14547" s="18"/>
    </row>
    <row r="14548" spans="5:6" ht="15" customHeight="1" x14ac:dyDescent="0.2">
      <c r="E14548" s="18"/>
      <c r="F14548" s="18"/>
    </row>
    <row r="14549" spans="5:6" ht="15" customHeight="1" x14ac:dyDescent="0.2">
      <c r="E14549" s="18"/>
      <c r="F14549" s="18"/>
    </row>
    <row r="14550" spans="5:6" ht="15" customHeight="1" x14ac:dyDescent="0.2">
      <c r="E14550" s="18"/>
      <c r="F14550" s="18"/>
    </row>
    <row r="14551" spans="5:6" ht="15" customHeight="1" x14ac:dyDescent="0.2">
      <c r="E14551" s="18"/>
      <c r="F14551" s="18"/>
    </row>
    <row r="14552" spans="5:6" ht="15" customHeight="1" x14ac:dyDescent="0.2">
      <c r="E14552" s="18"/>
      <c r="F14552" s="18"/>
    </row>
    <row r="14553" spans="5:6" ht="15" customHeight="1" x14ac:dyDescent="0.2">
      <c r="E14553" s="18"/>
      <c r="F14553" s="18"/>
    </row>
    <row r="14554" spans="5:6" ht="15" customHeight="1" x14ac:dyDescent="0.2">
      <c r="E14554" s="18"/>
      <c r="F14554" s="18"/>
    </row>
    <row r="14555" spans="5:6" ht="15" customHeight="1" x14ac:dyDescent="0.2">
      <c r="E14555" s="18"/>
      <c r="F14555" s="18"/>
    </row>
    <row r="14556" spans="5:6" ht="15" customHeight="1" x14ac:dyDescent="0.2">
      <c r="E14556" s="18"/>
      <c r="F14556" s="18"/>
    </row>
    <row r="14557" spans="5:6" ht="15" customHeight="1" x14ac:dyDescent="0.2">
      <c r="E14557" s="18"/>
      <c r="F14557" s="18"/>
    </row>
    <row r="14558" spans="5:6" ht="15" customHeight="1" x14ac:dyDescent="0.2">
      <c r="E14558" s="18"/>
      <c r="F14558" s="18"/>
    </row>
    <row r="14559" spans="5:6" ht="15" customHeight="1" x14ac:dyDescent="0.2">
      <c r="E14559" s="18"/>
      <c r="F14559" s="18"/>
    </row>
    <row r="14560" spans="5:6" ht="15" customHeight="1" x14ac:dyDescent="0.2">
      <c r="E14560" s="18"/>
      <c r="F14560" s="18"/>
    </row>
    <row r="14561" spans="5:6" ht="15" customHeight="1" x14ac:dyDescent="0.2">
      <c r="E14561" s="18"/>
      <c r="F14561" s="18"/>
    </row>
    <row r="14562" spans="5:6" ht="15" customHeight="1" x14ac:dyDescent="0.2">
      <c r="E14562" s="18"/>
      <c r="F14562" s="18"/>
    </row>
    <row r="14563" spans="5:6" ht="15" customHeight="1" x14ac:dyDescent="0.2">
      <c r="E14563" s="18"/>
      <c r="F14563" s="18"/>
    </row>
    <row r="14564" spans="5:6" ht="15" customHeight="1" x14ac:dyDescent="0.2">
      <c r="E14564" s="18"/>
      <c r="F14564" s="18"/>
    </row>
    <row r="14565" spans="5:6" ht="15" customHeight="1" x14ac:dyDescent="0.2">
      <c r="E14565" s="18"/>
      <c r="F14565" s="18"/>
    </row>
    <row r="14566" spans="5:6" ht="15" customHeight="1" x14ac:dyDescent="0.2">
      <c r="E14566" s="18"/>
      <c r="F14566" s="18"/>
    </row>
    <row r="14567" spans="5:6" ht="15" customHeight="1" x14ac:dyDescent="0.2">
      <c r="E14567" s="18"/>
      <c r="F14567" s="18"/>
    </row>
    <row r="14568" spans="5:6" ht="15" customHeight="1" x14ac:dyDescent="0.2">
      <c r="E14568" s="18"/>
      <c r="F14568" s="18"/>
    </row>
    <row r="14569" spans="5:6" ht="15" customHeight="1" x14ac:dyDescent="0.2">
      <c r="E14569" s="18"/>
      <c r="F14569" s="18"/>
    </row>
    <row r="14570" spans="5:6" ht="15" customHeight="1" x14ac:dyDescent="0.2">
      <c r="E14570" s="18"/>
      <c r="F14570" s="18"/>
    </row>
    <row r="14571" spans="5:6" ht="15" customHeight="1" x14ac:dyDescent="0.2">
      <c r="E14571" s="18"/>
      <c r="F14571" s="18"/>
    </row>
    <row r="14572" spans="5:6" ht="15" customHeight="1" x14ac:dyDescent="0.2">
      <c r="E14572" s="18"/>
      <c r="F14572" s="18"/>
    </row>
    <row r="14573" spans="5:6" ht="15" customHeight="1" x14ac:dyDescent="0.2">
      <c r="E14573" s="18"/>
      <c r="F14573" s="18"/>
    </row>
    <row r="14574" spans="5:6" ht="15" customHeight="1" x14ac:dyDescent="0.2">
      <c r="E14574" s="18"/>
      <c r="F14574" s="18"/>
    </row>
    <row r="14575" spans="5:6" ht="15" customHeight="1" x14ac:dyDescent="0.2">
      <c r="E14575" s="18"/>
      <c r="F14575" s="18"/>
    </row>
    <row r="14576" spans="5:6" ht="15" customHeight="1" x14ac:dyDescent="0.2">
      <c r="E14576" s="18"/>
      <c r="F14576" s="18"/>
    </row>
    <row r="14577" spans="5:6" ht="15" customHeight="1" x14ac:dyDescent="0.2">
      <c r="E14577" s="18"/>
      <c r="F14577" s="18"/>
    </row>
    <row r="14578" spans="5:6" ht="15" customHeight="1" x14ac:dyDescent="0.2">
      <c r="E14578" s="18"/>
      <c r="F14578" s="18"/>
    </row>
    <row r="14579" spans="5:6" ht="15" customHeight="1" x14ac:dyDescent="0.2">
      <c r="E14579" s="18"/>
      <c r="F14579" s="18"/>
    </row>
    <row r="14580" spans="5:6" ht="15" customHeight="1" x14ac:dyDescent="0.2">
      <c r="E14580" s="18"/>
      <c r="F14580" s="18"/>
    </row>
    <row r="14581" spans="5:6" ht="15" customHeight="1" x14ac:dyDescent="0.2">
      <c r="E14581" s="18"/>
      <c r="F14581" s="18"/>
    </row>
    <row r="14582" spans="5:6" ht="15" customHeight="1" x14ac:dyDescent="0.2">
      <c r="E14582" s="18"/>
      <c r="F14582" s="18"/>
    </row>
    <row r="14583" spans="5:6" ht="15" customHeight="1" x14ac:dyDescent="0.2">
      <c r="E14583" s="18"/>
      <c r="F14583" s="18"/>
    </row>
    <row r="14584" spans="5:6" ht="15" customHeight="1" x14ac:dyDescent="0.2">
      <c r="E14584" s="18"/>
      <c r="F14584" s="18"/>
    </row>
    <row r="14585" spans="5:6" ht="15" customHeight="1" x14ac:dyDescent="0.2">
      <c r="E14585" s="18"/>
      <c r="F14585" s="18"/>
    </row>
    <row r="14586" spans="5:6" ht="15" customHeight="1" x14ac:dyDescent="0.2">
      <c r="E14586" s="18"/>
      <c r="F14586" s="18"/>
    </row>
    <row r="14587" spans="5:6" ht="15" customHeight="1" x14ac:dyDescent="0.2">
      <c r="E14587" s="18"/>
      <c r="F14587" s="18"/>
    </row>
    <row r="14588" spans="5:6" ht="15" customHeight="1" x14ac:dyDescent="0.2">
      <c r="E14588" s="18"/>
      <c r="F14588" s="18"/>
    </row>
    <row r="14589" spans="5:6" ht="15" customHeight="1" x14ac:dyDescent="0.2">
      <c r="E14589" s="18"/>
      <c r="F14589" s="18"/>
    </row>
    <row r="14590" spans="5:6" ht="15" customHeight="1" x14ac:dyDescent="0.2">
      <c r="E14590" s="18"/>
      <c r="F14590" s="18"/>
    </row>
    <row r="14591" spans="5:6" ht="15" customHeight="1" x14ac:dyDescent="0.2">
      <c r="E14591" s="18"/>
      <c r="F14591" s="18"/>
    </row>
    <row r="14592" spans="5:6" ht="15" customHeight="1" x14ac:dyDescent="0.2">
      <c r="E14592" s="18"/>
      <c r="F14592" s="18"/>
    </row>
    <row r="14593" spans="5:6" ht="15" customHeight="1" x14ac:dyDescent="0.2">
      <c r="E14593" s="18"/>
      <c r="F14593" s="18"/>
    </row>
    <row r="14594" spans="5:6" ht="15" customHeight="1" x14ac:dyDescent="0.2">
      <c r="E14594" s="18"/>
      <c r="F14594" s="18"/>
    </row>
    <row r="14595" spans="5:6" ht="15" customHeight="1" x14ac:dyDescent="0.2">
      <c r="E14595" s="18"/>
      <c r="F14595" s="18"/>
    </row>
    <row r="14596" spans="5:6" ht="15" customHeight="1" x14ac:dyDescent="0.2">
      <c r="E14596" s="18"/>
      <c r="F14596" s="18"/>
    </row>
    <row r="14597" spans="5:6" ht="15" customHeight="1" x14ac:dyDescent="0.2">
      <c r="E14597" s="18"/>
      <c r="F14597" s="18"/>
    </row>
    <row r="14598" spans="5:6" ht="15" customHeight="1" x14ac:dyDescent="0.2">
      <c r="E14598" s="18"/>
      <c r="F14598" s="18"/>
    </row>
    <row r="14599" spans="5:6" ht="15" customHeight="1" x14ac:dyDescent="0.2">
      <c r="E14599" s="18"/>
      <c r="F14599" s="18"/>
    </row>
    <row r="14600" spans="5:6" ht="15" customHeight="1" x14ac:dyDescent="0.2">
      <c r="E14600" s="18"/>
      <c r="F14600" s="18"/>
    </row>
    <row r="14601" spans="5:6" ht="15" customHeight="1" x14ac:dyDescent="0.2">
      <c r="E14601" s="18"/>
      <c r="F14601" s="18"/>
    </row>
    <row r="14602" spans="5:6" ht="15" customHeight="1" x14ac:dyDescent="0.2">
      <c r="E14602" s="18"/>
      <c r="F14602" s="18"/>
    </row>
    <row r="14603" spans="5:6" ht="15" customHeight="1" x14ac:dyDescent="0.2">
      <c r="E14603" s="18"/>
      <c r="F14603" s="18"/>
    </row>
    <row r="14604" spans="5:6" ht="15" customHeight="1" x14ac:dyDescent="0.2">
      <c r="E14604" s="18"/>
      <c r="F14604" s="18"/>
    </row>
    <row r="14605" spans="5:6" ht="15" customHeight="1" x14ac:dyDescent="0.2">
      <c r="E14605" s="18"/>
      <c r="F14605" s="18"/>
    </row>
    <row r="14606" spans="5:6" ht="15" customHeight="1" x14ac:dyDescent="0.2">
      <c r="E14606" s="18"/>
      <c r="F14606" s="18"/>
    </row>
    <row r="14607" spans="5:6" ht="15" customHeight="1" x14ac:dyDescent="0.2">
      <c r="E14607" s="18"/>
      <c r="F14607" s="18"/>
    </row>
    <row r="14608" spans="5:6" ht="15" customHeight="1" x14ac:dyDescent="0.2">
      <c r="E14608" s="18"/>
      <c r="F14608" s="18"/>
    </row>
    <row r="14609" spans="5:6" ht="15" customHeight="1" x14ac:dyDescent="0.2">
      <c r="E14609" s="18"/>
      <c r="F14609" s="18"/>
    </row>
    <row r="14610" spans="5:6" ht="15" customHeight="1" x14ac:dyDescent="0.2">
      <c r="E14610" s="18"/>
      <c r="F14610" s="18"/>
    </row>
    <row r="14611" spans="5:6" ht="15" customHeight="1" x14ac:dyDescent="0.2">
      <c r="E14611" s="18"/>
      <c r="F14611" s="18"/>
    </row>
    <row r="14612" spans="5:6" ht="15" customHeight="1" x14ac:dyDescent="0.2">
      <c r="E14612" s="18"/>
      <c r="F14612" s="18"/>
    </row>
    <row r="14613" spans="5:6" ht="15" customHeight="1" x14ac:dyDescent="0.2">
      <c r="E14613" s="18"/>
      <c r="F14613" s="18"/>
    </row>
    <row r="14614" spans="5:6" ht="15" customHeight="1" x14ac:dyDescent="0.2">
      <c r="E14614" s="18"/>
      <c r="F14614" s="18"/>
    </row>
    <row r="14615" spans="5:6" ht="15" customHeight="1" x14ac:dyDescent="0.2">
      <c r="E14615" s="18"/>
      <c r="F14615" s="18"/>
    </row>
    <row r="14616" spans="5:6" ht="15" customHeight="1" x14ac:dyDescent="0.2">
      <c r="E14616" s="18"/>
      <c r="F14616" s="18"/>
    </row>
    <row r="14617" spans="5:6" ht="15" customHeight="1" x14ac:dyDescent="0.2">
      <c r="E14617" s="18"/>
      <c r="F14617" s="18"/>
    </row>
    <row r="14618" spans="5:6" ht="15" customHeight="1" x14ac:dyDescent="0.2">
      <c r="E14618" s="18"/>
      <c r="F14618" s="18"/>
    </row>
    <row r="14619" spans="5:6" ht="15" customHeight="1" x14ac:dyDescent="0.2">
      <c r="E14619" s="18"/>
      <c r="F14619" s="18"/>
    </row>
    <row r="14620" spans="5:6" ht="15" customHeight="1" x14ac:dyDescent="0.2">
      <c r="E14620" s="18"/>
      <c r="F14620" s="18"/>
    </row>
    <row r="14621" spans="5:6" ht="15" customHeight="1" x14ac:dyDescent="0.2">
      <c r="E14621" s="18"/>
      <c r="F14621" s="18"/>
    </row>
    <row r="14622" spans="5:6" ht="15" customHeight="1" x14ac:dyDescent="0.2">
      <c r="E14622" s="18"/>
      <c r="F14622" s="18"/>
    </row>
    <row r="14623" spans="5:6" ht="15" customHeight="1" x14ac:dyDescent="0.2">
      <c r="E14623" s="18"/>
      <c r="F14623" s="18"/>
    </row>
    <row r="14624" spans="5:6" ht="15" customHeight="1" x14ac:dyDescent="0.2">
      <c r="E14624" s="18"/>
      <c r="F14624" s="18"/>
    </row>
    <row r="14625" spans="5:6" ht="15" customHeight="1" x14ac:dyDescent="0.2">
      <c r="E14625" s="18"/>
      <c r="F14625" s="18"/>
    </row>
    <row r="14626" spans="5:6" ht="15" customHeight="1" x14ac:dyDescent="0.2">
      <c r="E14626" s="18"/>
      <c r="F14626" s="18"/>
    </row>
    <row r="14627" spans="5:6" ht="15" customHeight="1" x14ac:dyDescent="0.2">
      <c r="E14627" s="18"/>
      <c r="F14627" s="18"/>
    </row>
    <row r="14628" spans="5:6" ht="15" customHeight="1" x14ac:dyDescent="0.2">
      <c r="E14628" s="18"/>
      <c r="F14628" s="18"/>
    </row>
    <row r="14629" spans="5:6" ht="15" customHeight="1" x14ac:dyDescent="0.2">
      <c r="E14629" s="18"/>
      <c r="F14629" s="18"/>
    </row>
    <row r="14630" spans="5:6" ht="15" customHeight="1" x14ac:dyDescent="0.2">
      <c r="E14630" s="18"/>
      <c r="F14630" s="18"/>
    </row>
    <row r="14631" spans="5:6" ht="15" customHeight="1" x14ac:dyDescent="0.2">
      <c r="E14631" s="18"/>
      <c r="F14631" s="18"/>
    </row>
    <row r="14632" spans="5:6" ht="15" customHeight="1" x14ac:dyDescent="0.2">
      <c r="E14632" s="18"/>
      <c r="F14632" s="18"/>
    </row>
    <row r="14633" spans="5:6" ht="15" customHeight="1" x14ac:dyDescent="0.2">
      <c r="E14633" s="18"/>
      <c r="F14633" s="18"/>
    </row>
    <row r="14634" spans="5:6" ht="15" customHeight="1" x14ac:dyDescent="0.2">
      <c r="E14634" s="18"/>
      <c r="F14634" s="18"/>
    </row>
    <row r="14635" spans="5:6" ht="15" customHeight="1" x14ac:dyDescent="0.2">
      <c r="E14635" s="18"/>
      <c r="F14635" s="18"/>
    </row>
    <row r="14636" spans="5:6" ht="15" customHeight="1" x14ac:dyDescent="0.2">
      <c r="E14636" s="18"/>
      <c r="F14636" s="18"/>
    </row>
    <row r="14637" spans="5:6" ht="15" customHeight="1" x14ac:dyDescent="0.2">
      <c r="E14637" s="18"/>
      <c r="F14637" s="18"/>
    </row>
    <row r="14638" spans="5:6" ht="15" customHeight="1" x14ac:dyDescent="0.2">
      <c r="E14638" s="18"/>
      <c r="F14638" s="18"/>
    </row>
    <row r="14639" spans="5:6" ht="15" customHeight="1" x14ac:dyDescent="0.2">
      <c r="E14639" s="18"/>
      <c r="F14639" s="18"/>
    </row>
    <row r="14640" spans="5:6" ht="15" customHeight="1" x14ac:dyDescent="0.2">
      <c r="E14640" s="18"/>
      <c r="F14640" s="18"/>
    </row>
    <row r="14641" spans="5:6" ht="15" customHeight="1" x14ac:dyDescent="0.2">
      <c r="E14641" s="18"/>
      <c r="F14641" s="18"/>
    </row>
    <row r="14642" spans="5:6" ht="15" customHeight="1" x14ac:dyDescent="0.2">
      <c r="E14642" s="18"/>
      <c r="F14642" s="18"/>
    </row>
    <row r="14643" spans="5:6" ht="15" customHeight="1" x14ac:dyDescent="0.2">
      <c r="E14643" s="18"/>
      <c r="F14643" s="18"/>
    </row>
    <row r="14644" spans="5:6" ht="15" customHeight="1" x14ac:dyDescent="0.2">
      <c r="E14644" s="18"/>
      <c r="F14644" s="18"/>
    </row>
    <row r="14645" spans="5:6" ht="15" customHeight="1" x14ac:dyDescent="0.2">
      <c r="E14645" s="18"/>
      <c r="F14645" s="18"/>
    </row>
    <row r="14646" spans="5:6" ht="15" customHeight="1" x14ac:dyDescent="0.2">
      <c r="E14646" s="18"/>
      <c r="F14646" s="18"/>
    </row>
    <row r="14647" spans="5:6" ht="15" customHeight="1" x14ac:dyDescent="0.2">
      <c r="E14647" s="18"/>
      <c r="F14647" s="18"/>
    </row>
    <row r="14648" spans="5:6" ht="15" customHeight="1" x14ac:dyDescent="0.2">
      <c r="E14648" s="18"/>
      <c r="F14648" s="18"/>
    </row>
    <row r="14649" spans="5:6" ht="15" customHeight="1" x14ac:dyDescent="0.2">
      <c r="E14649" s="18"/>
      <c r="F14649" s="18"/>
    </row>
    <row r="14650" spans="5:6" ht="15" customHeight="1" x14ac:dyDescent="0.2">
      <c r="E14650" s="18"/>
      <c r="F14650" s="18"/>
    </row>
    <row r="14651" spans="5:6" ht="15" customHeight="1" x14ac:dyDescent="0.2">
      <c r="E14651" s="18"/>
      <c r="F14651" s="18"/>
    </row>
    <row r="14652" spans="5:6" ht="15" customHeight="1" x14ac:dyDescent="0.2">
      <c r="E14652" s="18"/>
      <c r="F14652" s="18"/>
    </row>
    <row r="14653" spans="5:6" ht="15" customHeight="1" x14ac:dyDescent="0.2">
      <c r="E14653" s="18"/>
      <c r="F14653" s="18"/>
    </row>
    <row r="14654" spans="5:6" ht="15" customHeight="1" x14ac:dyDescent="0.2">
      <c r="E14654" s="18"/>
      <c r="F14654" s="18"/>
    </row>
    <row r="14655" spans="5:6" ht="15" customHeight="1" x14ac:dyDescent="0.2">
      <c r="E14655" s="18"/>
      <c r="F14655" s="18"/>
    </row>
    <row r="14656" spans="5:6" ht="15" customHeight="1" x14ac:dyDescent="0.2">
      <c r="E14656" s="18"/>
      <c r="F14656" s="18"/>
    </row>
    <row r="14657" spans="5:6" ht="15" customHeight="1" x14ac:dyDescent="0.2">
      <c r="E14657" s="18"/>
      <c r="F14657" s="18"/>
    </row>
    <row r="14658" spans="5:6" ht="15" customHeight="1" x14ac:dyDescent="0.2">
      <c r="E14658" s="18"/>
      <c r="F14658" s="18"/>
    </row>
    <row r="14659" spans="5:6" ht="15" customHeight="1" x14ac:dyDescent="0.2">
      <c r="E14659" s="18"/>
      <c r="F14659" s="18"/>
    </row>
    <row r="14660" spans="5:6" ht="15" customHeight="1" x14ac:dyDescent="0.2">
      <c r="E14660" s="18"/>
      <c r="F14660" s="18"/>
    </row>
    <row r="14661" spans="5:6" ht="15" customHeight="1" x14ac:dyDescent="0.2">
      <c r="E14661" s="18"/>
      <c r="F14661" s="18"/>
    </row>
    <row r="14662" spans="5:6" ht="15" customHeight="1" x14ac:dyDescent="0.2">
      <c r="E14662" s="18"/>
      <c r="F14662" s="18"/>
    </row>
    <row r="14663" spans="5:6" ht="15" customHeight="1" x14ac:dyDescent="0.2">
      <c r="E14663" s="18"/>
      <c r="F14663" s="18"/>
    </row>
    <row r="14664" spans="5:6" ht="15" customHeight="1" x14ac:dyDescent="0.2">
      <c r="E14664" s="18"/>
      <c r="F14664" s="18"/>
    </row>
    <row r="14665" spans="5:6" ht="15" customHeight="1" x14ac:dyDescent="0.2">
      <c r="E14665" s="18"/>
      <c r="F14665" s="18"/>
    </row>
    <row r="14666" spans="5:6" ht="15" customHeight="1" x14ac:dyDescent="0.2">
      <c r="E14666" s="18"/>
      <c r="F14666" s="18"/>
    </row>
    <row r="14667" spans="5:6" ht="15" customHeight="1" x14ac:dyDescent="0.2">
      <c r="E14667" s="18"/>
      <c r="F14667" s="18"/>
    </row>
    <row r="14668" spans="5:6" ht="15" customHeight="1" x14ac:dyDescent="0.2">
      <c r="E14668" s="18"/>
      <c r="F14668" s="18"/>
    </row>
    <row r="14669" spans="5:6" ht="15" customHeight="1" x14ac:dyDescent="0.2">
      <c r="E14669" s="18"/>
      <c r="F14669" s="18"/>
    </row>
    <row r="14670" spans="5:6" ht="15" customHeight="1" x14ac:dyDescent="0.2">
      <c r="E14670" s="18"/>
      <c r="F14670" s="18"/>
    </row>
    <row r="14671" spans="5:6" ht="15" customHeight="1" x14ac:dyDescent="0.2">
      <c r="E14671" s="18"/>
      <c r="F14671" s="18"/>
    </row>
    <row r="14672" spans="5:6" ht="15" customHeight="1" x14ac:dyDescent="0.2">
      <c r="E14672" s="18"/>
      <c r="F14672" s="18"/>
    </row>
    <row r="14673" spans="5:6" ht="15" customHeight="1" x14ac:dyDescent="0.2">
      <c r="E14673" s="18"/>
      <c r="F14673" s="18"/>
    </row>
    <row r="14674" spans="5:6" ht="15" customHeight="1" x14ac:dyDescent="0.2">
      <c r="E14674" s="18"/>
      <c r="F14674" s="18"/>
    </row>
    <row r="14675" spans="5:6" ht="15" customHeight="1" x14ac:dyDescent="0.2">
      <c r="E14675" s="18"/>
      <c r="F14675" s="18"/>
    </row>
    <row r="14676" spans="5:6" ht="15" customHeight="1" x14ac:dyDescent="0.2">
      <c r="E14676" s="18"/>
      <c r="F14676" s="18"/>
    </row>
    <row r="14677" spans="5:6" ht="15" customHeight="1" x14ac:dyDescent="0.2">
      <c r="E14677" s="18"/>
      <c r="F14677" s="18"/>
    </row>
    <row r="14678" spans="5:6" ht="15" customHeight="1" x14ac:dyDescent="0.2">
      <c r="E14678" s="18"/>
      <c r="F14678" s="18"/>
    </row>
    <row r="14679" spans="5:6" ht="15" customHeight="1" x14ac:dyDescent="0.2">
      <c r="E14679" s="18"/>
      <c r="F14679" s="18"/>
    </row>
    <row r="14680" spans="5:6" ht="15" customHeight="1" x14ac:dyDescent="0.2">
      <c r="E14680" s="18"/>
      <c r="F14680" s="18"/>
    </row>
    <row r="14681" spans="5:6" ht="15" customHeight="1" x14ac:dyDescent="0.2">
      <c r="E14681" s="18"/>
      <c r="F14681" s="18"/>
    </row>
    <row r="14682" spans="5:6" ht="15" customHeight="1" x14ac:dyDescent="0.2">
      <c r="E14682" s="18"/>
      <c r="F14682" s="18"/>
    </row>
    <row r="14683" spans="5:6" ht="15" customHeight="1" x14ac:dyDescent="0.2">
      <c r="E14683" s="18"/>
      <c r="F14683" s="18"/>
    </row>
    <row r="14684" spans="5:6" ht="15" customHeight="1" x14ac:dyDescent="0.2">
      <c r="E14684" s="18"/>
      <c r="F14684" s="18"/>
    </row>
    <row r="14685" spans="5:6" ht="15" customHeight="1" x14ac:dyDescent="0.2">
      <c r="E14685" s="18"/>
      <c r="F14685" s="18"/>
    </row>
    <row r="14686" spans="5:6" ht="15" customHeight="1" x14ac:dyDescent="0.2">
      <c r="E14686" s="18"/>
      <c r="F14686" s="18"/>
    </row>
    <row r="14687" spans="5:6" ht="15" customHeight="1" x14ac:dyDescent="0.2">
      <c r="E14687" s="18"/>
      <c r="F14687" s="18"/>
    </row>
    <row r="14688" spans="5:6" ht="15" customHeight="1" x14ac:dyDescent="0.2">
      <c r="E14688" s="18"/>
      <c r="F14688" s="18"/>
    </row>
    <row r="14689" spans="5:6" ht="15" customHeight="1" x14ac:dyDescent="0.2">
      <c r="E14689" s="18"/>
      <c r="F14689" s="18"/>
    </row>
    <row r="14690" spans="5:6" ht="15" customHeight="1" x14ac:dyDescent="0.2">
      <c r="E14690" s="18"/>
      <c r="F14690" s="18"/>
    </row>
    <row r="14691" spans="5:6" ht="15" customHeight="1" x14ac:dyDescent="0.2">
      <c r="E14691" s="18"/>
      <c r="F14691" s="18"/>
    </row>
    <row r="14692" spans="5:6" ht="15" customHeight="1" x14ac:dyDescent="0.2">
      <c r="E14692" s="18"/>
      <c r="F14692" s="18"/>
    </row>
    <row r="14693" spans="5:6" ht="15" customHeight="1" x14ac:dyDescent="0.2">
      <c r="E14693" s="18"/>
      <c r="F14693" s="18"/>
    </row>
    <row r="14694" spans="5:6" ht="15" customHeight="1" x14ac:dyDescent="0.2">
      <c r="E14694" s="18"/>
      <c r="F14694" s="18"/>
    </row>
    <row r="14695" spans="5:6" ht="15" customHeight="1" x14ac:dyDescent="0.2">
      <c r="E14695" s="18"/>
      <c r="F14695" s="18"/>
    </row>
    <row r="14696" spans="5:6" ht="15" customHeight="1" x14ac:dyDescent="0.2">
      <c r="E14696" s="18"/>
      <c r="F14696" s="18"/>
    </row>
    <row r="14697" spans="5:6" ht="15" customHeight="1" x14ac:dyDescent="0.2">
      <c r="E14697" s="18"/>
      <c r="F14697" s="18"/>
    </row>
    <row r="14698" spans="5:6" ht="15" customHeight="1" x14ac:dyDescent="0.2">
      <c r="E14698" s="18"/>
      <c r="F14698" s="18"/>
    </row>
    <row r="14699" spans="5:6" ht="15" customHeight="1" x14ac:dyDescent="0.2">
      <c r="E14699" s="18"/>
      <c r="F14699" s="18"/>
    </row>
    <row r="14700" spans="5:6" ht="15" customHeight="1" x14ac:dyDescent="0.2">
      <c r="E14700" s="18"/>
      <c r="F14700" s="18"/>
    </row>
    <row r="14701" spans="5:6" ht="15" customHeight="1" x14ac:dyDescent="0.2">
      <c r="E14701" s="18"/>
      <c r="F14701" s="18"/>
    </row>
    <row r="14702" spans="5:6" ht="15" customHeight="1" x14ac:dyDescent="0.2">
      <c r="E14702" s="18"/>
      <c r="F14702" s="18"/>
    </row>
    <row r="14703" spans="5:6" ht="15" customHeight="1" x14ac:dyDescent="0.2">
      <c r="E14703" s="18"/>
      <c r="F14703" s="18"/>
    </row>
    <row r="14704" spans="5:6" ht="15" customHeight="1" x14ac:dyDescent="0.2">
      <c r="E14704" s="18"/>
      <c r="F14704" s="18"/>
    </row>
    <row r="14705" spans="5:6" ht="15" customHeight="1" x14ac:dyDescent="0.2">
      <c r="E14705" s="18"/>
      <c r="F14705" s="18"/>
    </row>
    <row r="14706" spans="5:6" ht="15" customHeight="1" x14ac:dyDescent="0.2">
      <c r="E14706" s="18"/>
      <c r="F14706" s="18"/>
    </row>
    <row r="14707" spans="5:6" ht="15" customHeight="1" x14ac:dyDescent="0.2">
      <c r="E14707" s="18"/>
      <c r="F14707" s="18"/>
    </row>
    <row r="14708" spans="5:6" ht="15" customHeight="1" x14ac:dyDescent="0.2">
      <c r="E14708" s="18"/>
      <c r="F14708" s="18"/>
    </row>
    <row r="14709" spans="5:6" ht="15" customHeight="1" x14ac:dyDescent="0.2">
      <c r="E14709" s="18"/>
      <c r="F14709" s="18"/>
    </row>
    <row r="14710" spans="5:6" ht="15" customHeight="1" x14ac:dyDescent="0.2">
      <c r="E14710" s="18"/>
      <c r="F14710" s="18"/>
    </row>
    <row r="14711" spans="5:6" ht="15" customHeight="1" x14ac:dyDescent="0.2">
      <c r="E14711" s="18"/>
      <c r="F14711" s="18"/>
    </row>
    <row r="14712" spans="5:6" ht="15" customHeight="1" x14ac:dyDescent="0.2">
      <c r="E14712" s="18"/>
      <c r="F14712" s="18"/>
    </row>
    <row r="14713" spans="5:6" ht="15" customHeight="1" x14ac:dyDescent="0.2">
      <c r="E14713" s="18"/>
      <c r="F14713" s="18"/>
    </row>
    <row r="14714" spans="5:6" ht="15" customHeight="1" x14ac:dyDescent="0.2">
      <c r="E14714" s="18"/>
      <c r="F14714" s="18"/>
    </row>
    <row r="14715" spans="5:6" ht="15" customHeight="1" x14ac:dyDescent="0.2">
      <c r="E14715" s="18"/>
      <c r="F14715" s="18"/>
    </row>
    <row r="14716" spans="5:6" ht="15" customHeight="1" x14ac:dyDescent="0.2">
      <c r="E14716" s="18"/>
      <c r="F14716" s="18"/>
    </row>
    <row r="14717" spans="5:6" ht="15" customHeight="1" x14ac:dyDescent="0.2">
      <c r="E14717" s="18"/>
      <c r="F14717" s="18"/>
    </row>
    <row r="14718" spans="5:6" ht="15" customHeight="1" x14ac:dyDescent="0.2">
      <c r="E14718" s="18"/>
      <c r="F14718" s="18"/>
    </row>
    <row r="14719" spans="5:6" ht="15" customHeight="1" x14ac:dyDescent="0.2">
      <c r="E14719" s="18"/>
      <c r="F14719" s="18"/>
    </row>
    <row r="14720" spans="5:6" ht="15" customHeight="1" x14ac:dyDescent="0.2">
      <c r="E14720" s="18"/>
      <c r="F14720" s="18"/>
    </row>
    <row r="14721" spans="5:6" ht="15" customHeight="1" x14ac:dyDescent="0.2">
      <c r="E14721" s="18"/>
      <c r="F14721" s="18"/>
    </row>
    <row r="14722" spans="5:6" ht="15" customHeight="1" x14ac:dyDescent="0.2">
      <c r="E14722" s="18"/>
      <c r="F14722" s="18"/>
    </row>
    <row r="14723" spans="5:6" ht="15" customHeight="1" x14ac:dyDescent="0.2">
      <c r="E14723" s="18"/>
      <c r="F14723" s="18"/>
    </row>
    <row r="14724" spans="5:6" ht="15" customHeight="1" x14ac:dyDescent="0.2">
      <c r="E14724" s="18"/>
      <c r="F14724" s="18"/>
    </row>
    <row r="14725" spans="5:6" ht="15" customHeight="1" x14ac:dyDescent="0.2">
      <c r="E14725" s="18"/>
      <c r="F14725" s="18"/>
    </row>
    <row r="14726" spans="5:6" ht="15" customHeight="1" x14ac:dyDescent="0.2">
      <c r="E14726" s="18"/>
      <c r="F14726" s="18"/>
    </row>
    <row r="14727" spans="5:6" ht="15" customHeight="1" x14ac:dyDescent="0.2">
      <c r="E14727" s="18"/>
      <c r="F14727" s="18"/>
    </row>
    <row r="14728" spans="5:6" ht="15" customHeight="1" x14ac:dyDescent="0.2">
      <c r="E14728" s="18"/>
      <c r="F14728" s="18"/>
    </row>
    <row r="14729" spans="5:6" ht="15" customHeight="1" x14ac:dyDescent="0.2">
      <c r="E14729" s="18"/>
      <c r="F14729" s="18"/>
    </row>
    <row r="14730" spans="5:6" ht="15" customHeight="1" x14ac:dyDescent="0.2">
      <c r="E14730" s="18"/>
      <c r="F14730" s="18"/>
    </row>
    <row r="14731" spans="5:6" ht="15" customHeight="1" x14ac:dyDescent="0.2">
      <c r="E14731" s="18"/>
      <c r="F14731" s="18"/>
    </row>
    <row r="14732" spans="5:6" ht="15" customHeight="1" x14ac:dyDescent="0.2">
      <c r="E14732" s="18"/>
      <c r="F14732" s="18"/>
    </row>
    <row r="14733" spans="5:6" ht="15" customHeight="1" x14ac:dyDescent="0.2">
      <c r="E14733" s="18"/>
      <c r="F14733" s="18"/>
    </row>
    <row r="14734" spans="5:6" ht="15" customHeight="1" x14ac:dyDescent="0.2">
      <c r="E14734" s="18"/>
      <c r="F14734" s="18"/>
    </row>
    <row r="14735" spans="5:6" ht="15" customHeight="1" x14ac:dyDescent="0.2">
      <c r="E14735" s="18"/>
      <c r="F14735" s="18"/>
    </row>
    <row r="14736" spans="5:6" ht="15" customHeight="1" x14ac:dyDescent="0.2">
      <c r="E14736" s="18"/>
      <c r="F14736" s="18"/>
    </row>
    <row r="14737" spans="5:6" ht="15" customHeight="1" x14ac:dyDescent="0.2">
      <c r="E14737" s="18"/>
      <c r="F14737" s="18"/>
    </row>
    <row r="14738" spans="5:6" ht="15" customHeight="1" x14ac:dyDescent="0.2">
      <c r="E14738" s="18"/>
      <c r="F14738" s="18"/>
    </row>
    <row r="14739" spans="5:6" ht="15" customHeight="1" x14ac:dyDescent="0.2">
      <c r="E14739" s="18"/>
      <c r="F14739" s="18"/>
    </row>
    <row r="14740" spans="5:6" ht="15" customHeight="1" x14ac:dyDescent="0.2">
      <c r="E14740" s="18"/>
      <c r="F14740" s="18"/>
    </row>
    <row r="14741" spans="5:6" ht="15" customHeight="1" x14ac:dyDescent="0.2">
      <c r="E14741" s="18"/>
      <c r="F14741" s="18"/>
    </row>
    <row r="14742" spans="5:6" ht="15" customHeight="1" x14ac:dyDescent="0.2">
      <c r="E14742" s="18"/>
      <c r="F14742" s="18"/>
    </row>
    <row r="14743" spans="5:6" ht="15" customHeight="1" x14ac:dyDescent="0.2">
      <c r="E14743" s="18"/>
      <c r="F14743" s="18"/>
    </row>
    <row r="14744" spans="5:6" ht="15" customHeight="1" x14ac:dyDescent="0.2">
      <c r="E14744" s="18"/>
      <c r="F14744" s="18"/>
    </row>
    <row r="14745" spans="5:6" ht="15" customHeight="1" x14ac:dyDescent="0.2">
      <c r="E14745" s="18"/>
      <c r="F14745" s="18"/>
    </row>
    <row r="14746" spans="5:6" ht="15" customHeight="1" x14ac:dyDescent="0.2">
      <c r="E14746" s="18"/>
      <c r="F14746" s="18"/>
    </row>
    <row r="14747" spans="5:6" ht="15" customHeight="1" x14ac:dyDescent="0.2">
      <c r="E14747" s="18"/>
      <c r="F14747" s="18"/>
    </row>
    <row r="14748" spans="5:6" ht="15" customHeight="1" x14ac:dyDescent="0.2">
      <c r="E14748" s="18"/>
      <c r="F14748" s="18"/>
    </row>
    <row r="14749" spans="5:6" ht="15" customHeight="1" x14ac:dyDescent="0.2">
      <c r="E14749" s="18"/>
      <c r="F14749" s="18"/>
    </row>
    <row r="14750" spans="5:6" ht="15" customHeight="1" x14ac:dyDescent="0.2">
      <c r="E14750" s="18"/>
      <c r="F14750" s="18"/>
    </row>
    <row r="14751" spans="5:6" ht="15" customHeight="1" x14ac:dyDescent="0.2">
      <c r="E14751" s="18"/>
      <c r="F14751" s="18"/>
    </row>
    <row r="14752" spans="5:6" ht="15" customHeight="1" x14ac:dyDescent="0.2">
      <c r="E14752" s="18"/>
      <c r="F14752" s="18"/>
    </row>
    <row r="14753" spans="5:6" ht="15" customHeight="1" x14ac:dyDescent="0.2">
      <c r="E14753" s="18"/>
      <c r="F14753" s="18"/>
    </row>
    <row r="14754" spans="5:6" ht="15" customHeight="1" x14ac:dyDescent="0.2">
      <c r="E14754" s="18"/>
      <c r="F14754" s="18"/>
    </row>
    <row r="14755" spans="5:6" ht="15" customHeight="1" x14ac:dyDescent="0.2">
      <c r="E14755" s="18"/>
      <c r="F14755" s="18"/>
    </row>
    <row r="14756" spans="5:6" ht="15" customHeight="1" x14ac:dyDescent="0.2">
      <c r="E14756" s="18"/>
      <c r="F14756" s="18"/>
    </row>
    <row r="14757" spans="5:6" ht="15" customHeight="1" x14ac:dyDescent="0.2">
      <c r="E14757" s="18"/>
      <c r="F14757" s="18"/>
    </row>
    <row r="14758" spans="5:6" ht="15" customHeight="1" x14ac:dyDescent="0.2">
      <c r="E14758" s="18"/>
      <c r="F14758" s="18"/>
    </row>
    <row r="14759" spans="5:6" ht="15" customHeight="1" x14ac:dyDescent="0.2">
      <c r="E14759" s="18"/>
      <c r="F14759" s="18"/>
    </row>
    <row r="14760" spans="5:6" ht="15" customHeight="1" x14ac:dyDescent="0.2">
      <c r="E14760" s="18"/>
      <c r="F14760" s="18"/>
    </row>
    <row r="14761" spans="5:6" ht="15" customHeight="1" x14ac:dyDescent="0.2">
      <c r="E14761" s="18"/>
      <c r="F14761" s="18"/>
    </row>
    <row r="14762" spans="5:6" ht="15" customHeight="1" x14ac:dyDescent="0.2">
      <c r="E14762" s="18"/>
      <c r="F14762" s="18"/>
    </row>
    <row r="14763" spans="5:6" ht="15" customHeight="1" x14ac:dyDescent="0.2">
      <c r="E14763" s="18"/>
      <c r="F14763" s="18"/>
    </row>
    <row r="14764" spans="5:6" ht="15" customHeight="1" x14ac:dyDescent="0.2">
      <c r="E14764" s="18"/>
      <c r="F14764" s="18"/>
    </row>
    <row r="14765" spans="5:6" ht="15" customHeight="1" x14ac:dyDescent="0.2">
      <c r="E14765" s="18"/>
      <c r="F14765" s="18"/>
    </row>
    <row r="14766" spans="5:6" ht="15" customHeight="1" x14ac:dyDescent="0.2">
      <c r="E14766" s="18"/>
      <c r="F14766" s="18"/>
    </row>
    <row r="14767" spans="5:6" ht="15" customHeight="1" x14ac:dyDescent="0.2">
      <c r="E14767" s="18"/>
      <c r="F14767" s="18"/>
    </row>
    <row r="14768" spans="5:6" ht="15" customHeight="1" x14ac:dyDescent="0.2">
      <c r="E14768" s="18"/>
      <c r="F14768" s="18"/>
    </row>
    <row r="14769" spans="5:6" ht="15" customHeight="1" x14ac:dyDescent="0.2">
      <c r="E14769" s="18"/>
      <c r="F14769" s="18"/>
    </row>
    <row r="14770" spans="5:6" ht="15" customHeight="1" x14ac:dyDescent="0.2">
      <c r="E14770" s="18"/>
      <c r="F14770" s="18"/>
    </row>
    <row r="14771" spans="5:6" ht="15" customHeight="1" x14ac:dyDescent="0.2">
      <c r="E14771" s="18"/>
      <c r="F14771" s="18"/>
    </row>
    <row r="14772" spans="5:6" ht="15" customHeight="1" x14ac:dyDescent="0.2">
      <c r="E14772" s="18"/>
      <c r="F14772" s="18"/>
    </row>
    <row r="14773" spans="5:6" ht="15" customHeight="1" x14ac:dyDescent="0.2">
      <c r="E14773" s="18"/>
      <c r="F14773" s="18"/>
    </row>
    <row r="14774" spans="5:6" ht="15" customHeight="1" x14ac:dyDescent="0.2">
      <c r="E14774" s="18"/>
      <c r="F14774" s="18"/>
    </row>
    <row r="14775" spans="5:6" ht="15" customHeight="1" x14ac:dyDescent="0.2">
      <c r="E14775" s="18"/>
      <c r="F14775" s="18"/>
    </row>
    <row r="14776" spans="5:6" ht="15" customHeight="1" x14ac:dyDescent="0.2">
      <c r="E14776" s="18"/>
      <c r="F14776" s="18"/>
    </row>
    <row r="14777" spans="5:6" ht="15" customHeight="1" x14ac:dyDescent="0.2">
      <c r="E14777" s="18"/>
      <c r="F14777" s="18"/>
    </row>
    <row r="14778" spans="5:6" ht="15" customHeight="1" x14ac:dyDescent="0.2">
      <c r="E14778" s="18"/>
      <c r="F14778" s="18"/>
    </row>
    <row r="14779" spans="5:6" ht="15" customHeight="1" x14ac:dyDescent="0.2">
      <c r="E14779" s="18"/>
      <c r="F14779" s="18"/>
    </row>
    <row r="14780" spans="5:6" ht="15" customHeight="1" x14ac:dyDescent="0.2">
      <c r="E14780" s="18"/>
      <c r="F14780" s="18"/>
    </row>
    <row r="14781" spans="5:6" ht="15" customHeight="1" x14ac:dyDescent="0.2">
      <c r="E14781" s="18"/>
      <c r="F14781" s="18"/>
    </row>
    <row r="14782" spans="5:6" ht="15" customHeight="1" x14ac:dyDescent="0.2">
      <c r="E14782" s="18"/>
      <c r="F14782" s="18"/>
    </row>
    <row r="14783" spans="5:6" ht="15" customHeight="1" x14ac:dyDescent="0.2">
      <c r="E14783" s="18"/>
      <c r="F14783" s="18"/>
    </row>
    <row r="14784" spans="5:6" ht="15" customHeight="1" x14ac:dyDescent="0.2">
      <c r="E14784" s="18"/>
      <c r="F14784" s="18"/>
    </row>
    <row r="14785" spans="5:6" ht="15" customHeight="1" x14ac:dyDescent="0.2">
      <c r="E14785" s="18"/>
      <c r="F14785" s="18"/>
    </row>
    <row r="14786" spans="5:6" ht="15" customHeight="1" x14ac:dyDescent="0.2">
      <c r="E14786" s="18"/>
      <c r="F14786" s="18"/>
    </row>
    <row r="14787" spans="5:6" ht="15" customHeight="1" x14ac:dyDescent="0.2">
      <c r="E14787" s="18"/>
      <c r="F14787" s="18"/>
    </row>
    <row r="14788" spans="5:6" ht="15" customHeight="1" x14ac:dyDescent="0.2">
      <c r="E14788" s="18"/>
      <c r="F14788" s="18"/>
    </row>
    <row r="14789" spans="5:6" ht="15" customHeight="1" x14ac:dyDescent="0.2">
      <c r="E14789" s="18"/>
      <c r="F14789" s="18"/>
    </row>
    <row r="14790" spans="5:6" ht="15" customHeight="1" x14ac:dyDescent="0.2">
      <c r="E14790" s="18"/>
      <c r="F14790" s="18"/>
    </row>
    <row r="14791" spans="5:6" ht="15" customHeight="1" x14ac:dyDescent="0.2">
      <c r="E14791" s="18"/>
      <c r="F14791" s="18"/>
    </row>
    <row r="14792" spans="5:6" ht="15" customHeight="1" x14ac:dyDescent="0.2">
      <c r="E14792" s="18"/>
      <c r="F14792" s="18"/>
    </row>
    <row r="14793" spans="5:6" ht="15" customHeight="1" x14ac:dyDescent="0.2">
      <c r="E14793" s="18"/>
      <c r="F14793" s="18"/>
    </row>
    <row r="14794" spans="5:6" ht="15" customHeight="1" x14ac:dyDescent="0.2">
      <c r="E14794" s="18"/>
      <c r="F14794" s="18"/>
    </row>
    <row r="14795" spans="5:6" ht="15" customHeight="1" x14ac:dyDescent="0.2">
      <c r="E14795" s="18"/>
      <c r="F14795" s="18"/>
    </row>
    <row r="14796" spans="5:6" ht="15" customHeight="1" x14ac:dyDescent="0.2">
      <c r="E14796" s="18"/>
      <c r="F14796" s="18"/>
    </row>
    <row r="14797" spans="5:6" ht="15" customHeight="1" x14ac:dyDescent="0.2">
      <c r="E14797" s="18"/>
      <c r="F14797" s="18"/>
    </row>
    <row r="14798" spans="5:6" ht="15" customHeight="1" x14ac:dyDescent="0.2">
      <c r="E14798" s="18"/>
      <c r="F14798" s="18"/>
    </row>
    <row r="14799" spans="5:6" ht="15" customHeight="1" x14ac:dyDescent="0.2">
      <c r="E14799" s="18"/>
      <c r="F14799" s="18"/>
    </row>
    <row r="14800" spans="5:6" ht="15" customHeight="1" x14ac:dyDescent="0.2">
      <c r="E14800" s="18"/>
      <c r="F14800" s="18"/>
    </row>
    <row r="14801" spans="5:6" ht="15" customHeight="1" x14ac:dyDescent="0.2">
      <c r="E14801" s="18"/>
      <c r="F14801" s="18"/>
    </row>
    <row r="14802" spans="5:6" ht="15" customHeight="1" x14ac:dyDescent="0.2">
      <c r="E14802" s="18"/>
      <c r="F14802" s="18"/>
    </row>
    <row r="14803" spans="5:6" ht="15" customHeight="1" x14ac:dyDescent="0.2">
      <c r="E14803" s="18"/>
      <c r="F14803" s="18"/>
    </row>
    <row r="14804" spans="5:6" ht="15" customHeight="1" x14ac:dyDescent="0.2">
      <c r="E14804" s="18"/>
      <c r="F14804" s="18"/>
    </row>
    <row r="14805" spans="5:6" ht="15" customHeight="1" x14ac:dyDescent="0.2">
      <c r="E14805" s="18"/>
      <c r="F14805" s="18"/>
    </row>
    <row r="14806" spans="5:6" ht="15" customHeight="1" x14ac:dyDescent="0.2">
      <c r="E14806" s="18"/>
      <c r="F14806" s="18"/>
    </row>
    <row r="14807" spans="5:6" ht="15" customHeight="1" x14ac:dyDescent="0.2">
      <c r="E14807" s="18"/>
      <c r="F14807" s="18"/>
    </row>
    <row r="14808" spans="5:6" ht="15" customHeight="1" x14ac:dyDescent="0.2">
      <c r="E14808" s="18"/>
      <c r="F14808" s="18"/>
    </row>
    <row r="14809" spans="5:6" ht="15" customHeight="1" x14ac:dyDescent="0.2">
      <c r="E14809" s="18"/>
      <c r="F14809" s="18"/>
    </row>
    <row r="14810" spans="5:6" ht="15" customHeight="1" x14ac:dyDescent="0.2">
      <c r="E14810" s="18"/>
      <c r="F14810" s="18"/>
    </row>
    <row r="14811" spans="5:6" ht="15" customHeight="1" x14ac:dyDescent="0.2">
      <c r="E14811" s="18"/>
      <c r="F14811" s="18"/>
    </row>
    <row r="14812" spans="5:6" ht="15" customHeight="1" x14ac:dyDescent="0.2">
      <c r="E14812" s="18"/>
      <c r="F14812" s="18"/>
    </row>
    <row r="14813" spans="5:6" ht="15" customHeight="1" x14ac:dyDescent="0.2">
      <c r="E14813" s="18"/>
      <c r="F14813" s="18"/>
    </row>
    <row r="14814" spans="5:6" ht="15" customHeight="1" x14ac:dyDescent="0.2">
      <c r="E14814" s="18"/>
      <c r="F14814" s="18"/>
    </row>
    <row r="14815" spans="5:6" ht="15" customHeight="1" x14ac:dyDescent="0.2">
      <c r="E14815" s="18"/>
      <c r="F14815" s="18"/>
    </row>
    <row r="14816" spans="5:6" ht="15" customHeight="1" x14ac:dyDescent="0.2">
      <c r="E14816" s="18"/>
      <c r="F14816" s="18"/>
    </row>
    <row r="14817" spans="5:6" ht="15" customHeight="1" x14ac:dyDescent="0.2">
      <c r="E14817" s="18"/>
      <c r="F14817" s="18"/>
    </row>
    <row r="14818" spans="5:6" ht="15" customHeight="1" x14ac:dyDescent="0.2">
      <c r="E14818" s="18"/>
      <c r="F14818" s="18"/>
    </row>
    <row r="14819" spans="5:6" ht="15" customHeight="1" x14ac:dyDescent="0.2">
      <c r="E14819" s="18"/>
      <c r="F14819" s="18"/>
    </row>
    <row r="14820" spans="5:6" ht="15" customHeight="1" x14ac:dyDescent="0.2">
      <c r="E14820" s="18"/>
      <c r="F14820" s="18"/>
    </row>
    <row r="14821" spans="5:6" ht="15" customHeight="1" x14ac:dyDescent="0.2">
      <c r="E14821" s="18"/>
      <c r="F14821" s="18"/>
    </row>
    <row r="14822" spans="5:6" ht="15" customHeight="1" x14ac:dyDescent="0.2">
      <c r="E14822" s="18"/>
      <c r="F14822" s="18"/>
    </row>
    <row r="14823" spans="5:6" ht="15" customHeight="1" x14ac:dyDescent="0.2">
      <c r="E14823" s="18"/>
      <c r="F14823" s="18"/>
    </row>
    <row r="14824" spans="5:6" ht="15" customHeight="1" x14ac:dyDescent="0.2">
      <c r="E14824" s="18"/>
      <c r="F14824" s="18"/>
    </row>
    <row r="14825" spans="5:6" ht="15" customHeight="1" x14ac:dyDescent="0.2">
      <c r="E14825" s="18"/>
      <c r="F14825" s="18"/>
    </row>
    <row r="14826" spans="5:6" ht="15" customHeight="1" x14ac:dyDescent="0.2">
      <c r="E14826" s="18"/>
      <c r="F14826" s="18"/>
    </row>
    <row r="14827" spans="5:6" ht="15" customHeight="1" x14ac:dyDescent="0.2">
      <c r="E14827" s="18"/>
      <c r="F14827" s="18"/>
    </row>
    <row r="14828" spans="5:6" ht="15" customHeight="1" x14ac:dyDescent="0.2">
      <c r="E14828" s="18"/>
      <c r="F14828" s="18"/>
    </row>
    <row r="14829" spans="5:6" ht="15" customHeight="1" x14ac:dyDescent="0.2">
      <c r="E14829" s="18"/>
      <c r="F14829" s="18"/>
    </row>
    <row r="14830" spans="5:6" ht="15" customHeight="1" x14ac:dyDescent="0.2">
      <c r="E14830" s="18"/>
      <c r="F14830" s="18"/>
    </row>
    <row r="14831" spans="5:6" ht="15" customHeight="1" x14ac:dyDescent="0.2">
      <c r="E14831" s="18"/>
      <c r="F14831" s="18"/>
    </row>
    <row r="14832" spans="5:6" ht="15" customHeight="1" x14ac:dyDescent="0.2">
      <c r="E14832" s="18"/>
      <c r="F14832" s="18"/>
    </row>
    <row r="14833" spans="5:6" ht="15" customHeight="1" x14ac:dyDescent="0.2">
      <c r="E14833" s="18"/>
      <c r="F14833" s="18"/>
    </row>
    <row r="14834" spans="5:6" ht="15" customHeight="1" x14ac:dyDescent="0.2">
      <c r="E14834" s="18"/>
      <c r="F14834" s="18"/>
    </row>
    <row r="14835" spans="5:6" ht="15" customHeight="1" x14ac:dyDescent="0.2">
      <c r="E14835" s="18"/>
      <c r="F14835" s="18"/>
    </row>
    <row r="14836" spans="5:6" ht="15" customHeight="1" x14ac:dyDescent="0.2">
      <c r="E14836" s="18"/>
      <c r="F14836" s="18"/>
    </row>
    <row r="14837" spans="5:6" ht="15" customHeight="1" x14ac:dyDescent="0.2">
      <c r="E14837" s="18"/>
      <c r="F14837" s="18"/>
    </row>
    <row r="14838" spans="5:6" ht="15" customHeight="1" x14ac:dyDescent="0.2">
      <c r="E14838" s="18"/>
      <c r="F14838" s="18"/>
    </row>
    <row r="14839" spans="5:6" ht="15" customHeight="1" x14ac:dyDescent="0.2">
      <c r="E14839" s="18"/>
      <c r="F14839" s="18"/>
    </row>
    <row r="14840" spans="5:6" ht="15" customHeight="1" x14ac:dyDescent="0.2">
      <c r="E14840" s="18"/>
      <c r="F14840" s="18"/>
    </row>
    <row r="14841" spans="5:6" ht="15" customHeight="1" x14ac:dyDescent="0.2">
      <c r="E14841" s="18"/>
      <c r="F14841" s="18"/>
    </row>
    <row r="14842" spans="5:6" ht="15" customHeight="1" x14ac:dyDescent="0.2">
      <c r="E14842" s="18"/>
      <c r="F14842" s="18"/>
    </row>
    <row r="14843" spans="5:6" ht="15" customHeight="1" x14ac:dyDescent="0.2">
      <c r="E14843" s="18"/>
      <c r="F14843" s="18"/>
    </row>
    <row r="14844" spans="5:6" ht="15" customHeight="1" x14ac:dyDescent="0.2">
      <c r="E14844" s="18"/>
      <c r="F14844" s="18"/>
    </row>
    <row r="14845" spans="5:6" ht="15" customHeight="1" x14ac:dyDescent="0.2">
      <c r="E14845" s="18"/>
      <c r="F14845" s="18"/>
    </row>
    <row r="14846" spans="5:6" ht="15" customHeight="1" x14ac:dyDescent="0.2">
      <c r="E14846" s="18"/>
      <c r="F14846" s="18"/>
    </row>
    <row r="14847" spans="5:6" ht="15" customHeight="1" x14ac:dyDescent="0.2">
      <c r="E14847" s="18"/>
      <c r="F14847" s="18"/>
    </row>
    <row r="14848" spans="5:6" ht="15" customHeight="1" x14ac:dyDescent="0.2">
      <c r="E14848" s="18"/>
      <c r="F14848" s="18"/>
    </row>
    <row r="14849" spans="5:6" ht="15" customHeight="1" x14ac:dyDescent="0.2">
      <c r="E14849" s="18"/>
      <c r="F14849" s="18"/>
    </row>
    <row r="14850" spans="5:6" ht="15" customHeight="1" x14ac:dyDescent="0.2">
      <c r="E14850" s="18"/>
      <c r="F14850" s="18"/>
    </row>
    <row r="14851" spans="5:6" ht="15" customHeight="1" x14ac:dyDescent="0.2">
      <c r="E14851" s="18"/>
      <c r="F14851" s="18"/>
    </row>
    <row r="14852" spans="5:6" ht="15" customHeight="1" x14ac:dyDescent="0.2">
      <c r="E14852" s="18"/>
      <c r="F14852" s="18"/>
    </row>
    <row r="14853" spans="5:6" ht="15" customHeight="1" x14ac:dyDescent="0.2">
      <c r="E14853" s="18"/>
      <c r="F14853" s="18"/>
    </row>
    <row r="14854" spans="5:6" ht="15" customHeight="1" x14ac:dyDescent="0.2">
      <c r="E14854" s="18"/>
      <c r="F14854" s="18"/>
    </row>
    <row r="14855" spans="5:6" ht="15" customHeight="1" x14ac:dyDescent="0.2">
      <c r="E14855" s="18"/>
      <c r="F14855" s="18"/>
    </row>
    <row r="14856" spans="5:6" ht="15" customHeight="1" x14ac:dyDescent="0.2">
      <c r="E14856" s="18"/>
      <c r="F14856" s="18"/>
    </row>
    <row r="14857" spans="5:6" ht="15" customHeight="1" x14ac:dyDescent="0.2">
      <c r="E14857" s="18"/>
      <c r="F14857" s="18"/>
    </row>
    <row r="14858" spans="5:6" ht="15" customHeight="1" x14ac:dyDescent="0.2">
      <c r="E14858" s="18"/>
      <c r="F14858" s="18"/>
    </row>
    <row r="14859" spans="5:6" ht="15" customHeight="1" x14ac:dyDescent="0.2">
      <c r="E14859" s="18"/>
      <c r="F14859" s="18"/>
    </row>
    <row r="14860" spans="5:6" ht="15" customHeight="1" x14ac:dyDescent="0.2">
      <c r="E14860" s="18"/>
      <c r="F14860" s="18"/>
    </row>
    <row r="14861" spans="5:6" ht="15" customHeight="1" x14ac:dyDescent="0.2">
      <c r="E14861" s="18"/>
      <c r="F14861" s="18"/>
    </row>
    <row r="14862" spans="5:6" ht="15" customHeight="1" x14ac:dyDescent="0.2">
      <c r="E14862" s="18"/>
      <c r="F14862" s="18"/>
    </row>
    <row r="14863" spans="5:6" ht="15" customHeight="1" x14ac:dyDescent="0.2">
      <c r="E14863" s="18"/>
      <c r="F14863" s="18"/>
    </row>
    <row r="14864" spans="5:6" ht="15" customHeight="1" x14ac:dyDescent="0.2">
      <c r="E14864" s="18"/>
      <c r="F14864" s="18"/>
    </row>
    <row r="14865" spans="5:6" ht="15" customHeight="1" x14ac:dyDescent="0.2">
      <c r="E14865" s="18"/>
      <c r="F14865" s="18"/>
    </row>
    <row r="14866" spans="5:6" ht="15" customHeight="1" x14ac:dyDescent="0.2">
      <c r="E14866" s="18"/>
      <c r="F14866" s="18"/>
    </row>
    <row r="14867" spans="5:6" ht="15" customHeight="1" x14ac:dyDescent="0.2">
      <c r="E14867" s="18"/>
      <c r="F14867" s="18"/>
    </row>
    <row r="14868" spans="5:6" ht="15" customHeight="1" x14ac:dyDescent="0.2">
      <c r="E14868" s="18"/>
      <c r="F14868" s="18"/>
    </row>
    <row r="14869" spans="5:6" ht="15" customHeight="1" x14ac:dyDescent="0.2">
      <c r="E14869" s="18"/>
      <c r="F14869" s="18"/>
    </row>
    <row r="14870" spans="5:6" ht="15" customHeight="1" x14ac:dyDescent="0.2">
      <c r="E14870" s="18"/>
      <c r="F14870" s="18"/>
    </row>
    <row r="14871" spans="5:6" ht="15" customHeight="1" x14ac:dyDescent="0.2">
      <c r="E14871" s="18"/>
      <c r="F14871" s="18"/>
    </row>
    <row r="14872" spans="5:6" ht="15" customHeight="1" x14ac:dyDescent="0.2">
      <c r="E14872" s="18"/>
      <c r="F14872" s="18"/>
    </row>
    <row r="14873" spans="5:6" ht="15" customHeight="1" x14ac:dyDescent="0.2">
      <c r="E14873" s="18"/>
      <c r="F14873" s="18"/>
    </row>
    <row r="14874" spans="5:6" ht="15" customHeight="1" x14ac:dyDescent="0.2">
      <c r="E14874" s="18"/>
      <c r="F14874" s="18"/>
    </row>
    <row r="14875" spans="5:6" ht="15" customHeight="1" x14ac:dyDescent="0.2">
      <c r="E14875" s="18"/>
      <c r="F14875" s="18"/>
    </row>
    <row r="14876" spans="5:6" ht="15" customHeight="1" x14ac:dyDescent="0.2">
      <c r="E14876" s="18"/>
      <c r="F14876" s="18"/>
    </row>
    <row r="14877" spans="5:6" ht="15" customHeight="1" x14ac:dyDescent="0.2">
      <c r="E14877" s="18"/>
      <c r="F14877" s="18"/>
    </row>
    <row r="14878" spans="5:6" ht="15" customHeight="1" x14ac:dyDescent="0.2">
      <c r="E14878" s="18"/>
      <c r="F14878" s="18"/>
    </row>
    <row r="14879" spans="5:6" ht="15" customHeight="1" x14ac:dyDescent="0.2">
      <c r="E14879" s="18"/>
      <c r="F14879" s="18"/>
    </row>
    <row r="14880" spans="5:6" ht="15" customHeight="1" x14ac:dyDescent="0.2">
      <c r="E14880" s="18"/>
      <c r="F14880" s="18"/>
    </row>
    <row r="14881" spans="5:6" ht="15" customHeight="1" x14ac:dyDescent="0.2">
      <c r="E14881" s="18"/>
      <c r="F14881" s="18"/>
    </row>
    <row r="14882" spans="5:6" ht="15" customHeight="1" x14ac:dyDescent="0.2">
      <c r="E14882" s="18"/>
      <c r="F14882" s="18"/>
    </row>
    <row r="14883" spans="5:6" ht="15" customHeight="1" x14ac:dyDescent="0.2">
      <c r="E14883" s="18"/>
      <c r="F14883" s="18"/>
    </row>
    <row r="14884" spans="5:6" ht="15" customHeight="1" x14ac:dyDescent="0.2">
      <c r="E14884" s="18"/>
      <c r="F14884" s="18"/>
    </row>
    <row r="14885" spans="5:6" ht="15" customHeight="1" x14ac:dyDescent="0.2">
      <c r="E14885" s="18"/>
      <c r="F14885" s="18"/>
    </row>
    <row r="14886" spans="5:6" ht="15" customHeight="1" x14ac:dyDescent="0.2">
      <c r="E14886" s="18"/>
      <c r="F14886" s="18"/>
    </row>
    <row r="14887" spans="5:6" ht="15" customHeight="1" x14ac:dyDescent="0.2">
      <c r="E14887" s="18"/>
      <c r="F14887" s="18"/>
    </row>
    <row r="14888" spans="5:6" ht="15" customHeight="1" x14ac:dyDescent="0.2">
      <c r="E14888" s="18"/>
      <c r="F14888" s="18"/>
    </row>
    <row r="14889" spans="5:6" ht="15" customHeight="1" x14ac:dyDescent="0.2">
      <c r="E14889" s="18"/>
      <c r="F14889" s="18"/>
    </row>
    <row r="14890" spans="5:6" ht="15" customHeight="1" x14ac:dyDescent="0.2">
      <c r="E14890" s="18"/>
      <c r="F14890" s="18"/>
    </row>
    <row r="14891" spans="5:6" ht="15" customHeight="1" x14ac:dyDescent="0.2">
      <c r="E14891" s="18"/>
      <c r="F14891" s="18"/>
    </row>
    <row r="14892" spans="5:6" ht="15" customHeight="1" x14ac:dyDescent="0.2">
      <c r="E14892" s="18"/>
      <c r="F14892" s="18"/>
    </row>
    <row r="14893" spans="5:6" ht="15" customHeight="1" x14ac:dyDescent="0.2">
      <c r="E14893" s="18"/>
      <c r="F14893" s="18"/>
    </row>
    <row r="14894" spans="5:6" ht="15" customHeight="1" x14ac:dyDescent="0.2">
      <c r="E14894" s="18"/>
      <c r="F14894" s="18"/>
    </row>
    <row r="14895" spans="5:6" ht="15" customHeight="1" x14ac:dyDescent="0.2">
      <c r="E14895" s="18"/>
      <c r="F14895" s="18"/>
    </row>
    <row r="14896" spans="5:6" ht="15" customHeight="1" x14ac:dyDescent="0.2">
      <c r="E14896" s="18"/>
      <c r="F14896" s="18"/>
    </row>
    <row r="14897" spans="5:6" ht="15" customHeight="1" x14ac:dyDescent="0.2">
      <c r="E14897" s="18"/>
      <c r="F14897" s="18"/>
    </row>
    <row r="14898" spans="5:6" ht="15" customHeight="1" x14ac:dyDescent="0.2">
      <c r="E14898" s="18"/>
      <c r="F14898" s="18"/>
    </row>
    <row r="14899" spans="5:6" ht="15" customHeight="1" x14ac:dyDescent="0.2">
      <c r="E14899" s="18"/>
      <c r="F14899" s="18"/>
    </row>
    <row r="14900" spans="5:6" ht="15" customHeight="1" x14ac:dyDescent="0.2">
      <c r="E14900" s="18"/>
      <c r="F14900" s="18"/>
    </row>
    <row r="14901" spans="5:6" ht="15" customHeight="1" x14ac:dyDescent="0.2">
      <c r="E14901" s="18"/>
      <c r="F14901" s="18"/>
    </row>
    <row r="14902" spans="5:6" ht="15" customHeight="1" x14ac:dyDescent="0.2">
      <c r="E14902" s="18"/>
      <c r="F14902" s="18"/>
    </row>
    <row r="14903" spans="5:6" ht="15" customHeight="1" x14ac:dyDescent="0.2">
      <c r="E14903" s="18"/>
      <c r="F14903" s="18"/>
    </row>
    <row r="14904" spans="5:6" ht="15" customHeight="1" x14ac:dyDescent="0.2">
      <c r="E14904" s="18"/>
      <c r="F14904" s="18"/>
    </row>
    <row r="14905" spans="5:6" ht="15" customHeight="1" x14ac:dyDescent="0.2">
      <c r="E14905" s="18"/>
      <c r="F14905" s="18"/>
    </row>
    <row r="14906" spans="5:6" ht="15" customHeight="1" x14ac:dyDescent="0.2">
      <c r="E14906" s="18"/>
      <c r="F14906" s="18"/>
    </row>
    <row r="14907" spans="5:6" ht="15" customHeight="1" x14ac:dyDescent="0.2">
      <c r="E14907" s="18"/>
      <c r="F14907" s="18"/>
    </row>
    <row r="14908" spans="5:6" ht="15" customHeight="1" x14ac:dyDescent="0.2">
      <c r="E14908" s="18"/>
      <c r="F14908" s="18"/>
    </row>
    <row r="14909" spans="5:6" ht="15" customHeight="1" x14ac:dyDescent="0.2">
      <c r="E14909" s="18"/>
      <c r="F14909" s="18"/>
    </row>
    <row r="14910" spans="5:6" ht="15" customHeight="1" x14ac:dyDescent="0.2">
      <c r="E14910" s="18"/>
      <c r="F14910" s="18"/>
    </row>
    <row r="14911" spans="5:6" ht="15" customHeight="1" x14ac:dyDescent="0.2">
      <c r="E14911" s="18"/>
      <c r="F14911" s="18"/>
    </row>
    <row r="14912" spans="5:6" ht="15" customHeight="1" x14ac:dyDescent="0.2">
      <c r="E14912" s="18"/>
      <c r="F14912" s="18"/>
    </row>
    <row r="14913" spans="5:6" ht="15" customHeight="1" x14ac:dyDescent="0.2">
      <c r="E14913" s="18"/>
      <c r="F14913" s="18"/>
    </row>
    <row r="14914" spans="5:6" ht="15" customHeight="1" x14ac:dyDescent="0.2">
      <c r="E14914" s="18"/>
      <c r="F14914" s="18"/>
    </row>
    <row r="14915" spans="5:6" ht="15" customHeight="1" x14ac:dyDescent="0.2">
      <c r="E14915" s="18"/>
      <c r="F14915" s="18"/>
    </row>
    <row r="14916" spans="5:6" ht="15" customHeight="1" x14ac:dyDescent="0.2">
      <c r="E14916" s="18"/>
      <c r="F14916" s="18"/>
    </row>
    <row r="14917" spans="5:6" ht="15" customHeight="1" x14ac:dyDescent="0.2">
      <c r="E14917" s="18"/>
      <c r="F14917" s="18"/>
    </row>
    <row r="14918" spans="5:6" ht="15" customHeight="1" x14ac:dyDescent="0.2">
      <c r="E14918" s="18"/>
      <c r="F14918" s="18"/>
    </row>
    <row r="14919" spans="5:6" ht="15" customHeight="1" x14ac:dyDescent="0.2">
      <c r="E14919" s="18"/>
      <c r="F14919" s="18"/>
    </row>
    <row r="14920" spans="5:6" ht="15" customHeight="1" x14ac:dyDescent="0.2">
      <c r="E14920" s="18"/>
      <c r="F14920" s="18"/>
    </row>
    <row r="14921" spans="5:6" ht="15" customHeight="1" x14ac:dyDescent="0.2">
      <c r="E14921" s="18"/>
      <c r="F14921" s="18"/>
    </row>
    <row r="14922" spans="5:6" ht="15" customHeight="1" x14ac:dyDescent="0.2">
      <c r="E14922" s="18"/>
      <c r="F14922" s="18"/>
    </row>
    <row r="14923" spans="5:6" ht="15" customHeight="1" x14ac:dyDescent="0.2">
      <c r="E14923" s="18"/>
      <c r="F14923" s="18"/>
    </row>
    <row r="14924" spans="5:6" ht="15" customHeight="1" x14ac:dyDescent="0.2">
      <c r="E14924" s="18"/>
      <c r="F14924" s="18"/>
    </row>
    <row r="14925" spans="5:6" ht="15" customHeight="1" x14ac:dyDescent="0.2">
      <c r="E14925" s="18"/>
      <c r="F14925" s="18"/>
    </row>
    <row r="14926" spans="5:6" ht="15" customHeight="1" x14ac:dyDescent="0.2">
      <c r="E14926" s="18"/>
      <c r="F14926" s="18"/>
    </row>
    <row r="14927" spans="5:6" ht="15" customHeight="1" x14ac:dyDescent="0.2">
      <c r="E14927" s="18"/>
      <c r="F14927" s="18"/>
    </row>
    <row r="14928" spans="5:6" ht="15" customHeight="1" x14ac:dyDescent="0.2">
      <c r="E14928" s="18"/>
      <c r="F14928" s="18"/>
    </row>
    <row r="14929" spans="5:6" ht="15" customHeight="1" x14ac:dyDescent="0.2">
      <c r="E14929" s="18"/>
      <c r="F14929" s="18"/>
    </row>
    <row r="14930" spans="5:6" ht="15" customHeight="1" x14ac:dyDescent="0.2">
      <c r="E14930" s="18"/>
      <c r="F14930" s="18"/>
    </row>
    <row r="14931" spans="5:6" ht="15" customHeight="1" x14ac:dyDescent="0.2">
      <c r="E14931" s="18"/>
      <c r="F14931" s="18"/>
    </row>
    <row r="14932" spans="5:6" ht="15" customHeight="1" x14ac:dyDescent="0.2">
      <c r="E14932" s="18"/>
      <c r="F14932" s="18"/>
    </row>
    <row r="14933" spans="5:6" ht="15" customHeight="1" x14ac:dyDescent="0.2">
      <c r="E14933" s="18"/>
      <c r="F14933" s="18"/>
    </row>
    <row r="14934" spans="5:6" ht="15" customHeight="1" x14ac:dyDescent="0.2">
      <c r="E14934" s="18"/>
      <c r="F14934" s="18"/>
    </row>
    <row r="14935" spans="5:6" ht="15" customHeight="1" x14ac:dyDescent="0.2">
      <c r="E14935" s="18"/>
      <c r="F14935" s="18"/>
    </row>
    <row r="14936" spans="5:6" ht="15" customHeight="1" x14ac:dyDescent="0.2">
      <c r="E14936" s="18"/>
      <c r="F14936" s="18"/>
    </row>
    <row r="14937" spans="5:6" ht="15" customHeight="1" x14ac:dyDescent="0.2">
      <c r="E14937" s="18"/>
      <c r="F14937" s="18"/>
    </row>
    <row r="14938" spans="5:6" ht="15" customHeight="1" x14ac:dyDescent="0.2">
      <c r="E14938" s="18"/>
      <c r="F14938" s="18"/>
    </row>
    <row r="14939" spans="5:6" ht="15" customHeight="1" x14ac:dyDescent="0.2">
      <c r="E14939" s="18"/>
      <c r="F14939" s="18"/>
    </row>
    <row r="14940" spans="5:6" ht="15" customHeight="1" x14ac:dyDescent="0.2">
      <c r="E14940" s="18"/>
      <c r="F14940" s="18"/>
    </row>
    <row r="14941" spans="5:6" ht="15" customHeight="1" x14ac:dyDescent="0.2">
      <c r="E14941" s="18"/>
      <c r="F14941" s="18"/>
    </row>
    <row r="14942" spans="5:6" ht="15" customHeight="1" x14ac:dyDescent="0.2">
      <c r="E14942" s="18"/>
      <c r="F14942" s="18"/>
    </row>
    <row r="14943" spans="5:6" ht="15" customHeight="1" x14ac:dyDescent="0.2">
      <c r="E14943" s="18"/>
      <c r="F14943" s="18"/>
    </row>
    <row r="14944" spans="5:6" ht="15" customHeight="1" x14ac:dyDescent="0.2">
      <c r="E14944" s="18"/>
      <c r="F14944" s="18"/>
    </row>
    <row r="14945" spans="5:6" ht="15" customHeight="1" x14ac:dyDescent="0.2">
      <c r="E14945" s="18"/>
      <c r="F14945" s="18"/>
    </row>
    <row r="14946" spans="5:6" ht="15" customHeight="1" x14ac:dyDescent="0.2">
      <c r="E14946" s="18"/>
      <c r="F14946" s="18"/>
    </row>
    <row r="14947" spans="5:6" ht="15" customHeight="1" x14ac:dyDescent="0.2">
      <c r="E14947" s="18"/>
      <c r="F14947" s="18"/>
    </row>
    <row r="14948" spans="5:6" ht="15" customHeight="1" x14ac:dyDescent="0.2">
      <c r="E14948" s="18"/>
      <c r="F14948" s="18"/>
    </row>
    <row r="14949" spans="5:6" ht="15" customHeight="1" x14ac:dyDescent="0.2">
      <c r="E14949" s="18"/>
      <c r="F14949" s="18"/>
    </row>
    <row r="14950" spans="5:6" ht="15" customHeight="1" x14ac:dyDescent="0.2">
      <c r="E14950" s="18"/>
      <c r="F14950" s="18"/>
    </row>
    <row r="14951" spans="5:6" ht="15" customHeight="1" x14ac:dyDescent="0.2">
      <c r="E14951" s="18"/>
      <c r="F14951" s="18"/>
    </row>
    <row r="14952" spans="5:6" ht="15" customHeight="1" x14ac:dyDescent="0.2">
      <c r="E14952" s="18"/>
      <c r="F14952" s="18"/>
    </row>
    <row r="14953" spans="5:6" ht="15" customHeight="1" x14ac:dyDescent="0.2">
      <c r="E14953" s="18"/>
      <c r="F14953" s="18"/>
    </row>
    <row r="14954" spans="5:6" ht="15" customHeight="1" x14ac:dyDescent="0.2">
      <c r="E14954" s="18"/>
      <c r="F14954" s="18"/>
    </row>
    <row r="14955" spans="5:6" ht="15" customHeight="1" x14ac:dyDescent="0.2">
      <c r="E14955" s="18"/>
      <c r="F14955" s="18"/>
    </row>
    <row r="14956" spans="5:6" ht="15" customHeight="1" x14ac:dyDescent="0.2">
      <c r="E14956" s="18"/>
      <c r="F14956" s="18"/>
    </row>
    <row r="14957" spans="5:6" ht="15" customHeight="1" x14ac:dyDescent="0.2">
      <c r="E14957" s="18"/>
      <c r="F14957" s="18"/>
    </row>
    <row r="14958" spans="5:6" ht="15" customHeight="1" x14ac:dyDescent="0.2">
      <c r="E14958" s="18"/>
      <c r="F14958" s="18"/>
    </row>
    <row r="14959" spans="5:6" ht="15" customHeight="1" x14ac:dyDescent="0.2">
      <c r="E14959" s="18"/>
      <c r="F14959" s="18"/>
    </row>
    <row r="14960" spans="5:6" ht="15" customHeight="1" x14ac:dyDescent="0.2">
      <c r="E14960" s="18"/>
      <c r="F14960" s="18"/>
    </row>
    <row r="14961" spans="5:6" ht="15" customHeight="1" x14ac:dyDescent="0.2">
      <c r="E14961" s="18"/>
      <c r="F14961" s="18"/>
    </row>
    <row r="14962" spans="5:6" ht="15" customHeight="1" x14ac:dyDescent="0.2">
      <c r="E14962" s="18"/>
      <c r="F14962" s="18"/>
    </row>
    <row r="14963" spans="5:6" ht="15" customHeight="1" x14ac:dyDescent="0.2">
      <c r="E14963" s="18"/>
      <c r="F14963" s="18"/>
    </row>
    <row r="14964" spans="5:6" ht="15" customHeight="1" x14ac:dyDescent="0.2">
      <c r="E14964" s="18"/>
      <c r="F14964" s="18"/>
    </row>
    <row r="14965" spans="5:6" ht="15" customHeight="1" x14ac:dyDescent="0.2">
      <c r="E14965" s="18"/>
      <c r="F14965" s="18"/>
    </row>
    <row r="14966" spans="5:6" ht="15" customHeight="1" x14ac:dyDescent="0.2">
      <c r="E14966" s="18"/>
      <c r="F14966" s="18"/>
    </row>
    <row r="14967" spans="5:6" ht="15" customHeight="1" x14ac:dyDescent="0.2">
      <c r="E14967" s="18"/>
      <c r="F14967" s="18"/>
    </row>
    <row r="14968" spans="5:6" ht="15" customHeight="1" x14ac:dyDescent="0.2">
      <c r="E14968" s="18"/>
      <c r="F14968" s="18"/>
    </row>
    <row r="14969" spans="5:6" ht="15" customHeight="1" x14ac:dyDescent="0.2">
      <c r="E14969" s="18"/>
      <c r="F14969" s="18"/>
    </row>
    <row r="14970" spans="5:6" ht="15" customHeight="1" x14ac:dyDescent="0.2">
      <c r="E14970" s="18"/>
      <c r="F14970" s="18"/>
    </row>
    <row r="14971" spans="5:6" ht="15" customHeight="1" x14ac:dyDescent="0.2">
      <c r="E14971" s="18"/>
      <c r="F14971" s="18"/>
    </row>
    <row r="14972" spans="5:6" ht="15" customHeight="1" x14ac:dyDescent="0.2">
      <c r="E14972" s="18"/>
      <c r="F14972" s="18"/>
    </row>
    <row r="14973" spans="5:6" ht="15" customHeight="1" x14ac:dyDescent="0.2">
      <c r="E14973" s="18"/>
      <c r="F14973" s="18"/>
    </row>
    <row r="14974" spans="5:6" ht="15" customHeight="1" x14ac:dyDescent="0.2">
      <c r="E14974" s="18"/>
      <c r="F14974" s="18"/>
    </row>
    <row r="14975" spans="5:6" ht="15" customHeight="1" x14ac:dyDescent="0.2">
      <c r="E14975" s="18"/>
      <c r="F14975" s="18"/>
    </row>
    <row r="14976" spans="5:6" ht="15" customHeight="1" x14ac:dyDescent="0.2">
      <c r="E14976" s="18"/>
      <c r="F14976" s="18"/>
    </row>
    <row r="14977" spans="5:6" ht="15" customHeight="1" x14ac:dyDescent="0.2">
      <c r="E14977" s="18"/>
      <c r="F14977" s="18"/>
    </row>
    <row r="14978" spans="5:6" ht="15" customHeight="1" x14ac:dyDescent="0.2">
      <c r="E14978" s="18"/>
      <c r="F14978" s="18"/>
    </row>
    <row r="14979" spans="5:6" ht="15" customHeight="1" x14ac:dyDescent="0.2">
      <c r="E14979" s="18"/>
      <c r="F14979" s="18"/>
    </row>
    <row r="14980" spans="5:6" ht="15" customHeight="1" x14ac:dyDescent="0.2">
      <c r="E14980" s="18"/>
      <c r="F14980" s="18"/>
    </row>
    <row r="14981" spans="5:6" ht="15" customHeight="1" x14ac:dyDescent="0.2">
      <c r="E14981" s="18"/>
      <c r="F14981" s="18"/>
    </row>
    <row r="14982" spans="5:6" ht="15" customHeight="1" x14ac:dyDescent="0.2">
      <c r="E14982" s="18"/>
      <c r="F14982" s="18"/>
    </row>
    <row r="14983" spans="5:6" ht="15" customHeight="1" x14ac:dyDescent="0.2">
      <c r="E14983" s="18"/>
      <c r="F14983" s="18"/>
    </row>
    <row r="14984" spans="5:6" ht="15" customHeight="1" x14ac:dyDescent="0.2">
      <c r="E14984" s="18"/>
      <c r="F14984" s="18"/>
    </row>
    <row r="14985" spans="5:6" ht="15" customHeight="1" x14ac:dyDescent="0.2">
      <c r="E14985" s="18"/>
      <c r="F14985" s="18"/>
    </row>
    <row r="14986" spans="5:6" ht="15" customHeight="1" x14ac:dyDescent="0.2">
      <c r="E14986" s="18"/>
      <c r="F14986" s="18"/>
    </row>
    <row r="14987" spans="5:6" ht="15" customHeight="1" x14ac:dyDescent="0.2">
      <c r="E14987" s="18"/>
      <c r="F14987" s="18"/>
    </row>
    <row r="14988" spans="5:6" ht="15" customHeight="1" x14ac:dyDescent="0.2">
      <c r="E14988" s="18"/>
      <c r="F14988" s="18"/>
    </row>
    <row r="14989" spans="5:6" ht="15" customHeight="1" x14ac:dyDescent="0.2">
      <c r="E14989" s="18"/>
      <c r="F14989" s="18"/>
    </row>
    <row r="14990" spans="5:6" ht="15" customHeight="1" x14ac:dyDescent="0.2">
      <c r="E14990" s="18"/>
      <c r="F14990" s="18"/>
    </row>
    <row r="14991" spans="5:6" ht="15" customHeight="1" x14ac:dyDescent="0.2">
      <c r="E14991" s="18"/>
      <c r="F14991" s="18"/>
    </row>
    <row r="14992" spans="5:6" ht="15" customHeight="1" x14ac:dyDescent="0.2">
      <c r="E14992" s="18"/>
      <c r="F14992" s="18"/>
    </row>
    <row r="14993" spans="5:6" ht="15" customHeight="1" x14ac:dyDescent="0.2">
      <c r="E14993" s="18"/>
      <c r="F14993" s="18"/>
    </row>
    <row r="14994" spans="5:6" ht="15" customHeight="1" x14ac:dyDescent="0.2">
      <c r="E14994" s="18"/>
      <c r="F14994" s="18"/>
    </row>
    <row r="14995" spans="5:6" ht="15" customHeight="1" x14ac:dyDescent="0.2">
      <c r="E14995" s="18"/>
      <c r="F14995" s="18"/>
    </row>
    <row r="14996" spans="5:6" ht="15" customHeight="1" x14ac:dyDescent="0.2">
      <c r="E14996" s="18"/>
      <c r="F14996" s="18"/>
    </row>
    <row r="14997" spans="5:6" ht="15" customHeight="1" x14ac:dyDescent="0.2">
      <c r="E14997" s="18"/>
      <c r="F14997" s="18"/>
    </row>
    <row r="14998" spans="5:6" ht="15" customHeight="1" x14ac:dyDescent="0.2">
      <c r="E14998" s="18"/>
      <c r="F14998" s="18"/>
    </row>
    <row r="14999" spans="5:6" ht="15" customHeight="1" x14ac:dyDescent="0.2">
      <c r="E14999" s="18"/>
      <c r="F14999" s="18"/>
    </row>
    <row r="15000" spans="5:6" ht="15" customHeight="1" x14ac:dyDescent="0.2">
      <c r="E15000" s="18"/>
      <c r="F15000" s="18"/>
    </row>
    <row r="15001" spans="5:6" ht="15" customHeight="1" x14ac:dyDescent="0.2">
      <c r="E15001" s="18"/>
      <c r="F15001" s="18"/>
    </row>
    <row r="15002" spans="5:6" ht="15" customHeight="1" x14ac:dyDescent="0.2">
      <c r="E15002" s="18"/>
      <c r="F15002" s="18"/>
    </row>
    <row r="15003" spans="5:6" ht="15" customHeight="1" x14ac:dyDescent="0.2">
      <c r="E15003" s="18"/>
      <c r="F15003" s="18"/>
    </row>
    <row r="15004" spans="5:6" ht="15" customHeight="1" x14ac:dyDescent="0.2">
      <c r="E15004" s="18"/>
      <c r="F15004" s="18"/>
    </row>
    <row r="15005" spans="5:6" ht="15" customHeight="1" x14ac:dyDescent="0.2">
      <c r="E15005" s="18"/>
      <c r="F15005" s="18"/>
    </row>
    <row r="15006" spans="5:6" ht="15" customHeight="1" x14ac:dyDescent="0.2">
      <c r="E15006" s="18"/>
      <c r="F15006" s="18"/>
    </row>
    <row r="15007" spans="5:6" ht="15" customHeight="1" x14ac:dyDescent="0.2">
      <c r="E15007" s="18"/>
      <c r="F15007" s="18"/>
    </row>
    <row r="15008" spans="5:6" ht="15" customHeight="1" x14ac:dyDescent="0.2">
      <c r="E15008" s="18"/>
      <c r="F15008" s="18"/>
    </row>
    <row r="15009" spans="5:6" ht="15" customHeight="1" x14ac:dyDescent="0.2">
      <c r="E15009" s="18"/>
      <c r="F15009" s="18"/>
    </row>
    <row r="15010" spans="5:6" ht="15" customHeight="1" x14ac:dyDescent="0.2">
      <c r="E15010" s="18"/>
      <c r="F15010" s="18"/>
    </row>
    <row r="15011" spans="5:6" ht="15" customHeight="1" x14ac:dyDescent="0.2">
      <c r="E15011" s="18"/>
      <c r="F15011" s="18"/>
    </row>
    <row r="15012" spans="5:6" ht="15" customHeight="1" x14ac:dyDescent="0.2">
      <c r="E15012" s="18"/>
      <c r="F15012" s="18"/>
    </row>
    <row r="15013" spans="5:6" ht="15" customHeight="1" x14ac:dyDescent="0.2">
      <c r="E15013" s="18"/>
      <c r="F15013" s="18"/>
    </row>
    <row r="15014" spans="5:6" ht="15" customHeight="1" x14ac:dyDescent="0.2">
      <c r="E15014" s="18"/>
      <c r="F15014" s="18"/>
    </row>
    <row r="15015" spans="5:6" ht="15" customHeight="1" x14ac:dyDescent="0.2">
      <c r="E15015" s="18"/>
      <c r="F15015" s="18"/>
    </row>
    <row r="15016" spans="5:6" ht="15" customHeight="1" x14ac:dyDescent="0.2">
      <c r="E15016" s="18"/>
      <c r="F15016" s="18"/>
    </row>
    <row r="15017" spans="5:6" ht="15" customHeight="1" x14ac:dyDescent="0.2">
      <c r="E15017" s="18"/>
      <c r="F15017" s="18"/>
    </row>
    <row r="15018" spans="5:6" ht="15" customHeight="1" x14ac:dyDescent="0.2">
      <c r="E15018" s="18"/>
      <c r="F15018" s="18"/>
    </row>
    <row r="15019" spans="5:6" ht="15" customHeight="1" x14ac:dyDescent="0.2">
      <c r="E15019" s="18"/>
      <c r="F15019" s="18"/>
    </row>
    <row r="15020" spans="5:6" ht="15" customHeight="1" x14ac:dyDescent="0.2">
      <c r="E15020" s="18"/>
      <c r="F15020" s="18"/>
    </row>
    <row r="15021" spans="5:6" ht="15" customHeight="1" x14ac:dyDescent="0.2">
      <c r="E15021" s="18"/>
      <c r="F15021" s="18"/>
    </row>
    <row r="15022" spans="5:6" ht="15" customHeight="1" x14ac:dyDescent="0.2">
      <c r="E15022" s="18"/>
      <c r="F15022" s="18"/>
    </row>
    <row r="15023" spans="5:6" ht="15" customHeight="1" x14ac:dyDescent="0.2">
      <c r="E15023" s="18"/>
      <c r="F15023" s="18"/>
    </row>
    <row r="15024" spans="5:6" ht="15" customHeight="1" x14ac:dyDescent="0.2">
      <c r="E15024" s="18"/>
      <c r="F15024" s="18"/>
    </row>
    <row r="15025" spans="5:6" ht="15" customHeight="1" x14ac:dyDescent="0.2">
      <c r="E15025" s="18"/>
      <c r="F15025" s="18"/>
    </row>
    <row r="15026" spans="5:6" ht="15" customHeight="1" x14ac:dyDescent="0.2">
      <c r="E15026" s="18"/>
      <c r="F15026" s="18"/>
    </row>
    <row r="15027" spans="5:6" ht="15" customHeight="1" x14ac:dyDescent="0.2">
      <c r="E15027" s="18"/>
      <c r="F15027" s="18"/>
    </row>
    <row r="15028" spans="5:6" ht="15" customHeight="1" x14ac:dyDescent="0.2">
      <c r="E15028" s="18"/>
      <c r="F15028" s="18"/>
    </row>
    <row r="15029" spans="5:6" ht="15" customHeight="1" x14ac:dyDescent="0.2">
      <c r="E15029" s="18"/>
      <c r="F15029" s="18"/>
    </row>
    <row r="15030" spans="5:6" ht="15" customHeight="1" x14ac:dyDescent="0.2">
      <c r="E15030" s="18"/>
      <c r="F15030" s="18"/>
    </row>
    <row r="15031" spans="5:6" ht="15" customHeight="1" x14ac:dyDescent="0.2">
      <c r="E15031" s="18"/>
      <c r="F15031" s="18"/>
    </row>
    <row r="15032" spans="5:6" ht="15" customHeight="1" x14ac:dyDescent="0.2">
      <c r="E15032" s="18"/>
      <c r="F15032" s="18"/>
    </row>
    <row r="15033" spans="5:6" ht="15" customHeight="1" x14ac:dyDescent="0.2">
      <c r="E15033" s="18"/>
      <c r="F15033" s="18"/>
    </row>
    <row r="15034" spans="5:6" ht="15" customHeight="1" x14ac:dyDescent="0.2">
      <c r="E15034" s="18"/>
      <c r="F15034" s="18"/>
    </row>
    <row r="15035" spans="5:6" ht="15" customHeight="1" x14ac:dyDescent="0.2">
      <c r="E15035" s="18"/>
      <c r="F15035" s="18"/>
    </row>
    <row r="15036" spans="5:6" ht="15" customHeight="1" x14ac:dyDescent="0.2">
      <c r="E15036" s="18"/>
      <c r="F15036" s="18"/>
    </row>
    <row r="15037" spans="5:6" ht="15" customHeight="1" x14ac:dyDescent="0.2">
      <c r="E15037" s="18"/>
      <c r="F15037" s="18"/>
    </row>
    <row r="15038" spans="5:6" ht="15" customHeight="1" x14ac:dyDescent="0.2">
      <c r="E15038" s="18"/>
      <c r="F15038" s="18"/>
    </row>
    <row r="15039" spans="5:6" ht="15" customHeight="1" x14ac:dyDescent="0.2">
      <c r="E15039" s="18"/>
      <c r="F15039" s="18"/>
    </row>
    <row r="15040" spans="5:6" ht="15" customHeight="1" x14ac:dyDescent="0.2">
      <c r="E15040" s="18"/>
      <c r="F15040" s="18"/>
    </row>
    <row r="15041" spans="5:6" ht="15" customHeight="1" x14ac:dyDescent="0.2">
      <c r="E15041" s="18"/>
      <c r="F15041" s="18"/>
    </row>
    <row r="15042" spans="5:6" ht="15" customHeight="1" x14ac:dyDescent="0.2">
      <c r="E15042" s="18"/>
      <c r="F15042" s="18"/>
    </row>
    <row r="15043" spans="5:6" ht="15" customHeight="1" x14ac:dyDescent="0.2">
      <c r="E15043" s="18"/>
      <c r="F15043" s="18"/>
    </row>
    <row r="15044" spans="5:6" ht="15" customHeight="1" x14ac:dyDescent="0.2">
      <c r="E15044" s="18"/>
      <c r="F15044" s="18"/>
    </row>
    <row r="15045" spans="5:6" ht="15" customHeight="1" x14ac:dyDescent="0.2">
      <c r="E15045" s="18"/>
      <c r="F15045" s="18"/>
    </row>
    <row r="15046" spans="5:6" ht="15" customHeight="1" x14ac:dyDescent="0.2">
      <c r="E15046" s="18"/>
      <c r="F15046" s="18"/>
    </row>
    <row r="15047" spans="5:6" ht="15" customHeight="1" x14ac:dyDescent="0.2">
      <c r="E15047" s="18"/>
      <c r="F15047" s="18"/>
    </row>
    <row r="15048" spans="5:6" ht="15" customHeight="1" x14ac:dyDescent="0.2">
      <c r="E15048" s="18"/>
      <c r="F15048" s="18"/>
    </row>
    <row r="15049" spans="5:6" ht="15" customHeight="1" x14ac:dyDescent="0.2">
      <c r="E15049" s="18"/>
      <c r="F15049" s="18"/>
    </row>
    <row r="15050" spans="5:6" ht="15" customHeight="1" x14ac:dyDescent="0.2">
      <c r="E15050" s="18"/>
      <c r="F15050" s="18"/>
    </row>
    <row r="15051" spans="5:6" ht="15" customHeight="1" x14ac:dyDescent="0.2">
      <c r="E15051" s="18"/>
      <c r="F15051" s="18"/>
    </row>
    <row r="15052" spans="5:6" ht="15" customHeight="1" x14ac:dyDescent="0.2">
      <c r="E15052" s="18"/>
      <c r="F15052" s="18"/>
    </row>
    <row r="15053" spans="5:6" ht="15" customHeight="1" x14ac:dyDescent="0.2">
      <c r="E15053" s="18"/>
      <c r="F15053" s="18"/>
    </row>
    <row r="15054" spans="5:6" ht="15" customHeight="1" x14ac:dyDescent="0.2">
      <c r="E15054" s="18"/>
      <c r="F15054" s="18"/>
    </row>
    <row r="15055" spans="5:6" ht="15" customHeight="1" x14ac:dyDescent="0.2">
      <c r="E15055" s="18"/>
      <c r="F15055" s="18"/>
    </row>
    <row r="15056" spans="5:6" ht="15" customHeight="1" x14ac:dyDescent="0.2">
      <c r="E15056" s="18"/>
      <c r="F15056" s="18"/>
    </row>
    <row r="15057" spans="5:6" ht="15" customHeight="1" x14ac:dyDescent="0.2">
      <c r="E15057" s="18"/>
      <c r="F15057" s="18"/>
    </row>
    <row r="15058" spans="5:6" ht="15" customHeight="1" x14ac:dyDescent="0.2">
      <c r="E15058" s="18"/>
      <c r="F15058" s="18"/>
    </row>
    <row r="15059" spans="5:6" ht="15" customHeight="1" x14ac:dyDescent="0.2">
      <c r="E15059" s="18"/>
      <c r="F15059" s="18"/>
    </row>
    <row r="15060" spans="5:6" ht="15" customHeight="1" x14ac:dyDescent="0.2">
      <c r="E15060" s="18"/>
      <c r="F15060" s="18"/>
    </row>
    <row r="15061" spans="5:6" ht="15" customHeight="1" x14ac:dyDescent="0.2">
      <c r="E15061" s="18"/>
      <c r="F15061" s="18"/>
    </row>
    <row r="15062" spans="5:6" ht="15" customHeight="1" x14ac:dyDescent="0.2">
      <c r="E15062" s="18"/>
      <c r="F15062" s="18"/>
    </row>
    <row r="15063" spans="5:6" ht="15" customHeight="1" x14ac:dyDescent="0.2">
      <c r="E15063" s="18"/>
      <c r="F15063" s="18"/>
    </row>
    <row r="15064" spans="5:6" ht="15" customHeight="1" x14ac:dyDescent="0.2">
      <c r="E15064" s="18"/>
      <c r="F15064" s="18"/>
    </row>
    <row r="15065" spans="5:6" ht="15" customHeight="1" x14ac:dyDescent="0.2">
      <c r="E15065" s="18"/>
      <c r="F15065" s="18"/>
    </row>
    <row r="15066" spans="5:6" ht="15" customHeight="1" x14ac:dyDescent="0.2">
      <c r="E15066" s="18"/>
      <c r="F15066" s="18"/>
    </row>
    <row r="15067" spans="5:6" ht="15" customHeight="1" x14ac:dyDescent="0.2">
      <c r="E15067" s="18"/>
      <c r="F15067" s="18"/>
    </row>
    <row r="15068" spans="5:6" ht="15" customHeight="1" x14ac:dyDescent="0.2">
      <c r="E15068" s="18"/>
      <c r="F15068" s="18"/>
    </row>
    <row r="15069" spans="5:6" ht="15" customHeight="1" x14ac:dyDescent="0.2">
      <c r="E15069" s="18"/>
      <c r="F15069" s="18"/>
    </row>
    <row r="15070" spans="5:6" ht="15" customHeight="1" x14ac:dyDescent="0.2">
      <c r="E15070" s="18"/>
      <c r="F15070" s="18"/>
    </row>
    <row r="15071" spans="5:6" ht="15" customHeight="1" x14ac:dyDescent="0.2">
      <c r="E15071" s="18"/>
      <c r="F15071" s="18"/>
    </row>
    <row r="15072" spans="5:6" ht="15" customHeight="1" x14ac:dyDescent="0.2">
      <c r="E15072" s="18"/>
      <c r="F15072" s="18"/>
    </row>
    <row r="15073" spans="5:6" ht="15" customHeight="1" x14ac:dyDescent="0.2">
      <c r="E15073" s="18"/>
      <c r="F15073" s="18"/>
    </row>
    <row r="15074" spans="5:6" ht="15" customHeight="1" x14ac:dyDescent="0.2">
      <c r="E15074" s="18"/>
      <c r="F15074" s="18"/>
    </row>
    <row r="15075" spans="5:6" ht="15" customHeight="1" x14ac:dyDescent="0.2">
      <c r="E15075" s="18"/>
      <c r="F15075" s="18"/>
    </row>
    <row r="15076" spans="5:6" ht="15" customHeight="1" x14ac:dyDescent="0.2">
      <c r="E15076" s="18"/>
      <c r="F15076" s="18"/>
    </row>
    <row r="15077" spans="5:6" ht="15" customHeight="1" x14ac:dyDescent="0.2">
      <c r="E15077" s="18"/>
      <c r="F15077" s="18"/>
    </row>
    <row r="15078" spans="5:6" ht="15" customHeight="1" x14ac:dyDescent="0.2">
      <c r="E15078" s="18"/>
      <c r="F15078" s="18"/>
    </row>
    <row r="15079" spans="5:6" ht="15" customHeight="1" x14ac:dyDescent="0.2">
      <c r="E15079" s="18"/>
      <c r="F15079" s="18"/>
    </row>
    <row r="15080" spans="5:6" ht="15" customHeight="1" x14ac:dyDescent="0.2">
      <c r="E15080" s="18"/>
      <c r="F15080" s="18"/>
    </row>
    <row r="15081" spans="5:6" ht="15" customHeight="1" x14ac:dyDescent="0.2">
      <c r="E15081" s="18"/>
      <c r="F15081" s="18"/>
    </row>
    <row r="15082" spans="5:6" ht="15" customHeight="1" x14ac:dyDescent="0.2">
      <c r="E15082" s="18"/>
      <c r="F15082" s="18"/>
    </row>
    <row r="15083" spans="5:6" ht="15" customHeight="1" x14ac:dyDescent="0.2">
      <c r="E15083" s="18"/>
      <c r="F15083" s="18"/>
    </row>
    <row r="15084" spans="5:6" ht="15" customHeight="1" x14ac:dyDescent="0.2">
      <c r="E15084" s="18"/>
      <c r="F15084" s="18"/>
    </row>
    <row r="15085" spans="5:6" ht="15" customHeight="1" x14ac:dyDescent="0.2">
      <c r="E15085" s="18"/>
      <c r="F15085" s="18"/>
    </row>
    <row r="15086" spans="5:6" ht="15" customHeight="1" x14ac:dyDescent="0.2">
      <c r="E15086" s="18"/>
      <c r="F15086" s="18"/>
    </row>
    <row r="15087" spans="5:6" ht="15" customHeight="1" x14ac:dyDescent="0.2">
      <c r="E15087" s="18"/>
      <c r="F15087" s="18"/>
    </row>
    <row r="15088" spans="5:6" ht="15" customHeight="1" x14ac:dyDescent="0.2">
      <c r="E15088" s="18"/>
      <c r="F15088" s="18"/>
    </row>
    <row r="15089" spans="5:6" ht="15" customHeight="1" x14ac:dyDescent="0.2">
      <c r="E15089" s="18"/>
      <c r="F15089" s="18"/>
    </row>
    <row r="15090" spans="5:6" ht="15" customHeight="1" x14ac:dyDescent="0.2">
      <c r="E15090" s="18"/>
      <c r="F15090" s="18"/>
    </row>
    <row r="15091" spans="5:6" ht="15" customHeight="1" x14ac:dyDescent="0.2">
      <c r="E15091" s="18"/>
      <c r="F15091" s="18"/>
    </row>
    <row r="15092" spans="5:6" ht="15" customHeight="1" x14ac:dyDescent="0.2">
      <c r="E15092" s="18"/>
      <c r="F15092" s="18"/>
    </row>
    <row r="15093" spans="5:6" ht="15" customHeight="1" x14ac:dyDescent="0.2">
      <c r="E15093" s="18"/>
      <c r="F15093" s="18"/>
    </row>
    <row r="15094" spans="5:6" ht="15" customHeight="1" x14ac:dyDescent="0.2">
      <c r="E15094" s="18"/>
      <c r="F15094" s="18"/>
    </row>
    <row r="15095" spans="5:6" ht="15" customHeight="1" x14ac:dyDescent="0.2">
      <c r="E15095" s="18"/>
      <c r="F15095" s="18"/>
    </row>
    <row r="15096" spans="5:6" ht="15" customHeight="1" x14ac:dyDescent="0.2">
      <c r="E15096" s="18"/>
      <c r="F15096" s="18"/>
    </row>
    <row r="15097" spans="5:6" ht="15" customHeight="1" x14ac:dyDescent="0.2">
      <c r="E15097" s="18"/>
      <c r="F15097" s="18"/>
    </row>
    <row r="15098" spans="5:6" ht="15" customHeight="1" x14ac:dyDescent="0.2">
      <c r="E15098" s="18"/>
      <c r="F15098" s="18"/>
    </row>
    <row r="15099" spans="5:6" ht="15" customHeight="1" x14ac:dyDescent="0.2">
      <c r="E15099" s="18"/>
      <c r="F15099" s="18"/>
    </row>
    <row r="15100" spans="5:6" ht="15" customHeight="1" x14ac:dyDescent="0.2">
      <c r="E15100" s="18"/>
      <c r="F15100" s="18"/>
    </row>
    <row r="15101" spans="5:6" ht="15" customHeight="1" x14ac:dyDescent="0.2">
      <c r="E15101" s="18"/>
      <c r="F15101" s="18"/>
    </row>
    <row r="15102" spans="5:6" ht="15" customHeight="1" x14ac:dyDescent="0.2">
      <c r="E15102" s="18"/>
      <c r="F15102" s="18"/>
    </row>
    <row r="15103" spans="5:6" ht="15" customHeight="1" x14ac:dyDescent="0.2">
      <c r="E15103" s="18"/>
      <c r="F15103" s="18"/>
    </row>
    <row r="15104" spans="5:6" ht="15" customHeight="1" x14ac:dyDescent="0.2">
      <c r="E15104" s="18"/>
      <c r="F15104" s="18"/>
    </row>
    <row r="15105" spans="5:6" ht="15" customHeight="1" x14ac:dyDescent="0.2">
      <c r="E15105" s="18"/>
      <c r="F15105" s="18"/>
    </row>
    <row r="15106" spans="5:6" ht="15" customHeight="1" x14ac:dyDescent="0.2">
      <c r="E15106" s="18"/>
      <c r="F15106" s="18"/>
    </row>
    <row r="15107" spans="5:6" ht="15" customHeight="1" x14ac:dyDescent="0.2">
      <c r="E15107" s="18"/>
      <c r="F15107" s="18"/>
    </row>
    <row r="15108" spans="5:6" ht="15" customHeight="1" x14ac:dyDescent="0.2">
      <c r="E15108" s="18"/>
      <c r="F15108" s="18"/>
    </row>
    <row r="15109" spans="5:6" ht="15" customHeight="1" x14ac:dyDescent="0.2">
      <c r="E15109" s="18"/>
      <c r="F15109" s="18"/>
    </row>
    <row r="15110" spans="5:6" ht="15" customHeight="1" x14ac:dyDescent="0.2">
      <c r="E15110" s="18"/>
      <c r="F15110" s="18"/>
    </row>
    <row r="15111" spans="5:6" ht="15" customHeight="1" x14ac:dyDescent="0.2">
      <c r="E15111" s="18"/>
      <c r="F15111" s="18"/>
    </row>
    <row r="15112" spans="5:6" ht="15" customHeight="1" x14ac:dyDescent="0.2">
      <c r="E15112" s="18"/>
      <c r="F15112" s="18"/>
    </row>
    <row r="15113" spans="5:6" ht="15" customHeight="1" x14ac:dyDescent="0.2">
      <c r="E15113" s="18"/>
      <c r="F15113" s="18"/>
    </row>
    <row r="15114" spans="5:6" ht="15" customHeight="1" x14ac:dyDescent="0.2">
      <c r="E15114" s="18"/>
      <c r="F15114" s="18"/>
    </row>
    <row r="15115" spans="5:6" ht="15" customHeight="1" x14ac:dyDescent="0.2">
      <c r="E15115" s="18"/>
      <c r="F15115" s="18"/>
    </row>
    <row r="15116" spans="5:6" ht="15" customHeight="1" x14ac:dyDescent="0.2">
      <c r="E15116" s="18"/>
      <c r="F15116" s="18"/>
    </row>
    <row r="15117" spans="5:6" ht="15" customHeight="1" x14ac:dyDescent="0.2">
      <c r="E15117" s="18"/>
      <c r="F15117" s="18"/>
    </row>
    <row r="15118" spans="5:6" ht="15" customHeight="1" x14ac:dyDescent="0.2">
      <c r="E15118" s="18"/>
      <c r="F15118" s="18"/>
    </row>
    <row r="15119" spans="5:6" ht="15" customHeight="1" x14ac:dyDescent="0.2">
      <c r="E15119" s="18"/>
      <c r="F15119" s="18"/>
    </row>
    <row r="15120" spans="5:6" ht="15" customHeight="1" x14ac:dyDescent="0.2">
      <c r="E15120" s="18"/>
      <c r="F15120" s="18"/>
    </row>
    <row r="15121" spans="5:6" ht="15" customHeight="1" x14ac:dyDescent="0.2">
      <c r="E15121" s="18"/>
      <c r="F15121" s="18"/>
    </row>
    <row r="15122" spans="5:6" ht="15" customHeight="1" x14ac:dyDescent="0.2">
      <c r="E15122" s="18"/>
      <c r="F15122" s="18"/>
    </row>
    <row r="15123" spans="5:6" ht="15" customHeight="1" x14ac:dyDescent="0.2">
      <c r="E15123" s="18"/>
      <c r="F15123" s="18"/>
    </row>
    <row r="15124" spans="5:6" ht="15" customHeight="1" x14ac:dyDescent="0.2">
      <c r="E15124" s="18"/>
      <c r="F15124" s="18"/>
    </row>
    <row r="15125" spans="5:6" ht="15" customHeight="1" x14ac:dyDescent="0.2">
      <c r="E15125" s="18"/>
      <c r="F15125" s="18"/>
    </row>
    <row r="15126" spans="5:6" ht="15" customHeight="1" x14ac:dyDescent="0.2">
      <c r="E15126" s="18"/>
      <c r="F15126" s="18"/>
    </row>
    <row r="15127" spans="5:6" ht="15" customHeight="1" x14ac:dyDescent="0.2">
      <c r="E15127" s="18"/>
      <c r="F15127" s="18"/>
    </row>
    <row r="15128" spans="5:6" ht="15" customHeight="1" x14ac:dyDescent="0.2">
      <c r="E15128" s="18"/>
      <c r="F15128" s="18"/>
    </row>
    <row r="15129" spans="5:6" ht="15" customHeight="1" x14ac:dyDescent="0.2">
      <c r="E15129" s="18"/>
      <c r="F15129" s="18"/>
    </row>
    <row r="15130" spans="5:6" ht="15" customHeight="1" x14ac:dyDescent="0.2">
      <c r="E15130" s="18"/>
      <c r="F15130" s="18"/>
    </row>
    <row r="15131" spans="5:6" ht="15" customHeight="1" x14ac:dyDescent="0.2">
      <c r="E15131" s="18"/>
      <c r="F15131" s="18"/>
    </row>
    <row r="15132" spans="5:6" ht="15" customHeight="1" x14ac:dyDescent="0.2">
      <c r="E15132" s="18"/>
      <c r="F15132" s="18"/>
    </row>
    <row r="15133" spans="5:6" ht="15" customHeight="1" x14ac:dyDescent="0.2">
      <c r="E15133" s="18"/>
      <c r="F15133" s="18"/>
    </row>
    <row r="15134" spans="5:6" ht="15" customHeight="1" x14ac:dyDescent="0.2">
      <c r="E15134" s="18"/>
      <c r="F15134" s="18"/>
    </row>
    <row r="15135" spans="5:6" ht="15" customHeight="1" x14ac:dyDescent="0.2">
      <c r="E15135" s="18"/>
      <c r="F15135" s="18"/>
    </row>
    <row r="15136" spans="5:6" ht="15" customHeight="1" x14ac:dyDescent="0.2">
      <c r="E15136" s="18"/>
      <c r="F15136" s="18"/>
    </row>
    <row r="15137" spans="5:6" ht="15" customHeight="1" x14ac:dyDescent="0.2">
      <c r="E15137" s="18"/>
      <c r="F15137" s="18"/>
    </row>
    <row r="15138" spans="5:6" ht="15" customHeight="1" x14ac:dyDescent="0.2">
      <c r="E15138" s="18"/>
      <c r="F15138" s="18"/>
    </row>
    <row r="15139" spans="5:6" ht="15" customHeight="1" x14ac:dyDescent="0.2">
      <c r="E15139" s="18"/>
      <c r="F15139" s="18"/>
    </row>
    <row r="15140" spans="5:6" ht="15" customHeight="1" x14ac:dyDescent="0.2">
      <c r="E15140" s="18"/>
      <c r="F15140" s="18"/>
    </row>
    <row r="15141" spans="5:6" ht="15" customHeight="1" x14ac:dyDescent="0.2">
      <c r="E15141" s="18"/>
      <c r="F15141" s="18"/>
    </row>
    <row r="15142" spans="5:6" ht="15" customHeight="1" x14ac:dyDescent="0.2">
      <c r="E15142" s="18"/>
      <c r="F15142" s="18"/>
    </row>
    <row r="15143" spans="5:6" ht="15" customHeight="1" x14ac:dyDescent="0.2">
      <c r="E15143" s="18"/>
      <c r="F15143" s="18"/>
    </row>
    <row r="15144" spans="5:6" ht="15" customHeight="1" x14ac:dyDescent="0.2">
      <c r="E15144" s="18"/>
      <c r="F15144" s="18"/>
    </row>
    <row r="15145" spans="5:6" ht="15" customHeight="1" x14ac:dyDescent="0.2">
      <c r="E15145" s="18"/>
      <c r="F15145" s="18"/>
    </row>
    <row r="15146" spans="5:6" ht="15" customHeight="1" x14ac:dyDescent="0.2">
      <c r="E15146" s="18"/>
      <c r="F15146" s="18"/>
    </row>
    <row r="15147" spans="5:6" ht="15" customHeight="1" x14ac:dyDescent="0.2">
      <c r="E15147" s="18"/>
      <c r="F15147" s="18"/>
    </row>
    <row r="15148" spans="5:6" ht="15" customHeight="1" x14ac:dyDescent="0.2">
      <c r="E15148" s="18"/>
      <c r="F15148" s="18"/>
    </row>
    <row r="15149" spans="5:6" ht="15" customHeight="1" x14ac:dyDescent="0.2">
      <c r="E15149" s="18"/>
      <c r="F15149" s="18"/>
    </row>
    <row r="15150" spans="5:6" ht="15" customHeight="1" x14ac:dyDescent="0.2">
      <c r="E15150" s="18"/>
      <c r="F15150" s="18"/>
    </row>
    <row r="15151" spans="5:6" ht="15" customHeight="1" x14ac:dyDescent="0.2">
      <c r="E15151" s="18"/>
      <c r="F15151" s="18"/>
    </row>
    <row r="15152" spans="5:6" ht="15" customHeight="1" x14ac:dyDescent="0.2">
      <c r="E15152" s="18"/>
      <c r="F15152" s="18"/>
    </row>
    <row r="15153" spans="5:6" ht="15" customHeight="1" x14ac:dyDescent="0.2">
      <c r="E15153" s="18"/>
      <c r="F15153" s="18"/>
    </row>
    <row r="15154" spans="5:6" ht="15" customHeight="1" x14ac:dyDescent="0.2">
      <c r="E15154" s="18"/>
      <c r="F15154" s="18"/>
    </row>
    <row r="15155" spans="5:6" ht="15" customHeight="1" x14ac:dyDescent="0.2">
      <c r="E15155" s="18"/>
      <c r="F15155" s="18"/>
    </row>
    <row r="15156" spans="5:6" ht="15" customHeight="1" x14ac:dyDescent="0.2">
      <c r="E15156" s="18"/>
      <c r="F15156" s="18"/>
    </row>
    <row r="15157" spans="5:6" ht="15" customHeight="1" x14ac:dyDescent="0.2">
      <c r="E15157" s="18"/>
      <c r="F15157" s="18"/>
    </row>
    <row r="15158" spans="5:6" ht="15" customHeight="1" x14ac:dyDescent="0.2">
      <c r="E15158" s="18"/>
      <c r="F15158" s="18"/>
    </row>
    <row r="15159" spans="5:6" ht="15" customHeight="1" x14ac:dyDescent="0.2">
      <c r="E15159" s="18"/>
      <c r="F15159" s="18"/>
    </row>
    <row r="15160" spans="5:6" ht="15" customHeight="1" x14ac:dyDescent="0.2">
      <c r="E15160" s="18"/>
      <c r="F15160" s="18"/>
    </row>
    <row r="15161" spans="5:6" ht="15" customHeight="1" x14ac:dyDescent="0.2">
      <c r="E15161" s="18"/>
      <c r="F15161" s="18"/>
    </row>
    <row r="15162" spans="5:6" ht="15" customHeight="1" x14ac:dyDescent="0.2">
      <c r="E15162" s="18"/>
      <c r="F15162" s="18"/>
    </row>
    <row r="15163" spans="5:6" ht="15" customHeight="1" x14ac:dyDescent="0.2">
      <c r="E15163" s="18"/>
      <c r="F15163" s="18"/>
    </row>
    <row r="15164" spans="5:6" ht="15" customHeight="1" x14ac:dyDescent="0.2">
      <c r="E15164" s="18"/>
      <c r="F15164" s="18"/>
    </row>
    <row r="15165" spans="5:6" ht="15" customHeight="1" x14ac:dyDescent="0.2">
      <c r="E15165" s="18"/>
      <c r="F15165" s="18"/>
    </row>
    <row r="15166" spans="5:6" ht="15" customHeight="1" x14ac:dyDescent="0.2">
      <c r="E15166" s="18"/>
      <c r="F15166" s="18"/>
    </row>
    <row r="15167" spans="5:6" ht="15" customHeight="1" x14ac:dyDescent="0.2">
      <c r="E15167" s="18"/>
      <c r="F15167" s="18"/>
    </row>
    <row r="15168" spans="5:6" ht="15" customHeight="1" x14ac:dyDescent="0.2">
      <c r="E15168" s="18"/>
      <c r="F15168" s="18"/>
    </row>
    <row r="15169" spans="5:6" ht="15" customHeight="1" x14ac:dyDescent="0.2">
      <c r="E15169" s="18"/>
      <c r="F15169" s="18"/>
    </row>
    <row r="15170" spans="5:6" ht="15" customHeight="1" x14ac:dyDescent="0.2">
      <c r="E15170" s="18"/>
      <c r="F15170" s="18"/>
    </row>
    <row r="15171" spans="5:6" ht="15" customHeight="1" x14ac:dyDescent="0.2">
      <c r="E15171" s="18"/>
      <c r="F15171" s="18"/>
    </row>
    <row r="15172" spans="5:6" ht="15" customHeight="1" x14ac:dyDescent="0.2">
      <c r="E15172" s="18"/>
      <c r="F15172" s="18"/>
    </row>
    <row r="15173" spans="5:6" ht="15" customHeight="1" x14ac:dyDescent="0.2">
      <c r="E15173" s="18"/>
      <c r="F15173" s="18"/>
    </row>
    <row r="15174" spans="5:6" ht="15" customHeight="1" x14ac:dyDescent="0.2">
      <c r="E15174" s="18"/>
      <c r="F15174" s="18"/>
    </row>
    <row r="15175" spans="5:6" ht="15" customHeight="1" x14ac:dyDescent="0.2">
      <c r="E15175" s="18"/>
      <c r="F15175" s="18"/>
    </row>
    <row r="15176" spans="5:6" ht="15" customHeight="1" x14ac:dyDescent="0.2">
      <c r="E15176" s="18"/>
      <c r="F15176" s="18"/>
    </row>
    <row r="15177" spans="5:6" ht="15" customHeight="1" x14ac:dyDescent="0.2">
      <c r="E15177" s="18"/>
      <c r="F15177" s="18"/>
    </row>
    <row r="15178" spans="5:6" ht="15" customHeight="1" x14ac:dyDescent="0.2">
      <c r="E15178" s="18"/>
      <c r="F15178" s="18"/>
    </row>
    <row r="15179" spans="5:6" ht="15" customHeight="1" x14ac:dyDescent="0.2">
      <c r="E15179" s="18"/>
      <c r="F15179" s="18"/>
    </row>
    <row r="15180" spans="5:6" ht="15" customHeight="1" x14ac:dyDescent="0.2">
      <c r="E15180" s="18"/>
      <c r="F15180" s="18"/>
    </row>
    <row r="15181" spans="5:6" ht="15" customHeight="1" x14ac:dyDescent="0.2">
      <c r="E15181" s="18"/>
      <c r="F15181" s="18"/>
    </row>
    <row r="15182" spans="5:6" ht="15" customHeight="1" x14ac:dyDescent="0.2">
      <c r="E15182" s="18"/>
      <c r="F15182" s="18"/>
    </row>
    <row r="15183" spans="5:6" ht="15" customHeight="1" x14ac:dyDescent="0.2">
      <c r="E15183" s="18"/>
      <c r="F15183" s="18"/>
    </row>
    <row r="15184" spans="5:6" ht="15" customHeight="1" x14ac:dyDescent="0.2">
      <c r="E15184" s="18"/>
      <c r="F15184" s="18"/>
    </row>
    <row r="15185" spans="5:6" ht="15" customHeight="1" x14ac:dyDescent="0.2">
      <c r="E15185" s="18"/>
      <c r="F15185" s="18"/>
    </row>
    <row r="15186" spans="5:6" ht="15" customHeight="1" x14ac:dyDescent="0.2">
      <c r="E15186" s="18"/>
      <c r="F15186" s="18"/>
    </row>
    <row r="15187" spans="5:6" ht="15" customHeight="1" x14ac:dyDescent="0.2">
      <c r="E15187" s="18"/>
      <c r="F15187" s="18"/>
    </row>
    <row r="15188" spans="5:6" ht="15" customHeight="1" x14ac:dyDescent="0.2">
      <c r="E15188" s="18"/>
      <c r="F15188" s="18"/>
    </row>
    <row r="15189" spans="5:6" ht="15" customHeight="1" x14ac:dyDescent="0.2">
      <c r="E15189" s="18"/>
      <c r="F15189" s="18"/>
    </row>
    <row r="15190" spans="5:6" ht="15" customHeight="1" x14ac:dyDescent="0.2">
      <c r="E15190" s="18"/>
      <c r="F15190" s="18"/>
    </row>
    <row r="15191" spans="5:6" ht="15" customHeight="1" x14ac:dyDescent="0.2">
      <c r="E15191" s="18"/>
      <c r="F15191" s="18"/>
    </row>
    <row r="15192" spans="5:6" ht="15" customHeight="1" x14ac:dyDescent="0.2">
      <c r="E15192" s="18"/>
      <c r="F15192" s="18"/>
    </row>
    <row r="15193" spans="5:6" ht="15" customHeight="1" x14ac:dyDescent="0.2">
      <c r="E15193" s="18"/>
      <c r="F15193" s="18"/>
    </row>
    <row r="15194" spans="5:6" ht="15" customHeight="1" x14ac:dyDescent="0.2">
      <c r="E15194" s="18"/>
      <c r="F15194" s="18"/>
    </row>
    <row r="15195" spans="5:6" ht="15" customHeight="1" x14ac:dyDescent="0.2">
      <c r="E15195" s="18"/>
      <c r="F15195" s="18"/>
    </row>
    <row r="15196" spans="5:6" ht="15" customHeight="1" x14ac:dyDescent="0.2">
      <c r="E15196" s="18"/>
      <c r="F15196" s="18"/>
    </row>
    <row r="15197" spans="5:6" ht="15" customHeight="1" x14ac:dyDescent="0.2">
      <c r="E15197" s="18"/>
      <c r="F15197" s="18"/>
    </row>
    <row r="15198" spans="5:6" ht="15" customHeight="1" x14ac:dyDescent="0.2">
      <c r="E15198" s="18"/>
      <c r="F15198" s="18"/>
    </row>
    <row r="15199" spans="5:6" ht="15" customHeight="1" x14ac:dyDescent="0.2">
      <c r="E15199" s="18"/>
      <c r="F15199" s="18"/>
    </row>
    <row r="15200" spans="5:6" ht="15" customHeight="1" x14ac:dyDescent="0.2">
      <c r="E15200" s="18"/>
      <c r="F15200" s="18"/>
    </row>
    <row r="15201" spans="5:6" ht="15" customHeight="1" x14ac:dyDescent="0.2">
      <c r="E15201" s="18"/>
      <c r="F15201" s="18"/>
    </row>
    <row r="15202" spans="5:6" ht="15" customHeight="1" x14ac:dyDescent="0.2">
      <c r="E15202" s="18"/>
      <c r="F15202" s="18"/>
    </row>
    <row r="15203" spans="5:6" ht="15" customHeight="1" x14ac:dyDescent="0.2">
      <c r="E15203" s="18"/>
      <c r="F15203" s="18"/>
    </row>
    <row r="15204" spans="5:6" ht="15" customHeight="1" x14ac:dyDescent="0.2">
      <c r="E15204" s="18"/>
      <c r="F15204" s="18"/>
    </row>
    <row r="15205" spans="5:6" ht="15" customHeight="1" x14ac:dyDescent="0.2">
      <c r="E15205" s="18"/>
      <c r="F15205" s="18"/>
    </row>
    <row r="15206" spans="5:6" ht="15" customHeight="1" x14ac:dyDescent="0.2">
      <c r="E15206" s="18"/>
      <c r="F15206" s="18"/>
    </row>
    <row r="15207" spans="5:6" ht="15" customHeight="1" x14ac:dyDescent="0.2">
      <c r="E15207" s="18"/>
      <c r="F15207" s="18"/>
    </row>
    <row r="15208" spans="5:6" ht="15" customHeight="1" x14ac:dyDescent="0.2">
      <c r="E15208" s="18"/>
      <c r="F15208" s="18"/>
    </row>
    <row r="15209" spans="5:6" ht="15" customHeight="1" x14ac:dyDescent="0.2">
      <c r="E15209" s="18"/>
      <c r="F15209" s="18"/>
    </row>
    <row r="15210" spans="5:6" ht="15" customHeight="1" x14ac:dyDescent="0.2">
      <c r="E15210" s="18"/>
      <c r="F15210" s="18"/>
    </row>
    <row r="15211" spans="5:6" ht="15" customHeight="1" x14ac:dyDescent="0.2">
      <c r="E15211" s="18"/>
      <c r="F15211" s="18"/>
    </row>
    <row r="15212" spans="5:6" ht="15" customHeight="1" x14ac:dyDescent="0.2">
      <c r="E15212" s="18"/>
      <c r="F15212" s="18"/>
    </row>
    <row r="15213" spans="5:6" ht="15" customHeight="1" x14ac:dyDescent="0.2">
      <c r="E15213" s="18"/>
      <c r="F15213" s="18"/>
    </row>
    <row r="15214" spans="5:6" ht="15" customHeight="1" x14ac:dyDescent="0.2">
      <c r="E15214" s="18"/>
      <c r="F15214" s="18"/>
    </row>
    <row r="15215" spans="5:6" ht="15" customHeight="1" x14ac:dyDescent="0.2">
      <c r="E15215" s="18"/>
      <c r="F15215" s="18"/>
    </row>
    <row r="15216" spans="5:6" ht="15" customHeight="1" x14ac:dyDescent="0.2">
      <c r="E15216" s="18"/>
      <c r="F15216" s="18"/>
    </row>
    <row r="15217" spans="5:6" ht="15" customHeight="1" x14ac:dyDescent="0.2">
      <c r="E15217" s="18"/>
      <c r="F15217" s="18"/>
    </row>
    <row r="15218" spans="5:6" ht="15" customHeight="1" x14ac:dyDescent="0.2">
      <c r="E15218" s="18"/>
      <c r="F15218" s="18"/>
    </row>
    <row r="15219" spans="5:6" ht="15" customHeight="1" x14ac:dyDescent="0.2">
      <c r="E15219" s="18"/>
      <c r="F15219" s="18"/>
    </row>
    <row r="15220" spans="5:6" ht="15" customHeight="1" x14ac:dyDescent="0.2">
      <c r="E15220" s="18"/>
      <c r="F15220" s="18"/>
    </row>
    <row r="15221" spans="5:6" ht="15" customHeight="1" x14ac:dyDescent="0.2">
      <c r="E15221" s="18"/>
      <c r="F15221" s="18"/>
    </row>
    <row r="15222" spans="5:6" ht="15" customHeight="1" x14ac:dyDescent="0.2">
      <c r="E15222" s="18"/>
      <c r="F15222" s="18"/>
    </row>
    <row r="15223" spans="5:6" ht="15" customHeight="1" x14ac:dyDescent="0.2">
      <c r="E15223" s="18"/>
      <c r="F15223" s="18"/>
    </row>
    <row r="15224" spans="5:6" ht="15" customHeight="1" x14ac:dyDescent="0.2">
      <c r="E15224" s="18"/>
      <c r="F15224" s="18"/>
    </row>
    <row r="15225" spans="5:6" ht="15" customHeight="1" x14ac:dyDescent="0.2">
      <c r="E15225" s="18"/>
      <c r="F15225" s="18"/>
    </row>
    <row r="15226" spans="5:6" ht="15" customHeight="1" x14ac:dyDescent="0.2">
      <c r="E15226" s="18"/>
      <c r="F15226" s="18"/>
    </row>
    <row r="15227" spans="5:6" ht="15" customHeight="1" x14ac:dyDescent="0.2">
      <c r="E15227" s="18"/>
      <c r="F15227" s="18"/>
    </row>
    <row r="15228" spans="5:6" ht="15" customHeight="1" x14ac:dyDescent="0.2">
      <c r="E15228" s="18"/>
      <c r="F15228" s="18"/>
    </row>
    <row r="15229" spans="5:6" ht="15" customHeight="1" x14ac:dyDescent="0.2">
      <c r="E15229" s="18"/>
      <c r="F15229" s="18"/>
    </row>
    <row r="15230" spans="5:6" ht="15" customHeight="1" x14ac:dyDescent="0.2">
      <c r="E15230" s="18"/>
      <c r="F15230" s="18"/>
    </row>
    <row r="15231" spans="5:6" ht="15" customHeight="1" x14ac:dyDescent="0.2">
      <c r="E15231" s="18"/>
      <c r="F15231" s="18"/>
    </row>
    <row r="15232" spans="5:6" ht="15" customHeight="1" x14ac:dyDescent="0.2">
      <c r="E15232" s="18"/>
      <c r="F15232" s="18"/>
    </row>
    <row r="15233" spans="5:6" ht="15" customHeight="1" x14ac:dyDescent="0.2">
      <c r="E15233" s="18"/>
      <c r="F15233" s="18"/>
    </row>
    <row r="15234" spans="5:6" ht="15" customHeight="1" x14ac:dyDescent="0.2">
      <c r="E15234" s="18"/>
      <c r="F15234" s="18"/>
    </row>
    <row r="15235" spans="5:6" ht="15" customHeight="1" x14ac:dyDescent="0.2">
      <c r="E15235" s="18"/>
      <c r="F15235" s="18"/>
    </row>
    <row r="15236" spans="5:6" ht="15" customHeight="1" x14ac:dyDescent="0.2">
      <c r="E15236" s="18"/>
      <c r="F15236" s="18"/>
    </row>
    <row r="15237" spans="5:6" ht="15" customHeight="1" x14ac:dyDescent="0.2">
      <c r="E15237" s="18"/>
      <c r="F15237" s="18"/>
    </row>
    <row r="15238" spans="5:6" ht="15" customHeight="1" x14ac:dyDescent="0.2">
      <c r="E15238" s="18"/>
      <c r="F15238" s="18"/>
    </row>
    <row r="15239" spans="5:6" ht="15" customHeight="1" x14ac:dyDescent="0.2">
      <c r="E15239" s="18"/>
      <c r="F15239" s="18"/>
    </row>
    <row r="15240" spans="5:6" ht="15" customHeight="1" x14ac:dyDescent="0.2">
      <c r="E15240" s="18"/>
      <c r="F15240" s="18"/>
    </row>
    <row r="15241" spans="5:6" ht="15" customHeight="1" x14ac:dyDescent="0.2">
      <c r="E15241" s="18"/>
      <c r="F15241" s="18"/>
    </row>
    <row r="15242" spans="5:6" ht="15" customHeight="1" x14ac:dyDescent="0.2">
      <c r="E15242" s="18"/>
      <c r="F15242" s="18"/>
    </row>
    <row r="15243" spans="5:6" ht="15" customHeight="1" x14ac:dyDescent="0.2">
      <c r="E15243" s="18"/>
      <c r="F15243" s="18"/>
    </row>
    <row r="15244" spans="5:6" ht="15" customHeight="1" x14ac:dyDescent="0.2">
      <c r="E15244" s="18"/>
      <c r="F15244" s="18"/>
    </row>
    <row r="15245" spans="5:6" ht="15" customHeight="1" x14ac:dyDescent="0.2">
      <c r="E15245" s="18"/>
      <c r="F15245" s="18"/>
    </row>
    <row r="15246" spans="5:6" ht="15" customHeight="1" x14ac:dyDescent="0.2">
      <c r="E15246" s="18"/>
      <c r="F15246" s="18"/>
    </row>
    <row r="15247" spans="5:6" ht="15" customHeight="1" x14ac:dyDescent="0.2">
      <c r="E15247" s="18"/>
      <c r="F15247" s="18"/>
    </row>
    <row r="15248" spans="5:6" ht="15" customHeight="1" x14ac:dyDescent="0.2">
      <c r="E15248" s="18"/>
      <c r="F15248" s="18"/>
    </row>
    <row r="15249" spans="5:6" ht="15" customHeight="1" x14ac:dyDescent="0.2">
      <c r="E15249" s="18"/>
      <c r="F15249" s="18"/>
    </row>
    <row r="15250" spans="5:6" ht="15" customHeight="1" x14ac:dyDescent="0.2">
      <c r="E15250" s="18"/>
      <c r="F15250" s="18"/>
    </row>
    <row r="15251" spans="5:6" ht="15" customHeight="1" x14ac:dyDescent="0.2">
      <c r="E15251" s="18"/>
      <c r="F15251" s="18"/>
    </row>
    <row r="15252" spans="5:6" ht="15" customHeight="1" x14ac:dyDescent="0.2">
      <c r="E15252" s="18"/>
      <c r="F15252" s="18"/>
    </row>
    <row r="15253" spans="5:6" ht="15" customHeight="1" x14ac:dyDescent="0.2">
      <c r="E15253" s="18"/>
      <c r="F15253" s="18"/>
    </row>
    <row r="15254" spans="5:6" ht="15" customHeight="1" x14ac:dyDescent="0.2">
      <c r="E15254" s="18"/>
      <c r="F15254" s="18"/>
    </row>
    <row r="15255" spans="5:6" ht="15" customHeight="1" x14ac:dyDescent="0.2">
      <c r="E15255" s="18"/>
      <c r="F15255" s="18"/>
    </row>
    <row r="15256" spans="5:6" ht="15" customHeight="1" x14ac:dyDescent="0.2">
      <c r="E15256" s="18"/>
      <c r="F15256" s="18"/>
    </row>
    <row r="15257" spans="5:6" ht="15" customHeight="1" x14ac:dyDescent="0.2">
      <c r="E15257" s="18"/>
      <c r="F15257" s="18"/>
    </row>
    <row r="15258" spans="5:6" ht="15" customHeight="1" x14ac:dyDescent="0.2">
      <c r="E15258" s="18"/>
      <c r="F15258" s="18"/>
    </row>
    <row r="15259" spans="5:6" ht="15" customHeight="1" x14ac:dyDescent="0.2">
      <c r="E15259" s="18"/>
      <c r="F15259" s="18"/>
    </row>
    <row r="15260" spans="5:6" ht="15" customHeight="1" x14ac:dyDescent="0.2">
      <c r="E15260" s="18"/>
      <c r="F15260" s="18"/>
    </row>
    <row r="15261" spans="5:6" ht="15" customHeight="1" x14ac:dyDescent="0.2">
      <c r="E15261" s="18"/>
      <c r="F15261" s="18"/>
    </row>
    <row r="15262" spans="5:6" ht="15" customHeight="1" x14ac:dyDescent="0.2">
      <c r="E15262" s="18"/>
      <c r="F15262" s="18"/>
    </row>
    <row r="15263" spans="5:6" ht="15" customHeight="1" x14ac:dyDescent="0.2">
      <c r="E15263" s="18"/>
      <c r="F15263" s="18"/>
    </row>
    <row r="15264" spans="5:6" ht="15" customHeight="1" x14ac:dyDescent="0.2">
      <c r="E15264" s="18"/>
      <c r="F15264" s="18"/>
    </row>
    <row r="15265" spans="5:6" ht="15" customHeight="1" x14ac:dyDescent="0.2">
      <c r="E15265" s="18"/>
      <c r="F15265" s="18"/>
    </row>
    <row r="15266" spans="5:6" ht="15" customHeight="1" x14ac:dyDescent="0.2">
      <c r="E15266" s="18"/>
      <c r="F15266" s="18"/>
    </row>
    <row r="15267" spans="5:6" ht="15" customHeight="1" x14ac:dyDescent="0.2">
      <c r="E15267" s="18"/>
      <c r="F15267" s="18"/>
    </row>
    <row r="15268" spans="5:6" ht="15" customHeight="1" x14ac:dyDescent="0.2">
      <c r="E15268" s="18"/>
      <c r="F15268" s="18"/>
    </row>
    <row r="15269" spans="5:6" ht="15" customHeight="1" x14ac:dyDescent="0.2">
      <c r="E15269" s="18"/>
      <c r="F15269" s="18"/>
    </row>
    <row r="15270" spans="5:6" ht="15" customHeight="1" x14ac:dyDescent="0.2">
      <c r="E15270" s="18"/>
      <c r="F15270" s="18"/>
    </row>
    <row r="15271" spans="5:6" ht="15" customHeight="1" x14ac:dyDescent="0.2">
      <c r="E15271" s="18"/>
      <c r="F15271" s="18"/>
    </row>
    <row r="15272" spans="5:6" ht="15" customHeight="1" x14ac:dyDescent="0.2">
      <c r="E15272" s="18"/>
      <c r="F15272" s="18"/>
    </row>
    <row r="15273" spans="5:6" ht="15" customHeight="1" x14ac:dyDescent="0.2">
      <c r="E15273" s="18"/>
      <c r="F15273" s="18"/>
    </row>
    <row r="15274" spans="5:6" ht="15" customHeight="1" x14ac:dyDescent="0.2">
      <c r="E15274" s="18"/>
      <c r="F15274" s="18"/>
    </row>
    <row r="15275" spans="5:6" ht="15" customHeight="1" x14ac:dyDescent="0.2">
      <c r="E15275" s="18"/>
      <c r="F15275" s="18"/>
    </row>
    <row r="15276" spans="5:6" ht="15" customHeight="1" x14ac:dyDescent="0.2">
      <c r="E15276" s="18"/>
      <c r="F15276" s="18"/>
    </row>
    <row r="15277" spans="5:6" ht="15" customHeight="1" x14ac:dyDescent="0.2">
      <c r="E15277" s="18"/>
      <c r="F15277" s="18"/>
    </row>
    <row r="15278" spans="5:6" ht="15" customHeight="1" x14ac:dyDescent="0.2">
      <c r="E15278" s="18"/>
      <c r="F15278" s="18"/>
    </row>
    <row r="15279" spans="5:6" ht="15" customHeight="1" x14ac:dyDescent="0.2">
      <c r="E15279" s="18"/>
      <c r="F15279" s="18"/>
    </row>
    <row r="15280" spans="5:6" ht="15" customHeight="1" x14ac:dyDescent="0.2">
      <c r="E15280" s="18"/>
      <c r="F15280" s="18"/>
    </row>
    <row r="15281" spans="5:6" ht="15" customHeight="1" x14ac:dyDescent="0.2">
      <c r="E15281" s="18"/>
      <c r="F15281" s="18"/>
    </row>
    <row r="15282" spans="5:6" ht="15" customHeight="1" x14ac:dyDescent="0.2">
      <c r="E15282" s="18"/>
      <c r="F15282" s="18"/>
    </row>
    <row r="15283" spans="5:6" ht="15" customHeight="1" x14ac:dyDescent="0.2">
      <c r="E15283" s="18"/>
      <c r="F15283" s="18"/>
    </row>
    <row r="15284" spans="5:6" ht="15" customHeight="1" x14ac:dyDescent="0.2">
      <c r="E15284" s="18"/>
      <c r="F15284" s="18"/>
    </row>
    <row r="15285" spans="5:6" ht="15" customHeight="1" x14ac:dyDescent="0.2">
      <c r="E15285" s="18"/>
      <c r="F15285" s="18"/>
    </row>
    <row r="15286" spans="5:6" ht="15" customHeight="1" x14ac:dyDescent="0.2">
      <c r="E15286" s="18"/>
      <c r="F15286" s="18"/>
    </row>
    <row r="15287" spans="5:6" ht="15" customHeight="1" x14ac:dyDescent="0.2">
      <c r="E15287" s="18"/>
      <c r="F15287" s="18"/>
    </row>
    <row r="15288" spans="5:6" ht="15" customHeight="1" x14ac:dyDescent="0.2">
      <c r="E15288" s="18"/>
      <c r="F15288" s="18"/>
    </row>
    <row r="15289" spans="5:6" ht="15" customHeight="1" x14ac:dyDescent="0.2">
      <c r="E15289" s="18"/>
      <c r="F15289" s="18"/>
    </row>
    <row r="15290" spans="5:6" ht="15" customHeight="1" x14ac:dyDescent="0.2">
      <c r="E15290" s="18"/>
      <c r="F15290" s="18"/>
    </row>
    <row r="15291" spans="5:6" ht="15" customHeight="1" x14ac:dyDescent="0.2">
      <c r="E15291" s="18"/>
      <c r="F15291" s="18"/>
    </row>
    <row r="15292" spans="5:6" ht="15" customHeight="1" x14ac:dyDescent="0.2">
      <c r="E15292" s="18"/>
      <c r="F15292" s="18"/>
    </row>
    <row r="15293" spans="5:6" ht="15" customHeight="1" x14ac:dyDescent="0.2">
      <c r="E15293" s="18"/>
      <c r="F15293" s="18"/>
    </row>
    <row r="15294" spans="5:6" ht="15" customHeight="1" x14ac:dyDescent="0.2">
      <c r="E15294" s="18"/>
      <c r="F15294" s="18"/>
    </row>
    <row r="15295" spans="5:6" ht="15" customHeight="1" x14ac:dyDescent="0.2">
      <c r="E15295" s="18"/>
      <c r="F15295" s="18"/>
    </row>
    <row r="15296" spans="5:6" ht="15" customHeight="1" x14ac:dyDescent="0.2">
      <c r="E15296" s="18"/>
      <c r="F15296" s="18"/>
    </row>
    <row r="15297" spans="5:6" ht="15" customHeight="1" x14ac:dyDescent="0.2">
      <c r="E15297" s="18"/>
      <c r="F15297" s="18"/>
    </row>
    <row r="15298" spans="5:6" ht="15" customHeight="1" x14ac:dyDescent="0.2">
      <c r="E15298" s="18"/>
      <c r="F15298" s="18"/>
    </row>
    <row r="15299" spans="5:6" ht="15" customHeight="1" x14ac:dyDescent="0.2">
      <c r="E15299" s="18"/>
      <c r="F15299" s="18"/>
    </row>
    <row r="15300" spans="5:6" ht="15" customHeight="1" x14ac:dyDescent="0.2">
      <c r="E15300" s="18"/>
      <c r="F15300" s="18"/>
    </row>
    <row r="15301" spans="5:6" ht="15" customHeight="1" x14ac:dyDescent="0.2">
      <c r="E15301" s="18"/>
      <c r="F15301" s="18"/>
    </row>
    <row r="15302" spans="5:6" ht="15" customHeight="1" x14ac:dyDescent="0.2">
      <c r="E15302" s="18"/>
      <c r="F15302" s="18"/>
    </row>
    <row r="15303" spans="5:6" ht="15" customHeight="1" x14ac:dyDescent="0.2">
      <c r="E15303" s="18"/>
      <c r="F15303" s="18"/>
    </row>
    <row r="15304" spans="5:6" ht="15" customHeight="1" x14ac:dyDescent="0.2">
      <c r="E15304" s="18"/>
      <c r="F15304" s="18"/>
    </row>
    <row r="15305" spans="5:6" ht="15" customHeight="1" x14ac:dyDescent="0.2">
      <c r="E15305" s="18"/>
      <c r="F15305" s="18"/>
    </row>
    <row r="15306" spans="5:6" ht="15" customHeight="1" x14ac:dyDescent="0.2">
      <c r="E15306" s="18"/>
      <c r="F15306" s="18"/>
    </row>
    <row r="15307" spans="5:6" ht="15" customHeight="1" x14ac:dyDescent="0.2">
      <c r="E15307" s="18"/>
      <c r="F15307" s="18"/>
    </row>
    <row r="15308" spans="5:6" ht="15" customHeight="1" x14ac:dyDescent="0.2">
      <c r="E15308" s="18"/>
      <c r="F15308" s="18"/>
    </row>
    <row r="15309" spans="5:6" ht="15" customHeight="1" x14ac:dyDescent="0.2">
      <c r="E15309" s="18"/>
      <c r="F15309" s="18"/>
    </row>
    <row r="15310" spans="5:6" ht="15" customHeight="1" x14ac:dyDescent="0.2">
      <c r="E15310" s="18"/>
      <c r="F15310" s="18"/>
    </row>
    <row r="15311" spans="5:6" ht="15" customHeight="1" x14ac:dyDescent="0.2">
      <c r="E15311" s="18"/>
      <c r="F15311" s="18"/>
    </row>
    <row r="15312" spans="5:6" ht="15" customHeight="1" x14ac:dyDescent="0.2">
      <c r="E15312" s="18"/>
      <c r="F15312" s="18"/>
    </row>
    <row r="15313" spans="5:6" ht="15" customHeight="1" x14ac:dyDescent="0.2">
      <c r="E15313" s="18"/>
      <c r="F15313" s="18"/>
    </row>
    <row r="15314" spans="5:6" ht="15" customHeight="1" x14ac:dyDescent="0.2">
      <c r="E15314" s="18"/>
      <c r="F15314" s="18"/>
    </row>
    <row r="15315" spans="5:6" ht="15" customHeight="1" x14ac:dyDescent="0.2">
      <c r="E15315" s="18"/>
      <c r="F15315" s="18"/>
    </row>
    <row r="15316" spans="5:6" ht="15" customHeight="1" x14ac:dyDescent="0.2">
      <c r="E15316" s="18"/>
      <c r="F15316" s="18"/>
    </row>
    <row r="15317" spans="5:6" ht="15" customHeight="1" x14ac:dyDescent="0.2">
      <c r="E15317" s="18"/>
      <c r="F15317" s="18"/>
    </row>
    <row r="15318" spans="5:6" ht="15" customHeight="1" x14ac:dyDescent="0.2">
      <c r="E15318" s="18"/>
      <c r="F15318" s="18"/>
    </row>
    <row r="15319" spans="5:6" ht="15" customHeight="1" x14ac:dyDescent="0.2">
      <c r="E15319" s="18"/>
      <c r="F15319" s="18"/>
    </row>
    <row r="15320" spans="5:6" ht="15" customHeight="1" x14ac:dyDescent="0.2">
      <c r="E15320" s="18"/>
      <c r="F15320" s="18"/>
    </row>
    <row r="15321" spans="5:6" ht="15" customHeight="1" x14ac:dyDescent="0.2">
      <c r="E15321" s="18"/>
      <c r="F15321" s="18"/>
    </row>
    <row r="15322" spans="5:6" ht="15" customHeight="1" x14ac:dyDescent="0.2">
      <c r="E15322" s="18"/>
      <c r="F15322" s="18"/>
    </row>
    <row r="15323" spans="5:6" ht="15" customHeight="1" x14ac:dyDescent="0.2">
      <c r="E15323" s="18"/>
      <c r="F15323" s="18"/>
    </row>
    <row r="15324" spans="5:6" ht="15" customHeight="1" x14ac:dyDescent="0.2">
      <c r="E15324" s="18"/>
      <c r="F15324" s="18"/>
    </row>
    <row r="15325" spans="5:6" ht="15" customHeight="1" x14ac:dyDescent="0.2">
      <c r="E15325" s="18"/>
      <c r="F15325" s="18"/>
    </row>
    <row r="15326" spans="5:6" ht="15" customHeight="1" x14ac:dyDescent="0.2">
      <c r="E15326" s="18"/>
      <c r="F15326" s="18"/>
    </row>
    <row r="15327" spans="5:6" ht="15" customHeight="1" x14ac:dyDescent="0.2">
      <c r="E15327" s="18"/>
      <c r="F15327" s="18"/>
    </row>
    <row r="15328" spans="5:6" ht="15" customHeight="1" x14ac:dyDescent="0.2">
      <c r="E15328" s="18"/>
      <c r="F15328" s="18"/>
    </row>
    <row r="15329" spans="5:6" ht="15" customHeight="1" x14ac:dyDescent="0.2">
      <c r="E15329" s="18"/>
      <c r="F15329" s="18"/>
    </row>
    <row r="15330" spans="5:6" ht="15" customHeight="1" x14ac:dyDescent="0.2">
      <c r="E15330" s="18"/>
      <c r="F15330" s="18"/>
    </row>
    <row r="15331" spans="5:6" ht="15" customHeight="1" x14ac:dyDescent="0.2">
      <c r="E15331" s="18"/>
      <c r="F15331" s="18"/>
    </row>
    <row r="15332" spans="5:6" ht="15" customHeight="1" x14ac:dyDescent="0.2">
      <c r="E15332" s="18"/>
      <c r="F15332" s="18"/>
    </row>
    <row r="15333" spans="5:6" ht="15" customHeight="1" x14ac:dyDescent="0.2">
      <c r="E15333" s="18"/>
      <c r="F15333" s="18"/>
    </row>
    <row r="15334" spans="5:6" ht="15" customHeight="1" x14ac:dyDescent="0.2">
      <c r="E15334" s="18"/>
      <c r="F15334" s="18"/>
    </row>
    <row r="15335" spans="5:6" ht="15" customHeight="1" x14ac:dyDescent="0.2">
      <c r="E15335" s="18"/>
      <c r="F15335" s="18"/>
    </row>
    <row r="15336" spans="5:6" ht="15" customHeight="1" x14ac:dyDescent="0.2">
      <c r="E15336" s="18"/>
      <c r="F15336" s="18"/>
    </row>
    <row r="15337" spans="5:6" ht="15" customHeight="1" x14ac:dyDescent="0.2">
      <c r="E15337" s="18"/>
      <c r="F15337" s="18"/>
    </row>
    <row r="15338" spans="5:6" ht="15" customHeight="1" x14ac:dyDescent="0.2">
      <c r="E15338" s="18"/>
      <c r="F15338" s="18"/>
    </row>
    <row r="15339" spans="5:6" ht="15" customHeight="1" x14ac:dyDescent="0.2">
      <c r="E15339" s="18"/>
      <c r="F15339" s="18"/>
    </row>
    <row r="15340" spans="5:6" ht="15" customHeight="1" x14ac:dyDescent="0.2">
      <c r="E15340" s="18"/>
      <c r="F15340" s="18"/>
    </row>
    <row r="15341" spans="5:6" ht="15" customHeight="1" x14ac:dyDescent="0.2">
      <c r="E15341" s="18"/>
      <c r="F15341" s="18"/>
    </row>
    <row r="15342" spans="5:6" ht="15" customHeight="1" x14ac:dyDescent="0.2">
      <c r="E15342" s="18"/>
      <c r="F15342" s="18"/>
    </row>
    <row r="15343" spans="5:6" ht="15" customHeight="1" x14ac:dyDescent="0.2">
      <c r="E15343" s="18"/>
      <c r="F15343" s="18"/>
    </row>
    <row r="15344" spans="5:6" ht="15" customHeight="1" x14ac:dyDescent="0.2">
      <c r="E15344" s="18"/>
      <c r="F15344" s="18"/>
    </row>
    <row r="15345" spans="5:6" ht="15" customHeight="1" x14ac:dyDescent="0.2">
      <c r="E15345" s="18"/>
      <c r="F15345" s="18"/>
    </row>
    <row r="15346" spans="5:6" ht="15" customHeight="1" x14ac:dyDescent="0.2">
      <c r="E15346" s="18"/>
      <c r="F15346" s="18"/>
    </row>
    <row r="15347" spans="5:6" ht="15" customHeight="1" x14ac:dyDescent="0.2">
      <c r="E15347" s="18"/>
      <c r="F15347" s="18"/>
    </row>
    <row r="15348" spans="5:6" ht="15" customHeight="1" x14ac:dyDescent="0.2">
      <c r="E15348" s="18"/>
      <c r="F15348" s="18"/>
    </row>
    <row r="15349" spans="5:6" ht="15" customHeight="1" x14ac:dyDescent="0.2">
      <c r="E15349" s="18"/>
      <c r="F15349" s="18"/>
    </row>
    <row r="15350" spans="5:6" ht="15" customHeight="1" x14ac:dyDescent="0.2">
      <c r="E15350" s="18"/>
      <c r="F15350" s="18"/>
    </row>
    <row r="15351" spans="5:6" ht="15" customHeight="1" x14ac:dyDescent="0.2">
      <c r="E15351" s="18"/>
      <c r="F15351" s="18"/>
    </row>
    <row r="15352" spans="5:6" ht="15" customHeight="1" x14ac:dyDescent="0.2">
      <c r="E15352" s="18"/>
      <c r="F15352" s="18"/>
    </row>
    <row r="15353" spans="5:6" ht="15" customHeight="1" x14ac:dyDescent="0.2">
      <c r="E15353" s="18"/>
      <c r="F15353" s="18"/>
    </row>
    <row r="15354" spans="5:6" ht="15" customHeight="1" x14ac:dyDescent="0.2">
      <c r="E15354" s="18"/>
      <c r="F15354" s="18"/>
    </row>
    <row r="15355" spans="5:6" ht="15" customHeight="1" x14ac:dyDescent="0.2">
      <c r="E15355" s="18"/>
      <c r="F15355" s="18"/>
    </row>
    <row r="15356" spans="5:6" ht="15" customHeight="1" x14ac:dyDescent="0.2">
      <c r="E15356" s="18"/>
      <c r="F15356" s="18"/>
    </row>
    <row r="15357" spans="5:6" ht="15" customHeight="1" x14ac:dyDescent="0.2">
      <c r="E15357" s="18"/>
      <c r="F15357" s="18"/>
    </row>
    <row r="15358" spans="5:6" ht="15" customHeight="1" x14ac:dyDescent="0.2">
      <c r="E15358" s="18"/>
      <c r="F15358" s="18"/>
    </row>
    <row r="15359" spans="5:6" ht="15" customHeight="1" x14ac:dyDescent="0.2">
      <c r="E15359" s="18"/>
      <c r="F15359" s="18"/>
    </row>
    <row r="15360" spans="5:6" ht="15" customHeight="1" x14ac:dyDescent="0.2">
      <c r="E15360" s="18"/>
      <c r="F15360" s="18"/>
    </row>
    <row r="15361" spans="5:6" ht="15" customHeight="1" x14ac:dyDescent="0.2">
      <c r="E15361" s="18"/>
      <c r="F15361" s="18"/>
    </row>
    <row r="15362" spans="5:6" ht="15" customHeight="1" x14ac:dyDescent="0.2">
      <c r="E15362" s="18"/>
      <c r="F15362" s="18"/>
    </row>
    <row r="15363" spans="5:6" ht="15" customHeight="1" x14ac:dyDescent="0.2">
      <c r="E15363" s="18"/>
      <c r="F15363" s="18"/>
    </row>
    <row r="15364" spans="5:6" ht="15" customHeight="1" x14ac:dyDescent="0.2">
      <c r="E15364" s="18"/>
      <c r="F15364" s="18"/>
    </row>
    <row r="15365" spans="5:6" ht="15" customHeight="1" x14ac:dyDescent="0.2">
      <c r="E15365" s="18"/>
      <c r="F15365" s="18"/>
    </row>
    <row r="15366" spans="5:6" ht="15" customHeight="1" x14ac:dyDescent="0.2">
      <c r="E15366" s="18"/>
      <c r="F15366" s="18"/>
    </row>
    <row r="15367" spans="5:6" ht="15" customHeight="1" x14ac:dyDescent="0.2">
      <c r="E15367" s="18"/>
      <c r="F15367" s="18"/>
    </row>
    <row r="15368" spans="5:6" ht="15" customHeight="1" x14ac:dyDescent="0.2">
      <c r="E15368" s="18"/>
      <c r="F15368" s="18"/>
    </row>
    <row r="15369" spans="5:6" ht="15" customHeight="1" x14ac:dyDescent="0.2">
      <c r="E15369" s="18"/>
      <c r="F15369" s="18"/>
    </row>
    <row r="15370" spans="5:6" ht="15" customHeight="1" x14ac:dyDescent="0.2">
      <c r="E15370" s="18"/>
      <c r="F15370" s="18"/>
    </row>
    <row r="15371" spans="5:6" ht="15" customHeight="1" x14ac:dyDescent="0.2">
      <c r="E15371" s="18"/>
      <c r="F15371" s="18"/>
    </row>
    <row r="15372" spans="5:6" ht="15" customHeight="1" x14ac:dyDescent="0.2">
      <c r="E15372" s="18"/>
      <c r="F15372" s="18"/>
    </row>
    <row r="15373" spans="5:6" ht="15" customHeight="1" x14ac:dyDescent="0.2">
      <c r="E15373" s="18"/>
      <c r="F15373" s="18"/>
    </row>
    <row r="15374" spans="5:6" ht="15" customHeight="1" x14ac:dyDescent="0.2">
      <c r="E15374" s="18"/>
      <c r="F15374" s="18"/>
    </row>
    <row r="15375" spans="5:6" ht="15" customHeight="1" x14ac:dyDescent="0.2">
      <c r="E15375" s="18"/>
      <c r="F15375" s="18"/>
    </row>
    <row r="15376" spans="5:6" ht="15" customHeight="1" x14ac:dyDescent="0.2">
      <c r="E15376" s="18"/>
      <c r="F15376" s="18"/>
    </row>
    <row r="15377" spans="5:6" ht="15" customHeight="1" x14ac:dyDescent="0.2">
      <c r="E15377" s="18"/>
      <c r="F15377" s="18"/>
    </row>
    <row r="15378" spans="5:6" ht="15" customHeight="1" x14ac:dyDescent="0.2">
      <c r="E15378" s="18"/>
      <c r="F15378" s="18"/>
    </row>
    <row r="15379" spans="5:6" ht="15" customHeight="1" x14ac:dyDescent="0.2">
      <c r="E15379" s="18"/>
      <c r="F15379" s="18"/>
    </row>
    <row r="15380" spans="5:6" ht="15" customHeight="1" x14ac:dyDescent="0.2">
      <c r="E15380" s="18"/>
      <c r="F15380" s="18"/>
    </row>
    <row r="15381" spans="5:6" ht="15" customHeight="1" x14ac:dyDescent="0.2">
      <c r="E15381" s="18"/>
      <c r="F15381" s="18"/>
    </row>
    <row r="15382" spans="5:6" ht="15" customHeight="1" x14ac:dyDescent="0.2">
      <c r="E15382" s="18"/>
      <c r="F15382" s="18"/>
    </row>
    <row r="15383" spans="5:6" ht="15" customHeight="1" x14ac:dyDescent="0.2">
      <c r="E15383" s="18"/>
      <c r="F15383" s="18"/>
    </row>
    <row r="15384" spans="5:6" ht="15" customHeight="1" x14ac:dyDescent="0.2">
      <c r="E15384" s="18"/>
      <c r="F15384" s="18"/>
    </row>
    <row r="15385" spans="5:6" ht="15" customHeight="1" x14ac:dyDescent="0.2">
      <c r="E15385" s="18"/>
      <c r="F15385" s="18"/>
    </row>
    <row r="15386" spans="5:6" ht="15" customHeight="1" x14ac:dyDescent="0.2">
      <c r="E15386" s="18"/>
      <c r="F15386" s="18"/>
    </row>
    <row r="15387" spans="5:6" ht="15" customHeight="1" x14ac:dyDescent="0.2">
      <c r="E15387" s="18"/>
      <c r="F15387" s="18"/>
    </row>
    <row r="15388" spans="5:6" ht="15" customHeight="1" x14ac:dyDescent="0.2">
      <c r="E15388" s="18"/>
      <c r="F15388" s="18"/>
    </row>
    <row r="15389" spans="5:6" ht="15" customHeight="1" x14ac:dyDescent="0.2">
      <c r="E15389" s="18"/>
      <c r="F15389" s="18"/>
    </row>
    <row r="15390" spans="5:6" ht="15" customHeight="1" x14ac:dyDescent="0.2">
      <c r="E15390" s="18"/>
      <c r="F15390" s="18"/>
    </row>
    <row r="15391" spans="5:6" ht="15" customHeight="1" x14ac:dyDescent="0.2">
      <c r="E15391" s="18"/>
      <c r="F15391" s="18"/>
    </row>
    <row r="15392" spans="5:6" ht="15" customHeight="1" x14ac:dyDescent="0.2">
      <c r="E15392" s="18"/>
      <c r="F15392" s="18"/>
    </row>
    <row r="15393" spans="5:6" ht="15" customHeight="1" x14ac:dyDescent="0.2">
      <c r="E15393" s="18"/>
      <c r="F15393" s="18"/>
    </row>
    <row r="15394" spans="5:6" ht="15" customHeight="1" x14ac:dyDescent="0.2">
      <c r="E15394" s="18"/>
      <c r="F15394" s="18"/>
    </row>
    <row r="15395" spans="5:6" ht="15" customHeight="1" x14ac:dyDescent="0.2">
      <c r="E15395" s="18"/>
      <c r="F15395" s="18"/>
    </row>
    <row r="15396" spans="5:6" ht="15" customHeight="1" x14ac:dyDescent="0.2">
      <c r="E15396" s="18"/>
      <c r="F15396" s="18"/>
    </row>
    <row r="15397" spans="5:6" ht="15" customHeight="1" x14ac:dyDescent="0.2">
      <c r="E15397" s="18"/>
      <c r="F15397" s="18"/>
    </row>
    <row r="15398" spans="5:6" ht="15" customHeight="1" x14ac:dyDescent="0.2">
      <c r="E15398" s="18"/>
      <c r="F15398" s="18"/>
    </row>
    <row r="15399" spans="5:6" ht="15" customHeight="1" x14ac:dyDescent="0.2">
      <c r="E15399" s="18"/>
      <c r="F15399" s="18"/>
    </row>
    <row r="15400" spans="5:6" ht="15" customHeight="1" x14ac:dyDescent="0.2">
      <c r="E15400" s="18"/>
      <c r="F15400" s="18"/>
    </row>
    <row r="15401" spans="5:6" ht="15" customHeight="1" x14ac:dyDescent="0.2">
      <c r="E15401" s="18"/>
      <c r="F15401" s="18"/>
    </row>
    <row r="15402" spans="5:6" ht="15" customHeight="1" x14ac:dyDescent="0.2">
      <c r="E15402" s="18"/>
      <c r="F15402" s="18"/>
    </row>
    <row r="15403" spans="5:6" ht="15" customHeight="1" x14ac:dyDescent="0.2">
      <c r="E15403" s="18"/>
      <c r="F15403" s="18"/>
    </row>
    <row r="15404" spans="5:6" ht="15" customHeight="1" x14ac:dyDescent="0.2">
      <c r="E15404" s="18"/>
      <c r="F15404" s="18"/>
    </row>
    <row r="15405" spans="5:6" ht="15" customHeight="1" x14ac:dyDescent="0.2">
      <c r="E15405" s="18"/>
      <c r="F15405" s="18"/>
    </row>
    <row r="15406" spans="5:6" ht="15" customHeight="1" x14ac:dyDescent="0.2">
      <c r="E15406" s="18"/>
      <c r="F15406" s="18"/>
    </row>
    <row r="15407" spans="5:6" ht="15" customHeight="1" x14ac:dyDescent="0.2">
      <c r="E15407" s="18"/>
      <c r="F15407" s="18"/>
    </row>
    <row r="15408" spans="5:6" ht="15" customHeight="1" x14ac:dyDescent="0.2">
      <c r="E15408" s="18"/>
      <c r="F15408" s="18"/>
    </row>
    <row r="15409" spans="5:6" ht="15" customHeight="1" x14ac:dyDescent="0.2">
      <c r="E15409" s="18"/>
      <c r="F15409" s="18"/>
    </row>
    <row r="15410" spans="5:6" ht="15" customHeight="1" x14ac:dyDescent="0.2">
      <c r="E15410" s="18"/>
      <c r="F15410" s="18"/>
    </row>
    <row r="15411" spans="5:6" ht="15" customHeight="1" x14ac:dyDescent="0.2">
      <c r="E15411" s="18"/>
      <c r="F15411" s="18"/>
    </row>
    <row r="15412" spans="5:6" ht="15" customHeight="1" x14ac:dyDescent="0.2">
      <c r="E15412" s="18"/>
      <c r="F15412" s="18"/>
    </row>
    <row r="15413" spans="5:6" ht="15" customHeight="1" x14ac:dyDescent="0.2">
      <c r="E15413" s="18"/>
      <c r="F15413" s="18"/>
    </row>
    <row r="15414" spans="5:6" ht="15" customHeight="1" x14ac:dyDescent="0.2">
      <c r="E15414" s="18"/>
      <c r="F15414" s="18"/>
    </row>
    <row r="15415" spans="5:6" ht="15" customHeight="1" x14ac:dyDescent="0.2">
      <c r="E15415" s="18"/>
      <c r="F15415" s="18"/>
    </row>
    <row r="15416" spans="5:6" ht="15" customHeight="1" x14ac:dyDescent="0.2">
      <c r="E15416" s="18"/>
      <c r="F15416" s="18"/>
    </row>
    <row r="15417" spans="5:6" ht="15" customHeight="1" x14ac:dyDescent="0.2">
      <c r="E15417" s="18"/>
      <c r="F15417" s="18"/>
    </row>
    <row r="15418" spans="5:6" ht="15" customHeight="1" x14ac:dyDescent="0.2">
      <c r="E15418" s="18"/>
      <c r="F15418" s="18"/>
    </row>
    <row r="15419" spans="5:6" ht="15" customHeight="1" x14ac:dyDescent="0.2">
      <c r="E15419" s="18"/>
      <c r="F15419" s="18"/>
    </row>
    <row r="15420" spans="5:6" ht="15" customHeight="1" x14ac:dyDescent="0.2">
      <c r="E15420" s="18"/>
      <c r="F15420" s="18"/>
    </row>
    <row r="15421" spans="5:6" ht="15" customHeight="1" x14ac:dyDescent="0.2">
      <c r="E15421" s="18"/>
      <c r="F15421" s="18"/>
    </row>
    <row r="15422" spans="5:6" ht="15" customHeight="1" x14ac:dyDescent="0.2">
      <c r="E15422" s="18"/>
      <c r="F15422" s="18"/>
    </row>
    <row r="15423" spans="5:6" ht="15" customHeight="1" x14ac:dyDescent="0.2">
      <c r="E15423" s="18"/>
      <c r="F15423" s="18"/>
    </row>
    <row r="15424" spans="5:6" ht="15" customHeight="1" x14ac:dyDescent="0.2">
      <c r="E15424" s="18"/>
      <c r="F15424" s="18"/>
    </row>
    <row r="15425" spans="5:6" ht="15" customHeight="1" x14ac:dyDescent="0.2">
      <c r="E15425" s="18"/>
      <c r="F15425" s="18"/>
    </row>
    <row r="15426" spans="5:6" ht="15" customHeight="1" x14ac:dyDescent="0.2">
      <c r="E15426" s="18"/>
      <c r="F15426" s="18"/>
    </row>
    <row r="15427" spans="5:6" ht="15" customHeight="1" x14ac:dyDescent="0.2">
      <c r="E15427" s="18"/>
      <c r="F15427" s="18"/>
    </row>
    <row r="15428" spans="5:6" ht="15" customHeight="1" x14ac:dyDescent="0.2">
      <c r="E15428" s="18"/>
      <c r="F15428" s="18"/>
    </row>
    <row r="15429" spans="5:6" ht="15" customHeight="1" x14ac:dyDescent="0.2">
      <c r="E15429" s="18"/>
      <c r="F15429" s="18"/>
    </row>
    <row r="15430" spans="5:6" ht="15" customHeight="1" x14ac:dyDescent="0.2">
      <c r="E15430" s="18"/>
      <c r="F15430" s="18"/>
    </row>
    <row r="15431" spans="5:6" ht="15" customHeight="1" x14ac:dyDescent="0.2">
      <c r="E15431" s="18"/>
      <c r="F15431" s="18"/>
    </row>
    <row r="15432" spans="5:6" ht="15" customHeight="1" x14ac:dyDescent="0.2">
      <c r="E15432" s="18"/>
      <c r="F15432" s="18"/>
    </row>
    <row r="15433" spans="5:6" ht="15" customHeight="1" x14ac:dyDescent="0.2">
      <c r="E15433" s="18"/>
      <c r="F15433" s="18"/>
    </row>
    <row r="15434" spans="5:6" ht="15" customHeight="1" x14ac:dyDescent="0.2">
      <c r="E15434" s="18"/>
      <c r="F15434" s="18"/>
    </row>
    <row r="15435" spans="5:6" ht="15" customHeight="1" x14ac:dyDescent="0.2">
      <c r="E15435" s="18"/>
      <c r="F15435" s="18"/>
    </row>
    <row r="15436" spans="5:6" ht="15" customHeight="1" x14ac:dyDescent="0.2">
      <c r="E15436" s="18"/>
      <c r="F15436" s="18"/>
    </row>
    <row r="15437" spans="5:6" ht="15" customHeight="1" x14ac:dyDescent="0.2">
      <c r="E15437" s="18"/>
      <c r="F15437" s="18"/>
    </row>
    <row r="15438" spans="5:6" ht="15" customHeight="1" x14ac:dyDescent="0.2">
      <c r="E15438" s="18"/>
      <c r="F15438" s="18"/>
    </row>
    <row r="15439" spans="5:6" ht="15" customHeight="1" x14ac:dyDescent="0.2">
      <c r="E15439" s="18"/>
      <c r="F15439" s="18"/>
    </row>
    <row r="15440" spans="5:6" ht="15" customHeight="1" x14ac:dyDescent="0.2">
      <c r="E15440" s="18"/>
      <c r="F15440" s="18"/>
    </row>
    <row r="15441" spans="5:6" ht="15" customHeight="1" x14ac:dyDescent="0.2">
      <c r="E15441" s="18"/>
      <c r="F15441" s="18"/>
    </row>
    <row r="15442" spans="5:6" ht="15" customHeight="1" x14ac:dyDescent="0.2">
      <c r="E15442" s="18"/>
      <c r="F15442" s="18"/>
    </row>
    <row r="15443" spans="5:6" ht="15" customHeight="1" x14ac:dyDescent="0.2">
      <c r="E15443" s="18"/>
      <c r="F15443" s="18"/>
    </row>
    <row r="15444" spans="5:6" ht="15" customHeight="1" x14ac:dyDescent="0.2">
      <c r="E15444" s="18"/>
      <c r="F15444" s="18"/>
    </row>
    <row r="15445" spans="5:6" ht="15" customHeight="1" x14ac:dyDescent="0.2">
      <c r="E15445" s="18"/>
      <c r="F15445" s="18"/>
    </row>
    <row r="15446" spans="5:6" ht="15" customHeight="1" x14ac:dyDescent="0.2">
      <c r="E15446" s="18"/>
      <c r="F15446" s="18"/>
    </row>
    <row r="15447" spans="5:6" ht="15" customHeight="1" x14ac:dyDescent="0.2">
      <c r="E15447" s="18"/>
      <c r="F15447" s="18"/>
    </row>
    <row r="15448" spans="5:6" ht="15" customHeight="1" x14ac:dyDescent="0.2">
      <c r="E15448" s="18"/>
      <c r="F15448" s="18"/>
    </row>
    <row r="15449" spans="5:6" ht="15" customHeight="1" x14ac:dyDescent="0.2">
      <c r="E15449" s="18"/>
      <c r="F15449" s="18"/>
    </row>
    <row r="15450" spans="5:6" ht="15" customHeight="1" x14ac:dyDescent="0.2">
      <c r="E15450" s="18"/>
      <c r="F15450" s="18"/>
    </row>
    <row r="15451" spans="5:6" ht="15" customHeight="1" x14ac:dyDescent="0.2">
      <c r="E15451" s="18"/>
      <c r="F15451" s="18"/>
    </row>
    <row r="15452" spans="5:6" ht="15" customHeight="1" x14ac:dyDescent="0.2">
      <c r="E15452" s="18"/>
      <c r="F15452" s="18"/>
    </row>
    <row r="15453" spans="5:6" ht="15" customHeight="1" x14ac:dyDescent="0.2">
      <c r="E15453" s="18"/>
      <c r="F15453" s="18"/>
    </row>
    <row r="15454" spans="5:6" ht="15" customHeight="1" x14ac:dyDescent="0.2">
      <c r="E15454" s="18"/>
      <c r="F15454" s="18"/>
    </row>
    <row r="15455" spans="5:6" ht="15" customHeight="1" x14ac:dyDescent="0.2">
      <c r="E15455" s="18"/>
      <c r="F15455" s="18"/>
    </row>
    <row r="15456" spans="5:6" ht="15" customHeight="1" x14ac:dyDescent="0.2">
      <c r="E15456" s="18"/>
      <c r="F15456" s="18"/>
    </row>
    <row r="15457" spans="5:6" ht="15" customHeight="1" x14ac:dyDescent="0.2">
      <c r="E15457" s="18"/>
      <c r="F15457" s="18"/>
    </row>
    <row r="15458" spans="5:6" ht="15" customHeight="1" x14ac:dyDescent="0.2">
      <c r="E15458" s="18"/>
      <c r="F15458" s="18"/>
    </row>
    <row r="15459" spans="5:6" ht="15" customHeight="1" x14ac:dyDescent="0.2">
      <c r="E15459" s="18"/>
      <c r="F15459" s="18"/>
    </row>
    <row r="15460" spans="5:6" ht="15" customHeight="1" x14ac:dyDescent="0.2">
      <c r="E15460" s="18"/>
      <c r="F15460" s="18"/>
    </row>
    <row r="15461" spans="5:6" ht="15" customHeight="1" x14ac:dyDescent="0.2">
      <c r="E15461" s="18"/>
      <c r="F15461" s="18"/>
    </row>
    <row r="15462" spans="5:6" ht="15" customHeight="1" x14ac:dyDescent="0.2">
      <c r="E15462" s="18"/>
      <c r="F15462" s="18"/>
    </row>
    <row r="15463" spans="5:6" ht="15" customHeight="1" x14ac:dyDescent="0.2">
      <c r="E15463" s="18"/>
      <c r="F15463" s="18"/>
    </row>
    <row r="15464" spans="5:6" ht="15" customHeight="1" x14ac:dyDescent="0.2">
      <c r="E15464" s="18"/>
      <c r="F15464" s="18"/>
    </row>
    <row r="15465" spans="5:6" ht="15" customHeight="1" x14ac:dyDescent="0.2">
      <c r="E15465" s="18"/>
      <c r="F15465" s="18"/>
    </row>
    <row r="15466" spans="5:6" ht="15" customHeight="1" x14ac:dyDescent="0.2">
      <c r="E15466" s="18"/>
      <c r="F15466" s="18"/>
    </row>
    <row r="15467" spans="5:6" ht="15" customHeight="1" x14ac:dyDescent="0.2">
      <c r="E15467" s="18"/>
      <c r="F15467" s="18"/>
    </row>
    <row r="15468" spans="5:6" ht="15" customHeight="1" x14ac:dyDescent="0.2">
      <c r="E15468" s="18"/>
      <c r="F15468" s="18"/>
    </row>
    <row r="15469" spans="5:6" ht="15" customHeight="1" x14ac:dyDescent="0.2">
      <c r="E15469" s="18"/>
      <c r="F15469" s="18"/>
    </row>
    <row r="15470" spans="5:6" ht="15" customHeight="1" x14ac:dyDescent="0.2">
      <c r="E15470" s="18"/>
      <c r="F15470" s="18"/>
    </row>
    <row r="15471" spans="5:6" ht="15" customHeight="1" x14ac:dyDescent="0.2">
      <c r="E15471" s="18"/>
      <c r="F15471" s="18"/>
    </row>
    <row r="15472" spans="5:6" ht="15" customHeight="1" x14ac:dyDescent="0.2">
      <c r="E15472" s="18"/>
      <c r="F15472" s="18"/>
    </row>
    <row r="15473" spans="5:6" ht="15" customHeight="1" x14ac:dyDescent="0.2">
      <c r="E15473" s="18"/>
      <c r="F15473" s="18"/>
    </row>
    <row r="15474" spans="5:6" ht="15" customHeight="1" x14ac:dyDescent="0.2">
      <c r="E15474" s="18"/>
      <c r="F15474" s="18"/>
    </row>
    <row r="15475" spans="5:6" ht="15" customHeight="1" x14ac:dyDescent="0.2">
      <c r="E15475" s="18"/>
      <c r="F15475" s="18"/>
    </row>
    <row r="15476" spans="5:6" ht="15" customHeight="1" x14ac:dyDescent="0.2">
      <c r="E15476" s="18"/>
      <c r="F15476" s="18"/>
    </row>
    <row r="15477" spans="5:6" ht="15" customHeight="1" x14ac:dyDescent="0.2">
      <c r="E15477" s="18"/>
      <c r="F15477" s="18"/>
    </row>
    <row r="15478" spans="5:6" ht="15" customHeight="1" x14ac:dyDescent="0.2">
      <c r="E15478" s="18"/>
      <c r="F15478" s="18"/>
    </row>
    <row r="15479" spans="5:6" ht="15" customHeight="1" x14ac:dyDescent="0.2">
      <c r="E15479" s="18"/>
      <c r="F15479" s="18"/>
    </row>
    <row r="15480" spans="5:6" ht="15" customHeight="1" x14ac:dyDescent="0.2">
      <c r="E15480" s="18"/>
      <c r="F15480" s="18"/>
    </row>
    <row r="15481" spans="5:6" ht="15" customHeight="1" x14ac:dyDescent="0.2">
      <c r="E15481" s="18"/>
      <c r="F15481" s="18"/>
    </row>
    <row r="15482" spans="5:6" ht="15" customHeight="1" x14ac:dyDescent="0.2">
      <c r="E15482" s="18"/>
      <c r="F15482" s="18"/>
    </row>
    <row r="15483" spans="5:6" ht="15" customHeight="1" x14ac:dyDescent="0.2">
      <c r="E15483" s="18"/>
      <c r="F15483" s="18"/>
    </row>
    <row r="15484" spans="5:6" ht="15" customHeight="1" x14ac:dyDescent="0.2">
      <c r="E15484" s="18"/>
      <c r="F15484" s="18"/>
    </row>
    <row r="15485" spans="5:6" ht="15" customHeight="1" x14ac:dyDescent="0.2">
      <c r="E15485" s="18"/>
      <c r="F15485" s="18"/>
    </row>
    <row r="15486" spans="5:6" ht="15" customHeight="1" x14ac:dyDescent="0.2">
      <c r="E15486" s="18"/>
      <c r="F15486" s="18"/>
    </row>
    <row r="15487" spans="5:6" ht="15" customHeight="1" x14ac:dyDescent="0.2">
      <c r="E15487" s="18"/>
      <c r="F15487" s="18"/>
    </row>
    <row r="15488" spans="5:6" ht="15" customHeight="1" x14ac:dyDescent="0.2">
      <c r="E15488" s="18"/>
      <c r="F15488" s="18"/>
    </row>
    <row r="15489" spans="5:6" ht="15" customHeight="1" x14ac:dyDescent="0.2">
      <c r="E15489" s="18"/>
      <c r="F15489" s="18"/>
    </row>
    <row r="15490" spans="5:6" ht="15" customHeight="1" x14ac:dyDescent="0.2">
      <c r="E15490" s="18"/>
      <c r="F15490" s="18"/>
    </row>
    <row r="15491" spans="5:6" ht="15" customHeight="1" x14ac:dyDescent="0.2">
      <c r="E15491" s="18"/>
      <c r="F15491" s="18"/>
    </row>
    <row r="15492" spans="5:6" ht="15" customHeight="1" x14ac:dyDescent="0.2">
      <c r="E15492" s="18"/>
      <c r="F15492" s="18"/>
    </row>
    <row r="15493" spans="5:6" ht="15" customHeight="1" x14ac:dyDescent="0.2">
      <c r="E15493" s="18"/>
      <c r="F15493" s="18"/>
    </row>
    <row r="15494" spans="5:6" ht="15" customHeight="1" x14ac:dyDescent="0.2">
      <c r="E15494" s="18"/>
      <c r="F15494" s="18"/>
    </row>
    <row r="15495" spans="5:6" ht="15" customHeight="1" x14ac:dyDescent="0.2">
      <c r="E15495" s="18"/>
      <c r="F15495" s="18"/>
    </row>
    <row r="15496" spans="5:6" ht="15" customHeight="1" x14ac:dyDescent="0.2">
      <c r="E15496" s="18"/>
      <c r="F15496" s="18"/>
    </row>
    <row r="15497" spans="5:6" ht="15" customHeight="1" x14ac:dyDescent="0.2">
      <c r="E15497" s="18"/>
      <c r="F15497" s="18"/>
    </row>
    <row r="15498" spans="5:6" ht="15" customHeight="1" x14ac:dyDescent="0.2">
      <c r="E15498" s="18"/>
      <c r="F15498" s="18"/>
    </row>
    <row r="15499" spans="5:6" ht="15" customHeight="1" x14ac:dyDescent="0.2">
      <c r="E15499" s="18"/>
      <c r="F15499" s="18"/>
    </row>
    <row r="15500" spans="5:6" ht="15" customHeight="1" x14ac:dyDescent="0.2">
      <c r="E15500" s="18"/>
      <c r="F15500" s="18"/>
    </row>
    <row r="15501" spans="5:6" ht="15" customHeight="1" x14ac:dyDescent="0.2">
      <c r="E15501" s="18"/>
      <c r="F15501" s="18"/>
    </row>
    <row r="15502" spans="5:6" ht="15" customHeight="1" x14ac:dyDescent="0.2">
      <c r="E15502" s="18"/>
      <c r="F15502" s="18"/>
    </row>
    <row r="15503" spans="5:6" ht="15" customHeight="1" x14ac:dyDescent="0.2">
      <c r="E15503" s="18"/>
      <c r="F15503" s="18"/>
    </row>
    <row r="15504" spans="5:6" ht="15" customHeight="1" x14ac:dyDescent="0.2">
      <c r="E15504" s="18"/>
      <c r="F15504" s="18"/>
    </row>
    <row r="15505" spans="5:6" ht="15" customHeight="1" x14ac:dyDescent="0.2">
      <c r="E15505" s="18"/>
      <c r="F15505" s="18"/>
    </row>
    <row r="15506" spans="5:6" ht="15" customHeight="1" x14ac:dyDescent="0.2">
      <c r="E15506" s="18"/>
      <c r="F15506" s="18"/>
    </row>
    <row r="15507" spans="5:6" ht="15" customHeight="1" x14ac:dyDescent="0.2">
      <c r="E15507" s="18"/>
      <c r="F15507" s="18"/>
    </row>
    <row r="15508" spans="5:6" ht="15" customHeight="1" x14ac:dyDescent="0.2">
      <c r="E15508" s="18"/>
      <c r="F15508" s="18"/>
    </row>
    <row r="15509" spans="5:6" ht="15" customHeight="1" x14ac:dyDescent="0.2">
      <c r="E15509" s="18"/>
      <c r="F15509" s="18"/>
    </row>
    <row r="15510" spans="5:6" ht="15" customHeight="1" x14ac:dyDescent="0.2">
      <c r="E15510" s="18"/>
      <c r="F15510" s="18"/>
    </row>
    <row r="15511" spans="5:6" ht="15" customHeight="1" x14ac:dyDescent="0.2">
      <c r="E15511" s="18"/>
      <c r="F15511" s="18"/>
    </row>
    <row r="15512" spans="5:6" ht="15" customHeight="1" x14ac:dyDescent="0.2">
      <c r="E15512" s="18"/>
      <c r="F15512" s="18"/>
    </row>
    <row r="15513" spans="5:6" ht="15" customHeight="1" x14ac:dyDescent="0.2">
      <c r="E15513" s="18"/>
      <c r="F15513" s="18"/>
    </row>
    <row r="15514" spans="5:6" ht="15" customHeight="1" x14ac:dyDescent="0.2">
      <c r="E15514" s="18"/>
      <c r="F15514" s="18"/>
    </row>
    <row r="15515" spans="5:6" ht="15" customHeight="1" x14ac:dyDescent="0.2">
      <c r="E15515" s="18"/>
      <c r="F15515" s="18"/>
    </row>
    <row r="15516" spans="5:6" ht="15" customHeight="1" x14ac:dyDescent="0.2">
      <c r="E15516" s="18"/>
      <c r="F15516" s="18"/>
    </row>
    <row r="15517" spans="5:6" ht="15" customHeight="1" x14ac:dyDescent="0.2">
      <c r="E15517" s="18"/>
      <c r="F15517" s="18"/>
    </row>
    <row r="15518" spans="5:6" ht="15" customHeight="1" x14ac:dyDescent="0.2">
      <c r="E15518" s="18"/>
      <c r="F15518" s="18"/>
    </row>
    <row r="15519" spans="5:6" ht="15" customHeight="1" x14ac:dyDescent="0.2">
      <c r="E15519" s="18"/>
      <c r="F15519" s="18"/>
    </row>
    <row r="15520" spans="5:6" ht="15" customHeight="1" x14ac:dyDescent="0.2">
      <c r="E15520" s="18"/>
      <c r="F15520" s="18"/>
    </row>
    <row r="15521" spans="5:6" ht="15" customHeight="1" x14ac:dyDescent="0.2">
      <c r="E15521" s="18"/>
      <c r="F15521" s="18"/>
    </row>
    <row r="15522" spans="5:6" ht="15" customHeight="1" x14ac:dyDescent="0.2">
      <c r="E15522" s="18"/>
      <c r="F15522" s="18"/>
    </row>
    <row r="15523" spans="5:6" ht="15" customHeight="1" x14ac:dyDescent="0.2">
      <c r="E15523" s="18"/>
      <c r="F15523" s="18"/>
    </row>
    <row r="15524" spans="5:6" ht="15" customHeight="1" x14ac:dyDescent="0.2">
      <c r="E15524" s="18"/>
      <c r="F15524" s="18"/>
    </row>
    <row r="15525" spans="5:6" ht="15" customHeight="1" x14ac:dyDescent="0.2">
      <c r="E15525" s="18"/>
      <c r="F15525" s="18"/>
    </row>
    <row r="15526" spans="5:6" ht="15" customHeight="1" x14ac:dyDescent="0.2">
      <c r="E15526" s="18"/>
      <c r="F15526" s="18"/>
    </row>
    <row r="15527" spans="5:6" ht="15" customHeight="1" x14ac:dyDescent="0.2">
      <c r="E15527" s="18"/>
      <c r="F15527" s="18"/>
    </row>
    <row r="15528" spans="5:6" ht="15" customHeight="1" x14ac:dyDescent="0.2">
      <c r="E15528" s="18"/>
      <c r="F15528" s="18"/>
    </row>
    <row r="15529" spans="5:6" ht="15" customHeight="1" x14ac:dyDescent="0.2">
      <c r="E15529" s="18"/>
      <c r="F15529" s="18"/>
    </row>
    <row r="15530" spans="5:6" ht="15" customHeight="1" x14ac:dyDescent="0.2">
      <c r="E15530" s="18"/>
      <c r="F15530" s="18"/>
    </row>
    <row r="15531" spans="5:6" ht="15" customHeight="1" x14ac:dyDescent="0.2">
      <c r="E15531" s="18"/>
      <c r="F15531" s="18"/>
    </row>
    <row r="15532" spans="5:6" ht="15" customHeight="1" x14ac:dyDescent="0.2">
      <c r="E15532" s="18"/>
      <c r="F15532" s="18"/>
    </row>
    <row r="15533" spans="5:6" ht="15" customHeight="1" x14ac:dyDescent="0.2">
      <c r="E15533" s="18"/>
      <c r="F15533" s="18"/>
    </row>
    <row r="15534" spans="5:6" ht="15" customHeight="1" x14ac:dyDescent="0.2">
      <c r="E15534" s="18"/>
      <c r="F15534" s="18"/>
    </row>
    <row r="15535" spans="5:6" ht="15" customHeight="1" x14ac:dyDescent="0.2">
      <c r="E15535" s="18"/>
      <c r="F15535" s="18"/>
    </row>
    <row r="15536" spans="5:6" ht="15" customHeight="1" x14ac:dyDescent="0.2">
      <c r="E15536" s="18"/>
      <c r="F15536" s="18"/>
    </row>
    <row r="15537" spans="5:6" ht="15" customHeight="1" x14ac:dyDescent="0.2">
      <c r="E15537" s="18"/>
      <c r="F15537" s="18"/>
    </row>
    <row r="15538" spans="5:6" ht="15" customHeight="1" x14ac:dyDescent="0.2">
      <c r="E15538" s="18"/>
      <c r="F15538" s="18"/>
    </row>
    <row r="15539" spans="5:6" ht="15" customHeight="1" x14ac:dyDescent="0.2">
      <c r="E15539" s="18"/>
      <c r="F15539" s="18"/>
    </row>
    <row r="15540" spans="5:6" ht="15" customHeight="1" x14ac:dyDescent="0.2">
      <c r="E15540" s="18"/>
      <c r="F15540" s="18"/>
    </row>
    <row r="15541" spans="5:6" ht="15" customHeight="1" x14ac:dyDescent="0.2">
      <c r="E15541" s="18"/>
      <c r="F15541" s="18"/>
    </row>
    <row r="15542" spans="5:6" ht="15" customHeight="1" x14ac:dyDescent="0.2">
      <c r="E15542" s="18"/>
      <c r="F15542" s="18"/>
    </row>
    <row r="15543" spans="5:6" ht="15" customHeight="1" x14ac:dyDescent="0.2">
      <c r="E15543" s="18"/>
      <c r="F15543" s="18"/>
    </row>
    <row r="15544" spans="5:6" ht="15" customHeight="1" x14ac:dyDescent="0.2">
      <c r="E15544" s="18"/>
      <c r="F15544" s="18"/>
    </row>
    <row r="15545" spans="5:6" ht="15" customHeight="1" x14ac:dyDescent="0.2">
      <c r="E15545" s="18"/>
      <c r="F15545" s="18"/>
    </row>
    <row r="15546" spans="5:6" ht="15" customHeight="1" x14ac:dyDescent="0.2">
      <c r="E15546" s="18"/>
      <c r="F15546" s="18"/>
    </row>
    <row r="15547" spans="5:6" ht="15" customHeight="1" x14ac:dyDescent="0.2">
      <c r="E15547" s="18"/>
      <c r="F15547" s="18"/>
    </row>
    <row r="15548" spans="5:6" ht="15" customHeight="1" x14ac:dyDescent="0.2">
      <c r="E15548" s="18"/>
      <c r="F15548" s="18"/>
    </row>
    <row r="15549" spans="5:6" ht="15" customHeight="1" x14ac:dyDescent="0.2">
      <c r="E15549" s="18"/>
      <c r="F15549" s="18"/>
    </row>
    <row r="15550" spans="5:6" ht="15" customHeight="1" x14ac:dyDescent="0.2">
      <c r="E15550" s="18"/>
      <c r="F15550" s="18"/>
    </row>
    <row r="15551" spans="5:6" ht="15" customHeight="1" x14ac:dyDescent="0.2">
      <c r="E15551" s="18"/>
      <c r="F15551" s="18"/>
    </row>
    <row r="15552" spans="5:6" ht="15" customHeight="1" x14ac:dyDescent="0.2">
      <c r="E15552" s="18"/>
      <c r="F15552" s="18"/>
    </row>
    <row r="15553" spans="5:6" ht="15" customHeight="1" x14ac:dyDescent="0.2">
      <c r="E15553" s="18"/>
      <c r="F15553" s="18"/>
    </row>
    <row r="15554" spans="5:6" ht="15" customHeight="1" x14ac:dyDescent="0.2">
      <c r="E15554" s="18"/>
      <c r="F15554" s="18"/>
    </row>
    <row r="15555" spans="5:6" ht="15" customHeight="1" x14ac:dyDescent="0.2">
      <c r="E15555" s="18"/>
      <c r="F15555" s="18"/>
    </row>
    <row r="15556" spans="5:6" ht="15" customHeight="1" x14ac:dyDescent="0.2">
      <c r="E15556" s="18"/>
      <c r="F15556" s="18"/>
    </row>
    <row r="15557" spans="5:6" ht="15" customHeight="1" x14ac:dyDescent="0.2">
      <c r="E15557" s="18"/>
      <c r="F15557" s="18"/>
    </row>
    <row r="15558" spans="5:6" ht="15" customHeight="1" x14ac:dyDescent="0.2">
      <c r="E15558" s="18"/>
      <c r="F15558" s="18"/>
    </row>
    <row r="15559" spans="5:6" ht="15" customHeight="1" x14ac:dyDescent="0.2">
      <c r="E15559" s="18"/>
      <c r="F15559" s="18"/>
    </row>
    <row r="15560" spans="5:6" ht="15" customHeight="1" x14ac:dyDescent="0.2">
      <c r="E15560" s="18"/>
      <c r="F15560" s="18"/>
    </row>
    <row r="15561" spans="5:6" ht="15" customHeight="1" x14ac:dyDescent="0.2">
      <c r="E15561" s="18"/>
      <c r="F15561" s="18"/>
    </row>
    <row r="15562" spans="5:6" ht="15" customHeight="1" x14ac:dyDescent="0.2">
      <c r="E15562" s="18"/>
      <c r="F15562" s="18"/>
    </row>
    <row r="15563" spans="5:6" ht="15" customHeight="1" x14ac:dyDescent="0.2">
      <c r="E15563" s="18"/>
      <c r="F15563" s="18"/>
    </row>
    <row r="15564" spans="5:6" ht="15" customHeight="1" x14ac:dyDescent="0.2">
      <c r="E15564" s="18"/>
      <c r="F15564" s="18"/>
    </row>
    <row r="15565" spans="5:6" ht="15" customHeight="1" x14ac:dyDescent="0.2">
      <c r="E15565" s="18"/>
      <c r="F15565" s="18"/>
    </row>
    <row r="15566" spans="5:6" ht="15" customHeight="1" x14ac:dyDescent="0.2">
      <c r="E15566" s="18"/>
      <c r="F15566" s="18"/>
    </row>
    <row r="15567" spans="5:6" ht="15" customHeight="1" x14ac:dyDescent="0.2">
      <c r="E15567" s="18"/>
      <c r="F15567" s="18"/>
    </row>
    <row r="15568" spans="5:6" ht="15" customHeight="1" x14ac:dyDescent="0.2">
      <c r="E15568" s="18"/>
      <c r="F15568" s="18"/>
    </row>
    <row r="15569" spans="5:6" ht="15" customHeight="1" x14ac:dyDescent="0.2">
      <c r="E15569" s="18"/>
      <c r="F15569" s="18"/>
    </row>
    <row r="15570" spans="5:6" ht="15" customHeight="1" x14ac:dyDescent="0.2">
      <c r="E15570" s="18"/>
      <c r="F15570" s="18"/>
    </row>
    <row r="15571" spans="5:6" ht="15" customHeight="1" x14ac:dyDescent="0.2">
      <c r="E15571" s="18"/>
      <c r="F15571" s="18"/>
    </row>
    <row r="15572" spans="5:6" ht="15" customHeight="1" x14ac:dyDescent="0.2">
      <c r="E15572" s="18"/>
      <c r="F15572" s="18"/>
    </row>
    <row r="15573" spans="5:6" ht="15" customHeight="1" x14ac:dyDescent="0.2">
      <c r="E15573" s="18"/>
      <c r="F15573" s="18"/>
    </row>
    <row r="15574" spans="5:6" ht="15" customHeight="1" x14ac:dyDescent="0.2">
      <c r="E15574" s="18"/>
      <c r="F15574" s="18"/>
    </row>
    <row r="15575" spans="5:6" ht="15" customHeight="1" x14ac:dyDescent="0.2">
      <c r="E15575" s="18"/>
      <c r="F15575" s="18"/>
    </row>
    <row r="15576" spans="5:6" ht="15" customHeight="1" x14ac:dyDescent="0.2">
      <c r="E15576" s="18"/>
      <c r="F15576" s="18"/>
    </row>
    <row r="15577" spans="5:6" ht="15" customHeight="1" x14ac:dyDescent="0.2">
      <c r="E15577" s="18"/>
      <c r="F15577" s="18"/>
    </row>
    <row r="15578" spans="5:6" ht="15" customHeight="1" x14ac:dyDescent="0.2">
      <c r="E15578" s="18"/>
      <c r="F15578" s="18"/>
    </row>
    <row r="15579" spans="5:6" ht="15" customHeight="1" x14ac:dyDescent="0.2">
      <c r="E15579" s="18"/>
      <c r="F15579" s="18"/>
    </row>
    <row r="15580" spans="5:6" ht="15" customHeight="1" x14ac:dyDescent="0.2">
      <c r="E15580" s="18"/>
      <c r="F15580" s="18"/>
    </row>
    <row r="15581" spans="5:6" ht="15" customHeight="1" x14ac:dyDescent="0.2">
      <c r="E15581" s="18"/>
      <c r="F15581" s="18"/>
    </row>
    <row r="15582" spans="5:6" ht="15" customHeight="1" x14ac:dyDescent="0.2">
      <c r="E15582" s="18"/>
      <c r="F15582" s="18"/>
    </row>
    <row r="15583" spans="5:6" ht="15" customHeight="1" x14ac:dyDescent="0.2">
      <c r="E15583" s="18"/>
      <c r="F15583" s="18"/>
    </row>
    <row r="15584" spans="5:6" ht="15" customHeight="1" x14ac:dyDescent="0.2">
      <c r="E15584" s="18"/>
      <c r="F15584" s="18"/>
    </row>
    <row r="15585" spans="5:6" ht="15" customHeight="1" x14ac:dyDescent="0.2">
      <c r="E15585" s="18"/>
      <c r="F15585" s="18"/>
    </row>
    <row r="15586" spans="5:6" ht="15" customHeight="1" x14ac:dyDescent="0.2">
      <c r="E15586" s="18"/>
      <c r="F15586" s="18"/>
    </row>
    <row r="15587" spans="5:6" ht="15" customHeight="1" x14ac:dyDescent="0.2">
      <c r="E15587" s="18"/>
      <c r="F15587" s="18"/>
    </row>
    <row r="15588" spans="5:6" ht="15" customHeight="1" x14ac:dyDescent="0.2">
      <c r="E15588" s="18"/>
      <c r="F15588" s="18"/>
    </row>
    <row r="15589" spans="5:6" ht="15" customHeight="1" x14ac:dyDescent="0.2">
      <c r="E15589" s="18"/>
      <c r="F15589" s="18"/>
    </row>
    <row r="15590" spans="5:6" ht="15" customHeight="1" x14ac:dyDescent="0.2">
      <c r="E15590" s="18"/>
      <c r="F15590" s="18"/>
    </row>
    <row r="15591" spans="5:6" ht="15" customHeight="1" x14ac:dyDescent="0.2">
      <c r="E15591" s="18"/>
      <c r="F15591" s="18"/>
    </row>
    <row r="15592" spans="5:6" ht="15" customHeight="1" x14ac:dyDescent="0.2">
      <c r="E15592" s="18"/>
      <c r="F15592" s="18"/>
    </row>
    <row r="15593" spans="5:6" ht="15" customHeight="1" x14ac:dyDescent="0.2">
      <c r="E15593" s="18"/>
      <c r="F15593" s="18"/>
    </row>
    <row r="15594" spans="5:6" ht="15" customHeight="1" x14ac:dyDescent="0.2">
      <c r="E15594" s="18"/>
      <c r="F15594" s="18"/>
    </row>
    <row r="15595" spans="5:6" ht="15" customHeight="1" x14ac:dyDescent="0.2">
      <c r="E15595" s="18"/>
      <c r="F15595" s="18"/>
    </row>
    <row r="15596" spans="5:6" ht="15" customHeight="1" x14ac:dyDescent="0.2">
      <c r="E15596" s="18"/>
      <c r="F15596" s="18"/>
    </row>
    <row r="15597" spans="5:6" ht="15" customHeight="1" x14ac:dyDescent="0.2">
      <c r="E15597" s="18"/>
      <c r="F15597" s="18"/>
    </row>
    <row r="15598" spans="5:6" ht="15" customHeight="1" x14ac:dyDescent="0.2">
      <c r="E15598" s="18"/>
      <c r="F15598" s="18"/>
    </row>
    <row r="15599" spans="5:6" ht="15" customHeight="1" x14ac:dyDescent="0.2">
      <c r="E15599" s="18"/>
      <c r="F15599" s="18"/>
    </row>
    <row r="15600" spans="5:6" ht="15" customHeight="1" x14ac:dyDescent="0.2">
      <c r="E15600" s="18"/>
      <c r="F15600" s="18"/>
    </row>
    <row r="15601" spans="5:6" ht="15" customHeight="1" x14ac:dyDescent="0.2">
      <c r="E15601" s="18"/>
      <c r="F15601" s="18"/>
    </row>
    <row r="15602" spans="5:6" ht="15" customHeight="1" x14ac:dyDescent="0.2">
      <c r="E15602" s="18"/>
      <c r="F15602" s="18"/>
    </row>
    <row r="15603" spans="5:6" ht="15" customHeight="1" x14ac:dyDescent="0.2">
      <c r="E15603" s="18"/>
      <c r="F15603" s="18"/>
    </row>
    <row r="15604" spans="5:6" ht="15" customHeight="1" x14ac:dyDescent="0.2">
      <c r="E15604" s="18"/>
      <c r="F15604" s="18"/>
    </row>
    <row r="15605" spans="5:6" ht="15" customHeight="1" x14ac:dyDescent="0.2">
      <c r="E15605" s="18"/>
      <c r="F15605" s="18"/>
    </row>
    <row r="15606" spans="5:6" ht="15" customHeight="1" x14ac:dyDescent="0.2">
      <c r="E15606" s="18"/>
      <c r="F15606" s="18"/>
    </row>
    <row r="15607" spans="5:6" ht="15" customHeight="1" x14ac:dyDescent="0.2">
      <c r="E15607" s="18"/>
      <c r="F15607" s="18"/>
    </row>
    <row r="15608" spans="5:6" ht="15" customHeight="1" x14ac:dyDescent="0.2">
      <c r="E15608" s="18"/>
      <c r="F15608" s="18"/>
    </row>
    <row r="15609" spans="5:6" ht="15" customHeight="1" x14ac:dyDescent="0.2">
      <c r="E15609" s="18"/>
      <c r="F15609" s="18"/>
    </row>
    <row r="15610" spans="5:6" ht="15" customHeight="1" x14ac:dyDescent="0.2">
      <c r="E15610" s="18"/>
      <c r="F15610" s="18"/>
    </row>
    <row r="15611" spans="5:6" ht="15" customHeight="1" x14ac:dyDescent="0.2">
      <c r="E15611" s="18"/>
      <c r="F15611" s="18"/>
    </row>
    <row r="15612" spans="5:6" ht="15" customHeight="1" x14ac:dyDescent="0.2">
      <c r="E15612" s="18"/>
      <c r="F15612" s="18"/>
    </row>
    <row r="15613" spans="5:6" ht="15" customHeight="1" x14ac:dyDescent="0.2">
      <c r="E15613" s="18"/>
      <c r="F15613" s="18"/>
    </row>
    <row r="15614" spans="5:6" ht="15" customHeight="1" x14ac:dyDescent="0.2">
      <c r="E15614" s="18"/>
      <c r="F15614" s="18"/>
    </row>
    <row r="15615" spans="5:6" ht="15" customHeight="1" x14ac:dyDescent="0.2">
      <c r="E15615" s="18"/>
      <c r="F15615" s="18"/>
    </row>
    <row r="15616" spans="5:6" ht="15" customHeight="1" x14ac:dyDescent="0.2">
      <c r="E15616" s="18"/>
      <c r="F15616" s="18"/>
    </row>
    <row r="15617" spans="5:6" ht="15" customHeight="1" x14ac:dyDescent="0.2">
      <c r="E15617" s="18"/>
      <c r="F15617" s="18"/>
    </row>
    <row r="15618" spans="5:6" ht="15" customHeight="1" x14ac:dyDescent="0.2">
      <c r="E15618" s="18"/>
      <c r="F15618" s="18"/>
    </row>
    <row r="15619" spans="5:6" ht="15" customHeight="1" x14ac:dyDescent="0.2">
      <c r="E15619" s="18"/>
      <c r="F15619" s="18"/>
    </row>
    <row r="15620" spans="5:6" ht="15" customHeight="1" x14ac:dyDescent="0.2">
      <c r="E15620" s="18"/>
      <c r="F15620" s="18"/>
    </row>
    <row r="15621" spans="5:6" ht="15" customHeight="1" x14ac:dyDescent="0.2">
      <c r="E15621" s="18"/>
      <c r="F15621" s="18"/>
    </row>
    <row r="15622" spans="5:6" ht="15" customHeight="1" x14ac:dyDescent="0.2">
      <c r="E15622" s="18"/>
      <c r="F15622" s="18"/>
    </row>
    <row r="15623" spans="5:6" ht="15" customHeight="1" x14ac:dyDescent="0.2">
      <c r="E15623" s="18"/>
      <c r="F15623" s="18"/>
    </row>
    <row r="15624" spans="5:6" ht="15" customHeight="1" x14ac:dyDescent="0.2">
      <c r="E15624" s="18"/>
      <c r="F15624" s="18"/>
    </row>
    <row r="15625" spans="5:6" ht="15" customHeight="1" x14ac:dyDescent="0.2">
      <c r="E15625" s="18"/>
      <c r="F15625" s="18"/>
    </row>
    <row r="15626" spans="5:6" ht="15" customHeight="1" x14ac:dyDescent="0.2">
      <c r="E15626" s="18"/>
      <c r="F15626" s="18"/>
    </row>
    <row r="15627" spans="5:6" ht="15" customHeight="1" x14ac:dyDescent="0.2">
      <c r="E15627" s="18"/>
      <c r="F15627" s="18"/>
    </row>
    <row r="15628" spans="5:6" ht="15" customHeight="1" x14ac:dyDescent="0.2">
      <c r="E15628" s="18"/>
      <c r="F15628" s="18"/>
    </row>
    <row r="15629" spans="5:6" ht="15" customHeight="1" x14ac:dyDescent="0.2">
      <c r="E15629" s="18"/>
      <c r="F15629" s="18"/>
    </row>
    <row r="15630" spans="5:6" ht="15" customHeight="1" x14ac:dyDescent="0.2">
      <c r="E15630" s="18"/>
      <c r="F15630" s="18"/>
    </row>
    <row r="15631" spans="5:6" ht="15" customHeight="1" x14ac:dyDescent="0.2">
      <c r="E15631" s="18"/>
      <c r="F15631" s="18"/>
    </row>
    <row r="15632" spans="5:6" ht="15" customHeight="1" x14ac:dyDescent="0.2">
      <c r="E15632" s="18"/>
      <c r="F15632" s="18"/>
    </row>
    <row r="15633" spans="5:6" ht="15" customHeight="1" x14ac:dyDescent="0.2">
      <c r="E15633" s="18"/>
      <c r="F15633" s="18"/>
    </row>
    <row r="15634" spans="5:6" ht="15" customHeight="1" x14ac:dyDescent="0.2">
      <c r="E15634" s="18"/>
      <c r="F15634" s="18"/>
    </row>
    <row r="15635" spans="5:6" ht="15" customHeight="1" x14ac:dyDescent="0.2">
      <c r="E15635" s="18"/>
      <c r="F15635" s="18"/>
    </row>
    <row r="15636" spans="5:6" ht="15" customHeight="1" x14ac:dyDescent="0.2">
      <c r="E15636" s="18"/>
      <c r="F15636" s="18"/>
    </row>
    <row r="15637" spans="5:6" ht="15" customHeight="1" x14ac:dyDescent="0.2">
      <c r="E15637" s="18"/>
      <c r="F15637" s="18"/>
    </row>
    <row r="15638" spans="5:6" ht="15" customHeight="1" x14ac:dyDescent="0.2">
      <c r="E15638" s="18"/>
      <c r="F15638" s="18"/>
    </row>
    <row r="15639" spans="5:6" ht="15" customHeight="1" x14ac:dyDescent="0.2">
      <c r="E15639" s="18"/>
      <c r="F15639" s="18"/>
    </row>
    <row r="15640" spans="5:6" ht="15" customHeight="1" x14ac:dyDescent="0.2">
      <c r="E15640" s="18"/>
      <c r="F15640" s="18"/>
    </row>
    <row r="15641" spans="5:6" ht="15" customHeight="1" x14ac:dyDescent="0.2">
      <c r="E15641" s="18"/>
      <c r="F15641" s="18"/>
    </row>
    <row r="15642" spans="5:6" ht="15" customHeight="1" x14ac:dyDescent="0.2">
      <c r="E15642" s="18"/>
      <c r="F15642" s="18"/>
    </row>
    <row r="15643" spans="5:6" ht="15" customHeight="1" x14ac:dyDescent="0.2">
      <c r="E15643" s="18"/>
      <c r="F15643" s="18"/>
    </row>
    <row r="15644" spans="5:6" ht="15" customHeight="1" x14ac:dyDescent="0.2">
      <c r="E15644" s="18"/>
      <c r="F15644" s="18"/>
    </row>
    <row r="15645" spans="5:6" ht="15" customHeight="1" x14ac:dyDescent="0.2">
      <c r="E15645" s="18"/>
      <c r="F15645" s="18"/>
    </row>
    <row r="15646" spans="5:6" ht="15" customHeight="1" x14ac:dyDescent="0.2">
      <c r="E15646" s="18"/>
      <c r="F15646" s="18"/>
    </row>
    <row r="15647" spans="5:6" ht="15" customHeight="1" x14ac:dyDescent="0.2">
      <c r="E15647" s="18"/>
      <c r="F15647" s="18"/>
    </row>
    <row r="15648" spans="5:6" ht="15" customHeight="1" x14ac:dyDescent="0.2">
      <c r="E15648" s="18"/>
      <c r="F15648" s="18"/>
    </row>
    <row r="15649" spans="5:6" ht="15" customHeight="1" x14ac:dyDescent="0.2">
      <c r="E15649" s="18"/>
      <c r="F15649" s="18"/>
    </row>
    <row r="15650" spans="5:6" ht="15" customHeight="1" x14ac:dyDescent="0.2">
      <c r="E15650" s="18"/>
      <c r="F15650" s="18"/>
    </row>
    <row r="15651" spans="5:6" ht="15" customHeight="1" x14ac:dyDescent="0.2">
      <c r="E15651" s="18"/>
      <c r="F15651" s="18"/>
    </row>
    <row r="15652" spans="5:6" ht="15" customHeight="1" x14ac:dyDescent="0.2">
      <c r="E15652" s="18"/>
      <c r="F15652" s="18"/>
    </row>
    <row r="15653" spans="5:6" ht="15" customHeight="1" x14ac:dyDescent="0.2">
      <c r="E15653" s="18"/>
      <c r="F15653" s="18"/>
    </row>
    <row r="15654" spans="5:6" ht="15" customHeight="1" x14ac:dyDescent="0.2">
      <c r="E15654" s="18"/>
      <c r="F15654" s="18"/>
    </row>
    <row r="15655" spans="5:6" ht="15" customHeight="1" x14ac:dyDescent="0.2">
      <c r="E15655" s="18"/>
      <c r="F15655" s="18"/>
    </row>
    <row r="15656" spans="5:6" ht="15" customHeight="1" x14ac:dyDescent="0.2">
      <c r="E15656" s="18"/>
      <c r="F15656" s="18"/>
    </row>
    <row r="15657" spans="5:6" ht="15" customHeight="1" x14ac:dyDescent="0.2">
      <c r="E15657" s="18"/>
      <c r="F15657" s="18"/>
    </row>
    <row r="15658" spans="5:6" ht="15" customHeight="1" x14ac:dyDescent="0.2">
      <c r="E15658" s="18"/>
      <c r="F15658" s="18"/>
    </row>
    <row r="15659" spans="5:6" ht="15" customHeight="1" x14ac:dyDescent="0.2">
      <c r="E15659" s="18"/>
      <c r="F15659" s="18"/>
    </row>
    <row r="15660" spans="5:6" ht="15" customHeight="1" x14ac:dyDescent="0.2">
      <c r="E15660" s="18"/>
      <c r="F15660" s="18"/>
    </row>
    <row r="15661" spans="5:6" ht="15" customHeight="1" x14ac:dyDescent="0.2">
      <c r="E15661" s="18"/>
      <c r="F15661" s="18"/>
    </row>
    <row r="15662" spans="5:6" ht="15" customHeight="1" x14ac:dyDescent="0.2">
      <c r="E15662" s="18"/>
      <c r="F15662" s="18"/>
    </row>
    <row r="15663" spans="5:6" ht="15" customHeight="1" x14ac:dyDescent="0.2">
      <c r="E15663" s="18"/>
      <c r="F15663" s="18"/>
    </row>
    <row r="15664" spans="5:6" ht="15" customHeight="1" x14ac:dyDescent="0.2">
      <c r="E15664" s="18"/>
      <c r="F15664" s="18"/>
    </row>
    <row r="15665" spans="5:6" ht="15" customHeight="1" x14ac:dyDescent="0.2">
      <c r="E15665" s="18"/>
      <c r="F15665" s="18"/>
    </row>
    <row r="15666" spans="5:6" ht="15" customHeight="1" x14ac:dyDescent="0.2">
      <c r="E15666" s="18"/>
      <c r="F15666" s="18"/>
    </row>
    <row r="15667" spans="5:6" ht="15" customHeight="1" x14ac:dyDescent="0.2">
      <c r="E15667" s="18"/>
      <c r="F15667" s="18"/>
    </row>
    <row r="15668" spans="5:6" ht="15" customHeight="1" x14ac:dyDescent="0.2">
      <c r="E15668" s="18"/>
      <c r="F15668" s="18"/>
    </row>
    <row r="15669" spans="5:6" ht="15" customHeight="1" x14ac:dyDescent="0.2">
      <c r="E15669" s="18"/>
      <c r="F15669" s="18"/>
    </row>
    <row r="15670" spans="5:6" ht="15" customHeight="1" x14ac:dyDescent="0.2">
      <c r="E15670" s="18"/>
      <c r="F15670" s="18"/>
    </row>
    <row r="15671" spans="5:6" ht="15" customHeight="1" x14ac:dyDescent="0.2">
      <c r="E15671" s="18"/>
      <c r="F15671" s="18"/>
    </row>
    <row r="15672" spans="5:6" ht="15" customHeight="1" x14ac:dyDescent="0.2">
      <c r="E15672" s="18"/>
      <c r="F15672" s="18"/>
    </row>
    <row r="15673" spans="5:6" ht="15" customHeight="1" x14ac:dyDescent="0.2">
      <c r="E15673" s="18"/>
      <c r="F15673" s="18"/>
    </row>
    <row r="15674" spans="5:6" ht="15" customHeight="1" x14ac:dyDescent="0.2">
      <c r="E15674" s="18"/>
      <c r="F15674" s="18"/>
    </row>
    <row r="15675" spans="5:6" ht="15" customHeight="1" x14ac:dyDescent="0.2">
      <c r="E15675" s="18"/>
      <c r="F15675" s="18"/>
    </row>
    <row r="15676" spans="5:6" ht="15" customHeight="1" x14ac:dyDescent="0.2">
      <c r="E15676" s="18"/>
      <c r="F15676" s="18"/>
    </row>
    <row r="15677" spans="5:6" ht="15" customHeight="1" x14ac:dyDescent="0.2">
      <c r="E15677" s="18"/>
      <c r="F15677" s="18"/>
    </row>
    <row r="15678" spans="5:6" ht="15" customHeight="1" x14ac:dyDescent="0.2">
      <c r="E15678" s="18"/>
      <c r="F15678" s="18"/>
    </row>
    <row r="15679" spans="5:6" ht="15" customHeight="1" x14ac:dyDescent="0.2">
      <c r="E15679" s="18"/>
      <c r="F15679" s="18"/>
    </row>
    <row r="15680" spans="5:6" ht="15" customHeight="1" x14ac:dyDescent="0.2">
      <c r="E15680" s="18"/>
      <c r="F15680" s="18"/>
    </row>
    <row r="15681" spans="5:6" ht="15" customHeight="1" x14ac:dyDescent="0.2">
      <c r="E15681" s="18"/>
      <c r="F15681" s="18"/>
    </row>
    <row r="15682" spans="5:6" ht="15" customHeight="1" x14ac:dyDescent="0.2">
      <c r="E15682" s="18"/>
      <c r="F15682" s="18"/>
    </row>
    <row r="15683" spans="5:6" ht="15" customHeight="1" x14ac:dyDescent="0.2">
      <c r="E15683" s="18"/>
      <c r="F15683" s="18"/>
    </row>
    <row r="15684" spans="5:6" ht="15" customHeight="1" x14ac:dyDescent="0.2">
      <c r="E15684" s="18"/>
      <c r="F15684" s="18"/>
    </row>
    <row r="15685" spans="5:6" ht="15" customHeight="1" x14ac:dyDescent="0.2">
      <c r="E15685" s="18"/>
      <c r="F15685" s="18"/>
    </row>
    <row r="15686" spans="5:6" ht="15" customHeight="1" x14ac:dyDescent="0.2">
      <c r="E15686" s="18"/>
      <c r="F15686" s="18"/>
    </row>
    <row r="15687" spans="5:6" ht="15" customHeight="1" x14ac:dyDescent="0.2">
      <c r="E15687" s="18"/>
      <c r="F15687" s="18"/>
    </row>
    <row r="15688" spans="5:6" ht="15" customHeight="1" x14ac:dyDescent="0.2">
      <c r="E15688" s="18"/>
      <c r="F15688" s="18"/>
    </row>
    <row r="15689" spans="5:6" ht="15" customHeight="1" x14ac:dyDescent="0.2">
      <c r="E15689" s="18"/>
      <c r="F15689" s="18"/>
    </row>
    <row r="15690" spans="5:6" ht="15" customHeight="1" x14ac:dyDescent="0.2">
      <c r="E15690" s="18"/>
      <c r="F15690" s="18"/>
    </row>
    <row r="15691" spans="5:6" ht="15" customHeight="1" x14ac:dyDescent="0.2">
      <c r="E15691" s="18"/>
      <c r="F15691" s="18"/>
    </row>
    <row r="15692" spans="5:6" ht="15" customHeight="1" x14ac:dyDescent="0.2">
      <c r="E15692" s="18"/>
      <c r="F15692" s="18"/>
    </row>
    <row r="15693" spans="5:6" ht="15" customHeight="1" x14ac:dyDescent="0.2">
      <c r="E15693" s="18"/>
      <c r="F15693" s="18"/>
    </row>
    <row r="15694" spans="5:6" ht="15" customHeight="1" x14ac:dyDescent="0.2">
      <c r="E15694" s="18"/>
      <c r="F15694" s="18"/>
    </row>
    <row r="15695" spans="5:6" ht="15" customHeight="1" x14ac:dyDescent="0.2">
      <c r="E15695" s="18"/>
      <c r="F15695" s="18"/>
    </row>
    <row r="15696" spans="5:6" ht="15" customHeight="1" x14ac:dyDescent="0.2">
      <c r="E15696" s="18"/>
      <c r="F15696" s="18"/>
    </row>
    <row r="15697" spans="5:6" ht="15" customHeight="1" x14ac:dyDescent="0.2">
      <c r="E15697" s="18"/>
      <c r="F15697" s="18"/>
    </row>
    <row r="15698" spans="5:6" ht="15" customHeight="1" x14ac:dyDescent="0.2">
      <c r="E15698" s="18"/>
      <c r="F15698" s="18"/>
    </row>
    <row r="15699" spans="5:6" ht="15" customHeight="1" x14ac:dyDescent="0.2">
      <c r="E15699" s="18"/>
      <c r="F15699" s="18"/>
    </row>
    <row r="15700" spans="5:6" ht="15" customHeight="1" x14ac:dyDescent="0.2">
      <c r="E15700" s="18"/>
      <c r="F15700" s="18"/>
    </row>
    <row r="15701" spans="5:6" ht="15" customHeight="1" x14ac:dyDescent="0.2">
      <c r="E15701" s="18"/>
      <c r="F15701" s="18"/>
    </row>
    <row r="15702" spans="5:6" ht="15" customHeight="1" x14ac:dyDescent="0.2">
      <c r="E15702" s="18"/>
      <c r="F15702" s="18"/>
    </row>
    <row r="15703" spans="5:6" ht="15" customHeight="1" x14ac:dyDescent="0.2">
      <c r="E15703" s="18"/>
      <c r="F15703" s="18"/>
    </row>
    <row r="15704" spans="5:6" ht="15" customHeight="1" x14ac:dyDescent="0.2">
      <c r="E15704" s="18"/>
      <c r="F15704" s="18"/>
    </row>
    <row r="15705" spans="5:6" ht="15" customHeight="1" x14ac:dyDescent="0.2">
      <c r="E15705" s="18"/>
      <c r="F15705" s="18"/>
    </row>
    <row r="15706" spans="5:6" ht="15" customHeight="1" x14ac:dyDescent="0.2">
      <c r="E15706" s="18"/>
      <c r="F15706" s="18"/>
    </row>
    <row r="15707" spans="5:6" ht="15" customHeight="1" x14ac:dyDescent="0.2">
      <c r="E15707" s="18"/>
      <c r="F15707" s="18"/>
    </row>
    <row r="15708" spans="5:6" ht="15" customHeight="1" x14ac:dyDescent="0.2">
      <c r="E15708" s="18"/>
      <c r="F15708" s="18"/>
    </row>
    <row r="15709" spans="5:6" ht="15" customHeight="1" x14ac:dyDescent="0.2">
      <c r="E15709" s="18"/>
      <c r="F15709" s="18"/>
    </row>
    <row r="15710" spans="5:6" ht="15" customHeight="1" x14ac:dyDescent="0.2">
      <c r="E15710" s="18"/>
      <c r="F15710" s="18"/>
    </row>
    <row r="15711" spans="5:6" ht="15" customHeight="1" x14ac:dyDescent="0.2">
      <c r="E15711" s="18"/>
      <c r="F15711" s="18"/>
    </row>
    <row r="15712" spans="5:6" ht="15" customHeight="1" x14ac:dyDescent="0.2">
      <c r="E15712" s="18"/>
      <c r="F15712" s="18"/>
    </row>
    <row r="15713" spans="5:6" ht="15" customHeight="1" x14ac:dyDescent="0.2">
      <c r="E15713" s="18"/>
      <c r="F15713" s="18"/>
    </row>
    <row r="15714" spans="5:6" ht="15" customHeight="1" x14ac:dyDescent="0.2">
      <c r="E15714" s="18"/>
      <c r="F15714" s="18"/>
    </row>
    <row r="15715" spans="5:6" ht="15" customHeight="1" x14ac:dyDescent="0.2">
      <c r="E15715" s="18"/>
      <c r="F15715" s="18"/>
    </row>
    <row r="15716" spans="5:6" ht="15" customHeight="1" x14ac:dyDescent="0.2">
      <c r="E15716" s="18"/>
      <c r="F15716" s="18"/>
    </row>
    <row r="15717" spans="5:6" ht="15" customHeight="1" x14ac:dyDescent="0.2">
      <c r="E15717" s="18"/>
      <c r="F15717" s="18"/>
    </row>
    <row r="15718" spans="5:6" ht="15" customHeight="1" x14ac:dyDescent="0.2">
      <c r="E15718" s="18"/>
      <c r="F15718" s="18"/>
    </row>
    <row r="15719" spans="5:6" ht="15" customHeight="1" x14ac:dyDescent="0.2">
      <c r="E15719" s="18"/>
      <c r="F15719" s="18"/>
    </row>
    <row r="15720" spans="5:6" ht="15" customHeight="1" x14ac:dyDescent="0.2">
      <c r="E15720" s="18"/>
      <c r="F15720" s="18"/>
    </row>
    <row r="15721" spans="5:6" ht="15" customHeight="1" x14ac:dyDescent="0.2">
      <c r="E15721" s="18"/>
      <c r="F15721" s="18"/>
    </row>
    <row r="15722" spans="5:6" ht="15" customHeight="1" x14ac:dyDescent="0.2">
      <c r="E15722" s="18"/>
      <c r="F15722" s="18"/>
    </row>
    <row r="15723" spans="5:6" ht="15" customHeight="1" x14ac:dyDescent="0.2">
      <c r="E15723" s="18"/>
      <c r="F15723" s="18"/>
    </row>
    <row r="15724" spans="5:6" ht="15" customHeight="1" x14ac:dyDescent="0.2">
      <c r="E15724" s="18"/>
      <c r="F15724" s="18"/>
    </row>
    <row r="15725" spans="5:6" ht="15" customHeight="1" x14ac:dyDescent="0.2">
      <c r="E15725" s="18"/>
      <c r="F15725" s="18"/>
    </row>
    <row r="15726" spans="5:6" ht="15" customHeight="1" x14ac:dyDescent="0.2">
      <c r="E15726" s="18"/>
      <c r="F15726" s="18"/>
    </row>
    <row r="15727" spans="5:6" ht="15" customHeight="1" x14ac:dyDescent="0.2">
      <c r="E15727" s="18"/>
      <c r="F15727" s="18"/>
    </row>
    <row r="15728" spans="5:6" ht="15" customHeight="1" x14ac:dyDescent="0.2">
      <c r="E15728" s="18"/>
      <c r="F15728" s="18"/>
    </row>
    <row r="15729" spans="5:6" ht="15" customHeight="1" x14ac:dyDescent="0.2">
      <c r="E15729" s="18"/>
      <c r="F15729" s="18"/>
    </row>
    <row r="15730" spans="5:6" ht="15" customHeight="1" x14ac:dyDescent="0.2">
      <c r="E15730" s="18"/>
      <c r="F15730" s="18"/>
    </row>
    <row r="15731" spans="5:6" ht="15" customHeight="1" x14ac:dyDescent="0.2">
      <c r="E15731" s="18"/>
      <c r="F15731" s="18"/>
    </row>
    <row r="15732" spans="5:6" ht="15" customHeight="1" x14ac:dyDescent="0.2">
      <c r="E15732" s="18"/>
      <c r="F15732" s="18"/>
    </row>
    <row r="15733" spans="5:6" ht="15" customHeight="1" x14ac:dyDescent="0.2">
      <c r="E15733" s="18"/>
      <c r="F15733" s="18"/>
    </row>
    <row r="15734" spans="5:6" ht="15" customHeight="1" x14ac:dyDescent="0.2">
      <c r="E15734" s="18"/>
      <c r="F15734" s="18"/>
    </row>
    <row r="15735" spans="5:6" ht="15" customHeight="1" x14ac:dyDescent="0.2">
      <c r="E15735" s="18"/>
      <c r="F15735" s="18"/>
    </row>
    <row r="15736" spans="5:6" ht="15" customHeight="1" x14ac:dyDescent="0.2">
      <c r="E15736" s="18"/>
      <c r="F15736" s="18"/>
    </row>
    <row r="15737" spans="5:6" ht="15" customHeight="1" x14ac:dyDescent="0.2">
      <c r="E15737" s="18"/>
      <c r="F15737" s="18"/>
    </row>
    <row r="15738" spans="5:6" ht="15" customHeight="1" x14ac:dyDescent="0.2">
      <c r="E15738" s="18"/>
      <c r="F15738" s="18"/>
    </row>
    <row r="15739" spans="5:6" ht="15" customHeight="1" x14ac:dyDescent="0.2">
      <c r="E15739" s="18"/>
      <c r="F15739" s="18"/>
    </row>
    <row r="15740" spans="5:6" ht="15" customHeight="1" x14ac:dyDescent="0.2">
      <c r="E15740" s="18"/>
      <c r="F15740" s="18"/>
    </row>
    <row r="15741" spans="5:6" ht="15" customHeight="1" x14ac:dyDescent="0.2">
      <c r="E15741" s="18"/>
      <c r="F15741" s="18"/>
    </row>
    <row r="15742" spans="5:6" ht="15" customHeight="1" x14ac:dyDescent="0.2">
      <c r="E15742" s="18"/>
      <c r="F15742" s="18"/>
    </row>
    <row r="15743" spans="5:6" ht="15" customHeight="1" x14ac:dyDescent="0.2">
      <c r="E15743" s="18"/>
      <c r="F15743" s="18"/>
    </row>
    <row r="15744" spans="5:6" ht="15" customHeight="1" x14ac:dyDescent="0.2">
      <c r="E15744" s="18"/>
      <c r="F15744" s="18"/>
    </row>
    <row r="15745" spans="5:6" ht="15" customHeight="1" x14ac:dyDescent="0.2">
      <c r="E15745" s="18"/>
      <c r="F15745" s="18"/>
    </row>
    <row r="15746" spans="5:6" ht="15" customHeight="1" x14ac:dyDescent="0.2">
      <c r="E15746" s="18"/>
      <c r="F15746" s="18"/>
    </row>
    <row r="15747" spans="5:6" ht="15" customHeight="1" x14ac:dyDescent="0.2">
      <c r="E15747" s="18"/>
      <c r="F15747" s="18"/>
    </row>
    <row r="15748" spans="5:6" ht="15" customHeight="1" x14ac:dyDescent="0.2">
      <c r="E15748" s="18"/>
      <c r="F15748" s="18"/>
    </row>
    <row r="15749" spans="5:6" ht="15" customHeight="1" x14ac:dyDescent="0.2">
      <c r="E15749" s="18"/>
      <c r="F15749" s="18"/>
    </row>
    <row r="15750" spans="5:6" ht="15" customHeight="1" x14ac:dyDescent="0.2">
      <c r="E15750" s="18"/>
      <c r="F15750" s="18"/>
    </row>
    <row r="15751" spans="5:6" ht="15" customHeight="1" x14ac:dyDescent="0.2">
      <c r="E15751" s="18"/>
      <c r="F15751" s="18"/>
    </row>
    <row r="15752" spans="5:6" ht="15" customHeight="1" x14ac:dyDescent="0.2">
      <c r="E15752" s="18"/>
      <c r="F15752" s="18"/>
    </row>
    <row r="15753" spans="5:6" ht="15" customHeight="1" x14ac:dyDescent="0.2">
      <c r="E15753" s="18"/>
      <c r="F15753" s="18"/>
    </row>
    <row r="15754" spans="5:6" ht="15" customHeight="1" x14ac:dyDescent="0.2">
      <c r="E15754" s="18"/>
      <c r="F15754" s="18"/>
    </row>
    <row r="15755" spans="5:6" ht="15" customHeight="1" x14ac:dyDescent="0.2">
      <c r="E15755" s="18"/>
      <c r="F15755" s="18"/>
    </row>
    <row r="15756" spans="5:6" ht="15" customHeight="1" x14ac:dyDescent="0.2">
      <c r="E15756" s="18"/>
      <c r="F15756" s="18"/>
    </row>
    <row r="15757" spans="5:6" ht="15" customHeight="1" x14ac:dyDescent="0.2">
      <c r="E15757" s="18"/>
      <c r="F15757" s="18"/>
    </row>
    <row r="15758" spans="5:6" ht="15" customHeight="1" x14ac:dyDescent="0.2">
      <c r="E15758" s="18"/>
      <c r="F15758" s="18"/>
    </row>
    <row r="15759" spans="5:6" ht="15" customHeight="1" x14ac:dyDescent="0.2">
      <c r="E15759" s="18"/>
      <c r="F15759" s="18"/>
    </row>
    <row r="15760" spans="5:6" ht="15" customHeight="1" x14ac:dyDescent="0.2">
      <c r="E15760" s="18"/>
      <c r="F15760" s="18"/>
    </row>
    <row r="15761" spans="5:6" ht="15" customHeight="1" x14ac:dyDescent="0.2">
      <c r="E15761" s="18"/>
      <c r="F15761" s="18"/>
    </row>
    <row r="15762" spans="5:6" ht="15" customHeight="1" x14ac:dyDescent="0.2">
      <c r="E15762" s="18"/>
      <c r="F15762" s="18"/>
    </row>
    <row r="15763" spans="5:6" ht="15" customHeight="1" x14ac:dyDescent="0.2">
      <c r="E15763" s="18"/>
      <c r="F15763" s="18"/>
    </row>
    <row r="15764" spans="5:6" ht="15" customHeight="1" x14ac:dyDescent="0.2">
      <c r="E15764" s="18"/>
      <c r="F15764" s="18"/>
    </row>
    <row r="15765" spans="5:6" ht="15" customHeight="1" x14ac:dyDescent="0.2">
      <c r="E15765" s="18"/>
      <c r="F15765" s="18"/>
    </row>
    <row r="15766" spans="5:6" ht="15" customHeight="1" x14ac:dyDescent="0.2">
      <c r="E15766" s="18"/>
      <c r="F15766" s="18"/>
    </row>
    <row r="15767" spans="5:6" ht="15" customHeight="1" x14ac:dyDescent="0.2">
      <c r="E15767" s="18"/>
      <c r="F15767" s="18"/>
    </row>
    <row r="15768" spans="5:6" ht="15" customHeight="1" x14ac:dyDescent="0.2">
      <c r="E15768" s="18"/>
      <c r="F15768" s="18"/>
    </row>
    <row r="15769" spans="5:6" ht="15" customHeight="1" x14ac:dyDescent="0.2">
      <c r="E15769" s="18"/>
      <c r="F15769" s="18"/>
    </row>
    <row r="15770" spans="5:6" ht="15" customHeight="1" x14ac:dyDescent="0.2">
      <c r="E15770" s="18"/>
      <c r="F15770" s="18"/>
    </row>
    <row r="15771" spans="5:6" ht="15" customHeight="1" x14ac:dyDescent="0.2">
      <c r="E15771" s="18"/>
      <c r="F15771" s="18"/>
    </row>
    <row r="15772" spans="5:6" ht="15" customHeight="1" x14ac:dyDescent="0.2">
      <c r="E15772" s="18"/>
      <c r="F15772" s="18"/>
    </row>
    <row r="15773" spans="5:6" ht="15" customHeight="1" x14ac:dyDescent="0.2">
      <c r="E15773" s="18"/>
      <c r="F15773" s="18"/>
    </row>
    <row r="15774" spans="5:6" ht="15" customHeight="1" x14ac:dyDescent="0.2">
      <c r="E15774" s="18"/>
      <c r="F15774" s="18"/>
    </row>
    <row r="15775" spans="5:6" ht="15" customHeight="1" x14ac:dyDescent="0.2">
      <c r="E15775" s="18"/>
      <c r="F15775" s="18"/>
    </row>
    <row r="15776" spans="5:6" ht="15" customHeight="1" x14ac:dyDescent="0.2">
      <c r="E15776" s="18"/>
      <c r="F15776" s="18"/>
    </row>
    <row r="15777" spans="5:6" ht="15" customHeight="1" x14ac:dyDescent="0.2">
      <c r="E15777" s="18"/>
      <c r="F15777" s="18"/>
    </row>
    <row r="15778" spans="5:6" ht="15" customHeight="1" x14ac:dyDescent="0.2">
      <c r="E15778" s="18"/>
      <c r="F15778" s="18"/>
    </row>
    <row r="15779" spans="5:6" ht="15" customHeight="1" x14ac:dyDescent="0.2">
      <c r="E15779" s="18"/>
      <c r="F15779" s="18"/>
    </row>
    <row r="15780" spans="5:6" ht="15" customHeight="1" x14ac:dyDescent="0.2">
      <c r="E15780" s="18"/>
      <c r="F15780" s="18"/>
    </row>
    <row r="15781" spans="5:6" ht="15" customHeight="1" x14ac:dyDescent="0.2">
      <c r="E15781" s="18"/>
      <c r="F15781" s="18"/>
    </row>
    <row r="15782" spans="5:6" ht="15" customHeight="1" x14ac:dyDescent="0.2">
      <c r="E15782" s="18"/>
      <c r="F15782" s="18"/>
    </row>
    <row r="15783" spans="5:6" ht="15" customHeight="1" x14ac:dyDescent="0.2">
      <c r="E15783" s="18"/>
      <c r="F15783" s="18"/>
    </row>
    <row r="15784" spans="5:6" ht="15" customHeight="1" x14ac:dyDescent="0.2">
      <c r="E15784" s="18"/>
      <c r="F15784" s="18"/>
    </row>
    <row r="15785" spans="5:6" ht="15" customHeight="1" x14ac:dyDescent="0.2">
      <c r="E15785" s="18"/>
      <c r="F15785" s="18"/>
    </row>
    <row r="15786" spans="5:6" ht="15" customHeight="1" x14ac:dyDescent="0.2">
      <c r="E15786" s="18"/>
      <c r="F15786" s="18"/>
    </row>
    <row r="15787" spans="5:6" ht="15" customHeight="1" x14ac:dyDescent="0.2">
      <c r="E15787" s="18"/>
      <c r="F15787" s="18"/>
    </row>
    <row r="15788" spans="5:6" ht="15" customHeight="1" x14ac:dyDescent="0.2">
      <c r="E15788" s="18"/>
      <c r="F15788" s="18"/>
    </row>
    <row r="15789" spans="5:6" ht="15" customHeight="1" x14ac:dyDescent="0.2">
      <c r="E15789" s="18"/>
      <c r="F15789" s="18"/>
    </row>
    <row r="15790" spans="5:6" ht="15" customHeight="1" x14ac:dyDescent="0.2">
      <c r="E15790" s="18"/>
      <c r="F15790" s="18"/>
    </row>
    <row r="15791" spans="5:6" ht="15" customHeight="1" x14ac:dyDescent="0.2">
      <c r="E15791" s="18"/>
      <c r="F15791" s="18"/>
    </row>
    <row r="15792" spans="5:6" ht="15" customHeight="1" x14ac:dyDescent="0.2">
      <c r="E15792" s="18"/>
      <c r="F15792" s="18"/>
    </row>
    <row r="15793" spans="5:6" ht="15" customHeight="1" x14ac:dyDescent="0.2">
      <c r="E15793" s="18"/>
      <c r="F15793" s="18"/>
    </row>
    <row r="15794" spans="5:6" ht="15" customHeight="1" x14ac:dyDescent="0.2">
      <c r="E15794" s="18"/>
      <c r="F15794" s="18"/>
    </row>
    <row r="15795" spans="5:6" ht="15" customHeight="1" x14ac:dyDescent="0.2">
      <c r="E15795" s="18"/>
      <c r="F15795" s="18"/>
    </row>
    <row r="15796" spans="5:6" ht="15" customHeight="1" x14ac:dyDescent="0.2">
      <c r="E15796" s="18"/>
      <c r="F15796" s="18"/>
    </row>
    <row r="15797" spans="5:6" ht="15" customHeight="1" x14ac:dyDescent="0.2">
      <c r="E15797" s="18"/>
      <c r="F15797" s="18"/>
    </row>
    <row r="15798" spans="5:6" ht="15" customHeight="1" x14ac:dyDescent="0.2">
      <c r="E15798" s="18"/>
      <c r="F15798" s="18"/>
    </row>
    <row r="15799" spans="5:6" ht="15" customHeight="1" x14ac:dyDescent="0.2">
      <c r="E15799" s="18"/>
      <c r="F15799" s="18"/>
    </row>
    <row r="15800" spans="5:6" ht="15" customHeight="1" x14ac:dyDescent="0.2">
      <c r="E15800" s="18"/>
      <c r="F15800" s="18"/>
    </row>
    <row r="15801" spans="5:6" ht="15" customHeight="1" x14ac:dyDescent="0.2">
      <c r="E15801" s="18"/>
      <c r="F15801" s="18"/>
    </row>
    <row r="15802" spans="5:6" ht="15" customHeight="1" x14ac:dyDescent="0.2">
      <c r="E15802" s="18"/>
      <c r="F15802" s="18"/>
    </row>
    <row r="15803" spans="5:6" ht="15" customHeight="1" x14ac:dyDescent="0.2">
      <c r="E15803" s="18"/>
      <c r="F15803" s="18"/>
    </row>
    <row r="15804" spans="5:6" ht="15" customHeight="1" x14ac:dyDescent="0.2">
      <c r="E15804" s="18"/>
      <c r="F15804" s="18"/>
    </row>
    <row r="15805" spans="5:6" ht="15" customHeight="1" x14ac:dyDescent="0.2">
      <c r="E15805" s="18"/>
      <c r="F15805" s="18"/>
    </row>
    <row r="15806" spans="5:6" ht="15" customHeight="1" x14ac:dyDescent="0.2">
      <c r="E15806" s="18"/>
      <c r="F15806" s="18"/>
    </row>
    <row r="15807" spans="5:6" ht="15" customHeight="1" x14ac:dyDescent="0.2">
      <c r="E15807" s="18"/>
      <c r="F15807" s="18"/>
    </row>
    <row r="15808" spans="5:6" ht="15" customHeight="1" x14ac:dyDescent="0.2">
      <c r="E15808" s="18"/>
      <c r="F15808" s="18"/>
    </row>
    <row r="15809" spans="5:6" ht="15" customHeight="1" x14ac:dyDescent="0.2">
      <c r="E15809" s="18"/>
      <c r="F15809" s="18"/>
    </row>
    <row r="15810" spans="5:6" ht="15" customHeight="1" x14ac:dyDescent="0.2">
      <c r="E15810" s="18"/>
      <c r="F15810" s="18"/>
    </row>
    <row r="15811" spans="5:6" ht="15" customHeight="1" x14ac:dyDescent="0.2">
      <c r="E15811" s="18"/>
      <c r="F15811" s="18"/>
    </row>
    <row r="15812" spans="5:6" ht="15" customHeight="1" x14ac:dyDescent="0.2">
      <c r="E15812" s="18"/>
      <c r="F15812" s="18"/>
    </row>
    <row r="15813" spans="5:6" ht="15" customHeight="1" x14ac:dyDescent="0.2">
      <c r="E15813" s="18"/>
      <c r="F15813" s="18"/>
    </row>
    <row r="15814" spans="5:6" ht="15" customHeight="1" x14ac:dyDescent="0.2">
      <c r="E15814" s="18"/>
      <c r="F15814" s="18"/>
    </row>
    <row r="15815" spans="5:6" ht="15" customHeight="1" x14ac:dyDescent="0.2">
      <c r="E15815" s="18"/>
      <c r="F15815" s="18"/>
    </row>
    <row r="15816" spans="5:6" ht="15" customHeight="1" x14ac:dyDescent="0.2">
      <c r="E15816" s="18"/>
      <c r="F15816" s="18"/>
    </row>
    <row r="15817" spans="5:6" ht="15" customHeight="1" x14ac:dyDescent="0.2">
      <c r="E15817" s="18"/>
      <c r="F15817" s="18"/>
    </row>
    <row r="15818" spans="5:6" ht="15" customHeight="1" x14ac:dyDescent="0.2">
      <c r="E15818" s="18"/>
      <c r="F15818" s="18"/>
    </row>
    <row r="15819" spans="5:6" ht="15" customHeight="1" x14ac:dyDescent="0.2">
      <c r="E15819" s="18"/>
      <c r="F15819" s="18"/>
    </row>
    <row r="15820" spans="5:6" ht="15" customHeight="1" x14ac:dyDescent="0.2">
      <c r="E15820" s="18"/>
      <c r="F15820" s="18"/>
    </row>
    <row r="15821" spans="5:6" ht="15" customHeight="1" x14ac:dyDescent="0.2">
      <c r="E15821" s="18"/>
      <c r="F15821" s="18"/>
    </row>
    <row r="15822" spans="5:6" ht="15" customHeight="1" x14ac:dyDescent="0.2">
      <c r="E15822" s="18"/>
      <c r="F15822" s="18"/>
    </row>
    <row r="15823" spans="5:6" ht="15" customHeight="1" x14ac:dyDescent="0.2">
      <c r="E15823" s="18"/>
      <c r="F15823" s="18"/>
    </row>
    <row r="15824" spans="5:6" ht="15" customHeight="1" x14ac:dyDescent="0.2">
      <c r="E15824" s="18"/>
      <c r="F15824" s="18"/>
    </row>
    <row r="15825" spans="5:6" ht="15" customHeight="1" x14ac:dyDescent="0.2">
      <c r="E15825" s="18"/>
      <c r="F15825" s="18"/>
    </row>
    <row r="15826" spans="5:6" ht="15" customHeight="1" x14ac:dyDescent="0.2">
      <c r="E15826" s="18"/>
      <c r="F15826" s="18"/>
    </row>
    <row r="15827" spans="5:6" ht="15" customHeight="1" x14ac:dyDescent="0.2">
      <c r="E15827" s="18"/>
      <c r="F15827" s="18"/>
    </row>
    <row r="15828" spans="5:6" ht="15" customHeight="1" x14ac:dyDescent="0.2">
      <c r="E15828" s="18"/>
      <c r="F15828" s="18"/>
    </row>
    <row r="15829" spans="5:6" ht="15" customHeight="1" x14ac:dyDescent="0.2">
      <c r="E15829" s="18"/>
      <c r="F15829" s="18"/>
    </row>
    <row r="15830" spans="5:6" ht="15" customHeight="1" x14ac:dyDescent="0.2">
      <c r="E15830" s="18"/>
      <c r="F15830" s="18"/>
    </row>
    <row r="15831" spans="5:6" ht="15" customHeight="1" x14ac:dyDescent="0.2">
      <c r="E15831" s="18"/>
      <c r="F15831" s="18"/>
    </row>
    <row r="15832" spans="5:6" ht="15" customHeight="1" x14ac:dyDescent="0.2">
      <c r="E15832" s="18"/>
      <c r="F15832" s="18"/>
    </row>
    <row r="15833" spans="5:6" ht="15" customHeight="1" x14ac:dyDescent="0.2">
      <c r="E15833" s="18"/>
      <c r="F15833" s="18"/>
    </row>
    <row r="15834" spans="5:6" ht="15" customHeight="1" x14ac:dyDescent="0.2">
      <c r="E15834" s="18"/>
      <c r="F15834" s="18"/>
    </row>
    <row r="15835" spans="5:6" ht="15" customHeight="1" x14ac:dyDescent="0.2">
      <c r="E15835" s="18"/>
      <c r="F15835" s="18"/>
    </row>
    <row r="15836" spans="5:6" ht="15" customHeight="1" x14ac:dyDescent="0.2">
      <c r="E15836" s="18"/>
      <c r="F15836" s="18"/>
    </row>
    <row r="15837" spans="5:6" ht="15" customHeight="1" x14ac:dyDescent="0.2">
      <c r="E15837" s="18"/>
      <c r="F15837" s="18"/>
    </row>
    <row r="15838" spans="5:6" ht="15" customHeight="1" x14ac:dyDescent="0.2">
      <c r="E15838" s="18"/>
      <c r="F15838" s="18"/>
    </row>
    <row r="15839" spans="5:6" ht="15" customHeight="1" x14ac:dyDescent="0.2">
      <c r="E15839" s="18"/>
      <c r="F15839" s="18"/>
    </row>
    <row r="15840" spans="5:6" ht="15" customHeight="1" x14ac:dyDescent="0.2">
      <c r="E15840" s="18"/>
      <c r="F15840" s="18"/>
    </row>
    <row r="15841" spans="5:6" ht="15" customHeight="1" x14ac:dyDescent="0.2">
      <c r="E15841" s="18"/>
      <c r="F15841" s="18"/>
    </row>
    <row r="15842" spans="5:6" ht="15" customHeight="1" x14ac:dyDescent="0.2">
      <c r="E15842" s="18"/>
      <c r="F15842" s="18"/>
    </row>
    <row r="15843" spans="5:6" ht="15" customHeight="1" x14ac:dyDescent="0.2">
      <c r="E15843" s="18"/>
      <c r="F15843" s="18"/>
    </row>
    <row r="15844" spans="5:6" ht="15" customHeight="1" x14ac:dyDescent="0.2">
      <c r="E15844" s="18"/>
      <c r="F15844" s="18"/>
    </row>
    <row r="15845" spans="5:6" ht="15" customHeight="1" x14ac:dyDescent="0.2">
      <c r="E15845" s="18"/>
      <c r="F15845" s="18"/>
    </row>
    <row r="15846" spans="5:6" ht="15" customHeight="1" x14ac:dyDescent="0.2">
      <c r="E15846" s="18"/>
      <c r="F15846" s="18"/>
    </row>
    <row r="15847" spans="5:6" ht="15" customHeight="1" x14ac:dyDescent="0.2">
      <c r="E15847" s="18"/>
      <c r="F15847" s="18"/>
    </row>
    <row r="15848" spans="5:6" ht="15" customHeight="1" x14ac:dyDescent="0.2">
      <c r="E15848" s="18"/>
      <c r="F15848" s="18"/>
    </row>
    <row r="15849" spans="5:6" ht="15" customHeight="1" x14ac:dyDescent="0.2">
      <c r="E15849" s="18"/>
      <c r="F15849" s="18"/>
    </row>
    <row r="15850" spans="5:6" ht="15" customHeight="1" x14ac:dyDescent="0.2">
      <c r="E15850" s="18"/>
      <c r="F15850" s="18"/>
    </row>
    <row r="15851" spans="5:6" ht="15" customHeight="1" x14ac:dyDescent="0.2">
      <c r="E15851" s="18"/>
      <c r="F15851" s="18"/>
    </row>
    <row r="15852" spans="5:6" ht="15" customHeight="1" x14ac:dyDescent="0.2">
      <c r="E15852" s="18"/>
      <c r="F15852" s="18"/>
    </row>
    <row r="15853" spans="5:6" ht="15" customHeight="1" x14ac:dyDescent="0.2">
      <c r="E15853" s="18"/>
      <c r="F15853" s="18"/>
    </row>
    <row r="15854" spans="5:6" ht="15" customHeight="1" x14ac:dyDescent="0.2">
      <c r="E15854" s="18"/>
      <c r="F15854" s="18"/>
    </row>
    <row r="15855" spans="5:6" ht="15" customHeight="1" x14ac:dyDescent="0.2">
      <c r="E15855" s="18"/>
      <c r="F15855" s="18"/>
    </row>
    <row r="15856" spans="5:6" ht="15" customHeight="1" x14ac:dyDescent="0.2">
      <c r="E15856" s="18"/>
      <c r="F15856" s="18"/>
    </row>
    <row r="15857" spans="5:6" ht="15" customHeight="1" x14ac:dyDescent="0.2">
      <c r="E15857" s="18"/>
      <c r="F15857" s="18"/>
    </row>
    <row r="15858" spans="5:6" ht="15" customHeight="1" x14ac:dyDescent="0.2">
      <c r="E15858" s="18"/>
      <c r="F15858" s="18"/>
    </row>
    <row r="15859" spans="5:6" ht="15" customHeight="1" x14ac:dyDescent="0.2">
      <c r="E15859" s="18"/>
      <c r="F15859" s="18"/>
    </row>
    <row r="15860" spans="5:6" ht="15" customHeight="1" x14ac:dyDescent="0.2">
      <c r="E15860" s="18"/>
      <c r="F15860" s="18"/>
    </row>
    <row r="15861" spans="5:6" ht="15" customHeight="1" x14ac:dyDescent="0.2">
      <c r="E15861" s="18"/>
      <c r="F15861" s="18"/>
    </row>
    <row r="15862" spans="5:6" ht="15" customHeight="1" x14ac:dyDescent="0.2">
      <c r="E15862" s="18"/>
      <c r="F15862" s="18"/>
    </row>
    <row r="15863" spans="5:6" ht="15" customHeight="1" x14ac:dyDescent="0.2">
      <c r="E15863" s="18"/>
      <c r="F15863" s="18"/>
    </row>
    <row r="15864" spans="5:6" ht="15" customHeight="1" x14ac:dyDescent="0.2">
      <c r="E15864" s="18"/>
      <c r="F15864" s="18"/>
    </row>
    <row r="15865" spans="5:6" ht="15" customHeight="1" x14ac:dyDescent="0.2">
      <c r="E15865" s="18"/>
      <c r="F15865" s="18"/>
    </row>
    <row r="15866" spans="5:6" ht="15" customHeight="1" x14ac:dyDescent="0.2">
      <c r="E15866" s="18"/>
      <c r="F15866" s="18"/>
    </row>
    <row r="15867" spans="5:6" ht="15" customHeight="1" x14ac:dyDescent="0.2">
      <c r="E15867" s="18"/>
      <c r="F15867" s="18"/>
    </row>
    <row r="15868" spans="5:6" ht="15" customHeight="1" x14ac:dyDescent="0.2">
      <c r="E15868" s="18"/>
      <c r="F15868" s="18"/>
    </row>
    <row r="15869" spans="5:6" ht="15" customHeight="1" x14ac:dyDescent="0.2">
      <c r="E15869" s="18"/>
      <c r="F15869" s="18"/>
    </row>
    <row r="15870" spans="5:6" ht="15" customHeight="1" x14ac:dyDescent="0.2">
      <c r="E15870" s="18"/>
      <c r="F15870" s="18"/>
    </row>
    <row r="15871" spans="5:6" ht="15" customHeight="1" x14ac:dyDescent="0.2">
      <c r="E15871" s="18"/>
      <c r="F15871" s="18"/>
    </row>
    <row r="15872" spans="5:6" ht="15" customHeight="1" x14ac:dyDescent="0.2">
      <c r="E15872" s="18"/>
      <c r="F15872" s="18"/>
    </row>
    <row r="15873" spans="5:6" ht="15" customHeight="1" x14ac:dyDescent="0.2">
      <c r="E15873" s="18"/>
      <c r="F15873" s="18"/>
    </row>
    <row r="15874" spans="5:6" ht="15" customHeight="1" x14ac:dyDescent="0.2">
      <c r="E15874" s="18"/>
      <c r="F15874" s="18"/>
    </row>
    <row r="15875" spans="5:6" ht="15" customHeight="1" x14ac:dyDescent="0.2">
      <c r="E15875" s="18"/>
      <c r="F15875" s="18"/>
    </row>
    <row r="15876" spans="5:6" ht="15" customHeight="1" x14ac:dyDescent="0.2">
      <c r="E15876" s="18"/>
      <c r="F15876" s="18"/>
    </row>
    <row r="15877" spans="5:6" ht="15" customHeight="1" x14ac:dyDescent="0.2">
      <c r="E15877" s="18"/>
      <c r="F15877" s="18"/>
    </row>
    <row r="15878" spans="5:6" ht="15" customHeight="1" x14ac:dyDescent="0.2">
      <c r="E15878" s="18"/>
      <c r="F15878" s="18"/>
    </row>
    <row r="15879" spans="5:6" ht="15" customHeight="1" x14ac:dyDescent="0.2">
      <c r="E15879" s="18"/>
      <c r="F15879" s="18"/>
    </row>
    <row r="15880" spans="5:6" ht="15" customHeight="1" x14ac:dyDescent="0.2">
      <c r="E15880" s="18"/>
      <c r="F15880" s="18"/>
    </row>
    <row r="15881" spans="5:6" ht="15" customHeight="1" x14ac:dyDescent="0.2">
      <c r="E15881" s="18"/>
      <c r="F15881" s="18"/>
    </row>
    <row r="15882" spans="5:6" ht="15" customHeight="1" x14ac:dyDescent="0.2">
      <c r="E15882" s="18"/>
      <c r="F15882" s="18"/>
    </row>
    <row r="15883" spans="5:6" ht="15" customHeight="1" x14ac:dyDescent="0.2">
      <c r="E15883" s="18"/>
      <c r="F15883" s="18"/>
    </row>
    <row r="15884" spans="5:6" ht="15" customHeight="1" x14ac:dyDescent="0.2">
      <c r="E15884" s="18"/>
      <c r="F15884" s="18"/>
    </row>
    <row r="15885" spans="5:6" ht="15" customHeight="1" x14ac:dyDescent="0.2">
      <c r="E15885" s="18"/>
      <c r="F15885" s="18"/>
    </row>
    <row r="15886" spans="5:6" ht="15" customHeight="1" x14ac:dyDescent="0.2">
      <c r="E15886" s="18"/>
      <c r="F15886" s="18"/>
    </row>
    <row r="15887" spans="5:6" ht="15" customHeight="1" x14ac:dyDescent="0.2">
      <c r="E15887" s="18"/>
      <c r="F15887" s="18"/>
    </row>
    <row r="15888" spans="5:6" ht="15" customHeight="1" x14ac:dyDescent="0.2">
      <c r="E15888" s="18"/>
      <c r="F15888" s="18"/>
    </row>
    <row r="15889" spans="5:6" ht="15" customHeight="1" x14ac:dyDescent="0.2">
      <c r="E15889" s="18"/>
      <c r="F15889" s="18"/>
    </row>
    <row r="15890" spans="5:6" ht="15" customHeight="1" x14ac:dyDescent="0.2">
      <c r="E15890" s="18"/>
      <c r="F15890" s="18"/>
    </row>
    <row r="15891" spans="5:6" ht="15" customHeight="1" x14ac:dyDescent="0.2">
      <c r="E15891" s="18"/>
      <c r="F15891" s="18"/>
    </row>
    <row r="15892" spans="5:6" ht="15" customHeight="1" x14ac:dyDescent="0.2">
      <c r="E15892" s="18"/>
      <c r="F15892" s="18"/>
    </row>
    <row r="15893" spans="5:6" ht="15" customHeight="1" x14ac:dyDescent="0.2">
      <c r="E15893" s="18"/>
      <c r="F15893" s="18"/>
    </row>
    <row r="15894" spans="5:6" ht="15" customHeight="1" x14ac:dyDescent="0.2">
      <c r="E15894" s="18"/>
      <c r="F15894" s="18"/>
    </row>
    <row r="15895" spans="5:6" ht="15" customHeight="1" x14ac:dyDescent="0.2">
      <c r="E15895" s="18"/>
      <c r="F15895" s="18"/>
    </row>
    <row r="15896" spans="5:6" ht="15" customHeight="1" x14ac:dyDescent="0.2">
      <c r="E15896" s="18"/>
      <c r="F15896" s="18"/>
    </row>
    <row r="15897" spans="5:6" ht="15" customHeight="1" x14ac:dyDescent="0.2">
      <c r="E15897" s="18"/>
      <c r="F15897" s="18"/>
    </row>
    <row r="15898" spans="5:6" ht="15" customHeight="1" x14ac:dyDescent="0.2">
      <c r="E15898" s="18"/>
      <c r="F15898" s="18"/>
    </row>
    <row r="15899" spans="5:6" ht="15" customHeight="1" x14ac:dyDescent="0.2">
      <c r="E15899" s="18"/>
      <c r="F15899" s="18"/>
    </row>
    <row r="15900" spans="5:6" ht="15" customHeight="1" x14ac:dyDescent="0.2">
      <c r="E15900" s="18"/>
      <c r="F15900" s="18"/>
    </row>
    <row r="15901" spans="5:6" ht="15" customHeight="1" x14ac:dyDescent="0.2">
      <c r="E15901" s="18"/>
      <c r="F15901" s="18"/>
    </row>
    <row r="15902" spans="5:6" ht="15" customHeight="1" x14ac:dyDescent="0.2">
      <c r="E15902" s="18"/>
      <c r="F15902" s="18"/>
    </row>
    <row r="15903" spans="5:6" ht="15" customHeight="1" x14ac:dyDescent="0.2">
      <c r="E15903" s="18"/>
      <c r="F15903" s="18"/>
    </row>
    <row r="15904" spans="5:6" ht="15" customHeight="1" x14ac:dyDescent="0.2">
      <c r="E15904" s="18"/>
      <c r="F15904" s="18"/>
    </row>
    <row r="15905" spans="5:6" ht="15" customHeight="1" x14ac:dyDescent="0.2">
      <c r="E15905" s="18"/>
      <c r="F15905" s="18"/>
    </row>
    <row r="15906" spans="5:6" ht="15" customHeight="1" x14ac:dyDescent="0.2">
      <c r="E15906" s="18"/>
      <c r="F15906" s="18"/>
    </row>
    <row r="15907" spans="5:6" ht="15" customHeight="1" x14ac:dyDescent="0.2">
      <c r="E15907" s="18"/>
      <c r="F15907" s="18"/>
    </row>
    <row r="15908" spans="5:6" ht="15" customHeight="1" x14ac:dyDescent="0.2">
      <c r="E15908" s="18"/>
      <c r="F15908" s="18"/>
    </row>
    <row r="15909" spans="5:6" ht="15" customHeight="1" x14ac:dyDescent="0.2">
      <c r="E15909" s="18"/>
      <c r="F15909" s="18"/>
    </row>
    <row r="15910" spans="5:6" ht="15" customHeight="1" x14ac:dyDescent="0.2">
      <c r="E15910" s="18"/>
      <c r="F15910" s="18"/>
    </row>
    <row r="15911" spans="5:6" ht="15" customHeight="1" x14ac:dyDescent="0.2">
      <c r="E15911" s="18"/>
      <c r="F15911" s="18"/>
    </row>
    <row r="15912" spans="5:6" ht="15" customHeight="1" x14ac:dyDescent="0.2">
      <c r="E15912" s="18"/>
      <c r="F15912" s="18"/>
    </row>
    <row r="15913" spans="5:6" ht="15" customHeight="1" x14ac:dyDescent="0.2">
      <c r="E15913" s="18"/>
      <c r="F15913" s="18"/>
    </row>
    <row r="15914" spans="5:6" ht="15" customHeight="1" x14ac:dyDescent="0.2">
      <c r="E15914" s="18"/>
      <c r="F15914" s="18"/>
    </row>
    <row r="15915" spans="5:6" ht="15" customHeight="1" x14ac:dyDescent="0.2">
      <c r="E15915" s="18"/>
      <c r="F15915" s="18"/>
    </row>
    <row r="15916" spans="5:6" ht="15" customHeight="1" x14ac:dyDescent="0.2">
      <c r="E15916" s="18"/>
      <c r="F15916" s="18"/>
    </row>
    <row r="15917" spans="5:6" ht="15" customHeight="1" x14ac:dyDescent="0.2">
      <c r="E15917" s="18"/>
      <c r="F15917" s="18"/>
    </row>
    <row r="15918" spans="5:6" ht="15" customHeight="1" x14ac:dyDescent="0.2">
      <c r="E15918" s="18"/>
      <c r="F15918" s="18"/>
    </row>
    <row r="15919" spans="5:6" ht="15" customHeight="1" x14ac:dyDescent="0.2">
      <c r="E15919" s="18"/>
      <c r="F15919" s="18"/>
    </row>
    <row r="15920" spans="5:6" ht="15" customHeight="1" x14ac:dyDescent="0.2">
      <c r="E15920" s="18"/>
      <c r="F15920" s="18"/>
    </row>
    <row r="15921" spans="5:6" ht="15" customHeight="1" x14ac:dyDescent="0.2">
      <c r="E15921" s="18"/>
      <c r="F15921" s="18"/>
    </row>
    <row r="15922" spans="5:6" ht="15" customHeight="1" x14ac:dyDescent="0.2">
      <c r="E15922" s="18"/>
      <c r="F15922" s="18"/>
    </row>
    <row r="15923" spans="5:6" ht="15" customHeight="1" x14ac:dyDescent="0.2">
      <c r="E15923" s="18"/>
      <c r="F15923" s="18"/>
    </row>
    <row r="15924" spans="5:6" ht="15" customHeight="1" x14ac:dyDescent="0.2">
      <c r="E15924" s="18"/>
      <c r="F15924" s="18"/>
    </row>
    <row r="15925" spans="5:6" ht="15" customHeight="1" x14ac:dyDescent="0.2">
      <c r="E15925" s="18"/>
      <c r="F15925" s="18"/>
    </row>
    <row r="15926" spans="5:6" ht="15" customHeight="1" x14ac:dyDescent="0.2">
      <c r="E15926" s="18"/>
      <c r="F15926" s="18"/>
    </row>
    <row r="15927" spans="5:6" ht="15" customHeight="1" x14ac:dyDescent="0.2">
      <c r="E15927" s="18"/>
      <c r="F15927" s="18"/>
    </row>
    <row r="15928" spans="5:6" ht="15" customHeight="1" x14ac:dyDescent="0.2">
      <c r="E15928" s="18"/>
      <c r="F15928" s="18"/>
    </row>
    <row r="15929" spans="5:6" ht="15" customHeight="1" x14ac:dyDescent="0.2">
      <c r="E15929" s="18"/>
      <c r="F15929" s="18"/>
    </row>
    <row r="15930" spans="5:6" ht="15" customHeight="1" x14ac:dyDescent="0.2">
      <c r="E15930" s="18"/>
      <c r="F15930" s="18"/>
    </row>
    <row r="15931" spans="5:6" ht="15" customHeight="1" x14ac:dyDescent="0.2">
      <c r="E15931" s="18"/>
      <c r="F15931" s="18"/>
    </row>
    <row r="15932" spans="5:6" ht="15" customHeight="1" x14ac:dyDescent="0.2">
      <c r="E15932" s="18"/>
      <c r="F15932" s="18"/>
    </row>
    <row r="15933" spans="5:6" ht="15" customHeight="1" x14ac:dyDescent="0.2">
      <c r="E15933" s="18"/>
      <c r="F15933" s="18"/>
    </row>
    <row r="15934" spans="5:6" ht="15" customHeight="1" x14ac:dyDescent="0.2">
      <c r="E15934" s="18"/>
      <c r="F15934" s="18"/>
    </row>
    <row r="15935" spans="5:6" ht="15" customHeight="1" x14ac:dyDescent="0.2">
      <c r="E15935" s="18"/>
      <c r="F15935" s="18"/>
    </row>
    <row r="15936" spans="5:6" ht="15" customHeight="1" x14ac:dyDescent="0.2">
      <c r="E15936" s="18"/>
      <c r="F15936" s="18"/>
    </row>
    <row r="15937" spans="5:6" ht="15" customHeight="1" x14ac:dyDescent="0.2">
      <c r="E15937" s="18"/>
      <c r="F15937" s="18"/>
    </row>
    <row r="15938" spans="5:6" ht="15" customHeight="1" x14ac:dyDescent="0.2">
      <c r="E15938" s="18"/>
      <c r="F15938" s="18"/>
    </row>
    <row r="15939" spans="5:6" ht="15" customHeight="1" x14ac:dyDescent="0.2">
      <c r="E15939" s="18"/>
      <c r="F15939" s="18"/>
    </row>
    <row r="15940" spans="5:6" ht="15" customHeight="1" x14ac:dyDescent="0.2">
      <c r="E15940" s="18"/>
      <c r="F15940" s="18"/>
    </row>
    <row r="15941" spans="5:6" ht="15" customHeight="1" x14ac:dyDescent="0.2">
      <c r="E15941" s="18"/>
      <c r="F15941" s="18"/>
    </row>
    <row r="15942" spans="5:6" ht="15" customHeight="1" x14ac:dyDescent="0.2">
      <c r="E15942" s="18"/>
      <c r="F15942" s="18"/>
    </row>
    <row r="15943" spans="5:6" ht="15" customHeight="1" x14ac:dyDescent="0.2">
      <c r="E15943" s="18"/>
      <c r="F15943" s="18"/>
    </row>
    <row r="15944" spans="5:6" ht="15" customHeight="1" x14ac:dyDescent="0.2">
      <c r="E15944" s="18"/>
      <c r="F15944" s="18"/>
    </row>
    <row r="15945" spans="5:6" ht="15" customHeight="1" x14ac:dyDescent="0.2">
      <c r="E15945" s="18"/>
      <c r="F15945" s="18"/>
    </row>
    <row r="15946" spans="5:6" ht="15" customHeight="1" x14ac:dyDescent="0.2">
      <c r="E15946" s="18"/>
      <c r="F15946" s="18"/>
    </row>
    <row r="15947" spans="5:6" ht="15" customHeight="1" x14ac:dyDescent="0.2">
      <c r="E15947" s="18"/>
      <c r="F15947" s="18"/>
    </row>
    <row r="15948" spans="5:6" ht="15" customHeight="1" x14ac:dyDescent="0.2">
      <c r="E15948" s="18"/>
      <c r="F15948" s="18"/>
    </row>
    <row r="15949" spans="5:6" ht="15" customHeight="1" x14ac:dyDescent="0.2">
      <c r="E15949" s="18"/>
      <c r="F15949" s="18"/>
    </row>
    <row r="15950" spans="5:6" ht="15" customHeight="1" x14ac:dyDescent="0.2">
      <c r="E15950" s="18"/>
      <c r="F15950" s="18"/>
    </row>
    <row r="15951" spans="5:6" ht="15" customHeight="1" x14ac:dyDescent="0.2">
      <c r="E15951" s="18"/>
      <c r="F15951" s="18"/>
    </row>
    <row r="15952" spans="5:6" ht="15" customHeight="1" x14ac:dyDescent="0.2">
      <c r="E15952" s="18"/>
      <c r="F15952" s="18"/>
    </row>
    <row r="15953" spans="5:6" ht="15" customHeight="1" x14ac:dyDescent="0.2">
      <c r="E15953" s="18"/>
      <c r="F15953" s="18"/>
    </row>
    <row r="15954" spans="5:6" ht="15" customHeight="1" x14ac:dyDescent="0.2">
      <c r="E15954" s="18"/>
      <c r="F15954" s="18"/>
    </row>
    <row r="15955" spans="5:6" ht="15" customHeight="1" x14ac:dyDescent="0.2">
      <c r="E15955" s="18"/>
      <c r="F15955" s="18"/>
    </row>
    <row r="15956" spans="5:6" ht="15" customHeight="1" x14ac:dyDescent="0.2">
      <c r="E15956" s="18"/>
      <c r="F15956" s="18"/>
    </row>
    <row r="15957" spans="5:6" ht="15" customHeight="1" x14ac:dyDescent="0.2">
      <c r="E15957" s="18"/>
      <c r="F15957" s="18"/>
    </row>
    <row r="15958" spans="5:6" ht="15" customHeight="1" x14ac:dyDescent="0.2">
      <c r="E15958" s="18"/>
      <c r="F15958" s="18"/>
    </row>
    <row r="15959" spans="5:6" ht="15" customHeight="1" x14ac:dyDescent="0.2">
      <c r="E15959" s="18"/>
      <c r="F15959" s="18"/>
    </row>
    <row r="15960" spans="5:6" ht="15" customHeight="1" x14ac:dyDescent="0.2">
      <c r="E15960" s="18"/>
      <c r="F15960" s="18"/>
    </row>
    <row r="15961" spans="5:6" ht="15" customHeight="1" x14ac:dyDescent="0.2">
      <c r="E15961" s="18"/>
      <c r="F15961" s="18"/>
    </row>
    <row r="15962" spans="5:6" ht="15" customHeight="1" x14ac:dyDescent="0.2">
      <c r="E15962" s="18"/>
      <c r="F15962" s="18"/>
    </row>
    <row r="15963" spans="5:6" ht="15" customHeight="1" x14ac:dyDescent="0.2">
      <c r="E15963" s="18"/>
      <c r="F15963" s="18"/>
    </row>
    <row r="15964" spans="5:6" ht="15" customHeight="1" x14ac:dyDescent="0.2">
      <c r="E15964" s="18"/>
      <c r="F15964" s="18"/>
    </row>
    <row r="15965" spans="5:6" ht="15" customHeight="1" x14ac:dyDescent="0.2">
      <c r="E15965" s="18"/>
      <c r="F15965" s="18"/>
    </row>
    <row r="15966" spans="5:6" ht="15" customHeight="1" x14ac:dyDescent="0.2">
      <c r="E15966" s="18"/>
      <c r="F15966" s="18"/>
    </row>
    <row r="15967" spans="5:6" ht="15" customHeight="1" x14ac:dyDescent="0.2">
      <c r="E15967" s="18"/>
      <c r="F15967" s="18"/>
    </row>
    <row r="15968" spans="5:6" ht="15" customHeight="1" x14ac:dyDescent="0.2">
      <c r="E15968" s="18"/>
      <c r="F15968" s="18"/>
    </row>
    <row r="15969" spans="5:6" ht="15" customHeight="1" x14ac:dyDescent="0.2">
      <c r="E15969" s="18"/>
      <c r="F15969" s="18"/>
    </row>
    <row r="15970" spans="5:6" ht="15" customHeight="1" x14ac:dyDescent="0.2">
      <c r="E15970" s="18"/>
      <c r="F15970" s="18"/>
    </row>
    <row r="15971" spans="5:6" ht="15" customHeight="1" x14ac:dyDescent="0.2">
      <c r="E15971" s="18"/>
      <c r="F15971" s="18"/>
    </row>
    <row r="15972" spans="5:6" ht="15" customHeight="1" x14ac:dyDescent="0.2">
      <c r="E15972" s="18"/>
      <c r="F15972" s="18"/>
    </row>
    <row r="15973" spans="5:6" ht="15" customHeight="1" x14ac:dyDescent="0.2">
      <c r="E15973" s="18"/>
      <c r="F15973" s="18"/>
    </row>
    <row r="15974" spans="5:6" ht="15" customHeight="1" x14ac:dyDescent="0.2">
      <c r="E15974" s="18"/>
      <c r="F15974" s="18"/>
    </row>
    <row r="15975" spans="5:6" ht="15" customHeight="1" x14ac:dyDescent="0.2">
      <c r="E15975" s="18"/>
      <c r="F15975" s="18"/>
    </row>
    <row r="15976" spans="5:6" ht="15" customHeight="1" x14ac:dyDescent="0.2">
      <c r="E15976" s="18"/>
      <c r="F15976" s="18"/>
    </row>
    <row r="15977" spans="5:6" ht="15" customHeight="1" x14ac:dyDescent="0.2">
      <c r="E15977" s="18"/>
      <c r="F15977" s="18"/>
    </row>
    <row r="15978" spans="5:6" ht="15" customHeight="1" x14ac:dyDescent="0.2">
      <c r="E15978" s="18"/>
      <c r="F15978" s="18"/>
    </row>
    <row r="15979" spans="5:6" ht="15" customHeight="1" x14ac:dyDescent="0.2">
      <c r="E15979" s="18"/>
      <c r="F15979" s="18"/>
    </row>
    <row r="15980" spans="5:6" ht="15" customHeight="1" x14ac:dyDescent="0.2">
      <c r="E15980" s="18"/>
      <c r="F15980" s="18"/>
    </row>
    <row r="15981" spans="5:6" ht="15" customHeight="1" x14ac:dyDescent="0.2">
      <c r="E15981" s="18"/>
      <c r="F15981" s="18"/>
    </row>
    <row r="15982" spans="5:6" ht="15" customHeight="1" x14ac:dyDescent="0.2">
      <c r="E15982" s="18"/>
      <c r="F15982" s="18"/>
    </row>
    <row r="15983" spans="5:6" ht="15" customHeight="1" x14ac:dyDescent="0.2">
      <c r="E15983" s="18"/>
      <c r="F15983" s="18"/>
    </row>
    <row r="15984" spans="5:6" ht="15" customHeight="1" x14ac:dyDescent="0.2">
      <c r="E15984" s="18"/>
      <c r="F15984" s="18"/>
    </row>
    <row r="15985" spans="5:6" ht="15" customHeight="1" x14ac:dyDescent="0.2">
      <c r="E15985" s="18"/>
      <c r="F15985" s="18"/>
    </row>
    <row r="15986" spans="5:6" ht="15" customHeight="1" x14ac:dyDescent="0.2">
      <c r="E15986" s="18"/>
      <c r="F15986" s="18"/>
    </row>
    <row r="15987" spans="5:6" ht="15" customHeight="1" x14ac:dyDescent="0.2">
      <c r="E15987" s="18"/>
      <c r="F15987" s="18"/>
    </row>
    <row r="15988" spans="5:6" ht="15" customHeight="1" x14ac:dyDescent="0.2">
      <c r="E15988" s="18"/>
      <c r="F15988" s="18"/>
    </row>
    <row r="15989" spans="5:6" ht="15" customHeight="1" x14ac:dyDescent="0.2">
      <c r="E15989" s="18"/>
      <c r="F15989" s="18"/>
    </row>
    <row r="15990" spans="5:6" ht="15" customHeight="1" x14ac:dyDescent="0.2">
      <c r="E15990" s="18"/>
      <c r="F15990" s="18"/>
    </row>
    <row r="15991" spans="5:6" ht="15" customHeight="1" x14ac:dyDescent="0.2">
      <c r="E15991" s="18"/>
      <c r="F15991" s="18"/>
    </row>
    <row r="15992" spans="5:6" ht="15" customHeight="1" x14ac:dyDescent="0.2">
      <c r="E15992" s="18"/>
      <c r="F15992" s="18"/>
    </row>
    <row r="15993" spans="5:6" ht="15" customHeight="1" x14ac:dyDescent="0.2">
      <c r="E15993" s="18"/>
      <c r="F15993" s="18"/>
    </row>
    <row r="15994" spans="5:6" ht="15" customHeight="1" x14ac:dyDescent="0.2">
      <c r="E15994" s="18"/>
      <c r="F15994" s="18"/>
    </row>
    <row r="15995" spans="5:6" ht="15" customHeight="1" x14ac:dyDescent="0.2">
      <c r="E15995" s="18"/>
      <c r="F15995" s="18"/>
    </row>
    <row r="15996" spans="5:6" ht="15" customHeight="1" x14ac:dyDescent="0.2">
      <c r="E15996" s="18"/>
      <c r="F15996" s="18"/>
    </row>
    <row r="15997" spans="5:6" ht="15" customHeight="1" x14ac:dyDescent="0.2">
      <c r="E15997" s="18"/>
      <c r="F15997" s="18"/>
    </row>
    <row r="15998" spans="5:6" ht="15" customHeight="1" x14ac:dyDescent="0.2">
      <c r="E15998" s="18"/>
      <c r="F15998" s="18"/>
    </row>
    <row r="15999" spans="5:6" ht="15" customHeight="1" x14ac:dyDescent="0.2">
      <c r="E15999" s="18"/>
      <c r="F15999" s="18"/>
    </row>
    <row r="16000" spans="5:6" ht="15" customHeight="1" x14ac:dyDescent="0.2">
      <c r="E16000" s="18"/>
      <c r="F16000" s="18"/>
    </row>
    <row r="16001" spans="5:6" ht="15" customHeight="1" x14ac:dyDescent="0.2">
      <c r="E16001" s="18"/>
      <c r="F16001" s="18"/>
    </row>
    <row r="16002" spans="5:6" ht="15" customHeight="1" x14ac:dyDescent="0.2">
      <c r="E16002" s="18"/>
      <c r="F16002" s="18"/>
    </row>
    <row r="16003" spans="5:6" ht="15" customHeight="1" x14ac:dyDescent="0.2">
      <c r="E16003" s="18"/>
      <c r="F16003" s="18"/>
    </row>
    <row r="16004" spans="5:6" ht="15" customHeight="1" x14ac:dyDescent="0.2">
      <c r="E16004" s="18"/>
      <c r="F16004" s="18"/>
    </row>
    <row r="16005" spans="5:6" ht="15" customHeight="1" x14ac:dyDescent="0.2">
      <c r="E16005" s="18"/>
      <c r="F16005" s="18"/>
    </row>
    <row r="16006" spans="5:6" ht="15" customHeight="1" x14ac:dyDescent="0.2">
      <c r="E16006" s="18"/>
      <c r="F16006" s="18"/>
    </row>
    <row r="16007" spans="5:6" ht="15" customHeight="1" x14ac:dyDescent="0.2">
      <c r="E16007" s="18"/>
      <c r="F16007" s="18"/>
    </row>
    <row r="16008" spans="5:6" ht="15" customHeight="1" x14ac:dyDescent="0.2">
      <c r="E16008" s="18"/>
      <c r="F16008" s="18"/>
    </row>
    <row r="16009" spans="5:6" ht="15" customHeight="1" x14ac:dyDescent="0.2">
      <c r="E16009" s="18"/>
      <c r="F16009" s="18"/>
    </row>
    <row r="16010" spans="5:6" ht="15" customHeight="1" x14ac:dyDescent="0.2">
      <c r="E16010" s="18"/>
      <c r="F16010" s="18"/>
    </row>
    <row r="16011" spans="5:6" ht="15" customHeight="1" x14ac:dyDescent="0.2">
      <c r="E16011" s="18"/>
      <c r="F16011" s="18"/>
    </row>
    <row r="16012" spans="5:6" ht="15" customHeight="1" x14ac:dyDescent="0.2">
      <c r="E16012" s="18"/>
      <c r="F16012" s="18"/>
    </row>
    <row r="16013" spans="5:6" ht="15" customHeight="1" x14ac:dyDescent="0.2">
      <c r="E16013" s="18"/>
      <c r="F16013" s="18"/>
    </row>
    <row r="16014" spans="5:6" ht="15" customHeight="1" x14ac:dyDescent="0.2">
      <c r="E16014" s="18"/>
      <c r="F16014" s="18"/>
    </row>
    <row r="16015" spans="5:6" ht="15" customHeight="1" x14ac:dyDescent="0.2">
      <c r="E16015" s="18"/>
      <c r="F16015" s="18"/>
    </row>
    <row r="16016" spans="5:6" ht="15" customHeight="1" x14ac:dyDescent="0.2">
      <c r="E16016" s="18"/>
      <c r="F16016" s="18"/>
    </row>
    <row r="16017" spans="5:6" ht="15" customHeight="1" x14ac:dyDescent="0.2">
      <c r="E16017" s="18"/>
      <c r="F16017" s="18"/>
    </row>
    <row r="16018" spans="5:6" ht="15" customHeight="1" x14ac:dyDescent="0.2">
      <c r="E16018" s="18"/>
      <c r="F16018" s="18"/>
    </row>
    <row r="16019" spans="5:6" ht="15" customHeight="1" x14ac:dyDescent="0.2">
      <c r="E16019" s="18"/>
      <c r="F16019" s="18"/>
    </row>
    <row r="16020" spans="5:6" ht="15" customHeight="1" x14ac:dyDescent="0.2">
      <c r="E16020" s="18"/>
      <c r="F16020" s="18"/>
    </row>
    <row r="16021" spans="5:6" ht="15" customHeight="1" x14ac:dyDescent="0.2">
      <c r="E16021" s="18"/>
      <c r="F16021" s="18"/>
    </row>
    <row r="16022" spans="5:6" ht="15" customHeight="1" x14ac:dyDescent="0.2">
      <c r="E16022" s="18"/>
      <c r="F16022" s="18"/>
    </row>
    <row r="16023" spans="5:6" ht="15" customHeight="1" x14ac:dyDescent="0.2">
      <c r="E16023" s="18"/>
      <c r="F16023" s="18"/>
    </row>
    <row r="16024" spans="5:6" ht="15" customHeight="1" x14ac:dyDescent="0.2">
      <c r="E16024" s="18"/>
      <c r="F16024" s="18"/>
    </row>
    <row r="16025" spans="5:6" ht="15" customHeight="1" x14ac:dyDescent="0.2">
      <c r="E16025" s="18"/>
      <c r="F16025" s="18"/>
    </row>
    <row r="16026" spans="5:6" ht="15" customHeight="1" x14ac:dyDescent="0.2">
      <c r="E16026" s="18"/>
      <c r="F16026" s="18"/>
    </row>
    <row r="16027" spans="5:6" ht="15" customHeight="1" x14ac:dyDescent="0.2">
      <c r="E16027" s="18"/>
      <c r="F16027" s="18"/>
    </row>
    <row r="16028" spans="5:6" ht="15" customHeight="1" x14ac:dyDescent="0.2">
      <c r="E16028" s="18"/>
      <c r="F16028" s="18"/>
    </row>
    <row r="16029" spans="5:6" ht="15" customHeight="1" x14ac:dyDescent="0.2">
      <c r="E16029" s="18"/>
      <c r="F16029" s="18"/>
    </row>
    <row r="16030" spans="5:6" ht="15" customHeight="1" x14ac:dyDescent="0.2">
      <c r="E16030" s="18"/>
      <c r="F16030" s="18"/>
    </row>
    <row r="16031" spans="5:6" ht="15" customHeight="1" x14ac:dyDescent="0.2">
      <c r="E16031" s="18"/>
      <c r="F16031" s="18"/>
    </row>
    <row r="16032" spans="5:6" ht="15" customHeight="1" x14ac:dyDescent="0.2">
      <c r="E16032" s="18"/>
      <c r="F16032" s="18"/>
    </row>
    <row r="16033" spans="5:6" ht="15" customHeight="1" x14ac:dyDescent="0.2">
      <c r="E16033" s="18"/>
      <c r="F16033" s="18"/>
    </row>
    <row r="16034" spans="5:6" ht="15" customHeight="1" x14ac:dyDescent="0.2">
      <c r="E16034" s="18"/>
      <c r="F16034" s="18"/>
    </row>
    <row r="16035" spans="5:6" ht="15" customHeight="1" x14ac:dyDescent="0.2">
      <c r="E16035" s="18"/>
      <c r="F16035" s="18"/>
    </row>
    <row r="16036" spans="5:6" ht="15" customHeight="1" x14ac:dyDescent="0.2">
      <c r="E16036" s="18"/>
      <c r="F16036" s="18"/>
    </row>
    <row r="16037" spans="5:6" ht="15" customHeight="1" x14ac:dyDescent="0.2">
      <c r="E16037" s="18"/>
      <c r="F16037" s="18"/>
    </row>
    <row r="16038" spans="5:6" ht="15" customHeight="1" x14ac:dyDescent="0.2">
      <c r="E16038" s="18"/>
      <c r="F16038" s="18"/>
    </row>
    <row r="16039" spans="5:6" ht="15" customHeight="1" x14ac:dyDescent="0.2">
      <c r="E16039" s="18"/>
      <c r="F16039" s="18"/>
    </row>
    <row r="16040" spans="5:6" ht="15" customHeight="1" x14ac:dyDescent="0.2">
      <c r="E16040" s="18"/>
      <c r="F16040" s="18"/>
    </row>
    <row r="16041" spans="5:6" ht="15" customHeight="1" x14ac:dyDescent="0.2">
      <c r="E16041" s="18"/>
      <c r="F16041" s="18"/>
    </row>
    <row r="16042" spans="5:6" ht="15" customHeight="1" x14ac:dyDescent="0.2">
      <c r="E16042" s="18"/>
      <c r="F16042" s="18"/>
    </row>
    <row r="16043" spans="5:6" ht="15" customHeight="1" x14ac:dyDescent="0.2">
      <c r="E16043" s="18"/>
      <c r="F16043" s="18"/>
    </row>
    <row r="16044" spans="5:6" ht="15" customHeight="1" x14ac:dyDescent="0.2">
      <c r="E16044" s="18"/>
      <c r="F16044" s="18"/>
    </row>
    <row r="16045" spans="5:6" ht="15" customHeight="1" x14ac:dyDescent="0.2">
      <c r="E16045" s="18"/>
      <c r="F16045" s="18"/>
    </row>
    <row r="16046" spans="5:6" ht="15" customHeight="1" x14ac:dyDescent="0.2">
      <c r="E16046" s="18"/>
      <c r="F16046" s="18"/>
    </row>
    <row r="16047" spans="5:6" ht="15" customHeight="1" x14ac:dyDescent="0.2">
      <c r="E16047" s="18"/>
      <c r="F16047" s="18"/>
    </row>
    <row r="16048" spans="5:6" ht="15" customHeight="1" x14ac:dyDescent="0.2">
      <c r="E16048" s="18"/>
      <c r="F16048" s="18"/>
    </row>
    <row r="16049" spans="5:6" ht="15" customHeight="1" x14ac:dyDescent="0.2">
      <c r="E16049" s="18"/>
      <c r="F16049" s="18"/>
    </row>
    <row r="16050" spans="5:6" ht="15" customHeight="1" x14ac:dyDescent="0.2">
      <c r="E16050" s="18"/>
      <c r="F16050" s="18"/>
    </row>
    <row r="16051" spans="5:6" ht="15" customHeight="1" x14ac:dyDescent="0.2">
      <c r="E16051" s="18"/>
      <c r="F16051" s="18"/>
    </row>
    <row r="16052" spans="5:6" ht="15" customHeight="1" x14ac:dyDescent="0.2">
      <c r="E16052" s="18"/>
      <c r="F16052" s="18"/>
    </row>
    <row r="16053" spans="5:6" ht="15" customHeight="1" x14ac:dyDescent="0.2">
      <c r="E16053" s="18"/>
      <c r="F16053" s="18"/>
    </row>
    <row r="16054" spans="5:6" ht="15" customHeight="1" x14ac:dyDescent="0.2">
      <c r="E16054" s="18"/>
      <c r="F16054" s="18"/>
    </row>
    <row r="16055" spans="5:6" ht="15" customHeight="1" x14ac:dyDescent="0.2">
      <c r="E16055" s="18"/>
      <c r="F16055" s="18"/>
    </row>
    <row r="16056" spans="5:6" ht="15" customHeight="1" x14ac:dyDescent="0.2">
      <c r="E16056" s="18"/>
      <c r="F16056" s="18"/>
    </row>
    <row r="16057" spans="5:6" ht="15" customHeight="1" x14ac:dyDescent="0.2">
      <c r="E16057" s="18"/>
      <c r="F16057" s="18"/>
    </row>
    <row r="16058" spans="5:6" ht="15" customHeight="1" x14ac:dyDescent="0.2">
      <c r="E16058" s="18"/>
      <c r="F16058" s="18"/>
    </row>
    <row r="16059" spans="5:6" ht="15" customHeight="1" x14ac:dyDescent="0.2">
      <c r="E16059" s="18"/>
      <c r="F16059" s="18"/>
    </row>
    <row r="16060" spans="5:6" ht="15" customHeight="1" x14ac:dyDescent="0.2">
      <c r="E16060" s="18"/>
      <c r="F16060" s="18"/>
    </row>
    <row r="16061" spans="5:6" ht="15" customHeight="1" x14ac:dyDescent="0.2">
      <c r="E16061" s="18"/>
      <c r="F16061" s="18"/>
    </row>
    <row r="16062" spans="5:6" ht="15" customHeight="1" x14ac:dyDescent="0.2">
      <c r="E16062" s="18"/>
      <c r="F16062" s="18"/>
    </row>
    <row r="16063" spans="5:6" ht="15" customHeight="1" x14ac:dyDescent="0.2">
      <c r="E16063" s="18"/>
      <c r="F16063" s="18"/>
    </row>
    <row r="16064" spans="5:6" ht="15" customHeight="1" x14ac:dyDescent="0.2">
      <c r="E16064" s="18"/>
      <c r="F16064" s="18"/>
    </row>
    <row r="16065" spans="5:6" ht="15" customHeight="1" x14ac:dyDescent="0.2">
      <c r="E16065" s="18"/>
      <c r="F16065" s="18"/>
    </row>
    <row r="16066" spans="5:6" ht="15" customHeight="1" x14ac:dyDescent="0.2">
      <c r="E16066" s="18"/>
      <c r="F16066" s="18"/>
    </row>
    <row r="16067" spans="5:6" ht="15" customHeight="1" x14ac:dyDescent="0.2">
      <c r="E16067" s="18"/>
      <c r="F16067" s="18"/>
    </row>
    <row r="16068" spans="5:6" ht="15" customHeight="1" x14ac:dyDescent="0.2">
      <c r="E16068" s="18"/>
      <c r="F16068" s="18"/>
    </row>
    <row r="16069" spans="5:6" ht="15" customHeight="1" x14ac:dyDescent="0.2">
      <c r="E16069" s="18"/>
      <c r="F16069" s="18"/>
    </row>
    <row r="16070" spans="5:6" ht="15" customHeight="1" x14ac:dyDescent="0.2">
      <c r="E16070" s="18"/>
      <c r="F16070" s="18"/>
    </row>
    <row r="16071" spans="5:6" ht="15" customHeight="1" x14ac:dyDescent="0.2">
      <c r="E16071" s="18"/>
      <c r="F16071" s="18"/>
    </row>
    <row r="16072" spans="5:6" ht="15" customHeight="1" x14ac:dyDescent="0.2">
      <c r="E16072" s="18"/>
      <c r="F16072" s="18"/>
    </row>
    <row r="16073" spans="5:6" ht="15" customHeight="1" x14ac:dyDescent="0.2">
      <c r="E16073" s="18"/>
      <c r="F16073" s="18"/>
    </row>
    <row r="16074" spans="5:6" ht="15" customHeight="1" x14ac:dyDescent="0.2">
      <c r="E16074" s="18"/>
      <c r="F16074" s="18"/>
    </row>
    <row r="16075" spans="5:6" ht="15" customHeight="1" x14ac:dyDescent="0.2">
      <c r="E16075" s="18"/>
      <c r="F16075" s="18"/>
    </row>
    <row r="16076" spans="5:6" ht="15" customHeight="1" x14ac:dyDescent="0.2">
      <c r="E16076" s="18"/>
      <c r="F16076" s="18"/>
    </row>
    <row r="16077" spans="5:6" ht="15" customHeight="1" x14ac:dyDescent="0.2">
      <c r="E16077" s="18"/>
      <c r="F16077" s="18"/>
    </row>
    <row r="16078" spans="5:6" ht="15" customHeight="1" x14ac:dyDescent="0.2">
      <c r="E16078" s="18"/>
      <c r="F16078" s="18"/>
    </row>
    <row r="16079" spans="5:6" ht="15" customHeight="1" x14ac:dyDescent="0.2">
      <c r="E16079" s="18"/>
      <c r="F16079" s="18"/>
    </row>
    <row r="16080" spans="5:6" ht="15" customHeight="1" x14ac:dyDescent="0.2">
      <c r="E16080" s="18"/>
      <c r="F16080" s="18"/>
    </row>
    <row r="16081" spans="5:6" ht="15" customHeight="1" x14ac:dyDescent="0.2">
      <c r="E16081" s="18"/>
      <c r="F16081" s="18"/>
    </row>
    <row r="16082" spans="5:6" ht="15" customHeight="1" x14ac:dyDescent="0.2">
      <c r="E16082" s="18"/>
      <c r="F16082" s="18"/>
    </row>
    <row r="16083" spans="5:6" ht="15" customHeight="1" x14ac:dyDescent="0.2">
      <c r="E16083" s="18"/>
      <c r="F16083" s="18"/>
    </row>
    <row r="16084" spans="5:6" ht="15" customHeight="1" x14ac:dyDescent="0.2">
      <c r="E16084" s="18"/>
      <c r="F16084" s="18"/>
    </row>
    <row r="16085" spans="5:6" ht="15" customHeight="1" x14ac:dyDescent="0.2">
      <c r="E16085" s="18"/>
      <c r="F16085" s="18"/>
    </row>
    <row r="16086" spans="5:6" ht="15" customHeight="1" x14ac:dyDescent="0.2">
      <c r="E16086" s="18"/>
      <c r="F16086" s="18"/>
    </row>
    <row r="16087" spans="5:6" ht="15" customHeight="1" x14ac:dyDescent="0.2">
      <c r="E16087" s="18"/>
      <c r="F16087" s="18"/>
    </row>
    <row r="16088" spans="5:6" ht="15" customHeight="1" x14ac:dyDescent="0.2">
      <c r="E16088" s="18"/>
      <c r="F16088" s="18"/>
    </row>
    <row r="16089" spans="5:6" ht="15" customHeight="1" x14ac:dyDescent="0.2">
      <c r="E16089" s="18"/>
      <c r="F16089" s="18"/>
    </row>
    <row r="16090" spans="5:6" ht="15" customHeight="1" x14ac:dyDescent="0.2">
      <c r="E16090" s="18"/>
      <c r="F16090" s="18"/>
    </row>
    <row r="16091" spans="5:6" ht="15" customHeight="1" x14ac:dyDescent="0.2">
      <c r="E16091" s="18"/>
      <c r="F16091" s="18"/>
    </row>
    <row r="16092" spans="5:6" ht="15" customHeight="1" x14ac:dyDescent="0.2">
      <c r="E16092" s="18"/>
      <c r="F16092" s="18"/>
    </row>
    <row r="16093" spans="5:6" ht="15" customHeight="1" x14ac:dyDescent="0.2">
      <c r="E16093" s="18"/>
      <c r="F16093" s="18"/>
    </row>
    <row r="16094" spans="5:6" ht="15" customHeight="1" x14ac:dyDescent="0.2">
      <c r="E16094" s="18"/>
      <c r="F16094" s="18"/>
    </row>
    <row r="16095" spans="5:6" ht="15" customHeight="1" x14ac:dyDescent="0.2">
      <c r="E16095" s="18"/>
      <c r="F16095" s="18"/>
    </row>
    <row r="16096" spans="5:6" ht="15" customHeight="1" x14ac:dyDescent="0.2">
      <c r="E16096" s="18"/>
      <c r="F16096" s="18"/>
    </row>
    <row r="16097" spans="5:6" ht="15" customHeight="1" x14ac:dyDescent="0.2">
      <c r="E16097" s="18"/>
      <c r="F16097" s="18"/>
    </row>
    <row r="16098" spans="5:6" ht="15" customHeight="1" x14ac:dyDescent="0.2">
      <c r="E16098" s="18"/>
      <c r="F16098" s="18"/>
    </row>
    <row r="16099" spans="5:6" ht="15" customHeight="1" x14ac:dyDescent="0.2">
      <c r="E16099" s="18"/>
      <c r="F16099" s="18"/>
    </row>
    <row r="16100" spans="5:6" ht="15" customHeight="1" x14ac:dyDescent="0.2">
      <c r="E16100" s="18"/>
      <c r="F16100" s="18"/>
    </row>
    <row r="16101" spans="5:6" ht="15" customHeight="1" x14ac:dyDescent="0.2">
      <c r="E16101" s="18"/>
      <c r="F16101" s="18"/>
    </row>
    <row r="16102" spans="5:6" ht="15" customHeight="1" x14ac:dyDescent="0.2">
      <c r="E16102" s="18"/>
      <c r="F16102" s="18"/>
    </row>
    <row r="16103" spans="5:6" ht="15" customHeight="1" x14ac:dyDescent="0.2">
      <c r="E16103" s="18"/>
      <c r="F16103" s="18"/>
    </row>
    <row r="16104" spans="5:6" ht="15" customHeight="1" x14ac:dyDescent="0.2">
      <c r="E16104" s="18"/>
      <c r="F16104" s="18"/>
    </row>
    <row r="16105" spans="5:6" ht="15" customHeight="1" x14ac:dyDescent="0.2">
      <c r="E16105" s="18"/>
      <c r="F16105" s="18"/>
    </row>
    <row r="16106" spans="5:6" ht="15" customHeight="1" x14ac:dyDescent="0.2">
      <c r="E16106" s="18"/>
      <c r="F16106" s="18"/>
    </row>
    <row r="16107" spans="5:6" ht="15" customHeight="1" x14ac:dyDescent="0.2">
      <c r="E16107" s="18"/>
      <c r="F16107" s="18"/>
    </row>
    <row r="16108" spans="5:6" ht="15" customHeight="1" x14ac:dyDescent="0.2">
      <c r="E16108" s="18"/>
      <c r="F16108" s="18"/>
    </row>
    <row r="16109" spans="5:6" ht="15" customHeight="1" x14ac:dyDescent="0.2">
      <c r="E16109" s="18"/>
      <c r="F16109" s="18"/>
    </row>
    <row r="16110" spans="5:6" ht="15" customHeight="1" x14ac:dyDescent="0.2">
      <c r="E16110" s="18"/>
      <c r="F16110" s="18"/>
    </row>
    <row r="16111" spans="5:6" ht="15" customHeight="1" x14ac:dyDescent="0.2">
      <c r="E16111" s="18"/>
      <c r="F16111" s="18"/>
    </row>
    <row r="16112" spans="5:6" ht="15" customHeight="1" x14ac:dyDescent="0.2">
      <c r="E16112" s="18"/>
      <c r="F16112" s="18"/>
    </row>
    <row r="16113" spans="5:6" ht="15" customHeight="1" x14ac:dyDescent="0.2">
      <c r="E16113" s="18"/>
      <c r="F16113" s="18"/>
    </row>
    <row r="16114" spans="5:6" ht="15" customHeight="1" x14ac:dyDescent="0.2">
      <c r="E16114" s="18"/>
      <c r="F16114" s="18"/>
    </row>
    <row r="16115" spans="5:6" ht="15" customHeight="1" x14ac:dyDescent="0.2">
      <c r="E16115" s="18"/>
      <c r="F16115" s="18"/>
    </row>
    <row r="16116" spans="5:6" ht="15" customHeight="1" x14ac:dyDescent="0.2">
      <c r="E16116" s="18"/>
      <c r="F16116" s="18"/>
    </row>
    <row r="16117" spans="5:6" ht="15" customHeight="1" x14ac:dyDescent="0.2">
      <c r="E16117" s="18"/>
      <c r="F16117" s="18"/>
    </row>
    <row r="16118" spans="5:6" ht="15" customHeight="1" x14ac:dyDescent="0.2">
      <c r="E16118" s="18"/>
      <c r="F16118" s="18"/>
    </row>
    <row r="16119" spans="5:6" ht="15" customHeight="1" x14ac:dyDescent="0.2">
      <c r="E16119" s="18"/>
      <c r="F16119" s="18"/>
    </row>
    <row r="16120" spans="5:6" ht="15" customHeight="1" x14ac:dyDescent="0.2">
      <c r="E16120" s="18"/>
      <c r="F16120" s="18"/>
    </row>
    <row r="16121" spans="5:6" ht="15" customHeight="1" x14ac:dyDescent="0.2">
      <c r="E16121" s="18"/>
      <c r="F16121" s="18"/>
    </row>
    <row r="16122" spans="5:6" ht="15" customHeight="1" x14ac:dyDescent="0.2">
      <c r="E16122" s="18"/>
      <c r="F16122" s="18"/>
    </row>
    <row r="16123" spans="5:6" ht="15" customHeight="1" x14ac:dyDescent="0.2">
      <c r="E16123" s="18"/>
      <c r="F16123" s="18"/>
    </row>
    <row r="16124" spans="5:6" ht="15" customHeight="1" x14ac:dyDescent="0.2">
      <c r="E16124" s="18"/>
      <c r="F16124" s="18"/>
    </row>
    <row r="16125" spans="5:6" ht="15" customHeight="1" x14ac:dyDescent="0.2">
      <c r="E16125" s="18"/>
      <c r="F16125" s="18"/>
    </row>
    <row r="16126" spans="5:6" ht="15" customHeight="1" x14ac:dyDescent="0.2">
      <c r="E16126" s="18"/>
      <c r="F16126" s="18"/>
    </row>
    <row r="16127" spans="5:6" ht="15" customHeight="1" x14ac:dyDescent="0.2">
      <c r="E16127" s="18"/>
      <c r="F16127" s="18"/>
    </row>
    <row r="16128" spans="5:6" ht="15" customHeight="1" x14ac:dyDescent="0.2">
      <c r="E16128" s="18"/>
      <c r="F16128" s="18"/>
    </row>
    <row r="16129" spans="5:6" ht="15" customHeight="1" x14ac:dyDescent="0.2">
      <c r="E16129" s="18"/>
      <c r="F16129" s="18"/>
    </row>
    <row r="16130" spans="5:6" ht="15" customHeight="1" x14ac:dyDescent="0.2">
      <c r="E16130" s="18"/>
      <c r="F16130" s="18"/>
    </row>
    <row r="16131" spans="5:6" ht="15" customHeight="1" x14ac:dyDescent="0.2">
      <c r="E16131" s="18"/>
      <c r="F16131" s="18"/>
    </row>
    <row r="16132" spans="5:6" ht="15" customHeight="1" x14ac:dyDescent="0.2">
      <c r="E16132" s="18"/>
      <c r="F16132" s="18"/>
    </row>
    <row r="16133" spans="5:6" ht="15" customHeight="1" x14ac:dyDescent="0.2">
      <c r="E16133" s="18"/>
      <c r="F16133" s="18"/>
    </row>
    <row r="16134" spans="5:6" ht="15" customHeight="1" x14ac:dyDescent="0.2">
      <c r="E16134" s="18"/>
      <c r="F16134" s="18"/>
    </row>
    <row r="16135" spans="5:6" ht="15" customHeight="1" x14ac:dyDescent="0.2">
      <c r="E16135" s="18"/>
      <c r="F16135" s="18"/>
    </row>
    <row r="16136" spans="5:6" ht="15" customHeight="1" x14ac:dyDescent="0.2">
      <c r="E16136" s="18"/>
      <c r="F16136" s="18"/>
    </row>
    <row r="16137" spans="5:6" ht="15" customHeight="1" x14ac:dyDescent="0.2">
      <c r="E16137" s="18"/>
      <c r="F16137" s="18"/>
    </row>
    <row r="16138" spans="5:6" ht="15" customHeight="1" x14ac:dyDescent="0.2">
      <c r="E16138" s="18"/>
      <c r="F16138" s="18"/>
    </row>
    <row r="16139" spans="5:6" ht="15" customHeight="1" x14ac:dyDescent="0.2">
      <c r="E16139" s="18"/>
      <c r="F16139" s="18"/>
    </row>
    <row r="16140" spans="5:6" ht="15" customHeight="1" x14ac:dyDescent="0.2">
      <c r="E16140" s="18"/>
      <c r="F16140" s="18"/>
    </row>
    <row r="16141" spans="5:6" ht="15" customHeight="1" x14ac:dyDescent="0.2">
      <c r="E16141" s="18"/>
      <c r="F16141" s="18"/>
    </row>
    <row r="16142" spans="5:6" ht="15" customHeight="1" x14ac:dyDescent="0.2">
      <c r="E16142" s="18"/>
      <c r="F16142" s="18"/>
    </row>
    <row r="16143" spans="5:6" ht="15" customHeight="1" x14ac:dyDescent="0.2">
      <c r="E16143" s="18"/>
      <c r="F16143" s="18"/>
    </row>
    <row r="16144" spans="5:6" ht="15" customHeight="1" x14ac:dyDescent="0.2">
      <c r="E16144" s="18"/>
      <c r="F16144" s="18"/>
    </row>
    <row r="16145" spans="5:6" ht="15" customHeight="1" x14ac:dyDescent="0.2">
      <c r="E16145" s="18"/>
      <c r="F16145" s="18"/>
    </row>
    <row r="16146" spans="5:6" ht="15" customHeight="1" x14ac:dyDescent="0.2">
      <c r="E16146" s="18"/>
      <c r="F16146" s="18"/>
    </row>
    <row r="16147" spans="5:6" ht="15" customHeight="1" x14ac:dyDescent="0.2">
      <c r="E16147" s="18"/>
      <c r="F16147" s="18"/>
    </row>
    <row r="16148" spans="5:6" ht="15" customHeight="1" x14ac:dyDescent="0.2">
      <c r="E16148" s="18"/>
      <c r="F16148" s="18"/>
    </row>
    <row r="16149" spans="5:6" ht="15" customHeight="1" x14ac:dyDescent="0.2">
      <c r="E16149" s="18"/>
      <c r="F16149" s="18"/>
    </row>
    <row r="16150" spans="5:6" ht="15" customHeight="1" x14ac:dyDescent="0.2">
      <c r="E16150" s="18"/>
      <c r="F16150" s="18"/>
    </row>
    <row r="16151" spans="5:6" ht="15" customHeight="1" x14ac:dyDescent="0.2">
      <c r="E16151" s="18"/>
      <c r="F16151" s="18"/>
    </row>
    <row r="16152" spans="5:6" ht="15" customHeight="1" x14ac:dyDescent="0.2">
      <c r="E16152" s="18"/>
      <c r="F16152" s="18"/>
    </row>
    <row r="16153" spans="5:6" ht="15" customHeight="1" x14ac:dyDescent="0.2">
      <c r="E16153" s="18"/>
      <c r="F16153" s="18"/>
    </row>
    <row r="16154" spans="5:6" ht="15" customHeight="1" x14ac:dyDescent="0.2">
      <c r="E16154" s="18"/>
      <c r="F16154" s="18"/>
    </row>
    <row r="16155" spans="5:6" ht="15" customHeight="1" x14ac:dyDescent="0.2">
      <c r="E16155" s="18"/>
      <c r="F16155" s="18"/>
    </row>
    <row r="16156" spans="5:6" ht="15" customHeight="1" x14ac:dyDescent="0.2">
      <c r="E16156" s="18"/>
      <c r="F16156" s="18"/>
    </row>
    <row r="16157" spans="5:6" ht="15" customHeight="1" x14ac:dyDescent="0.2">
      <c r="E16157" s="18"/>
      <c r="F16157" s="18"/>
    </row>
    <row r="16158" spans="5:6" ht="15" customHeight="1" x14ac:dyDescent="0.2">
      <c r="E16158" s="18"/>
      <c r="F16158" s="18"/>
    </row>
    <row r="16159" spans="5:6" ht="15" customHeight="1" x14ac:dyDescent="0.2">
      <c r="E16159" s="18"/>
      <c r="F16159" s="18"/>
    </row>
    <row r="16160" spans="5:6" ht="15" customHeight="1" x14ac:dyDescent="0.2">
      <c r="E16160" s="18"/>
      <c r="F16160" s="18"/>
    </row>
    <row r="16161" spans="5:6" ht="15" customHeight="1" x14ac:dyDescent="0.2">
      <c r="E16161" s="18"/>
      <c r="F16161" s="18"/>
    </row>
    <row r="16162" spans="5:6" ht="15" customHeight="1" x14ac:dyDescent="0.2">
      <c r="E16162" s="18"/>
      <c r="F16162" s="18"/>
    </row>
    <row r="16163" spans="5:6" ht="15" customHeight="1" x14ac:dyDescent="0.2">
      <c r="E16163" s="18"/>
      <c r="F16163" s="18"/>
    </row>
    <row r="16164" spans="5:6" ht="15" customHeight="1" x14ac:dyDescent="0.2">
      <c r="E16164" s="18"/>
      <c r="F16164" s="18"/>
    </row>
    <row r="16165" spans="5:6" ht="15" customHeight="1" x14ac:dyDescent="0.2">
      <c r="E16165" s="18"/>
      <c r="F16165" s="18"/>
    </row>
    <row r="16166" spans="5:6" ht="15" customHeight="1" x14ac:dyDescent="0.2">
      <c r="E16166" s="18"/>
      <c r="F16166" s="18"/>
    </row>
    <row r="16167" spans="5:6" ht="15" customHeight="1" x14ac:dyDescent="0.2">
      <c r="E16167" s="18"/>
      <c r="F16167" s="18"/>
    </row>
    <row r="16168" spans="5:6" ht="15" customHeight="1" x14ac:dyDescent="0.2">
      <c r="E16168" s="18"/>
      <c r="F16168" s="18"/>
    </row>
    <row r="16169" spans="5:6" ht="15" customHeight="1" x14ac:dyDescent="0.2">
      <c r="E16169" s="18"/>
      <c r="F16169" s="18"/>
    </row>
    <row r="16170" spans="5:6" ht="15" customHeight="1" x14ac:dyDescent="0.2">
      <c r="E16170" s="18"/>
      <c r="F16170" s="18"/>
    </row>
    <row r="16171" spans="5:6" ht="15" customHeight="1" x14ac:dyDescent="0.2">
      <c r="E16171" s="18"/>
      <c r="F16171" s="18"/>
    </row>
    <row r="16172" spans="5:6" ht="15" customHeight="1" x14ac:dyDescent="0.2">
      <c r="E16172" s="18"/>
      <c r="F16172" s="18"/>
    </row>
    <row r="16173" spans="5:6" ht="15" customHeight="1" x14ac:dyDescent="0.2">
      <c r="E16173" s="18"/>
      <c r="F16173" s="18"/>
    </row>
    <row r="16174" spans="5:6" ht="15" customHeight="1" x14ac:dyDescent="0.2">
      <c r="E16174" s="18"/>
      <c r="F16174" s="18"/>
    </row>
    <row r="16175" spans="5:6" ht="15" customHeight="1" x14ac:dyDescent="0.2">
      <c r="E16175" s="18"/>
      <c r="F16175" s="18"/>
    </row>
    <row r="16176" spans="5:6" ht="15" customHeight="1" x14ac:dyDescent="0.2">
      <c r="E16176" s="18"/>
      <c r="F16176" s="18"/>
    </row>
    <row r="16177" spans="5:6" ht="15" customHeight="1" x14ac:dyDescent="0.2">
      <c r="E16177" s="18"/>
      <c r="F16177" s="18"/>
    </row>
    <row r="16178" spans="5:6" ht="15" customHeight="1" x14ac:dyDescent="0.2">
      <c r="E16178" s="18"/>
      <c r="F16178" s="18"/>
    </row>
    <row r="16179" spans="5:6" ht="15" customHeight="1" x14ac:dyDescent="0.2">
      <c r="E16179" s="18"/>
      <c r="F16179" s="18"/>
    </row>
    <row r="16180" spans="5:6" ht="15" customHeight="1" x14ac:dyDescent="0.2">
      <c r="E16180" s="18"/>
      <c r="F16180" s="18"/>
    </row>
    <row r="16181" spans="5:6" ht="15" customHeight="1" x14ac:dyDescent="0.2">
      <c r="E16181" s="18"/>
      <c r="F16181" s="18"/>
    </row>
    <row r="16182" spans="5:6" ht="15" customHeight="1" x14ac:dyDescent="0.2">
      <c r="E16182" s="18"/>
      <c r="F16182" s="18"/>
    </row>
    <row r="16183" spans="5:6" ht="15" customHeight="1" x14ac:dyDescent="0.2">
      <c r="E16183" s="18"/>
      <c r="F16183" s="18"/>
    </row>
    <row r="16184" spans="5:6" ht="15" customHeight="1" x14ac:dyDescent="0.2">
      <c r="E16184" s="18"/>
      <c r="F16184" s="18"/>
    </row>
    <row r="16185" spans="5:6" ht="15" customHeight="1" x14ac:dyDescent="0.2">
      <c r="E16185" s="18"/>
      <c r="F16185" s="18"/>
    </row>
    <row r="16186" spans="5:6" ht="15" customHeight="1" x14ac:dyDescent="0.2">
      <c r="E16186" s="18"/>
      <c r="F16186" s="18"/>
    </row>
    <row r="16187" spans="5:6" ht="15" customHeight="1" x14ac:dyDescent="0.2">
      <c r="E16187" s="18"/>
      <c r="F16187" s="18"/>
    </row>
    <row r="16188" spans="5:6" ht="15" customHeight="1" x14ac:dyDescent="0.2">
      <c r="E16188" s="18"/>
      <c r="F16188" s="18"/>
    </row>
    <row r="16189" spans="5:6" ht="15" customHeight="1" x14ac:dyDescent="0.2">
      <c r="E16189" s="18"/>
      <c r="F16189" s="18"/>
    </row>
    <row r="16190" spans="5:6" ht="15" customHeight="1" x14ac:dyDescent="0.2">
      <c r="E16190" s="18"/>
      <c r="F16190" s="18"/>
    </row>
    <row r="16191" spans="5:6" ht="15" customHeight="1" x14ac:dyDescent="0.2">
      <c r="E16191" s="18"/>
      <c r="F16191" s="18"/>
    </row>
    <row r="16192" spans="5:6" ht="15" customHeight="1" x14ac:dyDescent="0.2">
      <c r="E16192" s="18"/>
      <c r="F16192" s="18"/>
    </row>
    <row r="16193" spans="5:6" ht="15" customHeight="1" x14ac:dyDescent="0.2">
      <c r="E16193" s="18"/>
      <c r="F16193" s="18"/>
    </row>
    <row r="16194" spans="5:6" ht="15" customHeight="1" x14ac:dyDescent="0.2">
      <c r="E16194" s="18"/>
      <c r="F16194" s="18"/>
    </row>
    <row r="16195" spans="5:6" ht="15" customHeight="1" x14ac:dyDescent="0.2">
      <c r="E16195" s="18"/>
      <c r="F16195" s="18"/>
    </row>
    <row r="16196" spans="5:6" ht="15" customHeight="1" x14ac:dyDescent="0.2">
      <c r="E16196" s="18"/>
      <c r="F16196" s="18"/>
    </row>
    <row r="16197" spans="5:6" ht="15" customHeight="1" x14ac:dyDescent="0.2">
      <c r="E16197" s="18"/>
      <c r="F16197" s="18"/>
    </row>
    <row r="16198" spans="5:6" ht="15" customHeight="1" x14ac:dyDescent="0.2">
      <c r="E16198" s="18"/>
      <c r="F16198" s="18"/>
    </row>
    <row r="16199" spans="5:6" ht="15" customHeight="1" x14ac:dyDescent="0.2">
      <c r="E16199" s="18"/>
      <c r="F16199" s="18"/>
    </row>
    <row r="16200" spans="5:6" ht="15" customHeight="1" x14ac:dyDescent="0.2">
      <c r="E16200" s="18"/>
      <c r="F16200" s="18"/>
    </row>
    <row r="16201" spans="5:6" ht="15" customHeight="1" x14ac:dyDescent="0.2">
      <c r="E16201" s="18"/>
      <c r="F16201" s="18"/>
    </row>
    <row r="16202" spans="5:6" ht="15" customHeight="1" x14ac:dyDescent="0.2">
      <c r="E16202" s="18"/>
      <c r="F16202" s="18"/>
    </row>
    <row r="16203" spans="5:6" ht="15" customHeight="1" x14ac:dyDescent="0.2">
      <c r="E16203" s="18"/>
      <c r="F16203" s="18"/>
    </row>
    <row r="16204" spans="5:6" ht="15" customHeight="1" x14ac:dyDescent="0.2">
      <c r="E16204" s="18"/>
      <c r="F16204" s="18"/>
    </row>
    <row r="16205" spans="5:6" ht="15" customHeight="1" x14ac:dyDescent="0.2">
      <c r="E16205" s="18"/>
      <c r="F16205" s="18"/>
    </row>
    <row r="16206" spans="5:6" ht="15" customHeight="1" x14ac:dyDescent="0.2">
      <c r="E16206" s="18"/>
      <c r="F16206" s="18"/>
    </row>
    <row r="16207" spans="5:6" ht="15" customHeight="1" x14ac:dyDescent="0.2">
      <c r="E16207" s="18"/>
      <c r="F16207" s="18"/>
    </row>
    <row r="16208" spans="5:6" ht="15" customHeight="1" x14ac:dyDescent="0.2">
      <c r="E16208" s="18"/>
      <c r="F16208" s="18"/>
    </row>
    <row r="16209" spans="5:6" ht="15" customHeight="1" x14ac:dyDescent="0.2">
      <c r="E16209" s="18"/>
      <c r="F16209" s="18"/>
    </row>
    <row r="16210" spans="5:6" ht="15" customHeight="1" x14ac:dyDescent="0.2">
      <c r="E16210" s="18"/>
      <c r="F16210" s="18"/>
    </row>
    <row r="16211" spans="5:6" ht="15" customHeight="1" x14ac:dyDescent="0.2">
      <c r="E16211" s="18"/>
      <c r="F16211" s="18"/>
    </row>
    <row r="16212" spans="5:6" ht="15" customHeight="1" x14ac:dyDescent="0.2">
      <c r="E16212" s="18"/>
      <c r="F16212" s="18"/>
    </row>
    <row r="16213" spans="5:6" ht="15" customHeight="1" x14ac:dyDescent="0.2">
      <c r="E16213" s="18"/>
      <c r="F16213" s="18"/>
    </row>
    <row r="16214" spans="5:6" ht="15" customHeight="1" x14ac:dyDescent="0.2">
      <c r="E16214" s="18"/>
      <c r="F16214" s="18"/>
    </row>
    <row r="16215" spans="5:6" ht="15" customHeight="1" x14ac:dyDescent="0.2">
      <c r="E16215" s="18"/>
      <c r="F16215" s="18"/>
    </row>
    <row r="16216" spans="5:6" ht="15" customHeight="1" x14ac:dyDescent="0.2">
      <c r="E16216" s="18"/>
      <c r="F16216" s="18"/>
    </row>
    <row r="16217" spans="5:6" ht="15" customHeight="1" x14ac:dyDescent="0.2">
      <c r="E16217" s="18"/>
      <c r="F16217" s="18"/>
    </row>
    <row r="16218" spans="5:6" ht="15" customHeight="1" x14ac:dyDescent="0.2">
      <c r="E16218" s="18"/>
      <c r="F16218" s="18"/>
    </row>
    <row r="16219" spans="5:6" ht="15" customHeight="1" x14ac:dyDescent="0.2">
      <c r="E16219" s="18"/>
      <c r="F16219" s="18"/>
    </row>
    <row r="16220" spans="5:6" ht="15" customHeight="1" x14ac:dyDescent="0.2">
      <c r="E16220" s="18"/>
      <c r="F16220" s="18"/>
    </row>
    <row r="16221" spans="5:6" ht="15" customHeight="1" x14ac:dyDescent="0.2">
      <c r="E16221" s="18"/>
      <c r="F16221" s="18"/>
    </row>
    <row r="16222" spans="5:6" ht="15" customHeight="1" x14ac:dyDescent="0.2">
      <c r="E16222" s="18"/>
      <c r="F16222" s="18"/>
    </row>
    <row r="16223" spans="5:6" ht="15" customHeight="1" x14ac:dyDescent="0.2">
      <c r="E16223" s="18"/>
      <c r="F16223" s="18"/>
    </row>
    <row r="16224" spans="5:6" ht="15" customHeight="1" x14ac:dyDescent="0.2">
      <c r="E16224" s="18"/>
      <c r="F16224" s="18"/>
    </row>
    <row r="16225" spans="5:6" ht="15" customHeight="1" x14ac:dyDescent="0.2">
      <c r="E16225" s="18"/>
      <c r="F16225" s="18"/>
    </row>
    <row r="16226" spans="5:6" ht="15" customHeight="1" x14ac:dyDescent="0.2">
      <c r="E16226" s="18"/>
      <c r="F16226" s="18"/>
    </row>
    <row r="16227" spans="5:6" ht="15" customHeight="1" x14ac:dyDescent="0.2">
      <c r="E16227" s="18"/>
      <c r="F16227" s="18"/>
    </row>
    <row r="16228" spans="5:6" ht="15" customHeight="1" x14ac:dyDescent="0.2">
      <c r="E16228" s="18"/>
      <c r="F16228" s="18"/>
    </row>
    <row r="16229" spans="5:6" ht="15" customHeight="1" x14ac:dyDescent="0.2">
      <c r="E16229" s="18"/>
      <c r="F16229" s="18"/>
    </row>
    <row r="16230" spans="5:6" ht="15" customHeight="1" x14ac:dyDescent="0.2">
      <c r="E16230" s="18"/>
      <c r="F16230" s="18"/>
    </row>
    <row r="16231" spans="5:6" ht="15" customHeight="1" x14ac:dyDescent="0.2">
      <c r="E16231" s="18"/>
      <c r="F16231" s="18"/>
    </row>
    <row r="16232" spans="5:6" ht="15" customHeight="1" x14ac:dyDescent="0.2">
      <c r="E16232" s="18"/>
      <c r="F16232" s="18"/>
    </row>
    <row r="16233" spans="5:6" ht="15" customHeight="1" x14ac:dyDescent="0.2">
      <c r="E16233" s="18"/>
      <c r="F16233" s="18"/>
    </row>
    <row r="16234" spans="5:6" ht="15" customHeight="1" x14ac:dyDescent="0.2">
      <c r="E16234" s="18"/>
      <c r="F16234" s="18"/>
    </row>
    <row r="16235" spans="5:6" ht="15" customHeight="1" x14ac:dyDescent="0.2">
      <c r="E16235" s="18"/>
      <c r="F16235" s="18"/>
    </row>
    <row r="16236" spans="5:6" ht="15" customHeight="1" x14ac:dyDescent="0.2">
      <c r="E16236" s="18"/>
      <c r="F16236" s="18"/>
    </row>
    <row r="16237" spans="5:6" ht="15" customHeight="1" x14ac:dyDescent="0.2">
      <c r="E16237" s="18"/>
      <c r="F16237" s="18"/>
    </row>
    <row r="16238" spans="5:6" ht="15" customHeight="1" x14ac:dyDescent="0.2">
      <c r="E16238" s="18"/>
      <c r="F16238" s="18"/>
    </row>
    <row r="16239" spans="5:6" ht="15" customHeight="1" x14ac:dyDescent="0.2">
      <c r="E16239" s="18"/>
      <c r="F16239" s="18"/>
    </row>
    <row r="16240" spans="5:6" ht="15" customHeight="1" x14ac:dyDescent="0.2">
      <c r="E16240" s="18"/>
      <c r="F16240" s="18"/>
    </row>
    <row r="16241" spans="5:6" ht="15" customHeight="1" x14ac:dyDescent="0.2">
      <c r="E16241" s="18"/>
      <c r="F16241" s="18"/>
    </row>
    <row r="16242" spans="5:6" ht="15" customHeight="1" x14ac:dyDescent="0.2">
      <c r="E16242" s="18"/>
      <c r="F16242" s="18"/>
    </row>
    <row r="16243" spans="5:6" ht="15" customHeight="1" x14ac:dyDescent="0.2">
      <c r="E16243" s="18"/>
      <c r="F16243" s="18"/>
    </row>
    <row r="16244" spans="5:6" ht="15" customHeight="1" x14ac:dyDescent="0.2">
      <c r="E16244" s="18"/>
      <c r="F16244" s="18"/>
    </row>
    <row r="16245" spans="5:6" ht="15" customHeight="1" x14ac:dyDescent="0.2">
      <c r="E16245" s="18"/>
      <c r="F16245" s="18"/>
    </row>
    <row r="16246" spans="5:6" ht="15" customHeight="1" x14ac:dyDescent="0.2">
      <c r="E16246" s="18"/>
      <c r="F16246" s="18"/>
    </row>
    <row r="16247" spans="5:6" ht="15" customHeight="1" x14ac:dyDescent="0.2">
      <c r="E16247" s="18"/>
      <c r="F16247" s="18"/>
    </row>
    <row r="16248" spans="5:6" ht="15" customHeight="1" x14ac:dyDescent="0.2">
      <c r="E16248" s="18"/>
      <c r="F16248" s="18"/>
    </row>
    <row r="16249" spans="5:6" ht="15" customHeight="1" x14ac:dyDescent="0.2">
      <c r="E16249" s="18"/>
      <c r="F16249" s="18"/>
    </row>
    <row r="16250" spans="5:6" ht="15" customHeight="1" x14ac:dyDescent="0.2">
      <c r="E16250" s="18"/>
      <c r="F16250" s="18"/>
    </row>
    <row r="16251" spans="5:6" ht="15" customHeight="1" x14ac:dyDescent="0.2">
      <c r="E16251" s="18"/>
      <c r="F16251" s="18"/>
    </row>
    <row r="16252" spans="5:6" ht="15" customHeight="1" x14ac:dyDescent="0.2">
      <c r="E16252" s="18"/>
      <c r="F16252" s="18"/>
    </row>
    <row r="16253" spans="5:6" ht="15" customHeight="1" x14ac:dyDescent="0.2">
      <c r="E16253" s="18"/>
      <c r="F16253" s="18"/>
    </row>
    <row r="16254" spans="5:6" ht="15" customHeight="1" x14ac:dyDescent="0.2">
      <c r="E16254" s="18"/>
      <c r="F16254" s="18"/>
    </row>
    <row r="16255" spans="5:6" ht="15" customHeight="1" x14ac:dyDescent="0.2">
      <c r="E16255" s="18"/>
      <c r="F16255" s="18"/>
    </row>
    <row r="16256" spans="5:6" ht="15" customHeight="1" x14ac:dyDescent="0.2">
      <c r="E16256" s="18"/>
      <c r="F16256" s="18"/>
    </row>
    <row r="16257" spans="5:6" ht="15" customHeight="1" x14ac:dyDescent="0.2">
      <c r="E16257" s="18"/>
      <c r="F16257" s="18"/>
    </row>
    <row r="16258" spans="5:6" ht="15" customHeight="1" x14ac:dyDescent="0.2">
      <c r="E16258" s="18"/>
      <c r="F16258" s="18"/>
    </row>
    <row r="16259" spans="5:6" ht="15" customHeight="1" x14ac:dyDescent="0.2">
      <c r="E16259" s="18"/>
      <c r="F16259" s="18"/>
    </row>
    <row r="16260" spans="5:6" ht="15" customHeight="1" x14ac:dyDescent="0.2">
      <c r="E16260" s="18"/>
      <c r="F16260" s="18"/>
    </row>
    <row r="16261" spans="5:6" ht="15" customHeight="1" x14ac:dyDescent="0.2">
      <c r="E16261" s="18"/>
      <c r="F16261" s="18"/>
    </row>
    <row r="16262" spans="5:6" ht="15" customHeight="1" x14ac:dyDescent="0.2">
      <c r="E16262" s="18"/>
      <c r="F16262" s="18"/>
    </row>
    <row r="16263" spans="5:6" ht="15" customHeight="1" x14ac:dyDescent="0.2">
      <c r="E16263" s="18"/>
      <c r="F16263" s="18"/>
    </row>
    <row r="16264" spans="5:6" ht="15" customHeight="1" x14ac:dyDescent="0.2">
      <c r="E16264" s="18"/>
      <c r="F16264" s="18"/>
    </row>
    <row r="16265" spans="5:6" ht="15" customHeight="1" x14ac:dyDescent="0.2">
      <c r="E16265" s="18"/>
      <c r="F16265" s="18"/>
    </row>
    <row r="16266" spans="5:6" ht="15" customHeight="1" x14ac:dyDescent="0.2">
      <c r="E16266" s="18"/>
      <c r="F16266" s="18"/>
    </row>
    <row r="16267" spans="5:6" ht="15" customHeight="1" x14ac:dyDescent="0.2">
      <c r="E16267" s="18"/>
      <c r="F16267" s="18"/>
    </row>
    <row r="16268" spans="5:6" ht="15" customHeight="1" x14ac:dyDescent="0.2">
      <c r="E16268" s="18"/>
      <c r="F16268" s="18"/>
    </row>
    <row r="16269" spans="5:6" ht="15" customHeight="1" x14ac:dyDescent="0.2">
      <c r="E16269" s="18"/>
      <c r="F16269" s="18"/>
    </row>
    <row r="16270" spans="5:6" ht="15" customHeight="1" x14ac:dyDescent="0.2">
      <c r="E16270" s="18"/>
      <c r="F16270" s="18"/>
    </row>
    <row r="16271" spans="5:6" ht="15" customHeight="1" x14ac:dyDescent="0.2">
      <c r="E16271" s="18"/>
      <c r="F16271" s="18"/>
    </row>
    <row r="16272" spans="5:6" ht="15" customHeight="1" x14ac:dyDescent="0.2">
      <c r="E16272" s="18"/>
      <c r="F16272" s="18"/>
    </row>
    <row r="16273" spans="5:6" ht="15" customHeight="1" x14ac:dyDescent="0.2">
      <c r="E16273" s="18"/>
      <c r="F16273" s="18"/>
    </row>
    <row r="16274" spans="5:6" ht="15" customHeight="1" x14ac:dyDescent="0.2">
      <c r="E16274" s="18"/>
      <c r="F16274" s="18"/>
    </row>
    <row r="16275" spans="5:6" ht="15" customHeight="1" x14ac:dyDescent="0.2">
      <c r="E16275" s="18"/>
      <c r="F16275" s="18"/>
    </row>
    <row r="16276" spans="5:6" ht="15" customHeight="1" x14ac:dyDescent="0.2">
      <c r="E16276" s="18"/>
      <c r="F16276" s="18"/>
    </row>
    <row r="16277" spans="5:6" ht="15" customHeight="1" x14ac:dyDescent="0.2">
      <c r="E16277" s="18"/>
      <c r="F16277" s="18"/>
    </row>
    <row r="16278" spans="5:6" ht="15" customHeight="1" x14ac:dyDescent="0.2">
      <c r="E16278" s="18"/>
      <c r="F16278" s="18"/>
    </row>
    <row r="16279" spans="5:6" ht="15" customHeight="1" x14ac:dyDescent="0.2">
      <c r="E16279" s="18"/>
      <c r="F16279" s="18"/>
    </row>
    <row r="16280" spans="5:6" ht="15" customHeight="1" x14ac:dyDescent="0.2">
      <c r="E16280" s="18"/>
      <c r="F16280" s="18"/>
    </row>
    <row r="16281" spans="5:6" ht="15" customHeight="1" x14ac:dyDescent="0.2">
      <c r="E16281" s="18"/>
      <c r="F16281" s="18"/>
    </row>
    <row r="16282" spans="5:6" ht="15" customHeight="1" x14ac:dyDescent="0.2">
      <c r="E16282" s="18"/>
      <c r="F16282" s="18"/>
    </row>
    <row r="16283" spans="5:6" ht="15" customHeight="1" x14ac:dyDescent="0.2">
      <c r="E16283" s="18"/>
      <c r="F16283" s="18"/>
    </row>
    <row r="16284" spans="5:6" ht="15" customHeight="1" x14ac:dyDescent="0.2">
      <c r="E16284" s="18"/>
      <c r="F16284" s="18"/>
    </row>
    <row r="16285" spans="5:6" ht="15" customHeight="1" x14ac:dyDescent="0.2">
      <c r="E16285" s="18"/>
      <c r="F16285" s="18"/>
    </row>
    <row r="16286" spans="5:6" ht="15" customHeight="1" x14ac:dyDescent="0.2">
      <c r="E16286" s="18"/>
      <c r="F16286" s="18"/>
    </row>
    <row r="16287" spans="5:6" ht="15" customHeight="1" x14ac:dyDescent="0.2">
      <c r="E16287" s="18"/>
      <c r="F16287" s="18"/>
    </row>
    <row r="16288" spans="5:6" ht="15" customHeight="1" x14ac:dyDescent="0.2">
      <c r="E16288" s="18"/>
      <c r="F16288" s="18"/>
    </row>
    <row r="16289" spans="5:6" ht="15" customHeight="1" x14ac:dyDescent="0.2">
      <c r="E16289" s="18"/>
      <c r="F16289" s="18"/>
    </row>
    <row r="16290" spans="5:6" ht="15" customHeight="1" x14ac:dyDescent="0.2">
      <c r="E16290" s="18"/>
      <c r="F16290" s="18"/>
    </row>
    <row r="16291" spans="5:6" ht="15" customHeight="1" x14ac:dyDescent="0.2">
      <c r="E16291" s="18"/>
      <c r="F16291" s="18"/>
    </row>
    <row r="16292" spans="5:6" ht="15" customHeight="1" x14ac:dyDescent="0.2">
      <c r="E16292" s="18"/>
      <c r="F16292" s="18"/>
    </row>
    <row r="16293" spans="5:6" ht="15" customHeight="1" x14ac:dyDescent="0.2">
      <c r="E16293" s="18"/>
      <c r="F16293" s="18"/>
    </row>
    <row r="16294" spans="5:6" ht="15" customHeight="1" x14ac:dyDescent="0.2">
      <c r="E16294" s="18"/>
      <c r="F16294" s="18"/>
    </row>
    <row r="16295" spans="5:6" ht="15" customHeight="1" x14ac:dyDescent="0.2">
      <c r="E16295" s="18"/>
      <c r="F16295" s="18"/>
    </row>
    <row r="16296" spans="5:6" ht="15" customHeight="1" x14ac:dyDescent="0.2">
      <c r="E16296" s="18"/>
      <c r="F16296" s="18"/>
    </row>
    <row r="16297" spans="5:6" ht="15" customHeight="1" x14ac:dyDescent="0.2">
      <c r="E16297" s="18"/>
      <c r="F16297" s="18"/>
    </row>
    <row r="16298" spans="5:6" ht="15" customHeight="1" x14ac:dyDescent="0.2">
      <c r="E16298" s="18"/>
      <c r="F16298" s="18"/>
    </row>
    <row r="16299" spans="5:6" ht="15" customHeight="1" x14ac:dyDescent="0.2">
      <c r="E16299" s="18"/>
      <c r="F16299" s="18"/>
    </row>
    <row r="16300" spans="5:6" ht="15" customHeight="1" x14ac:dyDescent="0.2">
      <c r="E16300" s="18"/>
      <c r="F16300" s="18"/>
    </row>
    <row r="16301" spans="5:6" ht="15" customHeight="1" x14ac:dyDescent="0.2">
      <c r="E16301" s="18"/>
      <c r="F16301" s="18"/>
    </row>
    <row r="16302" spans="5:6" ht="15" customHeight="1" x14ac:dyDescent="0.2">
      <c r="E16302" s="18"/>
      <c r="F16302" s="18"/>
    </row>
    <row r="16303" spans="5:6" ht="15" customHeight="1" x14ac:dyDescent="0.2">
      <c r="E16303" s="18"/>
      <c r="F16303" s="18"/>
    </row>
    <row r="16304" spans="5:6" ht="15" customHeight="1" x14ac:dyDescent="0.2">
      <c r="E16304" s="18"/>
      <c r="F16304" s="18"/>
    </row>
    <row r="16305" spans="5:6" ht="15" customHeight="1" x14ac:dyDescent="0.2">
      <c r="E16305" s="18"/>
      <c r="F16305" s="18"/>
    </row>
    <row r="16306" spans="5:6" ht="15" customHeight="1" x14ac:dyDescent="0.2">
      <c r="E16306" s="18"/>
      <c r="F16306" s="18"/>
    </row>
    <row r="16307" spans="5:6" ht="15" customHeight="1" x14ac:dyDescent="0.2">
      <c r="E16307" s="18"/>
      <c r="F16307" s="18"/>
    </row>
    <row r="16308" spans="5:6" ht="15" customHeight="1" x14ac:dyDescent="0.2">
      <c r="E16308" s="18"/>
      <c r="F16308" s="18"/>
    </row>
    <row r="16309" spans="5:6" ht="15" customHeight="1" x14ac:dyDescent="0.2">
      <c r="E16309" s="18"/>
      <c r="F16309" s="18"/>
    </row>
    <row r="16310" spans="5:6" ht="15" customHeight="1" x14ac:dyDescent="0.2">
      <c r="E16310" s="18"/>
      <c r="F16310" s="18"/>
    </row>
    <row r="16311" spans="5:6" ht="15" customHeight="1" x14ac:dyDescent="0.2">
      <c r="E16311" s="18"/>
      <c r="F16311" s="18"/>
    </row>
    <row r="16312" spans="5:6" ht="15" customHeight="1" x14ac:dyDescent="0.2">
      <c r="E16312" s="18"/>
      <c r="F16312" s="18"/>
    </row>
    <row r="16313" spans="5:6" ht="15" customHeight="1" x14ac:dyDescent="0.2">
      <c r="E16313" s="18"/>
      <c r="F16313" s="18"/>
    </row>
    <row r="16314" spans="5:6" ht="15" customHeight="1" x14ac:dyDescent="0.2">
      <c r="E16314" s="18"/>
      <c r="F16314" s="18"/>
    </row>
    <row r="16315" spans="5:6" ht="15" customHeight="1" x14ac:dyDescent="0.2">
      <c r="E16315" s="18"/>
      <c r="F16315" s="18"/>
    </row>
    <row r="16316" spans="5:6" ht="15" customHeight="1" x14ac:dyDescent="0.2">
      <c r="E16316" s="18"/>
      <c r="F16316" s="18"/>
    </row>
    <row r="16317" spans="5:6" ht="15" customHeight="1" x14ac:dyDescent="0.2">
      <c r="E16317" s="18"/>
      <c r="F16317" s="18"/>
    </row>
    <row r="16318" spans="5:6" ht="15" customHeight="1" x14ac:dyDescent="0.2">
      <c r="E16318" s="18"/>
      <c r="F16318" s="18"/>
    </row>
    <row r="16319" spans="5:6" ht="15" customHeight="1" x14ac:dyDescent="0.2">
      <c r="E16319" s="18"/>
      <c r="F16319" s="18"/>
    </row>
    <row r="16320" spans="5:6" ht="15" customHeight="1" x14ac:dyDescent="0.2">
      <c r="E16320" s="18"/>
      <c r="F16320" s="18"/>
    </row>
    <row r="16321" spans="5:6" ht="15" customHeight="1" x14ac:dyDescent="0.2">
      <c r="E16321" s="18"/>
      <c r="F16321" s="18"/>
    </row>
    <row r="16322" spans="5:6" ht="15" customHeight="1" x14ac:dyDescent="0.2">
      <c r="E16322" s="18"/>
      <c r="F16322" s="18"/>
    </row>
    <row r="16323" spans="5:6" ht="15" customHeight="1" x14ac:dyDescent="0.2">
      <c r="E16323" s="18"/>
      <c r="F16323" s="18"/>
    </row>
    <row r="16324" spans="5:6" ht="15" customHeight="1" x14ac:dyDescent="0.2">
      <c r="E16324" s="18"/>
      <c r="F16324" s="18"/>
    </row>
    <row r="16325" spans="5:6" ht="15" customHeight="1" x14ac:dyDescent="0.2">
      <c r="E16325" s="18"/>
      <c r="F16325" s="18"/>
    </row>
    <row r="16326" spans="5:6" ht="15" customHeight="1" x14ac:dyDescent="0.2">
      <c r="E16326" s="18"/>
      <c r="F16326" s="18"/>
    </row>
    <row r="16327" spans="5:6" ht="15" customHeight="1" x14ac:dyDescent="0.2">
      <c r="E16327" s="18"/>
      <c r="F16327" s="18"/>
    </row>
    <row r="16328" spans="5:6" ht="15" customHeight="1" x14ac:dyDescent="0.2">
      <c r="E16328" s="18"/>
      <c r="F16328" s="18"/>
    </row>
    <row r="16329" spans="5:6" ht="15" customHeight="1" x14ac:dyDescent="0.2">
      <c r="E16329" s="18"/>
      <c r="F16329" s="18"/>
    </row>
    <row r="16330" spans="5:6" ht="15" customHeight="1" x14ac:dyDescent="0.2">
      <c r="E16330" s="18"/>
      <c r="F16330" s="18"/>
    </row>
    <row r="16331" spans="5:6" ht="15" customHeight="1" x14ac:dyDescent="0.2">
      <c r="E16331" s="18"/>
      <c r="F16331" s="18"/>
    </row>
    <row r="16332" spans="5:6" ht="15" customHeight="1" x14ac:dyDescent="0.2">
      <c r="E16332" s="18"/>
      <c r="F16332" s="18"/>
    </row>
    <row r="16333" spans="5:6" ht="15" customHeight="1" x14ac:dyDescent="0.2">
      <c r="E16333" s="18"/>
      <c r="F16333" s="18"/>
    </row>
    <row r="16334" spans="5:6" ht="15" customHeight="1" x14ac:dyDescent="0.2">
      <c r="E16334" s="18"/>
      <c r="F16334" s="18"/>
    </row>
    <row r="16335" spans="5:6" ht="15" customHeight="1" x14ac:dyDescent="0.2">
      <c r="E16335" s="18"/>
      <c r="F16335" s="18"/>
    </row>
    <row r="16336" spans="5:6" ht="15" customHeight="1" x14ac:dyDescent="0.2">
      <c r="E16336" s="18"/>
      <c r="F16336" s="18"/>
    </row>
    <row r="16337" spans="5:6" ht="15" customHeight="1" x14ac:dyDescent="0.2">
      <c r="E16337" s="18"/>
      <c r="F16337" s="18"/>
    </row>
    <row r="16338" spans="5:6" ht="15" customHeight="1" x14ac:dyDescent="0.2">
      <c r="E16338" s="18"/>
      <c r="F16338" s="18"/>
    </row>
    <row r="16339" spans="5:6" ht="15" customHeight="1" x14ac:dyDescent="0.2">
      <c r="E16339" s="18"/>
      <c r="F16339" s="18"/>
    </row>
    <row r="16340" spans="5:6" ht="15" customHeight="1" x14ac:dyDescent="0.2">
      <c r="E16340" s="18"/>
      <c r="F16340" s="18"/>
    </row>
    <row r="16341" spans="5:6" ht="15" customHeight="1" x14ac:dyDescent="0.2">
      <c r="E16341" s="18"/>
      <c r="F16341" s="18"/>
    </row>
    <row r="16342" spans="5:6" ht="15" customHeight="1" x14ac:dyDescent="0.2">
      <c r="E16342" s="18"/>
      <c r="F16342" s="18"/>
    </row>
    <row r="16343" spans="5:6" ht="15" customHeight="1" x14ac:dyDescent="0.2">
      <c r="E16343" s="18"/>
      <c r="F16343" s="18"/>
    </row>
    <row r="16344" spans="5:6" ht="15" customHeight="1" x14ac:dyDescent="0.2">
      <c r="E16344" s="18"/>
      <c r="F16344" s="18"/>
    </row>
    <row r="16345" spans="5:6" ht="15" customHeight="1" x14ac:dyDescent="0.2">
      <c r="E16345" s="18"/>
      <c r="F16345" s="18"/>
    </row>
    <row r="16346" spans="5:6" ht="15" customHeight="1" x14ac:dyDescent="0.2">
      <c r="E16346" s="18"/>
      <c r="F16346" s="18"/>
    </row>
    <row r="16347" spans="5:6" ht="15" customHeight="1" x14ac:dyDescent="0.2">
      <c r="E16347" s="18"/>
      <c r="F16347" s="18"/>
    </row>
    <row r="16348" spans="5:6" ht="15" customHeight="1" x14ac:dyDescent="0.2">
      <c r="E16348" s="18"/>
      <c r="F16348" s="18"/>
    </row>
    <row r="16349" spans="5:6" ht="15" customHeight="1" x14ac:dyDescent="0.2">
      <c r="E16349" s="18"/>
      <c r="F16349" s="18"/>
    </row>
    <row r="16350" spans="5:6" ht="15" customHeight="1" x14ac:dyDescent="0.2">
      <c r="E16350" s="18"/>
      <c r="F16350" s="18"/>
    </row>
    <row r="16351" spans="5:6" ht="15" customHeight="1" x14ac:dyDescent="0.2">
      <c r="E16351" s="18"/>
      <c r="F16351" s="18"/>
    </row>
    <row r="16352" spans="5:6" ht="15" customHeight="1" x14ac:dyDescent="0.2">
      <c r="E16352" s="18"/>
      <c r="F16352" s="18"/>
    </row>
    <row r="16353" spans="5:6" ht="15" customHeight="1" x14ac:dyDescent="0.2">
      <c r="E16353" s="18"/>
      <c r="F16353" s="18"/>
    </row>
    <row r="16354" spans="5:6" ht="15" customHeight="1" x14ac:dyDescent="0.2">
      <c r="E16354" s="18"/>
      <c r="F16354" s="18"/>
    </row>
    <row r="16355" spans="5:6" ht="15" customHeight="1" x14ac:dyDescent="0.2">
      <c r="E16355" s="18"/>
      <c r="F16355" s="18"/>
    </row>
    <row r="16356" spans="5:6" ht="15" customHeight="1" x14ac:dyDescent="0.2">
      <c r="E16356" s="18"/>
      <c r="F16356" s="18"/>
    </row>
    <row r="16357" spans="5:6" ht="15" customHeight="1" x14ac:dyDescent="0.2">
      <c r="E16357" s="18"/>
      <c r="F16357" s="18"/>
    </row>
    <row r="16358" spans="5:6" ht="15" customHeight="1" x14ac:dyDescent="0.2">
      <c r="E16358" s="18"/>
      <c r="F16358" s="18"/>
    </row>
    <row r="16359" spans="5:6" ht="15" customHeight="1" x14ac:dyDescent="0.2">
      <c r="E16359" s="18"/>
      <c r="F16359" s="18"/>
    </row>
    <row r="16360" spans="5:6" ht="15" customHeight="1" x14ac:dyDescent="0.2">
      <c r="E16360" s="18"/>
      <c r="F16360" s="18"/>
    </row>
    <row r="16361" spans="5:6" ht="15" customHeight="1" x14ac:dyDescent="0.2">
      <c r="E16361" s="18"/>
      <c r="F16361" s="18"/>
    </row>
    <row r="16362" spans="5:6" ht="15" customHeight="1" x14ac:dyDescent="0.2">
      <c r="E16362" s="18"/>
      <c r="F16362" s="18"/>
    </row>
    <row r="16363" spans="5:6" ht="15" customHeight="1" x14ac:dyDescent="0.2">
      <c r="E16363" s="18"/>
      <c r="F16363" s="18"/>
    </row>
    <row r="16364" spans="5:6" ht="15" customHeight="1" x14ac:dyDescent="0.2">
      <c r="E16364" s="18"/>
      <c r="F16364" s="18"/>
    </row>
    <row r="16365" spans="5:6" ht="15" customHeight="1" x14ac:dyDescent="0.2">
      <c r="E16365" s="18"/>
      <c r="F16365" s="18"/>
    </row>
    <row r="16366" spans="5:6" ht="15" customHeight="1" x14ac:dyDescent="0.2">
      <c r="E16366" s="18"/>
      <c r="F16366" s="18"/>
    </row>
    <row r="16367" spans="5:6" ht="15" customHeight="1" x14ac:dyDescent="0.2">
      <c r="E16367" s="18"/>
      <c r="F16367" s="18"/>
    </row>
    <row r="16368" spans="5:6" ht="15" customHeight="1" x14ac:dyDescent="0.2">
      <c r="E16368" s="18"/>
      <c r="F16368" s="18"/>
    </row>
    <row r="16369" spans="5:6" ht="15" customHeight="1" x14ac:dyDescent="0.2">
      <c r="E16369" s="18"/>
      <c r="F16369" s="18"/>
    </row>
    <row r="16370" spans="5:6" ht="15" customHeight="1" x14ac:dyDescent="0.2">
      <c r="E16370" s="18"/>
      <c r="F16370" s="18"/>
    </row>
    <row r="16371" spans="5:6" ht="15" customHeight="1" x14ac:dyDescent="0.2">
      <c r="E16371" s="18"/>
      <c r="F16371" s="18"/>
    </row>
    <row r="16372" spans="5:6" ht="15" customHeight="1" x14ac:dyDescent="0.2">
      <c r="E16372" s="18"/>
      <c r="F16372" s="18"/>
    </row>
    <row r="16373" spans="5:6" ht="15" customHeight="1" x14ac:dyDescent="0.2">
      <c r="E16373" s="18"/>
      <c r="F16373" s="18"/>
    </row>
    <row r="16374" spans="5:6" ht="15" customHeight="1" x14ac:dyDescent="0.2">
      <c r="E16374" s="18"/>
      <c r="F16374" s="18"/>
    </row>
    <row r="16375" spans="5:6" ht="15" customHeight="1" x14ac:dyDescent="0.2">
      <c r="E16375" s="18"/>
      <c r="F16375" s="18"/>
    </row>
    <row r="16376" spans="5:6" ht="15" customHeight="1" x14ac:dyDescent="0.2">
      <c r="E16376" s="18"/>
      <c r="F16376" s="18"/>
    </row>
    <row r="16377" spans="5:6" ht="15" customHeight="1" x14ac:dyDescent="0.2">
      <c r="E16377" s="18"/>
      <c r="F16377" s="18"/>
    </row>
    <row r="16378" spans="5:6" ht="15" customHeight="1" x14ac:dyDescent="0.2">
      <c r="E16378" s="18"/>
      <c r="F16378" s="18"/>
    </row>
    <row r="16379" spans="5:6" ht="15" customHeight="1" x14ac:dyDescent="0.2">
      <c r="E16379" s="18"/>
      <c r="F16379" s="18"/>
    </row>
    <row r="16380" spans="5:6" ht="15" customHeight="1" x14ac:dyDescent="0.2">
      <c r="E16380" s="18"/>
      <c r="F16380" s="18"/>
    </row>
    <row r="16381" spans="5:6" ht="15" customHeight="1" x14ac:dyDescent="0.2">
      <c r="E16381" s="18"/>
      <c r="F16381" s="18"/>
    </row>
    <row r="16382" spans="5:6" ht="15" customHeight="1" x14ac:dyDescent="0.2">
      <c r="E16382" s="18"/>
      <c r="F16382" s="18"/>
    </row>
    <row r="16383" spans="5:6" ht="15" customHeight="1" x14ac:dyDescent="0.2">
      <c r="E16383" s="18"/>
      <c r="F16383" s="18"/>
    </row>
    <row r="16384" spans="5:6" ht="15" customHeight="1" x14ac:dyDescent="0.2">
      <c r="E16384" s="18"/>
      <c r="F16384" s="18"/>
    </row>
    <row r="16385" spans="5:6" ht="15" customHeight="1" x14ac:dyDescent="0.2">
      <c r="E16385" s="18"/>
      <c r="F16385" s="18"/>
    </row>
    <row r="16386" spans="5:6" ht="15" customHeight="1" x14ac:dyDescent="0.2">
      <c r="E16386" s="18"/>
      <c r="F16386" s="18"/>
    </row>
    <row r="16387" spans="5:6" ht="15" customHeight="1" x14ac:dyDescent="0.2">
      <c r="E16387" s="18"/>
      <c r="F16387" s="18"/>
    </row>
    <row r="16388" spans="5:6" ht="15" customHeight="1" x14ac:dyDescent="0.2">
      <c r="E16388" s="18"/>
      <c r="F16388" s="18"/>
    </row>
    <row r="16389" spans="5:6" ht="15" customHeight="1" x14ac:dyDescent="0.2">
      <c r="E16389" s="18"/>
      <c r="F16389" s="18"/>
    </row>
    <row r="16390" spans="5:6" ht="15" customHeight="1" x14ac:dyDescent="0.2">
      <c r="E16390" s="18"/>
      <c r="F16390" s="18"/>
    </row>
    <row r="16391" spans="5:6" ht="15" customHeight="1" x14ac:dyDescent="0.2">
      <c r="E16391" s="18"/>
      <c r="F16391" s="18"/>
    </row>
    <row r="16392" spans="5:6" ht="15" customHeight="1" x14ac:dyDescent="0.2">
      <c r="E16392" s="18"/>
      <c r="F16392" s="18"/>
    </row>
    <row r="16393" spans="5:6" ht="15" customHeight="1" x14ac:dyDescent="0.2">
      <c r="E16393" s="18"/>
      <c r="F16393" s="18"/>
    </row>
    <row r="16394" spans="5:6" ht="15" customHeight="1" x14ac:dyDescent="0.2">
      <c r="E16394" s="18"/>
      <c r="F16394" s="18"/>
    </row>
    <row r="16395" spans="5:6" ht="15" customHeight="1" x14ac:dyDescent="0.2">
      <c r="E16395" s="18"/>
      <c r="F16395" s="18"/>
    </row>
    <row r="16396" spans="5:6" ht="15" customHeight="1" x14ac:dyDescent="0.2">
      <c r="E16396" s="18"/>
      <c r="F16396" s="18"/>
    </row>
    <row r="16397" spans="5:6" ht="15" customHeight="1" x14ac:dyDescent="0.2">
      <c r="E16397" s="18"/>
      <c r="F16397" s="18"/>
    </row>
    <row r="16398" spans="5:6" ht="15" customHeight="1" x14ac:dyDescent="0.2">
      <c r="E16398" s="18"/>
      <c r="F16398" s="18"/>
    </row>
    <row r="16399" spans="5:6" ht="15" customHeight="1" x14ac:dyDescent="0.2">
      <c r="E16399" s="18"/>
      <c r="F16399" s="18"/>
    </row>
    <row r="16400" spans="5:6" ht="15" customHeight="1" x14ac:dyDescent="0.2">
      <c r="E16400" s="18"/>
      <c r="F16400" s="18"/>
    </row>
    <row r="16401" spans="5:6" ht="15" customHeight="1" x14ac:dyDescent="0.2">
      <c r="E16401" s="18"/>
      <c r="F16401" s="18"/>
    </row>
    <row r="16402" spans="5:6" ht="15" customHeight="1" x14ac:dyDescent="0.2">
      <c r="E16402" s="18"/>
      <c r="F16402" s="18"/>
    </row>
    <row r="16403" spans="5:6" ht="15" customHeight="1" x14ac:dyDescent="0.2">
      <c r="E16403" s="18"/>
      <c r="F16403" s="18"/>
    </row>
    <row r="16404" spans="5:6" ht="15" customHeight="1" x14ac:dyDescent="0.2">
      <c r="E16404" s="18"/>
      <c r="F16404" s="18"/>
    </row>
    <row r="16405" spans="5:6" ht="15" customHeight="1" x14ac:dyDescent="0.2">
      <c r="E16405" s="18"/>
      <c r="F16405" s="18"/>
    </row>
    <row r="16406" spans="5:6" ht="15" customHeight="1" x14ac:dyDescent="0.2">
      <c r="E16406" s="18"/>
      <c r="F16406" s="18"/>
    </row>
    <row r="16407" spans="5:6" ht="15" customHeight="1" x14ac:dyDescent="0.2">
      <c r="E16407" s="18"/>
      <c r="F16407" s="18"/>
    </row>
    <row r="16408" spans="5:6" ht="15" customHeight="1" x14ac:dyDescent="0.2">
      <c r="E16408" s="18"/>
      <c r="F16408" s="18"/>
    </row>
    <row r="16409" spans="5:6" ht="15" customHeight="1" x14ac:dyDescent="0.2">
      <c r="E16409" s="18"/>
      <c r="F16409" s="18"/>
    </row>
    <row r="16410" spans="5:6" ht="15" customHeight="1" x14ac:dyDescent="0.2">
      <c r="E16410" s="18"/>
      <c r="F16410" s="18"/>
    </row>
    <row r="16411" spans="5:6" ht="15" customHeight="1" x14ac:dyDescent="0.2">
      <c r="E16411" s="18"/>
      <c r="F16411" s="18"/>
    </row>
    <row r="16412" spans="5:6" ht="15" customHeight="1" x14ac:dyDescent="0.2">
      <c r="E16412" s="18"/>
      <c r="F16412" s="18"/>
    </row>
    <row r="16413" spans="5:6" ht="15" customHeight="1" x14ac:dyDescent="0.2">
      <c r="E16413" s="18"/>
      <c r="F16413" s="18"/>
    </row>
    <row r="16414" spans="5:6" ht="15" customHeight="1" x14ac:dyDescent="0.2">
      <c r="E16414" s="18"/>
      <c r="F16414" s="18"/>
    </row>
    <row r="16415" spans="5:6" ht="15" customHeight="1" x14ac:dyDescent="0.2">
      <c r="E16415" s="18"/>
      <c r="F16415" s="18"/>
    </row>
    <row r="16416" spans="5:6" ht="15" customHeight="1" x14ac:dyDescent="0.2">
      <c r="E16416" s="18"/>
      <c r="F16416" s="18"/>
    </row>
    <row r="16417" spans="5:6" ht="15" customHeight="1" x14ac:dyDescent="0.2">
      <c r="E16417" s="18"/>
      <c r="F16417" s="18"/>
    </row>
    <row r="16418" spans="5:6" ht="15" customHeight="1" x14ac:dyDescent="0.2">
      <c r="E16418" s="18"/>
      <c r="F16418" s="18"/>
    </row>
    <row r="16419" spans="5:6" ht="15" customHeight="1" x14ac:dyDescent="0.2">
      <c r="E16419" s="18"/>
      <c r="F16419" s="18"/>
    </row>
    <row r="16420" spans="5:6" ht="15" customHeight="1" x14ac:dyDescent="0.2">
      <c r="E16420" s="18"/>
      <c r="F16420" s="18"/>
    </row>
    <row r="16421" spans="5:6" ht="15" customHeight="1" x14ac:dyDescent="0.2">
      <c r="E16421" s="18"/>
      <c r="F16421" s="18"/>
    </row>
    <row r="16422" spans="5:6" ht="15" customHeight="1" x14ac:dyDescent="0.2">
      <c r="E16422" s="18"/>
      <c r="F16422" s="18"/>
    </row>
    <row r="16423" spans="5:6" ht="15" customHeight="1" x14ac:dyDescent="0.2">
      <c r="E16423" s="18"/>
      <c r="F16423" s="18"/>
    </row>
    <row r="16424" spans="5:6" ht="15" customHeight="1" x14ac:dyDescent="0.2">
      <c r="E16424" s="18"/>
      <c r="F16424" s="18"/>
    </row>
    <row r="16425" spans="5:6" ht="15" customHeight="1" x14ac:dyDescent="0.2">
      <c r="E16425" s="18"/>
      <c r="F16425" s="18"/>
    </row>
    <row r="16426" spans="5:6" ht="15" customHeight="1" x14ac:dyDescent="0.2">
      <c r="E16426" s="18"/>
      <c r="F16426" s="18"/>
    </row>
    <row r="16427" spans="5:6" ht="15" customHeight="1" x14ac:dyDescent="0.2">
      <c r="E16427" s="18"/>
      <c r="F16427" s="18"/>
    </row>
    <row r="16428" spans="5:6" ht="15" customHeight="1" x14ac:dyDescent="0.2">
      <c r="E16428" s="18"/>
      <c r="F16428" s="18"/>
    </row>
    <row r="16429" spans="5:6" ht="15" customHeight="1" x14ac:dyDescent="0.2">
      <c r="E16429" s="18"/>
      <c r="F16429" s="18"/>
    </row>
    <row r="16430" spans="5:6" ht="15" customHeight="1" x14ac:dyDescent="0.2">
      <c r="E16430" s="18"/>
      <c r="F16430" s="18"/>
    </row>
    <row r="16431" spans="5:6" ht="15" customHeight="1" x14ac:dyDescent="0.2">
      <c r="E16431" s="18"/>
      <c r="F16431" s="18"/>
    </row>
    <row r="16432" spans="5:6" ht="15" customHeight="1" x14ac:dyDescent="0.2">
      <c r="E16432" s="18"/>
      <c r="F16432" s="18"/>
    </row>
    <row r="16433" spans="5:6" ht="15" customHeight="1" x14ac:dyDescent="0.2">
      <c r="E16433" s="18"/>
      <c r="F16433" s="18"/>
    </row>
    <row r="16434" spans="5:6" ht="15" customHeight="1" x14ac:dyDescent="0.2">
      <c r="E16434" s="18"/>
      <c r="F16434" s="18"/>
    </row>
    <row r="16435" spans="5:6" ht="15" customHeight="1" x14ac:dyDescent="0.2">
      <c r="E16435" s="18"/>
      <c r="F16435" s="18"/>
    </row>
    <row r="16436" spans="5:6" ht="15" customHeight="1" x14ac:dyDescent="0.2">
      <c r="E16436" s="18"/>
      <c r="F16436" s="18"/>
    </row>
    <row r="16437" spans="5:6" ht="15" customHeight="1" x14ac:dyDescent="0.2">
      <c r="E16437" s="18"/>
      <c r="F16437" s="18"/>
    </row>
    <row r="16438" spans="5:6" ht="15" customHeight="1" x14ac:dyDescent="0.2">
      <c r="E16438" s="18"/>
      <c r="F16438" s="18"/>
    </row>
    <row r="16439" spans="5:6" ht="15" customHeight="1" x14ac:dyDescent="0.2">
      <c r="E16439" s="18"/>
      <c r="F16439" s="18"/>
    </row>
    <row r="16440" spans="5:6" ht="15" customHeight="1" x14ac:dyDescent="0.2">
      <c r="E16440" s="18"/>
      <c r="F16440" s="18"/>
    </row>
    <row r="16441" spans="5:6" ht="15" customHeight="1" x14ac:dyDescent="0.2">
      <c r="E16441" s="18"/>
      <c r="F16441" s="18"/>
    </row>
    <row r="16442" spans="5:6" ht="15" customHeight="1" x14ac:dyDescent="0.2">
      <c r="E16442" s="18"/>
      <c r="F16442" s="18"/>
    </row>
    <row r="16443" spans="5:6" ht="15" customHeight="1" x14ac:dyDescent="0.2">
      <c r="E16443" s="18"/>
      <c r="F16443" s="18"/>
    </row>
    <row r="16444" spans="5:6" ht="15" customHeight="1" x14ac:dyDescent="0.2">
      <c r="E16444" s="18"/>
      <c r="F16444" s="18"/>
    </row>
    <row r="16445" spans="5:6" ht="15" customHeight="1" x14ac:dyDescent="0.2">
      <c r="E16445" s="18"/>
      <c r="F16445" s="18"/>
    </row>
    <row r="16446" spans="5:6" ht="15" customHeight="1" x14ac:dyDescent="0.2">
      <c r="E16446" s="18"/>
      <c r="F16446" s="18"/>
    </row>
    <row r="16447" spans="5:6" ht="15" customHeight="1" x14ac:dyDescent="0.2">
      <c r="E16447" s="18"/>
      <c r="F16447" s="18"/>
    </row>
    <row r="16448" spans="5:6" ht="15" customHeight="1" x14ac:dyDescent="0.2">
      <c r="E16448" s="18"/>
      <c r="F16448" s="18"/>
    </row>
    <row r="16449" spans="5:6" ht="15" customHeight="1" x14ac:dyDescent="0.2">
      <c r="E16449" s="18"/>
      <c r="F16449" s="18"/>
    </row>
    <row r="16450" spans="5:6" ht="15" customHeight="1" x14ac:dyDescent="0.2">
      <c r="E16450" s="18"/>
      <c r="F16450" s="18"/>
    </row>
    <row r="16451" spans="5:6" ht="15" customHeight="1" x14ac:dyDescent="0.2">
      <c r="E16451" s="18"/>
      <c r="F16451" s="18"/>
    </row>
    <row r="16452" spans="5:6" ht="15" customHeight="1" x14ac:dyDescent="0.2">
      <c r="E16452" s="18"/>
      <c r="F16452" s="18"/>
    </row>
    <row r="16453" spans="5:6" ht="15" customHeight="1" x14ac:dyDescent="0.2">
      <c r="E16453" s="18"/>
      <c r="F16453" s="18"/>
    </row>
    <row r="16454" spans="5:6" ht="15" customHeight="1" x14ac:dyDescent="0.2">
      <c r="E16454" s="18"/>
      <c r="F16454" s="18"/>
    </row>
    <row r="16455" spans="5:6" ht="15" customHeight="1" x14ac:dyDescent="0.2">
      <c r="E16455" s="18"/>
      <c r="F16455" s="18"/>
    </row>
    <row r="16456" spans="5:6" ht="15" customHeight="1" x14ac:dyDescent="0.2">
      <c r="E16456" s="18"/>
      <c r="F16456" s="18"/>
    </row>
    <row r="16457" spans="5:6" ht="15" customHeight="1" x14ac:dyDescent="0.2">
      <c r="E16457" s="18"/>
      <c r="F16457" s="18"/>
    </row>
    <row r="16458" spans="5:6" ht="15" customHeight="1" x14ac:dyDescent="0.2">
      <c r="E16458" s="18"/>
      <c r="F16458" s="18"/>
    </row>
    <row r="16459" spans="5:6" ht="15" customHeight="1" x14ac:dyDescent="0.2">
      <c r="E16459" s="18"/>
      <c r="F16459" s="18"/>
    </row>
    <row r="16460" spans="5:6" ht="15" customHeight="1" x14ac:dyDescent="0.2">
      <c r="E16460" s="18"/>
      <c r="F16460" s="18"/>
    </row>
    <row r="16461" spans="5:6" ht="15" customHeight="1" x14ac:dyDescent="0.2">
      <c r="E16461" s="18"/>
      <c r="F16461" s="18"/>
    </row>
    <row r="16462" spans="5:6" ht="15" customHeight="1" x14ac:dyDescent="0.2">
      <c r="E16462" s="18"/>
      <c r="F16462" s="18"/>
    </row>
    <row r="16463" spans="5:6" ht="15" customHeight="1" x14ac:dyDescent="0.2">
      <c r="E16463" s="18"/>
      <c r="F16463" s="18"/>
    </row>
    <row r="16464" spans="5:6" ht="15" customHeight="1" x14ac:dyDescent="0.2">
      <c r="E16464" s="18"/>
      <c r="F16464" s="18"/>
    </row>
    <row r="16465" spans="5:6" ht="15" customHeight="1" x14ac:dyDescent="0.2">
      <c r="E16465" s="18"/>
      <c r="F16465" s="18"/>
    </row>
    <row r="16466" spans="5:6" ht="15" customHeight="1" x14ac:dyDescent="0.2">
      <c r="E16466" s="18"/>
      <c r="F16466" s="18"/>
    </row>
    <row r="16467" spans="5:6" ht="15" customHeight="1" x14ac:dyDescent="0.2">
      <c r="E16467" s="18"/>
      <c r="F16467" s="18"/>
    </row>
    <row r="16468" spans="5:6" ht="15" customHeight="1" x14ac:dyDescent="0.2">
      <c r="E16468" s="18"/>
      <c r="F16468" s="18"/>
    </row>
    <row r="16469" spans="5:6" ht="15" customHeight="1" x14ac:dyDescent="0.2">
      <c r="E16469" s="18"/>
      <c r="F16469" s="18"/>
    </row>
    <row r="16470" spans="5:6" ht="15" customHeight="1" x14ac:dyDescent="0.2">
      <c r="E16470" s="18"/>
      <c r="F16470" s="18"/>
    </row>
    <row r="16471" spans="5:6" ht="15" customHeight="1" x14ac:dyDescent="0.2">
      <c r="E16471" s="18"/>
      <c r="F16471" s="18"/>
    </row>
    <row r="16472" spans="5:6" ht="15" customHeight="1" x14ac:dyDescent="0.2">
      <c r="E16472" s="18"/>
      <c r="F16472" s="18"/>
    </row>
    <row r="16473" spans="5:6" ht="15" customHeight="1" x14ac:dyDescent="0.2">
      <c r="E16473" s="18"/>
      <c r="F16473" s="18"/>
    </row>
    <row r="16474" spans="5:6" ht="15" customHeight="1" x14ac:dyDescent="0.2">
      <c r="E16474" s="18"/>
      <c r="F16474" s="18"/>
    </row>
    <row r="16475" spans="5:6" ht="15" customHeight="1" x14ac:dyDescent="0.2">
      <c r="E16475" s="18"/>
      <c r="F16475" s="18"/>
    </row>
    <row r="16476" spans="5:6" ht="15" customHeight="1" x14ac:dyDescent="0.2">
      <c r="E16476" s="18"/>
      <c r="F16476" s="18"/>
    </row>
    <row r="16477" spans="5:6" ht="15" customHeight="1" x14ac:dyDescent="0.2">
      <c r="E16477" s="18"/>
      <c r="F16477" s="18"/>
    </row>
    <row r="16478" spans="5:6" ht="15" customHeight="1" x14ac:dyDescent="0.2">
      <c r="E16478" s="18"/>
      <c r="F16478" s="18"/>
    </row>
    <row r="16479" spans="5:6" ht="15" customHeight="1" x14ac:dyDescent="0.2">
      <c r="E16479" s="18"/>
      <c r="F16479" s="18"/>
    </row>
    <row r="16480" spans="5:6" ht="15" customHeight="1" x14ac:dyDescent="0.2">
      <c r="E16480" s="18"/>
      <c r="F16480" s="18"/>
    </row>
    <row r="16481" spans="5:6" ht="15" customHeight="1" x14ac:dyDescent="0.2">
      <c r="E16481" s="18"/>
      <c r="F16481" s="18"/>
    </row>
    <row r="16482" spans="5:6" ht="15" customHeight="1" x14ac:dyDescent="0.2">
      <c r="E16482" s="18"/>
      <c r="F16482" s="18"/>
    </row>
    <row r="16483" spans="5:6" ht="15" customHeight="1" x14ac:dyDescent="0.2">
      <c r="E16483" s="18"/>
      <c r="F16483" s="18"/>
    </row>
    <row r="16484" spans="5:6" ht="15" customHeight="1" x14ac:dyDescent="0.2">
      <c r="E16484" s="18"/>
      <c r="F16484" s="18"/>
    </row>
    <row r="16485" spans="5:6" ht="15" customHeight="1" x14ac:dyDescent="0.2">
      <c r="E16485" s="18"/>
      <c r="F16485" s="18"/>
    </row>
    <row r="16486" spans="5:6" ht="15" customHeight="1" x14ac:dyDescent="0.2">
      <c r="E16486" s="18"/>
      <c r="F16486" s="18"/>
    </row>
    <row r="16487" spans="5:6" ht="15" customHeight="1" x14ac:dyDescent="0.2">
      <c r="E16487" s="18"/>
      <c r="F16487" s="18"/>
    </row>
    <row r="16488" spans="5:6" ht="15" customHeight="1" x14ac:dyDescent="0.2">
      <c r="E16488" s="18"/>
      <c r="F16488" s="18"/>
    </row>
    <row r="16489" spans="5:6" ht="15" customHeight="1" x14ac:dyDescent="0.2">
      <c r="E16489" s="18"/>
      <c r="F16489" s="18"/>
    </row>
    <row r="16490" spans="5:6" ht="15" customHeight="1" x14ac:dyDescent="0.2">
      <c r="E16490" s="18"/>
      <c r="F16490" s="18"/>
    </row>
    <row r="16491" spans="5:6" ht="15" customHeight="1" x14ac:dyDescent="0.2">
      <c r="E16491" s="18"/>
      <c r="F16491" s="18"/>
    </row>
    <row r="16492" spans="5:6" ht="15" customHeight="1" x14ac:dyDescent="0.2">
      <c r="E16492" s="18"/>
      <c r="F16492" s="18"/>
    </row>
    <row r="16493" spans="5:6" ht="15" customHeight="1" x14ac:dyDescent="0.2">
      <c r="E16493" s="18"/>
      <c r="F16493" s="18"/>
    </row>
    <row r="16494" spans="5:6" ht="15" customHeight="1" x14ac:dyDescent="0.2">
      <c r="E16494" s="18"/>
      <c r="F16494" s="18"/>
    </row>
    <row r="16495" spans="5:6" ht="15" customHeight="1" x14ac:dyDescent="0.2">
      <c r="E16495" s="18"/>
      <c r="F16495" s="18"/>
    </row>
    <row r="16496" spans="5:6" ht="15" customHeight="1" x14ac:dyDescent="0.2">
      <c r="E16496" s="18"/>
      <c r="F16496" s="18"/>
    </row>
    <row r="16497" spans="5:6" ht="15" customHeight="1" x14ac:dyDescent="0.2">
      <c r="E16497" s="18"/>
      <c r="F16497" s="18"/>
    </row>
    <row r="16498" spans="5:6" ht="15" customHeight="1" x14ac:dyDescent="0.2">
      <c r="E16498" s="18"/>
      <c r="F16498" s="18"/>
    </row>
    <row r="16499" spans="5:6" ht="15" customHeight="1" x14ac:dyDescent="0.2">
      <c r="E16499" s="18"/>
      <c r="F16499" s="18"/>
    </row>
    <row r="16500" spans="5:6" ht="15" customHeight="1" x14ac:dyDescent="0.2">
      <c r="E16500" s="18"/>
      <c r="F16500" s="18"/>
    </row>
    <row r="16501" spans="5:6" ht="15" customHeight="1" x14ac:dyDescent="0.2">
      <c r="E16501" s="18"/>
      <c r="F16501" s="18"/>
    </row>
    <row r="16502" spans="5:6" ht="15" customHeight="1" x14ac:dyDescent="0.2">
      <c r="E16502" s="18"/>
      <c r="F16502" s="18"/>
    </row>
    <row r="16503" spans="5:6" ht="15" customHeight="1" x14ac:dyDescent="0.2">
      <c r="E16503" s="18"/>
      <c r="F16503" s="18"/>
    </row>
    <row r="16504" spans="5:6" ht="15" customHeight="1" x14ac:dyDescent="0.2">
      <c r="E16504" s="18"/>
      <c r="F16504" s="18"/>
    </row>
    <row r="16505" spans="5:6" ht="15" customHeight="1" x14ac:dyDescent="0.2">
      <c r="E16505" s="18"/>
      <c r="F16505" s="18"/>
    </row>
    <row r="16506" spans="5:6" ht="15" customHeight="1" x14ac:dyDescent="0.2">
      <c r="E16506" s="18"/>
      <c r="F16506" s="18"/>
    </row>
    <row r="16507" spans="5:6" ht="15" customHeight="1" x14ac:dyDescent="0.2">
      <c r="E16507" s="18"/>
      <c r="F16507" s="18"/>
    </row>
    <row r="16508" spans="5:6" ht="15" customHeight="1" x14ac:dyDescent="0.2">
      <c r="E16508" s="18"/>
      <c r="F16508" s="18"/>
    </row>
    <row r="16509" spans="5:6" ht="15" customHeight="1" x14ac:dyDescent="0.2">
      <c r="E16509" s="18"/>
      <c r="F16509" s="18"/>
    </row>
    <row r="16510" spans="5:6" ht="15" customHeight="1" x14ac:dyDescent="0.2">
      <c r="E16510" s="18"/>
      <c r="F16510" s="18"/>
    </row>
    <row r="16511" spans="5:6" ht="15" customHeight="1" x14ac:dyDescent="0.2">
      <c r="E16511" s="18"/>
      <c r="F16511" s="18"/>
    </row>
    <row r="16512" spans="5:6" ht="15" customHeight="1" x14ac:dyDescent="0.2">
      <c r="E16512" s="18"/>
      <c r="F16512" s="18"/>
    </row>
    <row r="16513" spans="5:6" ht="15" customHeight="1" x14ac:dyDescent="0.2">
      <c r="E16513" s="18"/>
      <c r="F16513" s="18"/>
    </row>
    <row r="16514" spans="5:6" ht="15" customHeight="1" x14ac:dyDescent="0.2">
      <c r="E16514" s="18"/>
      <c r="F16514" s="18"/>
    </row>
    <row r="16515" spans="5:6" ht="15" customHeight="1" x14ac:dyDescent="0.2">
      <c r="E16515" s="18"/>
      <c r="F16515" s="18"/>
    </row>
    <row r="16516" spans="5:6" ht="15" customHeight="1" x14ac:dyDescent="0.2">
      <c r="E16516" s="18"/>
      <c r="F16516" s="18"/>
    </row>
    <row r="16517" spans="5:6" ht="15" customHeight="1" x14ac:dyDescent="0.2">
      <c r="E16517" s="18"/>
      <c r="F16517" s="18"/>
    </row>
    <row r="16518" spans="5:6" ht="15" customHeight="1" x14ac:dyDescent="0.2">
      <c r="E16518" s="18"/>
      <c r="F16518" s="18"/>
    </row>
    <row r="16519" spans="5:6" ht="15" customHeight="1" x14ac:dyDescent="0.2">
      <c r="E16519" s="18"/>
      <c r="F16519" s="18"/>
    </row>
    <row r="16520" spans="5:6" ht="15" customHeight="1" x14ac:dyDescent="0.2">
      <c r="E16520" s="18"/>
      <c r="F16520" s="18"/>
    </row>
    <row r="16521" spans="5:6" ht="15" customHeight="1" x14ac:dyDescent="0.2">
      <c r="E16521" s="18"/>
      <c r="F16521" s="18"/>
    </row>
    <row r="16522" spans="5:6" ht="15" customHeight="1" x14ac:dyDescent="0.2">
      <c r="E16522" s="18"/>
      <c r="F16522" s="18"/>
    </row>
    <row r="16523" spans="5:6" ht="15" customHeight="1" x14ac:dyDescent="0.2">
      <c r="E16523" s="18"/>
      <c r="F16523" s="18"/>
    </row>
    <row r="16524" spans="5:6" ht="15" customHeight="1" x14ac:dyDescent="0.2">
      <c r="E16524" s="18"/>
      <c r="F16524" s="18"/>
    </row>
    <row r="16525" spans="5:6" ht="15" customHeight="1" x14ac:dyDescent="0.2">
      <c r="E16525" s="18"/>
      <c r="F16525" s="18"/>
    </row>
    <row r="16526" spans="5:6" ht="15" customHeight="1" x14ac:dyDescent="0.2">
      <c r="E16526" s="18"/>
      <c r="F16526" s="18"/>
    </row>
    <row r="16527" spans="5:6" ht="15" customHeight="1" x14ac:dyDescent="0.2">
      <c r="E16527" s="18"/>
      <c r="F16527" s="18"/>
    </row>
    <row r="16528" spans="5:6" ht="15" customHeight="1" x14ac:dyDescent="0.2">
      <c r="E16528" s="18"/>
      <c r="F16528" s="18"/>
    </row>
    <row r="16529" spans="5:6" ht="15" customHeight="1" x14ac:dyDescent="0.2">
      <c r="E16529" s="18"/>
      <c r="F16529" s="18"/>
    </row>
    <row r="16530" spans="5:6" ht="15" customHeight="1" x14ac:dyDescent="0.2">
      <c r="E16530" s="18"/>
      <c r="F16530" s="18"/>
    </row>
    <row r="16531" spans="5:6" ht="15" customHeight="1" x14ac:dyDescent="0.2">
      <c r="E16531" s="18"/>
      <c r="F16531" s="18"/>
    </row>
    <row r="16532" spans="5:6" ht="15" customHeight="1" x14ac:dyDescent="0.2">
      <c r="E16532" s="18"/>
      <c r="F16532" s="18"/>
    </row>
    <row r="16533" spans="5:6" ht="15" customHeight="1" x14ac:dyDescent="0.2">
      <c r="E16533" s="18"/>
      <c r="F16533" s="18"/>
    </row>
    <row r="16534" spans="5:6" ht="15" customHeight="1" x14ac:dyDescent="0.2">
      <c r="E16534" s="18"/>
      <c r="F16534" s="18"/>
    </row>
    <row r="16535" spans="5:6" ht="15" customHeight="1" x14ac:dyDescent="0.2">
      <c r="E16535" s="18"/>
      <c r="F16535" s="18"/>
    </row>
    <row r="16536" spans="5:6" ht="15" customHeight="1" x14ac:dyDescent="0.2">
      <c r="E16536" s="18"/>
      <c r="F16536" s="18"/>
    </row>
    <row r="16537" spans="5:6" ht="15" customHeight="1" x14ac:dyDescent="0.2">
      <c r="E16537" s="18"/>
      <c r="F16537" s="18"/>
    </row>
    <row r="16538" spans="5:6" ht="15" customHeight="1" x14ac:dyDescent="0.2">
      <c r="E16538" s="18"/>
      <c r="F16538" s="18"/>
    </row>
    <row r="16539" spans="5:6" ht="15" customHeight="1" x14ac:dyDescent="0.2">
      <c r="E16539" s="18"/>
      <c r="F16539" s="18"/>
    </row>
    <row r="16540" spans="5:6" ht="15" customHeight="1" x14ac:dyDescent="0.2">
      <c r="E16540" s="18"/>
      <c r="F16540" s="18"/>
    </row>
    <row r="16541" spans="5:6" ht="15" customHeight="1" x14ac:dyDescent="0.2">
      <c r="E16541" s="18"/>
      <c r="F16541" s="18"/>
    </row>
    <row r="16542" spans="5:6" ht="15" customHeight="1" x14ac:dyDescent="0.2">
      <c r="E16542" s="18"/>
      <c r="F16542" s="18"/>
    </row>
    <row r="16543" spans="5:6" ht="15" customHeight="1" x14ac:dyDescent="0.2">
      <c r="E16543" s="18"/>
      <c r="F16543" s="18"/>
    </row>
    <row r="16544" spans="5:6" ht="15" customHeight="1" x14ac:dyDescent="0.2">
      <c r="E16544" s="18"/>
      <c r="F16544" s="18"/>
    </row>
    <row r="16545" spans="5:6" ht="15" customHeight="1" x14ac:dyDescent="0.2">
      <c r="E16545" s="18"/>
      <c r="F16545" s="18"/>
    </row>
    <row r="16546" spans="5:6" ht="15" customHeight="1" x14ac:dyDescent="0.2">
      <c r="E16546" s="18"/>
      <c r="F16546" s="18"/>
    </row>
    <row r="16547" spans="5:6" ht="15" customHeight="1" x14ac:dyDescent="0.2">
      <c r="E16547" s="18"/>
      <c r="F16547" s="18"/>
    </row>
    <row r="16548" spans="5:6" ht="15" customHeight="1" x14ac:dyDescent="0.2">
      <c r="E16548" s="18"/>
      <c r="F16548" s="18"/>
    </row>
    <row r="16549" spans="5:6" ht="15" customHeight="1" x14ac:dyDescent="0.2">
      <c r="E16549" s="18"/>
      <c r="F16549" s="18"/>
    </row>
    <row r="16550" spans="5:6" ht="15" customHeight="1" x14ac:dyDescent="0.2">
      <c r="E16550" s="18"/>
      <c r="F16550" s="18"/>
    </row>
    <row r="16551" spans="5:6" ht="15" customHeight="1" x14ac:dyDescent="0.2">
      <c r="E16551" s="18"/>
      <c r="F16551" s="18"/>
    </row>
    <row r="16552" spans="5:6" ht="15" customHeight="1" x14ac:dyDescent="0.2">
      <c r="E16552" s="18"/>
      <c r="F16552" s="18"/>
    </row>
    <row r="16553" spans="5:6" ht="15" customHeight="1" x14ac:dyDescent="0.2">
      <c r="E16553" s="18"/>
      <c r="F16553" s="18"/>
    </row>
    <row r="16554" spans="5:6" ht="15" customHeight="1" x14ac:dyDescent="0.2">
      <c r="E16554" s="18"/>
      <c r="F16554" s="18"/>
    </row>
    <row r="16555" spans="5:6" ht="15" customHeight="1" x14ac:dyDescent="0.2">
      <c r="E16555" s="18"/>
      <c r="F16555" s="18"/>
    </row>
    <row r="16556" spans="5:6" ht="15" customHeight="1" x14ac:dyDescent="0.2">
      <c r="E16556" s="18"/>
      <c r="F16556" s="18"/>
    </row>
    <row r="16557" spans="5:6" ht="15" customHeight="1" x14ac:dyDescent="0.2">
      <c r="E16557" s="18"/>
      <c r="F16557" s="18"/>
    </row>
    <row r="16558" spans="5:6" ht="15" customHeight="1" x14ac:dyDescent="0.2">
      <c r="E16558" s="18"/>
      <c r="F16558" s="18"/>
    </row>
    <row r="16559" spans="5:6" ht="15" customHeight="1" x14ac:dyDescent="0.2">
      <c r="E16559" s="18"/>
      <c r="F16559" s="18"/>
    </row>
    <row r="16560" spans="5:6" ht="15" customHeight="1" x14ac:dyDescent="0.2">
      <c r="E16560" s="18"/>
      <c r="F16560" s="18"/>
    </row>
    <row r="16561" spans="5:6" ht="15" customHeight="1" x14ac:dyDescent="0.2">
      <c r="E16561" s="18"/>
      <c r="F16561" s="18"/>
    </row>
    <row r="16562" spans="5:6" ht="15" customHeight="1" x14ac:dyDescent="0.2">
      <c r="E16562" s="18"/>
      <c r="F16562" s="18"/>
    </row>
    <row r="16563" spans="5:6" ht="15" customHeight="1" x14ac:dyDescent="0.2">
      <c r="E16563" s="18"/>
      <c r="F16563" s="18"/>
    </row>
    <row r="16564" spans="5:6" ht="15" customHeight="1" x14ac:dyDescent="0.2">
      <c r="E16564" s="18"/>
      <c r="F16564" s="18"/>
    </row>
    <row r="16565" spans="5:6" ht="15" customHeight="1" x14ac:dyDescent="0.2">
      <c r="E16565" s="18"/>
      <c r="F16565" s="18"/>
    </row>
    <row r="16566" spans="5:6" ht="15" customHeight="1" x14ac:dyDescent="0.2">
      <c r="E16566" s="18"/>
      <c r="F16566" s="18"/>
    </row>
    <row r="16567" spans="5:6" ht="15" customHeight="1" x14ac:dyDescent="0.2">
      <c r="E16567" s="18"/>
      <c r="F16567" s="18"/>
    </row>
    <row r="16568" spans="5:6" ht="15" customHeight="1" x14ac:dyDescent="0.2">
      <c r="E16568" s="18"/>
      <c r="F16568" s="18"/>
    </row>
    <row r="16569" spans="5:6" ht="15" customHeight="1" x14ac:dyDescent="0.2">
      <c r="E16569" s="18"/>
      <c r="F16569" s="18"/>
    </row>
    <row r="16570" spans="5:6" ht="15" customHeight="1" x14ac:dyDescent="0.2">
      <c r="E16570" s="18"/>
      <c r="F16570" s="18"/>
    </row>
    <row r="16571" spans="5:6" ht="15" customHeight="1" x14ac:dyDescent="0.2">
      <c r="E16571" s="18"/>
      <c r="F16571" s="18"/>
    </row>
    <row r="16572" spans="5:6" ht="15" customHeight="1" x14ac:dyDescent="0.2">
      <c r="E16572" s="18"/>
      <c r="F16572" s="18"/>
    </row>
    <row r="16573" spans="5:6" ht="15" customHeight="1" x14ac:dyDescent="0.2">
      <c r="E16573" s="18"/>
      <c r="F16573" s="18"/>
    </row>
    <row r="16574" spans="5:6" ht="15" customHeight="1" x14ac:dyDescent="0.2">
      <c r="E16574" s="18"/>
      <c r="F16574" s="18"/>
    </row>
    <row r="16575" spans="5:6" ht="15" customHeight="1" x14ac:dyDescent="0.2">
      <c r="E16575" s="18"/>
      <c r="F16575" s="18"/>
    </row>
    <row r="16576" spans="5:6" ht="15" customHeight="1" x14ac:dyDescent="0.2">
      <c r="E16576" s="18"/>
      <c r="F16576" s="18"/>
    </row>
    <row r="16577" spans="5:6" ht="15" customHeight="1" x14ac:dyDescent="0.2">
      <c r="E16577" s="18"/>
      <c r="F16577" s="18"/>
    </row>
    <row r="16578" spans="5:6" ht="15" customHeight="1" x14ac:dyDescent="0.2">
      <c r="E16578" s="18"/>
      <c r="F16578" s="18"/>
    </row>
    <row r="16579" spans="5:6" ht="15" customHeight="1" x14ac:dyDescent="0.2">
      <c r="E16579" s="18"/>
      <c r="F16579" s="18"/>
    </row>
    <row r="16580" spans="5:6" ht="15" customHeight="1" x14ac:dyDescent="0.2">
      <c r="E16580" s="18"/>
      <c r="F16580" s="18"/>
    </row>
    <row r="16581" spans="5:6" ht="15" customHeight="1" x14ac:dyDescent="0.2">
      <c r="E16581" s="18"/>
      <c r="F16581" s="18"/>
    </row>
    <row r="16582" spans="5:6" ht="15" customHeight="1" x14ac:dyDescent="0.2">
      <c r="E16582" s="18"/>
      <c r="F16582" s="18"/>
    </row>
    <row r="16583" spans="5:6" ht="15" customHeight="1" x14ac:dyDescent="0.2">
      <c r="E16583" s="18"/>
      <c r="F16583" s="18"/>
    </row>
    <row r="16584" spans="5:6" ht="15" customHeight="1" x14ac:dyDescent="0.2">
      <c r="E16584" s="18"/>
      <c r="F16584" s="18"/>
    </row>
    <row r="16585" spans="5:6" ht="15" customHeight="1" x14ac:dyDescent="0.2">
      <c r="E16585" s="18"/>
      <c r="F16585" s="18"/>
    </row>
    <row r="16586" spans="5:6" ht="15" customHeight="1" x14ac:dyDescent="0.2">
      <c r="E16586" s="18"/>
      <c r="F16586" s="18"/>
    </row>
    <row r="16587" spans="5:6" ht="15" customHeight="1" x14ac:dyDescent="0.2">
      <c r="E16587" s="18"/>
      <c r="F16587" s="18"/>
    </row>
    <row r="16588" spans="5:6" ht="15" customHeight="1" x14ac:dyDescent="0.2">
      <c r="E16588" s="18"/>
      <c r="F16588" s="18"/>
    </row>
    <row r="16589" spans="5:6" ht="15" customHeight="1" x14ac:dyDescent="0.2">
      <c r="E16589" s="18"/>
      <c r="F16589" s="18"/>
    </row>
    <row r="16590" spans="5:6" ht="15" customHeight="1" x14ac:dyDescent="0.2">
      <c r="E16590" s="18"/>
      <c r="F16590" s="18"/>
    </row>
    <row r="16591" spans="5:6" ht="15" customHeight="1" x14ac:dyDescent="0.2">
      <c r="E16591" s="18"/>
      <c r="F16591" s="18"/>
    </row>
    <row r="16592" spans="5:6" ht="15" customHeight="1" x14ac:dyDescent="0.2">
      <c r="E16592" s="18"/>
      <c r="F16592" s="18"/>
    </row>
    <row r="16593" spans="5:6" ht="15" customHeight="1" x14ac:dyDescent="0.2">
      <c r="E16593" s="18"/>
      <c r="F16593" s="18"/>
    </row>
    <row r="16594" spans="5:6" ht="15" customHeight="1" x14ac:dyDescent="0.2">
      <c r="E16594" s="18"/>
      <c r="F16594" s="18"/>
    </row>
    <row r="16595" spans="5:6" ht="15" customHeight="1" x14ac:dyDescent="0.2">
      <c r="E16595" s="18"/>
      <c r="F16595" s="18"/>
    </row>
    <row r="16596" spans="5:6" ht="15" customHeight="1" x14ac:dyDescent="0.2">
      <c r="E16596" s="18"/>
      <c r="F16596" s="18"/>
    </row>
    <row r="16597" spans="5:6" ht="15" customHeight="1" x14ac:dyDescent="0.2">
      <c r="E16597" s="18"/>
      <c r="F16597" s="18"/>
    </row>
    <row r="16598" spans="5:6" ht="15" customHeight="1" x14ac:dyDescent="0.2">
      <c r="E16598" s="18"/>
      <c r="F16598" s="18"/>
    </row>
    <row r="16599" spans="5:6" ht="15" customHeight="1" x14ac:dyDescent="0.2">
      <c r="E16599" s="18"/>
      <c r="F16599" s="18"/>
    </row>
    <row r="16600" spans="5:6" ht="15" customHeight="1" x14ac:dyDescent="0.2">
      <c r="E16600" s="18"/>
      <c r="F16600" s="18"/>
    </row>
    <row r="16601" spans="5:6" ht="15" customHeight="1" x14ac:dyDescent="0.2">
      <c r="E16601" s="18"/>
      <c r="F16601" s="18"/>
    </row>
    <row r="16602" spans="5:6" ht="15" customHeight="1" x14ac:dyDescent="0.2">
      <c r="E16602" s="18"/>
      <c r="F16602" s="18"/>
    </row>
    <row r="16603" spans="5:6" ht="15" customHeight="1" x14ac:dyDescent="0.2">
      <c r="E16603" s="18"/>
      <c r="F16603" s="18"/>
    </row>
    <row r="16604" spans="5:6" ht="15" customHeight="1" x14ac:dyDescent="0.2">
      <c r="E16604" s="18"/>
      <c r="F16604" s="18"/>
    </row>
    <row r="16605" spans="5:6" ht="15" customHeight="1" x14ac:dyDescent="0.2">
      <c r="E16605" s="18"/>
      <c r="F16605" s="18"/>
    </row>
    <row r="16606" spans="5:6" ht="15" customHeight="1" x14ac:dyDescent="0.2">
      <c r="E16606" s="18"/>
      <c r="F16606" s="18"/>
    </row>
    <row r="16607" spans="5:6" ht="15" customHeight="1" x14ac:dyDescent="0.2">
      <c r="E16607" s="18"/>
      <c r="F16607" s="18"/>
    </row>
    <row r="16608" spans="5:6" ht="15" customHeight="1" x14ac:dyDescent="0.2">
      <c r="E16608" s="18"/>
      <c r="F16608" s="18"/>
    </row>
    <row r="16609" spans="5:6" ht="15" customHeight="1" x14ac:dyDescent="0.2">
      <c r="E16609" s="18"/>
      <c r="F16609" s="18"/>
    </row>
    <row r="16610" spans="5:6" ht="15" customHeight="1" x14ac:dyDescent="0.2">
      <c r="E16610" s="18"/>
      <c r="F16610" s="18"/>
    </row>
    <row r="16611" spans="5:6" ht="15" customHeight="1" x14ac:dyDescent="0.2">
      <c r="E16611" s="18"/>
      <c r="F16611" s="18"/>
    </row>
    <row r="16612" spans="5:6" ht="15" customHeight="1" x14ac:dyDescent="0.2">
      <c r="E16612" s="18"/>
      <c r="F16612" s="18"/>
    </row>
    <row r="16613" spans="5:6" ht="15" customHeight="1" x14ac:dyDescent="0.2">
      <c r="E16613" s="18"/>
      <c r="F16613" s="18"/>
    </row>
    <row r="16614" spans="5:6" ht="15" customHeight="1" x14ac:dyDescent="0.2">
      <c r="E16614" s="18"/>
      <c r="F16614" s="18"/>
    </row>
    <row r="16615" spans="5:6" ht="15" customHeight="1" x14ac:dyDescent="0.2">
      <c r="E16615" s="18"/>
      <c r="F16615" s="18"/>
    </row>
    <row r="16616" spans="5:6" ht="15" customHeight="1" x14ac:dyDescent="0.2">
      <c r="E16616" s="18"/>
      <c r="F16616" s="18"/>
    </row>
    <row r="16617" spans="5:6" ht="15" customHeight="1" x14ac:dyDescent="0.2">
      <c r="E16617" s="18"/>
      <c r="F16617" s="18"/>
    </row>
    <row r="16618" spans="5:6" ht="15" customHeight="1" x14ac:dyDescent="0.2">
      <c r="E16618" s="18"/>
      <c r="F16618" s="18"/>
    </row>
    <row r="16619" spans="5:6" ht="15" customHeight="1" x14ac:dyDescent="0.2">
      <c r="E16619" s="18"/>
      <c r="F16619" s="18"/>
    </row>
    <row r="16620" spans="5:6" ht="15" customHeight="1" x14ac:dyDescent="0.2">
      <c r="E16620" s="18"/>
      <c r="F16620" s="18"/>
    </row>
    <row r="16621" spans="5:6" ht="15" customHeight="1" x14ac:dyDescent="0.2">
      <c r="E16621" s="18"/>
      <c r="F16621" s="18"/>
    </row>
    <row r="16622" spans="5:6" ht="15" customHeight="1" x14ac:dyDescent="0.2">
      <c r="E16622" s="18"/>
      <c r="F16622" s="18"/>
    </row>
    <row r="16623" spans="5:6" ht="15" customHeight="1" x14ac:dyDescent="0.2">
      <c r="E16623" s="18"/>
      <c r="F16623" s="18"/>
    </row>
    <row r="16624" spans="5:6" ht="15" customHeight="1" x14ac:dyDescent="0.2">
      <c r="E16624" s="18"/>
      <c r="F16624" s="18"/>
    </row>
    <row r="16625" spans="5:6" ht="15" customHeight="1" x14ac:dyDescent="0.2">
      <c r="E16625" s="18"/>
      <c r="F16625" s="18"/>
    </row>
    <row r="16626" spans="5:6" ht="15" customHeight="1" x14ac:dyDescent="0.2">
      <c r="E16626" s="18"/>
      <c r="F16626" s="18"/>
    </row>
    <row r="16627" spans="5:6" ht="15" customHeight="1" x14ac:dyDescent="0.2">
      <c r="E16627" s="18"/>
      <c r="F16627" s="18"/>
    </row>
    <row r="16628" spans="5:6" ht="15" customHeight="1" x14ac:dyDescent="0.2">
      <c r="E16628" s="18"/>
      <c r="F16628" s="18"/>
    </row>
    <row r="16629" spans="5:6" ht="15" customHeight="1" x14ac:dyDescent="0.2">
      <c r="E16629" s="18"/>
      <c r="F16629" s="18"/>
    </row>
    <row r="16630" spans="5:6" ht="15" customHeight="1" x14ac:dyDescent="0.2">
      <c r="E16630" s="18"/>
      <c r="F16630" s="18"/>
    </row>
    <row r="16631" spans="5:6" ht="15" customHeight="1" x14ac:dyDescent="0.2">
      <c r="E16631" s="18"/>
      <c r="F16631" s="18"/>
    </row>
    <row r="16632" spans="5:6" ht="15" customHeight="1" x14ac:dyDescent="0.2">
      <c r="E16632" s="18"/>
      <c r="F16632" s="18"/>
    </row>
    <row r="16633" spans="5:6" ht="15" customHeight="1" x14ac:dyDescent="0.2">
      <c r="E16633" s="18"/>
      <c r="F16633" s="18"/>
    </row>
    <row r="16634" spans="5:6" ht="15" customHeight="1" x14ac:dyDescent="0.2">
      <c r="E16634" s="18"/>
      <c r="F16634" s="18"/>
    </row>
    <row r="16635" spans="5:6" ht="15" customHeight="1" x14ac:dyDescent="0.2">
      <c r="E16635" s="18"/>
      <c r="F16635" s="18"/>
    </row>
    <row r="16636" spans="5:6" ht="15" customHeight="1" x14ac:dyDescent="0.2">
      <c r="E16636" s="18"/>
      <c r="F16636" s="18"/>
    </row>
    <row r="16637" spans="5:6" ht="15" customHeight="1" x14ac:dyDescent="0.2">
      <c r="E16637" s="18"/>
      <c r="F16637" s="18"/>
    </row>
    <row r="16638" spans="5:6" ht="15" customHeight="1" x14ac:dyDescent="0.2">
      <c r="E16638" s="18"/>
      <c r="F16638" s="18"/>
    </row>
    <row r="16639" spans="5:6" ht="15" customHeight="1" x14ac:dyDescent="0.2">
      <c r="E16639" s="18"/>
      <c r="F16639" s="18"/>
    </row>
    <row r="16640" spans="5:6" ht="15" customHeight="1" x14ac:dyDescent="0.2">
      <c r="E16640" s="18"/>
      <c r="F16640" s="18"/>
    </row>
    <row r="16641" spans="5:6" ht="15" customHeight="1" x14ac:dyDescent="0.2">
      <c r="E16641" s="18"/>
      <c r="F16641" s="18"/>
    </row>
    <row r="16642" spans="5:6" ht="15" customHeight="1" x14ac:dyDescent="0.2">
      <c r="E16642" s="18"/>
      <c r="F16642" s="18"/>
    </row>
    <row r="16643" spans="5:6" ht="15" customHeight="1" x14ac:dyDescent="0.2">
      <c r="E16643" s="18"/>
      <c r="F16643" s="18"/>
    </row>
    <row r="16644" spans="5:6" ht="15" customHeight="1" x14ac:dyDescent="0.2">
      <c r="E16644" s="18"/>
      <c r="F16644" s="18"/>
    </row>
    <row r="16645" spans="5:6" ht="15" customHeight="1" x14ac:dyDescent="0.2">
      <c r="E16645" s="18"/>
      <c r="F16645" s="18"/>
    </row>
    <row r="16646" spans="5:6" ht="15" customHeight="1" x14ac:dyDescent="0.2">
      <c r="E16646" s="18"/>
      <c r="F16646" s="18"/>
    </row>
    <row r="16647" spans="5:6" ht="15" customHeight="1" x14ac:dyDescent="0.2">
      <c r="E16647" s="18"/>
      <c r="F16647" s="18"/>
    </row>
    <row r="16648" spans="5:6" ht="15" customHeight="1" x14ac:dyDescent="0.2">
      <c r="E16648" s="18"/>
      <c r="F16648" s="18"/>
    </row>
    <row r="16649" spans="5:6" ht="15" customHeight="1" x14ac:dyDescent="0.2">
      <c r="E16649" s="18"/>
      <c r="F16649" s="18"/>
    </row>
    <row r="16650" spans="5:6" ht="15" customHeight="1" x14ac:dyDescent="0.2">
      <c r="E16650" s="18"/>
      <c r="F16650" s="18"/>
    </row>
    <row r="16651" spans="5:6" ht="15" customHeight="1" x14ac:dyDescent="0.2">
      <c r="E16651" s="18"/>
      <c r="F16651" s="18"/>
    </row>
    <row r="16652" spans="5:6" ht="15" customHeight="1" x14ac:dyDescent="0.2">
      <c r="E16652" s="18"/>
      <c r="F16652" s="18"/>
    </row>
    <row r="16653" spans="5:6" ht="15" customHeight="1" x14ac:dyDescent="0.2">
      <c r="E16653" s="18"/>
      <c r="F16653" s="18"/>
    </row>
    <row r="16654" spans="5:6" ht="15" customHeight="1" x14ac:dyDescent="0.2">
      <c r="E16654" s="18"/>
      <c r="F16654" s="18"/>
    </row>
    <row r="16655" spans="5:6" ht="15" customHeight="1" x14ac:dyDescent="0.2">
      <c r="E16655" s="18"/>
      <c r="F16655" s="18"/>
    </row>
    <row r="16656" spans="5:6" ht="15" customHeight="1" x14ac:dyDescent="0.2">
      <c r="E16656" s="18"/>
      <c r="F16656" s="18"/>
    </row>
    <row r="16657" spans="5:6" ht="15" customHeight="1" x14ac:dyDescent="0.2">
      <c r="E16657" s="18"/>
      <c r="F16657" s="18"/>
    </row>
    <row r="16658" spans="5:6" ht="15" customHeight="1" x14ac:dyDescent="0.2">
      <c r="E16658" s="18"/>
      <c r="F16658" s="18"/>
    </row>
    <row r="16659" spans="5:6" ht="15" customHeight="1" x14ac:dyDescent="0.2">
      <c r="E16659" s="18"/>
      <c r="F16659" s="18"/>
    </row>
    <row r="16660" spans="5:6" ht="15" customHeight="1" x14ac:dyDescent="0.2">
      <c r="E16660" s="18"/>
      <c r="F16660" s="18"/>
    </row>
    <row r="16661" spans="5:6" ht="15" customHeight="1" x14ac:dyDescent="0.2">
      <c r="E16661" s="18"/>
      <c r="F16661" s="18"/>
    </row>
    <row r="16662" spans="5:6" ht="15" customHeight="1" x14ac:dyDescent="0.2">
      <c r="E16662" s="18"/>
      <c r="F16662" s="18"/>
    </row>
    <row r="16663" spans="5:6" ht="15" customHeight="1" x14ac:dyDescent="0.2">
      <c r="E16663" s="18"/>
      <c r="F16663" s="18"/>
    </row>
    <row r="16664" spans="5:6" ht="15" customHeight="1" x14ac:dyDescent="0.2">
      <c r="E16664" s="18"/>
      <c r="F16664" s="18"/>
    </row>
    <row r="16665" spans="5:6" ht="15" customHeight="1" x14ac:dyDescent="0.2">
      <c r="E16665" s="18"/>
      <c r="F16665" s="18"/>
    </row>
    <row r="16666" spans="5:6" ht="15" customHeight="1" x14ac:dyDescent="0.2">
      <c r="E16666" s="18"/>
      <c r="F16666" s="18"/>
    </row>
    <row r="16667" spans="5:6" ht="15" customHeight="1" x14ac:dyDescent="0.2">
      <c r="E16667" s="18"/>
      <c r="F16667" s="18"/>
    </row>
    <row r="16668" spans="5:6" ht="15" customHeight="1" x14ac:dyDescent="0.2">
      <c r="E16668" s="18"/>
      <c r="F16668" s="18"/>
    </row>
    <row r="16669" spans="5:6" ht="15" customHeight="1" x14ac:dyDescent="0.2">
      <c r="E16669" s="18"/>
      <c r="F16669" s="18"/>
    </row>
    <row r="16670" spans="5:6" ht="15" customHeight="1" x14ac:dyDescent="0.2">
      <c r="E16670" s="18"/>
      <c r="F16670" s="18"/>
    </row>
    <row r="16671" spans="5:6" ht="15" customHeight="1" x14ac:dyDescent="0.2">
      <c r="E16671" s="18"/>
      <c r="F16671" s="18"/>
    </row>
    <row r="16672" spans="5:6" ht="15" customHeight="1" x14ac:dyDescent="0.2">
      <c r="E16672" s="18"/>
      <c r="F16672" s="18"/>
    </row>
    <row r="16673" spans="5:6" ht="15" customHeight="1" x14ac:dyDescent="0.2">
      <c r="E16673" s="18"/>
      <c r="F16673" s="18"/>
    </row>
    <row r="16674" spans="5:6" ht="15" customHeight="1" x14ac:dyDescent="0.2">
      <c r="E16674" s="18"/>
      <c r="F16674" s="18"/>
    </row>
    <row r="16675" spans="5:6" ht="15" customHeight="1" x14ac:dyDescent="0.2">
      <c r="E16675" s="18"/>
      <c r="F16675" s="18"/>
    </row>
    <row r="16676" spans="5:6" ht="15" customHeight="1" x14ac:dyDescent="0.2">
      <c r="E16676" s="18"/>
      <c r="F16676" s="18"/>
    </row>
    <row r="16677" spans="5:6" ht="15" customHeight="1" x14ac:dyDescent="0.2">
      <c r="E16677" s="18"/>
      <c r="F16677" s="18"/>
    </row>
    <row r="16678" spans="5:6" ht="15" customHeight="1" x14ac:dyDescent="0.2">
      <c r="E16678" s="18"/>
      <c r="F16678" s="18"/>
    </row>
    <row r="16679" spans="5:6" ht="15" customHeight="1" x14ac:dyDescent="0.2">
      <c r="E16679" s="18"/>
      <c r="F16679" s="18"/>
    </row>
    <row r="16680" spans="5:6" ht="15" customHeight="1" x14ac:dyDescent="0.2">
      <c r="E16680" s="18"/>
      <c r="F16680" s="18"/>
    </row>
    <row r="16681" spans="5:6" ht="15" customHeight="1" x14ac:dyDescent="0.2">
      <c r="E16681" s="18"/>
      <c r="F16681" s="18"/>
    </row>
    <row r="16682" spans="5:6" ht="15" customHeight="1" x14ac:dyDescent="0.2">
      <c r="E16682" s="18"/>
      <c r="F16682" s="18"/>
    </row>
    <row r="16683" spans="5:6" ht="15" customHeight="1" x14ac:dyDescent="0.2">
      <c r="E16683" s="18"/>
      <c r="F16683" s="18"/>
    </row>
    <row r="16684" spans="5:6" ht="15" customHeight="1" x14ac:dyDescent="0.2">
      <c r="E16684" s="18"/>
      <c r="F16684" s="18"/>
    </row>
    <row r="16685" spans="5:6" ht="15" customHeight="1" x14ac:dyDescent="0.2">
      <c r="E16685" s="18"/>
      <c r="F16685" s="18"/>
    </row>
    <row r="16686" spans="5:6" ht="15" customHeight="1" x14ac:dyDescent="0.2">
      <c r="E16686" s="18"/>
      <c r="F16686" s="18"/>
    </row>
    <row r="16687" spans="5:6" ht="15" customHeight="1" x14ac:dyDescent="0.2">
      <c r="E16687" s="18"/>
      <c r="F16687" s="18"/>
    </row>
    <row r="16688" spans="5:6" ht="15" customHeight="1" x14ac:dyDescent="0.2">
      <c r="E16688" s="18"/>
      <c r="F16688" s="18"/>
    </row>
    <row r="16689" spans="5:6" ht="15" customHeight="1" x14ac:dyDescent="0.2">
      <c r="E16689" s="18"/>
      <c r="F16689" s="18"/>
    </row>
    <row r="16690" spans="5:6" ht="15" customHeight="1" x14ac:dyDescent="0.2">
      <c r="E16690" s="18"/>
      <c r="F16690" s="18"/>
    </row>
    <row r="16691" spans="5:6" ht="15" customHeight="1" x14ac:dyDescent="0.2">
      <c r="E16691" s="18"/>
      <c r="F16691" s="18"/>
    </row>
    <row r="16692" spans="5:6" ht="15" customHeight="1" x14ac:dyDescent="0.2">
      <c r="E16692" s="18"/>
      <c r="F16692" s="18"/>
    </row>
    <row r="16693" spans="5:6" ht="15" customHeight="1" x14ac:dyDescent="0.2">
      <c r="E16693" s="18"/>
      <c r="F16693" s="18"/>
    </row>
    <row r="16694" spans="5:6" ht="15" customHeight="1" x14ac:dyDescent="0.2">
      <c r="E16694" s="18"/>
      <c r="F16694" s="18"/>
    </row>
    <row r="16695" spans="5:6" ht="15" customHeight="1" x14ac:dyDescent="0.2">
      <c r="E16695" s="18"/>
      <c r="F16695" s="18"/>
    </row>
    <row r="16696" spans="5:6" ht="15" customHeight="1" x14ac:dyDescent="0.2">
      <c r="E16696" s="18"/>
      <c r="F16696" s="18"/>
    </row>
    <row r="16697" spans="5:6" ht="15" customHeight="1" x14ac:dyDescent="0.2">
      <c r="E16697" s="18"/>
      <c r="F16697" s="18"/>
    </row>
    <row r="16698" spans="5:6" ht="15" customHeight="1" x14ac:dyDescent="0.2">
      <c r="E16698" s="18"/>
      <c r="F16698" s="18"/>
    </row>
    <row r="16699" spans="5:6" ht="15" customHeight="1" x14ac:dyDescent="0.2">
      <c r="E16699" s="18"/>
      <c r="F16699" s="18"/>
    </row>
    <row r="16700" spans="5:6" ht="15" customHeight="1" x14ac:dyDescent="0.2">
      <c r="E16700" s="18"/>
      <c r="F16700" s="18"/>
    </row>
    <row r="16701" spans="5:6" ht="15" customHeight="1" x14ac:dyDescent="0.2">
      <c r="E16701" s="18"/>
      <c r="F16701" s="18"/>
    </row>
    <row r="16702" spans="5:6" ht="15" customHeight="1" x14ac:dyDescent="0.2">
      <c r="E16702" s="18"/>
      <c r="F16702" s="18"/>
    </row>
    <row r="16703" spans="5:6" ht="15" customHeight="1" x14ac:dyDescent="0.2">
      <c r="E16703" s="18"/>
      <c r="F16703" s="18"/>
    </row>
    <row r="16704" spans="5:6" ht="15" customHeight="1" x14ac:dyDescent="0.2">
      <c r="E16704" s="18"/>
      <c r="F16704" s="18"/>
    </row>
    <row r="16705" spans="5:6" ht="15" customHeight="1" x14ac:dyDescent="0.2">
      <c r="E16705" s="18"/>
      <c r="F16705" s="18"/>
    </row>
    <row r="16706" spans="5:6" ht="15" customHeight="1" x14ac:dyDescent="0.2">
      <c r="E16706" s="18"/>
      <c r="F16706" s="18"/>
    </row>
    <row r="16707" spans="5:6" ht="15" customHeight="1" x14ac:dyDescent="0.2">
      <c r="E16707" s="18"/>
      <c r="F16707" s="18"/>
    </row>
    <row r="16708" spans="5:6" ht="15" customHeight="1" x14ac:dyDescent="0.2">
      <c r="E16708" s="18"/>
      <c r="F16708" s="18"/>
    </row>
    <row r="16709" spans="5:6" ht="15" customHeight="1" x14ac:dyDescent="0.2">
      <c r="E16709" s="18"/>
      <c r="F16709" s="18"/>
    </row>
    <row r="16710" spans="5:6" ht="15" customHeight="1" x14ac:dyDescent="0.2">
      <c r="E16710" s="18"/>
      <c r="F16710" s="18"/>
    </row>
    <row r="16711" spans="5:6" ht="15" customHeight="1" x14ac:dyDescent="0.2">
      <c r="E16711" s="18"/>
      <c r="F16711" s="18"/>
    </row>
    <row r="16712" spans="5:6" ht="15" customHeight="1" x14ac:dyDescent="0.2">
      <c r="E16712" s="18"/>
      <c r="F16712" s="18"/>
    </row>
    <row r="16713" spans="5:6" ht="15" customHeight="1" x14ac:dyDescent="0.2">
      <c r="E16713" s="18"/>
      <c r="F16713" s="18"/>
    </row>
    <row r="16714" spans="5:6" ht="15" customHeight="1" x14ac:dyDescent="0.2">
      <c r="E16714" s="18"/>
      <c r="F16714" s="18"/>
    </row>
    <row r="16715" spans="5:6" ht="15" customHeight="1" x14ac:dyDescent="0.2">
      <c r="E16715" s="18"/>
      <c r="F16715" s="18"/>
    </row>
    <row r="16716" spans="5:6" ht="15" customHeight="1" x14ac:dyDescent="0.2">
      <c r="E16716" s="18"/>
      <c r="F16716" s="18"/>
    </row>
    <row r="16717" spans="5:6" ht="15" customHeight="1" x14ac:dyDescent="0.2">
      <c r="E16717" s="18"/>
      <c r="F16717" s="18"/>
    </row>
    <row r="16718" spans="5:6" ht="15" customHeight="1" x14ac:dyDescent="0.2">
      <c r="E16718" s="18"/>
      <c r="F16718" s="18"/>
    </row>
    <row r="16719" spans="5:6" ht="15" customHeight="1" x14ac:dyDescent="0.2">
      <c r="E16719" s="18"/>
      <c r="F16719" s="18"/>
    </row>
    <row r="16720" spans="5:6" ht="15" customHeight="1" x14ac:dyDescent="0.2">
      <c r="E16720" s="18"/>
      <c r="F16720" s="18"/>
    </row>
    <row r="16721" spans="5:6" ht="15" customHeight="1" x14ac:dyDescent="0.2">
      <c r="E16721" s="18"/>
      <c r="F16721" s="18"/>
    </row>
    <row r="16722" spans="5:6" ht="15" customHeight="1" x14ac:dyDescent="0.2">
      <c r="E16722" s="18"/>
      <c r="F16722" s="18"/>
    </row>
    <row r="16723" spans="5:6" ht="15" customHeight="1" x14ac:dyDescent="0.2">
      <c r="E16723" s="18"/>
      <c r="F16723" s="18"/>
    </row>
    <row r="16724" spans="5:6" ht="15" customHeight="1" x14ac:dyDescent="0.2">
      <c r="E16724" s="18"/>
      <c r="F16724" s="18"/>
    </row>
    <row r="16725" spans="5:6" ht="15" customHeight="1" x14ac:dyDescent="0.2">
      <c r="E16725" s="18"/>
      <c r="F16725" s="18"/>
    </row>
    <row r="16726" spans="5:6" ht="15" customHeight="1" x14ac:dyDescent="0.2">
      <c r="E16726" s="18"/>
      <c r="F16726" s="18"/>
    </row>
    <row r="16727" spans="5:6" ht="15" customHeight="1" x14ac:dyDescent="0.2">
      <c r="E16727" s="18"/>
      <c r="F16727" s="18"/>
    </row>
    <row r="16728" spans="5:6" ht="15" customHeight="1" x14ac:dyDescent="0.2">
      <c r="E16728" s="18"/>
      <c r="F16728" s="18"/>
    </row>
    <row r="16729" spans="5:6" ht="15" customHeight="1" x14ac:dyDescent="0.2">
      <c r="E16729" s="18"/>
      <c r="F16729" s="18"/>
    </row>
    <row r="16730" spans="5:6" ht="15" customHeight="1" x14ac:dyDescent="0.2">
      <c r="E16730" s="18"/>
      <c r="F16730" s="18"/>
    </row>
    <row r="16731" spans="5:6" ht="15" customHeight="1" x14ac:dyDescent="0.2">
      <c r="E16731" s="18"/>
      <c r="F16731" s="18"/>
    </row>
    <row r="16732" spans="5:6" ht="15" customHeight="1" x14ac:dyDescent="0.2">
      <c r="E16732" s="18"/>
      <c r="F16732" s="18"/>
    </row>
    <row r="16733" spans="5:6" ht="15" customHeight="1" x14ac:dyDescent="0.2">
      <c r="E16733" s="18"/>
      <c r="F16733" s="18"/>
    </row>
    <row r="16734" spans="5:6" ht="15" customHeight="1" x14ac:dyDescent="0.2">
      <c r="E16734" s="18"/>
      <c r="F16734" s="18"/>
    </row>
    <row r="16735" spans="5:6" ht="15" customHeight="1" x14ac:dyDescent="0.2">
      <c r="E16735" s="18"/>
      <c r="F16735" s="18"/>
    </row>
    <row r="16736" spans="5:6" ht="15" customHeight="1" x14ac:dyDescent="0.2">
      <c r="E16736" s="18"/>
      <c r="F16736" s="18"/>
    </row>
    <row r="16737" spans="5:6" ht="15" customHeight="1" x14ac:dyDescent="0.2">
      <c r="E16737" s="18"/>
      <c r="F16737" s="18"/>
    </row>
    <row r="16738" spans="5:6" ht="15" customHeight="1" x14ac:dyDescent="0.2">
      <c r="E16738" s="18"/>
      <c r="F16738" s="18"/>
    </row>
    <row r="16739" spans="5:6" ht="15" customHeight="1" x14ac:dyDescent="0.2">
      <c r="E16739" s="18"/>
      <c r="F16739" s="18"/>
    </row>
    <row r="16740" spans="5:6" ht="15" customHeight="1" x14ac:dyDescent="0.2">
      <c r="E16740" s="18"/>
      <c r="F16740" s="18"/>
    </row>
    <row r="16741" spans="5:6" ht="15" customHeight="1" x14ac:dyDescent="0.2">
      <c r="E16741" s="18"/>
      <c r="F16741" s="18"/>
    </row>
    <row r="16742" spans="5:6" ht="15" customHeight="1" x14ac:dyDescent="0.2">
      <c r="E16742" s="18"/>
      <c r="F16742" s="18"/>
    </row>
    <row r="16743" spans="5:6" ht="15" customHeight="1" x14ac:dyDescent="0.2">
      <c r="E16743" s="18"/>
      <c r="F16743" s="18"/>
    </row>
    <row r="16744" spans="5:6" ht="15" customHeight="1" x14ac:dyDescent="0.2">
      <c r="E16744" s="18"/>
      <c r="F16744" s="18"/>
    </row>
    <row r="16745" spans="5:6" ht="15" customHeight="1" x14ac:dyDescent="0.2">
      <c r="E16745" s="18"/>
      <c r="F16745" s="18"/>
    </row>
    <row r="16746" spans="5:6" ht="15" customHeight="1" x14ac:dyDescent="0.2">
      <c r="E16746" s="18"/>
      <c r="F16746" s="18"/>
    </row>
    <row r="16747" spans="5:6" ht="15" customHeight="1" x14ac:dyDescent="0.2">
      <c r="E16747" s="18"/>
      <c r="F16747" s="18"/>
    </row>
    <row r="16748" spans="5:6" ht="15" customHeight="1" x14ac:dyDescent="0.2">
      <c r="E16748" s="18"/>
      <c r="F16748" s="18"/>
    </row>
    <row r="16749" spans="5:6" ht="15" customHeight="1" x14ac:dyDescent="0.2">
      <c r="E16749" s="18"/>
      <c r="F16749" s="18"/>
    </row>
    <row r="16750" spans="5:6" ht="15" customHeight="1" x14ac:dyDescent="0.2">
      <c r="E16750" s="18"/>
      <c r="F16750" s="18"/>
    </row>
    <row r="16751" spans="5:6" ht="15" customHeight="1" x14ac:dyDescent="0.2">
      <c r="E16751" s="18"/>
      <c r="F16751" s="18"/>
    </row>
    <row r="16752" spans="5:6" ht="15" customHeight="1" x14ac:dyDescent="0.2">
      <c r="E16752" s="18"/>
      <c r="F16752" s="18"/>
    </row>
    <row r="16753" spans="5:6" ht="15" customHeight="1" x14ac:dyDescent="0.2">
      <c r="E16753" s="18"/>
      <c r="F16753" s="18"/>
    </row>
    <row r="16754" spans="5:6" ht="15" customHeight="1" x14ac:dyDescent="0.2">
      <c r="E16754" s="18"/>
      <c r="F16754" s="18"/>
    </row>
    <row r="16755" spans="5:6" ht="15" customHeight="1" x14ac:dyDescent="0.2">
      <c r="E16755" s="18"/>
      <c r="F16755" s="18"/>
    </row>
    <row r="16756" spans="5:6" ht="15" customHeight="1" x14ac:dyDescent="0.2">
      <c r="E16756" s="18"/>
      <c r="F16756" s="18"/>
    </row>
    <row r="16757" spans="5:6" ht="15" customHeight="1" x14ac:dyDescent="0.2">
      <c r="E16757" s="18"/>
      <c r="F16757" s="18"/>
    </row>
    <row r="16758" spans="5:6" ht="15" customHeight="1" x14ac:dyDescent="0.2">
      <c r="E16758" s="18"/>
      <c r="F16758" s="18"/>
    </row>
    <row r="16759" spans="5:6" ht="15" customHeight="1" x14ac:dyDescent="0.2">
      <c r="E16759" s="18"/>
      <c r="F16759" s="18"/>
    </row>
    <row r="16760" spans="5:6" ht="15" customHeight="1" x14ac:dyDescent="0.2">
      <c r="E16760" s="18"/>
      <c r="F16760" s="18"/>
    </row>
    <row r="16761" spans="5:6" ht="15" customHeight="1" x14ac:dyDescent="0.2">
      <c r="E16761" s="18"/>
      <c r="F16761" s="18"/>
    </row>
    <row r="16762" spans="5:6" ht="15" customHeight="1" x14ac:dyDescent="0.2">
      <c r="E16762" s="18"/>
      <c r="F16762" s="18"/>
    </row>
    <row r="16763" spans="5:6" ht="15" customHeight="1" x14ac:dyDescent="0.2">
      <c r="E16763" s="18"/>
      <c r="F16763" s="18"/>
    </row>
    <row r="16764" spans="5:6" ht="15" customHeight="1" x14ac:dyDescent="0.2">
      <c r="E16764" s="18"/>
      <c r="F16764" s="18"/>
    </row>
    <row r="16765" spans="5:6" ht="15" customHeight="1" x14ac:dyDescent="0.2">
      <c r="E16765" s="18"/>
      <c r="F16765" s="18"/>
    </row>
    <row r="16766" spans="5:6" ht="15" customHeight="1" x14ac:dyDescent="0.2">
      <c r="E16766" s="18"/>
      <c r="F16766" s="18"/>
    </row>
    <row r="16767" spans="5:6" ht="15" customHeight="1" x14ac:dyDescent="0.2">
      <c r="E16767" s="18"/>
      <c r="F16767" s="18"/>
    </row>
    <row r="16768" spans="5:6" ht="15" customHeight="1" x14ac:dyDescent="0.2">
      <c r="E16768" s="18"/>
      <c r="F16768" s="18"/>
    </row>
    <row r="16769" spans="5:6" ht="15" customHeight="1" x14ac:dyDescent="0.2">
      <c r="E16769" s="18"/>
      <c r="F16769" s="18"/>
    </row>
    <row r="16770" spans="5:6" ht="15" customHeight="1" x14ac:dyDescent="0.2">
      <c r="E16770" s="18"/>
      <c r="F16770" s="18"/>
    </row>
    <row r="16771" spans="5:6" ht="15" customHeight="1" x14ac:dyDescent="0.2">
      <c r="E16771" s="18"/>
      <c r="F16771" s="18"/>
    </row>
    <row r="16772" spans="5:6" ht="15" customHeight="1" x14ac:dyDescent="0.2">
      <c r="E16772" s="18"/>
      <c r="F16772" s="18"/>
    </row>
    <row r="16773" spans="5:6" ht="15" customHeight="1" x14ac:dyDescent="0.2">
      <c r="E16773" s="18"/>
      <c r="F16773" s="18"/>
    </row>
    <row r="16774" spans="5:6" ht="15" customHeight="1" x14ac:dyDescent="0.2">
      <c r="E16774" s="18"/>
      <c r="F16774" s="18"/>
    </row>
    <row r="16775" spans="5:6" ht="15" customHeight="1" x14ac:dyDescent="0.2">
      <c r="E16775" s="18"/>
      <c r="F16775" s="18"/>
    </row>
    <row r="16776" spans="5:6" ht="15" customHeight="1" x14ac:dyDescent="0.2">
      <c r="E16776" s="18"/>
      <c r="F16776" s="18"/>
    </row>
    <row r="16777" spans="5:6" ht="15" customHeight="1" x14ac:dyDescent="0.2">
      <c r="E16777" s="18"/>
      <c r="F16777" s="18"/>
    </row>
    <row r="16778" spans="5:6" ht="15" customHeight="1" x14ac:dyDescent="0.2">
      <c r="E16778" s="18"/>
      <c r="F16778" s="18"/>
    </row>
    <row r="16779" spans="5:6" ht="15" customHeight="1" x14ac:dyDescent="0.2">
      <c r="E16779" s="18"/>
      <c r="F16779" s="18"/>
    </row>
    <row r="16780" spans="5:6" ht="15" customHeight="1" x14ac:dyDescent="0.2">
      <c r="E16780" s="18"/>
      <c r="F16780" s="18"/>
    </row>
    <row r="16781" spans="5:6" ht="15" customHeight="1" x14ac:dyDescent="0.2">
      <c r="E16781" s="18"/>
      <c r="F16781" s="18"/>
    </row>
    <row r="16782" spans="5:6" ht="15" customHeight="1" x14ac:dyDescent="0.2">
      <c r="E16782" s="18"/>
      <c r="F16782" s="18"/>
    </row>
    <row r="16783" spans="5:6" ht="15" customHeight="1" x14ac:dyDescent="0.2">
      <c r="E16783" s="18"/>
      <c r="F16783" s="18"/>
    </row>
    <row r="16784" spans="5:6" ht="15" customHeight="1" x14ac:dyDescent="0.2">
      <c r="E16784" s="18"/>
      <c r="F16784" s="18"/>
    </row>
    <row r="16785" spans="5:6" ht="15" customHeight="1" x14ac:dyDescent="0.2">
      <c r="E16785" s="18"/>
      <c r="F16785" s="18"/>
    </row>
    <row r="16786" spans="5:6" ht="15" customHeight="1" x14ac:dyDescent="0.2">
      <c r="E16786" s="18"/>
      <c r="F16786" s="18"/>
    </row>
    <row r="16787" spans="5:6" ht="15" customHeight="1" x14ac:dyDescent="0.2">
      <c r="E16787" s="18"/>
      <c r="F16787" s="18"/>
    </row>
    <row r="16788" spans="5:6" ht="15" customHeight="1" x14ac:dyDescent="0.2">
      <c r="E16788" s="18"/>
      <c r="F16788" s="18"/>
    </row>
    <row r="16789" spans="5:6" ht="15" customHeight="1" x14ac:dyDescent="0.2">
      <c r="E16789" s="18"/>
      <c r="F16789" s="18"/>
    </row>
    <row r="16790" spans="5:6" ht="15" customHeight="1" x14ac:dyDescent="0.2">
      <c r="E16790" s="18"/>
      <c r="F16790" s="18"/>
    </row>
    <row r="16791" spans="5:6" ht="15" customHeight="1" x14ac:dyDescent="0.2">
      <c r="E16791" s="18"/>
      <c r="F16791" s="18"/>
    </row>
    <row r="16792" spans="5:6" ht="15" customHeight="1" x14ac:dyDescent="0.2">
      <c r="E16792" s="18"/>
      <c r="F16792" s="18"/>
    </row>
    <row r="16793" spans="5:6" ht="15" customHeight="1" x14ac:dyDescent="0.2">
      <c r="E16793" s="18"/>
      <c r="F16793" s="18"/>
    </row>
    <row r="16794" spans="5:6" ht="15" customHeight="1" x14ac:dyDescent="0.2">
      <c r="E16794" s="18"/>
      <c r="F16794" s="18"/>
    </row>
    <row r="16795" spans="5:6" ht="15" customHeight="1" x14ac:dyDescent="0.2">
      <c r="E16795" s="18"/>
      <c r="F16795" s="18"/>
    </row>
    <row r="16796" spans="5:6" ht="15" customHeight="1" x14ac:dyDescent="0.2">
      <c r="E16796" s="18"/>
      <c r="F16796" s="18"/>
    </row>
    <row r="16797" spans="5:6" ht="15" customHeight="1" x14ac:dyDescent="0.2">
      <c r="E16797" s="18"/>
      <c r="F16797" s="18"/>
    </row>
    <row r="16798" spans="5:6" ht="15" customHeight="1" x14ac:dyDescent="0.2">
      <c r="E16798" s="18"/>
      <c r="F16798" s="18"/>
    </row>
    <row r="16799" spans="5:6" ht="15" customHeight="1" x14ac:dyDescent="0.2">
      <c r="E16799" s="18"/>
      <c r="F16799" s="18"/>
    </row>
    <row r="16800" spans="5:6" ht="15" customHeight="1" x14ac:dyDescent="0.2">
      <c r="E16800" s="18"/>
      <c r="F16800" s="18"/>
    </row>
    <row r="16801" spans="5:6" ht="15" customHeight="1" x14ac:dyDescent="0.2">
      <c r="E16801" s="18"/>
      <c r="F16801" s="18"/>
    </row>
    <row r="16802" spans="5:6" ht="15" customHeight="1" x14ac:dyDescent="0.2">
      <c r="E16802" s="18"/>
      <c r="F16802" s="18"/>
    </row>
    <row r="16803" spans="5:6" ht="15" customHeight="1" x14ac:dyDescent="0.2">
      <c r="E16803" s="18"/>
      <c r="F16803" s="18"/>
    </row>
    <row r="16804" spans="5:6" ht="15" customHeight="1" x14ac:dyDescent="0.2">
      <c r="E16804" s="18"/>
      <c r="F16804" s="18"/>
    </row>
    <row r="16805" spans="5:6" ht="15" customHeight="1" x14ac:dyDescent="0.2">
      <c r="E16805" s="18"/>
      <c r="F16805" s="18"/>
    </row>
    <row r="16806" spans="5:6" ht="15" customHeight="1" x14ac:dyDescent="0.2">
      <c r="E16806" s="18"/>
      <c r="F16806" s="18"/>
    </row>
    <row r="16807" spans="5:6" ht="15" customHeight="1" x14ac:dyDescent="0.2">
      <c r="E16807" s="18"/>
      <c r="F16807" s="18"/>
    </row>
    <row r="16808" spans="5:6" ht="15" customHeight="1" x14ac:dyDescent="0.2">
      <c r="E16808" s="18"/>
      <c r="F16808" s="18"/>
    </row>
    <row r="16809" spans="5:6" ht="15" customHeight="1" x14ac:dyDescent="0.2">
      <c r="E16809" s="18"/>
      <c r="F16809" s="18"/>
    </row>
    <row r="16810" spans="5:6" ht="15" customHeight="1" x14ac:dyDescent="0.2">
      <c r="E16810" s="18"/>
      <c r="F16810" s="18"/>
    </row>
    <row r="16811" spans="5:6" ht="15" customHeight="1" x14ac:dyDescent="0.2">
      <c r="E16811" s="18"/>
      <c r="F16811" s="18"/>
    </row>
    <row r="16812" spans="5:6" ht="15" customHeight="1" x14ac:dyDescent="0.2">
      <c r="E16812" s="18"/>
      <c r="F16812" s="18"/>
    </row>
    <row r="16813" spans="5:6" ht="15" customHeight="1" x14ac:dyDescent="0.2">
      <c r="E16813" s="18"/>
      <c r="F16813" s="18"/>
    </row>
    <row r="16814" spans="5:6" ht="15" customHeight="1" x14ac:dyDescent="0.2">
      <c r="E16814" s="18"/>
      <c r="F16814" s="18"/>
    </row>
    <row r="16815" spans="5:6" ht="15" customHeight="1" x14ac:dyDescent="0.2">
      <c r="E16815" s="18"/>
      <c r="F16815" s="18"/>
    </row>
    <row r="16816" spans="5:6" ht="15" customHeight="1" x14ac:dyDescent="0.2">
      <c r="E16816" s="18"/>
      <c r="F16816" s="18"/>
    </row>
    <row r="16817" spans="5:6" ht="15" customHeight="1" x14ac:dyDescent="0.2">
      <c r="E16817" s="18"/>
      <c r="F16817" s="18"/>
    </row>
    <row r="16818" spans="5:6" ht="15" customHeight="1" x14ac:dyDescent="0.2">
      <c r="E16818" s="18"/>
      <c r="F16818" s="18"/>
    </row>
    <row r="16819" spans="5:6" ht="15" customHeight="1" x14ac:dyDescent="0.2">
      <c r="E16819" s="18"/>
      <c r="F16819" s="18"/>
    </row>
    <row r="16820" spans="5:6" ht="15" customHeight="1" x14ac:dyDescent="0.2">
      <c r="E16820" s="18"/>
      <c r="F16820" s="18"/>
    </row>
    <row r="16821" spans="5:6" ht="15" customHeight="1" x14ac:dyDescent="0.2">
      <c r="E16821" s="18"/>
      <c r="F16821" s="18"/>
    </row>
    <row r="16822" spans="5:6" ht="15" customHeight="1" x14ac:dyDescent="0.2">
      <c r="E16822" s="18"/>
      <c r="F16822" s="18"/>
    </row>
    <row r="16823" spans="5:6" ht="15" customHeight="1" x14ac:dyDescent="0.2">
      <c r="E16823" s="18"/>
      <c r="F16823" s="18"/>
    </row>
    <row r="16824" spans="5:6" ht="15" customHeight="1" x14ac:dyDescent="0.2">
      <c r="E16824" s="18"/>
      <c r="F16824" s="18"/>
    </row>
    <row r="16825" spans="5:6" ht="15" customHeight="1" x14ac:dyDescent="0.2">
      <c r="E16825" s="18"/>
      <c r="F16825" s="18"/>
    </row>
    <row r="16826" spans="5:6" ht="15" customHeight="1" x14ac:dyDescent="0.2">
      <c r="E16826" s="18"/>
      <c r="F16826" s="18"/>
    </row>
    <row r="16827" spans="5:6" ht="15" customHeight="1" x14ac:dyDescent="0.2">
      <c r="E16827" s="18"/>
      <c r="F16827" s="18"/>
    </row>
    <row r="16828" spans="5:6" ht="15" customHeight="1" x14ac:dyDescent="0.2">
      <c r="E16828" s="18"/>
      <c r="F16828" s="18"/>
    </row>
    <row r="16829" spans="5:6" ht="15" customHeight="1" x14ac:dyDescent="0.2">
      <c r="E16829" s="18"/>
      <c r="F16829" s="18"/>
    </row>
    <row r="16830" spans="5:6" ht="15" customHeight="1" x14ac:dyDescent="0.2">
      <c r="E16830" s="18"/>
      <c r="F16830" s="18"/>
    </row>
    <row r="16831" spans="5:6" ht="15" customHeight="1" x14ac:dyDescent="0.2">
      <c r="E16831" s="18"/>
      <c r="F16831" s="18"/>
    </row>
    <row r="16832" spans="5:6" ht="15" customHeight="1" x14ac:dyDescent="0.2">
      <c r="E16832" s="18"/>
      <c r="F16832" s="18"/>
    </row>
    <row r="16833" spans="5:6" ht="15" customHeight="1" x14ac:dyDescent="0.2">
      <c r="E16833" s="18"/>
      <c r="F16833" s="18"/>
    </row>
    <row r="16834" spans="5:6" ht="15" customHeight="1" x14ac:dyDescent="0.2">
      <c r="E16834" s="18"/>
      <c r="F16834" s="18"/>
    </row>
    <row r="16835" spans="5:6" ht="15" customHeight="1" x14ac:dyDescent="0.2">
      <c r="E16835" s="18"/>
      <c r="F16835" s="18"/>
    </row>
    <row r="16836" spans="5:6" ht="15" customHeight="1" x14ac:dyDescent="0.2">
      <c r="E16836" s="18"/>
      <c r="F16836" s="18"/>
    </row>
    <row r="16837" spans="5:6" ht="15" customHeight="1" x14ac:dyDescent="0.2">
      <c r="E16837" s="18"/>
      <c r="F16837" s="18"/>
    </row>
    <row r="16838" spans="5:6" ht="15" customHeight="1" x14ac:dyDescent="0.2">
      <c r="E16838" s="18"/>
      <c r="F16838" s="18"/>
    </row>
    <row r="16839" spans="5:6" ht="15" customHeight="1" x14ac:dyDescent="0.2">
      <c r="E16839" s="18"/>
      <c r="F16839" s="18"/>
    </row>
    <row r="16840" spans="5:6" ht="15" customHeight="1" x14ac:dyDescent="0.2">
      <c r="E16840" s="18"/>
      <c r="F16840" s="18"/>
    </row>
    <row r="16841" spans="5:6" ht="15" customHeight="1" x14ac:dyDescent="0.2">
      <c r="E16841" s="18"/>
      <c r="F16841" s="18"/>
    </row>
    <row r="16842" spans="5:6" ht="15" customHeight="1" x14ac:dyDescent="0.2">
      <c r="E16842" s="18"/>
      <c r="F16842" s="18"/>
    </row>
    <row r="16843" spans="5:6" ht="15" customHeight="1" x14ac:dyDescent="0.2">
      <c r="E16843" s="18"/>
      <c r="F16843" s="18"/>
    </row>
    <row r="16844" spans="5:6" ht="15" customHeight="1" x14ac:dyDescent="0.2">
      <c r="E16844" s="18"/>
      <c r="F16844" s="18"/>
    </row>
    <row r="16845" spans="5:6" ht="15" customHeight="1" x14ac:dyDescent="0.2">
      <c r="E16845" s="18"/>
      <c r="F16845" s="18"/>
    </row>
    <row r="16846" spans="5:6" ht="15" customHeight="1" x14ac:dyDescent="0.2">
      <c r="E16846" s="18"/>
      <c r="F16846" s="18"/>
    </row>
    <row r="16847" spans="5:6" ht="15" customHeight="1" x14ac:dyDescent="0.2">
      <c r="E16847" s="18"/>
      <c r="F16847" s="18"/>
    </row>
    <row r="16848" spans="5:6" ht="15" customHeight="1" x14ac:dyDescent="0.2">
      <c r="E16848" s="18"/>
      <c r="F16848" s="18"/>
    </row>
    <row r="16849" spans="5:6" ht="15" customHeight="1" x14ac:dyDescent="0.2">
      <c r="E16849" s="18"/>
      <c r="F16849" s="18"/>
    </row>
    <row r="16850" spans="5:6" ht="15" customHeight="1" x14ac:dyDescent="0.2">
      <c r="E16850" s="18"/>
      <c r="F16850" s="18"/>
    </row>
    <row r="16851" spans="5:6" ht="15" customHeight="1" x14ac:dyDescent="0.2">
      <c r="E16851" s="18"/>
      <c r="F16851" s="18"/>
    </row>
    <row r="16852" spans="5:6" ht="15" customHeight="1" x14ac:dyDescent="0.2">
      <c r="E16852" s="18"/>
      <c r="F16852" s="18"/>
    </row>
    <row r="16853" spans="5:6" ht="15" customHeight="1" x14ac:dyDescent="0.2">
      <c r="E16853" s="18"/>
      <c r="F16853" s="18"/>
    </row>
    <row r="16854" spans="5:6" ht="15" customHeight="1" x14ac:dyDescent="0.2">
      <c r="E16854" s="18"/>
      <c r="F16854" s="18"/>
    </row>
    <row r="16855" spans="5:6" ht="15" customHeight="1" x14ac:dyDescent="0.2">
      <c r="E16855" s="18"/>
      <c r="F16855" s="18"/>
    </row>
    <row r="16856" spans="5:6" ht="15" customHeight="1" x14ac:dyDescent="0.2">
      <c r="E16856" s="18"/>
      <c r="F16856" s="18"/>
    </row>
    <row r="16857" spans="5:6" ht="15" customHeight="1" x14ac:dyDescent="0.2">
      <c r="E16857" s="18"/>
      <c r="F16857" s="18"/>
    </row>
    <row r="16858" spans="5:6" ht="15" customHeight="1" x14ac:dyDescent="0.2">
      <c r="E16858" s="18"/>
      <c r="F16858" s="18"/>
    </row>
    <row r="16859" spans="5:6" ht="15" customHeight="1" x14ac:dyDescent="0.2">
      <c r="E16859" s="18"/>
      <c r="F16859" s="18"/>
    </row>
    <row r="16860" spans="5:6" ht="15" customHeight="1" x14ac:dyDescent="0.2">
      <c r="E16860" s="18"/>
      <c r="F16860" s="18"/>
    </row>
    <row r="16861" spans="5:6" ht="15" customHeight="1" x14ac:dyDescent="0.2">
      <c r="E16861" s="18"/>
      <c r="F16861" s="18"/>
    </row>
    <row r="16862" spans="5:6" ht="15" customHeight="1" x14ac:dyDescent="0.2">
      <c r="E16862" s="18"/>
      <c r="F16862" s="18"/>
    </row>
    <row r="16863" spans="5:6" ht="15" customHeight="1" x14ac:dyDescent="0.2">
      <c r="E16863" s="18"/>
      <c r="F16863" s="18"/>
    </row>
    <row r="16864" spans="5:6" ht="15" customHeight="1" x14ac:dyDescent="0.2">
      <c r="E16864" s="18"/>
      <c r="F16864" s="18"/>
    </row>
    <row r="16865" spans="5:6" ht="15" customHeight="1" x14ac:dyDescent="0.2">
      <c r="E16865" s="18"/>
      <c r="F16865" s="18"/>
    </row>
    <row r="16866" spans="5:6" ht="15" customHeight="1" x14ac:dyDescent="0.2">
      <c r="E16866" s="18"/>
      <c r="F16866" s="18"/>
    </row>
    <row r="16867" spans="5:6" ht="15" customHeight="1" x14ac:dyDescent="0.2">
      <c r="E16867" s="18"/>
      <c r="F16867" s="18"/>
    </row>
    <row r="16868" spans="5:6" ht="15" customHeight="1" x14ac:dyDescent="0.2">
      <c r="E16868" s="18"/>
      <c r="F16868" s="18"/>
    </row>
    <row r="16869" spans="5:6" ht="15" customHeight="1" x14ac:dyDescent="0.2">
      <c r="E16869" s="18"/>
      <c r="F16869" s="18"/>
    </row>
    <row r="16870" spans="5:6" ht="15" customHeight="1" x14ac:dyDescent="0.2">
      <c r="E16870" s="18"/>
      <c r="F16870" s="18"/>
    </row>
    <row r="16871" spans="5:6" ht="15" customHeight="1" x14ac:dyDescent="0.2">
      <c r="E16871" s="18"/>
      <c r="F16871" s="18"/>
    </row>
    <row r="16872" spans="5:6" ht="15" customHeight="1" x14ac:dyDescent="0.2">
      <c r="E16872" s="18"/>
      <c r="F16872" s="18"/>
    </row>
    <row r="16873" spans="5:6" ht="15" customHeight="1" x14ac:dyDescent="0.2">
      <c r="E16873" s="18"/>
      <c r="F16873" s="18"/>
    </row>
    <row r="16874" spans="5:6" ht="15" customHeight="1" x14ac:dyDescent="0.2">
      <c r="E16874" s="18"/>
      <c r="F16874" s="18"/>
    </row>
    <row r="16875" spans="5:6" ht="15" customHeight="1" x14ac:dyDescent="0.2">
      <c r="E16875" s="18"/>
      <c r="F16875" s="18"/>
    </row>
    <row r="16876" spans="5:6" ht="15" customHeight="1" x14ac:dyDescent="0.2">
      <c r="E16876" s="18"/>
      <c r="F16876" s="18"/>
    </row>
    <row r="16877" spans="5:6" ht="15" customHeight="1" x14ac:dyDescent="0.2">
      <c r="E16877" s="18"/>
      <c r="F16877" s="18"/>
    </row>
    <row r="16878" spans="5:6" ht="15" customHeight="1" x14ac:dyDescent="0.2">
      <c r="E16878" s="18"/>
      <c r="F16878" s="18"/>
    </row>
    <row r="16879" spans="5:6" ht="15" customHeight="1" x14ac:dyDescent="0.2">
      <c r="E16879" s="18"/>
      <c r="F16879" s="18"/>
    </row>
    <row r="16880" spans="5:6" ht="15" customHeight="1" x14ac:dyDescent="0.2">
      <c r="E16880" s="18"/>
      <c r="F16880" s="18"/>
    </row>
    <row r="16881" spans="5:6" ht="15" customHeight="1" x14ac:dyDescent="0.2">
      <c r="E16881" s="18"/>
      <c r="F16881" s="18"/>
    </row>
    <row r="16882" spans="5:6" ht="15" customHeight="1" x14ac:dyDescent="0.2">
      <c r="E16882" s="18"/>
      <c r="F16882" s="18"/>
    </row>
    <row r="16883" spans="5:6" ht="15" customHeight="1" x14ac:dyDescent="0.2">
      <c r="E16883" s="18"/>
      <c r="F16883" s="18"/>
    </row>
    <row r="16884" spans="5:6" ht="15" customHeight="1" x14ac:dyDescent="0.2">
      <c r="E16884" s="18"/>
      <c r="F16884" s="18"/>
    </row>
    <row r="16885" spans="5:6" ht="15" customHeight="1" x14ac:dyDescent="0.2">
      <c r="E16885" s="18"/>
      <c r="F16885" s="18"/>
    </row>
    <row r="16886" spans="5:6" ht="15" customHeight="1" x14ac:dyDescent="0.2">
      <c r="E16886" s="18"/>
      <c r="F16886" s="18"/>
    </row>
    <row r="16887" spans="5:6" ht="15" customHeight="1" x14ac:dyDescent="0.2">
      <c r="E16887" s="18"/>
      <c r="F16887" s="18"/>
    </row>
    <row r="16888" spans="5:6" ht="15" customHeight="1" x14ac:dyDescent="0.2">
      <c r="E16888" s="18"/>
      <c r="F16888" s="18"/>
    </row>
    <row r="16889" spans="5:6" ht="15" customHeight="1" x14ac:dyDescent="0.2">
      <c r="E16889" s="18"/>
      <c r="F16889" s="18"/>
    </row>
    <row r="16890" spans="5:6" ht="15" customHeight="1" x14ac:dyDescent="0.2">
      <c r="E16890" s="18"/>
      <c r="F16890" s="18"/>
    </row>
    <row r="16891" spans="5:6" ht="15" customHeight="1" x14ac:dyDescent="0.2">
      <c r="E16891" s="18"/>
      <c r="F16891" s="18"/>
    </row>
    <row r="16892" spans="5:6" ht="15" customHeight="1" x14ac:dyDescent="0.2">
      <c r="E16892" s="18"/>
      <c r="F16892" s="18"/>
    </row>
    <row r="16893" spans="5:6" ht="15" customHeight="1" x14ac:dyDescent="0.2">
      <c r="E16893" s="18"/>
      <c r="F16893" s="18"/>
    </row>
    <row r="16894" spans="5:6" ht="15" customHeight="1" x14ac:dyDescent="0.2">
      <c r="E16894" s="18"/>
      <c r="F16894" s="18"/>
    </row>
    <row r="16895" spans="5:6" ht="15" customHeight="1" x14ac:dyDescent="0.2">
      <c r="E16895" s="18"/>
      <c r="F16895" s="18"/>
    </row>
    <row r="16896" spans="5:6" ht="15" customHeight="1" x14ac:dyDescent="0.2">
      <c r="E16896" s="18"/>
      <c r="F16896" s="18"/>
    </row>
    <row r="16897" spans="5:6" ht="15" customHeight="1" x14ac:dyDescent="0.2">
      <c r="E16897" s="18"/>
      <c r="F16897" s="18"/>
    </row>
    <row r="16898" spans="5:6" ht="15" customHeight="1" x14ac:dyDescent="0.2">
      <c r="E16898" s="18"/>
      <c r="F16898" s="18"/>
    </row>
    <row r="16899" spans="5:6" ht="15" customHeight="1" x14ac:dyDescent="0.2">
      <c r="E16899" s="18"/>
      <c r="F16899" s="18"/>
    </row>
    <row r="16900" spans="5:6" ht="15" customHeight="1" x14ac:dyDescent="0.2">
      <c r="E16900" s="18"/>
      <c r="F16900" s="18"/>
    </row>
    <row r="16901" spans="5:6" ht="15" customHeight="1" x14ac:dyDescent="0.2">
      <c r="E16901" s="18"/>
      <c r="F16901" s="18"/>
    </row>
    <row r="16902" spans="5:6" ht="15" customHeight="1" x14ac:dyDescent="0.2">
      <c r="E16902" s="18"/>
      <c r="F16902" s="18"/>
    </row>
    <row r="16903" spans="5:6" ht="15" customHeight="1" x14ac:dyDescent="0.2">
      <c r="E16903" s="18"/>
      <c r="F16903" s="18"/>
    </row>
    <row r="16904" spans="5:6" ht="15" customHeight="1" x14ac:dyDescent="0.2">
      <c r="E16904" s="18"/>
      <c r="F16904" s="18"/>
    </row>
    <row r="16905" spans="5:6" ht="15" customHeight="1" x14ac:dyDescent="0.2">
      <c r="E16905" s="18"/>
      <c r="F16905" s="18"/>
    </row>
    <row r="16906" spans="5:6" ht="15" customHeight="1" x14ac:dyDescent="0.2">
      <c r="E16906" s="18"/>
      <c r="F16906" s="18"/>
    </row>
    <row r="16907" spans="5:6" ht="15" customHeight="1" x14ac:dyDescent="0.2">
      <c r="E16907" s="18"/>
      <c r="F16907" s="18"/>
    </row>
    <row r="16908" spans="5:6" ht="15" customHeight="1" x14ac:dyDescent="0.2">
      <c r="E16908" s="18"/>
      <c r="F16908" s="18"/>
    </row>
    <row r="16909" spans="5:6" ht="15" customHeight="1" x14ac:dyDescent="0.2">
      <c r="E16909" s="18"/>
      <c r="F16909" s="18"/>
    </row>
    <row r="16910" spans="5:6" ht="15" customHeight="1" x14ac:dyDescent="0.2">
      <c r="E16910" s="18"/>
      <c r="F16910" s="18"/>
    </row>
    <row r="16911" spans="5:6" ht="15" customHeight="1" x14ac:dyDescent="0.2">
      <c r="E16911" s="18"/>
      <c r="F16911" s="18"/>
    </row>
    <row r="16912" spans="5:6" ht="15" customHeight="1" x14ac:dyDescent="0.2">
      <c r="E16912" s="18"/>
      <c r="F16912" s="18"/>
    </row>
    <row r="16913" spans="5:6" ht="15" customHeight="1" x14ac:dyDescent="0.2">
      <c r="E16913" s="18"/>
      <c r="F16913" s="18"/>
    </row>
    <row r="16914" spans="5:6" ht="15" customHeight="1" x14ac:dyDescent="0.2">
      <c r="E16914" s="18"/>
      <c r="F16914" s="18"/>
    </row>
    <row r="16915" spans="5:6" ht="15" customHeight="1" x14ac:dyDescent="0.2">
      <c r="E16915" s="18"/>
      <c r="F16915" s="18"/>
    </row>
    <row r="16916" spans="5:6" ht="15" customHeight="1" x14ac:dyDescent="0.2">
      <c r="E16916" s="18"/>
      <c r="F16916" s="18"/>
    </row>
    <row r="16917" spans="5:6" ht="15" customHeight="1" x14ac:dyDescent="0.2">
      <c r="E16917" s="18"/>
      <c r="F16917" s="18"/>
    </row>
    <row r="16918" spans="5:6" ht="15" customHeight="1" x14ac:dyDescent="0.2">
      <c r="E16918" s="18"/>
      <c r="F16918" s="18"/>
    </row>
    <row r="16919" spans="5:6" ht="15" customHeight="1" x14ac:dyDescent="0.2">
      <c r="E16919" s="18"/>
      <c r="F16919" s="18"/>
    </row>
    <row r="16920" spans="5:6" ht="15" customHeight="1" x14ac:dyDescent="0.2">
      <c r="E16920" s="18"/>
      <c r="F16920" s="18"/>
    </row>
    <row r="16921" spans="5:6" ht="15" customHeight="1" x14ac:dyDescent="0.2">
      <c r="E16921" s="18"/>
      <c r="F16921" s="18"/>
    </row>
    <row r="16922" spans="5:6" ht="15" customHeight="1" x14ac:dyDescent="0.2">
      <c r="E16922" s="18"/>
      <c r="F16922" s="18"/>
    </row>
    <row r="16923" spans="5:6" ht="15" customHeight="1" x14ac:dyDescent="0.2">
      <c r="E16923" s="18"/>
      <c r="F16923" s="18"/>
    </row>
    <row r="16924" spans="5:6" ht="15" customHeight="1" x14ac:dyDescent="0.2">
      <c r="E16924" s="18"/>
      <c r="F16924" s="18"/>
    </row>
    <row r="16925" spans="5:6" ht="15" customHeight="1" x14ac:dyDescent="0.2">
      <c r="E16925" s="18"/>
      <c r="F16925" s="18"/>
    </row>
    <row r="16926" spans="5:6" ht="15" customHeight="1" x14ac:dyDescent="0.2">
      <c r="E16926" s="18"/>
      <c r="F16926" s="18"/>
    </row>
    <row r="16927" spans="5:6" ht="15" customHeight="1" x14ac:dyDescent="0.2">
      <c r="E16927" s="18"/>
      <c r="F16927" s="18"/>
    </row>
    <row r="16928" spans="5:6" ht="15" customHeight="1" x14ac:dyDescent="0.2">
      <c r="E16928" s="18"/>
      <c r="F16928" s="18"/>
    </row>
    <row r="16929" spans="5:6" ht="15" customHeight="1" x14ac:dyDescent="0.2">
      <c r="E16929" s="18"/>
      <c r="F16929" s="18"/>
    </row>
    <row r="16930" spans="5:6" ht="15" customHeight="1" x14ac:dyDescent="0.2">
      <c r="E16930" s="18"/>
      <c r="F16930" s="18"/>
    </row>
    <row r="16931" spans="5:6" ht="15" customHeight="1" x14ac:dyDescent="0.2">
      <c r="E16931" s="18"/>
      <c r="F16931" s="18"/>
    </row>
    <row r="16932" spans="5:6" ht="15" customHeight="1" x14ac:dyDescent="0.2">
      <c r="E16932" s="18"/>
      <c r="F16932" s="18"/>
    </row>
    <row r="16933" spans="5:6" ht="15" customHeight="1" x14ac:dyDescent="0.2">
      <c r="E16933" s="18"/>
      <c r="F16933" s="18"/>
    </row>
    <row r="16934" spans="5:6" ht="15" customHeight="1" x14ac:dyDescent="0.2">
      <c r="E16934" s="18"/>
      <c r="F16934" s="18"/>
    </row>
    <row r="16935" spans="5:6" ht="15" customHeight="1" x14ac:dyDescent="0.2">
      <c r="E16935" s="18"/>
      <c r="F16935" s="18"/>
    </row>
    <row r="16936" spans="5:6" ht="15" customHeight="1" x14ac:dyDescent="0.2">
      <c r="E16936" s="18"/>
      <c r="F16936" s="18"/>
    </row>
    <row r="16937" spans="5:6" ht="15" customHeight="1" x14ac:dyDescent="0.2">
      <c r="E16937" s="18"/>
      <c r="F16937" s="18"/>
    </row>
    <row r="16938" spans="5:6" ht="15" customHeight="1" x14ac:dyDescent="0.2">
      <c r="E16938" s="18"/>
      <c r="F16938" s="18"/>
    </row>
    <row r="16939" spans="5:6" ht="15" customHeight="1" x14ac:dyDescent="0.2">
      <c r="E16939" s="18"/>
      <c r="F16939" s="18"/>
    </row>
    <row r="16940" spans="5:6" ht="15" customHeight="1" x14ac:dyDescent="0.2">
      <c r="E16940" s="18"/>
      <c r="F16940" s="18"/>
    </row>
    <row r="16941" spans="5:6" ht="15" customHeight="1" x14ac:dyDescent="0.2">
      <c r="E16941" s="18"/>
      <c r="F16941" s="18"/>
    </row>
    <row r="16942" spans="5:6" ht="15" customHeight="1" x14ac:dyDescent="0.2">
      <c r="E16942" s="18"/>
      <c r="F16942" s="18"/>
    </row>
    <row r="16943" spans="5:6" ht="15" customHeight="1" x14ac:dyDescent="0.2">
      <c r="E16943" s="18"/>
      <c r="F16943" s="18"/>
    </row>
    <row r="16944" spans="5:6" ht="15" customHeight="1" x14ac:dyDescent="0.2">
      <c r="E16944" s="18"/>
      <c r="F16944" s="18"/>
    </row>
    <row r="16945" spans="5:6" ht="15" customHeight="1" x14ac:dyDescent="0.2">
      <c r="E16945" s="18"/>
      <c r="F16945" s="18"/>
    </row>
    <row r="16946" spans="5:6" ht="15" customHeight="1" x14ac:dyDescent="0.2">
      <c r="E16946" s="18"/>
      <c r="F16946" s="18"/>
    </row>
    <row r="16947" spans="5:6" ht="15" customHeight="1" x14ac:dyDescent="0.2">
      <c r="E16947" s="18"/>
      <c r="F16947" s="18"/>
    </row>
    <row r="16948" spans="5:6" ht="15" customHeight="1" x14ac:dyDescent="0.2">
      <c r="E16948" s="18"/>
      <c r="F16948" s="18"/>
    </row>
    <row r="16949" spans="5:6" ht="15" customHeight="1" x14ac:dyDescent="0.2">
      <c r="E16949" s="18"/>
      <c r="F16949" s="18"/>
    </row>
    <row r="16950" spans="5:6" ht="15" customHeight="1" x14ac:dyDescent="0.2">
      <c r="E16950" s="18"/>
      <c r="F16950" s="18"/>
    </row>
    <row r="16951" spans="5:6" ht="15" customHeight="1" x14ac:dyDescent="0.2">
      <c r="E16951" s="18"/>
      <c r="F16951" s="18"/>
    </row>
    <row r="16952" spans="5:6" ht="15" customHeight="1" x14ac:dyDescent="0.2">
      <c r="E16952" s="18"/>
      <c r="F16952" s="18"/>
    </row>
    <row r="16953" spans="5:6" ht="15" customHeight="1" x14ac:dyDescent="0.2">
      <c r="E16953" s="18"/>
      <c r="F16953" s="18"/>
    </row>
    <row r="16954" spans="5:6" ht="15" customHeight="1" x14ac:dyDescent="0.2">
      <c r="E16954" s="18"/>
      <c r="F16954" s="18"/>
    </row>
    <row r="16955" spans="5:6" ht="15" customHeight="1" x14ac:dyDescent="0.2">
      <c r="E16955" s="18"/>
      <c r="F16955" s="18"/>
    </row>
    <row r="16956" spans="5:6" ht="15" customHeight="1" x14ac:dyDescent="0.2">
      <c r="E16956" s="18"/>
      <c r="F16956" s="18"/>
    </row>
    <row r="16957" spans="5:6" ht="15" customHeight="1" x14ac:dyDescent="0.2">
      <c r="E16957" s="18"/>
      <c r="F16957" s="18"/>
    </row>
    <row r="16958" spans="5:6" ht="15" customHeight="1" x14ac:dyDescent="0.2">
      <c r="E16958" s="18"/>
      <c r="F16958" s="18"/>
    </row>
    <row r="16959" spans="5:6" ht="15" customHeight="1" x14ac:dyDescent="0.2">
      <c r="E16959" s="18"/>
      <c r="F16959" s="18"/>
    </row>
    <row r="16960" spans="5:6" ht="15" customHeight="1" x14ac:dyDescent="0.2">
      <c r="E16960" s="18"/>
      <c r="F16960" s="18"/>
    </row>
    <row r="16961" spans="5:6" ht="15" customHeight="1" x14ac:dyDescent="0.2">
      <c r="E16961" s="18"/>
      <c r="F16961" s="18"/>
    </row>
    <row r="16962" spans="5:6" ht="15" customHeight="1" x14ac:dyDescent="0.2">
      <c r="E16962" s="18"/>
      <c r="F16962" s="18"/>
    </row>
    <row r="16963" spans="5:6" ht="15" customHeight="1" x14ac:dyDescent="0.2">
      <c r="E16963" s="18"/>
      <c r="F16963" s="18"/>
    </row>
    <row r="16964" spans="5:6" ht="15" customHeight="1" x14ac:dyDescent="0.2">
      <c r="E16964" s="18"/>
      <c r="F16964" s="18"/>
    </row>
    <row r="16965" spans="5:6" ht="15" customHeight="1" x14ac:dyDescent="0.2">
      <c r="E16965" s="18"/>
      <c r="F16965" s="18"/>
    </row>
    <row r="16966" spans="5:6" ht="15" customHeight="1" x14ac:dyDescent="0.2">
      <c r="E16966" s="18"/>
      <c r="F16966" s="18"/>
    </row>
    <row r="16967" spans="5:6" ht="15" customHeight="1" x14ac:dyDescent="0.2">
      <c r="E16967" s="18"/>
      <c r="F16967" s="18"/>
    </row>
    <row r="16968" spans="5:6" ht="15" customHeight="1" x14ac:dyDescent="0.2">
      <c r="E16968" s="18"/>
      <c r="F16968" s="18"/>
    </row>
    <row r="16969" spans="5:6" ht="15" customHeight="1" x14ac:dyDescent="0.2">
      <c r="E16969" s="18"/>
      <c r="F16969" s="18"/>
    </row>
    <row r="16970" spans="5:6" ht="15" customHeight="1" x14ac:dyDescent="0.2">
      <c r="E16970" s="18"/>
      <c r="F16970" s="18"/>
    </row>
    <row r="16971" spans="5:6" ht="15" customHeight="1" x14ac:dyDescent="0.2">
      <c r="E16971" s="18"/>
      <c r="F16971" s="18"/>
    </row>
    <row r="16972" spans="5:6" ht="15" customHeight="1" x14ac:dyDescent="0.2">
      <c r="E16972" s="18"/>
      <c r="F16972" s="18"/>
    </row>
    <row r="16973" spans="5:6" ht="15" customHeight="1" x14ac:dyDescent="0.2">
      <c r="E16973" s="18"/>
      <c r="F16973" s="18"/>
    </row>
    <row r="16974" spans="5:6" ht="15" customHeight="1" x14ac:dyDescent="0.2">
      <c r="E16974" s="18"/>
      <c r="F16974" s="18"/>
    </row>
    <row r="16975" spans="5:6" ht="15" customHeight="1" x14ac:dyDescent="0.2">
      <c r="E16975" s="18"/>
      <c r="F16975" s="18"/>
    </row>
    <row r="16976" spans="5:6" ht="15" customHeight="1" x14ac:dyDescent="0.2">
      <c r="E16976" s="18"/>
      <c r="F16976" s="18"/>
    </row>
    <row r="16977" spans="5:6" ht="15" customHeight="1" x14ac:dyDescent="0.2">
      <c r="E16977" s="18"/>
      <c r="F16977" s="18"/>
    </row>
    <row r="16978" spans="5:6" ht="15" customHeight="1" x14ac:dyDescent="0.2">
      <c r="E16978" s="18"/>
      <c r="F16978" s="18"/>
    </row>
    <row r="16979" spans="5:6" ht="15" customHeight="1" x14ac:dyDescent="0.2">
      <c r="E16979" s="18"/>
      <c r="F16979" s="18"/>
    </row>
    <row r="16980" spans="5:6" ht="15" customHeight="1" x14ac:dyDescent="0.2">
      <c r="E16980" s="18"/>
      <c r="F16980" s="18"/>
    </row>
    <row r="16981" spans="5:6" ht="15" customHeight="1" x14ac:dyDescent="0.2">
      <c r="E16981" s="18"/>
      <c r="F16981" s="18"/>
    </row>
    <row r="16982" spans="5:6" ht="15" customHeight="1" x14ac:dyDescent="0.2">
      <c r="E16982" s="18"/>
      <c r="F16982" s="18"/>
    </row>
    <row r="16983" spans="5:6" ht="15" customHeight="1" x14ac:dyDescent="0.2">
      <c r="E16983" s="18"/>
      <c r="F16983" s="18"/>
    </row>
    <row r="16984" spans="5:6" ht="15" customHeight="1" x14ac:dyDescent="0.2">
      <c r="E16984" s="18"/>
      <c r="F16984" s="18"/>
    </row>
    <row r="16985" spans="5:6" ht="15" customHeight="1" x14ac:dyDescent="0.2">
      <c r="E16985" s="18"/>
      <c r="F16985" s="18"/>
    </row>
    <row r="16986" spans="5:6" ht="15" customHeight="1" x14ac:dyDescent="0.2">
      <c r="E16986" s="18"/>
      <c r="F16986" s="18"/>
    </row>
    <row r="16987" spans="5:6" ht="15" customHeight="1" x14ac:dyDescent="0.2">
      <c r="E16987" s="18"/>
      <c r="F16987" s="18"/>
    </row>
    <row r="16988" spans="5:6" ht="15" customHeight="1" x14ac:dyDescent="0.2">
      <c r="E16988" s="18"/>
      <c r="F16988" s="18"/>
    </row>
    <row r="16989" spans="5:6" ht="15" customHeight="1" x14ac:dyDescent="0.2">
      <c r="E16989" s="18"/>
      <c r="F16989" s="18"/>
    </row>
    <row r="16990" spans="5:6" ht="15" customHeight="1" x14ac:dyDescent="0.2">
      <c r="E16990" s="18"/>
      <c r="F16990" s="18"/>
    </row>
    <row r="16991" spans="5:6" ht="15" customHeight="1" x14ac:dyDescent="0.2">
      <c r="E16991" s="18"/>
      <c r="F16991" s="18"/>
    </row>
    <row r="16992" spans="5:6" ht="15" customHeight="1" x14ac:dyDescent="0.2">
      <c r="E16992" s="18"/>
      <c r="F16992" s="18"/>
    </row>
    <row r="16993" spans="5:6" ht="15" customHeight="1" x14ac:dyDescent="0.2">
      <c r="E16993" s="18"/>
      <c r="F16993" s="18"/>
    </row>
    <row r="16994" spans="5:6" ht="15" customHeight="1" x14ac:dyDescent="0.2">
      <c r="E16994" s="18"/>
      <c r="F16994" s="18"/>
    </row>
    <row r="16995" spans="5:6" ht="15" customHeight="1" x14ac:dyDescent="0.2">
      <c r="E16995" s="18"/>
      <c r="F16995" s="18"/>
    </row>
    <row r="16996" spans="5:6" ht="15" customHeight="1" x14ac:dyDescent="0.2">
      <c r="E16996" s="18"/>
      <c r="F16996" s="18"/>
    </row>
    <row r="16997" spans="5:6" ht="15" customHeight="1" x14ac:dyDescent="0.2">
      <c r="E16997" s="18"/>
      <c r="F16997" s="18"/>
    </row>
    <row r="16998" spans="5:6" ht="15" customHeight="1" x14ac:dyDescent="0.2">
      <c r="E16998" s="18"/>
      <c r="F16998" s="18"/>
    </row>
    <row r="16999" spans="5:6" ht="15" customHeight="1" x14ac:dyDescent="0.2">
      <c r="E16999" s="18"/>
      <c r="F16999" s="18"/>
    </row>
    <row r="17000" spans="5:6" ht="15" customHeight="1" x14ac:dyDescent="0.2">
      <c r="E17000" s="18"/>
      <c r="F17000" s="18"/>
    </row>
    <row r="17001" spans="5:6" ht="15" customHeight="1" x14ac:dyDescent="0.2">
      <c r="E17001" s="18"/>
      <c r="F17001" s="18"/>
    </row>
    <row r="17002" spans="5:6" ht="15" customHeight="1" x14ac:dyDescent="0.2">
      <c r="E17002" s="18"/>
      <c r="F17002" s="18"/>
    </row>
    <row r="17003" spans="5:6" ht="15" customHeight="1" x14ac:dyDescent="0.2">
      <c r="E17003" s="18"/>
      <c r="F17003" s="18"/>
    </row>
    <row r="17004" spans="5:6" ht="15" customHeight="1" x14ac:dyDescent="0.2">
      <c r="E17004" s="18"/>
      <c r="F17004" s="18"/>
    </row>
    <row r="17005" spans="5:6" ht="15" customHeight="1" x14ac:dyDescent="0.2">
      <c r="E17005" s="18"/>
      <c r="F17005" s="18"/>
    </row>
    <row r="17006" spans="5:6" ht="15" customHeight="1" x14ac:dyDescent="0.2">
      <c r="E17006" s="18"/>
      <c r="F17006" s="18"/>
    </row>
    <row r="17007" spans="5:6" ht="15" customHeight="1" x14ac:dyDescent="0.2">
      <c r="E17007" s="18"/>
      <c r="F17007" s="18"/>
    </row>
    <row r="17008" spans="5:6" ht="15" customHeight="1" x14ac:dyDescent="0.2">
      <c r="E17008" s="18"/>
      <c r="F17008" s="18"/>
    </row>
    <row r="17009" spans="5:6" ht="15" customHeight="1" x14ac:dyDescent="0.2">
      <c r="E17009" s="18"/>
      <c r="F17009" s="18"/>
    </row>
    <row r="17010" spans="5:6" ht="15" customHeight="1" x14ac:dyDescent="0.2">
      <c r="E17010" s="18"/>
      <c r="F17010" s="18"/>
    </row>
    <row r="17011" spans="5:6" ht="15" customHeight="1" x14ac:dyDescent="0.2">
      <c r="E17011" s="18"/>
      <c r="F17011" s="18"/>
    </row>
    <row r="17012" spans="5:6" ht="15" customHeight="1" x14ac:dyDescent="0.2">
      <c r="E17012" s="18"/>
      <c r="F17012" s="18"/>
    </row>
    <row r="17013" spans="5:6" ht="15" customHeight="1" x14ac:dyDescent="0.2">
      <c r="E17013" s="18"/>
      <c r="F17013" s="18"/>
    </row>
    <row r="17014" spans="5:6" ht="15" customHeight="1" x14ac:dyDescent="0.2">
      <c r="E17014" s="18"/>
      <c r="F17014" s="18"/>
    </row>
    <row r="17015" spans="5:6" ht="15" customHeight="1" x14ac:dyDescent="0.2">
      <c r="E17015" s="18"/>
      <c r="F17015" s="18"/>
    </row>
    <row r="17016" spans="5:6" ht="15" customHeight="1" x14ac:dyDescent="0.2">
      <c r="E17016" s="18"/>
      <c r="F17016" s="18"/>
    </row>
    <row r="17017" spans="5:6" ht="15" customHeight="1" x14ac:dyDescent="0.2">
      <c r="E17017" s="18"/>
      <c r="F17017" s="18"/>
    </row>
    <row r="17018" spans="5:6" ht="15" customHeight="1" x14ac:dyDescent="0.2">
      <c r="E17018" s="18"/>
      <c r="F17018" s="18"/>
    </row>
    <row r="17019" spans="5:6" ht="15" customHeight="1" x14ac:dyDescent="0.2">
      <c r="E17019" s="18"/>
      <c r="F17019" s="18"/>
    </row>
    <row r="17020" spans="5:6" ht="15" customHeight="1" x14ac:dyDescent="0.2">
      <c r="E17020" s="18"/>
      <c r="F17020" s="18"/>
    </row>
    <row r="17021" spans="5:6" ht="15" customHeight="1" x14ac:dyDescent="0.2">
      <c r="E17021" s="18"/>
      <c r="F17021" s="18"/>
    </row>
    <row r="17022" spans="5:6" ht="15" customHeight="1" x14ac:dyDescent="0.2">
      <c r="E17022" s="18"/>
      <c r="F17022" s="18"/>
    </row>
    <row r="17023" spans="5:6" ht="15" customHeight="1" x14ac:dyDescent="0.2">
      <c r="E17023" s="18"/>
      <c r="F17023" s="18"/>
    </row>
    <row r="17024" spans="5:6" ht="15" customHeight="1" x14ac:dyDescent="0.2">
      <c r="E17024" s="18"/>
      <c r="F17024" s="18"/>
    </row>
    <row r="17025" spans="5:6" ht="15" customHeight="1" x14ac:dyDescent="0.2">
      <c r="E17025" s="18"/>
      <c r="F17025" s="18"/>
    </row>
    <row r="17026" spans="5:6" ht="15" customHeight="1" x14ac:dyDescent="0.2">
      <c r="E17026" s="18"/>
      <c r="F17026" s="18"/>
    </row>
    <row r="17027" spans="5:6" ht="15" customHeight="1" x14ac:dyDescent="0.2">
      <c r="E17027" s="18"/>
      <c r="F17027" s="18"/>
    </row>
    <row r="17028" spans="5:6" ht="15" customHeight="1" x14ac:dyDescent="0.2">
      <c r="E17028" s="18"/>
      <c r="F17028" s="18"/>
    </row>
    <row r="17029" spans="5:6" ht="15" customHeight="1" x14ac:dyDescent="0.2">
      <c r="E17029" s="18"/>
      <c r="F17029" s="18"/>
    </row>
    <row r="17030" spans="5:6" ht="15" customHeight="1" x14ac:dyDescent="0.2">
      <c r="E17030" s="18"/>
      <c r="F17030" s="18"/>
    </row>
    <row r="17031" spans="5:6" ht="15" customHeight="1" x14ac:dyDescent="0.2">
      <c r="E17031" s="18"/>
      <c r="F17031" s="18"/>
    </row>
    <row r="17032" spans="5:6" ht="15" customHeight="1" x14ac:dyDescent="0.2">
      <c r="E17032" s="18"/>
      <c r="F17032" s="18"/>
    </row>
    <row r="17033" spans="5:6" ht="15" customHeight="1" x14ac:dyDescent="0.2">
      <c r="E17033" s="18"/>
      <c r="F17033" s="18"/>
    </row>
    <row r="17034" spans="5:6" ht="15" customHeight="1" x14ac:dyDescent="0.2">
      <c r="E17034" s="18"/>
      <c r="F17034" s="18"/>
    </row>
    <row r="17035" spans="5:6" ht="15" customHeight="1" x14ac:dyDescent="0.2">
      <c r="E17035" s="18"/>
      <c r="F17035" s="18"/>
    </row>
    <row r="17036" spans="5:6" ht="15" customHeight="1" x14ac:dyDescent="0.2">
      <c r="E17036" s="18"/>
      <c r="F17036" s="18"/>
    </row>
    <row r="17037" spans="5:6" ht="15" customHeight="1" x14ac:dyDescent="0.2">
      <c r="E17037" s="18"/>
      <c r="F17037" s="18"/>
    </row>
    <row r="17038" spans="5:6" ht="15" customHeight="1" x14ac:dyDescent="0.2">
      <c r="E17038" s="18"/>
      <c r="F17038" s="18"/>
    </row>
    <row r="17039" spans="5:6" ht="15" customHeight="1" x14ac:dyDescent="0.2">
      <c r="E17039" s="18"/>
      <c r="F17039" s="18"/>
    </row>
    <row r="17040" spans="5:6" ht="15" customHeight="1" x14ac:dyDescent="0.2">
      <c r="E17040" s="18"/>
      <c r="F17040" s="18"/>
    </row>
    <row r="17041" spans="5:6" ht="15" customHeight="1" x14ac:dyDescent="0.2">
      <c r="E17041" s="18"/>
      <c r="F17041" s="18"/>
    </row>
    <row r="17042" spans="5:6" ht="15" customHeight="1" x14ac:dyDescent="0.2">
      <c r="E17042" s="18"/>
      <c r="F17042" s="18"/>
    </row>
    <row r="17043" spans="5:6" ht="15" customHeight="1" x14ac:dyDescent="0.2">
      <c r="E17043" s="18"/>
      <c r="F17043" s="18"/>
    </row>
    <row r="17044" spans="5:6" ht="15" customHeight="1" x14ac:dyDescent="0.2">
      <c r="E17044" s="18"/>
      <c r="F17044" s="18"/>
    </row>
    <row r="17045" spans="5:6" ht="15" customHeight="1" x14ac:dyDescent="0.2">
      <c r="E17045" s="18"/>
      <c r="F17045" s="18"/>
    </row>
    <row r="17046" spans="5:6" ht="15" customHeight="1" x14ac:dyDescent="0.2">
      <c r="E17046" s="18"/>
      <c r="F17046" s="18"/>
    </row>
    <row r="17047" spans="5:6" ht="15" customHeight="1" x14ac:dyDescent="0.2">
      <c r="E17047" s="18"/>
      <c r="F17047" s="18"/>
    </row>
    <row r="17048" spans="5:6" ht="15" customHeight="1" x14ac:dyDescent="0.2">
      <c r="E17048" s="18"/>
      <c r="F17048" s="18"/>
    </row>
    <row r="17049" spans="5:6" ht="15" customHeight="1" x14ac:dyDescent="0.2">
      <c r="E17049" s="18"/>
      <c r="F17049" s="18"/>
    </row>
    <row r="17050" spans="5:6" ht="15" customHeight="1" x14ac:dyDescent="0.2">
      <c r="E17050" s="18"/>
      <c r="F17050" s="18"/>
    </row>
    <row r="17051" spans="5:6" ht="15" customHeight="1" x14ac:dyDescent="0.2">
      <c r="E17051" s="18"/>
      <c r="F17051" s="18"/>
    </row>
    <row r="17052" spans="5:6" ht="15" customHeight="1" x14ac:dyDescent="0.2">
      <c r="E17052" s="18"/>
      <c r="F17052" s="18"/>
    </row>
    <row r="17053" spans="5:6" ht="15" customHeight="1" x14ac:dyDescent="0.2">
      <c r="E17053" s="18"/>
      <c r="F17053" s="18"/>
    </row>
    <row r="17054" spans="5:6" ht="15" customHeight="1" x14ac:dyDescent="0.2">
      <c r="E17054" s="18"/>
      <c r="F17054" s="18"/>
    </row>
    <row r="17055" spans="5:6" ht="15" customHeight="1" x14ac:dyDescent="0.2">
      <c r="E17055" s="18"/>
      <c r="F17055" s="18"/>
    </row>
    <row r="17056" spans="5:6" ht="15" customHeight="1" x14ac:dyDescent="0.2">
      <c r="E17056" s="18"/>
      <c r="F17056" s="18"/>
    </row>
    <row r="17057" spans="5:6" ht="15" customHeight="1" x14ac:dyDescent="0.2">
      <c r="E17057" s="18"/>
      <c r="F17057" s="18"/>
    </row>
    <row r="17058" spans="5:6" ht="15" customHeight="1" x14ac:dyDescent="0.2">
      <c r="E17058" s="18"/>
      <c r="F17058" s="18"/>
    </row>
    <row r="17059" spans="5:6" ht="15" customHeight="1" x14ac:dyDescent="0.2">
      <c r="E17059" s="18"/>
      <c r="F17059" s="18"/>
    </row>
    <row r="17060" spans="5:6" ht="15" customHeight="1" x14ac:dyDescent="0.2">
      <c r="E17060" s="18"/>
      <c r="F17060" s="18"/>
    </row>
    <row r="17061" spans="5:6" ht="15" customHeight="1" x14ac:dyDescent="0.2">
      <c r="E17061" s="18"/>
      <c r="F17061" s="18"/>
    </row>
    <row r="17062" spans="5:6" ht="15" customHeight="1" x14ac:dyDescent="0.2">
      <c r="E17062" s="18"/>
      <c r="F17062" s="18"/>
    </row>
    <row r="17063" spans="5:6" ht="15" customHeight="1" x14ac:dyDescent="0.2">
      <c r="E17063" s="18"/>
      <c r="F17063" s="18"/>
    </row>
    <row r="17064" spans="5:6" ht="15" customHeight="1" x14ac:dyDescent="0.2">
      <c r="E17064" s="18"/>
      <c r="F17064" s="18"/>
    </row>
    <row r="17065" spans="5:6" ht="15" customHeight="1" x14ac:dyDescent="0.2">
      <c r="E17065" s="18"/>
      <c r="F17065" s="18"/>
    </row>
    <row r="17066" spans="5:6" ht="15" customHeight="1" x14ac:dyDescent="0.2">
      <c r="E17066" s="18"/>
      <c r="F17066" s="18"/>
    </row>
    <row r="17067" spans="5:6" ht="15" customHeight="1" x14ac:dyDescent="0.2">
      <c r="E17067" s="18"/>
      <c r="F17067" s="18"/>
    </row>
    <row r="17068" spans="5:6" ht="15" customHeight="1" x14ac:dyDescent="0.2">
      <c r="E17068" s="18"/>
      <c r="F17068" s="18"/>
    </row>
    <row r="17069" spans="5:6" ht="15" customHeight="1" x14ac:dyDescent="0.2">
      <c r="E17069" s="18"/>
      <c r="F17069" s="18"/>
    </row>
    <row r="17070" spans="5:6" ht="15" customHeight="1" x14ac:dyDescent="0.2">
      <c r="E17070" s="18"/>
      <c r="F17070" s="18"/>
    </row>
    <row r="17071" spans="5:6" ht="15" customHeight="1" x14ac:dyDescent="0.2">
      <c r="E17071" s="18"/>
      <c r="F17071" s="18"/>
    </row>
    <row r="17072" spans="5:6" ht="15" customHeight="1" x14ac:dyDescent="0.2">
      <c r="E17072" s="18"/>
      <c r="F17072" s="18"/>
    </row>
    <row r="17073" spans="5:6" ht="15" customHeight="1" x14ac:dyDescent="0.2">
      <c r="E17073" s="18"/>
      <c r="F17073" s="18"/>
    </row>
    <row r="17074" spans="5:6" ht="15" customHeight="1" x14ac:dyDescent="0.2">
      <c r="E17074" s="18"/>
      <c r="F17074" s="18"/>
    </row>
    <row r="17075" spans="5:6" ht="15" customHeight="1" x14ac:dyDescent="0.2">
      <c r="E17075" s="18"/>
      <c r="F17075" s="18"/>
    </row>
    <row r="17076" spans="5:6" ht="15" customHeight="1" x14ac:dyDescent="0.2">
      <c r="E17076" s="18"/>
      <c r="F17076" s="18"/>
    </row>
    <row r="17077" spans="5:6" ht="15" customHeight="1" x14ac:dyDescent="0.2">
      <c r="E17077" s="18"/>
      <c r="F17077" s="18"/>
    </row>
    <row r="17078" spans="5:6" ht="15" customHeight="1" x14ac:dyDescent="0.2">
      <c r="E17078" s="18"/>
      <c r="F17078" s="18"/>
    </row>
    <row r="17079" spans="5:6" ht="15" customHeight="1" x14ac:dyDescent="0.2">
      <c r="E17079" s="18"/>
      <c r="F17079" s="18"/>
    </row>
    <row r="17080" spans="5:6" ht="15" customHeight="1" x14ac:dyDescent="0.2">
      <c r="E17080" s="18"/>
      <c r="F17080" s="18"/>
    </row>
    <row r="17081" spans="5:6" ht="15" customHeight="1" x14ac:dyDescent="0.2">
      <c r="E17081" s="18"/>
      <c r="F17081" s="18"/>
    </row>
    <row r="17082" spans="5:6" ht="15" customHeight="1" x14ac:dyDescent="0.2">
      <c r="E17082" s="18"/>
      <c r="F17082" s="18"/>
    </row>
    <row r="17083" spans="5:6" ht="15" customHeight="1" x14ac:dyDescent="0.2">
      <c r="E17083" s="18"/>
      <c r="F17083" s="18"/>
    </row>
    <row r="17084" spans="5:6" ht="15" customHeight="1" x14ac:dyDescent="0.2">
      <c r="E17084" s="18"/>
      <c r="F17084" s="18"/>
    </row>
    <row r="17085" spans="5:6" ht="15" customHeight="1" x14ac:dyDescent="0.2">
      <c r="E17085" s="18"/>
      <c r="F17085" s="18"/>
    </row>
    <row r="17086" spans="5:6" ht="15" customHeight="1" x14ac:dyDescent="0.2">
      <c r="E17086" s="18"/>
      <c r="F17086" s="18"/>
    </row>
    <row r="17087" spans="5:6" ht="15" customHeight="1" x14ac:dyDescent="0.2">
      <c r="E17087" s="18"/>
      <c r="F17087" s="18"/>
    </row>
    <row r="17088" spans="5:6" ht="15" customHeight="1" x14ac:dyDescent="0.2">
      <c r="E17088" s="18"/>
      <c r="F17088" s="18"/>
    </row>
    <row r="17089" spans="5:6" ht="15" customHeight="1" x14ac:dyDescent="0.2">
      <c r="E17089" s="18"/>
      <c r="F17089" s="18"/>
    </row>
    <row r="17090" spans="5:6" ht="15" customHeight="1" x14ac:dyDescent="0.2">
      <c r="E17090" s="18"/>
      <c r="F17090" s="18"/>
    </row>
    <row r="17091" spans="5:6" ht="15" customHeight="1" x14ac:dyDescent="0.2">
      <c r="E17091" s="18"/>
      <c r="F17091" s="18"/>
    </row>
    <row r="17092" spans="5:6" ht="15" customHeight="1" x14ac:dyDescent="0.2">
      <c r="E17092" s="18"/>
      <c r="F17092" s="18"/>
    </row>
    <row r="17093" spans="5:6" ht="15" customHeight="1" x14ac:dyDescent="0.2">
      <c r="E17093" s="18"/>
      <c r="F17093" s="18"/>
    </row>
    <row r="17094" spans="5:6" ht="15" customHeight="1" x14ac:dyDescent="0.2">
      <c r="E17094" s="18"/>
      <c r="F17094" s="18"/>
    </row>
    <row r="17095" spans="5:6" ht="15" customHeight="1" x14ac:dyDescent="0.2">
      <c r="E17095" s="18"/>
      <c r="F17095" s="18"/>
    </row>
    <row r="17096" spans="5:6" ht="15" customHeight="1" x14ac:dyDescent="0.2">
      <c r="E17096" s="18"/>
      <c r="F17096" s="18"/>
    </row>
    <row r="17097" spans="5:6" ht="15" customHeight="1" x14ac:dyDescent="0.2">
      <c r="E17097" s="18"/>
      <c r="F17097" s="18"/>
    </row>
    <row r="17098" spans="5:6" ht="15" customHeight="1" x14ac:dyDescent="0.2">
      <c r="E17098" s="18"/>
      <c r="F17098" s="18"/>
    </row>
    <row r="17099" spans="5:6" ht="15" customHeight="1" x14ac:dyDescent="0.2">
      <c r="E17099" s="18"/>
      <c r="F17099" s="18"/>
    </row>
    <row r="17100" spans="5:6" ht="15" customHeight="1" x14ac:dyDescent="0.2">
      <c r="E17100" s="18"/>
      <c r="F17100" s="18"/>
    </row>
    <row r="17101" spans="5:6" ht="15" customHeight="1" x14ac:dyDescent="0.2">
      <c r="E17101" s="18"/>
      <c r="F17101" s="18"/>
    </row>
    <row r="17102" spans="5:6" ht="15" customHeight="1" x14ac:dyDescent="0.2">
      <c r="E17102" s="18"/>
      <c r="F17102" s="18"/>
    </row>
    <row r="17103" spans="5:6" ht="15" customHeight="1" x14ac:dyDescent="0.2">
      <c r="E17103" s="18"/>
      <c r="F17103" s="18"/>
    </row>
    <row r="17104" spans="5:6" ht="15" customHeight="1" x14ac:dyDescent="0.2">
      <c r="E17104" s="18"/>
      <c r="F17104" s="18"/>
    </row>
    <row r="17105" spans="5:6" ht="15" customHeight="1" x14ac:dyDescent="0.2">
      <c r="E17105" s="18"/>
      <c r="F17105" s="18"/>
    </row>
    <row r="17106" spans="5:6" ht="15" customHeight="1" x14ac:dyDescent="0.2">
      <c r="E17106" s="18"/>
      <c r="F17106" s="18"/>
    </row>
    <row r="17107" spans="5:6" ht="15" customHeight="1" x14ac:dyDescent="0.2">
      <c r="E17107" s="18"/>
      <c r="F17107" s="18"/>
    </row>
    <row r="17108" spans="5:6" ht="15" customHeight="1" x14ac:dyDescent="0.2">
      <c r="E17108" s="18"/>
      <c r="F17108" s="18"/>
    </row>
    <row r="17109" spans="5:6" ht="15" customHeight="1" x14ac:dyDescent="0.2">
      <c r="E17109" s="18"/>
      <c r="F17109" s="18"/>
    </row>
    <row r="17110" spans="5:6" ht="15" customHeight="1" x14ac:dyDescent="0.2">
      <c r="E17110" s="18"/>
      <c r="F17110" s="18"/>
    </row>
    <row r="17111" spans="5:6" ht="15" customHeight="1" x14ac:dyDescent="0.2">
      <c r="E17111" s="18"/>
      <c r="F17111" s="18"/>
    </row>
    <row r="17112" spans="5:6" ht="15" customHeight="1" x14ac:dyDescent="0.2">
      <c r="E17112" s="18"/>
      <c r="F17112" s="18"/>
    </row>
    <row r="17113" spans="5:6" ht="15" customHeight="1" x14ac:dyDescent="0.2">
      <c r="E17113" s="18"/>
      <c r="F17113" s="18"/>
    </row>
    <row r="17114" spans="5:6" ht="15" customHeight="1" x14ac:dyDescent="0.2">
      <c r="E17114" s="18"/>
      <c r="F17114" s="18"/>
    </row>
    <row r="17115" spans="5:6" ht="15" customHeight="1" x14ac:dyDescent="0.2">
      <c r="E17115" s="18"/>
      <c r="F17115" s="18"/>
    </row>
    <row r="17116" spans="5:6" ht="15" customHeight="1" x14ac:dyDescent="0.2">
      <c r="E17116" s="18"/>
      <c r="F17116" s="18"/>
    </row>
    <row r="17117" spans="5:6" ht="15" customHeight="1" x14ac:dyDescent="0.2">
      <c r="E17117" s="18"/>
      <c r="F17117" s="18"/>
    </row>
    <row r="17118" spans="5:6" ht="15" customHeight="1" x14ac:dyDescent="0.2">
      <c r="E17118" s="18"/>
      <c r="F17118" s="18"/>
    </row>
    <row r="17119" spans="5:6" ht="15" customHeight="1" x14ac:dyDescent="0.2">
      <c r="E17119" s="18"/>
      <c r="F17119" s="18"/>
    </row>
    <row r="17120" spans="5:6" ht="15" customHeight="1" x14ac:dyDescent="0.2">
      <c r="E17120" s="18"/>
      <c r="F17120" s="18"/>
    </row>
    <row r="17121" spans="5:6" ht="15" customHeight="1" x14ac:dyDescent="0.2">
      <c r="E17121" s="18"/>
      <c r="F17121" s="18"/>
    </row>
    <row r="17122" spans="5:6" ht="15" customHeight="1" x14ac:dyDescent="0.2">
      <c r="E17122" s="18"/>
      <c r="F17122" s="18"/>
    </row>
    <row r="17123" spans="5:6" ht="15" customHeight="1" x14ac:dyDescent="0.2">
      <c r="E17123" s="18"/>
      <c r="F17123" s="18"/>
    </row>
    <row r="17124" spans="5:6" ht="15" customHeight="1" x14ac:dyDescent="0.2">
      <c r="E17124" s="18"/>
      <c r="F17124" s="18"/>
    </row>
    <row r="17125" spans="5:6" ht="15" customHeight="1" x14ac:dyDescent="0.2">
      <c r="E17125" s="18"/>
      <c r="F17125" s="18"/>
    </row>
    <row r="17126" spans="5:6" ht="15" customHeight="1" x14ac:dyDescent="0.2">
      <c r="E17126" s="18"/>
      <c r="F17126" s="18"/>
    </row>
    <row r="17127" spans="5:6" ht="15" customHeight="1" x14ac:dyDescent="0.2">
      <c r="E17127" s="18"/>
      <c r="F17127" s="18"/>
    </row>
    <row r="17128" spans="5:6" ht="15" customHeight="1" x14ac:dyDescent="0.2">
      <c r="E17128" s="18"/>
      <c r="F17128" s="18"/>
    </row>
    <row r="17129" spans="5:6" ht="15" customHeight="1" x14ac:dyDescent="0.2">
      <c r="E17129" s="18"/>
      <c r="F17129" s="18"/>
    </row>
    <row r="17130" spans="5:6" ht="15" customHeight="1" x14ac:dyDescent="0.2">
      <c r="E17130" s="18"/>
      <c r="F17130" s="18"/>
    </row>
    <row r="17131" spans="5:6" ht="15" customHeight="1" x14ac:dyDescent="0.2">
      <c r="E17131" s="18"/>
      <c r="F17131" s="18"/>
    </row>
    <row r="17132" spans="5:6" ht="15" customHeight="1" x14ac:dyDescent="0.2">
      <c r="E17132" s="18"/>
      <c r="F17132" s="18"/>
    </row>
    <row r="17133" spans="5:6" ht="15" customHeight="1" x14ac:dyDescent="0.2">
      <c r="E17133" s="18"/>
      <c r="F17133" s="18"/>
    </row>
    <row r="17134" spans="5:6" ht="15" customHeight="1" x14ac:dyDescent="0.2">
      <c r="E17134" s="18"/>
      <c r="F17134" s="18"/>
    </row>
    <row r="17135" spans="5:6" ht="15" customHeight="1" x14ac:dyDescent="0.2">
      <c r="E17135" s="18"/>
      <c r="F17135" s="18"/>
    </row>
    <row r="17136" spans="5:6" ht="15" customHeight="1" x14ac:dyDescent="0.2">
      <c r="E17136" s="18"/>
      <c r="F17136" s="18"/>
    </row>
    <row r="17137" spans="5:6" ht="15" customHeight="1" x14ac:dyDescent="0.2">
      <c r="E17137" s="18"/>
      <c r="F17137" s="18"/>
    </row>
    <row r="17138" spans="5:6" ht="15" customHeight="1" x14ac:dyDescent="0.2">
      <c r="E17138" s="18"/>
      <c r="F17138" s="18"/>
    </row>
    <row r="17139" spans="5:6" ht="15" customHeight="1" x14ac:dyDescent="0.2">
      <c r="E17139" s="18"/>
      <c r="F17139" s="18"/>
    </row>
    <row r="17140" spans="5:6" ht="15" customHeight="1" x14ac:dyDescent="0.2">
      <c r="E17140" s="18"/>
      <c r="F17140" s="18"/>
    </row>
    <row r="17141" spans="5:6" ht="15" customHeight="1" x14ac:dyDescent="0.2">
      <c r="E17141" s="18"/>
      <c r="F17141" s="18"/>
    </row>
    <row r="17142" spans="5:6" ht="15" customHeight="1" x14ac:dyDescent="0.2">
      <c r="E17142" s="18"/>
      <c r="F17142" s="18"/>
    </row>
    <row r="17143" spans="5:6" ht="15" customHeight="1" x14ac:dyDescent="0.2">
      <c r="E17143" s="18"/>
      <c r="F17143" s="18"/>
    </row>
    <row r="17144" spans="5:6" ht="15" customHeight="1" x14ac:dyDescent="0.2">
      <c r="E17144" s="18"/>
      <c r="F17144" s="18"/>
    </row>
    <row r="17145" spans="5:6" ht="15" customHeight="1" x14ac:dyDescent="0.2">
      <c r="E17145" s="18"/>
      <c r="F17145" s="18"/>
    </row>
    <row r="17146" spans="5:6" ht="15" customHeight="1" x14ac:dyDescent="0.2">
      <c r="E17146" s="18"/>
      <c r="F17146" s="18"/>
    </row>
    <row r="17147" spans="5:6" ht="15" customHeight="1" x14ac:dyDescent="0.2">
      <c r="E17147" s="18"/>
      <c r="F17147" s="18"/>
    </row>
    <row r="17148" spans="5:6" ht="15" customHeight="1" x14ac:dyDescent="0.2">
      <c r="E17148" s="18"/>
      <c r="F17148" s="18"/>
    </row>
    <row r="17149" spans="5:6" ht="15" customHeight="1" x14ac:dyDescent="0.2">
      <c r="E17149" s="18"/>
      <c r="F17149" s="18"/>
    </row>
    <row r="17150" spans="5:6" ht="15" customHeight="1" x14ac:dyDescent="0.2">
      <c r="E17150" s="18"/>
      <c r="F17150" s="18"/>
    </row>
    <row r="17151" spans="5:6" ht="15" customHeight="1" x14ac:dyDescent="0.2">
      <c r="E17151" s="18"/>
      <c r="F17151" s="18"/>
    </row>
    <row r="17152" spans="5:6" ht="15" customHeight="1" x14ac:dyDescent="0.2">
      <c r="E17152" s="18"/>
      <c r="F17152" s="18"/>
    </row>
    <row r="17153" spans="5:6" ht="15" customHeight="1" x14ac:dyDescent="0.2">
      <c r="E17153" s="18"/>
      <c r="F17153" s="18"/>
    </row>
    <row r="17154" spans="5:6" ht="15" customHeight="1" x14ac:dyDescent="0.2">
      <c r="E17154" s="18"/>
      <c r="F17154" s="18"/>
    </row>
    <row r="17155" spans="5:6" ht="15" customHeight="1" x14ac:dyDescent="0.2">
      <c r="E17155" s="18"/>
      <c r="F17155" s="18"/>
    </row>
    <row r="17156" spans="5:6" ht="15" customHeight="1" x14ac:dyDescent="0.2">
      <c r="E17156" s="18"/>
      <c r="F17156" s="18"/>
    </row>
    <row r="17157" spans="5:6" ht="15" customHeight="1" x14ac:dyDescent="0.2">
      <c r="E17157" s="18"/>
      <c r="F17157" s="18"/>
    </row>
    <row r="17158" spans="5:6" ht="15" customHeight="1" x14ac:dyDescent="0.2">
      <c r="E17158" s="18"/>
      <c r="F17158" s="18"/>
    </row>
    <row r="17159" spans="5:6" ht="15" customHeight="1" x14ac:dyDescent="0.2">
      <c r="E17159" s="18"/>
      <c r="F17159" s="18"/>
    </row>
    <row r="17160" spans="5:6" ht="15" customHeight="1" x14ac:dyDescent="0.2">
      <c r="E17160" s="18"/>
      <c r="F17160" s="18"/>
    </row>
    <row r="17161" spans="5:6" ht="15" customHeight="1" x14ac:dyDescent="0.2">
      <c r="E17161" s="18"/>
      <c r="F17161" s="18"/>
    </row>
    <row r="17162" spans="5:6" ht="15" customHeight="1" x14ac:dyDescent="0.2">
      <c r="E17162" s="18"/>
      <c r="F17162" s="18"/>
    </row>
    <row r="17163" spans="5:6" ht="15" customHeight="1" x14ac:dyDescent="0.2">
      <c r="E17163" s="18"/>
      <c r="F17163" s="18"/>
    </row>
    <row r="17164" spans="5:6" ht="15" customHeight="1" x14ac:dyDescent="0.2">
      <c r="E17164" s="18"/>
      <c r="F17164" s="18"/>
    </row>
    <row r="17165" spans="5:6" ht="15" customHeight="1" x14ac:dyDescent="0.2">
      <c r="E17165" s="18"/>
      <c r="F17165" s="18"/>
    </row>
    <row r="17166" spans="5:6" ht="15" customHeight="1" x14ac:dyDescent="0.2">
      <c r="E17166" s="18"/>
      <c r="F17166" s="18"/>
    </row>
    <row r="17167" spans="5:6" ht="15" customHeight="1" x14ac:dyDescent="0.2">
      <c r="E17167" s="18"/>
      <c r="F17167" s="18"/>
    </row>
    <row r="17168" spans="5:6" ht="15" customHeight="1" x14ac:dyDescent="0.2">
      <c r="E17168" s="18"/>
      <c r="F17168" s="18"/>
    </row>
    <row r="17169" spans="5:6" ht="15" customHeight="1" x14ac:dyDescent="0.2">
      <c r="E17169" s="18"/>
      <c r="F17169" s="18"/>
    </row>
    <row r="17170" spans="5:6" ht="15" customHeight="1" x14ac:dyDescent="0.2">
      <c r="E17170" s="18"/>
      <c r="F17170" s="18"/>
    </row>
    <row r="17171" spans="5:6" ht="15" customHeight="1" x14ac:dyDescent="0.2">
      <c r="E17171" s="18"/>
      <c r="F17171" s="18"/>
    </row>
    <row r="17172" spans="5:6" ht="15" customHeight="1" x14ac:dyDescent="0.2">
      <c r="E17172" s="18"/>
      <c r="F17172" s="18"/>
    </row>
    <row r="17173" spans="5:6" ht="15" customHeight="1" x14ac:dyDescent="0.2">
      <c r="E17173" s="18"/>
      <c r="F17173" s="18"/>
    </row>
    <row r="17174" spans="5:6" ht="15" customHeight="1" x14ac:dyDescent="0.2">
      <c r="E17174" s="18"/>
      <c r="F17174" s="18"/>
    </row>
    <row r="17175" spans="5:6" ht="15" customHeight="1" x14ac:dyDescent="0.2">
      <c r="E17175" s="18"/>
      <c r="F17175" s="18"/>
    </row>
    <row r="17176" spans="5:6" ht="15" customHeight="1" x14ac:dyDescent="0.2">
      <c r="E17176" s="18"/>
      <c r="F17176" s="18"/>
    </row>
    <row r="17177" spans="5:6" ht="15" customHeight="1" x14ac:dyDescent="0.2">
      <c r="E17177" s="18"/>
      <c r="F17177" s="18"/>
    </row>
    <row r="17178" spans="5:6" ht="15" customHeight="1" x14ac:dyDescent="0.2">
      <c r="E17178" s="18"/>
      <c r="F17178" s="18"/>
    </row>
    <row r="17179" spans="5:6" ht="15" customHeight="1" x14ac:dyDescent="0.2">
      <c r="E17179" s="18"/>
      <c r="F17179" s="18"/>
    </row>
    <row r="17180" spans="5:6" ht="15" customHeight="1" x14ac:dyDescent="0.2">
      <c r="E17180" s="18"/>
      <c r="F17180" s="18"/>
    </row>
    <row r="17181" spans="5:6" ht="15" customHeight="1" x14ac:dyDescent="0.2">
      <c r="E17181" s="18"/>
      <c r="F17181" s="18"/>
    </row>
    <row r="17182" spans="5:6" ht="15" customHeight="1" x14ac:dyDescent="0.2">
      <c r="E17182" s="18"/>
      <c r="F17182" s="18"/>
    </row>
    <row r="17183" spans="5:6" ht="15" customHeight="1" x14ac:dyDescent="0.2">
      <c r="E17183" s="18"/>
      <c r="F17183" s="18"/>
    </row>
    <row r="17184" spans="5:6" ht="15" customHeight="1" x14ac:dyDescent="0.2">
      <c r="E17184" s="18"/>
      <c r="F17184" s="18"/>
    </row>
    <row r="17185" spans="5:6" ht="15" customHeight="1" x14ac:dyDescent="0.2">
      <c r="E17185" s="18"/>
      <c r="F17185" s="18"/>
    </row>
    <row r="17186" spans="5:6" ht="15" customHeight="1" x14ac:dyDescent="0.2">
      <c r="E17186" s="18"/>
      <c r="F17186" s="18"/>
    </row>
    <row r="17187" spans="5:6" ht="15" customHeight="1" x14ac:dyDescent="0.2">
      <c r="E17187" s="18"/>
      <c r="F17187" s="18"/>
    </row>
    <row r="17188" spans="5:6" ht="15" customHeight="1" x14ac:dyDescent="0.2">
      <c r="E17188" s="18"/>
      <c r="F17188" s="18"/>
    </row>
    <row r="17189" spans="5:6" ht="15" customHeight="1" x14ac:dyDescent="0.2">
      <c r="E17189" s="18"/>
      <c r="F17189" s="18"/>
    </row>
    <row r="17190" spans="5:6" ht="15" customHeight="1" x14ac:dyDescent="0.2">
      <c r="E17190" s="18"/>
      <c r="F17190" s="18"/>
    </row>
    <row r="17191" spans="5:6" ht="15" customHeight="1" x14ac:dyDescent="0.2">
      <c r="E17191" s="18"/>
      <c r="F17191" s="18"/>
    </row>
    <row r="17192" spans="5:6" ht="15" customHeight="1" x14ac:dyDescent="0.2">
      <c r="E17192" s="18"/>
      <c r="F17192" s="18"/>
    </row>
    <row r="17193" spans="5:6" ht="15" customHeight="1" x14ac:dyDescent="0.2">
      <c r="E17193" s="18"/>
      <c r="F17193" s="18"/>
    </row>
    <row r="17194" spans="5:6" ht="15" customHeight="1" x14ac:dyDescent="0.2">
      <c r="E17194" s="18"/>
      <c r="F17194" s="18"/>
    </row>
    <row r="17195" spans="5:6" ht="15" customHeight="1" x14ac:dyDescent="0.2">
      <c r="E17195" s="18"/>
      <c r="F17195" s="18"/>
    </row>
    <row r="17196" spans="5:6" ht="15" customHeight="1" x14ac:dyDescent="0.2">
      <c r="E17196" s="18"/>
      <c r="F17196" s="18"/>
    </row>
    <row r="17197" spans="5:6" ht="15" customHeight="1" x14ac:dyDescent="0.2">
      <c r="E17197" s="18"/>
      <c r="F17197" s="18"/>
    </row>
    <row r="17198" spans="5:6" ht="15" customHeight="1" x14ac:dyDescent="0.2">
      <c r="E17198" s="18"/>
      <c r="F17198" s="18"/>
    </row>
    <row r="17199" spans="5:6" ht="15" customHeight="1" x14ac:dyDescent="0.2">
      <c r="E17199" s="18"/>
      <c r="F17199" s="18"/>
    </row>
    <row r="17200" spans="5:6" ht="15" customHeight="1" x14ac:dyDescent="0.2">
      <c r="E17200" s="18"/>
      <c r="F17200" s="18"/>
    </row>
    <row r="17201" spans="5:6" ht="15" customHeight="1" x14ac:dyDescent="0.2">
      <c r="E17201" s="18"/>
      <c r="F17201" s="18"/>
    </row>
    <row r="17202" spans="5:6" ht="15" customHeight="1" x14ac:dyDescent="0.2">
      <c r="E17202" s="18"/>
      <c r="F17202" s="18"/>
    </row>
    <row r="17203" spans="5:6" ht="15" customHeight="1" x14ac:dyDescent="0.2">
      <c r="E17203" s="18"/>
      <c r="F17203" s="18"/>
    </row>
    <row r="17204" spans="5:6" ht="15" customHeight="1" x14ac:dyDescent="0.2">
      <c r="E17204" s="18"/>
      <c r="F17204" s="18"/>
    </row>
    <row r="17205" spans="5:6" ht="15" customHeight="1" x14ac:dyDescent="0.2">
      <c r="E17205" s="18"/>
      <c r="F17205" s="18"/>
    </row>
    <row r="17206" spans="5:6" ht="15" customHeight="1" x14ac:dyDescent="0.2">
      <c r="E17206" s="18"/>
      <c r="F17206" s="18"/>
    </row>
    <row r="17207" spans="5:6" ht="15" customHeight="1" x14ac:dyDescent="0.2">
      <c r="E17207" s="18"/>
      <c r="F17207" s="18"/>
    </row>
    <row r="17208" spans="5:6" ht="15" customHeight="1" x14ac:dyDescent="0.2">
      <c r="E17208" s="18"/>
      <c r="F17208" s="18"/>
    </row>
    <row r="17209" spans="5:6" ht="15" customHeight="1" x14ac:dyDescent="0.2">
      <c r="E17209" s="18"/>
      <c r="F17209" s="18"/>
    </row>
    <row r="17210" spans="5:6" ht="15" customHeight="1" x14ac:dyDescent="0.2">
      <c r="E17210" s="18"/>
      <c r="F17210" s="18"/>
    </row>
    <row r="17211" spans="5:6" ht="15" customHeight="1" x14ac:dyDescent="0.2">
      <c r="E17211" s="18"/>
      <c r="F17211" s="18"/>
    </row>
    <row r="17212" spans="5:6" ht="15" customHeight="1" x14ac:dyDescent="0.2">
      <c r="E17212" s="18"/>
      <c r="F17212" s="18"/>
    </row>
    <row r="17213" spans="5:6" ht="15" customHeight="1" x14ac:dyDescent="0.2">
      <c r="E17213" s="18"/>
      <c r="F17213" s="18"/>
    </row>
    <row r="17214" spans="5:6" ht="15" customHeight="1" x14ac:dyDescent="0.2">
      <c r="E17214" s="18"/>
      <c r="F17214" s="18"/>
    </row>
    <row r="17215" spans="5:6" ht="15" customHeight="1" x14ac:dyDescent="0.2">
      <c r="E17215" s="18"/>
      <c r="F17215" s="18"/>
    </row>
    <row r="17216" spans="5:6" ht="15" customHeight="1" x14ac:dyDescent="0.2">
      <c r="E17216" s="18"/>
      <c r="F17216" s="18"/>
    </row>
    <row r="17217" spans="5:6" ht="15" customHeight="1" x14ac:dyDescent="0.2">
      <c r="E17217" s="18"/>
      <c r="F17217" s="18"/>
    </row>
    <row r="17218" spans="5:6" ht="15" customHeight="1" x14ac:dyDescent="0.2">
      <c r="E17218" s="18"/>
      <c r="F17218" s="18"/>
    </row>
    <row r="17219" spans="5:6" ht="15" customHeight="1" x14ac:dyDescent="0.2">
      <c r="E17219" s="18"/>
      <c r="F17219" s="18"/>
    </row>
    <row r="17220" spans="5:6" ht="15" customHeight="1" x14ac:dyDescent="0.2">
      <c r="E17220" s="18"/>
      <c r="F17220" s="18"/>
    </row>
    <row r="17221" spans="5:6" ht="15" customHeight="1" x14ac:dyDescent="0.2">
      <c r="E17221" s="18"/>
      <c r="F17221" s="18"/>
    </row>
    <row r="17222" spans="5:6" ht="15" customHeight="1" x14ac:dyDescent="0.2">
      <c r="E17222" s="18"/>
      <c r="F17222" s="18"/>
    </row>
    <row r="17223" spans="5:6" ht="15" customHeight="1" x14ac:dyDescent="0.2">
      <c r="E17223" s="18"/>
      <c r="F17223" s="18"/>
    </row>
    <row r="17224" spans="5:6" ht="15" customHeight="1" x14ac:dyDescent="0.2">
      <c r="E17224" s="18"/>
      <c r="F17224" s="18"/>
    </row>
    <row r="17225" spans="5:6" ht="15" customHeight="1" x14ac:dyDescent="0.2">
      <c r="E17225" s="18"/>
      <c r="F17225" s="18"/>
    </row>
    <row r="17226" spans="5:6" ht="15" customHeight="1" x14ac:dyDescent="0.2">
      <c r="E17226" s="18"/>
      <c r="F17226" s="18"/>
    </row>
    <row r="17227" spans="5:6" ht="15" customHeight="1" x14ac:dyDescent="0.2">
      <c r="E17227" s="18"/>
      <c r="F17227" s="18"/>
    </row>
    <row r="17228" spans="5:6" ht="15" customHeight="1" x14ac:dyDescent="0.2">
      <c r="E17228" s="18"/>
      <c r="F17228" s="18"/>
    </row>
    <row r="17229" spans="5:6" ht="15" customHeight="1" x14ac:dyDescent="0.2">
      <c r="E17229" s="18"/>
      <c r="F17229" s="18"/>
    </row>
    <row r="17230" spans="5:6" ht="15" customHeight="1" x14ac:dyDescent="0.2">
      <c r="E17230" s="18"/>
      <c r="F17230" s="18"/>
    </row>
    <row r="17231" spans="5:6" ht="15" customHeight="1" x14ac:dyDescent="0.2">
      <c r="E17231" s="18"/>
      <c r="F17231" s="18"/>
    </row>
    <row r="17232" spans="5:6" ht="15" customHeight="1" x14ac:dyDescent="0.2">
      <c r="E17232" s="18"/>
      <c r="F17232" s="18"/>
    </row>
    <row r="17233" spans="5:6" ht="15" customHeight="1" x14ac:dyDescent="0.2">
      <c r="E17233" s="18"/>
      <c r="F17233" s="18"/>
    </row>
    <row r="17234" spans="5:6" ht="15" customHeight="1" x14ac:dyDescent="0.2">
      <c r="E17234" s="18"/>
      <c r="F17234" s="18"/>
    </row>
    <row r="17235" spans="5:6" ht="15" customHeight="1" x14ac:dyDescent="0.2">
      <c r="E17235" s="18"/>
      <c r="F17235" s="18"/>
    </row>
    <row r="17236" spans="5:6" ht="15" customHeight="1" x14ac:dyDescent="0.2">
      <c r="E17236" s="18"/>
      <c r="F17236" s="18"/>
    </row>
    <row r="17237" spans="5:6" ht="15" customHeight="1" x14ac:dyDescent="0.2">
      <c r="E17237" s="18"/>
      <c r="F17237" s="18"/>
    </row>
    <row r="17238" spans="5:6" ht="15" customHeight="1" x14ac:dyDescent="0.2">
      <c r="E17238" s="18"/>
      <c r="F17238" s="18"/>
    </row>
    <row r="17239" spans="5:6" ht="15" customHeight="1" x14ac:dyDescent="0.2">
      <c r="E17239" s="18"/>
      <c r="F17239" s="18"/>
    </row>
    <row r="17240" spans="5:6" ht="15" customHeight="1" x14ac:dyDescent="0.2">
      <c r="E17240" s="18"/>
      <c r="F17240" s="18"/>
    </row>
    <row r="17241" spans="5:6" ht="15" customHeight="1" x14ac:dyDescent="0.2">
      <c r="E17241" s="18"/>
      <c r="F17241" s="18"/>
    </row>
    <row r="17242" spans="5:6" ht="15" customHeight="1" x14ac:dyDescent="0.2">
      <c r="E17242" s="18"/>
      <c r="F17242" s="18"/>
    </row>
    <row r="17243" spans="5:6" ht="15" customHeight="1" x14ac:dyDescent="0.2">
      <c r="E17243" s="18"/>
      <c r="F17243" s="18"/>
    </row>
    <row r="17244" spans="5:6" ht="15" customHeight="1" x14ac:dyDescent="0.2">
      <c r="E17244" s="18"/>
      <c r="F17244" s="18"/>
    </row>
    <row r="17245" spans="5:6" ht="15" customHeight="1" x14ac:dyDescent="0.2">
      <c r="E17245" s="18"/>
      <c r="F17245" s="18"/>
    </row>
    <row r="17246" spans="5:6" ht="15" customHeight="1" x14ac:dyDescent="0.2">
      <c r="E17246" s="18"/>
      <c r="F17246" s="18"/>
    </row>
    <row r="17247" spans="5:6" ht="15" customHeight="1" x14ac:dyDescent="0.2">
      <c r="E17247" s="18"/>
      <c r="F17247" s="18"/>
    </row>
    <row r="17248" spans="5:6" ht="15" customHeight="1" x14ac:dyDescent="0.2">
      <c r="E17248" s="18"/>
      <c r="F17248" s="18"/>
    </row>
    <row r="17249" spans="5:6" ht="15" customHeight="1" x14ac:dyDescent="0.2">
      <c r="E17249" s="18"/>
      <c r="F17249" s="18"/>
    </row>
    <row r="17250" spans="5:6" ht="15" customHeight="1" x14ac:dyDescent="0.2">
      <c r="E17250" s="18"/>
      <c r="F17250" s="18"/>
    </row>
    <row r="17251" spans="5:6" ht="15" customHeight="1" x14ac:dyDescent="0.2">
      <c r="E17251" s="18"/>
      <c r="F17251" s="18"/>
    </row>
    <row r="17252" spans="5:6" ht="15" customHeight="1" x14ac:dyDescent="0.2">
      <c r="E17252" s="18"/>
      <c r="F17252" s="18"/>
    </row>
    <row r="17253" spans="5:6" ht="15" customHeight="1" x14ac:dyDescent="0.2">
      <c r="E17253" s="18"/>
      <c r="F17253" s="18"/>
    </row>
    <row r="17254" spans="5:6" ht="15" customHeight="1" x14ac:dyDescent="0.2">
      <c r="E17254" s="18"/>
      <c r="F17254" s="18"/>
    </row>
    <row r="17255" spans="5:6" ht="15" customHeight="1" x14ac:dyDescent="0.2">
      <c r="E17255" s="18"/>
      <c r="F17255" s="18"/>
    </row>
    <row r="17256" spans="5:6" ht="15" customHeight="1" x14ac:dyDescent="0.2">
      <c r="E17256" s="18"/>
      <c r="F17256" s="18"/>
    </row>
    <row r="17257" spans="5:6" ht="15" customHeight="1" x14ac:dyDescent="0.2">
      <c r="E17257" s="18"/>
      <c r="F17257" s="18"/>
    </row>
    <row r="17258" spans="5:6" ht="15" customHeight="1" x14ac:dyDescent="0.2">
      <c r="E17258" s="18"/>
      <c r="F17258" s="18"/>
    </row>
    <row r="17259" spans="5:6" ht="15" customHeight="1" x14ac:dyDescent="0.2">
      <c r="E17259" s="18"/>
      <c r="F17259" s="18"/>
    </row>
    <row r="17260" spans="5:6" ht="15" customHeight="1" x14ac:dyDescent="0.2">
      <c r="E17260" s="18"/>
      <c r="F17260" s="18"/>
    </row>
    <row r="17261" spans="5:6" ht="15" customHeight="1" x14ac:dyDescent="0.2">
      <c r="E17261" s="18"/>
      <c r="F17261" s="18"/>
    </row>
    <row r="17262" spans="5:6" ht="15" customHeight="1" x14ac:dyDescent="0.2">
      <c r="E17262" s="18"/>
      <c r="F17262" s="18"/>
    </row>
    <row r="17263" spans="5:6" ht="15" customHeight="1" x14ac:dyDescent="0.2">
      <c r="E17263" s="18"/>
      <c r="F17263" s="18"/>
    </row>
    <row r="17264" spans="5:6" ht="15" customHeight="1" x14ac:dyDescent="0.2">
      <c r="E17264" s="18"/>
      <c r="F17264" s="18"/>
    </row>
    <row r="17265" spans="5:6" ht="15" customHeight="1" x14ac:dyDescent="0.2">
      <c r="E17265" s="18"/>
      <c r="F17265" s="18"/>
    </row>
    <row r="17266" spans="5:6" ht="15" customHeight="1" x14ac:dyDescent="0.2">
      <c r="E17266" s="18"/>
      <c r="F17266" s="18"/>
    </row>
    <row r="17267" spans="5:6" ht="15" customHeight="1" x14ac:dyDescent="0.2">
      <c r="E17267" s="18"/>
      <c r="F17267" s="18"/>
    </row>
    <row r="17268" spans="5:6" ht="15" customHeight="1" x14ac:dyDescent="0.2">
      <c r="E17268" s="18"/>
      <c r="F17268" s="18"/>
    </row>
    <row r="17269" spans="5:6" ht="15" customHeight="1" x14ac:dyDescent="0.2">
      <c r="E17269" s="18"/>
      <c r="F17269" s="18"/>
    </row>
    <row r="17270" spans="5:6" ht="15" customHeight="1" x14ac:dyDescent="0.2">
      <c r="E17270" s="18"/>
      <c r="F17270" s="18"/>
    </row>
    <row r="17271" spans="5:6" ht="15" customHeight="1" x14ac:dyDescent="0.2">
      <c r="E17271" s="18"/>
      <c r="F17271" s="18"/>
    </row>
    <row r="17272" spans="5:6" ht="15" customHeight="1" x14ac:dyDescent="0.2">
      <c r="E17272" s="18"/>
      <c r="F17272" s="18"/>
    </row>
    <row r="17273" spans="5:6" ht="15" customHeight="1" x14ac:dyDescent="0.2">
      <c r="E17273" s="18"/>
      <c r="F17273" s="18"/>
    </row>
    <row r="17274" spans="5:6" ht="15" customHeight="1" x14ac:dyDescent="0.2">
      <c r="E17274" s="18"/>
      <c r="F17274" s="18"/>
    </row>
    <row r="17275" spans="5:6" ht="15" customHeight="1" x14ac:dyDescent="0.2">
      <c r="E17275" s="18"/>
      <c r="F17275" s="18"/>
    </row>
    <row r="17276" spans="5:6" ht="15" customHeight="1" x14ac:dyDescent="0.2">
      <c r="E17276" s="18"/>
      <c r="F17276" s="18"/>
    </row>
    <row r="17277" spans="5:6" ht="15" customHeight="1" x14ac:dyDescent="0.2">
      <c r="E17277" s="18"/>
      <c r="F17277" s="18"/>
    </row>
    <row r="17278" spans="5:6" ht="15" customHeight="1" x14ac:dyDescent="0.2">
      <c r="E17278" s="18"/>
      <c r="F17278" s="18"/>
    </row>
    <row r="17279" spans="5:6" ht="15" customHeight="1" x14ac:dyDescent="0.2">
      <c r="E17279" s="18"/>
      <c r="F17279" s="18"/>
    </row>
    <row r="17280" spans="5:6" ht="15" customHeight="1" x14ac:dyDescent="0.2">
      <c r="E17280" s="18"/>
      <c r="F17280" s="18"/>
    </row>
    <row r="17281" spans="5:6" ht="15" customHeight="1" x14ac:dyDescent="0.2">
      <c r="E17281" s="18"/>
      <c r="F17281" s="18"/>
    </row>
    <row r="17282" spans="5:6" ht="15" customHeight="1" x14ac:dyDescent="0.2">
      <c r="E17282" s="18"/>
      <c r="F17282" s="18"/>
    </row>
    <row r="17283" spans="5:6" ht="15" customHeight="1" x14ac:dyDescent="0.2">
      <c r="E17283" s="18"/>
      <c r="F17283" s="18"/>
    </row>
    <row r="17284" spans="5:6" ht="15" customHeight="1" x14ac:dyDescent="0.2">
      <c r="E17284" s="18"/>
      <c r="F17284" s="18"/>
    </row>
    <row r="17285" spans="5:6" ht="15" customHeight="1" x14ac:dyDescent="0.2">
      <c r="E17285" s="18"/>
      <c r="F17285" s="18"/>
    </row>
    <row r="17286" spans="5:6" ht="15" customHeight="1" x14ac:dyDescent="0.2">
      <c r="E17286" s="18"/>
      <c r="F17286" s="18"/>
    </row>
    <row r="17287" spans="5:6" ht="15" customHeight="1" x14ac:dyDescent="0.2">
      <c r="E17287" s="18"/>
      <c r="F17287" s="18"/>
    </row>
    <row r="17288" spans="5:6" ht="15" customHeight="1" x14ac:dyDescent="0.2">
      <c r="E17288" s="18"/>
      <c r="F17288" s="18"/>
    </row>
    <row r="17289" spans="5:6" ht="15" customHeight="1" x14ac:dyDescent="0.2">
      <c r="E17289" s="18"/>
      <c r="F17289" s="18"/>
    </row>
    <row r="17290" spans="5:6" ht="15" customHeight="1" x14ac:dyDescent="0.2">
      <c r="E17290" s="18"/>
      <c r="F17290" s="18"/>
    </row>
    <row r="17291" spans="5:6" ht="15" customHeight="1" x14ac:dyDescent="0.2">
      <c r="E17291" s="18"/>
      <c r="F17291" s="18"/>
    </row>
    <row r="17292" spans="5:6" ht="15" customHeight="1" x14ac:dyDescent="0.2">
      <c r="E17292" s="18"/>
      <c r="F17292" s="18"/>
    </row>
    <row r="17293" spans="5:6" ht="15" customHeight="1" x14ac:dyDescent="0.2">
      <c r="E17293" s="18"/>
      <c r="F17293" s="18"/>
    </row>
    <row r="17294" spans="5:6" ht="15" customHeight="1" x14ac:dyDescent="0.2">
      <c r="E17294" s="18"/>
      <c r="F17294" s="18"/>
    </row>
    <row r="17295" spans="5:6" ht="15" customHeight="1" x14ac:dyDescent="0.2">
      <c r="E17295" s="18"/>
      <c r="F17295" s="18"/>
    </row>
    <row r="17296" spans="5:6" ht="15" customHeight="1" x14ac:dyDescent="0.2">
      <c r="E17296" s="18"/>
      <c r="F17296" s="18"/>
    </row>
    <row r="17297" spans="5:6" ht="15" customHeight="1" x14ac:dyDescent="0.2">
      <c r="E17297" s="18"/>
      <c r="F17297" s="18"/>
    </row>
    <row r="17298" spans="5:6" ht="15" customHeight="1" x14ac:dyDescent="0.2">
      <c r="E17298" s="18"/>
      <c r="F17298" s="18"/>
    </row>
    <row r="17299" spans="5:6" ht="15" customHeight="1" x14ac:dyDescent="0.2">
      <c r="E17299" s="18"/>
      <c r="F17299" s="18"/>
    </row>
    <row r="17300" spans="5:6" ht="15" customHeight="1" x14ac:dyDescent="0.2">
      <c r="E17300" s="18"/>
      <c r="F17300" s="18"/>
    </row>
    <row r="17301" spans="5:6" ht="15" customHeight="1" x14ac:dyDescent="0.2">
      <c r="E17301" s="18"/>
      <c r="F17301" s="18"/>
    </row>
    <row r="17302" spans="5:6" ht="15" customHeight="1" x14ac:dyDescent="0.2">
      <c r="E17302" s="18"/>
      <c r="F17302" s="18"/>
    </row>
    <row r="17303" spans="5:6" ht="15" customHeight="1" x14ac:dyDescent="0.2">
      <c r="E17303" s="18"/>
      <c r="F17303" s="18"/>
    </row>
    <row r="17304" spans="5:6" ht="15" customHeight="1" x14ac:dyDescent="0.2">
      <c r="E17304" s="18"/>
      <c r="F17304" s="18"/>
    </row>
    <row r="17305" spans="5:6" ht="15" customHeight="1" x14ac:dyDescent="0.2">
      <c r="E17305" s="18"/>
      <c r="F17305" s="18"/>
    </row>
    <row r="17306" spans="5:6" ht="15" customHeight="1" x14ac:dyDescent="0.2">
      <c r="E17306" s="18"/>
      <c r="F17306" s="18"/>
    </row>
    <row r="17307" spans="5:6" ht="15" customHeight="1" x14ac:dyDescent="0.2">
      <c r="E17307" s="18"/>
      <c r="F17307" s="18"/>
    </row>
    <row r="17308" spans="5:6" ht="15" customHeight="1" x14ac:dyDescent="0.2">
      <c r="E17308" s="18"/>
      <c r="F17308" s="18"/>
    </row>
    <row r="17309" spans="5:6" ht="15" customHeight="1" x14ac:dyDescent="0.2">
      <c r="E17309" s="18"/>
      <c r="F17309" s="18"/>
    </row>
    <row r="17310" spans="5:6" ht="15" customHeight="1" x14ac:dyDescent="0.2">
      <c r="E17310" s="18"/>
      <c r="F17310" s="18"/>
    </row>
    <row r="17311" spans="5:6" ht="15" customHeight="1" x14ac:dyDescent="0.2">
      <c r="E17311" s="18"/>
      <c r="F17311" s="18"/>
    </row>
    <row r="17312" spans="5:6" ht="15" customHeight="1" x14ac:dyDescent="0.2">
      <c r="E17312" s="18"/>
      <c r="F17312" s="18"/>
    </row>
    <row r="17313" spans="5:6" ht="15" customHeight="1" x14ac:dyDescent="0.2">
      <c r="E17313" s="18"/>
      <c r="F17313" s="18"/>
    </row>
    <row r="17314" spans="5:6" ht="15" customHeight="1" x14ac:dyDescent="0.2">
      <c r="E17314" s="18"/>
      <c r="F17314" s="18"/>
    </row>
    <row r="17315" spans="5:6" ht="15" customHeight="1" x14ac:dyDescent="0.2">
      <c r="E17315" s="18"/>
      <c r="F17315" s="18"/>
    </row>
    <row r="17316" spans="5:6" ht="15" customHeight="1" x14ac:dyDescent="0.2">
      <c r="E17316" s="18"/>
      <c r="F17316" s="18"/>
    </row>
    <row r="17317" spans="5:6" ht="15" customHeight="1" x14ac:dyDescent="0.2">
      <c r="E17317" s="18"/>
      <c r="F17317" s="18"/>
    </row>
    <row r="17318" spans="5:6" ht="15" customHeight="1" x14ac:dyDescent="0.2">
      <c r="E17318" s="18"/>
      <c r="F17318" s="18"/>
    </row>
    <row r="17319" spans="5:6" ht="15" customHeight="1" x14ac:dyDescent="0.2">
      <c r="E17319" s="18"/>
      <c r="F17319" s="18"/>
    </row>
    <row r="17320" spans="5:6" ht="15" customHeight="1" x14ac:dyDescent="0.2">
      <c r="E17320" s="18"/>
      <c r="F17320" s="18"/>
    </row>
    <row r="17321" spans="5:6" ht="15" customHeight="1" x14ac:dyDescent="0.2">
      <c r="E17321" s="18"/>
      <c r="F17321" s="18"/>
    </row>
    <row r="17322" spans="5:6" ht="15" customHeight="1" x14ac:dyDescent="0.2">
      <c r="E17322" s="18"/>
      <c r="F17322" s="18"/>
    </row>
    <row r="17323" spans="5:6" ht="15" customHeight="1" x14ac:dyDescent="0.2">
      <c r="E17323" s="18"/>
      <c r="F17323" s="18"/>
    </row>
    <row r="17324" spans="5:6" ht="15" customHeight="1" x14ac:dyDescent="0.2">
      <c r="E17324" s="18"/>
      <c r="F17324" s="18"/>
    </row>
    <row r="17325" spans="5:6" ht="15" customHeight="1" x14ac:dyDescent="0.2">
      <c r="E17325" s="18"/>
      <c r="F17325" s="18"/>
    </row>
    <row r="17326" spans="5:6" ht="15" customHeight="1" x14ac:dyDescent="0.2">
      <c r="E17326" s="18"/>
      <c r="F17326" s="18"/>
    </row>
    <row r="17327" spans="5:6" ht="15" customHeight="1" x14ac:dyDescent="0.2">
      <c r="E17327" s="18"/>
      <c r="F17327" s="18"/>
    </row>
    <row r="17328" spans="5:6" ht="15" customHeight="1" x14ac:dyDescent="0.2">
      <c r="E17328" s="18"/>
      <c r="F17328" s="18"/>
    </row>
    <row r="17329" spans="5:6" ht="15" customHeight="1" x14ac:dyDescent="0.2">
      <c r="E17329" s="18"/>
      <c r="F17329" s="18"/>
    </row>
    <row r="17330" spans="5:6" ht="15" customHeight="1" x14ac:dyDescent="0.2">
      <c r="E17330" s="18"/>
      <c r="F17330" s="18"/>
    </row>
    <row r="17331" spans="5:6" ht="15" customHeight="1" x14ac:dyDescent="0.2">
      <c r="E17331" s="18"/>
      <c r="F17331" s="18"/>
    </row>
    <row r="17332" spans="5:6" ht="15" customHeight="1" x14ac:dyDescent="0.2">
      <c r="E17332" s="18"/>
      <c r="F17332" s="18"/>
    </row>
    <row r="17333" spans="5:6" ht="15" customHeight="1" x14ac:dyDescent="0.2">
      <c r="E17333" s="18"/>
      <c r="F17333" s="18"/>
    </row>
    <row r="17334" spans="5:6" ht="15" customHeight="1" x14ac:dyDescent="0.2">
      <c r="E17334" s="18"/>
      <c r="F17334" s="18"/>
    </row>
    <row r="17335" spans="5:6" ht="15" customHeight="1" x14ac:dyDescent="0.2">
      <c r="E17335" s="18"/>
      <c r="F17335" s="18"/>
    </row>
    <row r="17336" spans="5:6" ht="15" customHeight="1" x14ac:dyDescent="0.2">
      <c r="E17336" s="18"/>
      <c r="F17336" s="18"/>
    </row>
    <row r="17337" spans="5:6" ht="15" customHeight="1" x14ac:dyDescent="0.2">
      <c r="E17337" s="18"/>
      <c r="F17337" s="18"/>
    </row>
    <row r="17338" spans="5:6" ht="15" customHeight="1" x14ac:dyDescent="0.2">
      <c r="E17338" s="18"/>
      <c r="F17338" s="18"/>
    </row>
    <row r="17339" spans="5:6" ht="15" customHeight="1" x14ac:dyDescent="0.2">
      <c r="E17339" s="18"/>
      <c r="F17339" s="18"/>
    </row>
    <row r="17340" spans="5:6" ht="15" customHeight="1" x14ac:dyDescent="0.2">
      <c r="E17340" s="18"/>
      <c r="F17340" s="18"/>
    </row>
    <row r="17341" spans="5:6" ht="15" customHeight="1" x14ac:dyDescent="0.2">
      <c r="E17341" s="18"/>
      <c r="F17341" s="18"/>
    </row>
    <row r="17342" spans="5:6" ht="15" customHeight="1" x14ac:dyDescent="0.2">
      <c r="E17342" s="18"/>
      <c r="F17342" s="18"/>
    </row>
    <row r="17343" spans="5:6" ht="15" customHeight="1" x14ac:dyDescent="0.2">
      <c r="E17343" s="18"/>
      <c r="F17343" s="18"/>
    </row>
    <row r="17344" spans="5:6" ht="15" customHeight="1" x14ac:dyDescent="0.2">
      <c r="E17344" s="18"/>
      <c r="F17344" s="18"/>
    </row>
    <row r="17345" spans="5:6" ht="15" customHeight="1" x14ac:dyDescent="0.2">
      <c r="E17345" s="18"/>
      <c r="F17345" s="18"/>
    </row>
    <row r="17346" spans="5:6" ht="15" customHeight="1" x14ac:dyDescent="0.2">
      <c r="E17346" s="18"/>
      <c r="F17346" s="18"/>
    </row>
    <row r="17347" spans="5:6" ht="15" customHeight="1" x14ac:dyDescent="0.2">
      <c r="E17347" s="18"/>
      <c r="F17347" s="18"/>
    </row>
    <row r="17348" spans="5:6" ht="15" customHeight="1" x14ac:dyDescent="0.2">
      <c r="E17348" s="18"/>
      <c r="F17348" s="18"/>
    </row>
    <row r="17349" spans="5:6" ht="15" customHeight="1" x14ac:dyDescent="0.2">
      <c r="E17349" s="18"/>
      <c r="F17349" s="18"/>
    </row>
    <row r="17350" spans="5:6" ht="15" customHeight="1" x14ac:dyDescent="0.2">
      <c r="E17350" s="18"/>
      <c r="F17350" s="18"/>
    </row>
    <row r="17351" spans="5:6" ht="15" customHeight="1" x14ac:dyDescent="0.2">
      <c r="E17351" s="18"/>
      <c r="F17351" s="18"/>
    </row>
    <row r="17352" spans="5:6" ht="15" customHeight="1" x14ac:dyDescent="0.2">
      <c r="E17352" s="18"/>
      <c r="F17352" s="18"/>
    </row>
    <row r="17353" spans="5:6" ht="15" customHeight="1" x14ac:dyDescent="0.2">
      <c r="E17353" s="18"/>
      <c r="F17353" s="18"/>
    </row>
    <row r="17354" spans="5:6" ht="15" customHeight="1" x14ac:dyDescent="0.2">
      <c r="E17354" s="18"/>
      <c r="F17354" s="18"/>
    </row>
    <row r="17355" spans="5:6" ht="15" customHeight="1" x14ac:dyDescent="0.2">
      <c r="E17355" s="18"/>
      <c r="F17355" s="18"/>
    </row>
    <row r="17356" spans="5:6" ht="15" customHeight="1" x14ac:dyDescent="0.2">
      <c r="E17356" s="18"/>
      <c r="F17356" s="18"/>
    </row>
    <row r="17357" spans="5:6" ht="15" customHeight="1" x14ac:dyDescent="0.2">
      <c r="E17357" s="18"/>
      <c r="F17357" s="18"/>
    </row>
    <row r="17358" spans="5:6" ht="15" customHeight="1" x14ac:dyDescent="0.2">
      <c r="E17358" s="18"/>
      <c r="F17358" s="18"/>
    </row>
    <row r="17359" spans="5:6" ht="15" customHeight="1" x14ac:dyDescent="0.2">
      <c r="E17359" s="18"/>
      <c r="F17359" s="18"/>
    </row>
    <row r="17360" spans="5:6" ht="15" customHeight="1" x14ac:dyDescent="0.2">
      <c r="E17360" s="18"/>
      <c r="F17360" s="18"/>
    </row>
    <row r="17361" spans="5:6" ht="15" customHeight="1" x14ac:dyDescent="0.2">
      <c r="E17361" s="18"/>
      <c r="F17361" s="18"/>
    </row>
    <row r="17362" spans="5:6" ht="15" customHeight="1" x14ac:dyDescent="0.2">
      <c r="E17362" s="18"/>
      <c r="F17362" s="18"/>
    </row>
    <row r="17363" spans="5:6" ht="15" customHeight="1" x14ac:dyDescent="0.2">
      <c r="E17363" s="18"/>
      <c r="F17363" s="18"/>
    </row>
    <row r="17364" spans="5:6" ht="15" customHeight="1" x14ac:dyDescent="0.2">
      <c r="E17364" s="18"/>
      <c r="F17364" s="18"/>
    </row>
    <row r="17365" spans="5:6" ht="15" customHeight="1" x14ac:dyDescent="0.2">
      <c r="E17365" s="18"/>
      <c r="F17365" s="18"/>
    </row>
    <row r="17366" spans="5:6" ht="15" customHeight="1" x14ac:dyDescent="0.2">
      <c r="E17366" s="18"/>
      <c r="F17366" s="18"/>
    </row>
    <row r="17367" spans="5:6" ht="15" customHeight="1" x14ac:dyDescent="0.2">
      <c r="E17367" s="18"/>
      <c r="F17367" s="18"/>
    </row>
    <row r="17368" spans="5:6" ht="15" customHeight="1" x14ac:dyDescent="0.2">
      <c r="E17368" s="18"/>
      <c r="F17368" s="18"/>
    </row>
    <row r="17369" spans="5:6" ht="15" customHeight="1" x14ac:dyDescent="0.2">
      <c r="E17369" s="18"/>
      <c r="F17369" s="18"/>
    </row>
    <row r="17370" spans="5:6" ht="15" customHeight="1" x14ac:dyDescent="0.2">
      <c r="E17370" s="18"/>
      <c r="F17370" s="18"/>
    </row>
    <row r="17371" spans="5:6" ht="15" customHeight="1" x14ac:dyDescent="0.2">
      <c r="E17371" s="18"/>
      <c r="F17371" s="18"/>
    </row>
    <row r="17372" spans="5:6" ht="15" customHeight="1" x14ac:dyDescent="0.2">
      <c r="E17372" s="18"/>
      <c r="F17372" s="18"/>
    </row>
    <row r="17373" spans="5:6" ht="15" customHeight="1" x14ac:dyDescent="0.2">
      <c r="E17373" s="18"/>
      <c r="F17373" s="18"/>
    </row>
    <row r="17374" spans="5:6" ht="15" customHeight="1" x14ac:dyDescent="0.2">
      <c r="E17374" s="18"/>
      <c r="F17374" s="18"/>
    </row>
    <row r="17375" spans="5:6" ht="15" customHeight="1" x14ac:dyDescent="0.2">
      <c r="E17375" s="18"/>
      <c r="F17375" s="18"/>
    </row>
    <row r="17376" spans="5:6" ht="15" customHeight="1" x14ac:dyDescent="0.2">
      <c r="E17376" s="18"/>
      <c r="F17376" s="18"/>
    </row>
    <row r="17377" spans="5:6" ht="15" customHeight="1" x14ac:dyDescent="0.2">
      <c r="E17377" s="18"/>
      <c r="F17377" s="18"/>
    </row>
    <row r="17378" spans="5:6" ht="15" customHeight="1" x14ac:dyDescent="0.2">
      <c r="E17378" s="18"/>
      <c r="F17378" s="18"/>
    </row>
    <row r="17379" spans="5:6" ht="15" customHeight="1" x14ac:dyDescent="0.2">
      <c r="E17379" s="18"/>
      <c r="F17379" s="18"/>
    </row>
    <row r="17380" spans="5:6" ht="15" customHeight="1" x14ac:dyDescent="0.2">
      <c r="E17380" s="18"/>
      <c r="F17380" s="18"/>
    </row>
    <row r="17381" spans="5:6" ht="15" customHeight="1" x14ac:dyDescent="0.2">
      <c r="E17381" s="18"/>
      <c r="F17381" s="18"/>
    </row>
    <row r="17382" spans="5:6" ht="15" customHeight="1" x14ac:dyDescent="0.2">
      <c r="E17382" s="18"/>
      <c r="F17382" s="18"/>
    </row>
    <row r="17383" spans="5:6" ht="15" customHeight="1" x14ac:dyDescent="0.2">
      <c r="E17383" s="18"/>
      <c r="F17383" s="18"/>
    </row>
    <row r="17384" spans="5:6" ht="15" customHeight="1" x14ac:dyDescent="0.2">
      <c r="E17384" s="18"/>
      <c r="F17384" s="18"/>
    </row>
    <row r="17385" spans="5:6" ht="15" customHeight="1" x14ac:dyDescent="0.2">
      <c r="E17385" s="18"/>
      <c r="F17385" s="18"/>
    </row>
    <row r="17386" spans="5:6" ht="15" customHeight="1" x14ac:dyDescent="0.2">
      <c r="E17386" s="18"/>
      <c r="F17386" s="18"/>
    </row>
    <row r="17387" spans="5:6" ht="15" customHeight="1" x14ac:dyDescent="0.2">
      <c r="E17387" s="18"/>
      <c r="F17387" s="18"/>
    </row>
    <row r="17388" spans="5:6" ht="15" customHeight="1" x14ac:dyDescent="0.2">
      <c r="E17388" s="18"/>
      <c r="F17388" s="18"/>
    </row>
    <row r="17389" spans="5:6" ht="15" customHeight="1" x14ac:dyDescent="0.2">
      <c r="E17389" s="18"/>
      <c r="F17389" s="18"/>
    </row>
    <row r="17390" spans="5:6" ht="15" customHeight="1" x14ac:dyDescent="0.2">
      <c r="E17390" s="18"/>
      <c r="F17390" s="18"/>
    </row>
    <row r="17391" spans="5:6" ht="15" customHeight="1" x14ac:dyDescent="0.2">
      <c r="E17391" s="18"/>
      <c r="F17391" s="18"/>
    </row>
    <row r="17392" spans="5:6" ht="15" customHeight="1" x14ac:dyDescent="0.2">
      <c r="E17392" s="18"/>
      <c r="F17392" s="18"/>
    </row>
    <row r="17393" spans="5:6" ht="15" customHeight="1" x14ac:dyDescent="0.2">
      <c r="E17393" s="18"/>
      <c r="F17393" s="18"/>
    </row>
    <row r="17394" spans="5:6" ht="15" customHeight="1" x14ac:dyDescent="0.2">
      <c r="E17394" s="18"/>
      <c r="F17394" s="18"/>
    </row>
    <row r="17395" spans="5:6" ht="15" customHeight="1" x14ac:dyDescent="0.2">
      <c r="E17395" s="18"/>
      <c r="F17395" s="18"/>
    </row>
    <row r="17396" spans="5:6" ht="15" customHeight="1" x14ac:dyDescent="0.2">
      <c r="E17396" s="18"/>
      <c r="F17396" s="18"/>
    </row>
    <row r="17397" spans="5:6" ht="15" customHeight="1" x14ac:dyDescent="0.2">
      <c r="E17397" s="18"/>
      <c r="F17397" s="18"/>
    </row>
    <row r="17398" spans="5:6" ht="15" customHeight="1" x14ac:dyDescent="0.2">
      <c r="E17398" s="18"/>
      <c r="F17398" s="18"/>
    </row>
    <row r="17399" spans="5:6" ht="15" customHeight="1" x14ac:dyDescent="0.2">
      <c r="E17399" s="18"/>
      <c r="F17399" s="18"/>
    </row>
    <row r="17400" spans="5:6" ht="15" customHeight="1" x14ac:dyDescent="0.2">
      <c r="E17400" s="18"/>
      <c r="F17400" s="18"/>
    </row>
    <row r="17401" spans="5:6" ht="15" customHeight="1" x14ac:dyDescent="0.2">
      <c r="E17401" s="18"/>
      <c r="F17401" s="18"/>
    </row>
    <row r="17402" spans="5:6" ht="15" customHeight="1" x14ac:dyDescent="0.2">
      <c r="E17402" s="18"/>
      <c r="F17402" s="18"/>
    </row>
    <row r="17403" spans="5:6" ht="15" customHeight="1" x14ac:dyDescent="0.2">
      <c r="E17403" s="18"/>
      <c r="F17403" s="18"/>
    </row>
    <row r="17404" spans="5:6" ht="15" customHeight="1" x14ac:dyDescent="0.2">
      <c r="E17404" s="18"/>
      <c r="F17404" s="18"/>
    </row>
    <row r="17405" spans="5:6" ht="15" customHeight="1" x14ac:dyDescent="0.2">
      <c r="E17405" s="18"/>
      <c r="F17405" s="18"/>
    </row>
    <row r="17406" spans="5:6" ht="15" customHeight="1" x14ac:dyDescent="0.2">
      <c r="E17406" s="18"/>
      <c r="F17406" s="18"/>
    </row>
    <row r="17407" spans="5:6" ht="15" customHeight="1" x14ac:dyDescent="0.2">
      <c r="E17407" s="18"/>
      <c r="F17407" s="18"/>
    </row>
    <row r="17408" spans="5:6" ht="15" customHeight="1" x14ac:dyDescent="0.2">
      <c r="E17408" s="18"/>
      <c r="F17408" s="18"/>
    </row>
    <row r="17409" spans="5:6" ht="15" customHeight="1" x14ac:dyDescent="0.2">
      <c r="E17409" s="18"/>
      <c r="F17409" s="18"/>
    </row>
    <row r="17410" spans="5:6" ht="15" customHeight="1" x14ac:dyDescent="0.2">
      <c r="E17410" s="18"/>
      <c r="F17410" s="18"/>
    </row>
    <row r="17411" spans="5:6" ht="15" customHeight="1" x14ac:dyDescent="0.2">
      <c r="E17411" s="18"/>
      <c r="F17411" s="18"/>
    </row>
    <row r="17412" spans="5:6" ht="15" customHeight="1" x14ac:dyDescent="0.2">
      <c r="E17412" s="18"/>
      <c r="F17412" s="18"/>
    </row>
    <row r="17413" spans="5:6" ht="15" customHeight="1" x14ac:dyDescent="0.2">
      <c r="E17413" s="18"/>
      <c r="F17413" s="18"/>
    </row>
    <row r="17414" spans="5:6" ht="15" customHeight="1" x14ac:dyDescent="0.2">
      <c r="E17414" s="18"/>
      <c r="F17414" s="18"/>
    </row>
    <row r="17415" spans="5:6" ht="15" customHeight="1" x14ac:dyDescent="0.2">
      <c r="E17415" s="18"/>
      <c r="F17415" s="18"/>
    </row>
    <row r="17416" spans="5:6" ht="15" customHeight="1" x14ac:dyDescent="0.2">
      <c r="E17416" s="18"/>
      <c r="F17416" s="18"/>
    </row>
    <row r="17417" spans="5:6" ht="15" customHeight="1" x14ac:dyDescent="0.2">
      <c r="E17417" s="18"/>
      <c r="F17417" s="18"/>
    </row>
    <row r="17418" spans="5:6" ht="15" customHeight="1" x14ac:dyDescent="0.2">
      <c r="E17418" s="18"/>
      <c r="F17418" s="18"/>
    </row>
    <row r="17419" spans="5:6" ht="15" customHeight="1" x14ac:dyDescent="0.2">
      <c r="E17419" s="18"/>
      <c r="F17419" s="18"/>
    </row>
    <row r="17420" spans="5:6" ht="15" customHeight="1" x14ac:dyDescent="0.2">
      <c r="E17420" s="18"/>
      <c r="F17420" s="18"/>
    </row>
    <row r="17421" spans="5:6" ht="15" customHeight="1" x14ac:dyDescent="0.2">
      <c r="E17421" s="18"/>
      <c r="F17421" s="18"/>
    </row>
    <row r="17422" spans="5:6" ht="15" customHeight="1" x14ac:dyDescent="0.2">
      <c r="E17422" s="18"/>
      <c r="F17422" s="18"/>
    </row>
    <row r="17423" spans="5:6" ht="15" customHeight="1" x14ac:dyDescent="0.2">
      <c r="E17423" s="18"/>
      <c r="F17423" s="18"/>
    </row>
    <row r="17424" spans="5:6" ht="15" customHeight="1" x14ac:dyDescent="0.2">
      <c r="E17424" s="18"/>
      <c r="F17424" s="18"/>
    </row>
    <row r="17425" spans="5:6" ht="15" customHeight="1" x14ac:dyDescent="0.2">
      <c r="E17425" s="18"/>
      <c r="F17425" s="18"/>
    </row>
    <row r="17426" spans="5:6" ht="15" customHeight="1" x14ac:dyDescent="0.2">
      <c r="E17426" s="18"/>
      <c r="F17426" s="18"/>
    </row>
    <row r="17427" spans="5:6" ht="15" customHeight="1" x14ac:dyDescent="0.2">
      <c r="E17427" s="18"/>
      <c r="F17427" s="18"/>
    </row>
    <row r="17428" spans="5:6" ht="15" customHeight="1" x14ac:dyDescent="0.2">
      <c r="E17428" s="18"/>
      <c r="F17428" s="18"/>
    </row>
    <row r="17429" spans="5:6" ht="15" customHeight="1" x14ac:dyDescent="0.2">
      <c r="E17429" s="18"/>
      <c r="F17429" s="18"/>
    </row>
    <row r="17430" spans="5:6" ht="15" customHeight="1" x14ac:dyDescent="0.2">
      <c r="E17430" s="18"/>
      <c r="F17430" s="18"/>
    </row>
    <row r="17431" spans="5:6" ht="15" customHeight="1" x14ac:dyDescent="0.2">
      <c r="E17431" s="18"/>
      <c r="F17431" s="18"/>
    </row>
    <row r="17432" spans="5:6" ht="15" customHeight="1" x14ac:dyDescent="0.2">
      <c r="E17432" s="18"/>
      <c r="F17432" s="18"/>
    </row>
    <row r="17433" spans="5:6" ht="15" customHeight="1" x14ac:dyDescent="0.2">
      <c r="E17433" s="18"/>
      <c r="F17433" s="18"/>
    </row>
    <row r="17434" spans="5:6" ht="15" customHeight="1" x14ac:dyDescent="0.2">
      <c r="E17434" s="18"/>
      <c r="F17434" s="18"/>
    </row>
    <row r="17435" spans="5:6" ht="15" customHeight="1" x14ac:dyDescent="0.2">
      <c r="E17435" s="18"/>
      <c r="F17435" s="18"/>
    </row>
    <row r="17436" spans="5:6" ht="15" customHeight="1" x14ac:dyDescent="0.2">
      <c r="E17436" s="18"/>
      <c r="F17436" s="18"/>
    </row>
    <row r="17437" spans="5:6" ht="15" customHeight="1" x14ac:dyDescent="0.2">
      <c r="E17437" s="18"/>
      <c r="F17437" s="18"/>
    </row>
    <row r="17438" spans="5:6" ht="15" customHeight="1" x14ac:dyDescent="0.2">
      <c r="E17438" s="18"/>
      <c r="F17438" s="18"/>
    </row>
    <row r="17439" spans="5:6" ht="15" customHeight="1" x14ac:dyDescent="0.2">
      <c r="E17439" s="18"/>
      <c r="F17439" s="18"/>
    </row>
    <row r="17440" spans="5:6" ht="15" customHeight="1" x14ac:dyDescent="0.2">
      <c r="E17440" s="18"/>
      <c r="F17440" s="18"/>
    </row>
    <row r="17441" spans="5:6" ht="15" customHeight="1" x14ac:dyDescent="0.2">
      <c r="E17441" s="18"/>
      <c r="F17441" s="18"/>
    </row>
    <row r="17442" spans="5:6" ht="15" customHeight="1" x14ac:dyDescent="0.2">
      <c r="E17442" s="18"/>
      <c r="F17442" s="18"/>
    </row>
    <row r="17443" spans="5:6" ht="15" customHeight="1" x14ac:dyDescent="0.2">
      <c r="E17443" s="18"/>
      <c r="F17443" s="18"/>
    </row>
    <row r="17444" spans="5:6" ht="15" customHeight="1" x14ac:dyDescent="0.2">
      <c r="E17444" s="18"/>
      <c r="F17444" s="18"/>
    </row>
    <row r="17445" spans="5:6" ht="15" customHeight="1" x14ac:dyDescent="0.2">
      <c r="E17445" s="18"/>
      <c r="F17445" s="18"/>
    </row>
    <row r="17446" spans="5:6" ht="15" customHeight="1" x14ac:dyDescent="0.2">
      <c r="E17446" s="18"/>
      <c r="F17446" s="18"/>
    </row>
    <row r="17447" spans="5:6" ht="15" customHeight="1" x14ac:dyDescent="0.2">
      <c r="E17447" s="18"/>
      <c r="F17447" s="18"/>
    </row>
    <row r="17448" spans="5:6" ht="15" customHeight="1" x14ac:dyDescent="0.2">
      <c r="E17448" s="18"/>
      <c r="F17448" s="18"/>
    </row>
    <row r="17449" spans="5:6" ht="15" customHeight="1" x14ac:dyDescent="0.2">
      <c r="E17449" s="18"/>
      <c r="F17449" s="18"/>
    </row>
    <row r="17450" spans="5:6" ht="15" customHeight="1" x14ac:dyDescent="0.2">
      <c r="E17450" s="18"/>
      <c r="F17450" s="18"/>
    </row>
    <row r="17451" spans="5:6" ht="15" customHeight="1" x14ac:dyDescent="0.2">
      <c r="E17451" s="18"/>
      <c r="F17451" s="18"/>
    </row>
    <row r="17452" spans="5:6" ht="15" customHeight="1" x14ac:dyDescent="0.2">
      <c r="E17452" s="18"/>
      <c r="F17452" s="18"/>
    </row>
    <row r="17453" spans="5:6" ht="15" customHeight="1" x14ac:dyDescent="0.2">
      <c r="E17453" s="18"/>
      <c r="F17453" s="18"/>
    </row>
    <row r="17454" spans="5:6" ht="15" customHeight="1" x14ac:dyDescent="0.2">
      <c r="E17454" s="18"/>
      <c r="F17454" s="18"/>
    </row>
    <row r="17455" spans="5:6" ht="15" customHeight="1" x14ac:dyDescent="0.2">
      <c r="E17455" s="18"/>
      <c r="F17455" s="18"/>
    </row>
    <row r="17456" spans="5:6" ht="15" customHeight="1" x14ac:dyDescent="0.2">
      <c r="E17456" s="18"/>
      <c r="F17456" s="18"/>
    </row>
    <row r="17457" spans="5:6" ht="15" customHeight="1" x14ac:dyDescent="0.2">
      <c r="E17457" s="18"/>
      <c r="F17457" s="18"/>
    </row>
    <row r="17458" spans="5:6" ht="15" customHeight="1" x14ac:dyDescent="0.2">
      <c r="E17458" s="18"/>
      <c r="F17458" s="18"/>
    </row>
    <row r="17459" spans="5:6" ht="15" customHeight="1" x14ac:dyDescent="0.2">
      <c r="E17459" s="18"/>
      <c r="F17459" s="18"/>
    </row>
    <row r="17460" spans="5:6" ht="15" customHeight="1" x14ac:dyDescent="0.2">
      <c r="E17460" s="18"/>
      <c r="F17460" s="18"/>
    </row>
    <row r="17461" spans="5:6" ht="15" customHeight="1" x14ac:dyDescent="0.2">
      <c r="E17461" s="18"/>
      <c r="F17461" s="18"/>
    </row>
    <row r="17462" spans="5:6" ht="15" customHeight="1" x14ac:dyDescent="0.2">
      <c r="E17462" s="18"/>
      <c r="F17462" s="18"/>
    </row>
    <row r="17463" spans="5:6" ht="15" customHeight="1" x14ac:dyDescent="0.2">
      <c r="E17463" s="18"/>
      <c r="F17463" s="18"/>
    </row>
    <row r="17464" spans="5:6" ht="15" customHeight="1" x14ac:dyDescent="0.2">
      <c r="E17464" s="18"/>
      <c r="F17464" s="18"/>
    </row>
    <row r="17465" spans="5:6" ht="15" customHeight="1" x14ac:dyDescent="0.2">
      <c r="E17465" s="18"/>
      <c r="F17465" s="18"/>
    </row>
    <row r="17466" spans="5:6" ht="15" customHeight="1" x14ac:dyDescent="0.2">
      <c r="E17466" s="18"/>
      <c r="F17466" s="18"/>
    </row>
    <row r="17467" spans="5:6" ht="15" customHeight="1" x14ac:dyDescent="0.2">
      <c r="E17467" s="18"/>
      <c r="F17467" s="18"/>
    </row>
    <row r="17468" spans="5:6" ht="15" customHeight="1" x14ac:dyDescent="0.2">
      <c r="E17468" s="18"/>
      <c r="F17468" s="18"/>
    </row>
    <row r="17469" spans="5:6" ht="15" customHeight="1" x14ac:dyDescent="0.2">
      <c r="E17469" s="18"/>
      <c r="F17469" s="18"/>
    </row>
    <row r="17470" spans="5:6" ht="15" customHeight="1" x14ac:dyDescent="0.2">
      <c r="E17470" s="18"/>
      <c r="F17470" s="18"/>
    </row>
    <row r="17471" spans="5:6" ht="15" customHeight="1" x14ac:dyDescent="0.2">
      <c r="E17471" s="18"/>
      <c r="F17471" s="18"/>
    </row>
    <row r="17472" spans="5:6" ht="15" customHeight="1" x14ac:dyDescent="0.2">
      <c r="E17472" s="18"/>
      <c r="F17472" s="18"/>
    </row>
    <row r="17473" spans="5:6" ht="15" customHeight="1" x14ac:dyDescent="0.2">
      <c r="E17473" s="18"/>
      <c r="F17473" s="18"/>
    </row>
    <row r="17474" spans="5:6" ht="15" customHeight="1" x14ac:dyDescent="0.2">
      <c r="E17474" s="18"/>
      <c r="F17474" s="18"/>
    </row>
    <row r="17475" spans="5:6" ht="15" customHeight="1" x14ac:dyDescent="0.2">
      <c r="E17475" s="18"/>
      <c r="F17475" s="18"/>
    </row>
    <row r="17476" spans="5:6" ht="15" customHeight="1" x14ac:dyDescent="0.2">
      <c r="E17476" s="18"/>
      <c r="F17476" s="18"/>
    </row>
    <row r="17477" spans="5:6" ht="15" customHeight="1" x14ac:dyDescent="0.2">
      <c r="E17477" s="18"/>
      <c r="F17477" s="18"/>
    </row>
    <row r="17478" spans="5:6" ht="15" customHeight="1" x14ac:dyDescent="0.2">
      <c r="E17478" s="18"/>
      <c r="F17478" s="18"/>
    </row>
    <row r="17479" spans="5:6" ht="15" customHeight="1" x14ac:dyDescent="0.2">
      <c r="E17479" s="18"/>
      <c r="F17479" s="18"/>
    </row>
    <row r="17480" spans="5:6" ht="15" customHeight="1" x14ac:dyDescent="0.2">
      <c r="E17480" s="18"/>
      <c r="F17480" s="18"/>
    </row>
    <row r="17481" spans="5:6" ht="15" customHeight="1" x14ac:dyDescent="0.2">
      <c r="E17481" s="18"/>
      <c r="F17481" s="18"/>
    </row>
    <row r="17482" spans="5:6" ht="15" customHeight="1" x14ac:dyDescent="0.2">
      <c r="E17482" s="18"/>
      <c r="F17482" s="18"/>
    </row>
    <row r="17483" spans="5:6" ht="15" customHeight="1" x14ac:dyDescent="0.2">
      <c r="E17483" s="18"/>
      <c r="F17483" s="18"/>
    </row>
    <row r="17484" spans="5:6" ht="15" customHeight="1" x14ac:dyDescent="0.2">
      <c r="E17484" s="18"/>
      <c r="F17484" s="18"/>
    </row>
    <row r="17485" spans="5:6" ht="15" customHeight="1" x14ac:dyDescent="0.2">
      <c r="E17485" s="18"/>
      <c r="F17485" s="18"/>
    </row>
    <row r="17486" spans="5:6" ht="15" customHeight="1" x14ac:dyDescent="0.2">
      <c r="E17486" s="18"/>
      <c r="F17486" s="18"/>
    </row>
    <row r="17487" spans="5:6" ht="15" customHeight="1" x14ac:dyDescent="0.2">
      <c r="E17487" s="18"/>
      <c r="F17487" s="18"/>
    </row>
    <row r="17488" spans="5:6" ht="15" customHeight="1" x14ac:dyDescent="0.2">
      <c r="E17488" s="18"/>
      <c r="F17488" s="18"/>
    </row>
    <row r="17489" spans="5:6" ht="15" customHeight="1" x14ac:dyDescent="0.2">
      <c r="E17489" s="18"/>
      <c r="F17489" s="18"/>
    </row>
    <row r="17490" spans="5:6" ht="15" customHeight="1" x14ac:dyDescent="0.2">
      <c r="E17490" s="18"/>
      <c r="F17490" s="18"/>
    </row>
    <row r="17491" spans="5:6" ht="15" customHeight="1" x14ac:dyDescent="0.2">
      <c r="E17491" s="18"/>
      <c r="F17491" s="18"/>
    </row>
    <row r="17492" spans="5:6" ht="15" customHeight="1" x14ac:dyDescent="0.2">
      <c r="E17492" s="18"/>
      <c r="F17492" s="18"/>
    </row>
    <row r="17493" spans="5:6" ht="15" customHeight="1" x14ac:dyDescent="0.2">
      <c r="E17493" s="18"/>
      <c r="F17493" s="18"/>
    </row>
    <row r="17494" spans="5:6" ht="15" customHeight="1" x14ac:dyDescent="0.2">
      <c r="E17494" s="18"/>
      <c r="F17494" s="18"/>
    </row>
    <row r="17495" spans="5:6" ht="15" customHeight="1" x14ac:dyDescent="0.2">
      <c r="E17495" s="18"/>
      <c r="F17495" s="18"/>
    </row>
    <row r="17496" spans="5:6" ht="15" customHeight="1" x14ac:dyDescent="0.2">
      <c r="E17496" s="18"/>
      <c r="F17496" s="18"/>
    </row>
    <row r="17497" spans="5:6" ht="15" customHeight="1" x14ac:dyDescent="0.2">
      <c r="E17497" s="18"/>
      <c r="F17497" s="18"/>
    </row>
    <row r="17498" spans="5:6" ht="15" customHeight="1" x14ac:dyDescent="0.2">
      <c r="E17498" s="18"/>
      <c r="F17498" s="18"/>
    </row>
    <row r="17499" spans="5:6" ht="15" customHeight="1" x14ac:dyDescent="0.2">
      <c r="E17499" s="18"/>
      <c r="F17499" s="18"/>
    </row>
    <row r="17500" spans="5:6" ht="15" customHeight="1" x14ac:dyDescent="0.2">
      <c r="E17500" s="18"/>
      <c r="F17500" s="18"/>
    </row>
    <row r="17501" spans="5:6" ht="15" customHeight="1" x14ac:dyDescent="0.2">
      <c r="E17501" s="18"/>
      <c r="F17501" s="18"/>
    </row>
    <row r="17502" spans="5:6" ht="15" customHeight="1" x14ac:dyDescent="0.2">
      <c r="E17502" s="18"/>
      <c r="F17502" s="18"/>
    </row>
    <row r="17503" spans="5:6" ht="15" customHeight="1" x14ac:dyDescent="0.2">
      <c r="E17503" s="18"/>
      <c r="F17503" s="18"/>
    </row>
    <row r="17504" spans="5:6" ht="15" customHeight="1" x14ac:dyDescent="0.2">
      <c r="E17504" s="18"/>
      <c r="F17504" s="18"/>
    </row>
    <row r="17505" spans="5:6" ht="15" customHeight="1" x14ac:dyDescent="0.2">
      <c r="E17505" s="18"/>
      <c r="F17505" s="18"/>
    </row>
    <row r="17506" spans="5:6" ht="15" customHeight="1" x14ac:dyDescent="0.2">
      <c r="E17506" s="18"/>
      <c r="F17506" s="18"/>
    </row>
    <row r="17507" spans="5:6" ht="15" customHeight="1" x14ac:dyDescent="0.2">
      <c r="E17507" s="18"/>
      <c r="F17507" s="18"/>
    </row>
    <row r="17508" spans="5:6" ht="15" customHeight="1" x14ac:dyDescent="0.2">
      <c r="E17508" s="18"/>
      <c r="F17508" s="18"/>
    </row>
    <row r="17509" spans="5:6" ht="15" customHeight="1" x14ac:dyDescent="0.2">
      <c r="E17509" s="18"/>
      <c r="F17509" s="18"/>
    </row>
    <row r="17510" spans="5:6" ht="15" customHeight="1" x14ac:dyDescent="0.2">
      <c r="E17510" s="18"/>
      <c r="F17510" s="18"/>
    </row>
    <row r="17511" spans="5:6" ht="15" customHeight="1" x14ac:dyDescent="0.2">
      <c r="E17511" s="18"/>
      <c r="F17511" s="18"/>
    </row>
    <row r="17512" spans="5:6" ht="15" customHeight="1" x14ac:dyDescent="0.2">
      <c r="E17512" s="18"/>
      <c r="F17512" s="18"/>
    </row>
    <row r="17513" spans="5:6" ht="15" customHeight="1" x14ac:dyDescent="0.2">
      <c r="E17513" s="18"/>
      <c r="F17513" s="18"/>
    </row>
    <row r="17514" spans="5:6" ht="15" customHeight="1" x14ac:dyDescent="0.2">
      <c r="E17514" s="18"/>
      <c r="F17514" s="18"/>
    </row>
    <row r="17515" spans="5:6" ht="15" customHeight="1" x14ac:dyDescent="0.2">
      <c r="E17515" s="18"/>
      <c r="F17515" s="18"/>
    </row>
    <row r="17516" spans="5:6" ht="15" customHeight="1" x14ac:dyDescent="0.2">
      <c r="E17516" s="18"/>
      <c r="F17516" s="18"/>
    </row>
    <row r="17517" spans="5:6" ht="15" customHeight="1" x14ac:dyDescent="0.2">
      <c r="E17517" s="18"/>
      <c r="F17517" s="18"/>
    </row>
    <row r="17518" spans="5:6" ht="15" customHeight="1" x14ac:dyDescent="0.2">
      <c r="E17518" s="18"/>
      <c r="F17518" s="18"/>
    </row>
    <row r="17519" spans="5:6" ht="15" customHeight="1" x14ac:dyDescent="0.2">
      <c r="E17519" s="18"/>
      <c r="F17519" s="18"/>
    </row>
    <row r="17520" spans="5:6" ht="15" customHeight="1" x14ac:dyDescent="0.2">
      <c r="E17520" s="18"/>
      <c r="F17520" s="18"/>
    </row>
    <row r="17521" spans="5:6" ht="15" customHeight="1" x14ac:dyDescent="0.2">
      <c r="E17521" s="18"/>
      <c r="F17521" s="18"/>
    </row>
    <row r="17522" spans="5:6" ht="15" customHeight="1" x14ac:dyDescent="0.2">
      <c r="E17522" s="18"/>
      <c r="F17522" s="18"/>
    </row>
    <row r="17523" spans="5:6" ht="15" customHeight="1" x14ac:dyDescent="0.2">
      <c r="E17523" s="18"/>
      <c r="F17523" s="18"/>
    </row>
    <row r="17524" spans="5:6" ht="15" customHeight="1" x14ac:dyDescent="0.2">
      <c r="E17524" s="18"/>
      <c r="F17524" s="18"/>
    </row>
    <row r="17525" spans="5:6" ht="15" customHeight="1" x14ac:dyDescent="0.2">
      <c r="E17525" s="18"/>
      <c r="F17525" s="18"/>
    </row>
    <row r="17526" spans="5:6" ht="15" customHeight="1" x14ac:dyDescent="0.2">
      <c r="E17526" s="18"/>
      <c r="F17526" s="18"/>
    </row>
    <row r="17527" spans="5:6" ht="15" customHeight="1" x14ac:dyDescent="0.2">
      <c r="E17527" s="18"/>
      <c r="F17527" s="18"/>
    </row>
    <row r="17528" spans="5:6" ht="15" customHeight="1" x14ac:dyDescent="0.2">
      <c r="E17528" s="18"/>
      <c r="F17528" s="18"/>
    </row>
    <row r="17529" spans="5:6" ht="15" customHeight="1" x14ac:dyDescent="0.2">
      <c r="E17529" s="18"/>
      <c r="F17529" s="18"/>
    </row>
    <row r="17530" spans="5:6" ht="15" customHeight="1" x14ac:dyDescent="0.2">
      <c r="E17530" s="18"/>
      <c r="F17530" s="18"/>
    </row>
    <row r="17531" spans="5:6" ht="15" customHeight="1" x14ac:dyDescent="0.2">
      <c r="E17531" s="18"/>
      <c r="F17531" s="18"/>
    </row>
    <row r="17532" spans="5:6" ht="15" customHeight="1" x14ac:dyDescent="0.2">
      <c r="E17532" s="18"/>
      <c r="F17532" s="18"/>
    </row>
    <row r="17533" spans="5:6" ht="15" customHeight="1" x14ac:dyDescent="0.2">
      <c r="E17533" s="18"/>
      <c r="F17533" s="18"/>
    </row>
    <row r="17534" spans="5:6" ht="15" customHeight="1" x14ac:dyDescent="0.2">
      <c r="E17534" s="18"/>
      <c r="F17534" s="18"/>
    </row>
    <row r="17535" spans="5:6" ht="15" customHeight="1" x14ac:dyDescent="0.2">
      <c r="E17535" s="18"/>
      <c r="F17535" s="18"/>
    </row>
    <row r="17536" spans="5:6" ht="15" customHeight="1" x14ac:dyDescent="0.2">
      <c r="E17536" s="18"/>
      <c r="F17536" s="18"/>
    </row>
    <row r="17537" spans="5:6" ht="15" customHeight="1" x14ac:dyDescent="0.2">
      <c r="E17537" s="18"/>
      <c r="F17537" s="18"/>
    </row>
    <row r="17538" spans="5:6" ht="15" customHeight="1" x14ac:dyDescent="0.2">
      <c r="E17538" s="18"/>
      <c r="F17538" s="18"/>
    </row>
    <row r="17539" spans="5:6" ht="15" customHeight="1" x14ac:dyDescent="0.2">
      <c r="E17539" s="18"/>
      <c r="F17539" s="18"/>
    </row>
    <row r="17540" spans="5:6" ht="15" customHeight="1" x14ac:dyDescent="0.2">
      <c r="E17540" s="18"/>
      <c r="F17540" s="18"/>
    </row>
    <row r="17541" spans="5:6" ht="15" customHeight="1" x14ac:dyDescent="0.2">
      <c r="E17541" s="18"/>
      <c r="F17541" s="18"/>
    </row>
    <row r="17542" spans="5:6" ht="15" customHeight="1" x14ac:dyDescent="0.2">
      <c r="E17542" s="18"/>
      <c r="F17542" s="18"/>
    </row>
    <row r="17543" spans="5:6" ht="15" customHeight="1" x14ac:dyDescent="0.2">
      <c r="E17543" s="18"/>
      <c r="F17543" s="18"/>
    </row>
    <row r="17544" spans="5:6" ht="15" customHeight="1" x14ac:dyDescent="0.2">
      <c r="E17544" s="18"/>
      <c r="F17544" s="18"/>
    </row>
    <row r="17545" spans="5:6" ht="15" customHeight="1" x14ac:dyDescent="0.2">
      <c r="E17545" s="18"/>
      <c r="F17545" s="18"/>
    </row>
    <row r="17546" spans="5:6" ht="15" customHeight="1" x14ac:dyDescent="0.2">
      <c r="E17546" s="18"/>
      <c r="F17546" s="18"/>
    </row>
    <row r="17547" spans="5:6" ht="15" customHeight="1" x14ac:dyDescent="0.2">
      <c r="E17547" s="18"/>
      <c r="F17547" s="18"/>
    </row>
    <row r="17548" spans="5:6" ht="15" customHeight="1" x14ac:dyDescent="0.2">
      <c r="E17548" s="18"/>
      <c r="F17548" s="18"/>
    </row>
    <row r="17549" spans="5:6" ht="15" customHeight="1" x14ac:dyDescent="0.2">
      <c r="E17549" s="18"/>
      <c r="F17549" s="18"/>
    </row>
    <row r="17550" spans="5:6" ht="15" customHeight="1" x14ac:dyDescent="0.2">
      <c r="E17550" s="18"/>
      <c r="F17550" s="18"/>
    </row>
    <row r="17551" spans="5:6" ht="15" customHeight="1" x14ac:dyDescent="0.2">
      <c r="E17551" s="18"/>
      <c r="F17551" s="18"/>
    </row>
    <row r="17552" spans="5:6" ht="15" customHeight="1" x14ac:dyDescent="0.2">
      <c r="E17552" s="18"/>
      <c r="F17552" s="18"/>
    </row>
    <row r="17553" spans="5:6" ht="15" customHeight="1" x14ac:dyDescent="0.2">
      <c r="E17553" s="18"/>
      <c r="F17553" s="18"/>
    </row>
    <row r="17554" spans="5:6" ht="15" customHeight="1" x14ac:dyDescent="0.2">
      <c r="E17554" s="18"/>
      <c r="F17554" s="18"/>
    </row>
    <row r="17555" spans="5:6" ht="15" customHeight="1" x14ac:dyDescent="0.2">
      <c r="E17555" s="18"/>
      <c r="F17555" s="18"/>
    </row>
    <row r="17556" spans="5:6" ht="15" customHeight="1" x14ac:dyDescent="0.2">
      <c r="E17556" s="18"/>
      <c r="F17556" s="18"/>
    </row>
    <row r="17557" spans="5:6" ht="15" customHeight="1" x14ac:dyDescent="0.2">
      <c r="E17557" s="18"/>
      <c r="F17557" s="18"/>
    </row>
    <row r="17558" spans="5:6" ht="15" customHeight="1" x14ac:dyDescent="0.2">
      <c r="E17558" s="18"/>
      <c r="F17558" s="18"/>
    </row>
    <row r="17559" spans="5:6" ht="15" customHeight="1" x14ac:dyDescent="0.2">
      <c r="E17559" s="18"/>
      <c r="F17559" s="18"/>
    </row>
    <row r="17560" spans="5:6" ht="15" customHeight="1" x14ac:dyDescent="0.2">
      <c r="E17560" s="18"/>
      <c r="F17560" s="18"/>
    </row>
    <row r="17561" spans="5:6" ht="15" customHeight="1" x14ac:dyDescent="0.2">
      <c r="E17561" s="18"/>
      <c r="F17561" s="18"/>
    </row>
    <row r="17562" spans="5:6" ht="15" customHeight="1" x14ac:dyDescent="0.2">
      <c r="E17562" s="18"/>
      <c r="F17562" s="18"/>
    </row>
    <row r="17563" spans="5:6" ht="15" customHeight="1" x14ac:dyDescent="0.2">
      <c r="E17563" s="18"/>
      <c r="F17563" s="18"/>
    </row>
    <row r="17564" spans="5:6" ht="15" customHeight="1" x14ac:dyDescent="0.2">
      <c r="E17564" s="18"/>
      <c r="F17564" s="18"/>
    </row>
    <row r="17565" spans="5:6" ht="15" customHeight="1" x14ac:dyDescent="0.2">
      <c r="E17565" s="18"/>
      <c r="F17565" s="18"/>
    </row>
    <row r="17566" spans="5:6" ht="15" customHeight="1" x14ac:dyDescent="0.2">
      <c r="E17566" s="18"/>
      <c r="F17566" s="18"/>
    </row>
    <row r="17567" spans="5:6" ht="15" customHeight="1" x14ac:dyDescent="0.2">
      <c r="E17567" s="18"/>
      <c r="F17567" s="18"/>
    </row>
    <row r="17568" spans="5:6" ht="15" customHeight="1" x14ac:dyDescent="0.2">
      <c r="E17568" s="18"/>
      <c r="F17568" s="18"/>
    </row>
    <row r="17569" spans="5:6" ht="15" customHeight="1" x14ac:dyDescent="0.2">
      <c r="E17569" s="18"/>
      <c r="F17569" s="18"/>
    </row>
    <row r="17570" spans="5:6" ht="15" customHeight="1" x14ac:dyDescent="0.2">
      <c r="E17570" s="18"/>
      <c r="F17570" s="18"/>
    </row>
    <row r="17571" spans="5:6" ht="15" customHeight="1" x14ac:dyDescent="0.2">
      <c r="E17571" s="18"/>
      <c r="F17571" s="18"/>
    </row>
    <row r="17572" spans="5:6" ht="15" customHeight="1" x14ac:dyDescent="0.2">
      <c r="E17572" s="18"/>
      <c r="F17572" s="18"/>
    </row>
    <row r="17573" spans="5:6" ht="15" customHeight="1" x14ac:dyDescent="0.2">
      <c r="E17573" s="18"/>
      <c r="F17573" s="18"/>
    </row>
    <row r="17574" spans="5:6" ht="15" customHeight="1" x14ac:dyDescent="0.2">
      <c r="E17574" s="18"/>
      <c r="F17574" s="18"/>
    </row>
    <row r="17575" spans="5:6" ht="15" customHeight="1" x14ac:dyDescent="0.2">
      <c r="E17575" s="18"/>
      <c r="F17575" s="18"/>
    </row>
    <row r="17576" spans="5:6" ht="15" customHeight="1" x14ac:dyDescent="0.2">
      <c r="E17576" s="18"/>
      <c r="F17576" s="18"/>
    </row>
    <row r="17577" spans="5:6" ht="15" customHeight="1" x14ac:dyDescent="0.2">
      <c r="E17577" s="18"/>
      <c r="F17577" s="18"/>
    </row>
    <row r="17578" spans="5:6" ht="15" customHeight="1" x14ac:dyDescent="0.2">
      <c r="E17578" s="18"/>
      <c r="F17578" s="18"/>
    </row>
    <row r="17579" spans="5:6" ht="15" customHeight="1" x14ac:dyDescent="0.2">
      <c r="E17579" s="18"/>
      <c r="F17579" s="18"/>
    </row>
    <row r="17580" spans="5:6" ht="15" customHeight="1" x14ac:dyDescent="0.2">
      <c r="E17580" s="18"/>
      <c r="F17580" s="18"/>
    </row>
    <row r="17581" spans="5:6" ht="15" customHeight="1" x14ac:dyDescent="0.2">
      <c r="E17581" s="18"/>
      <c r="F17581" s="18"/>
    </row>
    <row r="17582" spans="5:6" ht="15" customHeight="1" x14ac:dyDescent="0.2">
      <c r="E17582" s="18"/>
      <c r="F17582" s="18"/>
    </row>
    <row r="17583" spans="5:6" ht="15" customHeight="1" x14ac:dyDescent="0.2">
      <c r="E17583" s="18"/>
      <c r="F17583" s="18"/>
    </row>
    <row r="17584" spans="5:6" ht="15" customHeight="1" x14ac:dyDescent="0.2">
      <c r="E17584" s="18"/>
      <c r="F17584" s="18"/>
    </row>
    <row r="17585" spans="5:6" ht="15" customHeight="1" x14ac:dyDescent="0.2">
      <c r="E17585" s="18"/>
      <c r="F17585" s="18"/>
    </row>
    <row r="17586" spans="5:6" ht="15" customHeight="1" x14ac:dyDescent="0.2">
      <c r="E17586" s="18"/>
      <c r="F17586" s="18"/>
    </row>
    <row r="17587" spans="5:6" ht="15" customHeight="1" x14ac:dyDescent="0.2">
      <c r="E17587" s="18"/>
      <c r="F17587" s="18"/>
    </row>
    <row r="17588" spans="5:6" ht="15" customHeight="1" x14ac:dyDescent="0.2">
      <c r="E17588" s="18"/>
      <c r="F17588" s="18"/>
    </row>
    <row r="17589" spans="5:6" ht="15" customHeight="1" x14ac:dyDescent="0.2">
      <c r="E17589" s="18"/>
      <c r="F17589" s="18"/>
    </row>
    <row r="17590" spans="5:6" ht="15" customHeight="1" x14ac:dyDescent="0.2">
      <c r="E17590" s="18"/>
      <c r="F17590" s="18"/>
    </row>
    <row r="17591" spans="5:6" ht="15" customHeight="1" x14ac:dyDescent="0.2">
      <c r="E17591" s="18"/>
      <c r="F17591" s="18"/>
    </row>
    <row r="17592" spans="5:6" ht="15" customHeight="1" x14ac:dyDescent="0.2">
      <c r="E17592" s="18"/>
      <c r="F17592" s="18"/>
    </row>
    <row r="17593" spans="5:6" ht="15" customHeight="1" x14ac:dyDescent="0.2">
      <c r="E17593" s="18"/>
      <c r="F17593" s="18"/>
    </row>
    <row r="17594" spans="5:6" ht="15" customHeight="1" x14ac:dyDescent="0.2">
      <c r="E17594" s="18"/>
      <c r="F17594" s="18"/>
    </row>
    <row r="17595" spans="5:6" ht="15" customHeight="1" x14ac:dyDescent="0.2">
      <c r="E17595" s="18"/>
      <c r="F17595" s="18"/>
    </row>
    <row r="17596" spans="5:6" ht="15" customHeight="1" x14ac:dyDescent="0.2">
      <c r="E17596" s="18"/>
      <c r="F17596" s="18"/>
    </row>
    <row r="17597" spans="5:6" ht="15" customHeight="1" x14ac:dyDescent="0.2">
      <c r="E17597" s="18"/>
      <c r="F17597" s="18"/>
    </row>
    <row r="17598" spans="5:6" ht="15" customHeight="1" x14ac:dyDescent="0.2">
      <c r="E17598" s="18"/>
      <c r="F17598" s="18"/>
    </row>
    <row r="17599" spans="5:6" ht="15" customHeight="1" x14ac:dyDescent="0.2">
      <c r="E17599" s="18"/>
      <c r="F17599" s="18"/>
    </row>
    <row r="17600" spans="5:6" ht="15" customHeight="1" x14ac:dyDescent="0.2">
      <c r="E17600" s="18"/>
      <c r="F17600" s="18"/>
    </row>
    <row r="17601" spans="5:6" ht="15" customHeight="1" x14ac:dyDescent="0.2">
      <c r="E17601" s="18"/>
      <c r="F17601" s="18"/>
    </row>
    <row r="17602" spans="5:6" ht="15" customHeight="1" x14ac:dyDescent="0.2">
      <c r="E17602" s="18"/>
      <c r="F17602" s="18"/>
    </row>
    <row r="17603" spans="5:6" ht="15" customHeight="1" x14ac:dyDescent="0.2">
      <c r="E17603" s="18"/>
      <c r="F17603" s="18"/>
    </row>
    <row r="17604" spans="5:6" ht="15" customHeight="1" x14ac:dyDescent="0.2">
      <c r="E17604" s="18"/>
      <c r="F17604" s="18"/>
    </row>
    <row r="17605" spans="5:6" ht="15" customHeight="1" x14ac:dyDescent="0.2">
      <c r="E17605" s="18"/>
      <c r="F17605" s="18"/>
    </row>
    <row r="17606" spans="5:6" ht="15" customHeight="1" x14ac:dyDescent="0.2">
      <c r="E17606" s="18"/>
      <c r="F17606" s="18"/>
    </row>
    <row r="17607" spans="5:6" ht="15" customHeight="1" x14ac:dyDescent="0.2">
      <c r="E17607" s="18"/>
      <c r="F17607" s="18"/>
    </row>
    <row r="17608" spans="5:6" ht="15" customHeight="1" x14ac:dyDescent="0.2">
      <c r="E17608" s="18"/>
      <c r="F17608" s="18"/>
    </row>
    <row r="17609" spans="5:6" ht="15" customHeight="1" x14ac:dyDescent="0.2">
      <c r="E17609" s="18"/>
      <c r="F17609" s="18"/>
    </row>
    <row r="17610" spans="5:6" ht="15" customHeight="1" x14ac:dyDescent="0.2">
      <c r="E17610" s="18"/>
      <c r="F17610" s="18"/>
    </row>
    <row r="17611" spans="5:6" ht="15" customHeight="1" x14ac:dyDescent="0.2">
      <c r="E17611" s="18"/>
      <c r="F17611" s="18"/>
    </row>
    <row r="17612" spans="5:6" ht="15" customHeight="1" x14ac:dyDescent="0.2">
      <c r="E17612" s="18"/>
      <c r="F17612" s="18"/>
    </row>
    <row r="17613" spans="5:6" ht="15" customHeight="1" x14ac:dyDescent="0.2">
      <c r="E17613" s="18"/>
      <c r="F17613" s="18"/>
    </row>
    <row r="17614" spans="5:6" ht="15" customHeight="1" x14ac:dyDescent="0.2">
      <c r="E17614" s="18"/>
      <c r="F17614" s="18"/>
    </row>
    <row r="17615" spans="5:6" ht="15" customHeight="1" x14ac:dyDescent="0.2">
      <c r="E17615" s="18"/>
      <c r="F17615" s="18"/>
    </row>
    <row r="17616" spans="5:6" ht="15" customHeight="1" x14ac:dyDescent="0.2">
      <c r="E17616" s="18"/>
      <c r="F17616" s="18"/>
    </row>
    <row r="17617" spans="5:6" ht="15" customHeight="1" x14ac:dyDescent="0.2">
      <c r="E17617" s="18"/>
      <c r="F17617" s="18"/>
    </row>
    <row r="17618" spans="5:6" ht="15" customHeight="1" x14ac:dyDescent="0.2">
      <c r="E17618" s="18"/>
      <c r="F17618" s="18"/>
    </row>
    <row r="17619" spans="5:6" ht="15" customHeight="1" x14ac:dyDescent="0.2">
      <c r="E17619" s="18"/>
      <c r="F17619" s="18"/>
    </row>
    <row r="17620" spans="5:6" ht="15" customHeight="1" x14ac:dyDescent="0.2">
      <c r="E17620" s="18"/>
      <c r="F17620" s="18"/>
    </row>
    <row r="17621" spans="5:6" ht="15" customHeight="1" x14ac:dyDescent="0.2">
      <c r="E17621" s="18"/>
      <c r="F17621" s="18"/>
    </row>
    <row r="17622" spans="5:6" ht="15" customHeight="1" x14ac:dyDescent="0.2">
      <c r="E17622" s="18"/>
      <c r="F17622" s="18"/>
    </row>
    <row r="17623" spans="5:6" ht="15" customHeight="1" x14ac:dyDescent="0.2">
      <c r="E17623" s="18"/>
      <c r="F17623" s="18"/>
    </row>
    <row r="17624" spans="5:6" ht="15" customHeight="1" x14ac:dyDescent="0.2">
      <c r="E17624" s="18"/>
      <c r="F17624" s="18"/>
    </row>
    <row r="17625" spans="5:6" ht="15" customHeight="1" x14ac:dyDescent="0.2">
      <c r="E17625" s="18"/>
      <c r="F17625" s="18"/>
    </row>
    <row r="17626" spans="5:6" ht="15" customHeight="1" x14ac:dyDescent="0.2">
      <c r="E17626" s="18"/>
      <c r="F17626" s="18"/>
    </row>
    <row r="17627" spans="5:6" ht="15" customHeight="1" x14ac:dyDescent="0.2">
      <c r="E17627" s="18"/>
      <c r="F17627" s="18"/>
    </row>
    <row r="17628" spans="5:6" ht="15" customHeight="1" x14ac:dyDescent="0.2">
      <c r="E17628" s="18"/>
      <c r="F17628" s="18"/>
    </row>
    <row r="17629" spans="5:6" ht="15" customHeight="1" x14ac:dyDescent="0.2">
      <c r="E17629" s="18"/>
      <c r="F17629" s="18"/>
    </row>
    <row r="17630" spans="5:6" ht="15" customHeight="1" x14ac:dyDescent="0.2">
      <c r="E17630" s="18"/>
      <c r="F17630" s="18"/>
    </row>
    <row r="17631" spans="5:6" ht="15" customHeight="1" x14ac:dyDescent="0.2">
      <c r="E17631" s="18"/>
      <c r="F17631" s="18"/>
    </row>
    <row r="17632" spans="5:6" ht="15" customHeight="1" x14ac:dyDescent="0.2">
      <c r="E17632" s="18"/>
      <c r="F17632" s="18"/>
    </row>
    <row r="17633" spans="5:6" ht="15" customHeight="1" x14ac:dyDescent="0.2">
      <c r="E17633" s="18"/>
      <c r="F17633" s="18"/>
    </row>
    <row r="17634" spans="5:6" ht="15" customHeight="1" x14ac:dyDescent="0.2">
      <c r="E17634" s="18"/>
      <c r="F17634" s="18"/>
    </row>
    <row r="17635" spans="5:6" ht="15" customHeight="1" x14ac:dyDescent="0.2">
      <c r="E17635" s="18"/>
      <c r="F17635" s="18"/>
    </row>
    <row r="17636" spans="5:6" ht="15" customHeight="1" x14ac:dyDescent="0.2">
      <c r="E17636" s="18"/>
      <c r="F17636" s="18"/>
    </row>
    <row r="17637" spans="5:6" ht="15" customHeight="1" x14ac:dyDescent="0.2">
      <c r="E17637" s="18"/>
      <c r="F17637" s="18"/>
    </row>
    <row r="17638" spans="5:6" ht="15" customHeight="1" x14ac:dyDescent="0.2">
      <c r="E17638" s="18"/>
      <c r="F17638" s="18"/>
    </row>
    <row r="17639" spans="5:6" ht="15" customHeight="1" x14ac:dyDescent="0.2">
      <c r="E17639" s="18"/>
      <c r="F17639" s="18"/>
    </row>
    <row r="17640" spans="5:6" ht="15" customHeight="1" x14ac:dyDescent="0.2">
      <c r="E17640" s="18"/>
      <c r="F17640" s="18"/>
    </row>
    <row r="17641" spans="5:6" ht="15" customHeight="1" x14ac:dyDescent="0.2">
      <c r="E17641" s="18"/>
      <c r="F17641" s="18"/>
    </row>
    <row r="17642" spans="5:6" ht="15" customHeight="1" x14ac:dyDescent="0.2">
      <c r="E17642" s="18"/>
      <c r="F17642" s="18"/>
    </row>
    <row r="17643" spans="5:6" ht="15" customHeight="1" x14ac:dyDescent="0.2">
      <c r="E17643" s="18"/>
      <c r="F17643" s="18"/>
    </row>
    <row r="17644" spans="5:6" ht="15" customHeight="1" x14ac:dyDescent="0.2">
      <c r="E17644" s="18"/>
      <c r="F17644" s="18"/>
    </row>
    <row r="17645" spans="5:6" ht="15" customHeight="1" x14ac:dyDescent="0.2">
      <c r="E17645" s="18"/>
      <c r="F17645" s="18"/>
    </row>
    <row r="17646" spans="5:6" ht="15" customHeight="1" x14ac:dyDescent="0.2">
      <c r="E17646" s="18"/>
      <c r="F17646" s="18"/>
    </row>
    <row r="17647" spans="5:6" ht="15" customHeight="1" x14ac:dyDescent="0.2">
      <c r="E17647" s="18"/>
      <c r="F17647" s="18"/>
    </row>
    <row r="17648" spans="5:6" ht="15" customHeight="1" x14ac:dyDescent="0.2">
      <c r="E17648" s="18"/>
      <c r="F17648" s="18"/>
    </row>
    <row r="17649" spans="5:6" ht="15" customHeight="1" x14ac:dyDescent="0.2">
      <c r="E17649" s="18"/>
      <c r="F17649" s="18"/>
    </row>
    <row r="17650" spans="5:6" ht="15" customHeight="1" x14ac:dyDescent="0.2">
      <c r="E17650" s="18"/>
      <c r="F17650" s="18"/>
    </row>
    <row r="17651" spans="5:6" ht="15" customHeight="1" x14ac:dyDescent="0.2">
      <c r="E17651" s="18"/>
      <c r="F17651" s="18"/>
    </row>
    <row r="17652" spans="5:6" ht="15" customHeight="1" x14ac:dyDescent="0.2">
      <c r="E17652" s="18"/>
      <c r="F17652" s="18"/>
    </row>
    <row r="17653" spans="5:6" ht="15" customHeight="1" x14ac:dyDescent="0.2">
      <c r="E17653" s="18"/>
      <c r="F17653" s="18"/>
    </row>
    <row r="17654" spans="5:6" ht="15" customHeight="1" x14ac:dyDescent="0.2">
      <c r="E17654" s="18"/>
      <c r="F17654" s="18"/>
    </row>
    <row r="17655" spans="5:6" ht="15" customHeight="1" x14ac:dyDescent="0.2">
      <c r="E17655" s="18"/>
      <c r="F17655" s="18"/>
    </row>
    <row r="17656" spans="5:6" ht="15" customHeight="1" x14ac:dyDescent="0.2">
      <c r="E17656" s="18"/>
      <c r="F17656" s="18"/>
    </row>
    <row r="17657" spans="5:6" ht="15" customHeight="1" x14ac:dyDescent="0.2">
      <c r="E17657" s="18"/>
      <c r="F17657" s="18"/>
    </row>
    <row r="17658" spans="5:6" ht="15" customHeight="1" x14ac:dyDescent="0.2">
      <c r="E17658" s="18"/>
      <c r="F17658" s="18"/>
    </row>
    <row r="17659" spans="5:6" ht="15" customHeight="1" x14ac:dyDescent="0.2">
      <c r="E17659" s="18"/>
      <c r="F17659" s="18"/>
    </row>
    <row r="17660" spans="5:6" ht="15" customHeight="1" x14ac:dyDescent="0.2">
      <c r="E17660" s="18"/>
      <c r="F17660" s="18"/>
    </row>
    <row r="17661" spans="5:6" ht="15" customHeight="1" x14ac:dyDescent="0.2">
      <c r="E17661" s="18"/>
      <c r="F17661" s="18"/>
    </row>
    <row r="17662" spans="5:6" ht="15" customHeight="1" x14ac:dyDescent="0.2">
      <c r="E17662" s="18"/>
      <c r="F17662" s="18"/>
    </row>
    <row r="17663" spans="5:6" ht="15" customHeight="1" x14ac:dyDescent="0.2">
      <c r="E17663" s="18"/>
      <c r="F17663" s="18"/>
    </row>
    <row r="17664" spans="5:6" ht="15" customHeight="1" x14ac:dyDescent="0.2">
      <c r="E17664" s="18"/>
      <c r="F17664" s="18"/>
    </row>
    <row r="17665" spans="5:6" ht="15" customHeight="1" x14ac:dyDescent="0.2">
      <c r="E17665" s="18"/>
      <c r="F17665" s="18"/>
    </row>
    <row r="17666" spans="5:6" ht="15" customHeight="1" x14ac:dyDescent="0.2">
      <c r="E17666" s="18"/>
      <c r="F17666" s="18"/>
    </row>
    <row r="17667" spans="5:6" ht="15" customHeight="1" x14ac:dyDescent="0.2">
      <c r="E17667" s="18"/>
      <c r="F17667" s="18"/>
    </row>
    <row r="17668" spans="5:6" ht="15" customHeight="1" x14ac:dyDescent="0.2">
      <c r="E17668" s="18"/>
      <c r="F17668" s="18"/>
    </row>
    <row r="17669" spans="5:6" ht="15" customHeight="1" x14ac:dyDescent="0.2">
      <c r="E17669" s="18"/>
      <c r="F17669" s="18"/>
    </row>
    <row r="17670" spans="5:6" ht="15" customHeight="1" x14ac:dyDescent="0.2">
      <c r="E17670" s="18"/>
      <c r="F17670" s="18"/>
    </row>
    <row r="17671" spans="5:6" ht="15" customHeight="1" x14ac:dyDescent="0.2">
      <c r="E17671" s="18"/>
      <c r="F17671" s="18"/>
    </row>
    <row r="17672" spans="5:6" ht="15" customHeight="1" x14ac:dyDescent="0.2">
      <c r="E17672" s="18"/>
      <c r="F17672" s="18"/>
    </row>
    <row r="17673" spans="5:6" ht="15" customHeight="1" x14ac:dyDescent="0.2">
      <c r="E17673" s="18"/>
      <c r="F17673" s="18"/>
    </row>
    <row r="17674" spans="5:6" ht="15" customHeight="1" x14ac:dyDescent="0.2">
      <c r="E17674" s="18"/>
      <c r="F17674" s="18"/>
    </row>
    <row r="17675" spans="5:6" ht="15" customHeight="1" x14ac:dyDescent="0.2">
      <c r="E17675" s="18"/>
      <c r="F17675" s="18"/>
    </row>
    <row r="17676" spans="5:6" ht="15" customHeight="1" x14ac:dyDescent="0.2">
      <c r="E17676" s="18"/>
      <c r="F17676" s="18"/>
    </row>
    <row r="17677" spans="5:6" ht="15" customHeight="1" x14ac:dyDescent="0.2">
      <c r="E17677" s="18"/>
      <c r="F17677" s="18"/>
    </row>
    <row r="17678" spans="5:6" ht="15" customHeight="1" x14ac:dyDescent="0.2">
      <c r="E17678" s="18"/>
      <c r="F17678" s="18"/>
    </row>
    <row r="17679" spans="5:6" ht="15" customHeight="1" x14ac:dyDescent="0.2">
      <c r="E17679" s="18"/>
      <c r="F17679" s="18"/>
    </row>
    <row r="17680" spans="5:6" ht="15" customHeight="1" x14ac:dyDescent="0.2">
      <c r="E17680" s="18"/>
      <c r="F17680" s="18"/>
    </row>
    <row r="17681" spans="5:6" ht="15" customHeight="1" x14ac:dyDescent="0.2">
      <c r="E17681" s="18"/>
      <c r="F17681" s="18"/>
    </row>
    <row r="17682" spans="5:6" ht="15" customHeight="1" x14ac:dyDescent="0.2">
      <c r="E17682" s="18"/>
      <c r="F17682" s="18"/>
    </row>
    <row r="17683" spans="5:6" ht="15" customHeight="1" x14ac:dyDescent="0.2">
      <c r="E17683" s="18"/>
      <c r="F17683" s="18"/>
    </row>
    <row r="17684" spans="5:6" ht="15" customHeight="1" x14ac:dyDescent="0.2">
      <c r="E17684" s="18"/>
      <c r="F17684" s="18"/>
    </row>
    <row r="17685" spans="5:6" ht="15" customHeight="1" x14ac:dyDescent="0.2">
      <c r="E17685" s="18"/>
      <c r="F17685" s="18"/>
    </row>
    <row r="17686" spans="5:6" ht="15" customHeight="1" x14ac:dyDescent="0.2">
      <c r="E17686" s="18"/>
      <c r="F17686" s="18"/>
    </row>
    <row r="17687" spans="5:6" ht="15" customHeight="1" x14ac:dyDescent="0.2">
      <c r="E17687" s="18"/>
      <c r="F17687" s="18"/>
    </row>
    <row r="17688" spans="5:6" ht="15" customHeight="1" x14ac:dyDescent="0.2">
      <c r="E17688" s="18"/>
      <c r="F17688" s="18"/>
    </row>
    <row r="17689" spans="5:6" ht="15" customHeight="1" x14ac:dyDescent="0.2">
      <c r="E17689" s="18"/>
      <c r="F17689" s="18"/>
    </row>
    <row r="17690" spans="5:6" ht="15" customHeight="1" x14ac:dyDescent="0.2">
      <c r="E17690" s="18"/>
      <c r="F17690" s="18"/>
    </row>
    <row r="17691" spans="5:6" ht="15" customHeight="1" x14ac:dyDescent="0.2">
      <c r="E17691" s="18"/>
      <c r="F17691" s="18"/>
    </row>
    <row r="17692" spans="5:6" ht="15" customHeight="1" x14ac:dyDescent="0.2">
      <c r="E17692" s="18"/>
      <c r="F17692" s="18"/>
    </row>
    <row r="17693" spans="5:6" ht="15" customHeight="1" x14ac:dyDescent="0.2">
      <c r="E17693" s="18"/>
      <c r="F17693" s="18"/>
    </row>
    <row r="17694" spans="5:6" ht="15" customHeight="1" x14ac:dyDescent="0.2">
      <c r="E17694" s="18"/>
      <c r="F17694" s="18"/>
    </row>
    <row r="17695" spans="5:6" ht="15" customHeight="1" x14ac:dyDescent="0.2">
      <c r="E17695" s="18"/>
      <c r="F17695" s="18"/>
    </row>
    <row r="17696" spans="5:6" ht="15" customHeight="1" x14ac:dyDescent="0.2">
      <c r="E17696" s="18"/>
      <c r="F17696" s="18"/>
    </row>
    <row r="17697" spans="5:6" ht="15" customHeight="1" x14ac:dyDescent="0.2">
      <c r="E17697" s="18"/>
      <c r="F17697" s="18"/>
    </row>
    <row r="17698" spans="5:6" ht="15" customHeight="1" x14ac:dyDescent="0.2">
      <c r="E17698" s="18"/>
      <c r="F17698" s="18"/>
    </row>
    <row r="17699" spans="5:6" ht="15" customHeight="1" x14ac:dyDescent="0.2">
      <c r="E17699" s="18"/>
      <c r="F17699" s="18"/>
    </row>
    <row r="17700" spans="5:6" ht="15" customHeight="1" x14ac:dyDescent="0.2">
      <c r="E17700" s="18"/>
      <c r="F17700" s="18"/>
    </row>
    <row r="17701" spans="5:6" ht="15" customHeight="1" x14ac:dyDescent="0.2">
      <c r="E17701" s="18"/>
      <c r="F17701" s="18"/>
    </row>
    <row r="17702" spans="5:6" ht="15" customHeight="1" x14ac:dyDescent="0.2">
      <c r="E17702" s="18"/>
      <c r="F17702" s="18"/>
    </row>
    <row r="17703" spans="5:6" ht="15" customHeight="1" x14ac:dyDescent="0.2">
      <c r="E17703" s="18"/>
      <c r="F17703" s="18"/>
    </row>
    <row r="17704" spans="5:6" ht="15" customHeight="1" x14ac:dyDescent="0.2">
      <c r="E17704" s="18"/>
      <c r="F17704" s="18"/>
    </row>
    <row r="17705" spans="5:6" ht="15" customHeight="1" x14ac:dyDescent="0.2">
      <c r="E17705" s="18"/>
      <c r="F17705" s="18"/>
    </row>
    <row r="17706" spans="5:6" ht="15" customHeight="1" x14ac:dyDescent="0.2">
      <c r="E17706" s="18"/>
      <c r="F17706" s="18"/>
    </row>
    <row r="17707" spans="5:6" ht="15" customHeight="1" x14ac:dyDescent="0.2">
      <c r="E17707" s="18"/>
      <c r="F17707" s="18"/>
    </row>
    <row r="17708" spans="5:6" ht="15" customHeight="1" x14ac:dyDescent="0.2">
      <c r="E17708" s="18"/>
      <c r="F17708" s="18"/>
    </row>
    <row r="17709" spans="5:6" ht="15" customHeight="1" x14ac:dyDescent="0.2">
      <c r="E17709" s="18"/>
      <c r="F17709" s="18"/>
    </row>
    <row r="17710" spans="5:6" ht="15" customHeight="1" x14ac:dyDescent="0.2">
      <c r="E17710" s="18"/>
      <c r="F17710" s="18"/>
    </row>
    <row r="17711" spans="5:6" ht="15" customHeight="1" x14ac:dyDescent="0.2">
      <c r="E17711" s="18"/>
      <c r="F17711" s="18"/>
    </row>
    <row r="17712" spans="5:6" ht="15" customHeight="1" x14ac:dyDescent="0.2">
      <c r="E17712" s="18"/>
      <c r="F17712" s="18"/>
    </row>
    <row r="17713" spans="5:6" ht="15" customHeight="1" x14ac:dyDescent="0.2">
      <c r="E17713" s="18"/>
      <c r="F17713" s="18"/>
    </row>
    <row r="17714" spans="5:6" ht="15" customHeight="1" x14ac:dyDescent="0.2">
      <c r="E17714" s="18"/>
      <c r="F17714" s="18"/>
    </row>
    <row r="17715" spans="5:6" ht="15" customHeight="1" x14ac:dyDescent="0.2">
      <c r="E17715" s="18"/>
      <c r="F17715" s="18"/>
    </row>
    <row r="17716" spans="5:6" ht="15" customHeight="1" x14ac:dyDescent="0.2">
      <c r="E17716" s="18"/>
      <c r="F17716" s="18"/>
    </row>
    <row r="17717" spans="5:6" ht="15" customHeight="1" x14ac:dyDescent="0.2">
      <c r="E17717" s="18"/>
      <c r="F17717" s="18"/>
    </row>
    <row r="17718" spans="5:6" ht="15" customHeight="1" x14ac:dyDescent="0.2">
      <c r="E17718" s="18"/>
      <c r="F17718" s="18"/>
    </row>
    <row r="17719" spans="5:6" ht="15" customHeight="1" x14ac:dyDescent="0.2">
      <c r="E17719" s="18"/>
      <c r="F17719" s="18"/>
    </row>
    <row r="17720" spans="5:6" ht="15" customHeight="1" x14ac:dyDescent="0.2">
      <c r="E17720" s="18"/>
      <c r="F17720" s="18"/>
    </row>
    <row r="17721" spans="5:6" ht="15" customHeight="1" x14ac:dyDescent="0.2">
      <c r="E17721" s="18"/>
      <c r="F17721" s="18"/>
    </row>
    <row r="17722" spans="5:6" ht="15" customHeight="1" x14ac:dyDescent="0.2">
      <c r="E17722" s="18"/>
      <c r="F17722" s="18"/>
    </row>
    <row r="17723" spans="5:6" ht="15" customHeight="1" x14ac:dyDescent="0.2">
      <c r="E17723" s="18"/>
      <c r="F17723" s="18"/>
    </row>
    <row r="17724" spans="5:6" ht="15" customHeight="1" x14ac:dyDescent="0.2">
      <c r="E17724" s="18"/>
      <c r="F17724" s="18"/>
    </row>
    <row r="17725" spans="5:6" ht="15" customHeight="1" x14ac:dyDescent="0.2">
      <c r="E17725" s="18"/>
      <c r="F17725" s="18"/>
    </row>
    <row r="17726" spans="5:6" ht="15" customHeight="1" x14ac:dyDescent="0.2">
      <c r="E17726" s="18"/>
      <c r="F17726" s="18"/>
    </row>
    <row r="17727" spans="5:6" ht="15" customHeight="1" x14ac:dyDescent="0.2">
      <c r="E17727" s="18"/>
      <c r="F17727" s="18"/>
    </row>
    <row r="17728" spans="5:6" ht="15" customHeight="1" x14ac:dyDescent="0.2">
      <c r="E17728" s="18"/>
      <c r="F17728" s="18"/>
    </row>
    <row r="17729" spans="5:6" ht="15" customHeight="1" x14ac:dyDescent="0.2">
      <c r="E17729" s="18"/>
      <c r="F17729" s="18"/>
    </row>
    <row r="17730" spans="5:6" ht="15" customHeight="1" x14ac:dyDescent="0.2">
      <c r="E17730" s="18"/>
      <c r="F17730" s="18"/>
    </row>
    <row r="17731" spans="5:6" ht="15" customHeight="1" x14ac:dyDescent="0.2">
      <c r="E17731" s="18"/>
      <c r="F17731" s="18"/>
    </row>
    <row r="17732" spans="5:6" ht="15" customHeight="1" x14ac:dyDescent="0.2">
      <c r="E17732" s="18"/>
      <c r="F17732" s="18"/>
    </row>
    <row r="17733" spans="5:6" ht="15" customHeight="1" x14ac:dyDescent="0.2">
      <c r="E17733" s="18"/>
      <c r="F17733" s="18"/>
    </row>
    <row r="17734" spans="5:6" ht="15" customHeight="1" x14ac:dyDescent="0.2">
      <c r="E17734" s="18"/>
      <c r="F17734" s="18"/>
    </row>
    <row r="17735" spans="5:6" ht="15" customHeight="1" x14ac:dyDescent="0.2">
      <c r="E17735" s="18"/>
      <c r="F17735" s="18"/>
    </row>
    <row r="17736" spans="5:6" ht="15" customHeight="1" x14ac:dyDescent="0.2">
      <c r="E17736" s="18"/>
      <c r="F17736" s="18"/>
    </row>
    <row r="17737" spans="5:6" ht="15" customHeight="1" x14ac:dyDescent="0.2">
      <c r="E17737" s="18"/>
      <c r="F17737" s="18"/>
    </row>
    <row r="17738" spans="5:6" ht="15" customHeight="1" x14ac:dyDescent="0.2">
      <c r="E17738" s="18"/>
      <c r="F17738" s="18"/>
    </row>
    <row r="17739" spans="5:6" ht="15" customHeight="1" x14ac:dyDescent="0.2">
      <c r="E17739" s="18"/>
      <c r="F17739" s="18"/>
    </row>
    <row r="17740" spans="5:6" ht="15" customHeight="1" x14ac:dyDescent="0.2">
      <c r="E17740" s="18"/>
      <c r="F17740" s="18"/>
    </row>
    <row r="17741" spans="5:6" ht="15" customHeight="1" x14ac:dyDescent="0.2">
      <c r="E17741" s="18"/>
      <c r="F17741" s="18"/>
    </row>
    <row r="17742" spans="5:6" ht="15" customHeight="1" x14ac:dyDescent="0.2">
      <c r="E17742" s="18"/>
      <c r="F17742" s="18"/>
    </row>
    <row r="17743" spans="5:6" ht="15" customHeight="1" x14ac:dyDescent="0.2">
      <c r="E17743" s="18"/>
      <c r="F17743" s="18"/>
    </row>
    <row r="17744" spans="5:6" ht="15" customHeight="1" x14ac:dyDescent="0.2">
      <c r="E17744" s="18"/>
      <c r="F17744" s="18"/>
    </row>
    <row r="17745" spans="5:6" ht="15" customHeight="1" x14ac:dyDescent="0.2">
      <c r="E17745" s="18"/>
      <c r="F17745" s="18"/>
    </row>
    <row r="17746" spans="5:6" ht="15" customHeight="1" x14ac:dyDescent="0.2">
      <c r="E17746" s="18"/>
      <c r="F17746" s="18"/>
    </row>
    <row r="17747" spans="5:6" ht="15" customHeight="1" x14ac:dyDescent="0.2">
      <c r="E17747" s="18"/>
      <c r="F17747" s="18"/>
    </row>
    <row r="17748" spans="5:6" ht="15" customHeight="1" x14ac:dyDescent="0.2">
      <c r="E17748" s="18"/>
      <c r="F17748" s="18"/>
    </row>
    <row r="17749" spans="5:6" ht="15" customHeight="1" x14ac:dyDescent="0.2">
      <c r="E17749" s="18"/>
      <c r="F17749" s="18"/>
    </row>
    <row r="17750" spans="5:6" ht="15" customHeight="1" x14ac:dyDescent="0.2">
      <c r="E17750" s="18"/>
      <c r="F17750" s="18"/>
    </row>
    <row r="17751" spans="5:6" ht="15" customHeight="1" x14ac:dyDescent="0.2">
      <c r="E17751" s="18"/>
      <c r="F17751" s="18"/>
    </row>
    <row r="17752" spans="5:6" ht="15" customHeight="1" x14ac:dyDescent="0.2">
      <c r="E17752" s="18"/>
      <c r="F17752" s="18"/>
    </row>
    <row r="17753" spans="5:6" ht="15" customHeight="1" x14ac:dyDescent="0.2">
      <c r="E17753" s="18"/>
      <c r="F17753" s="18"/>
    </row>
    <row r="17754" spans="5:6" ht="15" customHeight="1" x14ac:dyDescent="0.2">
      <c r="E17754" s="18"/>
      <c r="F17754" s="18"/>
    </row>
    <row r="17755" spans="5:6" ht="15" customHeight="1" x14ac:dyDescent="0.2">
      <c r="E17755" s="18"/>
      <c r="F17755" s="18"/>
    </row>
    <row r="17756" spans="5:6" ht="15" customHeight="1" x14ac:dyDescent="0.2">
      <c r="E17756" s="18"/>
      <c r="F17756" s="18"/>
    </row>
    <row r="17757" spans="5:6" ht="15" customHeight="1" x14ac:dyDescent="0.2">
      <c r="E17757" s="18"/>
      <c r="F17757" s="18"/>
    </row>
    <row r="17758" spans="5:6" ht="15" customHeight="1" x14ac:dyDescent="0.2">
      <c r="E17758" s="18"/>
      <c r="F17758" s="18"/>
    </row>
    <row r="17759" spans="5:6" ht="15" customHeight="1" x14ac:dyDescent="0.2">
      <c r="E17759" s="18"/>
      <c r="F17759" s="18"/>
    </row>
    <row r="17760" spans="5:6" ht="15" customHeight="1" x14ac:dyDescent="0.2">
      <c r="E17760" s="18"/>
      <c r="F17760" s="18"/>
    </row>
    <row r="17761" spans="5:6" ht="15" customHeight="1" x14ac:dyDescent="0.2">
      <c r="E17761" s="18"/>
      <c r="F17761" s="18"/>
    </row>
    <row r="17762" spans="5:6" ht="15" customHeight="1" x14ac:dyDescent="0.2">
      <c r="E17762" s="18"/>
      <c r="F17762" s="18"/>
    </row>
    <row r="17763" spans="5:6" ht="15" customHeight="1" x14ac:dyDescent="0.2">
      <c r="E17763" s="18"/>
      <c r="F17763" s="18"/>
    </row>
    <row r="17764" spans="5:6" ht="15" customHeight="1" x14ac:dyDescent="0.2">
      <c r="E17764" s="18"/>
      <c r="F17764" s="18"/>
    </row>
    <row r="17765" spans="5:6" ht="15" customHeight="1" x14ac:dyDescent="0.2">
      <c r="E17765" s="18"/>
      <c r="F17765" s="18"/>
    </row>
    <row r="17766" spans="5:6" ht="15" customHeight="1" x14ac:dyDescent="0.2">
      <c r="E17766" s="18"/>
      <c r="F17766" s="18"/>
    </row>
    <row r="17767" spans="5:6" ht="15" customHeight="1" x14ac:dyDescent="0.2">
      <c r="E17767" s="18"/>
      <c r="F17767" s="18"/>
    </row>
    <row r="17768" spans="5:6" ht="15" customHeight="1" x14ac:dyDescent="0.2">
      <c r="E17768" s="18"/>
      <c r="F17768" s="18"/>
    </row>
    <row r="17769" spans="5:6" ht="15" customHeight="1" x14ac:dyDescent="0.2">
      <c r="E17769" s="18"/>
      <c r="F17769" s="18"/>
    </row>
    <row r="17770" spans="5:6" ht="15" customHeight="1" x14ac:dyDescent="0.2">
      <c r="E17770" s="18"/>
      <c r="F17770" s="18"/>
    </row>
    <row r="17771" spans="5:6" ht="15" customHeight="1" x14ac:dyDescent="0.2">
      <c r="E17771" s="18"/>
      <c r="F17771" s="18"/>
    </row>
    <row r="17772" spans="5:6" ht="15" customHeight="1" x14ac:dyDescent="0.2">
      <c r="E17772" s="18"/>
      <c r="F17772" s="18"/>
    </row>
    <row r="17773" spans="5:6" ht="15" customHeight="1" x14ac:dyDescent="0.2">
      <c r="E17773" s="18"/>
      <c r="F17773" s="18"/>
    </row>
    <row r="17774" spans="5:6" ht="15" customHeight="1" x14ac:dyDescent="0.2">
      <c r="E17774" s="18"/>
      <c r="F17774" s="18"/>
    </row>
    <row r="17775" spans="5:6" ht="15" customHeight="1" x14ac:dyDescent="0.2">
      <c r="E17775" s="18"/>
      <c r="F17775" s="18"/>
    </row>
    <row r="17776" spans="5:6" ht="15" customHeight="1" x14ac:dyDescent="0.2">
      <c r="E17776" s="18"/>
      <c r="F17776" s="18"/>
    </row>
    <row r="17777" spans="5:6" ht="15" customHeight="1" x14ac:dyDescent="0.2">
      <c r="E17777" s="18"/>
      <c r="F17777" s="18"/>
    </row>
    <row r="17778" spans="5:6" ht="15" customHeight="1" x14ac:dyDescent="0.2">
      <c r="E17778" s="18"/>
      <c r="F17778" s="18"/>
    </row>
    <row r="17779" spans="5:6" ht="15" customHeight="1" x14ac:dyDescent="0.2">
      <c r="E17779" s="18"/>
      <c r="F17779" s="18"/>
    </row>
    <row r="17780" spans="5:6" ht="15" customHeight="1" x14ac:dyDescent="0.2">
      <c r="E17780" s="18"/>
      <c r="F17780" s="18"/>
    </row>
    <row r="17781" spans="5:6" ht="15" customHeight="1" x14ac:dyDescent="0.2">
      <c r="E17781" s="18"/>
      <c r="F17781" s="18"/>
    </row>
    <row r="17782" spans="5:6" ht="15" customHeight="1" x14ac:dyDescent="0.2">
      <c r="E17782" s="18"/>
      <c r="F17782" s="18"/>
    </row>
    <row r="17783" spans="5:6" ht="15" customHeight="1" x14ac:dyDescent="0.2">
      <c r="E17783" s="18"/>
      <c r="F17783" s="18"/>
    </row>
    <row r="17784" spans="5:6" ht="15" customHeight="1" x14ac:dyDescent="0.2">
      <c r="E17784" s="18"/>
      <c r="F17784" s="18"/>
    </row>
    <row r="17785" spans="5:6" ht="15" customHeight="1" x14ac:dyDescent="0.2">
      <c r="E17785" s="18"/>
      <c r="F17785" s="18"/>
    </row>
    <row r="17786" spans="5:6" ht="15" customHeight="1" x14ac:dyDescent="0.2">
      <c r="E17786" s="18"/>
      <c r="F17786" s="18"/>
    </row>
    <row r="17787" spans="5:6" ht="15" customHeight="1" x14ac:dyDescent="0.2">
      <c r="E17787" s="18"/>
      <c r="F17787" s="18"/>
    </row>
    <row r="17788" spans="5:6" ht="15" customHeight="1" x14ac:dyDescent="0.2">
      <c r="E17788" s="18"/>
      <c r="F17788" s="18"/>
    </row>
    <row r="17789" spans="5:6" ht="15" customHeight="1" x14ac:dyDescent="0.2">
      <c r="E17789" s="18"/>
      <c r="F17789" s="18"/>
    </row>
    <row r="17790" spans="5:6" ht="15" customHeight="1" x14ac:dyDescent="0.2">
      <c r="E17790" s="18"/>
      <c r="F17790" s="18"/>
    </row>
    <row r="17791" spans="5:6" ht="15" customHeight="1" x14ac:dyDescent="0.2">
      <c r="E17791" s="18"/>
      <c r="F17791" s="18"/>
    </row>
    <row r="17792" spans="5:6" ht="15" customHeight="1" x14ac:dyDescent="0.2">
      <c r="E17792" s="18"/>
      <c r="F17792" s="18"/>
    </row>
    <row r="17793" spans="5:6" ht="15" customHeight="1" x14ac:dyDescent="0.2">
      <c r="E17793" s="18"/>
      <c r="F17793" s="18"/>
    </row>
    <row r="17794" spans="5:6" ht="15" customHeight="1" x14ac:dyDescent="0.2">
      <c r="E17794" s="18"/>
      <c r="F17794" s="18"/>
    </row>
    <row r="17795" spans="5:6" ht="15" customHeight="1" x14ac:dyDescent="0.2">
      <c r="E17795" s="18"/>
      <c r="F17795" s="18"/>
    </row>
    <row r="17796" spans="5:6" ht="15" customHeight="1" x14ac:dyDescent="0.2">
      <c r="E17796" s="18"/>
      <c r="F17796" s="18"/>
    </row>
    <row r="17797" spans="5:6" ht="15" customHeight="1" x14ac:dyDescent="0.2">
      <c r="E17797" s="18"/>
      <c r="F17797" s="18"/>
    </row>
    <row r="17798" spans="5:6" ht="15" customHeight="1" x14ac:dyDescent="0.2">
      <c r="E17798" s="18"/>
      <c r="F17798" s="18"/>
    </row>
    <row r="17799" spans="5:6" ht="15" customHeight="1" x14ac:dyDescent="0.2">
      <c r="E17799" s="18"/>
      <c r="F17799" s="18"/>
    </row>
    <row r="17800" spans="5:6" ht="15" customHeight="1" x14ac:dyDescent="0.2">
      <c r="E17800" s="18"/>
      <c r="F17800" s="18"/>
    </row>
    <row r="17801" spans="5:6" ht="15" customHeight="1" x14ac:dyDescent="0.2">
      <c r="E17801" s="18"/>
      <c r="F17801" s="18"/>
    </row>
    <row r="17802" spans="5:6" ht="15" customHeight="1" x14ac:dyDescent="0.2">
      <c r="E17802" s="18"/>
      <c r="F17802" s="18"/>
    </row>
    <row r="17803" spans="5:6" ht="15" customHeight="1" x14ac:dyDescent="0.2">
      <c r="E17803" s="18"/>
      <c r="F17803" s="18"/>
    </row>
    <row r="17804" spans="5:6" ht="15" customHeight="1" x14ac:dyDescent="0.2">
      <c r="E17804" s="18"/>
      <c r="F17804" s="18"/>
    </row>
    <row r="17805" spans="5:6" ht="15" customHeight="1" x14ac:dyDescent="0.2">
      <c r="E17805" s="18"/>
      <c r="F17805" s="18"/>
    </row>
    <row r="17806" spans="5:6" ht="15" customHeight="1" x14ac:dyDescent="0.2">
      <c r="E17806" s="18"/>
      <c r="F17806" s="18"/>
    </row>
    <row r="17807" spans="5:6" ht="15" customHeight="1" x14ac:dyDescent="0.2">
      <c r="E17807" s="18"/>
      <c r="F17807" s="18"/>
    </row>
    <row r="17808" spans="5:6" ht="15" customHeight="1" x14ac:dyDescent="0.2">
      <c r="E17808" s="18"/>
      <c r="F17808" s="18"/>
    </row>
    <row r="17809" spans="5:6" ht="15" customHeight="1" x14ac:dyDescent="0.2">
      <c r="E17809" s="18"/>
      <c r="F17809" s="18"/>
    </row>
    <row r="17810" spans="5:6" ht="15" customHeight="1" x14ac:dyDescent="0.2">
      <c r="E17810" s="18"/>
      <c r="F17810" s="18"/>
    </row>
    <row r="17811" spans="5:6" ht="15" customHeight="1" x14ac:dyDescent="0.2">
      <c r="E17811" s="18"/>
      <c r="F17811" s="18"/>
    </row>
    <row r="17812" spans="5:6" ht="15" customHeight="1" x14ac:dyDescent="0.2">
      <c r="E17812" s="18"/>
      <c r="F17812" s="18"/>
    </row>
    <row r="17813" spans="5:6" ht="15" customHeight="1" x14ac:dyDescent="0.2">
      <c r="E17813" s="18"/>
      <c r="F17813" s="18"/>
    </row>
    <row r="17814" spans="5:6" ht="15" customHeight="1" x14ac:dyDescent="0.2">
      <c r="E17814" s="18"/>
      <c r="F17814" s="18"/>
    </row>
    <row r="17815" spans="5:6" ht="15" customHeight="1" x14ac:dyDescent="0.2">
      <c r="E17815" s="18"/>
      <c r="F17815" s="18"/>
    </row>
    <row r="17816" spans="5:6" ht="15" customHeight="1" x14ac:dyDescent="0.2">
      <c r="E17816" s="18"/>
      <c r="F17816" s="18"/>
    </row>
    <row r="17817" spans="5:6" ht="15" customHeight="1" x14ac:dyDescent="0.2">
      <c r="E17817" s="18"/>
      <c r="F17817" s="18"/>
    </row>
    <row r="17818" spans="5:6" ht="15" customHeight="1" x14ac:dyDescent="0.2">
      <c r="E17818" s="18"/>
      <c r="F17818" s="18"/>
    </row>
    <row r="17819" spans="5:6" ht="15" customHeight="1" x14ac:dyDescent="0.2">
      <c r="E17819" s="18"/>
      <c r="F17819" s="18"/>
    </row>
    <row r="17820" spans="5:6" ht="15" customHeight="1" x14ac:dyDescent="0.2">
      <c r="E17820" s="18"/>
      <c r="F17820" s="18"/>
    </row>
    <row r="17821" spans="5:6" ht="15" customHeight="1" x14ac:dyDescent="0.2">
      <c r="E17821" s="18"/>
      <c r="F17821" s="18"/>
    </row>
    <row r="17822" spans="5:6" ht="15" customHeight="1" x14ac:dyDescent="0.2">
      <c r="E17822" s="18"/>
      <c r="F17822" s="18"/>
    </row>
    <row r="17823" spans="5:6" ht="15" customHeight="1" x14ac:dyDescent="0.2">
      <c r="E17823" s="18"/>
      <c r="F17823" s="18"/>
    </row>
    <row r="17824" spans="5:6" ht="15" customHeight="1" x14ac:dyDescent="0.2">
      <c r="E17824" s="18"/>
      <c r="F17824" s="18"/>
    </row>
    <row r="17825" spans="5:6" ht="15" customHeight="1" x14ac:dyDescent="0.2">
      <c r="E17825" s="18"/>
      <c r="F17825" s="18"/>
    </row>
    <row r="17826" spans="5:6" ht="15" customHeight="1" x14ac:dyDescent="0.2">
      <c r="E17826" s="18"/>
      <c r="F17826" s="18"/>
    </row>
    <row r="17827" spans="5:6" ht="15" customHeight="1" x14ac:dyDescent="0.2">
      <c r="E17827" s="18"/>
      <c r="F17827" s="18"/>
    </row>
    <row r="17828" spans="5:6" ht="15" customHeight="1" x14ac:dyDescent="0.2">
      <c r="E17828" s="18"/>
      <c r="F17828" s="18"/>
    </row>
    <row r="17829" spans="5:6" ht="15" customHeight="1" x14ac:dyDescent="0.2">
      <c r="E17829" s="18"/>
      <c r="F17829" s="18"/>
    </row>
    <row r="17830" spans="5:6" ht="15" customHeight="1" x14ac:dyDescent="0.2">
      <c r="E17830" s="18"/>
      <c r="F17830" s="18"/>
    </row>
    <row r="17831" spans="5:6" ht="15" customHeight="1" x14ac:dyDescent="0.2">
      <c r="E17831" s="18"/>
      <c r="F17831" s="18"/>
    </row>
    <row r="17832" spans="5:6" ht="15" customHeight="1" x14ac:dyDescent="0.2">
      <c r="E17832" s="18"/>
      <c r="F17832" s="18"/>
    </row>
    <row r="17833" spans="5:6" ht="15" customHeight="1" x14ac:dyDescent="0.2">
      <c r="E17833" s="18"/>
      <c r="F17833" s="18"/>
    </row>
    <row r="17834" spans="5:6" ht="15" customHeight="1" x14ac:dyDescent="0.2">
      <c r="E17834" s="18"/>
      <c r="F17834" s="18"/>
    </row>
    <row r="17835" spans="5:6" ht="15" customHeight="1" x14ac:dyDescent="0.2">
      <c r="E17835" s="18"/>
      <c r="F17835" s="18"/>
    </row>
    <row r="17836" spans="5:6" ht="15" customHeight="1" x14ac:dyDescent="0.2">
      <c r="E17836" s="18"/>
      <c r="F17836" s="18"/>
    </row>
    <row r="17837" spans="5:6" ht="15" customHeight="1" x14ac:dyDescent="0.2">
      <c r="E17837" s="18"/>
      <c r="F17837" s="18"/>
    </row>
    <row r="17838" spans="5:6" ht="15" customHeight="1" x14ac:dyDescent="0.2">
      <c r="E17838" s="18"/>
      <c r="F17838" s="18"/>
    </row>
    <row r="17839" spans="5:6" ht="15" customHeight="1" x14ac:dyDescent="0.2">
      <c r="E17839" s="18"/>
      <c r="F17839" s="18"/>
    </row>
    <row r="17840" spans="5:6" ht="15" customHeight="1" x14ac:dyDescent="0.2">
      <c r="E17840" s="18"/>
      <c r="F17840" s="18"/>
    </row>
    <row r="17841" spans="5:6" ht="15" customHeight="1" x14ac:dyDescent="0.2">
      <c r="E17841" s="18"/>
      <c r="F17841" s="18"/>
    </row>
    <row r="17842" spans="5:6" ht="15" customHeight="1" x14ac:dyDescent="0.2">
      <c r="E17842" s="18"/>
      <c r="F17842" s="18"/>
    </row>
    <row r="17843" spans="5:6" ht="15" customHeight="1" x14ac:dyDescent="0.2">
      <c r="E17843" s="18"/>
      <c r="F17843" s="18"/>
    </row>
    <row r="17844" spans="5:6" ht="15" customHeight="1" x14ac:dyDescent="0.2">
      <c r="E17844" s="18"/>
      <c r="F17844" s="18"/>
    </row>
    <row r="17845" spans="5:6" ht="15" customHeight="1" x14ac:dyDescent="0.2">
      <c r="E17845" s="18"/>
      <c r="F17845" s="18"/>
    </row>
    <row r="17846" spans="5:6" ht="15" customHeight="1" x14ac:dyDescent="0.2">
      <c r="E17846" s="18"/>
      <c r="F17846" s="18"/>
    </row>
    <row r="17847" spans="5:6" ht="15" customHeight="1" x14ac:dyDescent="0.2">
      <c r="E17847" s="18"/>
      <c r="F17847" s="18"/>
    </row>
    <row r="17848" spans="5:6" ht="15" customHeight="1" x14ac:dyDescent="0.2">
      <c r="E17848" s="18"/>
      <c r="F17848" s="18"/>
    </row>
    <row r="17849" spans="5:6" ht="15" customHeight="1" x14ac:dyDescent="0.2">
      <c r="E17849" s="18"/>
      <c r="F17849" s="18"/>
    </row>
    <row r="17850" spans="5:6" ht="15" customHeight="1" x14ac:dyDescent="0.2">
      <c r="E17850" s="18"/>
      <c r="F17850" s="18"/>
    </row>
    <row r="17851" spans="5:6" ht="15" customHeight="1" x14ac:dyDescent="0.2">
      <c r="E17851" s="18"/>
      <c r="F17851" s="18"/>
    </row>
    <row r="17852" spans="5:6" ht="15" customHeight="1" x14ac:dyDescent="0.2">
      <c r="E17852" s="18"/>
      <c r="F17852" s="18"/>
    </row>
    <row r="17853" spans="5:6" ht="15" customHeight="1" x14ac:dyDescent="0.2">
      <c r="E17853" s="18"/>
      <c r="F17853" s="18"/>
    </row>
    <row r="17854" spans="5:6" ht="15" customHeight="1" x14ac:dyDescent="0.2">
      <c r="E17854" s="18"/>
      <c r="F17854" s="18"/>
    </row>
    <row r="17855" spans="5:6" ht="15" customHeight="1" x14ac:dyDescent="0.2">
      <c r="E17855" s="18"/>
      <c r="F17855" s="18"/>
    </row>
    <row r="17856" spans="5:6" ht="15" customHeight="1" x14ac:dyDescent="0.2">
      <c r="E17856" s="18"/>
      <c r="F17856" s="18"/>
    </row>
    <row r="17857" spans="5:6" ht="15" customHeight="1" x14ac:dyDescent="0.2">
      <c r="E17857" s="18"/>
      <c r="F17857" s="18"/>
    </row>
    <row r="17858" spans="5:6" ht="15" customHeight="1" x14ac:dyDescent="0.2">
      <c r="E17858" s="18"/>
      <c r="F17858" s="18"/>
    </row>
    <row r="17859" spans="5:6" ht="15" customHeight="1" x14ac:dyDescent="0.2">
      <c r="E17859" s="18"/>
      <c r="F17859" s="18"/>
    </row>
    <row r="17860" spans="5:6" ht="15" customHeight="1" x14ac:dyDescent="0.2">
      <c r="E17860" s="18"/>
      <c r="F17860" s="18"/>
    </row>
    <row r="17861" spans="5:6" ht="15" customHeight="1" x14ac:dyDescent="0.2">
      <c r="E17861" s="18"/>
      <c r="F17861" s="18"/>
    </row>
    <row r="17862" spans="5:6" ht="15" customHeight="1" x14ac:dyDescent="0.2">
      <c r="E17862" s="18"/>
      <c r="F17862" s="18"/>
    </row>
    <row r="17863" spans="5:6" ht="15" customHeight="1" x14ac:dyDescent="0.2">
      <c r="E17863" s="18"/>
      <c r="F17863" s="18"/>
    </row>
    <row r="17864" spans="5:6" ht="15" customHeight="1" x14ac:dyDescent="0.2">
      <c r="E17864" s="18"/>
      <c r="F17864" s="18"/>
    </row>
    <row r="17865" spans="5:6" ht="15" customHeight="1" x14ac:dyDescent="0.2">
      <c r="E17865" s="18"/>
      <c r="F17865" s="18"/>
    </row>
    <row r="17866" spans="5:6" ht="15" customHeight="1" x14ac:dyDescent="0.2">
      <c r="E17866" s="18"/>
      <c r="F17866" s="18"/>
    </row>
    <row r="17867" spans="5:6" ht="15" customHeight="1" x14ac:dyDescent="0.2">
      <c r="E17867" s="18"/>
      <c r="F17867" s="18"/>
    </row>
    <row r="17868" spans="5:6" ht="15" customHeight="1" x14ac:dyDescent="0.2">
      <c r="E17868" s="18"/>
      <c r="F17868" s="18"/>
    </row>
    <row r="17869" spans="5:6" ht="15" customHeight="1" x14ac:dyDescent="0.2">
      <c r="E17869" s="18"/>
      <c r="F17869" s="18"/>
    </row>
    <row r="17870" spans="5:6" ht="15" customHeight="1" x14ac:dyDescent="0.2">
      <c r="E17870" s="18"/>
      <c r="F17870" s="18"/>
    </row>
    <row r="17871" spans="5:6" ht="15" customHeight="1" x14ac:dyDescent="0.2">
      <c r="E17871" s="18"/>
      <c r="F17871" s="18"/>
    </row>
    <row r="17872" spans="5:6" ht="15" customHeight="1" x14ac:dyDescent="0.2">
      <c r="E17872" s="18"/>
      <c r="F17872" s="18"/>
    </row>
    <row r="17873" spans="5:6" ht="15" customHeight="1" x14ac:dyDescent="0.2">
      <c r="E17873" s="18"/>
      <c r="F17873" s="18"/>
    </row>
    <row r="17874" spans="5:6" ht="15" customHeight="1" x14ac:dyDescent="0.2">
      <c r="E17874" s="18"/>
      <c r="F17874" s="18"/>
    </row>
    <row r="17875" spans="5:6" ht="15" customHeight="1" x14ac:dyDescent="0.2">
      <c r="E17875" s="18"/>
      <c r="F17875" s="18"/>
    </row>
    <row r="17876" spans="5:6" ht="15" customHeight="1" x14ac:dyDescent="0.2">
      <c r="E17876" s="18"/>
      <c r="F17876" s="18"/>
    </row>
    <row r="17877" spans="5:6" ht="15" customHeight="1" x14ac:dyDescent="0.2">
      <c r="E17877" s="18"/>
      <c r="F17877" s="18"/>
    </row>
    <row r="17878" spans="5:6" ht="15" customHeight="1" x14ac:dyDescent="0.2">
      <c r="E17878" s="18"/>
      <c r="F17878" s="18"/>
    </row>
    <row r="17879" spans="5:6" ht="15" customHeight="1" x14ac:dyDescent="0.2">
      <c r="E17879" s="18"/>
      <c r="F17879" s="18"/>
    </row>
    <row r="17880" spans="5:6" ht="15" customHeight="1" x14ac:dyDescent="0.2">
      <c r="E17880" s="18"/>
      <c r="F17880" s="18"/>
    </row>
    <row r="17881" spans="5:6" ht="15" customHeight="1" x14ac:dyDescent="0.2">
      <c r="E17881" s="18"/>
      <c r="F17881" s="18"/>
    </row>
    <row r="17882" spans="5:6" ht="15" customHeight="1" x14ac:dyDescent="0.2">
      <c r="E17882" s="18"/>
      <c r="F17882" s="18"/>
    </row>
    <row r="17883" spans="5:6" ht="15" customHeight="1" x14ac:dyDescent="0.2">
      <c r="E17883" s="18"/>
      <c r="F17883" s="18"/>
    </row>
    <row r="17884" spans="5:6" ht="15" customHeight="1" x14ac:dyDescent="0.2">
      <c r="E17884" s="18"/>
      <c r="F17884" s="18"/>
    </row>
    <row r="17885" spans="5:6" ht="15" customHeight="1" x14ac:dyDescent="0.2">
      <c r="E17885" s="18"/>
      <c r="F17885" s="18"/>
    </row>
    <row r="17886" spans="5:6" ht="15" customHeight="1" x14ac:dyDescent="0.2">
      <c r="E17886" s="18"/>
      <c r="F17886" s="18"/>
    </row>
    <row r="17887" spans="5:6" ht="15" customHeight="1" x14ac:dyDescent="0.2">
      <c r="E17887" s="18"/>
      <c r="F17887" s="18"/>
    </row>
    <row r="17888" spans="5:6" ht="15" customHeight="1" x14ac:dyDescent="0.2">
      <c r="E17888" s="18"/>
      <c r="F17888" s="18"/>
    </row>
    <row r="17889" spans="5:6" ht="15" customHeight="1" x14ac:dyDescent="0.2">
      <c r="E17889" s="18"/>
      <c r="F17889" s="18"/>
    </row>
    <row r="17890" spans="5:6" ht="15" customHeight="1" x14ac:dyDescent="0.2">
      <c r="E17890" s="18"/>
      <c r="F17890" s="18"/>
    </row>
    <row r="17891" spans="5:6" ht="15" customHeight="1" x14ac:dyDescent="0.2">
      <c r="E17891" s="18"/>
      <c r="F17891" s="18"/>
    </row>
    <row r="17892" spans="5:6" ht="15" customHeight="1" x14ac:dyDescent="0.2">
      <c r="E17892" s="18"/>
      <c r="F17892" s="18"/>
    </row>
    <row r="17893" spans="5:6" ht="15" customHeight="1" x14ac:dyDescent="0.2">
      <c r="E17893" s="18"/>
      <c r="F17893" s="18"/>
    </row>
    <row r="17894" spans="5:6" ht="15" customHeight="1" x14ac:dyDescent="0.2">
      <c r="E17894" s="18"/>
      <c r="F17894" s="18"/>
    </row>
    <row r="17895" spans="5:6" ht="15" customHeight="1" x14ac:dyDescent="0.2">
      <c r="E17895" s="18"/>
      <c r="F17895" s="18"/>
    </row>
    <row r="17896" spans="5:6" ht="15" customHeight="1" x14ac:dyDescent="0.2">
      <c r="E17896" s="18"/>
      <c r="F17896" s="18"/>
    </row>
    <row r="17897" spans="5:6" ht="15" customHeight="1" x14ac:dyDescent="0.2">
      <c r="E17897" s="18"/>
      <c r="F17897" s="18"/>
    </row>
    <row r="17898" spans="5:6" ht="15" customHeight="1" x14ac:dyDescent="0.2">
      <c r="E17898" s="18"/>
      <c r="F17898" s="18"/>
    </row>
    <row r="17899" spans="5:6" ht="15" customHeight="1" x14ac:dyDescent="0.2">
      <c r="E17899" s="18"/>
      <c r="F17899" s="18"/>
    </row>
    <row r="17900" spans="5:6" ht="15" customHeight="1" x14ac:dyDescent="0.2">
      <c r="E17900" s="18"/>
      <c r="F17900" s="18"/>
    </row>
    <row r="17901" spans="5:6" ht="15" customHeight="1" x14ac:dyDescent="0.2">
      <c r="E17901" s="18"/>
      <c r="F17901" s="18"/>
    </row>
    <row r="17902" spans="5:6" ht="15" customHeight="1" x14ac:dyDescent="0.2">
      <c r="E17902" s="18"/>
      <c r="F17902" s="18"/>
    </row>
    <row r="17903" spans="5:6" ht="15" customHeight="1" x14ac:dyDescent="0.2">
      <c r="E17903" s="18"/>
      <c r="F17903" s="18"/>
    </row>
    <row r="17904" spans="5:6" ht="15" customHeight="1" x14ac:dyDescent="0.2">
      <c r="E17904" s="18"/>
      <c r="F17904" s="18"/>
    </row>
    <row r="17905" spans="5:6" ht="15" customHeight="1" x14ac:dyDescent="0.2">
      <c r="E17905" s="18"/>
      <c r="F17905" s="18"/>
    </row>
    <row r="17906" spans="5:6" ht="15" customHeight="1" x14ac:dyDescent="0.2">
      <c r="E17906" s="18"/>
      <c r="F17906" s="18"/>
    </row>
    <row r="17907" spans="5:6" ht="15" customHeight="1" x14ac:dyDescent="0.2">
      <c r="E17907" s="18"/>
      <c r="F17907" s="18"/>
    </row>
    <row r="17908" spans="5:6" ht="15" customHeight="1" x14ac:dyDescent="0.2">
      <c r="E17908" s="18"/>
      <c r="F17908" s="18"/>
    </row>
    <row r="17909" spans="5:6" ht="15" customHeight="1" x14ac:dyDescent="0.2">
      <c r="E17909" s="18"/>
      <c r="F17909" s="18"/>
    </row>
    <row r="17910" spans="5:6" ht="15" customHeight="1" x14ac:dyDescent="0.2">
      <c r="E17910" s="18"/>
      <c r="F17910" s="18"/>
    </row>
    <row r="17911" spans="5:6" ht="15" customHeight="1" x14ac:dyDescent="0.2">
      <c r="E17911" s="18"/>
      <c r="F17911" s="18"/>
    </row>
    <row r="17912" spans="5:6" ht="15" customHeight="1" x14ac:dyDescent="0.2">
      <c r="E17912" s="18"/>
      <c r="F17912" s="18"/>
    </row>
    <row r="17913" spans="5:6" ht="15" customHeight="1" x14ac:dyDescent="0.2">
      <c r="E17913" s="18"/>
      <c r="F17913" s="18"/>
    </row>
    <row r="17914" spans="5:6" ht="15" customHeight="1" x14ac:dyDescent="0.2">
      <c r="E17914" s="18"/>
      <c r="F17914" s="18"/>
    </row>
    <row r="17915" spans="5:6" ht="15" customHeight="1" x14ac:dyDescent="0.2">
      <c r="E17915" s="18"/>
      <c r="F17915" s="18"/>
    </row>
    <row r="17916" spans="5:6" ht="15" customHeight="1" x14ac:dyDescent="0.2">
      <c r="E17916" s="18"/>
      <c r="F17916" s="18"/>
    </row>
    <row r="17917" spans="5:6" ht="15" customHeight="1" x14ac:dyDescent="0.2">
      <c r="E17917" s="18"/>
      <c r="F17917" s="18"/>
    </row>
    <row r="17918" spans="5:6" ht="15" customHeight="1" x14ac:dyDescent="0.2">
      <c r="E17918" s="18"/>
      <c r="F17918" s="18"/>
    </row>
    <row r="17919" spans="5:6" ht="15" customHeight="1" x14ac:dyDescent="0.2">
      <c r="E17919" s="18"/>
      <c r="F17919" s="18"/>
    </row>
    <row r="17920" spans="5:6" ht="15" customHeight="1" x14ac:dyDescent="0.2">
      <c r="E17920" s="18"/>
      <c r="F17920" s="18"/>
    </row>
    <row r="17921" spans="5:6" ht="15" customHeight="1" x14ac:dyDescent="0.2">
      <c r="E17921" s="18"/>
      <c r="F17921" s="18"/>
    </row>
    <row r="17922" spans="5:6" ht="15" customHeight="1" x14ac:dyDescent="0.2">
      <c r="E17922" s="18"/>
      <c r="F17922" s="18"/>
    </row>
    <row r="17923" spans="5:6" ht="15" customHeight="1" x14ac:dyDescent="0.2">
      <c r="E17923" s="18"/>
      <c r="F17923" s="18"/>
    </row>
    <row r="17924" spans="5:6" ht="15" customHeight="1" x14ac:dyDescent="0.2">
      <c r="E17924" s="18"/>
      <c r="F17924" s="18"/>
    </row>
    <row r="17925" spans="5:6" ht="15" customHeight="1" x14ac:dyDescent="0.2">
      <c r="E17925" s="18"/>
      <c r="F17925" s="18"/>
    </row>
    <row r="17926" spans="5:6" ht="15" customHeight="1" x14ac:dyDescent="0.2">
      <c r="E17926" s="18"/>
      <c r="F17926" s="18"/>
    </row>
    <row r="17927" spans="5:6" ht="15" customHeight="1" x14ac:dyDescent="0.2">
      <c r="E17927" s="18"/>
      <c r="F17927" s="18"/>
    </row>
    <row r="17928" spans="5:6" ht="15" customHeight="1" x14ac:dyDescent="0.2">
      <c r="E17928" s="18"/>
      <c r="F17928" s="18"/>
    </row>
    <row r="17929" spans="5:6" ht="15" customHeight="1" x14ac:dyDescent="0.2">
      <c r="E17929" s="18"/>
      <c r="F17929" s="18"/>
    </row>
    <row r="17930" spans="5:6" ht="15" customHeight="1" x14ac:dyDescent="0.2">
      <c r="E17930" s="18"/>
      <c r="F17930" s="18"/>
    </row>
    <row r="17931" spans="5:6" ht="15" customHeight="1" x14ac:dyDescent="0.2">
      <c r="E17931" s="18"/>
      <c r="F17931" s="18"/>
    </row>
    <row r="17932" spans="5:6" ht="15" customHeight="1" x14ac:dyDescent="0.2">
      <c r="E17932" s="18"/>
      <c r="F17932" s="18"/>
    </row>
    <row r="17933" spans="5:6" ht="15" customHeight="1" x14ac:dyDescent="0.2">
      <c r="E17933" s="18"/>
      <c r="F17933" s="18"/>
    </row>
    <row r="17934" spans="5:6" ht="15" customHeight="1" x14ac:dyDescent="0.2">
      <c r="E17934" s="18"/>
      <c r="F17934" s="18"/>
    </row>
    <row r="17935" spans="5:6" ht="15" customHeight="1" x14ac:dyDescent="0.2">
      <c r="E17935" s="18"/>
      <c r="F17935" s="18"/>
    </row>
    <row r="17936" spans="5:6" ht="15" customHeight="1" x14ac:dyDescent="0.2">
      <c r="E17936" s="18"/>
      <c r="F17936" s="18"/>
    </row>
    <row r="17937" spans="5:6" ht="15" customHeight="1" x14ac:dyDescent="0.2">
      <c r="E17937" s="18"/>
      <c r="F17937" s="18"/>
    </row>
    <row r="17938" spans="5:6" ht="15" customHeight="1" x14ac:dyDescent="0.2">
      <c r="E17938" s="18"/>
      <c r="F17938" s="18"/>
    </row>
    <row r="17939" spans="5:6" ht="15" customHeight="1" x14ac:dyDescent="0.2">
      <c r="E17939" s="18"/>
      <c r="F17939" s="18"/>
    </row>
    <row r="17940" spans="5:6" ht="15" customHeight="1" x14ac:dyDescent="0.2">
      <c r="E17940" s="18"/>
      <c r="F17940" s="18"/>
    </row>
    <row r="17941" spans="5:6" ht="15" customHeight="1" x14ac:dyDescent="0.2">
      <c r="E17941" s="18"/>
      <c r="F17941" s="18"/>
    </row>
    <row r="17942" spans="5:6" ht="15" customHeight="1" x14ac:dyDescent="0.2">
      <c r="E17942" s="18"/>
      <c r="F17942" s="18"/>
    </row>
    <row r="17943" spans="5:6" ht="15" customHeight="1" x14ac:dyDescent="0.2">
      <c r="E17943" s="18"/>
      <c r="F17943" s="18"/>
    </row>
    <row r="17944" spans="5:6" ht="15" customHeight="1" x14ac:dyDescent="0.2">
      <c r="E17944" s="18"/>
      <c r="F17944" s="18"/>
    </row>
    <row r="17945" spans="5:6" ht="15" customHeight="1" x14ac:dyDescent="0.2">
      <c r="E17945" s="18"/>
      <c r="F17945" s="18"/>
    </row>
    <row r="17946" spans="5:6" ht="15" customHeight="1" x14ac:dyDescent="0.2">
      <c r="E17946" s="18"/>
      <c r="F17946" s="18"/>
    </row>
    <row r="17947" spans="5:6" ht="15" customHeight="1" x14ac:dyDescent="0.2">
      <c r="E17947" s="18"/>
      <c r="F17947" s="18"/>
    </row>
    <row r="17948" spans="5:6" ht="15" customHeight="1" x14ac:dyDescent="0.2">
      <c r="E17948" s="18"/>
      <c r="F17948" s="18"/>
    </row>
    <row r="17949" spans="5:6" ht="15" customHeight="1" x14ac:dyDescent="0.2">
      <c r="E17949" s="18"/>
      <c r="F17949" s="18"/>
    </row>
    <row r="17950" spans="5:6" ht="15" customHeight="1" x14ac:dyDescent="0.2">
      <c r="E17950" s="18"/>
      <c r="F17950" s="18"/>
    </row>
    <row r="17951" spans="5:6" ht="15" customHeight="1" x14ac:dyDescent="0.2">
      <c r="E17951" s="18"/>
      <c r="F17951" s="18"/>
    </row>
    <row r="17952" spans="5:6" ht="15" customHeight="1" x14ac:dyDescent="0.2">
      <c r="E17952" s="18"/>
      <c r="F17952" s="18"/>
    </row>
    <row r="17953" spans="5:6" ht="15" customHeight="1" x14ac:dyDescent="0.2">
      <c r="E17953" s="18"/>
      <c r="F17953" s="18"/>
    </row>
    <row r="17954" spans="5:6" ht="15" customHeight="1" x14ac:dyDescent="0.2">
      <c r="E17954" s="18"/>
      <c r="F17954" s="18"/>
    </row>
    <row r="17955" spans="5:6" ht="15" customHeight="1" x14ac:dyDescent="0.2">
      <c r="E17955" s="18"/>
      <c r="F17955" s="18"/>
    </row>
    <row r="17956" spans="5:6" ht="15" customHeight="1" x14ac:dyDescent="0.2">
      <c r="E17956" s="18"/>
      <c r="F17956" s="18"/>
    </row>
    <row r="17957" spans="5:6" ht="15" customHeight="1" x14ac:dyDescent="0.2">
      <c r="E17957" s="18"/>
      <c r="F17957" s="18"/>
    </row>
    <row r="17958" spans="5:6" ht="15" customHeight="1" x14ac:dyDescent="0.2">
      <c r="E17958" s="18"/>
      <c r="F17958" s="18"/>
    </row>
    <row r="17959" spans="5:6" ht="15" customHeight="1" x14ac:dyDescent="0.2">
      <c r="E17959" s="18"/>
      <c r="F17959" s="18"/>
    </row>
    <row r="17960" spans="5:6" ht="15" customHeight="1" x14ac:dyDescent="0.2">
      <c r="E17960" s="18"/>
      <c r="F17960" s="18"/>
    </row>
    <row r="17961" spans="5:6" ht="15" customHeight="1" x14ac:dyDescent="0.2">
      <c r="E17961" s="18"/>
      <c r="F17961" s="18"/>
    </row>
    <row r="17962" spans="5:6" ht="15" customHeight="1" x14ac:dyDescent="0.2">
      <c r="E17962" s="18"/>
      <c r="F17962" s="18"/>
    </row>
    <row r="17963" spans="5:6" ht="15" customHeight="1" x14ac:dyDescent="0.2">
      <c r="E17963" s="18"/>
      <c r="F17963" s="18"/>
    </row>
    <row r="17964" spans="5:6" ht="15" customHeight="1" x14ac:dyDescent="0.2">
      <c r="E17964" s="18"/>
      <c r="F17964" s="18"/>
    </row>
    <row r="17965" spans="5:6" ht="15" customHeight="1" x14ac:dyDescent="0.2">
      <c r="E17965" s="18"/>
      <c r="F17965" s="18"/>
    </row>
    <row r="17966" spans="5:6" ht="15" customHeight="1" x14ac:dyDescent="0.2">
      <c r="E17966" s="18"/>
      <c r="F17966" s="18"/>
    </row>
    <row r="17967" spans="5:6" ht="15" customHeight="1" x14ac:dyDescent="0.2">
      <c r="E17967" s="18"/>
      <c r="F17967" s="18"/>
    </row>
    <row r="17968" spans="5:6" ht="15" customHeight="1" x14ac:dyDescent="0.2">
      <c r="E17968" s="18"/>
      <c r="F17968" s="18"/>
    </row>
    <row r="17969" spans="5:6" ht="15" customHeight="1" x14ac:dyDescent="0.2">
      <c r="E17969" s="18"/>
      <c r="F17969" s="18"/>
    </row>
    <row r="17970" spans="5:6" ht="15" customHeight="1" x14ac:dyDescent="0.2">
      <c r="E17970" s="18"/>
      <c r="F17970" s="18"/>
    </row>
    <row r="17971" spans="5:6" ht="15" customHeight="1" x14ac:dyDescent="0.2">
      <c r="E17971" s="18"/>
      <c r="F17971" s="18"/>
    </row>
    <row r="17972" spans="5:6" ht="15" customHeight="1" x14ac:dyDescent="0.2">
      <c r="E17972" s="18"/>
      <c r="F17972" s="18"/>
    </row>
    <row r="17973" spans="5:6" ht="15" customHeight="1" x14ac:dyDescent="0.2">
      <c r="E17973" s="18"/>
      <c r="F17973" s="18"/>
    </row>
    <row r="17974" spans="5:6" ht="15" customHeight="1" x14ac:dyDescent="0.2">
      <c r="E17974" s="18"/>
      <c r="F17974" s="18"/>
    </row>
    <row r="17975" spans="5:6" ht="15" customHeight="1" x14ac:dyDescent="0.2">
      <c r="E17975" s="18"/>
      <c r="F17975" s="18"/>
    </row>
    <row r="17976" spans="5:6" ht="15" customHeight="1" x14ac:dyDescent="0.2">
      <c r="E17976" s="18"/>
      <c r="F17976" s="18"/>
    </row>
    <row r="17977" spans="5:6" ht="15" customHeight="1" x14ac:dyDescent="0.2">
      <c r="E17977" s="18"/>
      <c r="F17977" s="18"/>
    </row>
    <row r="17978" spans="5:6" ht="15" customHeight="1" x14ac:dyDescent="0.2">
      <c r="E17978" s="18"/>
      <c r="F17978" s="18"/>
    </row>
    <row r="17979" spans="5:6" ht="15" customHeight="1" x14ac:dyDescent="0.2">
      <c r="E17979" s="18"/>
      <c r="F17979" s="18"/>
    </row>
    <row r="17980" spans="5:6" ht="15" customHeight="1" x14ac:dyDescent="0.2">
      <c r="E17980" s="18"/>
      <c r="F17980" s="18"/>
    </row>
    <row r="17981" spans="5:6" ht="15" customHeight="1" x14ac:dyDescent="0.2">
      <c r="E17981" s="18"/>
      <c r="F17981" s="18"/>
    </row>
    <row r="17982" spans="5:6" ht="15" customHeight="1" x14ac:dyDescent="0.2">
      <c r="E17982" s="18"/>
      <c r="F17982" s="18"/>
    </row>
    <row r="17983" spans="5:6" ht="15" customHeight="1" x14ac:dyDescent="0.2">
      <c r="E17983" s="18"/>
      <c r="F17983" s="18"/>
    </row>
    <row r="17984" spans="5:6" ht="15" customHeight="1" x14ac:dyDescent="0.2">
      <c r="E17984" s="18"/>
      <c r="F17984" s="18"/>
    </row>
    <row r="17985" spans="5:6" ht="15" customHeight="1" x14ac:dyDescent="0.2">
      <c r="E17985" s="18"/>
      <c r="F17985" s="18"/>
    </row>
    <row r="17986" spans="5:6" ht="15" customHeight="1" x14ac:dyDescent="0.2">
      <c r="E17986" s="18"/>
      <c r="F17986" s="18"/>
    </row>
    <row r="17987" spans="5:6" ht="15" customHeight="1" x14ac:dyDescent="0.2">
      <c r="E17987" s="18"/>
      <c r="F17987" s="18"/>
    </row>
    <row r="17988" spans="5:6" ht="15" customHeight="1" x14ac:dyDescent="0.2">
      <c r="E17988" s="18"/>
      <c r="F17988" s="18"/>
    </row>
    <row r="17989" spans="5:6" ht="15" customHeight="1" x14ac:dyDescent="0.2">
      <c r="E17989" s="18"/>
      <c r="F17989" s="18"/>
    </row>
    <row r="17990" spans="5:6" ht="15" customHeight="1" x14ac:dyDescent="0.2">
      <c r="E17990" s="18"/>
      <c r="F17990" s="18"/>
    </row>
    <row r="17991" spans="5:6" ht="15" customHeight="1" x14ac:dyDescent="0.2">
      <c r="E17991" s="18"/>
      <c r="F17991" s="18"/>
    </row>
    <row r="17992" spans="5:6" ht="15" customHeight="1" x14ac:dyDescent="0.2">
      <c r="E17992" s="18"/>
      <c r="F17992" s="18"/>
    </row>
    <row r="17993" spans="5:6" ht="15" customHeight="1" x14ac:dyDescent="0.2">
      <c r="E17993" s="18"/>
      <c r="F17993" s="18"/>
    </row>
    <row r="17994" spans="5:6" ht="15" customHeight="1" x14ac:dyDescent="0.2">
      <c r="E17994" s="18"/>
      <c r="F17994" s="18"/>
    </row>
    <row r="17995" spans="5:6" ht="15" customHeight="1" x14ac:dyDescent="0.2">
      <c r="E17995" s="18"/>
      <c r="F17995" s="18"/>
    </row>
    <row r="17996" spans="5:6" ht="15" customHeight="1" x14ac:dyDescent="0.2">
      <c r="E17996" s="18"/>
      <c r="F17996" s="18"/>
    </row>
    <row r="17997" spans="5:6" ht="15" customHeight="1" x14ac:dyDescent="0.2">
      <c r="E17997" s="18"/>
      <c r="F17997" s="18"/>
    </row>
    <row r="17998" spans="5:6" ht="15" customHeight="1" x14ac:dyDescent="0.2">
      <c r="E17998" s="18"/>
      <c r="F17998" s="18"/>
    </row>
    <row r="17999" spans="5:6" ht="15" customHeight="1" x14ac:dyDescent="0.2">
      <c r="E17999" s="18"/>
      <c r="F17999" s="18"/>
    </row>
    <row r="18000" spans="5:6" ht="15" customHeight="1" x14ac:dyDescent="0.2">
      <c r="E18000" s="18"/>
      <c r="F18000" s="18"/>
    </row>
    <row r="18001" spans="5:6" ht="15" customHeight="1" x14ac:dyDescent="0.2">
      <c r="E18001" s="18"/>
      <c r="F18001" s="18"/>
    </row>
    <row r="18002" spans="5:6" ht="15" customHeight="1" x14ac:dyDescent="0.2">
      <c r="E18002" s="18"/>
      <c r="F18002" s="18"/>
    </row>
    <row r="18003" spans="5:6" ht="15" customHeight="1" x14ac:dyDescent="0.2">
      <c r="E18003" s="18"/>
      <c r="F18003" s="18"/>
    </row>
    <row r="18004" spans="5:6" ht="15" customHeight="1" x14ac:dyDescent="0.2">
      <c r="E18004" s="18"/>
      <c r="F18004" s="18"/>
    </row>
    <row r="18005" spans="5:6" ht="15" customHeight="1" x14ac:dyDescent="0.2">
      <c r="E18005" s="18"/>
      <c r="F18005" s="18"/>
    </row>
    <row r="18006" spans="5:6" ht="15" customHeight="1" x14ac:dyDescent="0.2">
      <c r="E18006" s="18"/>
      <c r="F18006" s="18"/>
    </row>
    <row r="18007" spans="5:6" ht="15" customHeight="1" x14ac:dyDescent="0.2">
      <c r="E18007" s="18"/>
      <c r="F18007" s="18"/>
    </row>
    <row r="18008" spans="5:6" ht="15" customHeight="1" x14ac:dyDescent="0.2">
      <c r="E18008" s="18"/>
      <c r="F18008" s="18"/>
    </row>
    <row r="18009" spans="5:6" ht="15" customHeight="1" x14ac:dyDescent="0.2">
      <c r="E18009" s="18"/>
      <c r="F18009" s="18"/>
    </row>
    <row r="18010" spans="5:6" ht="15" customHeight="1" x14ac:dyDescent="0.2">
      <c r="E18010" s="18"/>
      <c r="F18010" s="18"/>
    </row>
    <row r="18011" spans="5:6" ht="15" customHeight="1" x14ac:dyDescent="0.2">
      <c r="E18011" s="18"/>
      <c r="F18011" s="18"/>
    </row>
    <row r="18012" spans="5:6" ht="15" customHeight="1" x14ac:dyDescent="0.2">
      <c r="E18012" s="18"/>
      <c r="F18012" s="18"/>
    </row>
    <row r="18013" spans="5:6" ht="15" customHeight="1" x14ac:dyDescent="0.2">
      <c r="E18013" s="18"/>
      <c r="F18013" s="18"/>
    </row>
    <row r="18014" spans="5:6" ht="15" customHeight="1" x14ac:dyDescent="0.2">
      <c r="E18014" s="18"/>
      <c r="F18014" s="18"/>
    </row>
    <row r="18015" spans="5:6" ht="15" customHeight="1" x14ac:dyDescent="0.2">
      <c r="E18015" s="18"/>
      <c r="F18015" s="18"/>
    </row>
    <row r="18016" spans="5:6" ht="15" customHeight="1" x14ac:dyDescent="0.2">
      <c r="E18016" s="18"/>
      <c r="F18016" s="18"/>
    </row>
    <row r="18017" spans="5:6" ht="15" customHeight="1" x14ac:dyDescent="0.2">
      <c r="E18017" s="18"/>
      <c r="F18017" s="18"/>
    </row>
    <row r="18018" spans="5:6" ht="15" customHeight="1" x14ac:dyDescent="0.2">
      <c r="E18018" s="18"/>
      <c r="F18018" s="18"/>
    </row>
    <row r="18019" spans="5:6" ht="15" customHeight="1" x14ac:dyDescent="0.2">
      <c r="E18019" s="18"/>
      <c r="F18019" s="18"/>
    </row>
    <row r="18020" spans="5:6" ht="15" customHeight="1" x14ac:dyDescent="0.2">
      <c r="E18020" s="18"/>
      <c r="F18020" s="18"/>
    </row>
    <row r="18021" spans="5:6" ht="15" customHeight="1" x14ac:dyDescent="0.2">
      <c r="E18021" s="18"/>
      <c r="F18021" s="18"/>
    </row>
    <row r="18022" spans="5:6" ht="15" customHeight="1" x14ac:dyDescent="0.2">
      <c r="E18022" s="18"/>
      <c r="F18022" s="18"/>
    </row>
    <row r="18023" spans="5:6" ht="15" customHeight="1" x14ac:dyDescent="0.2">
      <c r="E18023" s="18"/>
      <c r="F18023" s="18"/>
    </row>
    <row r="18024" spans="5:6" ht="15" customHeight="1" x14ac:dyDescent="0.2">
      <c r="E18024" s="18"/>
      <c r="F18024" s="18"/>
    </row>
    <row r="18025" spans="5:6" ht="15" customHeight="1" x14ac:dyDescent="0.2">
      <c r="E18025" s="18"/>
      <c r="F18025" s="18"/>
    </row>
    <row r="18026" spans="5:6" ht="15" customHeight="1" x14ac:dyDescent="0.2">
      <c r="E18026" s="18"/>
      <c r="F18026" s="18"/>
    </row>
    <row r="18027" spans="5:6" ht="15" customHeight="1" x14ac:dyDescent="0.2">
      <c r="E18027" s="18"/>
      <c r="F18027" s="18"/>
    </row>
    <row r="18028" spans="5:6" ht="15" customHeight="1" x14ac:dyDescent="0.2">
      <c r="E18028" s="18"/>
      <c r="F18028" s="18"/>
    </row>
    <row r="18029" spans="5:6" ht="15" customHeight="1" x14ac:dyDescent="0.2">
      <c r="E18029" s="18"/>
      <c r="F18029" s="18"/>
    </row>
    <row r="18030" spans="5:6" ht="15" customHeight="1" x14ac:dyDescent="0.2">
      <c r="E18030" s="18"/>
      <c r="F18030" s="18"/>
    </row>
    <row r="18031" spans="5:6" ht="15" customHeight="1" x14ac:dyDescent="0.2">
      <c r="E18031" s="18"/>
      <c r="F18031" s="18"/>
    </row>
    <row r="18032" spans="5:6" ht="15" customHeight="1" x14ac:dyDescent="0.2">
      <c r="E18032" s="18"/>
      <c r="F18032" s="18"/>
    </row>
    <row r="18033" spans="5:6" ht="15" customHeight="1" x14ac:dyDescent="0.2">
      <c r="E18033" s="18"/>
      <c r="F18033" s="18"/>
    </row>
    <row r="18034" spans="5:6" ht="15" customHeight="1" x14ac:dyDescent="0.2">
      <c r="E18034" s="18"/>
      <c r="F18034" s="18"/>
    </row>
    <row r="18035" spans="5:6" ht="15" customHeight="1" x14ac:dyDescent="0.2">
      <c r="E18035" s="18"/>
      <c r="F18035" s="18"/>
    </row>
    <row r="18036" spans="5:6" ht="15" customHeight="1" x14ac:dyDescent="0.2">
      <c r="E18036" s="18"/>
      <c r="F18036" s="18"/>
    </row>
    <row r="18037" spans="5:6" ht="15" customHeight="1" x14ac:dyDescent="0.2">
      <c r="E18037" s="18"/>
      <c r="F18037" s="18"/>
    </row>
    <row r="18038" spans="5:6" ht="15" customHeight="1" x14ac:dyDescent="0.2">
      <c r="E18038" s="18"/>
      <c r="F18038" s="18"/>
    </row>
    <row r="18039" spans="5:6" ht="15" customHeight="1" x14ac:dyDescent="0.2">
      <c r="E18039" s="18"/>
      <c r="F18039" s="18"/>
    </row>
    <row r="18040" spans="5:6" ht="15" customHeight="1" x14ac:dyDescent="0.2">
      <c r="E18040" s="18"/>
      <c r="F18040" s="18"/>
    </row>
    <row r="18041" spans="5:6" ht="15" customHeight="1" x14ac:dyDescent="0.2">
      <c r="E18041" s="18"/>
      <c r="F18041" s="18"/>
    </row>
    <row r="18042" spans="5:6" ht="15" customHeight="1" x14ac:dyDescent="0.2">
      <c r="E18042" s="18"/>
      <c r="F18042" s="18"/>
    </row>
    <row r="18043" spans="5:6" ht="15" customHeight="1" x14ac:dyDescent="0.2">
      <c r="E18043" s="18"/>
      <c r="F18043" s="18"/>
    </row>
    <row r="18044" spans="5:6" ht="15" customHeight="1" x14ac:dyDescent="0.2">
      <c r="E18044" s="18"/>
      <c r="F18044" s="18"/>
    </row>
    <row r="18045" spans="5:6" ht="15" customHeight="1" x14ac:dyDescent="0.2">
      <c r="E18045" s="18"/>
      <c r="F18045" s="18"/>
    </row>
    <row r="18046" spans="5:6" ht="15" customHeight="1" x14ac:dyDescent="0.2">
      <c r="E18046" s="18"/>
      <c r="F18046" s="18"/>
    </row>
    <row r="18047" spans="5:6" ht="15" customHeight="1" x14ac:dyDescent="0.2">
      <c r="E18047" s="18"/>
      <c r="F18047" s="18"/>
    </row>
    <row r="18048" spans="5:6" ht="15" customHeight="1" x14ac:dyDescent="0.2">
      <c r="E18048" s="18"/>
      <c r="F18048" s="18"/>
    </row>
    <row r="18049" spans="5:6" ht="15" customHeight="1" x14ac:dyDescent="0.2">
      <c r="E18049" s="18"/>
      <c r="F18049" s="18"/>
    </row>
    <row r="18050" spans="5:6" ht="15" customHeight="1" x14ac:dyDescent="0.2">
      <c r="E18050" s="18"/>
      <c r="F18050" s="18"/>
    </row>
    <row r="18051" spans="5:6" ht="15" customHeight="1" x14ac:dyDescent="0.2">
      <c r="E18051" s="18"/>
      <c r="F18051" s="18"/>
    </row>
    <row r="18052" spans="5:6" ht="15" customHeight="1" x14ac:dyDescent="0.2">
      <c r="E18052" s="18"/>
      <c r="F18052" s="18"/>
    </row>
    <row r="18053" spans="5:6" ht="15" customHeight="1" x14ac:dyDescent="0.2">
      <c r="E18053" s="18"/>
      <c r="F18053" s="18"/>
    </row>
    <row r="18054" spans="5:6" ht="15" customHeight="1" x14ac:dyDescent="0.2">
      <c r="E18054" s="18"/>
      <c r="F18054" s="18"/>
    </row>
    <row r="18055" spans="5:6" ht="15" customHeight="1" x14ac:dyDescent="0.2">
      <c r="E18055" s="18"/>
      <c r="F18055" s="18"/>
    </row>
    <row r="18056" spans="5:6" ht="15" customHeight="1" x14ac:dyDescent="0.2">
      <c r="E18056" s="18"/>
      <c r="F18056" s="18"/>
    </row>
    <row r="18057" spans="5:6" ht="15" customHeight="1" x14ac:dyDescent="0.2">
      <c r="E18057" s="18"/>
      <c r="F18057" s="18"/>
    </row>
    <row r="18058" spans="5:6" ht="15" customHeight="1" x14ac:dyDescent="0.2">
      <c r="E18058" s="18"/>
      <c r="F18058" s="18"/>
    </row>
    <row r="18059" spans="5:6" ht="15" customHeight="1" x14ac:dyDescent="0.2">
      <c r="E18059" s="18"/>
      <c r="F18059" s="18"/>
    </row>
    <row r="18060" spans="5:6" ht="15" customHeight="1" x14ac:dyDescent="0.2">
      <c r="E18060" s="18"/>
      <c r="F18060" s="18"/>
    </row>
    <row r="18061" spans="5:6" ht="15" customHeight="1" x14ac:dyDescent="0.2">
      <c r="E18061" s="18"/>
      <c r="F18061" s="18"/>
    </row>
    <row r="18062" spans="5:6" ht="15" customHeight="1" x14ac:dyDescent="0.2">
      <c r="E18062" s="18"/>
      <c r="F18062" s="18"/>
    </row>
    <row r="18063" spans="5:6" ht="15" customHeight="1" x14ac:dyDescent="0.2">
      <c r="E18063" s="18"/>
      <c r="F18063" s="18"/>
    </row>
    <row r="18064" spans="5:6" ht="15" customHeight="1" x14ac:dyDescent="0.2">
      <c r="E18064" s="18"/>
      <c r="F18064" s="18"/>
    </row>
    <row r="18065" spans="5:6" ht="15" customHeight="1" x14ac:dyDescent="0.2">
      <c r="E18065" s="18"/>
      <c r="F18065" s="18"/>
    </row>
    <row r="18066" spans="5:6" ht="15" customHeight="1" x14ac:dyDescent="0.2">
      <c r="E18066" s="18"/>
      <c r="F18066" s="18"/>
    </row>
    <row r="18067" spans="5:6" ht="15" customHeight="1" x14ac:dyDescent="0.2">
      <c r="E18067" s="18"/>
      <c r="F18067" s="18"/>
    </row>
    <row r="18068" spans="5:6" ht="15" customHeight="1" x14ac:dyDescent="0.2">
      <c r="E18068" s="18"/>
      <c r="F18068" s="18"/>
    </row>
    <row r="18069" spans="5:6" ht="15" customHeight="1" x14ac:dyDescent="0.2">
      <c r="E18069" s="18"/>
      <c r="F18069" s="18"/>
    </row>
    <row r="18070" spans="5:6" ht="15" customHeight="1" x14ac:dyDescent="0.2">
      <c r="E18070" s="18"/>
      <c r="F18070" s="18"/>
    </row>
    <row r="18071" spans="5:6" ht="15" customHeight="1" x14ac:dyDescent="0.2">
      <c r="E18071" s="18"/>
      <c r="F18071" s="18"/>
    </row>
    <row r="18072" spans="5:6" ht="15" customHeight="1" x14ac:dyDescent="0.2">
      <c r="E18072" s="18"/>
      <c r="F18072" s="18"/>
    </row>
    <row r="18073" spans="5:6" ht="15" customHeight="1" x14ac:dyDescent="0.2">
      <c r="E18073" s="18"/>
      <c r="F18073" s="18"/>
    </row>
    <row r="18074" spans="5:6" ht="15" customHeight="1" x14ac:dyDescent="0.2">
      <c r="E18074" s="18"/>
      <c r="F18074" s="18"/>
    </row>
    <row r="18075" spans="5:6" ht="15" customHeight="1" x14ac:dyDescent="0.2">
      <c r="E18075" s="18"/>
      <c r="F18075" s="18"/>
    </row>
    <row r="18076" spans="5:6" ht="15" customHeight="1" x14ac:dyDescent="0.2">
      <c r="E18076" s="18"/>
      <c r="F18076" s="18"/>
    </row>
    <row r="18077" spans="5:6" ht="15" customHeight="1" x14ac:dyDescent="0.2">
      <c r="E18077" s="18"/>
      <c r="F18077" s="18"/>
    </row>
    <row r="18078" spans="5:6" ht="15" customHeight="1" x14ac:dyDescent="0.2">
      <c r="E18078" s="18"/>
      <c r="F18078" s="18"/>
    </row>
    <row r="18079" spans="5:6" ht="15" customHeight="1" x14ac:dyDescent="0.2">
      <c r="E18079" s="18"/>
      <c r="F18079" s="18"/>
    </row>
    <row r="18080" spans="5:6" ht="15" customHeight="1" x14ac:dyDescent="0.2">
      <c r="E18080" s="18"/>
      <c r="F18080" s="18"/>
    </row>
    <row r="18081" spans="5:6" ht="15" customHeight="1" x14ac:dyDescent="0.2">
      <c r="E18081" s="18"/>
      <c r="F18081" s="18"/>
    </row>
    <row r="18082" spans="5:6" ht="15" customHeight="1" x14ac:dyDescent="0.2">
      <c r="E18082" s="18"/>
      <c r="F18082" s="18"/>
    </row>
    <row r="18083" spans="5:6" ht="15" customHeight="1" x14ac:dyDescent="0.2">
      <c r="E18083" s="18"/>
      <c r="F18083" s="18"/>
    </row>
    <row r="18084" spans="5:6" ht="15" customHeight="1" x14ac:dyDescent="0.2">
      <c r="E18084" s="18"/>
      <c r="F18084" s="18"/>
    </row>
    <row r="18085" spans="5:6" ht="15" customHeight="1" x14ac:dyDescent="0.2">
      <c r="E18085" s="18"/>
      <c r="F18085" s="18"/>
    </row>
    <row r="18086" spans="5:6" ht="15" customHeight="1" x14ac:dyDescent="0.2">
      <c r="E18086" s="18"/>
      <c r="F18086" s="18"/>
    </row>
    <row r="18087" spans="5:6" ht="15" customHeight="1" x14ac:dyDescent="0.2">
      <c r="E18087" s="18"/>
      <c r="F18087" s="18"/>
    </row>
    <row r="18088" spans="5:6" ht="15" customHeight="1" x14ac:dyDescent="0.2">
      <c r="E18088" s="18"/>
      <c r="F18088" s="18"/>
    </row>
    <row r="18089" spans="5:6" ht="15" customHeight="1" x14ac:dyDescent="0.2">
      <c r="E18089" s="18"/>
      <c r="F18089" s="18"/>
    </row>
    <row r="18090" spans="5:6" ht="15" customHeight="1" x14ac:dyDescent="0.2">
      <c r="E18090" s="18"/>
      <c r="F18090" s="18"/>
    </row>
    <row r="18091" spans="5:6" ht="15" customHeight="1" x14ac:dyDescent="0.2">
      <c r="E18091" s="18"/>
      <c r="F18091" s="18"/>
    </row>
    <row r="18092" spans="5:6" ht="15" customHeight="1" x14ac:dyDescent="0.2">
      <c r="E18092" s="18"/>
      <c r="F18092" s="18"/>
    </row>
    <row r="18093" spans="5:6" ht="15" customHeight="1" x14ac:dyDescent="0.2">
      <c r="E18093" s="18"/>
      <c r="F18093" s="18"/>
    </row>
    <row r="18094" spans="5:6" ht="15" customHeight="1" x14ac:dyDescent="0.2">
      <c r="E18094" s="18"/>
      <c r="F18094" s="18"/>
    </row>
    <row r="18095" spans="5:6" ht="15" customHeight="1" x14ac:dyDescent="0.2">
      <c r="E18095" s="18"/>
      <c r="F18095" s="18"/>
    </row>
    <row r="18096" spans="5:6" ht="15" customHeight="1" x14ac:dyDescent="0.2">
      <c r="E18096" s="18"/>
      <c r="F18096" s="18"/>
    </row>
    <row r="18097" spans="5:6" ht="15" customHeight="1" x14ac:dyDescent="0.2">
      <c r="E18097" s="18"/>
      <c r="F18097" s="18"/>
    </row>
    <row r="18098" spans="5:6" ht="15" customHeight="1" x14ac:dyDescent="0.2">
      <c r="E18098" s="18"/>
      <c r="F18098" s="18"/>
    </row>
    <row r="18099" spans="5:6" ht="15" customHeight="1" x14ac:dyDescent="0.2">
      <c r="E18099" s="18"/>
      <c r="F18099" s="18"/>
    </row>
    <row r="18100" spans="5:6" ht="15" customHeight="1" x14ac:dyDescent="0.2">
      <c r="E18100" s="18"/>
      <c r="F18100" s="18"/>
    </row>
    <row r="18101" spans="5:6" ht="15" customHeight="1" x14ac:dyDescent="0.2">
      <c r="E18101" s="18"/>
      <c r="F18101" s="18"/>
    </row>
    <row r="18102" spans="5:6" ht="15" customHeight="1" x14ac:dyDescent="0.2">
      <c r="E18102" s="18"/>
      <c r="F18102" s="18"/>
    </row>
    <row r="18103" spans="5:6" ht="15" customHeight="1" x14ac:dyDescent="0.2">
      <c r="E18103" s="18"/>
      <c r="F18103" s="18"/>
    </row>
    <row r="18104" spans="5:6" ht="15" customHeight="1" x14ac:dyDescent="0.2">
      <c r="E18104" s="18"/>
      <c r="F18104" s="18"/>
    </row>
    <row r="18105" spans="5:6" ht="15" customHeight="1" x14ac:dyDescent="0.2">
      <c r="E18105" s="18"/>
      <c r="F18105" s="18"/>
    </row>
    <row r="18106" spans="5:6" ht="15" customHeight="1" x14ac:dyDescent="0.2">
      <c r="E18106" s="18"/>
      <c r="F18106" s="18"/>
    </row>
    <row r="18107" spans="5:6" ht="15" customHeight="1" x14ac:dyDescent="0.2">
      <c r="E18107" s="18"/>
      <c r="F18107" s="18"/>
    </row>
    <row r="18108" spans="5:6" ht="15" customHeight="1" x14ac:dyDescent="0.2">
      <c r="E18108" s="18"/>
      <c r="F18108" s="18"/>
    </row>
    <row r="18109" spans="5:6" ht="15" customHeight="1" x14ac:dyDescent="0.2">
      <c r="E18109" s="18"/>
      <c r="F18109" s="18"/>
    </row>
    <row r="18110" spans="5:6" ht="15" customHeight="1" x14ac:dyDescent="0.2">
      <c r="E18110" s="18"/>
      <c r="F18110" s="18"/>
    </row>
    <row r="18111" spans="5:6" ht="15" customHeight="1" x14ac:dyDescent="0.2">
      <c r="E18111" s="18"/>
      <c r="F18111" s="18"/>
    </row>
    <row r="18112" spans="5:6" ht="15" customHeight="1" x14ac:dyDescent="0.2">
      <c r="E18112" s="18"/>
      <c r="F18112" s="18"/>
    </row>
    <row r="18113" spans="5:6" ht="15" customHeight="1" x14ac:dyDescent="0.2">
      <c r="E18113" s="18"/>
      <c r="F18113" s="18"/>
    </row>
    <row r="18114" spans="5:6" ht="15" customHeight="1" x14ac:dyDescent="0.2">
      <c r="E18114" s="18"/>
      <c r="F18114" s="18"/>
    </row>
    <row r="18115" spans="5:6" ht="15" customHeight="1" x14ac:dyDescent="0.2">
      <c r="E18115" s="18"/>
      <c r="F18115" s="18"/>
    </row>
    <row r="18116" spans="5:6" ht="15" customHeight="1" x14ac:dyDescent="0.2">
      <c r="E18116" s="18"/>
      <c r="F18116" s="18"/>
    </row>
    <row r="18117" spans="5:6" ht="15" customHeight="1" x14ac:dyDescent="0.2">
      <c r="E18117" s="18"/>
      <c r="F18117" s="18"/>
    </row>
    <row r="18118" spans="5:6" ht="15" customHeight="1" x14ac:dyDescent="0.2">
      <c r="E18118" s="18"/>
      <c r="F18118" s="18"/>
    </row>
    <row r="18119" spans="5:6" ht="15" customHeight="1" x14ac:dyDescent="0.2">
      <c r="E18119" s="18"/>
      <c r="F18119" s="18"/>
    </row>
    <row r="18120" spans="5:6" ht="15" customHeight="1" x14ac:dyDescent="0.2">
      <c r="E18120" s="18"/>
      <c r="F18120" s="18"/>
    </row>
    <row r="18121" spans="5:6" ht="15" customHeight="1" x14ac:dyDescent="0.2">
      <c r="E18121" s="18"/>
      <c r="F18121" s="18"/>
    </row>
    <row r="18122" spans="5:6" ht="15" customHeight="1" x14ac:dyDescent="0.2">
      <c r="E18122" s="18"/>
      <c r="F18122" s="18"/>
    </row>
    <row r="18123" spans="5:6" ht="15" customHeight="1" x14ac:dyDescent="0.2">
      <c r="E18123" s="18"/>
      <c r="F18123" s="18"/>
    </row>
    <row r="18124" spans="5:6" ht="15" customHeight="1" x14ac:dyDescent="0.2">
      <c r="E18124" s="18"/>
      <c r="F18124" s="18"/>
    </row>
    <row r="18125" spans="5:6" ht="15" customHeight="1" x14ac:dyDescent="0.2">
      <c r="E18125" s="18"/>
      <c r="F18125" s="18"/>
    </row>
    <row r="18126" spans="5:6" ht="15" customHeight="1" x14ac:dyDescent="0.2">
      <c r="E18126" s="18"/>
      <c r="F18126" s="18"/>
    </row>
    <row r="18127" spans="5:6" ht="15" customHeight="1" x14ac:dyDescent="0.2">
      <c r="E18127" s="18"/>
      <c r="F18127" s="18"/>
    </row>
    <row r="18128" spans="5:6" ht="15" customHeight="1" x14ac:dyDescent="0.2">
      <c r="E18128" s="18"/>
      <c r="F18128" s="18"/>
    </row>
    <row r="18129" spans="5:6" ht="15" customHeight="1" x14ac:dyDescent="0.2">
      <c r="E18129" s="18"/>
      <c r="F18129" s="18"/>
    </row>
    <row r="18130" spans="5:6" ht="15" customHeight="1" x14ac:dyDescent="0.2">
      <c r="E18130" s="18"/>
      <c r="F18130" s="18"/>
    </row>
    <row r="18131" spans="5:6" ht="15" customHeight="1" x14ac:dyDescent="0.2">
      <c r="E18131" s="18"/>
      <c r="F18131" s="18"/>
    </row>
    <row r="18132" spans="5:6" ht="15" customHeight="1" x14ac:dyDescent="0.2">
      <c r="E18132" s="18"/>
      <c r="F18132" s="18"/>
    </row>
    <row r="18133" spans="5:6" ht="15" customHeight="1" x14ac:dyDescent="0.2">
      <c r="E18133" s="18"/>
      <c r="F18133" s="18"/>
    </row>
    <row r="18134" spans="5:6" ht="15" customHeight="1" x14ac:dyDescent="0.2">
      <c r="E18134" s="18"/>
      <c r="F18134" s="18"/>
    </row>
    <row r="18135" spans="5:6" ht="15" customHeight="1" x14ac:dyDescent="0.2">
      <c r="E18135" s="18"/>
      <c r="F18135" s="18"/>
    </row>
    <row r="18136" spans="5:6" ht="15" customHeight="1" x14ac:dyDescent="0.2">
      <c r="E18136" s="18"/>
      <c r="F18136" s="18"/>
    </row>
    <row r="18137" spans="5:6" ht="15" customHeight="1" x14ac:dyDescent="0.2">
      <c r="E18137" s="18"/>
      <c r="F18137" s="18"/>
    </row>
    <row r="18138" spans="5:6" ht="15" customHeight="1" x14ac:dyDescent="0.2">
      <c r="E18138" s="18"/>
      <c r="F18138" s="18"/>
    </row>
    <row r="18139" spans="5:6" ht="15" customHeight="1" x14ac:dyDescent="0.2">
      <c r="E18139" s="18"/>
      <c r="F18139" s="18"/>
    </row>
    <row r="18140" spans="5:6" ht="15" customHeight="1" x14ac:dyDescent="0.2">
      <c r="E18140" s="18"/>
      <c r="F18140" s="18"/>
    </row>
    <row r="18141" spans="5:6" ht="15" customHeight="1" x14ac:dyDescent="0.2">
      <c r="E18141" s="18"/>
      <c r="F18141" s="18"/>
    </row>
    <row r="18142" spans="5:6" ht="15" customHeight="1" x14ac:dyDescent="0.2">
      <c r="E18142" s="18"/>
      <c r="F18142" s="18"/>
    </row>
    <row r="18143" spans="5:6" ht="15" customHeight="1" x14ac:dyDescent="0.2">
      <c r="E18143" s="18"/>
      <c r="F18143" s="18"/>
    </row>
    <row r="18144" spans="5:6" ht="15" customHeight="1" x14ac:dyDescent="0.2">
      <c r="E18144" s="18"/>
      <c r="F18144" s="18"/>
    </row>
    <row r="18145" spans="5:6" ht="15" customHeight="1" x14ac:dyDescent="0.2">
      <c r="E18145" s="18"/>
      <c r="F18145" s="18"/>
    </row>
    <row r="18146" spans="5:6" ht="15" customHeight="1" x14ac:dyDescent="0.2">
      <c r="E18146" s="18"/>
      <c r="F18146" s="18"/>
    </row>
    <row r="18147" spans="5:6" ht="15" customHeight="1" x14ac:dyDescent="0.2">
      <c r="E18147" s="18"/>
      <c r="F18147" s="18"/>
    </row>
    <row r="18148" spans="5:6" ht="15" customHeight="1" x14ac:dyDescent="0.2">
      <c r="E18148" s="18"/>
      <c r="F18148" s="18"/>
    </row>
    <row r="18149" spans="5:6" ht="15" customHeight="1" x14ac:dyDescent="0.2">
      <c r="E18149" s="18"/>
      <c r="F18149" s="18"/>
    </row>
    <row r="18150" spans="5:6" ht="15" customHeight="1" x14ac:dyDescent="0.2">
      <c r="E18150" s="18"/>
      <c r="F18150" s="18"/>
    </row>
    <row r="18151" spans="5:6" ht="15" customHeight="1" x14ac:dyDescent="0.2">
      <c r="E18151" s="18"/>
      <c r="F18151" s="18"/>
    </row>
    <row r="18152" spans="5:6" ht="15" customHeight="1" x14ac:dyDescent="0.2">
      <c r="E18152" s="18"/>
      <c r="F18152" s="18"/>
    </row>
    <row r="18153" spans="5:6" ht="15" customHeight="1" x14ac:dyDescent="0.2">
      <c r="E18153" s="18"/>
      <c r="F18153" s="18"/>
    </row>
    <row r="18154" spans="5:6" ht="15" customHeight="1" x14ac:dyDescent="0.2">
      <c r="E18154" s="18"/>
      <c r="F18154" s="18"/>
    </row>
    <row r="18155" spans="5:6" ht="15" customHeight="1" x14ac:dyDescent="0.2">
      <c r="E18155" s="18"/>
      <c r="F18155" s="18"/>
    </row>
    <row r="18156" spans="5:6" ht="15" customHeight="1" x14ac:dyDescent="0.2">
      <c r="E18156" s="18"/>
      <c r="F18156" s="18"/>
    </row>
    <row r="18157" spans="5:6" ht="15" customHeight="1" x14ac:dyDescent="0.2">
      <c r="E18157" s="18"/>
      <c r="F18157" s="18"/>
    </row>
    <row r="18158" spans="5:6" ht="15" customHeight="1" x14ac:dyDescent="0.2">
      <c r="E18158" s="18"/>
      <c r="F18158" s="18"/>
    </row>
    <row r="18159" spans="5:6" ht="15" customHeight="1" x14ac:dyDescent="0.2">
      <c r="E18159" s="18"/>
      <c r="F18159" s="18"/>
    </row>
    <row r="18160" spans="5:6" ht="15" customHeight="1" x14ac:dyDescent="0.2">
      <c r="E18160" s="18"/>
      <c r="F18160" s="18"/>
    </row>
    <row r="18161" spans="5:6" ht="15" customHeight="1" x14ac:dyDescent="0.2">
      <c r="E18161" s="18"/>
      <c r="F18161" s="18"/>
    </row>
    <row r="18162" spans="5:6" ht="15" customHeight="1" x14ac:dyDescent="0.2">
      <c r="E18162" s="18"/>
      <c r="F18162" s="18"/>
    </row>
    <row r="18163" spans="5:6" ht="15" customHeight="1" x14ac:dyDescent="0.2">
      <c r="E18163" s="18"/>
      <c r="F18163" s="18"/>
    </row>
    <row r="18164" spans="5:6" ht="15" customHeight="1" x14ac:dyDescent="0.2">
      <c r="E18164" s="18"/>
      <c r="F18164" s="18"/>
    </row>
    <row r="18165" spans="5:6" ht="15" customHeight="1" x14ac:dyDescent="0.2">
      <c r="E18165" s="18"/>
      <c r="F18165" s="18"/>
    </row>
    <row r="18166" spans="5:6" ht="15" customHeight="1" x14ac:dyDescent="0.2">
      <c r="E18166" s="18"/>
      <c r="F18166" s="18"/>
    </row>
    <row r="18167" spans="5:6" ht="15" customHeight="1" x14ac:dyDescent="0.2">
      <c r="E18167" s="18"/>
      <c r="F18167" s="18"/>
    </row>
    <row r="18168" spans="5:6" ht="15" customHeight="1" x14ac:dyDescent="0.2">
      <c r="E18168" s="18"/>
      <c r="F18168" s="18"/>
    </row>
    <row r="18169" spans="5:6" ht="15" customHeight="1" x14ac:dyDescent="0.2">
      <c r="E18169" s="18"/>
      <c r="F18169" s="18"/>
    </row>
    <row r="18170" spans="5:6" ht="15" customHeight="1" x14ac:dyDescent="0.2">
      <c r="E18170" s="18"/>
      <c r="F18170" s="18"/>
    </row>
    <row r="18171" spans="5:6" ht="15" customHeight="1" x14ac:dyDescent="0.2">
      <c r="E18171" s="18"/>
      <c r="F18171" s="18"/>
    </row>
    <row r="18172" spans="5:6" ht="15" customHeight="1" x14ac:dyDescent="0.2">
      <c r="E18172" s="18"/>
      <c r="F18172" s="18"/>
    </row>
    <row r="18173" spans="5:6" ht="15" customHeight="1" x14ac:dyDescent="0.2">
      <c r="E18173" s="18"/>
      <c r="F18173" s="18"/>
    </row>
    <row r="18174" spans="5:6" ht="15" customHeight="1" x14ac:dyDescent="0.2">
      <c r="E18174" s="18"/>
      <c r="F18174" s="18"/>
    </row>
    <row r="18175" spans="5:6" ht="15" customHeight="1" x14ac:dyDescent="0.2">
      <c r="E18175" s="18"/>
      <c r="F18175" s="18"/>
    </row>
    <row r="18176" spans="5:6" ht="15" customHeight="1" x14ac:dyDescent="0.2">
      <c r="E18176" s="18"/>
      <c r="F18176" s="18"/>
    </row>
    <row r="18177" spans="5:6" ht="15" customHeight="1" x14ac:dyDescent="0.2">
      <c r="E18177" s="18"/>
      <c r="F18177" s="18"/>
    </row>
    <row r="18178" spans="5:6" ht="15" customHeight="1" x14ac:dyDescent="0.2">
      <c r="E18178" s="18"/>
      <c r="F18178" s="18"/>
    </row>
    <row r="18179" spans="5:6" ht="15" customHeight="1" x14ac:dyDescent="0.2">
      <c r="E18179" s="18"/>
      <c r="F18179" s="18"/>
    </row>
    <row r="18180" spans="5:6" ht="15" customHeight="1" x14ac:dyDescent="0.2">
      <c r="E18180" s="18"/>
      <c r="F18180" s="18"/>
    </row>
    <row r="18181" spans="5:6" ht="15" customHeight="1" x14ac:dyDescent="0.2">
      <c r="E18181" s="18"/>
      <c r="F18181" s="18"/>
    </row>
    <row r="18182" spans="5:6" ht="15" customHeight="1" x14ac:dyDescent="0.2">
      <c r="E18182" s="18"/>
      <c r="F18182" s="18"/>
    </row>
    <row r="18183" spans="5:6" ht="15" customHeight="1" x14ac:dyDescent="0.2">
      <c r="E18183" s="18"/>
      <c r="F18183" s="18"/>
    </row>
    <row r="18184" spans="5:6" ht="15" customHeight="1" x14ac:dyDescent="0.2">
      <c r="E18184" s="18"/>
      <c r="F18184" s="18"/>
    </row>
    <row r="18185" spans="5:6" ht="15" customHeight="1" x14ac:dyDescent="0.2">
      <c r="E18185" s="18"/>
      <c r="F18185" s="18"/>
    </row>
    <row r="18186" spans="5:6" ht="15" customHeight="1" x14ac:dyDescent="0.2">
      <c r="E18186" s="18"/>
      <c r="F18186" s="18"/>
    </row>
    <row r="18187" spans="5:6" ht="15" customHeight="1" x14ac:dyDescent="0.2">
      <c r="E18187" s="18"/>
      <c r="F18187" s="18"/>
    </row>
    <row r="18188" spans="5:6" ht="15" customHeight="1" x14ac:dyDescent="0.2">
      <c r="E18188" s="18"/>
      <c r="F18188" s="18"/>
    </row>
    <row r="18189" spans="5:6" ht="15" customHeight="1" x14ac:dyDescent="0.2">
      <c r="E18189" s="18"/>
      <c r="F18189" s="18"/>
    </row>
    <row r="18190" spans="5:6" ht="15" customHeight="1" x14ac:dyDescent="0.2">
      <c r="E18190" s="18"/>
      <c r="F18190" s="18"/>
    </row>
    <row r="18191" spans="5:6" ht="15" customHeight="1" x14ac:dyDescent="0.2">
      <c r="E18191" s="18"/>
      <c r="F18191" s="18"/>
    </row>
    <row r="18192" spans="5:6" ht="15" customHeight="1" x14ac:dyDescent="0.2">
      <c r="E18192" s="18"/>
      <c r="F18192" s="18"/>
    </row>
    <row r="18193" spans="5:6" ht="15" customHeight="1" x14ac:dyDescent="0.2">
      <c r="E18193" s="18"/>
      <c r="F18193" s="18"/>
    </row>
    <row r="18194" spans="5:6" ht="15" customHeight="1" x14ac:dyDescent="0.2">
      <c r="E18194" s="18"/>
      <c r="F18194" s="18"/>
    </row>
    <row r="18195" spans="5:6" ht="15" customHeight="1" x14ac:dyDescent="0.2">
      <c r="E18195" s="18"/>
      <c r="F18195" s="18"/>
    </row>
    <row r="18196" spans="5:6" ht="15" customHeight="1" x14ac:dyDescent="0.2">
      <c r="E18196" s="18"/>
      <c r="F18196" s="18"/>
    </row>
    <row r="18197" spans="5:6" ht="15" customHeight="1" x14ac:dyDescent="0.2">
      <c r="E18197" s="18"/>
      <c r="F18197" s="18"/>
    </row>
    <row r="18198" spans="5:6" ht="15" customHeight="1" x14ac:dyDescent="0.2">
      <c r="E18198" s="18"/>
      <c r="F18198" s="18"/>
    </row>
    <row r="18199" spans="5:6" ht="15" customHeight="1" x14ac:dyDescent="0.2">
      <c r="E18199" s="18"/>
      <c r="F18199" s="18"/>
    </row>
    <row r="18200" spans="5:6" ht="15" customHeight="1" x14ac:dyDescent="0.2">
      <c r="E18200" s="18"/>
      <c r="F18200" s="18"/>
    </row>
    <row r="18201" spans="5:6" ht="15" customHeight="1" x14ac:dyDescent="0.2">
      <c r="E18201" s="18"/>
      <c r="F18201" s="18"/>
    </row>
    <row r="18202" spans="5:6" ht="15" customHeight="1" x14ac:dyDescent="0.2">
      <c r="E18202" s="18"/>
      <c r="F18202" s="18"/>
    </row>
    <row r="18203" spans="5:6" ht="15" customHeight="1" x14ac:dyDescent="0.2">
      <c r="E18203" s="18"/>
      <c r="F18203" s="18"/>
    </row>
    <row r="18204" spans="5:6" ht="15" customHeight="1" x14ac:dyDescent="0.2">
      <c r="E18204" s="18"/>
      <c r="F18204" s="18"/>
    </row>
    <row r="18205" spans="5:6" ht="15" customHeight="1" x14ac:dyDescent="0.2">
      <c r="E18205" s="18"/>
      <c r="F18205" s="18"/>
    </row>
    <row r="18206" spans="5:6" ht="15" customHeight="1" x14ac:dyDescent="0.2">
      <c r="E18206" s="18"/>
      <c r="F18206" s="18"/>
    </row>
    <row r="18207" spans="5:6" ht="15" customHeight="1" x14ac:dyDescent="0.2">
      <c r="E18207" s="18"/>
      <c r="F18207" s="18"/>
    </row>
    <row r="18208" spans="5:6" ht="15" customHeight="1" x14ac:dyDescent="0.2">
      <c r="E18208" s="18"/>
      <c r="F18208" s="18"/>
    </row>
    <row r="18209" spans="5:6" ht="15" customHeight="1" x14ac:dyDescent="0.2">
      <c r="E18209" s="18"/>
      <c r="F18209" s="18"/>
    </row>
    <row r="18210" spans="5:6" ht="15" customHeight="1" x14ac:dyDescent="0.2">
      <c r="E18210" s="18"/>
      <c r="F18210" s="18"/>
    </row>
    <row r="18211" spans="5:6" ht="15" customHeight="1" x14ac:dyDescent="0.2">
      <c r="E18211" s="18"/>
      <c r="F18211" s="18"/>
    </row>
    <row r="18212" spans="5:6" ht="15" customHeight="1" x14ac:dyDescent="0.2">
      <c r="E18212" s="18"/>
      <c r="F18212" s="18"/>
    </row>
    <row r="18213" spans="5:6" ht="15" customHeight="1" x14ac:dyDescent="0.2">
      <c r="E18213" s="18"/>
      <c r="F18213" s="18"/>
    </row>
    <row r="18214" spans="5:6" ht="15" customHeight="1" x14ac:dyDescent="0.2">
      <c r="E18214" s="18"/>
      <c r="F18214" s="18"/>
    </row>
    <row r="18215" spans="5:6" ht="15" customHeight="1" x14ac:dyDescent="0.2">
      <c r="E18215" s="18"/>
      <c r="F18215" s="18"/>
    </row>
    <row r="18216" spans="5:6" ht="15" customHeight="1" x14ac:dyDescent="0.2">
      <c r="E18216" s="18"/>
      <c r="F18216" s="18"/>
    </row>
    <row r="18217" spans="5:6" ht="15" customHeight="1" x14ac:dyDescent="0.2">
      <c r="E18217" s="18"/>
      <c r="F18217" s="18"/>
    </row>
    <row r="18218" spans="5:6" ht="15" customHeight="1" x14ac:dyDescent="0.2">
      <c r="E18218" s="18"/>
      <c r="F18218" s="18"/>
    </row>
    <row r="18219" spans="5:6" ht="15" customHeight="1" x14ac:dyDescent="0.2">
      <c r="E18219" s="18"/>
      <c r="F18219" s="18"/>
    </row>
    <row r="18220" spans="5:6" ht="15" customHeight="1" x14ac:dyDescent="0.2">
      <c r="E18220" s="18"/>
      <c r="F18220" s="18"/>
    </row>
    <row r="18221" spans="5:6" ht="15" customHeight="1" x14ac:dyDescent="0.2">
      <c r="E18221" s="18"/>
      <c r="F18221" s="18"/>
    </row>
    <row r="18222" spans="5:6" ht="15" customHeight="1" x14ac:dyDescent="0.2">
      <c r="E18222" s="18"/>
      <c r="F18222" s="18"/>
    </row>
    <row r="18223" spans="5:6" ht="15" customHeight="1" x14ac:dyDescent="0.2">
      <c r="E18223" s="18"/>
      <c r="F18223" s="18"/>
    </row>
    <row r="18224" spans="5:6" ht="15" customHeight="1" x14ac:dyDescent="0.2">
      <c r="E18224" s="18"/>
      <c r="F18224" s="18"/>
    </row>
    <row r="18225" spans="5:6" ht="15" customHeight="1" x14ac:dyDescent="0.2">
      <c r="E18225" s="18"/>
      <c r="F18225" s="18"/>
    </row>
    <row r="18226" spans="5:6" ht="15" customHeight="1" x14ac:dyDescent="0.2">
      <c r="E18226" s="18"/>
      <c r="F18226" s="18"/>
    </row>
    <row r="18227" spans="5:6" ht="15" customHeight="1" x14ac:dyDescent="0.2">
      <c r="E18227" s="18"/>
      <c r="F18227" s="18"/>
    </row>
    <row r="18228" spans="5:6" ht="15" customHeight="1" x14ac:dyDescent="0.2">
      <c r="E18228" s="18"/>
      <c r="F18228" s="18"/>
    </row>
    <row r="18229" spans="5:6" ht="15" customHeight="1" x14ac:dyDescent="0.2">
      <c r="E18229" s="18"/>
      <c r="F18229" s="18"/>
    </row>
    <row r="18230" spans="5:6" ht="15" customHeight="1" x14ac:dyDescent="0.2">
      <c r="E18230" s="18"/>
      <c r="F18230" s="18"/>
    </row>
    <row r="18231" spans="5:6" ht="15" customHeight="1" x14ac:dyDescent="0.2">
      <c r="E18231" s="18"/>
      <c r="F18231" s="18"/>
    </row>
    <row r="18232" spans="5:6" ht="15" customHeight="1" x14ac:dyDescent="0.2">
      <c r="E18232" s="18"/>
      <c r="F18232" s="18"/>
    </row>
    <row r="18233" spans="5:6" ht="15" customHeight="1" x14ac:dyDescent="0.2">
      <c r="E18233" s="18"/>
      <c r="F18233" s="18"/>
    </row>
    <row r="18234" spans="5:6" ht="15" customHeight="1" x14ac:dyDescent="0.2">
      <c r="E18234" s="18"/>
      <c r="F18234" s="18"/>
    </row>
    <row r="18235" spans="5:6" ht="15" customHeight="1" x14ac:dyDescent="0.2">
      <c r="E18235" s="18"/>
      <c r="F18235" s="18"/>
    </row>
    <row r="18236" spans="5:6" ht="15" customHeight="1" x14ac:dyDescent="0.2">
      <c r="E18236" s="18"/>
      <c r="F18236" s="18"/>
    </row>
    <row r="18237" spans="5:6" ht="15" customHeight="1" x14ac:dyDescent="0.2">
      <c r="E18237" s="18"/>
      <c r="F18237" s="18"/>
    </row>
    <row r="18238" spans="5:6" ht="15" customHeight="1" x14ac:dyDescent="0.2">
      <c r="E18238" s="18"/>
      <c r="F18238" s="18"/>
    </row>
    <row r="18239" spans="5:6" ht="15" customHeight="1" x14ac:dyDescent="0.2">
      <c r="E18239" s="18"/>
      <c r="F18239" s="18"/>
    </row>
    <row r="18240" spans="5:6" ht="15" customHeight="1" x14ac:dyDescent="0.2">
      <c r="E18240" s="18"/>
      <c r="F18240" s="18"/>
    </row>
    <row r="18241" spans="5:6" ht="15" customHeight="1" x14ac:dyDescent="0.2">
      <c r="E18241" s="18"/>
      <c r="F18241" s="18"/>
    </row>
    <row r="18242" spans="5:6" ht="15" customHeight="1" x14ac:dyDescent="0.2">
      <c r="E18242" s="18"/>
      <c r="F18242" s="18"/>
    </row>
    <row r="18243" spans="5:6" ht="15" customHeight="1" x14ac:dyDescent="0.2">
      <c r="E18243" s="18"/>
      <c r="F18243" s="18"/>
    </row>
    <row r="18244" spans="5:6" ht="15" customHeight="1" x14ac:dyDescent="0.2">
      <c r="E18244" s="18"/>
      <c r="F18244" s="18"/>
    </row>
    <row r="18245" spans="5:6" ht="15" customHeight="1" x14ac:dyDescent="0.2">
      <c r="E18245" s="18"/>
      <c r="F18245" s="18"/>
    </row>
    <row r="18246" spans="5:6" ht="15" customHeight="1" x14ac:dyDescent="0.2">
      <c r="E18246" s="18"/>
      <c r="F18246" s="18"/>
    </row>
    <row r="18247" spans="5:6" ht="15" customHeight="1" x14ac:dyDescent="0.2">
      <c r="E18247" s="18"/>
      <c r="F18247" s="18"/>
    </row>
    <row r="18248" spans="5:6" ht="15" customHeight="1" x14ac:dyDescent="0.2">
      <c r="E18248" s="18"/>
      <c r="F18248" s="18"/>
    </row>
    <row r="18249" spans="5:6" ht="15" customHeight="1" x14ac:dyDescent="0.2">
      <c r="E18249" s="18"/>
      <c r="F18249" s="18"/>
    </row>
    <row r="18250" spans="5:6" ht="15" customHeight="1" x14ac:dyDescent="0.2">
      <c r="E18250" s="18"/>
      <c r="F18250" s="18"/>
    </row>
    <row r="18251" spans="5:6" ht="15" customHeight="1" x14ac:dyDescent="0.2">
      <c r="E18251" s="18"/>
      <c r="F18251" s="18"/>
    </row>
    <row r="18252" spans="5:6" ht="15" customHeight="1" x14ac:dyDescent="0.2">
      <c r="E18252" s="18"/>
      <c r="F18252" s="18"/>
    </row>
    <row r="18253" spans="5:6" ht="15" customHeight="1" x14ac:dyDescent="0.2">
      <c r="E18253" s="18"/>
      <c r="F18253" s="18"/>
    </row>
    <row r="18254" spans="5:6" ht="15" customHeight="1" x14ac:dyDescent="0.2">
      <c r="E18254" s="18"/>
      <c r="F18254" s="18"/>
    </row>
    <row r="18255" spans="5:6" ht="15" customHeight="1" x14ac:dyDescent="0.2">
      <c r="E18255" s="18"/>
      <c r="F18255" s="18"/>
    </row>
    <row r="18256" spans="5:6" ht="15" customHeight="1" x14ac:dyDescent="0.2">
      <c r="E18256" s="18"/>
      <c r="F18256" s="18"/>
    </row>
    <row r="18257" spans="5:6" ht="15" customHeight="1" x14ac:dyDescent="0.2">
      <c r="E18257" s="18"/>
      <c r="F18257" s="18"/>
    </row>
    <row r="18258" spans="5:6" ht="15" customHeight="1" x14ac:dyDescent="0.2">
      <c r="E18258" s="18"/>
      <c r="F18258" s="18"/>
    </row>
    <row r="18259" spans="5:6" ht="15" customHeight="1" x14ac:dyDescent="0.2">
      <c r="E18259" s="18"/>
      <c r="F18259" s="18"/>
    </row>
    <row r="18260" spans="5:6" ht="15" customHeight="1" x14ac:dyDescent="0.2">
      <c r="E18260" s="18"/>
      <c r="F18260" s="18"/>
    </row>
    <row r="18261" spans="5:6" ht="15" customHeight="1" x14ac:dyDescent="0.2">
      <c r="E18261" s="18"/>
      <c r="F18261" s="18"/>
    </row>
    <row r="18262" spans="5:6" ht="15" customHeight="1" x14ac:dyDescent="0.2">
      <c r="E18262" s="18"/>
      <c r="F18262" s="18"/>
    </row>
    <row r="18263" spans="5:6" ht="15" customHeight="1" x14ac:dyDescent="0.2">
      <c r="E18263" s="18"/>
      <c r="F18263" s="18"/>
    </row>
    <row r="18264" spans="5:6" ht="15" customHeight="1" x14ac:dyDescent="0.2">
      <c r="E18264" s="18"/>
      <c r="F18264" s="18"/>
    </row>
    <row r="18265" spans="5:6" ht="15" customHeight="1" x14ac:dyDescent="0.2">
      <c r="E18265" s="18"/>
      <c r="F18265" s="18"/>
    </row>
    <row r="18266" spans="5:6" ht="15" customHeight="1" x14ac:dyDescent="0.2">
      <c r="E18266" s="18"/>
      <c r="F18266" s="18"/>
    </row>
    <row r="18267" spans="5:6" ht="15" customHeight="1" x14ac:dyDescent="0.2">
      <c r="E18267" s="18"/>
      <c r="F18267" s="18"/>
    </row>
    <row r="18268" spans="5:6" ht="15" customHeight="1" x14ac:dyDescent="0.2">
      <c r="E18268" s="18"/>
      <c r="F18268" s="18"/>
    </row>
    <row r="18269" spans="5:6" ht="15" customHeight="1" x14ac:dyDescent="0.2">
      <c r="E18269" s="18"/>
      <c r="F18269" s="18"/>
    </row>
    <row r="18270" spans="5:6" ht="15" customHeight="1" x14ac:dyDescent="0.2">
      <c r="E18270" s="18"/>
      <c r="F18270" s="18"/>
    </row>
    <row r="18271" spans="5:6" ht="15" customHeight="1" x14ac:dyDescent="0.2">
      <c r="E18271" s="18"/>
      <c r="F18271" s="18"/>
    </row>
    <row r="18272" spans="5:6" ht="15" customHeight="1" x14ac:dyDescent="0.2">
      <c r="E18272" s="18"/>
      <c r="F18272" s="18"/>
    </row>
    <row r="18273" spans="5:6" ht="15" customHeight="1" x14ac:dyDescent="0.2">
      <c r="E18273" s="18"/>
      <c r="F18273" s="18"/>
    </row>
    <row r="18274" spans="5:6" ht="15" customHeight="1" x14ac:dyDescent="0.2">
      <c r="E18274" s="18"/>
      <c r="F18274" s="18"/>
    </row>
    <row r="18275" spans="5:6" ht="15" customHeight="1" x14ac:dyDescent="0.2">
      <c r="E18275" s="18"/>
      <c r="F18275" s="18"/>
    </row>
    <row r="18276" spans="5:6" ht="15" customHeight="1" x14ac:dyDescent="0.2">
      <c r="E18276" s="18"/>
      <c r="F18276" s="18"/>
    </row>
    <row r="18277" spans="5:6" ht="15" customHeight="1" x14ac:dyDescent="0.2">
      <c r="E18277" s="18"/>
      <c r="F18277" s="18"/>
    </row>
    <row r="18278" spans="5:6" ht="15" customHeight="1" x14ac:dyDescent="0.2">
      <c r="E18278" s="18"/>
      <c r="F18278" s="18"/>
    </row>
    <row r="18279" spans="5:6" ht="15" customHeight="1" x14ac:dyDescent="0.2">
      <c r="E18279" s="18"/>
      <c r="F18279" s="18"/>
    </row>
    <row r="18280" spans="5:6" ht="15" customHeight="1" x14ac:dyDescent="0.2">
      <c r="E18280" s="18"/>
      <c r="F18280" s="18"/>
    </row>
    <row r="18281" spans="5:6" ht="15" customHeight="1" x14ac:dyDescent="0.2">
      <c r="E18281" s="18"/>
      <c r="F18281" s="18"/>
    </row>
    <row r="18282" spans="5:6" ht="15" customHeight="1" x14ac:dyDescent="0.2">
      <c r="E18282" s="18"/>
      <c r="F18282" s="18"/>
    </row>
    <row r="18283" spans="5:6" ht="15" customHeight="1" x14ac:dyDescent="0.2">
      <c r="E18283" s="18"/>
      <c r="F18283" s="18"/>
    </row>
    <row r="18284" spans="5:6" ht="15" customHeight="1" x14ac:dyDescent="0.2">
      <c r="E18284" s="18"/>
      <c r="F18284" s="18"/>
    </row>
    <row r="18285" spans="5:6" ht="15" customHeight="1" x14ac:dyDescent="0.2">
      <c r="E18285" s="18"/>
      <c r="F18285" s="18"/>
    </row>
    <row r="18286" spans="5:6" ht="15" customHeight="1" x14ac:dyDescent="0.2">
      <c r="E18286" s="18"/>
      <c r="F18286" s="18"/>
    </row>
    <row r="18287" spans="5:6" ht="15" customHeight="1" x14ac:dyDescent="0.2">
      <c r="E18287" s="18"/>
      <c r="F18287" s="18"/>
    </row>
    <row r="18288" spans="5:6" ht="15" customHeight="1" x14ac:dyDescent="0.2">
      <c r="E18288" s="18"/>
      <c r="F18288" s="18"/>
    </row>
    <row r="18289" spans="5:6" ht="15" customHeight="1" x14ac:dyDescent="0.2">
      <c r="E18289" s="18"/>
      <c r="F18289" s="18"/>
    </row>
    <row r="18290" spans="5:6" ht="15" customHeight="1" x14ac:dyDescent="0.2">
      <c r="E18290" s="18"/>
      <c r="F18290" s="18"/>
    </row>
    <row r="18291" spans="5:6" ht="15" customHeight="1" x14ac:dyDescent="0.2">
      <c r="E18291" s="18"/>
      <c r="F18291" s="18"/>
    </row>
    <row r="18292" spans="5:6" ht="15" customHeight="1" x14ac:dyDescent="0.2">
      <c r="E18292" s="18"/>
      <c r="F18292" s="18"/>
    </row>
    <row r="18293" spans="5:6" ht="15" customHeight="1" x14ac:dyDescent="0.2">
      <c r="E18293" s="18"/>
      <c r="F18293" s="18"/>
    </row>
    <row r="18294" spans="5:6" ht="15" customHeight="1" x14ac:dyDescent="0.2">
      <c r="E18294" s="18"/>
      <c r="F18294" s="18"/>
    </row>
    <row r="18295" spans="5:6" ht="15" customHeight="1" x14ac:dyDescent="0.2">
      <c r="E18295" s="18"/>
      <c r="F18295" s="18"/>
    </row>
    <row r="18296" spans="5:6" ht="15" customHeight="1" x14ac:dyDescent="0.2">
      <c r="E18296" s="18"/>
      <c r="F18296" s="18"/>
    </row>
    <row r="18297" spans="5:6" ht="15" customHeight="1" x14ac:dyDescent="0.2">
      <c r="E18297" s="18"/>
      <c r="F18297" s="18"/>
    </row>
    <row r="18298" spans="5:6" ht="15" customHeight="1" x14ac:dyDescent="0.2">
      <c r="E18298" s="18"/>
      <c r="F18298" s="18"/>
    </row>
    <row r="18299" spans="5:6" ht="15" customHeight="1" x14ac:dyDescent="0.2">
      <c r="E18299" s="18"/>
      <c r="F18299" s="18"/>
    </row>
    <row r="18300" spans="5:6" ht="15" customHeight="1" x14ac:dyDescent="0.2">
      <c r="E18300" s="18"/>
      <c r="F18300" s="18"/>
    </row>
    <row r="18301" spans="5:6" ht="15" customHeight="1" x14ac:dyDescent="0.2">
      <c r="E18301" s="18"/>
      <c r="F18301" s="18"/>
    </row>
    <row r="18302" spans="5:6" ht="15" customHeight="1" x14ac:dyDescent="0.2">
      <c r="E18302" s="18"/>
      <c r="F18302" s="18"/>
    </row>
    <row r="18303" spans="5:6" ht="15" customHeight="1" x14ac:dyDescent="0.2">
      <c r="E18303" s="18"/>
      <c r="F18303" s="18"/>
    </row>
    <row r="18304" spans="5:6" ht="15" customHeight="1" x14ac:dyDescent="0.2">
      <c r="E18304" s="18"/>
      <c r="F18304" s="18"/>
    </row>
    <row r="18305" spans="5:6" ht="15" customHeight="1" x14ac:dyDescent="0.2">
      <c r="E18305" s="18"/>
      <c r="F18305" s="18"/>
    </row>
    <row r="18306" spans="5:6" ht="15" customHeight="1" x14ac:dyDescent="0.2">
      <c r="E18306" s="18"/>
      <c r="F18306" s="18"/>
    </row>
    <row r="18307" spans="5:6" ht="15" customHeight="1" x14ac:dyDescent="0.2">
      <c r="E18307" s="18"/>
      <c r="F18307" s="18"/>
    </row>
    <row r="18308" spans="5:6" ht="15" customHeight="1" x14ac:dyDescent="0.2">
      <c r="E18308" s="18"/>
      <c r="F18308" s="18"/>
    </row>
    <row r="18309" spans="5:6" ht="15" customHeight="1" x14ac:dyDescent="0.2">
      <c r="E18309" s="18"/>
      <c r="F18309" s="18"/>
    </row>
    <row r="18310" spans="5:6" ht="15" customHeight="1" x14ac:dyDescent="0.2">
      <c r="E18310" s="18"/>
      <c r="F18310" s="18"/>
    </row>
    <row r="18311" spans="5:6" ht="15" customHeight="1" x14ac:dyDescent="0.2">
      <c r="E18311" s="18"/>
      <c r="F18311" s="18"/>
    </row>
    <row r="18312" spans="5:6" ht="15" customHeight="1" x14ac:dyDescent="0.2">
      <c r="E18312" s="18"/>
      <c r="F18312" s="18"/>
    </row>
    <row r="18313" spans="5:6" ht="15" customHeight="1" x14ac:dyDescent="0.2">
      <c r="E18313" s="18"/>
      <c r="F18313" s="18"/>
    </row>
    <row r="18314" spans="5:6" ht="15" customHeight="1" x14ac:dyDescent="0.2">
      <c r="E18314" s="18"/>
      <c r="F18314" s="18"/>
    </row>
    <row r="18315" spans="5:6" ht="15" customHeight="1" x14ac:dyDescent="0.2">
      <c r="E18315" s="18"/>
      <c r="F18315" s="18"/>
    </row>
    <row r="18316" spans="5:6" ht="15" customHeight="1" x14ac:dyDescent="0.2">
      <c r="E18316" s="18"/>
      <c r="F18316" s="18"/>
    </row>
    <row r="18317" spans="5:6" ht="15" customHeight="1" x14ac:dyDescent="0.2">
      <c r="E18317" s="18"/>
      <c r="F18317" s="18"/>
    </row>
    <row r="18318" spans="5:6" ht="15" customHeight="1" x14ac:dyDescent="0.2">
      <c r="E18318" s="18"/>
      <c r="F18318" s="18"/>
    </row>
    <row r="18319" spans="5:6" ht="15" customHeight="1" x14ac:dyDescent="0.2">
      <c r="E18319" s="18"/>
      <c r="F18319" s="18"/>
    </row>
    <row r="18320" spans="5:6" ht="15" customHeight="1" x14ac:dyDescent="0.2">
      <c r="E18320" s="18"/>
      <c r="F18320" s="18"/>
    </row>
    <row r="18321" spans="5:6" ht="15" customHeight="1" x14ac:dyDescent="0.2">
      <c r="E18321" s="18"/>
      <c r="F18321" s="18"/>
    </row>
    <row r="18322" spans="5:6" ht="15" customHeight="1" x14ac:dyDescent="0.2">
      <c r="E18322" s="18"/>
      <c r="F18322" s="18"/>
    </row>
    <row r="18323" spans="5:6" ht="15" customHeight="1" x14ac:dyDescent="0.2">
      <c r="E18323" s="18"/>
      <c r="F18323" s="18"/>
    </row>
    <row r="18324" spans="5:6" ht="15" customHeight="1" x14ac:dyDescent="0.2">
      <c r="E18324" s="18"/>
      <c r="F18324" s="18"/>
    </row>
    <row r="18325" spans="5:6" ht="15" customHeight="1" x14ac:dyDescent="0.2">
      <c r="E18325" s="18"/>
      <c r="F18325" s="18"/>
    </row>
    <row r="18326" spans="5:6" ht="15" customHeight="1" x14ac:dyDescent="0.2">
      <c r="E18326" s="18"/>
      <c r="F18326" s="18"/>
    </row>
    <row r="18327" spans="5:6" ht="15" customHeight="1" x14ac:dyDescent="0.2">
      <c r="E18327" s="18"/>
      <c r="F18327" s="18"/>
    </row>
    <row r="18328" spans="5:6" ht="15" customHeight="1" x14ac:dyDescent="0.2">
      <c r="E18328" s="18"/>
      <c r="F18328" s="18"/>
    </row>
    <row r="18329" spans="5:6" ht="15" customHeight="1" x14ac:dyDescent="0.2">
      <c r="E18329" s="18"/>
      <c r="F18329" s="18"/>
    </row>
    <row r="18330" spans="5:6" ht="15" customHeight="1" x14ac:dyDescent="0.2">
      <c r="E18330" s="18"/>
      <c r="F18330" s="18"/>
    </row>
    <row r="18331" spans="5:6" ht="15" customHeight="1" x14ac:dyDescent="0.2">
      <c r="E18331" s="18"/>
      <c r="F18331" s="18"/>
    </row>
    <row r="18332" spans="5:6" ht="15" customHeight="1" x14ac:dyDescent="0.2">
      <c r="E18332" s="18"/>
      <c r="F18332" s="18"/>
    </row>
    <row r="18333" spans="5:6" ht="15" customHeight="1" x14ac:dyDescent="0.2">
      <c r="E18333" s="18"/>
      <c r="F18333" s="18"/>
    </row>
    <row r="18334" spans="5:6" ht="15" customHeight="1" x14ac:dyDescent="0.2">
      <c r="E18334" s="18"/>
      <c r="F18334" s="18"/>
    </row>
    <row r="18335" spans="5:6" ht="15" customHeight="1" x14ac:dyDescent="0.2">
      <c r="E18335" s="18"/>
      <c r="F18335" s="18"/>
    </row>
    <row r="18336" spans="5:6" ht="15" customHeight="1" x14ac:dyDescent="0.2">
      <c r="E18336" s="18"/>
      <c r="F18336" s="18"/>
    </row>
    <row r="18337" spans="5:6" ht="15" customHeight="1" x14ac:dyDescent="0.2">
      <c r="E18337" s="18"/>
      <c r="F18337" s="18"/>
    </row>
    <row r="18338" spans="5:6" ht="15" customHeight="1" x14ac:dyDescent="0.2">
      <c r="E18338" s="18"/>
      <c r="F18338" s="18"/>
    </row>
    <row r="18339" spans="5:6" ht="15" customHeight="1" x14ac:dyDescent="0.2">
      <c r="E18339" s="18"/>
      <c r="F18339" s="18"/>
    </row>
    <row r="18340" spans="5:6" ht="15" customHeight="1" x14ac:dyDescent="0.2">
      <c r="E18340" s="18"/>
      <c r="F18340" s="18"/>
    </row>
    <row r="18341" spans="5:6" ht="15" customHeight="1" x14ac:dyDescent="0.2">
      <c r="E18341" s="18"/>
      <c r="F18341" s="18"/>
    </row>
    <row r="18342" spans="5:6" ht="15" customHeight="1" x14ac:dyDescent="0.2">
      <c r="E18342" s="18"/>
      <c r="F18342" s="18"/>
    </row>
    <row r="18343" spans="5:6" ht="15" customHeight="1" x14ac:dyDescent="0.2">
      <c r="E18343" s="18"/>
      <c r="F18343" s="18"/>
    </row>
    <row r="18344" spans="5:6" ht="15" customHeight="1" x14ac:dyDescent="0.2">
      <c r="E18344" s="18"/>
      <c r="F18344" s="18"/>
    </row>
    <row r="18345" spans="5:6" ht="15" customHeight="1" x14ac:dyDescent="0.2">
      <c r="E18345" s="18"/>
      <c r="F18345" s="18"/>
    </row>
    <row r="18346" spans="5:6" ht="15" customHeight="1" x14ac:dyDescent="0.2">
      <c r="E18346" s="18"/>
      <c r="F18346" s="18"/>
    </row>
    <row r="18347" spans="5:6" ht="15" customHeight="1" x14ac:dyDescent="0.2">
      <c r="E18347" s="18"/>
      <c r="F18347" s="18"/>
    </row>
    <row r="18348" spans="5:6" ht="15" customHeight="1" x14ac:dyDescent="0.2">
      <c r="E18348" s="18"/>
      <c r="F18348" s="18"/>
    </row>
    <row r="18349" spans="5:6" ht="15" customHeight="1" x14ac:dyDescent="0.2">
      <c r="E18349" s="18"/>
      <c r="F18349" s="18"/>
    </row>
    <row r="18350" spans="5:6" ht="15" customHeight="1" x14ac:dyDescent="0.2">
      <c r="E18350" s="18"/>
      <c r="F18350" s="18"/>
    </row>
    <row r="18351" spans="5:6" ht="15" customHeight="1" x14ac:dyDescent="0.2">
      <c r="E18351" s="18"/>
      <c r="F18351" s="18"/>
    </row>
    <row r="18352" spans="5:6" ht="15" customHeight="1" x14ac:dyDescent="0.2">
      <c r="E18352" s="18"/>
      <c r="F18352" s="18"/>
    </row>
    <row r="18353" spans="5:6" ht="15" customHeight="1" x14ac:dyDescent="0.2">
      <c r="E18353" s="18"/>
      <c r="F18353" s="18"/>
    </row>
    <row r="18354" spans="5:6" ht="15" customHeight="1" x14ac:dyDescent="0.2">
      <c r="E18354" s="18"/>
      <c r="F18354" s="18"/>
    </row>
    <row r="18355" spans="5:6" ht="15" customHeight="1" x14ac:dyDescent="0.2">
      <c r="E18355" s="18"/>
      <c r="F18355" s="18"/>
    </row>
    <row r="18356" spans="5:6" ht="15" customHeight="1" x14ac:dyDescent="0.2">
      <c r="E18356" s="18"/>
      <c r="F18356" s="18"/>
    </row>
    <row r="18357" spans="5:6" ht="15" customHeight="1" x14ac:dyDescent="0.2">
      <c r="E18357" s="18"/>
      <c r="F18357" s="18"/>
    </row>
    <row r="18358" spans="5:6" ht="15" customHeight="1" x14ac:dyDescent="0.2">
      <c r="E18358" s="18"/>
      <c r="F18358" s="18"/>
    </row>
    <row r="18359" spans="5:6" ht="15" customHeight="1" x14ac:dyDescent="0.2">
      <c r="E18359" s="18"/>
      <c r="F18359" s="18"/>
    </row>
    <row r="18360" spans="5:6" ht="15" customHeight="1" x14ac:dyDescent="0.2">
      <c r="E18360" s="18"/>
      <c r="F18360" s="18"/>
    </row>
    <row r="18361" spans="5:6" ht="15" customHeight="1" x14ac:dyDescent="0.2">
      <c r="E18361" s="18"/>
      <c r="F18361" s="18"/>
    </row>
    <row r="18362" spans="5:6" ht="15" customHeight="1" x14ac:dyDescent="0.2">
      <c r="E18362" s="18"/>
      <c r="F18362" s="18"/>
    </row>
    <row r="18363" spans="5:6" ht="15" customHeight="1" x14ac:dyDescent="0.2">
      <c r="E18363" s="18"/>
      <c r="F18363" s="18"/>
    </row>
    <row r="18364" spans="5:6" ht="15" customHeight="1" x14ac:dyDescent="0.2">
      <c r="E18364" s="18"/>
      <c r="F18364" s="18"/>
    </row>
    <row r="18365" spans="5:6" ht="15" customHeight="1" x14ac:dyDescent="0.2">
      <c r="E18365" s="18"/>
      <c r="F18365" s="18"/>
    </row>
    <row r="18366" spans="5:6" ht="15" customHeight="1" x14ac:dyDescent="0.2">
      <c r="E18366" s="18"/>
      <c r="F18366" s="18"/>
    </row>
    <row r="18367" spans="5:6" ht="15" customHeight="1" x14ac:dyDescent="0.2">
      <c r="E18367" s="18"/>
      <c r="F18367" s="18"/>
    </row>
    <row r="18368" spans="5:6" ht="15" customHeight="1" x14ac:dyDescent="0.2">
      <c r="E18368" s="18"/>
      <c r="F18368" s="18"/>
    </row>
    <row r="18369" spans="5:6" ht="15" customHeight="1" x14ac:dyDescent="0.2">
      <c r="E18369" s="18"/>
      <c r="F18369" s="18"/>
    </row>
    <row r="18370" spans="5:6" ht="15" customHeight="1" x14ac:dyDescent="0.2">
      <c r="E18370" s="18"/>
      <c r="F18370" s="18"/>
    </row>
    <row r="18371" spans="5:6" ht="15" customHeight="1" x14ac:dyDescent="0.2">
      <c r="E18371" s="18"/>
      <c r="F18371" s="18"/>
    </row>
    <row r="18372" spans="5:6" ht="15" customHeight="1" x14ac:dyDescent="0.2">
      <c r="E18372" s="18"/>
      <c r="F18372" s="18"/>
    </row>
    <row r="18373" spans="5:6" ht="15" customHeight="1" x14ac:dyDescent="0.2">
      <c r="E18373" s="18"/>
      <c r="F18373" s="18"/>
    </row>
    <row r="18374" spans="5:6" ht="15" customHeight="1" x14ac:dyDescent="0.2">
      <c r="E18374" s="18"/>
      <c r="F18374" s="18"/>
    </row>
    <row r="18375" spans="5:6" ht="15" customHeight="1" x14ac:dyDescent="0.2">
      <c r="E18375" s="18"/>
      <c r="F18375" s="18"/>
    </row>
    <row r="18376" spans="5:6" ht="15" customHeight="1" x14ac:dyDescent="0.2">
      <c r="E18376" s="18"/>
      <c r="F18376" s="18"/>
    </row>
    <row r="18377" spans="5:6" ht="15" customHeight="1" x14ac:dyDescent="0.2">
      <c r="E18377" s="18"/>
      <c r="F18377" s="18"/>
    </row>
    <row r="18378" spans="5:6" ht="15" customHeight="1" x14ac:dyDescent="0.2">
      <c r="E18378" s="18"/>
      <c r="F18378" s="18"/>
    </row>
    <row r="18379" spans="5:6" ht="15" customHeight="1" x14ac:dyDescent="0.2">
      <c r="E18379" s="18"/>
      <c r="F18379" s="18"/>
    </row>
    <row r="18380" spans="5:6" ht="15" customHeight="1" x14ac:dyDescent="0.2">
      <c r="E18380" s="18"/>
      <c r="F18380" s="18"/>
    </row>
    <row r="18381" spans="5:6" ht="15" customHeight="1" x14ac:dyDescent="0.2">
      <c r="E18381" s="18"/>
      <c r="F18381" s="18"/>
    </row>
    <row r="18382" spans="5:6" ht="15" customHeight="1" x14ac:dyDescent="0.2">
      <c r="E18382" s="18"/>
      <c r="F18382" s="18"/>
    </row>
    <row r="18383" spans="5:6" ht="15" customHeight="1" x14ac:dyDescent="0.2">
      <c r="E18383" s="18"/>
      <c r="F18383" s="18"/>
    </row>
    <row r="18384" spans="5:6" ht="15" customHeight="1" x14ac:dyDescent="0.2">
      <c r="E18384" s="18"/>
      <c r="F18384" s="18"/>
    </row>
    <row r="18385" spans="5:6" ht="15" customHeight="1" x14ac:dyDescent="0.2">
      <c r="E18385" s="18"/>
      <c r="F18385" s="18"/>
    </row>
    <row r="18386" spans="5:6" ht="15" customHeight="1" x14ac:dyDescent="0.2">
      <c r="E18386" s="18"/>
      <c r="F18386" s="18"/>
    </row>
    <row r="18387" spans="5:6" ht="15" customHeight="1" x14ac:dyDescent="0.2">
      <c r="E18387" s="18"/>
      <c r="F18387" s="18"/>
    </row>
    <row r="18388" spans="5:6" ht="15" customHeight="1" x14ac:dyDescent="0.2">
      <c r="E18388" s="18"/>
      <c r="F18388" s="18"/>
    </row>
    <row r="18389" spans="5:6" ht="15" customHeight="1" x14ac:dyDescent="0.2">
      <c r="E18389" s="18"/>
      <c r="F18389" s="18"/>
    </row>
    <row r="18390" spans="5:6" ht="15" customHeight="1" x14ac:dyDescent="0.2">
      <c r="E18390" s="18"/>
      <c r="F18390" s="18"/>
    </row>
    <row r="18391" spans="5:6" ht="15" customHeight="1" x14ac:dyDescent="0.2">
      <c r="E18391" s="18"/>
      <c r="F18391" s="18"/>
    </row>
    <row r="18392" spans="5:6" ht="15" customHeight="1" x14ac:dyDescent="0.2">
      <c r="E18392" s="18"/>
      <c r="F18392" s="18"/>
    </row>
    <row r="18393" spans="5:6" ht="15" customHeight="1" x14ac:dyDescent="0.2">
      <c r="E18393" s="18"/>
      <c r="F18393" s="18"/>
    </row>
    <row r="18394" spans="5:6" ht="15" customHeight="1" x14ac:dyDescent="0.2">
      <c r="E18394" s="18"/>
      <c r="F18394" s="18"/>
    </row>
    <row r="18395" spans="5:6" ht="15" customHeight="1" x14ac:dyDescent="0.2">
      <c r="E18395" s="18"/>
      <c r="F18395" s="18"/>
    </row>
    <row r="18396" spans="5:6" ht="15" customHeight="1" x14ac:dyDescent="0.2">
      <c r="E18396" s="18"/>
      <c r="F18396" s="18"/>
    </row>
    <row r="18397" spans="5:6" ht="15" customHeight="1" x14ac:dyDescent="0.2">
      <c r="E18397" s="18"/>
      <c r="F18397" s="18"/>
    </row>
    <row r="18398" spans="5:6" ht="15" customHeight="1" x14ac:dyDescent="0.2">
      <c r="E18398" s="18"/>
      <c r="F18398" s="18"/>
    </row>
    <row r="18399" spans="5:6" ht="15" customHeight="1" x14ac:dyDescent="0.2">
      <c r="E18399" s="18"/>
      <c r="F18399" s="18"/>
    </row>
    <row r="18400" spans="5:6" ht="15" customHeight="1" x14ac:dyDescent="0.2">
      <c r="E18400" s="18"/>
      <c r="F18400" s="18"/>
    </row>
    <row r="18401" spans="5:6" ht="15" customHeight="1" x14ac:dyDescent="0.2">
      <c r="E18401" s="18"/>
      <c r="F18401" s="18"/>
    </row>
    <row r="18402" spans="5:6" ht="15" customHeight="1" x14ac:dyDescent="0.2">
      <c r="E18402" s="18"/>
      <c r="F18402" s="18"/>
    </row>
    <row r="18403" spans="5:6" ht="15" customHeight="1" x14ac:dyDescent="0.2">
      <c r="E18403" s="18"/>
      <c r="F18403" s="18"/>
    </row>
    <row r="18404" spans="5:6" ht="15" customHeight="1" x14ac:dyDescent="0.2">
      <c r="E18404" s="18"/>
      <c r="F18404" s="18"/>
    </row>
    <row r="18405" spans="5:6" ht="15" customHeight="1" x14ac:dyDescent="0.2">
      <c r="E18405" s="18"/>
      <c r="F18405" s="18"/>
    </row>
    <row r="18406" spans="5:6" ht="15" customHeight="1" x14ac:dyDescent="0.2">
      <c r="E18406" s="18"/>
      <c r="F18406" s="18"/>
    </row>
    <row r="18407" spans="5:6" ht="15" customHeight="1" x14ac:dyDescent="0.2">
      <c r="E18407" s="18"/>
      <c r="F18407" s="18"/>
    </row>
    <row r="18408" spans="5:6" ht="15" customHeight="1" x14ac:dyDescent="0.2">
      <c r="E18408" s="18"/>
      <c r="F18408" s="18"/>
    </row>
    <row r="18409" spans="5:6" ht="15" customHeight="1" x14ac:dyDescent="0.2">
      <c r="E18409" s="18"/>
      <c r="F18409" s="18"/>
    </row>
    <row r="18410" spans="5:6" ht="15" customHeight="1" x14ac:dyDescent="0.2">
      <c r="E18410" s="18"/>
      <c r="F18410" s="18"/>
    </row>
    <row r="18411" spans="5:6" ht="15" customHeight="1" x14ac:dyDescent="0.2">
      <c r="E18411" s="18"/>
      <c r="F18411" s="18"/>
    </row>
    <row r="18412" spans="5:6" ht="15" customHeight="1" x14ac:dyDescent="0.2">
      <c r="E18412" s="18"/>
      <c r="F18412" s="18"/>
    </row>
    <row r="18413" spans="5:6" ht="15" customHeight="1" x14ac:dyDescent="0.2">
      <c r="E18413" s="18"/>
      <c r="F18413" s="18"/>
    </row>
    <row r="18414" spans="5:6" ht="15" customHeight="1" x14ac:dyDescent="0.2">
      <c r="E18414" s="18"/>
      <c r="F18414" s="18"/>
    </row>
    <row r="18415" spans="5:6" ht="15" customHeight="1" x14ac:dyDescent="0.2">
      <c r="E18415" s="18"/>
      <c r="F18415" s="18"/>
    </row>
    <row r="18416" spans="5:6" ht="15" customHeight="1" x14ac:dyDescent="0.2">
      <c r="E18416" s="18"/>
      <c r="F18416" s="18"/>
    </row>
    <row r="18417" spans="5:6" ht="15" customHeight="1" x14ac:dyDescent="0.2">
      <c r="E18417" s="18"/>
      <c r="F18417" s="18"/>
    </row>
    <row r="18418" spans="5:6" ht="15" customHeight="1" x14ac:dyDescent="0.2">
      <c r="E18418" s="18"/>
      <c r="F18418" s="18"/>
    </row>
    <row r="18419" spans="5:6" ht="15" customHeight="1" x14ac:dyDescent="0.2">
      <c r="E18419" s="18"/>
      <c r="F18419" s="18"/>
    </row>
    <row r="18420" spans="5:6" ht="15" customHeight="1" x14ac:dyDescent="0.2">
      <c r="E18420" s="18"/>
      <c r="F18420" s="18"/>
    </row>
    <row r="18421" spans="5:6" ht="15" customHeight="1" x14ac:dyDescent="0.2">
      <c r="E18421" s="18"/>
      <c r="F18421" s="18"/>
    </row>
    <row r="18422" spans="5:6" ht="15" customHeight="1" x14ac:dyDescent="0.2">
      <c r="E18422" s="18"/>
      <c r="F18422" s="18"/>
    </row>
    <row r="18423" spans="5:6" ht="15" customHeight="1" x14ac:dyDescent="0.2">
      <c r="E18423" s="18"/>
      <c r="F18423" s="18"/>
    </row>
    <row r="18424" spans="5:6" ht="15" customHeight="1" x14ac:dyDescent="0.2">
      <c r="E18424" s="18"/>
      <c r="F18424" s="18"/>
    </row>
    <row r="18425" spans="5:6" ht="15" customHeight="1" x14ac:dyDescent="0.2">
      <c r="E18425" s="18"/>
      <c r="F18425" s="18"/>
    </row>
    <row r="18426" spans="5:6" ht="15" customHeight="1" x14ac:dyDescent="0.2">
      <c r="E18426" s="18"/>
      <c r="F18426" s="18"/>
    </row>
    <row r="18427" spans="5:6" ht="15" customHeight="1" x14ac:dyDescent="0.2">
      <c r="E18427" s="18"/>
      <c r="F18427" s="18"/>
    </row>
    <row r="18428" spans="5:6" ht="15" customHeight="1" x14ac:dyDescent="0.2">
      <c r="E18428" s="18"/>
      <c r="F18428" s="18"/>
    </row>
    <row r="18429" spans="5:6" ht="15" customHeight="1" x14ac:dyDescent="0.2">
      <c r="E18429" s="18"/>
      <c r="F18429" s="18"/>
    </row>
    <row r="18430" spans="5:6" ht="15" customHeight="1" x14ac:dyDescent="0.2">
      <c r="E18430" s="18"/>
      <c r="F18430" s="18"/>
    </row>
    <row r="18431" spans="5:6" ht="15" customHeight="1" x14ac:dyDescent="0.2">
      <c r="E18431" s="18"/>
      <c r="F18431" s="18"/>
    </row>
    <row r="18432" spans="5:6" ht="15" customHeight="1" x14ac:dyDescent="0.2">
      <c r="E18432" s="18"/>
      <c r="F18432" s="18"/>
    </row>
    <row r="18433" spans="5:6" ht="15" customHeight="1" x14ac:dyDescent="0.2">
      <c r="E18433" s="18"/>
      <c r="F18433" s="18"/>
    </row>
    <row r="18434" spans="5:6" ht="15" customHeight="1" x14ac:dyDescent="0.2">
      <c r="E18434" s="18"/>
      <c r="F18434" s="18"/>
    </row>
    <row r="18435" spans="5:6" ht="15" customHeight="1" x14ac:dyDescent="0.2">
      <c r="E18435" s="18"/>
      <c r="F18435" s="18"/>
    </row>
    <row r="18436" spans="5:6" ht="15" customHeight="1" x14ac:dyDescent="0.2">
      <c r="E18436" s="18"/>
      <c r="F18436" s="18"/>
    </row>
    <row r="18437" spans="5:6" ht="15" customHeight="1" x14ac:dyDescent="0.2">
      <c r="E18437" s="18"/>
      <c r="F18437" s="18"/>
    </row>
    <row r="18438" spans="5:6" ht="15" customHeight="1" x14ac:dyDescent="0.2">
      <c r="E18438" s="18"/>
      <c r="F18438" s="18"/>
    </row>
    <row r="18439" spans="5:6" ht="15" customHeight="1" x14ac:dyDescent="0.2">
      <c r="E18439" s="18"/>
      <c r="F18439" s="18"/>
    </row>
    <row r="18440" spans="5:6" ht="15" customHeight="1" x14ac:dyDescent="0.2">
      <c r="E18440" s="18"/>
      <c r="F18440" s="18"/>
    </row>
    <row r="18441" spans="5:6" ht="15" customHeight="1" x14ac:dyDescent="0.2">
      <c r="E18441" s="18"/>
      <c r="F18441" s="18"/>
    </row>
    <row r="18442" spans="5:6" ht="15" customHeight="1" x14ac:dyDescent="0.2">
      <c r="E18442" s="18"/>
      <c r="F18442" s="18"/>
    </row>
    <row r="18443" spans="5:6" ht="15" customHeight="1" x14ac:dyDescent="0.2">
      <c r="E18443" s="18"/>
      <c r="F18443" s="18"/>
    </row>
    <row r="18444" spans="5:6" ht="15" customHeight="1" x14ac:dyDescent="0.2">
      <c r="E18444" s="18"/>
      <c r="F18444" s="18"/>
    </row>
    <row r="18445" spans="5:6" ht="15" customHeight="1" x14ac:dyDescent="0.2">
      <c r="E18445" s="18"/>
      <c r="F18445" s="18"/>
    </row>
    <row r="18446" spans="5:6" ht="15" customHeight="1" x14ac:dyDescent="0.2">
      <c r="E18446" s="18"/>
      <c r="F18446" s="18"/>
    </row>
    <row r="18447" spans="5:6" ht="15" customHeight="1" x14ac:dyDescent="0.2">
      <c r="E18447" s="18"/>
      <c r="F18447" s="18"/>
    </row>
    <row r="18448" spans="5:6" ht="15" customHeight="1" x14ac:dyDescent="0.2">
      <c r="E18448" s="18"/>
      <c r="F18448" s="18"/>
    </row>
    <row r="18449" spans="5:6" ht="15" customHeight="1" x14ac:dyDescent="0.2">
      <c r="E18449" s="18"/>
      <c r="F18449" s="18"/>
    </row>
    <row r="18450" spans="5:6" ht="15" customHeight="1" x14ac:dyDescent="0.2">
      <c r="E18450" s="18"/>
      <c r="F18450" s="18"/>
    </row>
    <row r="18451" spans="5:6" ht="15" customHeight="1" x14ac:dyDescent="0.2">
      <c r="E18451" s="18"/>
      <c r="F18451" s="18"/>
    </row>
    <row r="18452" spans="5:6" ht="15" customHeight="1" x14ac:dyDescent="0.2">
      <c r="E18452" s="18"/>
      <c r="F18452" s="18"/>
    </row>
    <row r="18453" spans="5:6" ht="15" customHeight="1" x14ac:dyDescent="0.2">
      <c r="E18453" s="18"/>
      <c r="F18453" s="18"/>
    </row>
    <row r="18454" spans="5:6" ht="15" customHeight="1" x14ac:dyDescent="0.2">
      <c r="E18454" s="18"/>
      <c r="F18454" s="18"/>
    </row>
    <row r="18455" spans="5:6" ht="15" customHeight="1" x14ac:dyDescent="0.2">
      <c r="E18455" s="18"/>
      <c r="F18455" s="18"/>
    </row>
    <row r="18456" spans="5:6" ht="15" customHeight="1" x14ac:dyDescent="0.2">
      <c r="E18456" s="18"/>
      <c r="F18456" s="18"/>
    </row>
    <row r="18457" spans="5:6" ht="15" customHeight="1" x14ac:dyDescent="0.2">
      <c r="E18457" s="18"/>
      <c r="F18457" s="18"/>
    </row>
    <row r="18458" spans="5:6" ht="15" customHeight="1" x14ac:dyDescent="0.2">
      <c r="E18458" s="18"/>
      <c r="F18458" s="18"/>
    </row>
    <row r="18459" spans="5:6" ht="15" customHeight="1" x14ac:dyDescent="0.2">
      <c r="E18459" s="18"/>
      <c r="F18459" s="18"/>
    </row>
    <row r="18460" spans="5:6" ht="15" customHeight="1" x14ac:dyDescent="0.2">
      <c r="E18460" s="18"/>
      <c r="F18460" s="18"/>
    </row>
    <row r="18461" spans="5:6" ht="15" customHeight="1" x14ac:dyDescent="0.2">
      <c r="E18461" s="18"/>
      <c r="F18461" s="18"/>
    </row>
    <row r="18462" spans="5:6" ht="15" customHeight="1" x14ac:dyDescent="0.2">
      <c r="E18462" s="18"/>
      <c r="F18462" s="18"/>
    </row>
    <row r="18463" spans="5:6" ht="15" customHeight="1" x14ac:dyDescent="0.2">
      <c r="E18463" s="18"/>
      <c r="F18463" s="18"/>
    </row>
    <row r="18464" spans="5:6" ht="15" customHeight="1" x14ac:dyDescent="0.2">
      <c r="E18464" s="18"/>
      <c r="F18464" s="18"/>
    </row>
    <row r="18465" spans="5:6" ht="15" customHeight="1" x14ac:dyDescent="0.2">
      <c r="E18465" s="18"/>
      <c r="F18465" s="18"/>
    </row>
    <row r="18466" spans="5:6" ht="15" customHeight="1" x14ac:dyDescent="0.2">
      <c r="E18466" s="18"/>
      <c r="F18466" s="18"/>
    </row>
    <row r="18467" spans="5:6" ht="15" customHeight="1" x14ac:dyDescent="0.2">
      <c r="E18467" s="18"/>
      <c r="F18467" s="18"/>
    </row>
    <row r="18468" spans="5:6" ht="15" customHeight="1" x14ac:dyDescent="0.2">
      <c r="E18468" s="18"/>
      <c r="F18468" s="18"/>
    </row>
    <row r="18469" spans="5:6" ht="15" customHeight="1" x14ac:dyDescent="0.2">
      <c r="E18469" s="18"/>
      <c r="F18469" s="18"/>
    </row>
    <row r="18470" spans="5:6" ht="15" customHeight="1" x14ac:dyDescent="0.2">
      <c r="E18470" s="18"/>
      <c r="F18470" s="18"/>
    </row>
    <row r="18471" spans="5:6" ht="15" customHeight="1" x14ac:dyDescent="0.2">
      <c r="E18471" s="18"/>
      <c r="F18471" s="18"/>
    </row>
    <row r="18472" spans="5:6" ht="15" customHeight="1" x14ac:dyDescent="0.2">
      <c r="E18472" s="18"/>
      <c r="F18472" s="18"/>
    </row>
    <row r="18473" spans="5:6" ht="15" customHeight="1" x14ac:dyDescent="0.2">
      <c r="E18473" s="18"/>
      <c r="F18473" s="18"/>
    </row>
    <row r="18474" spans="5:6" ht="15" customHeight="1" x14ac:dyDescent="0.2">
      <c r="E18474" s="18"/>
      <c r="F18474" s="18"/>
    </row>
    <row r="18475" spans="5:6" ht="15" customHeight="1" x14ac:dyDescent="0.2">
      <c r="E18475" s="18"/>
      <c r="F18475" s="18"/>
    </row>
    <row r="18476" spans="5:6" ht="15" customHeight="1" x14ac:dyDescent="0.2">
      <c r="E18476" s="18"/>
      <c r="F18476" s="18"/>
    </row>
    <row r="18477" spans="5:6" ht="15" customHeight="1" x14ac:dyDescent="0.2">
      <c r="E18477" s="18"/>
      <c r="F18477" s="18"/>
    </row>
    <row r="18478" spans="5:6" ht="15" customHeight="1" x14ac:dyDescent="0.2">
      <c r="E18478" s="18"/>
      <c r="F18478" s="18"/>
    </row>
    <row r="18479" spans="5:6" ht="15" customHeight="1" x14ac:dyDescent="0.2">
      <c r="E18479" s="18"/>
      <c r="F18479" s="18"/>
    </row>
    <row r="18480" spans="5:6" ht="15" customHeight="1" x14ac:dyDescent="0.2">
      <c r="E18480" s="18"/>
      <c r="F18480" s="18"/>
    </row>
    <row r="18481" spans="5:6" ht="15" customHeight="1" x14ac:dyDescent="0.2">
      <c r="E18481" s="18"/>
      <c r="F18481" s="18"/>
    </row>
    <row r="18482" spans="5:6" ht="15" customHeight="1" x14ac:dyDescent="0.2">
      <c r="E18482" s="18"/>
      <c r="F18482" s="18"/>
    </row>
    <row r="18483" spans="5:6" ht="15" customHeight="1" x14ac:dyDescent="0.2">
      <c r="E18483" s="18"/>
      <c r="F18483" s="18"/>
    </row>
    <row r="18484" spans="5:6" ht="15" customHeight="1" x14ac:dyDescent="0.2">
      <c r="E18484" s="18"/>
      <c r="F18484" s="18"/>
    </row>
    <row r="18485" spans="5:6" ht="15" customHeight="1" x14ac:dyDescent="0.2">
      <c r="E18485" s="18"/>
      <c r="F18485" s="18"/>
    </row>
    <row r="18486" spans="5:6" ht="15" customHeight="1" x14ac:dyDescent="0.2">
      <c r="E18486" s="18"/>
      <c r="F18486" s="18"/>
    </row>
    <row r="18487" spans="5:6" ht="15" customHeight="1" x14ac:dyDescent="0.2">
      <c r="E18487" s="18"/>
      <c r="F18487" s="18"/>
    </row>
    <row r="18488" spans="5:6" ht="15" customHeight="1" x14ac:dyDescent="0.2">
      <c r="E18488" s="18"/>
      <c r="F18488" s="18"/>
    </row>
    <row r="18489" spans="5:6" ht="15" customHeight="1" x14ac:dyDescent="0.2">
      <c r="E18489" s="18"/>
      <c r="F18489" s="18"/>
    </row>
    <row r="18490" spans="5:6" ht="15" customHeight="1" x14ac:dyDescent="0.2">
      <c r="E18490" s="18"/>
      <c r="F18490" s="18"/>
    </row>
    <row r="18491" spans="5:6" ht="15" customHeight="1" x14ac:dyDescent="0.2">
      <c r="E18491" s="18"/>
      <c r="F18491" s="18"/>
    </row>
    <row r="18492" spans="5:6" ht="15" customHeight="1" x14ac:dyDescent="0.2">
      <c r="E18492" s="18"/>
      <c r="F18492" s="18"/>
    </row>
    <row r="18493" spans="5:6" ht="15" customHeight="1" x14ac:dyDescent="0.2">
      <c r="E18493" s="18"/>
      <c r="F18493" s="18"/>
    </row>
    <row r="18494" spans="5:6" ht="15" customHeight="1" x14ac:dyDescent="0.2">
      <c r="E18494" s="18"/>
      <c r="F18494" s="18"/>
    </row>
    <row r="18495" spans="5:6" ht="15" customHeight="1" x14ac:dyDescent="0.2">
      <c r="E18495" s="18"/>
      <c r="F18495" s="18"/>
    </row>
    <row r="18496" spans="5:6" ht="15" customHeight="1" x14ac:dyDescent="0.2">
      <c r="E18496" s="18"/>
      <c r="F18496" s="18"/>
    </row>
    <row r="18497" spans="5:6" ht="15" customHeight="1" x14ac:dyDescent="0.2">
      <c r="E18497" s="18"/>
      <c r="F18497" s="18"/>
    </row>
    <row r="18498" spans="5:6" ht="15" customHeight="1" x14ac:dyDescent="0.2">
      <c r="E18498" s="18"/>
      <c r="F18498" s="18"/>
    </row>
    <row r="18499" spans="5:6" ht="15" customHeight="1" x14ac:dyDescent="0.2">
      <c r="E18499" s="18"/>
      <c r="F18499" s="18"/>
    </row>
    <row r="18500" spans="5:6" ht="15" customHeight="1" x14ac:dyDescent="0.2">
      <c r="E18500" s="18"/>
      <c r="F18500" s="18"/>
    </row>
    <row r="18501" spans="5:6" ht="15" customHeight="1" x14ac:dyDescent="0.2">
      <c r="E18501" s="18"/>
      <c r="F18501" s="18"/>
    </row>
    <row r="18502" spans="5:6" ht="15" customHeight="1" x14ac:dyDescent="0.2">
      <c r="E18502" s="18"/>
      <c r="F18502" s="18"/>
    </row>
    <row r="18503" spans="5:6" ht="15" customHeight="1" x14ac:dyDescent="0.2">
      <c r="E18503" s="18"/>
      <c r="F18503" s="18"/>
    </row>
    <row r="18504" spans="5:6" ht="15" customHeight="1" x14ac:dyDescent="0.2">
      <c r="E18504" s="18"/>
      <c r="F18504" s="18"/>
    </row>
    <row r="18505" spans="5:6" ht="15" customHeight="1" x14ac:dyDescent="0.2">
      <c r="E18505" s="18"/>
      <c r="F18505" s="18"/>
    </row>
    <row r="18506" spans="5:6" ht="15" customHeight="1" x14ac:dyDescent="0.2">
      <c r="E18506" s="18"/>
      <c r="F18506" s="18"/>
    </row>
    <row r="18507" spans="5:6" ht="15" customHeight="1" x14ac:dyDescent="0.2">
      <c r="E18507" s="18"/>
      <c r="F18507" s="18"/>
    </row>
    <row r="18508" spans="5:6" ht="15" customHeight="1" x14ac:dyDescent="0.2">
      <c r="E18508" s="18"/>
      <c r="F18508" s="18"/>
    </row>
    <row r="18509" spans="5:6" ht="15" customHeight="1" x14ac:dyDescent="0.2">
      <c r="E18509" s="18"/>
      <c r="F18509" s="18"/>
    </row>
    <row r="18510" spans="5:6" ht="15" customHeight="1" x14ac:dyDescent="0.2">
      <c r="E18510" s="18"/>
      <c r="F18510" s="18"/>
    </row>
    <row r="18511" spans="5:6" ht="15" customHeight="1" x14ac:dyDescent="0.2">
      <c r="E18511" s="18"/>
      <c r="F18511" s="18"/>
    </row>
    <row r="18512" spans="5:6" ht="15" customHeight="1" x14ac:dyDescent="0.2">
      <c r="E18512" s="18"/>
      <c r="F18512" s="18"/>
    </row>
    <row r="18513" spans="5:6" ht="15" customHeight="1" x14ac:dyDescent="0.2">
      <c r="E18513" s="18"/>
      <c r="F18513" s="18"/>
    </row>
    <row r="18514" spans="5:6" ht="15" customHeight="1" x14ac:dyDescent="0.2">
      <c r="E18514" s="18"/>
      <c r="F18514" s="18"/>
    </row>
    <row r="18515" spans="5:6" ht="15" customHeight="1" x14ac:dyDescent="0.2">
      <c r="E18515" s="18"/>
      <c r="F18515" s="18"/>
    </row>
    <row r="18516" spans="5:6" ht="15" customHeight="1" x14ac:dyDescent="0.2">
      <c r="E18516" s="18"/>
      <c r="F18516" s="18"/>
    </row>
    <row r="18517" spans="5:6" ht="15" customHeight="1" x14ac:dyDescent="0.2">
      <c r="E18517" s="18"/>
      <c r="F18517" s="18"/>
    </row>
    <row r="18518" spans="5:6" ht="15" customHeight="1" x14ac:dyDescent="0.2">
      <c r="E18518" s="18"/>
      <c r="F18518" s="18"/>
    </row>
    <row r="18519" spans="5:6" ht="15" customHeight="1" x14ac:dyDescent="0.2">
      <c r="E18519" s="18"/>
      <c r="F18519" s="18"/>
    </row>
    <row r="18520" spans="5:6" ht="15" customHeight="1" x14ac:dyDescent="0.2">
      <c r="E18520" s="18"/>
      <c r="F18520" s="18"/>
    </row>
    <row r="18521" spans="5:6" ht="15" customHeight="1" x14ac:dyDescent="0.2">
      <c r="E18521" s="18"/>
      <c r="F18521" s="18"/>
    </row>
    <row r="18522" spans="5:6" ht="15" customHeight="1" x14ac:dyDescent="0.2">
      <c r="E18522" s="18"/>
      <c r="F18522" s="18"/>
    </row>
    <row r="18523" spans="5:6" ht="15" customHeight="1" x14ac:dyDescent="0.2">
      <c r="E18523" s="18"/>
      <c r="F18523" s="18"/>
    </row>
    <row r="18524" spans="5:6" ht="15" customHeight="1" x14ac:dyDescent="0.2">
      <c r="E18524" s="18"/>
      <c r="F18524" s="18"/>
    </row>
    <row r="18525" spans="5:6" ht="15" customHeight="1" x14ac:dyDescent="0.2">
      <c r="E18525" s="18"/>
      <c r="F18525" s="18"/>
    </row>
    <row r="18526" spans="5:6" ht="15" customHeight="1" x14ac:dyDescent="0.2">
      <c r="E18526" s="18"/>
      <c r="F18526" s="18"/>
    </row>
    <row r="18527" spans="5:6" ht="15" customHeight="1" x14ac:dyDescent="0.2">
      <c r="E18527" s="18"/>
      <c r="F18527" s="18"/>
    </row>
    <row r="18528" spans="5:6" ht="15" customHeight="1" x14ac:dyDescent="0.2">
      <c r="E18528" s="18"/>
      <c r="F18528" s="18"/>
    </row>
    <row r="18529" spans="5:6" ht="15" customHeight="1" x14ac:dyDescent="0.2">
      <c r="E18529" s="18"/>
      <c r="F18529" s="18"/>
    </row>
    <row r="18530" spans="5:6" ht="15" customHeight="1" x14ac:dyDescent="0.2">
      <c r="E18530" s="18"/>
      <c r="F18530" s="18"/>
    </row>
    <row r="18531" spans="5:6" ht="15" customHeight="1" x14ac:dyDescent="0.2">
      <c r="E18531" s="18"/>
      <c r="F18531" s="18"/>
    </row>
    <row r="18532" spans="5:6" ht="15" customHeight="1" x14ac:dyDescent="0.2">
      <c r="E18532" s="18"/>
      <c r="F18532" s="18"/>
    </row>
    <row r="18533" spans="5:6" ht="15" customHeight="1" x14ac:dyDescent="0.2">
      <c r="E18533" s="18"/>
      <c r="F18533" s="18"/>
    </row>
    <row r="18534" spans="5:6" ht="15" customHeight="1" x14ac:dyDescent="0.2">
      <c r="E18534" s="18"/>
      <c r="F18534" s="18"/>
    </row>
    <row r="18535" spans="5:6" ht="15" customHeight="1" x14ac:dyDescent="0.2">
      <c r="E18535" s="18"/>
      <c r="F18535" s="18"/>
    </row>
    <row r="18536" spans="5:6" ht="15" customHeight="1" x14ac:dyDescent="0.2">
      <c r="E18536" s="18"/>
      <c r="F18536" s="18"/>
    </row>
    <row r="18537" spans="5:6" ht="15" customHeight="1" x14ac:dyDescent="0.2">
      <c r="E18537" s="18"/>
      <c r="F18537" s="18"/>
    </row>
    <row r="18538" spans="5:6" ht="15" customHeight="1" x14ac:dyDescent="0.2">
      <c r="E18538" s="18"/>
      <c r="F18538" s="18"/>
    </row>
    <row r="18539" spans="5:6" ht="15" customHeight="1" x14ac:dyDescent="0.2">
      <c r="E18539" s="18"/>
      <c r="F18539" s="18"/>
    </row>
    <row r="18540" spans="5:6" ht="15" customHeight="1" x14ac:dyDescent="0.2">
      <c r="E18540" s="18"/>
      <c r="F18540" s="18"/>
    </row>
    <row r="18541" spans="5:6" ht="15" customHeight="1" x14ac:dyDescent="0.2">
      <c r="E18541" s="18"/>
      <c r="F18541" s="18"/>
    </row>
    <row r="18542" spans="5:6" ht="15" customHeight="1" x14ac:dyDescent="0.2">
      <c r="E18542" s="18"/>
      <c r="F18542" s="18"/>
    </row>
    <row r="18543" spans="5:6" ht="15" customHeight="1" x14ac:dyDescent="0.2">
      <c r="E18543" s="18"/>
      <c r="F18543" s="18"/>
    </row>
    <row r="18544" spans="5:6" ht="15" customHeight="1" x14ac:dyDescent="0.2">
      <c r="E18544" s="18"/>
      <c r="F18544" s="18"/>
    </row>
    <row r="18545" spans="5:6" ht="15" customHeight="1" x14ac:dyDescent="0.2">
      <c r="E18545" s="18"/>
      <c r="F18545" s="18"/>
    </row>
    <row r="18546" spans="5:6" ht="15" customHeight="1" x14ac:dyDescent="0.2">
      <c r="E18546" s="18"/>
      <c r="F18546" s="18"/>
    </row>
    <row r="18547" spans="5:6" ht="15" customHeight="1" x14ac:dyDescent="0.2">
      <c r="E18547" s="18"/>
      <c r="F18547" s="18"/>
    </row>
    <row r="18548" spans="5:6" ht="15" customHeight="1" x14ac:dyDescent="0.2">
      <c r="E18548" s="18"/>
      <c r="F18548" s="18"/>
    </row>
    <row r="18549" spans="5:6" ht="15" customHeight="1" x14ac:dyDescent="0.2">
      <c r="E18549" s="18"/>
      <c r="F18549" s="18"/>
    </row>
    <row r="18550" spans="5:6" ht="15" customHeight="1" x14ac:dyDescent="0.2">
      <c r="E18550" s="18"/>
      <c r="F18550" s="18"/>
    </row>
    <row r="18551" spans="5:6" ht="15" customHeight="1" x14ac:dyDescent="0.2">
      <c r="E18551" s="18"/>
      <c r="F18551" s="18"/>
    </row>
    <row r="18552" spans="5:6" ht="15" customHeight="1" x14ac:dyDescent="0.2">
      <c r="E18552" s="18"/>
      <c r="F18552" s="18"/>
    </row>
    <row r="18553" spans="5:6" ht="15" customHeight="1" x14ac:dyDescent="0.2">
      <c r="E18553" s="18"/>
      <c r="F18553" s="18"/>
    </row>
    <row r="18554" spans="5:6" ht="15" customHeight="1" x14ac:dyDescent="0.2">
      <c r="E18554" s="18"/>
      <c r="F18554" s="18"/>
    </row>
    <row r="18555" spans="5:6" ht="15" customHeight="1" x14ac:dyDescent="0.2">
      <c r="E18555" s="18"/>
      <c r="F18555" s="18"/>
    </row>
    <row r="18556" spans="5:6" ht="15" customHeight="1" x14ac:dyDescent="0.2">
      <c r="E18556" s="18"/>
      <c r="F18556" s="18"/>
    </row>
    <row r="18557" spans="5:6" ht="15" customHeight="1" x14ac:dyDescent="0.2">
      <c r="E18557" s="18"/>
      <c r="F18557" s="18"/>
    </row>
    <row r="18558" spans="5:6" ht="15" customHeight="1" x14ac:dyDescent="0.2">
      <c r="E18558" s="18"/>
      <c r="F18558" s="18"/>
    </row>
    <row r="18559" spans="5:6" ht="15" customHeight="1" x14ac:dyDescent="0.2">
      <c r="E18559" s="18"/>
      <c r="F18559" s="18"/>
    </row>
    <row r="18560" spans="5:6" ht="15" customHeight="1" x14ac:dyDescent="0.2">
      <c r="E18560" s="18"/>
      <c r="F18560" s="18"/>
    </row>
    <row r="18561" spans="5:6" ht="15" customHeight="1" x14ac:dyDescent="0.2">
      <c r="E18561" s="18"/>
      <c r="F18561" s="18"/>
    </row>
    <row r="18562" spans="5:6" ht="15" customHeight="1" x14ac:dyDescent="0.2">
      <c r="E18562" s="18"/>
      <c r="F18562" s="18"/>
    </row>
    <row r="18563" spans="5:6" ht="15" customHeight="1" x14ac:dyDescent="0.2">
      <c r="E18563" s="18"/>
      <c r="F18563" s="18"/>
    </row>
    <row r="18564" spans="5:6" ht="15" customHeight="1" x14ac:dyDescent="0.2">
      <c r="E18564" s="18"/>
      <c r="F18564" s="18"/>
    </row>
    <row r="18565" spans="5:6" ht="15" customHeight="1" x14ac:dyDescent="0.2">
      <c r="E18565" s="18"/>
      <c r="F18565" s="18"/>
    </row>
    <row r="18566" spans="5:6" ht="15" customHeight="1" x14ac:dyDescent="0.2">
      <c r="E18566" s="18"/>
      <c r="F18566" s="18"/>
    </row>
    <row r="18567" spans="5:6" ht="15" customHeight="1" x14ac:dyDescent="0.2">
      <c r="E18567" s="18"/>
      <c r="F18567" s="18"/>
    </row>
    <row r="18568" spans="5:6" ht="15" customHeight="1" x14ac:dyDescent="0.2">
      <c r="E18568" s="18"/>
      <c r="F18568" s="18"/>
    </row>
    <row r="18569" spans="5:6" ht="15" customHeight="1" x14ac:dyDescent="0.2">
      <c r="E18569" s="18"/>
      <c r="F18569" s="18"/>
    </row>
    <row r="18570" spans="5:6" ht="15" customHeight="1" x14ac:dyDescent="0.2">
      <c r="E18570" s="18"/>
      <c r="F18570" s="18"/>
    </row>
    <row r="18571" spans="5:6" ht="15" customHeight="1" x14ac:dyDescent="0.2">
      <c r="E18571" s="18"/>
      <c r="F18571" s="18"/>
    </row>
    <row r="18572" spans="5:6" ht="15" customHeight="1" x14ac:dyDescent="0.2">
      <c r="E18572" s="18"/>
      <c r="F18572" s="18"/>
    </row>
    <row r="18573" spans="5:6" ht="15" customHeight="1" x14ac:dyDescent="0.2">
      <c r="E18573" s="18"/>
      <c r="F18573" s="18"/>
    </row>
    <row r="18574" spans="5:6" ht="15" customHeight="1" x14ac:dyDescent="0.2">
      <c r="E18574" s="18"/>
      <c r="F18574" s="18"/>
    </row>
    <row r="18575" spans="5:6" ht="15" customHeight="1" x14ac:dyDescent="0.2">
      <c r="E18575" s="18"/>
      <c r="F18575" s="18"/>
    </row>
    <row r="18576" spans="5:6" ht="15" customHeight="1" x14ac:dyDescent="0.2">
      <c r="E18576" s="18"/>
      <c r="F18576" s="18"/>
    </row>
    <row r="18577" spans="5:6" ht="15" customHeight="1" x14ac:dyDescent="0.2">
      <c r="E18577" s="18"/>
      <c r="F18577" s="18"/>
    </row>
    <row r="18578" spans="5:6" ht="15" customHeight="1" x14ac:dyDescent="0.2">
      <c r="E18578" s="18"/>
      <c r="F18578" s="18"/>
    </row>
    <row r="18579" spans="5:6" ht="15" customHeight="1" x14ac:dyDescent="0.2">
      <c r="E18579" s="18"/>
      <c r="F18579" s="18"/>
    </row>
    <row r="18580" spans="5:6" ht="15" customHeight="1" x14ac:dyDescent="0.2">
      <c r="E18580" s="18"/>
      <c r="F18580" s="18"/>
    </row>
    <row r="18581" spans="5:6" ht="15" customHeight="1" x14ac:dyDescent="0.2">
      <c r="E18581" s="18"/>
      <c r="F18581" s="18"/>
    </row>
    <row r="18582" spans="5:6" ht="15" customHeight="1" x14ac:dyDescent="0.2">
      <c r="E18582" s="18"/>
      <c r="F18582" s="18"/>
    </row>
    <row r="18583" spans="5:6" ht="15" customHeight="1" x14ac:dyDescent="0.2">
      <c r="E18583" s="18"/>
      <c r="F18583" s="18"/>
    </row>
    <row r="18584" spans="5:6" ht="15" customHeight="1" x14ac:dyDescent="0.2">
      <c r="E18584" s="18"/>
      <c r="F18584" s="18"/>
    </row>
    <row r="18585" spans="5:6" ht="15" customHeight="1" x14ac:dyDescent="0.2">
      <c r="E18585" s="18"/>
      <c r="F18585" s="18"/>
    </row>
    <row r="18586" spans="5:6" ht="15" customHeight="1" x14ac:dyDescent="0.2">
      <c r="E18586" s="18"/>
      <c r="F18586" s="18"/>
    </row>
    <row r="18587" spans="5:6" ht="15" customHeight="1" x14ac:dyDescent="0.2">
      <c r="E18587" s="18"/>
      <c r="F18587" s="18"/>
    </row>
    <row r="18588" spans="5:6" ht="15" customHeight="1" x14ac:dyDescent="0.2">
      <c r="E18588" s="18"/>
      <c r="F18588" s="18"/>
    </row>
    <row r="18589" spans="5:6" ht="15" customHeight="1" x14ac:dyDescent="0.2">
      <c r="E18589" s="18"/>
      <c r="F18589" s="18"/>
    </row>
    <row r="18590" spans="5:6" ht="15" customHeight="1" x14ac:dyDescent="0.2">
      <c r="E18590" s="18"/>
      <c r="F18590" s="18"/>
    </row>
    <row r="18591" spans="5:6" ht="15" customHeight="1" x14ac:dyDescent="0.2">
      <c r="E18591" s="18"/>
      <c r="F18591" s="18"/>
    </row>
    <row r="18592" spans="5:6" ht="15" customHeight="1" x14ac:dyDescent="0.2">
      <c r="E18592" s="18"/>
      <c r="F18592" s="18"/>
    </row>
    <row r="18593" spans="5:6" ht="15" customHeight="1" x14ac:dyDescent="0.2">
      <c r="E18593" s="18"/>
      <c r="F18593" s="18"/>
    </row>
    <row r="18594" spans="5:6" ht="15" customHeight="1" x14ac:dyDescent="0.2">
      <c r="E18594" s="18"/>
      <c r="F18594" s="18"/>
    </row>
    <row r="18595" spans="5:6" ht="15" customHeight="1" x14ac:dyDescent="0.2">
      <c r="E18595" s="18"/>
      <c r="F18595" s="18"/>
    </row>
    <row r="18596" spans="5:6" ht="15" customHeight="1" x14ac:dyDescent="0.2">
      <c r="E18596" s="18"/>
      <c r="F18596" s="18"/>
    </row>
    <row r="18597" spans="5:6" ht="15" customHeight="1" x14ac:dyDescent="0.2">
      <c r="E18597" s="18"/>
      <c r="F18597" s="18"/>
    </row>
    <row r="18598" spans="5:6" ht="15" customHeight="1" x14ac:dyDescent="0.2">
      <c r="E18598" s="18"/>
      <c r="F18598" s="18"/>
    </row>
    <row r="18599" spans="5:6" ht="15" customHeight="1" x14ac:dyDescent="0.2">
      <c r="E18599" s="18"/>
      <c r="F18599" s="18"/>
    </row>
    <row r="18600" spans="5:6" ht="15" customHeight="1" x14ac:dyDescent="0.2">
      <c r="E18600" s="18"/>
      <c r="F18600" s="18"/>
    </row>
    <row r="18601" spans="5:6" ht="15" customHeight="1" x14ac:dyDescent="0.2">
      <c r="E18601" s="18"/>
      <c r="F18601" s="18"/>
    </row>
    <row r="18602" spans="5:6" ht="15" customHeight="1" x14ac:dyDescent="0.2">
      <c r="E18602" s="18"/>
      <c r="F18602" s="18"/>
    </row>
    <row r="18603" spans="5:6" ht="15" customHeight="1" x14ac:dyDescent="0.2">
      <c r="E18603" s="18"/>
      <c r="F18603" s="18"/>
    </row>
    <row r="18604" spans="5:6" ht="15" customHeight="1" x14ac:dyDescent="0.2">
      <c r="E18604" s="18"/>
      <c r="F18604" s="18"/>
    </row>
    <row r="18605" spans="5:6" ht="15" customHeight="1" x14ac:dyDescent="0.2">
      <c r="E18605" s="18"/>
      <c r="F18605" s="18"/>
    </row>
    <row r="18606" spans="5:6" ht="15" customHeight="1" x14ac:dyDescent="0.2">
      <c r="E18606" s="18"/>
      <c r="F18606" s="18"/>
    </row>
    <row r="18607" spans="5:6" ht="15" customHeight="1" x14ac:dyDescent="0.2">
      <c r="E18607" s="18"/>
      <c r="F18607" s="18"/>
    </row>
    <row r="18608" spans="5:6" ht="15" customHeight="1" x14ac:dyDescent="0.2">
      <c r="E18608" s="18"/>
      <c r="F18608" s="18"/>
    </row>
    <row r="18609" spans="5:6" ht="15" customHeight="1" x14ac:dyDescent="0.2">
      <c r="E18609" s="18"/>
      <c r="F18609" s="18"/>
    </row>
    <row r="18610" spans="5:6" ht="15" customHeight="1" x14ac:dyDescent="0.2">
      <c r="E18610" s="18"/>
      <c r="F18610" s="18"/>
    </row>
    <row r="18611" spans="5:6" ht="15" customHeight="1" x14ac:dyDescent="0.2">
      <c r="E18611" s="18"/>
      <c r="F18611" s="18"/>
    </row>
    <row r="18612" spans="5:6" ht="15" customHeight="1" x14ac:dyDescent="0.2">
      <c r="E18612" s="18"/>
      <c r="F18612" s="18"/>
    </row>
    <row r="18613" spans="5:6" ht="15" customHeight="1" x14ac:dyDescent="0.2">
      <c r="E18613" s="18"/>
      <c r="F18613" s="18"/>
    </row>
    <row r="18614" spans="5:6" ht="15" customHeight="1" x14ac:dyDescent="0.2">
      <c r="E18614" s="18"/>
      <c r="F18614" s="18"/>
    </row>
    <row r="18615" spans="5:6" ht="15" customHeight="1" x14ac:dyDescent="0.2">
      <c r="E18615" s="18"/>
      <c r="F18615" s="18"/>
    </row>
    <row r="18616" spans="5:6" ht="15" customHeight="1" x14ac:dyDescent="0.2">
      <c r="E18616" s="18"/>
      <c r="F18616" s="18"/>
    </row>
    <row r="18617" spans="5:6" ht="15" customHeight="1" x14ac:dyDescent="0.2">
      <c r="E18617" s="18"/>
      <c r="F18617" s="18"/>
    </row>
    <row r="18618" spans="5:6" ht="15" customHeight="1" x14ac:dyDescent="0.2">
      <c r="E18618" s="18"/>
      <c r="F18618" s="18"/>
    </row>
    <row r="18619" spans="5:6" ht="15" customHeight="1" x14ac:dyDescent="0.2">
      <c r="E18619" s="18"/>
      <c r="F18619" s="18"/>
    </row>
    <row r="18620" spans="5:6" ht="15" customHeight="1" x14ac:dyDescent="0.2">
      <c r="E18620" s="18"/>
      <c r="F18620" s="18"/>
    </row>
    <row r="18621" spans="5:6" ht="15" customHeight="1" x14ac:dyDescent="0.2">
      <c r="E18621" s="18"/>
      <c r="F18621" s="18"/>
    </row>
    <row r="18622" spans="5:6" ht="15" customHeight="1" x14ac:dyDescent="0.2">
      <c r="E18622" s="18"/>
      <c r="F18622" s="18"/>
    </row>
    <row r="18623" spans="5:6" ht="15" customHeight="1" x14ac:dyDescent="0.2">
      <c r="E18623" s="18"/>
      <c r="F18623" s="18"/>
    </row>
    <row r="18624" spans="5:6" ht="15" customHeight="1" x14ac:dyDescent="0.2">
      <c r="E18624" s="18"/>
      <c r="F18624" s="18"/>
    </row>
    <row r="18625" spans="5:6" ht="15" customHeight="1" x14ac:dyDescent="0.2">
      <c r="E18625" s="18"/>
      <c r="F18625" s="18"/>
    </row>
    <row r="18626" spans="5:6" ht="15" customHeight="1" x14ac:dyDescent="0.2">
      <c r="E18626" s="18"/>
      <c r="F18626" s="18"/>
    </row>
    <row r="18627" spans="5:6" ht="15" customHeight="1" x14ac:dyDescent="0.2">
      <c r="E18627" s="18"/>
      <c r="F18627" s="18"/>
    </row>
    <row r="18628" spans="5:6" ht="15" customHeight="1" x14ac:dyDescent="0.2">
      <c r="E18628" s="18"/>
      <c r="F18628" s="18"/>
    </row>
    <row r="18629" spans="5:6" ht="15" customHeight="1" x14ac:dyDescent="0.2">
      <c r="E18629" s="18"/>
      <c r="F18629" s="18"/>
    </row>
    <row r="18630" spans="5:6" ht="15" customHeight="1" x14ac:dyDescent="0.2">
      <c r="E18630" s="18"/>
      <c r="F18630" s="18"/>
    </row>
    <row r="18631" spans="5:6" ht="15" customHeight="1" x14ac:dyDescent="0.2">
      <c r="E18631" s="18"/>
      <c r="F18631" s="18"/>
    </row>
    <row r="18632" spans="5:6" ht="15" customHeight="1" x14ac:dyDescent="0.2">
      <c r="E18632" s="18"/>
      <c r="F18632" s="18"/>
    </row>
    <row r="18633" spans="5:6" ht="15" customHeight="1" x14ac:dyDescent="0.2">
      <c r="E18633" s="18"/>
      <c r="F18633" s="18"/>
    </row>
    <row r="18634" spans="5:6" ht="15" customHeight="1" x14ac:dyDescent="0.2">
      <c r="E18634" s="18"/>
      <c r="F18634" s="18"/>
    </row>
    <row r="18635" spans="5:6" ht="15" customHeight="1" x14ac:dyDescent="0.2">
      <c r="E18635" s="18"/>
      <c r="F18635" s="18"/>
    </row>
    <row r="18636" spans="5:6" ht="15" customHeight="1" x14ac:dyDescent="0.2">
      <c r="E18636" s="18"/>
      <c r="F18636" s="18"/>
    </row>
    <row r="18637" spans="5:6" ht="15" customHeight="1" x14ac:dyDescent="0.2">
      <c r="E18637" s="18"/>
      <c r="F18637" s="18"/>
    </row>
    <row r="18638" spans="5:6" ht="15" customHeight="1" x14ac:dyDescent="0.2">
      <c r="E18638" s="18"/>
      <c r="F18638" s="18"/>
    </row>
    <row r="18639" spans="5:6" ht="15" customHeight="1" x14ac:dyDescent="0.2">
      <c r="E18639" s="18"/>
      <c r="F18639" s="18"/>
    </row>
    <row r="18640" spans="5:6" ht="15" customHeight="1" x14ac:dyDescent="0.2">
      <c r="E18640" s="18"/>
      <c r="F18640" s="18"/>
    </row>
    <row r="18641" spans="5:6" ht="15" customHeight="1" x14ac:dyDescent="0.2">
      <c r="E18641" s="18"/>
      <c r="F18641" s="18"/>
    </row>
    <row r="18642" spans="5:6" ht="15" customHeight="1" x14ac:dyDescent="0.2">
      <c r="E18642" s="18"/>
      <c r="F18642" s="18"/>
    </row>
    <row r="18643" spans="5:6" ht="15" customHeight="1" x14ac:dyDescent="0.2">
      <c r="E18643" s="18"/>
      <c r="F18643" s="18"/>
    </row>
    <row r="18644" spans="5:6" ht="15" customHeight="1" x14ac:dyDescent="0.2">
      <c r="E18644" s="18"/>
      <c r="F18644" s="18"/>
    </row>
    <row r="18645" spans="5:6" ht="15" customHeight="1" x14ac:dyDescent="0.2">
      <c r="E18645" s="18"/>
      <c r="F18645" s="18"/>
    </row>
    <row r="18646" spans="5:6" ht="15" customHeight="1" x14ac:dyDescent="0.2">
      <c r="E18646" s="18"/>
      <c r="F18646" s="18"/>
    </row>
    <row r="18647" spans="5:6" ht="15" customHeight="1" x14ac:dyDescent="0.2">
      <c r="E18647" s="18"/>
      <c r="F18647" s="18"/>
    </row>
    <row r="18648" spans="5:6" ht="15" customHeight="1" x14ac:dyDescent="0.2">
      <c r="E18648" s="18"/>
      <c r="F18648" s="18"/>
    </row>
    <row r="18649" spans="5:6" ht="15" customHeight="1" x14ac:dyDescent="0.2">
      <c r="E18649" s="18"/>
      <c r="F18649" s="18"/>
    </row>
    <row r="18650" spans="5:6" ht="15" customHeight="1" x14ac:dyDescent="0.2">
      <c r="E18650" s="18"/>
      <c r="F18650" s="18"/>
    </row>
    <row r="18651" spans="5:6" ht="15" customHeight="1" x14ac:dyDescent="0.2">
      <c r="E18651" s="18"/>
      <c r="F18651" s="18"/>
    </row>
    <row r="18652" spans="5:6" ht="15" customHeight="1" x14ac:dyDescent="0.2">
      <c r="E18652" s="18"/>
      <c r="F18652" s="18"/>
    </row>
    <row r="18653" spans="5:6" ht="15" customHeight="1" x14ac:dyDescent="0.2">
      <c r="E18653" s="18"/>
      <c r="F18653" s="18"/>
    </row>
    <row r="18654" spans="5:6" ht="15" customHeight="1" x14ac:dyDescent="0.2">
      <c r="E18654" s="18"/>
      <c r="F18654" s="18"/>
    </row>
    <row r="18655" spans="5:6" ht="15" customHeight="1" x14ac:dyDescent="0.2">
      <c r="E18655" s="18"/>
      <c r="F18655" s="18"/>
    </row>
    <row r="18656" spans="5:6" ht="15" customHeight="1" x14ac:dyDescent="0.2">
      <c r="E18656" s="18"/>
      <c r="F18656" s="18"/>
    </row>
    <row r="18657" spans="5:6" ht="15" customHeight="1" x14ac:dyDescent="0.2">
      <c r="E18657" s="18"/>
      <c r="F18657" s="18"/>
    </row>
    <row r="18658" spans="5:6" ht="15" customHeight="1" x14ac:dyDescent="0.2">
      <c r="E18658" s="18"/>
      <c r="F18658" s="18"/>
    </row>
    <row r="18659" spans="5:6" ht="15" customHeight="1" x14ac:dyDescent="0.2">
      <c r="E18659" s="18"/>
      <c r="F18659" s="18"/>
    </row>
    <row r="18660" spans="5:6" ht="15" customHeight="1" x14ac:dyDescent="0.2">
      <c r="E18660" s="18"/>
      <c r="F18660" s="18"/>
    </row>
    <row r="18661" spans="5:6" ht="15" customHeight="1" x14ac:dyDescent="0.2">
      <c r="E18661" s="18"/>
      <c r="F18661" s="18"/>
    </row>
    <row r="18662" spans="5:6" ht="15" customHeight="1" x14ac:dyDescent="0.2">
      <c r="E18662" s="18"/>
      <c r="F18662" s="18"/>
    </row>
    <row r="18663" spans="5:6" ht="15" customHeight="1" x14ac:dyDescent="0.2">
      <c r="E18663" s="18"/>
      <c r="F18663" s="18"/>
    </row>
    <row r="18664" spans="5:6" ht="15" customHeight="1" x14ac:dyDescent="0.2">
      <c r="E18664" s="18"/>
      <c r="F18664" s="18"/>
    </row>
    <row r="18665" spans="5:6" ht="15" customHeight="1" x14ac:dyDescent="0.2">
      <c r="E18665" s="18"/>
      <c r="F18665" s="18"/>
    </row>
    <row r="18666" spans="5:6" ht="15" customHeight="1" x14ac:dyDescent="0.2">
      <c r="E18666" s="18"/>
      <c r="F18666" s="18"/>
    </row>
    <row r="18667" spans="5:6" ht="15" customHeight="1" x14ac:dyDescent="0.2">
      <c r="E18667" s="18"/>
      <c r="F18667" s="18"/>
    </row>
    <row r="18668" spans="5:6" ht="15" customHeight="1" x14ac:dyDescent="0.2">
      <c r="E18668" s="18"/>
      <c r="F18668" s="18"/>
    </row>
    <row r="18669" spans="5:6" ht="15" customHeight="1" x14ac:dyDescent="0.2">
      <c r="E18669" s="18"/>
      <c r="F18669" s="18"/>
    </row>
    <row r="18670" spans="5:6" ht="15" customHeight="1" x14ac:dyDescent="0.2">
      <c r="E18670" s="18"/>
      <c r="F18670" s="18"/>
    </row>
    <row r="18671" spans="5:6" ht="15" customHeight="1" x14ac:dyDescent="0.2">
      <c r="E18671" s="18"/>
      <c r="F18671" s="18"/>
    </row>
    <row r="18672" spans="5:6" ht="15" customHeight="1" x14ac:dyDescent="0.2">
      <c r="E18672" s="18"/>
      <c r="F18672" s="18"/>
    </row>
    <row r="18673" spans="5:6" ht="15" customHeight="1" x14ac:dyDescent="0.2">
      <c r="E18673" s="18"/>
      <c r="F18673" s="18"/>
    </row>
    <row r="18674" spans="5:6" ht="15" customHeight="1" x14ac:dyDescent="0.2">
      <c r="E18674" s="18"/>
      <c r="F18674" s="18"/>
    </row>
    <row r="18675" spans="5:6" ht="15" customHeight="1" x14ac:dyDescent="0.2">
      <c r="E18675" s="18"/>
      <c r="F18675" s="18"/>
    </row>
    <row r="18676" spans="5:6" ht="15" customHeight="1" x14ac:dyDescent="0.2">
      <c r="E18676" s="18"/>
      <c r="F18676" s="18"/>
    </row>
    <row r="18677" spans="5:6" ht="15" customHeight="1" x14ac:dyDescent="0.2">
      <c r="E18677" s="18"/>
      <c r="F18677" s="18"/>
    </row>
    <row r="18678" spans="5:6" ht="15" customHeight="1" x14ac:dyDescent="0.2">
      <c r="E18678" s="18"/>
      <c r="F18678" s="18"/>
    </row>
    <row r="18679" spans="5:6" ht="15" customHeight="1" x14ac:dyDescent="0.2">
      <c r="E18679" s="18"/>
      <c r="F18679" s="18"/>
    </row>
    <row r="18680" spans="5:6" ht="15" customHeight="1" x14ac:dyDescent="0.2">
      <c r="E18680" s="18"/>
      <c r="F18680" s="18"/>
    </row>
    <row r="18681" spans="5:6" ht="15" customHeight="1" x14ac:dyDescent="0.2">
      <c r="E18681" s="18"/>
      <c r="F18681" s="18"/>
    </row>
    <row r="18682" spans="5:6" ht="15" customHeight="1" x14ac:dyDescent="0.2">
      <c r="E18682" s="18"/>
      <c r="F18682" s="18"/>
    </row>
    <row r="18683" spans="5:6" ht="15" customHeight="1" x14ac:dyDescent="0.2">
      <c r="E18683" s="18"/>
      <c r="F18683" s="18"/>
    </row>
    <row r="18684" spans="5:6" ht="15" customHeight="1" x14ac:dyDescent="0.2">
      <c r="E18684" s="18"/>
      <c r="F18684" s="18"/>
    </row>
    <row r="18685" spans="5:6" ht="15" customHeight="1" x14ac:dyDescent="0.2">
      <c r="E18685" s="18"/>
      <c r="F18685" s="18"/>
    </row>
    <row r="18686" spans="5:6" ht="15" customHeight="1" x14ac:dyDescent="0.2">
      <c r="E18686" s="18"/>
      <c r="F18686" s="18"/>
    </row>
    <row r="18687" spans="5:6" ht="15" customHeight="1" x14ac:dyDescent="0.2">
      <c r="E18687" s="18"/>
      <c r="F18687" s="18"/>
    </row>
    <row r="18688" spans="5:6" ht="15" customHeight="1" x14ac:dyDescent="0.2">
      <c r="E18688" s="18"/>
      <c r="F18688" s="18"/>
    </row>
    <row r="18689" spans="5:6" ht="15" customHeight="1" x14ac:dyDescent="0.2">
      <c r="E18689" s="18"/>
      <c r="F18689" s="18"/>
    </row>
    <row r="18690" spans="5:6" ht="15" customHeight="1" x14ac:dyDescent="0.2">
      <c r="E18690" s="18"/>
      <c r="F18690" s="18"/>
    </row>
    <row r="18691" spans="5:6" ht="15" customHeight="1" x14ac:dyDescent="0.2">
      <c r="E18691" s="18"/>
      <c r="F18691" s="18"/>
    </row>
    <row r="18692" spans="5:6" ht="15" customHeight="1" x14ac:dyDescent="0.2">
      <c r="E18692" s="18"/>
      <c r="F18692" s="18"/>
    </row>
    <row r="18693" spans="5:6" ht="15" customHeight="1" x14ac:dyDescent="0.2">
      <c r="E18693" s="18"/>
      <c r="F18693" s="18"/>
    </row>
    <row r="18694" spans="5:6" ht="15" customHeight="1" x14ac:dyDescent="0.2">
      <c r="E18694" s="18"/>
      <c r="F18694" s="18"/>
    </row>
    <row r="18695" spans="5:6" ht="15" customHeight="1" x14ac:dyDescent="0.2">
      <c r="E18695" s="18"/>
      <c r="F18695" s="18"/>
    </row>
    <row r="18696" spans="5:6" ht="15" customHeight="1" x14ac:dyDescent="0.2">
      <c r="E18696" s="18"/>
      <c r="F18696" s="18"/>
    </row>
    <row r="18697" spans="5:6" ht="15" customHeight="1" x14ac:dyDescent="0.2">
      <c r="E18697" s="18"/>
      <c r="F18697" s="18"/>
    </row>
    <row r="18698" spans="5:6" ht="15" customHeight="1" x14ac:dyDescent="0.2">
      <c r="E18698" s="18"/>
      <c r="F18698" s="18"/>
    </row>
    <row r="18699" spans="5:6" ht="15" customHeight="1" x14ac:dyDescent="0.2">
      <c r="E18699" s="18"/>
      <c r="F18699" s="18"/>
    </row>
    <row r="18700" spans="5:6" ht="15" customHeight="1" x14ac:dyDescent="0.2">
      <c r="E18700" s="18"/>
      <c r="F18700" s="18"/>
    </row>
    <row r="18701" spans="5:6" ht="15" customHeight="1" x14ac:dyDescent="0.2">
      <c r="E18701" s="18"/>
      <c r="F18701" s="18"/>
    </row>
    <row r="18702" spans="5:6" ht="15" customHeight="1" x14ac:dyDescent="0.2">
      <c r="E18702" s="18"/>
      <c r="F18702" s="18"/>
    </row>
    <row r="18703" spans="5:6" ht="15" customHeight="1" x14ac:dyDescent="0.2">
      <c r="E18703" s="18"/>
      <c r="F18703" s="18"/>
    </row>
    <row r="18704" spans="5:6" ht="15" customHeight="1" x14ac:dyDescent="0.2">
      <c r="E18704" s="18"/>
      <c r="F18704" s="18"/>
    </row>
    <row r="18705" spans="5:6" ht="15" customHeight="1" x14ac:dyDescent="0.2">
      <c r="E18705" s="18"/>
      <c r="F18705" s="18"/>
    </row>
    <row r="18706" spans="5:6" ht="15" customHeight="1" x14ac:dyDescent="0.2">
      <c r="E18706" s="18"/>
      <c r="F18706" s="18"/>
    </row>
    <row r="18707" spans="5:6" ht="15" customHeight="1" x14ac:dyDescent="0.2">
      <c r="E18707" s="18"/>
      <c r="F18707" s="18"/>
    </row>
    <row r="18708" spans="5:6" ht="15" customHeight="1" x14ac:dyDescent="0.2">
      <c r="E18708" s="18"/>
      <c r="F18708" s="18"/>
    </row>
    <row r="18709" spans="5:6" ht="15" customHeight="1" x14ac:dyDescent="0.2">
      <c r="E18709" s="18"/>
      <c r="F18709" s="18"/>
    </row>
    <row r="18710" spans="5:6" ht="15" customHeight="1" x14ac:dyDescent="0.2">
      <c r="E18710" s="18"/>
      <c r="F18710" s="18"/>
    </row>
    <row r="18711" spans="5:6" ht="15" customHeight="1" x14ac:dyDescent="0.2">
      <c r="E18711" s="18"/>
      <c r="F18711" s="18"/>
    </row>
    <row r="18712" spans="5:6" ht="15" customHeight="1" x14ac:dyDescent="0.2">
      <c r="E18712" s="18"/>
      <c r="F18712" s="18"/>
    </row>
    <row r="18713" spans="5:6" ht="15" customHeight="1" x14ac:dyDescent="0.2">
      <c r="E18713" s="18"/>
      <c r="F18713" s="18"/>
    </row>
    <row r="18714" spans="5:6" ht="15" customHeight="1" x14ac:dyDescent="0.2">
      <c r="E18714" s="18"/>
      <c r="F18714" s="18"/>
    </row>
    <row r="18715" spans="5:6" ht="15" customHeight="1" x14ac:dyDescent="0.2">
      <c r="E18715" s="18"/>
      <c r="F18715" s="18"/>
    </row>
    <row r="18716" spans="5:6" ht="15" customHeight="1" x14ac:dyDescent="0.2">
      <c r="E18716" s="18"/>
      <c r="F18716" s="18"/>
    </row>
    <row r="18717" spans="5:6" ht="15" customHeight="1" x14ac:dyDescent="0.2">
      <c r="E18717" s="18"/>
      <c r="F18717" s="18"/>
    </row>
    <row r="18718" spans="5:6" ht="15" customHeight="1" x14ac:dyDescent="0.2">
      <c r="E18718" s="18"/>
      <c r="F18718" s="18"/>
    </row>
    <row r="18719" spans="5:6" ht="15" customHeight="1" x14ac:dyDescent="0.2">
      <c r="E18719" s="18"/>
      <c r="F18719" s="18"/>
    </row>
    <row r="18720" spans="5:6" ht="15" customHeight="1" x14ac:dyDescent="0.2">
      <c r="E18720" s="18"/>
      <c r="F18720" s="18"/>
    </row>
    <row r="18721" spans="5:6" ht="15" customHeight="1" x14ac:dyDescent="0.2">
      <c r="E18721" s="18"/>
      <c r="F18721" s="18"/>
    </row>
    <row r="18722" spans="5:6" ht="15" customHeight="1" x14ac:dyDescent="0.2">
      <c r="E18722" s="18"/>
      <c r="F18722" s="18"/>
    </row>
    <row r="18723" spans="5:6" ht="15" customHeight="1" x14ac:dyDescent="0.2">
      <c r="E18723" s="18"/>
      <c r="F18723" s="18"/>
    </row>
    <row r="18724" spans="5:6" ht="15" customHeight="1" x14ac:dyDescent="0.2">
      <c r="E18724" s="18"/>
      <c r="F18724" s="18"/>
    </row>
    <row r="18725" spans="5:6" ht="15" customHeight="1" x14ac:dyDescent="0.2">
      <c r="E18725" s="18"/>
      <c r="F18725" s="18"/>
    </row>
    <row r="18726" spans="5:6" ht="15" customHeight="1" x14ac:dyDescent="0.2">
      <c r="E18726" s="18"/>
      <c r="F18726" s="18"/>
    </row>
    <row r="18727" spans="5:6" ht="15" customHeight="1" x14ac:dyDescent="0.2">
      <c r="E18727" s="18"/>
      <c r="F18727" s="18"/>
    </row>
    <row r="18728" spans="5:6" ht="15" customHeight="1" x14ac:dyDescent="0.2">
      <c r="E18728" s="18"/>
      <c r="F18728" s="18"/>
    </row>
    <row r="18729" spans="5:6" ht="15" customHeight="1" x14ac:dyDescent="0.2">
      <c r="E18729" s="18"/>
      <c r="F18729" s="18"/>
    </row>
    <row r="18730" spans="5:6" ht="15" customHeight="1" x14ac:dyDescent="0.2">
      <c r="E18730" s="18"/>
      <c r="F18730" s="18"/>
    </row>
    <row r="18731" spans="5:6" ht="15" customHeight="1" x14ac:dyDescent="0.2">
      <c r="E18731" s="18"/>
      <c r="F18731" s="18"/>
    </row>
    <row r="18732" spans="5:6" ht="15" customHeight="1" x14ac:dyDescent="0.2">
      <c r="E18732" s="18"/>
      <c r="F18732" s="18"/>
    </row>
    <row r="18733" spans="5:6" ht="15" customHeight="1" x14ac:dyDescent="0.2">
      <c r="E18733" s="18"/>
      <c r="F18733" s="18"/>
    </row>
    <row r="18734" spans="5:6" ht="15" customHeight="1" x14ac:dyDescent="0.2">
      <c r="E18734" s="18"/>
      <c r="F18734" s="18"/>
    </row>
    <row r="18735" spans="5:6" ht="15" customHeight="1" x14ac:dyDescent="0.2">
      <c r="E18735" s="18"/>
      <c r="F18735" s="18"/>
    </row>
    <row r="18736" spans="5:6" ht="15" customHeight="1" x14ac:dyDescent="0.2">
      <c r="E18736" s="18"/>
      <c r="F18736" s="18"/>
    </row>
    <row r="18737" spans="5:6" ht="15" customHeight="1" x14ac:dyDescent="0.2">
      <c r="E18737" s="18"/>
      <c r="F18737" s="18"/>
    </row>
    <row r="18738" spans="5:6" ht="15" customHeight="1" x14ac:dyDescent="0.2">
      <c r="E18738" s="18"/>
      <c r="F18738" s="18"/>
    </row>
    <row r="18739" spans="5:6" ht="15" customHeight="1" x14ac:dyDescent="0.2">
      <c r="E18739" s="18"/>
      <c r="F18739" s="18"/>
    </row>
    <row r="18740" spans="5:6" ht="15" customHeight="1" x14ac:dyDescent="0.2">
      <c r="E18740" s="18"/>
      <c r="F18740" s="18"/>
    </row>
    <row r="18741" spans="5:6" ht="15" customHeight="1" x14ac:dyDescent="0.2">
      <c r="E18741" s="18"/>
      <c r="F18741" s="18"/>
    </row>
    <row r="18742" spans="5:6" ht="15" customHeight="1" x14ac:dyDescent="0.2">
      <c r="E18742" s="18"/>
      <c r="F18742" s="18"/>
    </row>
    <row r="18743" spans="5:6" ht="15" customHeight="1" x14ac:dyDescent="0.2">
      <c r="E18743" s="18"/>
      <c r="F18743" s="18"/>
    </row>
    <row r="18744" spans="5:6" ht="15" customHeight="1" x14ac:dyDescent="0.2">
      <c r="E18744" s="18"/>
      <c r="F18744" s="18"/>
    </row>
    <row r="18745" spans="5:6" ht="15" customHeight="1" x14ac:dyDescent="0.2">
      <c r="E18745" s="18"/>
      <c r="F18745" s="18"/>
    </row>
    <row r="18746" spans="5:6" ht="15" customHeight="1" x14ac:dyDescent="0.2">
      <c r="E18746" s="18"/>
      <c r="F18746" s="18"/>
    </row>
    <row r="18747" spans="5:6" ht="15" customHeight="1" x14ac:dyDescent="0.2">
      <c r="E18747" s="18"/>
      <c r="F18747" s="18"/>
    </row>
    <row r="18748" spans="5:6" ht="15" customHeight="1" x14ac:dyDescent="0.2">
      <c r="E18748" s="18"/>
      <c r="F18748" s="18"/>
    </row>
    <row r="18749" spans="5:6" ht="15" customHeight="1" x14ac:dyDescent="0.2">
      <c r="E18749" s="18"/>
      <c r="F18749" s="18"/>
    </row>
    <row r="18750" spans="5:6" ht="15" customHeight="1" x14ac:dyDescent="0.2">
      <c r="E18750" s="18"/>
      <c r="F18750" s="18"/>
    </row>
    <row r="18751" spans="5:6" ht="15" customHeight="1" x14ac:dyDescent="0.2">
      <c r="E18751" s="18"/>
      <c r="F18751" s="18"/>
    </row>
    <row r="18752" spans="5:6" ht="15" customHeight="1" x14ac:dyDescent="0.2">
      <c r="E18752" s="18"/>
      <c r="F18752" s="18"/>
    </row>
    <row r="18753" spans="5:6" ht="15" customHeight="1" x14ac:dyDescent="0.2">
      <c r="E18753" s="18"/>
      <c r="F18753" s="18"/>
    </row>
    <row r="18754" spans="5:6" ht="15" customHeight="1" x14ac:dyDescent="0.2">
      <c r="E18754" s="18"/>
      <c r="F18754" s="18"/>
    </row>
    <row r="18755" spans="5:6" ht="15" customHeight="1" x14ac:dyDescent="0.2">
      <c r="E18755" s="18"/>
      <c r="F18755" s="18"/>
    </row>
    <row r="18756" spans="5:6" ht="15" customHeight="1" x14ac:dyDescent="0.2">
      <c r="E18756" s="18"/>
      <c r="F18756" s="18"/>
    </row>
    <row r="18757" spans="5:6" ht="15" customHeight="1" x14ac:dyDescent="0.2">
      <c r="E18757" s="18"/>
      <c r="F18757" s="18"/>
    </row>
    <row r="18758" spans="5:6" ht="15" customHeight="1" x14ac:dyDescent="0.2">
      <c r="E18758" s="18"/>
      <c r="F18758" s="18"/>
    </row>
    <row r="18759" spans="5:6" ht="15" customHeight="1" x14ac:dyDescent="0.2">
      <c r="E18759" s="18"/>
      <c r="F18759" s="18"/>
    </row>
    <row r="18760" spans="5:6" ht="15" customHeight="1" x14ac:dyDescent="0.2">
      <c r="E18760" s="18"/>
      <c r="F18760" s="18"/>
    </row>
    <row r="18761" spans="5:6" ht="15" customHeight="1" x14ac:dyDescent="0.2">
      <c r="E18761" s="18"/>
      <c r="F18761" s="18"/>
    </row>
    <row r="18762" spans="5:6" ht="15" customHeight="1" x14ac:dyDescent="0.2">
      <c r="E18762" s="18"/>
      <c r="F18762" s="18"/>
    </row>
    <row r="18763" spans="5:6" ht="15" customHeight="1" x14ac:dyDescent="0.2">
      <c r="E18763" s="18"/>
      <c r="F18763" s="18"/>
    </row>
    <row r="18764" spans="5:6" ht="15" customHeight="1" x14ac:dyDescent="0.2">
      <c r="E18764" s="18"/>
      <c r="F18764" s="18"/>
    </row>
    <row r="18765" spans="5:6" ht="15" customHeight="1" x14ac:dyDescent="0.2">
      <c r="E18765" s="18"/>
      <c r="F18765" s="18"/>
    </row>
    <row r="18766" spans="5:6" ht="15" customHeight="1" x14ac:dyDescent="0.2">
      <c r="E18766" s="18"/>
      <c r="F18766" s="18"/>
    </row>
    <row r="18767" spans="5:6" ht="15" customHeight="1" x14ac:dyDescent="0.2">
      <c r="E18767" s="18"/>
      <c r="F18767" s="18"/>
    </row>
    <row r="18768" spans="5:6" ht="15" customHeight="1" x14ac:dyDescent="0.2">
      <c r="E18768" s="18"/>
      <c r="F18768" s="18"/>
    </row>
    <row r="18769" spans="5:6" ht="15" customHeight="1" x14ac:dyDescent="0.2">
      <c r="E18769" s="18"/>
      <c r="F18769" s="18"/>
    </row>
    <row r="18770" spans="5:6" ht="15" customHeight="1" x14ac:dyDescent="0.2">
      <c r="E18770" s="18"/>
      <c r="F18770" s="18"/>
    </row>
    <row r="18771" spans="5:6" ht="15" customHeight="1" x14ac:dyDescent="0.2">
      <c r="E18771" s="18"/>
      <c r="F18771" s="18"/>
    </row>
    <row r="18772" spans="5:6" ht="15" customHeight="1" x14ac:dyDescent="0.2">
      <c r="E18772" s="18"/>
      <c r="F18772" s="18"/>
    </row>
    <row r="18773" spans="5:6" ht="15" customHeight="1" x14ac:dyDescent="0.2">
      <c r="E18773" s="18"/>
      <c r="F18773" s="18"/>
    </row>
    <row r="18774" spans="5:6" ht="15" customHeight="1" x14ac:dyDescent="0.2">
      <c r="E18774" s="18"/>
      <c r="F18774" s="18"/>
    </row>
    <row r="18775" spans="5:6" ht="15" customHeight="1" x14ac:dyDescent="0.2">
      <c r="E18775" s="18"/>
      <c r="F18775" s="18"/>
    </row>
    <row r="18776" spans="5:6" ht="15" customHeight="1" x14ac:dyDescent="0.2">
      <c r="E18776" s="18"/>
      <c r="F18776" s="18"/>
    </row>
    <row r="18777" spans="5:6" ht="15" customHeight="1" x14ac:dyDescent="0.2">
      <c r="E18777" s="18"/>
      <c r="F18777" s="18"/>
    </row>
    <row r="18778" spans="5:6" ht="15" customHeight="1" x14ac:dyDescent="0.2">
      <c r="E18778" s="18"/>
      <c r="F18778" s="18"/>
    </row>
    <row r="18779" spans="5:6" ht="15" customHeight="1" x14ac:dyDescent="0.2">
      <c r="E18779" s="18"/>
      <c r="F18779" s="18"/>
    </row>
    <row r="18780" spans="5:6" ht="15" customHeight="1" x14ac:dyDescent="0.2">
      <c r="E18780" s="18"/>
      <c r="F18780" s="18"/>
    </row>
    <row r="18781" spans="5:6" ht="15" customHeight="1" x14ac:dyDescent="0.2">
      <c r="E18781" s="18"/>
      <c r="F18781" s="18"/>
    </row>
    <row r="18782" spans="5:6" ht="15" customHeight="1" x14ac:dyDescent="0.2">
      <c r="E18782" s="18"/>
      <c r="F18782" s="18"/>
    </row>
    <row r="18783" spans="5:6" ht="15" customHeight="1" x14ac:dyDescent="0.2">
      <c r="E18783" s="18"/>
      <c r="F18783" s="18"/>
    </row>
    <row r="18784" spans="5:6" ht="15" customHeight="1" x14ac:dyDescent="0.2">
      <c r="E18784" s="18"/>
      <c r="F18784" s="18"/>
    </row>
    <row r="18785" spans="5:6" ht="15" customHeight="1" x14ac:dyDescent="0.2">
      <c r="E18785" s="18"/>
      <c r="F18785" s="18"/>
    </row>
    <row r="18786" spans="5:6" ht="15" customHeight="1" x14ac:dyDescent="0.2">
      <c r="E18786" s="18"/>
      <c r="F18786" s="18"/>
    </row>
    <row r="18787" spans="5:6" ht="15" customHeight="1" x14ac:dyDescent="0.2">
      <c r="E18787" s="18"/>
      <c r="F18787" s="18"/>
    </row>
    <row r="18788" spans="5:6" ht="15" customHeight="1" x14ac:dyDescent="0.2">
      <c r="E18788" s="18"/>
      <c r="F18788" s="18"/>
    </row>
    <row r="18789" spans="5:6" ht="15" customHeight="1" x14ac:dyDescent="0.2">
      <c r="E18789" s="18"/>
      <c r="F18789" s="18"/>
    </row>
    <row r="18790" spans="5:6" ht="15" customHeight="1" x14ac:dyDescent="0.2">
      <c r="E18790" s="18"/>
      <c r="F18790" s="18"/>
    </row>
    <row r="18791" spans="5:6" ht="15" customHeight="1" x14ac:dyDescent="0.2">
      <c r="E18791" s="18"/>
      <c r="F18791" s="18"/>
    </row>
    <row r="18792" spans="5:6" ht="15" customHeight="1" x14ac:dyDescent="0.2">
      <c r="E18792" s="18"/>
      <c r="F18792" s="18"/>
    </row>
    <row r="18793" spans="5:6" ht="15" customHeight="1" x14ac:dyDescent="0.2">
      <c r="E18793" s="18"/>
      <c r="F18793" s="18"/>
    </row>
    <row r="18794" spans="5:6" ht="15" customHeight="1" x14ac:dyDescent="0.2">
      <c r="E18794" s="18"/>
      <c r="F18794" s="18"/>
    </row>
    <row r="18795" spans="5:6" ht="15" customHeight="1" x14ac:dyDescent="0.2">
      <c r="E18795" s="18"/>
      <c r="F18795" s="18"/>
    </row>
    <row r="18796" spans="5:6" ht="15" customHeight="1" x14ac:dyDescent="0.2">
      <c r="E18796" s="18"/>
      <c r="F18796" s="18"/>
    </row>
    <row r="18797" spans="5:6" ht="15" customHeight="1" x14ac:dyDescent="0.2">
      <c r="E18797" s="18"/>
      <c r="F18797" s="18"/>
    </row>
    <row r="18798" spans="5:6" ht="15" customHeight="1" x14ac:dyDescent="0.2">
      <c r="E18798" s="18"/>
      <c r="F18798" s="18"/>
    </row>
    <row r="18799" spans="5:6" ht="15" customHeight="1" x14ac:dyDescent="0.2">
      <c r="E18799" s="18"/>
      <c r="F18799" s="18"/>
    </row>
    <row r="18800" spans="5:6" ht="15" customHeight="1" x14ac:dyDescent="0.2">
      <c r="E18800" s="18"/>
      <c r="F18800" s="18"/>
    </row>
    <row r="18801" spans="5:6" ht="15" customHeight="1" x14ac:dyDescent="0.2">
      <c r="E18801" s="18"/>
      <c r="F18801" s="18"/>
    </row>
    <row r="18802" spans="5:6" ht="15" customHeight="1" x14ac:dyDescent="0.2">
      <c r="E18802" s="18"/>
      <c r="F18802" s="18"/>
    </row>
    <row r="18803" spans="5:6" ht="15" customHeight="1" x14ac:dyDescent="0.2">
      <c r="E18803" s="18"/>
      <c r="F18803" s="18"/>
    </row>
    <row r="18804" spans="5:6" ht="15" customHeight="1" x14ac:dyDescent="0.2">
      <c r="E18804" s="18"/>
      <c r="F18804" s="18"/>
    </row>
    <row r="18805" spans="5:6" ht="15" customHeight="1" x14ac:dyDescent="0.2">
      <c r="E18805" s="18"/>
      <c r="F18805" s="18"/>
    </row>
    <row r="18806" spans="5:6" ht="15" customHeight="1" x14ac:dyDescent="0.2">
      <c r="E18806" s="18"/>
      <c r="F18806" s="18"/>
    </row>
    <row r="18807" spans="5:6" ht="15" customHeight="1" x14ac:dyDescent="0.2">
      <c r="E18807" s="18"/>
      <c r="F18807" s="18"/>
    </row>
    <row r="18808" spans="5:6" ht="15" customHeight="1" x14ac:dyDescent="0.2">
      <c r="E18808" s="18"/>
      <c r="F18808" s="18"/>
    </row>
    <row r="18809" spans="5:6" ht="15" customHeight="1" x14ac:dyDescent="0.2">
      <c r="E18809" s="18"/>
      <c r="F18809" s="18"/>
    </row>
    <row r="18810" spans="5:6" ht="15" customHeight="1" x14ac:dyDescent="0.2">
      <c r="E18810" s="18"/>
      <c r="F18810" s="18"/>
    </row>
    <row r="18811" spans="5:6" ht="15" customHeight="1" x14ac:dyDescent="0.2">
      <c r="E18811" s="18"/>
      <c r="F18811" s="18"/>
    </row>
    <row r="18812" spans="5:6" ht="15" customHeight="1" x14ac:dyDescent="0.2">
      <c r="E18812" s="18"/>
      <c r="F18812" s="18"/>
    </row>
    <row r="18813" spans="5:6" ht="15" customHeight="1" x14ac:dyDescent="0.2">
      <c r="E18813" s="18"/>
      <c r="F18813" s="18"/>
    </row>
    <row r="18814" spans="5:6" ht="15" customHeight="1" x14ac:dyDescent="0.2">
      <c r="E18814" s="18"/>
      <c r="F18814" s="18"/>
    </row>
    <row r="18815" spans="5:6" ht="15" customHeight="1" x14ac:dyDescent="0.2">
      <c r="E18815" s="18"/>
      <c r="F18815" s="18"/>
    </row>
    <row r="18816" spans="5:6" ht="15" customHeight="1" x14ac:dyDescent="0.2">
      <c r="E18816" s="18"/>
      <c r="F18816" s="18"/>
    </row>
    <row r="18817" spans="5:6" ht="15" customHeight="1" x14ac:dyDescent="0.2">
      <c r="E18817" s="18"/>
      <c r="F18817" s="18"/>
    </row>
    <row r="18818" spans="5:6" ht="15" customHeight="1" x14ac:dyDescent="0.2">
      <c r="E18818" s="18"/>
      <c r="F18818" s="18"/>
    </row>
    <row r="18819" spans="5:6" ht="15" customHeight="1" x14ac:dyDescent="0.2">
      <c r="E18819" s="18"/>
      <c r="F18819" s="18"/>
    </row>
    <row r="18820" spans="5:6" ht="15" customHeight="1" x14ac:dyDescent="0.2">
      <c r="E18820" s="18"/>
      <c r="F18820" s="18"/>
    </row>
    <row r="18821" spans="5:6" ht="15" customHeight="1" x14ac:dyDescent="0.2">
      <c r="E18821" s="18"/>
      <c r="F18821" s="18"/>
    </row>
    <row r="18822" spans="5:6" ht="15" customHeight="1" x14ac:dyDescent="0.2">
      <c r="E18822" s="18"/>
      <c r="F18822" s="18"/>
    </row>
    <row r="18823" spans="5:6" ht="15" customHeight="1" x14ac:dyDescent="0.2">
      <c r="E18823" s="18"/>
      <c r="F18823" s="18"/>
    </row>
    <row r="18824" spans="5:6" ht="15" customHeight="1" x14ac:dyDescent="0.2">
      <c r="E18824" s="18"/>
      <c r="F18824" s="18"/>
    </row>
    <row r="18825" spans="5:6" ht="15" customHeight="1" x14ac:dyDescent="0.2">
      <c r="E18825" s="18"/>
      <c r="F18825" s="18"/>
    </row>
    <row r="18826" spans="5:6" ht="15" customHeight="1" x14ac:dyDescent="0.2">
      <c r="E18826" s="18"/>
      <c r="F18826" s="18"/>
    </row>
    <row r="18827" spans="5:6" ht="15" customHeight="1" x14ac:dyDescent="0.2">
      <c r="E18827" s="18"/>
      <c r="F18827" s="18"/>
    </row>
    <row r="18828" spans="5:6" ht="15" customHeight="1" x14ac:dyDescent="0.2">
      <c r="E18828" s="18"/>
      <c r="F18828" s="18"/>
    </row>
    <row r="18829" spans="5:6" ht="15" customHeight="1" x14ac:dyDescent="0.2">
      <c r="E18829" s="18"/>
      <c r="F18829" s="18"/>
    </row>
    <row r="18830" spans="5:6" ht="15" customHeight="1" x14ac:dyDescent="0.2">
      <c r="E18830" s="18"/>
      <c r="F18830" s="18"/>
    </row>
    <row r="18831" spans="5:6" ht="15" customHeight="1" x14ac:dyDescent="0.2">
      <c r="E18831" s="18"/>
      <c r="F18831" s="18"/>
    </row>
    <row r="18832" spans="5:6" ht="15" customHeight="1" x14ac:dyDescent="0.2">
      <c r="E18832" s="18"/>
      <c r="F18832" s="18"/>
    </row>
    <row r="18833" spans="5:6" ht="15" customHeight="1" x14ac:dyDescent="0.2">
      <c r="E18833" s="18"/>
      <c r="F18833" s="18"/>
    </row>
    <row r="18834" spans="5:6" ht="15" customHeight="1" x14ac:dyDescent="0.2">
      <c r="E18834" s="18"/>
      <c r="F18834" s="18"/>
    </row>
    <row r="18835" spans="5:6" ht="15" customHeight="1" x14ac:dyDescent="0.2">
      <c r="E18835" s="18"/>
      <c r="F18835" s="18"/>
    </row>
    <row r="18836" spans="5:6" ht="15" customHeight="1" x14ac:dyDescent="0.2">
      <c r="E18836" s="18"/>
      <c r="F18836" s="18"/>
    </row>
    <row r="18837" spans="5:6" ht="15" customHeight="1" x14ac:dyDescent="0.2">
      <c r="E18837" s="18"/>
      <c r="F18837" s="18"/>
    </row>
    <row r="18838" spans="5:6" ht="15" customHeight="1" x14ac:dyDescent="0.2">
      <c r="E18838" s="18"/>
      <c r="F18838" s="18"/>
    </row>
    <row r="18839" spans="5:6" ht="15" customHeight="1" x14ac:dyDescent="0.2">
      <c r="E18839" s="18"/>
      <c r="F18839" s="18"/>
    </row>
    <row r="18840" spans="5:6" ht="15" customHeight="1" x14ac:dyDescent="0.2">
      <c r="E18840" s="18"/>
      <c r="F18840" s="18"/>
    </row>
    <row r="18841" spans="5:6" ht="15" customHeight="1" x14ac:dyDescent="0.2">
      <c r="E18841" s="18"/>
      <c r="F18841" s="18"/>
    </row>
    <row r="18842" spans="5:6" ht="15" customHeight="1" x14ac:dyDescent="0.2">
      <c r="E18842" s="18"/>
      <c r="F18842" s="18"/>
    </row>
    <row r="18843" spans="5:6" ht="15" customHeight="1" x14ac:dyDescent="0.2">
      <c r="E18843" s="18"/>
      <c r="F18843" s="18"/>
    </row>
    <row r="18844" spans="5:6" ht="15" customHeight="1" x14ac:dyDescent="0.2">
      <c r="E18844" s="18"/>
      <c r="F18844" s="18"/>
    </row>
    <row r="18845" spans="5:6" ht="15" customHeight="1" x14ac:dyDescent="0.2">
      <c r="E18845" s="18"/>
      <c r="F18845" s="18"/>
    </row>
    <row r="18846" spans="5:6" ht="15" customHeight="1" x14ac:dyDescent="0.2">
      <c r="E18846" s="18"/>
      <c r="F18846" s="18"/>
    </row>
    <row r="18847" spans="5:6" ht="15" customHeight="1" x14ac:dyDescent="0.2">
      <c r="E18847" s="18"/>
      <c r="F18847" s="18"/>
    </row>
    <row r="18848" spans="5:6" ht="15" customHeight="1" x14ac:dyDescent="0.2">
      <c r="E18848" s="18"/>
      <c r="F18848" s="18"/>
    </row>
    <row r="18849" spans="5:6" ht="15" customHeight="1" x14ac:dyDescent="0.2">
      <c r="E18849" s="18"/>
      <c r="F18849" s="18"/>
    </row>
    <row r="18850" spans="5:6" ht="15" customHeight="1" x14ac:dyDescent="0.2">
      <c r="E18850" s="18"/>
      <c r="F18850" s="18"/>
    </row>
    <row r="18851" spans="5:6" ht="15" customHeight="1" x14ac:dyDescent="0.2">
      <c r="E18851" s="18"/>
      <c r="F18851" s="18"/>
    </row>
    <row r="18852" spans="5:6" ht="15" customHeight="1" x14ac:dyDescent="0.2">
      <c r="E18852" s="18"/>
      <c r="F18852" s="18"/>
    </row>
    <row r="18853" spans="5:6" ht="15" customHeight="1" x14ac:dyDescent="0.2">
      <c r="E18853" s="18"/>
      <c r="F18853" s="18"/>
    </row>
    <row r="18854" spans="5:6" ht="15" customHeight="1" x14ac:dyDescent="0.2">
      <c r="E18854" s="18"/>
      <c r="F18854" s="18"/>
    </row>
    <row r="18855" spans="5:6" ht="15" customHeight="1" x14ac:dyDescent="0.2">
      <c r="E18855" s="18"/>
      <c r="F18855" s="18"/>
    </row>
    <row r="18856" spans="5:6" ht="15" customHeight="1" x14ac:dyDescent="0.2">
      <c r="E18856" s="18"/>
      <c r="F18856" s="18"/>
    </row>
    <row r="18857" spans="5:6" ht="15" customHeight="1" x14ac:dyDescent="0.2">
      <c r="E18857" s="18"/>
      <c r="F18857" s="18"/>
    </row>
    <row r="18858" spans="5:6" ht="15" customHeight="1" x14ac:dyDescent="0.2">
      <c r="E18858" s="18"/>
      <c r="F18858" s="18"/>
    </row>
    <row r="18859" spans="5:6" ht="15" customHeight="1" x14ac:dyDescent="0.2">
      <c r="E18859" s="18"/>
      <c r="F18859" s="18"/>
    </row>
    <row r="18860" spans="5:6" ht="15" customHeight="1" x14ac:dyDescent="0.2">
      <c r="E18860" s="18"/>
      <c r="F18860" s="18"/>
    </row>
    <row r="18861" spans="5:6" ht="15" customHeight="1" x14ac:dyDescent="0.2">
      <c r="E18861" s="18"/>
      <c r="F18861" s="18"/>
    </row>
    <row r="18862" spans="5:6" ht="15" customHeight="1" x14ac:dyDescent="0.2">
      <c r="E18862" s="18"/>
      <c r="F18862" s="18"/>
    </row>
    <row r="18863" spans="5:6" ht="15" customHeight="1" x14ac:dyDescent="0.2">
      <c r="E18863" s="18"/>
      <c r="F18863" s="18"/>
    </row>
    <row r="18864" spans="5:6" ht="15" customHeight="1" x14ac:dyDescent="0.2">
      <c r="E18864" s="18"/>
      <c r="F18864" s="18"/>
    </row>
    <row r="18865" spans="5:6" ht="15" customHeight="1" x14ac:dyDescent="0.2">
      <c r="E18865" s="18"/>
      <c r="F18865" s="18"/>
    </row>
    <row r="18866" spans="5:6" ht="15" customHeight="1" x14ac:dyDescent="0.2">
      <c r="E18866" s="18"/>
      <c r="F18866" s="18"/>
    </row>
    <row r="18867" spans="5:6" ht="15" customHeight="1" x14ac:dyDescent="0.2">
      <c r="E18867" s="18"/>
      <c r="F18867" s="18"/>
    </row>
    <row r="18868" spans="5:6" ht="15" customHeight="1" x14ac:dyDescent="0.2">
      <c r="E18868" s="18"/>
      <c r="F18868" s="18"/>
    </row>
    <row r="18869" spans="5:6" ht="15" customHeight="1" x14ac:dyDescent="0.2">
      <c r="E18869" s="18"/>
      <c r="F18869" s="18"/>
    </row>
    <row r="18870" spans="5:6" ht="15" customHeight="1" x14ac:dyDescent="0.2">
      <c r="E18870" s="18"/>
      <c r="F18870" s="18"/>
    </row>
    <row r="18871" spans="5:6" ht="15" customHeight="1" x14ac:dyDescent="0.2">
      <c r="E18871" s="18"/>
      <c r="F18871" s="18"/>
    </row>
    <row r="18872" spans="5:6" ht="15" customHeight="1" x14ac:dyDescent="0.2">
      <c r="E18872" s="18"/>
      <c r="F18872" s="18"/>
    </row>
    <row r="18873" spans="5:6" ht="15" customHeight="1" x14ac:dyDescent="0.2">
      <c r="E18873" s="18"/>
      <c r="F18873" s="18"/>
    </row>
    <row r="18874" spans="5:6" ht="15" customHeight="1" x14ac:dyDescent="0.2">
      <c r="E18874" s="18"/>
      <c r="F18874" s="18"/>
    </row>
    <row r="18875" spans="5:6" ht="15" customHeight="1" x14ac:dyDescent="0.2">
      <c r="E18875" s="18"/>
      <c r="F18875" s="18"/>
    </row>
    <row r="18876" spans="5:6" ht="15" customHeight="1" x14ac:dyDescent="0.2">
      <c r="E18876" s="18"/>
      <c r="F18876" s="18"/>
    </row>
    <row r="18877" spans="5:6" ht="15" customHeight="1" x14ac:dyDescent="0.2">
      <c r="E18877" s="18"/>
      <c r="F18877" s="18"/>
    </row>
    <row r="18878" spans="5:6" ht="15" customHeight="1" x14ac:dyDescent="0.2">
      <c r="E18878" s="18"/>
      <c r="F18878" s="18"/>
    </row>
    <row r="18879" spans="5:6" ht="15" customHeight="1" x14ac:dyDescent="0.2">
      <c r="E18879" s="18"/>
      <c r="F18879" s="18"/>
    </row>
    <row r="18880" spans="5:6" ht="15" customHeight="1" x14ac:dyDescent="0.2">
      <c r="E18880" s="18"/>
      <c r="F18880" s="18"/>
    </row>
    <row r="18881" spans="5:6" ht="15" customHeight="1" x14ac:dyDescent="0.2">
      <c r="E18881" s="18"/>
      <c r="F18881" s="18"/>
    </row>
    <row r="18882" spans="5:6" ht="15" customHeight="1" x14ac:dyDescent="0.2">
      <c r="E18882" s="18"/>
      <c r="F18882" s="18"/>
    </row>
    <row r="18883" spans="5:6" ht="15" customHeight="1" x14ac:dyDescent="0.2">
      <c r="E18883" s="18"/>
      <c r="F18883" s="18"/>
    </row>
    <row r="18884" spans="5:6" ht="15" customHeight="1" x14ac:dyDescent="0.2">
      <c r="E18884" s="18"/>
      <c r="F18884" s="18"/>
    </row>
    <row r="18885" spans="5:6" ht="15" customHeight="1" x14ac:dyDescent="0.2">
      <c r="E18885" s="18"/>
      <c r="F18885" s="18"/>
    </row>
    <row r="18886" spans="5:6" ht="15" customHeight="1" x14ac:dyDescent="0.2">
      <c r="E18886" s="18"/>
      <c r="F18886" s="18"/>
    </row>
    <row r="18887" spans="5:6" ht="15" customHeight="1" x14ac:dyDescent="0.2">
      <c r="E18887" s="18"/>
      <c r="F18887" s="18"/>
    </row>
    <row r="18888" spans="5:6" ht="15" customHeight="1" x14ac:dyDescent="0.2">
      <c r="E18888" s="18"/>
      <c r="F18888" s="18"/>
    </row>
    <row r="18889" spans="5:6" ht="15" customHeight="1" x14ac:dyDescent="0.2">
      <c r="E18889" s="18"/>
      <c r="F18889" s="18"/>
    </row>
    <row r="18890" spans="5:6" ht="15" customHeight="1" x14ac:dyDescent="0.2">
      <c r="E18890" s="18"/>
      <c r="F18890" s="18"/>
    </row>
    <row r="18891" spans="5:6" ht="15" customHeight="1" x14ac:dyDescent="0.2">
      <c r="E18891" s="18"/>
      <c r="F18891" s="18"/>
    </row>
    <row r="18892" spans="5:6" ht="15" customHeight="1" x14ac:dyDescent="0.2">
      <c r="E18892" s="18"/>
      <c r="F18892" s="18"/>
    </row>
    <row r="18893" spans="5:6" ht="15" customHeight="1" x14ac:dyDescent="0.2">
      <c r="E18893" s="18"/>
      <c r="F18893" s="18"/>
    </row>
    <row r="18894" spans="5:6" ht="15" customHeight="1" x14ac:dyDescent="0.2">
      <c r="E18894" s="18"/>
      <c r="F18894" s="18"/>
    </row>
    <row r="18895" spans="5:6" ht="15" customHeight="1" x14ac:dyDescent="0.2">
      <c r="E18895" s="18"/>
      <c r="F18895" s="18"/>
    </row>
    <row r="18896" spans="5:6" ht="15" customHeight="1" x14ac:dyDescent="0.2">
      <c r="E18896" s="18"/>
      <c r="F18896" s="18"/>
    </row>
    <row r="18897" spans="5:6" ht="15" customHeight="1" x14ac:dyDescent="0.2">
      <c r="E18897" s="18"/>
      <c r="F18897" s="18"/>
    </row>
    <row r="18898" spans="5:6" ht="15" customHeight="1" x14ac:dyDescent="0.2">
      <c r="E18898" s="18"/>
      <c r="F18898" s="18"/>
    </row>
    <row r="18899" spans="5:6" ht="15" customHeight="1" x14ac:dyDescent="0.2">
      <c r="E18899" s="18"/>
      <c r="F18899" s="18"/>
    </row>
    <row r="18900" spans="5:6" ht="15" customHeight="1" x14ac:dyDescent="0.2">
      <c r="E18900" s="18"/>
      <c r="F18900" s="18"/>
    </row>
    <row r="18901" spans="5:6" ht="15" customHeight="1" x14ac:dyDescent="0.2">
      <c r="E18901" s="18"/>
      <c r="F18901" s="18"/>
    </row>
    <row r="18902" spans="5:6" ht="15" customHeight="1" x14ac:dyDescent="0.2">
      <c r="E18902" s="18"/>
      <c r="F18902" s="18"/>
    </row>
    <row r="18903" spans="5:6" ht="15" customHeight="1" x14ac:dyDescent="0.2">
      <c r="E18903" s="18"/>
      <c r="F18903" s="18"/>
    </row>
    <row r="18904" spans="5:6" ht="15" customHeight="1" x14ac:dyDescent="0.2">
      <c r="E18904" s="18"/>
      <c r="F18904" s="18"/>
    </row>
    <row r="18905" spans="5:6" ht="15" customHeight="1" x14ac:dyDescent="0.2">
      <c r="E18905" s="18"/>
      <c r="F18905" s="18"/>
    </row>
    <row r="18906" spans="5:6" ht="15" customHeight="1" x14ac:dyDescent="0.2">
      <c r="E18906" s="18"/>
      <c r="F18906" s="18"/>
    </row>
    <row r="18907" spans="5:6" ht="15" customHeight="1" x14ac:dyDescent="0.2">
      <c r="E18907" s="18"/>
      <c r="F18907" s="18"/>
    </row>
    <row r="18908" spans="5:6" ht="15" customHeight="1" x14ac:dyDescent="0.2">
      <c r="E18908" s="18"/>
      <c r="F18908" s="18"/>
    </row>
    <row r="18909" spans="5:6" ht="15" customHeight="1" x14ac:dyDescent="0.2">
      <c r="E18909" s="18"/>
      <c r="F18909" s="18"/>
    </row>
    <row r="18910" spans="5:6" ht="15" customHeight="1" x14ac:dyDescent="0.2">
      <c r="E18910" s="18"/>
      <c r="F18910" s="18"/>
    </row>
    <row r="18911" spans="5:6" ht="15" customHeight="1" x14ac:dyDescent="0.2">
      <c r="E18911" s="18"/>
      <c r="F18911" s="18"/>
    </row>
    <row r="18912" spans="5:6" ht="15" customHeight="1" x14ac:dyDescent="0.2">
      <c r="E18912" s="18"/>
      <c r="F18912" s="18"/>
    </row>
    <row r="18913" spans="5:6" ht="15" customHeight="1" x14ac:dyDescent="0.2">
      <c r="E18913" s="18"/>
      <c r="F18913" s="18"/>
    </row>
    <row r="18914" spans="5:6" ht="15" customHeight="1" x14ac:dyDescent="0.2">
      <c r="E18914" s="18"/>
      <c r="F18914" s="18"/>
    </row>
    <row r="18915" spans="5:6" ht="15" customHeight="1" x14ac:dyDescent="0.2">
      <c r="E18915" s="18"/>
      <c r="F18915" s="18"/>
    </row>
    <row r="18916" spans="5:6" ht="15" customHeight="1" x14ac:dyDescent="0.2">
      <c r="E18916" s="18"/>
      <c r="F18916" s="18"/>
    </row>
    <row r="18917" spans="5:6" ht="15" customHeight="1" x14ac:dyDescent="0.2">
      <c r="E18917" s="18"/>
      <c r="F18917" s="18"/>
    </row>
    <row r="18918" spans="5:6" ht="15" customHeight="1" x14ac:dyDescent="0.2">
      <c r="E18918" s="18"/>
      <c r="F18918" s="18"/>
    </row>
    <row r="18919" spans="5:6" ht="15" customHeight="1" x14ac:dyDescent="0.2">
      <c r="E18919" s="18"/>
      <c r="F18919" s="18"/>
    </row>
    <row r="18920" spans="5:6" ht="15" customHeight="1" x14ac:dyDescent="0.2">
      <c r="E18920" s="18"/>
      <c r="F18920" s="18"/>
    </row>
    <row r="18921" spans="5:6" ht="15" customHeight="1" x14ac:dyDescent="0.2">
      <c r="E18921" s="18"/>
      <c r="F18921" s="18"/>
    </row>
    <row r="18922" spans="5:6" ht="15" customHeight="1" x14ac:dyDescent="0.2">
      <c r="E18922" s="18"/>
      <c r="F18922" s="18"/>
    </row>
    <row r="18923" spans="5:6" ht="15" customHeight="1" x14ac:dyDescent="0.2">
      <c r="E18923" s="18"/>
      <c r="F18923" s="18"/>
    </row>
    <row r="18924" spans="5:6" ht="15" customHeight="1" x14ac:dyDescent="0.2">
      <c r="E18924" s="18"/>
      <c r="F18924" s="18"/>
    </row>
    <row r="18925" spans="5:6" ht="15" customHeight="1" x14ac:dyDescent="0.2">
      <c r="E18925" s="18"/>
      <c r="F18925" s="18"/>
    </row>
    <row r="18926" spans="5:6" ht="15" customHeight="1" x14ac:dyDescent="0.2">
      <c r="E18926" s="18"/>
      <c r="F18926" s="18"/>
    </row>
    <row r="18927" spans="5:6" ht="15" customHeight="1" x14ac:dyDescent="0.2">
      <c r="E18927" s="18"/>
      <c r="F18927" s="18"/>
    </row>
    <row r="18928" spans="5:6" ht="15" customHeight="1" x14ac:dyDescent="0.2">
      <c r="E18928" s="18"/>
      <c r="F18928" s="18"/>
    </row>
    <row r="18929" spans="5:6" ht="15" customHeight="1" x14ac:dyDescent="0.2">
      <c r="E18929" s="18"/>
      <c r="F18929" s="18"/>
    </row>
    <row r="18930" spans="5:6" ht="15" customHeight="1" x14ac:dyDescent="0.2">
      <c r="E18930" s="18"/>
      <c r="F18930" s="18"/>
    </row>
    <row r="18931" spans="5:6" ht="15" customHeight="1" x14ac:dyDescent="0.2">
      <c r="E18931" s="18"/>
      <c r="F18931" s="18"/>
    </row>
    <row r="18932" spans="5:6" ht="15" customHeight="1" x14ac:dyDescent="0.2">
      <c r="E18932" s="18"/>
      <c r="F18932" s="18"/>
    </row>
    <row r="18933" spans="5:6" ht="15" customHeight="1" x14ac:dyDescent="0.2">
      <c r="E18933" s="18"/>
      <c r="F18933" s="18"/>
    </row>
    <row r="18934" spans="5:6" ht="15" customHeight="1" x14ac:dyDescent="0.2">
      <c r="E18934" s="18"/>
      <c r="F18934" s="18"/>
    </row>
    <row r="18935" spans="5:6" ht="15" customHeight="1" x14ac:dyDescent="0.2">
      <c r="E18935" s="18"/>
      <c r="F18935" s="18"/>
    </row>
    <row r="18936" spans="5:6" ht="15" customHeight="1" x14ac:dyDescent="0.2">
      <c r="E18936" s="18"/>
      <c r="F18936" s="18"/>
    </row>
    <row r="18937" spans="5:6" ht="15" customHeight="1" x14ac:dyDescent="0.2">
      <c r="E18937" s="18"/>
      <c r="F18937" s="18"/>
    </row>
    <row r="18938" spans="5:6" ht="15" customHeight="1" x14ac:dyDescent="0.2">
      <c r="E18938" s="18"/>
      <c r="F18938" s="18"/>
    </row>
    <row r="18939" spans="5:6" ht="15" customHeight="1" x14ac:dyDescent="0.2">
      <c r="E18939" s="18"/>
      <c r="F18939" s="18"/>
    </row>
    <row r="18940" spans="5:6" ht="15" customHeight="1" x14ac:dyDescent="0.2">
      <c r="E18940" s="18"/>
      <c r="F18940" s="18"/>
    </row>
    <row r="18941" spans="5:6" ht="15" customHeight="1" x14ac:dyDescent="0.2">
      <c r="E18941" s="18"/>
      <c r="F18941" s="18"/>
    </row>
    <row r="18942" spans="5:6" ht="15" customHeight="1" x14ac:dyDescent="0.2">
      <c r="E18942" s="18"/>
      <c r="F18942" s="18"/>
    </row>
    <row r="18943" spans="5:6" ht="15" customHeight="1" x14ac:dyDescent="0.2">
      <c r="E18943" s="18"/>
      <c r="F18943" s="18"/>
    </row>
    <row r="18944" spans="5:6" ht="15" customHeight="1" x14ac:dyDescent="0.2">
      <c r="E18944" s="18"/>
      <c r="F18944" s="18"/>
    </row>
    <row r="18945" spans="5:6" ht="15" customHeight="1" x14ac:dyDescent="0.2">
      <c r="E18945" s="18"/>
      <c r="F18945" s="18"/>
    </row>
    <row r="18946" spans="5:6" ht="15" customHeight="1" x14ac:dyDescent="0.2">
      <c r="E18946" s="18"/>
      <c r="F18946" s="18"/>
    </row>
    <row r="18947" spans="5:6" ht="15" customHeight="1" x14ac:dyDescent="0.2">
      <c r="E18947" s="18"/>
      <c r="F18947" s="18"/>
    </row>
    <row r="18948" spans="5:6" ht="15" customHeight="1" x14ac:dyDescent="0.2">
      <c r="E18948" s="18"/>
      <c r="F18948" s="18"/>
    </row>
    <row r="18949" spans="5:6" ht="15" customHeight="1" x14ac:dyDescent="0.2">
      <c r="E18949" s="18"/>
      <c r="F18949" s="18"/>
    </row>
    <row r="18950" spans="5:6" ht="15" customHeight="1" x14ac:dyDescent="0.2">
      <c r="E18950" s="18"/>
      <c r="F18950" s="18"/>
    </row>
    <row r="18951" spans="5:6" ht="15" customHeight="1" x14ac:dyDescent="0.2">
      <c r="E18951" s="18"/>
      <c r="F18951" s="18"/>
    </row>
    <row r="18952" spans="5:6" ht="15" customHeight="1" x14ac:dyDescent="0.2">
      <c r="E18952" s="18"/>
      <c r="F18952" s="18"/>
    </row>
    <row r="18953" spans="5:6" ht="15" customHeight="1" x14ac:dyDescent="0.2">
      <c r="E18953" s="18"/>
      <c r="F18953" s="18"/>
    </row>
    <row r="18954" spans="5:6" ht="15" customHeight="1" x14ac:dyDescent="0.2">
      <c r="E18954" s="18"/>
      <c r="F18954" s="18"/>
    </row>
    <row r="18955" spans="5:6" ht="15" customHeight="1" x14ac:dyDescent="0.2">
      <c r="E18955" s="18"/>
      <c r="F18955" s="18"/>
    </row>
    <row r="18956" spans="5:6" ht="15" customHeight="1" x14ac:dyDescent="0.2">
      <c r="E18956" s="18"/>
      <c r="F18956" s="18"/>
    </row>
    <row r="18957" spans="5:6" ht="15" customHeight="1" x14ac:dyDescent="0.2">
      <c r="E18957" s="18"/>
      <c r="F18957" s="18"/>
    </row>
    <row r="18958" spans="5:6" ht="15" customHeight="1" x14ac:dyDescent="0.2">
      <c r="E18958" s="18"/>
      <c r="F18958" s="18"/>
    </row>
    <row r="18959" spans="5:6" ht="15" customHeight="1" x14ac:dyDescent="0.2">
      <c r="E18959" s="18"/>
      <c r="F18959" s="18"/>
    </row>
    <row r="18960" spans="5:6" ht="15" customHeight="1" x14ac:dyDescent="0.2">
      <c r="E18960" s="18"/>
      <c r="F18960" s="18"/>
    </row>
    <row r="18961" spans="5:6" ht="15" customHeight="1" x14ac:dyDescent="0.2">
      <c r="E18961" s="18"/>
      <c r="F18961" s="18"/>
    </row>
    <row r="18962" spans="5:6" ht="15" customHeight="1" x14ac:dyDescent="0.2">
      <c r="E18962" s="18"/>
      <c r="F18962" s="18"/>
    </row>
    <row r="18963" spans="5:6" ht="15" customHeight="1" x14ac:dyDescent="0.2">
      <c r="E18963" s="18"/>
      <c r="F18963" s="18"/>
    </row>
    <row r="18964" spans="5:6" ht="15" customHeight="1" x14ac:dyDescent="0.2">
      <c r="E18964" s="18"/>
      <c r="F18964" s="18"/>
    </row>
    <row r="18965" spans="5:6" ht="15" customHeight="1" x14ac:dyDescent="0.2">
      <c r="E18965" s="18"/>
      <c r="F18965" s="18"/>
    </row>
    <row r="18966" spans="5:6" ht="15" customHeight="1" x14ac:dyDescent="0.2">
      <c r="E18966" s="18"/>
      <c r="F18966" s="18"/>
    </row>
    <row r="18967" spans="5:6" ht="15" customHeight="1" x14ac:dyDescent="0.2">
      <c r="E18967" s="18"/>
      <c r="F18967" s="18"/>
    </row>
    <row r="18968" spans="5:6" ht="15" customHeight="1" x14ac:dyDescent="0.2">
      <c r="E18968" s="18"/>
      <c r="F18968" s="18"/>
    </row>
    <row r="18969" spans="5:6" ht="15" customHeight="1" x14ac:dyDescent="0.2">
      <c r="E18969" s="18"/>
      <c r="F18969" s="18"/>
    </row>
    <row r="18970" spans="5:6" ht="15" customHeight="1" x14ac:dyDescent="0.2">
      <c r="E18970" s="18"/>
      <c r="F18970" s="18"/>
    </row>
    <row r="18971" spans="5:6" ht="15" customHeight="1" x14ac:dyDescent="0.2">
      <c r="E18971" s="18"/>
      <c r="F18971" s="18"/>
    </row>
    <row r="18972" spans="5:6" ht="15" customHeight="1" x14ac:dyDescent="0.2">
      <c r="E18972" s="18"/>
      <c r="F18972" s="18"/>
    </row>
    <row r="18973" spans="5:6" ht="15" customHeight="1" x14ac:dyDescent="0.2">
      <c r="E18973" s="18"/>
      <c r="F18973" s="18"/>
    </row>
    <row r="18974" spans="5:6" ht="15" customHeight="1" x14ac:dyDescent="0.2">
      <c r="E18974" s="18"/>
      <c r="F18974" s="18"/>
    </row>
    <row r="18975" spans="5:6" ht="15" customHeight="1" x14ac:dyDescent="0.2">
      <c r="E18975" s="18"/>
      <c r="F18975" s="18"/>
    </row>
    <row r="18976" spans="5:6" ht="15" customHeight="1" x14ac:dyDescent="0.2">
      <c r="E18976" s="18"/>
      <c r="F18976" s="18"/>
    </row>
    <row r="18977" spans="5:6" ht="15" customHeight="1" x14ac:dyDescent="0.2">
      <c r="E18977" s="18"/>
      <c r="F18977" s="18"/>
    </row>
    <row r="18978" spans="5:6" ht="15" customHeight="1" x14ac:dyDescent="0.2">
      <c r="E18978" s="18"/>
      <c r="F18978" s="18"/>
    </row>
    <row r="18979" spans="5:6" ht="15" customHeight="1" x14ac:dyDescent="0.2">
      <c r="E18979" s="18"/>
      <c r="F18979" s="18"/>
    </row>
    <row r="18980" spans="5:6" ht="15" customHeight="1" x14ac:dyDescent="0.2">
      <c r="E18980" s="18"/>
      <c r="F18980" s="18"/>
    </row>
    <row r="18981" spans="5:6" ht="15" customHeight="1" x14ac:dyDescent="0.2">
      <c r="E18981" s="18"/>
      <c r="F18981" s="18"/>
    </row>
    <row r="18982" spans="5:6" ht="15" customHeight="1" x14ac:dyDescent="0.2">
      <c r="E18982" s="18"/>
      <c r="F18982" s="18"/>
    </row>
    <row r="18983" spans="5:6" ht="15" customHeight="1" x14ac:dyDescent="0.2">
      <c r="E18983" s="18"/>
      <c r="F18983" s="18"/>
    </row>
    <row r="18984" spans="5:6" ht="15" customHeight="1" x14ac:dyDescent="0.2">
      <c r="E18984" s="18"/>
      <c r="F18984" s="18"/>
    </row>
    <row r="18985" spans="5:6" ht="15" customHeight="1" x14ac:dyDescent="0.2">
      <c r="E18985" s="18"/>
      <c r="F18985" s="18"/>
    </row>
    <row r="18986" spans="5:6" ht="15" customHeight="1" x14ac:dyDescent="0.2">
      <c r="E18986" s="18"/>
      <c r="F18986" s="18"/>
    </row>
    <row r="18987" spans="5:6" ht="15" customHeight="1" x14ac:dyDescent="0.2">
      <c r="E18987" s="18"/>
      <c r="F18987" s="18"/>
    </row>
    <row r="18988" spans="5:6" ht="15" customHeight="1" x14ac:dyDescent="0.2">
      <c r="E18988" s="18"/>
      <c r="F18988" s="18"/>
    </row>
    <row r="18989" spans="5:6" ht="15" customHeight="1" x14ac:dyDescent="0.2">
      <c r="E18989" s="18"/>
      <c r="F18989" s="18"/>
    </row>
    <row r="18990" spans="5:6" ht="15" customHeight="1" x14ac:dyDescent="0.2">
      <c r="E18990" s="18"/>
      <c r="F18990" s="18"/>
    </row>
    <row r="18991" spans="5:6" ht="15" customHeight="1" x14ac:dyDescent="0.2">
      <c r="E18991" s="18"/>
      <c r="F18991" s="18"/>
    </row>
    <row r="18992" spans="5:6" ht="15" customHeight="1" x14ac:dyDescent="0.2">
      <c r="E18992" s="18"/>
      <c r="F18992" s="18"/>
    </row>
    <row r="18993" spans="5:6" ht="15" customHeight="1" x14ac:dyDescent="0.2">
      <c r="E18993" s="18"/>
      <c r="F18993" s="18"/>
    </row>
    <row r="18994" spans="5:6" ht="15" customHeight="1" x14ac:dyDescent="0.2">
      <c r="E18994" s="18"/>
      <c r="F18994" s="18"/>
    </row>
    <row r="18995" spans="5:6" ht="15" customHeight="1" x14ac:dyDescent="0.2">
      <c r="E18995" s="18"/>
      <c r="F18995" s="18"/>
    </row>
    <row r="18996" spans="5:6" ht="15" customHeight="1" x14ac:dyDescent="0.2">
      <c r="E18996" s="18"/>
      <c r="F18996" s="18"/>
    </row>
    <row r="18997" spans="5:6" ht="15" customHeight="1" x14ac:dyDescent="0.2">
      <c r="E18997" s="18"/>
      <c r="F18997" s="18"/>
    </row>
    <row r="18998" spans="5:6" ht="15" customHeight="1" x14ac:dyDescent="0.2">
      <c r="E18998" s="18"/>
      <c r="F18998" s="18"/>
    </row>
    <row r="18999" spans="5:6" ht="15" customHeight="1" x14ac:dyDescent="0.2">
      <c r="E18999" s="18"/>
      <c r="F18999" s="18"/>
    </row>
    <row r="19000" spans="5:6" ht="15" customHeight="1" x14ac:dyDescent="0.2">
      <c r="E19000" s="18"/>
      <c r="F19000" s="18"/>
    </row>
    <row r="19001" spans="5:6" ht="15" customHeight="1" x14ac:dyDescent="0.2">
      <c r="E19001" s="18"/>
      <c r="F19001" s="18"/>
    </row>
    <row r="19002" spans="5:6" ht="15" customHeight="1" x14ac:dyDescent="0.2">
      <c r="E19002" s="18"/>
      <c r="F19002" s="18"/>
    </row>
    <row r="19003" spans="5:6" ht="15" customHeight="1" x14ac:dyDescent="0.2">
      <c r="E19003" s="18"/>
      <c r="F19003" s="18"/>
    </row>
    <row r="19004" spans="5:6" ht="15" customHeight="1" x14ac:dyDescent="0.2">
      <c r="E19004" s="18"/>
      <c r="F19004" s="18"/>
    </row>
    <row r="19005" spans="5:6" ht="15" customHeight="1" x14ac:dyDescent="0.2">
      <c r="E19005" s="18"/>
      <c r="F19005" s="18"/>
    </row>
    <row r="19006" spans="5:6" ht="15" customHeight="1" x14ac:dyDescent="0.2">
      <c r="E19006" s="18"/>
      <c r="F19006" s="18"/>
    </row>
    <row r="19007" spans="5:6" ht="15" customHeight="1" x14ac:dyDescent="0.2">
      <c r="E19007" s="18"/>
      <c r="F19007" s="18"/>
    </row>
    <row r="19008" spans="5:6" ht="15" customHeight="1" x14ac:dyDescent="0.2">
      <c r="E19008" s="18"/>
      <c r="F19008" s="18"/>
    </row>
    <row r="19009" spans="5:6" ht="15" customHeight="1" x14ac:dyDescent="0.2">
      <c r="E19009" s="18"/>
      <c r="F19009" s="18"/>
    </row>
    <row r="19010" spans="5:6" ht="15" customHeight="1" x14ac:dyDescent="0.2">
      <c r="E19010" s="18"/>
      <c r="F19010" s="18"/>
    </row>
    <row r="19011" spans="5:6" ht="15" customHeight="1" x14ac:dyDescent="0.2">
      <c r="E19011" s="18"/>
      <c r="F19011" s="18"/>
    </row>
    <row r="19012" spans="5:6" ht="15" customHeight="1" x14ac:dyDescent="0.2">
      <c r="E19012" s="18"/>
      <c r="F19012" s="18"/>
    </row>
    <row r="19013" spans="5:6" ht="15" customHeight="1" x14ac:dyDescent="0.2">
      <c r="E19013" s="18"/>
      <c r="F19013" s="18"/>
    </row>
    <row r="19014" spans="5:6" ht="15" customHeight="1" x14ac:dyDescent="0.2">
      <c r="E19014" s="18"/>
      <c r="F19014" s="18"/>
    </row>
    <row r="19015" spans="5:6" ht="15" customHeight="1" x14ac:dyDescent="0.2">
      <c r="E19015" s="18"/>
      <c r="F19015" s="18"/>
    </row>
    <row r="19016" spans="5:6" ht="15" customHeight="1" x14ac:dyDescent="0.2">
      <c r="E19016" s="18"/>
      <c r="F19016" s="18"/>
    </row>
    <row r="19017" spans="5:6" ht="15" customHeight="1" x14ac:dyDescent="0.2">
      <c r="E19017" s="18"/>
      <c r="F19017" s="18"/>
    </row>
    <row r="19018" spans="5:6" ht="15" customHeight="1" x14ac:dyDescent="0.2">
      <c r="E19018" s="18"/>
      <c r="F19018" s="18"/>
    </row>
    <row r="19019" spans="5:6" ht="15" customHeight="1" x14ac:dyDescent="0.2">
      <c r="E19019" s="18"/>
      <c r="F19019" s="18"/>
    </row>
    <row r="19020" spans="5:6" ht="15" customHeight="1" x14ac:dyDescent="0.2">
      <c r="E19020" s="18"/>
      <c r="F19020" s="18"/>
    </row>
    <row r="19021" spans="5:6" ht="15" customHeight="1" x14ac:dyDescent="0.2">
      <c r="E19021" s="18"/>
      <c r="F19021" s="18"/>
    </row>
    <row r="19022" spans="5:6" ht="15" customHeight="1" x14ac:dyDescent="0.2">
      <c r="E19022" s="18"/>
      <c r="F19022" s="18"/>
    </row>
    <row r="19023" spans="5:6" ht="15" customHeight="1" x14ac:dyDescent="0.2">
      <c r="E19023" s="18"/>
      <c r="F19023" s="18"/>
    </row>
    <row r="19024" spans="5:6" ht="15" customHeight="1" x14ac:dyDescent="0.2">
      <c r="E19024" s="18"/>
      <c r="F19024" s="18"/>
    </row>
    <row r="19025" spans="5:6" ht="15" customHeight="1" x14ac:dyDescent="0.2">
      <c r="E19025" s="18"/>
      <c r="F19025" s="18"/>
    </row>
    <row r="19026" spans="5:6" ht="15" customHeight="1" x14ac:dyDescent="0.2">
      <c r="E19026" s="18"/>
      <c r="F19026" s="18"/>
    </row>
    <row r="19027" spans="5:6" ht="15" customHeight="1" x14ac:dyDescent="0.2">
      <c r="E19027" s="18"/>
      <c r="F19027" s="18"/>
    </row>
    <row r="19028" spans="5:6" ht="15" customHeight="1" x14ac:dyDescent="0.2">
      <c r="E19028" s="18"/>
      <c r="F19028" s="18"/>
    </row>
    <row r="19029" spans="5:6" ht="15" customHeight="1" x14ac:dyDescent="0.2">
      <c r="E19029" s="18"/>
      <c r="F19029" s="18"/>
    </row>
    <row r="19030" spans="5:6" ht="15" customHeight="1" x14ac:dyDescent="0.2">
      <c r="E19030" s="18"/>
      <c r="F19030" s="18"/>
    </row>
    <row r="19031" spans="5:6" ht="15" customHeight="1" x14ac:dyDescent="0.2">
      <c r="E19031" s="18"/>
      <c r="F19031" s="18"/>
    </row>
    <row r="19032" spans="5:6" ht="15" customHeight="1" x14ac:dyDescent="0.2">
      <c r="E19032" s="18"/>
      <c r="F19032" s="18"/>
    </row>
    <row r="19033" spans="5:6" ht="15" customHeight="1" x14ac:dyDescent="0.2">
      <c r="E19033" s="18"/>
      <c r="F19033" s="18"/>
    </row>
    <row r="19034" spans="5:6" ht="15" customHeight="1" x14ac:dyDescent="0.2">
      <c r="E19034" s="18"/>
      <c r="F19034" s="18"/>
    </row>
    <row r="19035" spans="5:6" ht="15" customHeight="1" x14ac:dyDescent="0.2">
      <c r="E19035" s="18"/>
      <c r="F19035" s="18"/>
    </row>
    <row r="19036" spans="5:6" ht="15" customHeight="1" x14ac:dyDescent="0.2">
      <c r="E19036" s="18"/>
      <c r="F19036" s="18"/>
    </row>
    <row r="19037" spans="5:6" ht="15" customHeight="1" x14ac:dyDescent="0.2">
      <c r="E19037" s="18"/>
      <c r="F19037" s="18"/>
    </row>
    <row r="19038" spans="5:6" ht="15" customHeight="1" x14ac:dyDescent="0.2">
      <c r="E19038" s="18"/>
      <c r="F19038" s="18"/>
    </row>
    <row r="19039" spans="5:6" ht="15" customHeight="1" x14ac:dyDescent="0.2">
      <c r="E19039" s="18"/>
      <c r="F19039" s="18"/>
    </row>
    <row r="19040" spans="5:6" ht="15" customHeight="1" x14ac:dyDescent="0.2">
      <c r="E19040" s="18"/>
      <c r="F19040" s="18"/>
    </row>
    <row r="19041" spans="5:6" ht="15" customHeight="1" x14ac:dyDescent="0.2">
      <c r="E19041" s="18"/>
      <c r="F19041" s="18"/>
    </row>
    <row r="19042" spans="5:6" ht="15" customHeight="1" x14ac:dyDescent="0.2">
      <c r="E19042" s="18"/>
      <c r="F19042" s="18"/>
    </row>
    <row r="19043" spans="5:6" ht="15" customHeight="1" x14ac:dyDescent="0.2">
      <c r="E19043" s="18"/>
      <c r="F19043" s="18"/>
    </row>
    <row r="19044" spans="5:6" ht="15" customHeight="1" x14ac:dyDescent="0.2">
      <c r="E19044" s="18"/>
      <c r="F19044" s="18"/>
    </row>
    <row r="19045" spans="5:6" ht="15" customHeight="1" x14ac:dyDescent="0.2">
      <c r="E19045" s="18"/>
      <c r="F19045" s="18"/>
    </row>
    <row r="19046" spans="5:6" ht="15" customHeight="1" x14ac:dyDescent="0.2">
      <c r="E19046" s="18"/>
      <c r="F19046" s="18"/>
    </row>
    <row r="19047" spans="5:6" ht="15" customHeight="1" x14ac:dyDescent="0.2">
      <c r="E19047" s="18"/>
      <c r="F19047" s="18"/>
    </row>
    <row r="19048" spans="5:6" ht="15" customHeight="1" x14ac:dyDescent="0.2">
      <c r="E19048" s="18"/>
      <c r="F19048" s="18"/>
    </row>
    <row r="19049" spans="5:6" ht="15" customHeight="1" x14ac:dyDescent="0.2">
      <c r="E19049" s="18"/>
      <c r="F19049" s="18"/>
    </row>
    <row r="19050" spans="5:6" ht="15" customHeight="1" x14ac:dyDescent="0.2">
      <c r="E19050" s="18"/>
      <c r="F19050" s="18"/>
    </row>
    <row r="19051" spans="5:6" ht="15" customHeight="1" x14ac:dyDescent="0.2">
      <c r="E19051" s="18"/>
      <c r="F19051" s="18"/>
    </row>
    <row r="19052" spans="5:6" ht="15" customHeight="1" x14ac:dyDescent="0.2">
      <c r="E19052" s="18"/>
      <c r="F19052" s="18"/>
    </row>
    <row r="19053" spans="5:6" ht="15" customHeight="1" x14ac:dyDescent="0.2">
      <c r="E19053" s="18"/>
      <c r="F19053" s="18"/>
    </row>
    <row r="19054" spans="5:6" ht="15" customHeight="1" x14ac:dyDescent="0.2">
      <c r="E19054" s="18"/>
      <c r="F19054" s="18"/>
    </row>
    <row r="19055" spans="5:6" ht="15" customHeight="1" x14ac:dyDescent="0.2">
      <c r="E19055" s="18"/>
      <c r="F19055" s="18"/>
    </row>
    <row r="19056" spans="5:6" ht="15" customHeight="1" x14ac:dyDescent="0.2">
      <c r="E19056" s="18"/>
      <c r="F19056" s="18"/>
    </row>
    <row r="19057" spans="5:6" ht="15" customHeight="1" x14ac:dyDescent="0.2">
      <c r="E19057" s="18"/>
      <c r="F19057" s="18"/>
    </row>
    <row r="19058" spans="5:6" ht="15" customHeight="1" x14ac:dyDescent="0.2">
      <c r="E19058" s="18"/>
      <c r="F19058" s="18"/>
    </row>
    <row r="19059" spans="5:6" ht="15" customHeight="1" x14ac:dyDescent="0.2">
      <c r="E19059" s="18"/>
      <c r="F19059" s="18"/>
    </row>
    <row r="19060" spans="5:6" ht="15" customHeight="1" x14ac:dyDescent="0.2">
      <c r="E19060" s="18"/>
      <c r="F19060" s="18"/>
    </row>
    <row r="19061" spans="5:6" ht="15" customHeight="1" x14ac:dyDescent="0.2">
      <c r="E19061" s="18"/>
      <c r="F19061" s="18"/>
    </row>
    <row r="19062" spans="5:6" ht="15" customHeight="1" x14ac:dyDescent="0.2">
      <c r="E19062" s="18"/>
      <c r="F19062" s="18"/>
    </row>
    <row r="19063" spans="5:6" ht="15" customHeight="1" x14ac:dyDescent="0.2">
      <c r="E19063" s="18"/>
      <c r="F19063" s="18"/>
    </row>
    <row r="19064" spans="5:6" ht="15" customHeight="1" x14ac:dyDescent="0.2">
      <c r="E19064" s="18"/>
      <c r="F19064" s="18"/>
    </row>
    <row r="19065" spans="5:6" ht="15" customHeight="1" x14ac:dyDescent="0.2">
      <c r="E19065" s="18"/>
      <c r="F19065" s="18"/>
    </row>
    <row r="19066" spans="5:6" ht="15" customHeight="1" x14ac:dyDescent="0.2">
      <c r="E19066" s="18"/>
      <c r="F19066" s="18"/>
    </row>
    <row r="19067" spans="5:6" ht="15" customHeight="1" x14ac:dyDescent="0.2">
      <c r="E19067" s="18"/>
      <c r="F19067" s="18"/>
    </row>
    <row r="19068" spans="5:6" ht="15" customHeight="1" x14ac:dyDescent="0.2">
      <c r="E19068" s="18"/>
      <c r="F19068" s="18"/>
    </row>
    <row r="19069" spans="5:6" ht="15" customHeight="1" x14ac:dyDescent="0.2">
      <c r="E19069" s="18"/>
      <c r="F19069" s="18"/>
    </row>
    <row r="19070" spans="5:6" ht="15" customHeight="1" x14ac:dyDescent="0.2">
      <c r="E19070" s="18"/>
      <c r="F19070" s="18"/>
    </row>
    <row r="19071" spans="5:6" ht="15" customHeight="1" x14ac:dyDescent="0.2">
      <c r="E19071" s="18"/>
      <c r="F19071" s="18"/>
    </row>
    <row r="19072" spans="5:6" ht="15" customHeight="1" x14ac:dyDescent="0.2">
      <c r="E19072" s="18"/>
      <c r="F19072" s="18"/>
    </row>
    <row r="19073" spans="5:6" ht="15" customHeight="1" x14ac:dyDescent="0.2">
      <c r="E19073" s="18"/>
      <c r="F19073" s="18"/>
    </row>
    <row r="19074" spans="5:6" ht="15" customHeight="1" x14ac:dyDescent="0.2">
      <c r="E19074" s="18"/>
      <c r="F19074" s="18"/>
    </row>
    <row r="19075" spans="5:6" ht="15" customHeight="1" x14ac:dyDescent="0.2">
      <c r="E19075" s="18"/>
      <c r="F19075" s="18"/>
    </row>
    <row r="19076" spans="5:6" ht="15" customHeight="1" x14ac:dyDescent="0.2">
      <c r="E19076" s="18"/>
      <c r="F19076" s="18"/>
    </row>
    <row r="19077" spans="5:6" ht="15" customHeight="1" x14ac:dyDescent="0.2">
      <c r="E19077" s="18"/>
      <c r="F19077" s="18"/>
    </row>
    <row r="19078" spans="5:6" ht="15" customHeight="1" x14ac:dyDescent="0.2">
      <c r="E19078" s="18"/>
      <c r="F19078" s="18"/>
    </row>
    <row r="19079" spans="5:6" ht="15" customHeight="1" x14ac:dyDescent="0.2">
      <c r="E19079" s="18"/>
      <c r="F19079" s="18"/>
    </row>
    <row r="19080" spans="5:6" ht="15" customHeight="1" x14ac:dyDescent="0.2">
      <c r="E19080" s="18"/>
      <c r="F19080" s="18"/>
    </row>
    <row r="19081" spans="5:6" ht="15" customHeight="1" x14ac:dyDescent="0.2">
      <c r="E19081" s="18"/>
      <c r="F19081" s="18"/>
    </row>
    <row r="19082" spans="5:6" ht="15" customHeight="1" x14ac:dyDescent="0.2">
      <c r="E19082" s="18"/>
      <c r="F19082" s="18"/>
    </row>
    <row r="19083" spans="5:6" ht="15" customHeight="1" x14ac:dyDescent="0.2">
      <c r="E19083" s="18"/>
      <c r="F19083" s="18"/>
    </row>
    <row r="19084" spans="5:6" ht="15" customHeight="1" x14ac:dyDescent="0.2">
      <c r="E19084" s="18"/>
      <c r="F19084" s="18"/>
    </row>
    <row r="19085" spans="5:6" ht="15" customHeight="1" x14ac:dyDescent="0.2">
      <c r="E19085" s="18"/>
      <c r="F19085" s="18"/>
    </row>
    <row r="19086" spans="5:6" ht="15" customHeight="1" x14ac:dyDescent="0.2">
      <c r="E19086" s="18"/>
      <c r="F19086" s="18"/>
    </row>
    <row r="19087" spans="5:6" ht="15" customHeight="1" x14ac:dyDescent="0.2">
      <c r="E19087" s="18"/>
      <c r="F19087" s="18"/>
    </row>
    <row r="19088" spans="5:6" ht="15" customHeight="1" x14ac:dyDescent="0.2">
      <c r="E19088" s="18"/>
      <c r="F19088" s="18"/>
    </row>
    <row r="19089" spans="5:6" ht="15" customHeight="1" x14ac:dyDescent="0.2">
      <c r="E19089" s="18"/>
      <c r="F19089" s="18"/>
    </row>
    <row r="19090" spans="5:6" ht="15" customHeight="1" x14ac:dyDescent="0.2">
      <c r="E19090" s="18"/>
      <c r="F19090" s="18"/>
    </row>
    <row r="19091" spans="5:6" ht="15" customHeight="1" x14ac:dyDescent="0.2">
      <c r="E19091" s="18"/>
      <c r="F19091" s="18"/>
    </row>
    <row r="19092" spans="5:6" ht="15" customHeight="1" x14ac:dyDescent="0.2">
      <c r="E19092" s="18"/>
      <c r="F19092" s="18"/>
    </row>
    <row r="19093" spans="5:6" ht="15" customHeight="1" x14ac:dyDescent="0.2">
      <c r="E19093" s="18"/>
      <c r="F19093" s="18"/>
    </row>
    <row r="19094" spans="5:6" ht="15" customHeight="1" x14ac:dyDescent="0.2">
      <c r="E19094" s="18"/>
      <c r="F19094" s="18"/>
    </row>
    <row r="19095" spans="5:6" ht="15" customHeight="1" x14ac:dyDescent="0.2">
      <c r="E19095" s="18"/>
      <c r="F19095" s="18"/>
    </row>
    <row r="19096" spans="5:6" ht="15" customHeight="1" x14ac:dyDescent="0.2">
      <c r="E19096" s="18"/>
      <c r="F19096" s="18"/>
    </row>
    <row r="19097" spans="5:6" ht="15" customHeight="1" x14ac:dyDescent="0.2">
      <c r="E19097" s="18"/>
      <c r="F19097" s="18"/>
    </row>
    <row r="19098" spans="5:6" ht="15" customHeight="1" x14ac:dyDescent="0.2">
      <c r="E19098" s="18"/>
      <c r="F19098" s="18"/>
    </row>
    <row r="19099" spans="5:6" ht="15" customHeight="1" x14ac:dyDescent="0.2">
      <c r="E19099" s="18"/>
      <c r="F19099" s="18"/>
    </row>
    <row r="19100" spans="5:6" ht="15" customHeight="1" x14ac:dyDescent="0.2">
      <c r="E19100" s="18"/>
      <c r="F19100" s="18"/>
    </row>
    <row r="19101" spans="5:6" ht="15" customHeight="1" x14ac:dyDescent="0.2">
      <c r="E19101" s="18"/>
      <c r="F19101" s="18"/>
    </row>
    <row r="19102" spans="5:6" ht="15" customHeight="1" x14ac:dyDescent="0.2">
      <c r="E19102" s="18"/>
      <c r="F19102" s="18"/>
    </row>
    <row r="19103" spans="5:6" ht="15" customHeight="1" x14ac:dyDescent="0.2">
      <c r="E19103" s="18"/>
      <c r="F19103" s="18"/>
    </row>
    <row r="19104" spans="5:6" ht="15" customHeight="1" x14ac:dyDescent="0.2">
      <c r="E19104" s="18"/>
      <c r="F19104" s="18"/>
    </row>
    <row r="19105" spans="5:6" ht="15" customHeight="1" x14ac:dyDescent="0.2">
      <c r="E19105" s="18"/>
      <c r="F19105" s="18"/>
    </row>
    <row r="19106" spans="5:6" ht="15" customHeight="1" x14ac:dyDescent="0.2">
      <c r="E19106" s="18"/>
      <c r="F19106" s="18"/>
    </row>
    <row r="19107" spans="5:6" ht="15" customHeight="1" x14ac:dyDescent="0.2">
      <c r="E19107" s="18"/>
      <c r="F19107" s="18"/>
    </row>
    <row r="19108" spans="5:6" ht="15" customHeight="1" x14ac:dyDescent="0.2">
      <c r="E19108" s="18"/>
      <c r="F19108" s="18"/>
    </row>
    <row r="19109" spans="5:6" ht="15" customHeight="1" x14ac:dyDescent="0.2">
      <c r="E19109" s="18"/>
      <c r="F19109" s="18"/>
    </row>
    <row r="19110" spans="5:6" ht="15" customHeight="1" x14ac:dyDescent="0.2">
      <c r="E19110" s="18"/>
      <c r="F19110" s="18"/>
    </row>
    <row r="19111" spans="5:6" ht="15" customHeight="1" x14ac:dyDescent="0.2">
      <c r="E19111" s="18"/>
      <c r="F19111" s="18"/>
    </row>
    <row r="19112" spans="5:6" ht="15" customHeight="1" x14ac:dyDescent="0.2">
      <c r="E19112" s="18"/>
      <c r="F19112" s="18"/>
    </row>
    <row r="19113" spans="5:6" ht="15" customHeight="1" x14ac:dyDescent="0.2">
      <c r="E19113" s="18"/>
      <c r="F19113" s="18"/>
    </row>
    <row r="19114" spans="5:6" ht="15" customHeight="1" x14ac:dyDescent="0.2">
      <c r="E19114" s="18"/>
      <c r="F19114" s="18"/>
    </row>
    <row r="19115" spans="5:6" ht="15" customHeight="1" x14ac:dyDescent="0.2">
      <c r="E19115" s="18"/>
      <c r="F19115" s="18"/>
    </row>
    <row r="19116" spans="5:6" ht="15" customHeight="1" x14ac:dyDescent="0.2">
      <c r="E19116" s="18"/>
      <c r="F19116" s="18"/>
    </row>
    <row r="19117" spans="5:6" ht="15" customHeight="1" x14ac:dyDescent="0.2">
      <c r="E19117" s="18"/>
      <c r="F19117" s="18"/>
    </row>
    <row r="19118" spans="5:6" ht="15" customHeight="1" x14ac:dyDescent="0.2">
      <c r="E19118" s="18"/>
      <c r="F19118" s="18"/>
    </row>
    <row r="19119" spans="5:6" ht="15" customHeight="1" x14ac:dyDescent="0.2">
      <c r="E19119" s="18"/>
      <c r="F19119" s="18"/>
    </row>
    <row r="19120" spans="5:6" ht="15" customHeight="1" x14ac:dyDescent="0.2">
      <c r="E19120" s="18"/>
      <c r="F19120" s="18"/>
    </row>
    <row r="19121" spans="5:6" ht="15" customHeight="1" x14ac:dyDescent="0.2">
      <c r="E19121" s="18"/>
      <c r="F19121" s="18"/>
    </row>
    <row r="19122" spans="5:6" ht="15" customHeight="1" x14ac:dyDescent="0.2">
      <c r="E19122" s="18"/>
      <c r="F19122" s="18"/>
    </row>
    <row r="19123" spans="5:6" ht="15" customHeight="1" x14ac:dyDescent="0.2">
      <c r="E19123" s="18"/>
      <c r="F19123" s="18"/>
    </row>
    <row r="19124" spans="5:6" ht="15" customHeight="1" x14ac:dyDescent="0.2">
      <c r="E19124" s="18"/>
      <c r="F19124" s="18"/>
    </row>
    <row r="19125" spans="5:6" ht="15" customHeight="1" x14ac:dyDescent="0.2">
      <c r="E19125" s="18"/>
      <c r="F19125" s="18"/>
    </row>
    <row r="19126" spans="5:6" ht="15" customHeight="1" x14ac:dyDescent="0.2">
      <c r="E19126" s="18"/>
      <c r="F19126" s="18"/>
    </row>
    <row r="19127" spans="5:6" ht="15" customHeight="1" x14ac:dyDescent="0.2">
      <c r="E19127" s="18"/>
      <c r="F19127" s="18"/>
    </row>
    <row r="19128" spans="5:6" ht="15" customHeight="1" x14ac:dyDescent="0.2">
      <c r="E19128" s="18"/>
      <c r="F19128" s="18"/>
    </row>
    <row r="19129" spans="5:6" ht="15" customHeight="1" x14ac:dyDescent="0.2">
      <c r="E19129" s="18"/>
      <c r="F19129" s="18"/>
    </row>
    <row r="19130" spans="5:6" ht="15" customHeight="1" x14ac:dyDescent="0.2">
      <c r="E19130" s="18"/>
      <c r="F19130" s="18"/>
    </row>
    <row r="19131" spans="5:6" ht="15" customHeight="1" x14ac:dyDescent="0.2">
      <c r="E19131" s="18"/>
      <c r="F19131" s="18"/>
    </row>
    <row r="19132" spans="5:6" ht="15" customHeight="1" x14ac:dyDescent="0.2">
      <c r="E19132" s="18"/>
      <c r="F19132" s="18"/>
    </row>
    <row r="19133" spans="5:6" ht="15" customHeight="1" x14ac:dyDescent="0.2">
      <c r="E19133" s="18"/>
      <c r="F19133" s="18"/>
    </row>
    <row r="19134" spans="5:6" ht="15" customHeight="1" x14ac:dyDescent="0.2">
      <c r="E19134" s="18"/>
      <c r="F19134" s="18"/>
    </row>
    <row r="19135" spans="5:6" ht="15" customHeight="1" x14ac:dyDescent="0.2">
      <c r="E19135" s="18"/>
      <c r="F19135" s="18"/>
    </row>
    <row r="19136" spans="5:6" ht="15" customHeight="1" x14ac:dyDescent="0.2">
      <c r="E19136" s="18"/>
      <c r="F19136" s="18"/>
    </row>
    <row r="19137" spans="5:6" ht="15" customHeight="1" x14ac:dyDescent="0.2">
      <c r="E19137" s="18"/>
      <c r="F19137" s="18"/>
    </row>
    <row r="19138" spans="5:6" ht="15" customHeight="1" x14ac:dyDescent="0.2">
      <c r="E19138" s="18"/>
      <c r="F19138" s="18"/>
    </row>
    <row r="19139" spans="5:6" ht="15" customHeight="1" x14ac:dyDescent="0.2">
      <c r="E19139" s="18"/>
      <c r="F19139" s="18"/>
    </row>
    <row r="19140" spans="5:6" ht="15" customHeight="1" x14ac:dyDescent="0.2">
      <c r="E19140" s="18"/>
      <c r="F19140" s="18"/>
    </row>
    <row r="19141" spans="5:6" ht="15" customHeight="1" x14ac:dyDescent="0.2">
      <c r="E19141" s="18"/>
      <c r="F19141" s="18"/>
    </row>
    <row r="19142" spans="5:6" ht="15" customHeight="1" x14ac:dyDescent="0.2">
      <c r="E19142" s="18"/>
      <c r="F19142" s="18"/>
    </row>
    <row r="19143" spans="5:6" ht="15" customHeight="1" x14ac:dyDescent="0.2">
      <c r="E19143" s="18"/>
      <c r="F19143" s="18"/>
    </row>
    <row r="19144" spans="5:6" ht="15" customHeight="1" x14ac:dyDescent="0.2">
      <c r="E19144" s="18"/>
      <c r="F19144" s="18"/>
    </row>
    <row r="19145" spans="5:6" ht="15" customHeight="1" x14ac:dyDescent="0.2">
      <c r="E19145" s="18"/>
      <c r="F19145" s="18"/>
    </row>
    <row r="19146" spans="5:6" ht="15" customHeight="1" x14ac:dyDescent="0.2">
      <c r="E19146" s="18"/>
      <c r="F19146" s="18"/>
    </row>
    <row r="19147" spans="5:6" ht="15" customHeight="1" x14ac:dyDescent="0.2">
      <c r="E19147" s="18"/>
      <c r="F19147" s="18"/>
    </row>
    <row r="19148" spans="5:6" ht="15" customHeight="1" x14ac:dyDescent="0.2">
      <c r="E19148" s="18"/>
      <c r="F19148" s="18"/>
    </row>
    <row r="19149" spans="5:6" ht="15" customHeight="1" x14ac:dyDescent="0.2">
      <c r="E19149" s="18"/>
      <c r="F19149" s="18"/>
    </row>
    <row r="19150" spans="5:6" ht="15" customHeight="1" x14ac:dyDescent="0.2">
      <c r="E19150" s="18"/>
      <c r="F19150" s="18"/>
    </row>
    <row r="19151" spans="5:6" ht="15" customHeight="1" x14ac:dyDescent="0.2">
      <c r="E19151" s="18"/>
      <c r="F19151" s="18"/>
    </row>
    <row r="19152" spans="5:6" ht="15" customHeight="1" x14ac:dyDescent="0.2">
      <c r="E19152" s="18"/>
      <c r="F19152" s="18"/>
    </row>
    <row r="19153" spans="5:6" ht="15" customHeight="1" x14ac:dyDescent="0.2">
      <c r="E19153" s="18"/>
      <c r="F19153" s="18"/>
    </row>
    <row r="19154" spans="5:6" ht="15" customHeight="1" x14ac:dyDescent="0.2">
      <c r="E19154" s="18"/>
      <c r="F19154" s="18"/>
    </row>
    <row r="19155" spans="5:6" ht="15" customHeight="1" x14ac:dyDescent="0.2">
      <c r="E19155" s="18"/>
      <c r="F19155" s="18"/>
    </row>
    <row r="19156" spans="5:6" ht="15" customHeight="1" x14ac:dyDescent="0.2">
      <c r="E19156" s="18"/>
      <c r="F19156" s="18"/>
    </row>
    <row r="19157" spans="5:6" ht="15" customHeight="1" x14ac:dyDescent="0.2">
      <c r="E19157" s="18"/>
      <c r="F19157" s="18"/>
    </row>
    <row r="19158" spans="5:6" ht="15" customHeight="1" x14ac:dyDescent="0.2">
      <c r="E19158" s="18"/>
      <c r="F19158" s="18"/>
    </row>
    <row r="19159" spans="5:6" ht="15" customHeight="1" x14ac:dyDescent="0.2">
      <c r="E19159" s="18"/>
      <c r="F19159" s="18"/>
    </row>
    <row r="19160" spans="5:6" ht="15" customHeight="1" x14ac:dyDescent="0.2">
      <c r="E19160" s="18"/>
      <c r="F19160" s="18"/>
    </row>
    <row r="19161" spans="5:6" ht="15" customHeight="1" x14ac:dyDescent="0.2">
      <c r="E19161" s="18"/>
      <c r="F19161" s="18"/>
    </row>
    <row r="19162" spans="5:6" ht="15" customHeight="1" x14ac:dyDescent="0.2">
      <c r="E19162" s="18"/>
      <c r="F19162" s="18"/>
    </row>
    <row r="19163" spans="5:6" ht="15" customHeight="1" x14ac:dyDescent="0.2">
      <c r="E19163" s="18"/>
      <c r="F19163" s="18"/>
    </row>
    <row r="19164" spans="5:6" ht="15" customHeight="1" x14ac:dyDescent="0.2">
      <c r="E19164" s="18"/>
      <c r="F19164" s="18"/>
    </row>
    <row r="19165" spans="5:6" ht="15" customHeight="1" x14ac:dyDescent="0.2">
      <c r="E19165" s="18"/>
      <c r="F19165" s="18"/>
    </row>
    <row r="19166" spans="5:6" ht="15" customHeight="1" x14ac:dyDescent="0.2">
      <c r="E19166" s="18"/>
      <c r="F19166" s="18"/>
    </row>
    <row r="19167" spans="5:6" ht="15" customHeight="1" x14ac:dyDescent="0.2">
      <c r="E19167" s="18"/>
      <c r="F19167" s="18"/>
    </row>
    <row r="19168" spans="5:6" ht="15" customHeight="1" x14ac:dyDescent="0.2">
      <c r="E19168" s="18"/>
      <c r="F19168" s="18"/>
    </row>
    <row r="19169" spans="5:6" ht="15" customHeight="1" x14ac:dyDescent="0.2">
      <c r="E19169" s="18"/>
      <c r="F19169" s="18"/>
    </row>
    <row r="19170" spans="5:6" ht="15" customHeight="1" x14ac:dyDescent="0.2">
      <c r="E19170" s="18"/>
      <c r="F19170" s="18"/>
    </row>
    <row r="19171" spans="5:6" ht="15" customHeight="1" x14ac:dyDescent="0.2">
      <c r="E19171" s="18"/>
      <c r="F19171" s="18"/>
    </row>
    <row r="19172" spans="5:6" ht="15" customHeight="1" x14ac:dyDescent="0.2">
      <c r="E19172" s="18"/>
      <c r="F19172" s="18"/>
    </row>
    <row r="19173" spans="5:6" ht="15" customHeight="1" x14ac:dyDescent="0.2">
      <c r="E19173" s="18"/>
      <c r="F19173" s="18"/>
    </row>
    <row r="19174" spans="5:6" ht="15" customHeight="1" x14ac:dyDescent="0.2">
      <c r="E19174" s="18"/>
      <c r="F19174" s="18"/>
    </row>
    <row r="19175" spans="5:6" ht="15" customHeight="1" x14ac:dyDescent="0.2">
      <c r="E19175" s="18"/>
      <c r="F19175" s="18"/>
    </row>
    <row r="19176" spans="5:6" ht="15" customHeight="1" x14ac:dyDescent="0.2">
      <c r="E19176" s="18"/>
      <c r="F19176" s="18"/>
    </row>
    <row r="19177" spans="5:6" ht="15" customHeight="1" x14ac:dyDescent="0.2">
      <c r="E19177" s="18"/>
      <c r="F19177" s="18"/>
    </row>
    <row r="19178" spans="5:6" ht="15" customHeight="1" x14ac:dyDescent="0.2">
      <c r="E19178" s="18"/>
      <c r="F19178" s="18"/>
    </row>
    <row r="19179" spans="5:6" ht="15" customHeight="1" x14ac:dyDescent="0.2">
      <c r="E19179" s="18"/>
      <c r="F19179" s="18"/>
    </row>
    <row r="19180" spans="5:6" ht="15" customHeight="1" x14ac:dyDescent="0.2">
      <c r="E19180" s="18"/>
      <c r="F19180" s="18"/>
    </row>
    <row r="19181" spans="5:6" ht="15" customHeight="1" x14ac:dyDescent="0.2">
      <c r="E19181" s="18"/>
      <c r="F19181" s="18"/>
    </row>
    <row r="19182" spans="5:6" ht="15" customHeight="1" x14ac:dyDescent="0.2">
      <c r="E19182" s="18"/>
      <c r="F19182" s="18"/>
    </row>
    <row r="19183" spans="5:6" ht="15" customHeight="1" x14ac:dyDescent="0.2">
      <c r="E19183" s="18"/>
      <c r="F19183" s="18"/>
    </row>
    <row r="19184" spans="5:6" ht="15" customHeight="1" x14ac:dyDescent="0.2">
      <c r="E19184" s="18"/>
      <c r="F19184" s="18"/>
    </row>
    <row r="19185" spans="5:6" ht="15" customHeight="1" x14ac:dyDescent="0.2">
      <c r="E19185" s="18"/>
      <c r="F19185" s="18"/>
    </row>
    <row r="19186" spans="5:6" ht="15" customHeight="1" x14ac:dyDescent="0.2">
      <c r="E19186" s="18"/>
      <c r="F19186" s="18"/>
    </row>
    <row r="19187" spans="5:6" ht="15" customHeight="1" x14ac:dyDescent="0.2">
      <c r="E19187" s="18"/>
      <c r="F19187" s="18"/>
    </row>
    <row r="19188" spans="5:6" ht="15" customHeight="1" x14ac:dyDescent="0.2">
      <c r="E19188" s="18"/>
      <c r="F19188" s="18"/>
    </row>
    <row r="19189" spans="5:6" ht="15" customHeight="1" x14ac:dyDescent="0.2">
      <c r="E19189" s="18"/>
      <c r="F19189" s="18"/>
    </row>
    <row r="19190" spans="5:6" ht="15" customHeight="1" x14ac:dyDescent="0.2">
      <c r="E19190" s="18"/>
      <c r="F19190" s="18"/>
    </row>
    <row r="19191" spans="5:6" ht="15" customHeight="1" x14ac:dyDescent="0.2">
      <c r="E19191" s="18"/>
      <c r="F19191" s="18"/>
    </row>
    <row r="19192" spans="5:6" ht="15" customHeight="1" x14ac:dyDescent="0.2">
      <c r="E19192" s="18"/>
      <c r="F19192" s="18"/>
    </row>
    <row r="19193" spans="5:6" ht="15" customHeight="1" x14ac:dyDescent="0.2">
      <c r="E19193" s="18"/>
      <c r="F19193" s="18"/>
    </row>
    <row r="19194" spans="5:6" ht="15" customHeight="1" x14ac:dyDescent="0.2">
      <c r="E19194" s="18"/>
      <c r="F19194" s="18"/>
    </row>
    <row r="19195" spans="5:6" ht="15" customHeight="1" x14ac:dyDescent="0.2">
      <c r="E19195" s="18"/>
      <c r="F19195" s="18"/>
    </row>
    <row r="19196" spans="5:6" ht="15" customHeight="1" x14ac:dyDescent="0.2">
      <c r="E19196" s="18"/>
      <c r="F19196" s="18"/>
    </row>
    <row r="19197" spans="5:6" ht="15" customHeight="1" x14ac:dyDescent="0.2">
      <c r="E19197" s="18"/>
      <c r="F19197" s="18"/>
    </row>
    <row r="19198" spans="5:6" ht="15" customHeight="1" x14ac:dyDescent="0.2">
      <c r="E19198" s="18"/>
      <c r="F19198" s="18"/>
    </row>
    <row r="19199" spans="5:6" ht="15" customHeight="1" x14ac:dyDescent="0.2">
      <c r="E19199" s="18"/>
      <c r="F19199" s="18"/>
    </row>
    <row r="19200" spans="5:6" ht="15" customHeight="1" x14ac:dyDescent="0.2">
      <c r="E19200" s="18"/>
      <c r="F19200" s="18"/>
    </row>
    <row r="19201" spans="5:6" ht="15" customHeight="1" x14ac:dyDescent="0.2">
      <c r="E19201" s="18"/>
      <c r="F19201" s="18"/>
    </row>
    <row r="19202" spans="5:6" ht="15" customHeight="1" x14ac:dyDescent="0.2">
      <c r="E19202" s="18"/>
      <c r="F19202" s="18"/>
    </row>
    <row r="19203" spans="5:6" ht="15" customHeight="1" x14ac:dyDescent="0.2">
      <c r="E19203" s="18"/>
      <c r="F19203" s="18"/>
    </row>
    <row r="19204" spans="5:6" ht="15" customHeight="1" x14ac:dyDescent="0.2">
      <c r="E19204" s="18"/>
      <c r="F19204" s="18"/>
    </row>
    <row r="19205" spans="5:6" ht="15" customHeight="1" x14ac:dyDescent="0.2">
      <c r="E19205" s="18"/>
      <c r="F19205" s="18"/>
    </row>
    <row r="19206" spans="5:6" ht="15" customHeight="1" x14ac:dyDescent="0.2">
      <c r="E19206" s="18"/>
      <c r="F19206" s="18"/>
    </row>
    <row r="19207" spans="5:6" ht="15" customHeight="1" x14ac:dyDescent="0.2">
      <c r="E19207" s="18"/>
      <c r="F19207" s="18"/>
    </row>
    <row r="19208" spans="5:6" ht="15" customHeight="1" x14ac:dyDescent="0.2">
      <c r="E19208" s="18"/>
      <c r="F19208" s="18"/>
    </row>
    <row r="19209" spans="5:6" ht="15" customHeight="1" x14ac:dyDescent="0.2">
      <c r="E19209" s="18"/>
      <c r="F19209" s="18"/>
    </row>
    <row r="19210" spans="5:6" ht="15" customHeight="1" x14ac:dyDescent="0.2">
      <c r="E19210" s="18"/>
      <c r="F19210" s="18"/>
    </row>
    <row r="19211" spans="5:6" ht="15" customHeight="1" x14ac:dyDescent="0.2">
      <c r="E19211" s="18"/>
      <c r="F19211" s="18"/>
    </row>
    <row r="19212" spans="5:6" ht="15" customHeight="1" x14ac:dyDescent="0.2">
      <c r="E19212" s="18"/>
      <c r="F19212" s="18"/>
    </row>
    <row r="19213" spans="5:6" ht="15" customHeight="1" x14ac:dyDescent="0.2">
      <c r="E19213" s="18"/>
      <c r="F19213" s="18"/>
    </row>
    <row r="19214" spans="5:6" ht="15" customHeight="1" x14ac:dyDescent="0.2">
      <c r="E19214" s="18"/>
      <c r="F19214" s="18"/>
    </row>
    <row r="19215" spans="5:6" ht="15" customHeight="1" x14ac:dyDescent="0.2">
      <c r="E19215" s="18"/>
      <c r="F19215" s="18"/>
    </row>
    <row r="19216" spans="5:6" ht="15" customHeight="1" x14ac:dyDescent="0.2">
      <c r="E19216" s="18"/>
      <c r="F19216" s="18"/>
    </row>
    <row r="19217" spans="5:6" ht="15" customHeight="1" x14ac:dyDescent="0.2">
      <c r="E19217" s="18"/>
      <c r="F19217" s="18"/>
    </row>
    <row r="19218" spans="5:6" ht="15" customHeight="1" x14ac:dyDescent="0.2">
      <c r="E19218" s="18"/>
      <c r="F19218" s="18"/>
    </row>
    <row r="19219" spans="5:6" ht="15" customHeight="1" x14ac:dyDescent="0.2">
      <c r="E19219" s="18"/>
      <c r="F19219" s="18"/>
    </row>
    <row r="19220" spans="5:6" ht="15" customHeight="1" x14ac:dyDescent="0.2">
      <c r="E19220" s="18"/>
      <c r="F19220" s="18"/>
    </row>
    <row r="19221" spans="5:6" ht="15" customHeight="1" x14ac:dyDescent="0.2">
      <c r="E19221" s="18"/>
      <c r="F19221" s="18"/>
    </row>
    <row r="19222" spans="5:6" ht="15" customHeight="1" x14ac:dyDescent="0.2">
      <c r="E19222" s="18"/>
      <c r="F19222" s="18"/>
    </row>
    <row r="19223" spans="5:6" ht="15" customHeight="1" x14ac:dyDescent="0.2">
      <c r="E19223" s="18"/>
      <c r="F19223" s="18"/>
    </row>
    <row r="19224" spans="5:6" ht="15" customHeight="1" x14ac:dyDescent="0.2">
      <c r="E19224" s="18"/>
      <c r="F19224" s="18"/>
    </row>
    <row r="19225" spans="5:6" ht="15" customHeight="1" x14ac:dyDescent="0.2">
      <c r="E19225" s="18"/>
      <c r="F19225" s="18"/>
    </row>
    <row r="19226" spans="5:6" ht="15" customHeight="1" x14ac:dyDescent="0.2">
      <c r="E19226" s="18"/>
      <c r="F19226" s="18"/>
    </row>
    <row r="19227" spans="5:6" ht="15" customHeight="1" x14ac:dyDescent="0.2">
      <c r="E19227" s="18"/>
      <c r="F19227" s="18"/>
    </row>
    <row r="19228" spans="5:6" ht="15" customHeight="1" x14ac:dyDescent="0.2">
      <c r="E19228" s="18"/>
      <c r="F19228" s="18"/>
    </row>
    <row r="19229" spans="5:6" ht="15" customHeight="1" x14ac:dyDescent="0.2">
      <c r="E19229" s="18"/>
      <c r="F19229" s="18"/>
    </row>
    <row r="19230" spans="5:6" ht="15" customHeight="1" x14ac:dyDescent="0.2">
      <c r="E19230" s="18"/>
      <c r="F19230" s="18"/>
    </row>
    <row r="19231" spans="5:6" ht="15" customHeight="1" x14ac:dyDescent="0.2">
      <c r="E19231" s="18"/>
      <c r="F19231" s="18"/>
    </row>
    <row r="19232" spans="5:6" ht="15" customHeight="1" x14ac:dyDescent="0.2">
      <c r="E19232" s="18"/>
      <c r="F19232" s="18"/>
    </row>
    <row r="19233" spans="5:6" ht="15" customHeight="1" x14ac:dyDescent="0.2">
      <c r="E19233" s="18"/>
      <c r="F19233" s="18"/>
    </row>
    <row r="19234" spans="5:6" ht="15" customHeight="1" x14ac:dyDescent="0.2">
      <c r="E19234" s="18"/>
      <c r="F19234" s="18"/>
    </row>
    <row r="19235" spans="5:6" ht="15" customHeight="1" x14ac:dyDescent="0.2">
      <c r="E19235" s="18"/>
      <c r="F19235" s="18"/>
    </row>
    <row r="19236" spans="5:6" ht="15" customHeight="1" x14ac:dyDescent="0.2">
      <c r="E19236" s="18"/>
      <c r="F19236" s="18"/>
    </row>
    <row r="19237" spans="5:6" ht="15" customHeight="1" x14ac:dyDescent="0.2">
      <c r="E19237" s="18"/>
      <c r="F19237" s="18"/>
    </row>
    <row r="19238" spans="5:6" ht="15" customHeight="1" x14ac:dyDescent="0.2">
      <c r="E19238" s="18"/>
      <c r="F19238" s="18"/>
    </row>
    <row r="19239" spans="5:6" ht="15" customHeight="1" x14ac:dyDescent="0.2">
      <c r="E19239" s="18"/>
      <c r="F19239" s="18"/>
    </row>
    <row r="19240" spans="5:6" ht="15" customHeight="1" x14ac:dyDescent="0.2">
      <c r="E19240" s="18"/>
      <c r="F19240" s="18"/>
    </row>
    <row r="19241" spans="5:6" ht="15" customHeight="1" x14ac:dyDescent="0.2">
      <c r="E19241" s="18"/>
      <c r="F19241" s="18"/>
    </row>
    <row r="19242" spans="5:6" ht="15" customHeight="1" x14ac:dyDescent="0.2">
      <c r="E19242" s="18"/>
      <c r="F19242" s="18"/>
    </row>
    <row r="19243" spans="5:6" ht="15" customHeight="1" x14ac:dyDescent="0.2">
      <c r="E19243" s="18"/>
      <c r="F19243" s="18"/>
    </row>
    <row r="19244" spans="5:6" ht="15" customHeight="1" x14ac:dyDescent="0.2">
      <c r="E19244" s="18"/>
      <c r="F19244" s="18"/>
    </row>
    <row r="19245" spans="5:6" ht="15" customHeight="1" x14ac:dyDescent="0.2">
      <c r="E19245" s="18"/>
      <c r="F19245" s="18"/>
    </row>
    <row r="19246" spans="5:6" ht="15" customHeight="1" x14ac:dyDescent="0.2">
      <c r="E19246" s="18"/>
      <c r="F19246" s="18"/>
    </row>
    <row r="19247" spans="5:6" ht="15" customHeight="1" x14ac:dyDescent="0.2">
      <c r="E19247" s="18"/>
      <c r="F19247" s="18"/>
    </row>
    <row r="19248" spans="5:6" ht="15" customHeight="1" x14ac:dyDescent="0.2">
      <c r="E19248" s="18"/>
      <c r="F19248" s="18"/>
    </row>
    <row r="19249" spans="5:6" ht="15" customHeight="1" x14ac:dyDescent="0.2">
      <c r="E19249" s="18"/>
      <c r="F19249" s="18"/>
    </row>
    <row r="19250" spans="5:6" ht="15" customHeight="1" x14ac:dyDescent="0.2">
      <c r="E19250" s="18"/>
      <c r="F19250" s="18"/>
    </row>
    <row r="19251" spans="5:6" ht="15" customHeight="1" x14ac:dyDescent="0.2">
      <c r="E19251" s="18"/>
      <c r="F19251" s="18"/>
    </row>
    <row r="19252" spans="5:6" ht="15" customHeight="1" x14ac:dyDescent="0.2">
      <c r="E19252" s="18"/>
      <c r="F19252" s="18"/>
    </row>
    <row r="19253" spans="5:6" ht="15" customHeight="1" x14ac:dyDescent="0.2">
      <c r="E19253" s="18"/>
      <c r="F19253" s="18"/>
    </row>
    <row r="19254" spans="5:6" ht="15" customHeight="1" x14ac:dyDescent="0.2">
      <c r="E19254" s="18"/>
      <c r="F19254" s="18"/>
    </row>
    <row r="19255" spans="5:6" ht="15" customHeight="1" x14ac:dyDescent="0.2">
      <c r="E19255" s="18"/>
      <c r="F19255" s="18"/>
    </row>
    <row r="19256" spans="5:6" ht="15" customHeight="1" x14ac:dyDescent="0.2">
      <c r="E19256" s="18"/>
      <c r="F19256" s="18"/>
    </row>
    <row r="19257" spans="5:6" ht="15" customHeight="1" x14ac:dyDescent="0.2">
      <c r="E19257" s="18"/>
      <c r="F19257" s="18"/>
    </row>
    <row r="19258" spans="5:6" ht="15" customHeight="1" x14ac:dyDescent="0.2">
      <c r="E19258" s="18"/>
      <c r="F19258" s="18"/>
    </row>
    <row r="19259" spans="5:6" ht="15" customHeight="1" x14ac:dyDescent="0.2">
      <c r="E19259" s="18"/>
      <c r="F19259" s="18"/>
    </row>
    <row r="19260" spans="5:6" ht="15" customHeight="1" x14ac:dyDescent="0.2">
      <c r="E19260" s="18"/>
      <c r="F19260" s="18"/>
    </row>
    <row r="19261" spans="5:6" ht="15" customHeight="1" x14ac:dyDescent="0.2">
      <c r="E19261" s="18"/>
      <c r="F19261" s="18"/>
    </row>
    <row r="19262" spans="5:6" ht="15" customHeight="1" x14ac:dyDescent="0.2">
      <c r="E19262" s="18"/>
      <c r="F19262" s="18"/>
    </row>
    <row r="19263" spans="5:6" ht="15" customHeight="1" x14ac:dyDescent="0.2">
      <c r="E19263" s="18"/>
      <c r="F19263" s="18"/>
    </row>
    <row r="19264" spans="5:6" ht="15" customHeight="1" x14ac:dyDescent="0.2">
      <c r="E19264" s="18"/>
      <c r="F19264" s="18"/>
    </row>
    <row r="19265" spans="5:6" ht="15" customHeight="1" x14ac:dyDescent="0.2">
      <c r="E19265" s="18"/>
      <c r="F19265" s="18"/>
    </row>
    <row r="19266" spans="5:6" ht="15" customHeight="1" x14ac:dyDescent="0.2">
      <c r="E19266" s="18"/>
      <c r="F19266" s="18"/>
    </row>
    <row r="19267" spans="5:6" ht="15" customHeight="1" x14ac:dyDescent="0.2">
      <c r="E19267" s="18"/>
      <c r="F19267" s="18"/>
    </row>
    <row r="19268" spans="5:6" ht="15" customHeight="1" x14ac:dyDescent="0.2">
      <c r="E19268" s="18"/>
      <c r="F19268" s="18"/>
    </row>
    <row r="19269" spans="5:6" ht="15" customHeight="1" x14ac:dyDescent="0.2">
      <c r="E19269" s="18"/>
      <c r="F19269" s="18"/>
    </row>
    <row r="19270" spans="5:6" ht="15" customHeight="1" x14ac:dyDescent="0.2">
      <c r="E19270" s="18"/>
      <c r="F19270" s="18"/>
    </row>
    <row r="19271" spans="5:6" ht="15" customHeight="1" x14ac:dyDescent="0.2">
      <c r="E19271" s="18"/>
      <c r="F19271" s="18"/>
    </row>
    <row r="19272" spans="5:6" ht="15" customHeight="1" x14ac:dyDescent="0.2">
      <c r="E19272" s="18"/>
      <c r="F19272" s="18"/>
    </row>
    <row r="19273" spans="5:6" ht="15" customHeight="1" x14ac:dyDescent="0.2">
      <c r="E19273" s="18"/>
      <c r="F19273" s="18"/>
    </row>
    <row r="19274" spans="5:6" ht="15" customHeight="1" x14ac:dyDescent="0.2">
      <c r="E19274" s="18"/>
      <c r="F19274" s="18"/>
    </row>
    <row r="19275" spans="5:6" ht="15" customHeight="1" x14ac:dyDescent="0.2">
      <c r="E19275" s="18"/>
      <c r="F19275" s="18"/>
    </row>
    <row r="19276" spans="5:6" ht="15" customHeight="1" x14ac:dyDescent="0.2">
      <c r="E19276" s="18"/>
      <c r="F19276" s="18"/>
    </row>
    <row r="19277" spans="5:6" ht="15" customHeight="1" x14ac:dyDescent="0.2">
      <c r="E19277" s="18"/>
      <c r="F19277" s="18"/>
    </row>
    <row r="19278" spans="5:6" ht="15" customHeight="1" x14ac:dyDescent="0.2">
      <c r="E19278" s="18"/>
      <c r="F19278" s="18"/>
    </row>
    <row r="19279" spans="5:6" ht="15" customHeight="1" x14ac:dyDescent="0.2">
      <c r="E19279" s="18"/>
      <c r="F19279" s="18"/>
    </row>
    <row r="19280" spans="5:6" ht="15" customHeight="1" x14ac:dyDescent="0.2">
      <c r="E19280" s="18"/>
      <c r="F19280" s="18"/>
    </row>
    <row r="19281" spans="5:6" ht="15" customHeight="1" x14ac:dyDescent="0.2">
      <c r="E19281" s="18"/>
      <c r="F19281" s="18"/>
    </row>
    <row r="19282" spans="5:6" ht="15" customHeight="1" x14ac:dyDescent="0.2">
      <c r="E19282" s="18"/>
      <c r="F19282" s="18"/>
    </row>
    <row r="19283" spans="5:6" ht="15" customHeight="1" x14ac:dyDescent="0.2">
      <c r="E19283" s="18"/>
      <c r="F19283" s="18"/>
    </row>
    <row r="19284" spans="5:6" ht="15" customHeight="1" x14ac:dyDescent="0.2">
      <c r="E19284" s="18"/>
      <c r="F19284" s="18"/>
    </row>
    <row r="19285" spans="5:6" ht="15" customHeight="1" x14ac:dyDescent="0.2">
      <c r="E19285" s="18"/>
      <c r="F19285" s="18"/>
    </row>
    <row r="19286" spans="5:6" ht="15" customHeight="1" x14ac:dyDescent="0.2">
      <c r="E19286" s="18"/>
      <c r="F19286" s="18"/>
    </row>
    <row r="19287" spans="5:6" ht="15" customHeight="1" x14ac:dyDescent="0.2">
      <c r="E19287" s="18"/>
      <c r="F19287" s="18"/>
    </row>
    <row r="19288" spans="5:6" ht="15" customHeight="1" x14ac:dyDescent="0.2">
      <c r="E19288" s="18"/>
      <c r="F19288" s="18"/>
    </row>
    <row r="19289" spans="5:6" ht="15" customHeight="1" x14ac:dyDescent="0.2">
      <c r="E19289" s="18"/>
      <c r="F19289" s="18"/>
    </row>
    <row r="19290" spans="5:6" ht="15" customHeight="1" x14ac:dyDescent="0.2">
      <c r="E19290" s="18"/>
      <c r="F19290" s="18"/>
    </row>
    <row r="19291" spans="5:6" ht="15" customHeight="1" x14ac:dyDescent="0.2">
      <c r="E19291" s="18"/>
      <c r="F19291" s="18"/>
    </row>
    <row r="19292" spans="5:6" ht="15" customHeight="1" x14ac:dyDescent="0.2">
      <c r="E19292" s="18"/>
      <c r="F19292" s="18"/>
    </row>
    <row r="19293" spans="5:6" ht="15" customHeight="1" x14ac:dyDescent="0.2">
      <c r="E19293" s="18"/>
      <c r="F19293" s="18"/>
    </row>
    <row r="19294" spans="5:6" ht="15" customHeight="1" x14ac:dyDescent="0.2">
      <c r="E19294" s="18"/>
      <c r="F19294" s="18"/>
    </row>
    <row r="19295" spans="5:6" ht="15" customHeight="1" x14ac:dyDescent="0.2">
      <c r="E19295" s="18"/>
      <c r="F19295" s="18"/>
    </row>
    <row r="19296" spans="5:6" ht="15" customHeight="1" x14ac:dyDescent="0.2">
      <c r="E19296" s="18"/>
      <c r="F19296" s="18"/>
    </row>
    <row r="19297" spans="5:6" ht="15" customHeight="1" x14ac:dyDescent="0.2">
      <c r="E19297" s="18"/>
      <c r="F19297" s="18"/>
    </row>
    <row r="19298" spans="5:6" ht="15" customHeight="1" x14ac:dyDescent="0.2">
      <c r="E19298" s="18"/>
      <c r="F19298" s="18"/>
    </row>
    <row r="19299" spans="5:6" ht="15" customHeight="1" x14ac:dyDescent="0.2">
      <c r="E19299" s="18"/>
      <c r="F19299" s="18"/>
    </row>
    <row r="19300" spans="5:6" ht="15" customHeight="1" x14ac:dyDescent="0.2">
      <c r="E19300" s="18"/>
      <c r="F19300" s="18"/>
    </row>
    <row r="19301" spans="5:6" ht="15" customHeight="1" x14ac:dyDescent="0.2">
      <c r="E19301" s="18"/>
      <c r="F19301" s="18"/>
    </row>
    <row r="19302" spans="5:6" ht="15" customHeight="1" x14ac:dyDescent="0.2">
      <c r="E19302" s="18"/>
      <c r="F19302" s="18"/>
    </row>
    <row r="19303" spans="5:6" ht="15" customHeight="1" x14ac:dyDescent="0.2">
      <c r="E19303" s="18"/>
      <c r="F19303" s="18"/>
    </row>
    <row r="19304" spans="5:6" ht="15" customHeight="1" x14ac:dyDescent="0.2">
      <c r="E19304" s="18"/>
      <c r="F19304" s="18"/>
    </row>
    <row r="19305" spans="5:6" ht="15" customHeight="1" x14ac:dyDescent="0.2">
      <c r="E19305" s="18"/>
      <c r="F19305" s="18"/>
    </row>
    <row r="19306" spans="5:6" ht="15" customHeight="1" x14ac:dyDescent="0.2">
      <c r="E19306" s="18"/>
      <c r="F19306" s="18"/>
    </row>
    <row r="19307" spans="5:6" ht="15" customHeight="1" x14ac:dyDescent="0.2">
      <c r="E19307" s="18"/>
      <c r="F19307" s="18"/>
    </row>
    <row r="19308" spans="5:6" ht="15" customHeight="1" x14ac:dyDescent="0.2">
      <c r="E19308" s="18"/>
      <c r="F19308" s="18"/>
    </row>
    <row r="19309" spans="5:6" ht="15" customHeight="1" x14ac:dyDescent="0.2">
      <c r="E19309" s="18"/>
      <c r="F19309" s="18"/>
    </row>
    <row r="19310" spans="5:6" ht="15" customHeight="1" x14ac:dyDescent="0.2">
      <c r="E19310" s="18"/>
      <c r="F19310" s="18"/>
    </row>
    <row r="19311" spans="5:6" ht="15" customHeight="1" x14ac:dyDescent="0.2">
      <c r="E19311" s="18"/>
      <c r="F19311" s="18"/>
    </row>
    <row r="19312" spans="5:6" ht="15" customHeight="1" x14ac:dyDescent="0.2">
      <c r="E19312" s="18"/>
      <c r="F19312" s="18"/>
    </row>
    <row r="19313" spans="5:6" ht="15" customHeight="1" x14ac:dyDescent="0.2">
      <c r="E19313" s="18"/>
      <c r="F19313" s="18"/>
    </row>
    <row r="19314" spans="5:6" ht="15" customHeight="1" x14ac:dyDescent="0.2">
      <c r="E19314" s="18"/>
      <c r="F19314" s="18"/>
    </row>
    <row r="19315" spans="5:6" ht="15" customHeight="1" x14ac:dyDescent="0.2">
      <c r="E19315" s="18"/>
      <c r="F19315" s="18"/>
    </row>
    <row r="19316" spans="5:6" ht="15" customHeight="1" x14ac:dyDescent="0.2">
      <c r="E19316" s="18"/>
      <c r="F19316" s="18"/>
    </row>
    <row r="19317" spans="5:6" ht="15" customHeight="1" x14ac:dyDescent="0.2">
      <c r="E19317" s="18"/>
      <c r="F19317" s="18"/>
    </row>
    <row r="19318" spans="5:6" ht="15" customHeight="1" x14ac:dyDescent="0.2">
      <c r="E19318" s="18"/>
      <c r="F19318" s="18"/>
    </row>
    <row r="19319" spans="5:6" ht="15" customHeight="1" x14ac:dyDescent="0.2">
      <c r="E19319" s="18"/>
      <c r="F19319" s="18"/>
    </row>
    <row r="19320" spans="5:6" ht="15" customHeight="1" x14ac:dyDescent="0.2">
      <c r="E19320" s="18"/>
      <c r="F19320" s="18"/>
    </row>
    <row r="19321" spans="5:6" ht="15" customHeight="1" x14ac:dyDescent="0.2">
      <c r="E19321" s="18"/>
      <c r="F19321" s="18"/>
    </row>
    <row r="19322" spans="5:6" ht="15" customHeight="1" x14ac:dyDescent="0.2">
      <c r="E19322" s="18"/>
      <c r="F19322" s="18"/>
    </row>
    <row r="19323" spans="5:6" ht="15" customHeight="1" x14ac:dyDescent="0.2">
      <c r="E19323" s="18"/>
      <c r="F19323" s="18"/>
    </row>
    <row r="19324" spans="5:6" ht="15" customHeight="1" x14ac:dyDescent="0.2">
      <c r="E19324" s="18"/>
      <c r="F19324" s="18"/>
    </row>
    <row r="19325" spans="5:6" ht="15" customHeight="1" x14ac:dyDescent="0.2">
      <c r="E19325" s="18"/>
      <c r="F19325" s="18"/>
    </row>
    <row r="19326" spans="5:6" ht="15" customHeight="1" x14ac:dyDescent="0.2">
      <c r="E19326" s="18"/>
      <c r="F19326" s="18"/>
    </row>
    <row r="19327" spans="5:6" ht="15" customHeight="1" x14ac:dyDescent="0.2">
      <c r="E19327" s="18"/>
      <c r="F19327" s="18"/>
    </row>
    <row r="19328" spans="5:6" ht="15" customHeight="1" x14ac:dyDescent="0.2">
      <c r="E19328" s="18"/>
      <c r="F19328" s="18"/>
    </row>
    <row r="19329" spans="5:6" ht="15" customHeight="1" x14ac:dyDescent="0.2">
      <c r="E19329" s="18"/>
      <c r="F19329" s="18"/>
    </row>
    <row r="19330" spans="5:6" ht="15" customHeight="1" x14ac:dyDescent="0.2">
      <c r="E19330" s="18"/>
      <c r="F19330" s="18"/>
    </row>
    <row r="19331" spans="5:6" ht="15" customHeight="1" x14ac:dyDescent="0.2">
      <c r="E19331" s="18"/>
      <c r="F19331" s="18"/>
    </row>
    <row r="19332" spans="5:6" ht="15" customHeight="1" x14ac:dyDescent="0.2">
      <c r="E19332" s="18"/>
      <c r="F19332" s="18"/>
    </row>
    <row r="19333" spans="5:6" ht="15" customHeight="1" x14ac:dyDescent="0.2">
      <c r="E19333" s="18"/>
      <c r="F19333" s="18"/>
    </row>
    <row r="19334" spans="5:6" ht="15" customHeight="1" x14ac:dyDescent="0.2">
      <c r="E19334" s="18"/>
      <c r="F19334" s="18"/>
    </row>
    <row r="19335" spans="5:6" ht="15" customHeight="1" x14ac:dyDescent="0.2">
      <c r="E19335" s="18"/>
      <c r="F19335" s="18"/>
    </row>
    <row r="19336" spans="5:6" ht="15" customHeight="1" x14ac:dyDescent="0.2">
      <c r="E19336" s="18"/>
      <c r="F19336" s="18"/>
    </row>
    <row r="19337" spans="5:6" ht="15" customHeight="1" x14ac:dyDescent="0.2">
      <c r="E19337" s="18"/>
      <c r="F19337" s="18"/>
    </row>
    <row r="19338" spans="5:6" ht="15" customHeight="1" x14ac:dyDescent="0.2">
      <c r="E19338" s="18"/>
      <c r="F19338" s="18"/>
    </row>
    <row r="19339" spans="5:6" ht="15" customHeight="1" x14ac:dyDescent="0.2">
      <c r="E19339" s="18"/>
      <c r="F19339" s="18"/>
    </row>
    <row r="19340" spans="5:6" ht="15" customHeight="1" x14ac:dyDescent="0.2">
      <c r="E19340" s="18"/>
      <c r="F19340" s="18"/>
    </row>
    <row r="19341" spans="5:6" ht="15" customHeight="1" x14ac:dyDescent="0.2">
      <c r="E19341" s="18"/>
      <c r="F19341" s="18"/>
    </row>
    <row r="19342" spans="5:6" ht="15" customHeight="1" x14ac:dyDescent="0.2">
      <c r="E19342" s="18"/>
      <c r="F19342" s="18"/>
    </row>
    <row r="19343" spans="5:6" ht="15" customHeight="1" x14ac:dyDescent="0.2">
      <c r="E19343" s="18"/>
      <c r="F19343" s="18"/>
    </row>
    <row r="19344" spans="5:6" ht="15" customHeight="1" x14ac:dyDescent="0.2">
      <c r="E19344" s="18"/>
      <c r="F19344" s="18"/>
    </row>
    <row r="19345" spans="5:6" ht="15" customHeight="1" x14ac:dyDescent="0.2">
      <c r="E19345" s="18"/>
      <c r="F19345" s="18"/>
    </row>
    <row r="19346" spans="5:6" ht="15" customHeight="1" x14ac:dyDescent="0.2">
      <c r="E19346" s="18"/>
      <c r="F19346" s="18"/>
    </row>
    <row r="19347" spans="5:6" ht="15" customHeight="1" x14ac:dyDescent="0.2">
      <c r="E19347" s="18"/>
      <c r="F19347" s="18"/>
    </row>
    <row r="19348" spans="5:6" ht="15" customHeight="1" x14ac:dyDescent="0.2">
      <c r="E19348" s="18"/>
      <c r="F19348" s="18"/>
    </row>
    <row r="19349" spans="5:6" ht="15" customHeight="1" x14ac:dyDescent="0.2">
      <c r="E19349" s="18"/>
      <c r="F19349" s="18"/>
    </row>
    <row r="19350" spans="5:6" ht="15" customHeight="1" x14ac:dyDescent="0.2">
      <c r="E19350" s="18"/>
      <c r="F19350" s="18"/>
    </row>
    <row r="19351" spans="5:6" ht="15" customHeight="1" x14ac:dyDescent="0.2">
      <c r="E19351" s="18"/>
      <c r="F19351" s="18"/>
    </row>
    <row r="19352" spans="5:6" ht="15" customHeight="1" x14ac:dyDescent="0.2">
      <c r="E19352" s="18"/>
      <c r="F19352" s="18"/>
    </row>
    <row r="19353" spans="5:6" ht="15" customHeight="1" x14ac:dyDescent="0.2">
      <c r="E19353" s="18"/>
      <c r="F19353" s="18"/>
    </row>
    <row r="19354" spans="5:6" ht="15" customHeight="1" x14ac:dyDescent="0.2">
      <c r="E19354" s="18"/>
      <c r="F19354" s="18"/>
    </row>
    <row r="19355" spans="5:6" ht="15" customHeight="1" x14ac:dyDescent="0.2">
      <c r="E19355" s="18"/>
      <c r="F19355" s="18"/>
    </row>
    <row r="19356" spans="5:6" ht="15" customHeight="1" x14ac:dyDescent="0.2">
      <c r="E19356" s="18"/>
      <c r="F19356" s="18"/>
    </row>
    <row r="19357" spans="5:6" ht="15" customHeight="1" x14ac:dyDescent="0.2">
      <c r="E19357" s="18"/>
      <c r="F19357" s="18"/>
    </row>
    <row r="19358" spans="5:6" ht="15" customHeight="1" x14ac:dyDescent="0.2">
      <c r="E19358" s="18"/>
      <c r="F19358" s="18"/>
    </row>
    <row r="19359" spans="5:6" ht="15" customHeight="1" x14ac:dyDescent="0.2">
      <c r="E19359" s="18"/>
      <c r="F19359" s="18"/>
    </row>
    <row r="19360" spans="5:6" ht="15" customHeight="1" x14ac:dyDescent="0.2">
      <c r="E19360" s="18"/>
      <c r="F19360" s="18"/>
    </row>
    <row r="19361" spans="5:6" ht="15" customHeight="1" x14ac:dyDescent="0.2">
      <c r="E19361" s="18"/>
      <c r="F19361" s="18"/>
    </row>
    <row r="19362" spans="5:6" ht="15" customHeight="1" x14ac:dyDescent="0.2">
      <c r="E19362" s="18"/>
      <c r="F19362" s="18"/>
    </row>
    <row r="19363" spans="5:6" ht="15" customHeight="1" x14ac:dyDescent="0.2">
      <c r="E19363" s="18"/>
      <c r="F19363" s="18"/>
    </row>
    <row r="19364" spans="5:6" ht="15" customHeight="1" x14ac:dyDescent="0.2">
      <c r="E19364" s="18"/>
      <c r="F19364" s="18"/>
    </row>
    <row r="19365" spans="5:6" ht="15" customHeight="1" x14ac:dyDescent="0.2">
      <c r="E19365" s="18"/>
      <c r="F19365" s="18"/>
    </row>
    <row r="19366" spans="5:6" ht="15" customHeight="1" x14ac:dyDescent="0.2">
      <c r="E19366" s="18"/>
      <c r="F19366" s="18"/>
    </row>
    <row r="19367" spans="5:6" ht="15" customHeight="1" x14ac:dyDescent="0.2">
      <c r="E19367" s="18"/>
      <c r="F19367" s="18"/>
    </row>
    <row r="19368" spans="5:6" ht="15" customHeight="1" x14ac:dyDescent="0.2">
      <c r="E19368" s="18"/>
      <c r="F19368" s="18"/>
    </row>
    <row r="19369" spans="5:6" ht="15" customHeight="1" x14ac:dyDescent="0.2">
      <c r="E19369" s="18"/>
      <c r="F19369" s="18"/>
    </row>
    <row r="19370" spans="5:6" ht="15" customHeight="1" x14ac:dyDescent="0.2">
      <c r="E19370" s="18"/>
      <c r="F19370" s="18"/>
    </row>
    <row r="19371" spans="5:6" ht="15" customHeight="1" x14ac:dyDescent="0.2">
      <c r="E19371" s="18"/>
      <c r="F19371" s="18"/>
    </row>
    <row r="19372" spans="5:6" ht="15" customHeight="1" x14ac:dyDescent="0.2">
      <c r="E19372" s="18"/>
      <c r="F19372" s="18"/>
    </row>
    <row r="19373" spans="5:6" ht="15" customHeight="1" x14ac:dyDescent="0.2">
      <c r="E19373" s="18"/>
      <c r="F19373" s="18"/>
    </row>
    <row r="19374" spans="5:6" ht="15" customHeight="1" x14ac:dyDescent="0.2">
      <c r="E19374" s="18"/>
      <c r="F19374" s="18"/>
    </row>
    <row r="19375" spans="5:6" ht="15" customHeight="1" x14ac:dyDescent="0.2">
      <c r="E19375" s="18"/>
      <c r="F19375" s="18"/>
    </row>
    <row r="19376" spans="5:6" ht="15" customHeight="1" x14ac:dyDescent="0.2">
      <c r="E19376" s="18"/>
      <c r="F19376" s="18"/>
    </row>
    <row r="19377" spans="5:6" ht="15" customHeight="1" x14ac:dyDescent="0.2">
      <c r="E19377" s="18"/>
      <c r="F19377" s="18"/>
    </row>
    <row r="19378" spans="5:6" ht="15" customHeight="1" x14ac:dyDescent="0.2">
      <c r="E19378" s="18"/>
      <c r="F19378" s="18"/>
    </row>
    <row r="19379" spans="5:6" ht="15" customHeight="1" x14ac:dyDescent="0.2">
      <c r="E19379" s="18"/>
      <c r="F19379" s="18"/>
    </row>
    <row r="19380" spans="5:6" ht="15" customHeight="1" x14ac:dyDescent="0.2">
      <c r="E19380" s="18"/>
      <c r="F19380" s="18"/>
    </row>
    <row r="19381" spans="5:6" ht="15" customHeight="1" x14ac:dyDescent="0.2">
      <c r="E19381" s="18"/>
      <c r="F19381" s="18"/>
    </row>
    <row r="19382" spans="5:6" ht="15" customHeight="1" x14ac:dyDescent="0.2">
      <c r="E19382" s="18"/>
      <c r="F19382" s="18"/>
    </row>
    <row r="19383" spans="5:6" ht="15" customHeight="1" x14ac:dyDescent="0.2">
      <c r="E19383" s="18"/>
      <c r="F19383" s="18"/>
    </row>
    <row r="19384" spans="5:6" ht="15" customHeight="1" x14ac:dyDescent="0.2">
      <c r="E19384" s="18"/>
      <c r="F19384" s="18"/>
    </row>
    <row r="19385" spans="5:6" ht="15" customHeight="1" x14ac:dyDescent="0.2">
      <c r="E19385" s="18"/>
      <c r="F19385" s="18"/>
    </row>
    <row r="19386" spans="5:6" ht="15" customHeight="1" x14ac:dyDescent="0.2">
      <c r="E19386" s="18"/>
      <c r="F19386" s="18"/>
    </row>
    <row r="19387" spans="5:6" ht="15" customHeight="1" x14ac:dyDescent="0.2">
      <c r="E19387" s="18"/>
      <c r="F19387" s="18"/>
    </row>
    <row r="19388" spans="5:6" ht="15" customHeight="1" x14ac:dyDescent="0.2">
      <c r="E19388" s="18"/>
      <c r="F19388" s="18"/>
    </row>
    <row r="19389" spans="5:6" ht="15" customHeight="1" x14ac:dyDescent="0.2">
      <c r="E19389" s="18"/>
      <c r="F19389" s="18"/>
    </row>
    <row r="19390" spans="5:6" ht="15" customHeight="1" x14ac:dyDescent="0.2">
      <c r="E19390" s="18"/>
      <c r="F19390" s="18"/>
    </row>
    <row r="19391" spans="5:6" ht="15" customHeight="1" x14ac:dyDescent="0.2">
      <c r="E19391" s="18"/>
      <c r="F19391" s="18"/>
    </row>
    <row r="19392" spans="5:6" ht="15" customHeight="1" x14ac:dyDescent="0.2">
      <c r="E19392" s="18"/>
      <c r="F19392" s="18"/>
    </row>
    <row r="19393" spans="5:6" ht="15" customHeight="1" x14ac:dyDescent="0.2">
      <c r="E19393" s="18"/>
      <c r="F19393" s="18"/>
    </row>
    <row r="19394" spans="5:6" ht="15" customHeight="1" x14ac:dyDescent="0.2">
      <c r="E19394" s="18"/>
      <c r="F19394" s="18"/>
    </row>
    <row r="19395" spans="5:6" ht="15" customHeight="1" x14ac:dyDescent="0.2">
      <c r="E19395" s="18"/>
      <c r="F19395" s="18"/>
    </row>
    <row r="19396" spans="5:6" ht="15" customHeight="1" x14ac:dyDescent="0.2">
      <c r="E19396" s="18"/>
      <c r="F19396" s="18"/>
    </row>
    <row r="19397" spans="5:6" ht="15" customHeight="1" x14ac:dyDescent="0.2">
      <c r="E19397" s="18"/>
      <c r="F19397" s="18"/>
    </row>
    <row r="19398" spans="5:6" ht="15" customHeight="1" x14ac:dyDescent="0.2">
      <c r="E19398" s="18"/>
      <c r="F19398" s="18"/>
    </row>
    <row r="19399" spans="5:6" ht="15" customHeight="1" x14ac:dyDescent="0.2">
      <c r="E19399" s="18"/>
      <c r="F19399" s="18"/>
    </row>
    <row r="19400" spans="5:6" ht="15" customHeight="1" x14ac:dyDescent="0.2">
      <c r="E19400" s="18"/>
      <c r="F19400" s="18"/>
    </row>
    <row r="19401" spans="5:6" ht="15" customHeight="1" x14ac:dyDescent="0.2">
      <c r="E19401" s="18"/>
      <c r="F19401" s="18"/>
    </row>
    <row r="19402" spans="5:6" ht="15" customHeight="1" x14ac:dyDescent="0.2">
      <c r="E19402" s="18"/>
      <c r="F19402" s="18"/>
    </row>
    <row r="19403" spans="5:6" ht="15" customHeight="1" x14ac:dyDescent="0.2">
      <c r="E19403" s="18"/>
      <c r="F19403" s="18"/>
    </row>
    <row r="19404" spans="5:6" ht="15" customHeight="1" x14ac:dyDescent="0.2">
      <c r="E19404" s="18"/>
      <c r="F19404" s="18"/>
    </row>
    <row r="19405" spans="5:6" ht="15" customHeight="1" x14ac:dyDescent="0.2">
      <c r="E19405" s="18"/>
      <c r="F19405" s="18"/>
    </row>
    <row r="19406" spans="5:6" ht="15" customHeight="1" x14ac:dyDescent="0.2">
      <c r="E19406" s="18"/>
      <c r="F19406" s="18"/>
    </row>
    <row r="19407" spans="5:6" ht="15" customHeight="1" x14ac:dyDescent="0.2">
      <c r="E19407" s="18"/>
      <c r="F19407" s="18"/>
    </row>
    <row r="19408" spans="5:6" ht="15" customHeight="1" x14ac:dyDescent="0.2">
      <c r="E19408" s="18"/>
      <c r="F19408" s="18"/>
    </row>
    <row r="19409" spans="5:6" ht="15" customHeight="1" x14ac:dyDescent="0.2">
      <c r="E19409" s="18"/>
      <c r="F19409" s="18"/>
    </row>
    <row r="19410" spans="5:6" ht="15" customHeight="1" x14ac:dyDescent="0.2">
      <c r="E19410" s="18"/>
      <c r="F19410" s="18"/>
    </row>
    <row r="19411" spans="5:6" ht="15" customHeight="1" x14ac:dyDescent="0.2">
      <c r="E19411" s="18"/>
      <c r="F19411" s="18"/>
    </row>
    <row r="19412" spans="5:6" ht="15" customHeight="1" x14ac:dyDescent="0.2">
      <c r="E19412" s="18"/>
      <c r="F19412" s="18"/>
    </row>
    <row r="19413" spans="5:6" ht="15" customHeight="1" x14ac:dyDescent="0.2">
      <c r="E19413" s="18"/>
      <c r="F19413" s="18"/>
    </row>
    <row r="19414" spans="5:6" ht="15" customHeight="1" x14ac:dyDescent="0.2">
      <c r="E19414" s="18"/>
      <c r="F19414" s="18"/>
    </row>
    <row r="19415" spans="5:6" ht="15" customHeight="1" x14ac:dyDescent="0.2">
      <c r="E19415" s="18"/>
      <c r="F19415" s="18"/>
    </row>
    <row r="19416" spans="5:6" ht="15" customHeight="1" x14ac:dyDescent="0.2">
      <c r="E19416" s="18"/>
      <c r="F19416" s="18"/>
    </row>
    <row r="19417" spans="5:6" ht="15" customHeight="1" x14ac:dyDescent="0.2">
      <c r="E19417" s="18"/>
      <c r="F19417" s="18"/>
    </row>
    <row r="19418" spans="5:6" ht="15" customHeight="1" x14ac:dyDescent="0.2">
      <c r="E19418" s="18"/>
      <c r="F19418" s="18"/>
    </row>
    <row r="19419" spans="5:6" ht="15" customHeight="1" x14ac:dyDescent="0.2">
      <c r="E19419" s="18"/>
      <c r="F19419" s="18"/>
    </row>
    <row r="19420" spans="5:6" ht="15" customHeight="1" x14ac:dyDescent="0.2">
      <c r="E19420" s="18"/>
      <c r="F19420" s="18"/>
    </row>
    <row r="19421" spans="5:6" ht="15" customHeight="1" x14ac:dyDescent="0.2">
      <c r="E19421" s="18"/>
      <c r="F19421" s="18"/>
    </row>
    <row r="19422" spans="5:6" ht="15" customHeight="1" x14ac:dyDescent="0.2">
      <c r="E19422" s="18"/>
      <c r="F19422" s="18"/>
    </row>
    <row r="19423" spans="5:6" ht="15" customHeight="1" x14ac:dyDescent="0.2">
      <c r="E19423" s="18"/>
      <c r="F19423" s="18"/>
    </row>
    <row r="19424" spans="5:6" ht="15" customHeight="1" x14ac:dyDescent="0.2">
      <c r="E19424" s="18"/>
      <c r="F19424" s="18"/>
    </row>
    <row r="19425" spans="5:6" ht="15" customHeight="1" x14ac:dyDescent="0.2">
      <c r="E19425" s="18"/>
      <c r="F19425" s="18"/>
    </row>
    <row r="19426" spans="5:6" ht="15" customHeight="1" x14ac:dyDescent="0.2">
      <c r="E19426" s="18"/>
      <c r="F19426" s="18"/>
    </row>
    <row r="19427" spans="5:6" ht="15" customHeight="1" x14ac:dyDescent="0.2">
      <c r="E19427" s="18"/>
      <c r="F19427" s="18"/>
    </row>
    <row r="19428" spans="5:6" ht="15" customHeight="1" x14ac:dyDescent="0.2">
      <c r="E19428" s="18"/>
      <c r="F19428" s="18"/>
    </row>
    <row r="19429" spans="5:6" ht="15" customHeight="1" x14ac:dyDescent="0.2">
      <c r="E19429" s="18"/>
      <c r="F19429" s="18"/>
    </row>
    <row r="19430" spans="5:6" ht="15" customHeight="1" x14ac:dyDescent="0.2">
      <c r="E19430" s="18"/>
      <c r="F19430" s="18"/>
    </row>
    <row r="19431" spans="5:6" ht="15" customHeight="1" x14ac:dyDescent="0.2">
      <c r="E19431" s="18"/>
      <c r="F19431" s="18"/>
    </row>
    <row r="19432" spans="5:6" ht="15" customHeight="1" x14ac:dyDescent="0.2">
      <c r="E19432" s="18"/>
      <c r="F19432" s="18"/>
    </row>
    <row r="19433" spans="5:6" ht="15" customHeight="1" x14ac:dyDescent="0.2">
      <c r="E19433" s="18"/>
      <c r="F19433" s="18"/>
    </row>
    <row r="19434" spans="5:6" ht="15" customHeight="1" x14ac:dyDescent="0.2">
      <c r="E19434" s="18"/>
      <c r="F19434" s="18"/>
    </row>
    <row r="19435" spans="5:6" ht="15" customHeight="1" x14ac:dyDescent="0.2">
      <c r="E19435" s="18"/>
      <c r="F19435" s="18"/>
    </row>
    <row r="19436" spans="5:6" ht="15" customHeight="1" x14ac:dyDescent="0.2">
      <c r="E19436" s="18"/>
      <c r="F19436" s="18"/>
    </row>
    <row r="19437" spans="5:6" ht="15" customHeight="1" x14ac:dyDescent="0.2">
      <c r="E19437" s="18"/>
      <c r="F19437" s="18"/>
    </row>
    <row r="19438" spans="5:6" ht="15" customHeight="1" x14ac:dyDescent="0.2">
      <c r="E19438" s="18"/>
      <c r="F19438" s="18"/>
    </row>
    <row r="19439" spans="5:6" ht="15" customHeight="1" x14ac:dyDescent="0.2">
      <c r="E19439" s="18"/>
      <c r="F19439" s="18"/>
    </row>
    <row r="19440" spans="5:6" ht="15" customHeight="1" x14ac:dyDescent="0.2">
      <c r="E19440" s="18"/>
      <c r="F19440" s="18"/>
    </row>
    <row r="19441" spans="5:6" ht="15" customHeight="1" x14ac:dyDescent="0.2">
      <c r="E19441" s="18"/>
      <c r="F19441" s="18"/>
    </row>
    <row r="19442" spans="5:6" ht="15" customHeight="1" x14ac:dyDescent="0.2">
      <c r="E19442" s="18"/>
      <c r="F19442" s="18"/>
    </row>
    <row r="19443" spans="5:6" ht="15" customHeight="1" x14ac:dyDescent="0.2">
      <c r="E19443" s="18"/>
      <c r="F19443" s="18"/>
    </row>
    <row r="19444" spans="5:6" ht="15" customHeight="1" x14ac:dyDescent="0.2">
      <c r="E19444" s="18"/>
      <c r="F19444" s="18"/>
    </row>
    <row r="19445" spans="5:6" ht="15" customHeight="1" x14ac:dyDescent="0.2">
      <c r="E19445" s="18"/>
      <c r="F19445" s="18"/>
    </row>
    <row r="19446" spans="5:6" ht="15" customHeight="1" x14ac:dyDescent="0.2">
      <c r="E19446" s="18"/>
      <c r="F19446" s="18"/>
    </row>
    <row r="19447" spans="5:6" ht="15" customHeight="1" x14ac:dyDescent="0.2">
      <c r="E19447" s="18"/>
      <c r="F19447" s="18"/>
    </row>
    <row r="19448" spans="5:6" ht="15" customHeight="1" x14ac:dyDescent="0.2">
      <c r="E19448" s="18"/>
      <c r="F19448" s="18"/>
    </row>
    <row r="19449" spans="5:6" ht="15" customHeight="1" x14ac:dyDescent="0.2">
      <c r="E19449" s="18"/>
      <c r="F19449" s="18"/>
    </row>
    <row r="19450" spans="5:6" ht="15" customHeight="1" x14ac:dyDescent="0.2">
      <c r="E19450" s="18"/>
      <c r="F19450" s="18"/>
    </row>
    <row r="19451" spans="5:6" ht="15" customHeight="1" x14ac:dyDescent="0.2">
      <c r="E19451" s="18"/>
      <c r="F19451" s="18"/>
    </row>
    <row r="19452" spans="5:6" ht="15" customHeight="1" x14ac:dyDescent="0.2">
      <c r="E19452" s="18"/>
      <c r="F19452" s="18"/>
    </row>
    <row r="19453" spans="5:6" ht="15" customHeight="1" x14ac:dyDescent="0.2">
      <c r="E19453" s="18"/>
      <c r="F19453" s="18"/>
    </row>
    <row r="19454" spans="5:6" ht="15" customHeight="1" x14ac:dyDescent="0.2">
      <c r="E19454" s="18"/>
      <c r="F19454" s="18"/>
    </row>
    <row r="19455" spans="5:6" ht="15" customHeight="1" x14ac:dyDescent="0.2">
      <c r="E19455" s="18"/>
      <c r="F19455" s="18"/>
    </row>
    <row r="19456" spans="5:6" ht="15" customHeight="1" x14ac:dyDescent="0.2">
      <c r="E19456" s="18"/>
      <c r="F19456" s="18"/>
    </row>
    <row r="19457" spans="5:6" ht="15" customHeight="1" x14ac:dyDescent="0.2">
      <c r="E19457" s="18"/>
      <c r="F19457" s="18"/>
    </row>
    <row r="19458" spans="5:6" ht="15" customHeight="1" x14ac:dyDescent="0.2">
      <c r="E19458" s="18"/>
      <c r="F19458" s="18"/>
    </row>
    <row r="19459" spans="5:6" ht="15" customHeight="1" x14ac:dyDescent="0.2">
      <c r="E19459" s="18"/>
      <c r="F19459" s="18"/>
    </row>
    <row r="19460" spans="5:6" ht="15" customHeight="1" x14ac:dyDescent="0.2">
      <c r="E19460" s="18"/>
      <c r="F19460" s="18"/>
    </row>
    <row r="19461" spans="5:6" ht="15" customHeight="1" x14ac:dyDescent="0.2">
      <c r="E19461" s="18"/>
      <c r="F19461" s="18"/>
    </row>
    <row r="19462" spans="5:6" ht="15" customHeight="1" x14ac:dyDescent="0.2">
      <c r="E19462" s="18"/>
      <c r="F19462" s="18"/>
    </row>
    <row r="19463" spans="5:6" ht="15" customHeight="1" x14ac:dyDescent="0.2">
      <c r="E19463" s="18"/>
      <c r="F19463" s="18"/>
    </row>
    <row r="19464" spans="5:6" ht="15" customHeight="1" x14ac:dyDescent="0.2">
      <c r="E19464" s="18"/>
      <c r="F19464" s="18"/>
    </row>
    <row r="19465" spans="5:6" ht="15" customHeight="1" x14ac:dyDescent="0.2">
      <c r="E19465" s="18"/>
      <c r="F19465" s="18"/>
    </row>
    <row r="19466" spans="5:6" ht="15" customHeight="1" x14ac:dyDescent="0.2">
      <c r="E19466" s="18"/>
      <c r="F19466" s="18"/>
    </row>
    <row r="19467" spans="5:6" ht="15" customHeight="1" x14ac:dyDescent="0.2">
      <c r="E19467" s="18"/>
      <c r="F19467" s="18"/>
    </row>
    <row r="19468" spans="5:6" ht="15" customHeight="1" x14ac:dyDescent="0.2">
      <c r="E19468" s="18"/>
      <c r="F19468" s="18"/>
    </row>
    <row r="19469" spans="5:6" ht="15" customHeight="1" x14ac:dyDescent="0.2">
      <c r="E19469" s="18"/>
      <c r="F19469" s="18"/>
    </row>
    <row r="19470" spans="5:6" ht="15" customHeight="1" x14ac:dyDescent="0.2">
      <c r="E19470" s="18"/>
      <c r="F19470" s="18"/>
    </row>
    <row r="19471" spans="5:6" ht="15" customHeight="1" x14ac:dyDescent="0.2">
      <c r="E19471" s="18"/>
      <c r="F19471" s="18"/>
    </row>
    <row r="19472" spans="5:6" ht="15" customHeight="1" x14ac:dyDescent="0.2">
      <c r="E19472" s="18"/>
      <c r="F19472" s="18"/>
    </row>
    <row r="19473" spans="5:6" ht="15" customHeight="1" x14ac:dyDescent="0.2">
      <c r="E19473" s="18"/>
      <c r="F19473" s="18"/>
    </row>
    <row r="19474" spans="5:6" ht="15" customHeight="1" x14ac:dyDescent="0.2">
      <c r="E19474" s="18"/>
      <c r="F19474" s="18"/>
    </row>
    <row r="19475" spans="5:6" ht="15" customHeight="1" x14ac:dyDescent="0.2">
      <c r="E19475" s="18"/>
      <c r="F19475" s="18"/>
    </row>
    <row r="19476" spans="5:6" ht="15" customHeight="1" x14ac:dyDescent="0.2">
      <c r="E19476" s="18"/>
      <c r="F19476" s="18"/>
    </row>
    <row r="19477" spans="5:6" ht="15" customHeight="1" x14ac:dyDescent="0.2">
      <c r="E19477" s="18"/>
      <c r="F19477" s="18"/>
    </row>
    <row r="19478" spans="5:6" ht="15" customHeight="1" x14ac:dyDescent="0.2">
      <c r="E19478" s="18"/>
      <c r="F19478" s="18"/>
    </row>
    <row r="19479" spans="5:6" ht="15" customHeight="1" x14ac:dyDescent="0.2">
      <c r="E19479" s="18"/>
      <c r="F19479" s="18"/>
    </row>
    <row r="19480" spans="5:6" ht="15" customHeight="1" x14ac:dyDescent="0.2">
      <c r="E19480" s="18"/>
      <c r="F19480" s="18"/>
    </row>
    <row r="19481" spans="5:6" ht="15" customHeight="1" x14ac:dyDescent="0.2">
      <c r="E19481" s="18"/>
      <c r="F19481" s="18"/>
    </row>
    <row r="19482" spans="5:6" ht="15" customHeight="1" x14ac:dyDescent="0.2">
      <c r="E19482" s="18"/>
      <c r="F19482" s="18"/>
    </row>
    <row r="19483" spans="5:6" ht="15" customHeight="1" x14ac:dyDescent="0.2">
      <c r="E19483" s="18"/>
      <c r="F19483" s="18"/>
    </row>
    <row r="19484" spans="5:6" ht="15" customHeight="1" x14ac:dyDescent="0.2">
      <c r="E19484" s="18"/>
      <c r="F19484" s="18"/>
    </row>
    <row r="19485" spans="5:6" ht="15" customHeight="1" x14ac:dyDescent="0.2">
      <c r="E19485" s="18"/>
      <c r="F19485" s="18"/>
    </row>
    <row r="19486" spans="5:6" ht="15" customHeight="1" x14ac:dyDescent="0.2">
      <c r="E19486" s="18"/>
      <c r="F19486" s="18"/>
    </row>
    <row r="19487" spans="5:6" ht="15" customHeight="1" x14ac:dyDescent="0.2">
      <c r="E19487" s="18"/>
      <c r="F19487" s="18"/>
    </row>
    <row r="19488" spans="5:6" ht="15" customHeight="1" x14ac:dyDescent="0.2">
      <c r="E19488" s="18"/>
      <c r="F19488" s="18"/>
    </row>
    <row r="19489" spans="5:6" ht="15" customHeight="1" x14ac:dyDescent="0.2">
      <c r="E19489" s="18"/>
      <c r="F19489" s="18"/>
    </row>
    <row r="19490" spans="5:6" ht="15" customHeight="1" x14ac:dyDescent="0.2">
      <c r="E19490" s="18"/>
      <c r="F19490" s="18"/>
    </row>
    <row r="19491" spans="5:6" ht="15" customHeight="1" x14ac:dyDescent="0.2">
      <c r="E19491" s="18"/>
      <c r="F19491" s="18"/>
    </row>
    <row r="19492" spans="5:6" ht="15" customHeight="1" x14ac:dyDescent="0.2">
      <c r="E19492" s="18"/>
      <c r="F19492" s="18"/>
    </row>
    <row r="19493" spans="5:6" ht="15" customHeight="1" x14ac:dyDescent="0.2">
      <c r="E19493" s="18"/>
      <c r="F19493" s="18"/>
    </row>
    <row r="19494" spans="5:6" ht="15" customHeight="1" x14ac:dyDescent="0.2">
      <c r="E19494" s="18"/>
      <c r="F19494" s="18"/>
    </row>
    <row r="19495" spans="5:6" ht="15" customHeight="1" x14ac:dyDescent="0.2">
      <c r="E19495" s="18"/>
      <c r="F19495" s="18"/>
    </row>
    <row r="19496" spans="5:6" ht="15" customHeight="1" x14ac:dyDescent="0.2">
      <c r="E19496" s="18"/>
      <c r="F19496" s="18"/>
    </row>
    <row r="19497" spans="5:6" ht="15" customHeight="1" x14ac:dyDescent="0.2">
      <c r="E19497" s="18"/>
      <c r="F19497" s="18"/>
    </row>
    <row r="19498" spans="5:6" ht="15" customHeight="1" x14ac:dyDescent="0.2">
      <c r="E19498" s="18"/>
      <c r="F19498" s="18"/>
    </row>
    <row r="19499" spans="5:6" ht="15" customHeight="1" x14ac:dyDescent="0.2">
      <c r="E19499" s="18"/>
      <c r="F19499" s="18"/>
    </row>
    <row r="19500" spans="5:6" ht="15" customHeight="1" x14ac:dyDescent="0.2">
      <c r="E19500" s="18"/>
      <c r="F19500" s="18"/>
    </row>
    <row r="19501" spans="5:6" ht="15" customHeight="1" x14ac:dyDescent="0.2">
      <c r="E19501" s="18"/>
      <c r="F19501" s="18"/>
    </row>
    <row r="19502" spans="5:6" ht="15" customHeight="1" x14ac:dyDescent="0.2">
      <c r="E19502" s="18"/>
      <c r="F19502" s="18"/>
    </row>
    <row r="19503" spans="5:6" ht="15" customHeight="1" x14ac:dyDescent="0.2">
      <c r="E19503" s="18"/>
      <c r="F19503" s="18"/>
    </row>
    <row r="19504" spans="5:6" ht="15" customHeight="1" x14ac:dyDescent="0.2">
      <c r="E19504" s="18"/>
      <c r="F19504" s="18"/>
    </row>
    <row r="19505" spans="5:6" ht="15" customHeight="1" x14ac:dyDescent="0.2">
      <c r="E19505" s="18"/>
      <c r="F19505" s="18"/>
    </row>
    <row r="19506" spans="5:6" ht="15" customHeight="1" x14ac:dyDescent="0.2">
      <c r="E19506" s="18"/>
      <c r="F19506" s="18"/>
    </row>
    <row r="19507" spans="5:6" ht="15" customHeight="1" x14ac:dyDescent="0.2">
      <c r="E19507" s="18"/>
      <c r="F19507" s="18"/>
    </row>
    <row r="19508" spans="5:6" ht="15" customHeight="1" x14ac:dyDescent="0.2">
      <c r="E19508" s="18"/>
      <c r="F19508" s="18"/>
    </row>
    <row r="19509" spans="5:6" ht="15" customHeight="1" x14ac:dyDescent="0.2">
      <c r="E19509" s="18"/>
      <c r="F19509" s="18"/>
    </row>
    <row r="19510" spans="5:6" ht="15" customHeight="1" x14ac:dyDescent="0.2">
      <c r="E19510" s="18"/>
      <c r="F19510" s="18"/>
    </row>
    <row r="19511" spans="5:6" ht="15" customHeight="1" x14ac:dyDescent="0.2">
      <c r="E19511" s="18"/>
      <c r="F19511" s="18"/>
    </row>
    <row r="19512" spans="5:6" ht="15" customHeight="1" x14ac:dyDescent="0.2">
      <c r="E19512" s="18"/>
      <c r="F19512" s="18"/>
    </row>
    <row r="19513" spans="5:6" ht="15" customHeight="1" x14ac:dyDescent="0.2">
      <c r="E19513" s="18"/>
      <c r="F19513" s="18"/>
    </row>
    <row r="19514" spans="5:6" ht="15" customHeight="1" x14ac:dyDescent="0.2">
      <c r="E19514" s="18"/>
      <c r="F19514" s="18"/>
    </row>
    <row r="19515" spans="5:6" ht="15" customHeight="1" x14ac:dyDescent="0.2">
      <c r="E19515" s="18"/>
      <c r="F19515" s="18"/>
    </row>
    <row r="19516" spans="5:6" ht="15" customHeight="1" x14ac:dyDescent="0.2">
      <c r="E19516" s="18"/>
      <c r="F19516" s="18"/>
    </row>
    <row r="19517" spans="5:6" ht="15" customHeight="1" x14ac:dyDescent="0.2">
      <c r="E19517" s="18"/>
      <c r="F19517" s="18"/>
    </row>
    <row r="19518" spans="5:6" ht="15" customHeight="1" x14ac:dyDescent="0.2">
      <c r="E19518" s="18"/>
      <c r="F19518" s="18"/>
    </row>
    <row r="19519" spans="5:6" ht="15" customHeight="1" x14ac:dyDescent="0.2">
      <c r="E19519" s="18"/>
      <c r="F19519" s="18"/>
    </row>
    <row r="19520" spans="5:6" ht="15" customHeight="1" x14ac:dyDescent="0.2">
      <c r="E19520" s="18"/>
      <c r="F19520" s="18"/>
    </row>
    <row r="19521" spans="5:6" ht="15" customHeight="1" x14ac:dyDescent="0.2">
      <c r="E19521" s="18"/>
      <c r="F19521" s="18"/>
    </row>
    <row r="19522" spans="5:6" ht="15" customHeight="1" x14ac:dyDescent="0.2">
      <c r="E19522" s="18"/>
      <c r="F19522" s="18"/>
    </row>
    <row r="19523" spans="5:6" ht="15" customHeight="1" x14ac:dyDescent="0.2">
      <c r="E19523" s="18"/>
      <c r="F19523" s="18"/>
    </row>
    <row r="19524" spans="5:6" ht="15" customHeight="1" x14ac:dyDescent="0.2">
      <c r="E19524" s="18"/>
      <c r="F19524" s="18"/>
    </row>
    <row r="19525" spans="5:6" ht="15" customHeight="1" x14ac:dyDescent="0.2">
      <c r="E19525" s="18"/>
      <c r="F19525" s="18"/>
    </row>
    <row r="19526" spans="5:6" ht="15" customHeight="1" x14ac:dyDescent="0.2">
      <c r="E19526" s="18"/>
      <c r="F19526" s="18"/>
    </row>
    <row r="19527" spans="5:6" ht="15" customHeight="1" x14ac:dyDescent="0.2">
      <c r="E19527" s="18"/>
      <c r="F19527" s="18"/>
    </row>
    <row r="19528" spans="5:6" ht="15" customHeight="1" x14ac:dyDescent="0.2">
      <c r="E19528" s="18"/>
      <c r="F19528" s="18"/>
    </row>
    <row r="19529" spans="5:6" ht="15" customHeight="1" x14ac:dyDescent="0.2">
      <c r="E19529" s="18"/>
      <c r="F19529" s="18"/>
    </row>
    <row r="19530" spans="5:6" ht="15" customHeight="1" x14ac:dyDescent="0.2">
      <c r="E19530" s="18"/>
      <c r="F19530" s="18"/>
    </row>
    <row r="19531" spans="5:6" ht="15" customHeight="1" x14ac:dyDescent="0.2">
      <c r="E19531" s="18"/>
      <c r="F19531" s="18"/>
    </row>
    <row r="19532" spans="5:6" ht="15" customHeight="1" x14ac:dyDescent="0.2">
      <c r="E19532" s="18"/>
      <c r="F19532" s="18"/>
    </row>
    <row r="19533" spans="5:6" ht="15" customHeight="1" x14ac:dyDescent="0.2">
      <c r="E19533" s="18"/>
      <c r="F19533" s="18"/>
    </row>
    <row r="19534" spans="5:6" ht="15" customHeight="1" x14ac:dyDescent="0.2">
      <c r="E19534" s="18"/>
      <c r="F19534" s="18"/>
    </row>
    <row r="19535" spans="5:6" ht="15" customHeight="1" x14ac:dyDescent="0.2">
      <c r="E19535" s="18"/>
      <c r="F19535" s="18"/>
    </row>
    <row r="19536" spans="5:6" ht="15" customHeight="1" x14ac:dyDescent="0.2">
      <c r="E19536" s="18"/>
      <c r="F19536" s="18"/>
    </row>
    <row r="19537" spans="5:6" ht="15" customHeight="1" x14ac:dyDescent="0.2">
      <c r="E19537" s="18"/>
      <c r="F19537" s="18"/>
    </row>
    <row r="19538" spans="5:6" ht="15" customHeight="1" x14ac:dyDescent="0.2">
      <c r="E19538" s="18"/>
      <c r="F19538" s="18"/>
    </row>
    <row r="19539" spans="5:6" ht="15" customHeight="1" x14ac:dyDescent="0.2">
      <c r="E19539" s="18"/>
      <c r="F19539" s="18"/>
    </row>
    <row r="19540" spans="5:6" ht="15" customHeight="1" x14ac:dyDescent="0.2">
      <c r="E19540" s="18"/>
      <c r="F19540" s="18"/>
    </row>
    <row r="19541" spans="5:6" ht="15" customHeight="1" x14ac:dyDescent="0.2">
      <c r="E19541" s="18"/>
      <c r="F19541" s="18"/>
    </row>
    <row r="19542" spans="5:6" ht="15" customHeight="1" x14ac:dyDescent="0.2">
      <c r="E19542" s="18"/>
      <c r="F19542" s="18"/>
    </row>
    <row r="19543" spans="5:6" ht="15" customHeight="1" x14ac:dyDescent="0.2">
      <c r="E19543" s="18"/>
      <c r="F19543" s="18"/>
    </row>
    <row r="19544" spans="5:6" ht="15" customHeight="1" x14ac:dyDescent="0.2">
      <c r="E19544" s="18"/>
      <c r="F19544" s="18"/>
    </row>
    <row r="19545" spans="5:6" ht="15" customHeight="1" x14ac:dyDescent="0.2">
      <c r="E19545" s="18"/>
      <c r="F19545" s="18"/>
    </row>
    <row r="19546" spans="5:6" ht="15" customHeight="1" x14ac:dyDescent="0.2">
      <c r="E19546" s="18"/>
      <c r="F19546" s="18"/>
    </row>
    <row r="19547" spans="5:6" ht="15" customHeight="1" x14ac:dyDescent="0.2">
      <c r="E19547" s="18"/>
      <c r="F19547" s="18"/>
    </row>
    <row r="19548" spans="5:6" ht="15" customHeight="1" x14ac:dyDescent="0.2">
      <c r="E19548" s="18"/>
      <c r="F19548" s="18"/>
    </row>
    <row r="19549" spans="5:6" ht="15" customHeight="1" x14ac:dyDescent="0.2">
      <c r="E19549" s="18"/>
      <c r="F19549" s="18"/>
    </row>
    <row r="19550" spans="5:6" ht="15" customHeight="1" x14ac:dyDescent="0.2">
      <c r="E19550" s="18"/>
      <c r="F19550" s="18"/>
    </row>
    <row r="19551" spans="5:6" ht="15" customHeight="1" x14ac:dyDescent="0.2">
      <c r="E19551" s="18"/>
      <c r="F19551" s="18"/>
    </row>
    <row r="19552" spans="5:6" ht="15" customHeight="1" x14ac:dyDescent="0.2">
      <c r="E19552" s="18"/>
      <c r="F19552" s="18"/>
    </row>
    <row r="19553" spans="5:6" ht="15" customHeight="1" x14ac:dyDescent="0.2">
      <c r="E19553" s="18"/>
      <c r="F19553" s="18"/>
    </row>
    <row r="19554" spans="5:6" ht="15" customHeight="1" x14ac:dyDescent="0.2">
      <c r="E19554" s="18"/>
      <c r="F19554" s="18"/>
    </row>
    <row r="19555" spans="5:6" ht="15" customHeight="1" x14ac:dyDescent="0.2">
      <c r="E19555" s="18"/>
      <c r="F19555" s="18"/>
    </row>
    <row r="19556" spans="5:6" ht="15" customHeight="1" x14ac:dyDescent="0.2">
      <c r="E19556" s="18"/>
      <c r="F19556" s="18"/>
    </row>
    <row r="19557" spans="5:6" ht="15" customHeight="1" x14ac:dyDescent="0.2">
      <c r="E19557" s="18"/>
      <c r="F19557" s="18"/>
    </row>
    <row r="19558" spans="5:6" ht="15" customHeight="1" x14ac:dyDescent="0.2">
      <c r="E19558" s="18"/>
      <c r="F19558" s="18"/>
    </row>
    <row r="19559" spans="5:6" ht="15" customHeight="1" x14ac:dyDescent="0.2">
      <c r="E19559" s="18"/>
      <c r="F19559" s="18"/>
    </row>
    <row r="19560" spans="5:6" ht="15" customHeight="1" x14ac:dyDescent="0.2">
      <c r="E19560" s="18"/>
      <c r="F19560" s="18"/>
    </row>
    <row r="19561" spans="5:6" ht="15" customHeight="1" x14ac:dyDescent="0.2">
      <c r="E19561" s="18"/>
      <c r="F19561" s="18"/>
    </row>
    <row r="19562" spans="5:6" ht="15" customHeight="1" x14ac:dyDescent="0.2">
      <c r="E19562" s="18"/>
      <c r="F19562" s="18"/>
    </row>
    <row r="19563" spans="5:6" ht="15" customHeight="1" x14ac:dyDescent="0.2">
      <c r="E19563" s="18"/>
      <c r="F19563" s="18"/>
    </row>
    <row r="19564" spans="5:6" ht="15" customHeight="1" x14ac:dyDescent="0.2">
      <c r="E19564" s="18"/>
      <c r="F19564" s="18"/>
    </row>
    <row r="19565" spans="5:6" ht="15" customHeight="1" x14ac:dyDescent="0.2">
      <c r="E19565" s="18"/>
      <c r="F19565" s="18"/>
    </row>
    <row r="19566" spans="5:6" ht="15" customHeight="1" x14ac:dyDescent="0.2">
      <c r="E19566" s="18"/>
      <c r="F19566" s="18"/>
    </row>
    <row r="19567" spans="5:6" ht="15" customHeight="1" x14ac:dyDescent="0.2">
      <c r="E19567" s="18"/>
      <c r="F19567" s="18"/>
    </row>
    <row r="19568" spans="5:6" ht="15" customHeight="1" x14ac:dyDescent="0.2">
      <c r="E19568" s="18"/>
      <c r="F19568" s="18"/>
    </row>
    <row r="19569" spans="5:6" ht="15" customHeight="1" x14ac:dyDescent="0.2">
      <c r="E19569" s="18"/>
      <c r="F19569" s="18"/>
    </row>
    <row r="19570" spans="5:6" ht="15" customHeight="1" x14ac:dyDescent="0.2">
      <c r="E19570" s="18"/>
      <c r="F19570" s="18"/>
    </row>
    <row r="19571" spans="5:6" ht="15" customHeight="1" x14ac:dyDescent="0.2">
      <c r="E19571" s="18"/>
      <c r="F19571" s="18"/>
    </row>
    <row r="19572" spans="5:6" ht="15" customHeight="1" x14ac:dyDescent="0.2">
      <c r="E19572" s="18"/>
      <c r="F19572" s="18"/>
    </row>
    <row r="19573" spans="5:6" ht="15" customHeight="1" x14ac:dyDescent="0.2">
      <c r="E19573" s="18"/>
      <c r="F19573" s="18"/>
    </row>
    <row r="19574" spans="5:6" ht="15" customHeight="1" x14ac:dyDescent="0.2">
      <c r="E19574" s="18"/>
      <c r="F19574" s="18"/>
    </row>
    <row r="19575" spans="5:6" ht="15" customHeight="1" x14ac:dyDescent="0.2">
      <c r="E19575" s="18"/>
      <c r="F19575" s="18"/>
    </row>
    <row r="19576" spans="5:6" ht="15" customHeight="1" x14ac:dyDescent="0.2">
      <c r="E19576" s="18"/>
      <c r="F19576" s="18"/>
    </row>
    <row r="19577" spans="5:6" ht="15" customHeight="1" x14ac:dyDescent="0.2">
      <c r="E19577" s="18"/>
      <c r="F19577" s="18"/>
    </row>
    <row r="19578" spans="5:6" ht="15" customHeight="1" x14ac:dyDescent="0.2">
      <c r="E19578" s="18"/>
      <c r="F19578" s="18"/>
    </row>
    <row r="19579" spans="5:6" ht="15" customHeight="1" x14ac:dyDescent="0.2">
      <c r="E19579" s="18"/>
      <c r="F19579" s="18"/>
    </row>
    <row r="19580" spans="5:6" ht="15" customHeight="1" x14ac:dyDescent="0.2">
      <c r="E19580" s="18"/>
      <c r="F19580" s="18"/>
    </row>
    <row r="19581" spans="5:6" ht="15" customHeight="1" x14ac:dyDescent="0.2">
      <c r="E19581" s="18"/>
      <c r="F19581" s="18"/>
    </row>
    <row r="19582" spans="5:6" ht="15" customHeight="1" x14ac:dyDescent="0.2">
      <c r="E19582" s="18"/>
      <c r="F19582" s="18"/>
    </row>
    <row r="19583" spans="5:6" ht="15" customHeight="1" x14ac:dyDescent="0.2">
      <c r="E19583" s="18"/>
      <c r="F19583" s="18"/>
    </row>
    <row r="19584" spans="5:6" ht="15" customHeight="1" x14ac:dyDescent="0.2">
      <c r="E19584" s="18"/>
      <c r="F19584" s="18"/>
    </row>
    <row r="19585" spans="5:6" ht="15" customHeight="1" x14ac:dyDescent="0.2">
      <c r="E19585" s="18"/>
      <c r="F19585" s="18"/>
    </row>
    <row r="19586" spans="5:6" ht="15" customHeight="1" x14ac:dyDescent="0.2">
      <c r="E19586" s="18"/>
      <c r="F19586" s="18"/>
    </row>
    <row r="19587" spans="5:6" ht="15" customHeight="1" x14ac:dyDescent="0.2">
      <c r="E19587" s="18"/>
      <c r="F19587" s="18"/>
    </row>
    <row r="19588" spans="5:6" ht="15" customHeight="1" x14ac:dyDescent="0.2">
      <c r="E19588" s="18"/>
      <c r="F19588" s="18"/>
    </row>
    <row r="19589" spans="5:6" ht="15" customHeight="1" x14ac:dyDescent="0.2">
      <c r="E19589" s="18"/>
      <c r="F19589" s="18"/>
    </row>
    <row r="19590" spans="5:6" ht="15" customHeight="1" x14ac:dyDescent="0.2">
      <c r="E19590" s="18"/>
      <c r="F19590" s="18"/>
    </row>
    <row r="19591" spans="5:6" ht="15" customHeight="1" x14ac:dyDescent="0.2">
      <c r="E19591" s="18"/>
      <c r="F19591" s="18"/>
    </row>
    <row r="19592" spans="5:6" ht="15" customHeight="1" x14ac:dyDescent="0.2">
      <c r="E19592" s="18"/>
      <c r="F19592" s="18"/>
    </row>
    <row r="19593" spans="5:6" ht="15" customHeight="1" x14ac:dyDescent="0.2">
      <c r="E19593" s="18"/>
      <c r="F19593" s="18"/>
    </row>
    <row r="19594" spans="5:6" ht="15" customHeight="1" x14ac:dyDescent="0.2">
      <c r="E19594" s="18"/>
      <c r="F19594" s="18"/>
    </row>
    <row r="19595" spans="5:6" ht="15" customHeight="1" x14ac:dyDescent="0.2">
      <c r="E19595" s="18"/>
      <c r="F19595" s="18"/>
    </row>
    <row r="19596" spans="5:6" ht="15" customHeight="1" x14ac:dyDescent="0.2">
      <c r="E19596" s="18"/>
      <c r="F19596" s="18"/>
    </row>
    <row r="19597" spans="5:6" ht="15" customHeight="1" x14ac:dyDescent="0.2">
      <c r="E19597" s="18"/>
      <c r="F19597" s="18"/>
    </row>
    <row r="19598" spans="5:6" ht="15" customHeight="1" x14ac:dyDescent="0.2">
      <c r="E19598" s="18"/>
      <c r="F19598" s="18"/>
    </row>
    <row r="19599" spans="5:6" ht="15" customHeight="1" x14ac:dyDescent="0.2">
      <c r="E19599" s="18"/>
      <c r="F19599" s="18"/>
    </row>
    <row r="19600" spans="5:6" ht="15" customHeight="1" x14ac:dyDescent="0.2">
      <c r="E19600" s="18"/>
      <c r="F19600" s="18"/>
    </row>
    <row r="19601" spans="5:6" ht="15" customHeight="1" x14ac:dyDescent="0.2">
      <c r="E19601" s="18"/>
      <c r="F19601" s="18"/>
    </row>
    <row r="19602" spans="5:6" ht="15" customHeight="1" x14ac:dyDescent="0.2">
      <c r="E19602" s="18"/>
      <c r="F19602" s="18"/>
    </row>
    <row r="19603" spans="5:6" ht="15" customHeight="1" x14ac:dyDescent="0.2">
      <c r="E19603" s="18"/>
      <c r="F19603" s="18"/>
    </row>
    <row r="19604" spans="5:6" ht="15" customHeight="1" x14ac:dyDescent="0.2">
      <c r="E19604" s="18"/>
      <c r="F19604" s="18"/>
    </row>
    <row r="19605" spans="5:6" ht="15" customHeight="1" x14ac:dyDescent="0.2">
      <c r="E19605" s="18"/>
      <c r="F19605" s="18"/>
    </row>
    <row r="19606" spans="5:6" ht="15" customHeight="1" x14ac:dyDescent="0.2">
      <c r="E19606" s="18"/>
      <c r="F19606" s="18"/>
    </row>
    <row r="19607" spans="5:6" ht="15" customHeight="1" x14ac:dyDescent="0.2">
      <c r="E19607" s="18"/>
      <c r="F19607" s="18"/>
    </row>
    <row r="19608" spans="5:6" ht="15" customHeight="1" x14ac:dyDescent="0.2">
      <c r="E19608" s="18"/>
      <c r="F19608" s="18"/>
    </row>
    <row r="19609" spans="5:6" ht="15" customHeight="1" x14ac:dyDescent="0.2">
      <c r="E19609" s="18"/>
      <c r="F19609" s="18"/>
    </row>
    <row r="19610" spans="5:6" ht="15" customHeight="1" x14ac:dyDescent="0.2">
      <c r="E19610" s="18"/>
      <c r="F19610" s="18"/>
    </row>
    <row r="19611" spans="5:6" ht="15" customHeight="1" x14ac:dyDescent="0.2">
      <c r="E19611" s="18"/>
      <c r="F19611" s="18"/>
    </row>
    <row r="19612" spans="5:6" ht="15" customHeight="1" x14ac:dyDescent="0.2">
      <c r="E19612" s="18"/>
      <c r="F19612" s="18"/>
    </row>
    <row r="19613" spans="5:6" ht="15" customHeight="1" x14ac:dyDescent="0.2">
      <c r="E19613" s="18"/>
      <c r="F19613" s="18"/>
    </row>
    <row r="19614" spans="5:6" ht="15" customHeight="1" x14ac:dyDescent="0.2">
      <c r="E19614" s="18"/>
      <c r="F19614" s="18"/>
    </row>
    <row r="19615" spans="5:6" ht="15" customHeight="1" x14ac:dyDescent="0.2">
      <c r="E19615" s="18"/>
      <c r="F19615" s="18"/>
    </row>
    <row r="19616" spans="5:6" ht="15" customHeight="1" x14ac:dyDescent="0.2">
      <c r="E19616" s="18"/>
      <c r="F19616" s="18"/>
    </row>
    <row r="19617" spans="5:6" ht="15" customHeight="1" x14ac:dyDescent="0.2">
      <c r="E19617" s="18"/>
      <c r="F19617" s="18"/>
    </row>
    <row r="19618" spans="5:6" ht="15" customHeight="1" x14ac:dyDescent="0.2">
      <c r="E19618" s="18"/>
      <c r="F19618" s="18"/>
    </row>
    <row r="19619" spans="5:6" ht="15" customHeight="1" x14ac:dyDescent="0.2">
      <c r="E19619" s="18"/>
      <c r="F19619" s="18"/>
    </row>
    <row r="19620" spans="5:6" ht="15" customHeight="1" x14ac:dyDescent="0.2">
      <c r="E19620" s="18"/>
      <c r="F19620" s="18"/>
    </row>
    <row r="19621" spans="5:6" ht="15" customHeight="1" x14ac:dyDescent="0.2">
      <c r="E19621" s="18"/>
      <c r="F19621" s="18"/>
    </row>
    <row r="19622" spans="5:6" ht="15" customHeight="1" x14ac:dyDescent="0.2">
      <c r="E19622" s="18"/>
      <c r="F19622" s="18"/>
    </row>
    <row r="19623" spans="5:6" ht="15" customHeight="1" x14ac:dyDescent="0.2">
      <c r="E19623" s="18"/>
      <c r="F19623" s="18"/>
    </row>
    <row r="19624" spans="5:6" ht="15" customHeight="1" x14ac:dyDescent="0.2">
      <c r="E19624" s="18"/>
      <c r="F19624" s="18"/>
    </row>
    <row r="19625" spans="5:6" ht="15" customHeight="1" x14ac:dyDescent="0.2">
      <c r="E19625" s="18"/>
      <c r="F19625" s="18"/>
    </row>
    <row r="19626" spans="5:6" ht="15" customHeight="1" x14ac:dyDescent="0.2">
      <c r="E19626" s="18"/>
      <c r="F19626" s="18"/>
    </row>
    <row r="19627" spans="5:6" ht="15" customHeight="1" x14ac:dyDescent="0.2">
      <c r="E19627" s="18"/>
      <c r="F19627" s="18"/>
    </row>
    <row r="19628" spans="5:6" ht="15" customHeight="1" x14ac:dyDescent="0.2">
      <c r="E19628" s="18"/>
      <c r="F19628" s="18"/>
    </row>
    <row r="19629" spans="5:6" ht="15" customHeight="1" x14ac:dyDescent="0.2">
      <c r="E19629" s="18"/>
      <c r="F19629" s="18"/>
    </row>
    <row r="19630" spans="5:6" ht="15" customHeight="1" x14ac:dyDescent="0.2">
      <c r="E19630" s="18"/>
      <c r="F19630" s="18"/>
    </row>
    <row r="19631" spans="5:6" ht="15" customHeight="1" x14ac:dyDescent="0.2">
      <c r="E19631" s="18"/>
      <c r="F19631" s="18"/>
    </row>
    <row r="19632" spans="5:6" ht="15" customHeight="1" x14ac:dyDescent="0.2">
      <c r="E19632" s="18"/>
      <c r="F19632" s="18"/>
    </row>
    <row r="19633" spans="5:6" ht="15" customHeight="1" x14ac:dyDescent="0.2">
      <c r="E19633" s="18"/>
      <c r="F19633" s="18"/>
    </row>
    <row r="19634" spans="5:6" ht="15" customHeight="1" x14ac:dyDescent="0.2">
      <c r="E19634" s="18"/>
      <c r="F19634" s="18"/>
    </row>
    <row r="19635" spans="5:6" ht="15" customHeight="1" x14ac:dyDescent="0.2">
      <c r="E19635" s="18"/>
      <c r="F19635" s="18"/>
    </row>
    <row r="19636" spans="5:6" ht="15" customHeight="1" x14ac:dyDescent="0.2">
      <c r="E19636" s="18"/>
      <c r="F19636" s="18"/>
    </row>
    <row r="19637" spans="5:6" ht="15" customHeight="1" x14ac:dyDescent="0.2">
      <c r="E19637" s="18"/>
      <c r="F19637" s="18"/>
    </row>
    <row r="19638" spans="5:6" ht="15" customHeight="1" x14ac:dyDescent="0.2">
      <c r="E19638" s="18"/>
      <c r="F19638" s="18"/>
    </row>
    <row r="19639" spans="5:6" ht="15" customHeight="1" x14ac:dyDescent="0.2">
      <c r="E19639" s="18"/>
      <c r="F19639" s="18"/>
    </row>
    <row r="19640" spans="5:6" ht="15" customHeight="1" x14ac:dyDescent="0.2">
      <c r="E19640" s="18"/>
      <c r="F19640" s="18"/>
    </row>
    <row r="19641" spans="5:6" ht="15" customHeight="1" x14ac:dyDescent="0.2">
      <c r="E19641" s="18"/>
      <c r="F19641" s="18"/>
    </row>
    <row r="19642" spans="5:6" ht="15" customHeight="1" x14ac:dyDescent="0.2">
      <c r="E19642" s="18"/>
      <c r="F19642" s="18"/>
    </row>
    <row r="19643" spans="5:6" ht="15" customHeight="1" x14ac:dyDescent="0.2">
      <c r="E19643" s="18"/>
      <c r="F19643" s="18"/>
    </row>
    <row r="19644" spans="5:6" ht="15" customHeight="1" x14ac:dyDescent="0.2">
      <c r="E19644" s="18"/>
      <c r="F19644" s="18"/>
    </row>
    <row r="19645" spans="5:6" ht="15" customHeight="1" x14ac:dyDescent="0.2">
      <c r="E19645" s="18"/>
      <c r="F19645" s="18"/>
    </row>
    <row r="19646" spans="5:6" ht="15" customHeight="1" x14ac:dyDescent="0.2">
      <c r="E19646" s="18"/>
      <c r="F19646" s="18"/>
    </row>
    <row r="19647" spans="5:6" ht="15" customHeight="1" x14ac:dyDescent="0.2">
      <c r="E19647" s="18"/>
      <c r="F19647" s="18"/>
    </row>
    <row r="19648" spans="5:6" ht="15" customHeight="1" x14ac:dyDescent="0.2">
      <c r="E19648" s="18"/>
      <c r="F19648" s="18"/>
    </row>
    <row r="19649" spans="5:6" ht="15" customHeight="1" x14ac:dyDescent="0.2">
      <c r="E19649" s="18"/>
      <c r="F19649" s="18"/>
    </row>
    <row r="19650" spans="5:6" ht="15" customHeight="1" x14ac:dyDescent="0.2">
      <c r="E19650" s="18"/>
      <c r="F19650" s="18"/>
    </row>
    <row r="19651" spans="5:6" ht="15" customHeight="1" x14ac:dyDescent="0.2">
      <c r="E19651" s="18"/>
      <c r="F19651" s="18"/>
    </row>
    <row r="19652" spans="5:6" ht="15" customHeight="1" x14ac:dyDescent="0.2">
      <c r="E19652" s="18"/>
      <c r="F19652" s="18"/>
    </row>
    <row r="19653" spans="5:6" ht="15" customHeight="1" x14ac:dyDescent="0.2">
      <c r="E19653" s="18"/>
      <c r="F19653" s="18"/>
    </row>
    <row r="19654" spans="5:6" ht="15" customHeight="1" x14ac:dyDescent="0.2">
      <c r="E19654" s="18"/>
      <c r="F19654" s="18"/>
    </row>
    <row r="19655" spans="5:6" ht="15" customHeight="1" x14ac:dyDescent="0.2">
      <c r="E19655" s="18"/>
      <c r="F19655" s="18"/>
    </row>
    <row r="19656" spans="5:6" ht="15" customHeight="1" x14ac:dyDescent="0.2">
      <c r="E19656" s="18"/>
      <c r="F19656" s="18"/>
    </row>
    <row r="19657" spans="5:6" ht="15" customHeight="1" x14ac:dyDescent="0.2">
      <c r="E19657" s="18"/>
      <c r="F19657" s="18"/>
    </row>
    <row r="19658" spans="5:6" ht="15" customHeight="1" x14ac:dyDescent="0.2">
      <c r="E19658" s="18"/>
      <c r="F19658" s="18"/>
    </row>
    <row r="19659" spans="5:6" ht="15" customHeight="1" x14ac:dyDescent="0.2">
      <c r="E19659" s="18"/>
      <c r="F19659" s="18"/>
    </row>
    <row r="19660" spans="5:6" ht="15" customHeight="1" x14ac:dyDescent="0.2">
      <c r="E19660" s="18"/>
      <c r="F19660" s="18"/>
    </row>
    <row r="19661" spans="5:6" ht="15" customHeight="1" x14ac:dyDescent="0.2">
      <c r="E19661" s="18"/>
      <c r="F19661" s="18"/>
    </row>
    <row r="19662" spans="5:6" ht="15" customHeight="1" x14ac:dyDescent="0.2">
      <c r="E19662" s="18"/>
      <c r="F19662" s="18"/>
    </row>
    <row r="19663" spans="5:6" ht="15" customHeight="1" x14ac:dyDescent="0.2">
      <c r="E19663" s="18"/>
      <c r="F19663" s="18"/>
    </row>
    <row r="19664" spans="5:6" ht="15" customHeight="1" x14ac:dyDescent="0.2">
      <c r="E19664" s="18"/>
      <c r="F19664" s="18"/>
    </row>
    <row r="19665" spans="5:6" ht="15" customHeight="1" x14ac:dyDescent="0.2">
      <c r="E19665" s="18"/>
      <c r="F19665" s="18"/>
    </row>
    <row r="19666" spans="5:6" ht="15" customHeight="1" x14ac:dyDescent="0.2">
      <c r="E19666" s="18"/>
      <c r="F19666" s="18"/>
    </row>
    <row r="19667" spans="5:6" ht="15" customHeight="1" x14ac:dyDescent="0.2">
      <c r="E19667" s="18"/>
      <c r="F19667" s="18"/>
    </row>
    <row r="19668" spans="5:6" ht="15" customHeight="1" x14ac:dyDescent="0.2">
      <c r="E19668" s="18"/>
      <c r="F19668" s="18"/>
    </row>
    <row r="19669" spans="5:6" ht="15" customHeight="1" x14ac:dyDescent="0.2">
      <c r="E19669" s="18"/>
      <c r="F19669" s="18"/>
    </row>
    <row r="19670" spans="5:6" ht="15" customHeight="1" x14ac:dyDescent="0.2">
      <c r="E19670" s="18"/>
      <c r="F19670" s="18"/>
    </row>
    <row r="19671" spans="5:6" ht="15" customHeight="1" x14ac:dyDescent="0.2">
      <c r="E19671" s="18"/>
      <c r="F19671" s="18"/>
    </row>
    <row r="19672" spans="5:6" ht="15" customHeight="1" x14ac:dyDescent="0.2">
      <c r="E19672" s="18"/>
      <c r="F19672" s="18"/>
    </row>
    <row r="19673" spans="5:6" ht="15" customHeight="1" x14ac:dyDescent="0.2">
      <c r="E19673" s="18"/>
      <c r="F19673" s="18"/>
    </row>
    <row r="19674" spans="5:6" ht="15" customHeight="1" x14ac:dyDescent="0.2">
      <c r="E19674" s="18"/>
      <c r="F19674" s="18"/>
    </row>
    <row r="19675" spans="5:6" ht="15" customHeight="1" x14ac:dyDescent="0.2">
      <c r="E19675" s="18"/>
      <c r="F19675" s="18"/>
    </row>
    <row r="19676" spans="5:6" ht="15" customHeight="1" x14ac:dyDescent="0.2">
      <c r="E19676" s="18"/>
      <c r="F19676" s="18"/>
    </row>
    <row r="19677" spans="5:6" ht="15" customHeight="1" x14ac:dyDescent="0.2">
      <c r="E19677" s="18"/>
      <c r="F19677" s="18"/>
    </row>
    <row r="19678" spans="5:6" ht="15" customHeight="1" x14ac:dyDescent="0.2">
      <c r="E19678" s="18"/>
      <c r="F19678" s="18"/>
    </row>
    <row r="19679" spans="5:6" ht="15" customHeight="1" x14ac:dyDescent="0.2">
      <c r="E19679" s="18"/>
      <c r="F19679" s="18"/>
    </row>
    <row r="19680" spans="5:6" ht="15" customHeight="1" x14ac:dyDescent="0.2">
      <c r="E19680" s="18"/>
      <c r="F19680" s="18"/>
    </row>
    <row r="19681" spans="5:6" ht="15" customHeight="1" x14ac:dyDescent="0.2">
      <c r="E19681" s="18"/>
      <c r="F19681" s="18"/>
    </row>
    <row r="19682" spans="5:6" ht="15" customHeight="1" x14ac:dyDescent="0.2">
      <c r="E19682" s="18"/>
      <c r="F19682" s="18"/>
    </row>
    <row r="19683" spans="5:6" ht="15" customHeight="1" x14ac:dyDescent="0.2">
      <c r="E19683" s="18"/>
      <c r="F19683" s="18"/>
    </row>
    <row r="19684" spans="5:6" ht="15" customHeight="1" x14ac:dyDescent="0.2">
      <c r="E19684" s="18"/>
      <c r="F19684" s="18"/>
    </row>
    <row r="19685" spans="5:6" ht="15" customHeight="1" x14ac:dyDescent="0.2">
      <c r="E19685" s="18"/>
      <c r="F19685" s="18"/>
    </row>
    <row r="19686" spans="5:6" ht="15" customHeight="1" x14ac:dyDescent="0.2">
      <c r="E19686" s="18"/>
      <c r="F19686" s="18"/>
    </row>
    <row r="19687" spans="5:6" ht="15" customHeight="1" x14ac:dyDescent="0.2">
      <c r="E19687" s="18"/>
      <c r="F19687" s="18"/>
    </row>
    <row r="19688" spans="5:6" ht="15" customHeight="1" x14ac:dyDescent="0.2">
      <c r="E19688" s="18"/>
      <c r="F19688" s="18"/>
    </row>
    <row r="19689" spans="5:6" ht="15" customHeight="1" x14ac:dyDescent="0.2">
      <c r="E19689" s="18"/>
      <c r="F19689" s="18"/>
    </row>
    <row r="19690" spans="5:6" ht="15" customHeight="1" x14ac:dyDescent="0.2">
      <c r="E19690" s="18"/>
      <c r="F19690" s="18"/>
    </row>
    <row r="19691" spans="5:6" ht="15" customHeight="1" x14ac:dyDescent="0.2">
      <c r="E19691" s="18"/>
      <c r="F19691" s="18"/>
    </row>
    <row r="19692" spans="5:6" ht="15" customHeight="1" x14ac:dyDescent="0.2">
      <c r="E19692" s="18"/>
      <c r="F19692" s="18"/>
    </row>
    <row r="19693" spans="5:6" ht="15" customHeight="1" x14ac:dyDescent="0.2">
      <c r="E19693" s="18"/>
      <c r="F19693" s="18"/>
    </row>
    <row r="19694" spans="5:6" ht="15" customHeight="1" x14ac:dyDescent="0.2">
      <c r="E19694" s="18"/>
      <c r="F19694" s="18"/>
    </row>
    <row r="19695" spans="5:6" ht="15" customHeight="1" x14ac:dyDescent="0.2">
      <c r="E19695" s="18"/>
      <c r="F19695" s="18"/>
    </row>
    <row r="19696" spans="5:6" ht="15" customHeight="1" x14ac:dyDescent="0.2">
      <c r="E19696" s="18"/>
      <c r="F19696" s="18"/>
    </row>
    <row r="19697" spans="5:6" ht="15" customHeight="1" x14ac:dyDescent="0.2">
      <c r="E19697" s="18"/>
      <c r="F19697" s="18"/>
    </row>
    <row r="19698" spans="5:6" ht="15" customHeight="1" x14ac:dyDescent="0.2">
      <c r="E19698" s="18"/>
      <c r="F19698" s="18"/>
    </row>
    <row r="19699" spans="5:6" ht="15" customHeight="1" x14ac:dyDescent="0.2">
      <c r="E19699" s="18"/>
      <c r="F19699" s="18"/>
    </row>
    <row r="19700" spans="5:6" ht="15" customHeight="1" x14ac:dyDescent="0.2">
      <c r="E19700" s="18"/>
      <c r="F19700" s="18"/>
    </row>
    <row r="19701" spans="5:6" ht="15" customHeight="1" x14ac:dyDescent="0.2">
      <c r="E19701" s="18"/>
      <c r="F19701" s="18"/>
    </row>
    <row r="19702" spans="5:6" ht="15" customHeight="1" x14ac:dyDescent="0.2">
      <c r="E19702" s="18"/>
      <c r="F19702" s="18"/>
    </row>
    <row r="19703" spans="5:6" ht="15" customHeight="1" x14ac:dyDescent="0.2">
      <c r="E19703" s="18"/>
      <c r="F19703" s="18"/>
    </row>
    <row r="19704" spans="5:6" ht="15" customHeight="1" x14ac:dyDescent="0.2">
      <c r="E19704" s="18"/>
      <c r="F19704" s="18"/>
    </row>
    <row r="19705" spans="5:6" ht="15" customHeight="1" x14ac:dyDescent="0.2">
      <c r="E19705" s="18"/>
      <c r="F19705" s="18"/>
    </row>
    <row r="19706" spans="5:6" ht="15" customHeight="1" x14ac:dyDescent="0.2">
      <c r="E19706" s="18"/>
      <c r="F19706" s="18"/>
    </row>
    <row r="19707" spans="5:6" ht="15" customHeight="1" x14ac:dyDescent="0.2">
      <c r="E19707" s="18"/>
      <c r="F19707" s="18"/>
    </row>
    <row r="19708" spans="5:6" ht="15" customHeight="1" x14ac:dyDescent="0.2">
      <c r="E19708" s="18"/>
      <c r="F19708" s="18"/>
    </row>
    <row r="19709" spans="5:6" ht="15" customHeight="1" x14ac:dyDescent="0.2">
      <c r="E19709" s="18"/>
      <c r="F19709" s="18"/>
    </row>
    <row r="19710" spans="5:6" ht="15" customHeight="1" x14ac:dyDescent="0.2">
      <c r="E19710" s="18"/>
      <c r="F19710" s="18"/>
    </row>
    <row r="19711" spans="5:6" ht="15" customHeight="1" x14ac:dyDescent="0.2">
      <c r="E19711" s="18"/>
      <c r="F19711" s="18"/>
    </row>
    <row r="19712" spans="5:6" ht="15" customHeight="1" x14ac:dyDescent="0.2">
      <c r="E19712" s="18"/>
      <c r="F19712" s="18"/>
    </row>
    <row r="19713" spans="5:6" ht="15" customHeight="1" x14ac:dyDescent="0.2">
      <c r="E19713" s="18"/>
      <c r="F19713" s="18"/>
    </row>
    <row r="19714" spans="5:6" ht="15" customHeight="1" x14ac:dyDescent="0.2">
      <c r="E19714" s="18"/>
      <c r="F19714" s="18"/>
    </row>
    <row r="19715" spans="5:6" ht="15" customHeight="1" x14ac:dyDescent="0.2">
      <c r="E19715" s="18"/>
      <c r="F19715" s="18"/>
    </row>
    <row r="19716" spans="5:6" ht="15" customHeight="1" x14ac:dyDescent="0.2">
      <c r="E19716" s="18"/>
      <c r="F19716" s="18"/>
    </row>
    <row r="19717" spans="5:6" ht="15" customHeight="1" x14ac:dyDescent="0.2">
      <c r="E19717" s="18"/>
      <c r="F19717" s="18"/>
    </row>
    <row r="19718" spans="5:6" ht="15" customHeight="1" x14ac:dyDescent="0.2">
      <c r="E19718" s="18"/>
      <c r="F19718" s="18"/>
    </row>
    <row r="19719" spans="5:6" ht="15" customHeight="1" x14ac:dyDescent="0.2">
      <c r="E19719" s="18"/>
      <c r="F19719" s="18"/>
    </row>
    <row r="19720" spans="5:6" ht="15" customHeight="1" x14ac:dyDescent="0.2">
      <c r="E19720" s="18"/>
      <c r="F19720" s="18"/>
    </row>
    <row r="19721" spans="5:6" ht="15" customHeight="1" x14ac:dyDescent="0.2">
      <c r="E19721" s="18"/>
      <c r="F19721" s="18"/>
    </row>
    <row r="19722" spans="5:6" ht="15" customHeight="1" x14ac:dyDescent="0.2">
      <c r="E19722" s="18"/>
      <c r="F19722" s="18"/>
    </row>
    <row r="19723" spans="5:6" ht="15" customHeight="1" x14ac:dyDescent="0.2">
      <c r="E19723" s="18"/>
      <c r="F19723" s="18"/>
    </row>
    <row r="19724" spans="5:6" ht="15" customHeight="1" x14ac:dyDescent="0.2">
      <c r="E19724" s="18"/>
      <c r="F19724" s="18"/>
    </row>
    <row r="19725" spans="5:6" ht="15" customHeight="1" x14ac:dyDescent="0.2">
      <c r="E19725" s="18"/>
      <c r="F19725" s="18"/>
    </row>
    <row r="19726" spans="5:6" ht="15" customHeight="1" x14ac:dyDescent="0.2">
      <c r="E19726" s="18"/>
      <c r="F19726" s="18"/>
    </row>
    <row r="19727" spans="5:6" ht="15" customHeight="1" x14ac:dyDescent="0.2">
      <c r="E19727" s="18"/>
      <c r="F19727" s="18"/>
    </row>
    <row r="19728" spans="5:6" ht="15" customHeight="1" x14ac:dyDescent="0.2">
      <c r="E19728" s="18"/>
      <c r="F19728" s="18"/>
    </row>
    <row r="19729" spans="5:6" ht="15" customHeight="1" x14ac:dyDescent="0.2">
      <c r="E19729" s="18"/>
      <c r="F19729" s="18"/>
    </row>
    <row r="19730" spans="5:6" ht="15" customHeight="1" x14ac:dyDescent="0.2">
      <c r="E19730" s="18"/>
      <c r="F19730" s="18"/>
    </row>
    <row r="19731" spans="5:6" ht="15" customHeight="1" x14ac:dyDescent="0.2">
      <c r="E19731" s="18"/>
      <c r="F19731" s="18"/>
    </row>
    <row r="19732" spans="5:6" ht="15" customHeight="1" x14ac:dyDescent="0.2">
      <c r="E19732" s="18"/>
      <c r="F19732" s="18"/>
    </row>
    <row r="19733" spans="5:6" ht="15" customHeight="1" x14ac:dyDescent="0.2">
      <c r="E19733" s="18"/>
      <c r="F19733" s="18"/>
    </row>
    <row r="19734" spans="5:6" ht="15" customHeight="1" x14ac:dyDescent="0.2">
      <c r="E19734" s="18"/>
      <c r="F19734" s="18"/>
    </row>
    <row r="19735" spans="5:6" ht="15" customHeight="1" x14ac:dyDescent="0.2">
      <c r="E19735" s="18"/>
      <c r="F19735" s="18"/>
    </row>
    <row r="19736" spans="5:6" ht="15" customHeight="1" x14ac:dyDescent="0.2">
      <c r="E19736" s="18"/>
      <c r="F19736" s="18"/>
    </row>
    <row r="19737" spans="5:6" ht="15" customHeight="1" x14ac:dyDescent="0.2">
      <c r="E19737" s="18"/>
      <c r="F19737" s="18"/>
    </row>
    <row r="19738" spans="5:6" ht="15" customHeight="1" x14ac:dyDescent="0.2">
      <c r="E19738" s="18"/>
      <c r="F19738" s="18"/>
    </row>
    <row r="19739" spans="5:6" ht="15" customHeight="1" x14ac:dyDescent="0.2">
      <c r="E19739" s="18"/>
      <c r="F19739" s="18"/>
    </row>
    <row r="19740" spans="5:6" ht="15" customHeight="1" x14ac:dyDescent="0.2">
      <c r="E19740" s="18"/>
      <c r="F19740" s="18"/>
    </row>
    <row r="19741" spans="5:6" ht="15" customHeight="1" x14ac:dyDescent="0.2">
      <c r="E19741" s="18"/>
      <c r="F19741" s="18"/>
    </row>
    <row r="19742" spans="5:6" ht="15" customHeight="1" x14ac:dyDescent="0.2">
      <c r="E19742" s="18"/>
      <c r="F19742" s="18"/>
    </row>
    <row r="19743" spans="5:6" ht="15" customHeight="1" x14ac:dyDescent="0.2">
      <c r="E19743" s="18"/>
      <c r="F19743" s="18"/>
    </row>
    <row r="19744" spans="5:6" ht="15" customHeight="1" x14ac:dyDescent="0.2">
      <c r="E19744" s="18"/>
      <c r="F19744" s="18"/>
    </row>
    <row r="19745" spans="5:6" ht="15" customHeight="1" x14ac:dyDescent="0.2">
      <c r="E19745" s="18"/>
      <c r="F19745" s="18"/>
    </row>
    <row r="19746" spans="5:6" ht="15" customHeight="1" x14ac:dyDescent="0.2">
      <c r="E19746" s="18"/>
      <c r="F19746" s="18"/>
    </row>
    <row r="19747" spans="5:6" ht="15" customHeight="1" x14ac:dyDescent="0.2">
      <c r="E19747" s="18"/>
      <c r="F19747" s="18"/>
    </row>
    <row r="19748" spans="5:6" ht="15" customHeight="1" x14ac:dyDescent="0.2">
      <c r="E19748" s="18"/>
      <c r="F19748" s="18"/>
    </row>
    <row r="19749" spans="5:6" ht="15" customHeight="1" x14ac:dyDescent="0.2">
      <c r="E19749" s="18"/>
      <c r="F19749" s="18"/>
    </row>
    <row r="19750" spans="5:6" ht="15" customHeight="1" x14ac:dyDescent="0.2">
      <c r="E19750" s="18"/>
      <c r="F19750" s="18"/>
    </row>
    <row r="19751" spans="5:6" ht="15" customHeight="1" x14ac:dyDescent="0.2">
      <c r="E19751" s="18"/>
      <c r="F19751" s="18"/>
    </row>
    <row r="19752" spans="5:6" ht="15" customHeight="1" x14ac:dyDescent="0.2">
      <c r="E19752" s="18"/>
      <c r="F19752" s="18"/>
    </row>
    <row r="19753" spans="5:6" ht="15" customHeight="1" x14ac:dyDescent="0.2">
      <c r="E19753" s="18"/>
      <c r="F19753" s="18"/>
    </row>
    <row r="19754" spans="5:6" ht="15" customHeight="1" x14ac:dyDescent="0.2">
      <c r="E19754" s="18"/>
      <c r="F19754" s="18"/>
    </row>
    <row r="19755" spans="5:6" ht="15" customHeight="1" x14ac:dyDescent="0.2">
      <c r="E19755" s="18"/>
      <c r="F19755" s="18"/>
    </row>
    <row r="19756" spans="5:6" ht="15" customHeight="1" x14ac:dyDescent="0.2">
      <c r="E19756" s="18"/>
      <c r="F19756" s="18"/>
    </row>
    <row r="19757" spans="5:6" ht="15" customHeight="1" x14ac:dyDescent="0.2">
      <c r="E19757" s="18"/>
      <c r="F19757" s="18"/>
    </row>
    <row r="19758" spans="5:6" ht="15" customHeight="1" x14ac:dyDescent="0.2">
      <c r="E19758" s="18"/>
      <c r="F19758" s="18"/>
    </row>
    <row r="19759" spans="5:6" ht="15" customHeight="1" x14ac:dyDescent="0.2">
      <c r="E19759" s="18"/>
      <c r="F19759" s="18"/>
    </row>
    <row r="19760" spans="5:6" ht="15" customHeight="1" x14ac:dyDescent="0.2">
      <c r="E19760" s="18"/>
      <c r="F19760" s="18"/>
    </row>
    <row r="19761" spans="5:6" ht="15" customHeight="1" x14ac:dyDescent="0.2">
      <c r="E19761" s="18"/>
      <c r="F19761" s="18"/>
    </row>
    <row r="19762" spans="5:6" ht="15" customHeight="1" x14ac:dyDescent="0.2">
      <c r="E19762" s="18"/>
      <c r="F19762" s="18"/>
    </row>
    <row r="19763" spans="5:6" ht="15" customHeight="1" x14ac:dyDescent="0.2">
      <c r="E19763" s="18"/>
      <c r="F19763" s="18"/>
    </row>
    <row r="19764" spans="5:6" ht="15" customHeight="1" x14ac:dyDescent="0.2">
      <c r="E19764" s="18"/>
      <c r="F19764" s="18"/>
    </row>
    <row r="19765" spans="5:6" ht="15" customHeight="1" x14ac:dyDescent="0.2">
      <c r="E19765" s="18"/>
      <c r="F19765" s="18"/>
    </row>
    <row r="19766" spans="5:6" ht="15" customHeight="1" x14ac:dyDescent="0.2">
      <c r="E19766" s="18"/>
      <c r="F19766" s="18"/>
    </row>
    <row r="19767" spans="5:6" ht="15" customHeight="1" x14ac:dyDescent="0.2">
      <c r="E19767" s="18"/>
      <c r="F19767" s="18"/>
    </row>
    <row r="19768" spans="5:6" ht="15" customHeight="1" x14ac:dyDescent="0.2">
      <c r="E19768" s="18"/>
      <c r="F19768" s="18"/>
    </row>
    <row r="19769" spans="5:6" ht="15" customHeight="1" x14ac:dyDescent="0.2">
      <c r="E19769" s="18"/>
      <c r="F19769" s="18"/>
    </row>
    <row r="19770" spans="5:6" ht="15" customHeight="1" x14ac:dyDescent="0.2">
      <c r="E19770" s="18"/>
      <c r="F19770" s="18"/>
    </row>
    <row r="19771" spans="5:6" ht="15" customHeight="1" x14ac:dyDescent="0.2">
      <c r="E19771" s="18"/>
      <c r="F19771" s="18"/>
    </row>
    <row r="19772" spans="5:6" ht="15" customHeight="1" x14ac:dyDescent="0.2">
      <c r="E19772" s="18"/>
      <c r="F19772" s="18"/>
    </row>
    <row r="19773" spans="5:6" ht="15" customHeight="1" x14ac:dyDescent="0.2">
      <c r="E19773" s="18"/>
      <c r="F19773" s="18"/>
    </row>
    <row r="19774" spans="5:6" ht="15" customHeight="1" x14ac:dyDescent="0.2">
      <c r="E19774" s="18"/>
      <c r="F19774" s="18"/>
    </row>
    <row r="19775" spans="5:6" ht="15" customHeight="1" x14ac:dyDescent="0.2">
      <c r="E19775" s="18"/>
      <c r="F19775" s="18"/>
    </row>
    <row r="19776" spans="5:6" ht="15" customHeight="1" x14ac:dyDescent="0.2">
      <c r="E19776" s="18"/>
      <c r="F19776" s="18"/>
    </row>
    <row r="19777" spans="5:6" ht="15" customHeight="1" x14ac:dyDescent="0.2">
      <c r="E19777" s="18"/>
      <c r="F19777" s="18"/>
    </row>
    <row r="19778" spans="5:6" ht="15" customHeight="1" x14ac:dyDescent="0.2">
      <c r="E19778" s="18"/>
      <c r="F19778" s="18"/>
    </row>
    <row r="19779" spans="5:6" ht="15" customHeight="1" x14ac:dyDescent="0.2">
      <c r="E19779" s="18"/>
      <c r="F19779" s="18"/>
    </row>
    <row r="19780" spans="5:6" ht="15" customHeight="1" x14ac:dyDescent="0.2">
      <c r="E19780" s="18"/>
      <c r="F19780" s="18"/>
    </row>
    <row r="19781" spans="5:6" ht="15" customHeight="1" x14ac:dyDescent="0.2">
      <c r="E19781" s="18"/>
      <c r="F19781" s="18"/>
    </row>
    <row r="19782" spans="5:6" ht="15" customHeight="1" x14ac:dyDescent="0.2">
      <c r="E19782" s="18"/>
      <c r="F19782" s="18"/>
    </row>
    <row r="19783" spans="5:6" ht="15" customHeight="1" x14ac:dyDescent="0.2">
      <c r="E19783" s="18"/>
      <c r="F19783" s="18"/>
    </row>
    <row r="19784" spans="5:6" ht="15" customHeight="1" x14ac:dyDescent="0.2">
      <c r="E19784" s="18"/>
      <c r="F19784" s="18"/>
    </row>
    <row r="19785" spans="5:6" ht="15" customHeight="1" x14ac:dyDescent="0.2">
      <c r="E19785" s="18"/>
      <c r="F19785" s="18"/>
    </row>
    <row r="19786" spans="5:6" ht="15" customHeight="1" x14ac:dyDescent="0.2">
      <c r="E19786" s="18"/>
      <c r="F19786" s="18"/>
    </row>
    <row r="19787" spans="5:6" ht="15" customHeight="1" x14ac:dyDescent="0.2">
      <c r="E19787" s="18"/>
      <c r="F19787" s="18"/>
    </row>
    <row r="19788" spans="5:6" ht="15" customHeight="1" x14ac:dyDescent="0.2">
      <c r="E19788" s="18"/>
      <c r="F19788" s="18"/>
    </row>
    <row r="19789" spans="5:6" ht="15" customHeight="1" x14ac:dyDescent="0.2">
      <c r="E19789" s="18"/>
      <c r="F19789" s="18"/>
    </row>
    <row r="19790" spans="5:6" ht="15" customHeight="1" x14ac:dyDescent="0.2">
      <c r="E19790" s="18"/>
      <c r="F19790" s="18"/>
    </row>
    <row r="19791" spans="5:6" ht="15" customHeight="1" x14ac:dyDescent="0.2">
      <c r="E19791" s="18"/>
      <c r="F19791" s="18"/>
    </row>
    <row r="19792" spans="5:6" ht="15" customHeight="1" x14ac:dyDescent="0.2">
      <c r="E19792" s="18"/>
      <c r="F19792" s="18"/>
    </row>
    <row r="19793" spans="5:6" ht="15" customHeight="1" x14ac:dyDescent="0.2">
      <c r="E19793" s="18"/>
      <c r="F19793" s="18"/>
    </row>
    <row r="19794" spans="5:6" ht="15" customHeight="1" x14ac:dyDescent="0.2">
      <c r="E19794" s="18"/>
      <c r="F19794" s="18"/>
    </row>
    <row r="19795" spans="5:6" ht="15" customHeight="1" x14ac:dyDescent="0.2">
      <c r="E19795" s="18"/>
      <c r="F19795" s="18"/>
    </row>
    <row r="19796" spans="5:6" ht="15" customHeight="1" x14ac:dyDescent="0.2">
      <c r="E19796" s="18"/>
      <c r="F19796" s="18"/>
    </row>
    <row r="19797" spans="5:6" ht="15" customHeight="1" x14ac:dyDescent="0.2">
      <c r="E19797" s="18"/>
      <c r="F19797" s="18"/>
    </row>
    <row r="19798" spans="5:6" ht="15" customHeight="1" x14ac:dyDescent="0.2">
      <c r="E19798" s="18"/>
      <c r="F19798" s="18"/>
    </row>
    <row r="19799" spans="5:6" ht="15" customHeight="1" x14ac:dyDescent="0.2">
      <c r="E19799" s="18"/>
      <c r="F19799" s="18"/>
    </row>
    <row r="19800" spans="5:6" ht="15" customHeight="1" x14ac:dyDescent="0.2">
      <c r="E19800" s="18"/>
      <c r="F19800" s="18"/>
    </row>
    <row r="19801" spans="5:6" ht="15" customHeight="1" x14ac:dyDescent="0.2">
      <c r="E19801" s="18"/>
      <c r="F19801" s="18"/>
    </row>
    <row r="19802" spans="5:6" ht="15" customHeight="1" x14ac:dyDescent="0.2">
      <c r="E19802" s="18"/>
      <c r="F19802" s="18"/>
    </row>
    <row r="19803" spans="5:6" ht="15" customHeight="1" x14ac:dyDescent="0.2">
      <c r="E19803" s="18"/>
      <c r="F19803" s="18"/>
    </row>
    <row r="19804" spans="5:6" ht="15" customHeight="1" x14ac:dyDescent="0.2">
      <c r="E19804" s="18"/>
      <c r="F19804" s="18"/>
    </row>
    <row r="19805" spans="5:6" ht="15" customHeight="1" x14ac:dyDescent="0.2">
      <c r="E19805" s="18"/>
      <c r="F19805" s="18"/>
    </row>
    <row r="19806" spans="5:6" ht="15" customHeight="1" x14ac:dyDescent="0.2">
      <c r="E19806" s="18"/>
      <c r="F19806" s="18"/>
    </row>
    <row r="19807" spans="5:6" ht="15" customHeight="1" x14ac:dyDescent="0.2">
      <c r="E19807" s="18"/>
      <c r="F19807" s="18"/>
    </row>
    <row r="19808" spans="5:6" ht="15" customHeight="1" x14ac:dyDescent="0.2">
      <c r="E19808" s="18"/>
      <c r="F19808" s="18"/>
    </row>
    <row r="19809" spans="5:6" ht="15" customHeight="1" x14ac:dyDescent="0.2">
      <c r="E19809" s="18"/>
      <c r="F19809" s="18"/>
    </row>
    <row r="19810" spans="5:6" ht="15" customHeight="1" x14ac:dyDescent="0.2">
      <c r="E19810" s="18"/>
      <c r="F19810" s="18"/>
    </row>
    <row r="19811" spans="5:6" ht="15" customHeight="1" x14ac:dyDescent="0.2">
      <c r="E19811" s="18"/>
      <c r="F19811" s="18"/>
    </row>
    <row r="19812" spans="5:6" ht="15" customHeight="1" x14ac:dyDescent="0.2">
      <c r="E19812" s="18"/>
      <c r="F19812" s="18"/>
    </row>
    <row r="19813" spans="5:6" ht="15" customHeight="1" x14ac:dyDescent="0.2">
      <c r="E19813" s="18"/>
      <c r="F19813" s="18"/>
    </row>
    <row r="19814" spans="5:6" ht="15" customHeight="1" x14ac:dyDescent="0.2">
      <c r="E19814" s="18"/>
      <c r="F19814" s="18"/>
    </row>
    <row r="19815" spans="5:6" ht="15" customHeight="1" x14ac:dyDescent="0.2">
      <c r="E19815" s="18"/>
      <c r="F19815" s="18"/>
    </row>
    <row r="19816" spans="5:6" ht="15" customHeight="1" x14ac:dyDescent="0.2">
      <c r="E19816" s="18"/>
      <c r="F19816" s="18"/>
    </row>
    <row r="19817" spans="5:6" ht="15" customHeight="1" x14ac:dyDescent="0.2">
      <c r="E19817" s="18"/>
      <c r="F19817" s="18"/>
    </row>
    <row r="19818" spans="5:6" ht="15" customHeight="1" x14ac:dyDescent="0.2">
      <c r="E19818" s="18"/>
      <c r="F19818" s="18"/>
    </row>
    <row r="19819" spans="5:6" ht="15" customHeight="1" x14ac:dyDescent="0.2">
      <c r="E19819" s="18"/>
      <c r="F19819" s="18"/>
    </row>
    <row r="19820" spans="5:6" ht="15" customHeight="1" x14ac:dyDescent="0.2">
      <c r="E19820" s="18"/>
      <c r="F19820" s="18"/>
    </row>
    <row r="19821" spans="5:6" ht="15" customHeight="1" x14ac:dyDescent="0.2">
      <c r="E19821" s="18"/>
      <c r="F19821" s="18"/>
    </row>
    <row r="19822" spans="5:6" ht="15" customHeight="1" x14ac:dyDescent="0.2">
      <c r="E19822" s="18"/>
      <c r="F19822" s="18"/>
    </row>
    <row r="19823" spans="5:6" ht="15" customHeight="1" x14ac:dyDescent="0.2">
      <c r="E19823" s="18"/>
      <c r="F19823" s="18"/>
    </row>
    <row r="19824" spans="5:6" ht="15" customHeight="1" x14ac:dyDescent="0.2">
      <c r="E19824" s="18"/>
      <c r="F19824" s="18"/>
    </row>
    <row r="19825" spans="5:6" ht="15" customHeight="1" x14ac:dyDescent="0.2">
      <c r="E19825" s="18"/>
      <c r="F19825" s="18"/>
    </row>
    <row r="19826" spans="5:6" ht="15" customHeight="1" x14ac:dyDescent="0.2">
      <c r="E19826" s="18"/>
      <c r="F19826" s="18"/>
    </row>
    <row r="19827" spans="5:6" ht="15" customHeight="1" x14ac:dyDescent="0.2">
      <c r="E19827" s="18"/>
      <c r="F19827" s="18"/>
    </row>
    <row r="19828" spans="5:6" ht="15" customHeight="1" x14ac:dyDescent="0.2">
      <c r="E19828" s="18"/>
      <c r="F19828" s="18"/>
    </row>
    <row r="19829" spans="5:6" ht="15" customHeight="1" x14ac:dyDescent="0.2">
      <c r="E19829" s="18"/>
      <c r="F19829" s="18"/>
    </row>
    <row r="19830" spans="5:6" ht="15" customHeight="1" x14ac:dyDescent="0.2">
      <c r="E19830" s="18"/>
      <c r="F19830" s="18"/>
    </row>
    <row r="19831" spans="5:6" ht="15" customHeight="1" x14ac:dyDescent="0.2">
      <c r="E19831" s="18"/>
      <c r="F19831" s="18"/>
    </row>
    <row r="19832" spans="5:6" ht="15" customHeight="1" x14ac:dyDescent="0.2">
      <c r="E19832" s="18"/>
      <c r="F19832" s="18"/>
    </row>
    <row r="19833" spans="5:6" ht="15" customHeight="1" x14ac:dyDescent="0.2">
      <c r="E19833" s="18"/>
      <c r="F19833" s="18"/>
    </row>
    <row r="19834" spans="5:6" ht="15" customHeight="1" x14ac:dyDescent="0.2">
      <c r="E19834" s="18"/>
      <c r="F19834" s="18"/>
    </row>
    <row r="19835" spans="5:6" ht="15" customHeight="1" x14ac:dyDescent="0.2">
      <c r="E19835" s="18"/>
      <c r="F19835" s="18"/>
    </row>
    <row r="19836" spans="5:6" ht="15" customHeight="1" x14ac:dyDescent="0.2">
      <c r="E19836" s="18"/>
      <c r="F19836" s="18"/>
    </row>
    <row r="19837" spans="5:6" ht="15" customHeight="1" x14ac:dyDescent="0.2">
      <c r="E19837" s="18"/>
      <c r="F19837" s="18"/>
    </row>
    <row r="19838" spans="5:6" ht="15" customHeight="1" x14ac:dyDescent="0.2">
      <c r="E19838" s="18"/>
      <c r="F19838" s="18"/>
    </row>
    <row r="19839" spans="5:6" ht="15" customHeight="1" x14ac:dyDescent="0.2">
      <c r="E19839" s="18"/>
      <c r="F19839" s="18"/>
    </row>
    <row r="19840" spans="5:6" ht="15" customHeight="1" x14ac:dyDescent="0.2">
      <c r="E19840" s="18"/>
      <c r="F19840" s="18"/>
    </row>
    <row r="19841" spans="5:6" ht="15" customHeight="1" x14ac:dyDescent="0.2">
      <c r="E19841" s="18"/>
      <c r="F19841" s="18"/>
    </row>
    <row r="19842" spans="5:6" ht="15" customHeight="1" x14ac:dyDescent="0.2">
      <c r="E19842" s="18"/>
      <c r="F19842" s="18"/>
    </row>
    <row r="19843" spans="5:6" ht="15" customHeight="1" x14ac:dyDescent="0.2">
      <c r="E19843" s="18"/>
      <c r="F19843" s="18"/>
    </row>
    <row r="19844" spans="5:6" ht="15" customHeight="1" x14ac:dyDescent="0.2">
      <c r="E19844" s="18"/>
      <c r="F19844" s="18"/>
    </row>
    <row r="19845" spans="5:6" ht="15" customHeight="1" x14ac:dyDescent="0.2">
      <c r="E19845" s="18"/>
      <c r="F19845" s="18"/>
    </row>
    <row r="19846" spans="5:6" ht="15" customHeight="1" x14ac:dyDescent="0.2">
      <c r="E19846" s="18"/>
      <c r="F19846" s="18"/>
    </row>
    <row r="19847" spans="5:6" ht="15" customHeight="1" x14ac:dyDescent="0.2">
      <c r="E19847" s="18"/>
      <c r="F19847" s="18"/>
    </row>
    <row r="19848" spans="5:6" ht="15" customHeight="1" x14ac:dyDescent="0.2">
      <c r="E19848" s="18"/>
      <c r="F19848" s="18"/>
    </row>
    <row r="19849" spans="5:6" ht="15" customHeight="1" x14ac:dyDescent="0.2">
      <c r="E19849" s="18"/>
      <c r="F19849" s="18"/>
    </row>
    <row r="19850" spans="5:6" ht="15" customHeight="1" x14ac:dyDescent="0.2">
      <c r="E19850" s="18"/>
      <c r="F19850" s="18"/>
    </row>
    <row r="19851" spans="5:6" ht="15" customHeight="1" x14ac:dyDescent="0.2">
      <c r="E19851" s="18"/>
      <c r="F19851" s="18"/>
    </row>
    <row r="19852" spans="5:6" ht="15" customHeight="1" x14ac:dyDescent="0.2">
      <c r="E19852" s="18"/>
      <c r="F19852" s="18"/>
    </row>
    <row r="19853" spans="5:6" ht="15" customHeight="1" x14ac:dyDescent="0.2">
      <c r="E19853" s="18"/>
      <c r="F19853" s="18"/>
    </row>
    <row r="19854" spans="5:6" ht="15" customHeight="1" x14ac:dyDescent="0.2">
      <c r="E19854" s="18"/>
      <c r="F19854" s="18"/>
    </row>
    <row r="19855" spans="5:6" ht="15" customHeight="1" x14ac:dyDescent="0.2">
      <c r="E19855" s="18"/>
      <c r="F19855" s="18"/>
    </row>
    <row r="19856" spans="5:6" ht="15" customHeight="1" x14ac:dyDescent="0.2">
      <c r="E19856" s="18"/>
      <c r="F19856" s="18"/>
    </row>
    <row r="19857" spans="5:6" ht="15" customHeight="1" x14ac:dyDescent="0.2">
      <c r="E19857" s="18"/>
      <c r="F19857" s="18"/>
    </row>
    <row r="19858" spans="5:6" ht="15" customHeight="1" x14ac:dyDescent="0.2">
      <c r="E19858" s="18"/>
      <c r="F19858" s="18"/>
    </row>
    <row r="19859" spans="5:6" ht="15" customHeight="1" x14ac:dyDescent="0.2">
      <c r="E19859" s="18"/>
      <c r="F19859" s="18"/>
    </row>
    <row r="19860" spans="5:6" ht="15" customHeight="1" x14ac:dyDescent="0.2">
      <c r="E19860" s="18"/>
      <c r="F19860" s="18"/>
    </row>
    <row r="19861" spans="5:6" ht="15" customHeight="1" x14ac:dyDescent="0.2">
      <c r="E19861" s="18"/>
      <c r="F19861" s="18"/>
    </row>
    <row r="19862" spans="5:6" ht="15" customHeight="1" x14ac:dyDescent="0.2">
      <c r="E19862" s="18"/>
      <c r="F19862" s="18"/>
    </row>
    <row r="19863" spans="5:6" ht="15" customHeight="1" x14ac:dyDescent="0.2">
      <c r="E19863" s="18"/>
      <c r="F19863" s="18"/>
    </row>
    <row r="19864" spans="5:6" ht="15" customHeight="1" x14ac:dyDescent="0.2">
      <c r="E19864" s="18"/>
      <c r="F19864" s="18"/>
    </row>
    <row r="19865" spans="5:6" ht="15" customHeight="1" x14ac:dyDescent="0.2">
      <c r="E19865" s="18"/>
      <c r="F19865" s="18"/>
    </row>
    <row r="19866" spans="5:6" ht="15" customHeight="1" x14ac:dyDescent="0.2">
      <c r="E19866" s="18"/>
      <c r="F19866" s="18"/>
    </row>
    <row r="19867" spans="5:6" ht="15" customHeight="1" x14ac:dyDescent="0.2">
      <c r="E19867" s="18"/>
      <c r="F19867" s="18"/>
    </row>
    <row r="19868" spans="5:6" ht="15" customHeight="1" x14ac:dyDescent="0.2">
      <c r="E19868" s="18"/>
      <c r="F19868" s="18"/>
    </row>
    <row r="19869" spans="5:6" ht="15" customHeight="1" x14ac:dyDescent="0.2">
      <c r="E19869" s="18"/>
      <c r="F19869" s="18"/>
    </row>
    <row r="19870" spans="5:6" ht="15" customHeight="1" x14ac:dyDescent="0.2">
      <c r="E19870" s="18"/>
      <c r="F19870" s="18"/>
    </row>
    <row r="19871" spans="5:6" ht="15" customHeight="1" x14ac:dyDescent="0.2">
      <c r="E19871" s="18"/>
      <c r="F19871" s="18"/>
    </row>
    <row r="19872" spans="5:6" ht="15" customHeight="1" x14ac:dyDescent="0.2">
      <c r="E19872" s="18"/>
      <c r="F19872" s="18"/>
    </row>
    <row r="19873" spans="5:6" ht="15" customHeight="1" x14ac:dyDescent="0.2">
      <c r="E19873" s="18"/>
      <c r="F19873" s="18"/>
    </row>
    <row r="19874" spans="5:6" ht="15" customHeight="1" x14ac:dyDescent="0.2">
      <c r="E19874" s="18"/>
      <c r="F19874" s="18"/>
    </row>
    <row r="19875" spans="5:6" ht="15" customHeight="1" x14ac:dyDescent="0.2">
      <c r="E19875" s="18"/>
      <c r="F19875" s="18"/>
    </row>
    <row r="19876" spans="5:6" ht="15" customHeight="1" x14ac:dyDescent="0.2">
      <c r="E19876" s="18"/>
      <c r="F19876" s="18"/>
    </row>
    <row r="19877" spans="5:6" ht="15" customHeight="1" x14ac:dyDescent="0.2">
      <c r="E19877" s="18"/>
      <c r="F19877" s="18"/>
    </row>
    <row r="19878" spans="5:6" ht="15" customHeight="1" x14ac:dyDescent="0.2">
      <c r="E19878" s="18"/>
      <c r="F19878" s="18"/>
    </row>
    <row r="19879" spans="5:6" ht="15" customHeight="1" x14ac:dyDescent="0.2">
      <c r="E19879" s="18"/>
      <c r="F19879" s="18"/>
    </row>
    <row r="19880" spans="5:6" ht="15" customHeight="1" x14ac:dyDescent="0.2">
      <c r="E19880" s="18"/>
      <c r="F19880" s="18"/>
    </row>
    <row r="19881" spans="5:6" ht="15" customHeight="1" x14ac:dyDescent="0.2">
      <c r="E19881" s="18"/>
      <c r="F19881" s="18"/>
    </row>
    <row r="19882" spans="5:6" ht="15" customHeight="1" x14ac:dyDescent="0.2">
      <c r="E19882" s="18"/>
      <c r="F19882" s="18"/>
    </row>
    <row r="19883" spans="5:6" ht="15" customHeight="1" x14ac:dyDescent="0.2">
      <c r="E19883" s="18"/>
      <c r="F19883" s="18"/>
    </row>
    <row r="19884" spans="5:6" ht="15" customHeight="1" x14ac:dyDescent="0.2">
      <c r="E19884" s="18"/>
      <c r="F19884" s="18"/>
    </row>
    <row r="19885" spans="5:6" ht="15" customHeight="1" x14ac:dyDescent="0.2">
      <c r="E19885" s="18"/>
      <c r="F19885" s="18"/>
    </row>
    <row r="19886" spans="5:6" ht="15" customHeight="1" x14ac:dyDescent="0.2">
      <c r="E19886" s="18"/>
      <c r="F19886" s="18"/>
    </row>
    <row r="19887" spans="5:6" ht="15" customHeight="1" x14ac:dyDescent="0.2">
      <c r="E19887" s="18"/>
      <c r="F19887" s="18"/>
    </row>
    <row r="19888" spans="5:6" ht="15" customHeight="1" x14ac:dyDescent="0.2">
      <c r="E19888" s="18"/>
      <c r="F19888" s="18"/>
    </row>
    <row r="19889" spans="5:6" ht="15" customHeight="1" x14ac:dyDescent="0.2">
      <c r="E19889" s="18"/>
      <c r="F19889" s="18"/>
    </row>
    <row r="19890" spans="5:6" ht="15" customHeight="1" x14ac:dyDescent="0.2">
      <c r="E19890" s="18"/>
      <c r="F19890" s="18"/>
    </row>
    <row r="19891" spans="5:6" ht="15" customHeight="1" x14ac:dyDescent="0.2">
      <c r="E19891" s="18"/>
      <c r="F19891" s="18"/>
    </row>
    <row r="19892" spans="5:6" ht="15" customHeight="1" x14ac:dyDescent="0.2">
      <c r="E19892" s="18"/>
      <c r="F19892" s="18"/>
    </row>
    <row r="19893" spans="5:6" ht="15" customHeight="1" x14ac:dyDescent="0.2">
      <c r="E19893" s="18"/>
      <c r="F19893" s="18"/>
    </row>
    <row r="19894" spans="5:6" ht="15" customHeight="1" x14ac:dyDescent="0.2">
      <c r="E19894" s="18"/>
      <c r="F19894" s="18"/>
    </row>
    <row r="19895" spans="5:6" ht="15" customHeight="1" x14ac:dyDescent="0.2">
      <c r="E19895" s="18"/>
      <c r="F19895" s="18"/>
    </row>
    <row r="19896" spans="5:6" ht="15" customHeight="1" x14ac:dyDescent="0.2">
      <c r="E19896" s="18"/>
      <c r="F19896" s="18"/>
    </row>
    <row r="19897" spans="5:6" ht="15" customHeight="1" x14ac:dyDescent="0.2">
      <c r="E19897" s="18"/>
      <c r="F19897" s="18"/>
    </row>
    <row r="19898" spans="5:6" ht="15" customHeight="1" x14ac:dyDescent="0.2">
      <c r="E19898" s="18"/>
      <c r="F19898" s="18"/>
    </row>
    <row r="19899" spans="5:6" ht="15" customHeight="1" x14ac:dyDescent="0.2">
      <c r="E19899" s="18"/>
      <c r="F19899" s="18"/>
    </row>
    <row r="19900" spans="5:6" ht="15" customHeight="1" x14ac:dyDescent="0.2">
      <c r="E19900" s="18"/>
      <c r="F19900" s="18"/>
    </row>
    <row r="19901" spans="5:6" ht="15" customHeight="1" x14ac:dyDescent="0.2">
      <c r="E19901" s="18"/>
      <c r="F19901" s="18"/>
    </row>
    <row r="19902" spans="5:6" ht="15" customHeight="1" x14ac:dyDescent="0.2">
      <c r="E19902" s="18"/>
      <c r="F19902" s="18"/>
    </row>
    <row r="19903" spans="5:6" ht="15" customHeight="1" x14ac:dyDescent="0.2">
      <c r="E19903" s="18"/>
      <c r="F19903" s="18"/>
    </row>
    <row r="19904" spans="5:6" ht="15" customHeight="1" x14ac:dyDescent="0.2">
      <c r="E19904" s="18"/>
      <c r="F19904" s="18"/>
    </row>
    <row r="19905" spans="5:6" ht="15" customHeight="1" x14ac:dyDescent="0.2">
      <c r="E19905" s="18"/>
      <c r="F19905" s="18"/>
    </row>
    <row r="19906" spans="5:6" ht="15" customHeight="1" x14ac:dyDescent="0.2">
      <c r="E19906" s="18"/>
      <c r="F19906" s="18"/>
    </row>
    <row r="19907" spans="5:6" ht="15" customHeight="1" x14ac:dyDescent="0.2">
      <c r="E19907" s="18"/>
      <c r="F19907" s="18"/>
    </row>
    <row r="19908" spans="5:6" ht="15" customHeight="1" x14ac:dyDescent="0.2">
      <c r="E19908" s="18"/>
      <c r="F19908" s="18"/>
    </row>
    <row r="19909" spans="5:6" ht="15" customHeight="1" x14ac:dyDescent="0.2">
      <c r="E19909" s="18"/>
      <c r="F19909" s="18"/>
    </row>
    <row r="19910" spans="5:6" ht="15" customHeight="1" x14ac:dyDescent="0.2">
      <c r="E19910" s="18"/>
      <c r="F19910" s="18"/>
    </row>
    <row r="19911" spans="5:6" ht="15" customHeight="1" x14ac:dyDescent="0.2">
      <c r="E19911" s="18"/>
      <c r="F19911" s="18"/>
    </row>
    <row r="19912" spans="5:6" ht="15" customHeight="1" x14ac:dyDescent="0.2">
      <c r="E19912" s="18"/>
      <c r="F19912" s="18"/>
    </row>
    <row r="19913" spans="5:6" ht="15" customHeight="1" x14ac:dyDescent="0.2">
      <c r="E19913" s="18"/>
      <c r="F19913" s="18"/>
    </row>
    <row r="19914" spans="5:6" ht="15" customHeight="1" x14ac:dyDescent="0.2">
      <c r="E19914" s="18"/>
      <c r="F19914" s="18"/>
    </row>
    <row r="19915" spans="5:6" ht="15" customHeight="1" x14ac:dyDescent="0.2">
      <c r="E19915" s="18"/>
      <c r="F19915" s="18"/>
    </row>
    <row r="19916" spans="5:6" ht="15" customHeight="1" x14ac:dyDescent="0.2">
      <c r="E19916" s="18"/>
      <c r="F19916" s="18"/>
    </row>
    <row r="19917" spans="5:6" ht="15" customHeight="1" x14ac:dyDescent="0.2">
      <c r="E19917" s="18"/>
      <c r="F19917" s="18"/>
    </row>
    <row r="19918" spans="5:6" ht="15" customHeight="1" x14ac:dyDescent="0.2">
      <c r="E19918" s="18"/>
      <c r="F19918" s="18"/>
    </row>
    <row r="19919" spans="5:6" ht="15" customHeight="1" x14ac:dyDescent="0.2">
      <c r="E19919" s="18"/>
      <c r="F19919" s="18"/>
    </row>
    <row r="19920" spans="5:6" ht="15" customHeight="1" x14ac:dyDescent="0.2">
      <c r="E19920" s="18"/>
      <c r="F19920" s="18"/>
    </row>
    <row r="19921" spans="5:6" ht="15" customHeight="1" x14ac:dyDescent="0.2">
      <c r="E19921" s="18"/>
      <c r="F19921" s="18"/>
    </row>
    <row r="19922" spans="5:6" ht="15" customHeight="1" x14ac:dyDescent="0.2">
      <c r="E19922" s="18"/>
      <c r="F19922" s="18"/>
    </row>
    <row r="19923" spans="5:6" ht="15" customHeight="1" x14ac:dyDescent="0.2">
      <c r="E19923" s="18"/>
      <c r="F19923" s="18"/>
    </row>
    <row r="19924" spans="5:6" ht="15" customHeight="1" x14ac:dyDescent="0.2">
      <c r="E19924" s="18"/>
      <c r="F19924" s="18"/>
    </row>
    <row r="19925" spans="5:6" ht="15" customHeight="1" x14ac:dyDescent="0.2">
      <c r="E19925" s="18"/>
      <c r="F19925" s="18"/>
    </row>
    <row r="19926" spans="5:6" ht="15" customHeight="1" x14ac:dyDescent="0.2">
      <c r="E19926" s="18"/>
      <c r="F19926" s="18"/>
    </row>
    <row r="19927" spans="5:6" ht="15" customHeight="1" x14ac:dyDescent="0.2">
      <c r="E19927" s="18"/>
      <c r="F19927" s="18"/>
    </row>
    <row r="19928" spans="5:6" ht="15" customHeight="1" x14ac:dyDescent="0.2">
      <c r="E19928" s="18"/>
      <c r="F19928" s="18"/>
    </row>
    <row r="19929" spans="5:6" ht="15" customHeight="1" x14ac:dyDescent="0.2">
      <c r="E19929" s="18"/>
      <c r="F19929" s="18"/>
    </row>
    <row r="19930" spans="5:6" ht="15" customHeight="1" x14ac:dyDescent="0.2">
      <c r="E19930" s="18"/>
      <c r="F19930" s="18"/>
    </row>
    <row r="19931" spans="5:6" ht="15" customHeight="1" x14ac:dyDescent="0.2">
      <c r="E19931" s="18"/>
      <c r="F19931" s="18"/>
    </row>
    <row r="19932" spans="5:6" ht="15" customHeight="1" x14ac:dyDescent="0.2">
      <c r="E19932" s="18"/>
      <c r="F19932" s="18"/>
    </row>
    <row r="19933" spans="5:6" ht="15" customHeight="1" x14ac:dyDescent="0.2">
      <c r="E19933" s="18"/>
      <c r="F19933" s="18"/>
    </row>
    <row r="19934" spans="5:6" ht="15" customHeight="1" x14ac:dyDescent="0.2">
      <c r="E19934" s="18"/>
      <c r="F19934" s="18"/>
    </row>
    <row r="19935" spans="5:6" ht="15" customHeight="1" x14ac:dyDescent="0.2">
      <c r="E19935" s="18"/>
      <c r="F19935" s="18"/>
    </row>
    <row r="19936" spans="5:6" ht="15" customHeight="1" x14ac:dyDescent="0.2">
      <c r="E19936" s="18"/>
      <c r="F19936" s="18"/>
    </row>
    <row r="19937" spans="5:6" ht="15" customHeight="1" x14ac:dyDescent="0.2">
      <c r="E19937" s="18"/>
      <c r="F19937" s="18"/>
    </row>
    <row r="19938" spans="5:6" ht="15" customHeight="1" x14ac:dyDescent="0.2">
      <c r="E19938" s="18"/>
      <c r="F19938" s="18"/>
    </row>
    <row r="19939" spans="5:6" ht="15" customHeight="1" x14ac:dyDescent="0.2">
      <c r="E19939" s="18"/>
      <c r="F19939" s="18"/>
    </row>
    <row r="19940" spans="5:6" ht="15" customHeight="1" x14ac:dyDescent="0.2">
      <c r="E19940" s="18"/>
      <c r="F19940" s="18"/>
    </row>
    <row r="19941" spans="5:6" ht="15" customHeight="1" x14ac:dyDescent="0.2">
      <c r="E19941" s="18"/>
      <c r="F19941" s="18"/>
    </row>
    <row r="19942" spans="5:6" ht="15" customHeight="1" x14ac:dyDescent="0.2">
      <c r="E19942" s="18"/>
      <c r="F19942" s="18"/>
    </row>
    <row r="19943" spans="5:6" ht="15" customHeight="1" x14ac:dyDescent="0.2">
      <c r="E19943" s="18"/>
      <c r="F19943" s="18"/>
    </row>
    <row r="19944" spans="5:6" ht="15" customHeight="1" x14ac:dyDescent="0.2">
      <c r="E19944" s="18"/>
      <c r="F19944" s="18"/>
    </row>
    <row r="19945" spans="5:6" ht="15" customHeight="1" x14ac:dyDescent="0.2">
      <c r="E19945" s="18"/>
      <c r="F19945" s="18"/>
    </row>
    <row r="19946" spans="5:6" ht="15" customHeight="1" x14ac:dyDescent="0.2">
      <c r="E19946" s="18"/>
      <c r="F19946" s="18"/>
    </row>
    <row r="19947" spans="5:6" ht="15" customHeight="1" x14ac:dyDescent="0.2">
      <c r="E19947" s="18"/>
      <c r="F19947" s="18"/>
    </row>
    <row r="19948" spans="5:6" ht="15" customHeight="1" x14ac:dyDescent="0.2">
      <c r="E19948" s="18"/>
      <c r="F19948" s="18"/>
    </row>
    <row r="19949" spans="5:6" ht="15" customHeight="1" x14ac:dyDescent="0.2">
      <c r="E19949" s="18"/>
      <c r="F19949" s="18"/>
    </row>
    <row r="19950" spans="5:6" ht="15" customHeight="1" x14ac:dyDescent="0.2">
      <c r="E19950" s="18"/>
      <c r="F19950" s="18"/>
    </row>
    <row r="19951" spans="5:6" ht="15" customHeight="1" x14ac:dyDescent="0.2">
      <c r="E19951" s="18"/>
      <c r="F19951" s="18"/>
    </row>
    <row r="19952" spans="5:6" ht="15" customHeight="1" x14ac:dyDescent="0.2">
      <c r="E19952" s="18"/>
      <c r="F19952" s="18"/>
    </row>
    <row r="19953" spans="5:6" ht="15" customHeight="1" x14ac:dyDescent="0.2">
      <c r="E19953" s="18"/>
      <c r="F19953" s="18"/>
    </row>
    <row r="19954" spans="5:6" ht="15" customHeight="1" x14ac:dyDescent="0.2">
      <c r="E19954" s="18"/>
      <c r="F19954" s="18"/>
    </row>
    <row r="19955" spans="5:6" ht="15" customHeight="1" x14ac:dyDescent="0.2">
      <c r="E19955" s="18"/>
      <c r="F19955" s="18"/>
    </row>
    <row r="19956" spans="5:6" ht="15" customHeight="1" x14ac:dyDescent="0.2">
      <c r="E19956" s="18"/>
      <c r="F19956" s="18"/>
    </row>
    <row r="19957" spans="5:6" ht="15" customHeight="1" x14ac:dyDescent="0.2">
      <c r="E19957" s="18"/>
      <c r="F19957" s="18"/>
    </row>
    <row r="19958" spans="5:6" ht="15" customHeight="1" x14ac:dyDescent="0.2">
      <c r="E19958" s="18"/>
      <c r="F19958" s="18"/>
    </row>
    <row r="19959" spans="5:6" ht="15" customHeight="1" x14ac:dyDescent="0.2">
      <c r="E19959" s="18"/>
      <c r="F19959" s="18"/>
    </row>
    <row r="19960" spans="5:6" ht="15" customHeight="1" x14ac:dyDescent="0.2">
      <c r="E19960" s="18"/>
      <c r="F19960" s="18"/>
    </row>
    <row r="19961" spans="5:6" ht="15" customHeight="1" x14ac:dyDescent="0.2">
      <c r="E19961" s="18"/>
      <c r="F19961" s="18"/>
    </row>
    <row r="19962" spans="5:6" ht="15" customHeight="1" x14ac:dyDescent="0.2">
      <c r="E19962" s="18"/>
      <c r="F19962" s="18"/>
    </row>
    <row r="19963" spans="5:6" ht="15" customHeight="1" x14ac:dyDescent="0.2">
      <c r="E19963" s="18"/>
      <c r="F19963" s="18"/>
    </row>
    <row r="19964" spans="5:6" ht="15" customHeight="1" x14ac:dyDescent="0.2">
      <c r="E19964" s="18"/>
      <c r="F19964" s="18"/>
    </row>
    <row r="19965" spans="5:6" ht="15" customHeight="1" x14ac:dyDescent="0.2">
      <c r="E19965" s="18"/>
      <c r="F19965" s="18"/>
    </row>
    <row r="19966" spans="5:6" ht="15" customHeight="1" x14ac:dyDescent="0.2">
      <c r="E19966" s="18"/>
      <c r="F19966" s="18"/>
    </row>
    <row r="19967" spans="5:6" ht="15" customHeight="1" x14ac:dyDescent="0.2">
      <c r="E19967" s="18"/>
      <c r="F19967" s="18"/>
    </row>
    <row r="19968" spans="5:6" ht="15" customHeight="1" x14ac:dyDescent="0.2">
      <c r="E19968" s="18"/>
      <c r="F19968" s="18"/>
    </row>
    <row r="19969" spans="5:6" ht="15" customHeight="1" x14ac:dyDescent="0.2">
      <c r="E19969" s="18"/>
      <c r="F19969" s="18"/>
    </row>
    <row r="19970" spans="5:6" ht="15" customHeight="1" x14ac:dyDescent="0.2">
      <c r="E19970" s="18"/>
      <c r="F19970" s="18"/>
    </row>
    <row r="19971" spans="5:6" ht="15" customHeight="1" x14ac:dyDescent="0.2">
      <c r="E19971" s="18"/>
      <c r="F19971" s="18"/>
    </row>
    <row r="19972" spans="5:6" ht="15" customHeight="1" x14ac:dyDescent="0.2">
      <c r="E19972" s="18"/>
      <c r="F19972" s="18"/>
    </row>
    <row r="19973" spans="5:6" ht="15" customHeight="1" x14ac:dyDescent="0.2">
      <c r="E19973" s="18"/>
      <c r="F19973" s="18"/>
    </row>
    <row r="19974" spans="5:6" ht="15" customHeight="1" x14ac:dyDescent="0.2">
      <c r="E19974" s="18"/>
      <c r="F19974" s="18"/>
    </row>
    <row r="19975" spans="5:6" ht="15" customHeight="1" x14ac:dyDescent="0.2">
      <c r="E19975" s="18"/>
      <c r="F19975" s="18"/>
    </row>
    <row r="19976" spans="5:6" ht="15" customHeight="1" x14ac:dyDescent="0.2">
      <c r="E19976" s="18"/>
      <c r="F19976" s="18"/>
    </row>
    <row r="19977" spans="5:6" ht="15" customHeight="1" x14ac:dyDescent="0.2">
      <c r="E19977" s="18"/>
      <c r="F19977" s="18"/>
    </row>
    <row r="19978" spans="5:6" ht="15" customHeight="1" x14ac:dyDescent="0.2">
      <c r="E19978" s="18"/>
      <c r="F19978" s="18"/>
    </row>
    <row r="19979" spans="5:6" ht="15" customHeight="1" x14ac:dyDescent="0.2">
      <c r="E19979" s="18"/>
      <c r="F19979" s="18"/>
    </row>
    <row r="19980" spans="5:6" ht="15" customHeight="1" x14ac:dyDescent="0.2">
      <c r="E19980" s="18"/>
      <c r="F19980" s="18"/>
    </row>
    <row r="19981" spans="5:6" ht="15" customHeight="1" x14ac:dyDescent="0.2">
      <c r="E19981" s="18"/>
      <c r="F19981" s="18"/>
    </row>
    <row r="19982" spans="5:6" ht="15" customHeight="1" x14ac:dyDescent="0.2">
      <c r="E19982" s="18"/>
      <c r="F19982" s="18"/>
    </row>
    <row r="19983" spans="5:6" ht="15" customHeight="1" x14ac:dyDescent="0.2">
      <c r="E19983" s="18"/>
      <c r="F19983" s="18"/>
    </row>
    <row r="19984" spans="5:6" ht="15" customHeight="1" x14ac:dyDescent="0.2">
      <c r="E19984" s="18"/>
      <c r="F19984" s="18"/>
    </row>
    <row r="19985" spans="5:6" ht="15" customHeight="1" x14ac:dyDescent="0.2">
      <c r="E19985" s="18"/>
      <c r="F19985" s="18"/>
    </row>
    <row r="19986" spans="5:6" ht="15" customHeight="1" x14ac:dyDescent="0.2">
      <c r="E19986" s="18"/>
      <c r="F19986" s="18"/>
    </row>
    <row r="19987" spans="5:6" ht="15" customHeight="1" x14ac:dyDescent="0.2">
      <c r="E19987" s="18"/>
      <c r="F19987" s="18"/>
    </row>
    <row r="19988" spans="5:6" ht="15" customHeight="1" x14ac:dyDescent="0.2">
      <c r="E19988" s="18"/>
      <c r="F19988" s="18"/>
    </row>
    <row r="19989" spans="5:6" ht="15" customHeight="1" x14ac:dyDescent="0.2">
      <c r="E19989" s="18"/>
      <c r="F19989" s="18"/>
    </row>
    <row r="19990" spans="5:6" ht="15" customHeight="1" x14ac:dyDescent="0.2">
      <c r="E19990" s="18"/>
      <c r="F19990" s="18"/>
    </row>
    <row r="19991" spans="5:6" ht="15" customHeight="1" x14ac:dyDescent="0.2">
      <c r="E19991" s="18"/>
      <c r="F19991" s="18"/>
    </row>
    <row r="19992" spans="5:6" ht="15" customHeight="1" x14ac:dyDescent="0.2">
      <c r="E19992" s="18"/>
      <c r="F19992" s="18"/>
    </row>
    <row r="19993" spans="5:6" ht="15" customHeight="1" x14ac:dyDescent="0.2">
      <c r="E19993" s="18"/>
      <c r="F19993" s="18"/>
    </row>
    <row r="19994" spans="5:6" ht="15" customHeight="1" x14ac:dyDescent="0.2">
      <c r="E19994" s="18"/>
      <c r="F19994" s="18"/>
    </row>
    <row r="19995" spans="5:6" ht="15" customHeight="1" x14ac:dyDescent="0.2">
      <c r="E19995" s="18"/>
      <c r="F19995" s="18"/>
    </row>
    <row r="19996" spans="5:6" ht="15" customHeight="1" x14ac:dyDescent="0.2">
      <c r="E19996" s="18"/>
      <c r="F19996" s="18"/>
    </row>
    <row r="19997" spans="5:6" ht="15" customHeight="1" x14ac:dyDescent="0.2">
      <c r="E19997" s="18"/>
      <c r="F19997" s="18"/>
    </row>
    <row r="19998" spans="5:6" ht="15" customHeight="1" x14ac:dyDescent="0.2">
      <c r="E19998" s="18"/>
      <c r="F19998" s="18"/>
    </row>
    <row r="19999" spans="5:6" ht="15" customHeight="1" x14ac:dyDescent="0.2">
      <c r="E19999" s="18"/>
      <c r="F19999" s="18"/>
    </row>
    <row r="20000" spans="5:6" ht="15" customHeight="1" x14ac:dyDescent="0.2">
      <c r="E20000" s="18"/>
      <c r="F20000" s="18"/>
    </row>
    <row r="20001" spans="5:6" ht="15" customHeight="1" x14ac:dyDescent="0.2">
      <c r="E20001" s="18"/>
      <c r="F20001" s="18"/>
    </row>
    <row r="20002" spans="5:6" ht="15" customHeight="1" x14ac:dyDescent="0.2">
      <c r="E20002" s="18"/>
      <c r="F20002" s="18"/>
    </row>
    <row r="20003" spans="5:6" ht="15" customHeight="1" x14ac:dyDescent="0.2">
      <c r="E20003" s="18"/>
      <c r="F20003" s="18"/>
    </row>
    <row r="20004" spans="5:6" ht="15" customHeight="1" x14ac:dyDescent="0.2">
      <c r="E20004" s="18"/>
      <c r="F20004" s="18"/>
    </row>
    <row r="20005" spans="5:6" ht="15" customHeight="1" x14ac:dyDescent="0.2">
      <c r="E20005" s="18"/>
      <c r="F20005" s="18"/>
    </row>
    <row r="20006" spans="5:6" ht="15" customHeight="1" x14ac:dyDescent="0.2">
      <c r="E20006" s="18"/>
      <c r="F20006" s="18"/>
    </row>
    <row r="20007" spans="5:6" ht="15" customHeight="1" x14ac:dyDescent="0.2">
      <c r="E20007" s="18"/>
      <c r="F20007" s="18"/>
    </row>
    <row r="20008" spans="5:6" ht="15" customHeight="1" x14ac:dyDescent="0.2">
      <c r="E20008" s="18"/>
      <c r="F20008" s="18"/>
    </row>
    <row r="20009" spans="5:6" ht="15" customHeight="1" x14ac:dyDescent="0.2">
      <c r="E20009" s="18"/>
      <c r="F20009" s="18"/>
    </row>
    <row r="20010" spans="5:6" ht="15" customHeight="1" x14ac:dyDescent="0.2">
      <c r="E20010" s="18"/>
      <c r="F20010" s="18"/>
    </row>
    <row r="20011" spans="5:6" ht="15" customHeight="1" x14ac:dyDescent="0.2">
      <c r="E20011" s="18"/>
      <c r="F20011" s="18"/>
    </row>
    <row r="20012" spans="5:6" ht="15" customHeight="1" x14ac:dyDescent="0.2">
      <c r="E20012" s="18"/>
      <c r="F20012" s="18"/>
    </row>
    <row r="20013" spans="5:6" ht="15" customHeight="1" x14ac:dyDescent="0.2">
      <c r="E20013" s="18"/>
      <c r="F20013" s="18"/>
    </row>
    <row r="20014" spans="5:6" ht="15" customHeight="1" x14ac:dyDescent="0.2">
      <c r="E20014" s="18"/>
      <c r="F20014" s="18"/>
    </row>
    <row r="20015" spans="5:6" ht="15" customHeight="1" x14ac:dyDescent="0.2">
      <c r="E20015" s="18"/>
      <c r="F20015" s="18"/>
    </row>
    <row r="20016" spans="5:6" ht="15" customHeight="1" x14ac:dyDescent="0.2">
      <c r="E20016" s="18"/>
      <c r="F20016" s="18"/>
    </row>
    <row r="20017" spans="5:6" ht="15" customHeight="1" x14ac:dyDescent="0.2">
      <c r="E20017" s="18"/>
      <c r="F20017" s="18"/>
    </row>
    <row r="20018" spans="5:6" ht="15" customHeight="1" x14ac:dyDescent="0.2">
      <c r="E20018" s="18"/>
      <c r="F20018" s="18"/>
    </row>
    <row r="20019" spans="5:6" ht="15" customHeight="1" x14ac:dyDescent="0.2">
      <c r="E20019" s="18"/>
      <c r="F20019" s="18"/>
    </row>
    <row r="20020" spans="5:6" ht="15" customHeight="1" x14ac:dyDescent="0.2">
      <c r="E20020" s="18"/>
      <c r="F20020" s="18"/>
    </row>
    <row r="20021" spans="5:6" ht="15" customHeight="1" x14ac:dyDescent="0.2">
      <c r="E20021" s="18"/>
      <c r="F20021" s="18"/>
    </row>
    <row r="20022" spans="5:6" ht="15" customHeight="1" x14ac:dyDescent="0.2">
      <c r="E20022" s="18"/>
      <c r="F20022" s="18"/>
    </row>
    <row r="20023" spans="5:6" ht="15" customHeight="1" x14ac:dyDescent="0.2">
      <c r="E20023" s="18"/>
      <c r="F20023" s="18"/>
    </row>
    <row r="20024" spans="5:6" ht="15" customHeight="1" x14ac:dyDescent="0.2">
      <c r="E20024" s="18"/>
      <c r="F20024" s="18"/>
    </row>
    <row r="20025" spans="5:6" ht="15" customHeight="1" x14ac:dyDescent="0.2">
      <c r="E20025" s="18"/>
      <c r="F20025" s="18"/>
    </row>
    <row r="20026" spans="5:6" ht="15" customHeight="1" x14ac:dyDescent="0.2">
      <c r="E20026" s="18"/>
      <c r="F20026" s="18"/>
    </row>
    <row r="20027" spans="5:6" ht="15" customHeight="1" x14ac:dyDescent="0.2">
      <c r="E20027" s="18"/>
      <c r="F20027" s="18"/>
    </row>
    <row r="20028" spans="5:6" ht="15" customHeight="1" x14ac:dyDescent="0.2">
      <c r="E20028" s="18"/>
      <c r="F20028" s="18"/>
    </row>
    <row r="20029" spans="5:6" ht="15" customHeight="1" x14ac:dyDescent="0.2">
      <c r="E20029" s="18"/>
      <c r="F20029" s="18"/>
    </row>
    <row r="20030" spans="5:6" ht="15" customHeight="1" x14ac:dyDescent="0.2">
      <c r="E20030" s="18"/>
      <c r="F20030" s="18"/>
    </row>
    <row r="20031" spans="5:6" ht="15" customHeight="1" x14ac:dyDescent="0.2">
      <c r="E20031" s="18"/>
      <c r="F20031" s="18"/>
    </row>
    <row r="20032" spans="5:6" ht="15" customHeight="1" x14ac:dyDescent="0.2">
      <c r="E20032" s="18"/>
      <c r="F20032" s="18"/>
    </row>
    <row r="20033" spans="5:6" ht="15" customHeight="1" x14ac:dyDescent="0.2">
      <c r="E20033" s="18"/>
      <c r="F20033" s="18"/>
    </row>
    <row r="20034" spans="5:6" ht="15" customHeight="1" x14ac:dyDescent="0.2">
      <c r="E20034" s="18"/>
      <c r="F20034" s="18"/>
    </row>
    <row r="20035" spans="5:6" ht="15" customHeight="1" x14ac:dyDescent="0.2">
      <c r="E20035" s="18"/>
      <c r="F20035" s="18"/>
    </row>
    <row r="20036" spans="5:6" ht="15" customHeight="1" x14ac:dyDescent="0.2">
      <c r="E20036" s="18"/>
      <c r="F20036" s="18"/>
    </row>
    <row r="20037" spans="5:6" ht="15" customHeight="1" x14ac:dyDescent="0.2">
      <c r="E20037" s="18"/>
      <c r="F20037" s="18"/>
    </row>
    <row r="20038" spans="5:6" ht="15" customHeight="1" x14ac:dyDescent="0.2">
      <c r="E20038" s="18"/>
      <c r="F20038" s="18"/>
    </row>
    <row r="20039" spans="5:6" ht="15" customHeight="1" x14ac:dyDescent="0.2">
      <c r="E20039" s="18"/>
      <c r="F20039" s="18"/>
    </row>
    <row r="20040" spans="5:6" ht="15" customHeight="1" x14ac:dyDescent="0.2">
      <c r="E20040" s="18"/>
      <c r="F20040" s="18"/>
    </row>
    <row r="20041" spans="5:6" ht="15" customHeight="1" x14ac:dyDescent="0.2">
      <c r="E20041" s="18"/>
      <c r="F20041" s="18"/>
    </row>
    <row r="20042" spans="5:6" ht="15" customHeight="1" x14ac:dyDescent="0.2">
      <c r="E20042" s="18"/>
      <c r="F20042" s="18"/>
    </row>
    <row r="20043" spans="5:6" ht="15" customHeight="1" x14ac:dyDescent="0.2">
      <c r="E20043" s="18"/>
      <c r="F20043" s="18"/>
    </row>
    <row r="20044" spans="5:6" ht="15" customHeight="1" x14ac:dyDescent="0.2">
      <c r="E20044" s="18"/>
      <c r="F20044" s="18"/>
    </row>
    <row r="20045" spans="5:6" ht="15" customHeight="1" x14ac:dyDescent="0.2">
      <c r="E20045" s="18"/>
      <c r="F20045" s="18"/>
    </row>
    <row r="20046" spans="5:6" ht="15" customHeight="1" x14ac:dyDescent="0.2">
      <c r="E20046" s="18"/>
      <c r="F20046" s="18"/>
    </row>
    <row r="20047" spans="5:6" ht="15" customHeight="1" x14ac:dyDescent="0.2">
      <c r="E20047" s="18"/>
      <c r="F20047" s="18"/>
    </row>
    <row r="20048" spans="5:6" ht="15" customHeight="1" x14ac:dyDescent="0.2">
      <c r="E20048" s="18"/>
      <c r="F20048" s="18"/>
    </row>
    <row r="20049" spans="5:6" ht="15" customHeight="1" x14ac:dyDescent="0.2">
      <c r="E20049" s="18"/>
      <c r="F20049" s="18"/>
    </row>
    <row r="20050" spans="5:6" ht="15" customHeight="1" x14ac:dyDescent="0.2">
      <c r="E20050" s="18"/>
      <c r="F20050" s="18"/>
    </row>
    <row r="20051" spans="5:6" ht="15" customHeight="1" x14ac:dyDescent="0.2">
      <c r="E20051" s="18"/>
      <c r="F20051" s="18"/>
    </row>
    <row r="20052" spans="5:6" ht="15" customHeight="1" x14ac:dyDescent="0.2">
      <c r="E20052" s="18"/>
      <c r="F20052" s="18"/>
    </row>
    <row r="20053" spans="5:6" ht="15" customHeight="1" x14ac:dyDescent="0.2">
      <c r="E20053" s="18"/>
      <c r="F20053" s="18"/>
    </row>
    <row r="20054" spans="5:6" ht="15" customHeight="1" x14ac:dyDescent="0.2">
      <c r="E20054" s="18"/>
      <c r="F20054" s="18"/>
    </row>
    <row r="20055" spans="5:6" ht="15" customHeight="1" x14ac:dyDescent="0.2">
      <c r="E20055" s="18"/>
      <c r="F20055" s="18"/>
    </row>
    <row r="20056" spans="5:6" ht="15" customHeight="1" x14ac:dyDescent="0.2">
      <c r="E20056" s="18"/>
      <c r="F20056" s="18"/>
    </row>
    <row r="20057" spans="5:6" ht="15" customHeight="1" x14ac:dyDescent="0.2">
      <c r="E20057" s="18"/>
      <c r="F20057" s="18"/>
    </row>
    <row r="20058" spans="5:6" ht="15" customHeight="1" x14ac:dyDescent="0.2">
      <c r="E20058" s="18"/>
      <c r="F20058" s="18"/>
    </row>
    <row r="20059" spans="5:6" ht="15" customHeight="1" x14ac:dyDescent="0.2">
      <c r="E20059" s="18"/>
      <c r="F20059" s="18"/>
    </row>
    <row r="20060" spans="5:6" ht="15" customHeight="1" x14ac:dyDescent="0.2">
      <c r="E20060" s="18"/>
      <c r="F20060" s="18"/>
    </row>
    <row r="20061" spans="5:6" ht="15" customHeight="1" x14ac:dyDescent="0.2">
      <c r="E20061" s="18"/>
      <c r="F20061" s="18"/>
    </row>
    <row r="20062" spans="5:6" ht="15" customHeight="1" x14ac:dyDescent="0.2">
      <c r="E20062" s="18"/>
      <c r="F20062" s="18"/>
    </row>
    <row r="20063" spans="5:6" ht="15" customHeight="1" x14ac:dyDescent="0.2">
      <c r="E20063" s="18"/>
      <c r="F20063" s="18"/>
    </row>
    <row r="20064" spans="5:6" ht="15" customHeight="1" x14ac:dyDescent="0.2">
      <c r="E20064" s="18"/>
      <c r="F20064" s="18"/>
    </row>
    <row r="20065" spans="5:6" ht="15" customHeight="1" x14ac:dyDescent="0.2">
      <c r="E20065" s="18"/>
      <c r="F20065" s="18"/>
    </row>
    <row r="20066" spans="5:6" ht="15" customHeight="1" x14ac:dyDescent="0.2">
      <c r="E20066" s="18"/>
      <c r="F20066" s="18"/>
    </row>
    <row r="20067" spans="5:6" ht="15" customHeight="1" x14ac:dyDescent="0.2">
      <c r="E20067" s="18"/>
      <c r="F20067" s="18"/>
    </row>
    <row r="20068" spans="5:6" ht="15" customHeight="1" x14ac:dyDescent="0.2">
      <c r="E20068" s="18"/>
      <c r="F20068" s="18"/>
    </row>
    <row r="20069" spans="5:6" ht="15" customHeight="1" x14ac:dyDescent="0.2">
      <c r="E20069" s="18"/>
      <c r="F20069" s="18"/>
    </row>
    <row r="20070" spans="5:6" ht="15" customHeight="1" x14ac:dyDescent="0.2">
      <c r="E20070" s="18"/>
      <c r="F20070" s="18"/>
    </row>
    <row r="20071" spans="5:6" ht="15" customHeight="1" x14ac:dyDescent="0.2">
      <c r="E20071" s="18"/>
      <c r="F20071" s="18"/>
    </row>
    <row r="20072" spans="5:6" ht="15" customHeight="1" x14ac:dyDescent="0.2">
      <c r="E20072" s="18"/>
      <c r="F20072" s="18"/>
    </row>
    <row r="20073" spans="5:6" ht="15" customHeight="1" x14ac:dyDescent="0.2">
      <c r="E20073" s="18"/>
      <c r="F20073" s="18"/>
    </row>
    <row r="20074" spans="5:6" ht="15" customHeight="1" x14ac:dyDescent="0.2">
      <c r="E20074" s="18"/>
      <c r="F20074" s="18"/>
    </row>
    <row r="20075" spans="5:6" ht="15" customHeight="1" x14ac:dyDescent="0.2">
      <c r="E20075" s="18"/>
      <c r="F20075" s="18"/>
    </row>
    <row r="20076" spans="5:6" ht="15" customHeight="1" x14ac:dyDescent="0.2">
      <c r="E20076" s="18"/>
      <c r="F20076" s="18"/>
    </row>
    <row r="20077" spans="5:6" ht="15" customHeight="1" x14ac:dyDescent="0.2">
      <c r="E20077" s="18"/>
      <c r="F20077" s="18"/>
    </row>
    <row r="20078" spans="5:6" ht="15" customHeight="1" x14ac:dyDescent="0.2">
      <c r="E20078" s="18"/>
      <c r="F20078" s="18"/>
    </row>
    <row r="20079" spans="5:6" ht="15" customHeight="1" x14ac:dyDescent="0.2">
      <c r="E20079" s="18"/>
      <c r="F20079" s="18"/>
    </row>
    <row r="20080" spans="5:6" ht="15" customHeight="1" x14ac:dyDescent="0.2">
      <c r="E20080" s="18"/>
      <c r="F20080" s="18"/>
    </row>
    <row r="20081" spans="5:6" ht="15" customHeight="1" x14ac:dyDescent="0.2">
      <c r="E20081" s="18"/>
      <c r="F20081" s="18"/>
    </row>
    <row r="20082" spans="5:6" ht="15" customHeight="1" x14ac:dyDescent="0.2">
      <c r="E20082" s="18"/>
      <c r="F20082" s="18"/>
    </row>
    <row r="20083" spans="5:6" ht="15" customHeight="1" x14ac:dyDescent="0.2">
      <c r="E20083" s="18"/>
      <c r="F20083" s="18"/>
    </row>
    <row r="20084" spans="5:6" ht="15" customHeight="1" x14ac:dyDescent="0.2">
      <c r="E20084" s="18"/>
      <c r="F20084" s="18"/>
    </row>
    <row r="20085" spans="5:6" ht="15" customHeight="1" x14ac:dyDescent="0.2">
      <c r="E20085" s="18"/>
      <c r="F20085" s="18"/>
    </row>
    <row r="20086" spans="5:6" ht="15" customHeight="1" x14ac:dyDescent="0.2">
      <c r="E20086" s="18"/>
      <c r="F20086" s="18"/>
    </row>
    <row r="20087" spans="5:6" ht="15" customHeight="1" x14ac:dyDescent="0.2">
      <c r="E20087" s="18"/>
      <c r="F20087" s="18"/>
    </row>
    <row r="20088" spans="5:6" ht="15" customHeight="1" x14ac:dyDescent="0.2">
      <c r="E20088" s="18"/>
      <c r="F20088" s="18"/>
    </row>
    <row r="20089" spans="5:6" ht="15" customHeight="1" x14ac:dyDescent="0.2">
      <c r="E20089" s="18"/>
      <c r="F20089" s="18"/>
    </row>
    <row r="20090" spans="5:6" ht="15" customHeight="1" x14ac:dyDescent="0.2">
      <c r="E20090" s="18"/>
      <c r="F20090" s="18"/>
    </row>
    <row r="20091" spans="5:6" ht="15" customHeight="1" x14ac:dyDescent="0.2">
      <c r="E20091" s="18"/>
      <c r="F20091" s="18"/>
    </row>
    <row r="20092" spans="5:6" ht="15" customHeight="1" x14ac:dyDescent="0.2">
      <c r="E20092" s="18"/>
      <c r="F20092" s="18"/>
    </row>
    <row r="20093" spans="5:6" ht="15" customHeight="1" x14ac:dyDescent="0.2">
      <c r="E20093" s="18"/>
      <c r="F20093" s="18"/>
    </row>
    <row r="20094" spans="5:6" ht="15" customHeight="1" x14ac:dyDescent="0.2">
      <c r="E20094" s="18"/>
      <c r="F20094" s="18"/>
    </row>
    <row r="20095" spans="5:6" ht="15" customHeight="1" x14ac:dyDescent="0.2">
      <c r="E20095" s="18"/>
      <c r="F20095" s="18"/>
    </row>
    <row r="20096" spans="5:6" ht="15" customHeight="1" x14ac:dyDescent="0.2">
      <c r="E20096" s="18"/>
      <c r="F20096" s="18"/>
    </row>
    <row r="20097" spans="5:6" ht="15" customHeight="1" x14ac:dyDescent="0.2">
      <c r="E20097" s="18"/>
      <c r="F20097" s="18"/>
    </row>
    <row r="20098" spans="5:6" ht="15" customHeight="1" x14ac:dyDescent="0.2">
      <c r="E20098" s="18"/>
      <c r="F20098" s="18"/>
    </row>
    <row r="20099" spans="5:6" ht="15" customHeight="1" x14ac:dyDescent="0.2">
      <c r="E20099" s="18"/>
      <c r="F20099" s="18"/>
    </row>
    <row r="20100" spans="5:6" ht="15" customHeight="1" x14ac:dyDescent="0.2">
      <c r="E20100" s="18"/>
      <c r="F20100" s="18"/>
    </row>
    <row r="20101" spans="5:6" ht="15" customHeight="1" x14ac:dyDescent="0.2">
      <c r="E20101" s="18"/>
      <c r="F20101" s="18"/>
    </row>
    <row r="20102" spans="5:6" ht="15" customHeight="1" x14ac:dyDescent="0.2">
      <c r="E20102" s="18"/>
      <c r="F20102" s="18"/>
    </row>
    <row r="20103" spans="5:6" ht="15" customHeight="1" x14ac:dyDescent="0.2">
      <c r="E20103" s="18"/>
      <c r="F20103" s="18"/>
    </row>
    <row r="20104" spans="5:6" ht="15" customHeight="1" x14ac:dyDescent="0.2">
      <c r="E20104" s="18"/>
      <c r="F20104" s="18"/>
    </row>
    <row r="20105" spans="5:6" ht="15" customHeight="1" x14ac:dyDescent="0.2">
      <c r="E20105" s="18"/>
      <c r="F20105" s="18"/>
    </row>
    <row r="20106" spans="5:6" ht="15" customHeight="1" x14ac:dyDescent="0.2">
      <c r="E20106" s="18"/>
      <c r="F20106" s="18"/>
    </row>
    <row r="20107" spans="5:6" ht="15" customHeight="1" x14ac:dyDescent="0.2">
      <c r="E20107" s="18"/>
      <c r="F20107" s="18"/>
    </row>
    <row r="20108" spans="5:6" ht="15" customHeight="1" x14ac:dyDescent="0.2">
      <c r="E20108" s="18"/>
      <c r="F20108" s="18"/>
    </row>
    <row r="20109" spans="5:6" ht="15" customHeight="1" x14ac:dyDescent="0.2">
      <c r="E20109" s="18"/>
      <c r="F20109" s="18"/>
    </row>
    <row r="20110" spans="5:6" ht="15" customHeight="1" x14ac:dyDescent="0.2">
      <c r="E20110" s="18"/>
      <c r="F20110" s="18"/>
    </row>
    <row r="20111" spans="5:6" ht="15" customHeight="1" x14ac:dyDescent="0.2">
      <c r="E20111" s="18"/>
      <c r="F20111" s="18"/>
    </row>
    <row r="20112" spans="5:6" ht="15" customHeight="1" x14ac:dyDescent="0.2">
      <c r="E20112" s="18"/>
      <c r="F20112" s="18"/>
    </row>
    <row r="20113" spans="5:6" ht="15" customHeight="1" x14ac:dyDescent="0.2">
      <c r="E20113" s="18"/>
      <c r="F20113" s="18"/>
    </row>
    <row r="20114" spans="5:6" ht="15" customHeight="1" x14ac:dyDescent="0.2">
      <c r="E20114" s="18"/>
      <c r="F20114" s="18"/>
    </row>
    <row r="20115" spans="5:6" ht="15" customHeight="1" x14ac:dyDescent="0.2">
      <c r="E20115" s="18"/>
      <c r="F20115" s="18"/>
    </row>
    <row r="20116" spans="5:6" ht="15" customHeight="1" x14ac:dyDescent="0.2">
      <c r="E20116" s="18"/>
      <c r="F20116" s="18"/>
    </row>
    <row r="20117" spans="5:6" ht="15" customHeight="1" x14ac:dyDescent="0.2">
      <c r="E20117" s="18"/>
      <c r="F20117" s="18"/>
    </row>
    <row r="20118" spans="5:6" ht="15" customHeight="1" x14ac:dyDescent="0.2">
      <c r="E20118" s="18"/>
      <c r="F20118" s="18"/>
    </row>
    <row r="20119" spans="5:6" ht="15" customHeight="1" x14ac:dyDescent="0.2">
      <c r="E20119" s="18"/>
      <c r="F20119" s="18"/>
    </row>
    <row r="20120" spans="5:6" ht="15" customHeight="1" x14ac:dyDescent="0.2">
      <c r="E20120" s="18"/>
      <c r="F20120" s="18"/>
    </row>
    <row r="20121" spans="5:6" ht="15" customHeight="1" x14ac:dyDescent="0.2">
      <c r="E20121" s="18"/>
      <c r="F20121" s="18"/>
    </row>
    <row r="20122" spans="5:6" ht="15" customHeight="1" x14ac:dyDescent="0.2">
      <c r="E20122" s="18"/>
      <c r="F20122" s="18"/>
    </row>
    <row r="20123" spans="5:6" ht="15" customHeight="1" x14ac:dyDescent="0.2">
      <c r="E20123" s="18"/>
      <c r="F20123" s="18"/>
    </row>
    <row r="20124" spans="5:6" ht="15" customHeight="1" x14ac:dyDescent="0.2">
      <c r="E20124" s="18"/>
      <c r="F20124" s="18"/>
    </row>
    <row r="20125" spans="5:6" ht="15" customHeight="1" x14ac:dyDescent="0.2">
      <c r="E20125" s="18"/>
      <c r="F20125" s="18"/>
    </row>
    <row r="20126" spans="5:6" ht="15" customHeight="1" x14ac:dyDescent="0.2">
      <c r="E20126" s="18"/>
      <c r="F20126" s="18"/>
    </row>
    <row r="20127" spans="5:6" ht="15" customHeight="1" x14ac:dyDescent="0.2">
      <c r="E20127" s="18"/>
      <c r="F20127" s="18"/>
    </row>
    <row r="20128" spans="5:6" ht="15" customHeight="1" x14ac:dyDescent="0.2">
      <c r="E20128" s="18"/>
      <c r="F20128" s="18"/>
    </row>
    <row r="20129" spans="5:6" ht="15" customHeight="1" x14ac:dyDescent="0.2">
      <c r="E20129" s="18"/>
      <c r="F20129" s="18"/>
    </row>
    <row r="20130" spans="5:6" ht="15" customHeight="1" x14ac:dyDescent="0.2">
      <c r="E20130" s="18"/>
      <c r="F20130" s="18"/>
    </row>
    <row r="20131" spans="5:6" ht="15" customHeight="1" x14ac:dyDescent="0.2">
      <c r="E20131" s="18"/>
      <c r="F20131" s="18"/>
    </row>
    <row r="20132" spans="5:6" ht="15" customHeight="1" x14ac:dyDescent="0.2">
      <c r="E20132" s="18"/>
      <c r="F20132" s="18"/>
    </row>
    <row r="20133" spans="5:6" ht="15" customHeight="1" x14ac:dyDescent="0.2">
      <c r="E20133" s="18"/>
      <c r="F20133" s="18"/>
    </row>
    <row r="20134" spans="5:6" ht="15" customHeight="1" x14ac:dyDescent="0.2">
      <c r="E20134" s="18"/>
      <c r="F20134" s="18"/>
    </row>
    <row r="20135" spans="5:6" ht="15" customHeight="1" x14ac:dyDescent="0.2">
      <c r="E20135" s="18"/>
      <c r="F20135" s="18"/>
    </row>
    <row r="20136" spans="5:6" ht="15" customHeight="1" x14ac:dyDescent="0.2">
      <c r="E20136" s="18"/>
      <c r="F20136" s="18"/>
    </row>
    <row r="20137" spans="5:6" ht="15" customHeight="1" x14ac:dyDescent="0.2">
      <c r="E20137" s="18"/>
      <c r="F20137" s="18"/>
    </row>
    <row r="20138" spans="5:6" ht="15" customHeight="1" x14ac:dyDescent="0.2">
      <c r="E20138" s="18"/>
      <c r="F20138" s="18"/>
    </row>
    <row r="20139" spans="5:6" ht="15" customHeight="1" x14ac:dyDescent="0.2">
      <c r="E20139" s="18"/>
      <c r="F20139" s="18"/>
    </row>
    <row r="20140" spans="5:6" ht="15" customHeight="1" x14ac:dyDescent="0.2">
      <c r="E20140" s="18"/>
      <c r="F20140" s="18"/>
    </row>
    <row r="20141" spans="5:6" ht="15" customHeight="1" x14ac:dyDescent="0.2">
      <c r="E20141" s="18"/>
      <c r="F20141" s="18"/>
    </row>
    <row r="20142" spans="5:6" ht="15" customHeight="1" x14ac:dyDescent="0.2">
      <c r="E20142" s="18"/>
      <c r="F20142" s="18"/>
    </row>
    <row r="20143" spans="5:6" ht="15" customHeight="1" x14ac:dyDescent="0.2">
      <c r="E20143" s="18"/>
      <c r="F20143" s="18"/>
    </row>
    <row r="20144" spans="5:6" ht="15" customHeight="1" x14ac:dyDescent="0.2">
      <c r="E20144" s="18"/>
      <c r="F20144" s="18"/>
    </row>
    <row r="20145" spans="5:6" ht="15" customHeight="1" x14ac:dyDescent="0.2">
      <c r="E20145" s="18"/>
      <c r="F20145" s="18"/>
    </row>
    <row r="20146" spans="5:6" ht="15" customHeight="1" x14ac:dyDescent="0.2">
      <c r="E20146" s="18"/>
      <c r="F20146" s="18"/>
    </row>
    <row r="20147" spans="5:6" ht="15" customHeight="1" x14ac:dyDescent="0.2">
      <c r="E20147" s="18"/>
      <c r="F20147" s="18"/>
    </row>
    <row r="20148" spans="5:6" ht="15" customHeight="1" x14ac:dyDescent="0.2">
      <c r="E20148" s="18"/>
      <c r="F20148" s="18"/>
    </row>
    <row r="20149" spans="5:6" ht="15" customHeight="1" x14ac:dyDescent="0.2">
      <c r="E20149" s="18"/>
      <c r="F20149" s="18"/>
    </row>
    <row r="20150" spans="5:6" ht="15" customHeight="1" x14ac:dyDescent="0.2">
      <c r="E20150" s="18"/>
      <c r="F20150" s="18"/>
    </row>
    <row r="20151" spans="5:6" ht="15" customHeight="1" x14ac:dyDescent="0.2">
      <c r="E20151" s="18"/>
      <c r="F20151" s="18"/>
    </row>
    <row r="20152" spans="5:6" ht="15" customHeight="1" x14ac:dyDescent="0.2">
      <c r="E20152" s="18"/>
      <c r="F20152" s="18"/>
    </row>
    <row r="20153" spans="5:6" ht="15" customHeight="1" x14ac:dyDescent="0.2">
      <c r="E20153" s="18"/>
      <c r="F20153" s="18"/>
    </row>
    <row r="20154" spans="5:6" ht="15" customHeight="1" x14ac:dyDescent="0.2">
      <c r="E20154" s="18"/>
      <c r="F20154" s="18"/>
    </row>
    <row r="20155" spans="5:6" ht="15" customHeight="1" x14ac:dyDescent="0.2">
      <c r="E20155" s="18"/>
      <c r="F20155" s="18"/>
    </row>
    <row r="20156" spans="5:6" ht="15" customHeight="1" x14ac:dyDescent="0.2">
      <c r="E20156" s="18"/>
      <c r="F20156" s="18"/>
    </row>
    <row r="20157" spans="5:6" ht="15" customHeight="1" x14ac:dyDescent="0.2">
      <c r="E20157" s="18"/>
      <c r="F20157" s="18"/>
    </row>
    <row r="20158" spans="5:6" ht="15" customHeight="1" x14ac:dyDescent="0.2">
      <c r="E20158" s="18"/>
      <c r="F20158" s="18"/>
    </row>
    <row r="20159" spans="5:6" ht="15" customHeight="1" x14ac:dyDescent="0.2">
      <c r="E20159" s="18"/>
      <c r="F20159" s="18"/>
    </row>
    <row r="20160" spans="5:6" ht="15" customHeight="1" x14ac:dyDescent="0.2">
      <c r="E20160" s="18"/>
      <c r="F20160" s="18"/>
    </row>
    <row r="20161" spans="5:6" ht="15" customHeight="1" x14ac:dyDescent="0.2">
      <c r="E20161" s="18"/>
      <c r="F20161" s="18"/>
    </row>
    <row r="20162" spans="5:6" ht="15" customHeight="1" x14ac:dyDescent="0.2">
      <c r="E20162" s="18"/>
      <c r="F20162" s="18"/>
    </row>
    <row r="20163" spans="5:6" ht="15" customHeight="1" x14ac:dyDescent="0.2">
      <c r="E20163" s="18"/>
      <c r="F20163" s="18"/>
    </row>
    <row r="20164" spans="5:6" ht="15" customHeight="1" x14ac:dyDescent="0.2">
      <c r="E20164" s="18"/>
      <c r="F20164" s="18"/>
    </row>
    <row r="20165" spans="5:6" ht="15" customHeight="1" x14ac:dyDescent="0.2">
      <c r="E20165" s="18"/>
      <c r="F20165" s="18"/>
    </row>
    <row r="20166" spans="5:6" ht="15" customHeight="1" x14ac:dyDescent="0.2">
      <c r="E20166" s="18"/>
      <c r="F20166" s="18"/>
    </row>
    <row r="20167" spans="5:6" ht="15" customHeight="1" x14ac:dyDescent="0.2">
      <c r="E20167" s="18"/>
      <c r="F20167" s="18"/>
    </row>
    <row r="20168" spans="5:6" ht="15" customHeight="1" x14ac:dyDescent="0.2">
      <c r="E20168" s="18"/>
      <c r="F20168" s="18"/>
    </row>
    <row r="20169" spans="5:6" ht="15" customHeight="1" x14ac:dyDescent="0.2">
      <c r="E20169" s="18"/>
      <c r="F20169" s="18"/>
    </row>
    <row r="20170" spans="5:6" ht="15" customHeight="1" x14ac:dyDescent="0.2">
      <c r="E20170" s="18"/>
      <c r="F20170" s="18"/>
    </row>
    <row r="20171" spans="5:6" ht="15" customHeight="1" x14ac:dyDescent="0.2">
      <c r="E20171" s="18"/>
      <c r="F20171" s="18"/>
    </row>
    <row r="20172" spans="5:6" ht="15" customHeight="1" x14ac:dyDescent="0.2">
      <c r="E20172" s="18"/>
      <c r="F20172" s="18"/>
    </row>
    <row r="20173" spans="5:6" ht="15" customHeight="1" x14ac:dyDescent="0.2">
      <c r="E20173" s="18"/>
      <c r="F20173" s="18"/>
    </row>
    <row r="20174" spans="5:6" ht="15" customHeight="1" x14ac:dyDescent="0.2">
      <c r="E20174" s="18"/>
      <c r="F20174" s="18"/>
    </row>
    <row r="20175" spans="5:6" ht="15" customHeight="1" x14ac:dyDescent="0.2">
      <c r="E20175" s="18"/>
      <c r="F20175" s="18"/>
    </row>
    <row r="20176" spans="5:6" ht="15" customHeight="1" x14ac:dyDescent="0.2">
      <c r="E20176" s="18"/>
      <c r="F20176" s="18"/>
    </row>
    <row r="20177" spans="5:6" ht="15" customHeight="1" x14ac:dyDescent="0.2">
      <c r="E20177" s="18"/>
      <c r="F20177" s="18"/>
    </row>
    <row r="20178" spans="5:6" ht="15" customHeight="1" x14ac:dyDescent="0.2">
      <c r="E20178" s="18"/>
      <c r="F20178" s="18"/>
    </row>
    <row r="20179" spans="5:6" ht="15" customHeight="1" x14ac:dyDescent="0.2">
      <c r="E20179" s="18"/>
      <c r="F20179" s="18"/>
    </row>
    <row r="20180" spans="5:6" ht="15" customHeight="1" x14ac:dyDescent="0.2">
      <c r="E20180" s="18"/>
      <c r="F20180" s="18"/>
    </row>
    <row r="20181" spans="5:6" ht="15" customHeight="1" x14ac:dyDescent="0.2">
      <c r="E20181" s="18"/>
      <c r="F20181" s="18"/>
    </row>
    <row r="20182" spans="5:6" ht="15" customHeight="1" x14ac:dyDescent="0.2">
      <c r="E20182" s="18"/>
      <c r="F20182" s="18"/>
    </row>
    <row r="20183" spans="5:6" ht="15" customHeight="1" x14ac:dyDescent="0.2">
      <c r="E20183" s="18"/>
      <c r="F20183" s="18"/>
    </row>
    <row r="20184" spans="5:6" ht="15" customHeight="1" x14ac:dyDescent="0.2">
      <c r="E20184" s="18"/>
      <c r="F20184" s="18"/>
    </row>
    <row r="20185" spans="5:6" ht="15" customHeight="1" x14ac:dyDescent="0.2">
      <c r="E20185" s="18"/>
      <c r="F20185" s="18"/>
    </row>
    <row r="20186" spans="5:6" ht="15" customHeight="1" x14ac:dyDescent="0.2">
      <c r="E20186" s="18"/>
      <c r="F20186" s="18"/>
    </row>
    <row r="20187" spans="5:6" ht="15" customHeight="1" x14ac:dyDescent="0.2">
      <c r="E20187" s="18"/>
      <c r="F20187" s="18"/>
    </row>
    <row r="20188" spans="5:6" ht="15" customHeight="1" x14ac:dyDescent="0.2">
      <c r="E20188" s="18"/>
      <c r="F20188" s="18"/>
    </row>
    <row r="20189" spans="5:6" ht="15" customHeight="1" x14ac:dyDescent="0.2">
      <c r="E20189" s="18"/>
      <c r="F20189" s="18"/>
    </row>
    <row r="20190" spans="5:6" ht="15" customHeight="1" x14ac:dyDescent="0.2">
      <c r="E20190" s="18"/>
      <c r="F20190" s="18"/>
    </row>
    <row r="20191" spans="5:6" ht="15" customHeight="1" x14ac:dyDescent="0.2">
      <c r="E20191" s="18"/>
      <c r="F20191" s="18"/>
    </row>
    <row r="20192" spans="5:6" ht="15" customHeight="1" x14ac:dyDescent="0.2">
      <c r="E20192" s="18"/>
      <c r="F20192" s="18"/>
    </row>
    <row r="20193" spans="5:6" ht="15" customHeight="1" x14ac:dyDescent="0.2">
      <c r="E20193" s="18"/>
      <c r="F20193" s="18"/>
    </row>
    <row r="20194" spans="5:6" ht="15" customHeight="1" x14ac:dyDescent="0.2">
      <c r="E20194" s="18"/>
      <c r="F20194" s="18"/>
    </row>
    <row r="20195" spans="5:6" ht="15" customHeight="1" x14ac:dyDescent="0.2">
      <c r="E20195" s="18"/>
      <c r="F20195" s="18"/>
    </row>
    <row r="20196" spans="5:6" ht="15" customHeight="1" x14ac:dyDescent="0.2">
      <c r="E20196" s="18"/>
      <c r="F20196" s="18"/>
    </row>
    <row r="20197" spans="5:6" ht="15" customHeight="1" x14ac:dyDescent="0.2">
      <c r="E20197" s="18"/>
      <c r="F20197" s="18"/>
    </row>
    <row r="20198" spans="5:6" ht="15" customHeight="1" x14ac:dyDescent="0.2">
      <c r="E20198" s="18"/>
      <c r="F20198" s="18"/>
    </row>
    <row r="20199" spans="5:6" ht="15" customHeight="1" x14ac:dyDescent="0.2">
      <c r="E20199" s="18"/>
      <c r="F20199" s="18"/>
    </row>
    <row r="20200" spans="5:6" ht="15" customHeight="1" x14ac:dyDescent="0.2">
      <c r="E20200" s="18"/>
      <c r="F20200" s="18"/>
    </row>
    <row r="20201" spans="5:6" ht="15" customHeight="1" x14ac:dyDescent="0.2">
      <c r="E20201" s="18"/>
      <c r="F20201" s="18"/>
    </row>
    <row r="20202" spans="5:6" ht="15" customHeight="1" x14ac:dyDescent="0.2">
      <c r="E20202" s="18"/>
      <c r="F20202" s="18"/>
    </row>
    <row r="20203" spans="5:6" ht="15" customHeight="1" x14ac:dyDescent="0.2">
      <c r="E20203" s="18"/>
      <c r="F20203" s="18"/>
    </row>
    <row r="20204" spans="5:6" ht="15" customHeight="1" x14ac:dyDescent="0.2">
      <c r="E20204" s="18"/>
      <c r="F20204" s="18"/>
    </row>
    <row r="20205" spans="5:6" ht="15" customHeight="1" x14ac:dyDescent="0.2">
      <c r="E20205" s="18"/>
      <c r="F20205" s="18"/>
    </row>
    <row r="20206" spans="5:6" ht="15" customHeight="1" x14ac:dyDescent="0.2">
      <c r="E20206" s="18"/>
      <c r="F20206" s="18"/>
    </row>
    <row r="20207" spans="5:6" ht="15" customHeight="1" x14ac:dyDescent="0.2">
      <c r="E20207" s="18"/>
      <c r="F20207" s="18"/>
    </row>
    <row r="20208" spans="5:6" ht="15" customHeight="1" x14ac:dyDescent="0.2">
      <c r="E20208" s="18"/>
      <c r="F20208" s="18"/>
    </row>
    <row r="20209" spans="5:6" ht="15" customHeight="1" x14ac:dyDescent="0.2">
      <c r="E20209" s="18"/>
      <c r="F20209" s="18"/>
    </row>
    <row r="20210" spans="5:6" ht="15" customHeight="1" x14ac:dyDescent="0.2">
      <c r="E20210" s="18"/>
      <c r="F20210" s="18"/>
    </row>
    <row r="20211" spans="5:6" ht="15" customHeight="1" x14ac:dyDescent="0.2">
      <c r="E20211" s="18"/>
      <c r="F20211" s="18"/>
    </row>
    <row r="20212" spans="5:6" ht="15" customHeight="1" x14ac:dyDescent="0.2">
      <c r="E20212" s="18"/>
      <c r="F20212" s="18"/>
    </row>
    <row r="20213" spans="5:6" ht="15" customHeight="1" x14ac:dyDescent="0.2">
      <c r="E20213" s="18"/>
      <c r="F20213" s="18"/>
    </row>
    <row r="20214" spans="5:6" ht="15" customHeight="1" x14ac:dyDescent="0.2">
      <c r="E20214" s="18"/>
      <c r="F20214" s="18"/>
    </row>
    <row r="20215" spans="5:6" ht="15" customHeight="1" x14ac:dyDescent="0.2">
      <c r="E20215" s="18"/>
      <c r="F20215" s="18"/>
    </row>
    <row r="20216" spans="5:6" ht="15" customHeight="1" x14ac:dyDescent="0.2">
      <c r="E20216" s="18"/>
      <c r="F20216" s="18"/>
    </row>
    <row r="20217" spans="5:6" ht="15" customHeight="1" x14ac:dyDescent="0.2">
      <c r="E20217" s="18"/>
      <c r="F20217" s="18"/>
    </row>
    <row r="20218" spans="5:6" ht="15" customHeight="1" x14ac:dyDescent="0.2">
      <c r="E20218" s="18"/>
      <c r="F20218" s="18"/>
    </row>
    <row r="20219" spans="5:6" ht="15" customHeight="1" x14ac:dyDescent="0.2">
      <c r="E20219" s="18"/>
      <c r="F20219" s="18"/>
    </row>
    <row r="20220" spans="5:6" ht="15" customHeight="1" x14ac:dyDescent="0.2">
      <c r="E20220" s="18"/>
      <c r="F20220" s="18"/>
    </row>
    <row r="20221" spans="5:6" ht="15" customHeight="1" x14ac:dyDescent="0.2">
      <c r="E20221" s="18"/>
      <c r="F20221" s="18"/>
    </row>
    <row r="20222" spans="5:6" ht="15" customHeight="1" x14ac:dyDescent="0.2">
      <c r="E20222" s="18"/>
      <c r="F20222" s="18"/>
    </row>
    <row r="20223" spans="5:6" ht="15" customHeight="1" x14ac:dyDescent="0.2">
      <c r="E20223" s="18"/>
      <c r="F20223" s="18"/>
    </row>
    <row r="20224" spans="5:6" ht="15" customHeight="1" x14ac:dyDescent="0.2">
      <c r="E20224" s="18"/>
      <c r="F20224" s="18"/>
    </row>
    <row r="20225" spans="5:6" ht="15" customHeight="1" x14ac:dyDescent="0.2">
      <c r="E20225" s="18"/>
      <c r="F20225" s="18"/>
    </row>
    <row r="20226" spans="5:6" ht="15" customHeight="1" x14ac:dyDescent="0.2">
      <c r="E20226" s="18"/>
      <c r="F20226" s="18"/>
    </row>
    <row r="20227" spans="5:6" ht="15" customHeight="1" x14ac:dyDescent="0.2">
      <c r="E20227" s="18"/>
      <c r="F20227" s="18"/>
    </row>
    <row r="20228" spans="5:6" ht="15" customHeight="1" x14ac:dyDescent="0.2">
      <c r="E20228" s="18"/>
      <c r="F20228" s="18"/>
    </row>
    <row r="20229" spans="5:6" ht="15" customHeight="1" x14ac:dyDescent="0.2">
      <c r="E20229" s="18"/>
      <c r="F20229" s="18"/>
    </row>
    <row r="20230" spans="5:6" ht="15" customHeight="1" x14ac:dyDescent="0.2">
      <c r="E20230" s="18"/>
      <c r="F20230" s="18"/>
    </row>
    <row r="20231" spans="5:6" ht="15" customHeight="1" x14ac:dyDescent="0.2">
      <c r="E20231" s="18"/>
      <c r="F20231" s="18"/>
    </row>
    <row r="20232" spans="5:6" ht="15" customHeight="1" x14ac:dyDescent="0.2">
      <c r="E20232" s="18"/>
      <c r="F20232" s="18"/>
    </row>
    <row r="20233" spans="5:6" ht="15" customHeight="1" x14ac:dyDescent="0.2">
      <c r="E20233" s="18"/>
      <c r="F20233" s="18"/>
    </row>
    <row r="20234" spans="5:6" ht="15" customHeight="1" x14ac:dyDescent="0.2">
      <c r="E20234" s="18"/>
      <c r="F20234" s="18"/>
    </row>
    <row r="20235" spans="5:6" ht="15" customHeight="1" x14ac:dyDescent="0.2">
      <c r="E20235" s="18"/>
      <c r="F20235" s="18"/>
    </row>
    <row r="20236" spans="5:6" ht="15" customHeight="1" x14ac:dyDescent="0.2">
      <c r="E20236" s="18"/>
      <c r="F20236" s="18"/>
    </row>
    <row r="20237" spans="5:6" ht="15" customHeight="1" x14ac:dyDescent="0.2">
      <c r="E20237" s="18"/>
      <c r="F20237" s="18"/>
    </row>
    <row r="20238" spans="5:6" ht="15" customHeight="1" x14ac:dyDescent="0.2">
      <c r="E20238" s="18"/>
      <c r="F20238" s="18"/>
    </row>
    <row r="20239" spans="5:6" ht="15" customHeight="1" x14ac:dyDescent="0.2">
      <c r="E20239" s="18"/>
      <c r="F20239" s="18"/>
    </row>
    <row r="20240" spans="5:6" ht="15" customHeight="1" x14ac:dyDescent="0.2">
      <c r="E20240" s="18"/>
      <c r="F20240" s="18"/>
    </row>
    <row r="20241" spans="5:6" ht="15" customHeight="1" x14ac:dyDescent="0.2">
      <c r="E20241" s="18"/>
      <c r="F20241" s="18"/>
    </row>
    <row r="20242" spans="5:6" ht="15" customHeight="1" x14ac:dyDescent="0.2">
      <c r="E20242" s="18"/>
      <c r="F20242" s="18"/>
    </row>
    <row r="20243" spans="5:6" ht="15" customHeight="1" x14ac:dyDescent="0.2">
      <c r="E20243" s="18"/>
      <c r="F20243" s="18"/>
    </row>
    <row r="20244" spans="5:6" ht="15" customHeight="1" x14ac:dyDescent="0.2">
      <c r="E20244" s="18"/>
      <c r="F20244" s="18"/>
    </row>
    <row r="20245" spans="5:6" ht="15" customHeight="1" x14ac:dyDescent="0.2">
      <c r="E20245" s="18"/>
      <c r="F20245" s="18"/>
    </row>
    <row r="20246" spans="5:6" ht="15" customHeight="1" x14ac:dyDescent="0.2">
      <c r="E20246" s="18"/>
      <c r="F20246" s="18"/>
    </row>
    <row r="20247" spans="5:6" ht="15" customHeight="1" x14ac:dyDescent="0.2">
      <c r="E20247" s="18"/>
      <c r="F20247" s="18"/>
    </row>
    <row r="20248" spans="5:6" ht="15" customHeight="1" x14ac:dyDescent="0.2">
      <c r="E20248" s="18"/>
      <c r="F20248" s="18"/>
    </row>
    <row r="20249" spans="5:6" ht="15" customHeight="1" x14ac:dyDescent="0.2">
      <c r="E20249" s="18"/>
      <c r="F20249" s="18"/>
    </row>
    <row r="20250" spans="5:6" ht="15" customHeight="1" x14ac:dyDescent="0.2">
      <c r="E20250" s="18"/>
      <c r="F20250" s="18"/>
    </row>
    <row r="20251" spans="5:6" ht="15" customHeight="1" x14ac:dyDescent="0.2">
      <c r="E20251" s="18"/>
      <c r="F20251" s="18"/>
    </row>
    <row r="20252" spans="5:6" ht="15" customHeight="1" x14ac:dyDescent="0.2">
      <c r="E20252" s="18"/>
      <c r="F20252" s="18"/>
    </row>
    <row r="20253" spans="5:6" ht="15" customHeight="1" x14ac:dyDescent="0.2">
      <c r="E20253" s="18"/>
      <c r="F20253" s="18"/>
    </row>
    <row r="20254" spans="5:6" ht="15" customHeight="1" x14ac:dyDescent="0.2">
      <c r="E20254" s="18"/>
      <c r="F20254" s="18"/>
    </row>
    <row r="20255" spans="5:6" ht="15" customHeight="1" x14ac:dyDescent="0.2">
      <c r="E20255" s="18"/>
      <c r="F20255" s="18"/>
    </row>
    <row r="20256" spans="5:6" ht="15" customHeight="1" x14ac:dyDescent="0.2">
      <c r="E20256" s="18"/>
      <c r="F20256" s="18"/>
    </row>
    <row r="20257" spans="5:6" ht="15" customHeight="1" x14ac:dyDescent="0.2">
      <c r="E20257" s="18"/>
      <c r="F20257" s="18"/>
    </row>
    <row r="20258" spans="5:6" ht="15" customHeight="1" x14ac:dyDescent="0.2">
      <c r="E20258" s="18"/>
      <c r="F20258" s="18"/>
    </row>
    <row r="20259" spans="5:6" ht="15" customHeight="1" x14ac:dyDescent="0.2">
      <c r="E20259" s="18"/>
      <c r="F20259" s="18"/>
    </row>
    <row r="20260" spans="5:6" ht="15" customHeight="1" x14ac:dyDescent="0.2">
      <c r="E20260" s="18"/>
      <c r="F20260" s="18"/>
    </row>
    <row r="20261" spans="5:6" ht="15" customHeight="1" x14ac:dyDescent="0.2">
      <c r="E20261" s="18"/>
      <c r="F20261" s="18"/>
    </row>
    <row r="20262" spans="5:6" ht="15" customHeight="1" x14ac:dyDescent="0.2">
      <c r="E20262" s="18"/>
      <c r="F20262" s="18"/>
    </row>
    <row r="20263" spans="5:6" ht="15" customHeight="1" x14ac:dyDescent="0.2">
      <c r="E20263" s="18"/>
      <c r="F20263" s="18"/>
    </row>
    <row r="20264" spans="5:6" ht="15" customHeight="1" x14ac:dyDescent="0.2">
      <c r="E20264" s="18"/>
      <c r="F20264" s="18"/>
    </row>
    <row r="20265" spans="5:6" ht="15" customHeight="1" x14ac:dyDescent="0.2">
      <c r="E20265" s="18"/>
      <c r="F20265" s="18"/>
    </row>
    <row r="20266" spans="5:6" ht="15" customHeight="1" x14ac:dyDescent="0.2">
      <c r="E20266" s="18"/>
      <c r="F20266" s="18"/>
    </row>
    <row r="20267" spans="5:6" ht="15" customHeight="1" x14ac:dyDescent="0.2">
      <c r="E20267" s="18"/>
      <c r="F20267" s="18"/>
    </row>
    <row r="20268" spans="5:6" ht="15" customHeight="1" x14ac:dyDescent="0.2">
      <c r="E20268" s="18"/>
      <c r="F20268" s="18"/>
    </row>
    <row r="20269" spans="5:6" ht="15" customHeight="1" x14ac:dyDescent="0.2">
      <c r="E20269" s="18"/>
      <c r="F20269" s="18"/>
    </row>
    <row r="20270" spans="5:6" ht="15" customHeight="1" x14ac:dyDescent="0.2">
      <c r="E20270" s="18"/>
      <c r="F20270" s="18"/>
    </row>
    <row r="20271" spans="5:6" ht="15" customHeight="1" x14ac:dyDescent="0.2">
      <c r="E20271" s="18"/>
      <c r="F20271" s="18"/>
    </row>
    <row r="20272" spans="5:6" ht="15" customHeight="1" x14ac:dyDescent="0.2">
      <c r="E20272" s="18"/>
      <c r="F20272" s="18"/>
    </row>
    <row r="20273" spans="5:6" ht="15" customHeight="1" x14ac:dyDescent="0.2">
      <c r="E20273" s="18"/>
      <c r="F20273" s="18"/>
    </row>
    <row r="20274" spans="5:6" ht="15" customHeight="1" x14ac:dyDescent="0.2">
      <c r="E20274" s="18"/>
      <c r="F20274" s="18"/>
    </row>
    <row r="20275" spans="5:6" ht="15" customHeight="1" x14ac:dyDescent="0.2">
      <c r="E20275" s="18"/>
      <c r="F20275" s="18"/>
    </row>
    <row r="20276" spans="5:6" ht="15" customHeight="1" x14ac:dyDescent="0.2">
      <c r="E20276" s="18"/>
      <c r="F20276" s="18"/>
    </row>
    <row r="20277" spans="5:6" ht="15" customHeight="1" x14ac:dyDescent="0.2">
      <c r="E20277" s="18"/>
      <c r="F20277" s="18"/>
    </row>
    <row r="20278" spans="5:6" ht="15" customHeight="1" x14ac:dyDescent="0.2">
      <c r="E20278" s="18"/>
      <c r="F20278" s="18"/>
    </row>
    <row r="20279" spans="5:6" ht="15" customHeight="1" x14ac:dyDescent="0.2">
      <c r="E20279" s="18"/>
      <c r="F20279" s="18"/>
    </row>
    <row r="20280" spans="5:6" ht="15" customHeight="1" x14ac:dyDescent="0.2">
      <c r="E20280" s="18"/>
      <c r="F20280" s="18"/>
    </row>
    <row r="20281" spans="5:6" ht="15" customHeight="1" x14ac:dyDescent="0.2">
      <c r="E20281" s="18"/>
      <c r="F20281" s="18"/>
    </row>
    <row r="20282" spans="5:6" ht="15" customHeight="1" x14ac:dyDescent="0.2">
      <c r="E20282" s="18"/>
      <c r="F20282" s="18"/>
    </row>
    <row r="20283" spans="5:6" ht="15" customHeight="1" x14ac:dyDescent="0.2">
      <c r="E20283" s="18"/>
      <c r="F20283" s="18"/>
    </row>
    <row r="20284" spans="5:6" ht="15" customHeight="1" x14ac:dyDescent="0.2">
      <c r="E20284" s="18"/>
      <c r="F20284" s="18"/>
    </row>
    <row r="20285" spans="5:6" ht="15" customHeight="1" x14ac:dyDescent="0.2">
      <c r="E20285" s="18"/>
      <c r="F20285" s="18"/>
    </row>
    <row r="20286" spans="5:6" ht="15" customHeight="1" x14ac:dyDescent="0.2">
      <c r="E20286" s="18"/>
      <c r="F20286" s="18"/>
    </row>
    <row r="20287" spans="5:6" ht="15" customHeight="1" x14ac:dyDescent="0.2">
      <c r="E20287" s="18"/>
      <c r="F20287" s="18"/>
    </row>
    <row r="20288" spans="5:6" ht="15" customHeight="1" x14ac:dyDescent="0.2">
      <c r="E20288" s="18"/>
      <c r="F20288" s="18"/>
    </row>
    <row r="20289" spans="5:6" ht="15" customHeight="1" x14ac:dyDescent="0.2">
      <c r="E20289" s="18"/>
      <c r="F20289" s="18"/>
    </row>
    <row r="20290" spans="5:6" ht="15" customHeight="1" x14ac:dyDescent="0.2">
      <c r="E20290" s="18"/>
      <c r="F20290" s="18"/>
    </row>
    <row r="20291" spans="5:6" ht="15" customHeight="1" x14ac:dyDescent="0.2">
      <c r="E20291" s="18"/>
      <c r="F20291" s="18"/>
    </row>
    <row r="20292" spans="5:6" ht="15" customHeight="1" x14ac:dyDescent="0.2">
      <c r="E20292" s="18"/>
      <c r="F20292" s="18"/>
    </row>
    <row r="20293" spans="5:6" ht="15" customHeight="1" x14ac:dyDescent="0.2">
      <c r="E20293" s="18"/>
      <c r="F20293" s="18"/>
    </row>
    <row r="20294" spans="5:6" ht="15" customHeight="1" x14ac:dyDescent="0.2">
      <c r="E20294" s="18"/>
      <c r="F20294" s="18"/>
    </row>
    <row r="20295" spans="5:6" ht="15" customHeight="1" x14ac:dyDescent="0.2">
      <c r="E20295" s="18"/>
      <c r="F20295" s="18"/>
    </row>
    <row r="20296" spans="5:6" ht="15" customHeight="1" x14ac:dyDescent="0.2">
      <c r="E20296" s="18"/>
      <c r="F20296" s="18"/>
    </row>
    <row r="20297" spans="5:6" ht="15" customHeight="1" x14ac:dyDescent="0.2">
      <c r="E20297" s="18"/>
      <c r="F20297" s="18"/>
    </row>
    <row r="20298" spans="5:6" ht="15" customHeight="1" x14ac:dyDescent="0.2">
      <c r="E20298" s="18"/>
      <c r="F20298" s="18"/>
    </row>
    <row r="20299" spans="5:6" ht="15" customHeight="1" x14ac:dyDescent="0.2">
      <c r="E20299" s="18"/>
      <c r="F20299" s="18"/>
    </row>
    <row r="20300" spans="5:6" ht="15" customHeight="1" x14ac:dyDescent="0.2">
      <c r="E20300" s="18"/>
      <c r="F20300" s="18"/>
    </row>
    <row r="20301" spans="5:6" ht="15" customHeight="1" x14ac:dyDescent="0.2">
      <c r="E20301" s="18"/>
      <c r="F20301" s="18"/>
    </row>
    <row r="20302" spans="5:6" ht="15" customHeight="1" x14ac:dyDescent="0.2">
      <c r="E20302" s="18"/>
      <c r="F20302" s="18"/>
    </row>
    <row r="20303" spans="5:6" ht="15" customHeight="1" x14ac:dyDescent="0.2">
      <c r="E20303" s="18"/>
      <c r="F20303" s="18"/>
    </row>
    <row r="20304" spans="5:6" ht="15" customHeight="1" x14ac:dyDescent="0.2">
      <c r="E20304" s="18"/>
      <c r="F20304" s="18"/>
    </row>
    <row r="20305" spans="5:6" ht="15" customHeight="1" x14ac:dyDescent="0.2">
      <c r="E20305" s="18"/>
      <c r="F20305" s="18"/>
    </row>
    <row r="20306" spans="5:6" ht="15" customHeight="1" x14ac:dyDescent="0.2">
      <c r="E20306" s="18"/>
      <c r="F20306" s="18"/>
    </row>
    <row r="20307" spans="5:6" ht="15" customHeight="1" x14ac:dyDescent="0.2">
      <c r="E20307" s="18"/>
      <c r="F20307" s="18"/>
    </row>
    <row r="20308" spans="5:6" ht="15" customHeight="1" x14ac:dyDescent="0.2">
      <c r="E20308" s="18"/>
      <c r="F20308" s="18"/>
    </row>
    <row r="20309" spans="5:6" ht="15" customHeight="1" x14ac:dyDescent="0.2">
      <c r="E20309" s="18"/>
      <c r="F20309" s="18"/>
    </row>
    <row r="20310" spans="5:6" ht="15" customHeight="1" x14ac:dyDescent="0.2">
      <c r="E20310" s="18"/>
      <c r="F20310" s="18"/>
    </row>
    <row r="20311" spans="5:6" ht="15" customHeight="1" x14ac:dyDescent="0.2">
      <c r="E20311" s="18"/>
      <c r="F20311" s="18"/>
    </row>
    <row r="20312" spans="5:6" ht="15" customHeight="1" x14ac:dyDescent="0.2">
      <c r="E20312" s="18"/>
      <c r="F20312" s="18"/>
    </row>
    <row r="20313" spans="5:6" ht="15" customHeight="1" x14ac:dyDescent="0.2">
      <c r="E20313" s="18"/>
      <c r="F20313" s="18"/>
    </row>
    <row r="20314" spans="5:6" ht="15" customHeight="1" x14ac:dyDescent="0.2">
      <c r="E20314" s="18"/>
      <c r="F20314" s="18"/>
    </row>
    <row r="20315" spans="5:6" ht="15" customHeight="1" x14ac:dyDescent="0.2">
      <c r="E20315" s="18"/>
      <c r="F20315" s="18"/>
    </row>
    <row r="20316" spans="5:6" ht="15" customHeight="1" x14ac:dyDescent="0.2">
      <c r="E20316" s="18"/>
      <c r="F20316" s="18"/>
    </row>
    <row r="20317" spans="5:6" ht="15" customHeight="1" x14ac:dyDescent="0.2">
      <c r="E20317" s="18"/>
      <c r="F20317" s="18"/>
    </row>
    <row r="20318" spans="5:6" ht="15" customHeight="1" x14ac:dyDescent="0.2">
      <c r="E20318" s="18"/>
      <c r="F20318" s="18"/>
    </row>
    <row r="20319" spans="5:6" ht="15" customHeight="1" x14ac:dyDescent="0.2">
      <c r="E20319" s="18"/>
      <c r="F20319" s="18"/>
    </row>
    <row r="20320" spans="5:6" ht="15" customHeight="1" x14ac:dyDescent="0.2">
      <c r="E20320" s="18"/>
      <c r="F20320" s="18"/>
    </row>
    <row r="20321" spans="5:6" ht="15" customHeight="1" x14ac:dyDescent="0.2">
      <c r="E20321" s="18"/>
      <c r="F20321" s="18"/>
    </row>
    <row r="20322" spans="5:6" ht="15" customHeight="1" x14ac:dyDescent="0.2">
      <c r="E20322" s="18"/>
      <c r="F20322" s="18"/>
    </row>
    <row r="20323" spans="5:6" ht="15" customHeight="1" x14ac:dyDescent="0.2">
      <c r="E20323" s="18"/>
      <c r="F20323" s="18"/>
    </row>
    <row r="20324" spans="5:6" ht="15" customHeight="1" x14ac:dyDescent="0.2">
      <c r="E20324" s="18"/>
      <c r="F20324" s="18"/>
    </row>
    <row r="20325" spans="5:6" ht="15" customHeight="1" x14ac:dyDescent="0.2">
      <c r="E20325" s="18"/>
      <c r="F20325" s="18"/>
    </row>
    <row r="20326" spans="5:6" ht="15" customHeight="1" x14ac:dyDescent="0.2">
      <c r="E20326" s="18"/>
      <c r="F20326" s="18"/>
    </row>
    <row r="20327" spans="5:6" ht="15" customHeight="1" x14ac:dyDescent="0.2">
      <c r="E20327" s="18"/>
      <c r="F20327" s="18"/>
    </row>
    <row r="20328" spans="5:6" ht="15" customHeight="1" x14ac:dyDescent="0.2">
      <c r="E20328" s="18"/>
      <c r="F20328" s="18"/>
    </row>
    <row r="20329" spans="5:6" ht="15" customHeight="1" x14ac:dyDescent="0.2">
      <c r="E20329" s="18"/>
      <c r="F20329" s="18"/>
    </row>
    <row r="20330" spans="5:6" ht="15" customHeight="1" x14ac:dyDescent="0.2">
      <c r="E20330" s="18"/>
      <c r="F20330" s="18"/>
    </row>
    <row r="20331" spans="5:6" ht="15" customHeight="1" x14ac:dyDescent="0.2">
      <c r="E20331" s="18"/>
      <c r="F20331" s="18"/>
    </row>
    <row r="20332" spans="5:6" ht="15" customHeight="1" x14ac:dyDescent="0.2">
      <c r="E20332" s="18"/>
      <c r="F20332" s="18"/>
    </row>
    <row r="20333" spans="5:6" ht="15" customHeight="1" x14ac:dyDescent="0.2">
      <c r="E20333" s="18"/>
      <c r="F20333" s="18"/>
    </row>
    <row r="20334" spans="5:6" ht="15" customHeight="1" x14ac:dyDescent="0.2">
      <c r="E20334" s="18"/>
      <c r="F20334" s="18"/>
    </row>
    <row r="20335" spans="5:6" ht="15" customHeight="1" x14ac:dyDescent="0.2">
      <c r="E20335" s="18"/>
      <c r="F20335" s="18"/>
    </row>
    <row r="20336" spans="5:6" ht="15" customHeight="1" x14ac:dyDescent="0.2">
      <c r="E20336" s="18"/>
      <c r="F20336" s="18"/>
    </row>
    <row r="20337" spans="5:6" ht="15" customHeight="1" x14ac:dyDescent="0.2">
      <c r="E20337" s="18"/>
      <c r="F20337" s="18"/>
    </row>
    <row r="20338" spans="5:6" ht="15" customHeight="1" x14ac:dyDescent="0.2">
      <c r="E20338" s="18"/>
      <c r="F20338" s="18"/>
    </row>
    <row r="20339" spans="5:6" ht="15" customHeight="1" x14ac:dyDescent="0.2">
      <c r="E20339" s="18"/>
      <c r="F20339" s="18"/>
    </row>
    <row r="20340" spans="5:6" ht="15" customHeight="1" x14ac:dyDescent="0.2">
      <c r="E20340" s="18"/>
      <c r="F20340" s="18"/>
    </row>
    <row r="20341" spans="5:6" ht="15" customHeight="1" x14ac:dyDescent="0.2">
      <c r="E20341" s="18"/>
      <c r="F20341" s="18"/>
    </row>
    <row r="20342" spans="5:6" ht="15" customHeight="1" x14ac:dyDescent="0.2">
      <c r="E20342" s="18"/>
      <c r="F20342" s="18"/>
    </row>
    <row r="20343" spans="5:6" ht="15" customHeight="1" x14ac:dyDescent="0.2">
      <c r="E20343" s="18"/>
      <c r="F20343" s="18"/>
    </row>
    <row r="20344" spans="5:6" ht="15" customHeight="1" x14ac:dyDescent="0.2">
      <c r="E20344" s="18"/>
      <c r="F20344" s="18"/>
    </row>
    <row r="20345" spans="5:6" ht="15" customHeight="1" x14ac:dyDescent="0.2">
      <c r="E20345" s="18"/>
      <c r="F20345" s="18"/>
    </row>
    <row r="20346" spans="5:6" ht="15" customHeight="1" x14ac:dyDescent="0.2">
      <c r="E20346" s="18"/>
      <c r="F20346" s="18"/>
    </row>
    <row r="20347" spans="5:6" ht="15" customHeight="1" x14ac:dyDescent="0.2">
      <c r="E20347" s="18"/>
      <c r="F20347" s="18"/>
    </row>
    <row r="20348" spans="5:6" ht="15" customHeight="1" x14ac:dyDescent="0.2">
      <c r="E20348" s="18"/>
      <c r="F20348" s="18"/>
    </row>
    <row r="20349" spans="5:6" ht="15" customHeight="1" x14ac:dyDescent="0.2">
      <c r="E20349" s="18"/>
      <c r="F20349" s="18"/>
    </row>
    <row r="20350" spans="5:6" ht="15" customHeight="1" x14ac:dyDescent="0.2">
      <c r="E20350" s="18"/>
      <c r="F20350" s="18"/>
    </row>
    <row r="20351" spans="5:6" ht="15" customHeight="1" x14ac:dyDescent="0.2">
      <c r="E20351" s="18"/>
      <c r="F20351" s="18"/>
    </row>
    <row r="20352" spans="5:6" ht="15" customHeight="1" x14ac:dyDescent="0.2">
      <c r="E20352" s="18"/>
      <c r="F20352" s="18"/>
    </row>
    <row r="20353" spans="5:6" ht="15" customHeight="1" x14ac:dyDescent="0.2">
      <c r="E20353" s="18"/>
      <c r="F20353" s="18"/>
    </row>
    <row r="20354" spans="5:6" ht="15" customHeight="1" x14ac:dyDescent="0.2">
      <c r="E20354" s="18"/>
      <c r="F20354" s="18"/>
    </row>
    <row r="20355" spans="5:6" ht="15" customHeight="1" x14ac:dyDescent="0.2">
      <c r="E20355" s="18"/>
      <c r="F20355" s="18"/>
    </row>
    <row r="20356" spans="5:6" ht="15" customHeight="1" x14ac:dyDescent="0.2">
      <c r="E20356" s="18"/>
      <c r="F20356" s="18"/>
    </row>
    <row r="20357" spans="5:6" ht="15" customHeight="1" x14ac:dyDescent="0.2">
      <c r="E20357" s="18"/>
      <c r="F20357" s="18"/>
    </row>
    <row r="20358" spans="5:6" ht="15" customHeight="1" x14ac:dyDescent="0.2">
      <c r="E20358" s="18"/>
      <c r="F20358" s="18"/>
    </row>
    <row r="20359" spans="5:6" ht="15" customHeight="1" x14ac:dyDescent="0.2">
      <c r="E20359" s="18"/>
      <c r="F20359" s="18"/>
    </row>
    <row r="20360" spans="5:6" ht="15" customHeight="1" x14ac:dyDescent="0.2">
      <c r="E20360" s="18"/>
      <c r="F20360" s="18"/>
    </row>
    <row r="20361" spans="5:6" ht="15" customHeight="1" x14ac:dyDescent="0.2">
      <c r="E20361" s="18"/>
      <c r="F20361" s="18"/>
    </row>
    <row r="20362" spans="5:6" ht="15" customHeight="1" x14ac:dyDescent="0.2">
      <c r="E20362" s="18"/>
      <c r="F20362" s="18"/>
    </row>
    <row r="20363" spans="5:6" ht="15" customHeight="1" x14ac:dyDescent="0.2">
      <c r="E20363" s="18"/>
      <c r="F20363" s="18"/>
    </row>
    <row r="20364" spans="5:6" ht="15" customHeight="1" x14ac:dyDescent="0.2">
      <c r="E20364" s="18"/>
      <c r="F20364" s="18"/>
    </row>
    <row r="20365" spans="5:6" ht="15" customHeight="1" x14ac:dyDescent="0.2">
      <c r="E20365" s="18"/>
      <c r="F20365" s="18"/>
    </row>
    <row r="20366" spans="5:6" ht="15" customHeight="1" x14ac:dyDescent="0.2">
      <c r="E20366" s="18"/>
      <c r="F20366" s="18"/>
    </row>
    <row r="20367" spans="5:6" ht="15" customHeight="1" x14ac:dyDescent="0.2">
      <c r="E20367" s="18"/>
      <c r="F20367" s="18"/>
    </row>
    <row r="20368" spans="5:6" ht="15" customHeight="1" x14ac:dyDescent="0.2">
      <c r="E20368" s="18"/>
      <c r="F20368" s="18"/>
    </row>
    <row r="20369" spans="5:6" ht="15" customHeight="1" x14ac:dyDescent="0.2">
      <c r="E20369" s="18"/>
      <c r="F20369" s="18"/>
    </row>
    <row r="20370" spans="5:6" ht="15" customHeight="1" x14ac:dyDescent="0.2">
      <c r="E20370" s="18"/>
      <c r="F20370" s="18"/>
    </row>
    <row r="20371" spans="5:6" ht="15" customHeight="1" x14ac:dyDescent="0.2">
      <c r="E20371" s="18"/>
      <c r="F20371" s="18"/>
    </row>
    <row r="20372" spans="5:6" ht="15" customHeight="1" x14ac:dyDescent="0.2">
      <c r="E20372" s="18"/>
      <c r="F20372" s="18"/>
    </row>
    <row r="20373" spans="5:6" ht="15" customHeight="1" x14ac:dyDescent="0.2">
      <c r="E20373" s="18"/>
      <c r="F20373" s="18"/>
    </row>
    <row r="20374" spans="5:6" ht="15" customHeight="1" x14ac:dyDescent="0.2">
      <c r="E20374" s="18"/>
      <c r="F20374" s="18"/>
    </row>
    <row r="20375" spans="5:6" ht="15" customHeight="1" x14ac:dyDescent="0.2">
      <c r="E20375" s="18"/>
      <c r="F20375" s="18"/>
    </row>
    <row r="20376" spans="5:6" ht="15" customHeight="1" x14ac:dyDescent="0.2">
      <c r="E20376" s="18"/>
      <c r="F20376" s="18"/>
    </row>
    <row r="20377" spans="5:6" ht="15" customHeight="1" x14ac:dyDescent="0.2">
      <c r="E20377" s="18"/>
      <c r="F20377" s="18"/>
    </row>
    <row r="20378" spans="5:6" ht="15" customHeight="1" x14ac:dyDescent="0.2">
      <c r="E20378" s="18"/>
      <c r="F20378" s="18"/>
    </row>
    <row r="20379" spans="5:6" ht="15" customHeight="1" x14ac:dyDescent="0.2">
      <c r="E20379" s="18"/>
      <c r="F20379" s="18"/>
    </row>
    <row r="20380" spans="5:6" ht="15" customHeight="1" x14ac:dyDescent="0.2">
      <c r="E20380" s="18"/>
      <c r="F20380" s="18"/>
    </row>
    <row r="20381" spans="5:6" ht="15" customHeight="1" x14ac:dyDescent="0.2">
      <c r="E20381" s="18"/>
      <c r="F20381" s="18"/>
    </row>
    <row r="20382" spans="5:6" ht="15" customHeight="1" x14ac:dyDescent="0.2">
      <c r="E20382" s="18"/>
      <c r="F20382" s="18"/>
    </row>
    <row r="20383" spans="5:6" ht="15" customHeight="1" x14ac:dyDescent="0.2">
      <c r="E20383" s="18"/>
      <c r="F20383" s="18"/>
    </row>
    <row r="20384" spans="5:6" ht="15" customHeight="1" x14ac:dyDescent="0.2">
      <c r="E20384" s="18"/>
      <c r="F20384" s="18"/>
    </row>
    <row r="20385" spans="5:6" ht="15" customHeight="1" x14ac:dyDescent="0.2">
      <c r="E20385" s="18"/>
      <c r="F20385" s="18"/>
    </row>
    <row r="20386" spans="5:6" ht="15" customHeight="1" x14ac:dyDescent="0.2">
      <c r="E20386" s="18"/>
      <c r="F20386" s="18"/>
    </row>
    <row r="20387" spans="5:6" ht="15" customHeight="1" x14ac:dyDescent="0.2">
      <c r="E20387" s="18"/>
      <c r="F20387" s="18"/>
    </row>
    <row r="20388" spans="5:6" ht="15" customHeight="1" x14ac:dyDescent="0.2">
      <c r="E20388" s="18"/>
      <c r="F20388" s="18"/>
    </row>
    <row r="20389" spans="5:6" ht="15" customHeight="1" x14ac:dyDescent="0.2">
      <c r="E20389" s="18"/>
      <c r="F20389" s="18"/>
    </row>
    <row r="20390" spans="5:6" ht="15" customHeight="1" x14ac:dyDescent="0.2">
      <c r="E20390" s="18"/>
      <c r="F20390" s="18"/>
    </row>
    <row r="20391" spans="5:6" ht="15" customHeight="1" x14ac:dyDescent="0.2">
      <c r="E20391" s="18"/>
      <c r="F20391" s="18"/>
    </row>
    <row r="20392" spans="5:6" ht="15" customHeight="1" x14ac:dyDescent="0.2">
      <c r="E20392" s="18"/>
      <c r="F20392" s="18"/>
    </row>
    <row r="20393" spans="5:6" ht="15" customHeight="1" x14ac:dyDescent="0.2">
      <c r="E20393" s="18"/>
      <c r="F20393" s="18"/>
    </row>
    <row r="20394" spans="5:6" ht="15" customHeight="1" x14ac:dyDescent="0.2">
      <c r="E20394" s="18"/>
      <c r="F20394" s="18"/>
    </row>
    <row r="20395" spans="5:6" ht="15" customHeight="1" x14ac:dyDescent="0.2">
      <c r="E20395" s="18"/>
      <c r="F20395" s="18"/>
    </row>
    <row r="20396" spans="5:6" ht="15" customHeight="1" x14ac:dyDescent="0.2">
      <c r="E20396" s="18"/>
      <c r="F20396" s="18"/>
    </row>
    <row r="20397" spans="5:6" ht="15" customHeight="1" x14ac:dyDescent="0.2">
      <c r="E20397" s="18"/>
      <c r="F20397" s="18"/>
    </row>
    <row r="20398" spans="5:6" ht="15" customHeight="1" x14ac:dyDescent="0.2">
      <c r="E20398" s="18"/>
      <c r="F20398" s="18"/>
    </row>
    <row r="20399" spans="5:6" ht="15" customHeight="1" x14ac:dyDescent="0.2">
      <c r="E20399" s="18"/>
      <c r="F20399" s="18"/>
    </row>
    <row r="20400" spans="5:6" ht="15" customHeight="1" x14ac:dyDescent="0.2">
      <c r="E20400" s="18"/>
      <c r="F20400" s="18"/>
    </row>
    <row r="20401" spans="5:6" ht="15" customHeight="1" x14ac:dyDescent="0.2">
      <c r="E20401" s="18"/>
      <c r="F20401" s="18"/>
    </row>
    <row r="20402" spans="5:6" ht="15" customHeight="1" x14ac:dyDescent="0.2">
      <c r="E20402" s="18"/>
      <c r="F20402" s="18"/>
    </row>
    <row r="20403" spans="5:6" ht="15" customHeight="1" x14ac:dyDescent="0.2">
      <c r="E20403" s="18"/>
      <c r="F20403" s="18"/>
    </row>
    <row r="20404" spans="5:6" ht="15" customHeight="1" x14ac:dyDescent="0.2">
      <c r="E20404" s="18"/>
      <c r="F20404" s="18"/>
    </row>
    <row r="20405" spans="5:6" ht="15" customHeight="1" x14ac:dyDescent="0.2">
      <c r="E20405" s="18"/>
      <c r="F20405" s="18"/>
    </row>
    <row r="20406" spans="5:6" ht="15" customHeight="1" x14ac:dyDescent="0.2">
      <c r="E20406" s="18"/>
      <c r="F20406" s="18"/>
    </row>
    <row r="20407" spans="5:6" ht="15" customHeight="1" x14ac:dyDescent="0.2">
      <c r="E20407" s="18"/>
      <c r="F20407" s="18"/>
    </row>
    <row r="20408" spans="5:6" ht="15" customHeight="1" x14ac:dyDescent="0.2">
      <c r="E20408" s="18"/>
      <c r="F20408" s="18"/>
    </row>
    <row r="20409" spans="5:6" ht="15" customHeight="1" x14ac:dyDescent="0.2">
      <c r="E20409" s="18"/>
      <c r="F20409" s="18"/>
    </row>
    <row r="20410" spans="5:6" ht="15" customHeight="1" x14ac:dyDescent="0.2">
      <c r="E20410" s="18"/>
      <c r="F20410" s="18"/>
    </row>
    <row r="20411" spans="5:6" ht="15" customHeight="1" x14ac:dyDescent="0.2">
      <c r="E20411" s="18"/>
      <c r="F20411" s="18"/>
    </row>
    <row r="20412" spans="5:6" ht="15" customHeight="1" x14ac:dyDescent="0.2">
      <c r="E20412" s="18"/>
      <c r="F20412" s="18"/>
    </row>
    <row r="20413" spans="5:6" ht="15" customHeight="1" x14ac:dyDescent="0.2">
      <c r="E20413" s="18"/>
      <c r="F20413" s="18"/>
    </row>
    <row r="20414" spans="5:6" ht="15" customHeight="1" x14ac:dyDescent="0.2">
      <c r="E20414" s="18"/>
      <c r="F20414" s="18"/>
    </row>
    <row r="20415" spans="5:6" ht="15" customHeight="1" x14ac:dyDescent="0.2">
      <c r="E20415" s="18"/>
      <c r="F20415" s="18"/>
    </row>
    <row r="20416" spans="5:6" ht="15" customHeight="1" x14ac:dyDescent="0.2">
      <c r="E20416" s="18"/>
      <c r="F20416" s="18"/>
    </row>
    <row r="20417" spans="5:6" ht="15" customHeight="1" x14ac:dyDescent="0.2">
      <c r="E20417" s="18"/>
      <c r="F20417" s="18"/>
    </row>
    <row r="20418" spans="5:6" ht="15" customHeight="1" x14ac:dyDescent="0.2">
      <c r="E20418" s="18"/>
      <c r="F20418" s="18"/>
    </row>
    <row r="20419" spans="5:6" ht="15" customHeight="1" x14ac:dyDescent="0.2">
      <c r="E20419" s="18"/>
      <c r="F20419" s="18"/>
    </row>
    <row r="20420" spans="5:6" ht="15" customHeight="1" x14ac:dyDescent="0.2">
      <c r="E20420" s="18"/>
      <c r="F20420" s="18"/>
    </row>
    <row r="20421" spans="5:6" ht="15" customHeight="1" x14ac:dyDescent="0.2">
      <c r="E20421" s="18"/>
      <c r="F20421" s="18"/>
    </row>
    <row r="20422" spans="5:6" ht="15" customHeight="1" x14ac:dyDescent="0.2">
      <c r="E20422" s="18"/>
      <c r="F20422" s="18"/>
    </row>
    <row r="20423" spans="5:6" ht="15" customHeight="1" x14ac:dyDescent="0.2">
      <c r="E20423" s="18"/>
      <c r="F20423" s="18"/>
    </row>
    <row r="20424" spans="5:6" ht="15" customHeight="1" x14ac:dyDescent="0.2">
      <c r="E20424" s="18"/>
      <c r="F20424" s="18"/>
    </row>
    <row r="20425" spans="5:6" ht="15" customHeight="1" x14ac:dyDescent="0.2">
      <c r="E20425" s="18"/>
      <c r="F20425" s="18"/>
    </row>
    <row r="20426" spans="5:6" ht="15" customHeight="1" x14ac:dyDescent="0.2">
      <c r="E20426" s="18"/>
      <c r="F20426" s="18"/>
    </row>
    <row r="20427" spans="5:6" ht="15" customHeight="1" x14ac:dyDescent="0.2">
      <c r="E20427" s="18"/>
      <c r="F20427" s="18"/>
    </row>
    <row r="20428" spans="5:6" ht="15" customHeight="1" x14ac:dyDescent="0.2">
      <c r="E20428" s="18"/>
      <c r="F20428" s="18"/>
    </row>
    <row r="20429" spans="5:6" ht="15" customHeight="1" x14ac:dyDescent="0.2">
      <c r="E20429" s="18"/>
      <c r="F20429" s="18"/>
    </row>
    <row r="20430" spans="5:6" ht="15" customHeight="1" x14ac:dyDescent="0.2">
      <c r="E20430" s="18"/>
      <c r="F20430" s="18"/>
    </row>
    <row r="20431" spans="5:6" ht="15" customHeight="1" x14ac:dyDescent="0.2">
      <c r="E20431" s="18"/>
      <c r="F20431" s="18"/>
    </row>
    <row r="20432" spans="5:6" ht="15" customHeight="1" x14ac:dyDescent="0.2">
      <c r="E20432" s="18"/>
      <c r="F20432" s="18"/>
    </row>
    <row r="20433" spans="5:6" ht="15" customHeight="1" x14ac:dyDescent="0.2">
      <c r="E20433" s="18"/>
      <c r="F20433" s="18"/>
    </row>
    <row r="20434" spans="5:6" ht="15" customHeight="1" x14ac:dyDescent="0.2">
      <c r="E20434" s="18"/>
      <c r="F20434" s="18"/>
    </row>
    <row r="20435" spans="5:6" ht="15" customHeight="1" x14ac:dyDescent="0.2">
      <c r="E20435" s="18"/>
      <c r="F20435" s="18"/>
    </row>
    <row r="20436" spans="5:6" ht="15" customHeight="1" x14ac:dyDescent="0.2">
      <c r="E20436" s="18"/>
      <c r="F20436" s="18"/>
    </row>
    <row r="20437" spans="5:6" ht="15" customHeight="1" x14ac:dyDescent="0.2">
      <c r="E20437" s="18"/>
      <c r="F20437" s="18"/>
    </row>
    <row r="20438" spans="5:6" ht="15" customHeight="1" x14ac:dyDescent="0.2">
      <c r="E20438" s="18"/>
      <c r="F20438" s="18"/>
    </row>
    <row r="20439" spans="5:6" ht="15" customHeight="1" x14ac:dyDescent="0.2">
      <c r="E20439" s="18"/>
      <c r="F20439" s="18"/>
    </row>
    <row r="20440" spans="5:6" ht="15" customHeight="1" x14ac:dyDescent="0.2">
      <c r="E20440" s="18"/>
      <c r="F20440" s="18"/>
    </row>
    <row r="20441" spans="5:6" ht="15" customHeight="1" x14ac:dyDescent="0.2">
      <c r="E20441" s="18"/>
      <c r="F20441" s="18"/>
    </row>
    <row r="20442" spans="5:6" ht="15" customHeight="1" x14ac:dyDescent="0.2">
      <c r="E20442" s="18"/>
      <c r="F20442" s="18"/>
    </row>
    <row r="20443" spans="5:6" ht="15" customHeight="1" x14ac:dyDescent="0.2">
      <c r="E20443" s="18"/>
      <c r="F20443" s="18"/>
    </row>
    <row r="20444" spans="5:6" ht="15" customHeight="1" x14ac:dyDescent="0.2">
      <c r="E20444" s="18"/>
      <c r="F20444" s="18"/>
    </row>
    <row r="20445" spans="5:6" ht="15" customHeight="1" x14ac:dyDescent="0.2">
      <c r="E20445" s="18"/>
      <c r="F20445" s="18"/>
    </row>
    <row r="20446" spans="5:6" ht="15" customHeight="1" x14ac:dyDescent="0.2">
      <c r="E20446" s="18"/>
      <c r="F20446" s="18"/>
    </row>
    <row r="20447" spans="5:6" ht="15" customHeight="1" x14ac:dyDescent="0.2">
      <c r="E20447" s="18"/>
      <c r="F20447" s="18"/>
    </row>
    <row r="20448" spans="5:6" ht="15" customHeight="1" x14ac:dyDescent="0.2">
      <c r="E20448" s="18"/>
      <c r="F20448" s="18"/>
    </row>
    <row r="20449" spans="5:6" ht="15" customHeight="1" x14ac:dyDescent="0.2">
      <c r="E20449" s="18"/>
      <c r="F20449" s="18"/>
    </row>
    <row r="20450" spans="5:6" ht="15" customHeight="1" x14ac:dyDescent="0.2">
      <c r="E20450" s="18"/>
      <c r="F20450" s="18"/>
    </row>
    <row r="20451" spans="5:6" ht="15" customHeight="1" x14ac:dyDescent="0.2">
      <c r="E20451" s="18"/>
      <c r="F20451" s="18"/>
    </row>
    <row r="20452" spans="5:6" ht="15" customHeight="1" x14ac:dyDescent="0.2">
      <c r="E20452" s="18"/>
      <c r="F20452" s="18"/>
    </row>
    <row r="20453" spans="5:6" ht="15" customHeight="1" x14ac:dyDescent="0.2">
      <c r="E20453" s="18"/>
      <c r="F20453" s="18"/>
    </row>
    <row r="20454" spans="5:6" ht="15" customHeight="1" x14ac:dyDescent="0.2">
      <c r="E20454" s="18"/>
      <c r="F20454" s="18"/>
    </row>
    <row r="20455" spans="5:6" ht="15" customHeight="1" x14ac:dyDescent="0.2">
      <c r="E20455" s="18"/>
      <c r="F20455" s="18"/>
    </row>
    <row r="20456" spans="5:6" ht="15" customHeight="1" x14ac:dyDescent="0.2">
      <c r="E20456" s="18"/>
      <c r="F20456" s="18"/>
    </row>
    <row r="20457" spans="5:6" ht="15" customHeight="1" x14ac:dyDescent="0.2">
      <c r="E20457" s="18"/>
      <c r="F20457" s="18"/>
    </row>
    <row r="20458" spans="5:6" ht="15" customHeight="1" x14ac:dyDescent="0.2">
      <c r="E20458" s="18"/>
      <c r="F20458" s="18"/>
    </row>
    <row r="20459" spans="5:6" ht="15" customHeight="1" x14ac:dyDescent="0.2">
      <c r="E20459" s="18"/>
      <c r="F20459" s="18"/>
    </row>
    <row r="20460" spans="5:6" ht="15" customHeight="1" x14ac:dyDescent="0.2">
      <c r="E20460" s="18"/>
      <c r="F20460" s="18"/>
    </row>
    <row r="20461" spans="5:6" ht="15" customHeight="1" x14ac:dyDescent="0.2">
      <c r="E20461" s="18"/>
      <c r="F20461" s="18"/>
    </row>
    <row r="20462" spans="5:6" ht="15" customHeight="1" x14ac:dyDescent="0.2">
      <c r="E20462" s="18"/>
      <c r="F20462" s="18"/>
    </row>
    <row r="20463" spans="5:6" ht="15" customHeight="1" x14ac:dyDescent="0.2">
      <c r="E20463" s="18"/>
      <c r="F20463" s="18"/>
    </row>
    <row r="20464" spans="5:6" ht="15" customHeight="1" x14ac:dyDescent="0.2">
      <c r="E20464" s="18"/>
      <c r="F20464" s="18"/>
    </row>
    <row r="20465" spans="5:6" ht="15" customHeight="1" x14ac:dyDescent="0.2">
      <c r="E20465" s="18"/>
      <c r="F20465" s="18"/>
    </row>
    <row r="20466" spans="5:6" ht="15" customHeight="1" x14ac:dyDescent="0.2">
      <c r="E20466" s="18"/>
      <c r="F20466" s="18"/>
    </row>
    <row r="20467" spans="5:6" ht="15" customHeight="1" x14ac:dyDescent="0.2">
      <c r="E20467" s="18"/>
      <c r="F20467" s="18"/>
    </row>
    <row r="20468" spans="5:6" ht="15" customHeight="1" x14ac:dyDescent="0.2">
      <c r="E20468" s="18"/>
      <c r="F20468" s="18"/>
    </row>
    <row r="20469" spans="5:6" ht="15" customHeight="1" x14ac:dyDescent="0.2">
      <c r="E20469" s="18"/>
      <c r="F20469" s="18"/>
    </row>
    <row r="20470" spans="5:6" ht="15" customHeight="1" x14ac:dyDescent="0.2">
      <c r="E20470" s="18"/>
      <c r="F20470" s="18"/>
    </row>
    <row r="20471" spans="5:6" ht="15" customHeight="1" x14ac:dyDescent="0.2">
      <c r="E20471" s="18"/>
      <c r="F20471" s="18"/>
    </row>
    <row r="20472" spans="5:6" ht="15" customHeight="1" x14ac:dyDescent="0.2">
      <c r="E20472" s="18"/>
      <c r="F20472" s="18"/>
    </row>
    <row r="20473" spans="5:6" ht="15" customHeight="1" x14ac:dyDescent="0.2">
      <c r="E20473" s="18"/>
      <c r="F20473" s="18"/>
    </row>
    <row r="20474" spans="5:6" ht="15" customHeight="1" x14ac:dyDescent="0.2">
      <c r="E20474" s="18"/>
      <c r="F20474" s="18"/>
    </row>
    <row r="20475" spans="5:6" ht="15" customHeight="1" x14ac:dyDescent="0.2">
      <c r="E20475" s="18"/>
      <c r="F20475" s="18"/>
    </row>
    <row r="20476" spans="5:6" ht="15" customHeight="1" x14ac:dyDescent="0.2">
      <c r="E20476" s="18"/>
      <c r="F20476" s="18"/>
    </row>
    <row r="20477" spans="5:6" ht="15" customHeight="1" x14ac:dyDescent="0.2">
      <c r="E20477" s="18"/>
      <c r="F20477" s="18"/>
    </row>
    <row r="20478" spans="5:6" ht="15" customHeight="1" x14ac:dyDescent="0.2">
      <c r="E20478" s="18"/>
      <c r="F20478" s="18"/>
    </row>
    <row r="20479" spans="5:6" ht="15" customHeight="1" x14ac:dyDescent="0.2">
      <c r="E20479" s="18"/>
      <c r="F20479" s="18"/>
    </row>
    <row r="20480" spans="5:6" ht="15" customHeight="1" x14ac:dyDescent="0.2">
      <c r="E20480" s="18"/>
      <c r="F20480" s="18"/>
    </row>
    <row r="20481" spans="5:6" ht="15" customHeight="1" x14ac:dyDescent="0.2">
      <c r="E20481" s="18"/>
      <c r="F20481" s="18"/>
    </row>
    <row r="20482" spans="5:6" ht="15" customHeight="1" x14ac:dyDescent="0.2">
      <c r="E20482" s="18"/>
      <c r="F20482" s="18"/>
    </row>
    <row r="20483" spans="5:6" ht="15" customHeight="1" x14ac:dyDescent="0.2">
      <c r="E20483" s="18"/>
      <c r="F20483" s="18"/>
    </row>
    <row r="20484" spans="5:6" ht="15" customHeight="1" x14ac:dyDescent="0.2">
      <c r="E20484" s="18"/>
      <c r="F20484" s="18"/>
    </row>
    <row r="20485" spans="5:6" ht="15" customHeight="1" x14ac:dyDescent="0.2">
      <c r="E20485" s="18"/>
      <c r="F20485" s="18"/>
    </row>
    <row r="20486" spans="5:6" ht="15" customHeight="1" x14ac:dyDescent="0.2">
      <c r="E20486" s="18"/>
      <c r="F20486" s="18"/>
    </row>
    <row r="20487" spans="5:6" ht="15" customHeight="1" x14ac:dyDescent="0.2">
      <c r="E20487" s="18"/>
      <c r="F20487" s="18"/>
    </row>
    <row r="20488" spans="5:6" ht="15" customHeight="1" x14ac:dyDescent="0.2">
      <c r="E20488" s="18"/>
      <c r="F20488" s="18"/>
    </row>
    <row r="20489" spans="5:6" ht="15" customHeight="1" x14ac:dyDescent="0.2">
      <c r="E20489" s="18"/>
      <c r="F20489" s="18"/>
    </row>
    <row r="20490" spans="5:6" ht="15" customHeight="1" x14ac:dyDescent="0.2">
      <c r="E20490" s="18"/>
      <c r="F20490" s="18"/>
    </row>
    <row r="20491" spans="5:6" ht="15" customHeight="1" x14ac:dyDescent="0.2">
      <c r="E20491" s="18"/>
      <c r="F20491" s="18"/>
    </row>
    <row r="20492" spans="5:6" ht="15" customHeight="1" x14ac:dyDescent="0.2">
      <c r="E20492" s="18"/>
      <c r="F20492" s="18"/>
    </row>
    <row r="20493" spans="5:6" ht="15" customHeight="1" x14ac:dyDescent="0.2">
      <c r="E20493" s="18"/>
      <c r="F20493" s="18"/>
    </row>
    <row r="20494" spans="5:6" ht="15" customHeight="1" x14ac:dyDescent="0.2">
      <c r="E20494" s="18"/>
      <c r="F20494" s="18"/>
    </row>
    <row r="20495" spans="5:6" ht="15" customHeight="1" x14ac:dyDescent="0.2">
      <c r="E20495" s="18"/>
      <c r="F20495" s="18"/>
    </row>
    <row r="20496" spans="5:6" ht="15" customHeight="1" x14ac:dyDescent="0.2">
      <c r="E20496" s="18"/>
      <c r="F20496" s="18"/>
    </row>
    <row r="20497" spans="5:6" ht="15" customHeight="1" x14ac:dyDescent="0.2">
      <c r="E20497" s="18"/>
      <c r="F20497" s="18"/>
    </row>
    <row r="20498" spans="5:6" ht="15" customHeight="1" x14ac:dyDescent="0.2">
      <c r="E20498" s="18"/>
      <c r="F20498" s="18"/>
    </row>
    <row r="20499" spans="5:6" ht="15" customHeight="1" x14ac:dyDescent="0.2">
      <c r="E20499" s="18"/>
      <c r="F20499" s="18"/>
    </row>
    <row r="20500" spans="5:6" ht="15" customHeight="1" x14ac:dyDescent="0.2">
      <c r="E20500" s="18"/>
      <c r="F20500" s="18"/>
    </row>
    <row r="20501" spans="5:6" ht="15" customHeight="1" x14ac:dyDescent="0.2">
      <c r="E20501" s="18"/>
      <c r="F20501" s="18"/>
    </row>
    <row r="20502" spans="5:6" ht="15" customHeight="1" x14ac:dyDescent="0.2">
      <c r="E20502" s="18"/>
      <c r="F20502" s="18"/>
    </row>
    <row r="20503" spans="5:6" ht="15" customHeight="1" x14ac:dyDescent="0.2">
      <c r="E20503" s="18"/>
      <c r="F20503" s="18"/>
    </row>
    <row r="20504" spans="5:6" ht="15" customHeight="1" x14ac:dyDescent="0.2">
      <c r="E20504" s="18"/>
      <c r="F20504" s="18"/>
    </row>
    <row r="20505" spans="5:6" ht="15" customHeight="1" x14ac:dyDescent="0.2">
      <c r="E20505" s="18"/>
      <c r="F20505" s="18"/>
    </row>
    <row r="20506" spans="5:6" ht="15" customHeight="1" x14ac:dyDescent="0.2">
      <c r="E20506" s="18"/>
      <c r="F20506" s="18"/>
    </row>
    <row r="20507" spans="5:6" ht="15" customHeight="1" x14ac:dyDescent="0.2">
      <c r="E20507" s="18"/>
      <c r="F20507" s="18"/>
    </row>
    <row r="20508" spans="5:6" ht="15" customHeight="1" x14ac:dyDescent="0.2">
      <c r="E20508" s="18"/>
      <c r="F20508" s="18"/>
    </row>
    <row r="20509" spans="5:6" ht="15" customHeight="1" x14ac:dyDescent="0.2">
      <c r="E20509" s="18"/>
      <c r="F20509" s="18"/>
    </row>
    <row r="20510" spans="5:6" ht="15" customHeight="1" x14ac:dyDescent="0.2">
      <c r="E20510" s="18"/>
      <c r="F20510" s="18"/>
    </row>
    <row r="20511" spans="5:6" ht="15" customHeight="1" x14ac:dyDescent="0.2">
      <c r="E20511" s="18"/>
      <c r="F20511" s="18"/>
    </row>
    <row r="20512" spans="5:6" ht="15" customHeight="1" x14ac:dyDescent="0.2">
      <c r="E20512" s="18"/>
      <c r="F20512" s="18"/>
    </row>
    <row r="20513" spans="5:6" ht="15" customHeight="1" x14ac:dyDescent="0.2">
      <c r="E20513" s="18"/>
      <c r="F20513" s="18"/>
    </row>
    <row r="20514" spans="5:6" ht="15" customHeight="1" x14ac:dyDescent="0.2">
      <c r="E20514" s="18"/>
      <c r="F20514" s="18"/>
    </row>
    <row r="20515" spans="5:6" ht="15" customHeight="1" x14ac:dyDescent="0.2">
      <c r="E20515" s="18"/>
      <c r="F20515" s="18"/>
    </row>
    <row r="20516" spans="5:6" ht="15" customHeight="1" x14ac:dyDescent="0.2">
      <c r="E20516" s="18"/>
      <c r="F20516" s="18"/>
    </row>
    <row r="20517" spans="5:6" ht="15" customHeight="1" x14ac:dyDescent="0.2">
      <c r="E20517" s="18"/>
      <c r="F20517" s="18"/>
    </row>
    <row r="20518" spans="5:6" ht="15" customHeight="1" x14ac:dyDescent="0.2">
      <c r="E20518" s="18"/>
      <c r="F20518" s="18"/>
    </row>
    <row r="20519" spans="5:6" ht="15" customHeight="1" x14ac:dyDescent="0.2">
      <c r="E20519" s="18"/>
      <c r="F20519" s="18"/>
    </row>
    <row r="20520" spans="5:6" ht="15" customHeight="1" x14ac:dyDescent="0.2">
      <c r="E20520" s="18"/>
      <c r="F20520" s="18"/>
    </row>
    <row r="20521" spans="5:6" ht="15" customHeight="1" x14ac:dyDescent="0.2">
      <c r="E20521" s="18"/>
      <c r="F20521" s="18"/>
    </row>
    <row r="20522" spans="5:6" ht="15" customHeight="1" x14ac:dyDescent="0.2">
      <c r="E20522" s="18"/>
      <c r="F20522" s="18"/>
    </row>
    <row r="20523" spans="5:6" ht="15" customHeight="1" x14ac:dyDescent="0.2">
      <c r="E20523" s="18"/>
      <c r="F20523" s="18"/>
    </row>
    <row r="20524" spans="5:6" ht="15" customHeight="1" x14ac:dyDescent="0.2">
      <c r="E20524" s="18"/>
      <c r="F20524" s="18"/>
    </row>
    <row r="20525" spans="5:6" ht="15" customHeight="1" x14ac:dyDescent="0.2">
      <c r="E20525" s="18"/>
      <c r="F20525" s="18"/>
    </row>
    <row r="20526" spans="5:6" ht="15" customHeight="1" x14ac:dyDescent="0.2">
      <c r="E20526" s="18"/>
      <c r="F20526" s="18"/>
    </row>
    <row r="20527" spans="5:6" ht="15" customHeight="1" x14ac:dyDescent="0.2">
      <c r="E20527" s="18"/>
      <c r="F20527" s="18"/>
    </row>
    <row r="20528" spans="5:6" ht="15" customHeight="1" x14ac:dyDescent="0.2">
      <c r="E20528" s="18"/>
      <c r="F20528" s="18"/>
    </row>
    <row r="20529" spans="5:6" ht="15" customHeight="1" x14ac:dyDescent="0.2">
      <c r="E20529" s="18"/>
      <c r="F20529" s="18"/>
    </row>
    <row r="20530" spans="5:6" ht="15" customHeight="1" x14ac:dyDescent="0.2">
      <c r="E20530" s="18"/>
      <c r="F20530" s="18"/>
    </row>
    <row r="20531" spans="5:6" ht="15" customHeight="1" x14ac:dyDescent="0.2">
      <c r="E20531" s="18"/>
      <c r="F20531" s="18"/>
    </row>
    <row r="20532" spans="5:6" ht="15" customHeight="1" x14ac:dyDescent="0.2">
      <c r="E20532" s="18"/>
      <c r="F20532" s="18"/>
    </row>
    <row r="20533" spans="5:6" ht="15" customHeight="1" x14ac:dyDescent="0.2">
      <c r="E20533" s="18"/>
      <c r="F20533" s="18"/>
    </row>
    <row r="20534" spans="5:6" ht="15" customHeight="1" x14ac:dyDescent="0.2">
      <c r="E20534" s="18"/>
      <c r="F20534" s="18"/>
    </row>
    <row r="20535" spans="5:6" ht="15" customHeight="1" x14ac:dyDescent="0.2">
      <c r="E20535" s="18"/>
      <c r="F20535" s="18"/>
    </row>
    <row r="20536" spans="5:6" ht="15" customHeight="1" x14ac:dyDescent="0.2">
      <c r="E20536" s="18"/>
      <c r="F20536" s="18"/>
    </row>
    <row r="20537" spans="5:6" ht="15" customHeight="1" x14ac:dyDescent="0.2">
      <c r="E20537" s="18"/>
      <c r="F20537" s="18"/>
    </row>
    <row r="20538" spans="5:6" ht="15" customHeight="1" x14ac:dyDescent="0.2">
      <c r="E20538" s="18"/>
      <c r="F20538" s="18"/>
    </row>
    <row r="20539" spans="5:6" ht="15" customHeight="1" x14ac:dyDescent="0.2">
      <c r="E20539" s="18"/>
      <c r="F20539" s="18"/>
    </row>
    <row r="20540" spans="5:6" ht="15" customHeight="1" x14ac:dyDescent="0.2">
      <c r="E20540" s="18"/>
      <c r="F20540" s="18"/>
    </row>
    <row r="20541" spans="5:6" ht="15" customHeight="1" x14ac:dyDescent="0.2">
      <c r="E20541" s="18"/>
      <c r="F20541" s="18"/>
    </row>
    <row r="20542" spans="5:6" ht="15" customHeight="1" x14ac:dyDescent="0.2">
      <c r="E20542" s="18"/>
      <c r="F20542" s="18"/>
    </row>
    <row r="20543" spans="5:6" ht="15" customHeight="1" x14ac:dyDescent="0.2">
      <c r="E20543" s="18"/>
      <c r="F20543" s="18"/>
    </row>
    <row r="20544" spans="5:6" ht="15" customHeight="1" x14ac:dyDescent="0.2">
      <c r="E20544" s="18"/>
      <c r="F20544" s="18"/>
    </row>
    <row r="20545" spans="5:6" ht="15" customHeight="1" x14ac:dyDescent="0.2">
      <c r="E20545" s="18"/>
      <c r="F20545" s="18"/>
    </row>
    <row r="20546" spans="5:6" ht="15" customHeight="1" x14ac:dyDescent="0.2">
      <c r="E20546" s="18"/>
      <c r="F20546" s="18"/>
    </row>
    <row r="20547" spans="5:6" ht="15" customHeight="1" x14ac:dyDescent="0.2">
      <c r="E20547" s="18"/>
      <c r="F20547" s="18"/>
    </row>
    <row r="20548" spans="5:6" ht="15" customHeight="1" x14ac:dyDescent="0.2">
      <c r="E20548" s="18"/>
      <c r="F20548" s="18"/>
    </row>
    <row r="20549" spans="5:6" ht="15" customHeight="1" x14ac:dyDescent="0.2">
      <c r="E20549" s="18"/>
      <c r="F20549" s="18"/>
    </row>
    <row r="20550" spans="5:6" ht="15" customHeight="1" x14ac:dyDescent="0.2">
      <c r="E20550" s="18"/>
      <c r="F20550" s="18"/>
    </row>
    <row r="20551" spans="5:6" ht="15" customHeight="1" x14ac:dyDescent="0.2">
      <c r="E20551" s="18"/>
      <c r="F20551" s="18"/>
    </row>
    <row r="20552" spans="5:6" ht="15" customHeight="1" x14ac:dyDescent="0.2">
      <c r="E20552" s="18"/>
      <c r="F20552" s="18"/>
    </row>
    <row r="20553" spans="5:6" ht="15" customHeight="1" x14ac:dyDescent="0.2">
      <c r="E20553" s="18"/>
      <c r="F20553" s="18"/>
    </row>
    <row r="20554" spans="5:6" ht="15" customHeight="1" x14ac:dyDescent="0.2">
      <c r="E20554" s="18"/>
      <c r="F20554" s="18"/>
    </row>
    <row r="20555" spans="5:6" ht="15" customHeight="1" x14ac:dyDescent="0.2">
      <c r="E20555" s="18"/>
      <c r="F20555" s="18"/>
    </row>
    <row r="20556" spans="5:6" ht="15" customHeight="1" x14ac:dyDescent="0.2">
      <c r="E20556" s="18"/>
      <c r="F20556" s="18"/>
    </row>
    <row r="20557" spans="5:6" ht="15" customHeight="1" x14ac:dyDescent="0.2">
      <c r="E20557" s="18"/>
      <c r="F20557" s="18"/>
    </row>
    <row r="20558" spans="5:6" ht="15" customHeight="1" x14ac:dyDescent="0.2">
      <c r="E20558" s="18"/>
      <c r="F20558" s="18"/>
    </row>
    <row r="20559" spans="5:6" ht="15" customHeight="1" x14ac:dyDescent="0.2">
      <c r="E20559" s="18"/>
      <c r="F20559" s="18"/>
    </row>
    <row r="20560" spans="5:6" ht="15" customHeight="1" x14ac:dyDescent="0.2">
      <c r="E20560" s="18"/>
      <c r="F20560" s="18"/>
    </row>
    <row r="20561" spans="5:6" ht="15" customHeight="1" x14ac:dyDescent="0.2">
      <c r="E20561" s="18"/>
      <c r="F20561" s="18"/>
    </row>
    <row r="20562" spans="5:6" ht="15" customHeight="1" x14ac:dyDescent="0.2">
      <c r="E20562" s="18"/>
      <c r="F20562" s="18"/>
    </row>
    <row r="20563" spans="5:6" ht="15" customHeight="1" x14ac:dyDescent="0.2">
      <c r="E20563" s="18"/>
      <c r="F20563" s="18"/>
    </row>
    <row r="20564" spans="5:6" ht="15" customHeight="1" x14ac:dyDescent="0.2">
      <c r="E20564" s="18"/>
      <c r="F20564" s="18"/>
    </row>
    <row r="20565" spans="5:6" ht="15" customHeight="1" x14ac:dyDescent="0.2">
      <c r="E20565" s="18"/>
      <c r="F20565" s="18"/>
    </row>
    <row r="20566" spans="5:6" ht="15" customHeight="1" x14ac:dyDescent="0.2">
      <c r="E20566" s="18"/>
      <c r="F20566" s="18"/>
    </row>
    <row r="20567" spans="5:6" ht="15" customHeight="1" x14ac:dyDescent="0.2">
      <c r="E20567" s="18"/>
      <c r="F20567" s="18"/>
    </row>
    <row r="20568" spans="5:6" ht="15" customHeight="1" x14ac:dyDescent="0.2">
      <c r="E20568" s="18"/>
      <c r="F20568" s="18"/>
    </row>
    <row r="20569" spans="5:6" ht="15" customHeight="1" x14ac:dyDescent="0.2">
      <c r="E20569" s="18"/>
      <c r="F20569" s="18"/>
    </row>
    <row r="20570" spans="5:6" ht="15" customHeight="1" x14ac:dyDescent="0.2">
      <c r="E20570" s="18"/>
      <c r="F20570" s="18"/>
    </row>
    <row r="20571" spans="5:6" ht="15" customHeight="1" x14ac:dyDescent="0.2">
      <c r="E20571" s="18"/>
      <c r="F20571" s="18"/>
    </row>
    <row r="20572" spans="5:6" ht="15" customHeight="1" x14ac:dyDescent="0.2">
      <c r="E20572" s="18"/>
      <c r="F20572" s="18"/>
    </row>
    <row r="20573" spans="5:6" ht="15" customHeight="1" x14ac:dyDescent="0.2">
      <c r="E20573" s="18"/>
      <c r="F20573" s="18"/>
    </row>
    <row r="20574" spans="5:6" ht="15" customHeight="1" x14ac:dyDescent="0.2">
      <c r="E20574" s="18"/>
      <c r="F20574" s="18"/>
    </row>
    <row r="20575" spans="5:6" ht="15" customHeight="1" x14ac:dyDescent="0.2">
      <c r="E20575" s="18"/>
      <c r="F20575" s="18"/>
    </row>
    <row r="20576" spans="5:6" ht="15" customHeight="1" x14ac:dyDescent="0.2">
      <c r="E20576" s="18"/>
      <c r="F20576" s="18"/>
    </row>
    <row r="20577" spans="5:6" ht="15" customHeight="1" x14ac:dyDescent="0.2">
      <c r="E20577" s="18"/>
      <c r="F20577" s="18"/>
    </row>
    <row r="20578" spans="5:6" ht="15" customHeight="1" x14ac:dyDescent="0.2">
      <c r="E20578" s="18"/>
      <c r="F20578" s="18"/>
    </row>
    <row r="20579" spans="5:6" ht="15" customHeight="1" x14ac:dyDescent="0.2">
      <c r="E20579" s="18"/>
      <c r="F20579" s="18"/>
    </row>
    <row r="20580" spans="5:6" ht="15" customHeight="1" x14ac:dyDescent="0.2">
      <c r="E20580" s="18"/>
      <c r="F20580" s="18"/>
    </row>
    <row r="20581" spans="5:6" ht="15" customHeight="1" x14ac:dyDescent="0.2">
      <c r="E20581" s="18"/>
      <c r="F20581" s="18"/>
    </row>
    <row r="20582" spans="5:6" ht="15" customHeight="1" x14ac:dyDescent="0.2">
      <c r="E20582" s="18"/>
      <c r="F20582" s="18"/>
    </row>
    <row r="20583" spans="5:6" ht="15" customHeight="1" x14ac:dyDescent="0.2">
      <c r="E20583" s="18"/>
      <c r="F20583" s="18"/>
    </row>
    <row r="20584" spans="5:6" ht="15" customHeight="1" x14ac:dyDescent="0.2">
      <c r="E20584" s="18"/>
      <c r="F20584" s="18"/>
    </row>
    <row r="20585" spans="5:6" ht="15" customHeight="1" x14ac:dyDescent="0.2">
      <c r="E20585" s="18"/>
      <c r="F20585" s="18"/>
    </row>
    <row r="20586" spans="5:6" ht="15" customHeight="1" x14ac:dyDescent="0.2">
      <c r="E20586" s="18"/>
      <c r="F20586" s="18"/>
    </row>
    <row r="20587" spans="5:6" ht="15" customHeight="1" x14ac:dyDescent="0.2">
      <c r="E20587" s="18"/>
      <c r="F20587" s="18"/>
    </row>
    <row r="20588" spans="5:6" ht="15" customHeight="1" x14ac:dyDescent="0.2">
      <c r="E20588" s="18"/>
      <c r="F20588" s="18"/>
    </row>
    <row r="20589" spans="5:6" ht="15" customHeight="1" x14ac:dyDescent="0.2">
      <c r="E20589" s="18"/>
      <c r="F20589" s="18"/>
    </row>
    <row r="20590" spans="5:6" ht="15" customHeight="1" x14ac:dyDescent="0.2">
      <c r="E20590" s="18"/>
      <c r="F20590" s="18"/>
    </row>
    <row r="20591" spans="5:6" ht="15" customHeight="1" x14ac:dyDescent="0.2">
      <c r="E20591" s="18"/>
      <c r="F20591" s="18"/>
    </row>
    <row r="20592" spans="5:6" ht="15" customHeight="1" x14ac:dyDescent="0.2">
      <c r="E20592" s="18"/>
      <c r="F20592" s="18"/>
    </row>
    <row r="20593" spans="5:6" ht="15" customHeight="1" x14ac:dyDescent="0.2">
      <c r="E20593" s="18"/>
      <c r="F20593" s="18"/>
    </row>
    <row r="20594" spans="5:6" ht="15" customHeight="1" x14ac:dyDescent="0.2">
      <c r="E20594" s="18"/>
      <c r="F20594" s="18"/>
    </row>
    <row r="20595" spans="5:6" ht="15" customHeight="1" x14ac:dyDescent="0.2">
      <c r="E20595" s="18"/>
      <c r="F20595" s="18"/>
    </row>
    <row r="20596" spans="5:6" ht="15" customHeight="1" x14ac:dyDescent="0.2">
      <c r="E20596" s="18"/>
      <c r="F20596" s="18"/>
    </row>
    <row r="20597" spans="5:6" ht="15" customHeight="1" x14ac:dyDescent="0.2">
      <c r="E20597" s="18"/>
      <c r="F20597" s="18"/>
    </row>
    <row r="20598" spans="5:6" ht="15" customHeight="1" x14ac:dyDescent="0.2">
      <c r="E20598" s="18"/>
      <c r="F20598" s="18"/>
    </row>
    <row r="20599" spans="5:6" ht="15" customHeight="1" x14ac:dyDescent="0.2">
      <c r="E20599" s="18"/>
      <c r="F20599" s="18"/>
    </row>
    <row r="20600" spans="5:6" ht="15" customHeight="1" x14ac:dyDescent="0.2">
      <c r="E20600" s="18"/>
      <c r="F20600" s="18"/>
    </row>
    <row r="20601" spans="5:6" ht="15" customHeight="1" x14ac:dyDescent="0.2">
      <c r="E20601" s="18"/>
      <c r="F20601" s="18"/>
    </row>
    <row r="20602" spans="5:6" ht="15" customHeight="1" x14ac:dyDescent="0.2">
      <c r="E20602" s="18"/>
      <c r="F20602" s="18"/>
    </row>
    <row r="20603" spans="5:6" ht="15" customHeight="1" x14ac:dyDescent="0.2">
      <c r="E20603" s="18"/>
      <c r="F20603" s="18"/>
    </row>
    <row r="20604" spans="5:6" ht="15" customHeight="1" x14ac:dyDescent="0.2">
      <c r="E20604" s="18"/>
      <c r="F20604" s="18"/>
    </row>
    <row r="20605" spans="5:6" ht="15" customHeight="1" x14ac:dyDescent="0.2">
      <c r="E20605" s="18"/>
      <c r="F20605" s="18"/>
    </row>
    <row r="20606" spans="5:6" ht="15" customHeight="1" x14ac:dyDescent="0.2">
      <c r="E20606" s="18"/>
      <c r="F20606" s="18"/>
    </row>
    <row r="20607" spans="5:6" ht="15" customHeight="1" x14ac:dyDescent="0.2">
      <c r="E20607" s="18"/>
      <c r="F20607" s="18"/>
    </row>
    <row r="20608" spans="5:6" ht="15" customHeight="1" x14ac:dyDescent="0.2">
      <c r="E20608" s="18"/>
      <c r="F20608" s="18"/>
    </row>
    <row r="20609" spans="5:6" ht="15" customHeight="1" x14ac:dyDescent="0.2">
      <c r="E20609" s="18"/>
      <c r="F20609" s="18"/>
    </row>
    <row r="20610" spans="5:6" ht="15" customHeight="1" x14ac:dyDescent="0.2">
      <c r="E20610" s="18"/>
      <c r="F20610" s="18"/>
    </row>
    <row r="20611" spans="5:6" ht="15" customHeight="1" x14ac:dyDescent="0.2">
      <c r="E20611" s="18"/>
      <c r="F20611" s="18"/>
    </row>
    <row r="20612" spans="5:6" ht="15" customHeight="1" x14ac:dyDescent="0.2">
      <c r="E20612" s="18"/>
      <c r="F20612" s="18"/>
    </row>
    <row r="20613" spans="5:6" ht="15" customHeight="1" x14ac:dyDescent="0.2">
      <c r="E20613" s="18"/>
      <c r="F20613" s="18"/>
    </row>
    <row r="20614" spans="5:6" ht="15" customHeight="1" x14ac:dyDescent="0.2">
      <c r="E20614" s="18"/>
      <c r="F20614" s="18"/>
    </row>
    <row r="20615" spans="5:6" ht="15" customHeight="1" x14ac:dyDescent="0.2">
      <c r="E20615" s="18"/>
      <c r="F20615" s="18"/>
    </row>
    <row r="20616" spans="5:6" ht="15" customHeight="1" x14ac:dyDescent="0.2">
      <c r="E20616" s="18"/>
      <c r="F20616" s="18"/>
    </row>
    <row r="20617" spans="5:6" ht="15" customHeight="1" x14ac:dyDescent="0.2">
      <c r="E20617" s="18"/>
      <c r="F20617" s="18"/>
    </row>
    <row r="20618" spans="5:6" ht="15" customHeight="1" x14ac:dyDescent="0.2">
      <c r="E20618" s="18"/>
      <c r="F20618" s="18"/>
    </row>
    <row r="20619" spans="5:6" ht="15" customHeight="1" x14ac:dyDescent="0.2">
      <c r="E20619" s="18"/>
      <c r="F20619" s="18"/>
    </row>
    <row r="20620" spans="5:6" ht="15" customHeight="1" x14ac:dyDescent="0.2">
      <c r="E20620" s="18"/>
      <c r="F20620" s="18"/>
    </row>
    <row r="20621" spans="5:6" ht="15" customHeight="1" x14ac:dyDescent="0.2">
      <c r="E20621" s="18"/>
      <c r="F20621" s="18"/>
    </row>
    <row r="20622" spans="5:6" ht="15" customHeight="1" x14ac:dyDescent="0.2">
      <c r="E20622" s="18"/>
      <c r="F20622" s="18"/>
    </row>
    <row r="20623" spans="5:6" ht="15" customHeight="1" x14ac:dyDescent="0.2">
      <c r="E20623" s="18"/>
      <c r="F20623" s="18"/>
    </row>
    <row r="20624" spans="5:6" ht="15" customHeight="1" x14ac:dyDescent="0.2">
      <c r="E20624" s="18"/>
      <c r="F20624" s="18"/>
    </row>
    <row r="20625" spans="5:6" ht="15" customHeight="1" x14ac:dyDescent="0.2">
      <c r="E20625" s="18"/>
      <c r="F20625" s="18"/>
    </row>
    <row r="20626" spans="5:6" ht="15" customHeight="1" x14ac:dyDescent="0.2">
      <c r="E20626" s="18"/>
      <c r="F20626" s="18"/>
    </row>
    <row r="20627" spans="5:6" ht="15" customHeight="1" x14ac:dyDescent="0.2">
      <c r="E20627" s="18"/>
      <c r="F20627" s="18"/>
    </row>
    <row r="20628" spans="5:6" ht="15" customHeight="1" x14ac:dyDescent="0.2">
      <c r="E20628" s="18"/>
      <c r="F20628" s="18"/>
    </row>
    <row r="20629" spans="5:6" ht="15" customHeight="1" x14ac:dyDescent="0.2">
      <c r="E20629" s="18"/>
      <c r="F20629" s="18"/>
    </row>
    <row r="20630" spans="5:6" ht="15" customHeight="1" x14ac:dyDescent="0.2">
      <c r="E20630" s="18"/>
      <c r="F20630" s="18"/>
    </row>
    <row r="20631" spans="5:6" ht="15" customHeight="1" x14ac:dyDescent="0.2">
      <c r="E20631" s="18"/>
      <c r="F20631" s="18"/>
    </row>
    <row r="20632" spans="5:6" ht="15" customHeight="1" x14ac:dyDescent="0.2">
      <c r="E20632" s="18"/>
      <c r="F20632" s="18"/>
    </row>
    <row r="20633" spans="5:6" ht="15" customHeight="1" x14ac:dyDescent="0.2">
      <c r="E20633" s="18"/>
      <c r="F20633" s="18"/>
    </row>
    <row r="20634" spans="5:6" ht="15" customHeight="1" x14ac:dyDescent="0.2">
      <c r="E20634" s="18"/>
      <c r="F20634" s="18"/>
    </row>
    <row r="20635" spans="5:6" ht="15" customHeight="1" x14ac:dyDescent="0.2">
      <c r="E20635" s="18"/>
      <c r="F20635" s="18"/>
    </row>
    <row r="20636" spans="5:6" ht="15" customHeight="1" x14ac:dyDescent="0.2">
      <c r="E20636" s="18"/>
      <c r="F20636" s="18"/>
    </row>
    <row r="20637" spans="5:6" ht="15" customHeight="1" x14ac:dyDescent="0.2">
      <c r="E20637" s="18"/>
      <c r="F20637" s="18"/>
    </row>
    <row r="20638" spans="5:6" ht="15" customHeight="1" x14ac:dyDescent="0.2">
      <c r="E20638" s="18"/>
      <c r="F20638" s="18"/>
    </row>
    <row r="20639" spans="5:6" ht="15" customHeight="1" x14ac:dyDescent="0.2">
      <c r="E20639" s="18"/>
      <c r="F20639" s="18"/>
    </row>
    <row r="20640" spans="5:6" ht="15" customHeight="1" x14ac:dyDescent="0.2">
      <c r="E20640" s="18"/>
      <c r="F20640" s="18"/>
    </row>
    <row r="20641" spans="5:6" ht="15" customHeight="1" x14ac:dyDescent="0.2">
      <c r="E20641" s="18"/>
      <c r="F20641" s="18"/>
    </row>
    <row r="20642" spans="5:6" ht="15" customHeight="1" x14ac:dyDescent="0.2">
      <c r="E20642" s="18"/>
      <c r="F20642" s="18"/>
    </row>
    <row r="20643" spans="5:6" ht="15" customHeight="1" x14ac:dyDescent="0.2">
      <c r="E20643" s="18"/>
      <c r="F20643" s="18"/>
    </row>
    <row r="20644" spans="5:6" ht="15" customHeight="1" x14ac:dyDescent="0.2">
      <c r="E20644" s="18"/>
      <c r="F20644" s="18"/>
    </row>
    <row r="20645" spans="5:6" ht="15" customHeight="1" x14ac:dyDescent="0.2">
      <c r="E20645" s="18"/>
      <c r="F20645" s="18"/>
    </row>
    <row r="20646" spans="5:6" ht="15" customHeight="1" x14ac:dyDescent="0.2">
      <c r="E20646" s="18"/>
      <c r="F20646" s="18"/>
    </row>
    <row r="20647" spans="5:6" ht="15" customHeight="1" x14ac:dyDescent="0.2">
      <c r="E20647" s="18"/>
      <c r="F20647" s="18"/>
    </row>
    <row r="20648" spans="5:6" ht="15" customHeight="1" x14ac:dyDescent="0.2">
      <c r="E20648" s="18"/>
      <c r="F20648" s="18"/>
    </row>
    <row r="20649" spans="5:6" ht="15" customHeight="1" x14ac:dyDescent="0.2">
      <c r="E20649" s="18"/>
      <c r="F20649" s="18"/>
    </row>
    <row r="20650" spans="5:6" ht="15" customHeight="1" x14ac:dyDescent="0.2">
      <c r="E20650" s="18"/>
      <c r="F20650" s="18"/>
    </row>
    <row r="20651" spans="5:6" ht="15" customHeight="1" x14ac:dyDescent="0.2">
      <c r="E20651" s="18"/>
      <c r="F20651" s="18"/>
    </row>
    <row r="20652" spans="5:6" ht="15" customHeight="1" x14ac:dyDescent="0.2">
      <c r="E20652" s="18"/>
      <c r="F20652" s="18"/>
    </row>
    <row r="20653" spans="5:6" ht="15" customHeight="1" x14ac:dyDescent="0.2">
      <c r="E20653" s="18"/>
      <c r="F20653" s="18"/>
    </row>
    <row r="20654" spans="5:6" ht="15" customHeight="1" x14ac:dyDescent="0.2">
      <c r="E20654" s="18"/>
      <c r="F20654" s="18"/>
    </row>
    <row r="20655" spans="5:6" ht="15" customHeight="1" x14ac:dyDescent="0.2">
      <c r="E20655" s="18"/>
      <c r="F20655" s="18"/>
    </row>
    <row r="20656" spans="5:6" ht="15" customHeight="1" x14ac:dyDescent="0.2">
      <c r="E20656" s="18"/>
      <c r="F20656" s="18"/>
    </row>
    <row r="20657" spans="5:6" ht="15" customHeight="1" x14ac:dyDescent="0.2">
      <c r="E20657" s="18"/>
      <c r="F20657" s="18"/>
    </row>
    <row r="20658" spans="5:6" ht="15" customHeight="1" x14ac:dyDescent="0.2">
      <c r="E20658" s="18"/>
      <c r="F20658" s="18"/>
    </row>
    <row r="20659" spans="5:6" ht="15" customHeight="1" x14ac:dyDescent="0.2">
      <c r="E20659" s="18"/>
      <c r="F20659" s="18"/>
    </row>
    <row r="20660" spans="5:6" ht="15" customHeight="1" x14ac:dyDescent="0.2">
      <c r="E20660" s="18"/>
      <c r="F20660" s="18"/>
    </row>
    <row r="20661" spans="5:6" ht="15" customHeight="1" x14ac:dyDescent="0.2">
      <c r="E20661" s="18"/>
      <c r="F20661" s="18"/>
    </row>
    <row r="20662" spans="5:6" ht="15" customHeight="1" x14ac:dyDescent="0.2">
      <c r="E20662" s="18"/>
      <c r="F20662" s="18"/>
    </row>
    <row r="20663" spans="5:6" ht="15" customHeight="1" x14ac:dyDescent="0.2">
      <c r="E20663" s="18"/>
      <c r="F20663" s="18"/>
    </row>
    <row r="20664" spans="5:6" ht="15" customHeight="1" x14ac:dyDescent="0.2">
      <c r="E20664" s="18"/>
      <c r="F20664" s="18"/>
    </row>
    <row r="20665" spans="5:6" ht="15" customHeight="1" x14ac:dyDescent="0.2">
      <c r="E20665" s="18"/>
      <c r="F20665" s="18"/>
    </row>
    <row r="20666" spans="5:6" ht="15" customHeight="1" x14ac:dyDescent="0.2">
      <c r="E20666" s="18"/>
      <c r="F20666" s="18"/>
    </row>
    <row r="20667" spans="5:6" ht="15" customHeight="1" x14ac:dyDescent="0.2">
      <c r="E20667" s="18"/>
      <c r="F20667" s="18"/>
    </row>
    <row r="20668" spans="5:6" ht="15" customHeight="1" x14ac:dyDescent="0.2">
      <c r="E20668" s="18"/>
      <c r="F20668" s="18"/>
    </row>
    <row r="20669" spans="5:6" ht="15" customHeight="1" x14ac:dyDescent="0.2">
      <c r="E20669" s="18"/>
      <c r="F20669" s="18"/>
    </row>
    <row r="20670" spans="5:6" ht="15" customHeight="1" x14ac:dyDescent="0.2">
      <c r="E20670" s="18"/>
      <c r="F20670" s="18"/>
    </row>
    <row r="20671" spans="5:6" ht="15" customHeight="1" x14ac:dyDescent="0.2">
      <c r="E20671" s="18"/>
      <c r="F20671" s="18"/>
    </row>
    <row r="20672" spans="5:6" ht="15" customHeight="1" x14ac:dyDescent="0.2">
      <c r="E20672" s="18"/>
      <c r="F20672" s="18"/>
    </row>
    <row r="20673" spans="5:6" ht="15" customHeight="1" x14ac:dyDescent="0.2">
      <c r="E20673" s="18"/>
      <c r="F20673" s="18"/>
    </row>
    <row r="20674" spans="5:6" ht="15" customHeight="1" x14ac:dyDescent="0.2">
      <c r="E20674" s="18"/>
      <c r="F20674" s="18"/>
    </row>
    <row r="20675" spans="5:6" ht="15" customHeight="1" x14ac:dyDescent="0.2">
      <c r="E20675" s="18"/>
      <c r="F20675" s="18"/>
    </row>
    <row r="20676" spans="5:6" ht="15" customHeight="1" x14ac:dyDescent="0.2">
      <c r="E20676" s="18"/>
      <c r="F20676" s="18"/>
    </row>
    <row r="20677" spans="5:6" ht="15" customHeight="1" x14ac:dyDescent="0.2">
      <c r="E20677" s="18"/>
      <c r="F20677" s="18"/>
    </row>
    <row r="20678" spans="5:6" ht="15" customHeight="1" x14ac:dyDescent="0.2">
      <c r="E20678" s="18"/>
      <c r="F20678" s="18"/>
    </row>
    <row r="20679" spans="5:6" ht="15" customHeight="1" x14ac:dyDescent="0.2">
      <c r="E20679" s="18"/>
      <c r="F20679" s="18"/>
    </row>
    <row r="20680" spans="5:6" ht="15" customHeight="1" x14ac:dyDescent="0.2">
      <c r="E20680" s="18"/>
      <c r="F20680" s="18"/>
    </row>
    <row r="20681" spans="5:6" ht="15" customHeight="1" x14ac:dyDescent="0.2">
      <c r="E20681" s="18"/>
      <c r="F20681" s="18"/>
    </row>
    <row r="20682" spans="5:6" ht="15" customHeight="1" x14ac:dyDescent="0.2">
      <c r="E20682" s="18"/>
      <c r="F20682" s="18"/>
    </row>
    <row r="20683" spans="5:6" ht="15" customHeight="1" x14ac:dyDescent="0.2">
      <c r="E20683" s="18"/>
      <c r="F20683" s="18"/>
    </row>
    <row r="20684" spans="5:6" ht="15" customHeight="1" x14ac:dyDescent="0.2">
      <c r="E20684" s="18"/>
      <c r="F20684" s="18"/>
    </row>
    <row r="20685" spans="5:6" ht="15" customHeight="1" x14ac:dyDescent="0.2">
      <c r="E20685" s="18"/>
      <c r="F20685" s="18"/>
    </row>
    <row r="20686" spans="5:6" ht="15" customHeight="1" x14ac:dyDescent="0.2">
      <c r="E20686" s="18"/>
      <c r="F20686" s="18"/>
    </row>
    <row r="20687" spans="5:6" ht="15" customHeight="1" x14ac:dyDescent="0.2">
      <c r="E20687" s="18"/>
      <c r="F20687" s="18"/>
    </row>
    <row r="20688" spans="5:6" ht="15" customHeight="1" x14ac:dyDescent="0.2">
      <c r="E20688" s="18"/>
      <c r="F20688" s="18"/>
    </row>
    <row r="20689" spans="5:6" ht="15" customHeight="1" x14ac:dyDescent="0.2">
      <c r="E20689" s="18"/>
      <c r="F20689" s="18"/>
    </row>
    <row r="20690" spans="5:6" ht="15" customHeight="1" x14ac:dyDescent="0.2">
      <c r="E20690" s="18"/>
      <c r="F20690" s="18"/>
    </row>
    <row r="20691" spans="5:6" ht="15" customHeight="1" x14ac:dyDescent="0.2">
      <c r="E20691" s="18"/>
      <c r="F20691" s="18"/>
    </row>
    <row r="20692" spans="5:6" ht="15" customHeight="1" x14ac:dyDescent="0.2">
      <c r="E20692" s="18"/>
      <c r="F20692" s="18"/>
    </row>
    <row r="20693" spans="5:6" ht="15" customHeight="1" x14ac:dyDescent="0.2">
      <c r="E20693" s="18"/>
      <c r="F20693" s="18"/>
    </row>
    <row r="20694" spans="5:6" ht="15" customHeight="1" x14ac:dyDescent="0.2">
      <c r="E20694" s="18"/>
      <c r="F20694" s="18"/>
    </row>
    <row r="20695" spans="5:6" ht="15" customHeight="1" x14ac:dyDescent="0.2">
      <c r="E20695" s="18"/>
      <c r="F20695" s="18"/>
    </row>
    <row r="20696" spans="5:6" ht="15" customHeight="1" x14ac:dyDescent="0.2">
      <c r="E20696" s="18"/>
      <c r="F20696" s="18"/>
    </row>
    <row r="20697" spans="5:6" ht="15" customHeight="1" x14ac:dyDescent="0.2">
      <c r="E20697" s="18"/>
      <c r="F20697" s="18"/>
    </row>
    <row r="20698" spans="5:6" ht="15" customHeight="1" x14ac:dyDescent="0.2">
      <c r="E20698" s="18"/>
      <c r="F20698" s="18"/>
    </row>
    <row r="20699" spans="5:6" ht="15" customHeight="1" x14ac:dyDescent="0.2">
      <c r="E20699" s="18"/>
      <c r="F20699" s="18"/>
    </row>
    <row r="20700" spans="5:6" ht="15" customHeight="1" x14ac:dyDescent="0.2">
      <c r="E20700" s="18"/>
      <c r="F20700" s="18"/>
    </row>
    <row r="20701" spans="5:6" ht="15" customHeight="1" x14ac:dyDescent="0.2">
      <c r="E20701" s="18"/>
      <c r="F20701" s="18"/>
    </row>
    <row r="20702" spans="5:6" ht="15" customHeight="1" x14ac:dyDescent="0.2">
      <c r="E20702" s="18"/>
      <c r="F20702" s="18"/>
    </row>
    <row r="20703" spans="5:6" ht="15" customHeight="1" x14ac:dyDescent="0.2">
      <c r="E20703" s="18"/>
      <c r="F20703" s="18"/>
    </row>
    <row r="20704" spans="5:6" ht="15" customHeight="1" x14ac:dyDescent="0.2">
      <c r="E20704" s="18"/>
      <c r="F20704" s="18"/>
    </row>
    <row r="20705" spans="5:6" ht="15" customHeight="1" x14ac:dyDescent="0.2">
      <c r="E20705" s="18"/>
      <c r="F20705" s="18"/>
    </row>
    <row r="20706" spans="5:6" ht="15" customHeight="1" x14ac:dyDescent="0.2">
      <c r="E20706" s="18"/>
      <c r="F20706" s="18"/>
    </row>
    <row r="20707" spans="5:6" ht="15" customHeight="1" x14ac:dyDescent="0.2">
      <c r="E20707" s="18"/>
      <c r="F20707" s="18"/>
    </row>
    <row r="20708" spans="5:6" ht="15" customHeight="1" x14ac:dyDescent="0.2">
      <c r="E20708" s="18"/>
      <c r="F20708" s="18"/>
    </row>
    <row r="20709" spans="5:6" ht="15" customHeight="1" x14ac:dyDescent="0.2">
      <c r="E20709" s="18"/>
      <c r="F20709" s="18"/>
    </row>
    <row r="20710" spans="5:6" ht="15" customHeight="1" x14ac:dyDescent="0.2">
      <c r="E20710" s="18"/>
      <c r="F20710" s="18"/>
    </row>
    <row r="20711" spans="5:6" ht="15" customHeight="1" x14ac:dyDescent="0.2">
      <c r="E20711" s="18"/>
      <c r="F20711" s="18"/>
    </row>
    <row r="20712" spans="5:6" ht="15" customHeight="1" x14ac:dyDescent="0.2">
      <c r="E20712" s="18"/>
      <c r="F20712" s="18"/>
    </row>
    <row r="20713" spans="5:6" ht="15" customHeight="1" x14ac:dyDescent="0.2">
      <c r="E20713" s="18"/>
      <c r="F20713" s="18"/>
    </row>
    <row r="20714" spans="5:6" ht="15" customHeight="1" x14ac:dyDescent="0.2">
      <c r="E20714" s="18"/>
      <c r="F20714" s="18"/>
    </row>
    <row r="20715" spans="5:6" ht="15" customHeight="1" x14ac:dyDescent="0.2">
      <c r="E20715" s="18"/>
      <c r="F20715" s="18"/>
    </row>
    <row r="20716" spans="5:6" ht="15" customHeight="1" x14ac:dyDescent="0.2">
      <c r="E20716" s="18"/>
      <c r="F20716" s="18"/>
    </row>
    <row r="20717" spans="5:6" ht="15" customHeight="1" x14ac:dyDescent="0.2">
      <c r="E20717" s="18"/>
      <c r="F20717" s="18"/>
    </row>
    <row r="20718" spans="5:6" ht="15" customHeight="1" x14ac:dyDescent="0.2">
      <c r="E20718" s="18"/>
      <c r="F20718" s="18"/>
    </row>
    <row r="20719" spans="5:6" ht="15" customHeight="1" x14ac:dyDescent="0.2">
      <c r="E20719" s="18"/>
      <c r="F20719" s="18"/>
    </row>
    <row r="20720" spans="5:6" ht="15" customHeight="1" x14ac:dyDescent="0.2">
      <c r="E20720" s="18"/>
      <c r="F20720" s="18"/>
    </row>
    <row r="20721" spans="5:6" ht="15" customHeight="1" x14ac:dyDescent="0.2">
      <c r="E20721" s="18"/>
      <c r="F20721" s="18"/>
    </row>
    <row r="20722" spans="5:6" ht="15" customHeight="1" x14ac:dyDescent="0.2">
      <c r="E20722" s="18"/>
      <c r="F20722" s="18"/>
    </row>
    <row r="20723" spans="5:6" ht="15" customHeight="1" x14ac:dyDescent="0.2">
      <c r="E20723" s="18"/>
      <c r="F20723" s="18"/>
    </row>
    <row r="20724" spans="5:6" ht="15" customHeight="1" x14ac:dyDescent="0.2">
      <c r="E20724" s="18"/>
      <c r="F20724" s="18"/>
    </row>
    <row r="20725" spans="5:6" ht="15" customHeight="1" x14ac:dyDescent="0.2">
      <c r="E20725" s="18"/>
      <c r="F20725" s="18"/>
    </row>
    <row r="20726" spans="5:6" ht="15" customHeight="1" x14ac:dyDescent="0.2">
      <c r="E20726" s="18"/>
      <c r="F20726" s="18"/>
    </row>
    <row r="20727" spans="5:6" ht="15" customHeight="1" x14ac:dyDescent="0.2">
      <c r="E20727" s="18"/>
      <c r="F20727" s="18"/>
    </row>
    <row r="20728" spans="5:6" ht="15" customHeight="1" x14ac:dyDescent="0.2">
      <c r="E20728" s="18"/>
      <c r="F20728" s="18"/>
    </row>
    <row r="20729" spans="5:6" ht="15" customHeight="1" x14ac:dyDescent="0.2">
      <c r="E20729" s="18"/>
      <c r="F20729" s="18"/>
    </row>
    <row r="20730" spans="5:6" ht="15" customHeight="1" x14ac:dyDescent="0.2">
      <c r="E20730" s="18"/>
      <c r="F20730" s="18"/>
    </row>
    <row r="20731" spans="5:6" ht="15" customHeight="1" x14ac:dyDescent="0.2">
      <c r="E20731" s="18"/>
      <c r="F20731" s="18"/>
    </row>
    <row r="20732" spans="5:6" ht="15" customHeight="1" x14ac:dyDescent="0.2">
      <c r="E20732" s="18"/>
      <c r="F20732" s="18"/>
    </row>
    <row r="20733" spans="5:6" ht="15" customHeight="1" x14ac:dyDescent="0.2">
      <c r="E20733" s="18"/>
      <c r="F20733" s="18"/>
    </row>
    <row r="20734" spans="5:6" ht="15" customHeight="1" x14ac:dyDescent="0.2">
      <c r="E20734" s="18"/>
      <c r="F20734" s="18"/>
    </row>
    <row r="20735" spans="5:6" ht="15" customHeight="1" x14ac:dyDescent="0.2">
      <c r="E20735" s="18"/>
      <c r="F20735" s="18"/>
    </row>
    <row r="20736" spans="5:6" ht="15" customHeight="1" x14ac:dyDescent="0.2">
      <c r="E20736" s="18"/>
      <c r="F20736" s="18"/>
    </row>
    <row r="20737" spans="5:6" ht="15" customHeight="1" x14ac:dyDescent="0.2">
      <c r="E20737" s="18"/>
      <c r="F20737" s="18"/>
    </row>
    <row r="20738" spans="5:6" ht="15" customHeight="1" x14ac:dyDescent="0.2">
      <c r="E20738" s="18"/>
      <c r="F20738" s="18"/>
    </row>
    <row r="20739" spans="5:6" ht="15" customHeight="1" x14ac:dyDescent="0.2">
      <c r="E20739" s="18"/>
      <c r="F20739" s="18"/>
    </row>
    <row r="20740" spans="5:6" ht="15" customHeight="1" x14ac:dyDescent="0.2">
      <c r="E20740" s="18"/>
      <c r="F20740" s="18"/>
    </row>
    <row r="20741" spans="5:6" ht="15" customHeight="1" x14ac:dyDescent="0.2">
      <c r="E20741" s="18"/>
      <c r="F20741" s="18"/>
    </row>
    <row r="20742" spans="5:6" ht="15" customHeight="1" x14ac:dyDescent="0.2">
      <c r="E20742" s="18"/>
      <c r="F20742" s="18"/>
    </row>
    <row r="20743" spans="5:6" ht="15" customHeight="1" x14ac:dyDescent="0.2">
      <c r="E20743" s="18"/>
      <c r="F20743" s="18"/>
    </row>
    <row r="20744" spans="5:6" ht="15" customHeight="1" x14ac:dyDescent="0.2">
      <c r="E20744" s="18"/>
      <c r="F20744" s="18"/>
    </row>
    <row r="20745" spans="5:6" ht="15" customHeight="1" x14ac:dyDescent="0.2">
      <c r="E20745" s="18"/>
      <c r="F20745" s="18"/>
    </row>
    <row r="20746" spans="5:6" ht="15" customHeight="1" x14ac:dyDescent="0.2">
      <c r="E20746" s="18"/>
      <c r="F20746" s="18"/>
    </row>
    <row r="20747" spans="5:6" ht="15" customHeight="1" x14ac:dyDescent="0.2">
      <c r="E20747" s="18"/>
      <c r="F20747" s="18"/>
    </row>
    <row r="20748" spans="5:6" ht="15" customHeight="1" x14ac:dyDescent="0.2">
      <c r="E20748" s="18"/>
      <c r="F20748" s="18"/>
    </row>
    <row r="20749" spans="5:6" ht="15" customHeight="1" x14ac:dyDescent="0.2">
      <c r="E20749" s="18"/>
      <c r="F20749" s="18"/>
    </row>
    <row r="20750" spans="5:6" ht="15" customHeight="1" x14ac:dyDescent="0.2">
      <c r="E20750" s="18"/>
      <c r="F20750" s="18"/>
    </row>
    <row r="20751" spans="5:6" ht="15" customHeight="1" x14ac:dyDescent="0.2">
      <c r="E20751" s="18"/>
      <c r="F20751" s="18"/>
    </row>
    <row r="20752" spans="5:6" ht="15" customHeight="1" x14ac:dyDescent="0.2">
      <c r="E20752" s="18"/>
      <c r="F20752" s="18"/>
    </row>
    <row r="20753" spans="5:6" ht="15" customHeight="1" x14ac:dyDescent="0.2">
      <c r="E20753" s="18"/>
      <c r="F20753" s="18"/>
    </row>
    <row r="20754" spans="5:6" ht="15" customHeight="1" x14ac:dyDescent="0.2">
      <c r="E20754" s="18"/>
      <c r="F20754" s="18"/>
    </row>
    <row r="20755" spans="5:6" ht="15" customHeight="1" x14ac:dyDescent="0.2">
      <c r="E20755" s="18"/>
      <c r="F20755" s="18"/>
    </row>
    <row r="20756" spans="5:6" ht="15" customHeight="1" x14ac:dyDescent="0.2">
      <c r="E20756" s="18"/>
      <c r="F20756" s="18"/>
    </row>
    <row r="20757" spans="5:6" ht="15" customHeight="1" x14ac:dyDescent="0.2">
      <c r="E20757" s="18"/>
      <c r="F20757" s="18"/>
    </row>
    <row r="20758" spans="5:6" ht="15" customHeight="1" x14ac:dyDescent="0.2">
      <c r="E20758" s="18"/>
      <c r="F20758" s="18"/>
    </row>
    <row r="20759" spans="5:6" ht="15" customHeight="1" x14ac:dyDescent="0.2">
      <c r="E20759" s="18"/>
      <c r="F20759" s="18"/>
    </row>
    <row r="20760" spans="5:6" ht="15" customHeight="1" x14ac:dyDescent="0.2">
      <c r="E20760" s="18"/>
      <c r="F20760" s="18"/>
    </row>
    <row r="20761" spans="5:6" ht="15" customHeight="1" x14ac:dyDescent="0.2">
      <c r="E20761" s="18"/>
      <c r="F20761" s="18"/>
    </row>
    <row r="20762" spans="5:6" ht="15" customHeight="1" x14ac:dyDescent="0.2">
      <c r="E20762" s="18"/>
      <c r="F20762" s="18"/>
    </row>
    <row r="20763" spans="5:6" ht="15" customHeight="1" x14ac:dyDescent="0.2">
      <c r="E20763" s="18"/>
      <c r="F20763" s="18"/>
    </row>
    <row r="20764" spans="5:6" ht="15" customHeight="1" x14ac:dyDescent="0.2">
      <c r="E20764" s="18"/>
      <c r="F20764" s="18"/>
    </row>
    <row r="20765" spans="5:6" ht="15" customHeight="1" x14ac:dyDescent="0.2">
      <c r="E20765" s="18"/>
      <c r="F20765" s="18"/>
    </row>
    <row r="20766" spans="5:6" ht="15" customHeight="1" x14ac:dyDescent="0.2">
      <c r="E20766" s="18"/>
      <c r="F20766" s="18"/>
    </row>
    <row r="20767" spans="5:6" ht="15" customHeight="1" x14ac:dyDescent="0.2">
      <c r="E20767" s="18"/>
      <c r="F20767" s="18"/>
    </row>
    <row r="20768" spans="5:6" ht="15" customHeight="1" x14ac:dyDescent="0.2">
      <c r="E20768" s="18"/>
      <c r="F20768" s="18"/>
    </row>
    <row r="20769" spans="5:6" ht="15" customHeight="1" x14ac:dyDescent="0.2">
      <c r="E20769" s="18"/>
      <c r="F20769" s="18"/>
    </row>
    <row r="20770" spans="5:6" ht="15" customHeight="1" x14ac:dyDescent="0.2">
      <c r="E20770" s="18"/>
      <c r="F20770" s="18"/>
    </row>
    <row r="20771" spans="5:6" ht="15" customHeight="1" x14ac:dyDescent="0.2">
      <c r="E20771" s="18"/>
      <c r="F20771" s="18"/>
    </row>
    <row r="20772" spans="5:6" ht="15" customHeight="1" x14ac:dyDescent="0.2">
      <c r="E20772" s="18"/>
      <c r="F20772" s="18"/>
    </row>
    <row r="20773" spans="5:6" ht="15" customHeight="1" x14ac:dyDescent="0.2">
      <c r="E20773" s="18"/>
      <c r="F20773" s="18"/>
    </row>
    <row r="20774" spans="5:6" ht="15" customHeight="1" x14ac:dyDescent="0.2">
      <c r="E20774" s="18"/>
      <c r="F20774" s="18"/>
    </row>
    <row r="20775" spans="5:6" ht="15" customHeight="1" x14ac:dyDescent="0.2">
      <c r="E20775" s="18"/>
      <c r="F20775" s="18"/>
    </row>
    <row r="20776" spans="5:6" ht="15" customHeight="1" x14ac:dyDescent="0.2">
      <c r="E20776" s="18"/>
      <c r="F20776" s="18"/>
    </row>
    <row r="20777" spans="5:6" ht="15" customHeight="1" x14ac:dyDescent="0.2">
      <c r="E20777" s="18"/>
      <c r="F20777" s="18"/>
    </row>
    <row r="20778" spans="5:6" ht="15" customHeight="1" x14ac:dyDescent="0.2">
      <c r="E20778" s="18"/>
      <c r="F20778" s="18"/>
    </row>
    <row r="20779" spans="5:6" ht="15" customHeight="1" x14ac:dyDescent="0.2">
      <c r="E20779" s="18"/>
      <c r="F20779" s="18"/>
    </row>
    <row r="20780" spans="5:6" ht="15" customHeight="1" x14ac:dyDescent="0.2">
      <c r="E20780" s="18"/>
      <c r="F20780" s="18"/>
    </row>
    <row r="20781" spans="5:6" ht="15" customHeight="1" x14ac:dyDescent="0.2">
      <c r="E20781" s="18"/>
      <c r="F20781" s="18"/>
    </row>
    <row r="20782" spans="5:6" ht="15" customHeight="1" x14ac:dyDescent="0.2">
      <c r="E20782" s="18"/>
      <c r="F20782" s="18"/>
    </row>
    <row r="20783" spans="5:6" ht="15" customHeight="1" x14ac:dyDescent="0.2">
      <c r="E20783" s="18"/>
      <c r="F20783" s="18"/>
    </row>
    <row r="20784" spans="5:6" ht="15" customHeight="1" x14ac:dyDescent="0.2">
      <c r="E20784" s="18"/>
      <c r="F20784" s="18"/>
    </row>
    <row r="20785" spans="5:6" ht="15" customHeight="1" x14ac:dyDescent="0.2">
      <c r="E20785" s="18"/>
      <c r="F20785" s="18"/>
    </row>
    <row r="20786" spans="5:6" ht="15" customHeight="1" x14ac:dyDescent="0.2">
      <c r="E20786" s="18"/>
      <c r="F20786" s="18"/>
    </row>
    <row r="20787" spans="5:6" ht="15" customHeight="1" x14ac:dyDescent="0.2">
      <c r="E20787" s="18"/>
      <c r="F20787" s="18"/>
    </row>
    <row r="20788" spans="5:6" ht="15" customHeight="1" x14ac:dyDescent="0.2">
      <c r="E20788" s="18"/>
      <c r="F20788" s="18"/>
    </row>
    <row r="20789" spans="5:6" ht="15" customHeight="1" x14ac:dyDescent="0.2">
      <c r="E20789" s="18"/>
      <c r="F20789" s="18"/>
    </row>
    <row r="20790" spans="5:6" ht="15" customHeight="1" x14ac:dyDescent="0.2">
      <c r="E20790" s="18"/>
      <c r="F20790" s="18"/>
    </row>
    <row r="20791" spans="5:6" ht="15" customHeight="1" x14ac:dyDescent="0.2">
      <c r="E20791" s="18"/>
      <c r="F20791" s="18"/>
    </row>
    <row r="20792" spans="5:6" ht="15" customHeight="1" x14ac:dyDescent="0.2">
      <c r="E20792" s="18"/>
      <c r="F20792" s="18"/>
    </row>
    <row r="20793" spans="5:6" ht="15" customHeight="1" x14ac:dyDescent="0.2">
      <c r="E20793" s="18"/>
      <c r="F20793" s="18"/>
    </row>
    <row r="20794" spans="5:6" ht="15" customHeight="1" x14ac:dyDescent="0.2">
      <c r="E20794" s="18"/>
      <c r="F20794" s="18"/>
    </row>
    <row r="20795" spans="5:6" ht="15" customHeight="1" x14ac:dyDescent="0.2">
      <c r="E20795" s="18"/>
      <c r="F20795" s="18"/>
    </row>
    <row r="20796" spans="5:6" ht="15" customHeight="1" x14ac:dyDescent="0.2">
      <c r="E20796" s="18"/>
      <c r="F20796" s="18"/>
    </row>
    <row r="20797" spans="5:6" ht="15" customHeight="1" x14ac:dyDescent="0.2">
      <c r="E20797" s="18"/>
      <c r="F20797" s="18"/>
    </row>
    <row r="20798" spans="5:6" ht="15" customHeight="1" x14ac:dyDescent="0.2">
      <c r="E20798" s="18"/>
      <c r="F20798" s="18"/>
    </row>
    <row r="20799" spans="5:6" ht="15" customHeight="1" x14ac:dyDescent="0.2">
      <c r="E20799" s="18"/>
      <c r="F20799" s="18"/>
    </row>
    <row r="20800" spans="5:6" ht="15" customHeight="1" x14ac:dyDescent="0.2">
      <c r="E20800" s="18"/>
      <c r="F20800" s="18"/>
    </row>
    <row r="20801" spans="5:6" ht="15" customHeight="1" x14ac:dyDescent="0.2">
      <c r="E20801" s="18"/>
      <c r="F20801" s="18"/>
    </row>
    <row r="20802" spans="5:6" ht="15" customHeight="1" x14ac:dyDescent="0.2">
      <c r="E20802" s="18"/>
      <c r="F20802" s="18"/>
    </row>
    <row r="20803" spans="5:6" ht="15" customHeight="1" x14ac:dyDescent="0.2">
      <c r="E20803" s="18"/>
      <c r="F20803" s="18"/>
    </row>
    <row r="20804" spans="5:6" ht="15" customHeight="1" x14ac:dyDescent="0.2">
      <c r="E20804" s="18"/>
      <c r="F20804" s="18"/>
    </row>
    <row r="20805" spans="5:6" ht="15" customHeight="1" x14ac:dyDescent="0.2">
      <c r="E20805" s="18"/>
      <c r="F20805" s="18"/>
    </row>
    <row r="20806" spans="5:6" ht="15" customHeight="1" x14ac:dyDescent="0.2">
      <c r="E20806" s="18"/>
      <c r="F20806" s="18"/>
    </row>
    <row r="20807" spans="5:6" ht="15" customHeight="1" x14ac:dyDescent="0.2">
      <c r="E20807" s="18"/>
      <c r="F20807" s="18"/>
    </row>
    <row r="20808" spans="5:6" ht="15" customHeight="1" x14ac:dyDescent="0.2">
      <c r="E20808" s="18"/>
      <c r="F20808" s="18"/>
    </row>
    <row r="20809" spans="5:6" ht="15" customHeight="1" x14ac:dyDescent="0.2">
      <c r="E20809" s="18"/>
      <c r="F20809" s="18"/>
    </row>
    <row r="20810" spans="5:6" ht="15" customHeight="1" x14ac:dyDescent="0.2">
      <c r="E20810" s="18"/>
      <c r="F20810" s="18"/>
    </row>
    <row r="20811" spans="5:6" ht="15" customHeight="1" x14ac:dyDescent="0.2">
      <c r="E20811" s="18"/>
      <c r="F20811" s="18"/>
    </row>
    <row r="20812" spans="5:6" ht="15" customHeight="1" x14ac:dyDescent="0.2">
      <c r="E20812" s="18"/>
      <c r="F20812" s="18"/>
    </row>
    <row r="20813" spans="5:6" ht="15" customHeight="1" x14ac:dyDescent="0.2">
      <c r="E20813" s="18"/>
      <c r="F20813" s="18"/>
    </row>
    <row r="20814" spans="5:6" ht="15" customHeight="1" x14ac:dyDescent="0.2">
      <c r="E20814" s="18"/>
      <c r="F20814" s="18"/>
    </row>
    <row r="20815" spans="5:6" ht="15" customHeight="1" x14ac:dyDescent="0.2">
      <c r="E20815" s="18"/>
      <c r="F20815" s="18"/>
    </row>
    <row r="20816" spans="5:6" ht="15" customHeight="1" x14ac:dyDescent="0.2">
      <c r="E20816" s="18"/>
      <c r="F20816" s="18"/>
    </row>
    <row r="20817" spans="5:6" ht="15" customHeight="1" x14ac:dyDescent="0.2">
      <c r="E20817" s="18"/>
      <c r="F20817" s="18"/>
    </row>
    <row r="20818" spans="5:6" ht="15" customHeight="1" x14ac:dyDescent="0.2">
      <c r="E20818" s="18"/>
      <c r="F20818" s="18"/>
    </row>
    <row r="20819" spans="5:6" ht="15" customHeight="1" x14ac:dyDescent="0.2">
      <c r="E20819" s="18"/>
      <c r="F20819" s="18"/>
    </row>
    <row r="20820" spans="5:6" ht="15" customHeight="1" x14ac:dyDescent="0.2">
      <c r="E20820" s="18"/>
      <c r="F20820" s="18"/>
    </row>
    <row r="20821" spans="5:6" ht="15" customHeight="1" x14ac:dyDescent="0.2">
      <c r="E20821" s="18"/>
      <c r="F20821" s="18"/>
    </row>
    <row r="20822" spans="5:6" ht="15" customHeight="1" x14ac:dyDescent="0.2">
      <c r="E20822" s="18"/>
      <c r="F20822" s="18"/>
    </row>
    <row r="20823" spans="5:6" ht="15" customHeight="1" x14ac:dyDescent="0.2">
      <c r="E20823" s="18"/>
      <c r="F20823" s="18"/>
    </row>
    <row r="20824" spans="5:6" ht="15" customHeight="1" x14ac:dyDescent="0.2">
      <c r="E20824" s="18"/>
      <c r="F20824" s="18"/>
    </row>
    <row r="20825" spans="5:6" ht="15" customHeight="1" x14ac:dyDescent="0.2">
      <c r="E20825" s="18"/>
      <c r="F20825" s="18"/>
    </row>
    <row r="20826" spans="5:6" ht="15" customHeight="1" x14ac:dyDescent="0.2">
      <c r="E20826" s="18"/>
      <c r="F20826" s="18"/>
    </row>
    <row r="20827" spans="5:6" ht="15" customHeight="1" x14ac:dyDescent="0.2">
      <c r="E20827" s="18"/>
      <c r="F20827" s="18"/>
    </row>
    <row r="20828" spans="5:6" ht="15" customHeight="1" x14ac:dyDescent="0.2">
      <c r="E20828" s="18"/>
      <c r="F20828" s="18"/>
    </row>
    <row r="20829" spans="5:6" ht="15" customHeight="1" x14ac:dyDescent="0.2">
      <c r="E20829" s="18"/>
      <c r="F20829" s="18"/>
    </row>
    <row r="20830" spans="5:6" ht="15" customHeight="1" x14ac:dyDescent="0.2">
      <c r="E20830" s="18"/>
      <c r="F20830" s="18"/>
    </row>
    <row r="20831" spans="5:6" ht="15" customHeight="1" x14ac:dyDescent="0.2">
      <c r="E20831" s="18"/>
      <c r="F20831" s="18"/>
    </row>
    <row r="20832" spans="5:6" ht="15" customHeight="1" x14ac:dyDescent="0.2">
      <c r="E20832" s="18"/>
      <c r="F20832" s="18"/>
    </row>
    <row r="20833" spans="5:6" ht="15" customHeight="1" x14ac:dyDescent="0.2">
      <c r="E20833" s="18"/>
      <c r="F20833" s="18"/>
    </row>
    <row r="20834" spans="5:6" ht="15" customHeight="1" x14ac:dyDescent="0.2">
      <c r="E20834" s="18"/>
      <c r="F20834" s="18"/>
    </row>
    <row r="20835" spans="5:6" ht="15" customHeight="1" x14ac:dyDescent="0.2">
      <c r="E20835" s="18"/>
      <c r="F20835" s="18"/>
    </row>
    <row r="20836" spans="5:6" ht="15" customHeight="1" x14ac:dyDescent="0.2">
      <c r="E20836" s="18"/>
      <c r="F20836" s="18"/>
    </row>
    <row r="20837" spans="5:6" ht="15" customHeight="1" x14ac:dyDescent="0.2">
      <c r="E20837" s="18"/>
      <c r="F20837" s="18"/>
    </row>
    <row r="20838" spans="5:6" ht="15" customHeight="1" x14ac:dyDescent="0.2">
      <c r="E20838" s="18"/>
      <c r="F20838" s="18"/>
    </row>
    <row r="20839" spans="5:6" ht="15" customHeight="1" x14ac:dyDescent="0.2">
      <c r="E20839" s="18"/>
      <c r="F20839" s="18"/>
    </row>
    <row r="20840" spans="5:6" ht="15" customHeight="1" x14ac:dyDescent="0.2">
      <c r="E20840" s="18"/>
      <c r="F20840" s="18"/>
    </row>
    <row r="20841" spans="5:6" ht="15" customHeight="1" x14ac:dyDescent="0.2">
      <c r="E20841" s="18"/>
      <c r="F20841" s="18"/>
    </row>
    <row r="20842" spans="5:6" ht="15" customHeight="1" x14ac:dyDescent="0.2">
      <c r="E20842" s="18"/>
      <c r="F20842" s="18"/>
    </row>
    <row r="20843" spans="5:6" ht="15" customHeight="1" x14ac:dyDescent="0.2">
      <c r="E20843" s="18"/>
      <c r="F20843" s="18"/>
    </row>
    <row r="20844" spans="5:6" ht="15" customHeight="1" x14ac:dyDescent="0.2">
      <c r="E20844" s="18"/>
      <c r="F20844" s="18"/>
    </row>
    <row r="20845" spans="5:6" ht="15" customHeight="1" x14ac:dyDescent="0.2">
      <c r="E20845" s="18"/>
      <c r="F20845" s="18"/>
    </row>
    <row r="20846" spans="5:6" ht="15" customHeight="1" x14ac:dyDescent="0.2">
      <c r="E20846" s="18"/>
      <c r="F20846" s="18"/>
    </row>
    <row r="20847" spans="5:6" ht="15" customHeight="1" x14ac:dyDescent="0.2">
      <c r="E20847" s="18"/>
      <c r="F20847" s="18"/>
    </row>
    <row r="20848" spans="5:6" ht="15" customHeight="1" x14ac:dyDescent="0.2">
      <c r="E20848" s="18"/>
      <c r="F20848" s="18"/>
    </row>
    <row r="20849" spans="5:6" ht="15" customHeight="1" x14ac:dyDescent="0.2">
      <c r="E20849" s="18"/>
      <c r="F20849" s="18"/>
    </row>
    <row r="20850" spans="5:6" ht="15" customHeight="1" x14ac:dyDescent="0.2">
      <c r="E20850" s="18"/>
      <c r="F20850" s="18"/>
    </row>
    <row r="20851" spans="5:6" ht="15" customHeight="1" x14ac:dyDescent="0.2">
      <c r="E20851" s="18"/>
      <c r="F20851" s="18"/>
    </row>
    <row r="20852" spans="5:6" ht="15" customHeight="1" x14ac:dyDescent="0.2">
      <c r="E20852" s="18"/>
      <c r="F20852" s="18"/>
    </row>
    <row r="20853" spans="5:6" ht="15" customHeight="1" x14ac:dyDescent="0.2">
      <c r="E20853" s="18"/>
      <c r="F20853" s="18"/>
    </row>
    <row r="20854" spans="5:6" ht="15" customHeight="1" x14ac:dyDescent="0.2">
      <c r="E20854" s="18"/>
      <c r="F20854" s="18"/>
    </row>
    <row r="20855" spans="5:6" ht="15" customHeight="1" x14ac:dyDescent="0.2">
      <c r="E20855" s="18"/>
      <c r="F20855" s="18"/>
    </row>
    <row r="20856" spans="5:6" ht="15" customHeight="1" x14ac:dyDescent="0.2">
      <c r="E20856" s="18"/>
      <c r="F20856" s="18"/>
    </row>
    <row r="20857" spans="5:6" ht="15" customHeight="1" x14ac:dyDescent="0.2">
      <c r="E20857" s="18"/>
      <c r="F20857" s="18"/>
    </row>
    <row r="20858" spans="5:6" ht="15" customHeight="1" x14ac:dyDescent="0.2">
      <c r="E20858" s="18"/>
      <c r="F20858" s="18"/>
    </row>
    <row r="20859" spans="5:6" ht="15" customHeight="1" x14ac:dyDescent="0.2">
      <c r="E20859" s="18"/>
      <c r="F20859" s="18"/>
    </row>
    <row r="20860" spans="5:6" ht="15" customHeight="1" x14ac:dyDescent="0.2">
      <c r="E20860" s="18"/>
      <c r="F20860" s="18"/>
    </row>
    <row r="20861" spans="5:6" ht="15" customHeight="1" x14ac:dyDescent="0.2">
      <c r="E20861" s="18"/>
      <c r="F20861" s="18"/>
    </row>
    <row r="20862" spans="5:6" ht="15" customHeight="1" x14ac:dyDescent="0.2">
      <c r="E20862" s="18"/>
      <c r="F20862" s="18"/>
    </row>
    <row r="20863" spans="5:6" ht="15" customHeight="1" x14ac:dyDescent="0.2">
      <c r="E20863" s="18"/>
      <c r="F20863" s="18"/>
    </row>
    <row r="20864" spans="5:6" ht="15" customHeight="1" x14ac:dyDescent="0.2">
      <c r="E20864" s="18"/>
      <c r="F20864" s="18"/>
    </row>
    <row r="20865" spans="5:6" ht="15" customHeight="1" x14ac:dyDescent="0.2">
      <c r="E20865" s="18"/>
      <c r="F20865" s="18"/>
    </row>
    <row r="20866" spans="5:6" ht="15" customHeight="1" x14ac:dyDescent="0.2">
      <c r="E20866" s="18"/>
      <c r="F20866" s="18"/>
    </row>
    <row r="20867" spans="5:6" ht="15" customHeight="1" x14ac:dyDescent="0.2">
      <c r="E20867" s="18"/>
      <c r="F20867" s="18"/>
    </row>
    <row r="20868" spans="5:6" ht="15" customHeight="1" x14ac:dyDescent="0.2">
      <c r="E20868" s="18"/>
      <c r="F20868" s="18"/>
    </row>
    <row r="20869" spans="5:6" ht="15" customHeight="1" x14ac:dyDescent="0.2">
      <c r="E20869" s="18"/>
      <c r="F20869" s="18"/>
    </row>
    <row r="20870" spans="5:6" ht="15" customHeight="1" x14ac:dyDescent="0.2">
      <c r="E20870" s="18"/>
      <c r="F20870" s="18"/>
    </row>
    <row r="20871" spans="5:6" ht="15" customHeight="1" x14ac:dyDescent="0.2">
      <c r="E20871" s="18"/>
      <c r="F20871" s="18"/>
    </row>
    <row r="20872" spans="5:6" ht="15" customHeight="1" x14ac:dyDescent="0.2">
      <c r="E20872" s="18"/>
      <c r="F20872" s="18"/>
    </row>
    <row r="20873" spans="5:6" ht="15" customHeight="1" x14ac:dyDescent="0.2">
      <c r="E20873" s="18"/>
      <c r="F20873" s="18"/>
    </row>
    <row r="20874" spans="5:6" ht="15" customHeight="1" x14ac:dyDescent="0.2">
      <c r="E20874" s="18"/>
      <c r="F20874" s="18"/>
    </row>
    <row r="20875" spans="5:6" ht="15" customHeight="1" x14ac:dyDescent="0.2">
      <c r="E20875" s="18"/>
      <c r="F20875" s="18"/>
    </row>
    <row r="20876" spans="5:6" ht="15" customHeight="1" x14ac:dyDescent="0.2">
      <c r="E20876" s="18"/>
      <c r="F20876" s="18"/>
    </row>
    <row r="20877" spans="5:6" ht="15" customHeight="1" x14ac:dyDescent="0.2">
      <c r="E20877" s="18"/>
      <c r="F20877" s="18"/>
    </row>
    <row r="20878" spans="5:6" ht="15" customHeight="1" x14ac:dyDescent="0.2">
      <c r="E20878" s="18"/>
      <c r="F20878" s="18"/>
    </row>
    <row r="20879" spans="5:6" ht="15" customHeight="1" x14ac:dyDescent="0.2">
      <c r="E20879" s="18"/>
      <c r="F20879" s="18"/>
    </row>
    <row r="20880" spans="5:6" ht="15" customHeight="1" x14ac:dyDescent="0.2">
      <c r="E20880" s="18"/>
      <c r="F20880" s="18"/>
    </row>
    <row r="20881" spans="5:6" ht="15" customHeight="1" x14ac:dyDescent="0.2">
      <c r="E20881" s="18"/>
      <c r="F20881" s="18"/>
    </row>
    <row r="20882" spans="5:6" ht="15" customHeight="1" x14ac:dyDescent="0.2">
      <c r="E20882" s="18"/>
      <c r="F20882" s="18"/>
    </row>
    <row r="20883" spans="5:6" ht="15" customHeight="1" x14ac:dyDescent="0.2">
      <c r="E20883" s="18"/>
      <c r="F20883" s="18"/>
    </row>
    <row r="20884" spans="5:6" ht="15" customHeight="1" x14ac:dyDescent="0.2">
      <c r="E20884" s="18"/>
      <c r="F20884" s="18"/>
    </row>
    <row r="20885" spans="5:6" ht="15" customHeight="1" x14ac:dyDescent="0.2">
      <c r="E20885" s="18"/>
      <c r="F20885" s="18"/>
    </row>
    <row r="20886" spans="5:6" ht="15" customHeight="1" x14ac:dyDescent="0.2">
      <c r="E20886" s="18"/>
      <c r="F20886" s="18"/>
    </row>
    <row r="20887" spans="5:6" ht="15" customHeight="1" x14ac:dyDescent="0.2">
      <c r="E20887" s="18"/>
      <c r="F20887" s="18"/>
    </row>
    <row r="20888" spans="5:6" ht="15" customHeight="1" x14ac:dyDescent="0.2">
      <c r="E20888" s="18"/>
      <c r="F20888" s="18"/>
    </row>
    <row r="20889" spans="5:6" ht="15" customHeight="1" x14ac:dyDescent="0.2">
      <c r="E20889" s="18"/>
      <c r="F20889" s="18"/>
    </row>
    <row r="20890" spans="5:6" ht="15" customHeight="1" x14ac:dyDescent="0.2">
      <c r="E20890" s="18"/>
      <c r="F20890" s="18"/>
    </row>
    <row r="20891" spans="5:6" ht="15" customHeight="1" x14ac:dyDescent="0.2">
      <c r="E20891" s="18"/>
      <c r="F20891" s="18"/>
    </row>
    <row r="20892" spans="5:6" ht="15" customHeight="1" x14ac:dyDescent="0.2">
      <c r="E20892" s="18"/>
      <c r="F20892" s="18"/>
    </row>
    <row r="20893" spans="5:6" ht="15" customHeight="1" x14ac:dyDescent="0.2">
      <c r="E20893" s="18"/>
      <c r="F20893" s="18"/>
    </row>
    <row r="20894" spans="5:6" ht="15" customHeight="1" x14ac:dyDescent="0.2">
      <c r="E20894" s="18"/>
      <c r="F20894" s="18"/>
    </row>
    <row r="20895" spans="5:6" ht="15" customHeight="1" x14ac:dyDescent="0.2">
      <c r="E20895" s="18"/>
      <c r="F20895" s="18"/>
    </row>
    <row r="20896" spans="5:6" ht="15" customHeight="1" x14ac:dyDescent="0.2">
      <c r="E20896" s="18"/>
      <c r="F20896" s="18"/>
    </row>
    <row r="20897" spans="5:6" ht="15" customHeight="1" x14ac:dyDescent="0.2">
      <c r="E20897" s="18"/>
      <c r="F20897" s="18"/>
    </row>
    <row r="20898" spans="5:6" ht="15" customHeight="1" x14ac:dyDescent="0.2">
      <c r="E20898" s="18"/>
      <c r="F20898" s="18"/>
    </row>
    <row r="20899" spans="5:6" ht="15" customHeight="1" x14ac:dyDescent="0.2">
      <c r="E20899" s="18"/>
      <c r="F20899" s="18"/>
    </row>
    <row r="20900" spans="5:6" ht="15" customHeight="1" x14ac:dyDescent="0.2">
      <c r="E20900" s="18"/>
      <c r="F20900" s="18"/>
    </row>
    <row r="20901" spans="5:6" ht="15" customHeight="1" x14ac:dyDescent="0.2">
      <c r="E20901" s="18"/>
      <c r="F20901" s="18"/>
    </row>
    <row r="20902" spans="5:6" ht="15" customHeight="1" x14ac:dyDescent="0.2">
      <c r="E20902" s="18"/>
      <c r="F20902" s="18"/>
    </row>
    <row r="20903" spans="5:6" ht="15" customHeight="1" x14ac:dyDescent="0.2">
      <c r="E20903" s="18"/>
      <c r="F20903" s="18"/>
    </row>
    <row r="20904" spans="5:6" ht="15" customHeight="1" x14ac:dyDescent="0.2">
      <c r="E20904" s="18"/>
      <c r="F20904" s="18"/>
    </row>
    <row r="20905" spans="5:6" ht="15" customHeight="1" x14ac:dyDescent="0.2">
      <c r="E20905" s="18"/>
      <c r="F20905" s="18"/>
    </row>
    <row r="20906" spans="5:6" ht="15" customHeight="1" x14ac:dyDescent="0.2">
      <c r="E20906" s="18"/>
      <c r="F20906" s="18"/>
    </row>
    <row r="20907" spans="5:6" ht="15" customHeight="1" x14ac:dyDescent="0.2">
      <c r="E20907" s="18"/>
      <c r="F20907" s="18"/>
    </row>
    <row r="20908" spans="5:6" ht="15" customHeight="1" x14ac:dyDescent="0.2">
      <c r="E20908" s="18"/>
      <c r="F20908" s="18"/>
    </row>
    <row r="20909" spans="5:6" ht="15" customHeight="1" x14ac:dyDescent="0.2">
      <c r="E20909" s="18"/>
      <c r="F20909" s="18"/>
    </row>
    <row r="20910" spans="5:6" ht="15" customHeight="1" x14ac:dyDescent="0.2">
      <c r="E20910" s="18"/>
      <c r="F20910" s="18"/>
    </row>
    <row r="20911" spans="5:6" ht="15" customHeight="1" x14ac:dyDescent="0.2">
      <c r="E20911" s="18"/>
      <c r="F20911" s="18"/>
    </row>
    <row r="20912" spans="5:6" ht="15" customHeight="1" x14ac:dyDescent="0.2">
      <c r="E20912" s="18"/>
      <c r="F20912" s="18"/>
    </row>
    <row r="20913" spans="5:6" ht="15" customHeight="1" x14ac:dyDescent="0.2">
      <c r="E20913" s="18"/>
      <c r="F20913" s="18"/>
    </row>
    <row r="20914" spans="5:6" ht="15" customHeight="1" x14ac:dyDescent="0.2">
      <c r="E20914" s="18"/>
      <c r="F20914" s="18"/>
    </row>
    <row r="20915" spans="5:6" ht="15" customHeight="1" x14ac:dyDescent="0.2">
      <c r="E20915" s="18"/>
      <c r="F20915" s="18"/>
    </row>
    <row r="20916" spans="5:6" ht="15" customHeight="1" x14ac:dyDescent="0.2">
      <c r="E20916" s="18"/>
      <c r="F20916" s="18"/>
    </row>
    <row r="20917" spans="5:6" ht="15" customHeight="1" x14ac:dyDescent="0.2">
      <c r="E20917" s="18"/>
      <c r="F20917" s="18"/>
    </row>
    <row r="20918" spans="5:6" ht="15" customHeight="1" x14ac:dyDescent="0.2">
      <c r="E20918" s="18"/>
      <c r="F20918" s="18"/>
    </row>
    <row r="20919" spans="5:6" ht="15" customHeight="1" x14ac:dyDescent="0.2">
      <c r="E20919" s="18"/>
      <c r="F20919" s="18"/>
    </row>
    <row r="20920" spans="5:6" ht="15" customHeight="1" x14ac:dyDescent="0.2">
      <c r="E20920" s="18"/>
      <c r="F20920" s="18"/>
    </row>
    <row r="20921" spans="5:6" ht="15" customHeight="1" x14ac:dyDescent="0.2">
      <c r="E20921" s="18"/>
      <c r="F20921" s="18"/>
    </row>
    <row r="20922" spans="5:6" ht="15" customHeight="1" x14ac:dyDescent="0.2">
      <c r="E20922" s="18"/>
      <c r="F20922" s="18"/>
    </row>
    <row r="20923" spans="5:6" ht="15" customHeight="1" x14ac:dyDescent="0.2">
      <c r="E20923" s="18"/>
      <c r="F20923" s="18"/>
    </row>
    <row r="20924" spans="5:6" ht="15" customHeight="1" x14ac:dyDescent="0.2">
      <c r="E20924" s="18"/>
      <c r="F20924" s="18"/>
    </row>
    <row r="20925" spans="5:6" ht="15" customHeight="1" x14ac:dyDescent="0.2">
      <c r="E20925" s="18"/>
      <c r="F20925" s="18"/>
    </row>
    <row r="20926" spans="5:6" ht="15" customHeight="1" x14ac:dyDescent="0.2">
      <c r="E20926" s="18"/>
      <c r="F20926" s="18"/>
    </row>
    <row r="20927" spans="5:6" ht="15" customHeight="1" x14ac:dyDescent="0.2">
      <c r="E20927" s="18"/>
      <c r="F20927" s="18"/>
    </row>
    <row r="20928" spans="5:6" ht="15" customHeight="1" x14ac:dyDescent="0.2">
      <c r="E20928" s="18"/>
      <c r="F20928" s="18"/>
    </row>
    <row r="20929" spans="5:6" ht="15" customHeight="1" x14ac:dyDescent="0.2">
      <c r="E20929" s="18"/>
      <c r="F20929" s="18"/>
    </row>
    <row r="20930" spans="5:6" ht="15" customHeight="1" x14ac:dyDescent="0.2">
      <c r="E20930" s="18"/>
      <c r="F20930" s="18"/>
    </row>
    <row r="20931" spans="5:6" ht="15" customHeight="1" x14ac:dyDescent="0.2">
      <c r="E20931" s="18"/>
      <c r="F20931" s="18"/>
    </row>
    <row r="20932" spans="5:6" ht="15" customHeight="1" x14ac:dyDescent="0.2">
      <c r="E20932" s="18"/>
      <c r="F20932" s="18"/>
    </row>
    <row r="20933" spans="5:6" ht="15" customHeight="1" x14ac:dyDescent="0.2">
      <c r="E20933" s="18"/>
      <c r="F20933" s="18"/>
    </row>
    <row r="20934" spans="5:6" ht="15" customHeight="1" x14ac:dyDescent="0.2">
      <c r="E20934" s="18"/>
      <c r="F20934" s="18"/>
    </row>
    <row r="20935" spans="5:6" ht="15" customHeight="1" x14ac:dyDescent="0.2">
      <c r="E20935" s="18"/>
      <c r="F20935" s="18"/>
    </row>
    <row r="20936" spans="5:6" ht="15" customHeight="1" x14ac:dyDescent="0.2">
      <c r="E20936" s="18"/>
      <c r="F20936" s="18"/>
    </row>
    <row r="20937" spans="5:6" ht="15" customHeight="1" x14ac:dyDescent="0.2">
      <c r="E20937" s="18"/>
      <c r="F20937" s="18"/>
    </row>
    <row r="20938" spans="5:6" ht="15" customHeight="1" x14ac:dyDescent="0.2">
      <c r="E20938" s="18"/>
      <c r="F20938" s="18"/>
    </row>
    <row r="20939" spans="5:6" ht="15" customHeight="1" x14ac:dyDescent="0.2">
      <c r="E20939" s="18"/>
      <c r="F20939" s="18"/>
    </row>
    <row r="20940" spans="5:6" ht="15" customHeight="1" x14ac:dyDescent="0.2">
      <c r="E20940" s="18"/>
      <c r="F20940" s="18"/>
    </row>
    <row r="20941" spans="5:6" ht="15" customHeight="1" x14ac:dyDescent="0.2">
      <c r="E20941" s="18"/>
      <c r="F20941" s="18"/>
    </row>
    <row r="20942" spans="5:6" ht="15" customHeight="1" x14ac:dyDescent="0.2">
      <c r="E20942" s="18"/>
      <c r="F20942" s="18"/>
    </row>
    <row r="20943" spans="5:6" ht="15" customHeight="1" x14ac:dyDescent="0.2">
      <c r="E20943" s="18"/>
      <c r="F20943" s="18"/>
    </row>
    <row r="20944" spans="5:6" ht="15" customHeight="1" x14ac:dyDescent="0.2">
      <c r="E20944" s="18"/>
      <c r="F20944" s="18"/>
    </row>
    <row r="20945" spans="5:6" ht="15" customHeight="1" x14ac:dyDescent="0.2">
      <c r="E20945" s="18"/>
      <c r="F20945" s="18"/>
    </row>
    <row r="20946" spans="5:6" ht="15" customHeight="1" x14ac:dyDescent="0.2">
      <c r="E20946" s="18"/>
      <c r="F20946" s="18"/>
    </row>
    <row r="20947" spans="5:6" ht="15" customHeight="1" x14ac:dyDescent="0.2">
      <c r="E20947" s="18"/>
      <c r="F20947" s="18"/>
    </row>
    <row r="20948" spans="5:6" ht="15" customHeight="1" x14ac:dyDescent="0.2">
      <c r="E20948" s="18"/>
      <c r="F20948" s="18"/>
    </row>
    <row r="20949" spans="5:6" ht="15" customHeight="1" x14ac:dyDescent="0.2">
      <c r="E20949" s="18"/>
      <c r="F20949" s="18"/>
    </row>
    <row r="20950" spans="5:6" ht="15" customHeight="1" x14ac:dyDescent="0.2">
      <c r="E20950" s="18"/>
      <c r="F20950" s="18"/>
    </row>
    <row r="20951" spans="5:6" ht="15" customHeight="1" x14ac:dyDescent="0.2">
      <c r="E20951" s="18"/>
      <c r="F20951" s="18"/>
    </row>
    <row r="20952" spans="5:6" ht="15" customHeight="1" x14ac:dyDescent="0.2">
      <c r="E20952" s="18"/>
      <c r="F20952" s="18"/>
    </row>
    <row r="20953" spans="5:6" ht="15" customHeight="1" x14ac:dyDescent="0.2">
      <c r="E20953" s="18"/>
      <c r="F20953" s="18"/>
    </row>
    <row r="20954" spans="5:6" ht="15" customHeight="1" x14ac:dyDescent="0.2">
      <c r="E20954" s="18"/>
      <c r="F20954" s="18"/>
    </row>
    <row r="20955" spans="5:6" ht="15" customHeight="1" x14ac:dyDescent="0.2">
      <c r="E20955" s="18"/>
      <c r="F20955" s="18"/>
    </row>
    <row r="20956" spans="5:6" ht="15" customHeight="1" x14ac:dyDescent="0.2">
      <c r="E20956" s="18"/>
      <c r="F20956" s="18"/>
    </row>
    <row r="20957" spans="5:6" ht="15" customHeight="1" x14ac:dyDescent="0.2">
      <c r="E20957" s="18"/>
      <c r="F20957" s="18"/>
    </row>
    <row r="20958" spans="5:6" ht="15" customHeight="1" x14ac:dyDescent="0.2">
      <c r="E20958" s="18"/>
      <c r="F20958" s="18"/>
    </row>
    <row r="20959" spans="5:6" ht="15" customHeight="1" x14ac:dyDescent="0.2">
      <c r="E20959" s="18"/>
      <c r="F20959" s="18"/>
    </row>
    <row r="20960" spans="5:6" ht="15" customHeight="1" x14ac:dyDescent="0.2">
      <c r="E20960" s="18"/>
      <c r="F20960" s="18"/>
    </row>
    <row r="20961" spans="5:6" ht="15" customHeight="1" x14ac:dyDescent="0.2">
      <c r="E20961" s="18"/>
      <c r="F20961" s="18"/>
    </row>
    <row r="20962" spans="5:6" ht="15" customHeight="1" x14ac:dyDescent="0.2">
      <c r="E20962" s="18"/>
      <c r="F20962" s="18"/>
    </row>
    <row r="20963" spans="5:6" ht="15" customHeight="1" x14ac:dyDescent="0.2">
      <c r="E20963" s="18"/>
      <c r="F20963" s="18"/>
    </row>
    <row r="20964" spans="5:6" ht="15" customHeight="1" x14ac:dyDescent="0.2">
      <c r="E20964" s="18"/>
      <c r="F20964" s="18"/>
    </row>
    <row r="20965" spans="5:6" ht="15" customHeight="1" x14ac:dyDescent="0.2">
      <c r="E20965" s="18"/>
      <c r="F20965" s="18"/>
    </row>
    <row r="20966" spans="5:6" ht="15" customHeight="1" x14ac:dyDescent="0.2">
      <c r="E20966" s="18"/>
      <c r="F20966" s="18"/>
    </row>
    <row r="20967" spans="5:6" ht="15" customHeight="1" x14ac:dyDescent="0.2">
      <c r="E20967" s="18"/>
      <c r="F20967" s="18"/>
    </row>
    <row r="20968" spans="5:6" ht="15" customHeight="1" x14ac:dyDescent="0.2">
      <c r="E20968" s="18"/>
      <c r="F20968" s="18"/>
    </row>
    <row r="20969" spans="5:6" ht="15" customHeight="1" x14ac:dyDescent="0.2">
      <c r="E20969" s="18"/>
      <c r="F20969" s="18"/>
    </row>
    <row r="20970" spans="5:6" ht="15" customHeight="1" x14ac:dyDescent="0.2">
      <c r="E20970" s="18"/>
      <c r="F20970" s="18"/>
    </row>
    <row r="20971" spans="5:6" ht="15" customHeight="1" x14ac:dyDescent="0.2">
      <c r="E20971" s="18"/>
      <c r="F20971" s="18"/>
    </row>
    <row r="20972" spans="5:6" ht="15" customHeight="1" x14ac:dyDescent="0.2">
      <c r="E20972" s="18"/>
      <c r="F20972" s="18"/>
    </row>
    <row r="20973" spans="5:6" ht="15" customHeight="1" x14ac:dyDescent="0.2">
      <c r="E20973" s="18"/>
      <c r="F20973" s="18"/>
    </row>
    <row r="20974" spans="5:6" ht="15" customHeight="1" x14ac:dyDescent="0.2">
      <c r="E20974" s="18"/>
      <c r="F20974" s="18"/>
    </row>
    <row r="20975" spans="5:6" ht="15" customHeight="1" x14ac:dyDescent="0.2">
      <c r="E20975" s="18"/>
      <c r="F20975" s="18"/>
    </row>
    <row r="20976" spans="5:6" ht="15" customHeight="1" x14ac:dyDescent="0.2">
      <c r="E20976" s="18"/>
      <c r="F20976" s="18"/>
    </row>
    <row r="20977" spans="5:6" ht="15" customHeight="1" x14ac:dyDescent="0.2">
      <c r="E20977" s="18"/>
      <c r="F20977" s="18"/>
    </row>
    <row r="20978" spans="5:6" ht="15" customHeight="1" x14ac:dyDescent="0.2">
      <c r="E20978" s="18"/>
      <c r="F20978" s="18"/>
    </row>
    <row r="20979" spans="5:6" ht="15" customHeight="1" x14ac:dyDescent="0.2">
      <c r="E20979" s="18"/>
      <c r="F20979" s="18"/>
    </row>
    <row r="20980" spans="5:6" ht="15" customHeight="1" x14ac:dyDescent="0.2">
      <c r="E20980" s="18"/>
      <c r="F20980" s="18"/>
    </row>
    <row r="20981" spans="5:6" ht="15" customHeight="1" x14ac:dyDescent="0.2">
      <c r="E20981" s="18"/>
      <c r="F20981" s="18"/>
    </row>
    <row r="20982" spans="5:6" ht="15" customHeight="1" x14ac:dyDescent="0.2">
      <c r="E20982" s="18"/>
      <c r="F20982" s="18"/>
    </row>
    <row r="20983" spans="5:6" ht="15" customHeight="1" x14ac:dyDescent="0.2">
      <c r="E20983" s="18"/>
      <c r="F20983" s="18"/>
    </row>
    <row r="20984" spans="5:6" ht="15" customHeight="1" x14ac:dyDescent="0.2">
      <c r="E20984" s="18"/>
      <c r="F20984" s="18"/>
    </row>
    <row r="20985" spans="5:6" ht="15" customHeight="1" x14ac:dyDescent="0.2">
      <c r="E20985" s="18"/>
      <c r="F20985" s="18"/>
    </row>
    <row r="20986" spans="5:6" ht="15" customHeight="1" x14ac:dyDescent="0.2">
      <c r="E20986" s="18"/>
      <c r="F20986" s="18"/>
    </row>
    <row r="20987" spans="5:6" ht="15" customHeight="1" x14ac:dyDescent="0.2">
      <c r="E20987" s="18"/>
      <c r="F20987" s="18"/>
    </row>
    <row r="20988" spans="5:6" ht="15" customHeight="1" x14ac:dyDescent="0.2">
      <c r="E20988" s="18"/>
      <c r="F20988" s="18"/>
    </row>
    <row r="20989" spans="5:6" ht="15" customHeight="1" x14ac:dyDescent="0.2">
      <c r="E20989" s="18"/>
      <c r="F20989" s="18"/>
    </row>
    <row r="20990" spans="5:6" ht="15" customHeight="1" x14ac:dyDescent="0.2">
      <c r="E20990" s="18"/>
      <c r="F20990" s="18"/>
    </row>
    <row r="20991" spans="5:6" ht="15" customHeight="1" x14ac:dyDescent="0.2">
      <c r="E20991" s="18"/>
      <c r="F20991" s="18"/>
    </row>
    <row r="20992" spans="5:6" ht="15" customHeight="1" x14ac:dyDescent="0.2">
      <c r="E20992" s="18"/>
      <c r="F20992" s="18"/>
    </row>
    <row r="20993" spans="5:6" ht="15" customHeight="1" x14ac:dyDescent="0.2">
      <c r="E20993" s="18"/>
      <c r="F20993" s="18"/>
    </row>
    <row r="20994" spans="5:6" ht="15" customHeight="1" x14ac:dyDescent="0.2">
      <c r="E20994" s="18"/>
      <c r="F20994" s="18"/>
    </row>
    <row r="20995" spans="5:6" ht="15" customHeight="1" x14ac:dyDescent="0.2">
      <c r="E20995" s="18"/>
      <c r="F20995" s="18"/>
    </row>
    <row r="20996" spans="5:6" ht="15" customHeight="1" x14ac:dyDescent="0.2">
      <c r="E20996" s="18"/>
      <c r="F20996" s="18"/>
    </row>
    <row r="20997" spans="5:6" ht="15" customHeight="1" x14ac:dyDescent="0.2">
      <c r="E20997" s="18"/>
      <c r="F20997" s="18"/>
    </row>
    <row r="20998" spans="5:6" ht="15" customHeight="1" x14ac:dyDescent="0.2">
      <c r="E20998" s="18"/>
      <c r="F20998" s="18"/>
    </row>
    <row r="20999" spans="5:6" ht="15" customHeight="1" x14ac:dyDescent="0.2">
      <c r="E20999" s="18"/>
      <c r="F20999" s="18"/>
    </row>
    <row r="21000" spans="5:6" ht="15" customHeight="1" x14ac:dyDescent="0.2">
      <c r="E21000" s="18"/>
      <c r="F21000" s="18"/>
    </row>
    <row r="21001" spans="5:6" ht="15" customHeight="1" x14ac:dyDescent="0.2">
      <c r="E21001" s="18"/>
      <c r="F21001" s="18"/>
    </row>
    <row r="21002" spans="5:6" ht="15" customHeight="1" x14ac:dyDescent="0.2">
      <c r="E21002" s="18"/>
      <c r="F21002" s="18"/>
    </row>
    <row r="21003" spans="5:6" ht="15" customHeight="1" x14ac:dyDescent="0.2">
      <c r="E21003" s="18"/>
      <c r="F21003" s="18"/>
    </row>
    <row r="21004" spans="5:6" ht="15" customHeight="1" x14ac:dyDescent="0.2">
      <c r="E21004" s="18"/>
      <c r="F21004" s="18"/>
    </row>
    <row r="21005" spans="5:6" ht="15" customHeight="1" x14ac:dyDescent="0.2">
      <c r="E21005" s="18"/>
      <c r="F21005" s="18"/>
    </row>
    <row r="21006" spans="5:6" ht="15" customHeight="1" x14ac:dyDescent="0.2">
      <c r="E21006" s="18"/>
      <c r="F21006" s="18"/>
    </row>
    <row r="21007" spans="5:6" ht="15" customHeight="1" x14ac:dyDescent="0.2">
      <c r="E21007" s="18"/>
      <c r="F21007" s="18"/>
    </row>
    <row r="21008" spans="5:6" ht="15" customHeight="1" x14ac:dyDescent="0.2">
      <c r="E21008" s="18"/>
      <c r="F21008" s="18"/>
    </row>
    <row r="21009" spans="5:6" ht="15" customHeight="1" x14ac:dyDescent="0.2">
      <c r="E21009" s="18"/>
      <c r="F21009" s="18"/>
    </row>
    <row r="21010" spans="5:6" ht="15" customHeight="1" x14ac:dyDescent="0.2">
      <c r="E21010" s="18"/>
      <c r="F21010" s="18"/>
    </row>
    <row r="21011" spans="5:6" ht="15" customHeight="1" x14ac:dyDescent="0.2">
      <c r="E21011" s="18"/>
      <c r="F21011" s="18"/>
    </row>
    <row r="21012" spans="5:6" ht="15" customHeight="1" x14ac:dyDescent="0.2">
      <c r="E21012" s="18"/>
      <c r="F21012" s="18"/>
    </row>
    <row r="21013" spans="5:6" ht="15" customHeight="1" x14ac:dyDescent="0.2">
      <c r="E21013" s="18"/>
      <c r="F21013" s="18"/>
    </row>
    <row r="21014" spans="5:6" ht="15" customHeight="1" x14ac:dyDescent="0.2">
      <c r="E21014" s="18"/>
      <c r="F21014" s="18"/>
    </row>
    <row r="21015" spans="5:6" ht="15" customHeight="1" x14ac:dyDescent="0.2">
      <c r="E21015" s="18"/>
      <c r="F21015" s="18"/>
    </row>
    <row r="21016" spans="5:6" ht="15" customHeight="1" x14ac:dyDescent="0.2">
      <c r="E21016" s="18"/>
      <c r="F21016" s="18"/>
    </row>
    <row r="21017" spans="5:6" ht="15" customHeight="1" x14ac:dyDescent="0.2">
      <c r="E21017" s="18"/>
      <c r="F21017" s="18"/>
    </row>
    <row r="21018" spans="5:6" ht="15" customHeight="1" x14ac:dyDescent="0.2">
      <c r="E21018" s="18"/>
      <c r="F21018" s="18"/>
    </row>
    <row r="21019" spans="5:6" ht="15" customHeight="1" x14ac:dyDescent="0.2">
      <c r="E21019" s="18"/>
      <c r="F21019" s="18"/>
    </row>
    <row r="21020" spans="5:6" ht="15" customHeight="1" x14ac:dyDescent="0.2">
      <c r="E21020" s="18"/>
      <c r="F21020" s="18"/>
    </row>
    <row r="21021" spans="5:6" ht="15" customHeight="1" x14ac:dyDescent="0.2">
      <c r="E21021" s="18"/>
      <c r="F21021" s="18"/>
    </row>
    <row r="21022" spans="5:6" ht="15" customHeight="1" x14ac:dyDescent="0.2">
      <c r="E21022" s="18"/>
      <c r="F21022" s="18"/>
    </row>
    <row r="21023" spans="5:6" ht="15" customHeight="1" x14ac:dyDescent="0.2">
      <c r="E21023" s="18"/>
      <c r="F21023" s="18"/>
    </row>
    <row r="21024" spans="5:6" ht="15" customHeight="1" x14ac:dyDescent="0.2">
      <c r="E21024" s="18"/>
      <c r="F21024" s="18"/>
    </row>
    <row r="21025" spans="5:6" ht="15" customHeight="1" x14ac:dyDescent="0.2">
      <c r="E21025" s="18"/>
      <c r="F21025" s="18"/>
    </row>
    <row r="21026" spans="5:6" ht="15" customHeight="1" x14ac:dyDescent="0.2">
      <c r="E21026" s="18"/>
      <c r="F21026" s="18"/>
    </row>
    <row r="21027" spans="5:6" ht="15" customHeight="1" x14ac:dyDescent="0.2">
      <c r="E21027" s="18"/>
      <c r="F21027" s="18"/>
    </row>
    <row r="21028" spans="5:6" ht="15" customHeight="1" x14ac:dyDescent="0.2">
      <c r="E21028" s="18"/>
      <c r="F21028" s="18"/>
    </row>
    <row r="21029" spans="5:6" ht="15" customHeight="1" x14ac:dyDescent="0.2">
      <c r="E21029" s="18"/>
      <c r="F21029" s="18"/>
    </row>
    <row r="21030" spans="5:6" ht="15" customHeight="1" x14ac:dyDescent="0.2">
      <c r="E21030" s="18"/>
      <c r="F21030" s="18"/>
    </row>
    <row r="21031" spans="5:6" ht="15" customHeight="1" x14ac:dyDescent="0.2">
      <c r="E21031" s="18"/>
      <c r="F21031" s="18"/>
    </row>
    <row r="21032" spans="5:6" ht="15" customHeight="1" x14ac:dyDescent="0.2">
      <c r="E21032" s="18"/>
      <c r="F21032" s="18"/>
    </row>
    <row r="21033" spans="5:6" ht="15" customHeight="1" x14ac:dyDescent="0.2">
      <c r="E21033" s="18"/>
      <c r="F21033" s="18"/>
    </row>
    <row r="21034" spans="5:6" ht="15" customHeight="1" x14ac:dyDescent="0.2">
      <c r="E21034" s="18"/>
      <c r="F21034" s="18"/>
    </row>
    <row r="21035" spans="5:6" ht="15" customHeight="1" x14ac:dyDescent="0.2">
      <c r="E21035" s="18"/>
      <c r="F21035" s="18"/>
    </row>
    <row r="21036" spans="5:6" ht="15" customHeight="1" x14ac:dyDescent="0.2">
      <c r="E21036" s="18"/>
      <c r="F21036" s="18"/>
    </row>
    <row r="21037" spans="5:6" ht="15" customHeight="1" x14ac:dyDescent="0.2">
      <c r="E21037" s="18"/>
      <c r="F21037" s="18"/>
    </row>
    <row r="21038" spans="5:6" ht="15" customHeight="1" x14ac:dyDescent="0.2">
      <c r="E21038" s="18"/>
      <c r="F21038" s="18"/>
    </row>
    <row r="21039" spans="5:6" ht="15" customHeight="1" x14ac:dyDescent="0.2">
      <c r="E21039" s="18"/>
      <c r="F21039" s="18"/>
    </row>
    <row r="21040" spans="5:6" ht="15" customHeight="1" x14ac:dyDescent="0.2">
      <c r="E21040" s="18"/>
      <c r="F21040" s="18"/>
    </row>
    <row r="21041" spans="5:6" ht="15" customHeight="1" x14ac:dyDescent="0.2">
      <c r="E21041" s="18"/>
      <c r="F21041" s="18"/>
    </row>
    <row r="21042" spans="5:6" ht="15" customHeight="1" x14ac:dyDescent="0.2">
      <c r="E21042" s="18"/>
      <c r="F21042" s="18"/>
    </row>
    <row r="21043" spans="5:6" ht="15" customHeight="1" x14ac:dyDescent="0.2">
      <c r="E21043" s="18"/>
      <c r="F21043" s="18"/>
    </row>
    <row r="21044" spans="5:6" ht="15" customHeight="1" x14ac:dyDescent="0.2">
      <c r="E21044" s="18"/>
      <c r="F21044" s="18"/>
    </row>
    <row r="21045" spans="5:6" ht="15" customHeight="1" x14ac:dyDescent="0.2">
      <c r="E21045" s="18"/>
      <c r="F21045" s="18"/>
    </row>
    <row r="21046" spans="5:6" ht="15" customHeight="1" x14ac:dyDescent="0.2">
      <c r="E21046" s="18"/>
      <c r="F21046" s="18"/>
    </row>
    <row r="21047" spans="5:6" ht="15" customHeight="1" x14ac:dyDescent="0.2">
      <c r="E21047" s="18"/>
      <c r="F21047" s="18"/>
    </row>
    <row r="21048" spans="5:6" ht="15" customHeight="1" x14ac:dyDescent="0.2">
      <c r="E21048" s="18"/>
      <c r="F21048" s="18"/>
    </row>
    <row r="21049" spans="5:6" ht="15" customHeight="1" x14ac:dyDescent="0.2">
      <c r="E21049" s="18"/>
      <c r="F21049" s="18"/>
    </row>
    <row r="21050" spans="5:6" ht="15" customHeight="1" x14ac:dyDescent="0.2">
      <c r="E21050" s="18"/>
      <c r="F21050" s="18"/>
    </row>
    <row r="21051" spans="5:6" ht="15" customHeight="1" x14ac:dyDescent="0.2">
      <c r="E21051" s="18"/>
      <c r="F21051" s="18"/>
    </row>
    <row r="21052" spans="5:6" ht="15" customHeight="1" x14ac:dyDescent="0.2">
      <c r="E21052" s="18"/>
      <c r="F21052" s="18"/>
    </row>
    <row r="21053" spans="5:6" ht="15" customHeight="1" x14ac:dyDescent="0.2">
      <c r="E21053" s="18"/>
      <c r="F21053" s="18"/>
    </row>
    <row r="21054" spans="5:6" ht="15" customHeight="1" x14ac:dyDescent="0.2">
      <c r="E21054" s="18"/>
      <c r="F21054" s="18"/>
    </row>
    <row r="21055" spans="5:6" ht="15" customHeight="1" x14ac:dyDescent="0.2">
      <c r="E21055" s="18"/>
      <c r="F21055" s="18"/>
    </row>
    <row r="21056" spans="5:6" ht="15" customHeight="1" x14ac:dyDescent="0.2">
      <c r="E21056" s="18"/>
      <c r="F21056" s="18"/>
    </row>
    <row r="21057" spans="5:6" ht="15" customHeight="1" x14ac:dyDescent="0.2">
      <c r="E21057" s="18"/>
      <c r="F21057" s="18"/>
    </row>
    <row r="21058" spans="5:6" ht="15" customHeight="1" x14ac:dyDescent="0.2">
      <c r="E21058" s="18"/>
      <c r="F21058" s="18"/>
    </row>
    <row r="21059" spans="5:6" ht="15" customHeight="1" x14ac:dyDescent="0.2">
      <c r="E21059" s="18"/>
      <c r="F21059" s="18"/>
    </row>
    <row r="21060" spans="5:6" ht="15" customHeight="1" x14ac:dyDescent="0.2">
      <c r="E21060" s="18"/>
      <c r="F21060" s="18"/>
    </row>
    <row r="21061" spans="5:6" ht="15" customHeight="1" x14ac:dyDescent="0.2">
      <c r="E21061" s="18"/>
      <c r="F21061" s="18"/>
    </row>
    <row r="21062" spans="5:6" ht="15" customHeight="1" x14ac:dyDescent="0.2">
      <c r="E21062" s="18"/>
      <c r="F21062" s="18"/>
    </row>
    <row r="21063" spans="5:6" ht="15" customHeight="1" x14ac:dyDescent="0.2">
      <c r="E21063" s="18"/>
      <c r="F21063" s="18"/>
    </row>
    <row r="21064" spans="5:6" ht="15" customHeight="1" x14ac:dyDescent="0.2">
      <c r="E21064" s="18"/>
      <c r="F21064" s="18"/>
    </row>
    <row r="21065" spans="5:6" ht="15" customHeight="1" x14ac:dyDescent="0.2">
      <c r="E21065" s="18"/>
      <c r="F21065" s="18"/>
    </row>
    <row r="21066" spans="5:6" ht="15" customHeight="1" x14ac:dyDescent="0.2">
      <c r="E21066" s="18"/>
      <c r="F21066" s="18"/>
    </row>
    <row r="21067" spans="5:6" ht="15" customHeight="1" x14ac:dyDescent="0.2">
      <c r="E21067" s="18"/>
      <c r="F21067" s="18"/>
    </row>
    <row r="21068" spans="5:6" ht="15" customHeight="1" x14ac:dyDescent="0.2">
      <c r="E21068" s="18"/>
      <c r="F21068" s="18"/>
    </row>
    <row r="21069" spans="5:6" ht="15" customHeight="1" x14ac:dyDescent="0.2">
      <c r="E21069" s="18"/>
      <c r="F21069" s="18"/>
    </row>
    <row r="21070" spans="5:6" ht="15" customHeight="1" x14ac:dyDescent="0.2">
      <c r="E21070" s="18"/>
      <c r="F21070" s="18"/>
    </row>
    <row r="21071" spans="5:6" ht="15" customHeight="1" x14ac:dyDescent="0.2">
      <c r="E21071" s="18"/>
      <c r="F21071" s="18"/>
    </row>
    <row r="21072" spans="5:6" ht="15" customHeight="1" x14ac:dyDescent="0.2">
      <c r="E21072" s="18"/>
      <c r="F21072" s="18"/>
    </row>
    <row r="21073" spans="5:6" ht="15" customHeight="1" x14ac:dyDescent="0.2">
      <c r="E21073" s="18"/>
      <c r="F21073" s="18"/>
    </row>
    <row r="21074" spans="5:6" ht="15" customHeight="1" x14ac:dyDescent="0.2">
      <c r="E21074" s="18"/>
      <c r="F21074" s="18"/>
    </row>
    <row r="21075" spans="5:6" ht="15" customHeight="1" x14ac:dyDescent="0.2">
      <c r="E21075" s="18"/>
      <c r="F21075" s="18"/>
    </row>
    <row r="21076" spans="5:6" ht="15" customHeight="1" x14ac:dyDescent="0.2">
      <c r="E21076" s="18"/>
      <c r="F21076" s="18"/>
    </row>
    <row r="21077" spans="5:6" ht="15" customHeight="1" x14ac:dyDescent="0.2">
      <c r="E21077" s="18"/>
      <c r="F21077" s="18"/>
    </row>
    <row r="21078" spans="5:6" ht="15" customHeight="1" x14ac:dyDescent="0.2">
      <c r="E21078" s="18"/>
      <c r="F21078" s="18"/>
    </row>
    <row r="21079" spans="5:6" ht="15" customHeight="1" x14ac:dyDescent="0.2">
      <c r="E21079" s="18"/>
      <c r="F21079" s="18"/>
    </row>
    <row r="21080" spans="5:6" ht="15" customHeight="1" x14ac:dyDescent="0.2">
      <c r="E21080" s="18"/>
      <c r="F21080" s="18"/>
    </row>
    <row r="21081" spans="5:6" ht="15" customHeight="1" x14ac:dyDescent="0.2">
      <c r="E21081" s="18"/>
      <c r="F21081" s="18"/>
    </row>
    <row r="21082" spans="5:6" ht="15" customHeight="1" x14ac:dyDescent="0.2">
      <c r="E21082" s="18"/>
      <c r="F21082" s="18"/>
    </row>
    <row r="21083" spans="5:6" ht="15" customHeight="1" x14ac:dyDescent="0.2">
      <c r="E21083" s="18"/>
      <c r="F21083" s="18"/>
    </row>
    <row r="21084" spans="5:6" ht="15" customHeight="1" x14ac:dyDescent="0.2">
      <c r="E21084" s="18"/>
      <c r="F21084" s="18"/>
    </row>
    <row r="21085" spans="5:6" ht="15" customHeight="1" x14ac:dyDescent="0.2">
      <c r="E21085" s="18"/>
      <c r="F21085" s="18"/>
    </row>
    <row r="21086" spans="5:6" ht="15" customHeight="1" x14ac:dyDescent="0.2">
      <c r="E21086" s="18"/>
      <c r="F21086" s="18"/>
    </row>
    <row r="21087" spans="5:6" ht="15" customHeight="1" x14ac:dyDescent="0.2">
      <c r="E21087" s="18"/>
      <c r="F21087" s="18"/>
    </row>
    <row r="21088" spans="5:6" ht="15" customHeight="1" x14ac:dyDescent="0.2">
      <c r="E21088" s="18"/>
      <c r="F21088" s="18"/>
    </row>
    <row r="21089" spans="5:6" ht="15" customHeight="1" x14ac:dyDescent="0.2">
      <c r="E21089" s="18"/>
      <c r="F21089" s="18"/>
    </row>
    <row r="21090" spans="5:6" ht="15" customHeight="1" x14ac:dyDescent="0.2">
      <c r="E21090" s="18"/>
      <c r="F21090" s="18"/>
    </row>
    <row r="21091" spans="5:6" ht="15" customHeight="1" x14ac:dyDescent="0.2">
      <c r="E21091" s="18"/>
      <c r="F21091" s="18"/>
    </row>
    <row r="21092" spans="5:6" ht="15" customHeight="1" x14ac:dyDescent="0.2">
      <c r="E21092" s="18"/>
      <c r="F21092" s="18"/>
    </row>
    <row r="21093" spans="5:6" ht="15" customHeight="1" x14ac:dyDescent="0.2">
      <c r="E21093" s="18"/>
      <c r="F21093" s="18"/>
    </row>
    <row r="21094" spans="5:6" ht="15" customHeight="1" x14ac:dyDescent="0.2">
      <c r="E21094" s="18"/>
      <c r="F21094" s="18"/>
    </row>
    <row r="21095" spans="5:6" ht="15" customHeight="1" x14ac:dyDescent="0.2">
      <c r="E21095" s="18"/>
      <c r="F21095" s="18"/>
    </row>
    <row r="21096" spans="5:6" ht="15" customHeight="1" x14ac:dyDescent="0.2">
      <c r="E21096" s="18"/>
      <c r="F21096" s="18"/>
    </row>
    <row r="21097" spans="5:6" ht="15" customHeight="1" x14ac:dyDescent="0.2">
      <c r="E21097" s="18"/>
      <c r="F21097" s="18"/>
    </row>
    <row r="21098" spans="5:6" ht="15" customHeight="1" x14ac:dyDescent="0.2">
      <c r="E21098" s="18"/>
      <c r="F21098" s="18"/>
    </row>
    <row r="21099" spans="5:6" ht="15" customHeight="1" x14ac:dyDescent="0.2">
      <c r="E21099" s="18"/>
      <c r="F21099" s="18"/>
    </row>
    <row r="21100" spans="5:6" ht="15" customHeight="1" x14ac:dyDescent="0.2">
      <c r="E21100" s="18"/>
      <c r="F21100" s="18"/>
    </row>
    <row r="21101" spans="5:6" ht="15" customHeight="1" x14ac:dyDescent="0.2">
      <c r="E21101" s="18"/>
      <c r="F21101" s="18"/>
    </row>
    <row r="21102" spans="5:6" ht="15" customHeight="1" x14ac:dyDescent="0.2">
      <c r="E21102" s="18"/>
      <c r="F21102" s="18"/>
    </row>
    <row r="21103" spans="5:6" ht="15" customHeight="1" x14ac:dyDescent="0.2">
      <c r="E21103" s="18"/>
      <c r="F21103" s="18"/>
    </row>
    <row r="21104" spans="5:6" ht="15" customHeight="1" x14ac:dyDescent="0.2">
      <c r="E21104" s="18"/>
      <c r="F21104" s="18"/>
    </row>
    <row r="21105" spans="5:6" ht="15" customHeight="1" x14ac:dyDescent="0.2">
      <c r="E21105" s="18"/>
      <c r="F21105" s="18"/>
    </row>
    <row r="21106" spans="5:6" ht="15" customHeight="1" x14ac:dyDescent="0.2">
      <c r="E21106" s="18"/>
      <c r="F21106" s="18"/>
    </row>
    <row r="21107" spans="5:6" ht="15" customHeight="1" x14ac:dyDescent="0.2">
      <c r="E21107" s="18"/>
      <c r="F21107" s="18"/>
    </row>
    <row r="21108" spans="5:6" ht="15" customHeight="1" x14ac:dyDescent="0.2">
      <c r="E21108" s="18"/>
      <c r="F21108" s="18"/>
    </row>
    <row r="21109" spans="5:6" ht="15" customHeight="1" x14ac:dyDescent="0.2">
      <c r="E21109" s="18"/>
      <c r="F21109" s="18"/>
    </row>
    <row r="21110" spans="5:6" ht="15" customHeight="1" x14ac:dyDescent="0.2">
      <c r="E21110" s="18"/>
      <c r="F21110" s="18"/>
    </row>
    <row r="21111" spans="5:6" ht="15" customHeight="1" x14ac:dyDescent="0.2">
      <c r="E21111" s="18"/>
      <c r="F21111" s="18"/>
    </row>
    <row r="21112" spans="5:6" ht="15" customHeight="1" x14ac:dyDescent="0.2">
      <c r="E21112" s="18"/>
      <c r="F21112" s="18"/>
    </row>
    <row r="21113" spans="5:6" ht="15" customHeight="1" x14ac:dyDescent="0.2">
      <c r="E21113" s="18"/>
      <c r="F21113" s="18"/>
    </row>
    <row r="21114" spans="5:6" ht="15" customHeight="1" x14ac:dyDescent="0.2">
      <c r="E21114" s="18"/>
      <c r="F21114" s="18"/>
    </row>
    <row r="21115" spans="5:6" ht="15" customHeight="1" x14ac:dyDescent="0.2">
      <c r="E21115" s="18"/>
      <c r="F21115" s="18"/>
    </row>
    <row r="21116" spans="5:6" ht="15" customHeight="1" x14ac:dyDescent="0.2">
      <c r="E21116" s="18"/>
      <c r="F21116" s="18"/>
    </row>
    <row r="21117" spans="5:6" ht="15" customHeight="1" x14ac:dyDescent="0.2">
      <c r="E21117" s="18"/>
      <c r="F21117" s="18"/>
    </row>
    <row r="21118" spans="5:6" ht="15" customHeight="1" x14ac:dyDescent="0.2">
      <c r="E21118" s="18"/>
      <c r="F21118" s="18"/>
    </row>
    <row r="21119" spans="5:6" ht="15" customHeight="1" x14ac:dyDescent="0.2">
      <c r="E21119" s="18"/>
      <c r="F21119" s="18"/>
    </row>
    <row r="21120" spans="5:6" ht="15" customHeight="1" x14ac:dyDescent="0.2">
      <c r="E21120" s="18"/>
      <c r="F21120" s="18"/>
    </row>
    <row r="21121" spans="5:6" ht="15" customHeight="1" x14ac:dyDescent="0.2">
      <c r="E21121" s="18"/>
      <c r="F21121" s="18"/>
    </row>
    <row r="21122" spans="5:6" ht="15" customHeight="1" x14ac:dyDescent="0.2">
      <c r="E21122" s="18"/>
      <c r="F21122" s="18"/>
    </row>
    <row r="21123" spans="5:6" ht="15" customHeight="1" x14ac:dyDescent="0.2">
      <c r="E21123" s="18"/>
      <c r="F21123" s="18"/>
    </row>
    <row r="21124" spans="5:6" ht="15" customHeight="1" x14ac:dyDescent="0.2">
      <c r="E21124" s="18"/>
      <c r="F21124" s="18"/>
    </row>
    <row r="21125" spans="5:6" ht="15" customHeight="1" x14ac:dyDescent="0.2">
      <c r="E21125" s="18"/>
      <c r="F21125" s="18"/>
    </row>
    <row r="21126" spans="5:6" ht="15" customHeight="1" x14ac:dyDescent="0.2">
      <c r="E21126" s="18"/>
      <c r="F21126" s="18"/>
    </row>
    <row r="21127" spans="5:6" ht="15" customHeight="1" x14ac:dyDescent="0.2">
      <c r="E21127" s="18"/>
      <c r="F21127" s="18"/>
    </row>
    <row r="21128" spans="5:6" ht="15" customHeight="1" x14ac:dyDescent="0.2">
      <c r="E21128" s="18"/>
      <c r="F21128" s="18"/>
    </row>
    <row r="21129" spans="5:6" ht="15" customHeight="1" x14ac:dyDescent="0.2">
      <c r="E21129" s="18"/>
      <c r="F21129" s="18"/>
    </row>
    <row r="21130" spans="5:6" ht="15" customHeight="1" x14ac:dyDescent="0.2">
      <c r="E21130" s="18"/>
      <c r="F21130" s="18"/>
    </row>
    <row r="21131" spans="5:6" ht="15" customHeight="1" x14ac:dyDescent="0.2">
      <c r="E21131" s="18"/>
      <c r="F21131" s="18"/>
    </row>
    <row r="21132" spans="5:6" ht="15" customHeight="1" x14ac:dyDescent="0.2">
      <c r="E21132" s="18"/>
      <c r="F21132" s="18"/>
    </row>
    <row r="21133" spans="5:6" ht="15" customHeight="1" x14ac:dyDescent="0.2">
      <c r="E21133" s="18"/>
      <c r="F21133" s="18"/>
    </row>
    <row r="21134" spans="5:6" ht="15" customHeight="1" x14ac:dyDescent="0.2">
      <c r="E21134" s="18"/>
      <c r="F21134" s="18"/>
    </row>
    <row r="21135" spans="5:6" ht="15" customHeight="1" x14ac:dyDescent="0.2">
      <c r="E21135" s="18"/>
      <c r="F21135" s="18"/>
    </row>
    <row r="21136" spans="5:6" ht="15" customHeight="1" x14ac:dyDescent="0.2">
      <c r="E21136" s="18"/>
      <c r="F21136" s="18"/>
    </row>
    <row r="21137" spans="5:6" ht="15" customHeight="1" x14ac:dyDescent="0.2">
      <c r="E21137" s="18"/>
      <c r="F21137" s="18"/>
    </row>
    <row r="21138" spans="5:6" ht="15" customHeight="1" x14ac:dyDescent="0.2">
      <c r="E21138" s="18"/>
      <c r="F21138" s="18"/>
    </row>
    <row r="21139" spans="5:6" ht="15" customHeight="1" x14ac:dyDescent="0.2">
      <c r="E21139" s="18"/>
      <c r="F21139" s="18"/>
    </row>
    <row r="21140" spans="5:6" ht="15" customHeight="1" x14ac:dyDescent="0.2">
      <c r="E21140" s="18"/>
      <c r="F21140" s="18"/>
    </row>
    <row r="21141" spans="5:6" ht="15" customHeight="1" x14ac:dyDescent="0.2">
      <c r="E21141" s="18"/>
      <c r="F21141" s="18"/>
    </row>
    <row r="21142" spans="5:6" ht="15" customHeight="1" x14ac:dyDescent="0.2">
      <c r="E21142" s="18"/>
      <c r="F21142" s="18"/>
    </row>
    <row r="21143" spans="5:6" ht="15" customHeight="1" x14ac:dyDescent="0.2">
      <c r="E21143" s="18"/>
      <c r="F21143" s="18"/>
    </row>
    <row r="21144" spans="5:6" ht="15" customHeight="1" x14ac:dyDescent="0.2">
      <c r="E21144" s="18"/>
      <c r="F21144" s="18"/>
    </row>
    <row r="21145" spans="5:6" ht="15" customHeight="1" x14ac:dyDescent="0.2">
      <c r="E21145" s="18"/>
      <c r="F21145" s="18"/>
    </row>
    <row r="21146" spans="5:6" ht="15" customHeight="1" x14ac:dyDescent="0.2">
      <c r="E21146" s="18"/>
      <c r="F21146" s="18"/>
    </row>
    <row r="21147" spans="5:6" ht="15" customHeight="1" x14ac:dyDescent="0.2">
      <c r="E21147" s="18"/>
      <c r="F21147" s="18"/>
    </row>
    <row r="21148" spans="5:6" ht="15" customHeight="1" x14ac:dyDescent="0.2">
      <c r="E21148" s="18"/>
      <c r="F21148" s="18"/>
    </row>
    <row r="21149" spans="5:6" ht="15" customHeight="1" x14ac:dyDescent="0.2">
      <c r="E21149" s="18"/>
      <c r="F21149" s="18"/>
    </row>
    <row r="21150" spans="5:6" ht="15" customHeight="1" x14ac:dyDescent="0.2">
      <c r="E21150" s="18"/>
      <c r="F21150" s="18"/>
    </row>
    <row r="21151" spans="5:6" ht="15" customHeight="1" x14ac:dyDescent="0.2">
      <c r="E21151" s="18"/>
      <c r="F21151" s="18"/>
    </row>
    <row r="21152" spans="5:6" ht="15" customHeight="1" x14ac:dyDescent="0.2">
      <c r="E21152" s="18"/>
      <c r="F21152" s="18"/>
    </row>
    <row r="21153" spans="5:6" ht="15" customHeight="1" x14ac:dyDescent="0.2">
      <c r="E21153" s="18"/>
      <c r="F21153" s="18"/>
    </row>
    <row r="21154" spans="5:6" ht="15" customHeight="1" x14ac:dyDescent="0.2">
      <c r="E21154" s="18"/>
      <c r="F21154" s="18"/>
    </row>
    <row r="21155" spans="5:6" ht="15" customHeight="1" x14ac:dyDescent="0.2">
      <c r="E21155" s="18"/>
      <c r="F21155" s="18"/>
    </row>
    <row r="21156" spans="5:6" ht="15" customHeight="1" x14ac:dyDescent="0.2">
      <c r="E21156" s="18"/>
      <c r="F21156" s="18"/>
    </row>
    <row r="21157" spans="5:6" ht="15" customHeight="1" x14ac:dyDescent="0.2">
      <c r="E21157" s="18"/>
      <c r="F21157" s="18"/>
    </row>
    <row r="21158" spans="5:6" ht="15" customHeight="1" x14ac:dyDescent="0.2">
      <c r="E21158" s="18"/>
      <c r="F21158" s="18"/>
    </row>
    <row r="21159" spans="5:6" ht="15" customHeight="1" x14ac:dyDescent="0.2">
      <c r="E21159" s="18"/>
      <c r="F21159" s="18"/>
    </row>
    <row r="21160" spans="5:6" ht="15" customHeight="1" x14ac:dyDescent="0.2">
      <c r="E21160" s="18"/>
      <c r="F21160" s="18"/>
    </row>
    <row r="21161" spans="5:6" ht="15" customHeight="1" x14ac:dyDescent="0.2">
      <c r="E21161" s="18"/>
      <c r="F21161" s="18"/>
    </row>
    <row r="21162" spans="5:6" ht="15" customHeight="1" x14ac:dyDescent="0.2">
      <c r="E21162" s="18"/>
      <c r="F21162" s="18"/>
    </row>
    <row r="21163" spans="5:6" ht="15" customHeight="1" x14ac:dyDescent="0.2">
      <c r="E21163" s="18"/>
      <c r="F21163" s="18"/>
    </row>
    <row r="21164" spans="5:6" ht="15" customHeight="1" x14ac:dyDescent="0.2">
      <c r="E21164" s="18"/>
      <c r="F21164" s="18"/>
    </row>
    <row r="21165" spans="5:6" ht="15" customHeight="1" x14ac:dyDescent="0.2">
      <c r="E21165" s="18"/>
      <c r="F21165" s="18"/>
    </row>
    <row r="21166" spans="5:6" ht="15" customHeight="1" x14ac:dyDescent="0.2">
      <c r="E21166" s="18"/>
      <c r="F21166" s="18"/>
    </row>
    <row r="21167" spans="5:6" ht="15" customHeight="1" x14ac:dyDescent="0.2">
      <c r="E21167" s="18"/>
      <c r="F21167" s="18"/>
    </row>
    <row r="21168" spans="5:6" ht="15" customHeight="1" x14ac:dyDescent="0.2">
      <c r="E21168" s="18"/>
      <c r="F21168" s="18"/>
    </row>
    <row r="21169" spans="5:6" ht="15" customHeight="1" x14ac:dyDescent="0.2">
      <c r="E21169" s="18"/>
      <c r="F21169" s="18"/>
    </row>
    <row r="21170" spans="5:6" ht="15" customHeight="1" x14ac:dyDescent="0.2">
      <c r="E21170" s="18"/>
      <c r="F21170" s="18"/>
    </row>
    <row r="21171" spans="5:6" ht="15" customHeight="1" x14ac:dyDescent="0.2">
      <c r="E21171" s="18"/>
      <c r="F21171" s="18"/>
    </row>
    <row r="21172" spans="5:6" ht="15" customHeight="1" x14ac:dyDescent="0.2">
      <c r="E21172" s="18"/>
      <c r="F21172" s="18"/>
    </row>
    <row r="21173" spans="5:6" ht="15" customHeight="1" x14ac:dyDescent="0.2">
      <c r="E21173" s="18"/>
      <c r="F21173" s="18"/>
    </row>
    <row r="21174" spans="5:6" ht="15" customHeight="1" x14ac:dyDescent="0.2">
      <c r="E21174" s="18"/>
      <c r="F21174" s="18"/>
    </row>
    <row r="21175" spans="5:6" ht="15" customHeight="1" x14ac:dyDescent="0.2">
      <c r="E21175" s="18"/>
      <c r="F21175" s="18"/>
    </row>
    <row r="21176" spans="5:6" ht="15" customHeight="1" x14ac:dyDescent="0.2">
      <c r="E21176" s="18"/>
      <c r="F21176" s="18"/>
    </row>
    <row r="21177" spans="5:6" ht="15" customHeight="1" x14ac:dyDescent="0.2">
      <c r="E21177" s="18"/>
      <c r="F21177" s="18"/>
    </row>
    <row r="21178" spans="5:6" ht="15" customHeight="1" x14ac:dyDescent="0.2">
      <c r="E21178" s="18"/>
      <c r="F21178" s="18"/>
    </row>
    <row r="21179" spans="5:6" ht="15" customHeight="1" x14ac:dyDescent="0.2">
      <c r="E21179" s="18"/>
      <c r="F21179" s="18"/>
    </row>
    <row r="21180" spans="5:6" ht="15" customHeight="1" x14ac:dyDescent="0.2">
      <c r="E21180" s="18"/>
      <c r="F21180" s="18"/>
    </row>
    <row r="21181" spans="5:6" ht="15" customHeight="1" x14ac:dyDescent="0.2">
      <c r="E21181" s="18"/>
      <c r="F21181" s="18"/>
    </row>
    <row r="21182" spans="5:6" ht="15" customHeight="1" x14ac:dyDescent="0.2">
      <c r="E21182" s="18"/>
      <c r="F21182" s="18"/>
    </row>
    <row r="21183" spans="5:6" ht="15" customHeight="1" x14ac:dyDescent="0.2">
      <c r="E21183" s="18"/>
      <c r="F21183" s="18"/>
    </row>
    <row r="21184" spans="5:6" ht="15" customHeight="1" x14ac:dyDescent="0.2">
      <c r="E21184" s="18"/>
      <c r="F21184" s="18"/>
    </row>
    <row r="21185" spans="5:6" ht="15" customHeight="1" x14ac:dyDescent="0.2">
      <c r="E21185" s="18"/>
      <c r="F21185" s="18"/>
    </row>
    <row r="21186" spans="5:6" ht="15" customHeight="1" x14ac:dyDescent="0.2">
      <c r="E21186" s="18"/>
      <c r="F21186" s="18"/>
    </row>
    <row r="21187" spans="5:6" ht="15" customHeight="1" x14ac:dyDescent="0.2">
      <c r="E21187" s="18"/>
      <c r="F21187" s="18"/>
    </row>
    <row r="21188" spans="5:6" ht="15" customHeight="1" x14ac:dyDescent="0.2">
      <c r="E21188" s="18"/>
      <c r="F21188" s="18"/>
    </row>
    <row r="21189" spans="5:6" ht="15" customHeight="1" x14ac:dyDescent="0.2">
      <c r="E21189" s="18"/>
      <c r="F21189" s="18"/>
    </row>
    <row r="21190" spans="5:6" ht="15" customHeight="1" x14ac:dyDescent="0.2">
      <c r="E21190" s="18"/>
      <c r="F21190" s="18"/>
    </row>
    <row r="21191" spans="5:6" ht="15" customHeight="1" x14ac:dyDescent="0.2">
      <c r="E21191" s="18"/>
      <c r="F21191" s="18"/>
    </row>
    <row r="21192" spans="5:6" ht="15" customHeight="1" x14ac:dyDescent="0.2">
      <c r="E21192" s="18"/>
      <c r="F21192" s="18"/>
    </row>
    <row r="21193" spans="5:6" ht="15" customHeight="1" x14ac:dyDescent="0.2">
      <c r="E21193" s="18"/>
      <c r="F21193" s="18"/>
    </row>
    <row r="21194" spans="5:6" ht="15" customHeight="1" x14ac:dyDescent="0.2">
      <c r="E21194" s="18"/>
      <c r="F21194" s="18"/>
    </row>
    <row r="21195" spans="5:6" ht="15" customHeight="1" x14ac:dyDescent="0.2">
      <c r="E21195" s="18"/>
      <c r="F21195" s="18"/>
    </row>
    <row r="21196" spans="5:6" ht="15" customHeight="1" x14ac:dyDescent="0.2">
      <c r="E21196" s="18"/>
      <c r="F21196" s="18"/>
    </row>
    <row r="21197" spans="5:6" ht="15" customHeight="1" x14ac:dyDescent="0.2">
      <c r="E21197" s="18"/>
      <c r="F21197" s="18"/>
    </row>
    <row r="21198" spans="5:6" ht="15" customHeight="1" x14ac:dyDescent="0.2">
      <c r="E21198" s="18"/>
      <c r="F21198" s="18"/>
    </row>
    <row r="21199" spans="5:6" ht="15" customHeight="1" x14ac:dyDescent="0.2">
      <c r="E21199" s="18"/>
      <c r="F21199" s="18"/>
    </row>
    <row r="21200" spans="5:6" ht="15" customHeight="1" x14ac:dyDescent="0.2">
      <c r="E21200" s="18"/>
      <c r="F21200" s="18"/>
    </row>
    <row r="21201" spans="5:6" ht="15" customHeight="1" x14ac:dyDescent="0.2">
      <c r="E21201" s="18"/>
      <c r="F21201" s="18"/>
    </row>
    <row r="21202" spans="5:6" ht="15" customHeight="1" x14ac:dyDescent="0.2">
      <c r="E21202" s="18"/>
      <c r="F21202" s="18"/>
    </row>
    <row r="21203" spans="5:6" ht="15" customHeight="1" x14ac:dyDescent="0.2">
      <c r="E21203" s="18"/>
      <c r="F21203" s="18"/>
    </row>
    <row r="21204" spans="5:6" ht="15" customHeight="1" x14ac:dyDescent="0.2">
      <c r="E21204" s="18"/>
      <c r="F21204" s="18"/>
    </row>
    <row r="21205" spans="5:6" ht="15" customHeight="1" x14ac:dyDescent="0.2">
      <c r="E21205" s="18"/>
      <c r="F21205" s="18"/>
    </row>
    <row r="21206" spans="5:6" ht="15" customHeight="1" x14ac:dyDescent="0.2">
      <c r="E21206" s="18"/>
      <c r="F21206" s="18"/>
    </row>
    <row r="21207" spans="5:6" ht="15" customHeight="1" x14ac:dyDescent="0.2">
      <c r="E21207" s="18"/>
      <c r="F21207" s="18"/>
    </row>
    <row r="21208" spans="5:6" ht="15" customHeight="1" x14ac:dyDescent="0.2">
      <c r="E21208" s="18"/>
      <c r="F21208" s="18"/>
    </row>
    <row r="21209" spans="5:6" ht="15" customHeight="1" x14ac:dyDescent="0.2">
      <c r="E21209" s="18"/>
      <c r="F21209" s="18"/>
    </row>
    <row r="21210" spans="5:6" ht="15" customHeight="1" x14ac:dyDescent="0.2">
      <c r="E21210" s="18"/>
      <c r="F21210" s="18"/>
    </row>
    <row r="21211" spans="5:6" ht="15" customHeight="1" x14ac:dyDescent="0.2">
      <c r="E21211" s="18"/>
      <c r="F21211" s="18"/>
    </row>
    <row r="21212" spans="5:6" ht="15" customHeight="1" x14ac:dyDescent="0.2">
      <c r="E21212" s="18"/>
      <c r="F21212" s="18"/>
    </row>
    <row r="21213" spans="5:6" ht="15" customHeight="1" x14ac:dyDescent="0.2">
      <c r="E21213" s="18"/>
      <c r="F21213" s="18"/>
    </row>
    <row r="21214" spans="5:6" ht="15" customHeight="1" x14ac:dyDescent="0.2">
      <c r="E21214" s="18"/>
      <c r="F21214" s="18"/>
    </row>
    <row r="21215" spans="5:6" ht="15" customHeight="1" x14ac:dyDescent="0.2">
      <c r="E21215" s="18"/>
      <c r="F21215" s="18"/>
    </row>
    <row r="21216" spans="5:6" ht="15" customHeight="1" x14ac:dyDescent="0.2">
      <c r="E21216" s="18"/>
      <c r="F21216" s="18"/>
    </row>
    <row r="21217" spans="5:6" ht="15" customHeight="1" x14ac:dyDescent="0.2">
      <c r="E21217" s="18"/>
      <c r="F21217" s="18"/>
    </row>
    <row r="21218" spans="5:6" ht="15" customHeight="1" x14ac:dyDescent="0.2">
      <c r="E21218" s="18"/>
      <c r="F21218" s="18"/>
    </row>
    <row r="21219" spans="5:6" ht="15" customHeight="1" x14ac:dyDescent="0.2">
      <c r="E21219" s="18"/>
      <c r="F21219" s="18"/>
    </row>
    <row r="21220" spans="5:6" ht="15" customHeight="1" x14ac:dyDescent="0.2">
      <c r="E21220" s="18"/>
      <c r="F21220" s="18"/>
    </row>
    <row r="21221" spans="5:6" ht="15" customHeight="1" x14ac:dyDescent="0.2">
      <c r="E21221" s="18"/>
      <c r="F21221" s="18"/>
    </row>
    <row r="21222" spans="5:6" ht="15" customHeight="1" x14ac:dyDescent="0.2">
      <c r="E21222" s="18"/>
      <c r="F21222" s="18"/>
    </row>
    <row r="21223" spans="5:6" ht="15" customHeight="1" x14ac:dyDescent="0.2">
      <c r="E21223" s="18"/>
      <c r="F21223" s="18"/>
    </row>
    <row r="21224" spans="5:6" ht="15" customHeight="1" x14ac:dyDescent="0.2">
      <c r="E21224" s="18"/>
      <c r="F21224" s="18"/>
    </row>
    <row r="21225" spans="5:6" ht="15" customHeight="1" x14ac:dyDescent="0.2">
      <c r="E21225" s="18"/>
      <c r="F21225" s="18"/>
    </row>
    <row r="21226" spans="5:6" ht="15" customHeight="1" x14ac:dyDescent="0.2">
      <c r="E21226" s="18"/>
      <c r="F21226" s="18"/>
    </row>
    <row r="21227" spans="5:6" ht="15" customHeight="1" x14ac:dyDescent="0.2">
      <c r="E21227" s="18"/>
      <c r="F21227" s="18"/>
    </row>
    <row r="21228" spans="5:6" ht="15" customHeight="1" x14ac:dyDescent="0.2">
      <c r="E21228" s="18"/>
      <c r="F21228" s="18"/>
    </row>
    <row r="21229" spans="5:6" ht="15" customHeight="1" x14ac:dyDescent="0.2">
      <c r="E21229" s="18"/>
      <c r="F21229" s="18"/>
    </row>
    <row r="21230" spans="5:6" ht="15" customHeight="1" x14ac:dyDescent="0.2">
      <c r="E21230" s="18"/>
      <c r="F21230" s="18"/>
    </row>
    <row r="21231" spans="5:6" ht="15" customHeight="1" x14ac:dyDescent="0.2">
      <c r="E21231" s="18"/>
      <c r="F21231" s="18"/>
    </row>
    <row r="21232" spans="5:6" ht="15" customHeight="1" x14ac:dyDescent="0.2">
      <c r="E21232" s="18"/>
      <c r="F21232" s="18"/>
    </row>
    <row r="21233" spans="5:6" ht="15" customHeight="1" x14ac:dyDescent="0.2">
      <c r="E21233" s="18"/>
      <c r="F21233" s="18"/>
    </row>
    <row r="21234" spans="5:6" ht="15" customHeight="1" x14ac:dyDescent="0.2">
      <c r="E21234" s="18"/>
      <c r="F21234" s="18"/>
    </row>
    <row r="21235" spans="5:6" ht="15" customHeight="1" x14ac:dyDescent="0.2">
      <c r="E21235" s="18"/>
      <c r="F21235" s="18"/>
    </row>
    <row r="21236" spans="5:6" ht="15" customHeight="1" x14ac:dyDescent="0.2">
      <c r="E21236" s="18"/>
      <c r="F21236" s="18"/>
    </row>
    <row r="21237" spans="5:6" ht="15" customHeight="1" x14ac:dyDescent="0.2">
      <c r="E21237" s="18"/>
      <c r="F21237" s="18"/>
    </row>
    <row r="21238" spans="5:6" ht="15" customHeight="1" x14ac:dyDescent="0.2">
      <c r="E21238" s="18"/>
      <c r="F21238" s="18"/>
    </row>
    <row r="21239" spans="5:6" ht="15" customHeight="1" x14ac:dyDescent="0.2">
      <c r="E21239" s="18"/>
      <c r="F21239" s="18"/>
    </row>
    <row r="21240" spans="5:6" ht="15" customHeight="1" x14ac:dyDescent="0.2">
      <c r="E21240" s="18"/>
      <c r="F21240" s="18"/>
    </row>
    <row r="21241" spans="5:6" ht="15" customHeight="1" x14ac:dyDescent="0.2">
      <c r="E21241" s="18"/>
      <c r="F21241" s="18"/>
    </row>
    <row r="21242" spans="5:6" ht="15" customHeight="1" x14ac:dyDescent="0.2">
      <c r="E21242" s="18"/>
      <c r="F21242" s="18"/>
    </row>
    <row r="21243" spans="5:6" ht="15" customHeight="1" x14ac:dyDescent="0.2">
      <c r="E21243" s="18"/>
      <c r="F21243" s="18"/>
    </row>
    <row r="21244" spans="5:6" ht="15" customHeight="1" x14ac:dyDescent="0.2">
      <c r="E21244" s="18"/>
      <c r="F21244" s="18"/>
    </row>
    <row r="21245" spans="5:6" ht="15" customHeight="1" x14ac:dyDescent="0.2">
      <c r="E21245" s="18"/>
      <c r="F21245" s="18"/>
    </row>
    <row r="21246" spans="5:6" ht="15" customHeight="1" x14ac:dyDescent="0.2">
      <c r="E21246" s="18"/>
      <c r="F21246" s="18"/>
    </row>
    <row r="21247" spans="5:6" ht="15" customHeight="1" x14ac:dyDescent="0.2">
      <c r="E21247" s="18"/>
      <c r="F21247" s="18"/>
    </row>
    <row r="21248" spans="5:6" ht="15" customHeight="1" x14ac:dyDescent="0.2">
      <c r="E21248" s="18"/>
      <c r="F21248" s="18"/>
    </row>
    <row r="21249" spans="5:6" ht="15" customHeight="1" x14ac:dyDescent="0.2">
      <c r="E21249" s="18"/>
      <c r="F21249" s="18"/>
    </row>
    <row r="21250" spans="5:6" ht="15" customHeight="1" x14ac:dyDescent="0.2">
      <c r="E21250" s="18"/>
      <c r="F21250" s="18"/>
    </row>
    <row r="21251" spans="5:6" ht="15" customHeight="1" x14ac:dyDescent="0.2">
      <c r="E21251" s="18"/>
      <c r="F21251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420"/>
  <sheetViews>
    <sheetView topLeftCell="A143" workbookViewId="0">
      <selection activeCell="M171" sqref="M171"/>
    </sheetView>
  </sheetViews>
  <sheetFormatPr defaultColWidth="12.5703125" defaultRowHeight="15.75" customHeight="1" x14ac:dyDescent="0.2"/>
  <cols>
    <col min="3" max="3" width="12.5703125" style="18"/>
    <col min="6" max="7" width="12.5703125" style="18"/>
    <col min="10" max="12" width="12.5703125" style="27"/>
    <col min="16" max="16" width="12.5703125" style="27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2025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45689</v>
      </c>
    </row>
    <row r="5" spans="1:16" ht="12.75" x14ac:dyDescent="0.2">
      <c r="A5" s="16" t="s">
        <v>111</v>
      </c>
    </row>
    <row r="7" spans="1:16" ht="12.75" x14ac:dyDescent="0.2">
      <c r="A7" s="1" t="str">
        <f>'Premium Information'!A7</f>
        <v>Data as of:</v>
      </c>
      <c r="B7" s="12">
        <f>'Premium Information'!B7</f>
        <v>45565</v>
      </c>
    </row>
    <row r="8" spans="1:16" ht="12.75" x14ac:dyDescent="0.2">
      <c r="A8" s="1" t="str">
        <f>'Premium Information'!A8</f>
        <v>Currency:</v>
      </c>
      <c r="B8" t="str">
        <f>'Premium Information'!B8</f>
        <v>USD</v>
      </c>
    </row>
    <row r="9" spans="1:16" ht="12.75" x14ac:dyDescent="0.2">
      <c r="A9" s="1"/>
    </row>
    <row r="10" spans="1:16" ht="15.75" customHeight="1" x14ac:dyDescent="0.2">
      <c r="A10" s="16" t="s">
        <v>11815</v>
      </c>
    </row>
    <row r="11" spans="1:16" ht="12.75" x14ac:dyDescent="0.2"/>
    <row r="12" spans="1:16" ht="12.75" x14ac:dyDescent="0.2">
      <c r="A12" s="1" t="s">
        <v>117</v>
      </c>
      <c r="B12" s="1" t="s">
        <v>118</v>
      </c>
      <c r="C12" s="18" t="s">
        <v>119</v>
      </c>
      <c r="D12" s="16" t="s">
        <v>131</v>
      </c>
      <c r="E12" s="1" t="s">
        <v>121</v>
      </c>
      <c r="F12" s="18" t="s">
        <v>122</v>
      </c>
      <c r="G12" s="18" t="s">
        <v>123</v>
      </c>
      <c r="H12" s="1" t="s">
        <v>124</v>
      </c>
      <c r="I12" s="16" t="s">
        <v>125</v>
      </c>
      <c r="J12" s="32" t="s">
        <v>126</v>
      </c>
      <c r="K12" s="32" t="s">
        <v>127</v>
      </c>
      <c r="L12" s="32" t="s">
        <v>128</v>
      </c>
      <c r="M12" s="16" t="s">
        <v>129</v>
      </c>
      <c r="N12" s="16" t="s">
        <v>130</v>
      </c>
      <c r="O12" s="16" t="s">
        <v>109</v>
      </c>
      <c r="P12" s="33" t="s">
        <v>93</v>
      </c>
    </row>
    <row r="13" spans="1:16" ht="15.75" customHeight="1" x14ac:dyDescent="0.2">
      <c r="A13" t="s">
        <v>11342</v>
      </c>
      <c r="B13" t="s">
        <v>163</v>
      </c>
      <c r="C13" s="18">
        <v>43506</v>
      </c>
      <c r="D13" t="s">
        <v>98</v>
      </c>
      <c r="E13">
        <v>3000000</v>
      </c>
      <c r="F13" s="18">
        <v>43833</v>
      </c>
      <c r="G13" s="18">
        <v>43884</v>
      </c>
      <c r="H13">
        <v>2020</v>
      </c>
      <c r="I13" t="s">
        <v>268</v>
      </c>
      <c r="J13" s="27">
        <v>192331.24</v>
      </c>
      <c r="K13" s="27">
        <v>0</v>
      </c>
      <c r="L13" s="27">
        <v>192331.24</v>
      </c>
      <c r="M13" t="s">
        <v>11343</v>
      </c>
      <c r="O13" t="s">
        <v>170</v>
      </c>
      <c r="P13" s="27">
        <v>0</v>
      </c>
    </row>
    <row r="14" spans="1:16" ht="15.75" customHeight="1" x14ac:dyDescent="0.2">
      <c r="A14" t="s">
        <v>11344</v>
      </c>
      <c r="B14" t="s">
        <v>163</v>
      </c>
      <c r="C14" s="18">
        <v>43543</v>
      </c>
      <c r="D14" t="s">
        <v>99</v>
      </c>
      <c r="E14">
        <v>2500000</v>
      </c>
      <c r="F14" s="18">
        <v>43852</v>
      </c>
      <c r="G14" s="18">
        <v>43900</v>
      </c>
      <c r="H14">
        <v>2020</v>
      </c>
      <c r="I14" t="s">
        <v>268</v>
      </c>
      <c r="J14" s="27">
        <v>92079.1</v>
      </c>
      <c r="K14" s="27">
        <v>0</v>
      </c>
      <c r="L14" s="27">
        <v>92079.1</v>
      </c>
      <c r="M14" t="s">
        <v>11345</v>
      </c>
      <c r="O14" t="s">
        <v>167</v>
      </c>
      <c r="P14" s="27">
        <v>92079.1</v>
      </c>
    </row>
    <row r="15" spans="1:16" ht="15.75" customHeight="1" x14ac:dyDescent="0.2">
      <c r="A15" t="s">
        <v>11346</v>
      </c>
      <c r="B15" t="s">
        <v>163</v>
      </c>
      <c r="C15" s="18">
        <v>43631</v>
      </c>
      <c r="D15" t="s">
        <v>98</v>
      </c>
      <c r="E15">
        <v>3000000</v>
      </c>
      <c r="F15" s="18">
        <v>43877</v>
      </c>
      <c r="G15" s="18">
        <v>43936</v>
      </c>
      <c r="H15">
        <v>2020</v>
      </c>
      <c r="I15" t="s">
        <v>268</v>
      </c>
      <c r="J15" s="27">
        <v>114460.54</v>
      </c>
      <c r="K15" s="27">
        <v>0</v>
      </c>
      <c r="L15" s="27">
        <v>114460.54</v>
      </c>
      <c r="M15" t="s">
        <v>11347</v>
      </c>
      <c r="O15" t="s">
        <v>170</v>
      </c>
      <c r="P15" s="27">
        <v>0</v>
      </c>
    </row>
    <row r="16" spans="1:16" ht="15.75" customHeight="1" x14ac:dyDescent="0.2">
      <c r="A16" t="s">
        <v>11348</v>
      </c>
      <c r="B16" t="s">
        <v>163</v>
      </c>
      <c r="C16" s="18">
        <v>43840</v>
      </c>
      <c r="D16" t="s">
        <v>100</v>
      </c>
      <c r="E16">
        <v>2000000</v>
      </c>
      <c r="F16" s="18">
        <v>43911</v>
      </c>
      <c r="G16" s="18">
        <v>43960</v>
      </c>
      <c r="H16">
        <v>2020</v>
      </c>
      <c r="I16" t="s">
        <v>268</v>
      </c>
      <c r="J16" s="27">
        <v>480816.49</v>
      </c>
      <c r="K16" s="27">
        <v>0</v>
      </c>
      <c r="L16" s="27">
        <v>480816.49</v>
      </c>
      <c r="M16" t="s">
        <v>11349</v>
      </c>
      <c r="O16" t="s">
        <v>167</v>
      </c>
      <c r="P16" s="27">
        <v>480816.49</v>
      </c>
    </row>
    <row r="17" spans="1:16" ht="15.75" customHeight="1" x14ac:dyDescent="0.2">
      <c r="A17" t="s">
        <v>11350</v>
      </c>
      <c r="B17" t="s">
        <v>163</v>
      </c>
      <c r="C17" s="18">
        <v>43889</v>
      </c>
      <c r="D17" t="s">
        <v>101</v>
      </c>
      <c r="E17">
        <v>2000000</v>
      </c>
      <c r="F17" s="18">
        <v>43896</v>
      </c>
      <c r="G17" s="18">
        <v>43963</v>
      </c>
      <c r="H17">
        <v>2020</v>
      </c>
      <c r="I17" t="s">
        <v>268</v>
      </c>
      <c r="J17" s="27">
        <v>129952.08</v>
      </c>
      <c r="K17" s="27">
        <v>0</v>
      </c>
      <c r="L17" s="27">
        <v>129952.08</v>
      </c>
      <c r="M17" t="s">
        <v>11351</v>
      </c>
      <c r="O17" t="s">
        <v>167</v>
      </c>
      <c r="P17" s="27">
        <v>129952.08</v>
      </c>
    </row>
    <row r="18" spans="1:16" ht="15.75" customHeight="1" x14ac:dyDescent="0.2">
      <c r="A18" t="s">
        <v>11352</v>
      </c>
      <c r="B18" t="s">
        <v>163</v>
      </c>
      <c r="C18" s="18">
        <v>43805</v>
      </c>
      <c r="D18" t="s">
        <v>100</v>
      </c>
      <c r="E18">
        <v>3500000</v>
      </c>
      <c r="F18" s="18">
        <v>43898</v>
      </c>
      <c r="G18" s="18">
        <v>43967</v>
      </c>
      <c r="H18">
        <v>2020</v>
      </c>
      <c r="I18" t="s">
        <v>268</v>
      </c>
      <c r="J18" s="27">
        <v>635585.11</v>
      </c>
      <c r="K18" s="27">
        <v>0</v>
      </c>
      <c r="L18" s="27">
        <v>635585.11</v>
      </c>
      <c r="M18" t="s">
        <v>11353</v>
      </c>
      <c r="O18" t="s">
        <v>167</v>
      </c>
      <c r="P18" s="27">
        <v>635585.11</v>
      </c>
    </row>
    <row r="19" spans="1:16" ht="15.75" customHeight="1" x14ac:dyDescent="0.2">
      <c r="A19" t="s">
        <v>11354</v>
      </c>
      <c r="B19" t="s">
        <v>163</v>
      </c>
      <c r="C19" s="18">
        <v>43748</v>
      </c>
      <c r="D19" t="s">
        <v>98</v>
      </c>
      <c r="E19">
        <v>4000000</v>
      </c>
      <c r="F19" s="18">
        <v>43874</v>
      </c>
      <c r="G19" s="18">
        <v>43968</v>
      </c>
      <c r="H19">
        <v>2020</v>
      </c>
      <c r="I19" t="s">
        <v>268</v>
      </c>
      <c r="J19" s="27">
        <v>113974.93</v>
      </c>
      <c r="K19" s="27">
        <v>0</v>
      </c>
      <c r="L19" s="27">
        <v>113974.93</v>
      </c>
      <c r="M19" t="s">
        <v>11355</v>
      </c>
      <c r="O19" t="s">
        <v>170</v>
      </c>
      <c r="P19" s="27">
        <v>0</v>
      </c>
    </row>
    <row r="20" spans="1:16" ht="15.75" customHeight="1" x14ac:dyDescent="0.2">
      <c r="A20" t="s">
        <v>11356</v>
      </c>
      <c r="B20" t="s">
        <v>163</v>
      </c>
      <c r="C20" s="18">
        <v>43566</v>
      </c>
      <c r="D20" t="s">
        <v>101</v>
      </c>
      <c r="E20">
        <v>10000000</v>
      </c>
      <c r="F20" s="18">
        <v>43926</v>
      </c>
      <c r="G20" s="18">
        <v>43971</v>
      </c>
      <c r="H20">
        <v>2020</v>
      </c>
      <c r="I20" t="s">
        <v>268</v>
      </c>
      <c r="J20" s="27">
        <v>201081.21</v>
      </c>
      <c r="K20" s="27">
        <v>0</v>
      </c>
      <c r="L20" s="27">
        <v>201081.21</v>
      </c>
      <c r="M20" t="s">
        <v>11357</v>
      </c>
      <c r="O20" t="s">
        <v>167</v>
      </c>
      <c r="P20" s="27">
        <v>201081.21</v>
      </c>
    </row>
    <row r="21" spans="1:16" ht="15.75" customHeight="1" x14ac:dyDescent="0.2">
      <c r="A21" t="s">
        <v>11358</v>
      </c>
      <c r="B21" t="s">
        <v>163</v>
      </c>
      <c r="C21" s="18">
        <v>43870</v>
      </c>
      <c r="D21" t="s">
        <v>101</v>
      </c>
      <c r="E21">
        <v>4000000</v>
      </c>
      <c r="F21" s="18">
        <v>43870</v>
      </c>
      <c r="G21" s="18">
        <v>43973</v>
      </c>
      <c r="H21">
        <v>2020</v>
      </c>
      <c r="I21" t="s">
        <v>268</v>
      </c>
      <c r="J21" s="27">
        <v>256038.65</v>
      </c>
      <c r="K21" s="27">
        <v>0</v>
      </c>
      <c r="L21" s="27">
        <v>256038.65</v>
      </c>
      <c r="M21" t="s">
        <v>11359</v>
      </c>
      <c r="O21" t="s">
        <v>170</v>
      </c>
      <c r="P21" s="27">
        <v>0</v>
      </c>
    </row>
    <row r="22" spans="1:16" ht="15.75" customHeight="1" x14ac:dyDescent="0.2">
      <c r="A22" t="s">
        <v>11360</v>
      </c>
      <c r="B22" t="s">
        <v>163</v>
      </c>
      <c r="C22" s="18">
        <v>43640</v>
      </c>
      <c r="D22" t="s">
        <v>98</v>
      </c>
      <c r="E22">
        <v>3000000</v>
      </c>
      <c r="F22" s="18">
        <v>43954</v>
      </c>
      <c r="G22" s="18">
        <v>43993</v>
      </c>
      <c r="H22">
        <v>2020</v>
      </c>
      <c r="I22" t="s">
        <v>268</v>
      </c>
      <c r="J22" s="27">
        <v>184784.32</v>
      </c>
      <c r="K22" s="27">
        <v>0</v>
      </c>
      <c r="L22" s="27">
        <v>184784.32</v>
      </c>
      <c r="M22" t="s">
        <v>11343</v>
      </c>
      <c r="O22" t="s">
        <v>170</v>
      </c>
      <c r="P22" s="27">
        <v>0</v>
      </c>
    </row>
    <row r="23" spans="1:16" ht="15.75" customHeight="1" x14ac:dyDescent="0.2">
      <c r="A23" t="s">
        <v>11361</v>
      </c>
      <c r="B23" t="s">
        <v>163</v>
      </c>
      <c r="C23" s="18">
        <v>43797</v>
      </c>
      <c r="D23" t="s">
        <v>98</v>
      </c>
      <c r="E23">
        <v>2000000</v>
      </c>
      <c r="F23" s="18">
        <v>43869</v>
      </c>
      <c r="G23" s="18">
        <v>44001</v>
      </c>
      <c r="H23">
        <v>2020</v>
      </c>
      <c r="I23" t="s">
        <v>268</v>
      </c>
      <c r="J23" s="27">
        <v>213242.84</v>
      </c>
      <c r="K23" s="27">
        <v>0</v>
      </c>
      <c r="L23" s="27">
        <v>213242.84</v>
      </c>
      <c r="M23" t="s">
        <v>11357</v>
      </c>
      <c r="O23" t="s">
        <v>170</v>
      </c>
      <c r="P23" s="27">
        <v>0</v>
      </c>
    </row>
    <row r="24" spans="1:16" ht="15.75" customHeight="1" x14ac:dyDescent="0.2">
      <c r="A24" t="s">
        <v>11362</v>
      </c>
      <c r="B24" t="s">
        <v>163</v>
      </c>
      <c r="C24" s="18">
        <v>43897</v>
      </c>
      <c r="D24" t="s">
        <v>99</v>
      </c>
      <c r="E24">
        <v>2000000</v>
      </c>
      <c r="F24" s="18">
        <v>43967</v>
      </c>
      <c r="G24" s="18">
        <v>44002</v>
      </c>
      <c r="H24">
        <v>2020</v>
      </c>
      <c r="I24" t="s">
        <v>268</v>
      </c>
      <c r="J24" s="27">
        <v>121344.63</v>
      </c>
      <c r="K24" s="27">
        <v>0</v>
      </c>
      <c r="L24" s="27">
        <v>121344.63</v>
      </c>
      <c r="M24" t="s">
        <v>11355</v>
      </c>
      <c r="O24" t="s">
        <v>167</v>
      </c>
      <c r="P24" s="27">
        <v>121344.63</v>
      </c>
    </row>
    <row r="25" spans="1:16" ht="15.75" customHeight="1" x14ac:dyDescent="0.2">
      <c r="A25" t="s">
        <v>11363</v>
      </c>
      <c r="B25" t="s">
        <v>163</v>
      </c>
      <c r="C25" s="18">
        <v>43722</v>
      </c>
      <c r="D25" t="s">
        <v>102</v>
      </c>
      <c r="E25">
        <v>4000000</v>
      </c>
      <c r="F25" s="18">
        <v>43905</v>
      </c>
      <c r="G25" s="18">
        <v>44011</v>
      </c>
      <c r="H25">
        <v>2020</v>
      </c>
      <c r="I25" t="s">
        <v>268</v>
      </c>
      <c r="J25" s="27">
        <v>370498.13</v>
      </c>
      <c r="K25" s="27">
        <v>0</v>
      </c>
      <c r="L25" s="27">
        <v>370498.13</v>
      </c>
      <c r="M25" t="s">
        <v>11364</v>
      </c>
      <c r="O25" t="s">
        <v>167</v>
      </c>
      <c r="P25" s="27">
        <v>370498.13</v>
      </c>
    </row>
    <row r="26" spans="1:16" ht="15.75" customHeight="1" x14ac:dyDescent="0.2">
      <c r="A26" t="s">
        <v>11365</v>
      </c>
      <c r="B26" t="s">
        <v>163</v>
      </c>
      <c r="C26" s="18">
        <v>43785</v>
      </c>
      <c r="D26" t="s">
        <v>102</v>
      </c>
      <c r="E26">
        <v>5000000</v>
      </c>
      <c r="F26" s="18">
        <v>43962</v>
      </c>
      <c r="G26" s="18">
        <v>44014</v>
      </c>
      <c r="H26">
        <v>2020</v>
      </c>
      <c r="I26" t="s">
        <v>268</v>
      </c>
      <c r="J26" s="27">
        <v>307666.77</v>
      </c>
      <c r="K26" s="27">
        <v>0</v>
      </c>
      <c r="L26" s="27">
        <v>307666.77</v>
      </c>
      <c r="M26" t="s">
        <v>11366</v>
      </c>
      <c r="O26" t="s">
        <v>167</v>
      </c>
      <c r="P26" s="27">
        <v>307666.77</v>
      </c>
    </row>
    <row r="27" spans="1:16" ht="15.75" customHeight="1" x14ac:dyDescent="0.2">
      <c r="A27" t="s">
        <v>11367</v>
      </c>
      <c r="B27" t="s">
        <v>163</v>
      </c>
      <c r="C27" s="18">
        <v>43697</v>
      </c>
      <c r="D27" t="s">
        <v>99</v>
      </c>
      <c r="E27">
        <v>2500000</v>
      </c>
      <c r="F27" s="18">
        <v>43975</v>
      </c>
      <c r="G27" s="18">
        <v>44017</v>
      </c>
      <c r="H27">
        <v>2020</v>
      </c>
      <c r="I27" t="s">
        <v>268</v>
      </c>
      <c r="J27" s="27">
        <v>72474.52</v>
      </c>
      <c r="K27" s="27">
        <v>0</v>
      </c>
      <c r="L27" s="27">
        <v>72474.52</v>
      </c>
      <c r="M27" t="s">
        <v>11368</v>
      </c>
      <c r="O27" t="s">
        <v>167</v>
      </c>
      <c r="P27" s="27">
        <v>72474.52</v>
      </c>
    </row>
    <row r="28" spans="1:16" ht="15.75" customHeight="1" x14ac:dyDescent="0.2">
      <c r="A28" t="s">
        <v>11369</v>
      </c>
      <c r="B28" t="s">
        <v>163</v>
      </c>
      <c r="C28" s="18">
        <v>43925</v>
      </c>
      <c r="D28" t="s">
        <v>101</v>
      </c>
      <c r="E28">
        <v>2000000</v>
      </c>
      <c r="F28" s="18">
        <v>43934</v>
      </c>
      <c r="G28" s="18">
        <v>44020</v>
      </c>
      <c r="H28">
        <v>2020</v>
      </c>
      <c r="I28" t="s">
        <v>268</v>
      </c>
      <c r="J28" s="27">
        <v>177631.05</v>
      </c>
      <c r="K28" s="27">
        <v>0</v>
      </c>
      <c r="L28" s="27">
        <v>177631.05</v>
      </c>
      <c r="M28" t="s">
        <v>11370</v>
      </c>
      <c r="O28" t="s">
        <v>167</v>
      </c>
      <c r="P28" s="27">
        <v>177631.05</v>
      </c>
    </row>
    <row r="29" spans="1:16" ht="15.75" customHeight="1" x14ac:dyDescent="0.2">
      <c r="A29" t="s">
        <v>11371</v>
      </c>
      <c r="B29" t="s">
        <v>163</v>
      </c>
      <c r="C29" s="18">
        <v>43731</v>
      </c>
      <c r="D29" t="s">
        <v>100</v>
      </c>
      <c r="E29">
        <v>2000000</v>
      </c>
      <c r="F29" s="18">
        <v>43949</v>
      </c>
      <c r="G29" s="18">
        <v>44022</v>
      </c>
      <c r="H29">
        <v>2020</v>
      </c>
      <c r="I29" t="s">
        <v>268</v>
      </c>
      <c r="J29" s="27">
        <v>231601.14</v>
      </c>
      <c r="K29" s="27">
        <v>0</v>
      </c>
      <c r="L29" s="27">
        <v>231601.14</v>
      </c>
      <c r="M29" t="s">
        <v>11372</v>
      </c>
      <c r="O29" t="s">
        <v>167</v>
      </c>
      <c r="P29" s="27">
        <v>231601.14</v>
      </c>
    </row>
    <row r="30" spans="1:16" ht="15.75" customHeight="1" x14ac:dyDescent="0.2">
      <c r="A30" t="s">
        <v>11373</v>
      </c>
      <c r="B30" t="s">
        <v>163</v>
      </c>
      <c r="C30" s="18">
        <v>43685</v>
      </c>
      <c r="D30" t="s">
        <v>100</v>
      </c>
      <c r="E30">
        <v>2500000</v>
      </c>
      <c r="F30" s="18">
        <v>43954</v>
      </c>
      <c r="G30" s="18">
        <v>44023</v>
      </c>
      <c r="H30">
        <v>2020</v>
      </c>
      <c r="I30" t="s">
        <v>268</v>
      </c>
      <c r="J30" s="27">
        <v>172854.31</v>
      </c>
      <c r="K30" s="27">
        <v>0</v>
      </c>
      <c r="L30" s="27">
        <v>172854.31</v>
      </c>
      <c r="M30" t="s">
        <v>11374</v>
      </c>
      <c r="O30" t="s">
        <v>167</v>
      </c>
      <c r="P30" s="27">
        <v>172854.31</v>
      </c>
    </row>
    <row r="31" spans="1:16" ht="15.75" customHeight="1" x14ac:dyDescent="0.2">
      <c r="A31" t="s">
        <v>11375</v>
      </c>
      <c r="B31" t="s">
        <v>163</v>
      </c>
      <c r="C31" s="18">
        <v>43913</v>
      </c>
      <c r="D31" t="s">
        <v>98</v>
      </c>
      <c r="E31">
        <v>3000000</v>
      </c>
      <c r="F31" s="18">
        <v>43951</v>
      </c>
      <c r="G31" s="18">
        <v>44037</v>
      </c>
      <c r="H31">
        <v>2020</v>
      </c>
      <c r="I31" t="s">
        <v>268</v>
      </c>
      <c r="J31" s="27">
        <v>79836.929999999993</v>
      </c>
      <c r="K31" s="27">
        <v>0</v>
      </c>
      <c r="L31" s="27">
        <v>79836.929999999993</v>
      </c>
      <c r="M31" t="s">
        <v>11376</v>
      </c>
      <c r="O31" t="s">
        <v>170</v>
      </c>
      <c r="P31" s="27">
        <v>0</v>
      </c>
    </row>
    <row r="32" spans="1:16" ht="15.75" customHeight="1" x14ac:dyDescent="0.2">
      <c r="A32" t="s">
        <v>11377</v>
      </c>
      <c r="B32" t="s">
        <v>163</v>
      </c>
      <c r="C32" s="18">
        <v>43606</v>
      </c>
      <c r="D32" t="s">
        <v>98</v>
      </c>
      <c r="E32">
        <v>1000000</v>
      </c>
      <c r="F32" s="18">
        <v>43927</v>
      </c>
      <c r="G32" s="18">
        <v>44054</v>
      </c>
      <c r="H32">
        <v>2020</v>
      </c>
      <c r="I32" t="s">
        <v>268</v>
      </c>
      <c r="J32" s="27">
        <v>147965.35999999999</v>
      </c>
      <c r="K32" s="27">
        <v>0</v>
      </c>
      <c r="L32" s="27">
        <v>147965.35999999999</v>
      </c>
      <c r="M32" t="s">
        <v>11378</v>
      </c>
      <c r="O32" t="s">
        <v>170</v>
      </c>
      <c r="P32" s="27">
        <v>0</v>
      </c>
    </row>
    <row r="33" spans="1:16" ht="15.75" customHeight="1" x14ac:dyDescent="0.2">
      <c r="A33" t="s">
        <v>11379</v>
      </c>
      <c r="B33" t="s">
        <v>219</v>
      </c>
      <c r="C33" s="18">
        <v>43875</v>
      </c>
      <c r="D33" t="s">
        <v>99</v>
      </c>
      <c r="E33">
        <v>1500000</v>
      </c>
      <c r="F33" s="18">
        <v>44042</v>
      </c>
      <c r="G33" s="18">
        <v>44081</v>
      </c>
      <c r="H33">
        <v>2020</v>
      </c>
      <c r="I33" t="s">
        <v>268</v>
      </c>
      <c r="J33" s="27">
        <v>130216.55</v>
      </c>
      <c r="K33" s="27">
        <v>124.599999999997</v>
      </c>
      <c r="L33" s="27">
        <v>130341.15</v>
      </c>
      <c r="M33" t="s">
        <v>11380</v>
      </c>
      <c r="O33" t="s">
        <v>167</v>
      </c>
      <c r="P33" s="27">
        <v>130341.15</v>
      </c>
    </row>
    <row r="34" spans="1:16" ht="15.75" customHeight="1" x14ac:dyDescent="0.2">
      <c r="A34" t="s">
        <v>11381</v>
      </c>
      <c r="B34" t="s">
        <v>163</v>
      </c>
      <c r="C34" s="18">
        <v>43794</v>
      </c>
      <c r="D34" t="s">
        <v>98</v>
      </c>
      <c r="E34">
        <v>5000000</v>
      </c>
      <c r="F34" s="18">
        <v>43848</v>
      </c>
      <c r="G34" s="18">
        <v>44096</v>
      </c>
      <c r="H34">
        <v>2020</v>
      </c>
      <c r="I34" t="s">
        <v>268</v>
      </c>
      <c r="J34" s="27">
        <v>154198.38</v>
      </c>
      <c r="K34" s="27">
        <v>0</v>
      </c>
      <c r="L34" s="27">
        <v>154198.38</v>
      </c>
      <c r="M34" t="s">
        <v>11370</v>
      </c>
      <c r="O34" t="s">
        <v>170</v>
      </c>
      <c r="P34" s="27">
        <v>0</v>
      </c>
    </row>
    <row r="35" spans="1:16" ht="15.75" customHeight="1" x14ac:dyDescent="0.2">
      <c r="A35" t="s">
        <v>11382</v>
      </c>
      <c r="B35" t="s">
        <v>163</v>
      </c>
      <c r="C35" s="18">
        <v>43888</v>
      </c>
      <c r="D35" t="s">
        <v>99</v>
      </c>
      <c r="E35">
        <v>2000000</v>
      </c>
      <c r="F35" s="18">
        <v>43985</v>
      </c>
      <c r="G35" s="18">
        <v>44102</v>
      </c>
      <c r="H35">
        <v>2020</v>
      </c>
      <c r="I35" t="s">
        <v>268</v>
      </c>
      <c r="J35" s="27">
        <v>149965.81</v>
      </c>
      <c r="K35" s="27">
        <v>0</v>
      </c>
      <c r="L35" s="27">
        <v>149965.81</v>
      </c>
      <c r="M35" t="s">
        <v>11370</v>
      </c>
      <c r="O35" t="s">
        <v>167</v>
      </c>
      <c r="P35" s="27">
        <v>149965.81</v>
      </c>
    </row>
    <row r="36" spans="1:16" ht="15.75" customHeight="1" x14ac:dyDescent="0.2">
      <c r="A36" t="s">
        <v>11383</v>
      </c>
      <c r="B36" t="s">
        <v>163</v>
      </c>
      <c r="C36" s="18">
        <v>43920</v>
      </c>
      <c r="D36" t="s">
        <v>101</v>
      </c>
      <c r="E36">
        <v>4500000</v>
      </c>
      <c r="F36" s="18">
        <v>44046</v>
      </c>
      <c r="G36" s="18">
        <v>44110</v>
      </c>
      <c r="H36">
        <v>2020</v>
      </c>
      <c r="I36" t="s">
        <v>268</v>
      </c>
      <c r="J36" s="27">
        <v>139186.82999999999</v>
      </c>
      <c r="K36" s="27">
        <v>0</v>
      </c>
      <c r="L36" s="27">
        <v>139186.82999999999</v>
      </c>
      <c r="M36" t="s">
        <v>11384</v>
      </c>
      <c r="O36" t="s">
        <v>167</v>
      </c>
      <c r="P36" s="27">
        <v>139186.82999999999</v>
      </c>
    </row>
    <row r="37" spans="1:16" ht="15.75" customHeight="1" x14ac:dyDescent="0.2">
      <c r="A37" t="s">
        <v>11385</v>
      </c>
      <c r="B37" t="s">
        <v>163</v>
      </c>
      <c r="C37" s="18">
        <v>43833</v>
      </c>
      <c r="D37" t="s">
        <v>100</v>
      </c>
      <c r="E37">
        <v>1000000</v>
      </c>
      <c r="F37" s="18">
        <v>44052</v>
      </c>
      <c r="G37" s="18">
        <v>44112</v>
      </c>
      <c r="H37">
        <v>2020</v>
      </c>
      <c r="I37" t="s">
        <v>268</v>
      </c>
      <c r="J37" s="27">
        <v>107993.65</v>
      </c>
      <c r="K37" s="27">
        <v>0</v>
      </c>
      <c r="L37" s="27">
        <v>107993.65</v>
      </c>
      <c r="M37" t="s">
        <v>11355</v>
      </c>
      <c r="O37" t="s">
        <v>167</v>
      </c>
      <c r="P37" s="27">
        <v>107993.65</v>
      </c>
    </row>
    <row r="38" spans="1:16" ht="15.75" customHeight="1" x14ac:dyDescent="0.2">
      <c r="A38" t="s">
        <v>11386</v>
      </c>
      <c r="B38" t="s">
        <v>163</v>
      </c>
      <c r="C38" s="18">
        <v>43628</v>
      </c>
      <c r="D38" t="s">
        <v>102</v>
      </c>
      <c r="E38">
        <v>5000000</v>
      </c>
      <c r="F38" s="18">
        <v>43989</v>
      </c>
      <c r="G38" s="18">
        <v>44116</v>
      </c>
      <c r="H38">
        <v>2020</v>
      </c>
      <c r="I38" t="s">
        <v>268</v>
      </c>
      <c r="J38" s="27">
        <v>86007.8</v>
      </c>
      <c r="K38" s="27">
        <v>0</v>
      </c>
      <c r="L38" s="27">
        <v>86007.8</v>
      </c>
      <c r="M38" t="s">
        <v>11387</v>
      </c>
      <c r="O38" t="s">
        <v>167</v>
      </c>
      <c r="P38" s="27">
        <v>86007.8</v>
      </c>
    </row>
    <row r="39" spans="1:16" ht="15.75" customHeight="1" x14ac:dyDescent="0.2">
      <c r="A39" t="s">
        <v>11388</v>
      </c>
      <c r="B39" t="s">
        <v>163</v>
      </c>
      <c r="C39" s="18">
        <v>43758</v>
      </c>
      <c r="D39" t="s">
        <v>98</v>
      </c>
      <c r="E39">
        <v>2500000</v>
      </c>
      <c r="F39" s="18">
        <v>44060</v>
      </c>
      <c r="G39" s="18">
        <v>44116</v>
      </c>
      <c r="H39">
        <v>2020</v>
      </c>
      <c r="I39" t="s">
        <v>268</v>
      </c>
      <c r="J39" s="27">
        <v>66819.8</v>
      </c>
      <c r="K39" s="27">
        <v>0</v>
      </c>
      <c r="L39" s="27">
        <v>66819.8</v>
      </c>
      <c r="M39" t="s">
        <v>11389</v>
      </c>
      <c r="O39" t="s">
        <v>170</v>
      </c>
      <c r="P39" s="27">
        <v>0</v>
      </c>
    </row>
    <row r="40" spans="1:16" ht="15.75" customHeight="1" x14ac:dyDescent="0.2">
      <c r="A40" t="s">
        <v>11390</v>
      </c>
      <c r="B40" t="s">
        <v>163</v>
      </c>
      <c r="C40" s="18">
        <v>43720</v>
      </c>
      <c r="D40" t="s">
        <v>102</v>
      </c>
      <c r="E40">
        <v>10000000</v>
      </c>
      <c r="F40" s="18">
        <v>44016</v>
      </c>
      <c r="G40" s="18">
        <v>44123</v>
      </c>
      <c r="H40">
        <v>2020</v>
      </c>
      <c r="I40" t="s">
        <v>268</v>
      </c>
      <c r="J40" s="27">
        <v>370269.67</v>
      </c>
      <c r="K40" s="27">
        <v>0</v>
      </c>
      <c r="L40" s="27">
        <v>370269.67</v>
      </c>
      <c r="M40" t="s">
        <v>11391</v>
      </c>
      <c r="O40" t="s">
        <v>170</v>
      </c>
      <c r="P40" s="27">
        <v>0</v>
      </c>
    </row>
    <row r="41" spans="1:16" ht="15.75" customHeight="1" x14ac:dyDescent="0.2">
      <c r="A41" t="s">
        <v>11392</v>
      </c>
      <c r="B41" t="s">
        <v>163</v>
      </c>
      <c r="C41" s="18">
        <v>43691</v>
      </c>
      <c r="D41" t="s">
        <v>98</v>
      </c>
      <c r="E41">
        <v>5000000</v>
      </c>
      <c r="F41" s="18">
        <v>43967</v>
      </c>
      <c r="G41" s="18">
        <v>44126</v>
      </c>
      <c r="H41">
        <v>2020</v>
      </c>
      <c r="I41" t="s">
        <v>268</v>
      </c>
      <c r="J41" s="27">
        <v>337431.02</v>
      </c>
      <c r="K41" s="27">
        <v>0</v>
      </c>
      <c r="L41" s="27">
        <v>337431.02</v>
      </c>
      <c r="M41" t="s">
        <v>11393</v>
      </c>
      <c r="O41" t="s">
        <v>170</v>
      </c>
      <c r="P41" s="27">
        <v>0</v>
      </c>
    </row>
    <row r="42" spans="1:16" ht="15.75" customHeight="1" x14ac:dyDescent="0.2">
      <c r="A42" t="s">
        <v>11394</v>
      </c>
      <c r="B42" t="s">
        <v>163</v>
      </c>
      <c r="C42" s="18">
        <v>43921</v>
      </c>
      <c r="D42" t="s">
        <v>101</v>
      </c>
      <c r="E42">
        <v>2000000</v>
      </c>
      <c r="F42" s="18">
        <v>43992</v>
      </c>
      <c r="G42" s="18">
        <v>44129</v>
      </c>
      <c r="H42">
        <v>2020</v>
      </c>
      <c r="I42" t="s">
        <v>268</v>
      </c>
      <c r="J42" s="27">
        <v>150820.23000000001</v>
      </c>
      <c r="K42" s="27">
        <v>0</v>
      </c>
      <c r="L42" s="27">
        <v>150820.23000000001</v>
      </c>
      <c r="M42" t="s">
        <v>11395</v>
      </c>
      <c r="O42" t="s">
        <v>167</v>
      </c>
      <c r="P42" s="27">
        <v>150820.23000000001</v>
      </c>
    </row>
    <row r="43" spans="1:16" ht="15.75" customHeight="1" x14ac:dyDescent="0.2">
      <c r="A43" t="s">
        <v>11396</v>
      </c>
      <c r="B43" t="s">
        <v>163</v>
      </c>
      <c r="C43" s="18">
        <v>43988</v>
      </c>
      <c r="D43" t="s">
        <v>100</v>
      </c>
      <c r="E43">
        <v>2000000</v>
      </c>
      <c r="F43" s="18">
        <v>44092</v>
      </c>
      <c r="G43" s="18">
        <v>44131</v>
      </c>
      <c r="H43">
        <v>2020</v>
      </c>
      <c r="I43" t="s">
        <v>268</v>
      </c>
      <c r="J43" s="27">
        <v>119935.99</v>
      </c>
      <c r="K43" s="27">
        <v>0</v>
      </c>
      <c r="L43" s="27">
        <v>119935.99</v>
      </c>
      <c r="M43" t="s">
        <v>11397</v>
      </c>
      <c r="O43" t="s">
        <v>167</v>
      </c>
      <c r="P43" s="27">
        <v>119935.99</v>
      </c>
    </row>
    <row r="44" spans="1:16" ht="15.75" customHeight="1" x14ac:dyDescent="0.2">
      <c r="A44" t="s">
        <v>11398</v>
      </c>
      <c r="B44" t="s">
        <v>163</v>
      </c>
      <c r="C44" s="18">
        <v>43823</v>
      </c>
      <c r="D44" t="s">
        <v>98</v>
      </c>
      <c r="E44">
        <v>1500000</v>
      </c>
      <c r="F44" s="18">
        <v>44094</v>
      </c>
      <c r="G44" s="18">
        <v>44139</v>
      </c>
      <c r="H44">
        <v>2020</v>
      </c>
      <c r="I44" t="s">
        <v>268</v>
      </c>
      <c r="J44" s="27">
        <v>137198.63</v>
      </c>
      <c r="K44" s="27">
        <v>0</v>
      </c>
      <c r="L44" s="27">
        <v>137198.63</v>
      </c>
      <c r="M44" t="s">
        <v>11399</v>
      </c>
      <c r="O44" t="s">
        <v>170</v>
      </c>
      <c r="P44" s="27">
        <v>0</v>
      </c>
    </row>
    <row r="45" spans="1:16" ht="15.75" customHeight="1" x14ac:dyDescent="0.2">
      <c r="A45" t="s">
        <v>11400</v>
      </c>
      <c r="B45" t="s">
        <v>163</v>
      </c>
      <c r="C45" s="18">
        <v>43582</v>
      </c>
      <c r="D45" t="s">
        <v>99</v>
      </c>
      <c r="E45">
        <v>2000000</v>
      </c>
      <c r="F45" s="18">
        <v>43918</v>
      </c>
      <c r="G45" s="18">
        <v>44145</v>
      </c>
      <c r="H45">
        <v>2020</v>
      </c>
      <c r="I45" t="s">
        <v>268</v>
      </c>
      <c r="J45" s="27">
        <v>401226.68</v>
      </c>
      <c r="K45" s="27">
        <v>0</v>
      </c>
      <c r="L45" s="27">
        <v>401226.68</v>
      </c>
      <c r="M45" t="s">
        <v>11401</v>
      </c>
      <c r="O45" t="s">
        <v>170</v>
      </c>
      <c r="P45" s="27">
        <v>0</v>
      </c>
    </row>
    <row r="46" spans="1:16" ht="15.75" customHeight="1" x14ac:dyDescent="0.2">
      <c r="A46" t="s">
        <v>11402</v>
      </c>
      <c r="B46" t="s">
        <v>163</v>
      </c>
      <c r="C46" s="18">
        <v>43906</v>
      </c>
      <c r="D46" t="s">
        <v>100</v>
      </c>
      <c r="E46">
        <v>3000000</v>
      </c>
      <c r="F46" s="18">
        <v>43910</v>
      </c>
      <c r="G46" s="18">
        <v>44148</v>
      </c>
      <c r="H46">
        <v>2020</v>
      </c>
      <c r="I46" t="s">
        <v>268</v>
      </c>
      <c r="J46" s="27">
        <v>243871.8</v>
      </c>
      <c r="K46" s="27">
        <v>0</v>
      </c>
      <c r="L46" s="27">
        <v>243871.8</v>
      </c>
      <c r="M46" t="s">
        <v>11372</v>
      </c>
      <c r="O46" t="s">
        <v>170</v>
      </c>
      <c r="P46" s="27">
        <v>0</v>
      </c>
    </row>
    <row r="47" spans="1:16" ht="15.75" customHeight="1" x14ac:dyDescent="0.2">
      <c r="A47" t="s">
        <v>11403</v>
      </c>
      <c r="B47" t="s">
        <v>163</v>
      </c>
      <c r="C47" s="18">
        <v>43962</v>
      </c>
      <c r="D47" t="s">
        <v>99</v>
      </c>
      <c r="E47">
        <v>4000000</v>
      </c>
      <c r="F47" s="18">
        <v>44121</v>
      </c>
      <c r="G47" s="18">
        <v>44152</v>
      </c>
      <c r="H47">
        <v>2020</v>
      </c>
      <c r="I47" t="s">
        <v>268</v>
      </c>
      <c r="J47" s="27">
        <v>159341.31</v>
      </c>
      <c r="K47" s="27">
        <v>0</v>
      </c>
      <c r="L47" s="27">
        <v>159341.31</v>
      </c>
      <c r="M47" t="s">
        <v>11370</v>
      </c>
      <c r="O47" t="s">
        <v>167</v>
      </c>
      <c r="P47" s="27">
        <v>159341.31</v>
      </c>
    </row>
    <row r="48" spans="1:16" ht="15.75" customHeight="1" x14ac:dyDescent="0.2">
      <c r="A48" t="s">
        <v>11404</v>
      </c>
      <c r="B48" t="s">
        <v>163</v>
      </c>
      <c r="C48" s="18">
        <v>43905</v>
      </c>
      <c r="D48" t="s">
        <v>102</v>
      </c>
      <c r="E48">
        <v>3500000</v>
      </c>
      <c r="F48" s="18">
        <v>44101</v>
      </c>
      <c r="G48" s="18">
        <v>44166</v>
      </c>
      <c r="H48">
        <v>2020</v>
      </c>
      <c r="I48" t="s">
        <v>268</v>
      </c>
      <c r="J48" s="27">
        <v>786034.61</v>
      </c>
      <c r="K48" s="27">
        <v>0</v>
      </c>
      <c r="L48" s="27">
        <v>786034.61</v>
      </c>
      <c r="M48" t="s">
        <v>11405</v>
      </c>
      <c r="O48" t="s">
        <v>167</v>
      </c>
      <c r="P48" s="27">
        <v>786034.61</v>
      </c>
    </row>
    <row r="49" spans="1:16" ht="15.75" customHeight="1" x14ac:dyDescent="0.2">
      <c r="A49" t="s">
        <v>11406</v>
      </c>
      <c r="B49" t="s">
        <v>163</v>
      </c>
      <c r="C49" s="18">
        <v>43824</v>
      </c>
      <c r="D49" t="s">
        <v>100</v>
      </c>
      <c r="E49">
        <v>2000000</v>
      </c>
      <c r="F49" s="18">
        <v>44114</v>
      </c>
      <c r="G49" s="18">
        <v>44168</v>
      </c>
      <c r="H49">
        <v>2020</v>
      </c>
      <c r="I49" t="s">
        <v>268</v>
      </c>
      <c r="J49" s="27">
        <v>137081.81</v>
      </c>
      <c r="K49" s="27">
        <v>0</v>
      </c>
      <c r="L49" s="27">
        <v>137081.81</v>
      </c>
      <c r="M49" t="s">
        <v>11378</v>
      </c>
      <c r="O49" t="s">
        <v>167</v>
      </c>
      <c r="P49" s="27">
        <v>137081.81</v>
      </c>
    </row>
    <row r="50" spans="1:16" ht="15.75" customHeight="1" x14ac:dyDescent="0.2">
      <c r="A50" t="s">
        <v>11407</v>
      </c>
      <c r="B50" t="s">
        <v>163</v>
      </c>
      <c r="C50" s="18">
        <v>43865</v>
      </c>
      <c r="D50" t="s">
        <v>101</v>
      </c>
      <c r="E50">
        <v>5000000</v>
      </c>
      <c r="F50" s="18">
        <v>43925</v>
      </c>
      <c r="G50" s="18">
        <v>44172</v>
      </c>
      <c r="H50">
        <v>2020</v>
      </c>
      <c r="I50" t="s">
        <v>268</v>
      </c>
      <c r="J50" s="27">
        <v>744750.36</v>
      </c>
      <c r="K50" s="27">
        <v>0</v>
      </c>
      <c r="L50" s="27">
        <v>744750.36</v>
      </c>
      <c r="M50" t="s">
        <v>11408</v>
      </c>
      <c r="O50" t="s">
        <v>170</v>
      </c>
      <c r="P50" s="27">
        <v>0</v>
      </c>
    </row>
    <row r="51" spans="1:16" ht="15.75" customHeight="1" x14ac:dyDescent="0.2">
      <c r="A51" t="s">
        <v>11409</v>
      </c>
      <c r="B51" t="s">
        <v>163</v>
      </c>
      <c r="C51" s="18">
        <v>43831</v>
      </c>
      <c r="D51" t="s">
        <v>98</v>
      </c>
      <c r="E51">
        <v>4000000</v>
      </c>
      <c r="F51" s="18">
        <v>44101</v>
      </c>
      <c r="G51" s="18">
        <v>44177</v>
      </c>
      <c r="H51">
        <v>2020</v>
      </c>
      <c r="I51" t="s">
        <v>268</v>
      </c>
      <c r="J51" s="27">
        <v>620600.56999999995</v>
      </c>
      <c r="K51" s="27">
        <v>0</v>
      </c>
      <c r="L51" s="27">
        <v>620600.56999999995</v>
      </c>
      <c r="M51" t="s">
        <v>11353</v>
      </c>
      <c r="O51" t="s">
        <v>170</v>
      </c>
      <c r="P51" s="27">
        <v>0</v>
      </c>
    </row>
    <row r="52" spans="1:16" ht="15.75" customHeight="1" x14ac:dyDescent="0.2">
      <c r="A52" t="s">
        <v>11410</v>
      </c>
      <c r="B52" t="s">
        <v>163</v>
      </c>
      <c r="C52" s="18">
        <v>43838</v>
      </c>
      <c r="D52" t="s">
        <v>100</v>
      </c>
      <c r="E52">
        <v>5000000</v>
      </c>
      <c r="F52" s="18">
        <v>44115</v>
      </c>
      <c r="G52" s="18">
        <v>44180</v>
      </c>
      <c r="H52">
        <v>2020</v>
      </c>
      <c r="I52" t="s">
        <v>268</v>
      </c>
      <c r="J52" s="27">
        <v>285472.48</v>
      </c>
      <c r="K52" s="27">
        <v>0</v>
      </c>
      <c r="L52" s="27">
        <v>285472.48</v>
      </c>
      <c r="M52" t="s">
        <v>11411</v>
      </c>
      <c r="O52" t="s">
        <v>167</v>
      </c>
      <c r="P52" s="27">
        <v>285472.48</v>
      </c>
    </row>
    <row r="53" spans="1:16" ht="15.75" customHeight="1" x14ac:dyDescent="0.2">
      <c r="A53" t="s">
        <v>11412</v>
      </c>
      <c r="B53" t="s">
        <v>163</v>
      </c>
      <c r="C53" s="18">
        <v>43943</v>
      </c>
      <c r="D53" t="s">
        <v>98</v>
      </c>
      <c r="E53">
        <v>5000000</v>
      </c>
      <c r="F53" s="18">
        <v>44103</v>
      </c>
      <c r="G53" s="18">
        <v>44183</v>
      </c>
      <c r="H53">
        <v>2020</v>
      </c>
      <c r="I53" t="s">
        <v>268</v>
      </c>
      <c r="J53" s="27">
        <v>145246.17000000001</v>
      </c>
      <c r="K53" s="27">
        <v>0</v>
      </c>
      <c r="L53" s="27">
        <v>145246.17000000001</v>
      </c>
      <c r="M53" t="s">
        <v>11413</v>
      </c>
      <c r="O53" t="s">
        <v>170</v>
      </c>
      <c r="P53" s="27">
        <v>0</v>
      </c>
    </row>
    <row r="54" spans="1:16" ht="15.75" customHeight="1" x14ac:dyDescent="0.2">
      <c r="A54" t="s">
        <v>11414</v>
      </c>
      <c r="B54" t="s">
        <v>163</v>
      </c>
      <c r="C54" s="18">
        <v>43840</v>
      </c>
      <c r="D54" t="s">
        <v>100</v>
      </c>
      <c r="E54">
        <v>2000000</v>
      </c>
      <c r="F54" s="18">
        <v>43919</v>
      </c>
      <c r="G54" s="18">
        <v>44185</v>
      </c>
      <c r="H54">
        <v>2020</v>
      </c>
      <c r="I54" t="s">
        <v>268</v>
      </c>
      <c r="J54" s="27">
        <v>150832.35999999999</v>
      </c>
      <c r="K54" s="27">
        <v>0</v>
      </c>
      <c r="L54" s="27">
        <v>150832.35999999999</v>
      </c>
      <c r="M54" t="s">
        <v>11413</v>
      </c>
      <c r="O54" t="s">
        <v>167</v>
      </c>
      <c r="P54" s="27">
        <v>150832.35999999999</v>
      </c>
    </row>
    <row r="55" spans="1:16" ht="15.75" customHeight="1" x14ac:dyDescent="0.2">
      <c r="A55" t="s">
        <v>11415</v>
      </c>
      <c r="B55" t="s">
        <v>163</v>
      </c>
      <c r="C55" s="18">
        <v>44088</v>
      </c>
      <c r="D55" t="s">
        <v>102</v>
      </c>
      <c r="E55">
        <v>3500000</v>
      </c>
      <c r="F55" s="18">
        <v>44129</v>
      </c>
      <c r="G55" s="18">
        <v>44189</v>
      </c>
      <c r="H55">
        <v>2020</v>
      </c>
      <c r="I55" t="s">
        <v>268</v>
      </c>
      <c r="J55" s="27">
        <v>129242.21</v>
      </c>
      <c r="K55" s="27">
        <v>0</v>
      </c>
      <c r="L55" s="27">
        <v>129242.21</v>
      </c>
      <c r="M55" t="s">
        <v>11380</v>
      </c>
      <c r="O55" t="s">
        <v>167</v>
      </c>
      <c r="P55" s="27">
        <v>129242.21</v>
      </c>
    </row>
    <row r="56" spans="1:16" ht="15.75" customHeight="1" x14ac:dyDescent="0.2">
      <c r="A56" t="s">
        <v>11416</v>
      </c>
      <c r="B56" t="s">
        <v>163</v>
      </c>
      <c r="C56" s="18">
        <v>43747</v>
      </c>
      <c r="D56" t="s">
        <v>101</v>
      </c>
      <c r="E56">
        <v>3500000</v>
      </c>
      <c r="F56" s="18">
        <v>43872</v>
      </c>
      <c r="G56" s="18">
        <v>44194</v>
      </c>
      <c r="H56">
        <v>2020</v>
      </c>
      <c r="I56" t="s">
        <v>268</v>
      </c>
      <c r="J56" s="27">
        <v>180252.76</v>
      </c>
      <c r="K56" s="27">
        <v>0</v>
      </c>
      <c r="L56" s="27">
        <v>180252.76</v>
      </c>
      <c r="M56" t="s">
        <v>11343</v>
      </c>
      <c r="O56" t="s">
        <v>167</v>
      </c>
      <c r="P56" s="27">
        <v>180252.76</v>
      </c>
    </row>
    <row r="57" spans="1:16" ht="15.75" customHeight="1" x14ac:dyDescent="0.2">
      <c r="A57" t="s">
        <v>11417</v>
      </c>
      <c r="B57" t="s">
        <v>163</v>
      </c>
      <c r="C57" s="18">
        <v>43912</v>
      </c>
      <c r="D57" t="s">
        <v>101</v>
      </c>
      <c r="E57">
        <v>4500000</v>
      </c>
      <c r="F57" s="18">
        <v>44141</v>
      </c>
      <c r="G57" s="18">
        <v>44196</v>
      </c>
      <c r="H57">
        <v>2020</v>
      </c>
      <c r="I57" t="s">
        <v>268</v>
      </c>
      <c r="J57" s="27">
        <v>188203.43</v>
      </c>
      <c r="K57" s="27">
        <v>0</v>
      </c>
      <c r="L57" s="27">
        <v>188203.43</v>
      </c>
      <c r="M57" t="s">
        <v>11357</v>
      </c>
      <c r="O57" t="s">
        <v>167</v>
      </c>
      <c r="P57" s="27">
        <v>188203.43</v>
      </c>
    </row>
    <row r="58" spans="1:16" ht="15.75" customHeight="1" x14ac:dyDescent="0.2">
      <c r="A58" t="s">
        <v>11418</v>
      </c>
      <c r="B58" t="s">
        <v>163</v>
      </c>
      <c r="C58" s="18">
        <v>43989</v>
      </c>
      <c r="D58" t="s">
        <v>100</v>
      </c>
      <c r="E58">
        <v>2000000</v>
      </c>
      <c r="F58" s="18">
        <v>44070</v>
      </c>
      <c r="G58" s="18">
        <v>44198</v>
      </c>
      <c r="H58">
        <v>2020</v>
      </c>
      <c r="I58" t="s">
        <v>268</v>
      </c>
      <c r="J58" s="27">
        <v>286101.42</v>
      </c>
      <c r="K58" s="27">
        <v>0</v>
      </c>
      <c r="L58" s="27">
        <v>286101.42</v>
      </c>
      <c r="M58" t="s">
        <v>11366</v>
      </c>
      <c r="O58" t="s">
        <v>167</v>
      </c>
      <c r="P58" s="27">
        <v>286101.42</v>
      </c>
    </row>
    <row r="59" spans="1:16" ht="15.75" customHeight="1" x14ac:dyDescent="0.2">
      <c r="A59" t="s">
        <v>11419</v>
      </c>
      <c r="B59" t="s">
        <v>163</v>
      </c>
      <c r="C59" s="18">
        <v>43831</v>
      </c>
      <c r="D59" t="s">
        <v>98</v>
      </c>
      <c r="E59">
        <v>3500000</v>
      </c>
      <c r="F59" s="18">
        <v>44151</v>
      </c>
      <c r="G59" s="18">
        <v>44201</v>
      </c>
      <c r="H59">
        <v>2020</v>
      </c>
      <c r="I59" t="s">
        <v>268</v>
      </c>
      <c r="J59" s="27">
        <v>558116.18000000005</v>
      </c>
      <c r="K59" s="27">
        <v>0</v>
      </c>
      <c r="L59" s="27">
        <v>558116.18000000005</v>
      </c>
      <c r="M59" t="s">
        <v>11420</v>
      </c>
      <c r="O59" t="s">
        <v>170</v>
      </c>
      <c r="P59" s="27">
        <v>0</v>
      </c>
    </row>
    <row r="60" spans="1:16" ht="15.75" customHeight="1" x14ac:dyDescent="0.2">
      <c r="A60" t="s">
        <v>11421</v>
      </c>
      <c r="B60" t="s">
        <v>163</v>
      </c>
      <c r="C60" s="18">
        <v>44025</v>
      </c>
      <c r="D60" t="s">
        <v>98</v>
      </c>
      <c r="E60">
        <v>4500000</v>
      </c>
      <c r="F60" s="18">
        <v>44059</v>
      </c>
      <c r="G60" s="18">
        <v>44207</v>
      </c>
      <c r="H60">
        <v>2020</v>
      </c>
      <c r="I60" t="s">
        <v>268</v>
      </c>
      <c r="J60" s="27">
        <v>258647.09</v>
      </c>
      <c r="K60" s="27">
        <v>0</v>
      </c>
      <c r="L60" s="27">
        <v>258647.09</v>
      </c>
      <c r="M60" t="s">
        <v>11422</v>
      </c>
      <c r="O60" t="s">
        <v>170</v>
      </c>
      <c r="P60" s="27">
        <v>0</v>
      </c>
    </row>
    <row r="61" spans="1:16" ht="15.75" customHeight="1" x14ac:dyDescent="0.2">
      <c r="A61" t="s">
        <v>11423</v>
      </c>
      <c r="B61" t="s">
        <v>163</v>
      </c>
      <c r="C61" s="18">
        <v>43923</v>
      </c>
      <c r="D61" t="s">
        <v>102</v>
      </c>
      <c r="E61">
        <v>2000000</v>
      </c>
      <c r="F61" s="18">
        <v>44149</v>
      </c>
      <c r="G61" s="18">
        <v>44210</v>
      </c>
      <c r="H61">
        <v>2020</v>
      </c>
      <c r="I61" t="s">
        <v>268</v>
      </c>
      <c r="J61" s="27">
        <v>568259.22</v>
      </c>
      <c r="K61" s="27">
        <v>0</v>
      </c>
      <c r="L61" s="27">
        <v>568259.22</v>
      </c>
      <c r="M61" t="s">
        <v>11424</v>
      </c>
      <c r="O61" t="s">
        <v>167</v>
      </c>
      <c r="P61" s="27">
        <v>568259.22</v>
      </c>
    </row>
    <row r="62" spans="1:16" ht="15.75" customHeight="1" x14ac:dyDescent="0.2">
      <c r="A62" t="s">
        <v>11425</v>
      </c>
      <c r="B62" t="s">
        <v>163</v>
      </c>
      <c r="C62" s="18">
        <v>43889</v>
      </c>
      <c r="D62" t="s">
        <v>101</v>
      </c>
      <c r="E62">
        <v>2000000</v>
      </c>
      <c r="F62" s="18">
        <v>43910</v>
      </c>
      <c r="G62" s="18">
        <v>44212</v>
      </c>
      <c r="H62">
        <v>2020</v>
      </c>
      <c r="I62" t="s">
        <v>268</v>
      </c>
      <c r="J62" s="27">
        <v>59180.18</v>
      </c>
      <c r="K62" s="27">
        <v>0</v>
      </c>
      <c r="L62" s="27">
        <v>59180.18</v>
      </c>
      <c r="M62" t="s">
        <v>11426</v>
      </c>
      <c r="O62" t="s">
        <v>170</v>
      </c>
      <c r="P62" s="27">
        <v>0</v>
      </c>
    </row>
    <row r="63" spans="1:16" ht="15.75" customHeight="1" x14ac:dyDescent="0.2">
      <c r="A63" t="s">
        <v>11427</v>
      </c>
      <c r="B63" t="s">
        <v>163</v>
      </c>
      <c r="C63" s="18">
        <v>43849</v>
      </c>
      <c r="D63" t="s">
        <v>98</v>
      </c>
      <c r="E63">
        <v>2500000</v>
      </c>
      <c r="F63" s="18">
        <v>44122</v>
      </c>
      <c r="G63" s="18">
        <v>44222</v>
      </c>
      <c r="H63">
        <v>2020</v>
      </c>
      <c r="I63" t="s">
        <v>268</v>
      </c>
      <c r="J63" s="27">
        <v>446141.94</v>
      </c>
      <c r="K63" s="27">
        <v>0</v>
      </c>
      <c r="L63" s="27">
        <v>446141.94</v>
      </c>
      <c r="M63" t="s">
        <v>11401</v>
      </c>
      <c r="O63" t="s">
        <v>170</v>
      </c>
      <c r="P63" s="27">
        <v>0</v>
      </c>
    </row>
    <row r="64" spans="1:16" ht="15.75" customHeight="1" x14ac:dyDescent="0.2">
      <c r="A64" t="s">
        <v>11428</v>
      </c>
      <c r="B64" t="s">
        <v>163</v>
      </c>
      <c r="C64" s="18">
        <v>44029</v>
      </c>
      <c r="D64" t="s">
        <v>99</v>
      </c>
      <c r="E64">
        <v>5000000</v>
      </c>
      <c r="F64" s="18">
        <v>44162</v>
      </c>
      <c r="G64" s="18">
        <v>44226</v>
      </c>
      <c r="H64">
        <v>2020</v>
      </c>
      <c r="I64" t="s">
        <v>268</v>
      </c>
      <c r="J64" s="27">
        <v>625765.13</v>
      </c>
      <c r="K64" s="27">
        <v>0</v>
      </c>
      <c r="L64" s="27">
        <v>625765.13</v>
      </c>
      <c r="M64" t="s">
        <v>11429</v>
      </c>
      <c r="O64" t="s">
        <v>167</v>
      </c>
      <c r="P64" s="27">
        <v>625765.13</v>
      </c>
    </row>
    <row r="65" spans="1:16" ht="15.75" customHeight="1" x14ac:dyDescent="0.2">
      <c r="A65" t="s">
        <v>11430</v>
      </c>
      <c r="B65" t="s">
        <v>163</v>
      </c>
      <c r="C65" s="18">
        <v>43878</v>
      </c>
      <c r="D65" t="s">
        <v>99</v>
      </c>
      <c r="E65">
        <v>5000000</v>
      </c>
      <c r="F65" s="18">
        <v>44171</v>
      </c>
      <c r="G65" s="18">
        <v>44230</v>
      </c>
      <c r="H65">
        <v>2020</v>
      </c>
      <c r="I65" t="s">
        <v>268</v>
      </c>
      <c r="J65" s="27">
        <v>82375.509999999995</v>
      </c>
      <c r="K65" s="27">
        <v>0</v>
      </c>
      <c r="L65" s="27">
        <v>82375.509999999995</v>
      </c>
      <c r="M65" t="s">
        <v>11431</v>
      </c>
      <c r="O65" t="s">
        <v>167</v>
      </c>
      <c r="P65" s="27">
        <v>82375.509999999995</v>
      </c>
    </row>
    <row r="66" spans="1:16" ht="15.75" customHeight="1" x14ac:dyDescent="0.2">
      <c r="A66" t="s">
        <v>11432</v>
      </c>
      <c r="B66" t="s">
        <v>163</v>
      </c>
      <c r="C66" s="18">
        <v>43593</v>
      </c>
      <c r="D66" t="s">
        <v>102</v>
      </c>
      <c r="E66">
        <v>3000000</v>
      </c>
      <c r="F66" s="18">
        <v>43950</v>
      </c>
      <c r="G66" s="18">
        <v>44235</v>
      </c>
      <c r="H66">
        <v>2020</v>
      </c>
      <c r="I66" t="s">
        <v>268</v>
      </c>
      <c r="J66" s="27">
        <v>87899.5</v>
      </c>
      <c r="K66" s="27">
        <v>0</v>
      </c>
      <c r="L66" s="27">
        <v>87899.5</v>
      </c>
      <c r="M66" t="s">
        <v>11345</v>
      </c>
      <c r="O66" t="s">
        <v>167</v>
      </c>
      <c r="P66" s="27">
        <v>87899.5</v>
      </c>
    </row>
    <row r="67" spans="1:16" ht="15.75" customHeight="1" x14ac:dyDescent="0.2">
      <c r="A67" t="s">
        <v>11433</v>
      </c>
      <c r="B67" t="s">
        <v>163</v>
      </c>
      <c r="C67" s="18">
        <v>43850</v>
      </c>
      <c r="D67" t="s">
        <v>98</v>
      </c>
      <c r="E67">
        <v>2500000</v>
      </c>
      <c r="F67" s="18">
        <v>44183</v>
      </c>
      <c r="G67" s="18">
        <v>44235</v>
      </c>
      <c r="H67">
        <v>2020</v>
      </c>
      <c r="I67" t="s">
        <v>268</v>
      </c>
      <c r="J67" s="27">
        <v>70472.89</v>
      </c>
      <c r="K67" s="27">
        <v>0</v>
      </c>
      <c r="L67" s="27">
        <v>70472.89</v>
      </c>
      <c r="M67" t="s">
        <v>11434</v>
      </c>
      <c r="O67" t="s">
        <v>170</v>
      </c>
      <c r="P67" s="27">
        <v>0</v>
      </c>
    </row>
    <row r="68" spans="1:16" ht="15.75" customHeight="1" x14ac:dyDescent="0.2">
      <c r="A68" t="s">
        <v>11435</v>
      </c>
      <c r="B68" t="s">
        <v>163</v>
      </c>
      <c r="C68" s="18">
        <v>43953</v>
      </c>
      <c r="D68" t="s">
        <v>101</v>
      </c>
      <c r="E68">
        <v>4000000</v>
      </c>
      <c r="F68" s="18">
        <v>44205</v>
      </c>
      <c r="G68" s="18">
        <v>44241</v>
      </c>
      <c r="H68">
        <v>2021</v>
      </c>
      <c r="I68" t="s">
        <v>268</v>
      </c>
      <c r="J68" s="27">
        <v>350981.08</v>
      </c>
      <c r="K68" s="27">
        <v>0</v>
      </c>
      <c r="L68" s="27">
        <v>350981.08</v>
      </c>
      <c r="M68" t="s">
        <v>11436</v>
      </c>
      <c r="O68" t="s">
        <v>167</v>
      </c>
      <c r="P68" s="27">
        <v>350981.08</v>
      </c>
    </row>
    <row r="69" spans="1:16" ht="15.75" customHeight="1" x14ac:dyDescent="0.2">
      <c r="A69" t="s">
        <v>11437</v>
      </c>
      <c r="B69" t="s">
        <v>163</v>
      </c>
      <c r="C69" s="18">
        <v>43792</v>
      </c>
      <c r="D69" t="s">
        <v>101</v>
      </c>
      <c r="E69">
        <v>2000000</v>
      </c>
      <c r="F69" s="18">
        <v>44157</v>
      </c>
      <c r="G69" s="18">
        <v>44244</v>
      </c>
      <c r="H69">
        <v>2020</v>
      </c>
      <c r="I69" t="s">
        <v>268</v>
      </c>
      <c r="J69" s="27">
        <v>172224.05</v>
      </c>
      <c r="K69" s="27">
        <v>0</v>
      </c>
      <c r="L69" s="27">
        <v>172224.05</v>
      </c>
      <c r="M69" t="s">
        <v>11374</v>
      </c>
      <c r="O69" t="s">
        <v>167</v>
      </c>
      <c r="P69" s="27">
        <v>172224.05</v>
      </c>
    </row>
    <row r="70" spans="1:16" ht="15.75" customHeight="1" x14ac:dyDescent="0.2">
      <c r="A70" t="s">
        <v>11438</v>
      </c>
      <c r="B70" t="s">
        <v>163</v>
      </c>
      <c r="C70" s="18">
        <v>43831</v>
      </c>
      <c r="D70" t="s">
        <v>100</v>
      </c>
      <c r="E70">
        <v>5000000</v>
      </c>
      <c r="F70" s="18">
        <v>44177</v>
      </c>
      <c r="G70" s="18">
        <v>44245</v>
      </c>
      <c r="H70">
        <v>2020</v>
      </c>
      <c r="I70" t="s">
        <v>268</v>
      </c>
      <c r="J70" s="27">
        <v>533521.86</v>
      </c>
      <c r="K70" s="27">
        <v>0</v>
      </c>
      <c r="L70" s="27">
        <v>533521.86</v>
      </c>
      <c r="M70" t="s">
        <v>11424</v>
      </c>
      <c r="O70" t="s">
        <v>167</v>
      </c>
      <c r="P70" s="27">
        <v>533521.86</v>
      </c>
    </row>
    <row r="71" spans="1:16" ht="15.75" customHeight="1" x14ac:dyDescent="0.2">
      <c r="A71" t="s">
        <v>11439</v>
      </c>
      <c r="B71" t="s">
        <v>163</v>
      </c>
      <c r="C71" s="18">
        <v>43981</v>
      </c>
      <c r="D71" t="s">
        <v>100</v>
      </c>
      <c r="E71">
        <v>10000000</v>
      </c>
      <c r="F71" s="18">
        <v>44039</v>
      </c>
      <c r="G71" s="18">
        <v>44247</v>
      </c>
      <c r="H71">
        <v>2020</v>
      </c>
      <c r="I71" t="s">
        <v>268</v>
      </c>
      <c r="J71" s="27">
        <v>437723.78</v>
      </c>
      <c r="K71" s="27">
        <v>0</v>
      </c>
      <c r="L71" s="27">
        <v>437723.78</v>
      </c>
      <c r="M71" t="s">
        <v>11401</v>
      </c>
      <c r="O71" t="s">
        <v>167</v>
      </c>
      <c r="P71" s="27">
        <v>437723.78</v>
      </c>
    </row>
    <row r="72" spans="1:16" ht="15.75" customHeight="1" x14ac:dyDescent="0.2">
      <c r="A72" t="s">
        <v>11440</v>
      </c>
      <c r="B72" t="s">
        <v>163</v>
      </c>
      <c r="C72" s="18">
        <v>44041</v>
      </c>
      <c r="D72" t="s">
        <v>102</v>
      </c>
      <c r="E72">
        <v>10000000</v>
      </c>
      <c r="F72" s="18">
        <v>44205</v>
      </c>
      <c r="G72" s="18">
        <v>44256</v>
      </c>
      <c r="H72">
        <v>2021</v>
      </c>
      <c r="I72" t="s">
        <v>268</v>
      </c>
      <c r="J72" s="27">
        <v>112597.58</v>
      </c>
      <c r="K72" s="27">
        <v>0</v>
      </c>
      <c r="L72" s="27">
        <v>112597.58</v>
      </c>
      <c r="M72" t="s">
        <v>11351</v>
      </c>
      <c r="O72" t="s">
        <v>167</v>
      </c>
      <c r="P72" s="27">
        <v>112597.58</v>
      </c>
    </row>
    <row r="73" spans="1:16" ht="15.75" customHeight="1" x14ac:dyDescent="0.2">
      <c r="A73" t="s">
        <v>11441</v>
      </c>
      <c r="B73" t="s">
        <v>163</v>
      </c>
      <c r="C73" s="18">
        <v>43810</v>
      </c>
      <c r="D73" t="s">
        <v>100</v>
      </c>
      <c r="E73">
        <v>1000000</v>
      </c>
      <c r="F73" s="18">
        <v>44048</v>
      </c>
      <c r="G73" s="18">
        <v>44259</v>
      </c>
      <c r="H73">
        <v>2020</v>
      </c>
      <c r="I73" t="s">
        <v>268</v>
      </c>
      <c r="J73" s="27">
        <v>74799.42</v>
      </c>
      <c r="K73" s="27">
        <v>0</v>
      </c>
      <c r="L73" s="27">
        <v>74799.42</v>
      </c>
      <c r="M73" t="s">
        <v>11376</v>
      </c>
      <c r="O73" t="s">
        <v>167</v>
      </c>
      <c r="P73" s="27">
        <v>74799.42</v>
      </c>
    </row>
    <row r="74" spans="1:16" ht="15.75" customHeight="1" x14ac:dyDescent="0.2">
      <c r="A74" t="s">
        <v>11442</v>
      </c>
      <c r="B74" t="s">
        <v>163</v>
      </c>
      <c r="C74" s="18">
        <v>44025</v>
      </c>
      <c r="D74" t="s">
        <v>100</v>
      </c>
      <c r="E74">
        <v>10000000</v>
      </c>
      <c r="F74" s="18">
        <v>44207</v>
      </c>
      <c r="G74" s="18">
        <v>44264</v>
      </c>
      <c r="H74">
        <v>2021</v>
      </c>
      <c r="I74" t="s">
        <v>268</v>
      </c>
      <c r="J74" s="27">
        <v>309702.76</v>
      </c>
      <c r="K74" s="27">
        <v>0</v>
      </c>
      <c r="L74" s="27">
        <v>309702.76</v>
      </c>
      <c r="M74" t="s">
        <v>11411</v>
      </c>
      <c r="O74" t="s">
        <v>167</v>
      </c>
      <c r="P74" s="27">
        <v>309702.76</v>
      </c>
    </row>
    <row r="75" spans="1:16" ht="15.75" customHeight="1" x14ac:dyDescent="0.2">
      <c r="A75" t="s">
        <v>11443</v>
      </c>
      <c r="B75" t="s">
        <v>163</v>
      </c>
      <c r="C75" s="18">
        <v>44006</v>
      </c>
      <c r="D75" t="s">
        <v>98</v>
      </c>
      <c r="E75">
        <v>3000000</v>
      </c>
      <c r="F75" s="18">
        <v>44228</v>
      </c>
      <c r="G75" s="18">
        <v>44268</v>
      </c>
      <c r="H75">
        <v>2021</v>
      </c>
      <c r="I75" t="s">
        <v>268</v>
      </c>
      <c r="J75" s="27">
        <v>236099.01</v>
      </c>
      <c r="K75" s="27">
        <v>0</v>
      </c>
      <c r="L75" s="27">
        <v>236099.01</v>
      </c>
      <c r="M75" t="s">
        <v>11444</v>
      </c>
      <c r="O75" t="s">
        <v>170</v>
      </c>
      <c r="P75" s="27">
        <v>0</v>
      </c>
    </row>
    <row r="76" spans="1:16" ht="15.75" customHeight="1" x14ac:dyDescent="0.2">
      <c r="A76" t="s">
        <v>11445</v>
      </c>
      <c r="B76" t="s">
        <v>163</v>
      </c>
      <c r="C76" s="18">
        <v>44007</v>
      </c>
      <c r="D76" t="s">
        <v>100</v>
      </c>
      <c r="E76">
        <v>3000000</v>
      </c>
      <c r="F76" s="18">
        <v>44172</v>
      </c>
      <c r="G76" s="18">
        <v>44270</v>
      </c>
      <c r="H76">
        <v>2020</v>
      </c>
      <c r="I76" t="s">
        <v>268</v>
      </c>
      <c r="J76" s="27">
        <v>85074.26</v>
      </c>
      <c r="K76" s="27">
        <v>0</v>
      </c>
      <c r="L76" s="27">
        <v>85074.26</v>
      </c>
      <c r="M76" t="s">
        <v>11431</v>
      </c>
      <c r="O76" t="s">
        <v>167</v>
      </c>
      <c r="P76" s="27">
        <v>85074.26</v>
      </c>
    </row>
    <row r="77" spans="1:16" ht="15.75" customHeight="1" x14ac:dyDescent="0.2">
      <c r="A77" t="s">
        <v>11446</v>
      </c>
      <c r="B77" t="s">
        <v>163</v>
      </c>
      <c r="C77" s="18">
        <v>44094</v>
      </c>
      <c r="D77" t="s">
        <v>98</v>
      </c>
      <c r="E77">
        <v>2500000</v>
      </c>
      <c r="F77" s="18">
        <v>44216</v>
      </c>
      <c r="G77" s="18">
        <v>44272</v>
      </c>
      <c r="H77">
        <v>2021</v>
      </c>
      <c r="I77" t="s">
        <v>268</v>
      </c>
      <c r="J77" s="27">
        <v>71511.86</v>
      </c>
      <c r="K77" s="27">
        <v>0</v>
      </c>
      <c r="L77" s="27">
        <v>71511.86</v>
      </c>
      <c r="M77" t="s">
        <v>11368</v>
      </c>
      <c r="O77" t="s">
        <v>170</v>
      </c>
      <c r="P77" s="27">
        <v>0</v>
      </c>
    </row>
    <row r="78" spans="1:16" ht="15.75" customHeight="1" x14ac:dyDescent="0.2">
      <c r="A78" t="s">
        <v>11447</v>
      </c>
      <c r="B78" t="s">
        <v>163</v>
      </c>
      <c r="C78" s="18">
        <v>44161</v>
      </c>
      <c r="D78" t="s">
        <v>98</v>
      </c>
      <c r="E78">
        <v>4500000</v>
      </c>
      <c r="F78" s="18">
        <v>44211</v>
      </c>
      <c r="G78" s="18">
        <v>44279</v>
      </c>
      <c r="H78">
        <v>2021</v>
      </c>
      <c r="I78" t="s">
        <v>268</v>
      </c>
      <c r="J78" s="27">
        <v>526875.51</v>
      </c>
      <c r="K78" s="27">
        <v>0</v>
      </c>
      <c r="L78" s="27">
        <v>526875.51</v>
      </c>
      <c r="M78" t="s">
        <v>11448</v>
      </c>
      <c r="O78" t="s">
        <v>170</v>
      </c>
      <c r="P78" s="27">
        <v>0</v>
      </c>
    </row>
    <row r="79" spans="1:16" ht="15.75" customHeight="1" x14ac:dyDescent="0.2">
      <c r="A79" t="s">
        <v>11449</v>
      </c>
      <c r="B79" t="s">
        <v>163</v>
      </c>
      <c r="C79" s="18">
        <v>43912</v>
      </c>
      <c r="D79" t="s">
        <v>98</v>
      </c>
      <c r="E79">
        <v>1000000</v>
      </c>
      <c r="F79" s="18">
        <v>44227</v>
      </c>
      <c r="G79" s="18">
        <v>44282</v>
      </c>
      <c r="H79">
        <v>2021</v>
      </c>
      <c r="I79" t="s">
        <v>268</v>
      </c>
      <c r="J79" s="27">
        <v>73221.62</v>
      </c>
      <c r="K79" s="27">
        <v>0</v>
      </c>
      <c r="L79" s="27">
        <v>73221.62</v>
      </c>
      <c r="M79" t="s">
        <v>11431</v>
      </c>
      <c r="O79" t="s">
        <v>170</v>
      </c>
      <c r="P79" s="27">
        <v>0</v>
      </c>
    </row>
    <row r="80" spans="1:16" ht="15.75" customHeight="1" x14ac:dyDescent="0.2">
      <c r="A80" t="s">
        <v>11450</v>
      </c>
      <c r="B80" t="s">
        <v>163</v>
      </c>
      <c r="C80" s="18">
        <v>43906</v>
      </c>
      <c r="D80" t="s">
        <v>102</v>
      </c>
      <c r="E80">
        <v>4500000</v>
      </c>
      <c r="F80" s="18">
        <v>44255</v>
      </c>
      <c r="G80" s="18">
        <v>44292</v>
      </c>
      <c r="H80">
        <v>2021</v>
      </c>
      <c r="I80" t="s">
        <v>268</v>
      </c>
      <c r="J80" s="27">
        <v>237636.57</v>
      </c>
      <c r="K80" s="27">
        <v>0</v>
      </c>
      <c r="L80" s="27">
        <v>237636.57</v>
      </c>
      <c r="M80" t="s">
        <v>11451</v>
      </c>
      <c r="O80" t="s">
        <v>167</v>
      </c>
      <c r="P80" s="27">
        <v>237636.57</v>
      </c>
    </row>
    <row r="81" spans="1:16" ht="15.75" customHeight="1" x14ac:dyDescent="0.2">
      <c r="A81" t="s">
        <v>11452</v>
      </c>
      <c r="B81" t="s">
        <v>163</v>
      </c>
      <c r="C81" s="18">
        <v>44151</v>
      </c>
      <c r="D81" t="s">
        <v>101</v>
      </c>
      <c r="E81">
        <v>2000000</v>
      </c>
      <c r="F81" s="18">
        <v>44235</v>
      </c>
      <c r="G81" s="18">
        <v>44294</v>
      </c>
      <c r="H81">
        <v>2021</v>
      </c>
      <c r="I81" t="s">
        <v>268</v>
      </c>
      <c r="J81" s="27">
        <v>291501.7</v>
      </c>
      <c r="K81" s="27">
        <v>0</v>
      </c>
      <c r="L81" s="27">
        <v>291501.7</v>
      </c>
      <c r="M81" t="s">
        <v>11393</v>
      </c>
      <c r="O81" t="s">
        <v>167</v>
      </c>
      <c r="P81" s="27">
        <v>291501.7</v>
      </c>
    </row>
    <row r="82" spans="1:16" ht="15.75" customHeight="1" x14ac:dyDescent="0.2">
      <c r="A82" t="s">
        <v>11453</v>
      </c>
      <c r="B82" t="s">
        <v>163</v>
      </c>
      <c r="C82" s="18">
        <v>43954</v>
      </c>
      <c r="D82" t="s">
        <v>102</v>
      </c>
      <c r="E82">
        <v>10000000</v>
      </c>
      <c r="F82" s="18">
        <v>44151</v>
      </c>
      <c r="G82" s="18">
        <v>44300</v>
      </c>
      <c r="H82">
        <v>2020</v>
      </c>
      <c r="I82" t="s">
        <v>268</v>
      </c>
      <c r="J82" s="27">
        <v>651869.23</v>
      </c>
      <c r="K82" s="27">
        <v>0</v>
      </c>
      <c r="L82" s="27">
        <v>651869.23</v>
      </c>
      <c r="M82" t="s">
        <v>11429</v>
      </c>
      <c r="O82" t="s">
        <v>167</v>
      </c>
      <c r="P82" s="27">
        <v>651869.23</v>
      </c>
    </row>
    <row r="83" spans="1:16" ht="15.75" customHeight="1" x14ac:dyDescent="0.2">
      <c r="A83" t="s">
        <v>11454</v>
      </c>
      <c r="B83" t="s">
        <v>163</v>
      </c>
      <c r="C83" s="18">
        <v>44163</v>
      </c>
      <c r="D83" t="s">
        <v>100</v>
      </c>
      <c r="E83">
        <v>5000000</v>
      </c>
      <c r="F83" s="18">
        <v>44195</v>
      </c>
      <c r="G83" s="18">
        <v>44305</v>
      </c>
      <c r="H83">
        <v>2020</v>
      </c>
      <c r="I83" t="s">
        <v>268</v>
      </c>
      <c r="J83" s="27">
        <v>90949.440000000002</v>
      </c>
      <c r="K83" s="27">
        <v>0</v>
      </c>
      <c r="L83" s="27">
        <v>90949.440000000002</v>
      </c>
      <c r="M83" t="s">
        <v>11345</v>
      </c>
      <c r="O83" t="s">
        <v>167</v>
      </c>
      <c r="P83" s="27">
        <v>90949.440000000002</v>
      </c>
    </row>
    <row r="84" spans="1:16" ht="15.75" customHeight="1" x14ac:dyDescent="0.2">
      <c r="A84" t="s">
        <v>11455</v>
      </c>
      <c r="B84" t="s">
        <v>163</v>
      </c>
      <c r="C84" s="18">
        <v>43882</v>
      </c>
      <c r="D84" t="s">
        <v>101</v>
      </c>
      <c r="E84">
        <v>1000000</v>
      </c>
      <c r="F84" s="18">
        <v>44167</v>
      </c>
      <c r="G84" s="18">
        <v>44309</v>
      </c>
      <c r="H84">
        <v>2020</v>
      </c>
      <c r="I84" t="s">
        <v>268</v>
      </c>
      <c r="J84" s="27">
        <v>155381.85</v>
      </c>
      <c r="K84" s="27">
        <v>0</v>
      </c>
      <c r="L84" s="27">
        <v>155381.85</v>
      </c>
      <c r="M84" t="s">
        <v>11395</v>
      </c>
      <c r="O84" t="s">
        <v>167</v>
      </c>
      <c r="P84" s="27">
        <v>155381.85</v>
      </c>
    </row>
    <row r="85" spans="1:16" ht="15.75" customHeight="1" x14ac:dyDescent="0.2">
      <c r="A85" t="s">
        <v>11456</v>
      </c>
      <c r="B85" t="s">
        <v>163</v>
      </c>
      <c r="C85" s="18">
        <v>43767</v>
      </c>
      <c r="D85" t="s">
        <v>101</v>
      </c>
      <c r="E85">
        <v>3500000</v>
      </c>
      <c r="F85" s="18">
        <v>44121</v>
      </c>
      <c r="G85" s="18">
        <v>44310</v>
      </c>
      <c r="H85">
        <v>2020</v>
      </c>
      <c r="I85" t="s">
        <v>268</v>
      </c>
      <c r="J85" s="27">
        <v>449149.73</v>
      </c>
      <c r="K85" s="27">
        <v>0</v>
      </c>
      <c r="L85" s="27">
        <v>449149.73</v>
      </c>
      <c r="M85" t="s">
        <v>11349</v>
      </c>
      <c r="O85" t="s">
        <v>167</v>
      </c>
      <c r="P85" s="27">
        <v>449149.73</v>
      </c>
    </row>
    <row r="86" spans="1:16" ht="15.75" customHeight="1" x14ac:dyDescent="0.2">
      <c r="A86" t="s">
        <v>11457</v>
      </c>
      <c r="B86" t="s">
        <v>163</v>
      </c>
      <c r="C86" s="18">
        <v>44046</v>
      </c>
      <c r="D86" t="s">
        <v>98</v>
      </c>
      <c r="E86">
        <v>2000000</v>
      </c>
      <c r="F86" s="18">
        <v>44259</v>
      </c>
      <c r="G86" s="18">
        <v>44320</v>
      </c>
      <c r="H86">
        <v>2021</v>
      </c>
      <c r="I86" t="s">
        <v>268</v>
      </c>
      <c r="J86" s="27">
        <v>92907.36</v>
      </c>
      <c r="K86" s="27">
        <v>0</v>
      </c>
      <c r="L86" s="27">
        <v>92907.36</v>
      </c>
      <c r="M86" t="s">
        <v>11387</v>
      </c>
      <c r="O86" t="s">
        <v>170</v>
      </c>
      <c r="P86" s="27">
        <v>0</v>
      </c>
    </row>
    <row r="87" spans="1:16" ht="15.75" customHeight="1" x14ac:dyDescent="0.2">
      <c r="A87" t="s">
        <v>11458</v>
      </c>
      <c r="B87" t="s">
        <v>163</v>
      </c>
      <c r="C87" s="18">
        <v>43943</v>
      </c>
      <c r="D87" t="s">
        <v>101</v>
      </c>
      <c r="E87">
        <v>4000000</v>
      </c>
      <c r="F87" s="18">
        <v>43970</v>
      </c>
      <c r="G87" s="18">
        <v>44324</v>
      </c>
      <c r="H87">
        <v>2020</v>
      </c>
      <c r="I87" t="s">
        <v>268</v>
      </c>
      <c r="J87" s="27">
        <v>103780.16</v>
      </c>
      <c r="K87" s="27">
        <v>0</v>
      </c>
      <c r="L87" s="27">
        <v>103780.16</v>
      </c>
      <c r="M87" t="s">
        <v>11459</v>
      </c>
      <c r="O87" t="s">
        <v>167</v>
      </c>
      <c r="P87" s="27">
        <v>103780.16</v>
      </c>
    </row>
    <row r="88" spans="1:16" ht="15.75" customHeight="1" x14ac:dyDescent="0.2">
      <c r="A88" t="s">
        <v>11460</v>
      </c>
      <c r="B88" t="s">
        <v>163</v>
      </c>
      <c r="C88" s="18">
        <v>44069</v>
      </c>
      <c r="D88" t="s">
        <v>99</v>
      </c>
      <c r="E88">
        <v>2000000</v>
      </c>
      <c r="F88" s="18">
        <v>44254</v>
      </c>
      <c r="G88" s="18">
        <v>44324</v>
      </c>
      <c r="H88">
        <v>2021</v>
      </c>
      <c r="I88" t="s">
        <v>268</v>
      </c>
      <c r="J88" s="27">
        <v>100077.42</v>
      </c>
      <c r="K88" s="27">
        <v>0</v>
      </c>
      <c r="L88" s="27">
        <v>100077.42</v>
      </c>
      <c r="M88" t="s">
        <v>11459</v>
      </c>
      <c r="O88" t="s">
        <v>167</v>
      </c>
      <c r="P88" s="27">
        <v>100077.42</v>
      </c>
    </row>
    <row r="89" spans="1:16" ht="15.75" customHeight="1" x14ac:dyDescent="0.2">
      <c r="A89" t="s">
        <v>11461</v>
      </c>
      <c r="B89" t="s">
        <v>219</v>
      </c>
      <c r="C89" s="18">
        <v>43960</v>
      </c>
      <c r="D89" t="s">
        <v>102</v>
      </c>
      <c r="E89">
        <v>2000000</v>
      </c>
      <c r="F89" s="18">
        <v>44246</v>
      </c>
      <c r="G89" s="18">
        <v>44328</v>
      </c>
      <c r="H89">
        <v>2021</v>
      </c>
      <c r="I89" t="s">
        <v>268</v>
      </c>
      <c r="J89" s="27">
        <v>107563.76</v>
      </c>
      <c r="K89" s="27">
        <v>33594</v>
      </c>
      <c r="L89" s="27">
        <v>141157.76000000001</v>
      </c>
      <c r="M89" t="s">
        <v>11370</v>
      </c>
      <c r="O89" t="s">
        <v>167</v>
      </c>
      <c r="P89" s="27">
        <v>141157.76000000001</v>
      </c>
    </row>
    <row r="90" spans="1:16" ht="15.75" customHeight="1" x14ac:dyDescent="0.2">
      <c r="A90" t="s">
        <v>11462</v>
      </c>
      <c r="B90" t="s">
        <v>163</v>
      </c>
      <c r="C90" s="18">
        <v>44064</v>
      </c>
      <c r="D90" t="s">
        <v>102</v>
      </c>
      <c r="E90">
        <v>4000000</v>
      </c>
      <c r="F90" s="18">
        <v>44087</v>
      </c>
      <c r="G90" s="18">
        <v>44331</v>
      </c>
      <c r="H90">
        <v>2020</v>
      </c>
      <c r="I90" t="s">
        <v>268</v>
      </c>
      <c r="J90" s="27">
        <v>776041.1</v>
      </c>
      <c r="K90" s="27">
        <v>0</v>
      </c>
      <c r="L90" s="27">
        <v>776041.1</v>
      </c>
      <c r="M90" t="s">
        <v>11405</v>
      </c>
      <c r="O90" t="s">
        <v>167</v>
      </c>
      <c r="P90" s="27">
        <v>776041.1</v>
      </c>
    </row>
    <row r="91" spans="1:16" ht="15.75" customHeight="1" x14ac:dyDescent="0.2">
      <c r="A91" t="s">
        <v>11463</v>
      </c>
      <c r="B91" t="s">
        <v>163</v>
      </c>
      <c r="C91" s="18">
        <v>44195</v>
      </c>
      <c r="D91" t="s">
        <v>98</v>
      </c>
      <c r="E91">
        <v>10000000</v>
      </c>
      <c r="F91" s="18">
        <v>44260</v>
      </c>
      <c r="G91" s="18">
        <v>44336</v>
      </c>
      <c r="H91">
        <v>2021</v>
      </c>
      <c r="I91" t="s">
        <v>268</v>
      </c>
      <c r="J91" s="27">
        <v>1101202.96</v>
      </c>
      <c r="K91" s="27">
        <v>0</v>
      </c>
      <c r="L91" s="27">
        <v>1101202.96</v>
      </c>
      <c r="M91" t="s">
        <v>11464</v>
      </c>
      <c r="O91" t="s">
        <v>170</v>
      </c>
      <c r="P91" s="27">
        <v>0</v>
      </c>
    </row>
    <row r="92" spans="1:16" ht="15.75" customHeight="1" x14ac:dyDescent="0.2">
      <c r="A92" t="s">
        <v>11465</v>
      </c>
      <c r="B92" t="s">
        <v>163</v>
      </c>
      <c r="C92" s="18">
        <v>44018</v>
      </c>
      <c r="D92" t="s">
        <v>101</v>
      </c>
      <c r="E92">
        <v>4500000</v>
      </c>
      <c r="F92" s="18">
        <v>44070</v>
      </c>
      <c r="G92" s="18">
        <v>44348</v>
      </c>
      <c r="H92">
        <v>2020</v>
      </c>
      <c r="I92" t="s">
        <v>268</v>
      </c>
      <c r="J92" s="27">
        <v>644313.30000000005</v>
      </c>
      <c r="K92" s="27">
        <v>0</v>
      </c>
      <c r="L92" s="27">
        <v>644313.30000000005</v>
      </c>
      <c r="M92" t="s">
        <v>11408</v>
      </c>
      <c r="O92" t="s">
        <v>167</v>
      </c>
      <c r="P92" s="27">
        <v>644313.30000000005</v>
      </c>
    </row>
    <row r="93" spans="1:16" ht="15.75" customHeight="1" x14ac:dyDescent="0.2">
      <c r="A93" t="s">
        <v>11466</v>
      </c>
      <c r="B93" t="s">
        <v>163</v>
      </c>
      <c r="C93" s="18">
        <v>44050</v>
      </c>
      <c r="D93" t="s">
        <v>99</v>
      </c>
      <c r="E93">
        <v>2000000</v>
      </c>
      <c r="F93" s="18">
        <v>44307</v>
      </c>
      <c r="G93" s="18">
        <v>44348</v>
      </c>
      <c r="H93">
        <v>2021</v>
      </c>
      <c r="I93" t="s">
        <v>268</v>
      </c>
      <c r="J93" s="27">
        <v>102641.94</v>
      </c>
      <c r="K93" s="27">
        <v>0</v>
      </c>
      <c r="L93" s="27">
        <v>102641.94</v>
      </c>
      <c r="M93" t="s">
        <v>11467</v>
      </c>
      <c r="O93" t="s">
        <v>167</v>
      </c>
      <c r="P93" s="27">
        <v>102641.94</v>
      </c>
    </row>
    <row r="94" spans="1:16" ht="15.75" customHeight="1" x14ac:dyDescent="0.2">
      <c r="A94" t="s">
        <v>11468</v>
      </c>
      <c r="B94" t="s">
        <v>163</v>
      </c>
      <c r="C94" s="18">
        <v>43941</v>
      </c>
      <c r="D94" t="s">
        <v>98</v>
      </c>
      <c r="E94">
        <v>2000000</v>
      </c>
      <c r="F94" s="18">
        <v>44290</v>
      </c>
      <c r="G94" s="18">
        <v>44355</v>
      </c>
      <c r="H94">
        <v>2021</v>
      </c>
      <c r="I94" t="s">
        <v>268</v>
      </c>
      <c r="J94" s="27">
        <v>165102.34</v>
      </c>
      <c r="K94" s="27">
        <v>0</v>
      </c>
      <c r="L94" s="27">
        <v>165102.34</v>
      </c>
      <c r="M94" t="s">
        <v>11395</v>
      </c>
      <c r="O94" t="s">
        <v>170</v>
      </c>
      <c r="P94" s="27">
        <v>0</v>
      </c>
    </row>
    <row r="95" spans="1:16" ht="15.75" customHeight="1" x14ac:dyDescent="0.2">
      <c r="A95" t="s">
        <v>11469</v>
      </c>
      <c r="B95" t="s">
        <v>163</v>
      </c>
      <c r="C95" s="18">
        <v>44285</v>
      </c>
      <c r="D95" t="s">
        <v>100</v>
      </c>
      <c r="E95">
        <v>2000000</v>
      </c>
      <c r="F95" s="18">
        <v>44311</v>
      </c>
      <c r="G95" s="18">
        <v>44361</v>
      </c>
      <c r="H95">
        <v>2021</v>
      </c>
      <c r="I95" t="s">
        <v>268</v>
      </c>
      <c r="J95" s="27">
        <v>123071.79</v>
      </c>
      <c r="K95" s="27">
        <v>0</v>
      </c>
      <c r="L95" s="27">
        <v>123071.79</v>
      </c>
      <c r="M95" t="s">
        <v>11347</v>
      </c>
      <c r="O95" t="s">
        <v>167</v>
      </c>
      <c r="P95" s="27">
        <v>123071.79</v>
      </c>
    </row>
    <row r="96" spans="1:16" ht="15.75" customHeight="1" x14ac:dyDescent="0.2">
      <c r="A96" t="s">
        <v>11470</v>
      </c>
      <c r="B96" t="s">
        <v>163</v>
      </c>
      <c r="C96" s="18">
        <v>43804</v>
      </c>
      <c r="D96" t="s">
        <v>98</v>
      </c>
      <c r="E96">
        <v>4000000</v>
      </c>
      <c r="F96" s="18">
        <v>44131</v>
      </c>
      <c r="G96" s="18">
        <v>44364</v>
      </c>
      <c r="H96">
        <v>2020</v>
      </c>
      <c r="I96" t="s">
        <v>268</v>
      </c>
      <c r="J96" s="27">
        <v>118602.96</v>
      </c>
      <c r="K96" s="27">
        <v>0</v>
      </c>
      <c r="L96" s="27">
        <v>118602.96</v>
      </c>
      <c r="M96" t="s">
        <v>11355</v>
      </c>
      <c r="O96" t="s">
        <v>170</v>
      </c>
      <c r="P96" s="27">
        <v>0</v>
      </c>
    </row>
    <row r="97" spans="1:16" ht="15.75" customHeight="1" x14ac:dyDescent="0.2">
      <c r="A97" t="s">
        <v>11471</v>
      </c>
      <c r="B97" t="s">
        <v>163</v>
      </c>
      <c r="C97" s="18">
        <v>43975</v>
      </c>
      <c r="D97" t="s">
        <v>100</v>
      </c>
      <c r="E97">
        <v>1500000</v>
      </c>
      <c r="F97" s="18">
        <v>44261</v>
      </c>
      <c r="G97" s="18">
        <v>44366</v>
      </c>
      <c r="H97">
        <v>2021</v>
      </c>
      <c r="I97" t="s">
        <v>268</v>
      </c>
      <c r="J97" s="27">
        <v>315142.93</v>
      </c>
      <c r="K97" s="27">
        <v>0</v>
      </c>
      <c r="L97" s="27">
        <v>315142.93</v>
      </c>
      <c r="M97" t="s">
        <v>11366</v>
      </c>
      <c r="O97" t="s">
        <v>170</v>
      </c>
      <c r="P97" s="27">
        <v>0</v>
      </c>
    </row>
    <row r="98" spans="1:16" ht="15.75" customHeight="1" x14ac:dyDescent="0.2">
      <c r="A98" t="s">
        <v>11472</v>
      </c>
      <c r="B98" t="s">
        <v>163</v>
      </c>
      <c r="C98" s="18">
        <v>44090</v>
      </c>
      <c r="D98" t="s">
        <v>98</v>
      </c>
      <c r="E98">
        <v>4500000</v>
      </c>
      <c r="F98" s="18">
        <v>44302</v>
      </c>
      <c r="G98" s="18">
        <v>44370</v>
      </c>
      <c r="H98">
        <v>2021</v>
      </c>
      <c r="I98" t="s">
        <v>268</v>
      </c>
      <c r="J98" s="27">
        <v>1037235.55</v>
      </c>
      <c r="K98" s="27">
        <v>0</v>
      </c>
      <c r="L98" s="27">
        <v>1037235.55</v>
      </c>
      <c r="M98" t="s">
        <v>11473</v>
      </c>
      <c r="O98" t="s">
        <v>170</v>
      </c>
      <c r="P98" s="27">
        <v>0</v>
      </c>
    </row>
    <row r="99" spans="1:16" ht="15.75" customHeight="1" x14ac:dyDescent="0.2">
      <c r="A99" t="s">
        <v>11474</v>
      </c>
      <c r="B99" t="s">
        <v>163</v>
      </c>
      <c r="C99" s="18">
        <v>43899</v>
      </c>
      <c r="D99" t="s">
        <v>101</v>
      </c>
      <c r="E99">
        <v>2000000</v>
      </c>
      <c r="F99" s="18">
        <v>44157</v>
      </c>
      <c r="G99" s="18">
        <v>44371</v>
      </c>
      <c r="H99">
        <v>2020</v>
      </c>
      <c r="I99" t="s">
        <v>268</v>
      </c>
      <c r="J99" s="27">
        <v>262835.73</v>
      </c>
      <c r="K99" s="27">
        <v>0</v>
      </c>
      <c r="L99" s="27">
        <v>262835.73</v>
      </c>
      <c r="M99" t="s">
        <v>11359</v>
      </c>
      <c r="O99" t="s">
        <v>167</v>
      </c>
      <c r="P99" s="27">
        <v>262835.73</v>
      </c>
    </row>
    <row r="100" spans="1:16" ht="15.75" customHeight="1" x14ac:dyDescent="0.2">
      <c r="A100" t="s">
        <v>11475</v>
      </c>
      <c r="B100" t="s">
        <v>163</v>
      </c>
      <c r="C100" s="18">
        <v>43940</v>
      </c>
      <c r="D100" t="s">
        <v>100</v>
      </c>
      <c r="E100">
        <v>2000000</v>
      </c>
      <c r="F100" s="18">
        <v>44133</v>
      </c>
      <c r="G100" s="18">
        <v>44382</v>
      </c>
      <c r="H100">
        <v>2020</v>
      </c>
      <c r="I100" t="s">
        <v>268</v>
      </c>
      <c r="J100" s="27">
        <v>344221.54</v>
      </c>
      <c r="K100" s="27">
        <v>0</v>
      </c>
      <c r="L100" s="27">
        <v>344221.54</v>
      </c>
      <c r="M100" t="s">
        <v>11436</v>
      </c>
      <c r="O100" t="s">
        <v>167</v>
      </c>
      <c r="P100" s="27">
        <v>344221.54</v>
      </c>
    </row>
    <row r="101" spans="1:16" ht="15.75" customHeight="1" x14ac:dyDescent="0.2">
      <c r="A101" t="s">
        <v>11476</v>
      </c>
      <c r="B101" t="s">
        <v>163</v>
      </c>
      <c r="C101" s="18">
        <v>43945</v>
      </c>
      <c r="D101" t="s">
        <v>98</v>
      </c>
      <c r="E101">
        <v>3000000</v>
      </c>
      <c r="F101" s="18">
        <v>44198</v>
      </c>
      <c r="G101" s="18">
        <v>44387</v>
      </c>
      <c r="H101">
        <v>2021</v>
      </c>
      <c r="I101" t="s">
        <v>268</v>
      </c>
      <c r="J101" s="27">
        <v>164809.10999999999</v>
      </c>
      <c r="K101" s="27">
        <v>0</v>
      </c>
      <c r="L101" s="27">
        <v>164809.10999999999</v>
      </c>
      <c r="M101" t="s">
        <v>11477</v>
      </c>
      <c r="O101" t="s">
        <v>170</v>
      </c>
      <c r="P101" s="27">
        <v>0</v>
      </c>
    </row>
    <row r="102" spans="1:16" ht="15.75" customHeight="1" x14ac:dyDescent="0.2">
      <c r="A102" t="s">
        <v>11478</v>
      </c>
      <c r="B102" t="s">
        <v>163</v>
      </c>
      <c r="C102" s="18">
        <v>44036</v>
      </c>
      <c r="D102" t="s">
        <v>99</v>
      </c>
      <c r="E102">
        <v>4000000</v>
      </c>
      <c r="F102" s="18">
        <v>44320</v>
      </c>
      <c r="G102" s="18">
        <v>44390</v>
      </c>
      <c r="H102">
        <v>2021</v>
      </c>
      <c r="I102" t="s">
        <v>268</v>
      </c>
      <c r="J102" s="27">
        <v>475429.21</v>
      </c>
      <c r="K102" s="27">
        <v>0</v>
      </c>
      <c r="L102" s="27">
        <v>475429.21</v>
      </c>
      <c r="M102" t="s">
        <v>11448</v>
      </c>
      <c r="O102" t="s">
        <v>167</v>
      </c>
      <c r="P102" s="27">
        <v>475429.21</v>
      </c>
    </row>
    <row r="103" spans="1:16" ht="15.75" customHeight="1" x14ac:dyDescent="0.2">
      <c r="A103" t="s">
        <v>11479</v>
      </c>
      <c r="B103" t="s">
        <v>163</v>
      </c>
      <c r="C103" s="18">
        <v>43993</v>
      </c>
      <c r="D103" t="s">
        <v>98</v>
      </c>
      <c r="E103">
        <v>4500000</v>
      </c>
      <c r="F103" s="18">
        <v>44335</v>
      </c>
      <c r="G103" s="18">
        <v>44391</v>
      </c>
      <c r="H103">
        <v>2021</v>
      </c>
      <c r="I103" t="s">
        <v>268</v>
      </c>
      <c r="J103" s="27">
        <v>870802.61</v>
      </c>
      <c r="K103" s="27">
        <v>0</v>
      </c>
      <c r="L103" s="27">
        <v>870802.61</v>
      </c>
      <c r="M103" t="s">
        <v>11480</v>
      </c>
      <c r="O103" t="s">
        <v>170</v>
      </c>
      <c r="P103" s="27">
        <v>0</v>
      </c>
    </row>
    <row r="104" spans="1:16" ht="15.75" customHeight="1" x14ac:dyDescent="0.2">
      <c r="A104" t="s">
        <v>11481</v>
      </c>
      <c r="B104" t="s">
        <v>163</v>
      </c>
      <c r="C104" s="18">
        <v>43918</v>
      </c>
      <c r="D104" t="s">
        <v>99</v>
      </c>
      <c r="E104">
        <v>4500000</v>
      </c>
      <c r="F104" s="18">
        <v>44070</v>
      </c>
      <c r="G104" s="18">
        <v>44396</v>
      </c>
      <c r="H104">
        <v>2020</v>
      </c>
      <c r="I104" t="s">
        <v>268</v>
      </c>
      <c r="J104" s="27">
        <v>385226.61</v>
      </c>
      <c r="K104" s="27">
        <v>0</v>
      </c>
      <c r="L104" s="27">
        <v>385226.61</v>
      </c>
      <c r="M104" t="s">
        <v>11482</v>
      </c>
      <c r="O104" t="s">
        <v>167</v>
      </c>
      <c r="P104" s="27">
        <v>385226.61</v>
      </c>
    </row>
    <row r="105" spans="1:16" ht="15.75" customHeight="1" x14ac:dyDescent="0.2">
      <c r="A105" t="s">
        <v>11483</v>
      </c>
      <c r="B105" t="s">
        <v>163</v>
      </c>
      <c r="C105" s="18">
        <v>44033</v>
      </c>
      <c r="D105" t="s">
        <v>100</v>
      </c>
      <c r="E105">
        <v>4000000</v>
      </c>
      <c r="F105" s="18">
        <v>44189</v>
      </c>
      <c r="G105" s="18">
        <v>44408</v>
      </c>
      <c r="H105">
        <v>2020</v>
      </c>
      <c r="I105" t="s">
        <v>268</v>
      </c>
      <c r="J105" s="27">
        <v>279846.51</v>
      </c>
      <c r="K105" s="27">
        <v>0</v>
      </c>
      <c r="L105" s="27">
        <v>279846.51</v>
      </c>
      <c r="M105" t="s">
        <v>11411</v>
      </c>
      <c r="O105" t="s">
        <v>167</v>
      </c>
      <c r="P105" s="27">
        <v>279846.51</v>
      </c>
    </row>
    <row r="106" spans="1:16" ht="15.75" customHeight="1" x14ac:dyDescent="0.2">
      <c r="A106" t="s">
        <v>11484</v>
      </c>
      <c r="B106" t="s">
        <v>163</v>
      </c>
      <c r="C106" s="18">
        <v>43977</v>
      </c>
      <c r="D106" t="s">
        <v>98</v>
      </c>
      <c r="E106">
        <v>10000000</v>
      </c>
      <c r="F106" s="18">
        <v>44248</v>
      </c>
      <c r="G106" s="18">
        <v>44413</v>
      </c>
      <c r="H106">
        <v>2021</v>
      </c>
      <c r="I106" t="s">
        <v>268</v>
      </c>
      <c r="J106" s="27">
        <v>1301737.47</v>
      </c>
      <c r="K106" s="27">
        <v>0</v>
      </c>
      <c r="L106" s="27">
        <v>1301737.47</v>
      </c>
      <c r="M106" t="s">
        <v>11485</v>
      </c>
      <c r="O106" t="s">
        <v>170</v>
      </c>
      <c r="P106" s="27">
        <v>0</v>
      </c>
    </row>
    <row r="107" spans="1:16" ht="15.75" customHeight="1" x14ac:dyDescent="0.2">
      <c r="A107" t="s">
        <v>11486</v>
      </c>
      <c r="B107" t="s">
        <v>163</v>
      </c>
      <c r="C107" s="18">
        <v>44024</v>
      </c>
      <c r="D107" t="s">
        <v>98</v>
      </c>
      <c r="E107">
        <v>2000000</v>
      </c>
      <c r="F107" s="18">
        <v>44334</v>
      </c>
      <c r="G107" s="18">
        <v>44413</v>
      </c>
      <c r="H107">
        <v>2021</v>
      </c>
      <c r="I107" t="s">
        <v>268</v>
      </c>
      <c r="J107" s="27">
        <v>209274.05</v>
      </c>
      <c r="K107" s="27">
        <v>0</v>
      </c>
      <c r="L107" s="27">
        <v>209274.05</v>
      </c>
      <c r="M107" t="s">
        <v>11487</v>
      </c>
      <c r="O107" t="s">
        <v>170</v>
      </c>
      <c r="P107" s="27">
        <v>0</v>
      </c>
    </row>
    <row r="108" spans="1:16" ht="15.75" customHeight="1" x14ac:dyDescent="0.2">
      <c r="A108" t="s">
        <v>11488</v>
      </c>
      <c r="B108" t="s">
        <v>163</v>
      </c>
      <c r="C108" s="18">
        <v>44249</v>
      </c>
      <c r="D108" t="s">
        <v>100</v>
      </c>
      <c r="E108">
        <v>10000000</v>
      </c>
      <c r="F108" s="18">
        <v>44357</v>
      </c>
      <c r="G108" s="18">
        <v>44414</v>
      </c>
      <c r="H108">
        <v>2021</v>
      </c>
      <c r="I108" t="s">
        <v>268</v>
      </c>
      <c r="J108" s="27">
        <v>760364.42</v>
      </c>
      <c r="K108" s="27">
        <v>0</v>
      </c>
      <c r="L108" s="27">
        <v>760364.42</v>
      </c>
      <c r="M108" t="s">
        <v>11408</v>
      </c>
      <c r="O108" t="s">
        <v>167</v>
      </c>
      <c r="P108" s="27">
        <v>760364.42</v>
      </c>
    </row>
    <row r="109" spans="1:16" ht="15.75" customHeight="1" x14ac:dyDescent="0.2">
      <c r="A109" t="s">
        <v>11489</v>
      </c>
      <c r="B109" t="s">
        <v>163</v>
      </c>
      <c r="C109" s="18">
        <v>43857</v>
      </c>
      <c r="D109" t="s">
        <v>100</v>
      </c>
      <c r="E109">
        <v>2500000</v>
      </c>
      <c r="F109" s="18">
        <v>44095</v>
      </c>
      <c r="G109" s="18">
        <v>44421</v>
      </c>
      <c r="H109">
        <v>2020</v>
      </c>
      <c r="I109" t="s">
        <v>268</v>
      </c>
      <c r="J109" s="27">
        <v>98313.05</v>
      </c>
      <c r="K109" s="27">
        <v>0</v>
      </c>
      <c r="L109" s="27">
        <v>98313.05</v>
      </c>
      <c r="M109" t="s">
        <v>11345</v>
      </c>
      <c r="O109" t="s">
        <v>167</v>
      </c>
      <c r="P109" s="27">
        <v>98313.05</v>
      </c>
    </row>
    <row r="110" spans="1:16" ht="15.75" customHeight="1" x14ac:dyDescent="0.2">
      <c r="A110" t="s">
        <v>11490</v>
      </c>
      <c r="B110" t="s">
        <v>163</v>
      </c>
      <c r="C110" s="18">
        <v>44302</v>
      </c>
      <c r="D110" t="s">
        <v>100</v>
      </c>
      <c r="E110">
        <v>2000000</v>
      </c>
      <c r="F110" s="18">
        <v>44366</v>
      </c>
      <c r="G110" s="18">
        <v>44428</v>
      </c>
      <c r="H110">
        <v>2021</v>
      </c>
      <c r="I110" t="s">
        <v>268</v>
      </c>
      <c r="J110" s="27">
        <v>642557.46</v>
      </c>
      <c r="K110" s="27">
        <v>0</v>
      </c>
      <c r="L110" s="27">
        <v>642557.46</v>
      </c>
      <c r="M110" t="s">
        <v>11353</v>
      </c>
      <c r="O110" t="s">
        <v>167</v>
      </c>
      <c r="P110" s="27">
        <v>642557.46</v>
      </c>
    </row>
    <row r="111" spans="1:16" ht="15.75" customHeight="1" x14ac:dyDescent="0.2">
      <c r="A111" t="s">
        <v>11491</v>
      </c>
      <c r="B111" t="s">
        <v>219</v>
      </c>
      <c r="C111" s="18">
        <v>44301</v>
      </c>
      <c r="D111" t="s">
        <v>100</v>
      </c>
      <c r="E111">
        <v>1000000</v>
      </c>
      <c r="F111" s="18">
        <v>44374</v>
      </c>
      <c r="G111" s="18">
        <v>44434</v>
      </c>
      <c r="H111">
        <v>2021</v>
      </c>
      <c r="I111" t="s">
        <v>268</v>
      </c>
      <c r="J111" s="27">
        <v>293636.07</v>
      </c>
      <c r="K111" s="27">
        <v>81607.44</v>
      </c>
      <c r="L111" s="27">
        <v>375243.51</v>
      </c>
      <c r="M111" t="s">
        <v>11482</v>
      </c>
      <c r="O111" t="s">
        <v>167</v>
      </c>
      <c r="P111" s="27">
        <v>375243.51</v>
      </c>
    </row>
    <row r="112" spans="1:16" ht="15.75" customHeight="1" x14ac:dyDescent="0.2">
      <c r="A112" t="s">
        <v>11492</v>
      </c>
      <c r="B112" t="s">
        <v>163</v>
      </c>
      <c r="C112" s="18">
        <v>44251</v>
      </c>
      <c r="D112" t="s">
        <v>102</v>
      </c>
      <c r="E112">
        <v>2500000</v>
      </c>
      <c r="F112" s="18">
        <v>44405</v>
      </c>
      <c r="G112" s="18">
        <v>44436</v>
      </c>
      <c r="H112">
        <v>2021</v>
      </c>
      <c r="I112" t="s">
        <v>268</v>
      </c>
      <c r="J112" s="27">
        <v>83088.800000000003</v>
      </c>
      <c r="K112" s="27">
        <v>0</v>
      </c>
      <c r="L112" s="27">
        <v>83088.800000000003</v>
      </c>
      <c r="M112" t="s">
        <v>11493</v>
      </c>
      <c r="O112" t="s">
        <v>167</v>
      </c>
      <c r="P112" s="27">
        <v>83088.800000000003</v>
      </c>
    </row>
    <row r="113" spans="1:16" ht="15.75" customHeight="1" x14ac:dyDescent="0.2">
      <c r="A113" t="s">
        <v>11494</v>
      </c>
      <c r="B113" t="s">
        <v>163</v>
      </c>
      <c r="C113" s="18">
        <v>44003</v>
      </c>
      <c r="D113" t="s">
        <v>101</v>
      </c>
      <c r="E113">
        <v>3000000</v>
      </c>
      <c r="F113" s="18">
        <v>44174</v>
      </c>
      <c r="G113" s="18">
        <v>44441</v>
      </c>
      <c r="H113">
        <v>2020</v>
      </c>
      <c r="I113" t="s">
        <v>268</v>
      </c>
      <c r="J113" s="27">
        <v>129807.6</v>
      </c>
      <c r="K113" s="27">
        <v>0</v>
      </c>
      <c r="L113" s="27">
        <v>129807.6</v>
      </c>
      <c r="M113" t="s">
        <v>11351</v>
      </c>
      <c r="O113" t="s">
        <v>167</v>
      </c>
      <c r="P113" s="27">
        <v>129807.6</v>
      </c>
    </row>
    <row r="114" spans="1:16" ht="15.75" customHeight="1" x14ac:dyDescent="0.2">
      <c r="A114" t="s">
        <v>11495</v>
      </c>
      <c r="B114" t="s">
        <v>163</v>
      </c>
      <c r="C114" s="18">
        <v>44062</v>
      </c>
      <c r="D114" t="s">
        <v>98</v>
      </c>
      <c r="E114">
        <v>10000000</v>
      </c>
      <c r="F114" s="18">
        <v>44384</v>
      </c>
      <c r="G114" s="18">
        <v>44445</v>
      </c>
      <c r="H114">
        <v>2021</v>
      </c>
      <c r="I114" t="s">
        <v>268</v>
      </c>
      <c r="J114" s="27">
        <v>500772.05</v>
      </c>
      <c r="K114" s="27">
        <v>0</v>
      </c>
      <c r="L114" s="27">
        <v>500772.05</v>
      </c>
      <c r="M114" t="s">
        <v>11496</v>
      </c>
      <c r="O114" t="s">
        <v>170</v>
      </c>
      <c r="P114" s="27">
        <v>0</v>
      </c>
    </row>
    <row r="115" spans="1:16" ht="15.75" customHeight="1" x14ac:dyDescent="0.2">
      <c r="A115" t="s">
        <v>11497</v>
      </c>
      <c r="B115" t="s">
        <v>163</v>
      </c>
      <c r="C115" s="18">
        <v>43930</v>
      </c>
      <c r="D115" t="s">
        <v>100</v>
      </c>
      <c r="E115">
        <v>3000000</v>
      </c>
      <c r="F115" s="18">
        <v>44263</v>
      </c>
      <c r="G115" s="18">
        <v>44450</v>
      </c>
      <c r="H115">
        <v>2021</v>
      </c>
      <c r="I115" t="s">
        <v>268</v>
      </c>
      <c r="J115" s="27">
        <v>137877.9</v>
      </c>
      <c r="K115" s="27">
        <v>0</v>
      </c>
      <c r="L115" s="27">
        <v>137877.9</v>
      </c>
      <c r="M115" t="s">
        <v>11399</v>
      </c>
      <c r="O115" t="s">
        <v>167</v>
      </c>
      <c r="P115" s="27">
        <v>137877.9</v>
      </c>
    </row>
    <row r="116" spans="1:16" ht="15.75" customHeight="1" x14ac:dyDescent="0.2">
      <c r="A116" t="s">
        <v>11498</v>
      </c>
      <c r="B116" t="s">
        <v>163</v>
      </c>
      <c r="C116" s="18">
        <v>44089</v>
      </c>
      <c r="D116" t="s">
        <v>98</v>
      </c>
      <c r="E116">
        <v>2500000</v>
      </c>
      <c r="F116" s="18">
        <v>44284</v>
      </c>
      <c r="G116" s="18">
        <v>44451</v>
      </c>
      <c r="H116">
        <v>2021</v>
      </c>
      <c r="I116" t="s">
        <v>268</v>
      </c>
      <c r="J116" s="27">
        <v>544399.26</v>
      </c>
      <c r="K116" s="27">
        <v>0</v>
      </c>
      <c r="L116" s="27">
        <v>544399.26</v>
      </c>
      <c r="M116" t="s">
        <v>11424</v>
      </c>
      <c r="O116" t="s">
        <v>170</v>
      </c>
      <c r="P116" s="27">
        <v>0</v>
      </c>
    </row>
    <row r="117" spans="1:16" ht="15.75" customHeight="1" x14ac:dyDescent="0.2">
      <c r="A117" t="s">
        <v>11499</v>
      </c>
      <c r="B117" t="s">
        <v>163</v>
      </c>
      <c r="C117" s="18">
        <v>44164</v>
      </c>
      <c r="D117" t="s">
        <v>98</v>
      </c>
      <c r="E117">
        <v>4500000</v>
      </c>
      <c r="F117" s="18">
        <v>44403</v>
      </c>
      <c r="G117" s="18">
        <v>44457</v>
      </c>
      <c r="H117">
        <v>2021</v>
      </c>
      <c r="I117" t="s">
        <v>268</v>
      </c>
      <c r="J117" s="27">
        <v>137988.69</v>
      </c>
      <c r="K117" s="27">
        <v>0</v>
      </c>
      <c r="L117" s="27">
        <v>137988.69</v>
      </c>
      <c r="M117" t="s">
        <v>11384</v>
      </c>
      <c r="O117" t="s">
        <v>170</v>
      </c>
      <c r="P117" s="27">
        <v>0</v>
      </c>
    </row>
    <row r="118" spans="1:16" ht="15.75" customHeight="1" x14ac:dyDescent="0.2">
      <c r="A118" t="s">
        <v>11500</v>
      </c>
      <c r="B118" t="s">
        <v>163</v>
      </c>
      <c r="C118" s="18">
        <v>44333</v>
      </c>
      <c r="D118" t="s">
        <v>100</v>
      </c>
      <c r="E118">
        <v>10000000</v>
      </c>
      <c r="F118" s="18">
        <v>44343</v>
      </c>
      <c r="G118" s="18">
        <v>44460</v>
      </c>
      <c r="H118">
        <v>2021</v>
      </c>
      <c r="I118" t="s">
        <v>268</v>
      </c>
      <c r="J118" s="27">
        <v>392698.91</v>
      </c>
      <c r="K118" s="27">
        <v>0</v>
      </c>
      <c r="L118" s="27">
        <v>392698.91</v>
      </c>
      <c r="M118" t="s">
        <v>11364</v>
      </c>
      <c r="O118" t="s">
        <v>167</v>
      </c>
      <c r="P118" s="27">
        <v>392698.91</v>
      </c>
    </row>
    <row r="119" spans="1:16" ht="15.75" customHeight="1" x14ac:dyDescent="0.2">
      <c r="A119" t="s">
        <v>11501</v>
      </c>
      <c r="B119" t="s">
        <v>219</v>
      </c>
      <c r="C119" s="18">
        <v>43925</v>
      </c>
      <c r="D119" t="s">
        <v>99</v>
      </c>
      <c r="E119">
        <v>1500000</v>
      </c>
      <c r="F119" s="18">
        <v>44208</v>
      </c>
      <c r="G119" s="18">
        <v>44461</v>
      </c>
      <c r="H119">
        <v>2021</v>
      </c>
      <c r="I119" t="s">
        <v>268</v>
      </c>
      <c r="J119" s="27">
        <v>65923.98</v>
      </c>
      <c r="K119" s="27">
        <v>40152.160000000003</v>
      </c>
      <c r="L119" s="27">
        <v>106076.14</v>
      </c>
      <c r="M119" t="s">
        <v>11351</v>
      </c>
      <c r="O119" t="s">
        <v>167</v>
      </c>
      <c r="P119" s="27">
        <v>106076.14</v>
      </c>
    </row>
    <row r="120" spans="1:16" ht="15.75" customHeight="1" x14ac:dyDescent="0.2">
      <c r="A120" t="s">
        <v>11502</v>
      </c>
      <c r="B120" t="s">
        <v>163</v>
      </c>
      <c r="C120" s="18">
        <v>44285</v>
      </c>
      <c r="D120" t="s">
        <v>102</v>
      </c>
      <c r="E120">
        <v>2000000</v>
      </c>
      <c r="F120" s="18">
        <v>44383</v>
      </c>
      <c r="G120" s="18">
        <v>44461</v>
      </c>
      <c r="H120">
        <v>2021</v>
      </c>
      <c r="I120" t="s">
        <v>268</v>
      </c>
      <c r="J120" s="27">
        <v>144396.22</v>
      </c>
      <c r="K120" s="27">
        <v>0</v>
      </c>
      <c r="L120" s="27">
        <v>144396.22</v>
      </c>
      <c r="M120" t="s">
        <v>11395</v>
      </c>
      <c r="O120" t="s">
        <v>167</v>
      </c>
      <c r="P120" s="27">
        <v>144396.22</v>
      </c>
    </row>
    <row r="121" spans="1:16" ht="15.75" customHeight="1" x14ac:dyDescent="0.2">
      <c r="A121" t="s">
        <v>11503</v>
      </c>
      <c r="B121" t="s">
        <v>163</v>
      </c>
      <c r="C121" s="18">
        <v>44315</v>
      </c>
      <c r="D121" t="s">
        <v>100</v>
      </c>
      <c r="E121">
        <v>4500000</v>
      </c>
      <c r="F121" s="18">
        <v>44387</v>
      </c>
      <c r="G121" s="18">
        <v>44463</v>
      </c>
      <c r="H121">
        <v>2021</v>
      </c>
      <c r="I121" t="s">
        <v>268</v>
      </c>
      <c r="J121" s="27">
        <v>1432095.44</v>
      </c>
      <c r="K121" s="27">
        <v>0</v>
      </c>
      <c r="L121" s="27">
        <v>1432095.44</v>
      </c>
      <c r="M121" t="s">
        <v>11504</v>
      </c>
      <c r="O121" t="s">
        <v>170</v>
      </c>
      <c r="P121" s="27">
        <v>0</v>
      </c>
    </row>
    <row r="122" spans="1:16" ht="15.75" customHeight="1" x14ac:dyDescent="0.2">
      <c r="A122" t="s">
        <v>11505</v>
      </c>
      <c r="B122" t="s">
        <v>163</v>
      </c>
      <c r="C122" s="18">
        <v>43888</v>
      </c>
      <c r="D122" t="s">
        <v>101</v>
      </c>
      <c r="E122">
        <v>3500000</v>
      </c>
      <c r="F122" s="18">
        <v>44252</v>
      </c>
      <c r="G122" s="18">
        <v>44464</v>
      </c>
      <c r="H122">
        <v>2021</v>
      </c>
      <c r="I122" t="s">
        <v>268</v>
      </c>
      <c r="J122" s="27">
        <v>350262.83</v>
      </c>
      <c r="K122" s="27">
        <v>0</v>
      </c>
      <c r="L122" s="27">
        <v>350262.83</v>
      </c>
      <c r="M122" t="s">
        <v>11436</v>
      </c>
      <c r="O122" t="s">
        <v>167</v>
      </c>
      <c r="P122" s="27">
        <v>350262.83</v>
      </c>
    </row>
    <row r="123" spans="1:16" ht="15.75" customHeight="1" x14ac:dyDescent="0.2">
      <c r="A123" t="s">
        <v>11506</v>
      </c>
      <c r="B123" t="s">
        <v>163</v>
      </c>
      <c r="C123" s="18">
        <v>44177</v>
      </c>
      <c r="D123" t="s">
        <v>100</v>
      </c>
      <c r="E123">
        <v>3000000</v>
      </c>
      <c r="F123" s="18">
        <v>44408</v>
      </c>
      <c r="G123" s="18">
        <v>44478</v>
      </c>
      <c r="H123">
        <v>2021</v>
      </c>
      <c r="I123" t="s">
        <v>268</v>
      </c>
      <c r="J123" s="27">
        <v>266488.42</v>
      </c>
      <c r="K123" s="27">
        <v>0</v>
      </c>
      <c r="L123" s="27">
        <v>266488.42</v>
      </c>
      <c r="M123" t="s">
        <v>11422</v>
      </c>
      <c r="O123" t="s">
        <v>170</v>
      </c>
      <c r="P123" s="27">
        <v>0</v>
      </c>
    </row>
    <row r="124" spans="1:16" ht="15.75" customHeight="1" x14ac:dyDescent="0.2">
      <c r="A124" t="s">
        <v>11507</v>
      </c>
      <c r="B124" t="s">
        <v>163</v>
      </c>
      <c r="C124" s="18">
        <v>44368</v>
      </c>
      <c r="D124" t="s">
        <v>11813</v>
      </c>
      <c r="E124">
        <v>500000</v>
      </c>
      <c r="F124" s="18">
        <v>44434</v>
      </c>
      <c r="G124" s="18">
        <v>44485</v>
      </c>
      <c r="H124">
        <v>2021</v>
      </c>
      <c r="I124" t="s">
        <v>268</v>
      </c>
      <c r="J124" s="27">
        <v>90943.039999999994</v>
      </c>
      <c r="K124" s="27">
        <v>0</v>
      </c>
      <c r="L124" s="27">
        <v>90943.039999999994</v>
      </c>
      <c r="M124" t="s">
        <v>11508</v>
      </c>
      <c r="O124" t="s">
        <v>167</v>
      </c>
      <c r="P124" s="27">
        <v>90943.039999999994</v>
      </c>
    </row>
    <row r="125" spans="1:16" ht="15.75" customHeight="1" x14ac:dyDescent="0.2">
      <c r="A125" t="s">
        <v>11509</v>
      </c>
      <c r="B125" t="s">
        <v>163</v>
      </c>
      <c r="C125" s="18">
        <v>43562</v>
      </c>
      <c r="D125" t="s">
        <v>11813</v>
      </c>
      <c r="E125">
        <v>1000000</v>
      </c>
      <c r="F125" s="18">
        <v>43855</v>
      </c>
      <c r="G125" s="18">
        <v>44491</v>
      </c>
      <c r="H125">
        <v>2020</v>
      </c>
      <c r="I125" t="s">
        <v>268</v>
      </c>
      <c r="J125" s="27">
        <v>223042.69</v>
      </c>
      <c r="K125" s="27">
        <v>0</v>
      </c>
      <c r="L125" s="27">
        <v>223042.69</v>
      </c>
      <c r="M125" t="s">
        <v>11372</v>
      </c>
      <c r="O125" t="s">
        <v>167</v>
      </c>
      <c r="P125" s="27">
        <v>223042.69</v>
      </c>
    </row>
    <row r="126" spans="1:16" ht="15.75" customHeight="1" x14ac:dyDescent="0.2">
      <c r="A126" t="s">
        <v>11510</v>
      </c>
      <c r="B126" t="s">
        <v>163</v>
      </c>
      <c r="C126" s="18">
        <v>44134</v>
      </c>
      <c r="D126" t="s">
        <v>11813</v>
      </c>
      <c r="E126">
        <v>1000000</v>
      </c>
      <c r="F126" s="18">
        <v>44446</v>
      </c>
      <c r="G126" s="18">
        <v>44492</v>
      </c>
      <c r="H126">
        <v>2021</v>
      </c>
      <c r="I126" t="s">
        <v>268</v>
      </c>
      <c r="J126" s="27">
        <v>388642.33</v>
      </c>
      <c r="K126" s="27">
        <v>0</v>
      </c>
      <c r="L126" s="27">
        <v>388642.33</v>
      </c>
      <c r="M126" t="s">
        <v>11511</v>
      </c>
      <c r="O126" t="s">
        <v>167</v>
      </c>
      <c r="P126" s="27">
        <v>388642.33</v>
      </c>
    </row>
    <row r="127" spans="1:16" ht="15.75" customHeight="1" x14ac:dyDescent="0.2">
      <c r="A127" t="s">
        <v>11512</v>
      </c>
      <c r="B127" t="s">
        <v>163</v>
      </c>
      <c r="C127" s="18">
        <v>44347</v>
      </c>
      <c r="D127" t="s">
        <v>11813</v>
      </c>
      <c r="E127">
        <v>200000</v>
      </c>
      <c r="F127" s="18">
        <v>44348</v>
      </c>
      <c r="G127" s="18">
        <v>44495</v>
      </c>
      <c r="H127">
        <v>2021</v>
      </c>
      <c r="I127" t="s">
        <v>268</v>
      </c>
      <c r="J127" s="27">
        <v>301031.59999999998</v>
      </c>
      <c r="K127" s="27">
        <v>0</v>
      </c>
      <c r="L127" s="27">
        <v>301031.59999999998</v>
      </c>
      <c r="M127" t="s">
        <v>11366</v>
      </c>
      <c r="O127" t="s">
        <v>167</v>
      </c>
      <c r="P127" s="27">
        <v>301031.59999999998</v>
      </c>
    </row>
    <row r="128" spans="1:16" ht="15.75" customHeight="1" x14ac:dyDescent="0.2">
      <c r="A128" t="s">
        <v>11513</v>
      </c>
      <c r="B128" t="s">
        <v>163</v>
      </c>
      <c r="C128" s="18">
        <v>44301</v>
      </c>
      <c r="D128" t="s">
        <v>11813</v>
      </c>
      <c r="E128">
        <v>200000</v>
      </c>
      <c r="F128" s="18">
        <v>44408</v>
      </c>
      <c r="G128" s="18">
        <v>44498</v>
      </c>
      <c r="H128">
        <v>2021</v>
      </c>
      <c r="I128" t="s">
        <v>268</v>
      </c>
      <c r="J128" s="27">
        <v>292269.69</v>
      </c>
      <c r="K128" s="27">
        <v>0</v>
      </c>
      <c r="L128" s="27">
        <v>292269.69</v>
      </c>
      <c r="M128" t="s">
        <v>11422</v>
      </c>
      <c r="O128" t="s">
        <v>167</v>
      </c>
      <c r="P128" s="27">
        <v>292269.69</v>
      </c>
    </row>
    <row r="129" spans="1:16" ht="15.75" customHeight="1" x14ac:dyDescent="0.2">
      <c r="A129" t="s">
        <v>11514</v>
      </c>
      <c r="B129" t="s">
        <v>163</v>
      </c>
      <c r="C129" s="18">
        <v>44057</v>
      </c>
      <c r="D129" t="s">
        <v>98</v>
      </c>
      <c r="E129">
        <v>5000000</v>
      </c>
      <c r="F129" s="18">
        <v>44273</v>
      </c>
      <c r="G129" s="18">
        <v>44506</v>
      </c>
      <c r="H129">
        <v>2021</v>
      </c>
      <c r="I129" t="s">
        <v>268</v>
      </c>
      <c r="J129" s="27">
        <v>377839.42</v>
      </c>
      <c r="K129" s="27">
        <v>0</v>
      </c>
      <c r="L129" s="27">
        <v>377839.42</v>
      </c>
      <c r="M129" t="s">
        <v>11364</v>
      </c>
      <c r="O129" t="s">
        <v>170</v>
      </c>
      <c r="P129" s="27">
        <v>0</v>
      </c>
    </row>
    <row r="130" spans="1:16" ht="15.75" customHeight="1" x14ac:dyDescent="0.2">
      <c r="A130" t="s">
        <v>11515</v>
      </c>
      <c r="B130" t="s">
        <v>163</v>
      </c>
      <c r="C130" s="18">
        <v>43875</v>
      </c>
      <c r="D130" t="s">
        <v>100</v>
      </c>
      <c r="E130">
        <v>1500000</v>
      </c>
      <c r="F130" s="18">
        <v>43944</v>
      </c>
      <c r="G130" s="18">
        <v>44507</v>
      </c>
      <c r="H130">
        <v>2020</v>
      </c>
      <c r="I130" t="s">
        <v>268</v>
      </c>
      <c r="J130" s="27">
        <v>400959.38</v>
      </c>
      <c r="K130" s="27">
        <v>0</v>
      </c>
      <c r="L130" s="27">
        <v>400959.38</v>
      </c>
      <c r="M130" t="s">
        <v>11511</v>
      </c>
      <c r="O130" t="s">
        <v>167</v>
      </c>
      <c r="P130" s="27">
        <v>400959.38</v>
      </c>
    </row>
    <row r="131" spans="1:16" ht="15.75" customHeight="1" x14ac:dyDescent="0.2">
      <c r="A131" t="s">
        <v>11516</v>
      </c>
      <c r="B131" t="s">
        <v>163</v>
      </c>
      <c r="C131" s="18">
        <v>44327</v>
      </c>
      <c r="D131" t="s">
        <v>98</v>
      </c>
      <c r="E131">
        <v>1000000</v>
      </c>
      <c r="F131" s="18">
        <v>44438</v>
      </c>
      <c r="G131" s="18">
        <v>44511</v>
      </c>
      <c r="H131">
        <v>2021</v>
      </c>
      <c r="I131" t="s">
        <v>268</v>
      </c>
      <c r="J131" s="27">
        <v>227336.79</v>
      </c>
      <c r="K131" s="27">
        <v>0</v>
      </c>
      <c r="L131" s="27">
        <v>227336.79</v>
      </c>
      <c r="M131" t="s">
        <v>11487</v>
      </c>
      <c r="O131" t="s">
        <v>170</v>
      </c>
      <c r="P131" s="27">
        <v>0</v>
      </c>
    </row>
    <row r="132" spans="1:16" ht="15.75" customHeight="1" x14ac:dyDescent="0.2">
      <c r="A132" t="s">
        <v>11517</v>
      </c>
      <c r="B132" t="s">
        <v>163</v>
      </c>
      <c r="C132" s="18">
        <v>44151</v>
      </c>
      <c r="D132" t="s">
        <v>100</v>
      </c>
      <c r="E132">
        <v>4000000</v>
      </c>
      <c r="F132" s="18">
        <v>44473</v>
      </c>
      <c r="G132" s="18">
        <v>44518</v>
      </c>
      <c r="H132">
        <v>2021</v>
      </c>
      <c r="I132" t="s">
        <v>268</v>
      </c>
      <c r="J132" s="27">
        <v>83272.5</v>
      </c>
      <c r="K132" s="27">
        <v>0</v>
      </c>
      <c r="L132" s="27">
        <v>83272.5</v>
      </c>
      <c r="M132" t="s">
        <v>11431</v>
      </c>
      <c r="O132" t="s">
        <v>167</v>
      </c>
      <c r="P132" s="27">
        <v>83272.5</v>
      </c>
    </row>
    <row r="133" spans="1:16" ht="15.75" customHeight="1" x14ac:dyDescent="0.2">
      <c r="A133" t="s">
        <v>11518</v>
      </c>
      <c r="B133" t="s">
        <v>163</v>
      </c>
      <c r="C133" s="18">
        <v>44162</v>
      </c>
      <c r="D133" t="s">
        <v>101</v>
      </c>
      <c r="E133">
        <v>5000000</v>
      </c>
      <c r="F133" s="18">
        <v>44487</v>
      </c>
      <c r="G133" s="18">
        <v>44519</v>
      </c>
      <c r="H133">
        <v>2021</v>
      </c>
      <c r="I133" t="s">
        <v>268</v>
      </c>
      <c r="J133" s="27">
        <v>216928.08</v>
      </c>
      <c r="K133" s="27">
        <v>0</v>
      </c>
      <c r="L133" s="27">
        <v>216928.08</v>
      </c>
      <c r="M133" t="s">
        <v>11444</v>
      </c>
      <c r="O133" t="s">
        <v>167</v>
      </c>
      <c r="P133" s="27">
        <v>216928.08</v>
      </c>
    </row>
    <row r="134" spans="1:16" ht="15.75" customHeight="1" x14ac:dyDescent="0.2">
      <c r="A134" t="s">
        <v>11519</v>
      </c>
      <c r="B134" t="s">
        <v>163</v>
      </c>
      <c r="C134" s="18">
        <v>44200</v>
      </c>
      <c r="D134" t="s">
        <v>100</v>
      </c>
      <c r="E134">
        <v>1000000</v>
      </c>
      <c r="F134" s="18">
        <v>44381</v>
      </c>
      <c r="G134" s="18">
        <v>44520</v>
      </c>
      <c r="H134">
        <v>2021</v>
      </c>
      <c r="I134" t="s">
        <v>268</v>
      </c>
      <c r="J134" s="27">
        <v>291244.49</v>
      </c>
      <c r="K134" s="27">
        <v>0</v>
      </c>
      <c r="L134" s="27">
        <v>291244.49</v>
      </c>
      <c r="M134" t="s">
        <v>11422</v>
      </c>
      <c r="O134" t="s">
        <v>167</v>
      </c>
      <c r="P134" s="27">
        <v>291244.49</v>
      </c>
    </row>
    <row r="135" spans="1:16" ht="15.75" customHeight="1" x14ac:dyDescent="0.2">
      <c r="A135" t="s">
        <v>11520</v>
      </c>
      <c r="B135" t="s">
        <v>163</v>
      </c>
      <c r="C135" s="18">
        <v>43950</v>
      </c>
      <c r="D135" t="s">
        <v>100</v>
      </c>
      <c r="E135">
        <v>2500000</v>
      </c>
      <c r="F135" s="18">
        <v>44264</v>
      </c>
      <c r="G135" s="18">
        <v>44531</v>
      </c>
      <c r="H135">
        <v>2021</v>
      </c>
      <c r="I135" t="s">
        <v>268</v>
      </c>
      <c r="J135" s="27">
        <v>199557.65</v>
      </c>
      <c r="K135" s="27">
        <v>0</v>
      </c>
      <c r="L135" s="27">
        <v>199557.65</v>
      </c>
      <c r="M135" t="s">
        <v>11487</v>
      </c>
      <c r="O135" t="s">
        <v>170</v>
      </c>
      <c r="P135" s="27">
        <v>0</v>
      </c>
    </row>
    <row r="136" spans="1:16" ht="15.75" customHeight="1" x14ac:dyDescent="0.2">
      <c r="A136" t="s">
        <v>11521</v>
      </c>
      <c r="B136" t="s">
        <v>163</v>
      </c>
      <c r="C136" s="18">
        <v>44381</v>
      </c>
      <c r="D136" t="s">
        <v>100</v>
      </c>
      <c r="E136">
        <v>2000000</v>
      </c>
      <c r="F136" s="18">
        <v>44482</v>
      </c>
      <c r="G136" s="18">
        <v>44534</v>
      </c>
      <c r="H136">
        <v>2021</v>
      </c>
      <c r="I136" t="s">
        <v>268</v>
      </c>
      <c r="J136" s="27">
        <v>148104.6</v>
      </c>
      <c r="K136" s="27">
        <v>0</v>
      </c>
      <c r="L136" s="27">
        <v>148104.6</v>
      </c>
      <c r="M136" t="s">
        <v>11399</v>
      </c>
      <c r="O136" t="s">
        <v>167</v>
      </c>
      <c r="P136" s="27">
        <v>148104.6</v>
      </c>
    </row>
    <row r="137" spans="1:16" ht="15.75" customHeight="1" x14ac:dyDescent="0.2">
      <c r="A137" t="s">
        <v>11522</v>
      </c>
      <c r="B137" t="s">
        <v>163</v>
      </c>
      <c r="C137" s="18">
        <v>44070</v>
      </c>
      <c r="D137" t="s">
        <v>98</v>
      </c>
      <c r="E137">
        <v>4000000</v>
      </c>
      <c r="F137" s="18">
        <v>44318</v>
      </c>
      <c r="G137" s="18">
        <v>44535</v>
      </c>
      <c r="H137">
        <v>2021</v>
      </c>
      <c r="I137" t="s">
        <v>268</v>
      </c>
      <c r="J137" s="27">
        <v>248269.37</v>
      </c>
      <c r="K137" s="27">
        <v>0</v>
      </c>
      <c r="L137" s="27">
        <v>248269.37</v>
      </c>
      <c r="M137" t="s">
        <v>11359</v>
      </c>
      <c r="O137" t="s">
        <v>170</v>
      </c>
      <c r="P137" s="27">
        <v>0</v>
      </c>
    </row>
    <row r="138" spans="1:16" ht="15.75" customHeight="1" x14ac:dyDescent="0.2">
      <c r="A138" t="s">
        <v>11523</v>
      </c>
      <c r="B138" t="s">
        <v>163</v>
      </c>
      <c r="C138" s="18">
        <v>44052</v>
      </c>
      <c r="D138" t="s">
        <v>100</v>
      </c>
      <c r="E138">
        <v>2500000</v>
      </c>
      <c r="F138" s="18">
        <v>44295</v>
      </c>
      <c r="G138" s="18">
        <v>44554</v>
      </c>
      <c r="H138">
        <v>2021</v>
      </c>
      <c r="I138" t="s">
        <v>268</v>
      </c>
      <c r="J138" s="27">
        <v>123534.77</v>
      </c>
      <c r="K138" s="27">
        <v>0</v>
      </c>
      <c r="L138" s="27">
        <v>123534.77</v>
      </c>
      <c r="M138" t="s">
        <v>11384</v>
      </c>
      <c r="O138" t="s">
        <v>167</v>
      </c>
      <c r="P138" s="27">
        <v>123534.77</v>
      </c>
    </row>
    <row r="139" spans="1:16" ht="15.75" customHeight="1" x14ac:dyDescent="0.2">
      <c r="A139" t="s">
        <v>11524</v>
      </c>
      <c r="B139" t="s">
        <v>163</v>
      </c>
      <c r="C139" s="18">
        <v>43731</v>
      </c>
      <c r="D139" t="s">
        <v>101</v>
      </c>
      <c r="E139">
        <v>5000000</v>
      </c>
      <c r="F139" s="18">
        <v>44002</v>
      </c>
      <c r="G139" s="18">
        <v>44555</v>
      </c>
      <c r="H139">
        <v>2020</v>
      </c>
      <c r="I139" t="s">
        <v>268</v>
      </c>
      <c r="J139" s="27">
        <v>374955.28</v>
      </c>
      <c r="K139" s="27">
        <v>0</v>
      </c>
      <c r="L139" s="27">
        <v>374955.28</v>
      </c>
      <c r="M139" t="s">
        <v>11391</v>
      </c>
      <c r="O139" t="s">
        <v>167</v>
      </c>
      <c r="P139" s="27">
        <v>374955.28</v>
      </c>
    </row>
    <row r="140" spans="1:16" ht="15.75" customHeight="1" x14ac:dyDescent="0.2">
      <c r="A140" t="s">
        <v>11525</v>
      </c>
      <c r="B140" t="s">
        <v>163</v>
      </c>
      <c r="C140" s="18">
        <v>44401</v>
      </c>
      <c r="D140" t="s">
        <v>101</v>
      </c>
      <c r="E140">
        <v>4500000</v>
      </c>
      <c r="F140" s="18">
        <v>44512</v>
      </c>
      <c r="G140" s="18">
        <v>44555</v>
      </c>
      <c r="H140">
        <v>2021</v>
      </c>
      <c r="I140" t="s">
        <v>268</v>
      </c>
      <c r="J140" s="27">
        <v>228432.32</v>
      </c>
      <c r="K140" s="27">
        <v>0</v>
      </c>
      <c r="L140" s="27">
        <v>228432.32</v>
      </c>
      <c r="M140" t="s">
        <v>11526</v>
      </c>
      <c r="O140" t="s">
        <v>167</v>
      </c>
      <c r="P140" s="27">
        <v>228432.32</v>
      </c>
    </row>
    <row r="141" spans="1:16" ht="15.75" customHeight="1" x14ac:dyDescent="0.2">
      <c r="A141" t="s">
        <v>11527</v>
      </c>
      <c r="B141" t="s">
        <v>163</v>
      </c>
      <c r="C141" s="18">
        <v>44348</v>
      </c>
      <c r="D141" t="s">
        <v>101</v>
      </c>
      <c r="E141">
        <v>2000000</v>
      </c>
      <c r="F141" s="18">
        <v>44450</v>
      </c>
      <c r="G141" s="18">
        <v>44557</v>
      </c>
      <c r="H141">
        <v>2021</v>
      </c>
      <c r="I141" t="s">
        <v>268</v>
      </c>
      <c r="J141" s="27">
        <v>132890.6</v>
      </c>
      <c r="K141" s="27">
        <v>0</v>
      </c>
      <c r="L141" s="27">
        <v>132890.6</v>
      </c>
      <c r="M141" t="s">
        <v>11380</v>
      </c>
      <c r="O141" t="s">
        <v>167</v>
      </c>
      <c r="P141" s="27">
        <v>132890.6</v>
      </c>
    </row>
    <row r="142" spans="1:16" ht="15.75" customHeight="1" x14ac:dyDescent="0.2">
      <c r="A142" t="s">
        <v>11528</v>
      </c>
      <c r="B142" t="s">
        <v>163</v>
      </c>
      <c r="C142" s="18">
        <v>44029</v>
      </c>
      <c r="D142" t="s">
        <v>99</v>
      </c>
      <c r="E142">
        <v>5000000</v>
      </c>
      <c r="F142" s="18">
        <v>44285</v>
      </c>
      <c r="G142" s="18">
        <v>44564</v>
      </c>
      <c r="H142">
        <v>2021</v>
      </c>
      <c r="I142" t="s">
        <v>268</v>
      </c>
      <c r="J142" s="27">
        <v>70159.360000000001</v>
      </c>
      <c r="K142" s="27">
        <v>0</v>
      </c>
      <c r="L142" s="27">
        <v>70159.360000000001</v>
      </c>
      <c r="M142" t="s">
        <v>11389</v>
      </c>
      <c r="O142" t="s">
        <v>167</v>
      </c>
      <c r="P142" s="27">
        <v>70159.360000000001</v>
      </c>
    </row>
    <row r="143" spans="1:16" ht="15.75" customHeight="1" x14ac:dyDescent="0.2">
      <c r="A143" t="s">
        <v>11529</v>
      </c>
      <c r="B143" t="s">
        <v>163</v>
      </c>
      <c r="C143" s="18">
        <v>44211</v>
      </c>
      <c r="D143" t="s">
        <v>98</v>
      </c>
      <c r="E143">
        <v>2000000</v>
      </c>
      <c r="F143" s="18">
        <v>44448</v>
      </c>
      <c r="G143" s="18">
        <v>44564</v>
      </c>
      <c r="H143">
        <v>2021</v>
      </c>
      <c r="I143" t="s">
        <v>268</v>
      </c>
      <c r="J143" s="27">
        <v>63453.37</v>
      </c>
      <c r="K143" s="27">
        <v>0</v>
      </c>
      <c r="L143" s="27">
        <v>63453.37</v>
      </c>
      <c r="M143" t="s">
        <v>11368</v>
      </c>
      <c r="O143" t="s">
        <v>170</v>
      </c>
      <c r="P143" s="27">
        <v>0</v>
      </c>
    </row>
    <row r="144" spans="1:16" ht="15.75" customHeight="1" x14ac:dyDescent="0.2">
      <c r="A144" t="s">
        <v>11530</v>
      </c>
      <c r="B144" t="s">
        <v>163</v>
      </c>
      <c r="C144" s="18">
        <v>43952</v>
      </c>
      <c r="D144" t="s">
        <v>102</v>
      </c>
      <c r="E144">
        <v>2000000</v>
      </c>
      <c r="F144" s="18">
        <v>44195</v>
      </c>
      <c r="G144" s="18">
        <v>44571</v>
      </c>
      <c r="H144">
        <v>2020</v>
      </c>
      <c r="I144" t="s">
        <v>268</v>
      </c>
      <c r="J144" s="27">
        <v>62010.33</v>
      </c>
      <c r="K144" s="27">
        <v>0</v>
      </c>
      <c r="L144" s="27">
        <v>62010.33</v>
      </c>
      <c r="M144" t="s">
        <v>11426</v>
      </c>
      <c r="O144" t="s">
        <v>167</v>
      </c>
      <c r="P144" s="27">
        <v>62010.33</v>
      </c>
    </row>
    <row r="145" spans="1:16" ht="15.75" customHeight="1" x14ac:dyDescent="0.2">
      <c r="A145" t="s">
        <v>11531</v>
      </c>
      <c r="B145" t="s">
        <v>163</v>
      </c>
      <c r="C145" s="18">
        <v>44032</v>
      </c>
      <c r="D145" t="s">
        <v>98</v>
      </c>
      <c r="E145">
        <v>10000000</v>
      </c>
      <c r="F145" s="18">
        <v>44384</v>
      </c>
      <c r="G145" s="18">
        <v>44572</v>
      </c>
      <c r="H145">
        <v>2021</v>
      </c>
      <c r="I145" t="s">
        <v>268</v>
      </c>
      <c r="J145" s="27">
        <v>533419.77</v>
      </c>
      <c r="K145" s="27">
        <v>0</v>
      </c>
      <c r="L145" s="27">
        <v>533419.77</v>
      </c>
      <c r="M145" t="s">
        <v>11448</v>
      </c>
      <c r="O145" t="s">
        <v>170</v>
      </c>
      <c r="P145" s="27">
        <v>0</v>
      </c>
    </row>
    <row r="146" spans="1:16" ht="15.75" customHeight="1" x14ac:dyDescent="0.2">
      <c r="A146" t="s">
        <v>11532</v>
      </c>
      <c r="B146" t="s">
        <v>219</v>
      </c>
      <c r="C146" s="18">
        <v>44426</v>
      </c>
      <c r="D146" t="s">
        <v>100</v>
      </c>
      <c r="E146">
        <v>2000000</v>
      </c>
      <c r="F146" s="18">
        <v>44532</v>
      </c>
      <c r="G146" s="18">
        <v>44574</v>
      </c>
      <c r="H146">
        <v>2021</v>
      </c>
      <c r="I146" t="s">
        <v>268</v>
      </c>
      <c r="J146" s="27">
        <v>245077.14</v>
      </c>
      <c r="K146" s="27">
        <v>7167.2699999999904</v>
      </c>
      <c r="L146" s="27">
        <v>252244.41</v>
      </c>
      <c r="M146" t="s">
        <v>11422</v>
      </c>
      <c r="O146" t="s">
        <v>167</v>
      </c>
      <c r="P146" s="27">
        <v>252244.41</v>
      </c>
    </row>
    <row r="147" spans="1:16" ht="15.75" customHeight="1" x14ac:dyDescent="0.2">
      <c r="A147" t="s">
        <v>11533</v>
      </c>
      <c r="B147" t="s">
        <v>163</v>
      </c>
      <c r="C147" s="18">
        <v>44198</v>
      </c>
      <c r="D147" t="s">
        <v>99</v>
      </c>
      <c r="E147">
        <v>1500000</v>
      </c>
      <c r="F147" s="18">
        <v>44265</v>
      </c>
      <c r="G147" s="18">
        <v>44584</v>
      </c>
      <c r="H147">
        <v>2021</v>
      </c>
      <c r="I147" t="s">
        <v>268</v>
      </c>
      <c r="J147" s="27">
        <v>115833.32</v>
      </c>
      <c r="K147" s="27">
        <v>0</v>
      </c>
      <c r="L147" s="27">
        <v>115833.32</v>
      </c>
      <c r="M147" t="s">
        <v>11355</v>
      </c>
      <c r="O147" t="s">
        <v>167</v>
      </c>
      <c r="P147" s="27">
        <v>115833.32</v>
      </c>
    </row>
    <row r="148" spans="1:16" ht="15.75" customHeight="1" x14ac:dyDescent="0.2">
      <c r="A148" t="s">
        <v>11534</v>
      </c>
      <c r="B148" t="s">
        <v>163</v>
      </c>
      <c r="C148" s="18">
        <v>44532</v>
      </c>
      <c r="D148" t="s">
        <v>102</v>
      </c>
      <c r="E148">
        <v>4000000</v>
      </c>
      <c r="F148" s="18">
        <v>44538</v>
      </c>
      <c r="G148" s="18">
        <v>44587</v>
      </c>
      <c r="H148">
        <v>2021</v>
      </c>
      <c r="I148" t="s">
        <v>268</v>
      </c>
      <c r="J148" s="27">
        <v>141146.66</v>
      </c>
      <c r="K148" s="27">
        <v>0</v>
      </c>
      <c r="L148" s="27">
        <v>141146.66</v>
      </c>
      <c r="M148" t="s">
        <v>11395</v>
      </c>
      <c r="O148" t="s">
        <v>167</v>
      </c>
      <c r="P148" s="27">
        <v>141146.66</v>
      </c>
    </row>
    <row r="149" spans="1:16" ht="15.75" customHeight="1" x14ac:dyDescent="0.2">
      <c r="A149" t="s">
        <v>11535</v>
      </c>
      <c r="B149" t="s">
        <v>163</v>
      </c>
      <c r="C149" s="18">
        <v>44351</v>
      </c>
      <c r="D149" t="s">
        <v>101</v>
      </c>
      <c r="E149">
        <v>10000000</v>
      </c>
      <c r="F149" s="18">
        <v>44535</v>
      </c>
      <c r="G149" s="18">
        <v>44596</v>
      </c>
      <c r="H149">
        <v>2021</v>
      </c>
      <c r="I149" t="s">
        <v>268</v>
      </c>
      <c r="J149" s="27">
        <v>313049.37</v>
      </c>
      <c r="K149" s="27">
        <v>0</v>
      </c>
      <c r="L149" s="27">
        <v>313049.37</v>
      </c>
      <c r="M149" t="s">
        <v>11393</v>
      </c>
      <c r="O149" t="s">
        <v>167</v>
      </c>
      <c r="P149" s="27">
        <v>313049.37</v>
      </c>
    </row>
    <row r="150" spans="1:16" ht="15.75" customHeight="1" x14ac:dyDescent="0.2">
      <c r="A150" t="s">
        <v>11536</v>
      </c>
      <c r="B150" t="s">
        <v>163</v>
      </c>
      <c r="C150" s="18">
        <v>44185</v>
      </c>
      <c r="D150" t="s">
        <v>98</v>
      </c>
      <c r="E150">
        <v>5000000</v>
      </c>
      <c r="F150" s="18">
        <v>44357</v>
      </c>
      <c r="G150" s="18">
        <v>44604</v>
      </c>
      <c r="H150">
        <v>2021</v>
      </c>
      <c r="I150" t="s">
        <v>268</v>
      </c>
      <c r="J150" s="27">
        <v>174745.58</v>
      </c>
      <c r="K150" s="27">
        <v>0</v>
      </c>
      <c r="L150" s="27">
        <v>174745.58</v>
      </c>
      <c r="M150" t="s">
        <v>11374</v>
      </c>
      <c r="O150" t="s">
        <v>170</v>
      </c>
      <c r="P150" s="27">
        <v>0</v>
      </c>
    </row>
    <row r="151" spans="1:16" ht="15.75" customHeight="1" x14ac:dyDescent="0.2">
      <c r="A151" t="s">
        <v>11537</v>
      </c>
      <c r="B151" t="s">
        <v>163</v>
      </c>
      <c r="C151" s="18">
        <v>44134</v>
      </c>
      <c r="D151" t="s">
        <v>101</v>
      </c>
      <c r="E151">
        <v>4000000</v>
      </c>
      <c r="F151" s="18">
        <v>44422</v>
      </c>
      <c r="G151" s="18">
        <v>44605</v>
      </c>
      <c r="H151">
        <v>2021</v>
      </c>
      <c r="I151" t="s">
        <v>268</v>
      </c>
      <c r="J151" s="27">
        <v>231876.17</v>
      </c>
      <c r="K151" s="27">
        <v>0</v>
      </c>
      <c r="L151" s="27">
        <v>231876.17</v>
      </c>
      <c r="M151" t="s">
        <v>11359</v>
      </c>
      <c r="O151" t="s">
        <v>167</v>
      </c>
      <c r="P151" s="27">
        <v>231876.17</v>
      </c>
    </row>
    <row r="152" spans="1:16" ht="15.75" customHeight="1" x14ac:dyDescent="0.2">
      <c r="A152" t="s">
        <v>11538</v>
      </c>
      <c r="B152" t="s">
        <v>163</v>
      </c>
      <c r="C152" s="18">
        <v>44215</v>
      </c>
      <c r="D152" t="s">
        <v>100</v>
      </c>
      <c r="E152">
        <v>3500000</v>
      </c>
      <c r="F152" s="18">
        <v>44298</v>
      </c>
      <c r="G152" s="18">
        <v>44612</v>
      </c>
      <c r="H152">
        <v>2021</v>
      </c>
      <c r="I152" t="s">
        <v>268</v>
      </c>
      <c r="J152" s="27">
        <v>234112.4</v>
      </c>
      <c r="K152" s="27">
        <v>0</v>
      </c>
      <c r="L152" s="27">
        <v>234112.4</v>
      </c>
      <c r="M152" t="s">
        <v>11372</v>
      </c>
      <c r="O152" t="s">
        <v>167</v>
      </c>
      <c r="P152" s="27">
        <v>234112.4</v>
      </c>
    </row>
    <row r="153" spans="1:16" ht="15.75" customHeight="1" x14ac:dyDescent="0.2">
      <c r="A153" t="s">
        <v>11539</v>
      </c>
      <c r="B153" t="s">
        <v>163</v>
      </c>
      <c r="C153" s="18">
        <v>44240</v>
      </c>
      <c r="D153" t="s">
        <v>98</v>
      </c>
      <c r="E153">
        <v>2000000</v>
      </c>
      <c r="F153" s="18">
        <v>44526</v>
      </c>
      <c r="G153" s="18">
        <v>44612</v>
      </c>
      <c r="H153">
        <v>2021</v>
      </c>
      <c r="I153" t="s">
        <v>268</v>
      </c>
      <c r="J153" s="27">
        <v>71769.009999999995</v>
      </c>
      <c r="K153" s="27">
        <v>0</v>
      </c>
      <c r="L153" s="27">
        <v>71769.009999999995</v>
      </c>
      <c r="M153" t="s">
        <v>11389</v>
      </c>
      <c r="O153" t="s">
        <v>170</v>
      </c>
      <c r="P153" s="27">
        <v>0</v>
      </c>
    </row>
    <row r="154" spans="1:16" ht="15.75" customHeight="1" x14ac:dyDescent="0.2">
      <c r="A154" t="s">
        <v>11540</v>
      </c>
      <c r="B154" t="s">
        <v>163</v>
      </c>
      <c r="C154" s="18">
        <v>44170</v>
      </c>
      <c r="D154" t="s">
        <v>102</v>
      </c>
      <c r="E154">
        <v>4500000</v>
      </c>
      <c r="F154" s="18">
        <v>44233</v>
      </c>
      <c r="G154" s="18">
        <v>44614</v>
      </c>
      <c r="H154">
        <v>2021</v>
      </c>
      <c r="I154" t="s">
        <v>268</v>
      </c>
      <c r="J154" s="27">
        <v>410020.44</v>
      </c>
      <c r="K154" s="27">
        <v>0</v>
      </c>
      <c r="L154" s="27">
        <v>410020.44</v>
      </c>
      <c r="M154" t="s">
        <v>11401</v>
      </c>
      <c r="O154" t="s">
        <v>167</v>
      </c>
      <c r="P154" s="27">
        <v>410020.44</v>
      </c>
    </row>
    <row r="155" spans="1:16" ht="15.75" customHeight="1" x14ac:dyDescent="0.2">
      <c r="A155" t="s">
        <v>11541</v>
      </c>
      <c r="B155" t="s">
        <v>163</v>
      </c>
      <c r="C155" s="18">
        <v>44408</v>
      </c>
      <c r="D155" t="s">
        <v>98</v>
      </c>
      <c r="E155">
        <v>3000000</v>
      </c>
      <c r="F155" s="18">
        <v>44559</v>
      </c>
      <c r="G155" s="18">
        <v>44623</v>
      </c>
      <c r="H155">
        <v>2021</v>
      </c>
      <c r="I155" t="s">
        <v>268</v>
      </c>
      <c r="J155" s="27">
        <v>327227.46999999997</v>
      </c>
      <c r="K155" s="27">
        <v>0</v>
      </c>
      <c r="L155" s="27">
        <v>327227.46999999997</v>
      </c>
      <c r="M155" t="s">
        <v>11436</v>
      </c>
      <c r="O155" t="s">
        <v>170</v>
      </c>
      <c r="P155" s="27">
        <v>0</v>
      </c>
    </row>
    <row r="156" spans="1:16" ht="15.75" customHeight="1" x14ac:dyDescent="0.2">
      <c r="A156" t="s">
        <v>11542</v>
      </c>
      <c r="B156" t="s">
        <v>163</v>
      </c>
      <c r="C156" s="18">
        <v>44331</v>
      </c>
      <c r="D156" t="s">
        <v>102</v>
      </c>
      <c r="E156">
        <v>1000000</v>
      </c>
      <c r="F156" s="18">
        <v>44443</v>
      </c>
      <c r="G156" s="18">
        <v>44625</v>
      </c>
      <c r="H156">
        <v>2021</v>
      </c>
      <c r="I156" t="s">
        <v>268</v>
      </c>
      <c r="J156" s="27">
        <v>127257.28</v>
      </c>
      <c r="K156" s="27">
        <v>0</v>
      </c>
      <c r="L156" s="27">
        <v>127257.28</v>
      </c>
      <c r="M156" t="s">
        <v>11384</v>
      </c>
      <c r="O156" t="s">
        <v>167</v>
      </c>
      <c r="P156" s="27">
        <v>127257.28</v>
      </c>
    </row>
    <row r="157" spans="1:16" ht="15.75" customHeight="1" x14ac:dyDescent="0.2">
      <c r="A157" t="s">
        <v>11543</v>
      </c>
      <c r="B157" t="s">
        <v>163</v>
      </c>
      <c r="C157" s="18">
        <v>44406</v>
      </c>
      <c r="D157" t="s">
        <v>99</v>
      </c>
      <c r="E157">
        <v>10000000</v>
      </c>
      <c r="F157" s="18">
        <v>44572</v>
      </c>
      <c r="G157" s="18">
        <v>44627</v>
      </c>
      <c r="H157">
        <v>2022</v>
      </c>
      <c r="I157" t="s">
        <v>268</v>
      </c>
      <c r="J157" s="27">
        <v>85436.56</v>
      </c>
      <c r="K157" s="27">
        <v>0</v>
      </c>
      <c r="L157" s="27">
        <v>85436.56</v>
      </c>
      <c r="M157" t="s">
        <v>11493</v>
      </c>
      <c r="O157" t="s">
        <v>167</v>
      </c>
      <c r="P157" s="27">
        <v>85436.56</v>
      </c>
    </row>
    <row r="158" spans="1:16" ht="15.75" customHeight="1" x14ac:dyDescent="0.2">
      <c r="A158" t="s">
        <v>11544</v>
      </c>
      <c r="B158" t="s">
        <v>163</v>
      </c>
      <c r="C158" s="18">
        <v>44401</v>
      </c>
      <c r="D158" t="s">
        <v>101</v>
      </c>
      <c r="E158">
        <v>4500000</v>
      </c>
      <c r="F158" s="18">
        <v>44607</v>
      </c>
      <c r="G158" s="18">
        <v>44639</v>
      </c>
      <c r="H158">
        <v>2022</v>
      </c>
      <c r="I158" t="s">
        <v>268</v>
      </c>
      <c r="J158" s="27">
        <v>143057.4</v>
      </c>
      <c r="K158" s="27">
        <v>0</v>
      </c>
      <c r="L158" s="27">
        <v>143057.4</v>
      </c>
      <c r="M158" t="s">
        <v>11384</v>
      </c>
      <c r="O158" t="s">
        <v>167</v>
      </c>
      <c r="P158" s="27">
        <v>143057.4</v>
      </c>
    </row>
    <row r="159" spans="1:16" ht="15.75" customHeight="1" x14ac:dyDescent="0.2">
      <c r="A159" t="s">
        <v>11545</v>
      </c>
      <c r="B159" t="s">
        <v>163</v>
      </c>
      <c r="C159" s="18">
        <v>44308</v>
      </c>
      <c r="D159" t="s">
        <v>100</v>
      </c>
      <c r="E159">
        <v>5000000</v>
      </c>
      <c r="F159" s="18">
        <v>44348</v>
      </c>
      <c r="G159" s="18">
        <v>44640</v>
      </c>
      <c r="H159">
        <v>2021</v>
      </c>
      <c r="I159" t="s">
        <v>268</v>
      </c>
      <c r="J159" s="27">
        <v>422103.52</v>
      </c>
      <c r="K159" s="27">
        <v>0</v>
      </c>
      <c r="L159" s="27">
        <v>422103.52</v>
      </c>
      <c r="M159" t="s">
        <v>11482</v>
      </c>
      <c r="O159" t="s">
        <v>167</v>
      </c>
      <c r="P159" s="27">
        <v>422103.52</v>
      </c>
    </row>
    <row r="160" spans="1:16" ht="15.75" customHeight="1" x14ac:dyDescent="0.2">
      <c r="A160" t="s">
        <v>11546</v>
      </c>
      <c r="B160" t="s">
        <v>163</v>
      </c>
      <c r="C160" s="18">
        <v>44449</v>
      </c>
      <c r="D160" t="s">
        <v>98</v>
      </c>
      <c r="E160">
        <v>5000000</v>
      </c>
      <c r="F160" s="18">
        <v>44616</v>
      </c>
      <c r="G160" s="18">
        <v>44645</v>
      </c>
      <c r="H160">
        <v>2022</v>
      </c>
      <c r="I160" t="s">
        <v>268</v>
      </c>
      <c r="J160" s="27">
        <v>241362.77</v>
      </c>
      <c r="K160" s="27">
        <v>0</v>
      </c>
      <c r="L160" s="27">
        <v>241362.77</v>
      </c>
      <c r="M160" t="s">
        <v>11372</v>
      </c>
      <c r="O160" t="s">
        <v>170</v>
      </c>
      <c r="P160" s="27">
        <v>0</v>
      </c>
    </row>
    <row r="161" spans="1:16" ht="15.75" customHeight="1" x14ac:dyDescent="0.2">
      <c r="A161" t="s">
        <v>11547</v>
      </c>
      <c r="B161" t="s">
        <v>163</v>
      </c>
      <c r="C161" s="18">
        <v>44440</v>
      </c>
      <c r="D161" t="s">
        <v>98</v>
      </c>
      <c r="E161">
        <v>2500000</v>
      </c>
      <c r="F161" s="18">
        <v>44545</v>
      </c>
      <c r="G161" s="18">
        <v>44652</v>
      </c>
      <c r="H161">
        <v>2021</v>
      </c>
      <c r="I161" t="s">
        <v>268</v>
      </c>
      <c r="J161" s="27">
        <v>187286.82</v>
      </c>
      <c r="K161" s="27">
        <v>0</v>
      </c>
      <c r="L161" s="27">
        <v>187286.82</v>
      </c>
      <c r="M161" t="s">
        <v>11357</v>
      </c>
      <c r="O161" t="s">
        <v>170</v>
      </c>
      <c r="P161" s="27">
        <v>0</v>
      </c>
    </row>
    <row r="162" spans="1:16" ht="15.75" customHeight="1" x14ac:dyDescent="0.2">
      <c r="A162" t="s">
        <v>11548</v>
      </c>
      <c r="B162" t="s">
        <v>163</v>
      </c>
      <c r="C162" s="18">
        <v>44224</v>
      </c>
      <c r="D162" t="s">
        <v>100</v>
      </c>
      <c r="E162">
        <v>2500000</v>
      </c>
      <c r="F162" s="18">
        <v>44552</v>
      </c>
      <c r="G162" s="18">
        <v>44652</v>
      </c>
      <c r="H162">
        <v>2021</v>
      </c>
      <c r="I162" t="s">
        <v>268</v>
      </c>
      <c r="J162" s="27">
        <v>70204.820000000007</v>
      </c>
      <c r="K162" s="27">
        <v>0</v>
      </c>
      <c r="L162" s="27">
        <v>70204.820000000007</v>
      </c>
      <c r="M162" t="s">
        <v>11389</v>
      </c>
      <c r="O162" t="s">
        <v>167</v>
      </c>
      <c r="P162" s="27">
        <v>70204.820000000007</v>
      </c>
    </row>
    <row r="163" spans="1:16" ht="15.75" customHeight="1" x14ac:dyDescent="0.2">
      <c r="A163" t="s">
        <v>11549</v>
      </c>
      <c r="B163" t="s">
        <v>163</v>
      </c>
      <c r="C163" s="18">
        <v>43689</v>
      </c>
      <c r="D163" t="s">
        <v>99</v>
      </c>
      <c r="E163">
        <v>10000000</v>
      </c>
      <c r="F163" s="18">
        <v>43930</v>
      </c>
      <c r="G163" s="18">
        <v>44655</v>
      </c>
      <c r="H163">
        <v>2020</v>
      </c>
      <c r="I163" t="s">
        <v>268</v>
      </c>
      <c r="J163" s="27">
        <v>604104.36</v>
      </c>
      <c r="K163" s="27">
        <v>0</v>
      </c>
      <c r="L163" s="27">
        <v>604104.36</v>
      </c>
      <c r="M163" t="s">
        <v>11420</v>
      </c>
      <c r="O163" t="s">
        <v>170</v>
      </c>
      <c r="P163" s="27">
        <v>0</v>
      </c>
    </row>
    <row r="164" spans="1:16" ht="15.75" customHeight="1" x14ac:dyDescent="0.2">
      <c r="A164" t="s">
        <v>11550</v>
      </c>
      <c r="B164" t="s">
        <v>163</v>
      </c>
      <c r="C164" s="18">
        <v>44094</v>
      </c>
      <c r="D164" t="s">
        <v>100</v>
      </c>
      <c r="E164">
        <v>10000000</v>
      </c>
      <c r="F164" s="18">
        <v>44405</v>
      </c>
      <c r="G164" s="18">
        <v>44656</v>
      </c>
      <c r="H164">
        <v>2021</v>
      </c>
      <c r="I164" t="s">
        <v>268</v>
      </c>
      <c r="J164" s="27">
        <v>89028.64</v>
      </c>
      <c r="K164" s="27">
        <v>0</v>
      </c>
      <c r="L164" s="27">
        <v>89028.64</v>
      </c>
      <c r="M164" t="s">
        <v>11387</v>
      </c>
      <c r="O164" t="s">
        <v>167</v>
      </c>
      <c r="P164" s="27">
        <v>89028.64</v>
      </c>
    </row>
    <row r="165" spans="1:16" ht="15.75" customHeight="1" x14ac:dyDescent="0.2">
      <c r="A165" t="s">
        <v>11551</v>
      </c>
      <c r="B165" t="s">
        <v>163</v>
      </c>
      <c r="C165" s="18">
        <v>44290</v>
      </c>
      <c r="D165" t="s">
        <v>100</v>
      </c>
      <c r="E165">
        <v>5000000</v>
      </c>
      <c r="F165" s="18">
        <v>44597</v>
      </c>
      <c r="G165" s="18">
        <v>44659</v>
      </c>
      <c r="H165">
        <v>2022</v>
      </c>
      <c r="I165" t="s">
        <v>268</v>
      </c>
      <c r="J165" s="27">
        <v>79486.740000000005</v>
      </c>
      <c r="K165" s="27">
        <v>0</v>
      </c>
      <c r="L165" s="27">
        <v>79486.740000000005</v>
      </c>
      <c r="M165" t="s">
        <v>11387</v>
      </c>
      <c r="O165" t="s">
        <v>167</v>
      </c>
      <c r="P165" s="27">
        <v>79486.740000000005</v>
      </c>
    </row>
    <row r="166" spans="1:16" ht="15.75" customHeight="1" x14ac:dyDescent="0.2">
      <c r="A166" t="s">
        <v>11552</v>
      </c>
      <c r="B166" t="s">
        <v>163</v>
      </c>
      <c r="C166" s="18">
        <v>44389</v>
      </c>
      <c r="D166" t="s">
        <v>98</v>
      </c>
      <c r="E166">
        <v>2000000</v>
      </c>
      <c r="F166" s="18">
        <v>44587</v>
      </c>
      <c r="G166" s="18">
        <v>44665</v>
      </c>
      <c r="H166">
        <v>2022</v>
      </c>
      <c r="I166" t="s">
        <v>268</v>
      </c>
      <c r="J166" s="27">
        <v>428085.97</v>
      </c>
      <c r="K166" s="27">
        <v>0</v>
      </c>
      <c r="L166" s="27">
        <v>428085.97</v>
      </c>
      <c r="M166" t="s">
        <v>11482</v>
      </c>
      <c r="O166" t="s">
        <v>170</v>
      </c>
      <c r="P166" s="27">
        <v>0</v>
      </c>
    </row>
    <row r="167" spans="1:16" ht="15.75" customHeight="1" x14ac:dyDescent="0.2">
      <c r="A167" t="s">
        <v>11553</v>
      </c>
      <c r="B167" t="s">
        <v>163</v>
      </c>
      <c r="C167" s="18">
        <v>44585</v>
      </c>
      <c r="D167" t="s">
        <v>101</v>
      </c>
      <c r="E167">
        <v>2000000</v>
      </c>
      <c r="F167" s="18">
        <v>44588</v>
      </c>
      <c r="G167" s="18">
        <v>44668</v>
      </c>
      <c r="H167">
        <v>2022</v>
      </c>
      <c r="I167" t="s">
        <v>268</v>
      </c>
      <c r="J167" s="27">
        <v>66247.12</v>
      </c>
      <c r="K167" s="27">
        <v>0</v>
      </c>
      <c r="L167" s="27">
        <v>66247.12</v>
      </c>
      <c r="M167" t="s">
        <v>11554</v>
      </c>
      <c r="O167" t="s">
        <v>167</v>
      </c>
      <c r="P167" s="27">
        <v>66247.12</v>
      </c>
    </row>
    <row r="168" spans="1:16" ht="15.75" customHeight="1" x14ac:dyDescent="0.2">
      <c r="A168" t="s">
        <v>11555</v>
      </c>
      <c r="B168" t="s">
        <v>163</v>
      </c>
      <c r="C168" s="18">
        <v>44414</v>
      </c>
      <c r="D168" t="s">
        <v>99</v>
      </c>
      <c r="E168">
        <v>4000000</v>
      </c>
      <c r="F168" s="18">
        <v>44578</v>
      </c>
      <c r="G168" s="18">
        <v>44677</v>
      </c>
      <c r="H168">
        <v>2022</v>
      </c>
      <c r="I168" t="s">
        <v>268</v>
      </c>
      <c r="J168" s="27">
        <v>518963.3</v>
      </c>
      <c r="K168" s="27">
        <v>0</v>
      </c>
      <c r="L168" s="27">
        <v>518963.3</v>
      </c>
      <c r="M168" t="s">
        <v>11496</v>
      </c>
      <c r="O168" t="s">
        <v>167</v>
      </c>
      <c r="P168" s="27">
        <v>518963.3</v>
      </c>
    </row>
    <row r="169" spans="1:16" ht="15.75" customHeight="1" x14ac:dyDescent="0.2">
      <c r="A169" t="s">
        <v>11556</v>
      </c>
      <c r="B169" t="s">
        <v>163</v>
      </c>
      <c r="C169" s="18">
        <v>43967</v>
      </c>
      <c r="D169" t="s">
        <v>100</v>
      </c>
      <c r="E169">
        <v>5000000</v>
      </c>
      <c r="F169" s="18">
        <v>44210</v>
      </c>
      <c r="G169" s="18">
        <v>44680</v>
      </c>
      <c r="H169">
        <v>2021</v>
      </c>
      <c r="I169" t="s">
        <v>268</v>
      </c>
      <c r="J169" s="27">
        <v>124471.77</v>
      </c>
      <c r="K169" s="27">
        <v>0</v>
      </c>
      <c r="L169" s="27">
        <v>124471.77</v>
      </c>
      <c r="M169" t="s">
        <v>11397</v>
      </c>
      <c r="O169" t="s">
        <v>167</v>
      </c>
      <c r="P169" s="27">
        <v>124471.77</v>
      </c>
    </row>
    <row r="170" spans="1:16" ht="15.75" customHeight="1" x14ac:dyDescent="0.2">
      <c r="A170" t="s">
        <v>11557</v>
      </c>
      <c r="B170" t="s">
        <v>163</v>
      </c>
      <c r="C170" s="18">
        <v>44024</v>
      </c>
      <c r="D170" t="s">
        <v>100</v>
      </c>
      <c r="E170">
        <v>5000000</v>
      </c>
      <c r="F170" s="18">
        <v>44347</v>
      </c>
      <c r="G170" s="18">
        <v>44680</v>
      </c>
      <c r="H170">
        <v>2021</v>
      </c>
      <c r="I170" t="s">
        <v>268</v>
      </c>
      <c r="J170" s="27">
        <v>585784.09</v>
      </c>
      <c r="K170" s="27">
        <v>0</v>
      </c>
      <c r="L170" s="27">
        <v>585784.09</v>
      </c>
      <c r="M170" t="s">
        <v>11353</v>
      </c>
      <c r="O170" t="s">
        <v>167</v>
      </c>
      <c r="P170" s="27">
        <v>585784.09</v>
      </c>
    </row>
    <row r="171" spans="1:16" ht="15.75" customHeight="1" x14ac:dyDescent="0.2">
      <c r="A171" t="s">
        <v>11558</v>
      </c>
      <c r="B171" t="s">
        <v>163</v>
      </c>
      <c r="C171" s="18">
        <v>44412</v>
      </c>
      <c r="D171" t="s">
        <v>99</v>
      </c>
      <c r="E171">
        <v>2500000</v>
      </c>
      <c r="F171" s="18">
        <v>44643</v>
      </c>
      <c r="G171" s="18">
        <v>44680</v>
      </c>
      <c r="H171">
        <v>2022</v>
      </c>
      <c r="I171" t="s">
        <v>268</v>
      </c>
      <c r="J171" s="27">
        <v>71577.5</v>
      </c>
      <c r="K171" s="27">
        <v>0</v>
      </c>
      <c r="L171" s="27">
        <v>71577.5</v>
      </c>
      <c r="M171" t="s">
        <v>11368</v>
      </c>
      <c r="O171" t="s">
        <v>167</v>
      </c>
      <c r="P171" s="27">
        <v>71577.5</v>
      </c>
    </row>
    <row r="172" spans="1:16" ht="15.75" customHeight="1" x14ac:dyDescent="0.2">
      <c r="A172" t="s">
        <v>11559</v>
      </c>
      <c r="B172" t="s">
        <v>163</v>
      </c>
      <c r="C172" s="18">
        <v>44308</v>
      </c>
      <c r="D172" t="s">
        <v>101</v>
      </c>
      <c r="E172">
        <v>4000000</v>
      </c>
      <c r="F172" s="18">
        <v>44630</v>
      </c>
      <c r="G172" s="18">
        <v>44687</v>
      </c>
      <c r="H172">
        <v>2022</v>
      </c>
      <c r="I172" t="s">
        <v>268</v>
      </c>
      <c r="J172" s="27">
        <v>279995.37</v>
      </c>
      <c r="K172" s="27">
        <v>0</v>
      </c>
      <c r="L172" s="27">
        <v>279995.37</v>
      </c>
      <c r="M172" t="s">
        <v>11422</v>
      </c>
      <c r="O172" t="s">
        <v>167</v>
      </c>
      <c r="P172" s="27">
        <v>279995.37</v>
      </c>
    </row>
    <row r="173" spans="1:16" ht="15.75" customHeight="1" x14ac:dyDescent="0.2">
      <c r="A173" t="s">
        <v>11560</v>
      </c>
      <c r="B173" t="s">
        <v>163</v>
      </c>
      <c r="C173" s="18">
        <v>44367</v>
      </c>
      <c r="D173" t="s">
        <v>102</v>
      </c>
      <c r="E173">
        <v>5000000</v>
      </c>
      <c r="F173" s="18">
        <v>44432</v>
      </c>
      <c r="G173" s="18">
        <v>44688</v>
      </c>
      <c r="H173">
        <v>2021</v>
      </c>
      <c r="I173" t="s">
        <v>268</v>
      </c>
      <c r="J173" s="27">
        <v>827934.64</v>
      </c>
      <c r="K173" s="27">
        <v>0</v>
      </c>
      <c r="L173" s="27">
        <v>827934.64</v>
      </c>
      <c r="M173" t="s">
        <v>11561</v>
      </c>
      <c r="O173" t="s">
        <v>167</v>
      </c>
      <c r="P173" s="27">
        <v>827934.64</v>
      </c>
    </row>
    <row r="174" spans="1:16" ht="15.75" customHeight="1" x14ac:dyDescent="0.2">
      <c r="A174" t="s">
        <v>11562</v>
      </c>
      <c r="B174" t="s">
        <v>163</v>
      </c>
      <c r="C174" s="18">
        <v>44602</v>
      </c>
      <c r="D174" t="s">
        <v>100</v>
      </c>
      <c r="E174">
        <v>1000000</v>
      </c>
      <c r="F174" s="18">
        <v>44614</v>
      </c>
      <c r="G174" s="18">
        <v>44690</v>
      </c>
      <c r="H174">
        <v>2022</v>
      </c>
      <c r="I174" t="s">
        <v>268</v>
      </c>
      <c r="J174" s="27">
        <v>76022.81</v>
      </c>
      <c r="K174" s="27">
        <v>0</v>
      </c>
      <c r="L174" s="27">
        <v>76022.81</v>
      </c>
      <c r="M174" t="s">
        <v>11434</v>
      </c>
      <c r="O174" t="s">
        <v>167</v>
      </c>
      <c r="P174" s="27">
        <v>76022.81</v>
      </c>
    </row>
    <row r="175" spans="1:16" ht="15.75" customHeight="1" x14ac:dyDescent="0.2">
      <c r="A175" t="s">
        <v>11563</v>
      </c>
      <c r="B175" t="s">
        <v>163</v>
      </c>
      <c r="C175" s="18">
        <v>44288</v>
      </c>
      <c r="D175" t="s">
        <v>101</v>
      </c>
      <c r="E175">
        <v>2000000</v>
      </c>
      <c r="F175" s="18">
        <v>44432</v>
      </c>
      <c r="G175" s="18">
        <v>44692</v>
      </c>
      <c r="H175">
        <v>2021</v>
      </c>
      <c r="I175" t="s">
        <v>268</v>
      </c>
      <c r="J175" s="27">
        <v>306232.61</v>
      </c>
      <c r="K175" s="27">
        <v>0</v>
      </c>
      <c r="L175" s="27">
        <v>306232.61</v>
      </c>
      <c r="M175" t="s">
        <v>11366</v>
      </c>
      <c r="O175" t="s">
        <v>170</v>
      </c>
      <c r="P175" s="27">
        <v>0</v>
      </c>
    </row>
    <row r="176" spans="1:16" ht="15.75" customHeight="1" x14ac:dyDescent="0.2">
      <c r="A176" t="s">
        <v>11564</v>
      </c>
      <c r="B176" t="s">
        <v>163</v>
      </c>
      <c r="C176" s="18">
        <v>44282</v>
      </c>
      <c r="D176" t="s">
        <v>100</v>
      </c>
      <c r="E176">
        <v>5000000</v>
      </c>
      <c r="F176" s="18">
        <v>44289</v>
      </c>
      <c r="G176" s="18">
        <v>44693</v>
      </c>
      <c r="H176">
        <v>2021</v>
      </c>
      <c r="I176" t="s">
        <v>268</v>
      </c>
      <c r="J176" s="27">
        <v>216217.08</v>
      </c>
      <c r="K176" s="27">
        <v>0</v>
      </c>
      <c r="L176" s="27">
        <v>216217.08</v>
      </c>
      <c r="M176" t="s">
        <v>11357</v>
      </c>
      <c r="O176" t="s">
        <v>167</v>
      </c>
      <c r="P176" s="27">
        <v>216217.08</v>
      </c>
    </row>
    <row r="177" spans="1:16" ht="15.75" customHeight="1" x14ac:dyDescent="0.2">
      <c r="A177" t="s">
        <v>11565</v>
      </c>
      <c r="B177" t="s">
        <v>163</v>
      </c>
      <c r="C177" s="18">
        <v>44064</v>
      </c>
      <c r="D177" t="s">
        <v>102</v>
      </c>
      <c r="E177">
        <v>4000000</v>
      </c>
      <c r="F177" s="18">
        <v>44187</v>
      </c>
      <c r="G177" s="18">
        <v>44696</v>
      </c>
      <c r="H177">
        <v>2020</v>
      </c>
      <c r="I177" t="s">
        <v>268</v>
      </c>
      <c r="J177" s="27">
        <v>997697.09</v>
      </c>
      <c r="K177" s="27">
        <v>0</v>
      </c>
      <c r="L177" s="27">
        <v>997697.09</v>
      </c>
      <c r="M177" t="s">
        <v>11473</v>
      </c>
      <c r="O177" t="s">
        <v>167</v>
      </c>
      <c r="P177" s="27">
        <v>997697.09</v>
      </c>
    </row>
    <row r="178" spans="1:16" ht="15.75" customHeight="1" x14ac:dyDescent="0.2">
      <c r="A178" t="s">
        <v>11566</v>
      </c>
      <c r="B178" t="s">
        <v>163</v>
      </c>
      <c r="C178" s="18">
        <v>44285</v>
      </c>
      <c r="D178" t="s">
        <v>100</v>
      </c>
      <c r="E178">
        <v>2000000</v>
      </c>
      <c r="F178" s="18">
        <v>44638</v>
      </c>
      <c r="G178" s="18">
        <v>44708</v>
      </c>
      <c r="H178">
        <v>2022</v>
      </c>
      <c r="I178" t="s">
        <v>268</v>
      </c>
      <c r="J178" s="27">
        <v>74368.479999999996</v>
      </c>
      <c r="K178" s="27">
        <v>0</v>
      </c>
      <c r="L178" s="27">
        <v>74368.479999999996</v>
      </c>
      <c r="M178" t="s">
        <v>11434</v>
      </c>
      <c r="O178" t="s">
        <v>167</v>
      </c>
      <c r="P178" s="27">
        <v>74368.479999999996</v>
      </c>
    </row>
    <row r="179" spans="1:16" ht="15.75" customHeight="1" x14ac:dyDescent="0.2">
      <c r="A179" t="s">
        <v>11567</v>
      </c>
      <c r="B179" t="s">
        <v>163</v>
      </c>
      <c r="C179" s="18">
        <v>44516</v>
      </c>
      <c r="D179" t="s">
        <v>102</v>
      </c>
      <c r="E179">
        <v>3500000</v>
      </c>
      <c r="F179" s="18">
        <v>44615</v>
      </c>
      <c r="G179" s="18">
        <v>44710</v>
      </c>
      <c r="H179">
        <v>2022</v>
      </c>
      <c r="I179" t="s">
        <v>268</v>
      </c>
      <c r="J179" s="27">
        <v>95577.2</v>
      </c>
      <c r="K179" s="27">
        <v>0</v>
      </c>
      <c r="L179" s="27">
        <v>95577.2</v>
      </c>
      <c r="M179" t="s">
        <v>11467</v>
      </c>
      <c r="O179" t="s">
        <v>167</v>
      </c>
      <c r="P179" s="27">
        <v>95577.2</v>
      </c>
    </row>
    <row r="180" spans="1:16" ht="15.75" customHeight="1" x14ac:dyDescent="0.2">
      <c r="A180" t="s">
        <v>11568</v>
      </c>
      <c r="B180" t="s">
        <v>163</v>
      </c>
      <c r="C180" s="18">
        <v>44390</v>
      </c>
      <c r="D180" t="s">
        <v>102</v>
      </c>
      <c r="E180">
        <v>10000000</v>
      </c>
      <c r="F180" s="18">
        <v>44636</v>
      </c>
      <c r="G180" s="18">
        <v>44710</v>
      </c>
      <c r="H180">
        <v>2022</v>
      </c>
      <c r="I180" t="s">
        <v>268</v>
      </c>
      <c r="J180" s="27">
        <v>655009.18999999994</v>
      </c>
      <c r="K180" s="27">
        <v>0</v>
      </c>
      <c r="L180" s="27">
        <v>655009.18999999994</v>
      </c>
      <c r="M180" t="s">
        <v>11353</v>
      </c>
      <c r="O180" t="s">
        <v>170</v>
      </c>
      <c r="P180" s="27">
        <v>0</v>
      </c>
    </row>
    <row r="181" spans="1:16" ht="15.75" customHeight="1" x14ac:dyDescent="0.2">
      <c r="A181" t="s">
        <v>11569</v>
      </c>
      <c r="B181" t="s">
        <v>163</v>
      </c>
      <c r="C181" s="18">
        <v>44618</v>
      </c>
      <c r="D181" t="s">
        <v>100</v>
      </c>
      <c r="E181">
        <v>5000000</v>
      </c>
      <c r="F181" s="18">
        <v>44645</v>
      </c>
      <c r="G181" s="18">
        <v>44720</v>
      </c>
      <c r="H181">
        <v>2022</v>
      </c>
      <c r="I181" t="s">
        <v>268</v>
      </c>
      <c r="J181" s="27">
        <v>97699.63</v>
      </c>
      <c r="K181" s="27">
        <v>0</v>
      </c>
      <c r="L181" s="27">
        <v>97699.63</v>
      </c>
      <c r="M181" t="s">
        <v>11345</v>
      </c>
      <c r="O181" t="s">
        <v>167</v>
      </c>
      <c r="P181" s="27">
        <v>97699.63</v>
      </c>
    </row>
    <row r="182" spans="1:16" ht="15.75" customHeight="1" x14ac:dyDescent="0.2">
      <c r="A182" t="s">
        <v>11570</v>
      </c>
      <c r="B182" t="s">
        <v>163</v>
      </c>
      <c r="C182" s="18">
        <v>44406</v>
      </c>
      <c r="D182" t="s">
        <v>98</v>
      </c>
      <c r="E182">
        <v>2000000</v>
      </c>
      <c r="F182" s="18">
        <v>44644</v>
      </c>
      <c r="G182" s="18">
        <v>44726</v>
      </c>
      <c r="H182">
        <v>2022</v>
      </c>
      <c r="I182" t="s">
        <v>268</v>
      </c>
      <c r="J182" s="27">
        <v>808125.92</v>
      </c>
      <c r="K182" s="27">
        <v>0</v>
      </c>
      <c r="L182" s="27">
        <v>808125.92</v>
      </c>
      <c r="M182" t="s">
        <v>11405</v>
      </c>
      <c r="O182" t="s">
        <v>170</v>
      </c>
      <c r="P182" s="27">
        <v>0</v>
      </c>
    </row>
    <row r="183" spans="1:16" ht="15.75" customHeight="1" x14ac:dyDescent="0.2">
      <c r="A183" t="s">
        <v>11571</v>
      </c>
      <c r="B183" t="s">
        <v>163</v>
      </c>
      <c r="C183" s="18">
        <v>43777</v>
      </c>
      <c r="D183" t="s">
        <v>102</v>
      </c>
      <c r="E183">
        <v>2000000</v>
      </c>
      <c r="F183" s="18">
        <v>44110</v>
      </c>
      <c r="G183" s="18">
        <v>44731</v>
      </c>
      <c r="H183">
        <v>2020</v>
      </c>
      <c r="I183" t="s">
        <v>268</v>
      </c>
      <c r="J183" s="27">
        <v>128256.62</v>
      </c>
      <c r="K183" s="27">
        <v>0</v>
      </c>
      <c r="L183" s="27">
        <v>128256.62</v>
      </c>
      <c r="M183" t="s">
        <v>11397</v>
      </c>
      <c r="O183" t="s">
        <v>167</v>
      </c>
      <c r="P183" s="27">
        <v>128256.62</v>
      </c>
    </row>
    <row r="184" spans="1:16" ht="15.75" customHeight="1" x14ac:dyDescent="0.2">
      <c r="A184" t="s">
        <v>11572</v>
      </c>
      <c r="B184" t="s">
        <v>163</v>
      </c>
      <c r="C184" s="18">
        <v>44352</v>
      </c>
      <c r="D184" t="s">
        <v>98</v>
      </c>
      <c r="E184">
        <v>10000000</v>
      </c>
      <c r="F184" s="18">
        <v>44556</v>
      </c>
      <c r="G184" s="18">
        <v>44735</v>
      </c>
      <c r="H184">
        <v>2021</v>
      </c>
      <c r="I184" t="s">
        <v>268</v>
      </c>
      <c r="J184" s="27">
        <v>128703.33</v>
      </c>
      <c r="K184" s="27">
        <v>0</v>
      </c>
      <c r="L184" s="27">
        <v>128703.33</v>
      </c>
      <c r="M184" t="s">
        <v>11397</v>
      </c>
      <c r="O184" t="s">
        <v>170</v>
      </c>
      <c r="P184" s="27">
        <v>0</v>
      </c>
    </row>
    <row r="185" spans="1:16" ht="15.75" customHeight="1" x14ac:dyDescent="0.2">
      <c r="A185" t="s">
        <v>11573</v>
      </c>
      <c r="B185" t="s">
        <v>163</v>
      </c>
      <c r="C185" s="18">
        <v>44359</v>
      </c>
      <c r="D185" t="s">
        <v>98</v>
      </c>
      <c r="E185">
        <v>10000000</v>
      </c>
      <c r="F185" s="18">
        <v>44619</v>
      </c>
      <c r="G185" s="18">
        <v>44738</v>
      </c>
      <c r="H185">
        <v>2022</v>
      </c>
      <c r="I185" t="s">
        <v>268</v>
      </c>
      <c r="J185" s="27">
        <v>202981.72</v>
      </c>
      <c r="K185" s="27">
        <v>0</v>
      </c>
      <c r="L185" s="27">
        <v>202981.72</v>
      </c>
      <c r="M185" t="s">
        <v>11343</v>
      </c>
      <c r="O185" t="s">
        <v>170</v>
      </c>
      <c r="P185" s="27">
        <v>0</v>
      </c>
    </row>
    <row r="186" spans="1:16" ht="15.75" customHeight="1" x14ac:dyDescent="0.2">
      <c r="A186" t="s">
        <v>11574</v>
      </c>
      <c r="B186" t="s">
        <v>163</v>
      </c>
      <c r="C186" s="18">
        <v>44368</v>
      </c>
      <c r="D186" t="s">
        <v>101</v>
      </c>
      <c r="E186">
        <v>3000000</v>
      </c>
      <c r="F186" s="18">
        <v>44670</v>
      </c>
      <c r="G186" s="18">
        <v>44741</v>
      </c>
      <c r="H186">
        <v>2022</v>
      </c>
      <c r="I186" t="s">
        <v>268</v>
      </c>
      <c r="J186" s="27">
        <v>317719.65000000002</v>
      </c>
      <c r="K186" s="27">
        <v>0</v>
      </c>
      <c r="L186" s="27">
        <v>317719.65000000002</v>
      </c>
      <c r="M186" t="s">
        <v>11436</v>
      </c>
      <c r="O186" t="s">
        <v>167</v>
      </c>
      <c r="P186" s="27">
        <v>317719.65000000002</v>
      </c>
    </row>
    <row r="187" spans="1:16" ht="15.75" customHeight="1" x14ac:dyDescent="0.2">
      <c r="A187" t="s">
        <v>11575</v>
      </c>
      <c r="B187" t="s">
        <v>163</v>
      </c>
      <c r="C187" s="18">
        <v>44401</v>
      </c>
      <c r="D187" t="s">
        <v>101</v>
      </c>
      <c r="E187">
        <v>5000000</v>
      </c>
      <c r="F187" s="18">
        <v>44581</v>
      </c>
      <c r="G187" s="18">
        <v>44747</v>
      </c>
      <c r="H187">
        <v>2022</v>
      </c>
      <c r="I187" t="s">
        <v>268</v>
      </c>
      <c r="J187" s="27">
        <v>430312.56</v>
      </c>
      <c r="K187" s="27">
        <v>0</v>
      </c>
      <c r="L187" s="27">
        <v>430312.56</v>
      </c>
      <c r="M187" t="s">
        <v>11511</v>
      </c>
      <c r="O187" t="s">
        <v>167</v>
      </c>
      <c r="P187" s="27">
        <v>430312.56</v>
      </c>
    </row>
    <row r="188" spans="1:16" ht="15.75" customHeight="1" x14ac:dyDescent="0.2">
      <c r="A188" t="s">
        <v>11576</v>
      </c>
      <c r="B188" t="s">
        <v>163</v>
      </c>
      <c r="C188" s="18">
        <v>43686</v>
      </c>
      <c r="D188" t="s">
        <v>100</v>
      </c>
      <c r="E188">
        <v>3500000</v>
      </c>
      <c r="F188" s="18">
        <v>43937</v>
      </c>
      <c r="G188" s="18">
        <v>44749</v>
      </c>
      <c r="H188">
        <v>2020</v>
      </c>
      <c r="I188" t="s">
        <v>268</v>
      </c>
      <c r="J188" s="27">
        <v>251744.52</v>
      </c>
      <c r="K188" s="27">
        <v>0</v>
      </c>
      <c r="L188" s="27">
        <v>251744.52</v>
      </c>
      <c r="M188" t="s">
        <v>11577</v>
      </c>
      <c r="O188" t="s">
        <v>167</v>
      </c>
      <c r="P188" s="27">
        <v>251744.52</v>
      </c>
    </row>
    <row r="189" spans="1:16" ht="15.75" customHeight="1" x14ac:dyDescent="0.2">
      <c r="A189" t="s">
        <v>11578</v>
      </c>
      <c r="B189" t="s">
        <v>163</v>
      </c>
      <c r="C189" s="18">
        <v>44126</v>
      </c>
      <c r="D189" t="s">
        <v>99</v>
      </c>
      <c r="E189">
        <v>2000000</v>
      </c>
      <c r="F189" s="18">
        <v>44141</v>
      </c>
      <c r="G189" s="18">
        <v>44750</v>
      </c>
      <c r="H189">
        <v>2020</v>
      </c>
      <c r="I189" t="s">
        <v>268</v>
      </c>
      <c r="J189" s="27">
        <v>146680.04999999999</v>
      </c>
      <c r="K189" s="27">
        <v>0</v>
      </c>
      <c r="L189" s="27">
        <v>146680.04999999999</v>
      </c>
      <c r="M189" t="s">
        <v>11413</v>
      </c>
      <c r="O189" t="s">
        <v>167</v>
      </c>
      <c r="P189" s="27">
        <v>146680.04999999999</v>
      </c>
    </row>
    <row r="190" spans="1:16" ht="15.75" customHeight="1" x14ac:dyDescent="0.2">
      <c r="A190" t="s">
        <v>11579</v>
      </c>
      <c r="B190" t="s">
        <v>219</v>
      </c>
      <c r="C190" s="18">
        <v>44290</v>
      </c>
      <c r="D190" t="s">
        <v>99</v>
      </c>
      <c r="E190">
        <v>1500000</v>
      </c>
      <c r="F190" s="18">
        <v>44492</v>
      </c>
      <c r="G190" s="18">
        <v>44751</v>
      </c>
      <c r="H190">
        <v>2021</v>
      </c>
      <c r="I190" t="s">
        <v>268</v>
      </c>
      <c r="J190" s="27">
        <v>253016.07</v>
      </c>
      <c r="K190" s="27">
        <v>27265.75</v>
      </c>
      <c r="L190" s="27">
        <v>280281.82</v>
      </c>
      <c r="M190" t="s">
        <v>11393</v>
      </c>
      <c r="O190" t="s">
        <v>167</v>
      </c>
      <c r="P190" s="27">
        <v>280281.82</v>
      </c>
    </row>
    <row r="191" spans="1:16" ht="15.75" customHeight="1" x14ac:dyDescent="0.2">
      <c r="A191" t="s">
        <v>11580</v>
      </c>
      <c r="B191" t="s">
        <v>163</v>
      </c>
      <c r="C191" s="18">
        <v>44501</v>
      </c>
      <c r="D191" t="s">
        <v>100</v>
      </c>
      <c r="E191">
        <v>10000000</v>
      </c>
      <c r="F191" s="18">
        <v>44705</v>
      </c>
      <c r="G191" s="18">
        <v>44755</v>
      </c>
      <c r="H191">
        <v>2022</v>
      </c>
      <c r="I191" t="s">
        <v>268</v>
      </c>
      <c r="J191" s="27">
        <v>1269571.77</v>
      </c>
      <c r="K191" s="27">
        <v>0</v>
      </c>
      <c r="L191" s="27">
        <v>1269571.77</v>
      </c>
      <c r="M191" t="s">
        <v>11485</v>
      </c>
      <c r="O191" t="s">
        <v>167</v>
      </c>
      <c r="P191" s="27">
        <v>1269571.77</v>
      </c>
    </row>
    <row r="192" spans="1:16" ht="15.75" customHeight="1" x14ac:dyDescent="0.2">
      <c r="A192" t="s">
        <v>11581</v>
      </c>
      <c r="B192" t="s">
        <v>163</v>
      </c>
      <c r="C192" s="18">
        <v>44368</v>
      </c>
      <c r="D192" t="s">
        <v>98</v>
      </c>
      <c r="E192">
        <v>500000</v>
      </c>
      <c r="F192" s="18">
        <v>44710</v>
      </c>
      <c r="G192" s="18">
        <v>44758</v>
      </c>
      <c r="H192">
        <v>2022</v>
      </c>
      <c r="I192" t="s">
        <v>268</v>
      </c>
      <c r="J192" s="27">
        <v>206392.11</v>
      </c>
      <c r="K192" s="27">
        <v>0</v>
      </c>
      <c r="L192" s="27">
        <v>206392.11</v>
      </c>
      <c r="M192" t="s">
        <v>11526</v>
      </c>
      <c r="O192" t="s">
        <v>170</v>
      </c>
      <c r="P192" s="27">
        <v>0</v>
      </c>
    </row>
    <row r="193" spans="1:16" ht="15.75" customHeight="1" x14ac:dyDescent="0.2">
      <c r="A193" t="s">
        <v>11582</v>
      </c>
      <c r="B193" t="s">
        <v>163</v>
      </c>
      <c r="C193" s="18">
        <v>43961</v>
      </c>
      <c r="D193" t="s">
        <v>98</v>
      </c>
      <c r="E193">
        <v>5000000</v>
      </c>
      <c r="F193" s="18">
        <v>44136</v>
      </c>
      <c r="G193" s="18">
        <v>44776</v>
      </c>
      <c r="H193">
        <v>2020</v>
      </c>
      <c r="I193" t="s">
        <v>268</v>
      </c>
      <c r="J193" s="27">
        <v>412271.28</v>
      </c>
      <c r="K193" s="27">
        <v>0</v>
      </c>
      <c r="L193" s="27">
        <v>412271.28</v>
      </c>
      <c r="M193" t="s">
        <v>11482</v>
      </c>
      <c r="O193" t="s">
        <v>170</v>
      </c>
      <c r="P193" s="27">
        <v>0</v>
      </c>
    </row>
    <row r="194" spans="1:16" ht="15.75" customHeight="1" x14ac:dyDescent="0.2">
      <c r="A194" t="s">
        <v>11583</v>
      </c>
      <c r="B194" t="s">
        <v>163</v>
      </c>
      <c r="C194" s="18">
        <v>44563</v>
      </c>
      <c r="D194" t="s">
        <v>100</v>
      </c>
      <c r="E194">
        <v>2000000</v>
      </c>
      <c r="F194" s="18">
        <v>44590</v>
      </c>
      <c r="G194" s="18">
        <v>44776</v>
      </c>
      <c r="H194">
        <v>2022</v>
      </c>
      <c r="I194" t="s">
        <v>268</v>
      </c>
      <c r="J194" s="27">
        <v>91004.14</v>
      </c>
      <c r="K194" s="27">
        <v>0</v>
      </c>
      <c r="L194" s="27">
        <v>91004.14</v>
      </c>
      <c r="M194" t="s">
        <v>11493</v>
      </c>
      <c r="O194" t="s">
        <v>167</v>
      </c>
      <c r="P194" s="27">
        <v>91004.14</v>
      </c>
    </row>
    <row r="195" spans="1:16" ht="15.75" customHeight="1" x14ac:dyDescent="0.2">
      <c r="A195" t="s">
        <v>11584</v>
      </c>
      <c r="B195" t="s">
        <v>163</v>
      </c>
      <c r="C195" s="18">
        <v>44353</v>
      </c>
      <c r="D195" t="s">
        <v>102</v>
      </c>
      <c r="E195">
        <v>5000000</v>
      </c>
      <c r="F195" s="18">
        <v>44616</v>
      </c>
      <c r="G195" s="18">
        <v>44778</v>
      </c>
      <c r="H195">
        <v>2022</v>
      </c>
      <c r="I195" t="s">
        <v>268</v>
      </c>
      <c r="J195" s="27">
        <v>568224.86</v>
      </c>
      <c r="K195" s="27">
        <v>0</v>
      </c>
      <c r="L195" s="27">
        <v>568224.86</v>
      </c>
      <c r="M195" t="s">
        <v>11353</v>
      </c>
      <c r="O195" t="s">
        <v>167</v>
      </c>
      <c r="P195" s="27">
        <v>568224.86</v>
      </c>
    </row>
    <row r="196" spans="1:16" ht="15.75" customHeight="1" x14ac:dyDescent="0.2">
      <c r="A196" t="s">
        <v>11585</v>
      </c>
      <c r="B196" t="s">
        <v>163</v>
      </c>
      <c r="C196" s="18">
        <v>44358</v>
      </c>
      <c r="D196" t="s">
        <v>99</v>
      </c>
      <c r="E196">
        <v>1000000</v>
      </c>
      <c r="F196" s="18">
        <v>44557</v>
      </c>
      <c r="G196" s="18">
        <v>44779</v>
      </c>
      <c r="H196">
        <v>2021</v>
      </c>
      <c r="I196" t="s">
        <v>268</v>
      </c>
      <c r="J196" s="27">
        <v>141821.15</v>
      </c>
      <c r="K196" s="27">
        <v>0</v>
      </c>
      <c r="L196" s="27">
        <v>141821.15</v>
      </c>
      <c r="M196" t="s">
        <v>11378</v>
      </c>
      <c r="O196" t="s">
        <v>167</v>
      </c>
      <c r="P196" s="27">
        <v>141821.15</v>
      </c>
    </row>
    <row r="197" spans="1:16" ht="15.75" customHeight="1" x14ac:dyDescent="0.2">
      <c r="A197" t="s">
        <v>11586</v>
      </c>
      <c r="B197" t="s">
        <v>163</v>
      </c>
      <c r="C197" s="18">
        <v>44581</v>
      </c>
      <c r="D197" t="s">
        <v>99</v>
      </c>
      <c r="E197">
        <v>4000000</v>
      </c>
      <c r="F197" s="18">
        <v>44729</v>
      </c>
      <c r="G197" s="18">
        <v>44782</v>
      </c>
      <c r="H197">
        <v>2022</v>
      </c>
      <c r="I197" t="s">
        <v>268</v>
      </c>
      <c r="J197" s="27">
        <v>186630.52</v>
      </c>
      <c r="K197" s="27">
        <v>0</v>
      </c>
      <c r="L197" s="27">
        <v>186630.52</v>
      </c>
      <c r="M197" t="s">
        <v>11357</v>
      </c>
      <c r="O197" t="s">
        <v>170</v>
      </c>
      <c r="P197" s="27">
        <v>0</v>
      </c>
    </row>
    <row r="198" spans="1:16" ht="15.75" customHeight="1" x14ac:dyDescent="0.2">
      <c r="A198" t="s">
        <v>11587</v>
      </c>
      <c r="B198" t="s">
        <v>163</v>
      </c>
      <c r="C198" s="18">
        <v>44536</v>
      </c>
      <c r="D198" t="s">
        <v>100</v>
      </c>
      <c r="E198">
        <v>3500000</v>
      </c>
      <c r="F198" s="18">
        <v>44751</v>
      </c>
      <c r="G198" s="18">
        <v>44783</v>
      </c>
      <c r="H198">
        <v>2022</v>
      </c>
      <c r="I198" t="s">
        <v>268</v>
      </c>
      <c r="J198" s="27">
        <v>957001.75</v>
      </c>
      <c r="K198" s="27">
        <v>0</v>
      </c>
      <c r="L198" s="27">
        <v>957001.75</v>
      </c>
      <c r="M198" t="s">
        <v>11473</v>
      </c>
      <c r="O198" t="s">
        <v>167</v>
      </c>
      <c r="P198" s="27">
        <v>957001.75</v>
      </c>
    </row>
    <row r="199" spans="1:16" ht="15.75" customHeight="1" x14ac:dyDescent="0.2">
      <c r="A199" t="s">
        <v>11588</v>
      </c>
      <c r="B199" t="s">
        <v>163</v>
      </c>
      <c r="C199" s="18">
        <v>44629</v>
      </c>
      <c r="D199" t="s">
        <v>98</v>
      </c>
      <c r="E199">
        <v>10000000</v>
      </c>
      <c r="F199" s="18">
        <v>44728</v>
      </c>
      <c r="G199" s="18">
        <v>44793</v>
      </c>
      <c r="H199">
        <v>2022</v>
      </c>
      <c r="I199" t="s">
        <v>268</v>
      </c>
      <c r="J199" s="27">
        <v>104177.76</v>
      </c>
      <c r="K199" s="27">
        <v>0</v>
      </c>
      <c r="L199" s="27">
        <v>104177.76</v>
      </c>
      <c r="M199" t="s">
        <v>11459</v>
      </c>
      <c r="O199" t="s">
        <v>170</v>
      </c>
      <c r="P199" s="27">
        <v>0</v>
      </c>
    </row>
    <row r="200" spans="1:16" ht="15.75" customHeight="1" x14ac:dyDescent="0.2">
      <c r="A200" t="s">
        <v>11589</v>
      </c>
      <c r="B200" t="s">
        <v>163</v>
      </c>
      <c r="C200" s="18">
        <v>44457</v>
      </c>
      <c r="D200" t="s">
        <v>101</v>
      </c>
      <c r="E200">
        <v>2000000</v>
      </c>
      <c r="F200" s="18">
        <v>44705</v>
      </c>
      <c r="G200" s="18">
        <v>44794</v>
      </c>
      <c r="H200">
        <v>2022</v>
      </c>
      <c r="I200" t="s">
        <v>268</v>
      </c>
      <c r="J200" s="27">
        <v>80264.91</v>
      </c>
      <c r="K200" s="27">
        <v>0</v>
      </c>
      <c r="L200" s="27">
        <v>80264.91</v>
      </c>
      <c r="M200" t="s">
        <v>11431</v>
      </c>
      <c r="O200" t="s">
        <v>167</v>
      </c>
      <c r="P200" s="27">
        <v>80264.91</v>
      </c>
    </row>
    <row r="201" spans="1:16" ht="15.75" customHeight="1" x14ac:dyDescent="0.2">
      <c r="A201" t="s">
        <v>11590</v>
      </c>
      <c r="B201" t="s">
        <v>163</v>
      </c>
      <c r="C201" s="18">
        <v>44715</v>
      </c>
      <c r="D201" t="s">
        <v>101</v>
      </c>
      <c r="E201">
        <v>5000000</v>
      </c>
      <c r="F201" s="18">
        <v>44722</v>
      </c>
      <c r="G201" s="18">
        <v>44799</v>
      </c>
      <c r="H201">
        <v>2022</v>
      </c>
      <c r="I201" t="s">
        <v>268</v>
      </c>
      <c r="J201" s="27">
        <v>938354.16</v>
      </c>
      <c r="K201" s="27">
        <v>0</v>
      </c>
      <c r="L201" s="27">
        <v>938354.16</v>
      </c>
      <c r="M201" t="s">
        <v>11473</v>
      </c>
      <c r="O201" t="s">
        <v>170</v>
      </c>
      <c r="P201" s="27">
        <v>0</v>
      </c>
    </row>
    <row r="202" spans="1:16" ht="15.75" customHeight="1" x14ac:dyDescent="0.2">
      <c r="A202" t="s">
        <v>11591</v>
      </c>
      <c r="B202" t="s">
        <v>163</v>
      </c>
      <c r="C202" s="18">
        <v>44449</v>
      </c>
      <c r="D202" t="s">
        <v>98</v>
      </c>
      <c r="E202">
        <v>2000000</v>
      </c>
      <c r="F202" s="18">
        <v>44627</v>
      </c>
      <c r="G202" s="18">
        <v>44806</v>
      </c>
      <c r="H202">
        <v>2022</v>
      </c>
      <c r="I202" t="s">
        <v>268</v>
      </c>
      <c r="J202" s="27">
        <v>298147.36</v>
      </c>
      <c r="K202" s="27">
        <v>0</v>
      </c>
      <c r="L202" s="27">
        <v>298147.36</v>
      </c>
      <c r="M202" t="s">
        <v>11422</v>
      </c>
      <c r="O202" t="s">
        <v>170</v>
      </c>
      <c r="P202" s="27">
        <v>0</v>
      </c>
    </row>
    <row r="203" spans="1:16" ht="15.75" customHeight="1" x14ac:dyDescent="0.2">
      <c r="A203" t="s">
        <v>11592</v>
      </c>
      <c r="B203" t="s">
        <v>219</v>
      </c>
      <c r="C203" s="18">
        <v>44587</v>
      </c>
      <c r="D203" t="s">
        <v>101</v>
      </c>
      <c r="E203">
        <v>4000000</v>
      </c>
      <c r="F203" s="18">
        <v>44682</v>
      </c>
      <c r="G203" s="18">
        <v>44807</v>
      </c>
      <c r="H203">
        <v>2022</v>
      </c>
      <c r="I203" t="s">
        <v>268</v>
      </c>
      <c r="J203" s="27">
        <v>153703.66</v>
      </c>
      <c r="K203" s="27">
        <v>153665.37</v>
      </c>
      <c r="L203" s="27">
        <v>307369.03000000003</v>
      </c>
      <c r="M203" t="s">
        <v>11364</v>
      </c>
      <c r="O203" t="s">
        <v>170</v>
      </c>
      <c r="P203" s="27">
        <v>0</v>
      </c>
    </row>
    <row r="204" spans="1:16" ht="15.75" customHeight="1" x14ac:dyDescent="0.2">
      <c r="A204" t="s">
        <v>11593</v>
      </c>
      <c r="B204" t="s">
        <v>163</v>
      </c>
      <c r="C204" s="18">
        <v>44415</v>
      </c>
      <c r="D204" t="s">
        <v>101</v>
      </c>
      <c r="E204">
        <v>10000000</v>
      </c>
      <c r="F204" s="18">
        <v>44760</v>
      </c>
      <c r="G204" s="18">
        <v>44808</v>
      </c>
      <c r="H204">
        <v>2022</v>
      </c>
      <c r="I204" t="s">
        <v>268</v>
      </c>
      <c r="J204" s="27">
        <v>167733.43</v>
      </c>
      <c r="K204" s="27">
        <v>0</v>
      </c>
      <c r="L204" s="27">
        <v>167733.43</v>
      </c>
      <c r="M204" t="s">
        <v>11594</v>
      </c>
      <c r="O204" t="s">
        <v>167</v>
      </c>
      <c r="P204" s="27">
        <v>167733.43</v>
      </c>
    </row>
    <row r="205" spans="1:16" ht="15.75" customHeight="1" x14ac:dyDescent="0.2">
      <c r="A205" t="s">
        <v>11595</v>
      </c>
      <c r="B205" t="s">
        <v>163</v>
      </c>
      <c r="C205" s="18">
        <v>44174</v>
      </c>
      <c r="D205" t="s">
        <v>98</v>
      </c>
      <c r="E205">
        <v>5000000</v>
      </c>
      <c r="F205" s="18">
        <v>44210</v>
      </c>
      <c r="G205" s="18">
        <v>44813</v>
      </c>
      <c r="H205">
        <v>2021</v>
      </c>
      <c r="I205" t="s">
        <v>268</v>
      </c>
      <c r="J205" s="27">
        <v>222293.79</v>
      </c>
      <c r="K205" s="27">
        <v>0</v>
      </c>
      <c r="L205" s="27">
        <v>222293.79</v>
      </c>
      <c r="M205" t="s">
        <v>11444</v>
      </c>
      <c r="O205" t="s">
        <v>170</v>
      </c>
      <c r="P205" s="27">
        <v>0</v>
      </c>
    </row>
    <row r="206" spans="1:16" ht="15.75" customHeight="1" x14ac:dyDescent="0.2">
      <c r="A206" t="s">
        <v>11596</v>
      </c>
      <c r="B206" t="s">
        <v>163</v>
      </c>
      <c r="C206" s="18">
        <v>44736</v>
      </c>
      <c r="D206" t="s">
        <v>101</v>
      </c>
      <c r="E206">
        <v>2500000</v>
      </c>
      <c r="F206" s="18">
        <v>44771</v>
      </c>
      <c r="G206" s="18">
        <v>44818</v>
      </c>
      <c r="H206">
        <v>2022</v>
      </c>
      <c r="I206" t="s">
        <v>268</v>
      </c>
      <c r="J206" s="27">
        <v>86663.66</v>
      </c>
      <c r="K206" s="27">
        <v>0</v>
      </c>
      <c r="L206" s="27">
        <v>86663.66</v>
      </c>
      <c r="M206" t="s">
        <v>11345</v>
      </c>
      <c r="O206" t="s">
        <v>167</v>
      </c>
      <c r="P206" s="27">
        <v>86663.66</v>
      </c>
    </row>
    <row r="207" spans="1:16" ht="15.75" customHeight="1" x14ac:dyDescent="0.2">
      <c r="A207" t="s">
        <v>11597</v>
      </c>
      <c r="B207" t="s">
        <v>163</v>
      </c>
      <c r="C207" s="18">
        <v>44706</v>
      </c>
      <c r="D207" t="s">
        <v>100</v>
      </c>
      <c r="E207">
        <v>4000000</v>
      </c>
      <c r="F207" s="18">
        <v>44765</v>
      </c>
      <c r="G207" s="18">
        <v>44824</v>
      </c>
      <c r="H207">
        <v>2022</v>
      </c>
      <c r="I207" t="s">
        <v>268</v>
      </c>
      <c r="J207" s="27">
        <v>150032.48000000001</v>
      </c>
      <c r="K207" s="27">
        <v>0</v>
      </c>
      <c r="L207" s="27">
        <v>150032.48000000001</v>
      </c>
      <c r="M207" t="s">
        <v>11399</v>
      </c>
      <c r="O207" t="s">
        <v>167</v>
      </c>
      <c r="P207" s="27">
        <v>150032.48000000001</v>
      </c>
    </row>
    <row r="208" spans="1:16" ht="15.75" customHeight="1" x14ac:dyDescent="0.2">
      <c r="A208" t="s">
        <v>11598</v>
      </c>
      <c r="B208" t="s">
        <v>163</v>
      </c>
      <c r="C208" s="18">
        <v>44512</v>
      </c>
      <c r="D208" t="s">
        <v>100</v>
      </c>
      <c r="E208">
        <v>5000000</v>
      </c>
      <c r="F208" s="18">
        <v>44722</v>
      </c>
      <c r="G208" s="18">
        <v>44828</v>
      </c>
      <c r="H208">
        <v>2022</v>
      </c>
      <c r="I208" t="s">
        <v>268</v>
      </c>
      <c r="J208" s="27">
        <v>813208.15</v>
      </c>
      <c r="K208" s="27">
        <v>0</v>
      </c>
      <c r="L208" s="27">
        <v>813208.15</v>
      </c>
      <c r="M208" t="s">
        <v>11480</v>
      </c>
      <c r="O208" t="s">
        <v>170</v>
      </c>
      <c r="P208" s="27">
        <v>0</v>
      </c>
    </row>
    <row r="209" spans="1:16" ht="15.75" customHeight="1" x14ac:dyDescent="0.2">
      <c r="A209" t="s">
        <v>11599</v>
      </c>
      <c r="B209" t="s">
        <v>163</v>
      </c>
      <c r="C209" s="18">
        <v>44505</v>
      </c>
      <c r="D209" t="s">
        <v>100</v>
      </c>
      <c r="E209">
        <v>4000000</v>
      </c>
      <c r="F209" s="18">
        <v>44590</v>
      </c>
      <c r="G209" s="18">
        <v>44831</v>
      </c>
      <c r="H209">
        <v>2022</v>
      </c>
      <c r="I209" t="s">
        <v>268</v>
      </c>
      <c r="J209" s="27">
        <v>845402.47</v>
      </c>
      <c r="K209" s="27">
        <v>0</v>
      </c>
      <c r="L209" s="27">
        <v>845402.47</v>
      </c>
      <c r="M209" t="s">
        <v>11405</v>
      </c>
      <c r="O209" t="s">
        <v>167</v>
      </c>
      <c r="P209" s="27">
        <v>845402.47</v>
      </c>
    </row>
    <row r="210" spans="1:16" ht="15.75" customHeight="1" x14ac:dyDescent="0.2">
      <c r="A210" t="s">
        <v>11600</v>
      </c>
      <c r="B210" t="s">
        <v>163</v>
      </c>
      <c r="C210" s="18">
        <v>44219</v>
      </c>
      <c r="D210" t="s">
        <v>98</v>
      </c>
      <c r="E210">
        <v>5000000</v>
      </c>
      <c r="F210" s="18">
        <v>44583</v>
      </c>
      <c r="G210" s="18">
        <v>44833</v>
      </c>
      <c r="H210">
        <v>2022</v>
      </c>
      <c r="I210" t="s">
        <v>268</v>
      </c>
      <c r="J210" s="27">
        <v>1357272.02</v>
      </c>
      <c r="K210" s="27">
        <v>0</v>
      </c>
      <c r="L210" s="27">
        <v>1357272.02</v>
      </c>
      <c r="M210" t="s">
        <v>11485</v>
      </c>
      <c r="O210" t="s">
        <v>170</v>
      </c>
      <c r="P210" s="27">
        <v>0</v>
      </c>
    </row>
    <row r="211" spans="1:16" ht="15.75" customHeight="1" x14ac:dyDescent="0.2">
      <c r="A211" t="s">
        <v>11601</v>
      </c>
      <c r="B211" t="s">
        <v>163</v>
      </c>
      <c r="C211" s="18">
        <v>44477</v>
      </c>
      <c r="D211" t="s">
        <v>98</v>
      </c>
      <c r="E211">
        <v>4500000</v>
      </c>
      <c r="F211" s="18">
        <v>44694</v>
      </c>
      <c r="G211" s="18">
        <v>44834</v>
      </c>
      <c r="H211">
        <v>2022</v>
      </c>
      <c r="I211" t="s">
        <v>268</v>
      </c>
      <c r="J211" s="27">
        <v>273135.34000000003</v>
      </c>
      <c r="K211" s="27">
        <v>0</v>
      </c>
      <c r="L211" s="27">
        <v>273135.34000000003</v>
      </c>
      <c r="M211" t="s">
        <v>11577</v>
      </c>
      <c r="O211" t="s">
        <v>170</v>
      </c>
      <c r="P211" s="27">
        <v>0</v>
      </c>
    </row>
    <row r="212" spans="1:16" ht="15.75" customHeight="1" x14ac:dyDescent="0.2">
      <c r="A212" t="s">
        <v>11602</v>
      </c>
      <c r="B212" t="s">
        <v>163</v>
      </c>
      <c r="C212" s="18">
        <v>44555</v>
      </c>
      <c r="D212" t="s">
        <v>98</v>
      </c>
      <c r="E212">
        <v>10000000</v>
      </c>
      <c r="F212" s="18">
        <v>44768</v>
      </c>
      <c r="G212" s="18">
        <v>44834</v>
      </c>
      <c r="H212">
        <v>2022</v>
      </c>
      <c r="I212" t="s">
        <v>268</v>
      </c>
      <c r="J212" s="27">
        <v>518008.21</v>
      </c>
      <c r="K212" s="27">
        <v>0</v>
      </c>
      <c r="L212" s="27">
        <v>518008.21</v>
      </c>
      <c r="M212" t="s">
        <v>11496</v>
      </c>
      <c r="O212" t="s">
        <v>170</v>
      </c>
      <c r="P212" s="27">
        <v>0</v>
      </c>
    </row>
    <row r="213" spans="1:16" ht="15.75" customHeight="1" x14ac:dyDescent="0.2">
      <c r="A213" t="s">
        <v>11603</v>
      </c>
      <c r="B213" t="s">
        <v>163</v>
      </c>
      <c r="C213" s="18">
        <v>44446</v>
      </c>
      <c r="D213" t="s">
        <v>99</v>
      </c>
      <c r="E213">
        <v>5000000</v>
      </c>
      <c r="F213" s="18">
        <v>44798</v>
      </c>
      <c r="G213" s="18">
        <v>44838</v>
      </c>
      <c r="H213">
        <v>2022</v>
      </c>
      <c r="I213" t="s">
        <v>268</v>
      </c>
      <c r="J213" s="27">
        <v>653736.39</v>
      </c>
      <c r="K213" s="27">
        <v>0</v>
      </c>
      <c r="L213" s="27">
        <v>653736.39</v>
      </c>
      <c r="M213" t="s">
        <v>11429</v>
      </c>
      <c r="O213" t="s">
        <v>167</v>
      </c>
      <c r="P213" s="27">
        <v>653736.39</v>
      </c>
    </row>
    <row r="214" spans="1:16" ht="15.75" customHeight="1" x14ac:dyDescent="0.2">
      <c r="A214" t="s">
        <v>11604</v>
      </c>
      <c r="B214" t="s">
        <v>163</v>
      </c>
      <c r="C214" s="18">
        <v>44689</v>
      </c>
      <c r="D214" t="s">
        <v>99</v>
      </c>
      <c r="E214">
        <v>5000000</v>
      </c>
      <c r="F214" s="18">
        <v>44797</v>
      </c>
      <c r="G214" s="18">
        <v>44858</v>
      </c>
      <c r="H214">
        <v>2022</v>
      </c>
      <c r="I214" t="s">
        <v>268</v>
      </c>
      <c r="J214" s="27">
        <v>98174.81</v>
      </c>
      <c r="K214" s="27">
        <v>0</v>
      </c>
      <c r="L214" s="27">
        <v>98174.81</v>
      </c>
      <c r="M214" t="s">
        <v>11459</v>
      </c>
      <c r="O214" t="s">
        <v>167</v>
      </c>
      <c r="P214" s="27">
        <v>98174.81</v>
      </c>
    </row>
    <row r="215" spans="1:16" ht="15.75" customHeight="1" x14ac:dyDescent="0.2">
      <c r="A215" t="s">
        <v>11605</v>
      </c>
      <c r="B215" t="s">
        <v>163</v>
      </c>
      <c r="C215" s="18">
        <v>44424</v>
      </c>
      <c r="D215" t="s">
        <v>99</v>
      </c>
      <c r="E215">
        <v>5000000</v>
      </c>
      <c r="F215" s="18">
        <v>44504</v>
      </c>
      <c r="G215" s="18">
        <v>44861</v>
      </c>
      <c r="H215">
        <v>2021</v>
      </c>
      <c r="I215" t="s">
        <v>268</v>
      </c>
      <c r="J215" s="27">
        <v>183712.8</v>
      </c>
      <c r="K215" s="27">
        <v>0</v>
      </c>
      <c r="L215" s="27">
        <v>183712.8</v>
      </c>
      <c r="M215" t="s">
        <v>11374</v>
      </c>
      <c r="O215" t="s">
        <v>167</v>
      </c>
      <c r="P215" s="27">
        <v>183712.8</v>
      </c>
    </row>
    <row r="216" spans="1:16" ht="15.75" customHeight="1" x14ac:dyDescent="0.2">
      <c r="A216" t="s">
        <v>11606</v>
      </c>
      <c r="B216" t="s">
        <v>163</v>
      </c>
      <c r="C216" s="18">
        <v>44790</v>
      </c>
      <c r="D216" t="s">
        <v>101</v>
      </c>
      <c r="E216">
        <v>5000000</v>
      </c>
      <c r="F216" s="18">
        <v>44798</v>
      </c>
      <c r="G216" s="18">
        <v>44862</v>
      </c>
      <c r="H216">
        <v>2022</v>
      </c>
      <c r="I216" t="s">
        <v>268</v>
      </c>
      <c r="J216" s="27">
        <v>234339.27</v>
      </c>
      <c r="K216" s="27">
        <v>0</v>
      </c>
      <c r="L216" s="27">
        <v>234339.27</v>
      </c>
      <c r="M216" t="s">
        <v>11444</v>
      </c>
      <c r="O216" t="s">
        <v>167</v>
      </c>
      <c r="P216" s="27">
        <v>234339.27</v>
      </c>
    </row>
    <row r="217" spans="1:16" ht="15.75" customHeight="1" x14ac:dyDescent="0.2">
      <c r="A217" t="s">
        <v>11607</v>
      </c>
      <c r="B217" t="s">
        <v>163</v>
      </c>
      <c r="C217" s="18">
        <v>44501</v>
      </c>
      <c r="D217" t="s">
        <v>98</v>
      </c>
      <c r="E217">
        <v>2500000</v>
      </c>
      <c r="F217" s="18">
        <v>44840</v>
      </c>
      <c r="G217" s="18">
        <v>44867</v>
      </c>
      <c r="H217">
        <v>2022</v>
      </c>
      <c r="I217" t="s">
        <v>268</v>
      </c>
      <c r="J217" s="27">
        <v>125844.5</v>
      </c>
      <c r="K217" s="27">
        <v>0</v>
      </c>
      <c r="L217" s="27">
        <v>125844.5</v>
      </c>
      <c r="M217" t="s">
        <v>11384</v>
      </c>
      <c r="O217" t="s">
        <v>170</v>
      </c>
      <c r="P217" s="27">
        <v>0</v>
      </c>
    </row>
    <row r="218" spans="1:16" ht="15.75" customHeight="1" x14ac:dyDescent="0.2">
      <c r="A218" t="s">
        <v>11608</v>
      </c>
      <c r="B218" t="s">
        <v>163</v>
      </c>
      <c r="C218" s="18">
        <v>44557</v>
      </c>
      <c r="D218" t="s">
        <v>99</v>
      </c>
      <c r="E218">
        <v>1500000</v>
      </c>
      <c r="F218" s="18">
        <v>44831</v>
      </c>
      <c r="G218" s="18">
        <v>44871</v>
      </c>
      <c r="H218">
        <v>2022</v>
      </c>
      <c r="I218" t="s">
        <v>268</v>
      </c>
      <c r="J218" s="27">
        <v>117264.83</v>
      </c>
      <c r="K218" s="27">
        <v>0</v>
      </c>
      <c r="L218" s="27">
        <v>117264.83</v>
      </c>
      <c r="M218" t="s">
        <v>11351</v>
      </c>
      <c r="O218" t="s">
        <v>167</v>
      </c>
      <c r="P218" s="27">
        <v>117264.83</v>
      </c>
    </row>
    <row r="219" spans="1:16" ht="15.75" customHeight="1" x14ac:dyDescent="0.2">
      <c r="A219" t="s">
        <v>11609</v>
      </c>
      <c r="B219" t="s">
        <v>219</v>
      </c>
      <c r="C219" s="18">
        <v>44453</v>
      </c>
      <c r="D219" t="s">
        <v>101</v>
      </c>
      <c r="E219">
        <v>2000000</v>
      </c>
      <c r="F219" s="18">
        <v>44612</v>
      </c>
      <c r="G219" s="18">
        <v>44872</v>
      </c>
      <c r="H219">
        <v>2022</v>
      </c>
      <c r="I219" t="s">
        <v>268</v>
      </c>
      <c r="J219" s="27">
        <v>283417.96000000002</v>
      </c>
      <c r="K219" s="27">
        <v>27654.799999999999</v>
      </c>
      <c r="L219" s="27">
        <v>311072.76</v>
      </c>
      <c r="M219" t="s">
        <v>11436</v>
      </c>
      <c r="O219" t="s">
        <v>167</v>
      </c>
      <c r="P219" s="27">
        <v>311072.76</v>
      </c>
    </row>
    <row r="220" spans="1:16" ht="15.75" customHeight="1" x14ac:dyDescent="0.2">
      <c r="A220" t="s">
        <v>11610</v>
      </c>
      <c r="B220" t="s">
        <v>163</v>
      </c>
      <c r="C220" s="18">
        <v>44224</v>
      </c>
      <c r="D220" t="s">
        <v>100</v>
      </c>
      <c r="E220">
        <v>1000000</v>
      </c>
      <c r="F220" s="18">
        <v>44483</v>
      </c>
      <c r="G220" s="18">
        <v>44874</v>
      </c>
      <c r="H220">
        <v>2021</v>
      </c>
      <c r="I220" t="s">
        <v>268</v>
      </c>
      <c r="J220" s="27">
        <v>63205.34</v>
      </c>
      <c r="K220" s="27">
        <v>0</v>
      </c>
      <c r="L220" s="27">
        <v>63205.34</v>
      </c>
      <c r="M220" t="s">
        <v>11426</v>
      </c>
      <c r="O220" t="s">
        <v>167</v>
      </c>
      <c r="P220" s="27">
        <v>63205.34</v>
      </c>
    </row>
    <row r="221" spans="1:16" ht="15.75" customHeight="1" x14ac:dyDescent="0.2">
      <c r="A221" t="s">
        <v>11611</v>
      </c>
      <c r="B221" t="s">
        <v>163</v>
      </c>
      <c r="C221" s="18">
        <v>44192</v>
      </c>
      <c r="D221" t="s">
        <v>99</v>
      </c>
      <c r="E221">
        <v>10000000</v>
      </c>
      <c r="F221" s="18">
        <v>44525</v>
      </c>
      <c r="G221" s="18">
        <v>44877</v>
      </c>
      <c r="H221">
        <v>2021</v>
      </c>
      <c r="I221" t="s">
        <v>268</v>
      </c>
      <c r="J221" s="27">
        <v>167164.43</v>
      </c>
      <c r="K221" s="27">
        <v>0</v>
      </c>
      <c r="L221" s="27">
        <v>167164.43</v>
      </c>
      <c r="M221" t="s">
        <v>11594</v>
      </c>
      <c r="O221" t="s">
        <v>167</v>
      </c>
      <c r="P221" s="27">
        <v>167164.43</v>
      </c>
    </row>
    <row r="222" spans="1:16" ht="15.75" customHeight="1" x14ac:dyDescent="0.2">
      <c r="A222" t="s">
        <v>11612</v>
      </c>
      <c r="B222" t="s">
        <v>163</v>
      </c>
      <c r="C222" s="18">
        <v>44545</v>
      </c>
      <c r="D222" t="s">
        <v>98</v>
      </c>
      <c r="E222">
        <v>1000000</v>
      </c>
      <c r="F222" s="18">
        <v>44577</v>
      </c>
      <c r="G222" s="18">
        <v>44877</v>
      </c>
      <c r="H222">
        <v>2022</v>
      </c>
      <c r="I222" t="s">
        <v>268</v>
      </c>
      <c r="J222" s="27">
        <v>133395.25</v>
      </c>
      <c r="K222" s="27">
        <v>0</v>
      </c>
      <c r="L222" s="27">
        <v>133395.25</v>
      </c>
      <c r="M222" t="s">
        <v>11378</v>
      </c>
      <c r="O222" t="s">
        <v>170</v>
      </c>
      <c r="P222" s="27">
        <v>0</v>
      </c>
    </row>
    <row r="223" spans="1:16" ht="15.75" customHeight="1" x14ac:dyDescent="0.2">
      <c r="A223" t="s">
        <v>11613</v>
      </c>
      <c r="B223" t="s">
        <v>163</v>
      </c>
      <c r="C223" s="18">
        <v>44713</v>
      </c>
      <c r="D223" t="s">
        <v>101</v>
      </c>
      <c r="E223">
        <v>2500000</v>
      </c>
      <c r="F223" s="18">
        <v>44792</v>
      </c>
      <c r="G223" s="18">
        <v>44881</v>
      </c>
      <c r="H223">
        <v>2022</v>
      </c>
      <c r="I223" t="s">
        <v>268</v>
      </c>
      <c r="J223" s="27">
        <v>141024.94</v>
      </c>
      <c r="K223" s="27">
        <v>0</v>
      </c>
      <c r="L223" s="27">
        <v>141024.94</v>
      </c>
      <c r="M223" t="s">
        <v>11399</v>
      </c>
      <c r="O223" t="s">
        <v>167</v>
      </c>
      <c r="P223" s="27">
        <v>141024.94</v>
      </c>
    </row>
    <row r="224" spans="1:16" ht="15.75" customHeight="1" x14ac:dyDescent="0.2">
      <c r="A224" t="s">
        <v>11614</v>
      </c>
      <c r="B224" t="s">
        <v>163</v>
      </c>
      <c r="C224" s="18">
        <v>44754</v>
      </c>
      <c r="D224" t="s">
        <v>98</v>
      </c>
      <c r="E224">
        <v>5000000</v>
      </c>
      <c r="F224" s="18">
        <v>44846</v>
      </c>
      <c r="G224" s="18">
        <v>44882</v>
      </c>
      <c r="H224">
        <v>2022</v>
      </c>
      <c r="I224" t="s">
        <v>268</v>
      </c>
      <c r="J224" s="27">
        <v>383839.09</v>
      </c>
      <c r="K224" s="27">
        <v>0</v>
      </c>
      <c r="L224" s="27">
        <v>383839.09</v>
      </c>
      <c r="M224" t="s">
        <v>11364</v>
      </c>
      <c r="O224" t="s">
        <v>170</v>
      </c>
      <c r="P224" s="27">
        <v>0</v>
      </c>
    </row>
    <row r="225" spans="1:16" ht="15.75" customHeight="1" x14ac:dyDescent="0.2">
      <c r="A225" t="s">
        <v>11615</v>
      </c>
      <c r="B225" t="s">
        <v>163</v>
      </c>
      <c r="C225" s="18">
        <v>44560</v>
      </c>
      <c r="D225" t="s">
        <v>101</v>
      </c>
      <c r="E225">
        <v>5000000</v>
      </c>
      <c r="F225" s="18">
        <v>44815</v>
      </c>
      <c r="G225" s="18">
        <v>44884</v>
      </c>
      <c r="H225">
        <v>2022</v>
      </c>
      <c r="I225" t="s">
        <v>268</v>
      </c>
      <c r="J225" s="27">
        <v>356551.86</v>
      </c>
      <c r="K225" s="27">
        <v>0</v>
      </c>
      <c r="L225" s="27">
        <v>356551.86</v>
      </c>
      <c r="M225" t="s">
        <v>11391</v>
      </c>
      <c r="O225" t="s">
        <v>167</v>
      </c>
      <c r="P225" s="27">
        <v>356551.86</v>
      </c>
    </row>
    <row r="226" spans="1:16" ht="15.75" customHeight="1" x14ac:dyDescent="0.2">
      <c r="A226" t="s">
        <v>11616</v>
      </c>
      <c r="B226" t="s">
        <v>219</v>
      </c>
      <c r="C226" s="18">
        <v>44677</v>
      </c>
      <c r="D226" t="s">
        <v>98</v>
      </c>
      <c r="E226">
        <v>10000000</v>
      </c>
      <c r="F226" s="18">
        <v>44824</v>
      </c>
      <c r="G226" s="18">
        <v>44887</v>
      </c>
      <c r="H226">
        <v>2022</v>
      </c>
      <c r="I226" t="s">
        <v>268</v>
      </c>
      <c r="J226" s="27">
        <v>353016.85</v>
      </c>
      <c r="K226" s="27">
        <v>8129.69</v>
      </c>
      <c r="L226" s="27">
        <v>361146.54</v>
      </c>
      <c r="M226" t="s">
        <v>11436</v>
      </c>
      <c r="O226" t="s">
        <v>170</v>
      </c>
      <c r="P226" s="27">
        <v>0</v>
      </c>
    </row>
    <row r="227" spans="1:16" ht="15.75" customHeight="1" x14ac:dyDescent="0.2">
      <c r="A227" t="s">
        <v>11617</v>
      </c>
      <c r="B227" t="s">
        <v>163</v>
      </c>
      <c r="C227" s="18">
        <v>44313</v>
      </c>
      <c r="D227" t="s">
        <v>102</v>
      </c>
      <c r="E227">
        <v>500000</v>
      </c>
      <c r="F227" s="18">
        <v>44578</v>
      </c>
      <c r="G227" s="18">
        <v>44888</v>
      </c>
      <c r="H227">
        <v>2022</v>
      </c>
      <c r="I227" t="s">
        <v>268</v>
      </c>
      <c r="J227" s="27">
        <v>108958.1</v>
      </c>
      <c r="K227" s="27">
        <v>0</v>
      </c>
      <c r="L227" s="27">
        <v>108958.1</v>
      </c>
      <c r="M227" t="s">
        <v>11467</v>
      </c>
      <c r="O227" t="s">
        <v>167</v>
      </c>
      <c r="P227" s="27">
        <v>108958.1</v>
      </c>
    </row>
    <row r="228" spans="1:16" ht="15.75" customHeight="1" x14ac:dyDescent="0.2">
      <c r="A228" t="s">
        <v>11618</v>
      </c>
      <c r="B228" t="s">
        <v>163</v>
      </c>
      <c r="C228" s="18">
        <v>44741</v>
      </c>
      <c r="D228" t="s">
        <v>98</v>
      </c>
      <c r="E228">
        <v>10000000</v>
      </c>
      <c r="F228" s="18">
        <v>44784</v>
      </c>
      <c r="G228" s="18">
        <v>44889</v>
      </c>
      <c r="H228">
        <v>2022</v>
      </c>
      <c r="I228" t="s">
        <v>268</v>
      </c>
      <c r="J228" s="27">
        <v>1481844.41</v>
      </c>
      <c r="K228" s="27">
        <v>0</v>
      </c>
      <c r="L228" s="27">
        <v>1481844.41</v>
      </c>
      <c r="M228" t="s">
        <v>11485</v>
      </c>
      <c r="O228" t="s">
        <v>170</v>
      </c>
      <c r="P228" s="27">
        <v>0</v>
      </c>
    </row>
    <row r="229" spans="1:16" ht="15.75" customHeight="1" x14ac:dyDescent="0.2">
      <c r="A229" t="s">
        <v>11619</v>
      </c>
      <c r="B229" t="s">
        <v>163</v>
      </c>
      <c r="C229" s="18">
        <v>44676</v>
      </c>
      <c r="D229" t="s">
        <v>101</v>
      </c>
      <c r="E229">
        <v>5000000</v>
      </c>
      <c r="F229" s="18">
        <v>44800</v>
      </c>
      <c r="G229" s="18">
        <v>44890</v>
      </c>
      <c r="H229">
        <v>2022</v>
      </c>
      <c r="I229" t="s">
        <v>268</v>
      </c>
      <c r="J229" s="27">
        <v>287220.55</v>
      </c>
      <c r="K229" s="27">
        <v>0</v>
      </c>
      <c r="L229" s="27">
        <v>287220.55</v>
      </c>
      <c r="M229" t="s">
        <v>11577</v>
      </c>
      <c r="O229" t="s">
        <v>167</v>
      </c>
      <c r="P229" s="27">
        <v>287220.55</v>
      </c>
    </row>
    <row r="230" spans="1:16" ht="15.75" customHeight="1" x14ac:dyDescent="0.2">
      <c r="A230" t="s">
        <v>11620</v>
      </c>
      <c r="B230" t="s">
        <v>163</v>
      </c>
      <c r="C230" s="18">
        <v>44489</v>
      </c>
      <c r="D230" t="s">
        <v>100</v>
      </c>
      <c r="E230">
        <v>5000000</v>
      </c>
      <c r="F230" s="18">
        <v>44636</v>
      </c>
      <c r="G230" s="18">
        <v>44892</v>
      </c>
      <c r="H230">
        <v>2022</v>
      </c>
      <c r="I230" t="s">
        <v>268</v>
      </c>
      <c r="J230" s="27">
        <v>102589.3</v>
      </c>
      <c r="K230" s="27">
        <v>0</v>
      </c>
      <c r="L230" s="27">
        <v>102589.3</v>
      </c>
      <c r="M230" t="s">
        <v>11459</v>
      </c>
      <c r="O230" t="s">
        <v>167</v>
      </c>
      <c r="P230" s="27">
        <v>102589.3</v>
      </c>
    </row>
    <row r="231" spans="1:16" ht="15.75" customHeight="1" x14ac:dyDescent="0.2">
      <c r="A231" t="s">
        <v>11621</v>
      </c>
      <c r="B231" t="s">
        <v>163</v>
      </c>
      <c r="C231" s="18">
        <v>44500</v>
      </c>
      <c r="D231" t="s">
        <v>99</v>
      </c>
      <c r="E231">
        <v>5000000</v>
      </c>
      <c r="F231" s="18">
        <v>44613</v>
      </c>
      <c r="G231" s="18">
        <v>44892</v>
      </c>
      <c r="H231">
        <v>2022</v>
      </c>
      <c r="I231" t="s">
        <v>268</v>
      </c>
      <c r="J231" s="27">
        <v>399568.47</v>
      </c>
      <c r="K231" s="27">
        <v>0</v>
      </c>
      <c r="L231" s="27">
        <v>399568.47</v>
      </c>
      <c r="M231" t="s">
        <v>11511</v>
      </c>
      <c r="O231" t="s">
        <v>167</v>
      </c>
      <c r="P231" s="27">
        <v>399568.47</v>
      </c>
    </row>
    <row r="232" spans="1:16" ht="15.75" customHeight="1" x14ac:dyDescent="0.2">
      <c r="A232" t="s">
        <v>11622</v>
      </c>
      <c r="B232" t="s">
        <v>163</v>
      </c>
      <c r="C232" s="18">
        <v>44593</v>
      </c>
      <c r="D232" t="s">
        <v>99</v>
      </c>
      <c r="E232">
        <v>3500000</v>
      </c>
      <c r="F232" s="18">
        <v>44724</v>
      </c>
      <c r="G232" s="18">
        <v>44892</v>
      </c>
      <c r="H232">
        <v>2022</v>
      </c>
      <c r="I232" t="s">
        <v>268</v>
      </c>
      <c r="J232" s="27">
        <v>389688.18</v>
      </c>
      <c r="K232" s="27">
        <v>0</v>
      </c>
      <c r="L232" s="27">
        <v>389688.18</v>
      </c>
      <c r="M232" t="s">
        <v>11482</v>
      </c>
      <c r="O232" t="s">
        <v>167</v>
      </c>
      <c r="P232" s="27">
        <v>389688.18</v>
      </c>
    </row>
    <row r="233" spans="1:16" ht="15.75" customHeight="1" x14ac:dyDescent="0.2">
      <c r="A233" t="s">
        <v>11623</v>
      </c>
      <c r="B233" t="s">
        <v>163</v>
      </c>
      <c r="C233" s="18">
        <v>44167</v>
      </c>
      <c r="D233" t="s">
        <v>99</v>
      </c>
      <c r="E233">
        <v>4000000</v>
      </c>
      <c r="F233" s="18">
        <v>44525</v>
      </c>
      <c r="G233" s="18">
        <v>44894</v>
      </c>
      <c r="H233">
        <v>2021</v>
      </c>
      <c r="I233" t="s">
        <v>268</v>
      </c>
      <c r="J233" s="27">
        <v>150629.84</v>
      </c>
      <c r="K233" s="27">
        <v>0</v>
      </c>
      <c r="L233" s="27">
        <v>150629.84</v>
      </c>
      <c r="M233" t="s">
        <v>11399</v>
      </c>
      <c r="O233" t="s">
        <v>167</v>
      </c>
      <c r="P233" s="27">
        <v>150629.84</v>
      </c>
    </row>
    <row r="234" spans="1:16" ht="15.75" customHeight="1" x14ac:dyDescent="0.2">
      <c r="A234" t="s">
        <v>11624</v>
      </c>
      <c r="B234" t="s">
        <v>163</v>
      </c>
      <c r="C234" s="18">
        <v>44160</v>
      </c>
      <c r="D234" t="s">
        <v>98</v>
      </c>
      <c r="E234">
        <v>10000000</v>
      </c>
      <c r="F234" s="18">
        <v>44510</v>
      </c>
      <c r="G234" s="18">
        <v>44895</v>
      </c>
      <c r="H234">
        <v>2021</v>
      </c>
      <c r="I234" t="s">
        <v>268</v>
      </c>
      <c r="J234" s="27">
        <v>197236.05</v>
      </c>
      <c r="K234" s="27">
        <v>0</v>
      </c>
      <c r="L234" s="27">
        <v>197236.05</v>
      </c>
      <c r="M234" t="s">
        <v>11374</v>
      </c>
      <c r="O234" t="s">
        <v>170</v>
      </c>
      <c r="P234" s="27">
        <v>0</v>
      </c>
    </row>
    <row r="235" spans="1:16" ht="15.75" customHeight="1" x14ac:dyDescent="0.2">
      <c r="A235" t="s">
        <v>11625</v>
      </c>
      <c r="B235" t="s">
        <v>219</v>
      </c>
      <c r="C235" s="18">
        <v>44400</v>
      </c>
      <c r="D235" t="s">
        <v>99</v>
      </c>
      <c r="E235">
        <v>5000000</v>
      </c>
      <c r="F235" s="18">
        <v>44696</v>
      </c>
      <c r="G235" s="18">
        <v>44898</v>
      </c>
      <c r="H235">
        <v>2022</v>
      </c>
      <c r="I235" t="s">
        <v>268</v>
      </c>
      <c r="J235" s="27">
        <v>297061</v>
      </c>
      <c r="K235" s="27">
        <v>56458.43</v>
      </c>
      <c r="L235" s="27">
        <v>353519.43</v>
      </c>
      <c r="M235" t="s">
        <v>11511</v>
      </c>
      <c r="O235" t="s">
        <v>170</v>
      </c>
      <c r="P235" s="27">
        <v>0</v>
      </c>
    </row>
    <row r="236" spans="1:16" ht="15.75" customHeight="1" x14ac:dyDescent="0.2">
      <c r="A236" t="s">
        <v>11626</v>
      </c>
      <c r="B236" t="s">
        <v>163</v>
      </c>
      <c r="C236" s="18">
        <v>44733</v>
      </c>
      <c r="D236" t="s">
        <v>99</v>
      </c>
      <c r="E236">
        <v>4000000</v>
      </c>
      <c r="F236" s="18">
        <v>44851</v>
      </c>
      <c r="G236" s="18">
        <v>44909</v>
      </c>
      <c r="H236">
        <v>2022</v>
      </c>
      <c r="I236" t="s">
        <v>268</v>
      </c>
      <c r="J236" s="27">
        <v>88996.62</v>
      </c>
      <c r="K236" s="27">
        <v>0</v>
      </c>
      <c r="L236" s="27">
        <v>88996.62</v>
      </c>
      <c r="M236" t="s">
        <v>11387</v>
      </c>
      <c r="O236" t="s">
        <v>167</v>
      </c>
      <c r="P236" s="27">
        <v>88996.62</v>
      </c>
    </row>
    <row r="237" spans="1:16" ht="15.75" customHeight="1" x14ac:dyDescent="0.2">
      <c r="A237" t="s">
        <v>11627</v>
      </c>
      <c r="B237" t="s">
        <v>163</v>
      </c>
      <c r="C237" s="18">
        <v>44516</v>
      </c>
      <c r="D237" t="s">
        <v>100</v>
      </c>
      <c r="E237">
        <v>4000000</v>
      </c>
      <c r="F237" s="18">
        <v>44792</v>
      </c>
      <c r="G237" s="18">
        <v>44910</v>
      </c>
      <c r="H237">
        <v>2022</v>
      </c>
      <c r="I237" t="s">
        <v>268</v>
      </c>
      <c r="J237" s="27">
        <v>84212.91</v>
      </c>
      <c r="K237" s="27">
        <v>0</v>
      </c>
      <c r="L237" s="27">
        <v>84212.91</v>
      </c>
      <c r="M237" t="s">
        <v>11493</v>
      </c>
      <c r="O237" t="s">
        <v>167</v>
      </c>
      <c r="P237" s="27">
        <v>84212.91</v>
      </c>
    </row>
    <row r="238" spans="1:16" ht="15.75" customHeight="1" x14ac:dyDescent="0.2">
      <c r="A238" t="s">
        <v>11628</v>
      </c>
      <c r="B238" t="s">
        <v>163</v>
      </c>
      <c r="C238" s="18">
        <v>44755</v>
      </c>
      <c r="D238" t="s">
        <v>101</v>
      </c>
      <c r="E238">
        <v>10000000</v>
      </c>
      <c r="F238" s="18">
        <v>44870</v>
      </c>
      <c r="G238" s="18">
        <v>44912</v>
      </c>
      <c r="H238">
        <v>2022</v>
      </c>
      <c r="I238" t="s">
        <v>268</v>
      </c>
      <c r="J238" s="27">
        <v>334943.81</v>
      </c>
      <c r="K238" s="27">
        <v>0</v>
      </c>
      <c r="L238" s="27">
        <v>334943.81</v>
      </c>
      <c r="M238" t="s">
        <v>11436</v>
      </c>
      <c r="O238" t="s">
        <v>167</v>
      </c>
      <c r="P238" s="27">
        <v>334943.81</v>
      </c>
    </row>
    <row r="239" spans="1:16" ht="15.75" customHeight="1" x14ac:dyDescent="0.2">
      <c r="A239" t="s">
        <v>11629</v>
      </c>
      <c r="B239" t="s">
        <v>163</v>
      </c>
      <c r="C239" s="18">
        <v>44629</v>
      </c>
      <c r="D239" t="s">
        <v>99</v>
      </c>
      <c r="E239">
        <v>3000000</v>
      </c>
      <c r="F239" s="18">
        <v>44868</v>
      </c>
      <c r="G239" s="18">
        <v>44913</v>
      </c>
      <c r="H239">
        <v>2022</v>
      </c>
      <c r="I239" t="s">
        <v>268</v>
      </c>
      <c r="J239" s="27">
        <v>914046.67</v>
      </c>
      <c r="K239" s="27">
        <v>0</v>
      </c>
      <c r="L239" s="27">
        <v>914046.67</v>
      </c>
      <c r="M239" t="s">
        <v>11561</v>
      </c>
      <c r="O239" t="s">
        <v>167</v>
      </c>
      <c r="P239" s="27">
        <v>914046.67</v>
      </c>
    </row>
    <row r="240" spans="1:16" ht="15.75" customHeight="1" x14ac:dyDescent="0.2">
      <c r="A240" t="s">
        <v>11630</v>
      </c>
      <c r="B240" t="s">
        <v>163</v>
      </c>
      <c r="C240" s="18">
        <v>44571</v>
      </c>
      <c r="D240" t="s">
        <v>100</v>
      </c>
      <c r="E240">
        <v>4000000</v>
      </c>
      <c r="F240" s="18">
        <v>44856</v>
      </c>
      <c r="G240" s="18">
        <v>44914</v>
      </c>
      <c r="H240">
        <v>2022</v>
      </c>
      <c r="I240" t="s">
        <v>268</v>
      </c>
      <c r="J240" s="27">
        <v>77585.02</v>
      </c>
      <c r="K240" s="27">
        <v>0</v>
      </c>
      <c r="L240" s="27">
        <v>77585.02</v>
      </c>
      <c r="M240" t="s">
        <v>11434</v>
      </c>
      <c r="O240" t="s">
        <v>167</v>
      </c>
      <c r="P240" s="27">
        <v>77585.02</v>
      </c>
    </row>
    <row r="241" spans="1:16" ht="15.75" customHeight="1" x14ac:dyDescent="0.2">
      <c r="A241" t="s">
        <v>11631</v>
      </c>
      <c r="B241" t="s">
        <v>163</v>
      </c>
      <c r="C241" s="18">
        <v>44823</v>
      </c>
      <c r="D241" t="s">
        <v>100</v>
      </c>
      <c r="E241">
        <v>1000000</v>
      </c>
      <c r="F241" s="18">
        <v>44829</v>
      </c>
      <c r="G241" s="18">
        <v>44915</v>
      </c>
      <c r="H241">
        <v>2022</v>
      </c>
      <c r="I241" t="s">
        <v>268</v>
      </c>
      <c r="J241" s="27">
        <v>651722.02</v>
      </c>
      <c r="K241" s="27">
        <v>0</v>
      </c>
      <c r="L241" s="27">
        <v>651722.02</v>
      </c>
      <c r="M241" t="s">
        <v>11408</v>
      </c>
      <c r="O241" t="s">
        <v>170</v>
      </c>
      <c r="P241" s="27">
        <v>0</v>
      </c>
    </row>
    <row r="242" spans="1:16" ht="15.75" customHeight="1" x14ac:dyDescent="0.2">
      <c r="A242" t="s">
        <v>11632</v>
      </c>
      <c r="B242" t="s">
        <v>163</v>
      </c>
      <c r="C242" s="18">
        <v>44602</v>
      </c>
      <c r="D242" t="s">
        <v>98</v>
      </c>
      <c r="E242">
        <v>5000000</v>
      </c>
      <c r="F242" s="18">
        <v>44754</v>
      </c>
      <c r="G242" s="18">
        <v>44922</v>
      </c>
      <c r="H242">
        <v>2022</v>
      </c>
      <c r="I242" t="s">
        <v>268</v>
      </c>
      <c r="J242" s="27">
        <v>182899.79</v>
      </c>
      <c r="K242" s="27">
        <v>0</v>
      </c>
      <c r="L242" s="27">
        <v>182899.79</v>
      </c>
      <c r="M242" t="s">
        <v>11374</v>
      </c>
      <c r="O242" t="s">
        <v>170</v>
      </c>
      <c r="P242" s="27">
        <v>0</v>
      </c>
    </row>
    <row r="243" spans="1:16" ht="15.75" customHeight="1" x14ac:dyDescent="0.2">
      <c r="A243" t="s">
        <v>11633</v>
      </c>
      <c r="B243" t="s">
        <v>163</v>
      </c>
      <c r="C243" s="18">
        <v>44259</v>
      </c>
      <c r="D243" t="s">
        <v>99</v>
      </c>
      <c r="E243">
        <v>500000</v>
      </c>
      <c r="F243" s="18">
        <v>44514</v>
      </c>
      <c r="G243" s="18">
        <v>44924</v>
      </c>
      <c r="H243">
        <v>2021</v>
      </c>
      <c r="I243" t="s">
        <v>268</v>
      </c>
      <c r="J243" s="27">
        <v>121561.61</v>
      </c>
      <c r="K243" s="27">
        <v>0</v>
      </c>
      <c r="L243" s="27">
        <v>121561.61</v>
      </c>
      <c r="M243" t="s">
        <v>11355</v>
      </c>
      <c r="O243" t="s">
        <v>167</v>
      </c>
      <c r="P243" s="27">
        <v>121561.61</v>
      </c>
    </row>
    <row r="244" spans="1:16" ht="15.75" customHeight="1" x14ac:dyDescent="0.2">
      <c r="A244" t="s">
        <v>11634</v>
      </c>
      <c r="B244" t="s">
        <v>163</v>
      </c>
      <c r="C244" s="18">
        <v>44791</v>
      </c>
      <c r="D244" t="s">
        <v>102</v>
      </c>
      <c r="E244">
        <v>4500000</v>
      </c>
      <c r="F244" s="18">
        <v>44900</v>
      </c>
      <c r="G244" s="18">
        <v>44929</v>
      </c>
      <c r="H244">
        <v>2022</v>
      </c>
      <c r="I244" t="s">
        <v>268</v>
      </c>
      <c r="J244" s="27">
        <v>170903.58</v>
      </c>
      <c r="K244" s="27">
        <v>0</v>
      </c>
      <c r="L244" s="27">
        <v>170903.58</v>
      </c>
      <c r="M244" t="s">
        <v>11594</v>
      </c>
      <c r="O244" t="s">
        <v>167</v>
      </c>
      <c r="P244" s="27">
        <v>170903.58</v>
      </c>
    </row>
    <row r="245" spans="1:16" ht="15.75" customHeight="1" x14ac:dyDescent="0.2">
      <c r="A245" t="s">
        <v>11635</v>
      </c>
      <c r="B245" t="s">
        <v>163</v>
      </c>
      <c r="C245" s="18">
        <v>44776</v>
      </c>
      <c r="D245" t="s">
        <v>98</v>
      </c>
      <c r="E245">
        <v>5000000</v>
      </c>
      <c r="F245" s="18">
        <v>44856</v>
      </c>
      <c r="G245" s="18">
        <v>44932</v>
      </c>
      <c r="H245">
        <v>2022</v>
      </c>
      <c r="I245" t="s">
        <v>268</v>
      </c>
      <c r="J245" s="27">
        <v>690135.13</v>
      </c>
      <c r="K245" s="27">
        <v>0</v>
      </c>
      <c r="L245" s="27">
        <v>690135.13</v>
      </c>
      <c r="M245" t="s">
        <v>11408</v>
      </c>
      <c r="O245" t="s">
        <v>170</v>
      </c>
      <c r="P245" s="27">
        <v>0</v>
      </c>
    </row>
    <row r="246" spans="1:16" ht="15.75" customHeight="1" x14ac:dyDescent="0.2">
      <c r="A246" t="s">
        <v>11636</v>
      </c>
      <c r="B246" t="s">
        <v>163</v>
      </c>
      <c r="C246" s="18">
        <v>44581</v>
      </c>
      <c r="D246" t="s">
        <v>101</v>
      </c>
      <c r="E246">
        <v>500000</v>
      </c>
      <c r="F246" s="18">
        <v>44804</v>
      </c>
      <c r="G246" s="18">
        <v>44932</v>
      </c>
      <c r="H246">
        <v>2022</v>
      </c>
      <c r="I246" t="s">
        <v>268</v>
      </c>
      <c r="J246" s="27">
        <v>193132.24</v>
      </c>
      <c r="K246" s="27">
        <v>0</v>
      </c>
      <c r="L246" s="27">
        <v>193132.24</v>
      </c>
      <c r="M246" t="s">
        <v>11477</v>
      </c>
      <c r="O246" t="s">
        <v>170</v>
      </c>
      <c r="P246" s="27">
        <v>0</v>
      </c>
    </row>
    <row r="247" spans="1:16" ht="15.75" customHeight="1" x14ac:dyDescent="0.2">
      <c r="A247" t="s">
        <v>11637</v>
      </c>
      <c r="B247" t="s">
        <v>163</v>
      </c>
      <c r="C247" s="18">
        <v>44704</v>
      </c>
      <c r="D247" t="s">
        <v>102</v>
      </c>
      <c r="E247">
        <v>10000000</v>
      </c>
      <c r="F247" s="18">
        <v>44791</v>
      </c>
      <c r="G247" s="18">
        <v>44937</v>
      </c>
      <c r="H247">
        <v>2022</v>
      </c>
      <c r="I247" t="s">
        <v>268</v>
      </c>
      <c r="J247" s="27">
        <v>96300.160000000003</v>
      </c>
      <c r="K247" s="27">
        <v>0</v>
      </c>
      <c r="L247" s="27">
        <v>96300.160000000003</v>
      </c>
      <c r="M247" t="s">
        <v>11508</v>
      </c>
      <c r="O247" t="s">
        <v>167</v>
      </c>
      <c r="P247" s="27">
        <v>96300.160000000003</v>
      </c>
    </row>
    <row r="248" spans="1:16" ht="15.75" customHeight="1" x14ac:dyDescent="0.2">
      <c r="A248" t="s">
        <v>11638</v>
      </c>
      <c r="B248" t="s">
        <v>163</v>
      </c>
      <c r="C248" s="18">
        <v>44733</v>
      </c>
      <c r="D248" t="s">
        <v>101</v>
      </c>
      <c r="E248">
        <v>4000000</v>
      </c>
      <c r="F248" s="18">
        <v>44879</v>
      </c>
      <c r="G248" s="18">
        <v>44939</v>
      </c>
      <c r="H248">
        <v>2022</v>
      </c>
      <c r="I248" t="s">
        <v>268</v>
      </c>
      <c r="J248" s="27">
        <v>331925.25</v>
      </c>
      <c r="K248" s="27">
        <v>0</v>
      </c>
      <c r="L248" s="27">
        <v>331925.25</v>
      </c>
      <c r="M248" t="s">
        <v>11391</v>
      </c>
      <c r="O248" t="s">
        <v>167</v>
      </c>
      <c r="P248" s="27">
        <v>331925.25</v>
      </c>
    </row>
    <row r="249" spans="1:16" ht="15.75" customHeight="1" x14ac:dyDescent="0.2">
      <c r="A249" t="s">
        <v>11639</v>
      </c>
      <c r="B249" t="s">
        <v>163</v>
      </c>
      <c r="C249" s="18">
        <v>44766</v>
      </c>
      <c r="D249" t="s">
        <v>99</v>
      </c>
      <c r="E249">
        <v>10000000</v>
      </c>
      <c r="F249" s="18">
        <v>44878</v>
      </c>
      <c r="G249" s="18">
        <v>44944</v>
      </c>
      <c r="H249">
        <v>2022</v>
      </c>
      <c r="I249" t="s">
        <v>268</v>
      </c>
      <c r="J249" s="27">
        <v>745154.77</v>
      </c>
      <c r="K249" s="27">
        <v>0</v>
      </c>
      <c r="L249" s="27">
        <v>745154.77</v>
      </c>
      <c r="M249" t="s">
        <v>11405</v>
      </c>
      <c r="O249" t="s">
        <v>167</v>
      </c>
      <c r="P249" s="27">
        <v>745154.77</v>
      </c>
    </row>
    <row r="250" spans="1:16" ht="15.75" customHeight="1" x14ac:dyDescent="0.2">
      <c r="A250" t="s">
        <v>11640</v>
      </c>
      <c r="B250" t="s">
        <v>163</v>
      </c>
      <c r="C250" s="18">
        <v>44749</v>
      </c>
      <c r="D250" t="s">
        <v>99</v>
      </c>
      <c r="E250">
        <v>1000000</v>
      </c>
      <c r="F250" s="18">
        <v>44927</v>
      </c>
      <c r="G250" s="18">
        <v>44962</v>
      </c>
      <c r="H250">
        <v>2023</v>
      </c>
      <c r="I250" t="s">
        <v>268</v>
      </c>
      <c r="J250" s="27">
        <v>79662.12</v>
      </c>
      <c r="K250" s="27">
        <v>0</v>
      </c>
      <c r="L250" s="27">
        <v>79662.12</v>
      </c>
      <c r="M250" t="s">
        <v>11376</v>
      </c>
      <c r="O250" t="s">
        <v>167</v>
      </c>
      <c r="P250" s="27">
        <v>79662.12</v>
      </c>
    </row>
    <row r="251" spans="1:16" ht="15.75" customHeight="1" x14ac:dyDescent="0.2">
      <c r="A251" t="s">
        <v>11641</v>
      </c>
      <c r="B251" t="s">
        <v>163</v>
      </c>
      <c r="C251" s="18">
        <v>44307</v>
      </c>
      <c r="D251" t="s">
        <v>101</v>
      </c>
      <c r="E251">
        <v>2000000</v>
      </c>
      <c r="F251" s="18">
        <v>44619</v>
      </c>
      <c r="G251" s="18">
        <v>44964</v>
      </c>
      <c r="H251">
        <v>2022</v>
      </c>
      <c r="I251" t="s">
        <v>268</v>
      </c>
      <c r="J251" s="27">
        <v>341314.08</v>
      </c>
      <c r="K251" s="27">
        <v>0</v>
      </c>
      <c r="L251" s="27">
        <v>341314.08</v>
      </c>
      <c r="M251" t="s">
        <v>11391</v>
      </c>
      <c r="O251" t="s">
        <v>167</v>
      </c>
      <c r="P251" s="27">
        <v>341314.08</v>
      </c>
    </row>
    <row r="252" spans="1:16" ht="15.75" customHeight="1" x14ac:dyDescent="0.2">
      <c r="A252" t="s">
        <v>11642</v>
      </c>
      <c r="B252" t="s">
        <v>219</v>
      </c>
      <c r="C252" s="18">
        <v>44769</v>
      </c>
      <c r="D252" t="s">
        <v>100</v>
      </c>
      <c r="E252">
        <v>1000000</v>
      </c>
      <c r="F252" s="18">
        <v>44772</v>
      </c>
      <c r="G252" s="18">
        <v>44979</v>
      </c>
      <c r="H252">
        <v>2022</v>
      </c>
      <c r="I252" t="s">
        <v>268</v>
      </c>
      <c r="J252" s="27">
        <v>88866.2</v>
      </c>
      <c r="K252" s="27">
        <v>408092.53</v>
      </c>
      <c r="L252" s="27">
        <v>496958.73</v>
      </c>
      <c r="M252" t="s">
        <v>11429</v>
      </c>
      <c r="O252" t="s">
        <v>167</v>
      </c>
      <c r="P252" s="27">
        <v>496958.73</v>
      </c>
    </row>
    <row r="253" spans="1:16" ht="15.75" customHeight="1" x14ac:dyDescent="0.2">
      <c r="A253" t="s">
        <v>11643</v>
      </c>
      <c r="B253" t="s">
        <v>163</v>
      </c>
      <c r="C253" s="18">
        <v>43885</v>
      </c>
      <c r="D253" t="s">
        <v>100</v>
      </c>
      <c r="E253">
        <v>4000000</v>
      </c>
      <c r="F253" s="18">
        <v>43932</v>
      </c>
      <c r="G253" s="18">
        <v>44980</v>
      </c>
      <c r="H253">
        <v>2020</v>
      </c>
      <c r="I253" t="s">
        <v>268</v>
      </c>
      <c r="J253" s="27">
        <v>105654.38</v>
      </c>
      <c r="K253" s="27">
        <v>0</v>
      </c>
      <c r="L253" s="27">
        <v>105654.38</v>
      </c>
      <c r="M253" t="s">
        <v>11355</v>
      </c>
      <c r="O253" t="s">
        <v>167</v>
      </c>
      <c r="P253" s="27">
        <v>105654.38</v>
      </c>
    </row>
    <row r="254" spans="1:16" ht="15.75" customHeight="1" x14ac:dyDescent="0.2">
      <c r="A254" t="s">
        <v>11644</v>
      </c>
      <c r="B254" t="s">
        <v>163</v>
      </c>
      <c r="C254" s="18">
        <v>44841</v>
      </c>
      <c r="D254" t="s">
        <v>100</v>
      </c>
      <c r="E254">
        <v>10000000</v>
      </c>
      <c r="F254" s="18">
        <v>44926</v>
      </c>
      <c r="G254" s="18">
        <v>44982</v>
      </c>
      <c r="H254">
        <v>2022</v>
      </c>
      <c r="I254" t="s">
        <v>268</v>
      </c>
      <c r="J254" s="27">
        <v>1878063.65</v>
      </c>
      <c r="K254" s="27">
        <v>0</v>
      </c>
      <c r="L254" s="27">
        <v>1878063.65</v>
      </c>
      <c r="M254" t="s">
        <v>11645</v>
      </c>
      <c r="O254" t="s">
        <v>170</v>
      </c>
      <c r="P254" s="27">
        <v>0</v>
      </c>
    </row>
    <row r="255" spans="1:16" ht="15.75" customHeight="1" x14ac:dyDescent="0.2">
      <c r="A255" t="s">
        <v>11646</v>
      </c>
      <c r="B255" t="s">
        <v>163</v>
      </c>
      <c r="C255" s="18">
        <v>44153</v>
      </c>
      <c r="D255" t="s">
        <v>100</v>
      </c>
      <c r="E255">
        <v>10000000</v>
      </c>
      <c r="F255" s="18">
        <v>44254</v>
      </c>
      <c r="G255" s="18">
        <v>44983</v>
      </c>
      <c r="H255">
        <v>2021</v>
      </c>
      <c r="I255" t="s">
        <v>268</v>
      </c>
      <c r="J255" s="27">
        <v>899316.57</v>
      </c>
      <c r="K255" s="27">
        <v>0</v>
      </c>
      <c r="L255" s="27">
        <v>899316.57</v>
      </c>
      <c r="M255" t="s">
        <v>11480</v>
      </c>
      <c r="O255" t="s">
        <v>167</v>
      </c>
      <c r="P255" s="27">
        <v>899316.57</v>
      </c>
    </row>
    <row r="256" spans="1:16" ht="15.75" customHeight="1" x14ac:dyDescent="0.2">
      <c r="A256" t="s">
        <v>11647</v>
      </c>
      <c r="B256" t="s">
        <v>163</v>
      </c>
      <c r="C256" s="18">
        <v>44523</v>
      </c>
      <c r="D256" t="s">
        <v>101</v>
      </c>
      <c r="E256">
        <v>2000000</v>
      </c>
      <c r="F256" s="18">
        <v>44836</v>
      </c>
      <c r="G256" s="18">
        <v>44984</v>
      </c>
      <c r="H256">
        <v>2022</v>
      </c>
      <c r="I256" t="s">
        <v>268</v>
      </c>
      <c r="J256" s="27">
        <v>87923.7</v>
      </c>
      <c r="K256" s="27">
        <v>0</v>
      </c>
      <c r="L256" s="27">
        <v>87923.7</v>
      </c>
      <c r="M256" t="s">
        <v>11493</v>
      </c>
      <c r="O256" t="s">
        <v>167</v>
      </c>
      <c r="P256" s="27">
        <v>87923.7</v>
      </c>
    </row>
    <row r="257" spans="1:16" ht="15.75" customHeight="1" x14ac:dyDescent="0.2">
      <c r="A257" t="s">
        <v>11648</v>
      </c>
      <c r="B257" t="s">
        <v>219</v>
      </c>
      <c r="C257" s="18">
        <v>44851</v>
      </c>
      <c r="D257" t="s">
        <v>98</v>
      </c>
      <c r="E257">
        <v>10000000</v>
      </c>
      <c r="F257" s="18">
        <v>44954</v>
      </c>
      <c r="G257" s="18">
        <v>44986</v>
      </c>
      <c r="H257">
        <v>2023</v>
      </c>
      <c r="I257" t="s">
        <v>268</v>
      </c>
      <c r="J257" s="27">
        <v>90135.77</v>
      </c>
      <c r="K257" s="27">
        <v>32105.55</v>
      </c>
      <c r="L257" s="27">
        <v>122241.32</v>
      </c>
      <c r="M257" t="s">
        <v>11380</v>
      </c>
      <c r="O257" t="s">
        <v>170</v>
      </c>
      <c r="P257" s="27">
        <v>0</v>
      </c>
    </row>
    <row r="258" spans="1:16" ht="15.75" customHeight="1" x14ac:dyDescent="0.2">
      <c r="A258" t="s">
        <v>11649</v>
      </c>
      <c r="B258" t="s">
        <v>163</v>
      </c>
      <c r="C258" s="18">
        <v>44589</v>
      </c>
      <c r="D258" t="s">
        <v>98</v>
      </c>
      <c r="E258">
        <v>2500000</v>
      </c>
      <c r="F258" s="18">
        <v>44877</v>
      </c>
      <c r="G258" s="18">
        <v>44989</v>
      </c>
      <c r="H258">
        <v>2022</v>
      </c>
      <c r="I258" t="s">
        <v>268</v>
      </c>
      <c r="J258" s="27">
        <v>81910.460000000006</v>
      </c>
      <c r="K258" s="27">
        <v>0</v>
      </c>
      <c r="L258" s="27">
        <v>81910.460000000006</v>
      </c>
      <c r="M258" t="s">
        <v>11431</v>
      </c>
      <c r="O258" t="s">
        <v>170</v>
      </c>
      <c r="P258" s="27">
        <v>0</v>
      </c>
    </row>
    <row r="259" spans="1:16" ht="15.75" customHeight="1" x14ac:dyDescent="0.2">
      <c r="A259" t="s">
        <v>11650</v>
      </c>
      <c r="B259" t="s">
        <v>163</v>
      </c>
      <c r="C259" s="18">
        <v>44354</v>
      </c>
      <c r="D259" t="s">
        <v>100</v>
      </c>
      <c r="E259">
        <v>500000</v>
      </c>
      <c r="F259" s="18">
        <v>44614</v>
      </c>
      <c r="G259" s="18">
        <v>44990</v>
      </c>
      <c r="H259">
        <v>2022</v>
      </c>
      <c r="I259" t="s">
        <v>268</v>
      </c>
      <c r="J259" s="27">
        <v>107260.19</v>
      </c>
      <c r="K259" s="27">
        <v>0</v>
      </c>
      <c r="L259" s="27">
        <v>107260.19</v>
      </c>
      <c r="M259" t="s">
        <v>11467</v>
      </c>
      <c r="O259" t="s">
        <v>167</v>
      </c>
      <c r="P259" s="27">
        <v>107260.19</v>
      </c>
    </row>
    <row r="260" spans="1:16" ht="15.75" customHeight="1" x14ac:dyDescent="0.2">
      <c r="A260" t="s">
        <v>11651</v>
      </c>
      <c r="B260" t="s">
        <v>219</v>
      </c>
      <c r="C260" s="18">
        <v>44520</v>
      </c>
      <c r="D260" t="s">
        <v>100</v>
      </c>
      <c r="E260">
        <v>4000000</v>
      </c>
      <c r="F260" s="18">
        <v>44791</v>
      </c>
      <c r="G260" s="18">
        <v>44991</v>
      </c>
      <c r="H260">
        <v>2022</v>
      </c>
      <c r="I260" t="s">
        <v>268</v>
      </c>
      <c r="J260" s="27">
        <v>170241.81</v>
      </c>
      <c r="K260" s="27">
        <v>21158.82</v>
      </c>
      <c r="L260" s="27">
        <v>191400.63</v>
      </c>
      <c r="M260" t="s">
        <v>11526</v>
      </c>
      <c r="O260" t="s">
        <v>167</v>
      </c>
      <c r="P260" s="27">
        <v>191400.63</v>
      </c>
    </row>
    <row r="261" spans="1:16" ht="15.75" customHeight="1" x14ac:dyDescent="0.2">
      <c r="A261" t="s">
        <v>11652</v>
      </c>
      <c r="B261" t="s">
        <v>219</v>
      </c>
      <c r="C261" s="18">
        <v>44533</v>
      </c>
      <c r="D261" t="s">
        <v>98</v>
      </c>
      <c r="E261">
        <v>10000000</v>
      </c>
      <c r="F261" s="18">
        <v>44802</v>
      </c>
      <c r="G261" s="18">
        <v>44994</v>
      </c>
      <c r="H261">
        <v>2022</v>
      </c>
      <c r="I261" t="s">
        <v>268</v>
      </c>
      <c r="J261" s="27">
        <v>170872.44</v>
      </c>
      <c r="K261" s="27">
        <v>64204.39</v>
      </c>
      <c r="L261" s="27">
        <v>235076.83</v>
      </c>
      <c r="M261" t="s">
        <v>11444</v>
      </c>
      <c r="O261" t="s">
        <v>170</v>
      </c>
      <c r="P261" s="27">
        <v>0</v>
      </c>
    </row>
    <row r="262" spans="1:16" ht="15.75" customHeight="1" x14ac:dyDescent="0.2">
      <c r="A262" t="s">
        <v>11653</v>
      </c>
      <c r="B262" t="s">
        <v>219</v>
      </c>
      <c r="C262" s="18">
        <v>44768</v>
      </c>
      <c r="D262" t="s">
        <v>100</v>
      </c>
      <c r="E262">
        <v>2000000</v>
      </c>
      <c r="F262" s="18">
        <v>44884</v>
      </c>
      <c r="G262" s="18">
        <v>44997</v>
      </c>
      <c r="H262">
        <v>2022</v>
      </c>
      <c r="I262" t="s">
        <v>268</v>
      </c>
      <c r="J262" s="27">
        <v>411914.81</v>
      </c>
      <c r="K262" s="27">
        <v>7332.75</v>
      </c>
      <c r="L262" s="27">
        <v>419247.56</v>
      </c>
      <c r="M262" t="s">
        <v>11482</v>
      </c>
      <c r="O262" t="s">
        <v>170</v>
      </c>
      <c r="P262" s="27">
        <v>0</v>
      </c>
    </row>
    <row r="263" spans="1:16" ht="15.75" customHeight="1" x14ac:dyDescent="0.2">
      <c r="A263" t="s">
        <v>11654</v>
      </c>
      <c r="B263" t="s">
        <v>163</v>
      </c>
      <c r="C263" s="18">
        <v>44610</v>
      </c>
      <c r="D263" t="s">
        <v>101</v>
      </c>
      <c r="E263">
        <v>1000000</v>
      </c>
      <c r="F263" s="18">
        <v>44939</v>
      </c>
      <c r="G263" s="18">
        <v>44997</v>
      </c>
      <c r="H263">
        <v>2023</v>
      </c>
      <c r="I263" t="s">
        <v>268</v>
      </c>
      <c r="J263" s="27">
        <v>112209.09</v>
      </c>
      <c r="K263" s="27">
        <v>0</v>
      </c>
      <c r="L263" s="27">
        <v>112209.09</v>
      </c>
      <c r="M263" t="s">
        <v>11355</v>
      </c>
      <c r="O263" t="s">
        <v>167</v>
      </c>
      <c r="P263" s="27">
        <v>112209.09</v>
      </c>
    </row>
    <row r="264" spans="1:16" ht="15.75" customHeight="1" x14ac:dyDescent="0.2">
      <c r="A264" t="s">
        <v>11655</v>
      </c>
      <c r="B264" t="s">
        <v>163</v>
      </c>
      <c r="C264" s="18">
        <v>44725</v>
      </c>
      <c r="D264" t="s">
        <v>101</v>
      </c>
      <c r="E264">
        <v>4000000</v>
      </c>
      <c r="F264" s="18">
        <v>44958</v>
      </c>
      <c r="G264" s="18">
        <v>45000</v>
      </c>
      <c r="H264">
        <v>2023</v>
      </c>
      <c r="I264" t="s">
        <v>268</v>
      </c>
      <c r="J264" s="27">
        <v>216643.06</v>
      </c>
      <c r="K264" s="27">
        <v>0</v>
      </c>
      <c r="L264" s="27">
        <v>216643.06</v>
      </c>
      <c r="M264" t="s">
        <v>11372</v>
      </c>
      <c r="O264" t="s">
        <v>167</v>
      </c>
      <c r="P264" s="27">
        <v>216643.06</v>
      </c>
    </row>
    <row r="265" spans="1:16" ht="15.75" customHeight="1" x14ac:dyDescent="0.2">
      <c r="A265" t="s">
        <v>11656</v>
      </c>
      <c r="B265" t="s">
        <v>219</v>
      </c>
      <c r="C265" s="18">
        <v>44745</v>
      </c>
      <c r="D265" t="s">
        <v>98</v>
      </c>
      <c r="E265">
        <v>5000000</v>
      </c>
      <c r="F265" s="18">
        <v>44928</v>
      </c>
      <c r="G265" s="18">
        <v>45001</v>
      </c>
      <c r="H265">
        <v>2023</v>
      </c>
      <c r="I265" t="s">
        <v>268</v>
      </c>
      <c r="J265" s="27">
        <v>207658.92</v>
      </c>
      <c r="K265" s="27">
        <v>42247.55</v>
      </c>
      <c r="L265" s="27">
        <v>249906.47</v>
      </c>
      <c r="M265" t="s">
        <v>11577</v>
      </c>
      <c r="O265" t="s">
        <v>170</v>
      </c>
      <c r="P265" s="27">
        <v>0</v>
      </c>
    </row>
    <row r="266" spans="1:16" ht="15.75" customHeight="1" x14ac:dyDescent="0.2">
      <c r="A266" t="s">
        <v>11657</v>
      </c>
      <c r="B266" t="s">
        <v>163</v>
      </c>
      <c r="C266" s="18">
        <v>44515</v>
      </c>
      <c r="D266" t="s">
        <v>100</v>
      </c>
      <c r="E266">
        <v>10000000</v>
      </c>
      <c r="F266" s="18">
        <v>44876</v>
      </c>
      <c r="G266" s="18">
        <v>45002</v>
      </c>
      <c r="H266">
        <v>2022</v>
      </c>
      <c r="I266" t="s">
        <v>268</v>
      </c>
      <c r="J266" s="27">
        <v>66842.47</v>
      </c>
      <c r="K266" s="27">
        <v>0</v>
      </c>
      <c r="L266" s="27">
        <v>66842.47</v>
      </c>
      <c r="M266" t="s">
        <v>11368</v>
      </c>
      <c r="O266" t="s">
        <v>167</v>
      </c>
      <c r="P266" s="27">
        <v>66842.47</v>
      </c>
    </row>
    <row r="267" spans="1:16" ht="15.75" customHeight="1" x14ac:dyDescent="0.2">
      <c r="A267" t="s">
        <v>11658</v>
      </c>
      <c r="B267" t="s">
        <v>163</v>
      </c>
      <c r="C267" s="18">
        <v>44636</v>
      </c>
      <c r="D267" t="s">
        <v>102</v>
      </c>
      <c r="E267">
        <v>4000000</v>
      </c>
      <c r="F267" s="18">
        <v>44762</v>
      </c>
      <c r="G267" s="18">
        <v>45004</v>
      </c>
      <c r="H267">
        <v>2022</v>
      </c>
      <c r="I267" t="s">
        <v>268</v>
      </c>
      <c r="J267" s="27">
        <v>182767.08</v>
      </c>
      <c r="K267" s="27">
        <v>0</v>
      </c>
      <c r="L267" s="27">
        <v>182767.08</v>
      </c>
      <c r="M267" t="s">
        <v>11343</v>
      </c>
      <c r="O267" t="s">
        <v>167</v>
      </c>
      <c r="P267" s="27">
        <v>182767.08</v>
      </c>
    </row>
    <row r="268" spans="1:16" ht="15.75" customHeight="1" x14ac:dyDescent="0.2">
      <c r="A268" t="s">
        <v>11659</v>
      </c>
      <c r="B268" t="s">
        <v>163</v>
      </c>
      <c r="C268" s="18">
        <v>44590</v>
      </c>
      <c r="D268" t="s">
        <v>98</v>
      </c>
      <c r="E268">
        <v>1000000</v>
      </c>
      <c r="F268" s="18">
        <v>44885</v>
      </c>
      <c r="G268" s="18">
        <v>45005</v>
      </c>
      <c r="H268">
        <v>2022</v>
      </c>
      <c r="I268" t="s">
        <v>268</v>
      </c>
      <c r="J268" s="27">
        <v>118760.42</v>
      </c>
      <c r="K268" s="27">
        <v>0</v>
      </c>
      <c r="L268" s="27">
        <v>118760.42</v>
      </c>
      <c r="M268" t="s">
        <v>11347</v>
      </c>
      <c r="O268" t="s">
        <v>170</v>
      </c>
      <c r="P268" s="27">
        <v>0</v>
      </c>
    </row>
    <row r="269" spans="1:16" ht="15.75" customHeight="1" x14ac:dyDescent="0.2">
      <c r="A269" t="s">
        <v>11660</v>
      </c>
      <c r="B269" t="s">
        <v>163</v>
      </c>
      <c r="C269" s="18">
        <v>44666</v>
      </c>
      <c r="D269" t="s">
        <v>98</v>
      </c>
      <c r="E269">
        <v>2000000</v>
      </c>
      <c r="F269" s="18">
        <v>44948</v>
      </c>
      <c r="G269" s="18">
        <v>45006</v>
      </c>
      <c r="H269">
        <v>2023</v>
      </c>
      <c r="I269" t="s">
        <v>268</v>
      </c>
      <c r="J269" s="27">
        <v>362401.14</v>
      </c>
      <c r="K269" s="27">
        <v>0</v>
      </c>
      <c r="L269" s="27">
        <v>362401.14</v>
      </c>
      <c r="M269" t="s">
        <v>11482</v>
      </c>
      <c r="O269" t="s">
        <v>170</v>
      </c>
      <c r="P269" s="27">
        <v>0</v>
      </c>
    </row>
    <row r="270" spans="1:16" ht="15.75" customHeight="1" x14ac:dyDescent="0.2">
      <c r="A270" t="s">
        <v>11661</v>
      </c>
      <c r="B270" t="s">
        <v>163</v>
      </c>
      <c r="C270" s="18">
        <v>44477</v>
      </c>
      <c r="D270" t="s">
        <v>101</v>
      </c>
      <c r="E270">
        <v>2000000</v>
      </c>
      <c r="F270" s="18">
        <v>44814</v>
      </c>
      <c r="G270" s="18">
        <v>45007</v>
      </c>
      <c r="H270">
        <v>2022</v>
      </c>
      <c r="I270" t="s">
        <v>268</v>
      </c>
      <c r="J270" s="27">
        <v>166672.19</v>
      </c>
      <c r="K270" s="27">
        <v>0</v>
      </c>
      <c r="L270" s="27">
        <v>166672.19</v>
      </c>
      <c r="M270" t="s">
        <v>11594</v>
      </c>
      <c r="O270" t="s">
        <v>167</v>
      </c>
      <c r="P270" s="27">
        <v>166672.19</v>
      </c>
    </row>
    <row r="271" spans="1:16" ht="15.75" customHeight="1" x14ac:dyDescent="0.2">
      <c r="A271" t="s">
        <v>11662</v>
      </c>
      <c r="B271" t="s">
        <v>163</v>
      </c>
      <c r="C271" s="18">
        <v>44543</v>
      </c>
      <c r="D271" t="s">
        <v>102</v>
      </c>
      <c r="E271">
        <v>5000000</v>
      </c>
      <c r="F271" s="18">
        <v>44813</v>
      </c>
      <c r="G271" s="18">
        <v>45009</v>
      </c>
      <c r="H271">
        <v>2022</v>
      </c>
      <c r="I271" t="s">
        <v>268</v>
      </c>
      <c r="J271" s="27">
        <v>68648.759999999995</v>
      </c>
      <c r="K271" s="27">
        <v>0</v>
      </c>
      <c r="L271" s="27">
        <v>68648.759999999995</v>
      </c>
      <c r="M271" t="s">
        <v>11368</v>
      </c>
      <c r="O271" t="s">
        <v>167</v>
      </c>
      <c r="P271" s="27">
        <v>68648.759999999995</v>
      </c>
    </row>
    <row r="272" spans="1:16" ht="15.75" customHeight="1" x14ac:dyDescent="0.2">
      <c r="A272" t="s">
        <v>11663</v>
      </c>
      <c r="B272" t="s">
        <v>163</v>
      </c>
      <c r="C272" s="18">
        <v>44760</v>
      </c>
      <c r="D272" t="s">
        <v>100</v>
      </c>
      <c r="E272">
        <v>4500000</v>
      </c>
      <c r="F272" s="18">
        <v>44936</v>
      </c>
      <c r="G272" s="18">
        <v>45011</v>
      </c>
      <c r="H272">
        <v>2023</v>
      </c>
      <c r="I272" t="s">
        <v>268</v>
      </c>
      <c r="J272" s="27">
        <v>528867.98</v>
      </c>
      <c r="K272" s="27">
        <v>0</v>
      </c>
      <c r="L272" s="27">
        <v>528867.98</v>
      </c>
      <c r="M272" t="s">
        <v>11420</v>
      </c>
      <c r="O272" t="s">
        <v>167</v>
      </c>
      <c r="P272" s="27">
        <v>528867.98</v>
      </c>
    </row>
    <row r="273" spans="1:16" ht="15.75" customHeight="1" x14ac:dyDescent="0.2">
      <c r="A273" t="s">
        <v>11664</v>
      </c>
      <c r="B273" t="s">
        <v>163</v>
      </c>
      <c r="C273" s="18">
        <v>44929</v>
      </c>
      <c r="D273" t="s">
        <v>102</v>
      </c>
      <c r="E273">
        <v>500000</v>
      </c>
      <c r="F273" s="18">
        <v>44990</v>
      </c>
      <c r="G273" s="18">
        <v>45012</v>
      </c>
      <c r="H273">
        <v>2023</v>
      </c>
      <c r="I273" t="s">
        <v>268</v>
      </c>
      <c r="J273" s="27">
        <v>118544.3</v>
      </c>
      <c r="K273" s="27">
        <v>0</v>
      </c>
      <c r="L273" s="27">
        <v>118544.3</v>
      </c>
      <c r="M273" t="s">
        <v>11351</v>
      </c>
      <c r="O273" t="s">
        <v>167</v>
      </c>
      <c r="P273" s="27">
        <v>118544.3</v>
      </c>
    </row>
    <row r="274" spans="1:16" ht="15.75" customHeight="1" x14ac:dyDescent="0.2">
      <c r="A274" t="s">
        <v>11665</v>
      </c>
      <c r="B274" t="s">
        <v>163</v>
      </c>
      <c r="C274" s="18">
        <v>44407</v>
      </c>
      <c r="D274" t="s">
        <v>98</v>
      </c>
      <c r="E274">
        <v>4000000</v>
      </c>
      <c r="F274" s="18">
        <v>44575</v>
      </c>
      <c r="G274" s="18">
        <v>45018</v>
      </c>
      <c r="H274">
        <v>2022</v>
      </c>
      <c r="I274" t="s">
        <v>268</v>
      </c>
      <c r="J274" s="27">
        <v>93057.18</v>
      </c>
      <c r="K274" s="27">
        <v>0</v>
      </c>
      <c r="L274" s="27">
        <v>93057.18</v>
      </c>
      <c r="M274" t="s">
        <v>11508</v>
      </c>
      <c r="O274" t="s">
        <v>170</v>
      </c>
      <c r="P274" s="27">
        <v>0</v>
      </c>
    </row>
    <row r="275" spans="1:16" ht="15.75" customHeight="1" x14ac:dyDescent="0.2">
      <c r="A275" t="s">
        <v>11666</v>
      </c>
      <c r="B275" t="s">
        <v>163</v>
      </c>
      <c r="C275" s="18">
        <v>44780</v>
      </c>
      <c r="D275" t="s">
        <v>98</v>
      </c>
      <c r="E275">
        <v>1500000</v>
      </c>
      <c r="F275" s="18">
        <v>44946</v>
      </c>
      <c r="G275" s="18">
        <v>45018</v>
      </c>
      <c r="H275">
        <v>2023</v>
      </c>
      <c r="I275" t="s">
        <v>268</v>
      </c>
      <c r="J275" s="27">
        <v>313946.15999999997</v>
      </c>
      <c r="K275" s="27">
        <v>0</v>
      </c>
      <c r="L275" s="27">
        <v>313946.15999999997</v>
      </c>
      <c r="M275" t="s">
        <v>11411</v>
      </c>
      <c r="O275" t="s">
        <v>170</v>
      </c>
      <c r="P275" s="27">
        <v>0</v>
      </c>
    </row>
    <row r="276" spans="1:16" ht="15.75" customHeight="1" x14ac:dyDescent="0.2">
      <c r="A276" t="s">
        <v>11667</v>
      </c>
      <c r="B276" t="s">
        <v>163</v>
      </c>
      <c r="C276" s="18">
        <v>44692</v>
      </c>
      <c r="D276" t="s">
        <v>101</v>
      </c>
      <c r="E276">
        <v>4500000</v>
      </c>
      <c r="F276" s="18">
        <v>44978</v>
      </c>
      <c r="G276" s="18">
        <v>45018</v>
      </c>
      <c r="H276">
        <v>2023</v>
      </c>
      <c r="I276" t="s">
        <v>268</v>
      </c>
      <c r="J276" s="27">
        <v>77038.98</v>
      </c>
      <c r="K276" s="27">
        <v>0</v>
      </c>
      <c r="L276" s="27">
        <v>77038.98</v>
      </c>
      <c r="M276" t="s">
        <v>11434</v>
      </c>
      <c r="O276" t="s">
        <v>167</v>
      </c>
      <c r="P276" s="27">
        <v>77038.98</v>
      </c>
    </row>
    <row r="277" spans="1:16" ht="15.75" customHeight="1" x14ac:dyDescent="0.2">
      <c r="A277" t="s">
        <v>11668</v>
      </c>
      <c r="B277" t="s">
        <v>163</v>
      </c>
      <c r="C277" s="18">
        <v>44469</v>
      </c>
      <c r="D277" t="s">
        <v>98</v>
      </c>
      <c r="E277">
        <v>4000000</v>
      </c>
      <c r="F277" s="18">
        <v>44682</v>
      </c>
      <c r="G277" s="18">
        <v>45023</v>
      </c>
      <c r="H277">
        <v>2022</v>
      </c>
      <c r="I277" t="s">
        <v>268</v>
      </c>
      <c r="J277" s="27">
        <v>1106223.8799999999</v>
      </c>
      <c r="K277" s="27">
        <v>0</v>
      </c>
      <c r="L277" s="27">
        <v>1106223.8799999999</v>
      </c>
      <c r="M277" t="s">
        <v>11473</v>
      </c>
      <c r="O277" t="s">
        <v>170</v>
      </c>
      <c r="P277" s="27">
        <v>0</v>
      </c>
    </row>
    <row r="278" spans="1:16" ht="15.75" customHeight="1" x14ac:dyDescent="0.2">
      <c r="A278" t="s">
        <v>11669</v>
      </c>
      <c r="B278" t="s">
        <v>163</v>
      </c>
      <c r="C278" s="18">
        <v>44754</v>
      </c>
      <c r="D278" t="s">
        <v>98</v>
      </c>
      <c r="E278">
        <v>5000000</v>
      </c>
      <c r="F278" s="18">
        <v>44981</v>
      </c>
      <c r="G278" s="18">
        <v>45024</v>
      </c>
      <c r="H278">
        <v>2023</v>
      </c>
      <c r="I278" t="s">
        <v>268</v>
      </c>
      <c r="J278" s="27">
        <v>187588.11</v>
      </c>
      <c r="K278" s="27">
        <v>0</v>
      </c>
      <c r="L278" s="27">
        <v>187588.11</v>
      </c>
      <c r="M278" t="s">
        <v>11477</v>
      </c>
      <c r="O278" t="s">
        <v>170</v>
      </c>
      <c r="P278" s="27">
        <v>0</v>
      </c>
    </row>
    <row r="279" spans="1:16" ht="15.75" customHeight="1" x14ac:dyDescent="0.2">
      <c r="A279" t="s">
        <v>11670</v>
      </c>
      <c r="B279" t="s">
        <v>163</v>
      </c>
      <c r="C279" s="18">
        <v>44676</v>
      </c>
      <c r="D279" t="s">
        <v>101</v>
      </c>
      <c r="E279">
        <v>1000000</v>
      </c>
      <c r="F279" s="18">
        <v>44991</v>
      </c>
      <c r="G279" s="18">
        <v>45032</v>
      </c>
      <c r="H279">
        <v>2023</v>
      </c>
      <c r="I279" t="s">
        <v>268</v>
      </c>
      <c r="J279" s="27">
        <v>99336.01</v>
      </c>
      <c r="K279" s="27">
        <v>0</v>
      </c>
      <c r="L279" s="27">
        <v>99336.01</v>
      </c>
      <c r="M279" t="s">
        <v>11459</v>
      </c>
      <c r="O279" t="s">
        <v>167</v>
      </c>
      <c r="P279" s="27">
        <v>99336.01</v>
      </c>
    </row>
    <row r="280" spans="1:16" ht="15.75" customHeight="1" x14ac:dyDescent="0.2">
      <c r="A280" t="s">
        <v>11671</v>
      </c>
      <c r="B280" t="s">
        <v>163</v>
      </c>
      <c r="C280" s="18">
        <v>44563</v>
      </c>
      <c r="D280" t="s">
        <v>101</v>
      </c>
      <c r="E280">
        <v>2500000</v>
      </c>
      <c r="F280" s="18">
        <v>44863</v>
      </c>
      <c r="G280" s="18">
        <v>45034</v>
      </c>
      <c r="H280">
        <v>2022</v>
      </c>
      <c r="I280" t="s">
        <v>268</v>
      </c>
      <c r="J280" s="27">
        <v>111342.83</v>
      </c>
      <c r="K280" s="27">
        <v>0</v>
      </c>
      <c r="L280" s="27">
        <v>111342.83</v>
      </c>
      <c r="M280" t="s">
        <v>11347</v>
      </c>
      <c r="O280" t="s">
        <v>167</v>
      </c>
      <c r="P280" s="27">
        <v>111342.83</v>
      </c>
    </row>
    <row r="281" spans="1:16" ht="15.75" customHeight="1" x14ac:dyDescent="0.2">
      <c r="A281" t="s">
        <v>11672</v>
      </c>
      <c r="B281" t="s">
        <v>219</v>
      </c>
      <c r="C281" s="18">
        <v>44792</v>
      </c>
      <c r="D281" t="s">
        <v>100</v>
      </c>
      <c r="E281">
        <v>4000000</v>
      </c>
      <c r="F281" s="18">
        <v>44989</v>
      </c>
      <c r="G281" s="18">
        <v>45041</v>
      </c>
      <c r="H281">
        <v>2023</v>
      </c>
      <c r="I281" t="s">
        <v>268</v>
      </c>
      <c r="J281" s="27">
        <v>274264.89</v>
      </c>
      <c r="K281" s="27">
        <v>80982.52</v>
      </c>
      <c r="L281" s="27">
        <v>355247.41</v>
      </c>
      <c r="M281" t="s">
        <v>11511</v>
      </c>
      <c r="O281" t="s">
        <v>167</v>
      </c>
      <c r="P281" s="27">
        <v>355247.41</v>
      </c>
    </row>
    <row r="282" spans="1:16" ht="15.75" customHeight="1" x14ac:dyDescent="0.2">
      <c r="A282" t="s">
        <v>11673</v>
      </c>
      <c r="B282" t="s">
        <v>219</v>
      </c>
      <c r="C282" s="18">
        <v>44611</v>
      </c>
      <c r="D282" t="s">
        <v>99</v>
      </c>
      <c r="E282">
        <v>2500000</v>
      </c>
      <c r="F282" s="18">
        <v>44851</v>
      </c>
      <c r="G282" s="18">
        <v>45045</v>
      </c>
      <c r="H282">
        <v>2022</v>
      </c>
      <c r="I282" t="s">
        <v>268</v>
      </c>
      <c r="J282" s="27">
        <v>182099.95</v>
      </c>
      <c r="K282" s="27">
        <v>11365.53</v>
      </c>
      <c r="L282" s="27">
        <v>193465.48</v>
      </c>
      <c r="M282" t="s">
        <v>11477</v>
      </c>
      <c r="O282" t="s">
        <v>167</v>
      </c>
      <c r="P282" s="27">
        <v>193465.48</v>
      </c>
    </row>
    <row r="283" spans="1:16" ht="15.75" customHeight="1" x14ac:dyDescent="0.2">
      <c r="A283" t="s">
        <v>11674</v>
      </c>
      <c r="B283" t="s">
        <v>163</v>
      </c>
      <c r="C283" s="18">
        <v>44384</v>
      </c>
      <c r="D283" t="s">
        <v>102</v>
      </c>
      <c r="E283">
        <v>5000000</v>
      </c>
      <c r="F283" s="18">
        <v>44636</v>
      </c>
      <c r="G283" s="18">
        <v>45046</v>
      </c>
      <c r="H283">
        <v>2022</v>
      </c>
      <c r="I283" t="s">
        <v>268</v>
      </c>
      <c r="J283" s="27">
        <v>514049.31</v>
      </c>
      <c r="K283" s="27">
        <v>0</v>
      </c>
      <c r="L283" s="27">
        <v>514049.31</v>
      </c>
      <c r="M283" t="s">
        <v>11424</v>
      </c>
      <c r="O283" t="s">
        <v>167</v>
      </c>
      <c r="P283" s="27">
        <v>514049.31</v>
      </c>
    </row>
    <row r="284" spans="1:16" ht="15.75" customHeight="1" x14ac:dyDescent="0.2">
      <c r="A284" t="s">
        <v>11675</v>
      </c>
      <c r="B284" t="s">
        <v>163</v>
      </c>
      <c r="C284" s="18">
        <v>44689</v>
      </c>
      <c r="D284" t="s">
        <v>102</v>
      </c>
      <c r="E284">
        <v>10000000</v>
      </c>
      <c r="F284" s="18">
        <v>44994</v>
      </c>
      <c r="G284" s="18">
        <v>45056</v>
      </c>
      <c r="H284">
        <v>2023</v>
      </c>
      <c r="I284" t="s">
        <v>268</v>
      </c>
      <c r="J284" s="27">
        <v>431822.59</v>
      </c>
      <c r="K284" s="27">
        <v>0</v>
      </c>
      <c r="L284" s="27">
        <v>431822.59</v>
      </c>
      <c r="M284" t="s">
        <v>11511</v>
      </c>
      <c r="O284" t="s">
        <v>167</v>
      </c>
      <c r="P284" s="27">
        <v>431822.59</v>
      </c>
    </row>
    <row r="285" spans="1:16" ht="15.75" customHeight="1" x14ac:dyDescent="0.2">
      <c r="A285" t="s">
        <v>11676</v>
      </c>
      <c r="B285" t="s">
        <v>163</v>
      </c>
      <c r="C285" s="18">
        <v>44630</v>
      </c>
      <c r="D285" t="s">
        <v>100</v>
      </c>
      <c r="E285">
        <v>10000000</v>
      </c>
      <c r="F285" s="18">
        <v>44705</v>
      </c>
      <c r="G285" s="18">
        <v>45058</v>
      </c>
      <c r="H285">
        <v>2022</v>
      </c>
      <c r="I285" t="s">
        <v>268</v>
      </c>
      <c r="J285" s="27">
        <v>196699.62</v>
      </c>
      <c r="K285" s="27">
        <v>0</v>
      </c>
      <c r="L285" s="27">
        <v>196699.62</v>
      </c>
      <c r="M285" t="s">
        <v>11374</v>
      </c>
      <c r="O285" t="s">
        <v>170</v>
      </c>
      <c r="P285" s="27">
        <v>0</v>
      </c>
    </row>
    <row r="286" spans="1:16" ht="15.75" customHeight="1" x14ac:dyDescent="0.2">
      <c r="A286" t="s">
        <v>11677</v>
      </c>
      <c r="B286" t="s">
        <v>163</v>
      </c>
      <c r="C286" s="18">
        <v>44767</v>
      </c>
      <c r="D286" t="s">
        <v>102</v>
      </c>
      <c r="E286">
        <v>5000000</v>
      </c>
      <c r="F286" s="18">
        <v>44967</v>
      </c>
      <c r="G286" s="18">
        <v>45062</v>
      </c>
      <c r="H286">
        <v>2023</v>
      </c>
      <c r="I286" t="s">
        <v>268</v>
      </c>
      <c r="J286" s="27">
        <v>297955.61</v>
      </c>
      <c r="K286" s="27">
        <v>0</v>
      </c>
      <c r="L286" s="27">
        <v>297955.61</v>
      </c>
      <c r="M286" t="s">
        <v>11422</v>
      </c>
      <c r="O286" t="s">
        <v>167</v>
      </c>
      <c r="P286" s="27">
        <v>297955.61</v>
      </c>
    </row>
    <row r="287" spans="1:16" ht="15.75" customHeight="1" x14ac:dyDescent="0.2">
      <c r="A287" t="s">
        <v>11678</v>
      </c>
      <c r="B287" t="s">
        <v>163</v>
      </c>
      <c r="C287" s="18">
        <v>44676</v>
      </c>
      <c r="D287" t="s">
        <v>101</v>
      </c>
      <c r="E287">
        <v>4000000</v>
      </c>
      <c r="F287" s="18">
        <v>45004</v>
      </c>
      <c r="G287" s="18">
        <v>45062</v>
      </c>
      <c r="H287">
        <v>2023</v>
      </c>
      <c r="I287" t="s">
        <v>268</v>
      </c>
      <c r="J287" s="27">
        <v>211615.67</v>
      </c>
      <c r="K287" s="27">
        <v>0</v>
      </c>
      <c r="L287" s="27">
        <v>211615.67</v>
      </c>
      <c r="M287" t="s">
        <v>11444</v>
      </c>
      <c r="O287" t="s">
        <v>167</v>
      </c>
      <c r="P287" s="27">
        <v>211615.67</v>
      </c>
    </row>
    <row r="288" spans="1:16" ht="15.75" customHeight="1" x14ac:dyDescent="0.2">
      <c r="A288" t="s">
        <v>11679</v>
      </c>
      <c r="B288" t="s">
        <v>163</v>
      </c>
      <c r="C288" s="18">
        <v>44829</v>
      </c>
      <c r="D288" t="s">
        <v>98</v>
      </c>
      <c r="E288">
        <v>5000000</v>
      </c>
      <c r="F288" s="18">
        <v>44922</v>
      </c>
      <c r="G288" s="18">
        <v>45066</v>
      </c>
      <c r="H288">
        <v>2022</v>
      </c>
      <c r="I288" t="s">
        <v>268</v>
      </c>
      <c r="J288" s="27">
        <v>243684.26</v>
      </c>
      <c r="K288" s="27">
        <v>0</v>
      </c>
      <c r="L288" s="27">
        <v>243684.26</v>
      </c>
      <c r="M288" t="s">
        <v>11451</v>
      </c>
      <c r="O288" t="s">
        <v>170</v>
      </c>
      <c r="P288" s="27">
        <v>0</v>
      </c>
    </row>
    <row r="289" spans="1:16" ht="15.75" customHeight="1" x14ac:dyDescent="0.2">
      <c r="A289" t="s">
        <v>11680</v>
      </c>
      <c r="B289" t="s">
        <v>219</v>
      </c>
      <c r="C289" s="18">
        <v>44996</v>
      </c>
      <c r="D289" t="s">
        <v>101</v>
      </c>
      <c r="E289">
        <v>4500000</v>
      </c>
      <c r="F289" s="18">
        <v>45022</v>
      </c>
      <c r="G289" s="18">
        <v>45069</v>
      </c>
      <c r="H289">
        <v>2023</v>
      </c>
      <c r="I289" t="s">
        <v>268</v>
      </c>
      <c r="J289" s="27">
        <v>221846.39999999999</v>
      </c>
      <c r="K289" s="27">
        <v>12840.37</v>
      </c>
      <c r="L289" s="27">
        <v>234686.77</v>
      </c>
      <c r="M289" t="s">
        <v>11372</v>
      </c>
      <c r="O289" t="s">
        <v>167</v>
      </c>
      <c r="P289" s="27">
        <v>234686.77</v>
      </c>
    </row>
    <row r="290" spans="1:16" ht="15.75" customHeight="1" x14ac:dyDescent="0.2">
      <c r="A290" t="s">
        <v>11681</v>
      </c>
      <c r="B290" t="s">
        <v>163</v>
      </c>
      <c r="C290" s="18">
        <v>44702</v>
      </c>
      <c r="D290" t="s">
        <v>101</v>
      </c>
      <c r="E290">
        <v>1000000</v>
      </c>
      <c r="F290" s="18">
        <v>44927</v>
      </c>
      <c r="G290" s="18">
        <v>45073</v>
      </c>
      <c r="H290">
        <v>2023</v>
      </c>
      <c r="I290" t="s">
        <v>268</v>
      </c>
      <c r="J290" s="27">
        <v>343120.11</v>
      </c>
      <c r="K290" s="27">
        <v>0</v>
      </c>
      <c r="L290" s="27">
        <v>343120.11</v>
      </c>
      <c r="M290" t="s">
        <v>11391</v>
      </c>
      <c r="O290" t="s">
        <v>167</v>
      </c>
      <c r="P290" s="27">
        <v>343120.11</v>
      </c>
    </row>
    <row r="291" spans="1:16" ht="15.75" customHeight="1" x14ac:dyDescent="0.2">
      <c r="A291" t="s">
        <v>11682</v>
      </c>
      <c r="B291" t="s">
        <v>163</v>
      </c>
      <c r="C291" s="18">
        <v>44852</v>
      </c>
      <c r="D291" t="s">
        <v>102</v>
      </c>
      <c r="E291">
        <v>5000000</v>
      </c>
      <c r="F291" s="18">
        <v>44903</v>
      </c>
      <c r="G291" s="18">
        <v>45073</v>
      </c>
      <c r="H291">
        <v>2022</v>
      </c>
      <c r="I291" t="s">
        <v>268</v>
      </c>
      <c r="J291" s="27">
        <v>123357.11</v>
      </c>
      <c r="K291" s="27">
        <v>0</v>
      </c>
      <c r="L291" s="27">
        <v>123357.11</v>
      </c>
      <c r="M291" t="s">
        <v>11397</v>
      </c>
      <c r="O291" t="s">
        <v>167</v>
      </c>
      <c r="P291" s="27">
        <v>123357.11</v>
      </c>
    </row>
    <row r="292" spans="1:16" ht="15.75" customHeight="1" x14ac:dyDescent="0.2">
      <c r="A292" t="s">
        <v>11683</v>
      </c>
      <c r="B292" t="s">
        <v>163</v>
      </c>
      <c r="C292" s="18">
        <v>44911</v>
      </c>
      <c r="D292" t="s">
        <v>99</v>
      </c>
      <c r="E292">
        <v>5000000</v>
      </c>
      <c r="F292" s="18">
        <v>44946</v>
      </c>
      <c r="G292" s="18">
        <v>45076</v>
      </c>
      <c r="H292">
        <v>2023</v>
      </c>
      <c r="I292" t="s">
        <v>268</v>
      </c>
      <c r="J292" s="27">
        <v>72303.649999999994</v>
      </c>
      <c r="K292" s="27">
        <v>0</v>
      </c>
      <c r="L292" s="27">
        <v>72303.649999999994</v>
      </c>
      <c r="M292" t="s">
        <v>11376</v>
      </c>
      <c r="O292" t="s">
        <v>167</v>
      </c>
      <c r="P292" s="27">
        <v>72303.649999999994</v>
      </c>
    </row>
    <row r="293" spans="1:16" ht="15.75" customHeight="1" x14ac:dyDescent="0.2">
      <c r="A293" t="s">
        <v>11684</v>
      </c>
      <c r="B293" t="s">
        <v>163</v>
      </c>
      <c r="C293" s="18">
        <v>44725</v>
      </c>
      <c r="D293" t="s">
        <v>99</v>
      </c>
      <c r="E293">
        <v>4500000</v>
      </c>
      <c r="F293" s="18">
        <v>45019</v>
      </c>
      <c r="G293" s="18">
        <v>45081</v>
      </c>
      <c r="H293">
        <v>2023</v>
      </c>
      <c r="I293" t="s">
        <v>268</v>
      </c>
      <c r="J293" s="27">
        <v>377706.34</v>
      </c>
      <c r="K293" s="27">
        <v>0</v>
      </c>
      <c r="L293" s="27">
        <v>377706.34</v>
      </c>
      <c r="M293" t="s">
        <v>11391</v>
      </c>
      <c r="O293" t="s">
        <v>170</v>
      </c>
      <c r="P293" s="27">
        <v>0</v>
      </c>
    </row>
    <row r="294" spans="1:16" ht="15.75" customHeight="1" x14ac:dyDescent="0.2">
      <c r="A294" t="s">
        <v>11685</v>
      </c>
      <c r="B294" t="s">
        <v>163</v>
      </c>
      <c r="C294" s="18">
        <v>44642</v>
      </c>
      <c r="D294" t="s">
        <v>98</v>
      </c>
      <c r="E294">
        <v>500000</v>
      </c>
      <c r="F294" s="18">
        <v>44989</v>
      </c>
      <c r="G294" s="18">
        <v>45085</v>
      </c>
      <c r="H294">
        <v>2023</v>
      </c>
      <c r="I294" t="s">
        <v>268</v>
      </c>
      <c r="J294" s="27">
        <v>66635.429999999993</v>
      </c>
      <c r="K294" s="27">
        <v>0</v>
      </c>
      <c r="L294" s="27">
        <v>66635.429999999993</v>
      </c>
      <c r="M294" t="s">
        <v>11434</v>
      </c>
      <c r="O294" t="s">
        <v>170</v>
      </c>
      <c r="P294" s="27">
        <v>0</v>
      </c>
    </row>
    <row r="295" spans="1:16" ht="15.75" customHeight="1" x14ac:dyDescent="0.2">
      <c r="A295" t="s">
        <v>11686</v>
      </c>
      <c r="B295" t="s">
        <v>219</v>
      </c>
      <c r="C295" s="18">
        <v>44069</v>
      </c>
      <c r="D295" t="s">
        <v>98</v>
      </c>
      <c r="E295">
        <v>5000000</v>
      </c>
      <c r="F295" s="18">
        <v>44274</v>
      </c>
      <c r="G295" s="18">
        <v>45086</v>
      </c>
      <c r="H295">
        <v>2021</v>
      </c>
      <c r="I295" t="s">
        <v>268</v>
      </c>
      <c r="J295" s="27">
        <v>138898.21</v>
      </c>
      <c r="K295" s="27">
        <v>236425.98</v>
      </c>
      <c r="L295" s="27">
        <v>375324.19</v>
      </c>
      <c r="M295" t="s">
        <v>11420</v>
      </c>
      <c r="O295" t="s">
        <v>170</v>
      </c>
      <c r="P295" s="27">
        <v>0</v>
      </c>
    </row>
    <row r="296" spans="1:16" ht="15.75" customHeight="1" x14ac:dyDescent="0.2">
      <c r="A296" t="s">
        <v>11687</v>
      </c>
      <c r="B296" t="s">
        <v>163</v>
      </c>
      <c r="C296" s="18">
        <v>44739</v>
      </c>
      <c r="D296" t="s">
        <v>102</v>
      </c>
      <c r="E296">
        <v>5000000</v>
      </c>
      <c r="F296" s="18">
        <v>45042</v>
      </c>
      <c r="G296" s="18">
        <v>45089</v>
      </c>
      <c r="H296">
        <v>2023</v>
      </c>
      <c r="I296" t="s">
        <v>268</v>
      </c>
      <c r="J296" s="27">
        <v>141648.25</v>
      </c>
      <c r="K296" s="27">
        <v>0</v>
      </c>
      <c r="L296" s="27">
        <v>141648.25</v>
      </c>
      <c r="M296" t="s">
        <v>11378</v>
      </c>
      <c r="O296" t="s">
        <v>167</v>
      </c>
      <c r="P296" s="27">
        <v>141648.25</v>
      </c>
    </row>
    <row r="297" spans="1:16" ht="15.75" customHeight="1" x14ac:dyDescent="0.2">
      <c r="A297" t="s">
        <v>11688</v>
      </c>
      <c r="B297" t="s">
        <v>163</v>
      </c>
      <c r="C297" s="18">
        <v>44912</v>
      </c>
      <c r="D297" t="s">
        <v>100</v>
      </c>
      <c r="E297">
        <v>2000000</v>
      </c>
      <c r="F297" s="18">
        <v>45030</v>
      </c>
      <c r="G297" s="18">
        <v>45096</v>
      </c>
      <c r="H297">
        <v>2023</v>
      </c>
      <c r="I297" t="s">
        <v>268</v>
      </c>
      <c r="J297" s="27">
        <v>122471.11</v>
      </c>
      <c r="K297" s="27">
        <v>0</v>
      </c>
      <c r="L297" s="27">
        <v>122471.11</v>
      </c>
      <c r="M297" t="s">
        <v>11351</v>
      </c>
      <c r="O297" t="s">
        <v>167</v>
      </c>
      <c r="P297" s="27">
        <v>122471.11</v>
      </c>
    </row>
    <row r="298" spans="1:16" ht="15.75" customHeight="1" x14ac:dyDescent="0.2">
      <c r="A298" t="s">
        <v>11689</v>
      </c>
      <c r="B298" t="s">
        <v>163</v>
      </c>
      <c r="C298" s="18">
        <v>44914</v>
      </c>
      <c r="D298" t="s">
        <v>100</v>
      </c>
      <c r="E298">
        <v>2500000</v>
      </c>
      <c r="F298" s="18">
        <v>44993</v>
      </c>
      <c r="G298" s="18">
        <v>45099</v>
      </c>
      <c r="H298">
        <v>2023</v>
      </c>
      <c r="I298" t="s">
        <v>268</v>
      </c>
      <c r="J298" s="27">
        <v>519818.92</v>
      </c>
      <c r="K298" s="27">
        <v>0</v>
      </c>
      <c r="L298" s="27">
        <v>519818.92</v>
      </c>
      <c r="M298" t="s">
        <v>11448</v>
      </c>
      <c r="O298" t="s">
        <v>167</v>
      </c>
      <c r="P298" s="27">
        <v>519818.92</v>
      </c>
    </row>
    <row r="299" spans="1:16" ht="15.75" customHeight="1" x14ac:dyDescent="0.2">
      <c r="A299" t="s">
        <v>11690</v>
      </c>
      <c r="B299" t="s">
        <v>219</v>
      </c>
      <c r="C299" s="18">
        <v>44525</v>
      </c>
      <c r="D299" t="s">
        <v>98</v>
      </c>
      <c r="E299">
        <v>3000000</v>
      </c>
      <c r="F299" s="18">
        <v>44792</v>
      </c>
      <c r="G299" s="18">
        <v>45106</v>
      </c>
      <c r="H299">
        <v>2022</v>
      </c>
      <c r="I299" t="s">
        <v>268</v>
      </c>
      <c r="J299" s="27">
        <v>168237.58</v>
      </c>
      <c r="K299" s="27">
        <v>28699.33</v>
      </c>
      <c r="L299" s="27">
        <v>196936.91</v>
      </c>
      <c r="M299" t="s">
        <v>11444</v>
      </c>
      <c r="O299" t="s">
        <v>170</v>
      </c>
      <c r="P299" s="27">
        <v>0</v>
      </c>
    </row>
    <row r="300" spans="1:16" ht="15.75" customHeight="1" x14ac:dyDescent="0.2">
      <c r="A300" t="s">
        <v>11691</v>
      </c>
      <c r="B300" t="s">
        <v>163</v>
      </c>
      <c r="C300" s="18">
        <v>45024</v>
      </c>
      <c r="D300" t="s">
        <v>102</v>
      </c>
      <c r="E300">
        <v>10000000</v>
      </c>
      <c r="F300" s="18">
        <v>45069</v>
      </c>
      <c r="G300" s="18">
        <v>45112</v>
      </c>
      <c r="H300">
        <v>2023</v>
      </c>
      <c r="I300" t="s">
        <v>268</v>
      </c>
      <c r="J300" s="27">
        <v>434232.29</v>
      </c>
      <c r="K300" s="27">
        <v>0</v>
      </c>
      <c r="L300" s="27">
        <v>434232.29</v>
      </c>
      <c r="M300" t="s">
        <v>11349</v>
      </c>
      <c r="O300" t="s">
        <v>167</v>
      </c>
      <c r="P300" s="27">
        <v>434232.29</v>
      </c>
    </row>
    <row r="301" spans="1:16" ht="15.75" customHeight="1" x14ac:dyDescent="0.2">
      <c r="A301" t="s">
        <v>11692</v>
      </c>
      <c r="B301" t="s">
        <v>163</v>
      </c>
      <c r="C301" s="18">
        <v>44714</v>
      </c>
      <c r="D301" t="s">
        <v>101</v>
      </c>
      <c r="E301">
        <v>3000000</v>
      </c>
      <c r="F301" s="18">
        <v>45061</v>
      </c>
      <c r="G301" s="18">
        <v>45113</v>
      </c>
      <c r="H301">
        <v>2023</v>
      </c>
      <c r="I301" t="s">
        <v>268</v>
      </c>
      <c r="J301" s="27">
        <v>113542.16</v>
      </c>
      <c r="K301" s="27">
        <v>0</v>
      </c>
      <c r="L301" s="27">
        <v>113542.16</v>
      </c>
      <c r="M301" t="s">
        <v>11351</v>
      </c>
      <c r="O301" t="s">
        <v>167</v>
      </c>
      <c r="P301" s="27">
        <v>113542.16</v>
      </c>
    </row>
    <row r="302" spans="1:16" ht="15.75" customHeight="1" x14ac:dyDescent="0.2">
      <c r="A302" t="s">
        <v>11693</v>
      </c>
      <c r="B302" t="s">
        <v>163</v>
      </c>
      <c r="C302" s="18">
        <v>44964</v>
      </c>
      <c r="D302" t="s">
        <v>99</v>
      </c>
      <c r="E302">
        <v>10000000</v>
      </c>
      <c r="F302" s="18">
        <v>45056</v>
      </c>
      <c r="G302" s="18">
        <v>45114</v>
      </c>
      <c r="H302">
        <v>2023</v>
      </c>
      <c r="I302" t="s">
        <v>268</v>
      </c>
      <c r="J302" s="27">
        <v>215106</v>
      </c>
      <c r="K302" s="27">
        <v>0</v>
      </c>
      <c r="L302" s="27">
        <v>215106</v>
      </c>
      <c r="M302" t="s">
        <v>11444</v>
      </c>
      <c r="O302" t="s">
        <v>167</v>
      </c>
      <c r="P302" s="27">
        <v>215106</v>
      </c>
    </row>
    <row r="303" spans="1:16" ht="15.75" customHeight="1" x14ac:dyDescent="0.2">
      <c r="A303" t="s">
        <v>11694</v>
      </c>
      <c r="B303" t="s">
        <v>163</v>
      </c>
      <c r="C303" s="18">
        <v>44691</v>
      </c>
      <c r="D303" t="s">
        <v>99</v>
      </c>
      <c r="E303">
        <v>2000000</v>
      </c>
      <c r="F303" s="18">
        <v>44927</v>
      </c>
      <c r="G303" s="18">
        <v>45123</v>
      </c>
      <c r="H303">
        <v>2023</v>
      </c>
      <c r="I303" t="s">
        <v>268</v>
      </c>
      <c r="J303" s="27">
        <v>104076.88</v>
      </c>
      <c r="K303" s="27">
        <v>0</v>
      </c>
      <c r="L303" s="27">
        <v>104076.88</v>
      </c>
      <c r="M303" t="s">
        <v>11467</v>
      </c>
      <c r="O303" t="s">
        <v>167</v>
      </c>
      <c r="P303" s="27">
        <v>104076.88</v>
      </c>
    </row>
    <row r="304" spans="1:16" ht="15.75" customHeight="1" x14ac:dyDescent="0.2">
      <c r="A304" t="s">
        <v>11695</v>
      </c>
      <c r="B304" t="s">
        <v>163</v>
      </c>
      <c r="C304" s="18">
        <v>44815</v>
      </c>
      <c r="D304" t="s">
        <v>99</v>
      </c>
      <c r="E304">
        <v>2000000</v>
      </c>
      <c r="F304" s="18">
        <v>45097</v>
      </c>
      <c r="G304" s="18">
        <v>45136</v>
      </c>
      <c r="H304">
        <v>2023</v>
      </c>
      <c r="I304" t="s">
        <v>268</v>
      </c>
      <c r="J304" s="27">
        <v>125968.28</v>
      </c>
      <c r="K304" s="27">
        <v>0</v>
      </c>
      <c r="L304" s="27">
        <v>125968.28</v>
      </c>
      <c r="M304" t="s">
        <v>11384</v>
      </c>
      <c r="O304" t="s">
        <v>170</v>
      </c>
      <c r="P304" s="27">
        <v>0</v>
      </c>
    </row>
    <row r="305" spans="1:16" ht="15.75" customHeight="1" x14ac:dyDescent="0.2">
      <c r="A305" t="s">
        <v>11696</v>
      </c>
      <c r="B305" t="s">
        <v>163</v>
      </c>
      <c r="C305" s="18">
        <v>44822</v>
      </c>
      <c r="D305" t="s">
        <v>98</v>
      </c>
      <c r="E305">
        <v>10000000</v>
      </c>
      <c r="F305" s="18">
        <v>45028</v>
      </c>
      <c r="G305" s="18">
        <v>45136</v>
      </c>
      <c r="H305">
        <v>2023</v>
      </c>
      <c r="I305" t="s">
        <v>268</v>
      </c>
      <c r="J305" s="27">
        <v>322184.15000000002</v>
      </c>
      <c r="K305" s="27">
        <v>0</v>
      </c>
      <c r="L305" s="27">
        <v>322184.15000000002</v>
      </c>
      <c r="M305" t="s">
        <v>11393</v>
      </c>
      <c r="O305" t="s">
        <v>170</v>
      </c>
      <c r="P305" s="27">
        <v>0</v>
      </c>
    </row>
    <row r="306" spans="1:16" ht="15.75" customHeight="1" x14ac:dyDescent="0.2">
      <c r="A306" t="s">
        <v>11697</v>
      </c>
      <c r="B306" t="s">
        <v>163</v>
      </c>
      <c r="C306" s="18">
        <v>44487</v>
      </c>
      <c r="D306" t="s">
        <v>98</v>
      </c>
      <c r="E306">
        <v>3000000</v>
      </c>
      <c r="F306" s="18">
        <v>44672</v>
      </c>
      <c r="G306" s="18">
        <v>45140</v>
      </c>
      <c r="H306">
        <v>2022</v>
      </c>
      <c r="I306" t="s">
        <v>268</v>
      </c>
      <c r="J306" s="27">
        <v>67780.639999999999</v>
      </c>
      <c r="K306" s="27">
        <v>0</v>
      </c>
      <c r="L306" s="27">
        <v>67780.639999999999</v>
      </c>
      <c r="M306" t="s">
        <v>11434</v>
      </c>
      <c r="O306" t="s">
        <v>170</v>
      </c>
      <c r="P306" s="27">
        <v>0</v>
      </c>
    </row>
    <row r="307" spans="1:16" ht="15.75" customHeight="1" x14ac:dyDescent="0.2">
      <c r="A307" t="s">
        <v>11698</v>
      </c>
      <c r="B307" t="s">
        <v>219</v>
      </c>
      <c r="C307" s="18">
        <v>44859</v>
      </c>
      <c r="D307" t="s">
        <v>101</v>
      </c>
      <c r="E307">
        <v>2000000</v>
      </c>
      <c r="F307" s="18">
        <v>44915</v>
      </c>
      <c r="G307" s="18">
        <v>45140</v>
      </c>
      <c r="H307">
        <v>2022</v>
      </c>
      <c r="I307" t="s">
        <v>268</v>
      </c>
      <c r="J307" s="27">
        <v>171001.18</v>
      </c>
      <c r="K307" s="27">
        <v>108176.31</v>
      </c>
      <c r="L307" s="27">
        <v>279177.49</v>
      </c>
      <c r="M307" t="s">
        <v>11411</v>
      </c>
      <c r="O307" t="s">
        <v>167</v>
      </c>
      <c r="P307" s="27">
        <v>279177.49</v>
      </c>
    </row>
    <row r="308" spans="1:16" ht="15.75" customHeight="1" x14ac:dyDescent="0.2">
      <c r="A308" t="s">
        <v>11699</v>
      </c>
      <c r="B308" t="s">
        <v>163</v>
      </c>
      <c r="C308" s="18">
        <v>44680</v>
      </c>
      <c r="D308" t="s">
        <v>100</v>
      </c>
      <c r="E308">
        <v>1000000</v>
      </c>
      <c r="F308" s="18">
        <v>44945</v>
      </c>
      <c r="G308" s="18">
        <v>45142</v>
      </c>
      <c r="H308">
        <v>2023</v>
      </c>
      <c r="I308" t="s">
        <v>268</v>
      </c>
      <c r="J308" s="27">
        <v>70198.11</v>
      </c>
      <c r="K308" s="27">
        <v>0</v>
      </c>
      <c r="L308" s="27">
        <v>70198.11</v>
      </c>
      <c r="M308" t="s">
        <v>11389</v>
      </c>
      <c r="O308" t="s">
        <v>167</v>
      </c>
      <c r="P308" s="27">
        <v>70198.11</v>
      </c>
    </row>
    <row r="309" spans="1:16" ht="15.75" customHeight="1" x14ac:dyDescent="0.2">
      <c r="A309" t="s">
        <v>11700</v>
      </c>
      <c r="B309" t="s">
        <v>163</v>
      </c>
      <c r="C309" s="18">
        <v>44915</v>
      </c>
      <c r="D309" t="s">
        <v>100</v>
      </c>
      <c r="E309">
        <v>10000000</v>
      </c>
      <c r="F309" s="18">
        <v>45102</v>
      </c>
      <c r="G309" s="18">
        <v>45144</v>
      </c>
      <c r="H309">
        <v>2023</v>
      </c>
      <c r="I309" t="s">
        <v>268</v>
      </c>
      <c r="J309" s="27">
        <v>229035.58</v>
      </c>
      <c r="K309" s="27">
        <v>0</v>
      </c>
      <c r="L309" s="27">
        <v>229035.58</v>
      </c>
      <c r="M309" t="s">
        <v>11359</v>
      </c>
      <c r="O309" t="s">
        <v>167</v>
      </c>
      <c r="P309" s="27">
        <v>229035.58</v>
      </c>
    </row>
    <row r="310" spans="1:16" ht="15.75" customHeight="1" x14ac:dyDescent="0.2">
      <c r="A310" t="s">
        <v>11701</v>
      </c>
      <c r="B310" t="s">
        <v>219</v>
      </c>
      <c r="C310" s="18">
        <v>44790</v>
      </c>
      <c r="D310" t="s">
        <v>98</v>
      </c>
      <c r="E310">
        <v>1000000</v>
      </c>
      <c r="F310" s="18">
        <v>45084</v>
      </c>
      <c r="G310" s="18">
        <v>45147</v>
      </c>
      <c r="H310">
        <v>2023</v>
      </c>
      <c r="I310" t="s">
        <v>268</v>
      </c>
      <c r="J310" s="27">
        <v>67586.820000000007</v>
      </c>
      <c r="K310" s="27">
        <v>42837.99</v>
      </c>
      <c r="L310" s="27">
        <v>110424.81</v>
      </c>
      <c r="M310" t="s">
        <v>11355</v>
      </c>
      <c r="O310" t="s">
        <v>170</v>
      </c>
      <c r="P310" s="27">
        <v>0</v>
      </c>
    </row>
    <row r="311" spans="1:16" ht="15.75" customHeight="1" x14ac:dyDescent="0.2">
      <c r="A311" t="s">
        <v>11702</v>
      </c>
      <c r="B311" t="s">
        <v>163</v>
      </c>
      <c r="C311" s="18">
        <v>44833</v>
      </c>
      <c r="D311" t="s">
        <v>98</v>
      </c>
      <c r="E311">
        <v>3500000</v>
      </c>
      <c r="F311" s="18">
        <v>45028</v>
      </c>
      <c r="G311" s="18">
        <v>45151</v>
      </c>
      <c r="H311">
        <v>2023</v>
      </c>
      <c r="I311" t="s">
        <v>268</v>
      </c>
      <c r="J311" s="27">
        <v>400075.22</v>
      </c>
      <c r="K311" s="27">
        <v>0</v>
      </c>
      <c r="L311" s="27">
        <v>400075.22</v>
      </c>
      <c r="M311" t="s">
        <v>11401</v>
      </c>
      <c r="O311" t="s">
        <v>170</v>
      </c>
      <c r="P311" s="27">
        <v>0</v>
      </c>
    </row>
    <row r="312" spans="1:16" ht="15.75" customHeight="1" x14ac:dyDescent="0.2">
      <c r="A312" t="s">
        <v>11703</v>
      </c>
      <c r="B312" t="s">
        <v>219</v>
      </c>
      <c r="C312" s="18">
        <v>44930</v>
      </c>
      <c r="D312" t="s">
        <v>98</v>
      </c>
      <c r="E312">
        <v>3500000</v>
      </c>
      <c r="F312" s="18">
        <v>45003</v>
      </c>
      <c r="G312" s="18">
        <v>45155</v>
      </c>
      <c r="H312">
        <v>2023</v>
      </c>
      <c r="I312" t="s">
        <v>268</v>
      </c>
      <c r="J312" s="27">
        <v>65821.02</v>
      </c>
      <c r="K312" s="27">
        <v>6015.8099999999904</v>
      </c>
      <c r="L312" s="27">
        <v>71836.83</v>
      </c>
      <c r="M312" t="s">
        <v>11376</v>
      </c>
      <c r="O312" t="s">
        <v>170</v>
      </c>
      <c r="P312" s="27">
        <v>0</v>
      </c>
    </row>
    <row r="313" spans="1:16" ht="15.75" customHeight="1" x14ac:dyDescent="0.2">
      <c r="A313" t="s">
        <v>11704</v>
      </c>
      <c r="B313" t="s">
        <v>163</v>
      </c>
      <c r="C313" s="18">
        <v>44089</v>
      </c>
      <c r="D313" t="s">
        <v>99</v>
      </c>
      <c r="E313">
        <v>10000000</v>
      </c>
      <c r="F313" s="18">
        <v>44292</v>
      </c>
      <c r="G313" s="18">
        <v>45157</v>
      </c>
      <c r="H313">
        <v>2021</v>
      </c>
      <c r="I313" t="s">
        <v>268</v>
      </c>
      <c r="J313" s="27">
        <v>1389614.93</v>
      </c>
      <c r="K313" s="27">
        <v>0</v>
      </c>
      <c r="L313" s="27">
        <v>1389614.93</v>
      </c>
      <c r="M313" t="s">
        <v>11485</v>
      </c>
      <c r="O313" t="s">
        <v>167</v>
      </c>
      <c r="P313" s="27">
        <v>1389614.93</v>
      </c>
    </row>
    <row r="314" spans="1:16" ht="15.75" customHeight="1" x14ac:dyDescent="0.2">
      <c r="A314" t="s">
        <v>11705</v>
      </c>
      <c r="B314" t="s">
        <v>163</v>
      </c>
      <c r="C314" s="18">
        <v>44848</v>
      </c>
      <c r="D314" t="s">
        <v>102</v>
      </c>
      <c r="E314">
        <v>1500000</v>
      </c>
      <c r="F314" s="18">
        <v>45113</v>
      </c>
      <c r="G314" s="18">
        <v>45165</v>
      </c>
      <c r="H314">
        <v>2023</v>
      </c>
      <c r="I314" t="s">
        <v>268</v>
      </c>
      <c r="J314" s="27">
        <v>94798.47</v>
      </c>
      <c r="K314" s="27">
        <v>0</v>
      </c>
      <c r="L314" s="27">
        <v>94798.47</v>
      </c>
      <c r="M314" t="s">
        <v>11493</v>
      </c>
      <c r="O314" t="s">
        <v>167</v>
      </c>
      <c r="P314" s="27">
        <v>94798.47</v>
      </c>
    </row>
    <row r="315" spans="1:16" ht="15.75" customHeight="1" x14ac:dyDescent="0.2">
      <c r="A315" t="s">
        <v>11706</v>
      </c>
      <c r="B315" t="s">
        <v>163</v>
      </c>
      <c r="C315" s="18">
        <v>45038</v>
      </c>
      <c r="D315" t="s">
        <v>98</v>
      </c>
      <c r="E315">
        <v>10000000</v>
      </c>
      <c r="F315" s="18">
        <v>45087</v>
      </c>
      <c r="G315" s="18">
        <v>45166</v>
      </c>
      <c r="H315">
        <v>2023</v>
      </c>
      <c r="I315" t="s">
        <v>268</v>
      </c>
      <c r="J315" s="27">
        <v>221809.28</v>
      </c>
      <c r="K315" s="27">
        <v>0</v>
      </c>
      <c r="L315" s="27">
        <v>221809.28</v>
      </c>
      <c r="M315" t="s">
        <v>11487</v>
      </c>
      <c r="O315" t="s">
        <v>170</v>
      </c>
      <c r="P315" s="27">
        <v>0</v>
      </c>
    </row>
    <row r="316" spans="1:16" ht="15.75" customHeight="1" x14ac:dyDescent="0.2">
      <c r="A316" t="s">
        <v>11707</v>
      </c>
      <c r="B316" t="s">
        <v>219</v>
      </c>
      <c r="C316" s="18">
        <v>45049</v>
      </c>
      <c r="D316" t="s">
        <v>99</v>
      </c>
      <c r="E316">
        <v>4500000</v>
      </c>
      <c r="F316" s="18">
        <v>45096</v>
      </c>
      <c r="G316" s="18">
        <v>45169</v>
      </c>
      <c r="H316">
        <v>2023</v>
      </c>
      <c r="I316" t="s">
        <v>268</v>
      </c>
      <c r="J316" s="27">
        <v>176753.53</v>
      </c>
      <c r="K316" s="27">
        <v>69624.899999999994</v>
      </c>
      <c r="L316" s="27">
        <v>246378.43</v>
      </c>
      <c r="M316" t="s">
        <v>11411</v>
      </c>
      <c r="O316" t="s">
        <v>167</v>
      </c>
      <c r="P316" s="27">
        <v>246378.43</v>
      </c>
    </row>
    <row r="317" spans="1:16" ht="15.75" customHeight="1" x14ac:dyDescent="0.2">
      <c r="A317" t="s">
        <v>11708</v>
      </c>
      <c r="B317" t="s">
        <v>163</v>
      </c>
      <c r="C317" s="18">
        <v>44557</v>
      </c>
      <c r="D317" t="s">
        <v>98</v>
      </c>
      <c r="E317">
        <v>2000000</v>
      </c>
      <c r="F317" s="18">
        <v>44900</v>
      </c>
      <c r="G317" s="18">
        <v>45175</v>
      </c>
      <c r="H317">
        <v>2022</v>
      </c>
      <c r="I317" t="s">
        <v>268</v>
      </c>
      <c r="J317" s="27">
        <v>162310.01999999999</v>
      </c>
      <c r="K317" s="27">
        <v>0</v>
      </c>
      <c r="L317" s="27">
        <v>162310.01999999999</v>
      </c>
      <c r="M317" t="s">
        <v>11413</v>
      </c>
      <c r="O317" t="s">
        <v>170</v>
      </c>
      <c r="P317" s="27">
        <v>0</v>
      </c>
    </row>
    <row r="318" spans="1:16" ht="15.75" customHeight="1" x14ac:dyDescent="0.2">
      <c r="A318" t="s">
        <v>11709</v>
      </c>
      <c r="B318" t="s">
        <v>163</v>
      </c>
      <c r="C318" s="18">
        <v>44706</v>
      </c>
      <c r="D318" t="s">
        <v>100</v>
      </c>
      <c r="E318">
        <v>3500000</v>
      </c>
      <c r="F318" s="18">
        <v>44992</v>
      </c>
      <c r="G318" s="18">
        <v>45176</v>
      </c>
      <c r="H318">
        <v>2023</v>
      </c>
      <c r="I318" t="s">
        <v>268</v>
      </c>
      <c r="J318" s="27">
        <v>260909.67</v>
      </c>
      <c r="K318" s="27">
        <v>0</v>
      </c>
      <c r="L318" s="27">
        <v>260909.67</v>
      </c>
      <c r="M318" t="s">
        <v>11451</v>
      </c>
      <c r="O318" t="s">
        <v>167</v>
      </c>
      <c r="P318" s="27">
        <v>260909.67</v>
      </c>
    </row>
    <row r="319" spans="1:16" ht="15.75" customHeight="1" x14ac:dyDescent="0.2">
      <c r="A319" t="s">
        <v>11710</v>
      </c>
      <c r="B319" t="s">
        <v>163</v>
      </c>
      <c r="C319" s="18">
        <v>45059</v>
      </c>
      <c r="D319" t="s">
        <v>99</v>
      </c>
      <c r="E319">
        <v>2000000</v>
      </c>
      <c r="F319" s="18">
        <v>45125</v>
      </c>
      <c r="G319" s="18">
        <v>45178</v>
      </c>
      <c r="H319">
        <v>2023</v>
      </c>
      <c r="I319" t="s">
        <v>268</v>
      </c>
      <c r="J319" s="27">
        <v>76814.94</v>
      </c>
      <c r="K319" s="27">
        <v>0</v>
      </c>
      <c r="L319" s="27">
        <v>76814.94</v>
      </c>
      <c r="M319" t="s">
        <v>11434</v>
      </c>
      <c r="O319" t="s">
        <v>167</v>
      </c>
      <c r="P319" s="27">
        <v>76814.94</v>
      </c>
    </row>
    <row r="320" spans="1:16" ht="15.75" customHeight="1" x14ac:dyDescent="0.2">
      <c r="A320" t="s">
        <v>11711</v>
      </c>
      <c r="B320" t="s">
        <v>219</v>
      </c>
      <c r="C320" s="18">
        <v>45020</v>
      </c>
      <c r="D320" t="s">
        <v>99</v>
      </c>
      <c r="E320">
        <v>3000000</v>
      </c>
      <c r="F320" s="18">
        <v>45110</v>
      </c>
      <c r="G320" s="18">
        <v>45192</v>
      </c>
      <c r="H320">
        <v>2023</v>
      </c>
      <c r="I320" t="s">
        <v>268</v>
      </c>
      <c r="J320" s="27">
        <v>113820.03</v>
      </c>
      <c r="K320" s="27">
        <v>10357.209999999999</v>
      </c>
      <c r="L320" s="27">
        <v>124177.24</v>
      </c>
      <c r="M320" t="s">
        <v>11399</v>
      </c>
      <c r="O320" t="s">
        <v>167</v>
      </c>
      <c r="P320" s="27">
        <v>124177.24</v>
      </c>
    </row>
    <row r="321" spans="1:16" ht="15.75" customHeight="1" x14ac:dyDescent="0.2">
      <c r="A321" t="s">
        <v>11712</v>
      </c>
      <c r="B321" t="s">
        <v>163</v>
      </c>
      <c r="C321" s="18">
        <v>45053</v>
      </c>
      <c r="D321" t="s">
        <v>98</v>
      </c>
      <c r="E321">
        <v>4000000</v>
      </c>
      <c r="F321" s="18">
        <v>45134</v>
      </c>
      <c r="G321" s="18">
        <v>45192</v>
      </c>
      <c r="H321">
        <v>2023</v>
      </c>
      <c r="I321" t="s">
        <v>268</v>
      </c>
      <c r="J321" s="27">
        <v>98932.28</v>
      </c>
      <c r="K321" s="27">
        <v>0</v>
      </c>
      <c r="L321" s="27">
        <v>98932.28</v>
      </c>
      <c r="M321" t="s">
        <v>11508</v>
      </c>
      <c r="O321" t="s">
        <v>170</v>
      </c>
      <c r="P321" s="27">
        <v>0</v>
      </c>
    </row>
    <row r="322" spans="1:16" ht="15.75" customHeight="1" x14ac:dyDescent="0.2">
      <c r="A322" t="s">
        <v>11713</v>
      </c>
      <c r="B322" t="s">
        <v>163</v>
      </c>
      <c r="C322" s="18">
        <v>44827</v>
      </c>
      <c r="D322" t="s">
        <v>98</v>
      </c>
      <c r="E322">
        <v>5000000</v>
      </c>
      <c r="F322" s="18">
        <v>45113</v>
      </c>
      <c r="G322" s="18">
        <v>45195</v>
      </c>
      <c r="H322">
        <v>2023</v>
      </c>
      <c r="I322" t="s">
        <v>268</v>
      </c>
      <c r="J322" s="27">
        <v>145300.20000000001</v>
      </c>
      <c r="K322" s="27">
        <v>0</v>
      </c>
      <c r="L322" s="27">
        <v>145300.20000000001</v>
      </c>
      <c r="M322" t="s">
        <v>11413</v>
      </c>
      <c r="O322" t="s">
        <v>170</v>
      </c>
      <c r="P322" s="27">
        <v>0</v>
      </c>
    </row>
    <row r="323" spans="1:16" ht="15.75" customHeight="1" x14ac:dyDescent="0.2">
      <c r="A323" t="s">
        <v>11714</v>
      </c>
      <c r="B323" t="s">
        <v>163</v>
      </c>
      <c r="C323" s="18">
        <v>44012</v>
      </c>
      <c r="D323" t="s">
        <v>98</v>
      </c>
      <c r="E323">
        <v>5000000</v>
      </c>
      <c r="F323" s="18">
        <v>44101</v>
      </c>
      <c r="G323" s="18">
        <v>45196</v>
      </c>
      <c r="H323">
        <v>2020</v>
      </c>
      <c r="I323" t="s">
        <v>268</v>
      </c>
      <c r="J323" s="27">
        <v>138005.74</v>
      </c>
      <c r="K323" s="27">
        <v>0</v>
      </c>
      <c r="L323" s="27">
        <v>138005.74</v>
      </c>
      <c r="M323" t="s">
        <v>11399</v>
      </c>
      <c r="O323" t="s">
        <v>170</v>
      </c>
      <c r="P323" s="27">
        <v>0</v>
      </c>
    </row>
    <row r="324" spans="1:16" ht="15.75" customHeight="1" x14ac:dyDescent="0.2">
      <c r="A324" t="s">
        <v>11715</v>
      </c>
      <c r="B324" t="s">
        <v>163</v>
      </c>
      <c r="C324" s="18">
        <v>44595</v>
      </c>
      <c r="D324" t="s">
        <v>100</v>
      </c>
      <c r="E324">
        <v>4000000</v>
      </c>
      <c r="F324" s="18">
        <v>44817</v>
      </c>
      <c r="G324" s="18">
        <v>45202</v>
      </c>
      <c r="H324">
        <v>2022</v>
      </c>
      <c r="I324" t="s">
        <v>268</v>
      </c>
      <c r="J324" s="27">
        <v>58418</v>
      </c>
      <c r="K324" s="27">
        <v>0</v>
      </c>
      <c r="L324" s="27">
        <v>58418</v>
      </c>
      <c r="M324" t="s">
        <v>11426</v>
      </c>
      <c r="O324" t="s">
        <v>167</v>
      </c>
      <c r="P324" s="27">
        <v>58418</v>
      </c>
    </row>
    <row r="325" spans="1:16" ht="15.75" customHeight="1" x14ac:dyDescent="0.2">
      <c r="A325" t="s">
        <v>11716</v>
      </c>
      <c r="B325" t="s">
        <v>219</v>
      </c>
      <c r="C325" s="18">
        <v>45025</v>
      </c>
      <c r="D325" t="s">
        <v>100</v>
      </c>
      <c r="E325">
        <v>3000000</v>
      </c>
      <c r="F325" s="18">
        <v>45164</v>
      </c>
      <c r="G325" s="18">
        <v>45204</v>
      </c>
      <c r="H325">
        <v>2023</v>
      </c>
      <c r="I325" t="s">
        <v>268</v>
      </c>
      <c r="J325" s="27">
        <v>322159.07</v>
      </c>
      <c r="K325" s="27">
        <v>81007.73</v>
      </c>
      <c r="L325" s="27">
        <v>403166.8</v>
      </c>
      <c r="M325" t="s">
        <v>11401</v>
      </c>
      <c r="O325" t="s">
        <v>167</v>
      </c>
      <c r="P325" s="27">
        <v>403166.8</v>
      </c>
    </row>
    <row r="326" spans="1:16" ht="15.75" customHeight="1" x14ac:dyDescent="0.2">
      <c r="A326" t="s">
        <v>11717</v>
      </c>
      <c r="B326" t="s">
        <v>219</v>
      </c>
      <c r="C326" s="18">
        <v>44993</v>
      </c>
      <c r="D326" t="s">
        <v>98</v>
      </c>
      <c r="E326">
        <v>2000000</v>
      </c>
      <c r="F326" s="18">
        <v>45162</v>
      </c>
      <c r="G326" s="18">
        <v>45205</v>
      </c>
      <c r="H326">
        <v>2023</v>
      </c>
      <c r="I326" t="s">
        <v>268</v>
      </c>
      <c r="J326" s="27">
        <v>26374.44</v>
      </c>
      <c r="K326" s="27">
        <v>39363.15</v>
      </c>
      <c r="L326" s="27">
        <v>65737.59</v>
      </c>
      <c r="M326" t="s">
        <v>11387</v>
      </c>
      <c r="O326" t="s">
        <v>170</v>
      </c>
      <c r="P326" s="27">
        <v>0</v>
      </c>
    </row>
    <row r="327" spans="1:16" ht="15.75" customHeight="1" x14ac:dyDescent="0.2">
      <c r="A327" t="s">
        <v>11718</v>
      </c>
      <c r="B327" t="s">
        <v>163</v>
      </c>
      <c r="C327" s="18">
        <v>44898</v>
      </c>
      <c r="D327" t="s">
        <v>101</v>
      </c>
      <c r="E327">
        <v>500000</v>
      </c>
      <c r="F327" s="18">
        <v>45117</v>
      </c>
      <c r="G327" s="18">
        <v>45212</v>
      </c>
      <c r="H327">
        <v>2023</v>
      </c>
      <c r="I327" t="s">
        <v>268</v>
      </c>
      <c r="J327" s="27">
        <v>150775.62</v>
      </c>
      <c r="K327" s="27">
        <v>0</v>
      </c>
      <c r="L327" s="27">
        <v>150775.62</v>
      </c>
      <c r="M327" t="s">
        <v>11378</v>
      </c>
      <c r="O327" t="s">
        <v>167</v>
      </c>
      <c r="P327" s="27">
        <v>150775.62</v>
      </c>
    </row>
    <row r="328" spans="1:16" ht="15.75" customHeight="1" x14ac:dyDescent="0.2">
      <c r="A328" t="s">
        <v>11719</v>
      </c>
      <c r="B328" t="s">
        <v>219</v>
      </c>
      <c r="C328" s="18">
        <v>44758</v>
      </c>
      <c r="D328" t="s">
        <v>100</v>
      </c>
      <c r="E328">
        <v>2000000</v>
      </c>
      <c r="F328" s="18">
        <v>44972</v>
      </c>
      <c r="G328" s="18">
        <v>45212</v>
      </c>
      <c r="H328">
        <v>2023</v>
      </c>
      <c r="I328" t="s">
        <v>268</v>
      </c>
      <c r="J328" s="27">
        <v>257403.51999999999</v>
      </c>
      <c r="K328" s="27">
        <v>150323.67000000001</v>
      </c>
      <c r="L328" s="27">
        <v>407727.19</v>
      </c>
      <c r="M328" t="s">
        <v>11349</v>
      </c>
      <c r="O328" t="s">
        <v>167</v>
      </c>
      <c r="P328" s="27">
        <v>407727.19</v>
      </c>
    </row>
    <row r="329" spans="1:16" ht="15.75" customHeight="1" x14ac:dyDescent="0.2">
      <c r="A329" t="s">
        <v>11720</v>
      </c>
      <c r="B329" t="s">
        <v>163</v>
      </c>
      <c r="C329" s="18">
        <v>44968</v>
      </c>
      <c r="D329" t="s">
        <v>98</v>
      </c>
      <c r="E329">
        <v>3000000</v>
      </c>
      <c r="F329" s="18">
        <v>45178</v>
      </c>
      <c r="G329" s="18">
        <v>45215</v>
      </c>
      <c r="H329">
        <v>2023</v>
      </c>
      <c r="I329" t="s">
        <v>268</v>
      </c>
      <c r="J329" s="27">
        <v>64093.95</v>
      </c>
      <c r="K329" s="27">
        <v>0</v>
      </c>
      <c r="L329" s="27">
        <v>64093.95</v>
      </c>
      <c r="M329" t="s">
        <v>11554</v>
      </c>
      <c r="O329" t="s">
        <v>170</v>
      </c>
      <c r="P329" s="27">
        <v>0</v>
      </c>
    </row>
    <row r="330" spans="1:16" ht="15.75" customHeight="1" x14ac:dyDescent="0.2">
      <c r="A330" t="s">
        <v>11721</v>
      </c>
      <c r="B330" t="s">
        <v>163</v>
      </c>
      <c r="C330" s="18">
        <v>44658</v>
      </c>
      <c r="D330" t="s">
        <v>98</v>
      </c>
      <c r="E330">
        <v>10000000</v>
      </c>
      <c r="F330" s="18">
        <v>44770</v>
      </c>
      <c r="G330" s="18">
        <v>45228</v>
      </c>
      <c r="H330">
        <v>2022</v>
      </c>
      <c r="I330" t="s">
        <v>268</v>
      </c>
      <c r="J330" s="27">
        <v>781690.15</v>
      </c>
      <c r="K330" s="27">
        <v>0</v>
      </c>
      <c r="L330" s="27">
        <v>781690.15</v>
      </c>
      <c r="M330" t="s">
        <v>11405</v>
      </c>
      <c r="O330" t="s">
        <v>170</v>
      </c>
      <c r="P330" s="27">
        <v>0</v>
      </c>
    </row>
    <row r="331" spans="1:16" ht="15.75" customHeight="1" x14ac:dyDescent="0.2">
      <c r="A331" t="s">
        <v>11722</v>
      </c>
      <c r="B331" t="s">
        <v>163</v>
      </c>
      <c r="C331" s="18">
        <v>44881</v>
      </c>
      <c r="D331" t="s">
        <v>98</v>
      </c>
      <c r="E331">
        <v>10000000</v>
      </c>
      <c r="F331" s="18">
        <v>45102</v>
      </c>
      <c r="G331" s="18">
        <v>45230</v>
      </c>
      <c r="H331">
        <v>2023</v>
      </c>
      <c r="I331" t="s">
        <v>268</v>
      </c>
      <c r="J331" s="27">
        <v>76349.490000000005</v>
      </c>
      <c r="K331" s="27">
        <v>0</v>
      </c>
      <c r="L331" s="27">
        <v>76349.490000000005</v>
      </c>
      <c r="M331" t="s">
        <v>11431</v>
      </c>
      <c r="O331" t="s">
        <v>170</v>
      </c>
      <c r="P331" s="27">
        <v>0</v>
      </c>
    </row>
    <row r="332" spans="1:16" ht="15.75" customHeight="1" x14ac:dyDescent="0.2">
      <c r="A332" t="s">
        <v>11723</v>
      </c>
      <c r="B332" t="s">
        <v>163</v>
      </c>
      <c r="C332" s="18">
        <v>44974</v>
      </c>
      <c r="D332" t="s">
        <v>101</v>
      </c>
      <c r="E332">
        <v>10000000</v>
      </c>
      <c r="F332" s="18">
        <v>45077</v>
      </c>
      <c r="G332" s="18">
        <v>45236</v>
      </c>
      <c r="H332">
        <v>2023</v>
      </c>
      <c r="I332" t="s">
        <v>268</v>
      </c>
      <c r="J332" s="27">
        <v>200801.42</v>
      </c>
      <c r="K332" s="27">
        <v>0</v>
      </c>
      <c r="L332" s="27">
        <v>200801.42</v>
      </c>
      <c r="M332" t="s">
        <v>11374</v>
      </c>
      <c r="O332" t="s">
        <v>167</v>
      </c>
      <c r="P332" s="27">
        <v>200801.42</v>
      </c>
    </row>
    <row r="333" spans="1:16" ht="15.75" customHeight="1" x14ac:dyDescent="0.2">
      <c r="A333" t="s">
        <v>11724</v>
      </c>
      <c r="B333" t="s">
        <v>163</v>
      </c>
      <c r="C333" s="18">
        <v>45097</v>
      </c>
      <c r="D333" t="s">
        <v>99</v>
      </c>
      <c r="E333">
        <v>4000000</v>
      </c>
      <c r="F333" s="18">
        <v>45186</v>
      </c>
      <c r="G333" s="18">
        <v>45237</v>
      </c>
      <c r="H333">
        <v>2023</v>
      </c>
      <c r="I333" t="s">
        <v>268</v>
      </c>
      <c r="J333" s="27">
        <v>303690.84000000003</v>
      </c>
      <c r="K333" s="27">
        <v>0</v>
      </c>
      <c r="L333" s="27">
        <v>303690.84000000003</v>
      </c>
      <c r="M333" t="s">
        <v>11411</v>
      </c>
      <c r="O333" t="s">
        <v>170</v>
      </c>
      <c r="P333" s="27">
        <v>0</v>
      </c>
    </row>
    <row r="334" spans="1:16" ht="15.75" customHeight="1" x14ac:dyDescent="0.2">
      <c r="A334" t="s">
        <v>11725</v>
      </c>
      <c r="B334" t="s">
        <v>163</v>
      </c>
      <c r="C334" s="18">
        <v>44986</v>
      </c>
      <c r="D334" t="s">
        <v>100</v>
      </c>
      <c r="E334">
        <v>2000000</v>
      </c>
      <c r="F334" s="18">
        <v>45172</v>
      </c>
      <c r="G334" s="18">
        <v>45238</v>
      </c>
      <c r="H334">
        <v>2023</v>
      </c>
      <c r="I334" t="s">
        <v>268</v>
      </c>
      <c r="J334" s="27">
        <v>292917.06</v>
      </c>
      <c r="K334" s="27">
        <v>0</v>
      </c>
      <c r="L334" s="27">
        <v>292917.06</v>
      </c>
      <c r="M334" t="s">
        <v>11366</v>
      </c>
      <c r="O334" t="s">
        <v>167</v>
      </c>
      <c r="P334" s="27">
        <v>292917.06</v>
      </c>
    </row>
    <row r="335" spans="1:16" ht="15.75" customHeight="1" x14ac:dyDescent="0.2">
      <c r="A335" t="s">
        <v>11726</v>
      </c>
      <c r="B335" t="s">
        <v>163</v>
      </c>
      <c r="C335" s="18">
        <v>44289</v>
      </c>
      <c r="D335" t="s">
        <v>100</v>
      </c>
      <c r="E335">
        <v>1500000</v>
      </c>
      <c r="F335" s="18">
        <v>44441</v>
      </c>
      <c r="G335" s="18">
        <v>45240</v>
      </c>
      <c r="H335">
        <v>2021</v>
      </c>
      <c r="I335" t="s">
        <v>268</v>
      </c>
      <c r="J335" s="27">
        <v>61182.14</v>
      </c>
      <c r="K335" s="27">
        <v>0</v>
      </c>
      <c r="L335" s="27">
        <v>61182.14</v>
      </c>
      <c r="M335" t="s">
        <v>11368</v>
      </c>
      <c r="O335" t="s">
        <v>167</v>
      </c>
      <c r="P335" s="27">
        <v>61182.14</v>
      </c>
    </row>
    <row r="336" spans="1:16" ht="15.75" customHeight="1" x14ac:dyDescent="0.2">
      <c r="A336" t="s">
        <v>11727</v>
      </c>
      <c r="B336" t="s">
        <v>163</v>
      </c>
      <c r="C336" s="18">
        <v>44783</v>
      </c>
      <c r="D336" t="s">
        <v>98</v>
      </c>
      <c r="E336">
        <v>2000000</v>
      </c>
      <c r="F336" s="18">
        <v>45133</v>
      </c>
      <c r="G336" s="18">
        <v>45250</v>
      </c>
      <c r="H336">
        <v>2023</v>
      </c>
      <c r="I336" t="s">
        <v>268</v>
      </c>
      <c r="J336" s="27">
        <v>126161.86</v>
      </c>
      <c r="K336" s="27">
        <v>0</v>
      </c>
      <c r="L336" s="27">
        <v>126161.86</v>
      </c>
      <c r="M336" t="s">
        <v>11380</v>
      </c>
      <c r="O336" t="s">
        <v>170</v>
      </c>
      <c r="P336" s="27">
        <v>0</v>
      </c>
    </row>
    <row r="337" spans="1:16" ht="15.75" customHeight="1" x14ac:dyDescent="0.2">
      <c r="A337" t="s">
        <v>11728</v>
      </c>
      <c r="B337" t="s">
        <v>163</v>
      </c>
      <c r="C337" s="18">
        <v>44861</v>
      </c>
      <c r="D337" t="s">
        <v>98</v>
      </c>
      <c r="E337">
        <v>3500000</v>
      </c>
      <c r="F337" s="18">
        <v>45184</v>
      </c>
      <c r="G337" s="18">
        <v>45251</v>
      </c>
      <c r="H337">
        <v>2023</v>
      </c>
      <c r="I337" t="s">
        <v>268</v>
      </c>
      <c r="J337" s="27">
        <v>305792.8</v>
      </c>
      <c r="K337" s="27">
        <v>0</v>
      </c>
      <c r="L337" s="27">
        <v>305792.8</v>
      </c>
      <c r="M337" t="s">
        <v>11422</v>
      </c>
      <c r="O337" t="s">
        <v>170</v>
      </c>
      <c r="P337" s="27">
        <v>0</v>
      </c>
    </row>
    <row r="338" spans="1:16" ht="15.75" customHeight="1" x14ac:dyDescent="0.2">
      <c r="A338" t="s">
        <v>11729</v>
      </c>
      <c r="B338" t="s">
        <v>219</v>
      </c>
      <c r="C338" s="18">
        <v>44931</v>
      </c>
      <c r="D338" t="s">
        <v>101</v>
      </c>
      <c r="E338">
        <v>10000000</v>
      </c>
      <c r="F338" s="18">
        <v>45116</v>
      </c>
      <c r="G338" s="18">
        <v>45252</v>
      </c>
      <c r="H338">
        <v>2023</v>
      </c>
      <c r="I338" t="s">
        <v>268</v>
      </c>
      <c r="J338" s="27">
        <v>347685.03</v>
      </c>
      <c r="K338" s="27">
        <v>199887.66</v>
      </c>
      <c r="L338" s="27">
        <v>547572.68999999994</v>
      </c>
      <c r="M338" t="s">
        <v>11408</v>
      </c>
      <c r="O338" t="s">
        <v>167</v>
      </c>
      <c r="P338" s="27">
        <v>547572.68999999994</v>
      </c>
    </row>
    <row r="339" spans="1:16" ht="15.75" customHeight="1" x14ac:dyDescent="0.2">
      <c r="A339" t="s">
        <v>11730</v>
      </c>
      <c r="B339" t="s">
        <v>219</v>
      </c>
      <c r="C339" s="18">
        <v>44874</v>
      </c>
      <c r="D339" t="s">
        <v>100</v>
      </c>
      <c r="E339">
        <v>2500000</v>
      </c>
      <c r="F339" s="18">
        <v>45011</v>
      </c>
      <c r="G339" s="18">
        <v>45254</v>
      </c>
      <c r="H339">
        <v>2023</v>
      </c>
      <c r="I339" t="s">
        <v>268</v>
      </c>
      <c r="J339" s="27">
        <v>0</v>
      </c>
      <c r="K339" s="27">
        <v>90396.51</v>
      </c>
      <c r="L339" s="27">
        <v>90396.51</v>
      </c>
      <c r="M339" t="s">
        <v>11397</v>
      </c>
      <c r="O339" t="s">
        <v>167</v>
      </c>
      <c r="P339" s="27">
        <v>90396.51</v>
      </c>
    </row>
    <row r="340" spans="1:16" ht="15.75" customHeight="1" x14ac:dyDescent="0.2">
      <c r="A340" t="s">
        <v>11731</v>
      </c>
      <c r="B340" t="s">
        <v>163</v>
      </c>
      <c r="C340" s="18">
        <v>44948</v>
      </c>
      <c r="D340" t="s">
        <v>101</v>
      </c>
      <c r="E340">
        <v>3500000</v>
      </c>
      <c r="F340" s="18">
        <v>45096</v>
      </c>
      <c r="G340" s="18">
        <v>45254</v>
      </c>
      <c r="H340">
        <v>2023</v>
      </c>
      <c r="I340" t="s">
        <v>268</v>
      </c>
      <c r="J340" s="27">
        <v>69548.33</v>
      </c>
      <c r="K340" s="27">
        <v>0</v>
      </c>
      <c r="L340" s="27">
        <v>69548.33</v>
      </c>
      <c r="M340" t="s">
        <v>11389</v>
      </c>
      <c r="O340" t="s">
        <v>167</v>
      </c>
      <c r="P340" s="27">
        <v>69548.33</v>
      </c>
    </row>
    <row r="341" spans="1:16" ht="15.75" customHeight="1" x14ac:dyDescent="0.2">
      <c r="A341" t="s">
        <v>11732</v>
      </c>
      <c r="B341" t="s">
        <v>163</v>
      </c>
      <c r="C341" s="18">
        <v>44222</v>
      </c>
      <c r="D341" t="s">
        <v>101</v>
      </c>
      <c r="E341">
        <v>10000000</v>
      </c>
      <c r="F341" s="18">
        <v>44560</v>
      </c>
      <c r="G341" s="18">
        <v>45259</v>
      </c>
      <c r="H341">
        <v>2021</v>
      </c>
      <c r="I341" t="s">
        <v>268</v>
      </c>
      <c r="J341" s="27">
        <v>92018.58</v>
      </c>
      <c r="K341" s="27">
        <v>0</v>
      </c>
      <c r="L341" s="27">
        <v>92018.58</v>
      </c>
      <c r="M341" t="s">
        <v>11493</v>
      </c>
      <c r="O341" t="s">
        <v>167</v>
      </c>
      <c r="P341" s="27">
        <v>92018.58</v>
      </c>
    </row>
    <row r="342" spans="1:16" ht="15.75" customHeight="1" x14ac:dyDescent="0.2">
      <c r="A342" t="s">
        <v>11733</v>
      </c>
      <c r="B342" t="s">
        <v>163</v>
      </c>
      <c r="C342" s="18">
        <v>44901</v>
      </c>
      <c r="D342" t="s">
        <v>98</v>
      </c>
      <c r="E342">
        <v>10000000</v>
      </c>
      <c r="F342" s="18">
        <v>45204</v>
      </c>
      <c r="G342" s="18">
        <v>45261</v>
      </c>
      <c r="H342">
        <v>2023</v>
      </c>
      <c r="I342" t="s">
        <v>268</v>
      </c>
      <c r="J342" s="27">
        <v>886501.98</v>
      </c>
      <c r="K342" s="27">
        <v>0</v>
      </c>
      <c r="L342" s="27">
        <v>886501.98</v>
      </c>
      <c r="M342" t="s">
        <v>11561</v>
      </c>
      <c r="O342" t="s">
        <v>170</v>
      </c>
      <c r="P342" s="27">
        <v>0</v>
      </c>
    </row>
    <row r="343" spans="1:16" ht="15.75" customHeight="1" x14ac:dyDescent="0.2">
      <c r="A343" t="s">
        <v>11734</v>
      </c>
      <c r="B343" t="s">
        <v>219</v>
      </c>
      <c r="C343" s="18">
        <v>45068</v>
      </c>
      <c r="D343" t="s">
        <v>102</v>
      </c>
      <c r="E343">
        <v>2500000</v>
      </c>
      <c r="F343" s="18">
        <v>45084</v>
      </c>
      <c r="G343" s="18">
        <v>45267</v>
      </c>
      <c r="H343">
        <v>2023</v>
      </c>
      <c r="I343" t="s">
        <v>268</v>
      </c>
      <c r="J343" s="27">
        <v>359493.81</v>
      </c>
      <c r="K343" s="27">
        <v>97877.91</v>
      </c>
      <c r="L343" s="27">
        <v>457371.72</v>
      </c>
      <c r="M343" t="s">
        <v>11424</v>
      </c>
      <c r="O343" t="s">
        <v>167</v>
      </c>
      <c r="P343" s="27">
        <v>457371.72</v>
      </c>
    </row>
    <row r="344" spans="1:16" ht="15.75" customHeight="1" x14ac:dyDescent="0.2">
      <c r="A344" t="s">
        <v>11735</v>
      </c>
      <c r="B344" t="s">
        <v>163</v>
      </c>
      <c r="C344" s="18">
        <v>44967</v>
      </c>
      <c r="D344" t="s">
        <v>102</v>
      </c>
      <c r="E344">
        <v>1500000</v>
      </c>
      <c r="F344" s="18">
        <v>45017</v>
      </c>
      <c r="G344" s="18">
        <v>45269</v>
      </c>
      <c r="H344">
        <v>2023</v>
      </c>
      <c r="I344" t="s">
        <v>268</v>
      </c>
      <c r="J344" s="27">
        <v>65594.53</v>
      </c>
      <c r="K344" s="27">
        <v>0</v>
      </c>
      <c r="L344" s="27">
        <v>65594.53</v>
      </c>
      <c r="M344" t="s">
        <v>11426</v>
      </c>
      <c r="O344" t="s">
        <v>167</v>
      </c>
      <c r="P344" s="27">
        <v>65594.53</v>
      </c>
    </row>
    <row r="345" spans="1:16" ht="15.75" customHeight="1" x14ac:dyDescent="0.2">
      <c r="A345" t="s">
        <v>11736</v>
      </c>
      <c r="B345" t="s">
        <v>163</v>
      </c>
      <c r="C345" s="18">
        <v>44805</v>
      </c>
      <c r="D345" t="s">
        <v>101</v>
      </c>
      <c r="E345">
        <v>2000000</v>
      </c>
      <c r="F345" s="18">
        <v>45110</v>
      </c>
      <c r="G345" s="18">
        <v>45271</v>
      </c>
      <c r="H345">
        <v>2023</v>
      </c>
      <c r="I345" t="s">
        <v>268</v>
      </c>
      <c r="J345" s="27">
        <v>142067.5</v>
      </c>
      <c r="K345" s="27">
        <v>0</v>
      </c>
      <c r="L345" s="27">
        <v>142067.5</v>
      </c>
      <c r="M345" t="s">
        <v>11399</v>
      </c>
      <c r="O345" t="s">
        <v>167</v>
      </c>
      <c r="P345" s="27">
        <v>142067.5</v>
      </c>
    </row>
    <row r="346" spans="1:16" ht="15.75" customHeight="1" x14ac:dyDescent="0.2">
      <c r="A346" t="s">
        <v>11737</v>
      </c>
      <c r="B346" t="s">
        <v>163</v>
      </c>
      <c r="C346" s="18">
        <v>44904</v>
      </c>
      <c r="D346" t="s">
        <v>99</v>
      </c>
      <c r="E346">
        <v>2000000</v>
      </c>
      <c r="F346" s="18">
        <v>45080</v>
      </c>
      <c r="G346" s="18">
        <v>45273</v>
      </c>
      <c r="H346">
        <v>2023</v>
      </c>
      <c r="I346" t="s">
        <v>268</v>
      </c>
      <c r="J346" s="27">
        <v>101916.36</v>
      </c>
      <c r="K346" s="27">
        <v>0</v>
      </c>
      <c r="L346" s="27">
        <v>101916.36</v>
      </c>
      <c r="M346" t="s">
        <v>11355</v>
      </c>
      <c r="O346" t="s">
        <v>167</v>
      </c>
      <c r="P346" s="27">
        <v>101916.36</v>
      </c>
    </row>
    <row r="347" spans="1:16" ht="15.75" customHeight="1" x14ac:dyDescent="0.2">
      <c r="A347" t="s">
        <v>11738</v>
      </c>
      <c r="B347" t="s">
        <v>163</v>
      </c>
      <c r="C347" s="18">
        <v>44861</v>
      </c>
      <c r="D347" t="s">
        <v>99</v>
      </c>
      <c r="E347">
        <v>10000000</v>
      </c>
      <c r="F347" s="18">
        <v>45179</v>
      </c>
      <c r="G347" s="18">
        <v>45284</v>
      </c>
      <c r="H347">
        <v>2023</v>
      </c>
      <c r="I347" t="s">
        <v>268</v>
      </c>
      <c r="J347" s="27">
        <v>257002.13</v>
      </c>
      <c r="K347" s="27">
        <v>0</v>
      </c>
      <c r="L347" s="27">
        <v>257002.13</v>
      </c>
      <c r="M347" t="s">
        <v>11359</v>
      </c>
      <c r="O347" t="s">
        <v>167</v>
      </c>
      <c r="P347" s="27">
        <v>257002.13</v>
      </c>
    </row>
    <row r="348" spans="1:16" ht="15.75" customHeight="1" x14ac:dyDescent="0.2">
      <c r="A348" t="s">
        <v>11739</v>
      </c>
      <c r="B348" t="s">
        <v>163</v>
      </c>
      <c r="C348" s="18">
        <v>44972</v>
      </c>
      <c r="D348" t="s">
        <v>101</v>
      </c>
      <c r="E348">
        <v>3500000</v>
      </c>
      <c r="F348" s="18">
        <v>45216</v>
      </c>
      <c r="G348" s="18">
        <v>45285</v>
      </c>
      <c r="H348">
        <v>2023</v>
      </c>
      <c r="I348" t="s">
        <v>268</v>
      </c>
      <c r="J348" s="27">
        <v>1520949.41</v>
      </c>
      <c r="K348" s="27">
        <v>0</v>
      </c>
      <c r="L348" s="27">
        <v>1520949.41</v>
      </c>
      <c r="M348" t="s">
        <v>11504</v>
      </c>
      <c r="O348" t="s">
        <v>170</v>
      </c>
      <c r="P348" s="27">
        <v>0</v>
      </c>
    </row>
    <row r="349" spans="1:16" ht="15.75" customHeight="1" x14ac:dyDescent="0.2">
      <c r="A349" t="s">
        <v>11740</v>
      </c>
      <c r="B349" t="s">
        <v>163</v>
      </c>
      <c r="C349" s="18">
        <v>44912</v>
      </c>
      <c r="D349" t="s">
        <v>102</v>
      </c>
      <c r="E349">
        <v>5000000</v>
      </c>
      <c r="F349" s="18">
        <v>45141</v>
      </c>
      <c r="G349" s="18">
        <v>45289</v>
      </c>
      <c r="H349">
        <v>2023</v>
      </c>
      <c r="I349" t="s">
        <v>268</v>
      </c>
      <c r="J349" s="27">
        <v>219591.19</v>
      </c>
      <c r="K349" s="27">
        <v>0</v>
      </c>
      <c r="L349" s="27">
        <v>219591.19</v>
      </c>
      <c r="M349" t="s">
        <v>11372</v>
      </c>
      <c r="O349" t="s">
        <v>167</v>
      </c>
      <c r="P349" s="27">
        <v>219591.19</v>
      </c>
    </row>
    <row r="350" spans="1:16" ht="15.75" customHeight="1" x14ac:dyDescent="0.2">
      <c r="A350" t="s">
        <v>11741</v>
      </c>
      <c r="B350" t="s">
        <v>163</v>
      </c>
      <c r="C350" s="18">
        <v>45003</v>
      </c>
      <c r="D350" t="s">
        <v>99</v>
      </c>
      <c r="E350">
        <v>10000000</v>
      </c>
      <c r="F350" s="18">
        <v>45163</v>
      </c>
      <c r="G350" s="18">
        <v>45293</v>
      </c>
      <c r="H350">
        <v>2023</v>
      </c>
      <c r="I350" t="s">
        <v>268</v>
      </c>
      <c r="J350" s="27">
        <v>193283.87</v>
      </c>
      <c r="K350" s="27">
        <v>0</v>
      </c>
      <c r="L350" s="27">
        <v>193283.87</v>
      </c>
      <c r="M350" t="s">
        <v>11357</v>
      </c>
      <c r="O350" t="s">
        <v>167</v>
      </c>
      <c r="P350" s="27">
        <v>193283.87</v>
      </c>
    </row>
    <row r="351" spans="1:16" ht="15.75" customHeight="1" x14ac:dyDescent="0.2">
      <c r="A351" t="s">
        <v>11742</v>
      </c>
      <c r="B351" t="s">
        <v>163</v>
      </c>
      <c r="C351" s="18">
        <v>44849</v>
      </c>
      <c r="D351" t="s">
        <v>98</v>
      </c>
      <c r="E351">
        <v>5000000</v>
      </c>
      <c r="F351" s="18">
        <v>45098</v>
      </c>
      <c r="G351" s="18">
        <v>45294</v>
      </c>
      <c r="H351">
        <v>2023</v>
      </c>
      <c r="I351" t="s">
        <v>268</v>
      </c>
      <c r="J351" s="27">
        <v>85606.080000000002</v>
      </c>
      <c r="K351" s="27">
        <v>0</v>
      </c>
      <c r="L351" s="27">
        <v>85606.080000000002</v>
      </c>
      <c r="M351" t="s">
        <v>11493</v>
      </c>
      <c r="O351" t="s">
        <v>170</v>
      </c>
      <c r="P351" s="27">
        <v>0</v>
      </c>
    </row>
    <row r="352" spans="1:16" ht="15.75" customHeight="1" x14ac:dyDescent="0.2">
      <c r="A352" t="s">
        <v>11743</v>
      </c>
      <c r="B352" t="s">
        <v>163</v>
      </c>
      <c r="C352" s="18">
        <v>44970</v>
      </c>
      <c r="D352" t="s">
        <v>101</v>
      </c>
      <c r="E352">
        <v>10000000</v>
      </c>
      <c r="F352" s="18">
        <v>45215</v>
      </c>
      <c r="G352" s="18">
        <v>45304</v>
      </c>
      <c r="H352">
        <v>2023</v>
      </c>
      <c r="I352" t="s">
        <v>268</v>
      </c>
      <c r="J352" s="27">
        <v>674958.61</v>
      </c>
      <c r="K352" s="27">
        <v>0</v>
      </c>
      <c r="L352" s="27">
        <v>674958.61</v>
      </c>
      <c r="M352" t="s">
        <v>11408</v>
      </c>
      <c r="O352" t="s">
        <v>170</v>
      </c>
      <c r="P352" s="27">
        <v>0</v>
      </c>
    </row>
    <row r="353" spans="1:16" ht="15.75" customHeight="1" x14ac:dyDescent="0.2">
      <c r="A353" t="s">
        <v>11744</v>
      </c>
      <c r="B353" t="s">
        <v>219</v>
      </c>
      <c r="C353" s="18">
        <v>44914</v>
      </c>
      <c r="D353" t="s">
        <v>100</v>
      </c>
      <c r="E353">
        <v>2500000</v>
      </c>
      <c r="F353" s="18">
        <v>45247</v>
      </c>
      <c r="G353" s="18">
        <v>45306</v>
      </c>
      <c r="H353">
        <v>2023</v>
      </c>
      <c r="I353" t="s">
        <v>268</v>
      </c>
      <c r="J353" s="27">
        <v>203134.84</v>
      </c>
      <c r="K353" s="27">
        <v>45281.4</v>
      </c>
      <c r="L353" s="27">
        <v>248416.24</v>
      </c>
      <c r="M353" t="s">
        <v>11577</v>
      </c>
      <c r="O353" t="s">
        <v>167</v>
      </c>
      <c r="P353" s="27">
        <v>248416.24</v>
      </c>
    </row>
    <row r="354" spans="1:16" ht="15.75" customHeight="1" x14ac:dyDescent="0.2">
      <c r="A354" t="s">
        <v>11745</v>
      </c>
      <c r="B354" t="s">
        <v>163</v>
      </c>
      <c r="C354" s="18">
        <v>44943</v>
      </c>
      <c r="D354" t="s">
        <v>99</v>
      </c>
      <c r="E354">
        <v>2000000</v>
      </c>
      <c r="F354" s="18">
        <v>45249</v>
      </c>
      <c r="G354" s="18">
        <v>45316</v>
      </c>
      <c r="H354">
        <v>2023</v>
      </c>
      <c r="I354" t="s">
        <v>268</v>
      </c>
      <c r="J354" s="27">
        <v>63382.47</v>
      </c>
      <c r="K354" s="27">
        <v>0</v>
      </c>
      <c r="L354" s="27">
        <v>63382.47</v>
      </c>
      <c r="M354" t="s">
        <v>11426</v>
      </c>
      <c r="O354" t="s">
        <v>167</v>
      </c>
      <c r="P354" s="27">
        <v>63382.47</v>
      </c>
    </row>
    <row r="355" spans="1:16" ht="15.75" customHeight="1" x14ac:dyDescent="0.2">
      <c r="A355" t="s">
        <v>11746</v>
      </c>
      <c r="B355" t="s">
        <v>163</v>
      </c>
      <c r="C355" s="18">
        <v>44388</v>
      </c>
      <c r="D355" t="s">
        <v>100</v>
      </c>
      <c r="E355">
        <v>4000000</v>
      </c>
      <c r="F355" s="18">
        <v>44667</v>
      </c>
      <c r="G355" s="18">
        <v>45329</v>
      </c>
      <c r="H355">
        <v>2022</v>
      </c>
      <c r="I355" t="s">
        <v>268</v>
      </c>
      <c r="J355" s="27">
        <v>290303.24</v>
      </c>
      <c r="K355" s="27">
        <v>0</v>
      </c>
      <c r="L355" s="27">
        <v>290303.24</v>
      </c>
      <c r="M355" t="s">
        <v>11422</v>
      </c>
      <c r="O355" t="s">
        <v>167</v>
      </c>
      <c r="P355" s="27">
        <v>290303.24</v>
      </c>
    </row>
    <row r="356" spans="1:16" ht="15.75" customHeight="1" x14ac:dyDescent="0.2">
      <c r="A356" t="s">
        <v>11747</v>
      </c>
      <c r="B356" t="s">
        <v>163</v>
      </c>
      <c r="C356" s="18">
        <v>44781</v>
      </c>
      <c r="D356" t="s">
        <v>99</v>
      </c>
      <c r="E356">
        <v>10000000</v>
      </c>
      <c r="F356" s="18">
        <v>45104</v>
      </c>
      <c r="G356" s="18">
        <v>45329</v>
      </c>
      <c r="H356">
        <v>2023</v>
      </c>
      <c r="I356" t="s">
        <v>268</v>
      </c>
      <c r="J356" s="27">
        <v>79685.72</v>
      </c>
      <c r="K356" s="27">
        <v>0</v>
      </c>
      <c r="L356" s="27">
        <v>79685.72</v>
      </c>
      <c r="M356" t="s">
        <v>11431</v>
      </c>
      <c r="O356" t="s">
        <v>167</v>
      </c>
      <c r="P356" s="27">
        <v>79685.72</v>
      </c>
    </row>
    <row r="357" spans="1:16" ht="15.75" customHeight="1" x14ac:dyDescent="0.2">
      <c r="A357" t="s">
        <v>11748</v>
      </c>
      <c r="B357" t="s">
        <v>219</v>
      </c>
      <c r="C357" s="18">
        <v>44975</v>
      </c>
      <c r="D357" t="s">
        <v>98</v>
      </c>
      <c r="E357">
        <v>10000000</v>
      </c>
      <c r="F357" s="18">
        <v>45064</v>
      </c>
      <c r="G357" s="18">
        <v>45331</v>
      </c>
      <c r="H357">
        <v>2023</v>
      </c>
      <c r="I357" t="s">
        <v>268</v>
      </c>
      <c r="J357" s="27">
        <v>66127.740000000005</v>
      </c>
      <c r="K357" s="27">
        <v>24007.87</v>
      </c>
      <c r="L357" s="27">
        <v>90135.61</v>
      </c>
      <c r="M357" t="s">
        <v>11345</v>
      </c>
      <c r="O357" t="s">
        <v>170</v>
      </c>
      <c r="P357" s="27">
        <v>0</v>
      </c>
    </row>
    <row r="358" spans="1:16" ht="15.75" customHeight="1" x14ac:dyDescent="0.2">
      <c r="A358" t="s">
        <v>11749</v>
      </c>
      <c r="B358" t="s">
        <v>219</v>
      </c>
      <c r="C358" s="18">
        <v>45058</v>
      </c>
      <c r="D358" t="s">
        <v>101</v>
      </c>
      <c r="E358">
        <v>10000000</v>
      </c>
      <c r="F358" s="18">
        <v>45255</v>
      </c>
      <c r="G358" s="18">
        <v>45333</v>
      </c>
      <c r="H358">
        <v>2023</v>
      </c>
      <c r="I358" t="s">
        <v>268</v>
      </c>
      <c r="J358" s="27">
        <v>121224.41</v>
      </c>
      <c r="K358" s="27">
        <v>130322.9</v>
      </c>
      <c r="L358" s="27">
        <v>251547.31</v>
      </c>
      <c r="M358" t="s">
        <v>11436</v>
      </c>
      <c r="O358" t="s">
        <v>167</v>
      </c>
      <c r="P358" s="27">
        <v>251547.31</v>
      </c>
    </row>
    <row r="359" spans="1:16" ht="15.75" customHeight="1" x14ac:dyDescent="0.2">
      <c r="A359" t="s">
        <v>11750</v>
      </c>
      <c r="B359" t="s">
        <v>163</v>
      </c>
      <c r="C359" s="18">
        <v>45147</v>
      </c>
      <c r="D359" t="s">
        <v>98</v>
      </c>
      <c r="E359">
        <v>2500000</v>
      </c>
      <c r="F359" s="18">
        <v>45187</v>
      </c>
      <c r="G359" s="18">
        <v>45333</v>
      </c>
      <c r="H359">
        <v>2023</v>
      </c>
      <c r="I359" t="s">
        <v>268</v>
      </c>
      <c r="J359" s="27">
        <v>77731.3</v>
      </c>
      <c r="K359" s="27">
        <v>0</v>
      </c>
      <c r="L359" s="27">
        <v>77731.3</v>
      </c>
      <c r="M359" t="s">
        <v>11376</v>
      </c>
      <c r="O359" t="s">
        <v>170</v>
      </c>
      <c r="P359" s="27">
        <v>0</v>
      </c>
    </row>
    <row r="360" spans="1:16" ht="15.75" customHeight="1" x14ac:dyDescent="0.2">
      <c r="A360" t="s">
        <v>11751</v>
      </c>
      <c r="B360" t="s">
        <v>219</v>
      </c>
      <c r="C360" s="18">
        <v>44569</v>
      </c>
      <c r="D360" t="s">
        <v>102</v>
      </c>
      <c r="E360">
        <v>4500000</v>
      </c>
      <c r="F360" s="18">
        <v>44605</v>
      </c>
      <c r="G360" s="18">
        <v>45334</v>
      </c>
      <c r="H360">
        <v>2022</v>
      </c>
      <c r="I360" t="s">
        <v>268</v>
      </c>
      <c r="J360" s="27">
        <v>117420.12</v>
      </c>
      <c r="K360" s="27">
        <v>5388.71</v>
      </c>
      <c r="L360" s="27">
        <v>122808.83</v>
      </c>
      <c r="M360" t="s">
        <v>11351</v>
      </c>
      <c r="O360" t="s">
        <v>167</v>
      </c>
      <c r="P360" s="27">
        <v>122808.83</v>
      </c>
    </row>
    <row r="361" spans="1:16" ht="15.75" customHeight="1" x14ac:dyDescent="0.2">
      <c r="A361" t="s">
        <v>11752</v>
      </c>
      <c r="B361" t="s">
        <v>219</v>
      </c>
      <c r="C361" s="18">
        <v>45053</v>
      </c>
      <c r="D361" t="s">
        <v>98</v>
      </c>
      <c r="E361">
        <v>4000000</v>
      </c>
      <c r="F361" s="18">
        <v>45205</v>
      </c>
      <c r="G361" s="18">
        <v>45341</v>
      </c>
      <c r="H361">
        <v>2023</v>
      </c>
      <c r="I361" t="s">
        <v>268</v>
      </c>
      <c r="J361" s="27">
        <v>104530.67</v>
      </c>
      <c r="K361" s="27">
        <v>121966.5</v>
      </c>
      <c r="L361" s="27">
        <v>226497.17</v>
      </c>
      <c r="M361" t="s">
        <v>11577</v>
      </c>
      <c r="O361" t="s">
        <v>170</v>
      </c>
      <c r="P361" s="27">
        <v>0</v>
      </c>
    </row>
    <row r="362" spans="1:16" ht="15.75" customHeight="1" x14ac:dyDescent="0.2">
      <c r="A362" t="s">
        <v>11753</v>
      </c>
      <c r="B362" t="s">
        <v>163</v>
      </c>
      <c r="C362" s="18">
        <v>44317</v>
      </c>
      <c r="D362" t="s">
        <v>100</v>
      </c>
      <c r="E362">
        <v>10000000</v>
      </c>
      <c r="F362" s="18">
        <v>44456</v>
      </c>
      <c r="G362" s="18">
        <v>45346</v>
      </c>
      <c r="H362">
        <v>2021</v>
      </c>
      <c r="I362" t="s">
        <v>268</v>
      </c>
      <c r="J362" s="27">
        <v>78055.8</v>
      </c>
      <c r="K362" s="27">
        <v>0</v>
      </c>
      <c r="L362" s="27">
        <v>78055.8</v>
      </c>
      <c r="M362" t="s">
        <v>11389</v>
      </c>
      <c r="O362" t="s">
        <v>167</v>
      </c>
      <c r="P362" s="27">
        <v>78055.8</v>
      </c>
    </row>
    <row r="363" spans="1:16" ht="15.75" customHeight="1" x14ac:dyDescent="0.2">
      <c r="A363" t="s">
        <v>11754</v>
      </c>
      <c r="B363" t="s">
        <v>163</v>
      </c>
      <c r="C363" s="18">
        <v>45015</v>
      </c>
      <c r="D363" t="s">
        <v>100</v>
      </c>
      <c r="E363">
        <v>2500000</v>
      </c>
      <c r="F363" s="18">
        <v>45308</v>
      </c>
      <c r="G363" s="18">
        <v>45350</v>
      </c>
      <c r="H363">
        <v>2024</v>
      </c>
      <c r="I363" t="s">
        <v>268</v>
      </c>
      <c r="J363" s="27">
        <v>446624.91</v>
      </c>
      <c r="K363" s="27">
        <v>0</v>
      </c>
      <c r="L363" s="27">
        <v>446624.91</v>
      </c>
      <c r="M363" t="s">
        <v>11401</v>
      </c>
      <c r="O363" t="s">
        <v>170</v>
      </c>
      <c r="P363" s="27">
        <v>0</v>
      </c>
    </row>
    <row r="364" spans="1:16" ht="15.75" customHeight="1" x14ac:dyDescent="0.2">
      <c r="A364" t="s">
        <v>11755</v>
      </c>
      <c r="B364" t="s">
        <v>163</v>
      </c>
      <c r="C364" s="18">
        <v>45023</v>
      </c>
      <c r="D364" t="s">
        <v>98</v>
      </c>
      <c r="E364">
        <v>10000000</v>
      </c>
      <c r="F364" s="18">
        <v>45293</v>
      </c>
      <c r="G364" s="18">
        <v>45356</v>
      </c>
      <c r="H364">
        <v>2024</v>
      </c>
      <c r="I364" t="s">
        <v>268</v>
      </c>
      <c r="J364" s="27">
        <v>119939.11</v>
      </c>
      <c r="K364" s="27">
        <v>0</v>
      </c>
      <c r="L364" s="27">
        <v>119939.11</v>
      </c>
      <c r="M364" t="s">
        <v>11347</v>
      </c>
      <c r="O364" t="s">
        <v>170</v>
      </c>
      <c r="P364" s="27">
        <v>0</v>
      </c>
    </row>
    <row r="365" spans="1:16" ht="15.75" customHeight="1" x14ac:dyDescent="0.2">
      <c r="A365" t="s">
        <v>11756</v>
      </c>
      <c r="B365" t="s">
        <v>219</v>
      </c>
      <c r="C365" s="18">
        <v>44749</v>
      </c>
      <c r="D365" t="s">
        <v>98</v>
      </c>
      <c r="E365">
        <v>2000000</v>
      </c>
      <c r="F365" s="18">
        <v>44971</v>
      </c>
      <c r="G365" s="18">
        <v>45360</v>
      </c>
      <c r="H365">
        <v>2023</v>
      </c>
      <c r="I365" t="s">
        <v>268</v>
      </c>
      <c r="J365" s="27">
        <v>18370.73</v>
      </c>
      <c r="K365" s="27">
        <v>63990.31</v>
      </c>
      <c r="L365" s="27">
        <v>82361.039999999994</v>
      </c>
      <c r="M365" t="s">
        <v>11347</v>
      </c>
      <c r="O365" t="s">
        <v>170</v>
      </c>
      <c r="P365" s="27">
        <v>0</v>
      </c>
    </row>
    <row r="366" spans="1:16" ht="15.75" customHeight="1" x14ac:dyDescent="0.2">
      <c r="A366" t="s">
        <v>11757</v>
      </c>
      <c r="B366" t="s">
        <v>163</v>
      </c>
      <c r="C366" s="18">
        <v>44325</v>
      </c>
      <c r="D366" t="s">
        <v>101</v>
      </c>
      <c r="E366">
        <v>10000000</v>
      </c>
      <c r="F366" s="18">
        <v>44524</v>
      </c>
      <c r="G366" s="18">
        <v>45364</v>
      </c>
      <c r="H366">
        <v>2021</v>
      </c>
      <c r="I366" t="s">
        <v>268</v>
      </c>
      <c r="J366" s="27">
        <v>409973.72</v>
      </c>
      <c r="K366" s="27">
        <v>0</v>
      </c>
      <c r="L366" s="27">
        <v>409973.72</v>
      </c>
      <c r="M366" t="s">
        <v>11511</v>
      </c>
      <c r="O366" t="s">
        <v>167</v>
      </c>
      <c r="P366" s="27">
        <v>409973.72</v>
      </c>
    </row>
    <row r="367" spans="1:16" ht="15.75" customHeight="1" x14ac:dyDescent="0.2">
      <c r="A367" t="s">
        <v>11758</v>
      </c>
      <c r="B367" t="s">
        <v>219</v>
      </c>
      <c r="C367" s="18">
        <v>44119</v>
      </c>
      <c r="D367" t="s">
        <v>102</v>
      </c>
      <c r="E367">
        <v>5000000</v>
      </c>
      <c r="F367" s="18">
        <v>44446</v>
      </c>
      <c r="G367" s="18">
        <v>45368</v>
      </c>
      <c r="H367">
        <v>2021</v>
      </c>
      <c r="I367" t="s">
        <v>268</v>
      </c>
      <c r="J367" s="27">
        <v>60756.69</v>
      </c>
      <c r="K367" s="27">
        <v>36984.76</v>
      </c>
      <c r="L367" s="27">
        <v>97741.45</v>
      </c>
      <c r="M367" t="s">
        <v>11351</v>
      </c>
      <c r="O367" t="s">
        <v>167</v>
      </c>
      <c r="P367" s="27">
        <v>97741.45</v>
      </c>
    </row>
    <row r="368" spans="1:16" ht="15.75" customHeight="1" x14ac:dyDescent="0.2">
      <c r="A368" t="s">
        <v>11759</v>
      </c>
      <c r="B368" t="s">
        <v>219</v>
      </c>
      <c r="C368" s="18">
        <v>44458</v>
      </c>
      <c r="D368" t="s">
        <v>98</v>
      </c>
      <c r="E368">
        <v>10000000</v>
      </c>
      <c r="F368" s="18">
        <v>44805</v>
      </c>
      <c r="G368" s="18">
        <v>45369</v>
      </c>
      <c r="H368">
        <v>2022</v>
      </c>
      <c r="I368" t="s">
        <v>268</v>
      </c>
      <c r="J368" s="27">
        <v>383052.51</v>
      </c>
      <c r="K368" s="27">
        <v>398108.2</v>
      </c>
      <c r="L368" s="27">
        <v>781160.71</v>
      </c>
      <c r="M368" t="s">
        <v>11480</v>
      </c>
      <c r="O368" t="s">
        <v>170</v>
      </c>
      <c r="P368" s="27">
        <v>0</v>
      </c>
    </row>
    <row r="369" spans="1:16" ht="15.75" customHeight="1" x14ac:dyDescent="0.2">
      <c r="A369" t="s">
        <v>11760</v>
      </c>
      <c r="B369" t="s">
        <v>163</v>
      </c>
      <c r="C369" s="18">
        <v>43830</v>
      </c>
      <c r="D369" t="s">
        <v>99</v>
      </c>
      <c r="E369">
        <v>4000000</v>
      </c>
      <c r="F369" s="18">
        <v>44123</v>
      </c>
      <c r="G369" s="18">
        <v>45377</v>
      </c>
      <c r="H369">
        <v>2020</v>
      </c>
      <c r="I369" t="s">
        <v>268</v>
      </c>
      <c r="J369" s="27">
        <v>74288.22</v>
      </c>
      <c r="K369" s="27">
        <v>0</v>
      </c>
      <c r="L369" s="27">
        <v>74288.22</v>
      </c>
      <c r="M369" t="s">
        <v>11434</v>
      </c>
      <c r="O369" t="s">
        <v>167</v>
      </c>
      <c r="P369" s="27">
        <v>74288.22</v>
      </c>
    </row>
    <row r="370" spans="1:16" ht="15.75" customHeight="1" x14ac:dyDescent="0.2">
      <c r="A370" t="s">
        <v>11761</v>
      </c>
      <c r="B370" t="s">
        <v>163</v>
      </c>
      <c r="C370" s="18">
        <v>45011</v>
      </c>
      <c r="D370" t="s">
        <v>102</v>
      </c>
      <c r="E370">
        <v>10000000</v>
      </c>
      <c r="F370" s="18">
        <v>45336</v>
      </c>
      <c r="G370" s="18">
        <v>45378</v>
      </c>
      <c r="H370">
        <v>2024</v>
      </c>
      <c r="I370" t="s">
        <v>268</v>
      </c>
      <c r="J370" s="27">
        <v>855286.01</v>
      </c>
      <c r="K370" s="27">
        <v>0</v>
      </c>
      <c r="L370" s="27">
        <v>855286.01</v>
      </c>
      <c r="M370" t="s">
        <v>11480</v>
      </c>
      <c r="O370" t="s">
        <v>167</v>
      </c>
      <c r="P370" s="27">
        <v>855286.01</v>
      </c>
    </row>
    <row r="371" spans="1:16" ht="15.75" customHeight="1" x14ac:dyDescent="0.2">
      <c r="A371" t="s">
        <v>11762</v>
      </c>
      <c r="B371" t="s">
        <v>219</v>
      </c>
      <c r="C371" s="18">
        <v>44804</v>
      </c>
      <c r="D371" t="s">
        <v>99</v>
      </c>
      <c r="E371">
        <v>3000000</v>
      </c>
      <c r="F371" s="18">
        <v>45028</v>
      </c>
      <c r="G371" s="18">
        <v>45383</v>
      </c>
      <c r="H371">
        <v>2023</v>
      </c>
      <c r="I371" t="s">
        <v>268</v>
      </c>
      <c r="J371" s="27">
        <v>62040.480000000003</v>
      </c>
      <c r="K371" s="27">
        <v>17183.990000000002</v>
      </c>
      <c r="L371" s="27">
        <v>79224.47</v>
      </c>
      <c r="M371" t="s">
        <v>11459</v>
      </c>
      <c r="O371" t="s">
        <v>167</v>
      </c>
      <c r="P371" s="27">
        <v>79224.47</v>
      </c>
    </row>
    <row r="372" spans="1:16" ht="15.75" customHeight="1" x14ac:dyDescent="0.2">
      <c r="A372" t="s">
        <v>11763</v>
      </c>
      <c r="B372" t="s">
        <v>163</v>
      </c>
      <c r="C372" s="18">
        <v>45091</v>
      </c>
      <c r="D372" t="s">
        <v>98</v>
      </c>
      <c r="E372">
        <v>10000000</v>
      </c>
      <c r="F372" s="18">
        <v>45327</v>
      </c>
      <c r="G372" s="18">
        <v>45384</v>
      </c>
      <c r="H372">
        <v>2024</v>
      </c>
      <c r="I372" t="s">
        <v>268</v>
      </c>
      <c r="J372" s="27">
        <v>220360.68</v>
      </c>
      <c r="K372" s="27">
        <v>0</v>
      </c>
      <c r="L372" s="27">
        <v>220360.68</v>
      </c>
      <c r="M372" t="s">
        <v>11444</v>
      </c>
      <c r="O372" t="s">
        <v>170</v>
      </c>
      <c r="P372" s="27">
        <v>0</v>
      </c>
    </row>
    <row r="373" spans="1:16" ht="15.75" customHeight="1" x14ac:dyDescent="0.2">
      <c r="A373" t="s">
        <v>11764</v>
      </c>
      <c r="B373" t="s">
        <v>163</v>
      </c>
      <c r="C373" s="18">
        <v>45055</v>
      </c>
      <c r="D373" t="s">
        <v>98</v>
      </c>
      <c r="E373">
        <v>2000000</v>
      </c>
      <c r="F373" s="18">
        <v>45305</v>
      </c>
      <c r="G373" s="18">
        <v>45387</v>
      </c>
      <c r="H373">
        <v>2024</v>
      </c>
      <c r="I373" t="s">
        <v>268</v>
      </c>
      <c r="J373" s="27">
        <v>268321.90999999997</v>
      </c>
      <c r="K373" s="27">
        <v>0</v>
      </c>
      <c r="L373" s="27">
        <v>268321.90999999997</v>
      </c>
      <c r="M373" t="s">
        <v>11577</v>
      </c>
      <c r="O373" t="s">
        <v>170</v>
      </c>
      <c r="P373" s="27">
        <v>0</v>
      </c>
    </row>
    <row r="374" spans="1:16" ht="15.75" customHeight="1" x14ac:dyDescent="0.2">
      <c r="A374" t="s">
        <v>11765</v>
      </c>
      <c r="B374" t="s">
        <v>163</v>
      </c>
      <c r="C374" s="18">
        <v>45022</v>
      </c>
      <c r="D374" t="s">
        <v>98</v>
      </c>
      <c r="E374">
        <v>3500000</v>
      </c>
      <c r="F374" s="18">
        <v>45305</v>
      </c>
      <c r="G374" s="18">
        <v>45392</v>
      </c>
      <c r="H374">
        <v>2024</v>
      </c>
      <c r="I374" t="s">
        <v>268</v>
      </c>
      <c r="J374" s="27">
        <v>406111.32</v>
      </c>
      <c r="K374" s="27">
        <v>0</v>
      </c>
      <c r="L374" s="27">
        <v>406111.32</v>
      </c>
      <c r="M374" t="s">
        <v>11511</v>
      </c>
      <c r="O374" t="s">
        <v>170</v>
      </c>
      <c r="P374" s="27">
        <v>0</v>
      </c>
    </row>
    <row r="375" spans="1:16" ht="15.75" customHeight="1" x14ac:dyDescent="0.2">
      <c r="A375" t="s">
        <v>11766</v>
      </c>
      <c r="B375" t="s">
        <v>163</v>
      </c>
      <c r="C375" s="18">
        <v>45112</v>
      </c>
      <c r="D375" t="s">
        <v>99</v>
      </c>
      <c r="E375">
        <v>2500000</v>
      </c>
      <c r="F375" s="18">
        <v>45325</v>
      </c>
      <c r="G375" s="18">
        <v>45401</v>
      </c>
      <c r="H375">
        <v>2024</v>
      </c>
      <c r="I375" t="s">
        <v>268</v>
      </c>
      <c r="J375" s="27">
        <v>101485.04</v>
      </c>
      <c r="K375" s="27">
        <v>0</v>
      </c>
      <c r="L375" s="27">
        <v>101485.04</v>
      </c>
      <c r="M375" t="s">
        <v>11467</v>
      </c>
      <c r="O375" t="s">
        <v>167</v>
      </c>
      <c r="P375" s="27">
        <v>101485.04</v>
      </c>
    </row>
    <row r="376" spans="1:16" ht="15.75" customHeight="1" x14ac:dyDescent="0.2">
      <c r="A376" t="s">
        <v>11767</v>
      </c>
      <c r="B376" t="s">
        <v>219</v>
      </c>
      <c r="C376" s="18">
        <v>44541</v>
      </c>
      <c r="D376" t="s">
        <v>101</v>
      </c>
      <c r="E376">
        <v>2500000</v>
      </c>
      <c r="F376" s="18">
        <v>44664</v>
      </c>
      <c r="G376" s="18">
        <v>45403</v>
      </c>
      <c r="H376">
        <v>2022</v>
      </c>
      <c r="I376" t="s">
        <v>268</v>
      </c>
      <c r="J376" s="27">
        <v>92372.36</v>
      </c>
      <c r="K376" s="27">
        <v>16728.91</v>
      </c>
      <c r="L376" s="27">
        <v>109101.27</v>
      </c>
      <c r="M376" t="s">
        <v>11397</v>
      </c>
      <c r="O376" t="s">
        <v>167</v>
      </c>
      <c r="P376" s="27">
        <v>109101.27</v>
      </c>
    </row>
    <row r="377" spans="1:16" ht="15.75" customHeight="1" x14ac:dyDescent="0.2">
      <c r="A377" t="s">
        <v>11768</v>
      </c>
      <c r="B377" t="s">
        <v>163</v>
      </c>
      <c r="C377" s="18">
        <v>45063</v>
      </c>
      <c r="D377" t="s">
        <v>101</v>
      </c>
      <c r="E377">
        <v>4500000</v>
      </c>
      <c r="F377" s="18">
        <v>45358</v>
      </c>
      <c r="G377" s="18">
        <v>45403</v>
      </c>
      <c r="H377">
        <v>2024</v>
      </c>
      <c r="I377" t="s">
        <v>268</v>
      </c>
      <c r="J377" s="27">
        <v>188721.42</v>
      </c>
      <c r="K377" s="27">
        <v>0</v>
      </c>
      <c r="L377" s="27">
        <v>188721.42</v>
      </c>
      <c r="M377" t="s">
        <v>11477</v>
      </c>
      <c r="O377" t="s">
        <v>167</v>
      </c>
      <c r="P377" s="27">
        <v>188721.42</v>
      </c>
    </row>
    <row r="378" spans="1:16" ht="15.75" customHeight="1" x14ac:dyDescent="0.2">
      <c r="A378" t="s">
        <v>11769</v>
      </c>
      <c r="B378" t="s">
        <v>163</v>
      </c>
      <c r="C378" s="18">
        <v>44968</v>
      </c>
      <c r="D378" t="s">
        <v>98</v>
      </c>
      <c r="E378">
        <v>2000000</v>
      </c>
      <c r="F378" s="18">
        <v>45181</v>
      </c>
      <c r="G378" s="18">
        <v>45423</v>
      </c>
      <c r="H378">
        <v>2023</v>
      </c>
      <c r="I378" t="s">
        <v>268</v>
      </c>
      <c r="J378" s="27">
        <v>150405.03</v>
      </c>
      <c r="K378" s="27">
        <v>0</v>
      </c>
      <c r="L378" s="27">
        <v>150405.03</v>
      </c>
      <c r="M378" t="s">
        <v>11413</v>
      </c>
      <c r="O378" t="s">
        <v>170</v>
      </c>
      <c r="P378" s="27">
        <v>0</v>
      </c>
    </row>
    <row r="379" spans="1:16" ht="15.75" customHeight="1" x14ac:dyDescent="0.2">
      <c r="A379" t="s">
        <v>11770</v>
      </c>
      <c r="B379" t="s">
        <v>219</v>
      </c>
      <c r="C379" s="18">
        <v>45042</v>
      </c>
      <c r="D379" t="s">
        <v>99</v>
      </c>
      <c r="E379">
        <v>2000000</v>
      </c>
      <c r="F379" s="18">
        <v>45206</v>
      </c>
      <c r="G379" s="18">
        <v>45426</v>
      </c>
      <c r="H379">
        <v>2023</v>
      </c>
      <c r="I379" t="s">
        <v>268</v>
      </c>
      <c r="J379" s="27">
        <v>148218.03</v>
      </c>
      <c r="K379" s="27">
        <v>54324.84</v>
      </c>
      <c r="L379" s="27">
        <v>202542.87</v>
      </c>
      <c r="M379" t="s">
        <v>11359</v>
      </c>
      <c r="O379" t="s">
        <v>167</v>
      </c>
      <c r="P379" s="27">
        <v>202542.87</v>
      </c>
    </row>
    <row r="380" spans="1:16" ht="15.75" customHeight="1" x14ac:dyDescent="0.2">
      <c r="A380" t="s">
        <v>11771</v>
      </c>
      <c r="B380" t="s">
        <v>219</v>
      </c>
      <c r="C380" s="18">
        <v>45102</v>
      </c>
      <c r="D380" t="s">
        <v>99</v>
      </c>
      <c r="E380">
        <v>4500000</v>
      </c>
      <c r="F380" s="18">
        <v>45226</v>
      </c>
      <c r="G380" s="18">
        <v>45427</v>
      </c>
      <c r="H380">
        <v>2023</v>
      </c>
      <c r="I380" t="s">
        <v>268</v>
      </c>
      <c r="J380" s="27">
        <v>44156.97</v>
      </c>
      <c r="K380" s="27">
        <v>59247</v>
      </c>
      <c r="L380" s="27">
        <v>103403.97</v>
      </c>
      <c r="M380" t="s">
        <v>11378</v>
      </c>
      <c r="O380" t="s">
        <v>167</v>
      </c>
      <c r="P380" s="27">
        <v>103403.97</v>
      </c>
    </row>
    <row r="381" spans="1:16" ht="15.75" customHeight="1" x14ac:dyDescent="0.2">
      <c r="A381" t="s">
        <v>11772</v>
      </c>
      <c r="B381" t="s">
        <v>163</v>
      </c>
      <c r="C381" s="18">
        <v>45232</v>
      </c>
      <c r="D381" t="s">
        <v>100</v>
      </c>
      <c r="E381">
        <v>4500000</v>
      </c>
      <c r="F381" s="18">
        <v>45266</v>
      </c>
      <c r="G381" s="18">
        <v>45428</v>
      </c>
      <c r="H381">
        <v>2023</v>
      </c>
      <c r="I381" t="s">
        <v>268</v>
      </c>
      <c r="J381" s="27">
        <v>207658.07</v>
      </c>
      <c r="K381" s="27">
        <v>0</v>
      </c>
      <c r="L381" s="27">
        <v>207658.07</v>
      </c>
      <c r="M381" t="s">
        <v>11343</v>
      </c>
      <c r="O381" t="s">
        <v>170</v>
      </c>
      <c r="P381" s="27">
        <v>0</v>
      </c>
    </row>
    <row r="382" spans="1:16" ht="15.75" customHeight="1" x14ac:dyDescent="0.2">
      <c r="A382" t="s">
        <v>11773</v>
      </c>
      <c r="B382" t="s">
        <v>163</v>
      </c>
      <c r="C382" s="18">
        <v>44918</v>
      </c>
      <c r="D382" t="s">
        <v>98</v>
      </c>
      <c r="E382">
        <v>5000000</v>
      </c>
      <c r="F382" s="18">
        <v>44919</v>
      </c>
      <c r="G382" s="18">
        <v>45429</v>
      </c>
      <c r="H382">
        <v>2022</v>
      </c>
      <c r="I382" t="s">
        <v>268</v>
      </c>
      <c r="J382" s="27">
        <v>574076.78</v>
      </c>
      <c r="K382" s="27">
        <v>0</v>
      </c>
      <c r="L382" s="27">
        <v>574076.78</v>
      </c>
      <c r="M382" t="s">
        <v>11420</v>
      </c>
      <c r="O382" t="s">
        <v>170</v>
      </c>
      <c r="P382" s="27">
        <v>0</v>
      </c>
    </row>
    <row r="383" spans="1:16" ht="15.75" customHeight="1" x14ac:dyDescent="0.2">
      <c r="A383" t="s">
        <v>11774</v>
      </c>
      <c r="B383" t="s">
        <v>163</v>
      </c>
      <c r="C383" s="18">
        <v>44601</v>
      </c>
      <c r="D383" t="s">
        <v>102</v>
      </c>
      <c r="E383">
        <v>2000000</v>
      </c>
      <c r="F383" s="18">
        <v>44682</v>
      </c>
      <c r="G383" s="18">
        <v>45433</v>
      </c>
      <c r="H383">
        <v>2022</v>
      </c>
      <c r="I383" t="s">
        <v>268</v>
      </c>
      <c r="J383" s="27">
        <v>148567.44</v>
      </c>
      <c r="K383" s="27">
        <v>0</v>
      </c>
      <c r="L383" s="27">
        <v>148567.44</v>
      </c>
      <c r="M383" t="s">
        <v>11378</v>
      </c>
      <c r="O383" t="s">
        <v>167</v>
      </c>
      <c r="P383" s="27">
        <v>148567.44</v>
      </c>
    </row>
    <row r="384" spans="1:16" ht="15.75" customHeight="1" x14ac:dyDescent="0.2">
      <c r="A384" t="s">
        <v>11775</v>
      </c>
      <c r="B384" t="s">
        <v>163</v>
      </c>
      <c r="C384" s="18">
        <v>45313</v>
      </c>
      <c r="D384" t="s">
        <v>99</v>
      </c>
      <c r="E384">
        <v>10000000</v>
      </c>
      <c r="F384" s="18">
        <v>45354</v>
      </c>
      <c r="G384" s="18">
        <v>45433</v>
      </c>
      <c r="H384">
        <v>2024</v>
      </c>
      <c r="I384" t="s">
        <v>268</v>
      </c>
      <c r="J384" s="27">
        <v>151480.74</v>
      </c>
      <c r="K384" s="27">
        <v>0</v>
      </c>
      <c r="L384" s="27">
        <v>151480.74</v>
      </c>
      <c r="M384" t="s">
        <v>11399</v>
      </c>
      <c r="O384" t="s">
        <v>167</v>
      </c>
      <c r="P384" s="27">
        <v>151480.74</v>
      </c>
    </row>
    <row r="385" spans="1:16" ht="15.75" customHeight="1" x14ac:dyDescent="0.2">
      <c r="A385" t="s">
        <v>11776</v>
      </c>
      <c r="B385" t="s">
        <v>219</v>
      </c>
      <c r="C385" s="18">
        <v>45156</v>
      </c>
      <c r="D385" t="s">
        <v>102</v>
      </c>
      <c r="E385">
        <v>4000000</v>
      </c>
      <c r="F385" s="18">
        <v>45283</v>
      </c>
      <c r="G385" s="18">
        <v>45439</v>
      </c>
      <c r="H385">
        <v>2023</v>
      </c>
      <c r="I385" t="s">
        <v>268</v>
      </c>
      <c r="J385" s="27">
        <v>246138.52</v>
      </c>
      <c r="K385" s="27">
        <v>40800.230000000003</v>
      </c>
      <c r="L385" s="27">
        <v>286938.75</v>
      </c>
      <c r="M385" t="s">
        <v>11366</v>
      </c>
      <c r="O385" t="s">
        <v>167</v>
      </c>
      <c r="P385" s="27">
        <v>286938.75</v>
      </c>
    </row>
    <row r="386" spans="1:16" ht="15.75" customHeight="1" x14ac:dyDescent="0.2">
      <c r="A386" t="s">
        <v>11777</v>
      </c>
      <c r="B386" t="s">
        <v>163</v>
      </c>
      <c r="C386" s="18">
        <v>45082</v>
      </c>
      <c r="D386" t="s">
        <v>100</v>
      </c>
      <c r="E386">
        <v>10000000</v>
      </c>
      <c r="F386" s="18">
        <v>45369</v>
      </c>
      <c r="G386" s="18">
        <v>45439</v>
      </c>
      <c r="H386">
        <v>2024</v>
      </c>
      <c r="I386" t="s">
        <v>268</v>
      </c>
      <c r="J386" s="27">
        <v>212876.59</v>
      </c>
      <c r="K386" s="27">
        <v>0</v>
      </c>
      <c r="L386" s="27">
        <v>212876.59</v>
      </c>
      <c r="M386" t="s">
        <v>11357</v>
      </c>
      <c r="O386" t="s">
        <v>167</v>
      </c>
      <c r="P386" s="27">
        <v>212876.59</v>
      </c>
    </row>
    <row r="387" spans="1:16" ht="15.75" customHeight="1" x14ac:dyDescent="0.2">
      <c r="A387" t="s">
        <v>11778</v>
      </c>
      <c r="B387" t="s">
        <v>163</v>
      </c>
      <c r="C387" s="18">
        <v>45305</v>
      </c>
      <c r="D387" t="s">
        <v>98</v>
      </c>
      <c r="E387">
        <v>10000000</v>
      </c>
      <c r="F387" s="18">
        <v>45378</v>
      </c>
      <c r="G387" s="18">
        <v>45440</v>
      </c>
      <c r="H387">
        <v>2024</v>
      </c>
      <c r="I387" t="s">
        <v>268</v>
      </c>
      <c r="J387" s="27">
        <v>255442.11</v>
      </c>
      <c r="K387" s="27">
        <v>0</v>
      </c>
      <c r="L387" s="27">
        <v>255442.11</v>
      </c>
      <c r="M387" t="s">
        <v>11422</v>
      </c>
      <c r="O387" t="s">
        <v>170</v>
      </c>
      <c r="P387" s="27">
        <v>0</v>
      </c>
    </row>
    <row r="388" spans="1:16" ht="15.75" customHeight="1" x14ac:dyDescent="0.2">
      <c r="A388" t="s">
        <v>11779</v>
      </c>
      <c r="B388" t="s">
        <v>163</v>
      </c>
      <c r="C388" s="18">
        <v>45365</v>
      </c>
      <c r="D388" t="s">
        <v>98</v>
      </c>
      <c r="E388">
        <v>10000000</v>
      </c>
      <c r="F388" s="18">
        <v>45389</v>
      </c>
      <c r="G388" s="18">
        <v>45441</v>
      </c>
      <c r="H388">
        <v>2024</v>
      </c>
      <c r="I388" t="s">
        <v>268</v>
      </c>
      <c r="J388" s="27">
        <v>65102.93</v>
      </c>
      <c r="K388" s="27">
        <v>0</v>
      </c>
      <c r="L388" s="27">
        <v>65102.93</v>
      </c>
      <c r="M388" t="s">
        <v>11554</v>
      </c>
      <c r="O388" t="s">
        <v>170</v>
      </c>
      <c r="P388" s="27">
        <v>0</v>
      </c>
    </row>
    <row r="389" spans="1:16" ht="15.75" customHeight="1" x14ac:dyDescent="0.2">
      <c r="A389" t="s">
        <v>11780</v>
      </c>
      <c r="B389" t="s">
        <v>163</v>
      </c>
      <c r="C389" s="18">
        <v>45276</v>
      </c>
      <c r="D389" t="s">
        <v>98</v>
      </c>
      <c r="E389">
        <v>5000000</v>
      </c>
      <c r="F389" s="18">
        <v>45280</v>
      </c>
      <c r="G389" s="18">
        <v>45443</v>
      </c>
      <c r="H389">
        <v>2023</v>
      </c>
      <c r="I389" t="s">
        <v>268</v>
      </c>
      <c r="J389" s="27">
        <v>67792.02</v>
      </c>
      <c r="K389" s="27">
        <v>0</v>
      </c>
      <c r="L389" s="27">
        <v>67792.02</v>
      </c>
      <c r="M389" t="s">
        <v>11389</v>
      </c>
      <c r="O389" t="s">
        <v>170</v>
      </c>
      <c r="P389" s="27">
        <v>0</v>
      </c>
    </row>
    <row r="390" spans="1:16" ht="15.75" customHeight="1" x14ac:dyDescent="0.2">
      <c r="A390" t="s">
        <v>11781</v>
      </c>
      <c r="B390" t="s">
        <v>219</v>
      </c>
      <c r="C390" s="18">
        <v>45205</v>
      </c>
      <c r="D390" t="s">
        <v>99</v>
      </c>
      <c r="E390">
        <v>5000000</v>
      </c>
      <c r="F390" s="18">
        <v>45271</v>
      </c>
      <c r="G390" s="18">
        <v>45444</v>
      </c>
      <c r="H390">
        <v>2023</v>
      </c>
      <c r="I390" t="s">
        <v>268</v>
      </c>
      <c r="J390" s="27">
        <v>276369.31</v>
      </c>
      <c r="K390" s="27">
        <v>964.48000000001798</v>
      </c>
      <c r="L390" s="27">
        <v>277333.78999999998</v>
      </c>
      <c r="M390" t="s">
        <v>11422</v>
      </c>
      <c r="O390" t="s">
        <v>167</v>
      </c>
      <c r="P390" s="27">
        <v>277333.78999999998</v>
      </c>
    </row>
    <row r="391" spans="1:16" ht="15.75" customHeight="1" x14ac:dyDescent="0.2">
      <c r="A391" t="s">
        <v>11782</v>
      </c>
      <c r="B391" t="s">
        <v>219</v>
      </c>
      <c r="C391" s="18">
        <v>45205</v>
      </c>
      <c r="D391" t="s">
        <v>101</v>
      </c>
      <c r="E391">
        <v>4000000</v>
      </c>
      <c r="F391" s="18">
        <v>45369</v>
      </c>
      <c r="G391" s="18">
        <v>45445</v>
      </c>
      <c r="H391">
        <v>2024</v>
      </c>
      <c r="I391" t="s">
        <v>268</v>
      </c>
      <c r="J391" s="27">
        <v>75533.05</v>
      </c>
      <c r="K391" s="27">
        <v>5343.08</v>
      </c>
      <c r="L391" s="27">
        <v>80876.13</v>
      </c>
      <c r="M391" t="s">
        <v>11387</v>
      </c>
      <c r="O391" t="s">
        <v>167</v>
      </c>
      <c r="P391" s="27">
        <v>80876.13</v>
      </c>
    </row>
    <row r="392" spans="1:16" ht="15.75" customHeight="1" x14ac:dyDescent="0.2">
      <c r="A392" t="s">
        <v>11783</v>
      </c>
      <c r="B392" t="s">
        <v>219</v>
      </c>
      <c r="C392" s="18">
        <v>45042</v>
      </c>
      <c r="D392" t="s">
        <v>98</v>
      </c>
      <c r="E392">
        <v>10000000</v>
      </c>
      <c r="F392" s="18">
        <v>45387</v>
      </c>
      <c r="G392" s="18">
        <v>45446</v>
      </c>
      <c r="H392">
        <v>2024</v>
      </c>
      <c r="I392" t="s">
        <v>268</v>
      </c>
      <c r="J392" s="27">
        <v>175185.37</v>
      </c>
      <c r="K392" s="27">
        <v>44421.02</v>
      </c>
      <c r="L392" s="27">
        <v>219606.39</v>
      </c>
      <c r="M392" t="s">
        <v>11372</v>
      </c>
      <c r="O392" t="s">
        <v>170</v>
      </c>
      <c r="P392" s="27">
        <v>0</v>
      </c>
    </row>
    <row r="393" spans="1:16" ht="15.75" customHeight="1" x14ac:dyDescent="0.2">
      <c r="A393" t="s">
        <v>11784</v>
      </c>
      <c r="B393" t="s">
        <v>163</v>
      </c>
      <c r="C393" s="18">
        <v>45377</v>
      </c>
      <c r="D393" t="s">
        <v>102</v>
      </c>
      <c r="E393">
        <v>2000000</v>
      </c>
      <c r="F393" s="18">
        <v>45413</v>
      </c>
      <c r="G393" s="18">
        <v>45461</v>
      </c>
      <c r="H393">
        <v>2024</v>
      </c>
      <c r="I393" t="s">
        <v>268</v>
      </c>
      <c r="J393" s="27">
        <v>75416.47</v>
      </c>
      <c r="K393" s="27">
        <v>0</v>
      </c>
      <c r="L393" s="27">
        <v>75416.47</v>
      </c>
      <c r="M393" t="s">
        <v>11431</v>
      </c>
      <c r="O393" t="s">
        <v>167</v>
      </c>
      <c r="P393" s="27">
        <v>75416.47</v>
      </c>
    </row>
    <row r="394" spans="1:16" ht="15.75" customHeight="1" x14ac:dyDescent="0.2">
      <c r="A394" t="s">
        <v>11785</v>
      </c>
      <c r="B394" t="s">
        <v>163</v>
      </c>
      <c r="C394" s="18">
        <v>45121</v>
      </c>
      <c r="D394" t="s">
        <v>101</v>
      </c>
      <c r="E394">
        <v>3000000</v>
      </c>
      <c r="F394" s="18">
        <v>45273</v>
      </c>
      <c r="G394" s="18">
        <v>45464</v>
      </c>
      <c r="H394">
        <v>2023</v>
      </c>
      <c r="I394" t="s">
        <v>268</v>
      </c>
      <c r="J394" s="27">
        <v>68511.240000000005</v>
      </c>
      <c r="K394" s="27">
        <v>0</v>
      </c>
      <c r="L394" s="27">
        <v>68511.240000000005</v>
      </c>
      <c r="M394" t="s">
        <v>11368</v>
      </c>
      <c r="O394" t="s">
        <v>167</v>
      </c>
      <c r="P394" s="27">
        <v>68511.240000000005</v>
      </c>
    </row>
    <row r="395" spans="1:16" ht="15.75" customHeight="1" x14ac:dyDescent="0.2">
      <c r="A395" t="s">
        <v>11786</v>
      </c>
      <c r="B395" t="s">
        <v>219</v>
      </c>
      <c r="C395" s="18">
        <v>44379</v>
      </c>
      <c r="D395" t="s">
        <v>98</v>
      </c>
      <c r="E395">
        <v>5000000</v>
      </c>
      <c r="F395" s="18">
        <v>44641</v>
      </c>
      <c r="G395" s="18">
        <v>45466</v>
      </c>
      <c r="H395">
        <v>2022</v>
      </c>
      <c r="I395" t="s">
        <v>268</v>
      </c>
      <c r="J395" s="27">
        <v>96560.95</v>
      </c>
      <c r="K395" s="27">
        <v>22074.09</v>
      </c>
      <c r="L395" s="27">
        <v>124542.49</v>
      </c>
      <c r="M395" t="s">
        <v>11384</v>
      </c>
      <c r="O395" t="s">
        <v>170</v>
      </c>
      <c r="P395" s="27">
        <v>0</v>
      </c>
    </row>
    <row r="396" spans="1:16" ht="15.75" customHeight="1" x14ac:dyDescent="0.2">
      <c r="A396" t="s">
        <v>11787</v>
      </c>
      <c r="B396" t="s">
        <v>219</v>
      </c>
      <c r="C396" s="18">
        <v>45198</v>
      </c>
      <c r="D396" t="s">
        <v>98</v>
      </c>
      <c r="E396">
        <v>4000000</v>
      </c>
      <c r="F396" s="18">
        <v>45447</v>
      </c>
      <c r="G396" s="18">
        <v>45483</v>
      </c>
      <c r="H396">
        <v>2024</v>
      </c>
      <c r="I396" t="s">
        <v>268</v>
      </c>
      <c r="J396" s="27">
        <v>236195.23</v>
      </c>
      <c r="K396" s="27">
        <v>149863.81</v>
      </c>
      <c r="L396" s="27">
        <v>387350.09</v>
      </c>
      <c r="M396" t="s">
        <v>11496</v>
      </c>
      <c r="O396" t="s">
        <v>170</v>
      </c>
      <c r="P396" s="27">
        <v>0</v>
      </c>
    </row>
    <row r="397" spans="1:16" ht="15.75" customHeight="1" x14ac:dyDescent="0.2">
      <c r="A397" t="s">
        <v>11788</v>
      </c>
      <c r="B397" t="s">
        <v>219</v>
      </c>
      <c r="C397" s="18">
        <v>45172</v>
      </c>
      <c r="D397" t="s">
        <v>98</v>
      </c>
      <c r="E397">
        <v>3000000</v>
      </c>
      <c r="F397" s="18">
        <v>45428</v>
      </c>
      <c r="G397" s="18">
        <v>45485</v>
      </c>
      <c r="H397">
        <v>2024</v>
      </c>
      <c r="I397" t="s">
        <v>268</v>
      </c>
      <c r="J397" s="27">
        <v>81237.78</v>
      </c>
      <c r="K397" s="27">
        <v>16031.33</v>
      </c>
      <c r="L397" s="27">
        <v>99418.59</v>
      </c>
      <c r="M397" t="s">
        <v>11459</v>
      </c>
      <c r="O397" t="s">
        <v>170</v>
      </c>
      <c r="P397" s="27">
        <v>0</v>
      </c>
    </row>
    <row r="398" spans="1:16" ht="15.75" customHeight="1" x14ac:dyDescent="0.2">
      <c r="A398" t="s">
        <v>11789</v>
      </c>
      <c r="B398" t="s">
        <v>219</v>
      </c>
      <c r="C398" s="18">
        <v>45312</v>
      </c>
      <c r="D398" t="s">
        <v>100</v>
      </c>
      <c r="E398">
        <v>10000000</v>
      </c>
      <c r="F398" s="18">
        <v>45362</v>
      </c>
      <c r="G398" s="18">
        <v>45487</v>
      </c>
      <c r="H398">
        <v>2024</v>
      </c>
      <c r="I398" t="s">
        <v>268</v>
      </c>
      <c r="J398" s="27">
        <v>369965.12</v>
      </c>
      <c r="K398" s="27">
        <v>123758.49</v>
      </c>
      <c r="L398" s="27">
        <v>527682.15</v>
      </c>
      <c r="M398" t="s">
        <v>11420</v>
      </c>
      <c r="O398" t="s">
        <v>167</v>
      </c>
      <c r="P398" s="27">
        <v>493723.61</v>
      </c>
    </row>
    <row r="399" spans="1:16" ht="15.75" customHeight="1" x14ac:dyDescent="0.2">
      <c r="A399" t="s">
        <v>11790</v>
      </c>
      <c r="B399" t="s">
        <v>163</v>
      </c>
      <c r="C399" s="18">
        <v>45359</v>
      </c>
      <c r="D399" t="s">
        <v>99</v>
      </c>
      <c r="E399">
        <v>10000000</v>
      </c>
      <c r="F399" s="18">
        <v>45388</v>
      </c>
      <c r="G399" s="18">
        <v>45488</v>
      </c>
      <c r="H399">
        <v>2024</v>
      </c>
      <c r="I399" t="s">
        <v>268</v>
      </c>
      <c r="J399" s="27">
        <v>217266.26</v>
      </c>
      <c r="K399" s="27">
        <v>0</v>
      </c>
      <c r="L399" s="27">
        <v>236384.07</v>
      </c>
      <c r="M399" t="s">
        <v>11487</v>
      </c>
      <c r="O399" t="s">
        <v>167</v>
      </c>
      <c r="P399" s="27">
        <v>217266.26</v>
      </c>
    </row>
    <row r="400" spans="1:16" ht="15.75" customHeight="1" x14ac:dyDescent="0.2">
      <c r="A400" t="s">
        <v>11791</v>
      </c>
      <c r="B400" t="s">
        <v>219</v>
      </c>
      <c r="C400" s="18">
        <v>45187</v>
      </c>
      <c r="D400" t="s">
        <v>98</v>
      </c>
      <c r="E400">
        <v>4500000</v>
      </c>
      <c r="F400" s="18">
        <v>45396</v>
      </c>
      <c r="G400" s="18">
        <v>45489</v>
      </c>
      <c r="H400">
        <v>2024</v>
      </c>
      <c r="I400" t="s">
        <v>268</v>
      </c>
      <c r="J400" s="27">
        <v>166532.62</v>
      </c>
      <c r="K400" s="27">
        <v>22909.5</v>
      </c>
      <c r="L400" s="27">
        <v>198464.87</v>
      </c>
      <c r="M400" t="s">
        <v>11343</v>
      </c>
      <c r="O400" t="s">
        <v>170</v>
      </c>
      <c r="P400" s="27">
        <v>0</v>
      </c>
    </row>
    <row r="401" spans="1:16" ht="15.75" customHeight="1" x14ac:dyDescent="0.2">
      <c r="A401" t="s">
        <v>11792</v>
      </c>
      <c r="B401" t="s">
        <v>219</v>
      </c>
      <c r="C401" s="18">
        <v>45018</v>
      </c>
      <c r="D401" t="s">
        <v>98</v>
      </c>
      <c r="E401">
        <v>10000000</v>
      </c>
      <c r="F401" s="18">
        <v>45267</v>
      </c>
      <c r="G401" s="18">
        <v>45491</v>
      </c>
      <c r="H401">
        <v>2023</v>
      </c>
      <c r="I401" t="s">
        <v>268</v>
      </c>
      <c r="J401" s="27">
        <v>238581.39</v>
      </c>
      <c r="K401" s="27">
        <v>104252.38</v>
      </c>
      <c r="L401" s="27">
        <v>362216.86</v>
      </c>
      <c r="M401" t="s">
        <v>11401</v>
      </c>
      <c r="O401" t="s">
        <v>170</v>
      </c>
      <c r="P401" s="27">
        <v>0</v>
      </c>
    </row>
    <row r="402" spans="1:16" ht="15.75" customHeight="1" x14ac:dyDescent="0.2">
      <c r="A402" t="s">
        <v>11793</v>
      </c>
      <c r="B402" t="s">
        <v>219</v>
      </c>
      <c r="C402" s="18">
        <v>45257</v>
      </c>
      <c r="D402" t="s">
        <v>102</v>
      </c>
      <c r="E402">
        <v>4000000</v>
      </c>
      <c r="F402" s="18">
        <v>45269</v>
      </c>
      <c r="G402" s="18">
        <v>45498</v>
      </c>
      <c r="H402">
        <v>2023</v>
      </c>
      <c r="I402" t="s">
        <v>268</v>
      </c>
      <c r="J402" s="27">
        <v>50823.6</v>
      </c>
      <c r="K402" s="27">
        <v>121257.73</v>
      </c>
      <c r="L402" s="27">
        <v>175633.93</v>
      </c>
      <c r="M402" t="s">
        <v>11451</v>
      </c>
      <c r="O402" t="s">
        <v>170</v>
      </c>
      <c r="P402" s="27">
        <v>0</v>
      </c>
    </row>
    <row r="403" spans="1:16" ht="15.75" customHeight="1" x14ac:dyDescent="0.2">
      <c r="A403" t="s">
        <v>11794</v>
      </c>
      <c r="B403" t="s">
        <v>219</v>
      </c>
      <c r="C403" s="18">
        <v>44584</v>
      </c>
      <c r="D403" t="s">
        <v>100</v>
      </c>
      <c r="E403">
        <v>1000000</v>
      </c>
      <c r="F403" s="18">
        <v>44903</v>
      </c>
      <c r="G403" s="18">
        <v>45503</v>
      </c>
      <c r="H403">
        <v>2022</v>
      </c>
      <c r="I403" t="s">
        <v>268</v>
      </c>
      <c r="J403" s="27">
        <v>58984.79</v>
      </c>
      <c r="K403" s="27">
        <v>42625.25</v>
      </c>
      <c r="L403" s="27">
        <v>109183.31</v>
      </c>
      <c r="M403" t="s">
        <v>11397</v>
      </c>
      <c r="O403" t="s">
        <v>167</v>
      </c>
      <c r="P403" s="27">
        <v>101610.04</v>
      </c>
    </row>
    <row r="404" spans="1:16" ht="15.75" customHeight="1" x14ac:dyDescent="0.2">
      <c r="A404" t="s">
        <v>11795</v>
      </c>
      <c r="B404" t="s">
        <v>163</v>
      </c>
      <c r="C404" s="18">
        <v>44120</v>
      </c>
      <c r="D404" t="s">
        <v>101</v>
      </c>
      <c r="E404">
        <v>3500000</v>
      </c>
      <c r="F404" s="18">
        <v>44346</v>
      </c>
      <c r="G404" s="18">
        <v>45504</v>
      </c>
      <c r="H404">
        <v>2021</v>
      </c>
      <c r="I404" t="s">
        <v>268</v>
      </c>
      <c r="J404" s="27">
        <v>92600.49</v>
      </c>
      <c r="K404" s="27">
        <v>0</v>
      </c>
      <c r="L404" s="27">
        <v>94678.27</v>
      </c>
      <c r="M404" t="s">
        <v>11493</v>
      </c>
      <c r="O404" t="s">
        <v>167</v>
      </c>
      <c r="P404" s="27">
        <v>92600.49</v>
      </c>
    </row>
    <row r="405" spans="1:16" ht="15.75" customHeight="1" x14ac:dyDescent="0.2">
      <c r="A405" t="s">
        <v>11796</v>
      </c>
      <c r="B405" t="s">
        <v>219</v>
      </c>
      <c r="C405" s="18">
        <v>45068</v>
      </c>
      <c r="D405" t="s">
        <v>100</v>
      </c>
      <c r="E405">
        <v>4000000</v>
      </c>
      <c r="F405" s="18">
        <v>45391</v>
      </c>
      <c r="G405" s="18">
        <v>45515</v>
      </c>
      <c r="H405">
        <v>2024</v>
      </c>
      <c r="I405" t="s">
        <v>268</v>
      </c>
      <c r="J405" s="27">
        <v>16355.23</v>
      </c>
      <c r="K405" s="27">
        <v>106777.2</v>
      </c>
      <c r="L405" s="27">
        <v>124771.38</v>
      </c>
      <c r="M405" t="s">
        <v>11594</v>
      </c>
      <c r="O405" t="s">
        <v>167</v>
      </c>
      <c r="P405" s="27">
        <v>123132.43</v>
      </c>
    </row>
    <row r="406" spans="1:16" ht="15.75" customHeight="1" x14ac:dyDescent="0.2">
      <c r="A406" t="s">
        <v>11797</v>
      </c>
      <c r="B406" t="s">
        <v>219</v>
      </c>
      <c r="C406" s="18">
        <v>45463</v>
      </c>
      <c r="D406" t="s">
        <v>99</v>
      </c>
      <c r="E406">
        <v>5000000</v>
      </c>
      <c r="F406" s="18">
        <v>45477</v>
      </c>
      <c r="G406" s="18">
        <v>45519</v>
      </c>
      <c r="H406">
        <v>2024</v>
      </c>
      <c r="I406" t="s">
        <v>268</v>
      </c>
      <c r="J406" s="27">
        <v>154405.5</v>
      </c>
      <c r="K406" s="27">
        <v>173919.08</v>
      </c>
      <c r="L406" s="27">
        <v>335106.67</v>
      </c>
      <c r="M406" t="s">
        <v>11511</v>
      </c>
      <c r="O406" t="s">
        <v>167</v>
      </c>
      <c r="P406" s="27">
        <v>328324.58</v>
      </c>
    </row>
    <row r="407" spans="1:16" ht="15.75" customHeight="1" x14ac:dyDescent="0.2">
      <c r="A407" t="s">
        <v>11798</v>
      </c>
      <c r="B407" t="s">
        <v>219</v>
      </c>
      <c r="C407" s="18">
        <v>45219</v>
      </c>
      <c r="D407" t="s">
        <v>101</v>
      </c>
      <c r="E407">
        <v>10000000</v>
      </c>
      <c r="F407" s="18">
        <v>45388</v>
      </c>
      <c r="G407" s="18">
        <v>45521</v>
      </c>
      <c r="H407">
        <v>2024</v>
      </c>
      <c r="I407" t="s">
        <v>268</v>
      </c>
      <c r="J407" s="27">
        <v>376198.64</v>
      </c>
      <c r="K407" s="27">
        <v>190184.53</v>
      </c>
      <c r="L407" s="27">
        <v>585065.93999999994</v>
      </c>
      <c r="M407" t="s">
        <v>11429</v>
      </c>
      <c r="O407" t="s">
        <v>167</v>
      </c>
      <c r="P407" s="27">
        <v>566383.17000000004</v>
      </c>
    </row>
    <row r="408" spans="1:16" ht="15.75" customHeight="1" x14ac:dyDescent="0.2">
      <c r="A408" t="s">
        <v>11799</v>
      </c>
      <c r="B408" t="s">
        <v>219</v>
      </c>
      <c r="C408" s="18">
        <v>45471</v>
      </c>
      <c r="D408" t="s">
        <v>101</v>
      </c>
      <c r="E408">
        <v>4000000</v>
      </c>
      <c r="F408" s="18">
        <v>45484</v>
      </c>
      <c r="G408" s="18">
        <v>45523</v>
      </c>
      <c r="H408">
        <v>2024</v>
      </c>
      <c r="I408" t="s">
        <v>268</v>
      </c>
      <c r="J408" s="27">
        <v>520745.95</v>
      </c>
      <c r="K408" s="27">
        <v>143806.42000000001</v>
      </c>
      <c r="L408" s="27">
        <v>671602.35</v>
      </c>
      <c r="M408" t="s">
        <v>11408</v>
      </c>
      <c r="O408" t="s">
        <v>170</v>
      </c>
      <c r="P408" s="27">
        <v>0</v>
      </c>
    </row>
    <row r="409" spans="1:16" ht="15.75" customHeight="1" x14ac:dyDescent="0.2">
      <c r="A409" t="s">
        <v>11800</v>
      </c>
      <c r="B409" t="s">
        <v>219</v>
      </c>
      <c r="C409" s="18">
        <v>45042</v>
      </c>
      <c r="D409" t="s">
        <v>98</v>
      </c>
      <c r="E409">
        <v>10000000</v>
      </c>
      <c r="F409" s="18">
        <v>45341</v>
      </c>
      <c r="G409" s="18">
        <v>45529</v>
      </c>
      <c r="H409">
        <v>2024</v>
      </c>
      <c r="I409" t="s">
        <v>268</v>
      </c>
      <c r="J409" s="27">
        <v>23433.34</v>
      </c>
      <c r="K409" s="27">
        <v>229953.06</v>
      </c>
      <c r="L409" s="27">
        <v>269050.28999999998</v>
      </c>
      <c r="M409" t="s">
        <v>11482</v>
      </c>
      <c r="O409" t="s">
        <v>170</v>
      </c>
      <c r="P409" s="27">
        <v>0</v>
      </c>
    </row>
    <row r="410" spans="1:16" ht="15.75" customHeight="1" x14ac:dyDescent="0.2">
      <c r="A410" t="s">
        <v>11801</v>
      </c>
      <c r="B410" t="s">
        <v>219</v>
      </c>
      <c r="C410" s="18">
        <v>45297</v>
      </c>
      <c r="D410" t="s">
        <v>98</v>
      </c>
      <c r="E410">
        <v>2000000</v>
      </c>
      <c r="F410" s="18">
        <v>45469</v>
      </c>
      <c r="G410" s="18">
        <v>45529</v>
      </c>
      <c r="H410">
        <v>2024</v>
      </c>
      <c r="I410" t="s">
        <v>268</v>
      </c>
      <c r="J410" s="27">
        <v>0</v>
      </c>
      <c r="K410" s="27">
        <v>220010.09</v>
      </c>
      <c r="L410" s="27">
        <v>230895.41</v>
      </c>
      <c r="M410" t="s">
        <v>11436</v>
      </c>
      <c r="O410" t="s">
        <v>170</v>
      </c>
      <c r="P410" s="27">
        <v>0</v>
      </c>
    </row>
    <row r="411" spans="1:16" ht="15.75" customHeight="1" x14ac:dyDescent="0.2">
      <c r="A411" t="s">
        <v>11802</v>
      </c>
      <c r="B411" t="s">
        <v>219</v>
      </c>
      <c r="C411" s="18">
        <v>45178</v>
      </c>
      <c r="D411" t="s">
        <v>102</v>
      </c>
      <c r="E411">
        <v>4000000</v>
      </c>
      <c r="F411" s="18">
        <v>45378</v>
      </c>
      <c r="G411" s="18">
        <v>45531</v>
      </c>
      <c r="H411">
        <v>2024</v>
      </c>
      <c r="I411" t="s">
        <v>268</v>
      </c>
      <c r="J411" s="27">
        <v>33709.230000000003</v>
      </c>
      <c r="K411" s="27">
        <v>71397.179999999993</v>
      </c>
      <c r="L411" s="27">
        <v>110713.46</v>
      </c>
      <c r="M411" t="s">
        <v>11477</v>
      </c>
      <c r="O411" t="s">
        <v>167</v>
      </c>
      <c r="P411" s="27">
        <v>105106.41</v>
      </c>
    </row>
    <row r="412" spans="1:16" ht="15.75" customHeight="1" x14ac:dyDescent="0.2">
      <c r="A412" t="s">
        <v>11803</v>
      </c>
      <c r="B412" t="s">
        <v>219</v>
      </c>
      <c r="C412" s="18">
        <v>45249</v>
      </c>
      <c r="D412" t="s">
        <v>102</v>
      </c>
      <c r="E412">
        <v>2000000</v>
      </c>
      <c r="F412" s="18">
        <v>45495</v>
      </c>
      <c r="G412" s="18">
        <v>45535</v>
      </c>
      <c r="H412">
        <v>2024</v>
      </c>
      <c r="I412" t="s">
        <v>268</v>
      </c>
      <c r="J412" s="27">
        <v>80942.36</v>
      </c>
      <c r="K412" s="27">
        <v>140307.43</v>
      </c>
      <c r="L412" s="27">
        <v>230961.15</v>
      </c>
      <c r="M412" t="s">
        <v>11399</v>
      </c>
      <c r="O412" t="s">
        <v>167</v>
      </c>
      <c r="P412" s="27">
        <v>221249.79</v>
      </c>
    </row>
    <row r="413" spans="1:16" ht="15.75" customHeight="1" x14ac:dyDescent="0.2">
      <c r="A413" t="s">
        <v>11804</v>
      </c>
      <c r="B413" t="s">
        <v>219</v>
      </c>
      <c r="C413" s="18">
        <v>44648</v>
      </c>
      <c r="D413" t="s">
        <v>100</v>
      </c>
      <c r="E413">
        <v>4000000</v>
      </c>
      <c r="F413" s="18">
        <v>44904</v>
      </c>
      <c r="G413" s="18">
        <v>45536</v>
      </c>
      <c r="H413">
        <v>2022</v>
      </c>
      <c r="I413" t="s">
        <v>268</v>
      </c>
      <c r="J413" s="27">
        <v>0</v>
      </c>
      <c r="K413" s="27">
        <v>71165.42</v>
      </c>
      <c r="L413" s="27">
        <v>73236.75</v>
      </c>
      <c r="M413" t="s">
        <v>11370</v>
      </c>
      <c r="O413" t="s">
        <v>167</v>
      </c>
      <c r="P413" s="27">
        <v>71165.42</v>
      </c>
    </row>
    <row r="414" spans="1:16" ht="15.75" customHeight="1" x14ac:dyDescent="0.2">
      <c r="A414" t="s">
        <v>11805</v>
      </c>
      <c r="B414" t="s">
        <v>219</v>
      </c>
      <c r="C414" s="18">
        <v>44001</v>
      </c>
      <c r="D414" t="s">
        <v>98</v>
      </c>
      <c r="E414">
        <v>5000000</v>
      </c>
      <c r="F414" s="18">
        <v>44050</v>
      </c>
      <c r="G414" s="18">
        <v>45540</v>
      </c>
      <c r="H414">
        <v>2020</v>
      </c>
      <c r="I414" t="s">
        <v>268</v>
      </c>
      <c r="J414" s="27">
        <v>387068.95</v>
      </c>
      <c r="K414" s="27">
        <v>337698.03</v>
      </c>
      <c r="L414" s="27">
        <v>727497.13</v>
      </c>
      <c r="M414" t="s">
        <v>11561</v>
      </c>
      <c r="O414" t="s">
        <v>170</v>
      </c>
      <c r="P414" s="27">
        <v>0</v>
      </c>
    </row>
    <row r="415" spans="1:16" ht="15.75" customHeight="1" x14ac:dyDescent="0.2">
      <c r="A415" t="s">
        <v>11806</v>
      </c>
      <c r="B415" t="s">
        <v>219</v>
      </c>
      <c r="C415" s="18">
        <v>45252</v>
      </c>
      <c r="D415" t="s">
        <v>99</v>
      </c>
      <c r="E415">
        <v>5000000</v>
      </c>
      <c r="F415" s="18">
        <v>45425</v>
      </c>
      <c r="G415" s="18">
        <v>45544</v>
      </c>
      <c r="H415">
        <v>2024</v>
      </c>
      <c r="I415" t="s">
        <v>268</v>
      </c>
      <c r="J415" s="27">
        <v>0</v>
      </c>
      <c r="K415" s="27">
        <v>288092.40000000002</v>
      </c>
      <c r="L415" s="27">
        <v>305992.90999999997</v>
      </c>
      <c r="M415" t="s">
        <v>11424</v>
      </c>
      <c r="O415" t="s">
        <v>167</v>
      </c>
      <c r="P415" s="27">
        <v>288092.40000000002</v>
      </c>
    </row>
    <row r="416" spans="1:16" ht="15.75" customHeight="1" x14ac:dyDescent="0.2">
      <c r="A416" t="s">
        <v>11807</v>
      </c>
      <c r="B416" t="s">
        <v>219</v>
      </c>
      <c r="C416" s="18">
        <v>44102</v>
      </c>
      <c r="D416" t="s">
        <v>98</v>
      </c>
      <c r="E416">
        <v>5000000</v>
      </c>
      <c r="F416" s="18">
        <v>44415</v>
      </c>
      <c r="G416" s="18">
        <v>45545</v>
      </c>
      <c r="H416">
        <v>2021</v>
      </c>
      <c r="I416" t="s">
        <v>268</v>
      </c>
      <c r="J416" s="27">
        <v>102707.04</v>
      </c>
      <c r="K416" s="27">
        <v>151180.66</v>
      </c>
      <c r="L416" s="27">
        <v>259553.95</v>
      </c>
      <c r="M416" t="s">
        <v>11393</v>
      </c>
      <c r="O416" t="s">
        <v>170</v>
      </c>
      <c r="P416" s="27">
        <v>0</v>
      </c>
    </row>
    <row r="417" spans="1:16" ht="15.75" customHeight="1" x14ac:dyDescent="0.2">
      <c r="A417" t="s">
        <v>11808</v>
      </c>
      <c r="B417" t="s">
        <v>219</v>
      </c>
      <c r="C417" s="18">
        <v>45201</v>
      </c>
      <c r="D417" t="s">
        <v>98</v>
      </c>
      <c r="E417">
        <v>2000000</v>
      </c>
      <c r="F417" s="18">
        <v>45488</v>
      </c>
      <c r="G417" s="18">
        <v>45545</v>
      </c>
      <c r="H417">
        <v>2024</v>
      </c>
      <c r="I417" t="s">
        <v>268</v>
      </c>
      <c r="J417" s="27">
        <v>47843.56</v>
      </c>
      <c r="K417" s="27">
        <v>55243.91</v>
      </c>
      <c r="L417" s="27">
        <v>107664.27</v>
      </c>
      <c r="M417" t="s">
        <v>11370</v>
      </c>
      <c r="O417" t="s">
        <v>170</v>
      </c>
      <c r="P417" s="27">
        <v>0</v>
      </c>
    </row>
    <row r="418" spans="1:16" ht="15.75" customHeight="1" x14ac:dyDescent="0.2">
      <c r="A418" t="s">
        <v>11809</v>
      </c>
      <c r="B418" t="s">
        <v>219</v>
      </c>
      <c r="C418" s="18">
        <v>44886</v>
      </c>
      <c r="D418" t="s">
        <v>98</v>
      </c>
      <c r="E418">
        <v>500000</v>
      </c>
      <c r="F418" s="18">
        <v>44922</v>
      </c>
      <c r="G418" s="18">
        <v>45550</v>
      </c>
      <c r="H418">
        <v>2022</v>
      </c>
      <c r="I418" t="s">
        <v>268</v>
      </c>
      <c r="J418" s="27">
        <v>13888.16</v>
      </c>
      <c r="K418" s="27">
        <v>53164.49</v>
      </c>
      <c r="L418" s="27">
        <v>70903.63</v>
      </c>
      <c r="M418" t="s">
        <v>11467</v>
      </c>
      <c r="O418" t="s">
        <v>170</v>
      </c>
      <c r="P418" s="27">
        <v>0</v>
      </c>
    </row>
    <row r="419" spans="1:16" ht="15.75" customHeight="1" x14ac:dyDescent="0.2">
      <c r="A419" t="s">
        <v>11810</v>
      </c>
      <c r="B419" t="s">
        <v>219</v>
      </c>
      <c r="C419" s="18">
        <v>45325</v>
      </c>
      <c r="D419" t="s">
        <v>99</v>
      </c>
      <c r="E419">
        <v>10000000</v>
      </c>
      <c r="F419" s="18">
        <v>45488</v>
      </c>
      <c r="G419" s="18">
        <v>45552</v>
      </c>
      <c r="H419">
        <v>2024</v>
      </c>
      <c r="I419" t="s">
        <v>268</v>
      </c>
      <c r="J419" s="27">
        <v>0</v>
      </c>
      <c r="K419" s="27">
        <v>215698.57</v>
      </c>
      <c r="L419" s="27">
        <v>221741.75</v>
      </c>
      <c r="M419" t="s">
        <v>11436</v>
      </c>
      <c r="O419" t="s">
        <v>167</v>
      </c>
      <c r="P419" s="27">
        <v>215698.57</v>
      </c>
    </row>
    <row r="420" spans="1:16" ht="15.75" customHeight="1" x14ac:dyDescent="0.2">
      <c r="A420" t="s">
        <v>11811</v>
      </c>
      <c r="B420" t="s">
        <v>219</v>
      </c>
      <c r="C420" s="18">
        <v>45082</v>
      </c>
      <c r="D420" t="s">
        <v>98</v>
      </c>
      <c r="E420">
        <v>2000000</v>
      </c>
      <c r="F420" s="18">
        <v>45217</v>
      </c>
      <c r="G420" s="18">
        <v>45561</v>
      </c>
      <c r="H420">
        <v>2023</v>
      </c>
      <c r="I420" t="s">
        <v>268</v>
      </c>
      <c r="J420" s="27">
        <v>0</v>
      </c>
      <c r="K420" s="27">
        <v>117057.41</v>
      </c>
      <c r="L420" s="27">
        <v>117116.04</v>
      </c>
      <c r="M420" t="s">
        <v>11577</v>
      </c>
      <c r="O420" t="s">
        <v>170</v>
      </c>
      <c r="P420" s="2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97"/>
  <sheetViews>
    <sheetView workbookViewId="0">
      <selection activeCell="G13" sqref="G13"/>
    </sheetView>
  </sheetViews>
  <sheetFormatPr defaultColWidth="14.5703125" defaultRowHeight="15.75" customHeight="1" x14ac:dyDescent="0.2"/>
  <cols>
    <col min="3" max="3" width="14.5703125" style="18"/>
    <col min="6" max="7" width="14.5703125" style="18"/>
    <col min="10" max="12" width="14.5703125" style="27"/>
    <col min="16" max="16" width="14.5703125" style="27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2025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45689</v>
      </c>
    </row>
    <row r="5" spans="1:16" ht="12.75" x14ac:dyDescent="0.2">
      <c r="A5" s="16" t="s">
        <v>112</v>
      </c>
    </row>
    <row r="7" spans="1:16" ht="12.75" x14ac:dyDescent="0.2">
      <c r="A7" s="1" t="str">
        <f>'Premium Information'!A7</f>
        <v>Data as of:</v>
      </c>
      <c r="B7" s="12">
        <f>'Premium Information'!B7</f>
        <v>45565</v>
      </c>
    </row>
    <row r="8" spans="1:16" ht="12.75" x14ac:dyDescent="0.2">
      <c r="A8" s="1" t="str">
        <f>'Premium Information'!A8</f>
        <v>Currency:</v>
      </c>
      <c r="B8" t="str">
        <f>'Premium Information'!B8</f>
        <v>USD</v>
      </c>
    </row>
    <row r="9" spans="1:16" ht="12.75" x14ac:dyDescent="0.2">
      <c r="A9" s="1"/>
    </row>
    <row r="10" spans="1:16" ht="15.75" customHeight="1" x14ac:dyDescent="0.2">
      <c r="A10" s="16" t="s">
        <v>11814</v>
      </c>
    </row>
    <row r="11" spans="1:16" ht="12.75" x14ac:dyDescent="0.2"/>
    <row r="12" spans="1:16" ht="12.75" x14ac:dyDescent="0.2">
      <c r="A12" s="1" t="s">
        <v>117</v>
      </c>
      <c r="B12" s="1" t="s">
        <v>118</v>
      </c>
      <c r="C12" s="18" t="s">
        <v>119</v>
      </c>
      <c r="D12" s="16" t="s">
        <v>131</v>
      </c>
      <c r="E12" s="1" t="s">
        <v>121</v>
      </c>
      <c r="F12" s="18" t="s">
        <v>122</v>
      </c>
      <c r="G12" s="18" t="s">
        <v>123</v>
      </c>
      <c r="H12" s="1" t="s">
        <v>124</v>
      </c>
      <c r="I12" s="16" t="s">
        <v>125</v>
      </c>
      <c r="J12" s="32" t="s">
        <v>126</v>
      </c>
      <c r="K12" s="32" t="s">
        <v>127</v>
      </c>
      <c r="L12" s="32" t="s">
        <v>128</v>
      </c>
      <c r="M12" s="16" t="s">
        <v>129</v>
      </c>
      <c r="N12" s="16" t="s">
        <v>130</v>
      </c>
      <c r="O12" s="16" t="s">
        <v>109</v>
      </c>
      <c r="P12" s="33" t="s">
        <v>93</v>
      </c>
    </row>
    <row r="13" spans="1:16" ht="15.75" customHeight="1" x14ac:dyDescent="0.2">
      <c r="A13" t="s">
        <v>162</v>
      </c>
      <c r="B13" t="s">
        <v>163</v>
      </c>
      <c r="C13" s="18">
        <v>43630</v>
      </c>
      <c r="D13" t="s">
        <v>100</v>
      </c>
      <c r="E13">
        <v>5000000</v>
      </c>
      <c r="F13" s="18">
        <v>43865</v>
      </c>
      <c r="G13" s="18">
        <v>43917</v>
      </c>
      <c r="H13">
        <v>2020</v>
      </c>
      <c r="I13" t="s">
        <v>164</v>
      </c>
      <c r="J13" s="27">
        <v>1911101.66</v>
      </c>
      <c r="K13" s="27">
        <v>0</v>
      </c>
      <c r="L13" s="27">
        <v>1911101.66</v>
      </c>
      <c r="M13" t="s">
        <v>165</v>
      </c>
      <c r="N13" t="s">
        <v>166</v>
      </c>
      <c r="O13" t="s">
        <v>167</v>
      </c>
      <c r="P13" s="27">
        <v>1911101.66</v>
      </c>
    </row>
    <row r="14" spans="1:16" ht="15.75" customHeight="1" x14ac:dyDescent="0.2">
      <c r="A14" t="s">
        <v>168</v>
      </c>
      <c r="B14" t="s">
        <v>163</v>
      </c>
      <c r="C14" s="18">
        <v>43828</v>
      </c>
      <c r="D14" t="s">
        <v>98</v>
      </c>
      <c r="E14">
        <v>4500000</v>
      </c>
      <c r="F14" s="18">
        <v>43901</v>
      </c>
      <c r="G14" s="18">
        <v>43970</v>
      </c>
      <c r="H14">
        <v>2020</v>
      </c>
      <c r="I14" t="s">
        <v>164</v>
      </c>
      <c r="J14" s="27">
        <v>2575075.52</v>
      </c>
      <c r="K14" s="27">
        <v>0</v>
      </c>
      <c r="L14" s="27">
        <v>2575075.52</v>
      </c>
      <c r="M14" t="s">
        <v>169</v>
      </c>
      <c r="N14" t="s">
        <v>166</v>
      </c>
      <c r="O14" t="s">
        <v>170</v>
      </c>
      <c r="P14" s="27">
        <v>0</v>
      </c>
    </row>
    <row r="15" spans="1:16" ht="15.75" customHeight="1" x14ac:dyDescent="0.2">
      <c r="A15" t="s">
        <v>171</v>
      </c>
      <c r="B15" t="s">
        <v>163</v>
      </c>
      <c r="C15" s="18">
        <v>43817</v>
      </c>
      <c r="D15" t="s">
        <v>101</v>
      </c>
      <c r="E15">
        <v>10000000</v>
      </c>
      <c r="F15" s="18">
        <v>43956</v>
      </c>
      <c r="G15" s="18">
        <v>44045</v>
      </c>
      <c r="H15">
        <v>2020</v>
      </c>
      <c r="I15" t="s">
        <v>164</v>
      </c>
      <c r="J15" s="27">
        <v>1147764.25</v>
      </c>
      <c r="K15" s="27">
        <v>0</v>
      </c>
      <c r="L15" s="27">
        <v>1147764.25</v>
      </c>
      <c r="M15" t="s">
        <v>172</v>
      </c>
      <c r="N15" t="s">
        <v>173</v>
      </c>
      <c r="O15" t="s">
        <v>170</v>
      </c>
      <c r="P15" s="27">
        <v>0</v>
      </c>
    </row>
    <row r="16" spans="1:16" ht="15.75" customHeight="1" x14ac:dyDescent="0.2">
      <c r="A16" t="s">
        <v>174</v>
      </c>
      <c r="B16" t="s">
        <v>163</v>
      </c>
      <c r="C16" s="18">
        <v>43988</v>
      </c>
      <c r="D16" t="s">
        <v>101</v>
      </c>
      <c r="E16">
        <v>2000000</v>
      </c>
      <c r="F16" s="18">
        <v>44039</v>
      </c>
      <c r="G16" s="18">
        <v>44095</v>
      </c>
      <c r="H16">
        <v>2020</v>
      </c>
      <c r="I16" t="s">
        <v>164</v>
      </c>
      <c r="J16" s="27">
        <v>1470472.09</v>
      </c>
      <c r="K16" s="27">
        <v>0</v>
      </c>
      <c r="L16" s="27">
        <v>1470472.09</v>
      </c>
      <c r="M16" t="s">
        <v>169</v>
      </c>
      <c r="N16" t="s">
        <v>166</v>
      </c>
      <c r="O16" t="s">
        <v>170</v>
      </c>
      <c r="P16" s="27">
        <v>0</v>
      </c>
    </row>
    <row r="17" spans="1:16" ht="15.75" customHeight="1" x14ac:dyDescent="0.2">
      <c r="A17" t="s">
        <v>177</v>
      </c>
      <c r="B17" t="s">
        <v>163</v>
      </c>
      <c r="C17" s="18">
        <v>44015</v>
      </c>
      <c r="D17" t="s">
        <v>100</v>
      </c>
      <c r="E17">
        <v>4000000</v>
      </c>
      <c r="F17" s="18">
        <v>44087</v>
      </c>
      <c r="G17" s="18">
        <v>44153</v>
      </c>
      <c r="H17">
        <v>2020</v>
      </c>
      <c r="I17" t="s">
        <v>164</v>
      </c>
      <c r="J17" s="27">
        <v>974536.9</v>
      </c>
      <c r="K17" s="27">
        <v>0</v>
      </c>
      <c r="L17" s="27">
        <v>974536.9</v>
      </c>
      <c r="M17" t="s">
        <v>178</v>
      </c>
      <c r="N17" t="s">
        <v>179</v>
      </c>
      <c r="O17" t="s">
        <v>167</v>
      </c>
      <c r="P17" s="27">
        <v>974536.9</v>
      </c>
    </row>
    <row r="18" spans="1:16" ht="15.75" customHeight="1" x14ac:dyDescent="0.2">
      <c r="A18" t="s">
        <v>181</v>
      </c>
      <c r="B18" t="s">
        <v>163</v>
      </c>
      <c r="C18" s="18">
        <v>43631</v>
      </c>
      <c r="D18" t="s">
        <v>100</v>
      </c>
      <c r="E18">
        <v>4500000</v>
      </c>
      <c r="F18" s="18">
        <v>43981</v>
      </c>
      <c r="G18" s="18">
        <v>44173</v>
      </c>
      <c r="H18">
        <v>2020</v>
      </c>
      <c r="I18" t="s">
        <v>164</v>
      </c>
      <c r="J18" s="27">
        <v>310086.38</v>
      </c>
      <c r="K18" s="27">
        <v>0</v>
      </c>
      <c r="L18" s="27">
        <v>310086.38</v>
      </c>
      <c r="M18" t="s">
        <v>180</v>
      </c>
      <c r="N18" t="s">
        <v>176</v>
      </c>
      <c r="O18" t="s">
        <v>170</v>
      </c>
      <c r="P18" s="27">
        <v>0</v>
      </c>
    </row>
    <row r="19" spans="1:16" ht="15.75" customHeight="1" x14ac:dyDescent="0.2">
      <c r="A19" t="s">
        <v>182</v>
      </c>
      <c r="B19" t="s">
        <v>163</v>
      </c>
      <c r="C19" s="18">
        <v>43952</v>
      </c>
      <c r="D19" t="s">
        <v>100</v>
      </c>
      <c r="E19">
        <v>4000000</v>
      </c>
      <c r="F19" s="18">
        <v>44009</v>
      </c>
      <c r="G19" s="18">
        <v>44231</v>
      </c>
      <c r="H19">
        <v>2020</v>
      </c>
      <c r="I19" t="s">
        <v>164</v>
      </c>
      <c r="J19" s="27">
        <v>2523271.77</v>
      </c>
      <c r="K19" s="27">
        <v>0</v>
      </c>
      <c r="L19" s="27">
        <v>2523271.77</v>
      </c>
      <c r="M19" t="s">
        <v>165</v>
      </c>
      <c r="N19" t="s">
        <v>166</v>
      </c>
      <c r="O19" t="s">
        <v>170</v>
      </c>
      <c r="P19" s="27">
        <v>0</v>
      </c>
    </row>
    <row r="20" spans="1:16" ht="15.75" customHeight="1" x14ac:dyDescent="0.2">
      <c r="A20" t="s">
        <v>183</v>
      </c>
      <c r="B20" t="s">
        <v>163</v>
      </c>
      <c r="C20" s="18">
        <v>43878</v>
      </c>
      <c r="D20" t="s">
        <v>98</v>
      </c>
      <c r="E20">
        <v>5000000</v>
      </c>
      <c r="F20" s="18">
        <v>44132</v>
      </c>
      <c r="G20" s="18">
        <v>44253</v>
      </c>
      <c r="H20">
        <v>2020</v>
      </c>
      <c r="I20" t="s">
        <v>164</v>
      </c>
      <c r="J20" s="27">
        <v>860752.42</v>
      </c>
      <c r="K20" s="27">
        <v>0</v>
      </c>
      <c r="L20" s="27">
        <v>860752.42</v>
      </c>
      <c r="M20" t="s">
        <v>175</v>
      </c>
      <c r="N20" t="s">
        <v>176</v>
      </c>
      <c r="O20" t="s">
        <v>170</v>
      </c>
      <c r="P20" s="27">
        <v>0</v>
      </c>
    </row>
    <row r="21" spans="1:16" ht="15.75" customHeight="1" x14ac:dyDescent="0.2">
      <c r="A21" t="s">
        <v>184</v>
      </c>
      <c r="B21" t="s">
        <v>163</v>
      </c>
      <c r="C21" s="18">
        <v>43776</v>
      </c>
      <c r="D21" t="s">
        <v>99</v>
      </c>
      <c r="E21">
        <v>10000000</v>
      </c>
      <c r="F21" s="18">
        <v>44009</v>
      </c>
      <c r="G21" s="18">
        <v>44255</v>
      </c>
      <c r="H21">
        <v>2020</v>
      </c>
      <c r="I21" t="s">
        <v>164</v>
      </c>
      <c r="J21" s="27">
        <v>2534035.5699999998</v>
      </c>
      <c r="K21" s="27">
        <v>0</v>
      </c>
      <c r="L21" s="27">
        <v>2534035.5699999998</v>
      </c>
      <c r="M21" t="s">
        <v>185</v>
      </c>
      <c r="N21" t="s">
        <v>166</v>
      </c>
      <c r="O21" t="s">
        <v>170</v>
      </c>
      <c r="P21" s="27">
        <v>0</v>
      </c>
    </row>
    <row r="22" spans="1:16" ht="15.75" customHeight="1" x14ac:dyDescent="0.2">
      <c r="A22" t="s">
        <v>186</v>
      </c>
      <c r="B22" t="s">
        <v>163</v>
      </c>
      <c r="C22" s="18">
        <v>43850</v>
      </c>
      <c r="D22" t="s">
        <v>99</v>
      </c>
      <c r="E22">
        <v>10000000</v>
      </c>
      <c r="F22" s="18">
        <v>44103</v>
      </c>
      <c r="G22" s="18">
        <v>44273</v>
      </c>
      <c r="H22">
        <v>2020</v>
      </c>
      <c r="I22" t="s">
        <v>164</v>
      </c>
      <c r="J22" s="27">
        <v>1638281.2</v>
      </c>
      <c r="K22" s="27">
        <v>0</v>
      </c>
      <c r="L22" s="27">
        <v>1638281.2</v>
      </c>
      <c r="M22" t="s">
        <v>180</v>
      </c>
      <c r="N22" t="s">
        <v>176</v>
      </c>
      <c r="O22" t="s">
        <v>167</v>
      </c>
      <c r="P22" s="27">
        <v>1638281.2</v>
      </c>
    </row>
    <row r="23" spans="1:16" ht="15.75" customHeight="1" x14ac:dyDescent="0.2">
      <c r="A23" t="s">
        <v>187</v>
      </c>
      <c r="B23" t="s">
        <v>163</v>
      </c>
      <c r="C23" s="18">
        <v>44184</v>
      </c>
      <c r="D23" t="s">
        <v>100</v>
      </c>
      <c r="E23">
        <v>2500000</v>
      </c>
      <c r="F23" s="18">
        <v>44203</v>
      </c>
      <c r="G23" s="18">
        <v>44274</v>
      </c>
      <c r="H23">
        <v>2021</v>
      </c>
      <c r="I23" t="s">
        <v>164</v>
      </c>
      <c r="J23" s="27">
        <v>781815.58</v>
      </c>
      <c r="K23" s="27">
        <v>0</v>
      </c>
      <c r="L23" s="27">
        <v>781815.58</v>
      </c>
      <c r="M23" t="s">
        <v>185</v>
      </c>
      <c r="N23" t="s">
        <v>166</v>
      </c>
      <c r="O23" t="s">
        <v>167</v>
      </c>
      <c r="P23" s="27">
        <v>781815.58</v>
      </c>
    </row>
    <row r="24" spans="1:16" ht="15.75" customHeight="1" x14ac:dyDescent="0.2">
      <c r="A24" t="s">
        <v>188</v>
      </c>
      <c r="B24" t="s">
        <v>163</v>
      </c>
      <c r="C24" s="18">
        <v>44171</v>
      </c>
      <c r="D24" t="s">
        <v>101</v>
      </c>
      <c r="E24">
        <v>4000000</v>
      </c>
      <c r="F24" s="18">
        <v>44262</v>
      </c>
      <c r="G24" s="18">
        <v>44308</v>
      </c>
      <c r="H24">
        <v>2021</v>
      </c>
      <c r="I24" t="s">
        <v>164</v>
      </c>
      <c r="J24" s="27">
        <v>552832.06000000006</v>
      </c>
      <c r="K24" s="27">
        <v>0</v>
      </c>
      <c r="L24" s="27">
        <v>552832.06000000006</v>
      </c>
      <c r="M24" t="s">
        <v>189</v>
      </c>
      <c r="N24" t="s">
        <v>190</v>
      </c>
      <c r="O24" t="s">
        <v>167</v>
      </c>
      <c r="P24" s="27">
        <v>552832.06000000006</v>
      </c>
    </row>
    <row r="25" spans="1:16" ht="15.75" customHeight="1" x14ac:dyDescent="0.2">
      <c r="A25" t="s">
        <v>191</v>
      </c>
      <c r="B25" t="s">
        <v>163</v>
      </c>
      <c r="C25" s="18">
        <v>44081</v>
      </c>
      <c r="D25" t="s">
        <v>98</v>
      </c>
      <c r="E25">
        <v>5000000</v>
      </c>
      <c r="F25" s="18">
        <v>44313</v>
      </c>
      <c r="G25" s="18">
        <v>44341</v>
      </c>
      <c r="H25">
        <v>2021</v>
      </c>
      <c r="I25" t="s">
        <v>164</v>
      </c>
      <c r="J25" s="27">
        <v>2435143.46</v>
      </c>
      <c r="K25" s="27">
        <v>0</v>
      </c>
      <c r="L25" s="27">
        <v>2435143.46</v>
      </c>
      <c r="M25" t="s">
        <v>185</v>
      </c>
      <c r="N25" t="s">
        <v>166</v>
      </c>
      <c r="O25" t="s">
        <v>170</v>
      </c>
      <c r="P25" s="27">
        <v>0</v>
      </c>
    </row>
    <row r="26" spans="1:16" ht="15.75" customHeight="1" x14ac:dyDescent="0.2">
      <c r="A26" t="s">
        <v>192</v>
      </c>
      <c r="B26" t="s">
        <v>163</v>
      </c>
      <c r="C26" s="18">
        <v>43690</v>
      </c>
      <c r="D26" t="s">
        <v>100</v>
      </c>
      <c r="E26">
        <v>4000000</v>
      </c>
      <c r="F26" s="18">
        <v>43940</v>
      </c>
      <c r="G26" s="18">
        <v>44345</v>
      </c>
      <c r="H26">
        <v>2020</v>
      </c>
      <c r="I26" t="s">
        <v>164</v>
      </c>
      <c r="J26" s="27">
        <v>1372520.55</v>
      </c>
      <c r="K26" s="27">
        <v>0</v>
      </c>
      <c r="L26" s="27">
        <v>1372520.55</v>
      </c>
      <c r="M26" t="s">
        <v>193</v>
      </c>
      <c r="N26" t="s">
        <v>176</v>
      </c>
      <c r="O26" t="s">
        <v>167</v>
      </c>
      <c r="P26" s="27">
        <v>1372520.55</v>
      </c>
    </row>
    <row r="27" spans="1:16" ht="15.75" customHeight="1" x14ac:dyDescent="0.2">
      <c r="A27" t="s">
        <v>194</v>
      </c>
      <c r="B27" t="s">
        <v>163</v>
      </c>
      <c r="C27" s="18">
        <v>44056</v>
      </c>
      <c r="D27" t="s">
        <v>98</v>
      </c>
      <c r="E27">
        <v>5000000</v>
      </c>
      <c r="F27" s="18">
        <v>44272</v>
      </c>
      <c r="G27" s="18">
        <v>44379</v>
      </c>
      <c r="H27">
        <v>2021</v>
      </c>
      <c r="I27" t="s">
        <v>164</v>
      </c>
      <c r="J27" s="27">
        <v>1492509.45</v>
      </c>
      <c r="K27" s="27">
        <v>0</v>
      </c>
      <c r="L27" s="27">
        <v>1492509.45</v>
      </c>
      <c r="M27" t="s">
        <v>172</v>
      </c>
      <c r="N27" t="s">
        <v>173</v>
      </c>
      <c r="O27" t="s">
        <v>170</v>
      </c>
      <c r="P27" s="27">
        <v>0</v>
      </c>
    </row>
    <row r="28" spans="1:16" ht="15.75" customHeight="1" x14ac:dyDescent="0.2">
      <c r="A28" t="s">
        <v>195</v>
      </c>
      <c r="B28" t="s">
        <v>163</v>
      </c>
      <c r="C28" s="18">
        <v>44292</v>
      </c>
      <c r="D28" t="s">
        <v>101</v>
      </c>
      <c r="E28">
        <v>10000000</v>
      </c>
      <c r="F28" s="18">
        <v>44309</v>
      </c>
      <c r="G28" s="18">
        <v>44382</v>
      </c>
      <c r="H28">
        <v>2021</v>
      </c>
      <c r="I28" t="s">
        <v>164</v>
      </c>
      <c r="J28" s="27">
        <v>1490665.94</v>
      </c>
      <c r="K28" s="27">
        <v>0</v>
      </c>
      <c r="L28" s="27">
        <v>1490665.94</v>
      </c>
      <c r="M28" t="s">
        <v>172</v>
      </c>
      <c r="N28" t="s">
        <v>173</v>
      </c>
      <c r="O28" t="s">
        <v>170</v>
      </c>
      <c r="P28" s="27">
        <v>0</v>
      </c>
    </row>
    <row r="29" spans="1:16" ht="15.75" customHeight="1" x14ac:dyDescent="0.2">
      <c r="A29" t="s">
        <v>196</v>
      </c>
      <c r="B29" t="s">
        <v>163</v>
      </c>
      <c r="C29" s="18">
        <v>43753</v>
      </c>
      <c r="D29" t="s">
        <v>98</v>
      </c>
      <c r="E29">
        <v>10000000</v>
      </c>
      <c r="F29" s="18">
        <v>43854</v>
      </c>
      <c r="G29" s="18">
        <v>44405</v>
      </c>
      <c r="H29">
        <v>2020</v>
      </c>
      <c r="I29" t="s">
        <v>164</v>
      </c>
      <c r="J29" s="27">
        <v>2065963.19</v>
      </c>
      <c r="K29" s="27">
        <v>0</v>
      </c>
      <c r="L29" s="27">
        <v>2065963.19</v>
      </c>
      <c r="M29" t="s">
        <v>197</v>
      </c>
      <c r="N29" t="s">
        <v>179</v>
      </c>
      <c r="O29" t="s">
        <v>170</v>
      </c>
      <c r="P29" s="27">
        <v>0</v>
      </c>
    </row>
    <row r="30" spans="1:16" ht="15.75" customHeight="1" x14ac:dyDescent="0.2">
      <c r="A30" t="s">
        <v>198</v>
      </c>
      <c r="B30" t="s">
        <v>163</v>
      </c>
      <c r="C30" s="18">
        <v>44317</v>
      </c>
      <c r="D30" t="s">
        <v>100</v>
      </c>
      <c r="E30">
        <v>5000000</v>
      </c>
      <c r="F30" s="18">
        <v>44385</v>
      </c>
      <c r="G30" s="18">
        <v>44420</v>
      </c>
      <c r="H30">
        <v>2021</v>
      </c>
      <c r="I30" t="s">
        <v>164</v>
      </c>
      <c r="J30" s="27">
        <v>765875.01</v>
      </c>
      <c r="K30" s="27">
        <v>0</v>
      </c>
      <c r="L30" s="27">
        <v>765875.01</v>
      </c>
      <c r="M30" t="s">
        <v>165</v>
      </c>
      <c r="N30" t="s">
        <v>166</v>
      </c>
      <c r="O30" t="s">
        <v>167</v>
      </c>
      <c r="P30" s="27">
        <v>765875.01</v>
      </c>
    </row>
    <row r="31" spans="1:16" ht="15.75" customHeight="1" x14ac:dyDescent="0.2">
      <c r="A31" t="s">
        <v>199</v>
      </c>
      <c r="B31" t="s">
        <v>163</v>
      </c>
      <c r="C31" s="18">
        <v>44093</v>
      </c>
      <c r="D31" t="s">
        <v>98</v>
      </c>
      <c r="E31">
        <v>10000000</v>
      </c>
      <c r="F31" s="18">
        <v>44371</v>
      </c>
      <c r="G31" s="18">
        <v>44443</v>
      </c>
      <c r="H31">
        <v>2021</v>
      </c>
      <c r="I31" t="s">
        <v>164</v>
      </c>
      <c r="J31" s="27">
        <v>2543574.69</v>
      </c>
      <c r="K31" s="27">
        <v>0</v>
      </c>
      <c r="L31" s="27">
        <v>2543574.69</v>
      </c>
      <c r="M31" t="s">
        <v>189</v>
      </c>
      <c r="N31" t="s">
        <v>190</v>
      </c>
      <c r="O31" t="s">
        <v>170</v>
      </c>
      <c r="P31" s="27">
        <v>0</v>
      </c>
    </row>
    <row r="32" spans="1:16" ht="15.75" customHeight="1" x14ac:dyDescent="0.2">
      <c r="A32" t="s">
        <v>200</v>
      </c>
      <c r="B32" t="s">
        <v>163</v>
      </c>
      <c r="C32" s="18">
        <v>44164</v>
      </c>
      <c r="D32" t="s">
        <v>100</v>
      </c>
      <c r="E32">
        <v>1000000</v>
      </c>
      <c r="F32" s="18">
        <v>44384</v>
      </c>
      <c r="G32" s="18">
        <v>44460</v>
      </c>
      <c r="H32">
        <v>2021</v>
      </c>
      <c r="I32" t="s">
        <v>164</v>
      </c>
      <c r="J32" s="27">
        <v>339287.09</v>
      </c>
      <c r="K32" s="27">
        <v>0</v>
      </c>
      <c r="L32" s="27">
        <v>339287.09</v>
      </c>
      <c r="M32" t="s">
        <v>172</v>
      </c>
      <c r="N32" t="s">
        <v>173</v>
      </c>
      <c r="O32" t="s">
        <v>167</v>
      </c>
      <c r="P32" s="27">
        <v>339287.09</v>
      </c>
    </row>
    <row r="33" spans="1:16" ht="15.75" customHeight="1" x14ac:dyDescent="0.2">
      <c r="A33" t="s">
        <v>201</v>
      </c>
      <c r="B33" t="s">
        <v>163</v>
      </c>
      <c r="C33" s="18">
        <v>44036</v>
      </c>
      <c r="D33" t="s">
        <v>101</v>
      </c>
      <c r="E33">
        <v>4500000</v>
      </c>
      <c r="F33" s="18">
        <v>44391</v>
      </c>
      <c r="G33" s="18">
        <v>44465</v>
      </c>
      <c r="H33">
        <v>2021</v>
      </c>
      <c r="I33" t="s">
        <v>164</v>
      </c>
      <c r="J33" s="27">
        <v>866129.54</v>
      </c>
      <c r="K33" s="27">
        <v>0</v>
      </c>
      <c r="L33" s="27">
        <v>866129.54</v>
      </c>
      <c r="M33" t="s">
        <v>189</v>
      </c>
      <c r="N33" t="s">
        <v>190</v>
      </c>
      <c r="O33" t="s">
        <v>170</v>
      </c>
      <c r="P33" s="27">
        <v>0</v>
      </c>
    </row>
    <row r="34" spans="1:16" ht="15.75" customHeight="1" x14ac:dyDescent="0.2">
      <c r="A34" t="s">
        <v>202</v>
      </c>
      <c r="B34" t="s">
        <v>163</v>
      </c>
      <c r="C34" s="18">
        <v>43967</v>
      </c>
      <c r="D34" t="s">
        <v>98</v>
      </c>
      <c r="E34">
        <v>5000000</v>
      </c>
      <c r="F34" s="18">
        <v>44020</v>
      </c>
      <c r="G34" s="18">
        <v>44469</v>
      </c>
      <c r="H34">
        <v>2020</v>
      </c>
      <c r="I34" t="s">
        <v>164</v>
      </c>
      <c r="J34" s="27">
        <v>534981.62</v>
      </c>
      <c r="K34" s="27">
        <v>0</v>
      </c>
      <c r="L34" s="27">
        <v>534981.62</v>
      </c>
      <c r="M34" t="s">
        <v>193</v>
      </c>
      <c r="N34" t="s">
        <v>176</v>
      </c>
      <c r="O34" t="s">
        <v>170</v>
      </c>
      <c r="P34" s="27">
        <v>0</v>
      </c>
    </row>
    <row r="35" spans="1:16" ht="15.75" customHeight="1" x14ac:dyDescent="0.2">
      <c r="A35" t="s">
        <v>203</v>
      </c>
      <c r="B35" t="s">
        <v>163</v>
      </c>
      <c r="C35" s="18">
        <v>44126</v>
      </c>
      <c r="D35" t="s">
        <v>98</v>
      </c>
      <c r="E35">
        <v>5000000</v>
      </c>
      <c r="F35" s="18">
        <v>44409</v>
      </c>
      <c r="G35" s="18">
        <v>44483</v>
      </c>
      <c r="H35">
        <v>2021</v>
      </c>
      <c r="I35" t="s">
        <v>164</v>
      </c>
      <c r="J35" s="27">
        <v>1531461.09</v>
      </c>
      <c r="K35" s="27">
        <v>0</v>
      </c>
      <c r="L35" s="27">
        <v>1531461.09</v>
      </c>
      <c r="M35" t="s">
        <v>165</v>
      </c>
      <c r="N35" t="s">
        <v>166</v>
      </c>
      <c r="O35" t="s">
        <v>170</v>
      </c>
      <c r="P35" s="27">
        <v>0</v>
      </c>
    </row>
    <row r="36" spans="1:16" ht="15.75" customHeight="1" x14ac:dyDescent="0.2">
      <c r="A36" t="s">
        <v>204</v>
      </c>
      <c r="B36" t="s">
        <v>163</v>
      </c>
      <c r="C36" s="18">
        <v>44031</v>
      </c>
      <c r="D36" t="s">
        <v>102</v>
      </c>
      <c r="E36">
        <v>10000000</v>
      </c>
      <c r="F36" s="18">
        <v>44179</v>
      </c>
      <c r="G36" s="18">
        <v>44520</v>
      </c>
      <c r="H36">
        <v>2020</v>
      </c>
      <c r="I36" t="s">
        <v>164</v>
      </c>
      <c r="J36" s="27">
        <v>666355.98</v>
      </c>
      <c r="K36" s="27">
        <v>0</v>
      </c>
      <c r="L36" s="27">
        <v>666355.98</v>
      </c>
      <c r="M36" t="s">
        <v>165</v>
      </c>
      <c r="N36" t="s">
        <v>166</v>
      </c>
      <c r="O36" t="s">
        <v>167</v>
      </c>
      <c r="P36" s="27">
        <v>666355.98</v>
      </c>
    </row>
    <row r="37" spans="1:16" ht="15.75" customHeight="1" x14ac:dyDescent="0.2">
      <c r="A37" t="s">
        <v>205</v>
      </c>
      <c r="B37" t="s">
        <v>163</v>
      </c>
      <c r="C37" s="18">
        <v>44153</v>
      </c>
      <c r="D37" t="s">
        <v>100</v>
      </c>
      <c r="E37">
        <v>10000000</v>
      </c>
      <c r="F37" s="18">
        <v>44355</v>
      </c>
      <c r="G37" s="18">
        <v>44522</v>
      </c>
      <c r="H37">
        <v>2021</v>
      </c>
      <c r="I37" t="s">
        <v>164</v>
      </c>
      <c r="J37" s="27">
        <v>395556.35</v>
      </c>
      <c r="K37" s="27">
        <v>0</v>
      </c>
      <c r="L37" s="27">
        <v>395556.35</v>
      </c>
      <c r="M37" t="s">
        <v>185</v>
      </c>
      <c r="N37" t="s">
        <v>166</v>
      </c>
      <c r="O37" t="s">
        <v>167</v>
      </c>
      <c r="P37" s="27">
        <v>395556.35</v>
      </c>
    </row>
    <row r="38" spans="1:16" ht="15.75" customHeight="1" x14ac:dyDescent="0.2">
      <c r="A38" t="s">
        <v>206</v>
      </c>
      <c r="B38" t="s">
        <v>163</v>
      </c>
      <c r="C38" s="18">
        <v>44195</v>
      </c>
      <c r="D38" t="s">
        <v>99</v>
      </c>
      <c r="E38">
        <v>10000000</v>
      </c>
      <c r="F38" s="18">
        <v>44481</v>
      </c>
      <c r="G38" s="18">
        <v>44529</v>
      </c>
      <c r="H38">
        <v>2021</v>
      </c>
      <c r="I38" t="s">
        <v>164</v>
      </c>
      <c r="J38" s="27">
        <v>885967.92</v>
      </c>
      <c r="K38" s="27">
        <v>0</v>
      </c>
      <c r="L38" s="27">
        <v>885967.92</v>
      </c>
      <c r="M38" t="s">
        <v>185</v>
      </c>
      <c r="N38" t="s">
        <v>166</v>
      </c>
      <c r="O38" t="s">
        <v>167</v>
      </c>
      <c r="P38" s="27">
        <v>885967.92</v>
      </c>
    </row>
    <row r="39" spans="1:16" ht="15.75" customHeight="1" x14ac:dyDescent="0.2">
      <c r="A39" t="s">
        <v>207</v>
      </c>
      <c r="B39" t="s">
        <v>163</v>
      </c>
      <c r="C39" s="18">
        <v>44157</v>
      </c>
      <c r="D39" t="s">
        <v>100</v>
      </c>
      <c r="E39">
        <v>5000000</v>
      </c>
      <c r="F39" s="18">
        <v>44459</v>
      </c>
      <c r="G39" s="18">
        <v>44534</v>
      </c>
      <c r="H39">
        <v>2021</v>
      </c>
      <c r="I39" t="s">
        <v>164</v>
      </c>
      <c r="J39" s="27">
        <v>1699855.26</v>
      </c>
      <c r="K39" s="27">
        <v>0</v>
      </c>
      <c r="L39" s="27">
        <v>1699855.26</v>
      </c>
      <c r="M39" t="s">
        <v>172</v>
      </c>
      <c r="N39" t="s">
        <v>173</v>
      </c>
      <c r="O39" t="s">
        <v>167</v>
      </c>
      <c r="P39" s="27">
        <v>1699855.26</v>
      </c>
    </row>
    <row r="40" spans="1:16" ht="15.75" customHeight="1" x14ac:dyDescent="0.2">
      <c r="A40" t="s">
        <v>208</v>
      </c>
      <c r="B40" t="s">
        <v>163</v>
      </c>
      <c r="C40" s="18">
        <v>44166</v>
      </c>
      <c r="D40" t="s">
        <v>101</v>
      </c>
      <c r="E40">
        <v>5000000</v>
      </c>
      <c r="F40" s="18">
        <v>44490</v>
      </c>
      <c r="G40" s="18">
        <v>44570</v>
      </c>
      <c r="H40">
        <v>2021</v>
      </c>
      <c r="I40" t="s">
        <v>164</v>
      </c>
      <c r="J40" s="27">
        <v>475831.54</v>
      </c>
      <c r="K40" s="27">
        <v>0</v>
      </c>
      <c r="L40" s="27">
        <v>475831.54</v>
      </c>
      <c r="M40" t="s">
        <v>180</v>
      </c>
      <c r="N40" t="s">
        <v>176</v>
      </c>
      <c r="O40" t="s">
        <v>170</v>
      </c>
      <c r="P40" s="27">
        <v>0</v>
      </c>
    </row>
    <row r="41" spans="1:16" ht="15.75" customHeight="1" x14ac:dyDescent="0.2">
      <c r="A41" t="s">
        <v>209</v>
      </c>
      <c r="B41" t="s">
        <v>163</v>
      </c>
      <c r="C41" s="18">
        <v>44242</v>
      </c>
      <c r="D41" t="s">
        <v>98</v>
      </c>
      <c r="E41">
        <v>4500000</v>
      </c>
      <c r="F41" s="18">
        <v>44543</v>
      </c>
      <c r="G41" s="18">
        <v>44591</v>
      </c>
      <c r="H41">
        <v>2021</v>
      </c>
      <c r="I41" t="s">
        <v>164</v>
      </c>
      <c r="J41" s="27">
        <v>1714004.21</v>
      </c>
      <c r="K41" s="27">
        <v>0</v>
      </c>
      <c r="L41" s="27">
        <v>1714004.21</v>
      </c>
      <c r="M41" t="s">
        <v>165</v>
      </c>
      <c r="N41" t="s">
        <v>166</v>
      </c>
      <c r="O41" t="s">
        <v>170</v>
      </c>
      <c r="P41" s="27">
        <v>0</v>
      </c>
    </row>
    <row r="42" spans="1:16" ht="15.75" customHeight="1" x14ac:dyDescent="0.2">
      <c r="A42" t="s">
        <v>210</v>
      </c>
      <c r="B42" t="s">
        <v>163</v>
      </c>
      <c r="C42" s="18">
        <v>44189</v>
      </c>
      <c r="D42" t="s">
        <v>99</v>
      </c>
      <c r="E42">
        <v>4000000</v>
      </c>
      <c r="F42" s="18">
        <v>44270</v>
      </c>
      <c r="G42" s="18">
        <v>44644</v>
      </c>
      <c r="H42">
        <v>2021</v>
      </c>
      <c r="I42" t="s">
        <v>164</v>
      </c>
      <c r="J42" s="27">
        <v>632641.16</v>
      </c>
      <c r="K42" s="27">
        <v>0</v>
      </c>
      <c r="L42" s="27">
        <v>632641.16</v>
      </c>
      <c r="M42" t="s">
        <v>193</v>
      </c>
      <c r="N42" t="s">
        <v>176</v>
      </c>
      <c r="O42" t="s">
        <v>167</v>
      </c>
      <c r="P42" s="27">
        <v>632641.16</v>
      </c>
    </row>
    <row r="43" spans="1:16" ht="15.75" customHeight="1" x14ac:dyDescent="0.2">
      <c r="A43" t="s">
        <v>211</v>
      </c>
      <c r="B43" t="s">
        <v>163</v>
      </c>
      <c r="C43" s="18">
        <v>44406</v>
      </c>
      <c r="D43" t="s">
        <v>99</v>
      </c>
      <c r="E43">
        <v>10000000</v>
      </c>
      <c r="F43" s="18">
        <v>44530</v>
      </c>
      <c r="G43" s="18">
        <v>44673</v>
      </c>
      <c r="H43">
        <v>2021</v>
      </c>
      <c r="I43" t="s">
        <v>164</v>
      </c>
      <c r="J43" s="27">
        <v>323298.09000000003</v>
      </c>
      <c r="K43" s="27">
        <v>0</v>
      </c>
      <c r="L43" s="27">
        <v>323298.09000000003</v>
      </c>
      <c r="M43" t="s">
        <v>178</v>
      </c>
      <c r="N43" t="s">
        <v>179</v>
      </c>
      <c r="O43" t="s">
        <v>167</v>
      </c>
      <c r="P43" s="27">
        <v>323298.09000000003</v>
      </c>
    </row>
    <row r="44" spans="1:16" ht="15.75" customHeight="1" x14ac:dyDescent="0.2">
      <c r="A44" t="s">
        <v>212</v>
      </c>
      <c r="B44" t="s">
        <v>163</v>
      </c>
      <c r="C44" s="18">
        <v>44358</v>
      </c>
      <c r="D44" t="s">
        <v>101</v>
      </c>
      <c r="E44">
        <v>10000000</v>
      </c>
      <c r="F44" s="18">
        <v>44638</v>
      </c>
      <c r="G44" s="18">
        <v>44694</v>
      </c>
      <c r="H44">
        <v>2022</v>
      </c>
      <c r="I44" t="s">
        <v>164</v>
      </c>
      <c r="J44" s="27">
        <v>1163368.32</v>
      </c>
      <c r="K44" s="27">
        <v>0</v>
      </c>
      <c r="L44" s="27">
        <v>1163368.32</v>
      </c>
      <c r="M44" t="s">
        <v>180</v>
      </c>
      <c r="N44" t="s">
        <v>176</v>
      </c>
      <c r="O44" t="s">
        <v>167</v>
      </c>
      <c r="P44" s="27">
        <v>1163368.32</v>
      </c>
    </row>
    <row r="45" spans="1:16" ht="15.75" customHeight="1" x14ac:dyDescent="0.2">
      <c r="A45" t="s">
        <v>213</v>
      </c>
      <c r="B45" t="s">
        <v>163</v>
      </c>
      <c r="C45" s="18">
        <v>44252</v>
      </c>
      <c r="D45" t="s">
        <v>98</v>
      </c>
      <c r="E45">
        <v>10000000</v>
      </c>
      <c r="F45" s="18">
        <v>44608</v>
      </c>
      <c r="G45" s="18">
        <v>44697</v>
      </c>
      <c r="H45">
        <v>2022</v>
      </c>
      <c r="I45" t="s">
        <v>164</v>
      </c>
      <c r="J45" s="27">
        <v>1075958.1299999999</v>
      </c>
      <c r="K45" s="27">
        <v>0</v>
      </c>
      <c r="L45" s="27">
        <v>1075958.1299999999</v>
      </c>
      <c r="M45" t="s">
        <v>197</v>
      </c>
      <c r="N45" t="s">
        <v>179</v>
      </c>
      <c r="O45" t="s">
        <v>170</v>
      </c>
      <c r="P45" s="27">
        <v>0</v>
      </c>
    </row>
    <row r="46" spans="1:16" ht="15.75" customHeight="1" x14ac:dyDescent="0.2">
      <c r="A46" t="s">
        <v>214</v>
      </c>
      <c r="B46" t="s">
        <v>163</v>
      </c>
      <c r="C46" s="18">
        <v>44146</v>
      </c>
      <c r="D46" t="s">
        <v>99</v>
      </c>
      <c r="E46">
        <v>10000000</v>
      </c>
      <c r="F46" s="18">
        <v>44230</v>
      </c>
      <c r="G46" s="18">
        <v>44735</v>
      </c>
      <c r="H46">
        <v>2021</v>
      </c>
      <c r="I46" t="s">
        <v>164</v>
      </c>
      <c r="J46" s="27">
        <v>372325.55</v>
      </c>
      <c r="K46" s="27">
        <v>0</v>
      </c>
      <c r="L46" s="27">
        <v>372325.55</v>
      </c>
      <c r="M46" t="s">
        <v>189</v>
      </c>
      <c r="N46" t="s">
        <v>190</v>
      </c>
      <c r="O46" t="s">
        <v>170</v>
      </c>
      <c r="P46" s="27">
        <v>0</v>
      </c>
    </row>
    <row r="47" spans="1:16" ht="15.75" customHeight="1" x14ac:dyDescent="0.2">
      <c r="A47" t="s">
        <v>215</v>
      </c>
      <c r="B47" t="s">
        <v>163</v>
      </c>
      <c r="C47" s="18">
        <v>44329</v>
      </c>
      <c r="D47" t="s">
        <v>99</v>
      </c>
      <c r="E47">
        <v>10000000</v>
      </c>
      <c r="F47" s="18">
        <v>44568</v>
      </c>
      <c r="G47" s="18">
        <v>44754</v>
      </c>
      <c r="H47">
        <v>2022</v>
      </c>
      <c r="I47" t="s">
        <v>164</v>
      </c>
      <c r="J47" s="27">
        <v>1484754.44</v>
      </c>
      <c r="K47" s="27">
        <v>0</v>
      </c>
      <c r="L47" s="27">
        <v>1484754.44</v>
      </c>
      <c r="M47" t="s">
        <v>172</v>
      </c>
      <c r="N47" t="s">
        <v>173</v>
      </c>
      <c r="O47" t="s">
        <v>170</v>
      </c>
      <c r="P47" s="27">
        <v>0</v>
      </c>
    </row>
    <row r="48" spans="1:16" ht="15.75" customHeight="1" x14ac:dyDescent="0.2">
      <c r="A48" t="s">
        <v>216</v>
      </c>
      <c r="B48" t="s">
        <v>163</v>
      </c>
      <c r="C48" s="18">
        <v>44667</v>
      </c>
      <c r="D48" t="s">
        <v>101</v>
      </c>
      <c r="E48">
        <v>5000000</v>
      </c>
      <c r="F48" s="18">
        <v>44708</v>
      </c>
      <c r="G48" s="18">
        <v>44757</v>
      </c>
      <c r="H48">
        <v>2022</v>
      </c>
      <c r="I48" t="s">
        <v>164</v>
      </c>
      <c r="J48" s="27">
        <v>1236945.9099999999</v>
      </c>
      <c r="K48" s="27">
        <v>0</v>
      </c>
      <c r="L48" s="27">
        <v>1236945.9099999999</v>
      </c>
      <c r="M48" t="s">
        <v>165</v>
      </c>
      <c r="N48" t="s">
        <v>166</v>
      </c>
      <c r="O48" t="s">
        <v>167</v>
      </c>
      <c r="P48" s="27">
        <v>1236945.9099999999</v>
      </c>
    </row>
    <row r="49" spans="1:16" ht="15.75" customHeight="1" x14ac:dyDescent="0.2">
      <c r="A49" t="s">
        <v>217</v>
      </c>
      <c r="B49" t="s">
        <v>163</v>
      </c>
      <c r="C49" s="18">
        <v>44629</v>
      </c>
      <c r="D49" t="s">
        <v>98</v>
      </c>
      <c r="E49">
        <v>10000000</v>
      </c>
      <c r="F49" s="18">
        <v>44651</v>
      </c>
      <c r="G49" s="18">
        <v>44760</v>
      </c>
      <c r="H49">
        <v>2022</v>
      </c>
      <c r="I49" t="s">
        <v>164</v>
      </c>
      <c r="J49" s="27">
        <v>312493.84000000003</v>
      </c>
      <c r="K49" s="27">
        <v>0</v>
      </c>
      <c r="L49" s="27">
        <v>312493.84000000003</v>
      </c>
      <c r="M49" t="s">
        <v>169</v>
      </c>
      <c r="N49" t="s">
        <v>166</v>
      </c>
      <c r="O49" t="s">
        <v>170</v>
      </c>
      <c r="P49" s="27">
        <v>0</v>
      </c>
    </row>
    <row r="50" spans="1:16" ht="15.75" customHeight="1" x14ac:dyDescent="0.2">
      <c r="A50" t="s">
        <v>218</v>
      </c>
      <c r="B50" t="s">
        <v>219</v>
      </c>
      <c r="C50" s="18">
        <v>44215</v>
      </c>
      <c r="D50" t="s">
        <v>101</v>
      </c>
      <c r="E50">
        <v>10000000</v>
      </c>
      <c r="F50" s="18">
        <v>44384</v>
      </c>
      <c r="G50" s="18">
        <v>44767</v>
      </c>
      <c r="H50">
        <v>2021</v>
      </c>
      <c r="I50" t="s">
        <v>164</v>
      </c>
      <c r="J50" s="27">
        <v>562974.99</v>
      </c>
      <c r="K50" s="27">
        <v>26337.19</v>
      </c>
      <c r="L50" s="27">
        <v>589312.18000000005</v>
      </c>
      <c r="M50" t="s">
        <v>175</v>
      </c>
      <c r="N50" t="s">
        <v>176</v>
      </c>
      <c r="O50" t="s">
        <v>167</v>
      </c>
      <c r="P50" s="27">
        <v>589312.18000000005</v>
      </c>
    </row>
    <row r="51" spans="1:16" ht="15.75" customHeight="1" x14ac:dyDescent="0.2">
      <c r="A51" t="s">
        <v>220</v>
      </c>
      <c r="B51" t="s">
        <v>163</v>
      </c>
      <c r="C51" s="18">
        <v>44617</v>
      </c>
      <c r="D51" t="s">
        <v>99</v>
      </c>
      <c r="E51">
        <v>3500000</v>
      </c>
      <c r="F51" s="18">
        <v>44692</v>
      </c>
      <c r="G51" s="18">
        <v>44769</v>
      </c>
      <c r="H51">
        <v>2022</v>
      </c>
      <c r="I51" t="s">
        <v>164</v>
      </c>
      <c r="J51" s="27">
        <v>540534.89</v>
      </c>
      <c r="K51" s="27">
        <v>0</v>
      </c>
      <c r="L51" s="27">
        <v>540534.89</v>
      </c>
      <c r="M51" t="s">
        <v>185</v>
      </c>
      <c r="N51" t="s">
        <v>166</v>
      </c>
      <c r="O51" t="s">
        <v>167</v>
      </c>
      <c r="P51" s="27">
        <v>540534.89</v>
      </c>
    </row>
    <row r="52" spans="1:16" ht="15.75" customHeight="1" x14ac:dyDescent="0.2">
      <c r="A52" t="s">
        <v>221</v>
      </c>
      <c r="B52" t="s">
        <v>163</v>
      </c>
      <c r="C52" s="18">
        <v>44353</v>
      </c>
      <c r="D52" t="s">
        <v>101</v>
      </c>
      <c r="E52">
        <v>5000000</v>
      </c>
      <c r="F52" s="18">
        <v>44449</v>
      </c>
      <c r="G52" s="18">
        <v>44777</v>
      </c>
      <c r="H52">
        <v>2021</v>
      </c>
      <c r="I52" t="s">
        <v>164</v>
      </c>
      <c r="J52" s="27">
        <v>589911.68999999994</v>
      </c>
      <c r="K52" s="27">
        <v>0</v>
      </c>
      <c r="L52" s="27">
        <v>589911.68999999994</v>
      </c>
      <c r="M52" t="s">
        <v>165</v>
      </c>
      <c r="N52" t="s">
        <v>166</v>
      </c>
      <c r="O52" t="s">
        <v>167</v>
      </c>
      <c r="P52" s="27">
        <v>589911.68999999994</v>
      </c>
    </row>
    <row r="53" spans="1:16" ht="15.75" customHeight="1" x14ac:dyDescent="0.2">
      <c r="A53" t="s">
        <v>222</v>
      </c>
      <c r="B53" t="s">
        <v>163</v>
      </c>
      <c r="C53" s="18">
        <v>44547</v>
      </c>
      <c r="D53" t="s">
        <v>98</v>
      </c>
      <c r="E53">
        <v>10000000</v>
      </c>
      <c r="F53" s="18">
        <v>44729</v>
      </c>
      <c r="G53" s="18">
        <v>44813</v>
      </c>
      <c r="H53">
        <v>2022</v>
      </c>
      <c r="I53" t="s">
        <v>164</v>
      </c>
      <c r="J53" s="27">
        <v>2187271.08</v>
      </c>
      <c r="K53" s="27">
        <v>0</v>
      </c>
      <c r="L53" s="27">
        <v>2187271.08</v>
      </c>
      <c r="M53" t="s">
        <v>185</v>
      </c>
      <c r="N53" t="s">
        <v>166</v>
      </c>
      <c r="O53" t="s">
        <v>170</v>
      </c>
      <c r="P53" s="27">
        <v>0</v>
      </c>
    </row>
    <row r="54" spans="1:16" ht="15.75" customHeight="1" x14ac:dyDescent="0.2">
      <c r="A54" t="s">
        <v>223</v>
      </c>
      <c r="B54" t="s">
        <v>219</v>
      </c>
      <c r="C54" s="18">
        <v>44479</v>
      </c>
      <c r="D54" t="s">
        <v>98</v>
      </c>
      <c r="E54">
        <v>4000000</v>
      </c>
      <c r="F54" s="18">
        <v>44741</v>
      </c>
      <c r="G54" s="18">
        <v>44836</v>
      </c>
      <c r="H54">
        <v>2022</v>
      </c>
      <c r="I54" t="s">
        <v>164</v>
      </c>
      <c r="J54" s="27">
        <v>315161.46999999997</v>
      </c>
      <c r="K54" s="27">
        <v>13080.1</v>
      </c>
      <c r="L54" s="27">
        <v>328241.57</v>
      </c>
      <c r="M54" t="s">
        <v>197</v>
      </c>
      <c r="N54" t="s">
        <v>179</v>
      </c>
      <c r="O54" t="s">
        <v>170</v>
      </c>
      <c r="P54" s="27">
        <v>0</v>
      </c>
    </row>
    <row r="55" spans="1:16" ht="15.75" customHeight="1" x14ac:dyDescent="0.2">
      <c r="A55" t="s">
        <v>224</v>
      </c>
      <c r="B55" t="s">
        <v>219</v>
      </c>
      <c r="C55" s="18">
        <v>44533</v>
      </c>
      <c r="D55" t="s">
        <v>101</v>
      </c>
      <c r="E55">
        <v>4000000</v>
      </c>
      <c r="F55" s="18">
        <v>44691</v>
      </c>
      <c r="G55" s="18">
        <v>44880</v>
      </c>
      <c r="H55">
        <v>2022</v>
      </c>
      <c r="I55" t="s">
        <v>164</v>
      </c>
      <c r="J55" s="27">
        <v>1001797.32</v>
      </c>
      <c r="K55" s="27">
        <v>89960.020000000106</v>
      </c>
      <c r="L55" s="27">
        <v>1091757.3400000001</v>
      </c>
      <c r="M55" t="s">
        <v>180</v>
      </c>
      <c r="N55" t="s">
        <v>176</v>
      </c>
      <c r="O55" t="s">
        <v>170</v>
      </c>
      <c r="P55" s="27">
        <v>0</v>
      </c>
    </row>
    <row r="56" spans="1:16" ht="15.75" customHeight="1" x14ac:dyDescent="0.2">
      <c r="A56" t="s">
        <v>225</v>
      </c>
      <c r="B56" t="s">
        <v>163</v>
      </c>
      <c r="C56" s="18">
        <v>44371</v>
      </c>
      <c r="D56" t="s">
        <v>101</v>
      </c>
      <c r="E56">
        <v>4000000</v>
      </c>
      <c r="F56" s="18">
        <v>44727</v>
      </c>
      <c r="G56" s="18">
        <v>44892</v>
      </c>
      <c r="H56">
        <v>2022</v>
      </c>
      <c r="I56" t="s">
        <v>164</v>
      </c>
      <c r="J56" s="27">
        <v>683708.31</v>
      </c>
      <c r="K56" s="27">
        <v>0</v>
      </c>
      <c r="L56" s="27">
        <v>683708.31</v>
      </c>
      <c r="M56" t="s">
        <v>165</v>
      </c>
      <c r="N56" t="s">
        <v>166</v>
      </c>
      <c r="O56" t="s">
        <v>167</v>
      </c>
      <c r="P56" s="27">
        <v>683708.31</v>
      </c>
    </row>
    <row r="57" spans="1:16" ht="15.75" customHeight="1" x14ac:dyDescent="0.2">
      <c r="A57" t="s">
        <v>226</v>
      </c>
      <c r="B57" t="s">
        <v>163</v>
      </c>
      <c r="C57" s="18">
        <v>44542</v>
      </c>
      <c r="D57" t="s">
        <v>99</v>
      </c>
      <c r="E57">
        <v>10000000</v>
      </c>
      <c r="F57" s="18">
        <v>44805</v>
      </c>
      <c r="G57" s="18">
        <v>44896</v>
      </c>
      <c r="H57">
        <v>2022</v>
      </c>
      <c r="I57" t="s">
        <v>164</v>
      </c>
      <c r="J57" s="27">
        <v>988259.98</v>
      </c>
      <c r="K57" s="27">
        <v>0</v>
      </c>
      <c r="L57" s="27">
        <v>988259.98</v>
      </c>
      <c r="M57" t="s">
        <v>193</v>
      </c>
      <c r="N57" t="s">
        <v>176</v>
      </c>
      <c r="O57" t="s">
        <v>167</v>
      </c>
      <c r="P57" s="27">
        <v>988259.98</v>
      </c>
    </row>
    <row r="58" spans="1:16" ht="15.75" customHeight="1" x14ac:dyDescent="0.2">
      <c r="A58" t="s">
        <v>227</v>
      </c>
      <c r="B58" t="s">
        <v>163</v>
      </c>
      <c r="C58" s="18">
        <v>44688</v>
      </c>
      <c r="D58" t="s">
        <v>99</v>
      </c>
      <c r="E58">
        <v>10000000</v>
      </c>
      <c r="F58" s="18">
        <v>44695</v>
      </c>
      <c r="G58" s="18">
        <v>44918</v>
      </c>
      <c r="H58">
        <v>2022</v>
      </c>
      <c r="I58" t="s">
        <v>164</v>
      </c>
      <c r="J58" s="27">
        <v>1123536.79</v>
      </c>
      <c r="K58" s="27">
        <v>0</v>
      </c>
      <c r="L58" s="27">
        <v>1123536.79</v>
      </c>
      <c r="M58" t="s">
        <v>185</v>
      </c>
      <c r="N58" t="s">
        <v>166</v>
      </c>
      <c r="O58" t="s">
        <v>170</v>
      </c>
      <c r="P58" s="27">
        <v>0</v>
      </c>
    </row>
    <row r="59" spans="1:16" ht="15.75" customHeight="1" x14ac:dyDescent="0.2">
      <c r="A59" t="s">
        <v>228</v>
      </c>
      <c r="B59" t="s">
        <v>163</v>
      </c>
      <c r="C59" s="18">
        <v>44509</v>
      </c>
      <c r="D59" t="s">
        <v>101</v>
      </c>
      <c r="E59">
        <v>10000000</v>
      </c>
      <c r="F59" s="18">
        <v>44788</v>
      </c>
      <c r="G59" s="18">
        <v>44951</v>
      </c>
      <c r="H59">
        <v>2022</v>
      </c>
      <c r="I59" t="s">
        <v>164</v>
      </c>
      <c r="J59" s="27">
        <v>818383.46</v>
      </c>
      <c r="K59" s="27">
        <v>0</v>
      </c>
      <c r="L59" s="27">
        <v>818383.46</v>
      </c>
      <c r="M59" t="s">
        <v>178</v>
      </c>
      <c r="N59" t="s">
        <v>179</v>
      </c>
      <c r="O59" t="s">
        <v>167</v>
      </c>
      <c r="P59" s="27">
        <v>818383.46</v>
      </c>
    </row>
    <row r="60" spans="1:16" ht="15.75" customHeight="1" x14ac:dyDescent="0.2">
      <c r="A60" t="s">
        <v>229</v>
      </c>
      <c r="B60" t="s">
        <v>163</v>
      </c>
      <c r="C60" s="18">
        <v>44562</v>
      </c>
      <c r="D60" t="s">
        <v>100</v>
      </c>
      <c r="E60">
        <v>10000000</v>
      </c>
      <c r="F60" s="18">
        <v>44810</v>
      </c>
      <c r="G60" s="18">
        <v>44981</v>
      </c>
      <c r="H60">
        <v>2022</v>
      </c>
      <c r="I60" t="s">
        <v>164</v>
      </c>
      <c r="J60" s="27">
        <v>958761.22</v>
      </c>
      <c r="K60" s="27">
        <v>0</v>
      </c>
      <c r="L60" s="27">
        <v>958761.22</v>
      </c>
      <c r="M60" t="s">
        <v>172</v>
      </c>
      <c r="N60" t="s">
        <v>173</v>
      </c>
      <c r="O60" t="s">
        <v>170</v>
      </c>
      <c r="P60" s="27">
        <v>0</v>
      </c>
    </row>
    <row r="61" spans="1:16" ht="15.75" customHeight="1" x14ac:dyDescent="0.2">
      <c r="A61" t="s">
        <v>230</v>
      </c>
      <c r="B61" t="s">
        <v>163</v>
      </c>
      <c r="C61" s="18">
        <v>44566</v>
      </c>
      <c r="D61" t="s">
        <v>100</v>
      </c>
      <c r="E61">
        <v>10000000</v>
      </c>
      <c r="F61" s="18">
        <v>44920</v>
      </c>
      <c r="G61" s="18">
        <v>44989</v>
      </c>
      <c r="H61">
        <v>2022</v>
      </c>
      <c r="I61" t="s">
        <v>164</v>
      </c>
      <c r="J61" s="27">
        <v>1030947.32</v>
      </c>
      <c r="K61" s="27">
        <v>0</v>
      </c>
      <c r="L61" s="27">
        <v>1030947.32</v>
      </c>
      <c r="M61" t="s">
        <v>178</v>
      </c>
      <c r="N61" t="s">
        <v>179</v>
      </c>
      <c r="O61" t="s">
        <v>167</v>
      </c>
      <c r="P61" s="27">
        <v>1030947.32</v>
      </c>
    </row>
    <row r="62" spans="1:16" ht="15.75" customHeight="1" x14ac:dyDescent="0.2">
      <c r="A62" t="s">
        <v>231</v>
      </c>
      <c r="B62" t="s">
        <v>163</v>
      </c>
      <c r="C62" s="18">
        <v>44615</v>
      </c>
      <c r="D62" t="s">
        <v>98</v>
      </c>
      <c r="E62">
        <v>4000000</v>
      </c>
      <c r="F62" s="18">
        <v>44930</v>
      </c>
      <c r="G62" s="18">
        <v>44989</v>
      </c>
      <c r="H62">
        <v>2023</v>
      </c>
      <c r="I62" t="s">
        <v>164</v>
      </c>
      <c r="J62" s="27">
        <v>1667065.32</v>
      </c>
      <c r="K62" s="27">
        <v>0</v>
      </c>
      <c r="L62" s="27">
        <v>1667065.32</v>
      </c>
      <c r="M62" t="s">
        <v>193</v>
      </c>
      <c r="N62" t="s">
        <v>176</v>
      </c>
      <c r="O62" t="s">
        <v>170</v>
      </c>
      <c r="P62" s="27">
        <v>0</v>
      </c>
    </row>
    <row r="63" spans="1:16" ht="15.75" customHeight="1" x14ac:dyDescent="0.2">
      <c r="A63" t="s">
        <v>232</v>
      </c>
      <c r="B63" t="s">
        <v>163</v>
      </c>
      <c r="C63" s="18">
        <v>44459</v>
      </c>
      <c r="D63" t="s">
        <v>100</v>
      </c>
      <c r="E63">
        <v>10000000</v>
      </c>
      <c r="F63" s="18">
        <v>44803</v>
      </c>
      <c r="G63" s="18">
        <v>45030</v>
      </c>
      <c r="H63">
        <v>2022</v>
      </c>
      <c r="I63" t="s">
        <v>164</v>
      </c>
      <c r="J63" s="27">
        <v>2956095.47</v>
      </c>
      <c r="K63" s="27">
        <v>0</v>
      </c>
      <c r="L63" s="27">
        <v>2956095.47</v>
      </c>
      <c r="M63" t="s">
        <v>175</v>
      </c>
      <c r="N63" t="s">
        <v>176</v>
      </c>
      <c r="O63" t="s">
        <v>170</v>
      </c>
      <c r="P63" s="27">
        <v>0</v>
      </c>
    </row>
    <row r="64" spans="1:16" ht="15.75" customHeight="1" x14ac:dyDescent="0.2">
      <c r="A64" t="s">
        <v>233</v>
      </c>
      <c r="B64" t="s">
        <v>163</v>
      </c>
      <c r="C64" s="18">
        <v>44526</v>
      </c>
      <c r="D64" t="s">
        <v>101</v>
      </c>
      <c r="E64">
        <v>3000000</v>
      </c>
      <c r="F64" s="18">
        <v>44888</v>
      </c>
      <c r="G64" s="18">
        <v>45047</v>
      </c>
      <c r="H64">
        <v>2022</v>
      </c>
      <c r="I64" t="s">
        <v>164</v>
      </c>
      <c r="J64" s="27">
        <v>483379.1</v>
      </c>
      <c r="K64" s="27">
        <v>0</v>
      </c>
      <c r="L64" s="27">
        <v>483379.1</v>
      </c>
      <c r="M64" t="s">
        <v>185</v>
      </c>
      <c r="N64" t="s">
        <v>166</v>
      </c>
      <c r="O64" t="s">
        <v>167</v>
      </c>
      <c r="P64" s="27">
        <v>483379.1</v>
      </c>
    </row>
    <row r="65" spans="1:16" ht="15.75" customHeight="1" x14ac:dyDescent="0.2">
      <c r="A65" t="s">
        <v>234</v>
      </c>
      <c r="B65" t="s">
        <v>219</v>
      </c>
      <c r="C65" s="18">
        <v>44849</v>
      </c>
      <c r="D65" t="s">
        <v>98</v>
      </c>
      <c r="E65">
        <v>10000000</v>
      </c>
      <c r="F65" s="18">
        <v>44860</v>
      </c>
      <c r="G65" s="18">
        <v>45078</v>
      </c>
      <c r="H65">
        <v>2022</v>
      </c>
      <c r="I65" t="s">
        <v>164</v>
      </c>
      <c r="J65" s="27">
        <v>1521997.84</v>
      </c>
      <c r="K65" s="27">
        <v>373526.62</v>
      </c>
      <c r="L65" s="27">
        <v>1895524.46</v>
      </c>
      <c r="M65" t="s">
        <v>175</v>
      </c>
      <c r="N65" t="s">
        <v>176</v>
      </c>
      <c r="O65" t="s">
        <v>170</v>
      </c>
      <c r="P65" s="27">
        <v>0</v>
      </c>
    </row>
    <row r="66" spans="1:16" ht="15.75" customHeight="1" x14ac:dyDescent="0.2">
      <c r="A66" t="s">
        <v>235</v>
      </c>
      <c r="B66" t="s">
        <v>163</v>
      </c>
      <c r="C66" s="18">
        <v>44371</v>
      </c>
      <c r="D66" t="s">
        <v>100</v>
      </c>
      <c r="E66">
        <v>10000000</v>
      </c>
      <c r="F66" s="18">
        <v>44722</v>
      </c>
      <c r="G66" s="18">
        <v>45090</v>
      </c>
      <c r="H66">
        <v>2022</v>
      </c>
      <c r="I66" t="s">
        <v>164</v>
      </c>
      <c r="J66" s="27">
        <v>712607.5</v>
      </c>
      <c r="K66" s="27">
        <v>0</v>
      </c>
      <c r="L66" s="27">
        <v>712607.5</v>
      </c>
      <c r="M66" t="s">
        <v>172</v>
      </c>
      <c r="N66" t="s">
        <v>173</v>
      </c>
      <c r="O66" t="s">
        <v>167</v>
      </c>
      <c r="P66" s="27">
        <v>712607.5</v>
      </c>
    </row>
    <row r="67" spans="1:16" ht="15.75" customHeight="1" x14ac:dyDescent="0.2">
      <c r="A67" t="s">
        <v>236</v>
      </c>
      <c r="B67" t="s">
        <v>163</v>
      </c>
      <c r="C67" s="18">
        <v>44863</v>
      </c>
      <c r="D67" t="s">
        <v>100</v>
      </c>
      <c r="E67">
        <v>4000000</v>
      </c>
      <c r="F67" s="18">
        <v>45037</v>
      </c>
      <c r="G67" s="18">
        <v>45094</v>
      </c>
      <c r="H67">
        <v>2023</v>
      </c>
      <c r="I67" t="s">
        <v>164</v>
      </c>
      <c r="J67" s="27">
        <v>459702.24</v>
      </c>
      <c r="K67" s="27">
        <v>0</v>
      </c>
      <c r="L67" s="27">
        <v>459702.24</v>
      </c>
      <c r="M67" t="s">
        <v>180</v>
      </c>
      <c r="N67" t="s">
        <v>176</v>
      </c>
      <c r="O67" t="s">
        <v>167</v>
      </c>
      <c r="P67" s="27">
        <v>459702.24</v>
      </c>
    </row>
    <row r="68" spans="1:16" ht="15.75" customHeight="1" x14ac:dyDescent="0.2">
      <c r="A68" t="s">
        <v>237</v>
      </c>
      <c r="B68" t="s">
        <v>163</v>
      </c>
      <c r="C68" s="18">
        <v>44746</v>
      </c>
      <c r="D68" t="s">
        <v>98</v>
      </c>
      <c r="E68">
        <v>10000000</v>
      </c>
      <c r="F68" s="18">
        <v>45033</v>
      </c>
      <c r="G68" s="18">
        <v>45115</v>
      </c>
      <c r="H68">
        <v>2023</v>
      </c>
      <c r="I68" t="s">
        <v>164</v>
      </c>
      <c r="J68" s="27">
        <v>1889768.1</v>
      </c>
      <c r="K68" s="27">
        <v>0</v>
      </c>
      <c r="L68" s="27">
        <v>1889768.1</v>
      </c>
      <c r="M68" t="s">
        <v>172</v>
      </c>
      <c r="N68" t="s">
        <v>173</v>
      </c>
      <c r="O68" t="s">
        <v>170</v>
      </c>
      <c r="P68" s="27">
        <v>0</v>
      </c>
    </row>
    <row r="69" spans="1:16" ht="15.75" customHeight="1" x14ac:dyDescent="0.2">
      <c r="A69" t="s">
        <v>238</v>
      </c>
      <c r="B69" t="s">
        <v>219</v>
      </c>
      <c r="C69" s="18">
        <v>44738</v>
      </c>
      <c r="D69" t="s">
        <v>98</v>
      </c>
      <c r="E69">
        <v>3500000</v>
      </c>
      <c r="F69" s="18">
        <v>45069</v>
      </c>
      <c r="G69" s="18">
        <v>45122</v>
      </c>
      <c r="H69">
        <v>2023</v>
      </c>
      <c r="I69" t="s">
        <v>164</v>
      </c>
      <c r="J69" s="27">
        <v>1470987.6</v>
      </c>
      <c r="K69" s="27">
        <v>466197.52</v>
      </c>
      <c r="L69" s="27">
        <v>1937185.12</v>
      </c>
      <c r="M69" t="s">
        <v>172</v>
      </c>
      <c r="N69" t="s">
        <v>173</v>
      </c>
      <c r="O69" t="s">
        <v>170</v>
      </c>
      <c r="P69" s="27">
        <v>0</v>
      </c>
    </row>
    <row r="70" spans="1:16" ht="15.75" customHeight="1" x14ac:dyDescent="0.2">
      <c r="A70" t="s">
        <v>239</v>
      </c>
      <c r="B70" t="s">
        <v>163</v>
      </c>
      <c r="C70" s="18">
        <v>44698</v>
      </c>
      <c r="D70" t="s">
        <v>101</v>
      </c>
      <c r="E70">
        <v>4500000</v>
      </c>
      <c r="F70" s="18">
        <v>44943</v>
      </c>
      <c r="G70" s="18">
        <v>45130</v>
      </c>
      <c r="H70">
        <v>2023</v>
      </c>
      <c r="I70" t="s">
        <v>164</v>
      </c>
      <c r="J70" s="27">
        <v>1168811.1499999999</v>
      </c>
      <c r="K70" s="27">
        <v>0</v>
      </c>
      <c r="L70" s="27">
        <v>1168811.1499999999</v>
      </c>
      <c r="M70" t="s">
        <v>180</v>
      </c>
      <c r="N70" t="s">
        <v>176</v>
      </c>
      <c r="O70" t="s">
        <v>167</v>
      </c>
      <c r="P70" s="27">
        <v>1168811.1499999999</v>
      </c>
    </row>
    <row r="71" spans="1:16" ht="15.75" customHeight="1" x14ac:dyDescent="0.2">
      <c r="A71" t="s">
        <v>240</v>
      </c>
      <c r="B71" t="s">
        <v>163</v>
      </c>
      <c r="C71" s="18">
        <v>44666</v>
      </c>
      <c r="D71" t="s">
        <v>100</v>
      </c>
      <c r="E71">
        <v>10000000</v>
      </c>
      <c r="F71" s="18">
        <v>44815</v>
      </c>
      <c r="G71" s="18">
        <v>45146</v>
      </c>
      <c r="H71">
        <v>2022</v>
      </c>
      <c r="I71" t="s">
        <v>164</v>
      </c>
      <c r="J71" s="27">
        <v>2841926.84</v>
      </c>
      <c r="K71" s="27">
        <v>0</v>
      </c>
      <c r="L71" s="27">
        <v>2841926.84</v>
      </c>
      <c r="M71" t="s">
        <v>169</v>
      </c>
      <c r="N71" t="s">
        <v>166</v>
      </c>
      <c r="O71" t="s">
        <v>170</v>
      </c>
      <c r="P71" s="27">
        <v>0</v>
      </c>
    </row>
    <row r="72" spans="1:16" ht="15.75" customHeight="1" x14ac:dyDescent="0.2">
      <c r="A72" t="s">
        <v>241</v>
      </c>
      <c r="B72" t="s">
        <v>219</v>
      </c>
      <c r="C72" s="18">
        <v>44917</v>
      </c>
      <c r="D72" t="s">
        <v>98</v>
      </c>
      <c r="E72">
        <v>4500000</v>
      </c>
      <c r="F72" s="18">
        <v>44918</v>
      </c>
      <c r="G72" s="18">
        <v>45172</v>
      </c>
      <c r="H72">
        <v>2022</v>
      </c>
      <c r="I72" t="s">
        <v>164</v>
      </c>
      <c r="J72" s="27">
        <v>565451.22</v>
      </c>
      <c r="K72" s="27">
        <v>177834.93</v>
      </c>
      <c r="L72" s="27">
        <v>743286.15</v>
      </c>
      <c r="M72" t="s">
        <v>180</v>
      </c>
      <c r="N72" t="s">
        <v>176</v>
      </c>
      <c r="O72" t="s">
        <v>170</v>
      </c>
      <c r="P72" s="27">
        <v>0</v>
      </c>
    </row>
    <row r="73" spans="1:16" ht="15.75" customHeight="1" x14ac:dyDescent="0.2">
      <c r="A73" t="s">
        <v>242</v>
      </c>
      <c r="B73" t="s">
        <v>163</v>
      </c>
      <c r="C73" s="18">
        <v>44811</v>
      </c>
      <c r="D73" t="s">
        <v>100</v>
      </c>
      <c r="E73">
        <v>2000000</v>
      </c>
      <c r="F73" s="18">
        <v>44992</v>
      </c>
      <c r="G73" s="18">
        <v>45172</v>
      </c>
      <c r="H73">
        <v>2023</v>
      </c>
      <c r="I73" t="s">
        <v>164</v>
      </c>
      <c r="J73" s="27">
        <v>1047119.82</v>
      </c>
      <c r="K73" s="27">
        <v>0</v>
      </c>
      <c r="L73" s="27">
        <v>1047119.82</v>
      </c>
      <c r="M73" t="s">
        <v>189</v>
      </c>
      <c r="N73" t="s">
        <v>190</v>
      </c>
      <c r="O73" t="s">
        <v>170</v>
      </c>
      <c r="P73" s="27">
        <v>0</v>
      </c>
    </row>
    <row r="74" spans="1:16" ht="15.75" customHeight="1" x14ac:dyDescent="0.2">
      <c r="A74" t="s">
        <v>243</v>
      </c>
      <c r="B74" t="s">
        <v>163</v>
      </c>
      <c r="C74" s="18">
        <v>45069</v>
      </c>
      <c r="D74" t="s">
        <v>98</v>
      </c>
      <c r="E74">
        <v>10000000</v>
      </c>
      <c r="F74" s="18">
        <v>45130</v>
      </c>
      <c r="G74" s="18">
        <v>45180</v>
      </c>
      <c r="H74">
        <v>2023</v>
      </c>
      <c r="I74" t="s">
        <v>164</v>
      </c>
      <c r="J74" s="27">
        <v>2561135.6800000002</v>
      </c>
      <c r="K74" s="27">
        <v>0</v>
      </c>
      <c r="L74" s="27">
        <v>2561135.6800000002</v>
      </c>
      <c r="M74" t="s">
        <v>197</v>
      </c>
      <c r="N74" t="s">
        <v>179</v>
      </c>
      <c r="O74" t="s">
        <v>170</v>
      </c>
      <c r="P74" s="27">
        <v>0</v>
      </c>
    </row>
    <row r="75" spans="1:16" ht="15.75" customHeight="1" x14ac:dyDescent="0.2">
      <c r="A75" t="s">
        <v>244</v>
      </c>
      <c r="B75" t="s">
        <v>219</v>
      </c>
      <c r="C75" s="18">
        <v>44946</v>
      </c>
      <c r="D75" t="s">
        <v>99</v>
      </c>
      <c r="E75">
        <v>4000000</v>
      </c>
      <c r="F75" s="18">
        <v>45161</v>
      </c>
      <c r="G75" s="18">
        <v>45201</v>
      </c>
      <c r="H75">
        <v>2023</v>
      </c>
      <c r="I75" t="s">
        <v>164</v>
      </c>
      <c r="J75" s="27">
        <v>517442.76</v>
      </c>
      <c r="K75" s="27">
        <v>48916.43</v>
      </c>
      <c r="L75" s="27">
        <v>566359.18999999994</v>
      </c>
      <c r="M75" t="s">
        <v>178</v>
      </c>
      <c r="N75" t="s">
        <v>179</v>
      </c>
      <c r="O75" t="s">
        <v>167</v>
      </c>
      <c r="P75" s="27">
        <v>566359.18999999994</v>
      </c>
    </row>
    <row r="76" spans="1:16" ht="15.75" customHeight="1" x14ac:dyDescent="0.2">
      <c r="A76" t="s">
        <v>245</v>
      </c>
      <c r="B76" t="s">
        <v>163</v>
      </c>
      <c r="C76" s="18">
        <v>45003</v>
      </c>
      <c r="D76" t="s">
        <v>102</v>
      </c>
      <c r="E76">
        <v>4000000</v>
      </c>
      <c r="F76" s="18">
        <v>45088</v>
      </c>
      <c r="G76" s="18">
        <v>45229</v>
      </c>
      <c r="H76">
        <v>2023</v>
      </c>
      <c r="I76" t="s">
        <v>164</v>
      </c>
      <c r="J76" s="27">
        <v>457514.95</v>
      </c>
      <c r="K76" s="27">
        <v>0</v>
      </c>
      <c r="L76" s="27">
        <v>457514.95</v>
      </c>
      <c r="M76" t="s">
        <v>197</v>
      </c>
      <c r="N76" t="s">
        <v>179</v>
      </c>
      <c r="O76" t="s">
        <v>170</v>
      </c>
      <c r="P76" s="27">
        <v>0</v>
      </c>
    </row>
    <row r="77" spans="1:16" ht="15.75" customHeight="1" x14ac:dyDescent="0.2">
      <c r="A77" t="s">
        <v>246</v>
      </c>
      <c r="B77" t="s">
        <v>163</v>
      </c>
      <c r="C77" s="18">
        <v>44388</v>
      </c>
      <c r="D77" t="s">
        <v>98</v>
      </c>
      <c r="E77">
        <v>10000000</v>
      </c>
      <c r="F77" s="18">
        <v>44424</v>
      </c>
      <c r="G77" s="18">
        <v>45234</v>
      </c>
      <c r="H77">
        <v>2021</v>
      </c>
      <c r="I77" t="s">
        <v>164</v>
      </c>
      <c r="J77" s="27">
        <v>905380.4</v>
      </c>
      <c r="K77" s="27">
        <v>0</v>
      </c>
      <c r="L77" s="27">
        <v>905380.4</v>
      </c>
      <c r="M77" t="s">
        <v>180</v>
      </c>
      <c r="N77" t="s">
        <v>176</v>
      </c>
      <c r="O77" t="s">
        <v>170</v>
      </c>
      <c r="P77" s="27">
        <v>0</v>
      </c>
    </row>
    <row r="78" spans="1:16" ht="15.75" customHeight="1" x14ac:dyDescent="0.2">
      <c r="A78" t="s">
        <v>247</v>
      </c>
      <c r="B78" t="s">
        <v>163</v>
      </c>
      <c r="C78" s="18">
        <v>44904</v>
      </c>
      <c r="D78" t="s">
        <v>100</v>
      </c>
      <c r="E78">
        <v>5000000</v>
      </c>
      <c r="F78" s="18">
        <v>45157</v>
      </c>
      <c r="G78" s="18">
        <v>45238</v>
      </c>
      <c r="H78">
        <v>2023</v>
      </c>
      <c r="I78" t="s">
        <v>164</v>
      </c>
      <c r="J78" s="27">
        <v>1548827.16</v>
      </c>
      <c r="K78" s="27">
        <v>0</v>
      </c>
      <c r="L78" s="27">
        <v>1548827.16</v>
      </c>
      <c r="M78" t="s">
        <v>189</v>
      </c>
      <c r="N78" t="s">
        <v>190</v>
      </c>
      <c r="O78" t="s">
        <v>167</v>
      </c>
      <c r="P78" s="27">
        <v>1548827.16</v>
      </c>
    </row>
    <row r="79" spans="1:16" ht="15.75" customHeight="1" x14ac:dyDescent="0.2">
      <c r="A79" t="s">
        <v>248</v>
      </c>
      <c r="B79" t="s">
        <v>163</v>
      </c>
      <c r="C79" s="18">
        <v>45142</v>
      </c>
      <c r="D79" t="s">
        <v>100</v>
      </c>
      <c r="E79">
        <v>10000000</v>
      </c>
      <c r="F79" s="18">
        <v>45204</v>
      </c>
      <c r="G79" s="18">
        <v>45266</v>
      </c>
      <c r="H79">
        <v>2023</v>
      </c>
      <c r="I79" t="s">
        <v>164</v>
      </c>
      <c r="J79" s="27">
        <v>2292829.94</v>
      </c>
      <c r="K79" s="27">
        <v>0</v>
      </c>
      <c r="L79" s="27">
        <v>2292829.94</v>
      </c>
      <c r="M79" t="s">
        <v>197</v>
      </c>
      <c r="N79" t="s">
        <v>179</v>
      </c>
      <c r="O79" t="s">
        <v>170</v>
      </c>
      <c r="P79" s="27">
        <v>0</v>
      </c>
    </row>
    <row r="80" spans="1:16" ht="15.75" customHeight="1" x14ac:dyDescent="0.2">
      <c r="A80" t="s">
        <v>249</v>
      </c>
      <c r="B80" t="s">
        <v>163</v>
      </c>
      <c r="C80" s="18">
        <v>44680</v>
      </c>
      <c r="D80" t="s">
        <v>101</v>
      </c>
      <c r="E80">
        <v>10000000</v>
      </c>
      <c r="F80" s="18">
        <v>45018</v>
      </c>
      <c r="G80" s="18">
        <v>45278</v>
      </c>
      <c r="H80">
        <v>2023</v>
      </c>
      <c r="I80" t="s">
        <v>164</v>
      </c>
      <c r="J80" s="27">
        <v>685113.35</v>
      </c>
      <c r="K80" s="27">
        <v>0</v>
      </c>
      <c r="L80" s="27">
        <v>685113.35</v>
      </c>
      <c r="M80" t="s">
        <v>172</v>
      </c>
      <c r="N80" t="s">
        <v>173</v>
      </c>
      <c r="O80" t="s">
        <v>167</v>
      </c>
      <c r="P80" s="27">
        <v>685113.35</v>
      </c>
    </row>
    <row r="81" spans="1:16" ht="15.75" customHeight="1" x14ac:dyDescent="0.2">
      <c r="A81" t="s">
        <v>250</v>
      </c>
      <c r="B81" t="s">
        <v>163</v>
      </c>
      <c r="C81" s="18">
        <v>45071</v>
      </c>
      <c r="D81" t="s">
        <v>101</v>
      </c>
      <c r="E81">
        <v>10000000</v>
      </c>
      <c r="F81" s="18">
        <v>45144</v>
      </c>
      <c r="G81" s="18">
        <v>45311</v>
      </c>
      <c r="H81">
        <v>2023</v>
      </c>
      <c r="I81" t="s">
        <v>164</v>
      </c>
      <c r="J81" s="27">
        <v>954012.78</v>
      </c>
      <c r="K81" s="27">
        <v>0</v>
      </c>
      <c r="L81" s="27">
        <v>954012.78</v>
      </c>
      <c r="M81" t="s">
        <v>169</v>
      </c>
      <c r="N81" t="s">
        <v>166</v>
      </c>
      <c r="O81" t="s">
        <v>167</v>
      </c>
      <c r="P81" s="27">
        <v>954012.78</v>
      </c>
    </row>
    <row r="82" spans="1:16" ht="15.75" customHeight="1" x14ac:dyDescent="0.2">
      <c r="A82" t="s">
        <v>251</v>
      </c>
      <c r="B82" t="s">
        <v>163</v>
      </c>
      <c r="C82" s="18">
        <v>44233</v>
      </c>
      <c r="D82" t="s">
        <v>99</v>
      </c>
      <c r="E82">
        <v>4000000</v>
      </c>
      <c r="F82" s="18">
        <v>44540</v>
      </c>
      <c r="G82" s="18">
        <v>45325</v>
      </c>
      <c r="H82">
        <v>2021</v>
      </c>
      <c r="I82" t="s">
        <v>164</v>
      </c>
      <c r="J82" s="27">
        <v>892159.85</v>
      </c>
      <c r="K82" s="27">
        <v>0</v>
      </c>
      <c r="L82" s="27">
        <v>892159.85</v>
      </c>
      <c r="M82" t="s">
        <v>175</v>
      </c>
      <c r="N82" t="s">
        <v>176</v>
      </c>
      <c r="O82" t="s">
        <v>167</v>
      </c>
      <c r="P82" s="27">
        <v>892159.85</v>
      </c>
    </row>
    <row r="83" spans="1:16" ht="15.75" customHeight="1" x14ac:dyDescent="0.2">
      <c r="A83" t="s">
        <v>252</v>
      </c>
      <c r="B83" t="s">
        <v>163</v>
      </c>
      <c r="C83" s="18">
        <v>45084</v>
      </c>
      <c r="D83" t="s">
        <v>100</v>
      </c>
      <c r="E83">
        <v>4000000</v>
      </c>
      <c r="F83" s="18">
        <v>45342</v>
      </c>
      <c r="G83" s="18">
        <v>45384</v>
      </c>
      <c r="H83">
        <v>2024</v>
      </c>
      <c r="I83" t="s">
        <v>164</v>
      </c>
      <c r="J83" s="27">
        <v>843946.67</v>
      </c>
      <c r="K83" s="27">
        <v>0</v>
      </c>
      <c r="L83" s="27">
        <v>843946.67</v>
      </c>
      <c r="M83" t="s">
        <v>197</v>
      </c>
      <c r="N83" t="s">
        <v>179</v>
      </c>
      <c r="O83" t="s">
        <v>167</v>
      </c>
      <c r="P83" s="27">
        <v>843946.67</v>
      </c>
    </row>
    <row r="84" spans="1:16" ht="15.75" customHeight="1" x14ac:dyDescent="0.2">
      <c r="A84" t="s">
        <v>253</v>
      </c>
      <c r="B84" t="s">
        <v>163</v>
      </c>
      <c r="C84" s="18">
        <v>45004</v>
      </c>
      <c r="D84" t="s">
        <v>98</v>
      </c>
      <c r="E84">
        <v>10000000</v>
      </c>
      <c r="F84" s="18">
        <v>45243</v>
      </c>
      <c r="G84" s="18">
        <v>45396</v>
      </c>
      <c r="H84">
        <v>2023</v>
      </c>
      <c r="I84" t="s">
        <v>164</v>
      </c>
      <c r="J84" s="27">
        <v>1000457.11</v>
      </c>
      <c r="K84" s="27">
        <v>0</v>
      </c>
      <c r="L84" s="27">
        <v>1000457.11</v>
      </c>
      <c r="M84" t="s">
        <v>169</v>
      </c>
      <c r="N84" t="s">
        <v>166</v>
      </c>
      <c r="O84" t="s">
        <v>170</v>
      </c>
      <c r="P84" s="27">
        <v>0</v>
      </c>
    </row>
    <row r="85" spans="1:16" ht="15.75" customHeight="1" x14ac:dyDescent="0.2">
      <c r="A85" t="s">
        <v>254</v>
      </c>
      <c r="B85" t="s">
        <v>219</v>
      </c>
      <c r="C85" s="18">
        <v>45278</v>
      </c>
      <c r="D85" t="s">
        <v>100</v>
      </c>
      <c r="E85">
        <v>2000000</v>
      </c>
      <c r="F85" s="18">
        <v>45302</v>
      </c>
      <c r="G85" s="18">
        <v>45416</v>
      </c>
      <c r="H85">
        <v>2024</v>
      </c>
      <c r="I85" t="s">
        <v>164</v>
      </c>
      <c r="J85" s="27">
        <v>287733.95</v>
      </c>
      <c r="K85" s="27">
        <v>2317555.08</v>
      </c>
      <c r="L85" s="27">
        <v>2605289.0299999998</v>
      </c>
      <c r="M85" t="s">
        <v>175</v>
      </c>
      <c r="N85" t="s">
        <v>176</v>
      </c>
      <c r="O85" t="s">
        <v>167</v>
      </c>
      <c r="P85" s="27">
        <v>2605289.0299999998</v>
      </c>
    </row>
    <row r="86" spans="1:16" ht="15.75" customHeight="1" x14ac:dyDescent="0.2">
      <c r="A86" t="s">
        <v>255</v>
      </c>
      <c r="B86" t="s">
        <v>163</v>
      </c>
      <c r="C86" s="18">
        <v>44091</v>
      </c>
      <c r="D86" t="s">
        <v>99</v>
      </c>
      <c r="E86">
        <v>3000000</v>
      </c>
      <c r="F86" s="18">
        <v>44154</v>
      </c>
      <c r="G86" s="18">
        <v>45418</v>
      </c>
      <c r="H86">
        <v>2020</v>
      </c>
      <c r="I86" t="s">
        <v>164</v>
      </c>
      <c r="J86" s="27">
        <v>631892.79</v>
      </c>
      <c r="K86" s="27">
        <v>0</v>
      </c>
      <c r="L86" s="27">
        <v>631892.79</v>
      </c>
      <c r="M86" t="s">
        <v>193</v>
      </c>
      <c r="N86" t="s">
        <v>176</v>
      </c>
      <c r="O86" t="s">
        <v>170</v>
      </c>
      <c r="P86" s="27">
        <v>0</v>
      </c>
    </row>
    <row r="87" spans="1:16" ht="15.75" customHeight="1" x14ac:dyDescent="0.2">
      <c r="A87" t="s">
        <v>256</v>
      </c>
      <c r="B87" t="s">
        <v>219</v>
      </c>
      <c r="C87" s="18">
        <v>44969</v>
      </c>
      <c r="D87" t="s">
        <v>98</v>
      </c>
      <c r="E87">
        <v>2000000</v>
      </c>
      <c r="F87" s="18">
        <v>45287</v>
      </c>
      <c r="G87" s="18">
        <v>45426</v>
      </c>
      <c r="H87">
        <v>2023</v>
      </c>
      <c r="I87" t="s">
        <v>164</v>
      </c>
      <c r="J87" s="27">
        <v>790663.92</v>
      </c>
      <c r="K87" s="27">
        <v>66905.440000000002</v>
      </c>
      <c r="L87" s="27">
        <v>857569.36</v>
      </c>
      <c r="M87" t="s">
        <v>189</v>
      </c>
      <c r="N87" t="s">
        <v>190</v>
      </c>
      <c r="O87" t="s">
        <v>170</v>
      </c>
      <c r="P87" s="27">
        <v>0</v>
      </c>
    </row>
    <row r="88" spans="1:16" ht="15.75" customHeight="1" x14ac:dyDescent="0.2">
      <c r="A88" t="s">
        <v>257</v>
      </c>
      <c r="B88" t="s">
        <v>163</v>
      </c>
      <c r="C88" s="18">
        <v>44967</v>
      </c>
      <c r="D88" t="s">
        <v>98</v>
      </c>
      <c r="E88">
        <v>5000000</v>
      </c>
      <c r="F88" s="18">
        <v>45327</v>
      </c>
      <c r="G88" s="18">
        <v>45432</v>
      </c>
      <c r="H88">
        <v>2024</v>
      </c>
      <c r="I88" t="s">
        <v>164</v>
      </c>
      <c r="J88" s="27">
        <v>1642876.34</v>
      </c>
      <c r="K88" s="27">
        <v>0</v>
      </c>
      <c r="L88" s="27">
        <v>1642876.34</v>
      </c>
      <c r="M88" t="s">
        <v>178</v>
      </c>
      <c r="N88" t="s">
        <v>179</v>
      </c>
      <c r="O88" t="s">
        <v>170</v>
      </c>
      <c r="P88" s="27">
        <v>0</v>
      </c>
    </row>
    <row r="89" spans="1:16" ht="15.75" customHeight="1" x14ac:dyDescent="0.2">
      <c r="A89" t="s">
        <v>258</v>
      </c>
      <c r="B89" t="s">
        <v>163</v>
      </c>
      <c r="C89" s="18">
        <v>45139</v>
      </c>
      <c r="D89" t="s">
        <v>100</v>
      </c>
      <c r="E89">
        <v>10000000</v>
      </c>
      <c r="F89" s="18">
        <v>45370</v>
      </c>
      <c r="G89" s="18">
        <v>45432</v>
      </c>
      <c r="H89">
        <v>2024</v>
      </c>
      <c r="I89" t="s">
        <v>164</v>
      </c>
      <c r="J89" s="27">
        <v>1310705.55</v>
      </c>
      <c r="K89" s="27">
        <v>0</v>
      </c>
      <c r="L89" s="27">
        <v>1310705.55</v>
      </c>
      <c r="M89" t="s">
        <v>172</v>
      </c>
      <c r="N89" t="s">
        <v>173</v>
      </c>
      <c r="O89" t="s">
        <v>170</v>
      </c>
      <c r="P89" s="27">
        <v>0</v>
      </c>
    </row>
    <row r="90" spans="1:16" ht="15.75" customHeight="1" x14ac:dyDescent="0.2">
      <c r="A90" t="s">
        <v>259</v>
      </c>
      <c r="B90" t="s">
        <v>163</v>
      </c>
      <c r="C90" s="18">
        <v>45246</v>
      </c>
      <c r="D90" t="s">
        <v>98</v>
      </c>
      <c r="E90">
        <v>10000000</v>
      </c>
      <c r="F90" s="18">
        <v>45410</v>
      </c>
      <c r="G90" s="18">
        <v>45453</v>
      </c>
      <c r="H90">
        <v>2024</v>
      </c>
      <c r="I90" t="s">
        <v>164</v>
      </c>
      <c r="J90" s="27">
        <v>1758157.63</v>
      </c>
      <c r="K90" s="27">
        <v>0</v>
      </c>
      <c r="L90" s="27">
        <v>1758157.63</v>
      </c>
      <c r="M90" t="s">
        <v>169</v>
      </c>
      <c r="N90" t="s">
        <v>166</v>
      </c>
      <c r="O90" t="s">
        <v>170</v>
      </c>
      <c r="P90" s="27">
        <v>0</v>
      </c>
    </row>
    <row r="91" spans="1:16" ht="15.75" customHeight="1" x14ac:dyDescent="0.2">
      <c r="A91" t="s">
        <v>260</v>
      </c>
      <c r="B91" t="s">
        <v>219</v>
      </c>
      <c r="C91" s="18">
        <v>45175</v>
      </c>
      <c r="D91" t="s">
        <v>100</v>
      </c>
      <c r="E91">
        <v>4500000</v>
      </c>
      <c r="F91" s="18">
        <v>45366</v>
      </c>
      <c r="G91" s="18">
        <v>45456</v>
      </c>
      <c r="H91">
        <v>2024</v>
      </c>
      <c r="I91" t="s">
        <v>164</v>
      </c>
      <c r="J91" s="27">
        <v>2485211.1800000002</v>
      </c>
      <c r="K91" s="27">
        <v>308995.02</v>
      </c>
      <c r="L91" s="27">
        <v>2794206.2</v>
      </c>
      <c r="M91" t="s">
        <v>175</v>
      </c>
      <c r="N91" t="s">
        <v>176</v>
      </c>
      <c r="O91" t="s">
        <v>170</v>
      </c>
      <c r="P91" s="27">
        <v>0</v>
      </c>
    </row>
    <row r="92" spans="1:16" ht="15.75" customHeight="1" x14ac:dyDescent="0.2">
      <c r="A92" t="s">
        <v>261</v>
      </c>
      <c r="B92" t="s">
        <v>219</v>
      </c>
      <c r="C92" s="18">
        <v>45416</v>
      </c>
      <c r="D92" t="s">
        <v>100</v>
      </c>
      <c r="E92">
        <v>5000000</v>
      </c>
      <c r="F92" s="18">
        <v>45454</v>
      </c>
      <c r="G92" s="18">
        <v>45501</v>
      </c>
      <c r="H92">
        <v>2024</v>
      </c>
      <c r="I92" t="s">
        <v>164</v>
      </c>
      <c r="J92" s="27">
        <v>323525.90999999997</v>
      </c>
      <c r="K92" s="27">
        <v>120952.48</v>
      </c>
      <c r="L92" s="27">
        <v>444478.39</v>
      </c>
      <c r="M92" t="s">
        <v>172</v>
      </c>
      <c r="N92" t="s">
        <v>173</v>
      </c>
      <c r="O92" t="s">
        <v>167</v>
      </c>
      <c r="P92" s="27">
        <v>444478.39</v>
      </c>
    </row>
    <row r="93" spans="1:16" ht="15.75" customHeight="1" x14ac:dyDescent="0.2">
      <c r="A93" t="s">
        <v>262</v>
      </c>
      <c r="B93" t="s">
        <v>219</v>
      </c>
      <c r="C93" s="18">
        <v>45242</v>
      </c>
      <c r="D93" t="s">
        <v>98</v>
      </c>
      <c r="E93">
        <v>3500000</v>
      </c>
      <c r="F93" s="18">
        <v>45318</v>
      </c>
      <c r="G93" s="18">
        <v>45509</v>
      </c>
      <c r="H93">
        <v>2024</v>
      </c>
      <c r="I93" t="s">
        <v>164</v>
      </c>
      <c r="J93" s="27">
        <v>224959.53</v>
      </c>
      <c r="K93" s="27">
        <v>244392.74</v>
      </c>
      <c r="L93" s="27">
        <v>469352.27</v>
      </c>
      <c r="M93" t="s">
        <v>178</v>
      </c>
      <c r="N93" t="s">
        <v>179</v>
      </c>
      <c r="O93" t="s">
        <v>170</v>
      </c>
      <c r="P93" s="27">
        <v>0</v>
      </c>
    </row>
    <row r="94" spans="1:16" ht="15.75" customHeight="1" x14ac:dyDescent="0.2">
      <c r="A94" t="s">
        <v>263</v>
      </c>
      <c r="B94" t="s">
        <v>219</v>
      </c>
      <c r="C94" s="18">
        <v>44810</v>
      </c>
      <c r="D94" t="s">
        <v>99</v>
      </c>
      <c r="E94">
        <v>500000</v>
      </c>
      <c r="F94" s="18">
        <v>44815</v>
      </c>
      <c r="G94" s="18">
        <v>45511</v>
      </c>
      <c r="H94">
        <v>2022</v>
      </c>
      <c r="I94" t="s">
        <v>164</v>
      </c>
      <c r="J94" s="27">
        <v>0</v>
      </c>
      <c r="K94" s="27">
        <v>780713.85</v>
      </c>
      <c r="L94" s="27">
        <v>780713.85</v>
      </c>
      <c r="M94" t="s">
        <v>178</v>
      </c>
      <c r="N94" t="s">
        <v>179</v>
      </c>
      <c r="O94" t="s">
        <v>167</v>
      </c>
      <c r="P94" s="27">
        <v>780713.85</v>
      </c>
    </row>
    <row r="95" spans="1:16" ht="15.75" customHeight="1" x14ac:dyDescent="0.2">
      <c r="A95" t="s">
        <v>264</v>
      </c>
      <c r="B95" t="s">
        <v>219</v>
      </c>
      <c r="C95" s="18">
        <v>45091</v>
      </c>
      <c r="D95" t="s">
        <v>102</v>
      </c>
      <c r="E95">
        <v>2000000</v>
      </c>
      <c r="F95" s="18">
        <v>45214</v>
      </c>
      <c r="G95" s="18">
        <v>45515</v>
      </c>
      <c r="H95">
        <v>2023</v>
      </c>
      <c r="I95" t="s">
        <v>164</v>
      </c>
      <c r="J95" s="27">
        <v>0</v>
      </c>
      <c r="K95" s="27">
        <v>808868.4</v>
      </c>
      <c r="L95" s="27">
        <v>808868.4</v>
      </c>
      <c r="M95" t="s">
        <v>172</v>
      </c>
      <c r="N95" t="s">
        <v>173</v>
      </c>
      <c r="O95" t="s">
        <v>167</v>
      </c>
      <c r="P95" s="27">
        <v>808868.4</v>
      </c>
    </row>
    <row r="96" spans="1:16" ht="15.75" customHeight="1" x14ac:dyDescent="0.2">
      <c r="A96" t="s">
        <v>265</v>
      </c>
      <c r="B96" t="s">
        <v>219</v>
      </c>
      <c r="C96" s="18">
        <v>45018</v>
      </c>
      <c r="D96" t="s">
        <v>98</v>
      </c>
      <c r="E96">
        <v>10000000</v>
      </c>
      <c r="F96" s="18">
        <v>45318</v>
      </c>
      <c r="G96" s="18">
        <v>45552</v>
      </c>
      <c r="H96">
        <v>2024</v>
      </c>
      <c r="I96" t="s">
        <v>164</v>
      </c>
      <c r="J96" s="27">
        <v>59994.16</v>
      </c>
      <c r="K96" s="27">
        <v>466894.97</v>
      </c>
      <c r="L96" s="27">
        <v>526889.13</v>
      </c>
      <c r="M96" t="s">
        <v>172</v>
      </c>
      <c r="N96" t="s">
        <v>173</v>
      </c>
      <c r="O96" t="s">
        <v>170</v>
      </c>
      <c r="P96" s="27">
        <v>0</v>
      </c>
    </row>
    <row r="97" spans="1:16" ht="15.75" customHeight="1" x14ac:dyDescent="0.2">
      <c r="A97" t="s">
        <v>266</v>
      </c>
      <c r="B97" t="s">
        <v>219</v>
      </c>
      <c r="C97" s="18">
        <v>45379</v>
      </c>
      <c r="D97" t="s">
        <v>99</v>
      </c>
      <c r="E97">
        <v>10000000</v>
      </c>
      <c r="F97" s="18">
        <v>45496</v>
      </c>
      <c r="G97" s="18">
        <v>45562</v>
      </c>
      <c r="H97">
        <v>2024</v>
      </c>
      <c r="I97" t="s">
        <v>164</v>
      </c>
      <c r="J97" s="27">
        <v>81292.72</v>
      </c>
      <c r="K97" s="27">
        <v>258949.64</v>
      </c>
      <c r="L97" s="27">
        <v>340242.36</v>
      </c>
      <c r="M97" t="s">
        <v>193</v>
      </c>
      <c r="N97" t="s">
        <v>176</v>
      </c>
      <c r="O97" t="s">
        <v>167</v>
      </c>
      <c r="P97" s="27">
        <v>340242.36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9B21-29EE-4973-B1C5-9CE3E22C9BCC}">
  <sheetPr>
    <outlinePr summaryBelow="0" summaryRight="0"/>
  </sheetPr>
  <dimension ref="A1:P209"/>
  <sheetViews>
    <sheetView topLeftCell="A29" workbookViewId="0">
      <selection activeCell="M35" sqref="M35"/>
    </sheetView>
  </sheetViews>
  <sheetFormatPr defaultColWidth="12.5703125" defaultRowHeight="15.75" customHeight="1" x14ac:dyDescent="0.2"/>
  <cols>
    <col min="3" max="3" width="12.5703125" style="18"/>
    <col min="6" max="7" width="12.5703125" style="18"/>
    <col min="10" max="12" width="12.5703125" style="27"/>
    <col min="16" max="16" width="12.5703125" style="27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2025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45689</v>
      </c>
    </row>
    <row r="5" spans="1:16" ht="12.75" x14ac:dyDescent="0.2">
      <c r="A5" s="16" t="s">
        <v>111</v>
      </c>
    </row>
    <row r="7" spans="1:16" ht="12.75" x14ac:dyDescent="0.2">
      <c r="A7" s="1" t="str">
        <f>'Premium Information'!A7</f>
        <v>Data as of:</v>
      </c>
      <c r="B7" s="12">
        <f>'Premium Information'!B7</f>
        <v>45565</v>
      </c>
    </row>
    <row r="8" spans="1:16" ht="12.75" x14ac:dyDescent="0.2">
      <c r="A8" s="1" t="str">
        <f>'Premium Information'!A8</f>
        <v>Currency:</v>
      </c>
      <c r="B8" t="str">
        <f>'Premium Information'!B8</f>
        <v>USD</v>
      </c>
    </row>
    <row r="9" spans="1:16" ht="12.75" x14ac:dyDescent="0.2">
      <c r="A9" s="1"/>
    </row>
    <row r="10" spans="1:16" ht="15.75" customHeight="1" x14ac:dyDescent="0.2">
      <c r="A10" s="16" t="s">
        <v>11815</v>
      </c>
    </row>
    <row r="11" spans="1:16" ht="12.75" x14ac:dyDescent="0.2"/>
    <row r="12" spans="1:16" ht="12.75" x14ac:dyDescent="0.2">
      <c r="A12" s="1" t="s">
        <v>117</v>
      </c>
      <c r="B12" s="1" t="s">
        <v>118</v>
      </c>
      <c r="C12" s="18" t="s">
        <v>119</v>
      </c>
      <c r="D12" s="16" t="s">
        <v>131</v>
      </c>
      <c r="E12" s="1" t="s">
        <v>121</v>
      </c>
      <c r="F12" s="18" t="s">
        <v>122</v>
      </c>
      <c r="G12" s="18" t="s">
        <v>123</v>
      </c>
      <c r="H12" s="1" t="s">
        <v>124</v>
      </c>
      <c r="I12" s="16" t="s">
        <v>125</v>
      </c>
      <c r="J12" s="32" t="s">
        <v>126</v>
      </c>
      <c r="K12" s="32" t="s">
        <v>127</v>
      </c>
      <c r="L12" s="32" t="s">
        <v>128</v>
      </c>
      <c r="M12" s="16" t="s">
        <v>129</v>
      </c>
      <c r="N12" s="16" t="s">
        <v>130</v>
      </c>
      <c r="O12" s="16" t="s">
        <v>109</v>
      </c>
      <c r="P12" s="33" t="s">
        <v>93</v>
      </c>
    </row>
    <row r="13" spans="1:16" ht="15.75" customHeight="1" x14ac:dyDescent="0.2">
      <c r="A13" t="s">
        <v>267</v>
      </c>
      <c r="B13" t="s">
        <v>163</v>
      </c>
      <c r="C13" s="18">
        <v>43788</v>
      </c>
      <c r="D13" t="s">
        <v>98</v>
      </c>
      <c r="E13">
        <v>4000000</v>
      </c>
      <c r="F13" s="18">
        <v>43837</v>
      </c>
      <c r="G13" s="18">
        <v>43889</v>
      </c>
      <c r="H13">
        <v>2020</v>
      </c>
      <c r="I13" t="s">
        <v>268</v>
      </c>
      <c r="J13" s="27">
        <v>359750.91</v>
      </c>
      <c r="K13" s="27">
        <v>0</v>
      </c>
      <c r="L13" s="27">
        <v>359750.91</v>
      </c>
      <c r="M13" t="s">
        <v>269</v>
      </c>
      <c r="O13" t="s">
        <v>167</v>
      </c>
      <c r="P13" s="27">
        <v>359750.91</v>
      </c>
    </row>
    <row r="14" spans="1:16" ht="15.75" customHeight="1" x14ac:dyDescent="0.2">
      <c r="A14" t="s">
        <v>270</v>
      </c>
      <c r="B14" t="s">
        <v>163</v>
      </c>
      <c r="C14" s="18">
        <v>43498</v>
      </c>
      <c r="D14" t="s">
        <v>101</v>
      </c>
      <c r="E14">
        <v>3000000</v>
      </c>
      <c r="F14" s="18">
        <v>43857</v>
      </c>
      <c r="G14" s="18">
        <v>43908</v>
      </c>
      <c r="H14">
        <v>2020</v>
      </c>
      <c r="I14" t="s">
        <v>268</v>
      </c>
      <c r="J14" s="27">
        <v>207046.49</v>
      </c>
      <c r="K14" s="27">
        <v>0</v>
      </c>
      <c r="L14" s="27">
        <v>207046.49</v>
      </c>
      <c r="M14" t="s">
        <v>271</v>
      </c>
      <c r="O14" t="s">
        <v>170</v>
      </c>
      <c r="P14" s="27">
        <v>0</v>
      </c>
    </row>
    <row r="15" spans="1:16" ht="15.75" customHeight="1" x14ac:dyDescent="0.2">
      <c r="A15" t="s">
        <v>272</v>
      </c>
      <c r="B15" t="s">
        <v>163</v>
      </c>
      <c r="C15" s="18">
        <v>43627</v>
      </c>
      <c r="D15" t="s">
        <v>99</v>
      </c>
      <c r="E15">
        <v>10000000</v>
      </c>
      <c r="F15" s="18">
        <v>43878</v>
      </c>
      <c r="G15" s="18">
        <v>43936</v>
      </c>
      <c r="H15">
        <v>2020</v>
      </c>
      <c r="I15" t="s">
        <v>268</v>
      </c>
      <c r="J15" s="27">
        <v>1698322.46</v>
      </c>
      <c r="K15" s="27">
        <v>0</v>
      </c>
      <c r="L15" s="27">
        <v>1698322.46</v>
      </c>
      <c r="M15" t="s">
        <v>273</v>
      </c>
      <c r="O15" t="s">
        <v>167</v>
      </c>
      <c r="P15" s="27">
        <v>1698322.46</v>
      </c>
    </row>
    <row r="16" spans="1:16" ht="15.75" customHeight="1" x14ac:dyDescent="0.2">
      <c r="A16" t="s">
        <v>274</v>
      </c>
      <c r="B16" t="s">
        <v>163</v>
      </c>
      <c r="C16" s="18">
        <v>43736</v>
      </c>
      <c r="D16" t="s">
        <v>98</v>
      </c>
      <c r="E16">
        <v>2000000</v>
      </c>
      <c r="F16" s="18">
        <v>43897</v>
      </c>
      <c r="G16" s="18">
        <v>43972</v>
      </c>
      <c r="H16">
        <v>2020</v>
      </c>
      <c r="I16" t="s">
        <v>268</v>
      </c>
      <c r="J16" s="27">
        <v>73843.45</v>
      </c>
      <c r="K16" s="27">
        <v>0</v>
      </c>
      <c r="L16" s="27">
        <v>73843.45</v>
      </c>
      <c r="M16" t="s">
        <v>275</v>
      </c>
      <c r="O16" t="s">
        <v>167</v>
      </c>
      <c r="P16" s="27">
        <v>73843.45</v>
      </c>
    </row>
    <row r="17" spans="1:16" ht="15.75" customHeight="1" x14ac:dyDescent="0.2">
      <c r="A17" t="s">
        <v>276</v>
      </c>
      <c r="B17" t="s">
        <v>163</v>
      </c>
      <c r="C17" s="18">
        <v>43663</v>
      </c>
      <c r="D17" t="s">
        <v>99</v>
      </c>
      <c r="E17">
        <v>3000000</v>
      </c>
      <c r="F17" s="18">
        <v>43892</v>
      </c>
      <c r="G17" s="18">
        <v>43980</v>
      </c>
      <c r="H17">
        <v>2020</v>
      </c>
      <c r="I17" t="s">
        <v>268</v>
      </c>
      <c r="J17" s="27">
        <v>91318.6</v>
      </c>
      <c r="K17" s="27">
        <v>0</v>
      </c>
      <c r="L17" s="27">
        <v>91318.6</v>
      </c>
      <c r="M17" t="s">
        <v>277</v>
      </c>
      <c r="O17" t="s">
        <v>167</v>
      </c>
      <c r="P17" s="27">
        <v>91318.6</v>
      </c>
    </row>
    <row r="18" spans="1:16" ht="15.75" customHeight="1" x14ac:dyDescent="0.2">
      <c r="A18" t="s">
        <v>278</v>
      </c>
      <c r="B18" t="s">
        <v>163</v>
      </c>
      <c r="C18" s="18">
        <v>43612</v>
      </c>
      <c r="D18" t="s">
        <v>100</v>
      </c>
      <c r="E18">
        <v>1000000</v>
      </c>
      <c r="F18" s="18">
        <v>43944</v>
      </c>
      <c r="G18" s="18">
        <v>43980</v>
      </c>
      <c r="H18">
        <v>2020</v>
      </c>
      <c r="I18" t="s">
        <v>268</v>
      </c>
      <c r="J18" s="27">
        <v>140999.64000000001</v>
      </c>
      <c r="K18" s="27">
        <v>0</v>
      </c>
      <c r="L18" s="27">
        <v>140999.64000000001</v>
      </c>
      <c r="M18" t="s">
        <v>279</v>
      </c>
      <c r="O18" t="s">
        <v>167</v>
      </c>
      <c r="P18" s="27">
        <v>140999.64000000001</v>
      </c>
    </row>
    <row r="19" spans="1:16" ht="15.75" customHeight="1" x14ac:dyDescent="0.2">
      <c r="A19" t="s">
        <v>280</v>
      </c>
      <c r="B19" t="s">
        <v>163</v>
      </c>
      <c r="C19" s="18">
        <v>43506</v>
      </c>
      <c r="D19" t="s">
        <v>102</v>
      </c>
      <c r="E19">
        <v>2500000</v>
      </c>
      <c r="F19" s="18">
        <v>43862</v>
      </c>
      <c r="G19" s="18">
        <v>43983</v>
      </c>
      <c r="H19">
        <v>2020</v>
      </c>
      <c r="I19" t="s">
        <v>268</v>
      </c>
      <c r="J19" s="27">
        <v>555191.47</v>
      </c>
      <c r="K19" s="27">
        <v>0</v>
      </c>
      <c r="L19" s="27">
        <v>555191.47</v>
      </c>
      <c r="M19" t="s">
        <v>281</v>
      </c>
      <c r="O19" t="s">
        <v>170</v>
      </c>
      <c r="P19" s="27">
        <v>0</v>
      </c>
    </row>
    <row r="20" spans="1:16" ht="15.75" customHeight="1" x14ac:dyDescent="0.2">
      <c r="A20" t="s">
        <v>282</v>
      </c>
      <c r="B20" t="s">
        <v>163</v>
      </c>
      <c r="C20" s="18">
        <v>43861</v>
      </c>
      <c r="D20" t="s">
        <v>101</v>
      </c>
      <c r="E20">
        <v>2000000</v>
      </c>
      <c r="F20" s="18">
        <v>43934</v>
      </c>
      <c r="G20" s="18">
        <v>44003</v>
      </c>
      <c r="H20">
        <v>2020</v>
      </c>
      <c r="I20" t="s">
        <v>268</v>
      </c>
      <c r="J20" s="27">
        <v>270954.08</v>
      </c>
      <c r="K20" s="27">
        <v>0</v>
      </c>
      <c r="L20" s="27">
        <v>270954.08</v>
      </c>
      <c r="M20" t="s">
        <v>283</v>
      </c>
      <c r="O20" t="s">
        <v>167</v>
      </c>
      <c r="P20" s="27">
        <v>270954.08</v>
      </c>
    </row>
    <row r="21" spans="1:16" ht="15.75" customHeight="1" x14ac:dyDescent="0.2">
      <c r="A21" t="s">
        <v>284</v>
      </c>
      <c r="B21" t="s">
        <v>163</v>
      </c>
      <c r="C21" s="18">
        <v>43559</v>
      </c>
      <c r="D21" t="s">
        <v>100</v>
      </c>
      <c r="E21">
        <v>2000000</v>
      </c>
      <c r="F21" s="18">
        <v>43836</v>
      </c>
      <c r="G21" s="18">
        <v>44028</v>
      </c>
      <c r="H21">
        <v>2020</v>
      </c>
      <c r="I21" t="s">
        <v>268</v>
      </c>
      <c r="J21" s="27">
        <v>588016.47</v>
      </c>
      <c r="K21" s="27">
        <v>0</v>
      </c>
      <c r="L21" s="27">
        <v>588016.47</v>
      </c>
      <c r="M21" t="s">
        <v>285</v>
      </c>
      <c r="O21" t="s">
        <v>167</v>
      </c>
      <c r="P21" s="27">
        <v>588016.47</v>
      </c>
    </row>
    <row r="22" spans="1:16" ht="15.75" customHeight="1" x14ac:dyDescent="0.2">
      <c r="A22" t="s">
        <v>286</v>
      </c>
      <c r="B22" t="s">
        <v>163</v>
      </c>
      <c r="C22" s="18">
        <v>43612</v>
      </c>
      <c r="D22" t="s">
        <v>98</v>
      </c>
      <c r="E22">
        <v>5000000</v>
      </c>
      <c r="F22" s="18">
        <v>43967</v>
      </c>
      <c r="G22" s="18">
        <v>44041</v>
      </c>
      <c r="H22">
        <v>2020</v>
      </c>
      <c r="I22" t="s">
        <v>268</v>
      </c>
      <c r="J22" s="27">
        <v>142641.93</v>
      </c>
      <c r="K22" s="27">
        <v>0</v>
      </c>
      <c r="L22" s="27">
        <v>142641.93</v>
      </c>
      <c r="M22" t="s">
        <v>287</v>
      </c>
      <c r="O22" t="s">
        <v>167</v>
      </c>
      <c r="P22" s="27">
        <v>142641.93</v>
      </c>
    </row>
    <row r="23" spans="1:16" ht="15.75" customHeight="1" x14ac:dyDescent="0.2">
      <c r="A23" t="s">
        <v>288</v>
      </c>
      <c r="B23" t="s">
        <v>163</v>
      </c>
      <c r="C23" s="18">
        <v>43771</v>
      </c>
      <c r="D23" t="s">
        <v>99</v>
      </c>
      <c r="E23">
        <v>2000000</v>
      </c>
      <c r="F23" s="18">
        <v>44005</v>
      </c>
      <c r="G23" s="18">
        <v>44043</v>
      </c>
      <c r="H23">
        <v>2020</v>
      </c>
      <c r="I23" t="s">
        <v>268</v>
      </c>
      <c r="J23" s="27">
        <v>168892.33</v>
      </c>
      <c r="K23" s="27">
        <v>0</v>
      </c>
      <c r="L23" s="27">
        <v>168892.33</v>
      </c>
      <c r="M23" t="s">
        <v>289</v>
      </c>
      <c r="O23" t="s">
        <v>167</v>
      </c>
      <c r="P23" s="27">
        <v>168892.33</v>
      </c>
    </row>
    <row r="24" spans="1:16" ht="15.75" customHeight="1" x14ac:dyDescent="0.2">
      <c r="A24" t="s">
        <v>290</v>
      </c>
      <c r="B24" t="s">
        <v>163</v>
      </c>
      <c r="C24" s="18">
        <v>43845</v>
      </c>
      <c r="D24" t="s">
        <v>98</v>
      </c>
      <c r="E24">
        <v>3500000</v>
      </c>
      <c r="F24" s="18">
        <v>43928</v>
      </c>
      <c r="G24" s="18">
        <v>44054</v>
      </c>
      <c r="H24">
        <v>2020</v>
      </c>
      <c r="I24" t="s">
        <v>268</v>
      </c>
      <c r="J24" s="27">
        <v>148690.78</v>
      </c>
      <c r="K24" s="27">
        <v>0</v>
      </c>
      <c r="L24" s="27">
        <v>148690.78</v>
      </c>
      <c r="M24" t="s">
        <v>279</v>
      </c>
      <c r="O24" t="s">
        <v>167</v>
      </c>
      <c r="P24" s="27">
        <v>148690.78</v>
      </c>
    </row>
    <row r="25" spans="1:16" ht="15.75" customHeight="1" x14ac:dyDescent="0.2">
      <c r="A25" t="s">
        <v>291</v>
      </c>
      <c r="B25" t="s">
        <v>163</v>
      </c>
      <c r="C25" s="18">
        <v>43755</v>
      </c>
      <c r="D25" t="s">
        <v>100</v>
      </c>
      <c r="E25">
        <v>3000000</v>
      </c>
      <c r="F25" s="18">
        <v>43940</v>
      </c>
      <c r="G25" s="18">
        <v>44078</v>
      </c>
      <c r="H25">
        <v>2020</v>
      </c>
      <c r="I25" t="s">
        <v>268</v>
      </c>
      <c r="J25" s="27">
        <v>201042.99</v>
      </c>
      <c r="K25" s="27">
        <v>0</v>
      </c>
      <c r="L25" s="27">
        <v>201042.99</v>
      </c>
      <c r="M25" t="s">
        <v>271</v>
      </c>
      <c r="O25" t="s">
        <v>170</v>
      </c>
      <c r="P25" s="27">
        <v>0</v>
      </c>
    </row>
    <row r="26" spans="1:16" ht="15.75" customHeight="1" x14ac:dyDescent="0.2">
      <c r="A26" t="s">
        <v>292</v>
      </c>
      <c r="B26" t="s">
        <v>163</v>
      </c>
      <c r="C26" s="18">
        <v>43607</v>
      </c>
      <c r="D26" t="s">
        <v>102</v>
      </c>
      <c r="E26">
        <v>5000000</v>
      </c>
      <c r="F26" s="18">
        <v>43938</v>
      </c>
      <c r="G26" s="18">
        <v>44081</v>
      </c>
      <c r="H26">
        <v>2020</v>
      </c>
      <c r="I26" t="s">
        <v>268</v>
      </c>
      <c r="J26" s="27">
        <v>203857.17</v>
      </c>
      <c r="K26" s="27">
        <v>0</v>
      </c>
      <c r="L26" s="27">
        <v>203857.17</v>
      </c>
      <c r="M26" t="s">
        <v>271</v>
      </c>
      <c r="O26" t="s">
        <v>167</v>
      </c>
      <c r="P26" s="27">
        <v>203857.17</v>
      </c>
    </row>
    <row r="27" spans="1:16" ht="15.75" customHeight="1" x14ac:dyDescent="0.2">
      <c r="A27" t="s">
        <v>293</v>
      </c>
      <c r="B27" t="s">
        <v>163</v>
      </c>
      <c r="C27" s="18">
        <v>43589</v>
      </c>
      <c r="D27" t="s">
        <v>100</v>
      </c>
      <c r="E27">
        <v>2000000</v>
      </c>
      <c r="F27" s="18">
        <v>43927</v>
      </c>
      <c r="G27" s="18">
        <v>44083</v>
      </c>
      <c r="H27">
        <v>2020</v>
      </c>
      <c r="I27" t="s">
        <v>268</v>
      </c>
      <c r="J27" s="27">
        <v>310768.25</v>
      </c>
      <c r="K27" s="27">
        <v>0</v>
      </c>
      <c r="L27" s="27">
        <v>310768.25</v>
      </c>
      <c r="M27" t="s">
        <v>294</v>
      </c>
      <c r="O27" t="s">
        <v>170</v>
      </c>
      <c r="P27" s="27">
        <v>0</v>
      </c>
    </row>
    <row r="28" spans="1:16" ht="15.75" customHeight="1" x14ac:dyDescent="0.2">
      <c r="A28" t="s">
        <v>295</v>
      </c>
      <c r="B28" t="s">
        <v>163</v>
      </c>
      <c r="C28" s="18">
        <v>43800</v>
      </c>
      <c r="D28" t="s">
        <v>100</v>
      </c>
      <c r="E28">
        <v>1000000</v>
      </c>
      <c r="F28" s="18">
        <v>44021</v>
      </c>
      <c r="G28" s="18">
        <v>44084</v>
      </c>
      <c r="H28">
        <v>2020</v>
      </c>
      <c r="I28" t="s">
        <v>268</v>
      </c>
      <c r="J28" s="27">
        <v>80182.149999999994</v>
      </c>
      <c r="K28" s="27">
        <v>0</v>
      </c>
      <c r="L28" s="27">
        <v>80182.149999999994</v>
      </c>
      <c r="M28" t="s">
        <v>296</v>
      </c>
      <c r="O28" t="s">
        <v>167</v>
      </c>
      <c r="P28" s="27">
        <v>80182.149999999994</v>
      </c>
    </row>
    <row r="29" spans="1:16" ht="15.75" customHeight="1" x14ac:dyDescent="0.2">
      <c r="A29" t="s">
        <v>297</v>
      </c>
      <c r="B29" t="s">
        <v>163</v>
      </c>
      <c r="C29" s="18">
        <v>43704</v>
      </c>
      <c r="D29" t="s">
        <v>98</v>
      </c>
      <c r="E29">
        <v>5000000</v>
      </c>
      <c r="F29" s="18">
        <v>44014</v>
      </c>
      <c r="G29" s="18">
        <v>44108</v>
      </c>
      <c r="H29">
        <v>2020</v>
      </c>
      <c r="I29" t="s">
        <v>268</v>
      </c>
      <c r="J29" s="27">
        <v>298401.21999999997</v>
      </c>
      <c r="K29" s="27">
        <v>0</v>
      </c>
      <c r="L29" s="27">
        <v>298401.21999999997</v>
      </c>
      <c r="M29" t="s">
        <v>298</v>
      </c>
      <c r="O29" t="s">
        <v>170</v>
      </c>
      <c r="P29" s="27">
        <v>0</v>
      </c>
    </row>
    <row r="30" spans="1:16" ht="15.75" customHeight="1" x14ac:dyDescent="0.2">
      <c r="A30" t="s">
        <v>299</v>
      </c>
      <c r="B30" t="s">
        <v>163</v>
      </c>
      <c r="C30" s="18">
        <v>43724</v>
      </c>
      <c r="D30" t="s">
        <v>98</v>
      </c>
      <c r="E30">
        <v>3500000</v>
      </c>
      <c r="F30" s="18">
        <v>44065</v>
      </c>
      <c r="G30" s="18">
        <v>44113</v>
      </c>
      <c r="H30">
        <v>2020</v>
      </c>
      <c r="I30" t="s">
        <v>268</v>
      </c>
      <c r="J30" s="27">
        <v>307119.14</v>
      </c>
      <c r="K30" s="27">
        <v>0</v>
      </c>
      <c r="L30" s="27">
        <v>307119.14</v>
      </c>
      <c r="M30" t="s">
        <v>300</v>
      </c>
      <c r="O30" t="s">
        <v>167</v>
      </c>
      <c r="P30" s="27">
        <v>307119.14</v>
      </c>
    </row>
    <row r="31" spans="1:16" ht="15.75" customHeight="1" x14ac:dyDescent="0.2">
      <c r="A31" t="s">
        <v>301</v>
      </c>
      <c r="B31" t="s">
        <v>163</v>
      </c>
      <c r="C31" s="18">
        <v>43631</v>
      </c>
      <c r="D31" t="s">
        <v>102</v>
      </c>
      <c r="E31">
        <v>2000000</v>
      </c>
      <c r="F31" s="18">
        <v>43950</v>
      </c>
      <c r="G31" s="18">
        <v>44153</v>
      </c>
      <c r="H31">
        <v>2020</v>
      </c>
      <c r="I31" t="s">
        <v>268</v>
      </c>
      <c r="J31" s="27">
        <v>115909.24</v>
      </c>
      <c r="K31" s="27">
        <v>0</v>
      </c>
      <c r="L31" s="27">
        <v>115909.24</v>
      </c>
      <c r="M31" t="s">
        <v>302</v>
      </c>
      <c r="O31" t="s">
        <v>167</v>
      </c>
      <c r="P31" s="27">
        <v>115909.24</v>
      </c>
    </row>
    <row r="32" spans="1:16" ht="15.75" customHeight="1" x14ac:dyDescent="0.2">
      <c r="A32" t="s">
        <v>303</v>
      </c>
      <c r="B32" t="s">
        <v>163</v>
      </c>
      <c r="C32" s="18">
        <v>43862</v>
      </c>
      <c r="D32" t="s">
        <v>102</v>
      </c>
      <c r="E32">
        <v>5000000</v>
      </c>
      <c r="F32" s="18">
        <v>44040</v>
      </c>
      <c r="G32" s="18">
        <v>44158</v>
      </c>
      <c r="H32">
        <v>2020</v>
      </c>
      <c r="I32" t="s">
        <v>268</v>
      </c>
      <c r="J32" s="27">
        <v>1710190.19</v>
      </c>
      <c r="K32" s="27">
        <v>0</v>
      </c>
      <c r="L32" s="27">
        <v>1710190.19</v>
      </c>
      <c r="M32" t="s">
        <v>304</v>
      </c>
      <c r="O32" t="s">
        <v>170</v>
      </c>
      <c r="P32" s="27">
        <v>0</v>
      </c>
    </row>
    <row r="33" spans="1:16" ht="15.75" customHeight="1" x14ac:dyDescent="0.2">
      <c r="A33" t="s">
        <v>305</v>
      </c>
      <c r="B33" t="s">
        <v>163</v>
      </c>
      <c r="C33" s="18">
        <v>43848</v>
      </c>
      <c r="D33" t="s">
        <v>98</v>
      </c>
      <c r="E33">
        <v>4500000</v>
      </c>
      <c r="F33" s="18">
        <v>43968</v>
      </c>
      <c r="G33" s="18">
        <v>44160</v>
      </c>
      <c r="H33">
        <v>2020</v>
      </c>
      <c r="I33" t="s">
        <v>268</v>
      </c>
      <c r="J33" s="27">
        <v>243945.29</v>
      </c>
      <c r="K33" s="27">
        <v>0</v>
      </c>
      <c r="L33" s="27">
        <v>243945.29</v>
      </c>
      <c r="M33" t="s">
        <v>306</v>
      </c>
      <c r="O33" t="s">
        <v>167</v>
      </c>
      <c r="P33" s="27">
        <v>243945.29</v>
      </c>
    </row>
    <row r="34" spans="1:16" ht="15.75" customHeight="1" x14ac:dyDescent="0.2">
      <c r="A34" t="s">
        <v>307</v>
      </c>
      <c r="B34" t="s">
        <v>163</v>
      </c>
      <c r="C34" s="18">
        <v>44017</v>
      </c>
      <c r="D34" t="s">
        <v>100</v>
      </c>
      <c r="E34">
        <v>3000000</v>
      </c>
      <c r="F34" s="18">
        <v>44132</v>
      </c>
      <c r="G34" s="18">
        <v>44169</v>
      </c>
      <c r="H34">
        <v>2020</v>
      </c>
      <c r="I34" t="s">
        <v>268</v>
      </c>
      <c r="J34" s="27">
        <v>1234399.81</v>
      </c>
      <c r="K34" s="27">
        <v>0</v>
      </c>
      <c r="L34" s="27">
        <v>1234399.81</v>
      </c>
      <c r="M34" t="s">
        <v>308</v>
      </c>
      <c r="O34" t="s">
        <v>167</v>
      </c>
      <c r="P34" s="27">
        <v>1234399.81</v>
      </c>
    </row>
    <row r="35" spans="1:16" ht="15.75" customHeight="1" x14ac:dyDescent="0.2">
      <c r="A35" t="s">
        <v>309</v>
      </c>
      <c r="B35" t="s">
        <v>163</v>
      </c>
      <c r="C35" s="18">
        <v>44050</v>
      </c>
      <c r="D35" t="s">
        <v>102</v>
      </c>
      <c r="E35">
        <v>2000000</v>
      </c>
      <c r="F35" s="18">
        <v>44134</v>
      </c>
      <c r="G35" s="18">
        <v>44188</v>
      </c>
      <c r="H35">
        <v>2020</v>
      </c>
      <c r="I35" t="s">
        <v>268</v>
      </c>
      <c r="J35" s="27">
        <v>108049.61</v>
      </c>
      <c r="K35" s="27">
        <v>0</v>
      </c>
      <c r="L35" s="27">
        <v>108049.61</v>
      </c>
      <c r="M35" t="s">
        <v>302</v>
      </c>
      <c r="O35" t="s">
        <v>167</v>
      </c>
      <c r="P35" s="27">
        <v>108049.61</v>
      </c>
    </row>
    <row r="36" spans="1:16" ht="15.75" customHeight="1" x14ac:dyDescent="0.2">
      <c r="A36" t="s">
        <v>310</v>
      </c>
      <c r="B36" t="s">
        <v>163</v>
      </c>
      <c r="C36" s="18">
        <v>43633</v>
      </c>
      <c r="D36" t="s">
        <v>100</v>
      </c>
      <c r="E36">
        <v>1000000</v>
      </c>
      <c r="F36" s="18">
        <v>43903</v>
      </c>
      <c r="G36" s="18">
        <v>44191</v>
      </c>
      <c r="H36">
        <v>2020</v>
      </c>
      <c r="I36" t="s">
        <v>268</v>
      </c>
      <c r="J36" s="27">
        <v>91795.99</v>
      </c>
      <c r="K36" s="27">
        <v>0</v>
      </c>
      <c r="L36" s="27">
        <v>91795.99</v>
      </c>
      <c r="M36" t="s">
        <v>311</v>
      </c>
      <c r="O36" t="s">
        <v>167</v>
      </c>
      <c r="P36" s="27">
        <v>91795.99</v>
      </c>
    </row>
    <row r="37" spans="1:16" ht="15.75" customHeight="1" x14ac:dyDescent="0.2">
      <c r="A37" t="s">
        <v>312</v>
      </c>
      <c r="B37" t="s">
        <v>163</v>
      </c>
      <c r="C37" s="18">
        <v>44001</v>
      </c>
      <c r="D37" t="s">
        <v>99</v>
      </c>
      <c r="E37">
        <v>2500000</v>
      </c>
      <c r="F37" s="18">
        <v>44032</v>
      </c>
      <c r="G37" s="18">
        <v>44191</v>
      </c>
      <c r="H37">
        <v>2020</v>
      </c>
      <c r="I37" t="s">
        <v>268</v>
      </c>
      <c r="J37" s="27">
        <v>434193.11</v>
      </c>
      <c r="K37" s="27">
        <v>0</v>
      </c>
      <c r="L37" s="27">
        <v>434193.11</v>
      </c>
      <c r="M37" t="s">
        <v>313</v>
      </c>
      <c r="O37" t="s">
        <v>167</v>
      </c>
      <c r="P37" s="27">
        <v>434193.11</v>
      </c>
    </row>
    <row r="38" spans="1:16" ht="15.75" customHeight="1" x14ac:dyDescent="0.2">
      <c r="A38" t="s">
        <v>314</v>
      </c>
      <c r="B38" t="s">
        <v>163</v>
      </c>
      <c r="C38" s="18">
        <v>43960</v>
      </c>
      <c r="D38" t="s">
        <v>98</v>
      </c>
      <c r="E38">
        <v>5000000</v>
      </c>
      <c r="F38" s="18">
        <v>44123</v>
      </c>
      <c r="G38" s="18">
        <v>44192</v>
      </c>
      <c r="H38">
        <v>2020</v>
      </c>
      <c r="I38" t="s">
        <v>268</v>
      </c>
      <c r="J38" s="27">
        <v>173918.11</v>
      </c>
      <c r="K38" s="27">
        <v>0</v>
      </c>
      <c r="L38" s="27">
        <v>173918.11</v>
      </c>
      <c r="M38" t="s">
        <v>289</v>
      </c>
      <c r="O38" t="s">
        <v>167</v>
      </c>
      <c r="P38" s="27">
        <v>173918.11</v>
      </c>
    </row>
    <row r="39" spans="1:16" ht="15.75" customHeight="1" x14ac:dyDescent="0.2">
      <c r="A39" t="s">
        <v>315</v>
      </c>
      <c r="B39" t="s">
        <v>163</v>
      </c>
      <c r="C39" s="18">
        <v>43843</v>
      </c>
      <c r="D39" t="s">
        <v>99</v>
      </c>
      <c r="E39">
        <v>2000000</v>
      </c>
      <c r="F39" s="18">
        <v>43899</v>
      </c>
      <c r="G39" s="18">
        <v>44193</v>
      </c>
      <c r="H39">
        <v>2020</v>
      </c>
      <c r="I39" t="s">
        <v>268</v>
      </c>
      <c r="J39" s="27">
        <v>288346.09000000003</v>
      </c>
      <c r="K39" s="27">
        <v>0</v>
      </c>
      <c r="L39" s="27">
        <v>288346.09000000003</v>
      </c>
      <c r="M39" t="s">
        <v>316</v>
      </c>
      <c r="O39" t="s">
        <v>170</v>
      </c>
      <c r="P39" s="27">
        <v>0</v>
      </c>
    </row>
    <row r="40" spans="1:16" ht="15.75" customHeight="1" x14ac:dyDescent="0.2">
      <c r="A40" t="s">
        <v>317</v>
      </c>
      <c r="B40" t="s">
        <v>163</v>
      </c>
      <c r="C40" s="18">
        <v>43698</v>
      </c>
      <c r="D40" t="s">
        <v>98</v>
      </c>
      <c r="E40">
        <v>10000000</v>
      </c>
      <c r="F40" s="18">
        <v>43920</v>
      </c>
      <c r="G40" s="18">
        <v>44196</v>
      </c>
      <c r="H40">
        <v>2020</v>
      </c>
      <c r="I40" t="s">
        <v>268</v>
      </c>
      <c r="J40" s="27">
        <v>175875.76</v>
      </c>
      <c r="K40" s="27">
        <v>0</v>
      </c>
      <c r="L40" s="27">
        <v>175875.76</v>
      </c>
      <c r="M40" t="s">
        <v>318</v>
      </c>
      <c r="O40" t="s">
        <v>167</v>
      </c>
      <c r="P40" s="27">
        <v>175875.76</v>
      </c>
    </row>
    <row r="41" spans="1:16" ht="15.75" customHeight="1" x14ac:dyDescent="0.2">
      <c r="A41" t="s">
        <v>319</v>
      </c>
      <c r="B41" t="s">
        <v>163</v>
      </c>
      <c r="C41" s="18">
        <v>43630</v>
      </c>
      <c r="D41" t="s">
        <v>99</v>
      </c>
      <c r="E41">
        <v>10000000</v>
      </c>
      <c r="F41" s="18">
        <v>43844</v>
      </c>
      <c r="G41" s="18">
        <v>44196</v>
      </c>
      <c r="H41">
        <v>2020</v>
      </c>
      <c r="I41" t="s">
        <v>268</v>
      </c>
      <c r="J41" s="27">
        <v>145513.79999999999</v>
      </c>
      <c r="K41" s="27">
        <v>0</v>
      </c>
      <c r="L41" s="27">
        <v>145513.79999999999</v>
      </c>
      <c r="M41" t="s">
        <v>320</v>
      </c>
      <c r="O41" t="s">
        <v>167</v>
      </c>
      <c r="P41" s="27">
        <v>145513.79999999999</v>
      </c>
    </row>
    <row r="42" spans="1:16" ht="15.75" customHeight="1" x14ac:dyDescent="0.2">
      <c r="A42" t="s">
        <v>321</v>
      </c>
      <c r="B42" t="s">
        <v>163</v>
      </c>
      <c r="C42" s="18">
        <v>43919</v>
      </c>
      <c r="D42" t="s">
        <v>100</v>
      </c>
      <c r="E42">
        <v>2000000</v>
      </c>
      <c r="F42" s="18">
        <v>44051</v>
      </c>
      <c r="G42" s="18">
        <v>44213</v>
      </c>
      <c r="H42">
        <v>2020</v>
      </c>
      <c r="I42" t="s">
        <v>268</v>
      </c>
      <c r="J42" s="27">
        <v>754136.13</v>
      </c>
      <c r="K42" s="27">
        <v>0</v>
      </c>
      <c r="L42" s="27">
        <v>754136.13</v>
      </c>
      <c r="M42" t="s">
        <v>322</v>
      </c>
      <c r="O42" t="s">
        <v>167</v>
      </c>
      <c r="P42" s="27">
        <v>754136.13</v>
      </c>
    </row>
    <row r="43" spans="1:16" ht="15.75" customHeight="1" x14ac:dyDescent="0.2">
      <c r="A43" t="s">
        <v>323</v>
      </c>
      <c r="B43" t="s">
        <v>163</v>
      </c>
      <c r="C43" s="18">
        <v>44033</v>
      </c>
      <c r="D43" t="s">
        <v>98</v>
      </c>
      <c r="E43">
        <v>10000000</v>
      </c>
      <c r="F43" s="18">
        <v>44164</v>
      </c>
      <c r="G43" s="18">
        <v>44216</v>
      </c>
      <c r="H43">
        <v>2020</v>
      </c>
      <c r="I43" t="s">
        <v>268</v>
      </c>
      <c r="J43" s="27">
        <v>360825.44</v>
      </c>
      <c r="K43" s="27">
        <v>0</v>
      </c>
      <c r="L43" s="27">
        <v>360825.44</v>
      </c>
      <c r="M43" t="s">
        <v>269</v>
      </c>
      <c r="O43" t="s">
        <v>167</v>
      </c>
      <c r="P43" s="27">
        <v>360825.44</v>
      </c>
    </row>
    <row r="44" spans="1:16" ht="15.75" customHeight="1" x14ac:dyDescent="0.2">
      <c r="A44" t="s">
        <v>324</v>
      </c>
      <c r="B44" t="s">
        <v>163</v>
      </c>
      <c r="C44" s="18">
        <v>43895</v>
      </c>
      <c r="D44" t="s">
        <v>99</v>
      </c>
      <c r="E44">
        <v>1500000</v>
      </c>
      <c r="F44" s="18">
        <v>44150</v>
      </c>
      <c r="G44" s="18">
        <v>44216</v>
      </c>
      <c r="H44">
        <v>2020</v>
      </c>
      <c r="I44" t="s">
        <v>268</v>
      </c>
      <c r="J44" s="27">
        <v>68781</v>
      </c>
      <c r="K44" s="27">
        <v>0</v>
      </c>
      <c r="L44" s="27">
        <v>68781</v>
      </c>
      <c r="M44" t="s">
        <v>325</v>
      </c>
      <c r="O44" t="s">
        <v>167</v>
      </c>
      <c r="P44" s="27">
        <v>68781</v>
      </c>
    </row>
    <row r="45" spans="1:16" ht="15.75" customHeight="1" x14ac:dyDescent="0.2">
      <c r="A45" t="s">
        <v>326</v>
      </c>
      <c r="B45" t="s">
        <v>163</v>
      </c>
      <c r="C45" s="18">
        <v>44026</v>
      </c>
      <c r="D45" t="s">
        <v>100</v>
      </c>
      <c r="E45">
        <v>4000000</v>
      </c>
      <c r="F45" s="18">
        <v>44146</v>
      </c>
      <c r="G45" s="18">
        <v>44217</v>
      </c>
      <c r="H45">
        <v>2020</v>
      </c>
      <c r="I45" t="s">
        <v>268</v>
      </c>
      <c r="J45" s="27">
        <v>236959.57</v>
      </c>
      <c r="K45" s="27">
        <v>0</v>
      </c>
      <c r="L45" s="27">
        <v>236959.57</v>
      </c>
      <c r="M45" t="s">
        <v>327</v>
      </c>
      <c r="O45" t="s">
        <v>167</v>
      </c>
      <c r="P45" s="27">
        <v>236959.57</v>
      </c>
    </row>
    <row r="46" spans="1:16" ht="15.75" customHeight="1" x14ac:dyDescent="0.2">
      <c r="A46" t="s">
        <v>328</v>
      </c>
      <c r="B46" t="s">
        <v>163</v>
      </c>
      <c r="C46" s="18">
        <v>43805</v>
      </c>
      <c r="D46" t="s">
        <v>98</v>
      </c>
      <c r="E46">
        <v>4500000</v>
      </c>
      <c r="F46" s="18">
        <v>44138</v>
      </c>
      <c r="G46" s="18">
        <v>44222</v>
      </c>
      <c r="H46">
        <v>2020</v>
      </c>
      <c r="I46" t="s">
        <v>268</v>
      </c>
      <c r="J46" s="27">
        <v>227209.27</v>
      </c>
      <c r="K46" s="27">
        <v>0</v>
      </c>
      <c r="L46" s="27">
        <v>227209.27</v>
      </c>
      <c r="M46" t="s">
        <v>329</v>
      </c>
      <c r="O46" t="s">
        <v>167</v>
      </c>
      <c r="P46" s="27">
        <v>227209.27</v>
      </c>
    </row>
    <row r="47" spans="1:16" ht="15.75" customHeight="1" x14ac:dyDescent="0.2">
      <c r="A47" t="s">
        <v>330</v>
      </c>
      <c r="B47" t="s">
        <v>163</v>
      </c>
      <c r="C47" s="18">
        <v>43831</v>
      </c>
      <c r="D47" t="s">
        <v>99</v>
      </c>
      <c r="E47">
        <v>4000000</v>
      </c>
      <c r="F47" s="18">
        <v>43841</v>
      </c>
      <c r="G47" s="18">
        <v>44242</v>
      </c>
      <c r="H47">
        <v>2020</v>
      </c>
      <c r="I47" t="s">
        <v>268</v>
      </c>
      <c r="J47" s="27">
        <v>389216.98</v>
      </c>
      <c r="K47" s="27">
        <v>0</v>
      </c>
      <c r="L47" s="27">
        <v>389216.98</v>
      </c>
      <c r="M47" t="s">
        <v>331</v>
      </c>
      <c r="O47" t="s">
        <v>167</v>
      </c>
      <c r="P47" s="27">
        <v>389216.98</v>
      </c>
    </row>
    <row r="48" spans="1:16" ht="15.75" customHeight="1" x14ac:dyDescent="0.2">
      <c r="A48" t="s">
        <v>332</v>
      </c>
      <c r="B48" t="s">
        <v>163</v>
      </c>
      <c r="C48" s="18">
        <v>44176</v>
      </c>
      <c r="D48" t="s">
        <v>98</v>
      </c>
      <c r="E48">
        <v>3000000</v>
      </c>
      <c r="F48" s="18">
        <v>44196</v>
      </c>
      <c r="G48" s="18">
        <v>44257</v>
      </c>
      <c r="H48">
        <v>2020</v>
      </c>
      <c r="I48" t="s">
        <v>268</v>
      </c>
      <c r="J48" s="27">
        <v>116091.04</v>
      </c>
      <c r="K48" s="27">
        <v>0</v>
      </c>
      <c r="L48" s="27">
        <v>116091.04</v>
      </c>
      <c r="M48" t="s">
        <v>333</v>
      </c>
      <c r="O48" t="s">
        <v>167</v>
      </c>
      <c r="P48" s="27">
        <v>116091.04</v>
      </c>
    </row>
    <row r="49" spans="1:16" ht="15.75" customHeight="1" x14ac:dyDescent="0.2">
      <c r="A49" t="s">
        <v>334</v>
      </c>
      <c r="B49" t="s">
        <v>163</v>
      </c>
      <c r="C49" s="18">
        <v>44028</v>
      </c>
      <c r="D49" t="s">
        <v>100</v>
      </c>
      <c r="E49">
        <v>2000000</v>
      </c>
      <c r="F49" s="18">
        <v>44179</v>
      </c>
      <c r="G49" s="18">
        <v>44258</v>
      </c>
      <c r="H49">
        <v>2020</v>
      </c>
      <c r="I49" t="s">
        <v>268</v>
      </c>
      <c r="J49" s="27">
        <v>274988.02</v>
      </c>
      <c r="K49" s="27">
        <v>0</v>
      </c>
      <c r="L49" s="27">
        <v>274988.02</v>
      </c>
      <c r="M49" t="s">
        <v>294</v>
      </c>
      <c r="O49" t="s">
        <v>167</v>
      </c>
      <c r="P49" s="27">
        <v>274988.02</v>
      </c>
    </row>
    <row r="50" spans="1:16" ht="15.75" customHeight="1" x14ac:dyDescent="0.2">
      <c r="A50" t="s">
        <v>335</v>
      </c>
      <c r="B50" t="s">
        <v>163</v>
      </c>
      <c r="C50" s="18">
        <v>44042</v>
      </c>
      <c r="D50" t="s">
        <v>100</v>
      </c>
      <c r="E50">
        <v>1000000</v>
      </c>
      <c r="F50" s="18">
        <v>44202</v>
      </c>
      <c r="G50" s="18">
        <v>44259</v>
      </c>
      <c r="H50">
        <v>2021</v>
      </c>
      <c r="I50" t="s">
        <v>268</v>
      </c>
      <c r="J50" s="27">
        <v>522690.22</v>
      </c>
      <c r="K50" s="27">
        <v>0</v>
      </c>
      <c r="L50" s="27">
        <v>522690.22</v>
      </c>
      <c r="M50" t="s">
        <v>336</v>
      </c>
      <c r="O50" t="s">
        <v>167</v>
      </c>
      <c r="P50" s="27">
        <v>522690.22</v>
      </c>
    </row>
    <row r="51" spans="1:16" ht="15.75" customHeight="1" x14ac:dyDescent="0.2">
      <c r="A51" t="s">
        <v>337</v>
      </c>
      <c r="B51" t="s">
        <v>163</v>
      </c>
      <c r="C51" s="18">
        <v>43954</v>
      </c>
      <c r="D51" t="s">
        <v>101</v>
      </c>
      <c r="E51">
        <v>4500000</v>
      </c>
      <c r="F51" s="18">
        <v>44208</v>
      </c>
      <c r="G51" s="18">
        <v>44260</v>
      </c>
      <c r="H51">
        <v>2021</v>
      </c>
      <c r="I51" t="s">
        <v>268</v>
      </c>
      <c r="J51" s="27">
        <v>329488.87</v>
      </c>
      <c r="K51" s="27">
        <v>0</v>
      </c>
      <c r="L51" s="27">
        <v>329488.87</v>
      </c>
      <c r="M51" t="s">
        <v>300</v>
      </c>
      <c r="O51" t="s">
        <v>167</v>
      </c>
      <c r="P51" s="27">
        <v>329488.87</v>
      </c>
    </row>
    <row r="52" spans="1:16" ht="15.75" customHeight="1" x14ac:dyDescent="0.2">
      <c r="A52" t="s">
        <v>338</v>
      </c>
      <c r="B52" t="s">
        <v>163</v>
      </c>
      <c r="C52" s="18">
        <v>43850</v>
      </c>
      <c r="D52" t="s">
        <v>101</v>
      </c>
      <c r="E52">
        <v>3500000</v>
      </c>
      <c r="F52" s="18">
        <v>44205</v>
      </c>
      <c r="G52" s="18">
        <v>44264</v>
      </c>
      <c r="H52">
        <v>2021</v>
      </c>
      <c r="I52" t="s">
        <v>268</v>
      </c>
      <c r="J52" s="27">
        <v>66115.05</v>
      </c>
      <c r="K52" s="27">
        <v>0</v>
      </c>
      <c r="L52" s="27">
        <v>66115.05</v>
      </c>
      <c r="M52" t="s">
        <v>325</v>
      </c>
      <c r="O52" t="s">
        <v>167</v>
      </c>
      <c r="P52" s="27">
        <v>66115.05</v>
      </c>
    </row>
    <row r="53" spans="1:16" ht="15.75" customHeight="1" x14ac:dyDescent="0.2">
      <c r="A53" t="s">
        <v>339</v>
      </c>
      <c r="B53" t="s">
        <v>163</v>
      </c>
      <c r="C53" s="18">
        <v>43771</v>
      </c>
      <c r="D53" t="s">
        <v>99</v>
      </c>
      <c r="E53">
        <v>4500000</v>
      </c>
      <c r="F53" s="18">
        <v>43969</v>
      </c>
      <c r="G53" s="18">
        <v>44284</v>
      </c>
      <c r="H53">
        <v>2020</v>
      </c>
      <c r="I53" t="s">
        <v>268</v>
      </c>
      <c r="J53" s="27">
        <v>135358.98000000001</v>
      </c>
      <c r="K53" s="27">
        <v>0</v>
      </c>
      <c r="L53" s="27">
        <v>135358.98000000001</v>
      </c>
      <c r="M53" t="s">
        <v>320</v>
      </c>
      <c r="O53" t="s">
        <v>167</v>
      </c>
      <c r="P53" s="27">
        <v>135358.98000000001</v>
      </c>
    </row>
    <row r="54" spans="1:16" ht="15.75" customHeight="1" x14ac:dyDescent="0.2">
      <c r="A54" t="s">
        <v>340</v>
      </c>
      <c r="B54" t="s">
        <v>163</v>
      </c>
      <c r="C54" s="18">
        <v>43956</v>
      </c>
      <c r="D54" t="s">
        <v>100</v>
      </c>
      <c r="E54">
        <v>2000000</v>
      </c>
      <c r="F54" s="18">
        <v>44195</v>
      </c>
      <c r="G54" s="18">
        <v>44288</v>
      </c>
      <c r="H54">
        <v>2020</v>
      </c>
      <c r="I54" t="s">
        <v>268</v>
      </c>
      <c r="J54" s="27">
        <v>137011.63</v>
      </c>
      <c r="K54" s="27">
        <v>0</v>
      </c>
      <c r="L54" s="27">
        <v>137011.63</v>
      </c>
      <c r="M54" t="s">
        <v>287</v>
      </c>
      <c r="O54" t="s">
        <v>167</v>
      </c>
      <c r="P54" s="27">
        <v>137011.63</v>
      </c>
    </row>
    <row r="55" spans="1:16" ht="15.75" customHeight="1" x14ac:dyDescent="0.2">
      <c r="A55" t="s">
        <v>341</v>
      </c>
      <c r="B55" t="s">
        <v>163</v>
      </c>
      <c r="C55" s="18">
        <v>44007</v>
      </c>
      <c r="D55" t="s">
        <v>100</v>
      </c>
      <c r="E55">
        <v>2000000</v>
      </c>
      <c r="F55" s="18">
        <v>44200</v>
      </c>
      <c r="G55" s="18">
        <v>44290</v>
      </c>
      <c r="H55">
        <v>2021</v>
      </c>
      <c r="I55" t="s">
        <v>268</v>
      </c>
      <c r="J55" s="27">
        <v>123982.73</v>
      </c>
      <c r="K55" s="27">
        <v>0</v>
      </c>
      <c r="L55" s="27">
        <v>123982.73</v>
      </c>
      <c r="M55" t="s">
        <v>342</v>
      </c>
      <c r="O55" t="s">
        <v>167</v>
      </c>
      <c r="P55" s="27">
        <v>123982.73</v>
      </c>
    </row>
    <row r="56" spans="1:16" ht="15.75" customHeight="1" x14ac:dyDescent="0.2">
      <c r="A56" t="s">
        <v>343</v>
      </c>
      <c r="B56" t="s">
        <v>163</v>
      </c>
      <c r="C56" s="18">
        <v>43981</v>
      </c>
      <c r="D56" t="s">
        <v>99</v>
      </c>
      <c r="E56">
        <v>4500000</v>
      </c>
      <c r="F56" s="18">
        <v>44228</v>
      </c>
      <c r="G56" s="18">
        <v>44298</v>
      </c>
      <c r="H56">
        <v>2021</v>
      </c>
      <c r="I56" t="s">
        <v>268</v>
      </c>
      <c r="J56" s="27">
        <v>630835.32999999996</v>
      </c>
      <c r="K56" s="27">
        <v>0</v>
      </c>
      <c r="L56" s="27">
        <v>630835.32999999996</v>
      </c>
      <c r="M56" t="s">
        <v>344</v>
      </c>
      <c r="O56" t="s">
        <v>167</v>
      </c>
      <c r="P56" s="27">
        <v>630835.32999999996</v>
      </c>
    </row>
    <row r="57" spans="1:16" ht="15.75" customHeight="1" x14ac:dyDescent="0.2">
      <c r="A57" t="s">
        <v>345</v>
      </c>
      <c r="B57" t="s">
        <v>163</v>
      </c>
      <c r="C57" s="18">
        <v>43641</v>
      </c>
      <c r="D57" t="s">
        <v>99</v>
      </c>
      <c r="E57">
        <v>2500000</v>
      </c>
      <c r="F57" s="18">
        <v>43972</v>
      </c>
      <c r="G57" s="18">
        <v>44310</v>
      </c>
      <c r="H57">
        <v>2020</v>
      </c>
      <c r="I57" t="s">
        <v>268</v>
      </c>
      <c r="J57" s="27">
        <v>79800.78</v>
      </c>
      <c r="K57" s="27">
        <v>0</v>
      </c>
      <c r="L57" s="27">
        <v>79800.78</v>
      </c>
      <c r="M57" t="s">
        <v>346</v>
      </c>
      <c r="O57" t="s">
        <v>167</v>
      </c>
      <c r="P57" s="27">
        <v>79800.78</v>
      </c>
    </row>
    <row r="58" spans="1:16" ht="15.75" customHeight="1" x14ac:dyDescent="0.2">
      <c r="A58" t="s">
        <v>347</v>
      </c>
      <c r="B58" t="s">
        <v>163</v>
      </c>
      <c r="C58" s="18">
        <v>44031</v>
      </c>
      <c r="D58" t="s">
        <v>101</v>
      </c>
      <c r="E58">
        <v>1000000</v>
      </c>
      <c r="F58" s="18">
        <v>44291</v>
      </c>
      <c r="G58" s="18">
        <v>44327</v>
      </c>
      <c r="H58">
        <v>2021</v>
      </c>
      <c r="I58" t="s">
        <v>268</v>
      </c>
      <c r="J58" s="27">
        <v>69229.259999999995</v>
      </c>
      <c r="K58" s="27">
        <v>0</v>
      </c>
      <c r="L58" s="27">
        <v>69229.259999999995</v>
      </c>
      <c r="M58" t="s">
        <v>275</v>
      </c>
      <c r="O58" t="s">
        <v>167</v>
      </c>
      <c r="P58" s="27">
        <v>69229.259999999995</v>
      </c>
    </row>
    <row r="59" spans="1:16" ht="15.75" customHeight="1" x14ac:dyDescent="0.2">
      <c r="A59" t="s">
        <v>348</v>
      </c>
      <c r="B59" t="s">
        <v>163</v>
      </c>
      <c r="C59" s="18">
        <v>43936</v>
      </c>
      <c r="D59" t="s">
        <v>100</v>
      </c>
      <c r="E59">
        <v>3000000</v>
      </c>
      <c r="F59" s="18">
        <v>44040</v>
      </c>
      <c r="G59" s="18">
        <v>44349</v>
      </c>
      <c r="H59">
        <v>2020</v>
      </c>
      <c r="I59" t="s">
        <v>268</v>
      </c>
      <c r="J59" s="27">
        <v>391835.96</v>
      </c>
      <c r="K59" s="27">
        <v>0</v>
      </c>
      <c r="L59" s="27">
        <v>391835.96</v>
      </c>
      <c r="M59" t="s">
        <v>349</v>
      </c>
      <c r="O59" t="s">
        <v>167</v>
      </c>
      <c r="P59" s="27">
        <v>391835.96</v>
      </c>
    </row>
    <row r="60" spans="1:16" ht="15.75" customHeight="1" x14ac:dyDescent="0.2">
      <c r="A60" t="s">
        <v>350</v>
      </c>
      <c r="B60" t="s">
        <v>163</v>
      </c>
      <c r="C60" s="18">
        <v>43979</v>
      </c>
      <c r="D60" t="s">
        <v>100</v>
      </c>
      <c r="E60">
        <v>2000000</v>
      </c>
      <c r="F60" s="18">
        <v>44006</v>
      </c>
      <c r="G60" s="18">
        <v>44358</v>
      </c>
      <c r="H60">
        <v>2020</v>
      </c>
      <c r="I60" t="s">
        <v>268</v>
      </c>
      <c r="J60" s="27">
        <v>191355.16</v>
      </c>
      <c r="K60" s="27">
        <v>0</v>
      </c>
      <c r="L60" s="27">
        <v>191355.16</v>
      </c>
      <c r="M60" t="s">
        <v>351</v>
      </c>
      <c r="O60" t="s">
        <v>167</v>
      </c>
      <c r="P60" s="27">
        <v>191355.16</v>
      </c>
    </row>
    <row r="61" spans="1:16" ht="15.75" customHeight="1" x14ac:dyDescent="0.2">
      <c r="A61" t="s">
        <v>352</v>
      </c>
      <c r="B61" t="s">
        <v>163</v>
      </c>
      <c r="C61" s="18">
        <v>44245</v>
      </c>
      <c r="D61" t="s">
        <v>100</v>
      </c>
      <c r="E61">
        <v>1000000</v>
      </c>
      <c r="F61" s="18">
        <v>44267</v>
      </c>
      <c r="G61" s="18">
        <v>44363</v>
      </c>
      <c r="H61">
        <v>2021</v>
      </c>
      <c r="I61" t="s">
        <v>268</v>
      </c>
      <c r="J61" s="27">
        <v>93244.62</v>
      </c>
      <c r="K61" s="27">
        <v>0</v>
      </c>
      <c r="L61" s="27">
        <v>93244.62</v>
      </c>
      <c r="M61" t="s">
        <v>277</v>
      </c>
      <c r="O61" t="s">
        <v>167</v>
      </c>
      <c r="P61" s="27">
        <v>93244.62</v>
      </c>
    </row>
    <row r="62" spans="1:16" ht="15.75" customHeight="1" x14ac:dyDescent="0.2">
      <c r="A62" t="s">
        <v>353</v>
      </c>
      <c r="B62" t="s">
        <v>163</v>
      </c>
      <c r="C62" s="18">
        <v>43779</v>
      </c>
      <c r="D62" t="s">
        <v>100</v>
      </c>
      <c r="E62">
        <v>3500000</v>
      </c>
      <c r="F62" s="18">
        <v>44099</v>
      </c>
      <c r="G62" s="18">
        <v>44366</v>
      </c>
      <c r="H62">
        <v>2020</v>
      </c>
      <c r="I62" t="s">
        <v>268</v>
      </c>
      <c r="J62" s="27">
        <v>160426.76999999999</v>
      </c>
      <c r="K62" s="27">
        <v>0</v>
      </c>
      <c r="L62" s="27">
        <v>160426.76999999999</v>
      </c>
      <c r="M62" t="s">
        <v>279</v>
      </c>
      <c r="O62" t="s">
        <v>167</v>
      </c>
      <c r="P62" s="27">
        <v>160426.76999999999</v>
      </c>
    </row>
    <row r="63" spans="1:16" ht="15.75" customHeight="1" x14ac:dyDescent="0.2">
      <c r="A63" t="s">
        <v>354</v>
      </c>
      <c r="B63" t="s">
        <v>163</v>
      </c>
      <c r="C63" s="18">
        <v>43862</v>
      </c>
      <c r="D63" t="s">
        <v>102</v>
      </c>
      <c r="E63">
        <v>5000000</v>
      </c>
      <c r="F63" s="18">
        <v>44116</v>
      </c>
      <c r="G63" s="18">
        <v>44378</v>
      </c>
      <c r="H63">
        <v>2020</v>
      </c>
      <c r="I63" t="s">
        <v>268</v>
      </c>
      <c r="J63" s="27">
        <v>399090.17</v>
      </c>
      <c r="K63" s="27">
        <v>0</v>
      </c>
      <c r="L63" s="27">
        <v>399090.17</v>
      </c>
      <c r="M63" t="s">
        <v>349</v>
      </c>
      <c r="O63" t="s">
        <v>167</v>
      </c>
      <c r="P63" s="27">
        <v>399090.17</v>
      </c>
    </row>
    <row r="64" spans="1:16" ht="15.75" customHeight="1" x14ac:dyDescent="0.2">
      <c r="A64" t="s">
        <v>355</v>
      </c>
      <c r="B64" t="s">
        <v>163</v>
      </c>
      <c r="C64" s="18">
        <v>44140</v>
      </c>
      <c r="D64" t="s">
        <v>100</v>
      </c>
      <c r="E64">
        <v>2000000</v>
      </c>
      <c r="F64" s="18">
        <v>44319</v>
      </c>
      <c r="G64" s="18">
        <v>44400</v>
      </c>
      <c r="H64">
        <v>2021</v>
      </c>
      <c r="I64" t="s">
        <v>268</v>
      </c>
      <c r="J64" s="27">
        <v>175317.15</v>
      </c>
      <c r="K64" s="27">
        <v>0</v>
      </c>
      <c r="L64" s="27">
        <v>175317.15</v>
      </c>
      <c r="M64" t="s">
        <v>318</v>
      </c>
      <c r="O64" t="s">
        <v>167</v>
      </c>
      <c r="P64" s="27">
        <v>175317.15</v>
      </c>
    </row>
    <row r="65" spans="1:16" ht="15.75" customHeight="1" x14ac:dyDescent="0.2">
      <c r="A65" t="s">
        <v>356</v>
      </c>
      <c r="B65" t="s">
        <v>163</v>
      </c>
      <c r="C65" s="18">
        <v>44321</v>
      </c>
      <c r="D65" t="s">
        <v>99</v>
      </c>
      <c r="E65">
        <v>4500000</v>
      </c>
      <c r="F65" s="18">
        <v>44353</v>
      </c>
      <c r="G65" s="18">
        <v>44420</v>
      </c>
      <c r="H65">
        <v>2021</v>
      </c>
      <c r="I65" t="s">
        <v>268</v>
      </c>
      <c r="J65" s="27">
        <v>783909.56</v>
      </c>
      <c r="K65" s="27">
        <v>0</v>
      </c>
      <c r="L65" s="27">
        <v>783909.56</v>
      </c>
      <c r="M65" t="s">
        <v>357</v>
      </c>
      <c r="O65" t="s">
        <v>170</v>
      </c>
      <c r="P65" s="27">
        <v>0</v>
      </c>
    </row>
    <row r="66" spans="1:16" ht="15.75" customHeight="1" x14ac:dyDescent="0.2">
      <c r="A66" t="s">
        <v>358</v>
      </c>
      <c r="B66" t="s">
        <v>163</v>
      </c>
      <c r="C66" s="18">
        <v>44030</v>
      </c>
      <c r="D66" t="s">
        <v>98</v>
      </c>
      <c r="E66">
        <v>1000000</v>
      </c>
      <c r="F66" s="18">
        <v>44038</v>
      </c>
      <c r="G66" s="18">
        <v>44427</v>
      </c>
      <c r="H66">
        <v>2020</v>
      </c>
      <c r="I66" t="s">
        <v>268</v>
      </c>
      <c r="J66" s="27">
        <v>518356.24</v>
      </c>
      <c r="K66" s="27">
        <v>0</v>
      </c>
      <c r="L66" s="27">
        <v>518356.24</v>
      </c>
      <c r="M66" t="s">
        <v>359</v>
      </c>
      <c r="O66" t="s">
        <v>170</v>
      </c>
      <c r="P66" s="27">
        <v>0</v>
      </c>
    </row>
    <row r="67" spans="1:16" ht="15.75" customHeight="1" x14ac:dyDescent="0.2">
      <c r="A67" t="s">
        <v>360</v>
      </c>
      <c r="B67" t="s">
        <v>163</v>
      </c>
      <c r="C67" s="18">
        <v>43570</v>
      </c>
      <c r="D67" t="s">
        <v>101</v>
      </c>
      <c r="E67">
        <v>4500000</v>
      </c>
      <c r="F67" s="18">
        <v>43883</v>
      </c>
      <c r="G67" s="18">
        <v>44463</v>
      </c>
      <c r="H67">
        <v>2020</v>
      </c>
      <c r="I67" t="s">
        <v>268</v>
      </c>
      <c r="J67" s="27">
        <v>253078.18</v>
      </c>
      <c r="K67" s="27">
        <v>0</v>
      </c>
      <c r="L67" s="27">
        <v>253078.18</v>
      </c>
      <c r="M67" t="s">
        <v>306</v>
      </c>
      <c r="O67" t="s">
        <v>167</v>
      </c>
      <c r="P67" s="27">
        <v>253078.18</v>
      </c>
    </row>
    <row r="68" spans="1:16" ht="15.75" customHeight="1" x14ac:dyDescent="0.2">
      <c r="A68" t="s">
        <v>361</v>
      </c>
      <c r="B68" t="s">
        <v>163</v>
      </c>
      <c r="C68" s="18">
        <v>44136</v>
      </c>
      <c r="D68" t="s">
        <v>98</v>
      </c>
      <c r="E68">
        <v>4000000</v>
      </c>
      <c r="F68" s="18">
        <v>44428</v>
      </c>
      <c r="G68" s="18">
        <v>44463</v>
      </c>
      <c r="H68">
        <v>2021</v>
      </c>
      <c r="I68" t="s">
        <v>268</v>
      </c>
      <c r="J68" s="27">
        <v>75179.83</v>
      </c>
      <c r="K68" s="27">
        <v>0</v>
      </c>
      <c r="L68" s="27">
        <v>75179.83</v>
      </c>
      <c r="M68" t="s">
        <v>275</v>
      </c>
      <c r="O68" t="s">
        <v>167</v>
      </c>
      <c r="P68" s="27">
        <v>75179.83</v>
      </c>
    </row>
    <row r="69" spans="1:16" ht="15.75" customHeight="1" x14ac:dyDescent="0.2">
      <c r="A69" t="s">
        <v>362</v>
      </c>
      <c r="B69" t="s">
        <v>163</v>
      </c>
      <c r="C69" s="18">
        <v>44106</v>
      </c>
      <c r="D69" t="s">
        <v>99</v>
      </c>
      <c r="E69">
        <v>10000000</v>
      </c>
      <c r="F69" s="18">
        <v>44293</v>
      </c>
      <c r="G69" s="18">
        <v>44480</v>
      </c>
      <c r="H69">
        <v>2021</v>
      </c>
      <c r="I69" t="s">
        <v>268</v>
      </c>
      <c r="J69" s="27">
        <v>167273.24</v>
      </c>
      <c r="K69" s="27">
        <v>0</v>
      </c>
      <c r="L69" s="27">
        <v>167273.24</v>
      </c>
      <c r="M69" t="s">
        <v>363</v>
      </c>
      <c r="O69" t="s">
        <v>167</v>
      </c>
      <c r="P69" s="27">
        <v>167273.24</v>
      </c>
    </row>
    <row r="70" spans="1:16" ht="15.75" customHeight="1" x14ac:dyDescent="0.2">
      <c r="A70" t="s">
        <v>364</v>
      </c>
      <c r="B70" t="s">
        <v>163</v>
      </c>
      <c r="C70" s="18">
        <v>43943</v>
      </c>
      <c r="D70" t="s">
        <v>99</v>
      </c>
      <c r="E70">
        <v>1500000</v>
      </c>
      <c r="F70" s="18">
        <v>44284</v>
      </c>
      <c r="G70" s="18">
        <v>44483</v>
      </c>
      <c r="H70">
        <v>2021</v>
      </c>
      <c r="I70" t="s">
        <v>268</v>
      </c>
      <c r="J70" s="27">
        <v>78433.87</v>
      </c>
      <c r="K70" s="27">
        <v>0</v>
      </c>
      <c r="L70" s="27">
        <v>78433.87</v>
      </c>
      <c r="M70" t="s">
        <v>296</v>
      </c>
      <c r="O70" t="s">
        <v>167</v>
      </c>
      <c r="P70" s="27">
        <v>78433.87</v>
      </c>
    </row>
    <row r="71" spans="1:16" ht="15.75" customHeight="1" x14ac:dyDescent="0.2">
      <c r="A71" t="s">
        <v>365</v>
      </c>
      <c r="B71" t="s">
        <v>163</v>
      </c>
      <c r="C71" s="18">
        <v>44313</v>
      </c>
      <c r="D71" t="s">
        <v>98</v>
      </c>
      <c r="E71">
        <v>1000000</v>
      </c>
      <c r="F71" s="18">
        <v>44415</v>
      </c>
      <c r="G71" s="18">
        <v>44492</v>
      </c>
      <c r="H71">
        <v>2021</v>
      </c>
      <c r="I71" t="s">
        <v>268</v>
      </c>
      <c r="J71" s="27">
        <v>216762.34</v>
      </c>
      <c r="K71" s="27">
        <v>0</v>
      </c>
      <c r="L71" s="27">
        <v>216762.34</v>
      </c>
      <c r="M71" t="s">
        <v>329</v>
      </c>
      <c r="O71" t="s">
        <v>167</v>
      </c>
      <c r="P71" s="27">
        <v>216762.34</v>
      </c>
    </row>
    <row r="72" spans="1:16" ht="15.75" customHeight="1" x14ac:dyDescent="0.2">
      <c r="A72" t="s">
        <v>366</v>
      </c>
      <c r="B72" t="s">
        <v>163</v>
      </c>
      <c r="C72" s="18">
        <v>44187</v>
      </c>
      <c r="D72" t="s">
        <v>98</v>
      </c>
      <c r="E72">
        <v>10000000</v>
      </c>
      <c r="F72" s="18">
        <v>44441</v>
      </c>
      <c r="G72" s="18">
        <v>44500</v>
      </c>
      <c r="H72">
        <v>2021</v>
      </c>
      <c r="I72" t="s">
        <v>268</v>
      </c>
      <c r="J72" s="27">
        <v>785413.6</v>
      </c>
      <c r="K72" s="27">
        <v>0</v>
      </c>
      <c r="L72" s="27">
        <v>785413.6</v>
      </c>
      <c r="M72" t="s">
        <v>322</v>
      </c>
      <c r="O72" t="s">
        <v>167</v>
      </c>
      <c r="P72" s="27">
        <v>785413.6</v>
      </c>
    </row>
    <row r="73" spans="1:16" ht="15.75" customHeight="1" x14ac:dyDescent="0.2">
      <c r="A73" t="s">
        <v>367</v>
      </c>
      <c r="B73" t="s">
        <v>163</v>
      </c>
      <c r="C73" s="18">
        <v>44101</v>
      </c>
      <c r="D73" t="s">
        <v>100</v>
      </c>
      <c r="E73">
        <v>3000000</v>
      </c>
      <c r="F73" s="18">
        <v>44461</v>
      </c>
      <c r="G73" s="18">
        <v>44530</v>
      </c>
      <c r="H73">
        <v>2021</v>
      </c>
      <c r="I73" t="s">
        <v>268</v>
      </c>
      <c r="J73" s="27">
        <v>498792.38</v>
      </c>
      <c r="K73" s="27">
        <v>0</v>
      </c>
      <c r="L73" s="27">
        <v>498792.38</v>
      </c>
      <c r="M73" t="s">
        <v>368</v>
      </c>
      <c r="O73" t="s">
        <v>167</v>
      </c>
      <c r="P73" s="27">
        <v>498792.38</v>
      </c>
    </row>
    <row r="74" spans="1:16" ht="15.75" customHeight="1" x14ac:dyDescent="0.2">
      <c r="A74" t="s">
        <v>369</v>
      </c>
      <c r="B74" t="s">
        <v>163</v>
      </c>
      <c r="C74" s="18">
        <v>44154</v>
      </c>
      <c r="D74" t="s">
        <v>100</v>
      </c>
      <c r="E74">
        <v>10000000</v>
      </c>
      <c r="F74" s="18">
        <v>44377</v>
      </c>
      <c r="G74" s="18">
        <v>44531</v>
      </c>
      <c r="H74">
        <v>2021</v>
      </c>
      <c r="I74" t="s">
        <v>268</v>
      </c>
      <c r="J74" s="27">
        <v>228086.69</v>
      </c>
      <c r="K74" s="27">
        <v>0</v>
      </c>
      <c r="L74" s="27">
        <v>228086.69</v>
      </c>
      <c r="M74" t="s">
        <v>370</v>
      </c>
      <c r="O74" t="s">
        <v>167</v>
      </c>
      <c r="P74" s="27">
        <v>228086.69</v>
      </c>
    </row>
    <row r="75" spans="1:16" ht="15.75" customHeight="1" x14ac:dyDescent="0.2">
      <c r="A75" t="s">
        <v>371</v>
      </c>
      <c r="B75" t="s">
        <v>163</v>
      </c>
      <c r="C75" s="18">
        <v>44418</v>
      </c>
      <c r="D75" t="s">
        <v>101</v>
      </c>
      <c r="E75">
        <v>2000000</v>
      </c>
      <c r="F75" s="18">
        <v>44462</v>
      </c>
      <c r="G75" s="18">
        <v>44531</v>
      </c>
      <c r="H75">
        <v>2021</v>
      </c>
      <c r="I75" t="s">
        <v>268</v>
      </c>
      <c r="J75" s="27">
        <v>281939.21999999997</v>
      </c>
      <c r="K75" s="27">
        <v>0</v>
      </c>
      <c r="L75" s="27">
        <v>281939.21999999997</v>
      </c>
      <c r="M75" t="s">
        <v>372</v>
      </c>
      <c r="O75" t="s">
        <v>170</v>
      </c>
      <c r="P75" s="27">
        <v>0</v>
      </c>
    </row>
    <row r="76" spans="1:16" ht="15.75" customHeight="1" x14ac:dyDescent="0.2">
      <c r="A76" t="s">
        <v>373</v>
      </c>
      <c r="B76" t="s">
        <v>163</v>
      </c>
      <c r="C76" s="18">
        <v>44315</v>
      </c>
      <c r="D76" t="s">
        <v>102</v>
      </c>
      <c r="E76">
        <v>1000000</v>
      </c>
      <c r="F76" s="18">
        <v>44451</v>
      </c>
      <c r="G76" s="18">
        <v>44534</v>
      </c>
      <c r="H76">
        <v>2021</v>
      </c>
      <c r="I76" t="s">
        <v>268</v>
      </c>
      <c r="J76" s="27">
        <v>103724.1</v>
      </c>
      <c r="K76" s="27">
        <v>0</v>
      </c>
      <c r="L76" s="27">
        <v>103724.1</v>
      </c>
      <c r="M76" t="s">
        <v>374</v>
      </c>
      <c r="O76" t="s">
        <v>167</v>
      </c>
      <c r="P76" s="27">
        <v>103724.1</v>
      </c>
    </row>
    <row r="77" spans="1:16" ht="15.75" customHeight="1" x14ac:dyDescent="0.2">
      <c r="A77" t="s">
        <v>375</v>
      </c>
      <c r="B77" t="s">
        <v>163</v>
      </c>
      <c r="C77" s="18">
        <v>44183</v>
      </c>
      <c r="D77" t="s">
        <v>98</v>
      </c>
      <c r="E77">
        <v>4500000</v>
      </c>
      <c r="F77" s="18">
        <v>44487</v>
      </c>
      <c r="G77" s="18">
        <v>44540</v>
      </c>
      <c r="H77">
        <v>2021</v>
      </c>
      <c r="I77" t="s">
        <v>268</v>
      </c>
      <c r="J77" s="27">
        <v>184482.74</v>
      </c>
      <c r="K77" s="27">
        <v>0</v>
      </c>
      <c r="L77" s="27">
        <v>184482.74</v>
      </c>
      <c r="M77" t="s">
        <v>318</v>
      </c>
      <c r="O77" t="s">
        <v>167</v>
      </c>
      <c r="P77" s="27">
        <v>184482.74</v>
      </c>
    </row>
    <row r="78" spans="1:16" ht="15.75" customHeight="1" x14ac:dyDescent="0.2">
      <c r="A78" t="s">
        <v>376</v>
      </c>
      <c r="B78" t="s">
        <v>163</v>
      </c>
      <c r="C78" s="18">
        <v>44198</v>
      </c>
      <c r="D78" t="s">
        <v>98</v>
      </c>
      <c r="E78">
        <v>4000000</v>
      </c>
      <c r="F78" s="18">
        <v>44307</v>
      </c>
      <c r="G78" s="18">
        <v>44540</v>
      </c>
      <c r="H78">
        <v>2021</v>
      </c>
      <c r="I78" t="s">
        <v>268</v>
      </c>
      <c r="J78" s="27">
        <v>635707.06000000006</v>
      </c>
      <c r="K78" s="27">
        <v>0</v>
      </c>
      <c r="L78" s="27">
        <v>635707.06000000006</v>
      </c>
      <c r="M78" t="s">
        <v>377</v>
      </c>
      <c r="O78" t="s">
        <v>167</v>
      </c>
      <c r="P78" s="27">
        <v>635707.06000000006</v>
      </c>
    </row>
    <row r="79" spans="1:16" ht="15.75" customHeight="1" x14ac:dyDescent="0.2">
      <c r="A79" t="s">
        <v>378</v>
      </c>
      <c r="B79" t="s">
        <v>163</v>
      </c>
      <c r="C79" s="18">
        <v>44393</v>
      </c>
      <c r="D79" t="s">
        <v>101</v>
      </c>
      <c r="E79">
        <v>2000000</v>
      </c>
      <c r="F79" s="18">
        <v>44454</v>
      </c>
      <c r="G79" s="18">
        <v>44542</v>
      </c>
      <c r="H79">
        <v>2021</v>
      </c>
      <c r="I79" t="s">
        <v>268</v>
      </c>
      <c r="J79" s="27">
        <v>124593.33</v>
      </c>
      <c r="K79" s="27">
        <v>0</v>
      </c>
      <c r="L79" s="27">
        <v>124593.33</v>
      </c>
      <c r="M79" t="s">
        <v>333</v>
      </c>
      <c r="O79" t="s">
        <v>167</v>
      </c>
      <c r="P79" s="27">
        <v>124593.33</v>
      </c>
    </row>
    <row r="80" spans="1:16" ht="15.75" customHeight="1" x14ac:dyDescent="0.2">
      <c r="A80" t="s">
        <v>379</v>
      </c>
      <c r="B80" t="s">
        <v>163</v>
      </c>
      <c r="C80" s="18">
        <v>44373</v>
      </c>
      <c r="D80" t="s">
        <v>98</v>
      </c>
      <c r="E80">
        <v>5000000</v>
      </c>
      <c r="F80" s="18">
        <v>44387</v>
      </c>
      <c r="G80" s="18">
        <v>44546</v>
      </c>
      <c r="H80">
        <v>2021</v>
      </c>
      <c r="I80" t="s">
        <v>268</v>
      </c>
      <c r="J80" s="27">
        <v>655643.76</v>
      </c>
      <c r="K80" s="27">
        <v>0</v>
      </c>
      <c r="L80" s="27">
        <v>655643.76</v>
      </c>
      <c r="M80" t="s">
        <v>377</v>
      </c>
      <c r="O80" t="s">
        <v>167</v>
      </c>
      <c r="P80" s="27">
        <v>655643.76</v>
      </c>
    </row>
    <row r="81" spans="1:16" ht="15.75" customHeight="1" x14ac:dyDescent="0.2">
      <c r="A81" t="s">
        <v>380</v>
      </c>
      <c r="B81" t="s">
        <v>163</v>
      </c>
      <c r="C81" s="18">
        <v>44161</v>
      </c>
      <c r="D81" t="s">
        <v>99</v>
      </c>
      <c r="E81">
        <v>4000000</v>
      </c>
      <c r="F81" s="18">
        <v>44524</v>
      </c>
      <c r="G81" s="18">
        <v>44557</v>
      </c>
      <c r="H81">
        <v>2021</v>
      </c>
      <c r="I81" t="s">
        <v>268</v>
      </c>
      <c r="J81" s="27">
        <v>126007.79</v>
      </c>
      <c r="K81" s="27">
        <v>0</v>
      </c>
      <c r="L81" s="27">
        <v>126007.79</v>
      </c>
      <c r="M81" t="s">
        <v>381</v>
      </c>
      <c r="O81" t="s">
        <v>167</v>
      </c>
      <c r="P81" s="27">
        <v>126007.79</v>
      </c>
    </row>
    <row r="82" spans="1:16" ht="15.75" customHeight="1" x14ac:dyDescent="0.2">
      <c r="A82" t="s">
        <v>382</v>
      </c>
      <c r="B82" t="s">
        <v>163</v>
      </c>
      <c r="C82" s="18">
        <v>44383</v>
      </c>
      <c r="D82" t="s">
        <v>100</v>
      </c>
      <c r="E82">
        <v>2000000</v>
      </c>
      <c r="F82" s="18">
        <v>44502</v>
      </c>
      <c r="G82" s="18">
        <v>44566</v>
      </c>
      <c r="H82">
        <v>2021</v>
      </c>
      <c r="I82" t="s">
        <v>268</v>
      </c>
      <c r="J82" s="27">
        <v>78791.56</v>
      </c>
      <c r="K82" s="27">
        <v>0</v>
      </c>
      <c r="L82" s="27">
        <v>78791.56</v>
      </c>
      <c r="M82" t="s">
        <v>296</v>
      </c>
      <c r="O82" t="s">
        <v>167</v>
      </c>
      <c r="P82" s="27">
        <v>78791.56</v>
      </c>
    </row>
    <row r="83" spans="1:16" ht="15.75" customHeight="1" x14ac:dyDescent="0.2">
      <c r="A83" t="s">
        <v>383</v>
      </c>
      <c r="B83" t="s">
        <v>163</v>
      </c>
      <c r="C83" s="18">
        <v>44459</v>
      </c>
      <c r="D83" t="s">
        <v>99</v>
      </c>
      <c r="E83">
        <v>5000000</v>
      </c>
      <c r="F83" s="18">
        <v>44472</v>
      </c>
      <c r="G83" s="18">
        <v>44570</v>
      </c>
      <c r="H83">
        <v>2021</v>
      </c>
      <c r="I83" t="s">
        <v>268</v>
      </c>
      <c r="J83" s="27">
        <v>408094.5</v>
      </c>
      <c r="K83" s="27">
        <v>0</v>
      </c>
      <c r="L83" s="27">
        <v>408094.5</v>
      </c>
      <c r="M83" t="s">
        <v>313</v>
      </c>
      <c r="O83" t="s">
        <v>167</v>
      </c>
      <c r="P83" s="27">
        <v>408094.5</v>
      </c>
    </row>
    <row r="84" spans="1:16" ht="15.75" customHeight="1" x14ac:dyDescent="0.2">
      <c r="A84" t="s">
        <v>384</v>
      </c>
      <c r="B84" t="s">
        <v>163</v>
      </c>
      <c r="C84" s="18">
        <v>44033</v>
      </c>
      <c r="D84" t="s">
        <v>98</v>
      </c>
      <c r="E84">
        <v>10000000</v>
      </c>
      <c r="F84" s="18">
        <v>44168</v>
      </c>
      <c r="G84" s="18">
        <v>44584</v>
      </c>
      <c r="H84">
        <v>2020</v>
      </c>
      <c r="I84" t="s">
        <v>268</v>
      </c>
      <c r="J84" s="27">
        <v>336865.21</v>
      </c>
      <c r="K84" s="27">
        <v>0</v>
      </c>
      <c r="L84" s="27">
        <v>336865.21</v>
      </c>
      <c r="M84" t="s">
        <v>300</v>
      </c>
      <c r="O84" t="s">
        <v>167</v>
      </c>
      <c r="P84" s="27">
        <v>336865.21</v>
      </c>
    </row>
    <row r="85" spans="1:16" ht="15.75" customHeight="1" x14ac:dyDescent="0.2">
      <c r="A85" t="s">
        <v>385</v>
      </c>
      <c r="B85" t="s">
        <v>163</v>
      </c>
      <c r="C85" s="18">
        <v>44190</v>
      </c>
      <c r="D85" t="s">
        <v>98</v>
      </c>
      <c r="E85">
        <v>4000000</v>
      </c>
      <c r="F85" s="18">
        <v>44526</v>
      </c>
      <c r="G85" s="18">
        <v>44590</v>
      </c>
      <c r="H85">
        <v>2021</v>
      </c>
      <c r="I85" t="s">
        <v>268</v>
      </c>
      <c r="J85" s="27">
        <v>106926.02</v>
      </c>
      <c r="K85" s="27">
        <v>0</v>
      </c>
      <c r="L85" s="27">
        <v>106926.02</v>
      </c>
      <c r="M85" t="s">
        <v>302</v>
      </c>
      <c r="O85" t="s">
        <v>167</v>
      </c>
      <c r="P85" s="27">
        <v>106926.02</v>
      </c>
    </row>
    <row r="86" spans="1:16" ht="15.75" customHeight="1" x14ac:dyDescent="0.2">
      <c r="A86" t="s">
        <v>386</v>
      </c>
      <c r="B86" t="s">
        <v>163</v>
      </c>
      <c r="C86" s="18">
        <v>44377</v>
      </c>
      <c r="D86" t="s">
        <v>100</v>
      </c>
      <c r="E86">
        <v>10000000</v>
      </c>
      <c r="F86" s="18">
        <v>44540</v>
      </c>
      <c r="G86" s="18">
        <v>44604</v>
      </c>
      <c r="H86">
        <v>2021</v>
      </c>
      <c r="I86" t="s">
        <v>268</v>
      </c>
      <c r="J86" s="27">
        <v>257711.28</v>
      </c>
      <c r="K86" s="27">
        <v>0</v>
      </c>
      <c r="L86" s="27">
        <v>257711.28</v>
      </c>
      <c r="M86" t="s">
        <v>372</v>
      </c>
      <c r="O86" t="s">
        <v>167</v>
      </c>
      <c r="P86" s="27">
        <v>257711.28</v>
      </c>
    </row>
    <row r="87" spans="1:16" ht="15.75" customHeight="1" x14ac:dyDescent="0.2">
      <c r="A87" t="s">
        <v>387</v>
      </c>
      <c r="B87" t="s">
        <v>163</v>
      </c>
      <c r="C87" s="18">
        <v>43808</v>
      </c>
      <c r="D87" t="s">
        <v>98</v>
      </c>
      <c r="E87">
        <v>1500000</v>
      </c>
      <c r="F87" s="18">
        <v>44105</v>
      </c>
      <c r="G87" s="18">
        <v>44652</v>
      </c>
      <c r="H87">
        <v>2020</v>
      </c>
      <c r="I87" t="s">
        <v>268</v>
      </c>
      <c r="J87" s="27">
        <v>88548.38</v>
      </c>
      <c r="K87" s="27">
        <v>0</v>
      </c>
      <c r="L87" s="27">
        <v>88548.38</v>
      </c>
      <c r="M87" t="s">
        <v>277</v>
      </c>
      <c r="O87" t="s">
        <v>167</v>
      </c>
      <c r="P87" s="27">
        <v>88548.38</v>
      </c>
    </row>
    <row r="88" spans="1:16" ht="15.75" customHeight="1" x14ac:dyDescent="0.2">
      <c r="A88" t="s">
        <v>388</v>
      </c>
      <c r="B88" t="s">
        <v>163</v>
      </c>
      <c r="C88" s="18">
        <v>44478</v>
      </c>
      <c r="D88" t="s">
        <v>99</v>
      </c>
      <c r="E88">
        <v>10000000</v>
      </c>
      <c r="F88" s="18">
        <v>44601</v>
      </c>
      <c r="G88" s="18">
        <v>44663</v>
      </c>
      <c r="H88">
        <v>2022</v>
      </c>
      <c r="I88" t="s">
        <v>268</v>
      </c>
      <c r="J88" s="27">
        <v>403990.58</v>
      </c>
      <c r="K88" s="27">
        <v>0</v>
      </c>
      <c r="L88" s="27">
        <v>403990.58</v>
      </c>
      <c r="M88" t="s">
        <v>389</v>
      </c>
      <c r="O88" t="s">
        <v>167</v>
      </c>
      <c r="P88" s="27">
        <v>403990.58</v>
      </c>
    </row>
    <row r="89" spans="1:16" ht="15.75" customHeight="1" x14ac:dyDescent="0.2">
      <c r="A89" t="s">
        <v>390</v>
      </c>
      <c r="B89" t="s">
        <v>163</v>
      </c>
      <c r="C89" s="18">
        <v>44315</v>
      </c>
      <c r="D89" t="s">
        <v>100</v>
      </c>
      <c r="E89">
        <v>3000000</v>
      </c>
      <c r="F89" s="18">
        <v>44629</v>
      </c>
      <c r="G89" s="18">
        <v>44682</v>
      </c>
      <c r="H89">
        <v>2022</v>
      </c>
      <c r="I89" t="s">
        <v>268</v>
      </c>
      <c r="J89" s="27">
        <v>192472.93</v>
      </c>
      <c r="K89" s="27">
        <v>0</v>
      </c>
      <c r="L89" s="27">
        <v>192472.93</v>
      </c>
      <c r="M89" t="s">
        <v>289</v>
      </c>
      <c r="O89" t="s">
        <v>167</v>
      </c>
      <c r="P89" s="27">
        <v>192472.93</v>
      </c>
    </row>
    <row r="90" spans="1:16" ht="15.75" customHeight="1" x14ac:dyDescent="0.2">
      <c r="A90" t="s">
        <v>391</v>
      </c>
      <c r="B90" t="s">
        <v>163</v>
      </c>
      <c r="C90" s="18">
        <v>44473</v>
      </c>
      <c r="D90" t="s">
        <v>99</v>
      </c>
      <c r="E90">
        <v>2000000</v>
      </c>
      <c r="F90" s="18">
        <v>44519</v>
      </c>
      <c r="G90" s="18">
        <v>44682</v>
      </c>
      <c r="H90">
        <v>2021</v>
      </c>
      <c r="I90" t="s">
        <v>268</v>
      </c>
      <c r="J90" s="27">
        <v>88964.71</v>
      </c>
      <c r="K90" s="27">
        <v>0</v>
      </c>
      <c r="L90" s="27">
        <v>88964.71</v>
      </c>
      <c r="M90" t="s">
        <v>296</v>
      </c>
      <c r="O90" t="s">
        <v>167</v>
      </c>
      <c r="P90" s="27">
        <v>88964.71</v>
      </c>
    </row>
    <row r="91" spans="1:16" ht="15.75" customHeight="1" x14ac:dyDescent="0.2">
      <c r="A91" t="s">
        <v>392</v>
      </c>
      <c r="B91" t="s">
        <v>219</v>
      </c>
      <c r="C91" s="18">
        <v>44213</v>
      </c>
      <c r="D91" t="s">
        <v>98</v>
      </c>
      <c r="E91">
        <v>5000000</v>
      </c>
      <c r="F91" s="18">
        <v>44568</v>
      </c>
      <c r="G91" s="18">
        <v>44684</v>
      </c>
      <c r="H91">
        <v>2022</v>
      </c>
      <c r="I91" t="s">
        <v>268</v>
      </c>
      <c r="J91" s="27">
        <v>72277.11</v>
      </c>
      <c r="K91" s="27">
        <v>41359.279999999999</v>
      </c>
      <c r="L91" s="27">
        <v>113636.39</v>
      </c>
      <c r="M91" t="s">
        <v>363</v>
      </c>
      <c r="O91" t="s">
        <v>167</v>
      </c>
      <c r="P91" s="27">
        <v>113636.39</v>
      </c>
    </row>
    <row r="92" spans="1:16" ht="15.75" customHeight="1" x14ac:dyDescent="0.2">
      <c r="A92" t="s">
        <v>393</v>
      </c>
      <c r="B92" t="s">
        <v>163</v>
      </c>
      <c r="C92" s="18">
        <v>44322</v>
      </c>
      <c r="D92" t="s">
        <v>101</v>
      </c>
      <c r="E92">
        <v>3000000</v>
      </c>
      <c r="F92" s="18">
        <v>44397</v>
      </c>
      <c r="G92" s="18">
        <v>44684</v>
      </c>
      <c r="H92">
        <v>2021</v>
      </c>
      <c r="I92" t="s">
        <v>268</v>
      </c>
      <c r="J92" s="27">
        <v>89851.75</v>
      </c>
      <c r="K92" s="27">
        <v>0</v>
      </c>
      <c r="L92" s="27">
        <v>89851.75</v>
      </c>
      <c r="M92" t="s">
        <v>374</v>
      </c>
      <c r="O92" t="s">
        <v>167</v>
      </c>
      <c r="P92" s="27">
        <v>89851.75</v>
      </c>
    </row>
    <row r="93" spans="1:16" ht="15.75" customHeight="1" x14ac:dyDescent="0.2">
      <c r="A93" t="s">
        <v>394</v>
      </c>
      <c r="B93" t="s">
        <v>163</v>
      </c>
      <c r="C93" s="18">
        <v>44239</v>
      </c>
      <c r="D93" t="s">
        <v>102</v>
      </c>
      <c r="E93">
        <v>3500000</v>
      </c>
      <c r="F93" s="18">
        <v>44592</v>
      </c>
      <c r="G93" s="18">
        <v>44688</v>
      </c>
      <c r="H93">
        <v>2022</v>
      </c>
      <c r="I93" t="s">
        <v>268</v>
      </c>
      <c r="J93" s="27">
        <v>175336.79</v>
      </c>
      <c r="K93" s="27">
        <v>0</v>
      </c>
      <c r="L93" s="27">
        <v>175336.79</v>
      </c>
      <c r="M93" t="s">
        <v>318</v>
      </c>
      <c r="O93" t="s">
        <v>167</v>
      </c>
      <c r="P93" s="27">
        <v>175336.79</v>
      </c>
    </row>
    <row r="94" spans="1:16" ht="15.75" customHeight="1" x14ac:dyDescent="0.2">
      <c r="A94" t="s">
        <v>395</v>
      </c>
      <c r="B94" t="s">
        <v>163</v>
      </c>
      <c r="C94" s="18">
        <v>43999</v>
      </c>
      <c r="D94" t="s">
        <v>101</v>
      </c>
      <c r="E94">
        <v>2500000</v>
      </c>
      <c r="F94" s="18">
        <v>44272</v>
      </c>
      <c r="G94" s="18">
        <v>44718</v>
      </c>
      <c r="H94">
        <v>2021</v>
      </c>
      <c r="I94" t="s">
        <v>268</v>
      </c>
      <c r="J94" s="27">
        <v>56343.57</v>
      </c>
      <c r="K94" s="27">
        <v>0</v>
      </c>
      <c r="L94" s="27">
        <v>56343.57</v>
      </c>
      <c r="M94" t="s">
        <v>325</v>
      </c>
      <c r="O94" t="s">
        <v>167</v>
      </c>
      <c r="P94" s="27">
        <v>56343.57</v>
      </c>
    </row>
    <row r="95" spans="1:16" ht="15.75" customHeight="1" x14ac:dyDescent="0.2">
      <c r="A95" t="s">
        <v>396</v>
      </c>
      <c r="B95" t="s">
        <v>219</v>
      </c>
      <c r="C95" s="18">
        <v>44346</v>
      </c>
      <c r="D95" t="s">
        <v>102</v>
      </c>
      <c r="E95">
        <v>2000000</v>
      </c>
      <c r="F95" s="18">
        <v>44698</v>
      </c>
      <c r="G95" s="18">
        <v>44736</v>
      </c>
      <c r="H95">
        <v>2022</v>
      </c>
      <c r="I95" t="s">
        <v>268</v>
      </c>
      <c r="J95" s="27">
        <v>79345.460000000006</v>
      </c>
      <c r="K95" s="27">
        <v>675.03999999998996</v>
      </c>
      <c r="L95" s="27">
        <v>80020.5</v>
      </c>
      <c r="M95" t="s">
        <v>296</v>
      </c>
      <c r="O95" t="s">
        <v>167</v>
      </c>
      <c r="P95" s="27">
        <v>80020.5</v>
      </c>
    </row>
    <row r="96" spans="1:16" ht="15.75" customHeight="1" x14ac:dyDescent="0.2">
      <c r="A96" t="s">
        <v>397</v>
      </c>
      <c r="B96" t="s">
        <v>163</v>
      </c>
      <c r="C96" s="18">
        <v>44557</v>
      </c>
      <c r="D96" t="s">
        <v>100</v>
      </c>
      <c r="E96">
        <v>3500000</v>
      </c>
      <c r="F96" s="18">
        <v>44702</v>
      </c>
      <c r="G96" s="18">
        <v>44756</v>
      </c>
      <c r="H96">
        <v>2022</v>
      </c>
      <c r="I96" t="s">
        <v>268</v>
      </c>
      <c r="J96" s="27">
        <v>1742495.85</v>
      </c>
      <c r="K96" s="27">
        <v>0</v>
      </c>
      <c r="L96" s="27">
        <v>1742495.85</v>
      </c>
      <c r="M96" t="s">
        <v>304</v>
      </c>
      <c r="O96" t="s">
        <v>167</v>
      </c>
      <c r="P96" s="27">
        <v>1742495.85</v>
      </c>
    </row>
    <row r="97" spans="1:16" ht="15.75" customHeight="1" x14ac:dyDescent="0.2">
      <c r="A97" t="s">
        <v>398</v>
      </c>
      <c r="B97" t="s">
        <v>219</v>
      </c>
      <c r="C97" s="18">
        <v>44518</v>
      </c>
      <c r="D97" t="s">
        <v>101</v>
      </c>
      <c r="E97">
        <v>10000000</v>
      </c>
      <c r="F97" s="18">
        <v>44701</v>
      </c>
      <c r="G97" s="18">
        <v>44757</v>
      </c>
      <c r="H97">
        <v>2022</v>
      </c>
      <c r="I97" t="s">
        <v>268</v>
      </c>
      <c r="J97" s="27">
        <v>79471.53</v>
      </c>
      <c r="K97" s="27">
        <v>15778.17</v>
      </c>
      <c r="L97" s="27">
        <v>95249.7</v>
      </c>
      <c r="M97" t="s">
        <v>344</v>
      </c>
      <c r="O97" t="s">
        <v>167</v>
      </c>
      <c r="P97" s="27">
        <v>595249.69999999995</v>
      </c>
    </row>
    <row r="98" spans="1:16" ht="15.75" customHeight="1" x14ac:dyDescent="0.2">
      <c r="A98" t="s">
        <v>399</v>
      </c>
      <c r="B98" t="s">
        <v>163</v>
      </c>
      <c r="C98" s="18">
        <v>44110</v>
      </c>
      <c r="D98" t="s">
        <v>100</v>
      </c>
      <c r="E98">
        <v>5000000</v>
      </c>
      <c r="F98" s="18">
        <v>44361</v>
      </c>
      <c r="G98" s="18">
        <v>44764</v>
      </c>
      <c r="H98">
        <v>2021</v>
      </c>
      <c r="I98" t="s">
        <v>268</v>
      </c>
      <c r="J98" s="27">
        <v>93199.66</v>
      </c>
      <c r="K98" s="27">
        <v>0</v>
      </c>
      <c r="L98" s="27">
        <v>93199.66</v>
      </c>
      <c r="M98" t="s">
        <v>400</v>
      </c>
      <c r="O98" t="s">
        <v>167</v>
      </c>
      <c r="P98" s="27">
        <v>93199.66</v>
      </c>
    </row>
    <row r="99" spans="1:16" ht="15.75" customHeight="1" x14ac:dyDescent="0.2">
      <c r="A99" t="s">
        <v>401</v>
      </c>
      <c r="B99" t="s">
        <v>163</v>
      </c>
      <c r="C99" s="18">
        <v>44526</v>
      </c>
      <c r="D99" t="s">
        <v>99</v>
      </c>
      <c r="E99">
        <v>4000000</v>
      </c>
      <c r="F99" s="18">
        <v>44638</v>
      </c>
      <c r="G99" s="18">
        <v>44769</v>
      </c>
      <c r="H99">
        <v>2022</v>
      </c>
      <c r="I99" t="s">
        <v>268</v>
      </c>
      <c r="J99" s="27">
        <v>170065.01</v>
      </c>
      <c r="K99" s="27">
        <v>0</v>
      </c>
      <c r="L99" s="27">
        <v>170065.01</v>
      </c>
      <c r="M99" t="s">
        <v>402</v>
      </c>
      <c r="O99" t="s">
        <v>167</v>
      </c>
      <c r="P99" s="27">
        <v>170065.01</v>
      </c>
    </row>
    <row r="100" spans="1:16" ht="15.75" customHeight="1" x14ac:dyDescent="0.2">
      <c r="A100" t="s">
        <v>403</v>
      </c>
      <c r="B100" t="s">
        <v>163</v>
      </c>
      <c r="C100" s="18">
        <v>44368</v>
      </c>
      <c r="D100" t="s">
        <v>102</v>
      </c>
      <c r="E100">
        <v>1000000</v>
      </c>
      <c r="F100" s="18">
        <v>44374</v>
      </c>
      <c r="G100" s="18">
        <v>44778</v>
      </c>
      <c r="H100">
        <v>2021</v>
      </c>
      <c r="I100" t="s">
        <v>268</v>
      </c>
      <c r="J100" s="27">
        <v>76270.649999999994</v>
      </c>
      <c r="K100" s="27">
        <v>0</v>
      </c>
      <c r="L100" s="27">
        <v>76270.649999999994</v>
      </c>
      <c r="M100" t="s">
        <v>404</v>
      </c>
      <c r="O100" t="s">
        <v>167</v>
      </c>
      <c r="P100" s="27">
        <v>76270.649999999994</v>
      </c>
    </row>
    <row r="101" spans="1:16" ht="15.75" customHeight="1" x14ac:dyDescent="0.2">
      <c r="A101" t="s">
        <v>405</v>
      </c>
      <c r="B101" t="s">
        <v>163</v>
      </c>
      <c r="C101" s="18">
        <v>44204</v>
      </c>
      <c r="D101" t="s">
        <v>101</v>
      </c>
      <c r="E101">
        <v>2500000</v>
      </c>
      <c r="F101" s="18">
        <v>44508</v>
      </c>
      <c r="G101" s="18">
        <v>44785</v>
      </c>
      <c r="H101">
        <v>2021</v>
      </c>
      <c r="I101" t="s">
        <v>268</v>
      </c>
      <c r="J101" s="27">
        <v>228160.08</v>
      </c>
      <c r="K101" s="27">
        <v>0</v>
      </c>
      <c r="L101" s="27">
        <v>228160.08</v>
      </c>
      <c r="M101" t="s">
        <v>329</v>
      </c>
      <c r="O101" t="s">
        <v>167</v>
      </c>
      <c r="P101" s="27">
        <v>228160.08</v>
      </c>
    </row>
    <row r="102" spans="1:16" ht="15.75" customHeight="1" x14ac:dyDescent="0.2">
      <c r="A102" t="s">
        <v>406</v>
      </c>
      <c r="B102" t="s">
        <v>163</v>
      </c>
      <c r="C102" s="18">
        <v>44522</v>
      </c>
      <c r="D102" t="s">
        <v>98</v>
      </c>
      <c r="E102">
        <v>4000000</v>
      </c>
      <c r="F102" s="18">
        <v>44707</v>
      </c>
      <c r="G102" s="18">
        <v>44787</v>
      </c>
      <c r="H102">
        <v>2022</v>
      </c>
      <c r="I102" t="s">
        <v>268</v>
      </c>
      <c r="J102" s="27">
        <v>287879.03999999998</v>
      </c>
      <c r="K102" s="27">
        <v>0</v>
      </c>
      <c r="L102" s="27">
        <v>287879.03999999998</v>
      </c>
      <c r="M102" t="s">
        <v>294</v>
      </c>
      <c r="O102" t="s">
        <v>167</v>
      </c>
      <c r="P102" s="27">
        <v>287879.03999999998</v>
      </c>
    </row>
    <row r="103" spans="1:16" ht="15.75" customHeight="1" x14ac:dyDescent="0.2">
      <c r="A103" t="s">
        <v>407</v>
      </c>
      <c r="B103" t="s">
        <v>163</v>
      </c>
      <c r="C103" s="18">
        <v>43977</v>
      </c>
      <c r="D103" t="s">
        <v>101</v>
      </c>
      <c r="E103">
        <v>3500000</v>
      </c>
      <c r="F103" s="18">
        <v>44078</v>
      </c>
      <c r="G103" s="18">
        <v>44790</v>
      </c>
      <c r="H103">
        <v>2020</v>
      </c>
      <c r="I103" t="s">
        <v>268</v>
      </c>
      <c r="J103" s="27">
        <v>171690.8</v>
      </c>
      <c r="K103" s="27">
        <v>0</v>
      </c>
      <c r="L103" s="27">
        <v>171690.8</v>
      </c>
      <c r="M103" t="s">
        <v>408</v>
      </c>
      <c r="O103" t="s">
        <v>167</v>
      </c>
      <c r="P103" s="27">
        <v>171690.8</v>
      </c>
    </row>
    <row r="104" spans="1:16" ht="15.75" customHeight="1" x14ac:dyDescent="0.2">
      <c r="A104" t="s">
        <v>409</v>
      </c>
      <c r="B104" t="s">
        <v>163</v>
      </c>
      <c r="C104" s="18">
        <v>44552</v>
      </c>
      <c r="D104" t="s">
        <v>100</v>
      </c>
      <c r="E104">
        <v>4000000</v>
      </c>
      <c r="F104" s="18">
        <v>44755</v>
      </c>
      <c r="G104" s="18">
        <v>44791</v>
      </c>
      <c r="H104">
        <v>2022</v>
      </c>
      <c r="I104" t="s">
        <v>268</v>
      </c>
      <c r="J104" s="27">
        <v>123460.72</v>
      </c>
      <c r="K104" s="27">
        <v>0</v>
      </c>
      <c r="L104" s="27">
        <v>123460.72</v>
      </c>
      <c r="M104" t="s">
        <v>381</v>
      </c>
      <c r="O104" t="s">
        <v>167</v>
      </c>
      <c r="P104" s="27">
        <v>123460.72</v>
      </c>
    </row>
    <row r="105" spans="1:16" ht="15.75" customHeight="1" x14ac:dyDescent="0.2">
      <c r="A105" t="s">
        <v>410</v>
      </c>
      <c r="B105" t="s">
        <v>163</v>
      </c>
      <c r="C105" s="18">
        <v>44463</v>
      </c>
      <c r="D105" t="s">
        <v>101</v>
      </c>
      <c r="E105">
        <v>2500000</v>
      </c>
      <c r="F105" s="18">
        <v>44670</v>
      </c>
      <c r="G105" s="18">
        <v>44792</v>
      </c>
      <c r="H105">
        <v>2022</v>
      </c>
      <c r="I105" t="s">
        <v>268</v>
      </c>
      <c r="J105" s="27">
        <v>467030.78</v>
      </c>
      <c r="K105" s="27">
        <v>0</v>
      </c>
      <c r="L105" s="27">
        <v>467030.78</v>
      </c>
      <c r="M105" t="s">
        <v>368</v>
      </c>
      <c r="O105" t="s">
        <v>167</v>
      </c>
      <c r="P105" s="27">
        <v>467030.78</v>
      </c>
    </row>
    <row r="106" spans="1:16" ht="15.75" customHeight="1" x14ac:dyDescent="0.2">
      <c r="A106" t="s">
        <v>411</v>
      </c>
      <c r="B106" t="s">
        <v>163</v>
      </c>
      <c r="C106" s="18">
        <v>44473</v>
      </c>
      <c r="D106" t="s">
        <v>99</v>
      </c>
      <c r="E106">
        <v>2000000</v>
      </c>
      <c r="F106" s="18">
        <v>44769</v>
      </c>
      <c r="G106" s="18">
        <v>44795</v>
      </c>
      <c r="H106">
        <v>2022</v>
      </c>
      <c r="I106" t="s">
        <v>268</v>
      </c>
      <c r="J106" s="27">
        <v>140738.68</v>
      </c>
      <c r="K106" s="27">
        <v>0</v>
      </c>
      <c r="L106" s="27">
        <v>140738.68</v>
      </c>
      <c r="M106" t="s">
        <v>287</v>
      </c>
      <c r="O106" t="s">
        <v>167</v>
      </c>
      <c r="P106" s="27">
        <v>140738.68</v>
      </c>
    </row>
    <row r="107" spans="1:16" ht="15.75" customHeight="1" x14ac:dyDescent="0.2">
      <c r="A107" t="s">
        <v>412</v>
      </c>
      <c r="B107" t="s">
        <v>163</v>
      </c>
      <c r="C107" s="18">
        <v>44682</v>
      </c>
      <c r="D107" t="s">
        <v>101</v>
      </c>
      <c r="E107">
        <v>2500000</v>
      </c>
      <c r="F107" s="18">
        <v>44721</v>
      </c>
      <c r="G107" s="18">
        <v>44798</v>
      </c>
      <c r="H107">
        <v>2022</v>
      </c>
      <c r="I107" t="s">
        <v>268</v>
      </c>
      <c r="J107" s="27">
        <v>472647.26</v>
      </c>
      <c r="K107" s="27">
        <v>0</v>
      </c>
      <c r="L107" s="27">
        <v>472647.26</v>
      </c>
      <c r="M107" t="s">
        <v>368</v>
      </c>
      <c r="O107" t="s">
        <v>167</v>
      </c>
      <c r="P107" s="27">
        <v>472647.26</v>
      </c>
    </row>
    <row r="108" spans="1:16" ht="15.75" customHeight="1" x14ac:dyDescent="0.2">
      <c r="A108" t="s">
        <v>413</v>
      </c>
      <c r="B108" t="s">
        <v>163</v>
      </c>
      <c r="C108" s="18">
        <v>44552</v>
      </c>
      <c r="D108" t="s">
        <v>98</v>
      </c>
      <c r="E108">
        <v>10000000</v>
      </c>
      <c r="F108" s="18">
        <v>44746</v>
      </c>
      <c r="G108" s="18">
        <v>44803</v>
      </c>
      <c r="H108">
        <v>2022</v>
      </c>
      <c r="I108" t="s">
        <v>268</v>
      </c>
      <c r="J108" s="27">
        <v>226801</v>
      </c>
      <c r="K108" s="27">
        <v>0</v>
      </c>
      <c r="L108" s="27">
        <v>226801</v>
      </c>
      <c r="M108" t="s">
        <v>414</v>
      </c>
      <c r="O108" t="s">
        <v>167</v>
      </c>
      <c r="P108" s="27">
        <v>1026801</v>
      </c>
    </row>
    <row r="109" spans="1:16" ht="15.75" customHeight="1" x14ac:dyDescent="0.2">
      <c r="A109" t="s">
        <v>415</v>
      </c>
      <c r="B109" t="s">
        <v>163</v>
      </c>
      <c r="C109" s="18">
        <v>44538</v>
      </c>
      <c r="D109" t="s">
        <v>101</v>
      </c>
      <c r="E109">
        <v>4000000</v>
      </c>
      <c r="F109" s="18">
        <v>44651</v>
      </c>
      <c r="G109" s="18">
        <v>44818</v>
      </c>
      <c r="H109">
        <v>2022</v>
      </c>
      <c r="I109" t="s">
        <v>268</v>
      </c>
      <c r="J109" s="27">
        <v>142667.63</v>
      </c>
      <c r="K109" s="27">
        <v>0</v>
      </c>
      <c r="L109" s="27">
        <v>142667.63</v>
      </c>
      <c r="M109" t="s">
        <v>381</v>
      </c>
      <c r="O109" t="s">
        <v>167</v>
      </c>
      <c r="P109" s="27">
        <v>142667.63</v>
      </c>
    </row>
    <row r="110" spans="1:16" ht="15.75" customHeight="1" x14ac:dyDescent="0.2">
      <c r="A110" t="s">
        <v>416</v>
      </c>
      <c r="B110" t="s">
        <v>219</v>
      </c>
      <c r="C110" s="18">
        <v>44574</v>
      </c>
      <c r="D110" t="s">
        <v>102</v>
      </c>
      <c r="E110">
        <v>5000000</v>
      </c>
      <c r="F110" s="18">
        <v>44721</v>
      </c>
      <c r="G110" s="18">
        <v>44826</v>
      </c>
      <c r="H110">
        <v>2022</v>
      </c>
      <c r="I110" t="s">
        <v>268</v>
      </c>
      <c r="J110" s="27">
        <v>100991.15</v>
      </c>
      <c r="K110" s="27">
        <v>14364.04</v>
      </c>
      <c r="L110" s="27">
        <v>115355.19</v>
      </c>
      <c r="M110" t="s">
        <v>342</v>
      </c>
      <c r="O110" t="s">
        <v>167</v>
      </c>
      <c r="P110" s="27">
        <v>115355.19</v>
      </c>
    </row>
    <row r="111" spans="1:16" ht="15.75" customHeight="1" x14ac:dyDescent="0.2">
      <c r="A111" t="s">
        <v>417</v>
      </c>
      <c r="B111" t="s">
        <v>163</v>
      </c>
      <c r="C111" s="18">
        <v>44551</v>
      </c>
      <c r="D111" t="s">
        <v>100</v>
      </c>
      <c r="E111">
        <v>4500000</v>
      </c>
      <c r="F111" s="18">
        <v>44639</v>
      </c>
      <c r="G111" s="18">
        <v>44828</v>
      </c>
      <c r="H111">
        <v>2022</v>
      </c>
      <c r="I111" t="s">
        <v>268</v>
      </c>
      <c r="J111" s="27">
        <v>170345.21</v>
      </c>
      <c r="K111" s="27">
        <v>0</v>
      </c>
      <c r="L111" s="27">
        <v>170345.21</v>
      </c>
      <c r="M111" t="s">
        <v>408</v>
      </c>
      <c r="O111" t="s">
        <v>170</v>
      </c>
      <c r="P111" s="27">
        <v>0</v>
      </c>
    </row>
    <row r="112" spans="1:16" ht="15.75" customHeight="1" x14ac:dyDescent="0.2">
      <c r="A112" t="s">
        <v>418</v>
      </c>
      <c r="B112" t="s">
        <v>163</v>
      </c>
      <c r="C112" s="18">
        <v>44702</v>
      </c>
      <c r="D112" t="s">
        <v>99</v>
      </c>
      <c r="E112">
        <v>10000000</v>
      </c>
      <c r="F112" s="18">
        <v>44754</v>
      </c>
      <c r="G112" s="18">
        <v>44830</v>
      </c>
      <c r="H112">
        <v>2022</v>
      </c>
      <c r="I112" t="s">
        <v>268</v>
      </c>
      <c r="J112" s="27">
        <v>73942.460000000006</v>
      </c>
      <c r="K112" s="27">
        <v>0</v>
      </c>
      <c r="L112" s="27">
        <v>73942.460000000006</v>
      </c>
      <c r="M112" t="s">
        <v>404</v>
      </c>
      <c r="O112" t="s">
        <v>167</v>
      </c>
      <c r="P112" s="27">
        <v>73942.460000000006</v>
      </c>
    </row>
    <row r="113" spans="1:16" ht="15.75" customHeight="1" x14ac:dyDescent="0.2">
      <c r="A113" t="s">
        <v>419</v>
      </c>
      <c r="B113" t="s">
        <v>163</v>
      </c>
      <c r="C113" s="18">
        <v>44653</v>
      </c>
      <c r="D113" t="s">
        <v>102</v>
      </c>
      <c r="E113">
        <v>4000000</v>
      </c>
      <c r="F113" s="18">
        <v>44795</v>
      </c>
      <c r="G113" s="18">
        <v>44841</v>
      </c>
      <c r="H113">
        <v>2022</v>
      </c>
      <c r="I113" t="s">
        <v>268</v>
      </c>
      <c r="J113" s="27">
        <v>107956.75</v>
      </c>
      <c r="K113" s="27">
        <v>0</v>
      </c>
      <c r="L113" s="27">
        <v>107956.75</v>
      </c>
      <c r="M113" t="s">
        <v>342</v>
      </c>
      <c r="O113" t="s">
        <v>167</v>
      </c>
      <c r="P113" s="27">
        <v>107956.75</v>
      </c>
    </row>
    <row r="114" spans="1:16" ht="15.75" customHeight="1" x14ac:dyDescent="0.2">
      <c r="A114" t="s">
        <v>420</v>
      </c>
      <c r="B114" t="s">
        <v>163</v>
      </c>
      <c r="C114" s="18">
        <v>44599</v>
      </c>
      <c r="D114" t="s">
        <v>100</v>
      </c>
      <c r="E114">
        <v>4000000</v>
      </c>
      <c r="F114" s="18">
        <v>44763</v>
      </c>
      <c r="G114" s="18">
        <v>44851</v>
      </c>
      <c r="H114">
        <v>2022</v>
      </c>
      <c r="I114" t="s">
        <v>268</v>
      </c>
      <c r="J114" s="27">
        <v>70824.259999999995</v>
      </c>
      <c r="K114" s="27">
        <v>0</v>
      </c>
      <c r="L114" s="27">
        <v>70824.259999999995</v>
      </c>
      <c r="M114" t="s">
        <v>346</v>
      </c>
      <c r="O114" t="s">
        <v>167</v>
      </c>
      <c r="P114" s="27">
        <v>70824.259999999995</v>
      </c>
    </row>
    <row r="115" spans="1:16" ht="15.75" customHeight="1" x14ac:dyDescent="0.2">
      <c r="A115" t="s">
        <v>421</v>
      </c>
      <c r="B115" t="s">
        <v>163</v>
      </c>
      <c r="C115" s="18">
        <v>44327</v>
      </c>
      <c r="D115" t="s">
        <v>101</v>
      </c>
      <c r="E115">
        <v>4000000</v>
      </c>
      <c r="F115" s="18">
        <v>44490</v>
      </c>
      <c r="G115" s="18">
        <v>44856</v>
      </c>
      <c r="H115">
        <v>2021</v>
      </c>
      <c r="I115" t="s">
        <v>268</v>
      </c>
      <c r="J115" s="27">
        <v>89372.76</v>
      </c>
      <c r="K115" s="27">
        <v>0</v>
      </c>
      <c r="L115" s="27">
        <v>89372.76</v>
      </c>
      <c r="M115" t="s">
        <v>277</v>
      </c>
      <c r="O115" t="s">
        <v>167</v>
      </c>
      <c r="P115" s="27">
        <v>89372.76</v>
      </c>
    </row>
    <row r="116" spans="1:16" ht="15.75" customHeight="1" x14ac:dyDescent="0.2">
      <c r="A116" t="s">
        <v>422</v>
      </c>
      <c r="B116" t="s">
        <v>163</v>
      </c>
      <c r="C116" s="18">
        <v>44590</v>
      </c>
      <c r="D116" t="s">
        <v>98</v>
      </c>
      <c r="E116">
        <v>3500000</v>
      </c>
      <c r="F116" s="18">
        <v>44792</v>
      </c>
      <c r="G116" s="18">
        <v>44861</v>
      </c>
      <c r="H116">
        <v>2022</v>
      </c>
      <c r="I116" t="s">
        <v>268</v>
      </c>
      <c r="J116" s="27">
        <v>564026.93000000005</v>
      </c>
      <c r="K116" s="27">
        <v>0</v>
      </c>
      <c r="L116" s="27">
        <v>564026.93000000005</v>
      </c>
      <c r="M116" t="s">
        <v>359</v>
      </c>
      <c r="O116" t="s">
        <v>170</v>
      </c>
      <c r="P116" s="27">
        <v>0</v>
      </c>
    </row>
    <row r="117" spans="1:16" ht="15.75" customHeight="1" x14ac:dyDescent="0.2">
      <c r="A117" t="s">
        <v>423</v>
      </c>
      <c r="B117" t="s">
        <v>163</v>
      </c>
      <c r="C117" s="18">
        <v>44605</v>
      </c>
      <c r="D117" t="s">
        <v>98</v>
      </c>
      <c r="E117">
        <v>10000000</v>
      </c>
      <c r="F117" s="18">
        <v>44795</v>
      </c>
      <c r="G117" s="18">
        <v>44891</v>
      </c>
      <c r="H117">
        <v>2022</v>
      </c>
      <c r="I117" t="s">
        <v>268</v>
      </c>
      <c r="J117" s="27">
        <v>77352.05</v>
      </c>
      <c r="K117" s="27">
        <v>0</v>
      </c>
      <c r="L117" s="27">
        <v>77352.05</v>
      </c>
      <c r="M117" t="s">
        <v>296</v>
      </c>
      <c r="O117" t="s">
        <v>167</v>
      </c>
      <c r="P117" s="27">
        <v>77352.05</v>
      </c>
    </row>
    <row r="118" spans="1:16" ht="15.75" customHeight="1" x14ac:dyDescent="0.2">
      <c r="A118" t="s">
        <v>424</v>
      </c>
      <c r="B118" t="s">
        <v>163</v>
      </c>
      <c r="C118" s="18">
        <v>44624</v>
      </c>
      <c r="D118" t="s">
        <v>102</v>
      </c>
      <c r="E118">
        <v>3500000</v>
      </c>
      <c r="F118" s="18">
        <v>44696</v>
      </c>
      <c r="G118" s="18">
        <v>44894</v>
      </c>
      <c r="H118">
        <v>2022</v>
      </c>
      <c r="I118" t="s">
        <v>268</v>
      </c>
      <c r="J118" s="27">
        <v>115197.6</v>
      </c>
      <c r="K118" s="27">
        <v>0</v>
      </c>
      <c r="L118" s="27">
        <v>115197.6</v>
      </c>
      <c r="M118" t="s">
        <v>425</v>
      </c>
      <c r="O118" t="s">
        <v>167</v>
      </c>
      <c r="P118" s="27">
        <v>115197.6</v>
      </c>
    </row>
    <row r="119" spans="1:16" ht="15.75" customHeight="1" x14ac:dyDescent="0.2">
      <c r="A119" t="s">
        <v>426</v>
      </c>
      <c r="B119" t="s">
        <v>163</v>
      </c>
      <c r="C119" s="18">
        <v>44559</v>
      </c>
      <c r="D119" t="s">
        <v>100</v>
      </c>
      <c r="E119">
        <v>10000000</v>
      </c>
      <c r="F119" s="18">
        <v>44779</v>
      </c>
      <c r="G119" s="18">
        <v>44896</v>
      </c>
      <c r="H119">
        <v>2022</v>
      </c>
      <c r="I119" t="s">
        <v>268</v>
      </c>
      <c r="J119" s="27">
        <v>737029.54</v>
      </c>
      <c r="K119" s="27">
        <v>0</v>
      </c>
      <c r="L119" s="27">
        <v>737029.54</v>
      </c>
      <c r="M119" t="s">
        <v>427</v>
      </c>
      <c r="O119" t="s">
        <v>167</v>
      </c>
      <c r="P119" s="27">
        <v>737029.54</v>
      </c>
    </row>
    <row r="120" spans="1:16" ht="15.75" customHeight="1" x14ac:dyDescent="0.2">
      <c r="A120" t="s">
        <v>428</v>
      </c>
      <c r="B120" t="s">
        <v>163</v>
      </c>
      <c r="C120" s="18">
        <v>44787</v>
      </c>
      <c r="D120" t="s">
        <v>99</v>
      </c>
      <c r="E120">
        <v>2500000</v>
      </c>
      <c r="F120" s="18">
        <v>44846</v>
      </c>
      <c r="G120" s="18">
        <v>44896</v>
      </c>
      <c r="H120">
        <v>2022</v>
      </c>
      <c r="I120" t="s">
        <v>268</v>
      </c>
      <c r="J120" s="27">
        <v>105578.55</v>
      </c>
      <c r="K120" s="27">
        <v>0</v>
      </c>
      <c r="L120" s="27">
        <v>105578.55</v>
      </c>
      <c r="M120" t="s">
        <v>429</v>
      </c>
      <c r="O120" t="s">
        <v>167</v>
      </c>
      <c r="P120" s="27">
        <v>105578.55</v>
      </c>
    </row>
    <row r="121" spans="1:16" ht="15.75" customHeight="1" x14ac:dyDescent="0.2">
      <c r="A121" t="s">
        <v>430</v>
      </c>
      <c r="B121" t="s">
        <v>163</v>
      </c>
      <c r="C121" s="18">
        <v>44545</v>
      </c>
      <c r="D121" t="s">
        <v>98</v>
      </c>
      <c r="E121">
        <v>5000000</v>
      </c>
      <c r="F121" s="18">
        <v>44826</v>
      </c>
      <c r="G121" s="18">
        <v>44910</v>
      </c>
      <c r="H121">
        <v>2022</v>
      </c>
      <c r="I121" t="s">
        <v>268</v>
      </c>
      <c r="J121" s="27">
        <v>259982.04</v>
      </c>
      <c r="K121" s="27">
        <v>0</v>
      </c>
      <c r="L121" s="27">
        <v>259982.04</v>
      </c>
      <c r="M121" t="s">
        <v>372</v>
      </c>
      <c r="O121" t="s">
        <v>170</v>
      </c>
      <c r="P121" s="27">
        <v>0</v>
      </c>
    </row>
    <row r="122" spans="1:16" ht="15.75" customHeight="1" x14ac:dyDescent="0.2">
      <c r="A122" t="s">
        <v>431</v>
      </c>
      <c r="B122" t="s">
        <v>163</v>
      </c>
      <c r="C122" s="18">
        <v>44421</v>
      </c>
      <c r="D122" t="s">
        <v>101</v>
      </c>
      <c r="E122">
        <v>5000000</v>
      </c>
      <c r="F122" s="18">
        <v>44552</v>
      </c>
      <c r="G122" s="18">
        <v>44913</v>
      </c>
      <c r="H122">
        <v>2021</v>
      </c>
      <c r="I122" t="s">
        <v>268</v>
      </c>
      <c r="J122" s="27">
        <v>77859.570000000007</v>
      </c>
      <c r="K122" s="27">
        <v>0</v>
      </c>
      <c r="L122" s="27">
        <v>77859.570000000007</v>
      </c>
      <c r="M122" t="s">
        <v>311</v>
      </c>
      <c r="O122" t="s">
        <v>167</v>
      </c>
      <c r="P122" s="27">
        <v>77859.570000000007</v>
      </c>
    </row>
    <row r="123" spans="1:16" ht="15.75" customHeight="1" x14ac:dyDescent="0.2">
      <c r="A123" t="s">
        <v>432</v>
      </c>
      <c r="B123" t="s">
        <v>163</v>
      </c>
      <c r="C123" s="18">
        <v>44848</v>
      </c>
      <c r="D123" t="s">
        <v>98</v>
      </c>
      <c r="E123">
        <v>4000000</v>
      </c>
      <c r="F123" s="18">
        <v>44882</v>
      </c>
      <c r="G123" s="18">
        <v>44937</v>
      </c>
      <c r="H123">
        <v>2022</v>
      </c>
      <c r="I123" t="s">
        <v>268</v>
      </c>
      <c r="J123" s="27">
        <v>87266.78</v>
      </c>
      <c r="K123" s="27">
        <v>0</v>
      </c>
      <c r="L123" s="27">
        <v>87266.78</v>
      </c>
      <c r="M123" t="s">
        <v>404</v>
      </c>
      <c r="O123" t="s">
        <v>167</v>
      </c>
      <c r="P123" s="27">
        <v>87266.78</v>
      </c>
    </row>
    <row r="124" spans="1:16" ht="15.75" customHeight="1" x14ac:dyDescent="0.2">
      <c r="A124" t="s">
        <v>433</v>
      </c>
      <c r="B124" t="s">
        <v>163</v>
      </c>
      <c r="C124" s="18">
        <v>44297</v>
      </c>
      <c r="D124" t="s">
        <v>100</v>
      </c>
      <c r="E124">
        <v>500000</v>
      </c>
      <c r="F124" s="18">
        <v>44632</v>
      </c>
      <c r="G124" s="18">
        <v>44939</v>
      </c>
      <c r="H124">
        <v>2022</v>
      </c>
      <c r="I124" t="s">
        <v>268</v>
      </c>
      <c r="J124" s="27">
        <v>98509.81</v>
      </c>
      <c r="K124" s="27">
        <v>0</v>
      </c>
      <c r="L124" s="27">
        <v>98509.81</v>
      </c>
      <c r="M124" t="s">
        <v>400</v>
      </c>
      <c r="O124" t="s">
        <v>167</v>
      </c>
      <c r="P124" s="27">
        <v>98509.81</v>
      </c>
    </row>
    <row r="125" spans="1:16" ht="15.75" customHeight="1" x14ac:dyDescent="0.2">
      <c r="A125" t="s">
        <v>434</v>
      </c>
      <c r="B125" t="s">
        <v>219</v>
      </c>
      <c r="C125" s="18">
        <v>44104</v>
      </c>
      <c r="D125" t="s">
        <v>101</v>
      </c>
      <c r="E125">
        <v>5000000</v>
      </c>
      <c r="F125" s="18">
        <v>44361</v>
      </c>
      <c r="G125" s="18">
        <v>44940</v>
      </c>
      <c r="H125">
        <v>2021</v>
      </c>
      <c r="I125" t="s">
        <v>268</v>
      </c>
      <c r="J125" s="27">
        <v>113389.52</v>
      </c>
      <c r="K125" s="27">
        <v>298549.57</v>
      </c>
      <c r="L125" s="27">
        <v>411939.09</v>
      </c>
      <c r="M125" t="s">
        <v>349</v>
      </c>
      <c r="O125" t="s">
        <v>167</v>
      </c>
      <c r="P125" s="27">
        <v>411939.09</v>
      </c>
    </row>
    <row r="126" spans="1:16" ht="15.75" customHeight="1" x14ac:dyDescent="0.2">
      <c r="A126" t="s">
        <v>435</v>
      </c>
      <c r="B126" t="s">
        <v>163</v>
      </c>
      <c r="C126" s="18">
        <v>44775</v>
      </c>
      <c r="D126" t="s">
        <v>101</v>
      </c>
      <c r="E126">
        <v>1000000</v>
      </c>
      <c r="F126" s="18">
        <v>44847</v>
      </c>
      <c r="G126" s="18">
        <v>44943</v>
      </c>
      <c r="H126">
        <v>2022</v>
      </c>
      <c r="I126" t="s">
        <v>268</v>
      </c>
      <c r="J126" s="27">
        <v>64046.01</v>
      </c>
      <c r="K126" s="27">
        <v>0</v>
      </c>
      <c r="L126" s="27">
        <v>64046.01</v>
      </c>
      <c r="M126" t="s">
        <v>436</v>
      </c>
      <c r="O126" t="s">
        <v>167</v>
      </c>
      <c r="P126" s="27">
        <v>64046.01</v>
      </c>
    </row>
    <row r="127" spans="1:16" ht="15.75" customHeight="1" x14ac:dyDescent="0.2">
      <c r="A127" t="s">
        <v>437</v>
      </c>
      <c r="B127" t="s">
        <v>163</v>
      </c>
      <c r="C127" s="18">
        <v>44669</v>
      </c>
      <c r="D127" t="s">
        <v>98</v>
      </c>
      <c r="E127">
        <v>2000000</v>
      </c>
      <c r="F127" s="18">
        <v>44766</v>
      </c>
      <c r="G127" s="18">
        <v>44944</v>
      </c>
      <c r="H127">
        <v>2022</v>
      </c>
      <c r="I127" t="s">
        <v>268</v>
      </c>
      <c r="J127" s="27">
        <v>192191.47</v>
      </c>
      <c r="K127" s="27">
        <v>0</v>
      </c>
      <c r="L127" s="27">
        <v>192191.47</v>
      </c>
      <c r="M127" t="s">
        <v>438</v>
      </c>
      <c r="O127" t="s">
        <v>167</v>
      </c>
      <c r="P127" s="27">
        <v>192191.47</v>
      </c>
    </row>
    <row r="128" spans="1:16" ht="15.75" customHeight="1" x14ac:dyDescent="0.2">
      <c r="A128" t="s">
        <v>439</v>
      </c>
      <c r="B128" t="s">
        <v>163</v>
      </c>
      <c r="C128" s="18">
        <v>44684</v>
      </c>
      <c r="D128" t="s">
        <v>98</v>
      </c>
      <c r="E128">
        <v>5000000</v>
      </c>
      <c r="F128" s="18">
        <v>44893</v>
      </c>
      <c r="G128" s="18">
        <v>44947</v>
      </c>
      <c r="H128">
        <v>2022</v>
      </c>
      <c r="I128" t="s">
        <v>268</v>
      </c>
      <c r="J128" s="27">
        <v>186355.41</v>
      </c>
      <c r="K128" s="27">
        <v>0</v>
      </c>
      <c r="L128" s="27">
        <v>186355.41</v>
      </c>
      <c r="M128" t="s">
        <v>271</v>
      </c>
      <c r="O128" t="s">
        <v>167</v>
      </c>
      <c r="P128" s="27">
        <v>186355.41</v>
      </c>
    </row>
    <row r="129" spans="1:16" ht="15.75" customHeight="1" x14ac:dyDescent="0.2">
      <c r="A129" t="s">
        <v>440</v>
      </c>
      <c r="B129" t="s">
        <v>219</v>
      </c>
      <c r="C129" s="18">
        <v>44626</v>
      </c>
      <c r="D129" t="s">
        <v>98</v>
      </c>
      <c r="E129">
        <v>4000000</v>
      </c>
      <c r="F129" s="18">
        <v>44888</v>
      </c>
      <c r="G129" s="18">
        <v>44952</v>
      </c>
      <c r="H129">
        <v>2022</v>
      </c>
      <c r="I129" t="s">
        <v>268</v>
      </c>
      <c r="J129" s="27">
        <v>50685.25</v>
      </c>
      <c r="K129" s="27">
        <v>143968.53</v>
      </c>
      <c r="L129" s="27">
        <v>194653.78</v>
      </c>
      <c r="M129" t="s">
        <v>370</v>
      </c>
      <c r="O129" t="s">
        <v>167</v>
      </c>
      <c r="P129" s="27">
        <v>194653.78</v>
      </c>
    </row>
    <row r="130" spans="1:16" ht="15.75" customHeight="1" x14ac:dyDescent="0.2">
      <c r="A130" t="s">
        <v>441</v>
      </c>
      <c r="B130" t="s">
        <v>163</v>
      </c>
      <c r="C130" s="18">
        <v>44878</v>
      </c>
      <c r="D130" t="s">
        <v>99</v>
      </c>
      <c r="E130">
        <v>4000000</v>
      </c>
      <c r="F130" s="18">
        <v>44915</v>
      </c>
      <c r="G130" s="18">
        <v>44956</v>
      </c>
      <c r="H130">
        <v>2022</v>
      </c>
      <c r="I130" t="s">
        <v>268</v>
      </c>
      <c r="J130" s="27">
        <v>780577.71</v>
      </c>
      <c r="K130" s="27">
        <v>0</v>
      </c>
      <c r="L130" s="27">
        <v>780577.71</v>
      </c>
      <c r="M130" t="s">
        <v>442</v>
      </c>
      <c r="O130" t="s">
        <v>167</v>
      </c>
      <c r="P130" s="27">
        <v>780577.71</v>
      </c>
    </row>
    <row r="131" spans="1:16" ht="15.75" customHeight="1" x14ac:dyDescent="0.2">
      <c r="A131" t="s">
        <v>443</v>
      </c>
      <c r="B131" t="s">
        <v>163</v>
      </c>
      <c r="C131" s="18">
        <v>44792</v>
      </c>
      <c r="D131" t="s">
        <v>101</v>
      </c>
      <c r="E131">
        <v>3000000</v>
      </c>
      <c r="F131" s="18">
        <v>44907</v>
      </c>
      <c r="G131" s="18">
        <v>44958</v>
      </c>
      <c r="H131">
        <v>2022</v>
      </c>
      <c r="I131" t="s">
        <v>268</v>
      </c>
      <c r="J131" s="27">
        <v>214613.5</v>
      </c>
      <c r="K131" s="27">
        <v>0</v>
      </c>
      <c r="L131" s="27">
        <v>214613.5</v>
      </c>
      <c r="M131" t="s">
        <v>329</v>
      </c>
      <c r="O131" t="s">
        <v>167</v>
      </c>
      <c r="P131" s="27">
        <v>214613.5</v>
      </c>
    </row>
    <row r="132" spans="1:16" ht="15.75" customHeight="1" x14ac:dyDescent="0.2">
      <c r="A132" t="s">
        <v>444</v>
      </c>
      <c r="B132" t="s">
        <v>163</v>
      </c>
      <c r="C132" s="18">
        <v>44548</v>
      </c>
      <c r="D132" t="s">
        <v>100</v>
      </c>
      <c r="E132">
        <v>1000000</v>
      </c>
      <c r="F132" s="18">
        <v>44771</v>
      </c>
      <c r="G132" s="18">
        <v>44962</v>
      </c>
      <c r="H132">
        <v>2022</v>
      </c>
      <c r="I132" t="s">
        <v>268</v>
      </c>
      <c r="J132" s="27">
        <v>373771.73</v>
      </c>
      <c r="K132" s="27">
        <v>0</v>
      </c>
      <c r="L132" s="27">
        <v>373771.73</v>
      </c>
      <c r="M132" t="s">
        <v>331</v>
      </c>
      <c r="O132" t="s">
        <v>167</v>
      </c>
      <c r="P132" s="27">
        <v>373771.73</v>
      </c>
    </row>
    <row r="133" spans="1:16" ht="15.75" customHeight="1" x14ac:dyDescent="0.2">
      <c r="A133" t="s">
        <v>445</v>
      </c>
      <c r="B133" t="s">
        <v>163</v>
      </c>
      <c r="C133" s="18">
        <v>44893</v>
      </c>
      <c r="D133" t="s">
        <v>100</v>
      </c>
      <c r="E133">
        <v>1000000</v>
      </c>
      <c r="F133" s="18">
        <v>44929</v>
      </c>
      <c r="G133" s="18">
        <v>44962</v>
      </c>
      <c r="H133">
        <v>2023</v>
      </c>
      <c r="I133" t="s">
        <v>268</v>
      </c>
      <c r="J133" s="27">
        <v>88510.19</v>
      </c>
      <c r="K133" s="27">
        <v>0</v>
      </c>
      <c r="L133" s="27">
        <v>88510.19</v>
      </c>
      <c r="M133" t="s">
        <v>400</v>
      </c>
      <c r="O133" t="s">
        <v>167</v>
      </c>
      <c r="P133" s="27">
        <v>88510.19</v>
      </c>
    </row>
    <row r="134" spans="1:16" ht="15.75" customHeight="1" x14ac:dyDescent="0.2">
      <c r="A134" t="s">
        <v>446</v>
      </c>
      <c r="B134" t="s">
        <v>163</v>
      </c>
      <c r="C134" s="18">
        <v>44573</v>
      </c>
      <c r="D134" t="s">
        <v>99</v>
      </c>
      <c r="E134">
        <v>2500000</v>
      </c>
      <c r="F134" s="18">
        <v>44844</v>
      </c>
      <c r="G134" s="18">
        <v>44965</v>
      </c>
      <c r="H134">
        <v>2022</v>
      </c>
      <c r="I134" t="s">
        <v>268</v>
      </c>
      <c r="J134" s="27">
        <v>125264.84</v>
      </c>
      <c r="K134" s="27">
        <v>0</v>
      </c>
      <c r="L134" s="27">
        <v>125264.84</v>
      </c>
      <c r="M134" t="s">
        <v>381</v>
      </c>
      <c r="O134" t="s">
        <v>167</v>
      </c>
      <c r="P134" s="27">
        <v>125264.84</v>
      </c>
    </row>
    <row r="135" spans="1:16" ht="15.75" customHeight="1" x14ac:dyDescent="0.2">
      <c r="A135" t="s">
        <v>447</v>
      </c>
      <c r="B135" t="s">
        <v>163</v>
      </c>
      <c r="C135" s="18">
        <v>44899</v>
      </c>
      <c r="D135" t="s">
        <v>98</v>
      </c>
      <c r="E135">
        <v>2000000</v>
      </c>
      <c r="F135" s="18">
        <v>44906</v>
      </c>
      <c r="G135" s="18">
        <v>44978</v>
      </c>
      <c r="H135">
        <v>2022</v>
      </c>
      <c r="I135" t="s">
        <v>268</v>
      </c>
      <c r="J135" s="27">
        <v>857660.69</v>
      </c>
      <c r="K135" s="27">
        <v>0</v>
      </c>
      <c r="L135" s="27">
        <v>857660.69</v>
      </c>
      <c r="M135" t="s">
        <v>442</v>
      </c>
      <c r="O135" t="s">
        <v>167</v>
      </c>
      <c r="P135" s="27">
        <v>857660.69</v>
      </c>
    </row>
    <row r="136" spans="1:16" ht="15.75" customHeight="1" x14ac:dyDescent="0.2">
      <c r="A136" t="s">
        <v>448</v>
      </c>
      <c r="B136" t="s">
        <v>163</v>
      </c>
      <c r="C136" s="18">
        <v>44849</v>
      </c>
      <c r="D136" t="s">
        <v>101</v>
      </c>
      <c r="E136">
        <v>4500000</v>
      </c>
      <c r="F136" s="18">
        <v>44921</v>
      </c>
      <c r="G136" s="18">
        <v>45019</v>
      </c>
      <c r="H136">
        <v>2022</v>
      </c>
      <c r="I136" t="s">
        <v>268</v>
      </c>
      <c r="J136" s="27">
        <v>584951.06000000006</v>
      </c>
      <c r="K136" s="27">
        <v>0</v>
      </c>
      <c r="L136" s="27">
        <v>584951.06000000006</v>
      </c>
      <c r="M136" t="s">
        <v>377</v>
      </c>
      <c r="O136" t="s">
        <v>167</v>
      </c>
      <c r="P136" s="27">
        <v>584951.06000000006</v>
      </c>
    </row>
    <row r="137" spans="1:16" ht="15.75" customHeight="1" x14ac:dyDescent="0.2">
      <c r="A137" t="s">
        <v>449</v>
      </c>
      <c r="B137" t="s">
        <v>163</v>
      </c>
      <c r="C137" s="18">
        <v>44643</v>
      </c>
      <c r="D137" t="s">
        <v>99</v>
      </c>
      <c r="E137">
        <v>2000000</v>
      </c>
      <c r="F137" s="18">
        <v>44769</v>
      </c>
      <c r="G137" s="18">
        <v>45020</v>
      </c>
      <c r="H137">
        <v>2022</v>
      </c>
      <c r="I137" t="s">
        <v>268</v>
      </c>
      <c r="J137" s="27">
        <v>283586.69</v>
      </c>
      <c r="K137" s="27">
        <v>0</v>
      </c>
      <c r="L137" s="27">
        <v>283586.69</v>
      </c>
      <c r="M137" t="s">
        <v>294</v>
      </c>
      <c r="O137" t="s">
        <v>167</v>
      </c>
      <c r="P137" s="27">
        <v>283586.69</v>
      </c>
    </row>
    <row r="138" spans="1:16" ht="15.75" customHeight="1" x14ac:dyDescent="0.2">
      <c r="A138" t="s">
        <v>450</v>
      </c>
      <c r="B138" t="s">
        <v>163</v>
      </c>
      <c r="C138" s="18">
        <v>44737</v>
      </c>
      <c r="D138" t="s">
        <v>102</v>
      </c>
      <c r="E138">
        <v>4000000</v>
      </c>
      <c r="F138" s="18">
        <v>44804</v>
      </c>
      <c r="G138" s="18">
        <v>45038</v>
      </c>
      <c r="H138">
        <v>2022</v>
      </c>
      <c r="I138" t="s">
        <v>268</v>
      </c>
      <c r="J138" s="27">
        <v>76443.81</v>
      </c>
      <c r="K138" s="27">
        <v>0</v>
      </c>
      <c r="L138" s="27">
        <v>76443.81</v>
      </c>
      <c r="M138" t="s">
        <v>296</v>
      </c>
      <c r="O138" t="s">
        <v>167</v>
      </c>
      <c r="P138" s="27">
        <v>76443.81</v>
      </c>
    </row>
    <row r="139" spans="1:16" ht="15.75" customHeight="1" x14ac:dyDescent="0.2">
      <c r="A139" t="s">
        <v>451</v>
      </c>
      <c r="B139" t="s">
        <v>219</v>
      </c>
      <c r="C139" s="18">
        <v>44647</v>
      </c>
      <c r="D139" t="s">
        <v>98</v>
      </c>
      <c r="E139">
        <v>5000000</v>
      </c>
      <c r="F139" s="18">
        <v>44912</v>
      </c>
      <c r="G139" s="18">
        <v>45039</v>
      </c>
      <c r="H139">
        <v>2022</v>
      </c>
      <c r="I139" t="s">
        <v>268</v>
      </c>
      <c r="J139" s="27">
        <v>43168.13</v>
      </c>
      <c r="K139" s="27">
        <v>67632.05</v>
      </c>
      <c r="L139" s="27">
        <v>110800.18</v>
      </c>
      <c r="M139" t="s">
        <v>408</v>
      </c>
      <c r="O139" t="s">
        <v>167</v>
      </c>
      <c r="P139" s="27">
        <v>110800.18</v>
      </c>
    </row>
    <row r="140" spans="1:16" ht="15.75" customHeight="1" x14ac:dyDescent="0.2">
      <c r="A140" t="s">
        <v>452</v>
      </c>
      <c r="B140" t="s">
        <v>219</v>
      </c>
      <c r="C140" s="18">
        <v>44801</v>
      </c>
      <c r="D140" t="s">
        <v>98</v>
      </c>
      <c r="E140">
        <v>2000000</v>
      </c>
      <c r="F140" s="18">
        <v>45018</v>
      </c>
      <c r="G140" s="18">
        <v>45053</v>
      </c>
      <c r="H140">
        <v>2023</v>
      </c>
      <c r="I140" t="s">
        <v>268</v>
      </c>
      <c r="J140" s="27">
        <v>330009.81</v>
      </c>
      <c r="K140" s="27">
        <v>97307.12</v>
      </c>
      <c r="L140" s="27">
        <v>427316.93</v>
      </c>
      <c r="M140" t="s">
        <v>349</v>
      </c>
      <c r="O140" t="s">
        <v>167</v>
      </c>
      <c r="P140" s="27">
        <v>427316.93</v>
      </c>
    </row>
    <row r="141" spans="1:16" ht="15.75" customHeight="1" x14ac:dyDescent="0.2">
      <c r="A141" t="s">
        <v>453</v>
      </c>
      <c r="B141" t="s">
        <v>163</v>
      </c>
      <c r="C141" s="18">
        <v>44856</v>
      </c>
      <c r="D141" t="s">
        <v>98</v>
      </c>
      <c r="E141">
        <v>3000000</v>
      </c>
      <c r="F141" s="18">
        <v>45000</v>
      </c>
      <c r="G141" s="18">
        <v>45067</v>
      </c>
      <c r="H141">
        <v>2023</v>
      </c>
      <c r="I141" t="s">
        <v>268</v>
      </c>
      <c r="J141" s="27">
        <v>318920.03000000003</v>
      </c>
      <c r="K141" s="27">
        <v>0</v>
      </c>
      <c r="L141" s="27">
        <v>318920.03000000003</v>
      </c>
      <c r="M141" t="s">
        <v>454</v>
      </c>
      <c r="O141" t="s">
        <v>170</v>
      </c>
      <c r="P141" s="27">
        <v>0</v>
      </c>
    </row>
    <row r="142" spans="1:16" ht="15.75" customHeight="1" x14ac:dyDescent="0.2">
      <c r="A142" t="s">
        <v>455</v>
      </c>
      <c r="B142" t="s">
        <v>219</v>
      </c>
      <c r="C142" s="18">
        <v>44924</v>
      </c>
      <c r="D142" t="s">
        <v>99</v>
      </c>
      <c r="E142">
        <v>1500000</v>
      </c>
      <c r="F142" s="18">
        <v>44960</v>
      </c>
      <c r="G142" s="18">
        <v>45072</v>
      </c>
      <c r="H142">
        <v>2023</v>
      </c>
      <c r="I142" t="s">
        <v>268</v>
      </c>
      <c r="J142" s="27">
        <v>215050.37</v>
      </c>
      <c r="K142" s="27">
        <v>52534.61</v>
      </c>
      <c r="L142" s="27">
        <v>267584.98</v>
      </c>
      <c r="M142" t="s">
        <v>298</v>
      </c>
      <c r="O142" t="s">
        <v>167</v>
      </c>
      <c r="P142" s="27">
        <v>267584.98</v>
      </c>
    </row>
    <row r="143" spans="1:16" ht="15.75" customHeight="1" x14ac:dyDescent="0.2">
      <c r="A143" t="s">
        <v>456</v>
      </c>
      <c r="B143" t="s">
        <v>219</v>
      </c>
      <c r="C143" s="18">
        <v>44827</v>
      </c>
      <c r="D143" t="s">
        <v>99</v>
      </c>
      <c r="E143">
        <v>2000000</v>
      </c>
      <c r="F143" s="18">
        <v>44985</v>
      </c>
      <c r="G143" s="18">
        <v>45074</v>
      </c>
      <c r="H143">
        <v>2023</v>
      </c>
      <c r="I143" t="s">
        <v>268</v>
      </c>
      <c r="J143" s="27">
        <v>57699.42</v>
      </c>
      <c r="K143" s="27">
        <v>32138.03</v>
      </c>
      <c r="L143" s="27">
        <v>89837.45</v>
      </c>
      <c r="M143" t="s">
        <v>429</v>
      </c>
      <c r="O143" t="s">
        <v>167</v>
      </c>
      <c r="P143" s="27">
        <v>89837.45</v>
      </c>
    </row>
    <row r="144" spans="1:16" ht="15.75" customHeight="1" x14ac:dyDescent="0.2">
      <c r="A144" t="s">
        <v>457</v>
      </c>
      <c r="B144" t="s">
        <v>163</v>
      </c>
      <c r="C144" s="18">
        <v>44878</v>
      </c>
      <c r="D144" t="s">
        <v>99</v>
      </c>
      <c r="E144">
        <v>4000000</v>
      </c>
      <c r="F144" s="18">
        <v>45022</v>
      </c>
      <c r="G144" s="18">
        <v>45079</v>
      </c>
      <c r="H144">
        <v>2023</v>
      </c>
      <c r="I144" t="s">
        <v>268</v>
      </c>
      <c r="J144" s="27">
        <v>269420.7</v>
      </c>
      <c r="K144" s="27">
        <v>0</v>
      </c>
      <c r="L144" s="27">
        <v>269420.7</v>
      </c>
      <c r="M144" t="s">
        <v>283</v>
      </c>
      <c r="O144" t="s">
        <v>167</v>
      </c>
      <c r="P144" s="27">
        <v>269420.7</v>
      </c>
    </row>
    <row r="145" spans="1:16" ht="15.75" customHeight="1" x14ac:dyDescent="0.2">
      <c r="A145" t="s">
        <v>458</v>
      </c>
      <c r="B145" t="s">
        <v>219</v>
      </c>
      <c r="C145" s="18">
        <v>44499</v>
      </c>
      <c r="D145" t="s">
        <v>98</v>
      </c>
      <c r="E145">
        <v>500000</v>
      </c>
      <c r="F145" s="18">
        <v>44781</v>
      </c>
      <c r="G145" s="18">
        <v>45081</v>
      </c>
      <c r="H145">
        <v>2022</v>
      </c>
      <c r="I145" t="s">
        <v>268</v>
      </c>
      <c r="J145" s="27">
        <v>74380.160000000003</v>
      </c>
      <c r="K145" s="27">
        <v>4312.3999999999996</v>
      </c>
      <c r="L145" s="27">
        <v>78692.56</v>
      </c>
      <c r="M145" t="s">
        <v>346</v>
      </c>
      <c r="O145" t="s">
        <v>167</v>
      </c>
      <c r="P145" s="27">
        <v>78692.56</v>
      </c>
    </row>
    <row r="146" spans="1:16" ht="15.75" customHeight="1" x14ac:dyDescent="0.2">
      <c r="A146" t="s">
        <v>459</v>
      </c>
      <c r="B146" t="s">
        <v>219</v>
      </c>
      <c r="C146" s="18">
        <v>44952</v>
      </c>
      <c r="D146" t="s">
        <v>101</v>
      </c>
      <c r="E146">
        <v>2000000</v>
      </c>
      <c r="F146" s="18">
        <v>44954</v>
      </c>
      <c r="G146" s="18">
        <v>45090</v>
      </c>
      <c r="H146">
        <v>2023</v>
      </c>
      <c r="I146" t="s">
        <v>268</v>
      </c>
      <c r="J146" s="27">
        <v>90446.68</v>
      </c>
      <c r="K146" s="27">
        <v>16698.84</v>
      </c>
      <c r="L146" s="27">
        <v>107145.52</v>
      </c>
      <c r="M146" t="s">
        <v>425</v>
      </c>
      <c r="O146" t="s">
        <v>167</v>
      </c>
      <c r="P146" s="27">
        <v>107145.52</v>
      </c>
    </row>
    <row r="147" spans="1:16" ht="15.75" customHeight="1" x14ac:dyDescent="0.2">
      <c r="A147" t="s">
        <v>460</v>
      </c>
      <c r="B147" t="s">
        <v>163</v>
      </c>
      <c r="C147" s="18">
        <v>44925</v>
      </c>
      <c r="D147" t="s">
        <v>98</v>
      </c>
      <c r="E147">
        <v>5000000</v>
      </c>
      <c r="F147" s="18">
        <v>45072</v>
      </c>
      <c r="G147" s="18">
        <v>45128</v>
      </c>
      <c r="H147">
        <v>2023</v>
      </c>
      <c r="I147" t="s">
        <v>268</v>
      </c>
      <c r="J147" s="27">
        <v>250435.58</v>
      </c>
      <c r="K147" s="27">
        <v>0</v>
      </c>
      <c r="L147" s="27">
        <v>250435.58</v>
      </c>
      <c r="M147" t="s">
        <v>327</v>
      </c>
      <c r="O147" t="s">
        <v>167</v>
      </c>
      <c r="P147" s="27">
        <v>250435.58</v>
      </c>
    </row>
    <row r="148" spans="1:16" ht="15.75" customHeight="1" x14ac:dyDescent="0.2">
      <c r="A148" t="s">
        <v>461</v>
      </c>
      <c r="B148" t="s">
        <v>163</v>
      </c>
      <c r="C148" s="18">
        <v>44666</v>
      </c>
      <c r="D148" t="s">
        <v>98</v>
      </c>
      <c r="E148">
        <v>2000000</v>
      </c>
      <c r="F148" s="18">
        <v>45012</v>
      </c>
      <c r="G148" s="18">
        <v>45141</v>
      </c>
      <c r="H148">
        <v>2023</v>
      </c>
      <c r="I148" t="s">
        <v>268</v>
      </c>
      <c r="J148" s="27">
        <v>69871.39</v>
      </c>
      <c r="K148" s="27">
        <v>0</v>
      </c>
      <c r="L148" s="27">
        <v>69871.39</v>
      </c>
      <c r="M148" t="s">
        <v>462</v>
      </c>
      <c r="O148" t="s">
        <v>167</v>
      </c>
      <c r="P148" s="27">
        <v>69871.39</v>
      </c>
    </row>
    <row r="149" spans="1:16" ht="15.75" customHeight="1" x14ac:dyDescent="0.2">
      <c r="A149" t="s">
        <v>463</v>
      </c>
      <c r="B149" t="s">
        <v>163</v>
      </c>
      <c r="C149" s="18">
        <v>44749</v>
      </c>
      <c r="D149" t="s">
        <v>100</v>
      </c>
      <c r="E149">
        <v>10000000</v>
      </c>
      <c r="F149" s="18">
        <v>44817</v>
      </c>
      <c r="G149" s="18">
        <v>45142</v>
      </c>
      <c r="H149">
        <v>2022</v>
      </c>
      <c r="I149" t="s">
        <v>268</v>
      </c>
      <c r="J149" s="27">
        <v>81310.490000000005</v>
      </c>
      <c r="K149" s="27">
        <v>0</v>
      </c>
      <c r="L149" s="27">
        <v>81310.490000000005</v>
      </c>
      <c r="M149" t="s">
        <v>404</v>
      </c>
      <c r="O149" t="s">
        <v>167</v>
      </c>
      <c r="P149" s="27">
        <v>81310.490000000005</v>
      </c>
    </row>
    <row r="150" spans="1:16" ht="15.75" customHeight="1" x14ac:dyDescent="0.2">
      <c r="A150" t="s">
        <v>464</v>
      </c>
      <c r="B150" t="s">
        <v>163</v>
      </c>
      <c r="C150" s="18">
        <v>44714</v>
      </c>
      <c r="D150" t="s">
        <v>98</v>
      </c>
      <c r="E150">
        <v>1000000</v>
      </c>
      <c r="F150" s="18">
        <v>45047</v>
      </c>
      <c r="G150" s="18">
        <v>45143</v>
      </c>
      <c r="H150">
        <v>2023</v>
      </c>
      <c r="I150" t="s">
        <v>268</v>
      </c>
      <c r="J150" s="27">
        <v>86065.97</v>
      </c>
      <c r="K150" s="27">
        <v>0</v>
      </c>
      <c r="L150" s="27">
        <v>86065.97</v>
      </c>
      <c r="M150" t="s">
        <v>277</v>
      </c>
      <c r="O150" t="s">
        <v>167</v>
      </c>
      <c r="P150" s="27">
        <v>86065.97</v>
      </c>
    </row>
    <row r="151" spans="1:16" ht="15.75" customHeight="1" x14ac:dyDescent="0.2">
      <c r="A151" t="s">
        <v>465</v>
      </c>
      <c r="B151" t="s">
        <v>163</v>
      </c>
      <c r="C151" s="18">
        <v>44406</v>
      </c>
      <c r="D151" t="s">
        <v>98</v>
      </c>
      <c r="E151">
        <v>500000</v>
      </c>
      <c r="F151" s="18">
        <v>44705</v>
      </c>
      <c r="G151" s="18">
        <v>45195</v>
      </c>
      <c r="H151">
        <v>2022</v>
      </c>
      <c r="I151" t="s">
        <v>268</v>
      </c>
      <c r="J151" s="27">
        <v>162192.37</v>
      </c>
      <c r="K151" s="27">
        <v>0</v>
      </c>
      <c r="L151" s="27">
        <v>162192.37</v>
      </c>
      <c r="M151" t="s">
        <v>363</v>
      </c>
      <c r="O151" t="s">
        <v>170</v>
      </c>
      <c r="P151" s="27">
        <v>0</v>
      </c>
    </row>
    <row r="152" spans="1:16" ht="15.75" customHeight="1" x14ac:dyDescent="0.2">
      <c r="A152" t="s">
        <v>466</v>
      </c>
      <c r="B152" t="s">
        <v>163</v>
      </c>
      <c r="C152" s="18">
        <v>44940</v>
      </c>
      <c r="D152" t="s">
        <v>101</v>
      </c>
      <c r="E152">
        <v>2000000</v>
      </c>
      <c r="F152" s="18">
        <v>45120</v>
      </c>
      <c r="G152" s="18">
        <v>45197</v>
      </c>
      <c r="H152">
        <v>2023</v>
      </c>
      <c r="I152" t="s">
        <v>268</v>
      </c>
      <c r="J152" s="27">
        <v>301669.67</v>
      </c>
      <c r="K152" s="27">
        <v>0</v>
      </c>
      <c r="L152" s="27">
        <v>301669.67</v>
      </c>
      <c r="M152" t="s">
        <v>454</v>
      </c>
      <c r="O152" t="s">
        <v>167</v>
      </c>
      <c r="P152" s="27">
        <v>301669.67</v>
      </c>
    </row>
    <row r="153" spans="1:16" ht="15.75" customHeight="1" x14ac:dyDescent="0.2">
      <c r="A153" t="s">
        <v>467</v>
      </c>
      <c r="B153" t="s">
        <v>163</v>
      </c>
      <c r="C153" s="18">
        <v>44865</v>
      </c>
      <c r="D153" t="s">
        <v>98</v>
      </c>
      <c r="E153">
        <v>2500000</v>
      </c>
      <c r="F153" s="18">
        <v>44994</v>
      </c>
      <c r="G153" s="18">
        <v>45204</v>
      </c>
      <c r="H153">
        <v>2023</v>
      </c>
      <c r="I153" t="s">
        <v>268</v>
      </c>
      <c r="J153" s="27">
        <v>998832.94</v>
      </c>
      <c r="K153" s="27">
        <v>0</v>
      </c>
      <c r="L153" s="27">
        <v>998832.94</v>
      </c>
      <c r="M153" t="s">
        <v>468</v>
      </c>
      <c r="O153" t="s">
        <v>167</v>
      </c>
      <c r="P153" s="27">
        <v>998832.94</v>
      </c>
    </row>
    <row r="154" spans="1:16" ht="15.75" customHeight="1" x14ac:dyDescent="0.2">
      <c r="A154" t="s">
        <v>469</v>
      </c>
      <c r="B154" t="s">
        <v>163</v>
      </c>
      <c r="C154" s="18">
        <v>44637</v>
      </c>
      <c r="D154" t="s">
        <v>101</v>
      </c>
      <c r="E154">
        <v>5000000</v>
      </c>
      <c r="F154" s="18">
        <v>44918</v>
      </c>
      <c r="G154" s="18">
        <v>45205</v>
      </c>
      <c r="H154">
        <v>2022</v>
      </c>
      <c r="I154" t="s">
        <v>268</v>
      </c>
      <c r="J154" s="27">
        <v>244981.57</v>
      </c>
      <c r="K154" s="27">
        <v>0</v>
      </c>
      <c r="L154" s="27">
        <v>244981.57</v>
      </c>
      <c r="M154" t="s">
        <v>327</v>
      </c>
      <c r="O154" t="s">
        <v>170</v>
      </c>
      <c r="P154" s="27">
        <v>0</v>
      </c>
    </row>
    <row r="155" spans="1:16" ht="15.75" customHeight="1" x14ac:dyDescent="0.2">
      <c r="A155" t="s">
        <v>470</v>
      </c>
      <c r="B155" t="s">
        <v>163</v>
      </c>
      <c r="C155" s="18">
        <v>43824</v>
      </c>
      <c r="D155" t="s">
        <v>100</v>
      </c>
      <c r="E155">
        <v>4000000</v>
      </c>
      <c r="F155" s="18">
        <v>44132</v>
      </c>
      <c r="G155" s="18">
        <v>45223</v>
      </c>
      <c r="H155">
        <v>2020</v>
      </c>
      <c r="I155" t="s">
        <v>268</v>
      </c>
      <c r="J155" s="27">
        <v>1204917.42</v>
      </c>
      <c r="K155" s="27">
        <v>0</v>
      </c>
      <c r="L155" s="27">
        <v>1204917.42</v>
      </c>
      <c r="M155" t="s">
        <v>308</v>
      </c>
      <c r="O155" t="s">
        <v>170</v>
      </c>
      <c r="P155" s="27">
        <v>0</v>
      </c>
    </row>
    <row r="156" spans="1:16" ht="15.75" customHeight="1" x14ac:dyDescent="0.2">
      <c r="A156" t="s">
        <v>471</v>
      </c>
      <c r="B156" t="s">
        <v>219</v>
      </c>
      <c r="C156" s="18">
        <v>45155</v>
      </c>
      <c r="D156" t="s">
        <v>98</v>
      </c>
      <c r="E156">
        <v>3000000</v>
      </c>
      <c r="F156" s="18">
        <v>45187</v>
      </c>
      <c r="G156" s="18">
        <v>45225</v>
      </c>
      <c r="H156">
        <v>2023</v>
      </c>
      <c r="I156" t="s">
        <v>268</v>
      </c>
      <c r="J156" s="27">
        <v>78535.83</v>
      </c>
      <c r="K156" s="27">
        <v>89840.24</v>
      </c>
      <c r="L156" s="27">
        <v>168376.07</v>
      </c>
      <c r="M156" t="s">
        <v>316</v>
      </c>
      <c r="O156" t="s">
        <v>167</v>
      </c>
      <c r="P156" s="27">
        <v>168376.07</v>
      </c>
    </row>
    <row r="157" spans="1:16" ht="15.75" customHeight="1" x14ac:dyDescent="0.2">
      <c r="A157" t="s">
        <v>472</v>
      </c>
      <c r="B157" t="s">
        <v>163</v>
      </c>
      <c r="C157" s="18">
        <v>44887</v>
      </c>
      <c r="D157" t="s">
        <v>99</v>
      </c>
      <c r="E157">
        <v>2000000</v>
      </c>
      <c r="F157" s="18">
        <v>45003</v>
      </c>
      <c r="G157" s="18">
        <v>45231</v>
      </c>
      <c r="H157">
        <v>2023</v>
      </c>
      <c r="I157" t="s">
        <v>268</v>
      </c>
      <c r="J157" s="27">
        <v>535611.68999999994</v>
      </c>
      <c r="K157" s="27">
        <v>0</v>
      </c>
      <c r="L157" s="27">
        <v>535611.68999999994</v>
      </c>
      <c r="M157" t="s">
        <v>336</v>
      </c>
      <c r="O157" t="s">
        <v>167</v>
      </c>
      <c r="P157" s="27">
        <v>535611.68999999994</v>
      </c>
    </row>
    <row r="158" spans="1:16" ht="15.75" customHeight="1" x14ac:dyDescent="0.2">
      <c r="A158" t="s">
        <v>473</v>
      </c>
      <c r="B158" t="s">
        <v>163</v>
      </c>
      <c r="C158" s="18">
        <v>44884</v>
      </c>
      <c r="D158" t="s">
        <v>99</v>
      </c>
      <c r="E158">
        <v>4000000</v>
      </c>
      <c r="F158" s="18">
        <v>45187</v>
      </c>
      <c r="G158" s="18">
        <v>45231</v>
      </c>
      <c r="H158">
        <v>2023</v>
      </c>
      <c r="I158" t="s">
        <v>268</v>
      </c>
      <c r="J158" s="27">
        <v>424936.99</v>
      </c>
      <c r="K158" s="27">
        <v>0</v>
      </c>
      <c r="L158" s="27">
        <v>424936.99</v>
      </c>
      <c r="M158" t="s">
        <v>313</v>
      </c>
      <c r="O158" t="s">
        <v>167</v>
      </c>
      <c r="P158" s="27">
        <v>424936.99</v>
      </c>
    </row>
    <row r="159" spans="1:16" ht="15.75" customHeight="1" x14ac:dyDescent="0.2">
      <c r="A159" t="s">
        <v>474</v>
      </c>
      <c r="B159" t="s">
        <v>163</v>
      </c>
      <c r="C159" s="18">
        <v>44715</v>
      </c>
      <c r="D159" t="s">
        <v>99</v>
      </c>
      <c r="E159">
        <v>4500000</v>
      </c>
      <c r="F159" s="18">
        <v>45041</v>
      </c>
      <c r="G159" s="18">
        <v>45244</v>
      </c>
      <c r="H159">
        <v>2023</v>
      </c>
      <c r="I159" t="s">
        <v>268</v>
      </c>
      <c r="J159" s="27">
        <v>163260.17000000001</v>
      </c>
      <c r="K159" s="27">
        <v>0</v>
      </c>
      <c r="L159" s="27">
        <v>163260.17000000001</v>
      </c>
      <c r="M159" t="s">
        <v>402</v>
      </c>
      <c r="O159" t="s">
        <v>167</v>
      </c>
      <c r="P159" s="27">
        <v>163260.17000000001</v>
      </c>
    </row>
    <row r="160" spans="1:16" ht="15.75" customHeight="1" x14ac:dyDescent="0.2">
      <c r="A160" t="s">
        <v>475</v>
      </c>
      <c r="B160" t="s">
        <v>163</v>
      </c>
      <c r="C160" s="18">
        <v>44804</v>
      </c>
      <c r="D160" t="s">
        <v>100</v>
      </c>
      <c r="E160">
        <v>2000000</v>
      </c>
      <c r="F160" s="18">
        <v>45128</v>
      </c>
      <c r="G160" s="18">
        <v>45245</v>
      </c>
      <c r="H160">
        <v>2023</v>
      </c>
      <c r="I160" t="s">
        <v>268</v>
      </c>
      <c r="J160" s="27">
        <v>312383.39</v>
      </c>
      <c r="K160" s="27">
        <v>0</v>
      </c>
      <c r="L160" s="27">
        <v>312383.39</v>
      </c>
      <c r="M160" t="s">
        <v>300</v>
      </c>
      <c r="O160" t="s">
        <v>167</v>
      </c>
      <c r="P160" s="27">
        <v>312383.39</v>
      </c>
    </row>
    <row r="161" spans="1:16" ht="15.75" customHeight="1" x14ac:dyDescent="0.2">
      <c r="A161" t="s">
        <v>476</v>
      </c>
      <c r="B161" t="s">
        <v>163</v>
      </c>
      <c r="C161" s="18">
        <v>44986</v>
      </c>
      <c r="D161" t="s">
        <v>100</v>
      </c>
      <c r="E161">
        <v>3500000</v>
      </c>
      <c r="F161" s="18">
        <v>45184</v>
      </c>
      <c r="G161" s="18">
        <v>45254</v>
      </c>
      <c r="H161">
        <v>2023</v>
      </c>
      <c r="I161" t="s">
        <v>268</v>
      </c>
      <c r="J161" s="27">
        <v>1889815.18</v>
      </c>
      <c r="K161" s="27">
        <v>0</v>
      </c>
      <c r="L161" s="27">
        <v>1889815.18</v>
      </c>
      <c r="M161" t="s">
        <v>477</v>
      </c>
      <c r="O161" t="s">
        <v>170</v>
      </c>
      <c r="P161" s="27">
        <v>0</v>
      </c>
    </row>
    <row r="162" spans="1:16" ht="15.75" customHeight="1" x14ac:dyDescent="0.2">
      <c r="A162" t="s">
        <v>478</v>
      </c>
      <c r="B162" t="s">
        <v>163</v>
      </c>
      <c r="C162" s="18">
        <v>45029</v>
      </c>
      <c r="D162" t="s">
        <v>98</v>
      </c>
      <c r="E162">
        <v>1000000</v>
      </c>
      <c r="F162" s="18">
        <v>45138</v>
      </c>
      <c r="G162" s="18">
        <v>45268</v>
      </c>
      <c r="H162">
        <v>2023</v>
      </c>
      <c r="I162" t="s">
        <v>268</v>
      </c>
      <c r="J162" s="27">
        <v>201728.78</v>
      </c>
      <c r="K162" s="27">
        <v>0</v>
      </c>
      <c r="L162" s="27">
        <v>201728.78</v>
      </c>
      <c r="M162" t="s">
        <v>351</v>
      </c>
      <c r="O162" t="s">
        <v>167</v>
      </c>
      <c r="P162" s="27">
        <v>201728.78</v>
      </c>
    </row>
    <row r="163" spans="1:16" ht="15.75" customHeight="1" x14ac:dyDescent="0.2">
      <c r="A163" t="s">
        <v>479</v>
      </c>
      <c r="B163" t="s">
        <v>163</v>
      </c>
      <c r="C163" s="18">
        <v>44876</v>
      </c>
      <c r="D163" t="s">
        <v>100</v>
      </c>
      <c r="E163">
        <v>4500000</v>
      </c>
      <c r="F163" s="18">
        <v>45195</v>
      </c>
      <c r="G163" s="18">
        <v>45273</v>
      </c>
      <c r="H163">
        <v>2023</v>
      </c>
      <c r="I163" t="s">
        <v>268</v>
      </c>
      <c r="J163" s="27">
        <v>121240.76</v>
      </c>
      <c r="K163" s="27">
        <v>0</v>
      </c>
      <c r="L163" s="27">
        <v>121240.76</v>
      </c>
      <c r="M163" t="s">
        <v>302</v>
      </c>
      <c r="O163" t="s">
        <v>167</v>
      </c>
      <c r="P163" s="27">
        <v>121240.76</v>
      </c>
    </row>
    <row r="164" spans="1:16" ht="15.75" customHeight="1" x14ac:dyDescent="0.2">
      <c r="A164" t="s">
        <v>480</v>
      </c>
      <c r="B164" t="s">
        <v>163</v>
      </c>
      <c r="C164" s="18">
        <v>44538</v>
      </c>
      <c r="D164" t="s">
        <v>98</v>
      </c>
      <c r="E164">
        <v>4500000</v>
      </c>
      <c r="F164" s="18">
        <v>44820</v>
      </c>
      <c r="G164" s="18">
        <v>45275</v>
      </c>
      <c r="H164">
        <v>2022</v>
      </c>
      <c r="I164" t="s">
        <v>268</v>
      </c>
      <c r="J164" s="27">
        <v>1046206.85</v>
      </c>
      <c r="K164" s="27">
        <v>0</v>
      </c>
      <c r="L164" s="27">
        <v>1046206.85</v>
      </c>
      <c r="M164" t="s">
        <v>481</v>
      </c>
      <c r="O164" t="s">
        <v>167</v>
      </c>
      <c r="P164" s="27">
        <v>1046206.85</v>
      </c>
    </row>
    <row r="165" spans="1:16" ht="15.75" customHeight="1" x14ac:dyDescent="0.2">
      <c r="A165" t="s">
        <v>482</v>
      </c>
      <c r="B165" t="s">
        <v>163</v>
      </c>
      <c r="C165" s="18">
        <v>44837</v>
      </c>
      <c r="D165" t="s">
        <v>100</v>
      </c>
      <c r="E165">
        <v>3000000</v>
      </c>
      <c r="F165" s="18">
        <v>45197</v>
      </c>
      <c r="G165" s="18">
        <v>45275</v>
      </c>
      <c r="H165">
        <v>2023</v>
      </c>
      <c r="I165" t="s">
        <v>268</v>
      </c>
      <c r="J165" s="27">
        <v>70212.09</v>
      </c>
      <c r="K165" s="27">
        <v>0</v>
      </c>
      <c r="L165" s="27">
        <v>70212.09</v>
      </c>
      <c r="M165" t="s">
        <v>275</v>
      </c>
      <c r="O165" t="s">
        <v>167</v>
      </c>
      <c r="P165" s="27">
        <v>70212.09</v>
      </c>
    </row>
    <row r="166" spans="1:16" ht="15.75" customHeight="1" x14ac:dyDescent="0.2">
      <c r="A166" t="s">
        <v>483</v>
      </c>
      <c r="B166" t="s">
        <v>163</v>
      </c>
      <c r="C166" s="18">
        <v>45052</v>
      </c>
      <c r="D166" t="s">
        <v>101</v>
      </c>
      <c r="E166">
        <v>3000000</v>
      </c>
      <c r="F166" s="18">
        <v>45149</v>
      </c>
      <c r="G166" s="18">
        <v>45279</v>
      </c>
      <c r="H166">
        <v>2023</v>
      </c>
      <c r="I166" t="s">
        <v>268</v>
      </c>
      <c r="J166" s="27">
        <v>2237251.2999999998</v>
      </c>
      <c r="K166" s="27">
        <v>0</v>
      </c>
      <c r="L166" s="27">
        <v>2237251.2999999998</v>
      </c>
      <c r="M166" t="s">
        <v>484</v>
      </c>
      <c r="O166" t="s">
        <v>170</v>
      </c>
      <c r="P166" s="27">
        <v>0</v>
      </c>
    </row>
    <row r="167" spans="1:16" ht="15.75" customHeight="1" x14ac:dyDescent="0.2">
      <c r="A167" t="s">
        <v>485</v>
      </c>
      <c r="B167" t="s">
        <v>219</v>
      </c>
      <c r="C167" s="18">
        <v>45049</v>
      </c>
      <c r="D167" t="s">
        <v>98</v>
      </c>
      <c r="E167">
        <v>5000000</v>
      </c>
      <c r="F167" s="18">
        <v>45231</v>
      </c>
      <c r="G167" s="18">
        <v>45298</v>
      </c>
      <c r="H167">
        <v>2023</v>
      </c>
      <c r="I167" t="s">
        <v>268</v>
      </c>
      <c r="J167" s="27">
        <v>98041.66</v>
      </c>
      <c r="K167" s="27">
        <v>84340.67</v>
      </c>
      <c r="L167" s="27">
        <v>182382.33</v>
      </c>
      <c r="M167" t="s">
        <v>316</v>
      </c>
      <c r="O167" t="s">
        <v>167</v>
      </c>
      <c r="P167" s="27">
        <v>182382.33</v>
      </c>
    </row>
    <row r="168" spans="1:16" ht="15.75" customHeight="1" x14ac:dyDescent="0.2">
      <c r="A168" t="s">
        <v>486</v>
      </c>
      <c r="B168" t="s">
        <v>219</v>
      </c>
      <c r="C168" s="18">
        <v>45168</v>
      </c>
      <c r="D168" t="s">
        <v>98</v>
      </c>
      <c r="E168">
        <v>3000000</v>
      </c>
      <c r="F168" s="18">
        <v>45237</v>
      </c>
      <c r="G168" s="18">
        <v>45301</v>
      </c>
      <c r="H168">
        <v>2023</v>
      </c>
      <c r="I168" t="s">
        <v>268</v>
      </c>
      <c r="J168" s="27">
        <v>29933.42</v>
      </c>
      <c r="K168" s="27">
        <v>216826.99</v>
      </c>
      <c r="L168" s="27">
        <v>246760.41</v>
      </c>
      <c r="M168" t="s">
        <v>389</v>
      </c>
      <c r="O168" t="s">
        <v>170</v>
      </c>
      <c r="P168" s="27">
        <v>0</v>
      </c>
    </row>
    <row r="169" spans="1:16" ht="15.75" customHeight="1" x14ac:dyDescent="0.2">
      <c r="A169" t="s">
        <v>487</v>
      </c>
      <c r="B169" t="s">
        <v>163</v>
      </c>
      <c r="C169" s="18">
        <v>45114</v>
      </c>
      <c r="D169" t="s">
        <v>98</v>
      </c>
      <c r="E169">
        <v>3000000</v>
      </c>
      <c r="F169" s="18">
        <v>45233</v>
      </c>
      <c r="G169" s="18">
        <v>45307</v>
      </c>
      <c r="H169">
        <v>2023</v>
      </c>
      <c r="I169" t="s">
        <v>268</v>
      </c>
      <c r="J169" s="27">
        <v>843108.01</v>
      </c>
      <c r="K169" s="27">
        <v>0</v>
      </c>
      <c r="L169" s="27">
        <v>843108.01</v>
      </c>
      <c r="M169" t="s">
        <v>357</v>
      </c>
      <c r="O169" t="s">
        <v>167</v>
      </c>
      <c r="P169" s="27">
        <v>843108.01</v>
      </c>
    </row>
    <row r="170" spans="1:16" ht="15.75" customHeight="1" x14ac:dyDescent="0.2">
      <c r="A170" t="s">
        <v>488</v>
      </c>
      <c r="B170" t="s">
        <v>163</v>
      </c>
      <c r="C170" s="18">
        <v>45045</v>
      </c>
      <c r="D170" t="s">
        <v>100</v>
      </c>
      <c r="E170">
        <v>5000000</v>
      </c>
      <c r="F170" s="18">
        <v>45241</v>
      </c>
      <c r="G170" s="18">
        <v>45317</v>
      </c>
      <c r="H170">
        <v>2023</v>
      </c>
      <c r="I170" t="s">
        <v>268</v>
      </c>
      <c r="J170" s="27">
        <v>159402.81</v>
      </c>
      <c r="K170" s="27">
        <v>0</v>
      </c>
      <c r="L170" s="27">
        <v>159402.81</v>
      </c>
      <c r="M170" t="s">
        <v>402</v>
      </c>
      <c r="O170" t="s">
        <v>167</v>
      </c>
      <c r="P170" s="27">
        <v>159402.81</v>
      </c>
    </row>
    <row r="171" spans="1:16" ht="15.75" customHeight="1" x14ac:dyDescent="0.2">
      <c r="A171" t="s">
        <v>489</v>
      </c>
      <c r="B171" t="s">
        <v>219</v>
      </c>
      <c r="C171" s="18">
        <v>44946</v>
      </c>
      <c r="D171" t="s">
        <v>101</v>
      </c>
      <c r="E171">
        <v>5000000</v>
      </c>
      <c r="F171" s="18">
        <v>45257</v>
      </c>
      <c r="G171" s="18">
        <v>45319</v>
      </c>
      <c r="H171">
        <v>2023</v>
      </c>
      <c r="I171" t="s">
        <v>268</v>
      </c>
      <c r="J171" s="27">
        <v>139297.62</v>
      </c>
      <c r="K171" s="27">
        <v>34802.39</v>
      </c>
      <c r="L171" s="27">
        <v>174100.01</v>
      </c>
      <c r="M171" t="s">
        <v>351</v>
      </c>
      <c r="O171" t="s">
        <v>167</v>
      </c>
      <c r="P171" s="27">
        <v>174100.01</v>
      </c>
    </row>
    <row r="172" spans="1:16" ht="15.75" customHeight="1" x14ac:dyDescent="0.2">
      <c r="A172" t="s">
        <v>490</v>
      </c>
      <c r="B172" t="s">
        <v>163</v>
      </c>
      <c r="C172" s="18">
        <v>45227</v>
      </c>
      <c r="D172" t="s">
        <v>98</v>
      </c>
      <c r="E172">
        <v>1000000</v>
      </c>
      <c r="F172" s="18">
        <v>45265</v>
      </c>
      <c r="G172" s="18">
        <v>45337</v>
      </c>
      <c r="H172">
        <v>2023</v>
      </c>
      <c r="I172" t="s">
        <v>268</v>
      </c>
      <c r="J172" s="27">
        <v>184096.67</v>
      </c>
      <c r="K172" s="27">
        <v>0</v>
      </c>
      <c r="L172" s="27">
        <v>184096.67</v>
      </c>
      <c r="M172" t="s">
        <v>289</v>
      </c>
      <c r="O172" t="s">
        <v>167</v>
      </c>
      <c r="P172" s="27">
        <v>184096.67</v>
      </c>
    </row>
    <row r="173" spans="1:16" ht="15.75" customHeight="1" x14ac:dyDescent="0.2">
      <c r="A173" t="s">
        <v>491</v>
      </c>
      <c r="B173" t="s">
        <v>219</v>
      </c>
      <c r="C173" s="18">
        <v>44965</v>
      </c>
      <c r="D173" t="s">
        <v>98</v>
      </c>
      <c r="E173">
        <v>10000000</v>
      </c>
      <c r="F173" s="18">
        <v>45114</v>
      </c>
      <c r="G173" s="18">
        <v>45344</v>
      </c>
      <c r="H173">
        <v>2023</v>
      </c>
      <c r="I173" t="s">
        <v>268</v>
      </c>
      <c r="J173" s="27">
        <v>0</v>
      </c>
      <c r="K173" s="27">
        <v>1100189.08</v>
      </c>
      <c r="L173" s="27">
        <v>1100189.08</v>
      </c>
      <c r="M173" t="s">
        <v>414</v>
      </c>
      <c r="O173" t="s">
        <v>167</v>
      </c>
      <c r="P173" s="27">
        <v>1100189.08</v>
      </c>
    </row>
    <row r="174" spans="1:16" ht="15.75" customHeight="1" x14ac:dyDescent="0.2">
      <c r="A174" t="s">
        <v>492</v>
      </c>
      <c r="B174" t="s">
        <v>219</v>
      </c>
      <c r="C174" s="18">
        <v>43779</v>
      </c>
      <c r="D174" t="s">
        <v>99</v>
      </c>
      <c r="E174">
        <v>10000000</v>
      </c>
      <c r="F174" s="18">
        <v>43961</v>
      </c>
      <c r="G174" s="18">
        <v>45345</v>
      </c>
      <c r="H174">
        <v>2020</v>
      </c>
      <c r="I174" t="s">
        <v>268</v>
      </c>
      <c r="J174" s="27">
        <v>215467.37</v>
      </c>
      <c r="K174" s="27">
        <v>39458.379999999997</v>
      </c>
      <c r="L174" s="27">
        <v>254925.75</v>
      </c>
      <c r="M174" t="s">
        <v>283</v>
      </c>
      <c r="O174" t="s">
        <v>167</v>
      </c>
      <c r="P174" s="27">
        <v>254925.75</v>
      </c>
    </row>
    <row r="175" spans="1:16" ht="15.75" customHeight="1" x14ac:dyDescent="0.2">
      <c r="A175" t="s">
        <v>493</v>
      </c>
      <c r="B175" t="s">
        <v>163</v>
      </c>
      <c r="C175" s="18">
        <v>44225</v>
      </c>
      <c r="D175" t="s">
        <v>102</v>
      </c>
      <c r="E175">
        <v>4500000</v>
      </c>
      <c r="F175" s="18">
        <v>44291</v>
      </c>
      <c r="G175" s="18">
        <v>45347</v>
      </c>
      <c r="H175">
        <v>2021</v>
      </c>
      <c r="I175" t="s">
        <v>268</v>
      </c>
      <c r="J175" s="27">
        <v>264756.75</v>
      </c>
      <c r="K175" s="27">
        <v>0</v>
      </c>
      <c r="L175" s="27">
        <v>264756.75</v>
      </c>
      <c r="M175" t="s">
        <v>372</v>
      </c>
      <c r="O175" t="s">
        <v>167</v>
      </c>
      <c r="P175" s="27">
        <v>264756.75</v>
      </c>
    </row>
    <row r="176" spans="1:16" ht="15.75" customHeight="1" x14ac:dyDescent="0.2">
      <c r="A176" t="s">
        <v>494</v>
      </c>
      <c r="B176" t="s">
        <v>219</v>
      </c>
      <c r="C176" s="18">
        <v>45211</v>
      </c>
      <c r="D176" t="s">
        <v>102</v>
      </c>
      <c r="E176">
        <v>2000000</v>
      </c>
      <c r="F176" s="18">
        <v>45259</v>
      </c>
      <c r="G176" s="18">
        <v>45350</v>
      </c>
      <c r="H176">
        <v>2023</v>
      </c>
      <c r="I176" t="s">
        <v>268</v>
      </c>
      <c r="J176" s="27">
        <v>14592.11</v>
      </c>
      <c r="K176" s="27">
        <v>129991.99</v>
      </c>
      <c r="L176" s="27">
        <v>144584.1</v>
      </c>
      <c r="M176" t="s">
        <v>370</v>
      </c>
      <c r="O176" t="s">
        <v>167</v>
      </c>
      <c r="P176" s="27">
        <v>144584.1</v>
      </c>
    </row>
    <row r="177" spans="1:16" ht="15.75" customHeight="1" x14ac:dyDescent="0.2">
      <c r="A177" t="s">
        <v>495</v>
      </c>
      <c r="B177" t="s">
        <v>219</v>
      </c>
      <c r="C177" s="18">
        <v>44995</v>
      </c>
      <c r="D177" t="s">
        <v>100</v>
      </c>
      <c r="E177">
        <v>4000000</v>
      </c>
      <c r="F177" s="18">
        <v>45334</v>
      </c>
      <c r="G177" s="18">
        <v>45363</v>
      </c>
      <c r="H177">
        <v>2024</v>
      </c>
      <c r="I177" t="s">
        <v>268</v>
      </c>
      <c r="J177" s="27">
        <v>163859.26999999999</v>
      </c>
      <c r="K177" s="27">
        <v>356374.09</v>
      </c>
      <c r="L177" s="27">
        <v>520233.36</v>
      </c>
      <c r="M177" t="s">
        <v>322</v>
      </c>
      <c r="O177" t="s">
        <v>167</v>
      </c>
      <c r="P177" s="27">
        <v>520233.36</v>
      </c>
    </row>
    <row r="178" spans="1:16" ht="15.75" customHeight="1" x14ac:dyDescent="0.2">
      <c r="A178" t="s">
        <v>496</v>
      </c>
      <c r="B178" t="s">
        <v>219</v>
      </c>
      <c r="C178" s="18">
        <v>44940</v>
      </c>
      <c r="D178" t="s">
        <v>99</v>
      </c>
      <c r="E178">
        <v>3500000</v>
      </c>
      <c r="F178" s="18">
        <v>45164</v>
      </c>
      <c r="G178" s="18">
        <v>45365</v>
      </c>
      <c r="H178">
        <v>2023</v>
      </c>
      <c r="I178" t="s">
        <v>268</v>
      </c>
      <c r="J178" s="27">
        <v>140688.92000000001</v>
      </c>
      <c r="K178" s="27">
        <v>43727.11</v>
      </c>
      <c r="L178" s="27">
        <v>184416.03</v>
      </c>
      <c r="M178" t="s">
        <v>370</v>
      </c>
      <c r="O178" t="s">
        <v>167</v>
      </c>
      <c r="P178" s="27">
        <v>184416.03</v>
      </c>
    </row>
    <row r="179" spans="1:16" ht="15.75" customHeight="1" x14ac:dyDescent="0.2">
      <c r="A179" t="s">
        <v>497</v>
      </c>
      <c r="B179" t="s">
        <v>163</v>
      </c>
      <c r="C179" s="18">
        <v>45059</v>
      </c>
      <c r="D179" t="s">
        <v>99</v>
      </c>
      <c r="E179">
        <v>4000000</v>
      </c>
      <c r="F179" s="18">
        <v>45231</v>
      </c>
      <c r="G179" s="18">
        <v>45367</v>
      </c>
      <c r="H179">
        <v>2023</v>
      </c>
      <c r="I179" t="s">
        <v>268</v>
      </c>
      <c r="J179" s="27">
        <v>662193.59</v>
      </c>
      <c r="K179" s="27">
        <v>0</v>
      </c>
      <c r="L179" s="27">
        <v>662193.59</v>
      </c>
      <c r="M179" t="s">
        <v>377</v>
      </c>
      <c r="O179" t="s">
        <v>167</v>
      </c>
      <c r="P179" s="27">
        <v>662193.59</v>
      </c>
    </row>
    <row r="180" spans="1:16" ht="15.75" customHeight="1" x14ac:dyDescent="0.2">
      <c r="A180" t="s">
        <v>498</v>
      </c>
      <c r="B180" t="s">
        <v>163</v>
      </c>
      <c r="C180" s="18">
        <v>44924</v>
      </c>
      <c r="D180" t="s">
        <v>100</v>
      </c>
      <c r="E180">
        <v>1000000</v>
      </c>
      <c r="F180" s="18">
        <v>45284</v>
      </c>
      <c r="G180" s="18">
        <v>45376</v>
      </c>
      <c r="H180">
        <v>2023</v>
      </c>
      <c r="I180" t="s">
        <v>268</v>
      </c>
      <c r="J180" s="27">
        <v>359191.94</v>
      </c>
      <c r="K180" s="27">
        <v>0</v>
      </c>
      <c r="L180" s="27">
        <v>359191.94</v>
      </c>
      <c r="M180" t="s">
        <v>300</v>
      </c>
      <c r="O180" t="s">
        <v>167</v>
      </c>
      <c r="P180" s="27">
        <v>359191.94</v>
      </c>
    </row>
    <row r="181" spans="1:16" ht="15.75" customHeight="1" x14ac:dyDescent="0.2">
      <c r="A181" t="s">
        <v>499</v>
      </c>
      <c r="B181" t="s">
        <v>163</v>
      </c>
      <c r="C181" s="18">
        <v>44820</v>
      </c>
      <c r="D181" t="s">
        <v>102</v>
      </c>
      <c r="E181">
        <v>2500000</v>
      </c>
      <c r="F181" s="18">
        <v>45154</v>
      </c>
      <c r="G181" s="18">
        <v>45382</v>
      </c>
      <c r="H181">
        <v>2023</v>
      </c>
      <c r="I181" t="s">
        <v>268</v>
      </c>
      <c r="J181" s="27">
        <v>796318.7</v>
      </c>
      <c r="K181" s="27">
        <v>0</v>
      </c>
      <c r="L181" s="27">
        <v>796318.7</v>
      </c>
      <c r="M181" t="s">
        <v>357</v>
      </c>
      <c r="O181" t="s">
        <v>167</v>
      </c>
      <c r="P181" s="27">
        <v>796318.7</v>
      </c>
    </row>
    <row r="182" spans="1:16" ht="15.75" customHeight="1" x14ac:dyDescent="0.2">
      <c r="A182" t="s">
        <v>500</v>
      </c>
      <c r="B182" t="s">
        <v>219</v>
      </c>
      <c r="C182" s="18">
        <v>45120</v>
      </c>
      <c r="D182" t="s">
        <v>99</v>
      </c>
      <c r="E182">
        <v>5000000</v>
      </c>
      <c r="F182" s="18">
        <v>45343</v>
      </c>
      <c r="G182" s="18">
        <v>45392</v>
      </c>
      <c r="H182">
        <v>2024</v>
      </c>
      <c r="I182" t="s">
        <v>268</v>
      </c>
      <c r="J182" s="27">
        <v>145363.45000000001</v>
      </c>
      <c r="K182" s="27">
        <v>48529.15</v>
      </c>
      <c r="L182" s="27">
        <v>193892.6</v>
      </c>
      <c r="M182" t="s">
        <v>438</v>
      </c>
      <c r="O182" t="s">
        <v>167</v>
      </c>
      <c r="P182" s="27">
        <v>193892.6</v>
      </c>
    </row>
    <row r="183" spans="1:16" ht="15.75" customHeight="1" x14ac:dyDescent="0.2">
      <c r="A183" t="s">
        <v>501</v>
      </c>
      <c r="B183" t="s">
        <v>163</v>
      </c>
      <c r="C183" s="18">
        <v>44996</v>
      </c>
      <c r="D183" t="s">
        <v>99</v>
      </c>
      <c r="E183">
        <v>2000000</v>
      </c>
      <c r="F183" s="18">
        <v>45254</v>
      </c>
      <c r="G183" s="18">
        <v>45396</v>
      </c>
      <c r="H183">
        <v>2023</v>
      </c>
      <c r="I183" t="s">
        <v>268</v>
      </c>
      <c r="J183" s="27">
        <v>116767.71</v>
      </c>
      <c r="K183" s="27">
        <v>0</v>
      </c>
      <c r="L183" s="27">
        <v>116767.71</v>
      </c>
      <c r="M183" t="s">
        <v>342</v>
      </c>
      <c r="O183" t="s">
        <v>167</v>
      </c>
      <c r="P183" s="27">
        <v>116767.71</v>
      </c>
    </row>
    <row r="184" spans="1:16" ht="15.75" customHeight="1" x14ac:dyDescent="0.2">
      <c r="A184" t="s">
        <v>502</v>
      </c>
      <c r="B184" t="s">
        <v>163</v>
      </c>
      <c r="C184" s="18">
        <v>44998</v>
      </c>
      <c r="D184" t="s">
        <v>101</v>
      </c>
      <c r="E184">
        <v>3000000</v>
      </c>
      <c r="F184" s="18">
        <v>45343</v>
      </c>
      <c r="G184" s="18">
        <v>45403</v>
      </c>
      <c r="H184">
        <v>2024</v>
      </c>
      <c r="I184" t="s">
        <v>268</v>
      </c>
      <c r="J184" s="27">
        <v>102961.21</v>
      </c>
      <c r="K184" s="27">
        <v>0</v>
      </c>
      <c r="L184" s="27">
        <v>102961.21</v>
      </c>
      <c r="M184" t="s">
        <v>429</v>
      </c>
      <c r="O184" t="s">
        <v>167</v>
      </c>
      <c r="P184" s="27">
        <v>102961.21</v>
      </c>
    </row>
    <row r="185" spans="1:16" ht="15.75" customHeight="1" x14ac:dyDescent="0.2">
      <c r="A185" t="s">
        <v>503</v>
      </c>
      <c r="B185" t="s">
        <v>163</v>
      </c>
      <c r="C185" s="18">
        <v>45142</v>
      </c>
      <c r="D185" t="s">
        <v>99</v>
      </c>
      <c r="E185">
        <v>2000000</v>
      </c>
      <c r="F185" s="18">
        <v>45358</v>
      </c>
      <c r="G185" s="18">
        <v>45409</v>
      </c>
      <c r="H185">
        <v>2024</v>
      </c>
      <c r="I185" t="s">
        <v>268</v>
      </c>
      <c r="J185" s="27">
        <v>248752.96</v>
      </c>
      <c r="K185" s="27">
        <v>0</v>
      </c>
      <c r="L185" s="27">
        <v>248752.96</v>
      </c>
      <c r="M185" t="s">
        <v>372</v>
      </c>
      <c r="O185" t="s">
        <v>170</v>
      </c>
      <c r="P185" s="27">
        <v>0</v>
      </c>
    </row>
    <row r="186" spans="1:16" ht="15.75" customHeight="1" x14ac:dyDescent="0.2">
      <c r="A186" t="s">
        <v>504</v>
      </c>
      <c r="B186" t="s">
        <v>219</v>
      </c>
      <c r="C186" s="18">
        <v>45124</v>
      </c>
      <c r="D186" t="s">
        <v>100</v>
      </c>
      <c r="E186">
        <v>1000000</v>
      </c>
      <c r="F186" s="18">
        <v>45381</v>
      </c>
      <c r="G186" s="18">
        <v>45420</v>
      </c>
      <c r="H186">
        <v>2024</v>
      </c>
      <c r="I186" t="s">
        <v>268</v>
      </c>
      <c r="J186" s="27">
        <v>58203.9</v>
      </c>
      <c r="K186" s="27">
        <v>15551.9</v>
      </c>
      <c r="L186" s="27">
        <v>73755.8</v>
      </c>
      <c r="M186" t="s">
        <v>346</v>
      </c>
      <c r="O186" t="s">
        <v>167</v>
      </c>
      <c r="P186" s="27">
        <v>73755.8</v>
      </c>
    </row>
    <row r="187" spans="1:16" ht="15.75" customHeight="1" x14ac:dyDescent="0.2">
      <c r="A187" t="s">
        <v>505</v>
      </c>
      <c r="B187" t="s">
        <v>219</v>
      </c>
      <c r="C187" s="18">
        <v>45346</v>
      </c>
      <c r="D187" t="s">
        <v>99</v>
      </c>
      <c r="E187">
        <v>3000000</v>
      </c>
      <c r="F187" s="18">
        <v>45352</v>
      </c>
      <c r="G187" s="18">
        <v>45425</v>
      </c>
      <c r="H187">
        <v>2024</v>
      </c>
      <c r="I187" t="s">
        <v>268</v>
      </c>
      <c r="J187" s="27">
        <v>158968.01</v>
      </c>
      <c r="K187" s="27">
        <v>99178.74</v>
      </c>
      <c r="L187" s="27">
        <v>258146.75</v>
      </c>
      <c r="M187" t="s">
        <v>298</v>
      </c>
      <c r="O187" t="s">
        <v>167</v>
      </c>
      <c r="P187" s="27">
        <v>258146.75</v>
      </c>
    </row>
    <row r="188" spans="1:16" ht="15.75" customHeight="1" x14ac:dyDescent="0.2">
      <c r="A188" t="s">
        <v>506</v>
      </c>
      <c r="B188" t="s">
        <v>219</v>
      </c>
      <c r="C188" s="18">
        <v>44593</v>
      </c>
      <c r="D188" t="s">
        <v>98</v>
      </c>
      <c r="E188">
        <v>2000000</v>
      </c>
      <c r="F188" s="18">
        <v>44895</v>
      </c>
      <c r="G188" s="18">
        <v>45427</v>
      </c>
      <c r="H188">
        <v>2022</v>
      </c>
      <c r="I188" t="s">
        <v>268</v>
      </c>
      <c r="J188" s="27">
        <v>72040.740000000005</v>
      </c>
      <c r="K188" s="27">
        <v>10152.67</v>
      </c>
      <c r="L188" s="27">
        <v>82193.41</v>
      </c>
      <c r="M188" t="s">
        <v>311</v>
      </c>
      <c r="O188" t="s">
        <v>167</v>
      </c>
      <c r="P188" s="27">
        <v>82193.41</v>
      </c>
    </row>
    <row r="189" spans="1:16" ht="15.75" customHeight="1" x14ac:dyDescent="0.2">
      <c r="A189" t="s">
        <v>507</v>
      </c>
      <c r="B189" t="s">
        <v>219</v>
      </c>
      <c r="C189" s="18">
        <v>45245</v>
      </c>
      <c r="D189" t="s">
        <v>100</v>
      </c>
      <c r="E189">
        <v>4000000</v>
      </c>
      <c r="F189" s="18">
        <v>45338</v>
      </c>
      <c r="G189" s="18">
        <v>45431</v>
      </c>
      <c r="H189">
        <v>2024</v>
      </c>
      <c r="I189" t="s">
        <v>268</v>
      </c>
      <c r="J189" s="27">
        <v>57529.78</v>
      </c>
      <c r="K189" s="27">
        <v>19537.86</v>
      </c>
      <c r="L189" s="27">
        <v>77067.64</v>
      </c>
      <c r="M189" t="s">
        <v>374</v>
      </c>
      <c r="O189" t="s">
        <v>167</v>
      </c>
      <c r="P189" s="27">
        <v>77067.64</v>
      </c>
    </row>
    <row r="190" spans="1:16" ht="15.75" customHeight="1" x14ac:dyDescent="0.2">
      <c r="A190" t="s">
        <v>508</v>
      </c>
      <c r="B190" t="s">
        <v>163</v>
      </c>
      <c r="C190" s="18">
        <v>45129</v>
      </c>
      <c r="D190" t="s">
        <v>99</v>
      </c>
      <c r="E190">
        <v>2000000</v>
      </c>
      <c r="F190" s="18">
        <v>45384</v>
      </c>
      <c r="G190" s="18">
        <v>45433</v>
      </c>
      <c r="H190">
        <v>2024</v>
      </c>
      <c r="I190" t="s">
        <v>268</v>
      </c>
      <c r="J190" s="27">
        <v>62409.4</v>
      </c>
      <c r="K190" s="27">
        <v>0</v>
      </c>
      <c r="L190" s="27">
        <v>62409.4</v>
      </c>
      <c r="M190" t="s">
        <v>436</v>
      </c>
      <c r="O190" t="s">
        <v>167</v>
      </c>
      <c r="P190" s="27">
        <v>62409.4</v>
      </c>
    </row>
    <row r="191" spans="1:16" ht="15.75" customHeight="1" x14ac:dyDescent="0.2">
      <c r="A191" t="s">
        <v>509</v>
      </c>
      <c r="B191" t="s">
        <v>219</v>
      </c>
      <c r="C191" s="18">
        <v>44915</v>
      </c>
      <c r="D191" t="s">
        <v>101</v>
      </c>
      <c r="E191">
        <v>2000000</v>
      </c>
      <c r="F191" s="18">
        <v>45246</v>
      </c>
      <c r="G191" s="18">
        <v>45434</v>
      </c>
      <c r="H191">
        <v>2023</v>
      </c>
      <c r="I191" t="s">
        <v>268</v>
      </c>
      <c r="J191" s="27">
        <v>50219.839999999997</v>
      </c>
      <c r="K191" s="27">
        <v>10085.030000000001</v>
      </c>
      <c r="L191" s="27">
        <v>60304.87</v>
      </c>
      <c r="M191" t="s">
        <v>462</v>
      </c>
      <c r="O191" t="s">
        <v>167</v>
      </c>
      <c r="P191" s="27">
        <v>60304.87</v>
      </c>
    </row>
    <row r="192" spans="1:16" ht="15.75" customHeight="1" x14ac:dyDescent="0.2">
      <c r="A192" t="s">
        <v>510</v>
      </c>
      <c r="B192" t="s">
        <v>163</v>
      </c>
      <c r="C192" s="18">
        <v>45317</v>
      </c>
      <c r="D192" t="s">
        <v>101</v>
      </c>
      <c r="E192">
        <v>2000000</v>
      </c>
      <c r="F192" s="18">
        <v>45391</v>
      </c>
      <c r="G192" s="18">
        <v>45445</v>
      </c>
      <c r="H192">
        <v>2024</v>
      </c>
      <c r="I192" t="s">
        <v>268</v>
      </c>
      <c r="J192" s="27">
        <v>1262510.02</v>
      </c>
      <c r="K192" s="27">
        <v>0</v>
      </c>
      <c r="L192" s="27">
        <v>1262510.02</v>
      </c>
      <c r="M192" t="s">
        <v>308</v>
      </c>
      <c r="O192" t="s">
        <v>167</v>
      </c>
      <c r="P192" s="27">
        <v>1262510.02</v>
      </c>
    </row>
    <row r="193" spans="1:16" ht="15.75" customHeight="1" x14ac:dyDescent="0.2">
      <c r="A193" t="s">
        <v>511</v>
      </c>
      <c r="B193" t="s">
        <v>219</v>
      </c>
      <c r="C193" s="18">
        <v>45031</v>
      </c>
      <c r="D193" t="s">
        <v>100</v>
      </c>
      <c r="E193">
        <v>1500000</v>
      </c>
      <c r="F193" s="18">
        <v>45046</v>
      </c>
      <c r="G193" s="18">
        <v>45451</v>
      </c>
      <c r="H193">
        <v>2023</v>
      </c>
      <c r="I193" t="s">
        <v>268</v>
      </c>
      <c r="J193" s="27">
        <v>0</v>
      </c>
      <c r="K193" s="27">
        <v>311770.52</v>
      </c>
      <c r="L193" s="27">
        <v>311770.52</v>
      </c>
      <c r="M193" t="s">
        <v>313</v>
      </c>
      <c r="O193" t="s">
        <v>167</v>
      </c>
      <c r="P193" s="27">
        <v>311770.52</v>
      </c>
    </row>
    <row r="194" spans="1:16" ht="15.75" customHeight="1" x14ac:dyDescent="0.2">
      <c r="A194" t="s">
        <v>512</v>
      </c>
      <c r="B194" t="s">
        <v>163</v>
      </c>
      <c r="C194" s="18">
        <v>45150</v>
      </c>
      <c r="D194" t="s">
        <v>101</v>
      </c>
      <c r="E194">
        <v>4000000</v>
      </c>
      <c r="F194" s="18">
        <v>45367</v>
      </c>
      <c r="G194" s="18">
        <v>45453</v>
      </c>
      <c r="H194">
        <v>2024</v>
      </c>
      <c r="I194" t="s">
        <v>268</v>
      </c>
      <c r="J194" s="27">
        <v>916296.78</v>
      </c>
      <c r="K194" s="27">
        <v>0</v>
      </c>
      <c r="L194" s="27">
        <v>916296.78</v>
      </c>
      <c r="M194" t="s">
        <v>481</v>
      </c>
      <c r="O194" t="s">
        <v>167</v>
      </c>
      <c r="P194" s="27">
        <v>916296.78</v>
      </c>
    </row>
    <row r="195" spans="1:16" ht="15.75" customHeight="1" x14ac:dyDescent="0.2">
      <c r="A195" t="s">
        <v>513</v>
      </c>
      <c r="B195" t="s">
        <v>219</v>
      </c>
      <c r="C195" s="18">
        <v>45144</v>
      </c>
      <c r="D195" t="s">
        <v>98</v>
      </c>
      <c r="E195">
        <v>5000000</v>
      </c>
      <c r="F195" s="18">
        <v>45242</v>
      </c>
      <c r="G195" s="18">
        <v>45453</v>
      </c>
      <c r="H195">
        <v>2023</v>
      </c>
      <c r="I195" t="s">
        <v>268</v>
      </c>
      <c r="J195" s="27">
        <v>158432.79</v>
      </c>
      <c r="K195" s="27">
        <v>24004.37</v>
      </c>
      <c r="L195" s="27">
        <v>182437.16</v>
      </c>
      <c r="M195" t="s">
        <v>318</v>
      </c>
      <c r="O195" t="s">
        <v>170</v>
      </c>
      <c r="P195" s="27">
        <v>0</v>
      </c>
    </row>
    <row r="196" spans="1:16" ht="15.75" customHeight="1" x14ac:dyDescent="0.2">
      <c r="A196" t="s">
        <v>514</v>
      </c>
      <c r="B196" t="s">
        <v>163</v>
      </c>
      <c r="C196" s="18">
        <v>44837</v>
      </c>
      <c r="D196" t="s">
        <v>102</v>
      </c>
      <c r="E196">
        <v>3000000</v>
      </c>
      <c r="F196" s="18">
        <v>45176</v>
      </c>
      <c r="G196" s="18">
        <v>45454</v>
      </c>
      <c r="H196">
        <v>2023</v>
      </c>
      <c r="I196" t="s">
        <v>268</v>
      </c>
      <c r="J196" s="27">
        <v>175232.5</v>
      </c>
      <c r="K196" s="27">
        <v>0</v>
      </c>
      <c r="L196" s="27">
        <v>175232.5</v>
      </c>
      <c r="M196" t="s">
        <v>318</v>
      </c>
      <c r="O196" t="s">
        <v>167</v>
      </c>
      <c r="P196" s="27">
        <v>175232.5</v>
      </c>
    </row>
    <row r="197" spans="1:16" ht="15.75" customHeight="1" x14ac:dyDescent="0.2">
      <c r="A197" t="s">
        <v>515</v>
      </c>
      <c r="B197" t="s">
        <v>219</v>
      </c>
      <c r="C197" s="18">
        <v>44965</v>
      </c>
      <c r="D197" t="s">
        <v>98</v>
      </c>
      <c r="E197">
        <v>10000000</v>
      </c>
      <c r="F197" s="18">
        <v>45001</v>
      </c>
      <c r="G197" s="18">
        <v>45456</v>
      </c>
      <c r="H197">
        <v>2023</v>
      </c>
      <c r="I197" t="s">
        <v>268</v>
      </c>
      <c r="J197" s="27">
        <v>677558.83</v>
      </c>
      <c r="K197" s="27">
        <v>63162.720000000001</v>
      </c>
      <c r="L197" s="27">
        <v>740721.55</v>
      </c>
      <c r="M197" t="s">
        <v>442</v>
      </c>
      <c r="O197" t="s">
        <v>167</v>
      </c>
      <c r="P197" s="27">
        <v>740721.55</v>
      </c>
    </row>
    <row r="198" spans="1:16" ht="15.75" customHeight="1" x14ac:dyDescent="0.2">
      <c r="A198" t="s">
        <v>516</v>
      </c>
      <c r="B198" t="s">
        <v>219</v>
      </c>
      <c r="C198" s="18">
        <v>43971</v>
      </c>
      <c r="D198" t="s">
        <v>99</v>
      </c>
      <c r="E198">
        <v>3000000</v>
      </c>
      <c r="F198" s="18">
        <v>44254</v>
      </c>
      <c r="G198" s="18">
        <v>45467</v>
      </c>
      <c r="H198">
        <v>2021</v>
      </c>
      <c r="I198" t="s">
        <v>268</v>
      </c>
      <c r="J198" s="27">
        <v>0</v>
      </c>
      <c r="K198" s="27">
        <v>90131.22</v>
      </c>
      <c r="L198" s="27">
        <v>90131.22</v>
      </c>
      <c r="M198" t="s">
        <v>381</v>
      </c>
      <c r="O198" t="s">
        <v>167</v>
      </c>
      <c r="P198" s="27">
        <v>90131.22</v>
      </c>
    </row>
    <row r="199" spans="1:16" ht="15.75" customHeight="1" x14ac:dyDescent="0.2">
      <c r="A199" t="s">
        <v>517</v>
      </c>
      <c r="B199" t="s">
        <v>219</v>
      </c>
      <c r="C199" s="18">
        <v>45227</v>
      </c>
      <c r="D199" t="s">
        <v>101</v>
      </c>
      <c r="E199">
        <v>3000000</v>
      </c>
      <c r="F199" s="18">
        <v>45440</v>
      </c>
      <c r="G199" s="18">
        <v>45496</v>
      </c>
      <c r="H199">
        <v>2024</v>
      </c>
      <c r="I199" t="s">
        <v>268</v>
      </c>
      <c r="J199" s="27">
        <v>20414.27</v>
      </c>
      <c r="K199" s="27">
        <v>87605.49</v>
      </c>
      <c r="L199" s="27">
        <v>108019.76</v>
      </c>
      <c r="M199" t="s">
        <v>438</v>
      </c>
      <c r="O199" t="s">
        <v>167</v>
      </c>
      <c r="P199" s="27">
        <v>108019.76</v>
      </c>
    </row>
    <row r="200" spans="1:16" ht="15.75" customHeight="1" x14ac:dyDescent="0.2">
      <c r="A200" t="s">
        <v>518</v>
      </c>
      <c r="B200" t="s">
        <v>219</v>
      </c>
      <c r="C200" s="18">
        <v>45157</v>
      </c>
      <c r="D200" t="s">
        <v>100</v>
      </c>
      <c r="E200">
        <v>3500000</v>
      </c>
      <c r="F200" s="18">
        <v>45402</v>
      </c>
      <c r="G200" s="18">
        <v>45499</v>
      </c>
      <c r="H200">
        <v>2024</v>
      </c>
      <c r="I200" t="s">
        <v>268</v>
      </c>
      <c r="J200" s="27">
        <v>502804.12</v>
      </c>
      <c r="K200" s="27">
        <v>111598.06</v>
      </c>
      <c r="L200" s="27">
        <v>614402.18000000005</v>
      </c>
      <c r="M200" t="s">
        <v>285</v>
      </c>
      <c r="O200" t="s">
        <v>167</v>
      </c>
      <c r="P200" s="27">
        <v>614402.18000000005</v>
      </c>
    </row>
    <row r="201" spans="1:16" ht="15.75" customHeight="1" x14ac:dyDescent="0.2">
      <c r="A201" t="s">
        <v>519</v>
      </c>
      <c r="B201" t="s">
        <v>219</v>
      </c>
      <c r="C201" s="18">
        <v>44722</v>
      </c>
      <c r="D201" t="s">
        <v>101</v>
      </c>
      <c r="E201">
        <v>2000000</v>
      </c>
      <c r="F201" s="18">
        <v>44734</v>
      </c>
      <c r="G201" s="18">
        <v>45500</v>
      </c>
      <c r="H201">
        <v>2022</v>
      </c>
      <c r="I201" t="s">
        <v>268</v>
      </c>
      <c r="J201" s="27">
        <v>275761.8</v>
      </c>
      <c r="K201" s="27">
        <v>113211.72</v>
      </c>
      <c r="L201" s="27">
        <v>388973.52</v>
      </c>
      <c r="M201" t="s">
        <v>389</v>
      </c>
      <c r="O201" t="s">
        <v>167</v>
      </c>
      <c r="P201" s="27">
        <v>388973.52</v>
      </c>
    </row>
    <row r="202" spans="1:16" ht="15.75" customHeight="1" x14ac:dyDescent="0.2">
      <c r="A202" t="s">
        <v>520</v>
      </c>
      <c r="B202" t="s">
        <v>219</v>
      </c>
      <c r="C202" s="18">
        <v>44874</v>
      </c>
      <c r="D202" t="s">
        <v>98</v>
      </c>
      <c r="E202">
        <v>10000000</v>
      </c>
      <c r="F202" s="18">
        <v>45118</v>
      </c>
      <c r="G202" s="18">
        <v>45500</v>
      </c>
      <c r="H202">
        <v>2023</v>
      </c>
      <c r="I202" t="s">
        <v>268</v>
      </c>
      <c r="J202" s="27">
        <v>392066.14</v>
      </c>
      <c r="K202" s="27">
        <v>208594.92</v>
      </c>
      <c r="L202" s="27">
        <v>600661.06000000006</v>
      </c>
      <c r="M202" t="s">
        <v>442</v>
      </c>
      <c r="O202" t="s">
        <v>167</v>
      </c>
      <c r="P202" s="27">
        <v>600661.06000000006</v>
      </c>
    </row>
    <row r="203" spans="1:16" ht="15.75" customHeight="1" x14ac:dyDescent="0.2">
      <c r="A203" t="s">
        <v>521</v>
      </c>
      <c r="B203" t="s">
        <v>219</v>
      </c>
      <c r="C203" s="18">
        <v>45282</v>
      </c>
      <c r="D203" t="s">
        <v>99</v>
      </c>
      <c r="E203">
        <v>1000000</v>
      </c>
      <c r="F203" s="18">
        <v>45323</v>
      </c>
      <c r="G203" s="18">
        <v>45503</v>
      </c>
      <c r="H203">
        <v>2024</v>
      </c>
      <c r="I203" t="s">
        <v>268</v>
      </c>
      <c r="J203" s="27">
        <v>181963.17</v>
      </c>
      <c r="K203" s="27">
        <v>100028.31</v>
      </c>
      <c r="L203" s="27">
        <v>281991.48</v>
      </c>
      <c r="M203" t="s">
        <v>331</v>
      </c>
      <c r="O203" t="s">
        <v>167</v>
      </c>
      <c r="P203" s="27">
        <v>281991.48</v>
      </c>
    </row>
    <row r="204" spans="1:16" ht="15.75" customHeight="1" x14ac:dyDescent="0.2">
      <c r="A204" t="s">
        <v>522</v>
      </c>
      <c r="B204" t="s">
        <v>219</v>
      </c>
      <c r="C204" s="18">
        <v>45298</v>
      </c>
      <c r="D204" t="s">
        <v>101</v>
      </c>
      <c r="E204">
        <v>1000000</v>
      </c>
      <c r="F204" s="18">
        <v>45503</v>
      </c>
      <c r="G204" s="18">
        <v>45532</v>
      </c>
      <c r="H204">
        <v>2024</v>
      </c>
      <c r="I204" t="s">
        <v>268</v>
      </c>
      <c r="J204" s="27">
        <v>73788.67</v>
      </c>
      <c r="K204" s="27">
        <v>25952.03</v>
      </c>
      <c r="L204" s="27">
        <v>99740.7</v>
      </c>
      <c r="M204" t="s">
        <v>381</v>
      </c>
      <c r="O204" t="s">
        <v>167</v>
      </c>
      <c r="P204" s="27">
        <v>99740.7</v>
      </c>
    </row>
    <row r="205" spans="1:16" ht="15.75" customHeight="1" x14ac:dyDescent="0.2">
      <c r="A205" t="s">
        <v>523</v>
      </c>
      <c r="B205" t="s">
        <v>219</v>
      </c>
      <c r="C205" s="18">
        <v>45034</v>
      </c>
      <c r="D205" t="s">
        <v>99</v>
      </c>
      <c r="E205">
        <v>1000000</v>
      </c>
      <c r="F205" s="18">
        <v>45124</v>
      </c>
      <c r="G205" s="18">
        <v>45545</v>
      </c>
      <c r="H205">
        <v>2023</v>
      </c>
      <c r="I205" t="s">
        <v>268</v>
      </c>
      <c r="J205" s="27">
        <v>0</v>
      </c>
      <c r="K205" s="27">
        <v>59277.98</v>
      </c>
      <c r="L205" s="27">
        <v>59277.98</v>
      </c>
      <c r="M205" t="s">
        <v>429</v>
      </c>
      <c r="O205" t="s">
        <v>167</v>
      </c>
      <c r="P205" s="27">
        <v>59277.98</v>
      </c>
    </row>
    <row r="206" spans="1:16" ht="15.75" customHeight="1" x14ac:dyDescent="0.2">
      <c r="A206" t="s">
        <v>524</v>
      </c>
      <c r="B206" t="s">
        <v>219</v>
      </c>
      <c r="C206" s="18">
        <v>45132</v>
      </c>
      <c r="D206" t="s">
        <v>99</v>
      </c>
      <c r="E206">
        <v>3500000</v>
      </c>
      <c r="F206" s="18">
        <v>45150</v>
      </c>
      <c r="G206" s="18">
        <v>45551</v>
      </c>
      <c r="H206">
        <v>2023</v>
      </c>
      <c r="I206" t="s">
        <v>268</v>
      </c>
      <c r="J206" s="27">
        <v>177237.89</v>
      </c>
      <c r="K206" s="27">
        <v>154872.54</v>
      </c>
      <c r="L206" s="27">
        <v>332110.43</v>
      </c>
      <c r="M206" t="s">
        <v>327</v>
      </c>
      <c r="O206" t="s">
        <v>167</v>
      </c>
      <c r="P206" s="27">
        <v>332110.43</v>
      </c>
    </row>
    <row r="207" spans="1:16" ht="15.75" customHeight="1" x14ac:dyDescent="0.2">
      <c r="A207" t="s">
        <v>525</v>
      </c>
      <c r="B207" t="s">
        <v>219</v>
      </c>
      <c r="C207" s="18">
        <v>45459</v>
      </c>
      <c r="D207" t="s">
        <v>100</v>
      </c>
      <c r="E207">
        <v>1000000</v>
      </c>
      <c r="F207" s="18">
        <v>45484</v>
      </c>
      <c r="G207" s="18">
        <v>45553</v>
      </c>
      <c r="H207">
        <v>2024</v>
      </c>
      <c r="I207" t="s">
        <v>268</v>
      </c>
      <c r="J207" s="27">
        <v>0</v>
      </c>
      <c r="K207" s="27">
        <v>84206.8</v>
      </c>
      <c r="L207" s="27">
        <v>84206.8</v>
      </c>
      <c r="M207" t="s">
        <v>351</v>
      </c>
      <c r="O207" t="s">
        <v>167</v>
      </c>
      <c r="P207" s="27">
        <v>84206.8</v>
      </c>
    </row>
    <row r="208" spans="1:16" ht="15.75" customHeight="1" x14ac:dyDescent="0.2">
      <c r="A208" t="s">
        <v>526</v>
      </c>
      <c r="B208" t="s">
        <v>219</v>
      </c>
      <c r="C208" s="18">
        <v>45202</v>
      </c>
      <c r="D208" t="s">
        <v>100</v>
      </c>
      <c r="E208">
        <v>5000000</v>
      </c>
      <c r="F208" s="18">
        <v>45487</v>
      </c>
      <c r="G208" s="18">
        <v>45559</v>
      </c>
      <c r="H208">
        <v>2024</v>
      </c>
      <c r="I208" t="s">
        <v>268</v>
      </c>
      <c r="J208" s="27">
        <v>218949.13</v>
      </c>
      <c r="K208" s="27">
        <v>396113.01</v>
      </c>
      <c r="L208" s="27">
        <v>615062.14</v>
      </c>
      <c r="M208" t="s">
        <v>481</v>
      </c>
      <c r="O208" t="s">
        <v>167</v>
      </c>
      <c r="P208" s="27">
        <v>615062.14</v>
      </c>
    </row>
    <row r="209" spans="1:16" ht="15.75" customHeight="1" x14ac:dyDescent="0.2">
      <c r="A209" t="s">
        <v>527</v>
      </c>
      <c r="B209" t="s">
        <v>219</v>
      </c>
      <c r="C209" s="18">
        <v>44524</v>
      </c>
      <c r="D209" t="s">
        <v>102</v>
      </c>
      <c r="E209">
        <v>5000000</v>
      </c>
      <c r="F209" s="18">
        <v>44798</v>
      </c>
      <c r="G209" s="18">
        <v>45565</v>
      </c>
      <c r="H209">
        <v>2022</v>
      </c>
      <c r="I209" t="s">
        <v>268</v>
      </c>
      <c r="J209" s="27">
        <v>0</v>
      </c>
      <c r="K209" s="27">
        <v>123126.54</v>
      </c>
      <c r="L209" s="27">
        <v>123126.54</v>
      </c>
      <c r="M209" t="s">
        <v>336</v>
      </c>
      <c r="O209" t="s">
        <v>167</v>
      </c>
      <c r="P209" s="27">
        <v>123126.54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FE42-EFDA-49F8-9EFF-76B12AF4F393}">
  <sheetPr>
    <outlinePr summaryBelow="0" summaryRight="0"/>
  </sheetPr>
  <dimension ref="A1:P80"/>
  <sheetViews>
    <sheetView topLeftCell="A53" workbookViewId="0">
      <selection activeCell="P74" sqref="P74"/>
    </sheetView>
  </sheetViews>
  <sheetFormatPr defaultColWidth="12.5703125" defaultRowHeight="15.75" customHeight="1" x14ac:dyDescent="0.2"/>
  <cols>
    <col min="3" max="3" width="12.5703125" style="18"/>
    <col min="6" max="7" width="12.5703125" style="18"/>
    <col min="10" max="10" width="13.5703125" style="27" bestFit="1" customWidth="1"/>
    <col min="11" max="11" width="16.140625" style="27" bestFit="1" customWidth="1"/>
    <col min="12" max="12" width="18.5703125" style="27" bestFit="1" customWidth="1"/>
    <col min="16" max="16" width="18.28515625" style="27" customWidth="1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2025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45689</v>
      </c>
    </row>
    <row r="5" spans="1:16" ht="12.75" x14ac:dyDescent="0.2">
      <c r="A5" s="16" t="s">
        <v>112</v>
      </c>
    </row>
    <row r="7" spans="1:16" ht="12.75" x14ac:dyDescent="0.2">
      <c r="A7" s="1" t="str">
        <f>'Premium Information'!A7</f>
        <v>Data as of:</v>
      </c>
      <c r="B7" s="12">
        <f>'Premium Information'!B7</f>
        <v>45565</v>
      </c>
    </row>
    <row r="8" spans="1:16" ht="12.75" x14ac:dyDescent="0.2">
      <c r="A8" s="1" t="str">
        <f>'Premium Information'!A8</f>
        <v>Currency:</v>
      </c>
      <c r="B8" t="str">
        <f>'Premium Information'!B8</f>
        <v>USD</v>
      </c>
    </row>
    <row r="9" spans="1:16" ht="12.75" x14ac:dyDescent="0.2">
      <c r="A9" s="1"/>
    </row>
    <row r="10" spans="1:16" ht="15.75" customHeight="1" x14ac:dyDescent="0.2">
      <c r="A10" s="16" t="s">
        <v>11814</v>
      </c>
    </row>
    <row r="11" spans="1:16" ht="12.75" x14ac:dyDescent="0.2"/>
    <row r="12" spans="1:16" ht="12.75" x14ac:dyDescent="0.2">
      <c r="A12" s="1" t="s">
        <v>117</v>
      </c>
      <c r="B12" s="1" t="s">
        <v>118</v>
      </c>
      <c r="C12" s="18" t="s">
        <v>119</v>
      </c>
      <c r="D12" s="16" t="s">
        <v>131</v>
      </c>
      <c r="E12" s="1" t="s">
        <v>121</v>
      </c>
      <c r="F12" s="18" t="s">
        <v>122</v>
      </c>
      <c r="G12" s="18" t="s">
        <v>123</v>
      </c>
      <c r="H12" s="1" t="s">
        <v>124</v>
      </c>
      <c r="I12" s="16" t="s">
        <v>125</v>
      </c>
      <c r="J12" s="32" t="s">
        <v>126</v>
      </c>
      <c r="K12" s="32" t="s">
        <v>127</v>
      </c>
      <c r="L12" s="32" t="s">
        <v>128</v>
      </c>
      <c r="M12" s="16" t="s">
        <v>129</v>
      </c>
      <c r="N12" s="16" t="s">
        <v>130</v>
      </c>
      <c r="O12" s="16" t="s">
        <v>109</v>
      </c>
      <c r="P12" s="33" t="s">
        <v>93</v>
      </c>
    </row>
    <row r="13" spans="1:16" ht="15.75" customHeight="1" x14ac:dyDescent="0.2">
      <c r="A13" t="s">
        <v>528</v>
      </c>
      <c r="B13" t="s">
        <v>163</v>
      </c>
      <c r="C13" s="18">
        <v>43883</v>
      </c>
      <c r="D13" t="s">
        <v>100</v>
      </c>
      <c r="E13">
        <v>10000000</v>
      </c>
      <c r="F13" s="18">
        <v>43918</v>
      </c>
      <c r="G13" s="18">
        <v>43968</v>
      </c>
      <c r="H13">
        <v>2020</v>
      </c>
      <c r="I13" t="s">
        <v>164</v>
      </c>
      <c r="J13" s="27">
        <v>1606934.03</v>
      </c>
      <c r="K13" s="27">
        <v>0</v>
      </c>
      <c r="L13" s="27">
        <v>1606934.03</v>
      </c>
      <c r="M13" t="s">
        <v>529</v>
      </c>
      <c r="N13" t="s">
        <v>166</v>
      </c>
      <c r="O13" t="s">
        <v>167</v>
      </c>
      <c r="P13" s="27">
        <v>1606934.03</v>
      </c>
    </row>
    <row r="14" spans="1:16" ht="15.75" customHeight="1" x14ac:dyDescent="0.2">
      <c r="A14" t="s">
        <v>530</v>
      </c>
      <c r="B14" t="s">
        <v>163</v>
      </c>
      <c r="C14" s="18">
        <v>43637</v>
      </c>
      <c r="D14" t="s">
        <v>101</v>
      </c>
      <c r="E14">
        <v>3000000</v>
      </c>
      <c r="F14" s="18">
        <v>43875</v>
      </c>
      <c r="G14" s="18">
        <v>43988</v>
      </c>
      <c r="H14">
        <v>2020</v>
      </c>
      <c r="I14" t="s">
        <v>164</v>
      </c>
      <c r="J14" s="27">
        <v>810563.8</v>
      </c>
      <c r="K14" s="27">
        <v>0</v>
      </c>
      <c r="L14" s="27">
        <v>810563.8</v>
      </c>
      <c r="M14" t="s">
        <v>531</v>
      </c>
      <c r="N14" t="s">
        <v>179</v>
      </c>
      <c r="O14" t="s">
        <v>167</v>
      </c>
      <c r="P14" s="27">
        <v>810563.8</v>
      </c>
    </row>
    <row r="15" spans="1:16" ht="15.75" customHeight="1" x14ac:dyDescent="0.2">
      <c r="A15" t="s">
        <v>532</v>
      </c>
      <c r="B15" t="s">
        <v>163</v>
      </c>
      <c r="C15" s="18">
        <v>43684</v>
      </c>
      <c r="D15" t="s">
        <v>100</v>
      </c>
      <c r="E15">
        <v>10000000</v>
      </c>
      <c r="F15" s="18">
        <v>43890</v>
      </c>
      <c r="G15" s="18">
        <v>44022</v>
      </c>
      <c r="H15">
        <v>2020</v>
      </c>
      <c r="I15" t="s">
        <v>164</v>
      </c>
      <c r="J15" s="27">
        <v>12845835.699999999</v>
      </c>
      <c r="K15" s="27">
        <v>0</v>
      </c>
      <c r="L15" s="27">
        <v>12845835.699999999</v>
      </c>
      <c r="M15" t="s">
        <v>531</v>
      </c>
      <c r="N15" t="s">
        <v>179</v>
      </c>
      <c r="O15" t="s">
        <v>170</v>
      </c>
      <c r="P15" s="27">
        <v>0</v>
      </c>
    </row>
    <row r="16" spans="1:16" ht="15.75" customHeight="1" x14ac:dyDescent="0.2">
      <c r="A16" t="s">
        <v>533</v>
      </c>
      <c r="B16" t="s">
        <v>163</v>
      </c>
      <c r="C16" s="18">
        <v>43823</v>
      </c>
      <c r="D16" t="s">
        <v>101</v>
      </c>
      <c r="E16">
        <v>10000000</v>
      </c>
      <c r="F16" s="18">
        <v>44012</v>
      </c>
      <c r="G16" s="18">
        <v>44047</v>
      </c>
      <c r="H16">
        <v>2020</v>
      </c>
      <c r="I16" t="s">
        <v>164</v>
      </c>
      <c r="J16" s="27">
        <v>21663310.789999999</v>
      </c>
      <c r="K16" s="27">
        <v>0</v>
      </c>
      <c r="L16" s="27">
        <v>21663310.789999999</v>
      </c>
      <c r="M16" t="s">
        <v>534</v>
      </c>
      <c r="N16" t="s">
        <v>190</v>
      </c>
      <c r="O16" t="s">
        <v>170</v>
      </c>
      <c r="P16" s="27">
        <v>0</v>
      </c>
    </row>
    <row r="17" spans="1:16" ht="15.75" customHeight="1" x14ac:dyDescent="0.2">
      <c r="A17" t="s">
        <v>535</v>
      </c>
      <c r="B17" t="s">
        <v>163</v>
      </c>
      <c r="C17" s="18">
        <v>43809</v>
      </c>
      <c r="D17" t="s">
        <v>98</v>
      </c>
      <c r="E17">
        <v>5000000</v>
      </c>
      <c r="F17" s="18">
        <v>43937</v>
      </c>
      <c r="G17" s="18">
        <v>44097</v>
      </c>
      <c r="H17">
        <v>2020</v>
      </c>
      <c r="I17" t="s">
        <v>164</v>
      </c>
      <c r="J17" s="27">
        <v>689281.3</v>
      </c>
      <c r="K17" s="27">
        <v>0</v>
      </c>
      <c r="L17" s="27">
        <v>689281.3</v>
      </c>
      <c r="M17" t="s">
        <v>536</v>
      </c>
      <c r="N17" t="s">
        <v>166</v>
      </c>
      <c r="O17" t="s">
        <v>167</v>
      </c>
      <c r="P17" s="27">
        <v>689281.3</v>
      </c>
    </row>
    <row r="18" spans="1:16" ht="15.75" customHeight="1" x14ac:dyDescent="0.2">
      <c r="A18" t="s">
        <v>537</v>
      </c>
      <c r="B18" t="s">
        <v>163</v>
      </c>
      <c r="C18" s="18">
        <v>43897</v>
      </c>
      <c r="D18" t="s">
        <v>101</v>
      </c>
      <c r="E18">
        <v>10000000</v>
      </c>
      <c r="F18" s="18">
        <v>44128</v>
      </c>
      <c r="G18" s="18">
        <v>44185</v>
      </c>
      <c r="H18">
        <v>2020</v>
      </c>
      <c r="I18" t="s">
        <v>164</v>
      </c>
      <c r="J18" s="27">
        <v>3232487.37</v>
      </c>
      <c r="K18" s="27">
        <v>0</v>
      </c>
      <c r="L18" s="27">
        <v>3232487.37</v>
      </c>
      <c r="M18" t="s">
        <v>538</v>
      </c>
      <c r="N18" t="s">
        <v>176</v>
      </c>
      <c r="O18" t="s">
        <v>170</v>
      </c>
      <c r="P18" s="27">
        <v>0</v>
      </c>
    </row>
    <row r="19" spans="1:16" ht="15.75" customHeight="1" x14ac:dyDescent="0.2">
      <c r="A19" t="s">
        <v>539</v>
      </c>
      <c r="B19" t="s">
        <v>163</v>
      </c>
      <c r="C19" s="18">
        <v>43995</v>
      </c>
      <c r="D19" t="s">
        <v>99</v>
      </c>
      <c r="E19">
        <v>4000000</v>
      </c>
      <c r="F19" s="18">
        <v>44211</v>
      </c>
      <c r="G19" s="18">
        <v>44268</v>
      </c>
      <c r="H19">
        <v>2021</v>
      </c>
      <c r="I19" t="s">
        <v>164</v>
      </c>
      <c r="J19" s="27">
        <v>2401172.02</v>
      </c>
      <c r="K19" s="27">
        <v>0</v>
      </c>
      <c r="L19" s="27">
        <v>2401172.02</v>
      </c>
      <c r="M19" t="s">
        <v>540</v>
      </c>
      <c r="N19" t="s">
        <v>176</v>
      </c>
      <c r="O19" t="s">
        <v>167</v>
      </c>
      <c r="P19" s="27">
        <v>2401172.02</v>
      </c>
    </row>
    <row r="20" spans="1:16" ht="15.75" customHeight="1" x14ac:dyDescent="0.2">
      <c r="A20" t="s">
        <v>541</v>
      </c>
      <c r="B20" t="s">
        <v>163</v>
      </c>
      <c r="C20" s="18">
        <v>43999</v>
      </c>
      <c r="D20" t="s">
        <v>101</v>
      </c>
      <c r="E20">
        <v>2500000</v>
      </c>
      <c r="F20" s="18">
        <v>44062</v>
      </c>
      <c r="G20" s="18">
        <v>44288</v>
      </c>
      <c r="H20">
        <v>2020</v>
      </c>
      <c r="I20" t="s">
        <v>164</v>
      </c>
      <c r="J20" s="27">
        <v>454035.99</v>
      </c>
      <c r="K20" s="27">
        <v>0</v>
      </c>
      <c r="L20" s="27">
        <v>454035.99</v>
      </c>
      <c r="M20" t="s">
        <v>531</v>
      </c>
      <c r="N20" t="s">
        <v>179</v>
      </c>
      <c r="O20" t="s">
        <v>167</v>
      </c>
      <c r="P20" s="27">
        <v>454035.99</v>
      </c>
    </row>
    <row r="21" spans="1:16" ht="15.75" customHeight="1" x14ac:dyDescent="0.2">
      <c r="A21" t="s">
        <v>542</v>
      </c>
      <c r="B21" t="s">
        <v>163</v>
      </c>
      <c r="C21" s="18">
        <v>43878</v>
      </c>
      <c r="D21" t="s">
        <v>101</v>
      </c>
      <c r="E21">
        <v>10000000</v>
      </c>
      <c r="F21" s="18">
        <v>44139</v>
      </c>
      <c r="G21" s="18">
        <v>44296</v>
      </c>
      <c r="H21">
        <v>2020</v>
      </c>
      <c r="I21" t="s">
        <v>164</v>
      </c>
      <c r="J21" s="27">
        <v>2645808.06</v>
      </c>
      <c r="K21" s="27">
        <v>0</v>
      </c>
      <c r="L21" s="27">
        <v>2645808.06</v>
      </c>
      <c r="M21" t="s">
        <v>529</v>
      </c>
      <c r="N21" t="s">
        <v>166</v>
      </c>
      <c r="O21" t="s">
        <v>167</v>
      </c>
      <c r="P21" s="27">
        <v>2645808.06</v>
      </c>
    </row>
    <row r="22" spans="1:16" ht="15.75" customHeight="1" x14ac:dyDescent="0.2">
      <c r="A22" t="s">
        <v>543</v>
      </c>
      <c r="B22" t="s">
        <v>163</v>
      </c>
      <c r="C22" s="18">
        <v>43939</v>
      </c>
      <c r="D22" t="s">
        <v>98</v>
      </c>
      <c r="E22">
        <v>10000000</v>
      </c>
      <c r="F22" s="18">
        <v>44264</v>
      </c>
      <c r="G22" s="18">
        <v>44330</v>
      </c>
      <c r="H22">
        <v>2021</v>
      </c>
      <c r="I22" t="s">
        <v>164</v>
      </c>
      <c r="J22" s="27">
        <v>1827761.2</v>
      </c>
      <c r="K22" s="27">
        <v>0</v>
      </c>
      <c r="L22" s="27">
        <v>1827761.2</v>
      </c>
      <c r="M22" t="s">
        <v>540</v>
      </c>
      <c r="N22" t="s">
        <v>176</v>
      </c>
      <c r="O22" t="s">
        <v>170</v>
      </c>
      <c r="P22" s="27">
        <v>0</v>
      </c>
    </row>
    <row r="23" spans="1:16" ht="15.75" customHeight="1" x14ac:dyDescent="0.2">
      <c r="A23" t="s">
        <v>544</v>
      </c>
      <c r="B23" t="s">
        <v>163</v>
      </c>
      <c r="C23" s="18">
        <v>43922</v>
      </c>
      <c r="D23" t="s">
        <v>100</v>
      </c>
      <c r="E23">
        <v>4500000</v>
      </c>
      <c r="F23" s="18">
        <v>44159</v>
      </c>
      <c r="G23" s="18">
        <v>44341</v>
      </c>
      <c r="H23">
        <v>2020</v>
      </c>
      <c r="I23" t="s">
        <v>164</v>
      </c>
      <c r="J23" s="27">
        <v>1687183.35</v>
      </c>
      <c r="K23" s="27">
        <v>0</v>
      </c>
      <c r="L23" s="27">
        <v>1687183.35</v>
      </c>
      <c r="M23" t="s">
        <v>534</v>
      </c>
      <c r="N23" t="s">
        <v>190</v>
      </c>
      <c r="O23" t="s">
        <v>167</v>
      </c>
      <c r="P23" s="27">
        <v>1687183.35</v>
      </c>
    </row>
    <row r="24" spans="1:16" ht="15.75" customHeight="1" x14ac:dyDescent="0.2">
      <c r="A24" t="s">
        <v>545</v>
      </c>
      <c r="B24" t="s">
        <v>163</v>
      </c>
      <c r="C24" s="18">
        <v>44239</v>
      </c>
      <c r="D24" t="s">
        <v>102</v>
      </c>
      <c r="E24">
        <v>3500000</v>
      </c>
      <c r="F24" s="18">
        <v>44297</v>
      </c>
      <c r="G24" s="18">
        <v>44352</v>
      </c>
      <c r="H24">
        <v>2021</v>
      </c>
      <c r="I24" t="s">
        <v>164</v>
      </c>
      <c r="J24" s="27">
        <v>280891.87</v>
      </c>
      <c r="K24" s="27">
        <v>0</v>
      </c>
      <c r="L24" s="27">
        <v>280891.87</v>
      </c>
      <c r="M24" t="s">
        <v>546</v>
      </c>
      <c r="N24" t="s">
        <v>176</v>
      </c>
      <c r="O24" t="s">
        <v>170</v>
      </c>
      <c r="P24" s="27">
        <v>0</v>
      </c>
    </row>
    <row r="25" spans="1:16" ht="15.75" customHeight="1" x14ac:dyDescent="0.2">
      <c r="A25" t="s">
        <v>547</v>
      </c>
      <c r="B25" t="s">
        <v>219</v>
      </c>
      <c r="C25" s="18">
        <v>44091</v>
      </c>
      <c r="D25" t="s">
        <v>98</v>
      </c>
      <c r="E25">
        <v>5000000</v>
      </c>
      <c r="F25" s="18">
        <v>44290</v>
      </c>
      <c r="G25" s="18">
        <v>44409</v>
      </c>
      <c r="H25">
        <v>2021</v>
      </c>
      <c r="I25" t="s">
        <v>164</v>
      </c>
      <c r="J25" s="27">
        <v>5031066.79</v>
      </c>
      <c r="K25" s="27">
        <v>503885.21999999898</v>
      </c>
      <c r="L25" s="27">
        <v>5534952.0099999998</v>
      </c>
      <c r="M25" t="s">
        <v>536</v>
      </c>
      <c r="N25" t="s">
        <v>166</v>
      </c>
      <c r="O25" t="s">
        <v>170</v>
      </c>
      <c r="P25" s="27">
        <v>0</v>
      </c>
    </row>
    <row r="26" spans="1:16" ht="15.75" customHeight="1" x14ac:dyDescent="0.2">
      <c r="A26" t="s">
        <v>548</v>
      </c>
      <c r="B26" t="s">
        <v>163</v>
      </c>
      <c r="C26" s="18">
        <v>44303</v>
      </c>
      <c r="D26" t="s">
        <v>98</v>
      </c>
      <c r="E26">
        <v>5000000</v>
      </c>
      <c r="F26" s="18">
        <v>44383</v>
      </c>
      <c r="G26" s="18">
        <v>44430</v>
      </c>
      <c r="H26">
        <v>2021</v>
      </c>
      <c r="I26" t="s">
        <v>164</v>
      </c>
      <c r="J26" s="27">
        <v>933714.68</v>
      </c>
      <c r="K26" s="27">
        <v>0</v>
      </c>
      <c r="L26" s="27">
        <v>933714.68</v>
      </c>
      <c r="M26" t="s">
        <v>546</v>
      </c>
      <c r="N26" t="s">
        <v>176</v>
      </c>
      <c r="O26" t="s">
        <v>167</v>
      </c>
      <c r="P26" s="27">
        <v>933714.68</v>
      </c>
    </row>
    <row r="27" spans="1:16" ht="15.75" customHeight="1" x14ac:dyDescent="0.2">
      <c r="A27" t="s">
        <v>549</v>
      </c>
      <c r="B27" t="s">
        <v>163</v>
      </c>
      <c r="C27" s="18">
        <v>43999</v>
      </c>
      <c r="D27" t="s">
        <v>101</v>
      </c>
      <c r="E27">
        <v>10000000</v>
      </c>
      <c r="F27" s="18">
        <v>44098</v>
      </c>
      <c r="G27" s="18">
        <v>44432</v>
      </c>
      <c r="H27">
        <v>2020</v>
      </c>
      <c r="I27" t="s">
        <v>164</v>
      </c>
      <c r="J27" s="27">
        <v>5614222.3499999996</v>
      </c>
      <c r="K27" s="27">
        <v>0</v>
      </c>
      <c r="L27" s="27">
        <v>5614222.3499999996</v>
      </c>
      <c r="M27" t="s">
        <v>531</v>
      </c>
      <c r="N27" t="s">
        <v>179</v>
      </c>
      <c r="O27" t="s">
        <v>167</v>
      </c>
      <c r="P27" s="27">
        <v>5614222.3499999996</v>
      </c>
    </row>
    <row r="28" spans="1:16" ht="15.75" customHeight="1" x14ac:dyDescent="0.2">
      <c r="A28" t="s">
        <v>550</v>
      </c>
      <c r="B28" t="s">
        <v>163</v>
      </c>
      <c r="C28" s="18">
        <v>44115</v>
      </c>
      <c r="D28" t="s">
        <v>101</v>
      </c>
      <c r="E28">
        <v>2000000</v>
      </c>
      <c r="F28" s="18">
        <v>44163</v>
      </c>
      <c r="G28" s="18">
        <v>44434</v>
      </c>
      <c r="H28">
        <v>2020</v>
      </c>
      <c r="I28" t="s">
        <v>164</v>
      </c>
      <c r="J28" s="27">
        <v>642380.19999999995</v>
      </c>
      <c r="K28" s="27">
        <v>0</v>
      </c>
      <c r="L28" s="27">
        <v>642380.19999999995</v>
      </c>
      <c r="M28" t="s">
        <v>551</v>
      </c>
      <c r="N28" t="s">
        <v>179</v>
      </c>
      <c r="O28" t="s">
        <v>167</v>
      </c>
      <c r="P28" s="27">
        <v>642380.19999999995</v>
      </c>
    </row>
    <row r="29" spans="1:16" ht="15.75" customHeight="1" x14ac:dyDescent="0.2">
      <c r="A29" t="s">
        <v>552</v>
      </c>
      <c r="B29" t="s">
        <v>163</v>
      </c>
      <c r="C29" s="18">
        <v>44049</v>
      </c>
      <c r="D29" t="s">
        <v>100</v>
      </c>
      <c r="E29">
        <v>2000000</v>
      </c>
      <c r="F29" s="18">
        <v>44397</v>
      </c>
      <c r="G29" s="18">
        <v>44473</v>
      </c>
      <c r="H29">
        <v>2021</v>
      </c>
      <c r="I29" t="s">
        <v>164</v>
      </c>
      <c r="J29" s="27">
        <v>669138.99</v>
      </c>
      <c r="K29" s="27">
        <v>0</v>
      </c>
      <c r="L29" s="27">
        <v>669138.99</v>
      </c>
      <c r="M29" t="s">
        <v>553</v>
      </c>
      <c r="N29" t="s">
        <v>173</v>
      </c>
      <c r="O29" t="s">
        <v>167</v>
      </c>
      <c r="P29" s="27">
        <v>669138.99</v>
      </c>
    </row>
    <row r="30" spans="1:16" ht="15.75" customHeight="1" x14ac:dyDescent="0.2">
      <c r="A30" t="s">
        <v>554</v>
      </c>
      <c r="B30" t="s">
        <v>163</v>
      </c>
      <c r="C30" s="18">
        <v>43995</v>
      </c>
      <c r="D30" t="s">
        <v>101</v>
      </c>
      <c r="E30">
        <v>5000000</v>
      </c>
      <c r="F30" s="18">
        <v>44330</v>
      </c>
      <c r="G30" s="18">
        <v>44482</v>
      </c>
      <c r="H30">
        <v>2021</v>
      </c>
      <c r="I30" t="s">
        <v>164</v>
      </c>
      <c r="J30" s="27">
        <v>654813.02</v>
      </c>
      <c r="K30" s="27">
        <v>0</v>
      </c>
      <c r="L30" s="27">
        <v>654813.02</v>
      </c>
      <c r="M30" t="s">
        <v>540</v>
      </c>
      <c r="N30" t="s">
        <v>176</v>
      </c>
      <c r="O30" t="s">
        <v>167</v>
      </c>
      <c r="P30" s="27">
        <v>654813.02</v>
      </c>
    </row>
    <row r="31" spans="1:16" ht="15.75" customHeight="1" x14ac:dyDescent="0.2">
      <c r="A31" t="s">
        <v>555</v>
      </c>
      <c r="B31" t="s">
        <v>163</v>
      </c>
      <c r="C31" s="18">
        <v>44483</v>
      </c>
      <c r="D31" t="s">
        <v>98</v>
      </c>
      <c r="E31">
        <v>4000000</v>
      </c>
      <c r="F31" s="18">
        <v>44513</v>
      </c>
      <c r="G31" s="18">
        <v>44557</v>
      </c>
      <c r="H31">
        <v>2021</v>
      </c>
      <c r="I31" t="s">
        <v>164</v>
      </c>
      <c r="J31" s="27">
        <v>868273.38</v>
      </c>
      <c r="K31" s="27">
        <v>0</v>
      </c>
      <c r="L31" s="27">
        <v>868273.38</v>
      </c>
      <c r="M31" t="s">
        <v>546</v>
      </c>
      <c r="N31" t="s">
        <v>176</v>
      </c>
      <c r="O31" t="s">
        <v>167</v>
      </c>
      <c r="P31" s="27">
        <v>868273.38</v>
      </c>
    </row>
    <row r="32" spans="1:16" ht="15.75" customHeight="1" x14ac:dyDescent="0.2">
      <c r="A32" t="s">
        <v>556</v>
      </c>
      <c r="B32" t="s">
        <v>163</v>
      </c>
      <c r="C32" s="18">
        <v>44206</v>
      </c>
      <c r="D32" t="s">
        <v>100</v>
      </c>
      <c r="E32">
        <v>1500000</v>
      </c>
      <c r="F32" s="18">
        <v>44402</v>
      </c>
      <c r="G32" s="18">
        <v>44559</v>
      </c>
      <c r="H32">
        <v>2021</v>
      </c>
      <c r="I32" t="s">
        <v>164</v>
      </c>
      <c r="J32" s="27">
        <v>697377.78</v>
      </c>
      <c r="K32" s="27">
        <v>0</v>
      </c>
      <c r="L32" s="27">
        <v>697377.78</v>
      </c>
      <c r="M32" t="s">
        <v>534</v>
      </c>
      <c r="N32" t="s">
        <v>190</v>
      </c>
      <c r="O32" t="s">
        <v>167</v>
      </c>
      <c r="P32" s="27">
        <v>697377.78</v>
      </c>
    </row>
    <row r="33" spans="1:16" ht="15.75" customHeight="1" x14ac:dyDescent="0.2">
      <c r="A33" t="s">
        <v>557</v>
      </c>
      <c r="B33" t="s">
        <v>163</v>
      </c>
      <c r="C33" s="18">
        <v>44506</v>
      </c>
      <c r="D33" t="s">
        <v>99</v>
      </c>
      <c r="E33">
        <v>10000000</v>
      </c>
      <c r="F33" s="18">
        <v>44538</v>
      </c>
      <c r="G33" s="18">
        <v>44633</v>
      </c>
      <c r="H33">
        <v>2021</v>
      </c>
      <c r="I33" t="s">
        <v>164</v>
      </c>
      <c r="J33" s="27">
        <v>687636.61</v>
      </c>
      <c r="K33" s="27">
        <v>0</v>
      </c>
      <c r="L33" s="27">
        <v>687636.61</v>
      </c>
      <c r="M33" t="s">
        <v>553</v>
      </c>
      <c r="N33" t="s">
        <v>173</v>
      </c>
      <c r="O33" t="s">
        <v>167</v>
      </c>
      <c r="P33" s="27">
        <v>687636.61</v>
      </c>
    </row>
    <row r="34" spans="1:16" ht="15.75" customHeight="1" x14ac:dyDescent="0.2">
      <c r="A34" t="s">
        <v>558</v>
      </c>
      <c r="B34" t="s">
        <v>163</v>
      </c>
      <c r="C34" s="18">
        <v>44330</v>
      </c>
      <c r="D34" t="s">
        <v>98</v>
      </c>
      <c r="E34">
        <v>3000000</v>
      </c>
      <c r="F34" s="18">
        <v>44626</v>
      </c>
      <c r="G34" s="18">
        <v>44655</v>
      </c>
      <c r="H34">
        <v>2022</v>
      </c>
      <c r="I34" t="s">
        <v>164</v>
      </c>
      <c r="J34" s="27">
        <v>1578938.17</v>
      </c>
      <c r="K34" s="27">
        <v>0</v>
      </c>
      <c r="L34" s="27">
        <v>1578938.17</v>
      </c>
      <c r="M34" t="s">
        <v>559</v>
      </c>
      <c r="N34" t="s">
        <v>166</v>
      </c>
      <c r="O34" t="s">
        <v>167</v>
      </c>
      <c r="P34" s="27">
        <v>1578938.17</v>
      </c>
    </row>
    <row r="35" spans="1:16" ht="15.75" customHeight="1" x14ac:dyDescent="0.2">
      <c r="A35" t="s">
        <v>560</v>
      </c>
      <c r="B35" t="s">
        <v>163</v>
      </c>
      <c r="C35" s="18">
        <v>44191</v>
      </c>
      <c r="D35" t="s">
        <v>100</v>
      </c>
      <c r="E35">
        <v>10000000</v>
      </c>
      <c r="F35" s="18">
        <v>44375</v>
      </c>
      <c r="G35" s="18">
        <v>44667</v>
      </c>
      <c r="H35">
        <v>2021</v>
      </c>
      <c r="I35" t="s">
        <v>164</v>
      </c>
      <c r="J35" s="27">
        <v>625927.56999999995</v>
      </c>
      <c r="K35" s="27">
        <v>0</v>
      </c>
      <c r="L35" s="27">
        <v>625927.56999999995</v>
      </c>
      <c r="M35" t="s">
        <v>534</v>
      </c>
      <c r="N35" t="s">
        <v>190</v>
      </c>
      <c r="O35" t="s">
        <v>167</v>
      </c>
      <c r="P35" s="27">
        <v>625927.56999999995</v>
      </c>
    </row>
    <row r="36" spans="1:16" ht="15.75" customHeight="1" x14ac:dyDescent="0.2">
      <c r="A36" t="s">
        <v>561</v>
      </c>
      <c r="B36" t="s">
        <v>163</v>
      </c>
      <c r="C36" s="18">
        <v>44574</v>
      </c>
      <c r="D36" t="s">
        <v>101</v>
      </c>
      <c r="E36">
        <v>4500000</v>
      </c>
      <c r="F36" s="18">
        <v>44619</v>
      </c>
      <c r="G36" s="18">
        <v>44687</v>
      </c>
      <c r="H36">
        <v>2022</v>
      </c>
      <c r="I36" t="s">
        <v>164</v>
      </c>
      <c r="J36" s="27">
        <v>552905.81000000006</v>
      </c>
      <c r="K36" s="27">
        <v>0</v>
      </c>
      <c r="L36" s="27">
        <v>552905.81000000006</v>
      </c>
      <c r="M36" t="s">
        <v>531</v>
      </c>
      <c r="N36" t="s">
        <v>179</v>
      </c>
      <c r="O36" t="s">
        <v>167</v>
      </c>
      <c r="P36" s="27">
        <v>552905.81000000006</v>
      </c>
    </row>
    <row r="37" spans="1:16" ht="15.75" customHeight="1" x14ac:dyDescent="0.2">
      <c r="A37" t="s">
        <v>562</v>
      </c>
      <c r="B37" t="s">
        <v>163</v>
      </c>
      <c r="C37" s="18">
        <v>44479</v>
      </c>
      <c r="D37" t="s">
        <v>98</v>
      </c>
      <c r="E37">
        <v>10000000</v>
      </c>
      <c r="F37" s="18">
        <v>44691</v>
      </c>
      <c r="G37" s="18">
        <v>44720</v>
      </c>
      <c r="H37">
        <v>2022</v>
      </c>
      <c r="I37" t="s">
        <v>164</v>
      </c>
      <c r="J37" s="27">
        <v>626503.57999999996</v>
      </c>
      <c r="K37" s="27">
        <v>0</v>
      </c>
      <c r="L37" s="27">
        <v>626503.57999999996</v>
      </c>
      <c r="M37" t="s">
        <v>529</v>
      </c>
      <c r="N37" t="s">
        <v>166</v>
      </c>
      <c r="O37" t="s">
        <v>167</v>
      </c>
      <c r="P37" s="27">
        <v>626503.57999999996</v>
      </c>
    </row>
    <row r="38" spans="1:16" ht="15.75" customHeight="1" x14ac:dyDescent="0.2">
      <c r="A38" t="s">
        <v>563</v>
      </c>
      <c r="B38" t="s">
        <v>163</v>
      </c>
      <c r="C38" s="18">
        <v>44630</v>
      </c>
      <c r="D38" t="s">
        <v>100</v>
      </c>
      <c r="E38">
        <v>4000000</v>
      </c>
      <c r="F38" s="18">
        <v>44740</v>
      </c>
      <c r="G38" s="18">
        <v>44810</v>
      </c>
      <c r="H38">
        <v>2022</v>
      </c>
      <c r="I38" t="s">
        <v>164</v>
      </c>
      <c r="J38" s="27">
        <v>642006.34</v>
      </c>
      <c r="K38" s="27">
        <v>0</v>
      </c>
      <c r="L38" s="27">
        <v>642006.34</v>
      </c>
      <c r="M38" t="s">
        <v>553</v>
      </c>
      <c r="N38" t="s">
        <v>173</v>
      </c>
      <c r="O38" t="s">
        <v>167</v>
      </c>
      <c r="P38" s="27">
        <v>642006.34</v>
      </c>
    </row>
    <row r="39" spans="1:16" ht="15.75" customHeight="1" x14ac:dyDescent="0.2">
      <c r="A39" t="s">
        <v>564</v>
      </c>
      <c r="B39" t="s">
        <v>163</v>
      </c>
      <c r="C39" s="18">
        <v>44276</v>
      </c>
      <c r="D39" t="s">
        <v>101</v>
      </c>
      <c r="E39">
        <v>10000000</v>
      </c>
      <c r="F39" s="18">
        <v>44560</v>
      </c>
      <c r="G39" s="18">
        <v>44822</v>
      </c>
      <c r="H39">
        <v>2021</v>
      </c>
      <c r="I39" t="s">
        <v>164</v>
      </c>
      <c r="J39" s="27">
        <v>2795193.11</v>
      </c>
      <c r="K39" s="27">
        <v>0</v>
      </c>
      <c r="L39" s="27">
        <v>2795193.11</v>
      </c>
      <c r="M39" t="s">
        <v>529</v>
      </c>
      <c r="N39" t="s">
        <v>166</v>
      </c>
      <c r="O39" t="s">
        <v>167</v>
      </c>
      <c r="P39" s="27">
        <v>2795193.11</v>
      </c>
    </row>
    <row r="40" spans="1:16" ht="15.75" customHeight="1" x14ac:dyDescent="0.2">
      <c r="A40" t="s">
        <v>565</v>
      </c>
      <c r="B40" t="s">
        <v>163</v>
      </c>
      <c r="C40" s="18">
        <v>44583</v>
      </c>
      <c r="D40" t="s">
        <v>101</v>
      </c>
      <c r="E40">
        <v>3500000</v>
      </c>
      <c r="F40" s="18">
        <v>44761</v>
      </c>
      <c r="G40" s="18">
        <v>44836</v>
      </c>
      <c r="H40">
        <v>2022</v>
      </c>
      <c r="I40" t="s">
        <v>164</v>
      </c>
      <c r="J40" s="27">
        <v>3539952.54</v>
      </c>
      <c r="K40" s="27">
        <v>0</v>
      </c>
      <c r="L40" s="27">
        <v>3539952.54</v>
      </c>
      <c r="M40" t="s">
        <v>540</v>
      </c>
      <c r="N40" t="s">
        <v>176</v>
      </c>
      <c r="O40" t="s">
        <v>167</v>
      </c>
      <c r="P40" s="27">
        <v>3539952.54</v>
      </c>
    </row>
    <row r="41" spans="1:16" ht="15.75" customHeight="1" x14ac:dyDescent="0.2">
      <c r="A41" t="s">
        <v>566</v>
      </c>
      <c r="B41" t="s">
        <v>163</v>
      </c>
      <c r="C41" s="18">
        <v>44454</v>
      </c>
      <c r="D41" t="s">
        <v>101</v>
      </c>
      <c r="E41">
        <v>10000000</v>
      </c>
      <c r="F41" s="18">
        <v>44744</v>
      </c>
      <c r="G41" s="18">
        <v>44875</v>
      </c>
      <c r="H41">
        <v>2022</v>
      </c>
      <c r="I41" t="s">
        <v>164</v>
      </c>
      <c r="J41" s="27">
        <v>713930.44</v>
      </c>
      <c r="K41" s="27">
        <v>0</v>
      </c>
      <c r="L41" s="27">
        <v>713930.44</v>
      </c>
      <c r="M41" t="s">
        <v>531</v>
      </c>
      <c r="N41" t="s">
        <v>179</v>
      </c>
      <c r="O41" t="s">
        <v>167</v>
      </c>
      <c r="P41" s="27">
        <v>713930.44</v>
      </c>
    </row>
    <row r="42" spans="1:16" ht="15.75" customHeight="1" x14ac:dyDescent="0.2">
      <c r="A42" t="s">
        <v>567</v>
      </c>
      <c r="B42" t="s">
        <v>163</v>
      </c>
      <c r="C42" s="18">
        <v>44743</v>
      </c>
      <c r="D42" t="s">
        <v>98</v>
      </c>
      <c r="E42">
        <v>10000000</v>
      </c>
      <c r="F42" s="18">
        <v>44787</v>
      </c>
      <c r="G42" s="18">
        <v>44880</v>
      </c>
      <c r="H42">
        <v>2022</v>
      </c>
      <c r="I42" t="s">
        <v>164</v>
      </c>
      <c r="J42" s="27">
        <v>918265.81</v>
      </c>
      <c r="K42" s="27">
        <v>0</v>
      </c>
      <c r="L42" s="27">
        <v>918265.81</v>
      </c>
      <c r="M42" t="s">
        <v>529</v>
      </c>
      <c r="N42" t="s">
        <v>166</v>
      </c>
      <c r="O42" t="s">
        <v>167</v>
      </c>
      <c r="P42" s="27">
        <v>918265.81</v>
      </c>
    </row>
    <row r="43" spans="1:16" ht="15.75" customHeight="1" x14ac:dyDescent="0.2">
      <c r="A43" t="s">
        <v>568</v>
      </c>
      <c r="B43" t="s">
        <v>163</v>
      </c>
      <c r="C43" s="18">
        <v>44559</v>
      </c>
      <c r="D43" t="s">
        <v>100</v>
      </c>
      <c r="E43">
        <v>5000000</v>
      </c>
      <c r="F43" s="18">
        <v>44723</v>
      </c>
      <c r="G43" s="18">
        <v>44917</v>
      </c>
      <c r="H43">
        <v>2022</v>
      </c>
      <c r="I43" t="s">
        <v>164</v>
      </c>
      <c r="J43" s="27">
        <v>1896218.27</v>
      </c>
      <c r="K43" s="27">
        <v>0</v>
      </c>
      <c r="L43" s="27">
        <v>1896218.27</v>
      </c>
      <c r="M43" t="s">
        <v>538</v>
      </c>
      <c r="N43" t="s">
        <v>176</v>
      </c>
      <c r="O43" t="s">
        <v>170</v>
      </c>
      <c r="P43" s="27">
        <v>0</v>
      </c>
    </row>
    <row r="44" spans="1:16" ht="15.75" customHeight="1" x14ac:dyDescent="0.2">
      <c r="A44" t="s">
        <v>569</v>
      </c>
      <c r="B44" t="s">
        <v>163</v>
      </c>
      <c r="C44" s="18">
        <v>44481</v>
      </c>
      <c r="D44" t="s">
        <v>99</v>
      </c>
      <c r="E44">
        <v>2000000</v>
      </c>
      <c r="F44" s="18">
        <v>44726</v>
      </c>
      <c r="G44" s="18">
        <v>44917</v>
      </c>
      <c r="H44">
        <v>2022</v>
      </c>
      <c r="I44" t="s">
        <v>164</v>
      </c>
      <c r="J44" s="27">
        <v>529832.03</v>
      </c>
      <c r="K44" s="27">
        <v>0</v>
      </c>
      <c r="L44" s="27">
        <v>529832.03</v>
      </c>
      <c r="M44" t="s">
        <v>534</v>
      </c>
      <c r="N44" t="s">
        <v>190</v>
      </c>
      <c r="O44" t="s">
        <v>167</v>
      </c>
      <c r="P44" s="27">
        <v>529832.03</v>
      </c>
    </row>
    <row r="45" spans="1:16" ht="15.75" customHeight="1" x14ac:dyDescent="0.2">
      <c r="A45" t="s">
        <v>570</v>
      </c>
      <c r="B45" t="s">
        <v>163</v>
      </c>
      <c r="C45" s="18">
        <v>44714</v>
      </c>
      <c r="D45" t="s">
        <v>98</v>
      </c>
      <c r="E45">
        <v>10000000</v>
      </c>
      <c r="F45" s="18">
        <v>44884</v>
      </c>
      <c r="G45" s="18">
        <v>44919</v>
      </c>
      <c r="H45">
        <v>2022</v>
      </c>
      <c r="I45" t="s">
        <v>164</v>
      </c>
      <c r="J45" s="27">
        <v>3538956.15</v>
      </c>
      <c r="K45" s="27">
        <v>0</v>
      </c>
      <c r="L45" s="27">
        <v>3538956.15</v>
      </c>
      <c r="M45" t="s">
        <v>531</v>
      </c>
      <c r="N45" t="s">
        <v>179</v>
      </c>
      <c r="O45" t="s">
        <v>170</v>
      </c>
      <c r="P45" s="27">
        <v>0</v>
      </c>
    </row>
    <row r="46" spans="1:16" ht="15.75" customHeight="1" x14ac:dyDescent="0.2">
      <c r="A46" t="s">
        <v>571</v>
      </c>
      <c r="B46" t="s">
        <v>163</v>
      </c>
      <c r="C46" s="18">
        <v>44645</v>
      </c>
      <c r="D46" t="s">
        <v>98</v>
      </c>
      <c r="E46">
        <v>2000000</v>
      </c>
      <c r="F46" s="18">
        <v>44829</v>
      </c>
      <c r="G46" s="18">
        <v>44941</v>
      </c>
      <c r="H46">
        <v>2022</v>
      </c>
      <c r="I46" t="s">
        <v>164</v>
      </c>
      <c r="J46" s="27">
        <v>958815.53</v>
      </c>
      <c r="K46" s="27">
        <v>0</v>
      </c>
      <c r="L46" s="27">
        <v>958815.53</v>
      </c>
      <c r="M46" t="s">
        <v>551</v>
      </c>
      <c r="N46" t="s">
        <v>179</v>
      </c>
      <c r="O46" t="s">
        <v>167</v>
      </c>
      <c r="P46" s="27">
        <v>958815.53</v>
      </c>
    </row>
    <row r="47" spans="1:16" ht="15.75" customHeight="1" x14ac:dyDescent="0.2">
      <c r="A47" t="s">
        <v>572</v>
      </c>
      <c r="B47" t="s">
        <v>219</v>
      </c>
      <c r="C47" s="18">
        <v>44738</v>
      </c>
      <c r="D47" t="s">
        <v>98</v>
      </c>
      <c r="E47">
        <v>5000000</v>
      </c>
      <c r="F47" s="18">
        <v>44899</v>
      </c>
      <c r="G47" s="18">
        <v>44952</v>
      </c>
      <c r="H47">
        <v>2022</v>
      </c>
      <c r="I47" t="s">
        <v>164</v>
      </c>
      <c r="J47" s="27">
        <v>2375129.46</v>
      </c>
      <c r="K47" s="27">
        <v>660722.28</v>
      </c>
      <c r="L47" s="27">
        <v>3035851.74</v>
      </c>
      <c r="M47" t="s">
        <v>529</v>
      </c>
      <c r="N47" t="s">
        <v>166</v>
      </c>
      <c r="O47" t="s">
        <v>170</v>
      </c>
      <c r="P47" s="27">
        <v>0</v>
      </c>
    </row>
    <row r="48" spans="1:16" ht="15.75" customHeight="1" x14ac:dyDescent="0.2">
      <c r="A48" t="s">
        <v>573</v>
      </c>
      <c r="B48" t="s">
        <v>163</v>
      </c>
      <c r="C48" s="18">
        <v>43783</v>
      </c>
      <c r="D48" t="s">
        <v>98</v>
      </c>
      <c r="E48">
        <v>4500000</v>
      </c>
      <c r="F48" s="18">
        <v>44090</v>
      </c>
      <c r="G48" s="18">
        <v>44969</v>
      </c>
      <c r="H48">
        <v>2020</v>
      </c>
      <c r="I48" t="s">
        <v>164</v>
      </c>
      <c r="J48" s="27">
        <v>572642.36</v>
      </c>
      <c r="K48" s="27">
        <v>0</v>
      </c>
      <c r="L48" s="27">
        <v>572642.36</v>
      </c>
      <c r="M48" t="s">
        <v>559</v>
      </c>
      <c r="N48" t="s">
        <v>166</v>
      </c>
      <c r="O48" t="s">
        <v>170</v>
      </c>
      <c r="P48" s="27">
        <v>0</v>
      </c>
    </row>
    <row r="49" spans="1:16" ht="15.75" customHeight="1" x14ac:dyDescent="0.2">
      <c r="A49" t="s">
        <v>574</v>
      </c>
      <c r="B49" t="s">
        <v>163</v>
      </c>
      <c r="C49" s="18">
        <v>44803</v>
      </c>
      <c r="D49" t="s">
        <v>98</v>
      </c>
      <c r="E49">
        <v>2000000</v>
      </c>
      <c r="F49" s="18">
        <v>44923</v>
      </c>
      <c r="G49" s="18">
        <v>44978</v>
      </c>
      <c r="H49">
        <v>2022</v>
      </c>
      <c r="I49" t="s">
        <v>164</v>
      </c>
      <c r="J49" s="27">
        <v>2421753.7999999998</v>
      </c>
      <c r="K49" s="27">
        <v>0</v>
      </c>
      <c r="L49" s="27">
        <v>2421753.7999999998</v>
      </c>
      <c r="M49" t="s">
        <v>540</v>
      </c>
      <c r="N49" t="s">
        <v>176</v>
      </c>
      <c r="O49" t="s">
        <v>170</v>
      </c>
      <c r="P49" s="27">
        <v>0</v>
      </c>
    </row>
    <row r="50" spans="1:16" ht="15.75" customHeight="1" x14ac:dyDescent="0.2">
      <c r="A50" t="s">
        <v>575</v>
      </c>
      <c r="B50" t="s">
        <v>163</v>
      </c>
      <c r="C50" s="18">
        <v>44735</v>
      </c>
      <c r="D50" t="s">
        <v>102</v>
      </c>
      <c r="E50">
        <v>10000000</v>
      </c>
      <c r="F50" s="18">
        <v>44922</v>
      </c>
      <c r="G50" s="18">
        <v>44984</v>
      </c>
      <c r="H50">
        <v>2022</v>
      </c>
      <c r="I50" t="s">
        <v>164</v>
      </c>
      <c r="J50" s="27">
        <v>3437127.74</v>
      </c>
      <c r="K50" s="27">
        <v>0</v>
      </c>
      <c r="L50" s="27">
        <v>3437127.74</v>
      </c>
      <c r="M50" t="s">
        <v>546</v>
      </c>
      <c r="N50" t="s">
        <v>176</v>
      </c>
      <c r="O50" t="s">
        <v>167</v>
      </c>
      <c r="P50" s="27">
        <v>3437127.74</v>
      </c>
    </row>
    <row r="51" spans="1:16" ht="15.75" customHeight="1" x14ac:dyDescent="0.2">
      <c r="A51" t="s">
        <v>576</v>
      </c>
      <c r="B51" t="s">
        <v>163</v>
      </c>
      <c r="C51" s="18">
        <v>44582</v>
      </c>
      <c r="D51" t="s">
        <v>101</v>
      </c>
      <c r="E51">
        <v>5000000</v>
      </c>
      <c r="F51" s="18">
        <v>44922</v>
      </c>
      <c r="G51" s="18">
        <v>45000</v>
      </c>
      <c r="H51">
        <v>2022</v>
      </c>
      <c r="I51" t="s">
        <v>164</v>
      </c>
      <c r="J51" s="27">
        <v>5735095.3099999996</v>
      </c>
      <c r="K51" s="27">
        <v>0</v>
      </c>
      <c r="L51" s="27">
        <v>5735095.3099999996</v>
      </c>
      <c r="M51" t="s">
        <v>551</v>
      </c>
      <c r="N51" t="s">
        <v>179</v>
      </c>
      <c r="O51" t="s">
        <v>167</v>
      </c>
      <c r="P51" s="27">
        <v>5735095.3099999996</v>
      </c>
    </row>
    <row r="52" spans="1:16" ht="15.75" customHeight="1" x14ac:dyDescent="0.2">
      <c r="A52" t="s">
        <v>577</v>
      </c>
      <c r="B52" t="s">
        <v>163</v>
      </c>
      <c r="C52" s="18">
        <v>44797</v>
      </c>
      <c r="D52" t="s">
        <v>98</v>
      </c>
      <c r="E52">
        <v>2000000</v>
      </c>
      <c r="F52" s="18">
        <v>44966</v>
      </c>
      <c r="G52" s="18">
        <v>45012</v>
      </c>
      <c r="H52">
        <v>2023</v>
      </c>
      <c r="I52" t="s">
        <v>164</v>
      </c>
      <c r="J52" s="27">
        <v>587812.34</v>
      </c>
      <c r="K52" s="27">
        <v>0</v>
      </c>
      <c r="L52" s="27">
        <v>587812.34</v>
      </c>
      <c r="M52" t="s">
        <v>538</v>
      </c>
      <c r="N52" t="s">
        <v>176</v>
      </c>
      <c r="O52" t="s">
        <v>167</v>
      </c>
      <c r="P52" s="27">
        <v>587812.34</v>
      </c>
    </row>
    <row r="53" spans="1:16" ht="15.75" customHeight="1" x14ac:dyDescent="0.2">
      <c r="A53" t="s">
        <v>578</v>
      </c>
      <c r="B53" t="s">
        <v>163</v>
      </c>
      <c r="C53" s="18">
        <v>44578</v>
      </c>
      <c r="D53" t="s">
        <v>98</v>
      </c>
      <c r="E53">
        <v>5000000</v>
      </c>
      <c r="F53" s="18">
        <v>44917</v>
      </c>
      <c r="G53" s="18">
        <v>45025</v>
      </c>
      <c r="H53">
        <v>2022</v>
      </c>
      <c r="I53" t="s">
        <v>164</v>
      </c>
      <c r="J53" s="27">
        <v>1377235.61</v>
      </c>
      <c r="K53" s="27">
        <v>0</v>
      </c>
      <c r="L53" s="27">
        <v>1377235.61</v>
      </c>
      <c r="M53" t="s">
        <v>553</v>
      </c>
      <c r="N53" t="s">
        <v>173</v>
      </c>
      <c r="O53" t="s">
        <v>170</v>
      </c>
      <c r="P53" s="27">
        <v>0</v>
      </c>
    </row>
    <row r="54" spans="1:16" ht="15.75" customHeight="1" x14ac:dyDescent="0.2">
      <c r="A54" t="s">
        <v>579</v>
      </c>
      <c r="B54" t="s">
        <v>163</v>
      </c>
      <c r="C54" s="18">
        <v>44592</v>
      </c>
      <c r="D54" t="s">
        <v>99</v>
      </c>
      <c r="E54">
        <v>4500000</v>
      </c>
      <c r="F54" s="18">
        <v>44798</v>
      </c>
      <c r="G54" s="18">
        <v>45031</v>
      </c>
      <c r="H54">
        <v>2022</v>
      </c>
      <c r="I54" t="s">
        <v>164</v>
      </c>
      <c r="J54" s="27">
        <v>1214188.53</v>
      </c>
      <c r="K54" s="27">
        <v>0</v>
      </c>
      <c r="L54" s="27">
        <v>1214188.53</v>
      </c>
      <c r="M54" t="s">
        <v>551</v>
      </c>
      <c r="N54" t="s">
        <v>179</v>
      </c>
      <c r="O54" t="s">
        <v>167</v>
      </c>
      <c r="P54" s="27">
        <v>1214188.53</v>
      </c>
    </row>
    <row r="55" spans="1:16" ht="15.75" customHeight="1" x14ac:dyDescent="0.2">
      <c r="A55" t="s">
        <v>580</v>
      </c>
      <c r="B55" t="s">
        <v>163</v>
      </c>
      <c r="C55" s="18">
        <v>44912</v>
      </c>
      <c r="D55" t="s">
        <v>100</v>
      </c>
      <c r="E55">
        <v>10000000</v>
      </c>
      <c r="F55" s="18">
        <v>44947</v>
      </c>
      <c r="G55" s="18">
        <v>45031</v>
      </c>
      <c r="H55">
        <v>2023</v>
      </c>
      <c r="I55" t="s">
        <v>164</v>
      </c>
      <c r="J55" s="27">
        <v>4605010.7300000004</v>
      </c>
      <c r="K55" s="27">
        <v>0</v>
      </c>
      <c r="L55" s="27">
        <v>4605010.7300000004</v>
      </c>
      <c r="M55" t="s">
        <v>536</v>
      </c>
      <c r="N55" t="s">
        <v>166</v>
      </c>
      <c r="O55" t="s">
        <v>170</v>
      </c>
      <c r="P55" s="27">
        <v>0</v>
      </c>
    </row>
    <row r="56" spans="1:16" ht="15.75" customHeight="1" x14ac:dyDescent="0.2">
      <c r="A56" t="s">
        <v>581</v>
      </c>
      <c r="B56" t="s">
        <v>163</v>
      </c>
      <c r="C56" s="18">
        <v>44908</v>
      </c>
      <c r="D56" t="s">
        <v>98</v>
      </c>
      <c r="E56">
        <v>4500000</v>
      </c>
      <c r="F56" s="18">
        <v>44988</v>
      </c>
      <c r="G56" s="18">
        <v>45036</v>
      </c>
      <c r="H56">
        <v>2023</v>
      </c>
      <c r="I56" t="s">
        <v>164</v>
      </c>
      <c r="J56" s="27">
        <v>388534.1</v>
      </c>
      <c r="K56" s="27">
        <v>0</v>
      </c>
      <c r="L56" s="27">
        <v>388534.1</v>
      </c>
      <c r="M56" t="s">
        <v>529</v>
      </c>
      <c r="N56" t="s">
        <v>166</v>
      </c>
      <c r="O56" t="s">
        <v>167</v>
      </c>
      <c r="P56" s="27">
        <v>388534.1</v>
      </c>
    </row>
    <row r="57" spans="1:16" ht="15.75" customHeight="1" x14ac:dyDescent="0.2">
      <c r="A57" t="s">
        <v>582</v>
      </c>
      <c r="B57" t="s">
        <v>163</v>
      </c>
      <c r="C57" s="18">
        <v>44528</v>
      </c>
      <c r="D57" t="s">
        <v>101</v>
      </c>
      <c r="E57">
        <v>2000000</v>
      </c>
      <c r="F57" s="18">
        <v>44865</v>
      </c>
      <c r="G57" s="18">
        <v>45045</v>
      </c>
      <c r="H57">
        <v>2022</v>
      </c>
      <c r="I57" t="s">
        <v>164</v>
      </c>
      <c r="J57" s="27">
        <v>516944.74</v>
      </c>
      <c r="K57" s="27">
        <v>0</v>
      </c>
      <c r="L57" s="27">
        <v>516944.74</v>
      </c>
      <c r="M57" t="s">
        <v>529</v>
      </c>
      <c r="N57" t="s">
        <v>166</v>
      </c>
      <c r="O57" t="s">
        <v>167</v>
      </c>
      <c r="P57" s="27">
        <v>516944.74</v>
      </c>
    </row>
    <row r="58" spans="1:16" ht="15.75" customHeight="1" x14ac:dyDescent="0.2">
      <c r="A58" t="s">
        <v>583</v>
      </c>
      <c r="B58" t="s">
        <v>163</v>
      </c>
      <c r="C58" s="18">
        <v>44799</v>
      </c>
      <c r="D58" t="s">
        <v>98</v>
      </c>
      <c r="E58">
        <v>4500000</v>
      </c>
      <c r="F58" s="18">
        <v>44980</v>
      </c>
      <c r="G58" s="18">
        <v>45055</v>
      </c>
      <c r="H58">
        <v>2023</v>
      </c>
      <c r="I58" t="s">
        <v>164</v>
      </c>
      <c r="J58" s="27">
        <v>741022.52</v>
      </c>
      <c r="K58" s="27">
        <v>0</v>
      </c>
      <c r="L58" s="27">
        <v>741022.52</v>
      </c>
      <c r="M58" t="s">
        <v>529</v>
      </c>
      <c r="N58" t="s">
        <v>166</v>
      </c>
      <c r="O58" t="s">
        <v>167</v>
      </c>
      <c r="P58" s="27">
        <v>741022.52</v>
      </c>
    </row>
    <row r="59" spans="1:16" ht="15.75" customHeight="1" x14ac:dyDescent="0.2">
      <c r="A59" t="s">
        <v>584</v>
      </c>
      <c r="B59" t="s">
        <v>219</v>
      </c>
      <c r="C59" s="18">
        <v>44905</v>
      </c>
      <c r="D59" t="s">
        <v>98</v>
      </c>
      <c r="E59">
        <v>2000000</v>
      </c>
      <c r="F59" s="18">
        <v>45067</v>
      </c>
      <c r="G59" s="18">
        <v>45114</v>
      </c>
      <c r="H59">
        <v>2023</v>
      </c>
      <c r="I59" t="s">
        <v>164</v>
      </c>
      <c r="J59" s="27">
        <v>1418778.22</v>
      </c>
      <c r="K59" s="27">
        <v>56291.760000000097</v>
      </c>
      <c r="L59" s="27">
        <v>1475069.98</v>
      </c>
      <c r="M59" t="s">
        <v>540</v>
      </c>
      <c r="N59" t="s">
        <v>176</v>
      </c>
      <c r="O59" t="s">
        <v>167</v>
      </c>
      <c r="P59" s="27">
        <v>1475069.98</v>
      </c>
    </row>
    <row r="60" spans="1:16" ht="15.75" customHeight="1" x14ac:dyDescent="0.2">
      <c r="A60" t="s">
        <v>585</v>
      </c>
      <c r="B60" t="s">
        <v>163</v>
      </c>
      <c r="C60" s="18">
        <v>44918</v>
      </c>
      <c r="D60" t="s">
        <v>98</v>
      </c>
      <c r="E60">
        <v>4000000</v>
      </c>
      <c r="F60" s="18">
        <v>45098</v>
      </c>
      <c r="G60" s="18">
        <v>45128</v>
      </c>
      <c r="H60">
        <v>2023</v>
      </c>
      <c r="I60" t="s">
        <v>164</v>
      </c>
      <c r="J60" s="27">
        <v>2138064.2200000002</v>
      </c>
      <c r="K60" s="27">
        <v>0</v>
      </c>
      <c r="L60" s="27">
        <v>2138064.2200000002</v>
      </c>
      <c r="M60" t="s">
        <v>559</v>
      </c>
      <c r="N60" t="s">
        <v>166</v>
      </c>
      <c r="O60" t="s">
        <v>167</v>
      </c>
      <c r="P60" s="27">
        <v>2138064.2200000002</v>
      </c>
    </row>
    <row r="61" spans="1:16" ht="15.75" customHeight="1" x14ac:dyDescent="0.2">
      <c r="A61" t="s">
        <v>586</v>
      </c>
      <c r="B61" t="s">
        <v>163</v>
      </c>
      <c r="C61" s="18">
        <v>44928</v>
      </c>
      <c r="D61" t="s">
        <v>99</v>
      </c>
      <c r="E61">
        <v>5000000</v>
      </c>
      <c r="F61" s="18">
        <v>45092</v>
      </c>
      <c r="G61" s="18">
        <v>45134</v>
      </c>
      <c r="H61">
        <v>2023</v>
      </c>
      <c r="I61" t="s">
        <v>164</v>
      </c>
      <c r="J61" s="27">
        <v>1402038.15</v>
      </c>
      <c r="K61" s="27">
        <v>0</v>
      </c>
      <c r="L61" s="27">
        <v>1402038.15</v>
      </c>
      <c r="M61" t="s">
        <v>551</v>
      </c>
      <c r="N61" t="s">
        <v>179</v>
      </c>
      <c r="O61" t="s">
        <v>167</v>
      </c>
      <c r="P61" s="27">
        <v>1402038.15</v>
      </c>
    </row>
    <row r="62" spans="1:16" ht="15.75" customHeight="1" x14ac:dyDescent="0.2">
      <c r="A62" t="s">
        <v>587</v>
      </c>
      <c r="B62" t="s">
        <v>163</v>
      </c>
      <c r="C62" s="18">
        <v>44633</v>
      </c>
      <c r="D62" t="s">
        <v>98</v>
      </c>
      <c r="E62">
        <v>10000000</v>
      </c>
      <c r="F62" s="18">
        <v>44934</v>
      </c>
      <c r="G62" s="18">
        <v>45182</v>
      </c>
      <c r="H62">
        <v>2023</v>
      </c>
      <c r="I62" t="s">
        <v>164</v>
      </c>
      <c r="J62" s="27">
        <v>1824410.5</v>
      </c>
      <c r="K62" s="27">
        <v>0</v>
      </c>
      <c r="L62" s="27">
        <v>1824410.5</v>
      </c>
      <c r="M62" t="s">
        <v>536</v>
      </c>
      <c r="N62" t="s">
        <v>166</v>
      </c>
      <c r="O62" t="s">
        <v>170</v>
      </c>
      <c r="P62" s="27">
        <v>0</v>
      </c>
    </row>
    <row r="63" spans="1:16" ht="15.75" customHeight="1" x14ac:dyDescent="0.2">
      <c r="A63" t="s">
        <v>588</v>
      </c>
      <c r="B63" t="s">
        <v>163</v>
      </c>
      <c r="C63" s="18">
        <v>45026</v>
      </c>
      <c r="D63" t="s">
        <v>98</v>
      </c>
      <c r="E63">
        <v>10000000</v>
      </c>
      <c r="F63" s="18">
        <v>45038</v>
      </c>
      <c r="G63" s="18">
        <v>45183</v>
      </c>
      <c r="H63">
        <v>2023</v>
      </c>
      <c r="I63" t="s">
        <v>164</v>
      </c>
      <c r="J63" s="27">
        <v>2249087.48</v>
      </c>
      <c r="K63" s="27">
        <v>0</v>
      </c>
      <c r="L63" s="27">
        <v>2249087.48</v>
      </c>
      <c r="M63" t="s">
        <v>559</v>
      </c>
      <c r="N63" t="s">
        <v>166</v>
      </c>
      <c r="O63" t="s">
        <v>170</v>
      </c>
      <c r="P63" s="27">
        <v>0</v>
      </c>
    </row>
    <row r="64" spans="1:16" ht="15.75" customHeight="1" x14ac:dyDescent="0.2">
      <c r="A64" t="s">
        <v>589</v>
      </c>
      <c r="B64" t="s">
        <v>163</v>
      </c>
      <c r="C64" s="18">
        <v>44932</v>
      </c>
      <c r="D64" t="s">
        <v>100</v>
      </c>
      <c r="E64">
        <v>1000000</v>
      </c>
      <c r="F64" s="18">
        <v>45132</v>
      </c>
      <c r="G64" s="18">
        <v>45187</v>
      </c>
      <c r="H64">
        <v>2023</v>
      </c>
      <c r="I64" t="s">
        <v>164</v>
      </c>
      <c r="J64" s="27">
        <v>470652.26</v>
      </c>
      <c r="K64" s="27">
        <v>0</v>
      </c>
      <c r="L64" s="27">
        <v>470652.26</v>
      </c>
      <c r="M64" t="s">
        <v>536</v>
      </c>
      <c r="N64" t="s">
        <v>166</v>
      </c>
      <c r="O64" t="s">
        <v>167</v>
      </c>
      <c r="P64" s="27">
        <v>470652.26</v>
      </c>
    </row>
    <row r="65" spans="1:16" ht="15.75" customHeight="1" x14ac:dyDescent="0.2">
      <c r="A65" t="s">
        <v>590</v>
      </c>
      <c r="B65" t="s">
        <v>219</v>
      </c>
      <c r="C65" s="18">
        <v>44677</v>
      </c>
      <c r="D65" t="s">
        <v>99</v>
      </c>
      <c r="E65">
        <v>2500000</v>
      </c>
      <c r="F65" s="18">
        <v>44811</v>
      </c>
      <c r="G65" s="18">
        <v>45193</v>
      </c>
      <c r="H65">
        <v>2022</v>
      </c>
      <c r="I65" t="s">
        <v>164</v>
      </c>
      <c r="J65" s="27">
        <v>1423742.17</v>
      </c>
      <c r="K65" s="27">
        <v>436186.98</v>
      </c>
      <c r="L65" s="27">
        <v>1859929.15</v>
      </c>
      <c r="M65" t="s">
        <v>546</v>
      </c>
      <c r="N65" t="s">
        <v>176</v>
      </c>
      <c r="O65" t="s">
        <v>170</v>
      </c>
      <c r="P65" s="27">
        <v>0</v>
      </c>
    </row>
    <row r="66" spans="1:16" ht="15.75" customHeight="1" x14ac:dyDescent="0.2">
      <c r="A66" t="s">
        <v>591</v>
      </c>
      <c r="B66" t="s">
        <v>163</v>
      </c>
      <c r="C66" s="18">
        <v>45121</v>
      </c>
      <c r="D66" t="s">
        <v>98</v>
      </c>
      <c r="E66">
        <v>3000000</v>
      </c>
      <c r="F66" s="18">
        <v>45126</v>
      </c>
      <c r="G66" s="18">
        <v>45220</v>
      </c>
      <c r="H66">
        <v>2023</v>
      </c>
      <c r="I66" t="s">
        <v>164</v>
      </c>
      <c r="J66" s="27">
        <v>2557392.5099999998</v>
      </c>
      <c r="K66" s="27">
        <v>0</v>
      </c>
      <c r="L66" s="27">
        <v>2557392.5099999998</v>
      </c>
      <c r="M66" t="s">
        <v>553</v>
      </c>
      <c r="N66" t="s">
        <v>173</v>
      </c>
      <c r="O66" t="s">
        <v>167</v>
      </c>
      <c r="P66" s="27">
        <v>2557392.5099999998</v>
      </c>
    </row>
    <row r="67" spans="1:16" ht="15.75" customHeight="1" x14ac:dyDescent="0.2">
      <c r="A67" t="s">
        <v>592</v>
      </c>
      <c r="B67" t="s">
        <v>163</v>
      </c>
      <c r="C67" s="18">
        <v>44722</v>
      </c>
      <c r="D67" t="s">
        <v>98</v>
      </c>
      <c r="E67">
        <v>10000000</v>
      </c>
      <c r="F67" s="18">
        <v>44930</v>
      </c>
      <c r="G67" s="18">
        <v>45247</v>
      </c>
      <c r="H67">
        <v>2023</v>
      </c>
      <c r="I67" t="s">
        <v>164</v>
      </c>
      <c r="J67" s="27">
        <v>541138.46</v>
      </c>
      <c r="K67" s="27">
        <v>0</v>
      </c>
      <c r="L67" s="27">
        <v>541138.46</v>
      </c>
      <c r="M67" t="s">
        <v>559</v>
      </c>
      <c r="N67" t="s">
        <v>166</v>
      </c>
      <c r="O67" t="s">
        <v>167</v>
      </c>
      <c r="P67" s="27">
        <v>541138.46</v>
      </c>
    </row>
    <row r="68" spans="1:16" ht="15.75" customHeight="1" x14ac:dyDescent="0.2">
      <c r="A68" t="s">
        <v>593</v>
      </c>
      <c r="B68" t="s">
        <v>163</v>
      </c>
      <c r="C68" s="18">
        <v>44849</v>
      </c>
      <c r="D68" t="s">
        <v>100</v>
      </c>
      <c r="E68">
        <v>2000000</v>
      </c>
      <c r="F68" s="18">
        <v>45124</v>
      </c>
      <c r="G68" s="18">
        <v>45305</v>
      </c>
      <c r="H68">
        <v>2023</v>
      </c>
      <c r="I68" t="s">
        <v>164</v>
      </c>
      <c r="J68" s="27">
        <v>1844823.44</v>
      </c>
      <c r="K68" s="27">
        <v>0</v>
      </c>
      <c r="L68" s="27">
        <v>1844823.44</v>
      </c>
      <c r="M68" t="s">
        <v>534</v>
      </c>
      <c r="N68" t="s">
        <v>190</v>
      </c>
      <c r="O68" t="s">
        <v>167</v>
      </c>
      <c r="P68" s="27">
        <v>1844823.44</v>
      </c>
    </row>
    <row r="69" spans="1:16" ht="15.75" customHeight="1" x14ac:dyDescent="0.2">
      <c r="A69" t="s">
        <v>594</v>
      </c>
      <c r="B69" t="s">
        <v>163</v>
      </c>
      <c r="C69" s="18">
        <v>45126</v>
      </c>
      <c r="D69" t="s">
        <v>100</v>
      </c>
      <c r="E69">
        <v>2500000</v>
      </c>
      <c r="F69" s="18">
        <v>45236</v>
      </c>
      <c r="G69" s="18">
        <v>45309</v>
      </c>
      <c r="H69">
        <v>2023</v>
      </c>
      <c r="I69" t="s">
        <v>164</v>
      </c>
      <c r="J69" s="27">
        <v>468765.1</v>
      </c>
      <c r="K69" s="27">
        <v>0</v>
      </c>
      <c r="L69" s="27">
        <v>468765.1</v>
      </c>
      <c r="M69" t="s">
        <v>538</v>
      </c>
      <c r="N69" t="s">
        <v>176</v>
      </c>
      <c r="O69" t="s">
        <v>167</v>
      </c>
      <c r="P69" s="27">
        <v>468765.1</v>
      </c>
    </row>
    <row r="70" spans="1:16" ht="15.75" customHeight="1" x14ac:dyDescent="0.2">
      <c r="A70" t="s">
        <v>595</v>
      </c>
      <c r="B70" t="s">
        <v>219</v>
      </c>
      <c r="C70" s="18">
        <v>45074</v>
      </c>
      <c r="D70" t="s">
        <v>99</v>
      </c>
      <c r="E70">
        <v>4000000</v>
      </c>
      <c r="F70" s="18">
        <v>45308</v>
      </c>
      <c r="G70" s="18">
        <v>45375</v>
      </c>
      <c r="H70">
        <v>2024</v>
      </c>
      <c r="I70" t="s">
        <v>164</v>
      </c>
      <c r="J70" s="27">
        <v>114192.71</v>
      </c>
      <c r="K70" s="27">
        <v>427285.32</v>
      </c>
      <c r="L70" s="27">
        <v>541478.03</v>
      </c>
      <c r="M70" t="s">
        <v>531</v>
      </c>
      <c r="N70" t="s">
        <v>179</v>
      </c>
      <c r="O70" t="s">
        <v>167</v>
      </c>
      <c r="P70" s="27">
        <v>541478.03</v>
      </c>
    </row>
    <row r="71" spans="1:16" ht="15.75" customHeight="1" x14ac:dyDescent="0.2">
      <c r="A71" t="s">
        <v>596</v>
      </c>
      <c r="B71" t="s">
        <v>163</v>
      </c>
      <c r="C71" s="18">
        <v>45148</v>
      </c>
      <c r="D71" t="s">
        <v>102</v>
      </c>
      <c r="E71">
        <v>5000000</v>
      </c>
      <c r="F71" s="18">
        <v>45336</v>
      </c>
      <c r="G71" s="18">
        <v>45389</v>
      </c>
      <c r="H71">
        <v>2024</v>
      </c>
      <c r="I71" t="s">
        <v>164</v>
      </c>
      <c r="J71" s="27">
        <v>5719337.3300000001</v>
      </c>
      <c r="K71" s="27">
        <v>0</v>
      </c>
      <c r="L71" s="27">
        <v>5719337.3300000001</v>
      </c>
      <c r="M71" t="s">
        <v>538</v>
      </c>
      <c r="N71" t="s">
        <v>176</v>
      </c>
      <c r="O71" t="s">
        <v>167</v>
      </c>
      <c r="P71" s="27">
        <v>5719337.3300000001</v>
      </c>
    </row>
    <row r="72" spans="1:16" ht="15.75" customHeight="1" x14ac:dyDescent="0.2">
      <c r="A72" t="s">
        <v>597</v>
      </c>
      <c r="B72" t="s">
        <v>219</v>
      </c>
      <c r="C72" s="18">
        <v>45261</v>
      </c>
      <c r="D72" t="s">
        <v>102</v>
      </c>
      <c r="E72">
        <v>4500000</v>
      </c>
      <c r="F72" s="18">
        <v>45387</v>
      </c>
      <c r="G72" s="18">
        <v>45435</v>
      </c>
      <c r="H72">
        <v>2024</v>
      </c>
      <c r="I72" t="s">
        <v>164</v>
      </c>
      <c r="J72" s="27">
        <v>1006899.25</v>
      </c>
      <c r="K72" s="27">
        <v>230605.28</v>
      </c>
      <c r="L72" s="27">
        <v>1237504.53</v>
      </c>
      <c r="M72" t="s">
        <v>553</v>
      </c>
      <c r="N72" t="s">
        <v>173</v>
      </c>
      <c r="O72" t="s">
        <v>170</v>
      </c>
      <c r="P72" s="27">
        <v>0</v>
      </c>
    </row>
    <row r="73" spans="1:16" ht="15.75" customHeight="1" x14ac:dyDescent="0.2">
      <c r="A73" t="s">
        <v>598</v>
      </c>
      <c r="B73" t="s">
        <v>163</v>
      </c>
      <c r="C73" s="18">
        <v>45014</v>
      </c>
      <c r="D73" t="s">
        <v>100</v>
      </c>
      <c r="E73">
        <v>10000000</v>
      </c>
      <c r="F73" s="18">
        <v>45278</v>
      </c>
      <c r="G73" s="18">
        <v>45441</v>
      </c>
      <c r="H73">
        <v>2023</v>
      </c>
      <c r="I73" t="s">
        <v>164</v>
      </c>
      <c r="J73" s="27">
        <v>3664320.75</v>
      </c>
      <c r="K73" s="27">
        <v>0</v>
      </c>
      <c r="L73" s="27">
        <v>3664320.75</v>
      </c>
      <c r="M73" t="s">
        <v>546</v>
      </c>
      <c r="N73" t="s">
        <v>176</v>
      </c>
      <c r="O73" t="s">
        <v>167</v>
      </c>
      <c r="P73" s="27">
        <v>3664320.75</v>
      </c>
    </row>
    <row r="74" spans="1:16" ht="15.75" customHeight="1" x14ac:dyDescent="0.2">
      <c r="A74" t="s">
        <v>599</v>
      </c>
      <c r="B74" t="s">
        <v>163</v>
      </c>
      <c r="C74" s="18">
        <v>44986</v>
      </c>
      <c r="D74" t="s">
        <v>98</v>
      </c>
      <c r="E74">
        <v>10000000</v>
      </c>
      <c r="F74" s="18">
        <v>45310</v>
      </c>
      <c r="G74" s="18">
        <v>45448</v>
      </c>
      <c r="H74">
        <v>2024</v>
      </c>
      <c r="I74" t="s">
        <v>164</v>
      </c>
      <c r="J74" s="27">
        <v>1734171.37</v>
      </c>
      <c r="K74" s="27">
        <v>0</v>
      </c>
      <c r="L74" s="27">
        <v>1734171.37</v>
      </c>
      <c r="M74" t="s">
        <v>11816</v>
      </c>
      <c r="N74" t="s">
        <v>166</v>
      </c>
      <c r="O74" t="s">
        <v>167</v>
      </c>
      <c r="P74" s="27">
        <v>1734171.37</v>
      </c>
    </row>
    <row r="75" spans="1:16" ht="15.75" customHeight="1" x14ac:dyDescent="0.2">
      <c r="A75" t="s">
        <v>600</v>
      </c>
      <c r="B75" t="s">
        <v>163</v>
      </c>
      <c r="C75" s="18">
        <v>45085</v>
      </c>
      <c r="D75" t="s">
        <v>101</v>
      </c>
      <c r="E75">
        <v>2000000</v>
      </c>
      <c r="F75" s="18">
        <v>45290</v>
      </c>
      <c r="G75" s="18">
        <v>45460</v>
      </c>
      <c r="H75">
        <v>2023</v>
      </c>
      <c r="I75" t="s">
        <v>164</v>
      </c>
      <c r="J75" s="27">
        <v>1710080.37</v>
      </c>
      <c r="K75" s="27">
        <v>0</v>
      </c>
      <c r="L75" s="27">
        <v>1710080.37</v>
      </c>
      <c r="M75" t="s">
        <v>546</v>
      </c>
      <c r="N75" t="s">
        <v>176</v>
      </c>
      <c r="O75" t="s">
        <v>167</v>
      </c>
      <c r="P75" s="27">
        <v>1710080.37</v>
      </c>
    </row>
    <row r="76" spans="1:16" ht="15.75" customHeight="1" x14ac:dyDescent="0.2">
      <c r="A76" t="s">
        <v>601</v>
      </c>
      <c r="B76" t="s">
        <v>219</v>
      </c>
      <c r="C76" s="18">
        <v>44001</v>
      </c>
      <c r="D76" t="s">
        <v>98</v>
      </c>
      <c r="E76">
        <v>4000000</v>
      </c>
      <c r="F76" s="18">
        <v>44206</v>
      </c>
      <c r="G76" s="18">
        <v>45463</v>
      </c>
      <c r="H76">
        <v>2021</v>
      </c>
      <c r="I76" t="s">
        <v>164</v>
      </c>
      <c r="J76" s="27">
        <v>995164.11</v>
      </c>
      <c r="K76" s="27">
        <v>398001.97</v>
      </c>
      <c r="L76" s="27">
        <v>1393166.08</v>
      </c>
      <c r="M76" t="s">
        <v>536</v>
      </c>
      <c r="N76" t="s">
        <v>166</v>
      </c>
      <c r="O76" t="s">
        <v>170</v>
      </c>
      <c r="P76" s="27">
        <v>0</v>
      </c>
    </row>
    <row r="77" spans="1:16" ht="15.75" customHeight="1" x14ac:dyDescent="0.2">
      <c r="A77" t="s">
        <v>602</v>
      </c>
      <c r="B77" t="s">
        <v>163</v>
      </c>
      <c r="C77" s="18">
        <v>45158</v>
      </c>
      <c r="D77" t="s">
        <v>102</v>
      </c>
      <c r="E77">
        <v>5000000</v>
      </c>
      <c r="F77" s="18">
        <v>45414</v>
      </c>
      <c r="G77" s="18">
        <v>45467</v>
      </c>
      <c r="H77">
        <v>2024</v>
      </c>
      <c r="I77" t="s">
        <v>164</v>
      </c>
      <c r="J77" s="27">
        <v>7446657.96</v>
      </c>
      <c r="K77" s="27">
        <v>0</v>
      </c>
      <c r="L77" s="27">
        <v>7446657.96</v>
      </c>
      <c r="M77" t="s">
        <v>325</v>
      </c>
      <c r="N77" t="s">
        <v>166</v>
      </c>
      <c r="O77" t="s">
        <v>167</v>
      </c>
      <c r="P77" s="27">
        <v>7446657.96</v>
      </c>
    </row>
    <row r="78" spans="1:16" ht="15.75" customHeight="1" x14ac:dyDescent="0.2">
      <c r="A78" t="s">
        <v>603</v>
      </c>
      <c r="B78" t="s">
        <v>219</v>
      </c>
      <c r="C78" s="18">
        <v>45293</v>
      </c>
      <c r="D78" t="s">
        <v>98</v>
      </c>
      <c r="E78">
        <v>4000000</v>
      </c>
      <c r="F78" s="18">
        <v>45423</v>
      </c>
      <c r="G78" s="18">
        <v>45532</v>
      </c>
      <c r="H78">
        <v>2024</v>
      </c>
      <c r="I78" t="s">
        <v>164</v>
      </c>
      <c r="J78" s="27">
        <v>401480.98</v>
      </c>
      <c r="K78" s="27">
        <v>886292.6</v>
      </c>
      <c r="L78" s="27">
        <v>1287773.58</v>
      </c>
      <c r="M78" t="s">
        <v>538</v>
      </c>
      <c r="N78" t="s">
        <v>176</v>
      </c>
      <c r="O78" t="s">
        <v>170</v>
      </c>
      <c r="P78" s="27">
        <v>0</v>
      </c>
    </row>
    <row r="79" spans="1:16" ht="15.75" customHeight="1" x14ac:dyDescent="0.2">
      <c r="A79" t="s">
        <v>604</v>
      </c>
      <c r="B79" t="s">
        <v>219</v>
      </c>
      <c r="C79" s="18">
        <v>45301</v>
      </c>
      <c r="D79" t="s">
        <v>101</v>
      </c>
      <c r="E79">
        <v>1000000</v>
      </c>
      <c r="F79" s="18">
        <v>45488</v>
      </c>
      <c r="G79" s="18">
        <v>45544</v>
      </c>
      <c r="H79">
        <v>2024</v>
      </c>
      <c r="I79" t="s">
        <v>164</v>
      </c>
      <c r="J79" s="27">
        <v>258898.2</v>
      </c>
      <c r="K79" s="27">
        <v>209615.74</v>
      </c>
      <c r="L79" s="27">
        <v>468513.94</v>
      </c>
      <c r="M79" t="s">
        <v>529</v>
      </c>
      <c r="N79" t="s">
        <v>166</v>
      </c>
      <c r="O79" t="s">
        <v>167</v>
      </c>
      <c r="P79" s="27">
        <v>468513.94</v>
      </c>
    </row>
    <row r="80" spans="1:16" ht="15.75" customHeight="1" x14ac:dyDescent="0.2">
      <c r="A80" t="s">
        <v>605</v>
      </c>
      <c r="B80" t="s">
        <v>219</v>
      </c>
      <c r="C80" s="18">
        <v>45322</v>
      </c>
      <c r="D80" t="s">
        <v>100</v>
      </c>
      <c r="E80">
        <v>5000000</v>
      </c>
      <c r="F80" s="18">
        <v>45340</v>
      </c>
      <c r="G80" s="18">
        <v>45556</v>
      </c>
      <c r="H80">
        <v>2024</v>
      </c>
      <c r="I80" t="s">
        <v>164</v>
      </c>
      <c r="J80" s="27">
        <v>65393.07</v>
      </c>
      <c r="K80" s="27">
        <v>288937.77</v>
      </c>
      <c r="L80" s="27">
        <v>354330.84</v>
      </c>
      <c r="M80" t="s">
        <v>553</v>
      </c>
      <c r="N80" t="s">
        <v>173</v>
      </c>
      <c r="O80" t="s">
        <v>167</v>
      </c>
      <c r="P80" s="27">
        <v>354330.84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T24"/>
  <sheetViews>
    <sheetView tabSelected="1" workbookViewId="0">
      <selection activeCell="T21" sqref="T21"/>
    </sheetView>
  </sheetViews>
  <sheetFormatPr defaultColWidth="12.5703125" defaultRowHeight="15.75" customHeight="1" x14ac:dyDescent="0.2"/>
  <sheetData>
    <row r="1" spans="1:20" ht="12.75" x14ac:dyDescent="0.2">
      <c r="A1" s="1" t="str">
        <f>'Premium Information'!A1</f>
        <v>Insurer We</v>
      </c>
    </row>
    <row r="2" spans="1:20" ht="12.75" x14ac:dyDescent="0.2">
      <c r="A2" s="1" t="str">
        <f>'Premium Information'!A2</f>
        <v>2025 Property Per risk Excess of Loss</v>
      </c>
    </row>
    <row r="3" spans="1:20" ht="12.75" x14ac:dyDescent="0.2">
      <c r="A3" s="1" t="str">
        <f>'Premium Information'!A3</f>
        <v>effective date:</v>
      </c>
      <c r="B3" s="18">
        <f>'Premium Information'!B3</f>
        <v>45689</v>
      </c>
    </row>
    <row r="5" spans="1:20" ht="12.75" x14ac:dyDescent="0.2">
      <c r="A5" s="16" t="s">
        <v>11812</v>
      </c>
    </row>
    <row r="7" spans="1:20" ht="12.75" x14ac:dyDescent="0.2">
      <c r="A7" s="1" t="str">
        <f>'Premium Information'!A7</f>
        <v>Data as of:</v>
      </c>
      <c r="B7" s="12">
        <f>'Premium Information'!B7</f>
        <v>45565</v>
      </c>
    </row>
    <row r="8" spans="1:20" ht="12.75" x14ac:dyDescent="0.2">
      <c r="A8" s="1" t="str">
        <f>'Premium Information'!A8</f>
        <v>Currency:</v>
      </c>
      <c r="B8" t="str">
        <f>'Premium Information'!B8</f>
        <v>USD</v>
      </c>
    </row>
    <row r="10" spans="1:20" ht="12.75" x14ac:dyDescent="0.2">
      <c r="E10" s="40" t="s">
        <v>113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</row>
    <row r="11" spans="1:20" ht="12.75" x14ac:dyDescent="0.2">
      <c r="B11" s="16" t="s">
        <v>106</v>
      </c>
      <c r="C11" s="1"/>
      <c r="D11" s="16" t="s">
        <v>105</v>
      </c>
      <c r="E11" s="1">
        <v>2010</v>
      </c>
      <c r="F11" s="1">
        <f t="shared" ref="F11:R11" si="0">E11+1</f>
        <v>2011</v>
      </c>
      <c r="G11" s="1">
        <f t="shared" si="0"/>
        <v>2012</v>
      </c>
      <c r="H11" s="1">
        <f t="shared" si="0"/>
        <v>2013</v>
      </c>
      <c r="I11" s="1">
        <f t="shared" si="0"/>
        <v>2014</v>
      </c>
      <c r="J11" s="1">
        <f t="shared" si="0"/>
        <v>2015</v>
      </c>
      <c r="K11" s="1">
        <f t="shared" si="0"/>
        <v>2016</v>
      </c>
      <c r="L11" s="1">
        <f t="shared" si="0"/>
        <v>2017</v>
      </c>
      <c r="M11" s="1">
        <f t="shared" si="0"/>
        <v>2018</v>
      </c>
      <c r="N11" s="1">
        <f t="shared" si="0"/>
        <v>2019</v>
      </c>
      <c r="O11" s="1">
        <f t="shared" si="0"/>
        <v>2020</v>
      </c>
      <c r="P11" s="1">
        <f t="shared" si="0"/>
        <v>2021</v>
      </c>
      <c r="Q11" s="1">
        <f t="shared" si="0"/>
        <v>2022</v>
      </c>
      <c r="R11" s="1">
        <f t="shared" si="0"/>
        <v>2023</v>
      </c>
      <c r="S11">
        <v>2024</v>
      </c>
      <c r="T11" s="15" t="s">
        <v>114</v>
      </c>
    </row>
    <row r="12" spans="1:20" ht="15.75" customHeight="1" x14ac:dyDescent="0.2">
      <c r="B12" s="16" t="s">
        <v>96</v>
      </c>
      <c r="D12" s="15" t="s">
        <v>98</v>
      </c>
      <c r="E12">
        <v>6.4</v>
      </c>
      <c r="F12">
        <v>2.7</v>
      </c>
      <c r="G12">
        <v>6.1</v>
      </c>
      <c r="H12">
        <v>5.8</v>
      </c>
      <c r="I12">
        <v>6.8</v>
      </c>
      <c r="J12">
        <v>2.8</v>
      </c>
      <c r="K12">
        <v>5.3</v>
      </c>
      <c r="L12">
        <v>-0.4</v>
      </c>
      <c r="M12">
        <v>1.6</v>
      </c>
      <c r="N12">
        <v>5</v>
      </c>
      <c r="O12">
        <v>6.3</v>
      </c>
      <c r="P12">
        <v>1.8</v>
      </c>
      <c r="Q12">
        <v>5.3</v>
      </c>
      <c r="R12">
        <v>3.2</v>
      </c>
      <c r="S12">
        <v>-2.8</v>
      </c>
      <c r="T12">
        <v>4</v>
      </c>
    </row>
    <row r="13" spans="1:20" ht="15.75" customHeight="1" x14ac:dyDescent="0.2">
      <c r="B13" s="1"/>
      <c r="D13" s="15" t="s">
        <v>101</v>
      </c>
      <c r="E13">
        <v>7</v>
      </c>
      <c r="F13">
        <v>3.3</v>
      </c>
      <c r="G13">
        <v>5.3</v>
      </c>
      <c r="H13">
        <v>5.3</v>
      </c>
      <c r="I13">
        <v>6</v>
      </c>
      <c r="J13">
        <v>1</v>
      </c>
      <c r="K13">
        <v>3.8</v>
      </c>
      <c r="L13">
        <v>1</v>
      </c>
      <c r="M13">
        <v>2.1</v>
      </c>
      <c r="N13">
        <v>4.4000000000000004</v>
      </c>
      <c r="O13">
        <v>7.1</v>
      </c>
      <c r="P13">
        <v>2.6</v>
      </c>
      <c r="Q13">
        <v>5.3</v>
      </c>
      <c r="R13">
        <v>1.9</v>
      </c>
      <c r="S13">
        <v>-2</v>
      </c>
      <c r="T13">
        <v>3.7</v>
      </c>
    </row>
    <row r="14" spans="1:20" ht="15.75" customHeight="1" x14ac:dyDescent="0.2">
      <c r="D14" s="15" t="s">
        <v>102</v>
      </c>
      <c r="E14">
        <v>8.1</v>
      </c>
      <c r="F14">
        <v>5.0999999999999996</v>
      </c>
      <c r="G14">
        <v>8.1</v>
      </c>
      <c r="H14">
        <v>5.5</v>
      </c>
      <c r="I14">
        <v>5.5</v>
      </c>
      <c r="J14">
        <v>0.3</v>
      </c>
      <c r="K14">
        <v>3.7</v>
      </c>
      <c r="L14">
        <v>-1.1000000000000001</v>
      </c>
      <c r="M14">
        <v>2.7</v>
      </c>
      <c r="N14">
        <v>4.5999999999999996</v>
      </c>
      <c r="O14">
        <v>5.3</v>
      </c>
      <c r="P14">
        <v>3.2</v>
      </c>
      <c r="Q14">
        <v>3.2</v>
      </c>
      <c r="R14">
        <v>0.9</v>
      </c>
      <c r="S14">
        <v>-1.9</v>
      </c>
      <c r="T14">
        <v>3.8</v>
      </c>
    </row>
    <row r="15" spans="1:20" ht="15.75" customHeight="1" x14ac:dyDescent="0.2">
      <c r="D15" s="15" t="s">
        <v>99</v>
      </c>
      <c r="E15">
        <v>6</v>
      </c>
      <c r="F15">
        <v>4.5999999999999996</v>
      </c>
      <c r="G15">
        <v>8.3000000000000007</v>
      </c>
      <c r="H15">
        <v>3.1</v>
      </c>
      <c r="I15">
        <v>6.4</v>
      </c>
      <c r="J15">
        <v>-0.2</v>
      </c>
      <c r="K15">
        <v>4</v>
      </c>
      <c r="L15">
        <v>1.4</v>
      </c>
      <c r="M15">
        <v>0.8</v>
      </c>
      <c r="N15">
        <v>6.9</v>
      </c>
      <c r="O15">
        <v>5.5</v>
      </c>
      <c r="P15">
        <v>4.5</v>
      </c>
      <c r="Q15">
        <v>4.2</v>
      </c>
      <c r="R15">
        <v>0.8</v>
      </c>
      <c r="S15">
        <v>-2.1</v>
      </c>
      <c r="T15">
        <v>3.8</v>
      </c>
    </row>
    <row r="16" spans="1:20" ht="15.75" customHeight="1" x14ac:dyDescent="0.2">
      <c r="D16" s="15" t="s">
        <v>100</v>
      </c>
      <c r="E16">
        <v>8.1</v>
      </c>
      <c r="F16">
        <v>2.9</v>
      </c>
      <c r="G16">
        <v>5.5</v>
      </c>
      <c r="H16">
        <v>5.8</v>
      </c>
      <c r="I16">
        <v>7.8</v>
      </c>
      <c r="J16">
        <v>-0.6</v>
      </c>
      <c r="K16">
        <v>4.5</v>
      </c>
      <c r="L16">
        <v>1.6</v>
      </c>
      <c r="M16">
        <v>2.9</v>
      </c>
      <c r="N16">
        <v>3.6</v>
      </c>
      <c r="O16">
        <v>3.3</v>
      </c>
      <c r="P16">
        <v>3.8</v>
      </c>
      <c r="Q16">
        <v>3.7</v>
      </c>
      <c r="R16">
        <v>1.4</v>
      </c>
      <c r="S16">
        <v>-3.7</v>
      </c>
      <c r="T16">
        <v>3.7</v>
      </c>
    </row>
    <row r="17" spans="2:20" ht="15.75" customHeight="1" x14ac:dyDescent="0.2">
      <c r="D17" t="s">
        <v>116</v>
      </c>
      <c r="E17" s="34">
        <f>SUMPRODUCT(E12:E16,'Premium Information'!E12:E16)/SUM('Premium Information'!E12:E16)</f>
        <v>7.0025564951552299</v>
      </c>
      <c r="F17" s="34">
        <f>SUMPRODUCT(F12:F16,'Premium Information'!F12:F16)/SUM('Premium Information'!F12:F16)</f>
        <v>3.3243895997331885</v>
      </c>
      <c r="G17" s="34">
        <f>SUMPRODUCT(G12:G16,'Premium Information'!G12:G16)/SUM('Premium Information'!G12:G16)</f>
        <v>6.2064217234065335</v>
      </c>
      <c r="H17" s="34">
        <f>SUMPRODUCT(H12:H16,'Premium Information'!H12:H16)/SUM('Premium Information'!H12:H16)</f>
        <v>5.2324164322531521</v>
      </c>
      <c r="I17" s="34">
        <f>SUMPRODUCT(I12:I16,'Premium Information'!I12:I16)/SUM('Premium Information'!I12:I16)</f>
        <v>6.6816212343614909</v>
      </c>
      <c r="J17" s="34">
        <f>SUMPRODUCT(J12:J16,'Premium Information'!J12:J16)/SUM('Premium Information'!J12:J16)</f>
        <v>0.93166631521987764</v>
      </c>
      <c r="K17" s="34">
        <f>SUMPRODUCT(K12:K16,'Premium Information'!K12:K16)/SUM('Premium Information'!K12:K16)</f>
        <v>4.4245975607924954</v>
      </c>
      <c r="L17" s="34">
        <f>SUMPRODUCT(L12:L16,'Premium Information'!L12:L16)/SUM('Premium Information'!L12:L16)</f>
        <v>0.66394834370970313</v>
      </c>
      <c r="M17" s="34">
        <f>SUMPRODUCT(M12:M16,'Premium Information'!M12:M16)/SUM('Premium Information'!M12:M16)</f>
        <v>1.9824971868710006</v>
      </c>
      <c r="N17" s="34">
        <f>SUMPRODUCT(N12:N16,'Premium Information'!N12:N16)/SUM('Premium Information'!N12:N16)</f>
        <v>4.7829868157762228</v>
      </c>
      <c r="O17" s="34">
        <f>SUMPRODUCT(O12:O16,'Premium Information'!O12:O16)/SUM('Premium Information'!O12:O16)</f>
        <v>5.6778310443178386</v>
      </c>
      <c r="P17" s="34">
        <f>SUMPRODUCT(P12:P16,'Premium Information'!P12:P16)/SUM('Premium Information'!P12:P16)</f>
        <v>2.9640370885251852</v>
      </c>
      <c r="Q17" s="34">
        <f>SUMPRODUCT(Q12:Q16,'Premium Information'!Q12:Q16)/SUM('Premium Information'!Q12:Q16)</f>
        <v>4.6566808959313235</v>
      </c>
      <c r="R17" s="34">
        <f>SUMPRODUCT(R12:R16,'Premium Information'!R12:R16)/SUM('Premium Information'!R12:R16)</f>
        <v>1.9146683569776386</v>
      </c>
      <c r="S17" s="34">
        <f>SUMPRODUCT(S12:S16,'Premium Information'!T12:T16)/SUM('Premium Information'!T12:T16)</f>
        <v>-2.4647532729103725</v>
      </c>
      <c r="T17" s="34">
        <f>SUMPRODUCT(T12:T16,'Premium Information'!U12:U16)/SUM('Premium Information'!U12:U16)</f>
        <v>3.7295804644456352</v>
      </c>
    </row>
    <row r="19" spans="2:20" ht="15.75" customHeight="1" x14ac:dyDescent="0.2">
      <c r="B19" s="15" t="s">
        <v>97</v>
      </c>
      <c r="D19" s="15" t="s">
        <v>98</v>
      </c>
      <c r="E19">
        <v>10.9</v>
      </c>
      <c r="F19">
        <v>-2</v>
      </c>
      <c r="G19">
        <v>6</v>
      </c>
      <c r="H19">
        <v>18.600000000000001</v>
      </c>
      <c r="I19">
        <v>17.399999999999999</v>
      </c>
      <c r="J19">
        <v>2.5</v>
      </c>
      <c r="K19">
        <v>-3.1</v>
      </c>
      <c r="L19">
        <v>6.4</v>
      </c>
      <c r="M19">
        <v>15.4</v>
      </c>
      <c r="N19">
        <v>9.9</v>
      </c>
      <c r="O19">
        <v>12.7</v>
      </c>
      <c r="P19">
        <v>9.1999999999999993</v>
      </c>
      <c r="Q19">
        <v>16.2</v>
      </c>
      <c r="R19">
        <v>2.7</v>
      </c>
      <c r="S19">
        <v>18.2</v>
      </c>
      <c r="T19">
        <v>9.1999999999999993</v>
      </c>
    </row>
    <row r="20" spans="2:20" ht="15.75" customHeight="1" x14ac:dyDescent="0.2">
      <c r="D20" s="15" t="s">
        <v>101</v>
      </c>
      <c r="E20">
        <v>7.9</v>
      </c>
      <c r="F20">
        <v>-4.5999999999999996</v>
      </c>
      <c r="G20">
        <v>5.4</v>
      </c>
      <c r="H20">
        <v>16.100000000000001</v>
      </c>
      <c r="I20">
        <v>13.7</v>
      </c>
      <c r="J20">
        <v>1.2</v>
      </c>
      <c r="K20">
        <v>-2.6</v>
      </c>
      <c r="L20">
        <v>5.7</v>
      </c>
      <c r="M20">
        <v>12.8</v>
      </c>
      <c r="N20">
        <v>8.5</v>
      </c>
      <c r="O20">
        <v>9.4</v>
      </c>
      <c r="P20">
        <v>8.9</v>
      </c>
      <c r="Q20">
        <v>15.5</v>
      </c>
      <c r="R20">
        <v>3.8</v>
      </c>
      <c r="S20">
        <v>14.3</v>
      </c>
      <c r="T20">
        <v>7.5</v>
      </c>
    </row>
    <row r="21" spans="2:20" ht="15.75" customHeight="1" x14ac:dyDescent="0.2">
      <c r="D21" s="15" t="s">
        <v>102</v>
      </c>
      <c r="E21">
        <v>9.1999999999999993</v>
      </c>
      <c r="F21">
        <v>0.1</v>
      </c>
      <c r="G21">
        <v>5.3</v>
      </c>
      <c r="H21">
        <v>13</v>
      </c>
      <c r="I21">
        <v>16.7</v>
      </c>
      <c r="J21">
        <v>5.0999999999999996</v>
      </c>
      <c r="K21">
        <v>0.1</v>
      </c>
      <c r="L21">
        <v>7.6</v>
      </c>
      <c r="M21">
        <v>13.8</v>
      </c>
      <c r="N21">
        <v>5.4</v>
      </c>
      <c r="O21">
        <v>9.3000000000000007</v>
      </c>
      <c r="P21">
        <v>8.6999999999999993</v>
      </c>
      <c r="Q21">
        <v>11.4</v>
      </c>
      <c r="R21">
        <v>2.6</v>
      </c>
      <c r="S21">
        <v>12.6</v>
      </c>
      <c r="T21">
        <v>7.9</v>
      </c>
    </row>
    <row r="22" spans="2:20" ht="15.75" customHeight="1" x14ac:dyDescent="0.2">
      <c r="D22" s="15" t="s">
        <v>99</v>
      </c>
      <c r="E22">
        <v>7.5</v>
      </c>
      <c r="F22">
        <v>-2.2999999999999998</v>
      </c>
      <c r="G22">
        <v>3.7</v>
      </c>
      <c r="H22">
        <v>12.9</v>
      </c>
      <c r="I22">
        <v>13.1</v>
      </c>
      <c r="J22">
        <v>1.3</v>
      </c>
      <c r="K22">
        <v>-4.2</v>
      </c>
      <c r="L22">
        <v>4.3</v>
      </c>
      <c r="M22">
        <v>11.3</v>
      </c>
      <c r="N22">
        <v>5.6</v>
      </c>
      <c r="O22">
        <v>9.9</v>
      </c>
      <c r="P22">
        <v>8.9</v>
      </c>
      <c r="Q22">
        <v>10.6</v>
      </c>
      <c r="R22">
        <v>1.9</v>
      </c>
      <c r="S22">
        <v>17.2</v>
      </c>
      <c r="T22">
        <v>6.6</v>
      </c>
    </row>
    <row r="23" spans="2:20" ht="15.75" customHeight="1" x14ac:dyDescent="0.2">
      <c r="D23" s="15" t="s">
        <v>100</v>
      </c>
      <c r="E23">
        <v>8.1</v>
      </c>
      <c r="F23">
        <v>-5.5</v>
      </c>
      <c r="G23">
        <v>2.1</v>
      </c>
      <c r="H23">
        <v>14.6</v>
      </c>
      <c r="I23">
        <v>16.3</v>
      </c>
      <c r="J23">
        <v>2.1</v>
      </c>
      <c r="K23">
        <v>-4</v>
      </c>
      <c r="L23">
        <v>7.7</v>
      </c>
      <c r="M23">
        <v>13.1</v>
      </c>
      <c r="N23">
        <v>5.4</v>
      </c>
      <c r="O23">
        <v>9.1</v>
      </c>
      <c r="P23">
        <v>12</v>
      </c>
      <c r="Q23">
        <v>12.9</v>
      </c>
      <c r="R23">
        <v>-1.1000000000000001</v>
      </c>
      <c r="S23">
        <v>16.5</v>
      </c>
      <c r="T23">
        <v>7.1</v>
      </c>
    </row>
    <row r="24" spans="2:20" ht="15.75" customHeight="1" x14ac:dyDescent="0.2">
      <c r="D24" t="s">
        <v>116</v>
      </c>
      <c r="E24" s="34">
        <f>SUMPRODUCT(E19:E23,'Premium Information'!E19:E23)/SUM('Premium Information'!E19:E23)</f>
        <v>8.743826321203235</v>
      </c>
      <c r="F24" s="34">
        <f>SUMPRODUCT(F19:F23,'Premium Information'!F19:F23)/SUM('Premium Information'!F19:F23)</f>
        <v>-3.3967460844833006</v>
      </c>
      <c r="G24" s="34">
        <f>SUMPRODUCT(G19:G23,'Premium Information'!G19:G23)/SUM('Premium Information'!G19:G23)</f>
        <v>4.5656818988299275</v>
      </c>
      <c r="H24" s="34">
        <f>SUMPRODUCT(H19:H23,'Premium Information'!H19:H23)/SUM('Premium Information'!H19:H23)</f>
        <v>15.851053316956065</v>
      </c>
      <c r="I24" s="34">
        <f>SUMPRODUCT(I19:I23,'Premium Information'!I19:I23)/SUM('Premium Information'!I19:I23)</f>
        <v>15.48077476356238</v>
      </c>
      <c r="J24" s="34">
        <f>SUMPRODUCT(J19:J23,'Premium Information'!J19:J23)/SUM('Premium Information'!J19:J23)</f>
        <v>2.0796334709236231</v>
      </c>
      <c r="K24" s="34">
        <f>SUMPRODUCT(K19:K23,'Premium Information'!K19:K23)/SUM('Premium Information'!K19:K23)</f>
        <v>-3.0979818326897228</v>
      </c>
      <c r="L24" s="34">
        <f>SUMPRODUCT(L19:L23,'Premium Information'!L19:L23)/SUM('Premium Information'!L19:L23)</f>
        <v>6.3049860633981343</v>
      </c>
      <c r="M24" s="34">
        <f>SUMPRODUCT(M19:M23,'Premium Information'!M19:M23)/SUM('Premium Information'!M19:M23)</f>
        <v>13.517917310476331</v>
      </c>
      <c r="N24" s="34">
        <f>SUMPRODUCT(N19:N23,'Premium Information'!N19:N23)/SUM('Premium Information'!N19:N23)</f>
        <v>7.6795152125218831</v>
      </c>
      <c r="O24" s="34">
        <f>SUMPRODUCT(O19:O23,'Premium Information'!O19:O23)/SUM('Premium Information'!O19:O23)</f>
        <v>10.483174188662852</v>
      </c>
      <c r="P24" s="34">
        <f>SUMPRODUCT(P19:P23,'Premium Information'!P19:P23)/SUM('Premium Information'!P19:P23)</f>
        <v>9.6026398938863906</v>
      </c>
      <c r="Q24" s="34">
        <f>SUMPRODUCT(Q19:Q23,'Premium Information'!Q19:Q23)/SUM('Premium Information'!Q19:Q23)</f>
        <v>14.259760616903213</v>
      </c>
      <c r="R24" s="34">
        <f>SUMPRODUCT(R19:R23,'Premium Information'!R19:R23)/SUM('Premium Information'!R19:R23)</f>
        <v>2.1518685577059249</v>
      </c>
      <c r="S24" s="34">
        <f>SUMPRODUCT(S19:S23,'Premium Information'!T19:T23)/SUM('Premium Information'!T19:T23)</f>
        <v>16.196370967741935</v>
      </c>
      <c r="T24" s="34">
        <f>SUMPRODUCT(T19:T23,'Premium Information'!U19:U23)/SUM('Premium Information'!U19:U23)</f>
        <v>7.9220746739712977</v>
      </c>
    </row>
  </sheetData>
  <mergeCells count="1">
    <mergeCell ref="E10:R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Email</vt:lpstr>
      <vt:lpstr>Premium Information</vt:lpstr>
      <vt:lpstr>Premium Projection</vt:lpstr>
      <vt:lpstr>Limit Profile (Commercial)</vt:lpstr>
      <vt:lpstr>Limit Profile (Personal)</vt:lpstr>
      <vt:lpstr>Exposure Listing (Commercial)</vt:lpstr>
      <vt:lpstr>Exposure Listing (Personal)</vt:lpstr>
      <vt:lpstr>Claim (Non-Cat Commercial)</vt:lpstr>
      <vt:lpstr>Claim (Cat Commercial)</vt:lpstr>
      <vt:lpstr>Claim (Non-Cat Personal)</vt:lpstr>
      <vt:lpstr>Claim (Cat Personal)</vt:lpstr>
      <vt:lpstr>Rate 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TSZ Chai Fung</cp:lastModifiedBy>
  <dcterms:created xsi:type="dcterms:W3CDTF">2026-03-17T21:07:48Z</dcterms:created>
  <dcterms:modified xsi:type="dcterms:W3CDTF">2026-03-19T04:18:57Z</dcterms:modified>
</cp:coreProperties>
</file>